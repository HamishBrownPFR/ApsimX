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NaPA\Builder\Database\"/>
    </mc:Choice>
  </mc:AlternateContent>
  <xr:revisionPtr revIDLastSave="0" documentId="13_ncr:1_{5DAEF886-E0CB-4945-A504-69794FCF47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Sheet1!$A$1:$AK$3999</definedName>
  </definedNames>
  <calcPr calcId="191029"/>
  <pivotCaches>
    <pivotCache cacheId="1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2" l="1"/>
  <c r="P9" i="2" s="1"/>
  <c r="P10" i="2" s="1"/>
  <c r="P11" i="2"/>
  <c r="P12" i="2" s="1"/>
  <c r="P13" i="2" s="1"/>
  <c r="P14" i="2"/>
  <c r="P15" i="2" s="1"/>
  <c r="P16" i="2"/>
  <c r="P17" i="2"/>
  <c r="P18" i="2" s="1"/>
  <c r="P19" i="2" s="1"/>
  <c r="P20" i="2" s="1"/>
  <c r="P21" i="2" s="1"/>
  <c r="P22" i="2" s="1"/>
  <c r="P23" i="2"/>
  <c r="P24" i="2"/>
  <c r="P25" i="2" s="1"/>
  <c r="P26" i="2" s="1"/>
  <c r="P27" i="2" s="1"/>
  <c r="P28" i="2" s="1"/>
  <c r="P29" i="2"/>
  <c r="P30" i="2" s="1"/>
  <c r="P31" i="2" s="1"/>
  <c r="P32" i="2"/>
  <c r="P33" i="2" s="1"/>
  <c r="P34" i="2" s="1"/>
  <c r="P35" i="2"/>
  <c r="P36" i="2"/>
  <c r="P37" i="2" s="1"/>
  <c r="P38" i="2"/>
  <c r="P39" i="2" s="1"/>
  <c r="P40" i="2"/>
  <c r="P41" i="2"/>
  <c r="P42" i="2" s="1"/>
  <c r="P43" i="2" s="1"/>
  <c r="P44" i="2" s="1"/>
  <c r="P45" i="2" s="1"/>
  <c r="P46" i="2" s="1"/>
  <c r="P47" i="2"/>
  <c r="P48" i="2" s="1"/>
  <c r="P49" i="2" s="1"/>
  <c r="P50" i="2" s="1"/>
  <c r="P51" i="2" s="1"/>
  <c r="P52" i="2" s="1"/>
  <c r="P53" i="2"/>
  <c r="P54" i="2"/>
  <c r="P55" i="2" s="1"/>
  <c r="P56" i="2"/>
  <c r="P57" i="2" s="1"/>
  <c r="P58" i="2" s="1"/>
  <c r="P59" i="2"/>
  <c r="P60" i="2" s="1"/>
  <c r="P61" i="2" s="1"/>
  <c r="P62" i="2"/>
  <c r="P63" i="2" s="1"/>
  <c r="P64" i="2" s="1"/>
  <c r="P65" i="2"/>
  <c r="P66" i="2" s="1"/>
  <c r="P67" i="2" s="1"/>
  <c r="P68" i="2"/>
  <c r="P69" i="2" s="1"/>
  <c r="P70" i="2"/>
  <c r="P71" i="2"/>
  <c r="P72" i="2" s="1"/>
  <c r="P73" i="2" s="1"/>
  <c r="P74" i="2" s="1"/>
  <c r="P75" i="2" s="1"/>
  <c r="P76" i="2" s="1"/>
  <c r="P77" i="2"/>
  <c r="P78" i="2" s="1"/>
  <c r="P79" i="2" s="1"/>
  <c r="P80" i="2" s="1"/>
  <c r="P81" i="2"/>
  <c r="P82" i="2" s="1"/>
  <c r="P83" i="2" s="1"/>
  <c r="P84" i="2" s="1"/>
  <c r="P85" i="2"/>
  <c r="P86" i="2"/>
  <c r="P87" i="2" s="1"/>
  <c r="P88" i="2" s="1"/>
  <c r="P89" i="2"/>
  <c r="P90" i="2" s="1"/>
  <c r="P91" i="2" s="1"/>
  <c r="P92" i="2" s="1"/>
  <c r="P93" i="2"/>
  <c r="P94" i="2" s="1"/>
  <c r="P95" i="2" s="1"/>
  <c r="P96" i="2" s="1"/>
  <c r="P97" i="2"/>
  <c r="P98" i="2" s="1"/>
  <c r="P99" i="2" s="1"/>
  <c r="P100" i="2" s="1"/>
  <c r="P101" i="2"/>
  <c r="P102" i="2"/>
  <c r="P103" i="2" s="1"/>
  <c r="P104" i="2" s="1"/>
  <c r="P105" i="2"/>
  <c r="P106" i="2" s="1"/>
  <c r="P107" i="2" s="1"/>
  <c r="P108" i="2"/>
  <c r="P109" i="2"/>
  <c r="P110" i="2"/>
  <c r="P111" i="2" s="1"/>
  <c r="P112" i="2" s="1"/>
  <c r="P113" i="2"/>
  <c r="P114" i="2" s="1"/>
  <c r="P115" i="2" s="1"/>
  <c r="P116" i="2"/>
  <c r="P117" i="2"/>
  <c r="P118" i="2" s="1"/>
  <c r="P119" i="2" s="1"/>
  <c r="P120" i="2" s="1"/>
  <c r="P121" i="2"/>
  <c r="P122" i="2" s="1"/>
  <c r="P123" i="2" s="1"/>
  <c r="P124" i="2" s="1"/>
  <c r="P125" i="2"/>
  <c r="P126" i="2"/>
  <c r="P127" i="2" s="1"/>
  <c r="P128" i="2"/>
  <c r="P129" i="2"/>
  <c r="P130" i="2" s="1"/>
  <c r="P131" i="2" s="1"/>
  <c r="P132" i="2" s="1"/>
  <c r="P133" i="2"/>
  <c r="P134" i="2" s="1"/>
  <c r="P135" i="2" s="1"/>
  <c r="P136" i="2" s="1"/>
  <c r="P137" i="2"/>
  <c r="P138" i="2" s="1"/>
  <c r="P139" i="2" s="1"/>
  <c r="P140" i="2"/>
  <c r="P141" i="2"/>
  <c r="P142" i="2"/>
  <c r="P143" i="2" s="1"/>
  <c r="P144" i="2" s="1"/>
  <c r="P145" i="2"/>
  <c r="P146" i="2" s="1"/>
  <c r="P147" i="2" s="1"/>
  <c r="P148" i="2"/>
  <c r="P149" i="2"/>
  <c r="P150" i="2" s="1"/>
  <c r="P151" i="2" s="1"/>
  <c r="P152" i="2" s="1"/>
  <c r="P153" i="2"/>
  <c r="P154" i="2" s="1"/>
  <c r="P155" i="2" s="1"/>
  <c r="P156" i="2" s="1"/>
  <c r="P157" i="2"/>
  <c r="P158" i="2"/>
  <c r="P159" i="2" s="1"/>
  <c r="P160" i="2"/>
  <c r="P161" i="2"/>
  <c r="P162" i="2" s="1"/>
  <c r="P163" i="2" s="1"/>
  <c r="P164" i="2" s="1"/>
  <c r="P165" i="2"/>
  <c r="P166" i="2" s="1"/>
  <c r="P167" i="2" s="1"/>
  <c r="P168" i="2" s="1"/>
  <c r="P169" i="2"/>
  <c r="P170" i="2" s="1"/>
  <c r="P171" i="2" s="1"/>
  <c r="P172" i="2" s="1"/>
  <c r="P173" i="2"/>
  <c r="P174" i="2"/>
  <c r="P175" i="2" s="1"/>
  <c r="P176" i="2" s="1"/>
  <c r="P177" i="2" s="1"/>
  <c r="P178" i="2" s="1"/>
  <c r="P179" i="2" s="1"/>
  <c r="P180" i="2" s="1"/>
  <c r="P181" i="2"/>
  <c r="P182" i="2"/>
  <c r="P183" i="2" s="1"/>
  <c r="P184" i="2" s="1"/>
  <c r="P185" i="2" s="1"/>
  <c r="P186" i="2" s="1"/>
  <c r="P187" i="2" s="1"/>
  <c r="P188" i="2" s="1"/>
  <c r="P189" i="2"/>
  <c r="P190" i="2"/>
  <c r="P191" i="2" s="1"/>
  <c r="P192" i="2" s="1"/>
  <c r="P193" i="2" s="1"/>
  <c r="P194" i="2" s="1"/>
  <c r="P195" i="2" s="1"/>
  <c r="P196" i="2" s="1"/>
  <c r="P197" i="2"/>
  <c r="P198" i="2" s="1"/>
  <c r="P199" i="2" s="1"/>
  <c r="P200" i="2" s="1"/>
  <c r="P201" i="2" s="1"/>
  <c r="P202" i="2" s="1"/>
  <c r="P203" i="2" s="1"/>
  <c r="P204" i="2" s="1"/>
  <c r="P205" i="2"/>
  <c r="P206" i="2"/>
  <c r="P207" i="2" s="1"/>
  <c r="P208" i="2" s="1"/>
  <c r="P209" i="2" s="1"/>
  <c r="P210" i="2" s="1"/>
  <c r="P211" i="2" s="1"/>
  <c r="P212" i="2" s="1"/>
  <c r="P213" i="2"/>
  <c r="P214" i="2"/>
  <c r="P215" i="2" s="1"/>
  <c r="P216" i="2" s="1"/>
  <c r="P217" i="2" s="1"/>
  <c r="P218" i="2" s="1"/>
  <c r="P219" i="2" s="1"/>
  <c r="P220" i="2" s="1"/>
  <c r="P221" i="2"/>
  <c r="P222" i="2"/>
  <c r="P223" i="2" s="1"/>
  <c r="P224" i="2" s="1"/>
  <c r="P225" i="2" s="1"/>
  <c r="P226" i="2" s="1"/>
  <c r="P227" i="2" s="1"/>
  <c r="P228" i="2" s="1"/>
  <c r="P229" i="2"/>
  <c r="P230" i="2" s="1"/>
  <c r="P231" i="2" s="1"/>
  <c r="P232" i="2" s="1"/>
  <c r="P233" i="2" s="1"/>
  <c r="P234" i="2" s="1"/>
  <c r="P235" i="2" s="1"/>
  <c r="P236" i="2" s="1"/>
  <c r="P237" i="2"/>
  <c r="P238" i="2"/>
  <c r="P239" i="2" s="1"/>
  <c r="P240" i="2" s="1"/>
  <c r="P241" i="2" s="1"/>
  <c r="P242" i="2" s="1"/>
  <c r="P243" i="2" s="1"/>
  <c r="P244" i="2" s="1"/>
  <c r="P245" i="2"/>
  <c r="P246" i="2"/>
  <c r="P247" i="2" s="1"/>
  <c r="P248" i="2" s="1"/>
  <c r="P249" i="2" s="1"/>
  <c r="P250" i="2" s="1"/>
  <c r="P251" i="2" s="1"/>
  <c r="P252" i="2" s="1"/>
  <c r="P253" i="2"/>
  <c r="P254" i="2"/>
  <c r="P255" i="2" s="1"/>
  <c r="P256" i="2" s="1"/>
  <c r="P257" i="2" s="1"/>
  <c r="P258" i="2" s="1"/>
  <c r="P259" i="2" s="1"/>
  <c r="P260" i="2" s="1"/>
  <c r="P261" i="2"/>
  <c r="P262" i="2" s="1"/>
  <c r="P263" i="2" s="1"/>
  <c r="P264" i="2" s="1"/>
  <c r="P265" i="2" s="1"/>
  <c r="P266" i="2" s="1"/>
  <c r="P267" i="2" s="1"/>
  <c r="P268" i="2" s="1"/>
  <c r="P269" i="2"/>
  <c r="P270" i="2"/>
  <c r="P271" i="2" s="1"/>
  <c r="P272" i="2" s="1"/>
  <c r="P273" i="2" s="1"/>
  <c r="P274" i="2" s="1"/>
  <c r="P275" i="2" s="1"/>
  <c r="P276" i="2" s="1"/>
  <c r="P277" i="2"/>
  <c r="P278" i="2"/>
  <c r="P279" i="2" s="1"/>
  <c r="P280" i="2" s="1"/>
  <c r="P281" i="2" s="1"/>
  <c r="P282" i="2" s="1"/>
  <c r="P283" i="2" s="1"/>
  <c r="P284" i="2" s="1"/>
  <c r="P285" i="2"/>
  <c r="P286" i="2"/>
  <c r="P287" i="2" s="1"/>
  <c r="P288" i="2" s="1"/>
  <c r="P289" i="2" s="1"/>
  <c r="P290" i="2" s="1"/>
  <c r="P291" i="2" s="1"/>
  <c r="P292" i="2" s="1"/>
  <c r="P293" i="2"/>
  <c r="P294" i="2" s="1"/>
  <c r="P295" i="2" s="1"/>
  <c r="P296" i="2" s="1"/>
  <c r="P297" i="2" s="1"/>
  <c r="P298" i="2" s="1"/>
  <c r="P299" i="2" s="1"/>
  <c r="P300" i="2" s="1"/>
  <c r="P301" i="2"/>
  <c r="P302" i="2"/>
  <c r="P303" i="2" s="1"/>
  <c r="P304" i="2" s="1"/>
  <c r="P305" i="2" s="1"/>
  <c r="P306" i="2" s="1"/>
  <c r="P307" i="2" s="1"/>
  <c r="P308" i="2" s="1"/>
  <c r="P309" i="2"/>
  <c r="P310" i="2"/>
  <c r="P311" i="2" s="1"/>
  <c r="P312" i="2" s="1"/>
  <c r="P313" i="2" s="1"/>
  <c r="P314" i="2" s="1"/>
  <c r="P315" i="2" s="1"/>
  <c r="P316" i="2" s="1"/>
  <c r="P317" i="2"/>
  <c r="P318" i="2"/>
  <c r="P319" i="2" s="1"/>
  <c r="P320" i="2" s="1"/>
  <c r="P321" i="2" s="1"/>
  <c r="P322" i="2" s="1"/>
  <c r="P323" i="2" s="1"/>
  <c r="P324" i="2" s="1"/>
  <c r="P325" i="2"/>
  <c r="P326" i="2" s="1"/>
  <c r="P327" i="2" s="1"/>
  <c r="P328" i="2" s="1"/>
  <c r="P329" i="2" s="1"/>
  <c r="P330" i="2" s="1"/>
  <c r="P331" i="2" s="1"/>
  <c r="P332" i="2" s="1"/>
  <c r="P333" i="2"/>
  <c r="P334" i="2"/>
  <c r="P335" i="2" s="1"/>
  <c r="P336" i="2" s="1"/>
  <c r="P337" i="2" s="1"/>
  <c r="P338" i="2" s="1"/>
  <c r="P339" i="2" s="1"/>
  <c r="P340" i="2" s="1"/>
  <c r="P341" i="2"/>
  <c r="P342" i="2"/>
  <c r="P343" i="2" s="1"/>
  <c r="P344" i="2" s="1"/>
  <c r="P345" i="2" s="1"/>
  <c r="P346" i="2" s="1"/>
  <c r="P347" i="2" s="1"/>
  <c r="P348" i="2" s="1"/>
  <c r="P349" i="2"/>
  <c r="P350" i="2"/>
  <c r="P351" i="2" s="1"/>
  <c r="P352" i="2" s="1"/>
  <c r="P353" i="2" s="1"/>
  <c r="P354" i="2" s="1"/>
  <c r="P355" i="2" s="1"/>
  <c r="P356" i="2" s="1"/>
  <c r="P357" i="2"/>
  <c r="P358" i="2" s="1"/>
  <c r="P359" i="2" s="1"/>
  <c r="P360" i="2" s="1"/>
  <c r="P361" i="2" s="1"/>
  <c r="P362" i="2" s="1"/>
  <c r="P363" i="2" s="1"/>
  <c r="P364" i="2" s="1"/>
  <c r="P365" i="2"/>
  <c r="P366" i="2"/>
  <c r="P367" i="2" s="1"/>
  <c r="P368" i="2" s="1"/>
  <c r="P369" i="2" s="1"/>
  <c r="P370" i="2" s="1"/>
  <c r="P371" i="2" s="1"/>
  <c r="P372" i="2" s="1"/>
  <c r="P373" i="2"/>
  <c r="P374" i="2"/>
  <c r="P375" i="2" s="1"/>
  <c r="P376" i="2" s="1"/>
  <c r="P377" i="2" s="1"/>
  <c r="P378" i="2" s="1"/>
  <c r="P379" i="2" s="1"/>
  <c r="P380" i="2" s="1"/>
  <c r="P381" i="2"/>
  <c r="P382" i="2"/>
  <c r="P383" i="2" s="1"/>
  <c r="P384" i="2" s="1"/>
  <c r="P385" i="2" s="1"/>
  <c r="P386" i="2" s="1"/>
  <c r="P387" i="2" s="1"/>
  <c r="P388" i="2" s="1"/>
  <c r="P389" i="2"/>
  <c r="P390" i="2" s="1"/>
  <c r="P391" i="2" s="1"/>
  <c r="P392" i="2" s="1"/>
  <c r="P393" i="2" s="1"/>
  <c r="P394" i="2" s="1"/>
  <c r="P395" i="2" s="1"/>
  <c r="P396" i="2" s="1"/>
  <c r="P397" i="2"/>
  <c r="P398" i="2"/>
  <c r="P399" i="2" s="1"/>
  <c r="P400" i="2" s="1"/>
  <c r="P401" i="2" s="1"/>
  <c r="P402" i="2" s="1"/>
  <c r="P403" i="2" s="1"/>
  <c r="P404" i="2" s="1"/>
  <c r="P405" i="2"/>
  <c r="P406" i="2"/>
  <c r="P407" i="2" s="1"/>
  <c r="P408" i="2" s="1"/>
  <c r="P409" i="2" s="1"/>
  <c r="P410" i="2" s="1"/>
  <c r="P411" i="2" s="1"/>
  <c r="P412" i="2" s="1"/>
  <c r="P413" i="2"/>
  <c r="P414" i="2"/>
  <c r="P415" i="2" s="1"/>
  <c r="P416" i="2" s="1"/>
  <c r="P417" i="2" s="1"/>
  <c r="P418" i="2" s="1"/>
  <c r="P419" i="2" s="1"/>
  <c r="P420" i="2" s="1"/>
  <c r="P421" i="2"/>
  <c r="P422" i="2" s="1"/>
  <c r="P423" i="2" s="1"/>
  <c r="P424" i="2" s="1"/>
  <c r="P425" i="2" s="1"/>
  <c r="P426" i="2" s="1"/>
  <c r="P427" i="2" s="1"/>
  <c r="P428" i="2" s="1"/>
  <c r="P429" i="2"/>
  <c r="P430" i="2"/>
  <c r="P431" i="2" s="1"/>
  <c r="P432" i="2" s="1"/>
  <c r="P433" i="2"/>
  <c r="P434" i="2" s="1"/>
  <c r="P435" i="2" s="1"/>
  <c r="P436" i="2"/>
  <c r="P437" i="2"/>
  <c r="P438" i="2"/>
  <c r="P439" i="2" s="1"/>
  <c r="P440" i="2" s="1"/>
  <c r="P441" i="2"/>
  <c r="P442" i="2" s="1"/>
  <c r="P443" i="2" s="1"/>
  <c r="P444" i="2" s="1"/>
  <c r="P445" i="2"/>
  <c r="P446" i="2"/>
  <c r="P447" i="2" s="1"/>
  <c r="P448" i="2" s="1"/>
  <c r="P449" i="2"/>
  <c r="P450" i="2" s="1"/>
  <c r="P451" i="2" s="1"/>
  <c r="P452" i="2" s="1"/>
  <c r="P453" i="2"/>
  <c r="P454" i="2"/>
  <c r="P455" i="2" s="1"/>
  <c r="P456" i="2" s="1"/>
  <c r="P457" i="2"/>
  <c r="P458" i="2" s="1"/>
  <c r="P459" i="2" s="1"/>
  <c r="P460" i="2" s="1"/>
  <c r="P461" i="2"/>
  <c r="P462" i="2"/>
  <c r="P463" i="2" s="1"/>
  <c r="P464" i="2" s="1"/>
  <c r="P465" i="2"/>
  <c r="P466" i="2" s="1"/>
  <c r="P467" i="2" s="1"/>
  <c r="P468" i="2" s="1"/>
  <c r="P469" i="2"/>
  <c r="P470" i="2" s="1"/>
  <c r="P471" i="2" s="1"/>
  <c r="P472" i="2" s="1"/>
  <c r="P473" i="2"/>
  <c r="P474" i="2" s="1"/>
  <c r="P475" i="2" s="1"/>
  <c r="P476" i="2" s="1"/>
  <c r="P477" i="2"/>
  <c r="P478" i="2"/>
  <c r="P479" i="2" s="1"/>
  <c r="P480" i="2" s="1"/>
  <c r="P481" i="2" s="1"/>
  <c r="P482" i="2" s="1"/>
  <c r="P483" i="2" s="1"/>
  <c r="P484" i="2" s="1"/>
  <c r="P485" i="2"/>
  <c r="P486" i="2"/>
  <c r="P487" i="2" s="1"/>
  <c r="P488" i="2" s="1"/>
  <c r="P489" i="2" s="1"/>
  <c r="P490" i="2" s="1"/>
  <c r="P491" i="2" s="1"/>
  <c r="P492" i="2" s="1"/>
  <c r="P493" i="2"/>
  <c r="P494" i="2" s="1"/>
  <c r="P495" i="2" s="1"/>
  <c r="P496" i="2" s="1"/>
  <c r="P497" i="2" s="1"/>
  <c r="P498" i="2" s="1"/>
  <c r="P499" i="2" s="1"/>
  <c r="P500" i="2" s="1"/>
  <c r="P501" i="2"/>
  <c r="P502" i="2"/>
  <c r="P503" i="2" s="1"/>
  <c r="P504" i="2" s="1"/>
  <c r="P505" i="2" s="1"/>
  <c r="P506" i="2" s="1"/>
  <c r="P507" i="2" s="1"/>
  <c r="P508" i="2" s="1"/>
  <c r="P509" i="2"/>
  <c r="P510" i="2"/>
  <c r="P511" i="2" s="1"/>
  <c r="P512" i="2" s="1"/>
  <c r="P513" i="2" s="1"/>
  <c r="P514" i="2" s="1"/>
  <c r="P515" i="2" s="1"/>
  <c r="P516" i="2" s="1"/>
  <c r="P517" i="2"/>
  <c r="P518" i="2" s="1"/>
  <c r="P519" i="2" s="1"/>
  <c r="P520" i="2" s="1"/>
  <c r="P521" i="2" s="1"/>
  <c r="P522" i="2" s="1"/>
  <c r="P523" i="2" s="1"/>
  <c r="P524" i="2" s="1"/>
  <c r="P525" i="2"/>
  <c r="P526" i="2"/>
  <c r="P527" i="2" s="1"/>
  <c r="P528" i="2" s="1"/>
  <c r="P529" i="2" s="1"/>
  <c r="P530" i="2" s="1"/>
  <c r="P531" i="2" s="1"/>
  <c r="P532" i="2" s="1"/>
  <c r="P533" i="2"/>
  <c r="P534" i="2"/>
  <c r="P535" i="2" s="1"/>
  <c r="P536" i="2" s="1"/>
  <c r="P537" i="2" s="1"/>
  <c r="P538" i="2" s="1"/>
  <c r="P539" i="2" s="1"/>
  <c r="P540" i="2" s="1"/>
  <c r="P541" i="2"/>
  <c r="P542" i="2"/>
  <c r="P543" i="2" s="1"/>
  <c r="P544" i="2" s="1"/>
  <c r="P545" i="2" s="1"/>
  <c r="P546" i="2" s="1"/>
  <c r="P547" i="2" s="1"/>
  <c r="P548" i="2" s="1"/>
  <c r="P549" i="2"/>
  <c r="P550" i="2"/>
  <c r="P551" i="2" s="1"/>
  <c r="P552" i="2" s="1"/>
  <c r="P553" i="2" s="1"/>
  <c r="P554" i="2" s="1"/>
  <c r="P555" i="2" s="1"/>
  <c r="P556" i="2" s="1"/>
  <c r="P557" i="2"/>
  <c r="P558" i="2" s="1"/>
  <c r="P559" i="2" s="1"/>
  <c r="P560" i="2" s="1"/>
  <c r="P561" i="2" s="1"/>
  <c r="P562" i="2" s="1"/>
  <c r="P563" i="2" s="1"/>
  <c r="P564" i="2" s="1"/>
  <c r="P565" i="2"/>
  <c r="P566" i="2"/>
  <c r="P567" i="2" s="1"/>
  <c r="P568" i="2" s="1"/>
  <c r="P569" i="2" s="1"/>
  <c r="P570" i="2" s="1"/>
  <c r="P571" i="2" s="1"/>
  <c r="P572" i="2" s="1"/>
  <c r="P573" i="2"/>
  <c r="P574" i="2"/>
  <c r="P575" i="2" s="1"/>
  <c r="P576" i="2" s="1"/>
  <c r="P577" i="2" s="1"/>
  <c r="P578" i="2" s="1"/>
  <c r="P579" i="2" s="1"/>
  <c r="P580" i="2" s="1"/>
  <c r="P581" i="2"/>
  <c r="P582" i="2" s="1"/>
  <c r="P583" i="2" s="1"/>
  <c r="P584" i="2" s="1"/>
  <c r="P585" i="2" s="1"/>
  <c r="P586" i="2" s="1"/>
  <c r="P587" i="2" s="1"/>
  <c r="P588" i="2" s="1"/>
  <c r="P589" i="2"/>
  <c r="P590" i="2" s="1"/>
  <c r="P591" i="2" s="1"/>
  <c r="P592" i="2" s="1"/>
  <c r="P593" i="2" s="1"/>
  <c r="P594" i="2" s="1"/>
  <c r="P595" i="2"/>
  <c r="P596" i="2" s="1"/>
  <c r="P597" i="2"/>
  <c r="P598" i="2"/>
  <c r="P599" i="2" s="1"/>
  <c r="P600" i="2" s="1"/>
  <c r="P601" i="2" s="1"/>
  <c r="P602" i="2" s="1"/>
  <c r="P603" i="2" s="1"/>
  <c r="P604" i="2" s="1"/>
  <c r="P605" i="2"/>
  <c r="P606" i="2" s="1"/>
  <c r="P607" i="2" s="1"/>
  <c r="P608" i="2" s="1"/>
  <c r="P609" i="2"/>
  <c r="P610" i="2" s="1"/>
  <c r="P611" i="2" s="1"/>
  <c r="P612" i="2" s="1"/>
  <c r="P613" i="2"/>
  <c r="P614" i="2" s="1"/>
  <c r="P615" i="2" s="1"/>
  <c r="P616" i="2" s="1"/>
  <c r="P617" i="2"/>
  <c r="P618" i="2" s="1"/>
  <c r="P619" i="2" s="1"/>
  <c r="P620" i="2" s="1"/>
  <c r="P621" i="2"/>
  <c r="P622" i="2"/>
  <c r="P623" i="2" s="1"/>
  <c r="P624" i="2" s="1"/>
  <c r="P625" i="2"/>
  <c r="P626" i="2" s="1"/>
  <c r="P627" i="2" s="1"/>
  <c r="P628" i="2" s="1"/>
  <c r="P629" i="2"/>
  <c r="P630" i="2"/>
  <c r="P631" i="2" s="1"/>
  <c r="P632" i="2" s="1"/>
  <c r="P633" i="2"/>
  <c r="P634" i="2" s="1"/>
  <c r="P635" i="2" s="1"/>
  <c r="P636" i="2" s="1"/>
  <c r="P637" i="2"/>
  <c r="P638" i="2" s="1"/>
  <c r="P639" i="2" s="1"/>
  <c r="P640" i="2" s="1"/>
  <c r="P641" i="2"/>
  <c r="P642" i="2" s="1"/>
  <c r="P643" i="2" s="1"/>
  <c r="P644" i="2" s="1"/>
  <c r="P645" i="2"/>
  <c r="P646" i="2" s="1"/>
  <c r="P647" i="2" s="1"/>
  <c r="P648" i="2" s="1"/>
  <c r="P649" i="2"/>
  <c r="P650" i="2" s="1"/>
  <c r="P651" i="2"/>
  <c r="P652" i="2" s="1"/>
  <c r="P653" i="2"/>
  <c r="P654" i="2" s="1"/>
  <c r="P655" i="2" s="1"/>
  <c r="P656" i="2" s="1"/>
  <c r="P657" i="2"/>
  <c r="P658" i="2" s="1"/>
  <c r="P659" i="2" s="1"/>
  <c r="P660" i="2" s="1"/>
  <c r="P661" i="2"/>
  <c r="P662" i="2" s="1"/>
  <c r="P663" i="2" s="1"/>
  <c r="P664" i="2" s="1"/>
  <c r="P665" i="2"/>
  <c r="P666" i="2" s="1"/>
  <c r="P667" i="2"/>
  <c r="P668" i="2" s="1"/>
  <c r="P669" i="2"/>
  <c r="P670" i="2" s="1"/>
  <c r="P671" i="2" s="1"/>
  <c r="P672" i="2" s="1"/>
  <c r="P673" i="2" s="1"/>
  <c r="P674" i="2" s="1"/>
  <c r="P675" i="2" s="1"/>
  <c r="P676" i="2" s="1"/>
  <c r="P677" i="2"/>
  <c r="P678" i="2"/>
  <c r="P679" i="2" s="1"/>
  <c r="P680" i="2" s="1"/>
  <c r="P681" i="2" s="1"/>
  <c r="P682" i="2" s="1"/>
  <c r="P683" i="2" s="1"/>
  <c r="P684" i="2" s="1"/>
  <c r="P685" i="2"/>
  <c r="P686" i="2" s="1"/>
  <c r="P687" i="2" s="1"/>
  <c r="P688" i="2" s="1"/>
  <c r="P689" i="2" s="1"/>
  <c r="P690" i="2" s="1"/>
  <c r="P691" i="2" s="1"/>
  <c r="P692" i="2" s="1"/>
  <c r="P693" i="2"/>
  <c r="P694" i="2"/>
  <c r="P695" i="2" s="1"/>
  <c r="P696" i="2" s="1"/>
  <c r="P697" i="2" s="1"/>
  <c r="P698" i="2" s="1"/>
  <c r="P699" i="2" s="1"/>
  <c r="P700" i="2" s="1"/>
  <c r="P701" i="2"/>
  <c r="P702" i="2" s="1"/>
  <c r="P703" i="2" s="1"/>
  <c r="P704" i="2" s="1"/>
  <c r="P705" i="2" s="1"/>
  <c r="P706" i="2" s="1"/>
  <c r="P707" i="2" s="1"/>
  <c r="P708" i="2" s="1"/>
  <c r="P709" i="2"/>
  <c r="P710" i="2" s="1"/>
  <c r="P711" i="2" s="1"/>
  <c r="P712" i="2" s="1"/>
  <c r="P713" i="2" s="1"/>
  <c r="P714" i="2" s="1"/>
  <c r="P715" i="2" s="1"/>
  <c r="P716" i="2" s="1"/>
  <c r="P717" i="2"/>
  <c r="P718" i="2"/>
  <c r="P719" i="2" s="1"/>
  <c r="P720" i="2" s="1"/>
  <c r="P721" i="2" s="1"/>
  <c r="P722" i="2" s="1"/>
  <c r="P723" i="2" s="1"/>
  <c r="P724" i="2" s="1"/>
  <c r="P725" i="2"/>
  <c r="P726" i="2"/>
  <c r="P727" i="2" s="1"/>
  <c r="P728" i="2" s="1"/>
  <c r="P729" i="2" s="1"/>
  <c r="P730" i="2" s="1"/>
  <c r="P731" i="2" s="1"/>
  <c r="P732" i="2" s="1"/>
  <c r="P733" i="2"/>
  <c r="P734" i="2" s="1"/>
  <c r="P735" i="2" s="1"/>
  <c r="P736" i="2" s="1"/>
  <c r="P737" i="2" s="1"/>
  <c r="P738" i="2" s="1"/>
  <c r="P739" i="2" s="1"/>
  <c r="P740" i="2" s="1"/>
  <c r="P741" i="2"/>
  <c r="P742" i="2" s="1"/>
  <c r="P743" i="2" s="1"/>
  <c r="P744" i="2" s="1"/>
  <c r="P745" i="2" s="1"/>
  <c r="P746" i="2" s="1"/>
  <c r="P747" i="2" s="1"/>
  <c r="P748" i="2" s="1"/>
  <c r="P749" i="2"/>
  <c r="P750" i="2"/>
  <c r="P751" i="2" s="1"/>
  <c r="P752" i="2" s="1"/>
  <c r="P753" i="2" s="1"/>
  <c r="P754" i="2" s="1"/>
  <c r="P755" i="2" s="1"/>
  <c r="P756" i="2" s="1"/>
  <c r="P757" i="2"/>
  <c r="P758" i="2"/>
  <c r="P759" i="2" s="1"/>
  <c r="P760" i="2" s="1"/>
  <c r="P761" i="2" s="1"/>
  <c r="P762" i="2" s="1"/>
  <c r="P763" i="2" s="1"/>
  <c r="P764" i="2" s="1"/>
  <c r="P765" i="2"/>
  <c r="P766" i="2" s="1"/>
  <c r="P767" i="2" s="1"/>
  <c r="P768" i="2" s="1"/>
  <c r="P769" i="2" s="1"/>
  <c r="P770" i="2" s="1"/>
  <c r="P771" i="2" s="1"/>
  <c r="P772" i="2" s="1"/>
  <c r="P773" i="2"/>
  <c r="P774" i="2" s="1"/>
  <c r="P775" i="2" s="1"/>
  <c r="P776" i="2" s="1"/>
  <c r="P777" i="2" s="1"/>
  <c r="P778" i="2" s="1"/>
  <c r="P779" i="2" s="1"/>
  <c r="P780" i="2" s="1"/>
  <c r="P781" i="2"/>
  <c r="P782" i="2"/>
  <c r="P783" i="2" s="1"/>
  <c r="P784" i="2" s="1"/>
  <c r="P785" i="2" s="1"/>
  <c r="P786" i="2" s="1"/>
  <c r="P787" i="2" s="1"/>
  <c r="P788" i="2" s="1"/>
  <c r="P789" i="2"/>
  <c r="P790" i="2" s="1"/>
  <c r="P791" i="2" s="1"/>
  <c r="P792" i="2" s="1"/>
  <c r="P793" i="2" s="1"/>
  <c r="P794" i="2" s="1"/>
  <c r="P795" i="2" s="1"/>
  <c r="P796" i="2" s="1"/>
  <c r="P797" i="2"/>
  <c r="P798" i="2" s="1"/>
  <c r="P799" i="2" s="1"/>
  <c r="P800" i="2" s="1"/>
  <c r="P801" i="2"/>
  <c r="P802" i="2" s="1"/>
  <c r="P803" i="2" s="1"/>
  <c r="P804" i="2" s="1"/>
  <c r="P805" i="2"/>
  <c r="P806" i="2"/>
  <c r="P807" i="2" s="1"/>
  <c r="P808" i="2" s="1"/>
  <c r="P809" i="2"/>
  <c r="P810" i="2" s="1"/>
  <c r="P811" i="2" s="1"/>
  <c r="P812" i="2" s="1"/>
  <c r="P813" i="2"/>
  <c r="P814" i="2" s="1"/>
  <c r="P815" i="2" s="1"/>
  <c r="P816" i="2" s="1"/>
  <c r="P817" i="2"/>
  <c r="P818" i="2"/>
  <c r="P819" i="2" s="1"/>
  <c r="P820" i="2" s="1"/>
  <c r="P821" i="2"/>
  <c r="P822" i="2" s="1"/>
  <c r="P823" i="2" s="1"/>
  <c r="P824" i="2" s="1"/>
  <c r="P825" i="2"/>
  <c r="P826" i="2" s="1"/>
  <c r="P827" i="2" s="1"/>
  <c r="P828" i="2" s="1"/>
  <c r="P829" i="2"/>
  <c r="P830" i="2" s="1"/>
  <c r="P831" i="2" s="1"/>
  <c r="P832" i="2" s="1"/>
  <c r="P833" i="2"/>
  <c r="P834" i="2"/>
  <c r="P835" i="2" s="1"/>
  <c r="P836" i="2" s="1"/>
  <c r="P837" i="2"/>
  <c r="P838" i="2" s="1"/>
  <c r="P839" i="2" s="1"/>
  <c r="P840" i="2" s="1"/>
  <c r="P841" i="2"/>
  <c r="P842" i="2" s="1"/>
  <c r="P843" i="2" s="1"/>
  <c r="P844" i="2" s="1"/>
  <c r="P845" i="2"/>
  <c r="P846" i="2" s="1"/>
  <c r="P847" i="2" s="1"/>
  <c r="P848" i="2" s="1"/>
  <c r="P849" i="2" s="1"/>
  <c r="P850" i="2" s="1"/>
  <c r="P851" i="2" s="1"/>
  <c r="P852" i="2" s="1"/>
  <c r="P853" i="2"/>
  <c r="P854" i="2" s="1"/>
  <c r="P855" i="2" s="1"/>
  <c r="P856" i="2" s="1"/>
  <c r="P857" i="2" s="1"/>
  <c r="P858" i="2" s="1"/>
  <c r="P859" i="2" s="1"/>
  <c r="P860" i="2" s="1"/>
  <c r="P861" i="2"/>
  <c r="P862" i="2" s="1"/>
  <c r="P863" i="2" s="1"/>
  <c r="P864" i="2" s="1"/>
  <c r="P865" i="2" s="1"/>
  <c r="P866" i="2" s="1"/>
  <c r="P867" i="2" s="1"/>
  <c r="P868" i="2" s="1"/>
  <c r="P869" i="2"/>
  <c r="P870" i="2" s="1"/>
  <c r="P871" i="2" s="1"/>
  <c r="P872" i="2" s="1"/>
  <c r="P873" i="2" s="1"/>
  <c r="P874" i="2" s="1"/>
  <c r="P875" i="2" s="1"/>
  <c r="P876" i="2" s="1"/>
  <c r="P877" i="2"/>
  <c r="P878" i="2" s="1"/>
  <c r="P879" i="2" s="1"/>
  <c r="P880" i="2" s="1"/>
  <c r="P881" i="2" s="1"/>
  <c r="P882" i="2" s="1"/>
  <c r="P883" i="2" s="1"/>
  <c r="P884" i="2" s="1"/>
  <c r="P885" i="2"/>
  <c r="P886" i="2" s="1"/>
  <c r="P887" i="2" s="1"/>
  <c r="P888" i="2" s="1"/>
  <c r="P889" i="2" s="1"/>
  <c r="P890" i="2" s="1"/>
  <c r="P891" i="2" s="1"/>
  <c r="P892" i="2" s="1"/>
  <c r="P893" i="2"/>
  <c r="P894" i="2" s="1"/>
  <c r="P895" i="2" s="1"/>
  <c r="P896" i="2" s="1"/>
  <c r="P897" i="2" s="1"/>
  <c r="P898" i="2" s="1"/>
  <c r="P899" i="2" s="1"/>
  <c r="P900" i="2" s="1"/>
  <c r="P901" i="2"/>
  <c r="P902" i="2" s="1"/>
  <c r="P903" i="2" s="1"/>
  <c r="P904" i="2" s="1"/>
  <c r="P905" i="2" s="1"/>
  <c r="P906" i="2" s="1"/>
  <c r="P907" i="2" s="1"/>
  <c r="P908" i="2" s="1"/>
  <c r="P909" i="2"/>
  <c r="P910" i="2" s="1"/>
  <c r="P911" i="2" s="1"/>
  <c r="P912" i="2" s="1"/>
  <c r="P913" i="2" s="1"/>
  <c r="P914" i="2" s="1"/>
  <c r="P915" i="2" s="1"/>
  <c r="P916" i="2" s="1"/>
  <c r="P917" i="2"/>
  <c r="P918" i="2" s="1"/>
  <c r="P919" i="2" s="1"/>
  <c r="P920" i="2" s="1"/>
  <c r="P921" i="2" s="1"/>
  <c r="P922" i="2" s="1"/>
  <c r="P923" i="2" s="1"/>
  <c r="P924" i="2" s="1"/>
  <c r="P925" i="2"/>
  <c r="P926" i="2" s="1"/>
  <c r="P927" i="2" s="1"/>
  <c r="P928" i="2" s="1"/>
  <c r="P929" i="2" s="1"/>
  <c r="P930" i="2" s="1"/>
  <c r="P931" i="2" s="1"/>
  <c r="P932" i="2" s="1"/>
  <c r="P933" i="2"/>
  <c r="P934" i="2" s="1"/>
  <c r="P935" i="2" s="1"/>
  <c r="P936" i="2" s="1"/>
  <c r="P937" i="2" s="1"/>
  <c r="P938" i="2" s="1"/>
  <c r="P939" i="2" s="1"/>
  <c r="P940" i="2" s="1"/>
  <c r="P941" i="2"/>
  <c r="P942" i="2" s="1"/>
  <c r="P943" i="2" s="1"/>
  <c r="P944" i="2" s="1"/>
  <c r="P945" i="2" s="1"/>
  <c r="P946" i="2" s="1"/>
  <c r="P947" i="2" s="1"/>
  <c r="P948" i="2" s="1"/>
  <c r="P949" i="2"/>
  <c r="P950" i="2" s="1"/>
  <c r="P951" i="2" s="1"/>
  <c r="P952" i="2" s="1"/>
  <c r="P953" i="2" s="1"/>
  <c r="P954" i="2" s="1"/>
  <c r="P955" i="2" s="1"/>
  <c r="P956" i="2" s="1"/>
  <c r="P957" i="2"/>
  <c r="P958" i="2" s="1"/>
  <c r="P959" i="2" s="1"/>
  <c r="P960" i="2" s="1"/>
  <c r="P961" i="2" s="1"/>
  <c r="P962" i="2" s="1"/>
  <c r="P963" i="2" s="1"/>
  <c r="P964" i="2" s="1"/>
  <c r="P965" i="2"/>
  <c r="P966" i="2" s="1"/>
  <c r="P967" i="2" s="1"/>
  <c r="P968" i="2" s="1"/>
  <c r="P969" i="2" s="1"/>
  <c r="P970" i="2" s="1"/>
  <c r="P971" i="2" s="1"/>
  <c r="P972" i="2" s="1"/>
  <c r="P973" i="2"/>
  <c r="P974" i="2" s="1"/>
  <c r="P975" i="2" s="1"/>
  <c r="P976" i="2" s="1"/>
  <c r="P977" i="2"/>
  <c r="P978" i="2" s="1"/>
  <c r="P979" i="2" s="1"/>
  <c r="P980" i="2" s="1"/>
  <c r="P981" i="2"/>
  <c r="P982" i="2" s="1"/>
  <c r="P983" i="2" s="1"/>
  <c r="P984" i="2" s="1"/>
  <c r="P985" i="2"/>
  <c r="P986" i="2" s="1"/>
  <c r="P987" i="2" s="1"/>
  <c r="P988" i="2" s="1"/>
  <c r="P989" i="2"/>
  <c r="P990" i="2" s="1"/>
  <c r="P991" i="2" s="1"/>
  <c r="P992" i="2" s="1"/>
  <c r="P993" i="2"/>
  <c r="P994" i="2"/>
  <c r="P995" i="2" s="1"/>
  <c r="P996" i="2" s="1"/>
  <c r="P997" i="2"/>
  <c r="P998" i="2" s="1"/>
  <c r="P999" i="2" s="1"/>
  <c r="P1000" i="2" s="1"/>
  <c r="P1001" i="2"/>
  <c r="P1002" i="2"/>
  <c r="P1003" i="2" s="1"/>
  <c r="P1004" i="2" s="1"/>
  <c r="P1005" i="2"/>
  <c r="P1006" i="2" s="1"/>
  <c r="P1007" i="2" s="1"/>
  <c r="P1008" i="2" s="1"/>
  <c r="P1009" i="2"/>
  <c r="P1010" i="2"/>
  <c r="P1011" i="2" s="1"/>
  <c r="P1012" i="2" s="1"/>
  <c r="P1013" i="2"/>
  <c r="P1014" i="2" s="1"/>
  <c r="P1015" i="2" s="1"/>
  <c r="P1016" i="2" s="1"/>
  <c r="P1017" i="2"/>
  <c r="P1018" i="2" s="1"/>
  <c r="P1019" i="2" s="1"/>
  <c r="P1020" i="2" s="1"/>
  <c r="P1021" i="2"/>
  <c r="P1022" i="2" s="1"/>
  <c r="P1023" i="2" s="1"/>
  <c r="P1024" i="2" s="1"/>
  <c r="P1025" i="2"/>
  <c r="P1026" i="2"/>
  <c r="P1027" i="2" s="1"/>
  <c r="P1028" i="2" s="1"/>
  <c r="P1029" i="2"/>
  <c r="P1030" i="2" s="1"/>
  <c r="P1031" i="2" s="1"/>
  <c r="P1032" i="2" s="1"/>
  <c r="P1033" i="2"/>
  <c r="P1034" i="2" s="1"/>
  <c r="P1035" i="2" s="1"/>
  <c r="P1036" i="2" s="1"/>
  <c r="P1037" i="2"/>
  <c r="P1038" i="2" s="1"/>
  <c r="P1039" i="2" s="1"/>
  <c r="P1040" i="2" s="1"/>
  <c r="P1041" i="2"/>
  <c r="P1042" i="2" s="1"/>
  <c r="P1043" i="2" s="1"/>
  <c r="P1044" i="2" s="1"/>
  <c r="P1045" i="2"/>
  <c r="P1046" i="2" s="1"/>
  <c r="P1047" i="2" s="1"/>
  <c r="P1048" i="2" s="1"/>
  <c r="P1049" i="2"/>
  <c r="P1050" i="2" s="1"/>
  <c r="P1051" i="2" s="1"/>
  <c r="P1052" i="2" s="1"/>
  <c r="P1053" i="2"/>
  <c r="P1054" i="2" s="1"/>
  <c r="P1055" i="2" s="1"/>
  <c r="P1056" i="2" s="1"/>
  <c r="P1057" i="2"/>
  <c r="P1058" i="2"/>
  <c r="P1059" i="2" s="1"/>
  <c r="P1060" i="2" s="1"/>
  <c r="P1061" i="2"/>
  <c r="P1062" i="2" s="1"/>
  <c r="P1063" i="2" s="1"/>
  <c r="P1064" i="2" s="1"/>
  <c r="P1065" i="2"/>
  <c r="P1066" i="2"/>
  <c r="P1067" i="2" s="1"/>
  <c r="P1068" i="2" s="1"/>
  <c r="P1069" i="2"/>
  <c r="P1070" i="2" s="1"/>
  <c r="P1071" i="2" s="1"/>
  <c r="P1072" i="2" s="1"/>
  <c r="P1073" i="2"/>
  <c r="P1074" i="2"/>
  <c r="P1075" i="2" s="1"/>
  <c r="P1076" i="2" s="1"/>
  <c r="P1077" i="2"/>
  <c r="P1078" i="2" s="1"/>
  <c r="P1079" i="2" s="1"/>
  <c r="P1080" i="2" s="1"/>
  <c r="P1081" i="2"/>
  <c r="P1082" i="2" s="1"/>
  <c r="P1083" i="2" s="1"/>
  <c r="P1084" i="2" s="1"/>
  <c r="P1085" i="2"/>
  <c r="P1086" i="2"/>
  <c r="P1087" i="2" s="1"/>
  <c r="P1088" i="2" s="1"/>
  <c r="P1089" i="2"/>
  <c r="P1090" i="2" s="1"/>
  <c r="P1091" i="2" s="1"/>
  <c r="P1092" i="2" s="1"/>
  <c r="P1093" i="2"/>
  <c r="P1094" i="2" s="1"/>
  <c r="P1095" i="2" s="1"/>
  <c r="P1096" i="2" s="1"/>
  <c r="P1097" i="2"/>
  <c r="P1098" i="2" s="1"/>
  <c r="P1099" i="2" s="1"/>
  <c r="P1100" i="2" s="1"/>
  <c r="P1101" i="2"/>
  <c r="P1102" i="2" s="1"/>
  <c r="P1103" i="2" s="1"/>
  <c r="P1104" i="2" s="1"/>
  <c r="P1105" i="2"/>
  <c r="P1106" i="2" s="1"/>
  <c r="P1107" i="2" s="1"/>
  <c r="P1108" i="2" s="1"/>
  <c r="P1109" i="2"/>
  <c r="P1110" i="2" s="1"/>
  <c r="P1111" i="2" s="1"/>
  <c r="P1112" i="2" s="1"/>
  <c r="P1113" i="2"/>
  <c r="P1114" i="2" s="1"/>
  <c r="P1115" i="2" s="1"/>
  <c r="P1116" i="2" s="1"/>
  <c r="P5" i="2"/>
  <c r="P6" i="2" s="1"/>
  <c r="P7" i="2" s="1"/>
  <c r="M8" i="2"/>
  <c r="M9" i="2" s="1"/>
  <c r="M10" i="2" s="1"/>
  <c r="M11" i="2"/>
  <c r="M12" i="2" s="1"/>
  <c r="M13" i="2" s="1"/>
  <c r="M14" i="2"/>
  <c r="M15" i="2" s="1"/>
  <c r="M16" i="2" s="1"/>
  <c r="M17" i="2"/>
  <c r="M18" i="2" s="1"/>
  <c r="M19" i="2" s="1"/>
  <c r="M20" i="2" s="1"/>
  <c r="M21" i="2" s="1"/>
  <c r="M22" i="2" s="1"/>
  <c r="M23" i="2"/>
  <c r="M24" i="2" s="1"/>
  <c r="M25" i="2" s="1"/>
  <c r="M26" i="2" s="1"/>
  <c r="M27" i="2" s="1"/>
  <c r="M28" i="2" s="1"/>
  <c r="M29" i="2"/>
  <c r="M30" i="2" s="1"/>
  <c r="M32" i="2"/>
  <c r="M33" i="2" s="1"/>
  <c r="M34" i="2" s="1"/>
  <c r="M35" i="2"/>
  <c r="M36" i="2" s="1"/>
  <c r="M38" i="2"/>
  <c r="M39" i="2" s="1"/>
  <c r="M40" i="2" s="1"/>
  <c r="M41" i="2"/>
  <c r="M42" i="2" s="1"/>
  <c r="M43" i="2" s="1"/>
  <c r="M44" i="2" s="1"/>
  <c r="M45" i="2" s="1"/>
  <c r="M46" i="2" s="1"/>
  <c r="M47" i="2"/>
  <c r="M48" i="2" s="1"/>
  <c r="M49" i="2" s="1"/>
  <c r="M50" i="2" s="1"/>
  <c r="M51" i="2" s="1"/>
  <c r="M52" i="2" s="1"/>
  <c r="M53" i="2"/>
  <c r="M54" i="2" s="1"/>
  <c r="M55" i="2" s="1"/>
  <c r="M56" i="2"/>
  <c r="M57" i="2" s="1"/>
  <c r="M58" i="2" s="1"/>
  <c r="M59" i="2"/>
  <c r="M60" i="2" s="1"/>
  <c r="M61" i="2" s="1"/>
  <c r="M62" i="2"/>
  <c r="M63" i="2" s="1"/>
  <c r="M64" i="2" s="1"/>
  <c r="M65" i="2"/>
  <c r="M66" i="2" s="1"/>
  <c r="M67" i="2" s="1"/>
  <c r="M68" i="2" s="1"/>
  <c r="M69" i="2" s="1"/>
  <c r="M70" i="2" s="1"/>
  <c r="M71" i="2"/>
  <c r="M72" i="2" s="1"/>
  <c r="M73" i="2" s="1"/>
  <c r="M74" i="2" s="1"/>
  <c r="M75" i="2" s="1"/>
  <c r="M76" i="2" s="1"/>
  <c r="M77" i="2"/>
  <c r="M78" i="2" s="1"/>
  <c r="M79" i="2" s="1"/>
  <c r="M80" i="2" s="1"/>
  <c r="M81" i="2"/>
  <c r="M82" i="2" s="1"/>
  <c r="M83" i="2" s="1"/>
  <c r="M84" i="2" s="1"/>
  <c r="M85" i="2"/>
  <c r="M86" i="2" s="1"/>
  <c r="M87" i="2" s="1"/>
  <c r="M88" i="2" s="1"/>
  <c r="M89" i="2"/>
  <c r="M90" i="2" s="1"/>
  <c r="M91" i="2" s="1"/>
  <c r="M92" i="2" s="1"/>
  <c r="M93" i="2"/>
  <c r="M94" i="2" s="1"/>
  <c r="M95" i="2" s="1"/>
  <c r="M96" i="2" s="1"/>
  <c r="M97" i="2"/>
  <c r="M98" i="2" s="1"/>
  <c r="M99" i="2" s="1"/>
  <c r="M100" i="2" s="1"/>
  <c r="M101" i="2"/>
  <c r="M102" i="2" s="1"/>
  <c r="M103" i="2" s="1"/>
  <c r="M104" i="2" s="1"/>
  <c r="M105" i="2"/>
  <c r="M106" i="2" s="1"/>
  <c r="M107" i="2" s="1"/>
  <c r="M108" i="2" s="1"/>
  <c r="M109" i="2"/>
  <c r="O109" i="2" s="1"/>
  <c r="M113" i="2"/>
  <c r="M114" i="2" s="1"/>
  <c r="M115" i="2" s="1"/>
  <c r="M116" i="2" s="1"/>
  <c r="M117" i="2"/>
  <c r="M118" i="2" s="1"/>
  <c r="M119" i="2" s="1"/>
  <c r="M120" i="2" s="1"/>
  <c r="M121" i="2"/>
  <c r="M122" i="2" s="1"/>
  <c r="M123" i="2" s="1"/>
  <c r="M124" i="2" s="1"/>
  <c r="M125" i="2"/>
  <c r="M126" i="2" s="1"/>
  <c r="M127" i="2" s="1"/>
  <c r="M128" i="2" s="1"/>
  <c r="M129" i="2"/>
  <c r="M130" i="2" s="1"/>
  <c r="M131" i="2" s="1"/>
  <c r="M132" i="2" s="1"/>
  <c r="M133" i="2"/>
  <c r="M134" i="2" s="1"/>
  <c r="M137" i="2"/>
  <c r="M138" i="2" s="1"/>
  <c r="M139" i="2" s="1"/>
  <c r="M140" i="2" s="1"/>
  <c r="M141" i="2"/>
  <c r="M142" i="2" s="1"/>
  <c r="M143" i="2" s="1"/>
  <c r="M144" i="2" s="1"/>
  <c r="M145" i="2"/>
  <c r="M146" i="2" s="1"/>
  <c r="M147" i="2" s="1"/>
  <c r="M148" i="2" s="1"/>
  <c r="M149" i="2"/>
  <c r="M150" i="2" s="1"/>
  <c r="M151" i="2" s="1"/>
  <c r="M152" i="2" s="1"/>
  <c r="M153" i="2"/>
  <c r="M154" i="2" s="1"/>
  <c r="M155" i="2" s="1"/>
  <c r="M156" i="2" s="1"/>
  <c r="M157" i="2"/>
  <c r="M158" i="2" s="1"/>
  <c r="M161" i="2"/>
  <c r="M162" i="2" s="1"/>
  <c r="M163" i="2" s="1"/>
  <c r="M164" i="2" s="1"/>
  <c r="M165" i="2"/>
  <c r="M166" i="2" s="1"/>
  <c r="M169" i="2"/>
  <c r="M170" i="2" s="1"/>
  <c r="M171" i="2" s="1"/>
  <c r="M172" i="2" s="1"/>
  <c r="M173" i="2"/>
  <c r="M174" i="2"/>
  <c r="M175" i="2" s="1"/>
  <c r="M176" i="2" s="1"/>
  <c r="M177" i="2" s="1"/>
  <c r="M178" i="2" s="1"/>
  <c r="M179" i="2" s="1"/>
  <c r="M180" i="2" s="1"/>
  <c r="M181" i="2"/>
  <c r="O181" i="2" s="1"/>
  <c r="M189" i="2"/>
  <c r="M190" i="2" s="1"/>
  <c r="M197" i="2"/>
  <c r="M198" i="2" s="1"/>
  <c r="M199" i="2" s="1"/>
  <c r="M200" i="2" s="1"/>
  <c r="M201" i="2" s="1"/>
  <c r="M202" i="2" s="1"/>
  <c r="M203" i="2" s="1"/>
  <c r="M204" i="2" s="1"/>
  <c r="M205" i="2"/>
  <c r="M206" i="2" s="1"/>
  <c r="M207" i="2" s="1"/>
  <c r="M208" i="2" s="1"/>
  <c r="M209" i="2" s="1"/>
  <c r="M210" i="2" s="1"/>
  <c r="M211" i="2" s="1"/>
  <c r="M212" i="2" s="1"/>
  <c r="M213" i="2"/>
  <c r="M214" i="2" s="1"/>
  <c r="M215" i="2" s="1"/>
  <c r="M216" i="2" s="1"/>
  <c r="M217" i="2" s="1"/>
  <c r="M218" i="2" s="1"/>
  <c r="M219" i="2" s="1"/>
  <c r="M220" i="2" s="1"/>
  <c r="M221" i="2"/>
  <c r="M222" i="2" s="1"/>
  <c r="M223" i="2" s="1"/>
  <c r="M224" i="2" s="1"/>
  <c r="M225" i="2" s="1"/>
  <c r="M226" i="2" s="1"/>
  <c r="M227" i="2" s="1"/>
  <c r="M228" i="2" s="1"/>
  <c r="M229" i="2"/>
  <c r="M230" i="2" s="1"/>
  <c r="M231" i="2" s="1"/>
  <c r="M232" i="2" s="1"/>
  <c r="M233" i="2" s="1"/>
  <c r="M234" i="2" s="1"/>
  <c r="M235" i="2" s="1"/>
  <c r="M236" i="2" s="1"/>
  <c r="M237" i="2"/>
  <c r="M238" i="2" s="1"/>
  <c r="M239" i="2" s="1"/>
  <c r="M240" i="2" s="1"/>
  <c r="M241" i="2" s="1"/>
  <c r="M242" i="2" s="1"/>
  <c r="M243" i="2" s="1"/>
  <c r="M244" i="2" s="1"/>
  <c r="M245" i="2"/>
  <c r="O245" i="2" s="1"/>
  <c r="M253" i="2"/>
  <c r="M254" i="2" s="1"/>
  <c r="M255" i="2" s="1"/>
  <c r="M256" i="2" s="1"/>
  <c r="M257" i="2" s="1"/>
  <c r="M258" i="2" s="1"/>
  <c r="M259" i="2" s="1"/>
  <c r="M260" i="2" s="1"/>
  <c r="M261" i="2"/>
  <c r="M262" i="2" s="1"/>
  <c r="M263" i="2" s="1"/>
  <c r="M264" i="2" s="1"/>
  <c r="M265" i="2" s="1"/>
  <c r="M266" i="2" s="1"/>
  <c r="M267" i="2" s="1"/>
  <c r="M268" i="2" s="1"/>
  <c r="M269" i="2"/>
  <c r="M270" i="2" s="1"/>
  <c r="M277" i="2"/>
  <c r="M278" i="2" s="1"/>
  <c r="M279" i="2" s="1"/>
  <c r="M280" i="2" s="1"/>
  <c r="M281" i="2" s="1"/>
  <c r="M282" i="2" s="1"/>
  <c r="M283" i="2" s="1"/>
  <c r="M284" i="2" s="1"/>
  <c r="M285" i="2"/>
  <c r="M286" i="2" s="1"/>
  <c r="M287" i="2" s="1"/>
  <c r="M288" i="2" s="1"/>
  <c r="M289" i="2" s="1"/>
  <c r="M290" i="2" s="1"/>
  <c r="M291" i="2" s="1"/>
  <c r="M292" i="2" s="1"/>
  <c r="M293" i="2"/>
  <c r="M294" i="2" s="1"/>
  <c r="M295" i="2" s="1"/>
  <c r="M296" i="2" s="1"/>
  <c r="M297" i="2" s="1"/>
  <c r="M298" i="2" s="1"/>
  <c r="M299" i="2" s="1"/>
  <c r="M300" i="2" s="1"/>
  <c r="M301" i="2"/>
  <c r="M302" i="2" s="1"/>
  <c r="M303" i="2" s="1"/>
  <c r="M304" i="2" s="1"/>
  <c r="M305" i="2" s="1"/>
  <c r="M306" i="2" s="1"/>
  <c r="M307" i="2" s="1"/>
  <c r="M308" i="2" s="1"/>
  <c r="M309" i="2"/>
  <c r="O309" i="2" s="1"/>
  <c r="M317" i="2"/>
  <c r="M318" i="2" s="1"/>
  <c r="M319" i="2" s="1"/>
  <c r="M320" i="2" s="1"/>
  <c r="M321" i="2" s="1"/>
  <c r="M322" i="2" s="1"/>
  <c r="M323" i="2" s="1"/>
  <c r="M324" i="2" s="1"/>
  <c r="M325" i="2"/>
  <c r="M326" i="2" s="1"/>
  <c r="M327" i="2" s="1"/>
  <c r="M328" i="2" s="1"/>
  <c r="M329" i="2" s="1"/>
  <c r="M330" i="2" s="1"/>
  <c r="M331" i="2" s="1"/>
  <c r="M332" i="2" s="1"/>
  <c r="M333" i="2"/>
  <c r="M334" i="2" s="1"/>
  <c r="M335" i="2" s="1"/>
  <c r="M336" i="2" s="1"/>
  <c r="M337" i="2" s="1"/>
  <c r="M338" i="2" s="1"/>
  <c r="M339" i="2" s="1"/>
  <c r="M340" i="2" s="1"/>
  <c r="M341" i="2"/>
  <c r="M342" i="2" s="1"/>
  <c r="M343" i="2" s="1"/>
  <c r="M344" i="2" s="1"/>
  <c r="M345" i="2" s="1"/>
  <c r="M346" i="2" s="1"/>
  <c r="M347" i="2" s="1"/>
  <c r="M348" i="2" s="1"/>
  <c r="M349" i="2"/>
  <c r="M350" i="2" s="1"/>
  <c r="M351" i="2" s="1"/>
  <c r="M352" i="2" s="1"/>
  <c r="M353" i="2" s="1"/>
  <c r="M354" i="2" s="1"/>
  <c r="M355" i="2" s="1"/>
  <c r="M356" i="2" s="1"/>
  <c r="M357" i="2"/>
  <c r="M358" i="2" s="1"/>
  <c r="M359" i="2" s="1"/>
  <c r="M360" i="2" s="1"/>
  <c r="M361" i="2" s="1"/>
  <c r="M362" i="2" s="1"/>
  <c r="M363" i="2" s="1"/>
  <c r="M364" i="2" s="1"/>
  <c r="M365" i="2"/>
  <c r="O365" i="2" s="1"/>
  <c r="M373" i="2"/>
  <c r="O373" i="2" s="1"/>
  <c r="M381" i="2"/>
  <c r="M382" i="2" s="1"/>
  <c r="M389" i="2"/>
  <c r="M390" i="2" s="1"/>
  <c r="M391" i="2" s="1"/>
  <c r="M392" i="2" s="1"/>
  <c r="M393" i="2" s="1"/>
  <c r="M394" i="2" s="1"/>
  <c r="M395" i="2" s="1"/>
  <c r="M396" i="2" s="1"/>
  <c r="M397" i="2"/>
  <c r="M398" i="2" s="1"/>
  <c r="M399" i="2" s="1"/>
  <c r="M400" i="2" s="1"/>
  <c r="M401" i="2" s="1"/>
  <c r="M402" i="2" s="1"/>
  <c r="M403" i="2" s="1"/>
  <c r="M404" i="2" s="1"/>
  <c r="M405" i="2"/>
  <c r="M406" i="2" s="1"/>
  <c r="M407" i="2" s="1"/>
  <c r="M408" i="2" s="1"/>
  <c r="M409" i="2" s="1"/>
  <c r="M410" i="2" s="1"/>
  <c r="M411" i="2" s="1"/>
  <c r="M412" i="2" s="1"/>
  <c r="M413" i="2"/>
  <c r="M414" i="2" s="1"/>
  <c r="M415" i="2" s="1"/>
  <c r="M416" i="2" s="1"/>
  <c r="M417" i="2" s="1"/>
  <c r="M418" i="2" s="1"/>
  <c r="M419" i="2" s="1"/>
  <c r="M420" i="2" s="1"/>
  <c r="M421" i="2"/>
  <c r="M422" i="2" s="1"/>
  <c r="M423" i="2" s="1"/>
  <c r="M424" i="2" s="1"/>
  <c r="M425" i="2" s="1"/>
  <c r="M426" i="2" s="1"/>
  <c r="M427" i="2" s="1"/>
  <c r="M428" i="2" s="1"/>
  <c r="M429" i="2"/>
  <c r="M430" i="2" s="1"/>
  <c r="M431" i="2" s="1"/>
  <c r="M432" i="2" s="1"/>
  <c r="M433" i="2"/>
  <c r="M434" i="2" s="1"/>
  <c r="M435" i="2" s="1"/>
  <c r="M436" i="2" s="1"/>
  <c r="M437" i="2"/>
  <c r="M438" i="2" s="1"/>
  <c r="M439" i="2" s="1"/>
  <c r="M440" i="2" s="1"/>
  <c r="M441" i="2"/>
  <c r="M442" i="2" s="1"/>
  <c r="M443" i="2" s="1"/>
  <c r="M444" i="2" s="1"/>
  <c r="M445" i="2"/>
  <c r="M446" i="2" s="1"/>
  <c r="M447" i="2" s="1"/>
  <c r="M448" i="2" s="1"/>
  <c r="M449" i="2"/>
  <c r="M450" i="2" s="1"/>
  <c r="M451" i="2" s="1"/>
  <c r="M452" i="2" s="1"/>
  <c r="M453" i="2"/>
  <c r="M454" i="2" s="1"/>
  <c r="M455" i="2" s="1"/>
  <c r="M456" i="2" s="1"/>
  <c r="M457" i="2"/>
  <c r="M458" i="2" s="1"/>
  <c r="M459" i="2" s="1"/>
  <c r="M460" i="2" s="1"/>
  <c r="M461" i="2"/>
  <c r="M462" i="2" s="1"/>
  <c r="M463" i="2" s="1"/>
  <c r="M464" i="2" s="1"/>
  <c r="M465" i="2"/>
  <c r="M466" i="2" s="1"/>
  <c r="M467" i="2" s="1"/>
  <c r="M468" i="2" s="1"/>
  <c r="M469" i="2"/>
  <c r="M470" i="2" s="1"/>
  <c r="M471" i="2" s="1"/>
  <c r="M472" i="2" s="1"/>
  <c r="M473" i="2"/>
  <c r="M474" i="2" s="1"/>
  <c r="M475" i="2" s="1"/>
  <c r="M476" i="2" s="1"/>
  <c r="M477" i="2"/>
  <c r="M478" i="2" s="1"/>
  <c r="M479" i="2" s="1"/>
  <c r="M480" i="2" s="1"/>
  <c r="M481" i="2" s="1"/>
  <c r="M482" i="2" s="1"/>
  <c r="M483" i="2" s="1"/>
  <c r="M484" i="2" s="1"/>
  <c r="M485" i="2"/>
  <c r="M486" i="2" s="1"/>
  <c r="M493" i="2"/>
  <c r="M494" i="2" s="1"/>
  <c r="M495" i="2" s="1"/>
  <c r="M496" i="2" s="1"/>
  <c r="M497" i="2" s="1"/>
  <c r="M498" i="2" s="1"/>
  <c r="M499" i="2" s="1"/>
  <c r="M500" i="2" s="1"/>
  <c r="M501" i="2"/>
  <c r="M502" i="2" s="1"/>
  <c r="M509" i="2"/>
  <c r="M510" i="2" s="1"/>
  <c r="M511" i="2" s="1"/>
  <c r="M512" i="2" s="1"/>
  <c r="M513" i="2" s="1"/>
  <c r="M514" i="2" s="1"/>
  <c r="M515" i="2" s="1"/>
  <c r="M516" i="2" s="1"/>
  <c r="M517" i="2"/>
  <c r="M518" i="2" s="1"/>
  <c r="M519" i="2" s="1"/>
  <c r="M520" i="2" s="1"/>
  <c r="M521" i="2" s="1"/>
  <c r="M522" i="2" s="1"/>
  <c r="M523" i="2" s="1"/>
  <c r="M524" i="2" s="1"/>
  <c r="M525" i="2"/>
  <c r="M526" i="2" s="1"/>
  <c r="M527" i="2" s="1"/>
  <c r="M528" i="2" s="1"/>
  <c r="M529" i="2" s="1"/>
  <c r="M530" i="2" s="1"/>
  <c r="M531" i="2" s="1"/>
  <c r="M532" i="2" s="1"/>
  <c r="M533" i="2"/>
  <c r="M534" i="2" s="1"/>
  <c r="M541" i="2"/>
  <c r="M542" i="2" s="1"/>
  <c r="M543" i="2" s="1"/>
  <c r="M544" i="2" s="1"/>
  <c r="M545" i="2" s="1"/>
  <c r="M546" i="2" s="1"/>
  <c r="M547" i="2" s="1"/>
  <c r="M548" i="2" s="1"/>
  <c r="M549" i="2"/>
  <c r="M550" i="2" s="1"/>
  <c r="M557" i="2"/>
  <c r="M558" i="2" s="1"/>
  <c r="M559" i="2" s="1"/>
  <c r="M560" i="2" s="1"/>
  <c r="M561" i="2" s="1"/>
  <c r="M562" i="2" s="1"/>
  <c r="M563" i="2" s="1"/>
  <c r="M564" i="2" s="1"/>
  <c r="M565" i="2"/>
  <c r="M566" i="2" s="1"/>
  <c r="M567" i="2" s="1"/>
  <c r="M568" i="2" s="1"/>
  <c r="M569" i="2" s="1"/>
  <c r="M570" i="2" s="1"/>
  <c r="M571" i="2" s="1"/>
  <c r="M572" i="2" s="1"/>
  <c r="M573" i="2"/>
  <c r="O573" i="2" s="1"/>
  <c r="M581" i="2"/>
  <c r="M582" i="2" s="1"/>
  <c r="M583" i="2" s="1"/>
  <c r="M584" i="2" s="1"/>
  <c r="M585" i="2" s="1"/>
  <c r="M586" i="2" s="1"/>
  <c r="M587" i="2" s="1"/>
  <c r="M588" i="2" s="1"/>
  <c r="M589" i="2"/>
  <c r="M590" i="2" s="1"/>
  <c r="M591" i="2" s="1"/>
  <c r="M592" i="2" s="1"/>
  <c r="M593" i="2" s="1"/>
  <c r="M594" i="2" s="1"/>
  <c r="M595" i="2" s="1"/>
  <c r="M596" i="2" s="1"/>
  <c r="M597" i="2"/>
  <c r="O597" i="2" s="1"/>
  <c r="M605" i="2"/>
  <c r="M606" i="2" s="1"/>
  <c r="M607" i="2" s="1"/>
  <c r="M608" i="2" s="1"/>
  <c r="M609" i="2"/>
  <c r="M610" i="2" s="1"/>
  <c r="M611" i="2" s="1"/>
  <c r="M612" i="2" s="1"/>
  <c r="M613" i="2"/>
  <c r="O613" i="2" s="1"/>
  <c r="M617" i="2"/>
  <c r="M618" i="2" s="1"/>
  <c r="M619" i="2" s="1"/>
  <c r="M620" i="2" s="1"/>
  <c r="M621" i="2"/>
  <c r="M622" i="2" s="1"/>
  <c r="M623" i="2" s="1"/>
  <c r="M624" i="2" s="1"/>
  <c r="M625" i="2"/>
  <c r="M626" i="2" s="1"/>
  <c r="M627" i="2" s="1"/>
  <c r="M628" i="2" s="1"/>
  <c r="M629" i="2"/>
  <c r="M630" i="2" s="1"/>
  <c r="M631" i="2" s="1"/>
  <c r="M632" i="2" s="1"/>
  <c r="M633" i="2"/>
  <c r="M634" i="2" s="1"/>
  <c r="M635" i="2" s="1"/>
  <c r="M636" i="2" s="1"/>
  <c r="M637" i="2"/>
  <c r="M638" i="2" s="1"/>
  <c r="M639" i="2" s="1"/>
  <c r="M640" i="2" s="1"/>
  <c r="M641" i="2"/>
  <c r="M642" i="2" s="1"/>
  <c r="M643" i="2" s="1"/>
  <c r="M644" i="2" s="1"/>
  <c r="M645" i="2"/>
  <c r="M646" i="2" s="1"/>
  <c r="M647" i="2" s="1"/>
  <c r="M648" i="2" s="1"/>
  <c r="M649" i="2"/>
  <c r="M650" i="2" s="1"/>
  <c r="M651" i="2" s="1"/>
  <c r="M652" i="2" s="1"/>
  <c r="M653" i="2"/>
  <c r="M654" i="2" s="1"/>
  <c r="M657" i="2"/>
  <c r="M658" i="2" s="1"/>
  <c r="M659" i="2" s="1"/>
  <c r="M660" i="2" s="1"/>
  <c r="M661" i="2"/>
  <c r="M662" i="2" s="1"/>
  <c r="M663" i="2" s="1"/>
  <c r="M664" i="2" s="1"/>
  <c r="M665" i="2"/>
  <c r="M666" i="2" s="1"/>
  <c r="M667" i="2" s="1"/>
  <c r="M668" i="2" s="1"/>
  <c r="M669" i="2"/>
  <c r="M670" i="2" s="1"/>
  <c r="M677" i="2"/>
  <c r="M678" i="2" s="1"/>
  <c r="M679" i="2" s="1"/>
  <c r="M680" i="2" s="1"/>
  <c r="M681" i="2" s="1"/>
  <c r="M682" i="2" s="1"/>
  <c r="M683" i="2" s="1"/>
  <c r="M684" i="2" s="1"/>
  <c r="M685" i="2"/>
  <c r="M686" i="2" s="1"/>
  <c r="M687" i="2" s="1"/>
  <c r="M688" i="2" s="1"/>
  <c r="M689" i="2" s="1"/>
  <c r="M690" i="2" s="1"/>
  <c r="M691" i="2" s="1"/>
  <c r="M692" i="2" s="1"/>
  <c r="M693" i="2"/>
  <c r="O693" i="2" s="1"/>
  <c r="M701" i="2"/>
  <c r="M702" i="2" s="1"/>
  <c r="M703" i="2" s="1"/>
  <c r="M704" i="2" s="1"/>
  <c r="M705" i="2" s="1"/>
  <c r="M706" i="2" s="1"/>
  <c r="M707" i="2" s="1"/>
  <c r="M708" i="2" s="1"/>
  <c r="M709" i="2"/>
  <c r="M710" i="2" s="1"/>
  <c r="M711" i="2" s="1"/>
  <c r="M712" i="2" s="1"/>
  <c r="M713" i="2" s="1"/>
  <c r="M714" i="2" s="1"/>
  <c r="M715" i="2" s="1"/>
  <c r="M716" i="2" s="1"/>
  <c r="M717" i="2"/>
  <c r="M718" i="2" s="1"/>
  <c r="M719" i="2" s="1"/>
  <c r="M720" i="2" s="1"/>
  <c r="M721" i="2" s="1"/>
  <c r="M722" i="2" s="1"/>
  <c r="M723" i="2" s="1"/>
  <c r="M724" i="2" s="1"/>
  <c r="M725" i="2"/>
  <c r="O725" i="2" s="1"/>
  <c r="M733" i="2"/>
  <c r="M734" i="2" s="1"/>
  <c r="M735" i="2" s="1"/>
  <c r="M736" i="2" s="1"/>
  <c r="M737" i="2" s="1"/>
  <c r="M738" i="2" s="1"/>
  <c r="M739" i="2" s="1"/>
  <c r="M740" i="2" s="1"/>
  <c r="M741" i="2"/>
  <c r="M742" i="2" s="1"/>
  <c r="M743" i="2" s="1"/>
  <c r="M744" i="2" s="1"/>
  <c r="M745" i="2" s="1"/>
  <c r="M746" i="2" s="1"/>
  <c r="M747" i="2" s="1"/>
  <c r="M748" i="2" s="1"/>
  <c r="M749" i="2"/>
  <c r="M750" i="2" s="1"/>
  <c r="M751" i="2" s="1"/>
  <c r="M752" i="2" s="1"/>
  <c r="M753" i="2" s="1"/>
  <c r="M754" i="2" s="1"/>
  <c r="M755" i="2" s="1"/>
  <c r="M756" i="2" s="1"/>
  <c r="M757" i="2"/>
  <c r="O757" i="2" s="1"/>
  <c r="M765" i="2"/>
  <c r="M766" i="2" s="1"/>
  <c r="M767" i="2" s="1"/>
  <c r="M768" i="2" s="1"/>
  <c r="M769" i="2" s="1"/>
  <c r="M770" i="2" s="1"/>
  <c r="M771" i="2" s="1"/>
  <c r="M772" i="2" s="1"/>
  <c r="M773" i="2"/>
  <c r="M774" i="2" s="1"/>
  <c r="M775" i="2" s="1"/>
  <c r="M776" i="2" s="1"/>
  <c r="M777" i="2" s="1"/>
  <c r="M778" i="2" s="1"/>
  <c r="M779" i="2" s="1"/>
  <c r="M780" i="2" s="1"/>
  <c r="M781" i="2"/>
  <c r="M782" i="2" s="1"/>
  <c r="M783" i="2" s="1"/>
  <c r="M784" i="2" s="1"/>
  <c r="M785" i="2" s="1"/>
  <c r="M786" i="2" s="1"/>
  <c r="M787" i="2" s="1"/>
  <c r="M788" i="2" s="1"/>
  <c r="M789" i="2"/>
  <c r="O789" i="2" s="1"/>
  <c r="M797" i="2"/>
  <c r="M798" i="2" s="1"/>
  <c r="M799" i="2" s="1"/>
  <c r="M800" i="2" s="1"/>
  <c r="M801" i="2"/>
  <c r="M802" i="2" s="1"/>
  <c r="M803" i="2" s="1"/>
  <c r="M804" i="2" s="1"/>
  <c r="M805" i="2"/>
  <c r="M806" i="2" s="1"/>
  <c r="M807" i="2" s="1"/>
  <c r="M808" i="2" s="1"/>
  <c r="M809" i="2"/>
  <c r="M810" i="2" s="1"/>
  <c r="M811" i="2" s="1"/>
  <c r="M812" i="2" s="1"/>
  <c r="M813" i="2"/>
  <c r="M814" i="2" s="1"/>
  <c r="M815" i="2" s="1"/>
  <c r="M816" i="2" s="1"/>
  <c r="M817" i="2"/>
  <c r="M818" i="2" s="1"/>
  <c r="M819" i="2" s="1"/>
  <c r="M820" i="2" s="1"/>
  <c r="M821" i="2"/>
  <c r="M822" i="2" s="1"/>
  <c r="M823" i="2" s="1"/>
  <c r="M824" i="2" s="1"/>
  <c r="M825" i="2"/>
  <c r="M826" i="2" s="1"/>
  <c r="M827" i="2" s="1"/>
  <c r="M828" i="2" s="1"/>
  <c r="M829" i="2"/>
  <c r="M830" i="2" s="1"/>
  <c r="M831" i="2" s="1"/>
  <c r="M832" i="2" s="1"/>
  <c r="M833" i="2"/>
  <c r="M834" i="2" s="1"/>
  <c r="M835" i="2" s="1"/>
  <c r="M836" i="2" s="1"/>
  <c r="M837" i="2"/>
  <c r="M838" i="2" s="1"/>
  <c r="M839" i="2" s="1"/>
  <c r="M840" i="2" s="1"/>
  <c r="M841" i="2"/>
  <c r="M842" i="2" s="1"/>
  <c r="M843" i="2" s="1"/>
  <c r="M844" i="2" s="1"/>
  <c r="M845" i="2"/>
  <c r="O845" i="2" s="1"/>
  <c r="M853" i="2"/>
  <c r="M854" i="2" s="1"/>
  <c r="M855" i="2" s="1"/>
  <c r="M856" i="2" s="1"/>
  <c r="M857" i="2" s="1"/>
  <c r="M858" i="2" s="1"/>
  <c r="M859" i="2" s="1"/>
  <c r="M860" i="2" s="1"/>
  <c r="M861" i="2"/>
  <c r="M862" i="2" s="1"/>
  <c r="M863" i="2" s="1"/>
  <c r="M864" i="2" s="1"/>
  <c r="M865" i="2" s="1"/>
  <c r="M866" i="2" s="1"/>
  <c r="M867" i="2" s="1"/>
  <c r="M868" i="2" s="1"/>
  <c r="M869" i="2"/>
  <c r="M870" i="2" s="1"/>
  <c r="M871" i="2" s="1"/>
  <c r="M872" i="2" s="1"/>
  <c r="M873" i="2" s="1"/>
  <c r="M874" i="2" s="1"/>
  <c r="M875" i="2" s="1"/>
  <c r="M876" i="2" s="1"/>
  <c r="M877" i="2"/>
  <c r="M878" i="2" s="1"/>
  <c r="M879" i="2" s="1"/>
  <c r="M880" i="2" s="1"/>
  <c r="M881" i="2" s="1"/>
  <c r="M882" i="2" s="1"/>
  <c r="M883" i="2" s="1"/>
  <c r="M884" i="2" s="1"/>
  <c r="M885" i="2"/>
  <c r="M886" i="2" s="1"/>
  <c r="M887" i="2" s="1"/>
  <c r="M888" i="2" s="1"/>
  <c r="M889" i="2" s="1"/>
  <c r="M890" i="2" s="1"/>
  <c r="M891" i="2" s="1"/>
  <c r="M892" i="2" s="1"/>
  <c r="M893" i="2"/>
  <c r="M894" i="2"/>
  <c r="M895" i="2" s="1"/>
  <c r="M896" i="2" s="1"/>
  <c r="M897" i="2" s="1"/>
  <c r="M898" i="2" s="1"/>
  <c r="M899" i="2" s="1"/>
  <c r="M900" i="2" s="1"/>
  <c r="M901" i="2"/>
  <c r="M902" i="2" s="1"/>
  <c r="M903" i="2" s="1"/>
  <c r="M904" i="2" s="1"/>
  <c r="M905" i="2" s="1"/>
  <c r="M906" i="2" s="1"/>
  <c r="M907" i="2" s="1"/>
  <c r="M908" i="2" s="1"/>
  <c r="M909" i="2"/>
  <c r="O909" i="2" s="1"/>
  <c r="M917" i="2"/>
  <c r="M918" i="2" s="1"/>
  <c r="M919" i="2" s="1"/>
  <c r="M920" i="2" s="1"/>
  <c r="M921" i="2" s="1"/>
  <c r="M922" i="2" s="1"/>
  <c r="M923" i="2" s="1"/>
  <c r="M924" i="2" s="1"/>
  <c r="M925" i="2"/>
  <c r="M926" i="2" s="1"/>
  <c r="M927" i="2" s="1"/>
  <c r="M928" i="2" s="1"/>
  <c r="M929" i="2" s="1"/>
  <c r="M930" i="2" s="1"/>
  <c r="M931" i="2" s="1"/>
  <c r="M932" i="2" s="1"/>
  <c r="M933" i="2"/>
  <c r="M934" i="2" s="1"/>
  <c r="M935" i="2" s="1"/>
  <c r="M936" i="2" s="1"/>
  <c r="M937" i="2" s="1"/>
  <c r="M938" i="2" s="1"/>
  <c r="M939" i="2" s="1"/>
  <c r="M940" i="2" s="1"/>
  <c r="M941" i="2"/>
  <c r="M942" i="2" s="1"/>
  <c r="M943" i="2" s="1"/>
  <c r="M944" i="2" s="1"/>
  <c r="M945" i="2" s="1"/>
  <c r="M946" i="2" s="1"/>
  <c r="M947" i="2" s="1"/>
  <c r="M948" i="2" s="1"/>
  <c r="M949" i="2"/>
  <c r="M950" i="2"/>
  <c r="M951" i="2" s="1"/>
  <c r="M952" i="2" s="1"/>
  <c r="M953" i="2" s="1"/>
  <c r="M954" i="2" s="1"/>
  <c r="M955" i="2" s="1"/>
  <c r="M956" i="2" s="1"/>
  <c r="M957" i="2"/>
  <c r="M958" i="2" s="1"/>
  <c r="M959" i="2" s="1"/>
  <c r="M960" i="2" s="1"/>
  <c r="M961" i="2" s="1"/>
  <c r="M962" i="2" s="1"/>
  <c r="M963" i="2" s="1"/>
  <c r="M964" i="2" s="1"/>
  <c r="M965" i="2"/>
  <c r="M966" i="2"/>
  <c r="M967" i="2" s="1"/>
  <c r="M968" i="2" s="1"/>
  <c r="M969" i="2" s="1"/>
  <c r="M970" i="2" s="1"/>
  <c r="M971" i="2" s="1"/>
  <c r="M972" i="2" s="1"/>
  <c r="M973" i="2"/>
  <c r="O973" i="2" s="1"/>
  <c r="M977" i="2"/>
  <c r="M978" i="2" s="1"/>
  <c r="M979" i="2" s="1"/>
  <c r="M980" i="2" s="1"/>
  <c r="M981" i="2"/>
  <c r="M982" i="2" s="1"/>
  <c r="M983" i="2" s="1"/>
  <c r="M984" i="2" s="1"/>
  <c r="M985" i="2"/>
  <c r="M986" i="2" s="1"/>
  <c r="M987" i="2" s="1"/>
  <c r="M988" i="2" s="1"/>
  <c r="M989" i="2"/>
  <c r="M990" i="2" s="1"/>
  <c r="M991" i="2" s="1"/>
  <c r="M992" i="2" s="1"/>
  <c r="M993" i="2"/>
  <c r="M994" i="2" s="1"/>
  <c r="M995" i="2" s="1"/>
  <c r="M996" i="2" s="1"/>
  <c r="M997" i="2"/>
  <c r="M998" i="2" s="1"/>
  <c r="M999" i="2" s="1"/>
  <c r="M1000" i="2" s="1"/>
  <c r="M1001" i="2"/>
  <c r="M1002" i="2" s="1"/>
  <c r="M1003" i="2" s="1"/>
  <c r="M1004" i="2" s="1"/>
  <c r="M1005" i="2"/>
  <c r="M1006" i="2" s="1"/>
  <c r="M1007" i="2" s="1"/>
  <c r="M1008" i="2" s="1"/>
  <c r="M1009" i="2"/>
  <c r="M1010" i="2" s="1"/>
  <c r="M1011" i="2" s="1"/>
  <c r="M1012" i="2" s="1"/>
  <c r="M1013" i="2"/>
  <c r="O1013" i="2" s="1"/>
  <c r="M1017" i="2"/>
  <c r="M1018" i="2" s="1"/>
  <c r="M1019" i="2" s="1"/>
  <c r="M1020" i="2" s="1"/>
  <c r="M1021" i="2"/>
  <c r="M1022" i="2" s="1"/>
  <c r="M1023" i="2" s="1"/>
  <c r="M1024" i="2" s="1"/>
  <c r="M1025" i="2"/>
  <c r="M1026" i="2" s="1"/>
  <c r="M1027" i="2" s="1"/>
  <c r="M1028" i="2" s="1"/>
  <c r="M1029" i="2"/>
  <c r="M1030" i="2" s="1"/>
  <c r="M1031" i="2" s="1"/>
  <c r="M1032" i="2" s="1"/>
  <c r="M1033" i="2"/>
  <c r="M1034" i="2" s="1"/>
  <c r="M1035" i="2" s="1"/>
  <c r="M1036" i="2" s="1"/>
  <c r="M1037" i="2"/>
  <c r="M1038" i="2" s="1"/>
  <c r="M1039" i="2" s="1"/>
  <c r="M1040" i="2" s="1"/>
  <c r="M1041" i="2"/>
  <c r="M1042" i="2" s="1"/>
  <c r="M1043" i="2" s="1"/>
  <c r="M1044" i="2" s="1"/>
  <c r="M1045" i="2"/>
  <c r="M1046" i="2" s="1"/>
  <c r="M1047" i="2" s="1"/>
  <c r="M1048" i="2" s="1"/>
  <c r="M1049" i="2"/>
  <c r="M1050" i="2" s="1"/>
  <c r="M1051" i="2" s="1"/>
  <c r="M1052" i="2" s="1"/>
  <c r="M1053" i="2"/>
  <c r="M1054" i="2" s="1"/>
  <c r="M1055" i="2" s="1"/>
  <c r="M1056" i="2" s="1"/>
  <c r="M1057" i="2"/>
  <c r="M1058" i="2" s="1"/>
  <c r="M1059" i="2" s="1"/>
  <c r="M1060" i="2" s="1"/>
  <c r="M1061" i="2"/>
  <c r="O1061" i="2" s="1"/>
  <c r="M1065" i="2"/>
  <c r="M1066" i="2" s="1"/>
  <c r="M1067" i="2" s="1"/>
  <c r="M1068" i="2" s="1"/>
  <c r="M1069" i="2"/>
  <c r="M1070" i="2" s="1"/>
  <c r="M1071" i="2" s="1"/>
  <c r="M1072" i="2" s="1"/>
  <c r="M1073" i="2"/>
  <c r="M1074" i="2" s="1"/>
  <c r="M1075" i="2" s="1"/>
  <c r="M1076" i="2" s="1"/>
  <c r="M1077" i="2"/>
  <c r="M1078" i="2" s="1"/>
  <c r="M1079" i="2" s="1"/>
  <c r="M1080" i="2" s="1"/>
  <c r="M1081" i="2"/>
  <c r="M1082" i="2" s="1"/>
  <c r="M1083" i="2" s="1"/>
  <c r="M1084" i="2" s="1"/>
  <c r="M1085" i="2"/>
  <c r="O1085" i="2" s="1"/>
  <c r="M1089" i="2"/>
  <c r="M1090" i="2" s="1"/>
  <c r="M1091" i="2" s="1"/>
  <c r="M1092" i="2" s="1"/>
  <c r="M1093" i="2"/>
  <c r="M1094" i="2" s="1"/>
  <c r="M1095" i="2" s="1"/>
  <c r="M1096" i="2" s="1"/>
  <c r="M1097" i="2"/>
  <c r="M1098" i="2" s="1"/>
  <c r="M1099" i="2" s="1"/>
  <c r="M1100" i="2" s="1"/>
  <c r="M1101" i="2"/>
  <c r="M1102" i="2"/>
  <c r="M1103" i="2" s="1"/>
  <c r="M1104" i="2" s="1"/>
  <c r="M1105" i="2"/>
  <c r="M1106" i="2" s="1"/>
  <c r="M1107" i="2" s="1"/>
  <c r="M1108" i="2" s="1"/>
  <c r="M1109" i="2"/>
  <c r="M1110" i="2" s="1"/>
  <c r="M1111" i="2" s="1"/>
  <c r="M1112" i="2" s="1"/>
  <c r="M1113" i="2"/>
  <c r="M1114" i="2" s="1"/>
  <c r="M1115" i="2" s="1"/>
  <c r="M1116" i="2" s="1"/>
  <c r="M5" i="2"/>
  <c r="O5" i="2" s="1"/>
  <c r="O11" i="2"/>
  <c r="O14" i="2"/>
  <c r="O15" i="2" s="1"/>
  <c r="O17" i="2"/>
  <c r="O23" i="2"/>
  <c r="O32" i="2"/>
  <c r="O47" i="2"/>
  <c r="O53" i="2"/>
  <c r="O56" i="2"/>
  <c r="O62" i="2"/>
  <c r="O65" i="2"/>
  <c r="O77" i="2"/>
  <c r="O85" i="2"/>
  <c r="O89" i="2"/>
  <c r="O97" i="2"/>
  <c r="O105" i="2"/>
  <c r="O113" i="2"/>
  <c r="O117" i="2"/>
  <c r="O121" i="2"/>
  <c r="O137" i="2"/>
  <c r="O141" i="2"/>
  <c r="O149" i="2"/>
  <c r="O161" i="2"/>
  <c r="O169" i="2"/>
  <c r="O173" i="2"/>
  <c r="O197" i="2"/>
  <c r="O205" i="2"/>
  <c r="O221" i="2"/>
  <c r="O237" i="2"/>
  <c r="O253" i="2"/>
  <c r="O269" i="2"/>
  <c r="O285" i="2"/>
  <c r="O293" i="2"/>
  <c r="O317" i="2"/>
  <c r="O325" i="2"/>
  <c r="O333" i="2"/>
  <c r="O349" i="2"/>
  <c r="O357" i="2"/>
  <c r="O389" i="2"/>
  <c r="O397" i="2"/>
  <c r="O429" i="2"/>
  <c r="O437" i="2"/>
  <c r="O441" i="2"/>
  <c r="O449" i="2"/>
  <c r="O453" i="2"/>
  <c r="O457" i="2"/>
  <c r="O461" i="2"/>
  <c r="O469" i="2"/>
  <c r="O493" i="2"/>
  <c r="O501" i="2"/>
  <c r="O533" i="2"/>
  <c r="O549" i="2"/>
  <c r="O557" i="2"/>
  <c r="O565" i="2"/>
  <c r="O605" i="2"/>
  <c r="O609" i="2"/>
  <c r="O629" i="2"/>
  <c r="O633" i="2"/>
  <c r="O637" i="2"/>
  <c r="O641" i="2"/>
  <c r="O645" i="2"/>
  <c r="O665" i="2"/>
  <c r="O669" i="2"/>
  <c r="O685" i="2"/>
  <c r="O717" i="2"/>
  <c r="O733" i="2"/>
  <c r="O781" i="2"/>
  <c r="O797" i="2"/>
  <c r="O805" i="2"/>
  <c r="O809" i="2"/>
  <c r="O813" i="2"/>
  <c r="O821" i="2"/>
  <c r="O833" i="2"/>
  <c r="O837" i="2"/>
  <c r="O853" i="2"/>
  <c r="O869" i="2"/>
  <c r="O885" i="2"/>
  <c r="O893" i="2"/>
  <c r="O917" i="2"/>
  <c r="O925" i="2"/>
  <c r="O933" i="2"/>
  <c r="O949" i="2"/>
  <c r="O957" i="2"/>
  <c r="O965" i="2"/>
  <c r="O977" i="2"/>
  <c r="O981" i="2"/>
  <c r="O989" i="2"/>
  <c r="O1005" i="2"/>
  <c r="O1029" i="2"/>
  <c r="O1037" i="2"/>
  <c r="O1053" i="2"/>
  <c r="O1077" i="2"/>
  <c r="O1093" i="2"/>
  <c r="O1101" i="2"/>
  <c r="O1109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5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2" i="1"/>
  <c r="O125" i="2" l="1"/>
  <c r="O29" i="2"/>
  <c r="M694" i="2"/>
  <c r="M695" i="2" s="1"/>
  <c r="M696" i="2" s="1"/>
  <c r="M697" i="2" s="1"/>
  <c r="M698" i="2" s="1"/>
  <c r="M699" i="2" s="1"/>
  <c r="M700" i="2" s="1"/>
  <c r="O465" i="2"/>
  <c r="O59" i="2"/>
  <c r="O765" i="2"/>
  <c r="O517" i="2"/>
  <c r="M159" i="2"/>
  <c r="M160" i="2" s="1"/>
  <c r="O158" i="2"/>
  <c r="M135" i="2"/>
  <c r="M136" i="2" s="1"/>
  <c r="O134" i="2"/>
  <c r="O997" i="2"/>
  <c r="M790" i="2"/>
  <c r="M791" i="2" s="1"/>
  <c r="M792" i="2" s="1"/>
  <c r="M793" i="2" s="1"/>
  <c r="M794" i="2" s="1"/>
  <c r="M795" i="2" s="1"/>
  <c r="M796" i="2" s="1"/>
  <c r="O1069" i="2"/>
  <c r="O653" i="2"/>
  <c r="O589" i="2"/>
  <c r="O590" i="2" s="1"/>
  <c r="O157" i="2"/>
  <c r="O238" i="2"/>
  <c r="O239" i="2" s="1"/>
  <c r="O901" i="2"/>
  <c r="O829" i="2"/>
  <c r="O749" i="2"/>
  <c r="O477" i="2"/>
  <c r="M726" i="2"/>
  <c r="M727" i="2" s="1"/>
  <c r="M728" i="2" s="1"/>
  <c r="M729" i="2" s="1"/>
  <c r="M730" i="2" s="1"/>
  <c r="M731" i="2" s="1"/>
  <c r="M732" i="2" s="1"/>
  <c r="O1045" i="2"/>
  <c r="O421" i="2"/>
  <c r="O301" i="2"/>
  <c r="O8" i="2"/>
  <c r="O701" i="2"/>
  <c r="O541" i="2"/>
  <c r="O189" i="2"/>
  <c r="O133" i="2"/>
  <c r="O35" i="2"/>
  <c r="M758" i="2"/>
  <c r="M759" i="2" s="1"/>
  <c r="M760" i="2" s="1"/>
  <c r="M761" i="2" s="1"/>
  <c r="M762" i="2" s="1"/>
  <c r="M763" i="2" s="1"/>
  <c r="M764" i="2" s="1"/>
  <c r="O1021" i="2"/>
  <c r="O861" i="2"/>
  <c r="M31" i="2"/>
  <c r="O30" i="2"/>
  <c r="M551" i="2"/>
  <c r="M552" i="2" s="1"/>
  <c r="M553" i="2" s="1"/>
  <c r="M554" i="2" s="1"/>
  <c r="M555" i="2" s="1"/>
  <c r="M556" i="2" s="1"/>
  <c r="O550" i="2"/>
  <c r="M487" i="2"/>
  <c r="M488" i="2" s="1"/>
  <c r="M489" i="2" s="1"/>
  <c r="M490" i="2" s="1"/>
  <c r="M491" i="2" s="1"/>
  <c r="M492" i="2" s="1"/>
  <c r="O486" i="2"/>
  <c r="M271" i="2"/>
  <c r="M272" i="2" s="1"/>
  <c r="M273" i="2" s="1"/>
  <c r="M274" i="2" s="1"/>
  <c r="M275" i="2" s="1"/>
  <c r="M276" i="2" s="1"/>
  <c r="O270" i="2"/>
  <c r="M655" i="2"/>
  <c r="M656" i="2" s="1"/>
  <c r="O654" i="2"/>
  <c r="O430" i="2"/>
  <c r="O1105" i="2"/>
  <c r="O993" i="2"/>
  <c r="O941" i="2"/>
  <c r="O877" i="2"/>
  <c r="O773" i="2"/>
  <c r="O581" i="2"/>
  <c r="O509" i="2"/>
  <c r="O413" i="2"/>
  <c r="O165" i="2"/>
  <c r="O129" i="2"/>
  <c r="O93" i="2"/>
  <c r="O1041" i="2"/>
  <c r="O817" i="2"/>
  <c r="O677" i="2"/>
  <c r="O229" i="2"/>
  <c r="M1086" i="2"/>
  <c r="M1087" i="2" s="1"/>
  <c r="M1088" i="2" s="1"/>
  <c r="M1014" i="2"/>
  <c r="M1015" i="2" s="1"/>
  <c r="M1016" i="2" s="1"/>
  <c r="M974" i="2"/>
  <c r="M975" i="2" s="1"/>
  <c r="M976" i="2" s="1"/>
  <c r="M910" i="2"/>
  <c r="M911" i="2" s="1"/>
  <c r="M912" i="2" s="1"/>
  <c r="M913" i="2" s="1"/>
  <c r="M914" i="2" s="1"/>
  <c r="M915" i="2" s="1"/>
  <c r="M916" i="2" s="1"/>
  <c r="M846" i="2"/>
  <c r="M847" i="2" s="1"/>
  <c r="M848" i="2" s="1"/>
  <c r="M849" i="2" s="1"/>
  <c r="M850" i="2" s="1"/>
  <c r="M851" i="2" s="1"/>
  <c r="M852" i="2" s="1"/>
  <c r="M614" i="2"/>
  <c r="M615" i="2" s="1"/>
  <c r="M616" i="2" s="1"/>
  <c r="M366" i="2"/>
  <c r="M367" i="2" s="1"/>
  <c r="M368" i="2" s="1"/>
  <c r="M369" i="2" s="1"/>
  <c r="M370" i="2" s="1"/>
  <c r="M371" i="2" s="1"/>
  <c r="M372" i="2" s="1"/>
  <c r="O206" i="2"/>
  <c r="O741" i="2"/>
  <c r="O621" i="2"/>
  <c r="O485" i="2"/>
  <c r="O445" i="2"/>
  <c r="O381" i="2"/>
  <c r="O153" i="2"/>
  <c r="O81" i="2"/>
  <c r="O41" i="2"/>
  <c r="M1062" i="2"/>
  <c r="M1063" i="2" s="1"/>
  <c r="M1064" i="2" s="1"/>
  <c r="O86" i="2"/>
  <c r="O801" i="2"/>
  <c r="O649" i="2"/>
  <c r="O470" i="2"/>
  <c r="O71" i="2"/>
  <c r="O709" i="2"/>
  <c r="O525" i="2"/>
  <c r="O261" i="2"/>
  <c r="O174" i="2"/>
  <c r="O101" i="2"/>
  <c r="M383" i="2"/>
  <c r="M384" i="2" s="1"/>
  <c r="M385" i="2" s="1"/>
  <c r="M386" i="2" s="1"/>
  <c r="M387" i="2" s="1"/>
  <c r="M388" i="2" s="1"/>
  <c r="O382" i="2"/>
  <c r="M167" i="2"/>
  <c r="M168" i="2" s="1"/>
  <c r="O168" i="2" s="1"/>
  <c r="O166" i="2"/>
  <c r="M503" i="2"/>
  <c r="M504" i="2" s="1"/>
  <c r="M505" i="2" s="1"/>
  <c r="M506" i="2" s="1"/>
  <c r="M507" i="2" s="1"/>
  <c r="M508" i="2" s="1"/>
  <c r="O502" i="2"/>
  <c r="M37" i="2"/>
  <c r="O36" i="2"/>
  <c r="M535" i="2"/>
  <c r="M536" i="2" s="1"/>
  <c r="M537" i="2" s="1"/>
  <c r="M538" i="2" s="1"/>
  <c r="M539" i="2" s="1"/>
  <c r="M540" i="2" s="1"/>
  <c r="O534" i="2"/>
  <c r="M191" i="2"/>
  <c r="M192" i="2" s="1"/>
  <c r="M193" i="2" s="1"/>
  <c r="M194" i="2" s="1"/>
  <c r="M195" i="2" s="1"/>
  <c r="M196" i="2" s="1"/>
  <c r="O190" i="2"/>
  <c r="O1073" i="2"/>
  <c r="O1001" i="2"/>
  <c r="O841" i="2"/>
  <c r="O405" i="2"/>
  <c r="O341" i="2"/>
  <c r="O277" i="2"/>
  <c r="O213" i="2"/>
  <c r="M598" i="2"/>
  <c r="M599" i="2" s="1"/>
  <c r="M600" i="2" s="1"/>
  <c r="M601" i="2" s="1"/>
  <c r="M602" i="2" s="1"/>
  <c r="M603" i="2" s="1"/>
  <c r="M604" i="2" s="1"/>
  <c r="M574" i="2"/>
  <c r="M575" i="2" s="1"/>
  <c r="M576" i="2" s="1"/>
  <c r="M577" i="2" s="1"/>
  <c r="M578" i="2" s="1"/>
  <c r="M579" i="2" s="1"/>
  <c r="M580" i="2" s="1"/>
  <c r="M374" i="2"/>
  <c r="M375" i="2" s="1"/>
  <c r="M376" i="2" s="1"/>
  <c r="M377" i="2" s="1"/>
  <c r="M378" i="2" s="1"/>
  <c r="M379" i="2" s="1"/>
  <c r="M380" i="2" s="1"/>
  <c r="M310" i="2"/>
  <c r="M311" i="2" s="1"/>
  <c r="M312" i="2" s="1"/>
  <c r="M313" i="2" s="1"/>
  <c r="M314" i="2" s="1"/>
  <c r="M315" i="2" s="1"/>
  <c r="M316" i="2" s="1"/>
  <c r="M246" i="2"/>
  <c r="M247" i="2" s="1"/>
  <c r="M248" i="2" s="1"/>
  <c r="M249" i="2" s="1"/>
  <c r="M250" i="2" s="1"/>
  <c r="M251" i="2" s="1"/>
  <c r="M252" i="2" s="1"/>
  <c r="M182" i="2"/>
  <c r="M183" i="2" s="1"/>
  <c r="M184" i="2" s="1"/>
  <c r="M185" i="2" s="1"/>
  <c r="M186" i="2" s="1"/>
  <c r="M187" i="2" s="1"/>
  <c r="M188" i="2" s="1"/>
  <c r="M110" i="2"/>
  <c r="O446" i="2"/>
  <c r="O1025" i="2"/>
  <c r="O473" i="2"/>
  <c r="O478" i="2"/>
  <c r="O126" i="2"/>
  <c r="O1057" i="2"/>
  <c r="O318" i="2"/>
  <c r="O319" i="2" s="1"/>
  <c r="O254" i="2"/>
  <c r="O118" i="2"/>
  <c r="O1089" i="2"/>
  <c r="O1017" i="2"/>
  <c r="O985" i="2"/>
  <c r="O825" i="2"/>
  <c r="O433" i="2"/>
  <c r="O145" i="2"/>
  <c r="O606" i="2"/>
  <c r="O1049" i="2"/>
  <c r="O661" i="2"/>
  <c r="O78" i="2"/>
  <c r="O1081" i="2"/>
  <c r="O1009" i="2"/>
  <c r="O617" i="2"/>
  <c r="O38" i="2"/>
  <c r="O1113" i="2"/>
  <c r="M6" i="2"/>
  <c r="M7" i="2" s="1"/>
  <c r="O7" i="2" s="1"/>
  <c r="M671" i="2"/>
  <c r="M672" i="2" s="1"/>
  <c r="M673" i="2" s="1"/>
  <c r="M674" i="2" s="1"/>
  <c r="M675" i="2" s="1"/>
  <c r="M676" i="2" s="1"/>
  <c r="O670" i="2"/>
  <c r="O262" i="2"/>
  <c r="O1097" i="2"/>
  <c r="O1098" i="2" s="1"/>
  <c r="O1065" i="2"/>
  <c r="O1066" i="2" s="1"/>
  <c r="O1033" i="2"/>
  <c r="O1002" i="2"/>
  <c r="O810" i="2"/>
  <c r="O406" i="2"/>
  <c r="O1090" i="2"/>
  <c r="O1026" i="2"/>
  <c r="O802" i="2"/>
  <c r="O390" i="2"/>
  <c r="O198" i="2"/>
  <c r="O638" i="2"/>
  <c r="O1082" i="2"/>
  <c r="O1018" i="2"/>
  <c r="O342" i="2"/>
  <c r="O343" i="2" s="1"/>
  <c r="O326" i="2"/>
  <c r="O1074" i="2"/>
  <c r="O1010" i="2"/>
  <c r="O818" i="2"/>
  <c r="O657" i="2"/>
  <c r="O625" i="2"/>
  <c r="O182" i="2"/>
  <c r="O183" i="2" s="1"/>
  <c r="O1078" i="2"/>
  <c r="O1054" i="2"/>
  <c r="O391" i="2"/>
  <c r="O302" i="2"/>
  <c r="O978" i="2"/>
  <c r="O598" i="2"/>
  <c r="O1027" i="2"/>
  <c r="O1099" i="2"/>
  <c r="O734" i="2"/>
  <c r="O334" i="2"/>
  <c r="O1006" i="2"/>
  <c r="O626" i="2"/>
  <c r="O842" i="2"/>
  <c r="O814" i="2"/>
  <c r="O431" i="2"/>
  <c r="O886" i="2"/>
  <c r="O454" i="2"/>
  <c r="O934" i="2"/>
  <c r="O510" i="2"/>
  <c r="O366" i="2"/>
  <c r="O255" i="2"/>
  <c r="O130" i="2"/>
  <c r="O591" i="2"/>
  <c r="O474" i="2"/>
  <c r="O358" i="2"/>
  <c r="O222" i="2"/>
  <c r="O666" i="2"/>
  <c r="O646" i="2"/>
  <c r="O618" i="2"/>
  <c r="O542" i="2"/>
  <c r="O471" i="2"/>
  <c r="O447" i="2"/>
  <c r="O422" i="2"/>
  <c r="O350" i="2"/>
  <c r="O286" i="2"/>
  <c r="O214" i="2"/>
  <c r="O106" i="2"/>
  <c r="O79" i="2"/>
  <c r="O48" i="2"/>
  <c r="O24" i="2"/>
  <c r="O1083" i="2"/>
  <c r="O1084" i="2" s="1"/>
  <c r="O1075" i="2"/>
  <c r="O1076" i="2" s="1"/>
  <c r="O1067" i="2"/>
  <c r="O1068" i="2" s="1"/>
  <c r="O1011" i="2"/>
  <c r="O1012" i="2" s="1"/>
  <c r="O1003" i="2"/>
  <c r="O819" i="2"/>
  <c r="O820" i="2" s="1"/>
  <c r="O811" i="2"/>
  <c r="O812" i="2" s="1"/>
  <c r="O803" i="2"/>
  <c r="O804" i="2" s="1"/>
  <c r="O154" i="2"/>
  <c r="O294" i="2"/>
  <c r="O184" i="2"/>
  <c r="O127" i="2"/>
  <c r="O1004" i="2"/>
  <c r="O662" i="2"/>
  <c r="O642" i="2"/>
  <c r="O582" i="2"/>
  <c r="O494" i="2"/>
  <c r="O414" i="2"/>
  <c r="O278" i="2"/>
  <c r="O146" i="2"/>
  <c r="O122" i="2"/>
  <c r="O102" i="2"/>
  <c r="O42" i="2"/>
  <c r="O18" i="2"/>
  <c r="O1114" i="2"/>
  <c r="O1115" i="2" s="1"/>
  <c r="O1116" i="2" s="1"/>
  <c r="O1106" i="2"/>
  <c r="O1107" i="2" s="1"/>
  <c r="O1108" i="2" s="1"/>
  <c r="O1058" i="2"/>
  <c r="O1059" i="2" s="1"/>
  <c r="O1060" i="2" s="1"/>
  <c r="O1050" i="2"/>
  <c r="O1051" i="2" s="1"/>
  <c r="O1052" i="2" s="1"/>
  <c r="O1042" i="2"/>
  <c r="O1043" i="2" s="1"/>
  <c r="O1044" i="2" s="1"/>
  <c r="O1034" i="2"/>
  <c r="O1035" i="2" s="1"/>
  <c r="O994" i="2"/>
  <c r="O995" i="2" s="1"/>
  <c r="O996" i="2" s="1"/>
  <c r="O986" i="2"/>
  <c r="O987" i="2" s="1"/>
  <c r="O988" i="2" s="1"/>
  <c r="O834" i="2"/>
  <c r="O835" i="2" s="1"/>
  <c r="O836" i="2" s="1"/>
  <c r="O826" i="2"/>
  <c r="O827" i="2" s="1"/>
  <c r="O828" i="2" s="1"/>
  <c r="O31" i="2"/>
  <c r="O622" i="2"/>
  <c r="O150" i="2"/>
  <c r="O82" i="2"/>
  <c r="O658" i="2"/>
  <c r="O639" i="2"/>
  <c r="O442" i="2"/>
  <c r="O271" i="2"/>
  <c r="O142" i="2"/>
  <c r="O98" i="2"/>
  <c r="O72" i="2"/>
  <c r="O39" i="2"/>
  <c r="O16" i="2"/>
  <c r="O230" i="2"/>
  <c r="O650" i="2"/>
  <c r="O450" i="2"/>
  <c r="O327" i="2"/>
  <c r="O54" i="2"/>
  <c r="O610" i="2"/>
  <c r="O526" i="2"/>
  <c r="O466" i="2"/>
  <c r="O438" i="2"/>
  <c r="O162" i="2"/>
  <c r="O138" i="2"/>
  <c r="O94" i="2"/>
  <c r="O66" i="2"/>
  <c r="O170" i="2"/>
  <c r="O57" i="2"/>
  <c r="O686" i="2"/>
  <c r="O634" i="2"/>
  <c r="O607" i="2"/>
  <c r="O566" i="2"/>
  <c r="O518" i="2"/>
  <c r="O479" i="2"/>
  <c r="O462" i="2"/>
  <c r="O263" i="2"/>
  <c r="O159" i="2"/>
  <c r="O135" i="2"/>
  <c r="O90" i="2"/>
  <c r="O63" i="2"/>
  <c r="O12" i="2"/>
  <c r="O783" i="2"/>
  <c r="O784" i="2" s="1"/>
  <c r="O785" i="2" s="1"/>
  <c r="O786" i="2" s="1"/>
  <c r="O787" i="2" s="1"/>
  <c r="O788" i="2" s="1"/>
  <c r="O694" i="2"/>
  <c r="O695" i="2" s="1"/>
  <c r="O678" i="2"/>
  <c r="O630" i="2"/>
  <c r="O558" i="2"/>
  <c r="O458" i="2"/>
  <c r="O434" i="2"/>
  <c r="O398" i="2"/>
  <c r="O114" i="2"/>
  <c r="O60" i="2"/>
  <c r="O33" i="2"/>
  <c r="O9" i="2"/>
  <c r="O1110" i="2"/>
  <c r="O1111" i="2" s="1"/>
  <c r="O1112" i="2" s="1"/>
  <c r="O1102" i="2"/>
  <c r="O1103" i="2" s="1"/>
  <c r="O1104" i="2" s="1"/>
  <c r="O1094" i="2"/>
  <c r="O1095" i="2" s="1"/>
  <c r="O1096" i="2" s="1"/>
  <c r="O1086" i="2"/>
  <c r="O1087" i="2" s="1"/>
  <c r="O1088" i="2" s="1"/>
  <c r="O1070" i="2"/>
  <c r="O1071" i="2" s="1"/>
  <c r="O1072" i="2" s="1"/>
  <c r="O1046" i="2"/>
  <c r="O1047" i="2" s="1"/>
  <c r="O1048" i="2" s="1"/>
  <c r="O1038" i="2"/>
  <c r="O1039" i="2" s="1"/>
  <c r="O1040" i="2" s="1"/>
  <c r="O1030" i="2"/>
  <c r="O1031" i="2" s="1"/>
  <c r="O1032" i="2" s="1"/>
  <c r="O1022" i="2"/>
  <c r="O1023" i="2" s="1"/>
  <c r="O1024" i="2" s="1"/>
  <c r="O1014" i="2"/>
  <c r="O1015" i="2" s="1"/>
  <c r="O1016" i="2" s="1"/>
  <c r="O998" i="2"/>
  <c r="O999" i="2" s="1"/>
  <c r="O1000" i="2" s="1"/>
  <c r="O990" i="2"/>
  <c r="O991" i="2" s="1"/>
  <c r="O992" i="2" s="1"/>
  <c r="O982" i="2"/>
  <c r="O983" i="2" s="1"/>
  <c r="O984" i="2" s="1"/>
  <c r="O974" i="2"/>
  <c r="O975" i="2" s="1"/>
  <c r="O976" i="2" s="1"/>
  <c r="O966" i="2"/>
  <c r="O967" i="2" s="1"/>
  <c r="O968" i="2" s="1"/>
  <c r="O969" i="2" s="1"/>
  <c r="O970" i="2" s="1"/>
  <c r="O958" i="2"/>
  <c r="O959" i="2" s="1"/>
  <c r="O960" i="2" s="1"/>
  <c r="O961" i="2" s="1"/>
  <c r="O962" i="2" s="1"/>
  <c r="O963" i="2" s="1"/>
  <c r="O964" i="2" s="1"/>
  <c r="O950" i="2"/>
  <c r="O951" i="2" s="1"/>
  <c r="O952" i="2" s="1"/>
  <c r="O953" i="2" s="1"/>
  <c r="O954" i="2" s="1"/>
  <c r="O955" i="2" s="1"/>
  <c r="O956" i="2" s="1"/>
  <c r="O942" i="2"/>
  <c r="O943" i="2" s="1"/>
  <c r="O944" i="2" s="1"/>
  <c r="O945" i="2" s="1"/>
  <c r="O946" i="2" s="1"/>
  <c r="O947" i="2" s="1"/>
  <c r="O948" i="2" s="1"/>
  <c r="O926" i="2"/>
  <c r="O927" i="2" s="1"/>
  <c r="O928" i="2" s="1"/>
  <c r="O929" i="2" s="1"/>
  <c r="O930" i="2" s="1"/>
  <c r="O931" i="2" s="1"/>
  <c r="O932" i="2" s="1"/>
  <c r="O918" i="2"/>
  <c r="O919" i="2" s="1"/>
  <c r="O920" i="2" s="1"/>
  <c r="O921" i="2" s="1"/>
  <c r="O922" i="2" s="1"/>
  <c r="O923" i="2" s="1"/>
  <c r="O924" i="2" s="1"/>
  <c r="O910" i="2"/>
  <c r="O911" i="2" s="1"/>
  <c r="O912" i="2" s="1"/>
  <c r="O913" i="2" s="1"/>
  <c r="O914" i="2" s="1"/>
  <c r="O915" i="2" s="1"/>
  <c r="O916" i="2" s="1"/>
  <c r="O902" i="2"/>
  <c r="O903" i="2" s="1"/>
  <c r="O904" i="2" s="1"/>
  <c r="O905" i="2" s="1"/>
  <c r="O906" i="2" s="1"/>
  <c r="O907" i="2" s="1"/>
  <c r="O894" i="2"/>
  <c r="O895" i="2" s="1"/>
  <c r="O896" i="2" s="1"/>
  <c r="O897" i="2" s="1"/>
  <c r="O898" i="2" s="1"/>
  <c r="O899" i="2" s="1"/>
  <c r="O900" i="2" s="1"/>
  <c r="O878" i="2"/>
  <c r="O879" i="2" s="1"/>
  <c r="O880" i="2" s="1"/>
  <c r="O881" i="2" s="1"/>
  <c r="O882" i="2" s="1"/>
  <c r="O883" i="2" s="1"/>
  <c r="O884" i="2" s="1"/>
  <c r="O870" i="2"/>
  <c r="O871" i="2" s="1"/>
  <c r="O872" i="2" s="1"/>
  <c r="O873" i="2" s="1"/>
  <c r="O874" i="2" s="1"/>
  <c r="O862" i="2"/>
  <c r="O863" i="2" s="1"/>
  <c r="O864" i="2" s="1"/>
  <c r="O865" i="2" s="1"/>
  <c r="O866" i="2" s="1"/>
  <c r="O867" i="2" s="1"/>
  <c r="O868" i="2" s="1"/>
  <c r="O854" i="2"/>
  <c r="O855" i="2" s="1"/>
  <c r="O856" i="2" s="1"/>
  <c r="O857" i="2" s="1"/>
  <c r="O858" i="2" s="1"/>
  <c r="O859" i="2" s="1"/>
  <c r="O860" i="2" s="1"/>
  <c r="O846" i="2"/>
  <c r="O847" i="2" s="1"/>
  <c r="O848" i="2" s="1"/>
  <c r="O849" i="2" s="1"/>
  <c r="O850" i="2" s="1"/>
  <c r="O851" i="2" s="1"/>
  <c r="O852" i="2" s="1"/>
  <c r="O838" i="2"/>
  <c r="O839" i="2" s="1"/>
  <c r="O840" i="2" s="1"/>
  <c r="O830" i="2"/>
  <c r="O831" i="2" s="1"/>
  <c r="O832" i="2" s="1"/>
  <c r="O822" i="2"/>
  <c r="O823" i="2" s="1"/>
  <c r="O824" i="2" s="1"/>
  <c r="O806" i="2"/>
  <c r="O807" i="2" s="1"/>
  <c r="O808" i="2" s="1"/>
  <c r="O798" i="2"/>
  <c r="O799" i="2" s="1"/>
  <c r="O800" i="2" s="1"/>
  <c r="O782" i="2"/>
  <c r="O774" i="2"/>
  <c r="O775" i="2" s="1"/>
  <c r="O776" i="2" s="1"/>
  <c r="O777" i="2" s="1"/>
  <c r="O778" i="2" s="1"/>
  <c r="O779" i="2" s="1"/>
  <c r="O780" i="2" s="1"/>
  <c r="O766" i="2"/>
  <c r="O767" i="2" s="1"/>
  <c r="O768" i="2" s="1"/>
  <c r="O769" i="2" s="1"/>
  <c r="O770" i="2" s="1"/>
  <c r="O771" i="2" s="1"/>
  <c r="O772" i="2" s="1"/>
  <c r="O758" i="2"/>
  <c r="O759" i="2" s="1"/>
  <c r="O760" i="2" s="1"/>
  <c r="O761" i="2" s="1"/>
  <c r="O762" i="2" s="1"/>
  <c r="O763" i="2" s="1"/>
  <c r="O764" i="2" s="1"/>
  <c r="O750" i="2"/>
  <c r="O751" i="2" s="1"/>
  <c r="O752" i="2" s="1"/>
  <c r="O753" i="2" s="1"/>
  <c r="O754" i="2" s="1"/>
  <c r="O755" i="2" s="1"/>
  <c r="O756" i="2" s="1"/>
  <c r="O742" i="2"/>
  <c r="O743" i="2" s="1"/>
  <c r="O744" i="2" s="1"/>
  <c r="O745" i="2" s="1"/>
  <c r="O746" i="2" s="1"/>
  <c r="O747" i="2" s="1"/>
  <c r="O748" i="2" s="1"/>
  <c r="O718" i="2"/>
  <c r="O719" i="2" s="1"/>
  <c r="O720" i="2" s="1"/>
  <c r="O721" i="2" s="1"/>
  <c r="O722" i="2" s="1"/>
  <c r="O723" i="2" s="1"/>
  <c r="O724" i="2" s="1"/>
  <c r="O710" i="2"/>
  <c r="O711" i="2" s="1"/>
  <c r="O712" i="2" s="1"/>
  <c r="O713" i="2" s="1"/>
  <c r="O714" i="2" s="1"/>
  <c r="O715" i="2" s="1"/>
  <c r="O716" i="2" s="1"/>
  <c r="O702" i="2"/>
  <c r="O703" i="2" s="1"/>
  <c r="O704" i="2" s="1"/>
  <c r="O705" i="2" s="1"/>
  <c r="O706" i="2" s="1"/>
  <c r="O707" i="2" s="1"/>
  <c r="O708" i="2" s="1"/>
  <c r="O310" i="2" l="1"/>
  <c r="O311" i="2"/>
  <c r="O726" i="2"/>
  <c r="O727" i="2" s="1"/>
  <c r="O728" i="2" s="1"/>
  <c r="O729" i="2" s="1"/>
  <c r="O730" i="2" s="1"/>
  <c r="O731" i="2" s="1"/>
  <c r="O732" i="2" s="1"/>
  <c r="O790" i="2"/>
  <c r="O374" i="2"/>
  <c r="O503" i="2"/>
  <c r="O575" i="2"/>
  <c r="O551" i="2"/>
  <c r="O1062" i="2"/>
  <c r="O1063" i="2" s="1"/>
  <c r="O1064" i="2" s="1"/>
  <c r="O614" i="2"/>
  <c r="O246" i="2"/>
  <c r="O487" i="2"/>
  <c r="O6" i="2"/>
  <c r="O574" i="2"/>
  <c r="O671" i="2"/>
  <c r="M111" i="2"/>
  <c r="O110" i="2"/>
  <c r="O167" i="2"/>
  <c r="O567" i="2"/>
  <c r="O696" i="2"/>
  <c r="O488" i="2"/>
  <c r="O615" i="2"/>
  <c r="O175" i="2"/>
  <c r="O207" i="2"/>
  <c r="O415" i="2"/>
  <c r="O295" i="2"/>
  <c r="O107" i="2"/>
  <c r="O423" i="2"/>
  <c r="O619" i="2"/>
  <c r="O592" i="2"/>
  <c r="O455" i="2"/>
  <c r="O843" i="2"/>
  <c r="O672" i="2"/>
  <c r="O1100" i="2"/>
  <c r="O303" i="2"/>
  <c r="O136" i="2"/>
  <c r="O463" i="2"/>
  <c r="O608" i="2"/>
  <c r="O171" i="2"/>
  <c r="O199" i="2"/>
  <c r="O55" i="2"/>
  <c r="O504" i="2"/>
  <c r="O143" i="2"/>
  <c r="O576" i="2"/>
  <c r="O43" i="2"/>
  <c r="O247" i="2"/>
  <c r="O643" i="2"/>
  <c r="O511" i="2"/>
  <c r="O115" i="2"/>
  <c r="O312" i="2"/>
  <c r="O163" i="2"/>
  <c r="O231" i="2"/>
  <c r="O147" i="2"/>
  <c r="O367" i="2"/>
  <c r="O559" i="2"/>
  <c r="O67" i="2"/>
  <c r="O399" i="2"/>
  <c r="O527" i="2"/>
  <c r="O495" i="2"/>
  <c r="O155" i="2"/>
  <c r="O448" i="2"/>
  <c r="O131" i="2"/>
  <c r="O627" i="2"/>
  <c r="O735" i="2"/>
  <c r="O13" i="2"/>
  <c r="O635" i="2"/>
  <c r="O119" i="2"/>
  <c r="O640" i="2"/>
  <c r="O279" i="2"/>
  <c r="O61" i="2"/>
  <c r="O435" i="2"/>
  <c r="O679" i="2"/>
  <c r="O407" i="2"/>
  <c r="O611" i="2"/>
  <c r="O151" i="2"/>
  <c r="O320" i="2"/>
  <c r="O1019" i="2"/>
  <c r="O128" i="2"/>
  <c r="O49" i="2"/>
  <c r="O287" i="2"/>
  <c r="O472" i="2"/>
  <c r="O667" i="2"/>
  <c r="O359" i="2"/>
  <c r="O256" i="2"/>
  <c r="O935" i="2"/>
  <c r="O432" i="2"/>
  <c r="O1007" i="2"/>
  <c r="O791" i="2"/>
  <c r="O599" i="2"/>
  <c r="O1055" i="2"/>
  <c r="O91" i="2"/>
  <c r="O191" i="2"/>
  <c r="O467" i="2"/>
  <c r="O631" i="2"/>
  <c r="O240" i="2"/>
  <c r="O83" i="2"/>
  <c r="O25" i="2"/>
  <c r="O647" i="2"/>
  <c r="O887" i="2"/>
  <c r="O392" i="2"/>
  <c r="O480" i="2"/>
  <c r="O272" i="2"/>
  <c r="O103" i="2"/>
  <c r="O663" i="2"/>
  <c r="O64" i="2"/>
  <c r="O519" i="2"/>
  <c r="O655" i="2"/>
  <c r="O73" i="2"/>
  <c r="O123" i="2"/>
  <c r="O583" i="2"/>
  <c r="O1091" i="2"/>
  <c r="O875" i="2"/>
  <c r="O335" i="2"/>
  <c r="O58" i="2"/>
  <c r="O451" i="2"/>
  <c r="O99" i="2"/>
  <c r="O19" i="2"/>
  <c r="O10" i="2"/>
  <c r="O34" i="2"/>
  <c r="O95" i="2"/>
  <c r="O215" i="2"/>
  <c r="O223" i="2"/>
  <c r="O1028" i="2"/>
  <c r="O160" i="2"/>
  <c r="O375" i="2"/>
  <c r="O651" i="2"/>
  <c r="O40" i="2"/>
  <c r="O535" i="2"/>
  <c r="O87" i="2"/>
  <c r="O264" i="2"/>
  <c r="O687" i="2"/>
  <c r="O139" i="2"/>
  <c r="O328" i="2"/>
  <c r="O443" i="2"/>
  <c r="O659" i="2"/>
  <c r="O344" i="2"/>
  <c r="O459" i="2"/>
  <c r="O37" i="2"/>
  <c r="O439" i="2"/>
  <c r="O623" i="2"/>
  <c r="O383" i="2"/>
  <c r="O185" i="2"/>
  <c r="O80" i="2"/>
  <c r="O351" i="2"/>
  <c r="O543" i="2"/>
  <c r="O971" i="2"/>
  <c r="O475" i="2"/>
  <c r="O1036" i="2"/>
  <c r="O552" i="2"/>
  <c r="O815" i="2"/>
  <c r="O908" i="2"/>
  <c r="O979" i="2"/>
  <c r="O1079" i="2"/>
  <c r="M112" i="2" l="1"/>
  <c r="O112" i="2" s="1"/>
  <c r="O111" i="2"/>
  <c r="O460" i="2"/>
  <c r="O88" i="2"/>
  <c r="O408" i="2"/>
  <c r="O248" i="2"/>
  <c r="O544" i="2"/>
  <c r="O376" i="2"/>
  <c r="O273" i="2"/>
  <c r="O1056" i="2"/>
  <c r="O368" i="2"/>
  <c r="O593" i="2"/>
  <c r="O345" i="2"/>
  <c r="O96" i="2"/>
  <c r="O74" i="2"/>
  <c r="O26" i="2"/>
  <c r="O936" i="2"/>
  <c r="O148" i="2"/>
  <c r="O464" i="2"/>
  <c r="O620" i="2"/>
  <c r="O416" i="2"/>
  <c r="O384" i="2"/>
  <c r="O336" i="2"/>
  <c r="O1080" i="2"/>
  <c r="O216" i="2"/>
  <c r="O124" i="2"/>
  <c r="O648" i="2"/>
  <c r="O132" i="2"/>
  <c r="O313" i="2"/>
  <c r="O468" i="2"/>
  <c r="O352" i="2"/>
  <c r="O140" i="2"/>
  <c r="O100" i="2"/>
  <c r="O600" i="2"/>
  <c r="O1020" i="2"/>
  <c r="O280" i="2"/>
  <c r="O400" i="2"/>
  <c r="O116" i="2"/>
  <c r="O673" i="2"/>
  <c r="O489" i="2"/>
  <c r="O476" i="2"/>
  <c r="O440" i="2"/>
  <c r="O660" i="2"/>
  <c r="O688" i="2"/>
  <c r="O452" i="2"/>
  <c r="O1092" i="2"/>
  <c r="O664" i="2"/>
  <c r="O393" i="2"/>
  <c r="O84" i="2"/>
  <c r="O192" i="2"/>
  <c r="O792" i="2"/>
  <c r="O257" i="2"/>
  <c r="O288" i="2"/>
  <c r="O321" i="2"/>
  <c r="O680" i="2"/>
  <c r="O736" i="2"/>
  <c r="O156" i="2"/>
  <c r="O68" i="2"/>
  <c r="O232" i="2"/>
  <c r="O512" i="2"/>
  <c r="O577" i="2"/>
  <c r="O200" i="2"/>
  <c r="O844" i="2"/>
  <c r="O424" i="2"/>
  <c r="O208" i="2"/>
  <c r="O697" i="2"/>
  <c r="O296" i="2"/>
  <c r="O980" i="2"/>
  <c r="O652" i="2"/>
  <c r="O120" i="2"/>
  <c r="O176" i="2"/>
  <c r="O612" i="2"/>
  <c r="O553" i="2"/>
  <c r="O329" i="2"/>
  <c r="O20" i="2"/>
  <c r="O520" i="2"/>
  <c r="O632" i="2"/>
  <c r="O668" i="2"/>
  <c r="O636" i="2"/>
  <c r="O528" i="2"/>
  <c r="O505" i="2"/>
  <c r="O616" i="2"/>
  <c r="O624" i="2"/>
  <c r="O536" i="2"/>
  <c r="O876" i="2"/>
  <c r="O481" i="2"/>
  <c r="O44" i="2"/>
  <c r="O816" i="2"/>
  <c r="O972" i="2"/>
  <c r="O186" i="2"/>
  <c r="O444" i="2"/>
  <c r="O265" i="2"/>
  <c r="O224" i="2"/>
  <c r="O584" i="2"/>
  <c r="O656" i="2"/>
  <c r="O104" i="2"/>
  <c r="O888" i="2"/>
  <c r="O241" i="2"/>
  <c r="O92" i="2"/>
  <c r="O1008" i="2"/>
  <c r="O360" i="2"/>
  <c r="O50" i="2"/>
  <c r="O152" i="2"/>
  <c r="O436" i="2"/>
  <c r="O628" i="2"/>
  <c r="O496" i="2"/>
  <c r="O560" i="2"/>
  <c r="O164" i="2"/>
  <c r="O644" i="2"/>
  <c r="O144" i="2"/>
  <c r="O172" i="2"/>
  <c r="O304" i="2"/>
  <c r="O456" i="2"/>
  <c r="O108" i="2"/>
  <c r="O568" i="2"/>
  <c r="O51" i="2" l="1"/>
  <c r="O585" i="2"/>
  <c r="O201" i="2"/>
  <c r="O193" i="2"/>
  <c r="O249" i="2"/>
  <c r="O361" i="2"/>
  <c r="O209" i="2"/>
  <c r="O289" i="2"/>
  <c r="O401" i="2"/>
  <c r="O217" i="2"/>
  <c r="O274" i="2"/>
  <c r="O497" i="2"/>
  <c r="O187" i="2"/>
  <c r="O330" i="2"/>
  <c r="O69" i="2"/>
  <c r="O601" i="2"/>
  <c r="O385" i="2"/>
  <c r="O225" i="2"/>
  <c r="O506" i="2"/>
  <c r="O314" i="2"/>
  <c r="O937" i="2"/>
  <c r="O346" i="2"/>
  <c r="O305" i="2"/>
  <c r="O266" i="2"/>
  <c r="O537" i="2"/>
  <c r="O529" i="2"/>
  <c r="O513" i="2"/>
  <c r="O258" i="2"/>
  <c r="O689" i="2"/>
  <c r="O281" i="2"/>
  <c r="O27" i="2"/>
  <c r="O242" i="2"/>
  <c r="O482" i="2"/>
  <c r="O698" i="2"/>
  <c r="O322" i="2"/>
  <c r="O889" i="2"/>
  <c r="O554" i="2"/>
  <c r="O578" i="2"/>
  <c r="O417" i="2"/>
  <c r="O409" i="2"/>
  <c r="O521" i="2"/>
  <c r="O425" i="2"/>
  <c r="O737" i="2"/>
  <c r="O394" i="2"/>
  <c r="O490" i="2"/>
  <c r="O594" i="2"/>
  <c r="O377" i="2"/>
  <c r="O569" i="2"/>
  <c r="O561" i="2"/>
  <c r="O45" i="2"/>
  <c r="O21" i="2"/>
  <c r="O177" i="2"/>
  <c r="O297" i="2"/>
  <c r="O233" i="2"/>
  <c r="O681" i="2"/>
  <c r="O793" i="2"/>
  <c r="O674" i="2"/>
  <c r="O353" i="2"/>
  <c r="O337" i="2"/>
  <c r="O75" i="2"/>
  <c r="O369" i="2"/>
  <c r="O545" i="2"/>
  <c r="O76" i="2" l="1"/>
  <c r="O570" i="2"/>
  <c r="O243" i="2"/>
  <c r="O498" i="2"/>
  <c r="O794" i="2"/>
  <c r="O395" i="2"/>
  <c r="O315" i="2"/>
  <c r="O22" i="2"/>
  <c r="O378" i="2"/>
  <c r="O738" i="2"/>
  <c r="O418" i="2"/>
  <c r="O323" i="2"/>
  <c r="O28" i="2"/>
  <c r="O514" i="2"/>
  <c r="O306" i="2"/>
  <c r="O507" i="2"/>
  <c r="O70" i="2"/>
  <c r="O275" i="2"/>
  <c r="O210" i="2"/>
  <c r="O202" i="2"/>
  <c r="O178" i="2"/>
  <c r="O410" i="2"/>
  <c r="O259" i="2"/>
  <c r="O602" i="2"/>
  <c r="O194" i="2"/>
  <c r="O338" i="2"/>
  <c r="O354" i="2"/>
  <c r="O595" i="2"/>
  <c r="O579" i="2"/>
  <c r="O530" i="2"/>
  <c r="O347" i="2"/>
  <c r="O226" i="2"/>
  <c r="O331" i="2"/>
  <c r="O218" i="2"/>
  <c r="O362" i="2"/>
  <c r="O586" i="2"/>
  <c r="O890" i="2"/>
  <c r="O267" i="2"/>
  <c r="O290" i="2"/>
  <c r="O682" i="2"/>
  <c r="O546" i="2"/>
  <c r="O234" i="2"/>
  <c r="O46" i="2"/>
  <c r="O426" i="2"/>
  <c r="O699" i="2"/>
  <c r="O282" i="2"/>
  <c r="O370" i="2"/>
  <c r="O675" i="2"/>
  <c r="O298" i="2"/>
  <c r="O562" i="2"/>
  <c r="O491" i="2"/>
  <c r="O522" i="2"/>
  <c r="O555" i="2"/>
  <c r="O483" i="2"/>
  <c r="O690" i="2"/>
  <c r="O538" i="2"/>
  <c r="O938" i="2"/>
  <c r="O386" i="2"/>
  <c r="O188" i="2"/>
  <c r="O402" i="2"/>
  <c r="O250" i="2"/>
  <c r="O52" i="2"/>
  <c r="O403" i="2" l="1"/>
  <c r="O523" i="2"/>
  <c r="O427" i="2"/>
  <c r="O587" i="2"/>
  <c r="O603" i="2"/>
  <c r="O508" i="2"/>
  <c r="O492" i="2"/>
  <c r="O363" i="2"/>
  <c r="O355" i="2"/>
  <c r="O211" i="2"/>
  <c r="O419" i="2"/>
  <c r="O316" i="2"/>
  <c r="O484" i="2"/>
  <c r="O283" i="2"/>
  <c r="O268" i="2"/>
  <c r="O339" i="2"/>
  <c r="O276" i="2"/>
  <c r="O739" i="2"/>
  <c r="O571" i="2"/>
  <c r="O539" i="2"/>
  <c r="O676" i="2"/>
  <c r="O683" i="2"/>
  <c r="O227" i="2"/>
  <c r="O596" i="2"/>
  <c r="O203" i="2"/>
  <c r="O324" i="2"/>
  <c r="O499" i="2"/>
  <c r="O691" i="2"/>
  <c r="O371" i="2"/>
  <c r="O291" i="2"/>
  <c r="O348" i="2"/>
  <c r="O260" i="2"/>
  <c r="O307" i="2"/>
  <c r="O244" i="2"/>
  <c r="O387" i="2"/>
  <c r="O563" i="2"/>
  <c r="O235" i="2"/>
  <c r="O219" i="2"/>
  <c r="O531" i="2"/>
  <c r="O411" i="2"/>
  <c r="O515" i="2"/>
  <c r="O396" i="2"/>
  <c r="O251" i="2"/>
  <c r="O939" i="2"/>
  <c r="O556" i="2"/>
  <c r="O299" i="2"/>
  <c r="O700" i="2"/>
  <c r="O547" i="2"/>
  <c r="O891" i="2"/>
  <c r="O332" i="2"/>
  <c r="O580" i="2"/>
  <c r="O195" i="2"/>
  <c r="O179" i="2"/>
  <c r="O379" i="2"/>
  <c r="O795" i="2"/>
  <c r="O196" i="2" l="1"/>
  <c r="O412" i="2"/>
  <c r="O692" i="2"/>
  <c r="O364" i="2"/>
  <c r="O252" i="2"/>
  <c r="O500" i="2"/>
  <c r="O796" i="2"/>
  <c r="O388" i="2"/>
  <c r="O228" i="2"/>
  <c r="O420" i="2"/>
  <c r="O380" i="2"/>
  <c r="O300" i="2"/>
  <c r="O220" i="2"/>
  <c r="O292" i="2"/>
  <c r="O684" i="2"/>
  <c r="O740" i="2"/>
  <c r="O284" i="2"/>
  <c r="O212" i="2"/>
  <c r="O524" i="2"/>
  <c r="O548" i="2"/>
  <c r="O564" i="2"/>
  <c r="O340" i="2"/>
  <c r="O428" i="2"/>
  <c r="O940" i="2"/>
  <c r="O540" i="2"/>
  <c r="O588" i="2"/>
  <c r="O532" i="2"/>
  <c r="O572" i="2"/>
  <c r="O180" i="2"/>
  <c r="O892" i="2"/>
  <c r="O516" i="2"/>
  <c r="O236" i="2"/>
  <c r="O308" i="2"/>
  <c r="O372" i="2"/>
  <c r="O204" i="2"/>
  <c r="O356" i="2"/>
  <c r="O604" i="2"/>
  <c r="O404" i="2"/>
</calcChain>
</file>

<file path=xl/sharedStrings.xml><?xml version="1.0" encoding="utf-8"?>
<sst xmlns="http://schemas.openxmlformats.org/spreadsheetml/2006/main" count="39385" uniqueCount="4404">
  <si>
    <t>ExpNo</t>
  </si>
  <si>
    <t>Experiments::SiteKey</t>
  </si>
  <si>
    <t>Experiments::CropType</t>
  </si>
  <si>
    <t>MixedCropType</t>
  </si>
  <si>
    <t>Variety</t>
  </si>
  <si>
    <t>Sentinel</t>
  </si>
  <si>
    <t>PlotType</t>
  </si>
  <si>
    <t>PlotNo</t>
  </si>
  <si>
    <t>PairPlotNo</t>
  </si>
  <si>
    <t>RepNo</t>
  </si>
  <si>
    <t>BlockNo</t>
  </si>
  <si>
    <t>NBlockNo</t>
  </si>
  <si>
    <t>CropBlockNo</t>
  </si>
  <si>
    <t>MainPlotNo</t>
  </si>
  <si>
    <t>SubPlotNo</t>
  </si>
  <si>
    <t>SubSubPlotNo</t>
  </si>
  <si>
    <t>IrrigationBlockNo</t>
  </si>
  <si>
    <t>PlotPosition</t>
  </si>
  <si>
    <t>DuplicateNo</t>
  </si>
  <si>
    <t>FieldColNo</t>
  </si>
  <si>
    <t>FieldRowNo</t>
  </si>
  <si>
    <t>ExpColNo</t>
  </si>
  <si>
    <t>ExpRowNo</t>
  </si>
  <si>
    <t>NSoilConcentration</t>
  </si>
  <si>
    <t>WalkingOrderNo</t>
  </si>
  <si>
    <t>WaterTrt</t>
  </si>
  <si>
    <t>DesignTrt</t>
  </si>
  <si>
    <t>AgronomyTrt</t>
  </si>
  <si>
    <t>LightTrt</t>
  </si>
  <si>
    <t>SiteSide</t>
  </si>
  <si>
    <t>RowSpacing_cm</t>
  </si>
  <si>
    <t>TOS</t>
  </si>
  <si>
    <t>TOSDate</t>
  </si>
  <si>
    <t>TOSDateJw</t>
  </si>
  <si>
    <t>BarcodeCalc</t>
  </si>
  <si>
    <t>Crop</t>
  </si>
  <si>
    <t>2019_NSW_Greenethorpe_Mixed_Detailed</t>
  </si>
  <si>
    <t>Mixed</t>
  </si>
  <si>
    <t>Lentil</t>
  </si>
  <si>
    <t>N</t>
  </si>
  <si>
    <t>RainFed</t>
  </si>
  <si>
    <t>11/06/2019</t>
  </si>
  <si>
    <t>2019002-1</t>
  </si>
  <si>
    <t>Y</t>
  </si>
  <si>
    <t>2019002-2</t>
  </si>
  <si>
    <t>2019002-3</t>
  </si>
  <si>
    <t>2019002-4</t>
  </si>
  <si>
    <t>30/04/2019</t>
  </si>
  <si>
    <t>2019002-5</t>
  </si>
  <si>
    <t>2019002-6</t>
  </si>
  <si>
    <t>2019002-7</t>
  </si>
  <si>
    <t>2019002-8</t>
  </si>
  <si>
    <t>21/05/2019</t>
  </si>
  <si>
    <t>2019002-9</t>
  </si>
  <si>
    <t>2019002-10</t>
  </si>
  <si>
    <t>2019002-11</t>
  </si>
  <si>
    <t>2019002-12</t>
  </si>
  <si>
    <t>Irrigated</t>
  </si>
  <si>
    <t>2019002-13</t>
  </si>
  <si>
    <t>2019002-14</t>
  </si>
  <si>
    <t>2019002-15</t>
  </si>
  <si>
    <t>2019002-16</t>
  </si>
  <si>
    <t>2019002-17</t>
  </si>
  <si>
    <t>2019002-18</t>
  </si>
  <si>
    <t>2019002-19</t>
  </si>
  <si>
    <t>2019002-20</t>
  </si>
  <si>
    <t>2019002-21</t>
  </si>
  <si>
    <t>2019002-22</t>
  </si>
  <si>
    <t>2019002-23</t>
  </si>
  <si>
    <t>2019002-24</t>
  </si>
  <si>
    <t>2019002-25</t>
  </si>
  <si>
    <t>2019002-26</t>
  </si>
  <si>
    <t>2019002-27</t>
  </si>
  <si>
    <t>2019002-28</t>
  </si>
  <si>
    <t>2019002-29</t>
  </si>
  <si>
    <t>2019002-30</t>
  </si>
  <si>
    <t>2019002-31</t>
  </si>
  <si>
    <t>2019002-32</t>
  </si>
  <si>
    <t>2019002-33</t>
  </si>
  <si>
    <t>2019002-34</t>
  </si>
  <si>
    <t>2019002-35</t>
  </si>
  <si>
    <t>2019002-36</t>
  </si>
  <si>
    <t>2019002-37</t>
  </si>
  <si>
    <t>2019002-38</t>
  </si>
  <si>
    <t>2019002-39</t>
  </si>
  <si>
    <t>2019002-40</t>
  </si>
  <si>
    <t>2019002-41</t>
  </si>
  <si>
    <t>2019002-42</t>
  </si>
  <si>
    <t>2019002-43</t>
  </si>
  <si>
    <t>2019002-44</t>
  </si>
  <si>
    <t>2019002-45</t>
  </si>
  <si>
    <t>2019002-46</t>
  </si>
  <si>
    <t>2019002-47</t>
  </si>
  <si>
    <t>2019002-48</t>
  </si>
  <si>
    <t>2019002-49</t>
  </si>
  <si>
    <t>2019002-50</t>
  </si>
  <si>
    <t>2019002-51</t>
  </si>
  <si>
    <t>2019002-52</t>
  </si>
  <si>
    <t>2019002-53</t>
  </si>
  <si>
    <t>2019002-54</t>
  </si>
  <si>
    <t>2019002-55</t>
  </si>
  <si>
    <t>2019002-56</t>
  </si>
  <si>
    <t>2019002-57</t>
  </si>
  <si>
    <t>2019002-58</t>
  </si>
  <si>
    <t>2019002-59</t>
  </si>
  <si>
    <t>2019002-60</t>
  </si>
  <si>
    <t>2019002-61</t>
  </si>
  <si>
    <t>2019002-62</t>
  </si>
  <si>
    <t>2019002-63</t>
  </si>
  <si>
    <t>2019002-64</t>
  </si>
  <si>
    <t>2019002-65</t>
  </si>
  <si>
    <t>2019002-66</t>
  </si>
  <si>
    <t>2019002-67</t>
  </si>
  <si>
    <t>2019002-68</t>
  </si>
  <si>
    <t>2019002-69</t>
  </si>
  <si>
    <t>2019002-70</t>
  </si>
  <si>
    <t>2019002-71</t>
  </si>
  <si>
    <t>2019002-72</t>
  </si>
  <si>
    <t>Desi</t>
  </si>
  <si>
    <t>2019002-101</t>
  </si>
  <si>
    <t>2019002-102</t>
  </si>
  <si>
    <t>2019002-103</t>
  </si>
  <si>
    <t>2019002-104</t>
  </si>
  <si>
    <t>2019002-105</t>
  </si>
  <si>
    <t>2019002-106</t>
  </si>
  <si>
    <t>2019002-107</t>
  </si>
  <si>
    <t>2019002-108</t>
  </si>
  <si>
    <t>2019002-109</t>
  </si>
  <si>
    <t>2019002-110</t>
  </si>
  <si>
    <t>2019002-111</t>
  </si>
  <si>
    <t>2019002-112</t>
  </si>
  <si>
    <t>2019002-113</t>
  </si>
  <si>
    <t>2019002-114</t>
  </si>
  <si>
    <t>2019002-115</t>
  </si>
  <si>
    <t>2019002-116</t>
  </si>
  <si>
    <t>2019002-117</t>
  </si>
  <si>
    <t>2019002-118</t>
  </si>
  <si>
    <t>2019002-119</t>
  </si>
  <si>
    <t>2019002-120</t>
  </si>
  <si>
    <t>2019002-121</t>
  </si>
  <si>
    <t>2019002-122</t>
  </si>
  <si>
    <t>2019002-123</t>
  </si>
  <si>
    <t>2019002-124</t>
  </si>
  <si>
    <t>2019002-125</t>
  </si>
  <si>
    <t>2019002-126</t>
  </si>
  <si>
    <t>2019002-127</t>
  </si>
  <si>
    <t>2019002-128</t>
  </si>
  <si>
    <t>2019002-129</t>
  </si>
  <si>
    <t>2019002-130</t>
  </si>
  <si>
    <t>2019002-131</t>
  </si>
  <si>
    <t>2019002-132</t>
  </si>
  <si>
    <t>2019002-133</t>
  </si>
  <si>
    <t>2019002-134</t>
  </si>
  <si>
    <t>2019002-135</t>
  </si>
  <si>
    <t>2019002-136</t>
  </si>
  <si>
    <t>2019002-137</t>
  </si>
  <si>
    <t>2019002-138</t>
  </si>
  <si>
    <t>2019002-139</t>
  </si>
  <si>
    <t>2019002-140</t>
  </si>
  <si>
    <t>2019002-141</t>
  </si>
  <si>
    <t>2019002-142</t>
  </si>
  <si>
    <t>2019002-143</t>
  </si>
  <si>
    <t>2019002-144</t>
  </si>
  <si>
    <t>2019002-145</t>
  </si>
  <si>
    <t>2019002-146</t>
  </si>
  <si>
    <t>2019002-147</t>
  </si>
  <si>
    <t>2019002-148</t>
  </si>
  <si>
    <t>2019002-149</t>
  </si>
  <si>
    <t>2019002-150</t>
  </si>
  <si>
    <t>2019002-151</t>
  </si>
  <si>
    <t>2019002-152</t>
  </si>
  <si>
    <t>2019002-153</t>
  </si>
  <si>
    <t>2019002-154</t>
  </si>
  <si>
    <t>2019002-155</t>
  </si>
  <si>
    <t>2019002-156</t>
  </si>
  <si>
    <t>2019002-157</t>
  </si>
  <si>
    <t>2019002-158</t>
  </si>
  <si>
    <t>2019002-159</t>
  </si>
  <si>
    <t>2019002-160</t>
  </si>
  <si>
    <t>2019002-161</t>
  </si>
  <si>
    <t>2019002-162</t>
  </si>
  <si>
    <t>2019002-163</t>
  </si>
  <si>
    <t>2019002-164</t>
  </si>
  <si>
    <t>2019002-165</t>
  </si>
  <si>
    <t>2019002-166</t>
  </si>
  <si>
    <t>2019002-167</t>
  </si>
  <si>
    <t>2019002-168</t>
  </si>
  <si>
    <t>2019002-169</t>
  </si>
  <si>
    <t>2019002-170</t>
  </si>
  <si>
    <t>2019002-171</t>
  </si>
  <si>
    <t>2019002-172</t>
  </si>
  <si>
    <t>Kabuli</t>
  </si>
  <si>
    <t>Genesis_090</t>
  </si>
  <si>
    <t>2019002-201</t>
  </si>
  <si>
    <t>2019002-202</t>
  </si>
  <si>
    <t>2019002-203</t>
  </si>
  <si>
    <t>2019002-204</t>
  </si>
  <si>
    <t>2019002-205</t>
  </si>
  <si>
    <t>2019002-206</t>
  </si>
  <si>
    <t>2019002-207</t>
  </si>
  <si>
    <t>2019002-208</t>
  </si>
  <si>
    <t>2019002-209</t>
  </si>
  <si>
    <t>2019002-210</t>
  </si>
  <si>
    <t>2019002-211</t>
  </si>
  <si>
    <t>2019002-212</t>
  </si>
  <si>
    <t>2019002-213</t>
  </si>
  <si>
    <t>2019002-214</t>
  </si>
  <si>
    <t>2019002-215</t>
  </si>
  <si>
    <t>2019002-216</t>
  </si>
  <si>
    <t>2019002-217</t>
  </si>
  <si>
    <t>2019002-218</t>
  </si>
  <si>
    <t>2019002-219</t>
  </si>
  <si>
    <t>2019002-220</t>
  </si>
  <si>
    <t>2019002-221</t>
  </si>
  <si>
    <t>2019002-222</t>
  </si>
  <si>
    <t>2019002-223</t>
  </si>
  <si>
    <t>2019002-224</t>
  </si>
  <si>
    <t>2019002-225</t>
  </si>
  <si>
    <t>2019002-226</t>
  </si>
  <si>
    <t>2019002-227</t>
  </si>
  <si>
    <t>2019002-228</t>
  </si>
  <si>
    <t>2019002-229</t>
  </si>
  <si>
    <t>2019002-230</t>
  </si>
  <si>
    <t>2019002-231</t>
  </si>
  <si>
    <t>2019002-232</t>
  </si>
  <si>
    <t>2019002-233</t>
  </si>
  <si>
    <t>2019002-234</t>
  </si>
  <si>
    <t>2019002-235</t>
  </si>
  <si>
    <t>2019002-236</t>
  </si>
  <si>
    <t>2019002-237</t>
  </si>
  <si>
    <t>2019002-238</t>
  </si>
  <si>
    <t>2019002-239</t>
  </si>
  <si>
    <t>2019002-240</t>
  </si>
  <si>
    <t>2019002-241</t>
  </si>
  <si>
    <t>2019002-242</t>
  </si>
  <si>
    <t>2019002-243</t>
  </si>
  <si>
    <t>2019002-244</t>
  </si>
  <si>
    <t>2019002-245</t>
  </si>
  <si>
    <t>2019002-246</t>
  </si>
  <si>
    <t>2019002-247</t>
  </si>
  <si>
    <t>2019002-248</t>
  </si>
  <si>
    <t>2019002-249</t>
  </si>
  <si>
    <t>2019002-250</t>
  </si>
  <si>
    <t>2019002-251</t>
  </si>
  <si>
    <t>2019002-252</t>
  </si>
  <si>
    <t>2019002-253</t>
  </si>
  <si>
    <t>2019002-254</t>
  </si>
  <si>
    <t>2022_Qld_Gatton_Chickpea_Detailed</t>
  </si>
  <si>
    <t>Chickpea</t>
  </si>
  <si>
    <t>CBA_Captain</t>
  </si>
  <si>
    <t>D</t>
  </si>
  <si>
    <t>13/06/2022</t>
  </si>
  <si>
    <t>2022001-1</t>
  </si>
  <si>
    <t>ND</t>
  </si>
  <si>
    <t>2022001-2</t>
  </si>
  <si>
    <t>2022001-3</t>
  </si>
  <si>
    <t>2022001-4</t>
  </si>
  <si>
    <t>2022001-5</t>
  </si>
  <si>
    <t>2022001-6</t>
  </si>
  <si>
    <t>2022001-7</t>
  </si>
  <si>
    <t>2022001-8</t>
  </si>
  <si>
    <t>18/07/2022</t>
  </si>
  <si>
    <t>2022001-9</t>
  </si>
  <si>
    <t>2022001-10</t>
  </si>
  <si>
    <t>2022001-11</t>
  </si>
  <si>
    <t>2022001-12</t>
  </si>
  <si>
    <t>2022001-13</t>
  </si>
  <si>
    <t>2022001-14</t>
  </si>
  <si>
    <t>2022001-15</t>
  </si>
  <si>
    <t>2022001-16</t>
  </si>
  <si>
    <t>2022001-17</t>
  </si>
  <si>
    <t>2022001-18</t>
  </si>
  <si>
    <t>2022001-19</t>
  </si>
  <si>
    <t>2022001-20</t>
  </si>
  <si>
    <t>2022001-21</t>
  </si>
  <si>
    <t>2022001-22</t>
  </si>
  <si>
    <t>2022001-23</t>
  </si>
  <si>
    <t>2022001-24</t>
  </si>
  <si>
    <t>2022001-25</t>
  </si>
  <si>
    <t>2022001-26</t>
  </si>
  <si>
    <t>2022001-27</t>
  </si>
  <si>
    <t>2022001-28</t>
  </si>
  <si>
    <t>2022001-29</t>
  </si>
  <si>
    <t>2022001-30</t>
  </si>
  <si>
    <t>2022001-31</t>
  </si>
  <si>
    <t>2022001-32</t>
  </si>
  <si>
    <t>2022001-33</t>
  </si>
  <si>
    <t>2022001-34</t>
  </si>
  <si>
    <t>2022001-35</t>
  </si>
  <si>
    <t>2022001-36</t>
  </si>
  <si>
    <t>2022001-37</t>
  </si>
  <si>
    <t>2022001-38</t>
  </si>
  <si>
    <t>2022001-39</t>
  </si>
  <si>
    <t>2022001-40</t>
  </si>
  <si>
    <t>2022001-41</t>
  </si>
  <si>
    <t>2022001-42</t>
  </si>
  <si>
    <t>2022001-43</t>
  </si>
  <si>
    <t>2022001-44</t>
  </si>
  <si>
    <t>2022001-45</t>
  </si>
  <si>
    <t>2022001-46</t>
  </si>
  <si>
    <t>2022001-47</t>
  </si>
  <si>
    <t>2022001-48</t>
  </si>
  <si>
    <t>2022001-49</t>
  </si>
  <si>
    <t>2022001-50</t>
  </si>
  <si>
    <t>2022001-51</t>
  </si>
  <si>
    <t>2022001-52</t>
  </si>
  <si>
    <t>2022001-53</t>
  </si>
  <si>
    <t>2022001-54</t>
  </si>
  <si>
    <t>2022001-55</t>
  </si>
  <si>
    <t>2022001-56</t>
  </si>
  <si>
    <t>2022001-57</t>
  </si>
  <si>
    <t>2022001-58</t>
  </si>
  <si>
    <t>2022001-59</t>
  </si>
  <si>
    <t>2022001-60</t>
  </si>
  <si>
    <t>2022001-61</t>
  </si>
  <si>
    <t>2022001-62</t>
  </si>
  <si>
    <t>2022001-63</t>
  </si>
  <si>
    <t>2022001-64</t>
  </si>
  <si>
    <t>2022001-65</t>
  </si>
  <si>
    <t>2022001-66</t>
  </si>
  <si>
    <t>2022001-67</t>
  </si>
  <si>
    <t>2022001-68</t>
  </si>
  <si>
    <t>2022001-69</t>
  </si>
  <si>
    <t>2022001-70</t>
  </si>
  <si>
    <t>2022001-71</t>
  </si>
  <si>
    <t>2022001-72</t>
  </si>
  <si>
    <t>2022001-73</t>
  </si>
  <si>
    <t>2022001-74</t>
  </si>
  <si>
    <t>2022001-75</t>
  </si>
  <si>
    <t>2022001-76</t>
  </si>
  <si>
    <t>2022001-77</t>
  </si>
  <si>
    <t>2022001-78</t>
  </si>
  <si>
    <t>2022001-79</t>
  </si>
  <si>
    <t>2022001-80</t>
  </si>
  <si>
    <t>2022001-81</t>
  </si>
  <si>
    <t>2022001-82</t>
  </si>
  <si>
    <t>2022001-83</t>
  </si>
  <si>
    <t>2022001-84</t>
  </si>
  <si>
    <t>2022001-85</t>
  </si>
  <si>
    <t>2022001-86</t>
  </si>
  <si>
    <t>2022001-87</t>
  </si>
  <si>
    <t>2022001-88</t>
  </si>
  <si>
    <t>2022001-89</t>
  </si>
  <si>
    <t>2022001-90</t>
  </si>
  <si>
    <t>2022001-91</t>
  </si>
  <si>
    <t>2022001-92</t>
  </si>
  <si>
    <t>2022001-93</t>
  </si>
  <si>
    <t>2022001-94</t>
  </si>
  <si>
    <t>2022001-95</t>
  </si>
  <si>
    <t>2022001-96</t>
  </si>
  <si>
    <t>2022001-97</t>
  </si>
  <si>
    <t>2022001-98</t>
  </si>
  <si>
    <t>2022001-99</t>
  </si>
  <si>
    <t>2022001-100</t>
  </si>
  <si>
    <t>2022001-101</t>
  </si>
  <si>
    <t>2022001-102</t>
  </si>
  <si>
    <t>2022001-103</t>
  </si>
  <si>
    <t>2022001-104</t>
  </si>
  <si>
    <t>2022001-105</t>
  </si>
  <si>
    <t>2022001-106</t>
  </si>
  <si>
    <t>2022001-107</t>
  </si>
  <si>
    <t>2022001-108</t>
  </si>
  <si>
    <t>2022001-109</t>
  </si>
  <si>
    <t>2022001-110</t>
  </si>
  <si>
    <t>2022001-111</t>
  </si>
  <si>
    <t>2022001-112</t>
  </si>
  <si>
    <t>2022001-113</t>
  </si>
  <si>
    <t>2022001-114</t>
  </si>
  <si>
    <t>2022001-115</t>
  </si>
  <si>
    <t>2022001-116</t>
  </si>
  <si>
    <t>2022001-117</t>
  </si>
  <si>
    <t>2022001-118</t>
  </si>
  <si>
    <t>2022001-119</t>
  </si>
  <si>
    <t>2022001-120</t>
  </si>
  <si>
    <t>2022001-121</t>
  </si>
  <si>
    <t>2022001-122</t>
  </si>
  <si>
    <t>2022001-123</t>
  </si>
  <si>
    <t>2022001-124</t>
  </si>
  <si>
    <t>2022001-125</t>
  </si>
  <si>
    <t>2022001-126</t>
  </si>
  <si>
    <t>2022001-127</t>
  </si>
  <si>
    <t>2022001-128</t>
  </si>
  <si>
    <t>2022_Vic_Kalkee_Chickpea_Detailed</t>
  </si>
  <si>
    <t>28/06/2022</t>
  </si>
  <si>
    <t>2022002-1</t>
  </si>
  <si>
    <t>2022002-2</t>
  </si>
  <si>
    <t>2022002-3</t>
  </si>
  <si>
    <t>2022002-4</t>
  </si>
  <si>
    <t>2022002-5</t>
  </si>
  <si>
    <t>2022002-6</t>
  </si>
  <si>
    <t>2022002-7</t>
  </si>
  <si>
    <t>2022002-8</t>
  </si>
  <si>
    <t>2022002-9</t>
  </si>
  <si>
    <t>2022002-10</t>
  </si>
  <si>
    <t>2022002-11</t>
  </si>
  <si>
    <t>2022002-12</t>
  </si>
  <si>
    <t>2022002-13</t>
  </si>
  <si>
    <t>2022002-14</t>
  </si>
  <si>
    <t>2022002-15</t>
  </si>
  <si>
    <t>2022002-16</t>
  </si>
  <si>
    <t>23/05/2022</t>
  </si>
  <si>
    <t>2022002-17</t>
  </si>
  <si>
    <t>2022002-18</t>
  </si>
  <si>
    <t>2022002-19</t>
  </si>
  <si>
    <t>2022002-20</t>
  </si>
  <si>
    <t>2022002-21</t>
  </si>
  <si>
    <t>2022002-22</t>
  </si>
  <si>
    <t>2022002-23</t>
  </si>
  <si>
    <t>2022002-24</t>
  </si>
  <si>
    <t>2022002-25</t>
  </si>
  <si>
    <t>2022002-26</t>
  </si>
  <si>
    <t>2022002-27</t>
  </si>
  <si>
    <t>2022002-28</t>
  </si>
  <si>
    <t>2022002-29</t>
  </si>
  <si>
    <t>2022002-30</t>
  </si>
  <si>
    <t>2022002-31</t>
  </si>
  <si>
    <t>2022002-32</t>
  </si>
  <si>
    <t>2022002-33</t>
  </si>
  <si>
    <t>2022002-34</t>
  </si>
  <si>
    <t>2022002-35</t>
  </si>
  <si>
    <t>2022002-36</t>
  </si>
  <si>
    <t>2022002-37</t>
  </si>
  <si>
    <t>2022002-38</t>
  </si>
  <si>
    <t>2022002-39</t>
  </si>
  <si>
    <t>2022002-40</t>
  </si>
  <si>
    <t>2022002-41</t>
  </si>
  <si>
    <t>2022002-42</t>
  </si>
  <si>
    <t>2022002-43</t>
  </si>
  <si>
    <t>2022002-44</t>
  </si>
  <si>
    <t>2022002-45</t>
  </si>
  <si>
    <t>2022002-46</t>
  </si>
  <si>
    <t>2022002-47</t>
  </si>
  <si>
    <t>2022002-48</t>
  </si>
  <si>
    <t>2022002-49</t>
  </si>
  <si>
    <t>2022002-50</t>
  </si>
  <si>
    <t>2022002-51</t>
  </si>
  <si>
    <t>2022002-52</t>
  </si>
  <si>
    <t>2022002-53</t>
  </si>
  <si>
    <t>2022002-54</t>
  </si>
  <si>
    <t>2022002-55</t>
  </si>
  <si>
    <t>2022002-56</t>
  </si>
  <si>
    <t>2022002-57</t>
  </si>
  <si>
    <t>2022002-58</t>
  </si>
  <si>
    <t>2022002-59</t>
  </si>
  <si>
    <t>2022002-60</t>
  </si>
  <si>
    <t>2022002-61</t>
  </si>
  <si>
    <t>2022002-62</t>
  </si>
  <si>
    <t>2022002-63</t>
  </si>
  <si>
    <t>2022002-64</t>
  </si>
  <si>
    <t>2022002-65</t>
  </si>
  <si>
    <t>2022002-66</t>
  </si>
  <si>
    <t>2022002-67</t>
  </si>
  <si>
    <t>2022002-68</t>
  </si>
  <si>
    <t>2022002-69</t>
  </si>
  <si>
    <t>2022002-70</t>
  </si>
  <si>
    <t>2022002-71</t>
  </si>
  <si>
    <t>2022002-72</t>
  </si>
  <si>
    <t>2022002-73</t>
  </si>
  <si>
    <t>2022002-74</t>
  </si>
  <si>
    <t>2022002-75</t>
  </si>
  <si>
    <t>2022002-76</t>
  </si>
  <si>
    <t>2022002-77</t>
  </si>
  <si>
    <t>2022002-78</t>
  </si>
  <si>
    <t>2022002-79</t>
  </si>
  <si>
    <t>2022002-80</t>
  </si>
  <si>
    <t>2022002-81</t>
  </si>
  <si>
    <t>2022002-82</t>
  </si>
  <si>
    <t>2022002-83</t>
  </si>
  <si>
    <t>2022002-84</t>
  </si>
  <si>
    <t>2022002-85</t>
  </si>
  <si>
    <t>2022002-86</t>
  </si>
  <si>
    <t>2022002-87</t>
  </si>
  <si>
    <t>2022002-88</t>
  </si>
  <si>
    <t>2022002-89</t>
  </si>
  <si>
    <t>2022002-90</t>
  </si>
  <si>
    <t>2022002-91</t>
  </si>
  <si>
    <t>2022002-92</t>
  </si>
  <si>
    <t>2022002-93</t>
  </si>
  <si>
    <t>2022002-94</t>
  </si>
  <si>
    <t>2022002-95</t>
  </si>
  <si>
    <t>2022002-96</t>
  </si>
  <si>
    <t>2022002-97</t>
  </si>
  <si>
    <t>2022002-98</t>
  </si>
  <si>
    <t>2022002-99</t>
  </si>
  <si>
    <t>2022002-100</t>
  </si>
  <si>
    <t>2022002-101</t>
  </si>
  <si>
    <t>2022002-102</t>
  </si>
  <si>
    <t>2022002-103</t>
  </si>
  <si>
    <t>2022002-104</t>
  </si>
  <si>
    <t>2022002-105</t>
  </si>
  <si>
    <t>2022002-106</t>
  </si>
  <si>
    <t>2022002-107</t>
  </si>
  <si>
    <t>2022002-108</t>
  </si>
  <si>
    <t>2022002-109</t>
  </si>
  <si>
    <t>2022002-110</t>
  </si>
  <si>
    <t>2022002-111</t>
  </si>
  <si>
    <t>2022002-112</t>
  </si>
  <si>
    <t>2022002-113</t>
  </si>
  <si>
    <t>2022002-114</t>
  </si>
  <si>
    <t>2022002-115</t>
  </si>
  <si>
    <t>2022002-116</t>
  </si>
  <si>
    <t>2022002-117</t>
  </si>
  <si>
    <t>2022002-118</t>
  </si>
  <si>
    <t>2022002-119</t>
  </si>
  <si>
    <t>2022002-120</t>
  </si>
  <si>
    <t>2022002-121</t>
  </si>
  <si>
    <t>2022002-122</t>
  </si>
  <si>
    <t>2022002-123</t>
  </si>
  <si>
    <t>2022002-124</t>
  </si>
  <si>
    <t>2022002-125</t>
  </si>
  <si>
    <t>2022002-126</t>
  </si>
  <si>
    <t>2022002-127</t>
  </si>
  <si>
    <t>2022002-128</t>
  </si>
  <si>
    <t>2022_NSW_WaggaWagga_Chickpea_Detailed</t>
  </si>
  <si>
    <t>15/06/2022</t>
  </si>
  <si>
    <t>2022003-1</t>
  </si>
  <si>
    <t>2022003-2</t>
  </si>
  <si>
    <t>2022003-3</t>
  </si>
  <si>
    <t>2022003-4</t>
  </si>
  <si>
    <t>2022003-5</t>
  </si>
  <si>
    <t>2022003-6</t>
  </si>
  <si>
    <t>2022003-7</t>
  </si>
  <si>
    <t>2022003-8</t>
  </si>
  <si>
    <t>11/05/2022</t>
  </si>
  <si>
    <t>2022003-9</t>
  </si>
  <si>
    <t>2022003-10</t>
  </si>
  <si>
    <t>2022003-11</t>
  </si>
  <si>
    <t>2022003-12</t>
  </si>
  <si>
    <t>2022003-13</t>
  </si>
  <si>
    <t>2022003-14</t>
  </si>
  <si>
    <t>2022003-15</t>
  </si>
  <si>
    <t>2022003-16</t>
  </si>
  <si>
    <t>2022003-17</t>
  </si>
  <si>
    <t>2022003-18</t>
  </si>
  <si>
    <t>2022003-19</t>
  </si>
  <si>
    <t>2022003-20</t>
  </si>
  <si>
    <t>2022003-21</t>
  </si>
  <si>
    <t>2022003-22</t>
  </si>
  <si>
    <t>2022003-23</t>
  </si>
  <si>
    <t>2022003-24</t>
  </si>
  <si>
    <t>2022003-25</t>
  </si>
  <si>
    <t>2022003-26</t>
  </si>
  <si>
    <t>2022003-27</t>
  </si>
  <si>
    <t>2022003-28</t>
  </si>
  <si>
    <t>2022003-29</t>
  </si>
  <si>
    <t>2022003-30</t>
  </si>
  <si>
    <t>2022003-31</t>
  </si>
  <si>
    <t>2022003-32</t>
  </si>
  <si>
    <t>2022003-33</t>
  </si>
  <si>
    <t>2022003-34</t>
  </si>
  <si>
    <t>2022003-35</t>
  </si>
  <si>
    <t>2022003-36</t>
  </si>
  <si>
    <t>2022003-37</t>
  </si>
  <si>
    <t>2022003-38</t>
  </si>
  <si>
    <t>2022003-39</t>
  </si>
  <si>
    <t>2022003-40</t>
  </si>
  <si>
    <t>2022003-41</t>
  </si>
  <si>
    <t>2022003-42</t>
  </si>
  <si>
    <t>2022003-43</t>
  </si>
  <si>
    <t>2022003-44</t>
  </si>
  <si>
    <t>2022003-45</t>
  </si>
  <si>
    <t>2022003-46</t>
  </si>
  <si>
    <t>2022003-47</t>
  </si>
  <si>
    <t>2022003-48</t>
  </si>
  <si>
    <t>2022003-49</t>
  </si>
  <si>
    <t>2022003-50</t>
  </si>
  <si>
    <t>2022003-51</t>
  </si>
  <si>
    <t>2022003-52</t>
  </si>
  <si>
    <t>2022003-53</t>
  </si>
  <si>
    <t>2022003-54</t>
  </si>
  <si>
    <t>2022003-55</t>
  </si>
  <si>
    <t>2022003-56</t>
  </si>
  <si>
    <t>2022003-57</t>
  </si>
  <si>
    <t>2022003-58</t>
  </si>
  <si>
    <t>2022003-59</t>
  </si>
  <si>
    <t>2022003-60</t>
  </si>
  <si>
    <t>2022003-61</t>
  </si>
  <si>
    <t>2022003-62</t>
  </si>
  <si>
    <t>2022003-63</t>
  </si>
  <si>
    <t>2022003-64</t>
  </si>
  <si>
    <t>2022003-65</t>
  </si>
  <si>
    <t>2022003-66</t>
  </si>
  <si>
    <t>2022003-67</t>
  </si>
  <si>
    <t>2022003-68</t>
  </si>
  <si>
    <t>2022003-69</t>
  </si>
  <si>
    <t>2022003-70</t>
  </si>
  <si>
    <t>2022003-71</t>
  </si>
  <si>
    <t>2022003-72</t>
  </si>
  <si>
    <t>2022003-73</t>
  </si>
  <si>
    <t>2022003-74</t>
  </si>
  <si>
    <t>2022003-75</t>
  </si>
  <si>
    <t>2022003-76</t>
  </si>
  <si>
    <t>2022003-77</t>
  </si>
  <si>
    <t>2022003-78</t>
  </si>
  <si>
    <t>2022003-79</t>
  </si>
  <si>
    <t>2022003-80</t>
  </si>
  <si>
    <t>2022003-81</t>
  </si>
  <si>
    <t>2022003-82</t>
  </si>
  <si>
    <t>2022003-83</t>
  </si>
  <si>
    <t>2022003-84</t>
  </si>
  <si>
    <t>2022003-85</t>
  </si>
  <si>
    <t>2022003-86</t>
  </si>
  <si>
    <t>2022003-87</t>
  </si>
  <si>
    <t>2022003-88</t>
  </si>
  <si>
    <t>2022003-89</t>
  </si>
  <si>
    <t>2022003-90</t>
  </si>
  <si>
    <t>2022003-91</t>
  </si>
  <si>
    <t>2022003-92</t>
  </si>
  <si>
    <t>2022003-93</t>
  </si>
  <si>
    <t>2022003-94</t>
  </si>
  <si>
    <t>2022003-95</t>
  </si>
  <si>
    <t>2022003-96</t>
  </si>
  <si>
    <t>2022003-97</t>
  </si>
  <si>
    <t>2022003-98</t>
  </si>
  <si>
    <t>2022003-99</t>
  </si>
  <si>
    <t>2022003-100</t>
  </si>
  <si>
    <t>2022003-101</t>
  </si>
  <si>
    <t>2022003-102</t>
  </si>
  <si>
    <t>2022003-103</t>
  </si>
  <si>
    <t>2022003-104</t>
  </si>
  <si>
    <t>2022003-105</t>
  </si>
  <si>
    <t>2022003-106</t>
  </si>
  <si>
    <t>2022003-107</t>
  </si>
  <si>
    <t>2022003-108</t>
  </si>
  <si>
    <t>2022003-109</t>
  </si>
  <si>
    <t>2022003-110</t>
  </si>
  <si>
    <t>2022003-111</t>
  </si>
  <si>
    <t>2022003-112</t>
  </si>
  <si>
    <t>2022003-113</t>
  </si>
  <si>
    <t>2022003-114</t>
  </si>
  <si>
    <t>2022003-115</t>
  </si>
  <si>
    <t>2022003-116</t>
  </si>
  <si>
    <t>2022003-117</t>
  </si>
  <si>
    <t>2022003-118</t>
  </si>
  <si>
    <t>2022003-119</t>
  </si>
  <si>
    <t>2022003-120</t>
  </si>
  <si>
    <t>2022003-121</t>
  </si>
  <si>
    <t>2022003-122</t>
  </si>
  <si>
    <t>2022003-123</t>
  </si>
  <si>
    <t>2022003-124</t>
  </si>
  <si>
    <t>2022003-125</t>
  </si>
  <si>
    <t>2022003-126</t>
  </si>
  <si>
    <t>2022003-127</t>
  </si>
  <si>
    <t>2022003-128</t>
  </si>
  <si>
    <t>2022_SA_Riverton_Fababean_Detailed</t>
  </si>
  <si>
    <t>Fababean</t>
  </si>
  <si>
    <t>14/07/2022</t>
  </si>
  <si>
    <t>2022004-1</t>
  </si>
  <si>
    <t>2022004-2</t>
  </si>
  <si>
    <t>2022004-3</t>
  </si>
  <si>
    <t>2022004-4</t>
  </si>
  <si>
    <t>2022004-5</t>
  </si>
  <si>
    <t>2022004-6</t>
  </si>
  <si>
    <t>2022004-7</t>
  </si>
  <si>
    <t>2022004-8</t>
  </si>
  <si>
    <t>18/06/2022</t>
  </si>
  <si>
    <t>2022004-9</t>
  </si>
  <si>
    <t>2022004-10</t>
  </si>
  <si>
    <t>2022004-11</t>
  </si>
  <si>
    <t>2022004-12</t>
  </si>
  <si>
    <t>2022004-13</t>
  </si>
  <si>
    <t>2022004-14</t>
  </si>
  <si>
    <t>2022004-15</t>
  </si>
  <si>
    <t>2022004-16</t>
  </si>
  <si>
    <t>2022004-17</t>
  </si>
  <si>
    <t>2022004-18</t>
  </si>
  <si>
    <t>2022004-19</t>
  </si>
  <si>
    <t>2022004-20</t>
  </si>
  <si>
    <t>2022004-21</t>
  </si>
  <si>
    <t>2022004-22</t>
  </si>
  <si>
    <t>2022004-23</t>
  </si>
  <si>
    <t>2022004-24</t>
  </si>
  <si>
    <t>2022004-25</t>
  </si>
  <si>
    <t>2022004-26</t>
  </si>
  <si>
    <t>2022004-27</t>
  </si>
  <si>
    <t>2022004-28</t>
  </si>
  <si>
    <t>2022004-29</t>
  </si>
  <si>
    <t>2022004-30</t>
  </si>
  <si>
    <t>2022004-31</t>
  </si>
  <si>
    <t>2022004-32</t>
  </si>
  <si>
    <t>2022004-33</t>
  </si>
  <si>
    <t>2022004-34</t>
  </si>
  <si>
    <t>2022004-35</t>
  </si>
  <si>
    <t>2022004-36</t>
  </si>
  <si>
    <t>2022004-37</t>
  </si>
  <si>
    <t>2022004-38</t>
  </si>
  <si>
    <t>2022004-39</t>
  </si>
  <si>
    <t>2022004-40</t>
  </si>
  <si>
    <t>2022004-41</t>
  </si>
  <si>
    <t>2022004-42</t>
  </si>
  <si>
    <t>2022004-43</t>
  </si>
  <si>
    <t>2022004-44</t>
  </si>
  <si>
    <t>2022004-45</t>
  </si>
  <si>
    <t>2022004-46</t>
  </si>
  <si>
    <t>2022004-47</t>
  </si>
  <si>
    <t>2022004-48</t>
  </si>
  <si>
    <t>2022004-49</t>
  </si>
  <si>
    <t>2022004-50</t>
  </si>
  <si>
    <t>2022004-51</t>
  </si>
  <si>
    <t>2022004-52</t>
  </si>
  <si>
    <t>2022004-53</t>
  </si>
  <si>
    <t>2022004-54</t>
  </si>
  <si>
    <t>2022004-55</t>
  </si>
  <si>
    <t>2022004-56</t>
  </si>
  <si>
    <t>2022004-57</t>
  </si>
  <si>
    <t>2022004-58</t>
  </si>
  <si>
    <t>2022004-59</t>
  </si>
  <si>
    <t>2022004-60</t>
  </si>
  <si>
    <t>2022004-61</t>
  </si>
  <si>
    <t>2022004-62</t>
  </si>
  <si>
    <t>2022004-63</t>
  </si>
  <si>
    <t>2022004-64</t>
  </si>
  <si>
    <t>2022004-65</t>
  </si>
  <si>
    <t>2022004-66</t>
  </si>
  <si>
    <t>2022004-67</t>
  </si>
  <si>
    <t>2022004-68</t>
  </si>
  <si>
    <t>2022004-69</t>
  </si>
  <si>
    <t>2022004-70</t>
  </si>
  <si>
    <t>2022004-71</t>
  </si>
  <si>
    <t>2022004-72</t>
  </si>
  <si>
    <t>2022004-73</t>
  </si>
  <si>
    <t>2022004-74</t>
  </si>
  <si>
    <t>2022004-75</t>
  </si>
  <si>
    <t>2022004-76</t>
  </si>
  <si>
    <t>2022004-77</t>
  </si>
  <si>
    <t>2022004-78</t>
  </si>
  <si>
    <t>2022004-79</t>
  </si>
  <si>
    <t>2022004-80</t>
  </si>
  <si>
    <t>2022004-81</t>
  </si>
  <si>
    <t>2022004-82</t>
  </si>
  <si>
    <t>2022004-83</t>
  </si>
  <si>
    <t>2022004-84</t>
  </si>
  <si>
    <t>2022004-85</t>
  </si>
  <si>
    <t>2022004-86</t>
  </si>
  <si>
    <t>2022004-87</t>
  </si>
  <si>
    <t>2022004-88</t>
  </si>
  <si>
    <t>2022004-89</t>
  </si>
  <si>
    <t>2022004-90</t>
  </si>
  <si>
    <t>2022004-91</t>
  </si>
  <si>
    <t>2022004-92</t>
  </si>
  <si>
    <t>2022004-93</t>
  </si>
  <si>
    <t>2022004-94</t>
  </si>
  <si>
    <t>2022004-95</t>
  </si>
  <si>
    <t>2022004-96</t>
  </si>
  <si>
    <t>2022004-97</t>
  </si>
  <si>
    <t>2022004-98</t>
  </si>
  <si>
    <t>2022004-99</t>
  </si>
  <si>
    <t>2022004-100</t>
  </si>
  <si>
    <t>2022004-101</t>
  </si>
  <si>
    <t>2022004-102</t>
  </si>
  <si>
    <t>2022004-103</t>
  </si>
  <si>
    <t>2022004-104</t>
  </si>
  <si>
    <t>2022004-105</t>
  </si>
  <si>
    <t>2022004-106</t>
  </si>
  <si>
    <t>2022004-107</t>
  </si>
  <si>
    <t>2022004-108</t>
  </si>
  <si>
    <t>2022004-109</t>
  </si>
  <si>
    <t>2022004-110</t>
  </si>
  <si>
    <t>2022004-111</t>
  </si>
  <si>
    <t>2022004-112</t>
  </si>
  <si>
    <t>2022004-113</t>
  </si>
  <si>
    <t>2022004-114</t>
  </si>
  <si>
    <t>2022004-115</t>
  </si>
  <si>
    <t>2022004-116</t>
  </si>
  <si>
    <t>2022004-117</t>
  </si>
  <si>
    <t>2022004-118</t>
  </si>
  <si>
    <t>2022004-119</t>
  </si>
  <si>
    <t>2022004-120</t>
  </si>
  <si>
    <t>2022004-121</t>
  </si>
  <si>
    <t>2022004-122</t>
  </si>
  <si>
    <t>2022004-123</t>
  </si>
  <si>
    <t>2022004-124</t>
  </si>
  <si>
    <t>2022004-125</t>
  </si>
  <si>
    <t>2022004-126</t>
  </si>
  <si>
    <t>2022004-127</t>
  </si>
  <si>
    <t>2022004-128</t>
  </si>
  <si>
    <t>2022_Vic_Kalkee_Lentil_Detailed</t>
  </si>
  <si>
    <t>2022005-1</t>
  </si>
  <si>
    <t>2022005-2</t>
  </si>
  <si>
    <t>2022005-3</t>
  </si>
  <si>
    <t>2022005-4</t>
  </si>
  <si>
    <t>2022005-5</t>
  </si>
  <si>
    <t>2022005-6</t>
  </si>
  <si>
    <t>2022005-7</t>
  </si>
  <si>
    <t>2022005-8</t>
  </si>
  <si>
    <t>2022005-9</t>
  </si>
  <si>
    <t>2022005-10</t>
  </si>
  <si>
    <t>2022005-11</t>
  </si>
  <si>
    <t>2022005-12</t>
  </si>
  <si>
    <t>2022005-13</t>
  </si>
  <si>
    <t>2022005-14</t>
  </si>
  <si>
    <t>2022005-15</t>
  </si>
  <si>
    <t>2022005-16</t>
  </si>
  <si>
    <t>2022005-17</t>
  </si>
  <si>
    <t>2022005-18</t>
  </si>
  <si>
    <t>2022005-19</t>
  </si>
  <si>
    <t>2022005-20</t>
  </si>
  <si>
    <t>2022005-21</t>
  </si>
  <si>
    <t>2022005-22</t>
  </si>
  <si>
    <t>2022005-23</t>
  </si>
  <si>
    <t>2022005-24</t>
  </si>
  <si>
    <t>2022005-25</t>
  </si>
  <si>
    <t>2022005-26</t>
  </si>
  <si>
    <t>2022005-27</t>
  </si>
  <si>
    <t>2022005-28</t>
  </si>
  <si>
    <t>2022005-29</t>
  </si>
  <si>
    <t>2022005-30</t>
  </si>
  <si>
    <t>2022005-31</t>
  </si>
  <si>
    <t>2022005-32</t>
  </si>
  <si>
    <t>2022005-33</t>
  </si>
  <si>
    <t>2022005-34</t>
  </si>
  <si>
    <t>2022005-35</t>
  </si>
  <si>
    <t>2022005-36</t>
  </si>
  <si>
    <t>2022005-37</t>
  </si>
  <si>
    <t>2022005-38</t>
  </si>
  <si>
    <t>2022005-39</t>
  </si>
  <si>
    <t>2022005-40</t>
  </si>
  <si>
    <t>2022005-41</t>
  </si>
  <si>
    <t>2022005-42</t>
  </si>
  <si>
    <t>2022005-43</t>
  </si>
  <si>
    <t>2022005-44</t>
  </si>
  <si>
    <t>2022005-45</t>
  </si>
  <si>
    <t>2022005-46</t>
  </si>
  <si>
    <t>2022005-47</t>
  </si>
  <si>
    <t>2022005-48</t>
  </si>
  <si>
    <t>2022005-49</t>
  </si>
  <si>
    <t>2022005-50</t>
  </si>
  <si>
    <t>2022005-51</t>
  </si>
  <si>
    <t>2022005-52</t>
  </si>
  <si>
    <t>2022005-53</t>
  </si>
  <si>
    <t>2022005-54</t>
  </si>
  <si>
    <t>2022005-55</t>
  </si>
  <si>
    <t>2022005-56</t>
  </si>
  <si>
    <t>2022005-57</t>
  </si>
  <si>
    <t>2022005-58</t>
  </si>
  <si>
    <t>2022005-59</t>
  </si>
  <si>
    <t>2022005-60</t>
  </si>
  <si>
    <t>2022005-61</t>
  </si>
  <si>
    <t>2022005-62</t>
  </si>
  <si>
    <t>2022005-63</t>
  </si>
  <si>
    <t>2022005-64</t>
  </si>
  <si>
    <t>2022005-65</t>
  </si>
  <si>
    <t>2022005-66</t>
  </si>
  <si>
    <t>2022005-67</t>
  </si>
  <si>
    <t>2022005-68</t>
  </si>
  <si>
    <t>2022005-69</t>
  </si>
  <si>
    <t>2022005-70</t>
  </si>
  <si>
    <t>2022005-71</t>
  </si>
  <si>
    <t>2022005-72</t>
  </si>
  <si>
    <t>2022005-73</t>
  </si>
  <si>
    <t>2022005-74</t>
  </si>
  <si>
    <t>2022005-75</t>
  </si>
  <si>
    <t>2022005-76</t>
  </si>
  <si>
    <t>2022005-77</t>
  </si>
  <si>
    <t>2022005-78</t>
  </si>
  <si>
    <t>2022005-79</t>
  </si>
  <si>
    <t>2022005-80</t>
  </si>
  <si>
    <t>2022005-81</t>
  </si>
  <si>
    <t>2022005-82</t>
  </si>
  <si>
    <t>2022005-83</t>
  </si>
  <si>
    <t>2022005-84</t>
  </si>
  <si>
    <t>2022005-85</t>
  </si>
  <si>
    <t>2022005-86</t>
  </si>
  <si>
    <t>2022005-87</t>
  </si>
  <si>
    <t>2022005-88</t>
  </si>
  <si>
    <t>2022005-89</t>
  </si>
  <si>
    <t>2022005-90</t>
  </si>
  <si>
    <t>2022005-91</t>
  </si>
  <si>
    <t>2022005-92</t>
  </si>
  <si>
    <t>2022005-93</t>
  </si>
  <si>
    <t>2022005-94</t>
  </si>
  <si>
    <t>2022005-95</t>
  </si>
  <si>
    <t>2022005-96</t>
  </si>
  <si>
    <t>2022005-97</t>
  </si>
  <si>
    <t>2022005-98</t>
  </si>
  <si>
    <t>2022005-99</t>
  </si>
  <si>
    <t>2022005-100</t>
  </si>
  <si>
    <t>2022005-101</t>
  </si>
  <si>
    <t>2022005-102</t>
  </si>
  <si>
    <t>2022005-103</t>
  </si>
  <si>
    <t>2022005-104</t>
  </si>
  <si>
    <t>2022005-105</t>
  </si>
  <si>
    <t>2022005-106</t>
  </si>
  <si>
    <t>2022005-107</t>
  </si>
  <si>
    <t>2022005-108</t>
  </si>
  <si>
    <t>2022005-109</t>
  </si>
  <si>
    <t>2022005-110</t>
  </si>
  <si>
    <t>2022005-111</t>
  </si>
  <si>
    <t>2022005-112</t>
  </si>
  <si>
    <t>2022005-113</t>
  </si>
  <si>
    <t>2022005-114</t>
  </si>
  <si>
    <t>2022005-115</t>
  </si>
  <si>
    <t>2022005-116</t>
  </si>
  <si>
    <t>2022005-117</t>
  </si>
  <si>
    <t>2022005-118</t>
  </si>
  <si>
    <t>2022005-119</t>
  </si>
  <si>
    <t>2022005-120</t>
  </si>
  <si>
    <t>2022005-121</t>
  </si>
  <si>
    <t>2022005-122</t>
  </si>
  <si>
    <t>2022005-123</t>
  </si>
  <si>
    <t>2022005-124</t>
  </si>
  <si>
    <t>2022005-125</t>
  </si>
  <si>
    <t>2022005-126</t>
  </si>
  <si>
    <t>2022005-127</t>
  </si>
  <si>
    <t>2022005-128</t>
  </si>
  <si>
    <t>2022_SA_Riverton_Lentil_Detailed</t>
  </si>
  <si>
    <t>2022006-1</t>
  </si>
  <si>
    <t>2022006-2</t>
  </si>
  <si>
    <t>2022006-3</t>
  </si>
  <si>
    <t>2022006-4</t>
  </si>
  <si>
    <t>2022006-5</t>
  </si>
  <si>
    <t>2022006-6</t>
  </si>
  <si>
    <t>2022006-7</t>
  </si>
  <si>
    <t>2022006-8</t>
  </si>
  <si>
    <t>2022006-9</t>
  </si>
  <si>
    <t>2022006-10</t>
  </si>
  <si>
    <t>2022006-11</t>
  </si>
  <si>
    <t>2022006-12</t>
  </si>
  <si>
    <t>2022006-13</t>
  </si>
  <si>
    <t>2022006-14</t>
  </si>
  <si>
    <t>2022006-15</t>
  </si>
  <si>
    <t>2022006-16</t>
  </si>
  <si>
    <t>2022006-17</t>
  </si>
  <si>
    <t>2022006-18</t>
  </si>
  <si>
    <t>2022006-19</t>
  </si>
  <si>
    <t>2022006-20</t>
  </si>
  <si>
    <t>2022006-21</t>
  </si>
  <si>
    <t>2022006-22</t>
  </si>
  <si>
    <t>2022006-23</t>
  </si>
  <si>
    <t>2022006-24</t>
  </si>
  <si>
    <t>2022006-25</t>
  </si>
  <si>
    <t>2022006-26</t>
  </si>
  <si>
    <t>2022006-27</t>
  </si>
  <si>
    <t>2022006-28</t>
  </si>
  <si>
    <t>2022006-29</t>
  </si>
  <si>
    <t>2022006-30</t>
  </si>
  <si>
    <t>2022006-31</t>
  </si>
  <si>
    <t>2022006-32</t>
  </si>
  <si>
    <t>2022006-33</t>
  </si>
  <si>
    <t>2022006-34</t>
  </si>
  <si>
    <t>2022006-35</t>
  </si>
  <si>
    <t>2022006-36</t>
  </si>
  <si>
    <t>2022006-37</t>
  </si>
  <si>
    <t>2022006-38</t>
  </si>
  <si>
    <t>2022006-39</t>
  </si>
  <si>
    <t>2022006-40</t>
  </si>
  <si>
    <t>2022006-41</t>
  </si>
  <si>
    <t>2022006-42</t>
  </si>
  <si>
    <t>2022006-43</t>
  </si>
  <si>
    <t>2022006-44</t>
  </si>
  <si>
    <t>2022006-45</t>
  </si>
  <si>
    <t>2022006-46</t>
  </si>
  <si>
    <t>2022006-47</t>
  </si>
  <si>
    <t>2022006-48</t>
  </si>
  <si>
    <t>2022006-49</t>
  </si>
  <si>
    <t>2022006-50</t>
  </si>
  <si>
    <t>2022006-51</t>
  </si>
  <si>
    <t>2022006-52</t>
  </si>
  <si>
    <t>2022006-53</t>
  </si>
  <si>
    <t>2022006-54</t>
  </si>
  <si>
    <t>2022006-55</t>
  </si>
  <si>
    <t>2022006-56</t>
  </si>
  <si>
    <t>2022006-57</t>
  </si>
  <si>
    <t>2022006-58</t>
  </si>
  <si>
    <t>2022006-59</t>
  </si>
  <si>
    <t>2022006-60</t>
  </si>
  <si>
    <t>2022006-61</t>
  </si>
  <si>
    <t>2022006-62</t>
  </si>
  <si>
    <t>2022006-63</t>
  </si>
  <si>
    <t>2022006-64</t>
  </si>
  <si>
    <t>2022006-65</t>
  </si>
  <si>
    <t>2022006-66</t>
  </si>
  <si>
    <t>2022006-67</t>
  </si>
  <si>
    <t>2022006-68</t>
  </si>
  <si>
    <t>2022006-69</t>
  </si>
  <si>
    <t>2022006-70</t>
  </si>
  <si>
    <t>2022006-71</t>
  </si>
  <si>
    <t>2022006-72</t>
  </si>
  <si>
    <t>2022006-73</t>
  </si>
  <si>
    <t>2022006-74</t>
  </si>
  <si>
    <t>2022006-75</t>
  </si>
  <si>
    <t>2022006-76</t>
  </si>
  <si>
    <t>2022006-77</t>
  </si>
  <si>
    <t>2022006-78</t>
  </si>
  <si>
    <t>2022006-79</t>
  </si>
  <si>
    <t>2022006-80</t>
  </si>
  <si>
    <t>2022006-81</t>
  </si>
  <si>
    <t>2022006-82</t>
  </si>
  <si>
    <t>2022006-83</t>
  </si>
  <si>
    <t>2022006-84</t>
  </si>
  <si>
    <t>2022006-85</t>
  </si>
  <si>
    <t>2022006-86</t>
  </si>
  <si>
    <t>2022006-87</t>
  </si>
  <si>
    <t>2022006-88</t>
  </si>
  <si>
    <t>2022006-89</t>
  </si>
  <si>
    <t>2022006-90</t>
  </si>
  <si>
    <t>2022006-91</t>
  </si>
  <si>
    <t>2022006-92</t>
  </si>
  <si>
    <t>2022006-93</t>
  </si>
  <si>
    <t>2022006-94</t>
  </si>
  <si>
    <t>2022006-95</t>
  </si>
  <si>
    <t>2022006-96</t>
  </si>
  <si>
    <t>2022006-97</t>
  </si>
  <si>
    <t>2022006-98</t>
  </si>
  <si>
    <t>2022006-99</t>
  </si>
  <si>
    <t>2022006-100</t>
  </si>
  <si>
    <t>2022006-101</t>
  </si>
  <si>
    <t>2022006-102</t>
  </si>
  <si>
    <t>2022006-103</t>
  </si>
  <si>
    <t>2022006-104</t>
  </si>
  <si>
    <t>2022006-105</t>
  </si>
  <si>
    <t>2022006-106</t>
  </si>
  <si>
    <t>2022006-107</t>
  </si>
  <si>
    <t>2022006-108</t>
  </si>
  <si>
    <t>2022006-109</t>
  </si>
  <si>
    <t>2022006-110</t>
  </si>
  <si>
    <t>2022006-111</t>
  </si>
  <si>
    <t>2022006-112</t>
  </si>
  <si>
    <t>2022006-113</t>
  </si>
  <si>
    <t>2022006-114</t>
  </si>
  <si>
    <t>2022006-115</t>
  </si>
  <si>
    <t>2022006-116</t>
  </si>
  <si>
    <t>2022006-117</t>
  </si>
  <si>
    <t>2022006-118</t>
  </si>
  <si>
    <t>2022006-119</t>
  </si>
  <si>
    <t>2022006-120</t>
  </si>
  <si>
    <t>2022006-121</t>
  </si>
  <si>
    <t>2022006-122</t>
  </si>
  <si>
    <t>2022006-123</t>
  </si>
  <si>
    <t>2022006-124</t>
  </si>
  <si>
    <t>2022006-125</t>
  </si>
  <si>
    <t>2022006-126</t>
  </si>
  <si>
    <t>2022006-127</t>
  </si>
  <si>
    <t>2022006-128</t>
  </si>
  <si>
    <t>2022_NSW_WaggaWagga_Lentil_Detailed</t>
  </si>
  <si>
    <t>2022007-1</t>
  </si>
  <si>
    <t>2022007-2</t>
  </si>
  <si>
    <t>2022007-3</t>
  </si>
  <si>
    <t>2022007-4</t>
  </si>
  <si>
    <t>2022007-5</t>
  </si>
  <si>
    <t>2022007-6</t>
  </si>
  <si>
    <t>2022007-7</t>
  </si>
  <si>
    <t>2022007-8</t>
  </si>
  <si>
    <t>2022007-9</t>
  </si>
  <si>
    <t>2022007-10</t>
  </si>
  <si>
    <t>2022007-11</t>
  </si>
  <si>
    <t>2022007-12</t>
  </si>
  <si>
    <t>2022007-13</t>
  </si>
  <si>
    <t>2022007-14</t>
  </si>
  <si>
    <t>2022007-15</t>
  </si>
  <si>
    <t>2022007-16</t>
  </si>
  <si>
    <t>2022007-17</t>
  </si>
  <si>
    <t>2022007-18</t>
  </si>
  <si>
    <t>2022007-19</t>
  </si>
  <si>
    <t>2022007-20</t>
  </si>
  <si>
    <t>2022007-21</t>
  </si>
  <si>
    <t>2022007-22</t>
  </si>
  <si>
    <t>2022007-23</t>
  </si>
  <si>
    <t>2022007-24</t>
  </si>
  <si>
    <t>2022007-25</t>
  </si>
  <si>
    <t>2022007-26</t>
  </si>
  <si>
    <t>2022007-27</t>
  </si>
  <si>
    <t>2022007-28</t>
  </si>
  <si>
    <t>2022007-29</t>
  </si>
  <si>
    <t>2022007-30</t>
  </si>
  <si>
    <t>2022007-31</t>
  </si>
  <si>
    <t>2022007-32</t>
  </si>
  <si>
    <t>2022007-33</t>
  </si>
  <si>
    <t>2022007-34</t>
  </si>
  <si>
    <t>2022007-35</t>
  </si>
  <si>
    <t>2022007-36</t>
  </si>
  <si>
    <t>2022007-37</t>
  </si>
  <si>
    <t>2022007-38</t>
  </si>
  <si>
    <t>2022007-39</t>
  </si>
  <si>
    <t>2022007-40</t>
  </si>
  <si>
    <t>2022007-41</t>
  </si>
  <si>
    <t>2022007-42</t>
  </si>
  <si>
    <t>2022007-43</t>
  </si>
  <si>
    <t>2022007-44</t>
  </si>
  <si>
    <t>2022007-45</t>
  </si>
  <si>
    <t>2022007-46</t>
  </si>
  <si>
    <t>2022007-47</t>
  </si>
  <si>
    <t>2022007-48</t>
  </si>
  <si>
    <t>2022007-49</t>
  </si>
  <si>
    <t>2022007-50</t>
  </si>
  <si>
    <t>2022007-51</t>
  </si>
  <si>
    <t>2022007-52</t>
  </si>
  <si>
    <t>2022007-53</t>
  </si>
  <si>
    <t>2022007-54</t>
  </si>
  <si>
    <t>2022007-55</t>
  </si>
  <si>
    <t>2022007-56</t>
  </si>
  <si>
    <t>2022007-57</t>
  </si>
  <si>
    <t>2022007-58</t>
  </si>
  <si>
    <t>2022007-59</t>
  </si>
  <si>
    <t>2022007-60</t>
  </si>
  <si>
    <t>2022007-61</t>
  </si>
  <si>
    <t>2022007-62</t>
  </si>
  <si>
    <t>2022007-63</t>
  </si>
  <si>
    <t>2022007-64</t>
  </si>
  <si>
    <t>2022007-65</t>
  </si>
  <si>
    <t>2022007-66</t>
  </si>
  <si>
    <t>2022007-67</t>
  </si>
  <si>
    <t>2022007-68</t>
  </si>
  <si>
    <t>2022007-69</t>
  </si>
  <si>
    <t>2022007-70</t>
  </si>
  <si>
    <t>2022007-71</t>
  </si>
  <si>
    <t>2022007-72</t>
  </si>
  <si>
    <t>2022007-73</t>
  </si>
  <si>
    <t>2022007-74</t>
  </si>
  <si>
    <t>2022007-75</t>
  </si>
  <si>
    <t>2022007-76</t>
  </si>
  <si>
    <t>2022007-77</t>
  </si>
  <si>
    <t>2022007-78</t>
  </si>
  <si>
    <t>2022007-79</t>
  </si>
  <si>
    <t>2022007-80</t>
  </si>
  <si>
    <t>2022007-81</t>
  </si>
  <si>
    <t>2022007-82</t>
  </si>
  <si>
    <t>2022007-83</t>
  </si>
  <si>
    <t>2022007-84</t>
  </si>
  <si>
    <t>2022007-85</t>
  </si>
  <si>
    <t>2022007-86</t>
  </si>
  <si>
    <t>2022007-87</t>
  </si>
  <si>
    <t>2022007-88</t>
  </si>
  <si>
    <t>2022007-89</t>
  </si>
  <si>
    <t>2022007-90</t>
  </si>
  <si>
    <t>2022007-91</t>
  </si>
  <si>
    <t>2022007-92</t>
  </si>
  <si>
    <t>2022007-93</t>
  </si>
  <si>
    <t>2022007-94</t>
  </si>
  <si>
    <t>2022007-95</t>
  </si>
  <si>
    <t>2022007-96</t>
  </si>
  <si>
    <t>2022007-97</t>
  </si>
  <si>
    <t>2022007-98</t>
  </si>
  <si>
    <t>2022007-99</t>
  </si>
  <si>
    <t>2022007-100</t>
  </si>
  <si>
    <t>2022007-101</t>
  </si>
  <si>
    <t>2022007-102</t>
  </si>
  <si>
    <t>2022007-103</t>
  </si>
  <si>
    <t>2022007-104</t>
  </si>
  <si>
    <t>2022007-105</t>
  </si>
  <si>
    <t>2022007-106</t>
  </si>
  <si>
    <t>2022007-107</t>
  </si>
  <si>
    <t>2022007-108</t>
  </si>
  <si>
    <t>2022007-109</t>
  </si>
  <si>
    <t>2022007-110</t>
  </si>
  <si>
    <t>2022007-111</t>
  </si>
  <si>
    <t>2022007-112</t>
  </si>
  <si>
    <t>2022007-113</t>
  </si>
  <si>
    <t>2022007-114</t>
  </si>
  <si>
    <t>2022007-115</t>
  </si>
  <si>
    <t>2022007-116</t>
  </si>
  <si>
    <t>2022007-117</t>
  </si>
  <si>
    <t>2022007-118</t>
  </si>
  <si>
    <t>2022007-119</t>
  </si>
  <si>
    <t>2022007-120</t>
  </si>
  <si>
    <t>2022007-121</t>
  </si>
  <si>
    <t>2022007-122</t>
  </si>
  <si>
    <t>2022007-123</t>
  </si>
  <si>
    <t>2022007-124</t>
  </si>
  <si>
    <t>2022007-125</t>
  </si>
  <si>
    <t>2022007-126</t>
  </si>
  <si>
    <t>2022007-127</t>
  </si>
  <si>
    <t>2022007-128</t>
  </si>
  <si>
    <t>2022_WA_Deepdale_Chickpea_Satellite</t>
  </si>
  <si>
    <t>27/05/2022</t>
  </si>
  <si>
    <t>2022008-1</t>
  </si>
  <si>
    <t>D11006_13F3HRMT4PR0004</t>
  </si>
  <si>
    <t>2022008-2</t>
  </si>
  <si>
    <t>2022008-3</t>
  </si>
  <si>
    <t>2022008-4</t>
  </si>
  <si>
    <t>D12014_14F3TMWR2AB001</t>
  </si>
  <si>
    <t>2022008-5</t>
  </si>
  <si>
    <t>2022008-6</t>
  </si>
  <si>
    <t>2022008-7</t>
  </si>
  <si>
    <t>2022008-8</t>
  </si>
  <si>
    <t>10/05/2022</t>
  </si>
  <si>
    <t>2022008-9</t>
  </si>
  <si>
    <t>2022008-10</t>
  </si>
  <si>
    <t>2022008-11</t>
  </si>
  <si>
    <t>2022008-12</t>
  </si>
  <si>
    <t>2022008-13</t>
  </si>
  <si>
    <t>2022008-14</t>
  </si>
  <si>
    <t>2022008-15</t>
  </si>
  <si>
    <t>2022008-16</t>
  </si>
  <si>
    <t>13/04/2022</t>
  </si>
  <si>
    <t>2022008-17</t>
  </si>
  <si>
    <t>2022008-18</t>
  </si>
  <si>
    <t>2022008-19</t>
  </si>
  <si>
    <t>2022008-20</t>
  </si>
  <si>
    <t>2022008-21</t>
  </si>
  <si>
    <t>2022008-22</t>
  </si>
  <si>
    <t>2022008-23</t>
  </si>
  <si>
    <t>2022008-24</t>
  </si>
  <si>
    <t>26/04/2022</t>
  </si>
  <si>
    <t>2022008-25</t>
  </si>
  <si>
    <t>2022008-26</t>
  </si>
  <si>
    <t>2022008-27</t>
  </si>
  <si>
    <t>2022008-28</t>
  </si>
  <si>
    <t>2022008-29</t>
  </si>
  <si>
    <t>2022008-30</t>
  </si>
  <si>
    <t>2022008-31</t>
  </si>
  <si>
    <t>2022008-32</t>
  </si>
  <si>
    <t>2022008-33</t>
  </si>
  <si>
    <t>2022008-34</t>
  </si>
  <si>
    <t>2022008-35</t>
  </si>
  <si>
    <t>2022008-36</t>
  </si>
  <si>
    <t>2022008-37</t>
  </si>
  <si>
    <t>2022008-38</t>
  </si>
  <si>
    <t>2022008-39</t>
  </si>
  <si>
    <t>2022008-40</t>
  </si>
  <si>
    <t>2022008-41</t>
  </si>
  <si>
    <t>2022008-42</t>
  </si>
  <si>
    <t>2022008-43</t>
  </si>
  <si>
    <t>2022008-44</t>
  </si>
  <si>
    <t>2022008-45</t>
  </si>
  <si>
    <t>2022008-46</t>
  </si>
  <si>
    <t>2022008-47</t>
  </si>
  <si>
    <t>2022008-48</t>
  </si>
  <si>
    <t>2022008-49</t>
  </si>
  <si>
    <t>2022008-50</t>
  </si>
  <si>
    <t>2022008-51</t>
  </si>
  <si>
    <t>2022008-52</t>
  </si>
  <si>
    <t>2022008-53</t>
  </si>
  <si>
    <t>2022008-54</t>
  </si>
  <si>
    <t>2022008-55</t>
  </si>
  <si>
    <t>2022008-56</t>
  </si>
  <si>
    <t>2022008-57</t>
  </si>
  <si>
    <t>2022008-58</t>
  </si>
  <si>
    <t>2022008-59</t>
  </si>
  <si>
    <t>2022008-60</t>
  </si>
  <si>
    <t>2022008-61</t>
  </si>
  <si>
    <t>2022008-62</t>
  </si>
  <si>
    <t>2022008-63</t>
  </si>
  <si>
    <t>2022008-64</t>
  </si>
  <si>
    <t>2022008-65</t>
  </si>
  <si>
    <t>2022008-66</t>
  </si>
  <si>
    <t>2022008-67</t>
  </si>
  <si>
    <t>2022008-68</t>
  </si>
  <si>
    <t>2022008-69</t>
  </si>
  <si>
    <t>2022008-70</t>
  </si>
  <si>
    <t>2022008-71</t>
  </si>
  <si>
    <t>2022008-72</t>
  </si>
  <si>
    <t>2022008-73</t>
  </si>
  <si>
    <t>2022008-74</t>
  </si>
  <si>
    <t>2022008-75</t>
  </si>
  <si>
    <t>2022008-76</t>
  </si>
  <si>
    <t>2022008-77</t>
  </si>
  <si>
    <t>2022008-78</t>
  </si>
  <si>
    <t>2022008-79</t>
  </si>
  <si>
    <t>2022008-80</t>
  </si>
  <si>
    <t>2022008-81</t>
  </si>
  <si>
    <t>2022008-82</t>
  </si>
  <si>
    <t>2022008-83</t>
  </si>
  <si>
    <t>2022008-84</t>
  </si>
  <si>
    <t>2022008-85</t>
  </si>
  <si>
    <t>2022008-86</t>
  </si>
  <si>
    <t>2022008-87</t>
  </si>
  <si>
    <t>2022008-88</t>
  </si>
  <si>
    <t>2022008-89</t>
  </si>
  <si>
    <t>2022008-90</t>
  </si>
  <si>
    <t>2022008-91</t>
  </si>
  <si>
    <t>2022008-92</t>
  </si>
  <si>
    <t>2022008-93</t>
  </si>
  <si>
    <t>2022008-94</t>
  </si>
  <si>
    <t>2022008-95</t>
  </si>
  <si>
    <t>2022008-96</t>
  </si>
  <si>
    <t>2022008-97</t>
  </si>
  <si>
    <t>2022008-98</t>
  </si>
  <si>
    <t>2022008-99</t>
  </si>
  <si>
    <t>2022008-100</t>
  </si>
  <si>
    <t>2022008-101</t>
  </si>
  <si>
    <t>2022008-102</t>
  </si>
  <si>
    <t>2022008-103</t>
  </si>
  <si>
    <t>2022008-104</t>
  </si>
  <si>
    <t>2022008-105</t>
  </si>
  <si>
    <t>2022008-106</t>
  </si>
  <si>
    <t>2022008-107</t>
  </si>
  <si>
    <t>2022008-108</t>
  </si>
  <si>
    <t>2022008-109</t>
  </si>
  <si>
    <t>2022008-110</t>
  </si>
  <si>
    <t>2022008-111</t>
  </si>
  <si>
    <t>2022008-112</t>
  </si>
  <si>
    <t>2022008-113</t>
  </si>
  <si>
    <t>2022008-114</t>
  </si>
  <si>
    <t>2022008-115</t>
  </si>
  <si>
    <t>2022008-116</t>
  </si>
  <si>
    <t>2022008-117</t>
  </si>
  <si>
    <t>2022008-118</t>
  </si>
  <si>
    <t>2022008-119</t>
  </si>
  <si>
    <t>2022008-120</t>
  </si>
  <si>
    <t>2022008-121</t>
  </si>
  <si>
    <t>2022008-122</t>
  </si>
  <si>
    <t>2022008-123</t>
  </si>
  <si>
    <t>2022008-124</t>
  </si>
  <si>
    <t>2022008-125</t>
  </si>
  <si>
    <t>2022008-126</t>
  </si>
  <si>
    <t>2022008-127</t>
  </si>
  <si>
    <t>2022008-128</t>
  </si>
  <si>
    <t>2022_Qld_Emerald_Chickpea_Satellite</t>
  </si>
  <si>
    <t>21/06/2022</t>
  </si>
  <si>
    <t>2022009-1</t>
  </si>
  <si>
    <t>5/05/2022</t>
  </si>
  <si>
    <t>2022009-2</t>
  </si>
  <si>
    <t>2022009-3</t>
  </si>
  <si>
    <t>2022009-4</t>
  </si>
  <si>
    <t>2022009-5</t>
  </si>
  <si>
    <t>2022009-6</t>
  </si>
  <si>
    <t>2022009-7</t>
  </si>
  <si>
    <t>2022009-8</t>
  </si>
  <si>
    <t>2022009-9</t>
  </si>
  <si>
    <t>2022009-10</t>
  </si>
  <si>
    <t>2022009-11</t>
  </si>
  <si>
    <t>2022009-12</t>
  </si>
  <si>
    <t>2022009-13</t>
  </si>
  <si>
    <t>2022009-14</t>
  </si>
  <si>
    <t>2022009-15</t>
  </si>
  <si>
    <t>2022009-16</t>
  </si>
  <si>
    <t>2022009-17</t>
  </si>
  <si>
    <t>2022009-18</t>
  </si>
  <si>
    <t>2022009-19</t>
  </si>
  <si>
    <t>2022009-20</t>
  </si>
  <si>
    <t>2022009-21</t>
  </si>
  <si>
    <t>2022009-22</t>
  </si>
  <si>
    <t>2022009-23</t>
  </si>
  <si>
    <t>2022009-24</t>
  </si>
  <si>
    <t>2022009-25</t>
  </si>
  <si>
    <t>2022009-26</t>
  </si>
  <si>
    <t>2022009-27</t>
  </si>
  <si>
    <t>2022009-28</t>
  </si>
  <si>
    <t>2022009-29</t>
  </si>
  <si>
    <t>2022009-30</t>
  </si>
  <si>
    <t>2022009-31</t>
  </si>
  <si>
    <t>2022009-32</t>
  </si>
  <si>
    <t>2022_NSW_Greenethorpe_Chickpea_Satellite</t>
  </si>
  <si>
    <t>2022010-1</t>
  </si>
  <si>
    <t>2022010-2</t>
  </si>
  <si>
    <t>2022010-3</t>
  </si>
  <si>
    <t>2022010-4</t>
  </si>
  <si>
    <t>2022010-5</t>
  </si>
  <si>
    <t>2022010-6</t>
  </si>
  <si>
    <t>2022010-7</t>
  </si>
  <si>
    <t>2022010-8</t>
  </si>
  <si>
    <t>2022010-9</t>
  </si>
  <si>
    <t>2022010-10</t>
  </si>
  <si>
    <t>2022010-11</t>
  </si>
  <si>
    <t>2022010-12</t>
  </si>
  <si>
    <t>2022010-13</t>
  </si>
  <si>
    <t>2022010-14</t>
  </si>
  <si>
    <t>2022010-15</t>
  </si>
  <si>
    <t>2022010-16</t>
  </si>
  <si>
    <t>2022010-17</t>
  </si>
  <si>
    <t>2022010-18</t>
  </si>
  <si>
    <t>2022010-19</t>
  </si>
  <si>
    <t>2022010-20</t>
  </si>
  <si>
    <t>2022010-21</t>
  </si>
  <si>
    <t>2022010-22</t>
  </si>
  <si>
    <t>2022010-23</t>
  </si>
  <si>
    <t>2022010-24</t>
  </si>
  <si>
    <t>2022010-25</t>
  </si>
  <si>
    <t>2022010-26</t>
  </si>
  <si>
    <t>2022010-27</t>
  </si>
  <si>
    <t>2022010-28</t>
  </si>
  <si>
    <t>2022010-29</t>
  </si>
  <si>
    <t>2022010-30</t>
  </si>
  <si>
    <t>2022010-31</t>
  </si>
  <si>
    <t>2022010-32</t>
  </si>
  <si>
    <t>2022010-33</t>
  </si>
  <si>
    <t>2022010-34</t>
  </si>
  <si>
    <t>2022010-35</t>
  </si>
  <si>
    <t>2022010-36</t>
  </si>
  <si>
    <t>2022010-37</t>
  </si>
  <si>
    <t>2022010-38</t>
  </si>
  <si>
    <t>2022010-39</t>
  </si>
  <si>
    <t>2022010-40</t>
  </si>
  <si>
    <t>2022_Vic_Ouyen_Chickpea_Satellite</t>
  </si>
  <si>
    <t>2/05/2022</t>
  </si>
  <si>
    <t>2022011-1</t>
  </si>
  <si>
    <t>2022011-2</t>
  </si>
  <si>
    <t>2022011-3</t>
  </si>
  <si>
    <t>2022011-4</t>
  </si>
  <si>
    <t>2022011-5</t>
  </si>
  <si>
    <t>2022011-6</t>
  </si>
  <si>
    <t>1/06/2022</t>
  </si>
  <si>
    <t>2022011-7</t>
  </si>
  <si>
    <t>2022011-8</t>
  </si>
  <si>
    <t>2022011-9</t>
  </si>
  <si>
    <t>2022011-10</t>
  </si>
  <si>
    <t>2022011-11</t>
  </si>
  <si>
    <t>2022011-12</t>
  </si>
  <si>
    <t>2022011-13</t>
  </si>
  <si>
    <t>2022011-14</t>
  </si>
  <si>
    <t>2022011-15</t>
  </si>
  <si>
    <t>2022011-16</t>
  </si>
  <si>
    <t>2022011-17</t>
  </si>
  <si>
    <t>2022011-18</t>
  </si>
  <si>
    <t>2022011-19</t>
  </si>
  <si>
    <t>2022011-20</t>
  </si>
  <si>
    <t>2022011-21</t>
  </si>
  <si>
    <t>2022011-22</t>
  </si>
  <si>
    <t>2022011-23</t>
  </si>
  <si>
    <t>2022011-24</t>
  </si>
  <si>
    <t>2022011-25</t>
  </si>
  <si>
    <t>2022011-26</t>
  </si>
  <si>
    <t>2022011-27</t>
  </si>
  <si>
    <t>2022011-28</t>
  </si>
  <si>
    <t>2022011-29</t>
  </si>
  <si>
    <t>2022011-30</t>
  </si>
  <si>
    <t>2022011-31</t>
  </si>
  <si>
    <t>2022011-32</t>
  </si>
  <si>
    <t>2022011-33</t>
  </si>
  <si>
    <t>2022011-34</t>
  </si>
  <si>
    <t>2022011-35</t>
  </si>
  <si>
    <t>2022011-36</t>
  </si>
  <si>
    <t>2022011-37</t>
  </si>
  <si>
    <t>2022011-38</t>
  </si>
  <si>
    <t>2022011-39</t>
  </si>
  <si>
    <t>2022011-40</t>
  </si>
  <si>
    <t>2022011-41</t>
  </si>
  <si>
    <t>2022011-42</t>
  </si>
  <si>
    <t>2022011-43</t>
  </si>
  <si>
    <t>2022011-44</t>
  </si>
  <si>
    <t>2022011-45</t>
  </si>
  <si>
    <t>2022011-46</t>
  </si>
  <si>
    <t>2022011-47</t>
  </si>
  <si>
    <t>2022011-48</t>
  </si>
  <si>
    <t>2022_NSW_RankinsSprings_Chickpea_Satellite</t>
  </si>
  <si>
    <t>9/05/2022</t>
  </si>
  <si>
    <t>2022012-1</t>
  </si>
  <si>
    <t>2022012-2</t>
  </si>
  <si>
    <t>2022012-3</t>
  </si>
  <si>
    <t>2022012-4</t>
  </si>
  <si>
    <t>2022012-5</t>
  </si>
  <si>
    <t>2022012-6</t>
  </si>
  <si>
    <t>9/06/2022</t>
  </si>
  <si>
    <t>2022012-7</t>
  </si>
  <si>
    <t>2022012-8</t>
  </si>
  <si>
    <t>2022012-9</t>
  </si>
  <si>
    <t>2022012-10</t>
  </si>
  <si>
    <t>2022012-11</t>
  </si>
  <si>
    <t>2022012-12</t>
  </si>
  <si>
    <t>2022012-13</t>
  </si>
  <si>
    <t>2022012-14</t>
  </si>
  <si>
    <t>2022012-15</t>
  </si>
  <si>
    <t>2022012-16</t>
  </si>
  <si>
    <t>2022012-17</t>
  </si>
  <si>
    <t>2022012-18</t>
  </si>
  <si>
    <t>2022012-19</t>
  </si>
  <si>
    <t>2022012-20</t>
  </si>
  <si>
    <t>2022012-21</t>
  </si>
  <si>
    <t>2022012-22</t>
  </si>
  <si>
    <t>2022012-23</t>
  </si>
  <si>
    <t>2022012-24</t>
  </si>
  <si>
    <t>2022012-25</t>
  </si>
  <si>
    <t>2022012-26</t>
  </si>
  <si>
    <t>2022012-27</t>
  </si>
  <si>
    <t>2022012-28</t>
  </si>
  <si>
    <t>2022012-29</t>
  </si>
  <si>
    <t>2022012-30</t>
  </si>
  <si>
    <t>2022012-31</t>
  </si>
  <si>
    <t>2022012-32</t>
  </si>
  <si>
    <t>2022012-33</t>
  </si>
  <si>
    <t>2022012-34</t>
  </si>
  <si>
    <t>2022012-35</t>
  </si>
  <si>
    <t>2022012-36</t>
  </si>
  <si>
    <t>2022012-37</t>
  </si>
  <si>
    <t>2022012-38</t>
  </si>
  <si>
    <t>2022012-39</t>
  </si>
  <si>
    <t>2022012-40</t>
  </si>
  <si>
    <t>2022012-41</t>
  </si>
  <si>
    <t>2022012-42</t>
  </si>
  <si>
    <t>2022012-43</t>
  </si>
  <si>
    <t>2022012-44</t>
  </si>
  <si>
    <t>2022012-45</t>
  </si>
  <si>
    <t>2022012-46</t>
  </si>
  <si>
    <t>2022012-47</t>
  </si>
  <si>
    <t>2022012-48</t>
  </si>
  <si>
    <t>2022_Qld_Warra_Chickpea_Satellite</t>
  </si>
  <si>
    <t>2022013-1</t>
  </si>
  <si>
    <t>2022013-2</t>
  </si>
  <si>
    <t>2022013-3</t>
  </si>
  <si>
    <t>2022013-4</t>
  </si>
  <si>
    <t>29/06/2022</t>
  </si>
  <si>
    <t>2022013-5</t>
  </si>
  <si>
    <t>2022013-6</t>
  </si>
  <si>
    <t>2022013-7</t>
  </si>
  <si>
    <t>2022013-8</t>
  </si>
  <si>
    <t>2022013-9</t>
  </si>
  <si>
    <t>2022013-10</t>
  </si>
  <si>
    <t>2022013-11</t>
  </si>
  <si>
    <t>2022013-12</t>
  </si>
  <si>
    <t>2022013-13</t>
  </si>
  <si>
    <t>2022013-14</t>
  </si>
  <si>
    <t>2022013-15</t>
  </si>
  <si>
    <t>2022013-16</t>
  </si>
  <si>
    <t>2022013-17</t>
  </si>
  <si>
    <t>2022013-18</t>
  </si>
  <si>
    <t>2022013-19</t>
  </si>
  <si>
    <t>2022013-20</t>
  </si>
  <si>
    <t>2022013-21</t>
  </si>
  <si>
    <t>2022013-22</t>
  </si>
  <si>
    <t>2022013-23</t>
  </si>
  <si>
    <t>2022013-24</t>
  </si>
  <si>
    <t>2022013-25</t>
  </si>
  <si>
    <t>2022013-26</t>
  </si>
  <si>
    <t>2022013-27</t>
  </si>
  <si>
    <t>2022013-28</t>
  </si>
  <si>
    <t>2022013-29</t>
  </si>
  <si>
    <t>2022013-30</t>
  </si>
  <si>
    <t>2022013-31</t>
  </si>
  <si>
    <t>2022013-32</t>
  </si>
  <si>
    <t>2022_SA_Warnertown_Fababean_Satellite</t>
  </si>
  <si>
    <t>Density_0.66</t>
  </si>
  <si>
    <t>2022014-1</t>
  </si>
  <si>
    <t>Density_1</t>
  </si>
  <si>
    <t>2022014-2</t>
  </si>
  <si>
    <t>2022014-3</t>
  </si>
  <si>
    <t>2022014-4</t>
  </si>
  <si>
    <t>2022014-5</t>
  </si>
  <si>
    <t>2022014-6</t>
  </si>
  <si>
    <t>11/04/2022</t>
  </si>
  <si>
    <t>2022014-7</t>
  </si>
  <si>
    <t>2022014-8</t>
  </si>
  <si>
    <t>2022014-9</t>
  </si>
  <si>
    <t>2022014-10</t>
  </si>
  <si>
    <t>2022014-11</t>
  </si>
  <si>
    <t>2022014-12</t>
  </si>
  <si>
    <t>2022014-13</t>
  </si>
  <si>
    <t>2022014-14</t>
  </si>
  <si>
    <t>2022014-15</t>
  </si>
  <si>
    <t>2022014-16</t>
  </si>
  <si>
    <t>2022014-17</t>
  </si>
  <si>
    <t>2022014-18</t>
  </si>
  <si>
    <t>2022014-19</t>
  </si>
  <si>
    <t>2022014-20</t>
  </si>
  <si>
    <t>2022014-21</t>
  </si>
  <si>
    <t>2022014-22</t>
  </si>
  <si>
    <t>2022014-23</t>
  </si>
  <si>
    <t>2022014-24</t>
  </si>
  <si>
    <t>2022014-25</t>
  </si>
  <si>
    <t>2022014-26</t>
  </si>
  <si>
    <t>2022014-27</t>
  </si>
  <si>
    <t>2022014-28</t>
  </si>
  <si>
    <t>2022014-29</t>
  </si>
  <si>
    <t>2022014-30</t>
  </si>
  <si>
    <t>2022014-31</t>
  </si>
  <si>
    <t>2022014-32</t>
  </si>
  <si>
    <t>2022014-33</t>
  </si>
  <si>
    <t>2022014-34</t>
  </si>
  <si>
    <t>2022014-35</t>
  </si>
  <si>
    <t>2022014-36</t>
  </si>
  <si>
    <t>2022014-37</t>
  </si>
  <si>
    <t>2022014-38</t>
  </si>
  <si>
    <t>2022014-39</t>
  </si>
  <si>
    <t>2022014-40</t>
  </si>
  <si>
    <t>2022014-41</t>
  </si>
  <si>
    <t>2022014-42</t>
  </si>
  <si>
    <t>2022014-43</t>
  </si>
  <si>
    <t>2022014-44</t>
  </si>
  <si>
    <t>2022014-45</t>
  </si>
  <si>
    <t>2022014-46</t>
  </si>
  <si>
    <t>2022014-47</t>
  </si>
  <si>
    <t>2022014-48</t>
  </si>
  <si>
    <t>2022_NSW_Methul_Lentil_Satellite</t>
  </si>
  <si>
    <t>14/06/2022</t>
  </si>
  <si>
    <t>2022015-1</t>
  </si>
  <si>
    <t>2022015-2</t>
  </si>
  <si>
    <t>2022015-3</t>
  </si>
  <si>
    <t>2022015-4</t>
  </si>
  <si>
    <t>2022015-5</t>
  </si>
  <si>
    <t>2022015-6</t>
  </si>
  <si>
    <t>2022015-7</t>
  </si>
  <si>
    <t>2022015-8</t>
  </si>
  <si>
    <t>2022015-9</t>
  </si>
  <si>
    <t>2022015-10</t>
  </si>
  <si>
    <t>2022015-11</t>
  </si>
  <si>
    <t>2022015-12</t>
  </si>
  <si>
    <t>2022015-13</t>
  </si>
  <si>
    <t>2022015-14</t>
  </si>
  <si>
    <t>2022015-15</t>
  </si>
  <si>
    <t>2022015-16</t>
  </si>
  <si>
    <t>2022015-17</t>
  </si>
  <si>
    <t>2022015-18</t>
  </si>
  <si>
    <t>2022015-19</t>
  </si>
  <si>
    <t>2022015-20</t>
  </si>
  <si>
    <t>2022015-21</t>
  </si>
  <si>
    <t>2022015-22</t>
  </si>
  <si>
    <t>2022015-23</t>
  </si>
  <si>
    <t>2022015-24</t>
  </si>
  <si>
    <t>2022015-25</t>
  </si>
  <si>
    <t>2022015-26</t>
  </si>
  <si>
    <t>2022015-27</t>
  </si>
  <si>
    <t>2022015-28</t>
  </si>
  <si>
    <t>2022015-29</t>
  </si>
  <si>
    <t>2022015-30</t>
  </si>
  <si>
    <t>2022015-31</t>
  </si>
  <si>
    <t>2022015-32</t>
  </si>
  <si>
    <t>2022015-33</t>
  </si>
  <si>
    <t>2022015-34</t>
  </si>
  <si>
    <t>2022015-35</t>
  </si>
  <si>
    <t>2022015-36</t>
  </si>
  <si>
    <t>2022015-37</t>
  </si>
  <si>
    <t>2022015-38</t>
  </si>
  <si>
    <t>2022015-39</t>
  </si>
  <si>
    <t>2022015-40</t>
  </si>
  <si>
    <t>2022015-41</t>
  </si>
  <si>
    <t>2022015-42</t>
  </si>
  <si>
    <t>2022015-43</t>
  </si>
  <si>
    <t>2022015-44</t>
  </si>
  <si>
    <t>2022015-45</t>
  </si>
  <si>
    <t>2022015-46</t>
  </si>
  <si>
    <t>2022015-47</t>
  </si>
  <si>
    <t>2022015-48</t>
  </si>
  <si>
    <t>2022_Vic_Ouyen_Lentil_Satellite</t>
  </si>
  <si>
    <t>GIA_Leader</t>
  </si>
  <si>
    <t>2022016-1</t>
  </si>
  <si>
    <t>2022016-2</t>
  </si>
  <si>
    <t>2022016-3</t>
  </si>
  <si>
    <t>GIA_Lightning</t>
  </si>
  <si>
    <t>2022016-4</t>
  </si>
  <si>
    <t>2022016-5</t>
  </si>
  <si>
    <t>2022016-6</t>
  </si>
  <si>
    <t>2022016-7</t>
  </si>
  <si>
    <t>2022016-8</t>
  </si>
  <si>
    <t>2022016-9</t>
  </si>
  <si>
    <t>2022016-10</t>
  </si>
  <si>
    <t>2022016-11</t>
  </si>
  <si>
    <t>2022016-12</t>
  </si>
  <si>
    <t>2022016-13</t>
  </si>
  <si>
    <t>2022016-14</t>
  </si>
  <si>
    <t>2022016-15</t>
  </si>
  <si>
    <t>2022016-16</t>
  </si>
  <si>
    <t>2022016-17</t>
  </si>
  <si>
    <t>2022016-18</t>
  </si>
  <si>
    <t>2022016-19</t>
  </si>
  <si>
    <t>2022016-20</t>
  </si>
  <si>
    <t>2022016-21</t>
  </si>
  <si>
    <t>2022016-22</t>
  </si>
  <si>
    <t>2022016-23</t>
  </si>
  <si>
    <t>2022016-24</t>
  </si>
  <si>
    <t>2022016-25</t>
  </si>
  <si>
    <t>2022016-26</t>
  </si>
  <si>
    <t>2022016-27</t>
  </si>
  <si>
    <t>2022016-28</t>
  </si>
  <si>
    <t>2022016-29</t>
  </si>
  <si>
    <t>2022016-30</t>
  </si>
  <si>
    <t>2022016-31</t>
  </si>
  <si>
    <t>2022016-32</t>
  </si>
  <si>
    <t>2022016-33</t>
  </si>
  <si>
    <t>2022016-34</t>
  </si>
  <si>
    <t>2022016-35</t>
  </si>
  <si>
    <t>2022016-36</t>
  </si>
  <si>
    <t>2022016-37</t>
  </si>
  <si>
    <t>2022016-38</t>
  </si>
  <si>
    <t>2022016-39</t>
  </si>
  <si>
    <t>2022016-40</t>
  </si>
  <si>
    <t>2022016-41</t>
  </si>
  <si>
    <t>2022016-42</t>
  </si>
  <si>
    <t>2022016-43</t>
  </si>
  <si>
    <t>2022016-44</t>
  </si>
  <si>
    <t>2022016-45</t>
  </si>
  <si>
    <t>2022016-46</t>
  </si>
  <si>
    <t>2022016-47</t>
  </si>
  <si>
    <t>2022016-48</t>
  </si>
  <si>
    <t>2022_NSW_RankinsSprings_Lentil_Satellite</t>
  </si>
  <si>
    <t>2022017-1</t>
  </si>
  <si>
    <t>2022017-2</t>
  </si>
  <si>
    <t>2022017-3</t>
  </si>
  <si>
    <t>2022017-4</t>
  </si>
  <si>
    <t>2022017-5</t>
  </si>
  <si>
    <t>2022017-6</t>
  </si>
  <si>
    <t>2022017-7</t>
  </si>
  <si>
    <t>2022017-8</t>
  </si>
  <si>
    <t>2022017-9</t>
  </si>
  <si>
    <t>2022017-10</t>
  </si>
  <si>
    <t>2022017-11</t>
  </si>
  <si>
    <t>2022017-12</t>
  </si>
  <si>
    <t>2022017-13</t>
  </si>
  <si>
    <t>2022017-14</t>
  </si>
  <si>
    <t>2022017-15</t>
  </si>
  <si>
    <t>2022017-16</t>
  </si>
  <si>
    <t>2022017-17</t>
  </si>
  <si>
    <t>2022017-18</t>
  </si>
  <si>
    <t>2022017-19</t>
  </si>
  <si>
    <t>2022017-20</t>
  </si>
  <si>
    <t>2022017-21</t>
  </si>
  <si>
    <t>2022017-22</t>
  </si>
  <si>
    <t>2022017-23</t>
  </si>
  <si>
    <t>2022017-24</t>
  </si>
  <si>
    <t>2022017-25</t>
  </si>
  <si>
    <t>2022017-26</t>
  </si>
  <si>
    <t>2022017-27</t>
  </si>
  <si>
    <t>2022017-28</t>
  </si>
  <si>
    <t>2022017-29</t>
  </si>
  <si>
    <t>2022017-30</t>
  </si>
  <si>
    <t>2022017-31</t>
  </si>
  <si>
    <t>2022017-32</t>
  </si>
  <si>
    <t>2022017-33</t>
  </si>
  <si>
    <t>2022017-34</t>
  </si>
  <si>
    <t>2022017-35</t>
  </si>
  <si>
    <t>2022017-36</t>
  </si>
  <si>
    <t>2022017-37</t>
  </si>
  <si>
    <t>2022017-38</t>
  </si>
  <si>
    <t>2022017-39</t>
  </si>
  <si>
    <t>2022017-40</t>
  </si>
  <si>
    <t>2022017-41</t>
  </si>
  <si>
    <t>2022017-42</t>
  </si>
  <si>
    <t>2022017-43</t>
  </si>
  <si>
    <t>2022017-44</t>
  </si>
  <si>
    <t>2022017-45</t>
  </si>
  <si>
    <t>2022017-46</t>
  </si>
  <si>
    <t>2022017-47</t>
  </si>
  <si>
    <t>2022017-48</t>
  </si>
  <si>
    <t>2022_SA_Warnertown_Lentil_Satellite</t>
  </si>
  <si>
    <t>2022018-1</t>
  </si>
  <si>
    <t>2022018-2</t>
  </si>
  <si>
    <t>2022018-3</t>
  </si>
  <si>
    <t>2022018-4</t>
  </si>
  <si>
    <t>2022018-5</t>
  </si>
  <si>
    <t>2022018-6</t>
  </si>
  <si>
    <t>2022018-7</t>
  </si>
  <si>
    <t>2022018-8</t>
  </si>
  <si>
    <t>2022018-9</t>
  </si>
  <si>
    <t>2022018-10</t>
  </si>
  <si>
    <t>2022018-11</t>
  </si>
  <si>
    <t>2022018-12</t>
  </si>
  <si>
    <t>2022018-13</t>
  </si>
  <si>
    <t>2022018-14</t>
  </si>
  <si>
    <t>2022018-15</t>
  </si>
  <si>
    <t>2022018-16</t>
  </si>
  <si>
    <t>2022018-17</t>
  </si>
  <si>
    <t>2022018-18</t>
  </si>
  <si>
    <t>2022018-19</t>
  </si>
  <si>
    <t>2022018-20</t>
  </si>
  <si>
    <t>2022018-21</t>
  </si>
  <si>
    <t>2022018-22</t>
  </si>
  <si>
    <t>2022018-23</t>
  </si>
  <si>
    <t>2022018-24</t>
  </si>
  <si>
    <t>2022018-25</t>
  </si>
  <si>
    <t>2022018-26</t>
  </si>
  <si>
    <t>2022018-27</t>
  </si>
  <si>
    <t>2022018-28</t>
  </si>
  <si>
    <t>2022018-29</t>
  </si>
  <si>
    <t>2022018-30</t>
  </si>
  <si>
    <t>2022018-31</t>
  </si>
  <si>
    <t>2022018-32</t>
  </si>
  <si>
    <t>2022018-33</t>
  </si>
  <si>
    <t>2022018-34</t>
  </si>
  <si>
    <t>2022018-35</t>
  </si>
  <si>
    <t>2022018-36</t>
  </si>
  <si>
    <t>2022018-37</t>
  </si>
  <si>
    <t>2022018-38</t>
  </si>
  <si>
    <t>2022018-39</t>
  </si>
  <si>
    <t>2022018-40</t>
  </si>
  <si>
    <t>2022018-41</t>
  </si>
  <si>
    <t>2022018-42</t>
  </si>
  <si>
    <t>2022018-43</t>
  </si>
  <si>
    <t>2022018-44</t>
  </si>
  <si>
    <t>2022018-45</t>
  </si>
  <si>
    <t>2022018-46</t>
  </si>
  <si>
    <t>2022018-47</t>
  </si>
  <si>
    <t>2022018-48</t>
  </si>
  <si>
    <t>2022_Qld_Gatton_Chickpea_Rainout</t>
  </si>
  <si>
    <t>Fully_Irrigated</t>
  </si>
  <si>
    <t>North</t>
  </si>
  <si>
    <t>2022019-1</t>
  </si>
  <si>
    <t>2022019-2</t>
  </si>
  <si>
    <t>2022019-3</t>
  </si>
  <si>
    <t>2022019-4</t>
  </si>
  <si>
    <t>2022019-5</t>
  </si>
  <si>
    <t>2022019-6</t>
  </si>
  <si>
    <t>2022019-7</t>
  </si>
  <si>
    <t>2022019-8</t>
  </si>
  <si>
    <t>2022019-9</t>
  </si>
  <si>
    <t>2022019-10</t>
  </si>
  <si>
    <t>2022019-11</t>
  </si>
  <si>
    <t>2022019-12</t>
  </si>
  <si>
    <t>2022019-13</t>
  </si>
  <si>
    <t>2022019-14</t>
  </si>
  <si>
    <t>2022019-15</t>
  </si>
  <si>
    <t>2022019-16</t>
  </si>
  <si>
    <t>Semi_Dry</t>
  </si>
  <si>
    <t>South</t>
  </si>
  <si>
    <t>2022019-17</t>
  </si>
  <si>
    <t>Dry</t>
  </si>
  <si>
    <t>2022019-18</t>
  </si>
  <si>
    <t>2022019-19</t>
  </si>
  <si>
    <t>2022019-20</t>
  </si>
  <si>
    <t>2022019-21</t>
  </si>
  <si>
    <t>2022019-22</t>
  </si>
  <si>
    <t>2022019-23</t>
  </si>
  <si>
    <t>2022019-24</t>
  </si>
  <si>
    <t>2022019-25</t>
  </si>
  <si>
    <t>2022019-26</t>
  </si>
  <si>
    <t>2022019-27</t>
  </si>
  <si>
    <t>2022019-28</t>
  </si>
  <si>
    <t>2022019-29</t>
  </si>
  <si>
    <t>2022019-30</t>
  </si>
  <si>
    <t>2022019-31</t>
  </si>
  <si>
    <t>2022019-32</t>
  </si>
  <si>
    <t>2023_NSW_WaggaWagga_Fababean_Detailed</t>
  </si>
  <si>
    <t>31/05/2023</t>
  </si>
  <si>
    <t>2023020-1</t>
  </si>
  <si>
    <t>2023020-2</t>
  </si>
  <si>
    <t>2023020-3</t>
  </si>
  <si>
    <t>2023020-4</t>
  </si>
  <si>
    <t>2023020-5</t>
  </si>
  <si>
    <t>2023020-6</t>
  </si>
  <si>
    <t>2023020-7</t>
  </si>
  <si>
    <t>2023020-8</t>
  </si>
  <si>
    <t>26/04/2023</t>
  </si>
  <si>
    <t>2023020-9</t>
  </si>
  <si>
    <t>2023020-10</t>
  </si>
  <si>
    <t>2023020-11</t>
  </si>
  <si>
    <t>2023020-12</t>
  </si>
  <si>
    <t>2023020-13</t>
  </si>
  <si>
    <t>2023020-14</t>
  </si>
  <si>
    <t>2023020-15</t>
  </si>
  <si>
    <t>2023020-16</t>
  </si>
  <si>
    <t>2023020-17</t>
  </si>
  <si>
    <t>2023020-18</t>
  </si>
  <si>
    <t>2023020-19</t>
  </si>
  <si>
    <t>2023020-20</t>
  </si>
  <si>
    <t>2023020-21</t>
  </si>
  <si>
    <t>2023020-22</t>
  </si>
  <si>
    <t>2023020-23</t>
  </si>
  <si>
    <t>2023020-24</t>
  </si>
  <si>
    <t>2023020-25</t>
  </si>
  <si>
    <t>2023020-26</t>
  </si>
  <si>
    <t>2023020-27</t>
  </si>
  <si>
    <t>2023020-28</t>
  </si>
  <si>
    <t>2023020-29</t>
  </si>
  <si>
    <t>2023020-30</t>
  </si>
  <si>
    <t>2023020-31</t>
  </si>
  <si>
    <t>2023020-32</t>
  </si>
  <si>
    <t>2023020-33</t>
  </si>
  <si>
    <t>2023020-34</t>
  </si>
  <si>
    <t>2023020-35</t>
  </si>
  <si>
    <t>2023020-36</t>
  </si>
  <si>
    <t>2023020-37</t>
  </si>
  <si>
    <t>2023020-38</t>
  </si>
  <si>
    <t>2023020-39</t>
  </si>
  <si>
    <t>2023020-40</t>
  </si>
  <si>
    <t>2023020-41</t>
  </si>
  <si>
    <t>2023020-42</t>
  </si>
  <si>
    <t>2023020-43</t>
  </si>
  <si>
    <t>2023020-44</t>
  </si>
  <si>
    <t>2023020-45</t>
  </si>
  <si>
    <t>2023020-46</t>
  </si>
  <si>
    <t>2023020-47</t>
  </si>
  <si>
    <t>2023020-48</t>
  </si>
  <si>
    <t>2023020-49</t>
  </si>
  <si>
    <t>2023020-50</t>
  </si>
  <si>
    <t>2023020-51</t>
  </si>
  <si>
    <t>2023020-52</t>
  </si>
  <si>
    <t>2023020-53</t>
  </si>
  <si>
    <t>2023020-54</t>
  </si>
  <si>
    <t>2023020-55</t>
  </si>
  <si>
    <t>2023020-56</t>
  </si>
  <si>
    <t>2023020-57</t>
  </si>
  <si>
    <t>2023020-58</t>
  </si>
  <si>
    <t>2023020-59</t>
  </si>
  <si>
    <t>2023020-60</t>
  </si>
  <si>
    <t>2023020-61</t>
  </si>
  <si>
    <t>2023020-62</t>
  </si>
  <si>
    <t>2023020-63</t>
  </si>
  <si>
    <t>2023020-64</t>
  </si>
  <si>
    <t>2023020-65</t>
  </si>
  <si>
    <t>2023020-66</t>
  </si>
  <si>
    <t>2023020-67</t>
  </si>
  <si>
    <t>2023020-68</t>
  </si>
  <si>
    <t>2023020-69</t>
  </si>
  <si>
    <t>2023020-70</t>
  </si>
  <si>
    <t>2023020-71</t>
  </si>
  <si>
    <t>2023020-72</t>
  </si>
  <si>
    <t>2023020-73</t>
  </si>
  <si>
    <t>2023020-74</t>
  </si>
  <si>
    <t>2023020-75</t>
  </si>
  <si>
    <t>2023020-76</t>
  </si>
  <si>
    <t>2023020-77</t>
  </si>
  <si>
    <t>2023020-78</t>
  </si>
  <si>
    <t>2023020-79</t>
  </si>
  <si>
    <t>2023020-80</t>
  </si>
  <si>
    <t>2023020-81</t>
  </si>
  <si>
    <t>2023020-82</t>
  </si>
  <si>
    <t>2023020-83</t>
  </si>
  <si>
    <t>2023020-84</t>
  </si>
  <si>
    <t>2023020-85</t>
  </si>
  <si>
    <t>2023020-86</t>
  </si>
  <si>
    <t>2023020-87</t>
  </si>
  <si>
    <t>2023020-88</t>
  </si>
  <si>
    <t>2023020-89</t>
  </si>
  <si>
    <t>2023020-90</t>
  </si>
  <si>
    <t>2023020-91</t>
  </si>
  <si>
    <t>2023020-92</t>
  </si>
  <si>
    <t>2023020-93</t>
  </si>
  <si>
    <t>2023020-94</t>
  </si>
  <si>
    <t>2023020-95</t>
  </si>
  <si>
    <t>2023020-96</t>
  </si>
  <si>
    <t>2023020-97</t>
  </si>
  <si>
    <t>2023020-98</t>
  </si>
  <si>
    <t>2023020-99</t>
  </si>
  <si>
    <t>2023020-100</t>
  </si>
  <si>
    <t>2023020-101</t>
  </si>
  <si>
    <t>2023020-102</t>
  </si>
  <si>
    <t>2023020-103</t>
  </si>
  <si>
    <t>2023020-104</t>
  </si>
  <si>
    <t>2023020-105</t>
  </si>
  <si>
    <t>2023020-106</t>
  </si>
  <si>
    <t>2023020-107</t>
  </si>
  <si>
    <t>2023020-108</t>
  </si>
  <si>
    <t>2023020-109</t>
  </si>
  <si>
    <t>2023020-110</t>
  </si>
  <si>
    <t>2023020-111</t>
  </si>
  <si>
    <t>2023020-112</t>
  </si>
  <si>
    <t>2023020-113</t>
  </si>
  <si>
    <t>2023020-114</t>
  </si>
  <si>
    <t>2023020-115</t>
  </si>
  <si>
    <t>2023020-116</t>
  </si>
  <si>
    <t>2023020-117</t>
  </si>
  <si>
    <t>2023020-118</t>
  </si>
  <si>
    <t>2023020-119</t>
  </si>
  <si>
    <t>2023020-120</t>
  </si>
  <si>
    <t>2023020-121</t>
  </si>
  <si>
    <t>2023020-122</t>
  </si>
  <si>
    <t>2023020-123</t>
  </si>
  <si>
    <t>2023020-124</t>
  </si>
  <si>
    <t>2023020-125</t>
  </si>
  <si>
    <t>2023020-126</t>
  </si>
  <si>
    <t>2023020-127</t>
  </si>
  <si>
    <t>2023020-128</t>
  </si>
  <si>
    <t>2023_NSW_WaggaWagga_Lupin_Detailed</t>
  </si>
  <si>
    <t>Lupin</t>
  </si>
  <si>
    <t>Wonga</t>
  </si>
  <si>
    <t>2023021-1</t>
  </si>
  <si>
    <t>2023021-2</t>
  </si>
  <si>
    <t>2023021-3</t>
  </si>
  <si>
    <t>2023021-4</t>
  </si>
  <si>
    <t>2023021-5</t>
  </si>
  <si>
    <t>2023021-6</t>
  </si>
  <si>
    <t>Mandelup</t>
  </si>
  <si>
    <t>2023021-7</t>
  </si>
  <si>
    <t>2023021-8</t>
  </si>
  <si>
    <t>2023021-9</t>
  </si>
  <si>
    <t>2023021-10</t>
  </si>
  <si>
    <t>2023021-11</t>
  </si>
  <si>
    <t>2023021-12</t>
  </si>
  <si>
    <t>2023021-13</t>
  </si>
  <si>
    <t>2023021-14</t>
  </si>
  <si>
    <t>2023021-15</t>
  </si>
  <si>
    <t>2023021-16</t>
  </si>
  <si>
    <t>2023021-17</t>
  </si>
  <si>
    <t>2023021-18</t>
  </si>
  <si>
    <t>2023021-19</t>
  </si>
  <si>
    <t>2023021-20</t>
  </si>
  <si>
    <t>2023021-21</t>
  </si>
  <si>
    <t>2023021-22</t>
  </si>
  <si>
    <t>2023021-23</t>
  </si>
  <si>
    <t>2023021-24</t>
  </si>
  <si>
    <t>2023021-25</t>
  </si>
  <si>
    <t>2023021-26</t>
  </si>
  <si>
    <t>2023021-27</t>
  </si>
  <si>
    <t>2023021-28</t>
  </si>
  <si>
    <t>2023021-29</t>
  </si>
  <si>
    <t>2023021-30</t>
  </si>
  <si>
    <t>2023021-31</t>
  </si>
  <si>
    <t>2023021-32</t>
  </si>
  <si>
    <t>2023021-33</t>
  </si>
  <si>
    <t>2023021-34</t>
  </si>
  <si>
    <t>2023021-35</t>
  </si>
  <si>
    <t>2023021-36</t>
  </si>
  <si>
    <t>2023021-37</t>
  </si>
  <si>
    <t>2023021-38</t>
  </si>
  <si>
    <t>2023021-39</t>
  </si>
  <si>
    <t>2023021-40</t>
  </si>
  <si>
    <t>2023021-41</t>
  </si>
  <si>
    <t>2023021-42</t>
  </si>
  <si>
    <t>2023021-43</t>
  </si>
  <si>
    <t>2023021-44</t>
  </si>
  <si>
    <t>2023021-45</t>
  </si>
  <si>
    <t>2023021-46</t>
  </si>
  <si>
    <t>2023021-47</t>
  </si>
  <si>
    <t>2023021-48</t>
  </si>
  <si>
    <t>2023021-49</t>
  </si>
  <si>
    <t>2023021-50</t>
  </si>
  <si>
    <t>2023021-51</t>
  </si>
  <si>
    <t>2023021-52</t>
  </si>
  <si>
    <t>2023021-53</t>
  </si>
  <si>
    <t>2023021-54</t>
  </si>
  <si>
    <t>2023021-55</t>
  </si>
  <si>
    <t>2023021-56</t>
  </si>
  <si>
    <t>2023021-57</t>
  </si>
  <si>
    <t>2023021-58</t>
  </si>
  <si>
    <t>2023021-59</t>
  </si>
  <si>
    <t>2023021-60</t>
  </si>
  <si>
    <t>2023021-61</t>
  </si>
  <si>
    <t>2023021-62</t>
  </si>
  <si>
    <t>2023021-63</t>
  </si>
  <si>
    <t>2023021-64</t>
  </si>
  <si>
    <t>2023021-65</t>
  </si>
  <si>
    <t>2023021-66</t>
  </si>
  <si>
    <t>2023021-67</t>
  </si>
  <si>
    <t>2023021-68</t>
  </si>
  <si>
    <t>2023021-69</t>
  </si>
  <si>
    <t>2023021-70</t>
  </si>
  <si>
    <t>2023021-71</t>
  </si>
  <si>
    <t>2023021-72</t>
  </si>
  <si>
    <t>2023021-73</t>
  </si>
  <si>
    <t>2023021-74</t>
  </si>
  <si>
    <t>2023021-75</t>
  </si>
  <si>
    <t>2023021-76</t>
  </si>
  <si>
    <t>2023021-77</t>
  </si>
  <si>
    <t>2023021-78</t>
  </si>
  <si>
    <t>2023021-79</t>
  </si>
  <si>
    <t>2023021-80</t>
  </si>
  <si>
    <t>2023021-81</t>
  </si>
  <si>
    <t>2023021-82</t>
  </si>
  <si>
    <t>2023021-83</t>
  </si>
  <si>
    <t>2023021-84</t>
  </si>
  <si>
    <t>2023021-85</t>
  </si>
  <si>
    <t>2023021-86</t>
  </si>
  <si>
    <t>2023021-87</t>
  </si>
  <si>
    <t>2023021-88</t>
  </si>
  <si>
    <t>2023021-89</t>
  </si>
  <si>
    <t>2023021-90</t>
  </si>
  <si>
    <t>2023021-91</t>
  </si>
  <si>
    <t>2023021-92</t>
  </si>
  <si>
    <t>2023021-93</t>
  </si>
  <si>
    <t>2023021-94</t>
  </si>
  <si>
    <t>2023021-95</t>
  </si>
  <si>
    <t>2023021-96</t>
  </si>
  <si>
    <t>2023021-97</t>
  </si>
  <si>
    <t>2023021-98</t>
  </si>
  <si>
    <t>2023021-99</t>
  </si>
  <si>
    <t>2023021-100</t>
  </si>
  <si>
    <t>2023021-101</t>
  </si>
  <si>
    <t>2023021-102</t>
  </si>
  <si>
    <t>2023021-103</t>
  </si>
  <si>
    <t>2023021-104</t>
  </si>
  <si>
    <t>2023021-105</t>
  </si>
  <si>
    <t>2023021-106</t>
  </si>
  <si>
    <t>2023021-107</t>
  </si>
  <si>
    <t>2023021-108</t>
  </si>
  <si>
    <t>2023021-109</t>
  </si>
  <si>
    <t>2023021-110</t>
  </si>
  <si>
    <t>2023021-111</t>
  </si>
  <si>
    <t>2023021-112</t>
  </si>
  <si>
    <t>2023021-113</t>
  </si>
  <si>
    <t>2023021-114</t>
  </si>
  <si>
    <t>2023021-115</t>
  </si>
  <si>
    <t>2023021-116</t>
  </si>
  <si>
    <t>2023021-117</t>
  </si>
  <si>
    <t>2023021-118</t>
  </si>
  <si>
    <t>2023021-119</t>
  </si>
  <si>
    <t>2023021-120</t>
  </si>
  <si>
    <t>2023021-121</t>
  </si>
  <si>
    <t>2023021-122</t>
  </si>
  <si>
    <t>2023021-123</t>
  </si>
  <si>
    <t>2023021-124</t>
  </si>
  <si>
    <t>2023021-125</t>
  </si>
  <si>
    <t>2023021-126</t>
  </si>
  <si>
    <t>2023021-127</t>
  </si>
  <si>
    <t>2023021-128</t>
  </si>
  <si>
    <t>2023_Qld_Gatton_Chickpea_Detailed</t>
  </si>
  <si>
    <t>3/07/2023</t>
  </si>
  <si>
    <t>2023022-1</t>
  </si>
  <si>
    <t>2023022-2</t>
  </si>
  <si>
    <t>2023022-3</t>
  </si>
  <si>
    <t>2023022-4</t>
  </si>
  <si>
    <t>2023022-5</t>
  </si>
  <si>
    <t>2023022-6</t>
  </si>
  <si>
    <t>2023022-7</t>
  </si>
  <si>
    <t>2023022-8</t>
  </si>
  <si>
    <t>26/05/2023</t>
  </si>
  <si>
    <t>2023022-9</t>
  </si>
  <si>
    <t>2023022-10</t>
  </si>
  <si>
    <t>2023022-11</t>
  </si>
  <si>
    <t>2023022-12</t>
  </si>
  <si>
    <t>2023022-13</t>
  </si>
  <si>
    <t>2023022-14</t>
  </si>
  <si>
    <t>2023022-15</t>
  </si>
  <si>
    <t>2023022-16</t>
  </si>
  <si>
    <t>2023022-17</t>
  </si>
  <si>
    <t>2023022-18</t>
  </si>
  <si>
    <t>2023022-19</t>
  </si>
  <si>
    <t>2023022-20</t>
  </si>
  <si>
    <t>2023022-21</t>
  </si>
  <si>
    <t>2023022-22</t>
  </si>
  <si>
    <t>2023022-23</t>
  </si>
  <si>
    <t>2023022-24</t>
  </si>
  <si>
    <t>2023022-25</t>
  </si>
  <si>
    <t>2023022-26</t>
  </si>
  <si>
    <t>2023022-27</t>
  </si>
  <si>
    <t>2023022-28</t>
  </si>
  <si>
    <t>2023022-29</t>
  </si>
  <si>
    <t>2023022-30</t>
  </si>
  <si>
    <t>2023022-31</t>
  </si>
  <si>
    <t>2023022-32</t>
  </si>
  <si>
    <t>2023022-33</t>
  </si>
  <si>
    <t>2023022-34</t>
  </si>
  <si>
    <t>2023022-35</t>
  </si>
  <si>
    <t>2023022-36</t>
  </si>
  <si>
    <t>2023022-37</t>
  </si>
  <si>
    <t>2023022-38</t>
  </si>
  <si>
    <t>2023022-39</t>
  </si>
  <si>
    <t>2023022-40</t>
  </si>
  <si>
    <t>2023022-41</t>
  </si>
  <si>
    <t>2023022-42</t>
  </si>
  <si>
    <t>2023022-43</t>
  </si>
  <si>
    <t>2023022-44</t>
  </si>
  <si>
    <t>2023022-45</t>
  </si>
  <si>
    <t>2023022-46</t>
  </si>
  <si>
    <t>2023022-47</t>
  </si>
  <si>
    <t>2023022-48</t>
  </si>
  <si>
    <t>2023022-49</t>
  </si>
  <si>
    <t>2023022-50</t>
  </si>
  <si>
    <t>2023022-51</t>
  </si>
  <si>
    <t>2023022-52</t>
  </si>
  <si>
    <t>2023022-53</t>
  </si>
  <si>
    <t>2023022-54</t>
  </si>
  <si>
    <t>2023022-55</t>
  </si>
  <si>
    <t>2023022-56</t>
  </si>
  <si>
    <t>2023022-57</t>
  </si>
  <si>
    <t>2023022-58</t>
  </si>
  <si>
    <t>2023022-59</t>
  </si>
  <si>
    <t>2023022-60</t>
  </si>
  <si>
    <t>2023022-61</t>
  </si>
  <si>
    <t>2023022-62</t>
  </si>
  <si>
    <t>2023022-63</t>
  </si>
  <si>
    <t>2023022-64</t>
  </si>
  <si>
    <t>2023022-65</t>
  </si>
  <si>
    <t>2023022-66</t>
  </si>
  <si>
    <t>2023022-67</t>
  </si>
  <si>
    <t>2023022-68</t>
  </si>
  <si>
    <t>2023022-69</t>
  </si>
  <si>
    <t>2023022-70</t>
  </si>
  <si>
    <t>2023022-71</t>
  </si>
  <si>
    <t>2023022-72</t>
  </si>
  <si>
    <t>2023022-73</t>
  </si>
  <si>
    <t>2023022-74</t>
  </si>
  <si>
    <t>2023022-75</t>
  </si>
  <si>
    <t>2023022-76</t>
  </si>
  <si>
    <t>2023022-77</t>
  </si>
  <si>
    <t>2023022-78</t>
  </si>
  <si>
    <t>2023022-79</t>
  </si>
  <si>
    <t>2023022-80</t>
  </si>
  <si>
    <t>2023022-81</t>
  </si>
  <si>
    <t>2023022-82</t>
  </si>
  <si>
    <t>2023022-83</t>
  </si>
  <si>
    <t>2023022-84</t>
  </si>
  <si>
    <t>2023022-85</t>
  </si>
  <si>
    <t>2023022-86</t>
  </si>
  <si>
    <t>2023022-87</t>
  </si>
  <si>
    <t>2023022-88</t>
  </si>
  <si>
    <t>2023022-89</t>
  </si>
  <si>
    <t>2023022-90</t>
  </si>
  <si>
    <t>2023022-91</t>
  </si>
  <si>
    <t>2023022-92</t>
  </si>
  <si>
    <t>2023022-93</t>
  </si>
  <si>
    <t>2023022-94</t>
  </si>
  <si>
    <t>2023022-95</t>
  </si>
  <si>
    <t>2023022-96</t>
  </si>
  <si>
    <t>2023022-97</t>
  </si>
  <si>
    <t>2023022-98</t>
  </si>
  <si>
    <t>2023022-99</t>
  </si>
  <si>
    <t>2023022-100</t>
  </si>
  <si>
    <t>2023022-101</t>
  </si>
  <si>
    <t>2023022-102</t>
  </si>
  <si>
    <t>2023022-103</t>
  </si>
  <si>
    <t>2023022-104</t>
  </si>
  <si>
    <t>2023022-105</t>
  </si>
  <si>
    <t>2023022-106</t>
  </si>
  <si>
    <t>2023022-107</t>
  </si>
  <si>
    <t>2023022-108</t>
  </si>
  <si>
    <t>2023022-109</t>
  </si>
  <si>
    <t>2023022-110</t>
  </si>
  <si>
    <t>2023022-111</t>
  </si>
  <si>
    <t>2023022-112</t>
  </si>
  <si>
    <t>2023022-113</t>
  </si>
  <si>
    <t>2023022-114</t>
  </si>
  <si>
    <t>2023022-115</t>
  </si>
  <si>
    <t>2023022-116</t>
  </si>
  <si>
    <t>2023022-117</t>
  </si>
  <si>
    <t>2023022-118</t>
  </si>
  <si>
    <t>2023022-119</t>
  </si>
  <si>
    <t>2023022-120</t>
  </si>
  <si>
    <t>2023022-121</t>
  </si>
  <si>
    <t>2023022-122</t>
  </si>
  <si>
    <t>2023022-123</t>
  </si>
  <si>
    <t>2023022-124</t>
  </si>
  <si>
    <t>2023022-125</t>
  </si>
  <si>
    <t>2023022-126</t>
  </si>
  <si>
    <t>2023022-127</t>
  </si>
  <si>
    <t>2023022-128</t>
  </si>
  <si>
    <t>2023_SA_Pinery_Fababean_Detailed</t>
  </si>
  <si>
    <t>10/05/2023</t>
  </si>
  <si>
    <t>2023023-1</t>
  </si>
  <si>
    <t>2023023-2</t>
  </si>
  <si>
    <t>2023023-3</t>
  </si>
  <si>
    <t>2023023-4</t>
  </si>
  <si>
    <t>2023023-5</t>
  </si>
  <si>
    <t>2023023-6</t>
  </si>
  <si>
    <t>2023023-7</t>
  </si>
  <si>
    <t>2023023-8</t>
  </si>
  <si>
    <t>2023023-9</t>
  </si>
  <si>
    <t>2023023-10</t>
  </si>
  <si>
    <t>2023023-11</t>
  </si>
  <si>
    <t>2023023-12</t>
  </si>
  <si>
    <t>2023023-13</t>
  </si>
  <si>
    <t>2023023-14</t>
  </si>
  <si>
    <t>2023023-15</t>
  </si>
  <si>
    <t>2023023-16</t>
  </si>
  <si>
    <t>28/06/2023</t>
  </si>
  <si>
    <t>2023023-17</t>
  </si>
  <si>
    <t>2023023-18</t>
  </si>
  <si>
    <t>2023023-19</t>
  </si>
  <si>
    <t>2023023-20</t>
  </si>
  <si>
    <t>2023023-21</t>
  </si>
  <si>
    <t>2023023-22</t>
  </si>
  <si>
    <t>2023023-23</t>
  </si>
  <si>
    <t>2023023-24</t>
  </si>
  <si>
    <t>2023023-25</t>
  </si>
  <si>
    <t>2023023-26</t>
  </si>
  <si>
    <t>2023023-27</t>
  </si>
  <si>
    <t>2023023-28</t>
  </si>
  <si>
    <t>2023023-29</t>
  </si>
  <si>
    <t>2023023-30</t>
  </si>
  <si>
    <t>2023023-31</t>
  </si>
  <si>
    <t>2023023-32</t>
  </si>
  <si>
    <t>2023023-33</t>
  </si>
  <si>
    <t>2023023-34</t>
  </si>
  <si>
    <t>2023023-35</t>
  </si>
  <si>
    <t>2023023-36</t>
  </si>
  <si>
    <t>2023023-37</t>
  </si>
  <si>
    <t>2023023-38</t>
  </si>
  <si>
    <t>2023023-39</t>
  </si>
  <si>
    <t>2023023-40</t>
  </si>
  <si>
    <t>2023023-41</t>
  </si>
  <si>
    <t>2023023-42</t>
  </si>
  <si>
    <t>2023023-43</t>
  </si>
  <si>
    <t>2023023-44</t>
  </si>
  <si>
    <t>2023023-45</t>
  </si>
  <si>
    <t>2023023-46</t>
  </si>
  <si>
    <t>2023023-47</t>
  </si>
  <si>
    <t>2023023-48</t>
  </si>
  <si>
    <t>2023023-49</t>
  </si>
  <si>
    <t>2023023-50</t>
  </si>
  <si>
    <t>2023023-51</t>
  </si>
  <si>
    <t>2023023-52</t>
  </si>
  <si>
    <t>2023023-53</t>
  </si>
  <si>
    <t>2023023-54</t>
  </si>
  <si>
    <t>2023023-55</t>
  </si>
  <si>
    <t>2023023-56</t>
  </si>
  <si>
    <t>2023023-57</t>
  </si>
  <si>
    <t>2023023-58</t>
  </si>
  <si>
    <t>2023023-59</t>
  </si>
  <si>
    <t>2023023-60</t>
  </si>
  <si>
    <t>2023023-61</t>
  </si>
  <si>
    <t>2023023-62</t>
  </si>
  <si>
    <t>2023023-63</t>
  </si>
  <si>
    <t>2023023-64</t>
  </si>
  <si>
    <t>2023023-65</t>
  </si>
  <si>
    <t>2023023-66</t>
  </si>
  <si>
    <t>2023023-67</t>
  </si>
  <si>
    <t>2023023-68</t>
  </si>
  <si>
    <t>2023023-69</t>
  </si>
  <si>
    <t>2023023-70</t>
  </si>
  <si>
    <t>2023023-71</t>
  </si>
  <si>
    <t>2023023-72</t>
  </si>
  <si>
    <t>2023023-73</t>
  </si>
  <si>
    <t>2023023-74</t>
  </si>
  <si>
    <t>2023023-75</t>
  </si>
  <si>
    <t>2023023-76</t>
  </si>
  <si>
    <t>2023023-77</t>
  </si>
  <si>
    <t>2023023-78</t>
  </si>
  <si>
    <t>2023023-79</t>
  </si>
  <si>
    <t>2023023-80</t>
  </si>
  <si>
    <t>2023023-81</t>
  </si>
  <si>
    <t>2023023-82</t>
  </si>
  <si>
    <t>2023023-83</t>
  </si>
  <si>
    <t>2023023-84</t>
  </si>
  <si>
    <t>2023023-85</t>
  </si>
  <si>
    <t>2023023-86</t>
  </si>
  <si>
    <t>2023023-87</t>
  </si>
  <si>
    <t>2023023-88</t>
  </si>
  <si>
    <t>2023023-89</t>
  </si>
  <si>
    <t>2023023-90</t>
  </si>
  <si>
    <t>2023023-91</t>
  </si>
  <si>
    <t>2023023-92</t>
  </si>
  <si>
    <t>2023023-93</t>
  </si>
  <si>
    <t>2023023-94</t>
  </si>
  <si>
    <t>2023023-95</t>
  </si>
  <si>
    <t>2023023-96</t>
  </si>
  <si>
    <t>2023023-97</t>
  </si>
  <si>
    <t>2023023-98</t>
  </si>
  <si>
    <t>2023023-99</t>
  </si>
  <si>
    <t>2023023-100</t>
  </si>
  <si>
    <t>2023023-101</t>
  </si>
  <si>
    <t>2023023-102</t>
  </si>
  <si>
    <t>2023023-103</t>
  </si>
  <si>
    <t>2023023-104</t>
  </si>
  <si>
    <t>2023023-105</t>
  </si>
  <si>
    <t>2023023-106</t>
  </si>
  <si>
    <t>2023023-107</t>
  </si>
  <si>
    <t>2023023-108</t>
  </si>
  <si>
    <t>2023023-109</t>
  </si>
  <si>
    <t>2023023-110</t>
  </si>
  <si>
    <t>2023023-111</t>
  </si>
  <si>
    <t>2023023-112</t>
  </si>
  <si>
    <t>2023023-113</t>
  </si>
  <si>
    <t>2023023-114</t>
  </si>
  <si>
    <t>2023023-115</t>
  </si>
  <si>
    <t>2023023-116</t>
  </si>
  <si>
    <t>2023023-117</t>
  </si>
  <si>
    <t>2023023-118</t>
  </si>
  <si>
    <t>2023023-119</t>
  </si>
  <si>
    <t>2023023-120</t>
  </si>
  <si>
    <t>2023023-121</t>
  </si>
  <si>
    <t>2023023-122</t>
  </si>
  <si>
    <t>2023023-123</t>
  </si>
  <si>
    <t>2023023-124</t>
  </si>
  <si>
    <t>2023023-125</t>
  </si>
  <si>
    <t>2023023-126</t>
  </si>
  <si>
    <t>2023023-127</t>
  </si>
  <si>
    <t>2023023-128</t>
  </si>
  <si>
    <t>2023_SA_Pinery_Lentil_Detailed</t>
  </si>
  <si>
    <t>2023024-1</t>
  </si>
  <si>
    <t>2023024-2</t>
  </si>
  <si>
    <t>2023024-3</t>
  </si>
  <si>
    <t>2023024-4</t>
  </si>
  <si>
    <t>2023024-5</t>
  </si>
  <si>
    <t>2023024-6</t>
  </si>
  <si>
    <t>2023024-7</t>
  </si>
  <si>
    <t>2023024-8</t>
  </si>
  <si>
    <t>2023024-9</t>
  </si>
  <si>
    <t>2023024-10</t>
  </si>
  <si>
    <t>2023024-11</t>
  </si>
  <si>
    <t>2023024-12</t>
  </si>
  <si>
    <t>2023024-13</t>
  </si>
  <si>
    <t>2023024-14</t>
  </si>
  <si>
    <t>2023024-15</t>
  </si>
  <si>
    <t>2023024-16</t>
  </si>
  <si>
    <t>2023024-17</t>
  </si>
  <si>
    <t>2023024-18</t>
  </si>
  <si>
    <t>2023024-19</t>
  </si>
  <si>
    <t>2023024-20</t>
  </si>
  <si>
    <t>2023024-21</t>
  </si>
  <si>
    <t>2023024-22</t>
  </si>
  <si>
    <t>2023024-23</t>
  </si>
  <si>
    <t>2023024-24</t>
  </si>
  <si>
    <t>2023024-25</t>
  </si>
  <si>
    <t>2023024-26</t>
  </si>
  <si>
    <t>2023024-27</t>
  </si>
  <si>
    <t>2023024-28</t>
  </si>
  <si>
    <t>2023024-29</t>
  </si>
  <si>
    <t>2023024-30</t>
  </si>
  <si>
    <t>2023024-31</t>
  </si>
  <si>
    <t>2023024-32</t>
  </si>
  <si>
    <t>2023024-33</t>
  </si>
  <si>
    <t>2023024-34</t>
  </si>
  <si>
    <t>2023024-35</t>
  </si>
  <si>
    <t>2023024-36</t>
  </si>
  <si>
    <t>2023024-37</t>
  </si>
  <si>
    <t>2023024-38</t>
  </si>
  <si>
    <t>2023024-39</t>
  </si>
  <si>
    <t>2023024-40</t>
  </si>
  <si>
    <t>2023024-41</t>
  </si>
  <si>
    <t>2023024-42</t>
  </si>
  <si>
    <t>2023024-43</t>
  </si>
  <si>
    <t>2023024-44</t>
  </si>
  <si>
    <t>2023024-45</t>
  </si>
  <si>
    <t>2023024-46</t>
  </si>
  <si>
    <t>2023024-47</t>
  </si>
  <si>
    <t>2023024-48</t>
  </si>
  <si>
    <t>2023024-49</t>
  </si>
  <si>
    <t>2023024-50</t>
  </si>
  <si>
    <t>2023024-51</t>
  </si>
  <si>
    <t>2023024-52</t>
  </si>
  <si>
    <t>2023024-53</t>
  </si>
  <si>
    <t>2023024-54</t>
  </si>
  <si>
    <t>2023024-55</t>
  </si>
  <si>
    <t>2023024-56</t>
  </si>
  <si>
    <t>2023024-57</t>
  </si>
  <si>
    <t>2023024-58</t>
  </si>
  <si>
    <t>2023024-59</t>
  </si>
  <si>
    <t>2023024-60</t>
  </si>
  <si>
    <t>2023024-61</t>
  </si>
  <si>
    <t>2023024-62</t>
  </si>
  <si>
    <t>2023024-63</t>
  </si>
  <si>
    <t>2023024-64</t>
  </si>
  <si>
    <t>2023024-65</t>
  </si>
  <si>
    <t>2023024-66</t>
  </si>
  <si>
    <t>2023024-67</t>
  </si>
  <si>
    <t>2023024-68</t>
  </si>
  <si>
    <t>2023024-69</t>
  </si>
  <si>
    <t>2023024-70</t>
  </si>
  <si>
    <t>2023024-71</t>
  </si>
  <si>
    <t>2023024-72</t>
  </si>
  <si>
    <t>2023024-73</t>
  </si>
  <si>
    <t>2023024-74</t>
  </si>
  <si>
    <t>2023024-75</t>
  </si>
  <si>
    <t>2023024-76</t>
  </si>
  <si>
    <t>2023024-77</t>
  </si>
  <si>
    <t>2023024-78</t>
  </si>
  <si>
    <t>2023024-79</t>
  </si>
  <si>
    <t>2023024-80</t>
  </si>
  <si>
    <t>2023024-81</t>
  </si>
  <si>
    <t>2023024-82</t>
  </si>
  <si>
    <t>2023024-83</t>
  </si>
  <si>
    <t>2023024-84</t>
  </si>
  <si>
    <t>2023024-85</t>
  </si>
  <si>
    <t>2023024-86</t>
  </si>
  <si>
    <t>2023024-87</t>
  </si>
  <si>
    <t>2023024-88</t>
  </si>
  <si>
    <t>2023024-89</t>
  </si>
  <si>
    <t>2023024-90</t>
  </si>
  <si>
    <t>2023024-91</t>
  </si>
  <si>
    <t>2023024-92</t>
  </si>
  <si>
    <t>2023024-93</t>
  </si>
  <si>
    <t>2023024-94</t>
  </si>
  <si>
    <t>2023024-95</t>
  </si>
  <si>
    <t>2023024-96</t>
  </si>
  <si>
    <t>2023024-97</t>
  </si>
  <si>
    <t>2023024-98</t>
  </si>
  <si>
    <t>2023024-99</t>
  </si>
  <si>
    <t>2023024-100</t>
  </si>
  <si>
    <t>2023024-101</t>
  </si>
  <si>
    <t>2023024-102</t>
  </si>
  <si>
    <t>2023024-103</t>
  </si>
  <si>
    <t>2023024-104</t>
  </si>
  <si>
    <t>2023024-105</t>
  </si>
  <si>
    <t>2023024-106</t>
  </si>
  <si>
    <t>2023024-107</t>
  </si>
  <si>
    <t>2023024-108</t>
  </si>
  <si>
    <t>2023024-109</t>
  </si>
  <si>
    <t>2023024-110</t>
  </si>
  <si>
    <t>2023024-111</t>
  </si>
  <si>
    <t>2023024-112</t>
  </si>
  <si>
    <t>2023024-113</t>
  </si>
  <si>
    <t>2023024-114</t>
  </si>
  <si>
    <t>2023024-115</t>
  </si>
  <si>
    <t>2023024-116</t>
  </si>
  <si>
    <t>2023024-117</t>
  </si>
  <si>
    <t>2023024-118</t>
  </si>
  <si>
    <t>2023024-119</t>
  </si>
  <si>
    <t>2023024-120</t>
  </si>
  <si>
    <t>2023024-121</t>
  </si>
  <si>
    <t>2023024-122</t>
  </si>
  <si>
    <t>2023024-123</t>
  </si>
  <si>
    <t>2023024-124</t>
  </si>
  <si>
    <t>2023024-125</t>
  </si>
  <si>
    <t>2023024-126</t>
  </si>
  <si>
    <t>2023024-127</t>
  </si>
  <si>
    <t>2023024-128</t>
  </si>
  <si>
    <t>2023_Vic_Dooen_Chickpea_Detailed</t>
  </si>
  <si>
    <t>16/05/2023</t>
  </si>
  <si>
    <t>2023025-1</t>
  </si>
  <si>
    <t>2023025-2</t>
  </si>
  <si>
    <t>2023025-3</t>
  </si>
  <si>
    <t>2023025-4</t>
  </si>
  <si>
    <t>2023025-5</t>
  </si>
  <si>
    <t>2023025-6</t>
  </si>
  <si>
    <t>2023025-7</t>
  </si>
  <si>
    <t>2023025-8</t>
  </si>
  <si>
    <t>2023025-9</t>
  </si>
  <si>
    <t>2023025-10</t>
  </si>
  <si>
    <t>2023025-11</t>
  </si>
  <si>
    <t>2023025-12</t>
  </si>
  <si>
    <t>2023025-13</t>
  </si>
  <si>
    <t>2023025-14</t>
  </si>
  <si>
    <t>2023025-15</t>
  </si>
  <si>
    <t>2023025-16</t>
  </si>
  <si>
    <t>2023025-17</t>
  </si>
  <si>
    <t>2023025-18</t>
  </si>
  <si>
    <t>2023025-19</t>
  </si>
  <si>
    <t>2023025-20</t>
  </si>
  <si>
    <t>2023025-21</t>
  </si>
  <si>
    <t>2023025-22</t>
  </si>
  <si>
    <t>2023025-23</t>
  </si>
  <si>
    <t>2023025-24</t>
  </si>
  <si>
    <t>2023025-25</t>
  </si>
  <si>
    <t>2023025-26</t>
  </si>
  <si>
    <t>2023025-27</t>
  </si>
  <si>
    <t>2023025-28</t>
  </si>
  <si>
    <t>2023025-29</t>
  </si>
  <si>
    <t>2023025-30</t>
  </si>
  <si>
    <t>2023025-31</t>
  </si>
  <si>
    <t>2023025-32</t>
  </si>
  <si>
    <t>2023025-33</t>
  </si>
  <si>
    <t>2023025-34</t>
  </si>
  <si>
    <t>2023025-35</t>
  </si>
  <si>
    <t>2023025-36</t>
  </si>
  <si>
    <t>2023025-37</t>
  </si>
  <si>
    <t>2023025-38</t>
  </si>
  <si>
    <t>2023025-39</t>
  </si>
  <si>
    <t>2023025-40</t>
  </si>
  <si>
    <t>2023025-41</t>
  </si>
  <si>
    <t>2023025-42</t>
  </si>
  <si>
    <t>2023025-43</t>
  </si>
  <si>
    <t>2023025-44</t>
  </si>
  <si>
    <t>2023025-45</t>
  </si>
  <si>
    <t>2023025-46</t>
  </si>
  <si>
    <t>2023025-47</t>
  </si>
  <si>
    <t>2023025-48</t>
  </si>
  <si>
    <t>2023025-49</t>
  </si>
  <si>
    <t>2023025-50</t>
  </si>
  <si>
    <t>2023025-51</t>
  </si>
  <si>
    <t>2023025-52</t>
  </si>
  <si>
    <t>2023025-53</t>
  </si>
  <si>
    <t>2023025-54</t>
  </si>
  <si>
    <t>2023025-55</t>
  </si>
  <si>
    <t>2023025-56</t>
  </si>
  <si>
    <t>2023025-57</t>
  </si>
  <si>
    <t>2023025-58</t>
  </si>
  <si>
    <t>2023025-59</t>
  </si>
  <si>
    <t>2023025-60</t>
  </si>
  <si>
    <t>2023025-61</t>
  </si>
  <si>
    <t>2023025-62</t>
  </si>
  <si>
    <t>2023025-63</t>
  </si>
  <si>
    <t>2023025-64</t>
  </si>
  <si>
    <t>2023025-65</t>
  </si>
  <si>
    <t>2023025-66</t>
  </si>
  <si>
    <t>2023025-67</t>
  </si>
  <si>
    <t>2023025-68</t>
  </si>
  <si>
    <t>2023025-69</t>
  </si>
  <si>
    <t>2023025-70</t>
  </si>
  <si>
    <t>2023025-71</t>
  </si>
  <si>
    <t>2023025-72</t>
  </si>
  <si>
    <t>2023025-73</t>
  </si>
  <si>
    <t>2023025-74</t>
  </si>
  <si>
    <t>2023025-75</t>
  </si>
  <si>
    <t>2023025-76</t>
  </si>
  <si>
    <t>2023025-77</t>
  </si>
  <si>
    <t>2023025-78</t>
  </si>
  <si>
    <t>2023025-79</t>
  </si>
  <si>
    <t>2023025-80</t>
  </si>
  <si>
    <t>2023025-81</t>
  </si>
  <si>
    <t>2023025-82</t>
  </si>
  <si>
    <t>2023025-83</t>
  </si>
  <si>
    <t>2023025-84</t>
  </si>
  <si>
    <t>2023025-85</t>
  </si>
  <si>
    <t>2023025-86</t>
  </si>
  <si>
    <t>2023025-87</t>
  </si>
  <si>
    <t>2023025-88</t>
  </si>
  <si>
    <t>2023025-89</t>
  </si>
  <si>
    <t>2023025-90</t>
  </si>
  <si>
    <t>2023025-91</t>
  </si>
  <si>
    <t>2023025-92</t>
  </si>
  <si>
    <t>2023025-93</t>
  </si>
  <si>
    <t>2023025-94</t>
  </si>
  <si>
    <t>2023025-95</t>
  </si>
  <si>
    <t>2023025-96</t>
  </si>
  <si>
    <t>2023025-97</t>
  </si>
  <si>
    <t>2023025-98</t>
  </si>
  <si>
    <t>2023025-99</t>
  </si>
  <si>
    <t>2023025-100</t>
  </si>
  <si>
    <t>2023025-101</t>
  </si>
  <si>
    <t>2023025-102</t>
  </si>
  <si>
    <t>2023025-103</t>
  </si>
  <si>
    <t>2023025-104</t>
  </si>
  <si>
    <t>2023025-105</t>
  </si>
  <si>
    <t>2023025-106</t>
  </si>
  <si>
    <t>2023025-107</t>
  </si>
  <si>
    <t>2023025-108</t>
  </si>
  <si>
    <t>2023025-109</t>
  </si>
  <si>
    <t>2023025-110</t>
  </si>
  <si>
    <t>2023025-111</t>
  </si>
  <si>
    <t>2023025-112</t>
  </si>
  <si>
    <t>2023025-113</t>
  </si>
  <si>
    <t>2023025-114</t>
  </si>
  <si>
    <t>2023025-115</t>
  </si>
  <si>
    <t>2023025-116</t>
  </si>
  <si>
    <t>2023025-117</t>
  </si>
  <si>
    <t>2023025-118</t>
  </si>
  <si>
    <t>2023025-119</t>
  </si>
  <si>
    <t>2023025-120</t>
  </si>
  <si>
    <t>2023025-121</t>
  </si>
  <si>
    <t>2023025-122</t>
  </si>
  <si>
    <t>2023025-123</t>
  </si>
  <si>
    <t>2023025-124</t>
  </si>
  <si>
    <t>2023025-125</t>
  </si>
  <si>
    <t>2023025-126</t>
  </si>
  <si>
    <t>2023025-127</t>
  </si>
  <si>
    <t>2023025-128</t>
  </si>
  <si>
    <t>2023_Vic_Dooen_Lentil_Detailed</t>
  </si>
  <si>
    <t>2023026-1</t>
  </si>
  <si>
    <t>2023026-2</t>
  </si>
  <si>
    <t>2023026-3</t>
  </si>
  <si>
    <t>2023026-4</t>
  </si>
  <si>
    <t>2023026-5</t>
  </si>
  <si>
    <t>2023026-6</t>
  </si>
  <si>
    <t>2023026-7</t>
  </si>
  <si>
    <t>2023026-8</t>
  </si>
  <si>
    <t>2023026-9</t>
  </si>
  <si>
    <t>2023026-10</t>
  </si>
  <si>
    <t>2023026-11</t>
  </si>
  <si>
    <t>2023026-12</t>
  </si>
  <si>
    <t>2023026-13</t>
  </si>
  <si>
    <t>2023026-14</t>
  </si>
  <si>
    <t>2023026-15</t>
  </si>
  <si>
    <t>2023026-16</t>
  </si>
  <si>
    <t>2023026-17</t>
  </si>
  <si>
    <t>2023026-18</t>
  </si>
  <si>
    <t>2023026-19</t>
  </si>
  <si>
    <t>2023026-20</t>
  </si>
  <si>
    <t>2023026-21</t>
  </si>
  <si>
    <t>2023026-22</t>
  </si>
  <si>
    <t>2023026-23</t>
  </si>
  <si>
    <t>2023026-24</t>
  </si>
  <si>
    <t>2023026-25</t>
  </si>
  <si>
    <t>2023026-26</t>
  </si>
  <si>
    <t>2023026-27</t>
  </si>
  <si>
    <t>2023026-28</t>
  </si>
  <si>
    <t>2023026-29</t>
  </si>
  <si>
    <t>2023026-30</t>
  </si>
  <si>
    <t>2023026-31</t>
  </si>
  <si>
    <t>2023026-32</t>
  </si>
  <si>
    <t>2023026-33</t>
  </si>
  <si>
    <t>2023026-34</t>
  </si>
  <si>
    <t>2023026-35</t>
  </si>
  <si>
    <t>2023026-36</t>
  </si>
  <si>
    <t>2023026-37</t>
  </si>
  <si>
    <t>2023026-38</t>
  </si>
  <si>
    <t>2023026-39</t>
  </si>
  <si>
    <t>2023026-40</t>
  </si>
  <si>
    <t>2023026-41</t>
  </si>
  <si>
    <t>2023026-42</t>
  </si>
  <si>
    <t>2023026-43</t>
  </si>
  <si>
    <t>2023026-44</t>
  </si>
  <si>
    <t>2023026-45</t>
  </si>
  <si>
    <t>2023026-46</t>
  </si>
  <si>
    <t>2023026-47</t>
  </si>
  <si>
    <t>2023026-48</t>
  </si>
  <si>
    <t>2023026-49</t>
  </si>
  <si>
    <t>2023026-50</t>
  </si>
  <si>
    <t>2023026-51</t>
  </si>
  <si>
    <t>2023026-52</t>
  </si>
  <si>
    <t>2023026-53</t>
  </si>
  <si>
    <t>2023026-54</t>
  </si>
  <si>
    <t>2023026-55</t>
  </si>
  <si>
    <t>2023026-56</t>
  </si>
  <si>
    <t>2023026-57</t>
  </si>
  <si>
    <t>2023026-58</t>
  </si>
  <si>
    <t>2023026-59</t>
  </si>
  <si>
    <t>2023026-60</t>
  </si>
  <si>
    <t>2023026-61</t>
  </si>
  <si>
    <t>2023026-62</t>
  </si>
  <si>
    <t>2023026-63</t>
  </si>
  <si>
    <t>2023026-64</t>
  </si>
  <si>
    <t>2023026-65</t>
  </si>
  <si>
    <t>2023026-66</t>
  </si>
  <si>
    <t>2023026-67</t>
  </si>
  <si>
    <t>2023026-68</t>
  </si>
  <si>
    <t>2023026-69</t>
  </si>
  <si>
    <t>2023026-70</t>
  </si>
  <si>
    <t>2023026-71</t>
  </si>
  <si>
    <t>2023026-72</t>
  </si>
  <si>
    <t>2023026-73</t>
  </si>
  <si>
    <t>2023026-74</t>
  </si>
  <si>
    <t>2023026-75</t>
  </si>
  <si>
    <t>2023026-76</t>
  </si>
  <si>
    <t>2023026-77</t>
  </si>
  <si>
    <t>2023026-78</t>
  </si>
  <si>
    <t>2023026-79</t>
  </si>
  <si>
    <t>2023026-80</t>
  </si>
  <si>
    <t>2023026-81</t>
  </si>
  <si>
    <t>2023026-82</t>
  </si>
  <si>
    <t>2023026-83</t>
  </si>
  <si>
    <t>2023026-84</t>
  </si>
  <si>
    <t>2023026-85</t>
  </si>
  <si>
    <t>2023026-86</t>
  </si>
  <si>
    <t>2023026-87</t>
  </si>
  <si>
    <t>2023026-88</t>
  </si>
  <si>
    <t>2023026-89</t>
  </si>
  <si>
    <t>2023026-90</t>
  </si>
  <si>
    <t>2023026-91</t>
  </si>
  <si>
    <t>2023026-92</t>
  </si>
  <si>
    <t>2023026-93</t>
  </si>
  <si>
    <t>2023026-94</t>
  </si>
  <si>
    <t>2023026-95</t>
  </si>
  <si>
    <t>2023026-96</t>
  </si>
  <si>
    <t>2023026-97</t>
  </si>
  <si>
    <t>2023026-98</t>
  </si>
  <si>
    <t>2023026-99</t>
  </si>
  <si>
    <t>2023026-100</t>
  </si>
  <si>
    <t>2023026-101</t>
  </si>
  <si>
    <t>2023026-102</t>
  </si>
  <si>
    <t>2023026-103</t>
  </si>
  <si>
    <t>2023026-104</t>
  </si>
  <si>
    <t>2023026-105</t>
  </si>
  <si>
    <t>2023026-106</t>
  </si>
  <si>
    <t>2023026-107</t>
  </si>
  <si>
    <t>2023026-108</t>
  </si>
  <si>
    <t>2023026-109</t>
  </si>
  <si>
    <t>2023026-110</t>
  </si>
  <si>
    <t>2023026-111</t>
  </si>
  <si>
    <t>2023026-112</t>
  </si>
  <si>
    <t>2023026-113</t>
  </si>
  <si>
    <t>2023026-114</t>
  </si>
  <si>
    <t>2023026-115</t>
  </si>
  <si>
    <t>2023026-116</t>
  </si>
  <si>
    <t>2023026-117</t>
  </si>
  <si>
    <t>2023026-118</t>
  </si>
  <si>
    <t>2023026-119</t>
  </si>
  <si>
    <t>2023026-120</t>
  </si>
  <si>
    <t>2023026-121</t>
  </si>
  <si>
    <t>2023026-122</t>
  </si>
  <si>
    <t>2023026-123</t>
  </si>
  <si>
    <t>2023026-124</t>
  </si>
  <si>
    <t>2023026-125</t>
  </si>
  <si>
    <t>2023026-126</t>
  </si>
  <si>
    <t>2023026-127</t>
  </si>
  <si>
    <t>2023026-128</t>
  </si>
  <si>
    <t>2023_WA_Northam_Chickpea_Detailed</t>
  </si>
  <si>
    <t>14/06/2023</t>
  </si>
  <si>
    <t>2023027-1</t>
  </si>
  <si>
    <t>2023027-2</t>
  </si>
  <si>
    <t>2023027-3</t>
  </si>
  <si>
    <t>2023027-4</t>
  </si>
  <si>
    <t>2023027-5</t>
  </si>
  <si>
    <t>2023027-6</t>
  </si>
  <si>
    <t>2023027-7</t>
  </si>
  <si>
    <t>2023027-8</t>
  </si>
  <si>
    <t>17/05/2023</t>
  </si>
  <si>
    <t>2023027-9</t>
  </si>
  <si>
    <t>2023027-10</t>
  </si>
  <si>
    <t>2023027-11</t>
  </si>
  <si>
    <t>2023027-12</t>
  </si>
  <si>
    <t>2023027-13</t>
  </si>
  <si>
    <t>2023027-14</t>
  </si>
  <si>
    <t>2023027-15</t>
  </si>
  <si>
    <t>2023027-16</t>
  </si>
  <si>
    <t>2023027-17</t>
  </si>
  <si>
    <t>2023027-18</t>
  </si>
  <si>
    <t>2023027-19</t>
  </si>
  <si>
    <t>2023027-20</t>
  </si>
  <si>
    <t>2023027-21</t>
  </si>
  <si>
    <t>2023027-22</t>
  </si>
  <si>
    <t>2023027-23</t>
  </si>
  <si>
    <t>2023027-24</t>
  </si>
  <si>
    <t>2023027-25</t>
  </si>
  <si>
    <t>2023027-26</t>
  </si>
  <si>
    <t>2023027-27</t>
  </si>
  <si>
    <t>2023027-28</t>
  </si>
  <si>
    <t>2023027-29</t>
  </si>
  <si>
    <t>2023027-30</t>
  </si>
  <si>
    <t>2023027-31</t>
  </si>
  <si>
    <t>2023027-32</t>
  </si>
  <si>
    <t>2023027-33</t>
  </si>
  <si>
    <t>2023027-34</t>
  </si>
  <si>
    <t>2023027-35</t>
  </si>
  <si>
    <t>2023027-36</t>
  </si>
  <si>
    <t>2023027-37</t>
  </si>
  <si>
    <t>2023027-38</t>
  </si>
  <si>
    <t>2023027-39</t>
  </si>
  <si>
    <t>2023027-40</t>
  </si>
  <si>
    <t>2023027-41</t>
  </si>
  <si>
    <t>2023027-42</t>
  </si>
  <si>
    <t>2023027-43</t>
  </si>
  <si>
    <t>2023027-44</t>
  </si>
  <si>
    <t>2023027-45</t>
  </si>
  <si>
    <t>2023027-46</t>
  </si>
  <si>
    <t>2023027-47</t>
  </si>
  <si>
    <t>2023027-48</t>
  </si>
  <si>
    <t>2023027-49</t>
  </si>
  <si>
    <t>2023027-50</t>
  </si>
  <si>
    <t>2023027-51</t>
  </si>
  <si>
    <t>2023027-52</t>
  </si>
  <si>
    <t>2023027-53</t>
  </si>
  <si>
    <t>2023027-54</t>
  </si>
  <si>
    <t>2023027-55</t>
  </si>
  <si>
    <t>2023027-56</t>
  </si>
  <si>
    <t>2023027-57</t>
  </si>
  <si>
    <t>2023027-58</t>
  </si>
  <si>
    <t>2023027-59</t>
  </si>
  <si>
    <t>2023027-60</t>
  </si>
  <si>
    <t>2023027-61</t>
  </si>
  <si>
    <t>2023027-62</t>
  </si>
  <si>
    <t>2023027-63</t>
  </si>
  <si>
    <t>2023027-64</t>
  </si>
  <si>
    <t>2023027-65</t>
  </si>
  <si>
    <t>2023027-66</t>
  </si>
  <si>
    <t>2023027-67</t>
  </si>
  <si>
    <t>2023027-68</t>
  </si>
  <si>
    <t>2023027-69</t>
  </si>
  <si>
    <t>2023027-70</t>
  </si>
  <si>
    <t>2023027-71</t>
  </si>
  <si>
    <t>2023027-72</t>
  </si>
  <si>
    <t>2023027-73</t>
  </si>
  <si>
    <t>2023027-74</t>
  </si>
  <si>
    <t>2023027-75</t>
  </si>
  <si>
    <t>2023027-76</t>
  </si>
  <si>
    <t>2023027-77</t>
  </si>
  <si>
    <t>2023027-78</t>
  </si>
  <si>
    <t>2023027-79</t>
  </si>
  <si>
    <t>2023027-80</t>
  </si>
  <si>
    <t>2023027-81</t>
  </si>
  <si>
    <t>2023027-82</t>
  </si>
  <si>
    <t>2023027-83</t>
  </si>
  <si>
    <t>2023027-84</t>
  </si>
  <si>
    <t>2023027-85</t>
  </si>
  <si>
    <t>2023027-86</t>
  </si>
  <si>
    <t>2023027-87</t>
  </si>
  <si>
    <t>2023027-88</t>
  </si>
  <si>
    <t>2023027-89</t>
  </si>
  <si>
    <t>2023027-90</t>
  </si>
  <si>
    <t>2023027-91</t>
  </si>
  <si>
    <t>2023027-92</t>
  </si>
  <si>
    <t>2023027-93</t>
  </si>
  <si>
    <t>2023027-94</t>
  </si>
  <si>
    <t>2023027-95</t>
  </si>
  <si>
    <t>2023027-96</t>
  </si>
  <si>
    <t>2023_NSW_RankinsSprings_Fababean_Satellite</t>
  </si>
  <si>
    <t>18/05/2023</t>
  </si>
  <si>
    <t>2023028-1</t>
  </si>
  <si>
    <t>2023028-2</t>
  </si>
  <si>
    <t>2023028-3</t>
  </si>
  <si>
    <t>2023028-4</t>
  </si>
  <si>
    <t>2023028-5</t>
  </si>
  <si>
    <t>2023028-6</t>
  </si>
  <si>
    <t>24/04/2023</t>
  </si>
  <si>
    <t>2023028-7</t>
  </si>
  <si>
    <t>2023028-8</t>
  </si>
  <si>
    <t>2023028-9</t>
  </si>
  <si>
    <t>2023028-10</t>
  </si>
  <si>
    <t>2023028-11</t>
  </si>
  <si>
    <t>2023028-12</t>
  </si>
  <si>
    <t>2023028-13</t>
  </si>
  <si>
    <t>2023028-14</t>
  </si>
  <si>
    <t>2023028-15</t>
  </si>
  <si>
    <t>2023028-16</t>
  </si>
  <si>
    <t>2023028-17</t>
  </si>
  <si>
    <t>2023028-18</t>
  </si>
  <si>
    <t>2023028-19</t>
  </si>
  <si>
    <t>2023028-20</t>
  </si>
  <si>
    <t>2023028-21</t>
  </si>
  <si>
    <t>2023028-22</t>
  </si>
  <si>
    <t>2023028-23</t>
  </si>
  <si>
    <t>2023028-24</t>
  </si>
  <si>
    <t>2023028-25</t>
  </si>
  <si>
    <t>2023028-26</t>
  </si>
  <si>
    <t>2023028-27</t>
  </si>
  <si>
    <t>2023028-28</t>
  </si>
  <si>
    <t>2023028-29</t>
  </si>
  <si>
    <t>2023028-30</t>
  </si>
  <si>
    <t>2023028-31</t>
  </si>
  <si>
    <t>2023028-32</t>
  </si>
  <si>
    <t>2023028-33</t>
  </si>
  <si>
    <t>2023028-34</t>
  </si>
  <si>
    <t>2023028-35</t>
  </si>
  <si>
    <t>2023028-36</t>
  </si>
  <si>
    <t>2023028-37</t>
  </si>
  <si>
    <t>2023028-38</t>
  </si>
  <si>
    <t>2023028-39</t>
  </si>
  <si>
    <t>2023028-40</t>
  </si>
  <si>
    <t>2023028-41</t>
  </si>
  <si>
    <t>2023028-42</t>
  </si>
  <si>
    <t>2023028-43</t>
  </si>
  <si>
    <t>2023028-44</t>
  </si>
  <si>
    <t>2023028-45</t>
  </si>
  <si>
    <t>2023028-46</t>
  </si>
  <si>
    <t>2023028-47</t>
  </si>
  <si>
    <t>2023028-48</t>
  </si>
  <si>
    <t>2023_NSW_RankinsSprings_Lupin_Satellite</t>
  </si>
  <si>
    <t>2023029-1</t>
  </si>
  <si>
    <t>2023029-2</t>
  </si>
  <si>
    <t>2023029-3</t>
  </si>
  <si>
    <t>2023029-4</t>
  </si>
  <si>
    <t>2023029-5</t>
  </si>
  <si>
    <t>Jindalee</t>
  </si>
  <si>
    <t>2023029-6</t>
  </si>
  <si>
    <t>2023029-7</t>
  </si>
  <si>
    <t>2023029-8</t>
  </si>
  <si>
    <t>2023029-9</t>
  </si>
  <si>
    <t>2023029-10</t>
  </si>
  <si>
    <t>2023029-11</t>
  </si>
  <si>
    <t>2023029-12</t>
  </si>
  <si>
    <t>2023029-13</t>
  </si>
  <si>
    <t>2023029-14</t>
  </si>
  <si>
    <t>2023029-15</t>
  </si>
  <si>
    <t>2023029-16</t>
  </si>
  <si>
    <t>2023029-17</t>
  </si>
  <si>
    <t>2023029-18</t>
  </si>
  <si>
    <t>2023029-19</t>
  </si>
  <si>
    <t>2023029-20</t>
  </si>
  <si>
    <t>2023029-21</t>
  </si>
  <si>
    <t>2023029-22</t>
  </si>
  <si>
    <t>2023029-23</t>
  </si>
  <si>
    <t>2023029-24</t>
  </si>
  <si>
    <t>2023029-25</t>
  </si>
  <si>
    <t>2023029-26</t>
  </si>
  <si>
    <t>2023029-27</t>
  </si>
  <si>
    <t>2023029-28</t>
  </si>
  <si>
    <t>2023029-29</t>
  </si>
  <si>
    <t>2023029-30</t>
  </si>
  <si>
    <t>2023029-31</t>
  </si>
  <si>
    <t>2023029-32</t>
  </si>
  <si>
    <t>2023029-33</t>
  </si>
  <si>
    <t>2023029-34</t>
  </si>
  <si>
    <t>2023029-35</t>
  </si>
  <si>
    <t>2023029-36</t>
  </si>
  <si>
    <t>2023029-37</t>
  </si>
  <si>
    <t>2023029-38</t>
  </si>
  <si>
    <t>2023029-39</t>
  </si>
  <si>
    <t>2023029-40</t>
  </si>
  <si>
    <t>2023029-41</t>
  </si>
  <si>
    <t>2023029-42</t>
  </si>
  <si>
    <t>2023029-43</t>
  </si>
  <si>
    <t>2023029-44</t>
  </si>
  <si>
    <t>2023029-45</t>
  </si>
  <si>
    <t>2023029-46</t>
  </si>
  <si>
    <t>2023029-47</t>
  </si>
  <si>
    <t>2023029-48</t>
  </si>
  <si>
    <t>2023_Qld_Emerald_Chickpea_Satellite</t>
  </si>
  <si>
    <t>23/05/2023</t>
  </si>
  <si>
    <t>2023030-1</t>
  </si>
  <si>
    <t>2023030-2</t>
  </si>
  <si>
    <t>2023030-3</t>
  </si>
  <si>
    <t>2023030-4</t>
  </si>
  <si>
    <t>12/06/2023</t>
  </si>
  <si>
    <t>2023030-5</t>
  </si>
  <si>
    <t>2023030-6</t>
  </si>
  <si>
    <t>2023030-7</t>
  </si>
  <si>
    <t>2023030-8</t>
  </si>
  <si>
    <t>2023030-9</t>
  </si>
  <si>
    <t>2023030-10</t>
  </si>
  <si>
    <t>2023030-11</t>
  </si>
  <si>
    <t>2023030-12</t>
  </si>
  <si>
    <t>2023030-13</t>
  </si>
  <si>
    <t>2023030-14</t>
  </si>
  <si>
    <t>2023030-15</t>
  </si>
  <si>
    <t>2023030-16</t>
  </si>
  <si>
    <t>2023030-17</t>
  </si>
  <si>
    <t>2023030-18</t>
  </si>
  <si>
    <t>2023030-19</t>
  </si>
  <si>
    <t>2023030-20</t>
  </si>
  <si>
    <t>2023030-21</t>
  </si>
  <si>
    <t>2023030-22</t>
  </si>
  <si>
    <t>2023030-23</t>
  </si>
  <si>
    <t>2023030-24</t>
  </si>
  <si>
    <t>2023030-25</t>
  </si>
  <si>
    <t>2023030-26</t>
  </si>
  <si>
    <t>2023030-27</t>
  </si>
  <si>
    <t>2023030-28</t>
  </si>
  <si>
    <t>2023030-29</t>
  </si>
  <si>
    <t>2023030-30</t>
  </si>
  <si>
    <t>2023030-31</t>
  </si>
  <si>
    <t>2023030-32</t>
  </si>
  <si>
    <t>2023_Qld_Warra_Chickpea_Satellite</t>
  </si>
  <si>
    <t>27/07/2023</t>
  </si>
  <si>
    <t>2023031-1</t>
  </si>
  <si>
    <t>2023031-2</t>
  </si>
  <si>
    <t>2023031-3</t>
  </si>
  <si>
    <t>2023031-4</t>
  </si>
  <si>
    <t>13/07/2023</t>
  </si>
  <si>
    <t>2023031-5</t>
  </si>
  <si>
    <t>2023031-6</t>
  </si>
  <si>
    <t>2023031-7</t>
  </si>
  <si>
    <t>2023031-8</t>
  </si>
  <si>
    <t>2023031-9</t>
  </si>
  <si>
    <t>2023031-10</t>
  </si>
  <si>
    <t>2023031-11</t>
  </si>
  <si>
    <t>2023031-12</t>
  </si>
  <si>
    <t>2023031-13</t>
  </si>
  <si>
    <t>2023031-14</t>
  </si>
  <si>
    <t>2023031-15</t>
  </si>
  <si>
    <t>2023031-16</t>
  </si>
  <si>
    <t>2023031-17</t>
  </si>
  <si>
    <t>2023031-18</t>
  </si>
  <si>
    <t>2023031-19</t>
  </si>
  <si>
    <t>2023031-20</t>
  </si>
  <si>
    <t>2023031-21</t>
  </si>
  <si>
    <t>2023031-22</t>
  </si>
  <si>
    <t>2023031-23</t>
  </si>
  <si>
    <t>2023031-24</t>
  </si>
  <si>
    <t>2023031-25</t>
  </si>
  <si>
    <t>2023031-26</t>
  </si>
  <si>
    <t>2023031-27</t>
  </si>
  <si>
    <t>2023031-28</t>
  </si>
  <si>
    <t>2023031-29</t>
  </si>
  <si>
    <t>2023031-30</t>
  </si>
  <si>
    <t>2023031-31</t>
  </si>
  <si>
    <t>2023031-32</t>
  </si>
  <si>
    <t>2023_SA_Warnertown_Fababean_Satellite</t>
  </si>
  <si>
    <t>8/05/2023</t>
  </si>
  <si>
    <t>2023032-1</t>
  </si>
  <si>
    <t>2023032-2</t>
  </si>
  <si>
    <t>2023032-3</t>
  </si>
  <si>
    <t>2023032-4</t>
  </si>
  <si>
    <t>2023032-5</t>
  </si>
  <si>
    <t>2023032-6</t>
  </si>
  <si>
    <t>13/04/2023</t>
  </si>
  <si>
    <t>2023032-7</t>
  </si>
  <si>
    <t>2023032-8</t>
  </si>
  <si>
    <t>2023032-9</t>
  </si>
  <si>
    <t>2023032-10</t>
  </si>
  <si>
    <t>2023032-11</t>
  </si>
  <si>
    <t>2023032-12</t>
  </si>
  <si>
    <t>2023032-13</t>
  </si>
  <si>
    <t>2023032-14</t>
  </si>
  <si>
    <t>2023032-15</t>
  </si>
  <si>
    <t>2023032-16</t>
  </si>
  <si>
    <t>2023032-17</t>
  </si>
  <si>
    <t>2023032-18</t>
  </si>
  <si>
    <t>2023032-19</t>
  </si>
  <si>
    <t>2023032-20</t>
  </si>
  <si>
    <t>2023032-21</t>
  </si>
  <si>
    <t>2023032-22</t>
  </si>
  <si>
    <t>2023032-23</t>
  </si>
  <si>
    <t>2023032-24</t>
  </si>
  <si>
    <t>2023032-25</t>
  </si>
  <si>
    <t>2023032-26</t>
  </si>
  <si>
    <t>2023032-27</t>
  </si>
  <si>
    <t>2023032-28</t>
  </si>
  <si>
    <t>2023032-29</t>
  </si>
  <si>
    <t>2023032-30</t>
  </si>
  <si>
    <t>2023032-31</t>
  </si>
  <si>
    <t>2023032-32</t>
  </si>
  <si>
    <t>2023032-33</t>
  </si>
  <si>
    <t>2023032-34</t>
  </si>
  <si>
    <t>2023032-35</t>
  </si>
  <si>
    <t>2023032-36</t>
  </si>
  <si>
    <t>2023032-37</t>
  </si>
  <si>
    <t>2023032-38</t>
  </si>
  <si>
    <t>2023032-39</t>
  </si>
  <si>
    <t>2023032-40</t>
  </si>
  <si>
    <t>2023032-41</t>
  </si>
  <si>
    <t>2023032-42</t>
  </si>
  <si>
    <t>2023032-43</t>
  </si>
  <si>
    <t>2023032-44</t>
  </si>
  <si>
    <t>2023032-45</t>
  </si>
  <si>
    <t>2023032-46</t>
  </si>
  <si>
    <t>2023032-47</t>
  </si>
  <si>
    <t>2023032-48</t>
  </si>
  <si>
    <t>2023_SA_Warnertown_Lentil_Satellite</t>
  </si>
  <si>
    <t>2023033-1</t>
  </si>
  <si>
    <t>2023033-2</t>
  </si>
  <si>
    <t>2023033-3</t>
  </si>
  <si>
    <t>2023033-4</t>
  </si>
  <si>
    <t>2023033-5</t>
  </si>
  <si>
    <t>2023033-6</t>
  </si>
  <si>
    <t>2023033-7</t>
  </si>
  <si>
    <t>2023033-8</t>
  </si>
  <si>
    <t>2023033-9</t>
  </si>
  <si>
    <t>2023033-10</t>
  </si>
  <si>
    <t>2023033-11</t>
  </si>
  <si>
    <t>2023033-12</t>
  </si>
  <si>
    <t>2023033-13</t>
  </si>
  <si>
    <t>2023033-14</t>
  </si>
  <si>
    <t>2023033-15</t>
  </si>
  <si>
    <t>2023033-16</t>
  </si>
  <si>
    <t>2023033-17</t>
  </si>
  <si>
    <t>2023033-18</t>
  </si>
  <si>
    <t>2023033-19</t>
  </si>
  <si>
    <t>2023033-20</t>
  </si>
  <si>
    <t>2023033-21</t>
  </si>
  <si>
    <t>2023033-22</t>
  </si>
  <si>
    <t>2023033-23</t>
  </si>
  <si>
    <t>2023033-24</t>
  </si>
  <si>
    <t>2023033-25</t>
  </si>
  <si>
    <t>2023033-26</t>
  </si>
  <si>
    <t>2023033-27</t>
  </si>
  <si>
    <t>2023033-28</t>
  </si>
  <si>
    <t>2023033-29</t>
  </si>
  <si>
    <t>2023033-30</t>
  </si>
  <si>
    <t>2023033-31</t>
  </si>
  <si>
    <t>2023033-32</t>
  </si>
  <si>
    <t>2023033-33</t>
  </si>
  <si>
    <t>2023033-34</t>
  </si>
  <si>
    <t>2023033-35</t>
  </si>
  <si>
    <t>2023033-36</t>
  </si>
  <si>
    <t>2023033-37</t>
  </si>
  <si>
    <t>2023033-38</t>
  </si>
  <si>
    <t>2023033-39</t>
  </si>
  <si>
    <t>2023033-40</t>
  </si>
  <si>
    <t>2023033-41</t>
  </si>
  <si>
    <t>2023033-42</t>
  </si>
  <si>
    <t>2023033-43</t>
  </si>
  <si>
    <t>2023033-44</t>
  </si>
  <si>
    <t>2023033-45</t>
  </si>
  <si>
    <t>2023033-46</t>
  </si>
  <si>
    <t>2023033-47</t>
  </si>
  <si>
    <t>2023033-48</t>
  </si>
  <si>
    <t>2023_Vic_Ouyen_Chickpea_Satellite</t>
  </si>
  <si>
    <t>4/05/2023</t>
  </si>
  <si>
    <t>2023034-1</t>
  </si>
  <si>
    <t>2023034-2</t>
  </si>
  <si>
    <t>2023034-3</t>
  </si>
  <si>
    <t>2023034-4</t>
  </si>
  <si>
    <t>16/06/2023</t>
  </si>
  <si>
    <t>2023034-5</t>
  </si>
  <si>
    <t>2023034-6</t>
  </si>
  <si>
    <t>2023034-7</t>
  </si>
  <si>
    <t>2023034-8</t>
  </si>
  <si>
    <t>2023034-9</t>
  </si>
  <si>
    <t>2023034-10</t>
  </si>
  <si>
    <t>2023034-11</t>
  </si>
  <si>
    <t>2023034-12</t>
  </si>
  <si>
    <t>2023034-13</t>
  </si>
  <si>
    <t>2023034-14</t>
  </si>
  <si>
    <t>2023034-15</t>
  </si>
  <si>
    <t>2023034-16</t>
  </si>
  <si>
    <t>2023034-17</t>
  </si>
  <si>
    <t>2023034-18</t>
  </si>
  <si>
    <t>2023034-19</t>
  </si>
  <si>
    <t>2023034-20</t>
  </si>
  <si>
    <t>2023034-21</t>
  </si>
  <si>
    <t>2023034-22</t>
  </si>
  <si>
    <t>2023034-23</t>
  </si>
  <si>
    <t>2023034-24</t>
  </si>
  <si>
    <t>2023034-25</t>
  </si>
  <si>
    <t>2023034-26</t>
  </si>
  <si>
    <t>2023034-27</t>
  </si>
  <si>
    <t>2023034-28</t>
  </si>
  <si>
    <t>2023034-29</t>
  </si>
  <si>
    <t>2023034-30</t>
  </si>
  <si>
    <t>2023034-31</t>
  </si>
  <si>
    <t>2023034-32</t>
  </si>
  <si>
    <t>2023_Vic_Ouyen_Lentil_Satellite</t>
  </si>
  <si>
    <t>2023035-1</t>
  </si>
  <si>
    <t>2023035-2</t>
  </si>
  <si>
    <t>2023035-3</t>
  </si>
  <si>
    <t>2023035-4</t>
  </si>
  <si>
    <t>2023035-5</t>
  </si>
  <si>
    <t>2023035-6</t>
  </si>
  <si>
    <t>2023035-7</t>
  </si>
  <si>
    <t>2023035-8</t>
  </si>
  <si>
    <t>2023035-9</t>
  </si>
  <si>
    <t>2023035-10</t>
  </si>
  <si>
    <t>2023035-11</t>
  </si>
  <si>
    <t>2023035-12</t>
  </si>
  <si>
    <t>2023035-13</t>
  </si>
  <si>
    <t>2023035-14</t>
  </si>
  <si>
    <t>2023035-15</t>
  </si>
  <si>
    <t>2023035-16</t>
  </si>
  <si>
    <t>2023035-17</t>
  </si>
  <si>
    <t>2023035-18</t>
  </si>
  <si>
    <t>2023035-19</t>
  </si>
  <si>
    <t>2023035-20</t>
  </si>
  <si>
    <t>2023035-21</t>
  </si>
  <si>
    <t>2023035-22</t>
  </si>
  <si>
    <t>2023035-23</t>
  </si>
  <si>
    <t>2023035-24</t>
  </si>
  <si>
    <t>2023035-25</t>
  </si>
  <si>
    <t>2023035-26</t>
  </si>
  <si>
    <t>2023035-27</t>
  </si>
  <si>
    <t>2023035-28</t>
  </si>
  <si>
    <t>2023035-29</t>
  </si>
  <si>
    <t>2023035-30</t>
  </si>
  <si>
    <t>2023035-31</t>
  </si>
  <si>
    <t>2023035-32</t>
  </si>
  <si>
    <t>2023_Qld_Gatton_Mixed_Light</t>
  </si>
  <si>
    <t>16_hr</t>
  </si>
  <si>
    <t>1</t>
  </si>
  <si>
    <t>2023036-1</t>
  </si>
  <si>
    <t>2023036-2</t>
  </si>
  <si>
    <t>2023036-3</t>
  </si>
  <si>
    <t>2023036-4</t>
  </si>
  <si>
    <t>2023036-5</t>
  </si>
  <si>
    <t>2023036-6</t>
  </si>
  <si>
    <t>2023036-7</t>
  </si>
  <si>
    <t>2023036-8</t>
  </si>
  <si>
    <t>2023036-9</t>
  </si>
  <si>
    <t>2023036-10</t>
  </si>
  <si>
    <t>2023036-11</t>
  </si>
  <si>
    <t>2023036-12</t>
  </si>
  <si>
    <t>2023036-13</t>
  </si>
  <si>
    <t>2023036-14</t>
  </si>
  <si>
    <t>2023036-15</t>
  </si>
  <si>
    <t>2023036-16</t>
  </si>
  <si>
    <t>2023036-17</t>
  </si>
  <si>
    <t>2023036-18</t>
  </si>
  <si>
    <t>2023036-19</t>
  </si>
  <si>
    <t>2023036-20</t>
  </si>
  <si>
    <t>2023036-21</t>
  </si>
  <si>
    <t>2023036-22</t>
  </si>
  <si>
    <t>2023036-23</t>
  </si>
  <si>
    <t>2023036-24</t>
  </si>
  <si>
    <t>2023036-25</t>
  </si>
  <si>
    <t>2023036-26</t>
  </si>
  <si>
    <t>2023036-27</t>
  </si>
  <si>
    <t>2023036-28</t>
  </si>
  <si>
    <t>2023036-29</t>
  </si>
  <si>
    <t>2023036-30</t>
  </si>
  <si>
    <t>2023036-31</t>
  </si>
  <si>
    <t>2023036-32</t>
  </si>
  <si>
    <t>2023036-33</t>
  </si>
  <si>
    <t>2023036-34</t>
  </si>
  <si>
    <t>2023036-35</t>
  </si>
  <si>
    <t>2023036-36</t>
  </si>
  <si>
    <t>2023036-37</t>
  </si>
  <si>
    <t>2023036-38</t>
  </si>
  <si>
    <t>2023036-39</t>
  </si>
  <si>
    <t>2023036-40</t>
  </si>
  <si>
    <t>2023036-41</t>
  </si>
  <si>
    <t>2023036-42</t>
  </si>
  <si>
    <t>2023036-43</t>
  </si>
  <si>
    <t>2023036-44</t>
  </si>
  <si>
    <t>2023036-45</t>
  </si>
  <si>
    <t>2023036-46</t>
  </si>
  <si>
    <t>2023036-47</t>
  </si>
  <si>
    <t>2023036-48</t>
  </si>
  <si>
    <t>11/07/2023</t>
  </si>
  <si>
    <t>2023036-49</t>
  </si>
  <si>
    <t>2023036-50</t>
  </si>
  <si>
    <t>2023036-51</t>
  </si>
  <si>
    <t>2023036-52</t>
  </si>
  <si>
    <t>2023036-53</t>
  </si>
  <si>
    <t>2023036-54</t>
  </si>
  <si>
    <t>2023036-55</t>
  </si>
  <si>
    <t>2023036-56</t>
  </si>
  <si>
    <t>2023036-57</t>
  </si>
  <si>
    <t>2023036-58</t>
  </si>
  <si>
    <t>2023036-59</t>
  </si>
  <si>
    <t>2023036-60</t>
  </si>
  <si>
    <t>2023036-61</t>
  </si>
  <si>
    <t>2023036-62</t>
  </si>
  <si>
    <t>2023036-63</t>
  </si>
  <si>
    <t>2023036-64</t>
  </si>
  <si>
    <t>2023036-65</t>
  </si>
  <si>
    <t>2023036-66</t>
  </si>
  <si>
    <t>2023036-67</t>
  </si>
  <si>
    <t>2023036-68</t>
  </si>
  <si>
    <t>2023036-69</t>
  </si>
  <si>
    <t>2023036-70</t>
  </si>
  <si>
    <t>2023036-71</t>
  </si>
  <si>
    <t>2023036-72</t>
  </si>
  <si>
    <t>2023036-73</t>
  </si>
  <si>
    <t>2023036-74</t>
  </si>
  <si>
    <t>2023036-75</t>
  </si>
  <si>
    <t>2023036-76</t>
  </si>
  <si>
    <t>2023036-77</t>
  </si>
  <si>
    <t>2023036-78</t>
  </si>
  <si>
    <t>2023036-79</t>
  </si>
  <si>
    <t>2023036-80</t>
  </si>
  <si>
    <t>2023036-81</t>
  </si>
  <si>
    <t>2023036-82</t>
  </si>
  <si>
    <t>2023036-83</t>
  </si>
  <si>
    <t>2023036-84</t>
  </si>
  <si>
    <t>2023036-85</t>
  </si>
  <si>
    <t>2023036-86</t>
  </si>
  <si>
    <t>2023036-87</t>
  </si>
  <si>
    <t>2023036-88</t>
  </si>
  <si>
    <t>2023036-89</t>
  </si>
  <si>
    <t>2023036-90</t>
  </si>
  <si>
    <t>2023036-91</t>
  </si>
  <si>
    <t>2023036-92</t>
  </si>
  <si>
    <t>2023036-93</t>
  </si>
  <si>
    <t>2023036-94</t>
  </si>
  <si>
    <t>2023036-95</t>
  </si>
  <si>
    <t>2023036-96</t>
  </si>
  <si>
    <t>Natural</t>
  </si>
  <si>
    <t>2</t>
  </si>
  <si>
    <t>2023036-97</t>
  </si>
  <si>
    <t>2023036-98</t>
  </si>
  <si>
    <t>2023036-99</t>
  </si>
  <si>
    <t>2023036-100</t>
  </si>
  <si>
    <t>2023036-101</t>
  </si>
  <si>
    <t>2023036-102</t>
  </si>
  <si>
    <t>2023036-103</t>
  </si>
  <si>
    <t>2023036-104</t>
  </si>
  <si>
    <t>2023036-105</t>
  </si>
  <si>
    <t>2023036-106</t>
  </si>
  <si>
    <t>2023036-107</t>
  </si>
  <si>
    <t>2023036-108</t>
  </si>
  <si>
    <t>2023036-109</t>
  </si>
  <si>
    <t>2023036-110</t>
  </si>
  <si>
    <t>2023036-111</t>
  </si>
  <si>
    <t>2023036-112</t>
  </si>
  <si>
    <t>2023036-113</t>
  </si>
  <si>
    <t>2023036-114</t>
  </si>
  <si>
    <t>2023036-115</t>
  </si>
  <si>
    <t>2023036-116</t>
  </si>
  <si>
    <t>2023036-117</t>
  </si>
  <si>
    <t>2023036-118</t>
  </si>
  <si>
    <t>2023036-119</t>
  </si>
  <si>
    <t>2023036-120</t>
  </si>
  <si>
    <t>2023036-121</t>
  </si>
  <si>
    <t>2023036-122</t>
  </si>
  <si>
    <t>2023036-123</t>
  </si>
  <si>
    <t>2023036-124</t>
  </si>
  <si>
    <t>2023036-125</t>
  </si>
  <si>
    <t>2023036-126</t>
  </si>
  <si>
    <t>2023036-127</t>
  </si>
  <si>
    <t>2023036-128</t>
  </si>
  <si>
    <t>2023036-129</t>
  </si>
  <si>
    <t>2023036-130</t>
  </si>
  <si>
    <t>2023036-131</t>
  </si>
  <si>
    <t>2023036-132</t>
  </si>
  <si>
    <t>2023036-133</t>
  </si>
  <si>
    <t>2023036-134</t>
  </si>
  <si>
    <t>2023036-135</t>
  </si>
  <si>
    <t>2023036-136</t>
  </si>
  <si>
    <t>2023036-137</t>
  </si>
  <si>
    <t>2023036-138</t>
  </si>
  <si>
    <t>2023036-139</t>
  </si>
  <si>
    <t>2023036-140</t>
  </si>
  <si>
    <t>2023036-141</t>
  </si>
  <si>
    <t>2023036-142</t>
  </si>
  <si>
    <t>2023036-143</t>
  </si>
  <si>
    <t>2023036-144</t>
  </si>
  <si>
    <t>2023036-145</t>
  </si>
  <si>
    <t>2023036-146</t>
  </si>
  <si>
    <t>2023036-147</t>
  </si>
  <si>
    <t>2023036-148</t>
  </si>
  <si>
    <t>2023036-149</t>
  </si>
  <si>
    <t>2023036-150</t>
  </si>
  <si>
    <t>2023036-151</t>
  </si>
  <si>
    <t>2023036-152</t>
  </si>
  <si>
    <t>2023036-153</t>
  </si>
  <si>
    <t>2023036-154</t>
  </si>
  <si>
    <t>2023036-155</t>
  </si>
  <si>
    <t>2023036-156</t>
  </si>
  <si>
    <t>2023036-157</t>
  </si>
  <si>
    <t>2023036-158</t>
  </si>
  <si>
    <t>2023036-159</t>
  </si>
  <si>
    <t>2023036-160</t>
  </si>
  <si>
    <t>2023036-161</t>
  </si>
  <si>
    <t>2023036-162</t>
  </si>
  <si>
    <t>2023036-163</t>
  </si>
  <si>
    <t>2023036-164</t>
  </si>
  <si>
    <t>2023036-165</t>
  </si>
  <si>
    <t>2023036-166</t>
  </si>
  <si>
    <t>2023036-167</t>
  </si>
  <si>
    <t>2023036-168</t>
  </si>
  <si>
    <t>2023036-169</t>
  </si>
  <si>
    <t>2023036-170</t>
  </si>
  <si>
    <t>2023036-171</t>
  </si>
  <si>
    <t>2023036-172</t>
  </si>
  <si>
    <t>2023036-173</t>
  </si>
  <si>
    <t>2023036-174</t>
  </si>
  <si>
    <t>2023036-175</t>
  </si>
  <si>
    <t>2023036-176</t>
  </si>
  <si>
    <t>2023036-177</t>
  </si>
  <si>
    <t>2023036-178</t>
  </si>
  <si>
    <t>2023036-179</t>
  </si>
  <si>
    <t>2023036-180</t>
  </si>
  <si>
    <t>2023036-181</t>
  </si>
  <si>
    <t>2023036-182</t>
  </si>
  <si>
    <t>2023036-183</t>
  </si>
  <si>
    <t>2023036-184</t>
  </si>
  <si>
    <t>2023036-185</t>
  </si>
  <si>
    <t>2023036-186</t>
  </si>
  <si>
    <t>2023036-187</t>
  </si>
  <si>
    <t>2023036-188</t>
  </si>
  <si>
    <t>2023036-189</t>
  </si>
  <si>
    <t>2023036-190</t>
  </si>
  <si>
    <t>2023036-191</t>
  </si>
  <si>
    <t>2023036-192</t>
  </si>
  <si>
    <t>2024_Qld_Gatton_Chickpea_Detailed</t>
  </si>
  <si>
    <t>17/06/2024</t>
  </si>
  <si>
    <t>2024037-1</t>
  </si>
  <si>
    <t>2024037-2</t>
  </si>
  <si>
    <t>2024037-3</t>
  </si>
  <si>
    <t>2024037-4</t>
  </si>
  <si>
    <t>2024037-5</t>
  </si>
  <si>
    <t>2024037-6</t>
  </si>
  <si>
    <t>2024037-7</t>
  </si>
  <si>
    <t>2024037-8</t>
  </si>
  <si>
    <t>15/05/2024</t>
  </si>
  <si>
    <t>2024037-9</t>
  </si>
  <si>
    <t>2024037-10</t>
  </si>
  <si>
    <t>2024037-11</t>
  </si>
  <si>
    <t>2024037-12</t>
  </si>
  <si>
    <t>2024037-13</t>
  </si>
  <si>
    <t>2024037-14</t>
  </si>
  <si>
    <t>2024037-15</t>
  </si>
  <si>
    <t>2024037-16</t>
  </si>
  <si>
    <t>2024037-17</t>
  </si>
  <si>
    <t>2024037-18</t>
  </si>
  <si>
    <t>2024037-19</t>
  </si>
  <si>
    <t>2024037-20</t>
  </si>
  <si>
    <t>2024037-21</t>
  </si>
  <si>
    <t>2024037-22</t>
  </si>
  <si>
    <t>2024037-23</t>
  </si>
  <si>
    <t>2024037-24</t>
  </si>
  <si>
    <t>2024037-25</t>
  </si>
  <si>
    <t>2024037-26</t>
  </si>
  <si>
    <t>2024037-27</t>
  </si>
  <si>
    <t>2024037-28</t>
  </si>
  <si>
    <t>2024037-29</t>
  </si>
  <si>
    <t>2024037-30</t>
  </si>
  <si>
    <t>2024037-31</t>
  </si>
  <si>
    <t>2024037-32</t>
  </si>
  <si>
    <t>2024037-33</t>
  </si>
  <si>
    <t>2024037-34</t>
  </si>
  <si>
    <t>2024037-35</t>
  </si>
  <si>
    <t>2024037-36</t>
  </si>
  <si>
    <t>2024037-37</t>
  </si>
  <si>
    <t>2024037-38</t>
  </si>
  <si>
    <t>2024037-39</t>
  </si>
  <si>
    <t>2024037-40</t>
  </si>
  <si>
    <t>2024037-41</t>
  </si>
  <si>
    <t>2024037-42</t>
  </si>
  <si>
    <t>2024037-43</t>
  </si>
  <si>
    <t>2024037-44</t>
  </si>
  <si>
    <t>2024037-45</t>
  </si>
  <si>
    <t>2024037-46</t>
  </si>
  <si>
    <t>2024037-47</t>
  </si>
  <si>
    <t>2024037-48</t>
  </si>
  <si>
    <t>2024037-49</t>
  </si>
  <si>
    <t>2024037-50</t>
  </si>
  <si>
    <t>2024037-51</t>
  </si>
  <si>
    <t>2024037-52</t>
  </si>
  <si>
    <t>2024037-53</t>
  </si>
  <si>
    <t>2024037-54</t>
  </si>
  <si>
    <t>2024037-55</t>
  </si>
  <si>
    <t>2024037-56</t>
  </si>
  <si>
    <t>2024037-57</t>
  </si>
  <si>
    <t>2024037-58</t>
  </si>
  <si>
    <t>2024037-59</t>
  </si>
  <si>
    <t>2024037-60</t>
  </si>
  <si>
    <t>2024037-61</t>
  </si>
  <si>
    <t>2024037-62</t>
  </si>
  <si>
    <t>2024037-63</t>
  </si>
  <si>
    <t>2024037-64</t>
  </si>
  <si>
    <t>2024037-65</t>
  </si>
  <si>
    <t>2024037-66</t>
  </si>
  <si>
    <t>2024037-67</t>
  </si>
  <si>
    <t>2024037-68</t>
  </si>
  <si>
    <t>2024037-69</t>
  </si>
  <si>
    <t>2024037-70</t>
  </si>
  <si>
    <t>2024037-71</t>
  </si>
  <si>
    <t>2024037-72</t>
  </si>
  <si>
    <t>2024037-73</t>
  </si>
  <si>
    <t>2024037-74</t>
  </si>
  <si>
    <t>2024037-75</t>
  </si>
  <si>
    <t>2024037-76</t>
  </si>
  <si>
    <t>2024037-77</t>
  </si>
  <si>
    <t>2024037-78</t>
  </si>
  <si>
    <t>2024037-79</t>
  </si>
  <si>
    <t>2024037-80</t>
  </si>
  <si>
    <t>2024037-81</t>
  </si>
  <si>
    <t>2024037-82</t>
  </si>
  <si>
    <t>2024037-83</t>
  </si>
  <si>
    <t>2024037-84</t>
  </si>
  <si>
    <t>2024037-85</t>
  </si>
  <si>
    <t>2024037-86</t>
  </si>
  <si>
    <t>2024037-87</t>
  </si>
  <si>
    <t>2024037-88</t>
  </si>
  <si>
    <t>2024037-89</t>
  </si>
  <si>
    <t>2024037-90</t>
  </si>
  <si>
    <t>2024037-91</t>
  </si>
  <si>
    <t>2024037-92</t>
  </si>
  <si>
    <t>2024037-93</t>
  </si>
  <si>
    <t>2024037-94</t>
  </si>
  <si>
    <t>2024037-95</t>
  </si>
  <si>
    <t>2024037-96</t>
  </si>
  <si>
    <t>2024037-97</t>
  </si>
  <si>
    <t>2024037-98</t>
  </si>
  <si>
    <t>2024037-99</t>
  </si>
  <si>
    <t>2024037-100</t>
  </si>
  <si>
    <t>2024037-101</t>
  </si>
  <si>
    <t>2024037-102</t>
  </si>
  <si>
    <t>2024037-103</t>
  </si>
  <si>
    <t>2024037-104</t>
  </si>
  <si>
    <t>2024037-105</t>
  </si>
  <si>
    <t>2024037-106</t>
  </si>
  <si>
    <t>2024037-107</t>
  </si>
  <si>
    <t>2024037-108</t>
  </si>
  <si>
    <t>2024037-109</t>
  </si>
  <si>
    <t>2024037-110</t>
  </si>
  <si>
    <t>2024037-111</t>
  </si>
  <si>
    <t>2024037-112</t>
  </si>
  <si>
    <t>2024037-113</t>
  </si>
  <si>
    <t>2024037-114</t>
  </si>
  <si>
    <t>2024037-115</t>
  </si>
  <si>
    <t>2024037-116</t>
  </si>
  <si>
    <t>2024037-117</t>
  </si>
  <si>
    <t>2024037-118</t>
  </si>
  <si>
    <t>2024037-119</t>
  </si>
  <si>
    <t>2024037-120</t>
  </si>
  <si>
    <t>2024037-121</t>
  </si>
  <si>
    <t>2024037-122</t>
  </si>
  <si>
    <t>2024037-123</t>
  </si>
  <si>
    <t>2024037-124</t>
  </si>
  <si>
    <t>2024037-125</t>
  </si>
  <si>
    <t>2024037-126</t>
  </si>
  <si>
    <t>2024037-127</t>
  </si>
  <si>
    <t>2024037-128</t>
  </si>
  <si>
    <t>2024_Vic_Kalkee_Chickpea_Detailed</t>
  </si>
  <si>
    <t>22/05/2024</t>
  </si>
  <si>
    <t>2024038-1</t>
  </si>
  <si>
    <t>2024038-2</t>
  </si>
  <si>
    <t>2024038-3</t>
  </si>
  <si>
    <t>2024038-4</t>
  </si>
  <si>
    <t>2024038-5</t>
  </si>
  <si>
    <t>2024038-6</t>
  </si>
  <si>
    <t>2024038-7</t>
  </si>
  <si>
    <t>2024038-8</t>
  </si>
  <si>
    <t>2024038-9</t>
  </si>
  <si>
    <t>2024038-10</t>
  </si>
  <si>
    <t>2024038-11</t>
  </si>
  <si>
    <t>2024038-12</t>
  </si>
  <si>
    <t>2024038-13</t>
  </si>
  <si>
    <t>2024038-14</t>
  </si>
  <si>
    <t>2024038-15</t>
  </si>
  <si>
    <t>2024038-16</t>
  </si>
  <si>
    <t>04/07/2024</t>
  </si>
  <si>
    <t>2024038-17</t>
  </si>
  <si>
    <t>2024038-18</t>
  </si>
  <si>
    <t>2024038-19</t>
  </si>
  <si>
    <t>2024038-20</t>
  </si>
  <si>
    <t>2024038-21</t>
  </si>
  <si>
    <t>2024038-22</t>
  </si>
  <si>
    <t>2024038-23</t>
  </si>
  <si>
    <t>2024038-24</t>
  </si>
  <si>
    <t>2024038-25</t>
  </si>
  <si>
    <t>2024038-26</t>
  </si>
  <si>
    <t>2024038-27</t>
  </si>
  <si>
    <t>2024038-28</t>
  </si>
  <si>
    <t>2024038-29</t>
  </si>
  <si>
    <t>2024038-30</t>
  </si>
  <si>
    <t>2024038-31</t>
  </si>
  <si>
    <t>2024038-32</t>
  </si>
  <si>
    <t>2024038-33</t>
  </si>
  <si>
    <t>2024038-34</t>
  </si>
  <si>
    <t>2024038-35</t>
  </si>
  <si>
    <t>2024038-36</t>
  </si>
  <si>
    <t>2024038-37</t>
  </si>
  <si>
    <t>2024038-38</t>
  </si>
  <si>
    <t>2024038-39</t>
  </si>
  <si>
    <t>2024038-40</t>
  </si>
  <si>
    <t>2024038-41</t>
  </si>
  <si>
    <t>2024038-42</t>
  </si>
  <si>
    <t>2024038-43</t>
  </si>
  <si>
    <t>2024038-44</t>
  </si>
  <si>
    <t>2024038-45</t>
  </si>
  <si>
    <t>2024038-46</t>
  </si>
  <si>
    <t>2024038-47</t>
  </si>
  <si>
    <t>2024038-48</t>
  </si>
  <si>
    <t>2024038-49</t>
  </si>
  <si>
    <t>2024038-50</t>
  </si>
  <si>
    <t>2024038-51</t>
  </si>
  <si>
    <t>2024038-52</t>
  </si>
  <si>
    <t>2024038-53</t>
  </si>
  <si>
    <t>2024038-54</t>
  </si>
  <si>
    <t>2024038-55</t>
  </si>
  <si>
    <t>2024038-56</t>
  </si>
  <si>
    <t>2024038-57</t>
  </si>
  <si>
    <t>2024038-58</t>
  </si>
  <si>
    <t>2024038-59</t>
  </si>
  <si>
    <t>2024038-60</t>
  </si>
  <si>
    <t>2024038-61</t>
  </si>
  <si>
    <t>2024038-62</t>
  </si>
  <si>
    <t>2024038-63</t>
  </si>
  <si>
    <t>2024038-64</t>
  </si>
  <si>
    <t>2024038-65</t>
  </si>
  <si>
    <t>2024038-66</t>
  </si>
  <si>
    <t>2024038-67</t>
  </si>
  <si>
    <t>2024038-68</t>
  </si>
  <si>
    <t>2024038-69</t>
  </si>
  <si>
    <t>2024038-70</t>
  </si>
  <si>
    <t>2024038-71</t>
  </si>
  <si>
    <t>2024038-72</t>
  </si>
  <si>
    <t>2024038-73</t>
  </si>
  <si>
    <t>2024038-74</t>
  </si>
  <si>
    <t>2024038-75</t>
  </si>
  <si>
    <t>2024038-76</t>
  </si>
  <si>
    <t>2024038-77</t>
  </si>
  <si>
    <t>2024038-78</t>
  </si>
  <si>
    <t>2024038-79</t>
  </si>
  <si>
    <t>2024038-80</t>
  </si>
  <si>
    <t>2024038-81</t>
  </si>
  <si>
    <t>2024038-82</t>
  </si>
  <si>
    <t>2024038-83</t>
  </si>
  <si>
    <t>2024038-84</t>
  </si>
  <si>
    <t>2024038-85</t>
  </si>
  <si>
    <t>2024038-86</t>
  </si>
  <si>
    <t>2024038-87</t>
  </si>
  <si>
    <t>2024038-88</t>
  </si>
  <si>
    <t>2024038-89</t>
  </si>
  <si>
    <t>2024038-90</t>
  </si>
  <si>
    <t>2024038-91</t>
  </si>
  <si>
    <t>2024038-92</t>
  </si>
  <si>
    <t>2024038-93</t>
  </si>
  <si>
    <t>2024038-94</t>
  </si>
  <si>
    <t>2024038-95</t>
  </si>
  <si>
    <t>2024038-96</t>
  </si>
  <si>
    <t>2024038-97</t>
  </si>
  <si>
    <t>2024038-98</t>
  </si>
  <si>
    <t>2024038-99</t>
  </si>
  <si>
    <t>2024038-100</t>
  </si>
  <si>
    <t>2024038-101</t>
  </si>
  <si>
    <t>2024038-102</t>
  </si>
  <si>
    <t>2024038-103</t>
  </si>
  <si>
    <t>2024038-104</t>
  </si>
  <si>
    <t>2024038-105</t>
  </si>
  <si>
    <t>2024038-106</t>
  </si>
  <si>
    <t>2024038-107</t>
  </si>
  <si>
    <t>2024038-108</t>
  </si>
  <si>
    <t>2024038-109</t>
  </si>
  <si>
    <t>2024038-110</t>
  </si>
  <si>
    <t>2024038-111</t>
  </si>
  <si>
    <t>2024038-112</t>
  </si>
  <si>
    <t>2024038-113</t>
  </si>
  <si>
    <t>2024038-114</t>
  </si>
  <si>
    <t>2024038-115</t>
  </si>
  <si>
    <t>2024038-116</t>
  </si>
  <si>
    <t>2024038-117</t>
  </si>
  <si>
    <t>2024038-118</t>
  </si>
  <si>
    <t>2024038-119</t>
  </si>
  <si>
    <t>2024038-120</t>
  </si>
  <si>
    <t>2024038-121</t>
  </si>
  <si>
    <t>2024038-122</t>
  </si>
  <si>
    <t>2024038-123</t>
  </si>
  <si>
    <t>2024038-124</t>
  </si>
  <si>
    <t>2024038-125</t>
  </si>
  <si>
    <t>2024038-126</t>
  </si>
  <si>
    <t>2024038-127</t>
  </si>
  <si>
    <t>2024038-128</t>
  </si>
  <si>
    <t>2024_Vic_Kalkee_Fababean_Detailed</t>
  </si>
  <si>
    <t>24/05/2024</t>
  </si>
  <si>
    <t>2024039-1</t>
  </si>
  <si>
    <t>2024039-2</t>
  </si>
  <si>
    <t>2024039-3</t>
  </si>
  <si>
    <t>2024039-4</t>
  </si>
  <si>
    <t>2024039-5</t>
  </si>
  <si>
    <t>2024039-6</t>
  </si>
  <si>
    <t>2024039-7</t>
  </si>
  <si>
    <t>2024039-8</t>
  </si>
  <si>
    <t>2024039-9</t>
  </si>
  <si>
    <t>2024039-10</t>
  </si>
  <si>
    <t>2024039-11</t>
  </si>
  <si>
    <t>2024039-12</t>
  </si>
  <si>
    <t>2024039-13</t>
  </si>
  <si>
    <t>2024039-14</t>
  </si>
  <si>
    <t>2024039-15</t>
  </si>
  <si>
    <t>2024039-16</t>
  </si>
  <si>
    <t>2024039-17</t>
  </si>
  <si>
    <t>2024039-18</t>
  </si>
  <si>
    <t>2024039-19</t>
  </si>
  <si>
    <t>2024039-20</t>
  </si>
  <si>
    <t>2024039-21</t>
  </si>
  <si>
    <t>2024039-22</t>
  </si>
  <si>
    <t>2024039-23</t>
  </si>
  <si>
    <t>2024039-24</t>
  </si>
  <si>
    <t>2024039-25</t>
  </si>
  <si>
    <t>2024039-26</t>
  </si>
  <si>
    <t>2024039-27</t>
  </si>
  <si>
    <t>2024039-28</t>
  </si>
  <si>
    <t>2024039-29</t>
  </si>
  <si>
    <t>2024039-30</t>
  </si>
  <si>
    <t>2024039-31</t>
  </si>
  <si>
    <t>2024039-32</t>
  </si>
  <si>
    <t>2024039-33</t>
  </si>
  <si>
    <t>2024039-34</t>
  </si>
  <si>
    <t>2024039-35</t>
  </si>
  <si>
    <t>2024039-36</t>
  </si>
  <si>
    <t>2024039-37</t>
  </si>
  <si>
    <t>2024039-38</t>
  </si>
  <si>
    <t>2024039-39</t>
  </si>
  <si>
    <t>2024039-40</t>
  </si>
  <si>
    <t>2024039-41</t>
  </si>
  <si>
    <t>2024039-42</t>
  </si>
  <si>
    <t>2024039-43</t>
  </si>
  <si>
    <t>2024039-44</t>
  </si>
  <si>
    <t>2024039-45</t>
  </si>
  <si>
    <t>2024039-46</t>
  </si>
  <si>
    <t>2024039-47</t>
  </si>
  <si>
    <t>2024039-48</t>
  </si>
  <si>
    <t>2024039-49</t>
  </si>
  <si>
    <t>2024039-50</t>
  </si>
  <si>
    <t>2024039-51</t>
  </si>
  <si>
    <t>2024039-52</t>
  </si>
  <si>
    <t>2024039-53</t>
  </si>
  <si>
    <t>2024039-54</t>
  </si>
  <si>
    <t>2024039-55</t>
  </si>
  <si>
    <t>2024039-56</t>
  </si>
  <si>
    <t>2024039-57</t>
  </si>
  <si>
    <t>2024039-58</t>
  </si>
  <si>
    <t>2024039-59</t>
  </si>
  <si>
    <t>2024039-60</t>
  </si>
  <si>
    <t>2024039-61</t>
  </si>
  <si>
    <t>2024039-62</t>
  </si>
  <si>
    <t>2024039-63</t>
  </si>
  <si>
    <t>2024039-64</t>
  </si>
  <si>
    <t>2024039-65</t>
  </si>
  <si>
    <t>2024039-66</t>
  </si>
  <si>
    <t>2024039-67</t>
  </si>
  <si>
    <t>2024039-68</t>
  </si>
  <si>
    <t>2024039-69</t>
  </si>
  <si>
    <t>2024039-70</t>
  </si>
  <si>
    <t>2024039-71</t>
  </si>
  <si>
    <t>2024039-72</t>
  </si>
  <si>
    <t>2024039-73</t>
  </si>
  <si>
    <t>2024039-74</t>
  </si>
  <si>
    <t>2024039-75</t>
  </si>
  <si>
    <t>2024039-76</t>
  </si>
  <si>
    <t>2024039-77</t>
  </si>
  <si>
    <t>2024039-78</t>
  </si>
  <si>
    <t>2024039-79</t>
  </si>
  <si>
    <t>2024039-80</t>
  </si>
  <si>
    <t>2024039-81</t>
  </si>
  <si>
    <t>2024039-82</t>
  </si>
  <si>
    <t>2024039-83</t>
  </si>
  <si>
    <t>2024039-84</t>
  </si>
  <si>
    <t>2024039-85</t>
  </si>
  <si>
    <t>2024039-86</t>
  </si>
  <si>
    <t>2024039-87</t>
  </si>
  <si>
    <t>2024039-88</t>
  </si>
  <si>
    <t>2024039-89</t>
  </si>
  <si>
    <t>2024039-90</t>
  </si>
  <si>
    <t>2024039-91</t>
  </si>
  <si>
    <t>2024039-92</t>
  </si>
  <si>
    <t>2024039-93</t>
  </si>
  <si>
    <t>2024039-94</t>
  </si>
  <si>
    <t>2024039-95</t>
  </si>
  <si>
    <t>2024039-96</t>
  </si>
  <si>
    <t>2024039-97</t>
  </si>
  <si>
    <t>2024039-98</t>
  </si>
  <si>
    <t>2024039-99</t>
  </si>
  <si>
    <t>2024039-100</t>
  </si>
  <si>
    <t>2024039-101</t>
  </si>
  <si>
    <t>2024039-102</t>
  </si>
  <si>
    <t>2024039-103</t>
  </si>
  <si>
    <t>2024039-104</t>
  </si>
  <si>
    <t>2024039-105</t>
  </si>
  <si>
    <t>2024039-106</t>
  </si>
  <si>
    <t>2024039-107</t>
  </si>
  <si>
    <t>2024039-108</t>
  </si>
  <si>
    <t>2024039-109</t>
  </si>
  <si>
    <t>2024039-110</t>
  </si>
  <si>
    <t>2024039-111</t>
  </si>
  <si>
    <t>2024039-112</t>
  </si>
  <si>
    <t>2024039-113</t>
  </si>
  <si>
    <t>2024039-114</t>
  </si>
  <si>
    <t>2024039-115</t>
  </si>
  <si>
    <t>2024039-116</t>
  </si>
  <si>
    <t>2024039-117</t>
  </si>
  <si>
    <t>2024039-118</t>
  </si>
  <si>
    <t>2024039-119</t>
  </si>
  <si>
    <t>2024039-120</t>
  </si>
  <si>
    <t>2024039-121</t>
  </si>
  <si>
    <t>2024039-122</t>
  </si>
  <si>
    <t>2024039-123</t>
  </si>
  <si>
    <t>2024039-124</t>
  </si>
  <si>
    <t>2024039-125</t>
  </si>
  <si>
    <t>2024039-126</t>
  </si>
  <si>
    <t>2024039-127</t>
  </si>
  <si>
    <t>2024039-128</t>
  </si>
  <si>
    <t>2024_WA_Bolgart_Chickpea_Detailed</t>
  </si>
  <si>
    <t>20/06/2024</t>
  </si>
  <si>
    <t>2024040-1</t>
  </si>
  <si>
    <t>2024040-2</t>
  </si>
  <si>
    <t>2024040-3</t>
  </si>
  <si>
    <t>2024040-4</t>
  </si>
  <si>
    <t>2024040-5</t>
  </si>
  <si>
    <t>2024040-6</t>
  </si>
  <si>
    <t>2024040-7</t>
  </si>
  <si>
    <t>2024040-8</t>
  </si>
  <si>
    <t>2024040-9</t>
  </si>
  <si>
    <t>2024040-10</t>
  </si>
  <si>
    <t>2024040-11</t>
  </si>
  <si>
    <t>2024040-12</t>
  </si>
  <si>
    <t>2024040-13</t>
  </si>
  <si>
    <t>2024040-14</t>
  </si>
  <si>
    <t>2024040-15</t>
  </si>
  <si>
    <t>2024040-16</t>
  </si>
  <si>
    <t>2024040-17</t>
  </si>
  <si>
    <t>2024040-18</t>
  </si>
  <si>
    <t>2024040-19</t>
  </si>
  <si>
    <t>2024040-20</t>
  </si>
  <si>
    <t>2024040-21</t>
  </si>
  <si>
    <t>2024040-22</t>
  </si>
  <si>
    <t>2024040-23</t>
  </si>
  <si>
    <t>2024040-24</t>
  </si>
  <si>
    <t>2024040-25</t>
  </si>
  <si>
    <t>2024040-26</t>
  </si>
  <si>
    <t>2024040-27</t>
  </si>
  <si>
    <t>2024040-28</t>
  </si>
  <si>
    <t>2024040-29</t>
  </si>
  <si>
    <t>2024040-30</t>
  </si>
  <si>
    <t>2024040-31</t>
  </si>
  <si>
    <t>2024040-32</t>
  </si>
  <si>
    <t>2024040-33</t>
  </si>
  <si>
    <t>2024040-34</t>
  </si>
  <si>
    <t>2024040-35</t>
  </si>
  <si>
    <t>2024040-36</t>
  </si>
  <si>
    <t>2024040-37</t>
  </si>
  <si>
    <t>2024040-38</t>
  </si>
  <si>
    <t>2024040-39</t>
  </si>
  <si>
    <t>2024040-40</t>
  </si>
  <si>
    <t>2024040-41</t>
  </si>
  <si>
    <t>2024040-42</t>
  </si>
  <si>
    <t>2024040-43</t>
  </si>
  <si>
    <t>2024040-44</t>
  </si>
  <si>
    <t>2024040-45</t>
  </si>
  <si>
    <t>2024040-46</t>
  </si>
  <si>
    <t>2024040-47</t>
  </si>
  <si>
    <t>2024040-48</t>
  </si>
  <si>
    <t>2024040-49</t>
  </si>
  <si>
    <t>2024040-50</t>
  </si>
  <si>
    <t>2024040-51</t>
  </si>
  <si>
    <t>2024040-52</t>
  </si>
  <si>
    <t>2024040-53</t>
  </si>
  <si>
    <t>2024040-54</t>
  </si>
  <si>
    <t>2024040-55</t>
  </si>
  <si>
    <t>2024040-56</t>
  </si>
  <si>
    <t>2024040-57</t>
  </si>
  <si>
    <t>2024040-58</t>
  </si>
  <si>
    <t>2024040-59</t>
  </si>
  <si>
    <t>2024040-60</t>
  </si>
  <si>
    <t>2024040-61</t>
  </si>
  <si>
    <t>2024040-62</t>
  </si>
  <si>
    <t>2024040-63</t>
  </si>
  <si>
    <t>2024040-64</t>
  </si>
  <si>
    <t>2024040-65</t>
  </si>
  <si>
    <t>2024040-66</t>
  </si>
  <si>
    <t>2024040-67</t>
  </si>
  <si>
    <t>2024040-68</t>
  </si>
  <si>
    <t>2024040-69</t>
  </si>
  <si>
    <t>2024040-70</t>
  </si>
  <si>
    <t>2024040-71</t>
  </si>
  <si>
    <t>2024040-72</t>
  </si>
  <si>
    <t>2024040-73</t>
  </si>
  <si>
    <t>2024040-74</t>
  </si>
  <si>
    <t>2024040-75</t>
  </si>
  <si>
    <t>2024040-76</t>
  </si>
  <si>
    <t>2024040-77</t>
  </si>
  <si>
    <t>2024040-78</t>
  </si>
  <si>
    <t>2024040-79</t>
  </si>
  <si>
    <t>2024040-80</t>
  </si>
  <si>
    <t>2024040-81</t>
  </si>
  <si>
    <t>2024040-82</t>
  </si>
  <si>
    <t>2024040-83</t>
  </si>
  <si>
    <t>2024040-84</t>
  </si>
  <si>
    <t>2024040-85</t>
  </si>
  <si>
    <t>2024040-86</t>
  </si>
  <si>
    <t>2024040-87</t>
  </si>
  <si>
    <t>2024040-88</t>
  </si>
  <si>
    <t>2024040-89</t>
  </si>
  <si>
    <t>2024040-90</t>
  </si>
  <si>
    <t>2024040-91</t>
  </si>
  <si>
    <t>2024040-92</t>
  </si>
  <si>
    <t>2024040-93</t>
  </si>
  <si>
    <t>2024040-94</t>
  </si>
  <si>
    <t>2024040-95</t>
  </si>
  <si>
    <t>2024040-96</t>
  </si>
  <si>
    <t>2024040-97</t>
  </si>
  <si>
    <t>2024040-98</t>
  </si>
  <si>
    <t>2024040-99</t>
  </si>
  <si>
    <t>2024040-100</t>
  </si>
  <si>
    <t>2024040-101</t>
  </si>
  <si>
    <t>2024040-102</t>
  </si>
  <si>
    <t>2024040-103</t>
  </si>
  <si>
    <t>2024040-104</t>
  </si>
  <si>
    <t>2024040-105</t>
  </si>
  <si>
    <t>2024040-106</t>
  </si>
  <si>
    <t>2024040-107</t>
  </si>
  <si>
    <t>2024040-108</t>
  </si>
  <si>
    <t>2024040-109</t>
  </si>
  <si>
    <t>2024040-110</t>
  </si>
  <si>
    <t>2024040-111</t>
  </si>
  <si>
    <t>2024040-112</t>
  </si>
  <si>
    <t>2024040-113</t>
  </si>
  <si>
    <t>2024040-114</t>
  </si>
  <si>
    <t>2024040-115</t>
  </si>
  <si>
    <t>2024040-116</t>
  </si>
  <si>
    <t>2024040-117</t>
  </si>
  <si>
    <t>2024040-118</t>
  </si>
  <si>
    <t>2024040-119</t>
  </si>
  <si>
    <t>2024040-120</t>
  </si>
  <si>
    <t>2024040-121</t>
  </si>
  <si>
    <t>2024040-122</t>
  </si>
  <si>
    <t>2024040-123</t>
  </si>
  <si>
    <t>2024040-124</t>
  </si>
  <si>
    <t>2024040-125</t>
  </si>
  <si>
    <t>2024040-126</t>
  </si>
  <si>
    <t>2024040-127</t>
  </si>
  <si>
    <t>2024040-128</t>
  </si>
  <si>
    <t>2024_NSW_Greenethorpe_Mixed_NFix</t>
  </si>
  <si>
    <t>Edge</t>
  </si>
  <si>
    <t>125kgN</t>
  </si>
  <si>
    <t>08/05/2024</t>
  </si>
  <si>
    <t>2024041-1</t>
  </si>
  <si>
    <t>Inside</t>
  </si>
  <si>
    <t>2024041-2</t>
  </si>
  <si>
    <t>2024041-3</t>
  </si>
  <si>
    <t>2024041-4</t>
  </si>
  <si>
    <t>Canola</t>
  </si>
  <si>
    <t>2024041-5</t>
  </si>
  <si>
    <t>2024041-6</t>
  </si>
  <si>
    <t>2024041-7</t>
  </si>
  <si>
    <t>2024041-8</t>
  </si>
  <si>
    <t>350kgN</t>
  </si>
  <si>
    <t>2024041-9</t>
  </si>
  <si>
    <t>2024041-10</t>
  </si>
  <si>
    <t>2024041-11</t>
  </si>
  <si>
    <t>2024041-12</t>
  </si>
  <si>
    <t>2024041-13</t>
  </si>
  <si>
    <t>2024041-14</t>
  </si>
  <si>
    <t>2024041-15</t>
  </si>
  <si>
    <t>2024041-16</t>
  </si>
  <si>
    <t>50kgN</t>
  </si>
  <si>
    <t>2024041-17</t>
  </si>
  <si>
    <t>2024041-18</t>
  </si>
  <si>
    <t>2024041-19</t>
  </si>
  <si>
    <t>2024041-20</t>
  </si>
  <si>
    <t>2024041-21</t>
  </si>
  <si>
    <t>2024041-22</t>
  </si>
  <si>
    <t>2024041-23</t>
  </si>
  <si>
    <t>2024041-24</t>
  </si>
  <si>
    <t>175kgN</t>
  </si>
  <si>
    <t>2024041-25</t>
  </si>
  <si>
    <t>2024041-26</t>
  </si>
  <si>
    <t>2024041-27</t>
  </si>
  <si>
    <t>2024041-28</t>
  </si>
  <si>
    <t>2024041-29</t>
  </si>
  <si>
    <t>2024041-30</t>
  </si>
  <si>
    <t>2024041-31</t>
  </si>
  <si>
    <t>2024041-32</t>
  </si>
  <si>
    <t>2024041-33</t>
  </si>
  <si>
    <t>2024041-34</t>
  </si>
  <si>
    <t>2024041-35</t>
  </si>
  <si>
    <t>2024041-36</t>
  </si>
  <si>
    <t>2024041-37</t>
  </si>
  <si>
    <t>2024041-38</t>
  </si>
  <si>
    <t>2024041-39</t>
  </si>
  <si>
    <t>2024041-40</t>
  </si>
  <si>
    <t>2024041-41</t>
  </si>
  <si>
    <t>2024041-42</t>
  </si>
  <si>
    <t>2024041-43</t>
  </si>
  <si>
    <t>2024041-44</t>
  </si>
  <si>
    <t>2024041-45</t>
  </si>
  <si>
    <t>2024041-46</t>
  </si>
  <si>
    <t>2024041-47</t>
  </si>
  <si>
    <t>2024041-48</t>
  </si>
  <si>
    <t>2024041-49</t>
  </si>
  <si>
    <t>2024041-50</t>
  </si>
  <si>
    <t>2024041-51</t>
  </si>
  <si>
    <t>2024041-52</t>
  </si>
  <si>
    <t>2024041-53</t>
  </si>
  <si>
    <t>2024041-54</t>
  </si>
  <si>
    <t>2024041-55</t>
  </si>
  <si>
    <t>2024041-56</t>
  </si>
  <si>
    <t>2024041-57</t>
  </si>
  <si>
    <t>2024041-58</t>
  </si>
  <si>
    <t>2024041-59</t>
  </si>
  <si>
    <t>2024041-60</t>
  </si>
  <si>
    <t>2024041-61</t>
  </si>
  <si>
    <t>2024041-62</t>
  </si>
  <si>
    <t>2024041-63</t>
  </si>
  <si>
    <t>2024041-64</t>
  </si>
  <si>
    <t>2024041-65</t>
  </si>
  <si>
    <t>2024041-66</t>
  </si>
  <si>
    <t>2024041-67</t>
  </si>
  <si>
    <t>2024041-68</t>
  </si>
  <si>
    <t>2024041-69</t>
  </si>
  <si>
    <t>2024041-70</t>
  </si>
  <si>
    <t>2024041-71</t>
  </si>
  <si>
    <t>2024041-72</t>
  </si>
  <si>
    <t>2024041-73</t>
  </si>
  <si>
    <t>2024041-74</t>
  </si>
  <si>
    <t>2024041-75</t>
  </si>
  <si>
    <t>2024041-76</t>
  </si>
  <si>
    <t>2024041-77</t>
  </si>
  <si>
    <t>2024041-78</t>
  </si>
  <si>
    <t>2024041-79</t>
  </si>
  <si>
    <t>2024041-80</t>
  </si>
  <si>
    <t>2024041-81</t>
  </si>
  <si>
    <t>2024041-82</t>
  </si>
  <si>
    <t>2024041-83</t>
  </si>
  <si>
    <t>2024041-84</t>
  </si>
  <si>
    <t>2024041-85</t>
  </si>
  <si>
    <t>2024041-86</t>
  </si>
  <si>
    <t>2024041-87</t>
  </si>
  <si>
    <t>2024041-88</t>
  </si>
  <si>
    <t>2024041-89</t>
  </si>
  <si>
    <t>2024041-90</t>
  </si>
  <si>
    <t>2024041-91</t>
  </si>
  <si>
    <t>2024041-92</t>
  </si>
  <si>
    <t>2024041-93</t>
  </si>
  <si>
    <t>2024041-94</t>
  </si>
  <si>
    <t>2024041-95</t>
  </si>
  <si>
    <t>2024041-96</t>
  </si>
  <si>
    <t>2024041-97</t>
  </si>
  <si>
    <t>2024041-98</t>
  </si>
  <si>
    <t>2024041-99</t>
  </si>
  <si>
    <t>2024041-100</t>
  </si>
  <si>
    <t>2024041-101</t>
  </si>
  <si>
    <t>2024041-102</t>
  </si>
  <si>
    <t>2024041-103</t>
  </si>
  <si>
    <t>2024041-104</t>
  </si>
  <si>
    <t>2024041-105</t>
  </si>
  <si>
    <t>2024041-106</t>
  </si>
  <si>
    <t>2024041-107</t>
  </si>
  <si>
    <t>2024041-108</t>
  </si>
  <si>
    <t>2024041-109</t>
  </si>
  <si>
    <t>2024041-110</t>
  </si>
  <si>
    <t>2024041-111</t>
  </si>
  <si>
    <t>2024041-112</t>
  </si>
  <si>
    <t>2024041-113</t>
  </si>
  <si>
    <t>2024041-114</t>
  </si>
  <si>
    <t>2024041-115</t>
  </si>
  <si>
    <t>2024041-116</t>
  </si>
  <si>
    <t>2024041-117</t>
  </si>
  <si>
    <t>2024041-118</t>
  </si>
  <si>
    <t>2024041-119</t>
  </si>
  <si>
    <t>2024041-120</t>
  </si>
  <si>
    <t>2024041-121</t>
  </si>
  <si>
    <t>2024041-122</t>
  </si>
  <si>
    <t>2024041-123</t>
  </si>
  <si>
    <t>2024041-124</t>
  </si>
  <si>
    <t>2024041-125</t>
  </si>
  <si>
    <t>2024041-126</t>
  </si>
  <si>
    <t>2024041-127</t>
  </si>
  <si>
    <t>2024041-128</t>
  </si>
  <si>
    <t>2024_SA_Warnertown_Fababean_Satellite</t>
  </si>
  <si>
    <t>10/04/2024</t>
  </si>
  <si>
    <t>2024042-1</t>
  </si>
  <si>
    <t>2024042-2</t>
  </si>
  <si>
    <t>2024042-3</t>
  </si>
  <si>
    <t>2024042-4</t>
  </si>
  <si>
    <t>2024042-5</t>
  </si>
  <si>
    <t>2024042-6</t>
  </si>
  <si>
    <t>2024042-7</t>
  </si>
  <si>
    <t>2024042-8</t>
  </si>
  <si>
    <t>2024042-9</t>
  </si>
  <si>
    <t>2024042-10</t>
  </si>
  <si>
    <t>2024042-11</t>
  </si>
  <si>
    <t>2024042-12</t>
  </si>
  <si>
    <t>2024042-13</t>
  </si>
  <si>
    <t>2024042-14</t>
  </si>
  <si>
    <t>2024042-15</t>
  </si>
  <si>
    <t>2024042-16</t>
  </si>
  <si>
    <t>2024042-17</t>
  </si>
  <si>
    <t>2024042-18</t>
  </si>
  <si>
    <t>2024042-19</t>
  </si>
  <si>
    <t>2024042-20</t>
  </si>
  <si>
    <t>2024042-21</t>
  </si>
  <si>
    <t>2024042-22</t>
  </si>
  <si>
    <t>2024042-23</t>
  </si>
  <si>
    <t>2024042-24</t>
  </si>
  <si>
    <t>2024042-25</t>
  </si>
  <si>
    <t>2024042-26</t>
  </si>
  <si>
    <t>2024042-27</t>
  </si>
  <si>
    <t>2024042-28</t>
  </si>
  <si>
    <t>2024042-29</t>
  </si>
  <si>
    <t>2024042-30</t>
  </si>
  <si>
    <t>2024042-31</t>
  </si>
  <si>
    <t>2024042-32</t>
  </si>
  <si>
    <t>2024042-33</t>
  </si>
  <si>
    <t>2024042-34</t>
  </si>
  <si>
    <t>2024042-35</t>
  </si>
  <si>
    <t>2024042-36</t>
  </si>
  <si>
    <t>2024042-37</t>
  </si>
  <si>
    <t>2024042-38</t>
  </si>
  <si>
    <t>2024042-39</t>
  </si>
  <si>
    <t>2024042-40</t>
  </si>
  <si>
    <t>2024042-41</t>
  </si>
  <si>
    <t>2024042-42</t>
  </si>
  <si>
    <t>2024042-43</t>
  </si>
  <si>
    <t>2024042-44</t>
  </si>
  <si>
    <t>2024042-45</t>
  </si>
  <si>
    <t>2024042-46</t>
  </si>
  <si>
    <t>2024042-47</t>
  </si>
  <si>
    <t>2024042-48</t>
  </si>
  <si>
    <t>2024_SA_Warnertown_Lentil_Satellite</t>
  </si>
  <si>
    <t>2024043-1</t>
  </si>
  <si>
    <t>2024043-2</t>
  </si>
  <si>
    <t>2024043-3</t>
  </si>
  <si>
    <t>2024043-4</t>
  </si>
  <si>
    <t>2024043-5</t>
  </si>
  <si>
    <t>2024043-6</t>
  </si>
  <si>
    <t>2024043-7</t>
  </si>
  <si>
    <t>2024043-8</t>
  </si>
  <si>
    <t>2024043-9</t>
  </si>
  <si>
    <t>2024043-10</t>
  </si>
  <si>
    <t>2024043-11</t>
  </si>
  <si>
    <t>2024043-12</t>
  </si>
  <si>
    <t>2024043-13</t>
  </si>
  <si>
    <t>2024043-14</t>
  </si>
  <si>
    <t>2024043-15</t>
  </si>
  <si>
    <t>2024043-16</t>
  </si>
  <si>
    <t>2024043-17</t>
  </si>
  <si>
    <t>2024043-18</t>
  </si>
  <si>
    <t>2024043-19</t>
  </si>
  <si>
    <t>2024043-20</t>
  </si>
  <si>
    <t>2024043-21</t>
  </si>
  <si>
    <t>2024043-22</t>
  </si>
  <si>
    <t>2024043-23</t>
  </si>
  <si>
    <t>2024043-24</t>
  </si>
  <si>
    <t>2024043-25</t>
  </si>
  <si>
    <t>2024043-26</t>
  </si>
  <si>
    <t>2024043-27</t>
  </si>
  <si>
    <t>2024043-28</t>
  </si>
  <si>
    <t>2024043-29</t>
  </si>
  <si>
    <t>2024043-30</t>
  </si>
  <si>
    <t>2024043-31</t>
  </si>
  <si>
    <t>2024043-32</t>
  </si>
  <si>
    <t>2024043-33</t>
  </si>
  <si>
    <t>2024043-34</t>
  </si>
  <si>
    <t>2024043-35</t>
  </si>
  <si>
    <t>2024043-36</t>
  </si>
  <si>
    <t>2024043-37</t>
  </si>
  <si>
    <t>2024043-38</t>
  </si>
  <si>
    <t>2024043-39</t>
  </si>
  <si>
    <t>2024043-40</t>
  </si>
  <si>
    <t>2024043-41</t>
  </si>
  <si>
    <t>2024043-42</t>
  </si>
  <si>
    <t>2024043-43</t>
  </si>
  <si>
    <t>2024043-44</t>
  </si>
  <si>
    <t>2024043-45</t>
  </si>
  <si>
    <t>2024043-46</t>
  </si>
  <si>
    <t>2024043-47</t>
  </si>
  <si>
    <t>2024043-48</t>
  </si>
  <si>
    <t>2024_Vic_Douglas_Fababean_Satellite</t>
  </si>
  <si>
    <t>10/05/2024</t>
  </si>
  <si>
    <t>2024044-1</t>
  </si>
  <si>
    <t>2024044-2</t>
  </si>
  <si>
    <t>2024044-3</t>
  </si>
  <si>
    <t>2024044-4</t>
  </si>
  <si>
    <t>2024044-5</t>
  </si>
  <si>
    <t>2024044-6</t>
  </si>
  <si>
    <t>2024044-7</t>
  </si>
  <si>
    <t>2024044-8</t>
  </si>
  <si>
    <t>2024044-9</t>
  </si>
  <si>
    <t>2024044-10</t>
  </si>
  <si>
    <t>2024044-11</t>
  </si>
  <si>
    <t>2024044-12</t>
  </si>
  <si>
    <t>2024044-13</t>
  </si>
  <si>
    <t>2024044-14</t>
  </si>
  <si>
    <t>2024044-15</t>
  </si>
  <si>
    <t>2024044-16</t>
  </si>
  <si>
    <t>2024044-17</t>
  </si>
  <si>
    <t>2024044-18</t>
  </si>
  <si>
    <t>2024044-19</t>
  </si>
  <si>
    <t>2024044-20</t>
  </si>
  <si>
    <t>2024044-21</t>
  </si>
  <si>
    <t>2024044-22</t>
  </si>
  <si>
    <t>2024044-23</t>
  </si>
  <si>
    <t>2024044-24</t>
  </si>
  <si>
    <t>2024044-25</t>
  </si>
  <si>
    <t>2024044-26</t>
  </si>
  <si>
    <t>2024044-27</t>
  </si>
  <si>
    <t>2024044-28</t>
  </si>
  <si>
    <t>2024044-29</t>
  </si>
  <si>
    <t>2024044-30</t>
  </si>
  <si>
    <t>2024044-31</t>
  </si>
  <si>
    <t>2024044-32</t>
  </si>
  <si>
    <t>2024_Vic_Walpeup_Lentil_Satellite</t>
  </si>
  <si>
    <t>09/05/2024</t>
  </si>
  <si>
    <t>2024045-1</t>
  </si>
  <si>
    <t>2024045-2</t>
  </si>
  <si>
    <t>2024045-3</t>
  </si>
  <si>
    <t>2024045-4</t>
  </si>
  <si>
    <t>2024045-5</t>
  </si>
  <si>
    <t>2024045-6</t>
  </si>
  <si>
    <t>2024045-7</t>
  </si>
  <si>
    <t>2024045-8</t>
  </si>
  <si>
    <t>2024045-9</t>
  </si>
  <si>
    <t>2024045-10</t>
  </si>
  <si>
    <t>2024045-11</t>
  </si>
  <si>
    <t>2024045-12</t>
  </si>
  <si>
    <t>2024045-13</t>
  </si>
  <si>
    <t>2024045-14</t>
  </si>
  <si>
    <t>2024045-15</t>
  </si>
  <si>
    <t>2024045-16</t>
  </si>
  <si>
    <t>2024045-17</t>
  </si>
  <si>
    <t>2024045-18</t>
  </si>
  <si>
    <t>2024045-19</t>
  </si>
  <si>
    <t>2024045-20</t>
  </si>
  <si>
    <t>2024045-21</t>
  </si>
  <si>
    <t>2024045-22</t>
  </si>
  <si>
    <t>2024045-23</t>
  </si>
  <si>
    <t>2024045-24</t>
  </si>
  <si>
    <t>2024045-25</t>
  </si>
  <si>
    <t>2024045-26</t>
  </si>
  <si>
    <t>2024045-27</t>
  </si>
  <si>
    <t>2024045-28</t>
  </si>
  <si>
    <t>2024045-29</t>
  </si>
  <si>
    <t>2024045-30</t>
  </si>
  <si>
    <t>2024045-31</t>
  </si>
  <si>
    <t>2024045-32</t>
  </si>
  <si>
    <t>SimulationName</t>
  </si>
  <si>
    <t>Ace</t>
  </si>
  <si>
    <t>Jumbo2</t>
  </si>
  <si>
    <t>Blitz</t>
  </si>
  <si>
    <t>HatTrick</t>
  </si>
  <si>
    <t>Striker</t>
  </si>
  <si>
    <t>Slasher</t>
  </si>
  <si>
    <t>Monarch</t>
  </si>
  <si>
    <t>Drummond</t>
  </si>
  <si>
    <t>Samira</t>
  </si>
  <si>
    <t>Marne</t>
  </si>
  <si>
    <t>Amberley</t>
  </si>
  <si>
    <t>Nasma</t>
  </si>
  <si>
    <t>Bolt</t>
  </si>
  <si>
    <t>KelpieXT</t>
  </si>
  <si>
    <t>HallmarkXT</t>
  </si>
  <si>
    <t>Magnus</t>
  </si>
  <si>
    <t>Boundary</t>
  </si>
  <si>
    <t>Greenfield</t>
  </si>
  <si>
    <t>Seamer</t>
  </si>
  <si>
    <t>Jurien</t>
  </si>
  <si>
    <t>Bateman</t>
  </si>
  <si>
    <t>Nanu</t>
  </si>
  <si>
    <t>Ayla</t>
  </si>
  <si>
    <t>Gunyidi</t>
  </si>
  <si>
    <t>2019_NSW_Greenethorpe_Mixed_DetailedTOS1VarietyAceWaterTrtIrrigated</t>
  </si>
  <si>
    <t>2019_NSW_Greenethorpe_Mixed_DetailedTOS1VarietyAceWaterTrtRainFed</t>
  </si>
  <si>
    <t>2019_NSW_Greenethorpe_Mixed_DetailedTOS1VarietyBlitzWaterTrtIrrigated</t>
  </si>
  <si>
    <t>2019_NSW_Greenethorpe_Mixed_DetailedTOS1VarietyBlitzWaterTrtRainFed</t>
  </si>
  <si>
    <t>2019_NSW_Greenethorpe_Mixed_DetailedTOS1VarietyJumbo2WaterTrtIrrigated</t>
  </si>
  <si>
    <t>2019_NSW_Greenethorpe_Mixed_DetailedTOS1VarietyJumbo2WaterTrtRainFed</t>
  </si>
  <si>
    <t>2019_NSW_Greenethorpe_Mixed_DetailedTOS2VarietyAceWaterTrtIrrigated</t>
  </si>
  <si>
    <t>2019_NSW_Greenethorpe_Mixed_DetailedTOS2VarietyAceWaterTrtRainFed</t>
  </si>
  <si>
    <t>2019_NSW_Greenethorpe_Mixed_DetailedTOS2VarietyBlitzWaterTrtIrrigated</t>
  </si>
  <si>
    <t>2019_NSW_Greenethorpe_Mixed_DetailedTOS2VarietyBlitzWaterTrtRainFed</t>
  </si>
  <si>
    <t>2019_NSW_Greenethorpe_Mixed_DetailedTOS2VarietyJumbo2WaterTrtIrrigated</t>
  </si>
  <si>
    <t>2019_NSW_Greenethorpe_Mixed_DetailedTOS2VarietyJumbo2WaterTrtRainFed</t>
  </si>
  <si>
    <t>2019_NSW_Greenethorpe_Mixed_DetailedTOS3VarietyAceWaterTrtIrrigated</t>
  </si>
  <si>
    <t>2019_NSW_Greenethorpe_Mixed_DetailedTOS3VarietyAceWaterTrtRainFed</t>
  </si>
  <si>
    <t>2019_NSW_Greenethorpe_Mixed_DetailedTOS3VarietyBlitzWaterTrtIrrigated</t>
  </si>
  <si>
    <t>2019_NSW_Greenethorpe_Mixed_DetailedTOS3VarietyBlitzWaterTrtRainFed</t>
  </si>
  <si>
    <t>2019_NSW_Greenethorpe_Mixed_DetailedTOS3VarietyJumbo2WaterTrtIrrigated</t>
  </si>
  <si>
    <t>2019_NSW_Greenethorpe_Mixed_DetailedTOS3VarietyJumbo2WaterTrtRainFed</t>
  </si>
  <si>
    <t>2022_NSW_Methul_Lentil_SatelliteTOS1VarietyAceWaterTrtRainFed</t>
  </si>
  <si>
    <t>2022_NSW_Methul_Lentil_SatelliteTOS1VarietyBoltWaterTrtRainFed</t>
  </si>
  <si>
    <t>2022_NSW_Methul_Lentil_SatelliteTOS1VarietyGreenfieldWaterTrtRainFed</t>
  </si>
  <si>
    <t>2022_NSW_Methul_Lentil_SatelliteTOS1VarietyHallmarkXTWaterTrtRainFed</t>
  </si>
  <si>
    <t>2022_NSW_Methul_Lentil_SatelliteTOS1VarietyJumbo2WaterTrtRainFed</t>
  </si>
  <si>
    <t>2022_NSW_Methul_Lentil_SatelliteTOS1VarietyKelpieXTWaterTrtRainFed</t>
  </si>
  <si>
    <t>2022_NSW_Methul_Lentil_SatelliteTOS2VarietyAceWaterTrtRainFed</t>
  </si>
  <si>
    <t>2022_NSW_Methul_Lentil_SatelliteTOS2VarietyBoltWaterTrtRainFed</t>
  </si>
  <si>
    <t>2022_NSW_Methul_Lentil_SatelliteTOS2VarietyGreenfieldWaterTrtRainFed</t>
  </si>
  <si>
    <t>2022_NSW_Methul_Lentil_SatelliteTOS2VarietyHallmarkXTWaterTrtRainFed</t>
  </si>
  <si>
    <t>2022_NSW_Methul_Lentil_SatelliteTOS2VarietyJumbo2WaterTrtRainFed</t>
  </si>
  <si>
    <t>2022_NSW_Methul_Lentil_SatelliteTOS2VarietyKelpieXTWaterTrtRainFed</t>
  </si>
  <si>
    <t>2022_NSW_RankinsSprings_Lentil_SatelliteTOS1VarietyAceWaterTrtRainFed</t>
  </si>
  <si>
    <t>2022_NSW_RankinsSprings_Lentil_SatelliteTOS1VarietyBoltWaterTrtRainFed</t>
  </si>
  <si>
    <t>2022_NSW_RankinsSprings_Lentil_SatelliteTOS1VarietyGreenfieldWaterTrtRainFed</t>
  </si>
  <si>
    <t>2022_NSW_RankinsSprings_Lentil_SatelliteTOS1VarietyHallmarkXTWaterTrtRainFed</t>
  </si>
  <si>
    <t>2022_NSW_RankinsSprings_Lentil_SatelliteTOS1VarietyJumbo2WaterTrtRainFed</t>
  </si>
  <si>
    <t>2022_NSW_RankinsSprings_Lentil_SatelliteTOS1VarietyKelpieXTWaterTrtRainFed</t>
  </si>
  <si>
    <t>2022_NSW_RankinsSprings_Lentil_SatelliteTOS2VarietyAceWaterTrtRainFed</t>
  </si>
  <si>
    <t>2022_NSW_RankinsSprings_Lentil_SatelliteTOS2VarietyBoltWaterTrtRainFed</t>
  </si>
  <si>
    <t>2022_NSW_RankinsSprings_Lentil_SatelliteTOS2VarietyGreenfieldWaterTrtRainFed</t>
  </si>
  <si>
    <t>2022_NSW_RankinsSprings_Lentil_SatelliteTOS2VarietyHallmarkXTWaterTrtRainFed</t>
  </si>
  <si>
    <t>2022_NSW_RankinsSprings_Lentil_SatelliteTOS2VarietyJumbo2WaterTrtRainFed</t>
  </si>
  <si>
    <t>2022_NSW_RankinsSprings_Lentil_SatelliteTOS2VarietyKelpieXTWaterTrtRainFed</t>
  </si>
  <si>
    <t>2022_NSW_WaggaWagga_Lentil_DetailedTOS1VarietyBoltWaterTrtIrrigated</t>
  </si>
  <si>
    <t>2022_NSW_WaggaWagga_Lentil_DetailedTOS1VarietyBoltWaterTrtRainFed</t>
  </si>
  <si>
    <t>2022_NSW_WaggaWagga_Lentil_DetailedTOS1VarietyHallmarkXTWaterTrtIrrigated</t>
  </si>
  <si>
    <t>2022_NSW_WaggaWagga_Lentil_DetailedTOS1VarietyHallmarkXTWaterTrtRainFed</t>
  </si>
  <si>
    <t>2022_NSW_WaggaWagga_Lentil_DetailedTOS1VarietyJumbo2WaterTrtIrrigated</t>
  </si>
  <si>
    <t>2022_NSW_WaggaWagga_Lentil_DetailedTOS1VarietyJumbo2WaterTrtRainFed</t>
  </si>
  <si>
    <t>2022_NSW_WaggaWagga_Lentil_DetailedTOS1VarietyKelpieXTWaterTrtIrrigated</t>
  </si>
  <si>
    <t>2022_NSW_WaggaWagga_Lentil_DetailedTOS1VarietyKelpieXTWaterTrtRainFed</t>
  </si>
  <si>
    <t>2022_NSW_WaggaWagga_Lentil_DetailedTOS2VarietyBoltWaterTrtIrrigated</t>
  </si>
  <si>
    <t>2022_NSW_WaggaWagga_Lentil_DetailedTOS2VarietyBoltWaterTrtRainFed</t>
  </si>
  <si>
    <t>2022_NSW_WaggaWagga_Lentil_DetailedTOS2VarietyHallmarkXTWaterTrtIrrigated</t>
  </si>
  <si>
    <t>2022_NSW_WaggaWagga_Lentil_DetailedTOS2VarietyHallmarkXTWaterTrtRainFed</t>
  </si>
  <si>
    <t>2022_NSW_WaggaWagga_Lentil_DetailedTOS2VarietyJumbo2WaterTrtIrrigated</t>
  </si>
  <si>
    <t>2022_NSW_WaggaWagga_Lentil_DetailedTOS2VarietyJumbo2WaterTrtRainFed</t>
  </si>
  <si>
    <t>2022_NSW_WaggaWagga_Lentil_DetailedTOS2VarietyKelpieXTWaterTrtIrrigated</t>
  </si>
  <si>
    <t>2022_NSW_WaggaWagga_Lentil_DetailedTOS2VarietyKelpieXTWaterTrtRainFed</t>
  </si>
  <si>
    <t>2022_SA_Riverton_Lentil_DetailedTOS1VarietyBoltWaterTrtIrrigated</t>
  </si>
  <si>
    <t>2022_SA_Riverton_Lentil_DetailedTOS1VarietyBoltWaterTrtRainFed</t>
  </si>
  <si>
    <t>2022_SA_Riverton_Lentil_DetailedTOS1VarietyHallmarkXTWaterTrtIrrigated</t>
  </si>
  <si>
    <t>2022_SA_Riverton_Lentil_DetailedTOS1VarietyHallmarkXTWaterTrtRainFed</t>
  </si>
  <si>
    <t>2022_SA_Riverton_Lentil_DetailedTOS1VarietyJumbo2WaterTrtIrrigated</t>
  </si>
  <si>
    <t>2022_SA_Riverton_Lentil_DetailedTOS1VarietyJumbo2WaterTrtRainFed</t>
  </si>
  <si>
    <t>2022_SA_Riverton_Lentil_DetailedTOS1VarietyKelpieXTWaterTrtIrrigated</t>
  </si>
  <si>
    <t>2022_SA_Riverton_Lentil_DetailedTOS1VarietyKelpieXTWaterTrtRainFed</t>
  </si>
  <si>
    <t>2022_SA_Riverton_Lentil_DetailedTOS2VarietyBoltWaterTrtIrrigated</t>
  </si>
  <si>
    <t>2022_SA_Riverton_Lentil_DetailedTOS2VarietyBoltWaterTrtRainFed</t>
  </si>
  <si>
    <t>2022_SA_Riverton_Lentil_DetailedTOS2VarietyHallmarkXTWaterTrtIrrigated</t>
  </si>
  <si>
    <t>2022_SA_Riverton_Lentil_DetailedTOS2VarietyHallmarkXTWaterTrtRainFed</t>
  </si>
  <si>
    <t>2022_SA_Riverton_Lentil_DetailedTOS2VarietyJumbo2WaterTrtIrrigated</t>
  </si>
  <si>
    <t>2022_SA_Riverton_Lentil_DetailedTOS2VarietyJumbo2WaterTrtRainFed</t>
  </si>
  <si>
    <t>2022_SA_Riverton_Lentil_DetailedTOS2VarietyKelpieXTWaterTrtIrrigated</t>
  </si>
  <si>
    <t>2022_SA_Riverton_Lentil_DetailedTOS2VarietyKelpieXTWaterTrtRainFed</t>
  </si>
  <si>
    <t>2022_SA_Warnertown_Lentil_SatelliteTOS1VarietyBoltWaterTrtRainFedAgronomyDensity_0.66</t>
  </si>
  <si>
    <t>2022_SA_Warnertown_Lentil_SatelliteTOS1VarietyBoltWaterTrtRainFedAgronomyDensity_1</t>
  </si>
  <si>
    <t>2022_SA_Warnertown_Lentil_SatelliteTOS1VarietyHallmarkXTWaterTrtRainFedAgronomyDensity_1</t>
  </si>
  <si>
    <t>2022_SA_Warnertown_Lentil_SatelliteTOS1VarietyJumbo2WaterTrtRainFedAgronomyDensity_0.66</t>
  </si>
  <si>
    <t>2022_SA_Warnertown_Lentil_SatelliteTOS1VarietyJumbo2WaterTrtRainFedAgronomyDensity_1</t>
  </si>
  <si>
    <t>2022_SA_Warnertown_Lentil_SatelliteTOS1VarietyKelpieXTWaterTrtRainFedAgronomyDensity_1</t>
  </si>
  <si>
    <t>2022_SA_Warnertown_Lentil_SatelliteTOS2VarietyBoltWaterTrtRainFedAgronomyDensity_0.66</t>
  </si>
  <si>
    <t>2022_SA_Warnertown_Lentil_SatelliteTOS2VarietyBoltWaterTrtRainFedAgronomyDensity_1</t>
  </si>
  <si>
    <t>2022_SA_Warnertown_Lentil_SatelliteTOS2VarietyHallmarkXTWaterTrtRainFedAgronomyDensity_1</t>
  </si>
  <si>
    <t>2022_SA_Warnertown_Lentil_SatelliteTOS2VarietyJumbo2WaterTrtRainFedAgronomyDensity_0.66</t>
  </si>
  <si>
    <t>2022_SA_Warnertown_Lentil_SatelliteTOS2VarietyJumbo2WaterTrtRainFedAgronomyDensity_1</t>
  </si>
  <si>
    <t>2022_SA_Warnertown_Lentil_SatelliteTOS2VarietyKelpieXTWaterTrtRainFedAgronomyDensity_1</t>
  </si>
  <si>
    <t>2022_Vic_Kalkee_Lentil_DetailedTOS1VarietyBoltWaterTrtIrrigated</t>
  </si>
  <si>
    <t>2022_Vic_Kalkee_Lentil_DetailedTOS1VarietyBoltWaterTrtRainFed</t>
  </si>
  <si>
    <t>2022_Vic_Kalkee_Lentil_DetailedTOS1VarietyHallmarkXTWaterTrtIrrigated</t>
  </si>
  <si>
    <t>2022_Vic_Kalkee_Lentil_DetailedTOS1VarietyHallmarkXTWaterTrtRainFed</t>
  </si>
  <si>
    <t>2022_Vic_Kalkee_Lentil_DetailedTOS1VarietyJumbo2WaterTrtIrrigated</t>
  </si>
  <si>
    <t>2022_Vic_Kalkee_Lentil_DetailedTOS1VarietyJumbo2WaterTrtRainFed</t>
  </si>
  <si>
    <t>2022_Vic_Kalkee_Lentil_DetailedTOS1VarietyKelpieXTWaterTrtIrrigated</t>
  </si>
  <si>
    <t>2022_Vic_Kalkee_Lentil_DetailedTOS1VarietyKelpieXTWaterTrtRainFed</t>
  </si>
  <si>
    <t>2022_Vic_Kalkee_Lentil_DetailedTOS2VarietyBoltWaterTrtIrrigated</t>
  </si>
  <si>
    <t>2022_Vic_Kalkee_Lentil_DetailedTOS2VarietyBoltWaterTrtRainFed</t>
  </si>
  <si>
    <t>2022_Vic_Kalkee_Lentil_DetailedTOS2VarietyHallmarkXTWaterTrtIrrigated</t>
  </si>
  <si>
    <t>2022_Vic_Kalkee_Lentil_DetailedTOS2VarietyHallmarkXTWaterTrtRainFed</t>
  </si>
  <si>
    <t>2022_Vic_Kalkee_Lentil_DetailedTOS2VarietyJumbo2WaterTrtIrrigated</t>
  </si>
  <si>
    <t>2022_Vic_Kalkee_Lentil_DetailedTOS2VarietyJumbo2WaterTrtRainFed</t>
  </si>
  <si>
    <t>2022_Vic_Kalkee_Lentil_DetailedTOS2VarietyKelpieXTWaterTrtIrrigated</t>
  </si>
  <si>
    <t>2022_Vic_Kalkee_Lentil_DetailedTOS2VarietyKelpieXTWaterTrtRainFed</t>
  </si>
  <si>
    <t>2022_Vic_Ouyen_Lentil_SatelliteTOS1VarietyBoltWaterTrtRainFed</t>
  </si>
  <si>
    <t>2022_Vic_Ouyen_Lentil_SatelliteTOS1VarietyGIA_LeaderWaterTrtRainFed</t>
  </si>
  <si>
    <t>2022_Vic_Ouyen_Lentil_SatelliteTOS1VarietyGIA_LightningWaterTrtRainFed</t>
  </si>
  <si>
    <t>2022_Vic_Ouyen_Lentil_SatelliteTOS1VarietyHallmarkXTWaterTrtRainFed</t>
  </si>
  <si>
    <t>2022_Vic_Ouyen_Lentil_SatelliteTOS1VarietyJumbo2WaterTrtRainFed</t>
  </si>
  <si>
    <t>2022_Vic_Ouyen_Lentil_SatelliteTOS1VarietyKelpieXTWaterTrtRainFed</t>
  </si>
  <si>
    <t>2022_Vic_Ouyen_Lentil_SatelliteTOS2VarietyBoltWaterTrtRainFed</t>
  </si>
  <si>
    <t>2022_Vic_Ouyen_Lentil_SatelliteTOS2VarietyGIA_LeaderWaterTrtRainFed</t>
  </si>
  <si>
    <t>2022_Vic_Ouyen_Lentil_SatelliteTOS2VarietyGIA_LightningWaterTrtRainFed</t>
  </si>
  <si>
    <t>2022_Vic_Ouyen_Lentil_SatelliteTOS2VarietyHallmarkXTWaterTrtRainFed</t>
  </si>
  <si>
    <t>2022_Vic_Ouyen_Lentil_SatelliteTOS2VarietyJumbo2WaterTrtRainFed</t>
  </si>
  <si>
    <t>2022_Vic_Ouyen_Lentil_SatelliteTOS2VarietyKelpieXTWaterTrtRainFed</t>
  </si>
  <si>
    <t>2023_Qld_Gatton_Mixed_LightTOS1VarietyKelpieXTWaterTrtIrrigatedAgronomy16_hr</t>
  </si>
  <si>
    <t>2023_Qld_Gatton_Mixed_LightTOS1VarietyKelpieXTWaterTrtIrrigatedAgronomyNatural</t>
  </si>
  <si>
    <t>2023_Qld_Gatton_Mixed_LightTOS2VarietyKelpieXTWaterTrtIrrigatedAgronomy16_hr</t>
  </si>
  <si>
    <t>2023_Qld_Gatton_Mixed_LightTOS2VarietyKelpieXTWaterTrtIrrigatedAgronomyNatural</t>
  </si>
  <si>
    <t>2023_SA_Pinery_Lentil_DetailedTOS1VarietyBoltWaterTrtIrrigated</t>
  </si>
  <si>
    <t>2023_SA_Pinery_Lentil_DetailedTOS1VarietyBoltWaterTrtRainFed</t>
  </si>
  <si>
    <t>2023_SA_Pinery_Lentil_DetailedTOS1VarietyHallmarkXTWaterTrtIrrigated</t>
  </si>
  <si>
    <t>2023_SA_Pinery_Lentil_DetailedTOS1VarietyHallmarkXTWaterTrtRainFed</t>
  </si>
  <si>
    <t>2023_SA_Pinery_Lentil_DetailedTOS1VarietyJumbo2WaterTrtIrrigated</t>
  </si>
  <si>
    <t>2023_SA_Pinery_Lentil_DetailedTOS1VarietyJumbo2WaterTrtRainFed</t>
  </si>
  <si>
    <t>2023_SA_Pinery_Lentil_DetailedTOS1VarietyKelpieXTWaterTrtIrrigated</t>
  </si>
  <si>
    <t>2023_SA_Pinery_Lentil_DetailedTOS1VarietyKelpieXTWaterTrtRainFed</t>
  </si>
  <si>
    <t>2023_SA_Pinery_Lentil_DetailedTOS2VarietyBoltWaterTrtIrrigated</t>
  </si>
  <si>
    <t>2023_SA_Pinery_Lentil_DetailedTOS2VarietyBoltWaterTrtRainFed</t>
  </si>
  <si>
    <t>2023_SA_Pinery_Lentil_DetailedTOS2VarietyHallmarkXTWaterTrtIrrigated</t>
  </si>
  <si>
    <t>2023_SA_Pinery_Lentil_DetailedTOS2VarietyHallmarkXTWaterTrtRainFed</t>
  </si>
  <si>
    <t>2023_SA_Pinery_Lentil_DetailedTOS2VarietyJumbo2WaterTrtIrrigated</t>
  </si>
  <si>
    <t>2023_SA_Pinery_Lentil_DetailedTOS2VarietyJumbo2WaterTrtRainFed</t>
  </si>
  <si>
    <t>2023_SA_Pinery_Lentil_DetailedTOS2VarietyKelpieXTWaterTrtIrrigated</t>
  </si>
  <si>
    <t>2023_SA_Pinery_Lentil_DetailedTOS2VarietyKelpieXTWaterTrtRainFed</t>
  </si>
  <si>
    <t>2023_SA_Warnertown_Lentil_SatelliteTOS1VarietyBoltWaterTrtRainFedAgronomyDensity_0.66</t>
  </si>
  <si>
    <t>2023_SA_Warnertown_Lentil_SatelliteTOS1VarietyBoltWaterTrtRainFedAgronomyDensity_1</t>
  </si>
  <si>
    <t>2023_SA_Warnertown_Lentil_SatelliteTOS1VarietyHallmarkXTWaterTrtRainFedAgronomyDensity_1</t>
  </si>
  <si>
    <t>2023_SA_Warnertown_Lentil_SatelliteTOS1VarietyJumbo2WaterTrtRainFedAgronomyDensity_0.66</t>
  </si>
  <si>
    <t>2023_SA_Warnertown_Lentil_SatelliteTOS1VarietyJumbo2WaterTrtRainFedAgronomyDensity_1</t>
  </si>
  <si>
    <t>2023_SA_Warnertown_Lentil_SatelliteTOS1VarietyKelpieXTWaterTrtRainFedAgronomyDensity_1</t>
  </si>
  <si>
    <t>2023_SA_Warnertown_Lentil_SatelliteTOS2VarietyBoltWaterTrtRainFedAgronomyDensity_0.66</t>
  </si>
  <si>
    <t>2023_SA_Warnertown_Lentil_SatelliteTOS2VarietyBoltWaterTrtRainFedAgronomyDensity_1</t>
  </si>
  <si>
    <t>2023_SA_Warnertown_Lentil_SatelliteTOS2VarietyHallmarkXTWaterTrtRainFedAgronomyDensity_1</t>
  </si>
  <si>
    <t>2023_SA_Warnertown_Lentil_SatelliteTOS2VarietyJumbo2WaterTrtRainFedAgronomyDensity_0.66</t>
  </si>
  <si>
    <t>2023_SA_Warnertown_Lentil_SatelliteTOS2VarietyJumbo2WaterTrtRainFedAgronomyDensity_1</t>
  </si>
  <si>
    <t>2023_SA_Warnertown_Lentil_SatelliteTOS2VarietyKelpieXTWaterTrtRainFedAgronomyDensity_1</t>
  </si>
  <si>
    <t>2023_Vic_Dooen_Lentil_DetailedTOS1VarietyBoltWaterTrtIrrigated</t>
  </si>
  <si>
    <t>2023_Vic_Dooen_Lentil_DetailedTOS1VarietyBoltWaterTrtRainFed</t>
  </si>
  <si>
    <t>2023_Vic_Dooen_Lentil_DetailedTOS1VarietyHallmarkXTWaterTrtIrrigated</t>
  </si>
  <si>
    <t>2023_Vic_Dooen_Lentil_DetailedTOS1VarietyHallmarkXTWaterTrtRainFed</t>
  </si>
  <si>
    <t>2023_Vic_Dooen_Lentil_DetailedTOS1VarietyJumbo2WaterTrtIrrigated</t>
  </si>
  <si>
    <t>2023_Vic_Dooen_Lentil_DetailedTOS1VarietyJumbo2WaterTrtRainFed</t>
  </si>
  <si>
    <t>2023_Vic_Dooen_Lentil_DetailedTOS1VarietyKelpieXTWaterTrtIrrigated</t>
  </si>
  <si>
    <t>2023_Vic_Dooen_Lentil_DetailedTOS1VarietyKelpieXTWaterTrtRainFed</t>
  </si>
  <si>
    <t>2023_Vic_Dooen_Lentil_DetailedTOS2VarietyBoltWaterTrtIrrigated</t>
  </si>
  <si>
    <t>2023_Vic_Dooen_Lentil_DetailedTOS2VarietyBoltWaterTrtRainFed</t>
  </si>
  <si>
    <t>2023_Vic_Dooen_Lentil_DetailedTOS2VarietyHallmarkXTWaterTrtIrrigated</t>
  </si>
  <si>
    <t>2023_Vic_Dooen_Lentil_DetailedTOS2VarietyHallmarkXTWaterTrtRainFed</t>
  </si>
  <si>
    <t>2023_Vic_Dooen_Lentil_DetailedTOS2VarietyJumbo2WaterTrtIrrigated</t>
  </si>
  <si>
    <t>2023_Vic_Dooen_Lentil_DetailedTOS2VarietyJumbo2WaterTrtRainFed</t>
  </si>
  <si>
    <t>2023_Vic_Dooen_Lentil_DetailedTOS2VarietyKelpieXTWaterTrtIrrigated</t>
  </si>
  <si>
    <t>2023_Vic_Dooen_Lentil_DetailedTOS2VarietyKelpieXTWaterTrtRainFed</t>
  </si>
  <si>
    <t>2023_Vic_Ouyen_Lentil_SatelliteTOS1VarietyBoltWaterTrtRainFed</t>
  </si>
  <si>
    <t>2023_Vic_Ouyen_Lentil_SatelliteTOS1VarietyHallmarkXTWaterTrtRainFed</t>
  </si>
  <si>
    <t>2023_Vic_Ouyen_Lentil_SatelliteTOS1VarietyJumbo2WaterTrtRainFed</t>
  </si>
  <si>
    <t>2023_Vic_Ouyen_Lentil_SatelliteTOS1VarietyKelpieXTWaterTrtRainFed</t>
  </si>
  <si>
    <t>2023_Vic_Ouyen_Lentil_SatelliteTOS2VarietyBoltWaterTrtRainFed</t>
  </si>
  <si>
    <t>2023_Vic_Ouyen_Lentil_SatelliteTOS2VarietyHallmarkXTWaterTrtRainFed</t>
  </si>
  <si>
    <t>2023_Vic_Ouyen_Lentil_SatelliteTOS2VarietyJumbo2WaterTrtRainFed</t>
  </si>
  <si>
    <t>2023_Vic_Ouyen_Lentil_SatelliteTOS2VarietyKelpieXTWaterTrtRainFed</t>
  </si>
  <si>
    <t>2024_NSW_Greenethorpe_Mixed_NFixTOS1VarietyJumbo2WaterTrtRainFedAgronomy125kgN</t>
  </si>
  <si>
    <t>2024_NSW_Greenethorpe_Mixed_NFixTOS1VarietyJumbo2WaterTrtRainFedAgronomy175kgN</t>
  </si>
  <si>
    <t>2024_NSW_Greenethorpe_Mixed_NFixTOS1VarietyJumbo2WaterTrtRainFedAgronomy350kgN</t>
  </si>
  <si>
    <t>2024_NSW_Greenethorpe_Mixed_NFixTOS1VarietyJumbo2WaterTrtRainFedAgronomy50kgN</t>
  </si>
  <si>
    <t>2024_NSW_Greenethorpe_Mixed_NFixTOS1VarietyKelpieXTWaterTrtRainFedAgronomy125kgN</t>
  </si>
  <si>
    <t>2024_NSW_Greenethorpe_Mixed_NFixTOS1VarietyKelpieXTWaterTrtRainFedAgronomy175kgN</t>
  </si>
  <si>
    <t>2024_NSW_Greenethorpe_Mixed_NFixTOS1VarietyKelpieXTWaterTrtRainFedAgronomy350kgN</t>
  </si>
  <si>
    <t>2024_NSW_Greenethorpe_Mixed_NFixTOS1VarietyKelpieXTWaterTrtRainFedAgronomy50kgN</t>
  </si>
  <si>
    <t>2024_SA_Warnertown_Lentil_SatelliteTOS1VarietyBoltWaterTrtRainFedAgronomyDensity_0.66</t>
  </si>
  <si>
    <t>2024_SA_Warnertown_Lentil_SatelliteTOS1VarietyBoltWaterTrtRainFedAgronomyDensity_1</t>
  </si>
  <si>
    <t>2024_SA_Warnertown_Lentil_SatelliteTOS1VarietyHallmarkXTWaterTrtRainFedAgronomyDensity_1</t>
  </si>
  <si>
    <t>2024_SA_Warnertown_Lentil_SatelliteTOS1VarietyJumbo2WaterTrtRainFedAgronomyDensity_0.66</t>
  </si>
  <si>
    <t>2024_SA_Warnertown_Lentil_SatelliteTOS1VarietyJumbo2WaterTrtRainFedAgronomyDensity_1</t>
  </si>
  <si>
    <t>2024_SA_Warnertown_Lentil_SatelliteTOS1VarietyKelpieXTWaterTrtRainFedAgronomyDensity_1</t>
  </si>
  <si>
    <t>2024_SA_Warnertown_Lentil_SatelliteTOS2VarietyBoltWaterTrtRainFedAgronomyDensity_0.66</t>
  </si>
  <si>
    <t>2024_SA_Warnertown_Lentil_SatelliteTOS2VarietyBoltWaterTrtRainFedAgronomyDensity_1</t>
  </si>
  <si>
    <t>2024_SA_Warnertown_Lentil_SatelliteTOS2VarietyHallmarkXTWaterTrtRainFedAgronomyDensity_1</t>
  </si>
  <si>
    <t>2024_SA_Warnertown_Lentil_SatelliteTOS2VarietyJumbo2WaterTrtRainFedAgronomyDensity_0.66</t>
  </si>
  <si>
    <t>2024_SA_Warnertown_Lentil_SatelliteTOS2VarietyJumbo2WaterTrtRainFedAgronomyDensity_1</t>
  </si>
  <si>
    <t>2024_SA_Warnertown_Lentil_SatelliteTOS2VarietyKelpieXTWaterTrtRainFedAgronomyDensity_1</t>
  </si>
  <si>
    <t>2024_Vic_Walpeup_Lentil_SatelliteTOS1VarietyBoltWaterTrtRainFed</t>
  </si>
  <si>
    <t>2024_Vic_Walpeup_Lentil_SatelliteTOS1VarietyHallmarkXTWaterTrtRainFed</t>
  </si>
  <si>
    <t>2024_Vic_Walpeup_Lentil_SatelliteTOS1VarietyJumbo2WaterTrtRainFed</t>
  </si>
  <si>
    <t>2024_Vic_Walpeup_Lentil_SatelliteTOS1VarietyKelpieXTWaterTrtRainFed</t>
  </si>
  <si>
    <t>2024_Vic_Walpeup_Lentil_SatelliteTOS2VarietyBoltWaterTrtRainFed</t>
  </si>
  <si>
    <t>2024_Vic_Walpeup_Lentil_SatelliteTOS2VarietyHallmarkXTWaterTrtRainFed</t>
  </si>
  <si>
    <t>2024_Vic_Walpeup_Lentil_SatelliteTOS2VarietyJumbo2WaterTrtRainFed</t>
  </si>
  <si>
    <t>2024_Vic_Walpeup_Lentil_SatelliteTOS2VarietyKelpieXTWaterTrtRainFed</t>
  </si>
  <si>
    <t>Grand Total</t>
  </si>
  <si>
    <t>(blank)</t>
  </si>
  <si>
    <t>Total</t>
  </si>
  <si>
    <t>Average of PlotNo</t>
  </si>
  <si>
    <t>Plot No</t>
  </si>
  <si>
    <t>Site_Plot_key</t>
  </si>
  <si>
    <t>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</si>
</sst>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dd/mm/yyyy"/>
  </numFmts>
  <fonts count="2" x14ac:knownFonts="1"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/>
    </xf>
    <xf numFmtId="0" fontId="0" fillId="0" borderId="0" xfId="0" applyAlignment="1">
      <alignment vertical="top"/>
    </xf>
    <xf numFmtId="49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6171.57072974537" createdVersion="8" refreshedVersion="8" minRefreshableVersion="3" recordCount="3998" xr:uid="{42BF1DDB-1584-433D-90C7-A21F4D3C4E46}">
  <cacheSource type="worksheet">
    <worksheetSource ref="A1:AK3999" sheet="Sheet1"/>
  </cacheSource>
  <cacheFields count="37">
    <cacheField name="SimulationName" numFmtId="0">
      <sharedItems count="696">
        <s v="2019_NSW_Greenethorpe_Mixed_DetailedTOS3VarietyAceWaterTrtRainFed"/>
        <s v="2019_NSW_Greenethorpe_Mixed_DetailedTOS3VarietyJumbo2WaterTrtRainFed"/>
        <s v="2019_NSW_Greenethorpe_Mixed_DetailedTOS3VarietyBlitzWaterTrtRainFed"/>
        <s v="2019_NSW_Greenethorpe_Mixed_DetailedTOS1VarietyJumbo2WaterTrtRainFed"/>
        <s v="2019_NSW_Greenethorpe_Mixed_DetailedTOS1VarietyBlitzWaterTrtRainFed"/>
        <s v="2019_NSW_Greenethorpe_Mixed_DetailedTOS1VarietyAceWaterTrtRainFed"/>
        <s v="2019_NSW_Greenethorpe_Mixed_DetailedTOS2VarietyJumbo2WaterTrtRainFed"/>
        <s v="2019_NSW_Greenethorpe_Mixed_DetailedTOS2VarietyBlitzWaterTrtRainFed"/>
        <s v="2019_NSW_Greenethorpe_Mixed_DetailedTOS2VarietyAceWaterTrtRainFed"/>
        <s v="2019_NSW_Greenethorpe_Mixed_DetailedTOS1VarietyBlitzWaterTrtIrrigated"/>
        <s v="2019_NSW_Greenethorpe_Mixed_DetailedTOS1VarietyJumbo2WaterTrtIrrigated"/>
        <s v="2019_NSW_Greenethorpe_Mixed_DetailedTOS1VarietyAceWaterTrtIrrigated"/>
        <s v="2019_NSW_Greenethorpe_Mixed_DetailedTOS2VarietyBlitzWaterTrtIrrigated"/>
        <s v="2019_NSW_Greenethorpe_Mixed_DetailedTOS2VarietyJumbo2WaterTrtIrrigated"/>
        <s v="2019_NSW_Greenethorpe_Mixed_DetailedTOS2VarietyAceWaterTrtIrrigated"/>
        <s v="2019_NSW_Greenethorpe_Mixed_DetailedTOS3VarietyBlitzWaterTrtIrrigated"/>
        <s v="2019_NSW_Greenethorpe_Mixed_DetailedTOS3VarietyJumbo2WaterTrtIrrigated"/>
        <s v="2019_NSW_Greenethorpe_Mixed_DetailedTOS3VarietyAceWaterTrtIrrigated"/>
        <s v="2019_NSW_Greenethorpe_Mixed_DetailedTOS1VarietyHatTrickWaterTrtRainFed"/>
        <s v="2019_NSW_Greenethorpe_Mixed_DetailedTOS1VarietyStrikerWaterTrtRainFed"/>
        <s v="2019_NSW_Greenethorpe_Mixed_DetailedTOS1VarietySlasherWaterTrtRainFed"/>
        <s v="2019_NSW_Greenethorpe_Mixed_DetailedTOS2VarietyHatTrickWaterTrtRainFed"/>
        <s v="2019_NSW_Greenethorpe_Mixed_DetailedTOS2VarietyStrikerWaterTrtRainFed"/>
        <s v="2019_NSW_Greenethorpe_Mixed_DetailedTOS2VarietySlasherWaterTrtRainFed"/>
        <s v="2019_NSW_Greenethorpe_Mixed_DetailedTOS3VarietyStrikerWaterTrtRainFed"/>
        <s v="2019_NSW_Greenethorpe_Mixed_DetailedTOS3VarietyHatTrickWaterTrtRainFed"/>
        <s v="2019_NSW_Greenethorpe_Mixed_DetailedTOS3VarietySlasherWaterTrtRainFed"/>
        <s v="2019_NSW_Greenethorpe_Mixed_DetailedTOS2VarietyHatTrickWaterTrtIrrigated"/>
        <s v="2019_NSW_Greenethorpe_Mixed_DetailedTOS2VarietySlasherWaterTrtIrrigated"/>
        <s v="2019_NSW_Greenethorpe_Mixed_DetailedTOS2VarietyStrikerWaterTrtIrrigated"/>
        <s v="2019_NSW_Greenethorpe_Mixed_DetailedTOS3VarietyStrikerWaterTrtIrrigated"/>
        <s v="2019_NSW_Greenethorpe_Mixed_DetailedTOS3VarietyHatTrickWaterTrtIrrigated"/>
        <s v="2019_NSW_Greenethorpe_Mixed_DetailedTOS3VarietySlasherWaterTrtIrrigated"/>
        <s v="2019_NSW_Greenethorpe_Mixed_DetailedTOS1VarietyHatTrickWaterTrtIrrigated"/>
        <s v="2019_NSW_Greenethorpe_Mixed_DetailedTOS1VarietySlasherWaterTrtIrrigated"/>
        <s v="2019_NSW_Greenethorpe_Mixed_DetailedTOS1VarietyStrikerWaterTrtIrrigated"/>
        <s v="2019_NSW_Greenethorpe_Mixed_DetailedTOS2VarietyGenesis_090WaterTrtRainFed"/>
        <s v="2019_NSW_Greenethorpe_Mixed_DetailedTOS2VarietyMonarchWaterTrtRainFed"/>
        <s v="2019_NSW_Greenethorpe_Mixed_DetailedTOS1VarietyGenesis_090WaterTrtRainFed"/>
        <s v="2019_NSW_Greenethorpe_Mixed_DetailedTOS1VarietyMonarchWaterTrtRainFed"/>
        <s v="2019_NSW_Greenethorpe_Mixed_DetailedTOS3VarietyMonarchWaterTrtRainFed"/>
        <s v="2019_NSW_Greenethorpe_Mixed_DetailedTOS3VarietyGenesis_090WaterTrtRainFed"/>
        <s v="2019_NSW_Greenethorpe_Mixed_DetailedTOS1VarietyGenesis_090WaterTrtIrrigated"/>
        <s v="2019_NSW_Greenethorpe_Mixed_DetailedTOS1VarietyMonarchWaterTrtIrrigated"/>
        <s v="2019_NSW_Greenethorpe_Mixed_DetailedTOS3VarietyGenesis_090WaterTrtIrrigated"/>
        <s v="2019_NSW_Greenethorpe_Mixed_DetailedTOS3VarietyMonarchWaterTrtIrrigated"/>
        <s v="2019_NSW_Greenethorpe_Mixed_DetailedTOS2VarietyGenesis_090WaterTrtIrrigated"/>
        <s v="2019_NSW_Greenethorpe_Mixed_DetailedTOS2VarietyMonarchWaterTrtIrrigated"/>
        <s v="2022_Qld_Gatton_Chickpea_DetailedTOS1VarietyCBA_CaptainWaterTrtRainFed"/>
        <s v="2022_Qld_Gatton_Chickpea_DetailedTOS1VarietyHatTrickWaterTrtRainFed"/>
        <s v="2022_Qld_Gatton_Chickpea_DetailedTOS1VarietyDrummondWaterTrtRainFed"/>
        <s v="2022_Qld_Gatton_Chickpea_DetailedTOS1VarietyStrikerWaterTrtRainFed"/>
        <s v="2022_Qld_Gatton_Chickpea_DetailedTOS2VarietyHatTrickWaterTrtIrrigated"/>
        <s v="2022_Qld_Gatton_Chickpea_DetailedTOS2VarietyCBA_CaptainWaterTrtIrrigated"/>
        <s v="2022_Qld_Gatton_Chickpea_DetailedTOS2VarietyStrikerWaterTrtIrrigated"/>
        <s v="2022_Qld_Gatton_Chickpea_DetailedTOS2VarietyDrummondWaterTrtIrrigated"/>
        <s v="2022_Qld_Gatton_Chickpea_DetailedTOS2VarietyStrikerWaterTrtRainFed"/>
        <s v="2022_Qld_Gatton_Chickpea_DetailedTOS2VarietyDrummondWaterTrtRainFed"/>
        <s v="2022_Qld_Gatton_Chickpea_DetailedTOS2VarietyCBA_CaptainWaterTrtRainFed"/>
        <s v="2022_Qld_Gatton_Chickpea_DetailedTOS2VarietyHatTrickWaterTrtRainFed"/>
        <s v="2022_Qld_Gatton_Chickpea_DetailedTOS1VarietyDrummondWaterTrtIrrigated"/>
        <s v="2022_Qld_Gatton_Chickpea_DetailedTOS1VarietyStrikerWaterTrtIrrigated"/>
        <s v="2022_Qld_Gatton_Chickpea_DetailedTOS1VarietyHatTrickWaterTrtIrrigated"/>
        <s v="2022_Qld_Gatton_Chickpea_DetailedTOS1VarietyCBA_CaptainWaterTrtIrrigated"/>
        <s v="2022_Vic_Kalkee_Chickpea_DetailedTOS2VarietyDrummondWaterTrtRainFed"/>
        <s v="2022_Vic_Kalkee_Chickpea_DetailedTOS2VarietyHatTrickWaterTrtRainFed"/>
        <s v="2022_Vic_Kalkee_Chickpea_DetailedTOS2VarietyCBA_CaptainWaterTrtRainFed"/>
        <s v="2022_Vic_Kalkee_Chickpea_DetailedTOS2VarietyStrikerWaterTrtRainFed"/>
        <s v="2022_Vic_Kalkee_Chickpea_DetailedTOS2VarietyCBA_CaptainWaterTrtIrrigated"/>
        <s v="2022_Vic_Kalkee_Chickpea_DetailedTOS2VarietyStrikerWaterTrtIrrigated"/>
        <s v="2022_Vic_Kalkee_Chickpea_DetailedTOS2VarietyDrummondWaterTrtIrrigated"/>
        <s v="2022_Vic_Kalkee_Chickpea_DetailedTOS2VarietyHatTrickWaterTrtIrrigated"/>
        <s v="2022_Vic_Kalkee_Chickpea_DetailedTOS1VarietyStrikerWaterTrtIrrigated"/>
        <s v="2022_Vic_Kalkee_Chickpea_DetailedTOS1VarietyDrummondWaterTrtIrrigated"/>
        <s v="2022_Vic_Kalkee_Chickpea_DetailedTOS1VarietyHatTrickWaterTrtIrrigated"/>
        <s v="2022_Vic_Kalkee_Chickpea_DetailedTOS1VarietyCBA_CaptainWaterTrtIrrigated"/>
        <s v="2022_Vic_Kalkee_Chickpea_DetailedTOS1VarietyHatTrickWaterTrtRainFed"/>
        <s v="2022_Vic_Kalkee_Chickpea_DetailedTOS1VarietyCBA_CaptainWaterTrtRainFed"/>
        <s v="2022_Vic_Kalkee_Chickpea_DetailedTOS1VarietyStrikerWaterTrtRainFed"/>
        <s v="2022_Vic_Kalkee_Chickpea_DetailedTOS1VarietyDrummondWaterTrtRainFed"/>
        <s v="2022_NSW_WaggaWagga_Chickpea_DetailedTOS2VarietyCBA_CaptainWaterTrtIrrigated"/>
        <s v="2022_NSW_WaggaWagga_Chickpea_DetailedTOS2VarietyDrummondWaterTrtIrrigated"/>
        <s v="2022_NSW_WaggaWagga_Chickpea_DetailedTOS2VarietyStrikerWaterTrtIrrigated"/>
        <s v="2022_NSW_WaggaWagga_Chickpea_DetailedTOS2VarietyHatTrickWaterTrtIrrigated"/>
        <s v="2022_NSW_WaggaWagga_Chickpea_DetailedTOS1VarietyHatTrickWaterTrtIrrigated"/>
        <s v="2022_NSW_WaggaWagga_Chickpea_DetailedTOS1VarietyStrikerWaterTrtIrrigated"/>
        <s v="2022_NSW_WaggaWagga_Chickpea_DetailedTOS1VarietyCBA_CaptainWaterTrtIrrigated"/>
        <s v="2022_NSW_WaggaWagga_Chickpea_DetailedTOS1VarietyDrummondWaterTrtIrrigated"/>
        <s v="2022_NSW_WaggaWagga_Chickpea_DetailedTOS1VarietyDrummondWaterTrtRainFed"/>
        <s v="2022_NSW_WaggaWagga_Chickpea_DetailedTOS1VarietyCBA_CaptainWaterTrtRainFed"/>
        <s v="2022_NSW_WaggaWagga_Chickpea_DetailedTOS1VarietyHatTrickWaterTrtRainFed"/>
        <s v="2022_NSW_WaggaWagga_Chickpea_DetailedTOS1VarietyStrikerWaterTrtRainFed"/>
        <s v="2022_NSW_WaggaWagga_Chickpea_DetailedTOS2VarietyHatTrickWaterTrtRainFed"/>
        <s v="2022_NSW_WaggaWagga_Chickpea_DetailedTOS2VarietyStrikerWaterTrtRainFed"/>
        <s v="2022_NSW_WaggaWagga_Chickpea_DetailedTOS2VarietyDrummondWaterTrtRainFed"/>
        <s v="2022_NSW_WaggaWagga_Chickpea_DetailedTOS2VarietyCBA_CaptainWaterTrtRainFed"/>
        <s v="2022_SA_Riverton_Fababean_DetailedTOS2VarietySamiraWaterTrtIrrigated"/>
        <s v="2022_SA_Riverton_Fababean_DetailedTOS2VarietyMarneWaterTrtIrrigated"/>
        <s v="2022_SA_Riverton_Fababean_DetailedTOS2VarietyAmberleyWaterTrtIrrigated"/>
        <s v="2022_SA_Riverton_Fababean_DetailedTOS2VarietyNasmaWaterTrtIrrigated"/>
        <s v="2022_SA_Riverton_Fababean_DetailedTOS1VarietyNasmaWaterTrtIrrigated"/>
        <s v="2022_SA_Riverton_Fababean_DetailedTOS1VarietyAmberleyWaterTrtIrrigated"/>
        <s v="2022_SA_Riverton_Fababean_DetailedTOS1VarietyMarneWaterTrtIrrigated"/>
        <s v="2022_SA_Riverton_Fababean_DetailedTOS1VarietySamiraWaterTrtIrrigated"/>
        <s v="2022_SA_Riverton_Fababean_DetailedTOS1VarietyAmberleyWaterTrtRainFed"/>
        <s v="2022_SA_Riverton_Fababean_DetailedTOS1VarietySamiraWaterTrtRainFed"/>
        <s v="2022_SA_Riverton_Fababean_DetailedTOS1VarietyNasmaWaterTrtRainFed"/>
        <s v="2022_SA_Riverton_Fababean_DetailedTOS1VarietyMarneWaterTrtRainFed"/>
        <s v="2022_SA_Riverton_Fababean_DetailedTOS2VarietyMarneWaterTrtRainFed"/>
        <s v="2022_SA_Riverton_Fababean_DetailedTOS2VarietyNasmaWaterTrtRainFed"/>
        <s v="2022_SA_Riverton_Fababean_DetailedTOS2VarietySamiraWaterTrtRainFed"/>
        <s v="2022_SA_Riverton_Fababean_DetailedTOS2VarietyAmberleyWaterTrtRainFed"/>
        <s v="2022_Vic_Kalkee_Lentil_DetailedTOS2VarietyJumbo2WaterTrtRainFed"/>
        <s v="2022_Vic_Kalkee_Lentil_DetailedTOS2VarietyBoltWaterTrtRainFed"/>
        <s v="2022_Vic_Kalkee_Lentil_DetailedTOS2VarietyKelpieXTWaterTrtRainFed"/>
        <s v="2022_Vic_Kalkee_Lentil_DetailedTOS2VarietyHallmarkXTWaterTrtRainFed"/>
        <s v="2022_Vic_Kalkee_Lentil_DetailedTOS2VarietyBoltWaterTrtIrrigated"/>
        <s v="2022_Vic_Kalkee_Lentil_DetailedTOS2VarietyKelpieXTWaterTrtIrrigated"/>
        <s v="2022_Vic_Kalkee_Lentil_DetailedTOS2VarietyHallmarkXTWaterTrtIrrigated"/>
        <s v="2022_Vic_Kalkee_Lentil_DetailedTOS2VarietyJumbo2WaterTrtIrrigated"/>
        <s v="2022_Vic_Kalkee_Lentil_DetailedTOS1VarietyHallmarkXTWaterTrtIrrigated"/>
        <s v="2022_Vic_Kalkee_Lentil_DetailedTOS1VarietyJumbo2WaterTrtIrrigated"/>
        <s v="2022_Vic_Kalkee_Lentil_DetailedTOS1VarietyBoltWaterTrtIrrigated"/>
        <s v="2022_Vic_Kalkee_Lentil_DetailedTOS1VarietyKelpieXTWaterTrtIrrigated"/>
        <s v="2022_Vic_Kalkee_Lentil_DetailedTOS1VarietyKelpieXTWaterTrtRainFed"/>
        <s v="2022_Vic_Kalkee_Lentil_DetailedTOS1VarietyHallmarkXTWaterTrtRainFed"/>
        <s v="2022_Vic_Kalkee_Lentil_DetailedTOS1VarietyJumbo2WaterTrtRainFed"/>
        <s v="2022_Vic_Kalkee_Lentil_DetailedTOS1VarietyBoltWaterTrtRainFed"/>
        <s v="2022_SA_Riverton_Lentil_DetailedTOS1VarietyBoltWaterTrtRainFed"/>
        <s v="2022_SA_Riverton_Lentil_DetailedTOS1VarietyHallmarkXTWaterTrtRainFed"/>
        <s v="2022_SA_Riverton_Lentil_DetailedTOS1VarietyKelpieXTWaterTrtRainFed"/>
        <s v="2022_SA_Riverton_Lentil_DetailedTOS1VarietyJumbo2WaterTrtRainFed"/>
        <s v="2022_SA_Riverton_Lentil_DetailedTOS2VarietyJumbo2WaterTrtIrrigated"/>
        <s v="2022_SA_Riverton_Lentil_DetailedTOS2VarietyBoltWaterTrtIrrigated"/>
        <s v="2022_SA_Riverton_Lentil_DetailedTOS2VarietyHallmarkXTWaterTrtIrrigated"/>
        <s v="2022_SA_Riverton_Lentil_DetailedTOS2VarietyKelpieXTWaterTrtIrrigated"/>
        <s v="2022_SA_Riverton_Lentil_DetailedTOS1VarietyKelpieXTWaterTrtIrrigated"/>
        <s v="2022_SA_Riverton_Lentil_DetailedTOS1VarietyJumbo2WaterTrtIrrigated"/>
        <s v="2022_SA_Riverton_Lentil_DetailedTOS1VarietyBoltWaterTrtIrrigated"/>
        <s v="2022_SA_Riverton_Lentil_DetailedTOS1VarietyHallmarkXTWaterTrtIrrigated"/>
        <s v="2022_SA_Riverton_Lentil_DetailedTOS2VarietyHallmarkXTWaterTrtRainFed"/>
        <s v="2022_SA_Riverton_Lentil_DetailedTOS2VarietyKelpieXTWaterTrtRainFed"/>
        <s v="2022_SA_Riverton_Lentil_DetailedTOS2VarietyJumbo2WaterTrtRainFed"/>
        <s v="2022_SA_Riverton_Lentil_DetailedTOS2VarietyBoltWaterTrtRainFed"/>
        <s v="2022_NSW_WaggaWagga_Lentil_DetailedTOS2VarietyHallmarkXTWaterTrtIrrigated"/>
        <s v="2022_NSW_WaggaWagga_Lentil_DetailedTOS2VarietyJumbo2WaterTrtIrrigated"/>
        <s v="2022_NSW_WaggaWagga_Lentil_DetailedTOS2VarietyBoltWaterTrtIrrigated"/>
        <s v="2022_NSW_WaggaWagga_Lentil_DetailedTOS2VarietyKelpieXTWaterTrtIrrigated"/>
        <s v="2022_NSW_WaggaWagga_Lentil_DetailedTOS1VarietyKelpieXTWaterTrtIrrigated"/>
        <s v="2022_NSW_WaggaWagga_Lentil_DetailedTOS1VarietyHallmarkXTWaterTrtIrrigated"/>
        <s v="2022_NSW_WaggaWagga_Lentil_DetailedTOS1VarietyJumbo2WaterTrtIrrigated"/>
        <s v="2022_NSW_WaggaWagga_Lentil_DetailedTOS1VarietyBoltWaterTrtIrrigated"/>
        <s v="2022_NSW_WaggaWagga_Lentil_DetailedTOS2VarietyBoltWaterTrtRainFed"/>
        <s v="2022_NSW_WaggaWagga_Lentil_DetailedTOS2VarietyKelpieXTWaterTrtRainFed"/>
        <s v="2022_NSW_WaggaWagga_Lentil_DetailedTOS2VarietyHallmarkXTWaterTrtRainFed"/>
        <s v="2022_NSW_WaggaWagga_Lentil_DetailedTOS2VarietyJumbo2WaterTrtRainFed"/>
        <s v="2022_NSW_WaggaWagga_Lentil_DetailedTOS1VarietyKelpieXTWaterTrtRainFed"/>
        <s v="2022_NSW_WaggaWagga_Lentil_DetailedTOS1VarietyJumbo2WaterTrtRainFed"/>
        <s v="2022_NSW_WaggaWagga_Lentil_DetailedTOS1VarietyBoltWaterTrtRainFed"/>
        <s v="2022_NSW_WaggaWagga_Lentil_DetailedTOS1VarietyHallmarkXTWaterTrtRainFed"/>
        <s v="2022_WA_Deepdale_Chickpea_SatelliteTOS4VarietyGenesis_090WaterTrtRainFed"/>
        <s v="2022_WA_Deepdale_Chickpea_SatelliteTOS4VarietyD11006_13F3HRMT4PR0004WaterTrtRainFed"/>
        <s v="2022_WA_Deepdale_Chickpea_SatelliteTOS4VarietyHatTrickWaterTrtRainFed"/>
        <s v="2022_WA_Deepdale_Chickpea_SatelliteTOS4VarietyStrikerWaterTrtRainFed"/>
        <s v="2022_WA_Deepdale_Chickpea_SatelliteTOS4VarietyD12014_14F3TMWR2AB001WaterTrtRainFed"/>
        <s v="2022_WA_Deepdale_Chickpea_SatelliteTOS4VarietyCBA_CaptainWaterTrtRainFed"/>
        <s v="2022_WA_Deepdale_Chickpea_SatelliteTOS4VarietyDrummondWaterTrtRainFed"/>
        <s v="2022_WA_Deepdale_Chickpea_SatelliteTOS3VarietyStrikerWaterTrtRainFed"/>
        <s v="2022_WA_Deepdale_Chickpea_SatelliteTOS3VarietyDrummondWaterTrtRainFed"/>
        <s v="2022_WA_Deepdale_Chickpea_SatelliteTOS3VarietyCBA_CaptainWaterTrtRainFed"/>
        <s v="2022_WA_Deepdale_Chickpea_SatelliteTOS3VarietyGenesis_090WaterTrtRainFed"/>
        <s v="2022_WA_Deepdale_Chickpea_SatelliteTOS3VarietyD11006_13F3HRMT4PR0004WaterTrtRainFed"/>
        <s v="2022_WA_Deepdale_Chickpea_SatelliteTOS3VarietyHatTrickWaterTrtRainFed"/>
        <s v="2022_WA_Deepdale_Chickpea_SatelliteTOS3VarietyD12014_14F3TMWR2AB001WaterTrtRainFed"/>
        <s v="2022_WA_Deepdale_Chickpea_SatelliteTOS1VarietyHatTrickWaterTrtRainFed"/>
        <s v="2022_WA_Deepdale_Chickpea_SatelliteTOS1VarietyStrikerWaterTrtRainFed"/>
        <s v="2022_WA_Deepdale_Chickpea_SatelliteTOS1VarietyGenesis_090WaterTrtRainFed"/>
        <s v="2022_WA_Deepdale_Chickpea_SatelliteTOS1VarietyDrummondWaterTrtRainFed"/>
        <s v="2022_WA_Deepdale_Chickpea_SatelliteTOS1VarietyCBA_CaptainWaterTrtRainFed"/>
        <s v="2022_WA_Deepdale_Chickpea_SatelliteTOS1VarietyD12014_14F3TMWR2AB001WaterTrtRainFed"/>
        <s v="2022_WA_Deepdale_Chickpea_SatelliteTOS1VarietyD11006_13F3HRMT4PR0004WaterTrtRainFed"/>
        <s v="2022_WA_Deepdale_Chickpea_SatelliteTOS2VarietyCBA_CaptainWaterTrtRainFed"/>
        <s v="2022_WA_Deepdale_Chickpea_SatelliteTOS2VarietyGenesis_090WaterTrtRainFed"/>
        <s v="2022_WA_Deepdale_Chickpea_SatelliteTOS2VarietyD12014_14F3TMWR2AB001WaterTrtRainFed"/>
        <s v="2022_WA_Deepdale_Chickpea_SatelliteTOS2VarietyHatTrickWaterTrtRainFed"/>
        <s v="2022_WA_Deepdale_Chickpea_SatelliteTOS2VarietyDrummondWaterTrtRainFed"/>
        <s v="2022_WA_Deepdale_Chickpea_SatelliteTOS2VarietyStrikerWaterTrtRainFed"/>
        <s v="2022_WA_Deepdale_Chickpea_SatelliteTOS2VarietyD11006_13F3HRMT4PR0004WaterTrtRainFed"/>
        <s v="2022_Qld_Emerald_Chickpea_SatelliteTOS2VarietyStrikerWaterTrtRainFed"/>
        <s v="2022_Qld_Emerald_Chickpea_SatelliteTOS1VarietyDrummondWaterTrtRainFed"/>
        <s v="2022_Qld_Emerald_Chickpea_SatelliteTOS1VarietyStrikerWaterTrtRainFed"/>
        <s v="2022_Qld_Emerald_Chickpea_SatelliteTOS2VarietyCBA_CaptainWaterTrtRainFed"/>
        <s v="2022_Qld_Emerald_Chickpea_SatelliteTOS1VarietyHatTrickWaterTrtRainFed"/>
        <s v="2022_Qld_Emerald_Chickpea_SatelliteTOS2VarietyDrummondWaterTrtRainFed"/>
        <s v="2022_Qld_Emerald_Chickpea_SatelliteTOS2VarietyHatTrickWaterTrtRainFed"/>
        <s v="2022_Qld_Emerald_Chickpea_SatelliteTOS1VarietyCBA_CaptainWaterTrtRainFed"/>
        <s v="2022_NSW_Greenethorpe_Chickpea_SatelliteTOS1VarietyCBA_CaptainWaterTrtRainFed"/>
        <s v="2022_NSW_Greenethorpe_Chickpea_SatelliteTOS1VarietyDrummondWaterTrtRainFed"/>
        <s v="2022_NSW_Greenethorpe_Chickpea_SatelliteTOS1VarietyStrikerWaterTrtRainFed"/>
        <s v="2022_NSW_Greenethorpe_Chickpea_SatelliteTOS1VarietyHatTrickWaterTrtRainFed"/>
        <s v="2022_NSW_Greenethorpe_Chickpea_SatelliteTOS2VarietyHatTrickWaterTrtRainFed"/>
        <s v="2022_NSW_Greenethorpe_Chickpea_SatelliteTOS2VarietyStrikerWaterTrtRainFed"/>
        <s v="2022_NSW_Greenethorpe_Chickpea_SatelliteTOS2VarietyCBA_CaptainWaterTrtRainFed"/>
        <s v="2022_NSW_Greenethorpe_Chickpea_SatelliteTOS2VarietyDrummondWaterTrtRainFed"/>
        <s v="2022_Vic_Ouyen_Chickpea_SatelliteTOS1VarietyHatTrickWaterTrtRainFed"/>
        <s v="2022_Vic_Ouyen_Chickpea_SatelliteTOS1VarietyDrummondWaterTrtRainFed"/>
        <s v="2022_Vic_Ouyen_Chickpea_SatelliteTOS1VarietyCBA_CaptainWaterTrtRainFed"/>
        <s v="2022_Vic_Ouyen_Chickpea_SatelliteTOS1VarietyGenesis_090WaterTrtRainFed"/>
        <s v="2022_Vic_Ouyen_Chickpea_SatelliteTOS1VarietyStrikerWaterTrtRainFed"/>
        <s v="2022_Vic_Ouyen_Chickpea_SatelliteTOS1VarietyMagnusWaterTrtRainFed"/>
        <s v="2022_Vic_Ouyen_Chickpea_SatelliteTOS2VarietyMagnusWaterTrtRainFed"/>
        <s v="2022_Vic_Ouyen_Chickpea_SatelliteTOS2VarietyCBA_CaptainWaterTrtRainFed"/>
        <s v="2022_Vic_Ouyen_Chickpea_SatelliteTOS2VarietyHatTrickWaterTrtRainFed"/>
        <s v="2022_Vic_Ouyen_Chickpea_SatelliteTOS2VarietyDrummondWaterTrtRainFed"/>
        <s v="2022_Vic_Ouyen_Chickpea_SatelliteTOS2VarietyGenesis_090WaterTrtRainFed"/>
        <s v="2022_Vic_Ouyen_Chickpea_SatelliteTOS2VarietyStrikerWaterTrtRainFed"/>
        <s v="2022_NSW_RankinsSprings_Chickpea_SatelliteTOS1VarietySlasherWaterTrtRainFed"/>
        <s v="2022_NSW_RankinsSprings_Chickpea_SatelliteTOS1VarietyHatTrickWaterTrtRainFed"/>
        <s v="2022_NSW_RankinsSprings_Chickpea_SatelliteTOS1VarietyDrummondWaterTrtRainFed"/>
        <s v="2022_NSW_RankinsSprings_Chickpea_SatelliteTOS1VarietyCBA_CaptainWaterTrtRainFed"/>
        <s v="2022_NSW_RankinsSprings_Chickpea_SatelliteTOS1VarietyStrikerWaterTrtRainFed"/>
        <s v="2022_NSW_RankinsSprings_Chickpea_SatelliteTOS1VarietyBoundaryWaterTrtRainFed"/>
        <s v="2022_NSW_RankinsSprings_Chickpea_SatelliteTOS2VarietyStrikerWaterTrtRainFed"/>
        <s v="2022_NSW_RankinsSprings_Chickpea_SatelliteTOS2VarietyCBA_CaptainWaterTrtRainFed"/>
        <s v="2022_NSW_RankinsSprings_Chickpea_SatelliteTOS2VarietyHatTrickWaterTrtRainFed"/>
        <s v="2022_NSW_RankinsSprings_Chickpea_SatelliteTOS2VarietySlasherWaterTrtRainFed"/>
        <s v="2022_NSW_RankinsSprings_Chickpea_SatelliteTOS2VarietyBoundaryWaterTrtRainFed"/>
        <s v="2022_NSW_RankinsSprings_Chickpea_SatelliteTOS2VarietyDrummondWaterTrtRainFed"/>
        <s v="2022_Qld_Warra_Chickpea_SatelliteTOS2VarietyStrikerWaterTrtRainFed"/>
        <s v="2022_Qld_Warra_Chickpea_SatelliteTOS2VarietyHatTrickWaterTrtRainFed"/>
        <s v="2022_Qld_Warra_Chickpea_SatelliteTOS2VarietyDrummondWaterTrtRainFed"/>
        <s v="2022_Qld_Warra_Chickpea_SatelliteTOS2VarietyCBA_CaptainWaterTrtRainFed"/>
        <s v="2022_Qld_Warra_Chickpea_SatelliteTOS1VarietyDrummondWaterTrtRainFed"/>
        <s v="2022_Qld_Warra_Chickpea_SatelliteTOS1VarietyCBA_CaptainWaterTrtRainFed"/>
        <s v="2022_Qld_Warra_Chickpea_SatelliteTOS1VarietyHatTrickWaterTrtRainFed"/>
        <s v="2022_Qld_Warra_Chickpea_SatelliteTOS1VarietyStrikerWaterTrtRainFed"/>
        <s v="2022_SA_Warnertown_Fababean_SatelliteTOS2VarietyMarneWaterTrtRainFedAgronomyDensity_0.66"/>
        <s v="2022_SA_Warnertown_Fababean_SatelliteTOS2VarietyAmberleyWaterTrtRainFedAgronomyDensity_1"/>
        <s v="2022_SA_Warnertown_Fababean_SatelliteTOS2VarietySamiraWaterTrtRainFedAgronomyDensity_1"/>
        <s v="2022_SA_Warnertown_Fababean_SatelliteTOS2VarietyAmberleyWaterTrtRainFedAgronomyDensity_0.66"/>
        <s v="2022_SA_Warnertown_Fababean_SatelliteTOS2VarietyMarneWaterTrtRainFedAgronomyDensity_1"/>
        <s v="2022_SA_Warnertown_Fababean_SatelliteTOS2VarietyNasmaWaterTrtRainFedAgronomyDensity_1"/>
        <s v="2022_SA_Warnertown_Fababean_SatelliteTOS1VarietyAmberleyWaterTrtRainFedAgronomyDensity_1"/>
        <s v="2022_SA_Warnertown_Fababean_SatelliteTOS1VarietyNasmaWaterTrtRainFedAgronomyDensity_1"/>
        <s v="2022_SA_Warnertown_Fababean_SatelliteTOS1VarietyMarneWaterTrtRainFedAgronomyDensity_1"/>
        <s v="2022_SA_Warnertown_Fababean_SatelliteTOS1VarietySamiraWaterTrtRainFedAgronomyDensity_1"/>
        <s v="2022_SA_Warnertown_Fababean_SatelliteTOS1VarietyMarneWaterTrtRainFedAgronomyDensity_0.66"/>
        <s v="2022_SA_Warnertown_Fababean_SatelliteTOS1VarietyAmberleyWaterTrtRainFedAgronomyDensity_0.66"/>
        <s v="2022_NSW_Methul_Lentil_SatelliteTOS2VarietyHallmarkXTWaterTrtRainFed"/>
        <s v="2022_NSW_Methul_Lentil_SatelliteTOS2VarietyKelpieXTWaterTrtRainFed"/>
        <s v="2022_NSW_Methul_Lentil_SatelliteTOS2VarietyGreenfieldWaterTrtRainFed"/>
        <s v="2022_NSW_Methul_Lentil_SatelliteTOS2VarietyBoltWaterTrtRainFed"/>
        <s v="2022_NSW_Methul_Lentil_SatelliteTOS2VarietyJumbo2WaterTrtRainFed"/>
        <s v="2022_NSW_Methul_Lentil_SatelliteTOS2VarietyAceWaterTrtRainFed"/>
        <s v="2022_NSW_Methul_Lentil_SatelliteTOS1VarietyBoltWaterTrtRainFed"/>
        <s v="2022_NSW_Methul_Lentil_SatelliteTOS1VarietyJumbo2WaterTrtRainFed"/>
        <s v="2022_NSW_Methul_Lentil_SatelliteTOS1VarietyHallmarkXTWaterTrtRainFed"/>
        <s v="2022_NSW_Methul_Lentil_SatelliteTOS1VarietyGreenfieldWaterTrtRainFed"/>
        <s v="2022_NSW_Methul_Lentil_SatelliteTOS1VarietyAceWaterTrtRainFed"/>
        <s v="2022_NSW_Methul_Lentil_SatelliteTOS1VarietyKelpieXTWaterTrtRainFed"/>
        <s v="2022_Vic_Ouyen_Lentil_SatelliteTOS1VarietyGIA_LeaderWaterTrtRainFed"/>
        <s v="2022_Vic_Ouyen_Lentil_SatelliteTOS1VarietyBoltWaterTrtRainFed"/>
        <s v="2022_Vic_Ouyen_Lentil_SatelliteTOS1VarietyHallmarkXTWaterTrtRainFed"/>
        <s v="2022_Vic_Ouyen_Lentil_SatelliteTOS1VarietyGIA_LightningWaterTrtRainFed"/>
        <s v="2022_Vic_Ouyen_Lentil_SatelliteTOS1VarietyKelpieXTWaterTrtRainFed"/>
        <s v="2022_Vic_Ouyen_Lentil_SatelliteTOS1VarietyJumbo2WaterTrtRainFed"/>
        <s v="2022_Vic_Ouyen_Lentil_SatelliteTOS2VarietyJumbo2WaterTrtRainFed"/>
        <s v="2022_Vic_Ouyen_Lentil_SatelliteTOS2VarietyGIA_LeaderWaterTrtRainFed"/>
        <s v="2022_Vic_Ouyen_Lentil_SatelliteTOS2VarietyHallmarkXTWaterTrtRainFed"/>
        <s v="2022_Vic_Ouyen_Lentil_SatelliteTOS2VarietyBoltWaterTrtRainFed"/>
        <s v="2022_Vic_Ouyen_Lentil_SatelliteTOS2VarietyGIA_LightningWaterTrtRainFed"/>
        <s v="2022_Vic_Ouyen_Lentil_SatelliteTOS2VarietyKelpieXTWaterTrtRainFed"/>
        <s v="2022_NSW_RankinsSprings_Lentil_SatelliteTOS1VarietyHallmarkXTWaterTrtRainFed"/>
        <s v="2022_NSW_RankinsSprings_Lentil_SatelliteTOS1VarietyJumbo2WaterTrtRainFed"/>
        <s v="2022_NSW_RankinsSprings_Lentil_SatelliteTOS1VarietyGreenfieldWaterTrtRainFed"/>
        <s v="2022_NSW_RankinsSprings_Lentil_SatelliteTOS1VarietyAceWaterTrtRainFed"/>
        <s v="2022_NSW_RankinsSprings_Lentil_SatelliteTOS1VarietyKelpieXTWaterTrtRainFed"/>
        <s v="2022_NSW_RankinsSprings_Lentil_SatelliteTOS1VarietyBoltWaterTrtRainFed"/>
        <s v="2022_NSW_RankinsSprings_Lentil_SatelliteTOS2VarietyGreenfieldWaterTrtRainFed"/>
        <s v="2022_NSW_RankinsSprings_Lentil_SatelliteTOS2VarietyBoltWaterTrtRainFed"/>
        <s v="2022_NSW_RankinsSprings_Lentil_SatelliteTOS2VarietyHallmarkXTWaterTrtRainFed"/>
        <s v="2022_NSW_RankinsSprings_Lentil_SatelliteTOS2VarietyKelpieXTWaterTrtRainFed"/>
        <s v="2022_NSW_RankinsSprings_Lentil_SatelliteTOS2VarietyAceWaterTrtRainFed"/>
        <s v="2022_NSW_RankinsSprings_Lentil_SatelliteTOS2VarietyJumbo2WaterTrtRainFed"/>
        <s v="2022_SA_Warnertown_Lentil_SatelliteTOS2VarietyJumbo2WaterTrtRainFedAgronomyDensity_0.66"/>
        <s v="2022_SA_Warnertown_Lentil_SatelliteTOS2VarietyKelpieXTWaterTrtRainFedAgronomyDensity_1"/>
        <s v="2022_SA_Warnertown_Lentil_SatelliteTOS2VarietyBoltWaterTrtRainFedAgronomyDensity_0.66"/>
        <s v="2022_SA_Warnertown_Lentil_SatelliteTOS2VarietyJumbo2WaterTrtRainFedAgronomyDensity_1"/>
        <s v="2022_SA_Warnertown_Lentil_SatelliteTOS2VarietyHallmarkXTWaterTrtRainFedAgronomyDensity_1"/>
        <s v="2022_SA_Warnertown_Lentil_SatelliteTOS2VarietyBoltWaterTrtRainFedAgronomyDensity_1"/>
        <s v="2022_SA_Warnertown_Lentil_SatelliteTOS1VarietyHallmarkXTWaterTrtRainFedAgronomyDensity_1"/>
        <s v="2022_SA_Warnertown_Lentil_SatelliteTOS1VarietyBoltWaterTrtRainFedAgronomyDensity_0.66"/>
        <s v="2022_SA_Warnertown_Lentil_SatelliteTOS1VarietyJumbo2WaterTrtRainFedAgronomyDensity_0.66"/>
        <s v="2022_SA_Warnertown_Lentil_SatelliteTOS1VarietyJumbo2WaterTrtRainFedAgronomyDensity_1"/>
        <s v="2022_SA_Warnertown_Lentil_SatelliteTOS1VarietyKelpieXTWaterTrtRainFedAgronomyDensity_1"/>
        <s v="2022_SA_Warnertown_Lentil_SatelliteTOS1VarietyBoltWaterTrtRainFedAgronomyDensity_1"/>
        <s v="2022_Qld_Gatton_Chickpea_RainoutTOS1VarietySeamerWaterTrtFully_Irrigated"/>
        <s v="2022_Qld_Gatton_Chickpea_RainoutTOS1VarietyCBA_CaptainWaterTrtRainFed"/>
        <s v="2022_Qld_Gatton_Chickpea_RainoutTOS1VarietySeamerWaterTrtRainFed"/>
        <s v="2022_Qld_Gatton_Chickpea_RainoutTOS1VarietyCBA_CaptainWaterTrtFully_Irrigated"/>
        <s v="2022_Qld_Gatton_Chickpea_RainoutTOS1VarietyCBA_CaptainWaterTrtSemi_Dry"/>
        <s v="2022_Qld_Gatton_Chickpea_RainoutTOS1VarietySeamerWaterTrtDry"/>
        <s v="2022_Qld_Gatton_Chickpea_RainoutTOS1VarietySeamerWaterTrtSemi_Dry"/>
        <s v="2022_Qld_Gatton_Chickpea_RainoutTOS1VarietyCBA_CaptainWaterTrtDry"/>
        <s v="2023_NSW_WaggaWagga_Fababean_DetailedTOS2VarietyNasmaWaterTrtIrrigated"/>
        <s v="2023_NSW_WaggaWagga_Fababean_DetailedTOS2VarietyMarneWaterTrtIrrigated"/>
        <s v="2023_NSW_WaggaWagga_Fababean_DetailedTOS2VarietySamiraWaterTrtIrrigated"/>
        <s v="2023_NSW_WaggaWagga_Fababean_DetailedTOS2VarietyAmberleyWaterTrtIrrigated"/>
        <s v="2023_NSW_WaggaWagga_Fababean_DetailedTOS1VarietySamiraWaterTrtIrrigated"/>
        <s v="2023_NSW_WaggaWagga_Fababean_DetailedTOS1VarietyAmberleyWaterTrtIrrigated"/>
        <s v="2023_NSW_WaggaWagga_Fababean_DetailedTOS1VarietyMarneWaterTrtIrrigated"/>
        <s v="2023_NSW_WaggaWagga_Fababean_DetailedTOS1VarietyNasmaWaterTrtIrrigated"/>
        <s v="2023_NSW_WaggaWagga_Fababean_DetailedTOS1VarietyNasmaWaterTrtRainFed"/>
        <s v="2023_NSW_WaggaWagga_Fababean_DetailedTOS1VarietyMarneWaterTrtRainFed"/>
        <s v="2023_NSW_WaggaWagga_Fababean_DetailedTOS1VarietyAmberleyWaterTrtRainFed"/>
        <s v="2023_NSW_WaggaWagga_Fababean_DetailedTOS1VarietySamiraWaterTrtRainFed"/>
        <s v="2023_NSW_WaggaWagga_Fababean_DetailedTOS2VarietySamiraWaterTrtRainFed"/>
        <s v="2023_NSW_WaggaWagga_Fababean_DetailedTOS2VarietyAmberleyWaterTrtRainFed"/>
        <s v="2023_NSW_WaggaWagga_Fababean_DetailedTOS2VarietyMarneWaterTrtRainFed"/>
        <s v="2023_NSW_WaggaWagga_Fababean_DetailedTOS2VarietyNasmaWaterTrtRainFed"/>
        <s v="2023_NSW_WaggaWagga_Lupin_DetailedTOS2VarietyWongaWaterTrtIrrigated"/>
        <s v="2023_NSW_WaggaWagga_Lupin_DetailedTOS2VarietyJurienWaterTrtIrrigated"/>
        <s v="2023_NSW_WaggaWagga_Lupin_DetailedTOS2VarietyBatemanWaterTrtIrrigated"/>
        <s v="2023_NSW_WaggaWagga_Lupin_DetailedTOS2VarietyMandelupWaterTrtIrrigated"/>
        <s v="2023_NSW_WaggaWagga_Lupin_DetailedTOS1VarietyBatemanWaterTrtIrrigated"/>
        <s v="2023_NSW_WaggaWagga_Lupin_DetailedTOS1VarietyMandelupWaterTrtIrrigated"/>
        <s v="2023_NSW_WaggaWagga_Lupin_DetailedTOS1VarietyWongaWaterTrtIrrigated"/>
        <s v="2023_NSW_WaggaWagga_Lupin_DetailedTOS1VarietyJurienWaterTrtIrrigated"/>
        <s v="2023_NSW_WaggaWagga_Lupin_DetailedTOS2VarietyJurienWaterTrtRainFed"/>
        <s v="2023_NSW_WaggaWagga_Lupin_DetailedTOS2VarietyMandelupWaterTrtRainFed"/>
        <s v="2023_NSW_WaggaWagga_Lupin_DetailedTOS2VarietyWongaWaterTrtRainFed"/>
        <s v="2023_NSW_WaggaWagga_Lupin_DetailedTOS2VarietyBatemanWaterTrtRainFed"/>
        <s v="2023_NSW_WaggaWagga_Lupin_DetailedTOS1VarietyMandelupWaterTrtRainFed"/>
        <s v="2023_NSW_WaggaWagga_Lupin_DetailedTOS1VarietyBatemanWaterTrtRainFed"/>
        <s v="2023_NSW_WaggaWagga_Lupin_DetailedTOS1VarietyJurienWaterTrtRainFed"/>
        <s v="2023_NSW_WaggaWagga_Lupin_DetailedTOS1VarietyWongaWaterTrtRainFed"/>
        <s v="2023_Qld_Gatton_Chickpea_DetailedTOS2VarietyStrikerWaterTrtRainFed"/>
        <s v="2023_Qld_Gatton_Chickpea_DetailedTOS2VarietyHatTrickWaterTrtRainFed"/>
        <s v="2023_Qld_Gatton_Chickpea_DetailedTOS2VarietyCBA_CaptainWaterTrtRainFed"/>
        <s v="2023_Qld_Gatton_Chickpea_DetailedTOS2VarietyDrummondWaterTrtRainFed"/>
        <s v="2023_Qld_Gatton_Chickpea_DetailedTOS1VarietyDrummondWaterTrtIrrigated"/>
        <s v="2023_Qld_Gatton_Chickpea_DetailedTOS1VarietyStrikerWaterTrtIrrigated"/>
        <s v="2023_Qld_Gatton_Chickpea_DetailedTOS1VarietyHatTrickWaterTrtIrrigated"/>
        <s v="2023_Qld_Gatton_Chickpea_DetailedTOS1VarietyCBA_CaptainWaterTrtIrrigated"/>
        <s v="2023_Qld_Gatton_Chickpea_DetailedTOS2VarietyHatTrickWaterTrtIrrigated"/>
        <s v="2023_Qld_Gatton_Chickpea_DetailedTOS2VarietyCBA_CaptainWaterTrtIrrigated"/>
        <s v="2023_Qld_Gatton_Chickpea_DetailedTOS2VarietyDrummondWaterTrtIrrigated"/>
        <s v="2023_Qld_Gatton_Chickpea_DetailedTOS2VarietyStrikerWaterTrtIrrigated"/>
        <s v="2023_Qld_Gatton_Chickpea_DetailedTOS1VarietyCBA_CaptainWaterTrtRainFed"/>
        <s v="2023_Qld_Gatton_Chickpea_DetailedTOS1VarietyDrummondWaterTrtRainFed"/>
        <s v="2023_Qld_Gatton_Chickpea_DetailedTOS1VarietyStrikerWaterTrtRainFed"/>
        <s v="2023_Qld_Gatton_Chickpea_DetailedTOS1VarietyHatTrickWaterTrtRainFed"/>
        <s v="2023_SA_Pinery_Fababean_DetailedTOS1VarietySamiraWaterTrtIrrigated"/>
        <s v="2023_SA_Pinery_Fababean_DetailedTOS1VarietyMarneWaterTrtIrrigated"/>
        <s v="2023_SA_Pinery_Fababean_DetailedTOS1VarietyNasmaWaterTrtIrrigated"/>
        <s v="2023_SA_Pinery_Fababean_DetailedTOS1VarietyAmberleyWaterTrtIrrigated"/>
        <s v="2023_SA_Pinery_Fababean_DetailedTOS1VarietyAmberleyWaterTrtRainFed"/>
        <s v="2023_SA_Pinery_Fababean_DetailedTOS1VarietyNasmaWaterTrtRainFed"/>
        <s v="2023_SA_Pinery_Fababean_DetailedTOS1VarietyMarneWaterTrtRainFed"/>
        <s v="2023_SA_Pinery_Fababean_DetailedTOS1VarietySamiraWaterTrtRainFed"/>
        <s v="2023_SA_Pinery_Fababean_DetailedTOS2VarietyMarneWaterTrtIrrigated"/>
        <s v="2023_SA_Pinery_Fababean_DetailedTOS2VarietyAmberleyWaterTrtIrrigated"/>
        <s v="2023_SA_Pinery_Fababean_DetailedTOS2VarietySamiraWaterTrtIrrigated"/>
        <s v="2023_SA_Pinery_Fababean_DetailedTOS2VarietyNasmaWaterTrtIrrigated"/>
        <s v="2023_SA_Pinery_Fababean_DetailedTOS2VarietyNasmaWaterTrtRainFed"/>
        <s v="2023_SA_Pinery_Fababean_DetailedTOS2VarietySamiraWaterTrtRainFed"/>
        <s v="2023_SA_Pinery_Fababean_DetailedTOS2VarietyAmberleyWaterTrtRainFed"/>
        <s v="2023_SA_Pinery_Fababean_DetailedTOS2VarietyMarneWaterTrtRainFed"/>
        <s v="2023_SA_Pinery_Lentil_DetailedTOS2VarietyKelpieXTWaterTrtIrrigated"/>
        <s v="2023_SA_Pinery_Lentil_DetailedTOS2VarietyJumbo2WaterTrtIrrigated"/>
        <s v="2023_SA_Pinery_Lentil_DetailedTOS2VarietyBoltWaterTrtIrrigated"/>
        <s v="2023_SA_Pinery_Lentil_DetailedTOS2VarietyHallmarkXTWaterTrtIrrigated"/>
        <s v="2023_SA_Pinery_Lentil_DetailedTOS2VarietyHallmarkXTWaterTrtRainFed"/>
        <s v="2023_SA_Pinery_Lentil_DetailedTOS2VarietyBoltWaterTrtRainFed"/>
        <s v="2023_SA_Pinery_Lentil_DetailedTOS2VarietyJumbo2WaterTrtRainFed"/>
        <s v="2023_SA_Pinery_Lentil_DetailedTOS2VarietyKelpieXTWaterTrtRainFed"/>
        <s v="2023_SA_Pinery_Lentil_DetailedTOS1VarietyJumbo2WaterTrtIrrigated"/>
        <s v="2023_SA_Pinery_Lentil_DetailedTOS1VarietyKelpieXTWaterTrtIrrigated"/>
        <s v="2023_SA_Pinery_Lentil_DetailedTOS1VarietyHallmarkXTWaterTrtIrrigated"/>
        <s v="2023_SA_Pinery_Lentil_DetailedTOS1VarietyBoltWaterTrtIrrigated"/>
        <s v="2023_SA_Pinery_Lentil_DetailedTOS1VarietyBoltWaterTrtRainFed"/>
        <s v="2023_SA_Pinery_Lentil_DetailedTOS1VarietyHallmarkXTWaterTrtRainFed"/>
        <s v="2023_SA_Pinery_Lentil_DetailedTOS1VarietyKelpieXTWaterTrtRainFed"/>
        <s v="2023_SA_Pinery_Lentil_DetailedTOS1VarietyJumbo2WaterTrtRainFed"/>
        <s v="2023_Vic_Dooen_Chickpea_DetailedTOS1VarietyStrikerWaterTrtRainFed"/>
        <s v="2023_Vic_Dooen_Chickpea_DetailedTOS1VarietyCBA_CaptainWaterTrtRainFed"/>
        <s v="2023_Vic_Dooen_Chickpea_DetailedTOS1VarietyDrummondWaterTrtIrrigated"/>
        <s v="2023_Vic_Dooen_Chickpea_DetailedTOS1VarietyHatTrickWaterTrtIrrigated"/>
        <s v="2023_Vic_Dooen_Chickpea_DetailedTOS1VarietyHatTrickWaterTrtRainFed"/>
        <s v="2023_Vic_Dooen_Chickpea_DetailedTOS1VarietyDrummondWaterTrtRainFed"/>
        <s v="2023_Vic_Dooen_Chickpea_DetailedTOS1VarietyStrikerWaterTrtIrrigated"/>
        <s v="2023_Vic_Dooen_Chickpea_DetailedTOS1VarietyCBA_CaptainWaterTrtIrrigated"/>
        <s v="2023_Vic_Dooen_Chickpea_DetailedTOS2VarietyDrummondWaterTrtIrrigated"/>
        <s v="2023_Vic_Dooen_Chickpea_DetailedTOS2VarietyCBA_CaptainWaterTrtIrrigated"/>
        <s v="2023_Vic_Dooen_Chickpea_DetailedTOS2VarietyHatTrickWaterTrtRainFed"/>
        <s v="2023_Vic_Dooen_Chickpea_DetailedTOS2VarietyStrikerWaterTrtRainFed"/>
        <s v="2023_Vic_Dooen_Chickpea_DetailedTOS2VarietyHatTrickWaterTrtIrrigated"/>
        <s v="2023_Vic_Dooen_Chickpea_DetailedTOS2VarietyStrikerWaterTrtIrrigated"/>
        <s v="2023_Vic_Dooen_Chickpea_DetailedTOS2VarietyCBA_CaptainWaterTrtRainFed"/>
        <s v="2023_Vic_Dooen_Chickpea_DetailedTOS2VarietyDrummondWaterTrtRainFed"/>
        <s v="2023_Vic_Dooen_Lentil_DetailedTOS1VarietyBoltWaterTrtIrrigated"/>
        <s v="2023_Vic_Dooen_Lentil_DetailedTOS1VarietyJumbo2WaterTrtIrrigated"/>
        <s v="2023_Vic_Dooen_Lentil_DetailedTOS1VarietyKelpieXTWaterTrtRainFed"/>
        <s v="2023_Vic_Dooen_Lentil_DetailedTOS1VarietyHallmarkXTWaterTrtRainFed"/>
        <s v="2023_Vic_Dooen_Lentil_DetailedTOS1VarietyKelpieXTWaterTrtIrrigated"/>
        <s v="2023_Vic_Dooen_Lentil_DetailedTOS1VarietyHallmarkXTWaterTrtIrrigated"/>
        <s v="2023_Vic_Dooen_Lentil_DetailedTOS1VarietyJumbo2WaterTrtRainFed"/>
        <s v="2023_Vic_Dooen_Lentil_DetailedTOS1VarietyBoltWaterTrtRainFed"/>
        <s v="2023_Vic_Dooen_Lentil_DetailedTOS2VarietyKelpieXTWaterTrtIrrigated"/>
        <s v="2023_Vic_Dooen_Lentil_DetailedTOS2VarietyBoltWaterTrtIrrigated"/>
        <s v="2023_Vic_Dooen_Lentil_DetailedTOS2VarietyHallmarkXTWaterTrtRainFed"/>
        <s v="2023_Vic_Dooen_Lentil_DetailedTOS2VarietyJumbo2WaterTrtRainFed"/>
        <s v="2023_Vic_Dooen_Lentil_DetailedTOS2VarietyHallmarkXTWaterTrtIrrigated"/>
        <s v="2023_Vic_Dooen_Lentil_DetailedTOS2VarietyJumbo2WaterTrtIrrigated"/>
        <s v="2023_Vic_Dooen_Lentil_DetailedTOS2VarietyBoltWaterTrtRainFed"/>
        <s v="2023_Vic_Dooen_Lentil_DetailedTOS2VarietyKelpieXTWaterTrtRainFed"/>
        <s v="2023_WA_Northam_Chickpea_DetailedTOS2VarietyStrikerWaterTrtRainFed"/>
        <s v="2023_WA_Northam_Chickpea_DetailedTOS2VarietyCBA_CaptainWaterTrtRainFed"/>
        <s v="2023_WA_Northam_Chickpea_DetailedTOS2VarietyHatTrickWaterTrtRainFed"/>
        <s v="2023_WA_Northam_Chickpea_DetailedTOS2VarietyDrummondWaterTrtRainFed"/>
        <s v="2023_WA_Northam_Chickpea_DetailedTOS1VarietyCBA_CaptainWaterTrtRainFed"/>
        <s v="2023_WA_Northam_Chickpea_DetailedTOS1VarietyDrummondWaterTrtRainFed"/>
        <s v="2023_WA_Northam_Chickpea_DetailedTOS1VarietyHatTrickWaterTrtRainFed"/>
        <s v="2023_WA_Northam_Chickpea_DetailedTOS1VarietyStrikerWaterTrtRainFed"/>
        <s v="2023_WA_Northam_Chickpea_DetailedTOS1VarietyHatTrickWaterTrtIrrigated"/>
        <s v="2023_WA_Northam_Chickpea_DetailedTOS1VarietyStrikerWaterTrtIrrigated"/>
        <s v="2023_WA_Northam_Chickpea_DetailedTOS1VarietyDrummondWaterTrtIrrigated"/>
        <s v="2023_WA_Northam_Chickpea_DetailedTOS1VarietyCBA_CaptainWaterTrtIrrigated"/>
        <s v="2023_WA_Northam_Chickpea_DetailedTOS2VarietyCBA_CaptainWaterTrtIrrigated"/>
        <s v="2023_WA_Northam_Chickpea_DetailedTOS2VarietyDrummondWaterTrtIrrigated"/>
        <s v="2023_WA_Northam_Chickpea_DetailedTOS2VarietyStrikerWaterTrtIrrigated"/>
        <s v="2023_WA_Northam_Chickpea_DetailedTOS2VarietyHatTrickWaterTrtIrrigated"/>
        <s v="2023_NSW_RankinsSprings_Fababean_SatelliteTOS2VarietyNanuWaterTrtRainFed"/>
        <s v="2023_NSW_RankinsSprings_Fababean_SatelliteTOS2VarietySamiraWaterTrtRainFed"/>
        <s v="2023_NSW_RankinsSprings_Fababean_SatelliteTOS2VarietyNasmaWaterTrtRainFed"/>
        <s v="2023_NSW_RankinsSprings_Fababean_SatelliteTOS2VarietyMarneWaterTrtRainFed"/>
        <s v="2023_NSW_RankinsSprings_Fababean_SatelliteTOS2VarietyAylaWaterTrtRainFed"/>
        <s v="2023_NSW_RankinsSprings_Fababean_SatelliteTOS2VarietyAmberleyWaterTrtRainFed"/>
        <s v="2023_NSW_RankinsSprings_Fababean_SatelliteTOS1VarietyAmberleyWaterTrtRainFed"/>
        <s v="2023_NSW_RankinsSprings_Fababean_SatelliteTOS1VarietyMarneWaterTrtRainFed"/>
        <s v="2023_NSW_RankinsSprings_Fababean_SatelliteTOS1VarietyAylaWaterTrtRainFed"/>
        <s v="2023_NSW_RankinsSprings_Fababean_SatelliteTOS1VarietyNanuWaterTrtRainFed"/>
        <s v="2023_NSW_RankinsSprings_Fababean_SatelliteTOS1VarietyNasmaWaterTrtRainFed"/>
        <s v="2023_NSW_RankinsSprings_Fababean_SatelliteTOS1VarietySamiraWaterTrtRainFed"/>
        <s v="2023_NSW_RankinsSprings_Lupin_SatelliteTOS2VarietyGunyidiWaterTrtRainFed"/>
        <s v="2023_NSW_RankinsSprings_Lupin_SatelliteTOS2VarietyBatemanWaterTrtRainFed"/>
        <s v="2023_NSW_RankinsSprings_Lupin_SatelliteTOS2VarietyMandelupWaterTrtRainFed"/>
        <s v="2023_NSW_RankinsSprings_Lupin_SatelliteTOS2VarietyJurienWaterTrtRainFed"/>
        <s v="2023_NSW_RankinsSprings_Lupin_SatelliteTOS2VarietyWongaWaterTrtRainFed"/>
        <s v="2023_NSW_RankinsSprings_Lupin_SatelliteTOS2VarietyJindaleeWaterTrtRainFed"/>
        <s v="2023_NSW_RankinsSprings_Lupin_SatelliteTOS1VarietyMandelupWaterTrtRainFed"/>
        <s v="2023_NSW_RankinsSprings_Lupin_SatelliteTOS1VarietyWongaWaterTrtRainFed"/>
        <s v="2023_NSW_RankinsSprings_Lupin_SatelliteTOS1VarietyJindaleeWaterTrtRainFed"/>
        <s v="2023_NSW_RankinsSprings_Lupin_SatelliteTOS1VarietyBatemanWaterTrtRainFed"/>
        <s v="2023_NSW_RankinsSprings_Lupin_SatelliteTOS1VarietyJurienWaterTrtRainFed"/>
        <s v="2023_NSW_RankinsSprings_Lupin_SatelliteTOS1VarietyGunyidiWaterTrtRainFed"/>
        <s v="2023_Qld_Emerald_Chickpea_SatelliteTOS1VarietyCBA_CaptainWaterTrtRainFed"/>
        <s v="2023_Qld_Emerald_Chickpea_SatelliteTOS1VarietyDrummondWaterTrtRainFed"/>
        <s v="2023_Qld_Emerald_Chickpea_SatelliteTOS1VarietyStrikerWaterTrtRainFed"/>
        <s v="2023_Qld_Emerald_Chickpea_SatelliteTOS1VarietyHatTrickWaterTrtRainFed"/>
        <s v="2023_Qld_Emerald_Chickpea_SatelliteTOS2VarietyHatTrickWaterTrtRainFed"/>
        <s v="2023_Qld_Emerald_Chickpea_SatelliteTOS2VarietyStrikerWaterTrtRainFed"/>
        <s v="2023_Qld_Emerald_Chickpea_SatelliteTOS2VarietyDrummondWaterTrtRainFed"/>
        <s v="2023_Qld_Emerald_Chickpea_SatelliteTOS2VarietyCBA_CaptainWaterTrtRainFed"/>
        <s v="2023_Qld_Warra_Chickpea_SatelliteTOS2VarietyHatTrickWaterTrtRainFed"/>
        <s v="2023_Qld_Warra_Chickpea_SatelliteTOS2VarietyStrikerWaterTrtRainFed"/>
        <s v="2023_Qld_Warra_Chickpea_SatelliteTOS2VarietyCBA_CaptainWaterTrtRainFed"/>
        <s v="2023_Qld_Warra_Chickpea_SatelliteTOS2VarietyDrummondWaterTrtRainFed"/>
        <s v="2023_Qld_Warra_Chickpea_SatelliteTOS1VarietyCBA_CaptainWaterTrtRainFed"/>
        <s v="2023_Qld_Warra_Chickpea_SatelliteTOS1VarietyDrummondWaterTrtRainFed"/>
        <s v="2023_Qld_Warra_Chickpea_SatelliteTOS1VarietyStrikerWaterTrtRainFed"/>
        <s v="2023_Qld_Warra_Chickpea_SatelliteTOS1VarietyHatTrickWaterTrtRainFed"/>
        <s v="2023_SA_Warnertown_Fababean_SatelliteTOS2VarietySamiraWaterTrtRainFedAgronomyDensity_1"/>
        <s v="2023_SA_Warnertown_Fababean_SatelliteTOS2VarietyNasmaWaterTrtRainFedAgronomyDensity_1"/>
        <s v="2023_SA_Warnertown_Fababean_SatelliteTOS2VarietyAmberleyWaterTrtRainFedAgronomyDensity_0.66"/>
        <s v="2023_SA_Warnertown_Fababean_SatelliteTOS2VarietyMarneWaterTrtRainFedAgronomyDensity_0.66"/>
        <s v="2023_SA_Warnertown_Fababean_SatelliteTOS2VarietyMarneWaterTrtRainFedAgronomyDensity_1"/>
        <s v="2023_SA_Warnertown_Fababean_SatelliteTOS2VarietyAmberleyWaterTrtRainFedAgronomyDensity_1"/>
        <s v="2023_SA_Warnertown_Fababean_SatelliteTOS1VarietyMarneWaterTrtRainFedAgronomyDensity_1"/>
        <s v="2023_SA_Warnertown_Fababean_SatelliteTOS1VarietyMarneWaterTrtRainFedAgronomyDensity_0.66"/>
        <s v="2023_SA_Warnertown_Fababean_SatelliteTOS1VarietyNasmaWaterTrtRainFedAgronomyDensity_1"/>
        <s v="2023_SA_Warnertown_Fababean_SatelliteTOS1VarietyAmberleyWaterTrtRainFedAgronomyDensity_0.66"/>
        <s v="2023_SA_Warnertown_Fababean_SatelliteTOS1VarietyAmberleyWaterTrtRainFedAgronomyDensity_1"/>
        <s v="2023_SA_Warnertown_Fababean_SatelliteTOS1VarietySamiraWaterTrtRainFedAgronomyDensity_1"/>
        <s v="2023_SA_Warnertown_Lentil_SatelliteTOS1VarietyBoltWaterTrtRainFedAgronomyDensity_0.66"/>
        <s v="2023_SA_Warnertown_Lentil_SatelliteTOS1VarietyHallmarkXTWaterTrtRainFedAgronomyDensity_1"/>
        <s v="2023_SA_Warnertown_Lentil_SatelliteTOS1VarietyJumbo2WaterTrtRainFedAgronomyDensity_1"/>
        <s v="2023_SA_Warnertown_Lentil_SatelliteTOS1VarietyBoltWaterTrtRainFedAgronomyDensity_1"/>
        <s v="2023_SA_Warnertown_Lentil_SatelliteTOS1VarietyKelpieXTWaterTrtRainFedAgronomyDensity_1"/>
        <s v="2023_SA_Warnertown_Lentil_SatelliteTOS1VarietyJumbo2WaterTrtRainFedAgronomyDensity_0.66"/>
        <s v="2023_SA_Warnertown_Lentil_SatelliteTOS2VarietyJumbo2WaterTrtRainFedAgronomyDensity_1"/>
        <s v="2023_SA_Warnertown_Lentil_SatelliteTOS2VarietyBoltWaterTrtRainFedAgronomyDensity_1"/>
        <s v="2023_SA_Warnertown_Lentil_SatelliteTOS2VarietyHallmarkXTWaterTrtRainFedAgronomyDensity_1"/>
        <s v="2023_SA_Warnertown_Lentil_SatelliteTOS2VarietyKelpieXTWaterTrtRainFedAgronomyDensity_1"/>
        <s v="2023_SA_Warnertown_Lentil_SatelliteTOS2VarietyBoltWaterTrtRainFedAgronomyDensity_0.66"/>
        <s v="2023_SA_Warnertown_Lentil_SatelliteTOS2VarietyJumbo2WaterTrtRainFedAgronomyDensity_0.66"/>
        <s v="2023_Vic_Ouyen_Chickpea_SatelliteTOS1VarietyHatTrickWaterTrtRainFed"/>
        <s v="2023_Vic_Ouyen_Chickpea_SatelliteTOS1VarietyStrikerWaterTrtRainFed"/>
        <s v="2023_Vic_Ouyen_Chickpea_SatelliteTOS1VarietyDrummondWaterTrtRainFed"/>
        <s v="2023_Vic_Ouyen_Chickpea_SatelliteTOS1VarietyCBA_CaptainWaterTrtRainFed"/>
        <s v="2023_Vic_Ouyen_Chickpea_SatelliteTOS2VarietyCBA_CaptainWaterTrtRainFed"/>
        <s v="2023_Vic_Ouyen_Chickpea_SatelliteTOS2VarietyDrummondWaterTrtRainFed"/>
        <s v="2023_Vic_Ouyen_Chickpea_SatelliteTOS2VarietyStrikerWaterTrtRainFed"/>
        <s v="2023_Vic_Ouyen_Chickpea_SatelliteTOS2VarietyHatTrickWaterTrtRainFed"/>
        <s v="2023_Vic_Ouyen_Lentil_SatelliteTOS1VarietyHallmarkXTWaterTrtRainFed"/>
        <s v="2023_Vic_Ouyen_Lentil_SatelliteTOS1VarietyBoltWaterTrtRainFed"/>
        <s v="2023_Vic_Ouyen_Lentil_SatelliteTOS1VarietyKelpieXTWaterTrtRainFed"/>
        <s v="2023_Vic_Ouyen_Lentil_SatelliteTOS1VarietyJumbo2WaterTrtRainFed"/>
        <s v="2023_Vic_Ouyen_Lentil_SatelliteTOS2VarietyKelpieXTWaterTrtRainFed"/>
        <s v="2023_Vic_Ouyen_Lentil_SatelliteTOS2VarietyJumbo2WaterTrtRainFed"/>
        <s v="2023_Vic_Ouyen_Lentil_SatelliteTOS2VarietyHallmarkXTWaterTrtRainFed"/>
        <s v="2023_Vic_Ouyen_Lentil_SatelliteTOS2VarietyBoltWaterTrtRainFed"/>
        <s v="2023_Qld_Gatton_Mixed_LightTOS1VarietySamiraWaterTrtIrrigatedAgronomy16_hr"/>
        <s v="2023_Qld_Gatton_Mixed_LightTOS1VarietyMarneWaterTrtIrrigatedAgronomy16_hr"/>
        <s v="2023_Qld_Gatton_Mixed_LightTOS1VarietyAmberleyWaterTrtIrrigatedAgronomy16_hr"/>
        <s v="2023_Qld_Gatton_Mixed_LightTOS1VarietyNasmaWaterTrtIrrigatedAgronomy16_hr"/>
        <s v="2023_Qld_Gatton_Mixed_LightTOS1VarietyJindaleeWaterTrtIrrigatedAgronomy16_hr"/>
        <s v="2023_Qld_Gatton_Mixed_LightTOS1VarietyWongaWaterTrtIrrigatedAgronomy16_hr"/>
        <s v="2023_Qld_Gatton_Mixed_LightTOS1VarietyBatemanWaterTrtIrrigatedAgronomy16_hr"/>
        <s v="2023_Qld_Gatton_Mixed_LightTOS1VarietyJurienWaterTrtIrrigatedAgronomy16_hr"/>
        <s v="2023_Qld_Gatton_Mixed_LightTOS1VarietyHatTrickWaterTrtIrrigatedAgronomy16_hr"/>
        <s v="2023_Qld_Gatton_Mixed_LightTOS1VarietyDrummondWaterTrtIrrigatedAgronomy16_hr"/>
        <s v="2023_Qld_Gatton_Mixed_LightTOS1VarietyCBA_CaptainWaterTrtIrrigatedAgronomy16_hr"/>
        <s v="2023_Qld_Gatton_Mixed_LightTOS1VarietyKelpieXTWaterTrtIrrigatedAgronomy16_hr"/>
        <s v="2023_Qld_Gatton_Mixed_LightTOS2VarietyBatemanWaterTrtIrrigatedAgronomy16_hr"/>
        <s v="2023_Qld_Gatton_Mixed_LightTOS2VarietyJurienWaterTrtIrrigatedAgronomy16_hr"/>
        <s v="2023_Qld_Gatton_Mixed_LightTOS2VarietyJindaleeWaterTrtIrrigatedAgronomy16_hr"/>
        <s v="2023_Qld_Gatton_Mixed_LightTOS2VarietyWongaWaterTrtIrrigatedAgronomy16_hr"/>
        <s v="2023_Qld_Gatton_Mixed_LightTOS2VarietyCBA_CaptainWaterTrtIrrigatedAgronomy16_hr"/>
        <s v="2023_Qld_Gatton_Mixed_LightTOS2VarietyKelpieXTWaterTrtIrrigatedAgronomy16_hr"/>
        <s v="2023_Qld_Gatton_Mixed_LightTOS2VarietyHatTrickWaterTrtIrrigatedAgronomy16_hr"/>
        <s v="2023_Qld_Gatton_Mixed_LightTOS2VarietyDrummondWaterTrtIrrigatedAgronomy16_hr"/>
        <s v="2023_Qld_Gatton_Mixed_LightTOS2VarietyAmberleyWaterTrtIrrigatedAgronomy16_hr"/>
        <s v="2023_Qld_Gatton_Mixed_LightTOS2VarietyNasmaWaterTrtIrrigatedAgronomy16_hr"/>
        <s v="2023_Qld_Gatton_Mixed_LightTOS2VarietySamiraWaterTrtIrrigatedAgronomy16_hr"/>
        <s v="2023_Qld_Gatton_Mixed_LightTOS2VarietyMarneWaterTrtIrrigatedAgronomy16_hr"/>
        <s v="2023_Qld_Gatton_Mixed_LightTOS1VarietyJindaleeWaterTrtIrrigatedAgronomyNatural"/>
        <s v="2023_Qld_Gatton_Mixed_LightTOS1VarietyWongaWaterTrtIrrigatedAgronomyNatural"/>
        <s v="2023_Qld_Gatton_Mixed_LightTOS1VarietyBatemanWaterTrtIrrigatedAgronomyNatural"/>
        <s v="2023_Qld_Gatton_Mixed_LightTOS1VarietyJurienWaterTrtIrrigatedAgronomyNatural"/>
        <s v="2023_Qld_Gatton_Mixed_LightTOS1VarietyHatTrickWaterTrtIrrigatedAgronomyNatural"/>
        <s v="2023_Qld_Gatton_Mixed_LightTOS1VarietyDrummondWaterTrtIrrigatedAgronomyNatural"/>
        <s v="2023_Qld_Gatton_Mixed_LightTOS1VarietyCBA_CaptainWaterTrtIrrigatedAgronomyNatural"/>
        <s v="2023_Qld_Gatton_Mixed_LightTOS1VarietyKelpieXTWaterTrtIrrigatedAgronomyNatural"/>
        <s v="2023_Qld_Gatton_Mixed_LightTOS1VarietySamiraWaterTrtIrrigatedAgronomyNatural"/>
        <s v="2023_Qld_Gatton_Mixed_LightTOS1VarietyMarneWaterTrtIrrigatedAgronomyNatural"/>
        <s v="2023_Qld_Gatton_Mixed_LightTOS1VarietyAmberleyWaterTrtIrrigatedAgronomyNatural"/>
        <s v="2023_Qld_Gatton_Mixed_LightTOS1VarietyNasmaWaterTrtIrrigatedAgronomyNatural"/>
        <s v="2023_Qld_Gatton_Mixed_LightTOS2VarietyCBA_CaptainWaterTrtIrrigatedAgronomyNatural"/>
        <s v="2023_Qld_Gatton_Mixed_LightTOS2VarietyKelpieXTWaterTrtIrrigatedAgronomyNatural"/>
        <s v="2023_Qld_Gatton_Mixed_LightTOS2VarietyHatTrickWaterTrtIrrigatedAgronomyNatural"/>
        <s v="2023_Qld_Gatton_Mixed_LightTOS2VarietyDrummondWaterTrtIrrigatedAgronomyNatural"/>
        <s v="2023_Qld_Gatton_Mixed_LightTOS2VarietyAmberleyWaterTrtIrrigatedAgronomyNatural"/>
        <s v="2023_Qld_Gatton_Mixed_LightTOS2VarietyNasmaWaterTrtIrrigatedAgronomyNatural"/>
        <s v="2023_Qld_Gatton_Mixed_LightTOS2VarietySamiraWaterTrtIrrigatedAgronomyNatural"/>
        <s v="2023_Qld_Gatton_Mixed_LightTOS2VarietyMarneWaterTrtIrrigatedAgronomyNatural"/>
        <s v="2023_Qld_Gatton_Mixed_LightTOS2VarietyBatemanWaterTrtIrrigatedAgronomyNatural"/>
        <s v="2023_Qld_Gatton_Mixed_LightTOS2VarietyJurienWaterTrtIrrigatedAgronomyNatural"/>
        <s v="2023_Qld_Gatton_Mixed_LightTOS2VarietyJindaleeWaterTrtIrrigatedAgronomyNatural"/>
        <s v="2023_Qld_Gatton_Mixed_LightTOS2VarietyWongaWaterTrtIrrigatedAgronomyNatural"/>
        <s v="2024_Qld_Gatton_Chickpea_DetailedTOS2VarietyStrikerWaterTrtRainFed"/>
        <s v="2024_Qld_Gatton_Chickpea_DetailedTOS2VarietyHatTrickWaterTrtRainFed"/>
        <s v="2024_Qld_Gatton_Chickpea_DetailedTOS2VarietyCBA_CaptainWaterTrtRainFed"/>
        <s v="2024_Qld_Gatton_Chickpea_DetailedTOS2VarietyDrummondWaterTrtRainFed"/>
        <s v="2024_Qld_Gatton_Chickpea_DetailedTOS1VarietyDrummondWaterTrtRainFed"/>
        <s v="2024_Qld_Gatton_Chickpea_DetailedTOS1VarietyCBA_CaptainWaterTrtRainFed"/>
        <s v="2024_Qld_Gatton_Chickpea_DetailedTOS1VarietyHatTrickWaterTrtRainFed"/>
        <s v="2024_Qld_Gatton_Chickpea_DetailedTOS1VarietyStrikerWaterTrtRainFed"/>
        <s v="2024_Qld_Gatton_Chickpea_DetailedTOS2VarietyHatTrickWaterTrtIrrigated"/>
        <s v="2024_Qld_Gatton_Chickpea_DetailedTOS2VarietyDrummondWaterTrtIrrigated"/>
        <s v="2024_Qld_Gatton_Chickpea_DetailedTOS2VarietyStrikerWaterTrtIrrigated"/>
        <s v="2024_Qld_Gatton_Chickpea_DetailedTOS2VarietyCBA_CaptainWaterTrtIrrigated"/>
        <s v="2024_Qld_Gatton_Chickpea_DetailedTOS1VarietyCBA_CaptainWaterTrtIrrigated"/>
        <s v="2024_Qld_Gatton_Chickpea_DetailedTOS1VarietyStrikerWaterTrtIrrigated"/>
        <s v="2024_Qld_Gatton_Chickpea_DetailedTOS1VarietyDrummondWaterTrtIrrigated"/>
        <s v="2024_Qld_Gatton_Chickpea_DetailedTOS1VarietyHatTrickWaterTrtIrrigated"/>
        <s v="2024_Vic_Kalkee_Chickpea_DetailedTOS1VarietyCBA_CaptainWaterTrtRainFed"/>
        <s v="2024_Vic_Kalkee_Chickpea_DetailedTOS1VarietyStrikerWaterTrtRainFed"/>
        <s v="2024_Vic_Kalkee_Chickpea_DetailedTOS1VarietyDrummondWaterTrtIrrigated"/>
        <s v="2024_Vic_Kalkee_Chickpea_DetailedTOS1VarietyHatTrickWaterTrtIrrigated"/>
        <s v="2024_Vic_Kalkee_Chickpea_DetailedTOS1VarietyDrummondWaterTrtRainFed"/>
        <s v="2024_Vic_Kalkee_Chickpea_DetailedTOS1VarietyHatTrickWaterTrtRainFed"/>
        <s v="2024_Vic_Kalkee_Chickpea_DetailedTOS1VarietyStrikerWaterTrtIrrigated"/>
        <s v="2024_Vic_Kalkee_Chickpea_DetailedTOS1VarietyCBA_CaptainWaterTrtIrrigated"/>
        <s v="2024_Vic_Kalkee_Chickpea_DetailedTOS2VarietyCBA_CaptainWaterTrtIrrigated"/>
        <s v="2024_Vic_Kalkee_Chickpea_DetailedTOS2VarietyHatTrickWaterTrtIrrigated"/>
        <s v="2024_Vic_Kalkee_Chickpea_DetailedTOS2VarietyStrikerWaterTrtRainFed"/>
        <s v="2024_Vic_Kalkee_Chickpea_DetailedTOS2VarietyDrummondWaterTrtRainFed"/>
        <s v="2024_Vic_Kalkee_Chickpea_DetailedTOS2VarietyDrummondWaterTrtIrrigated"/>
        <s v="2024_Vic_Kalkee_Chickpea_DetailedTOS2VarietyStrikerWaterTrtIrrigated"/>
        <s v="2024_Vic_Kalkee_Chickpea_DetailedTOS2VarietyCBA_CaptainWaterTrtRainFed"/>
        <s v="2024_Vic_Kalkee_Chickpea_DetailedTOS2VarietyHatTrickWaterTrtRainFed"/>
        <s v="2024_Vic_Kalkee_Fababean_DetailedTOS1VarietySamiraWaterTrtRainFed"/>
        <s v="2024_Vic_Kalkee_Fababean_DetailedTOS1VarietyMarneWaterTrtRainFed"/>
        <s v="2024_Vic_Kalkee_Fababean_DetailedTOS1VarietyAmberleyWaterTrtIrrigated"/>
        <s v="2024_Vic_Kalkee_Fababean_DetailedTOS1VarietyNasmaWaterTrtIrrigated"/>
        <s v="2024_Vic_Kalkee_Fababean_DetailedTOS1VarietyAmberleyWaterTrtRainFed"/>
        <s v="2024_Vic_Kalkee_Fababean_DetailedTOS1VarietyNasmaWaterTrtRainFed"/>
        <s v="2024_Vic_Kalkee_Fababean_DetailedTOS1VarietyMarneWaterTrtIrrigated"/>
        <s v="2024_Vic_Kalkee_Fababean_DetailedTOS1VarietySamiraWaterTrtIrrigated"/>
        <s v="2024_Vic_Kalkee_Fababean_DetailedTOS2VarietySamiraWaterTrtRainFed"/>
        <s v="2024_Vic_Kalkee_Fababean_DetailedTOS2VarietyNasmaWaterTrtRainFed"/>
        <s v="2024_Vic_Kalkee_Fababean_DetailedTOS2VarietyAmberleyWaterTrtIrrigated"/>
        <s v="2024_Vic_Kalkee_Fababean_DetailedTOS2VarietyMarneWaterTrtIrrigated"/>
        <s v="2024_Vic_Kalkee_Fababean_DetailedTOS2VarietyAmberleyWaterTrtRainFed"/>
        <s v="2024_Vic_Kalkee_Fababean_DetailedTOS2VarietyMarneWaterTrtRainFed"/>
        <s v="2024_Vic_Kalkee_Fababean_DetailedTOS2VarietyNasmaWaterTrtIrrigated"/>
        <s v="2024_Vic_Kalkee_Fababean_DetailedTOS2VarietySamiraWaterTrtIrrigated"/>
        <s v="2024_WA_Bolgart_Chickpea_DetailedTOS2VarietyStrikerWaterTrtIrrigated"/>
        <s v="2024_WA_Bolgart_Chickpea_DetailedTOS2VarietyDrummondWaterTrtRainFed"/>
        <s v="2024_WA_Bolgart_Chickpea_DetailedTOS2VarietyDrummondWaterTrtIrrigated"/>
        <s v="2024_WA_Bolgart_Chickpea_DetailedTOS2VarietyCBA_CaptainWaterTrtRainFed"/>
        <s v="2024_WA_Bolgart_Chickpea_DetailedTOS2VarietyHatTrickWaterTrtIrrigated"/>
        <s v="2024_WA_Bolgart_Chickpea_DetailedTOS2VarietyStrikerWaterTrtRainFed"/>
        <s v="2024_WA_Bolgart_Chickpea_DetailedTOS2VarietyCBA_CaptainWaterTrtIrrigated"/>
        <s v="2024_WA_Bolgart_Chickpea_DetailedTOS2VarietyHatTrickWaterTrtRainFed"/>
        <s v="2024_WA_Bolgart_Chickpea_DetailedTOS1VarietyHatTrickWaterTrtIrrigated"/>
        <s v="2024_WA_Bolgart_Chickpea_DetailedTOS1VarietyDrummondWaterTrtRainFed"/>
        <s v="2024_WA_Bolgart_Chickpea_DetailedTOS1VarietyCBA_CaptainWaterTrtIrrigated"/>
        <s v="2024_WA_Bolgart_Chickpea_DetailedTOS1VarietyStrikerWaterTrtRainFed"/>
        <s v="2024_WA_Bolgart_Chickpea_DetailedTOS1VarietyDrummondWaterTrtIrrigated"/>
        <s v="2024_WA_Bolgart_Chickpea_DetailedTOS1VarietyHatTrickWaterTrtRainFed"/>
        <s v="2024_WA_Bolgart_Chickpea_DetailedTOS1VarietyStrikerWaterTrtIrrigated"/>
        <s v="2024_WA_Bolgart_Chickpea_DetailedTOS1VarietyCBA_CaptainWaterTrtRainFed"/>
        <s v="2024_NSW_Greenethorpe_Mixed_NFixTOS1VarietySamiraWaterTrtRainFedAgronomy125kgN"/>
        <s v="2024_NSW_Greenethorpe_Mixed_NFixTOS1VarietyNasmaWaterTrtRainFedAgronomy125kgN"/>
        <s v="2024_NSW_Greenethorpe_Mixed_NFixTOS1VarietyCanolaWaterTrtRainFedAgronomy125kgN"/>
        <s v="2024_NSW_Greenethorpe_Mixed_NFixTOS1VarietyBatemanWaterTrtRainFedAgronomy125kgN"/>
        <s v="2024_NSW_Greenethorpe_Mixed_NFixTOS1VarietyKelpieXTWaterTrtRainFedAgronomy350kgN"/>
        <s v="2024_NSW_Greenethorpe_Mixed_NFixTOS1VarietyJumbo2WaterTrtRainFedAgronomy350kgN"/>
        <s v="2024_NSW_Greenethorpe_Mixed_NFixTOS1VarietyStrikerWaterTrtRainFedAgronomy350kgN"/>
        <s v="2024_NSW_Greenethorpe_Mixed_NFixTOS1VarietyCBA_CaptainWaterTrtRainFedAgronomy350kgN"/>
        <s v="2024_NSW_Greenethorpe_Mixed_NFixTOS1VarietyStrikerWaterTrtRainFedAgronomy50kgN"/>
        <s v="2024_NSW_Greenethorpe_Mixed_NFixTOS1VarietyCBA_CaptainWaterTrtRainFedAgronomy50kgN"/>
        <s v="2024_NSW_Greenethorpe_Mixed_NFixTOS1VarietyNasmaWaterTrtRainFedAgronomy50kgN"/>
        <s v="2024_NSW_Greenethorpe_Mixed_NFixTOS1VarietySamiraWaterTrtRainFedAgronomy50kgN"/>
        <s v="2024_NSW_Greenethorpe_Mixed_NFixTOS1VarietyCanolaWaterTrtRainFedAgronomy175kgN"/>
        <s v="2024_NSW_Greenethorpe_Mixed_NFixTOS1VarietyBatemanWaterTrtRainFedAgronomy175kgN"/>
        <s v="2024_NSW_Greenethorpe_Mixed_NFixTOS1VarietyJumbo2WaterTrtRainFedAgronomy175kgN"/>
        <s v="2024_NSW_Greenethorpe_Mixed_NFixTOS1VarietyKelpieXTWaterTrtRainFedAgronomy175kgN"/>
        <s v="2024_NSW_Greenethorpe_Mixed_NFixTOS1VarietyStrikerWaterTrtRainFedAgronomy175kgN"/>
        <s v="2024_NSW_Greenethorpe_Mixed_NFixTOS1VarietyCBA_CaptainWaterTrtRainFedAgronomy175kgN"/>
        <s v="2024_NSW_Greenethorpe_Mixed_NFixTOS1VarietyNasmaWaterTrtRainFedAgronomy175kgN"/>
        <s v="2024_NSW_Greenethorpe_Mixed_NFixTOS1VarietySamiraWaterTrtRainFedAgronomy175kgN"/>
        <s v="2024_NSW_Greenethorpe_Mixed_NFixTOS1VarietyBatemanWaterTrtRainFedAgronomy50kgN"/>
        <s v="2024_NSW_Greenethorpe_Mixed_NFixTOS1VarietyCanolaWaterTrtRainFedAgronomy50kgN"/>
        <s v="2024_NSW_Greenethorpe_Mixed_NFixTOS1VarietyJumbo2WaterTrtRainFedAgronomy50kgN"/>
        <s v="2024_NSW_Greenethorpe_Mixed_NFixTOS1VarietyKelpieXTWaterTrtRainFedAgronomy50kgN"/>
        <s v="2024_NSW_Greenethorpe_Mixed_NFixTOS1VarietySamiraWaterTrtRainFedAgronomy350kgN"/>
        <s v="2024_NSW_Greenethorpe_Mixed_NFixTOS1VarietyNasmaWaterTrtRainFedAgronomy350kgN"/>
        <s v="2024_NSW_Greenethorpe_Mixed_NFixTOS1VarietyBatemanWaterTrtRainFedAgronomy350kgN"/>
        <s v="2024_NSW_Greenethorpe_Mixed_NFixTOS1VarietyCanolaWaterTrtRainFedAgronomy350kgN"/>
        <s v="2024_NSW_Greenethorpe_Mixed_NFixTOS1VarietyKelpieXTWaterTrtRainFedAgronomy125kgN"/>
        <s v="2024_NSW_Greenethorpe_Mixed_NFixTOS1VarietyJumbo2WaterTrtRainFedAgronomy125kgN"/>
        <s v="2024_NSW_Greenethorpe_Mixed_NFixTOS1VarietyCBA_CaptainWaterTrtRainFedAgronomy125kgN"/>
        <s v="2024_NSW_Greenethorpe_Mixed_NFixTOS1VarietyStrikerWaterTrtRainFedAgronomy125kgN"/>
        <s v="2024_SA_Warnertown_Fababean_SatelliteTOS1VarietyMarneWaterTrtRainFedAgronomyDensity_0.66"/>
        <s v="2024_SA_Warnertown_Fababean_SatelliteTOS1VarietyAmberleyWaterTrtRainFedAgronomyDensity_0.66"/>
        <s v="2024_SA_Warnertown_Fababean_SatelliteTOS1VarietyNasmaWaterTrtRainFedAgronomyDensity_1"/>
        <s v="2024_SA_Warnertown_Fababean_SatelliteTOS1VarietySamiraWaterTrtRainFedAgronomyDensity_1"/>
        <s v="2024_SA_Warnertown_Fababean_SatelliteTOS1VarietyMarneWaterTrtRainFedAgronomyDensity_1"/>
        <s v="2024_SA_Warnertown_Fababean_SatelliteTOS1VarietyAmberleyWaterTrtRainFedAgronomyDensity_1"/>
        <s v="2024_SA_Warnertown_Fababean_SatelliteTOS2VarietySamiraWaterTrtRainFedAgronomyDensity_1"/>
        <s v="2024_SA_Warnertown_Fababean_SatelliteTOS2VarietyAmberleyWaterTrtRainFedAgronomyDensity_0.66"/>
        <s v="2024_SA_Warnertown_Fababean_SatelliteTOS2VarietyMarneWaterTrtRainFedAgronomyDensity_1"/>
        <s v="2024_SA_Warnertown_Fababean_SatelliteTOS2VarietyMarneWaterTrtRainFedAgronomyDensity_0.66"/>
        <s v="2024_SA_Warnertown_Fababean_SatelliteTOS2VarietyNasmaWaterTrtRainFedAgronomyDensity_1"/>
        <s v="2024_SA_Warnertown_Fababean_SatelliteTOS2VarietyAmberleyWaterTrtRainFedAgronomyDensity_1"/>
        <s v="2024_SA_Warnertown_Lentil_SatelliteTOS2VarietyJumbo2WaterTrtRainFedAgronomyDensity_0.66"/>
        <s v="2024_SA_Warnertown_Lentil_SatelliteTOS2VarietyBoltWaterTrtRainFedAgronomyDensity_1"/>
        <s v="2024_SA_Warnertown_Lentil_SatelliteTOS2VarietyBoltWaterTrtRainFedAgronomyDensity_0.66"/>
        <s v="2024_SA_Warnertown_Lentil_SatelliteTOS2VarietyHallmarkXTWaterTrtRainFedAgronomyDensity_1"/>
        <s v="2024_SA_Warnertown_Lentil_SatelliteTOS2VarietyJumbo2WaterTrtRainFedAgronomyDensity_1"/>
        <s v="2024_SA_Warnertown_Lentil_SatelliteTOS2VarietyKelpieXTWaterTrtRainFedAgronomyDensity_1"/>
        <s v="2024_SA_Warnertown_Lentil_SatelliteTOS1VarietyBoltWaterTrtRainFedAgronomyDensity_0.66"/>
        <s v="2024_SA_Warnertown_Lentil_SatelliteTOS1VarietyKelpieXTWaterTrtRainFedAgronomyDensity_1"/>
        <s v="2024_SA_Warnertown_Lentil_SatelliteTOS1VarietyJumbo2WaterTrtRainFedAgronomyDensity_1"/>
        <s v="2024_SA_Warnertown_Lentil_SatelliteTOS1VarietyBoltWaterTrtRainFedAgronomyDensity_1"/>
        <s v="2024_SA_Warnertown_Lentil_SatelliteTOS1VarietyHallmarkXTWaterTrtRainFedAgronomyDensity_1"/>
        <s v="2024_SA_Warnertown_Lentil_SatelliteTOS1VarietyJumbo2WaterTrtRainFedAgronomyDensity_0.66"/>
        <s v="2024_Vic_Douglas_Fababean_SatelliteTOS1VarietySamiraWaterTrtRainFed"/>
        <s v="2024_Vic_Douglas_Fababean_SatelliteTOS1VarietyMarneWaterTrtRainFed"/>
        <s v="2024_Vic_Douglas_Fababean_SatelliteTOS1VarietyAmberleyWaterTrtRainFed"/>
        <s v="2024_Vic_Douglas_Fababean_SatelliteTOS1VarietyNasmaWaterTrtRainFed"/>
        <s v="2024_Vic_Douglas_Fababean_SatelliteTOS2VarietyAmberleyWaterTrtRainFed"/>
        <s v="2024_Vic_Douglas_Fababean_SatelliteTOS2VarietySamiraWaterTrtRainFed"/>
        <s v="2024_Vic_Douglas_Fababean_SatelliteTOS2VarietyNasmaWaterTrtRainFed"/>
        <s v="2024_Vic_Douglas_Fababean_SatelliteTOS2VarietyMarneWaterTrtRainFed"/>
        <s v="2024_Vic_Walpeup_Lentil_SatelliteTOS1VarietyJumbo2WaterTrtRainFed"/>
        <s v="2024_Vic_Walpeup_Lentil_SatelliteTOS1VarietyHallmarkXTWaterTrtRainFed"/>
        <s v="2024_Vic_Walpeup_Lentil_SatelliteTOS1VarietyKelpieXTWaterTrtRainFed"/>
        <s v="2024_Vic_Walpeup_Lentil_SatelliteTOS1VarietyBoltWaterTrtRainFed"/>
        <s v="2024_Vic_Walpeup_Lentil_SatelliteTOS2VarietyBoltWaterTrtRainFed"/>
        <s v="2024_Vic_Walpeup_Lentil_SatelliteTOS2VarietyKelpieXTWaterTrtRainFed"/>
        <s v="2024_Vic_Walpeup_Lentil_SatelliteTOS2VarietyJumbo2WaterTrtRainFed"/>
        <s v="2024_Vic_Walpeup_Lentil_SatelliteTOS2VarietyHallmarkXTWaterTrtRainFed"/>
      </sharedItems>
    </cacheField>
    <cacheField name="ExpNo" numFmtId="0">
      <sharedItems containsSemiMixedTypes="0" containsString="0" containsNumber="1" containsInteger="1" minValue="2019002" maxValue="2024045"/>
    </cacheField>
    <cacheField name="Experiments::SiteKey" numFmtId="49">
      <sharedItems count="46">
        <s v="2019_NSW_Greenethorpe_Mixed_Detailed"/>
        <s v="2022_Qld_Gatton_Chickpea_Detailed"/>
        <s v="2022_Vic_Kalkee_Chickpea_Detailed"/>
        <s v="2022_NSW_WaggaWagga_Chickpea_Detailed"/>
        <s v="2022_SA_Riverton_Fababean_Detailed"/>
        <s v="2022_Vic_Kalkee_Lentil_Detailed"/>
        <s v="2022_SA_Riverton_Lentil_Detailed"/>
        <s v="2022_NSW_WaggaWagga_Lentil_Detailed"/>
        <s v="2022_WA_Deepdale_Chickpea_Satellite"/>
        <s v="2022_Qld_Emerald_Chickpea_Satellite"/>
        <s v="2022_NSW_Greenethorpe_Chickpea_Satellite"/>
        <s v="2022_Vic_Ouyen_Chickpea_Satellite"/>
        <s v="2022_NSW_RankinsSprings_Chickpea_Satellite"/>
        <s v="2022_Qld_Warra_Chickpea_Satellite"/>
        <s v="2022_SA_Warnertown_Fababean_Satellite"/>
        <s v="2022_NSW_Methul_Lentil_Satellite"/>
        <s v="2022_Vic_Ouyen_Lentil_Satellite"/>
        <s v="2022_NSW_RankinsSprings_Lentil_Satellite"/>
        <s v="2022_SA_Warnertown_Lentil_Satellite"/>
        <s v="2022_Qld_Gatton_Chickpea_Rainout"/>
        <s v="2023_NSW_WaggaWagga_Fababean_Detailed"/>
        <s v="2023_NSW_WaggaWagga_Lupin_Detailed"/>
        <s v="2023_Qld_Gatton_Chickpea_Detailed"/>
        <s v="2023_SA_Pinery_Fababean_Detailed"/>
        <s v="2023_SA_Pinery_Lentil_Detailed"/>
        <s v="2023_Vic_Dooen_Chickpea_Detailed"/>
        <s v="2023_Vic_Dooen_Lentil_Detailed"/>
        <s v="2023_WA_Northam_Chickpea_Detailed"/>
        <s v="2023_NSW_RankinsSprings_Fababean_Satellite"/>
        <s v="2023_NSW_RankinsSprings_Lupin_Satellite"/>
        <s v="2023_Qld_Emerald_Chickpea_Satellite"/>
        <s v="2023_Qld_Warra_Chickpea_Satellite"/>
        <s v="2023_SA_Warnertown_Fababean_Satellite"/>
        <s v="2023_SA_Warnertown_Lentil_Satellite"/>
        <s v="2023_Vic_Ouyen_Chickpea_Satellite"/>
        <s v="2023_Vic_Ouyen_Lentil_Satellite"/>
        <s v="2023_Qld_Gatton_Mixed_Light"/>
        <s v="2024_Qld_Gatton_Chickpea_Detailed"/>
        <s v="2024_Vic_Kalkee_Chickpea_Detailed"/>
        <s v="2024_Vic_Kalkee_Fababean_Detailed"/>
        <s v="2024_WA_Bolgart_Chickpea_Detailed"/>
        <s v="2024_NSW_Greenethorpe_Mixed_NFix"/>
        <s v="2024_SA_Warnertown_Fababean_Satellite"/>
        <s v="2024_SA_Warnertown_Lentil_Satellite"/>
        <s v="2024_Vic_Douglas_Fababean_Satellite"/>
        <s v="2024_Vic_Walpeup_Lentil_Satellite"/>
      </sharedItems>
    </cacheField>
    <cacheField name="Experiments::CropType" numFmtId="49">
      <sharedItems/>
    </cacheField>
    <cacheField name="MixedCropType" numFmtId="0">
      <sharedItems containsBlank="1"/>
    </cacheField>
    <cacheField name="Variety" numFmtId="49">
      <sharedItems count="34">
        <s v="Ace"/>
        <s v="Jumbo2"/>
        <s v="Blitz"/>
        <s v="HatTrick"/>
        <s v="Striker"/>
        <s v="Slasher"/>
        <s v="Genesis_090"/>
        <s v="Monarch"/>
        <s v="CBA_Captain"/>
        <s v="Drummond"/>
        <s v="Samira"/>
        <s v="Marne"/>
        <s v="Amberley"/>
        <s v="Nasma"/>
        <s v="Bolt"/>
        <s v="KelpieXT"/>
        <s v="HallmarkXT"/>
        <s v="D11006_13F3HRMT4PR0004"/>
        <s v="D12014_14F3TMWR2AB001"/>
        <s v="Magnus"/>
        <s v="Boundary"/>
        <s v="Greenfield"/>
        <s v="GIA_Leader"/>
        <s v="GIA_Lightning"/>
        <s v="Seamer"/>
        <s v="Wonga"/>
        <s v="Jurien"/>
        <s v="Bateman"/>
        <s v="Mandelup"/>
        <s v="Nanu"/>
        <s v="Ayla"/>
        <s v="Gunyidi"/>
        <s v="Jindalee"/>
        <s v="Canola"/>
      </sharedItems>
    </cacheField>
    <cacheField name="Sentinel" numFmtId="49">
      <sharedItems/>
    </cacheField>
    <cacheField name="PlotType" numFmtId="0">
      <sharedItems containsBlank="1" count="3">
        <m/>
        <s v="D"/>
        <s v="ND"/>
      </sharedItems>
    </cacheField>
    <cacheField name="PlotNo" numFmtId="0">
      <sharedItems containsSemiMixedTypes="0" containsString="0" containsNumber="1" containsInteger="1" minValue="1" maxValue="254"/>
    </cacheField>
    <cacheField name="PairPlotNo" numFmtId="0">
      <sharedItems containsSemiMixedTypes="0" containsString="0" containsNumber="1" containsInteger="1" minValue="1" maxValue="254"/>
    </cacheField>
    <cacheField name="RepNo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BlockNo" numFmtId="0">
      <sharedItems containsString="0" containsBlank="1" containsNumber="1" containsInteger="1" minValue="1" maxValue="4"/>
    </cacheField>
    <cacheField name="NBlockNo" numFmtId="0">
      <sharedItems containsString="0" containsBlank="1" containsNumber="1" containsInteger="1" minValue="1" maxValue="16"/>
    </cacheField>
    <cacheField name="CropBlockNo" numFmtId="0">
      <sharedItems containsString="0" containsBlank="1" containsNumber="1" containsInteger="1" minValue="1" maxValue="8"/>
    </cacheField>
    <cacheField name="MainPlotNo" numFmtId="0">
      <sharedItems containsString="0" containsBlank="1" containsNumber="1" containsInteger="1" minValue="1" maxValue="64"/>
    </cacheField>
    <cacheField name="SubPlotNo" numFmtId="0">
      <sharedItems containsString="0" containsBlank="1" containsNumber="1" containsInteger="1" minValue="1" maxValue="32"/>
    </cacheField>
    <cacheField name="SubSubPlotNo" numFmtId="0">
      <sharedItems containsString="0" containsBlank="1" containsNumber="1" containsInteger="1" minValue="1" maxValue="64"/>
    </cacheField>
    <cacheField name="IrrigationBlockNo" numFmtId="0">
      <sharedItems containsString="0" containsBlank="1" containsNumber="1" containsInteger="1" minValue="1" maxValue="4"/>
    </cacheField>
    <cacheField name="PlotPosition" numFmtId="0">
      <sharedItems containsBlank="1"/>
    </cacheField>
    <cacheField name="DuplicateNo" numFmtId="0">
      <sharedItems containsString="0" containsBlank="1" containsNumber="1" containsInteger="1" minValue="1" maxValue="2"/>
    </cacheField>
    <cacheField name="FieldColNo" numFmtId="0">
      <sharedItems containsString="0" containsBlank="1" containsNumber="1" containsInteger="1" minValue="1" maxValue="22"/>
    </cacheField>
    <cacheField name="FieldRowNo" numFmtId="0">
      <sharedItems containsString="0" containsBlank="1" containsNumber="1" containsInteger="1" minValue="1" maxValue="98"/>
    </cacheField>
    <cacheField name="ExpColNo" numFmtId="0">
      <sharedItems containsSemiMixedTypes="0" containsString="0" containsNumber="1" containsInteger="1" minValue="1" maxValue="18" count="1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7"/>
        <n v="18"/>
        <n v="16"/>
      </sharedItems>
    </cacheField>
    <cacheField name="ExpRowNo" numFmtId="0">
      <sharedItems containsSemiMixedTypes="0" containsString="0" containsNumber="1" containsInteger="1" minValue="1" maxValue="32"/>
    </cacheField>
    <cacheField name="NSoilConcentration" numFmtId="0">
      <sharedItems containsString="0" containsBlank="1" containsNumber="1" containsInteger="1" minValue="50" maxValue="350"/>
    </cacheField>
    <cacheField name="WalkingOrderNo" numFmtId="0">
      <sharedItems containsString="0" containsBlank="1" containsNumber="1" containsInteger="1" minValue="1" maxValue="254"/>
    </cacheField>
    <cacheField name="WaterTrt" numFmtId="49">
      <sharedItems count="5">
        <s v="RainFed"/>
        <s v="Irrigated"/>
        <s v="Fully_Irrigated"/>
        <s v="Semi_Dry"/>
        <s v="Dry"/>
      </sharedItems>
    </cacheField>
    <cacheField name="DesignTrt" numFmtId="0">
      <sharedItems containsString="0" containsBlank="1" containsNumber="1" containsInteger="1" minValue="1" maxValue="12"/>
    </cacheField>
    <cacheField name="AgronomyTrt" numFmtId="0">
      <sharedItems containsBlank="1" count="9">
        <m/>
        <s v="Density_0.66"/>
        <s v="Density_1"/>
        <s v="16_hr"/>
        <s v="Natural"/>
        <s v="125kgN"/>
        <s v="350kgN"/>
        <s v="50kgN"/>
        <s v="175kgN"/>
      </sharedItems>
    </cacheField>
    <cacheField name="LightTrt" numFmtId="0">
      <sharedItems containsBlank="1"/>
    </cacheField>
    <cacheField name="SiteSide" numFmtId="0">
      <sharedItems containsBlank="1"/>
    </cacheField>
    <cacheField name="RowSpacing_cm" numFmtId="0">
      <sharedItems containsString="0" containsBlank="1" containsNumber="1" minValue="22" maxValue="50"/>
    </cacheField>
    <cacheField name="TOS" numFmtId="0">
      <sharedItems containsSemiMixedTypes="0" containsString="0" containsNumber="1" containsInteger="1" minValue="1" maxValue="4" count="4">
        <n v="3"/>
        <n v="1"/>
        <n v="2"/>
        <n v="4"/>
      </sharedItems>
    </cacheField>
    <cacheField name="TOSDate" numFmtId="49">
      <sharedItems/>
    </cacheField>
    <cacheField name="TOSDateJw" numFmtId="166">
      <sharedItems containsSemiMixedTypes="0" containsNonDate="0" containsDate="1" containsString="0" minDate="2019-04-30T00:00:00" maxDate="2024-07-05T00:00:00"/>
    </cacheField>
    <cacheField name="BarcodeCalc" numFmtId="49">
      <sharedItems/>
    </cacheField>
    <cacheField name="Crop" numFmtId="49">
      <sharedItems count="7">
        <s v="Lentil"/>
        <s v="Desi"/>
        <s v="Kabuli"/>
        <s v="Chickpea"/>
        <s v="Fababean"/>
        <s v="Lupin"/>
        <s v="Canol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98">
  <r>
    <x v="0"/>
    <n v="2019002"/>
    <x v="0"/>
    <s v="Mixed"/>
    <s v="Lentil"/>
    <x v="0"/>
    <s v="N"/>
    <x v="0"/>
    <n v="1"/>
    <n v="1"/>
    <x v="0"/>
    <m/>
    <m/>
    <m/>
    <n v="1"/>
    <n v="1"/>
    <m/>
    <m/>
    <m/>
    <m/>
    <m/>
    <m/>
    <x v="0"/>
    <n v="1"/>
    <m/>
    <n v="1"/>
    <x v="0"/>
    <m/>
    <x v="0"/>
    <m/>
    <m/>
    <m/>
    <x v="0"/>
    <s v="11/06/2019"/>
    <d v="2019-06-11T00:00:00"/>
    <s v="2019002-1"/>
    <x v="0"/>
  </r>
  <r>
    <x v="1"/>
    <n v="2019002"/>
    <x v="0"/>
    <s v="Mixed"/>
    <s v="Lentil"/>
    <x v="1"/>
    <s v="Y"/>
    <x v="0"/>
    <n v="2"/>
    <n v="2"/>
    <x v="0"/>
    <m/>
    <m/>
    <m/>
    <n v="1"/>
    <n v="1"/>
    <m/>
    <m/>
    <m/>
    <m/>
    <m/>
    <m/>
    <x v="1"/>
    <n v="1"/>
    <m/>
    <n v="2"/>
    <x v="0"/>
    <m/>
    <x v="0"/>
    <m/>
    <m/>
    <m/>
    <x v="0"/>
    <s v="11/06/2019"/>
    <d v="2019-06-11T00:00:00"/>
    <s v="2019002-2"/>
    <x v="0"/>
  </r>
  <r>
    <x v="2"/>
    <n v="2019002"/>
    <x v="0"/>
    <s v="Mixed"/>
    <s v="Lentil"/>
    <x v="2"/>
    <s v="N"/>
    <x v="0"/>
    <n v="3"/>
    <n v="3"/>
    <x v="0"/>
    <m/>
    <m/>
    <m/>
    <n v="1"/>
    <n v="1"/>
    <m/>
    <m/>
    <m/>
    <m/>
    <m/>
    <m/>
    <x v="2"/>
    <n v="1"/>
    <m/>
    <n v="3"/>
    <x v="0"/>
    <m/>
    <x v="0"/>
    <m/>
    <m/>
    <m/>
    <x v="0"/>
    <s v="11/06/2019"/>
    <d v="2019-06-11T00:00:00"/>
    <s v="2019002-3"/>
    <x v="0"/>
  </r>
  <r>
    <x v="1"/>
    <n v="2019002"/>
    <x v="0"/>
    <s v="Mixed"/>
    <s v="Lentil"/>
    <x v="1"/>
    <s v="Y"/>
    <x v="0"/>
    <n v="4"/>
    <n v="4"/>
    <x v="0"/>
    <m/>
    <m/>
    <m/>
    <n v="1"/>
    <n v="1"/>
    <m/>
    <m/>
    <m/>
    <m/>
    <m/>
    <m/>
    <x v="3"/>
    <n v="1"/>
    <m/>
    <n v="4"/>
    <x v="0"/>
    <m/>
    <x v="0"/>
    <m/>
    <m/>
    <m/>
    <x v="0"/>
    <s v="11/06/2019"/>
    <d v="2019-06-11T00:00:00"/>
    <s v="2019002-4"/>
    <x v="0"/>
  </r>
  <r>
    <x v="3"/>
    <n v="2019002"/>
    <x v="0"/>
    <s v="Mixed"/>
    <s v="Lentil"/>
    <x v="1"/>
    <s v="Y"/>
    <x v="0"/>
    <n v="5"/>
    <n v="5"/>
    <x v="0"/>
    <m/>
    <m/>
    <m/>
    <n v="1"/>
    <n v="2"/>
    <m/>
    <m/>
    <m/>
    <m/>
    <m/>
    <m/>
    <x v="4"/>
    <n v="1"/>
    <m/>
    <n v="5"/>
    <x v="0"/>
    <m/>
    <x v="0"/>
    <m/>
    <m/>
    <m/>
    <x v="1"/>
    <s v="30/04/2019"/>
    <d v="2019-04-30T00:00:00"/>
    <s v="2019002-5"/>
    <x v="0"/>
  </r>
  <r>
    <x v="4"/>
    <n v="2019002"/>
    <x v="0"/>
    <s v="Mixed"/>
    <s v="Lentil"/>
    <x v="2"/>
    <s v="N"/>
    <x v="0"/>
    <n v="6"/>
    <n v="6"/>
    <x v="0"/>
    <m/>
    <m/>
    <m/>
    <n v="1"/>
    <n v="2"/>
    <m/>
    <m/>
    <m/>
    <m/>
    <m/>
    <m/>
    <x v="5"/>
    <n v="1"/>
    <m/>
    <n v="6"/>
    <x v="0"/>
    <m/>
    <x v="0"/>
    <m/>
    <m/>
    <m/>
    <x v="1"/>
    <s v="30/04/2019"/>
    <d v="2019-04-30T00:00:00"/>
    <s v="2019002-6"/>
    <x v="0"/>
  </r>
  <r>
    <x v="3"/>
    <n v="2019002"/>
    <x v="0"/>
    <s v="Mixed"/>
    <s v="Lentil"/>
    <x v="1"/>
    <s v="Y"/>
    <x v="0"/>
    <n v="7"/>
    <n v="7"/>
    <x v="0"/>
    <m/>
    <m/>
    <m/>
    <n v="1"/>
    <n v="2"/>
    <m/>
    <m/>
    <m/>
    <m/>
    <m/>
    <m/>
    <x v="6"/>
    <n v="1"/>
    <m/>
    <n v="7"/>
    <x v="0"/>
    <m/>
    <x v="0"/>
    <m/>
    <m/>
    <m/>
    <x v="1"/>
    <s v="30/04/2019"/>
    <d v="2019-04-30T00:00:00"/>
    <s v="2019002-7"/>
    <x v="0"/>
  </r>
  <r>
    <x v="5"/>
    <n v="2019002"/>
    <x v="0"/>
    <s v="Mixed"/>
    <s v="Lentil"/>
    <x v="0"/>
    <s v="N"/>
    <x v="0"/>
    <n v="8"/>
    <n v="8"/>
    <x v="0"/>
    <m/>
    <m/>
    <m/>
    <n v="1"/>
    <n v="2"/>
    <m/>
    <m/>
    <m/>
    <m/>
    <m/>
    <m/>
    <x v="7"/>
    <n v="1"/>
    <m/>
    <n v="8"/>
    <x v="0"/>
    <m/>
    <x v="0"/>
    <m/>
    <m/>
    <m/>
    <x v="1"/>
    <s v="30/04/2019"/>
    <d v="2019-04-30T00:00:00"/>
    <s v="2019002-8"/>
    <x v="0"/>
  </r>
  <r>
    <x v="6"/>
    <n v="2019002"/>
    <x v="0"/>
    <s v="Mixed"/>
    <s v="Lentil"/>
    <x v="1"/>
    <s v="Y"/>
    <x v="0"/>
    <n v="9"/>
    <n v="9"/>
    <x v="0"/>
    <m/>
    <m/>
    <m/>
    <n v="1"/>
    <n v="3"/>
    <m/>
    <m/>
    <m/>
    <m/>
    <m/>
    <m/>
    <x v="8"/>
    <n v="1"/>
    <m/>
    <n v="9"/>
    <x v="0"/>
    <m/>
    <x v="0"/>
    <m/>
    <m/>
    <m/>
    <x v="2"/>
    <s v="21/05/2019"/>
    <d v="2019-05-21T00:00:00"/>
    <s v="2019002-9"/>
    <x v="0"/>
  </r>
  <r>
    <x v="7"/>
    <n v="2019002"/>
    <x v="0"/>
    <s v="Mixed"/>
    <s v="Lentil"/>
    <x v="2"/>
    <s v="N"/>
    <x v="0"/>
    <n v="10"/>
    <n v="10"/>
    <x v="0"/>
    <m/>
    <m/>
    <m/>
    <n v="1"/>
    <n v="3"/>
    <m/>
    <m/>
    <m/>
    <m/>
    <m/>
    <m/>
    <x v="9"/>
    <n v="1"/>
    <m/>
    <n v="10"/>
    <x v="0"/>
    <m/>
    <x v="0"/>
    <m/>
    <m/>
    <m/>
    <x v="2"/>
    <s v="21/05/2019"/>
    <d v="2019-05-21T00:00:00"/>
    <s v="2019002-10"/>
    <x v="0"/>
  </r>
  <r>
    <x v="6"/>
    <n v="2019002"/>
    <x v="0"/>
    <s v="Mixed"/>
    <s v="Lentil"/>
    <x v="1"/>
    <s v="Y"/>
    <x v="0"/>
    <n v="11"/>
    <n v="11"/>
    <x v="0"/>
    <m/>
    <m/>
    <m/>
    <n v="1"/>
    <n v="3"/>
    <m/>
    <m/>
    <m/>
    <m/>
    <m/>
    <m/>
    <x v="10"/>
    <n v="1"/>
    <m/>
    <n v="11"/>
    <x v="0"/>
    <m/>
    <x v="0"/>
    <m/>
    <m/>
    <m/>
    <x v="2"/>
    <s v="21/05/2019"/>
    <d v="2019-05-21T00:00:00"/>
    <s v="2019002-11"/>
    <x v="0"/>
  </r>
  <r>
    <x v="8"/>
    <n v="2019002"/>
    <x v="0"/>
    <s v="Mixed"/>
    <s v="Lentil"/>
    <x v="0"/>
    <s v="N"/>
    <x v="0"/>
    <n v="12"/>
    <n v="12"/>
    <x v="0"/>
    <m/>
    <m/>
    <m/>
    <n v="1"/>
    <n v="3"/>
    <m/>
    <m/>
    <m/>
    <m/>
    <m/>
    <m/>
    <x v="11"/>
    <n v="1"/>
    <m/>
    <n v="12"/>
    <x v="0"/>
    <m/>
    <x v="0"/>
    <m/>
    <m/>
    <m/>
    <x v="2"/>
    <s v="21/05/2019"/>
    <d v="2019-05-21T00:00:00"/>
    <s v="2019002-12"/>
    <x v="0"/>
  </r>
  <r>
    <x v="9"/>
    <n v="2019002"/>
    <x v="0"/>
    <s v="Mixed"/>
    <s v="Lentil"/>
    <x v="2"/>
    <s v="N"/>
    <x v="0"/>
    <n v="13"/>
    <n v="13"/>
    <x v="0"/>
    <m/>
    <m/>
    <m/>
    <n v="2"/>
    <n v="4"/>
    <m/>
    <m/>
    <m/>
    <m/>
    <m/>
    <m/>
    <x v="0"/>
    <n v="2"/>
    <m/>
    <n v="24"/>
    <x v="1"/>
    <m/>
    <x v="0"/>
    <m/>
    <m/>
    <m/>
    <x v="1"/>
    <s v="30/04/2019"/>
    <d v="2019-04-30T00:00:00"/>
    <s v="2019002-13"/>
    <x v="0"/>
  </r>
  <r>
    <x v="10"/>
    <n v="2019002"/>
    <x v="0"/>
    <s v="Mixed"/>
    <s v="Lentil"/>
    <x v="1"/>
    <s v="Y"/>
    <x v="0"/>
    <n v="14"/>
    <n v="14"/>
    <x v="0"/>
    <m/>
    <m/>
    <m/>
    <n v="2"/>
    <n v="4"/>
    <m/>
    <m/>
    <m/>
    <m/>
    <m/>
    <m/>
    <x v="1"/>
    <n v="2"/>
    <m/>
    <n v="23"/>
    <x v="1"/>
    <m/>
    <x v="0"/>
    <m/>
    <m/>
    <m/>
    <x v="1"/>
    <s v="30/04/2019"/>
    <d v="2019-04-30T00:00:00"/>
    <s v="2019002-14"/>
    <x v="0"/>
  </r>
  <r>
    <x v="11"/>
    <n v="2019002"/>
    <x v="0"/>
    <s v="Mixed"/>
    <s v="Lentil"/>
    <x v="0"/>
    <s v="N"/>
    <x v="0"/>
    <n v="15"/>
    <n v="15"/>
    <x v="0"/>
    <m/>
    <m/>
    <m/>
    <n v="2"/>
    <n v="4"/>
    <m/>
    <m/>
    <m/>
    <m/>
    <m/>
    <m/>
    <x v="2"/>
    <n v="2"/>
    <m/>
    <n v="22"/>
    <x v="1"/>
    <m/>
    <x v="0"/>
    <m/>
    <m/>
    <m/>
    <x v="1"/>
    <s v="30/04/2019"/>
    <d v="2019-04-30T00:00:00"/>
    <s v="2019002-15"/>
    <x v="0"/>
  </r>
  <r>
    <x v="10"/>
    <n v="2019002"/>
    <x v="0"/>
    <s v="Mixed"/>
    <s v="Lentil"/>
    <x v="1"/>
    <s v="Y"/>
    <x v="0"/>
    <n v="16"/>
    <n v="16"/>
    <x v="0"/>
    <m/>
    <m/>
    <m/>
    <n v="2"/>
    <n v="4"/>
    <m/>
    <m/>
    <m/>
    <m/>
    <m/>
    <m/>
    <x v="3"/>
    <n v="2"/>
    <m/>
    <n v="21"/>
    <x v="1"/>
    <m/>
    <x v="0"/>
    <m/>
    <m/>
    <m/>
    <x v="1"/>
    <s v="30/04/2019"/>
    <d v="2019-04-30T00:00:00"/>
    <s v="2019002-16"/>
    <x v="0"/>
  </r>
  <r>
    <x v="12"/>
    <n v="2019002"/>
    <x v="0"/>
    <s v="Mixed"/>
    <s v="Lentil"/>
    <x v="2"/>
    <s v="N"/>
    <x v="0"/>
    <n v="17"/>
    <n v="17"/>
    <x v="0"/>
    <m/>
    <m/>
    <m/>
    <n v="2"/>
    <n v="5"/>
    <m/>
    <m/>
    <m/>
    <m/>
    <m/>
    <m/>
    <x v="4"/>
    <n v="2"/>
    <m/>
    <n v="20"/>
    <x v="1"/>
    <m/>
    <x v="0"/>
    <m/>
    <m/>
    <m/>
    <x v="2"/>
    <s v="21/05/2019"/>
    <d v="2019-05-21T00:00:00"/>
    <s v="2019002-17"/>
    <x v="0"/>
  </r>
  <r>
    <x v="13"/>
    <n v="2019002"/>
    <x v="0"/>
    <s v="Mixed"/>
    <s v="Lentil"/>
    <x v="1"/>
    <s v="Y"/>
    <x v="0"/>
    <n v="18"/>
    <n v="18"/>
    <x v="0"/>
    <m/>
    <m/>
    <m/>
    <n v="2"/>
    <n v="5"/>
    <m/>
    <m/>
    <m/>
    <m/>
    <m/>
    <m/>
    <x v="5"/>
    <n v="2"/>
    <m/>
    <n v="19"/>
    <x v="1"/>
    <m/>
    <x v="0"/>
    <m/>
    <m/>
    <m/>
    <x v="2"/>
    <s v="21/05/2019"/>
    <d v="2019-05-21T00:00:00"/>
    <s v="2019002-18"/>
    <x v="0"/>
  </r>
  <r>
    <x v="14"/>
    <n v="2019002"/>
    <x v="0"/>
    <s v="Mixed"/>
    <s v="Lentil"/>
    <x v="0"/>
    <s v="N"/>
    <x v="0"/>
    <n v="19"/>
    <n v="19"/>
    <x v="0"/>
    <m/>
    <m/>
    <m/>
    <n v="2"/>
    <n v="5"/>
    <m/>
    <m/>
    <m/>
    <m/>
    <m/>
    <m/>
    <x v="6"/>
    <n v="2"/>
    <m/>
    <n v="18"/>
    <x v="1"/>
    <m/>
    <x v="0"/>
    <m/>
    <m/>
    <m/>
    <x v="2"/>
    <s v="21/05/2019"/>
    <d v="2019-05-21T00:00:00"/>
    <s v="2019002-19"/>
    <x v="0"/>
  </r>
  <r>
    <x v="13"/>
    <n v="2019002"/>
    <x v="0"/>
    <s v="Mixed"/>
    <s v="Lentil"/>
    <x v="1"/>
    <s v="Y"/>
    <x v="0"/>
    <n v="20"/>
    <n v="20"/>
    <x v="0"/>
    <m/>
    <m/>
    <m/>
    <n v="2"/>
    <n v="5"/>
    <m/>
    <m/>
    <m/>
    <m/>
    <m/>
    <m/>
    <x v="7"/>
    <n v="2"/>
    <m/>
    <n v="17"/>
    <x v="1"/>
    <m/>
    <x v="0"/>
    <m/>
    <m/>
    <m/>
    <x v="2"/>
    <s v="21/05/2019"/>
    <d v="2019-05-21T00:00:00"/>
    <s v="2019002-20"/>
    <x v="0"/>
  </r>
  <r>
    <x v="15"/>
    <n v="2019002"/>
    <x v="0"/>
    <s v="Mixed"/>
    <s v="Lentil"/>
    <x v="2"/>
    <s v="N"/>
    <x v="0"/>
    <n v="21"/>
    <n v="21"/>
    <x v="0"/>
    <m/>
    <m/>
    <m/>
    <n v="2"/>
    <n v="6"/>
    <m/>
    <m/>
    <m/>
    <m/>
    <m/>
    <m/>
    <x v="8"/>
    <n v="2"/>
    <m/>
    <n v="16"/>
    <x v="1"/>
    <m/>
    <x v="0"/>
    <m/>
    <m/>
    <m/>
    <x v="0"/>
    <s v="11/06/2019"/>
    <d v="2019-06-11T00:00:00"/>
    <s v="2019002-21"/>
    <x v="0"/>
  </r>
  <r>
    <x v="16"/>
    <n v="2019002"/>
    <x v="0"/>
    <s v="Mixed"/>
    <s v="Lentil"/>
    <x v="1"/>
    <s v="Y"/>
    <x v="0"/>
    <n v="22"/>
    <n v="22"/>
    <x v="0"/>
    <m/>
    <m/>
    <m/>
    <n v="2"/>
    <n v="6"/>
    <m/>
    <m/>
    <m/>
    <m/>
    <m/>
    <m/>
    <x v="9"/>
    <n v="2"/>
    <m/>
    <n v="15"/>
    <x v="1"/>
    <m/>
    <x v="0"/>
    <m/>
    <m/>
    <m/>
    <x v="0"/>
    <s v="11/06/2019"/>
    <d v="2019-06-11T00:00:00"/>
    <s v="2019002-22"/>
    <x v="0"/>
  </r>
  <r>
    <x v="17"/>
    <n v="2019002"/>
    <x v="0"/>
    <s v="Mixed"/>
    <s v="Lentil"/>
    <x v="0"/>
    <s v="N"/>
    <x v="0"/>
    <n v="23"/>
    <n v="23"/>
    <x v="0"/>
    <m/>
    <m/>
    <m/>
    <n v="2"/>
    <n v="6"/>
    <m/>
    <m/>
    <m/>
    <m/>
    <m/>
    <m/>
    <x v="10"/>
    <n v="2"/>
    <m/>
    <n v="14"/>
    <x v="1"/>
    <m/>
    <x v="0"/>
    <m/>
    <m/>
    <m/>
    <x v="0"/>
    <s v="11/06/2019"/>
    <d v="2019-06-11T00:00:00"/>
    <s v="2019002-23"/>
    <x v="0"/>
  </r>
  <r>
    <x v="16"/>
    <n v="2019002"/>
    <x v="0"/>
    <s v="Mixed"/>
    <s v="Lentil"/>
    <x v="1"/>
    <s v="Y"/>
    <x v="0"/>
    <n v="24"/>
    <n v="24"/>
    <x v="0"/>
    <m/>
    <m/>
    <m/>
    <n v="2"/>
    <n v="6"/>
    <m/>
    <m/>
    <m/>
    <m/>
    <m/>
    <m/>
    <x v="11"/>
    <n v="2"/>
    <m/>
    <n v="13"/>
    <x v="1"/>
    <m/>
    <x v="0"/>
    <m/>
    <m/>
    <m/>
    <x v="0"/>
    <s v="11/06/2019"/>
    <d v="2019-06-11T00:00:00"/>
    <s v="2019002-24"/>
    <x v="0"/>
  </r>
  <r>
    <x v="6"/>
    <n v="2019002"/>
    <x v="0"/>
    <s v="Mixed"/>
    <s v="Lentil"/>
    <x v="1"/>
    <s v="Y"/>
    <x v="0"/>
    <n v="25"/>
    <n v="25"/>
    <x v="1"/>
    <m/>
    <m/>
    <m/>
    <n v="3"/>
    <n v="7"/>
    <m/>
    <m/>
    <m/>
    <m/>
    <m/>
    <m/>
    <x v="0"/>
    <n v="3"/>
    <m/>
    <n v="25"/>
    <x v="0"/>
    <m/>
    <x v="0"/>
    <m/>
    <m/>
    <m/>
    <x v="2"/>
    <s v="21/05/2019"/>
    <d v="2019-05-21T00:00:00"/>
    <s v="2019002-25"/>
    <x v="0"/>
  </r>
  <r>
    <x v="8"/>
    <n v="2019002"/>
    <x v="0"/>
    <s v="Mixed"/>
    <s v="Lentil"/>
    <x v="0"/>
    <s v="N"/>
    <x v="0"/>
    <n v="26"/>
    <n v="26"/>
    <x v="1"/>
    <m/>
    <m/>
    <m/>
    <n v="3"/>
    <n v="7"/>
    <m/>
    <m/>
    <m/>
    <m/>
    <m/>
    <m/>
    <x v="1"/>
    <n v="3"/>
    <m/>
    <n v="26"/>
    <x v="0"/>
    <m/>
    <x v="0"/>
    <m/>
    <m/>
    <m/>
    <x v="2"/>
    <s v="21/05/2019"/>
    <d v="2019-05-21T00:00:00"/>
    <s v="2019002-26"/>
    <x v="0"/>
  </r>
  <r>
    <x v="6"/>
    <n v="2019002"/>
    <x v="0"/>
    <s v="Mixed"/>
    <s v="Lentil"/>
    <x v="1"/>
    <s v="Y"/>
    <x v="0"/>
    <n v="27"/>
    <n v="27"/>
    <x v="1"/>
    <m/>
    <m/>
    <m/>
    <n v="3"/>
    <n v="7"/>
    <m/>
    <m/>
    <m/>
    <m/>
    <m/>
    <m/>
    <x v="2"/>
    <n v="3"/>
    <m/>
    <n v="27"/>
    <x v="0"/>
    <m/>
    <x v="0"/>
    <m/>
    <m/>
    <m/>
    <x v="2"/>
    <s v="21/05/2019"/>
    <d v="2019-05-21T00:00:00"/>
    <s v="2019002-27"/>
    <x v="0"/>
  </r>
  <r>
    <x v="7"/>
    <n v="2019002"/>
    <x v="0"/>
    <s v="Mixed"/>
    <s v="Lentil"/>
    <x v="2"/>
    <s v="N"/>
    <x v="0"/>
    <n v="28"/>
    <n v="28"/>
    <x v="1"/>
    <m/>
    <m/>
    <m/>
    <n v="3"/>
    <n v="7"/>
    <m/>
    <m/>
    <m/>
    <m/>
    <m/>
    <m/>
    <x v="3"/>
    <n v="3"/>
    <m/>
    <n v="28"/>
    <x v="0"/>
    <m/>
    <x v="0"/>
    <m/>
    <m/>
    <m/>
    <x v="2"/>
    <s v="21/05/2019"/>
    <d v="2019-05-21T00:00:00"/>
    <s v="2019002-28"/>
    <x v="0"/>
  </r>
  <r>
    <x v="1"/>
    <n v="2019002"/>
    <x v="0"/>
    <s v="Mixed"/>
    <s v="Lentil"/>
    <x v="1"/>
    <s v="Y"/>
    <x v="0"/>
    <n v="29"/>
    <n v="29"/>
    <x v="1"/>
    <m/>
    <m/>
    <m/>
    <n v="3"/>
    <n v="8"/>
    <m/>
    <m/>
    <m/>
    <m/>
    <m/>
    <m/>
    <x v="4"/>
    <n v="3"/>
    <m/>
    <n v="29"/>
    <x v="0"/>
    <m/>
    <x v="0"/>
    <m/>
    <m/>
    <m/>
    <x v="0"/>
    <s v="11/06/2019"/>
    <d v="2019-06-11T00:00:00"/>
    <s v="2019002-29"/>
    <x v="0"/>
  </r>
  <r>
    <x v="0"/>
    <n v="2019002"/>
    <x v="0"/>
    <s v="Mixed"/>
    <s v="Lentil"/>
    <x v="0"/>
    <s v="N"/>
    <x v="0"/>
    <n v="30"/>
    <n v="30"/>
    <x v="1"/>
    <m/>
    <m/>
    <m/>
    <n v="3"/>
    <n v="8"/>
    <m/>
    <m/>
    <m/>
    <m/>
    <m/>
    <m/>
    <x v="5"/>
    <n v="3"/>
    <m/>
    <n v="30"/>
    <x v="0"/>
    <m/>
    <x v="0"/>
    <m/>
    <m/>
    <m/>
    <x v="0"/>
    <s v="11/06/2019"/>
    <d v="2019-06-11T00:00:00"/>
    <s v="2019002-30"/>
    <x v="0"/>
  </r>
  <r>
    <x v="1"/>
    <n v="2019002"/>
    <x v="0"/>
    <s v="Mixed"/>
    <s v="Lentil"/>
    <x v="1"/>
    <s v="Y"/>
    <x v="0"/>
    <n v="31"/>
    <n v="31"/>
    <x v="1"/>
    <m/>
    <m/>
    <m/>
    <n v="3"/>
    <n v="8"/>
    <m/>
    <m/>
    <m/>
    <m/>
    <m/>
    <m/>
    <x v="6"/>
    <n v="3"/>
    <m/>
    <n v="31"/>
    <x v="0"/>
    <m/>
    <x v="0"/>
    <m/>
    <m/>
    <m/>
    <x v="0"/>
    <s v="11/06/2019"/>
    <d v="2019-06-11T00:00:00"/>
    <s v="2019002-31"/>
    <x v="0"/>
  </r>
  <r>
    <x v="2"/>
    <n v="2019002"/>
    <x v="0"/>
    <s v="Mixed"/>
    <s v="Lentil"/>
    <x v="2"/>
    <s v="N"/>
    <x v="0"/>
    <n v="32"/>
    <n v="32"/>
    <x v="1"/>
    <m/>
    <m/>
    <m/>
    <n v="3"/>
    <n v="8"/>
    <m/>
    <m/>
    <m/>
    <m/>
    <m/>
    <m/>
    <x v="7"/>
    <n v="3"/>
    <m/>
    <n v="32"/>
    <x v="0"/>
    <m/>
    <x v="0"/>
    <m/>
    <m/>
    <m/>
    <x v="0"/>
    <s v="11/06/2019"/>
    <d v="2019-06-11T00:00:00"/>
    <s v="2019002-32"/>
    <x v="0"/>
  </r>
  <r>
    <x v="5"/>
    <n v="2019002"/>
    <x v="0"/>
    <s v="Mixed"/>
    <s v="Lentil"/>
    <x v="0"/>
    <s v="N"/>
    <x v="0"/>
    <n v="33"/>
    <n v="33"/>
    <x v="1"/>
    <m/>
    <m/>
    <m/>
    <n v="3"/>
    <n v="9"/>
    <m/>
    <m/>
    <m/>
    <m/>
    <m/>
    <m/>
    <x v="8"/>
    <n v="3"/>
    <m/>
    <n v="33"/>
    <x v="0"/>
    <m/>
    <x v="0"/>
    <m/>
    <m/>
    <m/>
    <x v="1"/>
    <s v="30/04/2019"/>
    <d v="2019-04-30T00:00:00"/>
    <s v="2019002-33"/>
    <x v="0"/>
  </r>
  <r>
    <x v="3"/>
    <n v="2019002"/>
    <x v="0"/>
    <s v="Mixed"/>
    <s v="Lentil"/>
    <x v="1"/>
    <s v="Y"/>
    <x v="0"/>
    <n v="34"/>
    <n v="34"/>
    <x v="1"/>
    <m/>
    <m/>
    <m/>
    <n v="3"/>
    <n v="9"/>
    <m/>
    <m/>
    <m/>
    <m/>
    <m/>
    <m/>
    <x v="9"/>
    <n v="3"/>
    <m/>
    <n v="34"/>
    <x v="0"/>
    <m/>
    <x v="0"/>
    <m/>
    <m/>
    <m/>
    <x v="1"/>
    <s v="30/04/2019"/>
    <d v="2019-04-30T00:00:00"/>
    <s v="2019002-34"/>
    <x v="0"/>
  </r>
  <r>
    <x v="4"/>
    <n v="2019002"/>
    <x v="0"/>
    <s v="Mixed"/>
    <s v="Lentil"/>
    <x v="2"/>
    <s v="N"/>
    <x v="0"/>
    <n v="35"/>
    <n v="35"/>
    <x v="1"/>
    <m/>
    <m/>
    <m/>
    <n v="3"/>
    <n v="9"/>
    <m/>
    <m/>
    <m/>
    <m/>
    <m/>
    <m/>
    <x v="10"/>
    <n v="3"/>
    <m/>
    <n v="35"/>
    <x v="0"/>
    <m/>
    <x v="0"/>
    <m/>
    <m/>
    <m/>
    <x v="1"/>
    <s v="30/04/2019"/>
    <d v="2019-04-30T00:00:00"/>
    <s v="2019002-35"/>
    <x v="0"/>
  </r>
  <r>
    <x v="3"/>
    <n v="2019002"/>
    <x v="0"/>
    <s v="Mixed"/>
    <s v="Lentil"/>
    <x v="1"/>
    <s v="Y"/>
    <x v="0"/>
    <n v="36"/>
    <n v="36"/>
    <x v="1"/>
    <m/>
    <m/>
    <m/>
    <n v="3"/>
    <n v="9"/>
    <m/>
    <m/>
    <m/>
    <m/>
    <m/>
    <m/>
    <x v="11"/>
    <n v="3"/>
    <m/>
    <n v="36"/>
    <x v="0"/>
    <m/>
    <x v="0"/>
    <m/>
    <m/>
    <m/>
    <x v="1"/>
    <s v="30/04/2019"/>
    <d v="2019-04-30T00:00:00"/>
    <s v="2019002-36"/>
    <x v="0"/>
  </r>
  <r>
    <x v="10"/>
    <n v="2019002"/>
    <x v="0"/>
    <s v="Mixed"/>
    <s v="Lentil"/>
    <x v="1"/>
    <s v="Y"/>
    <x v="0"/>
    <n v="37"/>
    <n v="37"/>
    <x v="1"/>
    <m/>
    <m/>
    <m/>
    <n v="4"/>
    <n v="10"/>
    <m/>
    <m/>
    <m/>
    <m/>
    <m/>
    <m/>
    <x v="0"/>
    <n v="4"/>
    <m/>
    <n v="48"/>
    <x v="1"/>
    <m/>
    <x v="0"/>
    <m/>
    <m/>
    <m/>
    <x v="1"/>
    <s v="30/04/2019"/>
    <d v="2019-04-30T00:00:00"/>
    <s v="2019002-37"/>
    <x v="0"/>
  </r>
  <r>
    <x v="9"/>
    <n v="2019002"/>
    <x v="0"/>
    <s v="Mixed"/>
    <s v="Lentil"/>
    <x v="2"/>
    <s v="N"/>
    <x v="0"/>
    <n v="38"/>
    <n v="38"/>
    <x v="1"/>
    <m/>
    <m/>
    <m/>
    <n v="4"/>
    <n v="10"/>
    <m/>
    <m/>
    <m/>
    <m/>
    <m/>
    <m/>
    <x v="1"/>
    <n v="4"/>
    <m/>
    <n v="47"/>
    <x v="1"/>
    <m/>
    <x v="0"/>
    <m/>
    <m/>
    <m/>
    <x v="1"/>
    <s v="30/04/2019"/>
    <d v="2019-04-30T00:00:00"/>
    <s v="2019002-38"/>
    <x v="0"/>
  </r>
  <r>
    <x v="10"/>
    <n v="2019002"/>
    <x v="0"/>
    <s v="Mixed"/>
    <s v="Lentil"/>
    <x v="1"/>
    <s v="Y"/>
    <x v="0"/>
    <n v="39"/>
    <n v="39"/>
    <x v="1"/>
    <m/>
    <m/>
    <m/>
    <n v="4"/>
    <n v="10"/>
    <m/>
    <m/>
    <m/>
    <m/>
    <m/>
    <m/>
    <x v="2"/>
    <n v="4"/>
    <m/>
    <n v="46"/>
    <x v="1"/>
    <m/>
    <x v="0"/>
    <m/>
    <m/>
    <m/>
    <x v="1"/>
    <s v="30/04/2019"/>
    <d v="2019-04-30T00:00:00"/>
    <s v="2019002-39"/>
    <x v="0"/>
  </r>
  <r>
    <x v="11"/>
    <n v="2019002"/>
    <x v="0"/>
    <s v="Mixed"/>
    <s v="Lentil"/>
    <x v="0"/>
    <s v="N"/>
    <x v="0"/>
    <n v="40"/>
    <n v="40"/>
    <x v="1"/>
    <m/>
    <m/>
    <m/>
    <n v="4"/>
    <n v="10"/>
    <m/>
    <m/>
    <m/>
    <m/>
    <m/>
    <m/>
    <x v="3"/>
    <n v="4"/>
    <m/>
    <n v="45"/>
    <x v="1"/>
    <m/>
    <x v="0"/>
    <m/>
    <m/>
    <m/>
    <x v="1"/>
    <s v="30/04/2019"/>
    <d v="2019-04-30T00:00:00"/>
    <s v="2019002-40"/>
    <x v="0"/>
  </r>
  <r>
    <x v="14"/>
    <n v="2019002"/>
    <x v="0"/>
    <s v="Mixed"/>
    <s v="Lentil"/>
    <x v="0"/>
    <s v="N"/>
    <x v="0"/>
    <n v="41"/>
    <n v="41"/>
    <x v="1"/>
    <m/>
    <m/>
    <m/>
    <n v="4"/>
    <n v="11"/>
    <m/>
    <m/>
    <m/>
    <m/>
    <m/>
    <m/>
    <x v="4"/>
    <n v="4"/>
    <m/>
    <n v="44"/>
    <x v="1"/>
    <m/>
    <x v="0"/>
    <m/>
    <m/>
    <m/>
    <x v="2"/>
    <s v="21/05/2019"/>
    <d v="2019-05-21T00:00:00"/>
    <s v="2019002-41"/>
    <x v="0"/>
  </r>
  <r>
    <x v="13"/>
    <n v="2019002"/>
    <x v="0"/>
    <s v="Mixed"/>
    <s v="Lentil"/>
    <x v="1"/>
    <s v="Y"/>
    <x v="0"/>
    <n v="42"/>
    <n v="42"/>
    <x v="1"/>
    <m/>
    <m/>
    <m/>
    <n v="4"/>
    <n v="11"/>
    <m/>
    <m/>
    <m/>
    <m/>
    <m/>
    <m/>
    <x v="5"/>
    <n v="4"/>
    <m/>
    <n v="43"/>
    <x v="1"/>
    <m/>
    <x v="0"/>
    <m/>
    <m/>
    <m/>
    <x v="2"/>
    <s v="21/05/2019"/>
    <d v="2019-05-21T00:00:00"/>
    <s v="2019002-42"/>
    <x v="0"/>
  </r>
  <r>
    <x v="12"/>
    <n v="2019002"/>
    <x v="0"/>
    <s v="Mixed"/>
    <s v="Lentil"/>
    <x v="2"/>
    <s v="N"/>
    <x v="0"/>
    <n v="43"/>
    <n v="43"/>
    <x v="1"/>
    <m/>
    <m/>
    <m/>
    <n v="4"/>
    <n v="11"/>
    <m/>
    <m/>
    <m/>
    <m/>
    <m/>
    <m/>
    <x v="6"/>
    <n v="4"/>
    <m/>
    <n v="42"/>
    <x v="1"/>
    <m/>
    <x v="0"/>
    <m/>
    <m/>
    <m/>
    <x v="2"/>
    <s v="21/05/2019"/>
    <d v="2019-05-21T00:00:00"/>
    <s v="2019002-43"/>
    <x v="0"/>
  </r>
  <r>
    <x v="13"/>
    <n v="2019002"/>
    <x v="0"/>
    <s v="Mixed"/>
    <s v="Lentil"/>
    <x v="1"/>
    <s v="Y"/>
    <x v="0"/>
    <n v="44"/>
    <n v="44"/>
    <x v="1"/>
    <m/>
    <m/>
    <m/>
    <n v="4"/>
    <n v="11"/>
    <m/>
    <m/>
    <m/>
    <m/>
    <m/>
    <m/>
    <x v="7"/>
    <n v="4"/>
    <m/>
    <n v="41"/>
    <x v="1"/>
    <m/>
    <x v="0"/>
    <m/>
    <m/>
    <m/>
    <x v="2"/>
    <s v="21/05/2019"/>
    <d v="2019-05-21T00:00:00"/>
    <s v="2019002-44"/>
    <x v="0"/>
  </r>
  <r>
    <x v="16"/>
    <n v="2019002"/>
    <x v="0"/>
    <s v="Mixed"/>
    <s v="Lentil"/>
    <x v="1"/>
    <s v="Y"/>
    <x v="0"/>
    <n v="45"/>
    <n v="45"/>
    <x v="1"/>
    <m/>
    <m/>
    <m/>
    <n v="4"/>
    <n v="12"/>
    <m/>
    <m/>
    <m/>
    <m/>
    <m/>
    <m/>
    <x v="8"/>
    <n v="4"/>
    <m/>
    <n v="40"/>
    <x v="1"/>
    <m/>
    <x v="0"/>
    <m/>
    <m/>
    <m/>
    <x v="0"/>
    <s v="11/06/2019"/>
    <d v="2019-06-11T00:00:00"/>
    <s v="2019002-45"/>
    <x v="0"/>
  </r>
  <r>
    <x v="17"/>
    <n v="2019002"/>
    <x v="0"/>
    <s v="Mixed"/>
    <s v="Lentil"/>
    <x v="0"/>
    <s v="N"/>
    <x v="0"/>
    <n v="46"/>
    <n v="46"/>
    <x v="1"/>
    <m/>
    <m/>
    <m/>
    <n v="4"/>
    <n v="12"/>
    <m/>
    <m/>
    <m/>
    <m/>
    <m/>
    <m/>
    <x v="9"/>
    <n v="4"/>
    <m/>
    <n v="39"/>
    <x v="1"/>
    <m/>
    <x v="0"/>
    <m/>
    <m/>
    <m/>
    <x v="0"/>
    <s v="11/06/2019"/>
    <d v="2019-06-11T00:00:00"/>
    <s v="2019002-46"/>
    <x v="0"/>
  </r>
  <r>
    <x v="16"/>
    <n v="2019002"/>
    <x v="0"/>
    <s v="Mixed"/>
    <s v="Lentil"/>
    <x v="1"/>
    <s v="Y"/>
    <x v="0"/>
    <n v="47"/>
    <n v="47"/>
    <x v="1"/>
    <m/>
    <m/>
    <m/>
    <n v="4"/>
    <n v="12"/>
    <m/>
    <m/>
    <m/>
    <m/>
    <m/>
    <m/>
    <x v="10"/>
    <n v="4"/>
    <m/>
    <n v="38"/>
    <x v="1"/>
    <m/>
    <x v="0"/>
    <m/>
    <m/>
    <m/>
    <x v="0"/>
    <s v="11/06/2019"/>
    <d v="2019-06-11T00:00:00"/>
    <s v="2019002-47"/>
    <x v="0"/>
  </r>
  <r>
    <x v="15"/>
    <n v="2019002"/>
    <x v="0"/>
    <s v="Mixed"/>
    <s v="Lentil"/>
    <x v="2"/>
    <s v="N"/>
    <x v="0"/>
    <n v="48"/>
    <n v="48"/>
    <x v="1"/>
    <m/>
    <m/>
    <m/>
    <n v="4"/>
    <n v="12"/>
    <m/>
    <m/>
    <m/>
    <m/>
    <m/>
    <m/>
    <x v="11"/>
    <n v="4"/>
    <m/>
    <n v="37"/>
    <x v="1"/>
    <m/>
    <x v="0"/>
    <m/>
    <m/>
    <m/>
    <x v="0"/>
    <s v="11/06/2019"/>
    <d v="2019-06-11T00:00:00"/>
    <s v="2019002-48"/>
    <x v="0"/>
  </r>
  <r>
    <x v="16"/>
    <n v="2019002"/>
    <x v="0"/>
    <s v="Mixed"/>
    <s v="Lentil"/>
    <x v="1"/>
    <s v="Y"/>
    <x v="0"/>
    <n v="49"/>
    <n v="49"/>
    <x v="2"/>
    <m/>
    <m/>
    <m/>
    <n v="5"/>
    <n v="13"/>
    <m/>
    <m/>
    <m/>
    <m/>
    <m/>
    <m/>
    <x v="0"/>
    <n v="5"/>
    <m/>
    <n v="49"/>
    <x v="1"/>
    <m/>
    <x v="0"/>
    <m/>
    <m/>
    <m/>
    <x v="0"/>
    <s v="11/06/2019"/>
    <d v="2019-06-11T00:00:00"/>
    <s v="2019002-49"/>
    <x v="0"/>
  </r>
  <r>
    <x v="16"/>
    <n v="2019002"/>
    <x v="0"/>
    <s v="Mixed"/>
    <s v="Lentil"/>
    <x v="1"/>
    <s v="Y"/>
    <x v="0"/>
    <n v="50"/>
    <n v="50"/>
    <x v="2"/>
    <m/>
    <m/>
    <m/>
    <n v="5"/>
    <n v="13"/>
    <m/>
    <m/>
    <m/>
    <m/>
    <m/>
    <m/>
    <x v="1"/>
    <n v="5"/>
    <m/>
    <n v="50"/>
    <x v="1"/>
    <m/>
    <x v="0"/>
    <m/>
    <m/>
    <m/>
    <x v="0"/>
    <s v="11/06/2019"/>
    <d v="2019-06-11T00:00:00"/>
    <s v="2019002-50"/>
    <x v="0"/>
  </r>
  <r>
    <x v="17"/>
    <n v="2019002"/>
    <x v="0"/>
    <s v="Mixed"/>
    <s v="Lentil"/>
    <x v="0"/>
    <s v="N"/>
    <x v="0"/>
    <n v="51"/>
    <n v="51"/>
    <x v="2"/>
    <m/>
    <m/>
    <m/>
    <n v="5"/>
    <n v="13"/>
    <m/>
    <m/>
    <m/>
    <m/>
    <m/>
    <m/>
    <x v="2"/>
    <n v="5"/>
    <m/>
    <n v="51"/>
    <x v="1"/>
    <m/>
    <x v="0"/>
    <m/>
    <m/>
    <m/>
    <x v="0"/>
    <s v="11/06/2019"/>
    <d v="2019-06-11T00:00:00"/>
    <s v="2019002-51"/>
    <x v="0"/>
  </r>
  <r>
    <x v="15"/>
    <n v="2019002"/>
    <x v="0"/>
    <s v="Mixed"/>
    <s v="Lentil"/>
    <x v="2"/>
    <s v="N"/>
    <x v="0"/>
    <n v="52"/>
    <n v="52"/>
    <x v="2"/>
    <m/>
    <m/>
    <m/>
    <n v="5"/>
    <n v="13"/>
    <m/>
    <m/>
    <m/>
    <m/>
    <m/>
    <m/>
    <x v="3"/>
    <n v="5"/>
    <m/>
    <n v="52"/>
    <x v="1"/>
    <m/>
    <x v="0"/>
    <m/>
    <m/>
    <m/>
    <x v="0"/>
    <s v="11/06/2019"/>
    <d v="2019-06-11T00:00:00"/>
    <s v="2019002-52"/>
    <x v="0"/>
  </r>
  <r>
    <x v="10"/>
    <n v="2019002"/>
    <x v="0"/>
    <s v="Mixed"/>
    <s v="Lentil"/>
    <x v="1"/>
    <s v="Y"/>
    <x v="0"/>
    <n v="53"/>
    <n v="53"/>
    <x v="2"/>
    <m/>
    <m/>
    <m/>
    <n v="5"/>
    <n v="14"/>
    <m/>
    <m/>
    <m/>
    <m/>
    <m/>
    <m/>
    <x v="4"/>
    <n v="5"/>
    <m/>
    <n v="53"/>
    <x v="1"/>
    <m/>
    <x v="0"/>
    <m/>
    <m/>
    <m/>
    <x v="1"/>
    <s v="30/04/2019"/>
    <d v="2019-04-30T00:00:00"/>
    <s v="2019002-53"/>
    <x v="0"/>
  </r>
  <r>
    <x v="10"/>
    <n v="2019002"/>
    <x v="0"/>
    <s v="Mixed"/>
    <s v="Lentil"/>
    <x v="1"/>
    <s v="Y"/>
    <x v="0"/>
    <n v="54"/>
    <n v="54"/>
    <x v="2"/>
    <m/>
    <m/>
    <m/>
    <n v="5"/>
    <n v="14"/>
    <m/>
    <m/>
    <m/>
    <m/>
    <m/>
    <m/>
    <x v="5"/>
    <n v="5"/>
    <m/>
    <n v="54"/>
    <x v="1"/>
    <m/>
    <x v="0"/>
    <m/>
    <m/>
    <m/>
    <x v="1"/>
    <s v="30/04/2019"/>
    <d v="2019-04-30T00:00:00"/>
    <s v="2019002-54"/>
    <x v="0"/>
  </r>
  <r>
    <x v="9"/>
    <n v="2019002"/>
    <x v="0"/>
    <s v="Mixed"/>
    <s v="Lentil"/>
    <x v="2"/>
    <s v="N"/>
    <x v="0"/>
    <n v="55"/>
    <n v="55"/>
    <x v="2"/>
    <m/>
    <m/>
    <m/>
    <n v="5"/>
    <n v="14"/>
    <m/>
    <m/>
    <m/>
    <m/>
    <m/>
    <m/>
    <x v="6"/>
    <n v="5"/>
    <m/>
    <n v="55"/>
    <x v="1"/>
    <m/>
    <x v="0"/>
    <m/>
    <m/>
    <m/>
    <x v="1"/>
    <s v="30/04/2019"/>
    <d v="2019-04-30T00:00:00"/>
    <s v="2019002-55"/>
    <x v="0"/>
  </r>
  <r>
    <x v="11"/>
    <n v="2019002"/>
    <x v="0"/>
    <s v="Mixed"/>
    <s v="Lentil"/>
    <x v="0"/>
    <s v="N"/>
    <x v="0"/>
    <n v="56"/>
    <n v="56"/>
    <x v="2"/>
    <m/>
    <m/>
    <m/>
    <n v="5"/>
    <n v="14"/>
    <m/>
    <m/>
    <m/>
    <m/>
    <m/>
    <m/>
    <x v="7"/>
    <n v="5"/>
    <m/>
    <n v="56"/>
    <x v="1"/>
    <m/>
    <x v="0"/>
    <m/>
    <m/>
    <m/>
    <x v="1"/>
    <s v="30/04/2019"/>
    <d v="2019-04-30T00:00:00"/>
    <s v="2019002-56"/>
    <x v="0"/>
  </r>
  <r>
    <x v="14"/>
    <n v="2019002"/>
    <x v="0"/>
    <s v="Mixed"/>
    <s v="Lentil"/>
    <x v="0"/>
    <s v="N"/>
    <x v="0"/>
    <n v="57"/>
    <n v="57"/>
    <x v="2"/>
    <m/>
    <m/>
    <m/>
    <n v="5"/>
    <n v="15"/>
    <m/>
    <m/>
    <m/>
    <m/>
    <m/>
    <m/>
    <x v="8"/>
    <n v="5"/>
    <m/>
    <n v="57"/>
    <x v="1"/>
    <m/>
    <x v="0"/>
    <m/>
    <m/>
    <m/>
    <x v="2"/>
    <s v="21/05/2019"/>
    <d v="2019-05-21T00:00:00"/>
    <s v="2019002-57"/>
    <x v="0"/>
  </r>
  <r>
    <x v="13"/>
    <n v="2019002"/>
    <x v="0"/>
    <s v="Mixed"/>
    <s v="Lentil"/>
    <x v="1"/>
    <s v="Y"/>
    <x v="0"/>
    <n v="58"/>
    <n v="58"/>
    <x v="2"/>
    <m/>
    <m/>
    <m/>
    <n v="5"/>
    <n v="15"/>
    <m/>
    <m/>
    <m/>
    <m/>
    <m/>
    <m/>
    <x v="9"/>
    <n v="5"/>
    <m/>
    <n v="58"/>
    <x v="1"/>
    <m/>
    <x v="0"/>
    <m/>
    <m/>
    <m/>
    <x v="2"/>
    <s v="21/05/2019"/>
    <d v="2019-05-21T00:00:00"/>
    <s v="2019002-58"/>
    <x v="0"/>
  </r>
  <r>
    <x v="13"/>
    <n v="2019002"/>
    <x v="0"/>
    <s v="Mixed"/>
    <s v="Lentil"/>
    <x v="1"/>
    <s v="Y"/>
    <x v="0"/>
    <n v="59"/>
    <n v="59"/>
    <x v="2"/>
    <m/>
    <m/>
    <m/>
    <n v="5"/>
    <n v="15"/>
    <m/>
    <m/>
    <m/>
    <m/>
    <m/>
    <m/>
    <x v="10"/>
    <n v="5"/>
    <m/>
    <n v="59"/>
    <x v="1"/>
    <m/>
    <x v="0"/>
    <m/>
    <m/>
    <m/>
    <x v="2"/>
    <s v="21/05/2019"/>
    <d v="2019-05-21T00:00:00"/>
    <s v="2019002-59"/>
    <x v="0"/>
  </r>
  <r>
    <x v="12"/>
    <n v="2019002"/>
    <x v="0"/>
    <s v="Mixed"/>
    <s v="Lentil"/>
    <x v="2"/>
    <s v="N"/>
    <x v="0"/>
    <n v="60"/>
    <n v="60"/>
    <x v="2"/>
    <m/>
    <m/>
    <m/>
    <n v="5"/>
    <n v="15"/>
    <m/>
    <m/>
    <m/>
    <m/>
    <m/>
    <m/>
    <x v="11"/>
    <n v="5"/>
    <m/>
    <n v="60"/>
    <x v="1"/>
    <m/>
    <x v="0"/>
    <m/>
    <m/>
    <m/>
    <x v="2"/>
    <s v="21/05/2019"/>
    <d v="2019-05-21T00:00:00"/>
    <s v="2019002-60"/>
    <x v="0"/>
  </r>
  <r>
    <x v="8"/>
    <n v="2019002"/>
    <x v="0"/>
    <s v="Mixed"/>
    <s v="Lentil"/>
    <x v="0"/>
    <s v="N"/>
    <x v="0"/>
    <n v="61"/>
    <n v="61"/>
    <x v="2"/>
    <m/>
    <m/>
    <m/>
    <n v="6"/>
    <n v="16"/>
    <m/>
    <m/>
    <m/>
    <m/>
    <m/>
    <m/>
    <x v="0"/>
    <n v="6"/>
    <m/>
    <n v="72"/>
    <x v="0"/>
    <m/>
    <x v="0"/>
    <m/>
    <m/>
    <m/>
    <x v="2"/>
    <s v="21/05/2019"/>
    <d v="2019-05-21T00:00:00"/>
    <s v="2019002-61"/>
    <x v="0"/>
  </r>
  <r>
    <x v="7"/>
    <n v="2019002"/>
    <x v="0"/>
    <s v="Mixed"/>
    <s v="Lentil"/>
    <x v="2"/>
    <s v="N"/>
    <x v="0"/>
    <n v="62"/>
    <n v="62"/>
    <x v="2"/>
    <m/>
    <m/>
    <m/>
    <n v="6"/>
    <n v="16"/>
    <m/>
    <m/>
    <m/>
    <m/>
    <m/>
    <m/>
    <x v="1"/>
    <n v="6"/>
    <m/>
    <n v="71"/>
    <x v="0"/>
    <m/>
    <x v="0"/>
    <m/>
    <m/>
    <m/>
    <x v="2"/>
    <s v="21/05/2019"/>
    <d v="2019-05-21T00:00:00"/>
    <s v="2019002-62"/>
    <x v="0"/>
  </r>
  <r>
    <x v="6"/>
    <n v="2019002"/>
    <x v="0"/>
    <s v="Mixed"/>
    <s v="Lentil"/>
    <x v="1"/>
    <s v="Y"/>
    <x v="0"/>
    <n v="63"/>
    <n v="63"/>
    <x v="2"/>
    <m/>
    <m/>
    <m/>
    <n v="6"/>
    <n v="16"/>
    <m/>
    <m/>
    <m/>
    <m/>
    <m/>
    <m/>
    <x v="2"/>
    <n v="6"/>
    <m/>
    <n v="70"/>
    <x v="0"/>
    <m/>
    <x v="0"/>
    <m/>
    <m/>
    <m/>
    <x v="2"/>
    <s v="21/05/2019"/>
    <d v="2019-05-21T00:00:00"/>
    <s v="2019002-63"/>
    <x v="0"/>
  </r>
  <r>
    <x v="6"/>
    <n v="2019002"/>
    <x v="0"/>
    <s v="Mixed"/>
    <s v="Lentil"/>
    <x v="1"/>
    <s v="Y"/>
    <x v="0"/>
    <n v="64"/>
    <n v="64"/>
    <x v="2"/>
    <m/>
    <m/>
    <m/>
    <n v="6"/>
    <n v="16"/>
    <m/>
    <m/>
    <m/>
    <m/>
    <m/>
    <m/>
    <x v="3"/>
    <n v="6"/>
    <m/>
    <n v="69"/>
    <x v="0"/>
    <m/>
    <x v="0"/>
    <m/>
    <m/>
    <m/>
    <x v="2"/>
    <s v="21/05/2019"/>
    <d v="2019-05-21T00:00:00"/>
    <s v="2019002-64"/>
    <x v="0"/>
  </r>
  <r>
    <x v="2"/>
    <n v="2019002"/>
    <x v="0"/>
    <s v="Mixed"/>
    <s v="Lentil"/>
    <x v="2"/>
    <s v="N"/>
    <x v="0"/>
    <n v="65"/>
    <n v="65"/>
    <x v="2"/>
    <m/>
    <m/>
    <m/>
    <n v="6"/>
    <n v="17"/>
    <m/>
    <m/>
    <m/>
    <m/>
    <m/>
    <m/>
    <x v="4"/>
    <n v="6"/>
    <m/>
    <n v="68"/>
    <x v="0"/>
    <m/>
    <x v="0"/>
    <m/>
    <m/>
    <m/>
    <x v="0"/>
    <s v="11/06/2019"/>
    <d v="2019-06-11T00:00:00"/>
    <s v="2019002-65"/>
    <x v="0"/>
  </r>
  <r>
    <x v="0"/>
    <n v="2019002"/>
    <x v="0"/>
    <s v="Mixed"/>
    <s v="Lentil"/>
    <x v="0"/>
    <s v="N"/>
    <x v="0"/>
    <n v="66"/>
    <n v="66"/>
    <x v="2"/>
    <m/>
    <m/>
    <m/>
    <n v="6"/>
    <n v="17"/>
    <m/>
    <m/>
    <m/>
    <m/>
    <m/>
    <m/>
    <x v="5"/>
    <n v="6"/>
    <m/>
    <n v="67"/>
    <x v="0"/>
    <m/>
    <x v="0"/>
    <m/>
    <m/>
    <m/>
    <x v="0"/>
    <s v="11/06/2019"/>
    <d v="2019-06-11T00:00:00"/>
    <s v="2019002-66"/>
    <x v="0"/>
  </r>
  <r>
    <x v="1"/>
    <n v="2019002"/>
    <x v="0"/>
    <s v="Mixed"/>
    <s v="Lentil"/>
    <x v="1"/>
    <s v="Y"/>
    <x v="0"/>
    <n v="67"/>
    <n v="67"/>
    <x v="2"/>
    <m/>
    <m/>
    <m/>
    <n v="6"/>
    <n v="17"/>
    <m/>
    <m/>
    <m/>
    <m/>
    <m/>
    <m/>
    <x v="6"/>
    <n v="6"/>
    <m/>
    <n v="66"/>
    <x v="0"/>
    <m/>
    <x v="0"/>
    <m/>
    <m/>
    <m/>
    <x v="0"/>
    <s v="11/06/2019"/>
    <d v="2019-06-11T00:00:00"/>
    <s v="2019002-67"/>
    <x v="0"/>
  </r>
  <r>
    <x v="1"/>
    <n v="2019002"/>
    <x v="0"/>
    <s v="Mixed"/>
    <s v="Lentil"/>
    <x v="1"/>
    <s v="Y"/>
    <x v="0"/>
    <n v="68"/>
    <n v="68"/>
    <x v="2"/>
    <m/>
    <m/>
    <m/>
    <n v="6"/>
    <n v="17"/>
    <m/>
    <m/>
    <m/>
    <m/>
    <m/>
    <m/>
    <x v="7"/>
    <n v="6"/>
    <m/>
    <n v="65"/>
    <x v="0"/>
    <m/>
    <x v="0"/>
    <m/>
    <m/>
    <m/>
    <x v="0"/>
    <s v="11/06/2019"/>
    <d v="2019-06-11T00:00:00"/>
    <s v="2019002-68"/>
    <x v="0"/>
  </r>
  <r>
    <x v="3"/>
    <n v="2019002"/>
    <x v="0"/>
    <s v="Mixed"/>
    <s v="Lentil"/>
    <x v="1"/>
    <s v="Y"/>
    <x v="0"/>
    <n v="69"/>
    <n v="69"/>
    <x v="2"/>
    <m/>
    <m/>
    <m/>
    <n v="6"/>
    <n v="18"/>
    <m/>
    <m/>
    <m/>
    <m/>
    <m/>
    <m/>
    <x v="8"/>
    <n v="6"/>
    <m/>
    <n v="64"/>
    <x v="0"/>
    <m/>
    <x v="0"/>
    <m/>
    <m/>
    <m/>
    <x v="1"/>
    <s v="30/04/2019"/>
    <d v="2019-04-30T00:00:00"/>
    <s v="2019002-69"/>
    <x v="0"/>
  </r>
  <r>
    <x v="5"/>
    <n v="2019002"/>
    <x v="0"/>
    <s v="Mixed"/>
    <s v="Lentil"/>
    <x v="0"/>
    <s v="N"/>
    <x v="0"/>
    <n v="70"/>
    <n v="70"/>
    <x v="2"/>
    <m/>
    <m/>
    <m/>
    <n v="6"/>
    <n v="18"/>
    <m/>
    <m/>
    <m/>
    <m/>
    <m/>
    <m/>
    <x v="9"/>
    <n v="6"/>
    <m/>
    <n v="63"/>
    <x v="0"/>
    <m/>
    <x v="0"/>
    <m/>
    <m/>
    <m/>
    <x v="1"/>
    <s v="30/04/2019"/>
    <d v="2019-04-30T00:00:00"/>
    <s v="2019002-70"/>
    <x v="0"/>
  </r>
  <r>
    <x v="4"/>
    <n v="2019002"/>
    <x v="0"/>
    <s v="Mixed"/>
    <s v="Lentil"/>
    <x v="2"/>
    <s v="N"/>
    <x v="0"/>
    <n v="71"/>
    <n v="71"/>
    <x v="2"/>
    <m/>
    <m/>
    <m/>
    <n v="6"/>
    <n v="18"/>
    <m/>
    <m/>
    <m/>
    <m/>
    <m/>
    <m/>
    <x v="10"/>
    <n v="6"/>
    <m/>
    <n v="62"/>
    <x v="0"/>
    <m/>
    <x v="0"/>
    <m/>
    <m/>
    <m/>
    <x v="1"/>
    <s v="30/04/2019"/>
    <d v="2019-04-30T00:00:00"/>
    <s v="2019002-71"/>
    <x v="0"/>
  </r>
  <r>
    <x v="3"/>
    <n v="2019002"/>
    <x v="0"/>
    <s v="Mixed"/>
    <s v="Lentil"/>
    <x v="1"/>
    <s v="Y"/>
    <x v="0"/>
    <n v="72"/>
    <n v="72"/>
    <x v="2"/>
    <m/>
    <m/>
    <m/>
    <n v="6"/>
    <n v="18"/>
    <m/>
    <m/>
    <m/>
    <m/>
    <m/>
    <m/>
    <x v="11"/>
    <n v="6"/>
    <m/>
    <n v="61"/>
    <x v="0"/>
    <m/>
    <x v="0"/>
    <m/>
    <m/>
    <m/>
    <x v="1"/>
    <s v="30/04/2019"/>
    <d v="2019-04-30T00:00:00"/>
    <s v="2019002-72"/>
    <x v="0"/>
  </r>
  <r>
    <x v="18"/>
    <n v="2019002"/>
    <x v="0"/>
    <s v="Mixed"/>
    <s v="Desi"/>
    <x v="3"/>
    <s v="N"/>
    <x v="0"/>
    <n v="101"/>
    <n v="101"/>
    <x v="0"/>
    <m/>
    <m/>
    <m/>
    <n v="1"/>
    <n v="1"/>
    <m/>
    <m/>
    <m/>
    <m/>
    <m/>
    <m/>
    <x v="0"/>
    <n v="1"/>
    <m/>
    <n v="101"/>
    <x v="0"/>
    <m/>
    <x v="0"/>
    <m/>
    <m/>
    <m/>
    <x v="1"/>
    <s v="30/04/2019"/>
    <d v="2019-04-30T00:00:00"/>
    <s v="2019002-101"/>
    <x v="1"/>
  </r>
  <r>
    <x v="19"/>
    <n v="2019002"/>
    <x v="0"/>
    <s v="Mixed"/>
    <s v="Desi"/>
    <x v="4"/>
    <s v="Y"/>
    <x v="0"/>
    <n v="102"/>
    <n v="102"/>
    <x v="0"/>
    <m/>
    <m/>
    <m/>
    <n v="1"/>
    <n v="1"/>
    <m/>
    <m/>
    <m/>
    <m/>
    <m/>
    <m/>
    <x v="1"/>
    <n v="1"/>
    <m/>
    <n v="102"/>
    <x v="0"/>
    <m/>
    <x v="0"/>
    <m/>
    <m/>
    <m/>
    <x v="1"/>
    <s v="30/04/2019"/>
    <d v="2019-04-30T00:00:00"/>
    <s v="2019002-102"/>
    <x v="1"/>
  </r>
  <r>
    <x v="18"/>
    <n v="2019002"/>
    <x v="0"/>
    <s v="Mixed"/>
    <s v="Desi"/>
    <x v="3"/>
    <s v="N"/>
    <x v="0"/>
    <n v="103"/>
    <n v="103"/>
    <x v="0"/>
    <m/>
    <m/>
    <m/>
    <n v="1"/>
    <n v="1"/>
    <m/>
    <m/>
    <m/>
    <m/>
    <m/>
    <m/>
    <x v="2"/>
    <n v="1"/>
    <m/>
    <n v="103"/>
    <x v="0"/>
    <m/>
    <x v="0"/>
    <m/>
    <m/>
    <m/>
    <x v="1"/>
    <s v="30/04/2019"/>
    <d v="2019-04-30T00:00:00"/>
    <s v="2019002-103"/>
    <x v="1"/>
  </r>
  <r>
    <x v="20"/>
    <n v="2019002"/>
    <x v="0"/>
    <s v="Mixed"/>
    <s v="Desi"/>
    <x v="5"/>
    <s v="N"/>
    <x v="0"/>
    <n v="104"/>
    <n v="104"/>
    <x v="0"/>
    <m/>
    <m/>
    <m/>
    <n v="1"/>
    <n v="1"/>
    <m/>
    <m/>
    <m/>
    <m/>
    <m/>
    <m/>
    <x v="3"/>
    <n v="1"/>
    <m/>
    <n v="104"/>
    <x v="0"/>
    <m/>
    <x v="0"/>
    <m/>
    <m/>
    <m/>
    <x v="1"/>
    <s v="30/04/2019"/>
    <d v="2019-04-30T00:00:00"/>
    <s v="2019002-104"/>
    <x v="1"/>
  </r>
  <r>
    <x v="21"/>
    <n v="2019002"/>
    <x v="0"/>
    <s v="Mixed"/>
    <s v="Desi"/>
    <x v="3"/>
    <s v="N"/>
    <x v="0"/>
    <n v="105"/>
    <n v="105"/>
    <x v="0"/>
    <m/>
    <m/>
    <m/>
    <n v="1"/>
    <n v="2"/>
    <m/>
    <m/>
    <m/>
    <m/>
    <m/>
    <m/>
    <x v="4"/>
    <n v="1"/>
    <m/>
    <n v="105"/>
    <x v="0"/>
    <m/>
    <x v="0"/>
    <m/>
    <m/>
    <m/>
    <x v="2"/>
    <s v="21/05/2019"/>
    <d v="2019-05-21T00:00:00"/>
    <s v="2019002-105"/>
    <x v="1"/>
  </r>
  <r>
    <x v="22"/>
    <n v="2019002"/>
    <x v="0"/>
    <s v="Mixed"/>
    <s v="Desi"/>
    <x v="4"/>
    <s v="Y"/>
    <x v="0"/>
    <n v="106"/>
    <n v="106"/>
    <x v="0"/>
    <m/>
    <m/>
    <m/>
    <n v="1"/>
    <n v="2"/>
    <m/>
    <m/>
    <m/>
    <m/>
    <m/>
    <m/>
    <x v="5"/>
    <n v="1"/>
    <m/>
    <n v="106"/>
    <x v="0"/>
    <m/>
    <x v="0"/>
    <m/>
    <m/>
    <m/>
    <x v="2"/>
    <s v="21/05/2019"/>
    <d v="2019-05-21T00:00:00"/>
    <s v="2019002-106"/>
    <x v="1"/>
  </r>
  <r>
    <x v="23"/>
    <n v="2019002"/>
    <x v="0"/>
    <s v="Mixed"/>
    <s v="Desi"/>
    <x v="5"/>
    <s v="N"/>
    <x v="0"/>
    <n v="107"/>
    <n v="107"/>
    <x v="0"/>
    <m/>
    <m/>
    <m/>
    <n v="1"/>
    <n v="2"/>
    <m/>
    <m/>
    <m/>
    <m/>
    <m/>
    <m/>
    <x v="6"/>
    <n v="1"/>
    <m/>
    <n v="107"/>
    <x v="0"/>
    <m/>
    <x v="0"/>
    <m/>
    <m/>
    <m/>
    <x v="2"/>
    <s v="21/05/2019"/>
    <d v="2019-05-21T00:00:00"/>
    <s v="2019002-107"/>
    <x v="1"/>
  </r>
  <r>
    <x v="21"/>
    <n v="2019002"/>
    <x v="0"/>
    <s v="Mixed"/>
    <s v="Desi"/>
    <x v="3"/>
    <s v="N"/>
    <x v="0"/>
    <n v="108"/>
    <n v="108"/>
    <x v="0"/>
    <m/>
    <m/>
    <m/>
    <n v="1"/>
    <n v="2"/>
    <m/>
    <m/>
    <m/>
    <m/>
    <m/>
    <m/>
    <x v="7"/>
    <n v="1"/>
    <m/>
    <n v="108"/>
    <x v="0"/>
    <m/>
    <x v="0"/>
    <m/>
    <m/>
    <m/>
    <x v="2"/>
    <s v="21/05/2019"/>
    <d v="2019-05-21T00:00:00"/>
    <s v="2019002-108"/>
    <x v="1"/>
  </r>
  <r>
    <x v="24"/>
    <n v="2019002"/>
    <x v="0"/>
    <s v="Mixed"/>
    <s v="Desi"/>
    <x v="4"/>
    <s v="Y"/>
    <x v="0"/>
    <n v="109"/>
    <n v="109"/>
    <x v="0"/>
    <m/>
    <m/>
    <m/>
    <n v="1"/>
    <n v="3"/>
    <m/>
    <m/>
    <m/>
    <m/>
    <m/>
    <m/>
    <x v="8"/>
    <n v="1"/>
    <m/>
    <n v="109"/>
    <x v="0"/>
    <m/>
    <x v="0"/>
    <m/>
    <m/>
    <m/>
    <x v="0"/>
    <s v="11/06/2019"/>
    <d v="2019-06-11T00:00:00"/>
    <s v="2019002-109"/>
    <x v="1"/>
  </r>
  <r>
    <x v="25"/>
    <n v="2019002"/>
    <x v="0"/>
    <s v="Mixed"/>
    <s v="Desi"/>
    <x v="3"/>
    <s v="N"/>
    <x v="0"/>
    <n v="110"/>
    <n v="110"/>
    <x v="0"/>
    <m/>
    <m/>
    <m/>
    <n v="1"/>
    <n v="3"/>
    <m/>
    <m/>
    <m/>
    <m/>
    <m/>
    <m/>
    <x v="9"/>
    <n v="1"/>
    <m/>
    <n v="110"/>
    <x v="0"/>
    <m/>
    <x v="0"/>
    <m/>
    <m/>
    <m/>
    <x v="0"/>
    <s v="11/06/2019"/>
    <d v="2019-06-11T00:00:00"/>
    <s v="2019002-110"/>
    <x v="1"/>
  </r>
  <r>
    <x v="25"/>
    <n v="2019002"/>
    <x v="0"/>
    <s v="Mixed"/>
    <s v="Desi"/>
    <x v="3"/>
    <s v="N"/>
    <x v="0"/>
    <n v="111"/>
    <n v="111"/>
    <x v="0"/>
    <m/>
    <m/>
    <m/>
    <n v="1"/>
    <n v="3"/>
    <m/>
    <m/>
    <m/>
    <m/>
    <m/>
    <m/>
    <x v="10"/>
    <n v="1"/>
    <m/>
    <n v="111"/>
    <x v="0"/>
    <m/>
    <x v="0"/>
    <m/>
    <m/>
    <m/>
    <x v="0"/>
    <s v="11/06/2019"/>
    <d v="2019-06-11T00:00:00"/>
    <s v="2019002-111"/>
    <x v="1"/>
  </r>
  <r>
    <x v="26"/>
    <n v="2019002"/>
    <x v="0"/>
    <s v="Mixed"/>
    <s v="Desi"/>
    <x v="5"/>
    <s v="N"/>
    <x v="0"/>
    <n v="112"/>
    <n v="112"/>
    <x v="0"/>
    <m/>
    <m/>
    <m/>
    <n v="1"/>
    <n v="3"/>
    <m/>
    <m/>
    <m/>
    <m/>
    <m/>
    <m/>
    <x v="11"/>
    <n v="1"/>
    <m/>
    <n v="112"/>
    <x v="0"/>
    <m/>
    <x v="0"/>
    <m/>
    <m/>
    <m/>
    <x v="0"/>
    <s v="11/06/2019"/>
    <d v="2019-06-11T00:00:00"/>
    <s v="2019002-112"/>
    <x v="1"/>
  </r>
  <r>
    <x v="27"/>
    <n v="2019002"/>
    <x v="0"/>
    <s v="Mixed"/>
    <s v="Desi"/>
    <x v="3"/>
    <s v="N"/>
    <x v="0"/>
    <n v="113"/>
    <n v="113"/>
    <x v="0"/>
    <m/>
    <m/>
    <m/>
    <n v="2"/>
    <n v="4"/>
    <m/>
    <m/>
    <m/>
    <m/>
    <m/>
    <m/>
    <x v="0"/>
    <n v="2"/>
    <m/>
    <n v="124"/>
    <x v="1"/>
    <m/>
    <x v="0"/>
    <m/>
    <m/>
    <m/>
    <x v="2"/>
    <s v="21/05/2019"/>
    <d v="2019-05-21T00:00:00"/>
    <s v="2019002-113"/>
    <x v="1"/>
  </r>
  <r>
    <x v="28"/>
    <n v="2019002"/>
    <x v="0"/>
    <s v="Mixed"/>
    <s v="Desi"/>
    <x v="5"/>
    <s v="N"/>
    <x v="0"/>
    <n v="114"/>
    <n v="114"/>
    <x v="0"/>
    <m/>
    <m/>
    <m/>
    <n v="2"/>
    <n v="4"/>
    <m/>
    <m/>
    <m/>
    <m/>
    <m/>
    <m/>
    <x v="1"/>
    <n v="2"/>
    <m/>
    <n v="123"/>
    <x v="1"/>
    <m/>
    <x v="0"/>
    <m/>
    <m/>
    <m/>
    <x v="2"/>
    <s v="21/05/2019"/>
    <d v="2019-05-21T00:00:00"/>
    <s v="2019002-114"/>
    <x v="1"/>
  </r>
  <r>
    <x v="27"/>
    <n v="2019002"/>
    <x v="0"/>
    <s v="Mixed"/>
    <s v="Desi"/>
    <x v="3"/>
    <s v="N"/>
    <x v="0"/>
    <n v="115"/>
    <n v="115"/>
    <x v="0"/>
    <m/>
    <m/>
    <m/>
    <n v="2"/>
    <n v="4"/>
    <m/>
    <m/>
    <m/>
    <m/>
    <m/>
    <m/>
    <x v="2"/>
    <n v="2"/>
    <m/>
    <n v="122"/>
    <x v="1"/>
    <m/>
    <x v="0"/>
    <m/>
    <m/>
    <m/>
    <x v="2"/>
    <s v="21/05/2019"/>
    <d v="2019-05-21T00:00:00"/>
    <s v="2019002-115"/>
    <x v="1"/>
  </r>
  <r>
    <x v="29"/>
    <n v="2019002"/>
    <x v="0"/>
    <s v="Mixed"/>
    <s v="Desi"/>
    <x v="4"/>
    <s v="Y"/>
    <x v="0"/>
    <n v="116"/>
    <n v="116"/>
    <x v="0"/>
    <m/>
    <m/>
    <m/>
    <n v="2"/>
    <n v="4"/>
    <m/>
    <m/>
    <m/>
    <m/>
    <m/>
    <m/>
    <x v="3"/>
    <n v="2"/>
    <m/>
    <n v="121"/>
    <x v="1"/>
    <m/>
    <x v="0"/>
    <m/>
    <m/>
    <m/>
    <x v="2"/>
    <s v="21/05/2019"/>
    <d v="2019-05-21T00:00:00"/>
    <s v="2019002-116"/>
    <x v="1"/>
  </r>
  <r>
    <x v="30"/>
    <n v="2019002"/>
    <x v="0"/>
    <s v="Mixed"/>
    <s v="Desi"/>
    <x v="4"/>
    <s v="Y"/>
    <x v="0"/>
    <n v="117"/>
    <n v="117"/>
    <x v="0"/>
    <m/>
    <m/>
    <m/>
    <n v="2"/>
    <n v="5"/>
    <m/>
    <m/>
    <m/>
    <m/>
    <m/>
    <m/>
    <x v="4"/>
    <n v="2"/>
    <m/>
    <n v="120"/>
    <x v="1"/>
    <m/>
    <x v="0"/>
    <m/>
    <m/>
    <m/>
    <x v="0"/>
    <s v="11/06/2019"/>
    <d v="2019-06-11T00:00:00"/>
    <s v="2019002-117"/>
    <x v="1"/>
  </r>
  <r>
    <x v="31"/>
    <n v="2019002"/>
    <x v="0"/>
    <s v="Mixed"/>
    <s v="Desi"/>
    <x v="3"/>
    <s v="N"/>
    <x v="0"/>
    <n v="118"/>
    <n v="118"/>
    <x v="0"/>
    <m/>
    <m/>
    <m/>
    <n v="2"/>
    <n v="5"/>
    <m/>
    <m/>
    <m/>
    <m/>
    <m/>
    <m/>
    <x v="5"/>
    <n v="2"/>
    <m/>
    <n v="119"/>
    <x v="1"/>
    <m/>
    <x v="0"/>
    <m/>
    <m/>
    <m/>
    <x v="0"/>
    <s v="11/06/2019"/>
    <d v="2019-06-11T00:00:00"/>
    <s v="2019002-118"/>
    <x v="1"/>
  </r>
  <r>
    <x v="31"/>
    <n v="2019002"/>
    <x v="0"/>
    <s v="Mixed"/>
    <s v="Desi"/>
    <x v="3"/>
    <s v="N"/>
    <x v="0"/>
    <n v="119"/>
    <n v="119"/>
    <x v="0"/>
    <m/>
    <m/>
    <m/>
    <n v="2"/>
    <n v="5"/>
    <m/>
    <m/>
    <m/>
    <m/>
    <m/>
    <m/>
    <x v="6"/>
    <n v="2"/>
    <m/>
    <n v="118"/>
    <x v="1"/>
    <m/>
    <x v="0"/>
    <m/>
    <m/>
    <m/>
    <x v="0"/>
    <s v="11/06/2019"/>
    <d v="2019-06-11T00:00:00"/>
    <s v="2019002-119"/>
    <x v="1"/>
  </r>
  <r>
    <x v="32"/>
    <n v="2019002"/>
    <x v="0"/>
    <s v="Mixed"/>
    <s v="Desi"/>
    <x v="5"/>
    <s v="N"/>
    <x v="0"/>
    <n v="120"/>
    <n v="120"/>
    <x v="0"/>
    <m/>
    <m/>
    <m/>
    <n v="2"/>
    <n v="5"/>
    <m/>
    <m/>
    <m/>
    <m/>
    <m/>
    <m/>
    <x v="7"/>
    <n v="2"/>
    <m/>
    <n v="117"/>
    <x v="1"/>
    <m/>
    <x v="0"/>
    <m/>
    <m/>
    <m/>
    <x v="0"/>
    <s v="11/06/2019"/>
    <d v="2019-06-11T00:00:00"/>
    <s v="2019002-120"/>
    <x v="1"/>
  </r>
  <r>
    <x v="33"/>
    <n v="2019002"/>
    <x v="0"/>
    <s v="Mixed"/>
    <s v="Desi"/>
    <x v="3"/>
    <s v="N"/>
    <x v="0"/>
    <n v="121"/>
    <n v="121"/>
    <x v="0"/>
    <m/>
    <m/>
    <m/>
    <n v="2"/>
    <n v="6"/>
    <m/>
    <m/>
    <m/>
    <m/>
    <m/>
    <m/>
    <x v="8"/>
    <n v="2"/>
    <m/>
    <n v="116"/>
    <x v="1"/>
    <m/>
    <x v="0"/>
    <m/>
    <m/>
    <m/>
    <x v="1"/>
    <s v="30/04/2019"/>
    <d v="2019-04-30T00:00:00"/>
    <s v="2019002-121"/>
    <x v="1"/>
  </r>
  <r>
    <x v="34"/>
    <n v="2019002"/>
    <x v="0"/>
    <s v="Mixed"/>
    <s v="Desi"/>
    <x v="5"/>
    <s v="N"/>
    <x v="0"/>
    <n v="122"/>
    <n v="122"/>
    <x v="0"/>
    <m/>
    <m/>
    <m/>
    <n v="2"/>
    <n v="6"/>
    <m/>
    <m/>
    <m/>
    <m/>
    <m/>
    <m/>
    <x v="9"/>
    <n v="2"/>
    <m/>
    <n v="115"/>
    <x v="1"/>
    <m/>
    <x v="0"/>
    <m/>
    <m/>
    <m/>
    <x v="1"/>
    <s v="30/04/2019"/>
    <d v="2019-04-30T00:00:00"/>
    <s v="2019002-122"/>
    <x v="1"/>
  </r>
  <r>
    <x v="35"/>
    <n v="2019002"/>
    <x v="0"/>
    <s v="Mixed"/>
    <s v="Desi"/>
    <x v="4"/>
    <s v="Y"/>
    <x v="0"/>
    <n v="123"/>
    <n v="123"/>
    <x v="0"/>
    <m/>
    <m/>
    <m/>
    <n v="2"/>
    <n v="6"/>
    <m/>
    <m/>
    <m/>
    <m/>
    <m/>
    <m/>
    <x v="10"/>
    <n v="2"/>
    <m/>
    <n v="114"/>
    <x v="1"/>
    <m/>
    <x v="0"/>
    <m/>
    <m/>
    <m/>
    <x v="1"/>
    <s v="30/04/2019"/>
    <d v="2019-04-30T00:00:00"/>
    <s v="2019002-123"/>
    <x v="1"/>
  </r>
  <r>
    <x v="33"/>
    <n v="2019002"/>
    <x v="0"/>
    <s v="Mixed"/>
    <s v="Desi"/>
    <x v="3"/>
    <s v="N"/>
    <x v="0"/>
    <n v="124"/>
    <n v="124"/>
    <x v="0"/>
    <m/>
    <m/>
    <m/>
    <n v="2"/>
    <n v="6"/>
    <m/>
    <m/>
    <m/>
    <m/>
    <m/>
    <m/>
    <x v="11"/>
    <n v="2"/>
    <m/>
    <n v="113"/>
    <x v="1"/>
    <m/>
    <x v="0"/>
    <m/>
    <m/>
    <m/>
    <x v="1"/>
    <s v="30/04/2019"/>
    <d v="2019-04-30T00:00:00"/>
    <s v="2019002-124"/>
    <x v="1"/>
  </r>
  <r>
    <x v="26"/>
    <n v="2019002"/>
    <x v="0"/>
    <s v="Mixed"/>
    <s v="Desi"/>
    <x v="5"/>
    <s v="N"/>
    <x v="0"/>
    <n v="125"/>
    <n v="125"/>
    <x v="1"/>
    <m/>
    <m/>
    <m/>
    <n v="3"/>
    <n v="7"/>
    <m/>
    <m/>
    <m/>
    <m/>
    <m/>
    <m/>
    <x v="0"/>
    <n v="3"/>
    <m/>
    <n v="125"/>
    <x v="0"/>
    <m/>
    <x v="0"/>
    <m/>
    <m/>
    <m/>
    <x v="0"/>
    <s v="11/06/2019"/>
    <d v="2019-06-11T00:00:00"/>
    <s v="2019002-125"/>
    <x v="1"/>
  </r>
  <r>
    <x v="25"/>
    <n v="2019002"/>
    <x v="0"/>
    <s v="Mixed"/>
    <s v="Desi"/>
    <x v="3"/>
    <s v="N"/>
    <x v="0"/>
    <n v="126"/>
    <n v="126"/>
    <x v="1"/>
    <m/>
    <m/>
    <m/>
    <n v="3"/>
    <n v="7"/>
    <m/>
    <m/>
    <m/>
    <m/>
    <m/>
    <m/>
    <x v="1"/>
    <n v="3"/>
    <m/>
    <n v="126"/>
    <x v="0"/>
    <m/>
    <x v="0"/>
    <m/>
    <m/>
    <m/>
    <x v="0"/>
    <s v="11/06/2019"/>
    <d v="2019-06-11T00:00:00"/>
    <s v="2019002-126"/>
    <x v="1"/>
  </r>
  <r>
    <x v="24"/>
    <n v="2019002"/>
    <x v="0"/>
    <s v="Mixed"/>
    <s v="Desi"/>
    <x v="4"/>
    <s v="Y"/>
    <x v="0"/>
    <n v="127"/>
    <n v="127"/>
    <x v="1"/>
    <m/>
    <m/>
    <m/>
    <n v="3"/>
    <n v="7"/>
    <m/>
    <m/>
    <m/>
    <m/>
    <m/>
    <m/>
    <x v="2"/>
    <n v="3"/>
    <m/>
    <n v="127"/>
    <x v="0"/>
    <m/>
    <x v="0"/>
    <m/>
    <m/>
    <m/>
    <x v="0"/>
    <s v="11/06/2019"/>
    <d v="2019-06-11T00:00:00"/>
    <s v="2019002-127"/>
    <x v="1"/>
  </r>
  <r>
    <x v="25"/>
    <n v="2019002"/>
    <x v="0"/>
    <s v="Mixed"/>
    <s v="Desi"/>
    <x v="3"/>
    <s v="N"/>
    <x v="0"/>
    <n v="128"/>
    <n v="128"/>
    <x v="1"/>
    <m/>
    <m/>
    <m/>
    <n v="3"/>
    <n v="7"/>
    <m/>
    <m/>
    <m/>
    <m/>
    <m/>
    <m/>
    <x v="3"/>
    <n v="3"/>
    <m/>
    <n v="128"/>
    <x v="0"/>
    <m/>
    <x v="0"/>
    <m/>
    <m/>
    <m/>
    <x v="0"/>
    <s v="11/06/2019"/>
    <d v="2019-06-11T00:00:00"/>
    <s v="2019002-128"/>
    <x v="1"/>
  </r>
  <r>
    <x v="18"/>
    <n v="2019002"/>
    <x v="0"/>
    <s v="Mixed"/>
    <s v="Desi"/>
    <x v="3"/>
    <s v="N"/>
    <x v="0"/>
    <n v="129"/>
    <n v="129"/>
    <x v="1"/>
    <m/>
    <m/>
    <m/>
    <n v="3"/>
    <n v="8"/>
    <m/>
    <m/>
    <m/>
    <m/>
    <m/>
    <m/>
    <x v="4"/>
    <n v="3"/>
    <m/>
    <n v="129"/>
    <x v="0"/>
    <m/>
    <x v="0"/>
    <m/>
    <m/>
    <m/>
    <x v="1"/>
    <s v="30/04/2019"/>
    <d v="2019-04-30T00:00:00"/>
    <s v="2019002-129"/>
    <x v="1"/>
  </r>
  <r>
    <x v="20"/>
    <n v="2019002"/>
    <x v="0"/>
    <s v="Mixed"/>
    <s v="Desi"/>
    <x v="5"/>
    <s v="N"/>
    <x v="0"/>
    <n v="130"/>
    <n v="130"/>
    <x v="1"/>
    <m/>
    <m/>
    <m/>
    <n v="3"/>
    <n v="8"/>
    <m/>
    <m/>
    <m/>
    <m/>
    <m/>
    <m/>
    <x v="5"/>
    <n v="3"/>
    <m/>
    <n v="130"/>
    <x v="0"/>
    <m/>
    <x v="0"/>
    <m/>
    <m/>
    <m/>
    <x v="1"/>
    <s v="30/04/2019"/>
    <d v="2019-04-30T00:00:00"/>
    <s v="2019002-130"/>
    <x v="1"/>
  </r>
  <r>
    <x v="19"/>
    <n v="2019002"/>
    <x v="0"/>
    <s v="Mixed"/>
    <s v="Desi"/>
    <x v="4"/>
    <s v="Y"/>
    <x v="0"/>
    <n v="131"/>
    <n v="131"/>
    <x v="1"/>
    <m/>
    <m/>
    <m/>
    <n v="3"/>
    <n v="8"/>
    <m/>
    <m/>
    <m/>
    <m/>
    <m/>
    <m/>
    <x v="6"/>
    <n v="3"/>
    <m/>
    <n v="131"/>
    <x v="0"/>
    <m/>
    <x v="0"/>
    <m/>
    <m/>
    <m/>
    <x v="1"/>
    <s v="30/04/2019"/>
    <d v="2019-04-30T00:00:00"/>
    <s v="2019002-131"/>
    <x v="1"/>
  </r>
  <r>
    <x v="18"/>
    <n v="2019002"/>
    <x v="0"/>
    <s v="Mixed"/>
    <s v="Desi"/>
    <x v="3"/>
    <s v="N"/>
    <x v="0"/>
    <n v="132"/>
    <n v="132"/>
    <x v="1"/>
    <m/>
    <m/>
    <m/>
    <n v="3"/>
    <n v="8"/>
    <m/>
    <m/>
    <m/>
    <m/>
    <m/>
    <m/>
    <x v="7"/>
    <n v="3"/>
    <m/>
    <n v="132"/>
    <x v="0"/>
    <m/>
    <x v="0"/>
    <m/>
    <m/>
    <m/>
    <x v="1"/>
    <s v="30/04/2019"/>
    <d v="2019-04-30T00:00:00"/>
    <s v="2019002-132"/>
    <x v="1"/>
  </r>
  <r>
    <x v="23"/>
    <n v="2019002"/>
    <x v="0"/>
    <s v="Mixed"/>
    <s v="Desi"/>
    <x v="5"/>
    <s v="N"/>
    <x v="0"/>
    <n v="133"/>
    <n v="133"/>
    <x v="1"/>
    <m/>
    <m/>
    <m/>
    <n v="3"/>
    <n v="9"/>
    <m/>
    <m/>
    <m/>
    <m/>
    <m/>
    <m/>
    <x v="8"/>
    <n v="3"/>
    <m/>
    <n v="133"/>
    <x v="0"/>
    <m/>
    <x v="0"/>
    <m/>
    <m/>
    <m/>
    <x v="2"/>
    <s v="21/05/2019"/>
    <d v="2019-05-21T00:00:00"/>
    <s v="2019002-133"/>
    <x v="1"/>
  </r>
  <r>
    <x v="21"/>
    <n v="2019002"/>
    <x v="0"/>
    <s v="Mixed"/>
    <s v="Desi"/>
    <x v="3"/>
    <s v="N"/>
    <x v="0"/>
    <n v="134"/>
    <n v="134"/>
    <x v="1"/>
    <m/>
    <m/>
    <m/>
    <n v="3"/>
    <n v="9"/>
    <m/>
    <m/>
    <m/>
    <m/>
    <m/>
    <m/>
    <x v="9"/>
    <n v="3"/>
    <m/>
    <n v="134"/>
    <x v="0"/>
    <m/>
    <x v="0"/>
    <m/>
    <m/>
    <m/>
    <x v="2"/>
    <s v="21/05/2019"/>
    <d v="2019-05-21T00:00:00"/>
    <s v="2019002-134"/>
    <x v="1"/>
  </r>
  <r>
    <x v="21"/>
    <n v="2019002"/>
    <x v="0"/>
    <s v="Mixed"/>
    <s v="Desi"/>
    <x v="3"/>
    <s v="N"/>
    <x v="0"/>
    <n v="135"/>
    <n v="135"/>
    <x v="1"/>
    <m/>
    <m/>
    <m/>
    <n v="3"/>
    <n v="9"/>
    <m/>
    <m/>
    <m/>
    <m/>
    <m/>
    <m/>
    <x v="10"/>
    <n v="3"/>
    <m/>
    <n v="135"/>
    <x v="0"/>
    <m/>
    <x v="0"/>
    <m/>
    <m/>
    <m/>
    <x v="2"/>
    <s v="21/05/2019"/>
    <d v="2019-05-21T00:00:00"/>
    <s v="2019002-135"/>
    <x v="1"/>
  </r>
  <r>
    <x v="22"/>
    <n v="2019002"/>
    <x v="0"/>
    <s v="Mixed"/>
    <s v="Desi"/>
    <x v="4"/>
    <s v="Y"/>
    <x v="0"/>
    <n v="136"/>
    <n v="136"/>
    <x v="1"/>
    <m/>
    <m/>
    <m/>
    <n v="3"/>
    <n v="9"/>
    <m/>
    <m/>
    <m/>
    <m/>
    <m/>
    <m/>
    <x v="11"/>
    <n v="3"/>
    <m/>
    <n v="136"/>
    <x v="0"/>
    <m/>
    <x v="0"/>
    <m/>
    <m/>
    <m/>
    <x v="2"/>
    <s v="21/05/2019"/>
    <d v="2019-05-21T00:00:00"/>
    <s v="2019002-136"/>
    <x v="1"/>
  </r>
  <r>
    <x v="35"/>
    <n v="2019002"/>
    <x v="0"/>
    <s v="Mixed"/>
    <s v="Desi"/>
    <x v="4"/>
    <s v="Y"/>
    <x v="0"/>
    <n v="137"/>
    <n v="137"/>
    <x v="1"/>
    <m/>
    <m/>
    <m/>
    <n v="4"/>
    <n v="10"/>
    <m/>
    <m/>
    <m/>
    <m/>
    <m/>
    <m/>
    <x v="0"/>
    <n v="4"/>
    <m/>
    <n v="148"/>
    <x v="1"/>
    <m/>
    <x v="0"/>
    <m/>
    <m/>
    <m/>
    <x v="1"/>
    <s v="30/04/2019"/>
    <d v="2019-04-30T00:00:00"/>
    <s v="2019002-137"/>
    <x v="1"/>
  </r>
  <r>
    <x v="33"/>
    <n v="2019002"/>
    <x v="0"/>
    <s v="Mixed"/>
    <s v="Desi"/>
    <x v="3"/>
    <s v="N"/>
    <x v="0"/>
    <n v="138"/>
    <n v="138"/>
    <x v="1"/>
    <m/>
    <m/>
    <m/>
    <n v="4"/>
    <n v="10"/>
    <m/>
    <m/>
    <m/>
    <m/>
    <m/>
    <m/>
    <x v="1"/>
    <n v="4"/>
    <m/>
    <n v="147"/>
    <x v="1"/>
    <m/>
    <x v="0"/>
    <m/>
    <m/>
    <m/>
    <x v="1"/>
    <s v="30/04/2019"/>
    <d v="2019-04-30T00:00:00"/>
    <s v="2019002-138"/>
    <x v="1"/>
  </r>
  <r>
    <x v="34"/>
    <n v="2019002"/>
    <x v="0"/>
    <s v="Mixed"/>
    <s v="Desi"/>
    <x v="5"/>
    <s v="N"/>
    <x v="0"/>
    <n v="139"/>
    <n v="139"/>
    <x v="1"/>
    <m/>
    <m/>
    <m/>
    <n v="4"/>
    <n v="10"/>
    <m/>
    <m/>
    <m/>
    <m/>
    <m/>
    <m/>
    <x v="2"/>
    <n v="4"/>
    <m/>
    <n v="146"/>
    <x v="1"/>
    <m/>
    <x v="0"/>
    <m/>
    <m/>
    <m/>
    <x v="1"/>
    <s v="30/04/2019"/>
    <d v="2019-04-30T00:00:00"/>
    <s v="2019002-139"/>
    <x v="1"/>
  </r>
  <r>
    <x v="33"/>
    <n v="2019002"/>
    <x v="0"/>
    <s v="Mixed"/>
    <s v="Desi"/>
    <x v="3"/>
    <s v="N"/>
    <x v="0"/>
    <n v="140"/>
    <n v="140"/>
    <x v="1"/>
    <m/>
    <m/>
    <m/>
    <n v="4"/>
    <n v="10"/>
    <m/>
    <m/>
    <m/>
    <m/>
    <m/>
    <m/>
    <x v="3"/>
    <n v="4"/>
    <m/>
    <n v="145"/>
    <x v="1"/>
    <m/>
    <x v="0"/>
    <m/>
    <m/>
    <m/>
    <x v="1"/>
    <s v="30/04/2019"/>
    <d v="2019-04-30T00:00:00"/>
    <s v="2019002-140"/>
    <x v="1"/>
  </r>
  <r>
    <x v="32"/>
    <n v="2019002"/>
    <x v="0"/>
    <s v="Mixed"/>
    <s v="Desi"/>
    <x v="5"/>
    <s v="N"/>
    <x v="0"/>
    <n v="141"/>
    <n v="141"/>
    <x v="1"/>
    <m/>
    <m/>
    <m/>
    <n v="4"/>
    <n v="11"/>
    <m/>
    <m/>
    <m/>
    <m/>
    <m/>
    <m/>
    <x v="4"/>
    <n v="4"/>
    <m/>
    <n v="144"/>
    <x v="1"/>
    <m/>
    <x v="0"/>
    <m/>
    <m/>
    <m/>
    <x v="0"/>
    <s v="11/06/2019"/>
    <d v="2019-06-11T00:00:00"/>
    <s v="2019002-141"/>
    <x v="1"/>
  </r>
  <r>
    <x v="31"/>
    <n v="2019002"/>
    <x v="0"/>
    <s v="Mixed"/>
    <s v="Desi"/>
    <x v="3"/>
    <s v="N"/>
    <x v="0"/>
    <n v="142"/>
    <n v="142"/>
    <x v="1"/>
    <m/>
    <m/>
    <m/>
    <n v="4"/>
    <n v="11"/>
    <m/>
    <m/>
    <m/>
    <m/>
    <m/>
    <m/>
    <x v="5"/>
    <n v="4"/>
    <m/>
    <n v="143"/>
    <x v="1"/>
    <m/>
    <x v="0"/>
    <m/>
    <m/>
    <m/>
    <x v="0"/>
    <s v="11/06/2019"/>
    <d v="2019-06-11T00:00:00"/>
    <s v="2019002-142"/>
    <x v="1"/>
  </r>
  <r>
    <x v="31"/>
    <n v="2019002"/>
    <x v="0"/>
    <s v="Mixed"/>
    <s v="Desi"/>
    <x v="3"/>
    <s v="N"/>
    <x v="0"/>
    <n v="143"/>
    <n v="143"/>
    <x v="1"/>
    <m/>
    <m/>
    <m/>
    <n v="4"/>
    <n v="11"/>
    <m/>
    <m/>
    <m/>
    <m/>
    <m/>
    <m/>
    <x v="6"/>
    <n v="4"/>
    <m/>
    <n v="142"/>
    <x v="1"/>
    <m/>
    <x v="0"/>
    <m/>
    <m/>
    <m/>
    <x v="0"/>
    <s v="11/06/2019"/>
    <d v="2019-06-11T00:00:00"/>
    <s v="2019002-143"/>
    <x v="1"/>
  </r>
  <r>
    <x v="30"/>
    <n v="2019002"/>
    <x v="0"/>
    <s v="Mixed"/>
    <s v="Desi"/>
    <x v="4"/>
    <s v="Y"/>
    <x v="0"/>
    <n v="144"/>
    <n v="144"/>
    <x v="1"/>
    <m/>
    <m/>
    <m/>
    <n v="4"/>
    <n v="11"/>
    <m/>
    <m/>
    <m/>
    <m/>
    <m/>
    <m/>
    <x v="7"/>
    <n v="4"/>
    <m/>
    <n v="141"/>
    <x v="1"/>
    <m/>
    <x v="0"/>
    <m/>
    <m/>
    <m/>
    <x v="0"/>
    <s v="11/06/2019"/>
    <d v="2019-06-11T00:00:00"/>
    <s v="2019002-144"/>
    <x v="1"/>
  </r>
  <r>
    <x v="27"/>
    <n v="2019002"/>
    <x v="0"/>
    <s v="Mixed"/>
    <s v="Desi"/>
    <x v="3"/>
    <s v="N"/>
    <x v="0"/>
    <n v="145"/>
    <n v="145"/>
    <x v="1"/>
    <m/>
    <m/>
    <m/>
    <n v="4"/>
    <n v="12"/>
    <m/>
    <m/>
    <m/>
    <m/>
    <m/>
    <m/>
    <x v="8"/>
    <n v="4"/>
    <m/>
    <n v="140"/>
    <x v="1"/>
    <m/>
    <x v="0"/>
    <m/>
    <m/>
    <m/>
    <x v="2"/>
    <s v="21/05/2019"/>
    <d v="2019-05-21T00:00:00"/>
    <s v="2019002-145"/>
    <x v="1"/>
  </r>
  <r>
    <x v="29"/>
    <n v="2019002"/>
    <x v="0"/>
    <s v="Mixed"/>
    <s v="Desi"/>
    <x v="4"/>
    <s v="Y"/>
    <x v="0"/>
    <n v="146"/>
    <n v="146"/>
    <x v="1"/>
    <m/>
    <m/>
    <m/>
    <n v="4"/>
    <n v="12"/>
    <m/>
    <m/>
    <m/>
    <m/>
    <m/>
    <m/>
    <x v="9"/>
    <n v="4"/>
    <m/>
    <n v="139"/>
    <x v="1"/>
    <m/>
    <x v="0"/>
    <m/>
    <m/>
    <m/>
    <x v="2"/>
    <s v="21/05/2019"/>
    <d v="2019-05-21T00:00:00"/>
    <s v="2019002-146"/>
    <x v="1"/>
  </r>
  <r>
    <x v="28"/>
    <n v="2019002"/>
    <x v="0"/>
    <s v="Mixed"/>
    <s v="Desi"/>
    <x v="5"/>
    <s v="N"/>
    <x v="0"/>
    <n v="147"/>
    <n v="147"/>
    <x v="1"/>
    <m/>
    <m/>
    <m/>
    <n v="4"/>
    <n v="12"/>
    <m/>
    <m/>
    <m/>
    <m/>
    <m/>
    <m/>
    <x v="10"/>
    <n v="4"/>
    <m/>
    <n v="138"/>
    <x v="1"/>
    <m/>
    <x v="0"/>
    <m/>
    <m/>
    <m/>
    <x v="2"/>
    <s v="21/05/2019"/>
    <d v="2019-05-21T00:00:00"/>
    <s v="2019002-147"/>
    <x v="1"/>
  </r>
  <r>
    <x v="27"/>
    <n v="2019002"/>
    <x v="0"/>
    <s v="Mixed"/>
    <s v="Desi"/>
    <x v="3"/>
    <s v="N"/>
    <x v="0"/>
    <n v="148"/>
    <n v="148"/>
    <x v="1"/>
    <m/>
    <m/>
    <m/>
    <n v="4"/>
    <n v="12"/>
    <m/>
    <m/>
    <m/>
    <m/>
    <m/>
    <m/>
    <x v="11"/>
    <n v="4"/>
    <m/>
    <n v="137"/>
    <x v="1"/>
    <m/>
    <x v="0"/>
    <m/>
    <m/>
    <m/>
    <x v="2"/>
    <s v="21/05/2019"/>
    <d v="2019-05-21T00:00:00"/>
    <s v="2019002-148"/>
    <x v="1"/>
  </r>
  <r>
    <x v="28"/>
    <n v="2019002"/>
    <x v="0"/>
    <s v="Mixed"/>
    <s v="Desi"/>
    <x v="5"/>
    <s v="N"/>
    <x v="0"/>
    <n v="149"/>
    <n v="149"/>
    <x v="2"/>
    <m/>
    <m/>
    <m/>
    <n v="5"/>
    <n v="13"/>
    <m/>
    <m/>
    <m/>
    <m/>
    <m/>
    <m/>
    <x v="0"/>
    <n v="5"/>
    <m/>
    <n v="149"/>
    <x v="1"/>
    <m/>
    <x v="0"/>
    <m/>
    <m/>
    <m/>
    <x v="2"/>
    <s v="21/05/2019"/>
    <d v="2019-05-21T00:00:00"/>
    <s v="2019002-149"/>
    <x v="1"/>
  </r>
  <r>
    <x v="27"/>
    <n v="2019002"/>
    <x v="0"/>
    <s v="Mixed"/>
    <s v="Desi"/>
    <x v="3"/>
    <s v="N"/>
    <x v="0"/>
    <n v="150"/>
    <n v="150"/>
    <x v="2"/>
    <m/>
    <m/>
    <m/>
    <n v="5"/>
    <n v="13"/>
    <m/>
    <m/>
    <m/>
    <m/>
    <m/>
    <m/>
    <x v="1"/>
    <n v="5"/>
    <m/>
    <n v="150"/>
    <x v="1"/>
    <m/>
    <x v="0"/>
    <m/>
    <m/>
    <m/>
    <x v="2"/>
    <s v="21/05/2019"/>
    <d v="2019-05-21T00:00:00"/>
    <s v="2019002-150"/>
    <x v="1"/>
  </r>
  <r>
    <x v="29"/>
    <n v="2019002"/>
    <x v="0"/>
    <s v="Mixed"/>
    <s v="Desi"/>
    <x v="4"/>
    <s v="Y"/>
    <x v="0"/>
    <n v="151"/>
    <n v="151"/>
    <x v="2"/>
    <m/>
    <m/>
    <m/>
    <n v="5"/>
    <n v="13"/>
    <m/>
    <m/>
    <m/>
    <m/>
    <m/>
    <m/>
    <x v="2"/>
    <n v="5"/>
    <m/>
    <n v="151"/>
    <x v="1"/>
    <m/>
    <x v="0"/>
    <m/>
    <m/>
    <m/>
    <x v="2"/>
    <s v="21/05/2019"/>
    <d v="2019-05-21T00:00:00"/>
    <s v="2019002-151"/>
    <x v="1"/>
  </r>
  <r>
    <x v="27"/>
    <n v="2019002"/>
    <x v="0"/>
    <s v="Mixed"/>
    <s v="Desi"/>
    <x v="3"/>
    <s v="N"/>
    <x v="0"/>
    <n v="152"/>
    <n v="152"/>
    <x v="2"/>
    <m/>
    <m/>
    <m/>
    <n v="5"/>
    <n v="13"/>
    <m/>
    <m/>
    <m/>
    <m/>
    <m/>
    <m/>
    <x v="3"/>
    <n v="5"/>
    <m/>
    <n v="152"/>
    <x v="1"/>
    <m/>
    <x v="0"/>
    <m/>
    <m/>
    <m/>
    <x v="2"/>
    <s v="21/05/2019"/>
    <d v="2019-05-21T00:00:00"/>
    <s v="2019002-152"/>
    <x v="1"/>
  </r>
  <r>
    <x v="33"/>
    <n v="2019002"/>
    <x v="0"/>
    <s v="Mixed"/>
    <s v="Desi"/>
    <x v="3"/>
    <s v="N"/>
    <x v="0"/>
    <n v="153"/>
    <n v="153"/>
    <x v="2"/>
    <m/>
    <m/>
    <m/>
    <n v="5"/>
    <n v="14"/>
    <m/>
    <m/>
    <m/>
    <m/>
    <m/>
    <m/>
    <x v="4"/>
    <n v="5"/>
    <m/>
    <n v="153"/>
    <x v="1"/>
    <m/>
    <x v="0"/>
    <m/>
    <m/>
    <m/>
    <x v="1"/>
    <s v="30/04/2019"/>
    <d v="2019-04-30T00:00:00"/>
    <s v="2019002-153"/>
    <x v="1"/>
  </r>
  <r>
    <x v="34"/>
    <n v="2019002"/>
    <x v="0"/>
    <s v="Mixed"/>
    <s v="Desi"/>
    <x v="5"/>
    <s v="N"/>
    <x v="0"/>
    <n v="154"/>
    <n v="154"/>
    <x v="2"/>
    <m/>
    <m/>
    <m/>
    <n v="5"/>
    <n v="14"/>
    <m/>
    <m/>
    <m/>
    <m/>
    <m/>
    <m/>
    <x v="5"/>
    <n v="5"/>
    <m/>
    <n v="154"/>
    <x v="1"/>
    <m/>
    <x v="0"/>
    <m/>
    <m/>
    <m/>
    <x v="1"/>
    <s v="30/04/2019"/>
    <d v="2019-04-30T00:00:00"/>
    <s v="2019002-154"/>
    <x v="1"/>
  </r>
  <r>
    <x v="33"/>
    <n v="2019002"/>
    <x v="0"/>
    <s v="Mixed"/>
    <s v="Desi"/>
    <x v="3"/>
    <s v="N"/>
    <x v="0"/>
    <n v="155"/>
    <n v="155"/>
    <x v="2"/>
    <m/>
    <m/>
    <m/>
    <n v="5"/>
    <n v="14"/>
    <m/>
    <m/>
    <m/>
    <m/>
    <m/>
    <m/>
    <x v="6"/>
    <n v="5"/>
    <m/>
    <n v="155"/>
    <x v="1"/>
    <m/>
    <x v="0"/>
    <m/>
    <m/>
    <m/>
    <x v="1"/>
    <s v="30/04/2019"/>
    <d v="2019-04-30T00:00:00"/>
    <s v="2019002-155"/>
    <x v="1"/>
  </r>
  <r>
    <x v="35"/>
    <n v="2019002"/>
    <x v="0"/>
    <s v="Mixed"/>
    <s v="Desi"/>
    <x v="4"/>
    <s v="Y"/>
    <x v="0"/>
    <n v="156"/>
    <n v="156"/>
    <x v="2"/>
    <m/>
    <m/>
    <m/>
    <n v="5"/>
    <n v="14"/>
    <m/>
    <m/>
    <m/>
    <m/>
    <m/>
    <m/>
    <x v="7"/>
    <n v="5"/>
    <m/>
    <n v="156"/>
    <x v="1"/>
    <m/>
    <x v="0"/>
    <m/>
    <m/>
    <m/>
    <x v="1"/>
    <s v="30/04/2019"/>
    <d v="2019-04-30T00:00:00"/>
    <s v="2019002-156"/>
    <x v="1"/>
  </r>
  <r>
    <x v="31"/>
    <n v="2019002"/>
    <x v="0"/>
    <s v="Mixed"/>
    <s v="Desi"/>
    <x v="3"/>
    <s v="N"/>
    <x v="0"/>
    <n v="157"/>
    <n v="157"/>
    <x v="2"/>
    <m/>
    <m/>
    <m/>
    <n v="5"/>
    <n v="15"/>
    <m/>
    <m/>
    <m/>
    <m/>
    <m/>
    <m/>
    <x v="8"/>
    <n v="5"/>
    <m/>
    <n v="157"/>
    <x v="1"/>
    <m/>
    <x v="0"/>
    <m/>
    <m/>
    <m/>
    <x v="0"/>
    <s v="11/06/2019"/>
    <d v="2019-06-11T00:00:00"/>
    <s v="2019002-157"/>
    <x v="1"/>
  </r>
  <r>
    <x v="30"/>
    <n v="2019002"/>
    <x v="0"/>
    <s v="Mixed"/>
    <s v="Desi"/>
    <x v="4"/>
    <s v="Y"/>
    <x v="0"/>
    <n v="158"/>
    <n v="158"/>
    <x v="2"/>
    <m/>
    <m/>
    <m/>
    <n v="5"/>
    <n v="15"/>
    <m/>
    <m/>
    <m/>
    <m/>
    <m/>
    <m/>
    <x v="9"/>
    <n v="5"/>
    <m/>
    <n v="158"/>
    <x v="1"/>
    <m/>
    <x v="0"/>
    <m/>
    <m/>
    <m/>
    <x v="0"/>
    <s v="11/06/2019"/>
    <d v="2019-06-11T00:00:00"/>
    <s v="2019002-158"/>
    <x v="1"/>
  </r>
  <r>
    <x v="31"/>
    <n v="2019002"/>
    <x v="0"/>
    <s v="Mixed"/>
    <s v="Desi"/>
    <x v="3"/>
    <s v="N"/>
    <x v="0"/>
    <n v="159"/>
    <n v="159"/>
    <x v="2"/>
    <m/>
    <m/>
    <m/>
    <n v="5"/>
    <n v="15"/>
    <m/>
    <m/>
    <m/>
    <m/>
    <m/>
    <m/>
    <x v="10"/>
    <n v="5"/>
    <m/>
    <n v="159"/>
    <x v="1"/>
    <m/>
    <x v="0"/>
    <m/>
    <m/>
    <m/>
    <x v="0"/>
    <s v="11/06/2019"/>
    <d v="2019-06-11T00:00:00"/>
    <s v="2019002-159"/>
    <x v="1"/>
  </r>
  <r>
    <x v="32"/>
    <n v="2019002"/>
    <x v="0"/>
    <s v="Mixed"/>
    <s v="Desi"/>
    <x v="5"/>
    <s v="N"/>
    <x v="0"/>
    <n v="160"/>
    <n v="160"/>
    <x v="2"/>
    <m/>
    <m/>
    <m/>
    <n v="5"/>
    <n v="15"/>
    <m/>
    <m/>
    <m/>
    <m/>
    <m/>
    <m/>
    <x v="11"/>
    <n v="5"/>
    <m/>
    <n v="160"/>
    <x v="1"/>
    <m/>
    <x v="0"/>
    <m/>
    <m/>
    <m/>
    <x v="0"/>
    <s v="11/06/2019"/>
    <d v="2019-06-11T00:00:00"/>
    <s v="2019002-160"/>
    <x v="1"/>
  </r>
  <r>
    <x v="24"/>
    <n v="2019002"/>
    <x v="0"/>
    <s v="Mixed"/>
    <s v="Desi"/>
    <x v="4"/>
    <s v="Y"/>
    <x v="0"/>
    <n v="161"/>
    <n v="161"/>
    <x v="2"/>
    <m/>
    <m/>
    <m/>
    <n v="6"/>
    <n v="16"/>
    <m/>
    <m/>
    <m/>
    <m/>
    <m/>
    <m/>
    <x v="0"/>
    <n v="6"/>
    <m/>
    <n v="172"/>
    <x v="0"/>
    <m/>
    <x v="0"/>
    <m/>
    <m/>
    <m/>
    <x v="0"/>
    <s v="11/06/2019"/>
    <d v="2019-06-11T00:00:00"/>
    <s v="2019002-161"/>
    <x v="1"/>
  </r>
  <r>
    <x v="25"/>
    <n v="2019002"/>
    <x v="0"/>
    <s v="Mixed"/>
    <s v="Desi"/>
    <x v="3"/>
    <s v="N"/>
    <x v="0"/>
    <n v="162"/>
    <n v="162"/>
    <x v="2"/>
    <m/>
    <m/>
    <m/>
    <n v="6"/>
    <n v="16"/>
    <m/>
    <m/>
    <m/>
    <m/>
    <m/>
    <m/>
    <x v="1"/>
    <n v="6"/>
    <m/>
    <n v="171"/>
    <x v="0"/>
    <m/>
    <x v="0"/>
    <m/>
    <m/>
    <m/>
    <x v="0"/>
    <s v="11/06/2019"/>
    <d v="2019-06-11T00:00:00"/>
    <s v="2019002-162"/>
    <x v="1"/>
  </r>
  <r>
    <x v="26"/>
    <n v="2019002"/>
    <x v="0"/>
    <s v="Mixed"/>
    <s v="Desi"/>
    <x v="5"/>
    <s v="N"/>
    <x v="0"/>
    <n v="163"/>
    <n v="163"/>
    <x v="2"/>
    <m/>
    <m/>
    <m/>
    <n v="6"/>
    <n v="16"/>
    <m/>
    <m/>
    <m/>
    <m/>
    <m/>
    <m/>
    <x v="2"/>
    <n v="6"/>
    <m/>
    <n v="170"/>
    <x v="0"/>
    <m/>
    <x v="0"/>
    <m/>
    <m/>
    <m/>
    <x v="0"/>
    <s v="11/06/2019"/>
    <d v="2019-06-11T00:00:00"/>
    <s v="2019002-163"/>
    <x v="1"/>
  </r>
  <r>
    <x v="25"/>
    <n v="2019002"/>
    <x v="0"/>
    <s v="Mixed"/>
    <s v="Desi"/>
    <x v="3"/>
    <s v="N"/>
    <x v="0"/>
    <n v="164"/>
    <n v="164"/>
    <x v="2"/>
    <m/>
    <m/>
    <m/>
    <n v="6"/>
    <n v="16"/>
    <m/>
    <m/>
    <m/>
    <m/>
    <m/>
    <m/>
    <x v="3"/>
    <n v="6"/>
    <m/>
    <n v="169"/>
    <x v="0"/>
    <m/>
    <x v="0"/>
    <m/>
    <m/>
    <m/>
    <x v="0"/>
    <s v="11/06/2019"/>
    <d v="2019-06-11T00:00:00"/>
    <s v="2019002-164"/>
    <x v="1"/>
  </r>
  <r>
    <x v="21"/>
    <n v="2019002"/>
    <x v="0"/>
    <s v="Mixed"/>
    <s v="Desi"/>
    <x v="3"/>
    <s v="N"/>
    <x v="0"/>
    <n v="165"/>
    <n v="165"/>
    <x v="2"/>
    <m/>
    <m/>
    <m/>
    <n v="6"/>
    <n v="17"/>
    <m/>
    <m/>
    <m/>
    <m/>
    <m/>
    <m/>
    <x v="4"/>
    <n v="6"/>
    <m/>
    <n v="168"/>
    <x v="0"/>
    <m/>
    <x v="0"/>
    <m/>
    <m/>
    <m/>
    <x v="2"/>
    <s v="21/05/2019"/>
    <d v="2019-05-21T00:00:00"/>
    <s v="2019002-165"/>
    <x v="1"/>
  </r>
  <r>
    <x v="22"/>
    <n v="2019002"/>
    <x v="0"/>
    <s v="Mixed"/>
    <s v="Desi"/>
    <x v="4"/>
    <s v="Y"/>
    <x v="0"/>
    <n v="166"/>
    <n v="166"/>
    <x v="2"/>
    <m/>
    <m/>
    <m/>
    <n v="6"/>
    <n v="17"/>
    <m/>
    <m/>
    <m/>
    <m/>
    <m/>
    <m/>
    <x v="5"/>
    <n v="6"/>
    <m/>
    <n v="167"/>
    <x v="0"/>
    <m/>
    <x v="0"/>
    <m/>
    <m/>
    <m/>
    <x v="2"/>
    <s v="21/05/2019"/>
    <d v="2019-05-21T00:00:00"/>
    <s v="2019002-166"/>
    <x v="1"/>
  </r>
  <r>
    <x v="21"/>
    <n v="2019002"/>
    <x v="0"/>
    <s v="Mixed"/>
    <s v="Desi"/>
    <x v="3"/>
    <s v="N"/>
    <x v="0"/>
    <n v="167"/>
    <n v="167"/>
    <x v="2"/>
    <m/>
    <m/>
    <m/>
    <n v="6"/>
    <n v="17"/>
    <m/>
    <m/>
    <m/>
    <m/>
    <m/>
    <m/>
    <x v="6"/>
    <n v="6"/>
    <m/>
    <n v="166"/>
    <x v="0"/>
    <m/>
    <x v="0"/>
    <m/>
    <m/>
    <m/>
    <x v="2"/>
    <s v="21/05/2019"/>
    <d v="2019-05-21T00:00:00"/>
    <s v="2019002-167"/>
    <x v="1"/>
  </r>
  <r>
    <x v="23"/>
    <n v="2019002"/>
    <x v="0"/>
    <s v="Mixed"/>
    <s v="Desi"/>
    <x v="5"/>
    <s v="N"/>
    <x v="0"/>
    <n v="168"/>
    <n v="168"/>
    <x v="2"/>
    <m/>
    <m/>
    <m/>
    <n v="6"/>
    <n v="17"/>
    <m/>
    <m/>
    <m/>
    <m/>
    <m/>
    <m/>
    <x v="7"/>
    <n v="6"/>
    <m/>
    <n v="165"/>
    <x v="0"/>
    <m/>
    <x v="0"/>
    <m/>
    <m/>
    <m/>
    <x v="2"/>
    <s v="21/05/2019"/>
    <d v="2019-05-21T00:00:00"/>
    <s v="2019002-168"/>
    <x v="1"/>
  </r>
  <r>
    <x v="18"/>
    <n v="2019002"/>
    <x v="0"/>
    <s v="Mixed"/>
    <s v="Desi"/>
    <x v="3"/>
    <s v="N"/>
    <x v="0"/>
    <n v="169"/>
    <n v="169"/>
    <x v="2"/>
    <m/>
    <m/>
    <m/>
    <n v="6"/>
    <n v="18"/>
    <m/>
    <m/>
    <m/>
    <m/>
    <m/>
    <m/>
    <x v="8"/>
    <n v="6"/>
    <m/>
    <n v="164"/>
    <x v="0"/>
    <m/>
    <x v="0"/>
    <m/>
    <m/>
    <m/>
    <x v="1"/>
    <s v="30/04/2019"/>
    <d v="2019-04-30T00:00:00"/>
    <s v="2019002-169"/>
    <x v="1"/>
  </r>
  <r>
    <x v="20"/>
    <n v="2019002"/>
    <x v="0"/>
    <s v="Mixed"/>
    <s v="Desi"/>
    <x v="5"/>
    <s v="N"/>
    <x v="0"/>
    <n v="170"/>
    <n v="170"/>
    <x v="2"/>
    <m/>
    <m/>
    <m/>
    <n v="6"/>
    <n v="18"/>
    <m/>
    <m/>
    <m/>
    <m/>
    <m/>
    <m/>
    <x v="9"/>
    <n v="6"/>
    <m/>
    <n v="163"/>
    <x v="0"/>
    <m/>
    <x v="0"/>
    <m/>
    <m/>
    <m/>
    <x v="1"/>
    <s v="30/04/2019"/>
    <d v="2019-04-30T00:00:00"/>
    <s v="2019002-170"/>
    <x v="1"/>
  </r>
  <r>
    <x v="18"/>
    <n v="2019002"/>
    <x v="0"/>
    <s v="Mixed"/>
    <s v="Desi"/>
    <x v="3"/>
    <s v="N"/>
    <x v="0"/>
    <n v="171"/>
    <n v="171"/>
    <x v="2"/>
    <m/>
    <m/>
    <m/>
    <n v="6"/>
    <n v="18"/>
    <m/>
    <m/>
    <m/>
    <m/>
    <m/>
    <m/>
    <x v="10"/>
    <n v="6"/>
    <m/>
    <n v="162"/>
    <x v="0"/>
    <m/>
    <x v="0"/>
    <m/>
    <m/>
    <m/>
    <x v="1"/>
    <s v="30/04/2019"/>
    <d v="2019-04-30T00:00:00"/>
    <s v="2019002-171"/>
    <x v="1"/>
  </r>
  <r>
    <x v="19"/>
    <n v="2019002"/>
    <x v="0"/>
    <s v="Mixed"/>
    <s v="Desi"/>
    <x v="4"/>
    <s v="Y"/>
    <x v="0"/>
    <n v="172"/>
    <n v="172"/>
    <x v="2"/>
    <m/>
    <m/>
    <m/>
    <n v="6"/>
    <n v="18"/>
    <m/>
    <m/>
    <m/>
    <m/>
    <m/>
    <m/>
    <x v="11"/>
    <n v="6"/>
    <m/>
    <n v="161"/>
    <x v="0"/>
    <m/>
    <x v="0"/>
    <m/>
    <m/>
    <m/>
    <x v="1"/>
    <s v="30/04/2019"/>
    <d v="2019-04-30T00:00:00"/>
    <s v="2019002-172"/>
    <x v="1"/>
  </r>
  <r>
    <x v="36"/>
    <n v="2019002"/>
    <x v="0"/>
    <s v="Mixed"/>
    <s v="Kabuli"/>
    <x v="6"/>
    <s v="N"/>
    <x v="0"/>
    <n v="201"/>
    <n v="201"/>
    <x v="0"/>
    <m/>
    <m/>
    <m/>
    <n v="1"/>
    <n v="1"/>
    <m/>
    <m/>
    <m/>
    <m/>
    <m/>
    <m/>
    <x v="0"/>
    <n v="1"/>
    <m/>
    <n v="201"/>
    <x v="0"/>
    <m/>
    <x v="0"/>
    <m/>
    <m/>
    <m/>
    <x v="2"/>
    <s v="21/05/2019"/>
    <d v="2019-05-21T00:00:00"/>
    <s v="2019002-201"/>
    <x v="2"/>
  </r>
  <r>
    <x v="37"/>
    <n v="2019002"/>
    <x v="0"/>
    <s v="Mixed"/>
    <s v="Kabuli"/>
    <x v="7"/>
    <s v="N"/>
    <x v="0"/>
    <n v="202"/>
    <n v="202"/>
    <x v="0"/>
    <m/>
    <m/>
    <m/>
    <n v="1"/>
    <n v="1"/>
    <m/>
    <m/>
    <m/>
    <m/>
    <m/>
    <m/>
    <x v="1"/>
    <n v="1"/>
    <m/>
    <n v="202"/>
    <x v="0"/>
    <m/>
    <x v="0"/>
    <m/>
    <m/>
    <m/>
    <x v="2"/>
    <s v="21/05/2019"/>
    <d v="2019-05-21T00:00:00"/>
    <s v="2019002-202"/>
    <x v="2"/>
  </r>
  <r>
    <x v="36"/>
    <n v="2019002"/>
    <x v="0"/>
    <s v="Mixed"/>
    <s v="Kabuli"/>
    <x v="6"/>
    <s v="N"/>
    <x v="0"/>
    <n v="203"/>
    <n v="203"/>
    <x v="0"/>
    <m/>
    <m/>
    <m/>
    <n v="1"/>
    <n v="1"/>
    <m/>
    <m/>
    <m/>
    <m/>
    <m/>
    <m/>
    <x v="2"/>
    <n v="1"/>
    <m/>
    <n v="203"/>
    <x v="0"/>
    <m/>
    <x v="0"/>
    <m/>
    <m/>
    <m/>
    <x v="2"/>
    <s v="21/05/2019"/>
    <d v="2019-05-21T00:00:00"/>
    <s v="2019002-203"/>
    <x v="2"/>
  </r>
  <r>
    <x v="38"/>
    <n v="2019002"/>
    <x v="0"/>
    <s v="Mixed"/>
    <s v="Kabuli"/>
    <x v="6"/>
    <s v="N"/>
    <x v="0"/>
    <n v="204"/>
    <n v="204"/>
    <x v="0"/>
    <m/>
    <m/>
    <m/>
    <n v="1"/>
    <n v="2"/>
    <m/>
    <m/>
    <m/>
    <m/>
    <m/>
    <m/>
    <x v="3"/>
    <n v="1"/>
    <m/>
    <n v="204"/>
    <x v="0"/>
    <m/>
    <x v="0"/>
    <m/>
    <m/>
    <m/>
    <x v="1"/>
    <s v="30/04/2019"/>
    <d v="2019-04-30T00:00:00"/>
    <s v="2019002-204"/>
    <x v="2"/>
  </r>
  <r>
    <x v="39"/>
    <n v="2019002"/>
    <x v="0"/>
    <s v="Mixed"/>
    <s v="Kabuli"/>
    <x v="7"/>
    <s v="N"/>
    <x v="0"/>
    <n v="205"/>
    <n v="205"/>
    <x v="0"/>
    <m/>
    <m/>
    <m/>
    <n v="1"/>
    <n v="2"/>
    <m/>
    <m/>
    <m/>
    <m/>
    <m/>
    <m/>
    <x v="4"/>
    <n v="1"/>
    <m/>
    <n v="205"/>
    <x v="0"/>
    <m/>
    <x v="0"/>
    <m/>
    <m/>
    <m/>
    <x v="1"/>
    <s v="30/04/2019"/>
    <d v="2019-04-30T00:00:00"/>
    <s v="2019002-205"/>
    <x v="2"/>
  </r>
  <r>
    <x v="38"/>
    <n v="2019002"/>
    <x v="0"/>
    <s v="Mixed"/>
    <s v="Kabuli"/>
    <x v="6"/>
    <s v="N"/>
    <x v="0"/>
    <n v="206"/>
    <n v="206"/>
    <x v="0"/>
    <m/>
    <m/>
    <m/>
    <n v="1"/>
    <n v="2"/>
    <m/>
    <m/>
    <m/>
    <m/>
    <m/>
    <m/>
    <x v="5"/>
    <n v="1"/>
    <m/>
    <n v="206"/>
    <x v="0"/>
    <m/>
    <x v="0"/>
    <m/>
    <m/>
    <m/>
    <x v="1"/>
    <s v="30/04/2019"/>
    <d v="2019-04-30T00:00:00"/>
    <s v="2019002-206"/>
    <x v="2"/>
  </r>
  <r>
    <x v="40"/>
    <n v="2019002"/>
    <x v="0"/>
    <s v="Mixed"/>
    <s v="Kabuli"/>
    <x v="7"/>
    <s v="N"/>
    <x v="0"/>
    <n v="207"/>
    <n v="207"/>
    <x v="0"/>
    <m/>
    <m/>
    <m/>
    <n v="1"/>
    <n v="3"/>
    <m/>
    <m/>
    <m/>
    <m/>
    <m/>
    <m/>
    <x v="6"/>
    <n v="1"/>
    <m/>
    <n v="207"/>
    <x v="0"/>
    <m/>
    <x v="0"/>
    <m/>
    <m/>
    <m/>
    <x v="0"/>
    <s v="11/06/2019"/>
    <d v="2019-06-11T00:00:00"/>
    <s v="2019002-207"/>
    <x v="2"/>
  </r>
  <r>
    <x v="41"/>
    <n v="2019002"/>
    <x v="0"/>
    <s v="Mixed"/>
    <s v="Kabuli"/>
    <x v="6"/>
    <s v="N"/>
    <x v="0"/>
    <n v="208"/>
    <n v="208"/>
    <x v="0"/>
    <m/>
    <m/>
    <m/>
    <n v="1"/>
    <n v="3"/>
    <m/>
    <m/>
    <m/>
    <m/>
    <m/>
    <m/>
    <x v="7"/>
    <n v="1"/>
    <m/>
    <n v="208"/>
    <x v="0"/>
    <m/>
    <x v="0"/>
    <m/>
    <m/>
    <m/>
    <x v="0"/>
    <s v="11/06/2019"/>
    <d v="2019-06-11T00:00:00"/>
    <s v="2019002-208"/>
    <x v="2"/>
  </r>
  <r>
    <x v="41"/>
    <n v="2019002"/>
    <x v="0"/>
    <s v="Mixed"/>
    <s v="Kabuli"/>
    <x v="6"/>
    <s v="N"/>
    <x v="0"/>
    <n v="209"/>
    <n v="209"/>
    <x v="0"/>
    <m/>
    <m/>
    <m/>
    <n v="1"/>
    <n v="3"/>
    <m/>
    <m/>
    <m/>
    <m/>
    <m/>
    <m/>
    <x v="8"/>
    <n v="1"/>
    <m/>
    <n v="209"/>
    <x v="0"/>
    <m/>
    <x v="0"/>
    <m/>
    <m/>
    <m/>
    <x v="0"/>
    <s v="11/06/2019"/>
    <d v="2019-06-11T00:00:00"/>
    <s v="2019002-209"/>
    <x v="2"/>
  </r>
  <r>
    <x v="42"/>
    <n v="2019002"/>
    <x v="0"/>
    <s v="Mixed"/>
    <s v="Kabuli"/>
    <x v="6"/>
    <s v="N"/>
    <x v="0"/>
    <n v="210"/>
    <n v="210"/>
    <x v="0"/>
    <m/>
    <m/>
    <m/>
    <n v="2"/>
    <n v="4"/>
    <m/>
    <m/>
    <m/>
    <m/>
    <m/>
    <m/>
    <x v="0"/>
    <n v="2"/>
    <m/>
    <n v="218"/>
    <x v="1"/>
    <m/>
    <x v="0"/>
    <m/>
    <m/>
    <m/>
    <x v="1"/>
    <s v="30/04/2019"/>
    <d v="2019-04-30T00:00:00"/>
    <s v="2019002-210"/>
    <x v="2"/>
  </r>
  <r>
    <x v="42"/>
    <n v="2019002"/>
    <x v="0"/>
    <s v="Mixed"/>
    <s v="Kabuli"/>
    <x v="6"/>
    <s v="N"/>
    <x v="0"/>
    <n v="211"/>
    <n v="211"/>
    <x v="0"/>
    <m/>
    <m/>
    <m/>
    <n v="2"/>
    <n v="4"/>
    <m/>
    <m/>
    <m/>
    <m/>
    <m/>
    <m/>
    <x v="1"/>
    <n v="2"/>
    <m/>
    <n v="217"/>
    <x v="1"/>
    <m/>
    <x v="0"/>
    <m/>
    <m/>
    <m/>
    <x v="1"/>
    <s v="30/04/2019"/>
    <d v="2019-04-30T00:00:00"/>
    <s v="2019002-211"/>
    <x v="2"/>
  </r>
  <r>
    <x v="43"/>
    <n v="2019002"/>
    <x v="0"/>
    <s v="Mixed"/>
    <s v="Kabuli"/>
    <x v="7"/>
    <s v="N"/>
    <x v="0"/>
    <n v="212"/>
    <n v="212"/>
    <x v="0"/>
    <m/>
    <m/>
    <m/>
    <n v="2"/>
    <n v="4"/>
    <m/>
    <m/>
    <m/>
    <m/>
    <m/>
    <m/>
    <x v="2"/>
    <n v="2"/>
    <m/>
    <n v="216"/>
    <x v="1"/>
    <m/>
    <x v="0"/>
    <m/>
    <m/>
    <m/>
    <x v="1"/>
    <s v="30/04/2019"/>
    <d v="2019-04-30T00:00:00"/>
    <s v="2019002-212"/>
    <x v="2"/>
  </r>
  <r>
    <x v="44"/>
    <n v="2019002"/>
    <x v="0"/>
    <s v="Mixed"/>
    <s v="Kabuli"/>
    <x v="6"/>
    <s v="N"/>
    <x v="0"/>
    <n v="213"/>
    <n v="213"/>
    <x v="0"/>
    <m/>
    <m/>
    <m/>
    <n v="2"/>
    <n v="5"/>
    <m/>
    <m/>
    <m/>
    <m/>
    <m/>
    <m/>
    <x v="3"/>
    <n v="2"/>
    <m/>
    <n v="215"/>
    <x v="1"/>
    <m/>
    <x v="0"/>
    <m/>
    <m/>
    <m/>
    <x v="0"/>
    <s v="11/06/2019"/>
    <d v="2019-06-11T00:00:00"/>
    <s v="2019002-213"/>
    <x v="2"/>
  </r>
  <r>
    <x v="44"/>
    <n v="2019002"/>
    <x v="0"/>
    <s v="Mixed"/>
    <s v="Kabuli"/>
    <x v="6"/>
    <s v="N"/>
    <x v="0"/>
    <n v="214"/>
    <n v="214"/>
    <x v="0"/>
    <m/>
    <m/>
    <m/>
    <n v="2"/>
    <n v="5"/>
    <m/>
    <m/>
    <m/>
    <m/>
    <m/>
    <m/>
    <x v="4"/>
    <n v="2"/>
    <m/>
    <n v="214"/>
    <x v="1"/>
    <m/>
    <x v="0"/>
    <m/>
    <m/>
    <m/>
    <x v="0"/>
    <s v="11/06/2019"/>
    <d v="2019-06-11T00:00:00"/>
    <s v="2019002-214"/>
    <x v="2"/>
  </r>
  <r>
    <x v="45"/>
    <n v="2019002"/>
    <x v="0"/>
    <s v="Mixed"/>
    <s v="Kabuli"/>
    <x v="7"/>
    <s v="N"/>
    <x v="0"/>
    <n v="215"/>
    <n v="215"/>
    <x v="0"/>
    <m/>
    <m/>
    <m/>
    <n v="2"/>
    <n v="5"/>
    <m/>
    <m/>
    <m/>
    <m/>
    <m/>
    <m/>
    <x v="5"/>
    <n v="2"/>
    <m/>
    <n v="213"/>
    <x v="1"/>
    <m/>
    <x v="0"/>
    <m/>
    <m/>
    <m/>
    <x v="0"/>
    <s v="11/06/2019"/>
    <d v="2019-06-11T00:00:00"/>
    <s v="2019002-215"/>
    <x v="2"/>
  </r>
  <r>
    <x v="46"/>
    <n v="2019002"/>
    <x v="0"/>
    <s v="Mixed"/>
    <s v="Kabuli"/>
    <x v="6"/>
    <s v="N"/>
    <x v="0"/>
    <n v="216"/>
    <n v="216"/>
    <x v="0"/>
    <m/>
    <m/>
    <m/>
    <n v="2"/>
    <n v="6"/>
    <m/>
    <m/>
    <m/>
    <m/>
    <m/>
    <m/>
    <x v="6"/>
    <n v="2"/>
    <m/>
    <n v="212"/>
    <x v="1"/>
    <m/>
    <x v="0"/>
    <m/>
    <m/>
    <m/>
    <x v="2"/>
    <s v="21/05/2019"/>
    <d v="2019-05-21T00:00:00"/>
    <s v="2019002-216"/>
    <x v="2"/>
  </r>
  <r>
    <x v="46"/>
    <n v="2019002"/>
    <x v="0"/>
    <s v="Mixed"/>
    <s v="Kabuli"/>
    <x v="6"/>
    <s v="N"/>
    <x v="0"/>
    <n v="217"/>
    <n v="217"/>
    <x v="0"/>
    <m/>
    <m/>
    <m/>
    <n v="2"/>
    <n v="6"/>
    <m/>
    <m/>
    <m/>
    <m/>
    <m/>
    <m/>
    <x v="7"/>
    <n v="2"/>
    <m/>
    <n v="211"/>
    <x v="1"/>
    <m/>
    <x v="0"/>
    <m/>
    <m/>
    <m/>
    <x v="2"/>
    <s v="21/05/2019"/>
    <d v="2019-05-21T00:00:00"/>
    <s v="2019002-217"/>
    <x v="2"/>
  </r>
  <r>
    <x v="47"/>
    <n v="2019002"/>
    <x v="0"/>
    <s v="Mixed"/>
    <s v="Kabuli"/>
    <x v="7"/>
    <s v="N"/>
    <x v="0"/>
    <n v="218"/>
    <n v="218"/>
    <x v="0"/>
    <m/>
    <m/>
    <m/>
    <n v="2"/>
    <n v="6"/>
    <m/>
    <m/>
    <m/>
    <m/>
    <m/>
    <m/>
    <x v="8"/>
    <n v="2"/>
    <m/>
    <n v="210"/>
    <x v="1"/>
    <m/>
    <x v="0"/>
    <m/>
    <m/>
    <m/>
    <x v="2"/>
    <s v="21/05/2019"/>
    <d v="2019-05-21T00:00:00"/>
    <s v="2019002-218"/>
    <x v="2"/>
  </r>
  <r>
    <x v="40"/>
    <n v="2019002"/>
    <x v="0"/>
    <s v="Mixed"/>
    <s v="Kabuli"/>
    <x v="7"/>
    <s v="N"/>
    <x v="0"/>
    <n v="219"/>
    <n v="219"/>
    <x v="1"/>
    <m/>
    <m/>
    <m/>
    <n v="3"/>
    <n v="7"/>
    <m/>
    <m/>
    <m/>
    <m/>
    <m/>
    <m/>
    <x v="0"/>
    <n v="3"/>
    <m/>
    <n v="219"/>
    <x v="0"/>
    <m/>
    <x v="0"/>
    <m/>
    <m/>
    <m/>
    <x v="0"/>
    <s v="11/06/2019"/>
    <d v="2019-06-11T00:00:00"/>
    <s v="2019002-219"/>
    <x v="2"/>
  </r>
  <r>
    <x v="41"/>
    <n v="2019002"/>
    <x v="0"/>
    <s v="Mixed"/>
    <s v="Kabuli"/>
    <x v="6"/>
    <s v="N"/>
    <x v="0"/>
    <n v="220"/>
    <n v="220"/>
    <x v="1"/>
    <m/>
    <m/>
    <m/>
    <n v="3"/>
    <n v="7"/>
    <m/>
    <m/>
    <m/>
    <m/>
    <m/>
    <m/>
    <x v="1"/>
    <n v="3"/>
    <m/>
    <n v="220"/>
    <x v="0"/>
    <m/>
    <x v="0"/>
    <m/>
    <m/>
    <m/>
    <x v="0"/>
    <s v="11/06/2019"/>
    <d v="2019-06-11T00:00:00"/>
    <s v="2019002-220"/>
    <x v="2"/>
  </r>
  <r>
    <x v="41"/>
    <n v="2019002"/>
    <x v="0"/>
    <s v="Mixed"/>
    <s v="Kabuli"/>
    <x v="6"/>
    <s v="N"/>
    <x v="0"/>
    <n v="221"/>
    <n v="221"/>
    <x v="1"/>
    <m/>
    <m/>
    <m/>
    <n v="3"/>
    <n v="7"/>
    <m/>
    <m/>
    <m/>
    <m/>
    <m/>
    <m/>
    <x v="2"/>
    <n v="3"/>
    <m/>
    <n v="221"/>
    <x v="0"/>
    <m/>
    <x v="0"/>
    <m/>
    <m/>
    <m/>
    <x v="0"/>
    <s v="11/06/2019"/>
    <d v="2019-06-11T00:00:00"/>
    <s v="2019002-221"/>
    <x v="2"/>
  </r>
  <r>
    <x v="37"/>
    <n v="2019002"/>
    <x v="0"/>
    <s v="Mixed"/>
    <s v="Kabuli"/>
    <x v="7"/>
    <s v="N"/>
    <x v="0"/>
    <n v="222"/>
    <n v="222"/>
    <x v="1"/>
    <m/>
    <m/>
    <m/>
    <n v="3"/>
    <n v="8"/>
    <m/>
    <m/>
    <m/>
    <m/>
    <m/>
    <m/>
    <x v="3"/>
    <n v="3"/>
    <m/>
    <n v="222"/>
    <x v="0"/>
    <m/>
    <x v="0"/>
    <m/>
    <m/>
    <m/>
    <x v="2"/>
    <s v="21/05/2019"/>
    <d v="2019-05-21T00:00:00"/>
    <s v="2019002-222"/>
    <x v="2"/>
  </r>
  <r>
    <x v="36"/>
    <n v="2019002"/>
    <x v="0"/>
    <s v="Mixed"/>
    <s v="Kabuli"/>
    <x v="6"/>
    <s v="N"/>
    <x v="0"/>
    <n v="223"/>
    <n v="223"/>
    <x v="1"/>
    <m/>
    <m/>
    <m/>
    <n v="3"/>
    <n v="8"/>
    <m/>
    <m/>
    <m/>
    <m/>
    <m/>
    <m/>
    <x v="4"/>
    <n v="3"/>
    <m/>
    <n v="223"/>
    <x v="0"/>
    <m/>
    <x v="0"/>
    <m/>
    <m/>
    <m/>
    <x v="2"/>
    <s v="21/05/2019"/>
    <d v="2019-05-21T00:00:00"/>
    <s v="2019002-223"/>
    <x v="2"/>
  </r>
  <r>
    <x v="36"/>
    <n v="2019002"/>
    <x v="0"/>
    <s v="Mixed"/>
    <s v="Kabuli"/>
    <x v="6"/>
    <s v="N"/>
    <x v="0"/>
    <n v="224"/>
    <n v="224"/>
    <x v="1"/>
    <m/>
    <m/>
    <m/>
    <n v="3"/>
    <n v="8"/>
    <m/>
    <m/>
    <m/>
    <m/>
    <m/>
    <m/>
    <x v="5"/>
    <n v="3"/>
    <m/>
    <n v="224"/>
    <x v="0"/>
    <m/>
    <x v="0"/>
    <m/>
    <m/>
    <m/>
    <x v="2"/>
    <s v="21/05/2019"/>
    <d v="2019-05-21T00:00:00"/>
    <s v="2019002-224"/>
    <x v="2"/>
  </r>
  <r>
    <x v="38"/>
    <n v="2019002"/>
    <x v="0"/>
    <s v="Mixed"/>
    <s v="Kabuli"/>
    <x v="6"/>
    <s v="N"/>
    <x v="0"/>
    <n v="225"/>
    <n v="225"/>
    <x v="1"/>
    <m/>
    <m/>
    <m/>
    <n v="3"/>
    <n v="9"/>
    <m/>
    <m/>
    <m/>
    <m/>
    <m/>
    <m/>
    <x v="6"/>
    <n v="3"/>
    <m/>
    <n v="225"/>
    <x v="0"/>
    <m/>
    <x v="0"/>
    <m/>
    <m/>
    <m/>
    <x v="1"/>
    <s v="30/04/2019"/>
    <d v="2019-04-30T00:00:00"/>
    <s v="2019002-225"/>
    <x v="2"/>
  </r>
  <r>
    <x v="39"/>
    <n v="2019002"/>
    <x v="0"/>
    <s v="Mixed"/>
    <s v="Kabuli"/>
    <x v="7"/>
    <s v="N"/>
    <x v="0"/>
    <n v="226"/>
    <n v="226"/>
    <x v="1"/>
    <m/>
    <m/>
    <m/>
    <n v="3"/>
    <n v="9"/>
    <m/>
    <m/>
    <m/>
    <m/>
    <m/>
    <m/>
    <x v="7"/>
    <n v="3"/>
    <m/>
    <n v="226"/>
    <x v="0"/>
    <m/>
    <x v="0"/>
    <m/>
    <m/>
    <m/>
    <x v="1"/>
    <s v="30/04/2019"/>
    <d v="2019-04-30T00:00:00"/>
    <s v="2019002-226"/>
    <x v="2"/>
  </r>
  <r>
    <x v="38"/>
    <n v="2019002"/>
    <x v="0"/>
    <s v="Mixed"/>
    <s v="Kabuli"/>
    <x v="6"/>
    <s v="N"/>
    <x v="0"/>
    <n v="227"/>
    <n v="227"/>
    <x v="1"/>
    <m/>
    <m/>
    <m/>
    <n v="3"/>
    <n v="9"/>
    <m/>
    <m/>
    <m/>
    <m/>
    <m/>
    <m/>
    <x v="8"/>
    <n v="3"/>
    <m/>
    <n v="227"/>
    <x v="0"/>
    <m/>
    <x v="0"/>
    <m/>
    <m/>
    <m/>
    <x v="1"/>
    <s v="30/04/2019"/>
    <d v="2019-04-30T00:00:00"/>
    <s v="2019002-227"/>
    <x v="2"/>
  </r>
  <r>
    <x v="47"/>
    <n v="2019002"/>
    <x v="0"/>
    <s v="Mixed"/>
    <s v="Kabuli"/>
    <x v="7"/>
    <s v="N"/>
    <x v="0"/>
    <n v="228"/>
    <n v="228"/>
    <x v="1"/>
    <m/>
    <m/>
    <m/>
    <n v="4"/>
    <n v="10"/>
    <m/>
    <m/>
    <m/>
    <m/>
    <m/>
    <m/>
    <x v="0"/>
    <n v="4"/>
    <m/>
    <n v="236"/>
    <x v="1"/>
    <m/>
    <x v="0"/>
    <m/>
    <m/>
    <m/>
    <x v="2"/>
    <s v="21/05/2019"/>
    <d v="2019-05-21T00:00:00"/>
    <s v="2019002-228"/>
    <x v="2"/>
  </r>
  <r>
    <x v="46"/>
    <n v="2019002"/>
    <x v="0"/>
    <s v="Mixed"/>
    <s v="Kabuli"/>
    <x v="6"/>
    <s v="N"/>
    <x v="0"/>
    <n v="229"/>
    <n v="229"/>
    <x v="1"/>
    <m/>
    <m/>
    <m/>
    <n v="4"/>
    <n v="10"/>
    <m/>
    <m/>
    <m/>
    <m/>
    <m/>
    <m/>
    <x v="1"/>
    <n v="4"/>
    <m/>
    <n v="235"/>
    <x v="1"/>
    <m/>
    <x v="0"/>
    <m/>
    <m/>
    <m/>
    <x v="2"/>
    <s v="21/05/2019"/>
    <d v="2019-05-21T00:00:00"/>
    <s v="2019002-229"/>
    <x v="2"/>
  </r>
  <r>
    <x v="46"/>
    <n v="2019002"/>
    <x v="0"/>
    <s v="Mixed"/>
    <s v="Kabuli"/>
    <x v="6"/>
    <s v="N"/>
    <x v="0"/>
    <n v="230"/>
    <n v="230"/>
    <x v="1"/>
    <m/>
    <m/>
    <m/>
    <n v="4"/>
    <n v="10"/>
    <m/>
    <m/>
    <m/>
    <m/>
    <m/>
    <m/>
    <x v="2"/>
    <n v="4"/>
    <m/>
    <n v="234"/>
    <x v="1"/>
    <m/>
    <x v="0"/>
    <m/>
    <m/>
    <m/>
    <x v="2"/>
    <s v="21/05/2019"/>
    <d v="2019-05-21T00:00:00"/>
    <s v="2019002-230"/>
    <x v="2"/>
  </r>
  <r>
    <x v="42"/>
    <n v="2019002"/>
    <x v="0"/>
    <s v="Mixed"/>
    <s v="Kabuli"/>
    <x v="6"/>
    <s v="N"/>
    <x v="0"/>
    <n v="231"/>
    <n v="231"/>
    <x v="1"/>
    <m/>
    <m/>
    <m/>
    <n v="4"/>
    <n v="11"/>
    <m/>
    <m/>
    <m/>
    <m/>
    <m/>
    <m/>
    <x v="3"/>
    <n v="4"/>
    <m/>
    <n v="233"/>
    <x v="1"/>
    <m/>
    <x v="0"/>
    <m/>
    <m/>
    <m/>
    <x v="1"/>
    <s v="30/04/2019"/>
    <d v="2019-04-30T00:00:00"/>
    <s v="2019002-231"/>
    <x v="2"/>
  </r>
  <r>
    <x v="43"/>
    <n v="2019002"/>
    <x v="0"/>
    <s v="Mixed"/>
    <s v="Kabuli"/>
    <x v="7"/>
    <s v="N"/>
    <x v="0"/>
    <n v="232"/>
    <n v="232"/>
    <x v="1"/>
    <m/>
    <m/>
    <m/>
    <n v="4"/>
    <n v="11"/>
    <m/>
    <m/>
    <m/>
    <m/>
    <m/>
    <m/>
    <x v="4"/>
    <n v="4"/>
    <m/>
    <n v="232"/>
    <x v="1"/>
    <m/>
    <x v="0"/>
    <m/>
    <m/>
    <m/>
    <x v="1"/>
    <s v="30/04/2019"/>
    <d v="2019-04-30T00:00:00"/>
    <s v="2019002-232"/>
    <x v="2"/>
  </r>
  <r>
    <x v="42"/>
    <n v="2019002"/>
    <x v="0"/>
    <s v="Mixed"/>
    <s v="Kabuli"/>
    <x v="6"/>
    <s v="N"/>
    <x v="0"/>
    <n v="233"/>
    <n v="233"/>
    <x v="1"/>
    <m/>
    <m/>
    <m/>
    <n v="4"/>
    <n v="11"/>
    <m/>
    <m/>
    <m/>
    <m/>
    <m/>
    <m/>
    <x v="5"/>
    <n v="4"/>
    <m/>
    <n v="231"/>
    <x v="1"/>
    <m/>
    <x v="0"/>
    <m/>
    <m/>
    <m/>
    <x v="1"/>
    <s v="30/04/2019"/>
    <d v="2019-04-30T00:00:00"/>
    <s v="2019002-233"/>
    <x v="2"/>
  </r>
  <r>
    <x v="45"/>
    <n v="2019002"/>
    <x v="0"/>
    <s v="Mixed"/>
    <s v="Kabuli"/>
    <x v="7"/>
    <s v="N"/>
    <x v="0"/>
    <n v="234"/>
    <n v="234"/>
    <x v="1"/>
    <m/>
    <m/>
    <m/>
    <n v="4"/>
    <n v="12"/>
    <m/>
    <m/>
    <m/>
    <m/>
    <m/>
    <m/>
    <x v="6"/>
    <n v="4"/>
    <m/>
    <n v="230"/>
    <x v="1"/>
    <m/>
    <x v="0"/>
    <m/>
    <m/>
    <m/>
    <x v="0"/>
    <s v="11/06/2019"/>
    <d v="2019-06-11T00:00:00"/>
    <s v="2019002-234"/>
    <x v="2"/>
  </r>
  <r>
    <x v="44"/>
    <n v="2019002"/>
    <x v="0"/>
    <s v="Mixed"/>
    <s v="Kabuli"/>
    <x v="6"/>
    <s v="N"/>
    <x v="0"/>
    <n v="235"/>
    <n v="235"/>
    <x v="1"/>
    <m/>
    <m/>
    <m/>
    <n v="4"/>
    <n v="12"/>
    <m/>
    <m/>
    <m/>
    <m/>
    <m/>
    <m/>
    <x v="7"/>
    <n v="4"/>
    <m/>
    <n v="229"/>
    <x v="1"/>
    <m/>
    <x v="0"/>
    <m/>
    <m/>
    <m/>
    <x v="0"/>
    <s v="11/06/2019"/>
    <d v="2019-06-11T00:00:00"/>
    <s v="2019002-235"/>
    <x v="2"/>
  </r>
  <r>
    <x v="44"/>
    <n v="2019002"/>
    <x v="0"/>
    <s v="Mixed"/>
    <s v="Kabuli"/>
    <x v="6"/>
    <s v="N"/>
    <x v="0"/>
    <n v="236"/>
    <n v="236"/>
    <x v="1"/>
    <m/>
    <m/>
    <m/>
    <n v="4"/>
    <n v="12"/>
    <m/>
    <m/>
    <m/>
    <m/>
    <m/>
    <m/>
    <x v="8"/>
    <n v="4"/>
    <m/>
    <n v="228"/>
    <x v="1"/>
    <m/>
    <x v="0"/>
    <m/>
    <m/>
    <m/>
    <x v="0"/>
    <s v="11/06/2019"/>
    <d v="2019-06-11T00:00:00"/>
    <s v="2019002-236"/>
    <x v="2"/>
  </r>
  <r>
    <x v="42"/>
    <n v="2019002"/>
    <x v="0"/>
    <s v="Mixed"/>
    <s v="Kabuli"/>
    <x v="6"/>
    <s v="N"/>
    <x v="0"/>
    <n v="237"/>
    <n v="237"/>
    <x v="2"/>
    <m/>
    <m/>
    <m/>
    <n v="5"/>
    <n v="13"/>
    <m/>
    <m/>
    <m/>
    <m/>
    <m/>
    <m/>
    <x v="0"/>
    <n v="5"/>
    <m/>
    <n v="237"/>
    <x v="1"/>
    <m/>
    <x v="0"/>
    <m/>
    <m/>
    <m/>
    <x v="1"/>
    <s v="30/04/2019"/>
    <d v="2019-04-30T00:00:00"/>
    <s v="2019002-237"/>
    <x v="2"/>
  </r>
  <r>
    <x v="43"/>
    <n v="2019002"/>
    <x v="0"/>
    <s v="Mixed"/>
    <s v="Kabuli"/>
    <x v="7"/>
    <s v="N"/>
    <x v="0"/>
    <n v="238"/>
    <n v="238"/>
    <x v="2"/>
    <m/>
    <m/>
    <m/>
    <n v="5"/>
    <n v="13"/>
    <m/>
    <m/>
    <m/>
    <m/>
    <m/>
    <m/>
    <x v="1"/>
    <n v="5"/>
    <m/>
    <n v="238"/>
    <x v="1"/>
    <m/>
    <x v="0"/>
    <m/>
    <m/>
    <m/>
    <x v="1"/>
    <s v="30/04/2019"/>
    <d v="2019-04-30T00:00:00"/>
    <s v="2019002-238"/>
    <x v="2"/>
  </r>
  <r>
    <x v="42"/>
    <n v="2019002"/>
    <x v="0"/>
    <s v="Mixed"/>
    <s v="Kabuli"/>
    <x v="6"/>
    <s v="N"/>
    <x v="0"/>
    <n v="239"/>
    <n v="239"/>
    <x v="2"/>
    <m/>
    <m/>
    <m/>
    <n v="5"/>
    <n v="13"/>
    <m/>
    <m/>
    <m/>
    <m/>
    <m/>
    <m/>
    <x v="2"/>
    <n v="5"/>
    <m/>
    <n v="239"/>
    <x v="1"/>
    <m/>
    <x v="0"/>
    <m/>
    <m/>
    <m/>
    <x v="1"/>
    <s v="30/04/2019"/>
    <d v="2019-04-30T00:00:00"/>
    <s v="2019002-239"/>
    <x v="2"/>
  </r>
  <r>
    <x v="44"/>
    <n v="2019002"/>
    <x v="0"/>
    <s v="Mixed"/>
    <s v="Kabuli"/>
    <x v="6"/>
    <s v="N"/>
    <x v="0"/>
    <n v="240"/>
    <n v="240"/>
    <x v="2"/>
    <m/>
    <m/>
    <m/>
    <n v="5"/>
    <n v="14"/>
    <m/>
    <m/>
    <m/>
    <m/>
    <m/>
    <m/>
    <x v="3"/>
    <n v="5"/>
    <m/>
    <n v="240"/>
    <x v="1"/>
    <m/>
    <x v="0"/>
    <m/>
    <m/>
    <m/>
    <x v="0"/>
    <s v="11/06/2019"/>
    <d v="2019-06-11T00:00:00"/>
    <s v="2019002-240"/>
    <x v="2"/>
  </r>
  <r>
    <x v="44"/>
    <n v="2019002"/>
    <x v="0"/>
    <s v="Mixed"/>
    <s v="Kabuli"/>
    <x v="6"/>
    <s v="N"/>
    <x v="0"/>
    <n v="241"/>
    <n v="241"/>
    <x v="2"/>
    <m/>
    <m/>
    <m/>
    <n v="5"/>
    <n v="14"/>
    <m/>
    <m/>
    <m/>
    <m/>
    <m/>
    <m/>
    <x v="4"/>
    <n v="5"/>
    <m/>
    <n v="241"/>
    <x v="1"/>
    <m/>
    <x v="0"/>
    <m/>
    <m/>
    <m/>
    <x v="0"/>
    <s v="11/06/2019"/>
    <d v="2019-06-11T00:00:00"/>
    <s v="2019002-241"/>
    <x v="2"/>
  </r>
  <r>
    <x v="45"/>
    <n v="2019002"/>
    <x v="0"/>
    <s v="Mixed"/>
    <s v="Kabuli"/>
    <x v="7"/>
    <s v="N"/>
    <x v="0"/>
    <n v="242"/>
    <n v="242"/>
    <x v="2"/>
    <m/>
    <m/>
    <m/>
    <n v="5"/>
    <n v="14"/>
    <m/>
    <m/>
    <m/>
    <m/>
    <m/>
    <m/>
    <x v="5"/>
    <n v="5"/>
    <m/>
    <n v="242"/>
    <x v="1"/>
    <m/>
    <x v="0"/>
    <m/>
    <m/>
    <m/>
    <x v="0"/>
    <s v="11/06/2019"/>
    <d v="2019-06-11T00:00:00"/>
    <s v="2019002-242"/>
    <x v="2"/>
  </r>
  <r>
    <x v="46"/>
    <n v="2019002"/>
    <x v="0"/>
    <s v="Mixed"/>
    <s v="Kabuli"/>
    <x v="6"/>
    <s v="N"/>
    <x v="0"/>
    <n v="243"/>
    <n v="243"/>
    <x v="2"/>
    <m/>
    <m/>
    <m/>
    <n v="5"/>
    <n v="15"/>
    <m/>
    <m/>
    <m/>
    <m/>
    <m/>
    <m/>
    <x v="6"/>
    <n v="5"/>
    <m/>
    <n v="243"/>
    <x v="1"/>
    <m/>
    <x v="0"/>
    <m/>
    <m/>
    <m/>
    <x v="2"/>
    <s v="21/05/2019"/>
    <d v="2019-05-21T00:00:00"/>
    <s v="2019002-243"/>
    <x v="2"/>
  </r>
  <r>
    <x v="46"/>
    <n v="2019002"/>
    <x v="0"/>
    <s v="Mixed"/>
    <s v="Kabuli"/>
    <x v="6"/>
    <s v="N"/>
    <x v="0"/>
    <n v="244"/>
    <n v="244"/>
    <x v="2"/>
    <m/>
    <m/>
    <m/>
    <n v="5"/>
    <n v="15"/>
    <m/>
    <m/>
    <m/>
    <m/>
    <m/>
    <m/>
    <x v="7"/>
    <n v="5"/>
    <m/>
    <n v="244"/>
    <x v="1"/>
    <m/>
    <x v="0"/>
    <m/>
    <m/>
    <m/>
    <x v="2"/>
    <s v="21/05/2019"/>
    <d v="2019-05-21T00:00:00"/>
    <s v="2019002-244"/>
    <x v="2"/>
  </r>
  <r>
    <x v="47"/>
    <n v="2019002"/>
    <x v="0"/>
    <s v="Mixed"/>
    <s v="Kabuli"/>
    <x v="7"/>
    <s v="N"/>
    <x v="0"/>
    <n v="245"/>
    <n v="245"/>
    <x v="2"/>
    <m/>
    <m/>
    <m/>
    <n v="5"/>
    <n v="15"/>
    <m/>
    <m/>
    <m/>
    <m/>
    <m/>
    <m/>
    <x v="8"/>
    <n v="5"/>
    <m/>
    <n v="245"/>
    <x v="1"/>
    <m/>
    <x v="0"/>
    <m/>
    <m/>
    <m/>
    <x v="2"/>
    <s v="21/05/2019"/>
    <d v="2019-05-21T00:00:00"/>
    <s v="2019002-245"/>
    <x v="2"/>
  </r>
  <r>
    <x v="41"/>
    <n v="2019002"/>
    <x v="0"/>
    <s v="Mixed"/>
    <s v="Kabuli"/>
    <x v="6"/>
    <s v="N"/>
    <x v="0"/>
    <n v="246"/>
    <n v="246"/>
    <x v="2"/>
    <m/>
    <m/>
    <m/>
    <n v="6"/>
    <n v="16"/>
    <m/>
    <m/>
    <m/>
    <m/>
    <m/>
    <m/>
    <x v="0"/>
    <n v="6"/>
    <m/>
    <n v="254"/>
    <x v="0"/>
    <m/>
    <x v="0"/>
    <m/>
    <m/>
    <m/>
    <x v="0"/>
    <s v="11/06/2019"/>
    <d v="2019-06-11T00:00:00"/>
    <s v="2019002-246"/>
    <x v="2"/>
  </r>
  <r>
    <x v="41"/>
    <n v="2019002"/>
    <x v="0"/>
    <s v="Mixed"/>
    <s v="Kabuli"/>
    <x v="6"/>
    <s v="N"/>
    <x v="0"/>
    <n v="247"/>
    <n v="247"/>
    <x v="2"/>
    <m/>
    <m/>
    <m/>
    <n v="6"/>
    <n v="16"/>
    <m/>
    <m/>
    <m/>
    <m/>
    <m/>
    <m/>
    <x v="1"/>
    <n v="6"/>
    <m/>
    <n v="253"/>
    <x v="0"/>
    <m/>
    <x v="0"/>
    <m/>
    <m/>
    <m/>
    <x v="0"/>
    <s v="11/06/2019"/>
    <d v="2019-06-11T00:00:00"/>
    <s v="2019002-247"/>
    <x v="2"/>
  </r>
  <r>
    <x v="40"/>
    <n v="2019002"/>
    <x v="0"/>
    <s v="Mixed"/>
    <s v="Kabuli"/>
    <x v="7"/>
    <s v="N"/>
    <x v="0"/>
    <n v="248"/>
    <n v="248"/>
    <x v="2"/>
    <m/>
    <m/>
    <m/>
    <n v="6"/>
    <n v="16"/>
    <m/>
    <m/>
    <m/>
    <m/>
    <m/>
    <m/>
    <x v="2"/>
    <n v="6"/>
    <m/>
    <n v="252"/>
    <x v="0"/>
    <m/>
    <x v="0"/>
    <m/>
    <m/>
    <m/>
    <x v="0"/>
    <s v="11/06/2019"/>
    <d v="2019-06-11T00:00:00"/>
    <s v="2019002-248"/>
    <x v="2"/>
  </r>
  <r>
    <x v="37"/>
    <n v="2019002"/>
    <x v="0"/>
    <s v="Mixed"/>
    <s v="Kabuli"/>
    <x v="7"/>
    <s v="N"/>
    <x v="0"/>
    <n v="249"/>
    <n v="249"/>
    <x v="2"/>
    <m/>
    <m/>
    <m/>
    <n v="6"/>
    <n v="17"/>
    <m/>
    <m/>
    <m/>
    <m/>
    <m/>
    <m/>
    <x v="3"/>
    <n v="6"/>
    <m/>
    <n v="251"/>
    <x v="0"/>
    <m/>
    <x v="0"/>
    <m/>
    <m/>
    <m/>
    <x v="2"/>
    <s v="21/05/2019"/>
    <d v="2019-05-21T00:00:00"/>
    <s v="2019002-249"/>
    <x v="2"/>
  </r>
  <r>
    <x v="36"/>
    <n v="2019002"/>
    <x v="0"/>
    <s v="Mixed"/>
    <s v="Kabuli"/>
    <x v="6"/>
    <s v="N"/>
    <x v="0"/>
    <n v="250"/>
    <n v="250"/>
    <x v="2"/>
    <m/>
    <m/>
    <m/>
    <n v="6"/>
    <n v="17"/>
    <m/>
    <m/>
    <m/>
    <m/>
    <m/>
    <m/>
    <x v="4"/>
    <n v="6"/>
    <m/>
    <n v="250"/>
    <x v="0"/>
    <m/>
    <x v="0"/>
    <m/>
    <m/>
    <m/>
    <x v="2"/>
    <s v="21/05/2019"/>
    <d v="2019-05-21T00:00:00"/>
    <s v="2019002-250"/>
    <x v="2"/>
  </r>
  <r>
    <x v="36"/>
    <n v="2019002"/>
    <x v="0"/>
    <s v="Mixed"/>
    <s v="Kabuli"/>
    <x v="6"/>
    <s v="N"/>
    <x v="0"/>
    <n v="251"/>
    <n v="251"/>
    <x v="2"/>
    <m/>
    <m/>
    <m/>
    <n v="6"/>
    <n v="17"/>
    <m/>
    <m/>
    <m/>
    <m/>
    <m/>
    <m/>
    <x v="5"/>
    <n v="6"/>
    <m/>
    <n v="249"/>
    <x v="0"/>
    <m/>
    <x v="0"/>
    <m/>
    <m/>
    <m/>
    <x v="2"/>
    <s v="21/05/2019"/>
    <d v="2019-05-21T00:00:00"/>
    <s v="2019002-251"/>
    <x v="2"/>
  </r>
  <r>
    <x v="38"/>
    <n v="2019002"/>
    <x v="0"/>
    <s v="Mixed"/>
    <s v="Kabuli"/>
    <x v="6"/>
    <s v="N"/>
    <x v="0"/>
    <n v="252"/>
    <n v="252"/>
    <x v="2"/>
    <m/>
    <m/>
    <m/>
    <n v="6"/>
    <n v="18"/>
    <m/>
    <m/>
    <m/>
    <m/>
    <m/>
    <m/>
    <x v="6"/>
    <n v="6"/>
    <m/>
    <n v="248"/>
    <x v="0"/>
    <m/>
    <x v="0"/>
    <m/>
    <m/>
    <m/>
    <x v="1"/>
    <s v="30/04/2019"/>
    <d v="2019-04-30T00:00:00"/>
    <s v="2019002-252"/>
    <x v="2"/>
  </r>
  <r>
    <x v="39"/>
    <n v="2019002"/>
    <x v="0"/>
    <s v="Mixed"/>
    <s v="Kabuli"/>
    <x v="7"/>
    <s v="N"/>
    <x v="0"/>
    <n v="253"/>
    <n v="253"/>
    <x v="2"/>
    <m/>
    <m/>
    <m/>
    <n v="6"/>
    <n v="18"/>
    <m/>
    <m/>
    <m/>
    <m/>
    <m/>
    <m/>
    <x v="7"/>
    <n v="6"/>
    <m/>
    <n v="247"/>
    <x v="0"/>
    <m/>
    <x v="0"/>
    <m/>
    <m/>
    <m/>
    <x v="1"/>
    <s v="30/04/2019"/>
    <d v="2019-04-30T00:00:00"/>
    <s v="2019002-253"/>
    <x v="2"/>
  </r>
  <r>
    <x v="38"/>
    <n v="2019002"/>
    <x v="0"/>
    <s v="Mixed"/>
    <s v="Kabuli"/>
    <x v="6"/>
    <s v="N"/>
    <x v="0"/>
    <n v="254"/>
    <n v="254"/>
    <x v="2"/>
    <m/>
    <m/>
    <m/>
    <n v="6"/>
    <n v="18"/>
    <m/>
    <m/>
    <m/>
    <m/>
    <m/>
    <m/>
    <x v="8"/>
    <n v="6"/>
    <m/>
    <n v="246"/>
    <x v="0"/>
    <m/>
    <x v="0"/>
    <m/>
    <m/>
    <m/>
    <x v="1"/>
    <s v="30/04/2019"/>
    <d v="2019-04-30T00:00:00"/>
    <s v="2019002-254"/>
    <x v="2"/>
  </r>
  <r>
    <x v="48"/>
    <n v="2022001"/>
    <x v="1"/>
    <s v="Chickpea"/>
    <m/>
    <x v="8"/>
    <s v="Y"/>
    <x v="1"/>
    <n v="1"/>
    <n v="1"/>
    <x v="0"/>
    <m/>
    <m/>
    <m/>
    <n v="1"/>
    <m/>
    <m/>
    <m/>
    <m/>
    <m/>
    <n v="2"/>
    <n v="2"/>
    <x v="0"/>
    <n v="1"/>
    <m/>
    <n v="1"/>
    <x v="0"/>
    <n v="1"/>
    <x v="0"/>
    <m/>
    <m/>
    <n v="35"/>
    <x v="1"/>
    <s v="13/06/2022"/>
    <d v="2022-06-13T00:00:00"/>
    <s v="2022001-1"/>
    <x v="3"/>
  </r>
  <r>
    <x v="48"/>
    <n v="2022001"/>
    <x v="1"/>
    <s v="Chickpea"/>
    <m/>
    <x v="8"/>
    <s v="Y"/>
    <x v="2"/>
    <n v="2"/>
    <n v="1"/>
    <x v="0"/>
    <m/>
    <m/>
    <m/>
    <n v="1"/>
    <m/>
    <m/>
    <m/>
    <m/>
    <m/>
    <n v="2"/>
    <n v="3"/>
    <x v="0"/>
    <n v="2"/>
    <m/>
    <m/>
    <x v="0"/>
    <n v="1"/>
    <x v="0"/>
    <m/>
    <m/>
    <n v="35"/>
    <x v="1"/>
    <s v="13/06/2022"/>
    <d v="2022-06-13T00:00:00"/>
    <s v="2022001-2"/>
    <x v="3"/>
  </r>
  <r>
    <x v="49"/>
    <n v="2022001"/>
    <x v="1"/>
    <s v="Chickpea"/>
    <m/>
    <x v="3"/>
    <s v="N"/>
    <x v="1"/>
    <n v="3"/>
    <n v="2"/>
    <x v="0"/>
    <m/>
    <m/>
    <m/>
    <n v="1"/>
    <m/>
    <m/>
    <m/>
    <m/>
    <m/>
    <n v="3"/>
    <n v="2"/>
    <x v="1"/>
    <n v="1"/>
    <m/>
    <n v="2"/>
    <x v="0"/>
    <n v="3"/>
    <x v="0"/>
    <m/>
    <m/>
    <n v="35"/>
    <x v="1"/>
    <s v="13/06/2022"/>
    <d v="2022-06-13T00:00:00"/>
    <s v="2022001-3"/>
    <x v="3"/>
  </r>
  <r>
    <x v="49"/>
    <n v="2022001"/>
    <x v="1"/>
    <s v="Chickpea"/>
    <m/>
    <x v="3"/>
    <s v="N"/>
    <x v="2"/>
    <n v="4"/>
    <n v="2"/>
    <x v="0"/>
    <m/>
    <m/>
    <m/>
    <n v="1"/>
    <m/>
    <m/>
    <m/>
    <m/>
    <m/>
    <n v="3"/>
    <n v="3"/>
    <x v="1"/>
    <n v="2"/>
    <m/>
    <m/>
    <x v="0"/>
    <n v="3"/>
    <x v="0"/>
    <m/>
    <m/>
    <n v="35"/>
    <x v="1"/>
    <s v="13/06/2022"/>
    <d v="2022-06-13T00:00:00"/>
    <s v="2022001-4"/>
    <x v="3"/>
  </r>
  <r>
    <x v="50"/>
    <n v="2022001"/>
    <x v="1"/>
    <s v="Chickpea"/>
    <m/>
    <x v="9"/>
    <s v="N"/>
    <x v="1"/>
    <n v="5"/>
    <n v="3"/>
    <x v="0"/>
    <m/>
    <m/>
    <m/>
    <n v="1"/>
    <m/>
    <m/>
    <m/>
    <m/>
    <m/>
    <n v="5"/>
    <n v="2"/>
    <x v="2"/>
    <n v="1"/>
    <m/>
    <n v="3"/>
    <x v="0"/>
    <n v="2"/>
    <x v="0"/>
    <m/>
    <m/>
    <n v="35"/>
    <x v="1"/>
    <s v="13/06/2022"/>
    <d v="2022-06-13T00:00:00"/>
    <s v="2022001-5"/>
    <x v="3"/>
  </r>
  <r>
    <x v="50"/>
    <n v="2022001"/>
    <x v="1"/>
    <s v="Chickpea"/>
    <m/>
    <x v="9"/>
    <s v="N"/>
    <x v="2"/>
    <n v="6"/>
    <n v="3"/>
    <x v="0"/>
    <m/>
    <m/>
    <m/>
    <n v="1"/>
    <m/>
    <m/>
    <m/>
    <m/>
    <m/>
    <n v="5"/>
    <n v="3"/>
    <x v="2"/>
    <n v="2"/>
    <m/>
    <m/>
    <x v="0"/>
    <n v="2"/>
    <x v="0"/>
    <m/>
    <m/>
    <n v="35"/>
    <x v="1"/>
    <s v="13/06/2022"/>
    <d v="2022-06-13T00:00:00"/>
    <s v="2022001-6"/>
    <x v="3"/>
  </r>
  <r>
    <x v="51"/>
    <n v="2022001"/>
    <x v="1"/>
    <s v="Chickpea"/>
    <m/>
    <x v="4"/>
    <s v="Y"/>
    <x v="1"/>
    <n v="7"/>
    <n v="4"/>
    <x v="0"/>
    <m/>
    <m/>
    <m/>
    <n v="1"/>
    <m/>
    <m/>
    <m/>
    <m/>
    <m/>
    <n v="6"/>
    <n v="2"/>
    <x v="3"/>
    <n v="1"/>
    <m/>
    <n v="4"/>
    <x v="0"/>
    <n v="4"/>
    <x v="0"/>
    <m/>
    <m/>
    <n v="35"/>
    <x v="1"/>
    <s v="13/06/2022"/>
    <d v="2022-06-13T00:00:00"/>
    <s v="2022001-7"/>
    <x v="3"/>
  </r>
  <r>
    <x v="51"/>
    <n v="2022001"/>
    <x v="1"/>
    <s v="Chickpea"/>
    <m/>
    <x v="4"/>
    <s v="Y"/>
    <x v="2"/>
    <n v="8"/>
    <n v="4"/>
    <x v="0"/>
    <m/>
    <m/>
    <m/>
    <n v="1"/>
    <m/>
    <m/>
    <m/>
    <m/>
    <m/>
    <n v="6"/>
    <n v="3"/>
    <x v="3"/>
    <n v="2"/>
    <m/>
    <m/>
    <x v="0"/>
    <n v="4"/>
    <x v="0"/>
    <m/>
    <m/>
    <n v="35"/>
    <x v="1"/>
    <s v="13/06/2022"/>
    <d v="2022-06-13T00:00:00"/>
    <s v="2022001-8"/>
    <x v="3"/>
  </r>
  <r>
    <x v="52"/>
    <n v="2022001"/>
    <x v="1"/>
    <s v="Chickpea"/>
    <m/>
    <x v="3"/>
    <s v="N"/>
    <x v="1"/>
    <n v="9"/>
    <n v="5"/>
    <x v="0"/>
    <m/>
    <m/>
    <m/>
    <n v="2"/>
    <m/>
    <m/>
    <m/>
    <m/>
    <m/>
    <n v="2"/>
    <n v="6"/>
    <x v="0"/>
    <n v="3"/>
    <m/>
    <n v="8"/>
    <x v="1"/>
    <n v="3"/>
    <x v="0"/>
    <m/>
    <m/>
    <n v="35"/>
    <x v="2"/>
    <s v="18/07/2022"/>
    <d v="2022-07-18T00:00:00"/>
    <s v="2022001-9"/>
    <x v="3"/>
  </r>
  <r>
    <x v="52"/>
    <n v="2022001"/>
    <x v="1"/>
    <s v="Chickpea"/>
    <m/>
    <x v="3"/>
    <s v="N"/>
    <x v="2"/>
    <n v="10"/>
    <n v="5"/>
    <x v="0"/>
    <m/>
    <m/>
    <m/>
    <n v="2"/>
    <m/>
    <m/>
    <m/>
    <m/>
    <m/>
    <n v="2"/>
    <n v="7"/>
    <x v="0"/>
    <n v="4"/>
    <m/>
    <m/>
    <x v="1"/>
    <n v="3"/>
    <x v="0"/>
    <m/>
    <m/>
    <n v="35"/>
    <x v="2"/>
    <s v="18/07/2022"/>
    <d v="2022-07-18T00:00:00"/>
    <s v="2022001-10"/>
    <x v="3"/>
  </r>
  <r>
    <x v="53"/>
    <n v="2022001"/>
    <x v="1"/>
    <s v="Chickpea"/>
    <m/>
    <x v="8"/>
    <s v="Y"/>
    <x v="1"/>
    <n v="11"/>
    <n v="6"/>
    <x v="0"/>
    <m/>
    <m/>
    <m/>
    <n v="2"/>
    <m/>
    <m/>
    <m/>
    <m/>
    <m/>
    <n v="3"/>
    <n v="6"/>
    <x v="1"/>
    <n v="3"/>
    <m/>
    <n v="7"/>
    <x v="1"/>
    <n v="1"/>
    <x v="0"/>
    <m/>
    <m/>
    <n v="35"/>
    <x v="2"/>
    <s v="18/07/2022"/>
    <d v="2022-07-18T00:00:00"/>
    <s v="2022001-11"/>
    <x v="3"/>
  </r>
  <r>
    <x v="53"/>
    <n v="2022001"/>
    <x v="1"/>
    <s v="Chickpea"/>
    <m/>
    <x v="8"/>
    <s v="Y"/>
    <x v="2"/>
    <n v="12"/>
    <n v="6"/>
    <x v="0"/>
    <m/>
    <m/>
    <m/>
    <n v="2"/>
    <m/>
    <m/>
    <m/>
    <m/>
    <m/>
    <n v="3"/>
    <n v="7"/>
    <x v="1"/>
    <n v="4"/>
    <m/>
    <m/>
    <x v="1"/>
    <n v="1"/>
    <x v="0"/>
    <m/>
    <m/>
    <n v="35"/>
    <x v="2"/>
    <s v="18/07/2022"/>
    <d v="2022-07-18T00:00:00"/>
    <s v="2022001-12"/>
    <x v="3"/>
  </r>
  <r>
    <x v="54"/>
    <n v="2022001"/>
    <x v="1"/>
    <s v="Chickpea"/>
    <m/>
    <x v="4"/>
    <s v="Y"/>
    <x v="1"/>
    <n v="13"/>
    <n v="7"/>
    <x v="0"/>
    <m/>
    <m/>
    <m/>
    <n v="2"/>
    <m/>
    <m/>
    <m/>
    <m/>
    <m/>
    <n v="5"/>
    <n v="6"/>
    <x v="2"/>
    <n v="3"/>
    <m/>
    <n v="6"/>
    <x v="1"/>
    <n v="4"/>
    <x v="0"/>
    <m/>
    <m/>
    <n v="35"/>
    <x v="2"/>
    <s v="18/07/2022"/>
    <d v="2022-07-18T00:00:00"/>
    <s v="2022001-13"/>
    <x v="3"/>
  </r>
  <r>
    <x v="54"/>
    <n v="2022001"/>
    <x v="1"/>
    <s v="Chickpea"/>
    <m/>
    <x v="4"/>
    <s v="Y"/>
    <x v="2"/>
    <n v="14"/>
    <n v="7"/>
    <x v="0"/>
    <m/>
    <m/>
    <m/>
    <n v="2"/>
    <m/>
    <m/>
    <m/>
    <m/>
    <m/>
    <n v="5"/>
    <n v="7"/>
    <x v="2"/>
    <n v="4"/>
    <m/>
    <m/>
    <x v="1"/>
    <n v="4"/>
    <x v="0"/>
    <m/>
    <m/>
    <n v="35"/>
    <x v="2"/>
    <s v="18/07/2022"/>
    <d v="2022-07-18T00:00:00"/>
    <s v="2022001-14"/>
    <x v="3"/>
  </r>
  <r>
    <x v="55"/>
    <n v="2022001"/>
    <x v="1"/>
    <s v="Chickpea"/>
    <m/>
    <x v="9"/>
    <s v="N"/>
    <x v="1"/>
    <n v="15"/>
    <n v="8"/>
    <x v="0"/>
    <m/>
    <m/>
    <m/>
    <n v="2"/>
    <m/>
    <m/>
    <m/>
    <m/>
    <m/>
    <n v="6"/>
    <n v="6"/>
    <x v="3"/>
    <n v="3"/>
    <m/>
    <n v="5"/>
    <x v="1"/>
    <n v="2"/>
    <x v="0"/>
    <m/>
    <m/>
    <n v="35"/>
    <x v="2"/>
    <s v="18/07/2022"/>
    <d v="2022-07-18T00:00:00"/>
    <s v="2022001-15"/>
    <x v="3"/>
  </r>
  <r>
    <x v="55"/>
    <n v="2022001"/>
    <x v="1"/>
    <s v="Chickpea"/>
    <m/>
    <x v="9"/>
    <s v="N"/>
    <x v="2"/>
    <n v="16"/>
    <n v="8"/>
    <x v="0"/>
    <m/>
    <m/>
    <m/>
    <n v="2"/>
    <m/>
    <m/>
    <m/>
    <m/>
    <m/>
    <n v="6"/>
    <n v="7"/>
    <x v="3"/>
    <n v="4"/>
    <m/>
    <m/>
    <x v="1"/>
    <n v="2"/>
    <x v="0"/>
    <m/>
    <m/>
    <n v="35"/>
    <x v="2"/>
    <s v="18/07/2022"/>
    <d v="2022-07-18T00:00:00"/>
    <s v="2022001-16"/>
    <x v="3"/>
  </r>
  <r>
    <x v="56"/>
    <n v="2022001"/>
    <x v="1"/>
    <s v="Chickpea"/>
    <m/>
    <x v="4"/>
    <s v="Y"/>
    <x v="1"/>
    <n v="17"/>
    <n v="9"/>
    <x v="0"/>
    <m/>
    <m/>
    <m/>
    <n v="3"/>
    <m/>
    <m/>
    <m/>
    <m/>
    <m/>
    <n v="2"/>
    <n v="9"/>
    <x v="0"/>
    <n v="5"/>
    <m/>
    <n v="9"/>
    <x v="0"/>
    <n v="4"/>
    <x v="0"/>
    <m/>
    <m/>
    <n v="35"/>
    <x v="2"/>
    <s v="18/07/2022"/>
    <d v="2022-07-18T00:00:00"/>
    <s v="2022001-17"/>
    <x v="3"/>
  </r>
  <r>
    <x v="56"/>
    <n v="2022001"/>
    <x v="1"/>
    <s v="Chickpea"/>
    <m/>
    <x v="4"/>
    <s v="Y"/>
    <x v="2"/>
    <n v="18"/>
    <n v="9"/>
    <x v="0"/>
    <m/>
    <m/>
    <m/>
    <n v="3"/>
    <m/>
    <m/>
    <m/>
    <m/>
    <m/>
    <n v="2"/>
    <n v="10"/>
    <x v="0"/>
    <n v="6"/>
    <m/>
    <m/>
    <x v="0"/>
    <n v="4"/>
    <x v="0"/>
    <m/>
    <m/>
    <n v="35"/>
    <x v="2"/>
    <s v="18/07/2022"/>
    <d v="2022-07-18T00:00:00"/>
    <s v="2022001-18"/>
    <x v="3"/>
  </r>
  <r>
    <x v="57"/>
    <n v="2022001"/>
    <x v="1"/>
    <s v="Chickpea"/>
    <m/>
    <x v="9"/>
    <s v="N"/>
    <x v="1"/>
    <n v="19"/>
    <n v="10"/>
    <x v="0"/>
    <m/>
    <m/>
    <m/>
    <n v="3"/>
    <m/>
    <m/>
    <m/>
    <m/>
    <m/>
    <n v="3"/>
    <n v="9"/>
    <x v="1"/>
    <n v="5"/>
    <m/>
    <n v="10"/>
    <x v="0"/>
    <n v="2"/>
    <x v="0"/>
    <m/>
    <m/>
    <n v="35"/>
    <x v="2"/>
    <s v="18/07/2022"/>
    <d v="2022-07-18T00:00:00"/>
    <s v="2022001-19"/>
    <x v="3"/>
  </r>
  <r>
    <x v="57"/>
    <n v="2022001"/>
    <x v="1"/>
    <s v="Chickpea"/>
    <m/>
    <x v="9"/>
    <s v="N"/>
    <x v="2"/>
    <n v="20"/>
    <n v="10"/>
    <x v="0"/>
    <m/>
    <m/>
    <m/>
    <n v="3"/>
    <m/>
    <m/>
    <m/>
    <m/>
    <m/>
    <n v="3"/>
    <n v="10"/>
    <x v="1"/>
    <n v="6"/>
    <m/>
    <m/>
    <x v="0"/>
    <n v="2"/>
    <x v="0"/>
    <m/>
    <m/>
    <n v="35"/>
    <x v="2"/>
    <s v="18/07/2022"/>
    <d v="2022-07-18T00:00:00"/>
    <s v="2022001-20"/>
    <x v="3"/>
  </r>
  <r>
    <x v="58"/>
    <n v="2022001"/>
    <x v="1"/>
    <s v="Chickpea"/>
    <m/>
    <x v="8"/>
    <s v="Y"/>
    <x v="1"/>
    <n v="21"/>
    <n v="11"/>
    <x v="0"/>
    <m/>
    <m/>
    <m/>
    <n v="3"/>
    <m/>
    <m/>
    <m/>
    <m/>
    <m/>
    <n v="5"/>
    <n v="9"/>
    <x v="2"/>
    <n v="5"/>
    <m/>
    <n v="11"/>
    <x v="0"/>
    <n v="1"/>
    <x v="0"/>
    <m/>
    <m/>
    <n v="35"/>
    <x v="2"/>
    <s v="18/07/2022"/>
    <d v="2022-07-18T00:00:00"/>
    <s v="2022001-21"/>
    <x v="3"/>
  </r>
  <r>
    <x v="58"/>
    <n v="2022001"/>
    <x v="1"/>
    <s v="Chickpea"/>
    <m/>
    <x v="8"/>
    <s v="Y"/>
    <x v="2"/>
    <n v="22"/>
    <n v="11"/>
    <x v="0"/>
    <m/>
    <m/>
    <m/>
    <n v="3"/>
    <m/>
    <m/>
    <m/>
    <m/>
    <m/>
    <n v="5"/>
    <n v="10"/>
    <x v="2"/>
    <n v="6"/>
    <m/>
    <m/>
    <x v="0"/>
    <n v="1"/>
    <x v="0"/>
    <m/>
    <m/>
    <n v="35"/>
    <x v="2"/>
    <s v="18/07/2022"/>
    <d v="2022-07-18T00:00:00"/>
    <s v="2022001-22"/>
    <x v="3"/>
  </r>
  <r>
    <x v="59"/>
    <n v="2022001"/>
    <x v="1"/>
    <s v="Chickpea"/>
    <m/>
    <x v="3"/>
    <s v="N"/>
    <x v="1"/>
    <n v="23"/>
    <n v="12"/>
    <x v="0"/>
    <m/>
    <m/>
    <m/>
    <n v="3"/>
    <m/>
    <m/>
    <m/>
    <m/>
    <m/>
    <n v="6"/>
    <n v="9"/>
    <x v="3"/>
    <n v="5"/>
    <m/>
    <n v="12"/>
    <x v="0"/>
    <n v="3"/>
    <x v="0"/>
    <m/>
    <m/>
    <n v="35"/>
    <x v="2"/>
    <s v="18/07/2022"/>
    <d v="2022-07-18T00:00:00"/>
    <s v="2022001-23"/>
    <x v="3"/>
  </r>
  <r>
    <x v="59"/>
    <n v="2022001"/>
    <x v="1"/>
    <s v="Chickpea"/>
    <m/>
    <x v="3"/>
    <s v="N"/>
    <x v="2"/>
    <n v="24"/>
    <n v="12"/>
    <x v="0"/>
    <m/>
    <m/>
    <m/>
    <n v="3"/>
    <m/>
    <m/>
    <m/>
    <m/>
    <m/>
    <n v="6"/>
    <n v="10"/>
    <x v="3"/>
    <n v="6"/>
    <m/>
    <m/>
    <x v="0"/>
    <n v="3"/>
    <x v="0"/>
    <m/>
    <m/>
    <n v="35"/>
    <x v="2"/>
    <s v="18/07/2022"/>
    <d v="2022-07-18T00:00:00"/>
    <s v="2022001-24"/>
    <x v="3"/>
  </r>
  <r>
    <x v="60"/>
    <n v="2022001"/>
    <x v="1"/>
    <s v="Chickpea"/>
    <m/>
    <x v="9"/>
    <s v="N"/>
    <x v="1"/>
    <n v="25"/>
    <n v="13"/>
    <x v="0"/>
    <m/>
    <m/>
    <m/>
    <n v="4"/>
    <m/>
    <m/>
    <m/>
    <m/>
    <m/>
    <n v="2"/>
    <n v="13"/>
    <x v="0"/>
    <n v="7"/>
    <m/>
    <n v="16"/>
    <x v="1"/>
    <n v="2"/>
    <x v="0"/>
    <m/>
    <m/>
    <n v="35"/>
    <x v="1"/>
    <s v="13/06/2022"/>
    <d v="2022-06-13T00:00:00"/>
    <s v="2022001-25"/>
    <x v="3"/>
  </r>
  <r>
    <x v="60"/>
    <n v="2022001"/>
    <x v="1"/>
    <s v="Chickpea"/>
    <m/>
    <x v="9"/>
    <s v="N"/>
    <x v="2"/>
    <n v="26"/>
    <n v="13"/>
    <x v="0"/>
    <m/>
    <m/>
    <m/>
    <n v="4"/>
    <m/>
    <m/>
    <m/>
    <m/>
    <m/>
    <n v="2"/>
    <n v="14"/>
    <x v="0"/>
    <n v="8"/>
    <m/>
    <m/>
    <x v="1"/>
    <n v="2"/>
    <x v="0"/>
    <m/>
    <m/>
    <n v="35"/>
    <x v="1"/>
    <s v="13/06/2022"/>
    <d v="2022-06-13T00:00:00"/>
    <s v="2022001-26"/>
    <x v="3"/>
  </r>
  <r>
    <x v="61"/>
    <n v="2022001"/>
    <x v="1"/>
    <s v="Chickpea"/>
    <m/>
    <x v="4"/>
    <s v="Y"/>
    <x v="1"/>
    <n v="27"/>
    <n v="14"/>
    <x v="0"/>
    <m/>
    <m/>
    <m/>
    <n v="4"/>
    <m/>
    <m/>
    <m/>
    <m/>
    <m/>
    <n v="3"/>
    <n v="13"/>
    <x v="1"/>
    <n v="7"/>
    <m/>
    <n v="15"/>
    <x v="1"/>
    <n v="4"/>
    <x v="0"/>
    <m/>
    <m/>
    <n v="35"/>
    <x v="1"/>
    <s v="13/06/2022"/>
    <d v="2022-06-13T00:00:00"/>
    <s v="2022001-27"/>
    <x v="3"/>
  </r>
  <r>
    <x v="61"/>
    <n v="2022001"/>
    <x v="1"/>
    <s v="Chickpea"/>
    <m/>
    <x v="4"/>
    <s v="Y"/>
    <x v="2"/>
    <n v="28"/>
    <n v="14"/>
    <x v="0"/>
    <m/>
    <m/>
    <m/>
    <n v="4"/>
    <m/>
    <m/>
    <m/>
    <m/>
    <m/>
    <n v="3"/>
    <n v="14"/>
    <x v="1"/>
    <n v="8"/>
    <m/>
    <m/>
    <x v="1"/>
    <n v="4"/>
    <x v="0"/>
    <m/>
    <m/>
    <n v="35"/>
    <x v="1"/>
    <s v="13/06/2022"/>
    <d v="2022-06-13T00:00:00"/>
    <s v="2022001-28"/>
    <x v="3"/>
  </r>
  <r>
    <x v="62"/>
    <n v="2022001"/>
    <x v="1"/>
    <s v="Chickpea"/>
    <m/>
    <x v="3"/>
    <s v="N"/>
    <x v="1"/>
    <n v="29"/>
    <n v="15"/>
    <x v="0"/>
    <m/>
    <m/>
    <m/>
    <n v="4"/>
    <m/>
    <m/>
    <m/>
    <m/>
    <m/>
    <n v="5"/>
    <n v="13"/>
    <x v="2"/>
    <n v="7"/>
    <m/>
    <n v="14"/>
    <x v="1"/>
    <n v="3"/>
    <x v="0"/>
    <m/>
    <m/>
    <n v="35"/>
    <x v="1"/>
    <s v="13/06/2022"/>
    <d v="2022-06-13T00:00:00"/>
    <s v="2022001-29"/>
    <x v="3"/>
  </r>
  <r>
    <x v="62"/>
    <n v="2022001"/>
    <x v="1"/>
    <s v="Chickpea"/>
    <m/>
    <x v="3"/>
    <s v="N"/>
    <x v="2"/>
    <n v="30"/>
    <n v="15"/>
    <x v="0"/>
    <m/>
    <m/>
    <m/>
    <n v="4"/>
    <m/>
    <m/>
    <m/>
    <m/>
    <m/>
    <n v="5"/>
    <n v="14"/>
    <x v="2"/>
    <n v="8"/>
    <m/>
    <m/>
    <x v="1"/>
    <n v="3"/>
    <x v="0"/>
    <m/>
    <m/>
    <n v="35"/>
    <x v="1"/>
    <s v="13/06/2022"/>
    <d v="2022-06-13T00:00:00"/>
    <s v="2022001-30"/>
    <x v="3"/>
  </r>
  <r>
    <x v="63"/>
    <n v="2022001"/>
    <x v="1"/>
    <s v="Chickpea"/>
    <m/>
    <x v="8"/>
    <s v="Y"/>
    <x v="1"/>
    <n v="31"/>
    <n v="16"/>
    <x v="0"/>
    <m/>
    <m/>
    <m/>
    <n v="4"/>
    <m/>
    <m/>
    <m/>
    <m/>
    <m/>
    <n v="6"/>
    <n v="13"/>
    <x v="3"/>
    <n v="7"/>
    <m/>
    <n v="13"/>
    <x v="1"/>
    <n v="1"/>
    <x v="0"/>
    <m/>
    <m/>
    <n v="35"/>
    <x v="1"/>
    <s v="13/06/2022"/>
    <d v="2022-06-13T00:00:00"/>
    <s v="2022001-31"/>
    <x v="3"/>
  </r>
  <r>
    <x v="63"/>
    <n v="2022001"/>
    <x v="1"/>
    <s v="Chickpea"/>
    <m/>
    <x v="8"/>
    <s v="Y"/>
    <x v="2"/>
    <n v="32"/>
    <n v="16"/>
    <x v="0"/>
    <m/>
    <m/>
    <m/>
    <n v="4"/>
    <m/>
    <m/>
    <m/>
    <m/>
    <m/>
    <n v="6"/>
    <n v="14"/>
    <x v="3"/>
    <n v="8"/>
    <m/>
    <m/>
    <x v="1"/>
    <n v="1"/>
    <x v="0"/>
    <m/>
    <m/>
    <n v="35"/>
    <x v="1"/>
    <s v="13/06/2022"/>
    <d v="2022-06-13T00:00:00"/>
    <s v="2022001-32"/>
    <x v="3"/>
  </r>
  <r>
    <x v="62"/>
    <n v="2022001"/>
    <x v="1"/>
    <s v="Chickpea"/>
    <m/>
    <x v="3"/>
    <s v="N"/>
    <x v="2"/>
    <n v="33"/>
    <n v="17"/>
    <x v="1"/>
    <m/>
    <m/>
    <m/>
    <n v="5"/>
    <m/>
    <m/>
    <m/>
    <m/>
    <m/>
    <n v="2"/>
    <n v="16"/>
    <x v="0"/>
    <n v="9"/>
    <m/>
    <m/>
    <x v="1"/>
    <n v="3"/>
    <x v="0"/>
    <m/>
    <m/>
    <n v="35"/>
    <x v="1"/>
    <s v="13/06/2022"/>
    <d v="2022-06-13T00:00:00"/>
    <s v="2022001-33"/>
    <x v="3"/>
  </r>
  <r>
    <x v="62"/>
    <n v="2022001"/>
    <x v="1"/>
    <s v="Chickpea"/>
    <m/>
    <x v="3"/>
    <s v="N"/>
    <x v="1"/>
    <n v="34"/>
    <n v="17"/>
    <x v="1"/>
    <m/>
    <m/>
    <m/>
    <n v="5"/>
    <m/>
    <m/>
    <m/>
    <m/>
    <m/>
    <n v="2"/>
    <n v="17"/>
    <x v="0"/>
    <n v="10"/>
    <m/>
    <n v="17"/>
    <x v="1"/>
    <n v="3"/>
    <x v="0"/>
    <m/>
    <m/>
    <n v="35"/>
    <x v="1"/>
    <s v="13/06/2022"/>
    <d v="2022-06-13T00:00:00"/>
    <s v="2022001-34"/>
    <x v="3"/>
  </r>
  <r>
    <x v="60"/>
    <n v="2022001"/>
    <x v="1"/>
    <s v="Chickpea"/>
    <m/>
    <x v="9"/>
    <s v="N"/>
    <x v="2"/>
    <n v="35"/>
    <n v="18"/>
    <x v="1"/>
    <m/>
    <m/>
    <m/>
    <n v="5"/>
    <m/>
    <m/>
    <m/>
    <m/>
    <m/>
    <n v="3"/>
    <n v="16"/>
    <x v="1"/>
    <n v="9"/>
    <m/>
    <m/>
    <x v="1"/>
    <n v="2"/>
    <x v="0"/>
    <m/>
    <m/>
    <n v="35"/>
    <x v="1"/>
    <s v="13/06/2022"/>
    <d v="2022-06-13T00:00:00"/>
    <s v="2022001-35"/>
    <x v="3"/>
  </r>
  <r>
    <x v="60"/>
    <n v="2022001"/>
    <x v="1"/>
    <s v="Chickpea"/>
    <m/>
    <x v="9"/>
    <s v="N"/>
    <x v="1"/>
    <n v="36"/>
    <n v="18"/>
    <x v="1"/>
    <m/>
    <m/>
    <m/>
    <n v="5"/>
    <m/>
    <m/>
    <m/>
    <m/>
    <m/>
    <n v="3"/>
    <n v="17"/>
    <x v="1"/>
    <n v="10"/>
    <m/>
    <n v="18"/>
    <x v="1"/>
    <n v="2"/>
    <x v="0"/>
    <m/>
    <m/>
    <n v="35"/>
    <x v="1"/>
    <s v="13/06/2022"/>
    <d v="2022-06-13T00:00:00"/>
    <s v="2022001-36"/>
    <x v="3"/>
  </r>
  <r>
    <x v="63"/>
    <n v="2022001"/>
    <x v="1"/>
    <s v="Chickpea"/>
    <m/>
    <x v="8"/>
    <s v="Y"/>
    <x v="2"/>
    <n v="37"/>
    <n v="19"/>
    <x v="1"/>
    <m/>
    <m/>
    <m/>
    <n v="5"/>
    <m/>
    <m/>
    <m/>
    <m/>
    <m/>
    <n v="5"/>
    <n v="16"/>
    <x v="2"/>
    <n v="9"/>
    <m/>
    <m/>
    <x v="1"/>
    <n v="1"/>
    <x v="0"/>
    <m/>
    <m/>
    <n v="35"/>
    <x v="1"/>
    <s v="13/06/2022"/>
    <d v="2022-06-13T00:00:00"/>
    <s v="2022001-37"/>
    <x v="3"/>
  </r>
  <r>
    <x v="63"/>
    <n v="2022001"/>
    <x v="1"/>
    <s v="Chickpea"/>
    <m/>
    <x v="8"/>
    <s v="Y"/>
    <x v="1"/>
    <n v="38"/>
    <n v="19"/>
    <x v="1"/>
    <m/>
    <m/>
    <m/>
    <n v="5"/>
    <m/>
    <m/>
    <m/>
    <m/>
    <m/>
    <n v="5"/>
    <n v="17"/>
    <x v="2"/>
    <n v="10"/>
    <m/>
    <n v="19"/>
    <x v="1"/>
    <n v="1"/>
    <x v="0"/>
    <m/>
    <m/>
    <n v="35"/>
    <x v="1"/>
    <s v="13/06/2022"/>
    <d v="2022-06-13T00:00:00"/>
    <s v="2022001-38"/>
    <x v="3"/>
  </r>
  <r>
    <x v="61"/>
    <n v="2022001"/>
    <x v="1"/>
    <s v="Chickpea"/>
    <m/>
    <x v="4"/>
    <s v="Y"/>
    <x v="2"/>
    <n v="39"/>
    <n v="20"/>
    <x v="1"/>
    <m/>
    <m/>
    <m/>
    <n v="5"/>
    <m/>
    <m/>
    <m/>
    <m/>
    <m/>
    <n v="6"/>
    <n v="16"/>
    <x v="3"/>
    <n v="9"/>
    <m/>
    <m/>
    <x v="1"/>
    <n v="4"/>
    <x v="0"/>
    <m/>
    <m/>
    <n v="35"/>
    <x v="1"/>
    <s v="13/06/2022"/>
    <d v="2022-06-13T00:00:00"/>
    <s v="2022001-39"/>
    <x v="3"/>
  </r>
  <r>
    <x v="61"/>
    <n v="2022001"/>
    <x v="1"/>
    <s v="Chickpea"/>
    <m/>
    <x v="4"/>
    <s v="Y"/>
    <x v="1"/>
    <n v="40"/>
    <n v="20"/>
    <x v="1"/>
    <m/>
    <m/>
    <m/>
    <n v="5"/>
    <m/>
    <m/>
    <m/>
    <m/>
    <m/>
    <n v="6"/>
    <n v="17"/>
    <x v="3"/>
    <n v="10"/>
    <m/>
    <n v="20"/>
    <x v="1"/>
    <n v="4"/>
    <x v="0"/>
    <m/>
    <m/>
    <n v="35"/>
    <x v="1"/>
    <s v="13/06/2022"/>
    <d v="2022-06-13T00:00:00"/>
    <s v="2022001-40"/>
    <x v="3"/>
  </r>
  <r>
    <x v="51"/>
    <n v="2022001"/>
    <x v="1"/>
    <s v="Chickpea"/>
    <m/>
    <x v="4"/>
    <s v="Y"/>
    <x v="1"/>
    <n v="41"/>
    <n v="21"/>
    <x v="1"/>
    <m/>
    <m/>
    <m/>
    <n v="6"/>
    <m/>
    <m/>
    <m/>
    <m/>
    <m/>
    <n v="2"/>
    <n v="19"/>
    <x v="0"/>
    <n v="11"/>
    <m/>
    <n v="24"/>
    <x v="0"/>
    <n v="4"/>
    <x v="0"/>
    <m/>
    <m/>
    <n v="35"/>
    <x v="1"/>
    <s v="13/06/2022"/>
    <d v="2022-06-13T00:00:00"/>
    <s v="2022001-41"/>
    <x v="3"/>
  </r>
  <r>
    <x v="51"/>
    <n v="2022001"/>
    <x v="1"/>
    <s v="Chickpea"/>
    <m/>
    <x v="4"/>
    <s v="Y"/>
    <x v="2"/>
    <n v="42"/>
    <n v="21"/>
    <x v="1"/>
    <m/>
    <m/>
    <m/>
    <n v="6"/>
    <m/>
    <m/>
    <m/>
    <m/>
    <m/>
    <n v="2"/>
    <n v="20"/>
    <x v="0"/>
    <n v="12"/>
    <m/>
    <m/>
    <x v="0"/>
    <n v="4"/>
    <x v="0"/>
    <m/>
    <m/>
    <n v="35"/>
    <x v="1"/>
    <s v="13/06/2022"/>
    <d v="2022-06-13T00:00:00"/>
    <s v="2022001-42"/>
    <x v="3"/>
  </r>
  <r>
    <x v="48"/>
    <n v="2022001"/>
    <x v="1"/>
    <s v="Chickpea"/>
    <m/>
    <x v="8"/>
    <s v="Y"/>
    <x v="1"/>
    <n v="43"/>
    <n v="22"/>
    <x v="1"/>
    <m/>
    <m/>
    <m/>
    <n v="6"/>
    <m/>
    <m/>
    <m/>
    <m/>
    <m/>
    <n v="3"/>
    <n v="19"/>
    <x v="1"/>
    <n v="11"/>
    <m/>
    <n v="23"/>
    <x v="0"/>
    <n v="1"/>
    <x v="0"/>
    <m/>
    <m/>
    <n v="35"/>
    <x v="1"/>
    <s v="13/06/2022"/>
    <d v="2022-06-13T00:00:00"/>
    <s v="2022001-43"/>
    <x v="3"/>
  </r>
  <r>
    <x v="48"/>
    <n v="2022001"/>
    <x v="1"/>
    <s v="Chickpea"/>
    <m/>
    <x v="8"/>
    <s v="Y"/>
    <x v="2"/>
    <n v="44"/>
    <n v="22"/>
    <x v="1"/>
    <m/>
    <m/>
    <m/>
    <n v="6"/>
    <m/>
    <m/>
    <m/>
    <m/>
    <m/>
    <n v="3"/>
    <n v="20"/>
    <x v="1"/>
    <n v="12"/>
    <m/>
    <m/>
    <x v="0"/>
    <n v="1"/>
    <x v="0"/>
    <m/>
    <m/>
    <n v="35"/>
    <x v="1"/>
    <s v="13/06/2022"/>
    <d v="2022-06-13T00:00:00"/>
    <s v="2022001-44"/>
    <x v="3"/>
  </r>
  <r>
    <x v="49"/>
    <n v="2022001"/>
    <x v="1"/>
    <s v="Chickpea"/>
    <m/>
    <x v="3"/>
    <s v="N"/>
    <x v="1"/>
    <n v="45"/>
    <n v="23"/>
    <x v="1"/>
    <m/>
    <m/>
    <m/>
    <n v="6"/>
    <m/>
    <m/>
    <m/>
    <m/>
    <m/>
    <n v="5"/>
    <n v="19"/>
    <x v="2"/>
    <n v="11"/>
    <m/>
    <n v="22"/>
    <x v="0"/>
    <n v="3"/>
    <x v="0"/>
    <m/>
    <m/>
    <n v="35"/>
    <x v="1"/>
    <s v="13/06/2022"/>
    <d v="2022-06-13T00:00:00"/>
    <s v="2022001-45"/>
    <x v="3"/>
  </r>
  <r>
    <x v="49"/>
    <n v="2022001"/>
    <x v="1"/>
    <s v="Chickpea"/>
    <m/>
    <x v="3"/>
    <s v="N"/>
    <x v="2"/>
    <n v="46"/>
    <n v="23"/>
    <x v="1"/>
    <m/>
    <m/>
    <m/>
    <n v="6"/>
    <m/>
    <m/>
    <m/>
    <m/>
    <m/>
    <n v="5"/>
    <n v="20"/>
    <x v="2"/>
    <n v="12"/>
    <m/>
    <m/>
    <x v="0"/>
    <n v="3"/>
    <x v="0"/>
    <m/>
    <m/>
    <n v="35"/>
    <x v="1"/>
    <s v="13/06/2022"/>
    <d v="2022-06-13T00:00:00"/>
    <s v="2022001-46"/>
    <x v="3"/>
  </r>
  <r>
    <x v="50"/>
    <n v="2022001"/>
    <x v="1"/>
    <s v="Chickpea"/>
    <m/>
    <x v="9"/>
    <s v="N"/>
    <x v="1"/>
    <n v="47"/>
    <n v="24"/>
    <x v="1"/>
    <m/>
    <m/>
    <m/>
    <n v="6"/>
    <m/>
    <m/>
    <m/>
    <m/>
    <m/>
    <n v="6"/>
    <n v="19"/>
    <x v="3"/>
    <n v="11"/>
    <m/>
    <n v="21"/>
    <x v="0"/>
    <n v="2"/>
    <x v="0"/>
    <m/>
    <m/>
    <n v="35"/>
    <x v="1"/>
    <s v="13/06/2022"/>
    <d v="2022-06-13T00:00:00"/>
    <s v="2022001-47"/>
    <x v="3"/>
  </r>
  <r>
    <x v="50"/>
    <n v="2022001"/>
    <x v="1"/>
    <s v="Chickpea"/>
    <m/>
    <x v="9"/>
    <s v="N"/>
    <x v="2"/>
    <n v="48"/>
    <n v="24"/>
    <x v="1"/>
    <m/>
    <m/>
    <m/>
    <n v="6"/>
    <m/>
    <m/>
    <m/>
    <m/>
    <m/>
    <n v="6"/>
    <n v="20"/>
    <x v="3"/>
    <n v="12"/>
    <m/>
    <m/>
    <x v="0"/>
    <n v="2"/>
    <x v="0"/>
    <m/>
    <m/>
    <n v="35"/>
    <x v="1"/>
    <s v="13/06/2022"/>
    <d v="2022-06-13T00:00:00"/>
    <s v="2022001-48"/>
    <x v="3"/>
  </r>
  <r>
    <x v="55"/>
    <n v="2022001"/>
    <x v="1"/>
    <s v="Chickpea"/>
    <m/>
    <x v="9"/>
    <s v="N"/>
    <x v="2"/>
    <n v="49"/>
    <n v="25"/>
    <x v="1"/>
    <m/>
    <m/>
    <m/>
    <n v="7"/>
    <m/>
    <m/>
    <m/>
    <m/>
    <m/>
    <n v="2"/>
    <n v="23"/>
    <x v="0"/>
    <n v="13"/>
    <m/>
    <m/>
    <x v="1"/>
    <n v="2"/>
    <x v="0"/>
    <m/>
    <m/>
    <n v="35"/>
    <x v="2"/>
    <s v="18/07/2022"/>
    <d v="2022-07-18T00:00:00"/>
    <s v="2022001-49"/>
    <x v="3"/>
  </r>
  <r>
    <x v="55"/>
    <n v="2022001"/>
    <x v="1"/>
    <s v="Chickpea"/>
    <m/>
    <x v="9"/>
    <s v="N"/>
    <x v="1"/>
    <n v="50"/>
    <n v="25"/>
    <x v="1"/>
    <m/>
    <m/>
    <m/>
    <n v="7"/>
    <m/>
    <m/>
    <m/>
    <m/>
    <m/>
    <n v="2"/>
    <n v="24"/>
    <x v="0"/>
    <n v="14"/>
    <m/>
    <n v="25"/>
    <x v="1"/>
    <n v="2"/>
    <x v="0"/>
    <m/>
    <m/>
    <n v="35"/>
    <x v="2"/>
    <s v="18/07/2022"/>
    <d v="2022-07-18T00:00:00"/>
    <s v="2022001-50"/>
    <x v="3"/>
  </r>
  <r>
    <x v="52"/>
    <n v="2022001"/>
    <x v="1"/>
    <s v="Chickpea"/>
    <m/>
    <x v="3"/>
    <s v="N"/>
    <x v="2"/>
    <n v="51"/>
    <n v="26"/>
    <x v="1"/>
    <m/>
    <m/>
    <m/>
    <n v="7"/>
    <m/>
    <m/>
    <m/>
    <m/>
    <m/>
    <n v="3"/>
    <n v="23"/>
    <x v="1"/>
    <n v="13"/>
    <m/>
    <m/>
    <x v="1"/>
    <n v="3"/>
    <x v="0"/>
    <m/>
    <m/>
    <n v="35"/>
    <x v="2"/>
    <s v="18/07/2022"/>
    <d v="2022-07-18T00:00:00"/>
    <s v="2022001-51"/>
    <x v="3"/>
  </r>
  <r>
    <x v="52"/>
    <n v="2022001"/>
    <x v="1"/>
    <s v="Chickpea"/>
    <m/>
    <x v="3"/>
    <s v="N"/>
    <x v="1"/>
    <n v="52"/>
    <n v="26"/>
    <x v="1"/>
    <m/>
    <m/>
    <m/>
    <n v="7"/>
    <m/>
    <m/>
    <m/>
    <m/>
    <m/>
    <n v="3"/>
    <n v="24"/>
    <x v="1"/>
    <n v="14"/>
    <m/>
    <n v="26"/>
    <x v="1"/>
    <n v="3"/>
    <x v="0"/>
    <m/>
    <m/>
    <n v="35"/>
    <x v="2"/>
    <s v="18/07/2022"/>
    <d v="2022-07-18T00:00:00"/>
    <s v="2022001-52"/>
    <x v="3"/>
  </r>
  <r>
    <x v="54"/>
    <n v="2022001"/>
    <x v="1"/>
    <s v="Chickpea"/>
    <m/>
    <x v="4"/>
    <s v="Y"/>
    <x v="2"/>
    <n v="53"/>
    <n v="27"/>
    <x v="1"/>
    <m/>
    <m/>
    <m/>
    <n v="7"/>
    <m/>
    <m/>
    <m/>
    <m/>
    <m/>
    <n v="5"/>
    <n v="23"/>
    <x v="2"/>
    <n v="13"/>
    <m/>
    <m/>
    <x v="1"/>
    <n v="4"/>
    <x v="0"/>
    <m/>
    <m/>
    <n v="35"/>
    <x v="2"/>
    <s v="18/07/2022"/>
    <d v="2022-07-18T00:00:00"/>
    <s v="2022001-53"/>
    <x v="3"/>
  </r>
  <r>
    <x v="54"/>
    <n v="2022001"/>
    <x v="1"/>
    <s v="Chickpea"/>
    <m/>
    <x v="4"/>
    <s v="Y"/>
    <x v="1"/>
    <n v="54"/>
    <n v="27"/>
    <x v="1"/>
    <m/>
    <m/>
    <m/>
    <n v="7"/>
    <m/>
    <m/>
    <m/>
    <m/>
    <m/>
    <n v="5"/>
    <n v="24"/>
    <x v="2"/>
    <n v="14"/>
    <m/>
    <n v="27"/>
    <x v="1"/>
    <n v="4"/>
    <x v="0"/>
    <m/>
    <m/>
    <n v="35"/>
    <x v="2"/>
    <s v="18/07/2022"/>
    <d v="2022-07-18T00:00:00"/>
    <s v="2022001-54"/>
    <x v="3"/>
  </r>
  <r>
    <x v="53"/>
    <n v="2022001"/>
    <x v="1"/>
    <s v="Chickpea"/>
    <m/>
    <x v="8"/>
    <s v="Y"/>
    <x v="2"/>
    <n v="55"/>
    <n v="28"/>
    <x v="1"/>
    <m/>
    <m/>
    <m/>
    <n v="7"/>
    <m/>
    <m/>
    <m/>
    <m/>
    <m/>
    <n v="6"/>
    <n v="23"/>
    <x v="3"/>
    <n v="13"/>
    <m/>
    <m/>
    <x v="1"/>
    <n v="1"/>
    <x v="0"/>
    <m/>
    <m/>
    <n v="35"/>
    <x v="2"/>
    <s v="18/07/2022"/>
    <d v="2022-07-18T00:00:00"/>
    <s v="2022001-55"/>
    <x v="3"/>
  </r>
  <r>
    <x v="53"/>
    <n v="2022001"/>
    <x v="1"/>
    <s v="Chickpea"/>
    <m/>
    <x v="8"/>
    <s v="Y"/>
    <x v="1"/>
    <n v="56"/>
    <n v="28"/>
    <x v="1"/>
    <m/>
    <m/>
    <m/>
    <n v="7"/>
    <m/>
    <m/>
    <m/>
    <m/>
    <m/>
    <n v="6"/>
    <n v="24"/>
    <x v="3"/>
    <n v="14"/>
    <m/>
    <n v="28"/>
    <x v="1"/>
    <n v="1"/>
    <x v="0"/>
    <m/>
    <m/>
    <n v="35"/>
    <x v="2"/>
    <s v="18/07/2022"/>
    <d v="2022-07-18T00:00:00"/>
    <s v="2022001-56"/>
    <x v="3"/>
  </r>
  <r>
    <x v="58"/>
    <n v="2022001"/>
    <x v="1"/>
    <s v="Chickpea"/>
    <m/>
    <x v="8"/>
    <s v="Y"/>
    <x v="1"/>
    <n v="57"/>
    <n v="29"/>
    <x v="1"/>
    <m/>
    <m/>
    <m/>
    <n v="8"/>
    <m/>
    <m/>
    <m/>
    <m/>
    <m/>
    <n v="2"/>
    <n v="26"/>
    <x v="0"/>
    <n v="15"/>
    <m/>
    <n v="32"/>
    <x v="0"/>
    <n v="1"/>
    <x v="0"/>
    <m/>
    <m/>
    <n v="35"/>
    <x v="2"/>
    <s v="18/07/2022"/>
    <d v="2022-07-18T00:00:00"/>
    <s v="2022001-57"/>
    <x v="3"/>
  </r>
  <r>
    <x v="58"/>
    <n v="2022001"/>
    <x v="1"/>
    <s v="Chickpea"/>
    <m/>
    <x v="8"/>
    <s v="Y"/>
    <x v="2"/>
    <n v="58"/>
    <n v="29"/>
    <x v="1"/>
    <m/>
    <m/>
    <m/>
    <n v="8"/>
    <m/>
    <m/>
    <m/>
    <m/>
    <m/>
    <n v="2"/>
    <n v="27"/>
    <x v="0"/>
    <n v="16"/>
    <m/>
    <m/>
    <x v="0"/>
    <n v="1"/>
    <x v="0"/>
    <m/>
    <m/>
    <n v="35"/>
    <x v="2"/>
    <s v="18/07/2022"/>
    <d v="2022-07-18T00:00:00"/>
    <s v="2022001-58"/>
    <x v="3"/>
  </r>
  <r>
    <x v="56"/>
    <n v="2022001"/>
    <x v="1"/>
    <s v="Chickpea"/>
    <m/>
    <x v="4"/>
    <s v="Y"/>
    <x v="1"/>
    <n v="59"/>
    <n v="30"/>
    <x v="1"/>
    <m/>
    <m/>
    <m/>
    <n v="8"/>
    <m/>
    <m/>
    <m/>
    <m/>
    <m/>
    <n v="3"/>
    <n v="26"/>
    <x v="1"/>
    <n v="15"/>
    <m/>
    <n v="31"/>
    <x v="0"/>
    <n v="4"/>
    <x v="0"/>
    <m/>
    <m/>
    <n v="35"/>
    <x v="2"/>
    <s v="18/07/2022"/>
    <d v="2022-07-18T00:00:00"/>
    <s v="2022001-59"/>
    <x v="3"/>
  </r>
  <r>
    <x v="56"/>
    <n v="2022001"/>
    <x v="1"/>
    <s v="Chickpea"/>
    <m/>
    <x v="4"/>
    <s v="Y"/>
    <x v="2"/>
    <n v="60"/>
    <n v="30"/>
    <x v="1"/>
    <m/>
    <m/>
    <m/>
    <n v="8"/>
    <m/>
    <m/>
    <m/>
    <m/>
    <m/>
    <n v="3"/>
    <n v="27"/>
    <x v="1"/>
    <n v="16"/>
    <m/>
    <m/>
    <x v="0"/>
    <n v="4"/>
    <x v="0"/>
    <m/>
    <m/>
    <n v="35"/>
    <x v="2"/>
    <s v="18/07/2022"/>
    <d v="2022-07-18T00:00:00"/>
    <s v="2022001-60"/>
    <x v="3"/>
  </r>
  <r>
    <x v="57"/>
    <n v="2022001"/>
    <x v="1"/>
    <s v="Chickpea"/>
    <m/>
    <x v="9"/>
    <s v="N"/>
    <x v="1"/>
    <n v="61"/>
    <n v="31"/>
    <x v="1"/>
    <m/>
    <m/>
    <m/>
    <n v="8"/>
    <m/>
    <m/>
    <m/>
    <m/>
    <m/>
    <n v="5"/>
    <n v="26"/>
    <x v="2"/>
    <n v="15"/>
    <m/>
    <n v="30"/>
    <x v="0"/>
    <n v="2"/>
    <x v="0"/>
    <m/>
    <m/>
    <n v="35"/>
    <x v="2"/>
    <s v="18/07/2022"/>
    <d v="2022-07-18T00:00:00"/>
    <s v="2022001-61"/>
    <x v="3"/>
  </r>
  <r>
    <x v="57"/>
    <n v="2022001"/>
    <x v="1"/>
    <s v="Chickpea"/>
    <m/>
    <x v="9"/>
    <s v="N"/>
    <x v="2"/>
    <n v="62"/>
    <n v="31"/>
    <x v="1"/>
    <m/>
    <m/>
    <m/>
    <n v="8"/>
    <m/>
    <m/>
    <m/>
    <m/>
    <m/>
    <n v="5"/>
    <n v="27"/>
    <x v="2"/>
    <n v="16"/>
    <m/>
    <m/>
    <x v="0"/>
    <n v="2"/>
    <x v="0"/>
    <m/>
    <m/>
    <n v="35"/>
    <x v="2"/>
    <s v="18/07/2022"/>
    <d v="2022-07-18T00:00:00"/>
    <s v="2022001-62"/>
    <x v="3"/>
  </r>
  <r>
    <x v="59"/>
    <n v="2022001"/>
    <x v="1"/>
    <s v="Chickpea"/>
    <m/>
    <x v="3"/>
    <s v="N"/>
    <x v="1"/>
    <n v="63"/>
    <n v="32"/>
    <x v="1"/>
    <m/>
    <m/>
    <m/>
    <n v="8"/>
    <m/>
    <m/>
    <m/>
    <m/>
    <m/>
    <n v="6"/>
    <n v="26"/>
    <x v="3"/>
    <n v="15"/>
    <m/>
    <n v="29"/>
    <x v="0"/>
    <n v="3"/>
    <x v="0"/>
    <m/>
    <m/>
    <n v="35"/>
    <x v="2"/>
    <s v="18/07/2022"/>
    <d v="2022-07-18T00:00:00"/>
    <s v="2022001-63"/>
    <x v="3"/>
  </r>
  <r>
    <x v="59"/>
    <n v="2022001"/>
    <x v="1"/>
    <s v="Chickpea"/>
    <m/>
    <x v="3"/>
    <s v="N"/>
    <x v="2"/>
    <n v="64"/>
    <n v="32"/>
    <x v="1"/>
    <m/>
    <m/>
    <m/>
    <n v="8"/>
    <m/>
    <m/>
    <m/>
    <m/>
    <m/>
    <n v="6"/>
    <n v="27"/>
    <x v="3"/>
    <n v="16"/>
    <m/>
    <m/>
    <x v="0"/>
    <n v="3"/>
    <x v="0"/>
    <m/>
    <m/>
    <n v="35"/>
    <x v="2"/>
    <s v="18/07/2022"/>
    <d v="2022-07-18T00:00:00"/>
    <s v="2022001-64"/>
    <x v="3"/>
  </r>
  <r>
    <x v="54"/>
    <n v="2022001"/>
    <x v="1"/>
    <s v="Chickpea"/>
    <m/>
    <x v="4"/>
    <s v="Y"/>
    <x v="2"/>
    <n v="65"/>
    <n v="33"/>
    <x v="2"/>
    <m/>
    <m/>
    <m/>
    <n v="9"/>
    <m/>
    <m/>
    <m/>
    <m/>
    <m/>
    <n v="2"/>
    <n v="29"/>
    <x v="0"/>
    <n v="17"/>
    <m/>
    <m/>
    <x v="1"/>
    <n v="4"/>
    <x v="0"/>
    <m/>
    <m/>
    <n v="35"/>
    <x v="2"/>
    <s v="18/07/2022"/>
    <d v="2022-07-18T00:00:00"/>
    <s v="2022001-65"/>
    <x v="3"/>
  </r>
  <r>
    <x v="54"/>
    <n v="2022001"/>
    <x v="1"/>
    <s v="Chickpea"/>
    <m/>
    <x v="4"/>
    <s v="Y"/>
    <x v="1"/>
    <n v="66"/>
    <n v="33"/>
    <x v="2"/>
    <m/>
    <m/>
    <m/>
    <n v="9"/>
    <m/>
    <m/>
    <m/>
    <m/>
    <m/>
    <n v="2"/>
    <n v="30"/>
    <x v="0"/>
    <n v="18"/>
    <m/>
    <n v="33"/>
    <x v="1"/>
    <n v="4"/>
    <x v="0"/>
    <m/>
    <m/>
    <n v="35"/>
    <x v="2"/>
    <s v="18/07/2022"/>
    <d v="2022-07-18T00:00:00"/>
    <s v="2022001-66"/>
    <x v="3"/>
  </r>
  <r>
    <x v="53"/>
    <n v="2022001"/>
    <x v="1"/>
    <s v="Chickpea"/>
    <m/>
    <x v="8"/>
    <s v="Y"/>
    <x v="2"/>
    <n v="67"/>
    <n v="34"/>
    <x v="2"/>
    <m/>
    <m/>
    <m/>
    <n v="9"/>
    <m/>
    <m/>
    <m/>
    <m/>
    <m/>
    <n v="3"/>
    <n v="29"/>
    <x v="1"/>
    <n v="17"/>
    <m/>
    <m/>
    <x v="1"/>
    <n v="1"/>
    <x v="0"/>
    <m/>
    <m/>
    <n v="35"/>
    <x v="2"/>
    <s v="18/07/2022"/>
    <d v="2022-07-18T00:00:00"/>
    <s v="2022001-67"/>
    <x v="3"/>
  </r>
  <r>
    <x v="53"/>
    <n v="2022001"/>
    <x v="1"/>
    <s v="Chickpea"/>
    <m/>
    <x v="8"/>
    <s v="Y"/>
    <x v="1"/>
    <n v="68"/>
    <n v="34"/>
    <x v="2"/>
    <m/>
    <m/>
    <m/>
    <n v="9"/>
    <m/>
    <m/>
    <m/>
    <m/>
    <m/>
    <n v="3"/>
    <n v="30"/>
    <x v="1"/>
    <n v="18"/>
    <m/>
    <n v="34"/>
    <x v="1"/>
    <n v="1"/>
    <x v="0"/>
    <m/>
    <m/>
    <n v="35"/>
    <x v="2"/>
    <s v="18/07/2022"/>
    <d v="2022-07-18T00:00:00"/>
    <s v="2022001-68"/>
    <x v="3"/>
  </r>
  <r>
    <x v="52"/>
    <n v="2022001"/>
    <x v="1"/>
    <s v="Chickpea"/>
    <m/>
    <x v="3"/>
    <s v="N"/>
    <x v="2"/>
    <n v="69"/>
    <n v="35"/>
    <x v="2"/>
    <m/>
    <m/>
    <m/>
    <n v="9"/>
    <m/>
    <m/>
    <m/>
    <m/>
    <m/>
    <n v="5"/>
    <n v="29"/>
    <x v="2"/>
    <n v="17"/>
    <m/>
    <m/>
    <x v="1"/>
    <n v="3"/>
    <x v="0"/>
    <m/>
    <m/>
    <n v="35"/>
    <x v="2"/>
    <s v="18/07/2022"/>
    <d v="2022-07-18T00:00:00"/>
    <s v="2022001-69"/>
    <x v="3"/>
  </r>
  <r>
    <x v="52"/>
    <n v="2022001"/>
    <x v="1"/>
    <s v="Chickpea"/>
    <m/>
    <x v="3"/>
    <s v="N"/>
    <x v="1"/>
    <n v="70"/>
    <n v="35"/>
    <x v="2"/>
    <m/>
    <m/>
    <m/>
    <n v="9"/>
    <m/>
    <m/>
    <m/>
    <m/>
    <m/>
    <n v="5"/>
    <n v="30"/>
    <x v="2"/>
    <n v="18"/>
    <m/>
    <n v="35"/>
    <x v="1"/>
    <n v="3"/>
    <x v="0"/>
    <m/>
    <m/>
    <n v="35"/>
    <x v="2"/>
    <s v="18/07/2022"/>
    <d v="2022-07-18T00:00:00"/>
    <s v="2022001-70"/>
    <x v="3"/>
  </r>
  <r>
    <x v="55"/>
    <n v="2022001"/>
    <x v="1"/>
    <s v="Chickpea"/>
    <m/>
    <x v="9"/>
    <s v="N"/>
    <x v="2"/>
    <n v="71"/>
    <n v="36"/>
    <x v="2"/>
    <m/>
    <m/>
    <m/>
    <n v="9"/>
    <m/>
    <m/>
    <m/>
    <m/>
    <m/>
    <n v="6"/>
    <n v="29"/>
    <x v="3"/>
    <n v="17"/>
    <m/>
    <m/>
    <x v="1"/>
    <n v="2"/>
    <x v="0"/>
    <m/>
    <m/>
    <n v="35"/>
    <x v="2"/>
    <s v="18/07/2022"/>
    <d v="2022-07-18T00:00:00"/>
    <s v="2022001-71"/>
    <x v="3"/>
  </r>
  <r>
    <x v="55"/>
    <n v="2022001"/>
    <x v="1"/>
    <s v="Chickpea"/>
    <m/>
    <x v="9"/>
    <s v="N"/>
    <x v="1"/>
    <n v="72"/>
    <n v="36"/>
    <x v="2"/>
    <m/>
    <m/>
    <m/>
    <n v="9"/>
    <m/>
    <m/>
    <m/>
    <m/>
    <m/>
    <n v="6"/>
    <n v="30"/>
    <x v="3"/>
    <n v="18"/>
    <m/>
    <n v="36"/>
    <x v="1"/>
    <n v="2"/>
    <x v="0"/>
    <m/>
    <m/>
    <n v="35"/>
    <x v="2"/>
    <s v="18/07/2022"/>
    <d v="2022-07-18T00:00:00"/>
    <s v="2022001-72"/>
    <x v="3"/>
  </r>
  <r>
    <x v="57"/>
    <n v="2022001"/>
    <x v="1"/>
    <s v="Chickpea"/>
    <m/>
    <x v="9"/>
    <s v="N"/>
    <x v="1"/>
    <n v="73"/>
    <n v="37"/>
    <x v="2"/>
    <m/>
    <m/>
    <m/>
    <n v="10"/>
    <m/>
    <m/>
    <m/>
    <m/>
    <m/>
    <n v="2"/>
    <n v="32"/>
    <x v="0"/>
    <n v="19"/>
    <m/>
    <n v="40"/>
    <x v="0"/>
    <n v="2"/>
    <x v="0"/>
    <m/>
    <m/>
    <n v="35"/>
    <x v="2"/>
    <s v="18/07/2022"/>
    <d v="2022-07-18T00:00:00"/>
    <s v="2022001-73"/>
    <x v="3"/>
  </r>
  <r>
    <x v="57"/>
    <n v="2022001"/>
    <x v="1"/>
    <s v="Chickpea"/>
    <m/>
    <x v="9"/>
    <s v="N"/>
    <x v="2"/>
    <n v="74"/>
    <n v="37"/>
    <x v="2"/>
    <m/>
    <m/>
    <m/>
    <n v="10"/>
    <m/>
    <m/>
    <m/>
    <m/>
    <m/>
    <n v="2"/>
    <n v="33"/>
    <x v="0"/>
    <n v="20"/>
    <m/>
    <m/>
    <x v="0"/>
    <n v="2"/>
    <x v="0"/>
    <m/>
    <m/>
    <n v="35"/>
    <x v="2"/>
    <s v="18/07/2022"/>
    <d v="2022-07-18T00:00:00"/>
    <s v="2022001-74"/>
    <x v="3"/>
  </r>
  <r>
    <x v="59"/>
    <n v="2022001"/>
    <x v="1"/>
    <s v="Chickpea"/>
    <m/>
    <x v="3"/>
    <s v="N"/>
    <x v="1"/>
    <n v="75"/>
    <n v="38"/>
    <x v="2"/>
    <m/>
    <m/>
    <m/>
    <n v="10"/>
    <m/>
    <m/>
    <m/>
    <m/>
    <m/>
    <n v="3"/>
    <n v="32"/>
    <x v="1"/>
    <n v="19"/>
    <m/>
    <n v="39"/>
    <x v="0"/>
    <n v="3"/>
    <x v="0"/>
    <m/>
    <m/>
    <n v="35"/>
    <x v="2"/>
    <s v="18/07/2022"/>
    <d v="2022-07-18T00:00:00"/>
    <s v="2022001-75"/>
    <x v="3"/>
  </r>
  <r>
    <x v="59"/>
    <n v="2022001"/>
    <x v="1"/>
    <s v="Chickpea"/>
    <m/>
    <x v="3"/>
    <s v="N"/>
    <x v="2"/>
    <n v="76"/>
    <n v="38"/>
    <x v="2"/>
    <m/>
    <m/>
    <m/>
    <n v="10"/>
    <m/>
    <m/>
    <m/>
    <m/>
    <m/>
    <n v="3"/>
    <n v="33"/>
    <x v="1"/>
    <n v="20"/>
    <m/>
    <m/>
    <x v="0"/>
    <n v="3"/>
    <x v="0"/>
    <m/>
    <m/>
    <n v="35"/>
    <x v="2"/>
    <s v="18/07/2022"/>
    <d v="2022-07-18T00:00:00"/>
    <s v="2022001-76"/>
    <x v="3"/>
  </r>
  <r>
    <x v="58"/>
    <n v="2022001"/>
    <x v="1"/>
    <s v="Chickpea"/>
    <m/>
    <x v="8"/>
    <s v="Y"/>
    <x v="1"/>
    <n v="77"/>
    <n v="39"/>
    <x v="2"/>
    <m/>
    <m/>
    <m/>
    <n v="10"/>
    <m/>
    <m/>
    <m/>
    <m/>
    <m/>
    <n v="5"/>
    <n v="32"/>
    <x v="2"/>
    <n v="19"/>
    <m/>
    <n v="38"/>
    <x v="0"/>
    <n v="1"/>
    <x v="0"/>
    <m/>
    <m/>
    <n v="35"/>
    <x v="2"/>
    <s v="18/07/2022"/>
    <d v="2022-07-18T00:00:00"/>
    <s v="2022001-77"/>
    <x v="3"/>
  </r>
  <r>
    <x v="58"/>
    <n v="2022001"/>
    <x v="1"/>
    <s v="Chickpea"/>
    <m/>
    <x v="8"/>
    <s v="Y"/>
    <x v="2"/>
    <n v="78"/>
    <n v="39"/>
    <x v="2"/>
    <m/>
    <m/>
    <m/>
    <n v="10"/>
    <m/>
    <m/>
    <m/>
    <m/>
    <m/>
    <n v="5"/>
    <n v="33"/>
    <x v="2"/>
    <n v="20"/>
    <m/>
    <m/>
    <x v="0"/>
    <n v="1"/>
    <x v="0"/>
    <m/>
    <m/>
    <n v="35"/>
    <x v="2"/>
    <s v="18/07/2022"/>
    <d v="2022-07-18T00:00:00"/>
    <s v="2022001-78"/>
    <x v="3"/>
  </r>
  <r>
    <x v="56"/>
    <n v="2022001"/>
    <x v="1"/>
    <s v="Chickpea"/>
    <m/>
    <x v="4"/>
    <s v="Y"/>
    <x v="1"/>
    <n v="79"/>
    <n v="40"/>
    <x v="2"/>
    <m/>
    <m/>
    <m/>
    <n v="10"/>
    <m/>
    <m/>
    <m/>
    <m/>
    <m/>
    <n v="6"/>
    <n v="32"/>
    <x v="3"/>
    <n v="19"/>
    <m/>
    <n v="37"/>
    <x v="0"/>
    <n v="4"/>
    <x v="0"/>
    <m/>
    <m/>
    <n v="35"/>
    <x v="2"/>
    <s v="18/07/2022"/>
    <d v="2022-07-18T00:00:00"/>
    <s v="2022001-79"/>
    <x v="3"/>
  </r>
  <r>
    <x v="56"/>
    <n v="2022001"/>
    <x v="1"/>
    <s v="Chickpea"/>
    <m/>
    <x v="4"/>
    <s v="Y"/>
    <x v="2"/>
    <n v="80"/>
    <n v="40"/>
    <x v="2"/>
    <m/>
    <m/>
    <m/>
    <n v="10"/>
    <m/>
    <m/>
    <m/>
    <m/>
    <m/>
    <n v="6"/>
    <n v="33"/>
    <x v="3"/>
    <n v="20"/>
    <m/>
    <m/>
    <x v="0"/>
    <n v="4"/>
    <x v="0"/>
    <m/>
    <m/>
    <n v="35"/>
    <x v="2"/>
    <s v="18/07/2022"/>
    <d v="2022-07-18T00:00:00"/>
    <s v="2022001-80"/>
    <x v="3"/>
  </r>
  <r>
    <x v="63"/>
    <n v="2022001"/>
    <x v="1"/>
    <s v="Chickpea"/>
    <m/>
    <x v="8"/>
    <s v="Y"/>
    <x v="2"/>
    <n v="81"/>
    <n v="41"/>
    <x v="2"/>
    <m/>
    <m/>
    <m/>
    <n v="11"/>
    <m/>
    <m/>
    <m/>
    <m/>
    <m/>
    <n v="2"/>
    <n v="36"/>
    <x v="0"/>
    <n v="21"/>
    <m/>
    <m/>
    <x v="1"/>
    <n v="1"/>
    <x v="0"/>
    <m/>
    <m/>
    <n v="35"/>
    <x v="1"/>
    <s v="13/06/2022"/>
    <d v="2022-06-13T00:00:00"/>
    <s v="2022001-81"/>
    <x v="3"/>
  </r>
  <r>
    <x v="63"/>
    <n v="2022001"/>
    <x v="1"/>
    <s v="Chickpea"/>
    <m/>
    <x v="8"/>
    <s v="Y"/>
    <x v="1"/>
    <n v="82"/>
    <n v="41"/>
    <x v="2"/>
    <m/>
    <m/>
    <m/>
    <n v="11"/>
    <m/>
    <m/>
    <m/>
    <m/>
    <m/>
    <n v="2"/>
    <n v="37"/>
    <x v="0"/>
    <n v="22"/>
    <m/>
    <n v="41"/>
    <x v="1"/>
    <n v="1"/>
    <x v="0"/>
    <m/>
    <m/>
    <n v="35"/>
    <x v="1"/>
    <s v="13/06/2022"/>
    <d v="2022-06-13T00:00:00"/>
    <s v="2022001-82"/>
    <x v="3"/>
  </r>
  <r>
    <x v="61"/>
    <n v="2022001"/>
    <x v="1"/>
    <s v="Chickpea"/>
    <m/>
    <x v="4"/>
    <s v="Y"/>
    <x v="2"/>
    <n v="83"/>
    <n v="42"/>
    <x v="2"/>
    <m/>
    <m/>
    <m/>
    <n v="11"/>
    <m/>
    <m/>
    <m/>
    <m/>
    <m/>
    <n v="3"/>
    <n v="36"/>
    <x v="1"/>
    <n v="21"/>
    <m/>
    <m/>
    <x v="1"/>
    <n v="4"/>
    <x v="0"/>
    <m/>
    <m/>
    <n v="35"/>
    <x v="1"/>
    <s v="13/06/2022"/>
    <d v="2022-06-13T00:00:00"/>
    <s v="2022001-83"/>
    <x v="3"/>
  </r>
  <r>
    <x v="61"/>
    <n v="2022001"/>
    <x v="1"/>
    <s v="Chickpea"/>
    <m/>
    <x v="4"/>
    <s v="Y"/>
    <x v="1"/>
    <n v="84"/>
    <n v="42"/>
    <x v="2"/>
    <m/>
    <m/>
    <m/>
    <n v="11"/>
    <m/>
    <m/>
    <m/>
    <m/>
    <m/>
    <n v="3"/>
    <n v="37"/>
    <x v="1"/>
    <n v="22"/>
    <m/>
    <n v="42"/>
    <x v="1"/>
    <n v="4"/>
    <x v="0"/>
    <m/>
    <m/>
    <n v="35"/>
    <x v="1"/>
    <s v="13/06/2022"/>
    <d v="2022-06-13T00:00:00"/>
    <s v="2022001-84"/>
    <x v="3"/>
  </r>
  <r>
    <x v="60"/>
    <n v="2022001"/>
    <x v="1"/>
    <s v="Chickpea"/>
    <m/>
    <x v="9"/>
    <s v="N"/>
    <x v="2"/>
    <n v="85"/>
    <n v="43"/>
    <x v="2"/>
    <m/>
    <m/>
    <m/>
    <n v="11"/>
    <m/>
    <m/>
    <m/>
    <m/>
    <m/>
    <n v="5"/>
    <n v="36"/>
    <x v="2"/>
    <n v="21"/>
    <m/>
    <m/>
    <x v="1"/>
    <n v="2"/>
    <x v="0"/>
    <m/>
    <m/>
    <n v="35"/>
    <x v="1"/>
    <s v="13/06/2022"/>
    <d v="2022-06-13T00:00:00"/>
    <s v="2022001-85"/>
    <x v="3"/>
  </r>
  <r>
    <x v="60"/>
    <n v="2022001"/>
    <x v="1"/>
    <s v="Chickpea"/>
    <m/>
    <x v="9"/>
    <s v="N"/>
    <x v="1"/>
    <n v="86"/>
    <n v="43"/>
    <x v="2"/>
    <m/>
    <m/>
    <m/>
    <n v="11"/>
    <m/>
    <m/>
    <m/>
    <m/>
    <m/>
    <n v="5"/>
    <n v="37"/>
    <x v="2"/>
    <n v="22"/>
    <m/>
    <n v="43"/>
    <x v="1"/>
    <n v="2"/>
    <x v="0"/>
    <m/>
    <m/>
    <n v="35"/>
    <x v="1"/>
    <s v="13/06/2022"/>
    <d v="2022-06-13T00:00:00"/>
    <s v="2022001-86"/>
    <x v="3"/>
  </r>
  <r>
    <x v="62"/>
    <n v="2022001"/>
    <x v="1"/>
    <s v="Chickpea"/>
    <m/>
    <x v="3"/>
    <s v="N"/>
    <x v="2"/>
    <n v="87"/>
    <n v="44"/>
    <x v="2"/>
    <m/>
    <m/>
    <m/>
    <n v="11"/>
    <m/>
    <m/>
    <m/>
    <m/>
    <m/>
    <n v="6"/>
    <n v="36"/>
    <x v="3"/>
    <n v="21"/>
    <m/>
    <m/>
    <x v="1"/>
    <n v="3"/>
    <x v="0"/>
    <m/>
    <m/>
    <n v="35"/>
    <x v="1"/>
    <s v="13/06/2022"/>
    <d v="2022-06-13T00:00:00"/>
    <s v="2022001-87"/>
    <x v="3"/>
  </r>
  <r>
    <x v="62"/>
    <n v="2022001"/>
    <x v="1"/>
    <s v="Chickpea"/>
    <m/>
    <x v="3"/>
    <s v="N"/>
    <x v="1"/>
    <n v="88"/>
    <n v="44"/>
    <x v="2"/>
    <m/>
    <m/>
    <m/>
    <n v="11"/>
    <m/>
    <m/>
    <m/>
    <m/>
    <m/>
    <n v="6"/>
    <n v="37"/>
    <x v="3"/>
    <n v="22"/>
    <m/>
    <n v="44"/>
    <x v="1"/>
    <n v="3"/>
    <x v="0"/>
    <m/>
    <m/>
    <n v="35"/>
    <x v="1"/>
    <s v="13/06/2022"/>
    <d v="2022-06-13T00:00:00"/>
    <s v="2022001-88"/>
    <x v="3"/>
  </r>
  <r>
    <x v="49"/>
    <n v="2022001"/>
    <x v="1"/>
    <s v="Chickpea"/>
    <m/>
    <x v="3"/>
    <s v="N"/>
    <x v="1"/>
    <n v="89"/>
    <n v="45"/>
    <x v="2"/>
    <m/>
    <m/>
    <m/>
    <n v="12"/>
    <m/>
    <m/>
    <m/>
    <m/>
    <m/>
    <n v="2"/>
    <n v="39"/>
    <x v="0"/>
    <n v="23"/>
    <m/>
    <n v="48"/>
    <x v="0"/>
    <n v="3"/>
    <x v="0"/>
    <m/>
    <m/>
    <n v="35"/>
    <x v="1"/>
    <s v="13/06/2022"/>
    <d v="2022-06-13T00:00:00"/>
    <s v="2022001-89"/>
    <x v="3"/>
  </r>
  <r>
    <x v="49"/>
    <n v="2022001"/>
    <x v="1"/>
    <s v="Chickpea"/>
    <m/>
    <x v="3"/>
    <s v="N"/>
    <x v="2"/>
    <n v="90"/>
    <n v="45"/>
    <x v="2"/>
    <m/>
    <m/>
    <m/>
    <n v="12"/>
    <m/>
    <m/>
    <m/>
    <m/>
    <m/>
    <n v="2"/>
    <n v="40"/>
    <x v="0"/>
    <n v="24"/>
    <m/>
    <m/>
    <x v="0"/>
    <n v="3"/>
    <x v="0"/>
    <m/>
    <m/>
    <n v="35"/>
    <x v="1"/>
    <s v="13/06/2022"/>
    <d v="2022-06-13T00:00:00"/>
    <s v="2022001-90"/>
    <x v="3"/>
  </r>
  <r>
    <x v="50"/>
    <n v="2022001"/>
    <x v="1"/>
    <s v="Chickpea"/>
    <m/>
    <x v="9"/>
    <s v="N"/>
    <x v="1"/>
    <n v="91"/>
    <n v="46"/>
    <x v="2"/>
    <m/>
    <m/>
    <m/>
    <n v="12"/>
    <m/>
    <m/>
    <m/>
    <m/>
    <m/>
    <n v="3"/>
    <n v="39"/>
    <x v="1"/>
    <n v="23"/>
    <m/>
    <n v="47"/>
    <x v="0"/>
    <n v="2"/>
    <x v="0"/>
    <m/>
    <m/>
    <n v="35"/>
    <x v="1"/>
    <s v="13/06/2022"/>
    <d v="2022-06-13T00:00:00"/>
    <s v="2022001-91"/>
    <x v="3"/>
  </r>
  <r>
    <x v="50"/>
    <n v="2022001"/>
    <x v="1"/>
    <s v="Chickpea"/>
    <m/>
    <x v="9"/>
    <s v="N"/>
    <x v="2"/>
    <n v="92"/>
    <n v="46"/>
    <x v="2"/>
    <m/>
    <m/>
    <m/>
    <n v="12"/>
    <m/>
    <m/>
    <m/>
    <m/>
    <m/>
    <n v="3"/>
    <n v="40"/>
    <x v="1"/>
    <n v="24"/>
    <m/>
    <m/>
    <x v="0"/>
    <n v="2"/>
    <x v="0"/>
    <m/>
    <m/>
    <n v="35"/>
    <x v="1"/>
    <s v="13/06/2022"/>
    <d v="2022-06-13T00:00:00"/>
    <s v="2022001-92"/>
    <x v="3"/>
  </r>
  <r>
    <x v="51"/>
    <n v="2022001"/>
    <x v="1"/>
    <s v="Chickpea"/>
    <m/>
    <x v="4"/>
    <s v="Y"/>
    <x v="1"/>
    <n v="93"/>
    <n v="47"/>
    <x v="2"/>
    <m/>
    <m/>
    <m/>
    <n v="12"/>
    <m/>
    <m/>
    <m/>
    <m/>
    <m/>
    <n v="5"/>
    <n v="39"/>
    <x v="2"/>
    <n v="23"/>
    <m/>
    <n v="46"/>
    <x v="0"/>
    <n v="4"/>
    <x v="0"/>
    <m/>
    <m/>
    <n v="35"/>
    <x v="1"/>
    <s v="13/06/2022"/>
    <d v="2022-06-13T00:00:00"/>
    <s v="2022001-93"/>
    <x v="3"/>
  </r>
  <r>
    <x v="51"/>
    <n v="2022001"/>
    <x v="1"/>
    <s v="Chickpea"/>
    <m/>
    <x v="4"/>
    <s v="Y"/>
    <x v="2"/>
    <n v="94"/>
    <n v="47"/>
    <x v="2"/>
    <m/>
    <m/>
    <m/>
    <n v="12"/>
    <m/>
    <m/>
    <m/>
    <m/>
    <m/>
    <n v="5"/>
    <n v="40"/>
    <x v="2"/>
    <n v="24"/>
    <m/>
    <m/>
    <x v="0"/>
    <n v="4"/>
    <x v="0"/>
    <m/>
    <m/>
    <n v="35"/>
    <x v="1"/>
    <s v="13/06/2022"/>
    <d v="2022-06-13T00:00:00"/>
    <s v="2022001-94"/>
    <x v="3"/>
  </r>
  <r>
    <x v="48"/>
    <n v="2022001"/>
    <x v="1"/>
    <s v="Chickpea"/>
    <m/>
    <x v="8"/>
    <s v="Y"/>
    <x v="1"/>
    <n v="95"/>
    <n v="48"/>
    <x v="2"/>
    <m/>
    <m/>
    <m/>
    <n v="12"/>
    <m/>
    <m/>
    <m/>
    <m/>
    <m/>
    <n v="6"/>
    <n v="39"/>
    <x v="3"/>
    <n v="23"/>
    <m/>
    <n v="45"/>
    <x v="0"/>
    <n v="1"/>
    <x v="0"/>
    <m/>
    <m/>
    <n v="35"/>
    <x v="1"/>
    <s v="13/06/2022"/>
    <d v="2022-06-13T00:00:00"/>
    <s v="2022001-95"/>
    <x v="3"/>
  </r>
  <r>
    <x v="48"/>
    <n v="2022001"/>
    <x v="1"/>
    <s v="Chickpea"/>
    <m/>
    <x v="8"/>
    <s v="Y"/>
    <x v="2"/>
    <n v="96"/>
    <n v="48"/>
    <x v="2"/>
    <m/>
    <m/>
    <m/>
    <n v="12"/>
    <m/>
    <m/>
    <m/>
    <m/>
    <m/>
    <n v="6"/>
    <n v="40"/>
    <x v="3"/>
    <n v="24"/>
    <m/>
    <m/>
    <x v="0"/>
    <n v="1"/>
    <x v="0"/>
    <m/>
    <m/>
    <n v="35"/>
    <x v="1"/>
    <s v="13/06/2022"/>
    <d v="2022-06-13T00:00:00"/>
    <s v="2022001-96"/>
    <x v="3"/>
  </r>
  <r>
    <x v="59"/>
    <n v="2022001"/>
    <x v="1"/>
    <s v="Chickpea"/>
    <m/>
    <x v="3"/>
    <s v="N"/>
    <x v="1"/>
    <n v="97"/>
    <n v="49"/>
    <x v="3"/>
    <m/>
    <m/>
    <m/>
    <n v="13"/>
    <m/>
    <m/>
    <m/>
    <m/>
    <m/>
    <n v="2"/>
    <n v="43"/>
    <x v="0"/>
    <n v="25"/>
    <m/>
    <n v="49"/>
    <x v="0"/>
    <n v="3"/>
    <x v="0"/>
    <m/>
    <m/>
    <n v="35"/>
    <x v="2"/>
    <s v="18/07/2022"/>
    <d v="2022-07-18T00:00:00"/>
    <s v="2022001-97"/>
    <x v="3"/>
  </r>
  <r>
    <x v="59"/>
    <n v="2022001"/>
    <x v="1"/>
    <s v="Chickpea"/>
    <m/>
    <x v="3"/>
    <s v="N"/>
    <x v="2"/>
    <n v="98"/>
    <n v="49"/>
    <x v="3"/>
    <m/>
    <m/>
    <m/>
    <n v="13"/>
    <m/>
    <m/>
    <m/>
    <m/>
    <m/>
    <n v="2"/>
    <n v="44"/>
    <x v="0"/>
    <n v="26"/>
    <m/>
    <m/>
    <x v="0"/>
    <n v="3"/>
    <x v="0"/>
    <m/>
    <m/>
    <n v="35"/>
    <x v="2"/>
    <s v="18/07/2022"/>
    <d v="2022-07-18T00:00:00"/>
    <s v="2022001-98"/>
    <x v="3"/>
  </r>
  <r>
    <x v="56"/>
    <n v="2022001"/>
    <x v="1"/>
    <s v="Chickpea"/>
    <m/>
    <x v="4"/>
    <s v="Y"/>
    <x v="1"/>
    <n v="99"/>
    <n v="50"/>
    <x v="3"/>
    <m/>
    <m/>
    <m/>
    <n v="13"/>
    <m/>
    <m/>
    <m/>
    <m/>
    <m/>
    <n v="3"/>
    <n v="43"/>
    <x v="1"/>
    <n v="25"/>
    <m/>
    <n v="50"/>
    <x v="0"/>
    <n v="4"/>
    <x v="0"/>
    <m/>
    <m/>
    <n v="35"/>
    <x v="2"/>
    <s v="18/07/2022"/>
    <d v="2022-07-18T00:00:00"/>
    <s v="2022001-99"/>
    <x v="3"/>
  </r>
  <r>
    <x v="56"/>
    <n v="2022001"/>
    <x v="1"/>
    <s v="Chickpea"/>
    <m/>
    <x v="4"/>
    <s v="Y"/>
    <x v="2"/>
    <n v="100"/>
    <n v="50"/>
    <x v="3"/>
    <m/>
    <m/>
    <m/>
    <n v="13"/>
    <m/>
    <m/>
    <m/>
    <m/>
    <m/>
    <n v="3"/>
    <n v="44"/>
    <x v="1"/>
    <n v="26"/>
    <m/>
    <m/>
    <x v="0"/>
    <n v="4"/>
    <x v="0"/>
    <m/>
    <m/>
    <n v="35"/>
    <x v="2"/>
    <s v="18/07/2022"/>
    <d v="2022-07-18T00:00:00"/>
    <s v="2022001-100"/>
    <x v="3"/>
  </r>
  <r>
    <x v="57"/>
    <n v="2022001"/>
    <x v="1"/>
    <s v="Chickpea"/>
    <m/>
    <x v="9"/>
    <s v="N"/>
    <x v="1"/>
    <n v="101"/>
    <n v="51"/>
    <x v="3"/>
    <m/>
    <m/>
    <m/>
    <n v="13"/>
    <m/>
    <m/>
    <m/>
    <m/>
    <m/>
    <n v="5"/>
    <n v="43"/>
    <x v="2"/>
    <n v="25"/>
    <m/>
    <n v="51"/>
    <x v="0"/>
    <n v="2"/>
    <x v="0"/>
    <m/>
    <m/>
    <n v="35"/>
    <x v="2"/>
    <s v="18/07/2022"/>
    <d v="2022-07-18T00:00:00"/>
    <s v="2022001-101"/>
    <x v="3"/>
  </r>
  <r>
    <x v="57"/>
    <n v="2022001"/>
    <x v="1"/>
    <s v="Chickpea"/>
    <m/>
    <x v="9"/>
    <s v="N"/>
    <x v="2"/>
    <n v="102"/>
    <n v="51"/>
    <x v="3"/>
    <m/>
    <m/>
    <m/>
    <n v="13"/>
    <m/>
    <m/>
    <m/>
    <m/>
    <m/>
    <n v="5"/>
    <n v="44"/>
    <x v="2"/>
    <n v="26"/>
    <m/>
    <m/>
    <x v="0"/>
    <n v="2"/>
    <x v="0"/>
    <m/>
    <m/>
    <n v="35"/>
    <x v="2"/>
    <s v="18/07/2022"/>
    <d v="2022-07-18T00:00:00"/>
    <s v="2022001-102"/>
    <x v="3"/>
  </r>
  <r>
    <x v="58"/>
    <n v="2022001"/>
    <x v="1"/>
    <s v="Chickpea"/>
    <m/>
    <x v="8"/>
    <s v="Y"/>
    <x v="1"/>
    <n v="103"/>
    <n v="52"/>
    <x v="3"/>
    <m/>
    <m/>
    <m/>
    <n v="13"/>
    <m/>
    <m/>
    <m/>
    <m/>
    <m/>
    <n v="6"/>
    <n v="43"/>
    <x v="3"/>
    <n v="25"/>
    <m/>
    <n v="52"/>
    <x v="0"/>
    <n v="1"/>
    <x v="0"/>
    <m/>
    <m/>
    <n v="35"/>
    <x v="2"/>
    <s v="18/07/2022"/>
    <d v="2022-07-18T00:00:00"/>
    <s v="2022001-103"/>
    <x v="3"/>
  </r>
  <r>
    <x v="58"/>
    <n v="2022001"/>
    <x v="1"/>
    <s v="Chickpea"/>
    <m/>
    <x v="8"/>
    <s v="Y"/>
    <x v="2"/>
    <n v="104"/>
    <n v="52"/>
    <x v="3"/>
    <m/>
    <m/>
    <m/>
    <n v="13"/>
    <m/>
    <m/>
    <m/>
    <m/>
    <m/>
    <n v="6"/>
    <n v="44"/>
    <x v="3"/>
    <n v="26"/>
    <m/>
    <m/>
    <x v="0"/>
    <n v="1"/>
    <x v="0"/>
    <m/>
    <m/>
    <n v="35"/>
    <x v="2"/>
    <s v="18/07/2022"/>
    <d v="2022-07-18T00:00:00"/>
    <s v="2022001-104"/>
    <x v="3"/>
  </r>
  <r>
    <x v="61"/>
    <n v="2022001"/>
    <x v="1"/>
    <s v="Chickpea"/>
    <m/>
    <x v="4"/>
    <s v="Y"/>
    <x v="1"/>
    <n v="105"/>
    <n v="53"/>
    <x v="3"/>
    <m/>
    <m/>
    <m/>
    <n v="14"/>
    <m/>
    <m/>
    <m/>
    <m/>
    <m/>
    <n v="2"/>
    <n v="47"/>
    <x v="0"/>
    <n v="27"/>
    <m/>
    <n v="56"/>
    <x v="1"/>
    <n v="4"/>
    <x v="0"/>
    <m/>
    <m/>
    <n v="35"/>
    <x v="1"/>
    <s v="13/06/2022"/>
    <d v="2022-06-13T00:00:00"/>
    <s v="2022001-105"/>
    <x v="3"/>
  </r>
  <r>
    <x v="61"/>
    <n v="2022001"/>
    <x v="1"/>
    <s v="Chickpea"/>
    <m/>
    <x v="4"/>
    <s v="Y"/>
    <x v="2"/>
    <n v="106"/>
    <n v="53"/>
    <x v="3"/>
    <m/>
    <m/>
    <m/>
    <n v="14"/>
    <m/>
    <m/>
    <m/>
    <m/>
    <m/>
    <n v="2"/>
    <n v="48"/>
    <x v="0"/>
    <n v="28"/>
    <m/>
    <m/>
    <x v="1"/>
    <n v="4"/>
    <x v="0"/>
    <m/>
    <m/>
    <n v="35"/>
    <x v="1"/>
    <s v="13/06/2022"/>
    <d v="2022-06-13T00:00:00"/>
    <s v="2022001-106"/>
    <x v="3"/>
  </r>
  <r>
    <x v="62"/>
    <n v="2022001"/>
    <x v="1"/>
    <s v="Chickpea"/>
    <m/>
    <x v="3"/>
    <s v="N"/>
    <x v="1"/>
    <n v="107"/>
    <n v="54"/>
    <x v="3"/>
    <m/>
    <m/>
    <m/>
    <n v="14"/>
    <m/>
    <m/>
    <m/>
    <m/>
    <m/>
    <n v="3"/>
    <n v="47"/>
    <x v="1"/>
    <n v="27"/>
    <m/>
    <n v="55"/>
    <x v="1"/>
    <n v="3"/>
    <x v="0"/>
    <m/>
    <m/>
    <n v="35"/>
    <x v="1"/>
    <s v="13/06/2022"/>
    <d v="2022-06-13T00:00:00"/>
    <s v="2022001-107"/>
    <x v="3"/>
  </r>
  <r>
    <x v="62"/>
    <n v="2022001"/>
    <x v="1"/>
    <s v="Chickpea"/>
    <m/>
    <x v="3"/>
    <s v="N"/>
    <x v="2"/>
    <n v="108"/>
    <n v="54"/>
    <x v="3"/>
    <m/>
    <m/>
    <m/>
    <n v="14"/>
    <m/>
    <m/>
    <m/>
    <m/>
    <m/>
    <n v="3"/>
    <n v="48"/>
    <x v="1"/>
    <n v="28"/>
    <m/>
    <m/>
    <x v="1"/>
    <n v="3"/>
    <x v="0"/>
    <m/>
    <m/>
    <n v="35"/>
    <x v="1"/>
    <s v="13/06/2022"/>
    <d v="2022-06-13T00:00:00"/>
    <s v="2022001-108"/>
    <x v="3"/>
  </r>
  <r>
    <x v="63"/>
    <n v="2022001"/>
    <x v="1"/>
    <s v="Chickpea"/>
    <m/>
    <x v="8"/>
    <s v="Y"/>
    <x v="1"/>
    <n v="109"/>
    <n v="55"/>
    <x v="3"/>
    <m/>
    <m/>
    <m/>
    <n v="14"/>
    <m/>
    <m/>
    <m/>
    <m/>
    <m/>
    <n v="5"/>
    <n v="47"/>
    <x v="2"/>
    <n v="27"/>
    <m/>
    <n v="54"/>
    <x v="1"/>
    <n v="1"/>
    <x v="0"/>
    <m/>
    <m/>
    <n v="35"/>
    <x v="1"/>
    <s v="13/06/2022"/>
    <d v="2022-06-13T00:00:00"/>
    <s v="2022001-109"/>
    <x v="3"/>
  </r>
  <r>
    <x v="63"/>
    <n v="2022001"/>
    <x v="1"/>
    <s v="Chickpea"/>
    <m/>
    <x v="8"/>
    <s v="Y"/>
    <x v="2"/>
    <n v="110"/>
    <n v="55"/>
    <x v="3"/>
    <m/>
    <m/>
    <m/>
    <n v="14"/>
    <m/>
    <m/>
    <m/>
    <m/>
    <m/>
    <n v="5"/>
    <n v="48"/>
    <x v="2"/>
    <n v="28"/>
    <m/>
    <m/>
    <x v="1"/>
    <n v="1"/>
    <x v="0"/>
    <m/>
    <m/>
    <n v="35"/>
    <x v="1"/>
    <s v="13/06/2022"/>
    <d v="2022-06-13T00:00:00"/>
    <s v="2022001-110"/>
    <x v="3"/>
  </r>
  <r>
    <x v="60"/>
    <n v="2022001"/>
    <x v="1"/>
    <s v="Chickpea"/>
    <m/>
    <x v="9"/>
    <s v="N"/>
    <x v="1"/>
    <n v="111"/>
    <n v="56"/>
    <x v="3"/>
    <m/>
    <m/>
    <m/>
    <n v="14"/>
    <m/>
    <m/>
    <m/>
    <m/>
    <m/>
    <n v="6"/>
    <n v="47"/>
    <x v="3"/>
    <n v="27"/>
    <m/>
    <n v="53"/>
    <x v="1"/>
    <n v="2"/>
    <x v="0"/>
    <m/>
    <m/>
    <n v="35"/>
    <x v="1"/>
    <s v="13/06/2022"/>
    <d v="2022-06-13T00:00:00"/>
    <s v="2022001-111"/>
    <x v="3"/>
  </r>
  <r>
    <x v="60"/>
    <n v="2022001"/>
    <x v="1"/>
    <s v="Chickpea"/>
    <m/>
    <x v="9"/>
    <s v="N"/>
    <x v="2"/>
    <n v="112"/>
    <n v="56"/>
    <x v="3"/>
    <m/>
    <m/>
    <m/>
    <n v="14"/>
    <m/>
    <m/>
    <m/>
    <m/>
    <m/>
    <n v="6"/>
    <n v="48"/>
    <x v="3"/>
    <n v="28"/>
    <m/>
    <m/>
    <x v="1"/>
    <n v="2"/>
    <x v="0"/>
    <m/>
    <m/>
    <n v="35"/>
    <x v="1"/>
    <s v="13/06/2022"/>
    <d v="2022-06-13T00:00:00"/>
    <s v="2022001-112"/>
    <x v="3"/>
  </r>
  <r>
    <x v="50"/>
    <n v="2022001"/>
    <x v="1"/>
    <s v="Chickpea"/>
    <m/>
    <x v="9"/>
    <s v="N"/>
    <x v="1"/>
    <n v="113"/>
    <n v="57"/>
    <x v="3"/>
    <m/>
    <m/>
    <m/>
    <n v="15"/>
    <m/>
    <m/>
    <m/>
    <m/>
    <m/>
    <n v="2"/>
    <n v="50"/>
    <x v="0"/>
    <n v="29"/>
    <m/>
    <n v="57"/>
    <x v="0"/>
    <n v="2"/>
    <x v="0"/>
    <m/>
    <m/>
    <n v="35"/>
    <x v="1"/>
    <s v="13/06/2022"/>
    <d v="2022-06-13T00:00:00"/>
    <s v="2022001-113"/>
    <x v="3"/>
  </r>
  <r>
    <x v="50"/>
    <n v="2022001"/>
    <x v="1"/>
    <s v="Chickpea"/>
    <m/>
    <x v="9"/>
    <s v="N"/>
    <x v="2"/>
    <n v="114"/>
    <n v="57"/>
    <x v="3"/>
    <m/>
    <m/>
    <m/>
    <n v="15"/>
    <m/>
    <m/>
    <m/>
    <m/>
    <m/>
    <n v="2"/>
    <n v="51"/>
    <x v="0"/>
    <n v="30"/>
    <m/>
    <m/>
    <x v="0"/>
    <n v="2"/>
    <x v="0"/>
    <m/>
    <m/>
    <n v="35"/>
    <x v="1"/>
    <s v="13/06/2022"/>
    <d v="2022-06-13T00:00:00"/>
    <s v="2022001-114"/>
    <x v="3"/>
  </r>
  <r>
    <x v="48"/>
    <n v="2022001"/>
    <x v="1"/>
    <s v="Chickpea"/>
    <m/>
    <x v="8"/>
    <s v="Y"/>
    <x v="1"/>
    <n v="115"/>
    <n v="58"/>
    <x v="3"/>
    <m/>
    <m/>
    <m/>
    <n v="15"/>
    <m/>
    <m/>
    <m/>
    <m/>
    <m/>
    <n v="3"/>
    <n v="50"/>
    <x v="1"/>
    <n v="29"/>
    <m/>
    <n v="58"/>
    <x v="0"/>
    <n v="1"/>
    <x v="0"/>
    <m/>
    <m/>
    <n v="35"/>
    <x v="1"/>
    <s v="13/06/2022"/>
    <d v="2022-06-13T00:00:00"/>
    <s v="2022001-115"/>
    <x v="3"/>
  </r>
  <r>
    <x v="48"/>
    <n v="2022001"/>
    <x v="1"/>
    <s v="Chickpea"/>
    <m/>
    <x v="8"/>
    <s v="Y"/>
    <x v="2"/>
    <n v="116"/>
    <n v="58"/>
    <x v="3"/>
    <m/>
    <m/>
    <m/>
    <n v="15"/>
    <m/>
    <m/>
    <m/>
    <m/>
    <m/>
    <n v="3"/>
    <n v="51"/>
    <x v="1"/>
    <n v="30"/>
    <m/>
    <m/>
    <x v="0"/>
    <n v="1"/>
    <x v="0"/>
    <m/>
    <m/>
    <n v="35"/>
    <x v="1"/>
    <s v="13/06/2022"/>
    <d v="2022-06-13T00:00:00"/>
    <s v="2022001-116"/>
    <x v="3"/>
  </r>
  <r>
    <x v="51"/>
    <n v="2022001"/>
    <x v="1"/>
    <s v="Chickpea"/>
    <m/>
    <x v="4"/>
    <s v="Y"/>
    <x v="1"/>
    <n v="117"/>
    <n v="59"/>
    <x v="3"/>
    <m/>
    <m/>
    <m/>
    <n v="15"/>
    <m/>
    <m/>
    <m/>
    <m/>
    <m/>
    <n v="5"/>
    <n v="50"/>
    <x v="2"/>
    <n v="29"/>
    <m/>
    <n v="59"/>
    <x v="0"/>
    <n v="4"/>
    <x v="0"/>
    <m/>
    <m/>
    <n v="35"/>
    <x v="1"/>
    <s v="13/06/2022"/>
    <d v="2022-06-13T00:00:00"/>
    <s v="2022001-117"/>
    <x v="3"/>
  </r>
  <r>
    <x v="51"/>
    <n v="2022001"/>
    <x v="1"/>
    <s v="Chickpea"/>
    <m/>
    <x v="4"/>
    <s v="Y"/>
    <x v="2"/>
    <n v="118"/>
    <n v="59"/>
    <x v="3"/>
    <m/>
    <m/>
    <m/>
    <n v="15"/>
    <m/>
    <m/>
    <m/>
    <m/>
    <m/>
    <n v="5"/>
    <n v="51"/>
    <x v="2"/>
    <n v="30"/>
    <m/>
    <m/>
    <x v="0"/>
    <n v="4"/>
    <x v="0"/>
    <m/>
    <m/>
    <n v="35"/>
    <x v="1"/>
    <s v="13/06/2022"/>
    <d v="2022-06-13T00:00:00"/>
    <s v="2022001-118"/>
    <x v="3"/>
  </r>
  <r>
    <x v="49"/>
    <n v="2022001"/>
    <x v="1"/>
    <s v="Chickpea"/>
    <m/>
    <x v="3"/>
    <s v="N"/>
    <x v="1"/>
    <n v="119"/>
    <n v="60"/>
    <x v="3"/>
    <m/>
    <m/>
    <m/>
    <n v="15"/>
    <m/>
    <m/>
    <m/>
    <m/>
    <m/>
    <n v="6"/>
    <n v="50"/>
    <x v="3"/>
    <n v="29"/>
    <m/>
    <n v="60"/>
    <x v="0"/>
    <n v="3"/>
    <x v="0"/>
    <m/>
    <m/>
    <n v="35"/>
    <x v="1"/>
    <s v="13/06/2022"/>
    <d v="2022-06-13T00:00:00"/>
    <s v="2022001-119"/>
    <x v="3"/>
  </r>
  <r>
    <x v="49"/>
    <n v="2022001"/>
    <x v="1"/>
    <s v="Chickpea"/>
    <m/>
    <x v="3"/>
    <s v="N"/>
    <x v="2"/>
    <n v="120"/>
    <n v="60"/>
    <x v="3"/>
    <m/>
    <m/>
    <m/>
    <n v="15"/>
    <m/>
    <m/>
    <m/>
    <m/>
    <m/>
    <n v="6"/>
    <n v="51"/>
    <x v="3"/>
    <n v="30"/>
    <m/>
    <m/>
    <x v="0"/>
    <n v="3"/>
    <x v="0"/>
    <m/>
    <m/>
    <n v="35"/>
    <x v="1"/>
    <s v="13/06/2022"/>
    <d v="2022-06-13T00:00:00"/>
    <s v="2022001-120"/>
    <x v="3"/>
  </r>
  <r>
    <x v="53"/>
    <n v="2022001"/>
    <x v="1"/>
    <s v="Chickpea"/>
    <m/>
    <x v="8"/>
    <s v="Y"/>
    <x v="1"/>
    <n v="121"/>
    <n v="61"/>
    <x v="3"/>
    <m/>
    <m/>
    <m/>
    <n v="16"/>
    <m/>
    <m/>
    <m/>
    <m/>
    <m/>
    <n v="2"/>
    <n v="54"/>
    <x v="0"/>
    <n v="31"/>
    <m/>
    <n v="64"/>
    <x v="1"/>
    <n v="1"/>
    <x v="0"/>
    <m/>
    <m/>
    <n v="35"/>
    <x v="2"/>
    <s v="18/07/2022"/>
    <d v="2022-07-18T00:00:00"/>
    <s v="2022001-121"/>
    <x v="3"/>
  </r>
  <r>
    <x v="53"/>
    <n v="2022001"/>
    <x v="1"/>
    <s v="Chickpea"/>
    <m/>
    <x v="8"/>
    <s v="Y"/>
    <x v="2"/>
    <n v="122"/>
    <n v="61"/>
    <x v="3"/>
    <m/>
    <m/>
    <m/>
    <n v="16"/>
    <m/>
    <m/>
    <m/>
    <m/>
    <m/>
    <n v="2"/>
    <n v="55"/>
    <x v="0"/>
    <n v="32"/>
    <m/>
    <m/>
    <x v="1"/>
    <n v="1"/>
    <x v="0"/>
    <m/>
    <m/>
    <n v="35"/>
    <x v="2"/>
    <s v="18/07/2022"/>
    <d v="2022-07-18T00:00:00"/>
    <s v="2022001-122"/>
    <x v="3"/>
  </r>
  <r>
    <x v="55"/>
    <n v="2022001"/>
    <x v="1"/>
    <s v="Chickpea"/>
    <m/>
    <x v="9"/>
    <s v="N"/>
    <x v="1"/>
    <n v="123"/>
    <n v="62"/>
    <x v="3"/>
    <m/>
    <m/>
    <m/>
    <n v="16"/>
    <m/>
    <m/>
    <m/>
    <m/>
    <m/>
    <n v="3"/>
    <n v="54"/>
    <x v="1"/>
    <n v="31"/>
    <m/>
    <n v="63"/>
    <x v="1"/>
    <n v="2"/>
    <x v="0"/>
    <m/>
    <m/>
    <n v="35"/>
    <x v="2"/>
    <s v="18/07/2022"/>
    <d v="2022-07-18T00:00:00"/>
    <s v="2022001-123"/>
    <x v="3"/>
  </r>
  <r>
    <x v="55"/>
    <n v="2022001"/>
    <x v="1"/>
    <s v="Chickpea"/>
    <m/>
    <x v="9"/>
    <s v="N"/>
    <x v="2"/>
    <n v="124"/>
    <n v="62"/>
    <x v="3"/>
    <m/>
    <m/>
    <m/>
    <n v="16"/>
    <m/>
    <m/>
    <m/>
    <m/>
    <m/>
    <n v="3"/>
    <n v="55"/>
    <x v="1"/>
    <n v="32"/>
    <m/>
    <m/>
    <x v="1"/>
    <n v="2"/>
    <x v="0"/>
    <m/>
    <m/>
    <n v="35"/>
    <x v="2"/>
    <s v="18/07/2022"/>
    <d v="2022-07-18T00:00:00"/>
    <s v="2022001-124"/>
    <x v="3"/>
  </r>
  <r>
    <x v="52"/>
    <n v="2022001"/>
    <x v="1"/>
    <s v="Chickpea"/>
    <m/>
    <x v="3"/>
    <s v="N"/>
    <x v="1"/>
    <n v="125"/>
    <n v="63"/>
    <x v="3"/>
    <m/>
    <m/>
    <m/>
    <n v="16"/>
    <m/>
    <m/>
    <m/>
    <m/>
    <m/>
    <n v="5"/>
    <n v="54"/>
    <x v="2"/>
    <n v="31"/>
    <m/>
    <n v="62"/>
    <x v="1"/>
    <n v="3"/>
    <x v="0"/>
    <m/>
    <m/>
    <n v="35"/>
    <x v="2"/>
    <s v="18/07/2022"/>
    <d v="2022-07-18T00:00:00"/>
    <s v="2022001-125"/>
    <x v="3"/>
  </r>
  <r>
    <x v="52"/>
    <n v="2022001"/>
    <x v="1"/>
    <s v="Chickpea"/>
    <m/>
    <x v="3"/>
    <s v="N"/>
    <x v="2"/>
    <n v="126"/>
    <n v="63"/>
    <x v="3"/>
    <m/>
    <m/>
    <m/>
    <n v="16"/>
    <m/>
    <m/>
    <m/>
    <m/>
    <m/>
    <n v="5"/>
    <n v="55"/>
    <x v="2"/>
    <n v="32"/>
    <m/>
    <m/>
    <x v="1"/>
    <n v="3"/>
    <x v="0"/>
    <m/>
    <m/>
    <n v="35"/>
    <x v="2"/>
    <s v="18/07/2022"/>
    <d v="2022-07-18T00:00:00"/>
    <s v="2022001-126"/>
    <x v="3"/>
  </r>
  <r>
    <x v="54"/>
    <n v="2022001"/>
    <x v="1"/>
    <s v="Chickpea"/>
    <m/>
    <x v="4"/>
    <s v="Y"/>
    <x v="1"/>
    <n v="127"/>
    <n v="64"/>
    <x v="3"/>
    <m/>
    <m/>
    <m/>
    <n v="16"/>
    <m/>
    <m/>
    <m/>
    <m/>
    <m/>
    <n v="6"/>
    <n v="54"/>
    <x v="3"/>
    <n v="31"/>
    <m/>
    <n v="61"/>
    <x v="1"/>
    <n v="4"/>
    <x v="0"/>
    <m/>
    <m/>
    <n v="35"/>
    <x v="2"/>
    <s v="18/07/2022"/>
    <d v="2022-07-18T00:00:00"/>
    <s v="2022001-127"/>
    <x v="3"/>
  </r>
  <r>
    <x v="54"/>
    <n v="2022001"/>
    <x v="1"/>
    <s v="Chickpea"/>
    <m/>
    <x v="4"/>
    <s v="Y"/>
    <x v="2"/>
    <n v="128"/>
    <n v="64"/>
    <x v="3"/>
    <m/>
    <m/>
    <m/>
    <n v="16"/>
    <m/>
    <m/>
    <m/>
    <m/>
    <m/>
    <n v="6"/>
    <n v="55"/>
    <x v="3"/>
    <n v="32"/>
    <m/>
    <m/>
    <x v="1"/>
    <n v="4"/>
    <x v="0"/>
    <m/>
    <m/>
    <n v="35"/>
    <x v="2"/>
    <s v="18/07/2022"/>
    <d v="2022-07-18T00:00:00"/>
    <s v="2022001-128"/>
    <x v="3"/>
  </r>
  <r>
    <x v="64"/>
    <n v="2022002"/>
    <x v="2"/>
    <s v="Chickpea"/>
    <m/>
    <x v="9"/>
    <s v="N"/>
    <x v="2"/>
    <n v="1"/>
    <n v="1"/>
    <x v="0"/>
    <m/>
    <m/>
    <m/>
    <n v="1"/>
    <n v="1"/>
    <m/>
    <m/>
    <m/>
    <m/>
    <n v="1"/>
    <n v="2"/>
    <x v="0"/>
    <n v="1"/>
    <m/>
    <m/>
    <x v="0"/>
    <n v="2"/>
    <x v="0"/>
    <m/>
    <m/>
    <n v="30.5"/>
    <x v="2"/>
    <s v="28/06/2022"/>
    <d v="2022-06-28T00:00:00"/>
    <s v="2022002-1"/>
    <x v="3"/>
  </r>
  <r>
    <x v="64"/>
    <n v="2022002"/>
    <x v="2"/>
    <s v="Chickpea"/>
    <m/>
    <x v="9"/>
    <s v="N"/>
    <x v="1"/>
    <n v="2"/>
    <n v="1"/>
    <x v="0"/>
    <m/>
    <m/>
    <m/>
    <n v="1"/>
    <n v="1"/>
    <m/>
    <m/>
    <m/>
    <m/>
    <n v="1"/>
    <n v="3"/>
    <x v="0"/>
    <n v="2"/>
    <m/>
    <n v="1"/>
    <x v="0"/>
    <n v="2"/>
    <x v="0"/>
    <m/>
    <m/>
    <n v="30.5"/>
    <x v="2"/>
    <s v="28/06/2022"/>
    <d v="2022-06-28T00:00:00"/>
    <s v="2022002-2"/>
    <x v="3"/>
  </r>
  <r>
    <x v="65"/>
    <n v="2022002"/>
    <x v="2"/>
    <s v="Chickpea"/>
    <m/>
    <x v="3"/>
    <s v="N"/>
    <x v="2"/>
    <n v="3"/>
    <n v="2"/>
    <x v="0"/>
    <m/>
    <m/>
    <m/>
    <n v="1"/>
    <n v="1"/>
    <m/>
    <m/>
    <m/>
    <m/>
    <n v="2"/>
    <n v="2"/>
    <x v="1"/>
    <n v="1"/>
    <m/>
    <m/>
    <x v="0"/>
    <n v="3"/>
    <x v="0"/>
    <m/>
    <m/>
    <n v="30.5"/>
    <x v="2"/>
    <s v="28/06/2022"/>
    <d v="2022-06-28T00:00:00"/>
    <s v="2022002-3"/>
    <x v="3"/>
  </r>
  <r>
    <x v="65"/>
    <n v="2022002"/>
    <x v="2"/>
    <s v="Chickpea"/>
    <m/>
    <x v="3"/>
    <s v="N"/>
    <x v="1"/>
    <n v="4"/>
    <n v="2"/>
    <x v="0"/>
    <m/>
    <m/>
    <m/>
    <n v="1"/>
    <n v="1"/>
    <m/>
    <m/>
    <m/>
    <m/>
    <n v="2"/>
    <n v="3"/>
    <x v="1"/>
    <n v="2"/>
    <m/>
    <n v="2"/>
    <x v="0"/>
    <n v="3"/>
    <x v="0"/>
    <m/>
    <m/>
    <n v="30.5"/>
    <x v="2"/>
    <s v="28/06/2022"/>
    <d v="2022-06-28T00:00:00"/>
    <s v="2022002-4"/>
    <x v="3"/>
  </r>
  <r>
    <x v="66"/>
    <n v="2022002"/>
    <x v="2"/>
    <s v="Chickpea"/>
    <m/>
    <x v="8"/>
    <s v="Y"/>
    <x v="2"/>
    <n v="5"/>
    <n v="3"/>
    <x v="0"/>
    <m/>
    <m/>
    <m/>
    <n v="1"/>
    <n v="1"/>
    <m/>
    <m/>
    <m/>
    <m/>
    <n v="3"/>
    <n v="2"/>
    <x v="2"/>
    <n v="1"/>
    <m/>
    <m/>
    <x v="0"/>
    <n v="1"/>
    <x v="0"/>
    <m/>
    <m/>
    <n v="30.5"/>
    <x v="2"/>
    <s v="28/06/2022"/>
    <d v="2022-06-28T00:00:00"/>
    <s v="2022002-5"/>
    <x v="3"/>
  </r>
  <r>
    <x v="66"/>
    <n v="2022002"/>
    <x v="2"/>
    <s v="Chickpea"/>
    <m/>
    <x v="8"/>
    <s v="Y"/>
    <x v="1"/>
    <n v="6"/>
    <n v="3"/>
    <x v="0"/>
    <m/>
    <m/>
    <m/>
    <n v="1"/>
    <n v="1"/>
    <m/>
    <m/>
    <m/>
    <m/>
    <n v="3"/>
    <n v="3"/>
    <x v="2"/>
    <n v="2"/>
    <m/>
    <n v="3"/>
    <x v="0"/>
    <n v="1"/>
    <x v="0"/>
    <m/>
    <m/>
    <n v="30.5"/>
    <x v="2"/>
    <s v="28/06/2022"/>
    <d v="2022-06-28T00:00:00"/>
    <s v="2022002-6"/>
    <x v="3"/>
  </r>
  <r>
    <x v="67"/>
    <n v="2022002"/>
    <x v="2"/>
    <s v="Chickpea"/>
    <m/>
    <x v="4"/>
    <s v="Y"/>
    <x v="2"/>
    <n v="7"/>
    <n v="4"/>
    <x v="0"/>
    <m/>
    <m/>
    <m/>
    <n v="1"/>
    <n v="1"/>
    <m/>
    <m/>
    <m/>
    <m/>
    <n v="4"/>
    <n v="2"/>
    <x v="3"/>
    <n v="1"/>
    <m/>
    <m/>
    <x v="0"/>
    <n v="4"/>
    <x v="0"/>
    <m/>
    <m/>
    <n v="30.5"/>
    <x v="2"/>
    <s v="28/06/2022"/>
    <d v="2022-06-28T00:00:00"/>
    <s v="2022002-7"/>
    <x v="3"/>
  </r>
  <r>
    <x v="67"/>
    <n v="2022002"/>
    <x v="2"/>
    <s v="Chickpea"/>
    <m/>
    <x v="4"/>
    <s v="Y"/>
    <x v="1"/>
    <n v="8"/>
    <n v="4"/>
    <x v="0"/>
    <m/>
    <m/>
    <m/>
    <n v="1"/>
    <n v="1"/>
    <m/>
    <m/>
    <m/>
    <m/>
    <n v="4"/>
    <n v="3"/>
    <x v="3"/>
    <n v="2"/>
    <m/>
    <n v="4"/>
    <x v="0"/>
    <n v="4"/>
    <x v="0"/>
    <m/>
    <m/>
    <n v="30.5"/>
    <x v="2"/>
    <s v="28/06/2022"/>
    <d v="2022-06-28T00:00:00"/>
    <s v="2022002-8"/>
    <x v="3"/>
  </r>
  <r>
    <x v="68"/>
    <n v="2022002"/>
    <x v="2"/>
    <s v="Chickpea"/>
    <m/>
    <x v="8"/>
    <s v="Y"/>
    <x v="2"/>
    <n v="9"/>
    <n v="5"/>
    <x v="0"/>
    <m/>
    <m/>
    <m/>
    <n v="1"/>
    <n v="2"/>
    <m/>
    <m/>
    <m/>
    <m/>
    <n v="1"/>
    <n v="5"/>
    <x v="0"/>
    <n v="3"/>
    <m/>
    <m/>
    <x v="1"/>
    <n v="1"/>
    <x v="0"/>
    <m/>
    <m/>
    <n v="30.5"/>
    <x v="2"/>
    <s v="28/06/2022"/>
    <d v="2022-06-28T00:00:00"/>
    <s v="2022002-9"/>
    <x v="3"/>
  </r>
  <r>
    <x v="68"/>
    <n v="2022002"/>
    <x v="2"/>
    <s v="Chickpea"/>
    <m/>
    <x v="8"/>
    <s v="Y"/>
    <x v="1"/>
    <n v="10"/>
    <n v="5"/>
    <x v="0"/>
    <m/>
    <m/>
    <m/>
    <n v="1"/>
    <n v="2"/>
    <m/>
    <m/>
    <m/>
    <m/>
    <n v="1"/>
    <n v="6"/>
    <x v="0"/>
    <n v="4"/>
    <m/>
    <n v="8"/>
    <x v="1"/>
    <n v="1"/>
    <x v="0"/>
    <m/>
    <m/>
    <n v="30.5"/>
    <x v="2"/>
    <s v="28/06/2022"/>
    <d v="2022-06-28T00:00:00"/>
    <s v="2022002-10"/>
    <x v="3"/>
  </r>
  <r>
    <x v="69"/>
    <n v="2022002"/>
    <x v="2"/>
    <s v="Chickpea"/>
    <m/>
    <x v="4"/>
    <s v="Y"/>
    <x v="2"/>
    <n v="11"/>
    <n v="6"/>
    <x v="0"/>
    <m/>
    <m/>
    <m/>
    <n v="1"/>
    <n v="2"/>
    <m/>
    <m/>
    <m/>
    <m/>
    <n v="2"/>
    <n v="5"/>
    <x v="1"/>
    <n v="3"/>
    <m/>
    <m/>
    <x v="1"/>
    <n v="4"/>
    <x v="0"/>
    <m/>
    <m/>
    <n v="30.5"/>
    <x v="2"/>
    <s v="28/06/2022"/>
    <d v="2022-06-28T00:00:00"/>
    <s v="2022002-11"/>
    <x v="3"/>
  </r>
  <r>
    <x v="69"/>
    <n v="2022002"/>
    <x v="2"/>
    <s v="Chickpea"/>
    <m/>
    <x v="4"/>
    <s v="Y"/>
    <x v="1"/>
    <n v="12"/>
    <n v="6"/>
    <x v="0"/>
    <m/>
    <m/>
    <m/>
    <n v="1"/>
    <n v="2"/>
    <m/>
    <m/>
    <m/>
    <m/>
    <n v="2"/>
    <n v="6"/>
    <x v="1"/>
    <n v="4"/>
    <m/>
    <n v="7"/>
    <x v="1"/>
    <n v="4"/>
    <x v="0"/>
    <m/>
    <m/>
    <n v="30.5"/>
    <x v="2"/>
    <s v="28/06/2022"/>
    <d v="2022-06-28T00:00:00"/>
    <s v="2022002-12"/>
    <x v="3"/>
  </r>
  <r>
    <x v="70"/>
    <n v="2022002"/>
    <x v="2"/>
    <s v="Chickpea"/>
    <m/>
    <x v="9"/>
    <s v="N"/>
    <x v="2"/>
    <n v="13"/>
    <n v="7"/>
    <x v="0"/>
    <m/>
    <m/>
    <m/>
    <n v="1"/>
    <n v="2"/>
    <m/>
    <m/>
    <m/>
    <m/>
    <n v="3"/>
    <n v="5"/>
    <x v="2"/>
    <n v="3"/>
    <m/>
    <m/>
    <x v="1"/>
    <n v="2"/>
    <x v="0"/>
    <m/>
    <m/>
    <n v="30.5"/>
    <x v="2"/>
    <s v="28/06/2022"/>
    <d v="2022-06-28T00:00:00"/>
    <s v="2022002-13"/>
    <x v="3"/>
  </r>
  <r>
    <x v="70"/>
    <n v="2022002"/>
    <x v="2"/>
    <s v="Chickpea"/>
    <m/>
    <x v="9"/>
    <s v="N"/>
    <x v="1"/>
    <n v="14"/>
    <n v="7"/>
    <x v="0"/>
    <m/>
    <m/>
    <m/>
    <n v="1"/>
    <n v="2"/>
    <m/>
    <m/>
    <m/>
    <m/>
    <n v="3"/>
    <n v="6"/>
    <x v="2"/>
    <n v="4"/>
    <m/>
    <n v="6"/>
    <x v="1"/>
    <n v="2"/>
    <x v="0"/>
    <m/>
    <m/>
    <n v="30.5"/>
    <x v="2"/>
    <s v="28/06/2022"/>
    <d v="2022-06-28T00:00:00"/>
    <s v="2022002-14"/>
    <x v="3"/>
  </r>
  <r>
    <x v="71"/>
    <n v="2022002"/>
    <x v="2"/>
    <s v="Chickpea"/>
    <m/>
    <x v="3"/>
    <s v="N"/>
    <x v="2"/>
    <n v="15"/>
    <n v="8"/>
    <x v="0"/>
    <m/>
    <m/>
    <m/>
    <n v="1"/>
    <n v="2"/>
    <m/>
    <m/>
    <m/>
    <m/>
    <n v="4"/>
    <n v="5"/>
    <x v="3"/>
    <n v="3"/>
    <m/>
    <m/>
    <x v="1"/>
    <n v="3"/>
    <x v="0"/>
    <m/>
    <m/>
    <n v="30.5"/>
    <x v="2"/>
    <s v="28/06/2022"/>
    <d v="2022-06-28T00:00:00"/>
    <s v="2022002-15"/>
    <x v="3"/>
  </r>
  <r>
    <x v="71"/>
    <n v="2022002"/>
    <x v="2"/>
    <s v="Chickpea"/>
    <m/>
    <x v="3"/>
    <s v="N"/>
    <x v="1"/>
    <n v="16"/>
    <n v="8"/>
    <x v="0"/>
    <m/>
    <m/>
    <m/>
    <n v="1"/>
    <n v="2"/>
    <m/>
    <m/>
    <m/>
    <m/>
    <n v="4"/>
    <n v="6"/>
    <x v="3"/>
    <n v="4"/>
    <m/>
    <n v="5"/>
    <x v="1"/>
    <n v="3"/>
    <x v="0"/>
    <m/>
    <m/>
    <n v="30.5"/>
    <x v="2"/>
    <s v="28/06/2022"/>
    <d v="2022-06-28T00:00:00"/>
    <s v="2022002-16"/>
    <x v="3"/>
  </r>
  <r>
    <x v="72"/>
    <n v="2022002"/>
    <x v="2"/>
    <s v="Chickpea"/>
    <m/>
    <x v="4"/>
    <s v="Y"/>
    <x v="2"/>
    <n v="17"/>
    <n v="9"/>
    <x v="0"/>
    <m/>
    <m/>
    <m/>
    <n v="2"/>
    <n v="3"/>
    <m/>
    <m/>
    <m/>
    <m/>
    <n v="1"/>
    <n v="8"/>
    <x v="0"/>
    <n v="5"/>
    <m/>
    <m/>
    <x v="1"/>
    <n v="4"/>
    <x v="0"/>
    <m/>
    <m/>
    <n v="30.5"/>
    <x v="1"/>
    <s v="23/05/2022"/>
    <d v="2022-05-23T00:00:00"/>
    <s v="2022002-17"/>
    <x v="3"/>
  </r>
  <r>
    <x v="72"/>
    <n v="2022002"/>
    <x v="2"/>
    <s v="Chickpea"/>
    <m/>
    <x v="4"/>
    <s v="Y"/>
    <x v="1"/>
    <n v="18"/>
    <n v="9"/>
    <x v="0"/>
    <m/>
    <m/>
    <m/>
    <n v="2"/>
    <n v="3"/>
    <m/>
    <m/>
    <m/>
    <m/>
    <n v="1"/>
    <n v="9"/>
    <x v="0"/>
    <n v="6"/>
    <m/>
    <n v="9"/>
    <x v="1"/>
    <n v="4"/>
    <x v="0"/>
    <m/>
    <m/>
    <n v="30.5"/>
    <x v="1"/>
    <s v="23/05/2022"/>
    <d v="2022-05-23T00:00:00"/>
    <s v="2022002-18"/>
    <x v="3"/>
  </r>
  <r>
    <x v="73"/>
    <n v="2022002"/>
    <x v="2"/>
    <s v="Chickpea"/>
    <m/>
    <x v="9"/>
    <s v="N"/>
    <x v="2"/>
    <n v="19"/>
    <n v="10"/>
    <x v="0"/>
    <m/>
    <m/>
    <m/>
    <n v="2"/>
    <n v="3"/>
    <m/>
    <m/>
    <m/>
    <m/>
    <n v="2"/>
    <n v="8"/>
    <x v="1"/>
    <n v="5"/>
    <m/>
    <m/>
    <x v="1"/>
    <n v="2"/>
    <x v="0"/>
    <m/>
    <m/>
    <n v="30.5"/>
    <x v="1"/>
    <s v="23/05/2022"/>
    <d v="2022-05-23T00:00:00"/>
    <s v="2022002-19"/>
    <x v="3"/>
  </r>
  <r>
    <x v="73"/>
    <n v="2022002"/>
    <x v="2"/>
    <s v="Chickpea"/>
    <m/>
    <x v="9"/>
    <s v="N"/>
    <x v="1"/>
    <n v="20"/>
    <n v="10"/>
    <x v="0"/>
    <m/>
    <m/>
    <m/>
    <n v="2"/>
    <n v="3"/>
    <m/>
    <m/>
    <m/>
    <m/>
    <n v="2"/>
    <n v="9"/>
    <x v="1"/>
    <n v="6"/>
    <m/>
    <n v="10"/>
    <x v="1"/>
    <n v="2"/>
    <x v="0"/>
    <m/>
    <m/>
    <n v="30.5"/>
    <x v="1"/>
    <s v="23/05/2022"/>
    <d v="2022-05-23T00:00:00"/>
    <s v="2022002-20"/>
    <x v="3"/>
  </r>
  <r>
    <x v="74"/>
    <n v="2022002"/>
    <x v="2"/>
    <s v="Chickpea"/>
    <m/>
    <x v="3"/>
    <s v="N"/>
    <x v="2"/>
    <n v="21"/>
    <n v="11"/>
    <x v="0"/>
    <m/>
    <m/>
    <m/>
    <n v="2"/>
    <n v="3"/>
    <m/>
    <m/>
    <m/>
    <m/>
    <n v="3"/>
    <n v="8"/>
    <x v="2"/>
    <n v="5"/>
    <m/>
    <m/>
    <x v="1"/>
    <n v="3"/>
    <x v="0"/>
    <m/>
    <m/>
    <n v="30.5"/>
    <x v="1"/>
    <s v="23/05/2022"/>
    <d v="2022-05-23T00:00:00"/>
    <s v="2022002-21"/>
    <x v="3"/>
  </r>
  <r>
    <x v="74"/>
    <n v="2022002"/>
    <x v="2"/>
    <s v="Chickpea"/>
    <m/>
    <x v="3"/>
    <s v="N"/>
    <x v="1"/>
    <n v="22"/>
    <n v="11"/>
    <x v="0"/>
    <m/>
    <m/>
    <m/>
    <n v="2"/>
    <n v="3"/>
    <m/>
    <m/>
    <m/>
    <m/>
    <n v="3"/>
    <n v="9"/>
    <x v="2"/>
    <n v="6"/>
    <m/>
    <n v="11"/>
    <x v="1"/>
    <n v="3"/>
    <x v="0"/>
    <m/>
    <m/>
    <n v="30.5"/>
    <x v="1"/>
    <s v="23/05/2022"/>
    <d v="2022-05-23T00:00:00"/>
    <s v="2022002-22"/>
    <x v="3"/>
  </r>
  <r>
    <x v="75"/>
    <n v="2022002"/>
    <x v="2"/>
    <s v="Chickpea"/>
    <m/>
    <x v="8"/>
    <s v="Y"/>
    <x v="2"/>
    <n v="23"/>
    <n v="12"/>
    <x v="0"/>
    <m/>
    <m/>
    <m/>
    <n v="2"/>
    <n v="3"/>
    <m/>
    <m/>
    <m/>
    <m/>
    <n v="4"/>
    <n v="8"/>
    <x v="3"/>
    <n v="5"/>
    <m/>
    <m/>
    <x v="1"/>
    <n v="1"/>
    <x v="0"/>
    <m/>
    <m/>
    <n v="30.5"/>
    <x v="1"/>
    <s v="23/05/2022"/>
    <d v="2022-05-23T00:00:00"/>
    <s v="2022002-23"/>
    <x v="3"/>
  </r>
  <r>
    <x v="75"/>
    <n v="2022002"/>
    <x v="2"/>
    <s v="Chickpea"/>
    <m/>
    <x v="8"/>
    <s v="Y"/>
    <x v="1"/>
    <n v="24"/>
    <n v="12"/>
    <x v="0"/>
    <m/>
    <m/>
    <m/>
    <n v="2"/>
    <n v="3"/>
    <m/>
    <m/>
    <m/>
    <m/>
    <n v="4"/>
    <n v="9"/>
    <x v="3"/>
    <n v="6"/>
    <m/>
    <n v="12"/>
    <x v="1"/>
    <n v="1"/>
    <x v="0"/>
    <m/>
    <m/>
    <n v="30.5"/>
    <x v="1"/>
    <s v="23/05/2022"/>
    <d v="2022-05-23T00:00:00"/>
    <s v="2022002-24"/>
    <x v="3"/>
  </r>
  <r>
    <x v="76"/>
    <n v="2022002"/>
    <x v="2"/>
    <s v="Chickpea"/>
    <m/>
    <x v="3"/>
    <s v="N"/>
    <x v="2"/>
    <n v="25"/>
    <n v="13"/>
    <x v="0"/>
    <m/>
    <m/>
    <m/>
    <n v="2"/>
    <n v="4"/>
    <m/>
    <m/>
    <m/>
    <m/>
    <n v="1"/>
    <n v="11"/>
    <x v="0"/>
    <n v="7"/>
    <m/>
    <m/>
    <x v="0"/>
    <n v="3"/>
    <x v="0"/>
    <m/>
    <m/>
    <n v="30.5"/>
    <x v="1"/>
    <s v="23/05/2022"/>
    <d v="2022-05-23T00:00:00"/>
    <s v="2022002-25"/>
    <x v="3"/>
  </r>
  <r>
    <x v="76"/>
    <n v="2022002"/>
    <x v="2"/>
    <s v="Chickpea"/>
    <m/>
    <x v="3"/>
    <s v="N"/>
    <x v="1"/>
    <n v="26"/>
    <n v="13"/>
    <x v="0"/>
    <m/>
    <m/>
    <m/>
    <n v="2"/>
    <n v="4"/>
    <m/>
    <m/>
    <m/>
    <m/>
    <n v="1"/>
    <n v="12"/>
    <x v="0"/>
    <n v="8"/>
    <m/>
    <n v="16"/>
    <x v="0"/>
    <n v="3"/>
    <x v="0"/>
    <m/>
    <m/>
    <n v="30.5"/>
    <x v="1"/>
    <s v="23/05/2022"/>
    <d v="2022-05-23T00:00:00"/>
    <s v="2022002-26"/>
    <x v="3"/>
  </r>
  <r>
    <x v="77"/>
    <n v="2022002"/>
    <x v="2"/>
    <s v="Chickpea"/>
    <m/>
    <x v="8"/>
    <s v="Y"/>
    <x v="2"/>
    <n v="27"/>
    <n v="14"/>
    <x v="0"/>
    <m/>
    <m/>
    <m/>
    <n v="2"/>
    <n v="4"/>
    <m/>
    <m/>
    <m/>
    <m/>
    <n v="2"/>
    <n v="11"/>
    <x v="1"/>
    <n v="7"/>
    <m/>
    <m/>
    <x v="0"/>
    <n v="1"/>
    <x v="0"/>
    <m/>
    <m/>
    <n v="30.5"/>
    <x v="1"/>
    <s v="23/05/2022"/>
    <d v="2022-05-23T00:00:00"/>
    <s v="2022002-27"/>
    <x v="3"/>
  </r>
  <r>
    <x v="77"/>
    <n v="2022002"/>
    <x v="2"/>
    <s v="Chickpea"/>
    <m/>
    <x v="8"/>
    <s v="Y"/>
    <x v="1"/>
    <n v="28"/>
    <n v="14"/>
    <x v="0"/>
    <m/>
    <m/>
    <m/>
    <n v="2"/>
    <n v="4"/>
    <m/>
    <m/>
    <m/>
    <m/>
    <n v="2"/>
    <n v="12"/>
    <x v="1"/>
    <n v="8"/>
    <m/>
    <n v="15"/>
    <x v="0"/>
    <n v="1"/>
    <x v="0"/>
    <m/>
    <m/>
    <n v="30.5"/>
    <x v="1"/>
    <s v="23/05/2022"/>
    <d v="2022-05-23T00:00:00"/>
    <s v="2022002-28"/>
    <x v="3"/>
  </r>
  <r>
    <x v="78"/>
    <n v="2022002"/>
    <x v="2"/>
    <s v="Chickpea"/>
    <m/>
    <x v="4"/>
    <s v="Y"/>
    <x v="2"/>
    <n v="29"/>
    <n v="15"/>
    <x v="0"/>
    <m/>
    <m/>
    <m/>
    <n v="2"/>
    <n v="4"/>
    <m/>
    <m/>
    <m/>
    <m/>
    <n v="3"/>
    <n v="11"/>
    <x v="2"/>
    <n v="7"/>
    <m/>
    <m/>
    <x v="0"/>
    <n v="4"/>
    <x v="0"/>
    <m/>
    <m/>
    <n v="30.5"/>
    <x v="1"/>
    <s v="23/05/2022"/>
    <d v="2022-05-23T00:00:00"/>
    <s v="2022002-29"/>
    <x v="3"/>
  </r>
  <r>
    <x v="78"/>
    <n v="2022002"/>
    <x v="2"/>
    <s v="Chickpea"/>
    <m/>
    <x v="4"/>
    <s v="Y"/>
    <x v="1"/>
    <n v="30"/>
    <n v="15"/>
    <x v="0"/>
    <m/>
    <m/>
    <m/>
    <n v="2"/>
    <n v="4"/>
    <m/>
    <m/>
    <m/>
    <m/>
    <n v="3"/>
    <n v="12"/>
    <x v="2"/>
    <n v="8"/>
    <m/>
    <n v="14"/>
    <x v="0"/>
    <n v="4"/>
    <x v="0"/>
    <m/>
    <m/>
    <n v="30.5"/>
    <x v="1"/>
    <s v="23/05/2022"/>
    <d v="2022-05-23T00:00:00"/>
    <s v="2022002-30"/>
    <x v="3"/>
  </r>
  <r>
    <x v="79"/>
    <n v="2022002"/>
    <x v="2"/>
    <s v="Chickpea"/>
    <m/>
    <x v="9"/>
    <s v="N"/>
    <x v="2"/>
    <n v="31"/>
    <n v="16"/>
    <x v="0"/>
    <m/>
    <m/>
    <m/>
    <n v="2"/>
    <n v="4"/>
    <m/>
    <m/>
    <m/>
    <m/>
    <n v="4"/>
    <n v="11"/>
    <x v="3"/>
    <n v="7"/>
    <m/>
    <m/>
    <x v="0"/>
    <n v="2"/>
    <x v="0"/>
    <m/>
    <m/>
    <n v="30.5"/>
    <x v="1"/>
    <s v="23/05/2022"/>
    <d v="2022-05-23T00:00:00"/>
    <s v="2022002-31"/>
    <x v="3"/>
  </r>
  <r>
    <x v="79"/>
    <n v="2022002"/>
    <x v="2"/>
    <s v="Chickpea"/>
    <m/>
    <x v="9"/>
    <s v="N"/>
    <x v="1"/>
    <n v="32"/>
    <n v="16"/>
    <x v="0"/>
    <m/>
    <m/>
    <m/>
    <n v="2"/>
    <n v="4"/>
    <m/>
    <m/>
    <m/>
    <m/>
    <n v="4"/>
    <n v="12"/>
    <x v="3"/>
    <n v="8"/>
    <m/>
    <n v="13"/>
    <x v="0"/>
    <n v="2"/>
    <x v="0"/>
    <m/>
    <m/>
    <n v="30.5"/>
    <x v="1"/>
    <s v="23/05/2022"/>
    <d v="2022-05-23T00:00:00"/>
    <s v="2022002-32"/>
    <x v="3"/>
  </r>
  <r>
    <x v="75"/>
    <n v="2022002"/>
    <x v="2"/>
    <s v="Chickpea"/>
    <m/>
    <x v="8"/>
    <s v="Y"/>
    <x v="2"/>
    <n v="33"/>
    <n v="17"/>
    <x v="1"/>
    <m/>
    <m/>
    <m/>
    <n v="3"/>
    <n v="5"/>
    <m/>
    <m/>
    <m/>
    <m/>
    <n v="1"/>
    <n v="14"/>
    <x v="0"/>
    <n v="9"/>
    <m/>
    <m/>
    <x v="1"/>
    <n v="1"/>
    <x v="0"/>
    <m/>
    <m/>
    <n v="30.5"/>
    <x v="1"/>
    <s v="23/05/2022"/>
    <d v="2022-05-23T00:00:00"/>
    <s v="2022002-33"/>
    <x v="3"/>
  </r>
  <r>
    <x v="75"/>
    <n v="2022002"/>
    <x v="2"/>
    <s v="Chickpea"/>
    <m/>
    <x v="8"/>
    <s v="Y"/>
    <x v="1"/>
    <n v="34"/>
    <n v="17"/>
    <x v="1"/>
    <m/>
    <m/>
    <m/>
    <n v="3"/>
    <n v="5"/>
    <m/>
    <m/>
    <m/>
    <m/>
    <n v="1"/>
    <n v="15"/>
    <x v="0"/>
    <n v="10"/>
    <m/>
    <n v="17"/>
    <x v="1"/>
    <n v="1"/>
    <x v="0"/>
    <m/>
    <m/>
    <n v="30.5"/>
    <x v="1"/>
    <s v="23/05/2022"/>
    <d v="2022-05-23T00:00:00"/>
    <s v="2022002-34"/>
    <x v="3"/>
  </r>
  <r>
    <x v="72"/>
    <n v="2022002"/>
    <x v="2"/>
    <s v="Chickpea"/>
    <m/>
    <x v="4"/>
    <s v="Y"/>
    <x v="2"/>
    <n v="35"/>
    <n v="18"/>
    <x v="1"/>
    <m/>
    <m/>
    <m/>
    <n v="3"/>
    <n v="5"/>
    <m/>
    <m/>
    <m/>
    <m/>
    <n v="2"/>
    <n v="14"/>
    <x v="1"/>
    <n v="9"/>
    <m/>
    <m/>
    <x v="1"/>
    <n v="4"/>
    <x v="0"/>
    <m/>
    <m/>
    <n v="30.5"/>
    <x v="1"/>
    <s v="23/05/2022"/>
    <d v="2022-05-23T00:00:00"/>
    <s v="2022002-35"/>
    <x v="3"/>
  </r>
  <r>
    <x v="72"/>
    <n v="2022002"/>
    <x v="2"/>
    <s v="Chickpea"/>
    <m/>
    <x v="4"/>
    <s v="Y"/>
    <x v="1"/>
    <n v="36"/>
    <n v="18"/>
    <x v="1"/>
    <m/>
    <m/>
    <m/>
    <n v="3"/>
    <n v="5"/>
    <m/>
    <m/>
    <m/>
    <m/>
    <n v="2"/>
    <n v="15"/>
    <x v="1"/>
    <n v="10"/>
    <m/>
    <n v="18"/>
    <x v="1"/>
    <n v="4"/>
    <x v="0"/>
    <m/>
    <m/>
    <n v="30.5"/>
    <x v="1"/>
    <s v="23/05/2022"/>
    <d v="2022-05-23T00:00:00"/>
    <s v="2022002-36"/>
    <x v="3"/>
  </r>
  <r>
    <x v="74"/>
    <n v="2022002"/>
    <x v="2"/>
    <s v="Chickpea"/>
    <m/>
    <x v="3"/>
    <s v="N"/>
    <x v="2"/>
    <n v="37"/>
    <n v="19"/>
    <x v="1"/>
    <m/>
    <m/>
    <m/>
    <n v="3"/>
    <n v="5"/>
    <m/>
    <m/>
    <m/>
    <m/>
    <n v="3"/>
    <n v="14"/>
    <x v="2"/>
    <n v="9"/>
    <m/>
    <m/>
    <x v="1"/>
    <n v="3"/>
    <x v="0"/>
    <m/>
    <m/>
    <n v="30.5"/>
    <x v="1"/>
    <s v="23/05/2022"/>
    <d v="2022-05-23T00:00:00"/>
    <s v="2022002-37"/>
    <x v="3"/>
  </r>
  <r>
    <x v="74"/>
    <n v="2022002"/>
    <x v="2"/>
    <s v="Chickpea"/>
    <m/>
    <x v="3"/>
    <s v="N"/>
    <x v="1"/>
    <n v="38"/>
    <n v="19"/>
    <x v="1"/>
    <m/>
    <m/>
    <m/>
    <n v="3"/>
    <n v="5"/>
    <m/>
    <m/>
    <m/>
    <m/>
    <n v="3"/>
    <n v="15"/>
    <x v="2"/>
    <n v="10"/>
    <m/>
    <n v="19"/>
    <x v="1"/>
    <n v="3"/>
    <x v="0"/>
    <m/>
    <m/>
    <n v="30.5"/>
    <x v="1"/>
    <s v="23/05/2022"/>
    <d v="2022-05-23T00:00:00"/>
    <s v="2022002-38"/>
    <x v="3"/>
  </r>
  <r>
    <x v="73"/>
    <n v="2022002"/>
    <x v="2"/>
    <s v="Chickpea"/>
    <m/>
    <x v="9"/>
    <s v="N"/>
    <x v="2"/>
    <n v="39"/>
    <n v="20"/>
    <x v="1"/>
    <m/>
    <m/>
    <m/>
    <n v="3"/>
    <n v="5"/>
    <m/>
    <m/>
    <m/>
    <m/>
    <n v="4"/>
    <n v="14"/>
    <x v="3"/>
    <n v="9"/>
    <m/>
    <m/>
    <x v="1"/>
    <n v="2"/>
    <x v="0"/>
    <m/>
    <m/>
    <n v="30.5"/>
    <x v="1"/>
    <s v="23/05/2022"/>
    <d v="2022-05-23T00:00:00"/>
    <s v="2022002-39"/>
    <x v="3"/>
  </r>
  <r>
    <x v="73"/>
    <n v="2022002"/>
    <x v="2"/>
    <s v="Chickpea"/>
    <m/>
    <x v="9"/>
    <s v="N"/>
    <x v="1"/>
    <n v="40"/>
    <n v="20"/>
    <x v="1"/>
    <m/>
    <m/>
    <m/>
    <n v="3"/>
    <n v="5"/>
    <m/>
    <m/>
    <m/>
    <m/>
    <n v="4"/>
    <n v="15"/>
    <x v="3"/>
    <n v="10"/>
    <m/>
    <n v="20"/>
    <x v="1"/>
    <n v="2"/>
    <x v="0"/>
    <m/>
    <m/>
    <n v="30.5"/>
    <x v="1"/>
    <s v="23/05/2022"/>
    <d v="2022-05-23T00:00:00"/>
    <s v="2022002-40"/>
    <x v="3"/>
  </r>
  <r>
    <x v="79"/>
    <n v="2022002"/>
    <x v="2"/>
    <s v="Chickpea"/>
    <m/>
    <x v="9"/>
    <s v="N"/>
    <x v="2"/>
    <n v="41"/>
    <n v="21"/>
    <x v="1"/>
    <m/>
    <m/>
    <m/>
    <n v="3"/>
    <n v="6"/>
    <m/>
    <m/>
    <m/>
    <m/>
    <n v="1"/>
    <n v="17"/>
    <x v="0"/>
    <n v="11"/>
    <m/>
    <m/>
    <x v="0"/>
    <n v="2"/>
    <x v="0"/>
    <m/>
    <m/>
    <n v="30.5"/>
    <x v="1"/>
    <s v="23/05/2022"/>
    <d v="2022-05-23T00:00:00"/>
    <s v="2022002-41"/>
    <x v="3"/>
  </r>
  <r>
    <x v="79"/>
    <n v="2022002"/>
    <x v="2"/>
    <s v="Chickpea"/>
    <m/>
    <x v="9"/>
    <s v="N"/>
    <x v="1"/>
    <n v="42"/>
    <n v="21"/>
    <x v="1"/>
    <m/>
    <m/>
    <m/>
    <n v="3"/>
    <n v="6"/>
    <m/>
    <m/>
    <m/>
    <m/>
    <n v="1"/>
    <n v="18"/>
    <x v="0"/>
    <n v="12"/>
    <m/>
    <n v="24"/>
    <x v="0"/>
    <n v="2"/>
    <x v="0"/>
    <m/>
    <m/>
    <n v="30.5"/>
    <x v="1"/>
    <s v="23/05/2022"/>
    <d v="2022-05-23T00:00:00"/>
    <s v="2022002-42"/>
    <x v="3"/>
  </r>
  <r>
    <x v="76"/>
    <n v="2022002"/>
    <x v="2"/>
    <s v="Chickpea"/>
    <m/>
    <x v="3"/>
    <s v="N"/>
    <x v="2"/>
    <n v="43"/>
    <n v="22"/>
    <x v="1"/>
    <m/>
    <m/>
    <m/>
    <n v="3"/>
    <n v="6"/>
    <m/>
    <m/>
    <m/>
    <m/>
    <n v="2"/>
    <n v="17"/>
    <x v="1"/>
    <n v="11"/>
    <m/>
    <m/>
    <x v="0"/>
    <n v="3"/>
    <x v="0"/>
    <m/>
    <m/>
    <n v="30.5"/>
    <x v="1"/>
    <s v="23/05/2022"/>
    <d v="2022-05-23T00:00:00"/>
    <s v="2022002-43"/>
    <x v="3"/>
  </r>
  <r>
    <x v="76"/>
    <n v="2022002"/>
    <x v="2"/>
    <s v="Chickpea"/>
    <m/>
    <x v="3"/>
    <s v="N"/>
    <x v="1"/>
    <n v="44"/>
    <n v="22"/>
    <x v="1"/>
    <m/>
    <m/>
    <m/>
    <n v="3"/>
    <n v="6"/>
    <m/>
    <m/>
    <m/>
    <m/>
    <n v="2"/>
    <n v="18"/>
    <x v="1"/>
    <n v="12"/>
    <m/>
    <n v="23"/>
    <x v="0"/>
    <n v="3"/>
    <x v="0"/>
    <m/>
    <m/>
    <n v="30.5"/>
    <x v="1"/>
    <s v="23/05/2022"/>
    <d v="2022-05-23T00:00:00"/>
    <s v="2022002-44"/>
    <x v="3"/>
  </r>
  <r>
    <x v="77"/>
    <n v="2022002"/>
    <x v="2"/>
    <s v="Chickpea"/>
    <m/>
    <x v="8"/>
    <s v="Y"/>
    <x v="2"/>
    <n v="45"/>
    <n v="23"/>
    <x v="1"/>
    <m/>
    <m/>
    <m/>
    <n v="3"/>
    <n v="6"/>
    <m/>
    <m/>
    <m/>
    <m/>
    <n v="3"/>
    <n v="17"/>
    <x v="2"/>
    <n v="11"/>
    <m/>
    <m/>
    <x v="0"/>
    <n v="1"/>
    <x v="0"/>
    <m/>
    <m/>
    <n v="30.5"/>
    <x v="1"/>
    <s v="23/05/2022"/>
    <d v="2022-05-23T00:00:00"/>
    <s v="2022002-45"/>
    <x v="3"/>
  </r>
  <r>
    <x v="77"/>
    <n v="2022002"/>
    <x v="2"/>
    <s v="Chickpea"/>
    <m/>
    <x v="8"/>
    <s v="Y"/>
    <x v="1"/>
    <n v="46"/>
    <n v="23"/>
    <x v="1"/>
    <m/>
    <m/>
    <m/>
    <n v="3"/>
    <n v="6"/>
    <m/>
    <m/>
    <m/>
    <m/>
    <n v="3"/>
    <n v="18"/>
    <x v="2"/>
    <n v="12"/>
    <m/>
    <n v="22"/>
    <x v="0"/>
    <n v="1"/>
    <x v="0"/>
    <m/>
    <m/>
    <n v="30.5"/>
    <x v="1"/>
    <s v="23/05/2022"/>
    <d v="2022-05-23T00:00:00"/>
    <s v="2022002-46"/>
    <x v="3"/>
  </r>
  <r>
    <x v="78"/>
    <n v="2022002"/>
    <x v="2"/>
    <s v="Chickpea"/>
    <m/>
    <x v="4"/>
    <s v="Y"/>
    <x v="2"/>
    <n v="47"/>
    <n v="24"/>
    <x v="1"/>
    <m/>
    <m/>
    <m/>
    <n v="3"/>
    <n v="6"/>
    <m/>
    <m/>
    <m/>
    <m/>
    <n v="4"/>
    <n v="17"/>
    <x v="3"/>
    <n v="11"/>
    <m/>
    <m/>
    <x v="0"/>
    <n v="4"/>
    <x v="0"/>
    <m/>
    <m/>
    <n v="30.5"/>
    <x v="1"/>
    <s v="23/05/2022"/>
    <d v="2022-05-23T00:00:00"/>
    <s v="2022002-47"/>
    <x v="3"/>
  </r>
  <r>
    <x v="78"/>
    <n v="2022002"/>
    <x v="2"/>
    <s v="Chickpea"/>
    <m/>
    <x v="4"/>
    <s v="Y"/>
    <x v="1"/>
    <n v="48"/>
    <n v="24"/>
    <x v="1"/>
    <m/>
    <m/>
    <m/>
    <n v="3"/>
    <n v="6"/>
    <m/>
    <m/>
    <m/>
    <m/>
    <n v="4"/>
    <n v="18"/>
    <x v="3"/>
    <n v="12"/>
    <m/>
    <n v="21"/>
    <x v="0"/>
    <n v="4"/>
    <x v="0"/>
    <m/>
    <m/>
    <n v="30.5"/>
    <x v="1"/>
    <s v="23/05/2022"/>
    <d v="2022-05-23T00:00:00"/>
    <s v="2022002-48"/>
    <x v="3"/>
  </r>
  <r>
    <x v="67"/>
    <n v="2022002"/>
    <x v="2"/>
    <s v="Chickpea"/>
    <m/>
    <x v="4"/>
    <s v="Y"/>
    <x v="2"/>
    <n v="49"/>
    <n v="25"/>
    <x v="1"/>
    <m/>
    <m/>
    <m/>
    <n v="4"/>
    <n v="7"/>
    <m/>
    <m/>
    <m/>
    <m/>
    <n v="1"/>
    <n v="20"/>
    <x v="0"/>
    <n v="13"/>
    <m/>
    <m/>
    <x v="0"/>
    <n v="4"/>
    <x v="0"/>
    <m/>
    <m/>
    <n v="30.5"/>
    <x v="2"/>
    <s v="28/06/2022"/>
    <d v="2022-06-28T00:00:00"/>
    <s v="2022002-49"/>
    <x v="3"/>
  </r>
  <r>
    <x v="67"/>
    <n v="2022002"/>
    <x v="2"/>
    <s v="Chickpea"/>
    <m/>
    <x v="4"/>
    <s v="Y"/>
    <x v="1"/>
    <n v="50"/>
    <n v="25"/>
    <x v="1"/>
    <m/>
    <m/>
    <m/>
    <n v="4"/>
    <n v="7"/>
    <m/>
    <m/>
    <m/>
    <m/>
    <n v="1"/>
    <n v="21"/>
    <x v="0"/>
    <n v="14"/>
    <m/>
    <n v="25"/>
    <x v="0"/>
    <n v="4"/>
    <x v="0"/>
    <m/>
    <m/>
    <n v="30.5"/>
    <x v="2"/>
    <s v="28/06/2022"/>
    <d v="2022-06-28T00:00:00"/>
    <s v="2022002-50"/>
    <x v="3"/>
  </r>
  <r>
    <x v="66"/>
    <n v="2022002"/>
    <x v="2"/>
    <s v="Chickpea"/>
    <m/>
    <x v="8"/>
    <s v="Y"/>
    <x v="2"/>
    <n v="51"/>
    <n v="26"/>
    <x v="1"/>
    <m/>
    <m/>
    <m/>
    <n v="4"/>
    <n v="7"/>
    <m/>
    <m/>
    <m/>
    <m/>
    <n v="2"/>
    <n v="20"/>
    <x v="1"/>
    <n v="13"/>
    <m/>
    <m/>
    <x v="0"/>
    <n v="1"/>
    <x v="0"/>
    <m/>
    <m/>
    <n v="30.5"/>
    <x v="2"/>
    <s v="28/06/2022"/>
    <d v="2022-06-28T00:00:00"/>
    <s v="2022002-51"/>
    <x v="3"/>
  </r>
  <r>
    <x v="66"/>
    <n v="2022002"/>
    <x v="2"/>
    <s v="Chickpea"/>
    <m/>
    <x v="8"/>
    <s v="Y"/>
    <x v="1"/>
    <n v="52"/>
    <n v="26"/>
    <x v="1"/>
    <m/>
    <m/>
    <m/>
    <n v="4"/>
    <n v="7"/>
    <m/>
    <m/>
    <m/>
    <m/>
    <n v="2"/>
    <n v="21"/>
    <x v="1"/>
    <n v="14"/>
    <m/>
    <n v="26"/>
    <x v="0"/>
    <n v="1"/>
    <x v="0"/>
    <m/>
    <m/>
    <n v="30.5"/>
    <x v="2"/>
    <s v="28/06/2022"/>
    <d v="2022-06-28T00:00:00"/>
    <s v="2022002-52"/>
    <x v="3"/>
  </r>
  <r>
    <x v="64"/>
    <n v="2022002"/>
    <x v="2"/>
    <s v="Chickpea"/>
    <m/>
    <x v="9"/>
    <s v="N"/>
    <x v="2"/>
    <n v="53"/>
    <n v="27"/>
    <x v="1"/>
    <m/>
    <m/>
    <m/>
    <n v="4"/>
    <n v="7"/>
    <m/>
    <m/>
    <m/>
    <m/>
    <n v="3"/>
    <n v="20"/>
    <x v="2"/>
    <n v="13"/>
    <m/>
    <m/>
    <x v="0"/>
    <n v="2"/>
    <x v="0"/>
    <m/>
    <m/>
    <n v="30.5"/>
    <x v="2"/>
    <s v="28/06/2022"/>
    <d v="2022-06-28T00:00:00"/>
    <s v="2022002-53"/>
    <x v="3"/>
  </r>
  <r>
    <x v="64"/>
    <n v="2022002"/>
    <x v="2"/>
    <s v="Chickpea"/>
    <m/>
    <x v="9"/>
    <s v="N"/>
    <x v="1"/>
    <n v="54"/>
    <n v="27"/>
    <x v="1"/>
    <m/>
    <m/>
    <m/>
    <n v="4"/>
    <n v="7"/>
    <m/>
    <m/>
    <m/>
    <m/>
    <n v="3"/>
    <n v="21"/>
    <x v="2"/>
    <n v="14"/>
    <m/>
    <n v="27"/>
    <x v="0"/>
    <n v="2"/>
    <x v="0"/>
    <m/>
    <m/>
    <n v="30.5"/>
    <x v="2"/>
    <s v="28/06/2022"/>
    <d v="2022-06-28T00:00:00"/>
    <s v="2022002-54"/>
    <x v="3"/>
  </r>
  <r>
    <x v="65"/>
    <n v="2022002"/>
    <x v="2"/>
    <s v="Chickpea"/>
    <m/>
    <x v="3"/>
    <s v="N"/>
    <x v="2"/>
    <n v="55"/>
    <n v="28"/>
    <x v="1"/>
    <m/>
    <m/>
    <m/>
    <n v="4"/>
    <n v="7"/>
    <m/>
    <m/>
    <m/>
    <m/>
    <n v="4"/>
    <n v="20"/>
    <x v="3"/>
    <n v="13"/>
    <m/>
    <m/>
    <x v="0"/>
    <n v="3"/>
    <x v="0"/>
    <m/>
    <m/>
    <n v="30.5"/>
    <x v="2"/>
    <s v="28/06/2022"/>
    <d v="2022-06-28T00:00:00"/>
    <s v="2022002-55"/>
    <x v="3"/>
  </r>
  <r>
    <x v="65"/>
    <n v="2022002"/>
    <x v="2"/>
    <s v="Chickpea"/>
    <m/>
    <x v="3"/>
    <s v="N"/>
    <x v="1"/>
    <n v="56"/>
    <n v="28"/>
    <x v="1"/>
    <m/>
    <m/>
    <m/>
    <n v="4"/>
    <n v="7"/>
    <m/>
    <m/>
    <m/>
    <m/>
    <n v="4"/>
    <n v="21"/>
    <x v="3"/>
    <n v="14"/>
    <m/>
    <n v="28"/>
    <x v="0"/>
    <n v="3"/>
    <x v="0"/>
    <m/>
    <m/>
    <n v="30.5"/>
    <x v="2"/>
    <s v="28/06/2022"/>
    <d v="2022-06-28T00:00:00"/>
    <s v="2022002-56"/>
    <x v="3"/>
  </r>
  <r>
    <x v="71"/>
    <n v="2022002"/>
    <x v="2"/>
    <s v="Chickpea"/>
    <m/>
    <x v="3"/>
    <s v="N"/>
    <x v="2"/>
    <n v="57"/>
    <n v="29"/>
    <x v="1"/>
    <m/>
    <m/>
    <m/>
    <n v="4"/>
    <n v="8"/>
    <m/>
    <m/>
    <m/>
    <m/>
    <n v="1"/>
    <n v="23"/>
    <x v="0"/>
    <n v="15"/>
    <m/>
    <m/>
    <x v="1"/>
    <n v="3"/>
    <x v="0"/>
    <m/>
    <m/>
    <n v="30.5"/>
    <x v="2"/>
    <s v="28/06/2022"/>
    <d v="2022-06-28T00:00:00"/>
    <s v="2022002-57"/>
    <x v="3"/>
  </r>
  <r>
    <x v="71"/>
    <n v="2022002"/>
    <x v="2"/>
    <s v="Chickpea"/>
    <m/>
    <x v="3"/>
    <s v="N"/>
    <x v="1"/>
    <n v="58"/>
    <n v="29"/>
    <x v="1"/>
    <m/>
    <m/>
    <m/>
    <n v="4"/>
    <n v="8"/>
    <m/>
    <m/>
    <m/>
    <m/>
    <n v="1"/>
    <n v="24"/>
    <x v="0"/>
    <n v="16"/>
    <m/>
    <n v="32"/>
    <x v="1"/>
    <n v="3"/>
    <x v="0"/>
    <m/>
    <m/>
    <n v="30.5"/>
    <x v="2"/>
    <s v="28/06/2022"/>
    <d v="2022-06-28T00:00:00"/>
    <s v="2022002-58"/>
    <x v="3"/>
  </r>
  <r>
    <x v="70"/>
    <n v="2022002"/>
    <x v="2"/>
    <s v="Chickpea"/>
    <m/>
    <x v="9"/>
    <s v="N"/>
    <x v="2"/>
    <n v="59"/>
    <n v="30"/>
    <x v="1"/>
    <m/>
    <m/>
    <m/>
    <n v="4"/>
    <n v="8"/>
    <m/>
    <m/>
    <m/>
    <m/>
    <n v="2"/>
    <n v="23"/>
    <x v="1"/>
    <n v="15"/>
    <m/>
    <m/>
    <x v="1"/>
    <n v="2"/>
    <x v="0"/>
    <m/>
    <m/>
    <n v="30.5"/>
    <x v="2"/>
    <s v="28/06/2022"/>
    <d v="2022-06-28T00:00:00"/>
    <s v="2022002-59"/>
    <x v="3"/>
  </r>
  <r>
    <x v="70"/>
    <n v="2022002"/>
    <x v="2"/>
    <s v="Chickpea"/>
    <m/>
    <x v="9"/>
    <s v="N"/>
    <x v="1"/>
    <n v="60"/>
    <n v="30"/>
    <x v="1"/>
    <m/>
    <m/>
    <m/>
    <n v="4"/>
    <n v="8"/>
    <m/>
    <m/>
    <m/>
    <m/>
    <n v="2"/>
    <n v="24"/>
    <x v="1"/>
    <n v="16"/>
    <m/>
    <n v="31"/>
    <x v="1"/>
    <n v="2"/>
    <x v="0"/>
    <m/>
    <m/>
    <n v="30.5"/>
    <x v="2"/>
    <s v="28/06/2022"/>
    <d v="2022-06-28T00:00:00"/>
    <s v="2022002-60"/>
    <x v="3"/>
  </r>
  <r>
    <x v="68"/>
    <n v="2022002"/>
    <x v="2"/>
    <s v="Chickpea"/>
    <m/>
    <x v="8"/>
    <s v="Y"/>
    <x v="2"/>
    <n v="61"/>
    <n v="31"/>
    <x v="1"/>
    <m/>
    <m/>
    <m/>
    <n v="4"/>
    <n v="8"/>
    <m/>
    <m/>
    <m/>
    <m/>
    <n v="3"/>
    <n v="23"/>
    <x v="2"/>
    <n v="15"/>
    <m/>
    <m/>
    <x v="1"/>
    <n v="1"/>
    <x v="0"/>
    <m/>
    <m/>
    <n v="30.5"/>
    <x v="2"/>
    <s v="28/06/2022"/>
    <d v="2022-06-28T00:00:00"/>
    <s v="2022002-61"/>
    <x v="3"/>
  </r>
  <r>
    <x v="68"/>
    <n v="2022002"/>
    <x v="2"/>
    <s v="Chickpea"/>
    <m/>
    <x v="8"/>
    <s v="Y"/>
    <x v="1"/>
    <n v="62"/>
    <n v="31"/>
    <x v="1"/>
    <m/>
    <m/>
    <m/>
    <n v="4"/>
    <n v="8"/>
    <m/>
    <m/>
    <m/>
    <m/>
    <n v="3"/>
    <n v="24"/>
    <x v="2"/>
    <n v="16"/>
    <m/>
    <n v="30"/>
    <x v="1"/>
    <n v="1"/>
    <x v="0"/>
    <m/>
    <m/>
    <n v="30.5"/>
    <x v="2"/>
    <s v="28/06/2022"/>
    <d v="2022-06-28T00:00:00"/>
    <s v="2022002-62"/>
    <x v="3"/>
  </r>
  <r>
    <x v="69"/>
    <n v="2022002"/>
    <x v="2"/>
    <s v="Chickpea"/>
    <m/>
    <x v="4"/>
    <s v="Y"/>
    <x v="2"/>
    <n v="63"/>
    <n v="32"/>
    <x v="1"/>
    <m/>
    <m/>
    <m/>
    <n v="4"/>
    <n v="8"/>
    <m/>
    <m/>
    <m/>
    <m/>
    <n v="4"/>
    <n v="23"/>
    <x v="3"/>
    <n v="15"/>
    <m/>
    <m/>
    <x v="1"/>
    <n v="4"/>
    <x v="0"/>
    <m/>
    <m/>
    <n v="30.5"/>
    <x v="2"/>
    <s v="28/06/2022"/>
    <d v="2022-06-28T00:00:00"/>
    <s v="2022002-63"/>
    <x v="3"/>
  </r>
  <r>
    <x v="69"/>
    <n v="2022002"/>
    <x v="2"/>
    <s v="Chickpea"/>
    <m/>
    <x v="4"/>
    <s v="Y"/>
    <x v="1"/>
    <n v="64"/>
    <n v="32"/>
    <x v="1"/>
    <m/>
    <m/>
    <m/>
    <n v="4"/>
    <n v="8"/>
    <m/>
    <m/>
    <m/>
    <m/>
    <n v="4"/>
    <n v="24"/>
    <x v="3"/>
    <n v="16"/>
    <m/>
    <n v="29"/>
    <x v="1"/>
    <n v="4"/>
    <x v="0"/>
    <m/>
    <m/>
    <n v="30.5"/>
    <x v="2"/>
    <s v="28/06/2022"/>
    <d v="2022-06-28T00:00:00"/>
    <s v="2022002-64"/>
    <x v="3"/>
  </r>
  <r>
    <x v="78"/>
    <n v="2022002"/>
    <x v="2"/>
    <s v="Chickpea"/>
    <m/>
    <x v="4"/>
    <s v="Y"/>
    <x v="2"/>
    <n v="65"/>
    <n v="33"/>
    <x v="2"/>
    <m/>
    <m/>
    <m/>
    <n v="5"/>
    <n v="9"/>
    <m/>
    <m/>
    <m/>
    <m/>
    <n v="1"/>
    <n v="26"/>
    <x v="0"/>
    <n v="17"/>
    <m/>
    <m/>
    <x v="0"/>
    <n v="4"/>
    <x v="0"/>
    <m/>
    <m/>
    <n v="30.5"/>
    <x v="1"/>
    <s v="23/05/2022"/>
    <d v="2022-05-23T00:00:00"/>
    <s v="2022002-65"/>
    <x v="3"/>
  </r>
  <r>
    <x v="78"/>
    <n v="2022002"/>
    <x v="2"/>
    <s v="Chickpea"/>
    <m/>
    <x v="4"/>
    <s v="Y"/>
    <x v="1"/>
    <n v="66"/>
    <n v="33"/>
    <x v="2"/>
    <m/>
    <m/>
    <m/>
    <n v="5"/>
    <n v="9"/>
    <m/>
    <m/>
    <m/>
    <m/>
    <n v="1"/>
    <n v="27"/>
    <x v="0"/>
    <n v="18"/>
    <m/>
    <n v="33"/>
    <x v="0"/>
    <n v="4"/>
    <x v="0"/>
    <m/>
    <m/>
    <n v="30.5"/>
    <x v="1"/>
    <s v="23/05/2022"/>
    <d v="2022-05-23T00:00:00"/>
    <s v="2022002-66"/>
    <x v="3"/>
  </r>
  <r>
    <x v="76"/>
    <n v="2022002"/>
    <x v="2"/>
    <s v="Chickpea"/>
    <m/>
    <x v="3"/>
    <s v="N"/>
    <x v="2"/>
    <n v="67"/>
    <n v="34"/>
    <x v="2"/>
    <m/>
    <m/>
    <m/>
    <n v="5"/>
    <n v="9"/>
    <m/>
    <m/>
    <m/>
    <m/>
    <n v="2"/>
    <n v="26"/>
    <x v="1"/>
    <n v="17"/>
    <m/>
    <m/>
    <x v="0"/>
    <n v="3"/>
    <x v="0"/>
    <m/>
    <m/>
    <n v="30.5"/>
    <x v="1"/>
    <s v="23/05/2022"/>
    <d v="2022-05-23T00:00:00"/>
    <s v="2022002-67"/>
    <x v="3"/>
  </r>
  <r>
    <x v="76"/>
    <n v="2022002"/>
    <x v="2"/>
    <s v="Chickpea"/>
    <m/>
    <x v="3"/>
    <s v="N"/>
    <x v="1"/>
    <n v="68"/>
    <n v="34"/>
    <x v="2"/>
    <m/>
    <m/>
    <m/>
    <n v="5"/>
    <n v="9"/>
    <m/>
    <m/>
    <m/>
    <m/>
    <n v="2"/>
    <n v="27"/>
    <x v="1"/>
    <n v="18"/>
    <m/>
    <n v="34"/>
    <x v="0"/>
    <n v="3"/>
    <x v="0"/>
    <m/>
    <m/>
    <n v="30.5"/>
    <x v="1"/>
    <s v="23/05/2022"/>
    <d v="2022-05-23T00:00:00"/>
    <s v="2022002-68"/>
    <x v="3"/>
  </r>
  <r>
    <x v="79"/>
    <n v="2022002"/>
    <x v="2"/>
    <s v="Chickpea"/>
    <m/>
    <x v="9"/>
    <s v="N"/>
    <x v="2"/>
    <n v="69"/>
    <n v="35"/>
    <x v="2"/>
    <m/>
    <m/>
    <m/>
    <n v="5"/>
    <n v="9"/>
    <m/>
    <m/>
    <m/>
    <m/>
    <n v="3"/>
    <n v="26"/>
    <x v="2"/>
    <n v="17"/>
    <m/>
    <m/>
    <x v="0"/>
    <n v="2"/>
    <x v="0"/>
    <m/>
    <m/>
    <n v="30.5"/>
    <x v="1"/>
    <s v="23/05/2022"/>
    <d v="2022-05-23T00:00:00"/>
    <s v="2022002-69"/>
    <x v="3"/>
  </r>
  <r>
    <x v="79"/>
    <n v="2022002"/>
    <x v="2"/>
    <s v="Chickpea"/>
    <m/>
    <x v="9"/>
    <s v="N"/>
    <x v="1"/>
    <n v="70"/>
    <n v="35"/>
    <x v="2"/>
    <m/>
    <m/>
    <m/>
    <n v="5"/>
    <n v="9"/>
    <m/>
    <m/>
    <m/>
    <m/>
    <n v="3"/>
    <n v="27"/>
    <x v="2"/>
    <n v="18"/>
    <m/>
    <n v="35"/>
    <x v="0"/>
    <n v="2"/>
    <x v="0"/>
    <m/>
    <m/>
    <n v="30.5"/>
    <x v="1"/>
    <s v="23/05/2022"/>
    <d v="2022-05-23T00:00:00"/>
    <s v="2022002-70"/>
    <x v="3"/>
  </r>
  <r>
    <x v="77"/>
    <n v="2022002"/>
    <x v="2"/>
    <s v="Chickpea"/>
    <m/>
    <x v="8"/>
    <s v="Y"/>
    <x v="2"/>
    <n v="71"/>
    <n v="36"/>
    <x v="2"/>
    <m/>
    <m/>
    <m/>
    <n v="5"/>
    <n v="9"/>
    <m/>
    <m/>
    <m/>
    <m/>
    <n v="4"/>
    <n v="26"/>
    <x v="3"/>
    <n v="17"/>
    <m/>
    <m/>
    <x v="0"/>
    <n v="1"/>
    <x v="0"/>
    <m/>
    <m/>
    <n v="30.5"/>
    <x v="1"/>
    <s v="23/05/2022"/>
    <d v="2022-05-23T00:00:00"/>
    <s v="2022002-71"/>
    <x v="3"/>
  </r>
  <r>
    <x v="77"/>
    <n v="2022002"/>
    <x v="2"/>
    <s v="Chickpea"/>
    <m/>
    <x v="8"/>
    <s v="Y"/>
    <x v="1"/>
    <n v="72"/>
    <n v="36"/>
    <x v="2"/>
    <m/>
    <m/>
    <m/>
    <n v="5"/>
    <n v="9"/>
    <m/>
    <m/>
    <m/>
    <m/>
    <n v="4"/>
    <n v="27"/>
    <x v="3"/>
    <n v="18"/>
    <m/>
    <n v="36"/>
    <x v="0"/>
    <n v="1"/>
    <x v="0"/>
    <m/>
    <m/>
    <n v="30.5"/>
    <x v="1"/>
    <s v="23/05/2022"/>
    <d v="2022-05-23T00:00:00"/>
    <s v="2022002-72"/>
    <x v="3"/>
  </r>
  <r>
    <x v="73"/>
    <n v="2022002"/>
    <x v="2"/>
    <s v="Chickpea"/>
    <m/>
    <x v="9"/>
    <s v="N"/>
    <x v="2"/>
    <n v="73"/>
    <n v="37"/>
    <x v="2"/>
    <m/>
    <m/>
    <m/>
    <n v="5"/>
    <n v="10"/>
    <m/>
    <m/>
    <m/>
    <m/>
    <n v="1"/>
    <n v="29"/>
    <x v="0"/>
    <n v="19"/>
    <m/>
    <m/>
    <x v="1"/>
    <n v="2"/>
    <x v="0"/>
    <m/>
    <m/>
    <n v="30.5"/>
    <x v="1"/>
    <s v="23/05/2022"/>
    <d v="2022-05-23T00:00:00"/>
    <s v="2022002-73"/>
    <x v="3"/>
  </r>
  <r>
    <x v="73"/>
    <n v="2022002"/>
    <x v="2"/>
    <s v="Chickpea"/>
    <m/>
    <x v="9"/>
    <s v="N"/>
    <x v="1"/>
    <n v="74"/>
    <n v="37"/>
    <x v="2"/>
    <m/>
    <m/>
    <m/>
    <n v="5"/>
    <n v="10"/>
    <m/>
    <m/>
    <m/>
    <m/>
    <n v="1"/>
    <n v="30"/>
    <x v="0"/>
    <n v="20"/>
    <m/>
    <n v="40"/>
    <x v="1"/>
    <n v="2"/>
    <x v="0"/>
    <m/>
    <m/>
    <n v="30.5"/>
    <x v="1"/>
    <s v="23/05/2022"/>
    <d v="2022-05-23T00:00:00"/>
    <s v="2022002-74"/>
    <x v="3"/>
  </r>
  <r>
    <x v="75"/>
    <n v="2022002"/>
    <x v="2"/>
    <s v="Chickpea"/>
    <m/>
    <x v="8"/>
    <s v="Y"/>
    <x v="2"/>
    <n v="75"/>
    <n v="38"/>
    <x v="2"/>
    <m/>
    <m/>
    <m/>
    <n v="5"/>
    <n v="10"/>
    <m/>
    <m/>
    <m/>
    <m/>
    <n v="2"/>
    <n v="29"/>
    <x v="1"/>
    <n v="19"/>
    <m/>
    <m/>
    <x v="1"/>
    <n v="1"/>
    <x v="0"/>
    <m/>
    <m/>
    <n v="30.5"/>
    <x v="1"/>
    <s v="23/05/2022"/>
    <d v="2022-05-23T00:00:00"/>
    <s v="2022002-75"/>
    <x v="3"/>
  </r>
  <r>
    <x v="75"/>
    <n v="2022002"/>
    <x v="2"/>
    <s v="Chickpea"/>
    <m/>
    <x v="8"/>
    <s v="Y"/>
    <x v="1"/>
    <n v="76"/>
    <n v="38"/>
    <x v="2"/>
    <m/>
    <m/>
    <m/>
    <n v="5"/>
    <n v="10"/>
    <m/>
    <m/>
    <m/>
    <m/>
    <n v="2"/>
    <n v="30"/>
    <x v="1"/>
    <n v="20"/>
    <m/>
    <n v="39"/>
    <x v="1"/>
    <n v="1"/>
    <x v="0"/>
    <m/>
    <m/>
    <n v="30.5"/>
    <x v="1"/>
    <s v="23/05/2022"/>
    <d v="2022-05-23T00:00:00"/>
    <s v="2022002-76"/>
    <x v="3"/>
  </r>
  <r>
    <x v="72"/>
    <n v="2022002"/>
    <x v="2"/>
    <s v="Chickpea"/>
    <m/>
    <x v="4"/>
    <s v="Y"/>
    <x v="2"/>
    <n v="77"/>
    <n v="39"/>
    <x v="2"/>
    <m/>
    <m/>
    <m/>
    <n v="5"/>
    <n v="10"/>
    <m/>
    <m/>
    <m/>
    <m/>
    <n v="3"/>
    <n v="29"/>
    <x v="2"/>
    <n v="19"/>
    <m/>
    <m/>
    <x v="1"/>
    <n v="4"/>
    <x v="0"/>
    <m/>
    <m/>
    <n v="30.5"/>
    <x v="1"/>
    <s v="23/05/2022"/>
    <d v="2022-05-23T00:00:00"/>
    <s v="2022002-77"/>
    <x v="3"/>
  </r>
  <r>
    <x v="72"/>
    <n v="2022002"/>
    <x v="2"/>
    <s v="Chickpea"/>
    <m/>
    <x v="4"/>
    <s v="Y"/>
    <x v="1"/>
    <n v="78"/>
    <n v="39"/>
    <x v="2"/>
    <m/>
    <m/>
    <m/>
    <n v="5"/>
    <n v="10"/>
    <m/>
    <m/>
    <m/>
    <m/>
    <n v="3"/>
    <n v="30"/>
    <x v="2"/>
    <n v="20"/>
    <m/>
    <n v="38"/>
    <x v="1"/>
    <n v="4"/>
    <x v="0"/>
    <m/>
    <m/>
    <n v="30.5"/>
    <x v="1"/>
    <s v="23/05/2022"/>
    <d v="2022-05-23T00:00:00"/>
    <s v="2022002-78"/>
    <x v="3"/>
  </r>
  <r>
    <x v="74"/>
    <n v="2022002"/>
    <x v="2"/>
    <s v="Chickpea"/>
    <m/>
    <x v="3"/>
    <s v="N"/>
    <x v="2"/>
    <n v="79"/>
    <n v="40"/>
    <x v="2"/>
    <m/>
    <m/>
    <m/>
    <n v="5"/>
    <n v="10"/>
    <m/>
    <m/>
    <m/>
    <m/>
    <n v="4"/>
    <n v="29"/>
    <x v="3"/>
    <n v="19"/>
    <m/>
    <m/>
    <x v="1"/>
    <n v="3"/>
    <x v="0"/>
    <m/>
    <m/>
    <n v="30.5"/>
    <x v="1"/>
    <s v="23/05/2022"/>
    <d v="2022-05-23T00:00:00"/>
    <s v="2022002-79"/>
    <x v="3"/>
  </r>
  <r>
    <x v="74"/>
    <n v="2022002"/>
    <x v="2"/>
    <s v="Chickpea"/>
    <m/>
    <x v="3"/>
    <s v="N"/>
    <x v="1"/>
    <n v="80"/>
    <n v="40"/>
    <x v="2"/>
    <m/>
    <m/>
    <m/>
    <n v="5"/>
    <n v="10"/>
    <m/>
    <m/>
    <m/>
    <m/>
    <n v="4"/>
    <n v="30"/>
    <x v="3"/>
    <n v="20"/>
    <m/>
    <n v="37"/>
    <x v="1"/>
    <n v="3"/>
    <x v="0"/>
    <m/>
    <m/>
    <n v="30.5"/>
    <x v="1"/>
    <s v="23/05/2022"/>
    <d v="2022-05-23T00:00:00"/>
    <s v="2022002-80"/>
    <x v="3"/>
  </r>
  <r>
    <x v="66"/>
    <n v="2022002"/>
    <x v="2"/>
    <s v="Chickpea"/>
    <m/>
    <x v="8"/>
    <s v="Y"/>
    <x v="2"/>
    <n v="81"/>
    <n v="41"/>
    <x v="2"/>
    <m/>
    <m/>
    <m/>
    <n v="6"/>
    <n v="11"/>
    <m/>
    <m/>
    <m/>
    <m/>
    <n v="1"/>
    <n v="32"/>
    <x v="0"/>
    <n v="21"/>
    <m/>
    <m/>
    <x v="0"/>
    <n v="1"/>
    <x v="0"/>
    <m/>
    <m/>
    <n v="30.5"/>
    <x v="2"/>
    <s v="28/06/2022"/>
    <d v="2022-06-28T00:00:00"/>
    <s v="2022002-81"/>
    <x v="3"/>
  </r>
  <r>
    <x v="66"/>
    <n v="2022002"/>
    <x v="2"/>
    <s v="Chickpea"/>
    <m/>
    <x v="8"/>
    <s v="Y"/>
    <x v="1"/>
    <n v="82"/>
    <n v="41"/>
    <x v="2"/>
    <m/>
    <m/>
    <m/>
    <n v="6"/>
    <n v="11"/>
    <m/>
    <m/>
    <m/>
    <m/>
    <n v="1"/>
    <n v="33"/>
    <x v="0"/>
    <n v="22"/>
    <m/>
    <n v="41"/>
    <x v="0"/>
    <n v="1"/>
    <x v="0"/>
    <m/>
    <m/>
    <n v="30.5"/>
    <x v="2"/>
    <s v="28/06/2022"/>
    <d v="2022-06-28T00:00:00"/>
    <s v="2022002-82"/>
    <x v="3"/>
  </r>
  <r>
    <x v="67"/>
    <n v="2022002"/>
    <x v="2"/>
    <s v="Chickpea"/>
    <m/>
    <x v="4"/>
    <s v="Y"/>
    <x v="2"/>
    <n v="83"/>
    <n v="42"/>
    <x v="2"/>
    <m/>
    <m/>
    <m/>
    <n v="6"/>
    <n v="11"/>
    <m/>
    <m/>
    <m/>
    <m/>
    <n v="2"/>
    <n v="32"/>
    <x v="1"/>
    <n v="21"/>
    <m/>
    <m/>
    <x v="0"/>
    <n v="4"/>
    <x v="0"/>
    <m/>
    <m/>
    <n v="30.5"/>
    <x v="2"/>
    <s v="28/06/2022"/>
    <d v="2022-06-28T00:00:00"/>
    <s v="2022002-83"/>
    <x v="3"/>
  </r>
  <r>
    <x v="67"/>
    <n v="2022002"/>
    <x v="2"/>
    <s v="Chickpea"/>
    <m/>
    <x v="4"/>
    <s v="Y"/>
    <x v="1"/>
    <n v="84"/>
    <n v="42"/>
    <x v="2"/>
    <m/>
    <m/>
    <m/>
    <n v="6"/>
    <n v="11"/>
    <m/>
    <m/>
    <m/>
    <m/>
    <n v="2"/>
    <n v="33"/>
    <x v="1"/>
    <n v="22"/>
    <m/>
    <n v="42"/>
    <x v="0"/>
    <n v="4"/>
    <x v="0"/>
    <m/>
    <m/>
    <n v="30.5"/>
    <x v="2"/>
    <s v="28/06/2022"/>
    <d v="2022-06-28T00:00:00"/>
    <s v="2022002-84"/>
    <x v="3"/>
  </r>
  <r>
    <x v="65"/>
    <n v="2022002"/>
    <x v="2"/>
    <s v="Chickpea"/>
    <m/>
    <x v="3"/>
    <s v="N"/>
    <x v="2"/>
    <n v="85"/>
    <n v="43"/>
    <x v="2"/>
    <m/>
    <m/>
    <m/>
    <n v="6"/>
    <n v="11"/>
    <m/>
    <m/>
    <m/>
    <m/>
    <n v="3"/>
    <n v="32"/>
    <x v="2"/>
    <n v="21"/>
    <m/>
    <m/>
    <x v="0"/>
    <n v="3"/>
    <x v="0"/>
    <m/>
    <m/>
    <n v="30.5"/>
    <x v="2"/>
    <s v="28/06/2022"/>
    <d v="2022-06-28T00:00:00"/>
    <s v="2022002-85"/>
    <x v="3"/>
  </r>
  <r>
    <x v="65"/>
    <n v="2022002"/>
    <x v="2"/>
    <s v="Chickpea"/>
    <m/>
    <x v="3"/>
    <s v="N"/>
    <x v="1"/>
    <n v="86"/>
    <n v="43"/>
    <x v="2"/>
    <m/>
    <m/>
    <m/>
    <n v="6"/>
    <n v="11"/>
    <m/>
    <m/>
    <m/>
    <m/>
    <n v="3"/>
    <n v="33"/>
    <x v="2"/>
    <n v="22"/>
    <m/>
    <n v="43"/>
    <x v="0"/>
    <n v="3"/>
    <x v="0"/>
    <m/>
    <m/>
    <n v="30.5"/>
    <x v="2"/>
    <s v="28/06/2022"/>
    <d v="2022-06-28T00:00:00"/>
    <s v="2022002-86"/>
    <x v="3"/>
  </r>
  <r>
    <x v="64"/>
    <n v="2022002"/>
    <x v="2"/>
    <s v="Chickpea"/>
    <m/>
    <x v="9"/>
    <s v="N"/>
    <x v="2"/>
    <n v="87"/>
    <n v="44"/>
    <x v="2"/>
    <m/>
    <m/>
    <m/>
    <n v="6"/>
    <n v="11"/>
    <m/>
    <m/>
    <m/>
    <m/>
    <n v="4"/>
    <n v="32"/>
    <x v="3"/>
    <n v="21"/>
    <m/>
    <m/>
    <x v="0"/>
    <n v="2"/>
    <x v="0"/>
    <m/>
    <m/>
    <n v="30.5"/>
    <x v="2"/>
    <s v="28/06/2022"/>
    <d v="2022-06-28T00:00:00"/>
    <s v="2022002-87"/>
    <x v="3"/>
  </r>
  <r>
    <x v="64"/>
    <n v="2022002"/>
    <x v="2"/>
    <s v="Chickpea"/>
    <m/>
    <x v="9"/>
    <s v="N"/>
    <x v="1"/>
    <n v="88"/>
    <n v="44"/>
    <x v="2"/>
    <m/>
    <m/>
    <m/>
    <n v="6"/>
    <n v="11"/>
    <m/>
    <m/>
    <m/>
    <m/>
    <n v="4"/>
    <n v="33"/>
    <x v="3"/>
    <n v="22"/>
    <m/>
    <n v="44"/>
    <x v="0"/>
    <n v="2"/>
    <x v="0"/>
    <m/>
    <m/>
    <n v="30.5"/>
    <x v="2"/>
    <s v="28/06/2022"/>
    <d v="2022-06-28T00:00:00"/>
    <s v="2022002-88"/>
    <x v="3"/>
  </r>
  <r>
    <x v="71"/>
    <n v="2022002"/>
    <x v="2"/>
    <s v="Chickpea"/>
    <m/>
    <x v="3"/>
    <s v="N"/>
    <x v="2"/>
    <n v="89"/>
    <n v="45"/>
    <x v="2"/>
    <m/>
    <m/>
    <m/>
    <n v="6"/>
    <n v="12"/>
    <m/>
    <m/>
    <m/>
    <m/>
    <n v="1"/>
    <n v="35"/>
    <x v="0"/>
    <n v="23"/>
    <m/>
    <m/>
    <x v="1"/>
    <n v="3"/>
    <x v="0"/>
    <m/>
    <m/>
    <n v="30.5"/>
    <x v="2"/>
    <s v="28/06/2022"/>
    <d v="2022-06-28T00:00:00"/>
    <s v="2022002-89"/>
    <x v="3"/>
  </r>
  <r>
    <x v="71"/>
    <n v="2022002"/>
    <x v="2"/>
    <s v="Chickpea"/>
    <m/>
    <x v="3"/>
    <s v="N"/>
    <x v="1"/>
    <n v="90"/>
    <n v="45"/>
    <x v="2"/>
    <m/>
    <m/>
    <m/>
    <n v="6"/>
    <n v="12"/>
    <m/>
    <m/>
    <m/>
    <m/>
    <n v="1"/>
    <n v="36"/>
    <x v="0"/>
    <n v="24"/>
    <m/>
    <n v="48"/>
    <x v="1"/>
    <n v="3"/>
    <x v="0"/>
    <m/>
    <m/>
    <n v="30.5"/>
    <x v="2"/>
    <s v="28/06/2022"/>
    <d v="2022-06-28T00:00:00"/>
    <s v="2022002-90"/>
    <x v="3"/>
  </r>
  <r>
    <x v="70"/>
    <n v="2022002"/>
    <x v="2"/>
    <s v="Chickpea"/>
    <m/>
    <x v="9"/>
    <s v="N"/>
    <x v="2"/>
    <n v="91"/>
    <n v="46"/>
    <x v="2"/>
    <m/>
    <m/>
    <m/>
    <n v="6"/>
    <n v="12"/>
    <m/>
    <m/>
    <m/>
    <m/>
    <n v="2"/>
    <n v="35"/>
    <x v="1"/>
    <n v="23"/>
    <m/>
    <m/>
    <x v="1"/>
    <n v="2"/>
    <x v="0"/>
    <m/>
    <m/>
    <n v="30.5"/>
    <x v="2"/>
    <s v="28/06/2022"/>
    <d v="2022-06-28T00:00:00"/>
    <s v="2022002-91"/>
    <x v="3"/>
  </r>
  <r>
    <x v="70"/>
    <n v="2022002"/>
    <x v="2"/>
    <s v="Chickpea"/>
    <m/>
    <x v="9"/>
    <s v="N"/>
    <x v="1"/>
    <n v="92"/>
    <n v="46"/>
    <x v="2"/>
    <m/>
    <m/>
    <m/>
    <n v="6"/>
    <n v="12"/>
    <m/>
    <m/>
    <m/>
    <m/>
    <n v="2"/>
    <n v="36"/>
    <x v="1"/>
    <n v="24"/>
    <m/>
    <n v="47"/>
    <x v="1"/>
    <n v="2"/>
    <x v="0"/>
    <m/>
    <m/>
    <n v="30.5"/>
    <x v="2"/>
    <s v="28/06/2022"/>
    <d v="2022-06-28T00:00:00"/>
    <s v="2022002-92"/>
    <x v="3"/>
  </r>
  <r>
    <x v="69"/>
    <n v="2022002"/>
    <x v="2"/>
    <s v="Chickpea"/>
    <m/>
    <x v="4"/>
    <s v="Y"/>
    <x v="2"/>
    <n v="93"/>
    <n v="47"/>
    <x v="2"/>
    <m/>
    <m/>
    <m/>
    <n v="6"/>
    <n v="12"/>
    <m/>
    <m/>
    <m/>
    <m/>
    <n v="3"/>
    <n v="35"/>
    <x v="2"/>
    <n v="23"/>
    <m/>
    <m/>
    <x v="1"/>
    <n v="4"/>
    <x v="0"/>
    <m/>
    <m/>
    <n v="30.5"/>
    <x v="2"/>
    <s v="28/06/2022"/>
    <d v="2022-06-28T00:00:00"/>
    <s v="2022002-93"/>
    <x v="3"/>
  </r>
  <r>
    <x v="69"/>
    <n v="2022002"/>
    <x v="2"/>
    <s v="Chickpea"/>
    <m/>
    <x v="4"/>
    <s v="Y"/>
    <x v="1"/>
    <n v="94"/>
    <n v="47"/>
    <x v="2"/>
    <m/>
    <m/>
    <m/>
    <n v="6"/>
    <n v="12"/>
    <m/>
    <m/>
    <m/>
    <m/>
    <n v="3"/>
    <n v="36"/>
    <x v="2"/>
    <n v="24"/>
    <m/>
    <n v="46"/>
    <x v="1"/>
    <n v="4"/>
    <x v="0"/>
    <m/>
    <m/>
    <n v="30.5"/>
    <x v="2"/>
    <s v="28/06/2022"/>
    <d v="2022-06-28T00:00:00"/>
    <s v="2022002-94"/>
    <x v="3"/>
  </r>
  <r>
    <x v="68"/>
    <n v="2022002"/>
    <x v="2"/>
    <s v="Chickpea"/>
    <m/>
    <x v="8"/>
    <s v="Y"/>
    <x v="2"/>
    <n v="95"/>
    <n v="48"/>
    <x v="2"/>
    <m/>
    <m/>
    <m/>
    <n v="6"/>
    <n v="12"/>
    <m/>
    <m/>
    <m/>
    <m/>
    <n v="4"/>
    <n v="35"/>
    <x v="3"/>
    <n v="23"/>
    <m/>
    <m/>
    <x v="1"/>
    <n v="1"/>
    <x v="0"/>
    <m/>
    <m/>
    <n v="30.5"/>
    <x v="2"/>
    <s v="28/06/2022"/>
    <d v="2022-06-28T00:00:00"/>
    <s v="2022002-95"/>
    <x v="3"/>
  </r>
  <r>
    <x v="68"/>
    <n v="2022002"/>
    <x v="2"/>
    <s v="Chickpea"/>
    <m/>
    <x v="8"/>
    <s v="Y"/>
    <x v="1"/>
    <n v="96"/>
    <n v="48"/>
    <x v="2"/>
    <m/>
    <m/>
    <m/>
    <n v="6"/>
    <n v="12"/>
    <m/>
    <m/>
    <m/>
    <m/>
    <n v="4"/>
    <n v="36"/>
    <x v="3"/>
    <n v="24"/>
    <m/>
    <n v="45"/>
    <x v="1"/>
    <n v="1"/>
    <x v="0"/>
    <m/>
    <m/>
    <n v="30.5"/>
    <x v="2"/>
    <s v="28/06/2022"/>
    <d v="2022-06-28T00:00:00"/>
    <s v="2022002-96"/>
    <x v="3"/>
  </r>
  <r>
    <x v="69"/>
    <n v="2022002"/>
    <x v="2"/>
    <s v="Chickpea"/>
    <m/>
    <x v="4"/>
    <s v="Y"/>
    <x v="2"/>
    <n v="97"/>
    <n v="49"/>
    <x v="3"/>
    <m/>
    <m/>
    <m/>
    <n v="7"/>
    <n v="13"/>
    <m/>
    <m/>
    <m/>
    <m/>
    <n v="1"/>
    <n v="38"/>
    <x v="0"/>
    <n v="25"/>
    <m/>
    <m/>
    <x v="1"/>
    <n v="4"/>
    <x v="0"/>
    <m/>
    <m/>
    <n v="30.5"/>
    <x v="2"/>
    <s v="28/06/2022"/>
    <d v="2022-06-28T00:00:00"/>
    <s v="2022002-97"/>
    <x v="3"/>
  </r>
  <r>
    <x v="69"/>
    <n v="2022002"/>
    <x v="2"/>
    <s v="Chickpea"/>
    <m/>
    <x v="4"/>
    <s v="Y"/>
    <x v="1"/>
    <n v="98"/>
    <n v="49"/>
    <x v="3"/>
    <m/>
    <m/>
    <m/>
    <n v="7"/>
    <n v="13"/>
    <m/>
    <m/>
    <m/>
    <m/>
    <n v="1"/>
    <n v="39"/>
    <x v="0"/>
    <n v="26"/>
    <m/>
    <n v="49"/>
    <x v="1"/>
    <n v="4"/>
    <x v="0"/>
    <m/>
    <m/>
    <n v="30.5"/>
    <x v="2"/>
    <s v="28/06/2022"/>
    <d v="2022-06-28T00:00:00"/>
    <s v="2022002-98"/>
    <x v="3"/>
  </r>
  <r>
    <x v="68"/>
    <n v="2022002"/>
    <x v="2"/>
    <s v="Chickpea"/>
    <m/>
    <x v="8"/>
    <s v="Y"/>
    <x v="2"/>
    <n v="99"/>
    <n v="50"/>
    <x v="3"/>
    <m/>
    <m/>
    <m/>
    <n v="7"/>
    <n v="13"/>
    <m/>
    <m/>
    <m/>
    <m/>
    <n v="2"/>
    <n v="38"/>
    <x v="1"/>
    <n v="25"/>
    <m/>
    <m/>
    <x v="1"/>
    <n v="1"/>
    <x v="0"/>
    <m/>
    <m/>
    <n v="30.5"/>
    <x v="2"/>
    <s v="28/06/2022"/>
    <d v="2022-06-28T00:00:00"/>
    <s v="2022002-99"/>
    <x v="3"/>
  </r>
  <r>
    <x v="68"/>
    <n v="2022002"/>
    <x v="2"/>
    <s v="Chickpea"/>
    <m/>
    <x v="8"/>
    <s v="Y"/>
    <x v="1"/>
    <n v="100"/>
    <n v="50"/>
    <x v="3"/>
    <m/>
    <m/>
    <m/>
    <n v="7"/>
    <n v="13"/>
    <m/>
    <m/>
    <m/>
    <m/>
    <n v="2"/>
    <n v="39"/>
    <x v="1"/>
    <n v="26"/>
    <m/>
    <n v="50"/>
    <x v="1"/>
    <n v="1"/>
    <x v="0"/>
    <m/>
    <m/>
    <n v="30.5"/>
    <x v="2"/>
    <s v="28/06/2022"/>
    <d v="2022-06-28T00:00:00"/>
    <s v="2022002-100"/>
    <x v="3"/>
  </r>
  <r>
    <x v="71"/>
    <n v="2022002"/>
    <x v="2"/>
    <s v="Chickpea"/>
    <m/>
    <x v="3"/>
    <s v="N"/>
    <x v="2"/>
    <n v="101"/>
    <n v="51"/>
    <x v="3"/>
    <m/>
    <m/>
    <m/>
    <n v="7"/>
    <n v="13"/>
    <m/>
    <m/>
    <m/>
    <m/>
    <n v="3"/>
    <n v="38"/>
    <x v="2"/>
    <n v="25"/>
    <m/>
    <m/>
    <x v="1"/>
    <n v="3"/>
    <x v="0"/>
    <m/>
    <m/>
    <n v="30.5"/>
    <x v="2"/>
    <s v="28/06/2022"/>
    <d v="2022-06-28T00:00:00"/>
    <s v="2022002-101"/>
    <x v="3"/>
  </r>
  <r>
    <x v="71"/>
    <n v="2022002"/>
    <x v="2"/>
    <s v="Chickpea"/>
    <m/>
    <x v="3"/>
    <s v="N"/>
    <x v="1"/>
    <n v="102"/>
    <n v="51"/>
    <x v="3"/>
    <m/>
    <m/>
    <m/>
    <n v="7"/>
    <n v="13"/>
    <m/>
    <m/>
    <m/>
    <m/>
    <n v="3"/>
    <n v="39"/>
    <x v="2"/>
    <n v="26"/>
    <m/>
    <n v="51"/>
    <x v="1"/>
    <n v="3"/>
    <x v="0"/>
    <m/>
    <m/>
    <n v="30.5"/>
    <x v="2"/>
    <s v="28/06/2022"/>
    <d v="2022-06-28T00:00:00"/>
    <s v="2022002-102"/>
    <x v="3"/>
  </r>
  <r>
    <x v="70"/>
    <n v="2022002"/>
    <x v="2"/>
    <s v="Chickpea"/>
    <m/>
    <x v="9"/>
    <s v="N"/>
    <x v="2"/>
    <n v="103"/>
    <n v="52"/>
    <x v="3"/>
    <m/>
    <m/>
    <m/>
    <n v="7"/>
    <n v="13"/>
    <m/>
    <m/>
    <m/>
    <m/>
    <n v="4"/>
    <n v="38"/>
    <x v="3"/>
    <n v="25"/>
    <m/>
    <m/>
    <x v="1"/>
    <n v="2"/>
    <x v="0"/>
    <m/>
    <m/>
    <n v="30.5"/>
    <x v="2"/>
    <s v="28/06/2022"/>
    <d v="2022-06-28T00:00:00"/>
    <s v="2022002-103"/>
    <x v="3"/>
  </r>
  <r>
    <x v="70"/>
    <n v="2022002"/>
    <x v="2"/>
    <s v="Chickpea"/>
    <m/>
    <x v="9"/>
    <s v="N"/>
    <x v="1"/>
    <n v="104"/>
    <n v="52"/>
    <x v="3"/>
    <m/>
    <m/>
    <m/>
    <n v="7"/>
    <n v="13"/>
    <m/>
    <m/>
    <m/>
    <m/>
    <n v="4"/>
    <n v="39"/>
    <x v="3"/>
    <n v="26"/>
    <m/>
    <n v="52"/>
    <x v="1"/>
    <n v="2"/>
    <x v="0"/>
    <m/>
    <m/>
    <n v="30.5"/>
    <x v="2"/>
    <s v="28/06/2022"/>
    <d v="2022-06-28T00:00:00"/>
    <s v="2022002-104"/>
    <x v="3"/>
  </r>
  <r>
    <x v="65"/>
    <n v="2022002"/>
    <x v="2"/>
    <s v="Chickpea"/>
    <m/>
    <x v="3"/>
    <s v="N"/>
    <x v="2"/>
    <n v="105"/>
    <n v="53"/>
    <x v="3"/>
    <m/>
    <m/>
    <m/>
    <n v="7"/>
    <n v="14"/>
    <m/>
    <m/>
    <m/>
    <m/>
    <n v="1"/>
    <n v="41"/>
    <x v="0"/>
    <n v="27"/>
    <m/>
    <m/>
    <x v="0"/>
    <n v="3"/>
    <x v="0"/>
    <m/>
    <m/>
    <n v="30.5"/>
    <x v="2"/>
    <s v="28/06/2022"/>
    <d v="2022-06-28T00:00:00"/>
    <s v="2022002-105"/>
    <x v="3"/>
  </r>
  <r>
    <x v="65"/>
    <n v="2022002"/>
    <x v="2"/>
    <s v="Chickpea"/>
    <m/>
    <x v="3"/>
    <s v="N"/>
    <x v="1"/>
    <n v="106"/>
    <n v="53"/>
    <x v="3"/>
    <m/>
    <m/>
    <m/>
    <n v="7"/>
    <n v="14"/>
    <m/>
    <m/>
    <m/>
    <m/>
    <n v="1"/>
    <n v="42"/>
    <x v="0"/>
    <n v="28"/>
    <m/>
    <n v="56"/>
    <x v="0"/>
    <n v="3"/>
    <x v="0"/>
    <m/>
    <m/>
    <n v="30.5"/>
    <x v="2"/>
    <s v="28/06/2022"/>
    <d v="2022-06-28T00:00:00"/>
    <s v="2022002-106"/>
    <x v="3"/>
  </r>
  <r>
    <x v="64"/>
    <n v="2022002"/>
    <x v="2"/>
    <s v="Chickpea"/>
    <m/>
    <x v="9"/>
    <s v="N"/>
    <x v="2"/>
    <n v="107"/>
    <n v="54"/>
    <x v="3"/>
    <m/>
    <m/>
    <m/>
    <n v="7"/>
    <n v="14"/>
    <m/>
    <m/>
    <m/>
    <m/>
    <n v="2"/>
    <n v="41"/>
    <x v="1"/>
    <n v="27"/>
    <m/>
    <m/>
    <x v="0"/>
    <n v="2"/>
    <x v="0"/>
    <m/>
    <m/>
    <n v="30.5"/>
    <x v="2"/>
    <s v="28/06/2022"/>
    <d v="2022-06-28T00:00:00"/>
    <s v="2022002-107"/>
    <x v="3"/>
  </r>
  <r>
    <x v="64"/>
    <n v="2022002"/>
    <x v="2"/>
    <s v="Chickpea"/>
    <m/>
    <x v="9"/>
    <s v="N"/>
    <x v="1"/>
    <n v="108"/>
    <n v="54"/>
    <x v="3"/>
    <m/>
    <m/>
    <m/>
    <n v="7"/>
    <n v="14"/>
    <m/>
    <m/>
    <m/>
    <m/>
    <n v="2"/>
    <n v="42"/>
    <x v="1"/>
    <n v="28"/>
    <m/>
    <n v="55"/>
    <x v="0"/>
    <n v="2"/>
    <x v="0"/>
    <m/>
    <m/>
    <n v="30.5"/>
    <x v="2"/>
    <s v="28/06/2022"/>
    <d v="2022-06-28T00:00:00"/>
    <s v="2022002-108"/>
    <x v="3"/>
  </r>
  <r>
    <x v="67"/>
    <n v="2022002"/>
    <x v="2"/>
    <s v="Chickpea"/>
    <m/>
    <x v="4"/>
    <s v="Y"/>
    <x v="2"/>
    <n v="109"/>
    <n v="55"/>
    <x v="3"/>
    <m/>
    <m/>
    <m/>
    <n v="7"/>
    <n v="14"/>
    <m/>
    <m/>
    <m/>
    <m/>
    <n v="3"/>
    <n v="41"/>
    <x v="2"/>
    <n v="27"/>
    <m/>
    <m/>
    <x v="0"/>
    <n v="4"/>
    <x v="0"/>
    <m/>
    <m/>
    <n v="30.5"/>
    <x v="2"/>
    <s v="28/06/2022"/>
    <d v="2022-06-28T00:00:00"/>
    <s v="2022002-109"/>
    <x v="3"/>
  </r>
  <r>
    <x v="67"/>
    <n v="2022002"/>
    <x v="2"/>
    <s v="Chickpea"/>
    <m/>
    <x v="4"/>
    <s v="Y"/>
    <x v="1"/>
    <n v="110"/>
    <n v="55"/>
    <x v="3"/>
    <m/>
    <m/>
    <m/>
    <n v="7"/>
    <n v="14"/>
    <m/>
    <m/>
    <m/>
    <m/>
    <n v="3"/>
    <n v="42"/>
    <x v="2"/>
    <n v="28"/>
    <m/>
    <n v="54"/>
    <x v="0"/>
    <n v="4"/>
    <x v="0"/>
    <m/>
    <m/>
    <n v="30.5"/>
    <x v="2"/>
    <s v="28/06/2022"/>
    <d v="2022-06-28T00:00:00"/>
    <s v="2022002-110"/>
    <x v="3"/>
  </r>
  <r>
    <x v="66"/>
    <n v="2022002"/>
    <x v="2"/>
    <s v="Chickpea"/>
    <m/>
    <x v="8"/>
    <s v="Y"/>
    <x v="2"/>
    <n v="111"/>
    <n v="56"/>
    <x v="3"/>
    <m/>
    <m/>
    <m/>
    <n v="7"/>
    <n v="14"/>
    <m/>
    <m/>
    <m/>
    <m/>
    <n v="4"/>
    <n v="41"/>
    <x v="3"/>
    <n v="27"/>
    <m/>
    <m/>
    <x v="0"/>
    <n v="1"/>
    <x v="0"/>
    <m/>
    <m/>
    <n v="30.5"/>
    <x v="2"/>
    <s v="28/06/2022"/>
    <d v="2022-06-28T00:00:00"/>
    <s v="2022002-111"/>
    <x v="3"/>
  </r>
  <r>
    <x v="66"/>
    <n v="2022002"/>
    <x v="2"/>
    <s v="Chickpea"/>
    <m/>
    <x v="8"/>
    <s v="Y"/>
    <x v="1"/>
    <n v="112"/>
    <n v="56"/>
    <x v="3"/>
    <m/>
    <m/>
    <m/>
    <n v="7"/>
    <n v="14"/>
    <m/>
    <m/>
    <m/>
    <m/>
    <n v="4"/>
    <n v="42"/>
    <x v="3"/>
    <n v="28"/>
    <m/>
    <n v="53"/>
    <x v="0"/>
    <n v="1"/>
    <x v="0"/>
    <m/>
    <m/>
    <n v="30.5"/>
    <x v="2"/>
    <s v="28/06/2022"/>
    <d v="2022-06-28T00:00:00"/>
    <s v="2022002-112"/>
    <x v="3"/>
  </r>
  <r>
    <x v="73"/>
    <n v="2022002"/>
    <x v="2"/>
    <s v="Chickpea"/>
    <m/>
    <x v="9"/>
    <s v="N"/>
    <x v="2"/>
    <n v="113"/>
    <n v="57"/>
    <x v="3"/>
    <m/>
    <m/>
    <m/>
    <n v="8"/>
    <n v="15"/>
    <m/>
    <m/>
    <m/>
    <m/>
    <n v="1"/>
    <n v="44"/>
    <x v="0"/>
    <n v="29"/>
    <m/>
    <m/>
    <x v="1"/>
    <n v="2"/>
    <x v="0"/>
    <m/>
    <m/>
    <n v="30.5"/>
    <x v="1"/>
    <s v="23/05/2022"/>
    <d v="2022-05-23T00:00:00"/>
    <s v="2022002-113"/>
    <x v="3"/>
  </r>
  <r>
    <x v="73"/>
    <n v="2022002"/>
    <x v="2"/>
    <s v="Chickpea"/>
    <m/>
    <x v="9"/>
    <s v="N"/>
    <x v="1"/>
    <n v="114"/>
    <n v="57"/>
    <x v="3"/>
    <m/>
    <m/>
    <m/>
    <n v="8"/>
    <n v="15"/>
    <m/>
    <m/>
    <m/>
    <m/>
    <n v="1"/>
    <n v="45"/>
    <x v="0"/>
    <n v="30"/>
    <m/>
    <n v="57"/>
    <x v="1"/>
    <n v="2"/>
    <x v="0"/>
    <m/>
    <m/>
    <n v="30.5"/>
    <x v="1"/>
    <s v="23/05/2022"/>
    <d v="2022-05-23T00:00:00"/>
    <s v="2022002-114"/>
    <x v="3"/>
  </r>
  <r>
    <x v="74"/>
    <n v="2022002"/>
    <x v="2"/>
    <s v="Chickpea"/>
    <m/>
    <x v="3"/>
    <s v="N"/>
    <x v="2"/>
    <n v="115"/>
    <n v="58"/>
    <x v="3"/>
    <m/>
    <m/>
    <m/>
    <n v="8"/>
    <n v="15"/>
    <m/>
    <m/>
    <m/>
    <m/>
    <n v="2"/>
    <n v="44"/>
    <x v="1"/>
    <n v="29"/>
    <m/>
    <m/>
    <x v="1"/>
    <n v="3"/>
    <x v="0"/>
    <m/>
    <m/>
    <n v="30.5"/>
    <x v="1"/>
    <s v="23/05/2022"/>
    <d v="2022-05-23T00:00:00"/>
    <s v="2022002-115"/>
    <x v="3"/>
  </r>
  <r>
    <x v="74"/>
    <n v="2022002"/>
    <x v="2"/>
    <s v="Chickpea"/>
    <m/>
    <x v="3"/>
    <s v="N"/>
    <x v="1"/>
    <n v="116"/>
    <n v="58"/>
    <x v="3"/>
    <m/>
    <m/>
    <m/>
    <n v="8"/>
    <n v="15"/>
    <m/>
    <m/>
    <m/>
    <m/>
    <n v="2"/>
    <n v="45"/>
    <x v="1"/>
    <n v="30"/>
    <m/>
    <n v="58"/>
    <x v="1"/>
    <n v="3"/>
    <x v="0"/>
    <m/>
    <m/>
    <n v="30.5"/>
    <x v="1"/>
    <s v="23/05/2022"/>
    <d v="2022-05-23T00:00:00"/>
    <s v="2022002-116"/>
    <x v="3"/>
  </r>
  <r>
    <x v="75"/>
    <n v="2022002"/>
    <x v="2"/>
    <s v="Chickpea"/>
    <m/>
    <x v="8"/>
    <s v="Y"/>
    <x v="2"/>
    <n v="117"/>
    <n v="59"/>
    <x v="3"/>
    <m/>
    <m/>
    <m/>
    <n v="8"/>
    <n v="15"/>
    <m/>
    <m/>
    <m/>
    <m/>
    <n v="3"/>
    <n v="44"/>
    <x v="2"/>
    <n v="29"/>
    <m/>
    <m/>
    <x v="1"/>
    <n v="1"/>
    <x v="0"/>
    <m/>
    <m/>
    <n v="30.5"/>
    <x v="1"/>
    <s v="23/05/2022"/>
    <d v="2022-05-23T00:00:00"/>
    <s v="2022002-117"/>
    <x v="3"/>
  </r>
  <r>
    <x v="75"/>
    <n v="2022002"/>
    <x v="2"/>
    <s v="Chickpea"/>
    <m/>
    <x v="8"/>
    <s v="Y"/>
    <x v="1"/>
    <n v="118"/>
    <n v="59"/>
    <x v="3"/>
    <m/>
    <m/>
    <m/>
    <n v="8"/>
    <n v="15"/>
    <m/>
    <m/>
    <m/>
    <m/>
    <n v="3"/>
    <n v="45"/>
    <x v="2"/>
    <n v="30"/>
    <m/>
    <n v="59"/>
    <x v="1"/>
    <n v="1"/>
    <x v="0"/>
    <m/>
    <m/>
    <n v="30.5"/>
    <x v="1"/>
    <s v="23/05/2022"/>
    <d v="2022-05-23T00:00:00"/>
    <s v="2022002-118"/>
    <x v="3"/>
  </r>
  <r>
    <x v="72"/>
    <n v="2022002"/>
    <x v="2"/>
    <s v="Chickpea"/>
    <m/>
    <x v="4"/>
    <s v="Y"/>
    <x v="2"/>
    <n v="119"/>
    <n v="60"/>
    <x v="3"/>
    <m/>
    <m/>
    <m/>
    <n v="8"/>
    <n v="15"/>
    <m/>
    <m/>
    <m/>
    <m/>
    <n v="4"/>
    <n v="44"/>
    <x v="3"/>
    <n v="29"/>
    <m/>
    <m/>
    <x v="1"/>
    <n v="4"/>
    <x v="0"/>
    <m/>
    <m/>
    <n v="30.5"/>
    <x v="1"/>
    <s v="23/05/2022"/>
    <d v="2022-05-23T00:00:00"/>
    <s v="2022002-119"/>
    <x v="3"/>
  </r>
  <r>
    <x v="72"/>
    <n v="2022002"/>
    <x v="2"/>
    <s v="Chickpea"/>
    <m/>
    <x v="4"/>
    <s v="Y"/>
    <x v="1"/>
    <n v="120"/>
    <n v="60"/>
    <x v="3"/>
    <m/>
    <m/>
    <m/>
    <n v="8"/>
    <n v="15"/>
    <m/>
    <m/>
    <m/>
    <m/>
    <n v="4"/>
    <n v="45"/>
    <x v="3"/>
    <n v="30"/>
    <m/>
    <n v="60"/>
    <x v="1"/>
    <n v="4"/>
    <x v="0"/>
    <m/>
    <m/>
    <n v="30.5"/>
    <x v="1"/>
    <s v="23/05/2022"/>
    <d v="2022-05-23T00:00:00"/>
    <s v="2022002-120"/>
    <x v="3"/>
  </r>
  <r>
    <x v="77"/>
    <n v="2022002"/>
    <x v="2"/>
    <s v="Chickpea"/>
    <m/>
    <x v="8"/>
    <s v="Y"/>
    <x v="2"/>
    <n v="121"/>
    <n v="61"/>
    <x v="3"/>
    <m/>
    <m/>
    <m/>
    <n v="8"/>
    <n v="16"/>
    <m/>
    <m/>
    <m/>
    <m/>
    <n v="1"/>
    <n v="47"/>
    <x v="0"/>
    <n v="31"/>
    <m/>
    <m/>
    <x v="0"/>
    <n v="1"/>
    <x v="0"/>
    <m/>
    <m/>
    <n v="30.5"/>
    <x v="1"/>
    <s v="23/05/2022"/>
    <d v="2022-05-23T00:00:00"/>
    <s v="2022002-121"/>
    <x v="3"/>
  </r>
  <r>
    <x v="77"/>
    <n v="2022002"/>
    <x v="2"/>
    <s v="Chickpea"/>
    <m/>
    <x v="8"/>
    <s v="Y"/>
    <x v="1"/>
    <n v="122"/>
    <n v="61"/>
    <x v="3"/>
    <m/>
    <m/>
    <m/>
    <n v="8"/>
    <n v="16"/>
    <m/>
    <m/>
    <m/>
    <m/>
    <n v="1"/>
    <n v="48"/>
    <x v="0"/>
    <n v="32"/>
    <m/>
    <n v="64"/>
    <x v="0"/>
    <n v="1"/>
    <x v="0"/>
    <m/>
    <m/>
    <n v="30.5"/>
    <x v="1"/>
    <s v="23/05/2022"/>
    <d v="2022-05-23T00:00:00"/>
    <s v="2022002-122"/>
    <x v="3"/>
  </r>
  <r>
    <x v="78"/>
    <n v="2022002"/>
    <x v="2"/>
    <s v="Chickpea"/>
    <m/>
    <x v="4"/>
    <s v="Y"/>
    <x v="2"/>
    <n v="123"/>
    <n v="62"/>
    <x v="3"/>
    <m/>
    <m/>
    <m/>
    <n v="8"/>
    <n v="16"/>
    <m/>
    <m/>
    <m/>
    <m/>
    <n v="2"/>
    <n v="47"/>
    <x v="1"/>
    <n v="31"/>
    <m/>
    <m/>
    <x v="0"/>
    <n v="4"/>
    <x v="0"/>
    <m/>
    <m/>
    <n v="30.5"/>
    <x v="1"/>
    <s v="23/05/2022"/>
    <d v="2022-05-23T00:00:00"/>
    <s v="2022002-123"/>
    <x v="3"/>
  </r>
  <r>
    <x v="78"/>
    <n v="2022002"/>
    <x v="2"/>
    <s v="Chickpea"/>
    <m/>
    <x v="4"/>
    <s v="Y"/>
    <x v="1"/>
    <n v="124"/>
    <n v="62"/>
    <x v="3"/>
    <m/>
    <m/>
    <m/>
    <n v="8"/>
    <n v="16"/>
    <m/>
    <m/>
    <m/>
    <m/>
    <n v="2"/>
    <n v="48"/>
    <x v="1"/>
    <n v="32"/>
    <m/>
    <n v="63"/>
    <x v="0"/>
    <n v="4"/>
    <x v="0"/>
    <m/>
    <m/>
    <n v="30.5"/>
    <x v="1"/>
    <s v="23/05/2022"/>
    <d v="2022-05-23T00:00:00"/>
    <s v="2022002-124"/>
    <x v="3"/>
  </r>
  <r>
    <x v="79"/>
    <n v="2022002"/>
    <x v="2"/>
    <s v="Chickpea"/>
    <m/>
    <x v="9"/>
    <s v="N"/>
    <x v="2"/>
    <n v="125"/>
    <n v="63"/>
    <x v="3"/>
    <m/>
    <m/>
    <m/>
    <n v="8"/>
    <n v="16"/>
    <m/>
    <m/>
    <m/>
    <m/>
    <n v="3"/>
    <n v="47"/>
    <x v="2"/>
    <n v="31"/>
    <m/>
    <m/>
    <x v="0"/>
    <n v="2"/>
    <x v="0"/>
    <m/>
    <m/>
    <n v="30.5"/>
    <x v="1"/>
    <s v="23/05/2022"/>
    <d v="2022-05-23T00:00:00"/>
    <s v="2022002-125"/>
    <x v="3"/>
  </r>
  <r>
    <x v="79"/>
    <n v="2022002"/>
    <x v="2"/>
    <s v="Chickpea"/>
    <m/>
    <x v="9"/>
    <s v="N"/>
    <x v="1"/>
    <n v="126"/>
    <n v="63"/>
    <x v="3"/>
    <m/>
    <m/>
    <m/>
    <n v="8"/>
    <n v="16"/>
    <m/>
    <m/>
    <m/>
    <m/>
    <n v="3"/>
    <n v="48"/>
    <x v="2"/>
    <n v="32"/>
    <m/>
    <n v="62"/>
    <x v="0"/>
    <n v="2"/>
    <x v="0"/>
    <m/>
    <m/>
    <n v="30.5"/>
    <x v="1"/>
    <s v="23/05/2022"/>
    <d v="2022-05-23T00:00:00"/>
    <s v="2022002-126"/>
    <x v="3"/>
  </r>
  <r>
    <x v="76"/>
    <n v="2022002"/>
    <x v="2"/>
    <s v="Chickpea"/>
    <m/>
    <x v="3"/>
    <s v="N"/>
    <x v="2"/>
    <n v="127"/>
    <n v="64"/>
    <x v="3"/>
    <m/>
    <m/>
    <m/>
    <n v="8"/>
    <n v="16"/>
    <m/>
    <m/>
    <m/>
    <m/>
    <n v="4"/>
    <n v="47"/>
    <x v="3"/>
    <n v="31"/>
    <m/>
    <m/>
    <x v="0"/>
    <n v="3"/>
    <x v="0"/>
    <m/>
    <m/>
    <n v="30.5"/>
    <x v="1"/>
    <s v="23/05/2022"/>
    <d v="2022-05-23T00:00:00"/>
    <s v="2022002-127"/>
    <x v="3"/>
  </r>
  <r>
    <x v="76"/>
    <n v="2022002"/>
    <x v="2"/>
    <s v="Chickpea"/>
    <m/>
    <x v="3"/>
    <s v="N"/>
    <x v="1"/>
    <n v="128"/>
    <n v="64"/>
    <x v="3"/>
    <m/>
    <m/>
    <m/>
    <n v="8"/>
    <n v="16"/>
    <m/>
    <m/>
    <m/>
    <m/>
    <n v="4"/>
    <n v="48"/>
    <x v="3"/>
    <n v="32"/>
    <m/>
    <n v="61"/>
    <x v="0"/>
    <n v="3"/>
    <x v="0"/>
    <m/>
    <m/>
    <n v="30.5"/>
    <x v="1"/>
    <s v="23/05/2022"/>
    <d v="2022-05-23T00:00:00"/>
    <s v="2022002-128"/>
    <x v="3"/>
  </r>
  <r>
    <x v="80"/>
    <n v="2022003"/>
    <x v="3"/>
    <s v="Chickpea"/>
    <m/>
    <x v="8"/>
    <s v="Y"/>
    <x v="2"/>
    <n v="1"/>
    <n v="1"/>
    <x v="0"/>
    <m/>
    <m/>
    <m/>
    <n v="1"/>
    <m/>
    <m/>
    <m/>
    <m/>
    <m/>
    <n v="1"/>
    <n v="2"/>
    <x v="0"/>
    <n v="1"/>
    <m/>
    <m/>
    <x v="1"/>
    <n v="1"/>
    <x v="0"/>
    <m/>
    <m/>
    <n v="30"/>
    <x v="2"/>
    <s v="15/06/2022"/>
    <d v="2022-06-15T00:00:00"/>
    <s v="2022003-1"/>
    <x v="3"/>
  </r>
  <r>
    <x v="80"/>
    <n v="2022003"/>
    <x v="3"/>
    <s v="Chickpea"/>
    <m/>
    <x v="8"/>
    <s v="Y"/>
    <x v="1"/>
    <n v="2"/>
    <n v="1"/>
    <x v="0"/>
    <m/>
    <m/>
    <m/>
    <n v="1"/>
    <m/>
    <m/>
    <m/>
    <m/>
    <m/>
    <n v="1"/>
    <n v="3"/>
    <x v="0"/>
    <n v="2"/>
    <m/>
    <n v="1"/>
    <x v="1"/>
    <n v="1"/>
    <x v="0"/>
    <m/>
    <m/>
    <n v="30"/>
    <x v="2"/>
    <s v="15/06/2022"/>
    <d v="2022-06-15T00:00:00"/>
    <s v="2022003-2"/>
    <x v="3"/>
  </r>
  <r>
    <x v="81"/>
    <n v="2022003"/>
    <x v="3"/>
    <s v="Chickpea"/>
    <m/>
    <x v="9"/>
    <s v="N"/>
    <x v="2"/>
    <n v="3"/>
    <n v="2"/>
    <x v="0"/>
    <m/>
    <m/>
    <m/>
    <n v="1"/>
    <m/>
    <m/>
    <m/>
    <m/>
    <m/>
    <n v="2"/>
    <n v="2"/>
    <x v="1"/>
    <n v="1"/>
    <m/>
    <m/>
    <x v="1"/>
    <n v="2"/>
    <x v="0"/>
    <m/>
    <m/>
    <n v="30"/>
    <x v="2"/>
    <s v="15/06/2022"/>
    <d v="2022-06-15T00:00:00"/>
    <s v="2022003-3"/>
    <x v="3"/>
  </r>
  <r>
    <x v="81"/>
    <n v="2022003"/>
    <x v="3"/>
    <s v="Chickpea"/>
    <m/>
    <x v="9"/>
    <s v="N"/>
    <x v="1"/>
    <n v="4"/>
    <n v="2"/>
    <x v="0"/>
    <m/>
    <m/>
    <m/>
    <n v="1"/>
    <m/>
    <m/>
    <m/>
    <m/>
    <m/>
    <n v="2"/>
    <n v="3"/>
    <x v="1"/>
    <n v="2"/>
    <m/>
    <n v="2"/>
    <x v="1"/>
    <n v="2"/>
    <x v="0"/>
    <m/>
    <m/>
    <n v="30"/>
    <x v="2"/>
    <s v="15/06/2022"/>
    <d v="2022-06-15T00:00:00"/>
    <s v="2022003-4"/>
    <x v="3"/>
  </r>
  <r>
    <x v="82"/>
    <n v="2022003"/>
    <x v="3"/>
    <s v="Chickpea"/>
    <m/>
    <x v="4"/>
    <s v="Y"/>
    <x v="2"/>
    <n v="5"/>
    <n v="3"/>
    <x v="0"/>
    <m/>
    <m/>
    <m/>
    <n v="1"/>
    <m/>
    <m/>
    <m/>
    <m/>
    <m/>
    <n v="3"/>
    <n v="2"/>
    <x v="2"/>
    <n v="1"/>
    <m/>
    <m/>
    <x v="1"/>
    <n v="4"/>
    <x v="0"/>
    <m/>
    <m/>
    <n v="30"/>
    <x v="2"/>
    <s v="15/06/2022"/>
    <d v="2022-06-15T00:00:00"/>
    <s v="2022003-5"/>
    <x v="3"/>
  </r>
  <r>
    <x v="82"/>
    <n v="2022003"/>
    <x v="3"/>
    <s v="Chickpea"/>
    <m/>
    <x v="4"/>
    <s v="Y"/>
    <x v="1"/>
    <n v="6"/>
    <n v="3"/>
    <x v="0"/>
    <m/>
    <m/>
    <m/>
    <n v="1"/>
    <m/>
    <m/>
    <m/>
    <m/>
    <m/>
    <n v="3"/>
    <n v="3"/>
    <x v="2"/>
    <n v="2"/>
    <m/>
    <n v="3"/>
    <x v="1"/>
    <n v="4"/>
    <x v="0"/>
    <m/>
    <m/>
    <n v="30"/>
    <x v="2"/>
    <s v="15/06/2022"/>
    <d v="2022-06-15T00:00:00"/>
    <s v="2022003-6"/>
    <x v="3"/>
  </r>
  <r>
    <x v="83"/>
    <n v="2022003"/>
    <x v="3"/>
    <s v="Chickpea"/>
    <m/>
    <x v="3"/>
    <s v="N"/>
    <x v="2"/>
    <n v="7"/>
    <n v="4"/>
    <x v="0"/>
    <m/>
    <m/>
    <m/>
    <n v="1"/>
    <m/>
    <m/>
    <m/>
    <m/>
    <m/>
    <n v="4"/>
    <n v="2"/>
    <x v="3"/>
    <n v="1"/>
    <m/>
    <m/>
    <x v="1"/>
    <n v="3"/>
    <x v="0"/>
    <m/>
    <m/>
    <n v="30"/>
    <x v="2"/>
    <s v="15/06/2022"/>
    <d v="2022-06-15T00:00:00"/>
    <s v="2022003-7"/>
    <x v="3"/>
  </r>
  <r>
    <x v="83"/>
    <n v="2022003"/>
    <x v="3"/>
    <s v="Chickpea"/>
    <m/>
    <x v="3"/>
    <s v="N"/>
    <x v="1"/>
    <n v="8"/>
    <n v="4"/>
    <x v="0"/>
    <m/>
    <m/>
    <m/>
    <n v="1"/>
    <m/>
    <m/>
    <m/>
    <m/>
    <m/>
    <n v="4"/>
    <n v="3"/>
    <x v="3"/>
    <n v="2"/>
    <m/>
    <n v="4"/>
    <x v="1"/>
    <n v="3"/>
    <x v="0"/>
    <m/>
    <m/>
    <n v="30"/>
    <x v="2"/>
    <s v="15/06/2022"/>
    <d v="2022-06-15T00:00:00"/>
    <s v="2022003-8"/>
    <x v="3"/>
  </r>
  <r>
    <x v="84"/>
    <n v="2022003"/>
    <x v="3"/>
    <s v="Chickpea"/>
    <m/>
    <x v="3"/>
    <s v="N"/>
    <x v="2"/>
    <n v="9"/>
    <n v="5"/>
    <x v="0"/>
    <m/>
    <m/>
    <m/>
    <n v="2"/>
    <m/>
    <m/>
    <m/>
    <m/>
    <m/>
    <n v="1"/>
    <n v="6"/>
    <x v="0"/>
    <n v="3"/>
    <m/>
    <m/>
    <x v="1"/>
    <n v="3"/>
    <x v="0"/>
    <m/>
    <m/>
    <n v="30"/>
    <x v="1"/>
    <s v="11/05/2022"/>
    <d v="2022-05-11T00:00:00"/>
    <s v="2022003-9"/>
    <x v="3"/>
  </r>
  <r>
    <x v="84"/>
    <n v="2022003"/>
    <x v="3"/>
    <s v="Chickpea"/>
    <m/>
    <x v="3"/>
    <s v="N"/>
    <x v="1"/>
    <n v="10"/>
    <n v="5"/>
    <x v="0"/>
    <m/>
    <m/>
    <m/>
    <n v="2"/>
    <m/>
    <m/>
    <m/>
    <m/>
    <m/>
    <n v="1"/>
    <n v="7"/>
    <x v="0"/>
    <n v="4"/>
    <m/>
    <n v="16"/>
    <x v="1"/>
    <n v="3"/>
    <x v="0"/>
    <m/>
    <m/>
    <n v="30"/>
    <x v="1"/>
    <s v="11/05/2022"/>
    <d v="2022-05-11T00:00:00"/>
    <s v="2022003-10"/>
    <x v="3"/>
  </r>
  <r>
    <x v="85"/>
    <n v="2022003"/>
    <x v="3"/>
    <s v="Chickpea"/>
    <m/>
    <x v="4"/>
    <s v="Y"/>
    <x v="2"/>
    <n v="11"/>
    <n v="6"/>
    <x v="0"/>
    <m/>
    <m/>
    <m/>
    <n v="2"/>
    <m/>
    <m/>
    <m/>
    <m/>
    <m/>
    <n v="2"/>
    <n v="6"/>
    <x v="1"/>
    <n v="3"/>
    <m/>
    <m/>
    <x v="1"/>
    <n v="4"/>
    <x v="0"/>
    <m/>
    <m/>
    <n v="30"/>
    <x v="1"/>
    <s v="11/05/2022"/>
    <d v="2022-05-11T00:00:00"/>
    <s v="2022003-11"/>
    <x v="3"/>
  </r>
  <r>
    <x v="85"/>
    <n v="2022003"/>
    <x v="3"/>
    <s v="Chickpea"/>
    <m/>
    <x v="4"/>
    <s v="Y"/>
    <x v="1"/>
    <n v="12"/>
    <n v="6"/>
    <x v="0"/>
    <m/>
    <m/>
    <m/>
    <n v="2"/>
    <m/>
    <m/>
    <m/>
    <m/>
    <m/>
    <n v="2"/>
    <n v="7"/>
    <x v="1"/>
    <n v="4"/>
    <m/>
    <n v="15"/>
    <x v="1"/>
    <n v="4"/>
    <x v="0"/>
    <m/>
    <m/>
    <n v="30"/>
    <x v="1"/>
    <s v="11/05/2022"/>
    <d v="2022-05-11T00:00:00"/>
    <s v="2022003-12"/>
    <x v="3"/>
  </r>
  <r>
    <x v="86"/>
    <n v="2022003"/>
    <x v="3"/>
    <s v="Chickpea"/>
    <m/>
    <x v="8"/>
    <s v="Y"/>
    <x v="2"/>
    <n v="13"/>
    <n v="7"/>
    <x v="0"/>
    <m/>
    <m/>
    <m/>
    <n v="2"/>
    <m/>
    <m/>
    <m/>
    <m/>
    <m/>
    <n v="3"/>
    <n v="6"/>
    <x v="2"/>
    <n v="3"/>
    <m/>
    <m/>
    <x v="1"/>
    <n v="1"/>
    <x v="0"/>
    <m/>
    <m/>
    <n v="30"/>
    <x v="1"/>
    <s v="11/05/2022"/>
    <d v="2022-05-11T00:00:00"/>
    <s v="2022003-13"/>
    <x v="3"/>
  </r>
  <r>
    <x v="86"/>
    <n v="2022003"/>
    <x v="3"/>
    <s v="Chickpea"/>
    <m/>
    <x v="8"/>
    <s v="Y"/>
    <x v="1"/>
    <n v="14"/>
    <n v="7"/>
    <x v="0"/>
    <m/>
    <m/>
    <m/>
    <n v="2"/>
    <m/>
    <m/>
    <m/>
    <m/>
    <m/>
    <n v="3"/>
    <n v="7"/>
    <x v="2"/>
    <n v="4"/>
    <m/>
    <n v="14"/>
    <x v="1"/>
    <n v="1"/>
    <x v="0"/>
    <m/>
    <m/>
    <n v="30"/>
    <x v="1"/>
    <s v="11/05/2022"/>
    <d v="2022-05-11T00:00:00"/>
    <s v="2022003-14"/>
    <x v="3"/>
  </r>
  <r>
    <x v="87"/>
    <n v="2022003"/>
    <x v="3"/>
    <s v="Chickpea"/>
    <m/>
    <x v="9"/>
    <s v="N"/>
    <x v="2"/>
    <n v="15"/>
    <n v="8"/>
    <x v="0"/>
    <m/>
    <m/>
    <m/>
    <n v="2"/>
    <m/>
    <m/>
    <m/>
    <m/>
    <m/>
    <n v="4"/>
    <n v="6"/>
    <x v="3"/>
    <n v="3"/>
    <m/>
    <m/>
    <x v="1"/>
    <n v="2"/>
    <x v="0"/>
    <m/>
    <m/>
    <n v="30"/>
    <x v="1"/>
    <s v="11/05/2022"/>
    <d v="2022-05-11T00:00:00"/>
    <s v="2022003-15"/>
    <x v="3"/>
  </r>
  <r>
    <x v="87"/>
    <n v="2022003"/>
    <x v="3"/>
    <s v="Chickpea"/>
    <m/>
    <x v="9"/>
    <s v="N"/>
    <x v="1"/>
    <n v="16"/>
    <n v="8"/>
    <x v="0"/>
    <m/>
    <m/>
    <m/>
    <n v="2"/>
    <m/>
    <m/>
    <m/>
    <m/>
    <m/>
    <n v="4"/>
    <n v="7"/>
    <x v="3"/>
    <n v="4"/>
    <m/>
    <n v="13"/>
    <x v="1"/>
    <n v="2"/>
    <x v="0"/>
    <m/>
    <m/>
    <n v="30"/>
    <x v="1"/>
    <s v="11/05/2022"/>
    <d v="2022-05-11T00:00:00"/>
    <s v="2022003-16"/>
    <x v="3"/>
  </r>
  <r>
    <x v="85"/>
    <n v="2022003"/>
    <x v="3"/>
    <s v="Chickpea"/>
    <m/>
    <x v="4"/>
    <s v="Y"/>
    <x v="2"/>
    <n v="17"/>
    <n v="9"/>
    <x v="1"/>
    <m/>
    <m/>
    <m/>
    <n v="3"/>
    <m/>
    <m/>
    <m/>
    <m/>
    <m/>
    <n v="1"/>
    <n v="10"/>
    <x v="0"/>
    <n v="5"/>
    <m/>
    <m/>
    <x v="1"/>
    <n v="4"/>
    <x v="0"/>
    <m/>
    <m/>
    <n v="30"/>
    <x v="1"/>
    <s v="11/05/2022"/>
    <d v="2022-05-11T00:00:00"/>
    <s v="2022003-17"/>
    <x v="3"/>
  </r>
  <r>
    <x v="85"/>
    <n v="2022003"/>
    <x v="3"/>
    <s v="Chickpea"/>
    <m/>
    <x v="4"/>
    <s v="Y"/>
    <x v="1"/>
    <n v="18"/>
    <n v="9"/>
    <x v="1"/>
    <m/>
    <m/>
    <m/>
    <n v="3"/>
    <m/>
    <m/>
    <m/>
    <m/>
    <m/>
    <n v="1"/>
    <n v="11"/>
    <x v="0"/>
    <n v="6"/>
    <m/>
    <n v="17"/>
    <x v="1"/>
    <n v="4"/>
    <x v="0"/>
    <m/>
    <m/>
    <n v="30"/>
    <x v="1"/>
    <s v="11/05/2022"/>
    <d v="2022-05-11T00:00:00"/>
    <s v="2022003-18"/>
    <x v="3"/>
  </r>
  <r>
    <x v="87"/>
    <n v="2022003"/>
    <x v="3"/>
    <s v="Chickpea"/>
    <m/>
    <x v="9"/>
    <s v="N"/>
    <x v="2"/>
    <n v="19"/>
    <n v="10"/>
    <x v="1"/>
    <m/>
    <m/>
    <m/>
    <n v="3"/>
    <m/>
    <m/>
    <m/>
    <m/>
    <m/>
    <n v="2"/>
    <n v="10"/>
    <x v="1"/>
    <n v="5"/>
    <m/>
    <m/>
    <x v="1"/>
    <n v="2"/>
    <x v="0"/>
    <m/>
    <m/>
    <n v="30"/>
    <x v="1"/>
    <s v="11/05/2022"/>
    <d v="2022-05-11T00:00:00"/>
    <s v="2022003-19"/>
    <x v="3"/>
  </r>
  <r>
    <x v="87"/>
    <n v="2022003"/>
    <x v="3"/>
    <s v="Chickpea"/>
    <m/>
    <x v="9"/>
    <s v="N"/>
    <x v="1"/>
    <n v="20"/>
    <n v="10"/>
    <x v="1"/>
    <m/>
    <m/>
    <m/>
    <n v="3"/>
    <m/>
    <m/>
    <m/>
    <m/>
    <m/>
    <n v="2"/>
    <n v="11"/>
    <x v="1"/>
    <n v="6"/>
    <m/>
    <n v="18"/>
    <x v="1"/>
    <n v="2"/>
    <x v="0"/>
    <m/>
    <m/>
    <n v="30"/>
    <x v="1"/>
    <s v="11/05/2022"/>
    <d v="2022-05-11T00:00:00"/>
    <s v="2022003-20"/>
    <x v="3"/>
  </r>
  <r>
    <x v="84"/>
    <n v="2022003"/>
    <x v="3"/>
    <s v="Chickpea"/>
    <m/>
    <x v="3"/>
    <s v="N"/>
    <x v="2"/>
    <n v="21"/>
    <n v="11"/>
    <x v="1"/>
    <m/>
    <m/>
    <m/>
    <n v="3"/>
    <m/>
    <m/>
    <m/>
    <m/>
    <m/>
    <n v="3"/>
    <n v="10"/>
    <x v="2"/>
    <n v="5"/>
    <m/>
    <m/>
    <x v="1"/>
    <n v="3"/>
    <x v="0"/>
    <m/>
    <m/>
    <n v="30"/>
    <x v="1"/>
    <s v="11/05/2022"/>
    <d v="2022-05-11T00:00:00"/>
    <s v="2022003-21"/>
    <x v="3"/>
  </r>
  <r>
    <x v="84"/>
    <n v="2022003"/>
    <x v="3"/>
    <s v="Chickpea"/>
    <m/>
    <x v="3"/>
    <s v="N"/>
    <x v="1"/>
    <n v="22"/>
    <n v="11"/>
    <x v="1"/>
    <m/>
    <m/>
    <m/>
    <n v="3"/>
    <m/>
    <m/>
    <m/>
    <m/>
    <m/>
    <n v="3"/>
    <n v="11"/>
    <x v="2"/>
    <n v="6"/>
    <m/>
    <n v="19"/>
    <x v="1"/>
    <n v="3"/>
    <x v="0"/>
    <m/>
    <m/>
    <n v="30"/>
    <x v="1"/>
    <s v="11/05/2022"/>
    <d v="2022-05-11T00:00:00"/>
    <s v="2022003-22"/>
    <x v="3"/>
  </r>
  <r>
    <x v="86"/>
    <n v="2022003"/>
    <x v="3"/>
    <s v="Chickpea"/>
    <m/>
    <x v="8"/>
    <s v="Y"/>
    <x v="2"/>
    <n v="23"/>
    <n v="12"/>
    <x v="1"/>
    <m/>
    <m/>
    <m/>
    <n v="3"/>
    <m/>
    <m/>
    <m/>
    <m/>
    <m/>
    <n v="4"/>
    <n v="10"/>
    <x v="3"/>
    <n v="5"/>
    <m/>
    <m/>
    <x v="1"/>
    <n v="1"/>
    <x v="0"/>
    <m/>
    <m/>
    <n v="30"/>
    <x v="1"/>
    <s v="11/05/2022"/>
    <d v="2022-05-11T00:00:00"/>
    <s v="2022003-23"/>
    <x v="3"/>
  </r>
  <r>
    <x v="86"/>
    <n v="2022003"/>
    <x v="3"/>
    <s v="Chickpea"/>
    <m/>
    <x v="8"/>
    <s v="Y"/>
    <x v="1"/>
    <n v="24"/>
    <n v="12"/>
    <x v="1"/>
    <m/>
    <m/>
    <m/>
    <n v="3"/>
    <m/>
    <m/>
    <m/>
    <m/>
    <m/>
    <n v="4"/>
    <n v="11"/>
    <x v="3"/>
    <n v="6"/>
    <m/>
    <n v="20"/>
    <x v="1"/>
    <n v="1"/>
    <x v="0"/>
    <m/>
    <m/>
    <n v="30"/>
    <x v="1"/>
    <s v="11/05/2022"/>
    <d v="2022-05-11T00:00:00"/>
    <s v="2022003-24"/>
    <x v="3"/>
  </r>
  <r>
    <x v="81"/>
    <n v="2022003"/>
    <x v="3"/>
    <s v="Chickpea"/>
    <m/>
    <x v="9"/>
    <s v="N"/>
    <x v="2"/>
    <n v="25"/>
    <n v="13"/>
    <x v="1"/>
    <m/>
    <m/>
    <m/>
    <n v="4"/>
    <m/>
    <m/>
    <m/>
    <m/>
    <m/>
    <n v="1"/>
    <n v="14"/>
    <x v="0"/>
    <n v="7"/>
    <m/>
    <m/>
    <x v="1"/>
    <n v="2"/>
    <x v="0"/>
    <m/>
    <m/>
    <n v="30"/>
    <x v="2"/>
    <s v="15/06/2022"/>
    <d v="2022-06-15T00:00:00"/>
    <s v="2022003-25"/>
    <x v="3"/>
  </r>
  <r>
    <x v="81"/>
    <n v="2022003"/>
    <x v="3"/>
    <s v="Chickpea"/>
    <m/>
    <x v="9"/>
    <s v="N"/>
    <x v="1"/>
    <n v="26"/>
    <n v="13"/>
    <x v="1"/>
    <m/>
    <m/>
    <m/>
    <n v="4"/>
    <m/>
    <m/>
    <m/>
    <m/>
    <m/>
    <n v="1"/>
    <n v="15"/>
    <x v="0"/>
    <n v="8"/>
    <m/>
    <n v="32"/>
    <x v="1"/>
    <n v="2"/>
    <x v="0"/>
    <m/>
    <m/>
    <n v="30"/>
    <x v="2"/>
    <s v="15/06/2022"/>
    <d v="2022-06-15T00:00:00"/>
    <s v="2022003-26"/>
    <x v="3"/>
  </r>
  <r>
    <x v="83"/>
    <n v="2022003"/>
    <x v="3"/>
    <s v="Chickpea"/>
    <m/>
    <x v="3"/>
    <s v="N"/>
    <x v="2"/>
    <n v="27"/>
    <n v="14"/>
    <x v="1"/>
    <m/>
    <m/>
    <m/>
    <n v="4"/>
    <m/>
    <m/>
    <m/>
    <m/>
    <m/>
    <n v="2"/>
    <n v="14"/>
    <x v="1"/>
    <n v="7"/>
    <m/>
    <m/>
    <x v="1"/>
    <n v="3"/>
    <x v="0"/>
    <m/>
    <m/>
    <n v="30"/>
    <x v="2"/>
    <s v="15/06/2022"/>
    <d v="2022-06-15T00:00:00"/>
    <s v="2022003-27"/>
    <x v="3"/>
  </r>
  <r>
    <x v="83"/>
    <n v="2022003"/>
    <x v="3"/>
    <s v="Chickpea"/>
    <m/>
    <x v="3"/>
    <s v="N"/>
    <x v="1"/>
    <n v="28"/>
    <n v="14"/>
    <x v="1"/>
    <m/>
    <m/>
    <m/>
    <n v="4"/>
    <m/>
    <m/>
    <m/>
    <m/>
    <m/>
    <n v="2"/>
    <n v="15"/>
    <x v="1"/>
    <n v="8"/>
    <m/>
    <n v="31"/>
    <x v="1"/>
    <n v="3"/>
    <x v="0"/>
    <m/>
    <m/>
    <n v="30"/>
    <x v="2"/>
    <s v="15/06/2022"/>
    <d v="2022-06-15T00:00:00"/>
    <s v="2022003-28"/>
    <x v="3"/>
  </r>
  <r>
    <x v="80"/>
    <n v="2022003"/>
    <x v="3"/>
    <s v="Chickpea"/>
    <m/>
    <x v="8"/>
    <s v="Y"/>
    <x v="2"/>
    <n v="29"/>
    <n v="15"/>
    <x v="1"/>
    <m/>
    <m/>
    <m/>
    <n v="4"/>
    <m/>
    <m/>
    <m/>
    <m/>
    <m/>
    <n v="3"/>
    <n v="14"/>
    <x v="2"/>
    <n v="7"/>
    <m/>
    <m/>
    <x v="1"/>
    <n v="1"/>
    <x v="0"/>
    <m/>
    <m/>
    <n v="30"/>
    <x v="2"/>
    <s v="15/06/2022"/>
    <d v="2022-06-15T00:00:00"/>
    <s v="2022003-29"/>
    <x v="3"/>
  </r>
  <r>
    <x v="80"/>
    <n v="2022003"/>
    <x v="3"/>
    <s v="Chickpea"/>
    <m/>
    <x v="8"/>
    <s v="Y"/>
    <x v="1"/>
    <n v="30"/>
    <n v="15"/>
    <x v="1"/>
    <m/>
    <m/>
    <m/>
    <n v="4"/>
    <m/>
    <m/>
    <m/>
    <m/>
    <m/>
    <n v="3"/>
    <n v="15"/>
    <x v="2"/>
    <n v="8"/>
    <m/>
    <n v="30"/>
    <x v="1"/>
    <n v="1"/>
    <x v="0"/>
    <m/>
    <m/>
    <n v="30"/>
    <x v="2"/>
    <s v="15/06/2022"/>
    <d v="2022-06-15T00:00:00"/>
    <s v="2022003-30"/>
    <x v="3"/>
  </r>
  <r>
    <x v="82"/>
    <n v="2022003"/>
    <x v="3"/>
    <s v="Chickpea"/>
    <m/>
    <x v="4"/>
    <s v="Y"/>
    <x v="2"/>
    <n v="31"/>
    <n v="16"/>
    <x v="1"/>
    <m/>
    <m/>
    <m/>
    <n v="4"/>
    <m/>
    <m/>
    <m/>
    <m/>
    <m/>
    <n v="4"/>
    <n v="14"/>
    <x v="3"/>
    <n v="7"/>
    <m/>
    <m/>
    <x v="1"/>
    <n v="4"/>
    <x v="0"/>
    <m/>
    <m/>
    <n v="30"/>
    <x v="2"/>
    <s v="15/06/2022"/>
    <d v="2022-06-15T00:00:00"/>
    <s v="2022003-31"/>
    <x v="3"/>
  </r>
  <r>
    <x v="82"/>
    <n v="2022003"/>
    <x v="3"/>
    <s v="Chickpea"/>
    <m/>
    <x v="4"/>
    <s v="Y"/>
    <x v="1"/>
    <n v="32"/>
    <n v="16"/>
    <x v="1"/>
    <m/>
    <m/>
    <m/>
    <n v="4"/>
    <m/>
    <m/>
    <m/>
    <m/>
    <m/>
    <n v="4"/>
    <n v="15"/>
    <x v="3"/>
    <n v="8"/>
    <m/>
    <n v="29"/>
    <x v="1"/>
    <n v="4"/>
    <x v="0"/>
    <m/>
    <m/>
    <n v="30"/>
    <x v="2"/>
    <s v="15/06/2022"/>
    <d v="2022-06-15T00:00:00"/>
    <s v="2022003-32"/>
    <x v="3"/>
  </r>
  <r>
    <x v="87"/>
    <n v="2022003"/>
    <x v="3"/>
    <s v="Chickpea"/>
    <m/>
    <x v="9"/>
    <s v="N"/>
    <x v="2"/>
    <n v="33"/>
    <n v="17"/>
    <x v="2"/>
    <m/>
    <m/>
    <m/>
    <n v="5"/>
    <m/>
    <m/>
    <m/>
    <m/>
    <m/>
    <n v="1"/>
    <n v="18"/>
    <x v="0"/>
    <n v="9"/>
    <m/>
    <m/>
    <x v="1"/>
    <n v="2"/>
    <x v="0"/>
    <m/>
    <m/>
    <n v="30"/>
    <x v="1"/>
    <s v="11/05/2022"/>
    <d v="2022-05-11T00:00:00"/>
    <s v="2022003-33"/>
    <x v="3"/>
  </r>
  <r>
    <x v="87"/>
    <n v="2022003"/>
    <x v="3"/>
    <s v="Chickpea"/>
    <m/>
    <x v="9"/>
    <s v="N"/>
    <x v="1"/>
    <n v="34"/>
    <n v="17"/>
    <x v="2"/>
    <m/>
    <m/>
    <m/>
    <n v="5"/>
    <m/>
    <m/>
    <m/>
    <m/>
    <m/>
    <n v="1"/>
    <n v="19"/>
    <x v="0"/>
    <n v="10"/>
    <m/>
    <n v="33"/>
    <x v="1"/>
    <n v="2"/>
    <x v="0"/>
    <m/>
    <m/>
    <n v="30"/>
    <x v="1"/>
    <s v="11/05/2022"/>
    <d v="2022-05-11T00:00:00"/>
    <s v="2022003-34"/>
    <x v="3"/>
  </r>
  <r>
    <x v="86"/>
    <n v="2022003"/>
    <x v="3"/>
    <s v="Chickpea"/>
    <m/>
    <x v="8"/>
    <s v="Y"/>
    <x v="2"/>
    <n v="35"/>
    <n v="18"/>
    <x v="2"/>
    <m/>
    <m/>
    <m/>
    <n v="5"/>
    <m/>
    <m/>
    <m/>
    <m/>
    <m/>
    <n v="2"/>
    <n v="18"/>
    <x v="1"/>
    <n v="9"/>
    <m/>
    <m/>
    <x v="1"/>
    <n v="1"/>
    <x v="0"/>
    <m/>
    <m/>
    <n v="30"/>
    <x v="1"/>
    <s v="11/05/2022"/>
    <d v="2022-05-11T00:00:00"/>
    <s v="2022003-35"/>
    <x v="3"/>
  </r>
  <r>
    <x v="86"/>
    <n v="2022003"/>
    <x v="3"/>
    <s v="Chickpea"/>
    <m/>
    <x v="8"/>
    <s v="Y"/>
    <x v="1"/>
    <n v="36"/>
    <n v="18"/>
    <x v="2"/>
    <m/>
    <m/>
    <m/>
    <n v="5"/>
    <m/>
    <m/>
    <m/>
    <m/>
    <m/>
    <n v="2"/>
    <n v="19"/>
    <x v="1"/>
    <n v="10"/>
    <m/>
    <n v="34"/>
    <x v="1"/>
    <n v="1"/>
    <x v="0"/>
    <m/>
    <m/>
    <n v="30"/>
    <x v="1"/>
    <s v="11/05/2022"/>
    <d v="2022-05-11T00:00:00"/>
    <s v="2022003-36"/>
    <x v="3"/>
  </r>
  <r>
    <x v="85"/>
    <n v="2022003"/>
    <x v="3"/>
    <s v="Chickpea"/>
    <m/>
    <x v="4"/>
    <s v="Y"/>
    <x v="2"/>
    <n v="37"/>
    <n v="19"/>
    <x v="2"/>
    <m/>
    <m/>
    <m/>
    <n v="5"/>
    <m/>
    <m/>
    <m/>
    <m/>
    <m/>
    <n v="3"/>
    <n v="18"/>
    <x v="2"/>
    <n v="9"/>
    <m/>
    <m/>
    <x v="1"/>
    <n v="4"/>
    <x v="0"/>
    <m/>
    <m/>
    <n v="30"/>
    <x v="1"/>
    <s v="11/05/2022"/>
    <d v="2022-05-11T00:00:00"/>
    <s v="2022003-37"/>
    <x v="3"/>
  </r>
  <r>
    <x v="85"/>
    <n v="2022003"/>
    <x v="3"/>
    <s v="Chickpea"/>
    <m/>
    <x v="4"/>
    <s v="Y"/>
    <x v="1"/>
    <n v="38"/>
    <n v="19"/>
    <x v="2"/>
    <m/>
    <m/>
    <m/>
    <n v="5"/>
    <m/>
    <m/>
    <m/>
    <m/>
    <m/>
    <n v="3"/>
    <n v="19"/>
    <x v="2"/>
    <n v="10"/>
    <m/>
    <n v="35"/>
    <x v="1"/>
    <n v="4"/>
    <x v="0"/>
    <m/>
    <m/>
    <n v="30"/>
    <x v="1"/>
    <s v="11/05/2022"/>
    <d v="2022-05-11T00:00:00"/>
    <s v="2022003-38"/>
    <x v="3"/>
  </r>
  <r>
    <x v="84"/>
    <n v="2022003"/>
    <x v="3"/>
    <s v="Chickpea"/>
    <m/>
    <x v="3"/>
    <s v="N"/>
    <x v="2"/>
    <n v="39"/>
    <n v="20"/>
    <x v="2"/>
    <m/>
    <m/>
    <m/>
    <n v="5"/>
    <m/>
    <m/>
    <m/>
    <m/>
    <m/>
    <n v="4"/>
    <n v="18"/>
    <x v="3"/>
    <n v="9"/>
    <m/>
    <m/>
    <x v="1"/>
    <n v="3"/>
    <x v="0"/>
    <m/>
    <m/>
    <n v="30"/>
    <x v="1"/>
    <s v="11/05/2022"/>
    <d v="2022-05-11T00:00:00"/>
    <s v="2022003-39"/>
    <x v="3"/>
  </r>
  <r>
    <x v="84"/>
    <n v="2022003"/>
    <x v="3"/>
    <s v="Chickpea"/>
    <m/>
    <x v="3"/>
    <s v="N"/>
    <x v="1"/>
    <n v="40"/>
    <n v="20"/>
    <x v="2"/>
    <m/>
    <m/>
    <m/>
    <n v="5"/>
    <m/>
    <m/>
    <m/>
    <m/>
    <m/>
    <n v="4"/>
    <n v="19"/>
    <x v="3"/>
    <n v="10"/>
    <m/>
    <n v="36"/>
    <x v="1"/>
    <n v="3"/>
    <x v="0"/>
    <m/>
    <m/>
    <n v="30"/>
    <x v="1"/>
    <s v="11/05/2022"/>
    <d v="2022-05-11T00:00:00"/>
    <s v="2022003-40"/>
    <x v="3"/>
  </r>
  <r>
    <x v="83"/>
    <n v="2022003"/>
    <x v="3"/>
    <s v="Chickpea"/>
    <m/>
    <x v="3"/>
    <s v="N"/>
    <x v="2"/>
    <n v="41"/>
    <n v="21"/>
    <x v="2"/>
    <m/>
    <m/>
    <m/>
    <n v="6"/>
    <m/>
    <m/>
    <m/>
    <m/>
    <m/>
    <n v="1"/>
    <n v="22"/>
    <x v="0"/>
    <n v="11"/>
    <m/>
    <m/>
    <x v="1"/>
    <n v="3"/>
    <x v="0"/>
    <m/>
    <m/>
    <n v="30"/>
    <x v="2"/>
    <s v="15/06/2022"/>
    <d v="2022-06-15T00:00:00"/>
    <s v="2022003-41"/>
    <x v="3"/>
  </r>
  <r>
    <x v="83"/>
    <n v="2022003"/>
    <x v="3"/>
    <s v="Chickpea"/>
    <m/>
    <x v="3"/>
    <s v="N"/>
    <x v="1"/>
    <n v="42"/>
    <n v="21"/>
    <x v="2"/>
    <m/>
    <m/>
    <m/>
    <n v="6"/>
    <m/>
    <m/>
    <m/>
    <m/>
    <m/>
    <n v="1"/>
    <n v="23"/>
    <x v="0"/>
    <n v="12"/>
    <m/>
    <n v="48"/>
    <x v="1"/>
    <n v="3"/>
    <x v="0"/>
    <m/>
    <m/>
    <n v="30"/>
    <x v="2"/>
    <s v="15/06/2022"/>
    <d v="2022-06-15T00:00:00"/>
    <s v="2022003-42"/>
    <x v="3"/>
  </r>
  <r>
    <x v="82"/>
    <n v="2022003"/>
    <x v="3"/>
    <s v="Chickpea"/>
    <m/>
    <x v="4"/>
    <s v="Y"/>
    <x v="2"/>
    <n v="43"/>
    <n v="22"/>
    <x v="2"/>
    <m/>
    <m/>
    <m/>
    <n v="6"/>
    <m/>
    <m/>
    <m/>
    <m/>
    <m/>
    <n v="2"/>
    <n v="22"/>
    <x v="1"/>
    <n v="11"/>
    <m/>
    <m/>
    <x v="1"/>
    <n v="4"/>
    <x v="0"/>
    <m/>
    <m/>
    <n v="30"/>
    <x v="2"/>
    <s v="15/06/2022"/>
    <d v="2022-06-15T00:00:00"/>
    <s v="2022003-43"/>
    <x v="3"/>
  </r>
  <r>
    <x v="82"/>
    <n v="2022003"/>
    <x v="3"/>
    <s v="Chickpea"/>
    <m/>
    <x v="4"/>
    <s v="Y"/>
    <x v="1"/>
    <n v="44"/>
    <n v="22"/>
    <x v="2"/>
    <m/>
    <m/>
    <m/>
    <n v="6"/>
    <m/>
    <m/>
    <m/>
    <m/>
    <m/>
    <n v="2"/>
    <n v="23"/>
    <x v="1"/>
    <n v="12"/>
    <m/>
    <n v="47"/>
    <x v="1"/>
    <n v="4"/>
    <x v="0"/>
    <m/>
    <m/>
    <n v="30"/>
    <x v="2"/>
    <s v="15/06/2022"/>
    <d v="2022-06-15T00:00:00"/>
    <s v="2022003-44"/>
    <x v="3"/>
  </r>
  <r>
    <x v="81"/>
    <n v="2022003"/>
    <x v="3"/>
    <s v="Chickpea"/>
    <m/>
    <x v="9"/>
    <s v="N"/>
    <x v="2"/>
    <n v="45"/>
    <n v="23"/>
    <x v="2"/>
    <m/>
    <m/>
    <m/>
    <n v="6"/>
    <m/>
    <m/>
    <m/>
    <m/>
    <m/>
    <n v="3"/>
    <n v="22"/>
    <x v="2"/>
    <n v="11"/>
    <m/>
    <m/>
    <x v="1"/>
    <n v="2"/>
    <x v="0"/>
    <m/>
    <m/>
    <n v="30"/>
    <x v="2"/>
    <s v="15/06/2022"/>
    <d v="2022-06-15T00:00:00"/>
    <s v="2022003-45"/>
    <x v="3"/>
  </r>
  <r>
    <x v="81"/>
    <n v="2022003"/>
    <x v="3"/>
    <s v="Chickpea"/>
    <m/>
    <x v="9"/>
    <s v="N"/>
    <x v="1"/>
    <n v="46"/>
    <n v="23"/>
    <x v="2"/>
    <m/>
    <m/>
    <m/>
    <n v="6"/>
    <m/>
    <m/>
    <m/>
    <m/>
    <m/>
    <n v="3"/>
    <n v="23"/>
    <x v="2"/>
    <n v="12"/>
    <m/>
    <n v="46"/>
    <x v="1"/>
    <n v="2"/>
    <x v="0"/>
    <m/>
    <m/>
    <n v="30"/>
    <x v="2"/>
    <s v="15/06/2022"/>
    <d v="2022-06-15T00:00:00"/>
    <s v="2022003-46"/>
    <x v="3"/>
  </r>
  <r>
    <x v="80"/>
    <n v="2022003"/>
    <x v="3"/>
    <s v="Chickpea"/>
    <m/>
    <x v="8"/>
    <s v="Y"/>
    <x v="2"/>
    <n v="47"/>
    <n v="24"/>
    <x v="2"/>
    <m/>
    <m/>
    <m/>
    <n v="6"/>
    <m/>
    <m/>
    <m/>
    <m/>
    <m/>
    <n v="4"/>
    <n v="22"/>
    <x v="3"/>
    <n v="11"/>
    <m/>
    <m/>
    <x v="1"/>
    <n v="1"/>
    <x v="0"/>
    <m/>
    <m/>
    <n v="30"/>
    <x v="2"/>
    <s v="15/06/2022"/>
    <d v="2022-06-15T00:00:00"/>
    <s v="2022003-47"/>
    <x v="3"/>
  </r>
  <r>
    <x v="80"/>
    <n v="2022003"/>
    <x v="3"/>
    <s v="Chickpea"/>
    <m/>
    <x v="8"/>
    <s v="Y"/>
    <x v="1"/>
    <n v="48"/>
    <n v="24"/>
    <x v="2"/>
    <m/>
    <m/>
    <m/>
    <n v="6"/>
    <m/>
    <m/>
    <m/>
    <m/>
    <m/>
    <n v="4"/>
    <n v="23"/>
    <x v="3"/>
    <n v="12"/>
    <m/>
    <n v="45"/>
    <x v="1"/>
    <n v="1"/>
    <x v="0"/>
    <m/>
    <m/>
    <n v="30"/>
    <x v="2"/>
    <s v="15/06/2022"/>
    <d v="2022-06-15T00:00:00"/>
    <s v="2022003-48"/>
    <x v="3"/>
  </r>
  <r>
    <x v="82"/>
    <n v="2022003"/>
    <x v="3"/>
    <s v="Chickpea"/>
    <m/>
    <x v="4"/>
    <s v="Y"/>
    <x v="2"/>
    <n v="49"/>
    <n v="25"/>
    <x v="3"/>
    <m/>
    <m/>
    <m/>
    <n v="7"/>
    <m/>
    <m/>
    <m/>
    <m/>
    <m/>
    <n v="1"/>
    <n v="26"/>
    <x v="0"/>
    <n v="13"/>
    <m/>
    <m/>
    <x v="1"/>
    <n v="4"/>
    <x v="0"/>
    <m/>
    <m/>
    <n v="30"/>
    <x v="2"/>
    <s v="15/06/2022"/>
    <d v="2022-06-15T00:00:00"/>
    <s v="2022003-49"/>
    <x v="3"/>
  </r>
  <r>
    <x v="82"/>
    <n v="2022003"/>
    <x v="3"/>
    <s v="Chickpea"/>
    <m/>
    <x v="4"/>
    <s v="Y"/>
    <x v="1"/>
    <n v="50"/>
    <n v="25"/>
    <x v="3"/>
    <m/>
    <m/>
    <m/>
    <n v="7"/>
    <m/>
    <m/>
    <m/>
    <m/>
    <m/>
    <n v="1"/>
    <n v="27"/>
    <x v="0"/>
    <n v="14"/>
    <m/>
    <n v="49"/>
    <x v="1"/>
    <n v="4"/>
    <x v="0"/>
    <m/>
    <m/>
    <n v="30"/>
    <x v="2"/>
    <s v="15/06/2022"/>
    <d v="2022-06-15T00:00:00"/>
    <s v="2022003-50"/>
    <x v="3"/>
  </r>
  <r>
    <x v="80"/>
    <n v="2022003"/>
    <x v="3"/>
    <s v="Chickpea"/>
    <m/>
    <x v="8"/>
    <s v="Y"/>
    <x v="2"/>
    <n v="51"/>
    <n v="26"/>
    <x v="3"/>
    <m/>
    <m/>
    <m/>
    <n v="7"/>
    <m/>
    <m/>
    <m/>
    <m/>
    <m/>
    <n v="2"/>
    <n v="26"/>
    <x v="1"/>
    <n v="13"/>
    <m/>
    <m/>
    <x v="1"/>
    <n v="1"/>
    <x v="0"/>
    <m/>
    <m/>
    <n v="30"/>
    <x v="2"/>
    <s v="15/06/2022"/>
    <d v="2022-06-15T00:00:00"/>
    <s v="2022003-51"/>
    <x v="3"/>
  </r>
  <r>
    <x v="80"/>
    <n v="2022003"/>
    <x v="3"/>
    <s v="Chickpea"/>
    <m/>
    <x v="8"/>
    <s v="Y"/>
    <x v="1"/>
    <n v="52"/>
    <n v="26"/>
    <x v="3"/>
    <m/>
    <m/>
    <m/>
    <n v="7"/>
    <m/>
    <m/>
    <m/>
    <m/>
    <m/>
    <n v="2"/>
    <n v="27"/>
    <x v="1"/>
    <n v="14"/>
    <m/>
    <n v="50"/>
    <x v="1"/>
    <n v="1"/>
    <x v="0"/>
    <m/>
    <m/>
    <n v="30"/>
    <x v="2"/>
    <s v="15/06/2022"/>
    <d v="2022-06-15T00:00:00"/>
    <s v="2022003-52"/>
    <x v="3"/>
  </r>
  <r>
    <x v="83"/>
    <n v="2022003"/>
    <x v="3"/>
    <s v="Chickpea"/>
    <m/>
    <x v="3"/>
    <s v="N"/>
    <x v="2"/>
    <n v="53"/>
    <n v="27"/>
    <x v="3"/>
    <m/>
    <m/>
    <m/>
    <n v="7"/>
    <m/>
    <m/>
    <m/>
    <m/>
    <m/>
    <n v="3"/>
    <n v="26"/>
    <x v="2"/>
    <n v="13"/>
    <m/>
    <m/>
    <x v="1"/>
    <n v="3"/>
    <x v="0"/>
    <m/>
    <m/>
    <n v="30"/>
    <x v="2"/>
    <s v="15/06/2022"/>
    <d v="2022-06-15T00:00:00"/>
    <s v="2022003-53"/>
    <x v="3"/>
  </r>
  <r>
    <x v="83"/>
    <n v="2022003"/>
    <x v="3"/>
    <s v="Chickpea"/>
    <m/>
    <x v="3"/>
    <s v="N"/>
    <x v="1"/>
    <n v="54"/>
    <n v="27"/>
    <x v="3"/>
    <m/>
    <m/>
    <m/>
    <n v="7"/>
    <m/>
    <m/>
    <m/>
    <m/>
    <m/>
    <n v="3"/>
    <n v="27"/>
    <x v="2"/>
    <n v="14"/>
    <m/>
    <n v="51"/>
    <x v="1"/>
    <n v="3"/>
    <x v="0"/>
    <m/>
    <m/>
    <n v="30"/>
    <x v="2"/>
    <s v="15/06/2022"/>
    <d v="2022-06-15T00:00:00"/>
    <s v="2022003-54"/>
    <x v="3"/>
  </r>
  <r>
    <x v="81"/>
    <n v="2022003"/>
    <x v="3"/>
    <s v="Chickpea"/>
    <m/>
    <x v="9"/>
    <s v="N"/>
    <x v="2"/>
    <n v="55"/>
    <n v="28"/>
    <x v="3"/>
    <m/>
    <m/>
    <m/>
    <n v="7"/>
    <m/>
    <m/>
    <m/>
    <m/>
    <m/>
    <n v="4"/>
    <n v="26"/>
    <x v="3"/>
    <n v="13"/>
    <m/>
    <m/>
    <x v="1"/>
    <n v="2"/>
    <x v="0"/>
    <m/>
    <m/>
    <n v="30"/>
    <x v="2"/>
    <s v="15/06/2022"/>
    <d v="2022-06-15T00:00:00"/>
    <s v="2022003-55"/>
    <x v="3"/>
  </r>
  <r>
    <x v="81"/>
    <n v="2022003"/>
    <x v="3"/>
    <s v="Chickpea"/>
    <m/>
    <x v="9"/>
    <s v="N"/>
    <x v="1"/>
    <n v="56"/>
    <n v="28"/>
    <x v="3"/>
    <m/>
    <m/>
    <m/>
    <n v="7"/>
    <m/>
    <m/>
    <m/>
    <m/>
    <m/>
    <n v="4"/>
    <n v="27"/>
    <x v="3"/>
    <n v="14"/>
    <m/>
    <n v="52"/>
    <x v="1"/>
    <n v="2"/>
    <x v="0"/>
    <m/>
    <m/>
    <n v="30"/>
    <x v="2"/>
    <s v="15/06/2022"/>
    <d v="2022-06-15T00:00:00"/>
    <s v="2022003-56"/>
    <x v="3"/>
  </r>
  <r>
    <x v="86"/>
    <n v="2022003"/>
    <x v="3"/>
    <s v="Chickpea"/>
    <m/>
    <x v="8"/>
    <s v="Y"/>
    <x v="2"/>
    <n v="57"/>
    <n v="29"/>
    <x v="3"/>
    <m/>
    <m/>
    <m/>
    <n v="8"/>
    <m/>
    <m/>
    <m/>
    <m/>
    <m/>
    <n v="1"/>
    <n v="30"/>
    <x v="0"/>
    <n v="15"/>
    <m/>
    <m/>
    <x v="1"/>
    <n v="1"/>
    <x v="0"/>
    <m/>
    <m/>
    <n v="30"/>
    <x v="1"/>
    <s v="11/05/2022"/>
    <d v="2022-05-11T00:00:00"/>
    <s v="2022003-57"/>
    <x v="3"/>
  </r>
  <r>
    <x v="86"/>
    <n v="2022003"/>
    <x v="3"/>
    <s v="Chickpea"/>
    <m/>
    <x v="8"/>
    <s v="Y"/>
    <x v="1"/>
    <n v="58"/>
    <n v="29"/>
    <x v="3"/>
    <m/>
    <m/>
    <m/>
    <n v="8"/>
    <m/>
    <m/>
    <m/>
    <m/>
    <m/>
    <n v="1"/>
    <n v="31"/>
    <x v="0"/>
    <n v="16"/>
    <m/>
    <n v="64"/>
    <x v="1"/>
    <n v="1"/>
    <x v="0"/>
    <m/>
    <m/>
    <n v="30"/>
    <x v="1"/>
    <s v="11/05/2022"/>
    <d v="2022-05-11T00:00:00"/>
    <s v="2022003-58"/>
    <x v="3"/>
  </r>
  <r>
    <x v="84"/>
    <n v="2022003"/>
    <x v="3"/>
    <s v="Chickpea"/>
    <m/>
    <x v="3"/>
    <s v="N"/>
    <x v="2"/>
    <n v="59"/>
    <n v="30"/>
    <x v="3"/>
    <m/>
    <m/>
    <m/>
    <n v="8"/>
    <m/>
    <m/>
    <m/>
    <m/>
    <m/>
    <n v="2"/>
    <n v="30"/>
    <x v="1"/>
    <n v="15"/>
    <m/>
    <m/>
    <x v="1"/>
    <n v="3"/>
    <x v="0"/>
    <m/>
    <m/>
    <n v="30"/>
    <x v="1"/>
    <s v="11/05/2022"/>
    <d v="2022-05-11T00:00:00"/>
    <s v="2022003-59"/>
    <x v="3"/>
  </r>
  <r>
    <x v="84"/>
    <n v="2022003"/>
    <x v="3"/>
    <s v="Chickpea"/>
    <m/>
    <x v="3"/>
    <s v="N"/>
    <x v="1"/>
    <n v="60"/>
    <n v="30"/>
    <x v="3"/>
    <m/>
    <m/>
    <m/>
    <n v="8"/>
    <m/>
    <m/>
    <m/>
    <m/>
    <m/>
    <n v="2"/>
    <n v="31"/>
    <x v="1"/>
    <n v="16"/>
    <m/>
    <n v="63"/>
    <x v="1"/>
    <n v="3"/>
    <x v="0"/>
    <m/>
    <m/>
    <n v="30"/>
    <x v="1"/>
    <s v="11/05/2022"/>
    <d v="2022-05-11T00:00:00"/>
    <s v="2022003-60"/>
    <x v="3"/>
  </r>
  <r>
    <x v="87"/>
    <n v="2022003"/>
    <x v="3"/>
    <s v="Chickpea"/>
    <m/>
    <x v="9"/>
    <s v="N"/>
    <x v="2"/>
    <n v="61"/>
    <n v="31"/>
    <x v="3"/>
    <m/>
    <m/>
    <m/>
    <n v="8"/>
    <m/>
    <m/>
    <m/>
    <m/>
    <m/>
    <n v="3"/>
    <n v="30"/>
    <x v="2"/>
    <n v="15"/>
    <m/>
    <m/>
    <x v="1"/>
    <n v="2"/>
    <x v="0"/>
    <m/>
    <m/>
    <n v="30"/>
    <x v="1"/>
    <s v="11/05/2022"/>
    <d v="2022-05-11T00:00:00"/>
    <s v="2022003-61"/>
    <x v="3"/>
  </r>
  <r>
    <x v="87"/>
    <n v="2022003"/>
    <x v="3"/>
    <s v="Chickpea"/>
    <m/>
    <x v="9"/>
    <s v="N"/>
    <x v="1"/>
    <n v="62"/>
    <n v="31"/>
    <x v="3"/>
    <m/>
    <m/>
    <m/>
    <n v="8"/>
    <m/>
    <m/>
    <m/>
    <m/>
    <m/>
    <n v="3"/>
    <n v="31"/>
    <x v="2"/>
    <n v="16"/>
    <m/>
    <n v="62"/>
    <x v="1"/>
    <n v="2"/>
    <x v="0"/>
    <m/>
    <m/>
    <n v="30"/>
    <x v="1"/>
    <s v="11/05/2022"/>
    <d v="2022-05-11T00:00:00"/>
    <s v="2022003-62"/>
    <x v="3"/>
  </r>
  <r>
    <x v="85"/>
    <n v="2022003"/>
    <x v="3"/>
    <s v="Chickpea"/>
    <m/>
    <x v="4"/>
    <s v="Y"/>
    <x v="2"/>
    <n v="63"/>
    <n v="32"/>
    <x v="3"/>
    <m/>
    <m/>
    <m/>
    <n v="8"/>
    <m/>
    <m/>
    <m/>
    <m/>
    <m/>
    <n v="4"/>
    <n v="30"/>
    <x v="3"/>
    <n v="15"/>
    <m/>
    <m/>
    <x v="1"/>
    <n v="4"/>
    <x v="0"/>
    <m/>
    <m/>
    <n v="30"/>
    <x v="1"/>
    <s v="11/05/2022"/>
    <d v="2022-05-11T00:00:00"/>
    <s v="2022003-63"/>
    <x v="3"/>
  </r>
  <r>
    <x v="85"/>
    <n v="2022003"/>
    <x v="3"/>
    <s v="Chickpea"/>
    <m/>
    <x v="4"/>
    <s v="Y"/>
    <x v="1"/>
    <n v="64"/>
    <n v="32"/>
    <x v="3"/>
    <m/>
    <m/>
    <m/>
    <n v="8"/>
    <m/>
    <m/>
    <m/>
    <m/>
    <m/>
    <n v="4"/>
    <n v="31"/>
    <x v="3"/>
    <n v="16"/>
    <m/>
    <n v="61"/>
    <x v="1"/>
    <n v="4"/>
    <x v="0"/>
    <m/>
    <m/>
    <n v="30"/>
    <x v="1"/>
    <s v="11/05/2022"/>
    <d v="2022-05-11T00:00:00"/>
    <s v="2022003-64"/>
    <x v="3"/>
  </r>
  <r>
    <x v="88"/>
    <n v="2022003"/>
    <x v="3"/>
    <s v="Chickpea"/>
    <m/>
    <x v="9"/>
    <s v="N"/>
    <x v="2"/>
    <n v="65"/>
    <n v="33"/>
    <x v="0"/>
    <m/>
    <m/>
    <m/>
    <n v="1"/>
    <m/>
    <m/>
    <m/>
    <m/>
    <m/>
    <n v="6"/>
    <n v="2"/>
    <x v="4"/>
    <n v="1"/>
    <m/>
    <m/>
    <x v="0"/>
    <n v="2"/>
    <x v="0"/>
    <m/>
    <m/>
    <n v="30"/>
    <x v="1"/>
    <s v="11/05/2022"/>
    <d v="2022-05-11T00:00:00"/>
    <s v="2022003-65"/>
    <x v="3"/>
  </r>
  <r>
    <x v="88"/>
    <n v="2022003"/>
    <x v="3"/>
    <s v="Chickpea"/>
    <m/>
    <x v="9"/>
    <s v="N"/>
    <x v="1"/>
    <n v="66"/>
    <n v="33"/>
    <x v="0"/>
    <m/>
    <m/>
    <m/>
    <n v="1"/>
    <m/>
    <m/>
    <m/>
    <m/>
    <m/>
    <n v="6"/>
    <n v="3"/>
    <x v="4"/>
    <n v="2"/>
    <m/>
    <n v="5"/>
    <x v="0"/>
    <n v="2"/>
    <x v="0"/>
    <m/>
    <m/>
    <n v="30"/>
    <x v="1"/>
    <s v="11/05/2022"/>
    <d v="2022-05-11T00:00:00"/>
    <s v="2022003-66"/>
    <x v="3"/>
  </r>
  <r>
    <x v="89"/>
    <n v="2022003"/>
    <x v="3"/>
    <s v="Chickpea"/>
    <m/>
    <x v="8"/>
    <s v="Y"/>
    <x v="2"/>
    <n v="67"/>
    <n v="34"/>
    <x v="0"/>
    <m/>
    <m/>
    <m/>
    <n v="1"/>
    <m/>
    <m/>
    <m/>
    <m/>
    <m/>
    <n v="7"/>
    <n v="2"/>
    <x v="5"/>
    <n v="1"/>
    <m/>
    <m/>
    <x v="0"/>
    <n v="1"/>
    <x v="0"/>
    <m/>
    <m/>
    <n v="30"/>
    <x v="1"/>
    <s v="11/05/2022"/>
    <d v="2022-05-11T00:00:00"/>
    <s v="2022003-67"/>
    <x v="3"/>
  </r>
  <r>
    <x v="89"/>
    <n v="2022003"/>
    <x v="3"/>
    <s v="Chickpea"/>
    <m/>
    <x v="8"/>
    <s v="Y"/>
    <x v="1"/>
    <n v="68"/>
    <n v="34"/>
    <x v="0"/>
    <m/>
    <m/>
    <m/>
    <n v="1"/>
    <m/>
    <m/>
    <m/>
    <m/>
    <m/>
    <n v="7"/>
    <n v="3"/>
    <x v="5"/>
    <n v="2"/>
    <m/>
    <n v="6"/>
    <x v="0"/>
    <n v="1"/>
    <x v="0"/>
    <m/>
    <m/>
    <n v="30"/>
    <x v="1"/>
    <s v="11/05/2022"/>
    <d v="2022-05-11T00:00:00"/>
    <s v="2022003-68"/>
    <x v="3"/>
  </r>
  <r>
    <x v="90"/>
    <n v="2022003"/>
    <x v="3"/>
    <s v="Chickpea"/>
    <m/>
    <x v="3"/>
    <s v="N"/>
    <x v="2"/>
    <n v="69"/>
    <n v="35"/>
    <x v="0"/>
    <m/>
    <m/>
    <m/>
    <n v="1"/>
    <m/>
    <m/>
    <m/>
    <m/>
    <m/>
    <n v="8"/>
    <n v="2"/>
    <x v="6"/>
    <n v="1"/>
    <m/>
    <m/>
    <x v="0"/>
    <n v="3"/>
    <x v="0"/>
    <m/>
    <m/>
    <n v="30"/>
    <x v="1"/>
    <s v="11/05/2022"/>
    <d v="2022-05-11T00:00:00"/>
    <s v="2022003-69"/>
    <x v="3"/>
  </r>
  <r>
    <x v="90"/>
    <n v="2022003"/>
    <x v="3"/>
    <s v="Chickpea"/>
    <m/>
    <x v="3"/>
    <s v="N"/>
    <x v="1"/>
    <n v="70"/>
    <n v="35"/>
    <x v="0"/>
    <m/>
    <m/>
    <m/>
    <n v="1"/>
    <m/>
    <m/>
    <m/>
    <m/>
    <m/>
    <n v="8"/>
    <n v="3"/>
    <x v="6"/>
    <n v="2"/>
    <m/>
    <n v="7"/>
    <x v="0"/>
    <n v="3"/>
    <x v="0"/>
    <m/>
    <m/>
    <n v="30"/>
    <x v="1"/>
    <s v="11/05/2022"/>
    <d v="2022-05-11T00:00:00"/>
    <s v="2022003-70"/>
    <x v="3"/>
  </r>
  <r>
    <x v="91"/>
    <n v="2022003"/>
    <x v="3"/>
    <s v="Chickpea"/>
    <m/>
    <x v="4"/>
    <s v="Y"/>
    <x v="2"/>
    <n v="71"/>
    <n v="36"/>
    <x v="0"/>
    <m/>
    <m/>
    <m/>
    <n v="1"/>
    <m/>
    <m/>
    <m/>
    <m/>
    <m/>
    <n v="9"/>
    <n v="2"/>
    <x v="7"/>
    <n v="1"/>
    <m/>
    <m/>
    <x v="0"/>
    <n v="4"/>
    <x v="0"/>
    <m/>
    <m/>
    <n v="30"/>
    <x v="1"/>
    <s v="11/05/2022"/>
    <d v="2022-05-11T00:00:00"/>
    <s v="2022003-71"/>
    <x v="3"/>
  </r>
  <r>
    <x v="91"/>
    <n v="2022003"/>
    <x v="3"/>
    <s v="Chickpea"/>
    <m/>
    <x v="4"/>
    <s v="Y"/>
    <x v="1"/>
    <n v="72"/>
    <n v="36"/>
    <x v="0"/>
    <m/>
    <m/>
    <m/>
    <n v="1"/>
    <m/>
    <m/>
    <m/>
    <m/>
    <m/>
    <n v="9"/>
    <n v="3"/>
    <x v="7"/>
    <n v="2"/>
    <m/>
    <n v="8"/>
    <x v="0"/>
    <n v="4"/>
    <x v="0"/>
    <m/>
    <m/>
    <n v="30"/>
    <x v="1"/>
    <s v="11/05/2022"/>
    <d v="2022-05-11T00:00:00"/>
    <s v="2022003-72"/>
    <x v="3"/>
  </r>
  <r>
    <x v="92"/>
    <n v="2022003"/>
    <x v="3"/>
    <s v="Chickpea"/>
    <m/>
    <x v="3"/>
    <s v="N"/>
    <x v="2"/>
    <n v="73"/>
    <n v="37"/>
    <x v="0"/>
    <m/>
    <m/>
    <m/>
    <n v="2"/>
    <m/>
    <m/>
    <m/>
    <m/>
    <m/>
    <n v="6"/>
    <n v="6"/>
    <x v="4"/>
    <n v="3"/>
    <m/>
    <m/>
    <x v="0"/>
    <n v="3"/>
    <x v="0"/>
    <m/>
    <m/>
    <n v="30"/>
    <x v="2"/>
    <s v="15/06/2022"/>
    <d v="2022-06-15T00:00:00"/>
    <s v="2022003-73"/>
    <x v="3"/>
  </r>
  <r>
    <x v="92"/>
    <n v="2022003"/>
    <x v="3"/>
    <s v="Chickpea"/>
    <m/>
    <x v="3"/>
    <s v="N"/>
    <x v="1"/>
    <n v="74"/>
    <n v="37"/>
    <x v="0"/>
    <m/>
    <m/>
    <m/>
    <n v="2"/>
    <m/>
    <m/>
    <m/>
    <m/>
    <m/>
    <n v="6"/>
    <n v="7"/>
    <x v="4"/>
    <n v="4"/>
    <m/>
    <n v="12"/>
    <x v="0"/>
    <n v="3"/>
    <x v="0"/>
    <m/>
    <m/>
    <n v="30"/>
    <x v="2"/>
    <s v="15/06/2022"/>
    <d v="2022-06-15T00:00:00"/>
    <s v="2022003-74"/>
    <x v="3"/>
  </r>
  <r>
    <x v="93"/>
    <n v="2022003"/>
    <x v="3"/>
    <s v="Chickpea"/>
    <m/>
    <x v="4"/>
    <s v="Y"/>
    <x v="2"/>
    <n v="75"/>
    <n v="38"/>
    <x v="0"/>
    <m/>
    <m/>
    <m/>
    <n v="2"/>
    <m/>
    <m/>
    <m/>
    <m/>
    <m/>
    <n v="7"/>
    <n v="6"/>
    <x v="5"/>
    <n v="3"/>
    <m/>
    <m/>
    <x v="0"/>
    <n v="4"/>
    <x v="0"/>
    <m/>
    <m/>
    <n v="30"/>
    <x v="2"/>
    <s v="15/06/2022"/>
    <d v="2022-06-15T00:00:00"/>
    <s v="2022003-75"/>
    <x v="3"/>
  </r>
  <r>
    <x v="93"/>
    <n v="2022003"/>
    <x v="3"/>
    <s v="Chickpea"/>
    <m/>
    <x v="4"/>
    <s v="Y"/>
    <x v="1"/>
    <n v="76"/>
    <n v="38"/>
    <x v="0"/>
    <m/>
    <m/>
    <m/>
    <n v="2"/>
    <m/>
    <m/>
    <m/>
    <m/>
    <m/>
    <n v="7"/>
    <n v="7"/>
    <x v="5"/>
    <n v="4"/>
    <m/>
    <n v="11"/>
    <x v="0"/>
    <n v="4"/>
    <x v="0"/>
    <m/>
    <m/>
    <n v="30"/>
    <x v="2"/>
    <s v="15/06/2022"/>
    <d v="2022-06-15T00:00:00"/>
    <s v="2022003-76"/>
    <x v="3"/>
  </r>
  <r>
    <x v="94"/>
    <n v="2022003"/>
    <x v="3"/>
    <s v="Chickpea"/>
    <m/>
    <x v="9"/>
    <s v="N"/>
    <x v="2"/>
    <n v="77"/>
    <n v="39"/>
    <x v="0"/>
    <m/>
    <m/>
    <m/>
    <n v="2"/>
    <m/>
    <m/>
    <m/>
    <m/>
    <m/>
    <n v="8"/>
    <n v="6"/>
    <x v="6"/>
    <n v="3"/>
    <m/>
    <m/>
    <x v="0"/>
    <n v="2"/>
    <x v="0"/>
    <m/>
    <m/>
    <n v="30"/>
    <x v="2"/>
    <s v="15/06/2022"/>
    <d v="2022-06-15T00:00:00"/>
    <s v="2022003-77"/>
    <x v="3"/>
  </r>
  <r>
    <x v="94"/>
    <n v="2022003"/>
    <x v="3"/>
    <s v="Chickpea"/>
    <m/>
    <x v="9"/>
    <s v="N"/>
    <x v="1"/>
    <n v="78"/>
    <n v="39"/>
    <x v="0"/>
    <m/>
    <m/>
    <m/>
    <n v="2"/>
    <m/>
    <m/>
    <m/>
    <m/>
    <m/>
    <n v="8"/>
    <n v="7"/>
    <x v="6"/>
    <n v="4"/>
    <m/>
    <n v="10"/>
    <x v="0"/>
    <n v="2"/>
    <x v="0"/>
    <m/>
    <m/>
    <n v="30"/>
    <x v="2"/>
    <s v="15/06/2022"/>
    <d v="2022-06-15T00:00:00"/>
    <s v="2022003-78"/>
    <x v="3"/>
  </r>
  <r>
    <x v="95"/>
    <n v="2022003"/>
    <x v="3"/>
    <s v="Chickpea"/>
    <m/>
    <x v="8"/>
    <s v="Y"/>
    <x v="2"/>
    <n v="79"/>
    <n v="40"/>
    <x v="0"/>
    <m/>
    <m/>
    <m/>
    <n v="2"/>
    <m/>
    <m/>
    <m/>
    <m/>
    <m/>
    <n v="9"/>
    <n v="6"/>
    <x v="7"/>
    <n v="3"/>
    <m/>
    <m/>
    <x v="0"/>
    <n v="1"/>
    <x v="0"/>
    <m/>
    <m/>
    <n v="30"/>
    <x v="2"/>
    <s v="15/06/2022"/>
    <d v="2022-06-15T00:00:00"/>
    <s v="2022003-79"/>
    <x v="3"/>
  </r>
  <r>
    <x v="95"/>
    <n v="2022003"/>
    <x v="3"/>
    <s v="Chickpea"/>
    <m/>
    <x v="8"/>
    <s v="Y"/>
    <x v="1"/>
    <n v="80"/>
    <n v="40"/>
    <x v="0"/>
    <m/>
    <m/>
    <m/>
    <n v="2"/>
    <m/>
    <m/>
    <m/>
    <m/>
    <m/>
    <n v="9"/>
    <n v="7"/>
    <x v="7"/>
    <n v="4"/>
    <m/>
    <n v="9"/>
    <x v="0"/>
    <n v="1"/>
    <x v="0"/>
    <m/>
    <m/>
    <n v="30"/>
    <x v="2"/>
    <s v="15/06/2022"/>
    <d v="2022-06-15T00:00:00"/>
    <s v="2022003-80"/>
    <x v="3"/>
  </r>
  <r>
    <x v="92"/>
    <n v="2022003"/>
    <x v="3"/>
    <s v="Chickpea"/>
    <m/>
    <x v="3"/>
    <s v="N"/>
    <x v="2"/>
    <n v="81"/>
    <n v="41"/>
    <x v="1"/>
    <m/>
    <m/>
    <m/>
    <n v="3"/>
    <m/>
    <m/>
    <m/>
    <m/>
    <m/>
    <n v="6"/>
    <n v="10"/>
    <x v="4"/>
    <n v="5"/>
    <m/>
    <m/>
    <x v="0"/>
    <n v="3"/>
    <x v="0"/>
    <m/>
    <m/>
    <n v="30"/>
    <x v="2"/>
    <s v="15/06/2022"/>
    <d v="2022-06-15T00:00:00"/>
    <s v="2022003-81"/>
    <x v="3"/>
  </r>
  <r>
    <x v="92"/>
    <n v="2022003"/>
    <x v="3"/>
    <s v="Chickpea"/>
    <m/>
    <x v="3"/>
    <s v="N"/>
    <x v="1"/>
    <n v="82"/>
    <n v="41"/>
    <x v="1"/>
    <m/>
    <m/>
    <m/>
    <n v="3"/>
    <m/>
    <m/>
    <m/>
    <m/>
    <m/>
    <n v="6"/>
    <n v="11"/>
    <x v="4"/>
    <n v="6"/>
    <m/>
    <n v="21"/>
    <x v="0"/>
    <n v="3"/>
    <x v="0"/>
    <m/>
    <m/>
    <n v="30"/>
    <x v="2"/>
    <s v="15/06/2022"/>
    <d v="2022-06-15T00:00:00"/>
    <s v="2022003-82"/>
    <x v="3"/>
  </r>
  <r>
    <x v="95"/>
    <n v="2022003"/>
    <x v="3"/>
    <s v="Chickpea"/>
    <m/>
    <x v="8"/>
    <s v="Y"/>
    <x v="2"/>
    <n v="83"/>
    <n v="42"/>
    <x v="1"/>
    <m/>
    <m/>
    <m/>
    <n v="3"/>
    <m/>
    <m/>
    <m/>
    <m/>
    <m/>
    <n v="7"/>
    <n v="10"/>
    <x v="5"/>
    <n v="5"/>
    <m/>
    <m/>
    <x v="0"/>
    <n v="1"/>
    <x v="0"/>
    <m/>
    <m/>
    <n v="30"/>
    <x v="2"/>
    <s v="15/06/2022"/>
    <d v="2022-06-15T00:00:00"/>
    <s v="2022003-83"/>
    <x v="3"/>
  </r>
  <r>
    <x v="95"/>
    <n v="2022003"/>
    <x v="3"/>
    <s v="Chickpea"/>
    <m/>
    <x v="8"/>
    <s v="Y"/>
    <x v="1"/>
    <n v="84"/>
    <n v="42"/>
    <x v="1"/>
    <m/>
    <m/>
    <m/>
    <n v="3"/>
    <m/>
    <m/>
    <m/>
    <m/>
    <m/>
    <n v="7"/>
    <n v="11"/>
    <x v="5"/>
    <n v="6"/>
    <m/>
    <n v="22"/>
    <x v="0"/>
    <n v="1"/>
    <x v="0"/>
    <m/>
    <m/>
    <n v="30"/>
    <x v="2"/>
    <s v="15/06/2022"/>
    <d v="2022-06-15T00:00:00"/>
    <s v="2022003-84"/>
    <x v="3"/>
  </r>
  <r>
    <x v="93"/>
    <n v="2022003"/>
    <x v="3"/>
    <s v="Chickpea"/>
    <m/>
    <x v="4"/>
    <s v="Y"/>
    <x v="2"/>
    <n v="85"/>
    <n v="43"/>
    <x v="1"/>
    <m/>
    <m/>
    <m/>
    <n v="3"/>
    <m/>
    <m/>
    <m/>
    <m/>
    <m/>
    <n v="8"/>
    <n v="10"/>
    <x v="6"/>
    <n v="5"/>
    <m/>
    <m/>
    <x v="0"/>
    <n v="4"/>
    <x v="0"/>
    <m/>
    <m/>
    <n v="30"/>
    <x v="2"/>
    <s v="15/06/2022"/>
    <d v="2022-06-15T00:00:00"/>
    <s v="2022003-85"/>
    <x v="3"/>
  </r>
  <r>
    <x v="93"/>
    <n v="2022003"/>
    <x v="3"/>
    <s v="Chickpea"/>
    <m/>
    <x v="4"/>
    <s v="Y"/>
    <x v="1"/>
    <n v="86"/>
    <n v="43"/>
    <x v="1"/>
    <m/>
    <m/>
    <m/>
    <n v="3"/>
    <m/>
    <m/>
    <m/>
    <m/>
    <m/>
    <n v="8"/>
    <n v="11"/>
    <x v="6"/>
    <n v="6"/>
    <m/>
    <n v="23"/>
    <x v="0"/>
    <n v="4"/>
    <x v="0"/>
    <m/>
    <m/>
    <n v="30"/>
    <x v="2"/>
    <s v="15/06/2022"/>
    <d v="2022-06-15T00:00:00"/>
    <s v="2022003-86"/>
    <x v="3"/>
  </r>
  <r>
    <x v="94"/>
    <n v="2022003"/>
    <x v="3"/>
    <s v="Chickpea"/>
    <m/>
    <x v="9"/>
    <s v="N"/>
    <x v="2"/>
    <n v="87"/>
    <n v="44"/>
    <x v="1"/>
    <m/>
    <m/>
    <m/>
    <n v="3"/>
    <m/>
    <m/>
    <m/>
    <m/>
    <m/>
    <n v="9"/>
    <n v="10"/>
    <x v="7"/>
    <n v="5"/>
    <m/>
    <m/>
    <x v="0"/>
    <n v="2"/>
    <x v="0"/>
    <m/>
    <m/>
    <n v="30"/>
    <x v="2"/>
    <s v="15/06/2022"/>
    <d v="2022-06-15T00:00:00"/>
    <s v="2022003-87"/>
    <x v="3"/>
  </r>
  <r>
    <x v="94"/>
    <n v="2022003"/>
    <x v="3"/>
    <s v="Chickpea"/>
    <m/>
    <x v="9"/>
    <s v="N"/>
    <x v="1"/>
    <n v="88"/>
    <n v="44"/>
    <x v="1"/>
    <m/>
    <m/>
    <m/>
    <n v="3"/>
    <m/>
    <m/>
    <m/>
    <m/>
    <m/>
    <n v="9"/>
    <n v="11"/>
    <x v="7"/>
    <n v="6"/>
    <m/>
    <n v="24"/>
    <x v="0"/>
    <n v="2"/>
    <x v="0"/>
    <m/>
    <m/>
    <n v="30"/>
    <x v="2"/>
    <s v="15/06/2022"/>
    <d v="2022-06-15T00:00:00"/>
    <s v="2022003-88"/>
    <x v="3"/>
  </r>
  <r>
    <x v="91"/>
    <n v="2022003"/>
    <x v="3"/>
    <s v="Chickpea"/>
    <m/>
    <x v="4"/>
    <s v="Y"/>
    <x v="2"/>
    <n v="89"/>
    <n v="45"/>
    <x v="1"/>
    <m/>
    <m/>
    <m/>
    <n v="4"/>
    <m/>
    <m/>
    <m/>
    <m/>
    <m/>
    <n v="6"/>
    <n v="14"/>
    <x v="4"/>
    <n v="7"/>
    <m/>
    <m/>
    <x v="0"/>
    <n v="4"/>
    <x v="0"/>
    <m/>
    <m/>
    <n v="30"/>
    <x v="1"/>
    <s v="11/05/2022"/>
    <d v="2022-05-11T00:00:00"/>
    <s v="2022003-89"/>
    <x v="3"/>
  </r>
  <r>
    <x v="91"/>
    <n v="2022003"/>
    <x v="3"/>
    <s v="Chickpea"/>
    <m/>
    <x v="4"/>
    <s v="Y"/>
    <x v="1"/>
    <n v="90"/>
    <n v="45"/>
    <x v="1"/>
    <m/>
    <m/>
    <m/>
    <n v="4"/>
    <m/>
    <m/>
    <m/>
    <m/>
    <m/>
    <n v="6"/>
    <n v="15"/>
    <x v="4"/>
    <n v="8"/>
    <m/>
    <n v="28"/>
    <x v="0"/>
    <n v="4"/>
    <x v="0"/>
    <m/>
    <m/>
    <n v="30"/>
    <x v="1"/>
    <s v="11/05/2022"/>
    <d v="2022-05-11T00:00:00"/>
    <s v="2022003-90"/>
    <x v="3"/>
  </r>
  <r>
    <x v="90"/>
    <n v="2022003"/>
    <x v="3"/>
    <s v="Chickpea"/>
    <m/>
    <x v="3"/>
    <s v="N"/>
    <x v="2"/>
    <n v="91"/>
    <n v="46"/>
    <x v="1"/>
    <m/>
    <m/>
    <m/>
    <n v="4"/>
    <m/>
    <m/>
    <m/>
    <m/>
    <m/>
    <n v="7"/>
    <n v="14"/>
    <x v="5"/>
    <n v="7"/>
    <m/>
    <m/>
    <x v="0"/>
    <n v="3"/>
    <x v="0"/>
    <m/>
    <m/>
    <n v="30"/>
    <x v="1"/>
    <s v="11/05/2022"/>
    <d v="2022-05-11T00:00:00"/>
    <s v="2022003-91"/>
    <x v="3"/>
  </r>
  <r>
    <x v="90"/>
    <n v="2022003"/>
    <x v="3"/>
    <s v="Chickpea"/>
    <m/>
    <x v="3"/>
    <s v="N"/>
    <x v="1"/>
    <n v="92"/>
    <n v="46"/>
    <x v="1"/>
    <m/>
    <m/>
    <m/>
    <n v="4"/>
    <m/>
    <m/>
    <m/>
    <m/>
    <m/>
    <n v="7"/>
    <n v="15"/>
    <x v="5"/>
    <n v="8"/>
    <m/>
    <n v="27"/>
    <x v="0"/>
    <n v="3"/>
    <x v="0"/>
    <m/>
    <m/>
    <n v="30"/>
    <x v="1"/>
    <s v="11/05/2022"/>
    <d v="2022-05-11T00:00:00"/>
    <s v="2022003-92"/>
    <x v="3"/>
  </r>
  <r>
    <x v="88"/>
    <n v="2022003"/>
    <x v="3"/>
    <s v="Chickpea"/>
    <m/>
    <x v="9"/>
    <s v="N"/>
    <x v="2"/>
    <n v="93"/>
    <n v="47"/>
    <x v="1"/>
    <m/>
    <m/>
    <m/>
    <n v="4"/>
    <m/>
    <m/>
    <m/>
    <m/>
    <m/>
    <n v="8"/>
    <n v="14"/>
    <x v="6"/>
    <n v="7"/>
    <m/>
    <m/>
    <x v="0"/>
    <n v="2"/>
    <x v="0"/>
    <m/>
    <m/>
    <n v="30"/>
    <x v="1"/>
    <s v="11/05/2022"/>
    <d v="2022-05-11T00:00:00"/>
    <s v="2022003-93"/>
    <x v="3"/>
  </r>
  <r>
    <x v="88"/>
    <n v="2022003"/>
    <x v="3"/>
    <s v="Chickpea"/>
    <m/>
    <x v="9"/>
    <s v="N"/>
    <x v="1"/>
    <n v="94"/>
    <n v="47"/>
    <x v="1"/>
    <m/>
    <m/>
    <m/>
    <n v="4"/>
    <m/>
    <m/>
    <m/>
    <m/>
    <m/>
    <n v="8"/>
    <n v="15"/>
    <x v="6"/>
    <n v="8"/>
    <m/>
    <n v="26"/>
    <x v="0"/>
    <n v="2"/>
    <x v="0"/>
    <m/>
    <m/>
    <n v="30"/>
    <x v="1"/>
    <s v="11/05/2022"/>
    <d v="2022-05-11T00:00:00"/>
    <s v="2022003-94"/>
    <x v="3"/>
  </r>
  <r>
    <x v="89"/>
    <n v="2022003"/>
    <x v="3"/>
    <s v="Chickpea"/>
    <m/>
    <x v="8"/>
    <s v="Y"/>
    <x v="2"/>
    <n v="95"/>
    <n v="48"/>
    <x v="1"/>
    <m/>
    <m/>
    <m/>
    <n v="4"/>
    <m/>
    <m/>
    <m/>
    <m/>
    <m/>
    <n v="9"/>
    <n v="14"/>
    <x v="7"/>
    <n v="7"/>
    <m/>
    <m/>
    <x v="0"/>
    <n v="1"/>
    <x v="0"/>
    <m/>
    <m/>
    <n v="30"/>
    <x v="1"/>
    <s v="11/05/2022"/>
    <d v="2022-05-11T00:00:00"/>
    <s v="2022003-95"/>
    <x v="3"/>
  </r>
  <r>
    <x v="89"/>
    <n v="2022003"/>
    <x v="3"/>
    <s v="Chickpea"/>
    <m/>
    <x v="8"/>
    <s v="Y"/>
    <x v="1"/>
    <n v="96"/>
    <n v="48"/>
    <x v="1"/>
    <m/>
    <m/>
    <m/>
    <n v="4"/>
    <m/>
    <m/>
    <m/>
    <m/>
    <m/>
    <n v="9"/>
    <n v="15"/>
    <x v="7"/>
    <n v="8"/>
    <m/>
    <n v="25"/>
    <x v="0"/>
    <n v="1"/>
    <x v="0"/>
    <m/>
    <m/>
    <n v="30"/>
    <x v="1"/>
    <s v="11/05/2022"/>
    <d v="2022-05-11T00:00:00"/>
    <s v="2022003-96"/>
    <x v="3"/>
  </r>
  <r>
    <x v="89"/>
    <n v="2022003"/>
    <x v="3"/>
    <s v="Chickpea"/>
    <m/>
    <x v="8"/>
    <s v="Y"/>
    <x v="2"/>
    <n v="97"/>
    <n v="49"/>
    <x v="2"/>
    <m/>
    <m/>
    <m/>
    <n v="5"/>
    <m/>
    <m/>
    <m/>
    <m/>
    <m/>
    <n v="6"/>
    <n v="18"/>
    <x v="4"/>
    <n v="9"/>
    <m/>
    <m/>
    <x v="0"/>
    <n v="1"/>
    <x v="0"/>
    <m/>
    <m/>
    <n v="30"/>
    <x v="1"/>
    <s v="11/05/2022"/>
    <d v="2022-05-11T00:00:00"/>
    <s v="2022003-97"/>
    <x v="3"/>
  </r>
  <r>
    <x v="89"/>
    <n v="2022003"/>
    <x v="3"/>
    <s v="Chickpea"/>
    <m/>
    <x v="8"/>
    <s v="Y"/>
    <x v="1"/>
    <n v="98"/>
    <n v="49"/>
    <x v="2"/>
    <m/>
    <m/>
    <m/>
    <n v="5"/>
    <m/>
    <m/>
    <m/>
    <m/>
    <m/>
    <n v="6"/>
    <n v="19"/>
    <x v="4"/>
    <n v="10"/>
    <m/>
    <n v="37"/>
    <x v="0"/>
    <n v="1"/>
    <x v="0"/>
    <m/>
    <m/>
    <n v="30"/>
    <x v="1"/>
    <s v="11/05/2022"/>
    <d v="2022-05-11T00:00:00"/>
    <s v="2022003-98"/>
    <x v="3"/>
  </r>
  <r>
    <x v="90"/>
    <n v="2022003"/>
    <x v="3"/>
    <s v="Chickpea"/>
    <m/>
    <x v="3"/>
    <s v="N"/>
    <x v="2"/>
    <n v="99"/>
    <n v="50"/>
    <x v="2"/>
    <m/>
    <m/>
    <m/>
    <n v="5"/>
    <m/>
    <m/>
    <m/>
    <m/>
    <m/>
    <n v="7"/>
    <n v="18"/>
    <x v="5"/>
    <n v="9"/>
    <m/>
    <m/>
    <x v="0"/>
    <n v="3"/>
    <x v="0"/>
    <m/>
    <m/>
    <n v="30"/>
    <x v="1"/>
    <s v="11/05/2022"/>
    <d v="2022-05-11T00:00:00"/>
    <s v="2022003-99"/>
    <x v="3"/>
  </r>
  <r>
    <x v="90"/>
    <n v="2022003"/>
    <x v="3"/>
    <s v="Chickpea"/>
    <m/>
    <x v="3"/>
    <s v="N"/>
    <x v="1"/>
    <n v="100"/>
    <n v="50"/>
    <x v="2"/>
    <m/>
    <m/>
    <m/>
    <n v="5"/>
    <m/>
    <m/>
    <m/>
    <m/>
    <m/>
    <n v="7"/>
    <n v="19"/>
    <x v="5"/>
    <n v="10"/>
    <m/>
    <n v="38"/>
    <x v="0"/>
    <n v="3"/>
    <x v="0"/>
    <m/>
    <m/>
    <n v="30"/>
    <x v="1"/>
    <s v="11/05/2022"/>
    <d v="2022-05-11T00:00:00"/>
    <s v="2022003-100"/>
    <x v="3"/>
  </r>
  <r>
    <x v="91"/>
    <n v="2022003"/>
    <x v="3"/>
    <s v="Chickpea"/>
    <m/>
    <x v="4"/>
    <s v="Y"/>
    <x v="2"/>
    <n v="101"/>
    <n v="51"/>
    <x v="2"/>
    <m/>
    <m/>
    <m/>
    <n v="5"/>
    <m/>
    <m/>
    <m/>
    <m/>
    <m/>
    <n v="8"/>
    <n v="18"/>
    <x v="6"/>
    <n v="9"/>
    <m/>
    <m/>
    <x v="0"/>
    <n v="4"/>
    <x v="0"/>
    <m/>
    <m/>
    <n v="30"/>
    <x v="1"/>
    <s v="11/05/2022"/>
    <d v="2022-05-11T00:00:00"/>
    <s v="2022003-101"/>
    <x v="3"/>
  </r>
  <r>
    <x v="91"/>
    <n v="2022003"/>
    <x v="3"/>
    <s v="Chickpea"/>
    <m/>
    <x v="4"/>
    <s v="Y"/>
    <x v="1"/>
    <n v="102"/>
    <n v="51"/>
    <x v="2"/>
    <m/>
    <m/>
    <m/>
    <n v="5"/>
    <m/>
    <m/>
    <m/>
    <m/>
    <m/>
    <n v="8"/>
    <n v="19"/>
    <x v="6"/>
    <n v="10"/>
    <m/>
    <n v="39"/>
    <x v="0"/>
    <n v="4"/>
    <x v="0"/>
    <m/>
    <m/>
    <n v="30"/>
    <x v="1"/>
    <s v="11/05/2022"/>
    <d v="2022-05-11T00:00:00"/>
    <s v="2022003-102"/>
    <x v="3"/>
  </r>
  <r>
    <x v="88"/>
    <n v="2022003"/>
    <x v="3"/>
    <s v="Chickpea"/>
    <m/>
    <x v="9"/>
    <s v="N"/>
    <x v="2"/>
    <n v="103"/>
    <n v="52"/>
    <x v="2"/>
    <m/>
    <m/>
    <m/>
    <n v="5"/>
    <m/>
    <m/>
    <m/>
    <m/>
    <m/>
    <n v="9"/>
    <n v="18"/>
    <x v="7"/>
    <n v="9"/>
    <m/>
    <m/>
    <x v="0"/>
    <n v="2"/>
    <x v="0"/>
    <m/>
    <m/>
    <n v="30"/>
    <x v="1"/>
    <s v="11/05/2022"/>
    <d v="2022-05-11T00:00:00"/>
    <s v="2022003-103"/>
    <x v="3"/>
  </r>
  <r>
    <x v="88"/>
    <n v="2022003"/>
    <x v="3"/>
    <s v="Chickpea"/>
    <m/>
    <x v="9"/>
    <s v="N"/>
    <x v="1"/>
    <n v="104"/>
    <n v="52"/>
    <x v="2"/>
    <m/>
    <m/>
    <m/>
    <n v="5"/>
    <m/>
    <m/>
    <m/>
    <m/>
    <m/>
    <n v="9"/>
    <n v="19"/>
    <x v="7"/>
    <n v="10"/>
    <m/>
    <n v="40"/>
    <x v="0"/>
    <n v="2"/>
    <x v="0"/>
    <m/>
    <m/>
    <n v="30"/>
    <x v="1"/>
    <s v="11/05/2022"/>
    <d v="2022-05-11T00:00:00"/>
    <s v="2022003-104"/>
    <x v="3"/>
  </r>
  <r>
    <x v="93"/>
    <n v="2022003"/>
    <x v="3"/>
    <s v="Chickpea"/>
    <m/>
    <x v="4"/>
    <s v="Y"/>
    <x v="2"/>
    <n v="105"/>
    <n v="53"/>
    <x v="2"/>
    <m/>
    <m/>
    <m/>
    <n v="6"/>
    <m/>
    <m/>
    <m/>
    <m/>
    <m/>
    <n v="6"/>
    <n v="22"/>
    <x v="4"/>
    <n v="11"/>
    <m/>
    <m/>
    <x v="0"/>
    <n v="4"/>
    <x v="0"/>
    <m/>
    <m/>
    <n v="30"/>
    <x v="2"/>
    <s v="15/06/2022"/>
    <d v="2022-06-15T00:00:00"/>
    <s v="2022003-105"/>
    <x v="3"/>
  </r>
  <r>
    <x v="93"/>
    <n v="2022003"/>
    <x v="3"/>
    <s v="Chickpea"/>
    <m/>
    <x v="4"/>
    <s v="Y"/>
    <x v="1"/>
    <n v="106"/>
    <n v="53"/>
    <x v="2"/>
    <m/>
    <m/>
    <m/>
    <n v="6"/>
    <m/>
    <m/>
    <m/>
    <m/>
    <m/>
    <n v="6"/>
    <n v="23"/>
    <x v="4"/>
    <n v="12"/>
    <m/>
    <n v="44"/>
    <x v="0"/>
    <n v="4"/>
    <x v="0"/>
    <m/>
    <m/>
    <n v="30"/>
    <x v="2"/>
    <s v="15/06/2022"/>
    <d v="2022-06-15T00:00:00"/>
    <s v="2022003-106"/>
    <x v="3"/>
  </r>
  <r>
    <x v="94"/>
    <n v="2022003"/>
    <x v="3"/>
    <s v="Chickpea"/>
    <m/>
    <x v="9"/>
    <s v="N"/>
    <x v="2"/>
    <n v="107"/>
    <n v="54"/>
    <x v="2"/>
    <m/>
    <m/>
    <m/>
    <n v="6"/>
    <m/>
    <m/>
    <m/>
    <m/>
    <m/>
    <n v="7"/>
    <n v="22"/>
    <x v="5"/>
    <n v="11"/>
    <m/>
    <m/>
    <x v="0"/>
    <n v="2"/>
    <x v="0"/>
    <m/>
    <m/>
    <n v="30"/>
    <x v="2"/>
    <s v="15/06/2022"/>
    <d v="2022-06-15T00:00:00"/>
    <s v="2022003-107"/>
    <x v="3"/>
  </r>
  <r>
    <x v="94"/>
    <n v="2022003"/>
    <x v="3"/>
    <s v="Chickpea"/>
    <m/>
    <x v="9"/>
    <s v="N"/>
    <x v="1"/>
    <n v="108"/>
    <n v="54"/>
    <x v="2"/>
    <m/>
    <m/>
    <m/>
    <n v="6"/>
    <m/>
    <m/>
    <m/>
    <m/>
    <m/>
    <n v="7"/>
    <n v="23"/>
    <x v="5"/>
    <n v="12"/>
    <m/>
    <n v="43"/>
    <x v="0"/>
    <n v="2"/>
    <x v="0"/>
    <m/>
    <m/>
    <n v="30"/>
    <x v="2"/>
    <s v="15/06/2022"/>
    <d v="2022-06-15T00:00:00"/>
    <s v="2022003-108"/>
    <x v="3"/>
  </r>
  <r>
    <x v="95"/>
    <n v="2022003"/>
    <x v="3"/>
    <s v="Chickpea"/>
    <m/>
    <x v="8"/>
    <s v="Y"/>
    <x v="2"/>
    <n v="109"/>
    <n v="55"/>
    <x v="2"/>
    <m/>
    <m/>
    <m/>
    <n v="6"/>
    <m/>
    <m/>
    <m/>
    <m/>
    <m/>
    <n v="8"/>
    <n v="22"/>
    <x v="6"/>
    <n v="11"/>
    <m/>
    <m/>
    <x v="0"/>
    <n v="1"/>
    <x v="0"/>
    <m/>
    <m/>
    <n v="30"/>
    <x v="2"/>
    <s v="15/06/2022"/>
    <d v="2022-06-15T00:00:00"/>
    <s v="2022003-109"/>
    <x v="3"/>
  </r>
  <r>
    <x v="95"/>
    <n v="2022003"/>
    <x v="3"/>
    <s v="Chickpea"/>
    <m/>
    <x v="8"/>
    <s v="Y"/>
    <x v="1"/>
    <n v="110"/>
    <n v="55"/>
    <x v="2"/>
    <m/>
    <m/>
    <m/>
    <n v="6"/>
    <m/>
    <m/>
    <m/>
    <m/>
    <m/>
    <n v="8"/>
    <n v="23"/>
    <x v="6"/>
    <n v="12"/>
    <m/>
    <n v="42"/>
    <x v="0"/>
    <n v="1"/>
    <x v="0"/>
    <m/>
    <m/>
    <n v="30"/>
    <x v="2"/>
    <s v="15/06/2022"/>
    <d v="2022-06-15T00:00:00"/>
    <s v="2022003-110"/>
    <x v="3"/>
  </r>
  <r>
    <x v="92"/>
    <n v="2022003"/>
    <x v="3"/>
    <s v="Chickpea"/>
    <m/>
    <x v="3"/>
    <s v="N"/>
    <x v="2"/>
    <n v="111"/>
    <n v="56"/>
    <x v="2"/>
    <m/>
    <m/>
    <m/>
    <n v="6"/>
    <m/>
    <m/>
    <m/>
    <m/>
    <m/>
    <n v="9"/>
    <n v="22"/>
    <x v="7"/>
    <n v="11"/>
    <m/>
    <m/>
    <x v="0"/>
    <n v="3"/>
    <x v="0"/>
    <m/>
    <m/>
    <n v="30"/>
    <x v="2"/>
    <s v="15/06/2022"/>
    <d v="2022-06-15T00:00:00"/>
    <s v="2022003-111"/>
    <x v="3"/>
  </r>
  <r>
    <x v="92"/>
    <n v="2022003"/>
    <x v="3"/>
    <s v="Chickpea"/>
    <m/>
    <x v="3"/>
    <s v="N"/>
    <x v="1"/>
    <n v="112"/>
    <n v="56"/>
    <x v="2"/>
    <m/>
    <m/>
    <m/>
    <n v="6"/>
    <m/>
    <m/>
    <m/>
    <m/>
    <m/>
    <n v="9"/>
    <n v="23"/>
    <x v="7"/>
    <n v="12"/>
    <m/>
    <n v="41"/>
    <x v="0"/>
    <n v="3"/>
    <x v="0"/>
    <m/>
    <m/>
    <n v="30"/>
    <x v="2"/>
    <s v="15/06/2022"/>
    <d v="2022-06-15T00:00:00"/>
    <s v="2022003-112"/>
    <x v="3"/>
  </r>
  <r>
    <x v="95"/>
    <n v="2022003"/>
    <x v="3"/>
    <s v="Chickpea"/>
    <m/>
    <x v="8"/>
    <s v="Y"/>
    <x v="2"/>
    <n v="113"/>
    <n v="57"/>
    <x v="3"/>
    <m/>
    <m/>
    <m/>
    <n v="7"/>
    <m/>
    <m/>
    <m/>
    <m/>
    <m/>
    <n v="6"/>
    <n v="26"/>
    <x v="4"/>
    <n v="13"/>
    <m/>
    <m/>
    <x v="0"/>
    <n v="1"/>
    <x v="0"/>
    <m/>
    <m/>
    <n v="30"/>
    <x v="2"/>
    <s v="15/06/2022"/>
    <d v="2022-06-15T00:00:00"/>
    <s v="2022003-113"/>
    <x v="3"/>
  </r>
  <r>
    <x v="95"/>
    <n v="2022003"/>
    <x v="3"/>
    <s v="Chickpea"/>
    <m/>
    <x v="8"/>
    <s v="Y"/>
    <x v="1"/>
    <n v="114"/>
    <n v="57"/>
    <x v="3"/>
    <m/>
    <m/>
    <m/>
    <n v="7"/>
    <m/>
    <m/>
    <m/>
    <m/>
    <m/>
    <n v="6"/>
    <n v="27"/>
    <x v="4"/>
    <n v="14"/>
    <m/>
    <n v="53"/>
    <x v="0"/>
    <n v="1"/>
    <x v="0"/>
    <m/>
    <m/>
    <n v="30"/>
    <x v="2"/>
    <s v="15/06/2022"/>
    <d v="2022-06-15T00:00:00"/>
    <s v="2022003-114"/>
    <x v="3"/>
  </r>
  <r>
    <x v="94"/>
    <n v="2022003"/>
    <x v="3"/>
    <s v="Chickpea"/>
    <m/>
    <x v="9"/>
    <s v="N"/>
    <x v="2"/>
    <n v="115"/>
    <n v="58"/>
    <x v="3"/>
    <m/>
    <m/>
    <m/>
    <n v="7"/>
    <m/>
    <m/>
    <m/>
    <m/>
    <m/>
    <n v="7"/>
    <n v="26"/>
    <x v="5"/>
    <n v="13"/>
    <m/>
    <m/>
    <x v="0"/>
    <n v="2"/>
    <x v="0"/>
    <m/>
    <m/>
    <n v="30"/>
    <x v="2"/>
    <s v="15/06/2022"/>
    <d v="2022-06-15T00:00:00"/>
    <s v="2022003-115"/>
    <x v="3"/>
  </r>
  <r>
    <x v="94"/>
    <n v="2022003"/>
    <x v="3"/>
    <s v="Chickpea"/>
    <m/>
    <x v="9"/>
    <s v="N"/>
    <x v="1"/>
    <n v="116"/>
    <n v="58"/>
    <x v="3"/>
    <m/>
    <m/>
    <m/>
    <n v="7"/>
    <m/>
    <m/>
    <m/>
    <m/>
    <m/>
    <n v="7"/>
    <n v="27"/>
    <x v="5"/>
    <n v="14"/>
    <m/>
    <n v="54"/>
    <x v="0"/>
    <n v="2"/>
    <x v="0"/>
    <m/>
    <m/>
    <n v="30"/>
    <x v="2"/>
    <s v="15/06/2022"/>
    <d v="2022-06-15T00:00:00"/>
    <s v="2022003-116"/>
    <x v="3"/>
  </r>
  <r>
    <x v="92"/>
    <n v="2022003"/>
    <x v="3"/>
    <s v="Chickpea"/>
    <m/>
    <x v="3"/>
    <s v="N"/>
    <x v="2"/>
    <n v="117"/>
    <n v="59"/>
    <x v="3"/>
    <m/>
    <m/>
    <m/>
    <n v="7"/>
    <m/>
    <m/>
    <m/>
    <m/>
    <m/>
    <n v="8"/>
    <n v="26"/>
    <x v="6"/>
    <n v="13"/>
    <m/>
    <m/>
    <x v="0"/>
    <n v="3"/>
    <x v="0"/>
    <m/>
    <m/>
    <n v="30"/>
    <x v="2"/>
    <s v="15/06/2022"/>
    <d v="2022-06-15T00:00:00"/>
    <s v="2022003-117"/>
    <x v="3"/>
  </r>
  <r>
    <x v="92"/>
    <n v="2022003"/>
    <x v="3"/>
    <s v="Chickpea"/>
    <m/>
    <x v="3"/>
    <s v="N"/>
    <x v="1"/>
    <n v="118"/>
    <n v="59"/>
    <x v="3"/>
    <m/>
    <m/>
    <m/>
    <n v="7"/>
    <m/>
    <m/>
    <m/>
    <m/>
    <m/>
    <n v="8"/>
    <n v="27"/>
    <x v="6"/>
    <n v="14"/>
    <m/>
    <n v="55"/>
    <x v="0"/>
    <n v="3"/>
    <x v="0"/>
    <m/>
    <m/>
    <n v="30"/>
    <x v="2"/>
    <s v="15/06/2022"/>
    <d v="2022-06-15T00:00:00"/>
    <s v="2022003-118"/>
    <x v="3"/>
  </r>
  <r>
    <x v="93"/>
    <n v="2022003"/>
    <x v="3"/>
    <s v="Chickpea"/>
    <m/>
    <x v="4"/>
    <s v="Y"/>
    <x v="2"/>
    <n v="119"/>
    <n v="60"/>
    <x v="3"/>
    <m/>
    <m/>
    <m/>
    <n v="7"/>
    <m/>
    <m/>
    <m/>
    <m/>
    <m/>
    <n v="9"/>
    <n v="26"/>
    <x v="7"/>
    <n v="13"/>
    <m/>
    <m/>
    <x v="0"/>
    <n v="4"/>
    <x v="0"/>
    <m/>
    <m/>
    <n v="30"/>
    <x v="2"/>
    <s v="15/06/2022"/>
    <d v="2022-06-15T00:00:00"/>
    <s v="2022003-119"/>
    <x v="3"/>
  </r>
  <r>
    <x v="93"/>
    <n v="2022003"/>
    <x v="3"/>
    <s v="Chickpea"/>
    <m/>
    <x v="4"/>
    <s v="Y"/>
    <x v="1"/>
    <n v="120"/>
    <n v="60"/>
    <x v="3"/>
    <m/>
    <m/>
    <m/>
    <n v="7"/>
    <m/>
    <m/>
    <m/>
    <m/>
    <m/>
    <n v="9"/>
    <n v="27"/>
    <x v="7"/>
    <n v="14"/>
    <m/>
    <n v="56"/>
    <x v="0"/>
    <n v="4"/>
    <x v="0"/>
    <m/>
    <m/>
    <n v="30"/>
    <x v="2"/>
    <s v="15/06/2022"/>
    <d v="2022-06-15T00:00:00"/>
    <s v="2022003-120"/>
    <x v="3"/>
  </r>
  <r>
    <x v="88"/>
    <n v="2022003"/>
    <x v="3"/>
    <s v="Chickpea"/>
    <m/>
    <x v="9"/>
    <s v="N"/>
    <x v="2"/>
    <n v="121"/>
    <n v="61"/>
    <x v="3"/>
    <m/>
    <m/>
    <m/>
    <n v="8"/>
    <m/>
    <m/>
    <m/>
    <m/>
    <m/>
    <n v="6"/>
    <n v="30"/>
    <x v="4"/>
    <n v="15"/>
    <m/>
    <m/>
    <x v="0"/>
    <n v="2"/>
    <x v="0"/>
    <m/>
    <m/>
    <n v="30"/>
    <x v="1"/>
    <s v="11/05/2022"/>
    <d v="2022-05-11T00:00:00"/>
    <s v="2022003-121"/>
    <x v="3"/>
  </r>
  <r>
    <x v="88"/>
    <n v="2022003"/>
    <x v="3"/>
    <s v="Chickpea"/>
    <m/>
    <x v="9"/>
    <s v="N"/>
    <x v="1"/>
    <n v="122"/>
    <n v="61"/>
    <x v="3"/>
    <m/>
    <m/>
    <m/>
    <n v="8"/>
    <m/>
    <m/>
    <m/>
    <m/>
    <m/>
    <n v="6"/>
    <n v="31"/>
    <x v="4"/>
    <n v="16"/>
    <m/>
    <n v="60"/>
    <x v="0"/>
    <n v="2"/>
    <x v="0"/>
    <m/>
    <m/>
    <n v="30"/>
    <x v="1"/>
    <s v="11/05/2022"/>
    <d v="2022-05-11T00:00:00"/>
    <s v="2022003-122"/>
    <x v="3"/>
  </r>
  <r>
    <x v="91"/>
    <n v="2022003"/>
    <x v="3"/>
    <s v="Chickpea"/>
    <m/>
    <x v="4"/>
    <s v="Y"/>
    <x v="2"/>
    <n v="123"/>
    <n v="62"/>
    <x v="3"/>
    <m/>
    <m/>
    <m/>
    <n v="8"/>
    <m/>
    <m/>
    <m/>
    <m/>
    <m/>
    <n v="7"/>
    <n v="30"/>
    <x v="5"/>
    <n v="15"/>
    <m/>
    <m/>
    <x v="0"/>
    <n v="4"/>
    <x v="0"/>
    <m/>
    <m/>
    <n v="30"/>
    <x v="1"/>
    <s v="11/05/2022"/>
    <d v="2022-05-11T00:00:00"/>
    <s v="2022003-123"/>
    <x v="3"/>
  </r>
  <r>
    <x v="91"/>
    <n v="2022003"/>
    <x v="3"/>
    <s v="Chickpea"/>
    <m/>
    <x v="4"/>
    <s v="Y"/>
    <x v="1"/>
    <n v="124"/>
    <n v="62"/>
    <x v="3"/>
    <m/>
    <m/>
    <m/>
    <n v="8"/>
    <m/>
    <m/>
    <m/>
    <m/>
    <m/>
    <n v="7"/>
    <n v="31"/>
    <x v="5"/>
    <n v="16"/>
    <m/>
    <n v="59"/>
    <x v="0"/>
    <n v="4"/>
    <x v="0"/>
    <m/>
    <m/>
    <n v="30"/>
    <x v="1"/>
    <s v="11/05/2022"/>
    <d v="2022-05-11T00:00:00"/>
    <s v="2022003-124"/>
    <x v="3"/>
  </r>
  <r>
    <x v="89"/>
    <n v="2022003"/>
    <x v="3"/>
    <s v="Chickpea"/>
    <m/>
    <x v="8"/>
    <s v="Y"/>
    <x v="2"/>
    <n v="125"/>
    <n v="63"/>
    <x v="3"/>
    <m/>
    <m/>
    <m/>
    <n v="8"/>
    <m/>
    <m/>
    <m/>
    <m/>
    <m/>
    <n v="8"/>
    <n v="30"/>
    <x v="6"/>
    <n v="15"/>
    <m/>
    <m/>
    <x v="0"/>
    <n v="1"/>
    <x v="0"/>
    <m/>
    <m/>
    <n v="30"/>
    <x v="1"/>
    <s v="11/05/2022"/>
    <d v="2022-05-11T00:00:00"/>
    <s v="2022003-125"/>
    <x v="3"/>
  </r>
  <r>
    <x v="89"/>
    <n v="2022003"/>
    <x v="3"/>
    <s v="Chickpea"/>
    <m/>
    <x v="8"/>
    <s v="Y"/>
    <x v="1"/>
    <n v="126"/>
    <n v="63"/>
    <x v="3"/>
    <m/>
    <m/>
    <m/>
    <n v="8"/>
    <m/>
    <m/>
    <m/>
    <m/>
    <m/>
    <n v="8"/>
    <n v="31"/>
    <x v="6"/>
    <n v="16"/>
    <m/>
    <n v="58"/>
    <x v="0"/>
    <n v="1"/>
    <x v="0"/>
    <m/>
    <m/>
    <n v="30"/>
    <x v="1"/>
    <s v="11/05/2022"/>
    <d v="2022-05-11T00:00:00"/>
    <s v="2022003-126"/>
    <x v="3"/>
  </r>
  <r>
    <x v="90"/>
    <n v="2022003"/>
    <x v="3"/>
    <s v="Chickpea"/>
    <m/>
    <x v="3"/>
    <s v="N"/>
    <x v="2"/>
    <n v="127"/>
    <n v="64"/>
    <x v="3"/>
    <m/>
    <m/>
    <m/>
    <n v="8"/>
    <m/>
    <m/>
    <m/>
    <m/>
    <m/>
    <n v="9"/>
    <n v="30"/>
    <x v="7"/>
    <n v="15"/>
    <m/>
    <m/>
    <x v="0"/>
    <n v="3"/>
    <x v="0"/>
    <m/>
    <m/>
    <n v="30"/>
    <x v="1"/>
    <s v="11/05/2022"/>
    <d v="2022-05-11T00:00:00"/>
    <s v="2022003-127"/>
    <x v="3"/>
  </r>
  <r>
    <x v="90"/>
    <n v="2022003"/>
    <x v="3"/>
    <s v="Chickpea"/>
    <m/>
    <x v="3"/>
    <s v="N"/>
    <x v="1"/>
    <n v="128"/>
    <n v="64"/>
    <x v="3"/>
    <m/>
    <m/>
    <m/>
    <n v="8"/>
    <m/>
    <m/>
    <m/>
    <m/>
    <m/>
    <n v="9"/>
    <n v="31"/>
    <x v="7"/>
    <n v="16"/>
    <m/>
    <n v="57"/>
    <x v="0"/>
    <n v="3"/>
    <x v="0"/>
    <m/>
    <m/>
    <n v="30"/>
    <x v="1"/>
    <s v="11/05/2022"/>
    <d v="2022-05-11T00:00:00"/>
    <s v="2022003-128"/>
    <x v="3"/>
  </r>
  <r>
    <x v="96"/>
    <n v="2022004"/>
    <x v="4"/>
    <s v="Fababean"/>
    <m/>
    <x v="10"/>
    <s v="Y"/>
    <x v="2"/>
    <n v="1"/>
    <n v="1"/>
    <x v="0"/>
    <m/>
    <m/>
    <m/>
    <n v="1"/>
    <m/>
    <m/>
    <m/>
    <m/>
    <m/>
    <n v="1"/>
    <n v="2"/>
    <x v="0"/>
    <n v="1"/>
    <m/>
    <m/>
    <x v="1"/>
    <n v="4"/>
    <x v="0"/>
    <m/>
    <m/>
    <n v="23"/>
    <x v="2"/>
    <s v="14/07/2022"/>
    <d v="2022-07-14T00:00:00"/>
    <s v="2022004-1"/>
    <x v="4"/>
  </r>
  <r>
    <x v="96"/>
    <n v="2022004"/>
    <x v="4"/>
    <s v="Fababean"/>
    <m/>
    <x v="10"/>
    <s v="Y"/>
    <x v="1"/>
    <n v="2"/>
    <n v="1"/>
    <x v="0"/>
    <m/>
    <m/>
    <m/>
    <n v="1"/>
    <m/>
    <m/>
    <m/>
    <m/>
    <m/>
    <n v="2"/>
    <n v="2"/>
    <x v="1"/>
    <n v="1"/>
    <m/>
    <n v="2"/>
    <x v="1"/>
    <n v="4"/>
    <x v="0"/>
    <m/>
    <m/>
    <n v="23"/>
    <x v="2"/>
    <s v="14/07/2022"/>
    <d v="2022-07-14T00:00:00"/>
    <s v="2022004-2"/>
    <x v="4"/>
  </r>
  <r>
    <x v="97"/>
    <n v="2022004"/>
    <x v="4"/>
    <s v="Fababean"/>
    <m/>
    <x v="11"/>
    <s v="N"/>
    <x v="2"/>
    <n v="3"/>
    <n v="2"/>
    <x v="0"/>
    <m/>
    <m/>
    <m/>
    <n v="1"/>
    <m/>
    <m/>
    <m/>
    <m/>
    <m/>
    <n v="3"/>
    <n v="2"/>
    <x v="2"/>
    <n v="1"/>
    <m/>
    <m/>
    <x v="1"/>
    <n v="2"/>
    <x v="0"/>
    <m/>
    <m/>
    <n v="23"/>
    <x v="2"/>
    <s v="14/07/2022"/>
    <d v="2022-07-14T00:00:00"/>
    <s v="2022004-3"/>
    <x v="4"/>
  </r>
  <r>
    <x v="97"/>
    <n v="2022004"/>
    <x v="4"/>
    <s v="Fababean"/>
    <m/>
    <x v="11"/>
    <s v="N"/>
    <x v="1"/>
    <n v="4"/>
    <n v="2"/>
    <x v="0"/>
    <m/>
    <m/>
    <m/>
    <n v="1"/>
    <m/>
    <m/>
    <m/>
    <m/>
    <m/>
    <n v="4"/>
    <n v="2"/>
    <x v="3"/>
    <n v="1"/>
    <m/>
    <n v="4"/>
    <x v="1"/>
    <n v="2"/>
    <x v="0"/>
    <m/>
    <m/>
    <n v="23"/>
    <x v="2"/>
    <s v="14/07/2022"/>
    <d v="2022-07-14T00:00:00"/>
    <s v="2022004-4"/>
    <x v="4"/>
  </r>
  <r>
    <x v="98"/>
    <n v="2022004"/>
    <x v="4"/>
    <s v="Fababean"/>
    <m/>
    <x v="12"/>
    <s v="N"/>
    <x v="2"/>
    <n v="5"/>
    <n v="3"/>
    <x v="0"/>
    <m/>
    <m/>
    <m/>
    <n v="1"/>
    <m/>
    <m/>
    <m/>
    <m/>
    <m/>
    <n v="1"/>
    <n v="3"/>
    <x v="0"/>
    <n v="2"/>
    <m/>
    <m/>
    <x v="1"/>
    <n v="1"/>
    <x v="0"/>
    <m/>
    <m/>
    <n v="23"/>
    <x v="2"/>
    <s v="14/07/2022"/>
    <d v="2022-07-14T00:00:00"/>
    <s v="2022004-5"/>
    <x v="4"/>
  </r>
  <r>
    <x v="98"/>
    <n v="2022004"/>
    <x v="4"/>
    <s v="Fababean"/>
    <m/>
    <x v="12"/>
    <s v="N"/>
    <x v="1"/>
    <n v="6"/>
    <n v="3"/>
    <x v="0"/>
    <m/>
    <m/>
    <m/>
    <n v="1"/>
    <m/>
    <m/>
    <m/>
    <m/>
    <m/>
    <n v="2"/>
    <n v="3"/>
    <x v="1"/>
    <n v="2"/>
    <m/>
    <n v="7"/>
    <x v="1"/>
    <n v="1"/>
    <x v="0"/>
    <m/>
    <m/>
    <n v="23"/>
    <x v="2"/>
    <s v="14/07/2022"/>
    <d v="2022-07-14T00:00:00"/>
    <s v="2022004-6"/>
    <x v="4"/>
  </r>
  <r>
    <x v="99"/>
    <n v="2022004"/>
    <x v="4"/>
    <s v="Fababean"/>
    <m/>
    <x v="13"/>
    <s v="Y"/>
    <x v="2"/>
    <n v="7"/>
    <n v="4"/>
    <x v="0"/>
    <m/>
    <m/>
    <m/>
    <n v="1"/>
    <m/>
    <m/>
    <m/>
    <m/>
    <m/>
    <n v="3"/>
    <n v="3"/>
    <x v="2"/>
    <n v="2"/>
    <m/>
    <m/>
    <x v="1"/>
    <n v="3"/>
    <x v="0"/>
    <m/>
    <m/>
    <n v="23"/>
    <x v="2"/>
    <s v="14/07/2022"/>
    <d v="2022-07-14T00:00:00"/>
    <s v="2022004-7"/>
    <x v="4"/>
  </r>
  <r>
    <x v="99"/>
    <n v="2022004"/>
    <x v="4"/>
    <s v="Fababean"/>
    <m/>
    <x v="13"/>
    <s v="Y"/>
    <x v="1"/>
    <n v="8"/>
    <n v="4"/>
    <x v="0"/>
    <m/>
    <m/>
    <m/>
    <n v="1"/>
    <m/>
    <m/>
    <m/>
    <m/>
    <m/>
    <n v="4"/>
    <n v="3"/>
    <x v="3"/>
    <n v="2"/>
    <m/>
    <n v="5"/>
    <x v="1"/>
    <n v="3"/>
    <x v="0"/>
    <m/>
    <m/>
    <n v="23"/>
    <x v="2"/>
    <s v="14/07/2022"/>
    <d v="2022-07-14T00:00:00"/>
    <s v="2022004-8"/>
    <x v="4"/>
  </r>
  <r>
    <x v="100"/>
    <n v="2022004"/>
    <x v="4"/>
    <s v="Fababean"/>
    <m/>
    <x v="13"/>
    <s v="Y"/>
    <x v="2"/>
    <n v="9"/>
    <n v="5"/>
    <x v="0"/>
    <m/>
    <m/>
    <m/>
    <n v="2"/>
    <m/>
    <m/>
    <m/>
    <m/>
    <m/>
    <n v="1"/>
    <n v="6"/>
    <x v="0"/>
    <n v="3"/>
    <m/>
    <m/>
    <x v="1"/>
    <n v="3"/>
    <x v="0"/>
    <m/>
    <m/>
    <n v="23"/>
    <x v="1"/>
    <s v="18/06/2022"/>
    <d v="2022-06-18T00:00:00"/>
    <s v="2022004-9"/>
    <x v="4"/>
  </r>
  <r>
    <x v="100"/>
    <n v="2022004"/>
    <x v="4"/>
    <s v="Fababean"/>
    <m/>
    <x v="13"/>
    <s v="Y"/>
    <x v="1"/>
    <n v="10"/>
    <n v="5"/>
    <x v="0"/>
    <m/>
    <m/>
    <m/>
    <n v="2"/>
    <m/>
    <m/>
    <m/>
    <m/>
    <m/>
    <n v="2"/>
    <n v="6"/>
    <x v="1"/>
    <n v="3"/>
    <m/>
    <n v="10"/>
    <x v="1"/>
    <n v="3"/>
    <x v="0"/>
    <m/>
    <m/>
    <n v="23"/>
    <x v="1"/>
    <s v="18/06/2022"/>
    <d v="2022-06-18T00:00:00"/>
    <s v="2022004-10"/>
    <x v="4"/>
  </r>
  <r>
    <x v="101"/>
    <n v="2022004"/>
    <x v="4"/>
    <s v="Fababean"/>
    <m/>
    <x v="12"/>
    <s v="N"/>
    <x v="2"/>
    <n v="11"/>
    <n v="6"/>
    <x v="0"/>
    <m/>
    <m/>
    <m/>
    <n v="2"/>
    <m/>
    <m/>
    <m/>
    <m/>
    <m/>
    <n v="3"/>
    <n v="6"/>
    <x v="2"/>
    <n v="3"/>
    <m/>
    <m/>
    <x v="1"/>
    <n v="1"/>
    <x v="0"/>
    <m/>
    <m/>
    <n v="23"/>
    <x v="1"/>
    <s v="18/06/2022"/>
    <d v="2022-06-18T00:00:00"/>
    <s v="2022004-11"/>
    <x v="4"/>
  </r>
  <r>
    <x v="101"/>
    <n v="2022004"/>
    <x v="4"/>
    <s v="Fababean"/>
    <m/>
    <x v="12"/>
    <s v="N"/>
    <x v="1"/>
    <n v="12"/>
    <n v="6"/>
    <x v="0"/>
    <m/>
    <m/>
    <m/>
    <n v="2"/>
    <m/>
    <m/>
    <m/>
    <m/>
    <m/>
    <n v="4"/>
    <n v="6"/>
    <x v="3"/>
    <n v="3"/>
    <m/>
    <n v="12"/>
    <x v="1"/>
    <n v="1"/>
    <x v="0"/>
    <m/>
    <m/>
    <n v="23"/>
    <x v="1"/>
    <s v="18/06/2022"/>
    <d v="2022-06-18T00:00:00"/>
    <s v="2022004-12"/>
    <x v="4"/>
  </r>
  <r>
    <x v="102"/>
    <n v="2022004"/>
    <x v="4"/>
    <s v="Fababean"/>
    <m/>
    <x v="11"/>
    <s v="N"/>
    <x v="2"/>
    <n v="13"/>
    <n v="7"/>
    <x v="0"/>
    <m/>
    <m/>
    <m/>
    <n v="2"/>
    <m/>
    <m/>
    <m/>
    <m/>
    <m/>
    <n v="1"/>
    <n v="7"/>
    <x v="0"/>
    <n v="4"/>
    <m/>
    <m/>
    <x v="1"/>
    <n v="2"/>
    <x v="0"/>
    <m/>
    <m/>
    <n v="23"/>
    <x v="1"/>
    <s v="18/06/2022"/>
    <d v="2022-06-18T00:00:00"/>
    <s v="2022004-13"/>
    <x v="4"/>
  </r>
  <r>
    <x v="102"/>
    <n v="2022004"/>
    <x v="4"/>
    <s v="Fababean"/>
    <m/>
    <x v="11"/>
    <s v="N"/>
    <x v="1"/>
    <n v="14"/>
    <n v="7"/>
    <x v="0"/>
    <m/>
    <m/>
    <m/>
    <n v="2"/>
    <m/>
    <m/>
    <m/>
    <m/>
    <m/>
    <n v="2"/>
    <n v="7"/>
    <x v="1"/>
    <n v="4"/>
    <m/>
    <n v="15"/>
    <x v="1"/>
    <n v="2"/>
    <x v="0"/>
    <m/>
    <m/>
    <n v="23"/>
    <x v="1"/>
    <s v="18/06/2022"/>
    <d v="2022-06-18T00:00:00"/>
    <s v="2022004-14"/>
    <x v="4"/>
  </r>
  <r>
    <x v="103"/>
    <n v="2022004"/>
    <x v="4"/>
    <s v="Fababean"/>
    <m/>
    <x v="10"/>
    <s v="Y"/>
    <x v="2"/>
    <n v="15"/>
    <n v="8"/>
    <x v="0"/>
    <m/>
    <m/>
    <m/>
    <n v="2"/>
    <m/>
    <m/>
    <m/>
    <m/>
    <m/>
    <n v="3"/>
    <n v="7"/>
    <x v="2"/>
    <n v="4"/>
    <m/>
    <m/>
    <x v="1"/>
    <n v="4"/>
    <x v="0"/>
    <m/>
    <m/>
    <n v="23"/>
    <x v="1"/>
    <s v="18/06/2022"/>
    <d v="2022-06-18T00:00:00"/>
    <s v="2022004-15"/>
    <x v="4"/>
  </r>
  <r>
    <x v="103"/>
    <n v="2022004"/>
    <x v="4"/>
    <s v="Fababean"/>
    <m/>
    <x v="10"/>
    <s v="Y"/>
    <x v="1"/>
    <n v="16"/>
    <n v="8"/>
    <x v="0"/>
    <m/>
    <m/>
    <m/>
    <n v="2"/>
    <m/>
    <m/>
    <m/>
    <m/>
    <m/>
    <n v="4"/>
    <n v="7"/>
    <x v="3"/>
    <n v="4"/>
    <m/>
    <n v="13"/>
    <x v="1"/>
    <n v="4"/>
    <x v="0"/>
    <m/>
    <m/>
    <n v="23"/>
    <x v="1"/>
    <s v="18/06/2022"/>
    <d v="2022-06-18T00:00:00"/>
    <s v="2022004-16"/>
    <x v="4"/>
  </r>
  <r>
    <x v="104"/>
    <n v="2022004"/>
    <x v="4"/>
    <s v="Fababean"/>
    <m/>
    <x v="12"/>
    <s v="N"/>
    <x v="2"/>
    <n v="17"/>
    <n v="9"/>
    <x v="0"/>
    <m/>
    <m/>
    <m/>
    <n v="3"/>
    <m/>
    <m/>
    <m/>
    <m/>
    <m/>
    <n v="1"/>
    <n v="10"/>
    <x v="0"/>
    <n v="5"/>
    <m/>
    <m/>
    <x v="0"/>
    <n v="1"/>
    <x v="0"/>
    <m/>
    <m/>
    <n v="23"/>
    <x v="1"/>
    <s v="18/06/2022"/>
    <d v="2022-06-18T00:00:00"/>
    <s v="2022004-17"/>
    <x v="4"/>
  </r>
  <r>
    <x v="104"/>
    <n v="2022004"/>
    <x v="4"/>
    <s v="Fababean"/>
    <m/>
    <x v="12"/>
    <s v="N"/>
    <x v="1"/>
    <n v="18"/>
    <n v="9"/>
    <x v="0"/>
    <m/>
    <m/>
    <m/>
    <n v="3"/>
    <m/>
    <m/>
    <m/>
    <m/>
    <m/>
    <n v="2"/>
    <n v="10"/>
    <x v="1"/>
    <n v="5"/>
    <m/>
    <n v="18"/>
    <x v="0"/>
    <n v="1"/>
    <x v="0"/>
    <m/>
    <m/>
    <n v="23"/>
    <x v="1"/>
    <s v="18/06/2022"/>
    <d v="2022-06-18T00:00:00"/>
    <s v="2022004-18"/>
    <x v="4"/>
  </r>
  <r>
    <x v="105"/>
    <n v="2022004"/>
    <x v="4"/>
    <s v="Fababean"/>
    <m/>
    <x v="10"/>
    <s v="Y"/>
    <x v="2"/>
    <n v="19"/>
    <n v="10"/>
    <x v="0"/>
    <m/>
    <m/>
    <m/>
    <n v="3"/>
    <m/>
    <m/>
    <m/>
    <m/>
    <m/>
    <n v="3"/>
    <n v="10"/>
    <x v="2"/>
    <n v="5"/>
    <m/>
    <m/>
    <x v="0"/>
    <n v="4"/>
    <x v="0"/>
    <m/>
    <m/>
    <n v="23"/>
    <x v="1"/>
    <s v="18/06/2022"/>
    <d v="2022-06-18T00:00:00"/>
    <s v="2022004-19"/>
    <x v="4"/>
  </r>
  <r>
    <x v="105"/>
    <n v="2022004"/>
    <x v="4"/>
    <s v="Fababean"/>
    <m/>
    <x v="10"/>
    <s v="Y"/>
    <x v="1"/>
    <n v="20"/>
    <n v="10"/>
    <x v="0"/>
    <m/>
    <m/>
    <m/>
    <n v="3"/>
    <m/>
    <m/>
    <m/>
    <m/>
    <m/>
    <n v="4"/>
    <n v="10"/>
    <x v="3"/>
    <n v="5"/>
    <m/>
    <n v="20"/>
    <x v="0"/>
    <n v="4"/>
    <x v="0"/>
    <m/>
    <m/>
    <n v="23"/>
    <x v="1"/>
    <s v="18/06/2022"/>
    <d v="2022-06-18T00:00:00"/>
    <s v="2022004-20"/>
    <x v="4"/>
  </r>
  <r>
    <x v="106"/>
    <n v="2022004"/>
    <x v="4"/>
    <s v="Fababean"/>
    <m/>
    <x v="13"/>
    <s v="Y"/>
    <x v="2"/>
    <n v="21"/>
    <n v="11"/>
    <x v="0"/>
    <m/>
    <m/>
    <m/>
    <n v="3"/>
    <m/>
    <m/>
    <m/>
    <m/>
    <m/>
    <n v="1"/>
    <n v="11"/>
    <x v="0"/>
    <n v="6"/>
    <m/>
    <m/>
    <x v="0"/>
    <n v="3"/>
    <x v="0"/>
    <m/>
    <m/>
    <n v="23"/>
    <x v="1"/>
    <s v="18/06/2022"/>
    <d v="2022-06-18T00:00:00"/>
    <s v="2022004-21"/>
    <x v="4"/>
  </r>
  <r>
    <x v="106"/>
    <n v="2022004"/>
    <x v="4"/>
    <s v="Fababean"/>
    <m/>
    <x v="13"/>
    <s v="Y"/>
    <x v="1"/>
    <n v="22"/>
    <n v="11"/>
    <x v="0"/>
    <m/>
    <m/>
    <m/>
    <n v="3"/>
    <m/>
    <m/>
    <m/>
    <m/>
    <m/>
    <n v="2"/>
    <n v="11"/>
    <x v="1"/>
    <n v="6"/>
    <m/>
    <n v="23"/>
    <x v="0"/>
    <n v="3"/>
    <x v="0"/>
    <m/>
    <m/>
    <n v="23"/>
    <x v="1"/>
    <s v="18/06/2022"/>
    <d v="2022-06-18T00:00:00"/>
    <s v="2022004-22"/>
    <x v="4"/>
  </r>
  <r>
    <x v="107"/>
    <n v="2022004"/>
    <x v="4"/>
    <s v="Fababean"/>
    <m/>
    <x v="11"/>
    <s v="N"/>
    <x v="2"/>
    <n v="23"/>
    <n v="12"/>
    <x v="0"/>
    <m/>
    <m/>
    <m/>
    <n v="3"/>
    <m/>
    <m/>
    <m/>
    <m/>
    <m/>
    <n v="3"/>
    <n v="11"/>
    <x v="2"/>
    <n v="6"/>
    <m/>
    <m/>
    <x v="0"/>
    <n v="2"/>
    <x v="0"/>
    <m/>
    <m/>
    <n v="23"/>
    <x v="1"/>
    <s v="18/06/2022"/>
    <d v="2022-06-18T00:00:00"/>
    <s v="2022004-23"/>
    <x v="4"/>
  </r>
  <r>
    <x v="107"/>
    <n v="2022004"/>
    <x v="4"/>
    <s v="Fababean"/>
    <m/>
    <x v="11"/>
    <s v="N"/>
    <x v="1"/>
    <n v="24"/>
    <n v="12"/>
    <x v="0"/>
    <m/>
    <m/>
    <m/>
    <n v="3"/>
    <m/>
    <m/>
    <m/>
    <m/>
    <m/>
    <n v="4"/>
    <n v="11"/>
    <x v="3"/>
    <n v="6"/>
    <m/>
    <n v="21"/>
    <x v="0"/>
    <n v="2"/>
    <x v="0"/>
    <m/>
    <m/>
    <n v="23"/>
    <x v="1"/>
    <s v="18/06/2022"/>
    <d v="2022-06-18T00:00:00"/>
    <s v="2022004-24"/>
    <x v="4"/>
  </r>
  <r>
    <x v="108"/>
    <n v="2022004"/>
    <x v="4"/>
    <s v="Fababean"/>
    <m/>
    <x v="11"/>
    <s v="N"/>
    <x v="2"/>
    <n v="25"/>
    <n v="13"/>
    <x v="0"/>
    <m/>
    <m/>
    <m/>
    <n v="4"/>
    <m/>
    <m/>
    <m/>
    <m/>
    <m/>
    <n v="1"/>
    <n v="14"/>
    <x v="0"/>
    <n v="7"/>
    <m/>
    <m/>
    <x v="0"/>
    <n v="2"/>
    <x v="0"/>
    <m/>
    <m/>
    <n v="23"/>
    <x v="2"/>
    <s v="14/07/2022"/>
    <d v="2022-07-14T00:00:00"/>
    <s v="2022004-25"/>
    <x v="4"/>
  </r>
  <r>
    <x v="108"/>
    <n v="2022004"/>
    <x v="4"/>
    <s v="Fababean"/>
    <m/>
    <x v="11"/>
    <s v="N"/>
    <x v="1"/>
    <n v="26"/>
    <n v="13"/>
    <x v="0"/>
    <m/>
    <m/>
    <m/>
    <n v="4"/>
    <m/>
    <m/>
    <m/>
    <m/>
    <m/>
    <n v="2"/>
    <n v="14"/>
    <x v="1"/>
    <n v="7"/>
    <m/>
    <n v="26"/>
    <x v="0"/>
    <n v="2"/>
    <x v="0"/>
    <m/>
    <m/>
    <n v="23"/>
    <x v="2"/>
    <s v="14/07/2022"/>
    <d v="2022-07-14T00:00:00"/>
    <s v="2022004-26"/>
    <x v="4"/>
  </r>
  <r>
    <x v="109"/>
    <n v="2022004"/>
    <x v="4"/>
    <s v="Fababean"/>
    <m/>
    <x v="13"/>
    <s v="Y"/>
    <x v="2"/>
    <n v="27"/>
    <n v="14"/>
    <x v="0"/>
    <m/>
    <m/>
    <m/>
    <n v="4"/>
    <m/>
    <m/>
    <m/>
    <m/>
    <m/>
    <n v="3"/>
    <n v="14"/>
    <x v="2"/>
    <n v="7"/>
    <m/>
    <m/>
    <x v="0"/>
    <n v="3"/>
    <x v="0"/>
    <m/>
    <m/>
    <n v="23"/>
    <x v="2"/>
    <s v="14/07/2022"/>
    <d v="2022-07-14T00:00:00"/>
    <s v="2022004-27"/>
    <x v="4"/>
  </r>
  <r>
    <x v="109"/>
    <n v="2022004"/>
    <x v="4"/>
    <s v="Fababean"/>
    <m/>
    <x v="13"/>
    <s v="Y"/>
    <x v="1"/>
    <n v="28"/>
    <n v="14"/>
    <x v="0"/>
    <m/>
    <m/>
    <m/>
    <n v="4"/>
    <m/>
    <m/>
    <m/>
    <m/>
    <m/>
    <n v="4"/>
    <n v="14"/>
    <x v="3"/>
    <n v="7"/>
    <m/>
    <n v="28"/>
    <x v="0"/>
    <n v="3"/>
    <x v="0"/>
    <m/>
    <m/>
    <n v="23"/>
    <x v="2"/>
    <s v="14/07/2022"/>
    <d v="2022-07-14T00:00:00"/>
    <s v="2022004-28"/>
    <x v="4"/>
  </r>
  <r>
    <x v="110"/>
    <n v="2022004"/>
    <x v="4"/>
    <s v="Fababean"/>
    <m/>
    <x v="10"/>
    <s v="Y"/>
    <x v="2"/>
    <n v="29"/>
    <n v="15"/>
    <x v="0"/>
    <m/>
    <m/>
    <m/>
    <n v="4"/>
    <m/>
    <m/>
    <m/>
    <m/>
    <m/>
    <n v="1"/>
    <n v="15"/>
    <x v="0"/>
    <n v="8"/>
    <m/>
    <m/>
    <x v="0"/>
    <n v="4"/>
    <x v="0"/>
    <m/>
    <m/>
    <n v="23"/>
    <x v="2"/>
    <s v="14/07/2022"/>
    <d v="2022-07-14T00:00:00"/>
    <s v="2022004-29"/>
    <x v="4"/>
  </r>
  <r>
    <x v="110"/>
    <n v="2022004"/>
    <x v="4"/>
    <s v="Fababean"/>
    <m/>
    <x v="10"/>
    <s v="Y"/>
    <x v="1"/>
    <n v="30"/>
    <n v="15"/>
    <x v="0"/>
    <m/>
    <m/>
    <m/>
    <n v="4"/>
    <m/>
    <m/>
    <m/>
    <m/>
    <m/>
    <n v="2"/>
    <n v="15"/>
    <x v="1"/>
    <n v="8"/>
    <m/>
    <n v="31"/>
    <x v="0"/>
    <n v="4"/>
    <x v="0"/>
    <m/>
    <m/>
    <n v="23"/>
    <x v="2"/>
    <s v="14/07/2022"/>
    <d v="2022-07-14T00:00:00"/>
    <s v="2022004-30"/>
    <x v="4"/>
  </r>
  <r>
    <x v="111"/>
    <n v="2022004"/>
    <x v="4"/>
    <s v="Fababean"/>
    <m/>
    <x v="12"/>
    <s v="N"/>
    <x v="2"/>
    <n v="31"/>
    <n v="16"/>
    <x v="0"/>
    <m/>
    <m/>
    <m/>
    <n v="4"/>
    <m/>
    <m/>
    <m/>
    <m/>
    <m/>
    <n v="3"/>
    <n v="15"/>
    <x v="2"/>
    <n v="8"/>
    <m/>
    <m/>
    <x v="0"/>
    <n v="1"/>
    <x v="0"/>
    <m/>
    <m/>
    <n v="23"/>
    <x v="2"/>
    <s v="14/07/2022"/>
    <d v="2022-07-14T00:00:00"/>
    <s v="2022004-31"/>
    <x v="4"/>
  </r>
  <r>
    <x v="111"/>
    <n v="2022004"/>
    <x v="4"/>
    <s v="Fababean"/>
    <m/>
    <x v="12"/>
    <s v="N"/>
    <x v="1"/>
    <n v="32"/>
    <n v="16"/>
    <x v="0"/>
    <m/>
    <m/>
    <m/>
    <n v="4"/>
    <m/>
    <m/>
    <m/>
    <m/>
    <m/>
    <n v="4"/>
    <n v="15"/>
    <x v="3"/>
    <n v="8"/>
    <m/>
    <n v="29"/>
    <x v="0"/>
    <n v="1"/>
    <x v="0"/>
    <m/>
    <m/>
    <n v="23"/>
    <x v="2"/>
    <s v="14/07/2022"/>
    <d v="2022-07-14T00:00:00"/>
    <s v="2022004-32"/>
    <x v="4"/>
  </r>
  <r>
    <x v="108"/>
    <n v="2022004"/>
    <x v="4"/>
    <s v="Fababean"/>
    <m/>
    <x v="11"/>
    <s v="N"/>
    <x v="2"/>
    <n v="33"/>
    <n v="17"/>
    <x v="1"/>
    <m/>
    <m/>
    <m/>
    <n v="5"/>
    <m/>
    <m/>
    <m/>
    <m/>
    <m/>
    <n v="1"/>
    <n v="18"/>
    <x v="0"/>
    <n v="9"/>
    <m/>
    <m/>
    <x v="0"/>
    <n v="2"/>
    <x v="0"/>
    <m/>
    <m/>
    <n v="23"/>
    <x v="2"/>
    <s v="14/07/2022"/>
    <d v="2022-07-14T00:00:00"/>
    <s v="2022004-33"/>
    <x v="4"/>
  </r>
  <r>
    <x v="108"/>
    <n v="2022004"/>
    <x v="4"/>
    <s v="Fababean"/>
    <m/>
    <x v="11"/>
    <s v="N"/>
    <x v="1"/>
    <n v="34"/>
    <n v="17"/>
    <x v="1"/>
    <m/>
    <m/>
    <m/>
    <n v="5"/>
    <m/>
    <m/>
    <m/>
    <m/>
    <m/>
    <n v="2"/>
    <n v="18"/>
    <x v="1"/>
    <n v="9"/>
    <m/>
    <n v="34"/>
    <x v="0"/>
    <n v="2"/>
    <x v="0"/>
    <m/>
    <m/>
    <n v="23"/>
    <x v="2"/>
    <s v="14/07/2022"/>
    <d v="2022-07-14T00:00:00"/>
    <s v="2022004-34"/>
    <x v="4"/>
  </r>
  <r>
    <x v="111"/>
    <n v="2022004"/>
    <x v="4"/>
    <s v="Fababean"/>
    <m/>
    <x v="12"/>
    <s v="N"/>
    <x v="2"/>
    <n v="35"/>
    <n v="18"/>
    <x v="1"/>
    <m/>
    <m/>
    <m/>
    <n v="5"/>
    <m/>
    <m/>
    <m/>
    <m/>
    <m/>
    <n v="3"/>
    <n v="18"/>
    <x v="2"/>
    <n v="9"/>
    <m/>
    <m/>
    <x v="0"/>
    <n v="1"/>
    <x v="0"/>
    <m/>
    <m/>
    <n v="23"/>
    <x v="2"/>
    <s v="14/07/2022"/>
    <d v="2022-07-14T00:00:00"/>
    <s v="2022004-35"/>
    <x v="4"/>
  </r>
  <r>
    <x v="111"/>
    <n v="2022004"/>
    <x v="4"/>
    <s v="Fababean"/>
    <m/>
    <x v="12"/>
    <s v="N"/>
    <x v="1"/>
    <n v="36"/>
    <n v="18"/>
    <x v="1"/>
    <m/>
    <m/>
    <m/>
    <n v="5"/>
    <m/>
    <m/>
    <m/>
    <m/>
    <m/>
    <n v="4"/>
    <n v="18"/>
    <x v="3"/>
    <n v="9"/>
    <m/>
    <n v="36"/>
    <x v="0"/>
    <n v="1"/>
    <x v="0"/>
    <m/>
    <m/>
    <n v="23"/>
    <x v="2"/>
    <s v="14/07/2022"/>
    <d v="2022-07-14T00:00:00"/>
    <s v="2022004-36"/>
    <x v="4"/>
  </r>
  <r>
    <x v="109"/>
    <n v="2022004"/>
    <x v="4"/>
    <s v="Fababean"/>
    <m/>
    <x v="13"/>
    <s v="Y"/>
    <x v="2"/>
    <n v="37"/>
    <n v="19"/>
    <x v="1"/>
    <m/>
    <m/>
    <m/>
    <n v="5"/>
    <m/>
    <m/>
    <m/>
    <m/>
    <m/>
    <n v="1"/>
    <n v="19"/>
    <x v="0"/>
    <n v="10"/>
    <m/>
    <m/>
    <x v="0"/>
    <n v="3"/>
    <x v="0"/>
    <m/>
    <m/>
    <n v="23"/>
    <x v="2"/>
    <s v="14/07/2022"/>
    <d v="2022-07-14T00:00:00"/>
    <s v="2022004-37"/>
    <x v="4"/>
  </r>
  <r>
    <x v="109"/>
    <n v="2022004"/>
    <x v="4"/>
    <s v="Fababean"/>
    <m/>
    <x v="13"/>
    <s v="Y"/>
    <x v="1"/>
    <n v="38"/>
    <n v="19"/>
    <x v="1"/>
    <m/>
    <m/>
    <m/>
    <n v="5"/>
    <m/>
    <m/>
    <m/>
    <m/>
    <m/>
    <n v="2"/>
    <n v="19"/>
    <x v="1"/>
    <n v="10"/>
    <m/>
    <n v="39"/>
    <x v="0"/>
    <n v="3"/>
    <x v="0"/>
    <m/>
    <m/>
    <n v="23"/>
    <x v="2"/>
    <s v="14/07/2022"/>
    <d v="2022-07-14T00:00:00"/>
    <s v="2022004-38"/>
    <x v="4"/>
  </r>
  <r>
    <x v="110"/>
    <n v="2022004"/>
    <x v="4"/>
    <s v="Fababean"/>
    <m/>
    <x v="10"/>
    <s v="Y"/>
    <x v="2"/>
    <n v="39"/>
    <n v="20"/>
    <x v="1"/>
    <m/>
    <m/>
    <m/>
    <n v="5"/>
    <m/>
    <m/>
    <m/>
    <m/>
    <m/>
    <n v="3"/>
    <n v="19"/>
    <x v="2"/>
    <n v="10"/>
    <m/>
    <m/>
    <x v="0"/>
    <n v="4"/>
    <x v="0"/>
    <m/>
    <m/>
    <n v="23"/>
    <x v="2"/>
    <s v="14/07/2022"/>
    <d v="2022-07-14T00:00:00"/>
    <s v="2022004-39"/>
    <x v="4"/>
  </r>
  <r>
    <x v="110"/>
    <n v="2022004"/>
    <x v="4"/>
    <s v="Fababean"/>
    <m/>
    <x v="10"/>
    <s v="Y"/>
    <x v="1"/>
    <n v="40"/>
    <n v="20"/>
    <x v="1"/>
    <m/>
    <m/>
    <m/>
    <n v="5"/>
    <m/>
    <m/>
    <m/>
    <m/>
    <m/>
    <n v="4"/>
    <n v="19"/>
    <x v="3"/>
    <n v="10"/>
    <m/>
    <n v="37"/>
    <x v="0"/>
    <n v="4"/>
    <x v="0"/>
    <m/>
    <m/>
    <n v="23"/>
    <x v="2"/>
    <s v="14/07/2022"/>
    <d v="2022-07-14T00:00:00"/>
    <s v="2022004-40"/>
    <x v="4"/>
  </r>
  <r>
    <x v="106"/>
    <n v="2022004"/>
    <x v="4"/>
    <s v="Fababean"/>
    <m/>
    <x v="13"/>
    <s v="Y"/>
    <x v="2"/>
    <n v="41"/>
    <n v="21"/>
    <x v="1"/>
    <m/>
    <m/>
    <m/>
    <n v="6"/>
    <m/>
    <m/>
    <m/>
    <m/>
    <m/>
    <n v="1"/>
    <n v="22"/>
    <x v="0"/>
    <n v="11"/>
    <m/>
    <m/>
    <x v="0"/>
    <n v="3"/>
    <x v="0"/>
    <m/>
    <m/>
    <n v="23"/>
    <x v="1"/>
    <s v="18/06/2022"/>
    <d v="2022-06-18T00:00:00"/>
    <s v="2022004-41"/>
    <x v="4"/>
  </r>
  <r>
    <x v="106"/>
    <n v="2022004"/>
    <x v="4"/>
    <s v="Fababean"/>
    <m/>
    <x v="13"/>
    <s v="Y"/>
    <x v="1"/>
    <n v="42"/>
    <n v="21"/>
    <x v="1"/>
    <m/>
    <m/>
    <m/>
    <n v="6"/>
    <m/>
    <m/>
    <m/>
    <m/>
    <m/>
    <n v="2"/>
    <n v="22"/>
    <x v="1"/>
    <n v="11"/>
    <m/>
    <n v="42"/>
    <x v="0"/>
    <n v="3"/>
    <x v="0"/>
    <m/>
    <m/>
    <n v="23"/>
    <x v="1"/>
    <s v="18/06/2022"/>
    <d v="2022-06-18T00:00:00"/>
    <s v="2022004-42"/>
    <x v="4"/>
  </r>
  <r>
    <x v="107"/>
    <n v="2022004"/>
    <x v="4"/>
    <s v="Fababean"/>
    <m/>
    <x v="11"/>
    <s v="N"/>
    <x v="2"/>
    <n v="43"/>
    <n v="22"/>
    <x v="1"/>
    <m/>
    <m/>
    <m/>
    <n v="6"/>
    <m/>
    <m/>
    <m/>
    <m/>
    <m/>
    <n v="3"/>
    <n v="22"/>
    <x v="2"/>
    <n v="11"/>
    <m/>
    <m/>
    <x v="0"/>
    <n v="2"/>
    <x v="0"/>
    <m/>
    <m/>
    <n v="23"/>
    <x v="1"/>
    <s v="18/06/2022"/>
    <d v="2022-06-18T00:00:00"/>
    <s v="2022004-43"/>
    <x v="4"/>
  </r>
  <r>
    <x v="107"/>
    <n v="2022004"/>
    <x v="4"/>
    <s v="Fababean"/>
    <m/>
    <x v="11"/>
    <s v="N"/>
    <x v="1"/>
    <n v="44"/>
    <n v="22"/>
    <x v="1"/>
    <m/>
    <m/>
    <m/>
    <n v="6"/>
    <m/>
    <m/>
    <m/>
    <m/>
    <m/>
    <n v="4"/>
    <n v="22"/>
    <x v="3"/>
    <n v="11"/>
    <m/>
    <n v="44"/>
    <x v="0"/>
    <n v="2"/>
    <x v="0"/>
    <m/>
    <m/>
    <n v="23"/>
    <x v="1"/>
    <s v="18/06/2022"/>
    <d v="2022-06-18T00:00:00"/>
    <s v="2022004-44"/>
    <x v="4"/>
  </r>
  <r>
    <x v="105"/>
    <n v="2022004"/>
    <x v="4"/>
    <s v="Fababean"/>
    <m/>
    <x v="10"/>
    <s v="Y"/>
    <x v="2"/>
    <n v="45"/>
    <n v="23"/>
    <x v="1"/>
    <m/>
    <m/>
    <m/>
    <n v="6"/>
    <m/>
    <m/>
    <m/>
    <m/>
    <m/>
    <n v="1"/>
    <n v="23"/>
    <x v="0"/>
    <n v="12"/>
    <m/>
    <m/>
    <x v="0"/>
    <n v="4"/>
    <x v="0"/>
    <m/>
    <m/>
    <n v="23"/>
    <x v="1"/>
    <s v="18/06/2022"/>
    <d v="2022-06-18T00:00:00"/>
    <s v="2022004-45"/>
    <x v="4"/>
  </r>
  <r>
    <x v="105"/>
    <n v="2022004"/>
    <x v="4"/>
    <s v="Fababean"/>
    <m/>
    <x v="10"/>
    <s v="Y"/>
    <x v="1"/>
    <n v="46"/>
    <n v="23"/>
    <x v="1"/>
    <m/>
    <m/>
    <m/>
    <n v="6"/>
    <m/>
    <m/>
    <m/>
    <m/>
    <m/>
    <n v="2"/>
    <n v="23"/>
    <x v="1"/>
    <n v="12"/>
    <m/>
    <n v="47"/>
    <x v="0"/>
    <n v="4"/>
    <x v="0"/>
    <m/>
    <m/>
    <n v="23"/>
    <x v="1"/>
    <s v="18/06/2022"/>
    <d v="2022-06-18T00:00:00"/>
    <s v="2022004-46"/>
    <x v="4"/>
  </r>
  <r>
    <x v="104"/>
    <n v="2022004"/>
    <x v="4"/>
    <s v="Fababean"/>
    <m/>
    <x v="12"/>
    <s v="N"/>
    <x v="2"/>
    <n v="47"/>
    <n v="24"/>
    <x v="1"/>
    <m/>
    <m/>
    <m/>
    <n v="6"/>
    <m/>
    <m/>
    <m/>
    <m/>
    <m/>
    <n v="3"/>
    <n v="23"/>
    <x v="2"/>
    <n v="12"/>
    <m/>
    <m/>
    <x v="0"/>
    <n v="1"/>
    <x v="0"/>
    <m/>
    <m/>
    <n v="23"/>
    <x v="1"/>
    <s v="18/06/2022"/>
    <d v="2022-06-18T00:00:00"/>
    <s v="2022004-47"/>
    <x v="4"/>
  </r>
  <r>
    <x v="104"/>
    <n v="2022004"/>
    <x v="4"/>
    <s v="Fababean"/>
    <m/>
    <x v="12"/>
    <s v="N"/>
    <x v="1"/>
    <n v="48"/>
    <n v="24"/>
    <x v="1"/>
    <m/>
    <m/>
    <m/>
    <n v="6"/>
    <m/>
    <m/>
    <m/>
    <m/>
    <m/>
    <n v="4"/>
    <n v="23"/>
    <x v="3"/>
    <n v="12"/>
    <m/>
    <n v="45"/>
    <x v="0"/>
    <n v="1"/>
    <x v="0"/>
    <m/>
    <m/>
    <n v="23"/>
    <x v="1"/>
    <s v="18/06/2022"/>
    <d v="2022-06-18T00:00:00"/>
    <s v="2022004-48"/>
    <x v="4"/>
  </r>
  <r>
    <x v="101"/>
    <n v="2022004"/>
    <x v="4"/>
    <s v="Fababean"/>
    <m/>
    <x v="12"/>
    <s v="N"/>
    <x v="2"/>
    <n v="49"/>
    <n v="25"/>
    <x v="1"/>
    <m/>
    <m/>
    <m/>
    <n v="7"/>
    <m/>
    <m/>
    <m/>
    <m/>
    <m/>
    <n v="1"/>
    <n v="26"/>
    <x v="0"/>
    <n v="13"/>
    <m/>
    <m/>
    <x v="1"/>
    <n v="1"/>
    <x v="0"/>
    <m/>
    <m/>
    <n v="23"/>
    <x v="1"/>
    <s v="18/06/2022"/>
    <d v="2022-06-18T00:00:00"/>
    <s v="2022004-49"/>
    <x v="4"/>
  </r>
  <r>
    <x v="101"/>
    <n v="2022004"/>
    <x v="4"/>
    <s v="Fababean"/>
    <m/>
    <x v="12"/>
    <s v="N"/>
    <x v="1"/>
    <n v="50"/>
    <n v="25"/>
    <x v="1"/>
    <m/>
    <m/>
    <m/>
    <n v="7"/>
    <m/>
    <m/>
    <m/>
    <m/>
    <m/>
    <n v="2"/>
    <n v="26"/>
    <x v="1"/>
    <n v="13"/>
    <m/>
    <n v="50"/>
    <x v="1"/>
    <n v="1"/>
    <x v="0"/>
    <m/>
    <m/>
    <n v="23"/>
    <x v="1"/>
    <s v="18/06/2022"/>
    <d v="2022-06-18T00:00:00"/>
    <s v="2022004-50"/>
    <x v="4"/>
  </r>
  <r>
    <x v="103"/>
    <n v="2022004"/>
    <x v="4"/>
    <s v="Fababean"/>
    <m/>
    <x v="10"/>
    <s v="Y"/>
    <x v="2"/>
    <n v="51"/>
    <n v="26"/>
    <x v="1"/>
    <m/>
    <m/>
    <m/>
    <n v="7"/>
    <m/>
    <m/>
    <m/>
    <m/>
    <m/>
    <n v="3"/>
    <n v="26"/>
    <x v="2"/>
    <n v="13"/>
    <m/>
    <m/>
    <x v="1"/>
    <n v="4"/>
    <x v="0"/>
    <m/>
    <m/>
    <n v="23"/>
    <x v="1"/>
    <s v="18/06/2022"/>
    <d v="2022-06-18T00:00:00"/>
    <s v="2022004-51"/>
    <x v="4"/>
  </r>
  <r>
    <x v="103"/>
    <n v="2022004"/>
    <x v="4"/>
    <s v="Fababean"/>
    <m/>
    <x v="10"/>
    <s v="Y"/>
    <x v="1"/>
    <n v="52"/>
    <n v="26"/>
    <x v="1"/>
    <m/>
    <m/>
    <m/>
    <n v="7"/>
    <m/>
    <m/>
    <m/>
    <m/>
    <m/>
    <n v="4"/>
    <n v="26"/>
    <x v="3"/>
    <n v="13"/>
    <m/>
    <n v="52"/>
    <x v="1"/>
    <n v="4"/>
    <x v="0"/>
    <m/>
    <m/>
    <n v="23"/>
    <x v="1"/>
    <s v="18/06/2022"/>
    <d v="2022-06-18T00:00:00"/>
    <s v="2022004-52"/>
    <x v="4"/>
  </r>
  <r>
    <x v="102"/>
    <n v="2022004"/>
    <x v="4"/>
    <s v="Fababean"/>
    <m/>
    <x v="11"/>
    <s v="N"/>
    <x v="2"/>
    <n v="53"/>
    <n v="27"/>
    <x v="1"/>
    <m/>
    <m/>
    <m/>
    <n v="7"/>
    <m/>
    <m/>
    <m/>
    <m/>
    <m/>
    <n v="1"/>
    <n v="27"/>
    <x v="0"/>
    <n v="14"/>
    <m/>
    <m/>
    <x v="1"/>
    <n v="2"/>
    <x v="0"/>
    <m/>
    <m/>
    <n v="23"/>
    <x v="1"/>
    <s v="18/06/2022"/>
    <d v="2022-06-18T00:00:00"/>
    <s v="2022004-53"/>
    <x v="4"/>
  </r>
  <r>
    <x v="102"/>
    <n v="2022004"/>
    <x v="4"/>
    <s v="Fababean"/>
    <m/>
    <x v="11"/>
    <s v="N"/>
    <x v="1"/>
    <n v="54"/>
    <n v="27"/>
    <x v="1"/>
    <m/>
    <m/>
    <m/>
    <n v="7"/>
    <m/>
    <m/>
    <m/>
    <m/>
    <m/>
    <n v="2"/>
    <n v="27"/>
    <x v="1"/>
    <n v="14"/>
    <m/>
    <n v="55"/>
    <x v="1"/>
    <n v="2"/>
    <x v="0"/>
    <m/>
    <m/>
    <n v="23"/>
    <x v="1"/>
    <s v="18/06/2022"/>
    <d v="2022-06-18T00:00:00"/>
    <s v="2022004-54"/>
    <x v="4"/>
  </r>
  <r>
    <x v="100"/>
    <n v="2022004"/>
    <x v="4"/>
    <s v="Fababean"/>
    <m/>
    <x v="13"/>
    <s v="Y"/>
    <x v="2"/>
    <n v="55"/>
    <n v="28"/>
    <x v="1"/>
    <m/>
    <m/>
    <m/>
    <n v="7"/>
    <m/>
    <m/>
    <m/>
    <m/>
    <m/>
    <n v="3"/>
    <n v="27"/>
    <x v="2"/>
    <n v="14"/>
    <m/>
    <m/>
    <x v="1"/>
    <n v="3"/>
    <x v="0"/>
    <m/>
    <m/>
    <n v="23"/>
    <x v="1"/>
    <s v="18/06/2022"/>
    <d v="2022-06-18T00:00:00"/>
    <s v="2022004-55"/>
    <x v="4"/>
  </r>
  <r>
    <x v="100"/>
    <n v="2022004"/>
    <x v="4"/>
    <s v="Fababean"/>
    <m/>
    <x v="13"/>
    <s v="Y"/>
    <x v="1"/>
    <n v="56"/>
    <n v="28"/>
    <x v="1"/>
    <m/>
    <m/>
    <m/>
    <n v="7"/>
    <m/>
    <m/>
    <m/>
    <m/>
    <m/>
    <n v="4"/>
    <n v="27"/>
    <x v="3"/>
    <n v="14"/>
    <m/>
    <n v="53"/>
    <x v="1"/>
    <n v="3"/>
    <x v="0"/>
    <m/>
    <m/>
    <n v="23"/>
    <x v="1"/>
    <s v="18/06/2022"/>
    <d v="2022-06-18T00:00:00"/>
    <s v="2022004-56"/>
    <x v="4"/>
  </r>
  <r>
    <x v="96"/>
    <n v="2022004"/>
    <x v="4"/>
    <s v="Fababean"/>
    <m/>
    <x v="10"/>
    <s v="Y"/>
    <x v="2"/>
    <n v="57"/>
    <n v="29"/>
    <x v="1"/>
    <m/>
    <m/>
    <m/>
    <n v="8"/>
    <m/>
    <m/>
    <m/>
    <m/>
    <m/>
    <n v="1"/>
    <n v="30"/>
    <x v="0"/>
    <n v="15"/>
    <m/>
    <m/>
    <x v="1"/>
    <n v="4"/>
    <x v="0"/>
    <m/>
    <m/>
    <n v="23"/>
    <x v="2"/>
    <s v="14/07/2022"/>
    <d v="2022-07-14T00:00:00"/>
    <s v="2022004-57"/>
    <x v="4"/>
  </r>
  <r>
    <x v="96"/>
    <n v="2022004"/>
    <x v="4"/>
    <s v="Fababean"/>
    <m/>
    <x v="10"/>
    <s v="Y"/>
    <x v="1"/>
    <n v="58"/>
    <n v="29"/>
    <x v="1"/>
    <m/>
    <m/>
    <m/>
    <n v="8"/>
    <m/>
    <m/>
    <m/>
    <m/>
    <m/>
    <n v="2"/>
    <n v="30"/>
    <x v="1"/>
    <n v="15"/>
    <m/>
    <n v="58"/>
    <x v="1"/>
    <n v="4"/>
    <x v="0"/>
    <m/>
    <m/>
    <n v="23"/>
    <x v="2"/>
    <s v="14/07/2022"/>
    <d v="2022-07-14T00:00:00"/>
    <s v="2022004-58"/>
    <x v="4"/>
  </r>
  <r>
    <x v="99"/>
    <n v="2022004"/>
    <x v="4"/>
    <s v="Fababean"/>
    <m/>
    <x v="13"/>
    <s v="Y"/>
    <x v="2"/>
    <n v="59"/>
    <n v="30"/>
    <x v="1"/>
    <m/>
    <m/>
    <m/>
    <n v="8"/>
    <m/>
    <m/>
    <m/>
    <m/>
    <m/>
    <n v="3"/>
    <n v="30"/>
    <x v="2"/>
    <n v="15"/>
    <m/>
    <m/>
    <x v="1"/>
    <n v="3"/>
    <x v="0"/>
    <m/>
    <m/>
    <n v="23"/>
    <x v="2"/>
    <s v="14/07/2022"/>
    <d v="2022-07-14T00:00:00"/>
    <s v="2022004-59"/>
    <x v="4"/>
  </r>
  <r>
    <x v="99"/>
    <n v="2022004"/>
    <x v="4"/>
    <s v="Fababean"/>
    <m/>
    <x v="13"/>
    <s v="Y"/>
    <x v="1"/>
    <n v="60"/>
    <n v="30"/>
    <x v="1"/>
    <m/>
    <m/>
    <m/>
    <n v="8"/>
    <m/>
    <m/>
    <m/>
    <m/>
    <m/>
    <n v="4"/>
    <n v="30"/>
    <x v="3"/>
    <n v="15"/>
    <m/>
    <n v="60"/>
    <x v="1"/>
    <n v="3"/>
    <x v="0"/>
    <m/>
    <m/>
    <n v="23"/>
    <x v="2"/>
    <s v="14/07/2022"/>
    <d v="2022-07-14T00:00:00"/>
    <s v="2022004-60"/>
    <x v="4"/>
  </r>
  <r>
    <x v="98"/>
    <n v="2022004"/>
    <x v="4"/>
    <s v="Fababean"/>
    <m/>
    <x v="12"/>
    <s v="N"/>
    <x v="2"/>
    <n v="61"/>
    <n v="31"/>
    <x v="1"/>
    <m/>
    <m/>
    <m/>
    <n v="8"/>
    <m/>
    <m/>
    <m/>
    <m/>
    <m/>
    <n v="1"/>
    <n v="31"/>
    <x v="0"/>
    <n v="16"/>
    <m/>
    <m/>
    <x v="1"/>
    <n v="1"/>
    <x v="0"/>
    <m/>
    <m/>
    <n v="23"/>
    <x v="2"/>
    <s v="14/07/2022"/>
    <d v="2022-07-14T00:00:00"/>
    <s v="2022004-61"/>
    <x v="4"/>
  </r>
  <r>
    <x v="98"/>
    <n v="2022004"/>
    <x v="4"/>
    <s v="Fababean"/>
    <m/>
    <x v="12"/>
    <s v="N"/>
    <x v="1"/>
    <n v="62"/>
    <n v="31"/>
    <x v="1"/>
    <m/>
    <m/>
    <m/>
    <n v="8"/>
    <m/>
    <m/>
    <m/>
    <m/>
    <m/>
    <n v="2"/>
    <n v="31"/>
    <x v="1"/>
    <n v="16"/>
    <m/>
    <n v="63"/>
    <x v="1"/>
    <n v="1"/>
    <x v="0"/>
    <m/>
    <m/>
    <n v="23"/>
    <x v="2"/>
    <s v="14/07/2022"/>
    <d v="2022-07-14T00:00:00"/>
    <s v="2022004-62"/>
    <x v="4"/>
  </r>
  <r>
    <x v="97"/>
    <n v="2022004"/>
    <x v="4"/>
    <s v="Fababean"/>
    <m/>
    <x v="11"/>
    <s v="N"/>
    <x v="2"/>
    <n v="63"/>
    <n v="32"/>
    <x v="1"/>
    <m/>
    <m/>
    <m/>
    <n v="8"/>
    <m/>
    <m/>
    <m/>
    <m/>
    <m/>
    <n v="3"/>
    <n v="31"/>
    <x v="2"/>
    <n v="16"/>
    <m/>
    <m/>
    <x v="1"/>
    <n v="2"/>
    <x v="0"/>
    <m/>
    <m/>
    <n v="23"/>
    <x v="2"/>
    <s v="14/07/2022"/>
    <d v="2022-07-14T00:00:00"/>
    <s v="2022004-63"/>
    <x v="4"/>
  </r>
  <r>
    <x v="97"/>
    <n v="2022004"/>
    <x v="4"/>
    <s v="Fababean"/>
    <m/>
    <x v="11"/>
    <s v="N"/>
    <x v="1"/>
    <n v="64"/>
    <n v="32"/>
    <x v="1"/>
    <m/>
    <m/>
    <m/>
    <n v="8"/>
    <m/>
    <m/>
    <m/>
    <m/>
    <m/>
    <n v="4"/>
    <n v="31"/>
    <x v="3"/>
    <n v="16"/>
    <m/>
    <n v="61"/>
    <x v="1"/>
    <n v="2"/>
    <x v="0"/>
    <m/>
    <m/>
    <n v="23"/>
    <x v="2"/>
    <s v="14/07/2022"/>
    <d v="2022-07-14T00:00:00"/>
    <s v="2022004-64"/>
    <x v="4"/>
  </r>
  <r>
    <x v="100"/>
    <n v="2022004"/>
    <x v="4"/>
    <s v="Fababean"/>
    <m/>
    <x v="13"/>
    <s v="Y"/>
    <x v="2"/>
    <n v="65"/>
    <n v="33"/>
    <x v="2"/>
    <m/>
    <m/>
    <m/>
    <n v="9"/>
    <m/>
    <m/>
    <m/>
    <m/>
    <m/>
    <n v="1"/>
    <n v="34"/>
    <x v="0"/>
    <n v="17"/>
    <m/>
    <m/>
    <x v="1"/>
    <n v="3"/>
    <x v="0"/>
    <m/>
    <m/>
    <n v="23"/>
    <x v="1"/>
    <s v="18/06/2022"/>
    <d v="2022-06-18T00:00:00"/>
    <s v="2022004-65"/>
    <x v="4"/>
  </r>
  <r>
    <x v="100"/>
    <n v="2022004"/>
    <x v="4"/>
    <s v="Fababean"/>
    <m/>
    <x v="13"/>
    <s v="Y"/>
    <x v="1"/>
    <n v="66"/>
    <n v="33"/>
    <x v="2"/>
    <m/>
    <m/>
    <m/>
    <n v="9"/>
    <m/>
    <m/>
    <m/>
    <m/>
    <m/>
    <n v="2"/>
    <n v="34"/>
    <x v="1"/>
    <n v="17"/>
    <m/>
    <n v="66"/>
    <x v="1"/>
    <n v="3"/>
    <x v="0"/>
    <m/>
    <m/>
    <n v="23"/>
    <x v="1"/>
    <s v="18/06/2022"/>
    <d v="2022-06-18T00:00:00"/>
    <s v="2022004-66"/>
    <x v="4"/>
  </r>
  <r>
    <x v="101"/>
    <n v="2022004"/>
    <x v="4"/>
    <s v="Fababean"/>
    <m/>
    <x v="12"/>
    <s v="N"/>
    <x v="2"/>
    <n v="67"/>
    <n v="34"/>
    <x v="2"/>
    <m/>
    <m/>
    <m/>
    <n v="9"/>
    <m/>
    <m/>
    <m/>
    <m/>
    <m/>
    <n v="3"/>
    <n v="34"/>
    <x v="2"/>
    <n v="17"/>
    <m/>
    <m/>
    <x v="1"/>
    <n v="1"/>
    <x v="0"/>
    <m/>
    <m/>
    <n v="23"/>
    <x v="1"/>
    <s v="18/06/2022"/>
    <d v="2022-06-18T00:00:00"/>
    <s v="2022004-67"/>
    <x v="4"/>
  </r>
  <r>
    <x v="101"/>
    <n v="2022004"/>
    <x v="4"/>
    <s v="Fababean"/>
    <m/>
    <x v="12"/>
    <s v="N"/>
    <x v="1"/>
    <n v="68"/>
    <n v="34"/>
    <x v="2"/>
    <m/>
    <m/>
    <m/>
    <n v="9"/>
    <m/>
    <m/>
    <m/>
    <m/>
    <m/>
    <n v="4"/>
    <n v="34"/>
    <x v="3"/>
    <n v="17"/>
    <m/>
    <n v="68"/>
    <x v="1"/>
    <n v="1"/>
    <x v="0"/>
    <m/>
    <m/>
    <n v="23"/>
    <x v="1"/>
    <s v="18/06/2022"/>
    <d v="2022-06-18T00:00:00"/>
    <s v="2022004-68"/>
    <x v="4"/>
  </r>
  <r>
    <x v="103"/>
    <n v="2022004"/>
    <x v="4"/>
    <s v="Fababean"/>
    <m/>
    <x v="10"/>
    <s v="Y"/>
    <x v="2"/>
    <n v="69"/>
    <n v="35"/>
    <x v="2"/>
    <m/>
    <m/>
    <m/>
    <n v="9"/>
    <m/>
    <m/>
    <m/>
    <m/>
    <m/>
    <n v="1"/>
    <n v="35"/>
    <x v="0"/>
    <n v="18"/>
    <m/>
    <m/>
    <x v="1"/>
    <n v="4"/>
    <x v="0"/>
    <m/>
    <m/>
    <n v="23"/>
    <x v="1"/>
    <s v="18/06/2022"/>
    <d v="2022-06-18T00:00:00"/>
    <s v="2022004-69"/>
    <x v="4"/>
  </r>
  <r>
    <x v="103"/>
    <n v="2022004"/>
    <x v="4"/>
    <s v="Fababean"/>
    <m/>
    <x v="10"/>
    <s v="Y"/>
    <x v="1"/>
    <n v="70"/>
    <n v="35"/>
    <x v="2"/>
    <m/>
    <m/>
    <m/>
    <n v="9"/>
    <m/>
    <m/>
    <m/>
    <m/>
    <m/>
    <n v="2"/>
    <n v="35"/>
    <x v="1"/>
    <n v="18"/>
    <m/>
    <n v="71"/>
    <x v="1"/>
    <n v="4"/>
    <x v="0"/>
    <m/>
    <m/>
    <n v="23"/>
    <x v="1"/>
    <s v="18/06/2022"/>
    <d v="2022-06-18T00:00:00"/>
    <s v="2022004-70"/>
    <x v="4"/>
  </r>
  <r>
    <x v="102"/>
    <n v="2022004"/>
    <x v="4"/>
    <s v="Fababean"/>
    <m/>
    <x v="11"/>
    <s v="N"/>
    <x v="2"/>
    <n v="71"/>
    <n v="36"/>
    <x v="2"/>
    <m/>
    <m/>
    <m/>
    <n v="9"/>
    <m/>
    <m/>
    <m/>
    <m/>
    <m/>
    <n v="3"/>
    <n v="35"/>
    <x v="2"/>
    <n v="18"/>
    <m/>
    <m/>
    <x v="1"/>
    <n v="2"/>
    <x v="0"/>
    <m/>
    <m/>
    <n v="23"/>
    <x v="1"/>
    <s v="18/06/2022"/>
    <d v="2022-06-18T00:00:00"/>
    <s v="2022004-71"/>
    <x v="4"/>
  </r>
  <r>
    <x v="102"/>
    <n v="2022004"/>
    <x v="4"/>
    <s v="Fababean"/>
    <m/>
    <x v="11"/>
    <s v="N"/>
    <x v="1"/>
    <n v="72"/>
    <n v="36"/>
    <x v="2"/>
    <m/>
    <m/>
    <m/>
    <n v="9"/>
    <m/>
    <m/>
    <m/>
    <m/>
    <m/>
    <n v="4"/>
    <n v="35"/>
    <x v="3"/>
    <n v="18"/>
    <m/>
    <n v="69"/>
    <x v="1"/>
    <n v="2"/>
    <x v="0"/>
    <m/>
    <m/>
    <n v="23"/>
    <x v="1"/>
    <s v="18/06/2022"/>
    <d v="2022-06-18T00:00:00"/>
    <s v="2022004-72"/>
    <x v="4"/>
  </r>
  <r>
    <x v="111"/>
    <n v="2022004"/>
    <x v="4"/>
    <s v="Fababean"/>
    <m/>
    <x v="12"/>
    <s v="N"/>
    <x v="2"/>
    <n v="73"/>
    <n v="37"/>
    <x v="2"/>
    <m/>
    <m/>
    <m/>
    <n v="10"/>
    <m/>
    <m/>
    <m/>
    <m/>
    <m/>
    <n v="1"/>
    <n v="38"/>
    <x v="0"/>
    <n v="19"/>
    <m/>
    <m/>
    <x v="0"/>
    <n v="1"/>
    <x v="0"/>
    <m/>
    <m/>
    <n v="23"/>
    <x v="2"/>
    <s v="14/07/2022"/>
    <d v="2022-07-14T00:00:00"/>
    <s v="2022004-73"/>
    <x v="4"/>
  </r>
  <r>
    <x v="111"/>
    <n v="2022004"/>
    <x v="4"/>
    <s v="Fababean"/>
    <m/>
    <x v="12"/>
    <s v="N"/>
    <x v="1"/>
    <n v="74"/>
    <n v="37"/>
    <x v="2"/>
    <m/>
    <m/>
    <m/>
    <n v="10"/>
    <m/>
    <m/>
    <m/>
    <m/>
    <m/>
    <n v="2"/>
    <n v="38"/>
    <x v="1"/>
    <n v="19"/>
    <m/>
    <n v="74"/>
    <x v="0"/>
    <n v="1"/>
    <x v="0"/>
    <m/>
    <m/>
    <n v="23"/>
    <x v="2"/>
    <s v="14/07/2022"/>
    <d v="2022-07-14T00:00:00"/>
    <s v="2022004-74"/>
    <x v="4"/>
  </r>
  <r>
    <x v="108"/>
    <n v="2022004"/>
    <x v="4"/>
    <s v="Fababean"/>
    <m/>
    <x v="11"/>
    <s v="N"/>
    <x v="2"/>
    <n v="75"/>
    <n v="38"/>
    <x v="2"/>
    <m/>
    <m/>
    <m/>
    <n v="10"/>
    <m/>
    <m/>
    <m/>
    <m/>
    <m/>
    <n v="3"/>
    <n v="38"/>
    <x v="2"/>
    <n v="19"/>
    <m/>
    <m/>
    <x v="0"/>
    <n v="2"/>
    <x v="0"/>
    <m/>
    <m/>
    <n v="23"/>
    <x v="2"/>
    <s v="14/07/2022"/>
    <d v="2022-07-14T00:00:00"/>
    <s v="2022004-75"/>
    <x v="4"/>
  </r>
  <r>
    <x v="108"/>
    <n v="2022004"/>
    <x v="4"/>
    <s v="Fababean"/>
    <m/>
    <x v="11"/>
    <s v="N"/>
    <x v="1"/>
    <n v="76"/>
    <n v="38"/>
    <x v="2"/>
    <m/>
    <m/>
    <m/>
    <n v="10"/>
    <m/>
    <m/>
    <m/>
    <m/>
    <m/>
    <n v="4"/>
    <n v="38"/>
    <x v="3"/>
    <n v="19"/>
    <m/>
    <n v="76"/>
    <x v="0"/>
    <n v="2"/>
    <x v="0"/>
    <m/>
    <m/>
    <n v="23"/>
    <x v="2"/>
    <s v="14/07/2022"/>
    <d v="2022-07-14T00:00:00"/>
    <s v="2022004-76"/>
    <x v="4"/>
  </r>
  <r>
    <x v="109"/>
    <n v="2022004"/>
    <x v="4"/>
    <s v="Fababean"/>
    <m/>
    <x v="13"/>
    <s v="Y"/>
    <x v="2"/>
    <n v="77"/>
    <n v="39"/>
    <x v="2"/>
    <m/>
    <m/>
    <m/>
    <n v="10"/>
    <m/>
    <m/>
    <m/>
    <m/>
    <m/>
    <n v="1"/>
    <n v="39"/>
    <x v="0"/>
    <n v="20"/>
    <m/>
    <m/>
    <x v="0"/>
    <n v="3"/>
    <x v="0"/>
    <m/>
    <m/>
    <n v="23"/>
    <x v="2"/>
    <s v="14/07/2022"/>
    <d v="2022-07-14T00:00:00"/>
    <s v="2022004-77"/>
    <x v="4"/>
  </r>
  <r>
    <x v="109"/>
    <n v="2022004"/>
    <x v="4"/>
    <s v="Fababean"/>
    <m/>
    <x v="13"/>
    <s v="Y"/>
    <x v="1"/>
    <n v="78"/>
    <n v="39"/>
    <x v="2"/>
    <m/>
    <m/>
    <m/>
    <n v="10"/>
    <m/>
    <m/>
    <m/>
    <m/>
    <m/>
    <n v="2"/>
    <n v="39"/>
    <x v="1"/>
    <n v="20"/>
    <m/>
    <n v="79"/>
    <x v="0"/>
    <n v="3"/>
    <x v="0"/>
    <m/>
    <m/>
    <n v="23"/>
    <x v="2"/>
    <s v="14/07/2022"/>
    <d v="2022-07-14T00:00:00"/>
    <s v="2022004-78"/>
    <x v="4"/>
  </r>
  <r>
    <x v="110"/>
    <n v="2022004"/>
    <x v="4"/>
    <s v="Fababean"/>
    <m/>
    <x v="10"/>
    <s v="Y"/>
    <x v="2"/>
    <n v="79"/>
    <n v="40"/>
    <x v="2"/>
    <m/>
    <m/>
    <m/>
    <n v="10"/>
    <m/>
    <m/>
    <m/>
    <m/>
    <m/>
    <n v="3"/>
    <n v="39"/>
    <x v="2"/>
    <n v="20"/>
    <m/>
    <m/>
    <x v="0"/>
    <n v="4"/>
    <x v="0"/>
    <m/>
    <m/>
    <n v="23"/>
    <x v="2"/>
    <s v="14/07/2022"/>
    <d v="2022-07-14T00:00:00"/>
    <s v="2022004-79"/>
    <x v="4"/>
  </r>
  <r>
    <x v="110"/>
    <n v="2022004"/>
    <x v="4"/>
    <s v="Fababean"/>
    <m/>
    <x v="10"/>
    <s v="Y"/>
    <x v="1"/>
    <n v="80"/>
    <n v="40"/>
    <x v="2"/>
    <m/>
    <m/>
    <m/>
    <n v="10"/>
    <m/>
    <m/>
    <m/>
    <m/>
    <m/>
    <n v="4"/>
    <n v="39"/>
    <x v="3"/>
    <n v="20"/>
    <m/>
    <n v="77"/>
    <x v="0"/>
    <n v="4"/>
    <x v="0"/>
    <m/>
    <m/>
    <n v="23"/>
    <x v="2"/>
    <s v="14/07/2022"/>
    <d v="2022-07-14T00:00:00"/>
    <s v="2022004-80"/>
    <x v="4"/>
  </r>
  <r>
    <x v="96"/>
    <n v="2022004"/>
    <x v="4"/>
    <s v="Fababean"/>
    <m/>
    <x v="10"/>
    <s v="Y"/>
    <x v="2"/>
    <n v="81"/>
    <n v="41"/>
    <x v="2"/>
    <m/>
    <m/>
    <m/>
    <n v="11"/>
    <m/>
    <m/>
    <m/>
    <m/>
    <m/>
    <n v="1"/>
    <n v="42"/>
    <x v="0"/>
    <n v="21"/>
    <m/>
    <m/>
    <x v="1"/>
    <n v="4"/>
    <x v="0"/>
    <m/>
    <m/>
    <n v="23"/>
    <x v="2"/>
    <s v="14/07/2022"/>
    <d v="2022-07-14T00:00:00"/>
    <s v="2022004-81"/>
    <x v="4"/>
  </r>
  <r>
    <x v="96"/>
    <n v="2022004"/>
    <x v="4"/>
    <s v="Fababean"/>
    <m/>
    <x v="10"/>
    <s v="Y"/>
    <x v="1"/>
    <n v="82"/>
    <n v="41"/>
    <x v="2"/>
    <m/>
    <m/>
    <m/>
    <n v="11"/>
    <m/>
    <m/>
    <m/>
    <m/>
    <m/>
    <n v="2"/>
    <n v="42"/>
    <x v="1"/>
    <n v="21"/>
    <m/>
    <n v="82"/>
    <x v="1"/>
    <n v="4"/>
    <x v="0"/>
    <m/>
    <m/>
    <n v="23"/>
    <x v="2"/>
    <s v="14/07/2022"/>
    <d v="2022-07-14T00:00:00"/>
    <s v="2022004-82"/>
    <x v="4"/>
  </r>
  <r>
    <x v="99"/>
    <n v="2022004"/>
    <x v="4"/>
    <s v="Fababean"/>
    <m/>
    <x v="13"/>
    <s v="Y"/>
    <x v="2"/>
    <n v="83"/>
    <n v="42"/>
    <x v="2"/>
    <m/>
    <m/>
    <m/>
    <n v="11"/>
    <m/>
    <m/>
    <m/>
    <m/>
    <m/>
    <n v="3"/>
    <n v="42"/>
    <x v="2"/>
    <n v="21"/>
    <m/>
    <m/>
    <x v="1"/>
    <n v="3"/>
    <x v="0"/>
    <m/>
    <m/>
    <n v="23"/>
    <x v="2"/>
    <s v="14/07/2022"/>
    <d v="2022-07-14T00:00:00"/>
    <s v="2022004-83"/>
    <x v="4"/>
  </r>
  <r>
    <x v="99"/>
    <n v="2022004"/>
    <x v="4"/>
    <s v="Fababean"/>
    <m/>
    <x v="13"/>
    <s v="Y"/>
    <x v="1"/>
    <n v="84"/>
    <n v="42"/>
    <x v="2"/>
    <m/>
    <m/>
    <m/>
    <n v="11"/>
    <m/>
    <m/>
    <m/>
    <m/>
    <m/>
    <n v="4"/>
    <n v="42"/>
    <x v="3"/>
    <n v="21"/>
    <m/>
    <n v="84"/>
    <x v="1"/>
    <n v="3"/>
    <x v="0"/>
    <m/>
    <m/>
    <n v="23"/>
    <x v="2"/>
    <s v="14/07/2022"/>
    <d v="2022-07-14T00:00:00"/>
    <s v="2022004-84"/>
    <x v="4"/>
  </r>
  <r>
    <x v="97"/>
    <n v="2022004"/>
    <x v="4"/>
    <s v="Fababean"/>
    <m/>
    <x v="11"/>
    <s v="N"/>
    <x v="2"/>
    <n v="85"/>
    <n v="43"/>
    <x v="2"/>
    <m/>
    <m/>
    <m/>
    <n v="11"/>
    <m/>
    <m/>
    <m/>
    <m/>
    <m/>
    <n v="1"/>
    <n v="43"/>
    <x v="0"/>
    <n v="22"/>
    <m/>
    <m/>
    <x v="1"/>
    <n v="2"/>
    <x v="0"/>
    <m/>
    <m/>
    <n v="23"/>
    <x v="2"/>
    <s v="14/07/2022"/>
    <d v="2022-07-14T00:00:00"/>
    <s v="2022004-85"/>
    <x v="4"/>
  </r>
  <r>
    <x v="97"/>
    <n v="2022004"/>
    <x v="4"/>
    <s v="Fababean"/>
    <m/>
    <x v="11"/>
    <s v="N"/>
    <x v="1"/>
    <n v="86"/>
    <n v="43"/>
    <x v="2"/>
    <m/>
    <m/>
    <m/>
    <n v="11"/>
    <m/>
    <m/>
    <m/>
    <m/>
    <m/>
    <n v="2"/>
    <n v="43"/>
    <x v="1"/>
    <n v="22"/>
    <m/>
    <n v="87"/>
    <x v="1"/>
    <n v="2"/>
    <x v="0"/>
    <m/>
    <m/>
    <n v="23"/>
    <x v="2"/>
    <s v="14/07/2022"/>
    <d v="2022-07-14T00:00:00"/>
    <s v="2022004-86"/>
    <x v="4"/>
  </r>
  <r>
    <x v="98"/>
    <n v="2022004"/>
    <x v="4"/>
    <s v="Fababean"/>
    <m/>
    <x v="12"/>
    <s v="N"/>
    <x v="2"/>
    <n v="87"/>
    <n v="44"/>
    <x v="2"/>
    <m/>
    <m/>
    <m/>
    <n v="11"/>
    <m/>
    <m/>
    <m/>
    <m/>
    <m/>
    <n v="3"/>
    <n v="43"/>
    <x v="2"/>
    <n v="22"/>
    <m/>
    <m/>
    <x v="1"/>
    <n v="1"/>
    <x v="0"/>
    <m/>
    <m/>
    <n v="23"/>
    <x v="2"/>
    <s v="14/07/2022"/>
    <d v="2022-07-14T00:00:00"/>
    <s v="2022004-87"/>
    <x v="4"/>
  </r>
  <r>
    <x v="98"/>
    <n v="2022004"/>
    <x v="4"/>
    <s v="Fababean"/>
    <m/>
    <x v="12"/>
    <s v="N"/>
    <x v="1"/>
    <n v="88"/>
    <n v="44"/>
    <x v="2"/>
    <m/>
    <m/>
    <m/>
    <n v="11"/>
    <m/>
    <m/>
    <m/>
    <m/>
    <m/>
    <n v="4"/>
    <n v="43"/>
    <x v="3"/>
    <n v="22"/>
    <m/>
    <n v="85"/>
    <x v="1"/>
    <n v="1"/>
    <x v="0"/>
    <m/>
    <m/>
    <n v="23"/>
    <x v="2"/>
    <s v="14/07/2022"/>
    <d v="2022-07-14T00:00:00"/>
    <s v="2022004-88"/>
    <x v="4"/>
  </r>
  <r>
    <x v="107"/>
    <n v="2022004"/>
    <x v="4"/>
    <s v="Fababean"/>
    <m/>
    <x v="11"/>
    <s v="N"/>
    <x v="2"/>
    <n v="89"/>
    <n v="45"/>
    <x v="2"/>
    <m/>
    <m/>
    <m/>
    <n v="12"/>
    <m/>
    <m/>
    <m/>
    <m/>
    <m/>
    <n v="1"/>
    <n v="46"/>
    <x v="0"/>
    <n v="23"/>
    <m/>
    <m/>
    <x v="0"/>
    <n v="2"/>
    <x v="0"/>
    <m/>
    <m/>
    <n v="23"/>
    <x v="1"/>
    <s v="18/06/2022"/>
    <d v="2022-06-18T00:00:00"/>
    <s v="2022004-89"/>
    <x v="4"/>
  </r>
  <r>
    <x v="107"/>
    <n v="2022004"/>
    <x v="4"/>
    <s v="Fababean"/>
    <m/>
    <x v="11"/>
    <s v="N"/>
    <x v="1"/>
    <n v="90"/>
    <n v="45"/>
    <x v="2"/>
    <m/>
    <m/>
    <m/>
    <n v="12"/>
    <m/>
    <m/>
    <m/>
    <m/>
    <m/>
    <n v="2"/>
    <n v="46"/>
    <x v="1"/>
    <n v="23"/>
    <m/>
    <n v="90"/>
    <x v="0"/>
    <n v="2"/>
    <x v="0"/>
    <m/>
    <m/>
    <n v="23"/>
    <x v="1"/>
    <s v="18/06/2022"/>
    <d v="2022-06-18T00:00:00"/>
    <s v="2022004-90"/>
    <x v="4"/>
  </r>
  <r>
    <x v="105"/>
    <n v="2022004"/>
    <x v="4"/>
    <s v="Fababean"/>
    <m/>
    <x v="10"/>
    <s v="Y"/>
    <x v="2"/>
    <n v="91"/>
    <n v="46"/>
    <x v="2"/>
    <m/>
    <m/>
    <m/>
    <n v="12"/>
    <m/>
    <m/>
    <m/>
    <m/>
    <m/>
    <n v="3"/>
    <n v="46"/>
    <x v="2"/>
    <n v="23"/>
    <m/>
    <m/>
    <x v="0"/>
    <n v="4"/>
    <x v="0"/>
    <m/>
    <m/>
    <n v="23"/>
    <x v="1"/>
    <s v="18/06/2022"/>
    <d v="2022-06-18T00:00:00"/>
    <s v="2022004-91"/>
    <x v="4"/>
  </r>
  <r>
    <x v="105"/>
    <n v="2022004"/>
    <x v="4"/>
    <s v="Fababean"/>
    <m/>
    <x v="10"/>
    <s v="Y"/>
    <x v="1"/>
    <n v="92"/>
    <n v="46"/>
    <x v="2"/>
    <m/>
    <m/>
    <m/>
    <n v="12"/>
    <m/>
    <m/>
    <m/>
    <m/>
    <m/>
    <n v="4"/>
    <n v="46"/>
    <x v="3"/>
    <n v="23"/>
    <m/>
    <n v="92"/>
    <x v="0"/>
    <n v="4"/>
    <x v="0"/>
    <m/>
    <m/>
    <n v="23"/>
    <x v="1"/>
    <s v="18/06/2022"/>
    <d v="2022-06-18T00:00:00"/>
    <s v="2022004-92"/>
    <x v="4"/>
  </r>
  <r>
    <x v="104"/>
    <n v="2022004"/>
    <x v="4"/>
    <s v="Fababean"/>
    <m/>
    <x v="12"/>
    <s v="N"/>
    <x v="2"/>
    <n v="93"/>
    <n v="47"/>
    <x v="2"/>
    <m/>
    <m/>
    <m/>
    <n v="12"/>
    <m/>
    <m/>
    <m/>
    <m/>
    <m/>
    <n v="1"/>
    <n v="47"/>
    <x v="0"/>
    <n v="24"/>
    <m/>
    <m/>
    <x v="0"/>
    <n v="1"/>
    <x v="0"/>
    <m/>
    <m/>
    <n v="23"/>
    <x v="1"/>
    <s v="18/06/2022"/>
    <d v="2022-06-18T00:00:00"/>
    <s v="2022004-93"/>
    <x v="4"/>
  </r>
  <r>
    <x v="104"/>
    <n v="2022004"/>
    <x v="4"/>
    <s v="Fababean"/>
    <m/>
    <x v="12"/>
    <s v="N"/>
    <x v="1"/>
    <n v="94"/>
    <n v="47"/>
    <x v="2"/>
    <m/>
    <m/>
    <m/>
    <n v="12"/>
    <m/>
    <m/>
    <m/>
    <m/>
    <m/>
    <n v="2"/>
    <n v="47"/>
    <x v="1"/>
    <n v="24"/>
    <m/>
    <n v="95"/>
    <x v="0"/>
    <n v="1"/>
    <x v="0"/>
    <m/>
    <m/>
    <n v="23"/>
    <x v="1"/>
    <s v="18/06/2022"/>
    <d v="2022-06-18T00:00:00"/>
    <s v="2022004-94"/>
    <x v="4"/>
  </r>
  <r>
    <x v="106"/>
    <n v="2022004"/>
    <x v="4"/>
    <s v="Fababean"/>
    <m/>
    <x v="13"/>
    <s v="Y"/>
    <x v="2"/>
    <n v="95"/>
    <n v="48"/>
    <x v="2"/>
    <m/>
    <m/>
    <m/>
    <n v="12"/>
    <m/>
    <m/>
    <m/>
    <m/>
    <m/>
    <n v="3"/>
    <n v="47"/>
    <x v="2"/>
    <n v="24"/>
    <m/>
    <m/>
    <x v="0"/>
    <n v="3"/>
    <x v="0"/>
    <m/>
    <m/>
    <n v="23"/>
    <x v="1"/>
    <s v="18/06/2022"/>
    <d v="2022-06-18T00:00:00"/>
    <s v="2022004-95"/>
    <x v="4"/>
  </r>
  <r>
    <x v="106"/>
    <n v="2022004"/>
    <x v="4"/>
    <s v="Fababean"/>
    <m/>
    <x v="13"/>
    <s v="Y"/>
    <x v="1"/>
    <n v="96"/>
    <n v="48"/>
    <x v="2"/>
    <m/>
    <m/>
    <m/>
    <n v="12"/>
    <m/>
    <m/>
    <m/>
    <m/>
    <m/>
    <n v="4"/>
    <n v="47"/>
    <x v="3"/>
    <n v="24"/>
    <m/>
    <n v="93"/>
    <x v="0"/>
    <n v="3"/>
    <x v="0"/>
    <m/>
    <m/>
    <n v="23"/>
    <x v="1"/>
    <s v="18/06/2022"/>
    <d v="2022-06-18T00:00:00"/>
    <s v="2022004-96"/>
    <x v="4"/>
  </r>
  <r>
    <x v="104"/>
    <n v="2022004"/>
    <x v="4"/>
    <s v="Fababean"/>
    <m/>
    <x v="12"/>
    <s v="N"/>
    <x v="2"/>
    <n v="97"/>
    <n v="49"/>
    <x v="3"/>
    <m/>
    <m/>
    <m/>
    <n v="13"/>
    <m/>
    <m/>
    <m/>
    <m/>
    <m/>
    <n v="1"/>
    <n v="50"/>
    <x v="0"/>
    <n v="25"/>
    <m/>
    <m/>
    <x v="0"/>
    <n v="1"/>
    <x v="0"/>
    <m/>
    <m/>
    <n v="23"/>
    <x v="1"/>
    <s v="18/06/2022"/>
    <d v="2022-06-18T00:00:00"/>
    <s v="2022004-97"/>
    <x v="4"/>
  </r>
  <r>
    <x v="104"/>
    <n v="2022004"/>
    <x v="4"/>
    <s v="Fababean"/>
    <m/>
    <x v="12"/>
    <s v="N"/>
    <x v="1"/>
    <n v="98"/>
    <n v="49"/>
    <x v="3"/>
    <m/>
    <m/>
    <m/>
    <n v="13"/>
    <m/>
    <m/>
    <m/>
    <m/>
    <m/>
    <n v="2"/>
    <n v="50"/>
    <x v="1"/>
    <n v="25"/>
    <m/>
    <n v="98"/>
    <x v="0"/>
    <n v="1"/>
    <x v="0"/>
    <m/>
    <m/>
    <n v="23"/>
    <x v="1"/>
    <s v="18/06/2022"/>
    <d v="2022-06-18T00:00:00"/>
    <s v="2022004-98"/>
    <x v="4"/>
  </r>
  <r>
    <x v="106"/>
    <n v="2022004"/>
    <x v="4"/>
    <s v="Fababean"/>
    <m/>
    <x v="13"/>
    <s v="Y"/>
    <x v="2"/>
    <n v="99"/>
    <n v="50"/>
    <x v="3"/>
    <m/>
    <m/>
    <m/>
    <n v="13"/>
    <m/>
    <m/>
    <m/>
    <m/>
    <m/>
    <n v="3"/>
    <n v="50"/>
    <x v="2"/>
    <n v="25"/>
    <m/>
    <m/>
    <x v="0"/>
    <n v="3"/>
    <x v="0"/>
    <m/>
    <m/>
    <n v="23"/>
    <x v="1"/>
    <s v="18/06/2022"/>
    <d v="2022-06-18T00:00:00"/>
    <s v="2022004-99"/>
    <x v="4"/>
  </r>
  <r>
    <x v="106"/>
    <n v="2022004"/>
    <x v="4"/>
    <s v="Fababean"/>
    <m/>
    <x v="13"/>
    <s v="Y"/>
    <x v="1"/>
    <n v="100"/>
    <n v="50"/>
    <x v="3"/>
    <m/>
    <m/>
    <m/>
    <n v="13"/>
    <m/>
    <m/>
    <m/>
    <m/>
    <m/>
    <n v="4"/>
    <n v="50"/>
    <x v="3"/>
    <n v="25"/>
    <m/>
    <n v="100"/>
    <x v="0"/>
    <n v="3"/>
    <x v="0"/>
    <m/>
    <m/>
    <n v="23"/>
    <x v="1"/>
    <s v="18/06/2022"/>
    <d v="2022-06-18T00:00:00"/>
    <s v="2022004-100"/>
    <x v="4"/>
  </r>
  <r>
    <x v="105"/>
    <n v="2022004"/>
    <x v="4"/>
    <s v="Fababean"/>
    <m/>
    <x v="10"/>
    <s v="Y"/>
    <x v="2"/>
    <n v="101"/>
    <n v="51"/>
    <x v="3"/>
    <m/>
    <m/>
    <m/>
    <n v="13"/>
    <m/>
    <m/>
    <m/>
    <m/>
    <m/>
    <n v="1"/>
    <n v="51"/>
    <x v="0"/>
    <n v="26"/>
    <m/>
    <m/>
    <x v="0"/>
    <n v="4"/>
    <x v="0"/>
    <m/>
    <m/>
    <n v="23"/>
    <x v="1"/>
    <s v="18/06/2022"/>
    <d v="2022-06-18T00:00:00"/>
    <s v="2022004-101"/>
    <x v="4"/>
  </r>
  <r>
    <x v="105"/>
    <n v="2022004"/>
    <x v="4"/>
    <s v="Fababean"/>
    <m/>
    <x v="10"/>
    <s v="Y"/>
    <x v="1"/>
    <n v="102"/>
    <n v="51"/>
    <x v="3"/>
    <m/>
    <m/>
    <m/>
    <n v="13"/>
    <m/>
    <m/>
    <m/>
    <m/>
    <m/>
    <n v="2"/>
    <n v="51"/>
    <x v="1"/>
    <n v="26"/>
    <m/>
    <n v="103"/>
    <x v="0"/>
    <n v="4"/>
    <x v="0"/>
    <m/>
    <m/>
    <n v="23"/>
    <x v="1"/>
    <s v="18/06/2022"/>
    <d v="2022-06-18T00:00:00"/>
    <s v="2022004-102"/>
    <x v="4"/>
  </r>
  <r>
    <x v="107"/>
    <n v="2022004"/>
    <x v="4"/>
    <s v="Fababean"/>
    <m/>
    <x v="11"/>
    <s v="N"/>
    <x v="2"/>
    <n v="103"/>
    <n v="52"/>
    <x v="3"/>
    <m/>
    <m/>
    <m/>
    <n v="13"/>
    <m/>
    <m/>
    <m/>
    <m/>
    <m/>
    <n v="3"/>
    <n v="51"/>
    <x v="2"/>
    <n v="26"/>
    <m/>
    <m/>
    <x v="0"/>
    <n v="2"/>
    <x v="0"/>
    <m/>
    <m/>
    <n v="23"/>
    <x v="1"/>
    <s v="18/06/2022"/>
    <d v="2022-06-18T00:00:00"/>
    <s v="2022004-103"/>
    <x v="4"/>
  </r>
  <r>
    <x v="107"/>
    <n v="2022004"/>
    <x v="4"/>
    <s v="Fababean"/>
    <m/>
    <x v="11"/>
    <s v="N"/>
    <x v="1"/>
    <n v="104"/>
    <n v="52"/>
    <x v="3"/>
    <m/>
    <m/>
    <m/>
    <n v="13"/>
    <m/>
    <m/>
    <m/>
    <m/>
    <m/>
    <n v="4"/>
    <n v="51"/>
    <x v="3"/>
    <n v="26"/>
    <m/>
    <n v="101"/>
    <x v="0"/>
    <n v="2"/>
    <x v="0"/>
    <m/>
    <m/>
    <n v="23"/>
    <x v="1"/>
    <s v="18/06/2022"/>
    <d v="2022-06-18T00:00:00"/>
    <s v="2022004-104"/>
    <x v="4"/>
  </r>
  <r>
    <x v="99"/>
    <n v="2022004"/>
    <x v="4"/>
    <s v="Fababean"/>
    <m/>
    <x v="13"/>
    <s v="Y"/>
    <x v="2"/>
    <n v="105"/>
    <n v="53"/>
    <x v="3"/>
    <m/>
    <m/>
    <m/>
    <n v="14"/>
    <m/>
    <m/>
    <m/>
    <m/>
    <m/>
    <n v="1"/>
    <n v="54"/>
    <x v="0"/>
    <n v="27"/>
    <m/>
    <m/>
    <x v="1"/>
    <n v="3"/>
    <x v="0"/>
    <m/>
    <m/>
    <n v="23"/>
    <x v="2"/>
    <s v="14/07/2022"/>
    <d v="2022-07-14T00:00:00"/>
    <s v="2022004-105"/>
    <x v="4"/>
  </r>
  <r>
    <x v="99"/>
    <n v="2022004"/>
    <x v="4"/>
    <s v="Fababean"/>
    <m/>
    <x v="13"/>
    <s v="Y"/>
    <x v="1"/>
    <n v="106"/>
    <n v="53"/>
    <x v="3"/>
    <m/>
    <m/>
    <m/>
    <n v="14"/>
    <m/>
    <m/>
    <m/>
    <m/>
    <m/>
    <n v="2"/>
    <n v="54"/>
    <x v="1"/>
    <n v="27"/>
    <m/>
    <n v="106"/>
    <x v="1"/>
    <n v="3"/>
    <x v="0"/>
    <m/>
    <m/>
    <n v="23"/>
    <x v="2"/>
    <s v="14/07/2022"/>
    <d v="2022-07-14T00:00:00"/>
    <s v="2022004-106"/>
    <x v="4"/>
  </r>
  <r>
    <x v="97"/>
    <n v="2022004"/>
    <x v="4"/>
    <s v="Fababean"/>
    <m/>
    <x v="11"/>
    <s v="N"/>
    <x v="2"/>
    <n v="107"/>
    <n v="54"/>
    <x v="3"/>
    <m/>
    <m/>
    <m/>
    <n v="14"/>
    <m/>
    <m/>
    <m/>
    <m/>
    <m/>
    <n v="3"/>
    <n v="54"/>
    <x v="2"/>
    <n v="27"/>
    <m/>
    <m/>
    <x v="1"/>
    <n v="2"/>
    <x v="0"/>
    <m/>
    <m/>
    <n v="23"/>
    <x v="2"/>
    <s v="14/07/2022"/>
    <d v="2022-07-14T00:00:00"/>
    <s v="2022004-107"/>
    <x v="4"/>
  </r>
  <r>
    <x v="97"/>
    <n v="2022004"/>
    <x v="4"/>
    <s v="Fababean"/>
    <m/>
    <x v="11"/>
    <s v="N"/>
    <x v="1"/>
    <n v="108"/>
    <n v="54"/>
    <x v="3"/>
    <m/>
    <m/>
    <m/>
    <n v="14"/>
    <m/>
    <m/>
    <m/>
    <m/>
    <m/>
    <n v="4"/>
    <n v="54"/>
    <x v="3"/>
    <n v="27"/>
    <m/>
    <n v="108"/>
    <x v="1"/>
    <n v="2"/>
    <x v="0"/>
    <m/>
    <m/>
    <n v="23"/>
    <x v="2"/>
    <s v="14/07/2022"/>
    <d v="2022-07-14T00:00:00"/>
    <s v="2022004-108"/>
    <x v="4"/>
  </r>
  <r>
    <x v="98"/>
    <n v="2022004"/>
    <x v="4"/>
    <s v="Fababean"/>
    <m/>
    <x v="12"/>
    <s v="N"/>
    <x v="2"/>
    <n v="109"/>
    <n v="55"/>
    <x v="3"/>
    <m/>
    <m/>
    <m/>
    <n v="14"/>
    <m/>
    <m/>
    <m/>
    <m/>
    <m/>
    <n v="1"/>
    <n v="55"/>
    <x v="0"/>
    <n v="28"/>
    <m/>
    <m/>
    <x v="1"/>
    <n v="1"/>
    <x v="0"/>
    <m/>
    <m/>
    <n v="23"/>
    <x v="2"/>
    <s v="14/07/2022"/>
    <d v="2022-07-14T00:00:00"/>
    <s v="2022004-109"/>
    <x v="4"/>
  </r>
  <r>
    <x v="98"/>
    <n v="2022004"/>
    <x v="4"/>
    <s v="Fababean"/>
    <m/>
    <x v="12"/>
    <s v="N"/>
    <x v="1"/>
    <n v="110"/>
    <n v="55"/>
    <x v="3"/>
    <m/>
    <m/>
    <m/>
    <n v="14"/>
    <m/>
    <m/>
    <m/>
    <m/>
    <m/>
    <n v="2"/>
    <n v="55"/>
    <x v="1"/>
    <n v="28"/>
    <m/>
    <n v="111"/>
    <x v="1"/>
    <n v="1"/>
    <x v="0"/>
    <m/>
    <m/>
    <n v="23"/>
    <x v="2"/>
    <s v="14/07/2022"/>
    <d v="2022-07-14T00:00:00"/>
    <s v="2022004-110"/>
    <x v="4"/>
  </r>
  <r>
    <x v="96"/>
    <n v="2022004"/>
    <x v="4"/>
    <s v="Fababean"/>
    <m/>
    <x v="10"/>
    <s v="Y"/>
    <x v="2"/>
    <n v="111"/>
    <n v="56"/>
    <x v="3"/>
    <m/>
    <m/>
    <m/>
    <n v="14"/>
    <m/>
    <m/>
    <m/>
    <m/>
    <m/>
    <n v="3"/>
    <n v="55"/>
    <x v="2"/>
    <n v="28"/>
    <m/>
    <m/>
    <x v="1"/>
    <n v="4"/>
    <x v="0"/>
    <m/>
    <m/>
    <n v="23"/>
    <x v="2"/>
    <s v="14/07/2022"/>
    <d v="2022-07-14T00:00:00"/>
    <s v="2022004-111"/>
    <x v="4"/>
  </r>
  <r>
    <x v="96"/>
    <n v="2022004"/>
    <x v="4"/>
    <s v="Fababean"/>
    <m/>
    <x v="10"/>
    <s v="Y"/>
    <x v="1"/>
    <n v="112"/>
    <n v="56"/>
    <x v="3"/>
    <m/>
    <m/>
    <m/>
    <n v="14"/>
    <m/>
    <m/>
    <m/>
    <m/>
    <m/>
    <n v="4"/>
    <n v="55"/>
    <x v="3"/>
    <n v="28"/>
    <m/>
    <n v="109"/>
    <x v="1"/>
    <n v="4"/>
    <x v="0"/>
    <m/>
    <m/>
    <n v="23"/>
    <x v="2"/>
    <s v="14/07/2022"/>
    <d v="2022-07-14T00:00:00"/>
    <s v="2022004-112"/>
    <x v="4"/>
  </r>
  <r>
    <x v="110"/>
    <n v="2022004"/>
    <x v="4"/>
    <s v="Fababean"/>
    <m/>
    <x v="10"/>
    <s v="Y"/>
    <x v="2"/>
    <n v="113"/>
    <n v="57"/>
    <x v="3"/>
    <m/>
    <m/>
    <m/>
    <n v="15"/>
    <m/>
    <m/>
    <m/>
    <m/>
    <m/>
    <n v="1"/>
    <n v="58"/>
    <x v="0"/>
    <n v="29"/>
    <m/>
    <m/>
    <x v="0"/>
    <n v="4"/>
    <x v="0"/>
    <m/>
    <m/>
    <n v="23"/>
    <x v="2"/>
    <s v="14/07/2022"/>
    <d v="2022-07-14T00:00:00"/>
    <s v="2022004-113"/>
    <x v="4"/>
  </r>
  <r>
    <x v="110"/>
    <n v="2022004"/>
    <x v="4"/>
    <s v="Fababean"/>
    <m/>
    <x v="10"/>
    <s v="Y"/>
    <x v="1"/>
    <n v="114"/>
    <n v="57"/>
    <x v="3"/>
    <m/>
    <m/>
    <m/>
    <n v="15"/>
    <m/>
    <m/>
    <m/>
    <m/>
    <m/>
    <n v="2"/>
    <n v="58"/>
    <x v="1"/>
    <n v="29"/>
    <m/>
    <n v="114"/>
    <x v="0"/>
    <n v="4"/>
    <x v="0"/>
    <m/>
    <m/>
    <n v="23"/>
    <x v="2"/>
    <s v="14/07/2022"/>
    <d v="2022-07-14T00:00:00"/>
    <s v="2022004-114"/>
    <x v="4"/>
  </r>
  <r>
    <x v="111"/>
    <n v="2022004"/>
    <x v="4"/>
    <s v="Fababean"/>
    <m/>
    <x v="12"/>
    <s v="N"/>
    <x v="2"/>
    <n v="115"/>
    <n v="58"/>
    <x v="3"/>
    <m/>
    <m/>
    <m/>
    <n v="15"/>
    <m/>
    <m/>
    <m/>
    <m/>
    <m/>
    <n v="3"/>
    <n v="58"/>
    <x v="2"/>
    <n v="29"/>
    <m/>
    <m/>
    <x v="0"/>
    <n v="1"/>
    <x v="0"/>
    <m/>
    <m/>
    <n v="23"/>
    <x v="2"/>
    <s v="14/07/2022"/>
    <d v="2022-07-14T00:00:00"/>
    <s v="2022004-115"/>
    <x v="4"/>
  </r>
  <r>
    <x v="111"/>
    <n v="2022004"/>
    <x v="4"/>
    <s v="Fababean"/>
    <m/>
    <x v="12"/>
    <s v="N"/>
    <x v="1"/>
    <n v="116"/>
    <n v="58"/>
    <x v="3"/>
    <m/>
    <m/>
    <m/>
    <n v="15"/>
    <m/>
    <m/>
    <m/>
    <m/>
    <m/>
    <n v="4"/>
    <n v="58"/>
    <x v="3"/>
    <n v="29"/>
    <m/>
    <n v="116"/>
    <x v="0"/>
    <n v="1"/>
    <x v="0"/>
    <m/>
    <m/>
    <n v="23"/>
    <x v="2"/>
    <s v="14/07/2022"/>
    <d v="2022-07-14T00:00:00"/>
    <s v="2022004-116"/>
    <x v="4"/>
  </r>
  <r>
    <x v="108"/>
    <n v="2022004"/>
    <x v="4"/>
    <s v="Fababean"/>
    <m/>
    <x v="11"/>
    <s v="N"/>
    <x v="2"/>
    <n v="117"/>
    <n v="59"/>
    <x v="3"/>
    <m/>
    <m/>
    <m/>
    <n v="15"/>
    <m/>
    <m/>
    <m/>
    <m/>
    <m/>
    <n v="1"/>
    <n v="59"/>
    <x v="0"/>
    <n v="30"/>
    <m/>
    <m/>
    <x v="0"/>
    <n v="2"/>
    <x v="0"/>
    <m/>
    <m/>
    <n v="23"/>
    <x v="2"/>
    <s v="14/07/2022"/>
    <d v="2022-07-14T00:00:00"/>
    <s v="2022004-117"/>
    <x v="4"/>
  </r>
  <r>
    <x v="108"/>
    <n v="2022004"/>
    <x v="4"/>
    <s v="Fababean"/>
    <m/>
    <x v="11"/>
    <s v="N"/>
    <x v="1"/>
    <n v="118"/>
    <n v="59"/>
    <x v="3"/>
    <m/>
    <m/>
    <m/>
    <n v="15"/>
    <m/>
    <m/>
    <m/>
    <m/>
    <m/>
    <n v="2"/>
    <n v="59"/>
    <x v="1"/>
    <n v="30"/>
    <m/>
    <n v="119"/>
    <x v="0"/>
    <n v="2"/>
    <x v="0"/>
    <m/>
    <m/>
    <n v="23"/>
    <x v="2"/>
    <s v="14/07/2022"/>
    <d v="2022-07-14T00:00:00"/>
    <s v="2022004-118"/>
    <x v="4"/>
  </r>
  <r>
    <x v="109"/>
    <n v="2022004"/>
    <x v="4"/>
    <s v="Fababean"/>
    <m/>
    <x v="13"/>
    <s v="Y"/>
    <x v="2"/>
    <n v="119"/>
    <n v="60"/>
    <x v="3"/>
    <m/>
    <m/>
    <m/>
    <n v="15"/>
    <m/>
    <m/>
    <m/>
    <m/>
    <m/>
    <n v="3"/>
    <n v="59"/>
    <x v="2"/>
    <n v="30"/>
    <m/>
    <m/>
    <x v="0"/>
    <n v="3"/>
    <x v="0"/>
    <m/>
    <m/>
    <n v="23"/>
    <x v="2"/>
    <s v="14/07/2022"/>
    <d v="2022-07-14T00:00:00"/>
    <s v="2022004-119"/>
    <x v="4"/>
  </r>
  <r>
    <x v="109"/>
    <n v="2022004"/>
    <x v="4"/>
    <s v="Fababean"/>
    <m/>
    <x v="13"/>
    <s v="Y"/>
    <x v="1"/>
    <n v="120"/>
    <n v="60"/>
    <x v="3"/>
    <m/>
    <m/>
    <m/>
    <n v="15"/>
    <m/>
    <m/>
    <m/>
    <m/>
    <m/>
    <n v="4"/>
    <n v="59"/>
    <x v="3"/>
    <n v="30"/>
    <m/>
    <n v="117"/>
    <x v="0"/>
    <n v="3"/>
    <x v="0"/>
    <m/>
    <m/>
    <n v="23"/>
    <x v="2"/>
    <s v="14/07/2022"/>
    <d v="2022-07-14T00:00:00"/>
    <s v="2022004-120"/>
    <x v="4"/>
  </r>
  <r>
    <x v="102"/>
    <n v="2022004"/>
    <x v="4"/>
    <s v="Fababean"/>
    <m/>
    <x v="11"/>
    <s v="N"/>
    <x v="2"/>
    <n v="121"/>
    <n v="61"/>
    <x v="3"/>
    <m/>
    <m/>
    <m/>
    <n v="16"/>
    <m/>
    <m/>
    <m/>
    <m/>
    <m/>
    <n v="1"/>
    <n v="62"/>
    <x v="0"/>
    <n v="31"/>
    <m/>
    <m/>
    <x v="1"/>
    <n v="2"/>
    <x v="0"/>
    <m/>
    <m/>
    <n v="23"/>
    <x v="1"/>
    <s v="18/06/2022"/>
    <d v="2022-06-18T00:00:00"/>
    <s v="2022004-121"/>
    <x v="4"/>
  </r>
  <r>
    <x v="102"/>
    <n v="2022004"/>
    <x v="4"/>
    <s v="Fababean"/>
    <m/>
    <x v="11"/>
    <s v="N"/>
    <x v="1"/>
    <n v="122"/>
    <n v="61"/>
    <x v="3"/>
    <m/>
    <m/>
    <m/>
    <n v="16"/>
    <m/>
    <m/>
    <m/>
    <m/>
    <m/>
    <n v="2"/>
    <n v="62"/>
    <x v="1"/>
    <n v="31"/>
    <m/>
    <n v="122"/>
    <x v="1"/>
    <n v="2"/>
    <x v="0"/>
    <m/>
    <m/>
    <n v="23"/>
    <x v="1"/>
    <s v="18/06/2022"/>
    <d v="2022-06-18T00:00:00"/>
    <s v="2022004-122"/>
    <x v="4"/>
  </r>
  <r>
    <x v="103"/>
    <n v="2022004"/>
    <x v="4"/>
    <s v="Fababean"/>
    <m/>
    <x v="10"/>
    <s v="Y"/>
    <x v="2"/>
    <n v="123"/>
    <n v="62"/>
    <x v="3"/>
    <m/>
    <m/>
    <m/>
    <n v="16"/>
    <m/>
    <m/>
    <m/>
    <m/>
    <m/>
    <n v="3"/>
    <n v="62"/>
    <x v="2"/>
    <n v="31"/>
    <m/>
    <m/>
    <x v="1"/>
    <n v="4"/>
    <x v="0"/>
    <m/>
    <m/>
    <n v="23"/>
    <x v="1"/>
    <s v="18/06/2022"/>
    <d v="2022-06-18T00:00:00"/>
    <s v="2022004-123"/>
    <x v="4"/>
  </r>
  <r>
    <x v="103"/>
    <n v="2022004"/>
    <x v="4"/>
    <s v="Fababean"/>
    <m/>
    <x v="10"/>
    <s v="Y"/>
    <x v="1"/>
    <n v="124"/>
    <n v="62"/>
    <x v="3"/>
    <m/>
    <m/>
    <m/>
    <n v="16"/>
    <m/>
    <m/>
    <m/>
    <m/>
    <m/>
    <n v="4"/>
    <n v="62"/>
    <x v="3"/>
    <n v="31"/>
    <m/>
    <n v="124"/>
    <x v="1"/>
    <n v="4"/>
    <x v="0"/>
    <m/>
    <m/>
    <n v="23"/>
    <x v="1"/>
    <s v="18/06/2022"/>
    <d v="2022-06-18T00:00:00"/>
    <s v="2022004-124"/>
    <x v="4"/>
  </r>
  <r>
    <x v="100"/>
    <n v="2022004"/>
    <x v="4"/>
    <s v="Fababean"/>
    <m/>
    <x v="13"/>
    <s v="Y"/>
    <x v="2"/>
    <n v="125"/>
    <n v="63"/>
    <x v="3"/>
    <m/>
    <m/>
    <m/>
    <n v="16"/>
    <m/>
    <m/>
    <m/>
    <m/>
    <m/>
    <n v="1"/>
    <n v="63"/>
    <x v="0"/>
    <n v="32"/>
    <m/>
    <m/>
    <x v="1"/>
    <n v="3"/>
    <x v="0"/>
    <m/>
    <m/>
    <n v="23"/>
    <x v="1"/>
    <s v="18/06/2022"/>
    <d v="2022-06-18T00:00:00"/>
    <s v="2022004-125"/>
    <x v="4"/>
  </r>
  <r>
    <x v="100"/>
    <n v="2022004"/>
    <x v="4"/>
    <s v="Fababean"/>
    <m/>
    <x v="13"/>
    <s v="Y"/>
    <x v="1"/>
    <n v="126"/>
    <n v="63"/>
    <x v="3"/>
    <m/>
    <m/>
    <m/>
    <n v="16"/>
    <m/>
    <m/>
    <m/>
    <m/>
    <m/>
    <n v="2"/>
    <n v="63"/>
    <x v="1"/>
    <n v="32"/>
    <m/>
    <n v="127"/>
    <x v="1"/>
    <n v="3"/>
    <x v="0"/>
    <m/>
    <m/>
    <n v="23"/>
    <x v="1"/>
    <s v="18/06/2022"/>
    <d v="2022-06-18T00:00:00"/>
    <s v="2022004-126"/>
    <x v="4"/>
  </r>
  <r>
    <x v="101"/>
    <n v="2022004"/>
    <x v="4"/>
    <s v="Fababean"/>
    <m/>
    <x v="12"/>
    <s v="N"/>
    <x v="2"/>
    <n v="127"/>
    <n v="64"/>
    <x v="3"/>
    <m/>
    <m/>
    <m/>
    <n v="16"/>
    <m/>
    <m/>
    <m/>
    <m/>
    <m/>
    <n v="3"/>
    <n v="63"/>
    <x v="2"/>
    <n v="32"/>
    <m/>
    <m/>
    <x v="1"/>
    <n v="1"/>
    <x v="0"/>
    <m/>
    <m/>
    <n v="23"/>
    <x v="1"/>
    <s v="18/06/2022"/>
    <d v="2022-06-18T00:00:00"/>
    <s v="2022004-127"/>
    <x v="4"/>
  </r>
  <r>
    <x v="101"/>
    <n v="2022004"/>
    <x v="4"/>
    <s v="Fababean"/>
    <m/>
    <x v="12"/>
    <s v="N"/>
    <x v="1"/>
    <n v="128"/>
    <n v="64"/>
    <x v="3"/>
    <m/>
    <m/>
    <m/>
    <n v="16"/>
    <m/>
    <m/>
    <m/>
    <m/>
    <m/>
    <n v="4"/>
    <n v="63"/>
    <x v="3"/>
    <n v="32"/>
    <m/>
    <n v="125"/>
    <x v="1"/>
    <n v="1"/>
    <x v="0"/>
    <m/>
    <m/>
    <n v="23"/>
    <x v="1"/>
    <s v="18/06/2022"/>
    <d v="2022-06-18T00:00:00"/>
    <s v="2022004-128"/>
    <x v="4"/>
  </r>
  <r>
    <x v="112"/>
    <n v="2022005"/>
    <x v="5"/>
    <s v="Lentil"/>
    <m/>
    <x v="1"/>
    <s v="Y"/>
    <x v="2"/>
    <n v="1"/>
    <n v="1"/>
    <x v="0"/>
    <m/>
    <m/>
    <m/>
    <n v="1"/>
    <n v="1"/>
    <m/>
    <m/>
    <m/>
    <m/>
    <n v="1"/>
    <n v="2"/>
    <x v="0"/>
    <n v="1"/>
    <m/>
    <m/>
    <x v="0"/>
    <n v="3"/>
    <x v="0"/>
    <m/>
    <m/>
    <n v="30.5"/>
    <x v="2"/>
    <s v="28/06/2022"/>
    <d v="2022-06-28T00:00:00"/>
    <s v="2022005-1"/>
    <x v="0"/>
  </r>
  <r>
    <x v="112"/>
    <n v="2022005"/>
    <x v="5"/>
    <s v="Lentil"/>
    <m/>
    <x v="1"/>
    <s v="Y"/>
    <x v="1"/>
    <n v="2"/>
    <n v="1"/>
    <x v="0"/>
    <m/>
    <m/>
    <m/>
    <n v="1"/>
    <n v="1"/>
    <m/>
    <m/>
    <m/>
    <m/>
    <n v="1"/>
    <n v="3"/>
    <x v="0"/>
    <n v="2"/>
    <m/>
    <n v="1"/>
    <x v="0"/>
    <n v="3"/>
    <x v="0"/>
    <m/>
    <m/>
    <n v="30.5"/>
    <x v="2"/>
    <s v="28/06/2022"/>
    <d v="2022-06-28T00:00:00"/>
    <s v="2022005-2"/>
    <x v="0"/>
  </r>
  <r>
    <x v="113"/>
    <n v="2022005"/>
    <x v="5"/>
    <s v="Lentil"/>
    <m/>
    <x v="14"/>
    <s v="N"/>
    <x v="2"/>
    <n v="3"/>
    <n v="2"/>
    <x v="0"/>
    <m/>
    <m/>
    <m/>
    <n v="1"/>
    <n v="1"/>
    <m/>
    <m/>
    <m/>
    <m/>
    <n v="2"/>
    <n v="2"/>
    <x v="1"/>
    <n v="1"/>
    <m/>
    <m/>
    <x v="0"/>
    <n v="1"/>
    <x v="0"/>
    <m/>
    <m/>
    <n v="30.5"/>
    <x v="2"/>
    <s v="28/06/2022"/>
    <d v="2022-06-28T00:00:00"/>
    <s v="2022005-3"/>
    <x v="0"/>
  </r>
  <r>
    <x v="113"/>
    <n v="2022005"/>
    <x v="5"/>
    <s v="Lentil"/>
    <m/>
    <x v="14"/>
    <s v="N"/>
    <x v="1"/>
    <n v="4"/>
    <n v="2"/>
    <x v="0"/>
    <m/>
    <m/>
    <m/>
    <n v="1"/>
    <n v="1"/>
    <m/>
    <m/>
    <m/>
    <m/>
    <n v="2"/>
    <n v="3"/>
    <x v="1"/>
    <n v="2"/>
    <m/>
    <n v="2"/>
    <x v="0"/>
    <n v="1"/>
    <x v="0"/>
    <m/>
    <m/>
    <n v="30.5"/>
    <x v="2"/>
    <s v="28/06/2022"/>
    <d v="2022-06-28T00:00:00"/>
    <s v="2022005-4"/>
    <x v="0"/>
  </r>
  <r>
    <x v="114"/>
    <n v="2022005"/>
    <x v="5"/>
    <s v="Lentil"/>
    <m/>
    <x v="15"/>
    <s v="Y"/>
    <x v="2"/>
    <n v="5"/>
    <n v="3"/>
    <x v="0"/>
    <m/>
    <m/>
    <m/>
    <n v="1"/>
    <n v="1"/>
    <m/>
    <m/>
    <m/>
    <m/>
    <n v="3"/>
    <n v="2"/>
    <x v="2"/>
    <n v="1"/>
    <m/>
    <m/>
    <x v="0"/>
    <n v="4"/>
    <x v="0"/>
    <m/>
    <m/>
    <n v="30.5"/>
    <x v="2"/>
    <s v="28/06/2022"/>
    <d v="2022-06-28T00:00:00"/>
    <s v="2022005-5"/>
    <x v="0"/>
  </r>
  <r>
    <x v="114"/>
    <n v="2022005"/>
    <x v="5"/>
    <s v="Lentil"/>
    <m/>
    <x v="15"/>
    <s v="Y"/>
    <x v="1"/>
    <n v="6"/>
    <n v="3"/>
    <x v="0"/>
    <m/>
    <m/>
    <m/>
    <n v="1"/>
    <n v="1"/>
    <m/>
    <m/>
    <m/>
    <m/>
    <n v="3"/>
    <n v="3"/>
    <x v="2"/>
    <n v="2"/>
    <m/>
    <n v="3"/>
    <x v="0"/>
    <n v="4"/>
    <x v="0"/>
    <m/>
    <m/>
    <n v="30.5"/>
    <x v="2"/>
    <s v="28/06/2022"/>
    <d v="2022-06-28T00:00:00"/>
    <s v="2022005-6"/>
    <x v="0"/>
  </r>
  <r>
    <x v="115"/>
    <n v="2022005"/>
    <x v="5"/>
    <s v="Lentil"/>
    <m/>
    <x v="16"/>
    <s v="N"/>
    <x v="2"/>
    <n v="7"/>
    <n v="4"/>
    <x v="0"/>
    <m/>
    <m/>
    <m/>
    <n v="1"/>
    <n v="1"/>
    <m/>
    <m/>
    <m/>
    <m/>
    <n v="4"/>
    <n v="2"/>
    <x v="3"/>
    <n v="1"/>
    <m/>
    <m/>
    <x v="0"/>
    <n v="2"/>
    <x v="0"/>
    <m/>
    <m/>
    <n v="30.5"/>
    <x v="2"/>
    <s v="28/06/2022"/>
    <d v="2022-06-28T00:00:00"/>
    <s v="2022005-7"/>
    <x v="0"/>
  </r>
  <r>
    <x v="115"/>
    <n v="2022005"/>
    <x v="5"/>
    <s v="Lentil"/>
    <m/>
    <x v="16"/>
    <s v="N"/>
    <x v="1"/>
    <n v="8"/>
    <n v="4"/>
    <x v="0"/>
    <m/>
    <m/>
    <m/>
    <n v="1"/>
    <n v="1"/>
    <m/>
    <m/>
    <m/>
    <m/>
    <n v="4"/>
    <n v="3"/>
    <x v="3"/>
    <n v="2"/>
    <m/>
    <n v="4"/>
    <x v="0"/>
    <n v="2"/>
    <x v="0"/>
    <m/>
    <m/>
    <n v="30.5"/>
    <x v="2"/>
    <s v="28/06/2022"/>
    <d v="2022-06-28T00:00:00"/>
    <s v="2022005-8"/>
    <x v="0"/>
  </r>
  <r>
    <x v="116"/>
    <n v="2022005"/>
    <x v="5"/>
    <s v="Lentil"/>
    <m/>
    <x v="14"/>
    <s v="N"/>
    <x v="2"/>
    <n v="9"/>
    <n v="5"/>
    <x v="0"/>
    <m/>
    <m/>
    <m/>
    <n v="1"/>
    <n v="2"/>
    <m/>
    <m/>
    <m/>
    <m/>
    <n v="1"/>
    <n v="5"/>
    <x v="0"/>
    <n v="3"/>
    <m/>
    <m/>
    <x v="1"/>
    <n v="1"/>
    <x v="0"/>
    <m/>
    <m/>
    <n v="30.5"/>
    <x v="2"/>
    <s v="28/06/2022"/>
    <d v="2022-06-28T00:00:00"/>
    <s v="2022005-9"/>
    <x v="0"/>
  </r>
  <r>
    <x v="116"/>
    <n v="2022005"/>
    <x v="5"/>
    <s v="Lentil"/>
    <m/>
    <x v="14"/>
    <s v="N"/>
    <x v="1"/>
    <n v="10"/>
    <n v="5"/>
    <x v="0"/>
    <m/>
    <m/>
    <m/>
    <n v="1"/>
    <n v="2"/>
    <m/>
    <m/>
    <m/>
    <m/>
    <n v="1"/>
    <n v="6"/>
    <x v="0"/>
    <n v="4"/>
    <m/>
    <n v="8"/>
    <x v="1"/>
    <n v="1"/>
    <x v="0"/>
    <m/>
    <m/>
    <n v="30.5"/>
    <x v="2"/>
    <s v="28/06/2022"/>
    <d v="2022-06-28T00:00:00"/>
    <s v="2022005-10"/>
    <x v="0"/>
  </r>
  <r>
    <x v="117"/>
    <n v="2022005"/>
    <x v="5"/>
    <s v="Lentil"/>
    <m/>
    <x v="15"/>
    <s v="Y"/>
    <x v="2"/>
    <n v="11"/>
    <n v="6"/>
    <x v="0"/>
    <m/>
    <m/>
    <m/>
    <n v="1"/>
    <n v="2"/>
    <m/>
    <m/>
    <m/>
    <m/>
    <n v="2"/>
    <n v="5"/>
    <x v="1"/>
    <n v="3"/>
    <m/>
    <m/>
    <x v="1"/>
    <n v="4"/>
    <x v="0"/>
    <m/>
    <m/>
    <n v="30.5"/>
    <x v="2"/>
    <s v="28/06/2022"/>
    <d v="2022-06-28T00:00:00"/>
    <s v="2022005-11"/>
    <x v="0"/>
  </r>
  <r>
    <x v="117"/>
    <n v="2022005"/>
    <x v="5"/>
    <s v="Lentil"/>
    <m/>
    <x v="15"/>
    <s v="Y"/>
    <x v="1"/>
    <n v="12"/>
    <n v="6"/>
    <x v="0"/>
    <m/>
    <m/>
    <m/>
    <n v="1"/>
    <n v="2"/>
    <m/>
    <m/>
    <m/>
    <m/>
    <n v="2"/>
    <n v="6"/>
    <x v="1"/>
    <n v="4"/>
    <m/>
    <n v="7"/>
    <x v="1"/>
    <n v="4"/>
    <x v="0"/>
    <m/>
    <m/>
    <n v="30.5"/>
    <x v="2"/>
    <s v="28/06/2022"/>
    <d v="2022-06-28T00:00:00"/>
    <s v="2022005-12"/>
    <x v="0"/>
  </r>
  <r>
    <x v="118"/>
    <n v="2022005"/>
    <x v="5"/>
    <s v="Lentil"/>
    <m/>
    <x v="16"/>
    <s v="N"/>
    <x v="2"/>
    <n v="13"/>
    <n v="7"/>
    <x v="0"/>
    <m/>
    <m/>
    <m/>
    <n v="1"/>
    <n v="2"/>
    <m/>
    <m/>
    <m/>
    <m/>
    <n v="3"/>
    <n v="5"/>
    <x v="2"/>
    <n v="3"/>
    <m/>
    <m/>
    <x v="1"/>
    <n v="2"/>
    <x v="0"/>
    <m/>
    <m/>
    <n v="30.5"/>
    <x v="2"/>
    <s v="28/06/2022"/>
    <d v="2022-06-28T00:00:00"/>
    <s v="2022005-13"/>
    <x v="0"/>
  </r>
  <r>
    <x v="118"/>
    <n v="2022005"/>
    <x v="5"/>
    <s v="Lentil"/>
    <m/>
    <x v="16"/>
    <s v="N"/>
    <x v="1"/>
    <n v="14"/>
    <n v="7"/>
    <x v="0"/>
    <m/>
    <m/>
    <m/>
    <n v="1"/>
    <n v="2"/>
    <m/>
    <m/>
    <m/>
    <m/>
    <n v="3"/>
    <n v="6"/>
    <x v="2"/>
    <n v="4"/>
    <m/>
    <n v="6"/>
    <x v="1"/>
    <n v="2"/>
    <x v="0"/>
    <m/>
    <m/>
    <n v="30.5"/>
    <x v="2"/>
    <s v="28/06/2022"/>
    <d v="2022-06-28T00:00:00"/>
    <s v="2022005-14"/>
    <x v="0"/>
  </r>
  <r>
    <x v="119"/>
    <n v="2022005"/>
    <x v="5"/>
    <s v="Lentil"/>
    <m/>
    <x v="1"/>
    <s v="Y"/>
    <x v="2"/>
    <n v="15"/>
    <n v="8"/>
    <x v="0"/>
    <m/>
    <m/>
    <m/>
    <n v="1"/>
    <n v="2"/>
    <m/>
    <m/>
    <m/>
    <m/>
    <n v="4"/>
    <n v="5"/>
    <x v="3"/>
    <n v="3"/>
    <m/>
    <m/>
    <x v="1"/>
    <n v="3"/>
    <x v="0"/>
    <m/>
    <m/>
    <n v="30.5"/>
    <x v="2"/>
    <s v="28/06/2022"/>
    <d v="2022-06-28T00:00:00"/>
    <s v="2022005-15"/>
    <x v="0"/>
  </r>
  <r>
    <x v="119"/>
    <n v="2022005"/>
    <x v="5"/>
    <s v="Lentil"/>
    <m/>
    <x v="1"/>
    <s v="Y"/>
    <x v="1"/>
    <n v="16"/>
    <n v="8"/>
    <x v="0"/>
    <m/>
    <m/>
    <m/>
    <n v="1"/>
    <n v="2"/>
    <m/>
    <m/>
    <m/>
    <m/>
    <n v="4"/>
    <n v="6"/>
    <x v="3"/>
    <n v="4"/>
    <m/>
    <n v="5"/>
    <x v="1"/>
    <n v="3"/>
    <x v="0"/>
    <m/>
    <m/>
    <n v="30.5"/>
    <x v="2"/>
    <s v="28/06/2022"/>
    <d v="2022-06-28T00:00:00"/>
    <s v="2022005-16"/>
    <x v="0"/>
  </r>
  <r>
    <x v="120"/>
    <n v="2022005"/>
    <x v="5"/>
    <s v="Lentil"/>
    <m/>
    <x v="16"/>
    <s v="N"/>
    <x v="2"/>
    <n v="17"/>
    <n v="9"/>
    <x v="0"/>
    <m/>
    <m/>
    <m/>
    <n v="2"/>
    <n v="3"/>
    <m/>
    <m/>
    <m/>
    <m/>
    <n v="1"/>
    <n v="8"/>
    <x v="0"/>
    <n v="5"/>
    <m/>
    <m/>
    <x v="1"/>
    <n v="2"/>
    <x v="0"/>
    <m/>
    <m/>
    <n v="30.5"/>
    <x v="1"/>
    <s v="23/05/2022"/>
    <d v="2022-05-23T00:00:00"/>
    <s v="2022005-17"/>
    <x v="0"/>
  </r>
  <r>
    <x v="120"/>
    <n v="2022005"/>
    <x v="5"/>
    <s v="Lentil"/>
    <m/>
    <x v="16"/>
    <s v="N"/>
    <x v="1"/>
    <n v="18"/>
    <n v="9"/>
    <x v="0"/>
    <m/>
    <m/>
    <m/>
    <n v="2"/>
    <n v="3"/>
    <m/>
    <m/>
    <m/>
    <m/>
    <n v="1"/>
    <n v="9"/>
    <x v="0"/>
    <n v="6"/>
    <m/>
    <n v="9"/>
    <x v="1"/>
    <n v="2"/>
    <x v="0"/>
    <m/>
    <m/>
    <n v="30.5"/>
    <x v="1"/>
    <s v="23/05/2022"/>
    <d v="2022-05-23T00:00:00"/>
    <s v="2022005-18"/>
    <x v="0"/>
  </r>
  <r>
    <x v="121"/>
    <n v="2022005"/>
    <x v="5"/>
    <s v="Lentil"/>
    <m/>
    <x v="1"/>
    <s v="Y"/>
    <x v="2"/>
    <n v="19"/>
    <n v="10"/>
    <x v="0"/>
    <m/>
    <m/>
    <m/>
    <n v="2"/>
    <n v="3"/>
    <m/>
    <m/>
    <m/>
    <m/>
    <n v="2"/>
    <n v="8"/>
    <x v="1"/>
    <n v="5"/>
    <m/>
    <m/>
    <x v="1"/>
    <n v="3"/>
    <x v="0"/>
    <m/>
    <m/>
    <n v="30.5"/>
    <x v="1"/>
    <s v="23/05/2022"/>
    <d v="2022-05-23T00:00:00"/>
    <s v="2022005-19"/>
    <x v="0"/>
  </r>
  <r>
    <x v="121"/>
    <n v="2022005"/>
    <x v="5"/>
    <s v="Lentil"/>
    <m/>
    <x v="1"/>
    <s v="Y"/>
    <x v="1"/>
    <n v="20"/>
    <n v="10"/>
    <x v="0"/>
    <m/>
    <m/>
    <m/>
    <n v="2"/>
    <n v="3"/>
    <m/>
    <m/>
    <m/>
    <m/>
    <n v="2"/>
    <n v="9"/>
    <x v="1"/>
    <n v="6"/>
    <m/>
    <n v="10"/>
    <x v="1"/>
    <n v="3"/>
    <x v="0"/>
    <m/>
    <m/>
    <n v="30.5"/>
    <x v="1"/>
    <s v="23/05/2022"/>
    <d v="2022-05-23T00:00:00"/>
    <s v="2022005-20"/>
    <x v="0"/>
  </r>
  <r>
    <x v="122"/>
    <n v="2022005"/>
    <x v="5"/>
    <s v="Lentil"/>
    <m/>
    <x v="14"/>
    <s v="N"/>
    <x v="2"/>
    <n v="21"/>
    <n v="11"/>
    <x v="0"/>
    <m/>
    <m/>
    <m/>
    <n v="2"/>
    <n v="3"/>
    <m/>
    <m/>
    <m/>
    <m/>
    <n v="3"/>
    <n v="8"/>
    <x v="2"/>
    <n v="5"/>
    <m/>
    <m/>
    <x v="1"/>
    <n v="1"/>
    <x v="0"/>
    <m/>
    <m/>
    <n v="30.5"/>
    <x v="1"/>
    <s v="23/05/2022"/>
    <d v="2022-05-23T00:00:00"/>
    <s v="2022005-21"/>
    <x v="0"/>
  </r>
  <r>
    <x v="122"/>
    <n v="2022005"/>
    <x v="5"/>
    <s v="Lentil"/>
    <m/>
    <x v="14"/>
    <s v="N"/>
    <x v="1"/>
    <n v="22"/>
    <n v="11"/>
    <x v="0"/>
    <m/>
    <m/>
    <m/>
    <n v="2"/>
    <n v="3"/>
    <m/>
    <m/>
    <m/>
    <m/>
    <n v="3"/>
    <n v="9"/>
    <x v="2"/>
    <n v="6"/>
    <m/>
    <n v="11"/>
    <x v="1"/>
    <n v="1"/>
    <x v="0"/>
    <m/>
    <m/>
    <n v="30.5"/>
    <x v="1"/>
    <s v="23/05/2022"/>
    <d v="2022-05-23T00:00:00"/>
    <s v="2022005-22"/>
    <x v="0"/>
  </r>
  <r>
    <x v="123"/>
    <n v="2022005"/>
    <x v="5"/>
    <s v="Lentil"/>
    <m/>
    <x v="15"/>
    <s v="Y"/>
    <x v="2"/>
    <n v="23"/>
    <n v="12"/>
    <x v="0"/>
    <m/>
    <m/>
    <m/>
    <n v="2"/>
    <n v="3"/>
    <m/>
    <m/>
    <m/>
    <m/>
    <n v="4"/>
    <n v="8"/>
    <x v="3"/>
    <n v="5"/>
    <m/>
    <m/>
    <x v="1"/>
    <n v="4"/>
    <x v="0"/>
    <m/>
    <m/>
    <n v="30.5"/>
    <x v="1"/>
    <s v="23/05/2022"/>
    <d v="2022-05-23T00:00:00"/>
    <s v="2022005-23"/>
    <x v="0"/>
  </r>
  <r>
    <x v="123"/>
    <n v="2022005"/>
    <x v="5"/>
    <s v="Lentil"/>
    <m/>
    <x v="15"/>
    <s v="Y"/>
    <x v="1"/>
    <n v="24"/>
    <n v="12"/>
    <x v="0"/>
    <m/>
    <m/>
    <m/>
    <n v="2"/>
    <n v="3"/>
    <m/>
    <m/>
    <m/>
    <m/>
    <n v="4"/>
    <n v="9"/>
    <x v="3"/>
    <n v="6"/>
    <m/>
    <n v="12"/>
    <x v="1"/>
    <n v="4"/>
    <x v="0"/>
    <m/>
    <m/>
    <n v="30.5"/>
    <x v="1"/>
    <s v="23/05/2022"/>
    <d v="2022-05-23T00:00:00"/>
    <s v="2022005-24"/>
    <x v="0"/>
  </r>
  <r>
    <x v="124"/>
    <n v="2022005"/>
    <x v="5"/>
    <s v="Lentil"/>
    <m/>
    <x v="15"/>
    <s v="Y"/>
    <x v="2"/>
    <n v="25"/>
    <n v="13"/>
    <x v="0"/>
    <m/>
    <m/>
    <m/>
    <n v="2"/>
    <n v="4"/>
    <m/>
    <m/>
    <m/>
    <m/>
    <n v="1"/>
    <n v="11"/>
    <x v="0"/>
    <n v="7"/>
    <m/>
    <m/>
    <x v="0"/>
    <n v="4"/>
    <x v="0"/>
    <m/>
    <m/>
    <n v="30.5"/>
    <x v="1"/>
    <s v="23/05/2022"/>
    <d v="2022-05-23T00:00:00"/>
    <s v="2022005-25"/>
    <x v="0"/>
  </r>
  <r>
    <x v="124"/>
    <n v="2022005"/>
    <x v="5"/>
    <s v="Lentil"/>
    <m/>
    <x v="15"/>
    <s v="Y"/>
    <x v="1"/>
    <n v="26"/>
    <n v="13"/>
    <x v="0"/>
    <m/>
    <m/>
    <m/>
    <n v="2"/>
    <n v="4"/>
    <m/>
    <m/>
    <m/>
    <m/>
    <n v="1"/>
    <n v="12"/>
    <x v="0"/>
    <n v="8"/>
    <m/>
    <n v="16"/>
    <x v="0"/>
    <n v="4"/>
    <x v="0"/>
    <m/>
    <m/>
    <n v="30.5"/>
    <x v="1"/>
    <s v="23/05/2022"/>
    <d v="2022-05-23T00:00:00"/>
    <s v="2022005-26"/>
    <x v="0"/>
  </r>
  <r>
    <x v="125"/>
    <n v="2022005"/>
    <x v="5"/>
    <s v="Lentil"/>
    <m/>
    <x v="16"/>
    <s v="N"/>
    <x v="2"/>
    <n v="27"/>
    <n v="14"/>
    <x v="0"/>
    <m/>
    <m/>
    <m/>
    <n v="2"/>
    <n v="4"/>
    <m/>
    <m/>
    <m/>
    <m/>
    <n v="2"/>
    <n v="11"/>
    <x v="1"/>
    <n v="7"/>
    <m/>
    <m/>
    <x v="0"/>
    <n v="2"/>
    <x v="0"/>
    <m/>
    <m/>
    <n v="30.5"/>
    <x v="1"/>
    <s v="23/05/2022"/>
    <d v="2022-05-23T00:00:00"/>
    <s v="2022005-27"/>
    <x v="0"/>
  </r>
  <r>
    <x v="125"/>
    <n v="2022005"/>
    <x v="5"/>
    <s v="Lentil"/>
    <m/>
    <x v="16"/>
    <s v="N"/>
    <x v="1"/>
    <n v="28"/>
    <n v="14"/>
    <x v="0"/>
    <m/>
    <m/>
    <m/>
    <n v="2"/>
    <n v="4"/>
    <m/>
    <m/>
    <m/>
    <m/>
    <n v="2"/>
    <n v="12"/>
    <x v="1"/>
    <n v="8"/>
    <m/>
    <n v="15"/>
    <x v="0"/>
    <n v="2"/>
    <x v="0"/>
    <m/>
    <m/>
    <n v="30.5"/>
    <x v="1"/>
    <s v="23/05/2022"/>
    <d v="2022-05-23T00:00:00"/>
    <s v="2022005-28"/>
    <x v="0"/>
  </r>
  <r>
    <x v="126"/>
    <n v="2022005"/>
    <x v="5"/>
    <s v="Lentil"/>
    <m/>
    <x v="1"/>
    <s v="Y"/>
    <x v="2"/>
    <n v="29"/>
    <n v="15"/>
    <x v="0"/>
    <m/>
    <m/>
    <m/>
    <n v="2"/>
    <n v="4"/>
    <m/>
    <m/>
    <m/>
    <m/>
    <n v="3"/>
    <n v="11"/>
    <x v="2"/>
    <n v="7"/>
    <m/>
    <m/>
    <x v="0"/>
    <n v="3"/>
    <x v="0"/>
    <m/>
    <m/>
    <n v="30.5"/>
    <x v="1"/>
    <s v="23/05/2022"/>
    <d v="2022-05-23T00:00:00"/>
    <s v="2022005-29"/>
    <x v="0"/>
  </r>
  <r>
    <x v="126"/>
    <n v="2022005"/>
    <x v="5"/>
    <s v="Lentil"/>
    <m/>
    <x v="1"/>
    <s v="Y"/>
    <x v="1"/>
    <n v="30"/>
    <n v="15"/>
    <x v="0"/>
    <m/>
    <m/>
    <m/>
    <n v="2"/>
    <n v="4"/>
    <m/>
    <m/>
    <m/>
    <m/>
    <n v="3"/>
    <n v="12"/>
    <x v="2"/>
    <n v="8"/>
    <m/>
    <n v="14"/>
    <x v="0"/>
    <n v="3"/>
    <x v="0"/>
    <m/>
    <m/>
    <n v="30.5"/>
    <x v="1"/>
    <s v="23/05/2022"/>
    <d v="2022-05-23T00:00:00"/>
    <s v="2022005-30"/>
    <x v="0"/>
  </r>
  <r>
    <x v="127"/>
    <n v="2022005"/>
    <x v="5"/>
    <s v="Lentil"/>
    <m/>
    <x v="14"/>
    <s v="N"/>
    <x v="2"/>
    <n v="31"/>
    <n v="16"/>
    <x v="0"/>
    <m/>
    <m/>
    <m/>
    <n v="2"/>
    <n v="4"/>
    <m/>
    <m/>
    <m/>
    <m/>
    <n v="4"/>
    <n v="11"/>
    <x v="3"/>
    <n v="7"/>
    <m/>
    <m/>
    <x v="0"/>
    <n v="1"/>
    <x v="0"/>
    <m/>
    <m/>
    <n v="30.5"/>
    <x v="1"/>
    <s v="23/05/2022"/>
    <d v="2022-05-23T00:00:00"/>
    <s v="2022005-31"/>
    <x v="0"/>
  </r>
  <r>
    <x v="127"/>
    <n v="2022005"/>
    <x v="5"/>
    <s v="Lentil"/>
    <m/>
    <x v="14"/>
    <s v="N"/>
    <x v="1"/>
    <n v="32"/>
    <n v="16"/>
    <x v="0"/>
    <m/>
    <m/>
    <m/>
    <n v="2"/>
    <n v="4"/>
    <m/>
    <m/>
    <m/>
    <m/>
    <n v="4"/>
    <n v="12"/>
    <x v="3"/>
    <n v="8"/>
    <m/>
    <n v="13"/>
    <x v="0"/>
    <n v="1"/>
    <x v="0"/>
    <m/>
    <m/>
    <n v="30.5"/>
    <x v="1"/>
    <s v="23/05/2022"/>
    <d v="2022-05-23T00:00:00"/>
    <s v="2022005-32"/>
    <x v="0"/>
  </r>
  <r>
    <x v="121"/>
    <n v="2022005"/>
    <x v="5"/>
    <s v="Lentil"/>
    <m/>
    <x v="1"/>
    <s v="Y"/>
    <x v="2"/>
    <n v="33"/>
    <n v="17"/>
    <x v="1"/>
    <m/>
    <m/>
    <m/>
    <n v="3"/>
    <n v="5"/>
    <m/>
    <m/>
    <m/>
    <m/>
    <n v="1"/>
    <n v="14"/>
    <x v="0"/>
    <n v="9"/>
    <m/>
    <m/>
    <x v="1"/>
    <n v="3"/>
    <x v="0"/>
    <m/>
    <m/>
    <n v="30.5"/>
    <x v="1"/>
    <s v="23/05/2022"/>
    <d v="2022-05-23T00:00:00"/>
    <s v="2022005-33"/>
    <x v="0"/>
  </r>
  <r>
    <x v="121"/>
    <n v="2022005"/>
    <x v="5"/>
    <s v="Lentil"/>
    <m/>
    <x v="1"/>
    <s v="Y"/>
    <x v="1"/>
    <n v="34"/>
    <n v="17"/>
    <x v="1"/>
    <m/>
    <m/>
    <m/>
    <n v="3"/>
    <n v="5"/>
    <m/>
    <m/>
    <m/>
    <m/>
    <n v="1"/>
    <n v="15"/>
    <x v="0"/>
    <n v="10"/>
    <m/>
    <n v="17"/>
    <x v="1"/>
    <n v="3"/>
    <x v="0"/>
    <m/>
    <m/>
    <n v="30.5"/>
    <x v="1"/>
    <s v="23/05/2022"/>
    <d v="2022-05-23T00:00:00"/>
    <s v="2022005-34"/>
    <x v="0"/>
  </r>
  <r>
    <x v="120"/>
    <n v="2022005"/>
    <x v="5"/>
    <s v="Lentil"/>
    <m/>
    <x v="16"/>
    <s v="N"/>
    <x v="2"/>
    <n v="35"/>
    <n v="18"/>
    <x v="1"/>
    <m/>
    <m/>
    <m/>
    <n v="3"/>
    <n v="5"/>
    <m/>
    <m/>
    <m/>
    <m/>
    <n v="2"/>
    <n v="14"/>
    <x v="1"/>
    <n v="9"/>
    <m/>
    <m/>
    <x v="1"/>
    <n v="2"/>
    <x v="0"/>
    <m/>
    <m/>
    <n v="30.5"/>
    <x v="1"/>
    <s v="23/05/2022"/>
    <d v="2022-05-23T00:00:00"/>
    <s v="2022005-35"/>
    <x v="0"/>
  </r>
  <r>
    <x v="120"/>
    <n v="2022005"/>
    <x v="5"/>
    <s v="Lentil"/>
    <m/>
    <x v="16"/>
    <s v="N"/>
    <x v="1"/>
    <n v="36"/>
    <n v="18"/>
    <x v="1"/>
    <m/>
    <m/>
    <m/>
    <n v="3"/>
    <n v="5"/>
    <m/>
    <m/>
    <m/>
    <m/>
    <n v="2"/>
    <n v="15"/>
    <x v="1"/>
    <n v="10"/>
    <m/>
    <n v="18"/>
    <x v="1"/>
    <n v="2"/>
    <x v="0"/>
    <m/>
    <m/>
    <n v="30.5"/>
    <x v="1"/>
    <s v="23/05/2022"/>
    <d v="2022-05-23T00:00:00"/>
    <s v="2022005-36"/>
    <x v="0"/>
  </r>
  <r>
    <x v="122"/>
    <n v="2022005"/>
    <x v="5"/>
    <s v="Lentil"/>
    <m/>
    <x v="14"/>
    <s v="N"/>
    <x v="2"/>
    <n v="37"/>
    <n v="19"/>
    <x v="1"/>
    <m/>
    <m/>
    <m/>
    <n v="3"/>
    <n v="5"/>
    <m/>
    <m/>
    <m/>
    <m/>
    <n v="3"/>
    <n v="14"/>
    <x v="2"/>
    <n v="9"/>
    <m/>
    <m/>
    <x v="1"/>
    <n v="1"/>
    <x v="0"/>
    <m/>
    <m/>
    <n v="30.5"/>
    <x v="1"/>
    <s v="23/05/2022"/>
    <d v="2022-05-23T00:00:00"/>
    <s v="2022005-37"/>
    <x v="0"/>
  </r>
  <r>
    <x v="122"/>
    <n v="2022005"/>
    <x v="5"/>
    <s v="Lentil"/>
    <m/>
    <x v="14"/>
    <s v="N"/>
    <x v="1"/>
    <n v="38"/>
    <n v="19"/>
    <x v="1"/>
    <m/>
    <m/>
    <m/>
    <n v="3"/>
    <n v="5"/>
    <m/>
    <m/>
    <m/>
    <m/>
    <n v="3"/>
    <n v="15"/>
    <x v="2"/>
    <n v="10"/>
    <m/>
    <n v="19"/>
    <x v="1"/>
    <n v="1"/>
    <x v="0"/>
    <m/>
    <m/>
    <n v="30.5"/>
    <x v="1"/>
    <s v="23/05/2022"/>
    <d v="2022-05-23T00:00:00"/>
    <s v="2022005-38"/>
    <x v="0"/>
  </r>
  <r>
    <x v="123"/>
    <n v="2022005"/>
    <x v="5"/>
    <s v="Lentil"/>
    <m/>
    <x v="15"/>
    <s v="Y"/>
    <x v="2"/>
    <n v="39"/>
    <n v="20"/>
    <x v="1"/>
    <m/>
    <m/>
    <m/>
    <n v="3"/>
    <n v="5"/>
    <m/>
    <m/>
    <m/>
    <m/>
    <n v="4"/>
    <n v="14"/>
    <x v="3"/>
    <n v="9"/>
    <m/>
    <m/>
    <x v="1"/>
    <n v="4"/>
    <x v="0"/>
    <m/>
    <m/>
    <n v="30.5"/>
    <x v="1"/>
    <s v="23/05/2022"/>
    <d v="2022-05-23T00:00:00"/>
    <s v="2022005-39"/>
    <x v="0"/>
  </r>
  <r>
    <x v="123"/>
    <n v="2022005"/>
    <x v="5"/>
    <s v="Lentil"/>
    <m/>
    <x v="15"/>
    <s v="Y"/>
    <x v="1"/>
    <n v="40"/>
    <n v="20"/>
    <x v="1"/>
    <m/>
    <m/>
    <m/>
    <n v="3"/>
    <n v="5"/>
    <m/>
    <m/>
    <m/>
    <m/>
    <n v="4"/>
    <n v="15"/>
    <x v="3"/>
    <n v="10"/>
    <m/>
    <n v="20"/>
    <x v="1"/>
    <n v="4"/>
    <x v="0"/>
    <m/>
    <m/>
    <n v="30.5"/>
    <x v="1"/>
    <s v="23/05/2022"/>
    <d v="2022-05-23T00:00:00"/>
    <s v="2022005-40"/>
    <x v="0"/>
  </r>
  <r>
    <x v="127"/>
    <n v="2022005"/>
    <x v="5"/>
    <s v="Lentil"/>
    <m/>
    <x v="14"/>
    <s v="N"/>
    <x v="2"/>
    <n v="41"/>
    <n v="21"/>
    <x v="1"/>
    <m/>
    <m/>
    <m/>
    <n v="3"/>
    <n v="6"/>
    <m/>
    <m/>
    <m/>
    <m/>
    <n v="1"/>
    <n v="17"/>
    <x v="0"/>
    <n v="11"/>
    <m/>
    <m/>
    <x v="0"/>
    <n v="1"/>
    <x v="0"/>
    <m/>
    <m/>
    <n v="30.5"/>
    <x v="1"/>
    <s v="23/05/2022"/>
    <d v="2022-05-23T00:00:00"/>
    <s v="2022005-41"/>
    <x v="0"/>
  </r>
  <r>
    <x v="127"/>
    <n v="2022005"/>
    <x v="5"/>
    <s v="Lentil"/>
    <m/>
    <x v="14"/>
    <s v="N"/>
    <x v="1"/>
    <n v="42"/>
    <n v="21"/>
    <x v="1"/>
    <m/>
    <m/>
    <m/>
    <n v="3"/>
    <n v="6"/>
    <m/>
    <m/>
    <m/>
    <m/>
    <n v="1"/>
    <n v="18"/>
    <x v="0"/>
    <n v="12"/>
    <m/>
    <n v="24"/>
    <x v="0"/>
    <n v="1"/>
    <x v="0"/>
    <m/>
    <m/>
    <n v="30.5"/>
    <x v="1"/>
    <s v="23/05/2022"/>
    <d v="2022-05-23T00:00:00"/>
    <s v="2022005-42"/>
    <x v="0"/>
  </r>
  <r>
    <x v="124"/>
    <n v="2022005"/>
    <x v="5"/>
    <s v="Lentil"/>
    <m/>
    <x v="15"/>
    <s v="Y"/>
    <x v="2"/>
    <n v="43"/>
    <n v="22"/>
    <x v="1"/>
    <m/>
    <m/>
    <m/>
    <n v="3"/>
    <n v="6"/>
    <m/>
    <m/>
    <m/>
    <m/>
    <n v="2"/>
    <n v="17"/>
    <x v="1"/>
    <n v="11"/>
    <m/>
    <m/>
    <x v="0"/>
    <n v="4"/>
    <x v="0"/>
    <m/>
    <m/>
    <n v="30.5"/>
    <x v="1"/>
    <s v="23/05/2022"/>
    <d v="2022-05-23T00:00:00"/>
    <s v="2022005-43"/>
    <x v="0"/>
  </r>
  <r>
    <x v="124"/>
    <n v="2022005"/>
    <x v="5"/>
    <s v="Lentil"/>
    <m/>
    <x v="15"/>
    <s v="Y"/>
    <x v="1"/>
    <n v="44"/>
    <n v="22"/>
    <x v="1"/>
    <m/>
    <m/>
    <m/>
    <n v="3"/>
    <n v="6"/>
    <m/>
    <m/>
    <m/>
    <m/>
    <n v="2"/>
    <n v="18"/>
    <x v="1"/>
    <n v="12"/>
    <m/>
    <n v="23"/>
    <x v="0"/>
    <n v="4"/>
    <x v="0"/>
    <m/>
    <m/>
    <n v="30.5"/>
    <x v="1"/>
    <s v="23/05/2022"/>
    <d v="2022-05-23T00:00:00"/>
    <s v="2022005-44"/>
    <x v="0"/>
  </r>
  <r>
    <x v="126"/>
    <n v="2022005"/>
    <x v="5"/>
    <s v="Lentil"/>
    <m/>
    <x v="1"/>
    <s v="Y"/>
    <x v="2"/>
    <n v="45"/>
    <n v="23"/>
    <x v="1"/>
    <m/>
    <m/>
    <m/>
    <n v="3"/>
    <n v="6"/>
    <m/>
    <m/>
    <m/>
    <m/>
    <n v="3"/>
    <n v="17"/>
    <x v="2"/>
    <n v="11"/>
    <m/>
    <m/>
    <x v="0"/>
    <n v="3"/>
    <x v="0"/>
    <m/>
    <m/>
    <n v="30.5"/>
    <x v="1"/>
    <s v="23/05/2022"/>
    <d v="2022-05-23T00:00:00"/>
    <s v="2022005-45"/>
    <x v="0"/>
  </r>
  <r>
    <x v="126"/>
    <n v="2022005"/>
    <x v="5"/>
    <s v="Lentil"/>
    <m/>
    <x v="1"/>
    <s v="Y"/>
    <x v="1"/>
    <n v="46"/>
    <n v="23"/>
    <x v="1"/>
    <m/>
    <m/>
    <m/>
    <n v="3"/>
    <n v="6"/>
    <m/>
    <m/>
    <m/>
    <m/>
    <n v="3"/>
    <n v="18"/>
    <x v="2"/>
    <n v="12"/>
    <m/>
    <n v="22"/>
    <x v="0"/>
    <n v="3"/>
    <x v="0"/>
    <m/>
    <m/>
    <n v="30.5"/>
    <x v="1"/>
    <s v="23/05/2022"/>
    <d v="2022-05-23T00:00:00"/>
    <s v="2022005-46"/>
    <x v="0"/>
  </r>
  <r>
    <x v="125"/>
    <n v="2022005"/>
    <x v="5"/>
    <s v="Lentil"/>
    <m/>
    <x v="16"/>
    <s v="N"/>
    <x v="2"/>
    <n v="47"/>
    <n v="24"/>
    <x v="1"/>
    <m/>
    <m/>
    <m/>
    <n v="3"/>
    <n v="6"/>
    <m/>
    <m/>
    <m/>
    <m/>
    <n v="4"/>
    <n v="17"/>
    <x v="3"/>
    <n v="11"/>
    <m/>
    <m/>
    <x v="0"/>
    <n v="2"/>
    <x v="0"/>
    <m/>
    <m/>
    <n v="30.5"/>
    <x v="1"/>
    <s v="23/05/2022"/>
    <d v="2022-05-23T00:00:00"/>
    <s v="2022005-47"/>
    <x v="0"/>
  </r>
  <r>
    <x v="125"/>
    <n v="2022005"/>
    <x v="5"/>
    <s v="Lentil"/>
    <m/>
    <x v="16"/>
    <s v="N"/>
    <x v="1"/>
    <n v="48"/>
    <n v="24"/>
    <x v="1"/>
    <m/>
    <m/>
    <m/>
    <n v="3"/>
    <n v="6"/>
    <m/>
    <m/>
    <m/>
    <m/>
    <n v="4"/>
    <n v="18"/>
    <x v="3"/>
    <n v="12"/>
    <m/>
    <n v="21"/>
    <x v="0"/>
    <n v="2"/>
    <x v="0"/>
    <m/>
    <m/>
    <n v="30.5"/>
    <x v="1"/>
    <s v="23/05/2022"/>
    <d v="2022-05-23T00:00:00"/>
    <s v="2022005-48"/>
    <x v="0"/>
  </r>
  <r>
    <x v="114"/>
    <n v="2022005"/>
    <x v="5"/>
    <s v="Lentil"/>
    <m/>
    <x v="15"/>
    <s v="Y"/>
    <x v="2"/>
    <n v="49"/>
    <n v="25"/>
    <x v="1"/>
    <m/>
    <m/>
    <m/>
    <n v="4"/>
    <n v="7"/>
    <m/>
    <m/>
    <m/>
    <m/>
    <n v="1"/>
    <n v="20"/>
    <x v="0"/>
    <n v="13"/>
    <m/>
    <m/>
    <x v="0"/>
    <n v="4"/>
    <x v="0"/>
    <m/>
    <m/>
    <n v="30.5"/>
    <x v="2"/>
    <s v="28/06/2022"/>
    <d v="2022-06-28T00:00:00"/>
    <s v="2022005-49"/>
    <x v="0"/>
  </r>
  <r>
    <x v="114"/>
    <n v="2022005"/>
    <x v="5"/>
    <s v="Lentil"/>
    <m/>
    <x v="15"/>
    <s v="Y"/>
    <x v="1"/>
    <n v="50"/>
    <n v="25"/>
    <x v="1"/>
    <m/>
    <m/>
    <m/>
    <n v="4"/>
    <n v="7"/>
    <m/>
    <m/>
    <m/>
    <m/>
    <n v="1"/>
    <n v="21"/>
    <x v="0"/>
    <n v="14"/>
    <m/>
    <n v="25"/>
    <x v="0"/>
    <n v="4"/>
    <x v="0"/>
    <m/>
    <m/>
    <n v="30.5"/>
    <x v="2"/>
    <s v="28/06/2022"/>
    <d v="2022-06-28T00:00:00"/>
    <s v="2022005-50"/>
    <x v="0"/>
  </r>
  <r>
    <x v="112"/>
    <n v="2022005"/>
    <x v="5"/>
    <s v="Lentil"/>
    <m/>
    <x v="1"/>
    <s v="Y"/>
    <x v="2"/>
    <n v="51"/>
    <n v="26"/>
    <x v="1"/>
    <m/>
    <m/>
    <m/>
    <n v="4"/>
    <n v="7"/>
    <m/>
    <m/>
    <m/>
    <m/>
    <n v="2"/>
    <n v="20"/>
    <x v="1"/>
    <n v="13"/>
    <m/>
    <m/>
    <x v="0"/>
    <n v="3"/>
    <x v="0"/>
    <m/>
    <m/>
    <n v="30.5"/>
    <x v="2"/>
    <s v="28/06/2022"/>
    <d v="2022-06-28T00:00:00"/>
    <s v="2022005-51"/>
    <x v="0"/>
  </r>
  <r>
    <x v="112"/>
    <n v="2022005"/>
    <x v="5"/>
    <s v="Lentil"/>
    <m/>
    <x v="1"/>
    <s v="Y"/>
    <x v="1"/>
    <n v="52"/>
    <n v="26"/>
    <x v="1"/>
    <m/>
    <m/>
    <m/>
    <n v="4"/>
    <n v="7"/>
    <m/>
    <m/>
    <m/>
    <m/>
    <n v="2"/>
    <n v="21"/>
    <x v="1"/>
    <n v="14"/>
    <m/>
    <n v="26"/>
    <x v="0"/>
    <n v="3"/>
    <x v="0"/>
    <m/>
    <m/>
    <n v="30.5"/>
    <x v="2"/>
    <s v="28/06/2022"/>
    <d v="2022-06-28T00:00:00"/>
    <s v="2022005-52"/>
    <x v="0"/>
  </r>
  <r>
    <x v="115"/>
    <n v="2022005"/>
    <x v="5"/>
    <s v="Lentil"/>
    <m/>
    <x v="16"/>
    <s v="N"/>
    <x v="2"/>
    <n v="53"/>
    <n v="27"/>
    <x v="1"/>
    <m/>
    <m/>
    <m/>
    <n v="4"/>
    <n v="7"/>
    <m/>
    <m/>
    <m/>
    <m/>
    <n v="3"/>
    <n v="20"/>
    <x v="2"/>
    <n v="13"/>
    <m/>
    <m/>
    <x v="0"/>
    <n v="2"/>
    <x v="0"/>
    <m/>
    <m/>
    <n v="30.5"/>
    <x v="2"/>
    <s v="28/06/2022"/>
    <d v="2022-06-28T00:00:00"/>
    <s v="2022005-53"/>
    <x v="0"/>
  </r>
  <r>
    <x v="115"/>
    <n v="2022005"/>
    <x v="5"/>
    <s v="Lentil"/>
    <m/>
    <x v="16"/>
    <s v="N"/>
    <x v="1"/>
    <n v="54"/>
    <n v="27"/>
    <x v="1"/>
    <m/>
    <m/>
    <m/>
    <n v="4"/>
    <n v="7"/>
    <m/>
    <m/>
    <m/>
    <m/>
    <n v="3"/>
    <n v="21"/>
    <x v="2"/>
    <n v="14"/>
    <m/>
    <n v="27"/>
    <x v="0"/>
    <n v="2"/>
    <x v="0"/>
    <m/>
    <m/>
    <n v="30.5"/>
    <x v="2"/>
    <s v="28/06/2022"/>
    <d v="2022-06-28T00:00:00"/>
    <s v="2022005-54"/>
    <x v="0"/>
  </r>
  <r>
    <x v="113"/>
    <n v="2022005"/>
    <x v="5"/>
    <s v="Lentil"/>
    <m/>
    <x v="14"/>
    <s v="N"/>
    <x v="2"/>
    <n v="55"/>
    <n v="28"/>
    <x v="1"/>
    <m/>
    <m/>
    <m/>
    <n v="4"/>
    <n v="7"/>
    <m/>
    <m/>
    <m/>
    <m/>
    <n v="4"/>
    <n v="20"/>
    <x v="3"/>
    <n v="13"/>
    <m/>
    <m/>
    <x v="0"/>
    <n v="1"/>
    <x v="0"/>
    <m/>
    <m/>
    <n v="30.5"/>
    <x v="2"/>
    <s v="28/06/2022"/>
    <d v="2022-06-28T00:00:00"/>
    <s v="2022005-55"/>
    <x v="0"/>
  </r>
  <r>
    <x v="113"/>
    <n v="2022005"/>
    <x v="5"/>
    <s v="Lentil"/>
    <m/>
    <x v="14"/>
    <s v="N"/>
    <x v="1"/>
    <n v="56"/>
    <n v="28"/>
    <x v="1"/>
    <m/>
    <m/>
    <m/>
    <n v="4"/>
    <n v="7"/>
    <m/>
    <m/>
    <m/>
    <m/>
    <n v="4"/>
    <n v="21"/>
    <x v="3"/>
    <n v="14"/>
    <m/>
    <n v="28"/>
    <x v="0"/>
    <n v="1"/>
    <x v="0"/>
    <m/>
    <m/>
    <n v="30.5"/>
    <x v="2"/>
    <s v="28/06/2022"/>
    <d v="2022-06-28T00:00:00"/>
    <s v="2022005-56"/>
    <x v="0"/>
  </r>
  <r>
    <x v="118"/>
    <n v="2022005"/>
    <x v="5"/>
    <s v="Lentil"/>
    <m/>
    <x v="16"/>
    <s v="N"/>
    <x v="2"/>
    <n v="57"/>
    <n v="29"/>
    <x v="1"/>
    <m/>
    <m/>
    <m/>
    <n v="4"/>
    <n v="8"/>
    <m/>
    <m/>
    <m/>
    <m/>
    <n v="1"/>
    <n v="23"/>
    <x v="0"/>
    <n v="15"/>
    <m/>
    <m/>
    <x v="1"/>
    <n v="2"/>
    <x v="0"/>
    <m/>
    <m/>
    <n v="30.5"/>
    <x v="2"/>
    <s v="28/06/2022"/>
    <d v="2022-06-28T00:00:00"/>
    <s v="2022005-57"/>
    <x v="0"/>
  </r>
  <r>
    <x v="118"/>
    <n v="2022005"/>
    <x v="5"/>
    <s v="Lentil"/>
    <m/>
    <x v="16"/>
    <s v="N"/>
    <x v="1"/>
    <n v="58"/>
    <n v="29"/>
    <x v="1"/>
    <m/>
    <m/>
    <m/>
    <n v="4"/>
    <n v="8"/>
    <m/>
    <m/>
    <m/>
    <m/>
    <n v="1"/>
    <n v="24"/>
    <x v="0"/>
    <n v="16"/>
    <m/>
    <n v="32"/>
    <x v="1"/>
    <n v="2"/>
    <x v="0"/>
    <m/>
    <m/>
    <n v="30.5"/>
    <x v="2"/>
    <s v="28/06/2022"/>
    <d v="2022-06-28T00:00:00"/>
    <s v="2022005-58"/>
    <x v="0"/>
  </r>
  <r>
    <x v="116"/>
    <n v="2022005"/>
    <x v="5"/>
    <s v="Lentil"/>
    <m/>
    <x v="14"/>
    <s v="N"/>
    <x v="2"/>
    <n v="59"/>
    <n v="30"/>
    <x v="1"/>
    <m/>
    <m/>
    <m/>
    <n v="4"/>
    <n v="8"/>
    <m/>
    <m/>
    <m/>
    <m/>
    <n v="2"/>
    <n v="23"/>
    <x v="1"/>
    <n v="15"/>
    <m/>
    <m/>
    <x v="1"/>
    <n v="1"/>
    <x v="0"/>
    <m/>
    <m/>
    <n v="30.5"/>
    <x v="2"/>
    <s v="28/06/2022"/>
    <d v="2022-06-28T00:00:00"/>
    <s v="2022005-59"/>
    <x v="0"/>
  </r>
  <r>
    <x v="116"/>
    <n v="2022005"/>
    <x v="5"/>
    <s v="Lentil"/>
    <m/>
    <x v="14"/>
    <s v="N"/>
    <x v="1"/>
    <n v="60"/>
    <n v="30"/>
    <x v="1"/>
    <m/>
    <m/>
    <m/>
    <n v="4"/>
    <n v="8"/>
    <m/>
    <m/>
    <m/>
    <m/>
    <n v="2"/>
    <n v="24"/>
    <x v="1"/>
    <n v="16"/>
    <m/>
    <n v="31"/>
    <x v="1"/>
    <n v="1"/>
    <x v="0"/>
    <m/>
    <m/>
    <n v="30.5"/>
    <x v="2"/>
    <s v="28/06/2022"/>
    <d v="2022-06-28T00:00:00"/>
    <s v="2022005-60"/>
    <x v="0"/>
  </r>
  <r>
    <x v="117"/>
    <n v="2022005"/>
    <x v="5"/>
    <s v="Lentil"/>
    <m/>
    <x v="15"/>
    <s v="Y"/>
    <x v="2"/>
    <n v="61"/>
    <n v="31"/>
    <x v="1"/>
    <m/>
    <m/>
    <m/>
    <n v="4"/>
    <n v="8"/>
    <m/>
    <m/>
    <m/>
    <m/>
    <n v="3"/>
    <n v="23"/>
    <x v="2"/>
    <n v="15"/>
    <m/>
    <m/>
    <x v="1"/>
    <n v="4"/>
    <x v="0"/>
    <m/>
    <m/>
    <n v="30.5"/>
    <x v="2"/>
    <s v="28/06/2022"/>
    <d v="2022-06-28T00:00:00"/>
    <s v="2022005-61"/>
    <x v="0"/>
  </r>
  <r>
    <x v="117"/>
    <n v="2022005"/>
    <x v="5"/>
    <s v="Lentil"/>
    <m/>
    <x v="15"/>
    <s v="Y"/>
    <x v="1"/>
    <n v="62"/>
    <n v="31"/>
    <x v="1"/>
    <m/>
    <m/>
    <m/>
    <n v="4"/>
    <n v="8"/>
    <m/>
    <m/>
    <m/>
    <m/>
    <n v="3"/>
    <n v="24"/>
    <x v="2"/>
    <n v="16"/>
    <m/>
    <n v="30"/>
    <x v="1"/>
    <n v="4"/>
    <x v="0"/>
    <m/>
    <m/>
    <n v="30.5"/>
    <x v="2"/>
    <s v="28/06/2022"/>
    <d v="2022-06-28T00:00:00"/>
    <s v="2022005-62"/>
    <x v="0"/>
  </r>
  <r>
    <x v="119"/>
    <n v="2022005"/>
    <x v="5"/>
    <s v="Lentil"/>
    <m/>
    <x v="1"/>
    <s v="Y"/>
    <x v="2"/>
    <n v="63"/>
    <n v="32"/>
    <x v="1"/>
    <m/>
    <m/>
    <m/>
    <n v="4"/>
    <n v="8"/>
    <m/>
    <m/>
    <m/>
    <m/>
    <n v="4"/>
    <n v="23"/>
    <x v="3"/>
    <n v="15"/>
    <m/>
    <m/>
    <x v="1"/>
    <n v="3"/>
    <x v="0"/>
    <m/>
    <m/>
    <n v="30.5"/>
    <x v="2"/>
    <s v="28/06/2022"/>
    <d v="2022-06-28T00:00:00"/>
    <s v="2022005-63"/>
    <x v="0"/>
  </r>
  <r>
    <x v="119"/>
    <n v="2022005"/>
    <x v="5"/>
    <s v="Lentil"/>
    <m/>
    <x v="1"/>
    <s v="Y"/>
    <x v="1"/>
    <n v="64"/>
    <n v="32"/>
    <x v="1"/>
    <m/>
    <m/>
    <m/>
    <n v="4"/>
    <n v="8"/>
    <m/>
    <m/>
    <m/>
    <m/>
    <n v="4"/>
    <n v="24"/>
    <x v="3"/>
    <n v="16"/>
    <m/>
    <n v="29"/>
    <x v="1"/>
    <n v="3"/>
    <x v="0"/>
    <m/>
    <m/>
    <n v="30.5"/>
    <x v="2"/>
    <s v="28/06/2022"/>
    <d v="2022-06-28T00:00:00"/>
    <s v="2022005-64"/>
    <x v="0"/>
  </r>
  <r>
    <x v="126"/>
    <n v="2022005"/>
    <x v="5"/>
    <s v="Lentil"/>
    <m/>
    <x v="1"/>
    <s v="Y"/>
    <x v="2"/>
    <n v="65"/>
    <n v="33"/>
    <x v="2"/>
    <m/>
    <m/>
    <m/>
    <n v="5"/>
    <n v="9"/>
    <m/>
    <m/>
    <m/>
    <m/>
    <n v="1"/>
    <n v="26"/>
    <x v="0"/>
    <n v="17"/>
    <m/>
    <m/>
    <x v="0"/>
    <n v="3"/>
    <x v="0"/>
    <m/>
    <m/>
    <n v="30.5"/>
    <x v="1"/>
    <s v="23/05/2022"/>
    <d v="2022-05-23T00:00:00"/>
    <s v="2022005-65"/>
    <x v="0"/>
  </r>
  <r>
    <x v="126"/>
    <n v="2022005"/>
    <x v="5"/>
    <s v="Lentil"/>
    <m/>
    <x v="1"/>
    <s v="Y"/>
    <x v="1"/>
    <n v="66"/>
    <n v="33"/>
    <x v="2"/>
    <m/>
    <m/>
    <m/>
    <n v="5"/>
    <n v="9"/>
    <m/>
    <m/>
    <m/>
    <m/>
    <n v="1"/>
    <n v="27"/>
    <x v="0"/>
    <n v="18"/>
    <m/>
    <n v="33"/>
    <x v="0"/>
    <n v="3"/>
    <x v="0"/>
    <m/>
    <m/>
    <n v="30.5"/>
    <x v="1"/>
    <s v="23/05/2022"/>
    <d v="2022-05-23T00:00:00"/>
    <s v="2022005-66"/>
    <x v="0"/>
  </r>
  <r>
    <x v="124"/>
    <n v="2022005"/>
    <x v="5"/>
    <s v="Lentil"/>
    <m/>
    <x v="15"/>
    <s v="Y"/>
    <x v="2"/>
    <n v="67"/>
    <n v="34"/>
    <x v="2"/>
    <m/>
    <m/>
    <m/>
    <n v="5"/>
    <n v="9"/>
    <m/>
    <m/>
    <m/>
    <m/>
    <n v="2"/>
    <n v="26"/>
    <x v="1"/>
    <n v="17"/>
    <m/>
    <m/>
    <x v="0"/>
    <n v="4"/>
    <x v="0"/>
    <m/>
    <m/>
    <n v="30.5"/>
    <x v="1"/>
    <s v="23/05/2022"/>
    <d v="2022-05-23T00:00:00"/>
    <s v="2022005-67"/>
    <x v="0"/>
  </r>
  <r>
    <x v="124"/>
    <n v="2022005"/>
    <x v="5"/>
    <s v="Lentil"/>
    <m/>
    <x v="15"/>
    <s v="Y"/>
    <x v="1"/>
    <n v="68"/>
    <n v="34"/>
    <x v="2"/>
    <m/>
    <m/>
    <m/>
    <n v="5"/>
    <n v="9"/>
    <m/>
    <m/>
    <m/>
    <m/>
    <n v="2"/>
    <n v="27"/>
    <x v="1"/>
    <n v="18"/>
    <m/>
    <n v="34"/>
    <x v="0"/>
    <n v="4"/>
    <x v="0"/>
    <m/>
    <m/>
    <n v="30.5"/>
    <x v="1"/>
    <s v="23/05/2022"/>
    <d v="2022-05-23T00:00:00"/>
    <s v="2022005-68"/>
    <x v="0"/>
  </r>
  <r>
    <x v="127"/>
    <n v="2022005"/>
    <x v="5"/>
    <s v="Lentil"/>
    <m/>
    <x v="14"/>
    <s v="N"/>
    <x v="2"/>
    <n v="69"/>
    <n v="35"/>
    <x v="2"/>
    <m/>
    <m/>
    <m/>
    <n v="5"/>
    <n v="9"/>
    <m/>
    <m/>
    <m/>
    <m/>
    <n v="3"/>
    <n v="26"/>
    <x v="2"/>
    <n v="17"/>
    <m/>
    <m/>
    <x v="0"/>
    <n v="1"/>
    <x v="0"/>
    <m/>
    <m/>
    <n v="30.5"/>
    <x v="1"/>
    <s v="23/05/2022"/>
    <d v="2022-05-23T00:00:00"/>
    <s v="2022005-69"/>
    <x v="0"/>
  </r>
  <r>
    <x v="127"/>
    <n v="2022005"/>
    <x v="5"/>
    <s v="Lentil"/>
    <m/>
    <x v="14"/>
    <s v="N"/>
    <x v="1"/>
    <n v="70"/>
    <n v="35"/>
    <x v="2"/>
    <m/>
    <m/>
    <m/>
    <n v="5"/>
    <n v="9"/>
    <m/>
    <m/>
    <m/>
    <m/>
    <n v="3"/>
    <n v="27"/>
    <x v="2"/>
    <n v="18"/>
    <m/>
    <n v="35"/>
    <x v="0"/>
    <n v="1"/>
    <x v="0"/>
    <m/>
    <m/>
    <n v="30.5"/>
    <x v="1"/>
    <s v="23/05/2022"/>
    <d v="2022-05-23T00:00:00"/>
    <s v="2022005-70"/>
    <x v="0"/>
  </r>
  <r>
    <x v="125"/>
    <n v="2022005"/>
    <x v="5"/>
    <s v="Lentil"/>
    <m/>
    <x v="16"/>
    <s v="N"/>
    <x v="2"/>
    <n v="71"/>
    <n v="36"/>
    <x v="2"/>
    <m/>
    <m/>
    <m/>
    <n v="5"/>
    <n v="9"/>
    <m/>
    <m/>
    <m/>
    <m/>
    <n v="4"/>
    <n v="26"/>
    <x v="3"/>
    <n v="17"/>
    <m/>
    <m/>
    <x v="0"/>
    <n v="2"/>
    <x v="0"/>
    <m/>
    <m/>
    <n v="30.5"/>
    <x v="1"/>
    <s v="23/05/2022"/>
    <d v="2022-05-23T00:00:00"/>
    <s v="2022005-71"/>
    <x v="0"/>
  </r>
  <r>
    <x v="125"/>
    <n v="2022005"/>
    <x v="5"/>
    <s v="Lentil"/>
    <m/>
    <x v="16"/>
    <s v="N"/>
    <x v="1"/>
    <n v="72"/>
    <n v="36"/>
    <x v="2"/>
    <m/>
    <m/>
    <m/>
    <n v="5"/>
    <n v="9"/>
    <m/>
    <m/>
    <m/>
    <m/>
    <n v="4"/>
    <n v="27"/>
    <x v="3"/>
    <n v="18"/>
    <m/>
    <n v="36"/>
    <x v="0"/>
    <n v="2"/>
    <x v="0"/>
    <m/>
    <m/>
    <n v="30.5"/>
    <x v="1"/>
    <s v="23/05/2022"/>
    <d v="2022-05-23T00:00:00"/>
    <s v="2022005-72"/>
    <x v="0"/>
  </r>
  <r>
    <x v="120"/>
    <n v="2022005"/>
    <x v="5"/>
    <s v="Lentil"/>
    <m/>
    <x v="16"/>
    <s v="N"/>
    <x v="2"/>
    <n v="73"/>
    <n v="37"/>
    <x v="2"/>
    <m/>
    <m/>
    <m/>
    <n v="5"/>
    <n v="10"/>
    <m/>
    <m/>
    <m/>
    <m/>
    <n v="1"/>
    <n v="29"/>
    <x v="0"/>
    <n v="19"/>
    <m/>
    <m/>
    <x v="1"/>
    <n v="2"/>
    <x v="0"/>
    <m/>
    <m/>
    <n v="30.5"/>
    <x v="1"/>
    <s v="23/05/2022"/>
    <d v="2022-05-23T00:00:00"/>
    <s v="2022005-73"/>
    <x v="0"/>
  </r>
  <r>
    <x v="120"/>
    <n v="2022005"/>
    <x v="5"/>
    <s v="Lentil"/>
    <m/>
    <x v="16"/>
    <s v="N"/>
    <x v="1"/>
    <n v="74"/>
    <n v="37"/>
    <x v="2"/>
    <m/>
    <m/>
    <m/>
    <n v="5"/>
    <n v="10"/>
    <m/>
    <m/>
    <m/>
    <m/>
    <n v="1"/>
    <n v="30"/>
    <x v="0"/>
    <n v="20"/>
    <m/>
    <n v="40"/>
    <x v="1"/>
    <n v="2"/>
    <x v="0"/>
    <m/>
    <m/>
    <n v="30.5"/>
    <x v="1"/>
    <s v="23/05/2022"/>
    <d v="2022-05-23T00:00:00"/>
    <s v="2022005-74"/>
    <x v="0"/>
  </r>
  <r>
    <x v="122"/>
    <n v="2022005"/>
    <x v="5"/>
    <s v="Lentil"/>
    <m/>
    <x v="14"/>
    <s v="N"/>
    <x v="2"/>
    <n v="75"/>
    <n v="38"/>
    <x v="2"/>
    <m/>
    <m/>
    <m/>
    <n v="5"/>
    <n v="10"/>
    <m/>
    <m/>
    <m/>
    <m/>
    <n v="2"/>
    <n v="29"/>
    <x v="1"/>
    <n v="19"/>
    <m/>
    <m/>
    <x v="1"/>
    <n v="1"/>
    <x v="0"/>
    <m/>
    <m/>
    <n v="30.5"/>
    <x v="1"/>
    <s v="23/05/2022"/>
    <d v="2022-05-23T00:00:00"/>
    <s v="2022005-75"/>
    <x v="0"/>
  </r>
  <r>
    <x v="122"/>
    <n v="2022005"/>
    <x v="5"/>
    <s v="Lentil"/>
    <m/>
    <x v="14"/>
    <s v="N"/>
    <x v="1"/>
    <n v="76"/>
    <n v="38"/>
    <x v="2"/>
    <m/>
    <m/>
    <m/>
    <n v="5"/>
    <n v="10"/>
    <m/>
    <m/>
    <m/>
    <m/>
    <n v="2"/>
    <n v="30"/>
    <x v="1"/>
    <n v="20"/>
    <m/>
    <n v="39"/>
    <x v="1"/>
    <n v="1"/>
    <x v="0"/>
    <m/>
    <m/>
    <n v="30.5"/>
    <x v="1"/>
    <s v="23/05/2022"/>
    <d v="2022-05-23T00:00:00"/>
    <s v="2022005-76"/>
    <x v="0"/>
  </r>
  <r>
    <x v="123"/>
    <n v="2022005"/>
    <x v="5"/>
    <s v="Lentil"/>
    <m/>
    <x v="15"/>
    <s v="Y"/>
    <x v="2"/>
    <n v="77"/>
    <n v="39"/>
    <x v="2"/>
    <m/>
    <m/>
    <m/>
    <n v="5"/>
    <n v="10"/>
    <m/>
    <m/>
    <m/>
    <m/>
    <n v="3"/>
    <n v="29"/>
    <x v="2"/>
    <n v="19"/>
    <m/>
    <m/>
    <x v="1"/>
    <n v="4"/>
    <x v="0"/>
    <m/>
    <m/>
    <n v="30.5"/>
    <x v="1"/>
    <s v="23/05/2022"/>
    <d v="2022-05-23T00:00:00"/>
    <s v="2022005-77"/>
    <x v="0"/>
  </r>
  <r>
    <x v="123"/>
    <n v="2022005"/>
    <x v="5"/>
    <s v="Lentil"/>
    <m/>
    <x v="15"/>
    <s v="Y"/>
    <x v="1"/>
    <n v="78"/>
    <n v="39"/>
    <x v="2"/>
    <m/>
    <m/>
    <m/>
    <n v="5"/>
    <n v="10"/>
    <m/>
    <m/>
    <m/>
    <m/>
    <n v="3"/>
    <n v="30"/>
    <x v="2"/>
    <n v="20"/>
    <m/>
    <n v="38"/>
    <x v="1"/>
    <n v="4"/>
    <x v="0"/>
    <m/>
    <m/>
    <n v="30.5"/>
    <x v="1"/>
    <s v="23/05/2022"/>
    <d v="2022-05-23T00:00:00"/>
    <s v="2022005-78"/>
    <x v="0"/>
  </r>
  <r>
    <x v="121"/>
    <n v="2022005"/>
    <x v="5"/>
    <s v="Lentil"/>
    <m/>
    <x v="1"/>
    <s v="Y"/>
    <x v="2"/>
    <n v="79"/>
    <n v="40"/>
    <x v="2"/>
    <m/>
    <m/>
    <m/>
    <n v="5"/>
    <n v="10"/>
    <m/>
    <m/>
    <m/>
    <m/>
    <n v="4"/>
    <n v="29"/>
    <x v="3"/>
    <n v="19"/>
    <m/>
    <m/>
    <x v="1"/>
    <n v="3"/>
    <x v="0"/>
    <m/>
    <m/>
    <n v="30.5"/>
    <x v="1"/>
    <s v="23/05/2022"/>
    <d v="2022-05-23T00:00:00"/>
    <s v="2022005-79"/>
    <x v="0"/>
  </r>
  <r>
    <x v="121"/>
    <n v="2022005"/>
    <x v="5"/>
    <s v="Lentil"/>
    <m/>
    <x v="1"/>
    <s v="Y"/>
    <x v="1"/>
    <n v="80"/>
    <n v="40"/>
    <x v="2"/>
    <m/>
    <m/>
    <m/>
    <n v="5"/>
    <n v="10"/>
    <m/>
    <m/>
    <m/>
    <m/>
    <n v="4"/>
    <n v="30"/>
    <x v="3"/>
    <n v="20"/>
    <m/>
    <n v="37"/>
    <x v="1"/>
    <n v="3"/>
    <x v="0"/>
    <m/>
    <m/>
    <n v="30.5"/>
    <x v="1"/>
    <s v="23/05/2022"/>
    <d v="2022-05-23T00:00:00"/>
    <s v="2022005-80"/>
    <x v="0"/>
  </r>
  <r>
    <x v="113"/>
    <n v="2022005"/>
    <x v="5"/>
    <s v="Lentil"/>
    <m/>
    <x v="14"/>
    <s v="N"/>
    <x v="2"/>
    <n v="81"/>
    <n v="41"/>
    <x v="2"/>
    <m/>
    <m/>
    <m/>
    <n v="6"/>
    <n v="11"/>
    <m/>
    <m/>
    <m/>
    <m/>
    <n v="1"/>
    <n v="32"/>
    <x v="0"/>
    <n v="21"/>
    <m/>
    <m/>
    <x v="0"/>
    <n v="1"/>
    <x v="0"/>
    <m/>
    <m/>
    <n v="30.5"/>
    <x v="2"/>
    <s v="28/06/2022"/>
    <d v="2022-06-28T00:00:00"/>
    <s v="2022005-81"/>
    <x v="0"/>
  </r>
  <r>
    <x v="113"/>
    <n v="2022005"/>
    <x v="5"/>
    <s v="Lentil"/>
    <m/>
    <x v="14"/>
    <s v="N"/>
    <x v="1"/>
    <n v="82"/>
    <n v="41"/>
    <x v="2"/>
    <m/>
    <m/>
    <m/>
    <n v="6"/>
    <n v="11"/>
    <m/>
    <m/>
    <m/>
    <m/>
    <n v="1"/>
    <n v="33"/>
    <x v="0"/>
    <n v="22"/>
    <m/>
    <n v="41"/>
    <x v="0"/>
    <n v="1"/>
    <x v="0"/>
    <m/>
    <m/>
    <n v="30.5"/>
    <x v="2"/>
    <s v="28/06/2022"/>
    <d v="2022-06-28T00:00:00"/>
    <s v="2022005-82"/>
    <x v="0"/>
  </r>
  <r>
    <x v="112"/>
    <n v="2022005"/>
    <x v="5"/>
    <s v="Lentil"/>
    <m/>
    <x v="1"/>
    <s v="Y"/>
    <x v="2"/>
    <n v="83"/>
    <n v="42"/>
    <x v="2"/>
    <m/>
    <m/>
    <m/>
    <n v="6"/>
    <n v="11"/>
    <m/>
    <m/>
    <m/>
    <m/>
    <n v="2"/>
    <n v="32"/>
    <x v="1"/>
    <n v="21"/>
    <m/>
    <m/>
    <x v="0"/>
    <n v="3"/>
    <x v="0"/>
    <m/>
    <m/>
    <n v="30.5"/>
    <x v="2"/>
    <s v="28/06/2022"/>
    <d v="2022-06-28T00:00:00"/>
    <s v="2022005-83"/>
    <x v="0"/>
  </r>
  <r>
    <x v="112"/>
    <n v="2022005"/>
    <x v="5"/>
    <s v="Lentil"/>
    <m/>
    <x v="1"/>
    <s v="Y"/>
    <x v="1"/>
    <n v="84"/>
    <n v="42"/>
    <x v="2"/>
    <m/>
    <m/>
    <m/>
    <n v="6"/>
    <n v="11"/>
    <m/>
    <m/>
    <m/>
    <m/>
    <n v="2"/>
    <n v="33"/>
    <x v="1"/>
    <n v="22"/>
    <m/>
    <n v="42"/>
    <x v="0"/>
    <n v="3"/>
    <x v="0"/>
    <m/>
    <m/>
    <n v="30.5"/>
    <x v="2"/>
    <s v="28/06/2022"/>
    <d v="2022-06-28T00:00:00"/>
    <s v="2022005-84"/>
    <x v="0"/>
  </r>
  <r>
    <x v="115"/>
    <n v="2022005"/>
    <x v="5"/>
    <s v="Lentil"/>
    <m/>
    <x v="16"/>
    <s v="N"/>
    <x v="2"/>
    <n v="85"/>
    <n v="43"/>
    <x v="2"/>
    <m/>
    <m/>
    <m/>
    <n v="6"/>
    <n v="11"/>
    <m/>
    <m/>
    <m/>
    <m/>
    <n v="3"/>
    <n v="32"/>
    <x v="2"/>
    <n v="21"/>
    <m/>
    <m/>
    <x v="0"/>
    <n v="2"/>
    <x v="0"/>
    <m/>
    <m/>
    <n v="30.5"/>
    <x v="2"/>
    <s v="28/06/2022"/>
    <d v="2022-06-28T00:00:00"/>
    <s v="2022005-85"/>
    <x v="0"/>
  </r>
  <r>
    <x v="115"/>
    <n v="2022005"/>
    <x v="5"/>
    <s v="Lentil"/>
    <m/>
    <x v="16"/>
    <s v="N"/>
    <x v="1"/>
    <n v="86"/>
    <n v="43"/>
    <x v="2"/>
    <m/>
    <m/>
    <m/>
    <n v="6"/>
    <n v="11"/>
    <m/>
    <m/>
    <m/>
    <m/>
    <n v="3"/>
    <n v="33"/>
    <x v="2"/>
    <n v="22"/>
    <m/>
    <n v="43"/>
    <x v="0"/>
    <n v="2"/>
    <x v="0"/>
    <m/>
    <m/>
    <n v="30.5"/>
    <x v="2"/>
    <s v="28/06/2022"/>
    <d v="2022-06-28T00:00:00"/>
    <s v="2022005-86"/>
    <x v="0"/>
  </r>
  <r>
    <x v="114"/>
    <n v="2022005"/>
    <x v="5"/>
    <s v="Lentil"/>
    <m/>
    <x v="15"/>
    <s v="Y"/>
    <x v="2"/>
    <n v="87"/>
    <n v="44"/>
    <x v="2"/>
    <m/>
    <m/>
    <m/>
    <n v="6"/>
    <n v="11"/>
    <m/>
    <m/>
    <m/>
    <m/>
    <n v="4"/>
    <n v="32"/>
    <x v="3"/>
    <n v="21"/>
    <m/>
    <m/>
    <x v="0"/>
    <n v="4"/>
    <x v="0"/>
    <m/>
    <m/>
    <n v="30.5"/>
    <x v="2"/>
    <s v="28/06/2022"/>
    <d v="2022-06-28T00:00:00"/>
    <s v="2022005-87"/>
    <x v="0"/>
  </r>
  <r>
    <x v="114"/>
    <n v="2022005"/>
    <x v="5"/>
    <s v="Lentil"/>
    <m/>
    <x v="15"/>
    <s v="Y"/>
    <x v="1"/>
    <n v="88"/>
    <n v="44"/>
    <x v="2"/>
    <m/>
    <m/>
    <m/>
    <n v="6"/>
    <n v="11"/>
    <m/>
    <m/>
    <m/>
    <m/>
    <n v="4"/>
    <n v="33"/>
    <x v="3"/>
    <n v="22"/>
    <m/>
    <n v="44"/>
    <x v="0"/>
    <n v="4"/>
    <x v="0"/>
    <m/>
    <m/>
    <n v="30.5"/>
    <x v="2"/>
    <s v="28/06/2022"/>
    <d v="2022-06-28T00:00:00"/>
    <s v="2022005-88"/>
    <x v="0"/>
  </r>
  <r>
    <x v="117"/>
    <n v="2022005"/>
    <x v="5"/>
    <s v="Lentil"/>
    <m/>
    <x v="15"/>
    <s v="Y"/>
    <x v="2"/>
    <n v="89"/>
    <n v="45"/>
    <x v="2"/>
    <m/>
    <m/>
    <m/>
    <n v="6"/>
    <n v="12"/>
    <m/>
    <m/>
    <m/>
    <m/>
    <n v="1"/>
    <n v="35"/>
    <x v="0"/>
    <n v="23"/>
    <m/>
    <m/>
    <x v="1"/>
    <n v="4"/>
    <x v="0"/>
    <m/>
    <m/>
    <n v="30.5"/>
    <x v="2"/>
    <s v="28/06/2022"/>
    <d v="2022-06-28T00:00:00"/>
    <s v="2022005-89"/>
    <x v="0"/>
  </r>
  <r>
    <x v="117"/>
    <n v="2022005"/>
    <x v="5"/>
    <s v="Lentil"/>
    <m/>
    <x v="15"/>
    <s v="Y"/>
    <x v="1"/>
    <n v="90"/>
    <n v="45"/>
    <x v="2"/>
    <m/>
    <m/>
    <m/>
    <n v="6"/>
    <n v="12"/>
    <m/>
    <m/>
    <m/>
    <m/>
    <n v="1"/>
    <n v="36"/>
    <x v="0"/>
    <n v="24"/>
    <m/>
    <n v="48"/>
    <x v="1"/>
    <n v="4"/>
    <x v="0"/>
    <m/>
    <m/>
    <n v="30.5"/>
    <x v="2"/>
    <s v="28/06/2022"/>
    <d v="2022-06-28T00:00:00"/>
    <s v="2022005-90"/>
    <x v="0"/>
  </r>
  <r>
    <x v="118"/>
    <n v="2022005"/>
    <x v="5"/>
    <s v="Lentil"/>
    <m/>
    <x v="16"/>
    <s v="N"/>
    <x v="2"/>
    <n v="91"/>
    <n v="46"/>
    <x v="2"/>
    <m/>
    <m/>
    <m/>
    <n v="6"/>
    <n v="12"/>
    <m/>
    <m/>
    <m/>
    <m/>
    <n v="2"/>
    <n v="35"/>
    <x v="1"/>
    <n v="23"/>
    <m/>
    <m/>
    <x v="1"/>
    <n v="2"/>
    <x v="0"/>
    <m/>
    <m/>
    <n v="30.5"/>
    <x v="2"/>
    <s v="28/06/2022"/>
    <d v="2022-06-28T00:00:00"/>
    <s v="2022005-91"/>
    <x v="0"/>
  </r>
  <r>
    <x v="118"/>
    <n v="2022005"/>
    <x v="5"/>
    <s v="Lentil"/>
    <m/>
    <x v="16"/>
    <s v="N"/>
    <x v="1"/>
    <n v="92"/>
    <n v="46"/>
    <x v="2"/>
    <m/>
    <m/>
    <m/>
    <n v="6"/>
    <n v="12"/>
    <m/>
    <m/>
    <m/>
    <m/>
    <n v="2"/>
    <n v="36"/>
    <x v="1"/>
    <n v="24"/>
    <m/>
    <n v="47"/>
    <x v="1"/>
    <n v="2"/>
    <x v="0"/>
    <m/>
    <m/>
    <n v="30.5"/>
    <x v="2"/>
    <s v="28/06/2022"/>
    <d v="2022-06-28T00:00:00"/>
    <s v="2022005-92"/>
    <x v="0"/>
  </r>
  <r>
    <x v="119"/>
    <n v="2022005"/>
    <x v="5"/>
    <s v="Lentil"/>
    <m/>
    <x v="1"/>
    <s v="Y"/>
    <x v="2"/>
    <n v="93"/>
    <n v="47"/>
    <x v="2"/>
    <m/>
    <m/>
    <m/>
    <n v="6"/>
    <n v="12"/>
    <m/>
    <m/>
    <m/>
    <m/>
    <n v="3"/>
    <n v="35"/>
    <x v="2"/>
    <n v="23"/>
    <m/>
    <m/>
    <x v="1"/>
    <n v="3"/>
    <x v="0"/>
    <m/>
    <m/>
    <n v="30.5"/>
    <x v="2"/>
    <s v="28/06/2022"/>
    <d v="2022-06-28T00:00:00"/>
    <s v="2022005-93"/>
    <x v="0"/>
  </r>
  <r>
    <x v="119"/>
    <n v="2022005"/>
    <x v="5"/>
    <s v="Lentil"/>
    <m/>
    <x v="1"/>
    <s v="Y"/>
    <x v="1"/>
    <n v="94"/>
    <n v="47"/>
    <x v="2"/>
    <m/>
    <m/>
    <m/>
    <n v="6"/>
    <n v="12"/>
    <m/>
    <m/>
    <m/>
    <m/>
    <n v="3"/>
    <n v="36"/>
    <x v="2"/>
    <n v="24"/>
    <m/>
    <n v="46"/>
    <x v="1"/>
    <n v="3"/>
    <x v="0"/>
    <m/>
    <m/>
    <n v="30.5"/>
    <x v="2"/>
    <s v="28/06/2022"/>
    <d v="2022-06-28T00:00:00"/>
    <s v="2022005-94"/>
    <x v="0"/>
  </r>
  <r>
    <x v="116"/>
    <n v="2022005"/>
    <x v="5"/>
    <s v="Lentil"/>
    <m/>
    <x v="14"/>
    <s v="N"/>
    <x v="2"/>
    <n v="95"/>
    <n v="48"/>
    <x v="2"/>
    <m/>
    <m/>
    <m/>
    <n v="6"/>
    <n v="12"/>
    <m/>
    <m/>
    <m/>
    <m/>
    <n v="4"/>
    <n v="35"/>
    <x v="3"/>
    <n v="23"/>
    <m/>
    <m/>
    <x v="1"/>
    <n v="1"/>
    <x v="0"/>
    <m/>
    <m/>
    <n v="30.5"/>
    <x v="2"/>
    <s v="28/06/2022"/>
    <d v="2022-06-28T00:00:00"/>
    <s v="2022005-95"/>
    <x v="0"/>
  </r>
  <r>
    <x v="116"/>
    <n v="2022005"/>
    <x v="5"/>
    <s v="Lentil"/>
    <m/>
    <x v="14"/>
    <s v="N"/>
    <x v="1"/>
    <n v="96"/>
    <n v="48"/>
    <x v="2"/>
    <m/>
    <m/>
    <m/>
    <n v="6"/>
    <n v="12"/>
    <m/>
    <m/>
    <m/>
    <m/>
    <n v="4"/>
    <n v="36"/>
    <x v="3"/>
    <n v="24"/>
    <m/>
    <n v="45"/>
    <x v="1"/>
    <n v="1"/>
    <x v="0"/>
    <m/>
    <m/>
    <n v="30.5"/>
    <x v="2"/>
    <s v="28/06/2022"/>
    <d v="2022-06-28T00:00:00"/>
    <s v="2022005-96"/>
    <x v="0"/>
  </r>
  <r>
    <x v="116"/>
    <n v="2022005"/>
    <x v="5"/>
    <s v="Lentil"/>
    <m/>
    <x v="14"/>
    <s v="N"/>
    <x v="2"/>
    <n v="97"/>
    <n v="49"/>
    <x v="3"/>
    <m/>
    <m/>
    <m/>
    <n v="7"/>
    <n v="13"/>
    <m/>
    <m/>
    <m/>
    <m/>
    <n v="1"/>
    <n v="38"/>
    <x v="0"/>
    <n v="25"/>
    <m/>
    <m/>
    <x v="1"/>
    <n v="1"/>
    <x v="0"/>
    <m/>
    <m/>
    <n v="30.5"/>
    <x v="2"/>
    <s v="28/06/2022"/>
    <d v="2022-06-28T00:00:00"/>
    <s v="2022005-97"/>
    <x v="0"/>
  </r>
  <r>
    <x v="116"/>
    <n v="2022005"/>
    <x v="5"/>
    <s v="Lentil"/>
    <m/>
    <x v="14"/>
    <s v="N"/>
    <x v="1"/>
    <n v="98"/>
    <n v="49"/>
    <x v="3"/>
    <m/>
    <m/>
    <m/>
    <n v="7"/>
    <n v="13"/>
    <m/>
    <m/>
    <m/>
    <m/>
    <n v="1"/>
    <n v="39"/>
    <x v="0"/>
    <n v="26"/>
    <m/>
    <n v="49"/>
    <x v="1"/>
    <n v="1"/>
    <x v="0"/>
    <m/>
    <m/>
    <n v="30.5"/>
    <x v="2"/>
    <s v="28/06/2022"/>
    <d v="2022-06-28T00:00:00"/>
    <s v="2022005-98"/>
    <x v="0"/>
  </r>
  <r>
    <x v="117"/>
    <n v="2022005"/>
    <x v="5"/>
    <s v="Lentil"/>
    <m/>
    <x v="15"/>
    <s v="Y"/>
    <x v="2"/>
    <n v="99"/>
    <n v="50"/>
    <x v="3"/>
    <m/>
    <m/>
    <m/>
    <n v="7"/>
    <n v="13"/>
    <m/>
    <m/>
    <m/>
    <m/>
    <n v="2"/>
    <n v="38"/>
    <x v="1"/>
    <n v="25"/>
    <m/>
    <m/>
    <x v="1"/>
    <n v="4"/>
    <x v="0"/>
    <m/>
    <m/>
    <n v="30.5"/>
    <x v="2"/>
    <s v="28/06/2022"/>
    <d v="2022-06-28T00:00:00"/>
    <s v="2022005-99"/>
    <x v="0"/>
  </r>
  <r>
    <x v="117"/>
    <n v="2022005"/>
    <x v="5"/>
    <s v="Lentil"/>
    <m/>
    <x v="15"/>
    <s v="Y"/>
    <x v="1"/>
    <n v="100"/>
    <n v="50"/>
    <x v="3"/>
    <m/>
    <m/>
    <m/>
    <n v="7"/>
    <n v="13"/>
    <m/>
    <m/>
    <m/>
    <m/>
    <n v="2"/>
    <n v="39"/>
    <x v="1"/>
    <n v="26"/>
    <m/>
    <n v="50"/>
    <x v="1"/>
    <n v="4"/>
    <x v="0"/>
    <m/>
    <m/>
    <n v="30.5"/>
    <x v="2"/>
    <s v="28/06/2022"/>
    <d v="2022-06-28T00:00:00"/>
    <s v="2022005-100"/>
    <x v="0"/>
  </r>
  <r>
    <x v="119"/>
    <n v="2022005"/>
    <x v="5"/>
    <s v="Lentil"/>
    <m/>
    <x v="1"/>
    <s v="Y"/>
    <x v="2"/>
    <n v="101"/>
    <n v="51"/>
    <x v="3"/>
    <m/>
    <m/>
    <m/>
    <n v="7"/>
    <n v="13"/>
    <m/>
    <m/>
    <m/>
    <m/>
    <n v="3"/>
    <n v="38"/>
    <x v="2"/>
    <n v="25"/>
    <m/>
    <m/>
    <x v="1"/>
    <n v="3"/>
    <x v="0"/>
    <m/>
    <m/>
    <n v="30.5"/>
    <x v="2"/>
    <s v="28/06/2022"/>
    <d v="2022-06-28T00:00:00"/>
    <s v="2022005-101"/>
    <x v="0"/>
  </r>
  <r>
    <x v="119"/>
    <n v="2022005"/>
    <x v="5"/>
    <s v="Lentil"/>
    <m/>
    <x v="1"/>
    <s v="Y"/>
    <x v="1"/>
    <n v="102"/>
    <n v="51"/>
    <x v="3"/>
    <m/>
    <m/>
    <m/>
    <n v="7"/>
    <n v="13"/>
    <m/>
    <m/>
    <m/>
    <m/>
    <n v="3"/>
    <n v="39"/>
    <x v="2"/>
    <n v="26"/>
    <m/>
    <n v="51"/>
    <x v="1"/>
    <n v="3"/>
    <x v="0"/>
    <m/>
    <m/>
    <n v="30.5"/>
    <x v="2"/>
    <s v="28/06/2022"/>
    <d v="2022-06-28T00:00:00"/>
    <s v="2022005-102"/>
    <x v="0"/>
  </r>
  <r>
    <x v="118"/>
    <n v="2022005"/>
    <x v="5"/>
    <s v="Lentil"/>
    <m/>
    <x v="16"/>
    <s v="N"/>
    <x v="2"/>
    <n v="103"/>
    <n v="52"/>
    <x v="3"/>
    <m/>
    <m/>
    <m/>
    <n v="7"/>
    <n v="13"/>
    <m/>
    <m/>
    <m/>
    <m/>
    <n v="4"/>
    <n v="38"/>
    <x v="3"/>
    <n v="25"/>
    <m/>
    <m/>
    <x v="1"/>
    <n v="2"/>
    <x v="0"/>
    <m/>
    <m/>
    <n v="30.5"/>
    <x v="2"/>
    <s v="28/06/2022"/>
    <d v="2022-06-28T00:00:00"/>
    <s v="2022005-103"/>
    <x v="0"/>
  </r>
  <r>
    <x v="118"/>
    <n v="2022005"/>
    <x v="5"/>
    <s v="Lentil"/>
    <m/>
    <x v="16"/>
    <s v="N"/>
    <x v="1"/>
    <n v="104"/>
    <n v="52"/>
    <x v="3"/>
    <m/>
    <m/>
    <m/>
    <n v="7"/>
    <n v="13"/>
    <m/>
    <m/>
    <m/>
    <m/>
    <n v="4"/>
    <n v="39"/>
    <x v="3"/>
    <n v="26"/>
    <m/>
    <n v="52"/>
    <x v="1"/>
    <n v="2"/>
    <x v="0"/>
    <m/>
    <m/>
    <n v="30.5"/>
    <x v="2"/>
    <s v="28/06/2022"/>
    <d v="2022-06-28T00:00:00"/>
    <s v="2022005-104"/>
    <x v="0"/>
  </r>
  <r>
    <x v="112"/>
    <n v="2022005"/>
    <x v="5"/>
    <s v="Lentil"/>
    <m/>
    <x v="1"/>
    <s v="Y"/>
    <x v="2"/>
    <n v="105"/>
    <n v="53"/>
    <x v="3"/>
    <m/>
    <m/>
    <m/>
    <n v="7"/>
    <n v="14"/>
    <m/>
    <m/>
    <m/>
    <m/>
    <n v="1"/>
    <n v="41"/>
    <x v="0"/>
    <n v="27"/>
    <m/>
    <m/>
    <x v="0"/>
    <n v="3"/>
    <x v="0"/>
    <m/>
    <m/>
    <n v="30.5"/>
    <x v="2"/>
    <s v="28/06/2022"/>
    <d v="2022-06-28T00:00:00"/>
    <s v="2022005-105"/>
    <x v="0"/>
  </r>
  <r>
    <x v="112"/>
    <n v="2022005"/>
    <x v="5"/>
    <s v="Lentil"/>
    <m/>
    <x v="1"/>
    <s v="Y"/>
    <x v="1"/>
    <n v="106"/>
    <n v="53"/>
    <x v="3"/>
    <m/>
    <m/>
    <m/>
    <n v="7"/>
    <n v="14"/>
    <m/>
    <m/>
    <m/>
    <m/>
    <n v="1"/>
    <n v="42"/>
    <x v="0"/>
    <n v="28"/>
    <m/>
    <n v="56"/>
    <x v="0"/>
    <n v="3"/>
    <x v="0"/>
    <m/>
    <m/>
    <n v="30.5"/>
    <x v="2"/>
    <s v="28/06/2022"/>
    <d v="2022-06-28T00:00:00"/>
    <s v="2022005-106"/>
    <x v="0"/>
  </r>
  <r>
    <x v="115"/>
    <n v="2022005"/>
    <x v="5"/>
    <s v="Lentil"/>
    <m/>
    <x v="16"/>
    <s v="N"/>
    <x v="2"/>
    <n v="107"/>
    <n v="54"/>
    <x v="3"/>
    <m/>
    <m/>
    <m/>
    <n v="7"/>
    <n v="14"/>
    <m/>
    <m/>
    <m/>
    <m/>
    <n v="2"/>
    <n v="41"/>
    <x v="1"/>
    <n v="27"/>
    <m/>
    <m/>
    <x v="0"/>
    <n v="2"/>
    <x v="0"/>
    <m/>
    <m/>
    <n v="30.5"/>
    <x v="2"/>
    <s v="28/06/2022"/>
    <d v="2022-06-28T00:00:00"/>
    <s v="2022005-107"/>
    <x v="0"/>
  </r>
  <r>
    <x v="115"/>
    <n v="2022005"/>
    <x v="5"/>
    <s v="Lentil"/>
    <m/>
    <x v="16"/>
    <s v="N"/>
    <x v="1"/>
    <n v="108"/>
    <n v="54"/>
    <x v="3"/>
    <m/>
    <m/>
    <m/>
    <n v="7"/>
    <n v="14"/>
    <m/>
    <m/>
    <m/>
    <m/>
    <n v="2"/>
    <n v="42"/>
    <x v="1"/>
    <n v="28"/>
    <m/>
    <n v="55"/>
    <x v="0"/>
    <n v="2"/>
    <x v="0"/>
    <m/>
    <m/>
    <n v="30.5"/>
    <x v="2"/>
    <s v="28/06/2022"/>
    <d v="2022-06-28T00:00:00"/>
    <s v="2022005-108"/>
    <x v="0"/>
  </r>
  <r>
    <x v="113"/>
    <n v="2022005"/>
    <x v="5"/>
    <s v="Lentil"/>
    <m/>
    <x v="14"/>
    <s v="N"/>
    <x v="2"/>
    <n v="109"/>
    <n v="55"/>
    <x v="3"/>
    <m/>
    <m/>
    <m/>
    <n v="7"/>
    <n v="14"/>
    <m/>
    <m/>
    <m/>
    <m/>
    <n v="3"/>
    <n v="41"/>
    <x v="2"/>
    <n v="27"/>
    <m/>
    <m/>
    <x v="0"/>
    <n v="1"/>
    <x v="0"/>
    <m/>
    <m/>
    <n v="30.5"/>
    <x v="2"/>
    <s v="28/06/2022"/>
    <d v="2022-06-28T00:00:00"/>
    <s v="2022005-109"/>
    <x v="0"/>
  </r>
  <r>
    <x v="113"/>
    <n v="2022005"/>
    <x v="5"/>
    <s v="Lentil"/>
    <m/>
    <x v="14"/>
    <s v="N"/>
    <x v="1"/>
    <n v="110"/>
    <n v="55"/>
    <x v="3"/>
    <m/>
    <m/>
    <m/>
    <n v="7"/>
    <n v="14"/>
    <m/>
    <m/>
    <m/>
    <m/>
    <n v="3"/>
    <n v="42"/>
    <x v="2"/>
    <n v="28"/>
    <m/>
    <n v="54"/>
    <x v="0"/>
    <n v="1"/>
    <x v="0"/>
    <m/>
    <m/>
    <n v="30.5"/>
    <x v="2"/>
    <s v="28/06/2022"/>
    <d v="2022-06-28T00:00:00"/>
    <s v="2022005-110"/>
    <x v="0"/>
  </r>
  <r>
    <x v="114"/>
    <n v="2022005"/>
    <x v="5"/>
    <s v="Lentil"/>
    <m/>
    <x v="15"/>
    <s v="Y"/>
    <x v="2"/>
    <n v="111"/>
    <n v="56"/>
    <x v="3"/>
    <m/>
    <m/>
    <m/>
    <n v="7"/>
    <n v="14"/>
    <m/>
    <m/>
    <m/>
    <m/>
    <n v="4"/>
    <n v="41"/>
    <x v="3"/>
    <n v="27"/>
    <m/>
    <m/>
    <x v="0"/>
    <n v="4"/>
    <x v="0"/>
    <m/>
    <m/>
    <n v="30.5"/>
    <x v="2"/>
    <s v="28/06/2022"/>
    <d v="2022-06-28T00:00:00"/>
    <s v="2022005-111"/>
    <x v="0"/>
  </r>
  <r>
    <x v="114"/>
    <n v="2022005"/>
    <x v="5"/>
    <s v="Lentil"/>
    <m/>
    <x v="15"/>
    <s v="Y"/>
    <x v="1"/>
    <n v="112"/>
    <n v="56"/>
    <x v="3"/>
    <m/>
    <m/>
    <m/>
    <n v="7"/>
    <n v="14"/>
    <m/>
    <m/>
    <m/>
    <m/>
    <n v="4"/>
    <n v="42"/>
    <x v="3"/>
    <n v="28"/>
    <m/>
    <n v="53"/>
    <x v="0"/>
    <n v="4"/>
    <x v="0"/>
    <m/>
    <m/>
    <n v="30.5"/>
    <x v="2"/>
    <s v="28/06/2022"/>
    <d v="2022-06-28T00:00:00"/>
    <s v="2022005-112"/>
    <x v="0"/>
  </r>
  <r>
    <x v="123"/>
    <n v="2022005"/>
    <x v="5"/>
    <s v="Lentil"/>
    <m/>
    <x v="15"/>
    <s v="Y"/>
    <x v="2"/>
    <n v="113"/>
    <n v="57"/>
    <x v="3"/>
    <m/>
    <m/>
    <m/>
    <n v="8"/>
    <n v="15"/>
    <m/>
    <m/>
    <m/>
    <m/>
    <n v="1"/>
    <n v="44"/>
    <x v="0"/>
    <n v="29"/>
    <m/>
    <m/>
    <x v="1"/>
    <n v="4"/>
    <x v="0"/>
    <m/>
    <m/>
    <n v="30.5"/>
    <x v="1"/>
    <s v="23/05/2022"/>
    <d v="2022-05-23T00:00:00"/>
    <s v="2022005-113"/>
    <x v="0"/>
  </r>
  <r>
    <x v="123"/>
    <n v="2022005"/>
    <x v="5"/>
    <s v="Lentil"/>
    <m/>
    <x v="15"/>
    <s v="Y"/>
    <x v="1"/>
    <n v="114"/>
    <n v="57"/>
    <x v="3"/>
    <m/>
    <m/>
    <m/>
    <n v="8"/>
    <n v="15"/>
    <m/>
    <m/>
    <m/>
    <m/>
    <n v="1"/>
    <n v="45"/>
    <x v="0"/>
    <n v="30"/>
    <m/>
    <n v="57"/>
    <x v="1"/>
    <n v="4"/>
    <x v="0"/>
    <m/>
    <m/>
    <n v="30.5"/>
    <x v="1"/>
    <s v="23/05/2022"/>
    <d v="2022-05-23T00:00:00"/>
    <s v="2022005-114"/>
    <x v="0"/>
  </r>
  <r>
    <x v="121"/>
    <n v="2022005"/>
    <x v="5"/>
    <s v="Lentil"/>
    <m/>
    <x v="1"/>
    <s v="Y"/>
    <x v="2"/>
    <n v="115"/>
    <n v="58"/>
    <x v="3"/>
    <m/>
    <m/>
    <m/>
    <n v="8"/>
    <n v="15"/>
    <m/>
    <m/>
    <m/>
    <m/>
    <n v="2"/>
    <n v="44"/>
    <x v="1"/>
    <n v="29"/>
    <m/>
    <m/>
    <x v="1"/>
    <n v="3"/>
    <x v="0"/>
    <m/>
    <m/>
    <n v="30.5"/>
    <x v="1"/>
    <s v="23/05/2022"/>
    <d v="2022-05-23T00:00:00"/>
    <s v="2022005-115"/>
    <x v="0"/>
  </r>
  <r>
    <x v="121"/>
    <n v="2022005"/>
    <x v="5"/>
    <s v="Lentil"/>
    <m/>
    <x v="1"/>
    <s v="Y"/>
    <x v="1"/>
    <n v="116"/>
    <n v="58"/>
    <x v="3"/>
    <m/>
    <m/>
    <m/>
    <n v="8"/>
    <n v="15"/>
    <m/>
    <m/>
    <m/>
    <m/>
    <n v="2"/>
    <n v="45"/>
    <x v="1"/>
    <n v="30"/>
    <m/>
    <n v="58"/>
    <x v="1"/>
    <n v="3"/>
    <x v="0"/>
    <m/>
    <m/>
    <n v="30.5"/>
    <x v="1"/>
    <s v="23/05/2022"/>
    <d v="2022-05-23T00:00:00"/>
    <s v="2022005-116"/>
    <x v="0"/>
  </r>
  <r>
    <x v="120"/>
    <n v="2022005"/>
    <x v="5"/>
    <s v="Lentil"/>
    <m/>
    <x v="16"/>
    <s v="N"/>
    <x v="2"/>
    <n v="117"/>
    <n v="59"/>
    <x v="3"/>
    <m/>
    <m/>
    <m/>
    <n v="8"/>
    <n v="15"/>
    <m/>
    <m/>
    <m/>
    <m/>
    <n v="3"/>
    <n v="44"/>
    <x v="2"/>
    <n v="29"/>
    <m/>
    <m/>
    <x v="1"/>
    <n v="2"/>
    <x v="0"/>
    <m/>
    <m/>
    <n v="30.5"/>
    <x v="1"/>
    <s v="23/05/2022"/>
    <d v="2022-05-23T00:00:00"/>
    <s v="2022005-117"/>
    <x v="0"/>
  </r>
  <r>
    <x v="120"/>
    <n v="2022005"/>
    <x v="5"/>
    <s v="Lentil"/>
    <m/>
    <x v="16"/>
    <s v="N"/>
    <x v="1"/>
    <n v="118"/>
    <n v="59"/>
    <x v="3"/>
    <m/>
    <m/>
    <m/>
    <n v="8"/>
    <n v="15"/>
    <m/>
    <m/>
    <m/>
    <m/>
    <n v="3"/>
    <n v="45"/>
    <x v="2"/>
    <n v="30"/>
    <m/>
    <n v="59"/>
    <x v="1"/>
    <n v="2"/>
    <x v="0"/>
    <m/>
    <m/>
    <n v="30.5"/>
    <x v="1"/>
    <s v="23/05/2022"/>
    <d v="2022-05-23T00:00:00"/>
    <s v="2022005-118"/>
    <x v="0"/>
  </r>
  <r>
    <x v="122"/>
    <n v="2022005"/>
    <x v="5"/>
    <s v="Lentil"/>
    <m/>
    <x v="14"/>
    <s v="N"/>
    <x v="2"/>
    <n v="119"/>
    <n v="60"/>
    <x v="3"/>
    <m/>
    <m/>
    <m/>
    <n v="8"/>
    <n v="15"/>
    <m/>
    <m/>
    <m/>
    <m/>
    <n v="4"/>
    <n v="44"/>
    <x v="3"/>
    <n v="29"/>
    <m/>
    <m/>
    <x v="1"/>
    <n v="1"/>
    <x v="0"/>
    <m/>
    <m/>
    <n v="30.5"/>
    <x v="1"/>
    <s v="23/05/2022"/>
    <d v="2022-05-23T00:00:00"/>
    <s v="2022005-119"/>
    <x v="0"/>
  </r>
  <r>
    <x v="122"/>
    <n v="2022005"/>
    <x v="5"/>
    <s v="Lentil"/>
    <m/>
    <x v="14"/>
    <s v="N"/>
    <x v="1"/>
    <n v="120"/>
    <n v="60"/>
    <x v="3"/>
    <m/>
    <m/>
    <m/>
    <n v="8"/>
    <n v="15"/>
    <m/>
    <m/>
    <m/>
    <m/>
    <n v="4"/>
    <n v="45"/>
    <x v="3"/>
    <n v="30"/>
    <m/>
    <n v="60"/>
    <x v="1"/>
    <n v="1"/>
    <x v="0"/>
    <m/>
    <m/>
    <n v="30.5"/>
    <x v="1"/>
    <s v="23/05/2022"/>
    <d v="2022-05-23T00:00:00"/>
    <s v="2022005-120"/>
    <x v="0"/>
  </r>
  <r>
    <x v="125"/>
    <n v="2022005"/>
    <x v="5"/>
    <s v="Lentil"/>
    <m/>
    <x v="16"/>
    <s v="N"/>
    <x v="2"/>
    <n v="121"/>
    <n v="61"/>
    <x v="3"/>
    <m/>
    <m/>
    <m/>
    <n v="8"/>
    <n v="16"/>
    <m/>
    <m/>
    <m/>
    <m/>
    <n v="1"/>
    <n v="47"/>
    <x v="0"/>
    <n v="31"/>
    <m/>
    <m/>
    <x v="0"/>
    <n v="2"/>
    <x v="0"/>
    <m/>
    <m/>
    <n v="30.5"/>
    <x v="1"/>
    <s v="23/05/2022"/>
    <d v="2022-05-23T00:00:00"/>
    <s v="2022005-121"/>
    <x v="0"/>
  </r>
  <r>
    <x v="125"/>
    <n v="2022005"/>
    <x v="5"/>
    <s v="Lentil"/>
    <m/>
    <x v="16"/>
    <s v="N"/>
    <x v="1"/>
    <n v="122"/>
    <n v="61"/>
    <x v="3"/>
    <m/>
    <m/>
    <m/>
    <n v="8"/>
    <n v="16"/>
    <m/>
    <m/>
    <m/>
    <m/>
    <n v="1"/>
    <n v="48"/>
    <x v="0"/>
    <n v="32"/>
    <m/>
    <n v="64"/>
    <x v="0"/>
    <n v="2"/>
    <x v="0"/>
    <m/>
    <m/>
    <n v="30.5"/>
    <x v="1"/>
    <s v="23/05/2022"/>
    <d v="2022-05-23T00:00:00"/>
    <s v="2022005-122"/>
    <x v="0"/>
  </r>
  <r>
    <x v="127"/>
    <n v="2022005"/>
    <x v="5"/>
    <s v="Lentil"/>
    <m/>
    <x v="14"/>
    <s v="N"/>
    <x v="2"/>
    <n v="123"/>
    <n v="62"/>
    <x v="3"/>
    <m/>
    <m/>
    <m/>
    <n v="8"/>
    <n v="16"/>
    <m/>
    <m/>
    <m/>
    <m/>
    <n v="2"/>
    <n v="47"/>
    <x v="1"/>
    <n v="31"/>
    <m/>
    <m/>
    <x v="0"/>
    <n v="1"/>
    <x v="0"/>
    <m/>
    <m/>
    <n v="30.5"/>
    <x v="1"/>
    <s v="23/05/2022"/>
    <d v="2022-05-23T00:00:00"/>
    <s v="2022005-123"/>
    <x v="0"/>
  </r>
  <r>
    <x v="127"/>
    <n v="2022005"/>
    <x v="5"/>
    <s v="Lentil"/>
    <m/>
    <x v="14"/>
    <s v="N"/>
    <x v="1"/>
    <n v="124"/>
    <n v="62"/>
    <x v="3"/>
    <m/>
    <m/>
    <m/>
    <n v="8"/>
    <n v="16"/>
    <m/>
    <m/>
    <m/>
    <m/>
    <n v="2"/>
    <n v="48"/>
    <x v="1"/>
    <n v="32"/>
    <m/>
    <n v="63"/>
    <x v="0"/>
    <n v="1"/>
    <x v="0"/>
    <m/>
    <m/>
    <n v="30.5"/>
    <x v="1"/>
    <s v="23/05/2022"/>
    <d v="2022-05-23T00:00:00"/>
    <s v="2022005-124"/>
    <x v="0"/>
  </r>
  <r>
    <x v="124"/>
    <n v="2022005"/>
    <x v="5"/>
    <s v="Lentil"/>
    <m/>
    <x v="15"/>
    <s v="Y"/>
    <x v="2"/>
    <n v="125"/>
    <n v="63"/>
    <x v="3"/>
    <m/>
    <m/>
    <m/>
    <n v="8"/>
    <n v="16"/>
    <m/>
    <m/>
    <m/>
    <m/>
    <n v="3"/>
    <n v="47"/>
    <x v="2"/>
    <n v="31"/>
    <m/>
    <m/>
    <x v="0"/>
    <n v="4"/>
    <x v="0"/>
    <m/>
    <m/>
    <n v="30.5"/>
    <x v="1"/>
    <s v="23/05/2022"/>
    <d v="2022-05-23T00:00:00"/>
    <s v="2022005-125"/>
    <x v="0"/>
  </r>
  <r>
    <x v="124"/>
    <n v="2022005"/>
    <x v="5"/>
    <s v="Lentil"/>
    <m/>
    <x v="15"/>
    <s v="Y"/>
    <x v="1"/>
    <n v="126"/>
    <n v="63"/>
    <x v="3"/>
    <m/>
    <m/>
    <m/>
    <n v="8"/>
    <n v="16"/>
    <m/>
    <m/>
    <m/>
    <m/>
    <n v="3"/>
    <n v="48"/>
    <x v="2"/>
    <n v="32"/>
    <m/>
    <n v="62"/>
    <x v="0"/>
    <n v="4"/>
    <x v="0"/>
    <m/>
    <m/>
    <n v="30.5"/>
    <x v="1"/>
    <s v="23/05/2022"/>
    <d v="2022-05-23T00:00:00"/>
    <s v="2022005-126"/>
    <x v="0"/>
  </r>
  <r>
    <x v="126"/>
    <n v="2022005"/>
    <x v="5"/>
    <s v="Lentil"/>
    <m/>
    <x v="1"/>
    <s v="Y"/>
    <x v="2"/>
    <n v="127"/>
    <n v="64"/>
    <x v="3"/>
    <m/>
    <m/>
    <m/>
    <n v="8"/>
    <n v="16"/>
    <m/>
    <m/>
    <m/>
    <m/>
    <n v="4"/>
    <n v="47"/>
    <x v="3"/>
    <n v="31"/>
    <m/>
    <m/>
    <x v="0"/>
    <n v="3"/>
    <x v="0"/>
    <m/>
    <m/>
    <n v="30.5"/>
    <x v="1"/>
    <s v="23/05/2022"/>
    <d v="2022-05-23T00:00:00"/>
    <s v="2022005-127"/>
    <x v="0"/>
  </r>
  <r>
    <x v="126"/>
    <n v="2022005"/>
    <x v="5"/>
    <s v="Lentil"/>
    <m/>
    <x v="1"/>
    <s v="Y"/>
    <x v="1"/>
    <n v="128"/>
    <n v="64"/>
    <x v="3"/>
    <m/>
    <m/>
    <m/>
    <n v="8"/>
    <n v="16"/>
    <m/>
    <m/>
    <m/>
    <m/>
    <n v="4"/>
    <n v="48"/>
    <x v="3"/>
    <n v="32"/>
    <m/>
    <n v="61"/>
    <x v="0"/>
    <n v="3"/>
    <x v="0"/>
    <m/>
    <m/>
    <n v="30.5"/>
    <x v="1"/>
    <s v="23/05/2022"/>
    <d v="2022-05-23T00:00:00"/>
    <s v="2022005-128"/>
    <x v="0"/>
  </r>
  <r>
    <x v="128"/>
    <n v="2022006"/>
    <x v="6"/>
    <s v="Lentil"/>
    <m/>
    <x v="14"/>
    <s v="N"/>
    <x v="2"/>
    <n v="1"/>
    <n v="1"/>
    <x v="0"/>
    <m/>
    <m/>
    <m/>
    <n v="1"/>
    <m/>
    <m/>
    <m/>
    <m/>
    <m/>
    <n v="1"/>
    <n v="2"/>
    <x v="0"/>
    <n v="1"/>
    <m/>
    <m/>
    <x v="0"/>
    <n v="1"/>
    <x v="0"/>
    <m/>
    <m/>
    <n v="23"/>
    <x v="1"/>
    <s v="18/06/2022"/>
    <d v="2022-06-18T00:00:00"/>
    <s v="2022006-1"/>
    <x v="0"/>
  </r>
  <r>
    <x v="128"/>
    <n v="2022006"/>
    <x v="6"/>
    <s v="Lentil"/>
    <m/>
    <x v="14"/>
    <s v="N"/>
    <x v="1"/>
    <n v="2"/>
    <n v="1"/>
    <x v="0"/>
    <m/>
    <m/>
    <m/>
    <n v="1"/>
    <m/>
    <m/>
    <m/>
    <m/>
    <m/>
    <n v="2"/>
    <n v="2"/>
    <x v="1"/>
    <n v="1"/>
    <m/>
    <n v="2"/>
    <x v="0"/>
    <n v="1"/>
    <x v="0"/>
    <m/>
    <m/>
    <n v="23"/>
    <x v="1"/>
    <s v="18/06/2022"/>
    <d v="2022-06-18T00:00:00"/>
    <s v="2022006-2"/>
    <x v="0"/>
  </r>
  <r>
    <x v="129"/>
    <n v="2022006"/>
    <x v="6"/>
    <s v="Lentil"/>
    <m/>
    <x v="16"/>
    <s v="N"/>
    <x v="2"/>
    <n v="3"/>
    <n v="2"/>
    <x v="0"/>
    <m/>
    <m/>
    <m/>
    <n v="1"/>
    <m/>
    <m/>
    <m/>
    <m/>
    <m/>
    <n v="3"/>
    <n v="2"/>
    <x v="2"/>
    <n v="1"/>
    <m/>
    <m/>
    <x v="0"/>
    <n v="2"/>
    <x v="0"/>
    <m/>
    <m/>
    <n v="23"/>
    <x v="1"/>
    <s v="18/06/2022"/>
    <d v="2022-06-18T00:00:00"/>
    <s v="2022006-3"/>
    <x v="0"/>
  </r>
  <r>
    <x v="129"/>
    <n v="2022006"/>
    <x v="6"/>
    <s v="Lentil"/>
    <m/>
    <x v="16"/>
    <s v="N"/>
    <x v="1"/>
    <n v="4"/>
    <n v="2"/>
    <x v="0"/>
    <m/>
    <m/>
    <m/>
    <n v="1"/>
    <m/>
    <m/>
    <m/>
    <m/>
    <m/>
    <n v="4"/>
    <n v="2"/>
    <x v="3"/>
    <n v="1"/>
    <m/>
    <n v="4"/>
    <x v="0"/>
    <n v="2"/>
    <x v="0"/>
    <m/>
    <m/>
    <n v="23"/>
    <x v="1"/>
    <s v="18/06/2022"/>
    <d v="2022-06-18T00:00:00"/>
    <s v="2022006-4"/>
    <x v="0"/>
  </r>
  <r>
    <x v="130"/>
    <n v="2022006"/>
    <x v="6"/>
    <s v="Lentil"/>
    <m/>
    <x v="15"/>
    <s v="Y"/>
    <x v="2"/>
    <n v="5"/>
    <n v="3"/>
    <x v="0"/>
    <m/>
    <m/>
    <m/>
    <n v="1"/>
    <m/>
    <m/>
    <m/>
    <m/>
    <m/>
    <n v="1"/>
    <n v="3"/>
    <x v="0"/>
    <n v="2"/>
    <m/>
    <m/>
    <x v="0"/>
    <n v="4"/>
    <x v="0"/>
    <m/>
    <m/>
    <n v="23"/>
    <x v="1"/>
    <s v="18/06/2022"/>
    <d v="2022-06-18T00:00:00"/>
    <s v="2022006-5"/>
    <x v="0"/>
  </r>
  <r>
    <x v="130"/>
    <n v="2022006"/>
    <x v="6"/>
    <s v="Lentil"/>
    <m/>
    <x v="15"/>
    <s v="Y"/>
    <x v="1"/>
    <n v="6"/>
    <n v="3"/>
    <x v="0"/>
    <m/>
    <m/>
    <m/>
    <n v="1"/>
    <m/>
    <m/>
    <m/>
    <m/>
    <m/>
    <n v="2"/>
    <n v="3"/>
    <x v="1"/>
    <n v="2"/>
    <m/>
    <n v="7"/>
    <x v="0"/>
    <n v="4"/>
    <x v="0"/>
    <m/>
    <m/>
    <n v="23"/>
    <x v="1"/>
    <s v="18/06/2022"/>
    <d v="2022-06-18T00:00:00"/>
    <s v="2022006-6"/>
    <x v="0"/>
  </r>
  <r>
    <x v="131"/>
    <n v="2022006"/>
    <x v="6"/>
    <s v="Lentil"/>
    <m/>
    <x v="1"/>
    <s v="Y"/>
    <x v="2"/>
    <n v="7"/>
    <n v="4"/>
    <x v="0"/>
    <m/>
    <m/>
    <m/>
    <n v="1"/>
    <m/>
    <m/>
    <m/>
    <m/>
    <m/>
    <n v="3"/>
    <n v="3"/>
    <x v="2"/>
    <n v="2"/>
    <m/>
    <m/>
    <x v="0"/>
    <n v="3"/>
    <x v="0"/>
    <m/>
    <m/>
    <n v="23"/>
    <x v="1"/>
    <s v="18/06/2022"/>
    <d v="2022-06-18T00:00:00"/>
    <s v="2022006-7"/>
    <x v="0"/>
  </r>
  <r>
    <x v="131"/>
    <n v="2022006"/>
    <x v="6"/>
    <s v="Lentil"/>
    <m/>
    <x v="1"/>
    <s v="Y"/>
    <x v="1"/>
    <n v="8"/>
    <n v="4"/>
    <x v="0"/>
    <m/>
    <m/>
    <m/>
    <n v="1"/>
    <m/>
    <m/>
    <m/>
    <m/>
    <m/>
    <n v="4"/>
    <n v="3"/>
    <x v="3"/>
    <n v="2"/>
    <m/>
    <n v="5"/>
    <x v="0"/>
    <n v="3"/>
    <x v="0"/>
    <m/>
    <m/>
    <n v="23"/>
    <x v="1"/>
    <s v="18/06/2022"/>
    <d v="2022-06-18T00:00:00"/>
    <s v="2022006-8"/>
    <x v="0"/>
  </r>
  <r>
    <x v="132"/>
    <n v="2022006"/>
    <x v="6"/>
    <s v="Lentil"/>
    <m/>
    <x v="1"/>
    <s v="Y"/>
    <x v="2"/>
    <n v="9"/>
    <n v="5"/>
    <x v="0"/>
    <m/>
    <m/>
    <m/>
    <n v="2"/>
    <m/>
    <m/>
    <m/>
    <m/>
    <m/>
    <n v="1"/>
    <n v="6"/>
    <x v="0"/>
    <n v="3"/>
    <m/>
    <m/>
    <x v="1"/>
    <n v="3"/>
    <x v="0"/>
    <m/>
    <m/>
    <n v="23"/>
    <x v="2"/>
    <s v="14/07/2022"/>
    <d v="2022-07-14T00:00:00"/>
    <s v="2022006-9"/>
    <x v="0"/>
  </r>
  <r>
    <x v="132"/>
    <n v="2022006"/>
    <x v="6"/>
    <s v="Lentil"/>
    <m/>
    <x v="1"/>
    <s v="Y"/>
    <x v="1"/>
    <n v="10"/>
    <n v="5"/>
    <x v="0"/>
    <m/>
    <m/>
    <m/>
    <n v="2"/>
    <m/>
    <m/>
    <m/>
    <m/>
    <m/>
    <n v="2"/>
    <n v="6"/>
    <x v="1"/>
    <n v="3"/>
    <m/>
    <n v="10"/>
    <x v="1"/>
    <n v="3"/>
    <x v="0"/>
    <m/>
    <m/>
    <n v="23"/>
    <x v="2"/>
    <s v="14/07/2022"/>
    <d v="2022-07-14T00:00:00"/>
    <s v="2022006-10"/>
    <x v="0"/>
  </r>
  <r>
    <x v="133"/>
    <n v="2022006"/>
    <x v="6"/>
    <s v="Lentil"/>
    <m/>
    <x v="14"/>
    <s v="N"/>
    <x v="2"/>
    <n v="11"/>
    <n v="6"/>
    <x v="0"/>
    <m/>
    <m/>
    <m/>
    <n v="2"/>
    <m/>
    <m/>
    <m/>
    <m/>
    <m/>
    <n v="3"/>
    <n v="6"/>
    <x v="2"/>
    <n v="3"/>
    <m/>
    <m/>
    <x v="1"/>
    <n v="1"/>
    <x v="0"/>
    <m/>
    <m/>
    <n v="23"/>
    <x v="2"/>
    <s v="14/07/2022"/>
    <d v="2022-07-14T00:00:00"/>
    <s v="2022006-11"/>
    <x v="0"/>
  </r>
  <r>
    <x v="133"/>
    <n v="2022006"/>
    <x v="6"/>
    <s v="Lentil"/>
    <m/>
    <x v="14"/>
    <s v="N"/>
    <x v="1"/>
    <n v="12"/>
    <n v="6"/>
    <x v="0"/>
    <m/>
    <m/>
    <m/>
    <n v="2"/>
    <m/>
    <m/>
    <m/>
    <m/>
    <m/>
    <n v="4"/>
    <n v="6"/>
    <x v="3"/>
    <n v="3"/>
    <m/>
    <n v="12"/>
    <x v="1"/>
    <n v="1"/>
    <x v="0"/>
    <m/>
    <m/>
    <n v="23"/>
    <x v="2"/>
    <s v="14/07/2022"/>
    <d v="2022-07-14T00:00:00"/>
    <s v="2022006-12"/>
    <x v="0"/>
  </r>
  <r>
    <x v="134"/>
    <n v="2022006"/>
    <x v="6"/>
    <s v="Lentil"/>
    <m/>
    <x v="16"/>
    <s v="N"/>
    <x v="2"/>
    <n v="13"/>
    <n v="7"/>
    <x v="0"/>
    <m/>
    <m/>
    <m/>
    <n v="2"/>
    <m/>
    <m/>
    <m/>
    <m/>
    <m/>
    <n v="1"/>
    <n v="7"/>
    <x v="0"/>
    <n v="4"/>
    <m/>
    <m/>
    <x v="1"/>
    <n v="2"/>
    <x v="0"/>
    <m/>
    <m/>
    <n v="23"/>
    <x v="2"/>
    <s v="14/07/2022"/>
    <d v="2022-07-14T00:00:00"/>
    <s v="2022006-13"/>
    <x v="0"/>
  </r>
  <r>
    <x v="134"/>
    <n v="2022006"/>
    <x v="6"/>
    <s v="Lentil"/>
    <m/>
    <x v="16"/>
    <s v="N"/>
    <x v="1"/>
    <n v="14"/>
    <n v="7"/>
    <x v="0"/>
    <m/>
    <m/>
    <m/>
    <n v="2"/>
    <m/>
    <m/>
    <m/>
    <m/>
    <m/>
    <n v="2"/>
    <n v="7"/>
    <x v="1"/>
    <n v="4"/>
    <m/>
    <n v="15"/>
    <x v="1"/>
    <n v="2"/>
    <x v="0"/>
    <m/>
    <m/>
    <n v="23"/>
    <x v="2"/>
    <s v="14/07/2022"/>
    <d v="2022-07-14T00:00:00"/>
    <s v="2022006-14"/>
    <x v="0"/>
  </r>
  <r>
    <x v="135"/>
    <n v="2022006"/>
    <x v="6"/>
    <s v="Lentil"/>
    <m/>
    <x v="15"/>
    <s v="Y"/>
    <x v="2"/>
    <n v="15"/>
    <n v="8"/>
    <x v="0"/>
    <m/>
    <m/>
    <m/>
    <n v="2"/>
    <m/>
    <m/>
    <m/>
    <m/>
    <m/>
    <n v="3"/>
    <n v="7"/>
    <x v="2"/>
    <n v="4"/>
    <m/>
    <m/>
    <x v="1"/>
    <n v="4"/>
    <x v="0"/>
    <m/>
    <m/>
    <n v="23"/>
    <x v="2"/>
    <s v="14/07/2022"/>
    <d v="2022-07-14T00:00:00"/>
    <s v="2022006-15"/>
    <x v="0"/>
  </r>
  <r>
    <x v="135"/>
    <n v="2022006"/>
    <x v="6"/>
    <s v="Lentil"/>
    <m/>
    <x v="15"/>
    <s v="Y"/>
    <x v="1"/>
    <n v="16"/>
    <n v="8"/>
    <x v="0"/>
    <m/>
    <m/>
    <m/>
    <n v="2"/>
    <m/>
    <m/>
    <m/>
    <m/>
    <m/>
    <n v="4"/>
    <n v="7"/>
    <x v="3"/>
    <n v="4"/>
    <m/>
    <n v="13"/>
    <x v="1"/>
    <n v="4"/>
    <x v="0"/>
    <m/>
    <m/>
    <n v="23"/>
    <x v="2"/>
    <s v="14/07/2022"/>
    <d v="2022-07-14T00:00:00"/>
    <s v="2022006-16"/>
    <x v="0"/>
  </r>
  <r>
    <x v="136"/>
    <n v="2022006"/>
    <x v="6"/>
    <s v="Lentil"/>
    <m/>
    <x v="15"/>
    <s v="Y"/>
    <x v="2"/>
    <n v="17"/>
    <n v="9"/>
    <x v="0"/>
    <m/>
    <m/>
    <m/>
    <n v="3"/>
    <m/>
    <m/>
    <m/>
    <m/>
    <m/>
    <n v="1"/>
    <n v="10"/>
    <x v="0"/>
    <n v="5"/>
    <m/>
    <m/>
    <x v="1"/>
    <n v="4"/>
    <x v="0"/>
    <m/>
    <m/>
    <n v="23"/>
    <x v="1"/>
    <s v="18/06/2022"/>
    <d v="2022-06-18T00:00:00"/>
    <s v="2022006-17"/>
    <x v="0"/>
  </r>
  <r>
    <x v="136"/>
    <n v="2022006"/>
    <x v="6"/>
    <s v="Lentil"/>
    <m/>
    <x v="15"/>
    <s v="Y"/>
    <x v="1"/>
    <n v="18"/>
    <n v="9"/>
    <x v="0"/>
    <m/>
    <m/>
    <m/>
    <n v="3"/>
    <m/>
    <m/>
    <m/>
    <m/>
    <m/>
    <n v="2"/>
    <n v="10"/>
    <x v="1"/>
    <n v="5"/>
    <m/>
    <n v="18"/>
    <x v="1"/>
    <n v="4"/>
    <x v="0"/>
    <m/>
    <m/>
    <n v="23"/>
    <x v="1"/>
    <s v="18/06/2022"/>
    <d v="2022-06-18T00:00:00"/>
    <s v="2022006-18"/>
    <x v="0"/>
  </r>
  <r>
    <x v="137"/>
    <n v="2022006"/>
    <x v="6"/>
    <s v="Lentil"/>
    <m/>
    <x v="1"/>
    <s v="Y"/>
    <x v="2"/>
    <n v="19"/>
    <n v="10"/>
    <x v="0"/>
    <m/>
    <m/>
    <m/>
    <n v="3"/>
    <m/>
    <m/>
    <m/>
    <m/>
    <m/>
    <n v="3"/>
    <n v="10"/>
    <x v="2"/>
    <n v="5"/>
    <m/>
    <m/>
    <x v="1"/>
    <n v="3"/>
    <x v="0"/>
    <m/>
    <m/>
    <n v="23"/>
    <x v="1"/>
    <s v="18/06/2022"/>
    <d v="2022-06-18T00:00:00"/>
    <s v="2022006-19"/>
    <x v="0"/>
  </r>
  <r>
    <x v="137"/>
    <n v="2022006"/>
    <x v="6"/>
    <s v="Lentil"/>
    <m/>
    <x v="1"/>
    <s v="Y"/>
    <x v="1"/>
    <n v="20"/>
    <n v="10"/>
    <x v="0"/>
    <m/>
    <m/>
    <m/>
    <n v="3"/>
    <m/>
    <m/>
    <m/>
    <m/>
    <m/>
    <n v="4"/>
    <n v="10"/>
    <x v="3"/>
    <n v="5"/>
    <m/>
    <n v="20"/>
    <x v="1"/>
    <n v="3"/>
    <x v="0"/>
    <m/>
    <m/>
    <n v="23"/>
    <x v="1"/>
    <s v="18/06/2022"/>
    <d v="2022-06-18T00:00:00"/>
    <s v="2022006-20"/>
    <x v="0"/>
  </r>
  <r>
    <x v="138"/>
    <n v="2022006"/>
    <x v="6"/>
    <s v="Lentil"/>
    <m/>
    <x v="14"/>
    <s v="N"/>
    <x v="2"/>
    <n v="21"/>
    <n v="11"/>
    <x v="0"/>
    <m/>
    <m/>
    <m/>
    <n v="3"/>
    <m/>
    <m/>
    <m/>
    <m/>
    <m/>
    <n v="1"/>
    <n v="11"/>
    <x v="0"/>
    <n v="6"/>
    <m/>
    <m/>
    <x v="1"/>
    <n v="1"/>
    <x v="0"/>
    <m/>
    <m/>
    <n v="23"/>
    <x v="1"/>
    <s v="18/06/2022"/>
    <d v="2022-06-18T00:00:00"/>
    <s v="2022006-21"/>
    <x v="0"/>
  </r>
  <r>
    <x v="138"/>
    <n v="2022006"/>
    <x v="6"/>
    <s v="Lentil"/>
    <m/>
    <x v="14"/>
    <s v="N"/>
    <x v="1"/>
    <n v="22"/>
    <n v="11"/>
    <x v="0"/>
    <m/>
    <m/>
    <m/>
    <n v="3"/>
    <m/>
    <m/>
    <m/>
    <m/>
    <m/>
    <n v="2"/>
    <n v="11"/>
    <x v="1"/>
    <n v="6"/>
    <m/>
    <n v="23"/>
    <x v="1"/>
    <n v="1"/>
    <x v="0"/>
    <m/>
    <m/>
    <n v="23"/>
    <x v="1"/>
    <s v="18/06/2022"/>
    <d v="2022-06-18T00:00:00"/>
    <s v="2022006-22"/>
    <x v="0"/>
  </r>
  <r>
    <x v="139"/>
    <n v="2022006"/>
    <x v="6"/>
    <s v="Lentil"/>
    <m/>
    <x v="16"/>
    <s v="N"/>
    <x v="2"/>
    <n v="23"/>
    <n v="12"/>
    <x v="0"/>
    <m/>
    <m/>
    <m/>
    <n v="3"/>
    <m/>
    <m/>
    <m/>
    <m/>
    <m/>
    <n v="3"/>
    <n v="11"/>
    <x v="2"/>
    <n v="6"/>
    <m/>
    <m/>
    <x v="1"/>
    <n v="2"/>
    <x v="0"/>
    <m/>
    <m/>
    <n v="23"/>
    <x v="1"/>
    <s v="18/06/2022"/>
    <d v="2022-06-18T00:00:00"/>
    <s v="2022006-23"/>
    <x v="0"/>
  </r>
  <r>
    <x v="139"/>
    <n v="2022006"/>
    <x v="6"/>
    <s v="Lentil"/>
    <m/>
    <x v="16"/>
    <s v="N"/>
    <x v="1"/>
    <n v="24"/>
    <n v="12"/>
    <x v="0"/>
    <m/>
    <m/>
    <m/>
    <n v="3"/>
    <m/>
    <m/>
    <m/>
    <m/>
    <m/>
    <n v="4"/>
    <n v="11"/>
    <x v="3"/>
    <n v="6"/>
    <m/>
    <n v="21"/>
    <x v="1"/>
    <n v="2"/>
    <x v="0"/>
    <m/>
    <m/>
    <n v="23"/>
    <x v="1"/>
    <s v="18/06/2022"/>
    <d v="2022-06-18T00:00:00"/>
    <s v="2022006-24"/>
    <x v="0"/>
  </r>
  <r>
    <x v="140"/>
    <n v="2022006"/>
    <x v="6"/>
    <s v="Lentil"/>
    <m/>
    <x v="16"/>
    <s v="N"/>
    <x v="2"/>
    <n v="25"/>
    <n v="13"/>
    <x v="0"/>
    <m/>
    <m/>
    <m/>
    <n v="4"/>
    <m/>
    <m/>
    <m/>
    <m/>
    <m/>
    <n v="1"/>
    <n v="14"/>
    <x v="0"/>
    <n v="7"/>
    <m/>
    <m/>
    <x v="0"/>
    <n v="2"/>
    <x v="0"/>
    <m/>
    <m/>
    <n v="23"/>
    <x v="2"/>
    <s v="14/07/2022"/>
    <d v="2022-07-14T00:00:00"/>
    <s v="2022006-25"/>
    <x v="0"/>
  </r>
  <r>
    <x v="140"/>
    <n v="2022006"/>
    <x v="6"/>
    <s v="Lentil"/>
    <m/>
    <x v="16"/>
    <s v="N"/>
    <x v="1"/>
    <n v="26"/>
    <n v="13"/>
    <x v="0"/>
    <m/>
    <m/>
    <m/>
    <n v="4"/>
    <m/>
    <m/>
    <m/>
    <m/>
    <m/>
    <n v="2"/>
    <n v="14"/>
    <x v="1"/>
    <n v="7"/>
    <m/>
    <n v="26"/>
    <x v="0"/>
    <n v="2"/>
    <x v="0"/>
    <m/>
    <m/>
    <n v="23"/>
    <x v="2"/>
    <s v="14/07/2022"/>
    <d v="2022-07-14T00:00:00"/>
    <s v="2022006-26"/>
    <x v="0"/>
  </r>
  <r>
    <x v="141"/>
    <n v="2022006"/>
    <x v="6"/>
    <s v="Lentil"/>
    <m/>
    <x v="15"/>
    <s v="Y"/>
    <x v="2"/>
    <n v="27"/>
    <n v="14"/>
    <x v="0"/>
    <m/>
    <m/>
    <m/>
    <n v="4"/>
    <m/>
    <m/>
    <m/>
    <m/>
    <m/>
    <n v="3"/>
    <n v="14"/>
    <x v="2"/>
    <n v="7"/>
    <m/>
    <m/>
    <x v="0"/>
    <n v="4"/>
    <x v="0"/>
    <m/>
    <m/>
    <n v="23"/>
    <x v="2"/>
    <s v="14/07/2022"/>
    <d v="2022-07-14T00:00:00"/>
    <s v="2022006-27"/>
    <x v="0"/>
  </r>
  <r>
    <x v="141"/>
    <n v="2022006"/>
    <x v="6"/>
    <s v="Lentil"/>
    <m/>
    <x v="15"/>
    <s v="Y"/>
    <x v="1"/>
    <n v="28"/>
    <n v="14"/>
    <x v="0"/>
    <m/>
    <m/>
    <m/>
    <n v="4"/>
    <m/>
    <m/>
    <m/>
    <m/>
    <m/>
    <n v="4"/>
    <n v="14"/>
    <x v="3"/>
    <n v="7"/>
    <m/>
    <n v="28"/>
    <x v="0"/>
    <n v="4"/>
    <x v="0"/>
    <m/>
    <m/>
    <n v="23"/>
    <x v="2"/>
    <s v="14/07/2022"/>
    <d v="2022-07-14T00:00:00"/>
    <s v="2022006-28"/>
    <x v="0"/>
  </r>
  <r>
    <x v="142"/>
    <n v="2022006"/>
    <x v="6"/>
    <s v="Lentil"/>
    <m/>
    <x v="1"/>
    <s v="Y"/>
    <x v="2"/>
    <n v="29"/>
    <n v="15"/>
    <x v="0"/>
    <m/>
    <m/>
    <m/>
    <n v="4"/>
    <m/>
    <m/>
    <m/>
    <m/>
    <m/>
    <n v="1"/>
    <n v="15"/>
    <x v="0"/>
    <n v="8"/>
    <m/>
    <m/>
    <x v="0"/>
    <n v="3"/>
    <x v="0"/>
    <m/>
    <m/>
    <n v="23"/>
    <x v="2"/>
    <s v="14/07/2022"/>
    <d v="2022-07-14T00:00:00"/>
    <s v="2022006-29"/>
    <x v="0"/>
  </r>
  <r>
    <x v="142"/>
    <n v="2022006"/>
    <x v="6"/>
    <s v="Lentil"/>
    <m/>
    <x v="1"/>
    <s v="Y"/>
    <x v="1"/>
    <n v="30"/>
    <n v="15"/>
    <x v="0"/>
    <m/>
    <m/>
    <m/>
    <n v="4"/>
    <m/>
    <m/>
    <m/>
    <m/>
    <m/>
    <n v="2"/>
    <n v="15"/>
    <x v="1"/>
    <n v="8"/>
    <m/>
    <n v="31"/>
    <x v="0"/>
    <n v="3"/>
    <x v="0"/>
    <m/>
    <m/>
    <n v="23"/>
    <x v="2"/>
    <s v="14/07/2022"/>
    <d v="2022-07-14T00:00:00"/>
    <s v="2022006-30"/>
    <x v="0"/>
  </r>
  <r>
    <x v="143"/>
    <n v="2022006"/>
    <x v="6"/>
    <s v="Lentil"/>
    <m/>
    <x v="14"/>
    <s v="N"/>
    <x v="2"/>
    <n v="31"/>
    <n v="16"/>
    <x v="0"/>
    <m/>
    <m/>
    <m/>
    <n v="4"/>
    <m/>
    <m/>
    <m/>
    <m/>
    <m/>
    <n v="3"/>
    <n v="15"/>
    <x v="2"/>
    <n v="8"/>
    <m/>
    <m/>
    <x v="0"/>
    <n v="1"/>
    <x v="0"/>
    <m/>
    <m/>
    <n v="23"/>
    <x v="2"/>
    <s v="14/07/2022"/>
    <d v="2022-07-14T00:00:00"/>
    <s v="2022006-31"/>
    <x v="0"/>
  </r>
  <r>
    <x v="143"/>
    <n v="2022006"/>
    <x v="6"/>
    <s v="Lentil"/>
    <m/>
    <x v="14"/>
    <s v="N"/>
    <x v="1"/>
    <n v="32"/>
    <n v="16"/>
    <x v="0"/>
    <m/>
    <m/>
    <m/>
    <n v="4"/>
    <m/>
    <m/>
    <m/>
    <m/>
    <m/>
    <n v="4"/>
    <n v="15"/>
    <x v="3"/>
    <n v="8"/>
    <m/>
    <n v="29"/>
    <x v="0"/>
    <n v="1"/>
    <x v="0"/>
    <m/>
    <m/>
    <n v="23"/>
    <x v="2"/>
    <s v="14/07/2022"/>
    <d v="2022-07-14T00:00:00"/>
    <s v="2022006-32"/>
    <x v="0"/>
  </r>
  <r>
    <x v="137"/>
    <n v="2022006"/>
    <x v="6"/>
    <s v="Lentil"/>
    <m/>
    <x v="1"/>
    <s v="Y"/>
    <x v="2"/>
    <n v="33"/>
    <n v="17"/>
    <x v="1"/>
    <m/>
    <m/>
    <m/>
    <n v="5"/>
    <m/>
    <m/>
    <m/>
    <m/>
    <m/>
    <n v="1"/>
    <n v="18"/>
    <x v="0"/>
    <n v="9"/>
    <m/>
    <m/>
    <x v="1"/>
    <n v="3"/>
    <x v="0"/>
    <m/>
    <m/>
    <n v="23"/>
    <x v="1"/>
    <s v="18/06/2022"/>
    <d v="2022-06-18T00:00:00"/>
    <s v="2022006-33"/>
    <x v="0"/>
  </r>
  <r>
    <x v="137"/>
    <n v="2022006"/>
    <x v="6"/>
    <s v="Lentil"/>
    <m/>
    <x v="1"/>
    <s v="Y"/>
    <x v="1"/>
    <n v="34"/>
    <n v="17"/>
    <x v="1"/>
    <m/>
    <m/>
    <m/>
    <n v="5"/>
    <m/>
    <m/>
    <m/>
    <m/>
    <m/>
    <n v="2"/>
    <n v="18"/>
    <x v="1"/>
    <n v="9"/>
    <m/>
    <n v="34"/>
    <x v="1"/>
    <n v="3"/>
    <x v="0"/>
    <m/>
    <m/>
    <n v="23"/>
    <x v="1"/>
    <s v="18/06/2022"/>
    <d v="2022-06-18T00:00:00"/>
    <s v="2022006-34"/>
    <x v="0"/>
  </r>
  <r>
    <x v="139"/>
    <n v="2022006"/>
    <x v="6"/>
    <s v="Lentil"/>
    <m/>
    <x v="16"/>
    <s v="N"/>
    <x v="2"/>
    <n v="35"/>
    <n v="18"/>
    <x v="1"/>
    <m/>
    <m/>
    <m/>
    <n v="5"/>
    <m/>
    <m/>
    <m/>
    <m/>
    <m/>
    <n v="3"/>
    <n v="18"/>
    <x v="2"/>
    <n v="9"/>
    <m/>
    <m/>
    <x v="1"/>
    <n v="2"/>
    <x v="0"/>
    <m/>
    <m/>
    <n v="23"/>
    <x v="1"/>
    <s v="18/06/2022"/>
    <d v="2022-06-18T00:00:00"/>
    <s v="2022006-35"/>
    <x v="0"/>
  </r>
  <r>
    <x v="139"/>
    <n v="2022006"/>
    <x v="6"/>
    <s v="Lentil"/>
    <m/>
    <x v="16"/>
    <s v="N"/>
    <x v="1"/>
    <n v="36"/>
    <n v="18"/>
    <x v="1"/>
    <m/>
    <m/>
    <m/>
    <n v="5"/>
    <m/>
    <m/>
    <m/>
    <m/>
    <m/>
    <n v="4"/>
    <n v="18"/>
    <x v="3"/>
    <n v="9"/>
    <m/>
    <n v="36"/>
    <x v="1"/>
    <n v="2"/>
    <x v="0"/>
    <m/>
    <m/>
    <n v="23"/>
    <x v="1"/>
    <s v="18/06/2022"/>
    <d v="2022-06-18T00:00:00"/>
    <s v="2022006-36"/>
    <x v="0"/>
  </r>
  <r>
    <x v="138"/>
    <n v="2022006"/>
    <x v="6"/>
    <s v="Lentil"/>
    <m/>
    <x v="14"/>
    <s v="N"/>
    <x v="2"/>
    <n v="37"/>
    <n v="19"/>
    <x v="1"/>
    <m/>
    <m/>
    <m/>
    <n v="5"/>
    <m/>
    <m/>
    <m/>
    <m/>
    <m/>
    <n v="1"/>
    <n v="19"/>
    <x v="0"/>
    <n v="10"/>
    <m/>
    <m/>
    <x v="1"/>
    <n v="1"/>
    <x v="0"/>
    <m/>
    <m/>
    <n v="23"/>
    <x v="1"/>
    <s v="18/06/2022"/>
    <d v="2022-06-18T00:00:00"/>
    <s v="2022006-37"/>
    <x v="0"/>
  </r>
  <r>
    <x v="138"/>
    <n v="2022006"/>
    <x v="6"/>
    <s v="Lentil"/>
    <m/>
    <x v="14"/>
    <s v="N"/>
    <x v="1"/>
    <n v="38"/>
    <n v="19"/>
    <x v="1"/>
    <m/>
    <m/>
    <m/>
    <n v="5"/>
    <m/>
    <m/>
    <m/>
    <m/>
    <m/>
    <n v="2"/>
    <n v="19"/>
    <x v="1"/>
    <n v="10"/>
    <m/>
    <n v="39"/>
    <x v="1"/>
    <n v="1"/>
    <x v="0"/>
    <m/>
    <m/>
    <n v="23"/>
    <x v="1"/>
    <s v="18/06/2022"/>
    <d v="2022-06-18T00:00:00"/>
    <s v="2022006-38"/>
    <x v="0"/>
  </r>
  <r>
    <x v="136"/>
    <n v="2022006"/>
    <x v="6"/>
    <s v="Lentil"/>
    <m/>
    <x v="15"/>
    <s v="Y"/>
    <x v="2"/>
    <n v="39"/>
    <n v="20"/>
    <x v="1"/>
    <m/>
    <m/>
    <m/>
    <n v="5"/>
    <m/>
    <m/>
    <m/>
    <m/>
    <m/>
    <n v="3"/>
    <n v="19"/>
    <x v="2"/>
    <n v="10"/>
    <m/>
    <m/>
    <x v="1"/>
    <n v="4"/>
    <x v="0"/>
    <m/>
    <m/>
    <n v="23"/>
    <x v="1"/>
    <s v="18/06/2022"/>
    <d v="2022-06-18T00:00:00"/>
    <s v="2022006-39"/>
    <x v="0"/>
  </r>
  <r>
    <x v="136"/>
    <n v="2022006"/>
    <x v="6"/>
    <s v="Lentil"/>
    <m/>
    <x v="15"/>
    <s v="Y"/>
    <x v="1"/>
    <n v="40"/>
    <n v="20"/>
    <x v="1"/>
    <m/>
    <m/>
    <m/>
    <n v="5"/>
    <m/>
    <m/>
    <m/>
    <m/>
    <m/>
    <n v="4"/>
    <n v="19"/>
    <x v="3"/>
    <n v="10"/>
    <m/>
    <n v="37"/>
    <x v="1"/>
    <n v="4"/>
    <x v="0"/>
    <m/>
    <m/>
    <n v="23"/>
    <x v="1"/>
    <s v="18/06/2022"/>
    <d v="2022-06-18T00:00:00"/>
    <s v="2022006-40"/>
    <x v="0"/>
  </r>
  <r>
    <x v="129"/>
    <n v="2022006"/>
    <x v="6"/>
    <s v="Lentil"/>
    <m/>
    <x v="16"/>
    <s v="N"/>
    <x v="2"/>
    <n v="41"/>
    <n v="21"/>
    <x v="1"/>
    <m/>
    <m/>
    <m/>
    <n v="6"/>
    <m/>
    <m/>
    <m/>
    <m/>
    <m/>
    <n v="1"/>
    <n v="22"/>
    <x v="0"/>
    <n v="11"/>
    <m/>
    <m/>
    <x v="0"/>
    <n v="2"/>
    <x v="0"/>
    <m/>
    <m/>
    <n v="23"/>
    <x v="1"/>
    <s v="18/06/2022"/>
    <d v="2022-06-18T00:00:00"/>
    <s v="2022006-41"/>
    <x v="0"/>
  </r>
  <r>
    <x v="129"/>
    <n v="2022006"/>
    <x v="6"/>
    <s v="Lentil"/>
    <m/>
    <x v="16"/>
    <s v="N"/>
    <x v="1"/>
    <n v="42"/>
    <n v="21"/>
    <x v="1"/>
    <m/>
    <m/>
    <m/>
    <n v="6"/>
    <m/>
    <m/>
    <m/>
    <m/>
    <m/>
    <n v="2"/>
    <n v="22"/>
    <x v="1"/>
    <n v="11"/>
    <m/>
    <n v="42"/>
    <x v="0"/>
    <n v="2"/>
    <x v="0"/>
    <m/>
    <m/>
    <n v="23"/>
    <x v="1"/>
    <s v="18/06/2022"/>
    <d v="2022-06-18T00:00:00"/>
    <s v="2022006-42"/>
    <x v="0"/>
  </r>
  <r>
    <x v="131"/>
    <n v="2022006"/>
    <x v="6"/>
    <s v="Lentil"/>
    <m/>
    <x v="1"/>
    <s v="Y"/>
    <x v="2"/>
    <n v="43"/>
    <n v="22"/>
    <x v="1"/>
    <m/>
    <m/>
    <m/>
    <n v="6"/>
    <m/>
    <m/>
    <m/>
    <m/>
    <m/>
    <n v="3"/>
    <n v="22"/>
    <x v="2"/>
    <n v="11"/>
    <m/>
    <m/>
    <x v="0"/>
    <n v="3"/>
    <x v="0"/>
    <m/>
    <m/>
    <n v="23"/>
    <x v="1"/>
    <s v="18/06/2022"/>
    <d v="2022-06-18T00:00:00"/>
    <s v="2022006-43"/>
    <x v="0"/>
  </r>
  <r>
    <x v="131"/>
    <n v="2022006"/>
    <x v="6"/>
    <s v="Lentil"/>
    <m/>
    <x v="1"/>
    <s v="Y"/>
    <x v="1"/>
    <n v="44"/>
    <n v="22"/>
    <x v="1"/>
    <m/>
    <m/>
    <m/>
    <n v="6"/>
    <m/>
    <m/>
    <m/>
    <m/>
    <m/>
    <n v="4"/>
    <n v="22"/>
    <x v="3"/>
    <n v="11"/>
    <m/>
    <n v="44"/>
    <x v="0"/>
    <n v="3"/>
    <x v="0"/>
    <m/>
    <m/>
    <n v="23"/>
    <x v="1"/>
    <s v="18/06/2022"/>
    <d v="2022-06-18T00:00:00"/>
    <s v="2022006-44"/>
    <x v="0"/>
  </r>
  <r>
    <x v="130"/>
    <n v="2022006"/>
    <x v="6"/>
    <s v="Lentil"/>
    <m/>
    <x v="15"/>
    <s v="Y"/>
    <x v="2"/>
    <n v="45"/>
    <n v="23"/>
    <x v="1"/>
    <m/>
    <m/>
    <m/>
    <n v="6"/>
    <m/>
    <m/>
    <m/>
    <m/>
    <m/>
    <n v="1"/>
    <n v="23"/>
    <x v="0"/>
    <n v="12"/>
    <m/>
    <m/>
    <x v="0"/>
    <n v="4"/>
    <x v="0"/>
    <m/>
    <m/>
    <n v="23"/>
    <x v="1"/>
    <s v="18/06/2022"/>
    <d v="2022-06-18T00:00:00"/>
    <s v="2022006-45"/>
    <x v="0"/>
  </r>
  <r>
    <x v="130"/>
    <n v="2022006"/>
    <x v="6"/>
    <s v="Lentil"/>
    <m/>
    <x v="15"/>
    <s v="Y"/>
    <x v="1"/>
    <n v="46"/>
    <n v="23"/>
    <x v="1"/>
    <m/>
    <m/>
    <m/>
    <n v="6"/>
    <m/>
    <m/>
    <m/>
    <m/>
    <m/>
    <n v="2"/>
    <n v="23"/>
    <x v="1"/>
    <n v="12"/>
    <m/>
    <n v="47"/>
    <x v="0"/>
    <n v="4"/>
    <x v="0"/>
    <m/>
    <m/>
    <n v="23"/>
    <x v="1"/>
    <s v="18/06/2022"/>
    <d v="2022-06-18T00:00:00"/>
    <s v="2022006-46"/>
    <x v="0"/>
  </r>
  <r>
    <x v="128"/>
    <n v="2022006"/>
    <x v="6"/>
    <s v="Lentil"/>
    <m/>
    <x v="14"/>
    <s v="N"/>
    <x v="2"/>
    <n v="47"/>
    <n v="24"/>
    <x v="1"/>
    <m/>
    <m/>
    <m/>
    <n v="6"/>
    <m/>
    <m/>
    <m/>
    <m/>
    <m/>
    <n v="3"/>
    <n v="23"/>
    <x v="2"/>
    <n v="12"/>
    <m/>
    <m/>
    <x v="0"/>
    <n v="1"/>
    <x v="0"/>
    <m/>
    <m/>
    <n v="23"/>
    <x v="1"/>
    <s v="18/06/2022"/>
    <d v="2022-06-18T00:00:00"/>
    <s v="2022006-47"/>
    <x v="0"/>
  </r>
  <r>
    <x v="128"/>
    <n v="2022006"/>
    <x v="6"/>
    <s v="Lentil"/>
    <m/>
    <x v="14"/>
    <s v="N"/>
    <x v="1"/>
    <n v="48"/>
    <n v="24"/>
    <x v="1"/>
    <m/>
    <m/>
    <m/>
    <n v="6"/>
    <m/>
    <m/>
    <m/>
    <m/>
    <m/>
    <n v="4"/>
    <n v="23"/>
    <x v="3"/>
    <n v="12"/>
    <m/>
    <n v="45"/>
    <x v="0"/>
    <n v="1"/>
    <x v="0"/>
    <m/>
    <m/>
    <n v="23"/>
    <x v="1"/>
    <s v="18/06/2022"/>
    <d v="2022-06-18T00:00:00"/>
    <s v="2022006-48"/>
    <x v="0"/>
  </r>
  <r>
    <x v="141"/>
    <n v="2022006"/>
    <x v="6"/>
    <s v="Lentil"/>
    <m/>
    <x v="15"/>
    <s v="Y"/>
    <x v="2"/>
    <n v="49"/>
    <n v="25"/>
    <x v="1"/>
    <m/>
    <m/>
    <m/>
    <n v="7"/>
    <m/>
    <m/>
    <m/>
    <m/>
    <m/>
    <n v="1"/>
    <n v="26"/>
    <x v="0"/>
    <n v="13"/>
    <m/>
    <m/>
    <x v="0"/>
    <n v="4"/>
    <x v="0"/>
    <m/>
    <m/>
    <n v="23"/>
    <x v="2"/>
    <s v="14/07/2022"/>
    <d v="2022-07-14T00:00:00"/>
    <s v="2022006-49"/>
    <x v="0"/>
  </r>
  <r>
    <x v="141"/>
    <n v="2022006"/>
    <x v="6"/>
    <s v="Lentil"/>
    <m/>
    <x v="15"/>
    <s v="Y"/>
    <x v="1"/>
    <n v="50"/>
    <n v="25"/>
    <x v="1"/>
    <m/>
    <m/>
    <m/>
    <n v="7"/>
    <m/>
    <m/>
    <m/>
    <m/>
    <m/>
    <n v="2"/>
    <n v="26"/>
    <x v="1"/>
    <n v="13"/>
    <m/>
    <n v="50"/>
    <x v="0"/>
    <n v="4"/>
    <x v="0"/>
    <m/>
    <m/>
    <n v="23"/>
    <x v="2"/>
    <s v="14/07/2022"/>
    <d v="2022-07-14T00:00:00"/>
    <s v="2022006-50"/>
    <x v="0"/>
  </r>
  <r>
    <x v="143"/>
    <n v="2022006"/>
    <x v="6"/>
    <s v="Lentil"/>
    <m/>
    <x v="14"/>
    <s v="N"/>
    <x v="2"/>
    <n v="51"/>
    <n v="26"/>
    <x v="1"/>
    <m/>
    <m/>
    <m/>
    <n v="7"/>
    <m/>
    <m/>
    <m/>
    <m/>
    <m/>
    <n v="3"/>
    <n v="26"/>
    <x v="2"/>
    <n v="13"/>
    <m/>
    <m/>
    <x v="0"/>
    <n v="1"/>
    <x v="0"/>
    <m/>
    <m/>
    <n v="23"/>
    <x v="2"/>
    <s v="14/07/2022"/>
    <d v="2022-07-14T00:00:00"/>
    <s v="2022006-51"/>
    <x v="0"/>
  </r>
  <r>
    <x v="143"/>
    <n v="2022006"/>
    <x v="6"/>
    <s v="Lentil"/>
    <m/>
    <x v="14"/>
    <s v="N"/>
    <x v="1"/>
    <n v="52"/>
    <n v="26"/>
    <x v="1"/>
    <m/>
    <m/>
    <m/>
    <n v="7"/>
    <m/>
    <m/>
    <m/>
    <m/>
    <m/>
    <n v="4"/>
    <n v="26"/>
    <x v="3"/>
    <n v="13"/>
    <m/>
    <n v="52"/>
    <x v="0"/>
    <n v="1"/>
    <x v="0"/>
    <m/>
    <m/>
    <n v="23"/>
    <x v="2"/>
    <s v="14/07/2022"/>
    <d v="2022-07-14T00:00:00"/>
    <s v="2022006-52"/>
    <x v="0"/>
  </r>
  <r>
    <x v="140"/>
    <n v="2022006"/>
    <x v="6"/>
    <s v="Lentil"/>
    <m/>
    <x v="16"/>
    <s v="N"/>
    <x v="2"/>
    <n v="53"/>
    <n v="27"/>
    <x v="1"/>
    <m/>
    <m/>
    <m/>
    <n v="7"/>
    <m/>
    <m/>
    <m/>
    <m/>
    <m/>
    <n v="1"/>
    <n v="27"/>
    <x v="0"/>
    <n v="14"/>
    <m/>
    <m/>
    <x v="0"/>
    <n v="2"/>
    <x v="0"/>
    <m/>
    <m/>
    <n v="23"/>
    <x v="2"/>
    <s v="14/07/2022"/>
    <d v="2022-07-14T00:00:00"/>
    <s v="2022006-53"/>
    <x v="0"/>
  </r>
  <r>
    <x v="140"/>
    <n v="2022006"/>
    <x v="6"/>
    <s v="Lentil"/>
    <m/>
    <x v="16"/>
    <s v="N"/>
    <x v="1"/>
    <n v="54"/>
    <n v="27"/>
    <x v="1"/>
    <m/>
    <m/>
    <m/>
    <n v="7"/>
    <m/>
    <m/>
    <m/>
    <m/>
    <m/>
    <n v="2"/>
    <n v="27"/>
    <x v="1"/>
    <n v="14"/>
    <m/>
    <n v="55"/>
    <x v="0"/>
    <n v="2"/>
    <x v="0"/>
    <m/>
    <m/>
    <n v="23"/>
    <x v="2"/>
    <s v="14/07/2022"/>
    <d v="2022-07-14T00:00:00"/>
    <s v="2022006-54"/>
    <x v="0"/>
  </r>
  <r>
    <x v="142"/>
    <n v="2022006"/>
    <x v="6"/>
    <s v="Lentil"/>
    <m/>
    <x v="1"/>
    <s v="Y"/>
    <x v="2"/>
    <n v="55"/>
    <n v="28"/>
    <x v="1"/>
    <m/>
    <m/>
    <m/>
    <n v="7"/>
    <m/>
    <m/>
    <m/>
    <m/>
    <m/>
    <n v="3"/>
    <n v="27"/>
    <x v="2"/>
    <n v="14"/>
    <m/>
    <m/>
    <x v="0"/>
    <n v="3"/>
    <x v="0"/>
    <m/>
    <m/>
    <n v="23"/>
    <x v="2"/>
    <s v="14/07/2022"/>
    <d v="2022-07-14T00:00:00"/>
    <s v="2022006-55"/>
    <x v="0"/>
  </r>
  <r>
    <x v="142"/>
    <n v="2022006"/>
    <x v="6"/>
    <s v="Lentil"/>
    <m/>
    <x v="1"/>
    <s v="Y"/>
    <x v="1"/>
    <n v="56"/>
    <n v="28"/>
    <x v="1"/>
    <m/>
    <m/>
    <m/>
    <n v="7"/>
    <m/>
    <m/>
    <m/>
    <m/>
    <m/>
    <n v="4"/>
    <n v="27"/>
    <x v="3"/>
    <n v="14"/>
    <m/>
    <n v="53"/>
    <x v="0"/>
    <n v="3"/>
    <x v="0"/>
    <m/>
    <m/>
    <n v="23"/>
    <x v="2"/>
    <s v="14/07/2022"/>
    <d v="2022-07-14T00:00:00"/>
    <s v="2022006-56"/>
    <x v="0"/>
  </r>
  <r>
    <x v="133"/>
    <n v="2022006"/>
    <x v="6"/>
    <s v="Lentil"/>
    <m/>
    <x v="14"/>
    <s v="N"/>
    <x v="2"/>
    <n v="57"/>
    <n v="29"/>
    <x v="1"/>
    <m/>
    <m/>
    <m/>
    <n v="8"/>
    <m/>
    <m/>
    <m/>
    <m/>
    <m/>
    <n v="1"/>
    <n v="30"/>
    <x v="0"/>
    <n v="15"/>
    <m/>
    <m/>
    <x v="1"/>
    <n v="1"/>
    <x v="0"/>
    <m/>
    <m/>
    <n v="23"/>
    <x v="2"/>
    <s v="14/07/2022"/>
    <d v="2022-07-14T00:00:00"/>
    <s v="2022006-57"/>
    <x v="0"/>
  </r>
  <r>
    <x v="133"/>
    <n v="2022006"/>
    <x v="6"/>
    <s v="Lentil"/>
    <m/>
    <x v="14"/>
    <s v="N"/>
    <x v="1"/>
    <n v="58"/>
    <n v="29"/>
    <x v="1"/>
    <m/>
    <m/>
    <m/>
    <n v="8"/>
    <m/>
    <m/>
    <m/>
    <m/>
    <m/>
    <n v="2"/>
    <n v="30"/>
    <x v="1"/>
    <n v="15"/>
    <m/>
    <n v="58"/>
    <x v="1"/>
    <n v="1"/>
    <x v="0"/>
    <m/>
    <m/>
    <n v="23"/>
    <x v="2"/>
    <s v="14/07/2022"/>
    <d v="2022-07-14T00:00:00"/>
    <s v="2022006-58"/>
    <x v="0"/>
  </r>
  <r>
    <x v="135"/>
    <n v="2022006"/>
    <x v="6"/>
    <s v="Lentil"/>
    <m/>
    <x v="15"/>
    <s v="Y"/>
    <x v="2"/>
    <n v="59"/>
    <n v="30"/>
    <x v="1"/>
    <m/>
    <m/>
    <m/>
    <n v="8"/>
    <m/>
    <m/>
    <m/>
    <m/>
    <m/>
    <n v="3"/>
    <n v="30"/>
    <x v="2"/>
    <n v="15"/>
    <m/>
    <m/>
    <x v="1"/>
    <n v="4"/>
    <x v="0"/>
    <m/>
    <m/>
    <n v="23"/>
    <x v="2"/>
    <s v="14/07/2022"/>
    <d v="2022-07-14T00:00:00"/>
    <s v="2022006-59"/>
    <x v="0"/>
  </r>
  <r>
    <x v="135"/>
    <n v="2022006"/>
    <x v="6"/>
    <s v="Lentil"/>
    <m/>
    <x v="15"/>
    <s v="Y"/>
    <x v="1"/>
    <n v="60"/>
    <n v="30"/>
    <x v="1"/>
    <m/>
    <m/>
    <m/>
    <n v="8"/>
    <m/>
    <m/>
    <m/>
    <m/>
    <m/>
    <n v="4"/>
    <n v="30"/>
    <x v="3"/>
    <n v="15"/>
    <m/>
    <n v="60"/>
    <x v="1"/>
    <n v="4"/>
    <x v="0"/>
    <m/>
    <m/>
    <n v="23"/>
    <x v="2"/>
    <s v="14/07/2022"/>
    <d v="2022-07-14T00:00:00"/>
    <s v="2022006-60"/>
    <x v="0"/>
  </r>
  <r>
    <x v="132"/>
    <n v="2022006"/>
    <x v="6"/>
    <s v="Lentil"/>
    <m/>
    <x v="1"/>
    <s v="Y"/>
    <x v="2"/>
    <n v="61"/>
    <n v="31"/>
    <x v="1"/>
    <m/>
    <m/>
    <m/>
    <n v="8"/>
    <m/>
    <m/>
    <m/>
    <m/>
    <m/>
    <n v="1"/>
    <n v="31"/>
    <x v="0"/>
    <n v="16"/>
    <m/>
    <m/>
    <x v="1"/>
    <n v="3"/>
    <x v="0"/>
    <m/>
    <m/>
    <n v="23"/>
    <x v="2"/>
    <s v="14/07/2022"/>
    <d v="2022-07-14T00:00:00"/>
    <s v="2022006-61"/>
    <x v="0"/>
  </r>
  <r>
    <x v="132"/>
    <n v="2022006"/>
    <x v="6"/>
    <s v="Lentil"/>
    <m/>
    <x v="1"/>
    <s v="Y"/>
    <x v="1"/>
    <n v="62"/>
    <n v="31"/>
    <x v="1"/>
    <m/>
    <m/>
    <m/>
    <n v="8"/>
    <m/>
    <m/>
    <m/>
    <m/>
    <m/>
    <n v="2"/>
    <n v="31"/>
    <x v="1"/>
    <n v="16"/>
    <m/>
    <n v="63"/>
    <x v="1"/>
    <n v="3"/>
    <x v="0"/>
    <m/>
    <m/>
    <n v="23"/>
    <x v="2"/>
    <s v="14/07/2022"/>
    <d v="2022-07-14T00:00:00"/>
    <s v="2022006-62"/>
    <x v="0"/>
  </r>
  <r>
    <x v="134"/>
    <n v="2022006"/>
    <x v="6"/>
    <s v="Lentil"/>
    <m/>
    <x v="16"/>
    <s v="N"/>
    <x v="2"/>
    <n v="63"/>
    <n v="32"/>
    <x v="1"/>
    <m/>
    <m/>
    <m/>
    <n v="8"/>
    <m/>
    <m/>
    <m/>
    <m/>
    <m/>
    <n v="3"/>
    <n v="31"/>
    <x v="2"/>
    <n v="16"/>
    <m/>
    <m/>
    <x v="1"/>
    <n v="2"/>
    <x v="0"/>
    <m/>
    <m/>
    <n v="23"/>
    <x v="2"/>
    <s v="14/07/2022"/>
    <d v="2022-07-14T00:00:00"/>
    <s v="2022006-63"/>
    <x v="0"/>
  </r>
  <r>
    <x v="134"/>
    <n v="2022006"/>
    <x v="6"/>
    <s v="Lentil"/>
    <m/>
    <x v="16"/>
    <s v="N"/>
    <x v="1"/>
    <n v="64"/>
    <n v="32"/>
    <x v="1"/>
    <m/>
    <m/>
    <m/>
    <n v="8"/>
    <m/>
    <m/>
    <m/>
    <m/>
    <m/>
    <n v="4"/>
    <n v="31"/>
    <x v="3"/>
    <n v="16"/>
    <m/>
    <n v="61"/>
    <x v="1"/>
    <n v="2"/>
    <x v="0"/>
    <m/>
    <m/>
    <n v="23"/>
    <x v="2"/>
    <s v="14/07/2022"/>
    <d v="2022-07-14T00:00:00"/>
    <s v="2022006-64"/>
    <x v="0"/>
  </r>
  <r>
    <x v="143"/>
    <n v="2022006"/>
    <x v="6"/>
    <s v="Lentil"/>
    <m/>
    <x v="14"/>
    <s v="N"/>
    <x v="2"/>
    <n v="65"/>
    <n v="33"/>
    <x v="2"/>
    <m/>
    <m/>
    <m/>
    <n v="9"/>
    <m/>
    <m/>
    <m/>
    <m/>
    <m/>
    <n v="1"/>
    <n v="34"/>
    <x v="0"/>
    <n v="17"/>
    <m/>
    <m/>
    <x v="0"/>
    <n v="1"/>
    <x v="0"/>
    <m/>
    <m/>
    <n v="23"/>
    <x v="2"/>
    <s v="14/07/2022"/>
    <d v="2022-07-14T00:00:00"/>
    <s v="2022006-65"/>
    <x v="0"/>
  </r>
  <r>
    <x v="143"/>
    <n v="2022006"/>
    <x v="6"/>
    <s v="Lentil"/>
    <m/>
    <x v="14"/>
    <s v="N"/>
    <x v="1"/>
    <n v="66"/>
    <n v="33"/>
    <x v="2"/>
    <m/>
    <m/>
    <m/>
    <n v="9"/>
    <m/>
    <m/>
    <m/>
    <m/>
    <m/>
    <n v="2"/>
    <n v="34"/>
    <x v="1"/>
    <n v="17"/>
    <m/>
    <n v="66"/>
    <x v="0"/>
    <n v="1"/>
    <x v="0"/>
    <m/>
    <m/>
    <n v="23"/>
    <x v="2"/>
    <s v="14/07/2022"/>
    <d v="2022-07-14T00:00:00"/>
    <s v="2022006-66"/>
    <x v="0"/>
  </r>
  <r>
    <x v="140"/>
    <n v="2022006"/>
    <x v="6"/>
    <s v="Lentil"/>
    <m/>
    <x v="16"/>
    <s v="N"/>
    <x v="2"/>
    <n v="67"/>
    <n v="34"/>
    <x v="2"/>
    <m/>
    <m/>
    <m/>
    <n v="9"/>
    <m/>
    <m/>
    <m/>
    <m/>
    <m/>
    <n v="3"/>
    <n v="34"/>
    <x v="2"/>
    <n v="17"/>
    <m/>
    <m/>
    <x v="0"/>
    <n v="2"/>
    <x v="0"/>
    <m/>
    <m/>
    <n v="23"/>
    <x v="2"/>
    <s v="14/07/2022"/>
    <d v="2022-07-14T00:00:00"/>
    <s v="2022006-67"/>
    <x v="0"/>
  </r>
  <r>
    <x v="140"/>
    <n v="2022006"/>
    <x v="6"/>
    <s v="Lentil"/>
    <m/>
    <x v="16"/>
    <s v="N"/>
    <x v="1"/>
    <n v="68"/>
    <n v="34"/>
    <x v="2"/>
    <m/>
    <m/>
    <m/>
    <n v="9"/>
    <m/>
    <m/>
    <m/>
    <m/>
    <m/>
    <n v="4"/>
    <n v="34"/>
    <x v="3"/>
    <n v="17"/>
    <m/>
    <n v="68"/>
    <x v="0"/>
    <n v="2"/>
    <x v="0"/>
    <m/>
    <m/>
    <n v="23"/>
    <x v="2"/>
    <s v="14/07/2022"/>
    <d v="2022-07-14T00:00:00"/>
    <s v="2022006-68"/>
    <x v="0"/>
  </r>
  <r>
    <x v="141"/>
    <n v="2022006"/>
    <x v="6"/>
    <s v="Lentil"/>
    <m/>
    <x v="15"/>
    <s v="Y"/>
    <x v="2"/>
    <n v="69"/>
    <n v="35"/>
    <x v="2"/>
    <m/>
    <m/>
    <m/>
    <n v="9"/>
    <m/>
    <m/>
    <m/>
    <m/>
    <m/>
    <n v="1"/>
    <n v="35"/>
    <x v="0"/>
    <n v="18"/>
    <m/>
    <m/>
    <x v="0"/>
    <n v="4"/>
    <x v="0"/>
    <m/>
    <m/>
    <n v="23"/>
    <x v="2"/>
    <s v="14/07/2022"/>
    <d v="2022-07-14T00:00:00"/>
    <s v="2022006-69"/>
    <x v="0"/>
  </r>
  <r>
    <x v="141"/>
    <n v="2022006"/>
    <x v="6"/>
    <s v="Lentil"/>
    <m/>
    <x v="15"/>
    <s v="Y"/>
    <x v="1"/>
    <n v="70"/>
    <n v="35"/>
    <x v="2"/>
    <m/>
    <m/>
    <m/>
    <n v="9"/>
    <m/>
    <m/>
    <m/>
    <m/>
    <m/>
    <n v="2"/>
    <n v="35"/>
    <x v="1"/>
    <n v="18"/>
    <m/>
    <n v="71"/>
    <x v="0"/>
    <n v="4"/>
    <x v="0"/>
    <m/>
    <m/>
    <n v="23"/>
    <x v="2"/>
    <s v="14/07/2022"/>
    <d v="2022-07-14T00:00:00"/>
    <s v="2022006-70"/>
    <x v="0"/>
  </r>
  <r>
    <x v="142"/>
    <n v="2022006"/>
    <x v="6"/>
    <s v="Lentil"/>
    <m/>
    <x v="1"/>
    <s v="Y"/>
    <x v="2"/>
    <n v="71"/>
    <n v="36"/>
    <x v="2"/>
    <m/>
    <m/>
    <m/>
    <n v="9"/>
    <m/>
    <m/>
    <m/>
    <m/>
    <m/>
    <n v="3"/>
    <n v="35"/>
    <x v="2"/>
    <n v="18"/>
    <m/>
    <m/>
    <x v="0"/>
    <n v="3"/>
    <x v="0"/>
    <m/>
    <m/>
    <n v="23"/>
    <x v="2"/>
    <s v="14/07/2022"/>
    <d v="2022-07-14T00:00:00"/>
    <s v="2022006-71"/>
    <x v="0"/>
  </r>
  <r>
    <x v="142"/>
    <n v="2022006"/>
    <x v="6"/>
    <s v="Lentil"/>
    <m/>
    <x v="1"/>
    <s v="Y"/>
    <x v="1"/>
    <n v="72"/>
    <n v="36"/>
    <x v="2"/>
    <m/>
    <m/>
    <m/>
    <n v="9"/>
    <m/>
    <m/>
    <m/>
    <m/>
    <m/>
    <n v="4"/>
    <n v="35"/>
    <x v="3"/>
    <n v="18"/>
    <m/>
    <n v="69"/>
    <x v="0"/>
    <n v="3"/>
    <x v="0"/>
    <m/>
    <m/>
    <n v="23"/>
    <x v="2"/>
    <s v="14/07/2022"/>
    <d v="2022-07-14T00:00:00"/>
    <s v="2022006-72"/>
    <x v="0"/>
  </r>
  <r>
    <x v="139"/>
    <n v="2022006"/>
    <x v="6"/>
    <s v="Lentil"/>
    <m/>
    <x v="16"/>
    <s v="N"/>
    <x v="2"/>
    <n v="73"/>
    <n v="37"/>
    <x v="2"/>
    <m/>
    <m/>
    <m/>
    <n v="10"/>
    <m/>
    <m/>
    <m/>
    <m/>
    <m/>
    <n v="1"/>
    <n v="38"/>
    <x v="0"/>
    <n v="19"/>
    <m/>
    <m/>
    <x v="1"/>
    <n v="2"/>
    <x v="0"/>
    <m/>
    <m/>
    <n v="23"/>
    <x v="1"/>
    <s v="18/06/2022"/>
    <d v="2022-06-18T00:00:00"/>
    <s v="2022006-73"/>
    <x v="0"/>
  </r>
  <r>
    <x v="139"/>
    <n v="2022006"/>
    <x v="6"/>
    <s v="Lentil"/>
    <m/>
    <x v="16"/>
    <s v="N"/>
    <x v="1"/>
    <n v="74"/>
    <n v="37"/>
    <x v="2"/>
    <m/>
    <m/>
    <m/>
    <n v="10"/>
    <m/>
    <m/>
    <m/>
    <m/>
    <m/>
    <n v="2"/>
    <n v="38"/>
    <x v="1"/>
    <n v="19"/>
    <m/>
    <n v="74"/>
    <x v="1"/>
    <n v="2"/>
    <x v="0"/>
    <m/>
    <m/>
    <n v="23"/>
    <x v="1"/>
    <s v="18/06/2022"/>
    <d v="2022-06-18T00:00:00"/>
    <s v="2022006-74"/>
    <x v="0"/>
  </r>
  <r>
    <x v="136"/>
    <n v="2022006"/>
    <x v="6"/>
    <s v="Lentil"/>
    <m/>
    <x v="15"/>
    <s v="Y"/>
    <x v="2"/>
    <n v="75"/>
    <n v="38"/>
    <x v="2"/>
    <m/>
    <m/>
    <m/>
    <n v="10"/>
    <m/>
    <m/>
    <m/>
    <m/>
    <m/>
    <n v="3"/>
    <n v="38"/>
    <x v="2"/>
    <n v="19"/>
    <m/>
    <m/>
    <x v="1"/>
    <n v="4"/>
    <x v="0"/>
    <m/>
    <m/>
    <n v="23"/>
    <x v="1"/>
    <s v="18/06/2022"/>
    <d v="2022-06-18T00:00:00"/>
    <s v="2022006-75"/>
    <x v="0"/>
  </r>
  <r>
    <x v="136"/>
    <n v="2022006"/>
    <x v="6"/>
    <s v="Lentil"/>
    <m/>
    <x v="15"/>
    <s v="Y"/>
    <x v="1"/>
    <n v="76"/>
    <n v="38"/>
    <x v="2"/>
    <m/>
    <m/>
    <m/>
    <n v="10"/>
    <m/>
    <m/>
    <m/>
    <m/>
    <m/>
    <n v="4"/>
    <n v="38"/>
    <x v="3"/>
    <n v="19"/>
    <m/>
    <n v="76"/>
    <x v="1"/>
    <n v="4"/>
    <x v="0"/>
    <m/>
    <m/>
    <n v="23"/>
    <x v="1"/>
    <s v="18/06/2022"/>
    <d v="2022-06-18T00:00:00"/>
    <s v="2022006-76"/>
    <x v="0"/>
  </r>
  <r>
    <x v="137"/>
    <n v="2022006"/>
    <x v="6"/>
    <s v="Lentil"/>
    <m/>
    <x v="1"/>
    <s v="Y"/>
    <x v="2"/>
    <n v="77"/>
    <n v="39"/>
    <x v="2"/>
    <m/>
    <m/>
    <m/>
    <n v="10"/>
    <m/>
    <m/>
    <m/>
    <m/>
    <m/>
    <n v="1"/>
    <n v="39"/>
    <x v="0"/>
    <n v="20"/>
    <m/>
    <m/>
    <x v="1"/>
    <n v="3"/>
    <x v="0"/>
    <m/>
    <m/>
    <n v="23"/>
    <x v="1"/>
    <s v="18/06/2022"/>
    <d v="2022-06-18T00:00:00"/>
    <s v="2022006-77"/>
    <x v="0"/>
  </r>
  <r>
    <x v="137"/>
    <n v="2022006"/>
    <x v="6"/>
    <s v="Lentil"/>
    <m/>
    <x v="1"/>
    <s v="Y"/>
    <x v="1"/>
    <n v="78"/>
    <n v="39"/>
    <x v="2"/>
    <m/>
    <m/>
    <m/>
    <n v="10"/>
    <m/>
    <m/>
    <m/>
    <m/>
    <m/>
    <n v="2"/>
    <n v="39"/>
    <x v="1"/>
    <n v="20"/>
    <m/>
    <n v="79"/>
    <x v="1"/>
    <n v="3"/>
    <x v="0"/>
    <m/>
    <m/>
    <n v="23"/>
    <x v="1"/>
    <s v="18/06/2022"/>
    <d v="2022-06-18T00:00:00"/>
    <s v="2022006-78"/>
    <x v="0"/>
  </r>
  <r>
    <x v="138"/>
    <n v="2022006"/>
    <x v="6"/>
    <s v="Lentil"/>
    <m/>
    <x v="14"/>
    <s v="N"/>
    <x v="2"/>
    <n v="79"/>
    <n v="40"/>
    <x v="2"/>
    <m/>
    <m/>
    <m/>
    <n v="10"/>
    <m/>
    <m/>
    <m/>
    <m/>
    <m/>
    <n v="3"/>
    <n v="39"/>
    <x v="2"/>
    <n v="20"/>
    <m/>
    <m/>
    <x v="1"/>
    <n v="1"/>
    <x v="0"/>
    <m/>
    <m/>
    <n v="23"/>
    <x v="1"/>
    <s v="18/06/2022"/>
    <d v="2022-06-18T00:00:00"/>
    <s v="2022006-79"/>
    <x v="0"/>
  </r>
  <r>
    <x v="138"/>
    <n v="2022006"/>
    <x v="6"/>
    <s v="Lentil"/>
    <m/>
    <x v="14"/>
    <s v="N"/>
    <x v="1"/>
    <n v="80"/>
    <n v="40"/>
    <x v="2"/>
    <m/>
    <m/>
    <m/>
    <n v="10"/>
    <m/>
    <m/>
    <m/>
    <m/>
    <m/>
    <n v="4"/>
    <n v="39"/>
    <x v="3"/>
    <n v="20"/>
    <m/>
    <n v="77"/>
    <x v="1"/>
    <n v="1"/>
    <x v="0"/>
    <m/>
    <m/>
    <n v="23"/>
    <x v="1"/>
    <s v="18/06/2022"/>
    <d v="2022-06-18T00:00:00"/>
    <s v="2022006-80"/>
    <x v="0"/>
  </r>
  <r>
    <x v="135"/>
    <n v="2022006"/>
    <x v="6"/>
    <s v="Lentil"/>
    <m/>
    <x v="15"/>
    <s v="Y"/>
    <x v="2"/>
    <n v="81"/>
    <n v="41"/>
    <x v="2"/>
    <m/>
    <m/>
    <m/>
    <n v="11"/>
    <m/>
    <m/>
    <m/>
    <m/>
    <m/>
    <n v="1"/>
    <n v="42"/>
    <x v="0"/>
    <n v="21"/>
    <m/>
    <m/>
    <x v="1"/>
    <n v="4"/>
    <x v="0"/>
    <m/>
    <m/>
    <n v="23"/>
    <x v="2"/>
    <s v="14/07/2022"/>
    <d v="2022-07-14T00:00:00"/>
    <s v="2022006-81"/>
    <x v="0"/>
  </r>
  <r>
    <x v="135"/>
    <n v="2022006"/>
    <x v="6"/>
    <s v="Lentil"/>
    <m/>
    <x v="15"/>
    <s v="Y"/>
    <x v="1"/>
    <n v="82"/>
    <n v="41"/>
    <x v="2"/>
    <m/>
    <m/>
    <m/>
    <n v="11"/>
    <m/>
    <m/>
    <m/>
    <m/>
    <m/>
    <n v="2"/>
    <n v="42"/>
    <x v="1"/>
    <n v="21"/>
    <m/>
    <n v="82"/>
    <x v="1"/>
    <n v="4"/>
    <x v="0"/>
    <m/>
    <m/>
    <n v="23"/>
    <x v="2"/>
    <s v="14/07/2022"/>
    <d v="2022-07-14T00:00:00"/>
    <s v="2022006-82"/>
    <x v="0"/>
  </r>
  <r>
    <x v="132"/>
    <n v="2022006"/>
    <x v="6"/>
    <s v="Lentil"/>
    <m/>
    <x v="1"/>
    <s v="Y"/>
    <x v="2"/>
    <n v="83"/>
    <n v="42"/>
    <x v="2"/>
    <m/>
    <m/>
    <m/>
    <n v="11"/>
    <m/>
    <m/>
    <m/>
    <m/>
    <m/>
    <n v="3"/>
    <n v="42"/>
    <x v="2"/>
    <n v="21"/>
    <m/>
    <m/>
    <x v="1"/>
    <n v="3"/>
    <x v="0"/>
    <m/>
    <m/>
    <n v="23"/>
    <x v="2"/>
    <s v="14/07/2022"/>
    <d v="2022-07-14T00:00:00"/>
    <s v="2022006-83"/>
    <x v="0"/>
  </r>
  <r>
    <x v="132"/>
    <n v="2022006"/>
    <x v="6"/>
    <s v="Lentil"/>
    <m/>
    <x v="1"/>
    <s v="Y"/>
    <x v="1"/>
    <n v="84"/>
    <n v="42"/>
    <x v="2"/>
    <m/>
    <m/>
    <m/>
    <n v="11"/>
    <m/>
    <m/>
    <m/>
    <m/>
    <m/>
    <n v="4"/>
    <n v="42"/>
    <x v="3"/>
    <n v="21"/>
    <m/>
    <n v="84"/>
    <x v="1"/>
    <n v="3"/>
    <x v="0"/>
    <m/>
    <m/>
    <n v="23"/>
    <x v="2"/>
    <s v="14/07/2022"/>
    <d v="2022-07-14T00:00:00"/>
    <s v="2022006-84"/>
    <x v="0"/>
  </r>
  <r>
    <x v="133"/>
    <n v="2022006"/>
    <x v="6"/>
    <s v="Lentil"/>
    <m/>
    <x v="14"/>
    <s v="N"/>
    <x v="2"/>
    <n v="85"/>
    <n v="43"/>
    <x v="2"/>
    <m/>
    <m/>
    <m/>
    <n v="11"/>
    <m/>
    <m/>
    <m/>
    <m/>
    <m/>
    <n v="1"/>
    <n v="43"/>
    <x v="0"/>
    <n v="22"/>
    <m/>
    <m/>
    <x v="1"/>
    <n v="1"/>
    <x v="0"/>
    <m/>
    <m/>
    <n v="23"/>
    <x v="2"/>
    <s v="14/07/2022"/>
    <d v="2022-07-14T00:00:00"/>
    <s v="2022006-85"/>
    <x v="0"/>
  </r>
  <r>
    <x v="133"/>
    <n v="2022006"/>
    <x v="6"/>
    <s v="Lentil"/>
    <m/>
    <x v="14"/>
    <s v="N"/>
    <x v="1"/>
    <n v="86"/>
    <n v="43"/>
    <x v="2"/>
    <m/>
    <m/>
    <m/>
    <n v="11"/>
    <m/>
    <m/>
    <m/>
    <m/>
    <m/>
    <n v="2"/>
    <n v="43"/>
    <x v="1"/>
    <n v="22"/>
    <m/>
    <n v="87"/>
    <x v="1"/>
    <n v="1"/>
    <x v="0"/>
    <m/>
    <m/>
    <n v="23"/>
    <x v="2"/>
    <s v="14/07/2022"/>
    <d v="2022-07-14T00:00:00"/>
    <s v="2022006-86"/>
    <x v="0"/>
  </r>
  <r>
    <x v="134"/>
    <n v="2022006"/>
    <x v="6"/>
    <s v="Lentil"/>
    <m/>
    <x v="16"/>
    <s v="N"/>
    <x v="2"/>
    <n v="87"/>
    <n v="44"/>
    <x v="2"/>
    <m/>
    <m/>
    <m/>
    <n v="11"/>
    <m/>
    <m/>
    <m/>
    <m/>
    <m/>
    <n v="3"/>
    <n v="43"/>
    <x v="2"/>
    <n v="22"/>
    <m/>
    <m/>
    <x v="1"/>
    <n v="2"/>
    <x v="0"/>
    <m/>
    <m/>
    <n v="23"/>
    <x v="2"/>
    <s v="14/07/2022"/>
    <d v="2022-07-14T00:00:00"/>
    <s v="2022006-87"/>
    <x v="0"/>
  </r>
  <r>
    <x v="134"/>
    <n v="2022006"/>
    <x v="6"/>
    <s v="Lentil"/>
    <m/>
    <x v="16"/>
    <s v="N"/>
    <x v="1"/>
    <n v="88"/>
    <n v="44"/>
    <x v="2"/>
    <m/>
    <m/>
    <m/>
    <n v="11"/>
    <m/>
    <m/>
    <m/>
    <m/>
    <m/>
    <n v="4"/>
    <n v="43"/>
    <x v="3"/>
    <n v="22"/>
    <m/>
    <n v="85"/>
    <x v="1"/>
    <n v="2"/>
    <x v="0"/>
    <m/>
    <m/>
    <n v="23"/>
    <x v="2"/>
    <s v="14/07/2022"/>
    <d v="2022-07-14T00:00:00"/>
    <s v="2022006-88"/>
    <x v="0"/>
  </r>
  <r>
    <x v="131"/>
    <n v="2022006"/>
    <x v="6"/>
    <s v="Lentil"/>
    <m/>
    <x v="1"/>
    <s v="Y"/>
    <x v="2"/>
    <n v="89"/>
    <n v="45"/>
    <x v="2"/>
    <m/>
    <m/>
    <m/>
    <n v="12"/>
    <m/>
    <m/>
    <m/>
    <m/>
    <m/>
    <n v="1"/>
    <n v="46"/>
    <x v="0"/>
    <n v="23"/>
    <m/>
    <m/>
    <x v="0"/>
    <n v="3"/>
    <x v="0"/>
    <m/>
    <m/>
    <n v="23"/>
    <x v="1"/>
    <s v="18/06/2022"/>
    <d v="2022-06-18T00:00:00"/>
    <s v="2022006-89"/>
    <x v="0"/>
  </r>
  <r>
    <x v="131"/>
    <n v="2022006"/>
    <x v="6"/>
    <s v="Lentil"/>
    <m/>
    <x v="1"/>
    <s v="Y"/>
    <x v="1"/>
    <n v="90"/>
    <n v="45"/>
    <x v="2"/>
    <m/>
    <m/>
    <m/>
    <n v="12"/>
    <m/>
    <m/>
    <m/>
    <m/>
    <m/>
    <n v="2"/>
    <n v="46"/>
    <x v="1"/>
    <n v="23"/>
    <m/>
    <n v="90"/>
    <x v="0"/>
    <n v="3"/>
    <x v="0"/>
    <m/>
    <m/>
    <n v="23"/>
    <x v="1"/>
    <s v="18/06/2022"/>
    <d v="2022-06-18T00:00:00"/>
    <s v="2022006-90"/>
    <x v="0"/>
  </r>
  <r>
    <x v="128"/>
    <n v="2022006"/>
    <x v="6"/>
    <s v="Lentil"/>
    <m/>
    <x v="14"/>
    <s v="N"/>
    <x v="2"/>
    <n v="91"/>
    <n v="46"/>
    <x v="2"/>
    <m/>
    <m/>
    <m/>
    <n v="12"/>
    <m/>
    <m/>
    <m/>
    <m/>
    <m/>
    <n v="3"/>
    <n v="46"/>
    <x v="2"/>
    <n v="23"/>
    <m/>
    <m/>
    <x v="0"/>
    <n v="1"/>
    <x v="0"/>
    <m/>
    <m/>
    <n v="23"/>
    <x v="1"/>
    <s v="18/06/2022"/>
    <d v="2022-06-18T00:00:00"/>
    <s v="2022006-91"/>
    <x v="0"/>
  </r>
  <r>
    <x v="128"/>
    <n v="2022006"/>
    <x v="6"/>
    <s v="Lentil"/>
    <m/>
    <x v="14"/>
    <s v="N"/>
    <x v="1"/>
    <n v="92"/>
    <n v="46"/>
    <x v="2"/>
    <m/>
    <m/>
    <m/>
    <n v="12"/>
    <m/>
    <m/>
    <m/>
    <m/>
    <m/>
    <n v="4"/>
    <n v="46"/>
    <x v="3"/>
    <n v="23"/>
    <m/>
    <n v="92"/>
    <x v="0"/>
    <n v="1"/>
    <x v="0"/>
    <m/>
    <m/>
    <n v="23"/>
    <x v="1"/>
    <s v="18/06/2022"/>
    <d v="2022-06-18T00:00:00"/>
    <s v="2022006-92"/>
    <x v="0"/>
  </r>
  <r>
    <x v="129"/>
    <n v="2022006"/>
    <x v="6"/>
    <s v="Lentil"/>
    <m/>
    <x v="16"/>
    <s v="N"/>
    <x v="2"/>
    <n v="93"/>
    <n v="47"/>
    <x v="2"/>
    <m/>
    <m/>
    <m/>
    <n v="12"/>
    <m/>
    <m/>
    <m/>
    <m/>
    <m/>
    <n v="1"/>
    <n v="47"/>
    <x v="0"/>
    <n v="24"/>
    <m/>
    <m/>
    <x v="0"/>
    <n v="2"/>
    <x v="0"/>
    <m/>
    <m/>
    <n v="23"/>
    <x v="1"/>
    <s v="18/06/2022"/>
    <d v="2022-06-18T00:00:00"/>
    <s v="2022006-93"/>
    <x v="0"/>
  </r>
  <r>
    <x v="129"/>
    <n v="2022006"/>
    <x v="6"/>
    <s v="Lentil"/>
    <m/>
    <x v="16"/>
    <s v="N"/>
    <x v="1"/>
    <n v="94"/>
    <n v="47"/>
    <x v="2"/>
    <m/>
    <m/>
    <m/>
    <n v="12"/>
    <m/>
    <m/>
    <m/>
    <m/>
    <m/>
    <n v="2"/>
    <n v="47"/>
    <x v="1"/>
    <n v="24"/>
    <m/>
    <n v="95"/>
    <x v="0"/>
    <n v="2"/>
    <x v="0"/>
    <m/>
    <m/>
    <n v="23"/>
    <x v="1"/>
    <s v="18/06/2022"/>
    <d v="2022-06-18T00:00:00"/>
    <s v="2022006-94"/>
    <x v="0"/>
  </r>
  <r>
    <x v="130"/>
    <n v="2022006"/>
    <x v="6"/>
    <s v="Lentil"/>
    <m/>
    <x v="15"/>
    <s v="Y"/>
    <x v="2"/>
    <n v="95"/>
    <n v="48"/>
    <x v="2"/>
    <m/>
    <m/>
    <m/>
    <n v="12"/>
    <m/>
    <m/>
    <m/>
    <m/>
    <m/>
    <n v="3"/>
    <n v="47"/>
    <x v="2"/>
    <n v="24"/>
    <m/>
    <m/>
    <x v="0"/>
    <n v="4"/>
    <x v="0"/>
    <m/>
    <m/>
    <n v="23"/>
    <x v="1"/>
    <s v="18/06/2022"/>
    <d v="2022-06-18T00:00:00"/>
    <s v="2022006-95"/>
    <x v="0"/>
  </r>
  <r>
    <x v="130"/>
    <n v="2022006"/>
    <x v="6"/>
    <s v="Lentil"/>
    <m/>
    <x v="15"/>
    <s v="Y"/>
    <x v="1"/>
    <n v="96"/>
    <n v="48"/>
    <x v="2"/>
    <m/>
    <m/>
    <m/>
    <n v="12"/>
    <m/>
    <m/>
    <m/>
    <m/>
    <m/>
    <n v="4"/>
    <n v="47"/>
    <x v="3"/>
    <n v="24"/>
    <m/>
    <n v="93"/>
    <x v="0"/>
    <n v="4"/>
    <x v="0"/>
    <m/>
    <m/>
    <n v="23"/>
    <x v="1"/>
    <s v="18/06/2022"/>
    <d v="2022-06-18T00:00:00"/>
    <s v="2022006-96"/>
    <x v="0"/>
  </r>
  <r>
    <x v="132"/>
    <n v="2022006"/>
    <x v="6"/>
    <s v="Lentil"/>
    <m/>
    <x v="1"/>
    <s v="Y"/>
    <x v="2"/>
    <n v="97"/>
    <n v="49"/>
    <x v="3"/>
    <m/>
    <m/>
    <m/>
    <n v="13"/>
    <m/>
    <m/>
    <m/>
    <m/>
    <m/>
    <n v="1"/>
    <n v="50"/>
    <x v="0"/>
    <n v="25"/>
    <m/>
    <m/>
    <x v="1"/>
    <n v="3"/>
    <x v="0"/>
    <m/>
    <m/>
    <n v="23"/>
    <x v="2"/>
    <s v="14/07/2022"/>
    <d v="2022-07-14T00:00:00"/>
    <s v="2022006-97"/>
    <x v="0"/>
  </r>
  <r>
    <x v="132"/>
    <n v="2022006"/>
    <x v="6"/>
    <s v="Lentil"/>
    <m/>
    <x v="1"/>
    <s v="Y"/>
    <x v="1"/>
    <n v="98"/>
    <n v="49"/>
    <x v="3"/>
    <m/>
    <m/>
    <m/>
    <n v="13"/>
    <m/>
    <m/>
    <m/>
    <m/>
    <m/>
    <n v="2"/>
    <n v="50"/>
    <x v="1"/>
    <n v="25"/>
    <m/>
    <n v="98"/>
    <x v="1"/>
    <n v="3"/>
    <x v="0"/>
    <m/>
    <m/>
    <n v="23"/>
    <x v="2"/>
    <s v="14/07/2022"/>
    <d v="2022-07-14T00:00:00"/>
    <s v="2022006-98"/>
    <x v="0"/>
  </r>
  <r>
    <x v="134"/>
    <n v="2022006"/>
    <x v="6"/>
    <s v="Lentil"/>
    <m/>
    <x v="16"/>
    <s v="N"/>
    <x v="2"/>
    <n v="99"/>
    <n v="50"/>
    <x v="3"/>
    <m/>
    <m/>
    <m/>
    <n v="13"/>
    <m/>
    <m/>
    <m/>
    <m/>
    <m/>
    <n v="3"/>
    <n v="50"/>
    <x v="2"/>
    <n v="25"/>
    <m/>
    <m/>
    <x v="1"/>
    <n v="2"/>
    <x v="0"/>
    <m/>
    <m/>
    <n v="23"/>
    <x v="2"/>
    <s v="14/07/2022"/>
    <d v="2022-07-14T00:00:00"/>
    <s v="2022006-99"/>
    <x v="0"/>
  </r>
  <r>
    <x v="134"/>
    <n v="2022006"/>
    <x v="6"/>
    <s v="Lentil"/>
    <m/>
    <x v="16"/>
    <s v="N"/>
    <x v="1"/>
    <n v="100"/>
    <n v="50"/>
    <x v="3"/>
    <m/>
    <m/>
    <m/>
    <n v="13"/>
    <m/>
    <m/>
    <m/>
    <m/>
    <m/>
    <n v="4"/>
    <n v="50"/>
    <x v="3"/>
    <n v="25"/>
    <m/>
    <n v="100"/>
    <x v="1"/>
    <n v="2"/>
    <x v="0"/>
    <m/>
    <m/>
    <n v="23"/>
    <x v="2"/>
    <s v="14/07/2022"/>
    <d v="2022-07-14T00:00:00"/>
    <s v="2022006-100"/>
    <x v="0"/>
  </r>
  <r>
    <x v="133"/>
    <n v="2022006"/>
    <x v="6"/>
    <s v="Lentil"/>
    <m/>
    <x v="14"/>
    <s v="N"/>
    <x v="2"/>
    <n v="101"/>
    <n v="51"/>
    <x v="3"/>
    <m/>
    <m/>
    <m/>
    <n v="13"/>
    <m/>
    <m/>
    <m/>
    <m/>
    <m/>
    <n v="1"/>
    <n v="51"/>
    <x v="0"/>
    <n v="26"/>
    <m/>
    <m/>
    <x v="1"/>
    <n v="1"/>
    <x v="0"/>
    <m/>
    <m/>
    <n v="23"/>
    <x v="2"/>
    <s v="14/07/2022"/>
    <d v="2022-07-14T00:00:00"/>
    <s v="2022006-101"/>
    <x v="0"/>
  </r>
  <r>
    <x v="133"/>
    <n v="2022006"/>
    <x v="6"/>
    <s v="Lentil"/>
    <m/>
    <x v="14"/>
    <s v="N"/>
    <x v="1"/>
    <n v="102"/>
    <n v="51"/>
    <x v="3"/>
    <m/>
    <m/>
    <m/>
    <n v="13"/>
    <m/>
    <m/>
    <m/>
    <m/>
    <m/>
    <n v="2"/>
    <n v="51"/>
    <x v="1"/>
    <n v="26"/>
    <m/>
    <n v="103"/>
    <x v="1"/>
    <n v="1"/>
    <x v="0"/>
    <m/>
    <m/>
    <n v="23"/>
    <x v="2"/>
    <s v="14/07/2022"/>
    <d v="2022-07-14T00:00:00"/>
    <s v="2022006-102"/>
    <x v="0"/>
  </r>
  <r>
    <x v="135"/>
    <n v="2022006"/>
    <x v="6"/>
    <s v="Lentil"/>
    <m/>
    <x v="15"/>
    <s v="Y"/>
    <x v="2"/>
    <n v="103"/>
    <n v="52"/>
    <x v="3"/>
    <m/>
    <m/>
    <m/>
    <n v="13"/>
    <m/>
    <m/>
    <m/>
    <m/>
    <m/>
    <n v="3"/>
    <n v="51"/>
    <x v="2"/>
    <n v="26"/>
    <m/>
    <m/>
    <x v="1"/>
    <n v="4"/>
    <x v="0"/>
    <m/>
    <m/>
    <n v="23"/>
    <x v="2"/>
    <s v="14/07/2022"/>
    <d v="2022-07-14T00:00:00"/>
    <s v="2022006-103"/>
    <x v="0"/>
  </r>
  <r>
    <x v="135"/>
    <n v="2022006"/>
    <x v="6"/>
    <s v="Lentil"/>
    <m/>
    <x v="15"/>
    <s v="Y"/>
    <x v="1"/>
    <n v="104"/>
    <n v="52"/>
    <x v="3"/>
    <m/>
    <m/>
    <m/>
    <n v="13"/>
    <m/>
    <m/>
    <m/>
    <m/>
    <m/>
    <n v="4"/>
    <n v="51"/>
    <x v="3"/>
    <n v="26"/>
    <m/>
    <n v="101"/>
    <x v="1"/>
    <n v="4"/>
    <x v="0"/>
    <m/>
    <m/>
    <n v="23"/>
    <x v="2"/>
    <s v="14/07/2022"/>
    <d v="2022-07-14T00:00:00"/>
    <s v="2022006-104"/>
    <x v="0"/>
  </r>
  <r>
    <x v="141"/>
    <n v="2022006"/>
    <x v="6"/>
    <s v="Lentil"/>
    <m/>
    <x v="15"/>
    <s v="Y"/>
    <x v="2"/>
    <n v="105"/>
    <n v="53"/>
    <x v="3"/>
    <m/>
    <m/>
    <m/>
    <n v="14"/>
    <m/>
    <m/>
    <m/>
    <m/>
    <m/>
    <n v="1"/>
    <n v="54"/>
    <x v="0"/>
    <n v="27"/>
    <m/>
    <m/>
    <x v="0"/>
    <n v="4"/>
    <x v="0"/>
    <m/>
    <m/>
    <n v="23"/>
    <x v="2"/>
    <s v="14/07/2022"/>
    <d v="2022-07-14T00:00:00"/>
    <s v="2022006-105"/>
    <x v="0"/>
  </r>
  <r>
    <x v="141"/>
    <n v="2022006"/>
    <x v="6"/>
    <s v="Lentil"/>
    <m/>
    <x v="15"/>
    <s v="Y"/>
    <x v="1"/>
    <n v="106"/>
    <n v="53"/>
    <x v="3"/>
    <m/>
    <m/>
    <m/>
    <n v="14"/>
    <m/>
    <m/>
    <m/>
    <m/>
    <m/>
    <n v="2"/>
    <n v="54"/>
    <x v="1"/>
    <n v="27"/>
    <m/>
    <n v="106"/>
    <x v="0"/>
    <n v="4"/>
    <x v="0"/>
    <m/>
    <m/>
    <n v="23"/>
    <x v="2"/>
    <s v="14/07/2022"/>
    <d v="2022-07-14T00:00:00"/>
    <s v="2022006-106"/>
    <x v="0"/>
  </r>
  <r>
    <x v="142"/>
    <n v="2022006"/>
    <x v="6"/>
    <s v="Lentil"/>
    <m/>
    <x v="1"/>
    <s v="Y"/>
    <x v="2"/>
    <n v="107"/>
    <n v="54"/>
    <x v="3"/>
    <m/>
    <m/>
    <m/>
    <n v="14"/>
    <m/>
    <m/>
    <m/>
    <m/>
    <m/>
    <n v="3"/>
    <n v="54"/>
    <x v="2"/>
    <n v="27"/>
    <m/>
    <m/>
    <x v="0"/>
    <n v="3"/>
    <x v="0"/>
    <m/>
    <m/>
    <n v="23"/>
    <x v="2"/>
    <s v="14/07/2022"/>
    <d v="2022-07-14T00:00:00"/>
    <s v="2022006-107"/>
    <x v="0"/>
  </r>
  <r>
    <x v="142"/>
    <n v="2022006"/>
    <x v="6"/>
    <s v="Lentil"/>
    <m/>
    <x v="1"/>
    <s v="Y"/>
    <x v="1"/>
    <n v="108"/>
    <n v="54"/>
    <x v="3"/>
    <m/>
    <m/>
    <m/>
    <n v="14"/>
    <m/>
    <m/>
    <m/>
    <m/>
    <m/>
    <n v="4"/>
    <n v="54"/>
    <x v="3"/>
    <n v="27"/>
    <m/>
    <n v="108"/>
    <x v="0"/>
    <n v="3"/>
    <x v="0"/>
    <m/>
    <m/>
    <n v="23"/>
    <x v="2"/>
    <s v="14/07/2022"/>
    <d v="2022-07-14T00:00:00"/>
    <s v="2022006-108"/>
    <x v="0"/>
  </r>
  <r>
    <x v="140"/>
    <n v="2022006"/>
    <x v="6"/>
    <s v="Lentil"/>
    <m/>
    <x v="16"/>
    <s v="N"/>
    <x v="2"/>
    <n v="109"/>
    <n v="55"/>
    <x v="3"/>
    <m/>
    <m/>
    <m/>
    <n v="14"/>
    <m/>
    <m/>
    <m/>
    <m/>
    <m/>
    <n v="1"/>
    <n v="55"/>
    <x v="0"/>
    <n v="28"/>
    <m/>
    <m/>
    <x v="0"/>
    <n v="2"/>
    <x v="0"/>
    <m/>
    <m/>
    <n v="23"/>
    <x v="2"/>
    <s v="14/07/2022"/>
    <d v="2022-07-14T00:00:00"/>
    <s v="2022006-109"/>
    <x v="0"/>
  </r>
  <r>
    <x v="140"/>
    <n v="2022006"/>
    <x v="6"/>
    <s v="Lentil"/>
    <m/>
    <x v="16"/>
    <s v="N"/>
    <x v="1"/>
    <n v="110"/>
    <n v="55"/>
    <x v="3"/>
    <m/>
    <m/>
    <m/>
    <n v="14"/>
    <m/>
    <m/>
    <m/>
    <m/>
    <m/>
    <n v="2"/>
    <n v="55"/>
    <x v="1"/>
    <n v="28"/>
    <m/>
    <n v="111"/>
    <x v="0"/>
    <n v="2"/>
    <x v="0"/>
    <m/>
    <m/>
    <n v="23"/>
    <x v="2"/>
    <s v="14/07/2022"/>
    <d v="2022-07-14T00:00:00"/>
    <s v="2022006-110"/>
    <x v="0"/>
  </r>
  <r>
    <x v="143"/>
    <n v="2022006"/>
    <x v="6"/>
    <s v="Lentil"/>
    <m/>
    <x v="14"/>
    <s v="N"/>
    <x v="2"/>
    <n v="111"/>
    <n v="56"/>
    <x v="3"/>
    <m/>
    <m/>
    <m/>
    <n v="14"/>
    <m/>
    <m/>
    <m/>
    <m/>
    <m/>
    <n v="3"/>
    <n v="55"/>
    <x v="2"/>
    <n v="28"/>
    <m/>
    <m/>
    <x v="0"/>
    <n v="1"/>
    <x v="0"/>
    <m/>
    <m/>
    <n v="23"/>
    <x v="2"/>
    <s v="14/07/2022"/>
    <d v="2022-07-14T00:00:00"/>
    <s v="2022006-111"/>
    <x v="0"/>
  </r>
  <r>
    <x v="143"/>
    <n v="2022006"/>
    <x v="6"/>
    <s v="Lentil"/>
    <m/>
    <x v="14"/>
    <s v="N"/>
    <x v="1"/>
    <n v="112"/>
    <n v="56"/>
    <x v="3"/>
    <m/>
    <m/>
    <m/>
    <n v="14"/>
    <m/>
    <m/>
    <m/>
    <m/>
    <m/>
    <n v="4"/>
    <n v="55"/>
    <x v="3"/>
    <n v="28"/>
    <m/>
    <n v="109"/>
    <x v="0"/>
    <n v="1"/>
    <x v="0"/>
    <m/>
    <m/>
    <n v="23"/>
    <x v="2"/>
    <s v="14/07/2022"/>
    <d v="2022-07-14T00:00:00"/>
    <s v="2022006-112"/>
    <x v="0"/>
  </r>
  <r>
    <x v="128"/>
    <n v="2022006"/>
    <x v="6"/>
    <s v="Lentil"/>
    <m/>
    <x v="14"/>
    <s v="N"/>
    <x v="2"/>
    <n v="113"/>
    <n v="57"/>
    <x v="3"/>
    <m/>
    <m/>
    <m/>
    <n v="15"/>
    <m/>
    <m/>
    <m/>
    <m/>
    <m/>
    <n v="1"/>
    <n v="58"/>
    <x v="0"/>
    <n v="29"/>
    <m/>
    <m/>
    <x v="0"/>
    <n v="1"/>
    <x v="0"/>
    <m/>
    <m/>
    <n v="23"/>
    <x v="1"/>
    <s v="18/06/2022"/>
    <d v="2022-06-18T00:00:00"/>
    <s v="2022006-113"/>
    <x v="0"/>
  </r>
  <r>
    <x v="128"/>
    <n v="2022006"/>
    <x v="6"/>
    <s v="Lentil"/>
    <m/>
    <x v="14"/>
    <s v="N"/>
    <x v="1"/>
    <n v="114"/>
    <n v="57"/>
    <x v="3"/>
    <m/>
    <m/>
    <m/>
    <n v="15"/>
    <m/>
    <m/>
    <m/>
    <m/>
    <m/>
    <n v="2"/>
    <n v="58"/>
    <x v="1"/>
    <n v="29"/>
    <m/>
    <n v="114"/>
    <x v="0"/>
    <n v="1"/>
    <x v="0"/>
    <m/>
    <m/>
    <n v="23"/>
    <x v="1"/>
    <s v="18/06/2022"/>
    <d v="2022-06-18T00:00:00"/>
    <s v="2022006-114"/>
    <x v="0"/>
  </r>
  <r>
    <x v="130"/>
    <n v="2022006"/>
    <x v="6"/>
    <s v="Lentil"/>
    <m/>
    <x v="15"/>
    <s v="Y"/>
    <x v="2"/>
    <n v="115"/>
    <n v="58"/>
    <x v="3"/>
    <m/>
    <m/>
    <m/>
    <n v="15"/>
    <m/>
    <m/>
    <m/>
    <m/>
    <m/>
    <n v="3"/>
    <n v="58"/>
    <x v="2"/>
    <n v="29"/>
    <m/>
    <m/>
    <x v="0"/>
    <n v="4"/>
    <x v="0"/>
    <m/>
    <m/>
    <n v="23"/>
    <x v="1"/>
    <s v="18/06/2022"/>
    <d v="2022-06-18T00:00:00"/>
    <s v="2022006-115"/>
    <x v="0"/>
  </r>
  <r>
    <x v="130"/>
    <n v="2022006"/>
    <x v="6"/>
    <s v="Lentil"/>
    <m/>
    <x v="15"/>
    <s v="Y"/>
    <x v="1"/>
    <n v="116"/>
    <n v="58"/>
    <x v="3"/>
    <m/>
    <m/>
    <m/>
    <n v="15"/>
    <m/>
    <m/>
    <m/>
    <m/>
    <m/>
    <n v="4"/>
    <n v="58"/>
    <x v="3"/>
    <n v="29"/>
    <m/>
    <n v="116"/>
    <x v="0"/>
    <n v="4"/>
    <x v="0"/>
    <m/>
    <m/>
    <n v="23"/>
    <x v="1"/>
    <s v="18/06/2022"/>
    <d v="2022-06-18T00:00:00"/>
    <s v="2022006-116"/>
    <x v="0"/>
  </r>
  <r>
    <x v="131"/>
    <n v="2022006"/>
    <x v="6"/>
    <s v="Lentil"/>
    <m/>
    <x v="1"/>
    <s v="Y"/>
    <x v="2"/>
    <n v="117"/>
    <n v="59"/>
    <x v="3"/>
    <m/>
    <m/>
    <m/>
    <n v="15"/>
    <m/>
    <m/>
    <m/>
    <m/>
    <m/>
    <n v="1"/>
    <n v="59"/>
    <x v="0"/>
    <n v="30"/>
    <m/>
    <m/>
    <x v="0"/>
    <n v="3"/>
    <x v="0"/>
    <m/>
    <m/>
    <n v="23"/>
    <x v="1"/>
    <s v="18/06/2022"/>
    <d v="2022-06-18T00:00:00"/>
    <s v="2022006-117"/>
    <x v="0"/>
  </r>
  <r>
    <x v="131"/>
    <n v="2022006"/>
    <x v="6"/>
    <s v="Lentil"/>
    <m/>
    <x v="1"/>
    <s v="Y"/>
    <x v="1"/>
    <n v="118"/>
    <n v="59"/>
    <x v="3"/>
    <m/>
    <m/>
    <m/>
    <n v="15"/>
    <m/>
    <m/>
    <m/>
    <m/>
    <m/>
    <n v="2"/>
    <n v="59"/>
    <x v="1"/>
    <n v="30"/>
    <m/>
    <n v="119"/>
    <x v="0"/>
    <n v="3"/>
    <x v="0"/>
    <m/>
    <m/>
    <n v="23"/>
    <x v="1"/>
    <s v="18/06/2022"/>
    <d v="2022-06-18T00:00:00"/>
    <s v="2022006-118"/>
    <x v="0"/>
  </r>
  <r>
    <x v="129"/>
    <n v="2022006"/>
    <x v="6"/>
    <s v="Lentil"/>
    <m/>
    <x v="16"/>
    <s v="N"/>
    <x v="2"/>
    <n v="119"/>
    <n v="60"/>
    <x v="3"/>
    <m/>
    <m/>
    <m/>
    <n v="15"/>
    <m/>
    <m/>
    <m/>
    <m/>
    <m/>
    <n v="3"/>
    <n v="59"/>
    <x v="2"/>
    <n v="30"/>
    <m/>
    <m/>
    <x v="0"/>
    <n v="2"/>
    <x v="0"/>
    <m/>
    <m/>
    <n v="23"/>
    <x v="1"/>
    <s v="18/06/2022"/>
    <d v="2022-06-18T00:00:00"/>
    <s v="2022006-119"/>
    <x v="0"/>
  </r>
  <r>
    <x v="129"/>
    <n v="2022006"/>
    <x v="6"/>
    <s v="Lentil"/>
    <m/>
    <x v="16"/>
    <s v="N"/>
    <x v="1"/>
    <n v="120"/>
    <n v="60"/>
    <x v="3"/>
    <m/>
    <m/>
    <m/>
    <n v="15"/>
    <m/>
    <m/>
    <m/>
    <m/>
    <m/>
    <n v="4"/>
    <n v="59"/>
    <x v="3"/>
    <n v="30"/>
    <m/>
    <n v="117"/>
    <x v="0"/>
    <n v="2"/>
    <x v="0"/>
    <m/>
    <m/>
    <n v="23"/>
    <x v="1"/>
    <s v="18/06/2022"/>
    <d v="2022-06-18T00:00:00"/>
    <s v="2022006-120"/>
    <x v="0"/>
  </r>
  <r>
    <x v="139"/>
    <n v="2022006"/>
    <x v="6"/>
    <s v="Lentil"/>
    <m/>
    <x v="16"/>
    <s v="N"/>
    <x v="2"/>
    <n v="121"/>
    <n v="61"/>
    <x v="3"/>
    <m/>
    <m/>
    <m/>
    <n v="16"/>
    <m/>
    <m/>
    <m/>
    <m/>
    <m/>
    <n v="1"/>
    <n v="62"/>
    <x v="0"/>
    <n v="31"/>
    <m/>
    <m/>
    <x v="1"/>
    <n v="2"/>
    <x v="0"/>
    <m/>
    <m/>
    <n v="23"/>
    <x v="1"/>
    <s v="18/06/2022"/>
    <d v="2022-06-18T00:00:00"/>
    <s v="2022006-121"/>
    <x v="0"/>
  </r>
  <r>
    <x v="139"/>
    <n v="2022006"/>
    <x v="6"/>
    <s v="Lentil"/>
    <m/>
    <x v="16"/>
    <s v="N"/>
    <x v="1"/>
    <n v="122"/>
    <n v="61"/>
    <x v="3"/>
    <m/>
    <m/>
    <m/>
    <n v="16"/>
    <m/>
    <m/>
    <m/>
    <m/>
    <m/>
    <n v="2"/>
    <n v="62"/>
    <x v="1"/>
    <n v="31"/>
    <m/>
    <n v="122"/>
    <x v="1"/>
    <n v="2"/>
    <x v="0"/>
    <m/>
    <m/>
    <n v="23"/>
    <x v="1"/>
    <s v="18/06/2022"/>
    <d v="2022-06-18T00:00:00"/>
    <s v="2022006-122"/>
    <x v="0"/>
  </r>
  <r>
    <x v="138"/>
    <n v="2022006"/>
    <x v="6"/>
    <s v="Lentil"/>
    <m/>
    <x v="14"/>
    <s v="N"/>
    <x v="2"/>
    <n v="123"/>
    <n v="62"/>
    <x v="3"/>
    <m/>
    <m/>
    <m/>
    <n v="16"/>
    <m/>
    <m/>
    <m/>
    <m/>
    <m/>
    <n v="3"/>
    <n v="62"/>
    <x v="2"/>
    <n v="31"/>
    <m/>
    <m/>
    <x v="1"/>
    <n v="1"/>
    <x v="0"/>
    <m/>
    <m/>
    <n v="23"/>
    <x v="1"/>
    <s v="18/06/2022"/>
    <d v="2022-06-18T00:00:00"/>
    <s v="2022006-123"/>
    <x v="0"/>
  </r>
  <r>
    <x v="138"/>
    <n v="2022006"/>
    <x v="6"/>
    <s v="Lentil"/>
    <m/>
    <x v="14"/>
    <s v="N"/>
    <x v="1"/>
    <n v="124"/>
    <n v="62"/>
    <x v="3"/>
    <m/>
    <m/>
    <m/>
    <n v="16"/>
    <m/>
    <m/>
    <m/>
    <m/>
    <m/>
    <n v="4"/>
    <n v="62"/>
    <x v="3"/>
    <n v="31"/>
    <m/>
    <n v="124"/>
    <x v="1"/>
    <n v="1"/>
    <x v="0"/>
    <m/>
    <m/>
    <n v="23"/>
    <x v="1"/>
    <s v="18/06/2022"/>
    <d v="2022-06-18T00:00:00"/>
    <s v="2022006-124"/>
    <x v="0"/>
  </r>
  <r>
    <x v="136"/>
    <n v="2022006"/>
    <x v="6"/>
    <s v="Lentil"/>
    <m/>
    <x v="15"/>
    <s v="Y"/>
    <x v="2"/>
    <n v="125"/>
    <n v="63"/>
    <x v="3"/>
    <m/>
    <m/>
    <m/>
    <n v="16"/>
    <m/>
    <m/>
    <m/>
    <m/>
    <m/>
    <n v="1"/>
    <n v="63"/>
    <x v="0"/>
    <n v="32"/>
    <m/>
    <m/>
    <x v="1"/>
    <n v="4"/>
    <x v="0"/>
    <m/>
    <m/>
    <n v="23"/>
    <x v="1"/>
    <s v="18/06/2022"/>
    <d v="2022-06-18T00:00:00"/>
    <s v="2022006-125"/>
    <x v="0"/>
  </r>
  <r>
    <x v="136"/>
    <n v="2022006"/>
    <x v="6"/>
    <s v="Lentil"/>
    <m/>
    <x v="15"/>
    <s v="Y"/>
    <x v="1"/>
    <n v="126"/>
    <n v="63"/>
    <x v="3"/>
    <m/>
    <m/>
    <m/>
    <n v="16"/>
    <m/>
    <m/>
    <m/>
    <m/>
    <m/>
    <n v="2"/>
    <n v="63"/>
    <x v="1"/>
    <n v="32"/>
    <m/>
    <n v="127"/>
    <x v="1"/>
    <n v="4"/>
    <x v="0"/>
    <m/>
    <m/>
    <n v="23"/>
    <x v="1"/>
    <s v="18/06/2022"/>
    <d v="2022-06-18T00:00:00"/>
    <s v="2022006-126"/>
    <x v="0"/>
  </r>
  <r>
    <x v="137"/>
    <n v="2022006"/>
    <x v="6"/>
    <s v="Lentil"/>
    <m/>
    <x v="1"/>
    <s v="Y"/>
    <x v="2"/>
    <n v="127"/>
    <n v="64"/>
    <x v="3"/>
    <m/>
    <m/>
    <m/>
    <n v="16"/>
    <m/>
    <m/>
    <m/>
    <m/>
    <m/>
    <n v="3"/>
    <n v="63"/>
    <x v="2"/>
    <n v="32"/>
    <m/>
    <m/>
    <x v="1"/>
    <n v="3"/>
    <x v="0"/>
    <m/>
    <m/>
    <n v="23"/>
    <x v="1"/>
    <s v="18/06/2022"/>
    <d v="2022-06-18T00:00:00"/>
    <s v="2022006-127"/>
    <x v="0"/>
  </r>
  <r>
    <x v="137"/>
    <n v="2022006"/>
    <x v="6"/>
    <s v="Lentil"/>
    <m/>
    <x v="1"/>
    <s v="Y"/>
    <x v="1"/>
    <n v="128"/>
    <n v="64"/>
    <x v="3"/>
    <m/>
    <m/>
    <m/>
    <n v="16"/>
    <m/>
    <m/>
    <m/>
    <m/>
    <m/>
    <n v="4"/>
    <n v="63"/>
    <x v="3"/>
    <n v="32"/>
    <m/>
    <n v="125"/>
    <x v="1"/>
    <n v="3"/>
    <x v="0"/>
    <m/>
    <m/>
    <n v="23"/>
    <x v="1"/>
    <s v="18/06/2022"/>
    <d v="2022-06-18T00:00:00"/>
    <s v="2022006-128"/>
    <x v="0"/>
  </r>
  <r>
    <x v="144"/>
    <n v="2022007"/>
    <x v="7"/>
    <s v="Lentil"/>
    <m/>
    <x v="16"/>
    <s v="N"/>
    <x v="2"/>
    <n v="1"/>
    <n v="1"/>
    <x v="0"/>
    <m/>
    <m/>
    <m/>
    <n v="1"/>
    <m/>
    <m/>
    <m/>
    <m/>
    <m/>
    <n v="1"/>
    <n v="2"/>
    <x v="0"/>
    <n v="1"/>
    <m/>
    <m/>
    <x v="1"/>
    <n v="2"/>
    <x v="0"/>
    <m/>
    <m/>
    <n v="30"/>
    <x v="2"/>
    <s v="15/06/2022"/>
    <d v="2022-06-15T00:00:00"/>
    <s v="2022007-1"/>
    <x v="0"/>
  </r>
  <r>
    <x v="144"/>
    <n v="2022007"/>
    <x v="7"/>
    <s v="Lentil"/>
    <m/>
    <x v="16"/>
    <s v="N"/>
    <x v="1"/>
    <n v="2"/>
    <n v="1"/>
    <x v="0"/>
    <m/>
    <m/>
    <m/>
    <n v="1"/>
    <m/>
    <m/>
    <m/>
    <m/>
    <m/>
    <n v="1"/>
    <n v="3"/>
    <x v="0"/>
    <n v="2"/>
    <m/>
    <n v="1"/>
    <x v="1"/>
    <n v="2"/>
    <x v="0"/>
    <m/>
    <m/>
    <n v="30"/>
    <x v="2"/>
    <s v="15/06/2022"/>
    <d v="2022-06-15T00:00:00"/>
    <s v="2022007-2"/>
    <x v="0"/>
  </r>
  <r>
    <x v="145"/>
    <n v="2022007"/>
    <x v="7"/>
    <s v="Lentil"/>
    <m/>
    <x v="1"/>
    <s v="Y"/>
    <x v="2"/>
    <n v="3"/>
    <n v="2"/>
    <x v="0"/>
    <m/>
    <m/>
    <m/>
    <n v="1"/>
    <m/>
    <m/>
    <m/>
    <m/>
    <m/>
    <n v="2"/>
    <n v="2"/>
    <x v="1"/>
    <n v="1"/>
    <m/>
    <m/>
    <x v="1"/>
    <n v="3"/>
    <x v="0"/>
    <m/>
    <m/>
    <n v="30"/>
    <x v="2"/>
    <s v="15/06/2022"/>
    <d v="2022-06-15T00:00:00"/>
    <s v="2022007-3"/>
    <x v="0"/>
  </r>
  <r>
    <x v="145"/>
    <n v="2022007"/>
    <x v="7"/>
    <s v="Lentil"/>
    <m/>
    <x v="1"/>
    <s v="Y"/>
    <x v="1"/>
    <n v="4"/>
    <n v="2"/>
    <x v="0"/>
    <m/>
    <m/>
    <m/>
    <n v="1"/>
    <m/>
    <m/>
    <m/>
    <m/>
    <m/>
    <n v="2"/>
    <n v="3"/>
    <x v="1"/>
    <n v="2"/>
    <m/>
    <n v="2"/>
    <x v="1"/>
    <n v="3"/>
    <x v="0"/>
    <m/>
    <m/>
    <n v="30"/>
    <x v="2"/>
    <s v="15/06/2022"/>
    <d v="2022-06-15T00:00:00"/>
    <s v="2022007-4"/>
    <x v="0"/>
  </r>
  <r>
    <x v="146"/>
    <n v="2022007"/>
    <x v="7"/>
    <s v="Lentil"/>
    <m/>
    <x v="14"/>
    <s v="N"/>
    <x v="2"/>
    <n v="5"/>
    <n v="3"/>
    <x v="0"/>
    <m/>
    <m/>
    <m/>
    <n v="1"/>
    <m/>
    <m/>
    <m/>
    <m/>
    <m/>
    <n v="3"/>
    <n v="2"/>
    <x v="2"/>
    <n v="1"/>
    <m/>
    <m/>
    <x v="1"/>
    <n v="1"/>
    <x v="0"/>
    <m/>
    <m/>
    <n v="30"/>
    <x v="2"/>
    <s v="15/06/2022"/>
    <d v="2022-06-15T00:00:00"/>
    <s v="2022007-5"/>
    <x v="0"/>
  </r>
  <r>
    <x v="146"/>
    <n v="2022007"/>
    <x v="7"/>
    <s v="Lentil"/>
    <m/>
    <x v="14"/>
    <s v="N"/>
    <x v="1"/>
    <n v="6"/>
    <n v="3"/>
    <x v="0"/>
    <m/>
    <m/>
    <m/>
    <n v="1"/>
    <m/>
    <m/>
    <m/>
    <m/>
    <m/>
    <n v="3"/>
    <n v="3"/>
    <x v="2"/>
    <n v="2"/>
    <m/>
    <n v="3"/>
    <x v="1"/>
    <n v="1"/>
    <x v="0"/>
    <m/>
    <m/>
    <n v="30"/>
    <x v="2"/>
    <s v="15/06/2022"/>
    <d v="2022-06-15T00:00:00"/>
    <s v="2022007-6"/>
    <x v="0"/>
  </r>
  <r>
    <x v="147"/>
    <n v="2022007"/>
    <x v="7"/>
    <s v="Lentil"/>
    <m/>
    <x v="15"/>
    <s v="Y"/>
    <x v="2"/>
    <n v="7"/>
    <n v="4"/>
    <x v="0"/>
    <m/>
    <m/>
    <m/>
    <n v="1"/>
    <m/>
    <m/>
    <m/>
    <m/>
    <m/>
    <n v="4"/>
    <n v="2"/>
    <x v="3"/>
    <n v="1"/>
    <m/>
    <m/>
    <x v="1"/>
    <n v="4"/>
    <x v="0"/>
    <m/>
    <m/>
    <n v="30"/>
    <x v="2"/>
    <s v="15/06/2022"/>
    <d v="2022-06-15T00:00:00"/>
    <s v="2022007-7"/>
    <x v="0"/>
  </r>
  <r>
    <x v="147"/>
    <n v="2022007"/>
    <x v="7"/>
    <s v="Lentil"/>
    <m/>
    <x v="15"/>
    <s v="Y"/>
    <x v="1"/>
    <n v="8"/>
    <n v="4"/>
    <x v="0"/>
    <m/>
    <m/>
    <m/>
    <n v="1"/>
    <m/>
    <m/>
    <m/>
    <m/>
    <m/>
    <n v="4"/>
    <n v="3"/>
    <x v="3"/>
    <n v="2"/>
    <m/>
    <n v="4"/>
    <x v="1"/>
    <n v="4"/>
    <x v="0"/>
    <m/>
    <m/>
    <n v="30"/>
    <x v="2"/>
    <s v="15/06/2022"/>
    <d v="2022-06-15T00:00:00"/>
    <s v="2022007-8"/>
    <x v="0"/>
  </r>
  <r>
    <x v="148"/>
    <n v="2022007"/>
    <x v="7"/>
    <s v="Lentil"/>
    <m/>
    <x v="15"/>
    <s v="Y"/>
    <x v="2"/>
    <n v="9"/>
    <n v="5"/>
    <x v="0"/>
    <m/>
    <m/>
    <m/>
    <n v="2"/>
    <m/>
    <m/>
    <m/>
    <m/>
    <m/>
    <n v="1"/>
    <n v="6"/>
    <x v="0"/>
    <n v="3"/>
    <m/>
    <m/>
    <x v="1"/>
    <n v="4"/>
    <x v="0"/>
    <m/>
    <m/>
    <n v="30"/>
    <x v="1"/>
    <s v="11/05/2022"/>
    <d v="2022-05-11T00:00:00"/>
    <s v="2022007-9"/>
    <x v="0"/>
  </r>
  <r>
    <x v="148"/>
    <n v="2022007"/>
    <x v="7"/>
    <s v="Lentil"/>
    <m/>
    <x v="15"/>
    <s v="Y"/>
    <x v="1"/>
    <n v="10"/>
    <n v="5"/>
    <x v="0"/>
    <m/>
    <m/>
    <m/>
    <n v="2"/>
    <m/>
    <m/>
    <m/>
    <m/>
    <m/>
    <n v="1"/>
    <n v="7"/>
    <x v="0"/>
    <n v="4"/>
    <m/>
    <n v="16"/>
    <x v="1"/>
    <n v="4"/>
    <x v="0"/>
    <m/>
    <m/>
    <n v="30"/>
    <x v="1"/>
    <s v="11/05/2022"/>
    <d v="2022-05-11T00:00:00"/>
    <s v="2022007-10"/>
    <x v="0"/>
  </r>
  <r>
    <x v="149"/>
    <n v="2022007"/>
    <x v="7"/>
    <s v="Lentil"/>
    <m/>
    <x v="16"/>
    <s v="N"/>
    <x v="2"/>
    <n v="11"/>
    <n v="6"/>
    <x v="0"/>
    <m/>
    <m/>
    <m/>
    <n v="2"/>
    <m/>
    <m/>
    <m/>
    <m/>
    <m/>
    <n v="2"/>
    <n v="6"/>
    <x v="1"/>
    <n v="3"/>
    <m/>
    <m/>
    <x v="1"/>
    <n v="2"/>
    <x v="0"/>
    <m/>
    <m/>
    <n v="30"/>
    <x v="1"/>
    <s v="11/05/2022"/>
    <d v="2022-05-11T00:00:00"/>
    <s v="2022007-11"/>
    <x v="0"/>
  </r>
  <r>
    <x v="149"/>
    <n v="2022007"/>
    <x v="7"/>
    <s v="Lentil"/>
    <m/>
    <x v="16"/>
    <s v="N"/>
    <x v="1"/>
    <n v="12"/>
    <n v="6"/>
    <x v="0"/>
    <m/>
    <m/>
    <m/>
    <n v="2"/>
    <m/>
    <m/>
    <m/>
    <m/>
    <m/>
    <n v="2"/>
    <n v="7"/>
    <x v="1"/>
    <n v="4"/>
    <m/>
    <n v="15"/>
    <x v="1"/>
    <n v="2"/>
    <x v="0"/>
    <m/>
    <m/>
    <n v="30"/>
    <x v="1"/>
    <s v="11/05/2022"/>
    <d v="2022-05-11T00:00:00"/>
    <s v="2022007-12"/>
    <x v="0"/>
  </r>
  <r>
    <x v="150"/>
    <n v="2022007"/>
    <x v="7"/>
    <s v="Lentil"/>
    <m/>
    <x v="1"/>
    <s v="Y"/>
    <x v="2"/>
    <n v="13"/>
    <n v="7"/>
    <x v="0"/>
    <m/>
    <m/>
    <m/>
    <n v="2"/>
    <m/>
    <m/>
    <m/>
    <m/>
    <m/>
    <n v="3"/>
    <n v="6"/>
    <x v="2"/>
    <n v="3"/>
    <m/>
    <m/>
    <x v="1"/>
    <n v="3"/>
    <x v="0"/>
    <m/>
    <m/>
    <n v="30"/>
    <x v="1"/>
    <s v="11/05/2022"/>
    <d v="2022-05-11T00:00:00"/>
    <s v="2022007-13"/>
    <x v="0"/>
  </r>
  <r>
    <x v="150"/>
    <n v="2022007"/>
    <x v="7"/>
    <s v="Lentil"/>
    <m/>
    <x v="1"/>
    <s v="Y"/>
    <x v="1"/>
    <n v="14"/>
    <n v="7"/>
    <x v="0"/>
    <m/>
    <m/>
    <m/>
    <n v="2"/>
    <m/>
    <m/>
    <m/>
    <m/>
    <m/>
    <n v="3"/>
    <n v="7"/>
    <x v="2"/>
    <n v="4"/>
    <m/>
    <n v="14"/>
    <x v="1"/>
    <n v="3"/>
    <x v="0"/>
    <m/>
    <m/>
    <n v="30"/>
    <x v="1"/>
    <s v="11/05/2022"/>
    <d v="2022-05-11T00:00:00"/>
    <s v="2022007-14"/>
    <x v="0"/>
  </r>
  <r>
    <x v="151"/>
    <n v="2022007"/>
    <x v="7"/>
    <s v="Lentil"/>
    <m/>
    <x v="14"/>
    <s v="N"/>
    <x v="2"/>
    <n v="15"/>
    <n v="8"/>
    <x v="0"/>
    <m/>
    <m/>
    <m/>
    <n v="2"/>
    <m/>
    <m/>
    <m/>
    <m/>
    <m/>
    <n v="4"/>
    <n v="6"/>
    <x v="3"/>
    <n v="3"/>
    <m/>
    <m/>
    <x v="1"/>
    <n v="1"/>
    <x v="0"/>
    <m/>
    <m/>
    <n v="30"/>
    <x v="1"/>
    <s v="11/05/2022"/>
    <d v="2022-05-11T00:00:00"/>
    <s v="2022007-15"/>
    <x v="0"/>
  </r>
  <r>
    <x v="151"/>
    <n v="2022007"/>
    <x v="7"/>
    <s v="Lentil"/>
    <m/>
    <x v="14"/>
    <s v="N"/>
    <x v="1"/>
    <n v="16"/>
    <n v="8"/>
    <x v="0"/>
    <m/>
    <m/>
    <m/>
    <n v="2"/>
    <m/>
    <m/>
    <m/>
    <m/>
    <m/>
    <n v="4"/>
    <n v="7"/>
    <x v="3"/>
    <n v="4"/>
    <m/>
    <n v="13"/>
    <x v="1"/>
    <n v="1"/>
    <x v="0"/>
    <m/>
    <m/>
    <n v="30"/>
    <x v="1"/>
    <s v="11/05/2022"/>
    <d v="2022-05-11T00:00:00"/>
    <s v="2022007-16"/>
    <x v="0"/>
  </r>
  <r>
    <x v="147"/>
    <n v="2022007"/>
    <x v="7"/>
    <s v="Lentil"/>
    <m/>
    <x v="15"/>
    <s v="Y"/>
    <x v="2"/>
    <n v="17"/>
    <n v="9"/>
    <x v="1"/>
    <m/>
    <m/>
    <m/>
    <n v="3"/>
    <m/>
    <m/>
    <m/>
    <m/>
    <m/>
    <n v="1"/>
    <n v="10"/>
    <x v="0"/>
    <n v="5"/>
    <m/>
    <m/>
    <x v="1"/>
    <n v="4"/>
    <x v="0"/>
    <m/>
    <m/>
    <n v="30"/>
    <x v="2"/>
    <s v="15/06/2022"/>
    <d v="2022-06-15T00:00:00"/>
    <s v="2022007-17"/>
    <x v="0"/>
  </r>
  <r>
    <x v="147"/>
    <n v="2022007"/>
    <x v="7"/>
    <s v="Lentil"/>
    <m/>
    <x v="15"/>
    <s v="Y"/>
    <x v="1"/>
    <n v="18"/>
    <n v="9"/>
    <x v="1"/>
    <m/>
    <m/>
    <m/>
    <n v="3"/>
    <m/>
    <m/>
    <m/>
    <m/>
    <m/>
    <n v="1"/>
    <n v="11"/>
    <x v="0"/>
    <n v="6"/>
    <m/>
    <n v="17"/>
    <x v="1"/>
    <n v="4"/>
    <x v="0"/>
    <m/>
    <m/>
    <n v="30"/>
    <x v="2"/>
    <s v="15/06/2022"/>
    <d v="2022-06-15T00:00:00"/>
    <s v="2022007-18"/>
    <x v="0"/>
  </r>
  <r>
    <x v="146"/>
    <n v="2022007"/>
    <x v="7"/>
    <s v="Lentil"/>
    <m/>
    <x v="14"/>
    <s v="N"/>
    <x v="2"/>
    <n v="19"/>
    <n v="10"/>
    <x v="1"/>
    <m/>
    <m/>
    <m/>
    <n v="3"/>
    <m/>
    <m/>
    <m/>
    <m/>
    <m/>
    <n v="2"/>
    <n v="10"/>
    <x v="1"/>
    <n v="5"/>
    <m/>
    <m/>
    <x v="1"/>
    <n v="1"/>
    <x v="0"/>
    <m/>
    <m/>
    <n v="30"/>
    <x v="2"/>
    <s v="15/06/2022"/>
    <d v="2022-06-15T00:00:00"/>
    <s v="2022007-19"/>
    <x v="0"/>
  </r>
  <r>
    <x v="146"/>
    <n v="2022007"/>
    <x v="7"/>
    <s v="Lentil"/>
    <m/>
    <x v="14"/>
    <s v="N"/>
    <x v="1"/>
    <n v="20"/>
    <n v="10"/>
    <x v="1"/>
    <m/>
    <m/>
    <m/>
    <n v="3"/>
    <m/>
    <m/>
    <m/>
    <m/>
    <m/>
    <n v="2"/>
    <n v="11"/>
    <x v="1"/>
    <n v="6"/>
    <m/>
    <n v="18"/>
    <x v="1"/>
    <n v="1"/>
    <x v="0"/>
    <m/>
    <m/>
    <n v="30"/>
    <x v="2"/>
    <s v="15/06/2022"/>
    <d v="2022-06-15T00:00:00"/>
    <s v="2022007-20"/>
    <x v="0"/>
  </r>
  <r>
    <x v="144"/>
    <n v="2022007"/>
    <x v="7"/>
    <s v="Lentil"/>
    <m/>
    <x v="16"/>
    <s v="N"/>
    <x v="2"/>
    <n v="21"/>
    <n v="11"/>
    <x v="1"/>
    <m/>
    <m/>
    <m/>
    <n v="3"/>
    <m/>
    <m/>
    <m/>
    <m/>
    <m/>
    <n v="3"/>
    <n v="10"/>
    <x v="2"/>
    <n v="5"/>
    <m/>
    <m/>
    <x v="1"/>
    <n v="2"/>
    <x v="0"/>
    <m/>
    <m/>
    <n v="30"/>
    <x v="2"/>
    <s v="15/06/2022"/>
    <d v="2022-06-15T00:00:00"/>
    <s v="2022007-21"/>
    <x v="0"/>
  </r>
  <r>
    <x v="144"/>
    <n v="2022007"/>
    <x v="7"/>
    <s v="Lentil"/>
    <m/>
    <x v="16"/>
    <s v="N"/>
    <x v="1"/>
    <n v="22"/>
    <n v="11"/>
    <x v="1"/>
    <m/>
    <m/>
    <m/>
    <n v="3"/>
    <m/>
    <m/>
    <m/>
    <m/>
    <m/>
    <n v="3"/>
    <n v="11"/>
    <x v="2"/>
    <n v="6"/>
    <m/>
    <n v="19"/>
    <x v="1"/>
    <n v="2"/>
    <x v="0"/>
    <m/>
    <m/>
    <n v="30"/>
    <x v="2"/>
    <s v="15/06/2022"/>
    <d v="2022-06-15T00:00:00"/>
    <s v="2022007-22"/>
    <x v="0"/>
  </r>
  <r>
    <x v="145"/>
    <n v="2022007"/>
    <x v="7"/>
    <s v="Lentil"/>
    <m/>
    <x v="1"/>
    <s v="Y"/>
    <x v="2"/>
    <n v="23"/>
    <n v="12"/>
    <x v="1"/>
    <m/>
    <m/>
    <m/>
    <n v="3"/>
    <m/>
    <m/>
    <m/>
    <m/>
    <m/>
    <n v="4"/>
    <n v="10"/>
    <x v="3"/>
    <n v="5"/>
    <m/>
    <m/>
    <x v="1"/>
    <n v="3"/>
    <x v="0"/>
    <m/>
    <m/>
    <n v="30"/>
    <x v="2"/>
    <s v="15/06/2022"/>
    <d v="2022-06-15T00:00:00"/>
    <s v="2022007-23"/>
    <x v="0"/>
  </r>
  <r>
    <x v="145"/>
    <n v="2022007"/>
    <x v="7"/>
    <s v="Lentil"/>
    <m/>
    <x v="1"/>
    <s v="Y"/>
    <x v="1"/>
    <n v="24"/>
    <n v="12"/>
    <x v="1"/>
    <m/>
    <m/>
    <m/>
    <n v="3"/>
    <m/>
    <m/>
    <m/>
    <m/>
    <m/>
    <n v="4"/>
    <n v="11"/>
    <x v="3"/>
    <n v="6"/>
    <m/>
    <n v="20"/>
    <x v="1"/>
    <n v="3"/>
    <x v="0"/>
    <m/>
    <m/>
    <n v="30"/>
    <x v="2"/>
    <s v="15/06/2022"/>
    <d v="2022-06-15T00:00:00"/>
    <s v="2022007-24"/>
    <x v="0"/>
  </r>
  <r>
    <x v="150"/>
    <n v="2022007"/>
    <x v="7"/>
    <s v="Lentil"/>
    <m/>
    <x v="1"/>
    <s v="Y"/>
    <x v="2"/>
    <n v="25"/>
    <n v="13"/>
    <x v="1"/>
    <m/>
    <m/>
    <m/>
    <n v="4"/>
    <m/>
    <m/>
    <m/>
    <m/>
    <m/>
    <n v="1"/>
    <n v="14"/>
    <x v="0"/>
    <n v="7"/>
    <m/>
    <m/>
    <x v="1"/>
    <n v="3"/>
    <x v="0"/>
    <m/>
    <m/>
    <n v="30"/>
    <x v="1"/>
    <s v="11/05/2022"/>
    <d v="2022-05-11T00:00:00"/>
    <s v="2022007-25"/>
    <x v="0"/>
  </r>
  <r>
    <x v="150"/>
    <n v="2022007"/>
    <x v="7"/>
    <s v="Lentil"/>
    <m/>
    <x v="1"/>
    <s v="Y"/>
    <x v="1"/>
    <n v="26"/>
    <n v="13"/>
    <x v="1"/>
    <m/>
    <m/>
    <m/>
    <n v="4"/>
    <m/>
    <m/>
    <m/>
    <m/>
    <m/>
    <n v="1"/>
    <n v="15"/>
    <x v="0"/>
    <n v="8"/>
    <m/>
    <n v="32"/>
    <x v="1"/>
    <n v="3"/>
    <x v="0"/>
    <m/>
    <m/>
    <n v="30"/>
    <x v="1"/>
    <s v="11/05/2022"/>
    <d v="2022-05-11T00:00:00"/>
    <s v="2022007-26"/>
    <x v="0"/>
  </r>
  <r>
    <x v="148"/>
    <n v="2022007"/>
    <x v="7"/>
    <s v="Lentil"/>
    <m/>
    <x v="15"/>
    <s v="Y"/>
    <x v="2"/>
    <n v="27"/>
    <n v="14"/>
    <x v="1"/>
    <m/>
    <m/>
    <m/>
    <n v="4"/>
    <m/>
    <m/>
    <m/>
    <m/>
    <m/>
    <n v="2"/>
    <n v="14"/>
    <x v="1"/>
    <n v="7"/>
    <m/>
    <m/>
    <x v="1"/>
    <n v="4"/>
    <x v="0"/>
    <m/>
    <m/>
    <n v="30"/>
    <x v="1"/>
    <s v="11/05/2022"/>
    <d v="2022-05-11T00:00:00"/>
    <s v="2022007-27"/>
    <x v="0"/>
  </r>
  <r>
    <x v="148"/>
    <n v="2022007"/>
    <x v="7"/>
    <s v="Lentil"/>
    <m/>
    <x v="15"/>
    <s v="Y"/>
    <x v="1"/>
    <n v="28"/>
    <n v="14"/>
    <x v="1"/>
    <m/>
    <m/>
    <m/>
    <n v="4"/>
    <m/>
    <m/>
    <m/>
    <m/>
    <m/>
    <n v="2"/>
    <n v="15"/>
    <x v="1"/>
    <n v="8"/>
    <m/>
    <n v="31"/>
    <x v="1"/>
    <n v="4"/>
    <x v="0"/>
    <m/>
    <m/>
    <n v="30"/>
    <x v="1"/>
    <s v="11/05/2022"/>
    <d v="2022-05-11T00:00:00"/>
    <s v="2022007-28"/>
    <x v="0"/>
  </r>
  <r>
    <x v="151"/>
    <n v="2022007"/>
    <x v="7"/>
    <s v="Lentil"/>
    <m/>
    <x v="14"/>
    <s v="N"/>
    <x v="2"/>
    <n v="29"/>
    <n v="15"/>
    <x v="1"/>
    <m/>
    <m/>
    <m/>
    <n v="4"/>
    <m/>
    <m/>
    <m/>
    <m/>
    <m/>
    <n v="3"/>
    <n v="14"/>
    <x v="2"/>
    <n v="7"/>
    <m/>
    <m/>
    <x v="1"/>
    <n v="1"/>
    <x v="0"/>
    <m/>
    <m/>
    <n v="30"/>
    <x v="1"/>
    <s v="11/05/2022"/>
    <d v="2022-05-11T00:00:00"/>
    <s v="2022007-29"/>
    <x v="0"/>
  </r>
  <r>
    <x v="151"/>
    <n v="2022007"/>
    <x v="7"/>
    <s v="Lentil"/>
    <m/>
    <x v="14"/>
    <s v="N"/>
    <x v="1"/>
    <n v="30"/>
    <n v="15"/>
    <x v="1"/>
    <m/>
    <m/>
    <m/>
    <n v="4"/>
    <m/>
    <m/>
    <m/>
    <m/>
    <m/>
    <n v="3"/>
    <n v="15"/>
    <x v="2"/>
    <n v="8"/>
    <m/>
    <n v="30"/>
    <x v="1"/>
    <n v="1"/>
    <x v="0"/>
    <m/>
    <m/>
    <n v="30"/>
    <x v="1"/>
    <s v="11/05/2022"/>
    <d v="2022-05-11T00:00:00"/>
    <s v="2022007-30"/>
    <x v="0"/>
  </r>
  <r>
    <x v="149"/>
    <n v="2022007"/>
    <x v="7"/>
    <s v="Lentil"/>
    <m/>
    <x v="16"/>
    <s v="N"/>
    <x v="2"/>
    <n v="31"/>
    <n v="16"/>
    <x v="1"/>
    <m/>
    <m/>
    <m/>
    <n v="4"/>
    <m/>
    <m/>
    <m/>
    <m/>
    <m/>
    <n v="4"/>
    <n v="14"/>
    <x v="3"/>
    <n v="7"/>
    <m/>
    <m/>
    <x v="1"/>
    <n v="2"/>
    <x v="0"/>
    <m/>
    <m/>
    <n v="30"/>
    <x v="1"/>
    <s v="11/05/2022"/>
    <d v="2022-05-11T00:00:00"/>
    <s v="2022007-31"/>
    <x v="0"/>
  </r>
  <r>
    <x v="149"/>
    <n v="2022007"/>
    <x v="7"/>
    <s v="Lentil"/>
    <m/>
    <x v="16"/>
    <s v="N"/>
    <x v="1"/>
    <n v="32"/>
    <n v="16"/>
    <x v="1"/>
    <m/>
    <m/>
    <m/>
    <n v="4"/>
    <m/>
    <m/>
    <m/>
    <m/>
    <m/>
    <n v="4"/>
    <n v="15"/>
    <x v="3"/>
    <n v="8"/>
    <m/>
    <n v="29"/>
    <x v="1"/>
    <n v="2"/>
    <x v="0"/>
    <m/>
    <m/>
    <n v="30"/>
    <x v="1"/>
    <s v="11/05/2022"/>
    <d v="2022-05-11T00:00:00"/>
    <s v="2022007-32"/>
    <x v="0"/>
  </r>
  <r>
    <x v="151"/>
    <n v="2022007"/>
    <x v="7"/>
    <s v="Lentil"/>
    <m/>
    <x v="14"/>
    <s v="N"/>
    <x v="2"/>
    <n v="33"/>
    <n v="17"/>
    <x v="2"/>
    <m/>
    <m/>
    <m/>
    <n v="5"/>
    <m/>
    <m/>
    <m/>
    <m/>
    <m/>
    <n v="1"/>
    <n v="18"/>
    <x v="0"/>
    <n v="9"/>
    <m/>
    <m/>
    <x v="1"/>
    <n v="1"/>
    <x v="0"/>
    <m/>
    <m/>
    <n v="30"/>
    <x v="1"/>
    <s v="11/05/2022"/>
    <d v="2022-05-11T00:00:00"/>
    <s v="2022007-33"/>
    <x v="0"/>
  </r>
  <r>
    <x v="151"/>
    <n v="2022007"/>
    <x v="7"/>
    <s v="Lentil"/>
    <m/>
    <x v="14"/>
    <s v="N"/>
    <x v="1"/>
    <n v="34"/>
    <n v="17"/>
    <x v="2"/>
    <m/>
    <m/>
    <m/>
    <n v="5"/>
    <m/>
    <m/>
    <m/>
    <m/>
    <m/>
    <n v="1"/>
    <n v="19"/>
    <x v="0"/>
    <n v="10"/>
    <m/>
    <n v="33"/>
    <x v="1"/>
    <n v="1"/>
    <x v="0"/>
    <m/>
    <m/>
    <n v="30"/>
    <x v="1"/>
    <s v="11/05/2022"/>
    <d v="2022-05-11T00:00:00"/>
    <s v="2022007-34"/>
    <x v="0"/>
  </r>
  <r>
    <x v="150"/>
    <n v="2022007"/>
    <x v="7"/>
    <s v="Lentil"/>
    <m/>
    <x v="1"/>
    <s v="Y"/>
    <x v="2"/>
    <n v="35"/>
    <n v="18"/>
    <x v="2"/>
    <m/>
    <m/>
    <m/>
    <n v="5"/>
    <m/>
    <m/>
    <m/>
    <m/>
    <m/>
    <n v="2"/>
    <n v="18"/>
    <x v="1"/>
    <n v="9"/>
    <m/>
    <m/>
    <x v="1"/>
    <n v="3"/>
    <x v="0"/>
    <m/>
    <m/>
    <n v="30"/>
    <x v="1"/>
    <s v="11/05/2022"/>
    <d v="2022-05-11T00:00:00"/>
    <s v="2022007-35"/>
    <x v="0"/>
  </r>
  <r>
    <x v="150"/>
    <n v="2022007"/>
    <x v="7"/>
    <s v="Lentil"/>
    <m/>
    <x v="1"/>
    <s v="Y"/>
    <x v="1"/>
    <n v="36"/>
    <n v="18"/>
    <x v="2"/>
    <m/>
    <m/>
    <m/>
    <n v="5"/>
    <m/>
    <m/>
    <m/>
    <m/>
    <m/>
    <n v="2"/>
    <n v="19"/>
    <x v="1"/>
    <n v="10"/>
    <m/>
    <n v="34"/>
    <x v="1"/>
    <n v="3"/>
    <x v="0"/>
    <m/>
    <m/>
    <n v="30"/>
    <x v="1"/>
    <s v="11/05/2022"/>
    <d v="2022-05-11T00:00:00"/>
    <s v="2022007-36"/>
    <x v="0"/>
  </r>
  <r>
    <x v="149"/>
    <n v="2022007"/>
    <x v="7"/>
    <s v="Lentil"/>
    <m/>
    <x v="16"/>
    <s v="N"/>
    <x v="2"/>
    <n v="37"/>
    <n v="19"/>
    <x v="2"/>
    <m/>
    <m/>
    <m/>
    <n v="5"/>
    <m/>
    <m/>
    <m/>
    <m/>
    <m/>
    <n v="3"/>
    <n v="18"/>
    <x v="2"/>
    <n v="9"/>
    <m/>
    <m/>
    <x v="1"/>
    <n v="2"/>
    <x v="0"/>
    <m/>
    <m/>
    <n v="30"/>
    <x v="1"/>
    <s v="11/05/2022"/>
    <d v="2022-05-11T00:00:00"/>
    <s v="2022007-37"/>
    <x v="0"/>
  </r>
  <r>
    <x v="149"/>
    <n v="2022007"/>
    <x v="7"/>
    <s v="Lentil"/>
    <m/>
    <x v="16"/>
    <s v="N"/>
    <x v="1"/>
    <n v="38"/>
    <n v="19"/>
    <x v="2"/>
    <m/>
    <m/>
    <m/>
    <n v="5"/>
    <m/>
    <m/>
    <m/>
    <m/>
    <m/>
    <n v="3"/>
    <n v="19"/>
    <x v="2"/>
    <n v="10"/>
    <m/>
    <n v="35"/>
    <x v="1"/>
    <n v="2"/>
    <x v="0"/>
    <m/>
    <m/>
    <n v="30"/>
    <x v="1"/>
    <s v="11/05/2022"/>
    <d v="2022-05-11T00:00:00"/>
    <s v="2022007-38"/>
    <x v="0"/>
  </r>
  <r>
    <x v="148"/>
    <n v="2022007"/>
    <x v="7"/>
    <s v="Lentil"/>
    <m/>
    <x v="15"/>
    <s v="Y"/>
    <x v="2"/>
    <n v="39"/>
    <n v="20"/>
    <x v="2"/>
    <m/>
    <m/>
    <m/>
    <n v="5"/>
    <m/>
    <m/>
    <m/>
    <m/>
    <m/>
    <n v="4"/>
    <n v="18"/>
    <x v="3"/>
    <n v="9"/>
    <m/>
    <m/>
    <x v="1"/>
    <n v="4"/>
    <x v="0"/>
    <m/>
    <m/>
    <n v="30"/>
    <x v="1"/>
    <s v="11/05/2022"/>
    <d v="2022-05-11T00:00:00"/>
    <s v="2022007-39"/>
    <x v="0"/>
  </r>
  <r>
    <x v="148"/>
    <n v="2022007"/>
    <x v="7"/>
    <s v="Lentil"/>
    <m/>
    <x v="15"/>
    <s v="Y"/>
    <x v="1"/>
    <n v="40"/>
    <n v="20"/>
    <x v="2"/>
    <m/>
    <m/>
    <m/>
    <n v="5"/>
    <m/>
    <m/>
    <m/>
    <m/>
    <m/>
    <n v="4"/>
    <n v="19"/>
    <x v="3"/>
    <n v="10"/>
    <m/>
    <n v="36"/>
    <x v="1"/>
    <n v="4"/>
    <x v="0"/>
    <m/>
    <m/>
    <n v="30"/>
    <x v="1"/>
    <s v="11/05/2022"/>
    <d v="2022-05-11T00:00:00"/>
    <s v="2022007-40"/>
    <x v="0"/>
  </r>
  <r>
    <x v="145"/>
    <n v="2022007"/>
    <x v="7"/>
    <s v="Lentil"/>
    <m/>
    <x v="1"/>
    <s v="Y"/>
    <x v="2"/>
    <n v="41"/>
    <n v="21"/>
    <x v="2"/>
    <m/>
    <m/>
    <m/>
    <n v="6"/>
    <m/>
    <m/>
    <m/>
    <m/>
    <m/>
    <n v="1"/>
    <n v="22"/>
    <x v="0"/>
    <n v="11"/>
    <m/>
    <m/>
    <x v="1"/>
    <n v="3"/>
    <x v="0"/>
    <m/>
    <m/>
    <n v="30"/>
    <x v="2"/>
    <s v="15/06/2022"/>
    <d v="2022-06-15T00:00:00"/>
    <s v="2022007-41"/>
    <x v="0"/>
  </r>
  <r>
    <x v="145"/>
    <n v="2022007"/>
    <x v="7"/>
    <s v="Lentil"/>
    <m/>
    <x v="1"/>
    <s v="Y"/>
    <x v="1"/>
    <n v="42"/>
    <n v="21"/>
    <x v="2"/>
    <m/>
    <m/>
    <m/>
    <n v="6"/>
    <m/>
    <m/>
    <m/>
    <m/>
    <m/>
    <n v="1"/>
    <n v="23"/>
    <x v="0"/>
    <n v="12"/>
    <m/>
    <n v="48"/>
    <x v="1"/>
    <n v="3"/>
    <x v="0"/>
    <m/>
    <m/>
    <n v="30"/>
    <x v="2"/>
    <s v="15/06/2022"/>
    <d v="2022-06-15T00:00:00"/>
    <s v="2022007-42"/>
    <x v="0"/>
  </r>
  <r>
    <x v="144"/>
    <n v="2022007"/>
    <x v="7"/>
    <s v="Lentil"/>
    <m/>
    <x v="16"/>
    <s v="N"/>
    <x v="2"/>
    <n v="43"/>
    <n v="22"/>
    <x v="2"/>
    <m/>
    <m/>
    <m/>
    <n v="6"/>
    <m/>
    <m/>
    <m/>
    <m/>
    <m/>
    <n v="2"/>
    <n v="22"/>
    <x v="1"/>
    <n v="11"/>
    <m/>
    <m/>
    <x v="1"/>
    <n v="2"/>
    <x v="0"/>
    <m/>
    <m/>
    <n v="30"/>
    <x v="2"/>
    <s v="15/06/2022"/>
    <d v="2022-06-15T00:00:00"/>
    <s v="2022007-43"/>
    <x v="0"/>
  </r>
  <r>
    <x v="144"/>
    <n v="2022007"/>
    <x v="7"/>
    <s v="Lentil"/>
    <m/>
    <x v="16"/>
    <s v="N"/>
    <x v="1"/>
    <n v="44"/>
    <n v="22"/>
    <x v="2"/>
    <m/>
    <m/>
    <m/>
    <n v="6"/>
    <m/>
    <m/>
    <m/>
    <m/>
    <m/>
    <n v="2"/>
    <n v="23"/>
    <x v="1"/>
    <n v="12"/>
    <m/>
    <n v="47"/>
    <x v="1"/>
    <n v="2"/>
    <x v="0"/>
    <m/>
    <m/>
    <n v="30"/>
    <x v="2"/>
    <s v="15/06/2022"/>
    <d v="2022-06-15T00:00:00"/>
    <s v="2022007-44"/>
    <x v="0"/>
  </r>
  <r>
    <x v="147"/>
    <n v="2022007"/>
    <x v="7"/>
    <s v="Lentil"/>
    <m/>
    <x v="15"/>
    <s v="Y"/>
    <x v="2"/>
    <n v="45"/>
    <n v="23"/>
    <x v="2"/>
    <m/>
    <m/>
    <m/>
    <n v="6"/>
    <m/>
    <m/>
    <m/>
    <m/>
    <m/>
    <n v="3"/>
    <n v="22"/>
    <x v="2"/>
    <n v="11"/>
    <m/>
    <m/>
    <x v="1"/>
    <n v="4"/>
    <x v="0"/>
    <m/>
    <m/>
    <n v="30"/>
    <x v="2"/>
    <s v="15/06/2022"/>
    <d v="2022-06-15T00:00:00"/>
    <s v="2022007-45"/>
    <x v="0"/>
  </r>
  <r>
    <x v="147"/>
    <n v="2022007"/>
    <x v="7"/>
    <s v="Lentil"/>
    <m/>
    <x v="15"/>
    <s v="Y"/>
    <x v="1"/>
    <n v="46"/>
    <n v="23"/>
    <x v="2"/>
    <m/>
    <m/>
    <m/>
    <n v="6"/>
    <m/>
    <m/>
    <m/>
    <m/>
    <m/>
    <n v="3"/>
    <n v="23"/>
    <x v="2"/>
    <n v="12"/>
    <m/>
    <n v="46"/>
    <x v="1"/>
    <n v="4"/>
    <x v="0"/>
    <m/>
    <m/>
    <n v="30"/>
    <x v="2"/>
    <s v="15/06/2022"/>
    <d v="2022-06-15T00:00:00"/>
    <s v="2022007-46"/>
    <x v="0"/>
  </r>
  <r>
    <x v="146"/>
    <n v="2022007"/>
    <x v="7"/>
    <s v="Lentil"/>
    <m/>
    <x v="14"/>
    <s v="N"/>
    <x v="2"/>
    <n v="47"/>
    <n v="24"/>
    <x v="2"/>
    <m/>
    <m/>
    <m/>
    <n v="6"/>
    <m/>
    <m/>
    <m/>
    <m/>
    <m/>
    <n v="4"/>
    <n v="22"/>
    <x v="3"/>
    <n v="11"/>
    <m/>
    <m/>
    <x v="1"/>
    <n v="1"/>
    <x v="0"/>
    <m/>
    <m/>
    <n v="30"/>
    <x v="2"/>
    <s v="15/06/2022"/>
    <d v="2022-06-15T00:00:00"/>
    <s v="2022007-47"/>
    <x v="0"/>
  </r>
  <r>
    <x v="146"/>
    <n v="2022007"/>
    <x v="7"/>
    <s v="Lentil"/>
    <m/>
    <x v="14"/>
    <s v="N"/>
    <x v="1"/>
    <n v="48"/>
    <n v="24"/>
    <x v="2"/>
    <m/>
    <m/>
    <m/>
    <n v="6"/>
    <m/>
    <m/>
    <m/>
    <m/>
    <m/>
    <n v="4"/>
    <n v="23"/>
    <x v="3"/>
    <n v="12"/>
    <m/>
    <n v="45"/>
    <x v="1"/>
    <n v="1"/>
    <x v="0"/>
    <m/>
    <m/>
    <n v="30"/>
    <x v="2"/>
    <s v="15/06/2022"/>
    <d v="2022-06-15T00:00:00"/>
    <s v="2022007-48"/>
    <x v="0"/>
  </r>
  <r>
    <x v="149"/>
    <n v="2022007"/>
    <x v="7"/>
    <s v="Lentil"/>
    <m/>
    <x v="16"/>
    <s v="N"/>
    <x v="2"/>
    <n v="49"/>
    <n v="25"/>
    <x v="3"/>
    <m/>
    <m/>
    <m/>
    <n v="7"/>
    <m/>
    <m/>
    <m/>
    <m/>
    <m/>
    <n v="1"/>
    <n v="26"/>
    <x v="0"/>
    <n v="13"/>
    <m/>
    <m/>
    <x v="1"/>
    <n v="2"/>
    <x v="0"/>
    <m/>
    <m/>
    <n v="30"/>
    <x v="1"/>
    <s v="11/05/2022"/>
    <d v="2022-05-11T00:00:00"/>
    <s v="2022007-49"/>
    <x v="0"/>
  </r>
  <r>
    <x v="149"/>
    <n v="2022007"/>
    <x v="7"/>
    <s v="Lentil"/>
    <m/>
    <x v="16"/>
    <s v="N"/>
    <x v="1"/>
    <n v="50"/>
    <n v="25"/>
    <x v="3"/>
    <m/>
    <m/>
    <m/>
    <n v="7"/>
    <m/>
    <m/>
    <m/>
    <m/>
    <m/>
    <n v="1"/>
    <n v="27"/>
    <x v="0"/>
    <n v="14"/>
    <m/>
    <n v="49"/>
    <x v="1"/>
    <n v="2"/>
    <x v="0"/>
    <m/>
    <m/>
    <n v="30"/>
    <x v="1"/>
    <s v="11/05/2022"/>
    <d v="2022-05-11T00:00:00"/>
    <s v="2022007-50"/>
    <x v="0"/>
  </r>
  <r>
    <x v="151"/>
    <n v="2022007"/>
    <x v="7"/>
    <s v="Lentil"/>
    <m/>
    <x v="14"/>
    <s v="N"/>
    <x v="2"/>
    <n v="51"/>
    <n v="26"/>
    <x v="3"/>
    <m/>
    <m/>
    <m/>
    <n v="7"/>
    <m/>
    <m/>
    <m/>
    <m/>
    <m/>
    <n v="2"/>
    <n v="26"/>
    <x v="1"/>
    <n v="13"/>
    <m/>
    <m/>
    <x v="1"/>
    <n v="1"/>
    <x v="0"/>
    <m/>
    <m/>
    <n v="30"/>
    <x v="1"/>
    <s v="11/05/2022"/>
    <d v="2022-05-11T00:00:00"/>
    <s v="2022007-51"/>
    <x v="0"/>
  </r>
  <r>
    <x v="151"/>
    <n v="2022007"/>
    <x v="7"/>
    <s v="Lentil"/>
    <m/>
    <x v="14"/>
    <s v="N"/>
    <x v="1"/>
    <n v="52"/>
    <n v="26"/>
    <x v="3"/>
    <m/>
    <m/>
    <m/>
    <n v="7"/>
    <m/>
    <m/>
    <m/>
    <m/>
    <m/>
    <n v="2"/>
    <n v="27"/>
    <x v="1"/>
    <n v="14"/>
    <m/>
    <n v="50"/>
    <x v="1"/>
    <n v="1"/>
    <x v="0"/>
    <m/>
    <m/>
    <n v="30"/>
    <x v="1"/>
    <s v="11/05/2022"/>
    <d v="2022-05-11T00:00:00"/>
    <s v="2022007-52"/>
    <x v="0"/>
  </r>
  <r>
    <x v="148"/>
    <n v="2022007"/>
    <x v="7"/>
    <s v="Lentil"/>
    <m/>
    <x v="15"/>
    <s v="Y"/>
    <x v="2"/>
    <n v="53"/>
    <n v="27"/>
    <x v="3"/>
    <m/>
    <m/>
    <m/>
    <n v="7"/>
    <m/>
    <m/>
    <m/>
    <m/>
    <m/>
    <n v="3"/>
    <n v="26"/>
    <x v="2"/>
    <n v="13"/>
    <m/>
    <m/>
    <x v="1"/>
    <n v="4"/>
    <x v="0"/>
    <m/>
    <m/>
    <n v="30"/>
    <x v="1"/>
    <s v="11/05/2022"/>
    <d v="2022-05-11T00:00:00"/>
    <s v="2022007-53"/>
    <x v="0"/>
  </r>
  <r>
    <x v="148"/>
    <n v="2022007"/>
    <x v="7"/>
    <s v="Lentil"/>
    <m/>
    <x v="15"/>
    <s v="Y"/>
    <x v="1"/>
    <n v="54"/>
    <n v="27"/>
    <x v="3"/>
    <m/>
    <m/>
    <m/>
    <n v="7"/>
    <m/>
    <m/>
    <m/>
    <m/>
    <m/>
    <n v="3"/>
    <n v="27"/>
    <x v="2"/>
    <n v="14"/>
    <m/>
    <n v="51"/>
    <x v="1"/>
    <n v="4"/>
    <x v="0"/>
    <m/>
    <m/>
    <n v="30"/>
    <x v="1"/>
    <s v="11/05/2022"/>
    <d v="2022-05-11T00:00:00"/>
    <s v="2022007-54"/>
    <x v="0"/>
  </r>
  <r>
    <x v="150"/>
    <n v="2022007"/>
    <x v="7"/>
    <s v="Lentil"/>
    <m/>
    <x v="1"/>
    <s v="Y"/>
    <x v="2"/>
    <n v="55"/>
    <n v="28"/>
    <x v="3"/>
    <m/>
    <m/>
    <m/>
    <n v="7"/>
    <m/>
    <m/>
    <m/>
    <m/>
    <m/>
    <n v="4"/>
    <n v="26"/>
    <x v="3"/>
    <n v="13"/>
    <m/>
    <m/>
    <x v="1"/>
    <n v="3"/>
    <x v="0"/>
    <m/>
    <m/>
    <n v="30"/>
    <x v="1"/>
    <s v="11/05/2022"/>
    <d v="2022-05-11T00:00:00"/>
    <s v="2022007-55"/>
    <x v="0"/>
  </r>
  <r>
    <x v="150"/>
    <n v="2022007"/>
    <x v="7"/>
    <s v="Lentil"/>
    <m/>
    <x v="1"/>
    <s v="Y"/>
    <x v="1"/>
    <n v="56"/>
    <n v="28"/>
    <x v="3"/>
    <m/>
    <m/>
    <m/>
    <n v="7"/>
    <m/>
    <m/>
    <m/>
    <m/>
    <m/>
    <n v="4"/>
    <n v="27"/>
    <x v="3"/>
    <n v="14"/>
    <m/>
    <n v="52"/>
    <x v="1"/>
    <n v="3"/>
    <x v="0"/>
    <m/>
    <m/>
    <n v="30"/>
    <x v="1"/>
    <s v="11/05/2022"/>
    <d v="2022-05-11T00:00:00"/>
    <s v="2022007-56"/>
    <x v="0"/>
  </r>
  <r>
    <x v="146"/>
    <n v="2022007"/>
    <x v="7"/>
    <s v="Lentil"/>
    <m/>
    <x v="14"/>
    <s v="N"/>
    <x v="2"/>
    <n v="57"/>
    <n v="29"/>
    <x v="3"/>
    <m/>
    <m/>
    <m/>
    <n v="8"/>
    <m/>
    <m/>
    <m/>
    <m/>
    <m/>
    <n v="1"/>
    <n v="30"/>
    <x v="0"/>
    <n v="15"/>
    <m/>
    <m/>
    <x v="1"/>
    <n v="1"/>
    <x v="0"/>
    <m/>
    <m/>
    <n v="30"/>
    <x v="2"/>
    <s v="15/06/2022"/>
    <d v="2022-06-15T00:00:00"/>
    <s v="2022007-57"/>
    <x v="0"/>
  </r>
  <r>
    <x v="146"/>
    <n v="2022007"/>
    <x v="7"/>
    <s v="Lentil"/>
    <m/>
    <x v="14"/>
    <s v="N"/>
    <x v="1"/>
    <n v="58"/>
    <n v="29"/>
    <x v="3"/>
    <m/>
    <m/>
    <m/>
    <n v="8"/>
    <m/>
    <m/>
    <m/>
    <m/>
    <m/>
    <n v="1"/>
    <n v="31"/>
    <x v="0"/>
    <n v="16"/>
    <m/>
    <n v="64"/>
    <x v="1"/>
    <n v="1"/>
    <x v="0"/>
    <m/>
    <m/>
    <n v="30"/>
    <x v="2"/>
    <s v="15/06/2022"/>
    <d v="2022-06-15T00:00:00"/>
    <s v="2022007-58"/>
    <x v="0"/>
  </r>
  <r>
    <x v="147"/>
    <n v="2022007"/>
    <x v="7"/>
    <s v="Lentil"/>
    <m/>
    <x v="15"/>
    <s v="Y"/>
    <x v="2"/>
    <n v="59"/>
    <n v="30"/>
    <x v="3"/>
    <m/>
    <m/>
    <m/>
    <n v="8"/>
    <m/>
    <m/>
    <m/>
    <m/>
    <m/>
    <n v="2"/>
    <n v="30"/>
    <x v="1"/>
    <n v="15"/>
    <m/>
    <m/>
    <x v="1"/>
    <n v="4"/>
    <x v="0"/>
    <m/>
    <m/>
    <n v="30"/>
    <x v="2"/>
    <s v="15/06/2022"/>
    <d v="2022-06-15T00:00:00"/>
    <s v="2022007-59"/>
    <x v="0"/>
  </r>
  <r>
    <x v="147"/>
    <n v="2022007"/>
    <x v="7"/>
    <s v="Lentil"/>
    <m/>
    <x v="15"/>
    <s v="Y"/>
    <x v="1"/>
    <n v="60"/>
    <n v="30"/>
    <x v="3"/>
    <m/>
    <m/>
    <m/>
    <n v="8"/>
    <m/>
    <m/>
    <m/>
    <m/>
    <m/>
    <n v="2"/>
    <n v="31"/>
    <x v="1"/>
    <n v="16"/>
    <m/>
    <n v="63"/>
    <x v="1"/>
    <n v="4"/>
    <x v="0"/>
    <m/>
    <m/>
    <n v="30"/>
    <x v="2"/>
    <s v="15/06/2022"/>
    <d v="2022-06-15T00:00:00"/>
    <s v="2022007-60"/>
    <x v="0"/>
  </r>
  <r>
    <x v="145"/>
    <n v="2022007"/>
    <x v="7"/>
    <s v="Lentil"/>
    <m/>
    <x v="1"/>
    <s v="Y"/>
    <x v="2"/>
    <n v="61"/>
    <n v="31"/>
    <x v="3"/>
    <m/>
    <m/>
    <m/>
    <n v="8"/>
    <m/>
    <m/>
    <m/>
    <m/>
    <m/>
    <n v="3"/>
    <n v="30"/>
    <x v="2"/>
    <n v="15"/>
    <m/>
    <m/>
    <x v="1"/>
    <n v="3"/>
    <x v="0"/>
    <m/>
    <m/>
    <n v="30"/>
    <x v="2"/>
    <s v="15/06/2022"/>
    <d v="2022-06-15T00:00:00"/>
    <s v="2022007-61"/>
    <x v="0"/>
  </r>
  <r>
    <x v="145"/>
    <n v="2022007"/>
    <x v="7"/>
    <s v="Lentil"/>
    <m/>
    <x v="1"/>
    <s v="Y"/>
    <x v="1"/>
    <n v="62"/>
    <n v="31"/>
    <x v="3"/>
    <m/>
    <m/>
    <m/>
    <n v="8"/>
    <m/>
    <m/>
    <m/>
    <m/>
    <m/>
    <n v="3"/>
    <n v="31"/>
    <x v="2"/>
    <n v="16"/>
    <m/>
    <n v="62"/>
    <x v="1"/>
    <n v="3"/>
    <x v="0"/>
    <m/>
    <m/>
    <n v="30"/>
    <x v="2"/>
    <s v="15/06/2022"/>
    <d v="2022-06-15T00:00:00"/>
    <s v="2022007-62"/>
    <x v="0"/>
  </r>
  <r>
    <x v="144"/>
    <n v="2022007"/>
    <x v="7"/>
    <s v="Lentil"/>
    <m/>
    <x v="16"/>
    <s v="N"/>
    <x v="2"/>
    <n v="63"/>
    <n v="32"/>
    <x v="3"/>
    <m/>
    <m/>
    <m/>
    <n v="8"/>
    <m/>
    <m/>
    <m/>
    <m/>
    <m/>
    <n v="4"/>
    <n v="30"/>
    <x v="3"/>
    <n v="15"/>
    <m/>
    <m/>
    <x v="1"/>
    <n v="2"/>
    <x v="0"/>
    <m/>
    <m/>
    <n v="30"/>
    <x v="2"/>
    <s v="15/06/2022"/>
    <d v="2022-06-15T00:00:00"/>
    <s v="2022007-63"/>
    <x v="0"/>
  </r>
  <r>
    <x v="144"/>
    <n v="2022007"/>
    <x v="7"/>
    <s v="Lentil"/>
    <m/>
    <x v="16"/>
    <s v="N"/>
    <x v="1"/>
    <n v="64"/>
    <n v="32"/>
    <x v="3"/>
    <m/>
    <m/>
    <m/>
    <n v="8"/>
    <m/>
    <m/>
    <m/>
    <m/>
    <m/>
    <n v="4"/>
    <n v="31"/>
    <x v="3"/>
    <n v="16"/>
    <m/>
    <n v="61"/>
    <x v="1"/>
    <n v="2"/>
    <x v="0"/>
    <m/>
    <m/>
    <n v="30"/>
    <x v="2"/>
    <s v="15/06/2022"/>
    <d v="2022-06-15T00:00:00"/>
    <s v="2022007-64"/>
    <x v="0"/>
  </r>
  <r>
    <x v="152"/>
    <n v="2022007"/>
    <x v="7"/>
    <s v="Lentil"/>
    <m/>
    <x v="14"/>
    <s v="N"/>
    <x v="2"/>
    <n v="65"/>
    <n v="33"/>
    <x v="0"/>
    <m/>
    <m/>
    <m/>
    <n v="1"/>
    <m/>
    <m/>
    <m/>
    <m/>
    <m/>
    <n v="6"/>
    <n v="2"/>
    <x v="4"/>
    <n v="1"/>
    <m/>
    <m/>
    <x v="0"/>
    <n v="1"/>
    <x v="0"/>
    <m/>
    <m/>
    <n v="30"/>
    <x v="2"/>
    <s v="15/06/2022"/>
    <d v="2022-06-15T00:00:00"/>
    <s v="2022007-65"/>
    <x v="0"/>
  </r>
  <r>
    <x v="152"/>
    <n v="2022007"/>
    <x v="7"/>
    <s v="Lentil"/>
    <m/>
    <x v="14"/>
    <s v="N"/>
    <x v="1"/>
    <n v="66"/>
    <n v="33"/>
    <x v="0"/>
    <m/>
    <m/>
    <m/>
    <n v="1"/>
    <m/>
    <m/>
    <m/>
    <m/>
    <m/>
    <n v="6"/>
    <n v="3"/>
    <x v="4"/>
    <n v="2"/>
    <m/>
    <n v="5"/>
    <x v="0"/>
    <n v="1"/>
    <x v="0"/>
    <m/>
    <m/>
    <n v="30"/>
    <x v="2"/>
    <s v="15/06/2022"/>
    <d v="2022-06-15T00:00:00"/>
    <s v="2022007-66"/>
    <x v="0"/>
  </r>
  <r>
    <x v="153"/>
    <n v="2022007"/>
    <x v="7"/>
    <s v="Lentil"/>
    <m/>
    <x v="15"/>
    <s v="Y"/>
    <x v="2"/>
    <n v="67"/>
    <n v="34"/>
    <x v="0"/>
    <m/>
    <m/>
    <m/>
    <n v="1"/>
    <m/>
    <m/>
    <m/>
    <m/>
    <m/>
    <n v="7"/>
    <n v="2"/>
    <x v="5"/>
    <n v="1"/>
    <m/>
    <m/>
    <x v="0"/>
    <n v="4"/>
    <x v="0"/>
    <m/>
    <m/>
    <n v="30"/>
    <x v="2"/>
    <s v="15/06/2022"/>
    <d v="2022-06-15T00:00:00"/>
    <s v="2022007-67"/>
    <x v="0"/>
  </r>
  <r>
    <x v="153"/>
    <n v="2022007"/>
    <x v="7"/>
    <s v="Lentil"/>
    <m/>
    <x v="15"/>
    <s v="Y"/>
    <x v="1"/>
    <n v="68"/>
    <n v="34"/>
    <x v="0"/>
    <m/>
    <m/>
    <m/>
    <n v="1"/>
    <m/>
    <m/>
    <m/>
    <m/>
    <m/>
    <n v="7"/>
    <n v="3"/>
    <x v="5"/>
    <n v="2"/>
    <m/>
    <n v="6"/>
    <x v="0"/>
    <n v="4"/>
    <x v="0"/>
    <m/>
    <m/>
    <n v="30"/>
    <x v="2"/>
    <s v="15/06/2022"/>
    <d v="2022-06-15T00:00:00"/>
    <s v="2022007-68"/>
    <x v="0"/>
  </r>
  <r>
    <x v="154"/>
    <n v="2022007"/>
    <x v="7"/>
    <s v="Lentil"/>
    <m/>
    <x v="16"/>
    <s v="N"/>
    <x v="2"/>
    <n v="69"/>
    <n v="35"/>
    <x v="0"/>
    <m/>
    <m/>
    <m/>
    <n v="1"/>
    <m/>
    <m/>
    <m/>
    <m/>
    <m/>
    <n v="8"/>
    <n v="2"/>
    <x v="6"/>
    <n v="1"/>
    <m/>
    <m/>
    <x v="0"/>
    <n v="2"/>
    <x v="0"/>
    <m/>
    <m/>
    <n v="30"/>
    <x v="2"/>
    <s v="15/06/2022"/>
    <d v="2022-06-15T00:00:00"/>
    <s v="2022007-69"/>
    <x v="0"/>
  </r>
  <r>
    <x v="154"/>
    <n v="2022007"/>
    <x v="7"/>
    <s v="Lentil"/>
    <m/>
    <x v="16"/>
    <s v="N"/>
    <x v="1"/>
    <n v="70"/>
    <n v="35"/>
    <x v="0"/>
    <m/>
    <m/>
    <m/>
    <n v="1"/>
    <m/>
    <m/>
    <m/>
    <m/>
    <m/>
    <n v="8"/>
    <n v="3"/>
    <x v="6"/>
    <n v="2"/>
    <m/>
    <n v="7"/>
    <x v="0"/>
    <n v="2"/>
    <x v="0"/>
    <m/>
    <m/>
    <n v="30"/>
    <x v="2"/>
    <s v="15/06/2022"/>
    <d v="2022-06-15T00:00:00"/>
    <s v="2022007-70"/>
    <x v="0"/>
  </r>
  <r>
    <x v="155"/>
    <n v="2022007"/>
    <x v="7"/>
    <s v="Lentil"/>
    <m/>
    <x v="1"/>
    <s v="Y"/>
    <x v="2"/>
    <n v="71"/>
    <n v="36"/>
    <x v="0"/>
    <m/>
    <m/>
    <m/>
    <n v="1"/>
    <m/>
    <m/>
    <m/>
    <m/>
    <m/>
    <n v="9"/>
    <n v="2"/>
    <x v="7"/>
    <n v="1"/>
    <m/>
    <m/>
    <x v="0"/>
    <n v="3"/>
    <x v="0"/>
    <m/>
    <m/>
    <n v="30"/>
    <x v="2"/>
    <s v="15/06/2022"/>
    <d v="2022-06-15T00:00:00"/>
    <s v="2022007-71"/>
    <x v="0"/>
  </r>
  <r>
    <x v="155"/>
    <n v="2022007"/>
    <x v="7"/>
    <s v="Lentil"/>
    <m/>
    <x v="1"/>
    <s v="Y"/>
    <x v="1"/>
    <n v="72"/>
    <n v="36"/>
    <x v="0"/>
    <m/>
    <m/>
    <m/>
    <n v="1"/>
    <m/>
    <m/>
    <m/>
    <m/>
    <m/>
    <n v="9"/>
    <n v="3"/>
    <x v="7"/>
    <n v="2"/>
    <m/>
    <n v="8"/>
    <x v="0"/>
    <n v="3"/>
    <x v="0"/>
    <m/>
    <m/>
    <n v="30"/>
    <x v="2"/>
    <s v="15/06/2022"/>
    <d v="2022-06-15T00:00:00"/>
    <s v="2022007-72"/>
    <x v="0"/>
  </r>
  <r>
    <x v="156"/>
    <n v="2022007"/>
    <x v="7"/>
    <s v="Lentil"/>
    <m/>
    <x v="15"/>
    <s v="Y"/>
    <x v="2"/>
    <n v="73"/>
    <n v="37"/>
    <x v="0"/>
    <m/>
    <m/>
    <m/>
    <n v="2"/>
    <m/>
    <m/>
    <m/>
    <m/>
    <m/>
    <n v="6"/>
    <n v="6"/>
    <x v="4"/>
    <n v="3"/>
    <m/>
    <m/>
    <x v="0"/>
    <n v="4"/>
    <x v="0"/>
    <m/>
    <m/>
    <n v="30"/>
    <x v="1"/>
    <s v="11/05/2022"/>
    <d v="2022-05-11T00:00:00"/>
    <s v="2022007-73"/>
    <x v="0"/>
  </r>
  <r>
    <x v="156"/>
    <n v="2022007"/>
    <x v="7"/>
    <s v="Lentil"/>
    <m/>
    <x v="15"/>
    <s v="Y"/>
    <x v="1"/>
    <n v="74"/>
    <n v="37"/>
    <x v="0"/>
    <m/>
    <m/>
    <m/>
    <n v="2"/>
    <m/>
    <m/>
    <m/>
    <m/>
    <m/>
    <n v="6"/>
    <n v="7"/>
    <x v="4"/>
    <n v="4"/>
    <m/>
    <n v="12"/>
    <x v="0"/>
    <n v="4"/>
    <x v="0"/>
    <m/>
    <m/>
    <n v="30"/>
    <x v="1"/>
    <s v="11/05/2022"/>
    <d v="2022-05-11T00:00:00"/>
    <s v="2022007-74"/>
    <x v="0"/>
  </r>
  <r>
    <x v="157"/>
    <n v="2022007"/>
    <x v="7"/>
    <s v="Lentil"/>
    <m/>
    <x v="1"/>
    <s v="Y"/>
    <x v="2"/>
    <n v="75"/>
    <n v="38"/>
    <x v="0"/>
    <m/>
    <m/>
    <m/>
    <n v="2"/>
    <m/>
    <m/>
    <m/>
    <m/>
    <m/>
    <n v="7"/>
    <n v="6"/>
    <x v="5"/>
    <n v="3"/>
    <m/>
    <m/>
    <x v="0"/>
    <n v="3"/>
    <x v="0"/>
    <m/>
    <m/>
    <n v="30"/>
    <x v="1"/>
    <s v="11/05/2022"/>
    <d v="2022-05-11T00:00:00"/>
    <s v="2022007-75"/>
    <x v="0"/>
  </r>
  <r>
    <x v="157"/>
    <n v="2022007"/>
    <x v="7"/>
    <s v="Lentil"/>
    <m/>
    <x v="1"/>
    <s v="Y"/>
    <x v="1"/>
    <n v="76"/>
    <n v="38"/>
    <x v="0"/>
    <m/>
    <m/>
    <m/>
    <n v="2"/>
    <m/>
    <m/>
    <m/>
    <m/>
    <m/>
    <n v="7"/>
    <n v="7"/>
    <x v="5"/>
    <n v="4"/>
    <m/>
    <n v="11"/>
    <x v="0"/>
    <n v="3"/>
    <x v="0"/>
    <m/>
    <m/>
    <n v="30"/>
    <x v="1"/>
    <s v="11/05/2022"/>
    <d v="2022-05-11T00:00:00"/>
    <s v="2022007-76"/>
    <x v="0"/>
  </r>
  <r>
    <x v="158"/>
    <n v="2022007"/>
    <x v="7"/>
    <s v="Lentil"/>
    <m/>
    <x v="14"/>
    <s v="N"/>
    <x v="2"/>
    <n v="77"/>
    <n v="39"/>
    <x v="0"/>
    <m/>
    <m/>
    <m/>
    <n v="2"/>
    <m/>
    <m/>
    <m/>
    <m/>
    <m/>
    <n v="8"/>
    <n v="6"/>
    <x v="6"/>
    <n v="3"/>
    <m/>
    <m/>
    <x v="0"/>
    <n v="1"/>
    <x v="0"/>
    <m/>
    <m/>
    <n v="30"/>
    <x v="1"/>
    <s v="11/05/2022"/>
    <d v="2022-05-11T00:00:00"/>
    <s v="2022007-77"/>
    <x v="0"/>
  </r>
  <r>
    <x v="158"/>
    <n v="2022007"/>
    <x v="7"/>
    <s v="Lentil"/>
    <m/>
    <x v="14"/>
    <s v="N"/>
    <x v="1"/>
    <n v="78"/>
    <n v="39"/>
    <x v="0"/>
    <m/>
    <m/>
    <m/>
    <n v="2"/>
    <m/>
    <m/>
    <m/>
    <m/>
    <m/>
    <n v="8"/>
    <n v="7"/>
    <x v="6"/>
    <n v="4"/>
    <m/>
    <n v="10"/>
    <x v="0"/>
    <n v="1"/>
    <x v="0"/>
    <m/>
    <m/>
    <n v="30"/>
    <x v="1"/>
    <s v="11/05/2022"/>
    <d v="2022-05-11T00:00:00"/>
    <s v="2022007-78"/>
    <x v="0"/>
  </r>
  <r>
    <x v="159"/>
    <n v="2022007"/>
    <x v="7"/>
    <s v="Lentil"/>
    <m/>
    <x v="16"/>
    <s v="N"/>
    <x v="2"/>
    <n v="79"/>
    <n v="40"/>
    <x v="0"/>
    <m/>
    <m/>
    <m/>
    <n v="2"/>
    <m/>
    <m/>
    <m/>
    <m/>
    <m/>
    <n v="9"/>
    <n v="6"/>
    <x v="7"/>
    <n v="3"/>
    <m/>
    <m/>
    <x v="0"/>
    <n v="2"/>
    <x v="0"/>
    <m/>
    <m/>
    <n v="30"/>
    <x v="1"/>
    <s v="11/05/2022"/>
    <d v="2022-05-11T00:00:00"/>
    <s v="2022007-79"/>
    <x v="0"/>
  </r>
  <r>
    <x v="159"/>
    <n v="2022007"/>
    <x v="7"/>
    <s v="Lentil"/>
    <m/>
    <x v="16"/>
    <s v="N"/>
    <x v="1"/>
    <n v="80"/>
    <n v="40"/>
    <x v="0"/>
    <m/>
    <m/>
    <m/>
    <n v="2"/>
    <m/>
    <m/>
    <m/>
    <m/>
    <m/>
    <n v="9"/>
    <n v="7"/>
    <x v="7"/>
    <n v="4"/>
    <m/>
    <n v="9"/>
    <x v="0"/>
    <n v="2"/>
    <x v="0"/>
    <m/>
    <m/>
    <n v="30"/>
    <x v="1"/>
    <s v="11/05/2022"/>
    <d v="2022-05-11T00:00:00"/>
    <s v="2022007-80"/>
    <x v="0"/>
  </r>
  <r>
    <x v="157"/>
    <n v="2022007"/>
    <x v="7"/>
    <s v="Lentil"/>
    <m/>
    <x v="1"/>
    <s v="Y"/>
    <x v="2"/>
    <n v="81"/>
    <n v="41"/>
    <x v="1"/>
    <m/>
    <m/>
    <m/>
    <n v="3"/>
    <m/>
    <m/>
    <m/>
    <m/>
    <m/>
    <n v="6"/>
    <n v="10"/>
    <x v="4"/>
    <n v="5"/>
    <m/>
    <m/>
    <x v="0"/>
    <n v="3"/>
    <x v="0"/>
    <m/>
    <m/>
    <n v="30"/>
    <x v="1"/>
    <s v="11/05/2022"/>
    <d v="2022-05-11T00:00:00"/>
    <s v="2022007-81"/>
    <x v="0"/>
  </r>
  <r>
    <x v="157"/>
    <n v="2022007"/>
    <x v="7"/>
    <s v="Lentil"/>
    <m/>
    <x v="1"/>
    <s v="Y"/>
    <x v="1"/>
    <n v="82"/>
    <n v="41"/>
    <x v="1"/>
    <m/>
    <m/>
    <m/>
    <n v="3"/>
    <m/>
    <m/>
    <m/>
    <m/>
    <m/>
    <n v="6"/>
    <n v="11"/>
    <x v="4"/>
    <n v="6"/>
    <m/>
    <n v="21"/>
    <x v="0"/>
    <n v="3"/>
    <x v="0"/>
    <m/>
    <m/>
    <n v="30"/>
    <x v="1"/>
    <s v="11/05/2022"/>
    <d v="2022-05-11T00:00:00"/>
    <s v="2022007-82"/>
    <x v="0"/>
  </r>
  <r>
    <x v="156"/>
    <n v="2022007"/>
    <x v="7"/>
    <s v="Lentil"/>
    <m/>
    <x v="15"/>
    <s v="Y"/>
    <x v="2"/>
    <n v="83"/>
    <n v="42"/>
    <x v="1"/>
    <m/>
    <m/>
    <m/>
    <n v="3"/>
    <m/>
    <m/>
    <m/>
    <m/>
    <m/>
    <n v="7"/>
    <n v="10"/>
    <x v="5"/>
    <n v="5"/>
    <m/>
    <m/>
    <x v="0"/>
    <n v="4"/>
    <x v="0"/>
    <m/>
    <m/>
    <n v="30"/>
    <x v="1"/>
    <s v="11/05/2022"/>
    <d v="2022-05-11T00:00:00"/>
    <s v="2022007-83"/>
    <x v="0"/>
  </r>
  <r>
    <x v="156"/>
    <n v="2022007"/>
    <x v="7"/>
    <s v="Lentil"/>
    <m/>
    <x v="15"/>
    <s v="Y"/>
    <x v="1"/>
    <n v="84"/>
    <n v="42"/>
    <x v="1"/>
    <m/>
    <m/>
    <m/>
    <n v="3"/>
    <m/>
    <m/>
    <m/>
    <m/>
    <m/>
    <n v="7"/>
    <n v="11"/>
    <x v="5"/>
    <n v="6"/>
    <m/>
    <n v="22"/>
    <x v="0"/>
    <n v="4"/>
    <x v="0"/>
    <m/>
    <m/>
    <n v="30"/>
    <x v="1"/>
    <s v="11/05/2022"/>
    <d v="2022-05-11T00:00:00"/>
    <s v="2022007-84"/>
    <x v="0"/>
  </r>
  <r>
    <x v="159"/>
    <n v="2022007"/>
    <x v="7"/>
    <s v="Lentil"/>
    <m/>
    <x v="16"/>
    <s v="N"/>
    <x v="2"/>
    <n v="85"/>
    <n v="43"/>
    <x v="1"/>
    <m/>
    <m/>
    <m/>
    <n v="3"/>
    <m/>
    <m/>
    <m/>
    <m/>
    <m/>
    <n v="8"/>
    <n v="10"/>
    <x v="6"/>
    <n v="5"/>
    <m/>
    <m/>
    <x v="0"/>
    <n v="2"/>
    <x v="0"/>
    <m/>
    <m/>
    <n v="30"/>
    <x v="1"/>
    <s v="11/05/2022"/>
    <d v="2022-05-11T00:00:00"/>
    <s v="2022007-85"/>
    <x v="0"/>
  </r>
  <r>
    <x v="159"/>
    <n v="2022007"/>
    <x v="7"/>
    <s v="Lentil"/>
    <m/>
    <x v="16"/>
    <s v="N"/>
    <x v="1"/>
    <n v="86"/>
    <n v="43"/>
    <x v="1"/>
    <m/>
    <m/>
    <m/>
    <n v="3"/>
    <m/>
    <m/>
    <m/>
    <m/>
    <m/>
    <n v="8"/>
    <n v="11"/>
    <x v="6"/>
    <n v="6"/>
    <m/>
    <n v="23"/>
    <x v="0"/>
    <n v="2"/>
    <x v="0"/>
    <m/>
    <m/>
    <n v="30"/>
    <x v="1"/>
    <s v="11/05/2022"/>
    <d v="2022-05-11T00:00:00"/>
    <s v="2022007-86"/>
    <x v="0"/>
  </r>
  <r>
    <x v="158"/>
    <n v="2022007"/>
    <x v="7"/>
    <s v="Lentil"/>
    <m/>
    <x v="14"/>
    <s v="N"/>
    <x v="2"/>
    <n v="87"/>
    <n v="44"/>
    <x v="1"/>
    <m/>
    <m/>
    <m/>
    <n v="3"/>
    <m/>
    <m/>
    <m/>
    <m/>
    <m/>
    <n v="9"/>
    <n v="10"/>
    <x v="7"/>
    <n v="5"/>
    <m/>
    <m/>
    <x v="0"/>
    <n v="1"/>
    <x v="0"/>
    <m/>
    <m/>
    <n v="30"/>
    <x v="1"/>
    <s v="11/05/2022"/>
    <d v="2022-05-11T00:00:00"/>
    <s v="2022007-87"/>
    <x v="0"/>
  </r>
  <r>
    <x v="158"/>
    <n v="2022007"/>
    <x v="7"/>
    <s v="Lentil"/>
    <m/>
    <x v="14"/>
    <s v="N"/>
    <x v="1"/>
    <n v="88"/>
    <n v="44"/>
    <x v="1"/>
    <m/>
    <m/>
    <m/>
    <n v="3"/>
    <m/>
    <m/>
    <m/>
    <m/>
    <m/>
    <n v="9"/>
    <n v="11"/>
    <x v="7"/>
    <n v="6"/>
    <m/>
    <n v="24"/>
    <x v="0"/>
    <n v="1"/>
    <x v="0"/>
    <m/>
    <m/>
    <n v="30"/>
    <x v="1"/>
    <s v="11/05/2022"/>
    <d v="2022-05-11T00:00:00"/>
    <s v="2022007-88"/>
    <x v="0"/>
  </r>
  <r>
    <x v="154"/>
    <n v="2022007"/>
    <x v="7"/>
    <s v="Lentil"/>
    <m/>
    <x v="16"/>
    <s v="N"/>
    <x v="2"/>
    <n v="89"/>
    <n v="45"/>
    <x v="1"/>
    <m/>
    <m/>
    <m/>
    <n v="4"/>
    <m/>
    <m/>
    <m/>
    <m/>
    <m/>
    <n v="6"/>
    <n v="14"/>
    <x v="4"/>
    <n v="7"/>
    <m/>
    <m/>
    <x v="0"/>
    <n v="2"/>
    <x v="0"/>
    <m/>
    <m/>
    <n v="30"/>
    <x v="2"/>
    <s v="15/06/2022"/>
    <d v="2022-06-15T00:00:00"/>
    <s v="2022007-89"/>
    <x v="0"/>
  </r>
  <r>
    <x v="154"/>
    <n v="2022007"/>
    <x v="7"/>
    <s v="Lentil"/>
    <m/>
    <x v="16"/>
    <s v="N"/>
    <x v="1"/>
    <n v="90"/>
    <n v="45"/>
    <x v="1"/>
    <m/>
    <m/>
    <m/>
    <n v="4"/>
    <m/>
    <m/>
    <m/>
    <m/>
    <m/>
    <n v="6"/>
    <n v="15"/>
    <x v="4"/>
    <n v="8"/>
    <m/>
    <n v="28"/>
    <x v="0"/>
    <n v="2"/>
    <x v="0"/>
    <m/>
    <m/>
    <n v="30"/>
    <x v="2"/>
    <s v="15/06/2022"/>
    <d v="2022-06-15T00:00:00"/>
    <s v="2022007-90"/>
    <x v="0"/>
  </r>
  <r>
    <x v="155"/>
    <n v="2022007"/>
    <x v="7"/>
    <s v="Lentil"/>
    <m/>
    <x v="1"/>
    <s v="Y"/>
    <x v="2"/>
    <n v="91"/>
    <n v="46"/>
    <x v="1"/>
    <m/>
    <m/>
    <m/>
    <n v="4"/>
    <m/>
    <m/>
    <m/>
    <m/>
    <m/>
    <n v="7"/>
    <n v="14"/>
    <x v="5"/>
    <n v="7"/>
    <m/>
    <m/>
    <x v="0"/>
    <n v="3"/>
    <x v="0"/>
    <m/>
    <m/>
    <n v="30"/>
    <x v="2"/>
    <s v="15/06/2022"/>
    <d v="2022-06-15T00:00:00"/>
    <s v="2022007-91"/>
    <x v="0"/>
  </r>
  <r>
    <x v="155"/>
    <n v="2022007"/>
    <x v="7"/>
    <s v="Lentil"/>
    <m/>
    <x v="1"/>
    <s v="Y"/>
    <x v="1"/>
    <n v="92"/>
    <n v="46"/>
    <x v="1"/>
    <m/>
    <m/>
    <m/>
    <n v="4"/>
    <m/>
    <m/>
    <m/>
    <m/>
    <m/>
    <n v="7"/>
    <n v="15"/>
    <x v="5"/>
    <n v="8"/>
    <m/>
    <n v="27"/>
    <x v="0"/>
    <n v="3"/>
    <x v="0"/>
    <m/>
    <m/>
    <n v="30"/>
    <x v="2"/>
    <s v="15/06/2022"/>
    <d v="2022-06-15T00:00:00"/>
    <s v="2022007-92"/>
    <x v="0"/>
  </r>
  <r>
    <x v="152"/>
    <n v="2022007"/>
    <x v="7"/>
    <s v="Lentil"/>
    <m/>
    <x v="14"/>
    <s v="N"/>
    <x v="2"/>
    <n v="93"/>
    <n v="47"/>
    <x v="1"/>
    <m/>
    <m/>
    <m/>
    <n v="4"/>
    <m/>
    <m/>
    <m/>
    <m/>
    <m/>
    <n v="8"/>
    <n v="14"/>
    <x v="6"/>
    <n v="7"/>
    <m/>
    <m/>
    <x v="0"/>
    <n v="1"/>
    <x v="0"/>
    <m/>
    <m/>
    <n v="30"/>
    <x v="2"/>
    <s v="15/06/2022"/>
    <d v="2022-06-15T00:00:00"/>
    <s v="2022007-93"/>
    <x v="0"/>
  </r>
  <r>
    <x v="152"/>
    <n v="2022007"/>
    <x v="7"/>
    <s v="Lentil"/>
    <m/>
    <x v="14"/>
    <s v="N"/>
    <x v="1"/>
    <n v="94"/>
    <n v="47"/>
    <x v="1"/>
    <m/>
    <m/>
    <m/>
    <n v="4"/>
    <m/>
    <m/>
    <m/>
    <m/>
    <m/>
    <n v="8"/>
    <n v="15"/>
    <x v="6"/>
    <n v="8"/>
    <m/>
    <n v="26"/>
    <x v="0"/>
    <n v="1"/>
    <x v="0"/>
    <m/>
    <m/>
    <n v="30"/>
    <x v="2"/>
    <s v="15/06/2022"/>
    <d v="2022-06-15T00:00:00"/>
    <s v="2022007-94"/>
    <x v="0"/>
  </r>
  <r>
    <x v="153"/>
    <n v="2022007"/>
    <x v="7"/>
    <s v="Lentil"/>
    <m/>
    <x v="15"/>
    <s v="Y"/>
    <x v="2"/>
    <n v="95"/>
    <n v="48"/>
    <x v="1"/>
    <m/>
    <m/>
    <m/>
    <n v="4"/>
    <m/>
    <m/>
    <m/>
    <m/>
    <m/>
    <n v="9"/>
    <n v="14"/>
    <x v="7"/>
    <n v="7"/>
    <m/>
    <m/>
    <x v="0"/>
    <n v="4"/>
    <x v="0"/>
    <m/>
    <m/>
    <n v="30"/>
    <x v="2"/>
    <s v="15/06/2022"/>
    <d v="2022-06-15T00:00:00"/>
    <s v="2022007-95"/>
    <x v="0"/>
  </r>
  <r>
    <x v="153"/>
    <n v="2022007"/>
    <x v="7"/>
    <s v="Lentil"/>
    <m/>
    <x v="15"/>
    <s v="Y"/>
    <x v="1"/>
    <n v="96"/>
    <n v="48"/>
    <x v="1"/>
    <m/>
    <m/>
    <m/>
    <n v="4"/>
    <m/>
    <m/>
    <m/>
    <m/>
    <m/>
    <n v="9"/>
    <n v="15"/>
    <x v="7"/>
    <n v="8"/>
    <m/>
    <n v="25"/>
    <x v="0"/>
    <n v="4"/>
    <x v="0"/>
    <m/>
    <m/>
    <n v="30"/>
    <x v="2"/>
    <s v="15/06/2022"/>
    <d v="2022-06-15T00:00:00"/>
    <s v="2022007-96"/>
    <x v="0"/>
  </r>
  <r>
    <x v="159"/>
    <n v="2022007"/>
    <x v="7"/>
    <s v="Lentil"/>
    <m/>
    <x v="16"/>
    <s v="N"/>
    <x v="2"/>
    <n v="97"/>
    <n v="49"/>
    <x v="2"/>
    <m/>
    <m/>
    <m/>
    <n v="5"/>
    <m/>
    <m/>
    <m/>
    <m/>
    <m/>
    <n v="6"/>
    <n v="18"/>
    <x v="4"/>
    <n v="9"/>
    <m/>
    <m/>
    <x v="0"/>
    <n v="2"/>
    <x v="0"/>
    <m/>
    <m/>
    <n v="30"/>
    <x v="1"/>
    <s v="11/05/2022"/>
    <d v="2022-05-11T00:00:00"/>
    <s v="2022007-97"/>
    <x v="0"/>
  </r>
  <r>
    <x v="159"/>
    <n v="2022007"/>
    <x v="7"/>
    <s v="Lentil"/>
    <m/>
    <x v="16"/>
    <s v="N"/>
    <x v="1"/>
    <n v="98"/>
    <n v="49"/>
    <x v="2"/>
    <m/>
    <m/>
    <m/>
    <n v="5"/>
    <m/>
    <m/>
    <m/>
    <m/>
    <m/>
    <n v="6"/>
    <n v="19"/>
    <x v="4"/>
    <n v="10"/>
    <m/>
    <n v="37"/>
    <x v="0"/>
    <n v="2"/>
    <x v="0"/>
    <m/>
    <m/>
    <n v="30"/>
    <x v="1"/>
    <s v="11/05/2022"/>
    <d v="2022-05-11T00:00:00"/>
    <s v="2022007-98"/>
    <x v="0"/>
  </r>
  <r>
    <x v="158"/>
    <n v="2022007"/>
    <x v="7"/>
    <s v="Lentil"/>
    <m/>
    <x v="14"/>
    <s v="N"/>
    <x v="2"/>
    <n v="99"/>
    <n v="50"/>
    <x v="2"/>
    <m/>
    <m/>
    <m/>
    <n v="5"/>
    <m/>
    <m/>
    <m/>
    <m/>
    <m/>
    <n v="7"/>
    <n v="18"/>
    <x v="5"/>
    <n v="9"/>
    <m/>
    <m/>
    <x v="0"/>
    <n v="1"/>
    <x v="0"/>
    <m/>
    <m/>
    <n v="30"/>
    <x v="1"/>
    <s v="11/05/2022"/>
    <d v="2022-05-11T00:00:00"/>
    <s v="2022007-99"/>
    <x v="0"/>
  </r>
  <r>
    <x v="158"/>
    <n v="2022007"/>
    <x v="7"/>
    <s v="Lentil"/>
    <m/>
    <x v="14"/>
    <s v="N"/>
    <x v="1"/>
    <n v="100"/>
    <n v="50"/>
    <x v="2"/>
    <m/>
    <m/>
    <m/>
    <n v="5"/>
    <m/>
    <m/>
    <m/>
    <m/>
    <m/>
    <n v="7"/>
    <n v="19"/>
    <x v="5"/>
    <n v="10"/>
    <m/>
    <n v="38"/>
    <x v="0"/>
    <n v="1"/>
    <x v="0"/>
    <m/>
    <m/>
    <n v="30"/>
    <x v="1"/>
    <s v="11/05/2022"/>
    <d v="2022-05-11T00:00:00"/>
    <s v="2022007-100"/>
    <x v="0"/>
  </r>
  <r>
    <x v="156"/>
    <n v="2022007"/>
    <x v="7"/>
    <s v="Lentil"/>
    <m/>
    <x v="15"/>
    <s v="Y"/>
    <x v="2"/>
    <n v="101"/>
    <n v="51"/>
    <x v="2"/>
    <m/>
    <m/>
    <m/>
    <n v="5"/>
    <m/>
    <m/>
    <m/>
    <m/>
    <m/>
    <n v="8"/>
    <n v="18"/>
    <x v="6"/>
    <n v="9"/>
    <m/>
    <m/>
    <x v="0"/>
    <n v="4"/>
    <x v="0"/>
    <m/>
    <m/>
    <n v="30"/>
    <x v="1"/>
    <s v="11/05/2022"/>
    <d v="2022-05-11T00:00:00"/>
    <s v="2022007-101"/>
    <x v="0"/>
  </r>
  <r>
    <x v="156"/>
    <n v="2022007"/>
    <x v="7"/>
    <s v="Lentil"/>
    <m/>
    <x v="15"/>
    <s v="Y"/>
    <x v="1"/>
    <n v="102"/>
    <n v="51"/>
    <x v="2"/>
    <m/>
    <m/>
    <m/>
    <n v="5"/>
    <m/>
    <m/>
    <m/>
    <m/>
    <m/>
    <n v="8"/>
    <n v="19"/>
    <x v="6"/>
    <n v="10"/>
    <m/>
    <n v="39"/>
    <x v="0"/>
    <n v="4"/>
    <x v="0"/>
    <m/>
    <m/>
    <n v="30"/>
    <x v="1"/>
    <s v="11/05/2022"/>
    <d v="2022-05-11T00:00:00"/>
    <s v="2022007-102"/>
    <x v="0"/>
  </r>
  <r>
    <x v="157"/>
    <n v="2022007"/>
    <x v="7"/>
    <s v="Lentil"/>
    <m/>
    <x v="1"/>
    <s v="Y"/>
    <x v="2"/>
    <n v="103"/>
    <n v="52"/>
    <x v="2"/>
    <m/>
    <m/>
    <m/>
    <n v="5"/>
    <m/>
    <m/>
    <m/>
    <m/>
    <m/>
    <n v="9"/>
    <n v="18"/>
    <x v="7"/>
    <n v="9"/>
    <m/>
    <m/>
    <x v="0"/>
    <n v="3"/>
    <x v="0"/>
    <m/>
    <m/>
    <n v="30"/>
    <x v="1"/>
    <s v="11/05/2022"/>
    <d v="2022-05-11T00:00:00"/>
    <s v="2022007-103"/>
    <x v="0"/>
  </r>
  <r>
    <x v="157"/>
    <n v="2022007"/>
    <x v="7"/>
    <s v="Lentil"/>
    <m/>
    <x v="1"/>
    <s v="Y"/>
    <x v="1"/>
    <n v="104"/>
    <n v="52"/>
    <x v="2"/>
    <m/>
    <m/>
    <m/>
    <n v="5"/>
    <m/>
    <m/>
    <m/>
    <m/>
    <m/>
    <n v="9"/>
    <n v="19"/>
    <x v="7"/>
    <n v="10"/>
    <m/>
    <n v="40"/>
    <x v="0"/>
    <n v="3"/>
    <x v="0"/>
    <m/>
    <m/>
    <n v="30"/>
    <x v="1"/>
    <s v="11/05/2022"/>
    <d v="2022-05-11T00:00:00"/>
    <s v="2022007-104"/>
    <x v="0"/>
  </r>
  <r>
    <x v="153"/>
    <n v="2022007"/>
    <x v="7"/>
    <s v="Lentil"/>
    <m/>
    <x v="15"/>
    <s v="Y"/>
    <x v="2"/>
    <n v="105"/>
    <n v="53"/>
    <x v="2"/>
    <m/>
    <m/>
    <m/>
    <n v="6"/>
    <m/>
    <m/>
    <m/>
    <m/>
    <m/>
    <n v="6"/>
    <n v="22"/>
    <x v="4"/>
    <n v="11"/>
    <m/>
    <m/>
    <x v="0"/>
    <n v="4"/>
    <x v="0"/>
    <m/>
    <m/>
    <n v="30"/>
    <x v="2"/>
    <s v="15/06/2022"/>
    <d v="2022-06-15T00:00:00"/>
    <s v="2022007-105"/>
    <x v="0"/>
  </r>
  <r>
    <x v="153"/>
    <n v="2022007"/>
    <x v="7"/>
    <s v="Lentil"/>
    <m/>
    <x v="15"/>
    <s v="Y"/>
    <x v="1"/>
    <n v="106"/>
    <n v="53"/>
    <x v="2"/>
    <m/>
    <m/>
    <m/>
    <n v="6"/>
    <m/>
    <m/>
    <m/>
    <m/>
    <m/>
    <n v="6"/>
    <n v="23"/>
    <x v="4"/>
    <n v="12"/>
    <m/>
    <n v="44"/>
    <x v="0"/>
    <n v="4"/>
    <x v="0"/>
    <m/>
    <m/>
    <n v="30"/>
    <x v="2"/>
    <s v="15/06/2022"/>
    <d v="2022-06-15T00:00:00"/>
    <s v="2022007-106"/>
    <x v="0"/>
  </r>
  <r>
    <x v="154"/>
    <n v="2022007"/>
    <x v="7"/>
    <s v="Lentil"/>
    <m/>
    <x v="16"/>
    <s v="N"/>
    <x v="2"/>
    <n v="107"/>
    <n v="54"/>
    <x v="2"/>
    <m/>
    <m/>
    <m/>
    <n v="6"/>
    <m/>
    <m/>
    <m/>
    <m/>
    <m/>
    <n v="7"/>
    <n v="22"/>
    <x v="5"/>
    <n v="11"/>
    <m/>
    <m/>
    <x v="0"/>
    <n v="2"/>
    <x v="0"/>
    <m/>
    <m/>
    <n v="30"/>
    <x v="2"/>
    <s v="15/06/2022"/>
    <d v="2022-06-15T00:00:00"/>
    <s v="2022007-107"/>
    <x v="0"/>
  </r>
  <r>
    <x v="154"/>
    <n v="2022007"/>
    <x v="7"/>
    <s v="Lentil"/>
    <m/>
    <x v="16"/>
    <s v="N"/>
    <x v="1"/>
    <n v="108"/>
    <n v="54"/>
    <x v="2"/>
    <m/>
    <m/>
    <m/>
    <n v="6"/>
    <m/>
    <m/>
    <m/>
    <m/>
    <m/>
    <n v="7"/>
    <n v="23"/>
    <x v="5"/>
    <n v="12"/>
    <m/>
    <n v="43"/>
    <x v="0"/>
    <n v="2"/>
    <x v="0"/>
    <m/>
    <m/>
    <n v="30"/>
    <x v="2"/>
    <s v="15/06/2022"/>
    <d v="2022-06-15T00:00:00"/>
    <s v="2022007-108"/>
    <x v="0"/>
  </r>
  <r>
    <x v="155"/>
    <n v="2022007"/>
    <x v="7"/>
    <s v="Lentil"/>
    <m/>
    <x v="1"/>
    <s v="Y"/>
    <x v="2"/>
    <n v="109"/>
    <n v="55"/>
    <x v="2"/>
    <m/>
    <m/>
    <m/>
    <n v="6"/>
    <m/>
    <m/>
    <m/>
    <m/>
    <m/>
    <n v="8"/>
    <n v="22"/>
    <x v="6"/>
    <n v="11"/>
    <m/>
    <m/>
    <x v="0"/>
    <n v="3"/>
    <x v="0"/>
    <m/>
    <m/>
    <n v="30"/>
    <x v="2"/>
    <s v="15/06/2022"/>
    <d v="2022-06-15T00:00:00"/>
    <s v="2022007-109"/>
    <x v="0"/>
  </r>
  <r>
    <x v="155"/>
    <n v="2022007"/>
    <x v="7"/>
    <s v="Lentil"/>
    <m/>
    <x v="1"/>
    <s v="Y"/>
    <x v="1"/>
    <n v="110"/>
    <n v="55"/>
    <x v="2"/>
    <m/>
    <m/>
    <m/>
    <n v="6"/>
    <m/>
    <m/>
    <m/>
    <m/>
    <m/>
    <n v="8"/>
    <n v="23"/>
    <x v="6"/>
    <n v="12"/>
    <m/>
    <n v="42"/>
    <x v="0"/>
    <n v="3"/>
    <x v="0"/>
    <m/>
    <m/>
    <n v="30"/>
    <x v="2"/>
    <s v="15/06/2022"/>
    <d v="2022-06-15T00:00:00"/>
    <s v="2022007-110"/>
    <x v="0"/>
  </r>
  <r>
    <x v="152"/>
    <n v="2022007"/>
    <x v="7"/>
    <s v="Lentil"/>
    <m/>
    <x v="14"/>
    <s v="N"/>
    <x v="2"/>
    <n v="111"/>
    <n v="56"/>
    <x v="2"/>
    <m/>
    <m/>
    <m/>
    <n v="6"/>
    <m/>
    <m/>
    <m/>
    <m/>
    <m/>
    <n v="9"/>
    <n v="22"/>
    <x v="7"/>
    <n v="11"/>
    <m/>
    <m/>
    <x v="0"/>
    <n v="1"/>
    <x v="0"/>
    <m/>
    <m/>
    <n v="30"/>
    <x v="2"/>
    <s v="15/06/2022"/>
    <d v="2022-06-15T00:00:00"/>
    <s v="2022007-111"/>
    <x v="0"/>
  </r>
  <r>
    <x v="152"/>
    <n v="2022007"/>
    <x v="7"/>
    <s v="Lentil"/>
    <m/>
    <x v="14"/>
    <s v="N"/>
    <x v="1"/>
    <n v="112"/>
    <n v="56"/>
    <x v="2"/>
    <m/>
    <m/>
    <m/>
    <n v="6"/>
    <m/>
    <m/>
    <m/>
    <m/>
    <m/>
    <n v="9"/>
    <n v="23"/>
    <x v="7"/>
    <n v="12"/>
    <m/>
    <n v="41"/>
    <x v="0"/>
    <n v="1"/>
    <x v="0"/>
    <m/>
    <m/>
    <n v="30"/>
    <x v="2"/>
    <s v="15/06/2022"/>
    <d v="2022-06-15T00:00:00"/>
    <s v="2022007-112"/>
    <x v="0"/>
  </r>
  <r>
    <x v="155"/>
    <n v="2022007"/>
    <x v="7"/>
    <s v="Lentil"/>
    <m/>
    <x v="1"/>
    <s v="Y"/>
    <x v="2"/>
    <n v="113"/>
    <n v="57"/>
    <x v="3"/>
    <m/>
    <m/>
    <m/>
    <n v="7"/>
    <m/>
    <m/>
    <m/>
    <m/>
    <m/>
    <n v="6"/>
    <n v="26"/>
    <x v="4"/>
    <n v="13"/>
    <m/>
    <m/>
    <x v="0"/>
    <n v="3"/>
    <x v="0"/>
    <m/>
    <m/>
    <n v="30"/>
    <x v="2"/>
    <s v="15/06/2022"/>
    <d v="2022-06-15T00:00:00"/>
    <s v="2022007-113"/>
    <x v="0"/>
  </r>
  <r>
    <x v="155"/>
    <n v="2022007"/>
    <x v="7"/>
    <s v="Lentil"/>
    <m/>
    <x v="1"/>
    <s v="Y"/>
    <x v="1"/>
    <n v="114"/>
    <n v="57"/>
    <x v="3"/>
    <m/>
    <m/>
    <m/>
    <n v="7"/>
    <m/>
    <m/>
    <m/>
    <m/>
    <m/>
    <n v="6"/>
    <n v="27"/>
    <x v="4"/>
    <n v="14"/>
    <m/>
    <n v="53"/>
    <x v="0"/>
    <n v="3"/>
    <x v="0"/>
    <m/>
    <m/>
    <n v="30"/>
    <x v="2"/>
    <s v="15/06/2022"/>
    <d v="2022-06-15T00:00:00"/>
    <s v="2022007-114"/>
    <x v="0"/>
  </r>
  <r>
    <x v="152"/>
    <n v="2022007"/>
    <x v="7"/>
    <s v="Lentil"/>
    <m/>
    <x v="14"/>
    <s v="N"/>
    <x v="2"/>
    <n v="115"/>
    <n v="58"/>
    <x v="3"/>
    <m/>
    <m/>
    <m/>
    <n v="7"/>
    <m/>
    <m/>
    <m/>
    <m/>
    <m/>
    <n v="7"/>
    <n v="26"/>
    <x v="5"/>
    <n v="13"/>
    <m/>
    <m/>
    <x v="0"/>
    <n v="1"/>
    <x v="0"/>
    <m/>
    <m/>
    <n v="30"/>
    <x v="2"/>
    <s v="15/06/2022"/>
    <d v="2022-06-15T00:00:00"/>
    <s v="2022007-115"/>
    <x v="0"/>
  </r>
  <r>
    <x v="152"/>
    <n v="2022007"/>
    <x v="7"/>
    <s v="Lentil"/>
    <m/>
    <x v="14"/>
    <s v="N"/>
    <x v="1"/>
    <n v="116"/>
    <n v="58"/>
    <x v="3"/>
    <m/>
    <m/>
    <m/>
    <n v="7"/>
    <m/>
    <m/>
    <m/>
    <m/>
    <m/>
    <n v="7"/>
    <n v="27"/>
    <x v="5"/>
    <n v="14"/>
    <m/>
    <n v="54"/>
    <x v="0"/>
    <n v="1"/>
    <x v="0"/>
    <m/>
    <m/>
    <n v="30"/>
    <x v="2"/>
    <s v="15/06/2022"/>
    <d v="2022-06-15T00:00:00"/>
    <s v="2022007-116"/>
    <x v="0"/>
  </r>
  <r>
    <x v="153"/>
    <n v="2022007"/>
    <x v="7"/>
    <s v="Lentil"/>
    <m/>
    <x v="15"/>
    <s v="Y"/>
    <x v="2"/>
    <n v="117"/>
    <n v="59"/>
    <x v="3"/>
    <m/>
    <m/>
    <m/>
    <n v="7"/>
    <m/>
    <m/>
    <m/>
    <m/>
    <m/>
    <n v="8"/>
    <n v="26"/>
    <x v="6"/>
    <n v="13"/>
    <m/>
    <m/>
    <x v="0"/>
    <n v="4"/>
    <x v="0"/>
    <m/>
    <m/>
    <n v="30"/>
    <x v="2"/>
    <s v="15/06/2022"/>
    <d v="2022-06-15T00:00:00"/>
    <s v="2022007-117"/>
    <x v="0"/>
  </r>
  <r>
    <x v="153"/>
    <n v="2022007"/>
    <x v="7"/>
    <s v="Lentil"/>
    <m/>
    <x v="15"/>
    <s v="Y"/>
    <x v="1"/>
    <n v="118"/>
    <n v="59"/>
    <x v="3"/>
    <m/>
    <m/>
    <m/>
    <n v="7"/>
    <m/>
    <m/>
    <m/>
    <m/>
    <m/>
    <n v="8"/>
    <n v="27"/>
    <x v="6"/>
    <n v="14"/>
    <m/>
    <n v="55"/>
    <x v="0"/>
    <n v="4"/>
    <x v="0"/>
    <m/>
    <m/>
    <n v="30"/>
    <x v="2"/>
    <s v="15/06/2022"/>
    <d v="2022-06-15T00:00:00"/>
    <s v="2022007-118"/>
    <x v="0"/>
  </r>
  <r>
    <x v="154"/>
    <n v="2022007"/>
    <x v="7"/>
    <s v="Lentil"/>
    <m/>
    <x v="16"/>
    <s v="N"/>
    <x v="2"/>
    <n v="119"/>
    <n v="60"/>
    <x v="3"/>
    <m/>
    <m/>
    <m/>
    <n v="7"/>
    <m/>
    <m/>
    <m/>
    <m/>
    <m/>
    <n v="9"/>
    <n v="26"/>
    <x v="7"/>
    <n v="13"/>
    <m/>
    <m/>
    <x v="0"/>
    <n v="2"/>
    <x v="0"/>
    <m/>
    <m/>
    <n v="30"/>
    <x v="2"/>
    <s v="15/06/2022"/>
    <d v="2022-06-15T00:00:00"/>
    <s v="2022007-119"/>
    <x v="0"/>
  </r>
  <r>
    <x v="154"/>
    <n v="2022007"/>
    <x v="7"/>
    <s v="Lentil"/>
    <m/>
    <x v="16"/>
    <s v="N"/>
    <x v="1"/>
    <n v="120"/>
    <n v="60"/>
    <x v="3"/>
    <m/>
    <m/>
    <m/>
    <n v="7"/>
    <m/>
    <m/>
    <m/>
    <m/>
    <m/>
    <n v="9"/>
    <n v="27"/>
    <x v="7"/>
    <n v="14"/>
    <m/>
    <n v="56"/>
    <x v="0"/>
    <n v="2"/>
    <x v="0"/>
    <m/>
    <m/>
    <n v="30"/>
    <x v="2"/>
    <s v="15/06/2022"/>
    <d v="2022-06-15T00:00:00"/>
    <s v="2022007-120"/>
    <x v="0"/>
  </r>
  <r>
    <x v="158"/>
    <n v="2022007"/>
    <x v="7"/>
    <s v="Lentil"/>
    <m/>
    <x v="14"/>
    <s v="N"/>
    <x v="2"/>
    <n v="121"/>
    <n v="61"/>
    <x v="3"/>
    <m/>
    <m/>
    <m/>
    <n v="8"/>
    <m/>
    <m/>
    <m/>
    <m/>
    <m/>
    <n v="6"/>
    <n v="30"/>
    <x v="4"/>
    <n v="15"/>
    <m/>
    <m/>
    <x v="0"/>
    <n v="1"/>
    <x v="0"/>
    <m/>
    <m/>
    <n v="30"/>
    <x v="1"/>
    <s v="11/05/2022"/>
    <d v="2022-05-11T00:00:00"/>
    <s v="2022007-121"/>
    <x v="0"/>
  </r>
  <r>
    <x v="158"/>
    <n v="2022007"/>
    <x v="7"/>
    <s v="Lentil"/>
    <m/>
    <x v="14"/>
    <s v="N"/>
    <x v="1"/>
    <n v="122"/>
    <n v="61"/>
    <x v="3"/>
    <m/>
    <m/>
    <m/>
    <n v="8"/>
    <m/>
    <m/>
    <m/>
    <m/>
    <m/>
    <n v="6"/>
    <n v="31"/>
    <x v="4"/>
    <n v="16"/>
    <m/>
    <n v="60"/>
    <x v="0"/>
    <n v="1"/>
    <x v="0"/>
    <m/>
    <m/>
    <n v="30"/>
    <x v="1"/>
    <s v="11/05/2022"/>
    <d v="2022-05-11T00:00:00"/>
    <s v="2022007-122"/>
    <x v="0"/>
  </r>
  <r>
    <x v="159"/>
    <n v="2022007"/>
    <x v="7"/>
    <s v="Lentil"/>
    <m/>
    <x v="16"/>
    <s v="N"/>
    <x v="2"/>
    <n v="123"/>
    <n v="62"/>
    <x v="3"/>
    <m/>
    <m/>
    <m/>
    <n v="8"/>
    <m/>
    <m/>
    <m/>
    <m/>
    <m/>
    <n v="7"/>
    <n v="30"/>
    <x v="5"/>
    <n v="15"/>
    <m/>
    <m/>
    <x v="0"/>
    <n v="2"/>
    <x v="0"/>
    <m/>
    <m/>
    <n v="30"/>
    <x v="1"/>
    <s v="11/05/2022"/>
    <d v="2022-05-11T00:00:00"/>
    <s v="2022007-123"/>
    <x v="0"/>
  </r>
  <r>
    <x v="159"/>
    <n v="2022007"/>
    <x v="7"/>
    <s v="Lentil"/>
    <m/>
    <x v="16"/>
    <s v="N"/>
    <x v="1"/>
    <n v="124"/>
    <n v="62"/>
    <x v="3"/>
    <m/>
    <m/>
    <m/>
    <n v="8"/>
    <m/>
    <m/>
    <m/>
    <m/>
    <m/>
    <n v="7"/>
    <n v="31"/>
    <x v="5"/>
    <n v="16"/>
    <m/>
    <n v="59"/>
    <x v="0"/>
    <n v="2"/>
    <x v="0"/>
    <m/>
    <m/>
    <n v="30"/>
    <x v="1"/>
    <s v="11/05/2022"/>
    <d v="2022-05-11T00:00:00"/>
    <s v="2022007-124"/>
    <x v="0"/>
  </r>
  <r>
    <x v="157"/>
    <n v="2022007"/>
    <x v="7"/>
    <s v="Lentil"/>
    <m/>
    <x v="1"/>
    <s v="Y"/>
    <x v="2"/>
    <n v="125"/>
    <n v="63"/>
    <x v="3"/>
    <m/>
    <m/>
    <m/>
    <n v="8"/>
    <m/>
    <m/>
    <m/>
    <m/>
    <m/>
    <n v="8"/>
    <n v="30"/>
    <x v="6"/>
    <n v="15"/>
    <m/>
    <m/>
    <x v="0"/>
    <n v="3"/>
    <x v="0"/>
    <m/>
    <m/>
    <n v="30"/>
    <x v="1"/>
    <s v="11/05/2022"/>
    <d v="2022-05-11T00:00:00"/>
    <s v="2022007-125"/>
    <x v="0"/>
  </r>
  <r>
    <x v="157"/>
    <n v="2022007"/>
    <x v="7"/>
    <s v="Lentil"/>
    <m/>
    <x v="1"/>
    <s v="Y"/>
    <x v="1"/>
    <n v="126"/>
    <n v="63"/>
    <x v="3"/>
    <m/>
    <m/>
    <m/>
    <n v="8"/>
    <m/>
    <m/>
    <m/>
    <m/>
    <m/>
    <n v="8"/>
    <n v="31"/>
    <x v="6"/>
    <n v="16"/>
    <m/>
    <n v="58"/>
    <x v="0"/>
    <n v="3"/>
    <x v="0"/>
    <m/>
    <m/>
    <n v="30"/>
    <x v="1"/>
    <s v="11/05/2022"/>
    <d v="2022-05-11T00:00:00"/>
    <s v="2022007-126"/>
    <x v="0"/>
  </r>
  <r>
    <x v="156"/>
    <n v="2022007"/>
    <x v="7"/>
    <s v="Lentil"/>
    <m/>
    <x v="15"/>
    <s v="Y"/>
    <x v="2"/>
    <n v="127"/>
    <n v="64"/>
    <x v="3"/>
    <m/>
    <m/>
    <m/>
    <n v="8"/>
    <m/>
    <m/>
    <m/>
    <m/>
    <m/>
    <n v="9"/>
    <n v="30"/>
    <x v="7"/>
    <n v="15"/>
    <m/>
    <m/>
    <x v="0"/>
    <n v="4"/>
    <x v="0"/>
    <m/>
    <m/>
    <n v="30"/>
    <x v="1"/>
    <s v="11/05/2022"/>
    <d v="2022-05-11T00:00:00"/>
    <s v="2022007-127"/>
    <x v="0"/>
  </r>
  <r>
    <x v="156"/>
    <n v="2022007"/>
    <x v="7"/>
    <s v="Lentil"/>
    <m/>
    <x v="15"/>
    <s v="Y"/>
    <x v="1"/>
    <n v="128"/>
    <n v="64"/>
    <x v="3"/>
    <m/>
    <m/>
    <m/>
    <n v="8"/>
    <m/>
    <m/>
    <m/>
    <m/>
    <m/>
    <n v="9"/>
    <n v="31"/>
    <x v="7"/>
    <n v="16"/>
    <m/>
    <n v="57"/>
    <x v="0"/>
    <n v="4"/>
    <x v="0"/>
    <m/>
    <m/>
    <n v="30"/>
    <x v="1"/>
    <s v="11/05/2022"/>
    <d v="2022-05-11T00:00:00"/>
    <s v="2022007-128"/>
    <x v="0"/>
  </r>
  <r>
    <x v="160"/>
    <n v="2022008"/>
    <x v="8"/>
    <s v="Chickpea"/>
    <m/>
    <x v="6"/>
    <s v="N"/>
    <x v="1"/>
    <n v="1"/>
    <n v="1"/>
    <x v="0"/>
    <m/>
    <m/>
    <m/>
    <n v="1"/>
    <m/>
    <m/>
    <m/>
    <m/>
    <m/>
    <n v="1"/>
    <n v="8"/>
    <x v="0"/>
    <n v="1"/>
    <m/>
    <n v="1"/>
    <x v="0"/>
    <n v="8"/>
    <x v="0"/>
    <m/>
    <m/>
    <n v="22"/>
    <x v="3"/>
    <s v="27/05/2022"/>
    <d v="2022-05-27T00:00:00"/>
    <s v="2022008-1"/>
    <x v="3"/>
  </r>
  <r>
    <x v="161"/>
    <n v="2022008"/>
    <x v="8"/>
    <s v="Chickpea"/>
    <m/>
    <x v="17"/>
    <s v="N"/>
    <x v="2"/>
    <n v="2"/>
    <n v="2"/>
    <x v="0"/>
    <m/>
    <m/>
    <m/>
    <n v="1"/>
    <m/>
    <m/>
    <m/>
    <m/>
    <m/>
    <n v="2"/>
    <n v="8"/>
    <x v="1"/>
    <n v="1"/>
    <m/>
    <n v="2"/>
    <x v="0"/>
    <n v="5"/>
    <x v="0"/>
    <m/>
    <m/>
    <n v="22"/>
    <x v="3"/>
    <s v="27/05/2022"/>
    <d v="2022-05-27T00:00:00"/>
    <s v="2022008-2"/>
    <x v="3"/>
  </r>
  <r>
    <x v="162"/>
    <n v="2022008"/>
    <x v="8"/>
    <s v="Chickpea"/>
    <m/>
    <x v="3"/>
    <s v="N"/>
    <x v="2"/>
    <n v="3"/>
    <n v="3"/>
    <x v="0"/>
    <m/>
    <m/>
    <m/>
    <n v="1"/>
    <m/>
    <m/>
    <m/>
    <m/>
    <m/>
    <n v="3"/>
    <n v="8"/>
    <x v="2"/>
    <n v="1"/>
    <m/>
    <n v="3"/>
    <x v="0"/>
    <n v="3"/>
    <x v="0"/>
    <m/>
    <m/>
    <n v="22"/>
    <x v="3"/>
    <s v="27/05/2022"/>
    <d v="2022-05-27T00:00:00"/>
    <s v="2022008-3"/>
    <x v="3"/>
  </r>
  <r>
    <x v="163"/>
    <n v="2022008"/>
    <x v="8"/>
    <s v="Chickpea"/>
    <m/>
    <x v="4"/>
    <s v="Y"/>
    <x v="2"/>
    <n v="4"/>
    <n v="4"/>
    <x v="0"/>
    <m/>
    <m/>
    <m/>
    <n v="1"/>
    <m/>
    <m/>
    <m/>
    <m/>
    <m/>
    <n v="4"/>
    <n v="8"/>
    <x v="3"/>
    <n v="1"/>
    <m/>
    <n v="4"/>
    <x v="0"/>
    <n v="2"/>
    <x v="0"/>
    <m/>
    <m/>
    <n v="22"/>
    <x v="3"/>
    <s v="27/05/2022"/>
    <d v="2022-05-27T00:00:00"/>
    <s v="2022008-4"/>
    <x v="3"/>
  </r>
  <r>
    <x v="164"/>
    <n v="2022008"/>
    <x v="8"/>
    <s v="Chickpea"/>
    <m/>
    <x v="18"/>
    <s v="N"/>
    <x v="2"/>
    <n v="5"/>
    <n v="5"/>
    <x v="0"/>
    <m/>
    <m/>
    <m/>
    <n v="1"/>
    <m/>
    <m/>
    <m/>
    <m/>
    <m/>
    <n v="1"/>
    <n v="9"/>
    <x v="0"/>
    <n v="2"/>
    <m/>
    <n v="8"/>
    <x v="0"/>
    <n v="6"/>
    <x v="0"/>
    <m/>
    <m/>
    <n v="22"/>
    <x v="3"/>
    <s v="27/05/2022"/>
    <d v="2022-05-27T00:00:00"/>
    <s v="2022008-5"/>
    <x v="3"/>
  </r>
  <r>
    <x v="165"/>
    <n v="2022008"/>
    <x v="8"/>
    <s v="Chickpea"/>
    <m/>
    <x v="8"/>
    <s v="Y"/>
    <x v="1"/>
    <n v="6"/>
    <n v="6"/>
    <x v="0"/>
    <m/>
    <m/>
    <m/>
    <n v="1"/>
    <m/>
    <m/>
    <m/>
    <m/>
    <m/>
    <n v="2"/>
    <n v="9"/>
    <x v="1"/>
    <n v="2"/>
    <m/>
    <n v="7"/>
    <x v="0"/>
    <n v="7"/>
    <x v="0"/>
    <m/>
    <m/>
    <n v="22"/>
    <x v="3"/>
    <s v="27/05/2022"/>
    <d v="2022-05-27T00:00:00"/>
    <s v="2022008-6"/>
    <x v="3"/>
  </r>
  <r>
    <x v="166"/>
    <n v="2022008"/>
    <x v="8"/>
    <s v="Chickpea"/>
    <m/>
    <x v="9"/>
    <s v="N"/>
    <x v="2"/>
    <n v="7"/>
    <n v="7"/>
    <x v="0"/>
    <m/>
    <m/>
    <m/>
    <n v="1"/>
    <m/>
    <m/>
    <m/>
    <m/>
    <m/>
    <n v="3"/>
    <n v="9"/>
    <x v="2"/>
    <n v="2"/>
    <m/>
    <n v="6"/>
    <x v="0"/>
    <n v="4"/>
    <x v="0"/>
    <m/>
    <m/>
    <n v="22"/>
    <x v="3"/>
    <s v="27/05/2022"/>
    <d v="2022-05-27T00:00:00"/>
    <s v="2022008-7"/>
    <x v="3"/>
  </r>
  <r>
    <x v="165"/>
    <n v="2022008"/>
    <x v="8"/>
    <s v="Chickpea"/>
    <m/>
    <x v="8"/>
    <s v="Y"/>
    <x v="2"/>
    <n v="8"/>
    <n v="8"/>
    <x v="0"/>
    <m/>
    <m/>
    <m/>
    <n v="1"/>
    <m/>
    <m/>
    <m/>
    <m/>
    <m/>
    <n v="4"/>
    <n v="9"/>
    <x v="3"/>
    <n v="2"/>
    <m/>
    <n v="5"/>
    <x v="0"/>
    <n v="1"/>
    <x v="0"/>
    <m/>
    <m/>
    <n v="22"/>
    <x v="3"/>
    <s v="27/05/2022"/>
    <d v="2022-05-27T00:00:00"/>
    <s v="2022008-8"/>
    <x v="3"/>
  </r>
  <r>
    <x v="167"/>
    <n v="2022008"/>
    <x v="8"/>
    <s v="Chickpea"/>
    <m/>
    <x v="4"/>
    <s v="Y"/>
    <x v="2"/>
    <n v="9"/>
    <n v="9"/>
    <x v="0"/>
    <m/>
    <m/>
    <m/>
    <n v="2"/>
    <m/>
    <m/>
    <m/>
    <m/>
    <m/>
    <n v="1"/>
    <n v="12"/>
    <x v="0"/>
    <n v="3"/>
    <m/>
    <n v="9"/>
    <x v="0"/>
    <n v="2"/>
    <x v="0"/>
    <m/>
    <m/>
    <n v="22"/>
    <x v="0"/>
    <s v="10/05/2022"/>
    <d v="2022-05-10T00:00:00"/>
    <s v="2022008-9"/>
    <x v="3"/>
  </r>
  <r>
    <x v="168"/>
    <n v="2022008"/>
    <x v="8"/>
    <s v="Chickpea"/>
    <m/>
    <x v="9"/>
    <s v="N"/>
    <x v="2"/>
    <n v="10"/>
    <n v="10"/>
    <x v="0"/>
    <m/>
    <m/>
    <m/>
    <n v="2"/>
    <m/>
    <m/>
    <m/>
    <m/>
    <m/>
    <n v="2"/>
    <n v="12"/>
    <x v="1"/>
    <n v="3"/>
    <m/>
    <n v="10"/>
    <x v="0"/>
    <n v="4"/>
    <x v="0"/>
    <m/>
    <m/>
    <n v="22"/>
    <x v="0"/>
    <s v="10/05/2022"/>
    <d v="2022-05-10T00:00:00"/>
    <s v="2022008-10"/>
    <x v="3"/>
  </r>
  <r>
    <x v="169"/>
    <n v="2022008"/>
    <x v="8"/>
    <s v="Chickpea"/>
    <m/>
    <x v="8"/>
    <s v="Y"/>
    <x v="1"/>
    <n v="11"/>
    <n v="11"/>
    <x v="0"/>
    <m/>
    <m/>
    <m/>
    <n v="2"/>
    <m/>
    <m/>
    <m/>
    <m/>
    <m/>
    <n v="3"/>
    <n v="12"/>
    <x v="2"/>
    <n v="3"/>
    <m/>
    <n v="11"/>
    <x v="0"/>
    <n v="7"/>
    <x v="0"/>
    <m/>
    <m/>
    <n v="22"/>
    <x v="0"/>
    <s v="10/05/2022"/>
    <d v="2022-05-10T00:00:00"/>
    <s v="2022008-11"/>
    <x v="3"/>
  </r>
  <r>
    <x v="170"/>
    <n v="2022008"/>
    <x v="8"/>
    <s v="Chickpea"/>
    <m/>
    <x v="6"/>
    <s v="N"/>
    <x v="1"/>
    <n v="12"/>
    <n v="12"/>
    <x v="0"/>
    <m/>
    <m/>
    <m/>
    <n v="2"/>
    <m/>
    <m/>
    <m/>
    <m/>
    <m/>
    <n v="4"/>
    <n v="12"/>
    <x v="3"/>
    <n v="3"/>
    <m/>
    <n v="12"/>
    <x v="0"/>
    <n v="8"/>
    <x v="0"/>
    <m/>
    <m/>
    <n v="22"/>
    <x v="0"/>
    <s v="10/05/2022"/>
    <d v="2022-05-10T00:00:00"/>
    <s v="2022008-12"/>
    <x v="3"/>
  </r>
  <r>
    <x v="171"/>
    <n v="2022008"/>
    <x v="8"/>
    <s v="Chickpea"/>
    <m/>
    <x v="17"/>
    <s v="N"/>
    <x v="2"/>
    <n v="13"/>
    <n v="13"/>
    <x v="0"/>
    <m/>
    <m/>
    <m/>
    <n v="2"/>
    <m/>
    <m/>
    <m/>
    <m/>
    <m/>
    <n v="1"/>
    <n v="13"/>
    <x v="0"/>
    <n v="4"/>
    <m/>
    <n v="16"/>
    <x v="0"/>
    <n v="5"/>
    <x v="0"/>
    <m/>
    <m/>
    <n v="22"/>
    <x v="0"/>
    <s v="10/05/2022"/>
    <d v="2022-05-10T00:00:00"/>
    <s v="2022008-13"/>
    <x v="3"/>
  </r>
  <r>
    <x v="172"/>
    <n v="2022008"/>
    <x v="8"/>
    <s v="Chickpea"/>
    <m/>
    <x v="3"/>
    <s v="N"/>
    <x v="2"/>
    <n v="14"/>
    <n v="14"/>
    <x v="0"/>
    <m/>
    <m/>
    <m/>
    <n v="2"/>
    <m/>
    <m/>
    <m/>
    <m/>
    <m/>
    <n v="2"/>
    <n v="13"/>
    <x v="1"/>
    <n v="4"/>
    <m/>
    <n v="15"/>
    <x v="0"/>
    <n v="3"/>
    <x v="0"/>
    <m/>
    <m/>
    <n v="22"/>
    <x v="0"/>
    <s v="10/05/2022"/>
    <d v="2022-05-10T00:00:00"/>
    <s v="2022008-14"/>
    <x v="3"/>
  </r>
  <r>
    <x v="169"/>
    <n v="2022008"/>
    <x v="8"/>
    <s v="Chickpea"/>
    <m/>
    <x v="8"/>
    <s v="Y"/>
    <x v="2"/>
    <n v="15"/>
    <n v="15"/>
    <x v="0"/>
    <m/>
    <m/>
    <m/>
    <n v="2"/>
    <m/>
    <m/>
    <m/>
    <m/>
    <m/>
    <n v="3"/>
    <n v="13"/>
    <x v="2"/>
    <n v="4"/>
    <m/>
    <n v="14"/>
    <x v="0"/>
    <n v="1"/>
    <x v="0"/>
    <m/>
    <m/>
    <n v="22"/>
    <x v="0"/>
    <s v="10/05/2022"/>
    <d v="2022-05-10T00:00:00"/>
    <s v="2022008-15"/>
    <x v="3"/>
  </r>
  <r>
    <x v="173"/>
    <n v="2022008"/>
    <x v="8"/>
    <s v="Chickpea"/>
    <m/>
    <x v="18"/>
    <s v="N"/>
    <x v="2"/>
    <n v="16"/>
    <n v="16"/>
    <x v="0"/>
    <m/>
    <m/>
    <m/>
    <n v="2"/>
    <m/>
    <m/>
    <m/>
    <m/>
    <m/>
    <n v="4"/>
    <n v="13"/>
    <x v="3"/>
    <n v="4"/>
    <m/>
    <n v="13"/>
    <x v="0"/>
    <n v="6"/>
    <x v="0"/>
    <m/>
    <m/>
    <n v="22"/>
    <x v="0"/>
    <s v="10/05/2022"/>
    <d v="2022-05-10T00:00:00"/>
    <s v="2022008-16"/>
    <x v="3"/>
  </r>
  <r>
    <x v="174"/>
    <n v="2022008"/>
    <x v="8"/>
    <s v="Chickpea"/>
    <m/>
    <x v="3"/>
    <s v="N"/>
    <x v="2"/>
    <n v="17"/>
    <n v="17"/>
    <x v="0"/>
    <m/>
    <m/>
    <m/>
    <n v="3"/>
    <m/>
    <m/>
    <m/>
    <m/>
    <m/>
    <n v="1"/>
    <n v="16"/>
    <x v="0"/>
    <n v="5"/>
    <m/>
    <n v="17"/>
    <x v="0"/>
    <n v="3"/>
    <x v="0"/>
    <m/>
    <m/>
    <n v="22"/>
    <x v="1"/>
    <s v="13/04/2022"/>
    <d v="2022-04-13T00:00:00"/>
    <s v="2022008-17"/>
    <x v="3"/>
  </r>
  <r>
    <x v="175"/>
    <n v="2022008"/>
    <x v="8"/>
    <s v="Chickpea"/>
    <m/>
    <x v="4"/>
    <s v="Y"/>
    <x v="2"/>
    <n v="18"/>
    <n v="18"/>
    <x v="0"/>
    <m/>
    <m/>
    <m/>
    <n v="3"/>
    <m/>
    <m/>
    <m/>
    <m/>
    <m/>
    <n v="2"/>
    <n v="16"/>
    <x v="1"/>
    <n v="5"/>
    <m/>
    <n v="18"/>
    <x v="0"/>
    <n v="2"/>
    <x v="0"/>
    <m/>
    <m/>
    <n v="22"/>
    <x v="1"/>
    <s v="13/04/2022"/>
    <d v="2022-04-13T00:00:00"/>
    <s v="2022008-18"/>
    <x v="3"/>
  </r>
  <r>
    <x v="176"/>
    <n v="2022008"/>
    <x v="8"/>
    <s v="Chickpea"/>
    <m/>
    <x v="6"/>
    <s v="N"/>
    <x v="1"/>
    <n v="19"/>
    <n v="19"/>
    <x v="0"/>
    <m/>
    <m/>
    <m/>
    <n v="3"/>
    <m/>
    <m/>
    <m/>
    <m/>
    <m/>
    <n v="3"/>
    <n v="16"/>
    <x v="2"/>
    <n v="5"/>
    <m/>
    <n v="19"/>
    <x v="0"/>
    <n v="8"/>
    <x v="0"/>
    <m/>
    <m/>
    <n v="22"/>
    <x v="1"/>
    <s v="13/04/2022"/>
    <d v="2022-04-13T00:00:00"/>
    <s v="2022008-19"/>
    <x v="3"/>
  </r>
  <r>
    <x v="177"/>
    <n v="2022008"/>
    <x v="8"/>
    <s v="Chickpea"/>
    <m/>
    <x v="9"/>
    <s v="N"/>
    <x v="2"/>
    <n v="20"/>
    <n v="20"/>
    <x v="0"/>
    <m/>
    <m/>
    <m/>
    <n v="3"/>
    <m/>
    <m/>
    <m/>
    <m/>
    <m/>
    <n v="4"/>
    <n v="16"/>
    <x v="3"/>
    <n v="5"/>
    <m/>
    <n v="20"/>
    <x v="0"/>
    <n v="4"/>
    <x v="0"/>
    <m/>
    <m/>
    <n v="22"/>
    <x v="1"/>
    <s v="13/04/2022"/>
    <d v="2022-04-13T00:00:00"/>
    <s v="2022008-20"/>
    <x v="3"/>
  </r>
  <r>
    <x v="178"/>
    <n v="2022008"/>
    <x v="8"/>
    <s v="Chickpea"/>
    <m/>
    <x v="8"/>
    <s v="Y"/>
    <x v="2"/>
    <n v="21"/>
    <n v="21"/>
    <x v="0"/>
    <m/>
    <m/>
    <m/>
    <n v="3"/>
    <m/>
    <m/>
    <m/>
    <m/>
    <m/>
    <n v="1"/>
    <n v="17"/>
    <x v="0"/>
    <n v="6"/>
    <m/>
    <n v="24"/>
    <x v="0"/>
    <n v="1"/>
    <x v="0"/>
    <m/>
    <m/>
    <n v="22"/>
    <x v="1"/>
    <s v="13/04/2022"/>
    <d v="2022-04-13T00:00:00"/>
    <s v="2022008-21"/>
    <x v="3"/>
  </r>
  <r>
    <x v="179"/>
    <n v="2022008"/>
    <x v="8"/>
    <s v="Chickpea"/>
    <m/>
    <x v="18"/>
    <s v="N"/>
    <x v="2"/>
    <n v="22"/>
    <n v="22"/>
    <x v="0"/>
    <m/>
    <m/>
    <m/>
    <n v="3"/>
    <m/>
    <m/>
    <m/>
    <m/>
    <m/>
    <n v="2"/>
    <n v="17"/>
    <x v="1"/>
    <n v="6"/>
    <m/>
    <n v="23"/>
    <x v="0"/>
    <n v="6"/>
    <x v="0"/>
    <m/>
    <m/>
    <n v="22"/>
    <x v="1"/>
    <s v="13/04/2022"/>
    <d v="2022-04-13T00:00:00"/>
    <s v="2022008-22"/>
    <x v="3"/>
  </r>
  <r>
    <x v="180"/>
    <n v="2022008"/>
    <x v="8"/>
    <s v="Chickpea"/>
    <m/>
    <x v="17"/>
    <s v="N"/>
    <x v="2"/>
    <n v="23"/>
    <n v="23"/>
    <x v="0"/>
    <m/>
    <m/>
    <m/>
    <n v="3"/>
    <m/>
    <m/>
    <m/>
    <m/>
    <m/>
    <n v="3"/>
    <n v="17"/>
    <x v="2"/>
    <n v="6"/>
    <m/>
    <n v="22"/>
    <x v="0"/>
    <n v="5"/>
    <x v="0"/>
    <m/>
    <m/>
    <n v="22"/>
    <x v="1"/>
    <s v="13/04/2022"/>
    <d v="2022-04-13T00:00:00"/>
    <s v="2022008-23"/>
    <x v="3"/>
  </r>
  <r>
    <x v="178"/>
    <n v="2022008"/>
    <x v="8"/>
    <s v="Chickpea"/>
    <m/>
    <x v="8"/>
    <s v="Y"/>
    <x v="1"/>
    <n v="24"/>
    <n v="24"/>
    <x v="0"/>
    <m/>
    <m/>
    <m/>
    <n v="3"/>
    <m/>
    <m/>
    <m/>
    <m/>
    <m/>
    <n v="4"/>
    <n v="17"/>
    <x v="3"/>
    <n v="6"/>
    <m/>
    <n v="21"/>
    <x v="0"/>
    <n v="7"/>
    <x v="0"/>
    <m/>
    <m/>
    <n v="22"/>
    <x v="1"/>
    <s v="13/04/2022"/>
    <d v="2022-04-13T00:00:00"/>
    <s v="2022008-24"/>
    <x v="3"/>
  </r>
  <r>
    <x v="181"/>
    <n v="2022008"/>
    <x v="8"/>
    <s v="Chickpea"/>
    <m/>
    <x v="8"/>
    <s v="Y"/>
    <x v="1"/>
    <n v="25"/>
    <n v="25"/>
    <x v="0"/>
    <m/>
    <m/>
    <m/>
    <n v="4"/>
    <m/>
    <m/>
    <m/>
    <m/>
    <m/>
    <n v="1"/>
    <n v="20"/>
    <x v="0"/>
    <n v="7"/>
    <m/>
    <n v="25"/>
    <x v="0"/>
    <n v="7"/>
    <x v="0"/>
    <m/>
    <m/>
    <n v="22"/>
    <x v="2"/>
    <s v="26/04/2022"/>
    <d v="2022-04-26T00:00:00"/>
    <s v="2022008-25"/>
    <x v="3"/>
  </r>
  <r>
    <x v="182"/>
    <n v="2022008"/>
    <x v="8"/>
    <s v="Chickpea"/>
    <m/>
    <x v="6"/>
    <s v="N"/>
    <x v="1"/>
    <n v="26"/>
    <n v="26"/>
    <x v="0"/>
    <m/>
    <m/>
    <m/>
    <n v="4"/>
    <m/>
    <m/>
    <m/>
    <m/>
    <m/>
    <n v="2"/>
    <n v="20"/>
    <x v="1"/>
    <n v="7"/>
    <m/>
    <n v="26"/>
    <x v="0"/>
    <n v="8"/>
    <x v="0"/>
    <m/>
    <m/>
    <n v="22"/>
    <x v="2"/>
    <s v="26/04/2022"/>
    <d v="2022-04-26T00:00:00"/>
    <s v="2022008-26"/>
    <x v="3"/>
  </r>
  <r>
    <x v="183"/>
    <n v="2022008"/>
    <x v="8"/>
    <s v="Chickpea"/>
    <m/>
    <x v="18"/>
    <s v="N"/>
    <x v="2"/>
    <n v="27"/>
    <n v="27"/>
    <x v="0"/>
    <m/>
    <m/>
    <m/>
    <n v="4"/>
    <m/>
    <m/>
    <m/>
    <m/>
    <m/>
    <n v="3"/>
    <n v="20"/>
    <x v="2"/>
    <n v="7"/>
    <m/>
    <n v="27"/>
    <x v="0"/>
    <n v="6"/>
    <x v="0"/>
    <m/>
    <m/>
    <n v="22"/>
    <x v="2"/>
    <s v="26/04/2022"/>
    <d v="2022-04-26T00:00:00"/>
    <s v="2022008-27"/>
    <x v="3"/>
  </r>
  <r>
    <x v="184"/>
    <n v="2022008"/>
    <x v="8"/>
    <s v="Chickpea"/>
    <m/>
    <x v="3"/>
    <s v="N"/>
    <x v="2"/>
    <n v="28"/>
    <n v="28"/>
    <x v="0"/>
    <m/>
    <m/>
    <m/>
    <n v="4"/>
    <m/>
    <m/>
    <m/>
    <m/>
    <m/>
    <n v="4"/>
    <n v="20"/>
    <x v="3"/>
    <n v="7"/>
    <m/>
    <n v="28"/>
    <x v="0"/>
    <n v="3"/>
    <x v="0"/>
    <m/>
    <m/>
    <n v="22"/>
    <x v="2"/>
    <s v="26/04/2022"/>
    <d v="2022-04-26T00:00:00"/>
    <s v="2022008-28"/>
    <x v="3"/>
  </r>
  <r>
    <x v="185"/>
    <n v="2022008"/>
    <x v="8"/>
    <s v="Chickpea"/>
    <m/>
    <x v="9"/>
    <s v="N"/>
    <x v="2"/>
    <n v="29"/>
    <n v="29"/>
    <x v="0"/>
    <m/>
    <m/>
    <m/>
    <n v="4"/>
    <m/>
    <m/>
    <m/>
    <m/>
    <m/>
    <n v="1"/>
    <n v="21"/>
    <x v="0"/>
    <n v="8"/>
    <m/>
    <n v="32"/>
    <x v="0"/>
    <n v="4"/>
    <x v="0"/>
    <m/>
    <m/>
    <n v="22"/>
    <x v="2"/>
    <s v="26/04/2022"/>
    <d v="2022-04-26T00:00:00"/>
    <s v="2022008-29"/>
    <x v="3"/>
  </r>
  <r>
    <x v="181"/>
    <n v="2022008"/>
    <x v="8"/>
    <s v="Chickpea"/>
    <m/>
    <x v="8"/>
    <s v="Y"/>
    <x v="2"/>
    <n v="30"/>
    <n v="30"/>
    <x v="0"/>
    <m/>
    <m/>
    <m/>
    <n v="4"/>
    <m/>
    <m/>
    <m/>
    <m/>
    <m/>
    <n v="2"/>
    <n v="21"/>
    <x v="1"/>
    <n v="8"/>
    <m/>
    <n v="31"/>
    <x v="0"/>
    <n v="1"/>
    <x v="0"/>
    <m/>
    <m/>
    <n v="22"/>
    <x v="2"/>
    <s v="26/04/2022"/>
    <d v="2022-04-26T00:00:00"/>
    <s v="2022008-30"/>
    <x v="3"/>
  </r>
  <r>
    <x v="186"/>
    <n v="2022008"/>
    <x v="8"/>
    <s v="Chickpea"/>
    <m/>
    <x v="4"/>
    <s v="Y"/>
    <x v="2"/>
    <n v="31"/>
    <n v="31"/>
    <x v="0"/>
    <m/>
    <m/>
    <m/>
    <n v="4"/>
    <m/>
    <m/>
    <m/>
    <m/>
    <m/>
    <n v="3"/>
    <n v="21"/>
    <x v="2"/>
    <n v="8"/>
    <m/>
    <n v="30"/>
    <x v="0"/>
    <n v="2"/>
    <x v="0"/>
    <m/>
    <m/>
    <n v="22"/>
    <x v="2"/>
    <s v="26/04/2022"/>
    <d v="2022-04-26T00:00:00"/>
    <s v="2022008-31"/>
    <x v="3"/>
  </r>
  <r>
    <x v="187"/>
    <n v="2022008"/>
    <x v="8"/>
    <s v="Chickpea"/>
    <m/>
    <x v="17"/>
    <s v="N"/>
    <x v="2"/>
    <n v="32"/>
    <n v="32"/>
    <x v="0"/>
    <m/>
    <m/>
    <m/>
    <n v="4"/>
    <m/>
    <m/>
    <m/>
    <m/>
    <m/>
    <n v="4"/>
    <n v="21"/>
    <x v="3"/>
    <n v="8"/>
    <m/>
    <n v="29"/>
    <x v="0"/>
    <n v="5"/>
    <x v="0"/>
    <m/>
    <m/>
    <n v="22"/>
    <x v="2"/>
    <s v="26/04/2022"/>
    <d v="2022-04-26T00:00:00"/>
    <s v="2022008-32"/>
    <x v="3"/>
  </r>
  <r>
    <x v="172"/>
    <n v="2022008"/>
    <x v="8"/>
    <s v="Chickpea"/>
    <m/>
    <x v="3"/>
    <s v="N"/>
    <x v="2"/>
    <n v="33"/>
    <n v="33"/>
    <x v="1"/>
    <m/>
    <m/>
    <m/>
    <n v="5"/>
    <m/>
    <m/>
    <m/>
    <m/>
    <m/>
    <n v="1"/>
    <n v="24"/>
    <x v="0"/>
    <n v="9"/>
    <m/>
    <n v="33"/>
    <x v="0"/>
    <n v="3"/>
    <x v="0"/>
    <m/>
    <m/>
    <n v="22"/>
    <x v="0"/>
    <s v="10/05/2022"/>
    <d v="2022-05-10T00:00:00"/>
    <s v="2022008-33"/>
    <x v="3"/>
  </r>
  <r>
    <x v="169"/>
    <n v="2022008"/>
    <x v="8"/>
    <s v="Chickpea"/>
    <m/>
    <x v="8"/>
    <s v="Y"/>
    <x v="2"/>
    <n v="34"/>
    <n v="34"/>
    <x v="1"/>
    <m/>
    <m/>
    <m/>
    <n v="5"/>
    <m/>
    <m/>
    <m/>
    <m/>
    <m/>
    <n v="2"/>
    <n v="24"/>
    <x v="1"/>
    <n v="9"/>
    <m/>
    <n v="34"/>
    <x v="0"/>
    <n v="1"/>
    <x v="0"/>
    <m/>
    <m/>
    <n v="22"/>
    <x v="0"/>
    <s v="10/05/2022"/>
    <d v="2022-05-10T00:00:00"/>
    <s v="2022008-34"/>
    <x v="3"/>
  </r>
  <r>
    <x v="170"/>
    <n v="2022008"/>
    <x v="8"/>
    <s v="Chickpea"/>
    <m/>
    <x v="6"/>
    <s v="N"/>
    <x v="1"/>
    <n v="35"/>
    <n v="35"/>
    <x v="1"/>
    <m/>
    <m/>
    <m/>
    <n v="5"/>
    <m/>
    <m/>
    <m/>
    <m/>
    <m/>
    <n v="3"/>
    <n v="24"/>
    <x v="2"/>
    <n v="9"/>
    <m/>
    <n v="35"/>
    <x v="0"/>
    <n v="8"/>
    <x v="0"/>
    <m/>
    <m/>
    <n v="22"/>
    <x v="0"/>
    <s v="10/05/2022"/>
    <d v="2022-05-10T00:00:00"/>
    <s v="2022008-35"/>
    <x v="3"/>
  </r>
  <r>
    <x v="171"/>
    <n v="2022008"/>
    <x v="8"/>
    <s v="Chickpea"/>
    <m/>
    <x v="17"/>
    <s v="N"/>
    <x v="2"/>
    <n v="36"/>
    <n v="36"/>
    <x v="1"/>
    <m/>
    <m/>
    <m/>
    <n v="5"/>
    <m/>
    <m/>
    <m/>
    <m/>
    <m/>
    <n v="4"/>
    <n v="24"/>
    <x v="3"/>
    <n v="9"/>
    <m/>
    <n v="36"/>
    <x v="0"/>
    <n v="5"/>
    <x v="0"/>
    <m/>
    <m/>
    <n v="22"/>
    <x v="0"/>
    <s v="10/05/2022"/>
    <d v="2022-05-10T00:00:00"/>
    <s v="2022008-36"/>
    <x v="3"/>
  </r>
  <r>
    <x v="173"/>
    <n v="2022008"/>
    <x v="8"/>
    <s v="Chickpea"/>
    <m/>
    <x v="18"/>
    <s v="N"/>
    <x v="2"/>
    <n v="37"/>
    <n v="37"/>
    <x v="1"/>
    <m/>
    <m/>
    <m/>
    <n v="5"/>
    <m/>
    <m/>
    <m/>
    <m/>
    <m/>
    <n v="1"/>
    <n v="25"/>
    <x v="0"/>
    <n v="10"/>
    <m/>
    <n v="40"/>
    <x v="0"/>
    <n v="6"/>
    <x v="0"/>
    <m/>
    <m/>
    <n v="22"/>
    <x v="0"/>
    <s v="10/05/2022"/>
    <d v="2022-05-10T00:00:00"/>
    <s v="2022008-37"/>
    <x v="3"/>
  </r>
  <r>
    <x v="169"/>
    <n v="2022008"/>
    <x v="8"/>
    <s v="Chickpea"/>
    <m/>
    <x v="8"/>
    <s v="Y"/>
    <x v="1"/>
    <n v="38"/>
    <n v="38"/>
    <x v="1"/>
    <m/>
    <m/>
    <m/>
    <n v="5"/>
    <m/>
    <m/>
    <m/>
    <m/>
    <m/>
    <n v="2"/>
    <n v="25"/>
    <x v="1"/>
    <n v="10"/>
    <m/>
    <n v="39"/>
    <x v="0"/>
    <n v="7"/>
    <x v="0"/>
    <m/>
    <m/>
    <n v="22"/>
    <x v="0"/>
    <s v="10/05/2022"/>
    <d v="2022-05-10T00:00:00"/>
    <s v="2022008-38"/>
    <x v="3"/>
  </r>
  <r>
    <x v="168"/>
    <n v="2022008"/>
    <x v="8"/>
    <s v="Chickpea"/>
    <m/>
    <x v="9"/>
    <s v="N"/>
    <x v="2"/>
    <n v="39"/>
    <n v="39"/>
    <x v="1"/>
    <m/>
    <m/>
    <m/>
    <n v="5"/>
    <m/>
    <m/>
    <m/>
    <m/>
    <m/>
    <n v="3"/>
    <n v="25"/>
    <x v="2"/>
    <n v="10"/>
    <m/>
    <n v="38"/>
    <x v="0"/>
    <n v="4"/>
    <x v="0"/>
    <m/>
    <m/>
    <n v="22"/>
    <x v="0"/>
    <s v="10/05/2022"/>
    <d v="2022-05-10T00:00:00"/>
    <s v="2022008-39"/>
    <x v="3"/>
  </r>
  <r>
    <x v="167"/>
    <n v="2022008"/>
    <x v="8"/>
    <s v="Chickpea"/>
    <m/>
    <x v="4"/>
    <s v="Y"/>
    <x v="2"/>
    <n v="40"/>
    <n v="40"/>
    <x v="1"/>
    <m/>
    <m/>
    <m/>
    <n v="5"/>
    <m/>
    <m/>
    <m/>
    <m/>
    <m/>
    <n v="4"/>
    <n v="25"/>
    <x v="3"/>
    <n v="10"/>
    <m/>
    <n v="37"/>
    <x v="0"/>
    <n v="2"/>
    <x v="0"/>
    <m/>
    <m/>
    <n v="22"/>
    <x v="0"/>
    <s v="10/05/2022"/>
    <d v="2022-05-10T00:00:00"/>
    <s v="2022008-40"/>
    <x v="3"/>
  </r>
  <r>
    <x v="175"/>
    <n v="2022008"/>
    <x v="8"/>
    <s v="Chickpea"/>
    <m/>
    <x v="4"/>
    <s v="Y"/>
    <x v="2"/>
    <n v="41"/>
    <n v="41"/>
    <x v="1"/>
    <m/>
    <m/>
    <m/>
    <n v="6"/>
    <m/>
    <m/>
    <m/>
    <m/>
    <m/>
    <n v="1"/>
    <n v="28"/>
    <x v="0"/>
    <n v="11"/>
    <m/>
    <n v="41"/>
    <x v="0"/>
    <n v="2"/>
    <x v="0"/>
    <m/>
    <m/>
    <n v="22"/>
    <x v="1"/>
    <s v="13/04/2022"/>
    <d v="2022-04-13T00:00:00"/>
    <s v="2022008-41"/>
    <x v="3"/>
  </r>
  <r>
    <x v="180"/>
    <n v="2022008"/>
    <x v="8"/>
    <s v="Chickpea"/>
    <m/>
    <x v="17"/>
    <s v="N"/>
    <x v="2"/>
    <n v="42"/>
    <n v="42"/>
    <x v="1"/>
    <m/>
    <m/>
    <m/>
    <n v="6"/>
    <m/>
    <m/>
    <m/>
    <m/>
    <m/>
    <n v="2"/>
    <n v="28"/>
    <x v="1"/>
    <n v="11"/>
    <m/>
    <n v="42"/>
    <x v="0"/>
    <n v="5"/>
    <x v="0"/>
    <m/>
    <m/>
    <n v="22"/>
    <x v="1"/>
    <s v="13/04/2022"/>
    <d v="2022-04-13T00:00:00"/>
    <s v="2022008-42"/>
    <x v="3"/>
  </r>
  <r>
    <x v="178"/>
    <n v="2022008"/>
    <x v="8"/>
    <s v="Chickpea"/>
    <m/>
    <x v="8"/>
    <s v="Y"/>
    <x v="2"/>
    <n v="43"/>
    <n v="43"/>
    <x v="1"/>
    <m/>
    <m/>
    <m/>
    <n v="6"/>
    <m/>
    <m/>
    <m/>
    <m/>
    <m/>
    <n v="3"/>
    <n v="28"/>
    <x v="2"/>
    <n v="11"/>
    <m/>
    <n v="43"/>
    <x v="0"/>
    <n v="1"/>
    <x v="0"/>
    <m/>
    <m/>
    <n v="22"/>
    <x v="1"/>
    <s v="13/04/2022"/>
    <d v="2022-04-13T00:00:00"/>
    <s v="2022008-43"/>
    <x v="3"/>
  </r>
  <r>
    <x v="178"/>
    <n v="2022008"/>
    <x v="8"/>
    <s v="Chickpea"/>
    <m/>
    <x v="8"/>
    <s v="Y"/>
    <x v="1"/>
    <n v="44"/>
    <n v="44"/>
    <x v="1"/>
    <m/>
    <m/>
    <m/>
    <n v="6"/>
    <m/>
    <m/>
    <m/>
    <m/>
    <m/>
    <n v="4"/>
    <n v="28"/>
    <x v="3"/>
    <n v="11"/>
    <m/>
    <n v="44"/>
    <x v="0"/>
    <n v="7"/>
    <x v="0"/>
    <m/>
    <m/>
    <n v="22"/>
    <x v="1"/>
    <s v="13/04/2022"/>
    <d v="2022-04-13T00:00:00"/>
    <s v="2022008-44"/>
    <x v="3"/>
  </r>
  <r>
    <x v="177"/>
    <n v="2022008"/>
    <x v="8"/>
    <s v="Chickpea"/>
    <m/>
    <x v="9"/>
    <s v="N"/>
    <x v="2"/>
    <n v="45"/>
    <n v="45"/>
    <x v="1"/>
    <m/>
    <m/>
    <m/>
    <n v="6"/>
    <m/>
    <m/>
    <m/>
    <m/>
    <m/>
    <n v="1"/>
    <n v="29"/>
    <x v="0"/>
    <n v="12"/>
    <m/>
    <n v="48"/>
    <x v="0"/>
    <n v="4"/>
    <x v="0"/>
    <m/>
    <m/>
    <n v="22"/>
    <x v="1"/>
    <s v="13/04/2022"/>
    <d v="2022-04-13T00:00:00"/>
    <s v="2022008-45"/>
    <x v="3"/>
  </r>
  <r>
    <x v="174"/>
    <n v="2022008"/>
    <x v="8"/>
    <s v="Chickpea"/>
    <m/>
    <x v="3"/>
    <s v="N"/>
    <x v="2"/>
    <n v="46"/>
    <n v="46"/>
    <x v="1"/>
    <m/>
    <m/>
    <m/>
    <n v="6"/>
    <m/>
    <m/>
    <m/>
    <m/>
    <m/>
    <n v="2"/>
    <n v="29"/>
    <x v="1"/>
    <n v="12"/>
    <m/>
    <n v="47"/>
    <x v="0"/>
    <n v="3"/>
    <x v="0"/>
    <m/>
    <m/>
    <n v="22"/>
    <x v="1"/>
    <s v="13/04/2022"/>
    <d v="2022-04-13T00:00:00"/>
    <s v="2022008-46"/>
    <x v="3"/>
  </r>
  <r>
    <x v="179"/>
    <n v="2022008"/>
    <x v="8"/>
    <s v="Chickpea"/>
    <m/>
    <x v="18"/>
    <s v="N"/>
    <x v="2"/>
    <n v="47"/>
    <n v="47"/>
    <x v="1"/>
    <m/>
    <m/>
    <m/>
    <n v="6"/>
    <m/>
    <m/>
    <m/>
    <m/>
    <m/>
    <n v="3"/>
    <n v="29"/>
    <x v="2"/>
    <n v="12"/>
    <m/>
    <n v="46"/>
    <x v="0"/>
    <n v="6"/>
    <x v="0"/>
    <m/>
    <m/>
    <n v="22"/>
    <x v="1"/>
    <s v="13/04/2022"/>
    <d v="2022-04-13T00:00:00"/>
    <s v="2022008-47"/>
    <x v="3"/>
  </r>
  <r>
    <x v="176"/>
    <n v="2022008"/>
    <x v="8"/>
    <s v="Chickpea"/>
    <m/>
    <x v="6"/>
    <s v="N"/>
    <x v="1"/>
    <n v="48"/>
    <n v="48"/>
    <x v="1"/>
    <m/>
    <m/>
    <m/>
    <n v="6"/>
    <m/>
    <m/>
    <m/>
    <m/>
    <m/>
    <n v="4"/>
    <n v="29"/>
    <x v="3"/>
    <n v="12"/>
    <m/>
    <n v="45"/>
    <x v="0"/>
    <n v="8"/>
    <x v="0"/>
    <m/>
    <m/>
    <n v="22"/>
    <x v="1"/>
    <s v="13/04/2022"/>
    <d v="2022-04-13T00:00:00"/>
    <s v="2022008-48"/>
    <x v="3"/>
  </r>
  <r>
    <x v="182"/>
    <n v="2022008"/>
    <x v="8"/>
    <s v="Chickpea"/>
    <m/>
    <x v="6"/>
    <s v="N"/>
    <x v="1"/>
    <n v="49"/>
    <n v="49"/>
    <x v="1"/>
    <m/>
    <m/>
    <m/>
    <n v="7"/>
    <m/>
    <m/>
    <m/>
    <m/>
    <m/>
    <n v="1"/>
    <n v="32"/>
    <x v="0"/>
    <n v="13"/>
    <m/>
    <n v="49"/>
    <x v="0"/>
    <n v="8"/>
    <x v="0"/>
    <m/>
    <m/>
    <n v="22"/>
    <x v="2"/>
    <s v="26/04/2022"/>
    <d v="2022-04-26T00:00:00"/>
    <s v="2022008-49"/>
    <x v="3"/>
  </r>
  <r>
    <x v="183"/>
    <n v="2022008"/>
    <x v="8"/>
    <s v="Chickpea"/>
    <m/>
    <x v="18"/>
    <s v="N"/>
    <x v="2"/>
    <n v="50"/>
    <n v="50"/>
    <x v="1"/>
    <m/>
    <m/>
    <m/>
    <n v="7"/>
    <m/>
    <m/>
    <m/>
    <m/>
    <m/>
    <n v="2"/>
    <n v="32"/>
    <x v="1"/>
    <n v="13"/>
    <m/>
    <n v="50"/>
    <x v="0"/>
    <n v="6"/>
    <x v="0"/>
    <m/>
    <m/>
    <n v="22"/>
    <x v="2"/>
    <s v="26/04/2022"/>
    <d v="2022-04-26T00:00:00"/>
    <s v="2022008-50"/>
    <x v="3"/>
  </r>
  <r>
    <x v="181"/>
    <n v="2022008"/>
    <x v="8"/>
    <s v="Chickpea"/>
    <m/>
    <x v="8"/>
    <s v="Y"/>
    <x v="1"/>
    <n v="51"/>
    <n v="51"/>
    <x v="1"/>
    <m/>
    <m/>
    <m/>
    <n v="7"/>
    <m/>
    <m/>
    <m/>
    <m/>
    <m/>
    <n v="3"/>
    <n v="32"/>
    <x v="2"/>
    <n v="13"/>
    <m/>
    <n v="51"/>
    <x v="0"/>
    <n v="7"/>
    <x v="0"/>
    <m/>
    <m/>
    <n v="22"/>
    <x v="2"/>
    <s v="26/04/2022"/>
    <d v="2022-04-26T00:00:00"/>
    <s v="2022008-51"/>
    <x v="3"/>
  </r>
  <r>
    <x v="181"/>
    <n v="2022008"/>
    <x v="8"/>
    <s v="Chickpea"/>
    <m/>
    <x v="8"/>
    <s v="Y"/>
    <x v="2"/>
    <n v="52"/>
    <n v="52"/>
    <x v="1"/>
    <m/>
    <m/>
    <m/>
    <n v="7"/>
    <m/>
    <m/>
    <m/>
    <m/>
    <m/>
    <n v="4"/>
    <n v="32"/>
    <x v="3"/>
    <n v="13"/>
    <m/>
    <n v="52"/>
    <x v="0"/>
    <n v="1"/>
    <x v="0"/>
    <m/>
    <m/>
    <n v="22"/>
    <x v="2"/>
    <s v="26/04/2022"/>
    <d v="2022-04-26T00:00:00"/>
    <s v="2022008-52"/>
    <x v="3"/>
  </r>
  <r>
    <x v="187"/>
    <n v="2022008"/>
    <x v="8"/>
    <s v="Chickpea"/>
    <m/>
    <x v="17"/>
    <s v="N"/>
    <x v="2"/>
    <n v="53"/>
    <n v="53"/>
    <x v="1"/>
    <m/>
    <m/>
    <m/>
    <n v="7"/>
    <m/>
    <m/>
    <m/>
    <m/>
    <m/>
    <n v="1"/>
    <n v="33"/>
    <x v="0"/>
    <n v="14"/>
    <m/>
    <n v="56"/>
    <x v="0"/>
    <n v="5"/>
    <x v="0"/>
    <m/>
    <m/>
    <n v="22"/>
    <x v="2"/>
    <s v="26/04/2022"/>
    <d v="2022-04-26T00:00:00"/>
    <s v="2022008-53"/>
    <x v="3"/>
  </r>
  <r>
    <x v="186"/>
    <n v="2022008"/>
    <x v="8"/>
    <s v="Chickpea"/>
    <m/>
    <x v="4"/>
    <s v="Y"/>
    <x v="2"/>
    <n v="54"/>
    <n v="54"/>
    <x v="1"/>
    <m/>
    <m/>
    <m/>
    <n v="7"/>
    <m/>
    <m/>
    <m/>
    <m/>
    <m/>
    <n v="2"/>
    <n v="33"/>
    <x v="1"/>
    <n v="14"/>
    <m/>
    <n v="55"/>
    <x v="0"/>
    <n v="2"/>
    <x v="0"/>
    <m/>
    <m/>
    <n v="22"/>
    <x v="2"/>
    <s v="26/04/2022"/>
    <d v="2022-04-26T00:00:00"/>
    <s v="2022008-54"/>
    <x v="3"/>
  </r>
  <r>
    <x v="184"/>
    <n v="2022008"/>
    <x v="8"/>
    <s v="Chickpea"/>
    <m/>
    <x v="3"/>
    <s v="N"/>
    <x v="2"/>
    <n v="55"/>
    <n v="55"/>
    <x v="1"/>
    <m/>
    <m/>
    <m/>
    <n v="7"/>
    <m/>
    <m/>
    <m/>
    <m/>
    <m/>
    <n v="3"/>
    <n v="33"/>
    <x v="2"/>
    <n v="14"/>
    <m/>
    <n v="54"/>
    <x v="0"/>
    <n v="3"/>
    <x v="0"/>
    <m/>
    <m/>
    <n v="22"/>
    <x v="2"/>
    <s v="26/04/2022"/>
    <d v="2022-04-26T00:00:00"/>
    <s v="2022008-55"/>
    <x v="3"/>
  </r>
  <r>
    <x v="185"/>
    <n v="2022008"/>
    <x v="8"/>
    <s v="Chickpea"/>
    <m/>
    <x v="9"/>
    <s v="N"/>
    <x v="2"/>
    <n v="56"/>
    <n v="56"/>
    <x v="1"/>
    <m/>
    <m/>
    <m/>
    <n v="7"/>
    <m/>
    <m/>
    <m/>
    <m/>
    <m/>
    <n v="4"/>
    <n v="33"/>
    <x v="3"/>
    <n v="14"/>
    <m/>
    <n v="53"/>
    <x v="0"/>
    <n v="4"/>
    <x v="0"/>
    <m/>
    <m/>
    <n v="22"/>
    <x v="2"/>
    <s v="26/04/2022"/>
    <d v="2022-04-26T00:00:00"/>
    <s v="2022008-56"/>
    <x v="3"/>
  </r>
  <r>
    <x v="165"/>
    <n v="2022008"/>
    <x v="8"/>
    <s v="Chickpea"/>
    <m/>
    <x v="8"/>
    <s v="Y"/>
    <x v="2"/>
    <n v="57"/>
    <n v="57"/>
    <x v="1"/>
    <m/>
    <m/>
    <m/>
    <n v="8"/>
    <m/>
    <m/>
    <m/>
    <m/>
    <m/>
    <n v="1"/>
    <n v="36"/>
    <x v="0"/>
    <n v="15"/>
    <m/>
    <n v="57"/>
    <x v="0"/>
    <n v="1"/>
    <x v="0"/>
    <m/>
    <m/>
    <n v="22"/>
    <x v="3"/>
    <s v="27/05/2022"/>
    <d v="2022-05-27T00:00:00"/>
    <s v="2022008-57"/>
    <x v="3"/>
  </r>
  <r>
    <x v="160"/>
    <n v="2022008"/>
    <x v="8"/>
    <s v="Chickpea"/>
    <m/>
    <x v="6"/>
    <s v="N"/>
    <x v="1"/>
    <n v="58"/>
    <n v="58"/>
    <x v="1"/>
    <m/>
    <m/>
    <m/>
    <n v="8"/>
    <m/>
    <m/>
    <m/>
    <m/>
    <m/>
    <n v="2"/>
    <n v="36"/>
    <x v="1"/>
    <n v="15"/>
    <m/>
    <n v="58"/>
    <x v="0"/>
    <n v="8"/>
    <x v="0"/>
    <m/>
    <m/>
    <n v="22"/>
    <x v="3"/>
    <s v="27/05/2022"/>
    <d v="2022-05-27T00:00:00"/>
    <s v="2022008-58"/>
    <x v="3"/>
  </r>
  <r>
    <x v="163"/>
    <n v="2022008"/>
    <x v="8"/>
    <s v="Chickpea"/>
    <m/>
    <x v="4"/>
    <s v="Y"/>
    <x v="2"/>
    <n v="59"/>
    <n v="59"/>
    <x v="1"/>
    <m/>
    <m/>
    <m/>
    <n v="8"/>
    <m/>
    <m/>
    <m/>
    <m/>
    <m/>
    <n v="3"/>
    <n v="36"/>
    <x v="2"/>
    <n v="15"/>
    <m/>
    <n v="59"/>
    <x v="0"/>
    <n v="2"/>
    <x v="0"/>
    <m/>
    <m/>
    <n v="22"/>
    <x v="3"/>
    <s v="27/05/2022"/>
    <d v="2022-05-27T00:00:00"/>
    <s v="2022008-59"/>
    <x v="3"/>
  </r>
  <r>
    <x v="164"/>
    <n v="2022008"/>
    <x v="8"/>
    <s v="Chickpea"/>
    <m/>
    <x v="18"/>
    <s v="N"/>
    <x v="2"/>
    <n v="60"/>
    <n v="60"/>
    <x v="1"/>
    <m/>
    <m/>
    <m/>
    <n v="8"/>
    <m/>
    <m/>
    <m/>
    <m/>
    <m/>
    <n v="4"/>
    <n v="36"/>
    <x v="3"/>
    <n v="15"/>
    <m/>
    <n v="60"/>
    <x v="0"/>
    <n v="6"/>
    <x v="0"/>
    <m/>
    <m/>
    <n v="22"/>
    <x v="3"/>
    <s v="27/05/2022"/>
    <d v="2022-05-27T00:00:00"/>
    <s v="2022008-60"/>
    <x v="3"/>
  </r>
  <r>
    <x v="165"/>
    <n v="2022008"/>
    <x v="8"/>
    <s v="Chickpea"/>
    <m/>
    <x v="8"/>
    <s v="Y"/>
    <x v="1"/>
    <n v="61"/>
    <n v="61"/>
    <x v="1"/>
    <m/>
    <m/>
    <m/>
    <n v="8"/>
    <m/>
    <m/>
    <m/>
    <m/>
    <m/>
    <n v="1"/>
    <n v="37"/>
    <x v="0"/>
    <n v="16"/>
    <m/>
    <n v="64"/>
    <x v="0"/>
    <n v="7"/>
    <x v="0"/>
    <m/>
    <m/>
    <n v="22"/>
    <x v="3"/>
    <s v="27/05/2022"/>
    <d v="2022-05-27T00:00:00"/>
    <s v="2022008-61"/>
    <x v="3"/>
  </r>
  <r>
    <x v="166"/>
    <n v="2022008"/>
    <x v="8"/>
    <s v="Chickpea"/>
    <m/>
    <x v="9"/>
    <s v="N"/>
    <x v="2"/>
    <n v="62"/>
    <n v="62"/>
    <x v="1"/>
    <m/>
    <m/>
    <m/>
    <n v="8"/>
    <m/>
    <m/>
    <m/>
    <m/>
    <m/>
    <n v="2"/>
    <n v="37"/>
    <x v="1"/>
    <n v="16"/>
    <m/>
    <n v="63"/>
    <x v="0"/>
    <n v="4"/>
    <x v="0"/>
    <m/>
    <m/>
    <n v="22"/>
    <x v="3"/>
    <s v="27/05/2022"/>
    <d v="2022-05-27T00:00:00"/>
    <s v="2022008-62"/>
    <x v="3"/>
  </r>
  <r>
    <x v="161"/>
    <n v="2022008"/>
    <x v="8"/>
    <s v="Chickpea"/>
    <m/>
    <x v="17"/>
    <s v="N"/>
    <x v="2"/>
    <n v="63"/>
    <n v="63"/>
    <x v="1"/>
    <m/>
    <m/>
    <m/>
    <n v="8"/>
    <m/>
    <m/>
    <m/>
    <m/>
    <m/>
    <n v="3"/>
    <n v="37"/>
    <x v="2"/>
    <n v="16"/>
    <m/>
    <n v="62"/>
    <x v="0"/>
    <n v="5"/>
    <x v="0"/>
    <m/>
    <m/>
    <n v="22"/>
    <x v="3"/>
    <s v="27/05/2022"/>
    <d v="2022-05-27T00:00:00"/>
    <s v="2022008-63"/>
    <x v="3"/>
  </r>
  <r>
    <x v="162"/>
    <n v="2022008"/>
    <x v="8"/>
    <s v="Chickpea"/>
    <m/>
    <x v="3"/>
    <s v="N"/>
    <x v="2"/>
    <n v="64"/>
    <n v="64"/>
    <x v="1"/>
    <m/>
    <m/>
    <m/>
    <n v="8"/>
    <m/>
    <m/>
    <m/>
    <m/>
    <m/>
    <n v="4"/>
    <n v="37"/>
    <x v="3"/>
    <n v="16"/>
    <m/>
    <n v="61"/>
    <x v="0"/>
    <n v="3"/>
    <x v="0"/>
    <m/>
    <m/>
    <n v="22"/>
    <x v="3"/>
    <s v="27/05/2022"/>
    <d v="2022-05-27T00:00:00"/>
    <s v="2022008-64"/>
    <x v="3"/>
  </r>
  <r>
    <x v="181"/>
    <n v="2022008"/>
    <x v="8"/>
    <s v="Chickpea"/>
    <m/>
    <x v="8"/>
    <s v="Y"/>
    <x v="1"/>
    <n v="65"/>
    <n v="65"/>
    <x v="2"/>
    <m/>
    <m/>
    <m/>
    <n v="9"/>
    <m/>
    <m/>
    <m/>
    <m/>
    <m/>
    <n v="1"/>
    <n v="40"/>
    <x v="0"/>
    <n v="17"/>
    <m/>
    <n v="65"/>
    <x v="0"/>
    <n v="7"/>
    <x v="0"/>
    <m/>
    <m/>
    <n v="22"/>
    <x v="2"/>
    <s v="26/04/2022"/>
    <d v="2022-04-26T00:00:00"/>
    <s v="2022008-65"/>
    <x v="3"/>
  </r>
  <r>
    <x v="184"/>
    <n v="2022008"/>
    <x v="8"/>
    <s v="Chickpea"/>
    <m/>
    <x v="3"/>
    <s v="N"/>
    <x v="2"/>
    <n v="66"/>
    <n v="66"/>
    <x v="2"/>
    <m/>
    <m/>
    <m/>
    <n v="9"/>
    <m/>
    <m/>
    <m/>
    <m/>
    <m/>
    <n v="2"/>
    <n v="40"/>
    <x v="1"/>
    <n v="17"/>
    <m/>
    <n v="66"/>
    <x v="0"/>
    <n v="3"/>
    <x v="0"/>
    <m/>
    <m/>
    <n v="22"/>
    <x v="2"/>
    <s v="26/04/2022"/>
    <d v="2022-04-26T00:00:00"/>
    <s v="2022008-66"/>
    <x v="3"/>
  </r>
  <r>
    <x v="181"/>
    <n v="2022008"/>
    <x v="8"/>
    <s v="Chickpea"/>
    <m/>
    <x v="8"/>
    <s v="Y"/>
    <x v="2"/>
    <n v="67"/>
    <n v="67"/>
    <x v="2"/>
    <m/>
    <m/>
    <m/>
    <n v="9"/>
    <m/>
    <m/>
    <m/>
    <m/>
    <m/>
    <n v="3"/>
    <n v="40"/>
    <x v="2"/>
    <n v="17"/>
    <m/>
    <n v="67"/>
    <x v="0"/>
    <n v="1"/>
    <x v="0"/>
    <m/>
    <m/>
    <n v="22"/>
    <x v="2"/>
    <s v="26/04/2022"/>
    <d v="2022-04-26T00:00:00"/>
    <s v="2022008-67"/>
    <x v="3"/>
  </r>
  <r>
    <x v="186"/>
    <n v="2022008"/>
    <x v="8"/>
    <s v="Chickpea"/>
    <m/>
    <x v="4"/>
    <s v="Y"/>
    <x v="2"/>
    <n v="68"/>
    <n v="68"/>
    <x v="2"/>
    <m/>
    <m/>
    <m/>
    <n v="9"/>
    <m/>
    <m/>
    <m/>
    <m/>
    <m/>
    <n v="4"/>
    <n v="40"/>
    <x v="3"/>
    <n v="17"/>
    <m/>
    <n v="68"/>
    <x v="0"/>
    <n v="2"/>
    <x v="0"/>
    <m/>
    <m/>
    <n v="22"/>
    <x v="2"/>
    <s v="26/04/2022"/>
    <d v="2022-04-26T00:00:00"/>
    <s v="2022008-68"/>
    <x v="3"/>
  </r>
  <r>
    <x v="183"/>
    <n v="2022008"/>
    <x v="8"/>
    <s v="Chickpea"/>
    <m/>
    <x v="18"/>
    <s v="N"/>
    <x v="2"/>
    <n v="69"/>
    <n v="69"/>
    <x v="2"/>
    <m/>
    <m/>
    <m/>
    <n v="9"/>
    <m/>
    <m/>
    <m/>
    <m/>
    <m/>
    <n v="1"/>
    <n v="41"/>
    <x v="0"/>
    <n v="18"/>
    <m/>
    <n v="72"/>
    <x v="0"/>
    <n v="6"/>
    <x v="0"/>
    <m/>
    <m/>
    <n v="22"/>
    <x v="2"/>
    <s v="26/04/2022"/>
    <d v="2022-04-26T00:00:00"/>
    <s v="2022008-69"/>
    <x v="3"/>
  </r>
  <r>
    <x v="185"/>
    <n v="2022008"/>
    <x v="8"/>
    <s v="Chickpea"/>
    <m/>
    <x v="9"/>
    <s v="N"/>
    <x v="2"/>
    <n v="70"/>
    <n v="70"/>
    <x v="2"/>
    <m/>
    <m/>
    <m/>
    <n v="9"/>
    <m/>
    <m/>
    <m/>
    <m/>
    <m/>
    <n v="2"/>
    <n v="41"/>
    <x v="1"/>
    <n v="18"/>
    <m/>
    <n v="71"/>
    <x v="0"/>
    <n v="4"/>
    <x v="0"/>
    <m/>
    <m/>
    <n v="22"/>
    <x v="2"/>
    <s v="26/04/2022"/>
    <d v="2022-04-26T00:00:00"/>
    <s v="2022008-70"/>
    <x v="3"/>
  </r>
  <r>
    <x v="187"/>
    <n v="2022008"/>
    <x v="8"/>
    <s v="Chickpea"/>
    <m/>
    <x v="17"/>
    <s v="N"/>
    <x v="2"/>
    <n v="71"/>
    <n v="71"/>
    <x v="2"/>
    <m/>
    <m/>
    <m/>
    <n v="9"/>
    <m/>
    <m/>
    <m/>
    <m/>
    <m/>
    <n v="3"/>
    <n v="41"/>
    <x v="2"/>
    <n v="18"/>
    <m/>
    <n v="70"/>
    <x v="0"/>
    <n v="5"/>
    <x v="0"/>
    <m/>
    <m/>
    <n v="22"/>
    <x v="2"/>
    <s v="26/04/2022"/>
    <d v="2022-04-26T00:00:00"/>
    <s v="2022008-71"/>
    <x v="3"/>
  </r>
  <r>
    <x v="182"/>
    <n v="2022008"/>
    <x v="8"/>
    <s v="Chickpea"/>
    <m/>
    <x v="6"/>
    <s v="N"/>
    <x v="1"/>
    <n v="72"/>
    <n v="72"/>
    <x v="2"/>
    <m/>
    <m/>
    <m/>
    <n v="9"/>
    <m/>
    <m/>
    <m/>
    <m/>
    <m/>
    <n v="4"/>
    <n v="41"/>
    <x v="3"/>
    <n v="18"/>
    <m/>
    <n v="69"/>
    <x v="0"/>
    <n v="8"/>
    <x v="0"/>
    <m/>
    <m/>
    <n v="22"/>
    <x v="2"/>
    <s v="26/04/2022"/>
    <d v="2022-04-26T00:00:00"/>
    <s v="2022008-72"/>
    <x v="3"/>
  </r>
  <r>
    <x v="162"/>
    <n v="2022008"/>
    <x v="8"/>
    <s v="Chickpea"/>
    <m/>
    <x v="3"/>
    <s v="N"/>
    <x v="2"/>
    <n v="73"/>
    <n v="73"/>
    <x v="2"/>
    <m/>
    <m/>
    <m/>
    <n v="10"/>
    <m/>
    <m/>
    <m/>
    <m/>
    <m/>
    <n v="1"/>
    <n v="44"/>
    <x v="0"/>
    <n v="19"/>
    <m/>
    <n v="73"/>
    <x v="0"/>
    <n v="3"/>
    <x v="0"/>
    <m/>
    <m/>
    <n v="22"/>
    <x v="3"/>
    <s v="27/05/2022"/>
    <d v="2022-05-27T00:00:00"/>
    <s v="2022008-73"/>
    <x v="3"/>
  </r>
  <r>
    <x v="164"/>
    <n v="2022008"/>
    <x v="8"/>
    <s v="Chickpea"/>
    <m/>
    <x v="18"/>
    <s v="N"/>
    <x v="2"/>
    <n v="74"/>
    <n v="74"/>
    <x v="2"/>
    <m/>
    <m/>
    <m/>
    <n v="10"/>
    <m/>
    <m/>
    <m/>
    <m/>
    <m/>
    <n v="2"/>
    <n v="44"/>
    <x v="1"/>
    <n v="19"/>
    <m/>
    <n v="74"/>
    <x v="0"/>
    <n v="6"/>
    <x v="0"/>
    <m/>
    <m/>
    <n v="22"/>
    <x v="3"/>
    <s v="27/05/2022"/>
    <d v="2022-05-27T00:00:00"/>
    <s v="2022008-74"/>
    <x v="3"/>
  </r>
  <r>
    <x v="165"/>
    <n v="2022008"/>
    <x v="8"/>
    <s v="Chickpea"/>
    <m/>
    <x v="8"/>
    <s v="Y"/>
    <x v="1"/>
    <n v="75"/>
    <n v="75"/>
    <x v="2"/>
    <m/>
    <m/>
    <m/>
    <n v="10"/>
    <m/>
    <m/>
    <m/>
    <m/>
    <m/>
    <n v="3"/>
    <n v="44"/>
    <x v="2"/>
    <n v="19"/>
    <m/>
    <n v="75"/>
    <x v="0"/>
    <n v="7"/>
    <x v="0"/>
    <m/>
    <m/>
    <n v="22"/>
    <x v="3"/>
    <s v="27/05/2022"/>
    <d v="2022-05-27T00:00:00"/>
    <s v="2022008-75"/>
    <x v="3"/>
  </r>
  <r>
    <x v="161"/>
    <n v="2022008"/>
    <x v="8"/>
    <s v="Chickpea"/>
    <m/>
    <x v="17"/>
    <s v="N"/>
    <x v="2"/>
    <n v="76"/>
    <n v="76"/>
    <x v="2"/>
    <m/>
    <m/>
    <m/>
    <n v="10"/>
    <m/>
    <m/>
    <m/>
    <m/>
    <m/>
    <n v="4"/>
    <n v="44"/>
    <x v="3"/>
    <n v="19"/>
    <m/>
    <n v="76"/>
    <x v="0"/>
    <n v="5"/>
    <x v="0"/>
    <m/>
    <m/>
    <n v="22"/>
    <x v="3"/>
    <s v="27/05/2022"/>
    <d v="2022-05-27T00:00:00"/>
    <s v="2022008-76"/>
    <x v="3"/>
  </r>
  <r>
    <x v="163"/>
    <n v="2022008"/>
    <x v="8"/>
    <s v="Chickpea"/>
    <m/>
    <x v="4"/>
    <s v="Y"/>
    <x v="2"/>
    <n v="77"/>
    <n v="77"/>
    <x v="2"/>
    <m/>
    <m/>
    <m/>
    <n v="10"/>
    <m/>
    <m/>
    <m/>
    <m/>
    <m/>
    <n v="1"/>
    <n v="45"/>
    <x v="0"/>
    <n v="20"/>
    <m/>
    <n v="80"/>
    <x v="0"/>
    <n v="2"/>
    <x v="0"/>
    <m/>
    <m/>
    <n v="22"/>
    <x v="3"/>
    <s v="27/05/2022"/>
    <d v="2022-05-27T00:00:00"/>
    <s v="2022008-77"/>
    <x v="3"/>
  </r>
  <r>
    <x v="165"/>
    <n v="2022008"/>
    <x v="8"/>
    <s v="Chickpea"/>
    <m/>
    <x v="8"/>
    <s v="Y"/>
    <x v="2"/>
    <n v="78"/>
    <n v="78"/>
    <x v="2"/>
    <m/>
    <m/>
    <m/>
    <n v="10"/>
    <m/>
    <m/>
    <m/>
    <m/>
    <m/>
    <n v="2"/>
    <n v="45"/>
    <x v="1"/>
    <n v="20"/>
    <m/>
    <n v="79"/>
    <x v="0"/>
    <n v="1"/>
    <x v="0"/>
    <m/>
    <m/>
    <n v="22"/>
    <x v="3"/>
    <s v="27/05/2022"/>
    <d v="2022-05-27T00:00:00"/>
    <s v="2022008-78"/>
    <x v="3"/>
  </r>
  <r>
    <x v="160"/>
    <n v="2022008"/>
    <x v="8"/>
    <s v="Chickpea"/>
    <m/>
    <x v="6"/>
    <s v="N"/>
    <x v="1"/>
    <n v="79"/>
    <n v="79"/>
    <x v="2"/>
    <m/>
    <m/>
    <m/>
    <n v="10"/>
    <m/>
    <m/>
    <m/>
    <m/>
    <m/>
    <n v="3"/>
    <n v="45"/>
    <x v="2"/>
    <n v="20"/>
    <m/>
    <n v="78"/>
    <x v="0"/>
    <n v="8"/>
    <x v="0"/>
    <m/>
    <m/>
    <n v="22"/>
    <x v="3"/>
    <s v="27/05/2022"/>
    <d v="2022-05-27T00:00:00"/>
    <s v="2022008-79"/>
    <x v="3"/>
  </r>
  <r>
    <x v="166"/>
    <n v="2022008"/>
    <x v="8"/>
    <s v="Chickpea"/>
    <m/>
    <x v="9"/>
    <s v="N"/>
    <x v="2"/>
    <n v="80"/>
    <n v="80"/>
    <x v="2"/>
    <m/>
    <m/>
    <m/>
    <n v="10"/>
    <m/>
    <m/>
    <m/>
    <m/>
    <m/>
    <n v="4"/>
    <n v="45"/>
    <x v="3"/>
    <n v="20"/>
    <m/>
    <n v="77"/>
    <x v="0"/>
    <n v="4"/>
    <x v="0"/>
    <m/>
    <m/>
    <n v="22"/>
    <x v="3"/>
    <s v="27/05/2022"/>
    <d v="2022-05-27T00:00:00"/>
    <s v="2022008-80"/>
    <x v="3"/>
  </r>
  <r>
    <x v="170"/>
    <n v="2022008"/>
    <x v="8"/>
    <s v="Chickpea"/>
    <m/>
    <x v="6"/>
    <s v="N"/>
    <x v="1"/>
    <n v="81"/>
    <n v="81"/>
    <x v="2"/>
    <m/>
    <m/>
    <m/>
    <n v="11"/>
    <m/>
    <m/>
    <m/>
    <m/>
    <m/>
    <n v="1"/>
    <n v="48"/>
    <x v="0"/>
    <n v="21"/>
    <m/>
    <n v="81"/>
    <x v="0"/>
    <n v="8"/>
    <x v="0"/>
    <m/>
    <m/>
    <n v="22"/>
    <x v="0"/>
    <s v="10/05/2022"/>
    <d v="2022-05-10T00:00:00"/>
    <s v="2022008-81"/>
    <x v="3"/>
  </r>
  <r>
    <x v="167"/>
    <n v="2022008"/>
    <x v="8"/>
    <s v="Chickpea"/>
    <m/>
    <x v="4"/>
    <s v="Y"/>
    <x v="2"/>
    <n v="82"/>
    <n v="82"/>
    <x v="2"/>
    <m/>
    <m/>
    <m/>
    <n v="11"/>
    <m/>
    <m/>
    <m/>
    <m/>
    <m/>
    <n v="2"/>
    <n v="48"/>
    <x v="1"/>
    <n v="21"/>
    <m/>
    <n v="82"/>
    <x v="0"/>
    <n v="2"/>
    <x v="0"/>
    <m/>
    <m/>
    <n v="22"/>
    <x v="0"/>
    <s v="10/05/2022"/>
    <d v="2022-05-10T00:00:00"/>
    <s v="2022008-82"/>
    <x v="3"/>
  </r>
  <r>
    <x v="172"/>
    <n v="2022008"/>
    <x v="8"/>
    <s v="Chickpea"/>
    <m/>
    <x v="3"/>
    <s v="N"/>
    <x v="2"/>
    <n v="83"/>
    <n v="83"/>
    <x v="2"/>
    <m/>
    <m/>
    <m/>
    <n v="11"/>
    <m/>
    <m/>
    <m/>
    <m/>
    <m/>
    <n v="3"/>
    <n v="48"/>
    <x v="2"/>
    <n v="21"/>
    <m/>
    <n v="83"/>
    <x v="0"/>
    <n v="3"/>
    <x v="0"/>
    <m/>
    <m/>
    <n v="22"/>
    <x v="0"/>
    <s v="10/05/2022"/>
    <d v="2022-05-10T00:00:00"/>
    <s v="2022008-83"/>
    <x v="3"/>
  </r>
  <r>
    <x v="169"/>
    <n v="2022008"/>
    <x v="8"/>
    <s v="Chickpea"/>
    <m/>
    <x v="8"/>
    <s v="Y"/>
    <x v="1"/>
    <n v="84"/>
    <n v="84"/>
    <x v="2"/>
    <m/>
    <m/>
    <m/>
    <n v="11"/>
    <m/>
    <m/>
    <m/>
    <m/>
    <m/>
    <n v="4"/>
    <n v="48"/>
    <x v="3"/>
    <n v="21"/>
    <m/>
    <n v="84"/>
    <x v="0"/>
    <n v="7"/>
    <x v="0"/>
    <m/>
    <m/>
    <n v="22"/>
    <x v="0"/>
    <s v="10/05/2022"/>
    <d v="2022-05-10T00:00:00"/>
    <s v="2022008-84"/>
    <x v="3"/>
  </r>
  <r>
    <x v="168"/>
    <n v="2022008"/>
    <x v="8"/>
    <s v="Chickpea"/>
    <m/>
    <x v="9"/>
    <s v="N"/>
    <x v="2"/>
    <n v="85"/>
    <n v="85"/>
    <x v="2"/>
    <m/>
    <m/>
    <m/>
    <n v="11"/>
    <m/>
    <m/>
    <m/>
    <m/>
    <m/>
    <n v="1"/>
    <n v="49"/>
    <x v="0"/>
    <n v="22"/>
    <m/>
    <n v="88"/>
    <x v="0"/>
    <n v="4"/>
    <x v="0"/>
    <m/>
    <m/>
    <n v="22"/>
    <x v="0"/>
    <s v="10/05/2022"/>
    <d v="2022-05-10T00:00:00"/>
    <s v="2022008-85"/>
    <x v="3"/>
  </r>
  <r>
    <x v="171"/>
    <n v="2022008"/>
    <x v="8"/>
    <s v="Chickpea"/>
    <m/>
    <x v="17"/>
    <s v="N"/>
    <x v="2"/>
    <n v="86"/>
    <n v="86"/>
    <x v="2"/>
    <m/>
    <m/>
    <m/>
    <n v="11"/>
    <m/>
    <m/>
    <m/>
    <m/>
    <m/>
    <n v="2"/>
    <n v="49"/>
    <x v="1"/>
    <n v="22"/>
    <m/>
    <n v="87"/>
    <x v="0"/>
    <n v="5"/>
    <x v="0"/>
    <m/>
    <m/>
    <n v="22"/>
    <x v="0"/>
    <s v="10/05/2022"/>
    <d v="2022-05-10T00:00:00"/>
    <s v="2022008-86"/>
    <x v="3"/>
  </r>
  <r>
    <x v="173"/>
    <n v="2022008"/>
    <x v="8"/>
    <s v="Chickpea"/>
    <m/>
    <x v="18"/>
    <s v="N"/>
    <x v="2"/>
    <n v="87"/>
    <n v="87"/>
    <x v="2"/>
    <m/>
    <m/>
    <m/>
    <n v="11"/>
    <m/>
    <m/>
    <m/>
    <m/>
    <m/>
    <n v="3"/>
    <n v="49"/>
    <x v="2"/>
    <n v="22"/>
    <m/>
    <n v="86"/>
    <x v="0"/>
    <n v="6"/>
    <x v="0"/>
    <m/>
    <m/>
    <n v="22"/>
    <x v="0"/>
    <s v="10/05/2022"/>
    <d v="2022-05-10T00:00:00"/>
    <s v="2022008-87"/>
    <x v="3"/>
  </r>
  <r>
    <x v="169"/>
    <n v="2022008"/>
    <x v="8"/>
    <s v="Chickpea"/>
    <m/>
    <x v="8"/>
    <s v="Y"/>
    <x v="2"/>
    <n v="88"/>
    <n v="88"/>
    <x v="2"/>
    <m/>
    <m/>
    <m/>
    <n v="11"/>
    <m/>
    <m/>
    <m/>
    <m/>
    <m/>
    <n v="4"/>
    <n v="49"/>
    <x v="3"/>
    <n v="22"/>
    <m/>
    <n v="85"/>
    <x v="0"/>
    <n v="1"/>
    <x v="0"/>
    <m/>
    <m/>
    <n v="22"/>
    <x v="0"/>
    <s v="10/05/2022"/>
    <d v="2022-05-10T00:00:00"/>
    <s v="2022008-88"/>
    <x v="3"/>
  </r>
  <r>
    <x v="178"/>
    <n v="2022008"/>
    <x v="8"/>
    <s v="Chickpea"/>
    <m/>
    <x v="8"/>
    <s v="Y"/>
    <x v="2"/>
    <n v="89"/>
    <n v="89"/>
    <x v="2"/>
    <m/>
    <m/>
    <m/>
    <n v="12"/>
    <m/>
    <m/>
    <m/>
    <m/>
    <m/>
    <n v="1"/>
    <n v="52"/>
    <x v="0"/>
    <n v="23"/>
    <m/>
    <n v="89"/>
    <x v="0"/>
    <n v="1"/>
    <x v="0"/>
    <m/>
    <m/>
    <n v="22"/>
    <x v="1"/>
    <s v="13/04/2022"/>
    <d v="2022-04-13T00:00:00"/>
    <s v="2022008-89"/>
    <x v="3"/>
  </r>
  <r>
    <x v="176"/>
    <n v="2022008"/>
    <x v="8"/>
    <s v="Chickpea"/>
    <m/>
    <x v="6"/>
    <s v="N"/>
    <x v="1"/>
    <n v="90"/>
    <n v="90"/>
    <x v="2"/>
    <m/>
    <m/>
    <m/>
    <n v="12"/>
    <m/>
    <m/>
    <m/>
    <m/>
    <m/>
    <n v="2"/>
    <n v="52"/>
    <x v="1"/>
    <n v="23"/>
    <m/>
    <n v="90"/>
    <x v="0"/>
    <n v="8"/>
    <x v="0"/>
    <m/>
    <m/>
    <n v="22"/>
    <x v="1"/>
    <s v="13/04/2022"/>
    <d v="2022-04-13T00:00:00"/>
    <s v="2022008-90"/>
    <x v="3"/>
  </r>
  <r>
    <x v="177"/>
    <n v="2022008"/>
    <x v="8"/>
    <s v="Chickpea"/>
    <m/>
    <x v="9"/>
    <s v="N"/>
    <x v="2"/>
    <n v="91"/>
    <n v="91"/>
    <x v="2"/>
    <m/>
    <m/>
    <m/>
    <n v="12"/>
    <m/>
    <m/>
    <m/>
    <m/>
    <m/>
    <n v="3"/>
    <n v="52"/>
    <x v="2"/>
    <n v="23"/>
    <m/>
    <n v="91"/>
    <x v="0"/>
    <n v="4"/>
    <x v="0"/>
    <m/>
    <m/>
    <n v="22"/>
    <x v="1"/>
    <s v="13/04/2022"/>
    <d v="2022-04-13T00:00:00"/>
    <s v="2022008-91"/>
    <x v="3"/>
  </r>
  <r>
    <x v="174"/>
    <n v="2022008"/>
    <x v="8"/>
    <s v="Chickpea"/>
    <m/>
    <x v="3"/>
    <s v="N"/>
    <x v="2"/>
    <n v="92"/>
    <n v="92"/>
    <x v="2"/>
    <m/>
    <m/>
    <m/>
    <n v="12"/>
    <m/>
    <m/>
    <m/>
    <m/>
    <m/>
    <n v="4"/>
    <n v="52"/>
    <x v="3"/>
    <n v="23"/>
    <m/>
    <n v="92"/>
    <x v="0"/>
    <n v="3"/>
    <x v="0"/>
    <m/>
    <m/>
    <n v="22"/>
    <x v="1"/>
    <s v="13/04/2022"/>
    <d v="2022-04-13T00:00:00"/>
    <s v="2022008-92"/>
    <x v="3"/>
  </r>
  <r>
    <x v="180"/>
    <n v="2022008"/>
    <x v="8"/>
    <s v="Chickpea"/>
    <m/>
    <x v="17"/>
    <s v="N"/>
    <x v="2"/>
    <n v="93"/>
    <n v="93"/>
    <x v="2"/>
    <m/>
    <m/>
    <m/>
    <n v="12"/>
    <m/>
    <m/>
    <m/>
    <m/>
    <m/>
    <n v="1"/>
    <n v="53"/>
    <x v="0"/>
    <n v="24"/>
    <m/>
    <n v="96"/>
    <x v="0"/>
    <n v="5"/>
    <x v="0"/>
    <m/>
    <m/>
    <n v="22"/>
    <x v="1"/>
    <s v="13/04/2022"/>
    <d v="2022-04-13T00:00:00"/>
    <s v="2022008-93"/>
    <x v="3"/>
  </r>
  <r>
    <x v="178"/>
    <n v="2022008"/>
    <x v="8"/>
    <s v="Chickpea"/>
    <m/>
    <x v="8"/>
    <s v="Y"/>
    <x v="1"/>
    <n v="94"/>
    <n v="94"/>
    <x v="2"/>
    <m/>
    <m/>
    <m/>
    <n v="12"/>
    <m/>
    <m/>
    <m/>
    <m/>
    <m/>
    <n v="2"/>
    <n v="53"/>
    <x v="1"/>
    <n v="24"/>
    <m/>
    <n v="95"/>
    <x v="0"/>
    <n v="7"/>
    <x v="0"/>
    <m/>
    <m/>
    <n v="22"/>
    <x v="1"/>
    <s v="13/04/2022"/>
    <d v="2022-04-13T00:00:00"/>
    <s v="2022008-94"/>
    <x v="3"/>
  </r>
  <r>
    <x v="175"/>
    <n v="2022008"/>
    <x v="8"/>
    <s v="Chickpea"/>
    <m/>
    <x v="4"/>
    <s v="Y"/>
    <x v="2"/>
    <n v="95"/>
    <n v="95"/>
    <x v="2"/>
    <m/>
    <m/>
    <m/>
    <n v="12"/>
    <m/>
    <m/>
    <m/>
    <m/>
    <m/>
    <n v="3"/>
    <n v="53"/>
    <x v="2"/>
    <n v="24"/>
    <m/>
    <n v="94"/>
    <x v="0"/>
    <n v="2"/>
    <x v="0"/>
    <m/>
    <m/>
    <n v="22"/>
    <x v="1"/>
    <s v="13/04/2022"/>
    <d v="2022-04-13T00:00:00"/>
    <s v="2022008-95"/>
    <x v="3"/>
  </r>
  <r>
    <x v="179"/>
    <n v="2022008"/>
    <x v="8"/>
    <s v="Chickpea"/>
    <m/>
    <x v="18"/>
    <s v="N"/>
    <x v="2"/>
    <n v="96"/>
    <n v="96"/>
    <x v="2"/>
    <m/>
    <m/>
    <m/>
    <n v="12"/>
    <m/>
    <m/>
    <m/>
    <m/>
    <m/>
    <n v="4"/>
    <n v="53"/>
    <x v="3"/>
    <n v="24"/>
    <m/>
    <n v="93"/>
    <x v="0"/>
    <n v="6"/>
    <x v="0"/>
    <m/>
    <m/>
    <n v="22"/>
    <x v="1"/>
    <s v="13/04/2022"/>
    <d v="2022-04-13T00:00:00"/>
    <s v="2022008-96"/>
    <x v="3"/>
  </r>
  <r>
    <x v="179"/>
    <n v="2022008"/>
    <x v="8"/>
    <s v="Chickpea"/>
    <m/>
    <x v="18"/>
    <s v="N"/>
    <x v="2"/>
    <n v="97"/>
    <n v="97"/>
    <x v="3"/>
    <m/>
    <m/>
    <m/>
    <n v="13"/>
    <m/>
    <m/>
    <m/>
    <m/>
    <m/>
    <n v="1"/>
    <n v="56"/>
    <x v="0"/>
    <n v="25"/>
    <m/>
    <n v="97"/>
    <x v="0"/>
    <n v="6"/>
    <x v="0"/>
    <m/>
    <m/>
    <n v="22"/>
    <x v="1"/>
    <s v="13/04/2022"/>
    <d v="2022-04-13T00:00:00"/>
    <s v="2022008-97"/>
    <x v="3"/>
  </r>
  <r>
    <x v="177"/>
    <n v="2022008"/>
    <x v="8"/>
    <s v="Chickpea"/>
    <m/>
    <x v="9"/>
    <s v="N"/>
    <x v="2"/>
    <n v="98"/>
    <n v="98"/>
    <x v="3"/>
    <m/>
    <m/>
    <m/>
    <n v="13"/>
    <m/>
    <m/>
    <m/>
    <m/>
    <m/>
    <n v="2"/>
    <n v="56"/>
    <x v="1"/>
    <n v="25"/>
    <m/>
    <n v="98"/>
    <x v="0"/>
    <n v="4"/>
    <x v="0"/>
    <m/>
    <m/>
    <n v="22"/>
    <x v="1"/>
    <s v="13/04/2022"/>
    <d v="2022-04-13T00:00:00"/>
    <s v="2022008-98"/>
    <x v="3"/>
  </r>
  <r>
    <x v="174"/>
    <n v="2022008"/>
    <x v="8"/>
    <s v="Chickpea"/>
    <m/>
    <x v="3"/>
    <s v="N"/>
    <x v="2"/>
    <n v="99"/>
    <n v="99"/>
    <x v="3"/>
    <m/>
    <m/>
    <m/>
    <n v="13"/>
    <m/>
    <m/>
    <m/>
    <m/>
    <m/>
    <n v="3"/>
    <n v="56"/>
    <x v="2"/>
    <n v="25"/>
    <m/>
    <n v="99"/>
    <x v="0"/>
    <n v="3"/>
    <x v="0"/>
    <m/>
    <m/>
    <n v="22"/>
    <x v="1"/>
    <s v="13/04/2022"/>
    <d v="2022-04-13T00:00:00"/>
    <s v="2022008-99"/>
    <x v="3"/>
  </r>
  <r>
    <x v="175"/>
    <n v="2022008"/>
    <x v="8"/>
    <s v="Chickpea"/>
    <m/>
    <x v="4"/>
    <s v="Y"/>
    <x v="2"/>
    <n v="100"/>
    <n v="100"/>
    <x v="3"/>
    <m/>
    <m/>
    <m/>
    <n v="13"/>
    <m/>
    <m/>
    <m/>
    <m/>
    <m/>
    <n v="4"/>
    <n v="56"/>
    <x v="3"/>
    <n v="25"/>
    <m/>
    <n v="100"/>
    <x v="0"/>
    <n v="2"/>
    <x v="0"/>
    <m/>
    <m/>
    <n v="22"/>
    <x v="1"/>
    <s v="13/04/2022"/>
    <d v="2022-04-13T00:00:00"/>
    <s v="2022008-100"/>
    <x v="3"/>
  </r>
  <r>
    <x v="176"/>
    <n v="2022008"/>
    <x v="8"/>
    <s v="Chickpea"/>
    <m/>
    <x v="6"/>
    <s v="N"/>
    <x v="1"/>
    <n v="101"/>
    <n v="101"/>
    <x v="3"/>
    <m/>
    <m/>
    <m/>
    <n v="13"/>
    <m/>
    <m/>
    <m/>
    <m/>
    <m/>
    <n v="1"/>
    <n v="57"/>
    <x v="0"/>
    <n v="26"/>
    <m/>
    <n v="104"/>
    <x v="0"/>
    <n v="8"/>
    <x v="0"/>
    <m/>
    <m/>
    <n v="22"/>
    <x v="1"/>
    <s v="13/04/2022"/>
    <d v="2022-04-13T00:00:00"/>
    <s v="2022008-101"/>
    <x v="3"/>
  </r>
  <r>
    <x v="178"/>
    <n v="2022008"/>
    <x v="8"/>
    <s v="Chickpea"/>
    <m/>
    <x v="8"/>
    <s v="Y"/>
    <x v="2"/>
    <n v="102"/>
    <n v="102"/>
    <x v="3"/>
    <m/>
    <m/>
    <m/>
    <n v="13"/>
    <m/>
    <m/>
    <m/>
    <m/>
    <m/>
    <n v="2"/>
    <n v="57"/>
    <x v="1"/>
    <n v="26"/>
    <m/>
    <n v="103"/>
    <x v="0"/>
    <n v="1"/>
    <x v="0"/>
    <m/>
    <m/>
    <n v="22"/>
    <x v="1"/>
    <s v="13/04/2022"/>
    <d v="2022-04-13T00:00:00"/>
    <s v="2022008-102"/>
    <x v="3"/>
  </r>
  <r>
    <x v="178"/>
    <n v="2022008"/>
    <x v="8"/>
    <s v="Chickpea"/>
    <m/>
    <x v="8"/>
    <s v="Y"/>
    <x v="1"/>
    <n v="103"/>
    <n v="103"/>
    <x v="3"/>
    <m/>
    <m/>
    <m/>
    <n v="13"/>
    <m/>
    <m/>
    <m/>
    <m/>
    <m/>
    <n v="3"/>
    <n v="57"/>
    <x v="2"/>
    <n v="26"/>
    <m/>
    <n v="102"/>
    <x v="0"/>
    <n v="7"/>
    <x v="0"/>
    <m/>
    <m/>
    <n v="22"/>
    <x v="1"/>
    <s v="13/04/2022"/>
    <d v="2022-04-13T00:00:00"/>
    <s v="2022008-103"/>
    <x v="3"/>
  </r>
  <r>
    <x v="180"/>
    <n v="2022008"/>
    <x v="8"/>
    <s v="Chickpea"/>
    <m/>
    <x v="17"/>
    <s v="N"/>
    <x v="2"/>
    <n v="104"/>
    <n v="104"/>
    <x v="3"/>
    <m/>
    <m/>
    <m/>
    <n v="13"/>
    <m/>
    <m/>
    <m/>
    <m/>
    <m/>
    <n v="4"/>
    <n v="57"/>
    <x v="3"/>
    <n v="26"/>
    <m/>
    <n v="101"/>
    <x v="0"/>
    <n v="5"/>
    <x v="0"/>
    <m/>
    <m/>
    <n v="22"/>
    <x v="1"/>
    <s v="13/04/2022"/>
    <d v="2022-04-13T00:00:00"/>
    <s v="2022008-104"/>
    <x v="3"/>
  </r>
  <r>
    <x v="184"/>
    <n v="2022008"/>
    <x v="8"/>
    <s v="Chickpea"/>
    <m/>
    <x v="3"/>
    <s v="N"/>
    <x v="2"/>
    <n v="105"/>
    <n v="105"/>
    <x v="3"/>
    <m/>
    <m/>
    <m/>
    <n v="14"/>
    <m/>
    <m/>
    <m/>
    <m/>
    <m/>
    <n v="1"/>
    <n v="60"/>
    <x v="0"/>
    <n v="27"/>
    <m/>
    <n v="105"/>
    <x v="0"/>
    <n v="3"/>
    <x v="0"/>
    <m/>
    <m/>
    <n v="22"/>
    <x v="2"/>
    <s v="26/04/2022"/>
    <d v="2022-04-26T00:00:00"/>
    <s v="2022008-105"/>
    <x v="3"/>
  </r>
  <r>
    <x v="181"/>
    <n v="2022008"/>
    <x v="8"/>
    <s v="Chickpea"/>
    <m/>
    <x v="8"/>
    <s v="Y"/>
    <x v="1"/>
    <n v="106"/>
    <n v="106"/>
    <x v="3"/>
    <m/>
    <m/>
    <m/>
    <n v="14"/>
    <m/>
    <m/>
    <m/>
    <m/>
    <m/>
    <n v="2"/>
    <n v="60"/>
    <x v="1"/>
    <n v="27"/>
    <m/>
    <n v="106"/>
    <x v="0"/>
    <n v="7"/>
    <x v="0"/>
    <m/>
    <m/>
    <n v="22"/>
    <x v="2"/>
    <s v="26/04/2022"/>
    <d v="2022-04-26T00:00:00"/>
    <s v="2022008-106"/>
    <x v="3"/>
  </r>
  <r>
    <x v="185"/>
    <n v="2022008"/>
    <x v="8"/>
    <s v="Chickpea"/>
    <m/>
    <x v="9"/>
    <s v="N"/>
    <x v="2"/>
    <n v="107"/>
    <n v="107"/>
    <x v="3"/>
    <m/>
    <m/>
    <m/>
    <n v="14"/>
    <m/>
    <m/>
    <m/>
    <m/>
    <m/>
    <n v="3"/>
    <n v="60"/>
    <x v="2"/>
    <n v="27"/>
    <m/>
    <n v="107"/>
    <x v="0"/>
    <n v="4"/>
    <x v="0"/>
    <m/>
    <m/>
    <n v="22"/>
    <x v="2"/>
    <s v="26/04/2022"/>
    <d v="2022-04-26T00:00:00"/>
    <s v="2022008-107"/>
    <x v="3"/>
  </r>
  <r>
    <x v="181"/>
    <n v="2022008"/>
    <x v="8"/>
    <s v="Chickpea"/>
    <m/>
    <x v="8"/>
    <s v="Y"/>
    <x v="2"/>
    <n v="108"/>
    <n v="108"/>
    <x v="3"/>
    <m/>
    <m/>
    <m/>
    <n v="14"/>
    <m/>
    <m/>
    <m/>
    <m/>
    <m/>
    <n v="4"/>
    <n v="60"/>
    <x v="3"/>
    <n v="27"/>
    <m/>
    <n v="108"/>
    <x v="0"/>
    <n v="1"/>
    <x v="0"/>
    <m/>
    <m/>
    <n v="22"/>
    <x v="2"/>
    <s v="26/04/2022"/>
    <d v="2022-04-26T00:00:00"/>
    <s v="2022008-108"/>
    <x v="3"/>
  </r>
  <r>
    <x v="186"/>
    <n v="2022008"/>
    <x v="8"/>
    <s v="Chickpea"/>
    <m/>
    <x v="4"/>
    <s v="Y"/>
    <x v="2"/>
    <n v="109"/>
    <n v="109"/>
    <x v="3"/>
    <m/>
    <m/>
    <m/>
    <n v="14"/>
    <m/>
    <m/>
    <m/>
    <m/>
    <m/>
    <n v="1"/>
    <n v="61"/>
    <x v="0"/>
    <n v="28"/>
    <m/>
    <n v="112"/>
    <x v="0"/>
    <n v="2"/>
    <x v="0"/>
    <m/>
    <m/>
    <n v="22"/>
    <x v="2"/>
    <s v="26/04/2022"/>
    <d v="2022-04-26T00:00:00"/>
    <s v="2022008-109"/>
    <x v="3"/>
  </r>
  <r>
    <x v="187"/>
    <n v="2022008"/>
    <x v="8"/>
    <s v="Chickpea"/>
    <m/>
    <x v="17"/>
    <s v="N"/>
    <x v="2"/>
    <n v="110"/>
    <n v="110"/>
    <x v="3"/>
    <m/>
    <m/>
    <m/>
    <n v="14"/>
    <m/>
    <m/>
    <m/>
    <m/>
    <m/>
    <n v="2"/>
    <n v="61"/>
    <x v="1"/>
    <n v="28"/>
    <m/>
    <n v="111"/>
    <x v="0"/>
    <n v="5"/>
    <x v="0"/>
    <m/>
    <m/>
    <n v="22"/>
    <x v="2"/>
    <s v="26/04/2022"/>
    <d v="2022-04-26T00:00:00"/>
    <s v="2022008-110"/>
    <x v="3"/>
  </r>
  <r>
    <x v="182"/>
    <n v="2022008"/>
    <x v="8"/>
    <s v="Chickpea"/>
    <m/>
    <x v="6"/>
    <s v="N"/>
    <x v="1"/>
    <n v="111"/>
    <n v="111"/>
    <x v="3"/>
    <m/>
    <m/>
    <m/>
    <n v="14"/>
    <m/>
    <m/>
    <m/>
    <m/>
    <m/>
    <n v="3"/>
    <n v="61"/>
    <x v="2"/>
    <n v="28"/>
    <m/>
    <n v="110"/>
    <x v="0"/>
    <n v="8"/>
    <x v="0"/>
    <m/>
    <m/>
    <n v="22"/>
    <x v="2"/>
    <s v="26/04/2022"/>
    <d v="2022-04-26T00:00:00"/>
    <s v="2022008-111"/>
    <x v="3"/>
  </r>
  <r>
    <x v="183"/>
    <n v="2022008"/>
    <x v="8"/>
    <s v="Chickpea"/>
    <m/>
    <x v="18"/>
    <s v="N"/>
    <x v="2"/>
    <n v="112"/>
    <n v="112"/>
    <x v="3"/>
    <m/>
    <m/>
    <m/>
    <n v="14"/>
    <m/>
    <m/>
    <m/>
    <m/>
    <m/>
    <n v="4"/>
    <n v="61"/>
    <x v="3"/>
    <n v="28"/>
    <m/>
    <n v="109"/>
    <x v="0"/>
    <n v="6"/>
    <x v="0"/>
    <m/>
    <m/>
    <n v="22"/>
    <x v="2"/>
    <s v="26/04/2022"/>
    <d v="2022-04-26T00:00:00"/>
    <s v="2022008-112"/>
    <x v="3"/>
  </r>
  <r>
    <x v="161"/>
    <n v="2022008"/>
    <x v="8"/>
    <s v="Chickpea"/>
    <m/>
    <x v="17"/>
    <s v="N"/>
    <x v="2"/>
    <n v="113"/>
    <n v="113"/>
    <x v="3"/>
    <m/>
    <m/>
    <m/>
    <n v="15"/>
    <m/>
    <m/>
    <m/>
    <m/>
    <m/>
    <n v="1"/>
    <n v="64"/>
    <x v="0"/>
    <n v="29"/>
    <m/>
    <n v="113"/>
    <x v="0"/>
    <n v="5"/>
    <x v="0"/>
    <m/>
    <m/>
    <n v="22"/>
    <x v="3"/>
    <s v="27/05/2022"/>
    <d v="2022-05-27T00:00:00"/>
    <s v="2022008-113"/>
    <x v="3"/>
  </r>
  <r>
    <x v="163"/>
    <n v="2022008"/>
    <x v="8"/>
    <s v="Chickpea"/>
    <m/>
    <x v="4"/>
    <s v="Y"/>
    <x v="2"/>
    <n v="114"/>
    <n v="114"/>
    <x v="3"/>
    <m/>
    <m/>
    <m/>
    <n v="15"/>
    <m/>
    <m/>
    <m/>
    <m/>
    <m/>
    <n v="2"/>
    <n v="64"/>
    <x v="1"/>
    <n v="29"/>
    <m/>
    <n v="114"/>
    <x v="0"/>
    <n v="2"/>
    <x v="0"/>
    <m/>
    <m/>
    <n v="22"/>
    <x v="3"/>
    <s v="27/05/2022"/>
    <d v="2022-05-27T00:00:00"/>
    <s v="2022008-114"/>
    <x v="3"/>
  </r>
  <r>
    <x v="164"/>
    <n v="2022008"/>
    <x v="8"/>
    <s v="Chickpea"/>
    <m/>
    <x v="18"/>
    <s v="N"/>
    <x v="2"/>
    <n v="115"/>
    <n v="115"/>
    <x v="3"/>
    <m/>
    <m/>
    <m/>
    <n v="15"/>
    <m/>
    <m/>
    <m/>
    <m/>
    <m/>
    <n v="3"/>
    <n v="64"/>
    <x v="2"/>
    <n v="29"/>
    <m/>
    <n v="115"/>
    <x v="0"/>
    <n v="6"/>
    <x v="0"/>
    <m/>
    <m/>
    <n v="22"/>
    <x v="3"/>
    <s v="27/05/2022"/>
    <d v="2022-05-27T00:00:00"/>
    <s v="2022008-115"/>
    <x v="3"/>
  </r>
  <r>
    <x v="160"/>
    <n v="2022008"/>
    <x v="8"/>
    <s v="Chickpea"/>
    <m/>
    <x v="6"/>
    <s v="N"/>
    <x v="1"/>
    <n v="116"/>
    <n v="116"/>
    <x v="3"/>
    <m/>
    <m/>
    <m/>
    <n v="15"/>
    <m/>
    <m/>
    <m/>
    <m/>
    <m/>
    <n v="4"/>
    <n v="64"/>
    <x v="3"/>
    <n v="29"/>
    <m/>
    <n v="116"/>
    <x v="0"/>
    <n v="8"/>
    <x v="0"/>
    <m/>
    <m/>
    <n v="22"/>
    <x v="3"/>
    <s v="27/05/2022"/>
    <d v="2022-05-27T00:00:00"/>
    <s v="2022008-116"/>
    <x v="3"/>
  </r>
  <r>
    <x v="166"/>
    <n v="2022008"/>
    <x v="8"/>
    <s v="Chickpea"/>
    <m/>
    <x v="9"/>
    <s v="N"/>
    <x v="2"/>
    <n v="117"/>
    <n v="117"/>
    <x v="3"/>
    <m/>
    <m/>
    <m/>
    <n v="15"/>
    <m/>
    <m/>
    <m/>
    <m/>
    <m/>
    <n v="1"/>
    <n v="65"/>
    <x v="0"/>
    <n v="30"/>
    <m/>
    <n v="120"/>
    <x v="0"/>
    <n v="4"/>
    <x v="0"/>
    <m/>
    <m/>
    <n v="22"/>
    <x v="3"/>
    <s v="27/05/2022"/>
    <d v="2022-05-27T00:00:00"/>
    <s v="2022008-117"/>
    <x v="3"/>
  </r>
  <r>
    <x v="162"/>
    <n v="2022008"/>
    <x v="8"/>
    <s v="Chickpea"/>
    <m/>
    <x v="3"/>
    <s v="N"/>
    <x v="2"/>
    <n v="118"/>
    <n v="118"/>
    <x v="3"/>
    <m/>
    <m/>
    <m/>
    <n v="15"/>
    <m/>
    <m/>
    <m/>
    <m/>
    <m/>
    <n v="2"/>
    <n v="65"/>
    <x v="1"/>
    <n v="30"/>
    <m/>
    <n v="119"/>
    <x v="0"/>
    <n v="3"/>
    <x v="0"/>
    <m/>
    <m/>
    <n v="22"/>
    <x v="3"/>
    <s v="27/05/2022"/>
    <d v="2022-05-27T00:00:00"/>
    <s v="2022008-118"/>
    <x v="3"/>
  </r>
  <r>
    <x v="165"/>
    <n v="2022008"/>
    <x v="8"/>
    <s v="Chickpea"/>
    <m/>
    <x v="8"/>
    <s v="Y"/>
    <x v="2"/>
    <n v="119"/>
    <n v="119"/>
    <x v="3"/>
    <m/>
    <m/>
    <m/>
    <n v="15"/>
    <m/>
    <m/>
    <m/>
    <m/>
    <m/>
    <n v="3"/>
    <n v="65"/>
    <x v="2"/>
    <n v="30"/>
    <m/>
    <n v="118"/>
    <x v="0"/>
    <n v="1"/>
    <x v="0"/>
    <m/>
    <m/>
    <n v="22"/>
    <x v="3"/>
    <s v="27/05/2022"/>
    <d v="2022-05-27T00:00:00"/>
    <s v="2022008-119"/>
    <x v="3"/>
  </r>
  <r>
    <x v="165"/>
    <n v="2022008"/>
    <x v="8"/>
    <s v="Chickpea"/>
    <m/>
    <x v="8"/>
    <s v="Y"/>
    <x v="1"/>
    <n v="120"/>
    <n v="120"/>
    <x v="3"/>
    <m/>
    <m/>
    <m/>
    <n v="15"/>
    <m/>
    <m/>
    <m/>
    <m/>
    <m/>
    <n v="4"/>
    <n v="65"/>
    <x v="3"/>
    <n v="30"/>
    <m/>
    <n v="117"/>
    <x v="0"/>
    <n v="7"/>
    <x v="0"/>
    <m/>
    <m/>
    <n v="22"/>
    <x v="3"/>
    <s v="27/05/2022"/>
    <d v="2022-05-27T00:00:00"/>
    <s v="2022008-120"/>
    <x v="3"/>
  </r>
  <r>
    <x v="169"/>
    <n v="2022008"/>
    <x v="8"/>
    <s v="Chickpea"/>
    <m/>
    <x v="8"/>
    <s v="Y"/>
    <x v="1"/>
    <n v="121"/>
    <n v="121"/>
    <x v="3"/>
    <m/>
    <m/>
    <m/>
    <n v="16"/>
    <m/>
    <m/>
    <m/>
    <m/>
    <m/>
    <n v="1"/>
    <n v="68"/>
    <x v="0"/>
    <n v="31"/>
    <m/>
    <n v="121"/>
    <x v="0"/>
    <n v="7"/>
    <x v="0"/>
    <m/>
    <m/>
    <n v="22"/>
    <x v="0"/>
    <s v="10/05/2022"/>
    <d v="2022-05-10T00:00:00"/>
    <s v="2022008-121"/>
    <x v="3"/>
  </r>
  <r>
    <x v="170"/>
    <n v="2022008"/>
    <x v="8"/>
    <s v="Chickpea"/>
    <m/>
    <x v="6"/>
    <s v="N"/>
    <x v="1"/>
    <n v="122"/>
    <n v="122"/>
    <x v="3"/>
    <m/>
    <m/>
    <m/>
    <n v="16"/>
    <m/>
    <m/>
    <m/>
    <m/>
    <m/>
    <n v="2"/>
    <n v="68"/>
    <x v="1"/>
    <n v="31"/>
    <m/>
    <n v="122"/>
    <x v="0"/>
    <n v="8"/>
    <x v="0"/>
    <m/>
    <m/>
    <n v="22"/>
    <x v="0"/>
    <s v="10/05/2022"/>
    <d v="2022-05-10T00:00:00"/>
    <s v="2022008-122"/>
    <x v="3"/>
  </r>
  <r>
    <x v="171"/>
    <n v="2022008"/>
    <x v="8"/>
    <s v="Chickpea"/>
    <m/>
    <x v="17"/>
    <s v="N"/>
    <x v="2"/>
    <n v="123"/>
    <n v="123"/>
    <x v="3"/>
    <m/>
    <m/>
    <m/>
    <n v="16"/>
    <m/>
    <m/>
    <m/>
    <m/>
    <m/>
    <n v="3"/>
    <n v="68"/>
    <x v="2"/>
    <n v="31"/>
    <m/>
    <n v="123"/>
    <x v="0"/>
    <n v="5"/>
    <x v="0"/>
    <m/>
    <m/>
    <n v="22"/>
    <x v="0"/>
    <s v="10/05/2022"/>
    <d v="2022-05-10T00:00:00"/>
    <s v="2022008-123"/>
    <x v="3"/>
  </r>
  <r>
    <x v="168"/>
    <n v="2022008"/>
    <x v="8"/>
    <s v="Chickpea"/>
    <m/>
    <x v="9"/>
    <s v="N"/>
    <x v="2"/>
    <n v="124"/>
    <n v="124"/>
    <x v="3"/>
    <m/>
    <m/>
    <m/>
    <n v="16"/>
    <m/>
    <m/>
    <m/>
    <m/>
    <m/>
    <n v="4"/>
    <n v="68"/>
    <x v="3"/>
    <n v="31"/>
    <m/>
    <n v="124"/>
    <x v="0"/>
    <n v="4"/>
    <x v="0"/>
    <m/>
    <m/>
    <n v="22"/>
    <x v="0"/>
    <s v="10/05/2022"/>
    <d v="2022-05-10T00:00:00"/>
    <s v="2022008-124"/>
    <x v="3"/>
  </r>
  <r>
    <x v="169"/>
    <n v="2022008"/>
    <x v="8"/>
    <s v="Chickpea"/>
    <m/>
    <x v="8"/>
    <s v="Y"/>
    <x v="2"/>
    <n v="125"/>
    <n v="125"/>
    <x v="3"/>
    <m/>
    <m/>
    <m/>
    <n v="16"/>
    <m/>
    <m/>
    <m/>
    <m/>
    <m/>
    <n v="1"/>
    <n v="69"/>
    <x v="0"/>
    <n v="32"/>
    <m/>
    <n v="128"/>
    <x v="0"/>
    <n v="1"/>
    <x v="0"/>
    <m/>
    <m/>
    <n v="22"/>
    <x v="0"/>
    <s v="10/05/2022"/>
    <d v="2022-05-10T00:00:00"/>
    <s v="2022008-125"/>
    <x v="3"/>
  </r>
  <r>
    <x v="173"/>
    <n v="2022008"/>
    <x v="8"/>
    <s v="Chickpea"/>
    <m/>
    <x v="18"/>
    <s v="N"/>
    <x v="2"/>
    <n v="126"/>
    <n v="126"/>
    <x v="3"/>
    <m/>
    <m/>
    <m/>
    <n v="16"/>
    <m/>
    <m/>
    <m/>
    <m/>
    <m/>
    <n v="2"/>
    <n v="69"/>
    <x v="1"/>
    <n v="32"/>
    <m/>
    <n v="127"/>
    <x v="0"/>
    <n v="6"/>
    <x v="0"/>
    <m/>
    <m/>
    <n v="22"/>
    <x v="0"/>
    <s v="10/05/2022"/>
    <d v="2022-05-10T00:00:00"/>
    <s v="2022008-126"/>
    <x v="3"/>
  </r>
  <r>
    <x v="167"/>
    <n v="2022008"/>
    <x v="8"/>
    <s v="Chickpea"/>
    <m/>
    <x v="4"/>
    <s v="Y"/>
    <x v="2"/>
    <n v="127"/>
    <n v="127"/>
    <x v="3"/>
    <m/>
    <m/>
    <m/>
    <n v="16"/>
    <m/>
    <m/>
    <m/>
    <m/>
    <m/>
    <n v="3"/>
    <n v="69"/>
    <x v="2"/>
    <n v="32"/>
    <m/>
    <n v="126"/>
    <x v="0"/>
    <n v="2"/>
    <x v="0"/>
    <m/>
    <m/>
    <n v="22"/>
    <x v="0"/>
    <s v="10/05/2022"/>
    <d v="2022-05-10T00:00:00"/>
    <s v="2022008-127"/>
    <x v="3"/>
  </r>
  <r>
    <x v="172"/>
    <n v="2022008"/>
    <x v="8"/>
    <s v="Chickpea"/>
    <m/>
    <x v="3"/>
    <s v="N"/>
    <x v="2"/>
    <n v="128"/>
    <n v="128"/>
    <x v="3"/>
    <m/>
    <m/>
    <m/>
    <n v="16"/>
    <m/>
    <m/>
    <m/>
    <m/>
    <m/>
    <n v="4"/>
    <n v="69"/>
    <x v="3"/>
    <n v="32"/>
    <m/>
    <n v="125"/>
    <x v="0"/>
    <n v="3"/>
    <x v="0"/>
    <m/>
    <m/>
    <n v="22"/>
    <x v="0"/>
    <s v="10/05/2022"/>
    <d v="2022-05-10T00:00:00"/>
    <s v="2022008-128"/>
    <x v="3"/>
  </r>
  <r>
    <x v="188"/>
    <n v="2022009"/>
    <x v="9"/>
    <s v="Chickpea"/>
    <m/>
    <x v="4"/>
    <s v="Y"/>
    <x v="2"/>
    <n v="1"/>
    <n v="1"/>
    <x v="0"/>
    <m/>
    <m/>
    <m/>
    <n v="1"/>
    <m/>
    <m/>
    <m/>
    <m/>
    <m/>
    <n v="3"/>
    <n v="77"/>
    <x v="0"/>
    <n v="1"/>
    <m/>
    <n v="1"/>
    <x v="0"/>
    <n v="3"/>
    <x v="0"/>
    <m/>
    <m/>
    <n v="50"/>
    <x v="2"/>
    <s v="21/06/2022"/>
    <d v="2022-06-21T00:00:00"/>
    <s v="2022009-1"/>
    <x v="3"/>
  </r>
  <r>
    <x v="189"/>
    <n v="2022009"/>
    <x v="9"/>
    <s v="Chickpea"/>
    <m/>
    <x v="9"/>
    <s v="N"/>
    <x v="2"/>
    <n v="2"/>
    <n v="2"/>
    <x v="0"/>
    <m/>
    <m/>
    <m/>
    <n v="2"/>
    <m/>
    <m/>
    <m/>
    <m/>
    <m/>
    <n v="3"/>
    <n v="80"/>
    <x v="0"/>
    <n v="2"/>
    <m/>
    <n v="8"/>
    <x v="0"/>
    <n v="4"/>
    <x v="0"/>
    <m/>
    <m/>
    <n v="50"/>
    <x v="1"/>
    <s v="5/05/2022"/>
    <d v="2022-05-05T00:00:00"/>
    <s v="2022009-2"/>
    <x v="3"/>
  </r>
  <r>
    <x v="190"/>
    <n v="2022009"/>
    <x v="9"/>
    <s v="Chickpea"/>
    <m/>
    <x v="4"/>
    <s v="Y"/>
    <x v="2"/>
    <n v="3"/>
    <n v="3"/>
    <x v="1"/>
    <m/>
    <m/>
    <m/>
    <n v="3"/>
    <m/>
    <m/>
    <m/>
    <m/>
    <m/>
    <n v="3"/>
    <n v="83"/>
    <x v="0"/>
    <n v="3"/>
    <m/>
    <n v="9"/>
    <x v="0"/>
    <n v="3"/>
    <x v="0"/>
    <m/>
    <m/>
    <n v="50"/>
    <x v="1"/>
    <s v="5/05/2022"/>
    <d v="2022-05-05T00:00:00"/>
    <s v="2022009-3"/>
    <x v="3"/>
  </r>
  <r>
    <x v="191"/>
    <n v="2022009"/>
    <x v="9"/>
    <s v="Chickpea"/>
    <m/>
    <x v="8"/>
    <s v="Y"/>
    <x v="2"/>
    <n v="4"/>
    <n v="4"/>
    <x v="1"/>
    <m/>
    <m/>
    <m/>
    <n v="4"/>
    <m/>
    <m/>
    <m/>
    <m/>
    <m/>
    <n v="3"/>
    <n v="86"/>
    <x v="0"/>
    <n v="4"/>
    <m/>
    <n v="16"/>
    <x v="0"/>
    <n v="2"/>
    <x v="0"/>
    <m/>
    <m/>
    <n v="50"/>
    <x v="2"/>
    <s v="21/06/2022"/>
    <d v="2022-06-21T00:00:00"/>
    <s v="2022009-4"/>
    <x v="3"/>
  </r>
  <r>
    <x v="192"/>
    <n v="2022009"/>
    <x v="9"/>
    <s v="Chickpea"/>
    <m/>
    <x v="3"/>
    <s v="N"/>
    <x v="2"/>
    <n v="5"/>
    <n v="5"/>
    <x v="2"/>
    <m/>
    <m/>
    <m/>
    <n v="5"/>
    <m/>
    <m/>
    <m/>
    <m/>
    <m/>
    <n v="3"/>
    <n v="89"/>
    <x v="0"/>
    <n v="5"/>
    <m/>
    <n v="17"/>
    <x v="0"/>
    <n v="1"/>
    <x v="0"/>
    <m/>
    <m/>
    <n v="50"/>
    <x v="1"/>
    <s v="5/05/2022"/>
    <d v="2022-05-05T00:00:00"/>
    <s v="2022009-5"/>
    <x v="3"/>
  </r>
  <r>
    <x v="193"/>
    <n v="2022009"/>
    <x v="9"/>
    <s v="Chickpea"/>
    <m/>
    <x v="9"/>
    <s v="N"/>
    <x v="2"/>
    <n v="6"/>
    <n v="6"/>
    <x v="2"/>
    <m/>
    <m/>
    <m/>
    <n v="6"/>
    <m/>
    <m/>
    <m/>
    <m/>
    <m/>
    <n v="3"/>
    <n v="92"/>
    <x v="0"/>
    <n v="6"/>
    <m/>
    <n v="24"/>
    <x v="0"/>
    <n v="4"/>
    <x v="0"/>
    <m/>
    <m/>
    <n v="50"/>
    <x v="2"/>
    <s v="21/06/2022"/>
    <d v="2022-06-21T00:00:00"/>
    <s v="2022009-6"/>
    <x v="3"/>
  </r>
  <r>
    <x v="194"/>
    <n v="2022009"/>
    <x v="9"/>
    <s v="Chickpea"/>
    <m/>
    <x v="3"/>
    <s v="N"/>
    <x v="2"/>
    <n v="7"/>
    <n v="7"/>
    <x v="3"/>
    <m/>
    <m/>
    <m/>
    <n v="7"/>
    <m/>
    <m/>
    <m/>
    <m/>
    <m/>
    <n v="3"/>
    <n v="95"/>
    <x v="0"/>
    <n v="7"/>
    <m/>
    <n v="25"/>
    <x v="0"/>
    <n v="1"/>
    <x v="0"/>
    <m/>
    <m/>
    <n v="50"/>
    <x v="2"/>
    <s v="21/06/2022"/>
    <d v="2022-06-21T00:00:00"/>
    <s v="2022009-7"/>
    <x v="3"/>
  </r>
  <r>
    <x v="195"/>
    <n v="2022009"/>
    <x v="9"/>
    <s v="Chickpea"/>
    <m/>
    <x v="8"/>
    <s v="Y"/>
    <x v="2"/>
    <n v="8"/>
    <n v="8"/>
    <x v="3"/>
    <m/>
    <m/>
    <m/>
    <n v="8"/>
    <m/>
    <m/>
    <m/>
    <m/>
    <m/>
    <n v="3"/>
    <n v="98"/>
    <x v="0"/>
    <n v="8"/>
    <m/>
    <n v="32"/>
    <x v="0"/>
    <n v="2"/>
    <x v="0"/>
    <m/>
    <m/>
    <n v="50"/>
    <x v="1"/>
    <s v="5/05/2022"/>
    <d v="2022-05-05T00:00:00"/>
    <s v="2022009-8"/>
    <x v="3"/>
  </r>
  <r>
    <x v="193"/>
    <n v="2022009"/>
    <x v="9"/>
    <s v="Chickpea"/>
    <m/>
    <x v="9"/>
    <s v="N"/>
    <x v="2"/>
    <n v="9"/>
    <n v="9"/>
    <x v="0"/>
    <m/>
    <m/>
    <m/>
    <n v="1"/>
    <m/>
    <m/>
    <m/>
    <m/>
    <m/>
    <n v="4"/>
    <n v="77"/>
    <x v="1"/>
    <n v="1"/>
    <m/>
    <n v="2"/>
    <x v="0"/>
    <n v="4"/>
    <x v="0"/>
    <m/>
    <m/>
    <n v="50"/>
    <x v="2"/>
    <s v="21/06/2022"/>
    <d v="2022-06-21T00:00:00"/>
    <s v="2022009-9"/>
    <x v="3"/>
  </r>
  <r>
    <x v="190"/>
    <n v="2022009"/>
    <x v="9"/>
    <s v="Chickpea"/>
    <m/>
    <x v="4"/>
    <s v="Y"/>
    <x v="2"/>
    <n v="10"/>
    <n v="10"/>
    <x v="0"/>
    <m/>
    <m/>
    <m/>
    <n v="2"/>
    <m/>
    <m/>
    <m/>
    <m/>
    <m/>
    <n v="4"/>
    <n v="80"/>
    <x v="1"/>
    <n v="2"/>
    <m/>
    <n v="7"/>
    <x v="0"/>
    <n v="3"/>
    <x v="0"/>
    <m/>
    <m/>
    <n v="50"/>
    <x v="1"/>
    <s v="5/05/2022"/>
    <d v="2022-05-05T00:00:00"/>
    <s v="2022009-10"/>
    <x v="3"/>
  </r>
  <r>
    <x v="189"/>
    <n v="2022009"/>
    <x v="9"/>
    <s v="Chickpea"/>
    <m/>
    <x v="9"/>
    <s v="N"/>
    <x v="2"/>
    <n v="11"/>
    <n v="11"/>
    <x v="1"/>
    <m/>
    <m/>
    <m/>
    <n v="3"/>
    <m/>
    <m/>
    <m/>
    <m/>
    <m/>
    <n v="4"/>
    <n v="83"/>
    <x v="1"/>
    <n v="3"/>
    <m/>
    <n v="10"/>
    <x v="0"/>
    <n v="4"/>
    <x v="0"/>
    <m/>
    <m/>
    <n v="50"/>
    <x v="1"/>
    <s v="5/05/2022"/>
    <d v="2022-05-05T00:00:00"/>
    <s v="2022009-11"/>
    <x v="3"/>
  </r>
  <r>
    <x v="194"/>
    <n v="2022009"/>
    <x v="9"/>
    <s v="Chickpea"/>
    <m/>
    <x v="3"/>
    <s v="N"/>
    <x v="2"/>
    <n v="12"/>
    <n v="12"/>
    <x v="1"/>
    <m/>
    <m/>
    <m/>
    <n v="4"/>
    <m/>
    <m/>
    <m/>
    <m/>
    <m/>
    <n v="4"/>
    <n v="86"/>
    <x v="1"/>
    <n v="4"/>
    <m/>
    <n v="15"/>
    <x v="0"/>
    <n v="1"/>
    <x v="0"/>
    <m/>
    <m/>
    <n v="50"/>
    <x v="2"/>
    <s v="21/06/2022"/>
    <d v="2022-06-21T00:00:00"/>
    <s v="2022009-12"/>
    <x v="3"/>
  </r>
  <r>
    <x v="195"/>
    <n v="2022009"/>
    <x v="9"/>
    <s v="Chickpea"/>
    <m/>
    <x v="8"/>
    <s v="Y"/>
    <x v="2"/>
    <n v="13"/>
    <n v="13"/>
    <x v="2"/>
    <m/>
    <m/>
    <m/>
    <n v="5"/>
    <m/>
    <m/>
    <m/>
    <m/>
    <m/>
    <n v="4"/>
    <n v="89"/>
    <x v="1"/>
    <n v="5"/>
    <m/>
    <n v="18"/>
    <x v="0"/>
    <n v="2"/>
    <x v="0"/>
    <m/>
    <m/>
    <n v="50"/>
    <x v="1"/>
    <s v="5/05/2022"/>
    <d v="2022-05-05T00:00:00"/>
    <s v="2022009-13"/>
    <x v="3"/>
  </r>
  <r>
    <x v="188"/>
    <n v="2022009"/>
    <x v="9"/>
    <s v="Chickpea"/>
    <m/>
    <x v="4"/>
    <s v="Y"/>
    <x v="2"/>
    <n v="14"/>
    <n v="14"/>
    <x v="2"/>
    <m/>
    <m/>
    <m/>
    <n v="6"/>
    <m/>
    <m/>
    <m/>
    <m/>
    <m/>
    <n v="4"/>
    <n v="92"/>
    <x v="1"/>
    <n v="6"/>
    <m/>
    <n v="23"/>
    <x v="0"/>
    <n v="3"/>
    <x v="0"/>
    <m/>
    <m/>
    <n v="50"/>
    <x v="2"/>
    <s v="21/06/2022"/>
    <d v="2022-06-21T00:00:00"/>
    <s v="2022009-14"/>
    <x v="3"/>
  </r>
  <r>
    <x v="191"/>
    <n v="2022009"/>
    <x v="9"/>
    <s v="Chickpea"/>
    <m/>
    <x v="8"/>
    <s v="Y"/>
    <x v="2"/>
    <n v="15"/>
    <n v="15"/>
    <x v="3"/>
    <m/>
    <m/>
    <m/>
    <n v="7"/>
    <m/>
    <m/>
    <m/>
    <m/>
    <m/>
    <n v="4"/>
    <n v="95"/>
    <x v="1"/>
    <n v="7"/>
    <m/>
    <n v="26"/>
    <x v="0"/>
    <n v="2"/>
    <x v="0"/>
    <m/>
    <m/>
    <n v="50"/>
    <x v="2"/>
    <s v="21/06/2022"/>
    <d v="2022-06-21T00:00:00"/>
    <s v="2022009-15"/>
    <x v="3"/>
  </r>
  <r>
    <x v="192"/>
    <n v="2022009"/>
    <x v="9"/>
    <s v="Chickpea"/>
    <m/>
    <x v="3"/>
    <s v="N"/>
    <x v="2"/>
    <n v="16"/>
    <n v="16"/>
    <x v="3"/>
    <m/>
    <m/>
    <m/>
    <n v="8"/>
    <m/>
    <m/>
    <m/>
    <m/>
    <m/>
    <n v="4"/>
    <n v="98"/>
    <x v="1"/>
    <n v="8"/>
    <m/>
    <n v="31"/>
    <x v="0"/>
    <n v="1"/>
    <x v="0"/>
    <m/>
    <m/>
    <n v="50"/>
    <x v="1"/>
    <s v="5/05/2022"/>
    <d v="2022-05-05T00:00:00"/>
    <s v="2022009-16"/>
    <x v="3"/>
  </r>
  <r>
    <x v="194"/>
    <n v="2022009"/>
    <x v="9"/>
    <s v="Chickpea"/>
    <m/>
    <x v="3"/>
    <s v="N"/>
    <x v="2"/>
    <n v="17"/>
    <n v="17"/>
    <x v="0"/>
    <m/>
    <m/>
    <m/>
    <n v="1"/>
    <m/>
    <m/>
    <m/>
    <m/>
    <m/>
    <n v="5"/>
    <n v="77"/>
    <x v="2"/>
    <n v="1"/>
    <m/>
    <n v="3"/>
    <x v="0"/>
    <n v="1"/>
    <x v="0"/>
    <m/>
    <m/>
    <n v="50"/>
    <x v="2"/>
    <s v="21/06/2022"/>
    <d v="2022-06-21T00:00:00"/>
    <s v="2022009-17"/>
    <x v="3"/>
  </r>
  <r>
    <x v="195"/>
    <n v="2022009"/>
    <x v="9"/>
    <s v="Chickpea"/>
    <m/>
    <x v="8"/>
    <s v="Y"/>
    <x v="2"/>
    <n v="18"/>
    <n v="18"/>
    <x v="0"/>
    <m/>
    <m/>
    <m/>
    <n v="2"/>
    <m/>
    <m/>
    <m/>
    <m/>
    <m/>
    <n v="5"/>
    <n v="80"/>
    <x v="2"/>
    <n v="2"/>
    <m/>
    <n v="6"/>
    <x v="0"/>
    <n v="2"/>
    <x v="0"/>
    <m/>
    <m/>
    <n v="50"/>
    <x v="1"/>
    <s v="5/05/2022"/>
    <d v="2022-05-05T00:00:00"/>
    <s v="2022009-18"/>
    <x v="3"/>
  </r>
  <r>
    <x v="192"/>
    <n v="2022009"/>
    <x v="9"/>
    <s v="Chickpea"/>
    <m/>
    <x v="3"/>
    <s v="N"/>
    <x v="2"/>
    <n v="19"/>
    <n v="19"/>
    <x v="1"/>
    <m/>
    <m/>
    <m/>
    <n v="3"/>
    <m/>
    <m/>
    <m/>
    <m/>
    <m/>
    <n v="5"/>
    <n v="83"/>
    <x v="2"/>
    <n v="3"/>
    <m/>
    <n v="11"/>
    <x v="0"/>
    <n v="1"/>
    <x v="0"/>
    <m/>
    <m/>
    <n v="50"/>
    <x v="1"/>
    <s v="5/05/2022"/>
    <d v="2022-05-05T00:00:00"/>
    <s v="2022009-19"/>
    <x v="3"/>
  </r>
  <r>
    <x v="188"/>
    <n v="2022009"/>
    <x v="9"/>
    <s v="Chickpea"/>
    <m/>
    <x v="4"/>
    <s v="Y"/>
    <x v="2"/>
    <n v="20"/>
    <n v="20"/>
    <x v="1"/>
    <m/>
    <m/>
    <m/>
    <n v="4"/>
    <m/>
    <m/>
    <m/>
    <m/>
    <m/>
    <n v="5"/>
    <n v="86"/>
    <x v="2"/>
    <n v="4"/>
    <m/>
    <n v="14"/>
    <x v="0"/>
    <n v="3"/>
    <x v="0"/>
    <m/>
    <m/>
    <n v="50"/>
    <x v="2"/>
    <s v="21/06/2022"/>
    <d v="2022-06-21T00:00:00"/>
    <s v="2022009-20"/>
    <x v="3"/>
  </r>
  <r>
    <x v="189"/>
    <n v="2022009"/>
    <x v="9"/>
    <s v="Chickpea"/>
    <m/>
    <x v="9"/>
    <s v="N"/>
    <x v="2"/>
    <n v="21"/>
    <n v="21"/>
    <x v="2"/>
    <m/>
    <m/>
    <m/>
    <n v="5"/>
    <m/>
    <m/>
    <m/>
    <m/>
    <m/>
    <n v="5"/>
    <n v="89"/>
    <x v="2"/>
    <n v="5"/>
    <m/>
    <n v="19"/>
    <x v="0"/>
    <n v="4"/>
    <x v="0"/>
    <m/>
    <m/>
    <n v="50"/>
    <x v="1"/>
    <s v="5/05/2022"/>
    <d v="2022-05-05T00:00:00"/>
    <s v="2022009-21"/>
    <x v="3"/>
  </r>
  <r>
    <x v="191"/>
    <n v="2022009"/>
    <x v="9"/>
    <s v="Chickpea"/>
    <m/>
    <x v="8"/>
    <s v="Y"/>
    <x v="2"/>
    <n v="22"/>
    <n v="22"/>
    <x v="2"/>
    <m/>
    <m/>
    <m/>
    <n v="6"/>
    <m/>
    <m/>
    <m/>
    <m/>
    <m/>
    <n v="5"/>
    <n v="92"/>
    <x v="2"/>
    <n v="6"/>
    <m/>
    <n v="22"/>
    <x v="0"/>
    <n v="2"/>
    <x v="0"/>
    <m/>
    <m/>
    <n v="50"/>
    <x v="2"/>
    <s v="21/06/2022"/>
    <d v="2022-06-21T00:00:00"/>
    <s v="2022009-22"/>
    <x v="3"/>
  </r>
  <r>
    <x v="193"/>
    <n v="2022009"/>
    <x v="9"/>
    <s v="Chickpea"/>
    <m/>
    <x v="9"/>
    <s v="N"/>
    <x v="2"/>
    <n v="23"/>
    <n v="23"/>
    <x v="3"/>
    <m/>
    <m/>
    <m/>
    <n v="7"/>
    <m/>
    <m/>
    <m/>
    <m/>
    <m/>
    <n v="5"/>
    <n v="95"/>
    <x v="2"/>
    <n v="7"/>
    <m/>
    <n v="27"/>
    <x v="0"/>
    <n v="4"/>
    <x v="0"/>
    <m/>
    <m/>
    <n v="50"/>
    <x v="2"/>
    <s v="21/06/2022"/>
    <d v="2022-06-21T00:00:00"/>
    <s v="2022009-23"/>
    <x v="3"/>
  </r>
  <r>
    <x v="190"/>
    <n v="2022009"/>
    <x v="9"/>
    <s v="Chickpea"/>
    <m/>
    <x v="4"/>
    <s v="Y"/>
    <x v="2"/>
    <n v="24"/>
    <n v="24"/>
    <x v="3"/>
    <m/>
    <m/>
    <m/>
    <n v="8"/>
    <m/>
    <m/>
    <m/>
    <m/>
    <m/>
    <n v="5"/>
    <n v="98"/>
    <x v="2"/>
    <n v="8"/>
    <m/>
    <n v="30"/>
    <x v="0"/>
    <n v="3"/>
    <x v="0"/>
    <m/>
    <m/>
    <n v="50"/>
    <x v="1"/>
    <s v="5/05/2022"/>
    <d v="2022-05-05T00:00:00"/>
    <s v="2022009-24"/>
    <x v="3"/>
  </r>
  <r>
    <x v="191"/>
    <n v="2022009"/>
    <x v="9"/>
    <s v="Chickpea"/>
    <m/>
    <x v="8"/>
    <s v="Y"/>
    <x v="2"/>
    <n v="25"/>
    <n v="25"/>
    <x v="0"/>
    <m/>
    <m/>
    <m/>
    <n v="1"/>
    <m/>
    <m/>
    <m/>
    <m/>
    <m/>
    <n v="6"/>
    <n v="77"/>
    <x v="3"/>
    <n v="1"/>
    <m/>
    <n v="4"/>
    <x v="0"/>
    <n v="2"/>
    <x v="0"/>
    <m/>
    <m/>
    <n v="50"/>
    <x v="2"/>
    <s v="21/06/2022"/>
    <d v="2022-06-21T00:00:00"/>
    <s v="2022009-25"/>
    <x v="3"/>
  </r>
  <r>
    <x v="192"/>
    <n v="2022009"/>
    <x v="9"/>
    <s v="Chickpea"/>
    <m/>
    <x v="3"/>
    <s v="N"/>
    <x v="2"/>
    <n v="26"/>
    <n v="26"/>
    <x v="0"/>
    <m/>
    <m/>
    <m/>
    <n v="2"/>
    <m/>
    <m/>
    <m/>
    <m/>
    <m/>
    <n v="6"/>
    <n v="80"/>
    <x v="3"/>
    <n v="2"/>
    <m/>
    <n v="5"/>
    <x v="0"/>
    <n v="1"/>
    <x v="0"/>
    <m/>
    <m/>
    <n v="50"/>
    <x v="1"/>
    <s v="5/05/2022"/>
    <d v="2022-05-05T00:00:00"/>
    <s v="2022009-26"/>
    <x v="3"/>
  </r>
  <r>
    <x v="195"/>
    <n v="2022009"/>
    <x v="9"/>
    <s v="Chickpea"/>
    <m/>
    <x v="8"/>
    <s v="Y"/>
    <x v="2"/>
    <n v="27"/>
    <n v="27"/>
    <x v="1"/>
    <m/>
    <m/>
    <m/>
    <n v="3"/>
    <m/>
    <m/>
    <m/>
    <m/>
    <m/>
    <n v="6"/>
    <n v="83"/>
    <x v="3"/>
    <n v="3"/>
    <m/>
    <n v="12"/>
    <x v="0"/>
    <n v="2"/>
    <x v="0"/>
    <m/>
    <m/>
    <n v="50"/>
    <x v="1"/>
    <s v="5/05/2022"/>
    <d v="2022-05-05T00:00:00"/>
    <s v="2022009-27"/>
    <x v="3"/>
  </r>
  <r>
    <x v="193"/>
    <n v="2022009"/>
    <x v="9"/>
    <s v="Chickpea"/>
    <m/>
    <x v="9"/>
    <s v="N"/>
    <x v="2"/>
    <n v="28"/>
    <n v="28"/>
    <x v="1"/>
    <m/>
    <m/>
    <m/>
    <n v="4"/>
    <m/>
    <m/>
    <m/>
    <m/>
    <m/>
    <n v="6"/>
    <n v="86"/>
    <x v="3"/>
    <n v="4"/>
    <m/>
    <n v="13"/>
    <x v="0"/>
    <n v="4"/>
    <x v="0"/>
    <m/>
    <m/>
    <n v="50"/>
    <x v="2"/>
    <s v="21/06/2022"/>
    <d v="2022-06-21T00:00:00"/>
    <s v="2022009-28"/>
    <x v="3"/>
  </r>
  <r>
    <x v="190"/>
    <n v="2022009"/>
    <x v="9"/>
    <s v="Chickpea"/>
    <m/>
    <x v="4"/>
    <s v="Y"/>
    <x v="2"/>
    <n v="29"/>
    <n v="29"/>
    <x v="2"/>
    <m/>
    <m/>
    <m/>
    <n v="5"/>
    <m/>
    <m/>
    <m/>
    <m/>
    <m/>
    <n v="6"/>
    <n v="89"/>
    <x v="3"/>
    <n v="5"/>
    <m/>
    <n v="20"/>
    <x v="0"/>
    <n v="3"/>
    <x v="0"/>
    <m/>
    <m/>
    <n v="50"/>
    <x v="1"/>
    <s v="5/05/2022"/>
    <d v="2022-05-05T00:00:00"/>
    <s v="2022009-29"/>
    <x v="3"/>
  </r>
  <r>
    <x v="194"/>
    <n v="2022009"/>
    <x v="9"/>
    <s v="Chickpea"/>
    <m/>
    <x v="3"/>
    <s v="N"/>
    <x v="2"/>
    <n v="30"/>
    <n v="30"/>
    <x v="2"/>
    <m/>
    <m/>
    <m/>
    <n v="6"/>
    <m/>
    <m/>
    <m/>
    <m/>
    <m/>
    <n v="6"/>
    <n v="92"/>
    <x v="3"/>
    <n v="6"/>
    <m/>
    <n v="21"/>
    <x v="0"/>
    <n v="1"/>
    <x v="0"/>
    <m/>
    <m/>
    <n v="50"/>
    <x v="2"/>
    <s v="21/06/2022"/>
    <d v="2022-06-21T00:00:00"/>
    <s v="2022009-30"/>
    <x v="3"/>
  </r>
  <r>
    <x v="188"/>
    <n v="2022009"/>
    <x v="9"/>
    <s v="Chickpea"/>
    <m/>
    <x v="4"/>
    <s v="Y"/>
    <x v="2"/>
    <n v="31"/>
    <n v="31"/>
    <x v="3"/>
    <m/>
    <m/>
    <m/>
    <n v="7"/>
    <m/>
    <m/>
    <m/>
    <m/>
    <m/>
    <n v="6"/>
    <n v="95"/>
    <x v="3"/>
    <n v="7"/>
    <m/>
    <n v="28"/>
    <x v="0"/>
    <n v="3"/>
    <x v="0"/>
    <m/>
    <m/>
    <n v="50"/>
    <x v="2"/>
    <s v="21/06/2022"/>
    <d v="2022-06-21T00:00:00"/>
    <s v="2022009-31"/>
    <x v="3"/>
  </r>
  <r>
    <x v="189"/>
    <n v="2022009"/>
    <x v="9"/>
    <s v="Chickpea"/>
    <m/>
    <x v="9"/>
    <s v="N"/>
    <x v="2"/>
    <n v="32"/>
    <n v="32"/>
    <x v="3"/>
    <m/>
    <m/>
    <m/>
    <n v="8"/>
    <m/>
    <m/>
    <m/>
    <m/>
    <m/>
    <n v="6"/>
    <n v="98"/>
    <x v="3"/>
    <n v="8"/>
    <m/>
    <n v="29"/>
    <x v="0"/>
    <n v="4"/>
    <x v="0"/>
    <m/>
    <m/>
    <n v="50"/>
    <x v="1"/>
    <s v="5/05/2022"/>
    <d v="2022-05-05T00:00:00"/>
    <s v="2022009-32"/>
    <x v="3"/>
  </r>
  <r>
    <x v="196"/>
    <n v="2022010"/>
    <x v="10"/>
    <s v="Chickpea"/>
    <m/>
    <x v="8"/>
    <s v="Y"/>
    <x v="2"/>
    <n v="1"/>
    <n v="1"/>
    <x v="0"/>
    <m/>
    <m/>
    <m/>
    <n v="1"/>
    <m/>
    <m/>
    <m/>
    <m/>
    <m/>
    <n v="2"/>
    <n v="1"/>
    <x v="0"/>
    <n v="1"/>
    <m/>
    <n v="1"/>
    <x v="0"/>
    <n v="1"/>
    <x v="0"/>
    <m/>
    <m/>
    <n v="25"/>
    <x v="1"/>
    <s v="26/04/2022"/>
    <d v="2022-04-26T00:00:00"/>
    <s v="2022010-1"/>
    <x v="3"/>
  </r>
  <r>
    <x v="197"/>
    <n v="2022010"/>
    <x v="10"/>
    <s v="Chickpea"/>
    <m/>
    <x v="9"/>
    <s v="N"/>
    <x v="2"/>
    <n v="2"/>
    <n v="2"/>
    <x v="0"/>
    <m/>
    <m/>
    <m/>
    <n v="1"/>
    <m/>
    <m/>
    <m/>
    <m/>
    <m/>
    <n v="2"/>
    <n v="3"/>
    <x v="0"/>
    <n v="2"/>
    <m/>
    <n v="32"/>
    <x v="0"/>
    <n v="2"/>
    <x v="0"/>
    <m/>
    <m/>
    <n v="25"/>
    <x v="1"/>
    <s v="26/04/2022"/>
    <d v="2022-04-26T00:00:00"/>
    <s v="2022010-2"/>
    <x v="3"/>
  </r>
  <r>
    <x v="198"/>
    <n v="2022010"/>
    <x v="10"/>
    <s v="Chickpea"/>
    <m/>
    <x v="4"/>
    <s v="Y"/>
    <x v="2"/>
    <n v="3"/>
    <n v="3"/>
    <x v="0"/>
    <m/>
    <m/>
    <m/>
    <n v="1"/>
    <m/>
    <m/>
    <m/>
    <m/>
    <m/>
    <n v="3"/>
    <n v="1"/>
    <x v="1"/>
    <n v="1"/>
    <m/>
    <n v="2"/>
    <x v="0"/>
    <n v="4"/>
    <x v="0"/>
    <m/>
    <m/>
    <n v="25"/>
    <x v="1"/>
    <s v="26/04/2022"/>
    <d v="2022-04-26T00:00:00"/>
    <s v="2022010-3"/>
    <x v="3"/>
  </r>
  <r>
    <x v="199"/>
    <n v="2022010"/>
    <x v="10"/>
    <s v="Chickpea"/>
    <m/>
    <x v="3"/>
    <s v="N"/>
    <x v="2"/>
    <n v="4"/>
    <n v="4"/>
    <x v="0"/>
    <m/>
    <m/>
    <m/>
    <n v="1"/>
    <m/>
    <m/>
    <m/>
    <m/>
    <m/>
    <n v="3"/>
    <n v="3"/>
    <x v="1"/>
    <n v="2"/>
    <m/>
    <n v="31"/>
    <x v="0"/>
    <n v="3"/>
    <x v="0"/>
    <m/>
    <m/>
    <n v="25"/>
    <x v="1"/>
    <s v="26/04/2022"/>
    <d v="2022-04-26T00:00:00"/>
    <s v="2022010-4"/>
    <x v="3"/>
  </r>
  <r>
    <x v="200"/>
    <n v="2022010"/>
    <x v="10"/>
    <s v="Chickpea"/>
    <m/>
    <x v="3"/>
    <s v="N"/>
    <x v="2"/>
    <n v="5"/>
    <n v="5"/>
    <x v="0"/>
    <m/>
    <m/>
    <m/>
    <n v="2"/>
    <m/>
    <m/>
    <m/>
    <m/>
    <m/>
    <n v="5"/>
    <n v="1"/>
    <x v="2"/>
    <n v="1"/>
    <m/>
    <n v="3"/>
    <x v="0"/>
    <n v="3"/>
    <x v="0"/>
    <m/>
    <m/>
    <n v="25"/>
    <x v="2"/>
    <s v="27/05/2022"/>
    <d v="2022-05-27T00:00:00"/>
    <s v="2022010-5"/>
    <x v="3"/>
  </r>
  <r>
    <x v="201"/>
    <n v="2022010"/>
    <x v="10"/>
    <s v="Chickpea"/>
    <m/>
    <x v="4"/>
    <s v="Y"/>
    <x v="2"/>
    <n v="6"/>
    <n v="6"/>
    <x v="0"/>
    <m/>
    <m/>
    <m/>
    <n v="2"/>
    <m/>
    <m/>
    <m/>
    <m/>
    <m/>
    <n v="5"/>
    <n v="3"/>
    <x v="2"/>
    <n v="2"/>
    <m/>
    <n v="30"/>
    <x v="0"/>
    <n v="4"/>
    <x v="0"/>
    <m/>
    <m/>
    <n v="25"/>
    <x v="2"/>
    <s v="27/05/2022"/>
    <d v="2022-05-27T00:00:00"/>
    <s v="2022010-6"/>
    <x v="3"/>
  </r>
  <r>
    <x v="202"/>
    <n v="2022010"/>
    <x v="10"/>
    <s v="Chickpea"/>
    <m/>
    <x v="8"/>
    <s v="Y"/>
    <x v="2"/>
    <n v="7"/>
    <n v="7"/>
    <x v="0"/>
    <m/>
    <m/>
    <m/>
    <n v="2"/>
    <m/>
    <m/>
    <m/>
    <m/>
    <m/>
    <n v="6"/>
    <n v="1"/>
    <x v="3"/>
    <n v="1"/>
    <m/>
    <n v="4"/>
    <x v="0"/>
    <n v="1"/>
    <x v="0"/>
    <m/>
    <m/>
    <n v="25"/>
    <x v="2"/>
    <s v="27/05/2022"/>
    <d v="2022-05-27T00:00:00"/>
    <s v="2022010-7"/>
    <x v="3"/>
  </r>
  <r>
    <x v="203"/>
    <n v="2022010"/>
    <x v="10"/>
    <s v="Chickpea"/>
    <m/>
    <x v="9"/>
    <s v="N"/>
    <x v="2"/>
    <n v="8"/>
    <n v="8"/>
    <x v="0"/>
    <m/>
    <m/>
    <m/>
    <n v="2"/>
    <m/>
    <m/>
    <m/>
    <m/>
    <m/>
    <n v="6"/>
    <n v="3"/>
    <x v="3"/>
    <n v="2"/>
    <m/>
    <n v="29"/>
    <x v="0"/>
    <n v="2"/>
    <x v="0"/>
    <m/>
    <m/>
    <n v="25"/>
    <x v="2"/>
    <s v="27/05/2022"/>
    <d v="2022-05-27T00:00:00"/>
    <s v="2022010-8"/>
    <x v="3"/>
  </r>
  <r>
    <x v="202"/>
    <n v="2022010"/>
    <x v="10"/>
    <s v="Chickpea"/>
    <m/>
    <x v="8"/>
    <s v="Y"/>
    <x v="2"/>
    <n v="9"/>
    <n v="9"/>
    <x v="1"/>
    <m/>
    <m/>
    <m/>
    <n v="3"/>
    <m/>
    <m/>
    <m/>
    <m/>
    <m/>
    <n v="7"/>
    <n v="1"/>
    <x v="4"/>
    <n v="1"/>
    <m/>
    <n v="5"/>
    <x v="0"/>
    <n v="1"/>
    <x v="0"/>
    <m/>
    <m/>
    <n v="25"/>
    <x v="2"/>
    <s v="27/05/2022"/>
    <d v="2022-05-27T00:00:00"/>
    <s v="2022010-9"/>
    <x v="3"/>
  </r>
  <r>
    <x v="201"/>
    <n v="2022010"/>
    <x v="10"/>
    <s v="Chickpea"/>
    <m/>
    <x v="4"/>
    <s v="Y"/>
    <x v="2"/>
    <n v="10"/>
    <n v="10"/>
    <x v="1"/>
    <m/>
    <m/>
    <m/>
    <n v="3"/>
    <m/>
    <m/>
    <m/>
    <m/>
    <m/>
    <n v="7"/>
    <n v="3"/>
    <x v="4"/>
    <n v="2"/>
    <m/>
    <n v="28"/>
    <x v="0"/>
    <n v="4"/>
    <x v="0"/>
    <m/>
    <m/>
    <n v="25"/>
    <x v="2"/>
    <s v="27/05/2022"/>
    <d v="2022-05-27T00:00:00"/>
    <s v="2022010-10"/>
    <x v="3"/>
  </r>
  <r>
    <x v="200"/>
    <n v="2022010"/>
    <x v="10"/>
    <s v="Chickpea"/>
    <m/>
    <x v="3"/>
    <s v="N"/>
    <x v="2"/>
    <n v="11"/>
    <n v="11"/>
    <x v="1"/>
    <m/>
    <m/>
    <m/>
    <n v="3"/>
    <m/>
    <m/>
    <m/>
    <m/>
    <m/>
    <n v="8"/>
    <n v="1"/>
    <x v="5"/>
    <n v="1"/>
    <m/>
    <n v="6"/>
    <x v="0"/>
    <n v="3"/>
    <x v="0"/>
    <m/>
    <m/>
    <n v="25"/>
    <x v="2"/>
    <s v="27/05/2022"/>
    <d v="2022-05-27T00:00:00"/>
    <s v="2022010-11"/>
    <x v="3"/>
  </r>
  <r>
    <x v="203"/>
    <n v="2022010"/>
    <x v="10"/>
    <s v="Chickpea"/>
    <m/>
    <x v="9"/>
    <s v="N"/>
    <x v="2"/>
    <n v="12"/>
    <n v="12"/>
    <x v="1"/>
    <m/>
    <m/>
    <m/>
    <n v="3"/>
    <m/>
    <m/>
    <m/>
    <m/>
    <m/>
    <n v="8"/>
    <n v="3"/>
    <x v="5"/>
    <n v="2"/>
    <m/>
    <n v="27"/>
    <x v="0"/>
    <n v="2"/>
    <x v="0"/>
    <m/>
    <m/>
    <n v="25"/>
    <x v="2"/>
    <s v="27/05/2022"/>
    <d v="2022-05-27T00:00:00"/>
    <s v="2022010-12"/>
    <x v="3"/>
  </r>
  <r>
    <x v="197"/>
    <n v="2022010"/>
    <x v="10"/>
    <s v="Chickpea"/>
    <m/>
    <x v="9"/>
    <s v="N"/>
    <x v="2"/>
    <n v="13"/>
    <n v="13"/>
    <x v="1"/>
    <m/>
    <m/>
    <m/>
    <n v="4"/>
    <m/>
    <m/>
    <m/>
    <m/>
    <m/>
    <n v="10"/>
    <n v="1"/>
    <x v="6"/>
    <n v="1"/>
    <m/>
    <n v="7"/>
    <x v="0"/>
    <n v="2"/>
    <x v="0"/>
    <m/>
    <m/>
    <n v="25"/>
    <x v="1"/>
    <s v="26/04/2022"/>
    <d v="2022-04-26T00:00:00"/>
    <s v="2022010-13"/>
    <x v="3"/>
  </r>
  <r>
    <x v="199"/>
    <n v="2022010"/>
    <x v="10"/>
    <s v="Chickpea"/>
    <m/>
    <x v="3"/>
    <s v="N"/>
    <x v="2"/>
    <n v="14"/>
    <n v="14"/>
    <x v="1"/>
    <m/>
    <m/>
    <m/>
    <n v="4"/>
    <m/>
    <m/>
    <m/>
    <m/>
    <m/>
    <n v="10"/>
    <n v="3"/>
    <x v="6"/>
    <n v="2"/>
    <m/>
    <n v="26"/>
    <x v="0"/>
    <n v="3"/>
    <x v="0"/>
    <m/>
    <m/>
    <n v="25"/>
    <x v="1"/>
    <s v="26/04/2022"/>
    <d v="2022-04-26T00:00:00"/>
    <s v="2022010-14"/>
    <x v="3"/>
  </r>
  <r>
    <x v="198"/>
    <n v="2022010"/>
    <x v="10"/>
    <s v="Chickpea"/>
    <m/>
    <x v="4"/>
    <s v="Y"/>
    <x v="2"/>
    <n v="15"/>
    <n v="15"/>
    <x v="1"/>
    <m/>
    <m/>
    <m/>
    <n v="4"/>
    <m/>
    <m/>
    <m/>
    <m/>
    <m/>
    <n v="11"/>
    <n v="1"/>
    <x v="7"/>
    <n v="1"/>
    <m/>
    <n v="8"/>
    <x v="0"/>
    <n v="4"/>
    <x v="0"/>
    <m/>
    <m/>
    <n v="25"/>
    <x v="1"/>
    <s v="26/04/2022"/>
    <d v="2022-04-26T00:00:00"/>
    <s v="2022010-15"/>
    <x v="3"/>
  </r>
  <r>
    <x v="196"/>
    <n v="2022010"/>
    <x v="10"/>
    <s v="Chickpea"/>
    <m/>
    <x v="8"/>
    <s v="Y"/>
    <x v="2"/>
    <n v="16"/>
    <n v="16"/>
    <x v="1"/>
    <m/>
    <m/>
    <m/>
    <n v="4"/>
    <m/>
    <m/>
    <m/>
    <m/>
    <m/>
    <n v="11"/>
    <n v="3"/>
    <x v="7"/>
    <n v="2"/>
    <m/>
    <n v="25"/>
    <x v="0"/>
    <n v="1"/>
    <x v="0"/>
    <m/>
    <m/>
    <n v="25"/>
    <x v="1"/>
    <s v="26/04/2022"/>
    <d v="2022-04-26T00:00:00"/>
    <s v="2022010-16"/>
    <x v="3"/>
  </r>
  <r>
    <x v="202"/>
    <n v="2022010"/>
    <x v="10"/>
    <s v="Chickpea"/>
    <m/>
    <x v="8"/>
    <s v="Y"/>
    <x v="2"/>
    <n v="17"/>
    <n v="17"/>
    <x v="2"/>
    <m/>
    <m/>
    <m/>
    <n v="5"/>
    <m/>
    <m/>
    <m/>
    <m/>
    <m/>
    <n v="13"/>
    <n v="1"/>
    <x v="8"/>
    <n v="1"/>
    <m/>
    <n v="9"/>
    <x v="0"/>
    <n v="1"/>
    <x v="0"/>
    <m/>
    <m/>
    <n v="25"/>
    <x v="2"/>
    <s v="27/05/2022"/>
    <d v="2022-05-27T00:00:00"/>
    <s v="2022010-17"/>
    <x v="3"/>
  </r>
  <r>
    <x v="200"/>
    <n v="2022010"/>
    <x v="10"/>
    <s v="Chickpea"/>
    <m/>
    <x v="3"/>
    <s v="N"/>
    <x v="2"/>
    <n v="18"/>
    <n v="18"/>
    <x v="2"/>
    <m/>
    <m/>
    <m/>
    <n v="5"/>
    <m/>
    <m/>
    <m/>
    <m/>
    <m/>
    <n v="13"/>
    <n v="3"/>
    <x v="8"/>
    <n v="2"/>
    <m/>
    <n v="24"/>
    <x v="0"/>
    <n v="3"/>
    <x v="0"/>
    <m/>
    <m/>
    <n v="25"/>
    <x v="2"/>
    <s v="27/05/2022"/>
    <d v="2022-05-27T00:00:00"/>
    <s v="2022010-18"/>
    <x v="3"/>
  </r>
  <r>
    <x v="203"/>
    <n v="2022010"/>
    <x v="10"/>
    <s v="Chickpea"/>
    <m/>
    <x v="9"/>
    <s v="N"/>
    <x v="2"/>
    <n v="19"/>
    <n v="19"/>
    <x v="2"/>
    <m/>
    <m/>
    <m/>
    <n v="5"/>
    <m/>
    <m/>
    <m/>
    <m/>
    <m/>
    <n v="14"/>
    <n v="1"/>
    <x v="9"/>
    <n v="1"/>
    <m/>
    <n v="10"/>
    <x v="0"/>
    <n v="2"/>
    <x v="0"/>
    <m/>
    <m/>
    <n v="25"/>
    <x v="2"/>
    <s v="27/05/2022"/>
    <d v="2022-05-27T00:00:00"/>
    <s v="2022010-19"/>
    <x v="3"/>
  </r>
  <r>
    <x v="201"/>
    <n v="2022010"/>
    <x v="10"/>
    <s v="Chickpea"/>
    <m/>
    <x v="4"/>
    <s v="Y"/>
    <x v="2"/>
    <n v="20"/>
    <n v="20"/>
    <x v="2"/>
    <m/>
    <m/>
    <m/>
    <n v="5"/>
    <m/>
    <m/>
    <m/>
    <m/>
    <m/>
    <n v="14"/>
    <n v="3"/>
    <x v="9"/>
    <n v="2"/>
    <m/>
    <n v="23"/>
    <x v="0"/>
    <n v="4"/>
    <x v="0"/>
    <m/>
    <m/>
    <n v="25"/>
    <x v="2"/>
    <s v="27/05/2022"/>
    <d v="2022-05-27T00:00:00"/>
    <s v="2022010-20"/>
    <x v="3"/>
  </r>
  <r>
    <x v="199"/>
    <n v="2022010"/>
    <x v="10"/>
    <s v="Chickpea"/>
    <m/>
    <x v="3"/>
    <s v="N"/>
    <x v="2"/>
    <n v="21"/>
    <n v="21"/>
    <x v="2"/>
    <m/>
    <m/>
    <m/>
    <n v="6"/>
    <m/>
    <m/>
    <m/>
    <m/>
    <m/>
    <n v="16"/>
    <n v="1"/>
    <x v="11"/>
    <n v="1"/>
    <m/>
    <n v="11"/>
    <x v="0"/>
    <n v="3"/>
    <x v="0"/>
    <m/>
    <m/>
    <n v="25"/>
    <x v="1"/>
    <s v="26/04/2022"/>
    <d v="2022-04-26T00:00:00"/>
    <s v="2022010-21"/>
    <x v="3"/>
  </r>
  <r>
    <x v="198"/>
    <n v="2022010"/>
    <x v="10"/>
    <s v="Chickpea"/>
    <m/>
    <x v="4"/>
    <s v="Y"/>
    <x v="2"/>
    <n v="22"/>
    <n v="22"/>
    <x v="2"/>
    <m/>
    <m/>
    <m/>
    <n v="6"/>
    <m/>
    <m/>
    <m/>
    <m/>
    <m/>
    <n v="16"/>
    <n v="3"/>
    <x v="11"/>
    <n v="2"/>
    <m/>
    <n v="22"/>
    <x v="0"/>
    <n v="4"/>
    <x v="0"/>
    <m/>
    <m/>
    <n v="25"/>
    <x v="1"/>
    <s v="26/04/2022"/>
    <d v="2022-04-26T00:00:00"/>
    <s v="2022010-22"/>
    <x v="3"/>
  </r>
  <r>
    <x v="197"/>
    <n v="2022010"/>
    <x v="10"/>
    <s v="Chickpea"/>
    <m/>
    <x v="9"/>
    <s v="N"/>
    <x v="2"/>
    <n v="23"/>
    <n v="23"/>
    <x v="2"/>
    <m/>
    <m/>
    <m/>
    <n v="6"/>
    <m/>
    <m/>
    <m/>
    <m/>
    <m/>
    <n v="17"/>
    <n v="1"/>
    <x v="12"/>
    <n v="1"/>
    <m/>
    <n v="12"/>
    <x v="0"/>
    <n v="2"/>
    <x v="0"/>
    <m/>
    <m/>
    <n v="25"/>
    <x v="1"/>
    <s v="26/04/2022"/>
    <d v="2022-04-26T00:00:00"/>
    <s v="2022010-23"/>
    <x v="3"/>
  </r>
  <r>
    <x v="196"/>
    <n v="2022010"/>
    <x v="10"/>
    <s v="Chickpea"/>
    <m/>
    <x v="8"/>
    <s v="Y"/>
    <x v="2"/>
    <n v="24"/>
    <n v="24"/>
    <x v="2"/>
    <m/>
    <m/>
    <m/>
    <n v="6"/>
    <m/>
    <m/>
    <m/>
    <m/>
    <m/>
    <n v="17"/>
    <n v="3"/>
    <x v="12"/>
    <n v="2"/>
    <m/>
    <n v="21"/>
    <x v="0"/>
    <n v="1"/>
    <x v="0"/>
    <m/>
    <m/>
    <n v="25"/>
    <x v="1"/>
    <s v="26/04/2022"/>
    <d v="2022-04-26T00:00:00"/>
    <s v="2022010-24"/>
    <x v="3"/>
  </r>
  <r>
    <x v="197"/>
    <n v="2022010"/>
    <x v="10"/>
    <s v="Chickpea"/>
    <m/>
    <x v="9"/>
    <s v="N"/>
    <x v="2"/>
    <n v="25"/>
    <n v="25"/>
    <x v="3"/>
    <m/>
    <m/>
    <m/>
    <n v="7"/>
    <m/>
    <m/>
    <m/>
    <m/>
    <m/>
    <n v="18"/>
    <n v="1"/>
    <x v="13"/>
    <n v="1"/>
    <m/>
    <n v="13"/>
    <x v="0"/>
    <n v="2"/>
    <x v="0"/>
    <m/>
    <m/>
    <n v="25"/>
    <x v="1"/>
    <s v="26/04/2022"/>
    <d v="2022-04-26T00:00:00"/>
    <s v="2022010-25"/>
    <x v="3"/>
  </r>
  <r>
    <x v="199"/>
    <n v="2022010"/>
    <x v="10"/>
    <s v="Chickpea"/>
    <m/>
    <x v="3"/>
    <s v="N"/>
    <x v="2"/>
    <n v="26"/>
    <n v="26"/>
    <x v="3"/>
    <m/>
    <m/>
    <m/>
    <n v="7"/>
    <m/>
    <m/>
    <m/>
    <m/>
    <m/>
    <n v="18"/>
    <n v="3"/>
    <x v="13"/>
    <n v="2"/>
    <m/>
    <n v="20"/>
    <x v="0"/>
    <n v="3"/>
    <x v="0"/>
    <m/>
    <m/>
    <n v="25"/>
    <x v="1"/>
    <s v="26/04/2022"/>
    <d v="2022-04-26T00:00:00"/>
    <s v="2022010-26"/>
    <x v="3"/>
  </r>
  <r>
    <x v="198"/>
    <n v="2022010"/>
    <x v="10"/>
    <s v="Chickpea"/>
    <m/>
    <x v="4"/>
    <s v="Y"/>
    <x v="2"/>
    <n v="27"/>
    <n v="27"/>
    <x v="3"/>
    <m/>
    <m/>
    <m/>
    <n v="7"/>
    <m/>
    <m/>
    <m/>
    <m/>
    <m/>
    <n v="19"/>
    <n v="1"/>
    <x v="14"/>
    <n v="1"/>
    <m/>
    <n v="14"/>
    <x v="0"/>
    <n v="4"/>
    <x v="0"/>
    <m/>
    <m/>
    <n v="25"/>
    <x v="1"/>
    <s v="26/04/2022"/>
    <d v="2022-04-26T00:00:00"/>
    <s v="2022010-27"/>
    <x v="3"/>
  </r>
  <r>
    <x v="196"/>
    <n v="2022010"/>
    <x v="10"/>
    <s v="Chickpea"/>
    <m/>
    <x v="8"/>
    <s v="Y"/>
    <x v="2"/>
    <n v="28"/>
    <n v="28"/>
    <x v="3"/>
    <m/>
    <m/>
    <m/>
    <n v="7"/>
    <m/>
    <m/>
    <m/>
    <m/>
    <m/>
    <n v="19"/>
    <n v="3"/>
    <x v="14"/>
    <n v="2"/>
    <m/>
    <n v="19"/>
    <x v="0"/>
    <n v="1"/>
    <x v="0"/>
    <m/>
    <m/>
    <n v="25"/>
    <x v="1"/>
    <s v="26/04/2022"/>
    <d v="2022-04-26T00:00:00"/>
    <s v="2022010-28"/>
    <x v="3"/>
  </r>
  <r>
    <x v="200"/>
    <n v="2022010"/>
    <x v="10"/>
    <s v="Chickpea"/>
    <m/>
    <x v="3"/>
    <s v="N"/>
    <x v="2"/>
    <n v="29"/>
    <n v="29"/>
    <x v="3"/>
    <m/>
    <m/>
    <m/>
    <n v="8"/>
    <m/>
    <m/>
    <m/>
    <m/>
    <m/>
    <n v="21"/>
    <n v="1"/>
    <x v="15"/>
    <n v="1"/>
    <m/>
    <n v="15"/>
    <x v="0"/>
    <n v="3"/>
    <x v="0"/>
    <m/>
    <m/>
    <n v="25"/>
    <x v="2"/>
    <s v="27/05/2022"/>
    <d v="2022-05-27T00:00:00"/>
    <s v="2022010-29"/>
    <x v="3"/>
  </r>
  <r>
    <x v="202"/>
    <n v="2022010"/>
    <x v="10"/>
    <s v="Chickpea"/>
    <m/>
    <x v="8"/>
    <s v="Y"/>
    <x v="2"/>
    <n v="30"/>
    <n v="30"/>
    <x v="3"/>
    <m/>
    <m/>
    <m/>
    <n v="8"/>
    <m/>
    <m/>
    <m/>
    <m/>
    <m/>
    <n v="21"/>
    <n v="3"/>
    <x v="15"/>
    <n v="2"/>
    <m/>
    <n v="18"/>
    <x v="0"/>
    <n v="1"/>
    <x v="0"/>
    <m/>
    <m/>
    <n v="25"/>
    <x v="2"/>
    <s v="27/05/2022"/>
    <d v="2022-05-27T00:00:00"/>
    <s v="2022010-30"/>
    <x v="3"/>
  </r>
  <r>
    <x v="201"/>
    <n v="2022010"/>
    <x v="10"/>
    <s v="Chickpea"/>
    <m/>
    <x v="4"/>
    <s v="Y"/>
    <x v="2"/>
    <n v="31"/>
    <n v="31"/>
    <x v="3"/>
    <m/>
    <m/>
    <m/>
    <n v="8"/>
    <m/>
    <m/>
    <m/>
    <m/>
    <m/>
    <n v="22"/>
    <n v="1"/>
    <x v="16"/>
    <n v="1"/>
    <m/>
    <n v="16"/>
    <x v="0"/>
    <n v="4"/>
    <x v="0"/>
    <m/>
    <m/>
    <n v="25"/>
    <x v="2"/>
    <s v="27/05/2022"/>
    <d v="2022-05-27T00:00:00"/>
    <s v="2022010-31"/>
    <x v="3"/>
  </r>
  <r>
    <x v="203"/>
    <n v="2022010"/>
    <x v="10"/>
    <s v="Chickpea"/>
    <m/>
    <x v="9"/>
    <s v="N"/>
    <x v="2"/>
    <n v="32"/>
    <n v="32"/>
    <x v="3"/>
    <m/>
    <m/>
    <m/>
    <n v="8"/>
    <m/>
    <m/>
    <m/>
    <m/>
    <m/>
    <n v="22"/>
    <n v="3"/>
    <x v="16"/>
    <n v="2"/>
    <m/>
    <n v="17"/>
    <x v="0"/>
    <n v="2"/>
    <x v="0"/>
    <m/>
    <m/>
    <n v="25"/>
    <x v="2"/>
    <s v="27/05/2022"/>
    <d v="2022-05-27T00:00:00"/>
    <s v="2022010-32"/>
    <x v="3"/>
  </r>
  <r>
    <x v="201"/>
    <n v="2022010"/>
    <x v="10"/>
    <s v="Chickpea"/>
    <m/>
    <x v="4"/>
    <s v="Y"/>
    <x v="2"/>
    <n v="33"/>
    <n v="33"/>
    <x v="4"/>
    <m/>
    <m/>
    <m/>
    <n v="9"/>
    <m/>
    <m/>
    <m/>
    <m/>
    <m/>
    <n v="13"/>
    <n v="8"/>
    <x v="8"/>
    <n v="3"/>
    <m/>
    <n v="33"/>
    <x v="0"/>
    <n v="4"/>
    <x v="0"/>
    <m/>
    <m/>
    <n v="25"/>
    <x v="2"/>
    <s v="27/05/2022"/>
    <d v="2022-05-27T00:00:00"/>
    <s v="2022010-33"/>
    <x v="3"/>
  </r>
  <r>
    <x v="200"/>
    <n v="2022010"/>
    <x v="10"/>
    <s v="Chickpea"/>
    <m/>
    <x v="3"/>
    <s v="N"/>
    <x v="2"/>
    <n v="34"/>
    <n v="34"/>
    <x v="4"/>
    <m/>
    <m/>
    <m/>
    <n v="9"/>
    <m/>
    <m/>
    <m/>
    <m/>
    <m/>
    <n v="14"/>
    <n v="8"/>
    <x v="9"/>
    <n v="3"/>
    <m/>
    <n v="34"/>
    <x v="0"/>
    <n v="3"/>
    <x v="0"/>
    <m/>
    <m/>
    <n v="25"/>
    <x v="2"/>
    <s v="27/05/2022"/>
    <d v="2022-05-27T00:00:00"/>
    <s v="2022010-34"/>
    <x v="3"/>
  </r>
  <r>
    <x v="202"/>
    <n v="2022010"/>
    <x v="10"/>
    <s v="Chickpea"/>
    <m/>
    <x v="8"/>
    <s v="Y"/>
    <x v="2"/>
    <n v="35"/>
    <n v="35"/>
    <x v="4"/>
    <m/>
    <m/>
    <m/>
    <n v="9"/>
    <m/>
    <m/>
    <m/>
    <m/>
    <m/>
    <n v="15"/>
    <n v="8"/>
    <x v="10"/>
    <n v="3"/>
    <m/>
    <n v="35"/>
    <x v="0"/>
    <n v="1"/>
    <x v="0"/>
    <m/>
    <m/>
    <n v="25"/>
    <x v="2"/>
    <s v="27/05/2022"/>
    <d v="2022-05-27T00:00:00"/>
    <s v="2022010-35"/>
    <x v="3"/>
  </r>
  <r>
    <x v="203"/>
    <n v="2022010"/>
    <x v="10"/>
    <s v="Chickpea"/>
    <m/>
    <x v="9"/>
    <s v="N"/>
    <x v="2"/>
    <n v="36"/>
    <n v="36"/>
    <x v="4"/>
    <m/>
    <m/>
    <m/>
    <n v="9"/>
    <m/>
    <m/>
    <m/>
    <m/>
    <m/>
    <n v="16"/>
    <n v="8"/>
    <x v="11"/>
    <n v="3"/>
    <m/>
    <n v="36"/>
    <x v="0"/>
    <n v="2"/>
    <x v="0"/>
    <m/>
    <m/>
    <n v="25"/>
    <x v="2"/>
    <s v="27/05/2022"/>
    <d v="2022-05-27T00:00:00"/>
    <s v="2022010-36"/>
    <x v="3"/>
  </r>
  <r>
    <x v="196"/>
    <n v="2022010"/>
    <x v="10"/>
    <s v="Chickpea"/>
    <m/>
    <x v="8"/>
    <s v="Y"/>
    <x v="2"/>
    <n v="37"/>
    <n v="37"/>
    <x v="4"/>
    <m/>
    <m/>
    <m/>
    <n v="10"/>
    <m/>
    <m/>
    <m/>
    <m/>
    <m/>
    <n v="18"/>
    <n v="8"/>
    <x v="13"/>
    <n v="3"/>
    <m/>
    <n v="37"/>
    <x v="0"/>
    <n v="1"/>
    <x v="0"/>
    <m/>
    <m/>
    <n v="25"/>
    <x v="1"/>
    <s v="26/04/2022"/>
    <d v="2022-04-26T00:00:00"/>
    <s v="2022010-37"/>
    <x v="3"/>
  </r>
  <r>
    <x v="199"/>
    <n v="2022010"/>
    <x v="10"/>
    <s v="Chickpea"/>
    <m/>
    <x v="3"/>
    <s v="N"/>
    <x v="2"/>
    <n v="38"/>
    <n v="38"/>
    <x v="4"/>
    <m/>
    <m/>
    <m/>
    <n v="10"/>
    <m/>
    <m/>
    <m/>
    <m/>
    <m/>
    <n v="19"/>
    <n v="8"/>
    <x v="14"/>
    <n v="3"/>
    <m/>
    <n v="38"/>
    <x v="0"/>
    <n v="3"/>
    <x v="0"/>
    <m/>
    <m/>
    <n v="25"/>
    <x v="1"/>
    <s v="26/04/2022"/>
    <d v="2022-04-26T00:00:00"/>
    <s v="2022010-38"/>
    <x v="3"/>
  </r>
  <r>
    <x v="197"/>
    <n v="2022010"/>
    <x v="10"/>
    <s v="Chickpea"/>
    <m/>
    <x v="9"/>
    <s v="N"/>
    <x v="2"/>
    <n v="39"/>
    <n v="39"/>
    <x v="4"/>
    <m/>
    <m/>
    <m/>
    <n v="10"/>
    <m/>
    <m/>
    <m/>
    <m/>
    <m/>
    <n v="20"/>
    <n v="8"/>
    <x v="17"/>
    <n v="3"/>
    <m/>
    <n v="39"/>
    <x v="0"/>
    <n v="2"/>
    <x v="0"/>
    <m/>
    <m/>
    <n v="25"/>
    <x v="1"/>
    <s v="26/04/2022"/>
    <d v="2022-04-26T00:00:00"/>
    <s v="2022010-39"/>
    <x v="3"/>
  </r>
  <r>
    <x v="198"/>
    <n v="2022010"/>
    <x v="10"/>
    <s v="Chickpea"/>
    <m/>
    <x v="4"/>
    <s v="Y"/>
    <x v="2"/>
    <n v="40"/>
    <n v="40"/>
    <x v="4"/>
    <m/>
    <m/>
    <m/>
    <n v="10"/>
    <m/>
    <m/>
    <m/>
    <m/>
    <m/>
    <n v="21"/>
    <n v="8"/>
    <x v="15"/>
    <n v="3"/>
    <m/>
    <n v="40"/>
    <x v="0"/>
    <n v="4"/>
    <x v="0"/>
    <m/>
    <m/>
    <n v="25"/>
    <x v="1"/>
    <s v="26/04/2022"/>
    <d v="2022-04-26T00:00:00"/>
    <s v="2022010-40"/>
    <x v="3"/>
  </r>
  <r>
    <x v="204"/>
    <n v="2022011"/>
    <x v="11"/>
    <s v="Chickpea"/>
    <m/>
    <x v="3"/>
    <s v="N"/>
    <x v="2"/>
    <n v="1"/>
    <n v="1"/>
    <x v="0"/>
    <m/>
    <m/>
    <m/>
    <n v="1"/>
    <m/>
    <m/>
    <m/>
    <m/>
    <m/>
    <n v="1"/>
    <n v="1"/>
    <x v="0"/>
    <n v="1"/>
    <m/>
    <n v="1"/>
    <x v="0"/>
    <n v="3"/>
    <x v="0"/>
    <m/>
    <m/>
    <n v="28"/>
    <x v="1"/>
    <s v="2/05/2022"/>
    <d v="2022-05-02T00:00:00"/>
    <s v="2022011-1"/>
    <x v="3"/>
  </r>
  <r>
    <x v="205"/>
    <n v="2022011"/>
    <x v="11"/>
    <s v="Chickpea"/>
    <m/>
    <x v="9"/>
    <s v="N"/>
    <x v="2"/>
    <n v="2"/>
    <n v="2"/>
    <x v="0"/>
    <m/>
    <m/>
    <m/>
    <n v="1"/>
    <m/>
    <m/>
    <m/>
    <m/>
    <m/>
    <n v="2"/>
    <n v="1"/>
    <x v="1"/>
    <n v="1"/>
    <m/>
    <n v="2"/>
    <x v="0"/>
    <n v="2"/>
    <x v="0"/>
    <m/>
    <m/>
    <n v="28"/>
    <x v="1"/>
    <s v="2/05/2022"/>
    <d v="2022-05-02T00:00:00"/>
    <s v="2022011-2"/>
    <x v="3"/>
  </r>
  <r>
    <x v="206"/>
    <n v="2022011"/>
    <x v="11"/>
    <s v="Chickpea"/>
    <m/>
    <x v="8"/>
    <s v="Y"/>
    <x v="2"/>
    <n v="3"/>
    <n v="3"/>
    <x v="0"/>
    <m/>
    <m/>
    <m/>
    <n v="1"/>
    <m/>
    <m/>
    <m/>
    <m/>
    <m/>
    <n v="3"/>
    <n v="1"/>
    <x v="2"/>
    <n v="1"/>
    <m/>
    <n v="3"/>
    <x v="0"/>
    <n v="1"/>
    <x v="0"/>
    <m/>
    <m/>
    <n v="28"/>
    <x v="1"/>
    <s v="2/05/2022"/>
    <d v="2022-05-02T00:00:00"/>
    <s v="2022011-3"/>
    <x v="3"/>
  </r>
  <r>
    <x v="207"/>
    <n v="2022011"/>
    <x v="11"/>
    <s v="Chickpea"/>
    <m/>
    <x v="6"/>
    <s v="N"/>
    <x v="2"/>
    <n v="4"/>
    <n v="4"/>
    <x v="0"/>
    <m/>
    <m/>
    <m/>
    <n v="1"/>
    <m/>
    <m/>
    <m/>
    <m/>
    <m/>
    <n v="1"/>
    <n v="2"/>
    <x v="0"/>
    <n v="2"/>
    <m/>
    <n v="6"/>
    <x v="0"/>
    <n v="5"/>
    <x v="0"/>
    <m/>
    <m/>
    <n v="28"/>
    <x v="1"/>
    <s v="2/05/2022"/>
    <d v="2022-05-02T00:00:00"/>
    <s v="2022011-4"/>
    <x v="3"/>
  </r>
  <r>
    <x v="208"/>
    <n v="2022011"/>
    <x v="11"/>
    <s v="Chickpea"/>
    <m/>
    <x v="4"/>
    <s v="Y"/>
    <x v="2"/>
    <n v="5"/>
    <n v="5"/>
    <x v="0"/>
    <m/>
    <m/>
    <m/>
    <n v="1"/>
    <m/>
    <m/>
    <m/>
    <m/>
    <m/>
    <n v="2"/>
    <n v="2"/>
    <x v="1"/>
    <n v="2"/>
    <m/>
    <n v="5"/>
    <x v="0"/>
    <n v="4"/>
    <x v="0"/>
    <m/>
    <m/>
    <n v="28"/>
    <x v="1"/>
    <s v="2/05/2022"/>
    <d v="2022-05-02T00:00:00"/>
    <s v="2022011-5"/>
    <x v="3"/>
  </r>
  <r>
    <x v="209"/>
    <n v="2022011"/>
    <x v="11"/>
    <s v="Chickpea"/>
    <m/>
    <x v="19"/>
    <s v="N"/>
    <x v="2"/>
    <n v="6"/>
    <n v="6"/>
    <x v="0"/>
    <m/>
    <m/>
    <m/>
    <n v="1"/>
    <m/>
    <m/>
    <m/>
    <m/>
    <m/>
    <n v="3"/>
    <n v="2"/>
    <x v="2"/>
    <n v="2"/>
    <m/>
    <n v="4"/>
    <x v="0"/>
    <n v="6"/>
    <x v="0"/>
    <m/>
    <m/>
    <n v="28"/>
    <x v="1"/>
    <s v="2/05/2022"/>
    <d v="2022-05-02T00:00:00"/>
    <s v="2022011-6"/>
    <x v="3"/>
  </r>
  <r>
    <x v="210"/>
    <n v="2022011"/>
    <x v="11"/>
    <s v="Chickpea"/>
    <m/>
    <x v="19"/>
    <s v="N"/>
    <x v="2"/>
    <n v="7"/>
    <n v="7"/>
    <x v="0"/>
    <m/>
    <m/>
    <m/>
    <n v="2"/>
    <m/>
    <m/>
    <m/>
    <m/>
    <m/>
    <n v="1"/>
    <n v="4"/>
    <x v="0"/>
    <n v="3"/>
    <m/>
    <n v="7"/>
    <x v="0"/>
    <n v="6"/>
    <x v="0"/>
    <m/>
    <m/>
    <n v="28"/>
    <x v="2"/>
    <s v="1/06/2022"/>
    <d v="2022-06-01T00:00:00"/>
    <s v="2022011-7"/>
    <x v="3"/>
  </r>
  <r>
    <x v="211"/>
    <n v="2022011"/>
    <x v="11"/>
    <s v="Chickpea"/>
    <m/>
    <x v="8"/>
    <s v="Y"/>
    <x v="2"/>
    <n v="8"/>
    <n v="8"/>
    <x v="0"/>
    <m/>
    <m/>
    <m/>
    <n v="2"/>
    <m/>
    <m/>
    <m/>
    <m/>
    <m/>
    <n v="2"/>
    <n v="4"/>
    <x v="1"/>
    <n v="3"/>
    <m/>
    <n v="8"/>
    <x v="0"/>
    <n v="1"/>
    <x v="0"/>
    <m/>
    <m/>
    <n v="28"/>
    <x v="2"/>
    <s v="1/06/2022"/>
    <d v="2022-06-01T00:00:00"/>
    <s v="2022011-8"/>
    <x v="3"/>
  </r>
  <r>
    <x v="212"/>
    <n v="2022011"/>
    <x v="11"/>
    <s v="Chickpea"/>
    <m/>
    <x v="3"/>
    <s v="N"/>
    <x v="2"/>
    <n v="9"/>
    <n v="9"/>
    <x v="0"/>
    <m/>
    <m/>
    <m/>
    <n v="2"/>
    <m/>
    <m/>
    <m/>
    <m/>
    <m/>
    <n v="3"/>
    <n v="4"/>
    <x v="2"/>
    <n v="3"/>
    <m/>
    <n v="9"/>
    <x v="0"/>
    <n v="3"/>
    <x v="0"/>
    <m/>
    <m/>
    <n v="28"/>
    <x v="2"/>
    <s v="1/06/2022"/>
    <d v="2022-06-01T00:00:00"/>
    <s v="2022011-9"/>
    <x v="3"/>
  </r>
  <r>
    <x v="213"/>
    <n v="2022011"/>
    <x v="11"/>
    <s v="Chickpea"/>
    <m/>
    <x v="9"/>
    <s v="N"/>
    <x v="2"/>
    <n v="10"/>
    <n v="10"/>
    <x v="0"/>
    <m/>
    <m/>
    <m/>
    <n v="2"/>
    <m/>
    <m/>
    <m/>
    <m/>
    <m/>
    <n v="1"/>
    <n v="5"/>
    <x v="0"/>
    <n v="4"/>
    <m/>
    <n v="12"/>
    <x v="0"/>
    <n v="2"/>
    <x v="0"/>
    <m/>
    <m/>
    <n v="28"/>
    <x v="2"/>
    <s v="1/06/2022"/>
    <d v="2022-06-01T00:00:00"/>
    <s v="2022011-10"/>
    <x v="3"/>
  </r>
  <r>
    <x v="214"/>
    <n v="2022011"/>
    <x v="11"/>
    <s v="Chickpea"/>
    <m/>
    <x v="6"/>
    <s v="N"/>
    <x v="2"/>
    <n v="11"/>
    <n v="11"/>
    <x v="0"/>
    <m/>
    <m/>
    <m/>
    <n v="2"/>
    <m/>
    <m/>
    <m/>
    <m/>
    <m/>
    <n v="2"/>
    <n v="5"/>
    <x v="1"/>
    <n v="4"/>
    <m/>
    <n v="11"/>
    <x v="0"/>
    <n v="5"/>
    <x v="0"/>
    <m/>
    <m/>
    <n v="28"/>
    <x v="2"/>
    <s v="1/06/2022"/>
    <d v="2022-06-01T00:00:00"/>
    <s v="2022011-11"/>
    <x v="3"/>
  </r>
  <r>
    <x v="215"/>
    <n v="2022011"/>
    <x v="11"/>
    <s v="Chickpea"/>
    <m/>
    <x v="4"/>
    <s v="Y"/>
    <x v="2"/>
    <n v="12"/>
    <n v="12"/>
    <x v="0"/>
    <m/>
    <m/>
    <m/>
    <n v="2"/>
    <m/>
    <m/>
    <m/>
    <m/>
    <m/>
    <n v="3"/>
    <n v="5"/>
    <x v="2"/>
    <n v="4"/>
    <m/>
    <n v="10"/>
    <x v="0"/>
    <n v="4"/>
    <x v="0"/>
    <m/>
    <m/>
    <n v="28"/>
    <x v="2"/>
    <s v="1/06/2022"/>
    <d v="2022-06-01T00:00:00"/>
    <s v="2022011-12"/>
    <x v="3"/>
  </r>
  <r>
    <x v="211"/>
    <n v="2022011"/>
    <x v="11"/>
    <s v="Chickpea"/>
    <m/>
    <x v="8"/>
    <s v="Y"/>
    <x v="2"/>
    <n v="13"/>
    <n v="13"/>
    <x v="1"/>
    <m/>
    <m/>
    <m/>
    <n v="3"/>
    <m/>
    <m/>
    <m/>
    <m/>
    <m/>
    <n v="1"/>
    <n v="7"/>
    <x v="0"/>
    <n v="5"/>
    <m/>
    <n v="13"/>
    <x v="0"/>
    <n v="1"/>
    <x v="0"/>
    <m/>
    <m/>
    <n v="28"/>
    <x v="2"/>
    <s v="1/06/2022"/>
    <d v="2022-06-01T00:00:00"/>
    <s v="2022011-13"/>
    <x v="3"/>
  </r>
  <r>
    <x v="215"/>
    <n v="2022011"/>
    <x v="11"/>
    <s v="Chickpea"/>
    <m/>
    <x v="4"/>
    <s v="Y"/>
    <x v="2"/>
    <n v="14"/>
    <n v="14"/>
    <x v="1"/>
    <m/>
    <m/>
    <m/>
    <n v="3"/>
    <m/>
    <m/>
    <m/>
    <m/>
    <m/>
    <n v="2"/>
    <n v="7"/>
    <x v="1"/>
    <n v="5"/>
    <m/>
    <n v="14"/>
    <x v="0"/>
    <n v="4"/>
    <x v="0"/>
    <m/>
    <m/>
    <n v="28"/>
    <x v="2"/>
    <s v="1/06/2022"/>
    <d v="2022-06-01T00:00:00"/>
    <s v="2022011-14"/>
    <x v="3"/>
  </r>
  <r>
    <x v="214"/>
    <n v="2022011"/>
    <x v="11"/>
    <s v="Chickpea"/>
    <m/>
    <x v="6"/>
    <s v="N"/>
    <x v="2"/>
    <n v="15"/>
    <n v="15"/>
    <x v="1"/>
    <m/>
    <m/>
    <m/>
    <n v="3"/>
    <m/>
    <m/>
    <m/>
    <m/>
    <m/>
    <n v="3"/>
    <n v="7"/>
    <x v="2"/>
    <n v="5"/>
    <m/>
    <n v="15"/>
    <x v="0"/>
    <n v="5"/>
    <x v="0"/>
    <m/>
    <m/>
    <n v="28"/>
    <x v="2"/>
    <s v="1/06/2022"/>
    <d v="2022-06-01T00:00:00"/>
    <s v="2022011-15"/>
    <x v="3"/>
  </r>
  <r>
    <x v="213"/>
    <n v="2022011"/>
    <x v="11"/>
    <s v="Chickpea"/>
    <m/>
    <x v="9"/>
    <s v="N"/>
    <x v="2"/>
    <n v="16"/>
    <n v="16"/>
    <x v="1"/>
    <m/>
    <m/>
    <m/>
    <n v="3"/>
    <m/>
    <m/>
    <m/>
    <m/>
    <m/>
    <n v="1"/>
    <n v="8"/>
    <x v="0"/>
    <n v="6"/>
    <m/>
    <n v="18"/>
    <x v="0"/>
    <n v="2"/>
    <x v="0"/>
    <m/>
    <m/>
    <n v="28"/>
    <x v="2"/>
    <s v="1/06/2022"/>
    <d v="2022-06-01T00:00:00"/>
    <s v="2022011-16"/>
    <x v="3"/>
  </r>
  <r>
    <x v="212"/>
    <n v="2022011"/>
    <x v="11"/>
    <s v="Chickpea"/>
    <m/>
    <x v="3"/>
    <s v="N"/>
    <x v="2"/>
    <n v="17"/>
    <n v="17"/>
    <x v="1"/>
    <m/>
    <m/>
    <m/>
    <n v="3"/>
    <m/>
    <m/>
    <m/>
    <m/>
    <m/>
    <n v="2"/>
    <n v="8"/>
    <x v="1"/>
    <n v="6"/>
    <m/>
    <n v="17"/>
    <x v="0"/>
    <n v="3"/>
    <x v="0"/>
    <m/>
    <m/>
    <n v="28"/>
    <x v="2"/>
    <s v="1/06/2022"/>
    <d v="2022-06-01T00:00:00"/>
    <s v="2022011-17"/>
    <x v="3"/>
  </r>
  <r>
    <x v="210"/>
    <n v="2022011"/>
    <x v="11"/>
    <s v="Chickpea"/>
    <m/>
    <x v="19"/>
    <s v="N"/>
    <x v="2"/>
    <n v="18"/>
    <n v="18"/>
    <x v="1"/>
    <m/>
    <m/>
    <m/>
    <n v="3"/>
    <m/>
    <m/>
    <m/>
    <m/>
    <m/>
    <n v="3"/>
    <n v="8"/>
    <x v="2"/>
    <n v="6"/>
    <m/>
    <n v="16"/>
    <x v="0"/>
    <n v="6"/>
    <x v="0"/>
    <m/>
    <m/>
    <n v="28"/>
    <x v="2"/>
    <s v="1/06/2022"/>
    <d v="2022-06-01T00:00:00"/>
    <s v="2022011-18"/>
    <x v="3"/>
  </r>
  <r>
    <x v="204"/>
    <n v="2022011"/>
    <x v="11"/>
    <s v="Chickpea"/>
    <m/>
    <x v="3"/>
    <s v="N"/>
    <x v="2"/>
    <n v="19"/>
    <n v="19"/>
    <x v="1"/>
    <m/>
    <m/>
    <m/>
    <n v="4"/>
    <m/>
    <m/>
    <m/>
    <m/>
    <m/>
    <n v="1"/>
    <n v="10"/>
    <x v="0"/>
    <n v="7"/>
    <m/>
    <n v="19"/>
    <x v="0"/>
    <n v="3"/>
    <x v="0"/>
    <m/>
    <m/>
    <n v="28"/>
    <x v="1"/>
    <s v="2/05/2022"/>
    <d v="2022-05-02T00:00:00"/>
    <s v="2022011-19"/>
    <x v="3"/>
  </r>
  <r>
    <x v="209"/>
    <n v="2022011"/>
    <x v="11"/>
    <s v="Chickpea"/>
    <m/>
    <x v="19"/>
    <s v="N"/>
    <x v="2"/>
    <n v="20"/>
    <n v="20"/>
    <x v="1"/>
    <m/>
    <m/>
    <m/>
    <n v="4"/>
    <m/>
    <m/>
    <m/>
    <m/>
    <m/>
    <n v="2"/>
    <n v="10"/>
    <x v="1"/>
    <n v="7"/>
    <m/>
    <n v="20"/>
    <x v="0"/>
    <n v="6"/>
    <x v="0"/>
    <m/>
    <m/>
    <n v="28"/>
    <x v="1"/>
    <s v="2/05/2022"/>
    <d v="2022-05-02T00:00:00"/>
    <s v="2022011-20"/>
    <x v="3"/>
  </r>
  <r>
    <x v="207"/>
    <n v="2022011"/>
    <x v="11"/>
    <s v="Chickpea"/>
    <m/>
    <x v="6"/>
    <s v="N"/>
    <x v="2"/>
    <n v="21"/>
    <n v="21"/>
    <x v="1"/>
    <m/>
    <m/>
    <m/>
    <n v="4"/>
    <m/>
    <m/>
    <m/>
    <m/>
    <m/>
    <n v="3"/>
    <n v="10"/>
    <x v="2"/>
    <n v="7"/>
    <m/>
    <n v="21"/>
    <x v="0"/>
    <n v="5"/>
    <x v="0"/>
    <m/>
    <m/>
    <n v="28"/>
    <x v="1"/>
    <s v="2/05/2022"/>
    <d v="2022-05-02T00:00:00"/>
    <s v="2022011-21"/>
    <x v="3"/>
  </r>
  <r>
    <x v="206"/>
    <n v="2022011"/>
    <x v="11"/>
    <s v="Chickpea"/>
    <m/>
    <x v="8"/>
    <s v="Y"/>
    <x v="2"/>
    <n v="22"/>
    <n v="22"/>
    <x v="1"/>
    <m/>
    <m/>
    <m/>
    <n v="4"/>
    <m/>
    <m/>
    <m/>
    <m/>
    <m/>
    <n v="1"/>
    <n v="11"/>
    <x v="0"/>
    <n v="8"/>
    <m/>
    <n v="24"/>
    <x v="0"/>
    <n v="1"/>
    <x v="0"/>
    <m/>
    <m/>
    <n v="28"/>
    <x v="1"/>
    <s v="2/05/2022"/>
    <d v="2022-05-02T00:00:00"/>
    <s v="2022011-22"/>
    <x v="3"/>
  </r>
  <r>
    <x v="205"/>
    <n v="2022011"/>
    <x v="11"/>
    <s v="Chickpea"/>
    <m/>
    <x v="9"/>
    <s v="N"/>
    <x v="2"/>
    <n v="23"/>
    <n v="23"/>
    <x v="1"/>
    <m/>
    <m/>
    <m/>
    <n v="4"/>
    <m/>
    <m/>
    <m/>
    <m/>
    <m/>
    <n v="2"/>
    <n v="11"/>
    <x v="1"/>
    <n v="8"/>
    <m/>
    <n v="23"/>
    <x v="0"/>
    <n v="2"/>
    <x v="0"/>
    <m/>
    <m/>
    <n v="28"/>
    <x v="1"/>
    <s v="2/05/2022"/>
    <d v="2022-05-02T00:00:00"/>
    <s v="2022011-23"/>
    <x v="3"/>
  </r>
  <r>
    <x v="208"/>
    <n v="2022011"/>
    <x v="11"/>
    <s v="Chickpea"/>
    <m/>
    <x v="4"/>
    <s v="Y"/>
    <x v="2"/>
    <n v="24"/>
    <n v="24"/>
    <x v="1"/>
    <m/>
    <m/>
    <m/>
    <n v="4"/>
    <m/>
    <m/>
    <m/>
    <m/>
    <m/>
    <n v="3"/>
    <n v="11"/>
    <x v="2"/>
    <n v="8"/>
    <m/>
    <n v="22"/>
    <x v="0"/>
    <n v="4"/>
    <x v="0"/>
    <m/>
    <m/>
    <n v="28"/>
    <x v="1"/>
    <s v="2/05/2022"/>
    <d v="2022-05-02T00:00:00"/>
    <s v="2022011-24"/>
    <x v="3"/>
  </r>
  <r>
    <x v="211"/>
    <n v="2022011"/>
    <x v="11"/>
    <s v="Chickpea"/>
    <m/>
    <x v="8"/>
    <s v="Y"/>
    <x v="2"/>
    <n v="25"/>
    <n v="25"/>
    <x v="2"/>
    <m/>
    <m/>
    <m/>
    <n v="5"/>
    <m/>
    <m/>
    <m/>
    <m/>
    <m/>
    <n v="1"/>
    <n v="13"/>
    <x v="0"/>
    <n v="9"/>
    <m/>
    <n v="25"/>
    <x v="0"/>
    <n v="1"/>
    <x v="0"/>
    <m/>
    <m/>
    <n v="28"/>
    <x v="2"/>
    <s v="1/06/2022"/>
    <d v="2022-06-01T00:00:00"/>
    <s v="2022011-25"/>
    <x v="3"/>
  </r>
  <r>
    <x v="210"/>
    <n v="2022011"/>
    <x v="11"/>
    <s v="Chickpea"/>
    <m/>
    <x v="19"/>
    <s v="N"/>
    <x v="2"/>
    <n v="26"/>
    <n v="26"/>
    <x v="2"/>
    <m/>
    <m/>
    <m/>
    <n v="5"/>
    <m/>
    <m/>
    <m/>
    <m/>
    <m/>
    <n v="2"/>
    <n v="13"/>
    <x v="1"/>
    <n v="9"/>
    <m/>
    <n v="26"/>
    <x v="0"/>
    <n v="6"/>
    <x v="0"/>
    <m/>
    <m/>
    <n v="28"/>
    <x v="2"/>
    <s v="1/06/2022"/>
    <d v="2022-06-01T00:00:00"/>
    <s v="2022011-26"/>
    <x v="3"/>
  </r>
  <r>
    <x v="213"/>
    <n v="2022011"/>
    <x v="11"/>
    <s v="Chickpea"/>
    <m/>
    <x v="9"/>
    <s v="N"/>
    <x v="2"/>
    <n v="27"/>
    <n v="27"/>
    <x v="2"/>
    <m/>
    <m/>
    <m/>
    <n v="5"/>
    <m/>
    <m/>
    <m/>
    <m/>
    <m/>
    <n v="3"/>
    <n v="13"/>
    <x v="2"/>
    <n v="9"/>
    <m/>
    <n v="27"/>
    <x v="0"/>
    <n v="2"/>
    <x v="0"/>
    <m/>
    <m/>
    <n v="28"/>
    <x v="2"/>
    <s v="1/06/2022"/>
    <d v="2022-06-01T00:00:00"/>
    <s v="2022011-27"/>
    <x v="3"/>
  </r>
  <r>
    <x v="215"/>
    <n v="2022011"/>
    <x v="11"/>
    <s v="Chickpea"/>
    <m/>
    <x v="4"/>
    <s v="Y"/>
    <x v="2"/>
    <n v="28"/>
    <n v="28"/>
    <x v="2"/>
    <m/>
    <m/>
    <m/>
    <n v="5"/>
    <m/>
    <m/>
    <m/>
    <m/>
    <m/>
    <n v="1"/>
    <n v="14"/>
    <x v="0"/>
    <n v="10"/>
    <m/>
    <n v="30"/>
    <x v="0"/>
    <n v="4"/>
    <x v="0"/>
    <m/>
    <m/>
    <n v="28"/>
    <x v="2"/>
    <s v="1/06/2022"/>
    <d v="2022-06-01T00:00:00"/>
    <s v="2022011-28"/>
    <x v="3"/>
  </r>
  <r>
    <x v="212"/>
    <n v="2022011"/>
    <x v="11"/>
    <s v="Chickpea"/>
    <m/>
    <x v="3"/>
    <s v="N"/>
    <x v="2"/>
    <n v="29"/>
    <n v="29"/>
    <x v="2"/>
    <m/>
    <m/>
    <m/>
    <n v="5"/>
    <m/>
    <m/>
    <m/>
    <m/>
    <m/>
    <n v="2"/>
    <n v="14"/>
    <x v="1"/>
    <n v="10"/>
    <m/>
    <n v="29"/>
    <x v="0"/>
    <n v="3"/>
    <x v="0"/>
    <m/>
    <m/>
    <n v="28"/>
    <x v="2"/>
    <s v="1/06/2022"/>
    <d v="2022-06-01T00:00:00"/>
    <s v="2022011-29"/>
    <x v="3"/>
  </r>
  <r>
    <x v="214"/>
    <n v="2022011"/>
    <x v="11"/>
    <s v="Chickpea"/>
    <m/>
    <x v="6"/>
    <s v="N"/>
    <x v="2"/>
    <n v="30"/>
    <n v="30"/>
    <x v="2"/>
    <m/>
    <m/>
    <m/>
    <n v="5"/>
    <m/>
    <m/>
    <m/>
    <m/>
    <m/>
    <n v="3"/>
    <n v="14"/>
    <x v="2"/>
    <n v="10"/>
    <m/>
    <n v="28"/>
    <x v="0"/>
    <n v="5"/>
    <x v="0"/>
    <m/>
    <m/>
    <n v="28"/>
    <x v="2"/>
    <s v="1/06/2022"/>
    <d v="2022-06-01T00:00:00"/>
    <s v="2022011-30"/>
    <x v="3"/>
  </r>
  <r>
    <x v="204"/>
    <n v="2022011"/>
    <x v="11"/>
    <s v="Chickpea"/>
    <m/>
    <x v="3"/>
    <s v="N"/>
    <x v="2"/>
    <n v="31"/>
    <n v="31"/>
    <x v="2"/>
    <m/>
    <m/>
    <m/>
    <n v="6"/>
    <m/>
    <m/>
    <m/>
    <m/>
    <m/>
    <n v="1"/>
    <n v="16"/>
    <x v="0"/>
    <n v="11"/>
    <m/>
    <n v="31"/>
    <x v="0"/>
    <n v="3"/>
    <x v="0"/>
    <m/>
    <m/>
    <n v="28"/>
    <x v="1"/>
    <s v="2/05/2022"/>
    <d v="2022-05-02T00:00:00"/>
    <s v="2022011-31"/>
    <x v="3"/>
  </r>
  <r>
    <x v="207"/>
    <n v="2022011"/>
    <x v="11"/>
    <s v="Chickpea"/>
    <m/>
    <x v="6"/>
    <s v="N"/>
    <x v="2"/>
    <n v="32"/>
    <n v="32"/>
    <x v="2"/>
    <m/>
    <m/>
    <m/>
    <n v="6"/>
    <m/>
    <m/>
    <m/>
    <m/>
    <m/>
    <n v="2"/>
    <n v="16"/>
    <x v="1"/>
    <n v="11"/>
    <m/>
    <n v="32"/>
    <x v="0"/>
    <n v="5"/>
    <x v="0"/>
    <m/>
    <m/>
    <n v="28"/>
    <x v="1"/>
    <s v="2/05/2022"/>
    <d v="2022-05-02T00:00:00"/>
    <s v="2022011-32"/>
    <x v="3"/>
  </r>
  <r>
    <x v="205"/>
    <n v="2022011"/>
    <x v="11"/>
    <s v="Chickpea"/>
    <m/>
    <x v="9"/>
    <s v="N"/>
    <x v="2"/>
    <n v="33"/>
    <n v="33"/>
    <x v="2"/>
    <m/>
    <m/>
    <m/>
    <n v="6"/>
    <m/>
    <m/>
    <m/>
    <m/>
    <m/>
    <n v="3"/>
    <n v="16"/>
    <x v="2"/>
    <n v="11"/>
    <m/>
    <n v="33"/>
    <x v="0"/>
    <n v="2"/>
    <x v="0"/>
    <m/>
    <m/>
    <n v="28"/>
    <x v="1"/>
    <s v="2/05/2022"/>
    <d v="2022-05-02T00:00:00"/>
    <s v="2022011-33"/>
    <x v="3"/>
  </r>
  <r>
    <x v="209"/>
    <n v="2022011"/>
    <x v="11"/>
    <s v="Chickpea"/>
    <m/>
    <x v="19"/>
    <s v="N"/>
    <x v="2"/>
    <n v="34"/>
    <n v="34"/>
    <x v="2"/>
    <m/>
    <m/>
    <m/>
    <n v="6"/>
    <m/>
    <m/>
    <m/>
    <m/>
    <m/>
    <n v="1"/>
    <n v="17"/>
    <x v="0"/>
    <n v="12"/>
    <m/>
    <n v="36"/>
    <x v="0"/>
    <n v="6"/>
    <x v="0"/>
    <m/>
    <m/>
    <n v="28"/>
    <x v="1"/>
    <s v="2/05/2022"/>
    <d v="2022-05-02T00:00:00"/>
    <s v="2022011-34"/>
    <x v="3"/>
  </r>
  <r>
    <x v="206"/>
    <n v="2022011"/>
    <x v="11"/>
    <s v="Chickpea"/>
    <m/>
    <x v="8"/>
    <s v="Y"/>
    <x v="2"/>
    <n v="35"/>
    <n v="35"/>
    <x v="2"/>
    <m/>
    <m/>
    <m/>
    <n v="6"/>
    <m/>
    <m/>
    <m/>
    <m/>
    <m/>
    <n v="2"/>
    <n v="17"/>
    <x v="1"/>
    <n v="12"/>
    <m/>
    <n v="35"/>
    <x v="0"/>
    <n v="1"/>
    <x v="0"/>
    <m/>
    <m/>
    <n v="28"/>
    <x v="1"/>
    <s v="2/05/2022"/>
    <d v="2022-05-02T00:00:00"/>
    <s v="2022011-35"/>
    <x v="3"/>
  </r>
  <r>
    <x v="208"/>
    <n v="2022011"/>
    <x v="11"/>
    <s v="Chickpea"/>
    <m/>
    <x v="4"/>
    <s v="Y"/>
    <x v="2"/>
    <n v="36"/>
    <n v="36"/>
    <x v="2"/>
    <m/>
    <m/>
    <m/>
    <n v="6"/>
    <m/>
    <m/>
    <m/>
    <m/>
    <m/>
    <n v="3"/>
    <n v="17"/>
    <x v="2"/>
    <n v="12"/>
    <m/>
    <n v="34"/>
    <x v="0"/>
    <n v="4"/>
    <x v="0"/>
    <m/>
    <m/>
    <n v="28"/>
    <x v="1"/>
    <s v="2/05/2022"/>
    <d v="2022-05-02T00:00:00"/>
    <s v="2022011-36"/>
    <x v="3"/>
  </r>
  <r>
    <x v="207"/>
    <n v="2022011"/>
    <x v="11"/>
    <s v="Chickpea"/>
    <m/>
    <x v="6"/>
    <s v="N"/>
    <x v="2"/>
    <n v="37"/>
    <n v="37"/>
    <x v="3"/>
    <m/>
    <m/>
    <m/>
    <n v="7"/>
    <m/>
    <m/>
    <m/>
    <m/>
    <m/>
    <n v="1"/>
    <n v="19"/>
    <x v="0"/>
    <n v="13"/>
    <m/>
    <n v="37"/>
    <x v="0"/>
    <n v="5"/>
    <x v="0"/>
    <m/>
    <m/>
    <n v="28"/>
    <x v="1"/>
    <s v="2/05/2022"/>
    <d v="2022-05-02T00:00:00"/>
    <s v="2022011-37"/>
    <x v="3"/>
  </r>
  <r>
    <x v="209"/>
    <n v="2022011"/>
    <x v="11"/>
    <s v="Chickpea"/>
    <m/>
    <x v="19"/>
    <s v="N"/>
    <x v="2"/>
    <n v="38"/>
    <n v="38"/>
    <x v="3"/>
    <m/>
    <m/>
    <m/>
    <n v="7"/>
    <m/>
    <m/>
    <m/>
    <m/>
    <m/>
    <n v="2"/>
    <n v="19"/>
    <x v="1"/>
    <n v="13"/>
    <m/>
    <n v="38"/>
    <x v="0"/>
    <n v="6"/>
    <x v="0"/>
    <m/>
    <m/>
    <n v="28"/>
    <x v="1"/>
    <s v="2/05/2022"/>
    <d v="2022-05-02T00:00:00"/>
    <s v="2022011-38"/>
    <x v="3"/>
  </r>
  <r>
    <x v="206"/>
    <n v="2022011"/>
    <x v="11"/>
    <s v="Chickpea"/>
    <m/>
    <x v="8"/>
    <s v="Y"/>
    <x v="2"/>
    <n v="39"/>
    <n v="39"/>
    <x v="3"/>
    <m/>
    <m/>
    <m/>
    <n v="7"/>
    <m/>
    <m/>
    <m/>
    <m/>
    <m/>
    <n v="3"/>
    <n v="19"/>
    <x v="2"/>
    <n v="13"/>
    <m/>
    <n v="39"/>
    <x v="0"/>
    <n v="1"/>
    <x v="0"/>
    <m/>
    <m/>
    <n v="28"/>
    <x v="1"/>
    <s v="2/05/2022"/>
    <d v="2022-05-02T00:00:00"/>
    <s v="2022011-39"/>
    <x v="3"/>
  </r>
  <r>
    <x v="205"/>
    <n v="2022011"/>
    <x v="11"/>
    <s v="Chickpea"/>
    <m/>
    <x v="9"/>
    <s v="N"/>
    <x v="2"/>
    <n v="40"/>
    <n v="40"/>
    <x v="3"/>
    <m/>
    <m/>
    <m/>
    <n v="7"/>
    <m/>
    <m/>
    <m/>
    <m/>
    <m/>
    <n v="1"/>
    <n v="20"/>
    <x v="0"/>
    <n v="14"/>
    <m/>
    <n v="42"/>
    <x v="0"/>
    <n v="2"/>
    <x v="0"/>
    <m/>
    <m/>
    <n v="28"/>
    <x v="1"/>
    <s v="2/05/2022"/>
    <d v="2022-05-02T00:00:00"/>
    <s v="2022011-40"/>
    <x v="3"/>
  </r>
  <r>
    <x v="208"/>
    <n v="2022011"/>
    <x v="11"/>
    <s v="Chickpea"/>
    <m/>
    <x v="4"/>
    <s v="Y"/>
    <x v="2"/>
    <n v="41"/>
    <n v="41"/>
    <x v="3"/>
    <m/>
    <m/>
    <m/>
    <n v="7"/>
    <m/>
    <m/>
    <m/>
    <m/>
    <m/>
    <n v="2"/>
    <n v="20"/>
    <x v="1"/>
    <n v="14"/>
    <m/>
    <n v="41"/>
    <x v="0"/>
    <n v="4"/>
    <x v="0"/>
    <m/>
    <m/>
    <n v="28"/>
    <x v="1"/>
    <s v="2/05/2022"/>
    <d v="2022-05-02T00:00:00"/>
    <s v="2022011-41"/>
    <x v="3"/>
  </r>
  <r>
    <x v="204"/>
    <n v="2022011"/>
    <x v="11"/>
    <s v="Chickpea"/>
    <m/>
    <x v="3"/>
    <s v="N"/>
    <x v="2"/>
    <n v="42"/>
    <n v="42"/>
    <x v="3"/>
    <m/>
    <m/>
    <m/>
    <n v="7"/>
    <m/>
    <m/>
    <m/>
    <m/>
    <m/>
    <n v="3"/>
    <n v="20"/>
    <x v="2"/>
    <n v="14"/>
    <m/>
    <n v="40"/>
    <x v="0"/>
    <n v="3"/>
    <x v="0"/>
    <m/>
    <m/>
    <n v="28"/>
    <x v="1"/>
    <s v="2/05/2022"/>
    <d v="2022-05-02T00:00:00"/>
    <s v="2022011-42"/>
    <x v="3"/>
  </r>
  <r>
    <x v="210"/>
    <n v="2022011"/>
    <x v="11"/>
    <s v="Chickpea"/>
    <m/>
    <x v="19"/>
    <s v="N"/>
    <x v="2"/>
    <n v="43"/>
    <n v="43"/>
    <x v="3"/>
    <m/>
    <m/>
    <m/>
    <n v="8"/>
    <m/>
    <m/>
    <m/>
    <m/>
    <m/>
    <n v="1"/>
    <n v="22"/>
    <x v="0"/>
    <n v="15"/>
    <m/>
    <n v="43"/>
    <x v="0"/>
    <n v="6"/>
    <x v="0"/>
    <m/>
    <m/>
    <n v="28"/>
    <x v="2"/>
    <s v="1/06/2022"/>
    <d v="2022-06-01T00:00:00"/>
    <s v="2022011-43"/>
    <x v="3"/>
  </r>
  <r>
    <x v="214"/>
    <n v="2022011"/>
    <x v="11"/>
    <s v="Chickpea"/>
    <m/>
    <x v="6"/>
    <s v="N"/>
    <x v="2"/>
    <n v="44"/>
    <n v="44"/>
    <x v="3"/>
    <m/>
    <m/>
    <m/>
    <n v="8"/>
    <m/>
    <m/>
    <m/>
    <m/>
    <m/>
    <n v="2"/>
    <n v="22"/>
    <x v="1"/>
    <n v="15"/>
    <m/>
    <n v="44"/>
    <x v="0"/>
    <n v="5"/>
    <x v="0"/>
    <m/>
    <m/>
    <n v="28"/>
    <x v="2"/>
    <s v="1/06/2022"/>
    <d v="2022-06-01T00:00:00"/>
    <s v="2022011-44"/>
    <x v="3"/>
  </r>
  <r>
    <x v="213"/>
    <n v="2022011"/>
    <x v="11"/>
    <s v="Chickpea"/>
    <m/>
    <x v="9"/>
    <s v="N"/>
    <x v="2"/>
    <n v="45"/>
    <n v="45"/>
    <x v="3"/>
    <m/>
    <m/>
    <m/>
    <n v="8"/>
    <m/>
    <m/>
    <m/>
    <m/>
    <m/>
    <n v="3"/>
    <n v="22"/>
    <x v="2"/>
    <n v="15"/>
    <m/>
    <n v="45"/>
    <x v="0"/>
    <n v="2"/>
    <x v="0"/>
    <m/>
    <m/>
    <n v="28"/>
    <x v="2"/>
    <s v="1/06/2022"/>
    <d v="2022-06-01T00:00:00"/>
    <s v="2022011-45"/>
    <x v="3"/>
  </r>
  <r>
    <x v="215"/>
    <n v="2022011"/>
    <x v="11"/>
    <s v="Chickpea"/>
    <m/>
    <x v="4"/>
    <s v="Y"/>
    <x v="2"/>
    <n v="46"/>
    <n v="46"/>
    <x v="3"/>
    <m/>
    <m/>
    <m/>
    <n v="8"/>
    <m/>
    <m/>
    <m/>
    <m/>
    <m/>
    <n v="1"/>
    <n v="23"/>
    <x v="0"/>
    <n v="16"/>
    <m/>
    <n v="48"/>
    <x v="0"/>
    <n v="4"/>
    <x v="0"/>
    <m/>
    <m/>
    <n v="28"/>
    <x v="2"/>
    <s v="1/06/2022"/>
    <d v="2022-06-01T00:00:00"/>
    <s v="2022011-46"/>
    <x v="3"/>
  </r>
  <r>
    <x v="212"/>
    <n v="2022011"/>
    <x v="11"/>
    <s v="Chickpea"/>
    <m/>
    <x v="3"/>
    <s v="N"/>
    <x v="2"/>
    <n v="47"/>
    <n v="47"/>
    <x v="3"/>
    <m/>
    <m/>
    <m/>
    <n v="8"/>
    <m/>
    <m/>
    <m/>
    <m/>
    <m/>
    <n v="2"/>
    <n v="23"/>
    <x v="1"/>
    <n v="16"/>
    <m/>
    <n v="47"/>
    <x v="0"/>
    <n v="3"/>
    <x v="0"/>
    <m/>
    <m/>
    <n v="28"/>
    <x v="2"/>
    <s v="1/06/2022"/>
    <d v="2022-06-01T00:00:00"/>
    <s v="2022011-47"/>
    <x v="3"/>
  </r>
  <r>
    <x v="211"/>
    <n v="2022011"/>
    <x v="11"/>
    <s v="Chickpea"/>
    <m/>
    <x v="8"/>
    <s v="Y"/>
    <x v="2"/>
    <n v="48"/>
    <n v="48"/>
    <x v="3"/>
    <m/>
    <m/>
    <m/>
    <n v="8"/>
    <m/>
    <m/>
    <m/>
    <m/>
    <m/>
    <n v="3"/>
    <n v="23"/>
    <x v="2"/>
    <n v="16"/>
    <m/>
    <n v="46"/>
    <x v="0"/>
    <n v="1"/>
    <x v="0"/>
    <m/>
    <m/>
    <n v="28"/>
    <x v="2"/>
    <s v="1/06/2022"/>
    <d v="2022-06-01T00:00:00"/>
    <s v="2022011-48"/>
    <x v="3"/>
  </r>
  <r>
    <x v="216"/>
    <n v="2022012"/>
    <x v="12"/>
    <s v="Chickpea"/>
    <m/>
    <x v="5"/>
    <s v="N"/>
    <x v="2"/>
    <n v="1"/>
    <n v="1"/>
    <x v="0"/>
    <m/>
    <m/>
    <m/>
    <n v="1"/>
    <m/>
    <m/>
    <m/>
    <m/>
    <m/>
    <n v="1"/>
    <n v="2"/>
    <x v="0"/>
    <n v="1"/>
    <m/>
    <n v="1"/>
    <x v="0"/>
    <n v="5"/>
    <x v="0"/>
    <m/>
    <m/>
    <n v="30"/>
    <x v="1"/>
    <s v="9/05/2022"/>
    <d v="2022-05-09T00:00:00"/>
    <s v="2022012-1"/>
    <x v="3"/>
  </r>
  <r>
    <x v="217"/>
    <n v="2022012"/>
    <x v="12"/>
    <s v="Chickpea"/>
    <m/>
    <x v="3"/>
    <s v="N"/>
    <x v="2"/>
    <n v="2"/>
    <n v="2"/>
    <x v="0"/>
    <m/>
    <m/>
    <m/>
    <n v="1"/>
    <m/>
    <m/>
    <m/>
    <m/>
    <m/>
    <n v="2"/>
    <n v="2"/>
    <x v="1"/>
    <n v="1"/>
    <m/>
    <n v="2"/>
    <x v="0"/>
    <n v="4"/>
    <x v="0"/>
    <m/>
    <m/>
    <n v="30"/>
    <x v="1"/>
    <s v="9/05/2022"/>
    <d v="2022-05-09T00:00:00"/>
    <s v="2022012-2"/>
    <x v="3"/>
  </r>
  <r>
    <x v="218"/>
    <n v="2022012"/>
    <x v="12"/>
    <s v="Chickpea"/>
    <m/>
    <x v="9"/>
    <s v="N"/>
    <x v="2"/>
    <n v="3"/>
    <n v="3"/>
    <x v="0"/>
    <m/>
    <m/>
    <m/>
    <n v="1"/>
    <m/>
    <m/>
    <m/>
    <m/>
    <m/>
    <n v="3"/>
    <n v="2"/>
    <x v="2"/>
    <n v="1"/>
    <m/>
    <n v="3"/>
    <x v="0"/>
    <n v="3"/>
    <x v="0"/>
    <m/>
    <m/>
    <n v="30"/>
    <x v="1"/>
    <s v="9/05/2022"/>
    <d v="2022-05-09T00:00:00"/>
    <s v="2022012-3"/>
    <x v="3"/>
  </r>
  <r>
    <x v="219"/>
    <n v="2022012"/>
    <x v="12"/>
    <s v="Chickpea"/>
    <m/>
    <x v="8"/>
    <s v="Y"/>
    <x v="2"/>
    <n v="4"/>
    <n v="4"/>
    <x v="0"/>
    <m/>
    <m/>
    <m/>
    <n v="1"/>
    <m/>
    <m/>
    <m/>
    <m/>
    <m/>
    <n v="4"/>
    <n v="2"/>
    <x v="3"/>
    <n v="1"/>
    <m/>
    <n v="4"/>
    <x v="0"/>
    <n v="1"/>
    <x v="0"/>
    <m/>
    <m/>
    <n v="30"/>
    <x v="1"/>
    <s v="9/05/2022"/>
    <d v="2022-05-09T00:00:00"/>
    <s v="2022012-4"/>
    <x v="3"/>
  </r>
  <r>
    <x v="220"/>
    <n v="2022012"/>
    <x v="12"/>
    <s v="Chickpea"/>
    <m/>
    <x v="4"/>
    <s v="Y"/>
    <x v="2"/>
    <n v="5"/>
    <n v="5"/>
    <x v="0"/>
    <m/>
    <m/>
    <m/>
    <n v="1"/>
    <m/>
    <m/>
    <m/>
    <m/>
    <m/>
    <n v="5"/>
    <n v="2"/>
    <x v="4"/>
    <n v="1"/>
    <m/>
    <n v="5"/>
    <x v="0"/>
    <n v="6"/>
    <x v="0"/>
    <m/>
    <m/>
    <n v="30"/>
    <x v="1"/>
    <s v="9/05/2022"/>
    <d v="2022-05-09T00:00:00"/>
    <s v="2022012-5"/>
    <x v="3"/>
  </r>
  <r>
    <x v="221"/>
    <n v="2022012"/>
    <x v="12"/>
    <s v="Chickpea"/>
    <m/>
    <x v="20"/>
    <s v="N"/>
    <x v="2"/>
    <n v="6"/>
    <n v="6"/>
    <x v="0"/>
    <m/>
    <m/>
    <m/>
    <n v="1"/>
    <m/>
    <m/>
    <m/>
    <m/>
    <m/>
    <n v="6"/>
    <n v="2"/>
    <x v="5"/>
    <n v="1"/>
    <m/>
    <n v="6"/>
    <x v="0"/>
    <n v="2"/>
    <x v="0"/>
    <m/>
    <m/>
    <n v="30"/>
    <x v="1"/>
    <s v="9/05/2022"/>
    <d v="2022-05-09T00:00:00"/>
    <s v="2022012-6"/>
    <x v="3"/>
  </r>
  <r>
    <x v="222"/>
    <n v="2022012"/>
    <x v="12"/>
    <s v="Chickpea"/>
    <m/>
    <x v="4"/>
    <s v="Y"/>
    <x v="2"/>
    <n v="7"/>
    <n v="7"/>
    <x v="0"/>
    <m/>
    <m/>
    <m/>
    <n v="2"/>
    <m/>
    <m/>
    <m/>
    <m/>
    <m/>
    <n v="1"/>
    <n v="5"/>
    <x v="0"/>
    <n v="2"/>
    <m/>
    <n v="12"/>
    <x v="0"/>
    <n v="6"/>
    <x v="0"/>
    <m/>
    <m/>
    <n v="30"/>
    <x v="2"/>
    <s v="9/06/2022"/>
    <d v="2022-06-09T00:00:00"/>
    <s v="2022012-7"/>
    <x v="3"/>
  </r>
  <r>
    <x v="223"/>
    <n v="2022012"/>
    <x v="12"/>
    <s v="Chickpea"/>
    <m/>
    <x v="8"/>
    <s v="Y"/>
    <x v="2"/>
    <n v="8"/>
    <n v="8"/>
    <x v="0"/>
    <m/>
    <m/>
    <m/>
    <n v="2"/>
    <m/>
    <m/>
    <m/>
    <m/>
    <m/>
    <n v="2"/>
    <n v="5"/>
    <x v="1"/>
    <n v="2"/>
    <m/>
    <n v="11"/>
    <x v="0"/>
    <n v="1"/>
    <x v="0"/>
    <m/>
    <m/>
    <n v="30"/>
    <x v="2"/>
    <s v="9/06/2022"/>
    <d v="2022-06-09T00:00:00"/>
    <s v="2022012-8"/>
    <x v="3"/>
  </r>
  <r>
    <x v="224"/>
    <n v="2022012"/>
    <x v="12"/>
    <s v="Chickpea"/>
    <m/>
    <x v="3"/>
    <s v="N"/>
    <x v="2"/>
    <n v="9"/>
    <n v="9"/>
    <x v="0"/>
    <m/>
    <m/>
    <m/>
    <n v="2"/>
    <m/>
    <m/>
    <m/>
    <m/>
    <m/>
    <n v="3"/>
    <n v="5"/>
    <x v="2"/>
    <n v="2"/>
    <m/>
    <n v="10"/>
    <x v="0"/>
    <n v="4"/>
    <x v="0"/>
    <m/>
    <m/>
    <n v="30"/>
    <x v="2"/>
    <s v="9/06/2022"/>
    <d v="2022-06-09T00:00:00"/>
    <s v="2022012-9"/>
    <x v="3"/>
  </r>
  <r>
    <x v="225"/>
    <n v="2022012"/>
    <x v="12"/>
    <s v="Chickpea"/>
    <m/>
    <x v="5"/>
    <s v="N"/>
    <x v="2"/>
    <n v="10"/>
    <n v="10"/>
    <x v="0"/>
    <m/>
    <m/>
    <m/>
    <n v="2"/>
    <m/>
    <m/>
    <m/>
    <m/>
    <m/>
    <n v="4"/>
    <n v="5"/>
    <x v="3"/>
    <n v="2"/>
    <m/>
    <n v="9"/>
    <x v="0"/>
    <n v="5"/>
    <x v="0"/>
    <m/>
    <m/>
    <n v="30"/>
    <x v="2"/>
    <s v="9/06/2022"/>
    <d v="2022-06-09T00:00:00"/>
    <s v="2022012-10"/>
    <x v="3"/>
  </r>
  <r>
    <x v="226"/>
    <n v="2022012"/>
    <x v="12"/>
    <s v="Chickpea"/>
    <m/>
    <x v="20"/>
    <s v="N"/>
    <x v="2"/>
    <n v="11"/>
    <n v="11"/>
    <x v="0"/>
    <m/>
    <m/>
    <m/>
    <n v="2"/>
    <m/>
    <m/>
    <m/>
    <m/>
    <m/>
    <n v="5"/>
    <n v="5"/>
    <x v="4"/>
    <n v="2"/>
    <m/>
    <n v="8"/>
    <x v="0"/>
    <n v="2"/>
    <x v="0"/>
    <m/>
    <m/>
    <n v="30"/>
    <x v="2"/>
    <s v="9/06/2022"/>
    <d v="2022-06-09T00:00:00"/>
    <s v="2022012-11"/>
    <x v="3"/>
  </r>
  <r>
    <x v="227"/>
    <n v="2022012"/>
    <x v="12"/>
    <s v="Chickpea"/>
    <m/>
    <x v="9"/>
    <s v="N"/>
    <x v="2"/>
    <n v="12"/>
    <n v="12"/>
    <x v="0"/>
    <m/>
    <m/>
    <m/>
    <n v="2"/>
    <m/>
    <m/>
    <m/>
    <m/>
    <m/>
    <n v="6"/>
    <n v="5"/>
    <x v="5"/>
    <n v="2"/>
    <m/>
    <n v="7"/>
    <x v="0"/>
    <n v="3"/>
    <x v="0"/>
    <m/>
    <m/>
    <n v="30"/>
    <x v="2"/>
    <s v="9/06/2022"/>
    <d v="2022-06-09T00:00:00"/>
    <s v="2022012-12"/>
    <x v="3"/>
  </r>
  <r>
    <x v="227"/>
    <n v="2022012"/>
    <x v="12"/>
    <s v="Chickpea"/>
    <m/>
    <x v="9"/>
    <s v="N"/>
    <x v="2"/>
    <n v="13"/>
    <n v="13"/>
    <x v="1"/>
    <m/>
    <m/>
    <m/>
    <n v="3"/>
    <m/>
    <m/>
    <m/>
    <m/>
    <m/>
    <n v="1"/>
    <n v="8"/>
    <x v="0"/>
    <n v="3"/>
    <m/>
    <n v="13"/>
    <x v="0"/>
    <n v="3"/>
    <x v="0"/>
    <m/>
    <m/>
    <n v="30"/>
    <x v="2"/>
    <s v="9/06/2022"/>
    <d v="2022-06-09T00:00:00"/>
    <s v="2022012-13"/>
    <x v="3"/>
  </r>
  <r>
    <x v="225"/>
    <n v="2022012"/>
    <x v="12"/>
    <s v="Chickpea"/>
    <m/>
    <x v="5"/>
    <s v="N"/>
    <x v="2"/>
    <n v="14"/>
    <n v="14"/>
    <x v="1"/>
    <m/>
    <m/>
    <m/>
    <n v="3"/>
    <m/>
    <m/>
    <m/>
    <m/>
    <m/>
    <n v="2"/>
    <n v="8"/>
    <x v="1"/>
    <n v="3"/>
    <m/>
    <n v="14"/>
    <x v="0"/>
    <n v="5"/>
    <x v="0"/>
    <m/>
    <m/>
    <n v="30"/>
    <x v="2"/>
    <s v="9/06/2022"/>
    <d v="2022-06-09T00:00:00"/>
    <s v="2022012-14"/>
    <x v="3"/>
  </r>
  <r>
    <x v="222"/>
    <n v="2022012"/>
    <x v="12"/>
    <s v="Chickpea"/>
    <m/>
    <x v="4"/>
    <s v="Y"/>
    <x v="2"/>
    <n v="15"/>
    <n v="15"/>
    <x v="1"/>
    <m/>
    <m/>
    <m/>
    <n v="3"/>
    <m/>
    <m/>
    <m/>
    <m/>
    <m/>
    <n v="3"/>
    <n v="8"/>
    <x v="2"/>
    <n v="3"/>
    <m/>
    <n v="15"/>
    <x v="0"/>
    <n v="6"/>
    <x v="0"/>
    <m/>
    <m/>
    <n v="30"/>
    <x v="2"/>
    <s v="9/06/2022"/>
    <d v="2022-06-09T00:00:00"/>
    <s v="2022012-15"/>
    <x v="3"/>
  </r>
  <r>
    <x v="224"/>
    <n v="2022012"/>
    <x v="12"/>
    <s v="Chickpea"/>
    <m/>
    <x v="3"/>
    <s v="N"/>
    <x v="2"/>
    <n v="16"/>
    <n v="16"/>
    <x v="1"/>
    <m/>
    <m/>
    <m/>
    <n v="3"/>
    <m/>
    <m/>
    <m/>
    <m/>
    <m/>
    <n v="4"/>
    <n v="8"/>
    <x v="3"/>
    <n v="3"/>
    <m/>
    <n v="16"/>
    <x v="0"/>
    <n v="4"/>
    <x v="0"/>
    <m/>
    <m/>
    <n v="30"/>
    <x v="2"/>
    <s v="9/06/2022"/>
    <d v="2022-06-09T00:00:00"/>
    <s v="2022012-16"/>
    <x v="3"/>
  </r>
  <r>
    <x v="223"/>
    <n v="2022012"/>
    <x v="12"/>
    <s v="Chickpea"/>
    <m/>
    <x v="8"/>
    <s v="Y"/>
    <x v="2"/>
    <n v="17"/>
    <n v="17"/>
    <x v="1"/>
    <m/>
    <m/>
    <m/>
    <n v="3"/>
    <m/>
    <m/>
    <m/>
    <m/>
    <m/>
    <n v="5"/>
    <n v="8"/>
    <x v="4"/>
    <n v="3"/>
    <m/>
    <n v="17"/>
    <x v="0"/>
    <n v="1"/>
    <x v="0"/>
    <m/>
    <m/>
    <n v="30"/>
    <x v="2"/>
    <s v="9/06/2022"/>
    <d v="2022-06-09T00:00:00"/>
    <s v="2022012-17"/>
    <x v="3"/>
  </r>
  <r>
    <x v="226"/>
    <n v="2022012"/>
    <x v="12"/>
    <s v="Chickpea"/>
    <m/>
    <x v="20"/>
    <s v="N"/>
    <x v="2"/>
    <n v="18"/>
    <n v="18"/>
    <x v="1"/>
    <m/>
    <m/>
    <m/>
    <n v="3"/>
    <m/>
    <m/>
    <m/>
    <m/>
    <m/>
    <n v="6"/>
    <n v="8"/>
    <x v="5"/>
    <n v="3"/>
    <m/>
    <n v="18"/>
    <x v="0"/>
    <n v="2"/>
    <x v="0"/>
    <m/>
    <m/>
    <n v="30"/>
    <x v="2"/>
    <s v="9/06/2022"/>
    <d v="2022-06-09T00:00:00"/>
    <s v="2022012-18"/>
    <x v="3"/>
  </r>
  <r>
    <x v="221"/>
    <n v="2022012"/>
    <x v="12"/>
    <s v="Chickpea"/>
    <m/>
    <x v="20"/>
    <s v="N"/>
    <x v="2"/>
    <n v="19"/>
    <n v="19"/>
    <x v="1"/>
    <m/>
    <m/>
    <m/>
    <n v="4"/>
    <m/>
    <m/>
    <m/>
    <m/>
    <m/>
    <n v="1"/>
    <n v="11"/>
    <x v="0"/>
    <n v="4"/>
    <m/>
    <n v="24"/>
    <x v="0"/>
    <n v="2"/>
    <x v="0"/>
    <m/>
    <m/>
    <n v="30"/>
    <x v="1"/>
    <s v="9/05/2022"/>
    <d v="2022-05-09T00:00:00"/>
    <s v="2022012-19"/>
    <x v="3"/>
  </r>
  <r>
    <x v="218"/>
    <n v="2022012"/>
    <x v="12"/>
    <s v="Chickpea"/>
    <m/>
    <x v="9"/>
    <s v="N"/>
    <x v="2"/>
    <n v="20"/>
    <n v="20"/>
    <x v="1"/>
    <m/>
    <m/>
    <m/>
    <n v="4"/>
    <m/>
    <m/>
    <m/>
    <m/>
    <m/>
    <n v="2"/>
    <n v="11"/>
    <x v="1"/>
    <n v="4"/>
    <m/>
    <n v="23"/>
    <x v="0"/>
    <n v="3"/>
    <x v="0"/>
    <m/>
    <m/>
    <n v="30"/>
    <x v="1"/>
    <s v="9/05/2022"/>
    <d v="2022-05-09T00:00:00"/>
    <s v="2022012-20"/>
    <x v="3"/>
  </r>
  <r>
    <x v="219"/>
    <n v="2022012"/>
    <x v="12"/>
    <s v="Chickpea"/>
    <m/>
    <x v="8"/>
    <s v="Y"/>
    <x v="2"/>
    <n v="21"/>
    <n v="21"/>
    <x v="1"/>
    <m/>
    <m/>
    <m/>
    <n v="4"/>
    <m/>
    <m/>
    <m/>
    <m/>
    <m/>
    <n v="3"/>
    <n v="11"/>
    <x v="2"/>
    <n v="4"/>
    <m/>
    <n v="22"/>
    <x v="0"/>
    <n v="1"/>
    <x v="0"/>
    <m/>
    <m/>
    <n v="30"/>
    <x v="1"/>
    <s v="9/05/2022"/>
    <d v="2022-05-09T00:00:00"/>
    <s v="2022012-21"/>
    <x v="3"/>
  </r>
  <r>
    <x v="220"/>
    <n v="2022012"/>
    <x v="12"/>
    <s v="Chickpea"/>
    <m/>
    <x v="4"/>
    <s v="Y"/>
    <x v="2"/>
    <n v="22"/>
    <n v="22"/>
    <x v="1"/>
    <m/>
    <m/>
    <m/>
    <n v="4"/>
    <m/>
    <m/>
    <m/>
    <m/>
    <m/>
    <n v="4"/>
    <n v="11"/>
    <x v="3"/>
    <n v="4"/>
    <m/>
    <n v="21"/>
    <x v="0"/>
    <n v="6"/>
    <x v="0"/>
    <m/>
    <m/>
    <n v="30"/>
    <x v="1"/>
    <s v="9/05/2022"/>
    <d v="2022-05-09T00:00:00"/>
    <s v="2022012-22"/>
    <x v="3"/>
  </r>
  <r>
    <x v="217"/>
    <n v="2022012"/>
    <x v="12"/>
    <s v="Chickpea"/>
    <m/>
    <x v="3"/>
    <s v="N"/>
    <x v="2"/>
    <n v="23"/>
    <n v="23"/>
    <x v="1"/>
    <m/>
    <m/>
    <m/>
    <n v="4"/>
    <m/>
    <m/>
    <m/>
    <m/>
    <m/>
    <n v="5"/>
    <n v="11"/>
    <x v="4"/>
    <n v="4"/>
    <m/>
    <n v="20"/>
    <x v="0"/>
    <n v="4"/>
    <x v="0"/>
    <m/>
    <m/>
    <n v="30"/>
    <x v="1"/>
    <s v="9/05/2022"/>
    <d v="2022-05-09T00:00:00"/>
    <s v="2022012-23"/>
    <x v="3"/>
  </r>
  <r>
    <x v="216"/>
    <n v="2022012"/>
    <x v="12"/>
    <s v="Chickpea"/>
    <m/>
    <x v="5"/>
    <s v="N"/>
    <x v="2"/>
    <n v="24"/>
    <n v="24"/>
    <x v="1"/>
    <m/>
    <m/>
    <m/>
    <n v="4"/>
    <m/>
    <m/>
    <m/>
    <m/>
    <m/>
    <n v="6"/>
    <n v="11"/>
    <x v="5"/>
    <n v="4"/>
    <m/>
    <n v="19"/>
    <x v="0"/>
    <n v="5"/>
    <x v="0"/>
    <m/>
    <m/>
    <n v="30"/>
    <x v="1"/>
    <s v="9/05/2022"/>
    <d v="2022-05-09T00:00:00"/>
    <s v="2022012-24"/>
    <x v="3"/>
  </r>
  <r>
    <x v="218"/>
    <n v="2022012"/>
    <x v="12"/>
    <s v="Chickpea"/>
    <m/>
    <x v="9"/>
    <s v="N"/>
    <x v="2"/>
    <n v="25"/>
    <n v="25"/>
    <x v="2"/>
    <m/>
    <m/>
    <m/>
    <n v="5"/>
    <m/>
    <m/>
    <m/>
    <m/>
    <m/>
    <n v="1"/>
    <n v="14"/>
    <x v="0"/>
    <n v="5"/>
    <m/>
    <n v="25"/>
    <x v="0"/>
    <n v="3"/>
    <x v="0"/>
    <m/>
    <m/>
    <n v="30"/>
    <x v="1"/>
    <s v="9/05/2022"/>
    <d v="2022-05-09T00:00:00"/>
    <s v="2022012-25"/>
    <x v="3"/>
  </r>
  <r>
    <x v="219"/>
    <n v="2022012"/>
    <x v="12"/>
    <s v="Chickpea"/>
    <m/>
    <x v="8"/>
    <s v="Y"/>
    <x v="2"/>
    <n v="26"/>
    <n v="26"/>
    <x v="2"/>
    <m/>
    <m/>
    <m/>
    <n v="5"/>
    <m/>
    <m/>
    <m/>
    <m/>
    <m/>
    <n v="2"/>
    <n v="14"/>
    <x v="1"/>
    <n v="5"/>
    <m/>
    <n v="26"/>
    <x v="0"/>
    <n v="1"/>
    <x v="0"/>
    <m/>
    <m/>
    <n v="30"/>
    <x v="1"/>
    <s v="9/05/2022"/>
    <d v="2022-05-09T00:00:00"/>
    <s v="2022012-26"/>
    <x v="3"/>
  </r>
  <r>
    <x v="217"/>
    <n v="2022012"/>
    <x v="12"/>
    <s v="Chickpea"/>
    <m/>
    <x v="3"/>
    <s v="N"/>
    <x v="2"/>
    <n v="27"/>
    <n v="27"/>
    <x v="2"/>
    <m/>
    <m/>
    <m/>
    <n v="5"/>
    <m/>
    <m/>
    <m/>
    <m/>
    <m/>
    <n v="3"/>
    <n v="14"/>
    <x v="2"/>
    <n v="5"/>
    <m/>
    <n v="27"/>
    <x v="0"/>
    <n v="4"/>
    <x v="0"/>
    <m/>
    <m/>
    <n v="30"/>
    <x v="1"/>
    <s v="9/05/2022"/>
    <d v="2022-05-09T00:00:00"/>
    <s v="2022012-27"/>
    <x v="3"/>
  </r>
  <r>
    <x v="216"/>
    <n v="2022012"/>
    <x v="12"/>
    <s v="Chickpea"/>
    <m/>
    <x v="5"/>
    <s v="N"/>
    <x v="2"/>
    <n v="28"/>
    <n v="28"/>
    <x v="2"/>
    <m/>
    <m/>
    <m/>
    <n v="5"/>
    <m/>
    <m/>
    <m/>
    <m/>
    <m/>
    <n v="4"/>
    <n v="14"/>
    <x v="3"/>
    <n v="5"/>
    <m/>
    <n v="28"/>
    <x v="0"/>
    <n v="5"/>
    <x v="0"/>
    <m/>
    <m/>
    <n v="30"/>
    <x v="1"/>
    <s v="9/05/2022"/>
    <d v="2022-05-09T00:00:00"/>
    <s v="2022012-28"/>
    <x v="3"/>
  </r>
  <r>
    <x v="221"/>
    <n v="2022012"/>
    <x v="12"/>
    <s v="Chickpea"/>
    <m/>
    <x v="20"/>
    <s v="N"/>
    <x v="2"/>
    <n v="29"/>
    <n v="29"/>
    <x v="2"/>
    <m/>
    <m/>
    <m/>
    <n v="5"/>
    <m/>
    <m/>
    <m/>
    <m/>
    <m/>
    <n v="5"/>
    <n v="14"/>
    <x v="4"/>
    <n v="5"/>
    <m/>
    <n v="29"/>
    <x v="0"/>
    <n v="2"/>
    <x v="0"/>
    <m/>
    <m/>
    <n v="30"/>
    <x v="1"/>
    <s v="9/05/2022"/>
    <d v="2022-05-09T00:00:00"/>
    <s v="2022012-29"/>
    <x v="3"/>
  </r>
  <r>
    <x v="220"/>
    <n v="2022012"/>
    <x v="12"/>
    <s v="Chickpea"/>
    <m/>
    <x v="4"/>
    <s v="Y"/>
    <x v="2"/>
    <n v="30"/>
    <n v="30"/>
    <x v="2"/>
    <m/>
    <m/>
    <m/>
    <n v="5"/>
    <m/>
    <m/>
    <m/>
    <m/>
    <m/>
    <n v="6"/>
    <n v="14"/>
    <x v="5"/>
    <n v="5"/>
    <m/>
    <n v="30"/>
    <x v="0"/>
    <n v="6"/>
    <x v="0"/>
    <m/>
    <m/>
    <n v="30"/>
    <x v="1"/>
    <s v="9/05/2022"/>
    <d v="2022-05-09T00:00:00"/>
    <s v="2022012-30"/>
    <x v="3"/>
  </r>
  <r>
    <x v="223"/>
    <n v="2022012"/>
    <x v="12"/>
    <s v="Chickpea"/>
    <m/>
    <x v="8"/>
    <s v="Y"/>
    <x v="2"/>
    <n v="31"/>
    <n v="31"/>
    <x v="2"/>
    <m/>
    <m/>
    <m/>
    <n v="6"/>
    <m/>
    <m/>
    <m/>
    <m/>
    <m/>
    <n v="1"/>
    <n v="17"/>
    <x v="0"/>
    <n v="6"/>
    <m/>
    <n v="36"/>
    <x v="0"/>
    <n v="1"/>
    <x v="0"/>
    <m/>
    <m/>
    <n v="30"/>
    <x v="2"/>
    <s v="9/06/2022"/>
    <d v="2022-06-09T00:00:00"/>
    <s v="2022012-31"/>
    <x v="3"/>
  </r>
  <r>
    <x v="227"/>
    <n v="2022012"/>
    <x v="12"/>
    <s v="Chickpea"/>
    <m/>
    <x v="9"/>
    <s v="N"/>
    <x v="2"/>
    <n v="32"/>
    <n v="32"/>
    <x v="2"/>
    <m/>
    <m/>
    <m/>
    <n v="6"/>
    <m/>
    <m/>
    <m/>
    <m/>
    <m/>
    <n v="2"/>
    <n v="17"/>
    <x v="1"/>
    <n v="6"/>
    <m/>
    <n v="35"/>
    <x v="0"/>
    <n v="3"/>
    <x v="0"/>
    <m/>
    <m/>
    <n v="30"/>
    <x v="2"/>
    <s v="9/06/2022"/>
    <d v="2022-06-09T00:00:00"/>
    <s v="2022012-32"/>
    <x v="3"/>
  </r>
  <r>
    <x v="226"/>
    <n v="2022012"/>
    <x v="12"/>
    <s v="Chickpea"/>
    <m/>
    <x v="20"/>
    <s v="N"/>
    <x v="2"/>
    <n v="33"/>
    <n v="33"/>
    <x v="2"/>
    <m/>
    <m/>
    <m/>
    <n v="6"/>
    <m/>
    <m/>
    <m/>
    <m/>
    <m/>
    <n v="3"/>
    <n v="17"/>
    <x v="2"/>
    <n v="6"/>
    <m/>
    <n v="34"/>
    <x v="0"/>
    <n v="2"/>
    <x v="0"/>
    <m/>
    <m/>
    <n v="30"/>
    <x v="2"/>
    <s v="9/06/2022"/>
    <d v="2022-06-09T00:00:00"/>
    <s v="2022012-33"/>
    <x v="3"/>
  </r>
  <r>
    <x v="222"/>
    <n v="2022012"/>
    <x v="12"/>
    <s v="Chickpea"/>
    <m/>
    <x v="4"/>
    <s v="Y"/>
    <x v="2"/>
    <n v="34"/>
    <n v="34"/>
    <x v="2"/>
    <m/>
    <m/>
    <m/>
    <n v="6"/>
    <m/>
    <m/>
    <m/>
    <m/>
    <m/>
    <n v="4"/>
    <n v="17"/>
    <x v="3"/>
    <n v="6"/>
    <m/>
    <n v="33"/>
    <x v="0"/>
    <n v="6"/>
    <x v="0"/>
    <m/>
    <m/>
    <n v="30"/>
    <x v="2"/>
    <s v="9/06/2022"/>
    <d v="2022-06-09T00:00:00"/>
    <s v="2022012-34"/>
    <x v="3"/>
  </r>
  <r>
    <x v="225"/>
    <n v="2022012"/>
    <x v="12"/>
    <s v="Chickpea"/>
    <m/>
    <x v="5"/>
    <s v="N"/>
    <x v="2"/>
    <n v="35"/>
    <n v="35"/>
    <x v="2"/>
    <m/>
    <m/>
    <m/>
    <n v="6"/>
    <m/>
    <m/>
    <m/>
    <m/>
    <m/>
    <n v="5"/>
    <n v="17"/>
    <x v="4"/>
    <n v="6"/>
    <m/>
    <n v="32"/>
    <x v="0"/>
    <n v="5"/>
    <x v="0"/>
    <m/>
    <m/>
    <n v="30"/>
    <x v="2"/>
    <s v="9/06/2022"/>
    <d v="2022-06-09T00:00:00"/>
    <s v="2022012-35"/>
    <x v="3"/>
  </r>
  <r>
    <x v="224"/>
    <n v="2022012"/>
    <x v="12"/>
    <s v="Chickpea"/>
    <m/>
    <x v="3"/>
    <s v="N"/>
    <x v="2"/>
    <n v="36"/>
    <n v="36"/>
    <x v="2"/>
    <m/>
    <m/>
    <m/>
    <n v="6"/>
    <m/>
    <m/>
    <m/>
    <m/>
    <m/>
    <n v="6"/>
    <n v="17"/>
    <x v="5"/>
    <n v="6"/>
    <m/>
    <n v="31"/>
    <x v="0"/>
    <n v="4"/>
    <x v="0"/>
    <m/>
    <m/>
    <n v="30"/>
    <x v="2"/>
    <s v="9/06/2022"/>
    <d v="2022-06-09T00:00:00"/>
    <s v="2022012-36"/>
    <x v="3"/>
  </r>
  <r>
    <x v="225"/>
    <n v="2022012"/>
    <x v="12"/>
    <s v="Chickpea"/>
    <m/>
    <x v="5"/>
    <s v="N"/>
    <x v="2"/>
    <n v="37"/>
    <n v="37"/>
    <x v="3"/>
    <m/>
    <m/>
    <m/>
    <n v="7"/>
    <m/>
    <m/>
    <m/>
    <m/>
    <m/>
    <n v="1"/>
    <n v="20"/>
    <x v="0"/>
    <n v="7"/>
    <m/>
    <n v="37"/>
    <x v="0"/>
    <n v="5"/>
    <x v="0"/>
    <m/>
    <m/>
    <n v="30"/>
    <x v="2"/>
    <s v="9/06/2022"/>
    <d v="2022-06-09T00:00:00"/>
    <s v="2022012-37"/>
    <x v="3"/>
  </r>
  <r>
    <x v="226"/>
    <n v="2022012"/>
    <x v="12"/>
    <s v="Chickpea"/>
    <m/>
    <x v="20"/>
    <s v="N"/>
    <x v="2"/>
    <n v="38"/>
    <n v="38"/>
    <x v="3"/>
    <m/>
    <m/>
    <m/>
    <n v="7"/>
    <m/>
    <m/>
    <m/>
    <m/>
    <m/>
    <n v="2"/>
    <n v="20"/>
    <x v="1"/>
    <n v="7"/>
    <m/>
    <n v="38"/>
    <x v="0"/>
    <n v="2"/>
    <x v="0"/>
    <m/>
    <m/>
    <n v="30"/>
    <x v="2"/>
    <s v="9/06/2022"/>
    <d v="2022-06-09T00:00:00"/>
    <s v="2022012-38"/>
    <x v="3"/>
  </r>
  <r>
    <x v="223"/>
    <n v="2022012"/>
    <x v="12"/>
    <s v="Chickpea"/>
    <m/>
    <x v="8"/>
    <s v="Y"/>
    <x v="2"/>
    <n v="39"/>
    <n v="39"/>
    <x v="3"/>
    <m/>
    <m/>
    <m/>
    <n v="7"/>
    <m/>
    <m/>
    <m/>
    <m/>
    <m/>
    <n v="3"/>
    <n v="20"/>
    <x v="2"/>
    <n v="7"/>
    <m/>
    <n v="39"/>
    <x v="0"/>
    <n v="1"/>
    <x v="0"/>
    <m/>
    <m/>
    <n v="30"/>
    <x v="2"/>
    <s v="9/06/2022"/>
    <d v="2022-06-09T00:00:00"/>
    <s v="2022012-39"/>
    <x v="3"/>
  </r>
  <r>
    <x v="227"/>
    <n v="2022012"/>
    <x v="12"/>
    <s v="Chickpea"/>
    <m/>
    <x v="9"/>
    <s v="N"/>
    <x v="2"/>
    <n v="40"/>
    <n v="40"/>
    <x v="3"/>
    <m/>
    <m/>
    <m/>
    <n v="7"/>
    <m/>
    <m/>
    <m/>
    <m/>
    <m/>
    <n v="4"/>
    <n v="20"/>
    <x v="3"/>
    <n v="7"/>
    <m/>
    <n v="40"/>
    <x v="0"/>
    <n v="3"/>
    <x v="0"/>
    <m/>
    <m/>
    <n v="30"/>
    <x v="2"/>
    <s v="9/06/2022"/>
    <d v="2022-06-09T00:00:00"/>
    <s v="2022012-40"/>
    <x v="3"/>
  </r>
  <r>
    <x v="224"/>
    <n v="2022012"/>
    <x v="12"/>
    <s v="Chickpea"/>
    <m/>
    <x v="3"/>
    <s v="N"/>
    <x v="2"/>
    <n v="41"/>
    <n v="41"/>
    <x v="3"/>
    <m/>
    <m/>
    <m/>
    <n v="7"/>
    <m/>
    <m/>
    <m/>
    <m/>
    <m/>
    <n v="5"/>
    <n v="20"/>
    <x v="4"/>
    <n v="7"/>
    <m/>
    <n v="41"/>
    <x v="0"/>
    <n v="4"/>
    <x v="0"/>
    <m/>
    <m/>
    <n v="30"/>
    <x v="2"/>
    <s v="9/06/2022"/>
    <d v="2022-06-09T00:00:00"/>
    <s v="2022012-41"/>
    <x v="3"/>
  </r>
  <r>
    <x v="222"/>
    <n v="2022012"/>
    <x v="12"/>
    <s v="Chickpea"/>
    <m/>
    <x v="4"/>
    <s v="Y"/>
    <x v="2"/>
    <n v="42"/>
    <n v="42"/>
    <x v="3"/>
    <m/>
    <m/>
    <m/>
    <n v="7"/>
    <m/>
    <m/>
    <m/>
    <m/>
    <m/>
    <n v="6"/>
    <n v="20"/>
    <x v="5"/>
    <n v="7"/>
    <m/>
    <n v="42"/>
    <x v="0"/>
    <n v="6"/>
    <x v="0"/>
    <m/>
    <m/>
    <n v="30"/>
    <x v="2"/>
    <s v="9/06/2022"/>
    <d v="2022-06-09T00:00:00"/>
    <s v="2022012-42"/>
    <x v="3"/>
  </r>
  <r>
    <x v="217"/>
    <n v="2022012"/>
    <x v="12"/>
    <s v="Chickpea"/>
    <m/>
    <x v="3"/>
    <s v="N"/>
    <x v="2"/>
    <n v="43"/>
    <n v="43"/>
    <x v="3"/>
    <m/>
    <m/>
    <m/>
    <n v="8"/>
    <m/>
    <m/>
    <m/>
    <m/>
    <m/>
    <n v="1"/>
    <n v="23"/>
    <x v="0"/>
    <n v="8"/>
    <m/>
    <n v="48"/>
    <x v="0"/>
    <n v="4"/>
    <x v="0"/>
    <m/>
    <m/>
    <n v="30"/>
    <x v="1"/>
    <s v="9/05/2022"/>
    <d v="2022-05-09T00:00:00"/>
    <s v="2022012-43"/>
    <x v="3"/>
  </r>
  <r>
    <x v="220"/>
    <n v="2022012"/>
    <x v="12"/>
    <s v="Chickpea"/>
    <m/>
    <x v="4"/>
    <s v="Y"/>
    <x v="2"/>
    <n v="44"/>
    <n v="44"/>
    <x v="3"/>
    <m/>
    <m/>
    <m/>
    <n v="8"/>
    <m/>
    <m/>
    <m/>
    <m/>
    <m/>
    <n v="2"/>
    <n v="23"/>
    <x v="1"/>
    <n v="8"/>
    <m/>
    <n v="47"/>
    <x v="0"/>
    <n v="6"/>
    <x v="0"/>
    <m/>
    <m/>
    <n v="30"/>
    <x v="1"/>
    <s v="9/05/2022"/>
    <d v="2022-05-09T00:00:00"/>
    <s v="2022012-44"/>
    <x v="3"/>
  </r>
  <r>
    <x v="216"/>
    <n v="2022012"/>
    <x v="12"/>
    <s v="Chickpea"/>
    <m/>
    <x v="5"/>
    <s v="N"/>
    <x v="2"/>
    <n v="45"/>
    <n v="45"/>
    <x v="3"/>
    <m/>
    <m/>
    <m/>
    <n v="8"/>
    <m/>
    <m/>
    <m/>
    <m/>
    <m/>
    <n v="3"/>
    <n v="23"/>
    <x v="2"/>
    <n v="8"/>
    <m/>
    <n v="46"/>
    <x v="0"/>
    <n v="5"/>
    <x v="0"/>
    <m/>
    <m/>
    <n v="30"/>
    <x v="1"/>
    <s v="9/05/2022"/>
    <d v="2022-05-09T00:00:00"/>
    <s v="2022012-45"/>
    <x v="3"/>
  </r>
  <r>
    <x v="221"/>
    <n v="2022012"/>
    <x v="12"/>
    <s v="Chickpea"/>
    <m/>
    <x v="20"/>
    <s v="N"/>
    <x v="2"/>
    <n v="46"/>
    <n v="46"/>
    <x v="3"/>
    <m/>
    <m/>
    <m/>
    <n v="8"/>
    <m/>
    <m/>
    <m/>
    <m/>
    <m/>
    <n v="4"/>
    <n v="23"/>
    <x v="3"/>
    <n v="8"/>
    <m/>
    <n v="45"/>
    <x v="0"/>
    <n v="2"/>
    <x v="0"/>
    <m/>
    <m/>
    <n v="30"/>
    <x v="1"/>
    <s v="9/05/2022"/>
    <d v="2022-05-09T00:00:00"/>
    <s v="2022012-46"/>
    <x v="3"/>
  </r>
  <r>
    <x v="218"/>
    <n v="2022012"/>
    <x v="12"/>
    <s v="Chickpea"/>
    <m/>
    <x v="9"/>
    <s v="N"/>
    <x v="2"/>
    <n v="47"/>
    <n v="47"/>
    <x v="3"/>
    <m/>
    <m/>
    <m/>
    <n v="8"/>
    <m/>
    <m/>
    <m/>
    <m/>
    <m/>
    <n v="5"/>
    <n v="23"/>
    <x v="4"/>
    <n v="8"/>
    <m/>
    <n v="44"/>
    <x v="0"/>
    <n v="3"/>
    <x v="0"/>
    <m/>
    <m/>
    <n v="30"/>
    <x v="1"/>
    <s v="9/05/2022"/>
    <d v="2022-05-09T00:00:00"/>
    <s v="2022012-47"/>
    <x v="3"/>
  </r>
  <r>
    <x v="219"/>
    <n v="2022012"/>
    <x v="12"/>
    <s v="Chickpea"/>
    <m/>
    <x v="8"/>
    <s v="Y"/>
    <x v="2"/>
    <n v="48"/>
    <n v="48"/>
    <x v="3"/>
    <m/>
    <m/>
    <m/>
    <n v="8"/>
    <m/>
    <m/>
    <m/>
    <m/>
    <m/>
    <n v="6"/>
    <n v="23"/>
    <x v="5"/>
    <n v="8"/>
    <m/>
    <n v="43"/>
    <x v="0"/>
    <n v="1"/>
    <x v="0"/>
    <m/>
    <m/>
    <n v="30"/>
    <x v="1"/>
    <s v="9/05/2022"/>
    <d v="2022-05-09T00:00:00"/>
    <s v="2022012-48"/>
    <x v="3"/>
  </r>
  <r>
    <x v="228"/>
    <n v="2022013"/>
    <x v="13"/>
    <s v="Chickpea"/>
    <m/>
    <x v="4"/>
    <s v="Y"/>
    <x v="2"/>
    <n v="1"/>
    <n v="1"/>
    <x v="0"/>
    <m/>
    <m/>
    <m/>
    <n v="1"/>
    <m/>
    <m/>
    <m/>
    <m/>
    <m/>
    <n v="3"/>
    <n v="2"/>
    <x v="0"/>
    <n v="1"/>
    <m/>
    <n v="1"/>
    <x v="0"/>
    <n v="3"/>
    <x v="0"/>
    <m/>
    <m/>
    <n v="50"/>
    <x v="2"/>
    <s v="18/07/2022"/>
    <d v="2022-07-18T00:00:00"/>
    <s v="2022013-1"/>
    <x v="3"/>
  </r>
  <r>
    <x v="229"/>
    <n v="2022013"/>
    <x v="13"/>
    <s v="Chickpea"/>
    <m/>
    <x v="3"/>
    <s v="N"/>
    <x v="2"/>
    <n v="2"/>
    <n v="2"/>
    <x v="0"/>
    <m/>
    <m/>
    <m/>
    <n v="1"/>
    <m/>
    <m/>
    <m/>
    <m/>
    <m/>
    <n v="4"/>
    <n v="2"/>
    <x v="1"/>
    <n v="1"/>
    <m/>
    <n v="2"/>
    <x v="0"/>
    <n v="1"/>
    <x v="0"/>
    <m/>
    <m/>
    <n v="50"/>
    <x v="2"/>
    <s v="18/07/2022"/>
    <d v="2022-07-18T00:00:00"/>
    <s v="2022013-2"/>
    <x v="3"/>
  </r>
  <r>
    <x v="230"/>
    <n v="2022013"/>
    <x v="13"/>
    <s v="Chickpea"/>
    <m/>
    <x v="9"/>
    <s v="N"/>
    <x v="2"/>
    <n v="3"/>
    <n v="3"/>
    <x v="0"/>
    <m/>
    <m/>
    <m/>
    <n v="1"/>
    <m/>
    <m/>
    <m/>
    <m/>
    <m/>
    <n v="5"/>
    <n v="2"/>
    <x v="2"/>
    <n v="1"/>
    <m/>
    <n v="3"/>
    <x v="0"/>
    <n v="4"/>
    <x v="0"/>
    <m/>
    <m/>
    <n v="50"/>
    <x v="2"/>
    <s v="18/07/2022"/>
    <d v="2022-07-18T00:00:00"/>
    <s v="2022013-3"/>
    <x v="3"/>
  </r>
  <r>
    <x v="231"/>
    <n v="2022013"/>
    <x v="13"/>
    <s v="Chickpea"/>
    <m/>
    <x v="8"/>
    <s v="Y"/>
    <x v="2"/>
    <n v="4"/>
    <n v="4"/>
    <x v="0"/>
    <m/>
    <m/>
    <m/>
    <n v="1"/>
    <m/>
    <m/>
    <m/>
    <m/>
    <m/>
    <n v="6"/>
    <n v="2"/>
    <x v="3"/>
    <n v="1"/>
    <m/>
    <n v="4"/>
    <x v="0"/>
    <n v="2"/>
    <x v="0"/>
    <m/>
    <m/>
    <n v="50"/>
    <x v="2"/>
    <s v="18/07/2022"/>
    <d v="2022-07-18T00:00:00"/>
    <s v="2022013-4"/>
    <x v="3"/>
  </r>
  <r>
    <x v="232"/>
    <n v="2022013"/>
    <x v="13"/>
    <s v="Chickpea"/>
    <m/>
    <x v="9"/>
    <s v="N"/>
    <x v="2"/>
    <n v="5"/>
    <n v="5"/>
    <x v="0"/>
    <m/>
    <m/>
    <m/>
    <n v="2"/>
    <m/>
    <m/>
    <m/>
    <m/>
    <m/>
    <n v="3"/>
    <n v="5"/>
    <x v="0"/>
    <n v="2"/>
    <m/>
    <n v="8"/>
    <x v="0"/>
    <n v="4"/>
    <x v="0"/>
    <m/>
    <m/>
    <n v="50"/>
    <x v="1"/>
    <s v="29/06/2022"/>
    <d v="2022-06-29T00:00:00"/>
    <s v="2022013-5"/>
    <x v="3"/>
  </r>
  <r>
    <x v="233"/>
    <n v="2022013"/>
    <x v="13"/>
    <s v="Chickpea"/>
    <m/>
    <x v="8"/>
    <s v="Y"/>
    <x v="2"/>
    <n v="6"/>
    <n v="6"/>
    <x v="0"/>
    <m/>
    <m/>
    <m/>
    <n v="2"/>
    <m/>
    <m/>
    <m/>
    <m/>
    <m/>
    <n v="4"/>
    <n v="5"/>
    <x v="1"/>
    <n v="2"/>
    <m/>
    <n v="7"/>
    <x v="0"/>
    <n v="2"/>
    <x v="0"/>
    <m/>
    <m/>
    <n v="50"/>
    <x v="1"/>
    <s v="29/06/2022"/>
    <d v="2022-06-29T00:00:00"/>
    <s v="2022013-6"/>
    <x v="3"/>
  </r>
  <r>
    <x v="234"/>
    <n v="2022013"/>
    <x v="13"/>
    <s v="Chickpea"/>
    <m/>
    <x v="3"/>
    <s v="N"/>
    <x v="2"/>
    <n v="7"/>
    <n v="7"/>
    <x v="0"/>
    <m/>
    <m/>
    <m/>
    <n v="2"/>
    <m/>
    <m/>
    <m/>
    <m/>
    <m/>
    <n v="5"/>
    <n v="5"/>
    <x v="2"/>
    <n v="2"/>
    <m/>
    <n v="6"/>
    <x v="0"/>
    <n v="1"/>
    <x v="0"/>
    <m/>
    <m/>
    <n v="50"/>
    <x v="1"/>
    <s v="29/06/2022"/>
    <d v="2022-06-29T00:00:00"/>
    <s v="2022013-7"/>
    <x v="3"/>
  </r>
  <r>
    <x v="235"/>
    <n v="2022013"/>
    <x v="13"/>
    <s v="Chickpea"/>
    <m/>
    <x v="4"/>
    <s v="Y"/>
    <x v="2"/>
    <n v="8"/>
    <n v="8"/>
    <x v="0"/>
    <m/>
    <m/>
    <m/>
    <n v="2"/>
    <m/>
    <m/>
    <m/>
    <m/>
    <m/>
    <n v="6"/>
    <n v="5"/>
    <x v="3"/>
    <n v="2"/>
    <m/>
    <n v="5"/>
    <x v="0"/>
    <n v="3"/>
    <x v="0"/>
    <m/>
    <m/>
    <n v="50"/>
    <x v="1"/>
    <s v="29/06/2022"/>
    <d v="2022-06-29T00:00:00"/>
    <s v="2022013-8"/>
    <x v="3"/>
  </r>
  <r>
    <x v="233"/>
    <n v="2022013"/>
    <x v="13"/>
    <s v="Chickpea"/>
    <m/>
    <x v="8"/>
    <s v="Y"/>
    <x v="2"/>
    <n v="9"/>
    <n v="9"/>
    <x v="1"/>
    <m/>
    <m/>
    <m/>
    <n v="3"/>
    <m/>
    <m/>
    <m/>
    <m/>
    <m/>
    <n v="3"/>
    <n v="8"/>
    <x v="0"/>
    <n v="3"/>
    <m/>
    <n v="9"/>
    <x v="0"/>
    <n v="2"/>
    <x v="0"/>
    <m/>
    <m/>
    <n v="50"/>
    <x v="1"/>
    <s v="29/06/2022"/>
    <d v="2022-06-29T00:00:00"/>
    <s v="2022013-9"/>
    <x v="3"/>
  </r>
  <r>
    <x v="232"/>
    <n v="2022013"/>
    <x v="13"/>
    <s v="Chickpea"/>
    <m/>
    <x v="9"/>
    <s v="N"/>
    <x v="2"/>
    <n v="10"/>
    <n v="10"/>
    <x v="1"/>
    <m/>
    <m/>
    <m/>
    <n v="3"/>
    <m/>
    <m/>
    <m/>
    <m/>
    <m/>
    <n v="4"/>
    <n v="8"/>
    <x v="1"/>
    <n v="3"/>
    <m/>
    <n v="10"/>
    <x v="0"/>
    <n v="4"/>
    <x v="0"/>
    <m/>
    <m/>
    <n v="50"/>
    <x v="1"/>
    <s v="29/06/2022"/>
    <d v="2022-06-29T00:00:00"/>
    <s v="2022013-10"/>
    <x v="3"/>
  </r>
  <r>
    <x v="235"/>
    <n v="2022013"/>
    <x v="13"/>
    <s v="Chickpea"/>
    <m/>
    <x v="4"/>
    <s v="Y"/>
    <x v="2"/>
    <n v="11"/>
    <n v="11"/>
    <x v="1"/>
    <m/>
    <m/>
    <m/>
    <n v="3"/>
    <m/>
    <m/>
    <m/>
    <m/>
    <m/>
    <n v="5"/>
    <n v="8"/>
    <x v="2"/>
    <n v="3"/>
    <m/>
    <n v="11"/>
    <x v="0"/>
    <n v="3"/>
    <x v="0"/>
    <m/>
    <m/>
    <n v="50"/>
    <x v="1"/>
    <s v="29/06/2022"/>
    <d v="2022-06-29T00:00:00"/>
    <s v="2022013-11"/>
    <x v="3"/>
  </r>
  <r>
    <x v="234"/>
    <n v="2022013"/>
    <x v="13"/>
    <s v="Chickpea"/>
    <m/>
    <x v="3"/>
    <s v="N"/>
    <x v="2"/>
    <n v="12"/>
    <n v="12"/>
    <x v="1"/>
    <m/>
    <m/>
    <m/>
    <n v="3"/>
    <m/>
    <m/>
    <m/>
    <m/>
    <m/>
    <n v="6"/>
    <n v="8"/>
    <x v="3"/>
    <n v="3"/>
    <m/>
    <n v="12"/>
    <x v="0"/>
    <n v="1"/>
    <x v="0"/>
    <m/>
    <m/>
    <n v="50"/>
    <x v="1"/>
    <s v="29/06/2022"/>
    <d v="2022-06-29T00:00:00"/>
    <s v="2022013-12"/>
    <x v="3"/>
  </r>
  <r>
    <x v="229"/>
    <n v="2022013"/>
    <x v="13"/>
    <s v="Chickpea"/>
    <m/>
    <x v="3"/>
    <s v="N"/>
    <x v="2"/>
    <n v="13"/>
    <n v="13"/>
    <x v="1"/>
    <m/>
    <m/>
    <m/>
    <n v="4"/>
    <m/>
    <m/>
    <m/>
    <m/>
    <m/>
    <n v="3"/>
    <n v="11"/>
    <x v="0"/>
    <n v="4"/>
    <m/>
    <n v="16"/>
    <x v="0"/>
    <n v="1"/>
    <x v="0"/>
    <m/>
    <m/>
    <n v="50"/>
    <x v="2"/>
    <s v="18/07/2022"/>
    <d v="2022-07-18T00:00:00"/>
    <s v="2022013-13"/>
    <x v="3"/>
  </r>
  <r>
    <x v="228"/>
    <n v="2022013"/>
    <x v="13"/>
    <s v="Chickpea"/>
    <m/>
    <x v="4"/>
    <s v="Y"/>
    <x v="2"/>
    <n v="14"/>
    <n v="14"/>
    <x v="1"/>
    <m/>
    <m/>
    <m/>
    <n v="4"/>
    <m/>
    <m/>
    <m/>
    <m/>
    <m/>
    <n v="4"/>
    <n v="11"/>
    <x v="1"/>
    <n v="4"/>
    <m/>
    <n v="15"/>
    <x v="0"/>
    <n v="3"/>
    <x v="0"/>
    <m/>
    <m/>
    <n v="50"/>
    <x v="2"/>
    <s v="18/07/2022"/>
    <d v="2022-07-18T00:00:00"/>
    <s v="2022013-14"/>
    <x v="3"/>
  </r>
  <r>
    <x v="231"/>
    <n v="2022013"/>
    <x v="13"/>
    <s v="Chickpea"/>
    <m/>
    <x v="8"/>
    <s v="Y"/>
    <x v="2"/>
    <n v="15"/>
    <n v="15"/>
    <x v="1"/>
    <m/>
    <m/>
    <m/>
    <n v="4"/>
    <m/>
    <m/>
    <m/>
    <m/>
    <m/>
    <n v="5"/>
    <n v="11"/>
    <x v="2"/>
    <n v="4"/>
    <m/>
    <n v="14"/>
    <x v="0"/>
    <n v="2"/>
    <x v="0"/>
    <m/>
    <m/>
    <n v="50"/>
    <x v="2"/>
    <s v="18/07/2022"/>
    <d v="2022-07-18T00:00:00"/>
    <s v="2022013-15"/>
    <x v="3"/>
  </r>
  <r>
    <x v="230"/>
    <n v="2022013"/>
    <x v="13"/>
    <s v="Chickpea"/>
    <m/>
    <x v="9"/>
    <s v="N"/>
    <x v="2"/>
    <n v="16"/>
    <n v="16"/>
    <x v="1"/>
    <m/>
    <m/>
    <m/>
    <n v="4"/>
    <m/>
    <m/>
    <m/>
    <m/>
    <m/>
    <n v="6"/>
    <n v="11"/>
    <x v="3"/>
    <n v="4"/>
    <m/>
    <n v="13"/>
    <x v="0"/>
    <n v="4"/>
    <x v="0"/>
    <m/>
    <m/>
    <n v="50"/>
    <x v="2"/>
    <s v="18/07/2022"/>
    <d v="2022-07-18T00:00:00"/>
    <s v="2022013-16"/>
    <x v="3"/>
  </r>
  <r>
    <x v="230"/>
    <n v="2022013"/>
    <x v="13"/>
    <s v="Chickpea"/>
    <m/>
    <x v="9"/>
    <s v="N"/>
    <x v="2"/>
    <n v="17"/>
    <n v="17"/>
    <x v="2"/>
    <m/>
    <m/>
    <m/>
    <n v="5"/>
    <m/>
    <m/>
    <m/>
    <m/>
    <m/>
    <n v="3"/>
    <n v="14"/>
    <x v="0"/>
    <n v="5"/>
    <m/>
    <n v="17"/>
    <x v="0"/>
    <n v="4"/>
    <x v="0"/>
    <m/>
    <m/>
    <n v="50"/>
    <x v="2"/>
    <s v="18/07/2022"/>
    <d v="2022-07-18T00:00:00"/>
    <s v="2022013-17"/>
    <x v="3"/>
  </r>
  <r>
    <x v="231"/>
    <n v="2022013"/>
    <x v="13"/>
    <s v="Chickpea"/>
    <m/>
    <x v="8"/>
    <s v="Y"/>
    <x v="2"/>
    <n v="18"/>
    <n v="18"/>
    <x v="2"/>
    <m/>
    <m/>
    <m/>
    <n v="5"/>
    <m/>
    <m/>
    <m/>
    <m/>
    <m/>
    <n v="4"/>
    <n v="14"/>
    <x v="1"/>
    <n v="5"/>
    <m/>
    <n v="18"/>
    <x v="0"/>
    <n v="2"/>
    <x v="0"/>
    <m/>
    <m/>
    <n v="50"/>
    <x v="2"/>
    <s v="18/07/2022"/>
    <d v="2022-07-18T00:00:00"/>
    <s v="2022013-18"/>
    <x v="3"/>
  </r>
  <r>
    <x v="229"/>
    <n v="2022013"/>
    <x v="13"/>
    <s v="Chickpea"/>
    <m/>
    <x v="3"/>
    <s v="N"/>
    <x v="2"/>
    <n v="19"/>
    <n v="19"/>
    <x v="2"/>
    <m/>
    <m/>
    <m/>
    <n v="5"/>
    <m/>
    <m/>
    <m/>
    <m/>
    <m/>
    <n v="5"/>
    <n v="14"/>
    <x v="2"/>
    <n v="5"/>
    <m/>
    <n v="19"/>
    <x v="0"/>
    <n v="1"/>
    <x v="0"/>
    <m/>
    <m/>
    <n v="50"/>
    <x v="2"/>
    <s v="18/07/2022"/>
    <d v="2022-07-18T00:00:00"/>
    <s v="2022013-19"/>
    <x v="3"/>
  </r>
  <r>
    <x v="228"/>
    <n v="2022013"/>
    <x v="13"/>
    <s v="Chickpea"/>
    <m/>
    <x v="4"/>
    <s v="Y"/>
    <x v="2"/>
    <n v="20"/>
    <n v="20"/>
    <x v="2"/>
    <m/>
    <m/>
    <m/>
    <n v="5"/>
    <m/>
    <m/>
    <m/>
    <m/>
    <m/>
    <n v="6"/>
    <n v="14"/>
    <x v="3"/>
    <n v="5"/>
    <m/>
    <n v="20"/>
    <x v="0"/>
    <n v="3"/>
    <x v="0"/>
    <m/>
    <m/>
    <n v="50"/>
    <x v="2"/>
    <s v="18/07/2022"/>
    <d v="2022-07-18T00:00:00"/>
    <s v="2022013-20"/>
    <x v="3"/>
  </r>
  <r>
    <x v="234"/>
    <n v="2022013"/>
    <x v="13"/>
    <s v="Chickpea"/>
    <m/>
    <x v="3"/>
    <s v="N"/>
    <x v="2"/>
    <n v="21"/>
    <n v="21"/>
    <x v="2"/>
    <m/>
    <m/>
    <m/>
    <n v="6"/>
    <m/>
    <m/>
    <m/>
    <m/>
    <m/>
    <n v="3"/>
    <n v="17"/>
    <x v="0"/>
    <n v="6"/>
    <m/>
    <n v="24"/>
    <x v="0"/>
    <n v="1"/>
    <x v="0"/>
    <m/>
    <m/>
    <n v="50"/>
    <x v="1"/>
    <s v="29/06/2022"/>
    <d v="2022-06-29T00:00:00"/>
    <s v="2022013-21"/>
    <x v="3"/>
  </r>
  <r>
    <x v="235"/>
    <n v="2022013"/>
    <x v="13"/>
    <s v="Chickpea"/>
    <m/>
    <x v="4"/>
    <s v="Y"/>
    <x v="2"/>
    <n v="22"/>
    <n v="22"/>
    <x v="2"/>
    <m/>
    <m/>
    <m/>
    <n v="6"/>
    <m/>
    <m/>
    <m/>
    <m/>
    <m/>
    <n v="4"/>
    <n v="17"/>
    <x v="1"/>
    <n v="6"/>
    <m/>
    <n v="23"/>
    <x v="0"/>
    <n v="3"/>
    <x v="0"/>
    <m/>
    <m/>
    <n v="50"/>
    <x v="1"/>
    <s v="29/06/2022"/>
    <d v="2022-06-29T00:00:00"/>
    <s v="2022013-22"/>
    <x v="3"/>
  </r>
  <r>
    <x v="233"/>
    <n v="2022013"/>
    <x v="13"/>
    <s v="Chickpea"/>
    <m/>
    <x v="8"/>
    <s v="Y"/>
    <x v="2"/>
    <n v="23"/>
    <n v="23"/>
    <x v="2"/>
    <m/>
    <m/>
    <m/>
    <n v="6"/>
    <m/>
    <m/>
    <m/>
    <m/>
    <m/>
    <n v="5"/>
    <n v="17"/>
    <x v="2"/>
    <n v="6"/>
    <m/>
    <n v="22"/>
    <x v="0"/>
    <n v="2"/>
    <x v="0"/>
    <m/>
    <m/>
    <n v="50"/>
    <x v="1"/>
    <s v="29/06/2022"/>
    <d v="2022-06-29T00:00:00"/>
    <s v="2022013-23"/>
    <x v="3"/>
  </r>
  <r>
    <x v="232"/>
    <n v="2022013"/>
    <x v="13"/>
    <s v="Chickpea"/>
    <m/>
    <x v="9"/>
    <s v="N"/>
    <x v="2"/>
    <n v="24"/>
    <n v="24"/>
    <x v="2"/>
    <m/>
    <m/>
    <m/>
    <n v="6"/>
    <m/>
    <m/>
    <m/>
    <m/>
    <m/>
    <n v="6"/>
    <n v="17"/>
    <x v="3"/>
    <n v="6"/>
    <m/>
    <n v="21"/>
    <x v="0"/>
    <n v="4"/>
    <x v="0"/>
    <m/>
    <m/>
    <n v="50"/>
    <x v="1"/>
    <s v="29/06/2022"/>
    <d v="2022-06-29T00:00:00"/>
    <s v="2022013-24"/>
    <x v="3"/>
  </r>
  <r>
    <x v="235"/>
    <n v="2022013"/>
    <x v="13"/>
    <s v="Chickpea"/>
    <m/>
    <x v="4"/>
    <s v="Y"/>
    <x v="2"/>
    <n v="25"/>
    <n v="25"/>
    <x v="3"/>
    <m/>
    <m/>
    <m/>
    <n v="7"/>
    <m/>
    <m/>
    <m/>
    <m/>
    <m/>
    <n v="3"/>
    <n v="20"/>
    <x v="0"/>
    <n v="7"/>
    <m/>
    <n v="25"/>
    <x v="0"/>
    <n v="3"/>
    <x v="0"/>
    <m/>
    <m/>
    <n v="50"/>
    <x v="1"/>
    <s v="29/06/2022"/>
    <d v="2022-06-29T00:00:00"/>
    <s v="2022013-25"/>
    <x v="3"/>
  </r>
  <r>
    <x v="234"/>
    <n v="2022013"/>
    <x v="13"/>
    <s v="Chickpea"/>
    <m/>
    <x v="3"/>
    <s v="N"/>
    <x v="2"/>
    <n v="26"/>
    <n v="26"/>
    <x v="3"/>
    <m/>
    <m/>
    <m/>
    <n v="7"/>
    <m/>
    <m/>
    <m/>
    <m/>
    <m/>
    <n v="4"/>
    <n v="20"/>
    <x v="1"/>
    <n v="7"/>
    <m/>
    <n v="26"/>
    <x v="0"/>
    <n v="1"/>
    <x v="0"/>
    <m/>
    <m/>
    <n v="50"/>
    <x v="1"/>
    <s v="29/06/2022"/>
    <d v="2022-06-29T00:00:00"/>
    <s v="2022013-26"/>
    <x v="3"/>
  </r>
  <r>
    <x v="232"/>
    <n v="2022013"/>
    <x v="13"/>
    <s v="Chickpea"/>
    <m/>
    <x v="9"/>
    <s v="N"/>
    <x v="2"/>
    <n v="27"/>
    <n v="27"/>
    <x v="3"/>
    <m/>
    <m/>
    <m/>
    <n v="7"/>
    <m/>
    <m/>
    <m/>
    <m/>
    <m/>
    <n v="5"/>
    <n v="20"/>
    <x v="2"/>
    <n v="7"/>
    <m/>
    <n v="27"/>
    <x v="0"/>
    <n v="4"/>
    <x v="0"/>
    <m/>
    <m/>
    <n v="50"/>
    <x v="1"/>
    <s v="29/06/2022"/>
    <d v="2022-06-29T00:00:00"/>
    <s v="2022013-27"/>
    <x v="3"/>
  </r>
  <r>
    <x v="233"/>
    <n v="2022013"/>
    <x v="13"/>
    <s v="Chickpea"/>
    <m/>
    <x v="8"/>
    <s v="Y"/>
    <x v="2"/>
    <n v="28"/>
    <n v="28"/>
    <x v="3"/>
    <m/>
    <m/>
    <m/>
    <n v="7"/>
    <m/>
    <m/>
    <m/>
    <m/>
    <m/>
    <n v="6"/>
    <n v="20"/>
    <x v="3"/>
    <n v="7"/>
    <m/>
    <n v="28"/>
    <x v="0"/>
    <n v="2"/>
    <x v="0"/>
    <m/>
    <m/>
    <n v="50"/>
    <x v="1"/>
    <s v="29/06/2022"/>
    <d v="2022-06-29T00:00:00"/>
    <s v="2022013-28"/>
    <x v="3"/>
  </r>
  <r>
    <x v="231"/>
    <n v="2022013"/>
    <x v="13"/>
    <s v="Chickpea"/>
    <m/>
    <x v="8"/>
    <s v="Y"/>
    <x v="2"/>
    <n v="29"/>
    <n v="29"/>
    <x v="3"/>
    <m/>
    <m/>
    <m/>
    <n v="8"/>
    <m/>
    <m/>
    <m/>
    <m/>
    <m/>
    <n v="3"/>
    <n v="23"/>
    <x v="0"/>
    <n v="8"/>
    <m/>
    <n v="32"/>
    <x v="0"/>
    <n v="2"/>
    <x v="0"/>
    <m/>
    <m/>
    <n v="50"/>
    <x v="2"/>
    <s v="18/07/2022"/>
    <d v="2022-07-18T00:00:00"/>
    <s v="2022013-29"/>
    <x v="3"/>
  </r>
  <r>
    <x v="230"/>
    <n v="2022013"/>
    <x v="13"/>
    <s v="Chickpea"/>
    <m/>
    <x v="9"/>
    <s v="N"/>
    <x v="2"/>
    <n v="30"/>
    <n v="30"/>
    <x v="3"/>
    <m/>
    <m/>
    <m/>
    <n v="8"/>
    <m/>
    <m/>
    <m/>
    <m/>
    <m/>
    <n v="4"/>
    <n v="23"/>
    <x v="1"/>
    <n v="8"/>
    <m/>
    <n v="31"/>
    <x v="0"/>
    <n v="4"/>
    <x v="0"/>
    <m/>
    <m/>
    <n v="50"/>
    <x v="2"/>
    <s v="18/07/2022"/>
    <d v="2022-07-18T00:00:00"/>
    <s v="2022013-30"/>
    <x v="3"/>
  </r>
  <r>
    <x v="228"/>
    <n v="2022013"/>
    <x v="13"/>
    <s v="Chickpea"/>
    <m/>
    <x v="4"/>
    <s v="Y"/>
    <x v="2"/>
    <n v="31"/>
    <n v="31"/>
    <x v="3"/>
    <m/>
    <m/>
    <m/>
    <n v="8"/>
    <m/>
    <m/>
    <m/>
    <m/>
    <m/>
    <n v="5"/>
    <n v="23"/>
    <x v="2"/>
    <n v="8"/>
    <m/>
    <n v="30"/>
    <x v="0"/>
    <n v="3"/>
    <x v="0"/>
    <m/>
    <m/>
    <n v="50"/>
    <x v="2"/>
    <s v="18/07/2022"/>
    <d v="2022-07-18T00:00:00"/>
    <s v="2022013-31"/>
    <x v="3"/>
  </r>
  <r>
    <x v="229"/>
    <n v="2022013"/>
    <x v="13"/>
    <s v="Chickpea"/>
    <m/>
    <x v="3"/>
    <s v="N"/>
    <x v="2"/>
    <n v="32"/>
    <n v="32"/>
    <x v="3"/>
    <m/>
    <m/>
    <m/>
    <n v="8"/>
    <m/>
    <m/>
    <m/>
    <m/>
    <m/>
    <n v="6"/>
    <n v="23"/>
    <x v="3"/>
    <n v="8"/>
    <m/>
    <n v="29"/>
    <x v="0"/>
    <n v="1"/>
    <x v="0"/>
    <m/>
    <m/>
    <n v="50"/>
    <x v="2"/>
    <s v="18/07/2022"/>
    <d v="2022-07-18T00:00:00"/>
    <s v="2022013-32"/>
    <x v="3"/>
  </r>
  <r>
    <x v="236"/>
    <n v="2022014"/>
    <x v="14"/>
    <s v="Fababean"/>
    <m/>
    <x v="11"/>
    <s v="N"/>
    <x v="2"/>
    <n v="1"/>
    <n v="1"/>
    <x v="0"/>
    <m/>
    <m/>
    <m/>
    <n v="1"/>
    <m/>
    <m/>
    <m/>
    <m/>
    <m/>
    <n v="1"/>
    <n v="2"/>
    <x v="0"/>
    <n v="1"/>
    <m/>
    <n v="1"/>
    <x v="0"/>
    <n v="6"/>
    <x v="1"/>
    <m/>
    <m/>
    <n v="23"/>
    <x v="2"/>
    <s v="11/05/2022"/>
    <d v="2022-05-11T00:00:00"/>
    <s v="2022014-1"/>
    <x v="4"/>
  </r>
  <r>
    <x v="237"/>
    <n v="2022014"/>
    <x v="14"/>
    <s v="Fababean"/>
    <m/>
    <x v="12"/>
    <s v="N"/>
    <x v="2"/>
    <n v="2"/>
    <n v="2"/>
    <x v="0"/>
    <m/>
    <m/>
    <m/>
    <n v="1"/>
    <m/>
    <m/>
    <m/>
    <m/>
    <m/>
    <n v="2"/>
    <n v="2"/>
    <x v="1"/>
    <n v="1"/>
    <m/>
    <n v="2"/>
    <x v="0"/>
    <n v="1"/>
    <x v="2"/>
    <m/>
    <m/>
    <n v="23"/>
    <x v="2"/>
    <s v="11/05/2022"/>
    <d v="2022-05-11T00:00:00"/>
    <s v="2022014-2"/>
    <x v="4"/>
  </r>
  <r>
    <x v="238"/>
    <n v="2022014"/>
    <x v="14"/>
    <s v="Fababean"/>
    <m/>
    <x v="10"/>
    <s v="Y"/>
    <x v="2"/>
    <n v="3"/>
    <n v="3"/>
    <x v="0"/>
    <m/>
    <m/>
    <m/>
    <n v="1"/>
    <m/>
    <m/>
    <m/>
    <m/>
    <m/>
    <n v="3"/>
    <n v="2"/>
    <x v="2"/>
    <n v="1"/>
    <m/>
    <n v="3"/>
    <x v="0"/>
    <n v="4"/>
    <x v="2"/>
    <m/>
    <m/>
    <n v="23"/>
    <x v="2"/>
    <s v="11/05/2022"/>
    <d v="2022-05-11T00:00:00"/>
    <s v="2022014-3"/>
    <x v="4"/>
  </r>
  <r>
    <x v="239"/>
    <n v="2022014"/>
    <x v="14"/>
    <s v="Fababean"/>
    <m/>
    <x v="12"/>
    <s v="N"/>
    <x v="2"/>
    <n v="4"/>
    <n v="4"/>
    <x v="0"/>
    <m/>
    <m/>
    <m/>
    <n v="1"/>
    <m/>
    <m/>
    <m/>
    <m/>
    <m/>
    <n v="1"/>
    <n v="3"/>
    <x v="0"/>
    <n v="2"/>
    <m/>
    <n v="6"/>
    <x v="0"/>
    <n v="5"/>
    <x v="1"/>
    <m/>
    <m/>
    <n v="23"/>
    <x v="2"/>
    <s v="11/05/2022"/>
    <d v="2022-05-11T00:00:00"/>
    <s v="2022014-4"/>
    <x v="4"/>
  </r>
  <r>
    <x v="240"/>
    <n v="2022014"/>
    <x v="14"/>
    <s v="Fababean"/>
    <m/>
    <x v="11"/>
    <s v="N"/>
    <x v="2"/>
    <n v="5"/>
    <n v="5"/>
    <x v="0"/>
    <m/>
    <m/>
    <m/>
    <n v="1"/>
    <m/>
    <m/>
    <m/>
    <m/>
    <m/>
    <n v="2"/>
    <n v="3"/>
    <x v="1"/>
    <n v="2"/>
    <m/>
    <n v="5"/>
    <x v="0"/>
    <n v="2"/>
    <x v="2"/>
    <m/>
    <m/>
    <n v="23"/>
    <x v="2"/>
    <s v="11/05/2022"/>
    <d v="2022-05-11T00:00:00"/>
    <s v="2022014-5"/>
    <x v="4"/>
  </r>
  <r>
    <x v="241"/>
    <n v="2022014"/>
    <x v="14"/>
    <s v="Fababean"/>
    <m/>
    <x v="13"/>
    <s v="Y"/>
    <x v="2"/>
    <n v="6"/>
    <n v="6"/>
    <x v="0"/>
    <m/>
    <m/>
    <m/>
    <n v="1"/>
    <m/>
    <m/>
    <m/>
    <m/>
    <m/>
    <n v="3"/>
    <n v="3"/>
    <x v="2"/>
    <n v="2"/>
    <m/>
    <n v="4"/>
    <x v="0"/>
    <n v="3"/>
    <x v="2"/>
    <m/>
    <m/>
    <n v="23"/>
    <x v="2"/>
    <s v="11/05/2022"/>
    <d v="2022-05-11T00:00:00"/>
    <s v="2022014-6"/>
    <x v="4"/>
  </r>
  <r>
    <x v="242"/>
    <n v="2022014"/>
    <x v="14"/>
    <s v="Fababean"/>
    <m/>
    <x v="12"/>
    <s v="N"/>
    <x v="2"/>
    <n v="7"/>
    <n v="7"/>
    <x v="0"/>
    <m/>
    <m/>
    <m/>
    <n v="2"/>
    <m/>
    <m/>
    <m/>
    <m/>
    <m/>
    <n v="1"/>
    <n v="5"/>
    <x v="0"/>
    <n v="3"/>
    <m/>
    <n v="7"/>
    <x v="0"/>
    <n v="1"/>
    <x v="2"/>
    <m/>
    <m/>
    <n v="23"/>
    <x v="1"/>
    <s v="11/04/2022"/>
    <d v="2022-04-11T00:00:00"/>
    <s v="2022014-7"/>
    <x v="4"/>
  </r>
  <r>
    <x v="243"/>
    <n v="2022014"/>
    <x v="14"/>
    <s v="Fababean"/>
    <m/>
    <x v="13"/>
    <s v="Y"/>
    <x v="2"/>
    <n v="8"/>
    <n v="8"/>
    <x v="0"/>
    <m/>
    <m/>
    <m/>
    <n v="2"/>
    <m/>
    <m/>
    <m/>
    <m/>
    <m/>
    <n v="2"/>
    <n v="5"/>
    <x v="1"/>
    <n v="3"/>
    <m/>
    <n v="8"/>
    <x v="0"/>
    <n v="3"/>
    <x v="2"/>
    <m/>
    <m/>
    <n v="23"/>
    <x v="1"/>
    <s v="11/04/2022"/>
    <d v="2022-04-11T00:00:00"/>
    <s v="2022014-8"/>
    <x v="4"/>
  </r>
  <r>
    <x v="244"/>
    <n v="2022014"/>
    <x v="14"/>
    <s v="Fababean"/>
    <m/>
    <x v="11"/>
    <s v="N"/>
    <x v="2"/>
    <n v="9"/>
    <n v="9"/>
    <x v="0"/>
    <m/>
    <m/>
    <m/>
    <n v="2"/>
    <m/>
    <m/>
    <m/>
    <m/>
    <m/>
    <n v="3"/>
    <n v="5"/>
    <x v="2"/>
    <n v="3"/>
    <m/>
    <n v="9"/>
    <x v="0"/>
    <n v="2"/>
    <x v="2"/>
    <m/>
    <m/>
    <n v="23"/>
    <x v="1"/>
    <s v="11/04/2022"/>
    <d v="2022-04-11T00:00:00"/>
    <s v="2022014-9"/>
    <x v="4"/>
  </r>
  <r>
    <x v="245"/>
    <n v="2022014"/>
    <x v="14"/>
    <s v="Fababean"/>
    <m/>
    <x v="10"/>
    <s v="Y"/>
    <x v="2"/>
    <n v="10"/>
    <n v="10"/>
    <x v="0"/>
    <m/>
    <m/>
    <m/>
    <n v="2"/>
    <m/>
    <m/>
    <m/>
    <m/>
    <m/>
    <n v="1"/>
    <n v="6"/>
    <x v="0"/>
    <n v="4"/>
    <m/>
    <n v="12"/>
    <x v="0"/>
    <n v="4"/>
    <x v="2"/>
    <m/>
    <m/>
    <n v="23"/>
    <x v="1"/>
    <s v="11/04/2022"/>
    <d v="2022-04-11T00:00:00"/>
    <s v="2022014-10"/>
    <x v="4"/>
  </r>
  <r>
    <x v="246"/>
    <n v="2022014"/>
    <x v="14"/>
    <s v="Fababean"/>
    <m/>
    <x v="11"/>
    <s v="N"/>
    <x v="2"/>
    <n v="11"/>
    <n v="11"/>
    <x v="0"/>
    <m/>
    <m/>
    <m/>
    <n v="2"/>
    <m/>
    <m/>
    <m/>
    <m/>
    <m/>
    <n v="2"/>
    <n v="6"/>
    <x v="1"/>
    <n v="4"/>
    <m/>
    <n v="11"/>
    <x v="0"/>
    <n v="6"/>
    <x v="1"/>
    <m/>
    <m/>
    <n v="23"/>
    <x v="1"/>
    <s v="11/04/2022"/>
    <d v="2022-04-11T00:00:00"/>
    <s v="2022014-11"/>
    <x v="4"/>
  </r>
  <r>
    <x v="247"/>
    <n v="2022014"/>
    <x v="14"/>
    <s v="Fababean"/>
    <m/>
    <x v="12"/>
    <s v="N"/>
    <x v="2"/>
    <n v="12"/>
    <n v="12"/>
    <x v="0"/>
    <m/>
    <m/>
    <m/>
    <n v="2"/>
    <m/>
    <m/>
    <m/>
    <m/>
    <m/>
    <n v="3"/>
    <n v="6"/>
    <x v="2"/>
    <n v="4"/>
    <m/>
    <n v="10"/>
    <x v="0"/>
    <n v="5"/>
    <x v="1"/>
    <m/>
    <m/>
    <n v="23"/>
    <x v="1"/>
    <s v="11/04/2022"/>
    <d v="2022-04-11T00:00:00"/>
    <s v="2022014-12"/>
    <x v="4"/>
  </r>
  <r>
    <x v="242"/>
    <n v="2022014"/>
    <x v="14"/>
    <s v="Fababean"/>
    <m/>
    <x v="12"/>
    <s v="N"/>
    <x v="2"/>
    <n v="13"/>
    <n v="13"/>
    <x v="1"/>
    <m/>
    <m/>
    <m/>
    <n v="3"/>
    <m/>
    <m/>
    <m/>
    <m/>
    <m/>
    <n v="1"/>
    <n v="8"/>
    <x v="0"/>
    <n v="5"/>
    <m/>
    <n v="13"/>
    <x v="0"/>
    <n v="1"/>
    <x v="2"/>
    <m/>
    <m/>
    <n v="23"/>
    <x v="1"/>
    <s v="11/04/2022"/>
    <d v="2022-04-11T00:00:00"/>
    <s v="2022014-13"/>
    <x v="4"/>
  </r>
  <r>
    <x v="244"/>
    <n v="2022014"/>
    <x v="14"/>
    <s v="Fababean"/>
    <m/>
    <x v="11"/>
    <s v="N"/>
    <x v="2"/>
    <n v="14"/>
    <n v="14"/>
    <x v="1"/>
    <m/>
    <m/>
    <m/>
    <n v="3"/>
    <m/>
    <m/>
    <m/>
    <m/>
    <m/>
    <n v="2"/>
    <n v="8"/>
    <x v="1"/>
    <n v="5"/>
    <m/>
    <n v="14"/>
    <x v="0"/>
    <n v="2"/>
    <x v="2"/>
    <m/>
    <m/>
    <n v="23"/>
    <x v="1"/>
    <s v="11/04/2022"/>
    <d v="2022-04-11T00:00:00"/>
    <s v="2022014-14"/>
    <x v="4"/>
  </r>
  <r>
    <x v="246"/>
    <n v="2022014"/>
    <x v="14"/>
    <s v="Fababean"/>
    <m/>
    <x v="11"/>
    <s v="N"/>
    <x v="2"/>
    <n v="15"/>
    <n v="15"/>
    <x v="1"/>
    <m/>
    <m/>
    <m/>
    <n v="3"/>
    <m/>
    <m/>
    <m/>
    <m/>
    <m/>
    <n v="3"/>
    <n v="8"/>
    <x v="2"/>
    <n v="5"/>
    <m/>
    <n v="15"/>
    <x v="0"/>
    <n v="6"/>
    <x v="1"/>
    <m/>
    <m/>
    <n v="23"/>
    <x v="1"/>
    <s v="11/04/2022"/>
    <d v="2022-04-11T00:00:00"/>
    <s v="2022014-15"/>
    <x v="4"/>
  </r>
  <r>
    <x v="243"/>
    <n v="2022014"/>
    <x v="14"/>
    <s v="Fababean"/>
    <m/>
    <x v="13"/>
    <s v="Y"/>
    <x v="2"/>
    <n v="16"/>
    <n v="16"/>
    <x v="1"/>
    <m/>
    <m/>
    <m/>
    <n v="3"/>
    <m/>
    <m/>
    <m/>
    <m/>
    <m/>
    <n v="1"/>
    <n v="9"/>
    <x v="0"/>
    <n v="6"/>
    <m/>
    <n v="18"/>
    <x v="0"/>
    <n v="3"/>
    <x v="2"/>
    <m/>
    <m/>
    <n v="23"/>
    <x v="1"/>
    <s v="11/04/2022"/>
    <d v="2022-04-11T00:00:00"/>
    <s v="2022014-16"/>
    <x v="4"/>
  </r>
  <r>
    <x v="245"/>
    <n v="2022014"/>
    <x v="14"/>
    <s v="Fababean"/>
    <m/>
    <x v="10"/>
    <s v="Y"/>
    <x v="2"/>
    <n v="17"/>
    <n v="17"/>
    <x v="1"/>
    <m/>
    <m/>
    <m/>
    <n v="3"/>
    <m/>
    <m/>
    <m/>
    <m/>
    <m/>
    <n v="2"/>
    <n v="9"/>
    <x v="1"/>
    <n v="6"/>
    <m/>
    <n v="17"/>
    <x v="0"/>
    <n v="4"/>
    <x v="2"/>
    <m/>
    <m/>
    <n v="23"/>
    <x v="1"/>
    <s v="11/04/2022"/>
    <d v="2022-04-11T00:00:00"/>
    <s v="2022014-17"/>
    <x v="4"/>
  </r>
  <r>
    <x v="247"/>
    <n v="2022014"/>
    <x v="14"/>
    <s v="Fababean"/>
    <m/>
    <x v="12"/>
    <s v="N"/>
    <x v="2"/>
    <n v="18"/>
    <n v="18"/>
    <x v="1"/>
    <m/>
    <m/>
    <m/>
    <n v="3"/>
    <m/>
    <m/>
    <m/>
    <m/>
    <m/>
    <n v="3"/>
    <n v="9"/>
    <x v="2"/>
    <n v="6"/>
    <m/>
    <n v="16"/>
    <x v="0"/>
    <n v="5"/>
    <x v="1"/>
    <m/>
    <m/>
    <n v="23"/>
    <x v="1"/>
    <s v="11/04/2022"/>
    <d v="2022-04-11T00:00:00"/>
    <s v="2022014-18"/>
    <x v="4"/>
  </r>
  <r>
    <x v="239"/>
    <n v="2022014"/>
    <x v="14"/>
    <s v="Fababean"/>
    <m/>
    <x v="12"/>
    <s v="N"/>
    <x v="2"/>
    <n v="19"/>
    <n v="19"/>
    <x v="1"/>
    <m/>
    <m/>
    <m/>
    <n v="4"/>
    <m/>
    <m/>
    <m/>
    <m/>
    <m/>
    <n v="1"/>
    <n v="11"/>
    <x v="0"/>
    <n v="7"/>
    <m/>
    <n v="19"/>
    <x v="0"/>
    <n v="5"/>
    <x v="1"/>
    <m/>
    <m/>
    <n v="23"/>
    <x v="2"/>
    <s v="11/05/2022"/>
    <d v="2022-05-11T00:00:00"/>
    <s v="2022014-19"/>
    <x v="4"/>
  </r>
  <r>
    <x v="236"/>
    <n v="2022014"/>
    <x v="14"/>
    <s v="Fababean"/>
    <m/>
    <x v="11"/>
    <s v="N"/>
    <x v="2"/>
    <n v="20"/>
    <n v="20"/>
    <x v="1"/>
    <m/>
    <m/>
    <m/>
    <n v="4"/>
    <m/>
    <m/>
    <m/>
    <m/>
    <m/>
    <n v="2"/>
    <n v="11"/>
    <x v="1"/>
    <n v="7"/>
    <m/>
    <n v="20"/>
    <x v="0"/>
    <n v="6"/>
    <x v="1"/>
    <m/>
    <m/>
    <n v="23"/>
    <x v="2"/>
    <s v="11/05/2022"/>
    <d v="2022-05-11T00:00:00"/>
    <s v="2022014-20"/>
    <x v="4"/>
  </r>
  <r>
    <x v="237"/>
    <n v="2022014"/>
    <x v="14"/>
    <s v="Fababean"/>
    <m/>
    <x v="12"/>
    <s v="N"/>
    <x v="2"/>
    <n v="21"/>
    <n v="21"/>
    <x v="1"/>
    <m/>
    <m/>
    <m/>
    <n v="4"/>
    <m/>
    <m/>
    <m/>
    <m/>
    <m/>
    <n v="3"/>
    <n v="11"/>
    <x v="2"/>
    <n v="7"/>
    <m/>
    <n v="21"/>
    <x v="0"/>
    <n v="1"/>
    <x v="2"/>
    <m/>
    <m/>
    <n v="23"/>
    <x v="2"/>
    <s v="11/05/2022"/>
    <d v="2022-05-11T00:00:00"/>
    <s v="2022014-21"/>
    <x v="4"/>
  </r>
  <r>
    <x v="240"/>
    <n v="2022014"/>
    <x v="14"/>
    <s v="Fababean"/>
    <m/>
    <x v="11"/>
    <s v="N"/>
    <x v="2"/>
    <n v="22"/>
    <n v="22"/>
    <x v="1"/>
    <m/>
    <m/>
    <m/>
    <n v="4"/>
    <m/>
    <m/>
    <m/>
    <m/>
    <m/>
    <n v="1"/>
    <n v="12"/>
    <x v="0"/>
    <n v="8"/>
    <m/>
    <n v="24"/>
    <x v="0"/>
    <n v="2"/>
    <x v="2"/>
    <m/>
    <m/>
    <n v="23"/>
    <x v="2"/>
    <s v="11/05/2022"/>
    <d v="2022-05-11T00:00:00"/>
    <s v="2022014-22"/>
    <x v="4"/>
  </r>
  <r>
    <x v="241"/>
    <n v="2022014"/>
    <x v="14"/>
    <s v="Fababean"/>
    <m/>
    <x v="13"/>
    <s v="Y"/>
    <x v="2"/>
    <n v="23"/>
    <n v="23"/>
    <x v="1"/>
    <m/>
    <m/>
    <m/>
    <n v="4"/>
    <m/>
    <m/>
    <m/>
    <m/>
    <m/>
    <n v="2"/>
    <n v="12"/>
    <x v="1"/>
    <n v="8"/>
    <m/>
    <n v="23"/>
    <x v="0"/>
    <n v="3"/>
    <x v="2"/>
    <m/>
    <m/>
    <n v="23"/>
    <x v="2"/>
    <s v="11/05/2022"/>
    <d v="2022-05-11T00:00:00"/>
    <s v="2022014-23"/>
    <x v="4"/>
  </r>
  <r>
    <x v="238"/>
    <n v="2022014"/>
    <x v="14"/>
    <s v="Fababean"/>
    <m/>
    <x v="10"/>
    <s v="Y"/>
    <x v="2"/>
    <n v="24"/>
    <n v="24"/>
    <x v="1"/>
    <m/>
    <m/>
    <m/>
    <n v="4"/>
    <m/>
    <m/>
    <m/>
    <m/>
    <m/>
    <n v="3"/>
    <n v="12"/>
    <x v="2"/>
    <n v="8"/>
    <m/>
    <n v="22"/>
    <x v="0"/>
    <n v="4"/>
    <x v="2"/>
    <m/>
    <m/>
    <n v="23"/>
    <x v="2"/>
    <s v="11/05/2022"/>
    <d v="2022-05-11T00:00:00"/>
    <s v="2022014-24"/>
    <x v="4"/>
  </r>
  <r>
    <x v="240"/>
    <n v="2022014"/>
    <x v="14"/>
    <s v="Fababean"/>
    <m/>
    <x v="11"/>
    <s v="N"/>
    <x v="2"/>
    <n v="25"/>
    <n v="25"/>
    <x v="2"/>
    <m/>
    <m/>
    <m/>
    <n v="5"/>
    <m/>
    <m/>
    <m/>
    <m/>
    <m/>
    <n v="1"/>
    <n v="14"/>
    <x v="0"/>
    <n v="9"/>
    <m/>
    <n v="25"/>
    <x v="0"/>
    <n v="2"/>
    <x v="2"/>
    <m/>
    <m/>
    <n v="23"/>
    <x v="2"/>
    <s v="11/05/2022"/>
    <d v="2022-05-11T00:00:00"/>
    <s v="2022014-25"/>
    <x v="4"/>
  </r>
  <r>
    <x v="236"/>
    <n v="2022014"/>
    <x v="14"/>
    <s v="Fababean"/>
    <m/>
    <x v="11"/>
    <s v="N"/>
    <x v="2"/>
    <n v="26"/>
    <n v="26"/>
    <x v="2"/>
    <m/>
    <m/>
    <m/>
    <n v="5"/>
    <m/>
    <m/>
    <m/>
    <m/>
    <m/>
    <n v="2"/>
    <n v="14"/>
    <x v="1"/>
    <n v="9"/>
    <m/>
    <n v="26"/>
    <x v="0"/>
    <n v="6"/>
    <x v="1"/>
    <m/>
    <m/>
    <n v="23"/>
    <x v="2"/>
    <s v="11/05/2022"/>
    <d v="2022-05-11T00:00:00"/>
    <s v="2022014-26"/>
    <x v="4"/>
  </r>
  <r>
    <x v="238"/>
    <n v="2022014"/>
    <x v="14"/>
    <s v="Fababean"/>
    <m/>
    <x v="10"/>
    <s v="Y"/>
    <x v="2"/>
    <n v="27"/>
    <n v="27"/>
    <x v="2"/>
    <m/>
    <m/>
    <m/>
    <n v="5"/>
    <m/>
    <m/>
    <m/>
    <m/>
    <m/>
    <n v="3"/>
    <n v="14"/>
    <x v="2"/>
    <n v="9"/>
    <m/>
    <n v="27"/>
    <x v="0"/>
    <n v="4"/>
    <x v="2"/>
    <m/>
    <m/>
    <n v="23"/>
    <x v="2"/>
    <s v="11/05/2022"/>
    <d v="2022-05-11T00:00:00"/>
    <s v="2022014-27"/>
    <x v="4"/>
  </r>
  <r>
    <x v="241"/>
    <n v="2022014"/>
    <x v="14"/>
    <s v="Fababean"/>
    <m/>
    <x v="13"/>
    <s v="Y"/>
    <x v="2"/>
    <n v="28"/>
    <n v="28"/>
    <x v="2"/>
    <m/>
    <m/>
    <m/>
    <n v="5"/>
    <m/>
    <m/>
    <m/>
    <m/>
    <m/>
    <n v="1"/>
    <n v="15"/>
    <x v="0"/>
    <n v="10"/>
    <m/>
    <n v="30"/>
    <x v="0"/>
    <n v="3"/>
    <x v="2"/>
    <m/>
    <m/>
    <n v="23"/>
    <x v="2"/>
    <s v="11/05/2022"/>
    <d v="2022-05-11T00:00:00"/>
    <s v="2022014-28"/>
    <x v="4"/>
  </r>
  <r>
    <x v="237"/>
    <n v="2022014"/>
    <x v="14"/>
    <s v="Fababean"/>
    <m/>
    <x v="12"/>
    <s v="N"/>
    <x v="2"/>
    <n v="29"/>
    <n v="29"/>
    <x v="2"/>
    <m/>
    <m/>
    <m/>
    <n v="5"/>
    <m/>
    <m/>
    <m/>
    <m/>
    <m/>
    <n v="2"/>
    <n v="15"/>
    <x v="1"/>
    <n v="10"/>
    <m/>
    <n v="29"/>
    <x v="0"/>
    <n v="1"/>
    <x v="2"/>
    <m/>
    <m/>
    <n v="23"/>
    <x v="2"/>
    <s v="11/05/2022"/>
    <d v="2022-05-11T00:00:00"/>
    <s v="2022014-29"/>
    <x v="4"/>
  </r>
  <r>
    <x v="239"/>
    <n v="2022014"/>
    <x v="14"/>
    <s v="Fababean"/>
    <m/>
    <x v="12"/>
    <s v="N"/>
    <x v="2"/>
    <n v="30"/>
    <n v="30"/>
    <x v="2"/>
    <m/>
    <m/>
    <m/>
    <n v="5"/>
    <m/>
    <m/>
    <m/>
    <m/>
    <m/>
    <n v="3"/>
    <n v="15"/>
    <x v="2"/>
    <n v="10"/>
    <m/>
    <n v="28"/>
    <x v="0"/>
    <n v="5"/>
    <x v="1"/>
    <m/>
    <m/>
    <n v="23"/>
    <x v="2"/>
    <s v="11/05/2022"/>
    <d v="2022-05-11T00:00:00"/>
    <s v="2022014-30"/>
    <x v="4"/>
  </r>
  <r>
    <x v="244"/>
    <n v="2022014"/>
    <x v="14"/>
    <s v="Fababean"/>
    <m/>
    <x v="11"/>
    <s v="N"/>
    <x v="2"/>
    <n v="31"/>
    <n v="31"/>
    <x v="2"/>
    <m/>
    <m/>
    <m/>
    <n v="6"/>
    <m/>
    <m/>
    <m/>
    <m/>
    <m/>
    <n v="1"/>
    <n v="17"/>
    <x v="0"/>
    <n v="11"/>
    <m/>
    <n v="31"/>
    <x v="0"/>
    <n v="2"/>
    <x v="2"/>
    <m/>
    <m/>
    <n v="23"/>
    <x v="1"/>
    <s v="11/04/2022"/>
    <d v="2022-04-11T00:00:00"/>
    <s v="2022014-31"/>
    <x v="4"/>
  </r>
  <r>
    <x v="247"/>
    <n v="2022014"/>
    <x v="14"/>
    <s v="Fababean"/>
    <m/>
    <x v="12"/>
    <s v="N"/>
    <x v="2"/>
    <n v="32"/>
    <n v="32"/>
    <x v="2"/>
    <m/>
    <m/>
    <m/>
    <n v="6"/>
    <m/>
    <m/>
    <m/>
    <m/>
    <m/>
    <n v="2"/>
    <n v="17"/>
    <x v="1"/>
    <n v="11"/>
    <m/>
    <n v="32"/>
    <x v="0"/>
    <n v="5"/>
    <x v="1"/>
    <m/>
    <m/>
    <n v="23"/>
    <x v="1"/>
    <s v="11/04/2022"/>
    <d v="2022-04-11T00:00:00"/>
    <s v="2022014-32"/>
    <x v="4"/>
  </r>
  <r>
    <x v="242"/>
    <n v="2022014"/>
    <x v="14"/>
    <s v="Fababean"/>
    <m/>
    <x v="12"/>
    <s v="N"/>
    <x v="2"/>
    <n v="33"/>
    <n v="33"/>
    <x v="2"/>
    <m/>
    <m/>
    <m/>
    <n v="6"/>
    <m/>
    <m/>
    <m/>
    <m/>
    <m/>
    <n v="3"/>
    <n v="17"/>
    <x v="2"/>
    <n v="11"/>
    <m/>
    <n v="33"/>
    <x v="0"/>
    <n v="1"/>
    <x v="2"/>
    <m/>
    <m/>
    <n v="23"/>
    <x v="1"/>
    <s v="11/04/2022"/>
    <d v="2022-04-11T00:00:00"/>
    <s v="2022014-33"/>
    <x v="4"/>
  </r>
  <r>
    <x v="246"/>
    <n v="2022014"/>
    <x v="14"/>
    <s v="Fababean"/>
    <m/>
    <x v="11"/>
    <s v="N"/>
    <x v="2"/>
    <n v="34"/>
    <n v="34"/>
    <x v="2"/>
    <m/>
    <m/>
    <m/>
    <n v="6"/>
    <m/>
    <m/>
    <m/>
    <m/>
    <m/>
    <n v="1"/>
    <n v="18"/>
    <x v="0"/>
    <n v="12"/>
    <m/>
    <n v="36"/>
    <x v="0"/>
    <n v="6"/>
    <x v="1"/>
    <m/>
    <m/>
    <n v="23"/>
    <x v="1"/>
    <s v="11/04/2022"/>
    <d v="2022-04-11T00:00:00"/>
    <s v="2022014-34"/>
    <x v="4"/>
  </r>
  <r>
    <x v="245"/>
    <n v="2022014"/>
    <x v="14"/>
    <s v="Fababean"/>
    <m/>
    <x v="10"/>
    <s v="Y"/>
    <x v="2"/>
    <n v="35"/>
    <n v="35"/>
    <x v="2"/>
    <m/>
    <m/>
    <m/>
    <n v="6"/>
    <m/>
    <m/>
    <m/>
    <m/>
    <m/>
    <n v="2"/>
    <n v="18"/>
    <x v="1"/>
    <n v="12"/>
    <m/>
    <n v="35"/>
    <x v="0"/>
    <n v="4"/>
    <x v="2"/>
    <m/>
    <m/>
    <n v="23"/>
    <x v="1"/>
    <s v="11/04/2022"/>
    <d v="2022-04-11T00:00:00"/>
    <s v="2022014-35"/>
    <x v="4"/>
  </r>
  <r>
    <x v="243"/>
    <n v="2022014"/>
    <x v="14"/>
    <s v="Fababean"/>
    <m/>
    <x v="13"/>
    <s v="Y"/>
    <x v="2"/>
    <n v="36"/>
    <n v="36"/>
    <x v="2"/>
    <m/>
    <m/>
    <m/>
    <n v="6"/>
    <m/>
    <m/>
    <m/>
    <m/>
    <m/>
    <n v="3"/>
    <n v="18"/>
    <x v="2"/>
    <n v="12"/>
    <m/>
    <n v="34"/>
    <x v="0"/>
    <n v="3"/>
    <x v="2"/>
    <m/>
    <m/>
    <n v="23"/>
    <x v="1"/>
    <s v="11/04/2022"/>
    <d v="2022-04-11T00:00:00"/>
    <s v="2022014-36"/>
    <x v="4"/>
  </r>
  <r>
    <x v="246"/>
    <n v="2022014"/>
    <x v="14"/>
    <s v="Fababean"/>
    <m/>
    <x v="11"/>
    <s v="N"/>
    <x v="2"/>
    <n v="37"/>
    <n v="37"/>
    <x v="3"/>
    <m/>
    <m/>
    <m/>
    <n v="7"/>
    <m/>
    <m/>
    <m/>
    <m/>
    <m/>
    <n v="1"/>
    <n v="20"/>
    <x v="0"/>
    <n v="13"/>
    <m/>
    <n v="37"/>
    <x v="0"/>
    <n v="6"/>
    <x v="1"/>
    <m/>
    <m/>
    <n v="23"/>
    <x v="1"/>
    <s v="11/04/2022"/>
    <d v="2022-04-11T00:00:00"/>
    <s v="2022014-37"/>
    <x v="4"/>
  </r>
  <r>
    <x v="247"/>
    <n v="2022014"/>
    <x v="14"/>
    <s v="Fababean"/>
    <m/>
    <x v="12"/>
    <s v="N"/>
    <x v="2"/>
    <n v="38"/>
    <n v="38"/>
    <x v="3"/>
    <m/>
    <m/>
    <m/>
    <n v="7"/>
    <m/>
    <m/>
    <m/>
    <m/>
    <m/>
    <n v="2"/>
    <n v="20"/>
    <x v="1"/>
    <n v="13"/>
    <m/>
    <n v="38"/>
    <x v="0"/>
    <n v="5"/>
    <x v="1"/>
    <m/>
    <m/>
    <n v="23"/>
    <x v="1"/>
    <s v="11/04/2022"/>
    <d v="2022-04-11T00:00:00"/>
    <s v="2022014-38"/>
    <x v="4"/>
  </r>
  <r>
    <x v="243"/>
    <n v="2022014"/>
    <x v="14"/>
    <s v="Fababean"/>
    <m/>
    <x v="13"/>
    <s v="Y"/>
    <x v="2"/>
    <n v="39"/>
    <n v="39"/>
    <x v="3"/>
    <m/>
    <m/>
    <m/>
    <n v="7"/>
    <m/>
    <m/>
    <m/>
    <m/>
    <m/>
    <n v="3"/>
    <n v="20"/>
    <x v="2"/>
    <n v="13"/>
    <m/>
    <n v="39"/>
    <x v="0"/>
    <n v="3"/>
    <x v="2"/>
    <m/>
    <m/>
    <n v="23"/>
    <x v="1"/>
    <s v="11/04/2022"/>
    <d v="2022-04-11T00:00:00"/>
    <s v="2022014-39"/>
    <x v="4"/>
  </r>
  <r>
    <x v="245"/>
    <n v="2022014"/>
    <x v="14"/>
    <s v="Fababean"/>
    <m/>
    <x v="10"/>
    <s v="Y"/>
    <x v="2"/>
    <n v="40"/>
    <n v="40"/>
    <x v="3"/>
    <m/>
    <m/>
    <m/>
    <n v="7"/>
    <m/>
    <m/>
    <m/>
    <m/>
    <m/>
    <n v="1"/>
    <n v="21"/>
    <x v="0"/>
    <n v="14"/>
    <m/>
    <n v="42"/>
    <x v="0"/>
    <n v="4"/>
    <x v="2"/>
    <m/>
    <m/>
    <n v="23"/>
    <x v="1"/>
    <s v="11/04/2022"/>
    <d v="2022-04-11T00:00:00"/>
    <s v="2022014-40"/>
    <x v="4"/>
  </r>
  <r>
    <x v="242"/>
    <n v="2022014"/>
    <x v="14"/>
    <s v="Fababean"/>
    <m/>
    <x v="12"/>
    <s v="N"/>
    <x v="2"/>
    <n v="41"/>
    <n v="41"/>
    <x v="3"/>
    <m/>
    <m/>
    <m/>
    <n v="7"/>
    <m/>
    <m/>
    <m/>
    <m/>
    <m/>
    <n v="2"/>
    <n v="21"/>
    <x v="1"/>
    <n v="14"/>
    <m/>
    <n v="41"/>
    <x v="0"/>
    <n v="1"/>
    <x v="2"/>
    <m/>
    <m/>
    <n v="23"/>
    <x v="1"/>
    <s v="11/04/2022"/>
    <d v="2022-04-11T00:00:00"/>
    <s v="2022014-41"/>
    <x v="4"/>
  </r>
  <r>
    <x v="244"/>
    <n v="2022014"/>
    <x v="14"/>
    <s v="Fababean"/>
    <m/>
    <x v="11"/>
    <s v="N"/>
    <x v="2"/>
    <n v="42"/>
    <n v="42"/>
    <x v="3"/>
    <m/>
    <m/>
    <m/>
    <n v="7"/>
    <m/>
    <m/>
    <m/>
    <m/>
    <m/>
    <n v="3"/>
    <n v="21"/>
    <x v="2"/>
    <n v="14"/>
    <m/>
    <n v="40"/>
    <x v="0"/>
    <n v="2"/>
    <x v="2"/>
    <m/>
    <m/>
    <n v="23"/>
    <x v="1"/>
    <s v="11/04/2022"/>
    <d v="2022-04-11T00:00:00"/>
    <s v="2022014-42"/>
    <x v="4"/>
  </r>
  <r>
    <x v="237"/>
    <n v="2022014"/>
    <x v="14"/>
    <s v="Fababean"/>
    <m/>
    <x v="12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1"/>
    <x v="2"/>
    <m/>
    <m/>
    <n v="23"/>
    <x v="2"/>
    <s v="11/05/2022"/>
    <d v="2022-05-11T00:00:00"/>
    <s v="2022014-43"/>
    <x v="4"/>
  </r>
  <r>
    <x v="241"/>
    <n v="2022014"/>
    <x v="14"/>
    <s v="Fababean"/>
    <m/>
    <x v="13"/>
    <s v="Y"/>
    <x v="2"/>
    <n v="44"/>
    <n v="44"/>
    <x v="3"/>
    <m/>
    <m/>
    <m/>
    <n v="8"/>
    <m/>
    <m/>
    <m/>
    <m/>
    <m/>
    <n v="2"/>
    <n v="23"/>
    <x v="1"/>
    <n v="15"/>
    <m/>
    <n v="44"/>
    <x v="0"/>
    <n v="3"/>
    <x v="2"/>
    <m/>
    <m/>
    <n v="23"/>
    <x v="2"/>
    <s v="11/05/2022"/>
    <d v="2022-05-11T00:00:00"/>
    <s v="2022014-44"/>
    <x v="4"/>
  </r>
  <r>
    <x v="236"/>
    <n v="2022014"/>
    <x v="14"/>
    <s v="Fababean"/>
    <m/>
    <x v="11"/>
    <s v="N"/>
    <x v="2"/>
    <n v="45"/>
    <n v="45"/>
    <x v="3"/>
    <m/>
    <m/>
    <m/>
    <n v="8"/>
    <m/>
    <m/>
    <m/>
    <m/>
    <m/>
    <n v="3"/>
    <n v="23"/>
    <x v="2"/>
    <n v="15"/>
    <m/>
    <n v="45"/>
    <x v="0"/>
    <n v="6"/>
    <x v="1"/>
    <m/>
    <m/>
    <n v="23"/>
    <x v="2"/>
    <s v="11/05/2022"/>
    <d v="2022-05-11T00:00:00"/>
    <s v="2022014-45"/>
    <x v="4"/>
  </r>
  <r>
    <x v="239"/>
    <n v="2022014"/>
    <x v="14"/>
    <s v="Fababean"/>
    <m/>
    <x v="12"/>
    <s v="N"/>
    <x v="2"/>
    <n v="46"/>
    <n v="46"/>
    <x v="3"/>
    <m/>
    <m/>
    <m/>
    <n v="8"/>
    <m/>
    <m/>
    <m/>
    <m/>
    <m/>
    <n v="1"/>
    <n v="24"/>
    <x v="0"/>
    <n v="16"/>
    <m/>
    <n v="48"/>
    <x v="0"/>
    <n v="5"/>
    <x v="1"/>
    <m/>
    <m/>
    <n v="23"/>
    <x v="2"/>
    <s v="11/05/2022"/>
    <d v="2022-05-11T00:00:00"/>
    <s v="2022014-46"/>
    <x v="4"/>
  </r>
  <r>
    <x v="238"/>
    <n v="2022014"/>
    <x v="14"/>
    <s v="Fababean"/>
    <m/>
    <x v="10"/>
    <s v="Y"/>
    <x v="2"/>
    <n v="47"/>
    <n v="47"/>
    <x v="3"/>
    <m/>
    <m/>
    <m/>
    <n v="8"/>
    <m/>
    <m/>
    <m/>
    <m/>
    <m/>
    <n v="2"/>
    <n v="24"/>
    <x v="1"/>
    <n v="16"/>
    <m/>
    <n v="47"/>
    <x v="0"/>
    <n v="4"/>
    <x v="2"/>
    <m/>
    <m/>
    <n v="23"/>
    <x v="2"/>
    <s v="11/05/2022"/>
    <d v="2022-05-11T00:00:00"/>
    <s v="2022014-47"/>
    <x v="4"/>
  </r>
  <r>
    <x v="240"/>
    <n v="2022014"/>
    <x v="14"/>
    <s v="Fababean"/>
    <m/>
    <x v="11"/>
    <s v="N"/>
    <x v="2"/>
    <n v="48"/>
    <n v="48"/>
    <x v="3"/>
    <m/>
    <m/>
    <m/>
    <n v="8"/>
    <m/>
    <m/>
    <m/>
    <m/>
    <m/>
    <n v="3"/>
    <n v="24"/>
    <x v="2"/>
    <n v="16"/>
    <m/>
    <n v="46"/>
    <x v="0"/>
    <n v="2"/>
    <x v="2"/>
    <m/>
    <m/>
    <n v="23"/>
    <x v="2"/>
    <s v="11/05/2022"/>
    <d v="2022-05-11T00:00:00"/>
    <s v="2022014-48"/>
    <x v="4"/>
  </r>
  <r>
    <x v="248"/>
    <n v="2022015"/>
    <x v="15"/>
    <s v="Lentil"/>
    <m/>
    <x v="16"/>
    <s v="N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2"/>
    <s v="14/06/2022"/>
    <d v="2022-06-14T00:00:00"/>
    <s v="2022015-1"/>
    <x v="0"/>
  </r>
  <r>
    <x v="249"/>
    <n v="2022015"/>
    <x v="15"/>
    <s v="Lentil"/>
    <m/>
    <x v="15"/>
    <s v="Y"/>
    <x v="2"/>
    <n v="2"/>
    <n v="2"/>
    <x v="0"/>
    <m/>
    <m/>
    <m/>
    <n v="1"/>
    <m/>
    <m/>
    <m/>
    <m/>
    <m/>
    <n v="2"/>
    <n v="2"/>
    <x v="1"/>
    <n v="1"/>
    <m/>
    <n v="2"/>
    <x v="0"/>
    <n v="6"/>
    <x v="0"/>
    <m/>
    <m/>
    <n v="30"/>
    <x v="2"/>
    <s v="14/06/2022"/>
    <d v="2022-06-14T00:00:00"/>
    <s v="2022015-2"/>
    <x v="0"/>
  </r>
  <r>
    <x v="250"/>
    <n v="2022015"/>
    <x v="15"/>
    <s v="Lentil"/>
    <m/>
    <x v="21"/>
    <s v="N"/>
    <x v="2"/>
    <n v="3"/>
    <n v="3"/>
    <x v="0"/>
    <m/>
    <m/>
    <m/>
    <n v="1"/>
    <m/>
    <m/>
    <m/>
    <m/>
    <m/>
    <n v="3"/>
    <n v="2"/>
    <x v="2"/>
    <n v="1"/>
    <m/>
    <n v="3"/>
    <x v="0"/>
    <n v="3"/>
    <x v="0"/>
    <m/>
    <m/>
    <n v="30"/>
    <x v="2"/>
    <s v="14/06/2022"/>
    <d v="2022-06-14T00:00:00"/>
    <s v="2022015-3"/>
    <x v="0"/>
  </r>
  <r>
    <x v="251"/>
    <n v="2022015"/>
    <x v="15"/>
    <s v="Lentil"/>
    <m/>
    <x v="14"/>
    <s v="N"/>
    <x v="2"/>
    <n v="4"/>
    <n v="4"/>
    <x v="0"/>
    <m/>
    <m/>
    <m/>
    <n v="1"/>
    <m/>
    <m/>
    <m/>
    <m/>
    <m/>
    <n v="4"/>
    <n v="2"/>
    <x v="3"/>
    <n v="1"/>
    <m/>
    <n v="4"/>
    <x v="0"/>
    <n v="2"/>
    <x v="0"/>
    <m/>
    <m/>
    <n v="30"/>
    <x v="2"/>
    <s v="14/06/2022"/>
    <d v="2022-06-14T00:00:00"/>
    <s v="2022015-4"/>
    <x v="0"/>
  </r>
  <r>
    <x v="252"/>
    <n v="2022015"/>
    <x v="15"/>
    <s v="Lentil"/>
    <m/>
    <x v="1"/>
    <s v="Y"/>
    <x v="2"/>
    <n v="5"/>
    <n v="5"/>
    <x v="0"/>
    <m/>
    <m/>
    <m/>
    <n v="1"/>
    <m/>
    <m/>
    <m/>
    <m/>
    <m/>
    <n v="5"/>
    <n v="2"/>
    <x v="4"/>
    <n v="1"/>
    <m/>
    <n v="5"/>
    <x v="0"/>
    <n v="5"/>
    <x v="0"/>
    <m/>
    <m/>
    <n v="30"/>
    <x v="2"/>
    <s v="14/06/2022"/>
    <d v="2022-06-14T00:00:00"/>
    <s v="2022015-5"/>
    <x v="0"/>
  </r>
  <r>
    <x v="253"/>
    <n v="2022015"/>
    <x v="15"/>
    <s v="Lentil"/>
    <m/>
    <x v="0"/>
    <s v="N"/>
    <x v="2"/>
    <n v="6"/>
    <n v="6"/>
    <x v="0"/>
    <m/>
    <m/>
    <m/>
    <n v="1"/>
    <m/>
    <m/>
    <m/>
    <m/>
    <m/>
    <n v="6"/>
    <n v="2"/>
    <x v="5"/>
    <n v="1"/>
    <m/>
    <n v="6"/>
    <x v="0"/>
    <n v="1"/>
    <x v="0"/>
    <m/>
    <m/>
    <n v="30"/>
    <x v="2"/>
    <s v="14/06/2022"/>
    <d v="2022-06-14T00:00:00"/>
    <s v="2022015-6"/>
    <x v="0"/>
  </r>
  <r>
    <x v="254"/>
    <n v="2022015"/>
    <x v="15"/>
    <s v="Lentil"/>
    <m/>
    <x v="14"/>
    <s v="N"/>
    <x v="2"/>
    <n v="7"/>
    <n v="7"/>
    <x v="0"/>
    <m/>
    <m/>
    <m/>
    <n v="2"/>
    <m/>
    <m/>
    <m/>
    <m/>
    <m/>
    <n v="1"/>
    <n v="5"/>
    <x v="0"/>
    <n v="2"/>
    <m/>
    <n v="12"/>
    <x v="0"/>
    <n v="2"/>
    <x v="0"/>
    <m/>
    <m/>
    <n v="30"/>
    <x v="1"/>
    <s v="10/05/2022"/>
    <d v="2022-05-10T00:00:00"/>
    <s v="2022015-7"/>
    <x v="0"/>
  </r>
  <r>
    <x v="255"/>
    <n v="2022015"/>
    <x v="15"/>
    <s v="Lentil"/>
    <m/>
    <x v="1"/>
    <s v="Y"/>
    <x v="2"/>
    <n v="8"/>
    <n v="8"/>
    <x v="0"/>
    <m/>
    <m/>
    <m/>
    <n v="2"/>
    <m/>
    <m/>
    <m/>
    <m/>
    <m/>
    <n v="2"/>
    <n v="5"/>
    <x v="1"/>
    <n v="2"/>
    <m/>
    <n v="11"/>
    <x v="0"/>
    <n v="5"/>
    <x v="0"/>
    <m/>
    <m/>
    <n v="30"/>
    <x v="1"/>
    <s v="10/05/2022"/>
    <d v="2022-05-10T00:00:00"/>
    <s v="2022015-8"/>
    <x v="0"/>
  </r>
  <r>
    <x v="256"/>
    <n v="2022015"/>
    <x v="15"/>
    <s v="Lentil"/>
    <m/>
    <x v="16"/>
    <s v="N"/>
    <x v="2"/>
    <n v="9"/>
    <n v="9"/>
    <x v="0"/>
    <m/>
    <m/>
    <m/>
    <n v="2"/>
    <m/>
    <m/>
    <m/>
    <m/>
    <m/>
    <n v="3"/>
    <n v="5"/>
    <x v="2"/>
    <n v="2"/>
    <m/>
    <n v="10"/>
    <x v="0"/>
    <n v="4"/>
    <x v="0"/>
    <m/>
    <m/>
    <n v="30"/>
    <x v="1"/>
    <s v="10/05/2022"/>
    <d v="2022-05-10T00:00:00"/>
    <s v="2022015-9"/>
    <x v="0"/>
  </r>
  <r>
    <x v="257"/>
    <n v="2022015"/>
    <x v="15"/>
    <s v="Lentil"/>
    <m/>
    <x v="21"/>
    <s v="N"/>
    <x v="2"/>
    <n v="10"/>
    <n v="10"/>
    <x v="0"/>
    <m/>
    <m/>
    <m/>
    <n v="2"/>
    <m/>
    <m/>
    <m/>
    <m/>
    <m/>
    <n v="4"/>
    <n v="5"/>
    <x v="3"/>
    <n v="2"/>
    <m/>
    <n v="9"/>
    <x v="0"/>
    <n v="3"/>
    <x v="0"/>
    <m/>
    <m/>
    <n v="30"/>
    <x v="1"/>
    <s v="10/05/2022"/>
    <d v="2022-05-10T00:00:00"/>
    <s v="2022015-10"/>
    <x v="0"/>
  </r>
  <r>
    <x v="258"/>
    <n v="2022015"/>
    <x v="15"/>
    <s v="Lentil"/>
    <m/>
    <x v="0"/>
    <s v="N"/>
    <x v="2"/>
    <n v="11"/>
    <n v="11"/>
    <x v="0"/>
    <m/>
    <m/>
    <m/>
    <n v="2"/>
    <m/>
    <m/>
    <m/>
    <m/>
    <m/>
    <n v="5"/>
    <n v="5"/>
    <x v="4"/>
    <n v="2"/>
    <m/>
    <n v="8"/>
    <x v="0"/>
    <n v="1"/>
    <x v="0"/>
    <m/>
    <m/>
    <n v="30"/>
    <x v="1"/>
    <s v="10/05/2022"/>
    <d v="2022-05-10T00:00:00"/>
    <s v="2022015-11"/>
    <x v="0"/>
  </r>
  <r>
    <x v="259"/>
    <n v="2022015"/>
    <x v="15"/>
    <s v="Lentil"/>
    <m/>
    <x v="15"/>
    <s v="Y"/>
    <x v="2"/>
    <n v="12"/>
    <n v="12"/>
    <x v="0"/>
    <m/>
    <m/>
    <m/>
    <n v="2"/>
    <m/>
    <m/>
    <m/>
    <m/>
    <m/>
    <n v="6"/>
    <n v="5"/>
    <x v="5"/>
    <n v="2"/>
    <m/>
    <n v="7"/>
    <x v="0"/>
    <n v="6"/>
    <x v="0"/>
    <m/>
    <m/>
    <n v="30"/>
    <x v="1"/>
    <s v="10/05/2022"/>
    <d v="2022-05-10T00:00:00"/>
    <s v="2022015-12"/>
    <x v="0"/>
  </r>
  <r>
    <x v="259"/>
    <n v="2022015"/>
    <x v="15"/>
    <s v="Lentil"/>
    <m/>
    <x v="15"/>
    <s v="Y"/>
    <x v="2"/>
    <n v="13"/>
    <n v="13"/>
    <x v="1"/>
    <m/>
    <m/>
    <m/>
    <n v="3"/>
    <m/>
    <m/>
    <m/>
    <m/>
    <m/>
    <n v="1"/>
    <n v="8"/>
    <x v="0"/>
    <n v="3"/>
    <m/>
    <n v="13"/>
    <x v="0"/>
    <n v="6"/>
    <x v="0"/>
    <m/>
    <m/>
    <n v="30"/>
    <x v="1"/>
    <s v="10/05/2022"/>
    <d v="2022-05-10T00:00:00"/>
    <s v="2022015-13"/>
    <x v="0"/>
  </r>
  <r>
    <x v="256"/>
    <n v="2022015"/>
    <x v="15"/>
    <s v="Lentil"/>
    <m/>
    <x v="16"/>
    <s v="N"/>
    <x v="2"/>
    <n v="14"/>
    <n v="14"/>
    <x v="1"/>
    <m/>
    <m/>
    <m/>
    <n v="3"/>
    <m/>
    <m/>
    <m/>
    <m/>
    <m/>
    <n v="2"/>
    <n v="8"/>
    <x v="1"/>
    <n v="3"/>
    <m/>
    <n v="14"/>
    <x v="0"/>
    <n v="4"/>
    <x v="0"/>
    <m/>
    <m/>
    <n v="30"/>
    <x v="1"/>
    <s v="10/05/2022"/>
    <d v="2022-05-10T00:00:00"/>
    <s v="2022015-14"/>
    <x v="0"/>
  </r>
  <r>
    <x v="258"/>
    <n v="2022015"/>
    <x v="15"/>
    <s v="Lentil"/>
    <m/>
    <x v="0"/>
    <s v="N"/>
    <x v="2"/>
    <n v="15"/>
    <n v="15"/>
    <x v="1"/>
    <m/>
    <m/>
    <m/>
    <n v="3"/>
    <m/>
    <m/>
    <m/>
    <m/>
    <m/>
    <n v="3"/>
    <n v="8"/>
    <x v="2"/>
    <n v="3"/>
    <m/>
    <n v="15"/>
    <x v="0"/>
    <n v="1"/>
    <x v="0"/>
    <m/>
    <m/>
    <n v="30"/>
    <x v="1"/>
    <s v="10/05/2022"/>
    <d v="2022-05-10T00:00:00"/>
    <s v="2022015-15"/>
    <x v="0"/>
  </r>
  <r>
    <x v="254"/>
    <n v="2022015"/>
    <x v="15"/>
    <s v="Lentil"/>
    <m/>
    <x v="14"/>
    <s v="N"/>
    <x v="2"/>
    <n v="16"/>
    <n v="16"/>
    <x v="1"/>
    <m/>
    <m/>
    <m/>
    <n v="3"/>
    <m/>
    <m/>
    <m/>
    <m/>
    <m/>
    <n v="4"/>
    <n v="8"/>
    <x v="3"/>
    <n v="3"/>
    <m/>
    <n v="16"/>
    <x v="0"/>
    <n v="2"/>
    <x v="0"/>
    <m/>
    <m/>
    <n v="30"/>
    <x v="1"/>
    <s v="10/05/2022"/>
    <d v="2022-05-10T00:00:00"/>
    <s v="2022015-16"/>
    <x v="0"/>
  </r>
  <r>
    <x v="255"/>
    <n v="2022015"/>
    <x v="15"/>
    <s v="Lentil"/>
    <m/>
    <x v="1"/>
    <s v="Y"/>
    <x v="2"/>
    <n v="17"/>
    <n v="17"/>
    <x v="1"/>
    <m/>
    <m/>
    <m/>
    <n v="3"/>
    <m/>
    <m/>
    <m/>
    <m/>
    <m/>
    <n v="5"/>
    <n v="8"/>
    <x v="4"/>
    <n v="3"/>
    <m/>
    <n v="17"/>
    <x v="0"/>
    <n v="5"/>
    <x v="0"/>
    <m/>
    <m/>
    <n v="30"/>
    <x v="1"/>
    <s v="10/05/2022"/>
    <d v="2022-05-10T00:00:00"/>
    <s v="2022015-17"/>
    <x v="0"/>
  </r>
  <r>
    <x v="257"/>
    <n v="2022015"/>
    <x v="15"/>
    <s v="Lentil"/>
    <m/>
    <x v="21"/>
    <s v="N"/>
    <x v="2"/>
    <n v="18"/>
    <n v="18"/>
    <x v="1"/>
    <m/>
    <m/>
    <m/>
    <n v="3"/>
    <m/>
    <m/>
    <m/>
    <m/>
    <m/>
    <n v="6"/>
    <n v="8"/>
    <x v="5"/>
    <n v="3"/>
    <m/>
    <n v="18"/>
    <x v="0"/>
    <n v="3"/>
    <x v="0"/>
    <m/>
    <m/>
    <n v="30"/>
    <x v="1"/>
    <s v="10/05/2022"/>
    <d v="2022-05-10T00:00:00"/>
    <s v="2022015-18"/>
    <x v="0"/>
  </r>
  <r>
    <x v="253"/>
    <n v="2022015"/>
    <x v="15"/>
    <s v="Lentil"/>
    <m/>
    <x v="0"/>
    <s v="N"/>
    <x v="2"/>
    <n v="19"/>
    <n v="19"/>
    <x v="1"/>
    <m/>
    <m/>
    <m/>
    <n v="4"/>
    <m/>
    <m/>
    <m/>
    <m/>
    <m/>
    <n v="1"/>
    <n v="11"/>
    <x v="0"/>
    <n v="4"/>
    <m/>
    <n v="24"/>
    <x v="0"/>
    <n v="1"/>
    <x v="0"/>
    <m/>
    <m/>
    <n v="30"/>
    <x v="2"/>
    <s v="14/06/2022"/>
    <d v="2022-06-14T00:00:00"/>
    <s v="2022015-19"/>
    <x v="0"/>
  </r>
  <r>
    <x v="250"/>
    <n v="2022015"/>
    <x v="15"/>
    <s v="Lentil"/>
    <m/>
    <x v="21"/>
    <s v="N"/>
    <x v="2"/>
    <n v="20"/>
    <n v="20"/>
    <x v="1"/>
    <m/>
    <m/>
    <m/>
    <n v="4"/>
    <m/>
    <m/>
    <m/>
    <m/>
    <m/>
    <n v="2"/>
    <n v="11"/>
    <x v="1"/>
    <n v="4"/>
    <m/>
    <n v="23"/>
    <x v="0"/>
    <n v="3"/>
    <x v="0"/>
    <m/>
    <m/>
    <n v="30"/>
    <x v="2"/>
    <s v="14/06/2022"/>
    <d v="2022-06-14T00:00:00"/>
    <s v="2022015-20"/>
    <x v="0"/>
  </r>
  <r>
    <x v="252"/>
    <n v="2022015"/>
    <x v="15"/>
    <s v="Lentil"/>
    <m/>
    <x v="1"/>
    <s v="Y"/>
    <x v="2"/>
    <n v="21"/>
    <n v="21"/>
    <x v="1"/>
    <m/>
    <m/>
    <m/>
    <n v="4"/>
    <m/>
    <m/>
    <m/>
    <m/>
    <m/>
    <n v="3"/>
    <n v="11"/>
    <x v="2"/>
    <n v="4"/>
    <m/>
    <n v="22"/>
    <x v="0"/>
    <n v="5"/>
    <x v="0"/>
    <m/>
    <m/>
    <n v="30"/>
    <x v="2"/>
    <s v="14/06/2022"/>
    <d v="2022-06-14T00:00:00"/>
    <s v="2022015-21"/>
    <x v="0"/>
  </r>
  <r>
    <x v="249"/>
    <n v="2022015"/>
    <x v="15"/>
    <s v="Lentil"/>
    <m/>
    <x v="15"/>
    <s v="Y"/>
    <x v="2"/>
    <n v="22"/>
    <n v="22"/>
    <x v="1"/>
    <m/>
    <m/>
    <m/>
    <n v="4"/>
    <m/>
    <m/>
    <m/>
    <m/>
    <m/>
    <n v="4"/>
    <n v="11"/>
    <x v="3"/>
    <n v="4"/>
    <m/>
    <n v="21"/>
    <x v="0"/>
    <n v="6"/>
    <x v="0"/>
    <m/>
    <m/>
    <n v="30"/>
    <x v="2"/>
    <s v="14/06/2022"/>
    <d v="2022-06-14T00:00:00"/>
    <s v="2022015-22"/>
    <x v="0"/>
  </r>
  <r>
    <x v="251"/>
    <n v="2022015"/>
    <x v="15"/>
    <s v="Lentil"/>
    <m/>
    <x v="14"/>
    <s v="N"/>
    <x v="2"/>
    <n v="23"/>
    <n v="23"/>
    <x v="1"/>
    <m/>
    <m/>
    <m/>
    <n v="4"/>
    <m/>
    <m/>
    <m/>
    <m/>
    <m/>
    <n v="5"/>
    <n v="11"/>
    <x v="4"/>
    <n v="4"/>
    <m/>
    <n v="20"/>
    <x v="0"/>
    <n v="2"/>
    <x v="0"/>
    <m/>
    <m/>
    <n v="30"/>
    <x v="2"/>
    <s v="14/06/2022"/>
    <d v="2022-06-14T00:00:00"/>
    <s v="2022015-23"/>
    <x v="0"/>
  </r>
  <r>
    <x v="248"/>
    <n v="2022015"/>
    <x v="15"/>
    <s v="Lentil"/>
    <m/>
    <x v="16"/>
    <s v="N"/>
    <x v="2"/>
    <n v="24"/>
    <n v="24"/>
    <x v="1"/>
    <m/>
    <m/>
    <m/>
    <n v="4"/>
    <m/>
    <m/>
    <m/>
    <m/>
    <m/>
    <n v="6"/>
    <n v="11"/>
    <x v="5"/>
    <n v="4"/>
    <m/>
    <n v="19"/>
    <x v="0"/>
    <n v="4"/>
    <x v="0"/>
    <m/>
    <m/>
    <n v="30"/>
    <x v="2"/>
    <s v="14/06/2022"/>
    <d v="2022-06-14T00:00:00"/>
    <s v="2022015-24"/>
    <x v="0"/>
  </r>
  <r>
    <x v="252"/>
    <n v="2022015"/>
    <x v="15"/>
    <s v="Lentil"/>
    <m/>
    <x v="1"/>
    <s v="Y"/>
    <x v="2"/>
    <n v="25"/>
    <n v="25"/>
    <x v="2"/>
    <m/>
    <m/>
    <m/>
    <n v="5"/>
    <m/>
    <m/>
    <m/>
    <m/>
    <m/>
    <n v="1"/>
    <n v="14"/>
    <x v="0"/>
    <n v="5"/>
    <m/>
    <n v="25"/>
    <x v="0"/>
    <n v="5"/>
    <x v="0"/>
    <m/>
    <m/>
    <n v="30"/>
    <x v="2"/>
    <s v="14/06/2022"/>
    <d v="2022-06-14T00:00:00"/>
    <s v="2022015-25"/>
    <x v="0"/>
  </r>
  <r>
    <x v="251"/>
    <n v="2022015"/>
    <x v="15"/>
    <s v="Lentil"/>
    <m/>
    <x v="14"/>
    <s v="N"/>
    <x v="2"/>
    <n v="26"/>
    <n v="26"/>
    <x v="2"/>
    <m/>
    <m/>
    <m/>
    <n v="5"/>
    <m/>
    <m/>
    <m/>
    <m/>
    <m/>
    <n v="2"/>
    <n v="14"/>
    <x v="1"/>
    <n v="5"/>
    <m/>
    <n v="26"/>
    <x v="0"/>
    <n v="2"/>
    <x v="0"/>
    <m/>
    <m/>
    <n v="30"/>
    <x v="2"/>
    <s v="14/06/2022"/>
    <d v="2022-06-14T00:00:00"/>
    <s v="2022015-26"/>
    <x v="0"/>
  </r>
  <r>
    <x v="253"/>
    <n v="2022015"/>
    <x v="15"/>
    <s v="Lentil"/>
    <m/>
    <x v="0"/>
    <s v="N"/>
    <x v="2"/>
    <n v="27"/>
    <n v="27"/>
    <x v="2"/>
    <m/>
    <m/>
    <m/>
    <n v="5"/>
    <m/>
    <m/>
    <m/>
    <m/>
    <m/>
    <n v="3"/>
    <n v="14"/>
    <x v="2"/>
    <n v="5"/>
    <m/>
    <n v="27"/>
    <x v="0"/>
    <n v="1"/>
    <x v="0"/>
    <m/>
    <m/>
    <n v="30"/>
    <x v="2"/>
    <s v="14/06/2022"/>
    <d v="2022-06-14T00:00:00"/>
    <s v="2022015-27"/>
    <x v="0"/>
  </r>
  <r>
    <x v="248"/>
    <n v="2022015"/>
    <x v="15"/>
    <s v="Lentil"/>
    <m/>
    <x v="16"/>
    <s v="N"/>
    <x v="2"/>
    <n v="28"/>
    <n v="28"/>
    <x v="2"/>
    <m/>
    <m/>
    <m/>
    <n v="5"/>
    <m/>
    <m/>
    <m/>
    <m/>
    <m/>
    <n v="4"/>
    <n v="14"/>
    <x v="3"/>
    <n v="5"/>
    <m/>
    <n v="28"/>
    <x v="0"/>
    <n v="4"/>
    <x v="0"/>
    <m/>
    <m/>
    <n v="30"/>
    <x v="2"/>
    <s v="14/06/2022"/>
    <d v="2022-06-14T00:00:00"/>
    <s v="2022015-28"/>
    <x v="0"/>
  </r>
  <r>
    <x v="250"/>
    <n v="2022015"/>
    <x v="15"/>
    <s v="Lentil"/>
    <m/>
    <x v="21"/>
    <s v="N"/>
    <x v="2"/>
    <n v="29"/>
    <n v="29"/>
    <x v="2"/>
    <m/>
    <m/>
    <m/>
    <n v="5"/>
    <m/>
    <m/>
    <m/>
    <m/>
    <m/>
    <n v="5"/>
    <n v="14"/>
    <x v="4"/>
    <n v="5"/>
    <m/>
    <n v="29"/>
    <x v="0"/>
    <n v="3"/>
    <x v="0"/>
    <m/>
    <m/>
    <n v="30"/>
    <x v="2"/>
    <s v="14/06/2022"/>
    <d v="2022-06-14T00:00:00"/>
    <s v="2022015-29"/>
    <x v="0"/>
  </r>
  <r>
    <x v="249"/>
    <n v="2022015"/>
    <x v="15"/>
    <s v="Lentil"/>
    <m/>
    <x v="15"/>
    <s v="Y"/>
    <x v="2"/>
    <n v="30"/>
    <n v="30"/>
    <x v="2"/>
    <m/>
    <m/>
    <m/>
    <n v="5"/>
    <m/>
    <m/>
    <m/>
    <m/>
    <m/>
    <n v="6"/>
    <n v="14"/>
    <x v="5"/>
    <n v="5"/>
    <m/>
    <n v="30"/>
    <x v="0"/>
    <n v="6"/>
    <x v="0"/>
    <m/>
    <m/>
    <n v="30"/>
    <x v="2"/>
    <s v="14/06/2022"/>
    <d v="2022-06-14T00:00:00"/>
    <s v="2022015-30"/>
    <x v="0"/>
  </r>
  <r>
    <x v="258"/>
    <n v="2022015"/>
    <x v="15"/>
    <s v="Lentil"/>
    <m/>
    <x v="0"/>
    <s v="N"/>
    <x v="2"/>
    <n v="31"/>
    <n v="31"/>
    <x v="2"/>
    <m/>
    <m/>
    <m/>
    <n v="6"/>
    <m/>
    <m/>
    <m/>
    <m/>
    <m/>
    <n v="1"/>
    <n v="17"/>
    <x v="0"/>
    <n v="6"/>
    <m/>
    <n v="36"/>
    <x v="0"/>
    <n v="1"/>
    <x v="0"/>
    <m/>
    <m/>
    <n v="30"/>
    <x v="1"/>
    <s v="10/05/2022"/>
    <d v="2022-05-10T00:00:00"/>
    <s v="2022015-31"/>
    <x v="0"/>
  </r>
  <r>
    <x v="259"/>
    <n v="2022015"/>
    <x v="15"/>
    <s v="Lentil"/>
    <m/>
    <x v="15"/>
    <s v="Y"/>
    <x v="2"/>
    <n v="32"/>
    <n v="32"/>
    <x v="2"/>
    <m/>
    <m/>
    <m/>
    <n v="6"/>
    <m/>
    <m/>
    <m/>
    <m/>
    <m/>
    <n v="2"/>
    <n v="17"/>
    <x v="1"/>
    <n v="6"/>
    <m/>
    <n v="35"/>
    <x v="0"/>
    <n v="6"/>
    <x v="0"/>
    <m/>
    <m/>
    <n v="30"/>
    <x v="1"/>
    <s v="10/05/2022"/>
    <d v="2022-05-10T00:00:00"/>
    <s v="2022015-32"/>
    <x v="0"/>
  </r>
  <r>
    <x v="257"/>
    <n v="2022015"/>
    <x v="15"/>
    <s v="Lentil"/>
    <m/>
    <x v="21"/>
    <s v="N"/>
    <x v="2"/>
    <n v="33"/>
    <n v="33"/>
    <x v="2"/>
    <m/>
    <m/>
    <m/>
    <n v="6"/>
    <m/>
    <m/>
    <m/>
    <m/>
    <m/>
    <n v="3"/>
    <n v="17"/>
    <x v="2"/>
    <n v="6"/>
    <m/>
    <n v="34"/>
    <x v="0"/>
    <n v="3"/>
    <x v="0"/>
    <m/>
    <m/>
    <n v="30"/>
    <x v="1"/>
    <s v="10/05/2022"/>
    <d v="2022-05-10T00:00:00"/>
    <s v="2022015-33"/>
    <x v="0"/>
  </r>
  <r>
    <x v="255"/>
    <n v="2022015"/>
    <x v="15"/>
    <s v="Lentil"/>
    <m/>
    <x v="1"/>
    <s v="Y"/>
    <x v="2"/>
    <n v="34"/>
    <n v="34"/>
    <x v="2"/>
    <m/>
    <m/>
    <m/>
    <n v="6"/>
    <m/>
    <m/>
    <m/>
    <m/>
    <m/>
    <n v="4"/>
    <n v="17"/>
    <x v="3"/>
    <n v="6"/>
    <m/>
    <n v="33"/>
    <x v="0"/>
    <n v="5"/>
    <x v="0"/>
    <m/>
    <m/>
    <n v="30"/>
    <x v="1"/>
    <s v="10/05/2022"/>
    <d v="2022-05-10T00:00:00"/>
    <s v="2022015-34"/>
    <x v="0"/>
  </r>
  <r>
    <x v="256"/>
    <n v="2022015"/>
    <x v="15"/>
    <s v="Lentil"/>
    <m/>
    <x v="16"/>
    <s v="N"/>
    <x v="2"/>
    <n v="35"/>
    <n v="35"/>
    <x v="2"/>
    <m/>
    <m/>
    <m/>
    <n v="6"/>
    <m/>
    <m/>
    <m/>
    <m/>
    <m/>
    <n v="5"/>
    <n v="17"/>
    <x v="4"/>
    <n v="6"/>
    <m/>
    <n v="32"/>
    <x v="0"/>
    <n v="4"/>
    <x v="0"/>
    <m/>
    <m/>
    <n v="30"/>
    <x v="1"/>
    <s v="10/05/2022"/>
    <d v="2022-05-10T00:00:00"/>
    <s v="2022015-35"/>
    <x v="0"/>
  </r>
  <r>
    <x v="254"/>
    <n v="2022015"/>
    <x v="15"/>
    <s v="Lentil"/>
    <m/>
    <x v="14"/>
    <s v="N"/>
    <x v="2"/>
    <n v="36"/>
    <n v="36"/>
    <x v="2"/>
    <m/>
    <m/>
    <m/>
    <n v="6"/>
    <m/>
    <m/>
    <m/>
    <m/>
    <m/>
    <n v="6"/>
    <n v="17"/>
    <x v="5"/>
    <n v="6"/>
    <m/>
    <n v="31"/>
    <x v="0"/>
    <n v="2"/>
    <x v="0"/>
    <m/>
    <m/>
    <n v="30"/>
    <x v="1"/>
    <s v="10/05/2022"/>
    <d v="2022-05-10T00:00:00"/>
    <s v="2022015-36"/>
    <x v="0"/>
  </r>
  <r>
    <x v="257"/>
    <n v="2022015"/>
    <x v="15"/>
    <s v="Lentil"/>
    <m/>
    <x v="21"/>
    <s v="N"/>
    <x v="2"/>
    <n v="37"/>
    <n v="37"/>
    <x v="3"/>
    <m/>
    <m/>
    <m/>
    <n v="7"/>
    <m/>
    <m/>
    <m/>
    <m/>
    <m/>
    <n v="1"/>
    <n v="20"/>
    <x v="0"/>
    <n v="7"/>
    <m/>
    <n v="37"/>
    <x v="0"/>
    <n v="3"/>
    <x v="0"/>
    <m/>
    <m/>
    <n v="30"/>
    <x v="1"/>
    <s v="10/05/2022"/>
    <d v="2022-05-10T00:00:00"/>
    <s v="2022015-37"/>
    <x v="0"/>
  </r>
  <r>
    <x v="258"/>
    <n v="2022015"/>
    <x v="15"/>
    <s v="Lentil"/>
    <m/>
    <x v="0"/>
    <s v="N"/>
    <x v="2"/>
    <n v="38"/>
    <n v="38"/>
    <x v="3"/>
    <m/>
    <m/>
    <m/>
    <n v="7"/>
    <m/>
    <m/>
    <m/>
    <m/>
    <m/>
    <n v="2"/>
    <n v="20"/>
    <x v="1"/>
    <n v="7"/>
    <m/>
    <n v="38"/>
    <x v="0"/>
    <n v="1"/>
    <x v="0"/>
    <m/>
    <m/>
    <n v="30"/>
    <x v="1"/>
    <s v="10/05/2022"/>
    <d v="2022-05-10T00:00:00"/>
    <s v="2022015-38"/>
    <x v="0"/>
  </r>
  <r>
    <x v="254"/>
    <n v="2022015"/>
    <x v="15"/>
    <s v="Lentil"/>
    <m/>
    <x v="14"/>
    <s v="N"/>
    <x v="2"/>
    <n v="39"/>
    <n v="39"/>
    <x v="3"/>
    <m/>
    <m/>
    <m/>
    <n v="7"/>
    <m/>
    <m/>
    <m/>
    <m/>
    <m/>
    <n v="3"/>
    <n v="20"/>
    <x v="2"/>
    <n v="7"/>
    <m/>
    <n v="39"/>
    <x v="0"/>
    <n v="2"/>
    <x v="0"/>
    <m/>
    <m/>
    <n v="30"/>
    <x v="1"/>
    <s v="10/05/2022"/>
    <d v="2022-05-10T00:00:00"/>
    <s v="2022015-39"/>
    <x v="0"/>
  </r>
  <r>
    <x v="256"/>
    <n v="2022015"/>
    <x v="15"/>
    <s v="Lentil"/>
    <m/>
    <x v="16"/>
    <s v="N"/>
    <x v="2"/>
    <n v="40"/>
    <n v="40"/>
    <x v="3"/>
    <m/>
    <m/>
    <m/>
    <n v="7"/>
    <m/>
    <m/>
    <m/>
    <m/>
    <m/>
    <n v="4"/>
    <n v="20"/>
    <x v="3"/>
    <n v="7"/>
    <m/>
    <n v="40"/>
    <x v="0"/>
    <n v="4"/>
    <x v="0"/>
    <m/>
    <m/>
    <n v="30"/>
    <x v="1"/>
    <s v="10/05/2022"/>
    <d v="2022-05-10T00:00:00"/>
    <s v="2022015-40"/>
    <x v="0"/>
  </r>
  <r>
    <x v="259"/>
    <n v="2022015"/>
    <x v="15"/>
    <s v="Lentil"/>
    <m/>
    <x v="15"/>
    <s v="Y"/>
    <x v="2"/>
    <n v="41"/>
    <n v="41"/>
    <x v="3"/>
    <m/>
    <m/>
    <m/>
    <n v="7"/>
    <m/>
    <m/>
    <m/>
    <m/>
    <m/>
    <n v="5"/>
    <n v="20"/>
    <x v="4"/>
    <n v="7"/>
    <m/>
    <n v="41"/>
    <x v="0"/>
    <n v="6"/>
    <x v="0"/>
    <m/>
    <m/>
    <n v="30"/>
    <x v="1"/>
    <s v="10/05/2022"/>
    <d v="2022-05-10T00:00:00"/>
    <s v="2022015-41"/>
    <x v="0"/>
  </r>
  <r>
    <x v="255"/>
    <n v="2022015"/>
    <x v="15"/>
    <s v="Lentil"/>
    <m/>
    <x v="1"/>
    <s v="Y"/>
    <x v="2"/>
    <n v="42"/>
    <n v="42"/>
    <x v="3"/>
    <m/>
    <m/>
    <m/>
    <n v="7"/>
    <m/>
    <m/>
    <m/>
    <m/>
    <m/>
    <n v="6"/>
    <n v="20"/>
    <x v="5"/>
    <n v="7"/>
    <m/>
    <n v="42"/>
    <x v="0"/>
    <n v="5"/>
    <x v="0"/>
    <m/>
    <m/>
    <n v="30"/>
    <x v="1"/>
    <s v="10/05/2022"/>
    <d v="2022-05-10T00:00:00"/>
    <s v="2022015-42"/>
    <x v="0"/>
  </r>
  <r>
    <x v="251"/>
    <n v="2022015"/>
    <x v="15"/>
    <s v="Lentil"/>
    <m/>
    <x v="14"/>
    <s v="N"/>
    <x v="2"/>
    <n v="43"/>
    <n v="43"/>
    <x v="3"/>
    <m/>
    <m/>
    <m/>
    <n v="8"/>
    <m/>
    <m/>
    <m/>
    <m/>
    <m/>
    <n v="1"/>
    <n v="23"/>
    <x v="0"/>
    <n v="8"/>
    <m/>
    <n v="48"/>
    <x v="0"/>
    <n v="2"/>
    <x v="0"/>
    <m/>
    <m/>
    <n v="30"/>
    <x v="2"/>
    <s v="14/06/2022"/>
    <d v="2022-06-14T00:00:00"/>
    <s v="2022015-43"/>
    <x v="0"/>
  </r>
  <r>
    <x v="252"/>
    <n v="2022015"/>
    <x v="15"/>
    <s v="Lentil"/>
    <m/>
    <x v="1"/>
    <s v="Y"/>
    <x v="2"/>
    <n v="44"/>
    <n v="44"/>
    <x v="3"/>
    <m/>
    <m/>
    <m/>
    <n v="8"/>
    <m/>
    <m/>
    <m/>
    <m/>
    <m/>
    <n v="2"/>
    <n v="23"/>
    <x v="1"/>
    <n v="8"/>
    <m/>
    <n v="47"/>
    <x v="0"/>
    <n v="5"/>
    <x v="0"/>
    <m/>
    <m/>
    <n v="30"/>
    <x v="2"/>
    <s v="14/06/2022"/>
    <d v="2022-06-14T00:00:00"/>
    <s v="2022015-44"/>
    <x v="0"/>
  </r>
  <r>
    <x v="249"/>
    <n v="2022015"/>
    <x v="15"/>
    <s v="Lentil"/>
    <m/>
    <x v="15"/>
    <s v="Y"/>
    <x v="2"/>
    <n v="45"/>
    <n v="45"/>
    <x v="3"/>
    <m/>
    <m/>
    <m/>
    <n v="8"/>
    <m/>
    <m/>
    <m/>
    <m/>
    <m/>
    <n v="3"/>
    <n v="23"/>
    <x v="2"/>
    <n v="8"/>
    <m/>
    <n v="46"/>
    <x v="0"/>
    <n v="6"/>
    <x v="0"/>
    <m/>
    <m/>
    <n v="30"/>
    <x v="2"/>
    <s v="14/06/2022"/>
    <d v="2022-06-14T00:00:00"/>
    <s v="2022015-45"/>
    <x v="0"/>
  </r>
  <r>
    <x v="253"/>
    <n v="2022015"/>
    <x v="15"/>
    <s v="Lentil"/>
    <m/>
    <x v="0"/>
    <s v="N"/>
    <x v="2"/>
    <n v="46"/>
    <n v="46"/>
    <x v="3"/>
    <m/>
    <m/>
    <m/>
    <n v="8"/>
    <m/>
    <m/>
    <m/>
    <m/>
    <m/>
    <n v="4"/>
    <n v="23"/>
    <x v="3"/>
    <n v="8"/>
    <m/>
    <n v="45"/>
    <x v="0"/>
    <n v="1"/>
    <x v="0"/>
    <m/>
    <m/>
    <n v="30"/>
    <x v="2"/>
    <s v="14/06/2022"/>
    <d v="2022-06-14T00:00:00"/>
    <s v="2022015-46"/>
    <x v="0"/>
  </r>
  <r>
    <x v="248"/>
    <n v="2022015"/>
    <x v="15"/>
    <s v="Lentil"/>
    <m/>
    <x v="16"/>
    <s v="N"/>
    <x v="2"/>
    <n v="47"/>
    <n v="47"/>
    <x v="3"/>
    <m/>
    <m/>
    <m/>
    <n v="8"/>
    <m/>
    <m/>
    <m/>
    <m/>
    <m/>
    <n v="5"/>
    <n v="23"/>
    <x v="4"/>
    <n v="8"/>
    <m/>
    <n v="44"/>
    <x v="0"/>
    <n v="4"/>
    <x v="0"/>
    <m/>
    <m/>
    <n v="30"/>
    <x v="2"/>
    <s v="14/06/2022"/>
    <d v="2022-06-14T00:00:00"/>
    <s v="2022015-47"/>
    <x v="0"/>
  </r>
  <r>
    <x v="250"/>
    <n v="2022015"/>
    <x v="15"/>
    <s v="Lentil"/>
    <m/>
    <x v="21"/>
    <s v="N"/>
    <x v="2"/>
    <n v="48"/>
    <n v="48"/>
    <x v="3"/>
    <m/>
    <m/>
    <m/>
    <n v="8"/>
    <m/>
    <m/>
    <m/>
    <m/>
    <m/>
    <n v="6"/>
    <n v="23"/>
    <x v="5"/>
    <n v="8"/>
    <m/>
    <n v="43"/>
    <x v="0"/>
    <n v="3"/>
    <x v="0"/>
    <m/>
    <m/>
    <n v="30"/>
    <x v="2"/>
    <s v="14/06/2022"/>
    <d v="2022-06-14T00:00:00"/>
    <s v="2022015-48"/>
    <x v="0"/>
  </r>
  <r>
    <x v="260"/>
    <n v="2022016"/>
    <x v="16"/>
    <s v="Lentil"/>
    <m/>
    <x v="22"/>
    <s v="N"/>
    <x v="2"/>
    <n v="1"/>
    <n v="1"/>
    <x v="0"/>
    <m/>
    <m/>
    <m/>
    <n v="1"/>
    <m/>
    <m/>
    <m/>
    <m/>
    <m/>
    <n v="1"/>
    <n v="1"/>
    <x v="0"/>
    <n v="1"/>
    <m/>
    <n v="1"/>
    <x v="0"/>
    <n v="6"/>
    <x v="0"/>
    <m/>
    <m/>
    <n v="28"/>
    <x v="1"/>
    <s v="2/05/2022"/>
    <d v="2022-05-02T00:00:00"/>
    <s v="2022016-1"/>
    <x v="0"/>
  </r>
  <r>
    <x v="261"/>
    <n v="2022016"/>
    <x v="16"/>
    <s v="Lentil"/>
    <m/>
    <x v="14"/>
    <s v="N"/>
    <x v="2"/>
    <n v="2"/>
    <n v="2"/>
    <x v="0"/>
    <m/>
    <m/>
    <m/>
    <n v="1"/>
    <m/>
    <m/>
    <m/>
    <m/>
    <m/>
    <n v="2"/>
    <n v="1"/>
    <x v="1"/>
    <n v="1"/>
    <m/>
    <n v="2"/>
    <x v="0"/>
    <n v="1"/>
    <x v="0"/>
    <m/>
    <m/>
    <n v="28"/>
    <x v="1"/>
    <s v="2/05/2022"/>
    <d v="2022-05-02T00:00:00"/>
    <s v="2022016-2"/>
    <x v="0"/>
  </r>
  <r>
    <x v="262"/>
    <n v="2022016"/>
    <x v="16"/>
    <s v="Lentil"/>
    <m/>
    <x v="16"/>
    <s v="N"/>
    <x v="2"/>
    <n v="3"/>
    <n v="3"/>
    <x v="0"/>
    <m/>
    <m/>
    <m/>
    <n v="1"/>
    <m/>
    <m/>
    <m/>
    <m/>
    <m/>
    <n v="3"/>
    <n v="1"/>
    <x v="2"/>
    <n v="1"/>
    <m/>
    <n v="3"/>
    <x v="0"/>
    <n v="2"/>
    <x v="0"/>
    <m/>
    <m/>
    <n v="28"/>
    <x v="1"/>
    <s v="2/05/2022"/>
    <d v="2022-05-02T00:00:00"/>
    <s v="2022016-3"/>
    <x v="0"/>
  </r>
  <r>
    <x v="263"/>
    <n v="2022016"/>
    <x v="16"/>
    <s v="Lentil"/>
    <m/>
    <x v="23"/>
    <s v="N"/>
    <x v="2"/>
    <n v="4"/>
    <n v="4"/>
    <x v="0"/>
    <m/>
    <m/>
    <m/>
    <n v="1"/>
    <m/>
    <m/>
    <m/>
    <m/>
    <m/>
    <n v="1"/>
    <n v="2"/>
    <x v="0"/>
    <n v="2"/>
    <m/>
    <n v="6"/>
    <x v="0"/>
    <n v="5"/>
    <x v="0"/>
    <m/>
    <m/>
    <n v="28"/>
    <x v="1"/>
    <s v="2/05/2022"/>
    <d v="2022-05-02T00:00:00"/>
    <s v="2022016-4"/>
    <x v="0"/>
  </r>
  <r>
    <x v="264"/>
    <n v="2022016"/>
    <x v="16"/>
    <s v="Lentil"/>
    <m/>
    <x v="15"/>
    <s v="Y"/>
    <x v="2"/>
    <n v="5"/>
    <n v="5"/>
    <x v="0"/>
    <m/>
    <m/>
    <m/>
    <n v="1"/>
    <m/>
    <m/>
    <m/>
    <m/>
    <m/>
    <n v="2"/>
    <n v="2"/>
    <x v="1"/>
    <n v="2"/>
    <m/>
    <n v="5"/>
    <x v="0"/>
    <n v="4"/>
    <x v="0"/>
    <m/>
    <m/>
    <n v="28"/>
    <x v="1"/>
    <s v="2/05/2022"/>
    <d v="2022-05-02T00:00:00"/>
    <s v="2022016-5"/>
    <x v="0"/>
  </r>
  <r>
    <x v="265"/>
    <n v="2022016"/>
    <x v="16"/>
    <s v="Lentil"/>
    <m/>
    <x v="1"/>
    <s v="Y"/>
    <x v="2"/>
    <n v="6"/>
    <n v="6"/>
    <x v="0"/>
    <m/>
    <m/>
    <m/>
    <n v="1"/>
    <m/>
    <m/>
    <m/>
    <m/>
    <m/>
    <n v="3"/>
    <n v="2"/>
    <x v="2"/>
    <n v="2"/>
    <m/>
    <n v="4"/>
    <x v="0"/>
    <n v="3"/>
    <x v="0"/>
    <m/>
    <m/>
    <n v="28"/>
    <x v="1"/>
    <s v="2/05/2022"/>
    <d v="2022-05-02T00:00:00"/>
    <s v="2022016-6"/>
    <x v="0"/>
  </r>
  <r>
    <x v="266"/>
    <n v="2022016"/>
    <x v="16"/>
    <s v="Lentil"/>
    <m/>
    <x v="1"/>
    <s v="Y"/>
    <x v="2"/>
    <n v="7"/>
    <n v="7"/>
    <x v="0"/>
    <m/>
    <m/>
    <m/>
    <n v="2"/>
    <m/>
    <m/>
    <m/>
    <m/>
    <m/>
    <n v="1"/>
    <n v="4"/>
    <x v="0"/>
    <n v="3"/>
    <m/>
    <n v="7"/>
    <x v="0"/>
    <n v="3"/>
    <x v="0"/>
    <m/>
    <m/>
    <n v="28"/>
    <x v="2"/>
    <s v="1/06/2022"/>
    <d v="2022-06-01T00:00:00"/>
    <s v="2022016-7"/>
    <x v="0"/>
  </r>
  <r>
    <x v="267"/>
    <n v="2022016"/>
    <x v="16"/>
    <s v="Lentil"/>
    <m/>
    <x v="22"/>
    <s v="N"/>
    <x v="2"/>
    <n v="8"/>
    <n v="8"/>
    <x v="0"/>
    <m/>
    <m/>
    <m/>
    <n v="2"/>
    <m/>
    <m/>
    <m/>
    <m/>
    <m/>
    <n v="2"/>
    <n v="4"/>
    <x v="1"/>
    <n v="3"/>
    <m/>
    <n v="8"/>
    <x v="0"/>
    <n v="6"/>
    <x v="0"/>
    <m/>
    <m/>
    <n v="28"/>
    <x v="2"/>
    <s v="1/06/2022"/>
    <d v="2022-06-01T00:00:00"/>
    <s v="2022016-8"/>
    <x v="0"/>
  </r>
  <r>
    <x v="268"/>
    <n v="2022016"/>
    <x v="16"/>
    <s v="Lentil"/>
    <m/>
    <x v="16"/>
    <s v="N"/>
    <x v="2"/>
    <n v="9"/>
    <n v="9"/>
    <x v="0"/>
    <m/>
    <m/>
    <m/>
    <n v="2"/>
    <m/>
    <m/>
    <m/>
    <m/>
    <m/>
    <n v="3"/>
    <n v="4"/>
    <x v="2"/>
    <n v="3"/>
    <m/>
    <n v="9"/>
    <x v="0"/>
    <n v="2"/>
    <x v="0"/>
    <m/>
    <m/>
    <n v="28"/>
    <x v="2"/>
    <s v="1/06/2022"/>
    <d v="2022-06-01T00:00:00"/>
    <s v="2022016-9"/>
    <x v="0"/>
  </r>
  <r>
    <x v="269"/>
    <n v="2022016"/>
    <x v="16"/>
    <s v="Lentil"/>
    <m/>
    <x v="14"/>
    <s v="N"/>
    <x v="2"/>
    <n v="10"/>
    <n v="10"/>
    <x v="0"/>
    <m/>
    <m/>
    <m/>
    <n v="2"/>
    <m/>
    <m/>
    <m/>
    <m/>
    <m/>
    <n v="1"/>
    <n v="5"/>
    <x v="0"/>
    <n v="4"/>
    <m/>
    <n v="12"/>
    <x v="0"/>
    <n v="1"/>
    <x v="0"/>
    <m/>
    <m/>
    <n v="28"/>
    <x v="2"/>
    <s v="1/06/2022"/>
    <d v="2022-06-01T00:00:00"/>
    <s v="2022016-10"/>
    <x v="0"/>
  </r>
  <r>
    <x v="270"/>
    <n v="2022016"/>
    <x v="16"/>
    <s v="Lentil"/>
    <m/>
    <x v="23"/>
    <s v="N"/>
    <x v="2"/>
    <n v="11"/>
    <n v="11"/>
    <x v="0"/>
    <m/>
    <m/>
    <m/>
    <n v="2"/>
    <m/>
    <m/>
    <m/>
    <m/>
    <m/>
    <n v="2"/>
    <n v="5"/>
    <x v="1"/>
    <n v="4"/>
    <m/>
    <n v="11"/>
    <x v="0"/>
    <n v="5"/>
    <x v="0"/>
    <m/>
    <m/>
    <n v="28"/>
    <x v="2"/>
    <s v="1/06/2022"/>
    <d v="2022-06-01T00:00:00"/>
    <s v="2022016-11"/>
    <x v="0"/>
  </r>
  <r>
    <x v="271"/>
    <n v="2022016"/>
    <x v="16"/>
    <s v="Lentil"/>
    <m/>
    <x v="15"/>
    <s v="Y"/>
    <x v="2"/>
    <n v="12"/>
    <n v="12"/>
    <x v="0"/>
    <m/>
    <m/>
    <m/>
    <n v="2"/>
    <m/>
    <m/>
    <m/>
    <m/>
    <m/>
    <n v="3"/>
    <n v="5"/>
    <x v="2"/>
    <n v="4"/>
    <m/>
    <n v="10"/>
    <x v="0"/>
    <n v="4"/>
    <x v="0"/>
    <m/>
    <m/>
    <n v="28"/>
    <x v="2"/>
    <s v="1/06/2022"/>
    <d v="2022-06-01T00:00:00"/>
    <s v="2022016-12"/>
    <x v="0"/>
  </r>
  <r>
    <x v="271"/>
    <n v="2022016"/>
    <x v="16"/>
    <s v="Lentil"/>
    <m/>
    <x v="15"/>
    <s v="Y"/>
    <x v="2"/>
    <n v="13"/>
    <n v="13"/>
    <x v="1"/>
    <m/>
    <m/>
    <m/>
    <n v="3"/>
    <m/>
    <m/>
    <m/>
    <m/>
    <m/>
    <n v="1"/>
    <n v="7"/>
    <x v="0"/>
    <n v="5"/>
    <m/>
    <n v="13"/>
    <x v="0"/>
    <n v="4"/>
    <x v="0"/>
    <m/>
    <m/>
    <n v="28"/>
    <x v="2"/>
    <s v="1/06/2022"/>
    <d v="2022-06-01T00:00:00"/>
    <s v="2022016-13"/>
    <x v="0"/>
  </r>
  <r>
    <x v="266"/>
    <n v="2022016"/>
    <x v="16"/>
    <s v="Lentil"/>
    <m/>
    <x v="1"/>
    <s v="Y"/>
    <x v="2"/>
    <n v="14"/>
    <n v="14"/>
    <x v="1"/>
    <m/>
    <m/>
    <m/>
    <n v="3"/>
    <m/>
    <m/>
    <m/>
    <m/>
    <m/>
    <n v="2"/>
    <n v="7"/>
    <x v="1"/>
    <n v="5"/>
    <m/>
    <n v="14"/>
    <x v="0"/>
    <n v="3"/>
    <x v="0"/>
    <m/>
    <m/>
    <n v="28"/>
    <x v="2"/>
    <s v="1/06/2022"/>
    <d v="2022-06-01T00:00:00"/>
    <s v="2022016-14"/>
    <x v="0"/>
  </r>
  <r>
    <x v="268"/>
    <n v="2022016"/>
    <x v="16"/>
    <s v="Lentil"/>
    <m/>
    <x v="16"/>
    <s v="N"/>
    <x v="2"/>
    <n v="15"/>
    <n v="15"/>
    <x v="1"/>
    <m/>
    <m/>
    <m/>
    <n v="3"/>
    <m/>
    <m/>
    <m/>
    <m/>
    <m/>
    <n v="3"/>
    <n v="7"/>
    <x v="2"/>
    <n v="5"/>
    <m/>
    <n v="15"/>
    <x v="0"/>
    <n v="2"/>
    <x v="0"/>
    <m/>
    <m/>
    <n v="28"/>
    <x v="2"/>
    <s v="1/06/2022"/>
    <d v="2022-06-01T00:00:00"/>
    <s v="2022016-15"/>
    <x v="0"/>
  </r>
  <r>
    <x v="267"/>
    <n v="2022016"/>
    <x v="16"/>
    <s v="Lentil"/>
    <m/>
    <x v="22"/>
    <s v="N"/>
    <x v="2"/>
    <n v="16"/>
    <n v="16"/>
    <x v="1"/>
    <m/>
    <m/>
    <m/>
    <n v="3"/>
    <m/>
    <m/>
    <m/>
    <m/>
    <m/>
    <n v="1"/>
    <n v="8"/>
    <x v="0"/>
    <n v="6"/>
    <m/>
    <n v="18"/>
    <x v="0"/>
    <n v="6"/>
    <x v="0"/>
    <m/>
    <m/>
    <n v="28"/>
    <x v="2"/>
    <s v="1/06/2022"/>
    <d v="2022-06-01T00:00:00"/>
    <s v="2022016-16"/>
    <x v="0"/>
  </r>
  <r>
    <x v="270"/>
    <n v="2022016"/>
    <x v="16"/>
    <s v="Lentil"/>
    <m/>
    <x v="23"/>
    <s v="N"/>
    <x v="2"/>
    <n v="17"/>
    <n v="17"/>
    <x v="1"/>
    <m/>
    <m/>
    <m/>
    <n v="3"/>
    <m/>
    <m/>
    <m/>
    <m/>
    <m/>
    <n v="2"/>
    <n v="8"/>
    <x v="1"/>
    <n v="6"/>
    <m/>
    <n v="17"/>
    <x v="0"/>
    <n v="5"/>
    <x v="0"/>
    <m/>
    <m/>
    <n v="28"/>
    <x v="2"/>
    <s v="1/06/2022"/>
    <d v="2022-06-01T00:00:00"/>
    <s v="2022016-17"/>
    <x v="0"/>
  </r>
  <r>
    <x v="269"/>
    <n v="2022016"/>
    <x v="16"/>
    <s v="Lentil"/>
    <m/>
    <x v="14"/>
    <s v="N"/>
    <x v="2"/>
    <n v="18"/>
    <n v="18"/>
    <x v="1"/>
    <m/>
    <m/>
    <m/>
    <n v="3"/>
    <m/>
    <m/>
    <m/>
    <m/>
    <m/>
    <n v="3"/>
    <n v="8"/>
    <x v="2"/>
    <n v="6"/>
    <m/>
    <n v="16"/>
    <x v="0"/>
    <n v="1"/>
    <x v="0"/>
    <m/>
    <m/>
    <n v="28"/>
    <x v="2"/>
    <s v="1/06/2022"/>
    <d v="2022-06-01T00:00:00"/>
    <s v="2022016-18"/>
    <x v="0"/>
  </r>
  <r>
    <x v="261"/>
    <n v="2022016"/>
    <x v="16"/>
    <s v="Lentil"/>
    <m/>
    <x v="14"/>
    <s v="N"/>
    <x v="2"/>
    <n v="19"/>
    <n v="19"/>
    <x v="1"/>
    <m/>
    <m/>
    <m/>
    <n v="4"/>
    <m/>
    <m/>
    <m/>
    <m/>
    <m/>
    <n v="1"/>
    <n v="10"/>
    <x v="0"/>
    <n v="7"/>
    <m/>
    <n v="19"/>
    <x v="0"/>
    <n v="1"/>
    <x v="0"/>
    <m/>
    <m/>
    <n v="28"/>
    <x v="1"/>
    <s v="2/05/2022"/>
    <d v="2022-05-02T00:00:00"/>
    <s v="2022016-19"/>
    <x v="0"/>
  </r>
  <r>
    <x v="262"/>
    <n v="2022016"/>
    <x v="16"/>
    <s v="Lentil"/>
    <m/>
    <x v="16"/>
    <s v="N"/>
    <x v="2"/>
    <n v="20"/>
    <n v="20"/>
    <x v="1"/>
    <m/>
    <m/>
    <m/>
    <n v="4"/>
    <m/>
    <m/>
    <m/>
    <m/>
    <m/>
    <n v="2"/>
    <n v="10"/>
    <x v="1"/>
    <n v="7"/>
    <m/>
    <n v="20"/>
    <x v="0"/>
    <n v="2"/>
    <x v="0"/>
    <m/>
    <m/>
    <n v="28"/>
    <x v="1"/>
    <s v="2/05/2022"/>
    <d v="2022-05-02T00:00:00"/>
    <s v="2022016-20"/>
    <x v="0"/>
  </r>
  <r>
    <x v="264"/>
    <n v="2022016"/>
    <x v="16"/>
    <s v="Lentil"/>
    <m/>
    <x v="15"/>
    <s v="Y"/>
    <x v="2"/>
    <n v="21"/>
    <n v="21"/>
    <x v="1"/>
    <m/>
    <m/>
    <m/>
    <n v="4"/>
    <m/>
    <m/>
    <m/>
    <m/>
    <m/>
    <n v="3"/>
    <n v="10"/>
    <x v="2"/>
    <n v="7"/>
    <m/>
    <n v="21"/>
    <x v="0"/>
    <n v="4"/>
    <x v="0"/>
    <m/>
    <m/>
    <n v="28"/>
    <x v="1"/>
    <s v="2/05/2022"/>
    <d v="2022-05-02T00:00:00"/>
    <s v="2022016-21"/>
    <x v="0"/>
  </r>
  <r>
    <x v="265"/>
    <n v="2022016"/>
    <x v="16"/>
    <s v="Lentil"/>
    <m/>
    <x v="1"/>
    <s v="Y"/>
    <x v="2"/>
    <n v="22"/>
    <n v="22"/>
    <x v="1"/>
    <m/>
    <m/>
    <m/>
    <n v="4"/>
    <m/>
    <m/>
    <m/>
    <m/>
    <m/>
    <n v="1"/>
    <n v="11"/>
    <x v="0"/>
    <n v="8"/>
    <m/>
    <n v="24"/>
    <x v="0"/>
    <n v="3"/>
    <x v="0"/>
    <m/>
    <m/>
    <n v="28"/>
    <x v="1"/>
    <s v="2/05/2022"/>
    <d v="2022-05-02T00:00:00"/>
    <s v="2022016-22"/>
    <x v="0"/>
  </r>
  <r>
    <x v="263"/>
    <n v="2022016"/>
    <x v="16"/>
    <s v="Lentil"/>
    <m/>
    <x v="23"/>
    <s v="N"/>
    <x v="2"/>
    <n v="23"/>
    <n v="23"/>
    <x v="1"/>
    <m/>
    <m/>
    <m/>
    <n v="4"/>
    <m/>
    <m/>
    <m/>
    <m/>
    <m/>
    <n v="2"/>
    <n v="11"/>
    <x v="1"/>
    <n v="8"/>
    <m/>
    <n v="23"/>
    <x v="0"/>
    <n v="5"/>
    <x v="0"/>
    <m/>
    <m/>
    <n v="28"/>
    <x v="1"/>
    <s v="2/05/2022"/>
    <d v="2022-05-02T00:00:00"/>
    <s v="2022016-23"/>
    <x v="0"/>
  </r>
  <r>
    <x v="260"/>
    <n v="2022016"/>
    <x v="16"/>
    <s v="Lentil"/>
    <m/>
    <x v="22"/>
    <s v="N"/>
    <x v="2"/>
    <n v="24"/>
    <n v="24"/>
    <x v="1"/>
    <m/>
    <m/>
    <m/>
    <n v="4"/>
    <m/>
    <m/>
    <m/>
    <m/>
    <m/>
    <n v="3"/>
    <n v="11"/>
    <x v="2"/>
    <n v="8"/>
    <m/>
    <n v="22"/>
    <x v="0"/>
    <n v="6"/>
    <x v="0"/>
    <m/>
    <m/>
    <n v="28"/>
    <x v="1"/>
    <s v="2/05/2022"/>
    <d v="2022-05-02T00:00:00"/>
    <s v="2022016-24"/>
    <x v="0"/>
  </r>
  <r>
    <x v="266"/>
    <n v="2022016"/>
    <x v="16"/>
    <s v="Lentil"/>
    <m/>
    <x v="1"/>
    <s v="Y"/>
    <x v="2"/>
    <n v="25"/>
    <n v="25"/>
    <x v="2"/>
    <m/>
    <m/>
    <m/>
    <n v="5"/>
    <m/>
    <m/>
    <m/>
    <m/>
    <m/>
    <n v="1"/>
    <n v="13"/>
    <x v="0"/>
    <n v="9"/>
    <m/>
    <n v="25"/>
    <x v="0"/>
    <n v="3"/>
    <x v="0"/>
    <m/>
    <m/>
    <n v="28"/>
    <x v="2"/>
    <s v="1/06/2022"/>
    <d v="2022-06-01T00:00:00"/>
    <s v="2022016-25"/>
    <x v="0"/>
  </r>
  <r>
    <x v="267"/>
    <n v="2022016"/>
    <x v="16"/>
    <s v="Lentil"/>
    <m/>
    <x v="22"/>
    <s v="N"/>
    <x v="2"/>
    <n v="26"/>
    <n v="26"/>
    <x v="2"/>
    <m/>
    <m/>
    <m/>
    <n v="5"/>
    <m/>
    <m/>
    <m/>
    <m/>
    <m/>
    <n v="2"/>
    <n v="13"/>
    <x v="1"/>
    <n v="9"/>
    <m/>
    <n v="26"/>
    <x v="0"/>
    <n v="6"/>
    <x v="0"/>
    <m/>
    <m/>
    <n v="28"/>
    <x v="2"/>
    <s v="1/06/2022"/>
    <d v="2022-06-01T00:00:00"/>
    <s v="2022016-26"/>
    <x v="0"/>
  </r>
  <r>
    <x v="271"/>
    <n v="2022016"/>
    <x v="16"/>
    <s v="Lentil"/>
    <m/>
    <x v="15"/>
    <s v="Y"/>
    <x v="2"/>
    <n v="27"/>
    <n v="27"/>
    <x v="2"/>
    <m/>
    <m/>
    <m/>
    <n v="5"/>
    <m/>
    <m/>
    <m/>
    <m/>
    <m/>
    <n v="3"/>
    <n v="13"/>
    <x v="2"/>
    <n v="9"/>
    <m/>
    <n v="27"/>
    <x v="0"/>
    <n v="4"/>
    <x v="0"/>
    <m/>
    <m/>
    <n v="28"/>
    <x v="2"/>
    <s v="1/06/2022"/>
    <d v="2022-06-01T00:00:00"/>
    <s v="2022016-27"/>
    <x v="0"/>
  </r>
  <r>
    <x v="268"/>
    <n v="2022016"/>
    <x v="16"/>
    <s v="Lentil"/>
    <m/>
    <x v="16"/>
    <s v="N"/>
    <x v="2"/>
    <n v="28"/>
    <n v="28"/>
    <x v="2"/>
    <m/>
    <m/>
    <m/>
    <n v="5"/>
    <m/>
    <m/>
    <m/>
    <m/>
    <m/>
    <n v="1"/>
    <n v="14"/>
    <x v="0"/>
    <n v="10"/>
    <m/>
    <n v="30"/>
    <x v="0"/>
    <n v="2"/>
    <x v="0"/>
    <m/>
    <m/>
    <n v="28"/>
    <x v="2"/>
    <s v="1/06/2022"/>
    <d v="2022-06-01T00:00:00"/>
    <s v="2022016-28"/>
    <x v="0"/>
  </r>
  <r>
    <x v="269"/>
    <n v="2022016"/>
    <x v="16"/>
    <s v="Lentil"/>
    <m/>
    <x v="14"/>
    <s v="N"/>
    <x v="2"/>
    <n v="29"/>
    <n v="29"/>
    <x v="2"/>
    <m/>
    <m/>
    <m/>
    <n v="5"/>
    <m/>
    <m/>
    <m/>
    <m/>
    <m/>
    <n v="2"/>
    <n v="14"/>
    <x v="1"/>
    <n v="10"/>
    <m/>
    <n v="29"/>
    <x v="0"/>
    <n v="1"/>
    <x v="0"/>
    <m/>
    <m/>
    <n v="28"/>
    <x v="2"/>
    <s v="1/06/2022"/>
    <d v="2022-06-01T00:00:00"/>
    <s v="2022016-29"/>
    <x v="0"/>
  </r>
  <r>
    <x v="270"/>
    <n v="2022016"/>
    <x v="16"/>
    <s v="Lentil"/>
    <m/>
    <x v="23"/>
    <s v="N"/>
    <x v="2"/>
    <n v="30"/>
    <n v="30"/>
    <x v="2"/>
    <m/>
    <m/>
    <m/>
    <n v="5"/>
    <m/>
    <m/>
    <m/>
    <m/>
    <m/>
    <n v="3"/>
    <n v="14"/>
    <x v="2"/>
    <n v="10"/>
    <m/>
    <n v="28"/>
    <x v="0"/>
    <n v="5"/>
    <x v="0"/>
    <m/>
    <m/>
    <n v="28"/>
    <x v="2"/>
    <s v="1/06/2022"/>
    <d v="2022-06-01T00:00:00"/>
    <s v="2022016-30"/>
    <x v="0"/>
  </r>
  <r>
    <x v="264"/>
    <n v="2022016"/>
    <x v="16"/>
    <s v="Lentil"/>
    <m/>
    <x v="15"/>
    <s v="Y"/>
    <x v="2"/>
    <n v="31"/>
    <n v="31"/>
    <x v="2"/>
    <m/>
    <m/>
    <m/>
    <n v="6"/>
    <m/>
    <m/>
    <m/>
    <m/>
    <m/>
    <n v="1"/>
    <n v="16"/>
    <x v="0"/>
    <n v="11"/>
    <m/>
    <n v="31"/>
    <x v="0"/>
    <n v="4"/>
    <x v="0"/>
    <m/>
    <m/>
    <n v="28"/>
    <x v="1"/>
    <s v="2/05/2022"/>
    <d v="2022-05-02T00:00:00"/>
    <s v="2022016-31"/>
    <x v="0"/>
  </r>
  <r>
    <x v="261"/>
    <n v="2022016"/>
    <x v="16"/>
    <s v="Lentil"/>
    <m/>
    <x v="14"/>
    <s v="N"/>
    <x v="2"/>
    <n v="32"/>
    <n v="32"/>
    <x v="2"/>
    <m/>
    <m/>
    <m/>
    <n v="6"/>
    <m/>
    <m/>
    <m/>
    <m/>
    <m/>
    <n v="2"/>
    <n v="16"/>
    <x v="1"/>
    <n v="11"/>
    <m/>
    <n v="32"/>
    <x v="0"/>
    <n v="1"/>
    <x v="0"/>
    <m/>
    <m/>
    <n v="28"/>
    <x v="1"/>
    <s v="2/05/2022"/>
    <d v="2022-05-02T00:00:00"/>
    <s v="2022016-32"/>
    <x v="0"/>
  </r>
  <r>
    <x v="265"/>
    <n v="2022016"/>
    <x v="16"/>
    <s v="Lentil"/>
    <m/>
    <x v="1"/>
    <s v="Y"/>
    <x v="2"/>
    <n v="33"/>
    <n v="33"/>
    <x v="2"/>
    <m/>
    <m/>
    <m/>
    <n v="6"/>
    <m/>
    <m/>
    <m/>
    <m/>
    <m/>
    <n v="3"/>
    <n v="16"/>
    <x v="2"/>
    <n v="11"/>
    <m/>
    <n v="33"/>
    <x v="0"/>
    <n v="3"/>
    <x v="0"/>
    <m/>
    <m/>
    <n v="28"/>
    <x v="1"/>
    <s v="2/05/2022"/>
    <d v="2022-05-02T00:00:00"/>
    <s v="2022016-33"/>
    <x v="0"/>
  </r>
  <r>
    <x v="263"/>
    <n v="2022016"/>
    <x v="16"/>
    <s v="Lentil"/>
    <m/>
    <x v="23"/>
    <s v="N"/>
    <x v="2"/>
    <n v="34"/>
    <n v="34"/>
    <x v="2"/>
    <m/>
    <m/>
    <m/>
    <n v="6"/>
    <m/>
    <m/>
    <m/>
    <m/>
    <m/>
    <n v="1"/>
    <n v="17"/>
    <x v="0"/>
    <n v="12"/>
    <m/>
    <n v="36"/>
    <x v="0"/>
    <n v="5"/>
    <x v="0"/>
    <m/>
    <m/>
    <n v="28"/>
    <x v="1"/>
    <s v="2/05/2022"/>
    <d v="2022-05-02T00:00:00"/>
    <s v="2022016-34"/>
    <x v="0"/>
  </r>
  <r>
    <x v="262"/>
    <n v="2022016"/>
    <x v="16"/>
    <s v="Lentil"/>
    <m/>
    <x v="16"/>
    <s v="N"/>
    <x v="2"/>
    <n v="35"/>
    <n v="35"/>
    <x v="2"/>
    <m/>
    <m/>
    <m/>
    <n v="6"/>
    <m/>
    <m/>
    <m/>
    <m/>
    <m/>
    <n v="2"/>
    <n v="17"/>
    <x v="1"/>
    <n v="12"/>
    <m/>
    <n v="35"/>
    <x v="0"/>
    <n v="2"/>
    <x v="0"/>
    <m/>
    <m/>
    <n v="28"/>
    <x v="1"/>
    <s v="2/05/2022"/>
    <d v="2022-05-02T00:00:00"/>
    <s v="2022016-35"/>
    <x v="0"/>
  </r>
  <r>
    <x v="260"/>
    <n v="2022016"/>
    <x v="16"/>
    <s v="Lentil"/>
    <m/>
    <x v="22"/>
    <s v="N"/>
    <x v="2"/>
    <n v="36"/>
    <n v="36"/>
    <x v="2"/>
    <m/>
    <m/>
    <m/>
    <n v="6"/>
    <m/>
    <m/>
    <m/>
    <m/>
    <m/>
    <n v="3"/>
    <n v="17"/>
    <x v="2"/>
    <n v="12"/>
    <m/>
    <n v="34"/>
    <x v="0"/>
    <n v="6"/>
    <x v="0"/>
    <m/>
    <m/>
    <n v="28"/>
    <x v="1"/>
    <s v="2/05/2022"/>
    <d v="2022-05-02T00:00:00"/>
    <s v="2022016-36"/>
    <x v="0"/>
  </r>
  <r>
    <x v="264"/>
    <n v="2022016"/>
    <x v="16"/>
    <s v="Lentil"/>
    <m/>
    <x v="15"/>
    <s v="Y"/>
    <x v="2"/>
    <n v="37"/>
    <n v="37"/>
    <x v="3"/>
    <m/>
    <m/>
    <m/>
    <n v="7"/>
    <m/>
    <m/>
    <m/>
    <m/>
    <m/>
    <n v="1"/>
    <n v="19"/>
    <x v="0"/>
    <n v="13"/>
    <m/>
    <n v="37"/>
    <x v="0"/>
    <n v="4"/>
    <x v="0"/>
    <m/>
    <m/>
    <n v="28"/>
    <x v="1"/>
    <s v="2/05/2022"/>
    <d v="2022-05-02T00:00:00"/>
    <s v="2022016-37"/>
    <x v="0"/>
  </r>
  <r>
    <x v="260"/>
    <n v="2022016"/>
    <x v="16"/>
    <s v="Lentil"/>
    <m/>
    <x v="22"/>
    <s v="N"/>
    <x v="2"/>
    <n v="38"/>
    <n v="38"/>
    <x v="3"/>
    <m/>
    <m/>
    <m/>
    <n v="7"/>
    <m/>
    <m/>
    <m/>
    <m/>
    <m/>
    <n v="2"/>
    <n v="19"/>
    <x v="1"/>
    <n v="13"/>
    <m/>
    <n v="38"/>
    <x v="0"/>
    <n v="6"/>
    <x v="0"/>
    <m/>
    <m/>
    <n v="28"/>
    <x v="1"/>
    <s v="2/05/2022"/>
    <d v="2022-05-02T00:00:00"/>
    <s v="2022016-38"/>
    <x v="0"/>
  </r>
  <r>
    <x v="261"/>
    <n v="2022016"/>
    <x v="16"/>
    <s v="Lentil"/>
    <m/>
    <x v="14"/>
    <s v="N"/>
    <x v="2"/>
    <n v="39"/>
    <n v="39"/>
    <x v="3"/>
    <m/>
    <m/>
    <m/>
    <n v="7"/>
    <m/>
    <m/>
    <m/>
    <m/>
    <m/>
    <n v="3"/>
    <n v="19"/>
    <x v="2"/>
    <n v="13"/>
    <m/>
    <n v="39"/>
    <x v="0"/>
    <n v="1"/>
    <x v="0"/>
    <m/>
    <m/>
    <n v="28"/>
    <x v="1"/>
    <s v="2/05/2022"/>
    <d v="2022-05-02T00:00:00"/>
    <s v="2022016-39"/>
    <x v="0"/>
  </r>
  <r>
    <x v="262"/>
    <n v="2022016"/>
    <x v="16"/>
    <s v="Lentil"/>
    <m/>
    <x v="16"/>
    <s v="N"/>
    <x v="2"/>
    <n v="40"/>
    <n v="40"/>
    <x v="3"/>
    <m/>
    <m/>
    <m/>
    <n v="7"/>
    <m/>
    <m/>
    <m/>
    <m/>
    <m/>
    <n v="1"/>
    <n v="20"/>
    <x v="0"/>
    <n v="14"/>
    <m/>
    <n v="42"/>
    <x v="0"/>
    <n v="2"/>
    <x v="0"/>
    <m/>
    <m/>
    <n v="28"/>
    <x v="1"/>
    <s v="2/05/2022"/>
    <d v="2022-05-02T00:00:00"/>
    <s v="2022016-40"/>
    <x v="0"/>
  </r>
  <r>
    <x v="265"/>
    <n v="2022016"/>
    <x v="16"/>
    <s v="Lentil"/>
    <m/>
    <x v="1"/>
    <s v="Y"/>
    <x v="2"/>
    <n v="41"/>
    <n v="41"/>
    <x v="3"/>
    <m/>
    <m/>
    <m/>
    <n v="7"/>
    <m/>
    <m/>
    <m/>
    <m/>
    <m/>
    <n v="2"/>
    <n v="20"/>
    <x v="1"/>
    <n v="14"/>
    <m/>
    <n v="41"/>
    <x v="0"/>
    <n v="3"/>
    <x v="0"/>
    <m/>
    <m/>
    <n v="28"/>
    <x v="1"/>
    <s v="2/05/2022"/>
    <d v="2022-05-02T00:00:00"/>
    <s v="2022016-41"/>
    <x v="0"/>
  </r>
  <r>
    <x v="263"/>
    <n v="2022016"/>
    <x v="16"/>
    <s v="Lentil"/>
    <m/>
    <x v="23"/>
    <s v="N"/>
    <x v="2"/>
    <n v="42"/>
    <n v="42"/>
    <x v="3"/>
    <m/>
    <m/>
    <m/>
    <n v="7"/>
    <m/>
    <m/>
    <m/>
    <m/>
    <m/>
    <n v="3"/>
    <n v="20"/>
    <x v="2"/>
    <n v="14"/>
    <m/>
    <n v="40"/>
    <x v="0"/>
    <n v="5"/>
    <x v="0"/>
    <m/>
    <m/>
    <n v="28"/>
    <x v="1"/>
    <s v="2/05/2022"/>
    <d v="2022-05-02T00:00:00"/>
    <s v="2022016-42"/>
    <x v="0"/>
  </r>
  <r>
    <x v="270"/>
    <n v="2022016"/>
    <x v="16"/>
    <s v="Lentil"/>
    <m/>
    <x v="23"/>
    <s v="N"/>
    <x v="2"/>
    <n v="43"/>
    <n v="43"/>
    <x v="3"/>
    <m/>
    <m/>
    <m/>
    <n v="8"/>
    <m/>
    <m/>
    <m/>
    <m/>
    <m/>
    <n v="1"/>
    <n v="22"/>
    <x v="0"/>
    <n v="15"/>
    <m/>
    <n v="43"/>
    <x v="0"/>
    <n v="5"/>
    <x v="0"/>
    <m/>
    <m/>
    <n v="28"/>
    <x v="2"/>
    <s v="1/06/2022"/>
    <d v="2022-06-01T00:00:00"/>
    <s v="2022016-43"/>
    <x v="0"/>
  </r>
  <r>
    <x v="266"/>
    <n v="2022016"/>
    <x v="16"/>
    <s v="Lentil"/>
    <m/>
    <x v="1"/>
    <s v="Y"/>
    <x v="2"/>
    <n v="44"/>
    <n v="44"/>
    <x v="3"/>
    <m/>
    <m/>
    <m/>
    <n v="8"/>
    <m/>
    <m/>
    <m/>
    <m/>
    <m/>
    <n v="2"/>
    <n v="22"/>
    <x v="1"/>
    <n v="15"/>
    <m/>
    <n v="44"/>
    <x v="0"/>
    <n v="3"/>
    <x v="0"/>
    <m/>
    <m/>
    <n v="28"/>
    <x v="2"/>
    <s v="1/06/2022"/>
    <d v="2022-06-01T00:00:00"/>
    <s v="2022016-44"/>
    <x v="0"/>
  </r>
  <r>
    <x v="269"/>
    <n v="2022016"/>
    <x v="16"/>
    <s v="Lentil"/>
    <m/>
    <x v="14"/>
    <s v="N"/>
    <x v="2"/>
    <n v="45"/>
    <n v="45"/>
    <x v="3"/>
    <m/>
    <m/>
    <m/>
    <n v="8"/>
    <m/>
    <m/>
    <m/>
    <m/>
    <m/>
    <n v="3"/>
    <n v="22"/>
    <x v="2"/>
    <n v="15"/>
    <m/>
    <n v="45"/>
    <x v="0"/>
    <n v="1"/>
    <x v="0"/>
    <m/>
    <m/>
    <n v="28"/>
    <x v="2"/>
    <s v="1/06/2022"/>
    <d v="2022-06-01T00:00:00"/>
    <s v="2022016-45"/>
    <x v="0"/>
  </r>
  <r>
    <x v="268"/>
    <n v="2022016"/>
    <x v="16"/>
    <s v="Lentil"/>
    <m/>
    <x v="16"/>
    <s v="N"/>
    <x v="2"/>
    <n v="46"/>
    <n v="46"/>
    <x v="3"/>
    <m/>
    <m/>
    <m/>
    <n v="8"/>
    <m/>
    <m/>
    <m/>
    <m/>
    <m/>
    <n v="1"/>
    <n v="23"/>
    <x v="0"/>
    <n v="16"/>
    <m/>
    <n v="48"/>
    <x v="0"/>
    <n v="2"/>
    <x v="0"/>
    <m/>
    <m/>
    <n v="28"/>
    <x v="2"/>
    <s v="1/06/2022"/>
    <d v="2022-06-01T00:00:00"/>
    <s v="2022016-46"/>
    <x v="0"/>
  </r>
  <r>
    <x v="271"/>
    <n v="2022016"/>
    <x v="16"/>
    <s v="Lentil"/>
    <m/>
    <x v="15"/>
    <s v="Y"/>
    <x v="2"/>
    <n v="47"/>
    <n v="47"/>
    <x v="3"/>
    <m/>
    <m/>
    <m/>
    <n v="8"/>
    <m/>
    <m/>
    <m/>
    <m/>
    <m/>
    <n v="2"/>
    <n v="23"/>
    <x v="1"/>
    <n v="16"/>
    <m/>
    <n v="47"/>
    <x v="0"/>
    <n v="4"/>
    <x v="0"/>
    <m/>
    <m/>
    <n v="28"/>
    <x v="2"/>
    <s v="1/06/2022"/>
    <d v="2022-06-01T00:00:00"/>
    <s v="2022016-47"/>
    <x v="0"/>
  </r>
  <r>
    <x v="267"/>
    <n v="2022016"/>
    <x v="16"/>
    <s v="Lentil"/>
    <m/>
    <x v="22"/>
    <s v="N"/>
    <x v="2"/>
    <n v="48"/>
    <n v="48"/>
    <x v="3"/>
    <m/>
    <m/>
    <m/>
    <n v="8"/>
    <m/>
    <m/>
    <m/>
    <m/>
    <m/>
    <n v="3"/>
    <n v="23"/>
    <x v="2"/>
    <n v="16"/>
    <m/>
    <n v="46"/>
    <x v="0"/>
    <n v="6"/>
    <x v="0"/>
    <m/>
    <m/>
    <n v="28"/>
    <x v="2"/>
    <s v="1/06/2022"/>
    <d v="2022-06-01T00:00:00"/>
    <s v="2022016-48"/>
    <x v="0"/>
  </r>
  <r>
    <x v="272"/>
    <n v="2022017"/>
    <x v="17"/>
    <s v="Lentil"/>
    <m/>
    <x v="16"/>
    <s v="N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1"/>
    <s v="9/05/2022"/>
    <d v="2022-05-09T00:00:00"/>
    <s v="2022017-1"/>
    <x v="0"/>
  </r>
  <r>
    <x v="273"/>
    <n v="2022017"/>
    <x v="17"/>
    <s v="Lentil"/>
    <m/>
    <x v="1"/>
    <s v="Y"/>
    <x v="2"/>
    <n v="2"/>
    <n v="2"/>
    <x v="0"/>
    <m/>
    <m/>
    <m/>
    <n v="1"/>
    <m/>
    <m/>
    <m/>
    <m/>
    <m/>
    <n v="2"/>
    <n v="2"/>
    <x v="1"/>
    <n v="1"/>
    <m/>
    <n v="2"/>
    <x v="0"/>
    <n v="5"/>
    <x v="0"/>
    <m/>
    <m/>
    <n v="30"/>
    <x v="1"/>
    <s v="9/05/2022"/>
    <d v="2022-05-09T00:00:00"/>
    <s v="2022017-2"/>
    <x v="0"/>
  </r>
  <r>
    <x v="274"/>
    <n v="2022017"/>
    <x v="17"/>
    <s v="Lentil"/>
    <m/>
    <x v="21"/>
    <s v="N"/>
    <x v="2"/>
    <n v="3"/>
    <n v="3"/>
    <x v="0"/>
    <m/>
    <m/>
    <m/>
    <n v="1"/>
    <m/>
    <m/>
    <m/>
    <m/>
    <m/>
    <n v="3"/>
    <n v="2"/>
    <x v="2"/>
    <n v="1"/>
    <m/>
    <n v="3"/>
    <x v="0"/>
    <n v="3"/>
    <x v="0"/>
    <m/>
    <m/>
    <n v="30"/>
    <x v="1"/>
    <s v="9/05/2022"/>
    <d v="2022-05-09T00:00:00"/>
    <s v="2022017-3"/>
    <x v="0"/>
  </r>
  <r>
    <x v="275"/>
    <n v="2022017"/>
    <x v="17"/>
    <s v="Lentil"/>
    <m/>
    <x v="0"/>
    <s v="N"/>
    <x v="2"/>
    <n v="4"/>
    <n v="4"/>
    <x v="0"/>
    <m/>
    <m/>
    <m/>
    <n v="1"/>
    <m/>
    <m/>
    <m/>
    <m/>
    <m/>
    <n v="4"/>
    <n v="2"/>
    <x v="3"/>
    <n v="1"/>
    <m/>
    <n v="4"/>
    <x v="0"/>
    <n v="1"/>
    <x v="0"/>
    <m/>
    <m/>
    <n v="30"/>
    <x v="1"/>
    <s v="9/05/2022"/>
    <d v="2022-05-09T00:00:00"/>
    <s v="2022017-4"/>
    <x v="0"/>
  </r>
  <r>
    <x v="276"/>
    <n v="2022017"/>
    <x v="17"/>
    <s v="Lentil"/>
    <m/>
    <x v="15"/>
    <s v="Y"/>
    <x v="2"/>
    <n v="5"/>
    <n v="5"/>
    <x v="0"/>
    <m/>
    <m/>
    <m/>
    <n v="1"/>
    <m/>
    <m/>
    <m/>
    <m/>
    <m/>
    <n v="5"/>
    <n v="2"/>
    <x v="4"/>
    <n v="1"/>
    <m/>
    <n v="5"/>
    <x v="0"/>
    <n v="6"/>
    <x v="0"/>
    <m/>
    <m/>
    <n v="30"/>
    <x v="1"/>
    <s v="9/05/2022"/>
    <d v="2022-05-09T00:00:00"/>
    <s v="2022017-5"/>
    <x v="0"/>
  </r>
  <r>
    <x v="277"/>
    <n v="2022017"/>
    <x v="17"/>
    <s v="Lentil"/>
    <m/>
    <x v="14"/>
    <s v="N"/>
    <x v="2"/>
    <n v="6"/>
    <n v="6"/>
    <x v="0"/>
    <m/>
    <m/>
    <m/>
    <n v="1"/>
    <m/>
    <m/>
    <m/>
    <m/>
    <m/>
    <n v="6"/>
    <n v="2"/>
    <x v="5"/>
    <n v="1"/>
    <m/>
    <n v="6"/>
    <x v="0"/>
    <n v="2"/>
    <x v="0"/>
    <m/>
    <m/>
    <n v="30"/>
    <x v="1"/>
    <s v="9/05/2022"/>
    <d v="2022-05-09T00:00:00"/>
    <s v="2022017-6"/>
    <x v="0"/>
  </r>
  <r>
    <x v="278"/>
    <n v="2022017"/>
    <x v="17"/>
    <s v="Lentil"/>
    <m/>
    <x v="21"/>
    <s v="N"/>
    <x v="2"/>
    <n v="7"/>
    <n v="7"/>
    <x v="0"/>
    <m/>
    <m/>
    <m/>
    <n v="2"/>
    <m/>
    <m/>
    <m/>
    <m/>
    <m/>
    <n v="1"/>
    <n v="5"/>
    <x v="0"/>
    <n v="2"/>
    <m/>
    <n v="12"/>
    <x v="0"/>
    <n v="3"/>
    <x v="0"/>
    <m/>
    <m/>
    <n v="30"/>
    <x v="2"/>
    <s v="9/06/2022"/>
    <d v="2022-06-09T00:00:00"/>
    <s v="2022017-7"/>
    <x v="0"/>
  </r>
  <r>
    <x v="279"/>
    <n v="2022017"/>
    <x v="17"/>
    <s v="Lentil"/>
    <m/>
    <x v="14"/>
    <s v="N"/>
    <x v="2"/>
    <n v="8"/>
    <n v="8"/>
    <x v="0"/>
    <m/>
    <m/>
    <m/>
    <n v="2"/>
    <m/>
    <m/>
    <m/>
    <m/>
    <m/>
    <n v="2"/>
    <n v="5"/>
    <x v="1"/>
    <n v="2"/>
    <m/>
    <n v="11"/>
    <x v="0"/>
    <n v="2"/>
    <x v="0"/>
    <m/>
    <m/>
    <n v="30"/>
    <x v="2"/>
    <s v="9/06/2022"/>
    <d v="2022-06-09T00:00:00"/>
    <s v="2022017-8"/>
    <x v="0"/>
  </r>
  <r>
    <x v="280"/>
    <n v="2022017"/>
    <x v="17"/>
    <s v="Lentil"/>
    <m/>
    <x v="16"/>
    <s v="N"/>
    <x v="2"/>
    <n v="9"/>
    <n v="9"/>
    <x v="0"/>
    <m/>
    <m/>
    <m/>
    <n v="2"/>
    <m/>
    <m/>
    <m/>
    <m/>
    <m/>
    <n v="3"/>
    <n v="5"/>
    <x v="2"/>
    <n v="2"/>
    <m/>
    <n v="10"/>
    <x v="0"/>
    <n v="4"/>
    <x v="0"/>
    <m/>
    <m/>
    <n v="30"/>
    <x v="2"/>
    <s v="9/06/2022"/>
    <d v="2022-06-09T00:00:00"/>
    <s v="2022017-9"/>
    <x v="0"/>
  </r>
  <r>
    <x v="281"/>
    <n v="2022017"/>
    <x v="17"/>
    <s v="Lentil"/>
    <m/>
    <x v="15"/>
    <s v="Y"/>
    <x v="2"/>
    <n v="10"/>
    <n v="10"/>
    <x v="0"/>
    <m/>
    <m/>
    <m/>
    <n v="2"/>
    <m/>
    <m/>
    <m/>
    <m/>
    <m/>
    <n v="4"/>
    <n v="5"/>
    <x v="3"/>
    <n v="2"/>
    <m/>
    <n v="9"/>
    <x v="0"/>
    <n v="6"/>
    <x v="0"/>
    <m/>
    <m/>
    <n v="30"/>
    <x v="2"/>
    <s v="9/06/2022"/>
    <d v="2022-06-09T00:00:00"/>
    <s v="2022017-10"/>
    <x v="0"/>
  </r>
  <r>
    <x v="282"/>
    <n v="2022017"/>
    <x v="17"/>
    <s v="Lentil"/>
    <m/>
    <x v="0"/>
    <s v="N"/>
    <x v="2"/>
    <n v="11"/>
    <n v="11"/>
    <x v="0"/>
    <m/>
    <m/>
    <m/>
    <n v="2"/>
    <m/>
    <m/>
    <m/>
    <m/>
    <m/>
    <n v="5"/>
    <n v="5"/>
    <x v="4"/>
    <n v="2"/>
    <m/>
    <n v="8"/>
    <x v="0"/>
    <n v="1"/>
    <x v="0"/>
    <m/>
    <m/>
    <n v="30"/>
    <x v="2"/>
    <s v="9/06/2022"/>
    <d v="2022-06-09T00:00:00"/>
    <s v="2022017-11"/>
    <x v="0"/>
  </r>
  <r>
    <x v="283"/>
    <n v="2022017"/>
    <x v="17"/>
    <s v="Lentil"/>
    <m/>
    <x v="1"/>
    <s v="Y"/>
    <x v="2"/>
    <n v="12"/>
    <n v="12"/>
    <x v="0"/>
    <m/>
    <m/>
    <m/>
    <n v="2"/>
    <m/>
    <m/>
    <m/>
    <m/>
    <m/>
    <n v="6"/>
    <n v="5"/>
    <x v="5"/>
    <n v="2"/>
    <m/>
    <n v="7"/>
    <x v="0"/>
    <n v="5"/>
    <x v="0"/>
    <m/>
    <m/>
    <n v="30"/>
    <x v="2"/>
    <s v="9/06/2022"/>
    <d v="2022-06-09T00:00:00"/>
    <s v="2022017-12"/>
    <x v="0"/>
  </r>
  <r>
    <x v="281"/>
    <n v="2022017"/>
    <x v="17"/>
    <s v="Lentil"/>
    <m/>
    <x v="15"/>
    <s v="Y"/>
    <x v="2"/>
    <n v="13"/>
    <n v="13"/>
    <x v="1"/>
    <m/>
    <m/>
    <m/>
    <n v="3"/>
    <m/>
    <m/>
    <m/>
    <m/>
    <m/>
    <n v="1"/>
    <n v="8"/>
    <x v="0"/>
    <n v="3"/>
    <m/>
    <n v="13"/>
    <x v="0"/>
    <n v="6"/>
    <x v="0"/>
    <m/>
    <m/>
    <n v="30"/>
    <x v="2"/>
    <s v="9/06/2022"/>
    <d v="2022-06-09T00:00:00"/>
    <s v="2022017-13"/>
    <x v="0"/>
  </r>
  <r>
    <x v="283"/>
    <n v="2022017"/>
    <x v="17"/>
    <s v="Lentil"/>
    <m/>
    <x v="1"/>
    <s v="Y"/>
    <x v="2"/>
    <n v="14"/>
    <n v="14"/>
    <x v="1"/>
    <m/>
    <m/>
    <m/>
    <n v="3"/>
    <m/>
    <m/>
    <m/>
    <m/>
    <m/>
    <n v="2"/>
    <n v="8"/>
    <x v="1"/>
    <n v="3"/>
    <m/>
    <n v="14"/>
    <x v="0"/>
    <n v="5"/>
    <x v="0"/>
    <m/>
    <m/>
    <n v="30"/>
    <x v="2"/>
    <s v="9/06/2022"/>
    <d v="2022-06-09T00:00:00"/>
    <s v="2022017-14"/>
    <x v="0"/>
  </r>
  <r>
    <x v="279"/>
    <n v="2022017"/>
    <x v="17"/>
    <s v="Lentil"/>
    <m/>
    <x v="14"/>
    <s v="N"/>
    <x v="2"/>
    <n v="15"/>
    <n v="15"/>
    <x v="1"/>
    <m/>
    <m/>
    <m/>
    <n v="3"/>
    <m/>
    <m/>
    <m/>
    <m/>
    <m/>
    <n v="3"/>
    <n v="8"/>
    <x v="2"/>
    <n v="3"/>
    <m/>
    <n v="15"/>
    <x v="0"/>
    <n v="2"/>
    <x v="0"/>
    <m/>
    <m/>
    <n v="30"/>
    <x v="2"/>
    <s v="9/06/2022"/>
    <d v="2022-06-09T00:00:00"/>
    <s v="2022017-15"/>
    <x v="0"/>
  </r>
  <r>
    <x v="278"/>
    <n v="2022017"/>
    <x v="17"/>
    <s v="Lentil"/>
    <m/>
    <x v="21"/>
    <s v="N"/>
    <x v="2"/>
    <n v="16"/>
    <n v="16"/>
    <x v="1"/>
    <m/>
    <m/>
    <m/>
    <n v="3"/>
    <m/>
    <m/>
    <m/>
    <m/>
    <m/>
    <n v="4"/>
    <n v="8"/>
    <x v="3"/>
    <n v="3"/>
    <m/>
    <n v="16"/>
    <x v="0"/>
    <n v="3"/>
    <x v="0"/>
    <m/>
    <m/>
    <n v="30"/>
    <x v="2"/>
    <s v="9/06/2022"/>
    <d v="2022-06-09T00:00:00"/>
    <s v="2022017-16"/>
    <x v="0"/>
  </r>
  <r>
    <x v="280"/>
    <n v="2022017"/>
    <x v="17"/>
    <s v="Lentil"/>
    <m/>
    <x v="16"/>
    <s v="N"/>
    <x v="2"/>
    <n v="17"/>
    <n v="17"/>
    <x v="1"/>
    <m/>
    <m/>
    <m/>
    <n v="3"/>
    <m/>
    <m/>
    <m/>
    <m/>
    <m/>
    <n v="5"/>
    <n v="8"/>
    <x v="4"/>
    <n v="3"/>
    <m/>
    <n v="17"/>
    <x v="0"/>
    <n v="4"/>
    <x v="0"/>
    <m/>
    <m/>
    <n v="30"/>
    <x v="2"/>
    <s v="9/06/2022"/>
    <d v="2022-06-09T00:00:00"/>
    <s v="2022017-17"/>
    <x v="0"/>
  </r>
  <r>
    <x v="282"/>
    <n v="2022017"/>
    <x v="17"/>
    <s v="Lentil"/>
    <m/>
    <x v="0"/>
    <s v="N"/>
    <x v="2"/>
    <n v="18"/>
    <n v="18"/>
    <x v="1"/>
    <m/>
    <m/>
    <m/>
    <n v="3"/>
    <m/>
    <m/>
    <m/>
    <m/>
    <m/>
    <n v="6"/>
    <n v="8"/>
    <x v="5"/>
    <n v="3"/>
    <m/>
    <n v="18"/>
    <x v="0"/>
    <n v="1"/>
    <x v="0"/>
    <m/>
    <m/>
    <n v="30"/>
    <x v="2"/>
    <s v="9/06/2022"/>
    <d v="2022-06-09T00:00:00"/>
    <s v="2022017-18"/>
    <x v="0"/>
  </r>
  <r>
    <x v="275"/>
    <n v="2022017"/>
    <x v="17"/>
    <s v="Lentil"/>
    <m/>
    <x v="0"/>
    <s v="N"/>
    <x v="2"/>
    <n v="19"/>
    <n v="19"/>
    <x v="1"/>
    <m/>
    <m/>
    <m/>
    <n v="4"/>
    <m/>
    <m/>
    <m/>
    <m/>
    <m/>
    <n v="1"/>
    <n v="11"/>
    <x v="0"/>
    <n v="4"/>
    <m/>
    <n v="24"/>
    <x v="0"/>
    <n v="1"/>
    <x v="0"/>
    <m/>
    <m/>
    <n v="30"/>
    <x v="1"/>
    <s v="9/05/2022"/>
    <d v="2022-05-09T00:00:00"/>
    <s v="2022017-19"/>
    <x v="0"/>
  </r>
  <r>
    <x v="272"/>
    <n v="2022017"/>
    <x v="17"/>
    <s v="Lentil"/>
    <m/>
    <x v="16"/>
    <s v="N"/>
    <x v="2"/>
    <n v="20"/>
    <n v="20"/>
    <x v="1"/>
    <m/>
    <m/>
    <m/>
    <n v="4"/>
    <m/>
    <m/>
    <m/>
    <m/>
    <m/>
    <n v="2"/>
    <n v="11"/>
    <x v="1"/>
    <n v="4"/>
    <m/>
    <n v="23"/>
    <x v="0"/>
    <n v="4"/>
    <x v="0"/>
    <m/>
    <m/>
    <n v="30"/>
    <x v="1"/>
    <s v="9/05/2022"/>
    <d v="2022-05-09T00:00:00"/>
    <s v="2022017-20"/>
    <x v="0"/>
  </r>
  <r>
    <x v="276"/>
    <n v="2022017"/>
    <x v="17"/>
    <s v="Lentil"/>
    <m/>
    <x v="15"/>
    <s v="Y"/>
    <x v="2"/>
    <n v="21"/>
    <n v="21"/>
    <x v="1"/>
    <m/>
    <m/>
    <m/>
    <n v="4"/>
    <m/>
    <m/>
    <m/>
    <m/>
    <m/>
    <n v="3"/>
    <n v="11"/>
    <x v="2"/>
    <n v="4"/>
    <m/>
    <n v="22"/>
    <x v="0"/>
    <n v="6"/>
    <x v="0"/>
    <m/>
    <m/>
    <n v="30"/>
    <x v="1"/>
    <s v="9/05/2022"/>
    <d v="2022-05-09T00:00:00"/>
    <s v="2022017-21"/>
    <x v="0"/>
  </r>
  <r>
    <x v="273"/>
    <n v="2022017"/>
    <x v="17"/>
    <s v="Lentil"/>
    <m/>
    <x v="1"/>
    <s v="Y"/>
    <x v="2"/>
    <n v="22"/>
    <n v="22"/>
    <x v="1"/>
    <m/>
    <m/>
    <m/>
    <n v="4"/>
    <m/>
    <m/>
    <m/>
    <m/>
    <m/>
    <n v="4"/>
    <n v="11"/>
    <x v="3"/>
    <n v="4"/>
    <m/>
    <n v="21"/>
    <x v="0"/>
    <n v="5"/>
    <x v="0"/>
    <m/>
    <m/>
    <n v="30"/>
    <x v="1"/>
    <s v="9/05/2022"/>
    <d v="2022-05-09T00:00:00"/>
    <s v="2022017-22"/>
    <x v="0"/>
  </r>
  <r>
    <x v="277"/>
    <n v="2022017"/>
    <x v="17"/>
    <s v="Lentil"/>
    <m/>
    <x v="14"/>
    <s v="N"/>
    <x v="2"/>
    <n v="23"/>
    <n v="23"/>
    <x v="1"/>
    <m/>
    <m/>
    <m/>
    <n v="4"/>
    <m/>
    <m/>
    <m/>
    <m/>
    <m/>
    <n v="5"/>
    <n v="11"/>
    <x v="4"/>
    <n v="4"/>
    <m/>
    <n v="20"/>
    <x v="0"/>
    <n v="2"/>
    <x v="0"/>
    <m/>
    <m/>
    <n v="30"/>
    <x v="1"/>
    <s v="9/05/2022"/>
    <d v="2022-05-09T00:00:00"/>
    <s v="2022017-23"/>
    <x v="0"/>
  </r>
  <r>
    <x v="274"/>
    <n v="2022017"/>
    <x v="17"/>
    <s v="Lentil"/>
    <m/>
    <x v="21"/>
    <s v="N"/>
    <x v="2"/>
    <n v="24"/>
    <n v="24"/>
    <x v="1"/>
    <m/>
    <m/>
    <m/>
    <n v="4"/>
    <m/>
    <m/>
    <m/>
    <m/>
    <m/>
    <n v="6"/>
    <n v="11"/>
    <x v="5"/>
    <n v="4"/>
    <m/>
    <n v="19"/>
    <x v="0"/>
    <n v="3"/>
    <x v="0"/>
    <m/>
    <m/>
    <n v="30"/>
    <x v="1"/>
    <s v="9/05/2022"/>
    <d v="2022-05-09T00:00:00"/>
    <s v="2022017-24"/>
    <x v="0"/>
  </r>
  <r>
    <x v="279"/>
    <n v="2022017"/>
    <x v="17"/>
    <s v="Lentil"/>
    <m/>
    <x v="14"/>
    <s v="N"/>
    <x v="2"/>
    <n v="25"/>
    <n v="25"/>
    <x v="2"/>
    <m/>
    <m/>
    <m/>
    <n v="5"/>
    <m/>
    <m/>
    <m/>
    <m/>
    <m/>
    <n v="1"/>
    <n v="14"/>
    <x v="0"/>
    <n v="5"/>
    <m/>
    <n v="25"/>
    <x v="0"/>
    <n v="2"/>
    <x v="0"/>
    <m/>
    <m/>
    <n v="30"/>
    <x v="2"/>
    <s v="9/06/2022"/>
    <d v="2022-06-09T00:00:00"/>
    <s v="2022017-25"/>
    <x v="0"/>
  </r>
  <r>
    <x v="281"/>
    <n v="2022017"/>
    <x v="17"/>
    <s v="Lentil"/>
    <m/>
    <x v="15"/>
    <s v="Y"/>
    <x v="2"/>
    <n v="26"/>
    <n v="26"/>
    <x v="2"/>
    <m/>
    <m/>
    <m/>
    <n v="5"/>
    <m/>
    <m/>
    <m/>
    <m/>
    <m/>
    <n v="2"/>
    <n v="14"/>
    <x v="1"/>
    <n v="5"/>
    <m/>
    <n v="26"/>
    <x v="0"/>
    <n v="6"/>
    <x v="0"/>
    <m/>
    <m/>
    <n v="30"/>
    <x v="2"/>
    <s v="9/06/2022"/>
    <d v="2022-06-09T00:00:00"/>
    <s v="2022017-26"/>
    <x v="0"/>
  </r>
  <r>
    <x v="282"/>
    <n v="2022017"/>
    <x v="17"/>
    <s v="Lentil"/>
    <m/>
    <x v="0"/>
    <s v="N"/>
    <x v="2"/>
    <n v="27"/>
    <n v="27"/>
    <x v="2"/>
    <m/>
    <m/>
    <m/>
    <n v="5"/>
    <m/>
    <m/>
    <m/>
    <m/>
    <m/>
    <n v="3"/>
    <n v="14"/>
    <x v="2"/>
    <n v="5"/>
    <m/>
    <n v="27"/>
    <x v="0"/>
    <n v="1"/>
    <x v="0"/>
    <m/>
    <m/>
    <n v="30"/>
    <x v="2"/>
    <s v="9/06/2022"/>
    <d v="2022-06-09T00:00:00"/>
    <s v="2022017-27"/>
    <x v="0"/>
  </r>
  <r>
    <x v="283"/>
    <n v="2022017"/>
    <x v="17"/>
    <s v="Lentil"/>
    <m/>
    <x v="1"/>
    <s v="Y"/>
    <x v="2"/>
    <n v="28"/>
    <n v="28"/>
    <x v="2"/>
    <m/>
    <m/>
    <m/>
    <n v="5"/>
    <m/>
    <m/>
    <m/>
    <m/>
    <m/>
    <n v="4"/>
    <n v="14"/>
    <x v="3"/>
    <n v="5"/>
    <m/>
    <n v="28"/>
    <x v="0"/>
    <n v="5"/>
    <x v="0"/>
    <m/>
    <m/>
    <n v="30"/>
    <x v="2"/>
    <s v="9/06/2022"/>
    <d v="2022-06-09T00:00:00"/>
    <s v="2022017-28"/>
    <x v="0"/>
  </r>
  <r>
    <x v="278"/>
    <n v="2022017"/>
    <x v="17"/>
    <s v="Lentil"/>
    <m/>
    <x v="21"/>
    <s v="N"/>
    <x v="2"/>
    <n v="29"/>
    <n v="29"/>
    <x v="2"/>
    <m/>
    <m/>
    <m/>
    <n v="5"/>
    <m/>
    <m/>
    <m/>
    <m/>
    <m/>
    <n v="5"/>
    <n v="14"/>
    <x v="4"/>
    <n v="5"/>
    <m/>
    <n v="29"/>
    <x v="0"/>
    <n v="3"/>
    <x v="0"/>
    <m/>
    <m/>
    <n v="30"/>
    <x v="2"/>
    <s v="9/06/2022"/>
    <d v="2022-06-09T00:00:00"/>
    <s v="2022017-29"/>
    <x v="0"/>
  </r>
  <r>
    <x v="280"/>
    <n v="2022017"/>
    <x v="17"/>
    <s v="Lentil"/>
    <m/>
    <x v="16"/>
    <s v="N"/>
    <x v="2"/>
    <n v="30"/>
    <n v="30"/>
    <x v="2"/>
    <m/>
    <m/>
    <m/>
    <n v="5"/>
    <m/>
    <m/>
    <m/>
    <m/>
    <m/>
    <n v="6"/>
    <n v="14"/>
    <x v="5"/>
    <n v="5"/>
    <m/>
    <n v="30"/>
    <x v="0"/>
    <n v="4"/>
    <x v="0"/>
    <m/>
    <m/>
    <n v="30"/>
    <x v="2"/>
    <s v="9/06/2022"/>
    <d v="2022-06-09T00:00:00"/>
    <s v="2022017-30"/>
    <x v="0"/>
  </r>
  <r>
    <x v="274"/>
    <n v="2022017"/>
    <x v="17"/>
    <s v="Lentil"/>
    <m/>
    <x v="21"/>
    <s v="N"/>
    <x v="2"/>
    <n v="31"/>
    <n v="31"/>
    <x v="2"/>
    <m/>
    <m/>
    <m/>
    <n v="6"/>
    <m/>
    <m/>
    <m/>
    <m/>
    <m/>
    <n v="1"/>
    <n v="17"/>
    <x v="0"/>
    <n v="6"/>
    <m/>
    <n v="36"/>
    <x v="0"/>
    <n v="3"/>
    <x v="0"/>
    <m/>
    <m/>
    <n v="30"/>
    <x v="1"/>
    <s v="9/05/2022"/>
    <d v="2022-05-09T00:00:00"/>
    <s v="2022017-31"/>
    <x v="0"/>
  </r>
  <r>
    <x v="275"/>
    <n v="2022017"/>
    <x v="17"/>
    <s v="Lentil"/>
    <m/>
    <x v="0"/>
    <s v="N"/>
    <x v="2"/>
    <n v="32"/>
    <n v="32"/>
    <x v="2"/>
    <m/>
    <m/>
    <m/>
    <n v="6"/>
    <m/>
    <m/>
    <m/>
    <m/>
    <m/>
    <n v="2"/>
    <n v="17"/>
    <x v="1"/>
    <n v="6"/>
    <m/>
    <n v="35"/>
    <x v="0"/>
    <n v="1"/>
    <x v="0"/>
    <m/>
    <m/>
    <n v="30"/>
    <x v="1"/>
    <s v="9/05/2022"/>
    <d v="2022-05-09T00:00:00"/>
    <s v="2022017-32"/>
    <x v="0"/>
  </r>
  <r>
    <x v="273"/>
    <n v="2022017"/>
    <x v="17"/>
    <s v="Lentil"/>
    <m/>
    <x v="1"/>
    <s v="Y"/>
    <x v="2"/>
    <n v="33"/>
    <n v="33"/>
    <x v="2"/>
    <m/>
    <m/>
    <m/>
    <n v="6"/>
    <m/>
    <m/>
    <m/>
    <m/>
    <m/>
    <n v="3"/>
    <n v="17"/>
    <x v="2"/>
    <n v="6"/>
    <m/>
    <n v="34"/>
    <x v="0"/>
    <n v="5"/>
    <x v="0"/>
    <m/>
    <m/>
    <n v="30"/>
    <x v="1"/>
    <s v="9/05/2022"/>
    <d v="2022-05-09T00:00:00"/>
    <s v="2022017-33"/>
    <x v="0"/>
  </r>
  <r>
    <x v="277"/>
    <n v="2022017"/>
    <x v="17"/>
    <s v="Lentil"/>
    <m/>
    <x v="14"/>
    <s v="N"/>
    <x v="2"/>
    <n v="34"/>
    <n v="34"/>
    <x v="2"/>
    <m/>
    <m/>
    <m/>
    <n v="6"/>
    <m/>
    <m/>
    <m/>
    <m/>
    <m/>
    <n v="4"/>
    <n v="17"/>
    <x v="3"/>
    <n v="6"/>
    <m/>
    <n v="33"/>
    <x v="0"/>
    <n v="2"/>
    <x v="0"/>
    <m/>
    <m/>
    <n v="30"/>
    <x v="1"/>
    <s v="9/05/2022"/>
    <d v="2022-05-09T00:00:00"/>
    <s v="2022017-34"/>
    <x v="0"/>
  </r>
  <r>
    <x v="272"/>
    <n v="2022017"/>
    <x v="17"/>
    <s v="Lentil"/>
    <m/>
    <x v="16"/>
    <s v="N"/>
    <x v="2"/>
    <n v="35"/>
    <n v="35"/>
    <x v="2"/>
    <m/>
    <m/>
    <m/>
    <n v="6"/>
    <m/>
    <m/>
    <m/>
    <m/>
    <m/>
    <n v="5"/>
    <n v="17"/>
    <x v="4"/>
    <n v="6"/>
    <m/>
    <n v="32"/>
    <x v="0"/>
    <n v="4"/>
    <x v="0"/>
    <m/>
    <m/>
    <n v="30"/>
    <x v="1"/>
    <s v="9/05/2022"/>
    <d v="2022-05-09T00:00:00"/>
    <s v="2022017-35"/>
    <x v="0"/>
  </r>
  <r>
    <x v="276"/>
    <n v="2022017"/>
    <x v="17"/>
    <s v="Lentil"/>
    <m/>
    <x v="15"/>
    <s v="Y"/>
    <x v="2"/>
    <n v="36"/>
    <n v="36"/>
    <x v="2"/>
    <m/>
    <m/>
    <m/>
    <n v="6"/>
    <m/>
    <m/>
    <m/>
    <m/>
    <m/>
    <n v="6"/>
    <n v="17"/>
    <x v="5"/>
    <n v="6"/>
    <m/>
    <n v="31"/>
    <x v="0"/>
    <n v="6"/>
    <x v="0"/>
    <m/>
    <m/>
    <n v="30"/>
    <x v="1"/>
    <s v="9/05/2022"/>
    <d v="2022-05-09T00:00:00"/>
    <s v="2022017-36"/>
    <x v="0"/>
  </r>
  <r>
    <x v="276"/>
    <n v="2022017"/>
    <x v="17"/>
    <s v="Lentil"/>
    <m/>
    <x v="15"/>
    <s v="Y"/>
    <x v="2"/>
    <n v="37"/>
    <n v="37"/>
    <x v="3"/>
    <m/>
    <m/>
    <m/>
    <n v="7"/>
    <m/>
    <m/>
    <m/>
    <m/>
    <m/>
    <n v="1"/>
    <n v="20"/>
    <x v="0"/>
    <n v="7"/>
    <m/>
    <n v="37"/>
    <x v="0"/>
    <n v="6"/>
    <x v="0"/>
    <m/>
    <m/>
    <n v="30"/>
    <x v="1"/>
    <s v="9/05/2022"/>
    <d v="2022-05-09T00:00:00"/>
    <s v="2022017-37"/>
    <x v="0"/>
  </r>
  <r>
    <x v="274"/>
    <n v="2022017"/>
    <x v="17"/>
    <s v="Lentil"/>
    <m/>
    <x v="21"/>
    <s v="N"/>
    <x v="2"/>
    <n v="38"/>
    <n v="38"/>
    <x v="3"/>
    <m/>
    <m/>
    <m/>
    <n v="7"/>
    <m/>
    <m/>
    <m/>
    <m/>
    <m/>
    <n v="2"/>
    <n v="20"/>
    <x v="1"/>
    <n v="7"/>
    <m/>
    <n v="38"/>
    <x v="0"/>
    <n v="3"/>
    <x v="0"/>
    <m/>
    <m/>
    <n v="30"/>
    <x v="1"/>
    <s v="9/05/2022"/>
    <d v="2022-05-09T00:00:00"/>
    <s v="2022017-38"/>
    <x v="0"/>
  </r>
  <r>
    <x v="277"/>
    <n v="2022017"/>
    <x v="17"/>
    <s v="Lentil"/>
    <m/>
    <x v="14"/>
    <s v="N"/>
    <x v="2"/>
    <n v="39"/>
    <n v="39"/>
    <x v="3"/>
    <m/>
    <m/>
    <m/>
    <n v="7"/>
    <m/>
    <m/>
    <m/>
    <m/>
    <m/>
    <n v="3"/>
    <n v="20"/>
    <x v="2"/>
    <n v="7"/>
    <m/>
    <n v="39"/>
    <x v="0"/>
    <n v="2"/>
    <x v="0"/>
    <m/>
    <m/>
    <n v="30"/>
    <x v="1"/>
    <s v="9/05/2022"/>
    <d v="2022-05-09T00:00:00"/>
    <s v="2022017-39"/>
    <x v="0"/>
  </r>
  <r>
    <x v="272"/>
    <n v="2022017"/>
    <x v="17"/>
    <s v="Lentil"/>
    <m/>
    <x v="16"/>
    <s v="N"/>
    <x v="2"/>
    <n v="40"/>
    <n v="40"/>
    <x v="3"/>
    <m/>
    <m/>
    <m/>
    <n v="7"/>
    <m/>
    <m/>
    <m/>
    <m/>
    <m/>
    <n v="4"/>
    <n v="20"/>
    <x v="3"/>
    <n v="7"/>
    <m/>
    <n v="40"/>
    <x v="0"/>
    <n v="4"/>
    <x v="0"/>
    <m/>
    <m/>
    <n v="30"/>
    <x v="1"/>
    <s v="9/05/2022"/>
    <d v="2022-05-09T00:00:00"/>
    <s v="2022017-40"/>
    <x v="0"/>
  </r>
  <r>
    <x v="273"/>
    <n v="2022017"/>
    <x v="17"/>
    <s v="Lentil"/>
    <m/>
    <x v="1"/>
    <s v="Y"/>
    <x v="2"/>
    <n v="41"/>
    <n v="41"/>
    <x v="3"/>
    <m/>
    <m/>
    <m/>
    <n v="7"/>
    <m/>
    <m/>
    <m/>
    <m/>
    <m/>
    <n v="5"/>
    <n v="20"/>
    <x v="4"/>
    <n v="7"/>
    <m/>
    <n v="41"/>
    <x v="0"/>
    <n v="5"/>
    <x v="0"/>
    <m/>
    <m/>
    <n v="30"/>
    <x v="1"/>
    <s v="9/05/2022"/>
    <d v="2022-05-09T00:00:00"/>
    <s v="2022017-41"/>
    <x v="0"/>
  </r>
  <r>
    <x v="275"/>
    <n v="2022017"/>
    <x v="17"/>
    <s v="Lentil"/>
    <m/>
    <x v="0"/>
    <s v="N"/>
    <x v="2"/>
    <n v="42"/>
    <n v="42"/>
    <x v="3"/>
    <m/>
    <m/>
    <m/>
    <n v="7"/>
    <m/>
    <m/>
    <m/>
    <m/>
    <m/>
    <n v="6"/>
    <n v="20"/>
    <x v="5"/>
    <n v="7"/>
    <m/>
    <n v="42"/>
    <x v="0"/>
    <n v="1"/>
    <x v="0"/>
    <m/>
    <m/>
    <n v="30"/>
    <x v="1"/>
    <s v="9/05/2022"/>
    <d v="2022-05-09T00:00:00"/>
    <s v="2022017-42"/>
    <x v="0"/>
  </r>
  <r>
    <x v="283"/>
    <n v="2022017"/>
    <x v="17"/>
    <s v="Lentil"/>
    <m/>
    <x v="1"/>
    <s v="Y"/>
    <x v="2"/>
    <n v="43"/>
    <n v="43"/>
    <x v="3"/>
    <m/>
    <m/>
    <m/>
    <n v="8"/>
    <m/>
    <m/>
    <m/>
    <m/>
    <m/>
    <n v="1"/>
    <n v="23"/>
    <x v="0"/>
    <n v="8"/>
    <m/>
    <n v="48"/>
    <x v="0"/>
    <n v="5"/>
    <x v="0"/>
    <m/>
    <m/>
    <n v="30"/>
    <x v="2"/>
    <s v="9/06/2022"/>
    <d v="2022-06-09T00:00:00"/>
    <s v="2022017-43"/>
    <x v="0"/>
  </r>
  <r>
    <x v="280"/>
    <n v="2022017"/>
    <x v="17"/>
    <s v="Lentil"/>
    <m/>
    <x v="16"/>
    <s v="N"/>
    <x v="2"/>
    <n v="44"/>
    <n v="44"/>
    <x v="3"/>
    <m/>
    <m/>
    <m/>
    <n v="8"/>
    <m/>
    <m/>
    <m/>
    <m/>
    <m/>
    <n v="2"/>
    <n v="23"/>
    <x v="1"/>
    <n v="8"/>
    <m/>
    <n v="47"/>
    <x v="0"/>
    <n v="4"/>
    <x v="0"/>
    <m/>
    <m/>
    <n v="30"/>
    <x v="2"/>
    <s v="9/06/2022"/>
    <d v="2022-06-09T00:00:00"/>
    <s v="2022017-44"/>
    <x v="0"/>
  </r>
  <r>
    <x v="278"/>
    <n v="2022017"/>
    <x v="17"/>
    <s v="Lentil"/>
    <m/>
    <x v="21"/>
    <s v="N"/>
    <x v="2"/>
    <n v="45"/>
    <n v="45"/>
    <x v="3"/>
    <m/>
    <m/>
    <m/>
    <n v="8"/>
    <m/>
    <m/>
    <m/>
    <m/>
    <m/>
    <n v="3"/>
    <n v="23"/>
    <x v="2"/>
    <n v="8"/>
    <m/>
    <n v="46"/>
    <x v="0"/>
    <n v="3"/>
    <x v="0"/>
    <m/>
    <m/>
    <n v="30"/>
    <x v="2"/>
    <s v="9/06/2022"/>
    <d v="2022-06-09T00:00:00"/>
    <s v="2022017-45"/>
    <x v="0"/>
  </r>
  <r>
    <x v="282"/>
    <n v="2022017"/>
    <x v="17"/>
    <s v="Lentil"/>
    <m/>
    <x v="0"/>
    <s v="N"/>
    <x v="2"/>
    <n v="46"/>
    <n v="46"/>
    <x v="3"/>
    <m/>
    <m/>
    <m/>
    <n v="8"/>
    <m/>
    <m/>
    <m/>
    <m/>
    <m/>
    <n v="4"/>
    <n v="23"/>
    <x v="3"/>
    <n v="8"/>
    <m/>
    <n v="45"/>
    <x v="0"/>
    <n v="1"/>
    <x v="0"/>
    <m/>
    <m/>
    <n v="30"/>
    <x v="2"/>
    <s v="9/06/2022"/>
    <d v="2022-06-09T00:00:00"/>
    <s v="2022017-46"/>
    <x v="0"/>
  </r>
  <r>
    <x v="281"/>
    <n v="2022017"/>
    <x v="17"/>
    <s v="Lentil"/>
    <m/>
    <x v="15"/>
    <s v="Y"/>
    <x v="2"/>
    <n v="47"/>
    <n v="47"/>
    <x v="3"/>
    <m/>
    <m/>
    <m/>
    <n v="8"/>
    <m/>
    <m/>
    <m/>
    <m/>
    <m/>
    <n v="5"/>
    <n v="23"/>
    <x v="4"/>
    <n v="8"/>
    <m/>
    <n v="44"/>
    <x v="0"/>
    <n v="6"/>
    <x v="0"/>
    <m/>
    <m/>
    <n v="30"/>
    <x v="2"/>
    <s v="9/06/2022"/>
    <d v="2022-06-09T00:00:00"/>
    <s v="2022017-47"/>
    <x v="0"/>
  </r>
  <r>
    <x v="279"/>
    <n v="2022017"/>
    <x v="17"/>
    <s v="Lentil"/>
    <m/>
    <x v="14"/>
    <s v="N"/>
    <x v="2"/>
    <n v="48"/>
    <n v="48"/>
    <x v="3"/>
    <m/>
    <m/>
    <m/>
    <n v="8"/>
    <m/>
    <m/>
    <m/>
    <m/>
    <m/>
    <n v="6"/>
    <n v="23"/>
    <x v="5"/>
    <n v="8"/>
    <m/>
    <n v="43"/>
    <x v="0"/>
    <n v="2"/>
    <x v="0"/>
    <m/>
    <m/>
    <n v="30"/>
    <x v="2"/>
    <s v="9/06/2022"/>
    <d v="2022-06-09T00:00:00"/>
    <s v="2022017-48"/>
    <x v="0"/>
  </r>
  <r>
    <x v="284"/>
    <n v="2022018"/>
    <x v="18"/>
    <s v="Lentil"/>
    <m/>
    <x v="1"/>
    <s v="Y"/>
    <x v="2"/>
    <n v="1"/>
    <n v="1"/>
    <x v="0"/>
    <m/>
    <m/>
    <m/>
    <n v="1"/>
    <m/>
    <m/>
    <m/>
    <m/>
    <m/>
    <n v="1"/>
    <n v="2"/>
    <x v="0"/>
    <n v="1"/>
    <m/>
    <n v="1"/>
    <x v="0"/>
    <n v="6"/>
    <x v="1"/>
    <m/>
    <m/>
    <n v="23"/>
    <x v="2"/>
    <s v="11/05/2022"/>
    <d v="2022-05-11T00:00:00"/>
    <s v="2022018-1"/>
    <x v="0"/>
  </r>
  <r>
    <x v="285"/>
    <n v="2022018"/>
    <x v="18"/>
    <s v="Lentil"/>
    <m/>
    <x v="15"/>
    <s v="Y"/>
    <x v="2"/>
    <n v="2"/>
    <n v="2"/>
    <x v="0"/>
    <m/>
    <m/>
    <m/>
    <n v="1"/>
    <m/>
    <m/>
    <m/>
    <m/>
    <m/>
    <n v="2"/>
    <n v="2"/>
    <x v="1"/>
    <n v="1"/>
    <m/>
    <n v="2"/>
    <x v="0"/>
    <n v="4"/>
    <x v="2"/>
    <m/>
    <m/>
    <n v="23"/>
    <x v="2"/>
    <s v="11/05/2022"/>
    <d v="2022-05-11T00:00:00"/>
    <s v="2022018-2"/>
    <x v="0"/>
  </r>
  <r>
    <x v="286"/>
    <n v="2022018"/>
    <x v="18"/>
    <s v="Lentil"/>
    <m/>
    <x v="14"/>
    <s v="N"/>
    <x v="2"/>
    <n v="3"/>
    <n v="3"/>
    <x v="0"/>
    <m/>
    <m/>
    <m/>
    <n v="1"/>
    <m/>
    <m/>
    <m/>
    <m/>
    <m/>
    <n v="3"/>
    <n v="2"/>
    <x v="2"/>
    <n v="1"/>
    <m/>
    <n v="3"/>
    <x v="0"/>
    <n v="5"/>
    <x v="1"/>
    <m/>
    <m/>
    <n v="23"/>
    <x v="2"/>
    <s v="11/05/2022"/>
    <d v="2022-05-11T00:00:00"/>
    <s v="2022018-3"/>
    <x v="0"/>
  </r>
  <r>
    <x v="287"/>
    <n v="2022018"/>
    <x v="18"/>
    <s v="Lentil"/>
    <m/>
    <x v="1"/>
    <s v="Y"/>
    <x v="2"/>
    <n v="4"/>
    <n v="4"/>
    <x v="0"/>
    <m/>
    <m/>
    <m/>
    <n v="1"/>
    <m/>
    <m/>
    <m/>
    <m/>
    <m/>
    <n v="1"/>
    <n v="3"/>
    <x v="0"/>
    <n v="2"/>
    <m/>
    <n v="6"/>
    <x v="0"/>
    <n v="3"/>
    <x v="2"/>
    <m/>
    <m/>
    <n v="23"/>
    <x v="2"/>
    <s v="11/05/2022"/>
    <d v="2022-05-11T00:00:00"/>
    <s v="2022018-4"/>
    <x v="0"/>
  </r>
  <r>
    <x v="288"/>
    <n v="2022018"/>
    <x v="18"/>
    <s v="Lentil"/>
    <m/>
    <x v="16"/>
    <s v="N"/>
    <x v="2"/>
    <n v="5"/>
    <n v="5"/>
    <x v="0"/>
    <m/>
    <m/>
    <m/>
    <n v="1"/>
    <m/>
    <m/>
    <m/>
    <m/>
    <m/>
    <n v="2"/>
    <n v="3"/>
    <x v="1"/>
    <n v="2"/>
    <m/>
    <n v="5"/>
    <x v="0"/>
    <n v="1"/>
    <x v="2"/>
    <m/>
    <m/>
    <n v="23"/>
    <x v="2"/>
    <s v="11/05/2022"/>
    <d v="2022-05-11T00:00:00"/>
    <s v="2022018-5"/>
    <x v="0"/>
  </r>
  <r>
    <x v="289"/>
    <n v="2022018"/>
    <x v="18"/>
    <s v="Lentil"/>
    <m/>
    <x v="14"/>
    <s v="N"/>
    <x v="2"/>
    <n v="6"/>
    <n v="6"/>
    <x v="0"/>
    <m/>
    <m/>
    <m/>
    <n v="1"/>
    <m/>
    <m/>
    <m/>
    <m/>
    <m/>
    <n v="3"/>
    <n v="3"/>
    <x v="2"/>
    <n v="2"/>
    <m/>
    <n v="4"/>
    <x v="0"/>
    <n v="2"/>
    <x v="2"/>
    <m/>
    <m/>
    <n v="23"/>
    <x v="2"/>
    <s v="11/05/2022"/>
    <d v="2022-05-11T00:00:00"/>
    <s v="2022018-6"/>
    <x v="0"/>
  </r>
  <r>
    <x v="290"/>
    <n v="2022018"/>
    <x v="18"/>
    <s v="Lentil"/>
    <m/>
    <x v="16"/>
    <s v="N"/>
    <x v="2"/>
    <n v="7"/>
    <n v="7"/>
    <x v="0"/>
    <m/>
    <m/>
    <m/>
    <n v="2"/>
    <m/>
    <m/>
    <m/>
    <m/>
    <m/>
    <n v="1"/>
    <n v="5"/>
    <x v="0"/>
    <n v="3"/>
    <m/>
    <n v="7"/>
    <x v="0"/>
    <n v="1"/>
    <x v="2"/>
    <m/>
    <m/>
    <n v="23"/>
    <x v="1"/>
    <s v="11/04/2022"/>
    <d v="2022-04-11T00:00:00"/>
    <s v="2022018-7"/>
    <x v="0"/>
  </r>
  <r>
    <x v="291"/>
    <n v="2022018"/>
    <x v="18"/>
    <s v="Lentil"/>
    <m/>
    <x v="14"/>
    <s v="N"/>
    <x v="2"/>
    <n v="8"/>
    <n v="8"/>
    <x v="0"/>
    <m/>
    <m/>
    <m/>
    <n v="2"/>
    <m/>
    <m/>
    <m/>
    <m/>
    <m/>
    <n v="2"/>
    <n v="5"/>
    <x v="1"/>
    <n v="3"/>
    <m/>
    <n v="8"/>
    <x v="0"/>
    <n v="5"/>
    <x v="1"/>
    <m/>
    <m/>
    <n v="23"/>
    <x v="1"/>
    <s v="11/04/2022"/>
    <d v="2022-04-11T00:00:00"/>
    <s v="2022018-8"/>
    <x v="0"/>
  </r>
  <r>
    <x v="292"/>
    <n v="2022018"/>
    <x v="18"/>
    <s v="Lentil"/>
    <m/>
    <x v="1"/>
    <s v="Y"/>
    <x v="2"/>
    <n v="9"/>
    <n v="9"/>
    <x v="0"/>
    <m/>
    <m/>
    <m/>
    <n v="2"/>
    <m/>
    <m/>
    <m/>
    <m/>
    <m/>
    <n v="3"/>
    <n v="5"/>
    <x v="2"/>
    <n v="3"/>
    <m/>
    <n v="9"/>
    <x v="0"/>
    <n v="6"/>
    <x v="1"/>
    <m/>
    <m/>
    <n v="23"/>
    <x v="1"/>
    <s v="11/04/2022"/>
    <d v="2022-04-11T00:00:00"/>
    <s v="2022018-9"/>
    <x v="0"/>
  </r>
  <r>
    <x v="293"/>
    <n v="2022018"/>
    <x v="18"/>
    <s v="Lentil"/>
    <m/>
    <x v="1"/>
    <s v="Y"/>
    <x v="2"/>
    <n v="10"/>
    <n v="10"/>
    <x v="0"/>
    <m/>
    <m/>
    <m/>
    <n v="2"/>
    <m/>
    <m/>
    <m/>
    <m/>
    <m/>
    <n v="1"/>
    <n v="6"/>
    <x v="0"/>
    <n v="4"/>
    <m/>
    <n v="12"/>
    <x v="0"/>
    <n v="3"/>
    <x v="2"/>
    <m/>
    <m/>
    <n v="23"/>
    <x v="1"/>
    <s v="11/04/2022"/>
    <d v="2022-04-11T00:00:00"/>
    <s v="2022018-10"/>
    <x v="0"/>
  </r>
  <r>
    <x v="294"/>
    <n v="2022018"/>
    <x v="18"/>
    <s v="Lentil"/>
    <m/>
    <x v="15"/>
    <s v="Y"/>
    <x v="2"/>
    <n v="11"/>
    <n v="11"/>
    <x v="0"/>
    <m/>
    <m/>
    <m/>
    <n v="2"/>
    <m/>
    <m/>
    <m/>
    <m/>
    <m/>
    <n v="2"/>
    <n v="6"/>
    <x v="1"/>
    <n v="4"/>
    <m/>
    <n v="11"/>
    <x v="0"/>
    <n v="4"/>
    <x v="2"/>
    <m/>
    <m/>
    <n v="23"/>
    <x v="1"/>
    <s v="11/04/2022"/>
    <d v="2022-04-11T00:00:00"/>
    <s v="2022018-11"/>
    <x v="0"/>
  </r>
  <r>
    <x v="295"/>
    <n v="2022018"/>
    <x v="18"/>
    <s v="Lentil"/>
    <m/>
    <x v="14"/>
    <s v="N"/>
    <x v="2"/>
    <n v="12"/>
    <n v="12"/>
    <x v="0"/>
    <m/>
    <m/>
    <m/>
    <n v="2"/>
    <m/>
    <m/>
    <m/>
    <m/>
    <m/>
    <n v="3"/>
    <n v="6"/>
    <x v="2"/>
    <n v="4"/>
    <m/>
    <n v="10"/>
    <x v="0"/>
    <n v="2"/>
    <x v="2"/>
    <m/>
    <m/>
    <n v="23"/>
    <x v="1"/>
    <s v="11/04/2022"/>
    <d v="2022-04-11T00:00:00"/>
    <s v="2022018-12"/>
    <x v="0"/>
  </r>
  <r>
    <x v="289"/>
    <n v="2022018"/>
    <x v="18"/>
    <s v="Lentil"/>
    <m/>
    <x v="14"/>
    <s v="N"/>
    <x v="2"/>
    <n v="13"/>
    <n v="13"/>
    <x v="1"/>
    <m/>
    <m/>
    <m/>
    <n v="3"/>
    <m/>
    <m/>
    <m/>
    <m/>
    <m/>
    <n v="1"/>
    <n v="8"/>
    <x v="0"/>
    <n v="5"/>
    <m/>
    <n v="13"/>
    <x v="0"/>
    <n v="2"/>
    <x v="2"/>
    <m/>
    <m/>
    <n v="23"/>
    <x v="2"/>
    <s v="11/05/2022"/>
    <d v="2022-05-11T00:00:00"/>
    <s v="2022018-13"/>
    <x v="0"/>
  </r>
  <r>
    <x v="285"/>
    <n v="2022018"/>
    <x v="18"/>
    <s v="Lentil"/>
    <m/>
    <x v="15"/>
    <s v="Y"/>
    <x v="2"/>
    <n v="14"/>
    <n v="14"/>
    <x v="1"/>
    <m/>
    <m/>
    <m/>
    <n v="3"/>
    <m/>
    <m/>
    <m/>
    <m/>
    <m/>
    <n v="2"/>
    <n v="8"/>
    <x v="1"/>
    <n v="5"/>
    <m/>
    <n v="14"/>
    <x v="0"/>
    <n v="4"/>
    <x v="2"/>
    <m/>
    <m/>
    <n v="23"/>
    <x v="2"/>
    <s v="11/05/2022"/>
    <d v="2022-05-11T00:00:00"/>
    <s v="2022018-14"/>
    <x v="0"/>
  </r>
  <r>
    <x v="284"/>
    <n v="2022018"/>
    <x v="18"/>
    <s v="Lentil"/>
    <m/>
    <x v="1"/>
    <s v="Y"/>
    <x v="2"/>
    <n v="15"/>
    <n v="15"/>
    <x v="1"/>
    <m/>
    <m/>
    <m/>
    <n v="3"/>
    <m/>
    <m/>
    <m/>
    <m/>
    <m/>
    <n v="3"/>
    <n v="8"/>
    <x v="2"/>
    <n v="5"/>
    <m/>
    <n v="15"/>
    <x v="0"/>
    <n v="6"/>
    <x v="1"/>
    <m/>
    <m/>
    <n v="23"/>
    <x v="2"/>
    <s v="11/05/2022"/>
    <d v="2022-05-11T00:00:00"/>
    <s v="2022018-15"/>
    <x v="0"/>
  </r>
  <r>
    <x v="286"/>
    <n v="2022018"/>
    <x v="18"/>
    <s v="Lentil"/>
    <m/>
    <x v="14"/>
    <s v="N"/>
    <x v="2"/>
    <n v="16"/>
    <n v="16"/>
    <x v="1"/>
    <m/>
    <m/>
    <m/>
    <n v="3"/>
    <m/>
    <m/>
    <m/>
    <m/>
    <m/>
    <n v="1"/>
    <n v="9"/>
    <x v="0"/>
    <n v="6"/>
    <m/>
    <n v="18"/>
    <x v="0"/>
    <n v="5"/>
    <x v="1"/>
    <m/>
    <m/>
    <n v="23"/>
    <x v="2"/>
    <s v="11/05/2022"/>
    <d v="2022-05-11T00:00:00"/>
    <s v="2022018-16"/>
    <x v="0"/>
  </r>
  <r>
    <x v="287"/>
    <n v="2022018"/>
    <x v="18"/>
    <s v="Lentil"/>
    <m/>
    <x v="1"/>
    <s v="Y"/>
    <x v="2"/>
    <n v="17"/>
    <n v="17"/>
    <x v="1"/>
    <m/>
    <m/>
    <m/>
    <n v="3"/>
    <m/>
    <m/>
    <m/>
    <m/>
    <m/>
    <n v="2"/>
    <n v="9"/>
    <x v="1"/>
    <n v="6"/>
    <m/>
    <n v="17"/>
    <x v="0"/>
    <n v="3"/>
    <x v="2"/>
    <m/>
    <m/>
    <n v="23"/>
    <x v="2"/>
    <s v="11/05/2022"/>
    <d v="2022-05-11T00:00:00"/>
    <s v="2022018-17"/>
    <x v="0"/>
  </r>
  <r>
    <x v="288"/>
    <n v="2022018"/>
    <x v="18"/>
    <s v="Lentil"/>
    <m/>
    <x v="16"/>
    <s v="N"/>
    <x v="2"/>
    <n v="18"/>
    <n v="18"/>
    <x v="1"/>
    <m/>
    <m/>
    <m/>
    <n v="3"/>
    <m/>
    <m/>
    <m/>
    <m/>
    <m/>
    <n v="3"/>
    <n v="9"/>
    <x v="2"/>
    <n v="6"/>
    <m/>
    <n v="16"/>
    <x v="0"/>
    <n v="1"/>
    <x v="2"/>
    <m/>
    <m/>
    <n v="23"/>
    <x v="2"/>
    <s v="11/05/2022"/>
    <d v="2022-05-11T00:00:00"/>
    <s v="2022018-18"/>
    <x v="0"/>
  </r>
  <r>
    <x v="293"/>
    <n v="2022018"/>
    <x v="18"/>
    <s v="Lentil"/>
    <m/>
    <x v="1"/>
    <s v="Y"/>
    <x v="2"/>
    <n v="19"/>
    <n v="19"/>
    <x v="1"/>
    <m/>
    <m/>
    <m/>
    <n v="4"/>
    <m/>
    <m/>
    <m/>
    <m/>
    <m/>
    <n v="1"/>
    <n v="11"/>
    <x v="0"/>
    <n v="7"/>
    <m/>
    <n v="19"/>
    <x v="0"/>
    <n v="3"/>
    <x v="2"/>
    <m/>
    <m/>
    <n v="23"/>
    <x v="1"/>
    <s v="11/04/2022"/>
    <d v="2022-04-11T00:00:00"/>
    <s v="2022018-19"/>
    <x v="0"/>
  </r>
  <r>
    <x v="292"/>
    <n v="2022018"/>
    <x v="18"/>
    <s v="Lentil"/>
    <m/>
    <x v="1"/>
    <s v="Y"/>
    <x v="2"/>
    <n v="20"/>
    <n v="20"/>
    <x v="1"/>
    <m/>
    <m/>
    <m/>
    <n v="4"/>
    <m/>
    <m/>
    <m/>
    <m/>
    <m/>
    <n v="2"/>
    <n v="11"/>
    <x v="1"/>
    <n v="7"/>
    <m/>
    <n v="20"/>
    <x v="0"/>
    <n v="6"/>
    <x v="1"/>
    <m/>
    <m/>
    <n v="23"/>
    <x v="1"/>
    <s v="11/04/2022"/>
    <d v="2022-04-11T00:00:00"/>
    <s v="2022018-20"/>
    <x v="0"/>
  </r>
  <r>
    <x v="294"/>
    <n v="2022018"/>
    <x v="18"/>
    <s v="Lentil"/>
    <m/>
    <x v="15"/>
    <s v="Y"/>
    <x v="2"/>
    <n v="21"/>
    <n v="21"/>
    <x v="1"/>
    <m/>
    <m/>
    <m/>
    <n v="4"/>
    <m/>
    <m/>
    <m/>
    <m/>
    <m/>
    <n v="3"/>
    <n v="11"/>
    <x v="2"/>
    <n v="7"/>
    <m/>
    <n v="21"/>
    <x v="0"/>
    <n v="4"/>
    <x v="2"/>
    <m/>
    <m/>
    <n v="23"/>
    <x v="1"/>
    <s v="11/04/2022"/>
    <d v="2022-04-11T00:00:00"/>
    <s v="2022018-21"/>
    <x v="0"/>
  </r>
  <r>
    <x v="290"/>
    <n v="2022018"/>
    <x v="18"/>
    <s v="Lentil"/>
    <m/>
    <x v="16"/>
    <s v="N"/>
    <x v="2"/>
    <n v="22"/>
    <n v="22"/>
    <x v="1"/>
    <m/>
    <m/>
    <m/>
    <n v="4"/>
    <m/>
    <m/>
    <m/>
    <m/>
    <m/>
    <n v="1"/>
    <n v="12"/>
    <x v="0"/>
    <n v="8"/>
    <m/>
    <n v="24"/>
    <x v="0"/>
    <n v="1"/>
    <x v="2"/>
    <m/>
    <m/>
    <n v="23"/>
    <x v="1"/>
    <s v="11/04/2022"/>
    <d v="2022-04-11T00:00:00"/>
    <s v="2022018-22"/>
    <x v="0"/>
  </r>
  <r>
    <x v="295"/>
    <n v="2022018"/>
    <x v="18"/>
    <s v="Lentil"/>
    <m/>
    <x v="14"/>
    <s v="N"/>
    <x v="2"/>
    <n v="23"/>
    <n v="23"/>
    <x v="1"/>
    <m/>
    <m/>
    <m/>
    <n v="4"/>
    <m/>
    <m/>
    <m/>
    <m/>
    <m/>
    <n v="2"/>
    <n v="12"/>
    <x v="1"/>
    <n v="8"/>
    <m/>
    <n v="23"/>
    <x v="0"/>
    <n v="2"/>
    <x v="2"/>
    <m/>
    <m/>
    <n v="23"/>
    <x v="1"/>
    <s v="11/04/2022"/>
    <d v="2022-04-11T00:00:00"/>
    <s v="2022018-23"/>
    <x v="0"/>
  </r>
  <r>
    <x v="291"/>
    <n v="2022018"/>
    <x v="18"/>
    <s v="Lentil"/>
    <m/>
    <x v="14"/>
    <s v="N"/>
    <x v="2"/>
    <n v="24"/>
    <n v="24"/>
    <x v="1"/>
    <m/>
    <m/>
    <m/>
    <n v="4"/>
    <m/>
    <m/>
    <m/>
    <m/>
    <m/>
    <n v="3"/>
    <n v="12"/>
    <x v="2"/>
    <n v="8"/>
    <m/>
    <n v="22"/>
    <x v="0"/>
    <n v="5"/>
    <x v="1"/>
    <m/>
    <m/>
    <n v="23"/>
    <x v="1"/>
    <s v="11/04/2022"/>
    <d v="2022-04-11T00:00:00"/>
    <s v="2022018-24"/>
    <x v="0"/>
  </r>
  <r>
    <x v="294"/>
    <n v="2022018"/>
    <x v="18"/>
    <s v="Lentil"/>
    <m/>
    <x v="15"/>
    <s v="Y"/>
    <x v="2"/>
    <n v="25"/>
    <n v="25"/>
    <x v="2"/>
    <m/>
    <m/>
    <m/>
    <n v="5"/>
    <m/>
    <m/>
    <m/>
    <m/>
    <m/>
    <n v="1"/>
    <n v="14"/>
    <x v="0"/>
    <n v="9"/>
    <m/>
    <n v="25"/>
    <x v="0"/>
    <n v="4"/>
    <x v="2"/>
    <m/>
    <m/>
    <n v="23"/>
    <x v="1"/>
    <s v="11/04/2022"/>
    <d v="2022-04-11T00:00:00"/>
    <s v="2022018-25"/>
    <x v="0"/>
  </r>
  <r>
    <x v="290"/>
    <n v="2022018"/>
    <x v="18"/>
    <s v="Lentil"/>
    <m/>
    <x v="16"/>
    <s v="N"/>
    <x v="2"/>
    <n v="26"/>
    <n v="26"/>
    <x v="2"/>
    <m/>
    <m/>
    <m/>
    <n v="5"/>
    <m/>
    <m/>
    <m/>
    <m/>
    <m/>
    <n v="2"/>
    <n v="14"/>
    <x v="1"/>
    <n v="9"/>
    <m/>
    <n v="26"/>
    <x v="0"/>
    <n v="1"/>
    <x v="2"/>
    <m/>
    <m/>
    <n v="23"/>
    <x v="1"/>
    <s v="11/04/2022"/>
    <d v="2022-04-11T00:00:00"/>
    <s v="2022018-26"/>
    <x v="0"/>
  </r>
  <r>
    <x v="295"/>
    <n v="2022018"/>
    <x v="18"/>
    <s v="Lentil"/>
    <m/>
    <x v="14"/>
    <s v="N"/>
    <x v="2"/>
    <n v="27"/>
    <n v="27"/>
    <x v="2"/>
    <m/>
    <m/>
    <m/>
    <n v="5"/>
    <m/>
    <m/>
    <m/>
    <m/>
    <m/>
    <n v="3"/>
    <n v="14"/>
    <x v="2"/>
    <n v="9"/>
    <m/>
    <n v="27"/>
    <x v="0"/>
    <n v="2"/>
    <x v="2"/>
    <m/>
    <m/>
    <n v="23"/>
    <x v="1"/>
    <s v="11/04/2022"/>
    <d v="2022-04-11T00:00:00"/>
    <s v="2022018-27"/>
    <x v="0"/>
  </r>
  <r>
    <x v="292"/>
    <n v="2022018"/>
    <x v="18"/>
    <s v="Lentil"/>
    <m/>
    <x v="1"/>
    <s v="Y"/>
    <x v="2"/>
    <n v="28"/>
    <n v="28"/>
    <x v="2"/>
    <m/>
    <m/>
    <m/>
    <n v="5"/>
    <m/>
    <m/>
    <m/>
    <m/>
    <m/>
    <n v="1"/>
    <n v="15"/>
    <x v="0"/>
    <n v="10"/>
    <m/>
    <n v="30"/>
    <x v="0"/>
    <n v="6"/>
    <x v="1"/>
    <m/>
    <m/>
    <n v="23"/>
    <x v="1"/>
    <s v="11/04/2022"/>
    <d v="2022-04-11T00:00:00"/>
    <s v="2022018-28"/>
    <x v="0"/>
  </r>
  <r>
    <x v="291"/>
    <n v="2022018"/>
    <x v="18"/>
    <s v="Lentil"/>
    <m/>
    <x v="14"/>
    <s v="N"/>
    <x v="2"/>
    <n v="29"/>
    <n v="29"/>
    <x v="2"/>
    <m/>
    <m/>
    <m/>
    <n v="5"/>
    <m/>
    <m/>
    <m/>
    <m/>
    <m/>
    <n v="2"/>
    <n v="15"/>
    <x v="1"/>
    <n v="10"/>
    <m/>
    <n v="29"/>
    <x v="0"/>
    <n v="5"/>
    <x v="1"/>
    <m/>
    <m/>
    <n v="23"/>
    <x v="1"/>
    <s v="11/04/2022"/>
    <d v="2022-04-11T00:00:00"/>
    <s v="2022018-29"/>
    <x v="0"/>
  </r>
  <r>
    <x v="293"/>
    <n v="2022018"/>
    <x v="18"/>
    <s v="Lentil"/>
    <m/>
    <x v="1"/>
    <s v="Y"/>
    <x v="2"/>
    <n v="30"/>
    <n v="30"/>
    <x v="2"/>
    <m/>
    <m/>
    <m/>
    <n v="5"/>
    <m/>
    <m/>
    <m/>
    <m/>
    <m/>
    <n v="3"/>
    <n v="15"/>
    <x v="2"/>
    <n v="10"/>
    <m/>
    <n v="28"/>
    <x v="0"/>
    <n v="3"/>
    <x v="2"/>
    <m/>
    <m/>
    <n v="23"/>
    <x v="1"/>
    <s v="11/04/2022"/>
    <d v="2022-04-11T00:00:00"/>
    <s v="2022018-30"/>
    <x v="0"/>
  </r>
  <r>
    <x v="289"/>
    <n v="2022018"/>
    <x v="18"/>
    <s v="Lentil"/>
    <m/>
    <x v="14"/>
    <s v="N"/>
    <x v="2"/>
    <n v="31"/>
    <n v="31"/>
    <x v="2"/>
    <m/>
    <m/>
    <m/>
    <n v="6"/>
    <m/>
    <m/>
    <m/>
    <m/>
    <m/>
    <n v="1"/>
    <n v="17"/>
    <x v="0"/>
    <n v="11"/>
    <m/>
    <n v="31"/>
    <x v="0"/>
    <n v="2"/>
    <x v="2"/>
    <m/>
    <m/>
    <n v="23"/>
    <x v="2"/>
    <s v="11/05/2022"/>
    <d v="2022-05-11T00:00:00"/>
    <s v="2022018-31"/>
    <x v="0"/>
  </r>
  <r>
    <x v="284"/>
    <n v="2022018"/>
    <x v="18"/>
    <s v="Lentil"/>
    <m/>
    <x v="1"/>
    <s v="Y"/>
    <x v="2"/>
    <n v="32"/>
    <n v="32"/>
    <x v="2"/>
    <m/>
    <m/>
    <m/>
    <n v="6"/>
    <m/>
    <m/>
    <m/>
    <m/>
    <m/>
    <n v="2"/>
    <n v="17"/>
    <x v="1"/>
    <n v="11"/>
    <m/>
    <n v="32"/>
    <x v="0"/>
    <n v="6"/>
    <x v="1"/>
    <m/>
    <m/>
    <n v="23"/>
    <x v="2"/>
    <s v="11/05/2022"/>
    <d v="2022-05-11T00:00:00"/>
    <s v="2022018-32"/>
    <x v="0"/>
  </r>
  <r>
    <x v="288"/>
    <n v="2022018"/>
    <x v="18"/>
    <s v="Lentil"/>
    <m/>
    <x v="16"/>
    <s v="N"/>
    <x v="2"/>
    <n v="33"/>
    <n v="33"/>
    <x v="2"/>
    <m/>
    <m/>
    <m/>
    <n v="6"/>
    <m/>
    <m/>
    <m/>
    <m/>
    <m/>
    <n v="3"/>
    <n v="17"/>
    <x v="2"/>
    <n v="11"/>
    <m/>
    <n v="33"/>
    <x v="0"/>
    <n v="1"/>
    <x v="2"/>
    <m/>
    <m/>
    <n v="23"/>
    <x v="2"/>
    <s v="11/05/2022"/>
    <d v="2022-05-11T00:00:00"/>
    <s v="2022018-33"/>
    <x v="0"/>
  </r>
  <r>
    <x v="285"/>
    <n v="2022018"/>
    <x v="18"/>
    <s v="Lentil"/>
    <m/>
    <x v="15"/>
    <s v="Y"/>
    <x v="2"/>
    <n v="34"/>
    <n v="34"/>
    <x v="2"/>
    <m/>
    <m/>
    <m/>
    <n v="6"/>
    <m/>
    <m/>
    <m/>
    <m/>
    <m/>
    <n v="1"/>
    <n v="18"/>
    <x v="0"/>
    <n v="12"/>
    <m/>
    <n v="36"/>
    <x v="0"/>
    <n v="4"/>
    <x v="2"/>
    <m/>
    <m/>
    <n v="23"/>
    <x v="2"/>
    <s v="11/05/2022"/>
    <d v="2022-05-11T00:00:00"/>
    <s v="2022018-34"/>
    <x v="0"/>
  </r>
  <r>
    <x v="287"/>
    <n v="2022018"/>
    <x v="18"/>
    <s v="Lentil"/>
    <m/>
    <x v="1"/>
    <s v="Y"/>
    <x v="2"/>
    <n v="35"/>
    <n v="35"/>
    <x v="2"/>
    <m/>
    <m/>
    <m/>
    <n v="6"/>
    <m/>
    <m/>
    <m/>
    <m/>
    <m/>
    <n v="2"/>
    <n v="18"/>
    <x v="1"/>
    <n v="12"/>
    <m/>
    <n v="35"/>
    <x v="0"/>
    <n v="3"/>
    <x v="2"/>
    <m/>
    <m/>
    <n v="23"/>
    <x v="2"/>
    <s v="11/05/2022"/>
    <d v="2022-05-11T00:00:00"/>
    <s v="2022018-35"/>
    <x v="0"/>
  </r>
  <r>
    <x v="286"/>
    <n v="2022018"/>
    <x v="18"/>
    <s v="Lentil"/>
    <m/>
    <x v="14"/>
    <s v="N"/>
    <x v="2"/>
    <n v="36"/>
    <n v="36"/>
    <x v="2"/>
    <m/>
    <m/>
    <m/>
    <n v="6"/>
    <m/>
    <m/>
    <m/>
    <m/>
    <m/>
    <n v="3"/>
    <n v="18"/>
    <x v="2"/>
    <n v="12"/>
    <m/>
    <n v="34"/>
    <x v="0"/>
    <n v="5"/>
    <x v="1"/>
    <m/>
    <m/>
    <n v="23"/>
    <x v="2"/>
    <s v="11/05/2022"/>
    <d v="2022-05-11T00:00:00"/>
    <s v="2022018-36"/>
    <x v="0"/>
  </r>
  <r>
    <x v="290"/>
    <n v="2022018"/>
    <x v="18"/>
    <s v="Lentil"/>
    <m/>
    <x v="16"/>
    <s v="N"/>
    <x v="2"/>
    <n v="37"/>
    <n v="37"/>
    <x v="3"/>
    <m/>
    <m/>
    <m/>
    <n v="7"/>
    <m/>
    <m/>
    <m/>
    <m/>
    <m/>
    <n v="1"/>
    <n v="20"/>
    <x v="0"/>
    <n v="13"/>
    <m/>
    <n v="37"/>
    <x v="0"/>
    <n v="1"/>
    <x v="2"/>
    <m/>
    <m/>
    <n v="23"/>
    <x v="1"/>
    <s v="11/04/2022"/>
    <d v="2022-04-11T00:00:00"/>
    <s v="2022018-37"/>
    <x v="0"/>
  </r>
  <r>
    <x v="292"/>
    <n v="2022018"/>
    <x v="18"/>
    <s v="Lentil"/>
    <m/>
    <x v="1"/>
    <s v="Y"/>
    <x v="2"/>
    <n v="38"/>
    <n v="38"/>
    <x v="3"/>
    <m/>
    <m/>
    <m/>
    <n v="7"/>
    <m/>
    <m/>
    <m/>
    <m/>
    <m/>
    <n v="2"/>
    <n v="20"/>
    <x v="1"/>
    <n v="13"/>
    <m/>
    <n v="38"/>
    <x v="0"/>
    <n v="6"/>
    <x v="1"/>
    <m/>
    <m/>
    <n v="23"/>
    <x v="1"/>
    <s v="11/04/2022"/>
    <d v="2022-04-11T00:00:00"/>
    <s v="2022018-38"/>
    <x v="0"/>
  </r>
  <r>
    <x v="294"/>
    <n v="2022018"/>
    <x v="18"/>
    <s v="Lentil"/>
    <m/>
    <x v="15"/>
    <s v="Y"/>
    <x v="2"/>
    <n v="39"/>
    <n v="39"/>
    <x v="3"/>
    <m/>
    <m/>
    <m/>
    <n v="7"/>
    <m/>
    <m/>
    <m/>
    <m/>
    <m/>
    <n v="3"/>
    <n v="20"/>
    <x v="2"/>
    <n v="13"/>
    <m/>
    <n v="39"/>
    <x v="0"/>
    <n v="4"/>
    <x v="2"/>
    <m/>
    <m/>
    <n v="23"/>
    <x v="1"/>
    <s v="11/04/2022"/>
    <d v="2022-04-11T00:00:00"/>
    <s v="2022018-39"/>
    <x v="0"/>
  </r>
  <r>
    <x v="295"/>
    <n v="2022018"/>
    <x v="18"/>
    <s v="Lentil"/>
    <m/>
    <x v="14"/>
    <s v="N"/>
    <x v="2"/>
    <n v="40"/>
    <n v="40"/>
    <x v="3"/>
    <m/>
    <m/>
    <m/>
    <n v="7"/>
    <m/>
    <m/>
    <m/>
    <m/>
    <m/>
    <n v="1"/>
    <n v="21"/>
    <x v="0"/>
    <n v="14"/>
    <m/>
    <n v="42"/>
    <x v="0"/>
    <n v="2"/>
    <x v="2"/>
    <m/>
    <m/>
    <n v="23"/>
    <x v="1"/>
    <s v="11/04/2022"/>
    <d v="2022-04-11T00:00:00"/>
    <s v="2022018-40"/>
    <x v="0"/>
  </r>
  <r>
    <x v="291"/>
    <n v="2022018"/>
    <x v="18"/>
    <s v="Lentil"/>
    <m/>
    <x v="14"/>
    <s v="N"/>
    <x v="2"/>
    <n v="41"/>
    <n v="41"/>
    <x v="3"/>
    <m/>
    <m/>
    <m/>
    <n v="7"/>
    <m/>
    <m/>
    <m/>
    <m/>
    <m/>
    <n v="2"/>
    <n v="21"/>
    <x v="1"/>
    <n v="14"/>
    <m/>
    <n v="41"/>
    <x v="0"/>
    <n v="5"/>
    <x v="1"/>
    <m/>
    <m/>
    <n v="23"/>
    <x v="1"/>
    <s v="11/04/2022"/>
    <d v="2022-04-11T00:00:00"/>
    <s v="2022018-41"/>
    <x v="0"/>
  </r>
  <r>
    <x v="293"/>
    <n v="2022018"/>
    <x v="18"/>
    <s v="Lentil"/>
    <m/>
    <x v="1"/>
    <s v="Y"/>
    <x v="2"/>
    <n v="42"/>
    <n v="42"/>
    <x v="3"/>
    <m/>
    <m/>
    <m/>
    <n v="7"/>
    <m/>
    <m/>
    <m/>
    <m/>
    <m/>
    <n v="3"/>
    <n v="21"/>
    <x v="2"/>
    <n v="14"/>
    <m/>
    <n v="40"/>
    <x v="0"/>
    <n v="3"/>
    <x v="2"/>
    <m/>
    <m/>
    <n v="23"/>
    <x v="1"/>
    <s v="11/04/2022"/>
    <d v="2022-04-11T00:00:00"/>
    <s v="2022018-42"/>
    <x v="0"/>
  </r>
  <r>
    <x v="286"/>
    <n v="2022018"/>
    <x v="18"/>
    <s v="Lentil"/>
    <m/>
    <x v="14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5"/>
    <x v="1"/>
    <m/>
    <m/>
    <n v="23"/>
    <x v="2"/>
    <s v="11/05/2022"/>
    <d v="2022-05-11T00:00:00"/>
    <s v="2022018-43"/>
    <x v="0"/>
  </r>
  <r>
    <x v="289"/>
    <n v="2022018"/>
    <x v="18"/>
    <s v="Lentil"/>
    <m/>
    <x v="14"/>
    <s v="N"/>
    <x v="2"/>
    <n v="44"/>
    <n v="44"/>
    <x v="3"/>
    <m/>
    <m/>
    <m/>
    <n v="8"/>
    <m/>
    <m/>
    <m/>
    <m/>
    <m/>
    <n v="2"/>
    <n v="23"/>
    <x v="1"/>
    <n v="15"/>
    <m/>
    <n v="44"/>
    <x v="0"/>
    <n v="2"/>
    <x v="2"/>
    <m/>
    <m/>
    <n v="23"/>
    <x v="2"/>
    <s v="11/05/2022"/>
    <d v="2022-05-11T00:00:00"/>
    <s v="2022018-44"/>
    <x v="0"/>
  </r>
  <r>
    <x v="285"/>
    <n v="2022018"/>
    <x v="18"/>
    <s v="Lentil"/>
    <m/>
    <x v="15"/>
    <s v="Y"/>
    <x v="2"/>
    <n v="45"/>
    <n v="45"/>
    <x v="3"/>
    <m/>
    <m/>
    <m/>
    <n v="8"/>
    <m/>
    <m/>
    <m/>
    <m/>
    <m/>
    <n v="3"/>
    <n v="23"/>
    <x v="2"/>
    <n v="15"/>
    <m/>
    <n v="45"/>
    <x v="0"/>
    <n v="4"/>
    <x v="2"/>
    <m/>
    <m/>
    <n v="23"/>
    <x v="2"/>
    <s v="11/05/2022"/>
    <d v="2022-05-11T00:00:00"/>
    <s v="2022018-45"/>
    <x v="0"/>
  </r>
  <r>
    <x v="284"/>
    <n v="2022018"/>
    <x v="18"/>
    <s v="Lentil"/>
    <m/>
    <x v="1"/>
    <s v="Y"/>
    <x v="2"/>
    <n v="46"/>
    <n v="46"/>
    <x v="3"/>
    <m/>
    <m/>
    <m/>
    <n v="8"/>
    <m/>
    <m/>
    <m/>
    <m/>
    <m/>
    <n v="1"/>
    <n v="24"/>
    <x v="0"/>
    <n v="16"/>
    <m/>
    <n v="48"/>
    <x v="0"/>
    <n v="6"/>
    <x v="1"/>
    <m/>
    <m/>
    <n v="23"/>
    <x v="2"/>
    <s v="11/05/2022"/>
    <d v="2022-05-11T00:00:00"/>
    <s v="2022018-46"/>
    <x v="0"/>
  </r>
  <r>
    <x v="287"/>
    <n v="2022018"/>
    <x v="18"/>
    <s v="Lentil"/>
    <m/>
    <x v="1"/>
    <s v="Y"/>
    <x v="2"/>
    <n v="47"/>
    <n v="47"/>
    <x v="3"/>
    <m/>
    <m/>
    <m/>
    <n v="8"/>
    <m/>
    <m/>
    <m/>
    <m/>
    <m/>
    <n v="2"/>
    <n v="24"/>
    <x v="1"/>
    <n v="16"/>
    <m/>
    <n v="47"/>
    <x v="0"/>
    <n v="3"/>
    <x v="2"/>
    <m/>
    <m/>
    <n v="23"/>
    <x v="2"/>
    <s v="11/05/2022"/>
    <d v="2022-05-11T00:00:00"/>
    <s v="2022018-47"/>
    <x v="0"/>
  </r>
  <r>
    <x v="288"/>
    <n v="2022018"/>
    <x v="18"/>
    <s v="Lentil"/>
    <m/>
    <x v="16"/>
    <s v="N"/>
    <x v="2"/>
    <n v="48"/>
    <n v="48"/>
    <x v="3"/>
    <m/>
    <m/>
    <m/>
    <n v="8"/>
    <m/>
    <m/>
    <m/>
    <m/>
    <m/>
    <n v="3"/>
    <n v="24"/>
    <x v="2"/>
    <n v="16"/>
    <m/>
    <n v="46"/>
    <x v="0"/>
    <n v="1"/>
    <x v="2"/>
    <m/>
    <m/>
    <n v="23"/>
    <x v="2"/>
    <s v="11/05/2022"/>
    <d v="2022-05-11T00:00:00"/>
    <s v="2022018-48"/>
    <x v="0"/>
  </r>
  <r>
    <x v="296"/>
    <n v="2022019"/>
    <x v="19"/>
    <s v="Chickpea"/>
    <m/>
    <x v="24"/>
    <s v="N"/>
    <x v="1"/>
    <n v="1"/>
    <n v="1"/>
    <x v="0"/>
    <m/>
    <m/>
    <m/>
    <n v="1"/>
    <m/>
    <m/>
    <m/>
    <m/>
    <m/>
    <n v="1"/>
    <n v="1"/>
    <x v="0"/>
    <n v="1"/>
    <m/>
    <m/>
    <x v="2"/>
    <n v="3"/>
    <x v="0"/>
    <m/>
    <s v="North"/>
    <n v="35"/>
    <x v="1"/>
    <s v="18/07/2022"/>
    <d v="2022-07-18T00:00:00"/>
    <s v="2022019-1"/>
    <x v="3"/>
  </r>
  <r>
    <x v="297"/>
    <n v="2022019"/>
    <x v="19"/>
    <s v="Chickpea"/>
    <m/>
    <x v="8"/>
    <s v="Y"/>
    <x v="1"/>
    <n v="2"/>
    <n v="2"/>
    <x v="0"/>
    <m/>
    <m/>
    <m/>
    <n v="1"/>
    <m/>
    <m/>
    <m/>
    <m/>
    <m/>
    <n v="1"/>
    <n v="2"/>
    <x v="0"/>
    <n v="2"/>
    <m/>
    <m/>
    <x v="0"/>
    <n v="2"/>
    <x v="0"/>
    <m/>
    <s v="North"/>
    <n v="35"/>
    <x v="1"/>
    <s v="18/07/2022"/>
    <d v="2022-07-18T00:00:00"/>
    <s v="2022019-2"/>
    <x v="3"/>
  </r>
  <r>
    <x v="298"/>
    <n v="2022019"/>
    <x v="19"/>
    <s v="Chickpea"/>
    <m/>
    <x v="24"/>
    <s v="N"/>
    <x v="1"/>
    <n v="3"/>
    <n v="3"/>
    <x v="1"/>
    <m/>
    <m/>
    <m/>
    <n v="1"/>
    <m/>
    <m/>
    <m/>
    <m/>
    <m/>
    <n v="1"/>
    <n v="3"/>
    <x v="0"/>
    <n v="3"/>
    <m/>
    <m/>
    <x v="0"/>
    <n v="1"/>
    <x v="0"/>
    <m/>
    <s v="North"/>
    <n v="35"/>
    <x v="1"/>
    <s v="18/07/2022"/>
    <d v="2022-07-18T00:00:00"/>
    <s v="2022019-3"/>
    <x v="3"/>
  </r>
  <r>
    <x v="299"/>
    <n v="2022019"/>
    <x v="19"/>
    <s v="Chickpea"/>
    <m/>
    <x v="8"/>
    <s v="Y"/>
    <x v="1"/>
    <n v="4"/>
    <n v="4"/>
    <x v="1"/>
    <m/>
    <m/>
    <m/>
    <n v="1"/>
    <m/>
    <m/>
    <m/>
    <m/>
    <m/>
    <n v="1"/>
    <n v="4"/>
    <x v="0"/>
    <n v="4"/>
    <m/>
    <m/>
    <x v="2"/>
    <n v="4"/>
    <x v="0"/>
    <m/>
    <s v="North"/>
    <n v="35"/>
    <x v="1"/>
    <s v="18/07/2022"/>
    <d v="2022-07-18T00:00:00"/>
    <s v="2022019-4"/>
    <x v="3"/>
  </r>
  <r>
    <x v="296"/>
    <n v="2022019"/>
    <x v="19"/>
    <s v="Chickpea"/>
    <m/>
    <x v="24"/>
    <s v="N"/>
    <x v="1"/>
    <n v="5"/>
    <n v="5"/>
    <x v="2"/>
    <m/>
    <m/>
    <m/>
    <n v="1"/>
    <m/>
    <m/>
    <m/>
    <m/>
    <m/>
    <n v="1"/>
    <n v="5"/>
    <x v="0"/>
    <n v="5"/>
    <m/>
    <m/>
    <x v="2"/>
    <n v="3"/>
    <x v="0"/>
    <m/>
    <s v="North"/>
    <n v="35"/>
    <x v="1"/>
    <s v="18/07/2022"/>
    <d v="2022-07-18T00:00:00"/>
    <s v="2022019-5"/>
    <x v="3"/>
  </r>
  <r>
    <x v="299"/>
    <n v="2022019"/>
    <x v="19"/>
    <s v="Chickpea"/>
    <m/>
    <x v="8"/>
    <s v="Y"/>
    <x v="1"/>
    <n v="6"/>
    <n v="6"/>
    <x v="2"/>
    <m/>
    <m/>
    <m/>
    <n v="1"/>
    <m/>
    <m/>
    <m/>
    <m/>
    <m/>
    <n v="1"/>
    <n v="6"/>
    <x v="0"/>
    <n v="6"/>
    <m/>
    <m/>
    <x v="2"/>
    <n v="4"/>
    <x v="0"/>
    <m/>
    <s v="North"/>
    <n v="35"/>
    <x v="1"/>
    <s v="18/07/2022"/>
    <d v="2022-07-18T00:00:00"/>
    <s v="2022019-6"/>
    <x v="3"/>
  </r>
  <r>
    <x v="297"/>
    <n v="2022019"/>
    <x v="19"/>
    <s v="Chickpea"/>
    <m/>
    <x v="8"/>
    <s v="Y"/>
    <x v="1"/>
    <n v="7"/>
    <n v="7"/>
    <x v="3"/>
    <m/>
    <m/>
    <m/>
    <n v="1"/>
    <m/>
    <m/>
    <m/>
    <m/>
    <m/>
    <n v="1"/>
    <n v="7"/>
    <x v="0"/>
    <n v="7"/>
    <m/>
    <m/>
    <x v="0"/>
    <n v="2"/>
    <x v="0"/>
    <m/>
    <s v="North"/>
    <n v="35"/>
    <x v="1"/>
    <s v="18/07/2022"/>
    <d v="2022-07-18T00:00:00"/>
    <s v="2022019-7"/>
    <x v="3"/>
  </r>
  <r>
    <x v="298"/>
    <n v="2022019"/>
    <x v="19"/>
    <s v="Chickpea"/>
    <m/>
    <x v="24"/>
    <s v="N"/>
    <x v="1"/>
    <n v="8"/>
    <n v="8"/>
    <x v="3"/>
    <m/>
    <m/>
    <m/>
    <n v="1"/>
    <m/>
    <m/>
    <m/>
    <m/>
    <m/>
    <n v="1"/>
    <n v="8"/>
    <x v="0"/>
    <n v="8"/>
    <m/>
    <m/>
    <x v="0"/>
    <n v="1"/>
    <x v="0"/>
    <m/>
    <s v="North"/>
    <n v="35"/>
    <x v="1"/>
    <s v="18/07/2022"/>
    <d v="2022-07-18T00:00:00"/>
    <s v="2022019-8"/>
    <x v="3"/>
  </r>
  <r>
    <x v="298"/>
    <n v="2022019"/>
    <x v="19"/>
    <s v="Chickpea"/>
    <m/>
    <x v="24"/>
    <s v="N"/>
    <x v="1"/>
    <n v="9"/>
    <n v="9"/>
    <x v="0"/>
    <m/>
    <m/>
    <m/>
    <n v="1"/>
    <m/>
    <m/>
    <m/>
    <m/>
    <m/>
    <n v="2"/>
    <n v="1"/>
    <x v="1"/>
    <n v="1"/>
    <m/>
    <m/>
    <x v="0"/>
    <n v="1"/>
    <x v="0"/>
    <m/>
    <s v="North"/>
    <n v="35"/>
    <x v="1"/>
    <s v="18/07/2022"/>
    <d v="2022-07-18T00:00:00"/>
    <s v="2022019-9"/>
    <x v="3"/>
  </r>
  <r>
    <x v="299"/>
    <n v="2022019"/>
    <x v="19"/>
    <s v="Chickpea"/>
    <m/>
    <x v="8"/>
    <s v="Y"/>
    <x v="1"/>
    <n v="10"/>
    <n v="10"/>
    <x v="0"/>
    <m/>
    <m/>
    <m/>
    <n v="1"/>
    <m/>
    <m/>
    <m/>
    <m/>
    <m/>
    <n v="2"/>
    <n v="2"/>
    <x v="1"/>
    <n v="2"/>
    <m/>
    <m/>
    <x v="2"/>
    <n v="4"/>
    <x v="0"/>
    <m/>
    <s v="North"/>
    <n v="35"/>
    <x v="1"/>
    <s v="18/07/2022"/>
    <d v="2022-07-18T00:00:00"/>
    <s v="2022019-10"/>
    <x v="3"/>
  </r>
  <r>
    <x v="297"/>
    <n v="2022019"/>
    <x v="19"/>
    <s v="Chickpea"/>
    <m/>
    <x v="8"/>
    <s v="Y"/>
    <x v="1"/>
    <n v="11"/>
    <n v="11"/>
    <x v="1"/>
    <m/>
    <m/>
    <m/>
    <n v="1"/>
    <m/>
    <m/>
    <m/>
    <m/>
    <m/>
    <n v="2"/>
    <n v="3"/>
    <x v="1"/>
    <n v="3"/>
    <m/>
    <m/>
    <x v="0"/>
    <n v="2"/>
    <x v="0"/>
    <m/>
    <s v="North"/>
    <n v="35"/>
    <x v="1"/>
    <s v="18/07/2022"/>
    <d v="2022-07-18T00:00:00"/>
    <s v="2022019-11"/>
    <x v="3"/>
  </r>
  <r>
    <x v="296"/>
    <n v="2022019"/>
    <x v="19"/>
    <s v="Chickpea"/>
    <m/>
    <x v="24"/>
    <s v="N"/>
    <x v="1"/>
    <n v="12"/>
    <n v="12"/>
    <x v="1"/>
    <m/>
    <m/>
    <m/>
    <n v="1"/>
    <m/>
    <m/>
    <m/>
    <m/>
    <m/>
    <n v="2"/>
    <n v="4"/>
    <x v="1"/>
    <n v="4"/>
    <m/>
    <m/>
    <x v="2"/>
    <n v="3"/>
    <x v="0"/>
    <m/>
    <s v="North"/>
    <n v="35"/>
    <x v="1"/>
    <s v="18/07/2022"/>
    <d v="2022-07-18T00:00:00"/>
    <s v="2022019-12"/>
    <x v="3"/>
  </r>
  <r>
    <x v="297"/>
    <n v="2022019"/>
    <x v="19"/>
    <s v="Chickpea"/>
    <m/>
    <x v="8"/>
    <s v="Y"/>
    <x v="1"/>
    <n v="13"/>
    <n v="13"/>
    <x v="2"/>
    <m/>
    <m/>
    <m/>
    <n v="1"/>
    <m/>
    <m/>
    <m/>
    <m/>
    <m/>
    <n v="2"/>
    <n v="5"/>
    <x v="1"/>
    <n v="5"/>
    <m/>
    <m/>
    <x v="0"/>
    <n v="2"/>
    <x v="0"/>
    <m/>
    <s v="North"/>
    <n v="35"/>
    <x v="1"/>
    <s v="18/07/2022"/>
    <d v="2022-07-18T00:00:00"/>
    <s v="2022019-13"/>
    <x v="3"/>
  </r>
  <r>
    <x v="298"/>
    <n v="2022019"/>
    <x v="19"/>
    <s v="Chickpea"/>
    <m/>
    <x v="24"/>
    <s v="N"/>
    <x v="1"/>
    <n v="14"/>
    <n v="14"/>
    <x v="2"/>
    <m/>
    <m/>
    <m/>
    <n v="1"/>
    <m/>
    <m/>
    <m/>
    <m/>
    <m/>
    <n v="2"/>
    <n v="6"/>
    <x v="1"/>
    <n v="6"/>
    <m/>
    <m/>
    <x v="0"/>
    <n v="1"/>
    <x v="0"/>
    <m/>
    <s v="North"/>
    <n v="35"/>
    <x v="1"/>
    <s v="18/07/2022"/>
    <d v="2022-07-18T00:00:00"/>
    <s v="2022019-14"/>
    <x v="3"/>
  </r>
  <r>
    <x v="299"/>
    <n v="2022019"/>
    <x v="19"/>
    <s v="Chickpea"/>
    <m/>
    <x v="8"/>
    <s v="Y"/>
    <x v="1"/>
    <n v="15"/>
    <n v="15"/>
    <x v="3"/>
    <m/>
    <m/>
    <m/>
    <n v="1"/>
    <m/>
    <m/>
    <m/>
    <m/>
    <m/>
    <n v="2"/>
    <n v="7"/>
    <x v="1"/>
    <n v="7"/>
    <m/>
    <m/>
    <x v="2"/>
    <n v="4"/>
    <x v="0"/>
    <m/>
    <s v="North"/>
    <n v="35"/>
    <x v="1"/>
    <s v="18/07/2022"/>
    <d v="2022-07-18T00:00:00"/>
    <s v="2022019-15"/>
    <x v="3"/>
  </r>
  <r>
    <x v="296"/>
    <n v="2022019"/>
    <x v="19"/>
    <s v="Chickpea"/>
    <m/>
    <x v="24"/>
    <s v="N"/>
    <x v="1"/>
    <n v="16"/>
    <n v="16"/>
    <x v="3"/>
    <m/>
    <m/>
    <m/>
    <n v="1"/>
    <m/>
    <m/>
    <m/>
    <m/>
    <m/>
    <n v="2"/>
    <n v="8"/>
    <x v="1"/>
    <n v="8"/>
    <m/>
    <m/>
    <x v="2"/>
    <n v="3"/>
    <x v="0"/>
    <m/>
    <s v="North"/>
    <n v="35"/>
    <x v="1"/>
    <s v="18/07/2022"/>
    <d v="2022-07-18T00:00:00"/>
    <s v="2022019-16"/>
    <x v="3"/>
  </r>
  <r>
    <x v="300"/>
    <n v="2022019"/>
    <x v="19"/>
    <s v="Chickpea"/>
    <m/>
    <x v="8"/>
    <s v="Y"/>
    <x v="1"/>
    <n v="17"/>
    <n v="17"/>
    <x v="0"/>
    <m/>
    <m/>
    <m/>
    <n v="1"/>
    <m/>
    <m/>
    <m/>
    <m/>
    <m/>
    <n v="3"/>
    <n v="1"/>
    <x v="2"/>
    <n v="1"/>
    <m/>
    <m/>
    <x v="3"/>
    <n v="4"/>
    <x v="0"/>
    <m/>
    <s v="South"/>
    <n v="35"/>
    <x v="1"/>
    <s v="18/07/2022"/>
    <d v="2022-07-18T00:00:00"/>
    <s v="2022019-17"/>
    <x v="3"/>
  </r>
  <r>
    <x v="301"/>
    <n v="2022019"/>
    <x v="19"/>
    <s v="Chickpea"/>
    <m/>
    <x v="24"/>
    <s v="N"/>
    <x v="1"/>
    <n v="18"/>
    <n v="18"/>
    <x v="0"/>
    <m/>
    <m/>
    <m/>
    <n v="1"/>
    <m/>
    <m/>
    <m/>
    <m/>
    <m/>
    <n v="3"/>
    <n v="2"/>
    <x v="2"/>
    <n v="2"/>
    <m/>
    <m/>
    <x v="4"/>
    <n v="1"/>
    <x v="0"/>
    <m/>
    <s v="South"/>
    <n v="35"/>
    <x v="1"/>
    <s v="18/07/2022"/>
    <d v="2022-07-18T00:00:00"/>
    <s v="2022019-18"/>
    <x v="3"/>
  </r>
  <r>
    <x v="302"/>
    <n v="2022019"/>
    <x v="19"/>
    <s v="Chickpea"/>
    <m/>
    <x v="24"/>
    <s v="N"/>
    <x v="1"/>
    <n v="19"/>
    <n v="19"/>
    <x v="1"/>
    <m/>
    <m/>
    <m/>
    <n v="1"/>
    <m/>
    <m/>
    <m/>
    <m/>
    <m/>
    <n v="3"/>
    <n v="3"/>
    <x v="2"/>
    <n v="3"/>
    <m/>
    <m/>
    <x v="3"/>
    <n v="3"/>
    <x v="0"/>
    <m/>
    <s v="South"/>
    <n v="35"/>
    <x v="1"/>
    <s v="18/07/2022"/>
    <d v="2022-07-18T00:00:00"/>
    <s v="2022019-19"/>
    <x v="3"/>
  </r>
  <r>
    <x v="303"/>
    <n v="2022019"/>
    <x v="19"/>
    <s v="Chickpea"/>
    <m/>
    <x v="8"/>
    <s v="Y"/>
    <x v="1"/>
    <n v="20"/>
    <n v="20"/>
    <x v="1"/>
    <m/>
    <m/>
    <m/>
    <n v="1"/>
    <m/>
    <m/>
    <m/>
    <m/>
    <m/>
    <n v="3"/>
    <n v="4"/>
    <x v="2"/>
    <n v="4"/>
    <m/>
    <m/>
    <x v="4"/>
    <n v="2"/>
    <x v="0"/>
    <m/>
    <s v="South"/>
    <n v="35"/>
    <x v="1"/>
    <s v="18/07/2022"/>
    <d v="2022-07-18T00:00:00"/>
    <s v="2022019-20"/>
    <x v="3"/>
  </r>
  <r>
    <x v="301"/>
    <n v="2022019"/>
    <x v="19"/>
    <s v="Chickpea"/>
    <m/>
    <x v="24"/>
    <s v="N"/>
    <x v="1"/>
    <n v="21"/>
    <n v="21"/>
    <x v="2"/>
    <m/>
    <m/>
    <m/>
    <n v="1"/>
    <m/>
    <m/>
    <m/>
    <m/>
    <m/>
    <n v="3"/>
    <n v="5"/>
    <x v="2"/>
    <n v="5"/>
    <m/>
    <m/>
    <x v="4"/>
    <n v="1"/>
    <x v="0"/>
    <m/>
    <s v="South"/>
    <n v="35"/>
    <x v="1"/>
    <s v="18/07/2022"/>
    <d v="2022-07-18T00:00:00"/>
    <s v="2022019-21"/>
    <x v="3"/>
  </r>
  <r>
    <x v="303"/>
    <n v="2022019"/>
    <x v="19"/>
    <s v="Chickpea"/>
    <m/>
    <x v="8"/>
    <s v="Y"/>
    <x v="1"/>
    <n v="22"/>
    <n v="22"/>
    <x v="2"/>
    <m/>
    <m/>
    <m/>
    <n v="1"/>
    <m/>
    <m/>
    <m/>
    <m/>
    <m/>
    <n v="3"/>
    <n v="6"/>
    <x v="2"/>
    <n v="6"/>
    <m/>
    <m/>
    <x v="4"/>
    <n v="2"/>
    <x v="0"/>
    <m/>
    <s v="South"/>
    <n v="35"/>
    <x v="1"/>
    <s v="18/07/2022"/>
    <d v="2022-07-18T00:00:00"/>
    <s v="2022019-22"/>
    <x v="3"/>
  </r>
  <r>
    <x v="302"/>
    <n v="2022019"/>
    <x v="19"/>
    <s v="Chickpea"/>
    <m/>
    <x v="24"/>
    <s v="N"/>
    <x v="1"/>
    <n v="23"/>
    <n v="23"/>
    <x v="3"/>
    <m/>
    <m/>
    <m/>
    <n v="1"/>
    <m/>
    <m/>
    <m/>
    <m/>
    <m/>
    <n v="3"/>
    <n v="7"/>
    <x v="2"/>
    <n v="7"/>
    <m/>
    <m/>
    <x v="3"/>
    <n v="3"/>
    <x v="0"/>
    <m/>
    <s v="South"/>
    <n v="35"/>
    <x v="1"/>
    <s v="18/07/2022"/>
    <d v="2022-07-18T00:00:00"/>
    <s v="2022019-23"/>
    <x v="3"/>
  </r>
  <r>
    <x v="300"/>
    <n v="2022019"/>
    <x v="19"/>
    <s v="Chickpea"/>
    <m/>
    <x v="8"/>
    <s v="Y"/>
    <x v="1"/>
    <n v="24"/>
    <n v="24"/>
    <x v="3"/>
    <m/>
    <m/>
    <m/>
    <n v="1"/>
    <m/>
    <m/>
    <m/>
    <m/>
    <m/>
    <n v="3"/>
    <n v="8"/>
    <x v="2"/>
    <n v="8"/>
    <m/>
    <m/>
    <x v="3"/>
    <n v="4"/>
    <x v="0"/>
    <m/>
    <s v="South"/>
    <n v="35"/>
    <x v="1"/>
    <s v="18/07/2022"/>
    <d v="2022-07-18T00:00:00"/>
    <s v="2022019-24"/>
    <x v="3"/>
  </r>
  <r>
    <x v="302"/>
    <n v="2022019"/>
    <x v="19"/>
    <s v="Chickpea"/>
    <m/>
    <x v="24"/>
    <s v="N"/>
    <x v="1"/>
    <n v="25"/>
    <n v="25"/>
    <x v="0"/>
    <m/>
    <m/>
    <m/>
    <n v="1"/>
    <m/>
    <m/>
    <m/>
    <m/>
    <m/>
    <n v="4"/>
    <n v="1"/>
    <x v="3"/>
    <n v="1"/>
    <m/>
    <m/>
    <x v="3"/>
    <n v="3"/>
    <x v="0"/>
    <m/>
    <s v="South"/>
    <n v="35"/>
    <x v="1"/>
    <s v="18/07/2022"/>
    <d v="2022-07-18T00:00:00"/>
    <s v="2022019-25"/>
    <x v="3"/>
  </r>
  <r>
    <x v="303"/>
    <n v="2022019"/>
    <x v="19"/>
    <s v="Chickpea"/>
    <m/>
    <x v="8"/>
    <s v="Y"/>
    <x v="1"/>
    <n v="26"/>
    <n v="26"/>
    <x v="0"/>
    <m/>
    <m/>
    <m/>
    <n v="1"/>
    <m/>
    <m/>
    <m/>
    <m/>
    <m/>
    <n v="4"/>
    <n v="2"/>
    <x v="3"/>
    <n v="2"/>
    <m/>
    <m/>
    <x v="4"/>
    <n v="2"/>
    <x v="0"/>
    <m/>
    <s v="South"/>
    <n v="35"/>
    <x v="1"/>
    <s v="18/07/2022"/>
    <d v="2022-07-18T00:00:00"/>
    <s v="2022019-26"/>
    <x v="3"/>
  </r>
  <r>
    <x v="301"/>
    <n v="2022019"/>
    <x v="19"/>
    <s v="Chickpea"/>
    <m/>
    <x v="24"/>
    <s v="N"/>
    <x v="1"/>
    <n v="27"/>
    <n v="27"/>
    <x v="1"/>
    <m/>
    <m/>
    <m/>
    <n v="1"/>
    <m/>
    <m/>
    <m/>
    <m/>
    <m/>
    <n v="4"/>
    <n v="3"/>
    <x v="3"/>
    <n v="3"/>
    <m/>
    <m/>
    <x v="4"/>
    <n v="1"/>
    <x v="0"/>
    <m/>
    <s v="South"/>
    <n v="35"/>
    <x v="1"/>
    <s v="18/07/2022"/>
    <d v="2022-07-18T00:00:00"/>
    <s v="2022019-27"/>
    <x v="3"/>
  </r>
  <r>
    <x v="300"/>
    <n v="2022019"/>
    <x v="19"/>
    <s v="Chickpea"/>
    <m/>
    <x v="8"/>
    <s v="Y"/>
    <x v="1"/>
    <n v="28"/>
    <n v="28"/>
    <x v="1"/>
    <m/>
    <m/>
    <m/>
    <n v="1"/>
    <m/>
    <m/>
    <m/>
    <m/>
    <m/>
    <n v="4"/>
    <n v="4"/>
    <x v="3"/>
    <n v="4"/>
    <m/>
    <m/>
    <x v="3"/>
    <n v="4"/>
    <x v="0"/>
    <m/>
    <s v="South"/>
    <n v="35"/>
    <x v="1"/>
    <s v="18/07/2022"/>
    <d v="2022-07-18T00:00:00"/>
    <s v="2022019-28"/>
    <x v="3"/>
  </r>
  <r>
    <x v="302"/>
    <n v="2022019"/>
    <x v="19"/>
    <s v="Chickpea"/>
    <m/>
    <x v="24"/>
    <s v="N"/>
    <x v="1"/>
    <n v="29"/>
    <n v="29"/>
    <x v="2"/>
    <m/>
    <m/>
    <m/>
    <n v="1"/>
    <m/>
    <m/>
    <m/>
    <m/>
    <m/>
    <n v="4"/>
    <n v="5"/>
    <x v="3"/>
    <n v="5"/>
    <m/>
    <m/>
    <x v="3"/>
    <n v="3"/>
    <x v="0"/>
    <m/>
    <s v="South"/>
    <n v="35"/>
    <x v="1"/>
    <s v="18/07/2022"/>
    <d v="2022-07-18T00:00:00"/>
    <s v="2022019-29"/>
    <x v="3"/>
  </r>
  <r>
    <x v="300"/>
    <n v="2022019"/>
    <x v="19"/>
    <s v="Chickpea"/>
    <m/>
    <x v="8"/>
    <s v="Y"/>
    <x v="1"/>
    <n v="30"/>
    <n v="30"/>
    <x v="2"/>
    <m/>
    <m/>
    <m/>
    <n v="1"/>
    <m/>
    <m/>
    <m/>
    <m/>
    <m/>
    <n v="4"/>
    <n v="6"/>
    <x v="3"/>
    <n v="6"/>
    <m/>
    <m/>
    <x v="3"/>
    <n v="4"/>
    <x v="0"/>
    <m/>
    <s v="South"/>
    <n v="35"/>
    <x v="1"/>
    <s v="18/07/2022"/>
    <d v="2022-07-18T00:00:00"/>
    <s v="2022019-30"/>
    <x v="3"/>
  </r>
  <r>
    <x v="303"/>
    <n v="2022019"/>
    <x v="19"/>
    <s v="Chickpea"/>
    <m/>
    <x v="8"/>
    <s v="Y"/>
    <x v="1"/>
    <n v="31"/>
    <n v="31"/>
    <x v="3"/>
    <m/>
    <m/>
    <m/>
    <n v="1"/>
    <m/>
    <m/>
    <m/>
    <m/>
    <m/>
    <n v="4"/>
    <n v="7"/>
    <x v="3"/>
    <n v="7"/>
    <m/>
    <m/>
    <x v="4"/>
    <n v="2"/>
    <x v="0"/>
    <m/>
    <s v="South"/>
    <n v="35"/>
    <x v="1"/>
    <s v="18/07/2022"/>
    <d v="2022-07-18T00:00:00"/>
    <s v="2022019-31"/>
    <x v="3"/>
  </r>
  <r>
    <x v="301"/>
    <n v="2022019"/>
    <x v="19"/>
    <s v="Chickpea"/>
    <m/>
    <x v="24"/>
    <s v="N"/>
    <x v="1"/>
    <n v="32"/>
    <n v="32"/>
    <x v="3"/>
    <m/>
    <m/>
    <m/>
    <n v="1"/>
    <m/>
    <m/>
    <m/>
    <m/>
    <m/>
    <n v="4"/>
    <n v="8"/>
    <x v="3"/>
    <n v="8"/>
    <m/>
    <m/>
    <x v="4"/>
    <n v="1"/>
    <x v="0"/>
    <m/>
    <s v="South"/>
    <n v="35"/>
    <x v="1"/>
    <s v="18/07/2022"/>
    <d v="2022-07-18T00:00:00"/>
    <s v="2022019-32"/>
    <x v="3"/>
  </r>
  <r>
    <x v="304"/>
    <n v="2023020"/>
    <x v="20"/>
    <s v="Fababean"/>
    <m/>
    <x v="13"/>
    <s v="Y"/>
    <x v="2"/>
    <n v="1"/>
    <n v="1"/>
    <x v="0"/>
    <m/>
    <m/>
    <m/>
    <n v="1"/>
    <m/>
    <m/>
    <m/>
    <m/>
    <m/>
    <n v="1"/>
    <n v="2"/>
    <x v="0"/>
    <n v="1"/>
    <m/>
    <m/>
    <x v="1"/>
    <n v="2"/>
    <x v="0"/>
    <m/>
    <m/>
    <n v="30"/>
    <x v="2"/>
    <s v="31/05/2023"/>
    <d v="2023-05-31T00:00:00"/>
    <s v="2023020-1"/>
    <x v="4"/>
  </r>
  <r>
    <x v="304"/>
    <n v="2023020"/>
    <x v="20"/>
    <s v="Fababean"/>
    <m/>
    <x v="13"/>
    <s v="Y"/>
    <x v="1"/>
    <n v="2"/>
    <n v="1"/>
    <x v="0"/>
    <m/>
    <m/>
    <m/>
    <n v="1"/>
    <m/>
    <m/>
    <m/>
    <m/>
    <m/>
    <n v="1"/>
    <n v="3"/>
    <x v="0"/>
    <n v="2"/>
    <m/>
    <n v="1"/>
    <x v="1"/>
    <n v="2"/>
    <x v="0"/>
    <m/>
    <m/>
    <n v="30"/>
    <x v="2"/>
    <s v="31/05/2023"/>
    <d v="2023-05-31T00:00:00"/>
    <s v="2023020-2"/>
    <x v="4"/>
  </r>
  <r>
    <x v="305"/>
    <n v="2023020"/>
    <x v="20"/>
    <s v="Fababean"/>
    <m/>
    <x v="11"/>
    <s v="N"/>
    <x v="2"/>
    <n v="3"/>
    <n v="2"/>
    <x v="0"/>
    <m/>
    <m/>
    <m/>
    <n v="1"/>
    <m/>
    <m/>
    <m/>
    <m/>
    <m/>
    <n v="2"/>
    <n v="2"/>
    <x v="1"/>
    <n v="1"/>
    <m/>
    <m/>
    <x v="1"/>
    <n v="3"/>
    <x v="0"/>
    <m/>
    <m/>
    <n v="30"/>
    <x v="2"/>
    <s v="31/05/2023"/>
    <d v="2023-05-31T00:00:00"/>
    <s v="2023020-3"/>
    <x v="4"/>
  </r>
  <r>
    <x v="305"/>
    <n v="2023020"/>
    <x v="20"/>
    <s v="Fababean"/>
    <m/>
    <x v="11"/>
    <s v="N"/>
    <x v="1"/>
    <n v="4"/>
    <n v="2"/>
    <x v="0"/>
    <m/>
    <m/>
    <m/>
    <n v="1"/>
    <m/>
    <m/>
    <m/>
    <m/>
    <m/>
    <n v="2"/>
    <n v="3"/>
    <x v="1"/>
    <n v="2"/>
    <m/>
    <n v="2"/>
    <x v="1"/>
    <n v="3"/>
    <x v="0"/>
    <m/>
    <m/>
    <n v="30"/>
    <x v="2"/>
    <s v="31/05/2023"/>
    <d v="2023-05-31T00:00:00"/>
    <s v="2023020-4"/>
    <x v="4"/>
  </r>
  <r>
    <x v="306"/>
    <n v="2023020"/>
    <x v="20"/>
    <s v="Fababean"/>
    <m/>
    <x v="10"/>
    <s v="Y"/>
    <x v="2"/>
    <n v="5"/>
    <n v="3"/>
    <x v="1"/>
    <m/>
    <m/>
    <m/>
    <n v="1"/>
    <m/>
    <m/>
    <m/>
    <m/>
    <m/>
    <n v="3"/>
    <n v="2"/>
    <x v="2"/>
    <n v="1"/>
    <m/>
    <m/>
    <x v="1"/>
    <n v="4"/>
    <x v="0"/>
    <m/>
    <m/>
    <n v="30"/>
    <x v="2"/>
    <s v="31/05/2023"/>
    <d v="2023-05-31T00:00:00"/>
    <s v="2023020-5"/>
    <x v="4"/>
  </r>
  <r>
    <x v="306"/>
    <n v="2023020"/>
    <x v="20"/>
    <s v="Fababean"/>
    <m/>
    <x v="10"/>
    <s v="Y"/>
    <x v="1"/>
    <n v="6"/>
    <n v="3"/>
    <x v="1"/>
    <m/>
    <m/>
    <m/>
    <n v="1"/>
    <m/>
    <m/>
    <m/>
    <m/>
    <m/>
    <n v="3"/>
    <n v="3"/>
    <x v="2"/>
    <n v="2"/>
    <m/>
    <n v="3"/>
    <x v="1"/>
    <n v="4"/>
    <x v="0"/>
    <m/>
    <m/>
    <n v="30"/>
    <x v="2"/>
    <s v="31/05/2023"/>
    <d v="2023-05-31T00:00:00"/>
    <s v="2023020-6"/>
    <x v="4"/>
  </r>
  <r>
    <x v="307"/>
    <n v="2023020"/>
    <x v="20"/>
    <s v="Fababean"/>
    <m/>
    <x v="12"/>
    <s v="N"/>
    <x v="2"/>
    <n v="7"/>
    <n v="4"/>
    <x v="1"/>
    <m/>
    <m/>
    <m/>
    <n v="1"/>
    <m/>
    <m/>
    <m/>
    <m/>
    <m/>
    <n v="4"/>
    <n v="2"/>
    <x v="3"/>
    <n v="1"/>
    <m/>
    <m/>
    <x v="1"/>
    <n v="1"/>
    <x v="0"/>
    <m/>
    <m/>
    <n v="30"/>
    <x v="2"/>
    <s v="31/05/2023"/>
    <d v="2023-05-31T00:00:00"/>
    <s v="2023020-7"/>
    <x v="4"/>
  </r>
  <r>
    <x v="307"/>
    <n v="2023020"/>
    <x v="20"/>
    <s v="Fababean"/>
    <m/>
    <x v="12"/>
    <s v="N"/>
    <x v="1"/>
    <n v="8"/>
    <n v="4"/>
    <x v="1"/>
    <m/>
    <m/>
    <m/>
    <n v="1"/>
    <m/>
    <m/>
    <m/>
    <m/>
    <m/>
    <n v="4"/>
    <n v="3"/>
    <x v="3"/>
    <n v="2"/>
    <m/>
    <n v="4"/>
    <x v="1"/>
    <n v="1"/>
    <x v="0"/>
    <m/>
    <m/>
    <n v="30"/>
    <x v="2"/>
    <s v="31/05/2023"/>
    <d v="2023-05-31T00:00:00"/>
    <s v="2023020-8"/>
    <x v="4"/>
  </r>
  <r>
    <x v="308"/>
    <n v="2023020"/>
    <x v="20"/>
    <s v="Fababean"/>
    <m/>
    <x v="10"/>
    <s v="Y"/>
    <x v="2"/>
    <n v="9"/>
    <n v="5"/>
    <x v="0"/>
    <m/>
    <m/>
    <m/>
    <n v="2"/>
    <m/>
    <m/>
    <m/>
    <m/>
    <m/>
    <n v="1"/>
    <n v="6"/>
    <x v="0"/>
    <n v="3"/>
    <m/>
    <m/>
    <x v="1"/>
    <n v="4"/>
    <x v="0"/>
    <m/>
    <m/>
    <n v="30"/>
    <x v="1"/>
    <s v="26/04/2023"/>
    <d v="2023-04-26T00:00:00"/>
    <s v="2023020-9"/>
    <x v="4"/>
  </r>
  <r>
    <x v="308"/>
    <n v="2023020"/>
    <x v="20"/>
    <s v="Fababean"/>
    <m/>
    <x v="10"/>
    <s v="Y"/>
    <x v="1"/>
    <n v="10"/>
    <n v="5"/>
    <x v="0"/>
    <m/>
    <m/>
    <m/>
    <n v="2"/>
    <m/>
    <m/>
    <m/>
    <m/>
    <m/>
    <n v="1"/>
    <n v="7"/>
    <x v="0"/>
    <n v="4"/>
    <m/>
    <n v="16"/>
    <x v="1"/>
    <n v="4"/>
    <x v="0"/>
    <m/>
    <m/>
    <n v="30"/>
    <x v="1"/>
    <s v="26/04/2023"/>
    <d v="2023-04-26T00:00:00"/>
    <s v="2023020-10"/>
    <x v="4"/>
  </r>
  <r>
    <x v="309"/>
    <n v="2023020"/>
    <x v="20"/>
    <s v="Fababean"/>
    <m/>
    <x v="12"/>
    <s v="N"/>
    <x v="2"/>
    <n v="11"/>
    <n v="6"/>
    <x v="0"/>
    <m/>
    <m/>
    <m/>
    <n v="2"/>
    <m/>
    <m/>
    <m/>
    <m/>
    <m/>
    <n v="2"/>
    <n v="6"/>
    <x v="1"/>
    <n v="3"/>
    <m/>
    <m/>
    <x v="1"/>
    <n v="1"/>
    <x v="0"/>
    <m/>
    <m/>
    <n v="30"/>
    <x v="1"/>
    <s v="26/04/2023"/>
    <d v="2023-04-26T00:00:00"/>
    <s v="2023020-11"/>
    <x v="4"/>
  </r>
  <r>
    <x v="309"/>
    <n v="2023020"/>
    <x v="20"/>
    <s v="Fababean"/>
    <m/>
    <x v="12"/>
    <s v="N"/>
    <x v="1"/>
    <n v="12"/>
    <n v="6"/>
    <x v="0"/>
    <m/>
    <m/>
    <m/>
    <n v="2"/>
    <m/>
    <m/>
    <m/>
    <m/>
    <m/>
    <n v="2"/>
    <n v="7"/>
    <x v="1"/>
    <n v="4"/>
    <m/>
    <n v="15"/>
    <x v="1"/>
    <n v="1"/>
    <x v="0"/>
    <m/>
    <m/>
    <n v="30"/>
    <x v="1"/>
    <s v="26/04/2023"/>
    <d v="2023-04-26T00:00:00"/>
    <s v="2023020-12"/>
    <x v="4"/>
  </r>
  <r>
    <x v="310"/>
    <n v="2023020"/>
    <x v="20"/>
    <s v="Fababean"/>
    <m/>
    <x v="11"/>
    <s v="N"/>
    <x v="2"/>
    <n v="13"/>
    <n v="7"/>
    <x v="1"/>
    <m/>
    <m/>
    <m/>
    <n v="2"/>
    <m/>
    <m/>
    <m/>
    <m/>
    <m/>
    <n v="3"/>
    <n v="6"/>
    <x v="2"/>
    <n v="3"/>
    <m/>
    <m/>
    <x v="1"/>
    <n v="3"/>
    <x v="0"/>
    <m/>
    <m/>
    <n v="30"/>
    <x v="1"/>
    <s v="26/04/2023"/>
    <d v="2023-04-26T00:00:00"/>
    <s v="2023020-13"/>
    <x v="4"/>
  </r>
  <r>
    <x v="310"/>
    <n v="2023020"/>
    <x v="20"/>
    <s v="Fababean"/>
    <m/>
    <x v="11"/>
    <s v="N"/>
    <x v="1"/>
    <n v="14"/>
    <n v="7"/>
    <x v="1"/>
    <m/>
    <m/>
    <m/>
    <n v="2"/>
    <m/>
    <m/>
    <m/>
    <m/>
    <m/>
    <n v="3"/>
    <n v="7"/>
    <x v="2"/>
    <n v="4"/>
    <m/>
    <n v="14"/>
    <x v="1"/>
    <n v="3"/>
    <x v="0"/>
    <m/>
    <m/>
    <n v="30"/>
    <x v="1"/>
    <s v="26/04/2023"/>
    <d v="2023-04-26T00:00:00"/>
    <s v="2023020-14"/>
    <x v="4"/>
  </r>
  <r>
    <x v="311"/>
    <n v="2023020"/>
    <x v="20"/>
    <s v="Fababean"/>
    <m/>
    <x v="13"/>
    <s v="Y"/>
    <x v="2"/>
    <n v="15"/>
    <n v="8"/>
    <x v="1"/>
    <m/>
    <m/>
    <m/>
    <n v="2"/>
    <m/>
    <m/>
    <m/>
    <m/>
    <m/>
    <n v="4"/>
    <n v="6"/>
    <x v="3"/>
    <n v="3"/>
    <m/>
    <m/>
    <x v="1"/>
    <n v="2"/>
    <x v="0"/>
    <m/>
    <m/>
    <n v="30"/>
    <x v="1"/>
    <s v="26/04/2023"/>
    <d v="2023-04-26T00:00:00"/>
    <s v="2023020-15"/>
    <x v="4"/>
  </r>
  <r>
    <x v="311"/>
    <n v="2023020"/>
    <x v="20"/>
    <s v="Fababean"/>
    <m/>
    <x v="13"/>
    <s v="Y"/>
    <x v="1"/>
    <n v="16"/>
    <n v="8"/>
    <x v="1"/>
    <m/>
    <m/>
    <m/>
    <n v="2"/>
    <m/>
    <m/>
    <m/>
    <m/>
    <m/>
    <n v="4"/>
    <n v="7"/>
    <x v="3"/>
    <n v="4"/>
    <m/>
    <n v="13"/>
    <x v="1"/>
    <n v="2"/>
    <x v="0"/>
    <m/>
    <m/>
    <n v="30"/>
    <x v="1"/>
    <s v="26/04/2023"/>
    <d v="2023-04-26T00:00:00"/>
    <s v="2023020-16"/>
    <x v="4"/>
  </r>
  <r>
    <x v="305"/>
    <n v="2023020"/>
    <x v="20"/>
    <s v="Fababean"/>
    <m/>
    <x v="11"/>
    <s v="N"/>
    <x v="2"/>
    <n v="17"/>
    <n v="9"/>
    <x v="0"/>
    <m/>
    <m/>
    <m/>
    <n v="3"/>
    <m/>
    <m/>
    <m/>
    <m/>
    <m/>
    <n v="1"/>
    <n v="10"/>
    <x v="0"/>
    <n v="5"/>
    <m/>
    <m/>
    <x v="1"/>
    <n v="3"/>
    <x v="0"/>
    <m/>
    <m/>
    <n v="30"/>
    <x v="2"/>
    <s v="31/05/2023"/>
    <d v="2023-05-31T00:00:00"/>
    <s v="2023020-17"/>
    <x v="4"/>
  </r>
  <r>
    <x v="305"/>
    <n v="2023020"/>
    <x v="20"/>
    <s v="Fababean"/>
    <m/>
    <x v="11"/>
    <s v="N"/>
    <x v="1"/>
    <n v="18"/>
    <n v="9"/>
    <x v="0"/>
    <m/>
    <m/>
    <m/>
    <n v="3"/>
    <m/>
    <m/>
    <m/>
    <m/>
    <m/>
    <n v="1"/>
    <n v="11"/>
    <x v="0"/>
    <n v="6"/>
    <m/>
    <n v="17"/>
    <x v="1"/>
    <n v="3"/>
    <x v="0"/>
    <m/>
    <m/>
    <n v="30"/>
    <x v="2"/>
    <s v="31/05/2023"/>
    <d v="2023-05-31T00:00:00"/>
    <s v="2023020-18"/>
    <x v="4"/>
  </r>
  <r>
    <x v="304"/>
    <n v="2023020"/>
    <x v="20"/>
    <s v="Fababean"/>
    <m/>
    <x v="13"/>
    <s v="Y"/>
    <x v="2"/>
    <n v="19"/>
    <n v="10"/>
    <x v="0"/>
    <m/>
    <m/>
    <m/>
    <n v="3"/>
    <m/>
    <m/>
    <m/>
    <m/>
    <m/>
    <n v="2"/>
    <n v="10"/>
    <x v="1"/>
    <n v="5"/>
    <m/>
    <m/>
    <x v="1"/>
    <n v="2"/>
    <x v="0"/>
    <m/>
    <m/>
    <n v="30"/>
    <x v="2"/>
    <s v="31/05/2023"/>
    <d v="2023-05-31T00:00:00"/>
    <s v="2023020-19"/>
    <x v="4"/>
  </r>
  <r>
    <x v="304"/>
    <n v="2023020"/>
    <x v="20"/>
    <s v="Fababean"/>
    <m/>
    <x v="13"/>
    <s v="Y"/>
    <x v="1"/>
    <n v="20"/>
    <n v="10"/>
    <x v="0"/>
    <m/>
    <m/>
    <m/>
    <n v="3"/>
    <m/>
    <m/>
    <m/>
    <m/>
    <m/>
    <n v="2"/>
    <n v="11"/>
    <x v="1"/>
    <n v="6"/>
    <m/>
    <n v="18"/>
    <x v="1"/>
    <n v="2"/>
    <x v="0"/>
    <m/>
    <m/>
    <n v="30"/>
    <x v="2"/>
    <s v="31/05/2023"/>
    <d v="2023-05-31T00:00:00"/>
    <s v="2023020-20"/>
    <x v="4"/>
  </r>
  <r>
    <x v="307"/>
    <n v="2023020"/>
    <x v="20"/>
    <s v="Fababean"/>
    <m/>
    <x v="12"/>
    <s v="N"/>
    <x v="2"/>
    <n v="21"/>
    <n v="11"/>
    <x v="1"/>
    <m/>
    <m/>
    <m/>
    <n v="3"/>
    <m/>
    <m/>
    <m/>
    <m/>
    <m/>
    <n v="3"/>
    <n v="10"/>
    <x v="2"/>
    <n v="5"/>
    <m/>
    <m/>
    <x v="1"/>
    <n v="1"/>
    <x v="0"/>
    <m/>
    <m/>
    <n v="30"/>
    <x v="2"/>
    <s v="31/05/2023"/>
    <d v="2023-05-31T00:00:00"/>
    <s v="2023020-21"/>
    <x v="4"/>
  </r>
  <r>
    <x v="307"/>
    <n v="2023020"/>
    <x v="20"/>
    <s v="Fababean"/>
    <m/>
    <x v="12"/>
    <s v="N"/>
    <x v="1"/>
    <n v="22"/>
    <n v="11"/>
    <x v="1"/>
    <m/>
    <m/>
    <m/>
    <n v="3"/>
    <m/>
    <m/>
    <m/>
    <m/>
    <m/>
    <n v="3"/>
    <n v="11"/>
    <x v="2"/>
    <n v="6"/>
    <m/>
    <n v="19"/>
    <x v="1"/>
    <n v="1"/>
    <x v="0"/>
    <m/>
    <m/>
    <n v="30"/>
    <x v="2"/>
    <s v="31/05/2023"/>
    <d v="2023-05-31T00:00:00"/>
    <s v="2023020-22"/>
    <x v="4"/>
  </r>
  <r>
    <x v="306"/>
    <n v="2023020"/>
    <x v="20"/>
    <s v="Fababean"/>
    <m/>
    <x v="10"/>
    <s v="Y"/>
    <x v="2"/>
    <n v="23"/>
    <n v="12"/>
    <x v="1"/>
    <m/>
    <m/>
    <m/>
    <n v="3"/>
    <m/>
    <m/>
    <m/>
    <m/>
    <m/>
    <n v="4"/>
    <n v="10"/>
    <x v="3"/>
    <n v="5"/>
    <m/>
    <m/>
    <x v="1"/>
    <n v="4"/>
    <x v="0"/>
    <m/>
    <m/>
    <n v="30"/>
    <x v="2"/>
    <s v="31/05/2023"/>
    <d v="2023-05-31T00:00:00"/>
    <s v="2023020-23"/>
    <x v="4"/>
  </r>
  <r>
    <x v="306"/>
    <n v="2023020"/>
    <x v="20"/>
    <s v="Fababean"/>
    <m/>
    <x v="10"/>
    <s v="Y"/>
    <x v="1"/>
    <n v="24"/>
    <n v="12"/>
    <x v="1"/>
    <m/>
    <m/>
    <m/>
    <n v="3"/>
    <m/>
    <m/>
    <m/>
    <m/>
    <m/>
    <n v="4"/>
    <n v="11"/>
    <x v="3"/>
    <n v="6"/>
    <m/>
    <n v="20"/>
    <x v="1"/>
    <n v="4"/>
    <x v="0"/>
    <m/>
    <m/>
    <n v="30"/>
    <x v="2"/>
    <s v="31/05/2023"/>
    <d v="2023-05-31T00:00:00"/>
    <s v="2023020-24"/>
    <x v="4"/>
  </r>
  <r>
    <x v="309"/>
    <n v="2023020"/>
    <x v="20"/>
    <s v="Fababean"/>
    <m/>
    <x v="12"/>
    <s v="N"/>
    <x v="2"/>
    <n v="25"/>
    <n v="13"/>
    <x v="0"/>
    <m/>
    <m/>
    <m/>
    <n v="4"/>
    <m/>
    <m/>
    <m/>
    <m/>
    <m/>
    <n v="1"/>
    <n v="14"/>
    <x v="0"/>
    <n v="7"/>
    <m/>
    <m/>
    <x v="1"/>
    <n v="1"/>
    <x v="0"/>
    <m/>
    <m/>
    <n v="30"/>
    <x v="1"/>
    <s v="26/04/2023"/>
    <d v="2023-04-26T00:00:00"/>
    <s v="2023020-25"/>
    <x v="4"/>
  </r>
  <r>
    <x v="309"/>
    <n v="2023020"/>
    <x v="20"/>
    <s v="Fababean"/>
    <m/>
    <x v="12"/>
    <s v="N"/>
    <x v="1"/>
    <n v="26"/>
    <n v="13"/>
    <x v="0"/>
    <m/>
    <m/>
    <m/>
    <n v="4"/>
    <m/>
    <m/>
    <m/>
    <m/>
    <m/>
    <n v="1"/>
    <n v="15"/>
    <x v="0"/>
    <n v="8"/>
    <m/>
    <n v="32"/>
    <x v="1"/>
    <n v="1"/>
    <x v="0"/>
    <m/>
    <m/>
    <n v="30"/>
    <x v="1"/>
    <s v="26/04/2023"/>
    <d v="2023-04-26T00:00:00"/>
    <s v="2023020-26"/>
    <x v="4"/>
  </r>
  <r>
    <x v="308"/>
    <n v="2023020"/>
    <x v="20"/>
    <s v="Fababean"/>
    <m/>
    <x v="10"/>
    <s v="Y"/>
    <x v="2"/>
    <n v="27"/>
    <n v="14"/>
    <x v="0"/>
    <m/>
    <m/>
    <m/>
    <n v="4"/>
    <m/>
    <m/>
    <m/>
    <m/>
    <m/>
    <n v="2"/>
    <n v="14"/>
    <x v="1"/>
    <n v="7"/>
    <m/>
    <m/>
    <x v="1"/>
    <n v="4"/>
    <x v="0"/>
    <m/>
    <m/>
    <n v="30"/>
    <x v="1"/>
    <s v="26/04/2023"/>
    <d v="2023-04-26T00:00:00"/>
    <s v="2023020-27"/>
    <x v="4"/>
  </r>
  <r>
    <x v="308"/>
    <n v="2023020"/>
    <x v="20"/>
    <s v="Fababean"/>
    <m/>
    <x v="10"/>
    <s v="Y"/>
    <x v="1"/>
    <n v="28"/>
    <n v="14"/>
    <x v="0"/>
    <m/>
    <m/>
    <m/>
    <n v="4"/>
    <m/>
    <m/>
    <m/>
    <m/>
    <m/>
    <n v="2"/>
    <n v="15"/>
    <x v="1"/>
    <n v="8"/>
    <m/>
    <n v="31"/>
    <x v="1"/>
    <n v="4"/>
    <x v="0"/>
    <m/>
    <m/>
    <n v="30"/>
    <x v="1"/>
    <s v="26/04/2023"/>
    <d v="2023-04-26T00:00:00"/>
    <s v="2023020-28"/>
    <x v="4"/>
  </r>
  <r>
    <x v="311"/>
    <n v="2023020"/>
    <x v="20"/>
    <s v="Fababean"/>
    <m/>
    <x v="13"/>
    <s v="Y"/>
    <x v="2"/>
    <n v="29"/>
    <n v="15"/>
    <x v="1"/>
    <m/>
    <m/>
    <m/>
    <n v="4"/>
    <m/>
    <m/>
    <m/>
    <m/>
    <m/>
    <n v="3"/>
    <n v="14"/>
    <x v="2"/>
    <n v="7"/>
    <m/>
    <m/>
    <x v="1"/>
    <n v="2"/>
    <x v="0"/>
    <m/>
    <m/>
    <n v="30"/>
    <x v="1"/>
    <s v="26/04/2023"/>
    <d v="2023-04-26T00:00:00"/>
    <s v="2023020-29"/>
    <x v="4"/>
  </r>
  <r>
    <x v="311"/>
    <n v="2023020"/>
    <x v="20"/>
    <s v="Fababean"/>
    <m/>
    <x v="13"/>
    <s v="Y"/>
    <x v="1"/>
    <n v="30"/>
    <n v="15"/>
    <x v="1"/>
    <m/>
    <m/>
    <m/>
    <n v="4"/>
    <m/>
    <m/>
    <m/>
    <m/>
    <m/>
    <n v="3"/>
    <n v="15"/>
    <x v="2"/>
    <n v="8"/>
    <m/>
    <n v="30"/>
    <x v="1"/>
    <n v="2"/>
    <x v="0"/>
    <m/>
    <m/>
    <n v="30"/>
    <x v="1"/>
    <s v="26/04/2023"/>
    <d v="2023-04-26T00:00:00"/>
    <s v="2023020-30"/>
    <x v="4"/>
  </r>
  <r>
    <x v="310"/>
    <n v="2023020"/>
    <x v="20"/>
    <s v="Fababean"/>
    <m/>
    <x v="11"/>
    <s v="N"/>
    <x v="2"/>
    <n v="31"/>
    <n v="16"/>
    <x v="1"/>
    <m/>
    <m/>
    <m/>
    <n v="4"/>
    <m/>
    <m/>
    <m/>
    <m/>
    <m/>
    <n v="4"/>
    <n v="14"/>
    <x v="3"/>
    <n v="7"/>
    <m/>
    <m/>
    <x v="1"/>
    <n v="3"/>
    <x v="0"/>
    <m/>
    <m/>
    <n v="30"/>
    <x v="1"/>
    <s v="26/04/2023"/>
    <d v="2023-04-26T00:00:00"/>
    <s v="2023020-31"/>
    <x v="4"/>
  </r>
  <r>
    <x v="310"/>
    <n v="2023020"/>
    <x v="20"/>
    <s v="Fababean"/>
    <m/>
    <x v="11"/>
    <s v="N"/>
    <x v="1"/>
    <n v="32"/>
    <n v="16"/>
    <x v="1"/>
    <m/>
    <m/>
    <m/>
    <n v="4"/>
    <m/>
    <m/>
    <m/>
    <m/>
    <m/>
    <n v="4"/>
    <n v="15"/>
    <x v="3"/>
    <n v="8"/>
    <m/>
    <n v="29"/>
    <x v="1"/>
    <n v="3"/>
    <x v="0"/>
    <m/>
    <m/>
    <n v="30"/>
    <x v="1"/>
    <s v="26/04/2023"/>
    <d v="2023-04-26T00:00:00"/>
    <s v="2023020-32"/>
    <x v="4"/>
  </r>
  <r>
    <x v="312"/>
    <n v="2023020"/>
    <x v="20"/>
    <s v="Fababean"/>
    <m/>
    <x v="13"/>
    <s v="Y"/>
    <x v="2"/>
    <n v="33"/>
    <n v="17"/>
    <x v="0"/>
    <m/>
    <m/>
    <m/>
    <n v="5"/>
    <m/>
    <m/>
    <m/>
    <m/>
    <m/>
    <n v="1"/>
    <n v="18"/>
    <x v="0"/>
    <n v="9"/>
    <m/>
    <m/>
    <x v="0"/>
    <n v="2"/>
    <x v="0"/>
    <m/>
    <m/>
    <n v="30"/>
    <x v="1"/>
    <s v="26/04/2023"/>
    <d v="2023-04-26T00:00:00"/>
    <s v="2023020-33"/>
    <x v="4"/>
  </r>
  <r>
    <x v="312"/>
    <n v="2023020"/>
    <x v="20"/>
    <s v="Fababean"/>
    <m/>
    <x v="13"/>
    <s v="Y"/>
    <x v="1"/>
    <n v="34"/>
    <n v="17"/>
    <x v="0"/>
    <m/>
    <m/>
    <m/>
    <n v="5"/>
    <m/>
    <m/>
    <m/>
    <m/>
    <m/>
    <n v="1"/>
    <n v="19"/>
    <x v="0"/>
    <n v="10"/>
    <m/>
    <n v="33"/>
    <x v="0"/>
    <n v="2"/>
    <x v="0"/>
    <m/>
    <m/>
    <n v="30"/>
    <x v="1"/>
    <s v="26/04/2023"/>
    <d v="2023-04-26T00:00:00"/>
    <s v="2023020-34"/>
    <x v="4"/>
  </r>
  <r>
    <x v="313"/>
    <n v="2023020"/>
    <x v="20"/>
    <s v="Fababean"/>
    <m/>
    <x v="11"/>
    <s v="N"/>
    <x v="2"/>
    <n v="35"/>
    <n v="18"/>
    <x v="0"/>
    <m/>
    <m/>
    <m/>
    <n v="5"/>
    <m/>
    <m/>
    <m/>
    <m/>
    <m/>
    <n v="2"/>
    <n v="18"/>
    <x v="1"/>
    <n v="9"/>
    <m/>
    <m/>
    <x v="0"/>
    <n v="3"/>
    <x v="0"/>
    <m/>
    <m/>
    <n v="30"/>
    <x v="1"/>
    <s v="26/04/2023"/>
    <d v="2023-04-26T00:00:00"/>
    <s v="2023020-35"/>
    <x v="4"/>
  </r>
  <r>
    <x v="313"/>
    <n v="2023020"/>
    <x v="20"/>
    <s v="Fababean"/>
    <m/>
    <x v="11"/>
    <s v="N"/>
    <x v="1"/>
    <n v="36"/>
    <n v="18"/>
    <x v="0"/>
    <m/>
    <m/>
    <m/>
    <n v="5"/>
    <m/>
    <m/>
    <m/>
    <m/>
    <m/>
    <n v="2"/>
    <n v="19"/>
    <x v="1"/>
    <n v="10"/>
    <m/>
    <n v="34"/>
    <x v="0"/>
    <n v="3"/>
    <x v="0"/>
    <m/>
    <m/>
    <n v="30"/>
    <x v="1"/>
    <s v="26/04/2023"/>
    <d v="2023-04-26T00:00:00"/>
    <s v="2023020-36"/>
    <x v="4"/>
  </r>
  <r>
    <x v="314"/>
    <n v="2023020"/>
    <x v="20"/>
    <s v="Fababean"/>
    <m/>
    <x v="12"/>
    <s v="N"/>
    <x v="2"/>
    <n v="37"/>
    <n v="19"/>
    <x v="1"/>
    <m/>
    <m/>
    <m/>
    <n v="5"/>
    <m/>
    <m/>
    <m/>
    <m/>
    <m/>
    <n v="3"/>
    <n v="18"/>
    <x v="2"/>
    <n v="9"/>
    <m/>
    <m/>
    <x v="0"/>
    <n v="1"/>
    <x v="0"/>
    <m/>
    <m/>
    <n v="30"/>
    <x v="1"/>
    <s v="26/04/2023"/>
    <d v="2023-04-26T00:00:00"/>
    <s v="2023020-37"/>
    <x v="4"/>
  </r>
  <r>
    <x v="314"/>
    <n v="2023020"/>
    <x v="20"/>
    <s v="Fababean"/>
    <m/>
    <x v="12"/>
    <s v="N"/>
    <x v="1"/>
    <n v="38"/>
    <n v="19"/>
    <x v="1"/>
    <m/>
    <m/>
    <m/>
    <n v="5"/>
    <m/>
    <m/>
    <m/>
    <m/>
    <m/>
    <n v="3"/>
    <n v="19"/>
    <x v="2"/>
    <n v="10"/>
    <m/>
    <n v="35"/>
    <x v="0"/>
    <n v="1"/>
    <x v="0"/>
    <m/>
    <m/>
    <n v="30"/>
    <x v="1"/>
    <s v="26/04/2023"/>
    <d v="2023-04-26T00:00:00"/>
    <s v="2023020-38"/>
    <x v="4"/>
  </r>
  <r>
    <x v="315"/>
    <n v="2023020"/>
    <x v="20"/>
    <s v="Fababean"/>
    <m/>
    <x v="10"/>
    <s v="Y"/>
    <x v="2"/>
    <n v="39"/>
    <n v="20"/>
    <x v="1"/>
    <m/>
    <m/>
    <m/>
    <n v="5"/>
    <m/>
    <m/>
    <m/>
    <m/>
    <m/>
    <n v="4"/>
    <n v="18"/>
    <x v="3"/>
    <n v="9"/>
    <m/>
    <m/>
    <x v="0"/>
    <n v="4"/>
    <x v="0"/>
    <m/>
    <m/>
    <n v="30"/>
    <x v="1"/>
    <s v="26/04/2023"/>
    <d v="2023-04-26T00:00:00"/>
    <s v="2023020-39"/>
    <x v="4"/>
  </r>
  <r>
    <x v="315"/>
    <n v="2023020"/>
    <x v="20"/>
    <s v="Fababean"/>
    <m/>
    <x v="10"/>
    <s v="Y"/>
    <x v="1"/>
    <n v="40"/>
    <n v="20"/>
    <x v="1"/>
    <m/>
    <m/>
    <m/>
    <n v="5"/>
    <m/>
    <m/>
    <m/>
    <m/>
    <m/>
    <n v="4"/>
    <n v="19"/>
    <x v="3"/>
    <n v="10"/>
    <m/>
    <n v="36"/>
    <x v="0"/>
    <n v="4"/>
    <x v="0"/>
    <m/>
    <m/>
    <n v="30"/>
    <x v="1"/>
    <s v="26/04/2023"/>
    <d v="2023-04-26T00:00:00"/>
    <s v="2023020-40"/>
    <x v="4"/>
  </r>
  <r>
    <x v="316"/>
    <n v="2023020"/>
    <x v="20"/>
    <s v="Fababean"/>
    <m/>
    <x v="10"/>
    <s v="Y"/>
    <x v="2"/>
    <n v="41"/>
    <n v="21"/>
    <x v="0"/>
    <m/>
    <m/>
    <m/>
    <n v="6"/>
    <m/>
    <m/>
    <m/>
    <m/>
    <m/>
    <n v="1"/>
    <n v="22"/>
    <x v="0"/>
    <n v="11"/>
    <m/>
    <m/>
    <x v="0"/>
    <n v="4"/>
    <x v="0"/>
    <m/>
    <m/>
    <n v="30"/>
    <x v="2"/>
    <s v="31/05/2023"/>
    <d v="2023-05-31T00:00:00"/>
    <s v="2023020-41"/>
    <x v="4"/>
  </r>
  <r>
    <x v="316"/>
    <n v="2023020"/>
    <x v="20"/>
    <s v="Fababean"/>
    <m/>
    <x v="10"/>
    <s v="Y"/>
    <x v="1"/>
    <n v="42"/>
    <n v="21"/>
    <x v="0"/>
    <m/>
    <m/>
    <m/>
    <n v="6"/>
    <m/>
    <m/>
    <m/>
    <m/>
    <m/>
    <n v="1"/>
    <n v="23"/>
    <x v="0"/>
    <n v="12"/>
    <m/>
    <n v="48"/>
    <x v="0"/>
    <n v="4"/>
    <x v="0"/>
    <m/>
    <m/>
    <n v="30"/>
    <x v="2"/>
    <s v="31/05/2023"/>
    <d v="2023-05-31T00:00:00"/>
    <s v="2023020-42"/>
    <x v="4"/>
  </r>
  <r>
    <x v="317"/>
    <n v="2023020"/>
    <x v="20"/>
    <s v="Fababean"/>
    <m/>
    <x v="12"/>
    <s v="N"/>
    <x v="2"/>
    <n v="43"/>
    <n v="22"/>
    <x v="0"/>
    <m/>
    <m/>
    <m/>
    <n v="6"/>
    <m/>
    <m/>
    <m/>
    <m/>
    <m/>
    <n v="2"/>
    <n v="22"/>
    <x v="1"/>
    <n v="11"/>
    <m/>
    <m/>
    <x v="0"/>
    <n v="1"/>
    <x v="0"/>
    <m/>
    <m/>
    <n v="30"/>
    <x v="2"/>
    <s v="31/05/2023"/>
    <d v="2023-05-31T00:00:00"/>
    <s v="2023020-43"/>
    <x v="4"/>
  </r>
  <r>
    <x v="317"/>
    <n v="2023020"/>
    <x v="20"/>
    <s v="Fababean"/>
    <m/>
    <x v="12"/>
    <s v="N"/>
    <x v="1"/>
    <n v="44"/>
    <n v="22"/>
    <x v="0"/>
    <m/>
    <m/>
    <m/>
    <n v="6"/>
    <m/>
    <m/>
    <m/>
    <m/>
    <m/>
    <n v="2"/>
    <n v="23"/>
    <x v="1"/>
    <n v="12"/>
    <m/>
    <n v="47"/>
    <x v="0"/>
    <n v="1"/>
    <x v="0"/>
    <m/>
    <m/>
    <n v="30"/>
    <x v="2"/>
    <s v="31/05/2023"/>
    <d v="2023-05-31T00:00:00"/>
    <s v="2023020-44"/>
    <x v="4"/>
  </r>
  <r>
    <x v="318"/>
    <n v="2023020"/>
    <x v="20"/>
    <s v="Fababean"/>
    <m/>
    <x v="11"/>
    <s v="N"/>
    <x v="2"/>
    <n v="45"/>
    <n v="23"/>
    <x v="1"/>
    <m/>
    <m/>
    <m/>
    <n v="6"/>
    <m/>
    <m/>
    <m/>
    <m/>
    <m/>
    <n v="3"/>
    <n v="22"/>
    <x v="2"/>
    <n v="11"/>
    <m/>
    <m/>
    <x v="0"/>
    <n v="3"/>
    <x v="0"/>
    <m/>
    <m/>
    <n v="30"/>
    <x v="2"/>
    <s v="31/05/2023"/>
    <d v="2023-05-31T00:00:00"/>
    <s v="2023020-45"/>
    <x v="4"/>
  </r>
  <r>
    <x v="318"/>
    <n v="2023020"/>
    <x v="20"/>
    <s v="Fababean"/>
    <m/>
    <x v="11"/>
    <s v="N"/>
    <x v="1"/>
    <n v="46"/>
    <n v="23"/>
    <x v="1"/>
    <m/>
    <m/>
    <m/>
    <n v="6"/>
    <m/>
    <m/>
    <m/>
    <m/>
    <m/>
    <n v="3"/>
    <n v="23"/>
    <x v="2"/>
    <n v="12"/>
    <m/>
    <n v="46"/>
    <x v="0"/>
    <n v="3"/>
    <x v="0"/>
    <m/>
    <m/>
    <n v="30"/>
    <x v="2"/>
    <s v="31/05/2023"/>
    <d v="2023-05-31T00:00:00"/>
    <s v="2023020-46"/>
    <x v="4"/>
  </r>
  <r>
    <x v="319"/>
    <n v="2023020"/>
    <x v="20"/>
    <s v="Fababean"/>
    <m/>
    <x v="13"/>
    <s v="Y"/>
    <x v="2"/>
    <n v="47"/>
    <n v="24"/>
    <x v="1"/>
    <m/>
    <m/>
    <m/>
    <n v="6"/>
    <m/>
    <m/>
    <m/>
    <m/>
    <m/>
    <n v="4"/>
    <n v="22"/>
    <x v="3"/>
    <n v="11"/>
    <m/>
    <m/>
    <x v="0"/>
    <n v="2"/>
    <x v="0"/>
    <m/>
    <m/>
    <n v="30"/>
    <x v="2"/>
    <s v="31/05/2023"/>
    <d v="2023-05-31T00:00:00"/>
    <s v="2023020-47"/>
    <x v="4"/>
  </r>
  <r>
    <x v="319"/>
    <n v="2023020"/>
    <x v="20"/>
    <s v="Fababean"/>
    <m/>
    <x v="13"/>
    <s v="Y"/>
    <x v="1"/>
    <n v="48"/>
    <n v="24"/>
    <x v="1"/>
    <m/>
    <m/>
    <m/>
    <n v="6"/>
    <m/>
    <m/>
    <m/>
    <m/>
    <m/>
    <n v="4"/>
    <n v="23"/>
    <x v="3"/>
    <n v="12"/>
    <m/>
    <n v="45"/>
    <x v="0"/>
    <n v="2"/>
    <x v="0"/>
    <m/>
    <m/>
    <n v="30"/>
    <x v="2"/>
    <s v="31/05/2023"/>
    <d v="2023-05-31T00:00:00"/>
    <s v="2023020-48"/>
    <x v="4"/>
  </r>
  <r>
    <x v="313"/>
    <n v="2023020"/>
    <x v="20"/>
    <s v="Fababean"/>
    <m/>
    <x v="11"/>
    <s v="N"/>
    <x v="2"/>
    <n v="49"/>
    <n v="25"/>
    <x v="0"/>
    <m/>
    <m/>
    <m/>
    <n v="7"/>
    <m/>
    <m/>
    <m/>
    <m/>
    <m/>
    <n v="1"/>
    <n v="26"/>
    <x v="0"/>
    <n v="13"/>
    <m/>
    <m/>
    <x v="0"/>
    <n v="3"/>
    <x v="0"/>
    <m/>
    <m/>
    <n v="30"/>
    <x v="1"/>
    <s v="26/04/2023"/>
    <d v="2023-04-26T00:00:00"/>
    <s v="2023020-49"/>
    <x v="4"/>
  </r>
  <r>
    <x v="313"/>
    <n v="2023020"/>
    <x v="20"/>
    <s v="Fababean"/>
    <m/>
    <x v="11"/>
    <s v="N"/>
    <x v="1"/>
    <n v="50"/>
    <n v="25"/>
    <x v="0"/>
    <m/>
    <m/>
    <m/>
    <n v="7"/>
    <m/>
    <m/>
    <m/>
    <m/>
    <m/>
    <n v="1"/>
    <n v="27"/>
    <x v="0"/>
    <n v="14"/>
    <m/>
    <n v="49"/>
    <x v="0"/>
    <n v="3"/>
    <x v="0"/>
    <m/>
    <m/>
    <n v="30"/>
    <x v="1"/>
    <s v="26/04/2023"/>
    <d v="2023-04-26T00:00:00"/>
    <s v="2023020-50"/>
    <x v="4"/>
  </r>
  <r>
    <x v="312"/>
    <n v="2023020"/>
    <x v="20"/>
    <s v="Fababean"/>
    <m/>
    <x v="13"/>
    <s v="Y"/>
    <x v="2"/>
    <n v="51"/>
    <n v="26"/>
    <x v="0"/>
    <m/>
    <m/>
    <m/>
    <n v="7"/>
    <m/>
    <m/>
    <m/>
    <m/>
    <m/>
    <n v="2"/>
    <n v="26"/>
    <x v="1"/>
    <n v="13"/>
    <m/>
    <m/>
    <x v="0"/>
    <n v="2"/>
    <x v="0"/>
    <m/>
    <m/>
    <n v="30"/>
    <x v="1"/>
    <s v="26/04/2023"/>
    <d v="2023-04-26T00:00:00"/>
    <s v="2023020-51"/>
    <x v="4"/>
  </r>
  <r>
    <x v="312"/>
    <n v="2023020"/>
    <x v="20"/>
    <s v="Fababean"/>
    <m/>
    <x v="13"/>
    <s v="Y"/>
    <x v="1"/>
    <n v="52"/>
    <n v="26"/>
    <x v="0"/>
    <m/>
    <m/>
    <m/>
    <n v="7"/>
    <m/>
    <m/>
    <m/>
    <m/>
    <m/>
    <n v="2"/>
    <n v="27"/>
    <x v="1"/>
    <n v="14"/>
    <m/>
    <n v="50"/>
    <x v="0"/>
    <n v="2"/>
    <x v="0"/>
    <m/>
    <m/>
    <n v="30"/>
    <x v="1"/>
    <s v="26/04/2023"/>
    <d v="2023-04-26T00:00:00"/>
    <s v="2023020-52"/>
    <x v="4"/>
  </r>
  <r>
    <x v="315"/>
    <n v="2023020"/>
    <x v="20"/>
    <s v="Fababean"/>
    <m/>
    <x v="10"/>
    <s v="Y"/>
    <x v="2"/>
    <n v="53"/>
    <n v="27"/>
    <x v="1"/>
    <m/>
    <m/>
    <m/>
    <n v="7"/>
    <m/>
    <m/>
    <m/>
    <m/>
    <m/>
    <n v="3"/>
    <n v="26"/>
    <x v="2"/>
    <n v="13"/>
    <m/>
    <m/>
    <x v="0"/>
    <n v="4"/>
    <x v="0"/>
    <m/>
    <m/>
    <n v="30"/>
    <x v="1"/>
    <s v="26/04/2023"/>
    <d v="2023-04-26T00:00:00"/>
    <s v="2023020-53"/>
    <x v="4"/>
  </r>
  <r>
    <x v="315"/>
    <n v="2023020"/>
    <x v="20"/>
    <s v="Fababean"/>
    <m/>
    <x v="10"/>
    <s v="Y"/>
    <x v="1"/>
    <n v="54"/>
    <n v="27"/>
    <x v="1"/>
    <m/>
    <m/>
    <m/>
    <n v="7"/>
    <m/>
    <m/>
    <m/>
    <m/>
    <m/>
    <n v="3"/>
    <n v="27"/>
    <x v="2"/>
    <n v="14"/>
    <m/>
    <n v="51"/>
    <x v="0"/>
    <n v="4"/>
    <x v="0"/>
    <m/>
    <m/>
    <n v="30"/>
    <x v="1"/>
    <s v="26/04/2023"/>
    <d v="2023-04-26T00:00:00"/>
    <s v="2023020-54"/>
    <x v="4"/>
  </r>
  <r>
    <x v="314"/>
    <n v="2023020"/>
    <x v="20"/>
    <s v="Fababean"/>
    <m/>
    <x v="12"/>
    <s v="N"/>
    <x v="2"/>
    <n v="55"/>
    <n v="28"/>
    <x v="1"/>
    <m/>
    <m/>
    <m/>
    <n v="7"/>
    <m/>
    <m/>
    <m/>
    <m/>
    <m/>
    <n v="4"/>
    <n v="26"/>
    <x v="3"/>
    <n v="13"/>
    <m/>
    <m/>
    <x v="0"/>
    <n v="1"/>
    <x v="0"/>
    <m/>
    <m/>
    <n v="30"/>
    <x v="1"/>
    <s v="26/04/2023"/>
    <d v="2023-04-26T00:00:00"/>
    <s v="2023020-55"/>
    <x v="4"/>
  </r>
  <r>
    <x v="314"/>
    <n v="2023020"/>
    <x v="20"/>
    <s v="Fababean"/>
    <m/>
    <x v="12"/>
    <s v="N"/>
    <x v="1"/>
    <n v="56"/>
    <n v="28"/>
    <x v="1"/>
    <m/>
    <m/>
    <m/>
    <n v="7"/>
    <m/>
    <m/>
    <m/>
    <m/>
    <m/>
    <n v="4"/>
    <n v="27"/>
    <x v="3"/>
    <n v="14"/>
    <m/>
    <n v="52"/>
    <x v="0"/>
    <n v="1"/>
    <x v="0"/>
    <m/>
    <m/>
    <n v="30"/>
    <x v="1"/>
    <s v="26/04/2023"/>
    <d v="2023-04-26T00:00:00"/>
    <s v="2023020-56"/>
    <x v="4"/>
  </r>
  <r>
    <x v="317"/>
    <n v="2023020"/>
    <x v="20"/>
    <s v="Fababean"/>
    <m/>
    <x v="12"/>
    <s v="N"/>
    <x v="2"/>
    <n v="57"/>
    <n v="29"/>
    <x v="0"/>
    <m/>
    <m/>
    <m/>
    <n v="8"/>
    <m/>
    <m/>
    <m/>
    <m/>
    <m/>
    <n v="1"/>
    <n v="30"/>
    <x v="0"/>
    <n v="15"/>
    <m/>
    <m/>
    <x v="0"/>
    <n v="1"/>
    <x v="0"/>
    <m/>
    <m/>
    <n v="30"/>
    <x v="2"/>
    <s v="31/05/2023"/>
    <d v="2023-05-31T00:00:00"/>
    <s v="2023020-57"/>
    <x v="4"/>
  </r>
  <r>
    <x v="317"/>
    <n v="2023020"/>
    <x v="20"/>
    <s v="Fababean"/>
    <m/>
    <x v="12"/>
    <s v="N"/>
    <x v="1"/>
    <n v="58"/>
    <n v="29"/>
    <x v="0"/>
    <m/>
    <m/>
    <m/>
    <n v="8"/>
    <m/>
    <m/>
    <m/>
    <m/>
    <m/>
    <n v="1"/>
    <n v="31"/>
    <x v="0"/>
    <n v="16"/>
    <m/>
    <n v="64"/>
    <x v="0"/>
    <n v="1"/>
    <x v="0"/>
    <m/>
    <m/>
    <n v="30"/>
    <x v="2"/>
    <s v="31/05/2023"/>
    <d v="2023-05-31T00:00:00"/>
    <s v="2023020-58"/>
    <x v="4"/>
  </r>
  <r>
    <x v="316"/>
    <n v="2023020"/>
    <x v="20"/>
    <s v="Fababean"/>
    <m/>
    <x v="10"/>
    <s v="Y"/>
    <x v="2"/>
    <n v="59"/>
    <n v="30"/>
    <x v="0"/>
    <m/>
    <m/>
    <m/>
    <n v="8"/>
    <m/>
    <m/>
    <m/>
    <m/>
    <m/>
    <n v="2"/>
    <n v="30"/>
    <x v="1"/>
    <n v="15"/>
    <m/>
    <m/>
    <x v="0"/>
    <n v="4"/>
    <x v="0"/>
    <m/>
    <m/>
    <n v="30"/>
    <x v="2"/>
    <s v="31/05/2023"/>
    <d v="2023-05-31T00:00:00"/>
    <s v="2023020-59"/>
    <x v="4"/>
  </r>
  <r>
    <x v="316"/>
    <n v="2023020"/>
    <x v="20"/>
    <s v="Fababean"/>
    <m/>
    <x v="10"/>
    <s v="Y"/>
    <x v="1"/>
    <n v="60"/>
    <n v="30"/>
    <x v="0"/>
    <m/>
    <m/>
    <m/>
    <n v="8"/>
    <m/>
    <m/>
    <m/>
    <m/>
    <m/>
    <n v="2"/>
    <n v="31"/>
    <x v="1"/>
    <n v="16"/>
    <m/>
    <n v="63"/>
    <x v="0"/>
    <n v="4"/>
    <x v="0"/>
    <m/>
    <m/>
    <n v="30"/>
    <x v="2"/>
    <s v="31/05/2023"/>
    <d v="2023-05-31T00:00:00"/>
    <s v="2023020-60"/>
    <x v="4"/>
  </r>
  <r>
    <x v="319"/>
    <n v="2023020"/>
    <x v="20"/>
    <s v="Fababean"/>
    <m/>
    <x v="13"/>
    <s v="Y"/>
    <x v="2"/>
    <n v="61"/>
    <n v="31"/>
    <x v="1"/>
    <m/>
    <m/>
    <m/>
    <n v="8"/>
    <m/>
    <m/>
    <m/>
    <m/>
    <m/>
    <n v="3"/>
    <n v="30"/>
    <x v="2"/>
    <n v="15"/>
    <m/>
    <m/>
    <x v="0"/>
    <n v="2"/>
    <x v="0"/>
    <m/>
    <m/>
    <n v="30"/>
    <x v="2"/>
    <s v="31/05/2023"/>
    <d v="2023-05-31T00:00:00"/>
    <s v="2023020-61"/>
    <x v="4"/>
  </r>
  <r>
    <x v="319"/>
    <n v="2023020"/>
    <x v="20"/>
    <s v="Fababean"/>
    <m/>
    <x v="13"/>
    <s v="Y"/>
    <x v="1"/>
    <n v="62"/>
    <n v="31"/>
    <x v="1"/>
    <m/>
    <m/>
    <m/>
    <n v="8"/>
    <m/>
    <m/>
    <m/>
    <m/>
    <m/>
    <n v="3"/>
    <n v="31"/>
    <x v="2"/>
    <n v="16"/>
    <m/>
    <n v="62"/>
    <x v="0"/>
    <n v="2"/>
    <x v="0"/>
    <m/>
    <m/>
    <n v="30"/>
    <x v="2"/>
    <s v="31/05/2023"/>
    <d v="2023-05-31T00:00:00"/>
    <s v="2023020-62"/>
    <x v="4"/>
  </r>
  <r>
    <x v="318"/>
    <n v="2023020"/>
    <x v="20"/>
    <s v="Fababean"/>
    <m/>
    <x v="11"/>
    <s v="N"/>
    <x v="2"/>
    <n v="63"/>
    <n v="32"/>
    <x v="1"/>
    <m/>
    <m/>
    <m/>
    <n v="8"/>
    <m/>
    <m/>
    <m/>
    <m/>
    <m/>
    <n v="4"/>
    <n v="30"/>
    <x v="3"/>
    <n v="15"/>
    <m/>
    <m/>
    <x v="0"/>
    <n v="3"/>
    <x v="0"/>
    <m/>
    <m/>
    <n v="30"/>
    <x v="2"/>
    <s v="31/05/2023"/>
    <d v="2023-05-31T00:00:00"/>
    <s v="2023020-63"/>
    <x v="4"/>
  </r>
  <r>
    <x v="318"/>
    <n v="2023020"/>
    <x v="20"/>
    <s v="Fababean"/>
    <m/>
    <x v="11"/>
    <s v="N"/>
    <x v="1"/>
    <n v="64"/>
    <n v="32"/>
    <x v="1"/>
    <m/>
    <m/>
    <m/>
    <n v="8"/>
    <m/>
    <m/>
    <m/>
    <m/>
    <m/>
    <n v="4"/>
    <n v="31"/>
    <x v="3"/>
    <n v="16"/>
    <m/>
    <n v="61"/>
    <x v="0"/>
    <n v="3"/>
    <x v="0"/>
    <m/>
    <m/>
    <n v="30"/>
    <x v="2"/>
    <s v="31/05/2023"/>
    <d v="2023-05-31T00:00:00"/>
    <s v="2023020-64"/>
    <x v="4"/>
  </r>
  <r>
    <x v="310"/>
    <n v="2023020"/>
    <x v="20"/>
    <s v="Fababean"/>
    <m/>
    <x v="11"/>
    <s v="N"/>
    <x v="2"/>
    <n v="65"/>
    <n v="33"/>
    <x v="2"/>
    <m/>
    <m/>
    <m/>
    <n v="1"/>
    <m/>
    <m/>
    <m/>
    <m/>
    <m/>
    <n v="6"/>
    <n v="2"/>
    <x v="4"/>
    <n v="1"/>
    <m/>
    <m/>
    <x v="1"/>
    <n v="3"/>
    <x v="0"/>
    <m/>
    <m/>
    <n v="30"/>
    <x v="1"/>
    <s v="26/04/2023"/>
    <d v="2023-04-26T00:00:00"/>
    <s v="2023020-65"/>
    <x v="4"/>
  </r>
  <r>
    <x v="310"/>
    <n v="2023020"/>
    <x v="20"/>
    <s v="Fababean"/>
    <m/>
    <x v="11"/>
    <s v="N"/>
    <x v="1"/>
    <n v="66"/>
    <n v="33"/>
    <x v="2"/>
    <m/>
    <m/>
    <m/>
    <n v="1"/>
    <m/>
    <m/>
    <m/>
    <m/>
    <m/>
    <n v="6"/>
    <n v="3"/>
    <x v="4"/>
    <n v="2"/>
    <m/>
    <n v="5"/>
    <x v="1"/>
    <n v="3"/>
    <x v="0"/>
    <m/>
    <m/>
    <n v="30"/>
    <x v="1"/>
    <s v="26/04/2023"/>
    <d v="2023-04-26T00:00:00"/>
    <s v="2023020-66"/>
    <x v="4"/>
  </r>
  <r>
    <x v="308"/>
    <n v="2023020"/>
    <x v="20"/>
    <s v="Fababean"/>
    <m/>
    <x v="10"/>
    <s v="Y"/>
    <x v="2"/>
    <n v="67"/>
    <n v="34"/>
    <x v="2"/>
    <m/>
    <m/>
    <m/>
    <n v="1"/>
    <m/>
    <m/>
    <m/>
    <m/>
    <m/>
    <n v="7"/>
    <n v="2"/>
    <x v="5"/>
    <n v="1"/>
    <m/>
    <m/>
    <x v="1"/>
    <n v="4"/>
    <x v="0"/>
    <m/>
    <m/>
    <n v="30"/>
    <x v="1"/>
    <s v="26/04/2023"/>
    <d v="2023-04-26T00:00:00"/>
    <s v="2023020-67"/>
    <x v="4"/>
  </r>
  <r>
    <x v="308"/>
    <n v="2023020"/>
    <x v="20"/>
    <s v="Fababean"/>
    <m/>
    <x v="10"/>
    <s v="Y"/>
    <x v="1"/>
    <n v="68"/>
    <n v="34"/>
    <x v="2"/>
    <m/>
    <m/>
    <m/>
    <n v="1"/>
    <m/>
    <m/>
    <m/>
    <m/>
    <m/>
    <n v="7"/>
    <n v="3"/>
    <x v="5"/>
    <n v="2"/>
    <m/>
    <n v="6"/>
    <x v="1"/>
    <n v="4"/>
    <x v="0"/>
    <m/>
    <m/>
    <n v="30"/>
    <x v="1"/>
    <s v="26/04/2023"/>
    <d v="2023-04-26T00:00:00"/>
    <s v="2023020-68"/>
    <x v="4"/>
  </r>
  <r>
    <x v="309"/>
    <n v="2023020"/>
    <x v="20"/>
    <s v="Fababean"/>
    <m/>
    <x v="12"/>
    <s v="N"/>
    <x v="2"/>
    <n v="69"/>
    <n v="35"/>
    <x v="3"/>
    <m/>
    <m/>
    <m/>
    <n v="1"/>
    <m/>
    <m/>
    <m/>
    <m/>
    <m/>
    <n v="8"/>
    <n v="2"/>
    <x v="6"/>
    <n v="1"/>
    <m/>
    <m/>
    <x v="1"/>
    <n v="1"/>
    <x v="0"/>
    <m/>
    <m/>
    <n v="30"/>
    <x v="1"/>
    <s v="26/04/2023"/>
    <d v="2023-04-26T00:00:00"/>
    <s v="2023020-69"/>
    <x v="4"/>
  </r>
  <r>
    <x v="309"/>
    <n v="2023020"/>
    <x v="20"/>
    <s v="Fababean"/>
    <m/>
    <x v="12"/>
    <s v="N"/>
    <x v="1"/>
    <n v="70"/>
    <n v="35"/>
    <x v="3"/>
    <m/>
    <m/>
    <m/>
    <n v="1"/>
    <m/>
    <m/>
    <m/>
    <m/>
    <m/>
    <n v="8"/>
    <n v="3"/>
    <x v="6"/>
    <n v="2"/>
    <m/>
    <n v="7"/>
    <x v="1"/>
    <n v="1"/>
    <x v="0"/>
    <m/>
    <m/>
    <n v="30"/>
    <x v="1"/>
    <s v="26/04/2023"/>
    <d v="2023-04-26T00:00:00"/>
    <s v="2023020-70"/>
    <x v="4"/>
  </r>
  <r>
    <x v="311"/>
    <n v="2023020"/>
    <x v="20"/>
    <s v="Fababean"/>
    <m/>
    <x v="13"/>
    <s v="Y"/>
    <x v="2"/>
    <n v="71"/>
    <n v="36"/>
    <x v="3"/>
    <m/>
    <m/>
    <m/>
    <n v="1"/>
    <m/>
    <m/>
    <m/>
    <m/>
    <m/>
    <n v="9"/>
    <n v="2"/>
    <x v="7"/>
    <n v="1"/>
    <m/>
    <m/>
    <x v="1"/>
    <n v="2"/>
    <x v="0"/>
    <m/>
    <m/>
    <n v="30"/>
    <x v="1"/>
    <s v="26/04/2023"/>
    <d v="2023-04-26T00:00:00"/>
    <s v="2023020-71"/>
    <x v="4"/>
  </r>
  <r>
    <x v="311"/>
    <n v="2023020"/>
    <x v="20"/>
    <s v="Fababean"/>
    <m/>
    <x v="13"/>
    <s v="Y"/>
    <x v="1"/>
    <n v="72"/>
    <n v="36"/>
    <x v="3"/>
    <m/>
    <m/>
    <m/>
    <n v="1"/>
    <m/>
    <m/>
    <m/>
    <m/>
    <m/>
    <n v="9"/>
    <n v="3"/>
    <x v="7"/>
    <n v="2"/>
    <m/>
    <n v="8"/>
    <x v="1"/>
    <n v="2"/>
    <x v="0"/>
    <m/>
    <m/>
    <n v="30"/>
    <x v="1"/>
    <s v="26/04/2023"/>
    <d v="2023-04-26T00:00:00"/>
    <s v="2023020-72"/>
    <x v="4"/>
  </r>
  <r>
    <x v="304"/>
    <n v="2023020"/>
    <x v="20"/>
    <s v="Fababean"/>
    <m/>
    <x v="13"/>
    <s v="Y"/>
    <x v="2"/>
    <n v="73"/>
    <n v="37"/>
    <x v="2"/>
    <m/>
    <m/>
    <m/>
    <n v="2"/>
    <m/>
    <m/>
    <m/>
    <m/>
    <m/>
    <n v="6"/>
    <n v="6"/>
    <x v="4"/>
    <n v="3"/>
    <m/>
    <m/>
    <x v="1"/>
    <n v="2"/>
    <x v="0"/>
    <m/>
    <m/>
    <n v="30"/>
    <x v="2"/>
    <s v="31/05/2023"/>
    <d v="2023-05-31T00:00:00"/>
    <s v="2023020-73"/>
    <x v="4"/>
  </r>
  <r>
    <x v="304"/>
    <n v="2023020"/>
    <x v="20"/>
    <s v="Fababean"/>
    <m/>
    <x v="13"/>
    <s v="Y"/>
    <x v="1"/>
    <n v="74"/>
    <n v="37"/>
    <x v="2"/>
    <m/>
    <m/>
    <m/>
    <n v="2"/>
    <m/>
    <m/>
    <m/>
    <m/>
    <m/>
    <n v="6"/>
    <n v="7"/>
    <x v="4"/>
    <n v="4"/>
    <m/>
    <n v="12"/>
    <x v="1"/>
    <n v="2"/>
    <x v="0"/>
    <m/>
    <m/>
    <n v="30"/>
    <x v="2"/>
    <s v="31/05/2023"/>
    <d v="2023-05-31T00:00:00"/>
    <s v="2023020-74"/>
    <x v="4"/>
  </r>
  <r>
    <x v="307"/>
    <n v="2023020"/>
    <x v="20"/>
    <s v="Fababean"/>
    <m/>
    <x v="12"/>
    <s v="N"/>
    <x v="2"/>
    <n v="75"/>
    <n v="38"/>
    <x v="2"/>
    <m/>
    <m/>
    <m/>
    <n v="2"/>
    <m/>
    <m/>
    <m/>
    <m/>
    <m/>
    <n v="7"/>
    <n v="6"/>
    <x v="5"/>
    <n v="3"/>
    <m/>
    <m/>
    <x v="1"/>
    <n v="1"/>
    <x v="0"/>
    <m/>
    <m/>
    <n v="30"/>
    <x v="2"/>
    <s v="31/05/2023"/>
    <d v="2023-05-31T00:00:00"/>
    <s v="2023020-75"/>
    <x v="4"/>
  </r>
  <r>
    <x v="307"/>
    <n v="2023020"/>
    <x v="20"/>
    <s v="Fababean"/>
    <m/>
    <x v="12"/>
    <s v="N"/>
    <x v="1"/>
    <n v="76"/>
    <n v="38"/>
    <x v="2"/>
    <m/>
    <m/>
    <m/>
    <n v="2"/>
    <m/>
    <m/>
    <m/>
    <m/>
    <m/>
    <n v="7"/>
    <n v="7"/>
    <x v="5"/>
    <n v="4"/>
    <m/>
    <n v="11"/>
    <x v="1"/>
    <n v="1"/>
    <x v="0"/>
    <m/>
    <m/>
    <n v="30"/>
    <x v="2"/>
    <s v="31/05/2023"/>
    <d v="2023-05-31T00:00:00"/>
    <s v="2023020-76"/>
    <x v="4"/>
  </r>
  <r>
    <x v="306"/>
    <n v="2023020"/>
    <x v="20"/>
    <s v="Fababean"/>
    <m/>
    <x v="10"/>
    <s v="Y"/>
    <x v="2"/>
    <n v="77"/>
    <n v="39"/>
    <x v="3"/>
    <m/>
    <m/>
    <m/>
    <n v="2"/>
    <m/>
    <m/>
    <m/>
    <m/>
    <m/>
    <n v="8"/>
    <n v="6"/>
    <x v="6"/>
    <n v="3"/>
    <m/>
    <m/>
    <x v="1"/>
    <n v="4"/>
    <x v="0"/>
    <m/>
    <m/>
    <n v="30"/>
    <x v="2"/>
    <s v="31/05/2023"/>
    <d v="2023-05-31T00:00:00"/>
    <s v="2023020-77"/>
    <x v="4"/>
  </r>
  <r>
    <x v="306"/>
    <n v="2023020"/>
    <x v="20"/>
    <s v="Fababean"/>
    <m/>
    <x v="10"/>
    <s v="Y"/>
    <x v="1"/>
    <n v="78"/>
    <n v="39"/>
    <x v="3"/>
    <m/>
    <m/>
    <m/>
    <n v="2"/>
    <m/>
    <m/>
    <m/>
    <m/>
    <m/>
    <n v="8"/>
    <n v="7"/>
    <x v="6"/>
    <n v="4"/>
    <m/>
    <n v="10"/>
    <x v="1"/>
    <n v="4"/>
    <x v="0"/>
    <m/>
    <m/>
    <n v="30"/>
    <x v="2"/>
    <s v="31/05/2023"/>
    <d v="2023-05-31T00:00:00"/>
    <s v="2023020-78"/>
    <x v="4"/>
  </r>
  <r>
    <x v="305"/>
    <n v="2023020"/>
    <x v="20"/>
    <s v="Fababean"/>
    <m/>
    <x v="11"/>
    <s v="N"/>
    <x v="2"/>
    <n v="79"/>
    <n v="40"/>
    <x v="3"/>
    <m/>
    <m/>
    <m/>
    <n v="2"/>
    <m/>
    <m/>
    <m/>
    <m/>
    <m/>
    <n v="9"/>
    <n v="6"/>
    <x v="7"/>
    <n v="3"/>
    <m/>
    <m/>
    <x v="1"/>
    <n v="3"/>
    <x v="0"/>
    <m/>
    <m/>
    <n v="30"/>
    <x v="2"/>
    <s v="31/05/2023"/>
    <d v="2023-05-31T00:00:00"/>
    <s v="2023020-79"/>
    <x v="4"/>
  </r>
  <r>
    <x v="305"/>
    <n v="2023020"/>
    <x v="20"/>
    <s v="Fababean"/>
    <m/>
    <x v="11"/>
    <s v="N"/>
    <x v="1"/>
    <n v="80"/>
    <n v="40"/>
    <x v="3"/>
    <m/>
    <m/>
    <m/>
    <n v="2"/>
    <m/>
    <m/>
    <m/>
    <m/>
    <m/>
    <n v="9"/>
    <n v="7"/>
    <x v="7"/>
    <n v="4"/>
    <m/>
    <n v="9"/>
    <x v="1"/>
    <n v="3"/>
    <x v="0"/>
    <m/>
    <m/>
    <n v="30"/>
    <x v="2"/>
    <s v="31/05/2023"/>
    <d v="2023-05-31T00:00:00"/>
    <s v="2023020-80"/>
    <x v="4"/>
  </r>
  <r>
    <x v="307"/>
    <n v="2023020"/>
    <x v="20"/>
    <s v="Fababean"/>
    <m/>
    <x v="12"/>
    <s v="N"/>
    <x v="2"/>
    <n v="81"/>
    <n v="41"/>
    <x v="2"/>
    <m/>
    <m/>
    <m/>
    <n v="3"/>
    <m/>
    <m/>
    <m/>
    <m/>
    <m/>
    <n v="6"/>
    <n v="10"/>
    <x v="4"/>
    <n v="5"/>
    <m/>
    <m/>
    <x v="1"/>
    <n v="1"/>
    <x v="0"/>
    <m/>
    <m/>
    <n v="30"/>
    <x v="2"/>
    <s v="31/05/2023"/>
    <d v="2023-05-31T00:00:00"/>
    <s v="2023020-81"/>
    <x v="4"/>
  </r>
  <r>
    <x v="307"/>
    <n v="2023020"/>
    <x v="20"/>
    <s v="Fababean"/>
    <m/>
    <x v="12"/>
    <s v="N"/>
    <x v="1"/>
    <n v="82"/>
    <n v="41"/>
    <x v="2"/>
    <m/>
    <m/>
    <m/>
    <n v="3"/>
    <m/>
    <m/>
    <m/>
    <m/>
    <m/>
    <n v="6"/>
    <n v="11"/>
    <x v="4"/>
    <n v="6"/>
    <m/>
    <n v="21"/>
    <x v="1"/>
    <n v="1"/>
    <x v="0"/>
    <m/>
    <m/>
    <n v="30"/>
    <x v="2"/>
    <s v="31/05/2023"/>
    <d v="2023-05-31T00:00:00"/>
    <s v="2023020-82"/>
    <x v="4"/>
  </r>
  <r>
    <x v="305"/>
    <n v="2023020"/>
    <x v="20"/>
    <s v="Fababean"/>
    <m/>
    <x v="11"/>
    <s v="N"/>
    <x v="2"/>
    <n v="83"/>
    <n v="42"/>
    <x v="2"/>
    <m/>
    <m/>
    <m/>
    <n v="3"/>
    <m/>
    <m/>
    <m/>
    <m/>
    <m/>
    <n v="7"/>
    <n v="10"/>
    <x v="5"/>
    <n v="5"/>
    <m/>
    <m/>
    <x v="1"/>
    <n v="3"/>
    <x v="0"/>
    <m/>
    <m/>
    <n v="30"/>
    <x v="2"/>
    <s v="31/05/2023"/>
    <d v="2023-05-31T00:00:00"/>
    <s v="2023020-83"/>
    <x v="4"/>
  </r>
  <r>
    <x v="305"/>
    <n v="2023020"/>
    <x v="20"/>
    <s v="Fababean"/>
    <m/>
    <x v="11"/>
    <s v="N"/>
    <x v="1"/>
    <n v="84"/>
    <n v="42"/>
    <x v="2"/>
    <m/>
    <m/>
    <m/>
    <n v="3"/>
    <m/>
    <m/>
    <m/>
    <m/>
    <m/>
    <n v="7"/>
    <n v="11"/>
    <x v="5"/>
    <n v="6"/>
    <m/>
    <n v="22"/>
    <x v="1"/>
    <n v="3"/>
    <x v="0"/>
    <m/>
    <m/>
    <n v="30"/>
    <x v="2"/>
    <s v="31/05/2023"/>
    <d v="2023-05-31T00:00:00"/>
    <s v="2023020-84"/>
    <x v="4"/>
  </r>
  <r>
    <x v="304"/>
    <n v="2023020"/>
    <x v="20"/>
    <s v="Fababean"/>
    <m/>
    <x v="13"/>
    <s v="Y"/>
    <x v="2"/>
    <n v="85"/>
    <n v="43"/>
    <x v="3"/>
    <m/>
    <m/>
    <m/>
    <n v="3"/>
    <m/>
    <m/>
    <m/>
    <m/>
    <m/>
    <n v="8"/>
    <n v="10"/>
    <x v="6"/>
    <n v="5"/>
    <m/>
    <m/>
    <x v="1"/>
    <n v="2"/>
    <x v="0"/>
    <m/>
    <m/>
    <n v="30"/>
    <x v="2"/>
    <s v="31/05/2023"/>
    <d v="2023-05-31T00:00:00"/>
    <s v="2023020-85"/>
    <x v="4"/>
  </r>
  <r>
    <x v="304"/>
    <n v="2023020"/>
    <x v="20"/>
    <s v="Fababean"/>
    <m/>
    <x v="13"/>
    <s v="Y"/>
    <x v="1"/>
    <n v="86"/>
    <n v="43"/>
    <x v="3"/>
    <m/>
    <m/>
    <m/>
    <n v="3"/>
    <m/>
    <m/>
    <m/>
    <m/>
    <m/>
    <n v="8"/>
    <n v="11"/>
    <x v="6"/>
    <n v="6"/>
    <m/>
    <n v="23"/>
    <x v="1"/>
    <n v="2"/>
    <x v="0"/>
    <m/>
    <m/>
    <n v="30"/>
    <x v="2"/>
    <s v="31/05/2023"/>
    <d v="2023-05-31T00:00:00"/>
    <s v="2023020-86"/>
    <x v="4"/>
  </r>
  <r>
    <x v="306"/>
    <n v="2023020"/>
    <x v="20"/>
    <s v="Fababean"/>
    <m/>
    <x v="10"/>
    <s v="Y"/>
    <x v="2"/>
    <n v="87"/>
    <n v="44"/>
    <x v="3"/>
    <m/>
    <m/>
    <m/>
    <n v="3"/>
    <m/>
    <m/>
    <m/>
    <m/>
    <m/>
    <n v="9"/>
    <n v="10"/>
    <x v="7"/>
    <n v="5"/>
    <m/>
    <m/>
    <x v="1"/>
    <n v="4"/>
    <x v="0"/>
    <m/>
    <m/>
    <n v="30"/>
    <x v="2"/>
    <s v="31/05/2023"/>
    <d v="2023-05-31T00:00:00"/>
    <s v="2023020-87"/>
    <x v="4"/>
  </r>
  <r>
    <x v="306"/>
    <n v="2023020"/>
    <x v="20"/>
    <s v="Fababean"/>
    <m/>
    <x v="10"/>
    <s v="Y"/>
    <x v="1"/>
    <n v="88"/>
    <n v="44"/>
    <x v="3"/>
    <m/>
    <m/>
    <m/>
    <n v="3"/>
    <m/>
    <m/>
    <m/>
    <m/>
    <m/>
    <n v="9"/>
    <n v="11"/>
    <x v="7"/>
    <n v="6"/>
    <m/>
    <n v="24"/>
    <x v="1"/>
    <n v="4"/>
    <x v="0"/>
    <m/>
    <m/>
    <n v="30"/>
    <x v="2"/>
    <s v="31/05/2023"/>
    <d v="2023-05-31T00:00:00"/>
    <s v="2023020-88"/>
    <x v="4"/>
  </r>
  <r>
    <x v="308"/>
    <n v="2023020"/>
    <x v="20"/>
    <s v="Fababean"/>
    <m/>
    <x v="10"/>
    <s v="Y"/>
    <x v="2"/>
    <n v="89"/>
    <n v="45"/>
    <x v="2"/>
    <m/>
    <m/>
    <m/>
    <n v="4"/>
    <m/>
    <m/>
    <m/>
    <m/>
    <m/>
    <n v="6"/>
    <n v="14"/>
    <x v="4"/>
    <n v="7"/>
    <m/>
    <m/>
    <x v="1"/>
    <n v="4"/>
    <x v="0"/>
    <m/>
    <m/>
    <n v="30"/>
    <x v="1"/>
    <s v="26/04/2023"/>
    <d v="2023-04-26T00:00:00"/>
    <s v="2023020-89"/>
    <x v="4"/>
  </r>
  <r>
    <x v="308"/>
    <n v="2023020"/>
    <x v="20"/>
    <s v="Fababean"/>
    <m/>
    <x v="10"/>
    <s v="Y"/>
    <x v="1"/>
    <n v="90"/>
    <n v="45"/>
    <x v="2"/>
    <m/>
    <m/>
    <m/>
    <n v="4"/>
    <m/>
    <m/>
    <m/>
    <m/>
    <m/>
    <n v="6"/>
    <n v="15"/>
    <x v="4"/>
    <n v="8"/>
    <m/>
    <n v="28"/>
    <x v="1"/>
    <n v="4"/>
    <x v="0"/>
    <m/>
    <m/>
    <n v="30"/>
    <x v="1"/>
    <s v="26/04/2023"/>
    <d v="2023-04-26T00:00:00"/>
    <s v="2023020-90"/>
    <x v="4"/>
  </r>
  <r>
    <x v="311"/>
    <n v="2023020"/>
    <x v="20"/>
    <s v="Fababean"/>
    <m/>
    <x v="13"/>
    <s v="Y"/>
    <x v="2"/>
    <n v="91"/>
    <n v="46"/>
    <x v="2"/>
    <m/>
    <m/>
    <m/>
    <n v="4"/>
    <m/>
    <m/>
    <m/>
    <m/>
    <m/>
    <n v="7"/>
    <n v="14"/>
    <x v="5"/>
    <n v="7"/>
    <m/>
    <m/>
    <x v="1"/>
    <n v="2"/>
    <x v="0"/>
    <m/>
    <m/>
    <n v="30"/>
    <x v="1"/>
    <s v="26/04/2023"/>
    <d v="2023-04-26T00:00:00"/>
    <s v="2023020-91"/>
    <x v="4"/>
  </r>
  <r>
    <x v="311"/>
    <n v="2023020"/>
    <x v="20"/>
    <s v="Fababean"/>
    <m/>
    <x v="13"/>
    <s v="Y"/>
    <x v="1"/>
    <n v="92"/>
    <n v="46"/>
    <x v="2"/>
    <m/>
    <m/>
    <m/>
    <n v="4"/>
    <m/>
    <m/>
    <m/>
    <m/>
    <m/>
    <n v="7"/>
    <n v="15"/>
    <x v="5"/>
    <n v="8"/>
    <m/>
    <n v="27"/>
    <x v="1"/>
    <n v="2"/>
    <x v="0"/>
    <m/>
    <m/>
    <n v="30"/>
    <x v="1"/>
    <s v="26/04/2023"/>
    <d v="2023-04-26T00:00:00"/>
    <s v="2023020-92"/>
    <x v="4"/>
  </r>
  <r>
    <x v="310"/>
    <n v="2023020"/>
    <x v="20"/>
    <s v="Fababean"/>
    <m/>
    <x v="11"/>
    <s v="N"/>
    <x v="2"/>
    <n v="93"/>
    <n v="47"/>
    <x v="3"/>
    <m/>
    <m/>
    <m/>
    <n v="4"/>
    <m/>
    <m/>
    <m/>
    <m/>
    <m/>
    <n v="8"/>
    <n v="14"/>
    <x v="6"/>
    <n v="7"/>
    <m/>
    <m/>
    <x v="1"/>
    <n v="3"/>
    <x v="0"/>
    <m/>
    <m/>
    <n v="30"/>
    <x v="1"/>
    <s v="26/04/2023"/>
    <d v="2023-04-26T00:00:00"/>
    <s v="2023020-93"/>
    <x v="4"/>
  </r>
  <r>
    <x v="310"/>
    <n v="2023020"/>
    <x v="20"/>
    <s v="Fababean"/>
    <m/>
    <x v="11"/>
    <s v="N"/>
    <x v="1"/>
    <n v="94"/>
    <n v="47"/>
    <x v="3"/>
    <m/>
    <m/>
    <m/>
    <n v="4"/>
    <m/>
    <m/>
    <m/>
    <m/>
    <m/>
    <n v="8"/>
    <n v="15"/>
    <x v="6"/>
    <n v="8"/>
    <m/>
    <n v="26"/>
    <x v="1"/>
    <n v="3"/>
    <x v="0"/>
    <m/>
    <m/>
    <n v="30"/>
    <x v="1"/>
    <s v="26/04/2023"/>
    <d v="2023-04-26T00:00:00"/>
    <s v="2023020-94"/>
    <x v="4"/>
  </r>
  <r>
    <x v="309"/>
    <n v="2023020"/>
    <x v="20"/>
    <s v="Fababean"/>
    <m/>
    <x v="12"/>
    <s v="N"/>
    <x v="2"/>
    <n v="95"/>
    <n v="48"/>
    <x v="3"/>
    <m/>
    <m/>
    <m/>
    <n v="4"/>
    <m/>
    <m/>
    <m/>
    <m/>
    <m/>
    <n v="9"/>
    <n v="14"/>
    <x v="7"/>
    <n v="7"/>
    <m/>
    <m/>
    <x v="1"/>
    <n v="1"/>
    <x v="0"/>
    <m/>
    <m/>
    <n v="30"/>
    <x v="1"/>
    <s v="26/04/2023"/>
    <d v="2023-04-26T00:00:00"/>
    <s v="2023020-95"/>
    <x v="4"/>
  </r>
  <r>
    <x v="309"/>
    <n v="2023020"/>
    <x v="20"/>
    <s v="Fababean"/>
    <m/>
    <x v="12"/>
    <s v="N"/>
    <x v="1"/>
    <n v="96"/>
    <n v="48"/>
    <x v="3"/>
    <m/>
    <m/>
    <m/>
    <n v="4"/>
    <m/>
    <m/>
    <m/>
    <m/>
    <m/>
    <n v="9"/>
    <n v="15"/>
    <x v="7"/>
    <n v="8"/>
    <m/>
    <n v="25"/>
    <x v="1"/>
    <n v="1"/>
    <x v="0"/>
    <m/>
    <m/>
    <n v="30"/>
    <x v="1"/>
    <s v="26/04/2023"/>
    <d v="2023-04-26T00:00:00"/>
    <s v="2023020-96"/>
    <x v="4"/>
  </r>
  <r>
    <x v="318"/>
    <n v="2023020"/>
    <x v="20"/>
    <s v="Fababean"/>
    <m/>
    <x v="11"/>
    <s v="N"/>
    <x v="2"/>
    <n v="97"/>
    <n v="49"/>
    <x v="2"/>
    <m/>
    <m/>
    <m/>
    <n v="5"/>
    <m/>
    <m/>
    <m/>
    <m/>
    <m/>
    <n v="6"/>
    <n v="18"/>
    <x v="4"/>
    <n v="9"/>
    <m/>
    <m/>
    <x v="0"/>
    <n v="3"/>
    <x v="0"/>
    <m/>
    <m/>
    <n v="30"/>
    <x v="2"/>
    <s v="31/05/2023"/>
    <d v="2023-05-31T00:00:00"/>
    <s v="2023020-97"/>
    <x v="4"/>
  </r>
  <r>
    <x v="318"/>
    <n v="2023020"/>
    <x v="20"/>
    <s v="Fababean"/>
    <m/>
    <x v="11"/>
    <s v="N"/>
    <x v="1"/>
    <n v="98"/>
    <n v="49"/>
    <x v="2"/>
    <m/>
    <m/>
    <m/>
    <n v="5"/>
    <m/>
    <m/>
    <m/>
    <m/>
    <m/>
    <n v="6"/>
    <n v="19"/>
    <x v="4"/>
    <n v="10"/>
    <m/>
    <n v="37"/>
    <x v="0"/>
    <n v="3"/>
    <x v="0"/>
    <m/>
    <m/>
    <n v="30"/>
    <x v="2"/>
    <s v="31/05/2023"/>
    <d v="2023-05-31T00:00:00"/>
    <s v="2023020-98"/>
    <x v="4"/>
  </r>
  <r>
    <x v="316"/>
    <n v="2023020"/>
    <x v="20"/>
    <s v="Fababean"/>
    <m/>
    <x v="10"/>
    <s v="Y"/>
    <x v="2"/>
    <n v="99"/>
    <n v="50"/>
    <x v="2"/>
    <m/>
    <m/>
    <m/>
    <n v="5"/>
    <m/>
    <m/>
    <m/>
    <m/>
    <m/>
    <n v="7"/>
    <n v="18"/>
    <x v="5"/>
    <n v="9"/>
    <m/>
    <m/>
    <x v="0"/>
    <n v="4"/>
    <x v="0"/>
    <m/>
    <m/>
    <n v="30"/>
    <x v="2"/>
    <s v="31/05/2023"/>
    <d v="2023-05-31T00:00:00"/>
    <s v="2023020-99"/>
    <x v="4"/>
  </r>
  <r>
    <x v="316"/>
    <n v="2023020"/>
    <x v="20"/>
    <s v="Fababean"/>
    <m/>
    <x v="10"/>
    <s v="Y"/>
    <x v="1"/>
    <n v="100"/>
    <n v="50"/>
    <x v="2"/>
    <m/>
    <m/>
    <m/>
    <n v="5"/>
    <m/>
    <m/>
    <m/>
    <m/>
    <m/>
    <n v="7"/>
    <n v="19"/>
    <x v="5"/>
    <n v="10"/>
    <m/>
    <n v="38"/>
    <x v="0"/>
    <n v="4"/>
    <x v="0"/>
    <m/>
    <m/>
    <n v="30"/>
    <x v="2"/>
    <s v="31/05/2023"/>
    <d v="2023-05-31T00:00:00"/>
    <s v="2023020-100"/>
    <x v="4"/>
  </r>
  <r>
    <x v="317"/>
    <n v="2023020"/>
    <x v="20"/>
    <s v="Fababean"/>
    <m/>
    <x v="12"/>
    <s v="N"/>
    <x v="2"/>
    <n v="101"/>
    <n v="51"/>
    <x v="3"/>
    <m/>
    <m/>
    <m/>
    <n v="5"/>
    <m/>
    <m/>
    <m/>
    <m/>
    <m/>
    <n v="8"/>
    <n v="18"/>
    <x v="6"/>
    <n v="9"/>
    <m/>
    <m/>
    <x v="0"/>
    <n v="1"/>
    <x v="0"/>
    <m/>
    <m/>
    <n v="30"/>
    <x v="2"/>
    <s v="31/05/2023"/>
    <d v="2023-05-31T00:00:00"/>
    <s v="2023020-101"/>
    <x v="4"/>
  </r>
  <r>
    <x v="317"/>
    <n v="2023020"/>
    <x v="20"/>
    <s v="Fababean"/>
    <m/>
    <x v="12"/>
    <s v="N"/>
    <x v="1"/>
    <n v="102"/>
    <n v="51"/>
    <x v="3"/>
    <m/>
    <m/>
    <m/>
    <n v="5"/>
    <m/>
    <m/>
    <m/>
    <m/>
    <m/>
    <n v="8"/>
    <n v="19"/>
    <x v="6"/>
    <n v="10"/>
    <m/>
    <n v="39"/>
    <x v="0"/>
    <n v="1"/>
    <x v="0"/>
    <m/>
    <m/>
    <n v="30"/>
    <x v="2"/>
    <s v="31/05/2023"/>
    <d v="2023-05-31T00:00:00"/>
    <s v="2023020-102"/>
    <x v="4"/>
  </r>
  <r>
    <x v="319"/>
    <n v="2023020"/>
    <x v="20"/>
    <s v="Fababean"/>
    <m/>
    <x v="13"/>
    <s v="Y"/>
    <x v="2"/>
    <n v="103"/>
    <n v="52"/>
    <x v="3"/>
    <m/>
    <m/>
    <m/>
    <n v="5"/>
    <m/>
    <m/>
    <m/>
    <m/>
    <m/>
    <n v="9"/>
    <n v="18"/>
    <x v="7"/>
    <n v="9"/>
    <m/>
    <m/>
    <x v="0"/>
    <n v="2"/>
    <x v="0"/>
    <m/>
    <m/>
    <n v="30"/>
    <x v="2"/>
    <s v="31/05/2023"/>
    <d v="2023-05-31T00:00:00"/>
    <s v="2023020-103"/>
    <x v="4"/>
  </r>
  <r>
    <x v="319"/>
    <n v="2023020"/>
    <x v="20"/>
    <s v="Fababean"/>
    <m/>
    <x v="13"/>
    <s v="Y"/>
    <x v="1"/>
    <n v="104"/>
    <n v="52"/>
    <x v="3"/>
    <m/>
    <m/>
    <m/>
    <n v="5"/>
    <m/>
    <m/>
    <m/>
    <m/>
    <m/>
    <n v="9"/>
    <n v="19"/>
    <x v="7"/>
    <n v="10"/>
    <m/>
    <n v="40"/>
    <x v="0"/>
    <n v="2"/>
    <x v="0"/>
    <m/>
    <m/>
    <n v="30"/>
    <x v="2"/>
    <s v="31/05/2023"/>
    <d v="2023-05-31T00:00:00"/>
    <s v="2023020-104"/>
    <x v="4"/>
  </r>
  <r>
    <x v="314"/>
    <n v="2023020"/>
    <x v="20"/>
    <s v="Fababean"/>
    <m/>
    <x v="12"/>
    <s v="N"/>
    <x v="2"/>
    <n v="105"/>
    <n v="53"/>
    <x v="2"/>
    <m/>
    <m/>
    <m/>
    <n v="6"/>
    <m/>
    <m/>
    <m/>
    <m/>
    <m/>
    <n v="6"/>
    <n v="22"/>
    <x v="4"/>
    <n v="11"/>
    <m/>
    <m/>
    <x v="0"/>
    <n v="1"/>
    <x v="0"/>
    <m/>
    <m/>
    <n v="30"/>
    <x v="1"/>
    <s v="26/04/2023"/>
    <d v="2023-04-26T00:00:00"/>
    <s v="2023020-105"/>
    <x v="4"/>
  </r>
  <r>
    <x v="314"/>
    <n v="2023020"/>
    <x v="20"/>
    <s v="Fababean"/>
    <m/>
    <x v="12"/>
    <s v="N"/>
    <x v="1"/>
    <n v="106"/>
    <n v="53"/>
    <x v="2"/>
    <m/>
    <m/>
    <m/>
    <n v="6"/>
    <m/>
    <m/>
    <m/>
    <m/>
    <m/>
    <n v="6"/>
    <n v="23"/>
    <x v="4"/>
    <n v="12"/>
    <m/>
    <n v="44"/>
    <x v="0"/>
    <n v="1"/>
    <x v="0"/>
    <m/>
    <m/>
    <n v="30"/>
    <x v="1"/>
    <s v="26/04/2023"/>
    <d v="2023-04-26T00:00:00"/>
    <s v="2023020-106"/>
    <x v="4"/>
  </r>
  <r>
    <x v="313"/>
    <n v="2023020"/>
    <x v="20"/>
    <s v="Fababean"/>
    <m/>
    <x v="11"/>
    <s v="N"/>
    <x v="2"/>
    <n v="107"/>
    <n v="54"/>
    <x v="2"/>
    <m/>
    <m/>
    <m/>
    <n v="6"/>
    <m/>
    <m/>
    <m/>
    <m/>
    <m/>
    <n v="7"/>
    <n v="22"/>
    <x v="5"/>
    <n v="11"/>
    <m/>
    <m/>
    <x v="0"/>
    <n v="3"/>
    <x v="0"/>
    <m/>
    <m/>
    <n v="30"/>
    <x v="1"/>
    <s v="26/04/2023"/>
    <d v="2023-04-26T00:00:00"/>
    <s v="2023020-107"/>
    <x v="4"/>
  </r>
  <r>
    <x v="313"/>
    <n v="2023020"/>
    <x v="20"/>
    <s v="Fababean"/>
    <m/>
    <x v="11"/>
    <s v="N"/>
    <x v="1"/>
    <n v="108"/>
    <n v="54"/>
    <x v="2"/>
    <m/>
    <m/>
    <m/>
    <n v="6"/>
    <m/>
    <m/>
    <m/>
    <m/>
    <m/>
    <n v="7"/>
    <n v="23"/>
    <x v="5"/>
    <n v="12"/>
    <m/>
    <n v="43"/>
    <x v="0"/>
    <n v="3"/>
    <x v="0"/>
    <m/>
    <m/>
    <n v="30"/>
    <x v="1"/>
    <s v="26/04/2023"/>
    <d v="2023-04-26T00:00:00"/>
    <s v="2023020-108"/>
    <x v="4"/>
  </r>
  <r>
    <x v="312"/>
    <n v="2023020"/>
    <x v="20"/>
    <s v="Fababean"/>
    <m/>
    <x v="13"/>
    <s v="Y"/>
    <x v="2"/>
    <n v="109"/>
    <n v="55"/>
    <x v="3"/>
    <m/>
    <m/>
    <m/>
    <n v="6"/>
    <m/>
    <m/>
    <m/>
    <m/>
    <m/>
    <n v="8"/>
    <n v="22"/>
    <x v="6"/>
    <n v="11"/>
    <m/>
    <m/>
    <x v="0"/>
    <n v="2"/>
    <x v="0"/>
    <m/>
    <m/>
    <n v="30"/>
    <x v="1"/>
    <s v="26/04/2023"/>
    <d v="2023-04-26T00:00:00"/>
    <s v="2023020-109"/>
    <x v="4"/>
  </r>
  <r>
    <x v="312"/>
    <n v="2023020"/>
    <x v="20"/>
    <s v="Fababean"/>
    <m/>
    <x v="13"/>
    <s v="Y"/>
    <x v="1"/>
    <n v="110"/>
    <n v="55"/>
    <x v="3"/>
    <m/>
    <m/>
    <m/>
    <n v="6"/>
    <m/>
    <m/>
    <m/>
    <m/>
    <m/>
    <n v="8"/>
    <n v="23"/>
    <x v="6"/>
    <n v="12"/>
    <m/>
    <n v="42"/>
    <x v="0"/>
    <n v="2"/>
    <x v="0"/>
    <m/>
    <m/>
    <n v="30"/>
    <x v="1"/>
    <s v="26/04/2023"/>
    <d v="2023-04-26T00:00:00"/>
    <s v="2023020-110"/>
    <x v="4"/>
  </r>
  <r>
    <x v="315"/>
    <n v="2023020"/>
    <x v="20"/>
    <s v="Fababean"/>
    <m/>
    <x v="10"/>
    <s v="Y"/>
    <x v="2"/>
    <n v="111"/>
    <n v="56"/>
    <x v="3"/>
    <m/>
    <m/>
    <m/>
    <n v="6"/>
    <m/>
    <m/>
    <m/>
    <m/>
    <m/>
    <n v="9"/>
    <n v="22"/>
    <x v="7"/>
    <n v="11"/>
    <m/>
    <m/>
    <x v="0"/>
    <n v="4"/>
    <x v="0"/>
    <m/>
    <m/>
    <n v="30"/>
    <x v="1"/>
    <s v="26/04/2023"/>
    <d v="2023-04-26T00:00:00"/>
    <s v="2023020-111"/>
    <x v="4"/>
  </r>
  <r>
    <x v="315"/>
    <n v="2023020"/>
    <x v="20"/>
    <s v="Fababean"/>
    <m/>
    <x v="10"/>
    <s v="Y"/>
    <x v="1"/>
    <n v="112"/>
    <n v="56"/>
    <x v="3"/>
    <m/>
    <m/>
    <m/>
    <n v="6"/>
    <m/>
    <m/>
    <m/>
    <m/>
    <m/>
    <n v="9"/>
    <n v="23"/>
    <x v="7"/>
    <n v="12"/>
    <m/>
    <n v="41"/>
    <x v="0"/>
    <n v="4"/>
    <x v="0"/>
    <m/>
    <m/>
    <n v="30"/>
    <x v="1"/>
    <s v="26/04/2023"/>
    <d v="2023-04-26T00:00:00"/>
    <s v="2023020-112"/>
    <x v="4"/>
  </r>
  <r>
    <x v="312"/>
    <n v="2023020"/>
    <x v="20"/>
    <s v="Fababean"/>
    <m/>
    <x v="13"/>
    <s v="Y"/>
    <x v="2"/>
    <n v="113"/>
    <n v="57"/>
    <x v="2"/>
    <m/>
    <m/>
    <m/>
    <n v="7"/>
    <m/>
    <m/>
    <m/>
    <m/>
    <m/>
    <n v="6"/>
    <n v="26"/>
    <x v="4"/>
    <n v="13"/>
    <m/>
    <m/>
    <x v="0"/>
    <n v="2"/>
    <x v="0"/>
    <m/>
    <m/>
    <n v="30"/>
    <x v="1"/>
    <s v="26/04/2023"/>
    <d v="2023-04-26T00:00:00"/>
    <s v="2023020-113"/>
    <x v="4"/>
  </r>
  <r>
    <x v="312"/>
    <n v="2023020"/>
    <x v="20"/>
    <s v="Fababean"/>
    <m/>
    <x v="13"/>
    <s v="Y"/>
    <x v="1"/>
    <n v="114"/>
    <n v="57"/>
    <x v="2"/>
    <m/>
    <m/>
    <m/>
    <n v="7"/>
    <m/>
    <m/>
    <m/>
    <m/>
    <m/>
    <n v="6"/>
    <n v="27"/>
    <x v="4"/>
    <n v="14"/>
    <m/>
    <n v="53"/>
    <x v="0"/>
    <n v="2"/>
    <x v="0"/>
    <m/>
    <m/>
    <n v="30"/>
    <x v="1"/>
    <s v="26/04/2023"/>
    <d v="2023-04-26T00:00:00"/>
    <s v="2023020-114"/>
    <x v="4"/>
  </r>
  <r>
    <x v="314"/>
    <n v="2023020"/>
    <x v="20"/>
    <s v="Fababean"/>
    <m/>
    <x v="12"/>
    <s v="N"/>
    <x v="2"/>
    <n v="115"/>
    <n v="58"/>
    <x v="2"/>
    <m/>
    <m/>
    <m/>
    <n v="7"/>
    <m/>
    <m/>
    <m/>
    <m/>
    <m/>
    <n v="7"/>
    <n v="26"/>
    <x v="5"/>
    <n v="13"/>
    <m/>
    <m/>
    <x v="0"/>
    <n v="1"/>
    <x v="0"/>
    <m/>
    <m/>
    <n v="30"/>
    <x v="1"/>
    <s v="26/04/2023"/>
    <d v="2023-04-26T00:00:00"/>
    <s v="2023020-115"/>
    <x v="4"/>
  </r>
  <r>
    <x v="314"/>
    <n v="2023020"/>
    <x v="20"/>
    <s v="Fababean"/>
    <m/>
    <x v="12"/>
    <s v="N"/>
    <x v="1"/>
    <n v="116"/>
    <n v="58"/>
    <x v="2"/>
    <m/>
    <m/>
    <m/>
    <n v="7"/>
    <m/>
    <m/>
    <m/>
    <m/>
    <m/>
    <n v="7"/>
    <n v="27"/>
    <x v="5"/>
    <n v="14"/>
    <m/>
    <n v="54"/>
    <x v="0"/>
    <n v="1"/>
    <x v="0"/>
    <m/>
    <m/>
    <n v="30"/>
    <x v="1"/>
    <s v="26/04/2023"/>
    <d v="2023-04-26T00:00:00"/>
    <s v="2023020-116"/>
    <x v="4"/>
  </r>
  <r>
    <x v="315"/>
    <n v="2023020"/>
    <x v="20"/>
    <s v="Fababean"/>
    <m/>
    <x v="10"/>
    <s v="Y"/>
    <x v="2"/>
    <n v="117"/>
    <n v="59"/>
    <x v="3"/>
    <m/>
    <m/>
    <m/>
    <n v="7"/>
    <m/>
    <m/>
    <m/>
    <m/>
    <m/>
    <n v="8"/>
    <n v="26"/>
    <x v="6"/>
    <n v="13"/>
    <m/>
    <m/>
    <x v="0"/>
    <n v="4"/>
    <x v="0"/>
    <m/>
    <m/>
    <n v="30"/>
    <x v="1"/>
    <s v="26/04/2023"/>
    <d v="2023-04-26T00:00:00"/>
    <s v="2023020-117"/>
    <x v="4"/>
  </r>
  <r>
    <x v="315"/>
    <n v="2023020"/>
    <x v="20"/>
    <s v="Fababean"/>
    <m/>
    <x v="10"/>
    <s v="Y"/>
    <x v="1"/>
    <n v="118"/>
    <n v="59"/>
    <x v="3"/>
    <m/>
    <m/>
    <m/>
    <n v="7"/>
    <m/>
    <m/>
    <m/>
    <m/>
    <m/>
    <n v="8"/>
    <n v="27"/>
    <x v="6"/>
    <n v="14"/>
    <m/>
    <n v="55"/>
    <x v="0"/>
    <n v="4"/>
    <x v="0"/>
    <m/>
    <m/>
    <n v="30"/>
    <x v="1"/>
    <s v="26/04/2023"/>
    <d v="2023-04-26T00:00:00"/>
    <s v="2023020-118"/>
    <x v="4"/>
  </r>
  <r>
    <x v="313"/>
    <n v="2023020"/>
    <x v="20"/>
    <s v="Fababean"/>
    <m/>
    <x v="11"/>
    <s v="N"/>
    <x v="2"/>
    <n v="119"/>
    <n v="60"/>
    <x v="3"/>
    <m/>
    <m/>
    <m/>
    <n v="7"/>
    <m/>
    <m/>
    <m/>
    <m/>
    <m/>
    <n v="9"/>
    <n v="26"/>
    <x v="7"/>
    <n v="13"/>
    <m/>
    <m/>
    <x v="0"/>
    <n v="3"/>
    <x v="0"/>
    <m/>
    <m/>
    <n v="30"/>
    <x v="1"/>
    <s v="26/04/2023"/>
    <d v="2023-04-26T00:00:00"/>
    <s v="2023020-119"/>
    <x v="4"/>
  </r>
  <r>
    <x v="313"/>
    <n v="2023020"/>
    <x v="20"/>
    <s v="Fababean"/>
    <m/>
    <x v="11"/>
    <s v="N"/>
    <x v="1"/>
    <n v="120"/>
    <n v="60"/>
    <x v="3"/>
    <m/>
    <m/>
    <m/>
    <n v="7"/>
    <m/>
    <m/>
    <m/>
    <m/>
    <m/>
    <n v="9"/>
    <n v="27"/>
    <x v="7"/>
    <n v="14"/>
    <m/>
    <n v="56"/>
    <x v="0"/>
    <n v="3"/>
    <x v="0"/>
    <m/>
    <m/>
    <n v="30"/>
    <x v="1"/>
    <s v="26/04/2023"/>
    <d v="2023-04-26T00:00:00"/>
    <s v="2023020-120"/>
    <x v="4"/>
  </r>
  <r>
    <x v="316"/>
    <n v="2023020"/>
    <x v="20"/>
    <s v="Fababean"/>
    <m/>
    <x v="10"/>
    <s v="Y"/>
    <x v="2"/>
    <n v="121"/>
    <n v="61"/>
    <x v="2"/>
    <m/>
    <m/>
    <m/>
    <n v="8"/>
    <m/>
    <m/>
    <m/>
    <m/>
    <m/>
    <n v="6"/>
    <n v="30"/>
    <x v="4"/>
    <n v="15"/>
    <m/>
    <m/>
    <x v="0"/>
    <n v="4"/>
    <x v="0"/>
    <m/>
    <m/>
    <n v="30"/>
    <x v="2"/>
    <s v="31/05/2023"/>
    <d v="2023-05-31T00:00:00"/>
    <s v="2023020-121"/>
    <x v="4"/>
  </r>
  <r>
    <x v="316"/>
    <n v="2023020"/>
    <x v="20"/>
    <s v="Fababean"/>
    <m/>
    <x v="10"/>
    <s v="Y"/>
    <x v="1"/>
    <n v="122"/>
    <n v="61"/>
    <x v="2"/>
    <m/>
    <m/>
    <m/>
    <n v="8"/>
    <m/>
    <m/>
    <m/>
    <m/>
    <m/>
    <n v="6"/>
    <n v="31"/>
    <x v="4"/>
    <n v="16"/>
    <m/>
    <n v="60"/>
    <x v="0"/>
    <n v="4"/>
    <x v="0"/>
    <m/>
    <m/>
    <n v="30"/>
    <x v="2"/>
    <s v="31/05/2023"/>
    <d v="2023-05-31T00:00:00"/>
    <s v="2023020-122"/>
    <x v="4"/>
  </r>
  <r>
    <x v="319"/>
    <n v="2023020"/>
    <x v="20"/>
    <s v="Fababean"/>
    <m/>
    <x v="13"/>
    <s v="Y"/>
    <x v="2"/>
    <n v="123"/>
    <n v="62"/>
    <x v="2"/>
    <m/>
    <m/>
    <m/>
    <n v="8"/>
    <m/>
    <m/>
    <m/>
    <m/>
    <m/>
    <n v="7"/>
    <n v="30"/>
    <x v="5"/>
    <n v="15"/>
    <m/>
    <m/>
    <x v="0"/>
    <n v="2"/>
    <x v="0"/>
    <m/>
    <m/>
    <n v="30"/>
    <x v="2"/>
    <s v="31/05/2023"/>
    <d v="2023-05-31T00:00:00"/>
    <s v="2023020-123"/>
    <x v="4"/>
  </r>
  <r>
    <x v="319"/>
    <n v="2023020"/>
    <x v="20"/>
    <s v="Fababean"/>
    <m/>
    <x v="13"/>
    <s v="Y"/>
    <x v="1"/>
    <n v="124"/>
    <n v="62"/>
    <x v="2"/>
    <m/>
    <m/>
    <m/>
    <n v="8"/>
    <m/>
    <m/>
    <m/>
    <m/>
    <m/>
    <n v="7"/>
    <n v="31"/>
    <x v="5"/>
    <n v="16"/>
    <m/>
    <n v="59"/>
    <x v="0"/>
    <n v="2"/>
    <x v="0"/>
    <m/>
    <m/>
    <n v="30"/>
    <x v="2"/>
    <s v="31/05/2023"/>
    <d v="2023-05-31T00:00:00"/>
    <s v="2023020-124"/>
    <x v="4"/>
  </r>
  <r>
    <x v="318"/>
    <n v="2023020"/>
    <x v="20"/>
    <s v="Fababean"/>
    <m/>
    <x v="11"/>
    <s v="N"/>
    <x v="2"/>
    <n v="125"/>
    <n v="63"/>
    <x v="3"/>
    <m/>
    <m/>
    <m/>
    <n v="8"/>
    <m/>
    <m/>
    <m/>
    <m/>
    <m/>
    <n v="8"/>
    <n v="30"/>
    <x v="6"/>
    <n v="15"/>
    <m/>
    <m/>
    <x v="0"/>
    <n v="3"/>
    <x v="0"/>
    <m/>
    <m/>
    <n v="30"/>
    <x v="2"/>
    <s v="31/05/2023"/>
    <d v="2023-05-31T00:00:00"/>
    <s v="2023020-125"/>
    <x v="4"/>
  </r>
  <r>
    <x v="318"/>
    <n v="2023020"/>
    <x v="20"/>
    <s v="Fababean"/>
    <m/>
    <x v="11"/>
    <s v="N"/>
    <x v="1"/>
    <n v="126"/>
    <n v="63"/>
    <x v="3"/>
    <m/>
    <m/>
    <m/>
    <n v="8"/>
    <m/>
    <m/>
    <m/>
    <m/>
    <m/>
    <n v="8"/>
    <n v="31"/>
    <x v="6"/>
    <n v="16"/>
    <m/>
    <n v="58"/>
    <x v="0"/>
    <n v="3"/>
    <x v="0"/>
    <m/>
    <m/>
    <n v="30"/>
    <x v="2"/>
    <s v="31/05/2023"/>
    <d v="2023-05-31T00:00:00"/>
    <s v="2023020-126"/>
    <x v="4"/>
  </r>
  <r>
    <x v="317"/>
    <n v="2023020"/>
    <x v="20"/>
    <s v="Fababean"/>
    <m/>
    <x v="12"/>
    <s v="N"/>
    <x v="2"/>
    <n v="127"/>
    <n v="64"/>
    <x v="3"/>
    <m/>
    <m/>
    <m/>
    <n v="8"/>
    <m/>
    <m/>
    <m/>
    <m/>
    <m/>
    <n v="9"/>
    <n v="30"/>
    <x v="7"/>
    <n v="15"/>
    <m/>
    <m/>
    <x v="0"/>
    <n v="1"/>
    <x v="0"/>
    <m/>
    <m/>
    <n v="30"/>
    <x v="2"/>
    <s v="31/05/2023"/>
    <d v="2023-05-31T00:00:00"/>
    <s v="2023020-127"/>
    <x v="4"/>
  </r>
  <r>
    <x v="317"/>
    <n v="2023020"/>
    <x v="20"/>
    <s v="Fababean"/>
    <m/>
    <x v="12"/>
    <s v="N"/>
    <x v="1"/>
    <n v="128"/>
    <n v="64"/>
    <x v="3"/>
    <m/>
    <m/>
    <m/>
    <n v="8"/>
    <m/>
    <m/>
    <m/>
    <m/>
    <m/>
    <n v="9"/>
    <n v="31"/>
    <x v="7"/>
    <n v="16"/>
    <m/>
    <n v="57"/>
    <x v="0"/>
    <n v="1"/>
    <x v="0"/>
    <m/>
    <m/>
    <n v="30"/>
    <x v="2"/>
    <s v="31/05/2023"/>
    <d v="2023-05-31T00:00:00"/>
    <s v="2023020-128"/>
    <x v="4"/>
  </r>
  <r>
    <x v="320"/>
    <n v="2023021"/>
    <x v="21"/>
    <s v="Lupin"/>
    <m/>
    <x v="25"/>
    <s v="N"/>
    <x v="2"/>
    <n v="1"/>
    <n v="1"/>
    <x v="0"/>
    <m/>
    <m/>
    <m/>
    <n v="1"/>
    <m/>
    <m/>
    <m/>
    <m/>
    <m/>
    <n v="1"/>
    <n v="2"/>
    <x v="0"/>
    <n v="1"/>
    <m/>
    <m/>
    <x v="1"/>
    <n v="4"/>
    <x v="0"/>
    <m/>
    <m/>
    <n v="30"/>
    <x v="2"/>
    <s v="31/05/2023"/>
    <d v="2023-05-31T00:00:00"/>
    <s v="2023021-1"/>
    <x v="5"/>
  </r>
  <r>
    <x v="320"/>
    <n v="2023021"/>
    <x v="21"/>
    <s v="Lupin"/>
    <m/>
    <x v="25"/>
    <s v="N"/>
    <x v="1"/>
    <n v="2"/>
    <n v="1"/>
    <x v="0"/>
    <m/>
    <m/>
    <m/>
    <n v="1"/>
    <m/>
    <m/>
    <m/>
    <m/>
    <m/>
    <n v="1"/>
    <n v="3"/>
    <x v="0"/>
    <n v="2"/>
    <m/>
    <n v="1"/>
    <x v="1"/>
    <n v="4"/>
    <x v="0"/>
    <m/>
    <m/>
    <n v="30"/>
    <x v="2"/>
    <s v="31/05/2023"/>
    <d v="2023-05-31T00:00:00"/>
    <s v="2023021-2"/>
    <x v="5"/>
  </r>
  <r>
    <x v="321"/>
    <n v="2023021"/>
    <x v="21"/>
    <s v="Lupin"/>
    <m/>
    <x v="26"/>
    <s v="N"/>
    <x v="2"/>
    <n v="3"/>
    <n v="2"/>
    <x v="0"/>
    <m/>
    <m/>
    <m/>
    <n v="1"/>
    <m/>
    <m/>
    <m/>
    <m/>
    <m/>
    <n v="2"/>
    <n v="2"/>
    <x v="1"/>
    <n v="1"/>
    <m/>
    <m/>
    <x v="1"/>
    <n v="2"/>
    <x v="0"/>
    <m/>
    <m/>
    <n v="30"/>
    <x v="2"/>
    <s v="31/05/2023"/>
    <d v="2023-05-31T00:00:00"/>
    <s v="2023021-3"/>
    <x v="5"/>
  </r>
  <r>
    <x v="321"/>
    <n v="2023021"/>
    <x v="21"/>
    <s v="Lupin"/>
    <m/>
    <x v="26"/>
    <s v="N"/>
    <x v="1"/>
    <n v="4"/>
    <n v="2"/>
    <x v="0"/>
    <m/>
    <m/>
    <m/>
    <n v="1"/>
    <m/>
    <m/>
    <m/>
    <m/>
    <m/>
    <n v="2"/>
    <n v="3"/>
    <x v="1"/>
    <n v="2"/>
    <m/>
    <n v="2"/>
    <x v="1"/>
    <n v="2"/>
    <x v="0"/>
    <m/>
    <m/>
    <n v="30"/>
    <x v="2"/>
    <s v="31/05/2023"/>
    <d v="2023-05-31T00:00:00"/>
    <s v="2023021-4"/>
    <x v="5"/>
  </r>
  <r>
    <x v="322"/>
    <n v="2023021"/>
    <x v="21"/>
    <s v="Lupin"/>
    <m/>
    <x v="27"/>
    <s v="Y"/>
    <x v="2"/>
    <n v="5"/>
    <n v="3"/>
    <x v="1"/>
    <m/>
    <m/>
    <m/>
    <n v="1"/>
    <m/>
    <m/>
    <m/>
    <m/>
    <m/>
    <n v="3"/>
    <n v="2"/>
    <x v="2"/>
    <n v="1"/>
    <m/>
    <m/>
    <x v="1"/>
    <n v="1"/>
    <x v="0"/>
    <m/>
    <m/>
    <n v="30"/>
    <x v="2"/>
    <s v="31/05/2023"/>
    <d v="2023-05-31T00:00:00"/>
    <s v="2023021-5"/>
    <x v="5"/>
  </r>
  <r>
    <x v="322"/>
    <n v="2023021"/>
    <x v="21"/>
    <s v="Lupin"/>
    <m/>
    <x v="27"/>
    <s v="Y"/>
    <x v="1"/>
    <n v="6"/>
    <n v="3"/>
    <x v="1"/>
    <m/>
    <m/>
    <m/>
    <n v="1"/>
    <m/>
    <m/>
    <m/>
    <m/>
    <m/>
    <n v="3"/>
    <n v="3"/>
    <x v="2"/>
    <n v="2"/>
    <m/>
    <n v="3"/>
    <x v="1"/>
    <n v="1"/>
    <x v="0"/>
    <m/>
    <m/>
    <n v="30"/>
    <x v="2"/>
    <s v="31/05/2023"/>
    <d v="2023-05-31T00:00:00"/>
    <s v="2023021-6"/>
    <x v="5"/>
  </r>
  <r>
    <x v="323"/>
    <n v="2023021"/>
    <x v="21"/>
    <s v="Lupin"/>
    <m/>
    <x v="28"/>
    <s v="N"/>
    <x v="2"/>
    <n v="7"/>
    <n v="4"/>
    <x v="1"/>
    <m/>
    <m/>
    <m/>
    <n v="1"/>
    <m/>
    <m/>
    <m/>
    <m/>
    <m/>
    <n v="4"/>
    <n v="2"/>
    <x v="3"/>
    <n v="1"/>
    <m/>
    <m/>
    <x v="1"/>
    <n v="3"/>
    <x v="0"/>
    <m/>
    <m/>
    <n v="30"/>
    <x v="2"/>
    <s v="31/05/2023"/>
    <d v="2023-05-31T00:00:00"/>
    <s v="2023021-7"/>
    <x v="5"/>
  </r>
  <r>
    <x v="323"/>
    <n v="2023021"/>
    <x v="21"/>
    <s v="Lupin"/>
    <m/>
    <x v="28"/>
    <s v="N"/>
    <x v="1"/>
    <n v="8"/>
    <n v="4"/>
    <x v="1"/>
    <m/>
    <m/>
    <m/>
    <n v="1"/>
    <m/>
    <m/>
    <m/>
    <m/>
    <m/>
    <n v="4"/>
    <n v="3"/>
    <x v="3"/>
    <n v="2"/>
    <m/>
    <n v="4"/>
    <x v="1"/>
    <n v="3"/>
    <x v="0"/>
    <m/>
    <m/>
    <n v="30"/>
    <x v="2"/>
    <s v="31/05/2023"/>
    <d v="2023-05-31T00:00:00"/>
    <s v="2023021-8"/>
    <x v="5"/>
  </r>
  <r>
    <x v="324"/>
    <n v="2023021"/>
    <x v="21"/>
    <s v="Lupin"/>
    <m/>
    <x v="27"/>
    <s v="Y"/>
    <x v="2"/>
    <n v="9"/>
    <n v="5"/>
    <x v="0"/>
    <m/>
    <m/>
    <m/>
    <n v="2"/>
    <m/>
    <m/>
    <m/>
    <m/>
    <m/>
    <n v="1"/>
    <n v="6"/>
    <x v="0"/>
    <n v="3"/>
    <m/>
    <m/>
    <x v="1"/>
    <n v="1"/>
    <x v="0"/>
    <m/>
    <m/>
    <n v="30"/>
    <x v="1"/>
    <s v="26/04/2023"/>
    <d v="2023-04-26T00:00:00"/>
    <s v="2023021-9"/>
    <x v="5"/>
  </r>
  <r>
    <x v="324"/>
    <n v="2023021"/>
    <x v="21"/>
    <s v="Lupin"/>
    <m/>
    <x v="27"/>
    <s v="Y"/>
    <x v="1"/>
    <n v="10"/>
    <n v="5"/>
    <x v="0"/>
    <m/>
    <m/>
    <m/>
    <n v="2"/>
    <m/>
    <m/>
    <m/>
    <m/>
    <m/>
    <n v="1"/>
    <n v="7"/>
    <x v="0"/>
    <n v="4"/>
    <m/>
    <n v="16"/>
    <x v="1"/>
    <n v="1"/>
    <x v="0"/>
    <m/>
    <m/>
    <n v="30"/>
    <x v="1"/>
    <s v="26/04/2023"/>
    <d v="2023-04-26T00:00:00"/>
    <s v="2023021-10"/>
    <x v="5"/>
  </r>
  <r>
    <x v="325"/>
    <n v="2023021"/>
    <x v="21"/>
    <s v="Lupin"/>
    <m/>
    <x v="28"/>
    <s v="N"/>
    <x v="2"/>
    <n v="11"/>
    <n v="6"/>
    <x v="0"/>
    <m/>
    <m/>
    <m/>
    <n v="2"/>
    <m/>
    <m/>
    <m/>
    <m/>
    <m/>
    <n v="2"/>
    <n v="6"/>
    <x v="1"/>
    <n v="3"/>
    <m/>
    <m/>
    <x v="1"/>
    <n v="3"/>
    <x v="0"/>
    <m/>
    <m/>
    <n v="30"/>
    <x v="1"/>
    <s v="26/04/2023"/>
    <d v="2023-04-26T00:00:00"/>
    <s v="2023021-11"/>
    <x v="5"/>
  </r>
  <r>
    <x v="325"/>
    <n v="2023021"/>
    <x v="21"/>
    <s v="Lupin"/>
    <m/>
    <x v="28"/>
    <s v="N"/>
    <x v="1"/>
    <n v="12"/>
    <n v="6"/>
    <x v="0"/>
    <m/>
    <m/>
    <m/>
    <n v="2"/>
    <m/>
    <m/>
    <m/>
    <m/>
    <m/>
    <n v="2"/>
    <n v="7"/>
    <x v="1"/>
    <n v="4"/>
    <m/>
    <n v="15"/>
    <x v="1"/>
    <n v="3"/>
    <x v="0"/>
    <m/>
    <m/>
    <n v="30"/>
    <x v="1"/>
    <s v="26/04/2023"/>
    <d v="2023-04-26T00:00:00"/>
    <s v="2023021-12"/>
    <x v="5"/>
  </r>
  <r>
    <x v="326"/>
    <n v="2023021"/>
    <x v="21"/>
    <s v="Lupin"/>
    <m/>
    <x v="25"/>
    <s v="N"/>
    <x v="2"/>
    <n v="13"/>
    <n v="7"/>
    <x v="1"/>
    <m/>
    <m/>
    <m/>
    <n v="2"/>
    <m/>
    <m/>
    <m/>
    <m/>
    <m/>
    <n v="3"/>
    <n v="6"/>
    <x v="2"/>
    <n v="3"/>
    <m/>
    <m/>
    <x v="1"/>
    <n v="4"/>
    <x v="0"/>
    <m/>
    <m/>
    <n v="30"/>
    <x v="1"/>
    <s v="26/04/2023"/>
    <d v="2023-04-26T00:00:00"/>
    <s v="2023021-13"/>
    <x v="5"/>
  </r>
  <r>
    <x v="326"/>
    <n v="2023021"/>
    <x v="21"/>
    <s v="Lupin"/>
    <m/>
    <x v="25"/>
    <s v="N"/>
    <x v="1"/>
    <n v="14"/>
    <n v="7"/>
    <x v="1"/>
    <m/>
    <m/>
    <m/>
    <n v="2"/>
    <m/>
    <m/>
    <m/>
    <m/>
    <m/>
    <n v="3"/>
    <n v="7"/>
    <x v="2"/>
    <n v="4"/>
    <m/>
    <n v="14"/>
    <x v="1"/>
    <n v="4"/>
    <x v="0"/>
    <m/>
    <m/>
    <n v="30"/>
    <x v="1"/>
    <s v="26/04/2023"/>
    <d v="2023-04-26T00:00:00"/>
    <s v="2023021-14"/>
    <x v="5"/>
  </r>
  <r>
    <x v="327"/>
    <n v="2023021"/>
    <x v="21"/>
    <s v="Lupin"/>
    <m/>
    <x v="26"/>
    <s v="N"/>
    <x v="2"/>
    <n v="15"/>
    <n v="8"/>
    <x v="1"/>
    <m/>
    <m/>
    <m/>
    <n v="2"/>
    <m/>
    <m/>
    <m/>
    <m/>
    <m/>
    <n v="4"/>
    <n v="6"/>
    <x v="3"/>
    <n v="3"/>
    <m/>
    <m/>
    <x v="1"/>
    <n v="2"/>
    <x v="0"/>
    <m/>
    <m/>
    <n v="30"/>
    <x v="1"/>
    <s v="26/04/2023"/>
    <d v="2023-04-26T00:00:00"/>
    <s v="2023021-15"/>
    <x v="5"/>
  </r>
  <r>
    <x v="327"/>
    <n v="2023021"/>
    <x v="21"/>
    <s v="Lupin"/>
    <m/>
    <x v="26"/>
    <s v="N"/>
    <x v="1"/>
    <n v="16"/>
    <n v="8"/>
    <x v="1"/>
    <m/>
    <m/>
    <m/>
    <n v="2"/>
    <m/>
    <m/>
    <m/>
    <m/>
    <m/>
    <n v="4"/>
    <n v="7"/>
    <x v="3"/>
    <n v="4"/>
    <m/>
    <n v="13"/>
    <x v="1"/>
    <n v="2"/>
    <x v="0"/>
    <m/>
    <m/>
    <n v="30"/>
    <x v="1"/>
    <s v="26/04/2023"/>
    <d v="2023-04-26T00:00:00"/>
    <s v="2023021-16"/>
    <x v="5"/>
  </r>
  <r>
    <x v="327"/>
    <n v="2023021"/>
    <x v="21"/>
    <s v="Lupin"/>
    <m/>
    <x v="26"/>
    <s v="N"/>
    <x v="2"/>
    <n v="17"/>
    <n v="9"/>
    <x v="0"/>
    <m/>
    <m/>
    <m/>
    <n v="3"/>
    <m/>
    <m/>
    <m/>
    <m/>
    <m/>
    <n v="1"/>
    <n v="10"/>
    <x v="0"/>
    <n v="5"/>
    <m/>
    <m/>
    <x v="1"/>
    <n v="2"/>
    <x v="0"/>
    <m/>
    <m/>
    <n v="30"/>
    <x v="1"/>
    <s v="26/04/2023"/>
    <d v="2023-04-26T00:00:00"/>
    <s v="2023021-17"/>
    <x v="5"/>
  </r>
  <r>
    <x v="327"/>
    <n v="2023021"/>
    <x v="21"/>
    <s v="Lupin"/>
    <m/>
    <x v="26"/>
    <s v="N"/>
    <x v="1"/>
    <n v="18"/>
    <n v="9"/>
    <x v="0"/>
    <m/>
    <m/>
    <m/>
    <n v="3"/>
    <m/>
    <m/>
    <m/>
    <m/>
    <m/>
    <n v="1"/>
    <n v="11"/>
    <x v="0"/>
    <n v="6"/>
    <m/>
    <n v="17"/>
    <x v="1"/>
    <n v="2"/>
    <x v="0"/>
    <m/>
    <m/>
    <n v="30"/>
    <x v="1"/>
    <s v="26/04/2023"/>
    <d v="2023-04-26T00:00:00"/>
    <s v="2023021-18"/>
    <x v="5"/>
  </r>
  <r>
    <x v="326"/>
    <n v="2023021"/>
    <x v="21"/>
    <s v="Lupin"/>
    <m/>
    <x v="25"/>
    <s v="N"/>
    <x v="2"/>
    <n v="19"/>
    <n v="10"/>
    <x v="0"/>
    <m/>
    <m/>
    <m/>
    <n v="3"/>
    <m/>
    <m/>
    <m/>
    <m/>
    <m/>
    <n v="2"/>
    <n v="10"/>
    <x v="1"/>
    <n v="5"/>
    <m/>
    <m/>
    <x v="1"/>
    <n v="4"/>
    <x v="0"/>
    <m/>
    <m/>
    <n v="30"/>
    <x v="1"/>
    <s v="26/04/2023"/>
    <d v="2023-04-26T00:00:00"/>
    <s v="2023021-19"/>
    <x v="5"/>
  </r>
  <r>
    <x v="326"/>
    <n v="2023021"/>
    <x v="21"/>
    <s v="Lupin"/>
    <m/>
    <x v="25"/>
    <s v="N"/>
    <x v="1"/>
    <n v="20"/>
    <n v="10"/>
    <x v="0"/>
    <m/>
    <m/>
    <m/>
    <n v="3"/>
    <m/>
    <m/>
    <m/>
    <m/>
    <m/>
    <n v="2"/>
    <n v="11"/>
    <x v="1"/>
    <n v="6"/>
    <m/>
    <n v="18"/>
    <x v="1"/>
    <n v="4"/>
    <x v="0"/>
    <m/>
    <m/>
    <n v="30"/>
    <x v="1"/>
    <s v="26/04/2023"/>
    <d v="2023-04-26T00:00:00"/>
    <s v="2023021-20"/>
    <x v="5"/>
  </r>
  <r>
    <x v="325"/>
    <n v="2023021"/>
    <x v="21"/>
    <s v="Lupin"/>
    <m/>
    <x v="28"/>
    <s v="N"/>
    <x v="2"/>
    <n v="21"/>
    <n v="11"/>
    <x v="1"/>
    <m/>
    <m/>
    <m/>
    <n v="3"/>
    <m/>
    <m/>
    <m/>
    <m/>
    <m/>
    <n v="3"/>
    <n v="10"/>
    <x v="2"/>
    <n v="5"/>
    <m/>
    <m/>
    <x v="1"/>
    <n v="3"/>
    <x v="0"/>
    <m/>
    <m/>
    <n v="30"/>
    <x v="1"/>
    <s v="26/04/2023"/>
    <d v="2023-04-26T00:00:00"/>
    <s v="2023021-21"/>
    <x v="5"/>
  </r>
  <r>
    <x v="325"/>
    <n v="2023021"/>
    <x v="21"/>
    <s v="Lupin"/>
    <m/>
    <x v="28"/>
    <s v="N"/>
    <x v="1"/>
    <n v="22"/>
    <n v="11"/>
    <x v="1"/>
    <m/>
    <m/>
    <m/>
    <n v="3"/>
    <m/>
    <m/>
    <m/>
    <m/>
    <m/>
    <n v="3"/>
    <n v="11"/>
    <x v="2"/>
    <n v="6"/>
    <m/>
    <n v="19"/>
    <x v="1"/>
    <n v="3"/>
    <x v="0"/>
    <m/>
    <m/>
    <n v="30"/>
    <x v="1"/>
    <s v="26/04/2023"/>
    <d v="2023-04-26T00:00:00"/>
    <s v="2023021-22"/>
    <x v="5"/>
  </r>
  <r>
    <x v="324"/>
    <n v="2023021"/>
    <x v="21"/>
    <s v="Lupin"/>
    <m/>
    <x v="27"/>
    <s v="Y"/>
    <x v="2"/>
    <n v="23"/>
    <n v="12"/>
    <x v="1"/>
    <m/>
    <m/>
    <m/>
    <n v="3"/>
    <m/>
    <m/>
    <m/>
    <m/>
    <m/>
    <n v="4"/>
    <n v="10"/>
    <x v="3"/>
    <n v="5"/>
    <m/>
    <m/>
    <x v="1"/>
    <n v="1"/>
    <x v="0"/>
    <m/>
    <m/>
    <n v="30"/>
    <x v="1"/>
    <s v="26/04/2023"/>
    <d v="2023-04-26T00:00:00"/>
    <s v="2023021-23"/>
    <x v="5"/>
  </r>
  <r>
    <x v="324"/>
    <n v="2023021"/>
    <x v="21"/>
    <s v="Lupin"/>
    <m/>
    <x v="27"/>
    <s v="Y"/>
    <x v="1"/>
    <n v="24"/>
    <n v="12"/>
    <x v="1"/>
    <m/>
    <m/>
    <m/>
    <n v="3"/>
    <m/>
    <m/>
    <m/>
    <m/>
    <m/>
    <n v="4"/>
    <n v="11"/>
    <x v="3"/>
    <n v="6"/>
    <m/>
    <n v="20"/>
    <x v="1"/>
    <n v="1"/>
    <x v="0"/>
    <m/>
    <m/>
    <n v="30"/>
    <x v="1"/>
    <s v="26/04/2023"/>
    <d v="2023-04-26T00:00:00"/>
    <s v="2023021-24"/>
    <x v="5"/>
  </r>
  <r>
    <x v="323"/>
    <n v="2023021"/>
    <x v="21"/>
    <s v="Lupin"/>
    <m/>
    <x v="28"/>
    <s v="N"/>
    <x v="2"/>
    <n v="25"/>
    <n v="13"/>
    <x v="0"/>
    <m/>
    <m/>
    <m/>
    <n v="4"/>
    <m/>
    <m/>
    <m/>
    <m/>
    <m/>
    <n v="1"/>
    <n v="14"/>
    <x v="0"/>
    <n v="7"/>
    <m/>
    <m/>
    <x v="1"/>
    <n v="3"/>
    <x v="0"/>
    <m/>
    <m/>
    <n v="30"/>
    <x v="2"/>
    <s v="31/05/2023"/>
    <d v="2023-05-31T00:00:00"/>
    <s v="2023021-25"/>
    <x v="5"/>
  </r>
  <r>
    <x v="323"/>
    <n v="2023021"/>
    <x v="21"/>
    <s v="Lupin"/>
    <m/>
    <x v="28"/>
    <s v="N"/>
    <x v="1"/>
    <n v="26"/>
    <n v="13"/>
    <x v="0"/>
    <m/>
    <m/>
    <m/>
    <n v="4"/>
    <m/>
    <m/>
    <m/>
    <m/>
    <m/>
    <n v="1"/>
    <n v="15"/>
    <x v="0"/>
    <n v="8"/>
    <m/>
    <n v="32"/>
    <x v="1"/>
    <n v="3"/>
    <x v="0"/>
    <m/>
    <m/>
    <n v="30"/>
    <x v="2"/>
    <s v="31/05/2023"/>
    <d v="2023-05-31T00:00:00"/>
    <s v="2023021-26"/>
    <x v="5"/>
  </r>
  <r>
    <x v="322"/>
    <n v="2023021"/>
    <x v="21"/>
    <s v="Lupin"/>
    <m/>
    <x v="27"/>
    <s v="Y"/>
    <x v="2"/>
    <n v="27"/>
    <n v="14"/>
    <x v="0"/>
    <m/>
    <m/>
    <m/>
    <n v="4"/>
    <m/>
    <m/>
    <m/>
    <m/>
    <m/>
    <n v="2"/>
    <n v="14"/>
    <x v="1"/>
    <n v="7"/>
    <m/>
    <m/>
    <x v="1"/>
    <n v="1"/>
    <x v="0"/>
    <m/>
    <m/>
    <n v="30"/>
    <x v="2"/>
    <s v="31/05/2023"/>
    <d v="2023-05-31T00:00:00"/>
    <s v="2023021-27"/>
    <x v="5"/>
  </r>
  <r>
    <x v="322"/>
    <n v="2023021"/>
    <x v="21"/>
    <s v="Lupin"/>
    <m/>
    <x v="27"/>
    <s v="Y"/>
    <x v="1"/>
    <n v="28"/>
    <n v="14"/>
    <x v="0"/>
    <m/>
    <m/>
    <m/>
    <n v="4"/>
    <m/>
    <m/>
    <m/>
    <m/>
    <m/>
    <n v="2"/>
    <n v="15"/>
    <x v="1"/>
    <n v="8"/>
    <m/>
    <n v="31"/>
    <x v="1"/>
    <n v="1"/>
    <x v="0"/>
    <m/>
    <m/>
    <n v="30"/>
    <x v="2"/>
    <s v="31/05/2023"/>
    <d v="2023-05-31T00:00:00"/>
    <s v="2023021-28"/>
    <x v="5"/>
  </r>
  <r>
    <x v="321"/>
    <n v="2023021"/>
    <x v="21"/>
    <s v="Lupin"/>
    <m/>
    <x v="26"/>
    <s v="N"/>
    <x v="2"/>
    <n v="29"/>
    <n v="15"/>
    <x v="1"/>
    <m/>
    <m/>
    <m/>
    <n v="4"/>
    <m/>
    <m/>
    <m/>
    <m/>
    <m/>
    <n v="3"/>
    <n v="14"/>
    <x v="2"/>
    <n v="7"/>
    <m/>
    <m/>
    <x v="1"/>
    <n v="2"/>
    <x v="0"/>
    <m/>
    <m/>
    <n v="30"/>
    <x v="2"/>
    <s v="31/05/2023"/>
    <d v="2023-05-31T00:00:00"/>
    <s v="2023021-29"/>
    <x v="5"/>
  </r>
  <r>
    <x v="321"/>
    <n v="2023021"/>
    <x v="21"/>
    <s v="Lupin"/>
    <m/>
    <x v="26"/>
    <s v="N"/>
    <x v="1"/>
    <n v="30"/>
    <n v="15"/>
    <x v="1"/>
    <m/>
    <m/>
    <m/>
    <n v="4"/>
    <m/>
    <m/>
    <m/>
    <m/>
    <m/>
    <n v="3"/>
    <n v="15"/>
    <x v="2"/>
    <n v="8"/>
    <m/>
    <n v="30"/>
    <x v="1"/>
    <n v="2"/>
    <x v="0"/>
    <m/>
    <m/>
    <n v="30"/>
    <x v="2"/>
    <s v="31/05/2023"/>
    <d v="2023-05-31T00:00:00"/>
    <s v="2023021-30"/>
    <x v="5"/>
  </r>
  <r>
    <x v="320"/>
    <n v="2023021"/>
    <x v="21"/>
    <s v="Lupin"/>
    <m/>
    <x v="25"/>
    <s v="N"/>
    <x v="2"/>
    <n v="31"/>
    <n v="16"/>
    <x v="1"/>
    <m/>
    <m/>
    <m/>
    <n v="4"/>
    <m/>
    <m/>
    <m/>
    <m/>
    <m/>
    <n v="4"/>
    <n v="14"/>
    <x v="3"/>
    <n v="7"/>
    <m/>
    <m/>
    <x v="1"/>
    <n v="4"/>
    <x v="0"/>
    <m/>
    <m/>
    <n v="30"/>
    <x v="2"/>
    <s v="31/05/2023"/>
    <d v="2023-05-31T00:00:00"/>
    <s v="2023021-31"/>
    <x v="5"/>
  </r>
  <r>
    <x v="320"/>
    <n v="2023021"/>
    <x v="21"/>
    <s v="Lupin"/>
    <m/>
    <x v="25"/>
    <s v="N"/>
    <x v="1"/>
    <n v="32"/>
    <n v="16"/>
    <x v="1"/>
    <m/>
    <m/>
    <m/>
    <n v="4"/>
    <m/>
    <m/>
    <m/>
    <m/>
    <m/>
    <n v="4"/>
    <n v="15"/>
    <x v="3"/>
    <n v="8"/>
    <m/>
    <n v="29"/>
    <x v="1"/>
    <n v="4"/>
    <x v="0"/>
    <m/>
    <m/>
    <n v="30"/>
    <x v="2"/>
    <s v="31/05/2023"/>
    <d v="2023-05-31T00:00:00"/>
    <s v="2023021-32"/>
    <x v="5"/>
  </r>
  <r>
    <x v="328"/>
    <n v="2023021"/>
    <x v="21"/>
    <s v="Lupin"/>
    <m/>
    <x v="26"/>
    <s v="N"/>
    <x v="2"/>
    <n v="33"/>
    <n v="17"/>
    <x v="0"/>
    <m/>
    <m/>
    <m/>
    <n v="5"/>
    <m/>
    <m/>
    <m/>
    <m/>
    <m/>
    <n v="1"/>
    <n v="18"/>
    <x v="0"/>
    <n v="9"/>
    <m/>
    <m/>
    <x v="0"/>
    <n v="2"/>
    <x v="0"/>
    <m/>
    <m/>
    <n v="30"/>
    <x v="2"/>
    <s v="31/05/2023"/>
    <d v="2023-05-31T00:00:00"/>
    <s v="2023021-33"/>
    <x v="5"/>
  </r>
  <r>
    <x v="328"/>
    <n v="2023021"/>
    <x v="21"/>
    <s v="Lupin"/>
    <m/>
    <x v="26"/>
    <s v="N"/>
    <x v="1"/>
    <n v="34"/>
    <n v="17"/>
    <x v="0"/>
    <m/>
    <m/>
    <m/>
    <n v="5"/>
    <m/>
    <m/>
    <m/>
    <m/>
    <m/>
    <n v="1"/>
    <n v="19"/>
    <x v="0"/>
    <n v="10"/>
    <m/>
    <n v="33"/>
    <x v="0"/>
    <n v="2"/>
    <x v="0"/>
    <m/>
    <m/>
    <n v="30"/>
    <x v="2"/>
    <s v="31/05/2023"/>
    <d v="2023-05-31T00:00:00"/>
    <s v="2023021-34"/>
    <x v="5"/>
  </r>
  <r>
    <x v="329"/>
    <n v="2023021"/>
    <x v="21"/>
    <s v="Lupin"/>
    <m/>
    <x v="28"/>
    <s v="N"/>
    <x v="2"/>
    <n v="35"/>
    <n v="18"/>
    <x v="0"/>
    <m/>
    <m/>
    <m/>
    <n v="5"/>
    <m/>
    <m/>
    <m/>
    <m/>
    <m/>
    <n v="2"/>
    <n v="18"/>
    <x v="1"/>
    <n v="9"/>
    <m/>
    <m/>
    <x v="0"/>
    <n v="3"/>
    <x v="0"/>
    <m/>
    <m/>
    <n v="30"/>
    <x v="2"/>
    <s v="31/05/2023"/>
    <d v="2023-05-31T00:00:00"/>
    <s v="2023021-35"/>
    <x v="5"/>
  </r>
  <r>
    <x v="329"/>
    <n v="2023021"/>
    <x v="21"/>
    <s v="Lupin"/>
    <m/>
    <x v="28"/>
    <s v="N"/>
    <x v="1"/>
    <n v="36"/>
    <n v="18"/>
    <x v="0"/>
    <m/>
    <m/>
    <m/>
    <n v="5"/>
    <m/>
    <m/>
    <m/>
    <m/>
    <m/>
    <n v="2"/>
    <n v="19"/>
    <x v="1"/>
    <n v="10"/>
    <m/>
    <n v="34"/>
    <x v="0"/>
    <n v="3"/>
    <x v="0"/>
    <m/>
    <m/>
    <n v="30"/>
    <x v="2"/>
    <s v="31/05/2023"/>
    <d v="2023-05-31T00:00:00"/>
    <s v="2023021-36"/>
    <x v="5"/>
  </r>
  <r>
    <x v="330"/>
    <n v="2023021"/>
    <x v="21"/>
    <s v="Lupin"/>
    <m/>
    <x v="25"/>
    <s v="N"/>
    <x v="2"/>
    <n v="37"/>
    <n v="19"/>
    <x v="1"/>
    <m/>
    <m/>
    <m/>
    <n v="5"/>
    <m/>
    <m/>
    <m/>
    <m/>
    <m/>
    <n v="3"/>
    <n v="18"/>
    <x v="2"/>
    <n v="9"/>
    <m/>
    <m/>
    <x v="0"/>
    <n v="4"/>
    <x v="0"/>
    <m/>
    <m/>
    <n v="30"/>
    <x v="2"/>
    <s v="31/05/2023"/>
    <d v="2023-05-31T00:00:00"/>
    <s v="2023021-37"/>
    <x v="5"/>
  </r>
  <r>
    <x v="330"/>
    <n v="2023021"/>
    <x v="21"/>
    <s v="Lupin"/>
    <m/>
    <x v="25"/>
    <s v="N"/>
    <x v="1"/>
    <n v="38"/>
    <n v="19"/>
    <x v="1"/>
    <m/>
    <m/>
    <m/>
    <n v="5"/>
    <m/>
    <m/>
    <m/>
    <m/>
    <m/>
    <n v="3"/>
    <n v="19"/>
    <x v="2"/>
    <n v="10"/>
    <m/>
    <n v="35"/>
    <x v="0"/>
    <n v="4"/>
    <x v="0"/>
    <m/>
    <m/>
    <n v="30"/>
    <x v="2"/>
    <s v="31/05/2023"/>
    <d v="2023-05-31T00:00:00"/>
    <s v="2023021-38"/>
    <x v="5"/>
  </r>
  <r>
    <x v="331"/>
    <n v="2023021"/>
    <x v="21"/>
    <s v="Lupin"/>
    <m/>
    <x v="27"/>
    <s v="Y"/>
    <x v="2"/>
    <n v="39"/>
    <n v="20"/>
    <x v="1"/>
    <m/>
    <m/>
    <m/>
    <n v="5"/>
    <m/>
    <m/>
    <m/>
    <m/>
    <m/>
    <n v="4"/>
    <n v="18"/>
    <x v="3"/>
    <n v="9"/>
    <m/>
    <m/>
    <x v="0"/>
    <n v="1"/>
    <x v="0"/>
    <m/>
    <m/>
    <n v="30"/>
    <x v="2"/>
    <s v="31/05/2023"/>
    <d v="2023-05-31T00:00:00"/>
    <s v="2023021-39"/>
    <x v="5"/>
  </r>
  <r>
    <x v="331"/>
    <n v="2023021"/>
    <x v="21"/>
    <s v="Lupin"/>
    <m/>
    <x v="27"/>
    <s v="Y"/>
    <x v="1"/>
    <n v="40"/>
    <n v="20"/>
    <x v="1"/>
    <m/>
    <m/>
    <m/>
    <n v="5"/>
    <m/>
    <m/>
    <m/>
    <m/>
    <m/>
    <n v="4"/>
    <n v="19"/>
    <x v="3"/>
    <n v="10"/>
    <m/>
    <n v="36"/>
    <x v="0"/>
    <n v="1"/>
    <x v="0"/>
    <m/>
    <m/>
    <n v="30"/>
    <x v="2"/>
    <s v="31/05/2023"/>
    <d v="2023-05-31T00:00:00"/>
    <s v="2023021-40"/>
    <x v="5"/>
  </r>
  <r>
    <x v="332"/>
    <n v="2023021"/>
    <x v="21"/>
    <s v="Lupin"/>
    <m/>
    <x v="28"/>
    <s v="N"/>
    <x v="2"/>
    <n v="41"/>
    <n v="21"/>
    <x v="0"/>
    <m/>
    <m/>
    <m/>
    <n v="6"/>
    <m/>
    <m/>
    <m/>
    <m/>
    <m/>
    <n v="1"/>
    <n v="22"/>
    <x v="0"/>
    <n v="11"/>
    <m/>
    <m/>
    <x v="0"/>
    <n v="3"/>
    <x v="0"/>
    <m/>
    <m/>
    <n v="30"/>
    <x v="1"/>
    <s v="26/04/2023"/>
    <d v="2023-04-26T00:00:00"/>
    <s v="2023021-41"/>
    <x v="5"/>
  </r>
  <r>
    <x v="332"/>
    <n v="2023021"/>
    <x v="21"/>
    <s v="Lupin"/>
    <m/>
    <x v="28"/>
    <s v="N"/>
    <x v="1"/>
    <n v="42"/>
    <n v="21"/>
    <x v="0"/>
    <m/>
    <m/>
    <m/>
    <n v="6"/>
    <m/>
    <m/>
    <m/>
    <m/>
    <m/>
    <n v="1"/>
    <n v="23"/>
    <x v="0"/>
    <n v="12"/>
    <m/>
    <n v="48"/>
    <x v="0"/>
    <n v="3"/>
    <x v="0"/>
    <m/>
    <m/>
    <n v="30"/>
    <x v="1"/>
    <s v="26/04/2023"/>
    <d v="2023-04-26T00:00:00"/>
    <s v="2023021-42"/>
    <x v="5"/>
  </r>
  <r>
    <x v="333"/>
    <n v="2023021"/>
    <x v="21"/>
    <s v="Lupin"/>
    <m/>
    <x v="27"/>
    <s v="Y"/>
    <x v="2"/>
    <n v="43"/>
    <n v="22"/>
    <x v="0"/>
    <m/>
    <m/>
    <m/>
    <n v="6"/>
    <m/>
    <m/>
    <m/>
    <m/>
    <m/>
    <n v="2"/>
    <n v="22"/>
    <x v="1"/>
    <n v="11"/>
    <m/>
    <m/>
    <x v="0"/>
    <n v="1"/>
    <x v="0"/>
    <m/>
    <m/>
    <n v="30"/>
    <x v="1"/>
    <s v="26/04/2023"/>
    <d v="2023-04-26T00:00:00"/>
    <s v="2023021-43"/>
    <x v="5"/>
  </r>
  <r>
    <x v="333"/>
    <n v="2023021"/>
    <x v="21"/>
    <s v="Lupin"/>
    <m/>
    <x v="27"/>
    <s v="Y"/>
    <x v="1"/>
    <n v="44"/>
    <n v="22"/>
    <x v="0"/>
    <m/>
    <m/>
    <m/>
    <n v="6"/>
    <m/>
    <m/>
    <m/>
    <m/>
    <m/>
    <n v="2"/>
    <n v="23"/>
    <x v="1"/>
    <n v="12"/>
    <m/>
    <n v="47"/>
    <x v="0"/>
    <n v="1"/>
    <x v="0"/>
    <m/>
    <m/>
    <n v="30"/>
    <x v="1"/>
    <s v="26/04/2023"/>
    <d v="2023-04-26T00:00:00"/>
    <s v="2023021-44"/>
    <x v="5"/>
  </r>
  <r>
    <x v="334"/>
    <n v="2023021"/>
    <x v="21"/>
    <s v="Lupin"/>
    <m/>
    <x v="26"/>
    <s v="N"/>
    <x v="2"/>
    <n v="45"/>
    <n v="23"/>
    <x v="1"/>
    <m/>
    <m/>
    <m/>
    <n v="6"/>
    <m/>
    <m/>
    <m/>
    <m/>
    <m/>
    <n v="3"/>
    <n v="22"/>
    <x v="2"/>
    <n v="11"/>
    <m/>
    <m/>
    <x v="0"/>
    <n v="2"/>
    <x v="0"/>
    <m/>
    <m/>
    <n v="30"/>
    <x v="1"/>
    <s v="26/04/2023"/>
    <d v="2023-04-26T00:00:00"/>
    <s v="2023021-45"/>
    <x v="5"/>
  </r>
  <r>
    <x v="334"/>
    <n v="2023021"/>
    <x v="21"/>
    <s v="Lupin"/>
    <m/>
    <x v="26"/>
    <s v="N"/>
    <x v="1"/>
    <n v="46"/>
    <n v="23"/>
    <x v="1"/>
    <m/>
    <m/>
    <m/>
    <n v="6"/>
    <m/>
    <m/>
    <m/>
    <m/>
    <m/>
    <n v="3"/>
    <n v="23"/>
    <x v="2"/>
    <n v="12"/>
    <m/>
    <n v="46"/>
    <x v="0"/>
    <n v="2"/>
    <x v="0"/>
    <m/>
    <m/>
    <n v="30"/>
    <x v="1"/>
    <s v="26/04/2023"/>
    <d v="2023-04-26T00:00:00"/>
    <s v="2023021-46"/>
    <x v="5"/>
  </r>
  <r>
    <x v="335"/>
    <n v="2023021"/>
    <x v="21"/>
    <s v="Lupin"/>
    <m/>
    <x v="25"/>
    <s v="N"/>
    <x v="2"/>
    <n v="47"/>
    <n v="24"/>
    <x v="1"/>
    <m/>
    <m/>
    <m/>
    <n v="6"/>
    <m/>
    <m/>
    <m/>
    <m/>
    <m/>
    <n v="4"/>
    <n v="22"/>
    <x v="3"/>
    <n v="11"/>
    <m/>
    <m/>
    <x v="0"/>
    <n v="4"/>
    <x v="0"/>
    <m/>
    <m/>
    <n v="30"/>
    <x v="1"/>
    <s v="26/04/2023"/>
    <d v="2023-04-26T00:00:00"/>
    <s v="2023021-47"/>
    <x v="5"/>
  </r>
  <r>
    <x v="335"/>
    <n v="2023021"/>
    <x v="21"/>
    <s v="Lupin"/>
    <m/>
    <x v="25"/>
    <s v="N"/>
    <x v="1"/>
    <n v="48"/>
    <n v="24"/>
    <x v="1"/>
    <m/>
    <m/>
    <m/>
    <n v="6"/>
    <m/>
    <m/>
    <m/>
    <m/>
    <m/>
    <n v="4"/>
    <n v="23"/>
    <x v="3"/>
    <n v="12"/>
    <m/>
    <n v="45"/>
    <x v="0"/>
    <n v="4"/>
    <x v="0"/>
    <m/>
    <m/>
    <n v="30"/>
    <x v="1"/>
    <s v="26/04/2023"/>
    <d v="2023-04-26T00:00:00"/>
    <s v="2023021-48"/>
    <x v="5"/>
  </r>
  <r>
    <x v="335"/>
    <n v="2023021"/>
    <x v="21"/>
    <s v="Lupin"/>
    <m/>
    <x v="25"/>
    <s v="N"/>
    <x v="2"/>
    <n v="49"/>
    <n v="25"/>
    <x v="0"/>
    <m/>
    <m/>
    <m/>
    <n v="7"/>
    <m/>
    <m/>
    <m/>
    <m/>
    <m/>
    <n v="1"/>
    <n v="26"/>
    <x v="0"/>
    <n v="13"/>
    <m/>
    <m/>
    <x v="0"/>
    <n v="4"/>
    <x v="0"/>
    <m/>
    <m/>
    <n v="30"/>
    <x v="1"/>
    <s v="26/04/2023"/>
    <d v="2023-04-26T00:00:00"/>
    <s v="2023021-49"/>
    <x v="5"/>
  </r>
  <r>
    <x v="335"/>
    <n v="2023021"/>
    <x v="21"/>
    <s v="Lupin"/>
    <m/>
    <x v="25"/>
    <s v="N"/>
    <x v="1"/>
    <n v="50"/>
    <n v="25"/>
    <x v="0"/>
    <m/>
    <m/>
    <m/>
    <n v="7"/>
    <m/>
    <m/>
    <m/>
    <m/>
    <m/>
    <n v="1"/>
    <n v="27"/>
    <x v="0"/>
    <n v="14"/>
    <m/>
    <n v="49"/>
    <x v="0"/>
    <n v="4"/>
    <x v="0"/>
    <m/>
    <m/>
    <n v="30"/>
    <x v="1"/>
    <s v="26/04/2023"/>
    <d v="2023-04-26T00:00:00"/>
    <s v="2023021-50"/>
    <x v="5"/>
  </r>
  <r>
    <x v="334"/>
    <n v="2023021"/>
    <x v="21"/>
    <s v="Lupin"/>
    <m/>
    <x v="26"/>
    <s v="N"/>
    <x v="2"/>
    <n v="51"/>
    <n v="26"/>
    <x v="0"/>
    <m/>
    <m/>
    <m/>
    <n v="7"/>
    <m/>
    <m/>
    <m/>
    <m/>
    <m/>
    <n v="2"/>
    <n v="26"/>
    <x v="1"/>
    <n v="13"/>
    <m/>
    <m/>
    <x v="0"/>
    <n v="2"/>
    <x v="0"/>
    <m/>
    <m/>
    <n v="30"/>
    <x v="1"/>
    <s v="26/04/2023"/>
    <d v="2023-04-26T00:00:00"/>
    <s v="2023021-51"/>
    <x v="5"/>
  </r>
  <r>
    <x v="334"/>
    <n v="2023021"/>
    <x v="21"/>
    <s v="Lupin"/>
    <m/>
    <x v="26"/>
    <s v="N"/>
    <x v="1"/>
    <n v="52"/>
    <n v="26"/>
    <x v="0"/>
    <m/>
    <m/>
    <m/>
    <n v="7"/>
    <m/>
    <m/>
    <m/>
    <m/>
    <m/>
    <n v="2"/>
    <n v="27"/>
    <x v="1"/>
    <n v="14"/>
    <m/>
    <n v="50"/>
    <x v="0"/>
    <n v="2"/>
    <x v="0"/>
    <m/>
    <m/>
    <n v="30"/>
    <x v="1"/>
    <s v="26/04/2023"/>
    <d v="2023-04-26T00:00:00"/>
    <s v="2023021-52"/>
    <x v="5"/>
  </r>
  <r>
    <x v="333"/>
    <n v="2023021"/>
    <x v="21"/>
    <s v="Lupin"/>
    <m/>
    <x v="27"/>
    <s v="Y"/>
    <x v="2"/>
    <n v="53"/>
    <n v="27"/>
    <x v="1"/>
    <m/>
    <m/>
    <m/>
    <n v="7"/>
    <m/>
    <m/>
    <m/>
    <m/>
    <m/>
    <n v="3"/>
    <n v="26"/>
    <x v="2"/>
    <n v="13"/>
    <m/>
    <m/>
    <x v="0"/>
    <n v="1"/>
    <x v="0"/>
    <m/>
    <m/>
    <n v="30"/>
    <x v="1"/>
    <s v="26/04/2023"/>
    <d v="2023-04-26T00:00:00"/>
    <s v="2023021-53"/>
    <x v="5"/>
  </r>
  <r>
    <x v="333"/>
    <n v="2023021"/>
    <x v="21"/>
    <s v="Lupin"/>
    <m/>
    <x v="27"/>
    <s v="Y"/>
    <x v="1"/>
    <n v="54"/>
    <n v="27"/>
    <x v="1"/>
    <m/>
    <m/>
    <m/>
    <n v="7"/>
    <m/>
    <m/>
    <m/>
    <m/>
    <m/>
    <n v="3"/>
    <n v="27"/>
    <x v="2"/>
    <n v="14"/>
    <m/>
    <n v="51"/>
    <x v="0"/>
    <n v="1"/>
    <x v="0"/>
    <m/>
    <m/>
    <n v="30"/>
    <x v="1"/>
    <s v="26/04/2023"/>
    <d v="2023-04-26T00:00:00"/>
    <s v="2023021-54"/>
    <x v="5"/>
  </r>
  <r>
    <x v="332"/>
    <n v="2023021"/>
    <x v="21"/>
    <s v="Lupin"/>
    <m/>
    <x v="28"/>
    <s v="N"/>
    <x v="2"/>
    <n v="55"/>
    <n v="28"/>
    <x v="1"/>
    <m/>
    <m/>
    <m/>
    <n v="7"/>
    <m/>
    <m/>
    <m/>
    <m/>
    <m/>
    <n v="4"/>
    <n v="26"/>
    <x v="3"/>
    <n v="13"/>
    <m/>
    <m/>
    <x v="0"/>
    <n v="3"/>
    <x v="0"/>
    <m/>
    <m/>
    <n v="30"/>
    <x v="1"/>
    <s v="26/04/2023"/>
    <d v="2023-04-26T00:00:00"/>
    <s v="2023021-55"/>
    <x v="5"/>
  </r>
  <r>
    <x v="332"/>
    <n v="2023021"/>
    <x v="21"/>
    <s v="Lupin"/>
    <m/>
    <x v="28"/>
    <s v="N"/>
    <x v="1"/>
    <n v="56"/>
    <n v="28"/>
    <x v="1"/>
    <m/>
    <m/>
    <m/>
    <n v="7"/>
    <m/>
    <m/>
    <m/>
    <m/>
    <m/>
    <n v="4"/>
    <n v="27"/>
    <x v="3"/>
    <n v="14"/>
    <m/>
    <n v="52"/>
    <x v="0"/>
    <n v="3"/>
    <x v="0"/>
    <m/>
    <m/>
    <n v="30"/>
    <x v="1"/>
    <s v="26/04/2023"/>
    <d v="2023-04-26T00:00:00"/>
    <s v="2023021-56"/>
    <x v="5"/>
  </r>
  <r>
    <x v="331"/>
    <n v="2023021"/>
    <x v="21"/>
    <s v="Lupin"/>
    <m/>
    <x v="27"/>
    <s v="Y"/>
    <x v="2"/>
    <n v="57"/>
    <n v="29"/>
    <x v="0"/>
    <m/>
    <m/>
    <m/>
    <n v="8"/>
    <m/>
    <m/>
    <m/>
    <m/>
    <m/>
    <n v="1"/>
    <n v="30"/>
    <x v="0"/>
    <n v="15"/>
    <m/>
    <m/>
    <x v="0"/>
    <n v="1"/>
    <x v="0"/>
    <m/>
    <m/>
    <n v="30"/>
    <x v="2"/>
    <s v="31/05/2023"/>
    <d v="2023-05-31T00:00:00"/>
    <s v="2023021-57"/>
    <x v="5"/>
  </r>
  <r>
    <x v="331"/>
    <n v="2023021"/>
    <x v="21"/>
    <s v="Lupin"/>
    <m/>
    <x v="27"/>
    <s v="Y"/>
    <x v="1"/>
    <n v="58"/>
    <n v="29"/>
    <x v="0"/>
    <m/>
    <m/>
    <m/>
    <n v="8"/>
    <m/>
    <m/>
    <m/>
    <m/>
    <m/>
    <n v="1"/>
    <n v="31"/>
    <x v="0"/>
    <n v="16"/>
    <m/>
    <n v="64"/>
    <x v="0"/>
    <n v="1"/>
    <x v="0"/>
    <m/>
    <m/>
    <n v="30"/>
    <x v="2"/>
    <s v="31/05/2023"/>
    <d v="2023-05-31T00:00:00"/>
    <s v="2023021-58"/>
    <x v="5"/>
  </r>
  <r>
    <x v="330"/>
    <n v="2023021"/>
    <x v="21"/>
    <s v="Lupin"/>
    <m/>
    <x v="25"/>
    <s v="N"/>
    <x v="2"/>
    <n v="59"/>
    <n v="30"/>
    <x v="0"/>
    <m/>
    <m/>
    <m/>
    <n v="8"/>
    <m/>
    <m/>
    <m/>
    <m/>
    <m/>
    <n v="2"/>
    <n v="30"/>
    <x v="1"/>
    <n v="15"/>
    <m/>
    <m/>
    <x v="0"/>
    <n v="4"/>
    <x v="0"/>
    <m/>
    <m/>
    <n v="30"/>
    <x v="2"/>
    <s v="31/05/2023"/>
    <d v="2023-05-31T00:00:00"/>
    <s v="2023021-59"/>
    <x v="5"/>
  </r>
  <r>
    <x v="330"/>
    <n v="2023021"/>
    <x v="21"/>
    <s v="Lupin"/>
    <m/>
    <x v="25"/>
    <s v="N"/>
    <x v="1"/>
    <n v="60"/>
    <n v="30"/>
    <x v="0"/>
    <m/>
    <m/>
    <m/>
    <n v="8"/>
    <m/>
    <m/>
    <m/>
    <m/>
    <m/>
    <n v="2"/>
    <n v="31"/>
    <x v="1"/>
    <n v="16"/>
    <m/>
    <n v="63"/>
    <x v="0"/>
    <n v="4"/>
    <x v="0"/>
    <m/>
    <m/>
    <n v="30"/>
    <x v="2"/>
    <s v="31/05/2023"/>
    <d v="2023-05-31T00:00:00"/>
    <s v="2023021-60"/>
    <x v="5"/>
  </r>
  <r>
    <x v="329"/>
    <n v="2023021"/>
    <x v="21"/>
    <s v="Lupin"/>
    <m/>
    <x v="28"/>
    <s v="N"/>
    <x v="2"/>
    <n v="61"/>
    <n v="31"/>
    <x v="1"/>
    <m/>
    <m/>
    <m/>
    <n v="8"/>
    <m/>
    <m/>
    <m/>
    <m/>
    <m/>
    <n v="3"/>
    <n v="30"/>
    <x v="2"/>
    <n v="15"/>
    <m/>
    <m/>
    <x v="0"/>
    <n v="3"/>
    <x v="0"/>
    <m/>
    <m/>
    <n v="30"/>
    <x v="2"/>
    <s v="31/05/2023"/>
    <d v="2023-05-31T00:00:00"/>
    <s v="2023021-61"/>
    <x v="5"/>
  </r>
  <r>
    <x v="329"/>
    <n v="2023021"/>
    <x v="21"/>
    <s v="Lupin"/>
    <m/>
    <x v="28"/>
    <s v="N"/>
    <x v="1"/>
    <n v="62"/>
    <n v="31"/>
    <x v="1"/>
    <m/>
    <m/>
    <m/>
    <n v="8"/>
    <m/>
    <m/>
    <m/>
    <m/>
    <m/>
    <n v="3"/>
    <n v="31"/>
    <x v="2"/>
    <n v="16"/>
    <m/>
    <n v="62"/>
    <x v="0"/>
    <n v="3"/>
    <x v="0"/>
    <m/>
    <m/>
    <n v="30"/>
    <x v="2"/>
    <s v="31/05/2023"/>
    <d v="2023-05-31T00:00:00"/>
    <s v="2023021-62"/>
    <x v="5"/>
  </r>
  <r>
    <x v="328"/>
    <n v="2023021"/>
    <x v="21"/>
    <s v="Lupin"/>
    <m/>
    <x v="26"/>
    <s v="N"/>
    <x v="2"/>
    <n v="63"/>
    <n v="32"/>
    <x v="1"/>
    <m/>
    <m/>
    <m/>
    <n v="8"/>
    <m/>
    <m/>
    <m/>
    <m/>
    <m/>
    <n v="4"/>
    <n v="30"/>
    <x v="3"/>
    <n v="15"/>
    <m/>
    <m/>
    <x v="0"/>
    <n v="2"/>
    <x v="0"/>
    <m/>
    <m/>
    <n v="30"/>
    <x v="2"/>
    <s v="31/05/2023"/>
    <d v="2023-05-31T00:00:00"/>
    <s v="2023021-63"/>
    <x v="5"/>
  </r>
  <r>
    <x v="328"/>
    <n v="2023021"/>
    <x v="21"/>
    <s v="Lupin"/>
    <m/>
    <x v="26"/>
    <s v="N"/>
    <x v="1"/>
    <n v="64"/>
    <n v="32"/>
    <x v="1"/>
    <m/>
    <m/>
    <m/>
    <n v="8"/>
    <m/>
    <m/>
    <m/>
    <m/>
    <m/>
    <n v="4"/>
    <n v="31"/>
    <x v="3"/>
    <n v="16"/>
    <m/>
    <n v="61"/>
    <x v="0"/>
    <n v="2"/>
    <x v="0"/>
    <m/>
    <m/>
    <n v="30"/>
    <x v="2"/>
    <s v="31/05/2023"/>
    <d v="2023-05-31T00:00:00"/>
    <s v="2023021-64"/>
    <x v="5"/>
  </r>
  <r>
    <x v="325"/>
    <n v="2023021"/>
    <x v="21"/>
    <s v="Lupin"/>
    <m/>
    <x v="28"/>
    <s v="N"/>
    <x v="2"/>
    <n v="65"/>
    <n v="33"/>
    <x v="2"/>
    <m/>
    <m/>
    <m/>
    <n v="1"/>
    <m/>
    <m/>
    <m/>
    <m/>
    <m/>
    <n v="6"/>
    <n v="2"/>
    <x v="4"/>
    <n v="1"/>
    <m/>
    <m/>
    <x v="1"/>
    <n v="3"/>
    <x v="0"/>
    <m/>
    <m/>
    <n v="30"/>
    <x v="1"/>
    <s v="26/04/2023"/>
    <d v="2023-04-26T00:00:00"/>
    <s v="2023021-65"/>
    <x v="5"/>
  </r>
  <r>
    <x v="325"/>
    <n v="2023021"/>
    <x v="21"/>
    <s v="Lupin"/>
    <m/>
    <x v="28"/>
    <s v="N"/>
    <x v="1"/>
    <n v="66"/>
    <n v="33"/>
    <x v="2"/>
    <m/>
    <m/>
    <m/>
    <n v="1"/>
    <m/>
    <m/>
    <m/>
    <m/>
    <m/>
    <n v="6"/>
    <n v="3"/>
    <x v="4"/>
    <n v="2"/>
    <m/>
    <n v="5"/>
    <x v="1"/>
    <n v="3"/>
    <x v="0"/>
    <m/>
    <m/>
    <n v="30"/>
    <x v="1"/>
    <s v="26/04/2023"/>
    <d v="2023-04-26T00:00:00"/>
    <s v="2023021-66"/>
    <x v="5"/>
  </r>
  <r>
    <x v="326"/>
    <n v="2023021"/>
    <x v="21"/>
    <s v="Lupin"/>
    <m/>
    <x v="25"/>
    <s v="N"/>
    <x v="2"/>
    <n v="67"/>
    <n v="34"/>
    <x v="2"/>
    <m/>
    <m/>
    <m/>
    <n v="1"/>
    <m/>
    <m/>
    <m/>
    <m/>
    <m/>
    <n v="7"/>
    <n v="2"/>
    <x v="5"/>
    <n v="1"/>
    <m/>
    <m/>
    <x v="1"/>
    <n v="4"/>
    <x v="0"/>
    <m/>
    <m/>
    <n v="30"/>
    <x v="1"/>
    <s v="26/04/2023"/>
    <d v="2023-04-26T00:00:00"/>
    <s v="2023021-67"/>
    <x v="5"/>
  </r>
  <r>
    <x v="326"/>
    <n v="2023021"/>
    <x v="21"/>
    <s v="Lupin"/>
    <m/>
    <x v="25"/>
    <s v="N"/>
    <x v="1"/>
    <n v="68"/>
    <n v="34"/>
    <x v="2"/>
    <m/>
    <m/>
    <m/>
    <n v="1"/>
    <m/>
    <m/>
    <m/>
    <m/>
    <m/>
    <n v="7"/>
    <n v="3"/>
    <x v="5"/>
    <n v="2"/>
    <m/>
    <n v="6"/>
    <x v="1"/>
    <n v="4"/>
    <x v="0"/>
    <m/>
    <m/>
    <n v="30"/>
    <x v="1"/>
    <s v="26/04/2023"/>
    <d v="2023-04-26T00:00:00"/>
    <s v="2023021-68"/>
    <x v="5"/>
  </r>
  <r>
    <x v="324"/>
    <n v="2023021"/>
    <x v="21"/>
    <s v="Lupin"/>
    <m/>
    <x v="27"/>
    <s v="Y"/>
    <x v="2"/>
    <n v="69"/>
    <n v="35"/>
    <x v="3"/>
    <m/>
    <m/>
    <m/>
    <n v="1"/>
    <m/>
    <m/>
    <m/>
    <m/>
    <m/>
    <n v="8"/>
    <n v="2"/>
    <x v="6"/>
    <n v="1"/>
    <m/>
    <m/>
    <x v="1"/>
    <n v="1"/>
    <x v="0"/>
    <m/>
    <m/>
    <n v="30"/>
    <x v="1"/>
    <s v="26/04/2023"/>
    <d v="2023-04-26T00:00:00"/>
    <s v="2023021-69"/>
    <x v="5"/>
  </r>
  <r>
    <x v="324"/>
    <n v="2023021"/>
    <x v="21"/>
    <s v="Lupin"/>
    <m/>
    <x v="27"/>
    <s v="Y"/>
    <x v="1"/>
    <n v="70"/>
    <n v="35"/>
    <x v="3"/>
    <m/>
    <m/>
    <m/>
    <n v="1"/>
    <m/>
    <m/>
    <m/>
    <m/>
    <m/>
    <n v="8"/>
    <n v="3"/>
    <x v="6"/>
    <n v="2"/>
    <m/>
    <n v="7"/>
    <x v="1"/>
    <n v="1"/>
    <x v="0"/>
    <m/>
    <m/>
    <n v="30"/>
    <x v="1"/>
    <s v="26/04/2023"/>
    <d v="2023-04-26T00:00:00"/>
    <s v="2023021-70"/>
    <x v="5"/>
  </r>
  <r>
    <x v="327"/>
    <n v="2023021"/>
    <x v="21"/>
    <s v="Lupin"/>
    <m/>
    <x v="26"/>
    <s v="N"/>
    <x v="2"/>
    <n v="71"/>
    <n v="36"/>
    <x v="3"/>
    <m/>
    <m/>
    <m/>
    <n v="1"/>
    <m/>
    <m/>
    <m/>
    <m/>
    <m/>
    <n v="9"/>
    <n v="2"/>
    <x v="7"/>
    <n v="1"/>
    <m/>
    <m/>
    <x v="1"/>
    <n v="2"/>
    <x v="0"/>
    <m/>
    <m/>
    <n v="30"/>
    <x v="1"/>
    <s v="26/04/2023"/>
    <d v="2023-04-26T00:00:00"/>
    <s v="2023021-71"/>
    <x v="5"/>
  </r>
  <r>
    <x v="327"/>
    <n v="2023021"/>
    <x v="21"/>
    <s v="Lupin"/>
    <m/>
    <x v="26"/>
    <s v="N"/>
    <x v="1"/>
    <n v="72"/>
    <n v="36"/>
    <x v="3"/>
    <m/>
    <m/>
    <m/>
    <n v="1"/>
    <m/>
    <m/>
    <m/>
    <m/>
    <m/>
    <n v="9"/>
    <n v="3"/>
    <x v="7"/>
    <n v="2"/>
    <m/>
    <n v="8"/>
    <x v="1"/>
    <n v="2"/>
    <x v="0"/>
    <m/>
    <m/>
    <n v="30"/>
    <x v="1"/>
    <s v="26/04/2023"/>
    <d v="2023-04-26T00:00:00"/>
    <s v="2023021-72"/>
    <x v="5"/>
  </r>
  <r>
    <x v="321"/>
    <n v="2023021"/>
    <x v="21"/>
    <s v="Lupin"/>
    <m/>
    <x v="26"/>
    <s v="N"/>
    <x v="2"/>
    <n v="73"/>
    <n v="37"/>
    <x v="2"/>
    <m/>
    <m/>
    <m/>
    <n v="2"/>
    <m/>
    <m/>
    <m/>
    <m/>
    <m/>
    <n v="6"/>
    <n v="6"/>
    <x v="4"/>
    <n v="3"/>
    <m/>
    <m/>
    <x v="1"/>
    <n v="2"/>
    <x v="0"/>
    <m/>
    <m/>
    <n v="30"/>
    <x v="2"/>
    <s v="31/05/2023"/>
    <d v="2023-05-31T00:00:00"/>
    <s v="2023021-73"/>
    <x v="5"/>
  </r>
  <r>
    <x v="321"/>
    <n v="2023021"/>
    <x v="21"/>
    <s v="Lupin"/>
    <m/>
    <x v="26"/>
    <s v="N"/>
    <x v="1"/>
    <n v="74"/>
    <n v="37"/>
    <x v="2"/>
    <m/>
    <m/>
    <m/>
    <n v="2"/>
    <m/>
    <m/>
    <m/>
    <m/>
    <m/>
    <n v="6"/>
    <n v="7"/>
    <x v="4"/>
    <n v="4"/>
    <m/>
    <n v="12"/>
    <x v="1"/>
    <n v="2"/>
    <x v="0"/>
    <m/>
    <m/>
    <n v="30"/>
    <x v="2"/>
    <s v="31/05/2023"/>
    <d v="2023-05-31T00:00:00"/>
    <s v="2023021-74"/>
    <x v="5"/>
  </r>
  <r>
    <x v="322"/>
    <n v="2023021"/>
    <x v="21"/>
    <s v="Lupin"/>
    <m/>
    <x v="27"/>
    <s v="Y"/>
    <x v="2"/>
    <n v="75"/>
    <n v="38"/>
    <x v="2"/>
    <m/>
    <m/>
    <m/>
    <n v="2"/>
    <m/>
    <m/>
    <m/>
    <m/>
    <m/>
    <n v="7"/>
    <n v="6"/>
    <x v="5"/>
    <n v="3"/>
    <m/>
    <m/>
    <x v="1"/>
    <n v="1"/>
    <x v="0"/>
    <m/>
    <m/>
    <n v="30"/>
    <x v="2"/>
    <s v="31/05/2023"/>
    <d v="2023-05-31T00:00:00"/>
    <s v="2023021-75"/>
    <x v="5"/>
  </r>
  <r>
    <x v="322"/>
    <n v="2023021"/>
    <x v="21"/>
    <s v="Lupin"/>
    <m/>
    <x v="27"/>
    <s v="Y"/>
    <x v="1"/>
    <n v="76"/>
    <n v="38"/>
    <x v="2"/>
    <m/>
    <m/>
    <m/>
    <n v="2"/>
    <m/>
    <m/>
    <m/>
    <m/>
    <m/>
    <n v="7"/>
    <n v="7"/>
    <x v="5"/>
    <n v="4"/>
    <m/>
    <n v="11"/>
    <x v="1"/>
    <n v="1"/>
    <x v="0"/>
    <m/>
    <m/>
    <n v="30"/>
    <x v="2"/>
    <s v="31/05/2023"/>
    <d v="2023-05-31T00:00:00"/>
    <s v="2023021-76"/>
    <x v="5"/>
  </r>
  <r>
    <x v="320"/>
    <n v="2023021"/>
    <x v="21"/>
    <s v="Lupin"/>
    <m/>
    <x v="25"/>
    <s v="N"/>
    <x v="2"/>
    <n v="77"/>
    <n v="39"/>
    <x v="3"/>
    <m/>
    <m/>
    <m/>
    <n v="2"/>
    <m/>
    <m/>
    <m/>
    <m/>
    <m/>
    <n v="8"/>
    <n v="6"/>
    <x v="6"/>
    <n v="3"/>
    <m/>
    <m/>
    <x v="1"/>
    <n v="4"/>
    <x v="0"/>
    <m/>
    <m/>
    <n v="30"/>
    <x v="2"/>
    <s v="31/05/2023"/>
    <d v="2023-05-31T00:00:00"/>
    <s v="2023021-77"/>
    <x v="5"/>
  </r>
  <r>
    <x v="320"/>
    <n v="2023021"/>
    <x v="21"/>
    <s v="Lupin"/>
    <m/>
    <x v="25"/>
    <s v="N"/>
    <x v="1"/>
    <n v="78"/>
    <n v="39"/>
    <x v="3"/>
    <m/>
    <m/>
    <m/>
    <n v="2"/>
    <m/>
    <m/>
    <m/>
    <m/>
    <m/>
    <n v="8"/>
    <n v="7"/>
    <x v="6"/>
    <n v="4"/>
    <m/>
    <n v="10"/>
    <x v="1"/>
    <n v="4"/>
    <x v="0"/>
    <m/>
    <m/>
    <n v="30"/>
    <x v="2"/>
    <s v="31/05/2023"/>
    <d v="2023-05-31T00:00:00"/>
    <s v="2023021-78"/>
    <x v="5"/>
  </r>
  <r>
    <x v="323"/>
    <n v="2023021"/>
    <x v="21"/>
    <s v="Lupin"/>
    <m/>
    <x v="28"/>
    <s v="N"/>
    <x v="2"/>
    <n v="79"/>
    <n v="40"/>
    <x v="3"/>
    <m/>
    <m/>
    <m/>
    <n v="2"/>
    <m/>
    <m/>
    <m/>
    <m/>
    <m/>
    <n v="9"/>
    <n v="6"/>
    <x v="7"/>
    <n v="3"/>
    <m/>
    <m/>
    <x v="1"/>
    <n v="3"/>
    <x v="0"/>
    <m/>
    <m/>
    <n v="30"/>
    <x v="2"/>
    <s v="31/05/2023"/>
    <d v="2023-05-31T00:00:00"/>
    <s v="2023021-79"/>
    <x v="5"/>
  </r>
  <r>
    <x v="323"/>
    <n v="2023021"/>
    <x v="21"/>
    <s v="Lupin"/>
    <m/>
    <x v="28"/>
    <s v="N"/>
    <x v="1"/>
    <n v="80"/>
    <n v="40"/>
    <x v="3"/>
    <m/>
    <m/>
    <m/>
    <n v="2"/>
    <m/>
    <m/>
    <m/>
    <m/>
    <m/>
    <n v="9"/>
    <n v="7"/>
    <x v="7"/>
    <n v="4"/>
    <m/>
    <n v="9"/>
    <x v="1"/>
    <n v="3"/>
    <x v="0"/>
    <m/>
    <m/>
    <n v="30"/>
    <x v="2"/>
    <s v="31/05/2023"/>
    <d v="2023-05-31T00:00:00"/>
    <s v="2023021-80"/>
    <x v="5"/>
  </r>
  <r>
    <x v="322"/>
    <n v="2023021"/>
    <x v="21"/>
    <s v="Lupin"/>
    <m/>
    <x v="27"/>
    <s v="Y"/>
    <x v="2"/>
    <n v="81"/>
    <n v="41"/>
    <x v="2"/>
    <m/>
    <m/>
    <m/>
    <n v="3"/>
    <m/>
    <m/>
    <m/>
    <m/>
    <m/>
    <n v="6"/>
    <n v="10"/>
    <x v="4"/>
    <n v="5"/>
    <m/>
    <m/>
    <x v="1"/>
    <n v="1"/>
    <x v="0"/>
    <m/>
    <m/>
    <n v="30"/>
    <x v="2"/>
    <s v="31/05/2023"/>
    <d v="2023-05-31T00:00:00"/>
    <s v="2023021-81"/>
    <x v="5"/>
  </r>
  <r>
    <x v="322"/>
    <n v="2023021"/>
    <x v="21"/>
    <s v="Lupin"/>
    <m/>
    <x v="27"/>
    <s v="Y"/>
    <x v="1"/>
    <n v="82"/>
    <n v="41"/>
    <x v="2"/>
    <m/>
    <m/>
    <m/>
    <n v="3"/>
    <m/>
    <m/>
    <m/>
    <m/>
    <m/>
    <n v="6"/>
    <n v="11"/>
    <x v="4"/>
    <n v="6"/>
    <m/>
    <n v="21"/>
    <x v="1"/>
    <n v="1"/>
    <x v="0"/>
    <m/>
    <m/>
    <n v="30"/>
    <x v="2"/>
    <s v="31/05/2023"/>
    <d v="2023-05-31T00:00:00"/>
    <s v="2023021-82"/>
    <x v="5"/>
  </r>
  <r>
    <x v="323"/>
    <n v="2023021"/>
    <x v="21"/>
    <s v="Lupin"/>
    <m/>
    <x v="28"/>
    <s v="N"/>
    <x v="2"/>
    <n v="83"/>
    <n v="42"/>
    <x v="2"/>
    <m/>
    <m/>
    <m/>
    <n v="3"/>
    <m/>
    <m/>
    <m/>
    <m/>
    <m/>
    <n v="7"/>
    <n v="10"/>
    <x v="5"/>
    <n v="5"/>
    <m/>
    <m/>
    <x v="1"/>
    <n v="3"/>
    <x v="0"/>
    <m/>
    <m/>
    <n v="30"/>
    <x v="2"/>
    <s v="31/05/2023"/>
    <d v="2023-05-31T00:00:00"/>
    <s v="2023021-83"/>
    <x v="5"/>
  </r>
  <r>
    <x v="323"/>
    <n v="2023021"/>
    <x v="21"/>
    <s v="Lupin"/>
    <m/>
    <x v="28"/>
    <s v="N"/>
    <x v="1"/>
    <n v="84"/>
    <n v="42"/>
    <x v="2"/>
    <m/>
    <m/>
    <m/>
    <n v="3"/>
    <m/>
    <m/>
    <m/>
    <m/>
    <m/>
    <n v="7"/>
    <n v="11"/>
    <x v="5"/>
    <n v="6"/>
    <m/>
    <n v="22"/>
    <x v="1"/>
    <n v="3"/>
    <x v="0"/>
    <m/>
    <m/>
    <n v="30"/>
    <x v="2"/>
    <s v="31/05/2023"/>
    <d v="2023-05-31T00:00:00"/>
    <s v="2023021-84"/>
    <x v="5"/>
  </r>
  <r>
    <x v="321"/>
    <n v="2023021"/>
    <x v="21"/>
    <s v="Lupin"/>
    <m/>
    <x v="26"/>
    <s v="N"/>
    <x v="2"/>
    <n v="85"/>
    <n v="43"/>
    <x v="3"/>
    <m/>
    <m/>
    <m/>
    <n v="3"/>
    <m/>
    <m/>
    <m/>
    <m/>
    <m/>
    <n v="8"/>
    <n v="10"/>
    <x v="6"/>
    <n v="5"/>
    <m/>
    <m/>
    <x v="1"/>
    <n v="2"/>
    <x v="0"/>
    <m/>
    <m/>
    <n v="30"/>
    <x v="2"/>
    <s v="31/05/2023"/>
    <d v="2023-05-31T00:00:00"/>
    <s v="2023021-85"/>
    <x v="5"/>
  </r>
  <r>
    <x v="321"/>
    <n v="2023021"/>
    <x v="21"/>
    <s v="Lupin"/>
    <m/>
    <x v="26"/>
    <s v="N"/>
    <x v="1"/>
    <n v="86"/>
    <n v="43"/>
    <x v="3"/>
    <m/>
    <m/>
    <m/>
    <n v="3"/>
    <m/>
    <m/>
    <m/>
    <m/>
    <m/>
    <n v="8"/>
    <n v="11"/>
    <x v="6"/>
    <n v="6"/>
    <m/>
    <n v="23"/>
    <x v="1"/>
    <n v="2"/>
    <x v="0"/>
    <m/>
    <m/>
    <n v="30"/>
    <x v="2"/>
    <s v="31/05/2023"/>
    <d v="2023-05-31T00:00:00"/>
    <s v="2023021-86"/>
    <x v="5"/>
  </r>
  <r>
    <x v="320"/>
    <n v="2023021"/>
    <x v="21"/>
    <s v="Lupin"/>
    <m/>
    <x v="25"/>
    <s v="N"/>
    <x v="2"/>
    <n v="87"/>
    <n v="44"/>
    <x v="3"/>
    <m/>
    <m/>
    <m/>
    <n v="3"/>
    <m/>
    <m/>
    <m/>
    <m/>
    <m/>
    <n v="9"/>
    <n v="10"/>
    <x v="7"/>
    <n v="5"/>
    <m/>
    <m/>
    <x v="1"/>
    <n v="4"/>
    <x v="0"/>
    <m/>
    <m/>
    <n v="30"/>
    <x v="2"/>
    <s v="31/05/2023"/>
    <d v="2023-05-31T00:00:00"/>
    <s v="2023021-87"/>
    <x v="5"/>
  </r>
  <r>
    <x v="320"/>
    <n v="2023021"/>
    <x v="21"/>
    <s v="Lupin"/>
    <m/>
    <x v="25"/>
    <s v="N"/>
    <x v="1"/>
    <n v="88"/>
    <n v="44"/>
    <x v="3"/>
    <m/>
    <m/>
    <m/>
    <n v="3"/>
    <m/>
    <m/>
    <m/>
    <m/>
    <m/>
    <n v="9"/>
    <n v="11"/>
    <x v="7"/>
    <n v="6"/>
    <m/>
    <n v="24"/>
    <x v="1"/>
    <n v="4"/>
    <x v="0"/>
    <m/>
    <m/>
    <n v="30"/>
    <x v="2"/>
    <s v="31/05/2023"/>
    <d v="2023-05-31T00:00:00"/>
    <s v="2023021-88"/>
    <x v="5"/>
  </r>
  <r>
    <x v="326"/>
    <n v="2023021"/>
    <x v="21"/>
    <s v="Lupin"/>
    <m/>
    <x v="25"/>
    <s v="N"/>
    <x v="2"/>
    <n v="89"/>
    <n v="45"/>
    <x v="2"/>
    <m/>
    <m/>
    <m/>
    <n v="4"/>
    <m/>
    <m/>
    <m/>
    <m/>
    <m/>
    <n v="6"/>
    <n v="14"/>
    <x v="4"/>
    <n v="7"/>
    <m/>
    <m/>
    <x v="1"/>
    <n v="4"/>
    <x v="0"/>
    <m/>
    <m/>
    <n v="30"/>
    <x v="1"/>
    <s v="26/04/2023"/>
    <d v="2023-04-26T00:00:00"/>
    <s v="2023021-89"/>
    <x v="5"/>
  </r>
  <r>
    <x v="326"/>
    <n v="2023021"/>
    <x v="21"/>
    <s v="Lupin"/>
    <m/>
    <x v="25"/>
    <s v="N"/>
    <x v="1"/>
    <n v="90"/>
    <n v="45"/>
    <x v="2"/>
    <m/>
    <m/>
    <m/>
    <n v="4"/>
    <m/>
    <m/>
    <m/>
    <m/>
    <m/>
    <n v="6"/>
    <n v="15"/>
    <x v="4"/>
    <n v="8"/>
    <m/>
    <n v="28"/>
    <x v="1"/>
    <n v="4"/>
    <x v="0"/>
    <m/>
    <m/>
    <n v="30"/>
    <x v="1"/>
    <s v="26/04/2023"/>
    <d v="2023-04-26T00:00:00"/>
    <s v="2023021-90"/>
    <x v="5"/>
  </r>
  <r>
    <x v="327"/>
    <n v="2023021"/>
    <x v="21"/>
    <s v="Lupin"/>
    <m/>
    <x v="26"/>
    <s v="N"/>
    <x v="2"/>
    <n v="91"/>
    <n v="46"/>
    <x v="2"/>
    <m/>
    <m/>
    <m/>
    <n v="4"/>
    <m/>
    <m/>
    <m/>
    <m/>
    <m/>
    <n v="7"/>
    <n v="14"/>
    <x v="5"/>
    <n v="7"/>
    <m/>
    <m/>
    <x v="1"/>
    <n v="2"/>
    <x v="0"/>
    <m/>
    <m/>
    <n v="30"/>
    <x v="1"/>
    <s v="26/04/2023"/>
    <d v="2023-04-26T00:00:00"/>
    <s v="2023021-91"/>
    <x v="5"/>
  </r>
  <r>
    <x v="327"/>
    <n v="2023021"/>
    <x v="21"/>
    <s v="Lupin"/>
    <m/>
    <x v="26"/>
    <s v="N"/>
    <x v="1"/>
    <n v="92"/>
    <n v="46"/>
    <x v="2"/>
    <m/>
    <m/>
    <m/>
    <n v="4"/>
    <m/>
    <m/>
    <m/>
    <m/>
    <m/>
    <n v="7"/>
    <n v="15"/>
    <x v="5"/>
    <n v="8"/>
    <m/>
    <n v="27"/>
    <x v="1"/>
    <n v="2"/>
    <x v="0"/>
    <m/>
    <m/>
    <n v="30"/>
    <x v="1"/>
    <s v="26/04/2023"/>
    <d v="2023-04-26T00:00:00"/>
    <s v="2023021-92"/>
    <x v="5"/>
  </r>
  <r>
    <x v="325"/>
    <n v="2023021"/>
    <x v="21"/>
    <s v="Lupin"/>
    <m/>
    <x v="28"/>
    <s v="N"/>
    <x v="2"/>
    <n v="93"/>
    <n v="47"/>
    <x v="3"/>
    <m/>
    <m/>
    <m/>
    <n v="4"/>
    <m/>
    <m/>
    <m/>
    <m/>
    <m/>
    <n v="8"/>
    <n v="14"/>
    <x v="6"/>
    <n v="7"/>
    <m/>
    <m/>
    <x v="1"/>
    <n v="3"/>
    <x v="0"/>
    <m/>
    <m/>
    <n v="30"/>
    <x v="1"/>
    <s v="26/04/2023"/>
    <d v="2023-04-26T00:00:00"/>
    <s v="2023021-93"/>
    <x v="5"/>
  </r>
  <r>
    <x v="325"/>
    <n v="2023021"/>
    <x v="21"/>
    <s v="Lupin"/>
    <m/>
    <x v="28"/>
    <s v="N"/>
    <x v="1"/>
    <n v="94"/>
    <n v="47"/>
    <x v="3"/>
    <m/>
    <m/>
    <m/>
    <n v="4"/>
    <m/>
    <m/>
    <m/>
    <m/>
    <m/>
    <n v="8"/>
    <n v="15"/>
    <x v="6"/>
    <n v="8"/>
    <m/>
    <n v="26"/>
    <x v="1"/>
    <n v="3"/>
    <x v="0"/>
    <m/>
    <m/>
    <n v="30"/>
    <x v="1"/>
    <s v="26/04/2023"/>
    <d v="2023-04-26T00:00:00"/>
    <s v="2023021-94"/>
    <x v="5"/>
  </r>
  <r>
    <x v="324"/>
    <n v="2023021"/>
    <x v="21"/>
    <s v="Lupin"/>
    <m/>
    <x v="27"/>
    <s v="Y"/>
    <x v="2"/>
    <n v="95"/>
    <n v="48"/>
    <x v="3"/>
    <m/>
    <m/>
    <m/>
    <n v="4"/>
    <m/>
    <m/>
    <m/>
    <m/>
    <m/>
    <n v="9"/>
    <n v="14"/>
    <x v="7"/>
    <n v="7"/>
    <m/>
    <m/>
    <x v="1"/>
    <n v="1"/>
    <x v="0"/>
    <m/>
    <m/>
    <n v="30"/>
    <x v="1"/>
    <s v="26/04/2023"/>
    <d v="2023-04-26T00:00:00"/>
    <s v="2023021-95"/>
    <x v="5"/>
  </r>
  <r>
    <x v="324"/>
    <n v="2023021"/>
    <x v="21"/>
    <s v="Lupin"/>
    <m/>
    <x v="27"/>
    <s v="Y"/>
    <x v="1"/>
    <n v="96"/>
    <n v="48"/>
    <x v="3"/>
    <m/>
    <m/>
    <m/>
    <n v="4"/>
    <m/>
    <m/>
    <m/>
    <m/>
    <m/>
    <n v="9"/>
    <n v="15"/>
    <x v="7"/>
    <n v="8"/>
    <m/>
    <n v="25"/>
    <x v="1"/>
    <n v="1"/>
    <x v="0"/>
    <m/>
    <m/>
    <n v="30"/>
    <x v="1"/>
    <s v="26/04/2023"/>
    <d v="2023-04-26T00:00:00"/>
    <s v="2023021-96"/>
    <x v="5"/>
  </r>
  <r>
    <x v="329"/>
    <n v="2023021"/>
    <x v="21"/>
    <s v="Lupin"/>
    <m/>
    <x v="28"/>
    <s v="N"/>
    <x v="2"/>
    <n v="97"/>
    <n v="49"/>
    <x v="2"/>
    <m/>
    <m/>
    <m/>
    <n v="5"/>
    <m/>
    <m/>
    <m/>
    <m/>
    <m/>
    <n v="6"/>
    <n v="18"/>
    <x v="4"/>
    <n v="9"/>
    <m/>
    <m/>
    <x v="0"/>
    <n v="3"/>
    <x v="0"/>
    <m/>
    <m/>
    <n v="30"/>
    <x v="2"/>
    <s v="31/05/2023"/>
    <d v="2023-05-31T00:00:00"/>
    <s v="2023021-97"/>
    <x v="5"/>
  </r>
  <r>
    <x v="329"/>
    <n v="2023021"/>
    <x v="21"/>
    <s v="Lupin"/>
    <m/>
    <x v="28"/>
    <s v="N"/>
    <x v="1"/>
    <n v="98"/>
    <n v="49"/>
    <x v="2"/>
    <m/>
    <m/>
    <m/>
    <n v="5"/>
    <m/>
    <m/>
    <m/>
    <m/>
    <m/>
    <n v="6"/>
    <n v="19"/>
    <x v="4"/>
    <n v="10"/>
    <m/>
    <n v="37"/>
    <x v="0"/>
    <n v="3"/>
    <x v="0"/>
    <m/>
    <m/>
    <n v="30"/>
    <x v="2"/>
    <s v="31/05/2023"/>
    <d v="2023-05-31T00:00:00"/>
    <s v="2023021-98"/>
    <x v="5"/>
  </r>
  <r>
    <x v="330"/>
    <n v="2023021"/>
    <x v="21"/>
    <s v="Lupin"/>
    <m/>
    <x v="25"/>
    <s v="N"/>
    <x v="2"/>
    <n v="99"/>
    <n v="50"/>
    <x v="2"/>
    <m/>
    <m/>
    <m/>
    <n v="5"/>
    <m/>
    <m/>
    <m/>
    <m/>
    <m/>
    <n v="7"/>
    <n v="18"/>
    <x v="5"/>
    <n v="9"/>
    <m/>
    <m/>
    <x v="0"/>
    <n v="4"/>
    <x v="0"/>
    <m/>
    <m/>
    <n v="30"/>
    <x v="2"/>
    <s v="31/05/2023"/>
    <d v="2023-05-31T00:00:00"/>
    <s v="2023021-99"/>
    <x v="5"/>
  </r>
  <r>
    <x v="330"/>
    <n v="2023021"/>
    <x v="21"/>
    <s v="Lupin"/>
    <m/>
    <x v="25"/>
    <s v="N"/>
    <x v="1"/>
    <n v="100"/>
    <n v="50"/>
    <x v="2"/>
    <m/>
    <m/>
    <m/>
    <n v="5"/>
    <m/>
    <m/>
    <m/>
    <m/>
    <m/>
    <n v="7"/>
    <n v="19"/>
    <x v="5"/>
    <n v="10"/>
    <m/>
    <n v="38"/>
    <x v="0"/>
    <n v="4"/>
    <x v="0"/>
    <m/>
    <m/>
    <n v="30"/>
    <x v="2"/>
    <s v="31/05/2023"/>
    <d v="2023-05-31T00:00:00"/>
    <s v="2023021-100"/>
    <x v="5"/>
  </r>
  <r>
    <x v="331"/>
    <n v="2023021"/>
    <x v="21"/>
    <s v="Lupin"/>
    <m/>
    <x v="27"/>
    <s v="Y"/>
    <x v="2"/>
    <n v="101"/>
    <n v="51"/>
    <x v="3"/>
    <m/>
    <m/>
    <m/>
    <n v="5"/>
    <m/>
    <m/>
    <m/>
    <m/>
    <m/>
    <n v="8"/>
    <n v="18"/>
    <x v="6"/>
    <n v="9"/>
    <m/>
    <m/>
    <x v="0"/>
    <n v="1"/>
    <x v="0"/>
    <m/>
    <m/>
    <n v="30"/>
    <x v="2"/>
    <s v="31/05/2023"/>
    <d v="2023-05-31T00:00:00"/>
    <s v="2023021-101"/>
    <x v="5"/>
  </r>
  <r>
    <x v="331"/>
    <n v="2023021"/>
    <x v="21"/>
    <s v="Lupin"/>
    <m/>
    <x v="27"/>
    <s v="Y"/>
    <x v="1"/>
    <n v="102"/>
    <n v="51"/>
    <x v="3"/>
    <m/>
    <m/>
    <m/>
    <n v="5"/>
    <m/>
    <m/>
    <m/>
    <m/>
    <m/>
    <n v="8"/>
    <n v="19"/>
    <x v="6"/>
    <n v="10"/>
    <m/>
    <n v="39"/>
    <x v="0"/>
    <n v="1"/>
    <x v="0"/>
    <m/>
    <m/>
    <n v="30"/>
    <x v="2"/>
    <s v="31/05/2023"/>
    <d v="2023-05-31T00:00:00"/>
    <s v="2023021-102"/>
    <x v="5"/>
  </r>
  <r>
    <x v="328"/>
    <n v="2023021"/>
    <x v="21"/>
    <s v="Lupin"/>
    <m/>
    <x v="26"/>
    <s v="N"/>
    <x v="2"/>
    <n v="103"/>
    <n v="52"/>
    <x v="3"/>
    <m/>
    <m/>
    <m/>
    <n v="5"/>
    <m/>
    <m/>
    <m/>
    <m/>
    <m/>
    <n v="9"/>
    <n v="18"/>
    <x v="7"/>
    <n v="9"/>
    <m/>
    <m/>
    <x v="0"/>
    <n v="2"/>
    <x v="0"/>
    <m/>
    <m/>
    <n v="30"/>
    <x v="2"/>
    <s v="31/05/2023"/>
    <d v="2023-05-31T00:00:00"/>
    <s v="2023021-103"/>
    <x v="5"/>
  </r>
  <r>
    <x v="328"/>
    <n v="2023021"/>
    <x v="21"/>
    <s v="Lupin"/>
    <m/>
    <x v="26"/>
    <s v="N"/>
    <x v="1"/>
    <n v="104"/>
    <n v="52"/>
    <x v="3"/>
    <m/>
    <m/>
    <m/>
    <n v="5"/>
    <m/>
    <m/>
    <m/>
    <m/>
    <m/>
    <n v="9"/>
    <n v="19"/>
    <x v="7"/>
    <n v="10"/>
    <m/>
    <n v="40"/>
    <x v="0"/>
    <n v="2"/>
    <x v="0"/>
    <m/>
    <m/>
    <n v="30"/>
    <x v="2"/>
    <s v="31/05/2023"/>
    <d v="2023-05-31T00:00:00"/>
    <s v="2023021-104"/>
    <x v="5"/>
  </r>
  <r>
    <x v="333"/>
    <n v="2023021"/>
    <x v="21"/>
    <s v="Lupin"/>
    <m/>
    <x v="27"/>
    <s v="Y"/>
    <x v="2"/>
    <n v="105"/>
    <n v="53"/>
    <x v="2"/>
    <m/>
    <m/>
    <m/>
    <n v="6"/>
    <m/>
    <m/>
    <m/>
    <m/>
    <m/>
    <n v="6"/>
    <n v="22"/>
    <x v="4"/>
    <n v="11"/>
    <m/>
    <m/>
    <x v="0"/>
    <n v="1"/>
    <x v="0"/>
    <m/>
    <m/>
    <n v="30"/>
    <x v="1"/>
    <s v="26/04/2023"/>
    <d v="2023-04-26T00:00:00"/>
    <s v="2023021-105"/>
    <x v="5"/>
  </r>
  <r>
    <x v="333"/>
    <n v="2023021"/>
    <x v="21"/>
    <s v="Lupin"/>
    <m/>
    <x v="27"/>
    <s v="Y"/>
    <x v="1"/>
    <n v="106"/>
    <n v="53"/>
    <x v="2"/>
    <m/>
    <m/>
    <m/>
    <n v="6"/>
    <m/>
    <m/>
    <m/>
    <m/>
    <m/>
    <n v="6"/>
    <n v="23"/>
    <x v="4"/>
    <n v="12"/>
    <m/>
    <n v="44"/>
    <x v="0"/>
    <n v="1"/>
    <x v="0"/>
    <m/>
    <m/>
    <n v="30"/>
    <x v="1"/>
    <s v="26/04/2023"/>
    <d v="2023-04-26T00:00:00"/>
    <s v="2023021-106"/>
    <x v="5"/>
  </r>
  <r>
    <x v="332"/>
    <n v="2023021"/>
    <x v="21"/>
    <s v="Lupin"/>
    <m/>
    <x v="28"/>
    <s v="N"/>
    <x v="2"/>
    <n v="107"/>
    <n v="54"/>
    <x v="2"/>
    <m/>
    <m/>
    <m/>
    <n v="6"/>
    <m/>
    <m/>
    <m/>
    <m/>
    <m/>
    <n v="7"/>
    <n v="22"/>
    <x v="5"/>
    <n v="11"/>
    <m/>
    <m/>
    <x v="0"/>
    <n v="3"/>
    <x v="0"/>
    <m/>
    <m/>
    <n v="30"/>
    <x v="1"/>
    <s v="26/04/2023"/>
    <d v="2023-04-26T00:00:00"/>
    <s v="2023021-107"/>
    <x v="5"/>
  </r>
  <r>
    <x v="332"/>
    <n v="2023021"/>
    <x v="21"/>
    <s v="Lupin"/>
    <m/>
    <x v="28"/>
    <s v="N"/>
    <x v="1"/>
    <n v="108"/>
    <n v="54"/>
    <x v="2"/>
    <m/>
    <m/>
    <m/>
    <n v="6"/>
    <m/>
    <m/>
    <m/>
    <m/>
    <m/>
    <n v="7"/>
    <n v="23"/>
    <x v="5"/>
    <n v="12"/>
    <m/>
    <n v="43"/>
    <x v="0"/>
    <n v="3"/>
    <x v="0"/>
    <m/>
    <m/>
    <n v="30"/>
    <x v="1"/>
    <s v="26/04/2023"/>
    <d v="2023-04-26T00:00:00"/>
    <s v="2023021-108"/>
    <x v="5"/>
  </r>
  <r>
    <x v="334"/>
    <n v="2023021"/>
    <x v="21"/>
    <s v="Lupin"/>
    <m/>
    <x v="26"/>
    <s v="N"/>
    <x v="2"/>
    <n v="109"/>
    <n v="55"/>
    <x v="3"/>
    <m/>
    <m/>
    <m/>
    <n v="6"/>
    <m/>
    <m/>
    <m/>
    <m/>
    <m/>
    <n v="8"/>
    <n v="22"/>
    <x v="6"/>
    <n v="11"/>
    <m/>
    <m/>
    <x v="0"/>
    <n v="2"/>
    <x v="0"/>
    <m/>
    <m/>
    <n v="30"/>
    <x v="1"/>
    <s v="26/04/2023"/>
    <d v="2023-04-26T00:00:00"/>
    <s v="2023021-109"/>
    <x v="5"/>
  </r>
  <r>
    <x v="334"/>
    <n v="2023021"/>
    <x v="21"/>
    <s v="Lupin"/>
    <m/>
    <x v="26"/>
    <s v="N"/>
    <x v="1"/>
    <n v="110"/>
    <n v="55"/>
    <x v="3"/>
    <m/>
    <m/>
    <m/>
    <n v="6"/>
    <m/>
    <m/>
    <m/>
    <m/>
    <m/>
    <n v="8"/>
    <n v="23"/>
    <x v="6"/>
    <n v="12"/>
    <m/>
    <n v="42"/>
    <x v="0"/>
    <n v="2"/>
    <x v="0"/>
    <m/>
    <m/>
    <n v="30"/>
    <x v="1"/>
    <s v="26/04/2023"/>
    <d v="2023-04-26T00:00:00"/>
    <s v="2023021-110"/>
    <x v="5"/>
  </r>
  <r>
    <x v="335"/>
    <n v="2023021"/>
    <x v="21"/>
    <s v="Lupin"/>
    <m/>
    <x v="25"/>
    <s v="N"/>
    <x v="2"/>
    <n v="111"/>
    <n v="56"/>
    <x v="3"/>
    <m/>
    <m/>
    <m/>
    <n v="6"/>
    <m/>
    <m/>
    <m/>
    <m/>
    <m/>
    <n v="9"/>
    <n v="22"/>
    <x v="7"/>
    <n v="11"/>
    <m/>
    <m/>
    <x v="0"/>
    <n v="4"/>
    <x v="0"/>
    <m/>
    <m/>
    <n v="30"/>
    <x v="1"/>
    <s v="26/04/2023"/>
    <d v="2023-04-26T00:00:00"/>
    <s v="2023021-111"/>
    <x v="5"/>
  </r>
  <r>
    <x v="335"/>
    <n v="2023021"/>
    <x v="21"/>
    <s v="Lupin"/>
    <m/>
    <x v="25"/>
    <s v="N"/>
    <x v="1"/>
    <n v="112"/>
    <n v="56"/>
    <x v="3"/>
    <m/>
    <m/>
    <m/>
    <n v="6"/>
    <m/>
    <m/>
    <m/>
    <m/>
    <m/>
    <n v="9"/>
    <n v="23"/>
    <x v="7"/>
    <n v="12"/>
    <m/>
    <n v="41"/>
    <x v="0"/>
    <n v="4"/>
    <x v="0"/>
    <m/>
    <m/>
    <n v="30"/>
    <x v="1"/>
    <s v="26/04/2023"/>
    <d v="2023-04-26T00:00:00"/>
    <s v="2023021-112"/>
    <x v="5"/>
  </r>
  <r>
    <x v="334"/>
    <n v="2023021"/>
    <x v="21"/>
    <s v="Lupin"/>
    <m/>
    <x v="26"/>
    <s v="N"/>
    <x v="2"/>
    <n v="113"/>
    <n v="57"/>
    <x v="2"/>
    <m/>
    <m/>
    <m/>
    <n v="7"/>
    <m/>
    <m/>
    <m/>
    <m/>
    <m/>
    <n v="6"/>
    <n v="26"/>
    <x v="4"/>
    <n v="13"/>
    <m/>
    <m/>
    <x v="0"/>
    <n v="2"/>
    <x v="0"/>
    <m/>
    <m/>
    <n v="30"/>
    <x v="1"/>
    <s v="26/04/2023"/>
    <d v="2023-04-26T00:00:00"/>
    <s v="2023021-113"/>
    <x v="5"/>
  </r>
  <r>
    <x v="334"/>
    <n v="2023021"/>
    <x v="21"/>
    <s v="Lupin"/>
    <m/>
    <x v="26"/>
    <s v="N"/>
    <x v="1"/>
    <n v="114"/>
    <n v="57"/>
    <x v="2"/>
    <m/>
    <m/>
    <m/>
    <n v="7"/>
    <m/>
    <m/>
    <m/>
    <m/>
    <m/>
    <n v="6"/>
    <n v="27"/>
    <x v="4"/>
    <n v="14"/>
    <m/>
    <n v="53"/>
    <x v="0"/>
    <n v="2"/>
    <x v="0"/>
    <m/>
    <m/>
    <n v="30"/>
    <x v="1"/>
    <s v="26/04/2023"/>
    <d v="2023-04-26T00:00:00"/>
    <s v="2023021-114"/>
    <x v="5"/>
  </r>
  <r>
    <x v="333"/>
    <n v="2023021"/>
    <x v="21"/>
    <s v="Lupin"/>
    <m/>
    <x v="27"/>
    <s v="Y"/>
    <x v="2"/>
    <n v="115"/>
    <n v="58"/>
    <x v="2"/>
    <m/>
    <m/>
    <m/>
    <n v="7"/>
    <m/>
    <m/>
    <m/>
    <m/>
    <m/>
    <n v="7"/>
    <n v="26"/>
    <x v="5"/>
    <n v="13"/>
    <m/>
    <m/>
    <x v="0"/>
    <n v="1"/>
    <x v="0"/>
    <m/>
    <m/>
    <n v="30"/>
    <x v="1"/>
    <s v="26/04/2023"/>
    <d v="2023-04-26T00:00:00"/>
    <s v="2023021-115"/>
    <x v="5"/>
  </r>
  <r>
    <x v="333"/>
    <n v="2023021"/>
    <x v="21"/>
    <s v="Lupin"/>
    <m/>
    <x v="27"/>
    <s v="Y"/>
    <x v="1"/>
    <n v="116"/>
    <n v="58"/>
    <x v="2"/>
    <m/>
    <m/>
    <m/>
    <n v="7"/>
    <m/>
    <m/>
    <m/>
    <m/>
    <m/>
    <n v="7"/>
    <n v="27"/>
    <x v="5"/>
    <n v="14"/>
    <m/>
    <n v="54"/>
    <x v="0"/>
    <n v="1"/>
    <x v="0"/>
    <m/>
    <m/>
    <n v="30"/>
    <x v="1"/>
    <s v="26/04/2023"/>
    <d v="2023-04-26T00:00:00"/>
    <s v="2023021-116"/>
    <x v="5"/>
  </r>
  <r>
    <x v="335"/>
    <n v="2023021"/>
    <x v="21"/>
    <s v="Lupin"/>
    <m/>
    <x v="25"/>
    <s v="N"/>
    <x v="2"/>
    <n v="117"/>
    <n v="59"/>
    <x v="3"/>
    <m/>
    <m/>
    <m/>
    <n v="7"/>
    <m/>
    <m/>
    <m/>
    <m/>
    <m/>
    <n v="8"/>
    <n v="26"/>
    <x v="6"/>
    <n v="13"/>
    <m/>
    <m/>
    <x v="0"/>
    <n v="4"/>
    <x v="0"/>
    <m/>
    <m/>
    <n v="30"/>
    <x v="1"/>
    <s v="26/04/2023"/>
    <d v="2023-04-26T00:00:00"/>
    <s v="2023021-117"/>
    <x v="5"/>
  </r>
  <r>
    <x v="335"/>
    <n v="2023021"/>
    <x v="21"/>
    <s v="Lupin"/>
    <m/>
    <x v="25"/>
    <s v="N"/>
    <x v="1"/>
    <n v="118"/>
    <n v="59"/>
    <x v="3"/>
    <m/>
    <m/>
    <m/>
    <n v="7"/>
    <m/>
    <m/>
    <m/>
    <m/>
    <m/>
    <n v="8"/>
    <n v="27"/>
    <x v="6"/>
    <n v="14"/>
    <m/>
    <n v="55"/>
    <x v="0"/>
    <n v="4"/>
    <x v="0"/>
    <m/>
    <m/>
    <n v="30"/>
    <x v="1"/>
    <s v="26/04/2023"/>
    <d v="2023-04-26T00:00:00"/>
    <s v="2023021-118"/>
    <x v="5"/>
  </r>
  <r>
    <x v="332"/>
    <n v="2023021"/>
    <x v="21"/>
    <s v="Lupin"/>
    <m/>
    <x v="28"/>
    <s v="N"/>
    <x v="2"/>
    <n v="119"/>
    <n v="60"/>
    <x v="3"/>
    <m/>
    <m/>
    <m/>
    <n v="7"/>
    <m/>
    <m/>
    <m/>
    <m/>
    <m/>
    <n v="9"/>
    <n v="26"/>
    <x v="7"/>
    <n v="13"/>
    <m/>
    <m/>
    <x v="0"/>
    <n v="3"/>
    <x v="0"/>
    <m/>
    <m/>
    <n v="30"/>
    <x v="1"/>
    <s v="26/04/2023"/>
    <d v="2023-04-26T00:00:00"/>
    <s v="2023021-119"/>
    <x v="5"/>
  </r>
  <r>
    <x v="332"/>
    <n v="2023021"/>
    <x v="21"/>
    <s v="Lupin"/>
    <m/>
    <x v="28"/>
    <s v="N"/>
    <x v="1"/>
    <n v="120"/>
    <n v="60"/>
    <x v="3"/>
    <m/>
    <m/>
    <m/>
    <n v="7"/>
    <m/>
    <m/>
    <m/>
    <m/>
    <m/>
    <n v="9"/>
    <n v="27"/>
    <x v="7"/>
    <n v="14"/>
    <m/>
    <n v="56"/>
    <x v="0"/>
    <n v="3"/>
    <x v="0"/>
    <m/>
    <m/>
    <n v="30"/>
    <x v="1"/>
    <s v="26/04/2023"/>
    <d v="2023-04-26T00:00:00"/>
    <s v="2023021-120"/>
    <x v="5"/>
  </r>
  <r>
    <x v="330"/>
    <n v="2023021"/>
    <x v="21"/>
    <s v="Lupin"/>
    <m/>
    <x v="25"/>
    <s v="N"/>
    <x v="2"/>
    <n v="121"/>
    <n v="61"/>
    <x v="2"/>
    <m/>
    <m/>
    <m/>
    <n v="8"/>
    <m/>
    <m/>
    <m/>
    <m/>
    <m/>
    <n v="6"/>
    <n v="30"/>
    <x v="4"/>
    <n v="15"/>
    <m/>
    <m/>
    <x v="0"/>
    <n v="4"/>
    <x v="0"/>
    <m/>
    <m/>
    <n v="30"/>
    <x v="2"/>
    <s v="31/05/2023"/>
    <d v="2023-05-31T00:00:00"/>
    <s v="2023021-121"/>
    <x v="5"/>
  </r>
  <r>
    <x v="330"/>
    <n v="2023021"/>
    <x v="21"/>
    <s v="Lupin"/>
    <m/>
    <x v="25"/>
    <s v="N"/>
    <x v="1"/>
    <n v="122"/>
    <n v="61"/>
    <x v="2"/>
    <m/>
    <m/>
    <m/>
    <n v="8"/>
    <m/>
    <m/>
    <m/>
    <m/>
    <m/>
    <n v="6"/>
    <n v="31"/>
    <x v="4"/>
    <n v="16"/>
    <m/>
    <n v="60"/>
    <x v="0"/>
    <n v="4"/>
    <x v="0"/>
    <m/>
    <m/>
    <n v="30"/>
    <x v="2"/>
    <s v="31/05/2023"/>
    <d v="2023-05-31T00:00:00"/>
    <s v="2023021-122"/>
    <x v="5"/>
  </r>
  <r>
    <x v="328"/>
    <n v="2023021"/>
    <x v="21"/>
    <s v="Lupin"/>
    <m/>
    <x v="26"/>
    <s v="N"/>
    <x v="2"/>
    <n v="123"/>
    <n v="62"/>
    <x v="2"/>
    <m/>
    <m/>
    <m/>
    <n v="8"/>
    <m/>
    <m/>
    <m/>
    <m/>
    <m/>
    <n v="7"/>
    <n v="30"/>
    <x v="5"/>
    <n v="15"/>
    <m/>
    <m/>
    <x v="0"/>
    <n v="2"/>
    <x v="0"/>
    <m/>
    <m/>
    <n v="30"/>
    <x v="2"/>
    <s v="31/05/2023"/>
    <d v="2023-05-31T00:00:00"/>
    <s v="2023021-123"/>
    <x v="5"/>
  </r>
  <r>
    <x v="328"/>
    <n v="2023021"/>
    <x v="21"/>
    <s v="Lupin"/>
    <m/>
    <x v="26"/>
    <s v="N"/>
    <x v="1"/>
    <n v="124"/>
    <n v="62"/>
    <x v="2"/>
    <m/>
    <m/>
    <m/>
    <n v="8"/>
    <m/>
    <m/>
    <m/>
    <m/>
    <m/>
    <n v="7"/>
    <n v="31"/>
    <x v="5"/>
    <n v="16"/>
    <m/>
    <n v="59"/>
    <x v="0"/>
    <n v="2"/>
    <x v="0"/>
    <m/>
    <m/>
    <n v="30"/>
    <x v="2"/>
    <s v="31/05/2023"/>
    <d v="2023-05-31T00:00:00"/>
    <s v="2023021-124"/>
    <x v="5"/>
  </r>
  <r>
    <x v="329"/>
    <n v="2023021"/>
    <x v="21"/>
    <s v="Lupin"/>
    <m/>
    <x v="28"/>
    <s v="N"/>
    <x v="2"/>
    <n v="125"/>
    <n v="63"/>
    <x v="3"/>
    <m/>
    <m/>
    <m/>
    <n v="8"/>
    <m/>
    <m/>
    <m/>
    <m/>
    <m/>
    <n v="8"/>
    <n v="30"/>
    <x v="6"/>
    <n v="15"/>
    <m/>
    <m/>
    <x v="0"/>
    <n v="3"/>
    <x v="0"/>
    <m/>
    <m/>
    <n v="30"/>
    <x v="2"/>
    <s v="31/05/2023"/>
    <d v="2023-05-31T00:00:00"/>
    <s v="2023021-125"/>
    <x v="5"/>
  </r>
  <r>
    <x v="329"/>
    <n v="2023021"/>
    <x v="21"/>
    <s v="Lupin"/>
    <m/>
    <x v="28"/>
    <s v="N"/>
    <x v="1"/>
    <n v="126"/>
    <n v="63"/>
    <x v="3"/>
    <m/>
    <m/>
    <m/>
    <n v="8"/>
    <m/>
    <m/>
    <m/>
    <m/>
    <m/>
    <n v="8"/>
    <n v="31"/>
    <x v="6"/>
    <n v="16"/>
    <m/>
    <n v="58"/>
    <x v="0"/>
    <n v="3"/>
    <x v="0"/>
    <m/>
    <m/>
    <n v="30"/>
    <x v="2"/>
    <s v="31/05/2023"/>
    <d v="2023-05-31T00:00:00"/>
    <s v="2023021-126"/>
    <x v="5"/>
  </r>
  <r>
    <x v="331"/>
    <n v="2023021"/>
    <x v="21"/>
    <s v="Lupin"/>
    <m/>
    <x v="27"/>
    <s v="Y"/>
    <x v="2"/>
    <n v="127"/>
    <n v="64"/>
    <x v="3"/>
    <m/>
    <m/>
    <m/>
    <n v="8"/>
    <m/>
    <m/>
    <m/>
    <m/>
    <m/>
    <n v="9"/>
    <n v="30"/>
    <x v="7"/>
    <n v="15"/>
    <m/>
    <m/>
    <x v="0"/>
    <n v="1"/>
    <x v="0"/>
    <m/>
    <m/>
    <n v="30"/>
    <x v="2"/>
    <s v="31/05/2023"/>
    <d v="2023-05-31T00:00:00"/>
    <s v="2023021-127"/>
    <x v="5"/>
  </r>
  <r>
    <x v="331"/>
    <n v="2023021"/>
    <x v="21"/>
    <s v="Lupin"/>
    <m/>
    <x v="27"/>
    <s v="Y"/>
    <x v="1"/>
    <n v="128"/>
    <n v="64"/>
    <x v="3"/>
    <m/>
    <m/>
    <m/>
    <n v="8"/>
    <m/>
    <m/>
    <m/>
    <m/>
    <m/>
    <n v="9"/>
    <n v="31"/>
    <x v="7"/>
    <n v="16"/>
    <m/>
    <n v="57"/>
    <x v="0"/>
    <n v="1"/>
    <x v="0"/>
    <m/>
    <m/>
    <n v="30"/>
    <x v="2"/>
    <s v="31/05/2023"/>
    <d v="2023-05-31T00:00:00"/>
    <s v="2023021-128"/>
    <x v="5"/>
  </r>
  <r>
    <x v="336"/>
    <n v="2023022"/>
    <x v="22"/>
    <s v="Chickpea"/>
    <m/>
    <x v="4"/>
    <s v="Y"/>
    <x v="2"/>
    <n v="1"/>
    <n v="1"/>
    <x v="0"/>
    <m/>
    <m/>
    <m/>
    <n v="1"/>
    <m/>
    <m/>
    <m/>
    <m/>
    <m/>
    <n v="2"/>
    <n v="3"/>
    <x v="0"/>
    <n v="1"/>
    <m/>
    <n v="1"/>
    <x v="0"/>
    <n v="4"/>
    <x v="0"/>
    <m/>
    <m/>
    <n v="35"/>
    <x v="2"/>
    <s v="3/07/2023"/>
    <d v="2023-07-03T00:00:00"/>
    <s v="2023022-1"/>
    <x v="3"/>
  </r>
  <r>
    <x v="336"/>
    <n v="2023022"/>
    <x v="22"/>
    <s v="Chickpea"/>
    <m/>
    <x v="4"/>
    <s v="Y"/>
    <x v="1"/>
    <n v="2"/>
    <n v="1"/>
    <x v="0"/>
    <m/>
    <m/>
    <m/>
    <n v="1"/>
    <m/>
    <m/>
    <m/>
    <m/>
    <m/>
    <n v="2"/>
    <n v="4"/>
    <x v="0"/>
    <n v="2"/>
    <m/>
    <m/>
    <x v="0"/>
    <n v="4"/>
    <x v="0"/>
    <m/>
    <m/>
    <n v="35"/>
    <x v="2"/>
    <s v="3/07/2023"/>
    <d v="2023-07-03T00:00:00"/>
    <s v="2023022-2"/>
    <x v="3"/>
  </r>
  <r>
    <x v="337"/>
    <n v="2023022"/>
    <x v="22"/>
    <s v="Chickpea"/>
    <m/>
    <x v="3"/>
    <s v="N"/>
    <x v="2"/>
    <n v="3"/>
    <n v="2"/>
    <x v="0"/>
    <m/>
    <m/>
    <m/>
    <n v="1"/>
    <m/>
    <m/>
    <m/>
    <m/>
    <m/>
    <n v="3"/>
    <n v="3"/>
    <x v="1"/>
    <n v="1"/>
    <m/>
    <n v="2"/>
    <x v="0"/>
    <n v="3"/>
    <x v="0"/>
    <m/>
    <m/>
    <n v="35"/>
    <x v="2"/>
    <s v="3/07/2023"/>
    <d v="2023-07-03T00:00:00"/>
    <s v="2023022-3"/>
    <x v="3"/>
  </r>
  <r>
    <x v="337"/>
    <n v="2023022"/>
    <x v="22"/>
    <s v="Chickpea"/>
    <m/>
    <x v="3"/>
    <s v="N"/>
    <x v="1"/>
    <n v="4"/>
    <n v="2"/>
    <x v="0"/>
    <m/>
    <m/>
    <m/>
    <n v="1"/>
    <m/>
    <m/>
    <m/>
    <m/>
    <m/>
    <n v="3"/>
    <n v="4"/>
    <x v="1"/>
    <n v="2"/>
    <m/>
    <m/>
    <x v="0"/>
    <n v="3"/>
    <x v="0"/>
    <m/>
    <m/>
    <n v="35"/>
    <x v="2"/>
    <s v="3/07/2023"/>
    <d v="2023-07-03T00:00:00"/>
    <s v="2023022-4"/>
    <x v="3"/>
  </r>
  <r>
    <x v="338"/>
    <n v="2023022"/>
    <x v="22"/>
    <s v="Chickpea"/>
    <m/>
    <x v="8"/>
    <s v="Y"/>
    <x v="2"/>
    <n v="5"/>
    <n v="3"/>
    <x v="0"/>
    <m/>
    <m/>
    <m/>
    <n v="1"/>
    <m/>
    <m/>
    <m/>
    <m/>
    <m/>
    <n v="5"/>
    <n v="3"/>
    <x v="2"/>
    <n v="1"/>
    <m/>
    <n v="3"/>
    <x v="0"/>
    <n v="1"/>
    <x v="0"/>
    <m/>
    <m/>
    <n v="35"/>
    <x v="2"/>
    <s v="3/07/2023"/>
    <d v="2023-07-03T00:00:00"/>
    <s v="2023022-5"/>
    <x v="3"/>
  </r>
  <r>
    <x v="338"/>
    <n v="2023022"/>
    <x v="22"/>
    <s v="Chickpea"/>
    <m/>
    <x v="8"/>
    <s v="Y"/>
    <x v="1"/>
    <n v="6"/>
    <n v="3"/>
    <x v="0"/>
    <m/>
    <m/>
    <m/>
    <n v="1"/>
    <m/>
    <m/>
    <m/>
    <m/>
    <m/>
    <n v="5"/>
    <n v="4"/>
    <x v="2"/>
    <n v="2"/>
    <m/>
    <m/>
    <x v="0"/>
    <n v="1"/>
    <x v="0"/>
    <m/>
    <m/>
    <n v="35"/>
    <x v="2"/>
    <s v="3/07/2023"/>
    <d v="2023-07-03T00:00:00"/>
    <s v="2023022-6"/>
    <x v="3"/>
  </r>
  <r>
    <x v="339"/>
    <n v="2023022"/>
    <x v="22"/>
    <s v="Chickpea"/>
    <m/>
    <x v="9"/>
    <s v="N"/>
    <x v="2"/>
    <n v="7"/>
    <n v="4"/>
    <x v="0"/>
    <m/>
    <m/>
    <m/>
    <n v="1"/>
    <m/>
    <m/>
    <m/>
    <m/>
    <m/>
    <n v="6"/>
    <n v="3"/>
    <x v="3"/>
    <n v="1"/>
    <m/>
    <n v="4"/>
    <x v="0"/>
    <n v="2"/>
    <x v="0"/>
    <m/>
    <m/>
    <n v="35"/>
    <x v="2"/>
    <s v="3/07/2023"/>
    <d v="2023-07-03T00:00:00"/>
    <s v="2023022-7"/>
    <x v="3"/>
  </r>
  <r>
    <x v="339"/>
    <n v="2023022"/>
    <x v="22"/>
    <s v="Chickpea"/>
    <m/>
    <x v="9"/>
    <s v="N"/>
    <x v="1"/>
    <n v="8"/>
    <n v="4"/>
    <x v="0"/>
    <m/>
    <m/>
    <m/>
    <n v="1"/>
    <m/>
    <m/>
    <m/>
    <m/>
    <m/>
    <n v="6"/>
    <n v="4"/>
    <x v="3"/>
    <n v="2"/>
    <m/>
    <m/>
    <x v="0"/>
    <n v="2"/>
    <x v="0"/>
    <m/>
    <m/>
    <n v="35"/>
    <x v="2"/>
    <s v="3/07/2023"/>
    <d v="2023-07-03T00:00:00"/>
    <s v="2023022-8"/>
    <x v="3"/>
  </r>
  <r>
    <x v="340"/>
    <n v="2023022"/>
    <x v="22"/>
    <s v="Chickpea"/>
    <m/>
    <x v="9"/>
    <s v="N"/>
    <x v="1"/>
    <n v="9"/>
    <n v="5"/>
    <x v="0"/>
    <m/>
    <m/>
    <m/>
    <n v="2"/>
    <m/>
    <m/>
    <m/>
    <m/>
    <m/>
    <n v="2"/>
    <n v="7"/>
    <x v="0"/>
    <n v="3"/>
    <m/>
    <m/>
    <x v="1"/>
    <n v="2"/>
    <x v="0"/>
    <m/>
    <m/>
    <n v="35"/>
    <x v="1"/>
    <s v="26/05/2023"/>
    <d v="2023-05-26T00:00:00"/>
    <s v="2023022-9"/>
    <x v="3"/>
  </r>
  <r>
    <x v="340"/>
    <n v="2023022"/>
    <x v="22"/>
    <s v="Chickpea"/>
    <m/>
    <x v="9"/>
    <s v="N"/>
    <x v="2"/>
    <n v="10"/>
    <n v="5"/>
    <x v="0"/>
    <m/>
    <m/>
    <m/>
    <n v="2"/>
    <m/>
    <m/>
    <m/>
    <m/>
    <m/>
    <n v="2"/>
    <n v="8"/>
    <x v="0"/>
    <n v="4"/>
    <m/>
    <n v="8"/>
    <x v="1"/>
    <n v="2"/>
    <x v="0"/>
    <m/>
    <m/>
    <n v="35"/>
    <x v="1"/>
    <s v="26/05/2023"/>
    <d v="2023-05-26T00:00:00"/>
    <s v="2023022-10"/>
    <x v="3"/>
  </r>
  <r>
    <x v="341"/>
    <n v="2023022"/>
    <x v="22"/>
    <s v="Chickpea"/>
    <m/>
    <x v="4"/>
    <s v="Y"/>
    <x v="1"/>
    <n v="11"/>
    <n v="6"/>
    <x v="0"/>
    <m/>
    <m/>
    <m/>
    <n v="2"/>
    <m/>
    <m/>
    <m/>
    <m/>
    <m/>
    <n v="3"/>
    <n v="7"/>
    <x v="1"/>
    <n v="3"/>
    <m/>
    <m/>
    <x v="1"/>
    <n v="4"/>
    <x v="0"/>
    <m/>
    <m/>
    <n v="35"/>
    <x v="1"/>
    <s v="26/05/2023"/>
    <d v="2023-05-26T00:00:00"/>
    <s v="2023022-11"/>
    <x v="3"/>
  </r>
  <r>
    <x v="341"/>
    <n v="2023022"/>
    <x v="22"/>
    <s v="Chickpea"/>
    <m/>
    <x v="4"/>
    <s v="Y"/>
    <x v="2"/>
    <n v="12"/>
    <n v="6"/>
    <x v="0"/>
    <m/>
    <m/>
    <m/>
    <n v="2"/>
    <m/>
    <m/>
    <m/>
    <m/>
    <m/>
    <n v="3"/>
    <n v="8"/>
    <x v="1"/>
    <n v="4"/>
    <m/>
    <n v="7"/>
    <x v="1"/>
    <n v="4"/>
    <x v="0"/>
    <m/>
    <m/>
    <n v="35"/>
    <x v="1"/>
    <s v="26/05/2023"/>
    <d v="2023-05-26T00:00:00"/>
    <s v="2023022-12"/>
    <x v="3"/>
  </r>
  <r>
    <x v="342"/>
    <n v="2023022"/>
    <x v="22"/>
    <s v="Chickpea"/>
    <m/>
    <x v="3"/>
    <s v="N"/>
    <x v="1"/>
    <n v="13"/>
    <n v="7"/>
    <x v="0"/>
    <m/>
    <m/>
    <m/>
    <n v="2"/>
    <m/>
    <m/>
    <m/>
    <m/>
    <m/>
    <n v="5"/>
    <n v="7"/>
    <x v="2"/>
    <n v="3"/>
    <m/>
    <m/>
    <x v="1"/>
    <n v="3"/>
    <x v="0"/>
    <m/>
    <m/>
    <n v="35"/>
    <x v="1"/>
    <s v="26/05/2023"/>
    <d v="2023-05-26T00:00:00"/>
    <s v="2023022-13"/>
    <x v="3"/>
  </r>
  <r>
    <x v="342"/>
    <n v="2023022"/>
    <x v="22"/>
    <s v="Chickpea"/>
    <m/>
    <x v="3"/>
    <s v="N"/>
    <x v="2"/>
    <n v="14"/>
    <n v="7"/>
    <x v="0"/>
    <m/>
    <m/>
    <m/>
    <n v="2"/>
    <m/>
    <m/>
    <m/>
    <m/>
    <m/>
    <n v="5"/>
    <n v="8"/>
    <x v="2"/>
    <n v="4"/>
    <m/>
    <n v="6"/>
    <x v="1"/>
    <n v="3"/>
    <x v="0"/>
    <m/>
    <m/>
    <n v="35"/>
    <x v="1"/>
    <s v="26/05/2023"/>
    <d v="2023-05-26T00:00:00"/>
    <s v="2023022-14"/>
    <x v="3"/>
  </r>
  <r>
    <x v="343"/>
    <n v="2023022"/>
    <x v="22"/>
    <s v="Chickpea"/>
    <m/>
    <x v="8"/>
    <s v="Y"/>
    <x v="1"/>
    <n v="15"/>
    <n v="8"/>
    <x v="0"/>
    <m/>
    <m/>
    <m/>
    <n v="2"/>
    <m/>
    <m/>
    <m/>
    <m/>
    <m/>
    <n v="6"/>
    <n v="7"/>
    <x v="3"/>
    <n v="3"/>
    <m/>
    <m/>
    <x v="1"/>
    <n v="1"/>
    <x v="0"/>
    <m/>
    <m/>
    <n v="35"/>
    <x v="1"/>
    <s v="26/05/2023"/>
    <d v="2023-05-26T00:00:00"/>
    <s v="2023022-15"/>
    <x v="3"/>
  </r>
  <r>
    <x v="343"/>
    <n v="2023022"/>
    <x v="22"/>
    <s v="Chickpea"/>
    <m/>
    <x v="8"/>
    <s v="Y"/>
    <x v="2"/>
    <n v="16"/>
    <n v="8"/>
    <x v="0"/>
    <m/>
    <m/>
    <m/>
    <n v="2"/>
    <m/>
    <m/>
    <m/>
    <m/>
    <m/>
    <n v="6"/>
    <n v="8"/>
    <x v="3"/>
    <n v="4"/>
    <m/>
    <n v="5"/>
    <x v="1"/>
    <n v="1"/>
    <x v="0"/>
    <m/>
    <m/>
    <n v="35"/>
    <x v="1"/>
    <s v="26/05/2023"/>
    <d v="2023-05-26T00:00:00"/>
    <s v="2023022-16"/>
    <x v="3"/>
  </r>
  <r>
    <x v="344"/>
    <n v="2023022"/>
    <x v="22"/>
    <s v="Chickpea"/>
    <m/>
    <x v="3"/>
    <s v="N"/>
    <x v="2"/>
    <n v="17"/>
    <n v="9"/>
    <x v="0"/>
    <m/>
    <m/>
    <m/>
    <n v="3"/>
    <m/>
    <m/>
    <m/>
    <m/>
    <m/>
    <n v="2"/>
    <n v="11"/>
    <x v="0"/>
    <n v="5"/>
    <m/>
    <n v="9"/>
    <x v="1"/>
    <n v="3"/>
    <x v="0"/>
    <m/>
    <m/>
    <n v="35"/>
    <x v="2"/>
    <s v="3/07/2023"/>
    <d v="2023-07-03T00:00:00"/>
    <s v="2023022-17"/>
    <x v="3"/>
  </r>
  <r>
    <x v="344"/>
    <n v="2023022"/>
    <x v="22"/>
    <s v="Chickpea"/>
    <m/>
    <x v="3"/>
    <s v="N"/>
    <x v="1"/>
    <n v="18"/>
    <n v="9"/>
    <x v="0"/>
    <m/>
    <m/>
    <m/>
    <n v="3"/>
    <m/>
    <m/>
    <m/>
    <m/>
    <m/>
    <n v="2"/>
    <n v="12"/>
    <x v="0"/>
    <n v="6"/>
    <m/>
    <m/>
    <x v="1"/>
    <n v="3"/>
    <x v="0"/>
    <m/>
    <m/>
    <n v="35"/>
    <x v="2"/>
    <s v="3/07/2023"/>
    <d v="2023-07-03T00:00:00"/>
    <s v="2023022-18"/>
    <x v="3"/>
  </r>
  <r>
    <x v="345"/>
    <n v="2023022"/>
    <x v="22"/>
    <s v="Chickpea"/>
    <m/>
    <x v="8"/>
    <s v="Y"/>
    <x v="2"/>
    <n v="19"/>
    <n v="10"/>
    <x v="0"/>
    <m/>
    <m/>
    <m/>
    <n v="3"/>
    <m/>
    <m/>
    <m/>
    <m/>
    <m/>
    <n v="3"/>
    <n v="11"/>
    <x v="1"/>
    <n v="5"/>
    <m/>
    <n v="10"/>
    <x v="1"/>
    <n v="1"/>
    <x v="0"/>
    <m/>
    <m/>
    <n v="35"/>
    <x v="2"/>
    <s v="3/07/2023"/>
    <d v="2023-07-03T00:00:00"/>
    <s v="2023022-19"/>
    <x v="3"/>
  </r>
  <r>
    <x v="345"/>
    <n v="2023022"/>
    <x v="22"/>
    <s v="Chickpea"/>
    <m/>
    <x v="8"/>
    <s v="Y"/>
    <x v="1"/>
    <n v="20"/>
    <n v="10"/>
    <x v="0"/>
    <m/>
    <m/>
    <m/>
    <n v="3"/>
    <m/>
    <m/>
    <m/>
    <m/>
    <m/>
    <n v="3"/>
    <n v="12"/>
    <x v="1"/>
    <n v="6"/>
    <m/>
    <m/>
    <x v="1"/>
    <n v="1"/>
    <x v="0"/>
    <m/>
    <m/>
    <n v="35"/>
    <x v="2"/>
    <s v="3/07/2023"/>
    <d v="2023-07-03T00:00:00"/>
    <s v="2023022-20"/>
    <x v="3"/>
  </r>
  <r>
    <x v="346"/>
    <n v="2023022"/>
    <x v="22"/>
    <s v="Chickpea"/>
    <m/>
    <x v="9"/>
    <s v="N"/>
    <x v="2"/>
    <n v="21"/>
    <n v="11"/>
    <x v="0"/>
    <m/>
    <m/>
    <m/>
    <n v="3"/>
    <m/>
    <m/>
    <m/>
    <m/>
    <m/>
    <n v="5"/>
    <n v="11"/>
    <x v="2"/>
    <n v="5"/>
    <m/>
    <n v="11"/>
    <x v="1"/>
    <n v="2"/>
    <x v="0"/>
    <m/>
    <m/>
    <n v="35"/>
    <x v="2"/>
    <s v="3/07/2023"/>
    <d v="2023-07-03T00:00:00"/>
    <s v="2023022-21"/>
    <x v="3"/>
  </r>
  <r>
    <x v="346"/>
    <n v="2023022"/>
    <x v="22"/>
    <s v="Chickpea"/>
    <m/>
    <x v="9"/>
    <s v="N"/>
    <x v="1"/>
    <n v="22"/>
    <n v="11"/>
    <x v="0"/>
    <m/>
    <m/>
    <m/>
    <n v="3"/>
    <m/>
    <m/>
    <m/>
    <m/>
    <m/>
    <n v="5"/>
    <n v="12"/>
    <x v="2"/>
    <n v="6"/>
    <m/>
    <m/>
    <x v="1"/>
    <n v="2"/>
    <x v="0"/>
    <m/>
    <m/>
    <n v="35"/>
    <x v="2"/>
    <s v="3/07/2023"/>
    <d v="2023-07-03T00:00:00"/>
    <s v="2023022-22"/>
    <x v="3"/>
  </r>
  <r>
    <x v="347"/>
    <n v="2023022"/>
    <x v="22"/>
    <s v="Chickpea"/>
    <m/>
    <x v="4"/>
    <s v="Y"/>
    <x v="2"/>
    <n v="23"/>
    <n v="12"/>
    <x v="0"/>
    <m/>
    <m/>
    <m/>
    <n v="3"/>
    <m/>
    <m/>
    <m/>
    <m/>
    <m/>
    <n v="6"/>
    <n v="11"/>
    <x v="3"/>
    <n v="5"/>
    <m/>
    <n v="12"/>
    <x v="1"/>
    <n v="4"/>
    <x v="0"/>
    <m/>
    <m/>
    <n v="35"/>
    <x v="2"/>
    <s v="3/07/2023"/>
    <d v="2023-07-03T00:00:00"/>
    <s v="2023022-23"/>
    <x v="3"/>
  </r>
  <r>
    <x v="347"/>
    <n v="2023022"/>
    <x v="22"/>
    <s v="Chickpea"/>
    <m/>
    <x v="4"/>
    <s v="Y"/>
    <x v="1"/>
    <n v="24"/>
    <n v="12"/>
    <x v="0"/>
    <m/>
    <m/>
    <m/>
    <n v="3"/>
    <m/>
    <m/>
    <m/>
    <m/>
    <m/>
    <n v="6"/>
    <n v="12"/>
    <x v="3"/>
    <n v="6"/>
    <m/>
    <m/>
    <x v="1"/>
    <n v="4"/>
    <x v="0"/>
    <m/>
    <m/>
    <n v="35"/>
    <x v="2"/>
    <s v="3/07/2023"/>
    <d v="2023-07-03T00:00:00"/>
    <s v="2023022-24"/>
    <x v="3"/>
  </r>
  <r>
    <x v="348"/>
    <n v="2023022"/>
    <x v="22"/>
    <s v="Chickpea"/>
    <m/>
    <x v="8"/>
    <s v="Y"/>
    <x v="1"/>
    <n v="25"/>
    <n v="13"/>
    <x v="0"/>
    <m/>
    <m/>
    <m/>
    <n v="4"/>
    <m/>
    <m/>
    <m/>
    <m/>
    <m/>
    <n v="2"/>
    <n v="15"/>
    <x v="0"/>
    <n v="7"/>
    <m/>
    <m/>
    <x v="0"/>
    <n v="1"/>
    <x v="0"/>
    <m/>
    <m/>
    <n v="35"/>
    <x v="1"/>
    <s v="26/05/2023"/>
    <d v="2023-05-26T00:00:00"/>
    <s v="2023022-25"/>
    <x v="3"/>
  </r>
  <r>
    <x v="348"/>
    <n v="2023022"/>
    <x v="22"/>
    <s v="Chickpea"/>
    <m/>
    <x v="8"/>
    <s v="Y"/>
    <x v="2"/>
    <n v="26"/>
    <n v="13"/>
    <x v="0"/>
    <m/>
    <m/>
    <m/>
    <n v="4"/>
    <m/>
    <m/>
    <m/>
    <m/>
    <m/>
    <n v="2"/>
    <n v="16"/>
    <x v="0"/>
    <n v="8"/>
    <m/>
    <n v="16"/>
    <x v="0"/>
    <n v="1"/>
    <x v="0"/>
    <m/>
    <m/>
    <n v="35"/>
    <x v="1"/>
    <s v="26/05/2023"/>
    <d v="2023-05-26T00:00:00"/>
    <s v="2023022-26"/>
    <x v="3"/>
  </r>
  <r>
    <x v="349"/>
    <n v="2023022"/>
    <x v="22"/>
    <s v="Chickpea"/>
    <m/>
    <x v="9"/>
    <s v="N"/>
    <x v="1"/>
    <n v="27"/>
    <n v="14"/>
    <x v="0"/>
    <m/>
    <m/>
    <m/>
    <n v="4"/>
    <m/>
    <m/>
    <m/>
    <m/>
    <m/>
    <n v="3"/>
    <n v="15"/>
    <x v="1"/>
    <n v="7"/>
    <m/>
    <m/>
    <x v="0"/>
    <n v="2"/>
    <x v="0"/>
    <m/>
    <m/>
    <n v="35"/>
    <x v="1"/>
    <s v="26/05/2023"/>
    <d v="2023-05-26T00:00:00"/>
    <s v="2023022-27"/>
    <x v="3"/>
  </r>
  <r>
    <x v="349"/>
    <n v="2023022"/>
    <x v="22"/>
    <s v="Chickpea"/>
    <m/>
    <x v="9"/>
    <s v="N"/>
    <x v="2"/>
    <n v="28"/>
    <n v="14"/>
    <x v="0"/>
    <m/>
    <m/>
    <m/>
    <n v="4"/>
    <m/>
    <m/>
    <m/>
    <m/>
    <m/>
    <n v="3"/>
    <n v="16"/>
    <x v="1"/>
    <n v="8"/>
    <m/>
    <n v="15"/>
    <x v="0"/>
    <n v="2"/>
    <x v="0"/>
    <m/>
    <m/>
    <n v="35"/>
    <x v="1"/>
    <s v="26/05/2023"/>
    <d v="2023-05-26T00:00:00"/>
    <s v="2023022-28"/>
    <x v="3"/>
  </r>
  <r>
    <x v="350"/>
    <n v="2023022"/>
    <x v="22"/>
    <s v="Chickpea"/>
    <m/>
    <x v="4"/>
    <s v="Y"/>
    <x v="1"/>
    <n v="29"/>
    <n v="15"/>
    <x v="0"/>
    <m/>
    <m/>
    <m/>
    <n v="4"/>
    <m/>
    <m/>
    <m/>
    <m/>
    <m/>
    <n v="5"/>
    <n v="15"/>
    <x v="2"/>
    <n v="7"/>
    <m/>
    <m/>
    <x v="0"/>
    <n v="4"/>
    <x v="0"/>
    <m/>
    <m/>
    <n v="35"/>
    <x v="1"/>
    <s v="26/05/2023"/>
    <d v="2023-05-26T00:00:00"/>
    <s v="2023022-29"/>
    <x v="3"/>
  </r>
  <r>
    <x v="350"/>
    <n v="2023022"/>
    <x v="22"/>
    <s v="Chickpea"/>
    <m/>
    <x v="4"/>
    <s v="Y"/>
    <x v="2"/>
    <n v="30"/>
    <n v="15"/>
    <x v="0"/>
    <m/>
    <m/>
    <m/>
    <n v="4"/>
    <m/>
    <m/>
    <m/>
    <m/>
    <m/>
    <n v="5"/>
    <n v="16"/>
    <x v="2"/>
    <n v="8"/>
    <m/>
    <n v="14"/>
    <x v="0"/>
    <n v="4"/>
    <x v="0"/>
    <m/>
    <m/>
    <n v="35"/>
    <x v="1"/>
    <s v="26/05/2023"/>
    <d v="2023-05-26T00:00:00"/>
    <s v="2023022-30"/>
    <x v="3"/>
  </r>
  <r>
    <x v="351"/>
    <n v="2023022"/>
    <x v="22"/>
    <s v="Chickpea"/>
    <m/>
    <x v="3"/>
    <s v="N"/>
    <x v="1"/>
    <n v="31"/>
    <n v="16"/>
    <x v="0"/>
    <m/>
    <m/>
    <m/>
    <n v="4"/>
    <m/>
    <m/>
    <m/>
    <m/>
    <m/>
    <n v="6"/>
    <n v="15"/>
    <x v="3"/>
    <n v="7"/>
    <m/>
    <m/>
    <x v="0"/>
    <n v="3"/>
    <x v="0"/>
    <m/>
    <m/>
    <n v="35"/>
    <x v="1"/>
    <s v="26/05/2023"/>
    <d v="2023-05-26T00:00:00"/>
    <s v="2023022-31"/>
    <x v="3"/>
  </r>
  <r>
    <x v="351"/>
    <n v="2023022"/>
    <x v="22"/>
    <s v="Chickpea"/>
    <m/>
    <x v="3"/>
    <s v="N"/>
    <x v="2"/>
    <n v="32"/>
    <n v="16"/>
    <x v="0"/>
    <m/>
    <m/>
    <m/>
    <n v="4"/>
    <m/>
    <m/>
    <m/>
    <m/>
    <m/>
    <n v="6"/>
    <n v="16"/>
    <x v="3"/>
    <n v="8"/>
    <m/>
    <n v="13"/>
    <x v="0"/>
    <n v="3"/>
    <x v="0"/>
    <m/>
    <m/>
    <n v="35"/>
    <x v="1"/>
    <s v="26/05/2023"/>
    <d v="2023-05-26T00:00:00"/>
    <s v="2023022-32"/>
    <x v="3"/>
  </r>
  <r>
    <x v="342"/>
    <n v="2023022"/>
    <x v="22"/>
    <s v="Chickpea"/>
    <m/>
    <x v="3"/>
    <s v="N"/>
    <x v="2"/>
    <n v="33"/>
    <n v="17"/>
    <x v="1"/>
    <m/>
    <m/>
    <m/>
    <n v="5"/>
    <m/>
    <m/>
    <m/>
    <m/>
    <m/>
    <n v="2"/>
    <n v="19"/>
    <x v="0"/>
    <n v="9"/>
    <m/>
    <n v="17"/>
    <x v="1"/>
    <n v="3"/>
    <x v="0"/>
    <m/>
    <m/>
    <n v="35"/>
    <x v="1"/>
    <s v="26/05/2023"/>
    <d v="2023-05-26T00:00:00"/>
    <s v="2023022-33"/>
    <x v="3"/>
  </r>
  <r>
    <x v="342"/>
    <n v="2023022"/>
    <x v="22"/>
    <s v="Chickpea"/>
    <m/>
    <x v="3"/>
    <s v="N"/>
    <x v="1"/>
    <n v="34"/>
    <n v="17"/>
    <x v="1"/>
    <m/>
    <m/>
    <m/>
    <n v="5"/>
    <m/>
    <m/>
    <m/>
    <m/>
    <m/>
    <n v="2"/>
    <n v="20"/>
    <x v="0"/>
    <n v="10"/>
    <m/>
    <m/>
    <x v="1"/>
    <n v="3"/>
    <x v="0"/>
    <m/>
    <m/>
    <n v="35"/>
    <x v="1"/>
    <s v="26/05/2023"/>
    <d v="2023-05-26T00:00:00"/>
    <s v="2023022-34"/>
    <x v="3"/>
  </r>
  <r>
    <x v="340"/>
    <n v="2023022"/>
    <x v="22"/>
    <s v="Chickpea"/>
    <m/>
    <x v="9"/>
    <s v="N"/>
    <x v="2"/>
    <n v="35"/>
    <n v="18"/>
    <x v="1"/>
    <m/>
    <m/>
    <m/>
    <n v="5"/>
    <m/>
    <m/>
    <m/>
    <m/>
    <m/>
    <n v="3"/>
    <n v="19"/>
    <x v="1"/>
    <n v="9"/>
    <m/>
    <n v="18"/>
    <x v="1"/>
    <n v="2"/>
    <x v="0"/>
    <m/>
    <m/>
    <n v="35"/>
    <x v="1"/>
    <s v="26/05/2023"/>
    <d v="2023-05-26T00:00:00"/>
    <s v="2023022-35"/>
    <x v="3"/>
  </r>
  <r>
    <x v="340"/>
    <n v="2023022"/>
    <x v="22"/>
    <s v="Chickpea"/>
    <m/>
    <x v="9"/>
    <s v="N"/>
    <x v="1"/>
    <n v="36"/>
    <n v="18"/>
    <x v="1"/>
    <m/>
    <m/>
    <m/>
    <n v="5"/>
    <m/>
    <m/>
    <m/>
    <m/>
    <m/>
    <n v="3"/>
    <n v="20"/>
    <x v="1"/>
    <n v="10"/>
    <m/>
    <m/>
    <x v="1"/>
    <n v="2"/>
    <x v="0"/>
    <m/>
    <m/>
    <n v="35"/>
    <x v="1"/>
    <s v="26/05/2023"/>
    <d v="2023-05-26T00:00:00"/>
    <s v="2023022-36"/>
    <x v="3"/>
  </r>
  <r>
    <x v="343"/>
    <n v="2023022"/>
    <x v="22"/>
    <s v="Chickpea"/>
    <m/>
    <x v="8"/>
    <s v="Y"/>
    <x v="2"/>
    <n v="37"/>
    <n v="19"/>
    <x v="1"/>
    <m/>
    <m/>
    <m/>
    <n v="5"/>
    <m/>
    <m/>
    <m/>
    <m/>
    <m/>
    <n v="5"/>
    <n v="19"/>
    <x v="2"/>
    <n v="9"/>
    <m/>
    <n v="19"/>
    <x v="1"/>
    <n v="1"/>
    <x v="0"/>
    <m/>
    <m/>
    <n v="35"/>
    <x v="1"/>
    <s v="26/05/2023"/>
    <d v="2023-05-26T00:00:00"/>
    <s v="2023022-37"/>
    <x v="3"/>
  </r>
  <r>
    <x v="343"/>
    <n v="2023022"/>
    <x v="22"/>
    <s v="Chickpea"/>
    <m/>
    <x v="8"/>
    <s v="Y"/>
    <x v="1"/>
    <n v="38"/>
    <n v="19"/>
    <x v="1"/>
    <m/>
    <m/>
    <m/>
    <n v="5"/>
    <m/>
    <m/>
    <m/>
    <m/>
    <m/>
    <n v="5"/>
    <n v="20"/>
    <x v="2"/>
    <n v="10"/>
    <m/>
    <m/>
    <x v="1"/>
    <n v="1"/>
    <x v="0"/>
    <m/>
    <m/>
    <n v="35"/>
    <x v="1"/>
    <s v="26/05/2023"/>
    <d v="2023-05-26T00:00:00"/>
    <s v="2023022-38"/>
    <x v="3"/>
  </r>
  <r>
    <x v="341"/>
    <n v="2023022"/>
    <x v="22"/>
    <s v="Chickpea"/>
    <m/>
    <x v="4"/>
    <s v="Y"/>
    <x v="2"/>
    <n v="39"/>
    <n v="20"/>
    <x v="1"/>
    <m/>
    <m/>
    <m/>
    <n v="5"/>
    <m/>
    <m/>
    <m/>
    <m/>
    <m/>
    <n v="6"/>
    <n v="19"/>
    <x v="3"/>
    <n v="9"/>
    <m/>
    <n v="20"/>
    <x v="1"/>
    <n v="4"/>
    <x v="0"/>
    <m/>
    <m/>
    <n v="35"/>
    <x v="1"/>
    <s v="26/05/2023"/>
    <d v="2023-05-26T00:00:00"/>
    <s v="2023022-39"/>
    <x v="3"/>
  </r>
  <r>
    <x v="341"/>
    <n v="2023022"/>
    <x v="22"/>
    <s v="Chickpea"/>
    <m/>
    <x v="4"/>
    <s v="Y"/>
    <x v="1"/>
    <n v="40"/>
    <n v="20"/>
    <x v="1"/>
    <m/>
    <m/>
    <m/>
    <n v="5"/>
    <m/>
    <m/>
    <m/>
    <m/>
    <m/>
    <n v="6"/>
    <n v="20"/>
    <x v="3"/>
    <n v="10"/>
    <m/>
    <m/>
    <x v="1"/>
    <n v="4"/>
    <x v="0"/>
    <m/>
    <m/>
    <n v="35"/>
    <x v="1"/>
    <s v="26/05/2023"/>
    <d v="2023-05-26T00:00:00"/>
    <s v="2023022-40"/>
    <x v="3"/>
  </r>
  <r>
    <x v="346"/>
    <n v="2023022"/>
    <x v="22"/>
    <s v="Chickpea"/>
    <m/>
    <x v="9"/>
    <s v="N"/>
    <x v="2"/>
    <n v="41"/>
    <n v="21"/>
    <x v="1"/>
    <m/>
    <m/>
    <m/>
    <n v="6"/>
    <m/>
    <m/>
    <m/>
    <m/>
    <m/>
    <n v="2"/>
    <n v="23"/>
    <x v="0"/>
    <n v="11"/>
    <m/>
    <n v="24"/>
    <x v="1"/>
    <n v="2"/>
    <x v="0"/>
    <m/>
    <m/>
    <n v="35"/>
    <x v="2"/>
    <s v="3/07/2023"/>
    <d v="2023-07-03T00:00:00"/>
    <s v="2023022-41"/>
    <x v="3"/>
  </r>
  <r>
    <x v="346"/>
    <n v="2023022"/>
    <x v="22"/>
    <s v="Chickpea"/>
    <m/>
    <x v="9"/>
    <s v="N"/>
    <x v="1"/>
    <n v="42"/>
    <n v="21"/>
    <x v="1"/>
    <m/>
    <m/>
    <m/>
    <n v="6"/>
    <m/>
    <m/>
    <m/>
    <m/>
    <m/>
    <n v="2"/>
    <n v="24"/>
    <x v="0"/>
    <n v="12"/>
    <m/>
    <m/>
    <x v="1"/>
    <n v="2"/>
    <x v="0"/>
    <m/>
    <m/>
    <n v="35"/>
    <x v="2"/>
    <s v="3/07/2023"/>
    <d v="2023-07-03T00:00:00"/>
    <s v="2023022-42"/>
    <x v="3"/>
  </r>
  <r>
    <x v="344"/>
    <n v="2023022"/>
    <x v="22"/>
    <s v="Chickpea"/>
    <m/>
    <x v="3"/>
    <s v="N"/>
    <x v="2"/>
    <n v="43"/>
    <n v="22"/>
    <x v="1"/>
    <m/>
    <m/>
    <m/>
    <n v="6"/>
    <m/>
    <m/>
    <m/>
    <m/>
    <m/>
    <n v="3"/>
    <n v="23"/>
    <x v="1"/>
    <n v="11"/>
    <m/>
    <n v="23"/>
    <x v="1"/>
    <n v="3"/>
    <x v="0"/>
    <m/>
    <m/>
    <n v="35"/>
    <x v="2"/>
    <s v="3/07/2023"/>
    <d v="2023-07-03T00:00:00"/>
    <s v="2023022-43"/>
    <x v="3"/>
  </r>
  <r>
    <x v="344"/>
    <n v="2023022"/>
    <x v="22"/>
    <s v="Chickpea"/>
    <m/>
    <x v="3"/>
    <s v="N"/>
    <x v="1"/>
    <n v="44"/>
    <n v="22"/>
    <x v="1"/>
    <m/>
    <m/>
    <m/>
    <n v="6"/>
    <m/>
    <m/>
    <m/>
    <m/>
    <m/>
    <n v="3"/>
    <n v="24"/>
    <x v="1"/>
    <n v="12"/>
    <m/>
    <m/>
    <x v="1"/>
    <n v="3"/>
    <x v="0"/>
    <m/>
    <m/>
    <n v="35"/>
    <x v="2"/>
    <s v="3/07/2023"/>
    <d v="2023-07-03T00:00:00"/>
    <s v="2023022-44"/>
    <x v="3"/>
  </r>
  <r>
    <x v="347"/>
    <n v="2023022"/>
    <x v="22"/>
    <s v="Chickpea"/>
    <m/>
    <x v="4"/>
    <s v="Y"/>
    <x v="2"/>
    <n v="45"/>
    <n v="23"/>
    <x v="1"/>
    <m/>
    <m/>
    <m/>
    <n v="6"/>
    <m/>
    <m/>
    <m/>
    <m/>
    <m/>
    <n v="5"/>
    <n v="23"/>
    <x v="2"/>
    <n v="11"/>
    <m/>
    <n v="22"/>
    <x v="1"/>
    <n v="4"/>
    <x v="0"/>
    <m/>
    <m/>
    <n v="35"/>
    <x v="2"/>
    <s v="3/07/2023"/>
    <d v="2023-07-03T00:00:00"/>
    <s v="2023022-45"/>
    <x v="3"/>
  </r>
  <r>
    <x v="347"/>
    <n v="2023022"/>
    <x v="22"/>
    <s v="Chickpea"/>
    <m/>
    <x v="4"/>
    <s v="Y"/>
    <x v="1"/>
    <n v="46"/>
    <n v="23"/>
    <x v="1"/>
    <m/>
    <m/>
    <m/>
    <n v="6"/>
    <m/>
    <m/>
    <m/>
    <m/>
    <m/>
    <n v="5"/>
    <n v="24"/>
    <x v="2"/>
    <n v="12"/>
    <m/>
    <m/>
    <x v="1"/>
    <n v="4"/>
    <x v="0"/>
    <m/>
    <m/>
    <n v="35"/>
    <x v="2"/>
    <s v="3/07/2023"/>
    <d v="2023-07-03T00:00:00"/>
    <s v="2023022-46"/>
    <x v="3"/>
  </r>
  <r>
    <x v="345"/>
    <n v="2023022"/>
    <x v="22"/>
    <s v="Chickpea"/>
    <m/>
    <x v="8"/>
    <s v="Y"/>
    <x v="2"/>
    <n v="47"/>
    <n v="24"/>
    <x v="1"/>
    <m/>
    <m/>
    <m/>
    <n v="6"/>
    <m/>
    <m/>
    <m/>
    <m/>
    <m/>
    <n v="6"/>
    <n v="23"/>
    <x v="3"/>
    <n v="11"/>
    <m/>
    <n v="21"/>
    <x v="1"/>
    <n v="1"/>
    <x v="0"/>
    <m/>
    <m/>
    <n v="35"/>
    <x v="2"/>
    <s v="3/07/2023"/>
    <d v="2023-07-03T00:00:00"/>
    <s v="2023022-47"/>
    <x v="3"/>
  </r>
  <r>
    <x v="345"/>
    <n v="2023022"/>
    <x v="22"/>
    <s v="Chickpea"/>
    <m/>
    <x v="8"/>
    <s v="Y"/>
    <x v="1"/>
    <n v="48"/>
    <n v="24"/>
    <x v="1"/>
    <m/>
    <m/>
    <m/>
    <n v="6"/>
    <m/>
    <m/>
    <m/>
    <m/>
    <m/>
    <n v="6"/>
    <n v="24"/>
    <x v="3"/>
    <n v="12"/>
    <m/>
    <m/>
    <x v="1"/>
    <n v="1"/>
    <x v="0"/>
    <m/>
    <m/>
    <n v="35"/>
    <x v="2"/>
    <s v="3/07/2023"/>
    <d v="2023-07-03T00:00:00"/>
    <s v="2023022-48"/>
    <x v="3"/>
  </r>
  <r>
    <x v="350"/>
    <n v="2023022"/>
    <x v="22"/>
    <s v="Chickpea"/>
    <m/>
    <x v="4"/>
    <s v="Y"/>
    <x v="2"/>
    <n v="49"/>
    <n v="25"/>
    <x v="1"/>
    <m/>
    <m/>
    <m/>
    <n v="7"/>
    <m/>
    <m/>
    <m/>
    <m/>
    <m/>
    <n v="2"/>
    <n v="27"/>
    <x v="0"/>
    <n v="13"/>
    <m/>
    <n v="25"/>
    <x v="0"/>
    <n v="4"/>
    <x v="0"/>
    <m/>
    <m/>
    <n v="35"/>
    <x v="1"/>
    <s v="26/05/2023"/>
    <d v="2023-05-26T00:00:00"/>
    <s v="2023022-49"/>
    <x v="3"/>
  </r>
  <r>
    <x v="350"/>
    <n v="2023022"/>
    <x v="22"/>
    <s v="Chickpea"/>
    <m/>
    <x v="4"/>
    <s v="Y"/>
    <x v="1"/>
    <n v="50"/>
    <n v="25"/>
    <x v="1"/>
    <m/>
    <m/>
    <m/>
    <n v="7"/>
    <m/>
    <m/>
    <m/>
    <m/>
    <m/>
    <n v="2"/>
    <n v="28"/>
    <x v="0"/>
    <n v="14"/>
    <m/>
    <m/>
    <x v="0"/>
    <n v="4"/>
    <x v="0"/>
    <m/>
    <m/>
    <n v="35"/>
    <x v="1"/>
    <s v="26/05/2023"/>
    <d v="2023-05-26T00:00:00"/>
    <s v="2023022-50"/>
    <x v="3"/>
  </r>
  <r>
    <x v="348"/>
    <n v="2023022"/>
    <x v="22"/>
    <s v="Chickpea"/>
    <m/>
    <x v="8"/>
    <s v="Y"/>
    <x v="2"/>
    <n v="51"/>
    <n v="26"/>
    <x v="1"/>
    <m/>
    <m/>
    <m/>
    <n v="7"/>
    <m/>
    <m/>
    <m/>
    <m/>
    <m/>
    <n v="3"/>
    <n v="27"/>
    <x v="1"/>
    <n v="13"/>
    <m/>
    <n v="26"/>
    <x v="0"/>
    <n v="1"/>
    <x v="0"/>
    <m/>
    <m/>
    <n v="35"/>
    <x v="1"/>
    <s v="26/05/2023"/>
    <d v="2023-05-26T00:00:00"/>
    <s v="2023022-51"/>
    <x v="3"/>
  </r>
  <r>
    <x v="348"/>
    <n v="2023022"/>
    <x v="22"/>
    <s v="Chickpea"/>
    <m/>
    <x v="8"/>
    <s v="Y"/>
    <x v="1"/>
    <n v="52"/>
    <n v="26"/>
    <x v="1"/>
    <m/>
    <m/>
    <m/>
    <n v="7"/>
    <m/>
    <m/>
    <m/>
    <m/>
    <m/>
    <n v="3"/>
    <n v="28"/>
    <x v="1"/>
    <n v="14"/>
    <m/>
    <m/>
    <x v="0"/>
    <n v="1"/>
    <x v="0"/>
    <m/>
    <m/>
    <n v="35"/>
    <x v="1"/>
    <s v="26/05/2023"/>
    <d v="2023-05-26T00:00:00"/>
    <s v="2023022-52"/>
    <x v="3"/>
  </r>
  <r>
    <x v="349"/>
    <n v="2023022"/>
    <x v="22"/>
    <s v="Chickpea"/>
    <m/>
    <x v="9"/>
    <s v="N"/>
    <x v="2"/>
    <n v="53"/>
    <n v="27"/>
    <x v="1"/>
    <m/>
    <m/>
    <m/>
    <n v="7"/>
    <m/>
    <m/>
    <m/>
    <m/>
    <m/>
    <n v="5"/>
    <n v="27"/>
    <x v="2"/>
    <n v="13"/>
    <m/>
    <n v="27"/>
    <x v="0"/>
    <n v="2"/>
    <x v="0"/>
    <m/>
    <m/>
    <n v="35"/>
    <x v="1"/>
    <s v="26/05/2023"/>
    <d v="2023-05-26T00:00:00"/>
    <s v="2023022-53"/>
    <x v="3"/>
  </r>
  <r>
    <x v="349"/>
    <n v="2023022"/>
    <x v="22"/>
    <s v="Chickpea"/>
    <m/>
    <x v="9"/>
    <s v="N"/>
    <x v="1"/>
    <n v="54"/>
    <n v="27"/>
    <x v="1"/>
    <m/>
    <m/>
    <m/>
    <n v="7"/>
    <m/>
    <m/>
    <m/>
    <m/>
    <m/>
    <n v="5"/>
    <n v="28"/>
    <x v="2"/>
    <n v="14"/>
    <m/>
    <m/>
    <x v="0"/>
    <n v="2"/>
    <x v="0"/>
    <m/>
    <m/>
    <n v="35"/>
    <x v="1"/>
    <s v="26/05/2023"/>
    <d v="2023-05-26T00:00:00"/>
    <s v="2023022-54"/>
    <x v="3"/>
  </r>
  <r>
    <x v="351"/>
    <n v="2023022"/>
    <x v="22"/>
    <s v="Chickpea"/>
    <m/>
    <x v="3"/>
    <s v="N"/>
    <x v="2"/>
    <n v="55"/>
    <n v="28"/>
    <x v="1"/>
    <m/>
    <m/>
    <m/>
    <n v="7"/>
    <m/>
    <m/>
    <m/>
    <m/>
    <m/>
    <n v="6"/>
    <n v="27"/>
    <x v="3"/>
    <n v="13"/>
    <m/>
    <n v="28"/>
    <x v="0"/>
    <n v="3"/>
    <x v="0"/>
    <m/>
    <m/>
    <n v="35"/>
    <x v="1"/>
    <s v="26/05/2023"/>
    <d v="2023-05-26T00:00:00"/>
    <s v="2023022-55"/>
    <x v="3"/>
  </r>
  <r>
    <x v="351"/>
    <n v="2023022"/>
    <x v="22"/>
    <s v="Chickpea"/>
    <m/>
    <x v="3"/>
    <s v="N"/>
    <x v="1"/>
    <n v="56"/>
    <n v="28"/>
    <x v="1"/>
    <m/>
    <m/>
    <m/>
    <n v="7"/>
    <m/>
    <m/>
    <m/>
    <m/>
    <m/>
    <n v="6"/>
    <n v="28"/>
    <x v="3"/>
    <n v="14"/>
    <m/>
    <m/>
    <x v="0"/>
    <n v="3"/>
    <x v="0"/>
    <m/>
    <m/>
    <n v="35"/>
    <x v="1"/>
    <s v="26/05/2023"/>
    <d v="2023-05-26T00:00:00"/>
    <s v="2023022-56"/>
    <x v="3"/>
  </r>
  <r>
    <x v="338"/>
    <n v="2023022"/>
    <x v="22"/>
    <s v="Chickpea"/>
    <m/>
    <x v="8"/>
    <s v="Y"/>
    <x v="2"/>
    <n v="57"/>
    <n v="29"/>
    <x v="1"/>
    <m/>
    <m/>
    <m/>
    <n v="8"/>
    <m/>
    <m/>
    <m/>
    <m/>
    <m/>
    <n v="2"/>
    <n v="31"/>
    <x v="0"/>
    <n v="15"/>
    <m/>
    <n v="32"/>
    <x v="0"/>
    <n v="1"/>
    <x v="0"/>
    <m/>
    <m/>
    <n v="35"/>
    <x v="2"/>
    <s v="3/07/2023"/>
    <d v="2023-07-03T00:00:00"/>
    <s v="2023022-57"/>
    <x v="3"/>
  </r>
  <r>
    <x v="338"/>
    <n v="2023022"/>
    <x v="22"/>
    <s v="Chickpea"/>
    <m/>
    <x v="8"/>
    <s v="Y"/>
    <x v="1"/>
    <n v="58"/>
    <n v="29"/>
    <x v="1"/>
    <m/>
    <m/>
    <m/>
    <n v="8"/>
    <m/>
    <m/>
    <m/>
    <m/>
    <m/>
    <n v="2"/>
    <n v="32"/>
    <x v="0"/>
    <n v="16"/>
    <m/>
    <m/>
    <x v="0"/>
    <n v="1"/>
    <x v="0"/>
    <m/>
    <m/>
    <n v="35"/>
    <x v="2"/>
    <s v="3/07/2023"/>
    <d v="2023-07-03T00:00:00"/>
    <s v="2023022-58"/>
    <x v="3"/>
  </r>
  <r>
    <x v="336"/>
    <n v="2023022"/>
    <x v="22"/>
    <s v="Chickpea"/>
    <m/>
    <x v="4"/>
    <s v="Y"/>
    <x v="2"/>
    <n v="59"/>
    <n v="30"/>
    <x v="1"/>
    <m/>
    <m/>
    <m/>
    <n v="8"/>
    <m/>
    <m/>
    <m/>
    <m/>
    <m/>
    <n v="3"/>
    <n v="31"/>
    <x v="1"/>
    <n v="15"/>
    <m/>
    <n v="31"/>
    <x v="0"/>
    <n v="4"/>
    <x v="0"/>
    <m/>
    <m/>
    <n v="35"/>
    <x v="2"/>
    <s v="3/07/2023"/>
    <d v="2023-07-03T00:00:00"/>
    <s v="2023022-59"/>
    <x v="3"/>
  </r>
  <r>
    <x v="336"/>
    <n v="2023022"/>
    <x v="22"/>
    <s v="Chickpea"/>
    <m/>
    <x v="4"/>
    <s v="Y"/>
    <x v="1"/>
    <n v="60"/>
    <n v="30"/>
    <x v="1"/>
    <m/>
    <m/>
    <m/>
    <n v="8"/>
    <m/>
    <m/>
    <m/>
    <m/>
    <m/>
    <n v="3"/>
    <n v="32"/>
    <x v="1"/>
    <n v="16"/>
    <m/>
    <m/>
    <x v="0"/>
    <n v="4"/>
    <x v="0"/>
    <m/>
    <m/>
    <n v="35"/>
    <x v="2"/>
    <s v="3/07/2023"/>
    <d v="2023-07-03T00:00:00"/>
    <s v="2023022-60"/>
    <x v="3"/>
  </r>
  <r>
    <x v="337"/>
    <n v="2023022"/>
    <x v="22"/>
    <s v="Chickpea"/>
    <m/>
    <x v="3"/>
    <s v="N"/>
    <x v="2"/>
    <n v="61"/>
    <n v="31"/>
    <x v="1"/>
    <m/>
    <m/>
    <m/>
    <n v="8"/>
    <m/>
    <m/>
    <m/>
    <m/>
    <m/>
    <n v="5"/>
    <n v="31"/>
    <x v="2"/>
    <n v="15"/>
    <m/>
    <n v="30"/>
    <x v="0"/>
    <n v="3"/>
    <x v="0"/>
    <m/>
    <m/>
    <n v="35"/>
    <x v="2"/>
    <s v="3/07/2023"/>
    <d v="2023-07-03T00:00:00"/>
    <s v="2023022-61"/>
    <x v="3"/>
  </r>
  <r>
    <x v="337"/>
    <n v="2023022"/>
    <x v="22"/>
    <s v="Chickpea"/>
    <m/>
    <x v="3"/>
    <s v="N"/>
    <x v="1"/>
    <n v="62"/>
    <n v="31"/>
    <x v="1"/>
    <m/>
    <m/>
    <m/>
    <n v="8"/>
    <m/>
    <m/>
    <m/>
    <m/>
    <m/>
    <n v="5"/>
    <n v="32"/>
    <x v="2"/>
    <n v="16"/>
    <m/>
    <m/>
    <x v="0"/>
    <n v="3"/>
    <x v="0"/>
    <m/>
    <m/>
    <n v="35"/>
    <x v="2"/>
    <s v="3/07/2023"/>
    <d v="2023-07-03T00:00:00"/>
    <s v="2023022-62"/>
    <x v="3"/>
  </r>
  <r>
    <x v="339"/>
    <n v="2023022"/>
    <x v="22"/>
    <s v="Chickpea"/>
    <m/>
    <x v="9"/>
    <s v="N"/>
    <x v="2"/>
    <n v="63"/>
    <n v="32"/>
    <x v="1"/>
    <m/>
    <m/>
    <m/>
    <n v="8"/>
    <m/>
    <m/>
    <m/>
    <m/>
    <m/>
    <n v="6"/>
    <n v="31"/>
    <x v="3"/>
    <n v="15"/>
    <m/>
    <n v="29"/>
    <x v="0"/>
    <n v="2"/>
    <x v="0"/>
    <m/>
    <m/>
    <n v="35"/>
    <x v="2"/>
    <s v="3/07/2023"/>
    <d v="2023-07-03T00:00:00"/>
    <s v="2023022-63"/>
    <x v="3"/>
  </r>
  <r>
    <x v="339"/>
    <n v="2023022"/>
    <x v="22"/>
    <s v="Chickpea"/>
    <m/>
    <x v="9"/>
    <s v="N"/>
    <x v="1"/>
    <n v="64"/>
    <n v="32"/>
    <x v="1"/>
    <m/>
    <m/>
    <m/>
    <n v="8"/>
    <m/>
    <m/>
    <m/>
    <m/>
    <m/>
    <n v="6"/>
    <n v="32"/>
    <x v="3"/>
    <n v="16"/>
    <m/>
    <m/>
    <x v="0"/>
    <n v="2"/>
    <x v="0"/>
    <m/>
    <m/>
    <n v="35"/>
    <x v="2"/>
    <s v="3/07/2023"/>
    <d v="2023-07-03T00:00:00"/>
    <s v="2023022-64"/>
    <x v="3"/>
  </r>
  <r>
    <x v="345"/>
    <n v="2023022"/>
    <x v="22"/>
    <s v="Chickpea"/>
    <m/>
    <x v="8"/>
    <s v="Y"/>
    <x v="2"/>
    <n v="65"/>
    <n v="33"/>
    <x v="2"/>
    <m/>
    <m/>
    <m/>
    <n v="9"/>
    <m/>
    <m/>
    <m/>
    <m/>
    <m/>
    <n v="2"/>
    <n v="35"/>
    <x v="0"/>
    <n v="17"/>
    <m/>
    <n v="33"/>
    <x v="1"/>
    <n v="1"/>
    <x v="0"/>
    <m/>
    <m/>
    <n v="35"/>
    <x v="2"/>
    <s v="3/07/2023"/>
    <d v="2023-07-03T00:00:00"/>
    <s v="2023022-65"/>
    <x v="3"/>
  </r>
  <r>
    <x v="345"/>
    <n v="2023022"/>
    <x v="22"/>
    <s v="Chickpea"/>
    <m/>
    <x v="8"/>
    <s v="Y"/>
    <x v="1"/>
    <n v="66"/>
    <n v="33"/>
    <x v="2"/>
    <m/>
    <m/>
    <m/>
    <n v="9"/>
    <m/>
    <m/>
    <m/>
    <m/>
    <m/>
    <n v="2"/>
    <n v="36"/>
    <x v="0"/>
    <n v="18"/>
    <m/>
    <m/>
    <x v="1"/>
    <n v="1"/>
    <x v="0"/>
    <m/>
    <m/>
    <n v="35"/>
    <x v="2"/>
    <s v="3/07/2023"/>
    <d v="2023-07-03T00:00:00"/>
    <s v="2023022-66"/>
    <x v="3"/>
  </r>
  <r>
    <x v="347"/>
    <n v="2023022"/>
    <x v="22"/>
    <s v="Chickpea"/>
    <m/>
    <x v="4"/>
    <s v="Y"/>
    <x v="2"/>
    <n v="67"/>
    <n v="34"/>
    <x v="2"/>
    <m/>
    <m/>
    <m/>
    <n v="9"/>
    <m/>
    <m/>
    <m/>
    <m/>
    <m/>
    <n v="3"/>
    <n v="35"/>
    <x v="1"/>
    <n v="17"/>
    <m/>
    <n v="34"/>
    <x v="1"/>
    <n v="4"/>
    <x v="0"/>
    <m/>
    <m/>
    <n v="35"/>
    <x v="2"/>
    <s v="3/07/2023"/>
    <d v="2023-07-03T00:00:00"/>
    <s v="2023022-67"/>
    <x v="3"/>
  </r>
  <r>
    <x v="347"/>
    <n v="2023022"/>
    <x v="22"/>
    <s v="Chickpea"/>
    <m/>
    <x v="4"/>
    <s v="Y"/>
    <x v="1"/>
    <n v="68"/>
    <n v="34"/>
    <x v="2"/>
    <m/>
    <m/>
    <m/>
    <n v="9"/>
    <m/>
    <m/>
    <m/>
    <m/>
    <m/>
    <n v="3"/>
    <n v="36"/>
    <x v="1"/>
    <n v="18"/>
    <m/>
    <m/>
    <x v="1"/>
    <n v="4"/>
    <x v="0"/>
    <m/>
    <m/>
    <n v="35"/>
    <x v="2"/>
    <s v="3/07/2023"/>
    <d v="2023-07-03T00:00:00"/>
    <s v="2023022-68"/>
    <x v="3"/>
  </r>
  <r>
    <x v="346"/>
    <n v="2023022"/>
    <x v="22"/>
    <s v="Chickpea"/>
    <m/>
    <x v="9"/>
    <s v="N"/>
    <x v="2"/>
    <n v="69"/>
    <n v="35"/>
    <x v="2"/>
    <m/>
    <m/>
    <m/>
    <n v="9"/>
    <m/>
    <m/>
    <m/>
    <m/>
    <m/>
    <n v="5"/>
    <n v="35"/>
    <x v="2"/>
    <n v="17"/>
    <m/>
    <n v="35"/>
    <x v="1"/>
    <n v="2"/>
    <x v="0"/>
    <m/>
    <m/>
    <n v="35"/>
    <x v="2"/>
    <s v="3/07/2023"/>
    <d v="2023-07-03T00:00:00"/>
    <s v="2023022-69"/>
    <x v="3"/>
  </r>
  <r>
    <x v="346"/>
    <n v="2023022"/>
    <x v="22"/>
    <s v="Chickpea"/>
    <m/>
    <x v="9"/>
    <s v="N"/>
    <x v="1"/>
    <n v="70"/>
    <n v="35"/>
    <x v="2"/>
    <m/>
    <m/>
    <m/>
    <n v="9"/>
    <m/>
    <m/>
    <m/>
    <m/>
    <m/>
    <n v="5"/>
    <n v="36"/>
    <x v="2"/>
    <n v="18"/>
    <m/>
    <m/>
    <x v="1"/>
    <n v="2"/>
    <x v="0"/>
    <m/>
    <m/>
    <n v="35"/>
    <x v="2"/>
    <s v="3/07/2023"/>
    <d v="2023-07-03T00:00:00"/>
    <s v="2023022-70"/>
    <x v="3"/>
  </r>
  <r>
    <x v="344"/>
    <n v="2023022"/>
    <x v="22"/>
    <s v="Chickpea"/>
    <m/>
    <x v="3"/>
    <s v="N"/>
    <x v="2"/>
    <n v="71"/>
    <n v="36"/>
    <x v="2"/>
    <m/>
    <m/>
    <m/>
    <n v="9"/>
    <m/>
    <m/>
    <m/>
    <m/>
    <m/>
    <n v="6"/>
    <n v="35"/>
    <x v="3"/>
    <n v="17"/>
    <m/>
    <n v="36"/>
    <x v="1"/>
    <n v="3"/>
    <x v="0"/>
    <m/>
    <m/>
    <n v="35"/>
    <x v="2"/>
    <s v="3/07/2023"/>
    <d v="2023-07-03T00:00:00"/>
    <s v="2023022-71"/>
    <x v="3"/>
  </r>
  <r>
    <x v="344"/>
    <n v="2023022"/>
    <x v="22"/>
    <s v="Chickpea"/>
    <m/>
    <x v="3"/>
    <s v="N"/>
    <x v="1"/>
    <n v="72"/>
    <n v="36"/>
    <x v="2"/>
    <m/>
    <m/>
    <m/>
    <n v="9"/>
    <m/>
    <m/>
    <m/>
    <m/>
    <m/>
    <n v="6"/>
    <n v="36"/>
    <x v="3"/>
    <n v="18"/>
    <m/>
    <m/>
    <x v="1"/>
    <n v="3"/>
    <x v="0"/>
    <m/>
    <m/>
    <n v="35"/>
    <x v="2"/>
    <s v="3/07/2023"/>
    <d v="2023-07-03T00:00:00"/>
    <s v="2023022-72"/>
    <x v="3"/>
  </r>
  <r>
    <x v="349"/>
    <n v="2023022"/>
    <x v="22"/>
    <s v="Chickpea"/>
    <m/>
    <x v="9"/>
    <s v="N"/>
    <x v="1"/>
    <n v="73"/>
    <n v="37"/>
    <x v="2"/>
    <m/>
    <m/>
    <m/>
    <n v="10"/>
    <m/>
    <m/>
    <m/>
    <m/>
    <m/>
    <n v="2"/>
    <n v="39"/>
    <x v="0"/>
    <n v="19"/>
    <m/>
    <m/>
    <x v="0"/>
    <n v="2"/>
    <x v="0"/>
    <m/>
    <m/>
    <n v="35"/>
    <x v="1"/>
    <s v="26/05/2023"/>
    <d v="2023-05-26T00:00:00"/>
    <s v="2023022-73"/>
    <x v="3"/>
  </r>
  <r>
    <x v="349"/>
    <n v="2023022"/>
    <x v="22"/>
    <s v="Chickpea"/>
    <m/>
    <x v="9"/>
    <s v="N"/>
    <x v="2"/>
    <n v="74"/>
    <n v="37"/>
    <x v="2"/>
    <m/>
    <m/>
    <m/>
    <n v="10"/>
    <m/>
    <m/>
    <m/>
    <m/>
    <m/>
    <n v="2"/>
    <n v="40"/>
    <x v="0"/>
    <n v="20"/>
    <m/>
    <n v="40"/>
    <x v="0"/>
    <n v="2"/>
    <x v="0"/>
    <m/>
    <m/>
    <n v="35"/>
    <x v="1"/>
    <s v="26/05/2023"/>
    <d v="2023-05-26T00:00:00"/>
    <s v="2023022-74"/>
    <x v="3"/>
  </r>
  <r>
    <x v="351"/>
    <n v="2023022"/>
    <x v="22"/>
    <s v="Chickpea"/>
    <m/>
    <x v="3"/>
    <s v="N"/>
    <x v="1"/>
    <n v="75"/>
    <n v="38"/>
    <x v="2"/>
    <m/>
    <m/>
    <m/>
    <n v="10"/>
    <m/>
    <m/>
    <m/>
    <m/>
    <m/>
    <n v="3"/>
    <n v="39"/>
    <x v="1"/>
    <n v="19"/>
    <m/>
    <m/>
    <x v="0"/>
    <n v="3"/>
    <x v="0"/>
    <m/>
    <m/>
    <n v="35"/>
    <x v="1"/>
    <s v="26/05/2023"/>
    <d v="2023-05-26T00:00:00"/>
    <s v="2023022-75"/>
    <x v="3"/>
  </r>
  <r>
    <x v="351"/>
    <n v="2023022"/>
    <x v="22"/>
    <s v="Chickpea"/>
    <m/>
    <x v="3"/>
    <s v="N"/>
    <x v="2"/>
    <n v="76"/>
    <n v="38"/>
    <x v="2"/>
    <m/>
    <m/>
    <m/>
    <n v="10"/>
    <m/>
    <m/>
    <m/>
    <m/>
    <m/>
    <n v="3"/>
    <n v="40"/>
    <x v="1"/>
    <n v="20"/>
    <m/>
    <n v="39"/>
    <x v="0"/>
    <n v="3"/>
    <x v="0"/>
    <m/>
    <m/>
    <n v="35"/>
    <x v="1"/>
    <s v="26/05/2023"/>
    <d v="2023-05-26T00:00:00"/>
    <s v="2023022-76"/>
    <x v="3"/>
  </r>
  <r>
    <x v="350"/>
    <n v="2023022"/>
    <x v="22"/>
    <s v="Chickpea"/>
    <m/>
    <x v="4"/>
    <s v="Y"/>
    <x v="1"/>
    <n v="77"/>
    <n v="39"/>
    <x v="2"/>
    <m/>
    <m/>
    <m/>
    <n v="10"/>
    <m/>
    <m/>
    <m/>
    <m/>
    <m/>
    <n v="5"/>
    <n v="39"/>
    <x v="2"/>
    <n v="19"/>
    <m/>
    <m/>
    <x v="0"/>
    <n v="4"/>
    <x v="0"/>
    <m/>
    <m/>
    <n v="35"/>
    <x v="1"/>
    <s v="26/05/2023"/>
    <d v="2023-05-26T00:00:00"/>
    <s v="2023022-77"/>
    <x v="3"/>
  </r>
  <r>
    <x v="350"/>
    <n v="2023022"/>
    <x v="22"/>
    <s v="Chickpea"/>
    <m/>
    <x v="4"/>
    <s v="Y"/>
    <x v="2"/>
    <n v="78"/>
    <n v="39"/>
    <x v="2"/>
    <m/>
    <m/>
    <m/>
    <n v="10"/>
    <m/>
    <m/>
    <m/>
    <m/>
    <m/>
    <n v="5"/>
    <n v="40"/>
    <x v="2"/>
    <n v="20"/>
    <m/>
    <n v="38"/>
    <x v="0"/>
    <n v="4"/>
    <x v="0"/>
    <m/>
    <m/>
    <n v="35"/>
    <x v="1"/>
    <s v="26/05/2023"/>
    <d v="2023-05-26T00:00:00"/>
    <s v="2023022-78"/>
    <x v="3"/>
  </r>
  <r>
    <x v="348"/>
    <n v="2023022"/>
    <x v="22"/>
    <s v="Chickpea"/>
    <m/>
    <x v="8"/>
    <s v="Y"/>
    <x v="1"/>
    <n v="79"/>
    <n v="40"/>
    <x v="2"/>
    <m/>
    <m/>
    <m/>
    <n v="10"/>
    <m/>
    <m/>
    <m/>
    <m/>
    <m/>
    <n v="6"/>
    <n v="39"/>
    <x v="3"/>
    <n v="19"/>
    <m/>
    <m/>
    <x v="0"/>
    <n v="1"/>
    <x v="0"/>
    <m/>
    <m/>
    <n v="35"/>
    <x v="1"/>
    <s v="26/05/2023"/>
    <d v="2023-05-26T00:00:00"/>
    <s v="2023022-79"/>
    <x v="3"/>
  </r>
  <r>
    <x v="348"/>
    <n v="2023022"/>
    <x v="22"/>
    <s v="Chickpea"/>
    <m/>
    <x v="8"/>
    <s v="Y"/>
    <x v="2"/>
    <n v="80"/>
    <n v="40"/>
    <x v="2"/>
    <m/>
    <m/>
    <m/>
    <n v="10"/>
    <m/>
    <m/>
    <m/>
    <m/>
    <m/>
    <n v="6"/>
    <n v="40"/>
    <x v="3"/>
    <n v="20"/>
    <m/>
    <n v="37"/>
    <x v="0"/>
    <n v="1"/>
    <x v="0"/>
    <m/>
    <m/>
    <n v="35"/>
    <x v="1"/>
    <s v="26/05/2023"/>
    <d v="2023-05-26T00:00:00"/>
    <s v="2023022-80"/>
    <x v="3"/>
  </r>
  <r>
    <x v="337"/>
    <n v="2023022"/>
    <x v="22"/>
    <s v="Chickpea"/>
    <m/>
    <x v="3"/>
    <s v="N"/>
    <x v="2"/>
    <n v="81"/>
    <n v="41"/>
    <x v="2"/>
    <m/>
    <m/>
    <m/>
    <n v="11"/>
    <m/>
    <m/>
    <m/>
    <m/>
    <m/>
    <n v="2"/>
    <n v="43"/>
    <x v="0"/>
    <n v="21"/>
    <m/>
    <n v="41"/>
    <x v="0"/>
    <n v="3"/>
    <x v="0"/>
    <m/>
    <m/>
    <n v="35"/>
    <x v="2"/>
    <s v="3/07/2023"/>
    <d v="2023-07-03T00:00:00"/>
    <s v="2023022-81"/>
    <x v="3"/>
  </r>
  <r>
    <x v="337"/>
    <n v="2023022"/>
    <x v="22"/>
    <s v="Chickpea"/>
    <m/>
    <x v="3"/>
    <s v="N"/>
    <x v="1"/>
    <n v="82"/>
    <n v="41"/>
    <x v="2"/>
    <m/>
    <m/>
    <m/>
    <n v="11"/>
    <m/>
    <m/>
    <m/>
    <m/>
    <m/>
    <n v="2"/>
    <n v="44"/>
    <x v="0"/>
    <n v="22"/>
    <m/>
    <m/>
    <x v="0"/>
    <n v="3"/>
    <x v="0"/>
    <m/>
    <m/>
    <n v="35"/>
    <x v="2"/>
    <s v="3/07/2023"/>
    <d v="2023-07-03T00:00:00"/>
    <s v="2023022-82"/>
    <x v="3"/>
  </r>
  <r>
    <x v="339"/>
    <n v="2023022"/>
    <x v="22"/>
    <s v="Chickpea"/>
    <m/>
    <x v="9"/>
    <s v="N"/>
    <x v="2"/>
    <n v="83"/>
    <n v="42"/>
    <x v="2"/>
    <m/>
    <m/>
    <m/>
    <n v="11"/>
    <m/>
    <m/>
    <m/>
    <m/>
    <m/>
    <n v="3"/>
    <n v="43"/>
    <x v="1"/>
    <n v="21"/>
    <m/>
    <n v="42"/>
    <x v="0"/>
    <n v="2"/>
    <x v="0"/>
    <m/>
    <m/>
    <n v="35"/>
    <x v="2"/>
    <s v="3/07/2023"/>
    <d v="2023-07-03T00:00:00"/>
    <s v="2023022-83"/>
    <x v="3"/>
  </r>
  <r>
    <x v="339"/>
    <n v="2023022"/>
    <x v="22"/>
    <s v="Chickpea"/>
    <m/>
    <x v="9"/>
    <s v="N"/>
    <x v="1"/>
    <n v="84"/>
    <n v="42"/>
    <x v="2"/>
    <m/>
    <m/>
    <m/>
    <n v="11"/>
    <m/>
    <m/>
    <m/>
    <m/>
    <m/>
    <n v="3"/>
    <n v="44"/>
    <x v="1"/>
    <n v="22"/>
    <m/>
    <m/>
    <x v="0"/>
    <n v="2"/>
    <x v="0"/>
    <m/>
    <m/>
    <n v="35"/>
    <x v="2"/>
    <s v="3/07/2023"/>
    <d v="2023-07-03T00:00:00"/>
    <s v="2023022-84"/>
    <x v="3"/>
  </r>
  <r>
    <x v="338"/>
    <n v="2023022"/>
    <x v="22"/>
    <s v="Chickpea"/>
    <m/>
    <x v="8"/>
    <s v="Y"/>
    <x v="2"/>
    <n v="85"/>
    <n v="43"/>
    <x v="2"/>
    <m/>
    <m/>
    <m/>
    <n v="11"/>
    <m/>
    <m/>
    <m/>
    <m/>
    <m/>
    <n v="5"/>
    <n v="43"/>
    <x v="2"/>
    <n v="21"/>
    <m/>
    <n v="43"/>
    <x v="0"/>
    <n v="1"/>
    <x v="0"/>
    <m/>
    <m/>
    <n v="35"/>
    <x v="2"/>
    <s v="3/07/2023"/>
    <d v="2023-07-03T00:00:00"/>
    <s v="2023022-85"/>
    <x v="3"/>
  </r>
  <r>
    <x v="338"/>
    <n v="2023022"/>
    <x v="22"/>
    <s v="Chickpea"/>
    <m/>
    <x v="8"/>
    <s v="Y"/>
    <x v="1"/>
    <n v="86"/>
    <n v="43"/>
    <x v="2"/>
    <m/>
    <m/>
    <m/>
    <n v="11"/>
    <m/>
    <m/>
    <m/>
    <m/>
    <m/>
    <n v="5"/>
    <n v="44"/>
    <x v="2"/>
    <n v="22"/>
    <m/>
    <m/>
    <x v="0"/>
    <n v="1"/>
    <x v="0"/>
    <m/>
    <m/>
    <n v="35"/>
    <x v="2"/>
    <s v="3/07/2023"/>
    <d v="2023-07-03T00:00:00"/>
    <s v="2023022-86"/>
    <x v="3"/>
  </r>
  <r>
    <x v="336"/>
    <n v="2023022"/>
    <x v="22"/>
    <s v="Chickpea"/>
    <m/>
    <x v="4"/>
    <s v="Y"/>
    <x v="2"/>
    <n v="87"/>
    <n v="44"/>
    <x v="2"/>
    <m/>
    <m/>
    <m/>
    <n v="11"/>
    <m/>
    <m/>
    <m/>
    <m/>
    <m/>
    <n v="6"/>
    <n v="43"/>
    <x v="3"/>
    <n v="21"/>
    <m/>
    <n v="44"/>
    <x v="0"/>
    <n v="4"/>
    <x v="0"/>
    <m/>
    <m/>
    <n v="35"/>
    <x v="2"/>
    <s v="3/07/2023"/>
    <d v="2023-07-03T00:00:00"/>
    <s v="2023022-87"/>
    <x v="3"/>
  </r>
  <r>
    <x v="336"/>
    <n v="2023022"/>
    <x v="22"/>
    <s v="Chickpea"/>
    <m/>
    <x v="4"/>
    <s v="Y"/>
    <x v="1"/>
    <n v="88"/>
    <n v="44"/>
    <x v="2"/>
    <m/>
    <m/>
    <m/>
    <n v="11"/>
    <m/>
    <m/>
    <m/>
    <m/>
    <m/>
    <n v="6"/>
    <n v="44"/>
    <x v="3"/>
    <n v="22"/>
    <m/>
    <m/>
    <x v="0"/>
    <n v="4"/>
    <x v="0"/>
    <m/>
    <m/>
    <n v="35"/>
    <x v="2"/>
    <s v="3/07/2023"/>
    <d v="2023-07-03T00:00:00"/>
    <s v="2023022-88"/>
    <x v="3"/>
  </r>
  <r>
    <x v="341"/>
    <n v="2023022"/>
    <x v="22"/>
    <s v="Chickpea"/>
    <m/>
    <x v="4"/>
    <s v="Y"/>
    <x v="1"/>
    <n v="89"/>
    <n v="45"/>
    <x v="2"/>
    <m/>
    <m/>
    <m/>
    <n v="12"/>
    <m/>
    <m/>
    <m/>
    <m/>
    <m/>
    <n v="2"/>
    <n v="47"/>
    <x v="0"/>
    <n v="23"/>
    <m/>
    <m/>
    <x v="1"/>
    <n v="4"/>
    <x v="0"/>
    <m/>
    <m/>
    <n v="35"/>
    <x v="1"/>
    <s v="26/05/2023"/>
    <d v="2023-05-26T00:00:00"/>
    <s v="2023022-89"/>
    <x v="3"/>
  </r>
  <r>
    <x v="341"/>
    <n v="2023022"/>
    <x v="22"/>
    <s v="Chickpea"/>
    <m/>
    <x v="4"/>
    <s v="Y"/>
    <x v="2"/>
    <n v="90"/>
    <n v="45"/>
    <x v="2"/>
    <m/>
    <m/>
    <m/>
    <n v="12"/>
    <m/>
    <m/>
    <m/>
    <m/>
    <m/>
    <n v="2"/>
    <n v="48"/>
    <x v="0"/>
    <n v="24"/>
    <m/>
    <n v="48"/>
    <x v="1"/>
    <n v="4"/>
    <x v="0"/>
    <m/>
    <m/>
    <n v="35"/>
    <x v="1"/>
    <s v="26/05/2023"/>
    <d v="2023-05-26T00:00:00"/>
    <s v="2023022-90"/>
    <x v="3"/>
  </r>
  <r>
    <x v="343"/>
    <n v="2023022"/>
    <x v="22"/>
    <s v="Chickpea"/>
    <m/>
    <x v="8"/>
    <s v="Y"/>
    <x v="1"/>
    <n v="91"/>
    <n v="46"/>
    <x v="2"/>
    <m/>
    <m/>
    <m/>
    <n v="12"/>
    <m/>
    <m/>
    <m/>
    <m/>
    <m/>
    <n v="3"/>
    <n v="47"/>
    <x v="1"/>
    <n v="23"/>
    <m/>
    <m/>
    <x v="1"/>
    <n v="1"/>
    <x v="0"/>
    <m/>
    <m/>
    <n v="35"/>
    <x v="1"/>
    <s v="26/05/2023"/>
    <d v="2023-05-26T00:00:00"/>
    <s v="2023022-91"/>
    <x v="3"/>
  </r>
  <r>
    <x v="343"/>
    <n v="2023022"/>
    <x v="22"/>
    <s v="Chickpea"/>
    <m/>
    <x v="8"/>
    <s v="Y"/>
    <x v="2"/>
    <n v="92"/>
    <n v="46"/>
    <x v="2"/>
    <m/>
    <m/>
    <m/>
    <n v="12"/>
    <m/>
    <m/>
    <m/>
    <m/>
    <m/>
    <n v="3"/>
    <n v="48"/>
    <x v="1"/>
    <n v="24"/>
    <m/>
    <n v="47"/>
    <x v="1"/>
    <n v="1"/>
    <x v="0"/>
    <m/>
    <m/>
    <n v="35"/>
    <x v="1"/>
    <s v="26/05/2023"/>
    <d v="2023-05-26T00:00:00"/>
    <s v="2023022-92"/>
    <x v="3"/>
  </r>
  <r>
    <x v="342"/>
    <n v="2023022"/>
    <x v="22"/>
    <s v="Chickpea"/>
    <m/>
    <x v="3"/>
    <s v="N"/>
    <x v="1"/>
    <n v="93"/>
    <n v="47"/>
    <x v="2"/>
    <m/>
    <m/>
    <m/>
    <n v="12"/>
    <m/>
    <m/>
    <m/>
    <m/>
    <m/>
    <n v="5"/>
    <n v="47"/>
    <x v="2"/>
    <n v="23"/>
    <m/>
    <m/>
    <x v="1"/>
    <n v="3"/>
    <x v="0"/>
    <m/>
    <m/>
    <n v="35"/>
    <x v="1"/>
    <s v="26/05/2023"/>
    <d v="2023-05-26T00:00:00"/>
    <s v="2023022-93"/>
    <x v="3"/>
  </r>
  <r>
    <x v="342"/>
    <n v="2023022"/>
    <x v="22"/>
    <s v="Chickpea"/>
    <m/>
    <x v="3"/>
    <s v="N"/>
    <x v="2"/>
    <n v="94"/>
    <n v="47"/>
    <x v="2"/>
    <m/>
    <m/>
    <m/>
    <n v="12"/>
    <m/>
    <m/>
    <m/>
    <m/>
    <m/>
    <n v="5"/>
    <n v="48"/>
    <x v="2"/>
    <n v="24"/>
    <m/>
    <n v="46"/>
    <x v="1"/>
    <n v="3"/>
    <x v="0"/>
    <m/>
    <m/>
    <n v="35"/>
    <x v="1"/>
    <s v="26/05/2023"/>
    <d v="2023-05-26T00:00:00"/>
    <s v="2023022-94"/>
    <x v="3"/>
  </r>
  <r>
    <x v="340"/>
    <n v="2023022"/>
    <x v="22"/>
    <s v="Chickpea"/>
    <m/>
    <x v="9"/>
    <s v="N"/>
    <x v="1"/>
    <n v="95"/>
    <n v="48"/>
    <x v="2"/>
    <m/>
    <m/>
    <m/>
    <n v="12"/>
    <m/>
    <m/>
    <m/>
    <m/>
    <m/>
    <n v="6"/>
    <n v="47"/>
    <x v="3"/>
    <n v="23"/>
    <m/>
    <m/>
    <x v="1"/>
    <n v="2"/>
    <x v="0"/>
    <m/>
    <m/>
    <n v="35"/>
    <x v="1"/>
    <s v="26/05/2023"/>
    <d v="2023-05-26T00:00:00"/>
    <s v="2023022-95"/>
    <x v="3"/>
  </r>
  <r>
    <x v="340"/>
    <n v="2023022"/>
    <x v="22"/>
    <s v="Chickpea"/>
    <m/>
    <x v="9"/>
    <s v="N"/>
    <x v="2"/>
    <n v="96"/>
    <n v="48"/>
    <x v="2"/>
    <m/>
    <m/>
    <m/>
    <n v="12"/>
    <m/>
    <m/>
    <m/>
    <m/>
    <m/>
    <n v="6"/>
    <n v="48"/>
    <x v="3"/>
    <n v="24"/>
    <m/>
    <n v="45"/>
    <x v="1"/>
    <n v="2"/>
    <x v="0"/>
    <m/>
    <m/>
    <n v="35"/>
    <x v="1"/>
    <s v="26/05/2023"/>
    <d v="2023-05-26T00:00:00"/>
    <s v="2023022-96"/>
    <x v="3"/>
  </r>
  <r>
    <x v="349"/>
    <n v="2023022"/>
    <x v="22"/>
    <s v="Chickpea"/>
    <m/>
    <x v="9"/>
    <s v="N"/>
    <x v="2"/>
    <n v="97"/>
    <n v="49"/>
    <x v="3"/>
    <m/>
    <m/>
    <m/>
    <n v="13"/>
    <m/>
    <m/>
    <m/>
    <m/>
    <m/>
    <n v="2"/>
    <n v="51"/>
    <x v="0"/>
    <n v="25"/>
    <m/>
    <n v="49"/>
    <x v="0"/>
    <n v="2"/>
    <x v="0"/>
    <m/>
    <m/>
    <n v="35"/>
    <x v="1"/>
    <s v="26/05/2023"/>
    <d v="2023-05-26T00:00:00"/>
    <s v="2023022-97"/>
    <x v="3"/>
  </r>
  <r>
    <x v="349"/>
    <n v="2023022"/>
    <x v="22"/>
    <s v="Chickpea"/>
    <m/>
    <x v="9"/>
    <s v="N"/>
    <x v="1"/>
    <n v="98"/>
    <n v="49"/>
    <x v="3"/>
    <m/>
    <m/>
    <m/>
    <n v="13"/>
    <m/>
    <m/>
    <m/>
    <m/>
    <m/>
    <n v="2"/>
    <n v="52"/>
    <x v="0"/>
    <n v="26"/>
    <m/>
    <m/>
    <x v="0"/>
    <n v="2"/>
    <x v="0"/>
    <m/>
    <m/>
    <n v="35"/>
    <x v="1"/>
    <s v="26/05/2023"/>
    <d v="2023-05-26T00:00:00"/>
    <s v="2023022-98"/>
    <x v="3"/>
  </r>
  <r>
    <x v="351"/>
    <n v="2023022"/>
    <x v="22"/>
    <s v="Chickpea"/>
    <m/>
    <x v="3"/>
    <s v="N"/>
    <x v="2"/>
    <n v="99"/>
    <n v="50"/>
    <x v="3"/>
    <m/>
    <m/>
    <m/>
    <n v="13"/>
    <m/>
    <m/>
    <m/>
    <m/>
    <m/>
    <n v="3"/>
    <n v="51"/>
    <x v="1"/>
    <n v="25"/>
    <m/>
    <n v="50"/>
    <x v="0"/>
    <n v="3"/>
    <x v="0"/>
    <m/>
    <m/>
    <n v="35"/>
    <x v="1"/>
    <s v="26/05/2023"/>
    <d v="2023-05-26T00:00:00"/>
    <s v="2023022-99"/>
    <x v="3"/>
  </r>
  <r>
    <x v="351"/>
    <n v="2023022"/>
    <x v="22"/>
    <s v="Chickpea"/>
    <m/>
    <x v="3"/>
    <s v="N"/>
    <x v="1"/>
    <n v="100"/>
    <n v="50"/>
    <x v="3"/>
    <m/>
    <m/>
    <m/>
    <n v="13"/>
    <m/>
    <m/>
    <m/>
    <m/>
    <m/>
    <n v="3"/>
    <n v="52"/>
    <x v="1"/>
    <n v="26"/>
    <m/>
    <m/>
    <x v="0"/>
    <n v="3"/>
    <x v="0"/>
    <m/>
    <m/>
    <n v="35"/>
    <x v="1"/>
    <s v="26/05/2023"/>
    <d v="2023-05-26T00:00:00"/>
    <s v="2023022-100"/>
    <x v="3"/>
  </r>
  <r>
    <x v="348"/>
    <n v="2023022"/>
    <x v="22"/>
    <s v="Chickpea"/>
    <m/>
    <x v="8"/>
    <s v="Y"/>
    <x v="2"/>
    <n v="101"/>
    <n v="51"/>
    <x v="3"/>
    <m/>
    <m/>
    <m/>
    <n v="13"/>
    <m/>
    <m/>
    <m/>
    <m/>
    <m/>
    <n v="5"/>
    <n v="51"/>
    <x v="2"/>
    <n v="25"/>
    <m/>
    <n v="51"/>
    <x v="0"/>
    <n v="1"/>
    <x v="0"/>
    <m/>
    <m/>
    <n v="35"/>
    <x v="1"/>
    <s v="26/05/2023"/>
    <d v="2023-05-26T00:00:00"/>
    <s v="2023022-101"/>
    <x v="3"/>
  </r>
  <r>
    <x v="348"/>
    <n v="2023022"/>
    <x v="22"/>
    <s v="Chickpea"/>
    <m/>
    <x v="8"/>
    <s v="Y"/>
    <x v="1"/>
    <n v="102"/>
    <n v="51"/>
    <x v="3"/>
    <m/>
    <m/>
    <m/>
    <n v="13"/>
    <m/>
    <m/>
    <m/>
    <m/>
    <m/>
    <n v="5"/>
    <n v="52"/>
    <x v="2"/>
    <n v="26"/>
    <m/>
    <m/>
    <x v="0"/>
    <n v="1"/>
    <x v="0"/>
    <m/>
    <m/>
    <n v="35"/>
    <x v="1"/>
    <s v="26/05/2023"/>
    <d v="2023-05-26T00:00:00"/>
    <s v="2023022-102"/>
    <x v="3"/>
  </r>
  <r>
    <x v="350"/>
    <n v="2023022"/>
    <x v="22"/>
    <s v="Chickpea"/>
    <m/>
    <x v="4"/>
    <s v="Y"/>
    <x v="2"/>
    <n v="103"/>
    <n v="52"/>
    <x v="3"/>
    <m/>
    <m/>
    <m/>
    <n v="13"/>
    <m/>
    <m/>
    <m/>
    <m/>
    <m/>
    <n v="6"/>
    <n v="51"/>
    <x v="3"/>
    <n v="25"/>
    <m/>
    <n v="52"/>
    <x v="0"/>
    <n v="4"/>
    <x v="0"/>
    <m/>
    <m/>
    <n v="35"/>
    <x v="1"/>
    <s v="26/05/2023"/>
    <d v="2023-05-26T00:00:00"/>
    <s v="2023022-103"/>
    <x v="3"/>
  </r>
  <r>
    <x v="350"/>
    <n v="2023022"/>
    <x v="22"/>
    <s v="Chickpea"/>
    <m/>
    <x v="4"/>
    <s v="Y"/>
    <x v="1"/>
    <n v="104"/>
    <n v="52"/>
    <x v="3"/>
    <m/>
    <m/>
    <m/>
    <n v="13"/>
    <m/>
    <m/>
    <m/>
    <m/>
    <m/>
    <n v="6"/>
    <n v="52"/>
    <x v="3"/>
    <n v="26"/>
    <m/>
    <m/>
    <x v="0"/>
    <n v="4"/>
    <x v="0"/>
    <m/>
    <m/>
    <n v="35"/>
    <x v="1"/>
    <s v="26/05/2023"/>
    <d v="2023-05-26T00:00:00"/>
    <s v="2023022-104"/>
    <x v="3"/>
  </r>
  <r>
    <x v="336"/>
    <n v="2023022"/>
    <x v="22"/>
    <s v="Chickpea"/>
    <m/>
    <x v="4"/>
    <s v="Y"/>
    <x v="2"/>
    <n v="105"/>
    <n v="53"/>
    <x v="3"/>
    <m/>
    <m/>
    <m/>
    <n v="14"/>
    <m/>
    <m/>
    <m/>
    <m/>
    <m/>
    <n v="2"/>
    <n v="55"/>
    <x v="0"/>
    <n v="27"/>
    <m/>
    <n v="56"/>
    <x v="0"/>
    <n v="4"/>
    <x v="0"/>
    <m/>
    <m/>
    <n v="35"/>
    <x v="2"/>
    <s v="3/07/2023"/>
    <d v="2023-07-03T00:00:00"/>
    <s v="2023022-105"/>
    <x v="3"/>
  </r>
  <r>
    <x v="336"/>
    <n v="2023022"/>
    <x v="22"/>
    <s v="Chickpea"/>
    <m/>
    <x v="4"/>
    <s v="Y"/>
    <x v="1"/>
    <n v="106"/>
    <n v="53"/>
    <x v="3"/>
    <m/>
    <m/>
    <m/>
    <n v="14"/>
    <m/>
    <m/>
    <m/>
    <m/>
    <m/>
    <n v="2"/>
    <n v="56"/>
    <x v="0"/>
    <n v="28"/>
    <m/>
    <m/>
    <x v="0"/>
    <n v="4"/>
    <x v="0"/>
    <m/>
    <m/>
    <n v="35"/>
    <x v="2"/>
    <s v="3/07/2023"/>
    <d v="2023-07-03T00:00:00"/>
    <s v="2023022-106"/>
    <x v="3"/>
  </r>
  <r>
    <x v="338"/>
    <n v="2023022"/>
    <x v="22"/>
    <s v="Chickpea"/>
    <m/>
    <x v="8"/>
    <s v="Y"/>
    <x v="2"/>
    <n v="107"/>
    <n v="54"/>
    <x v="3"/>
    <m/>
    <m/>
    <m/>
    <n v="14"/>
    <m/>
    <m/>
    <m/>
    <m/>
    <m/>
    <n v="3"/>
    <n v="55"/>
    <x v="1"/>
    <n v="27"/>
    <m/>
    <n v="55"/>
    <x v="0"/>
    <n v="1"/>
    <x v="0"/>
    <m/>
    <m/>
    <n v="35"/>
    <x v="2"/>
    <s v="3/07/2023"/>
    <d v="2023-07-03T00:00:00"/>
    <s v="2023022-107"/>
    <x v="3"/>
  </r>
  <r>
    <x v="338"/>
    <n v="2023022"/>
    <x v="22"/>
    <s v="Chickpea"/>
    <m/>
    <x v="8"/>
    <s v="Y"/>
    <x v="1"/>
    <n v="108"/>
    <n v="54"/>
    <x v="3"/>
    <m/>
    <m/>
    <m/>
    <n v="14"/>
    <m/>
    <m/>
    <m/>
    <m/>
    <m/>
    <n v="3"/>
    <n v="56"/>
    <x v="1"/>
    <n v="28"/>
    <m/>
    <m/>
    <x v="0"/>
    <n v="1"/>
    <x v="0"/>
    <m/>
    <m/>
    <n v="35"/>
    <x v="2"/>
    <s v="3/07/2023"/>
    <d v="2023-07-03T00:00:00"/>
    <s v="2023022-108"/>
    <x v="3"/>
  </r>
  <r>
    <x v="337"/>
    <n v="2023022"/>
    <x v="22"/>
    <s v="Chickpea"/>
    <m/>
    <x v="3"/>
    <s v="N"/>
    <x v="2"/>
    <n v="109"/>
    <n v="55"/>
    <x v="3"/>
    <m/>
    <m/>
    <m/>
    <n v="14"/>
    <m/>
    <m/>
    <m/>
    <m/>
    <m/>
    <n v="5"/>
    <n v="55"/>
    <x v="2"/>
    <n v="27"/>
    <m/>
    <n v="54"/>
    <x v="0"/>
    <n v="3"/>
    <x v="0"/>
    <m/>
    <m/>
    <n v="35"/>
    <x v="2"/>
    <s v="3/07/2023"/>
    <d v="2023-07-03T00:00:00"/>
    <s v="2023022-109"/>
    <x v="3"/>
  </r>
  <r>
    <x v="337"/>
    <n v="2023022"/>
    <x v="22"/>
    <s v="Chickpea"/>
    <m/>
    <x v="3"/>
    <s v="N"/>
    <x v="1"/>
    <n v="110"/>
    <n v="55"/>
    <x v="3"/>
    <m/>
    <m/>
    <m/>
    <n v="14"/>
    <m/>
    <m/>
    <m/>
    <m/>
    <m/>
    <n v="5"/>
    <n v="56"/>
    <x v="2"/>
    <n v="28"/>
    <m/>
    <m/>
    <x v="0"/>
    <n v="3"/>
    <x v="0"/>
    <m/>
    <m/>
    <n v="35"/>
    <x v="2"/>
    <s v="3/07/2023"/>
    <d v="2023-07-03T00:00:00"/>
    <s v="2023022-110"/>
    <x v="3"/>
  </r>
  <r>
    <x v="339"/>
    <n v="2023022"/>
    <x v="22"/>
    <s v="Chickpea"/>
    <m/>
    <x v="9"/>
    <s v="N"/>
    <x v="2"/>
    <n v="111"/>
    <n v="56"/>
    <x v="3"/>
    <m/>
    <m/>
    <m/>
    <n v="14"/>
    <m/>
    <m/>
    <m/>
    <m/>
    <m/>
    <n v="6"/>
    <n v="55"/>
    <x v="3"/>
    <n v="27"/>
    <m/>
    <n v="53"/>
    <x v="0"/>
    <n v="2"/>
    <x v="0"/>
    <m/>
    <m/>
    <n v="35"/>
    <x v="2"/>
    <s v="3/07/2023"/>
    <d v="2023-07-03T00:00:00"/>
    <s v="2023022-111"/>
    <x v="3"/>
  </r>
  <r>
    <x v="339"/>
    <n v="2023022"/>
    <x v="22"/>
    <s v="Chickpea"/>
    <m/>
    <x v="9"/>
    <s v="N"/>
    <x v="1"/>
    <n v="112"/>
    <n v="56"/>
    <x v="3"/>
    <m/>
    <m/>
    <m/>
    <n v="14"/>
    <m/>
    <m/>
    <m/>
    <m/>
    <m/>
    <n v="6"/>
    <n v="56"/>
    <x v="3"/>
    <n v="28"/>
    <m/>
    <m/>
    <x v="0"/>
    <n v="2"/>
    <x v="0"/>
    <m/>
    <m/>
    <n v="35"/>
    <x v="2"/>
    <s v="3/07/2023"/>
    <d v="2023-07-03T00:00:00"/>
    <s v="2023022-112"/>
    <x v="3"/>
  </r>
  <r>
    <x v="342"/>
    <n v="2023022"/>
    <x v="22"/>
    <s v="Chickpea"/>
    <m/>
    <x v="3"/>
    <s v="N"/>
    <x v="2"/>
    <n v="113"/>
    <n v="57"/>
    <x v="3"/>
    <m/>
    <m/>
    <m/>
    <n v="15"/>
    <m/>
    <m/>
    <m/>
    <m/>
    <m/>
    <n v="2"/>
    <n v="59"/>
    <x v="0"/>
    <n v="29"/>
    <m/>
    <n v="57"/>
    <x v="1"/>
    <n v="3"/>
    <x v="0"/>
    <m/>
    <m/>
    <n v="35"/>
    <x v="1"/>
    <s v="26/05/2023"/>
    <d v="2023-05-26T00:00:00"/>
    <s v="2023022-113"/>
    <x v="3"/>
  </r>
  <r>
    <x v="342"/>
    <n v="2023022"/>
    <x v="22"/>
    <s v="Chickpea"/>
    <m/>
    <x v="3"/>
    <s v="N"/>
    <x v="1"/>
    <n v="114"/>
    <n v="57"/>
    <x v="3"/>
    <m/>
    <m/>
    <m/>
    <n v="15"/>
    <m/>
    <m/>
    <m/>
    <m/>
    <m/>
    <n v="2"/>
    <n v="60"/>
    <x v="0"/>
    <n v="30"/>
    <m/>
    <m/>
    <x v="1"/>
    <n v="3"/>
    <x v="0"/>
    <m/>
    <m/>
    <n v="35"/>
    <x v="1"/>
    <s v="26/05/2023"/>
    <d v="2023-05-26T00:00:00"/>
    <s v="2023022-114"/>
    <x v="3"/>
  </r>
  <r>
    <x v="341"/>
    <n v="2023022"/>
    <x v="22"/>
    <s v="Chickpea"/>
    <m/>
    <x v="4"/>
    <s v="Y"/>
    <x v="2"/>
    <n v="115"/>
    <n v="58"/>
    <x v="3"/>
    <m/>
    <m/>
    <m/>
    <n v="15"/>
    <m/>
    <m/>
    <m/>
    <m/>
    <m/>
    <n v="3"/>
    <n v="59"/>
    <x v="1"/>
    <n v="29"/>
    <m/>
    <n v="58"/>
    <x v="1"/>
    <n v="4"/>
    <x v="0"/>
    <m/>
    <m/>
    <n v="35"/>
    <x v="1"/>
    <s v="26/05/2023"/>
    <d v="2023-05-26T00:00:00"/>
    <s v="2023022-115"/>
    <x v="3"/>
  </r>
  <r>
    <x v="341"/>
    <n v="2023022"/>
    <x v="22"/>
    <s v="Chickpea"/>
    <m/>
    <x v="4"/>
    <s v="Y"/>
    <x v="1"/>
    <n v="116"/>
    <n v="58"/>
    <x v="3"/>
    <m/>
    <m/>
    <m/>
    <n v="15"/>
    <m/>
    <m/>
    <m/>
    <m/>
    <m/>
    <n v="3"/>
    <n v="60"/>
    <x v="1"/>
    <n v="30"/>
    <m/>
    <m/>
    <x v="1"/>
    <n v="4"/>
    <x v="0"/>
    <m/>
    <m/>
    <n v="35"/>
    <x v="1"/>
    <s v="26/05/2023"/>
    <d v="2023-05-26T00:00:00"/>
    <s v="2023022-116"/>
    <x v="3"/>
  </r>
  <r>
    <x v="340"/>
    <n v="2023022"/>
    <x v="22"/>
    <s v="Chickpea"/>
    <m/>
    <x v="9"/>
    <s v="N"/>
    <x v="2"/>
    <n v="117"/>
    <n v="59"/>
    <x v="3"/>
    <m/>
    <m/>
    <m/>
    <n v="15"/>
    <m/>
    <m/>
    <m/>
    <m/>
    <m/>
    <n v="5"/>
    <n v="59"/>
    <x v="2"/>
    <n v="29"/>
    <m/>
    <n v="59"/>
    <x v="1"/>
    <n v="2"/>
    <x v="0"/>
    <m/>
    <m/>
    <n v="35"/>
    <x v="1"/>
    <s v="26/05/2023"/>
    <d v="2023-05-26T00:00:00"/>
    <s v="2023022-117"/>
    <x v="3"/>
  </r>
  <r>
    <x v="340"/>
    <n v="2023022"/>
    <x v="22"/>
    <s v="Chickpea"/>
    <m/>
    <x v="9"/>
    <s v="N"/>
    <x v="1"/>
    <n v="118"/>
    <n v="59"/>
    <x v="3"/>
    <m/>
    <m/>
    <m/>
    <n v="15"/>
    <m/>
    <m/>
    <m/>
    <m/>
    <m/>
    <n v="5"/>
    <n v="60"/>
    <x v="2"/>
    <n v="30"/>
    <m/>
    <m/>
    <x v="1"/>
    <n v="2"/>
    <x v="0"/>
    <m/>
    <m/>
    <n v="35"/>
    <x v="1"/>
    <s v="26/05/2023"/>
    <d v="2023-05-26T00:00:00"/>
    <s v="2023022-118"/>
    <x v="3"/>
  </r>
  <r>
    <x v="343"/>
    <n v="2023022"/>
    <x v="22"/>
    <s v="Chickpea"/>
    <m/>
    <x v="8"/>
    <s v="Y"/>
    <x v="2"/>
    <n v="119"/>
    <n v="60"/>
    <x v="3"/>
    <m/>
    <m/>
    <m/>
    <n v="15"/>
    <m/>
    <m/>
    <m/>
    <m/>
    <m/>
    <n v="6"/>
    <n v="59"/>
    <x v="3"/>
    <n v="29"/>
    <m/>
    <n v="60"/>
    <x v="1"/>
    <n v="1"/>
    <x v="0"/>
    <m/>
    <m/>
    <n v="35"/>
    <x v="1"/>
    <s v="26/05/2023"/>
    <d v="2023-05-26T00:00:00"/>
    <s v="2023022-119"/>
    <x v="3"/>
  </r>
  <r>
    <x v="343"/>
    <n v="2023022"/>
    <x v="22"/>
    <s v="Chickpea"/>
    <m/>
    <x v="8"/>
    <s v="Y"/>
    <x v="1"/>
    <n v="120"/>
    <n v="60"/>
    <x v="3"/>
    <m/>
    <m/>
    <m/>
    <n v="15"/>
    <m/>
    <m/>
    <m/>
    <m/>
    <m/>
    <n v="6"/>
    <n v="60"/>
    <x v="3"/>
    <n v="30"/>
    <m/>
    <m/>
    <x v="1"/>
    <n v="1"/>
    <x v="0"/>
    <m/>
    <m/>
    <n v="35"/>
    <x v="1"/>
    <s v="26/05/2023"/>
    <d v="2023-05-26T00:00:00"/>
    <s v="2023022-120"/>
    <x v="3"/>
  </r>
  <r>
    <x v="345"/>
    <n v="2023022"/>
    <x v="22"/>
    <s v="Chickpea"/>
    <m/>
    <x v="8"/>
    <s v="Y"/>
    <x v="2"/>
    <n v="121"/>
    <n v="61"/>
    <x v="3"/>
    <m/>
    <m/>
    <m/>
    <n v="16"/>
    <m/>
    <m/>
    <m/>
    <m/>
    <m/>
    <n v="2"/>
    <n v="63"/>
    <x v="0"/>
    <n v="31"/>
    <m/>
    <n v="64"/>
    <x v="1"/>
    <n v="1"/>
    <x v="0"/>
    <m/>
    <m/>
    <n v="35"/>
    <x v="2"/>
    <s v="3/07/2023"/>
    <d v="2023-07-03T00:00:00"/>
    <s v="2023022-121"/>
    <x v="3"/>
  </r>
  <r>
    <x v="345"/>
    <n v="2023022"/>
    <x v="22"/>
    <s v="Chickpea"/>
    <m/>
    <x v="8"/>
    <s v="Y"/>
    <x v="1"/>
    <n v="122"/>
    <n v="61"/>
    <x v="3"/>
    <m/>
    <m/>
    <m/>
    <n v="16"/>
    <m/>
    <m/>
    <m/>
    <m/>
    <m/>
    <n v="2"/>
    <n v="64"/>
    <x v="0"/>
    <n v="32"/>
    <m/>
    <m/>
    <x v="1"/>
    <n v="1"/>
    <x v="0"/>
    <m/>
    <m/>
    <n v="35"/>
    <x v="2"/>
    <s v="3/07/2023"/>
    <d v="2023-07-03T00:00:00"/>
    <s v="2023022-122"/>
    <x v="3"/>
  </r>
  <r>
    <x v="346"/>
    <n v="2023022"/>
    <x v="22"/>
    <s v="Chickpea"/>
    <m/>
    <x v="9"/>
    <s v="N"/>
    <x v="2"/>
    <n v="123"/>
    <n v="62"/>
    <x v="3"/>
    <m/>
    <m/>
    <m/>
    <n v="16"/>
    <m/>
    <m/>
    <m/>
    <m/>
    <m/>
    <n v="3"/>
    <n v="63"/>
    <x v="1"/>
    <n v="31"/>
    <m/>
    <n v="63"/>
    <x v="1"/>
    <n v="2"/>
    <x v="0"/>
    <m/>
    <m/>
    <n v="35"/>
    <x v="2"/>
    <s v="3/07/2023"/>
    <d v="2023-07-03T00:00:00"/>
    <s v="2023022-123"/>
    <x v="3"/>
  </r>
  <r>
    <x v="346"/>
    <n v="2023022"/>
    <x v="22"/>
    <s v="Chickpea"/>
    <m/>
    <x v="9"/>
    <s v="N"/>
    <x v="1"/>
    <n v="124"/>
    <n v="62"/>
    <x v="3"/>
    <m/>
    <m/>
    <m/>
    <n v="16"/>
    <m/>
    <m/>
    <m/>
    <m/>
    <m/>
    <n v="3"/>
    <n v="64"/>
    <x v="1"/>
    <n v="32"/>
    <m/>
    <m/>
    <x v="1"/>
    <n v="2"/>
    <x v="0"/>
    <m/>
    <m/>
    <n v="35"/>
    <x v="2"/>
    <s v="3/07/2023"/>
    <d v="2023-07-03T00:00:00"/>
    <s v="2023022-124"/>
    <x v="3"/>
  </r>
  <r>
    <x v="347"/>
    <n v="2023022"/>
    <x v="22"/>
    <s v="Chickpea"/>
    <m/>
    <x v="4"/>
    <s v="Y"/>
    <x v="2"/>
    <n v="125"/>
    <n v="63"/>
    <x v="3"/>
    <m/>
    <m/>
    <m/>
    <n v="16"/>
    <m/>
    <m/>
    <m/>
    <m/>
    <m/>
    <n v="5"/>
    <n v="63"/>
    <x v="2"/>
    <n v="31"/>
    <m/>
    <n v="62"/>
    <x v="1"/>
    <n v="4"/>
    <x v="0"/>
    <m/>
    <m/>
    <n v="35"/>
    <x v="2"/>
    <s v="3/07/2023"/>
    <d v="2023-07-03T00:00:00"/>
    <s v="2023022-125"/>
    <x v="3"/>
  </r>
  <r>
    <x v="347"/>
    <n v="2023022"/>
    <x v="22"/>
    <s v="Chickpea"/>
    <m/>
    <x v="4"/>
    <s v="Y"/>
    <x v="1"/>
    <n v="126"/>
    <n v="63"/>
    <x v="3"/>
    <m/>
    <m/>
    <m/>
    <n v="16"/>
    <m/>
    <m/>
    <m/>
    <m/>
    <m/>
    <n v="5"/>
    <n v="64"/>
    <x v="2"/>
    <n v="32"/>
    <m/>
    <m/>
    <x v="1"/>
    <n v="4"/>
    <x v="0"/>
    <m/>
    <m/>
    <n v="35"/>
    <x v="2"/>
    <s v="3/07/2023"/>
    <d v="2023-07-03T00:00:00"/>
    <s v="2023022-126"/>
    <x v="3"/>
  </r>
  <r>
    <x v="344"/>
    <n v="2023022"/>
    <x v="22"/>
    <s v="Chickpea"/>
    <m/>
    <x v="3"/>
    <s v="N"/>
    <x v="2"/>
    <n v="127"/>
    <n v="64"/>
    <x v="3"/>
    <m/>
    <m/>
    <m/>
    <n v="16"/>
    <m/>
    <m/>
    <m/>
    <m/>
    <m/>
    <n v="6"/>
    <n v="63"/>
    <x v="3"/>
    <n v="31"/>
    <m/>
    <n v="61"/>
    <x v="1"/>
    <n v="3"/>
    <x v="0"/>
    <m/>
    <m/>
    <n v="35"/>
    <x v="2"/>
    <s v="3/07/2023"/>
    <d v="2023-07-03T00:00:00"/>
    <s v="2023022-127"/>
    <x v="3"/>
  </r>
  <r>
    <x v="344"/>
    <n v="2023022"/>
    <x v="22"/>
    <s v="Chickpea"/>
    <m/>
    <x v="3"/>
    <s v="N"/>
    <x v="1"/>
    <n v="128"/>
    <n v="64"/>
    <x v="3"/>
    <m/>
    <m/>
    <m/>
    <n v="16"/>
    <m/>
    <m/>
    <m/>
    <m/>
    <m/>
    <n v="6"/>
    <n v="64"/>
    <x v="3"/>
    <n v="32"/>
    <m/>
    <m/>
    <x v="1"/>
    <n v="3"/>
    <x v="0"/>
    <m/>
    <m/>
    <n v="35"/>
    <x v="2"/>
    <s v="3/07/2023"/>
    <d v="2023-07-03T00:00:00"/>
    <s v="2023022-128"/>
    <x v="3"/>
  </r>
  <r>
    <x v="352"/>
    <n v="2023023"/>
    <x v="23"/>
    <s v="Fababean"/>
    <m/>
    <x v="10"/>
    <s v="Y"/>
    <x v="2"/>
    <n v="1"/>
    <n v="1"/>
    <x v="0"/>
    <m/>
    <m/>
    <m/>
    <n v="1"/>
    <m/>
    <m/>
    <m/>
    <m/>
    <m/>
    <n v="1"/>
    <n v="2"/>
    <x v="0"/>
    <n v="1"/>
    <m/>
    <m/>
    <x v="1"/>
    <n v="4"/>
    <x v="0"/>
    <m/>
    <m/>
    <n v="23"/>
    <x v="1"/>
    <s v="10/05/2023"/>
    <d v="2023-05-10T00:00:00"/>
    <s v="2023023-1"/>
    <x v="4"/>
  </r>
  <r>
    <x v="352"/>
    <n v="2023023"/>
    <x v="23"/>
    <s v="Fababean"/>
    <m/>
    <x v="10"/>
    <s v="Y"/>
    <x v="1"/>
    <n v="2"/>
    <n v="1"/>
    <x v="0"/>
    <m/>
    <m/>
    <m/>
    <n v="1"/>
    <m/>
    <m/>
    <m/>
    <m/>
    <m/>
    <n v="2"/>
    <n v="2"/>
    <x v="1"/>
    <n v="1"/>
    <m/>
    <n v="2"/>
    <x v="1"/>
    <n v="4"/>
    <x v="0"/>
    <m/>
    <m/>
    <n v="23"/>
    <x v="1"/>
    <s v="10/05/2023"/>
    <d v="2023-05-10T00:00:00"/>
    <s v="2023023-2"/>
    <x v="4"/>
  </r>
  <r>
    <x v="353"/>
    <n v="2023023"/>
    <x v="23"/>
    <s v="Fababean"/>
    <m/>
    <x v="11"/>
    <s v="N"/>
    <x v="2"/>
    <n v="3"/>
    <n v="2"/>
    <x v="0"/>
    <m/>
    <m/>
    <m/>
    <n v="1"/>
    <m/>
    <m/>
    <m/>
    <m/>
    <m/>
    <n v="3"/>
    <n v="2"/>
    <x v="2"/>
    <n v="1"/>
    <m/>
    <m/>
    <x v="1"/>
    <n v="2"/>
    <x v="0"/>
    <m/>
    <m/>
    <n v="23"/>
    <x v="1"/>
    <s v="10/05/2023"/>
    <d v="2023-05-10T00:00:00"/>
    <s v="2023023-3"/>
    <x v="4"/>
  </r>
  <r>
    <x v="353"/>
    <n v="2023023"/>
    <x v="23"/>
    <s v="Fababean"/>
    <m/>
    <x v="11"/>
    <s v="N"/>
    <x v="1"/>
    <n v="4"/>
    <n v="2"/>
    <x v="0"/>
    <m/>
    <m/>
    <m/>
    <n v="1"/>
    <m/>
    <m/>
    <m/>
    <m/>
    <m/>
    <n v="4"/>
    <n v="2"/>
    <x v="3"/>
    <n v="1"/>
    <m/>
    <n v="4"/>
    <x v="1"/>
    <n v="2"/>
    <x v="0"/>
    <m/>
    <m/>
    <n v="23"/>
    <x v="1"/>
    <s v="10/05/2023"/>
    <d v="2023-05-10T00:00:00"/>
    <s v="2023023-4"/>
    <x v="4"/>
  </r>
  <r>
    <x v="354"/>
    <n v="2023023"/>
    <x v="23"/>
    <s v="Fababean"/>
    <m/>
    <x v="13"/>
    <s v="Y"/>
    <x v="2"/>
    <n v="5"/>
    <n v="3"/>
    <x v="0"/>
    <m/>
    <m/>
    <m/>
    <n v="1"/>
    <m/>
    <m/>
    <m/>
    <m/>
    <m/>
    <n v="1"/>
    <n v="3"/>
    <x v="0"/>
    <n v="2"/>
    <m/>
    <m/>
    <x v="1"/>
    <n v="3"/>
    <x v="0"/>
    <m/>
    <m/>
    <n v="23"/>
    <x v="1"/>
    <s v="10/05/2023"/>
    <d v="2023-05-10T00:00:00"/>
    <s v="2023023-5"/>
    <x v="4"/>
  </r>
  <r>
    <x v="354"/>
    <n v="2023023"/>
    <x v="23"/>
    <s v="Fababean"/>
    <m/>
    <x v="13"/>
    <s v="Y"/>
    <x v="1"/>
    <n v="6"/>
    <n v="3"/>
    <x v="0"/>
    <m/>
    <m/>
    <m/>
    <n v="1"/>
    <m/>
    <m/>
    <m/>
    <m/>
    <m/>
    <n v="2"/>
    <n v="3"/>
    <x v="1"/>
    <n v="2"/>
    <m/>
    <n v="7"/>
    <x v="1"/>
    <n v="3"/>
    <x v="0"/>
    <m/>
    <m/>
    <n v="23"/>
    <x v="1"/>
    <s v="10/05/2023"/>
    <d v="2023-05-10T00:00:00"/>
    <s v="2023023-6"/>
    <x v="4"/>
  </r>
  <r>
    <x v="355"/>
    <n v="2023023"/>
    <x v="23"/>
    <s v="Fababean"/>
    <m/>
    <x v="12"/>
    <s v="N"/>
    <x v="2"/>
    <n v="7"/>
    <n v="4"/>
    <x v="0"/>
    <m/>
    <m/>
    <m/>
    <n v="1"/>
    <m/>
    <m/>
    <m/>
    <m/>
    <m/>
    <n v="3"/>
    <n v="3"/>
    <x v="2"/>
    <n v="2"/>
    <m/>
    <m/>
    <x v="1"/>
    <n v="1"/>
    <x v="0"/>
    <m/>
    <m/>
    <n v="23"/>
    <x v="1"/>
    <s v="10/05/2023"/>
    <d v="2023-05-10T00:00:00"/>
    <s v="2023023-7"/>
    <x v="4"/>
  </r>
  <r>
    <x v="355"/>
    <n v="2023023"/>
    <x v="23"/>
    <s v="Fababean"/>
    <m/>
    <x v="12"/>
    <s v="N"/>
    <x v="1"/>
    <n v="8"/>
    <n v="4"/>
    <x v="0"/>
    <m/>
    <m/>
    <m/>
    <n v="1"/>
    <m/>
    <m/>
    <m/>
    <m/>
    <m/>
    <n v="4"/>
    <n v="3"/>
    <x v="3"/>
    <n v="2"/>
    <m/>
    <n v="5"/>
    <x v="1"/>
    <n v="1"/>
    <x v="0"/>
    <m/>
    <m/>
    <n v="23"/>
    <x v="1"/>
    <s v="10/05/2023"/>
    <d v="2023-05-10T00:00:00"/>
    <s v="2023023-8"/>
    <x v="4"/>
  </r>
  <r>
    <x v="356"/>
    <n v="2023023"/>
    <x v="23"/>
    <s v="Fababean"/>
    <m/>
    <x v="12"/>
    <s v="N"/>
    <x v="2"/>
    <n v="9"/>
    <n v="5"/>
    <x v="0"/>
    <m/>
    <m/>
    <m/>
    <n v="2"/>
    <m/>
    <m/>
    <m/>
    <m/>
    <m/>
    <n v="1"/>
    <n v="6"/>
    <x v="0"/>
    <n v="3"/>
    <m/>
    <m/>
    <x v="0"/>
    <n v="1"/>
    <x v="0"/>
    <m/>
    <m/>
    <n v="23"/>
    <x v="1"/>
    <s v="10/05/2023"/>
    <d v="2023-05-10T00:00:00"/>
    <s v="2023023-9"/>
    <x v="4"/>
  </r>
  <r>
    <x v="356"/>
    <n v="2023023"/>
    <x v="23"/>
    <s v="Fababean"/>
    <m/>
    <x v="12"/>
    <s v="N"/>
    <x v="1"/>
    <n v="10"/>
    <n v="5"/>
    <x v="0"/>
    <m/>
    <m/>
    <m/>
    <n v="2"/>
    <m/>
    <m/>
    <m/>
    <m/>
    <m/>
    <n v="2"/>
    <n v="6"/>
    <x v="1"/>
    <n v="3"/>
    <m/>
    <n v="10"/>
    <x v="0"/>
    <n v="1"/>
    <x v="0"/>
    <m/>
    <m/>
    <n v="23"/>
    <x v="1"/>
    <s v="10/05/2023"/>
    <d v="2023-05-10T00:00:00"/>
    <s v="2023023-10"/>
    <x v="4"/>
  </r>
  <r>
    <x v="357"/>
    <n v="2023023"/>
    <x v="23"/>
    <s v="Fababean"/>
    <m/>
    <x v="13"/>
    <s v="Y"/>
    <x v="2"/>
    <n v="11"/>
    <n v="6"/>
    <x v="0"/>
    <m/>
    <m/>
    <m/>
    <n v="2"/>
    <m/>
    <m/>
    <m/>
    <m/>
    <m/>
    <n v="3"/>
    <n v="6"/>
    <x v="2"/>
    <n v="3"/>
    <m/>
    <m/>
    <x v="0"/>
    <n v="3"/>
    <x v="0"/>
    <m/>
    <m/>
    <n v="23"/>
    <x v="1"/>
    <s v="10/05/2023"/>
    <d v="2023-05-10T00:00:00"/>
    <s v="2023023-11"/>
    <x v="4"/>
  </r>
  <r>
    <x v="357"/>
    <n v="2023023"/>
    <x v="23"/>
    <s v="Fababean"/>
    <m/>
    <x v="13"/>
    <s v="Y"/>
    <x v="1"/>
    <n v="12"/>
    <n v="6"/>
    <x v="0"/>
    <m/>
    <m/>
    <m/>
    <n v="2"/>
    <m/>
    <m/>
    <m/>
    <m/>
    <m/>
    <n v="4"/>
    <n v="6"/>
    <x v="3"/>
    <n v="3"/>
    <m/>
    <n v="12"/>
    <x v="0"/>
    <n v="3"/>
    <x v="0"/>
    <m/>
    <m/>
    <n v="23"/>
    <x v="1"/>
    <s v="10/05/2023"/>
    <d v="2023-05-10T00:00:00"/>
    <s v="2023023-12"/>
    <x v="4"/>
  </r>
  <r>
    <x v="358"/>
    <n v="2023023"/>
    <x v="23"/>
    <s v="Fababean"/>
    <m/>
    <x v="11"/>
    <s v="N"/>
    <x v="2"/>
    <n v="13"/>
    <n v="7"/>
    <x v="0"/>
    <m/>
    <m/>
    <m/>
    <n v="2"/>
    <m/>
    <m/>
    <m/>
    <m/>
    <m/>
    <n v="1"/>
    <n v="7"/>
    <x v="0"/>
    <n v="4"/>
    <m/>
    <m/>
    <x v="0"/>
    <n v="2"/>
    <x v="0"/>
    <m/>
    <m/>
    <n v="23"/>
    <x v="1"/>
    <s v="10/05/2023"/>
    <d v="2023-05-10T00:00:00"/>
    <s v="2023023-13"/>
    <x v="4"/>
  </r>
  <r>
    <x v="358"/>
    <n v="2023023"/>
    <x v="23"/>
    <s v="Fababean"/>
    <m/>
    <x v="11"/>
    <s v="N"/>
    <x v="1"/>
    <n v="14"/>
    <n v="7"/>
    <x v="0"/>
    <m/>
    <m/>
    <m/>
    <n v="2"/>
    <m/>
    <m/>
    <m/>
    <m/>
    <m/>
    <n v="2"/>
    <n v="7"/>
    <x v="1"/>
    <n v="4"/>
    <m/>
    <n v="15"/>
    <x v="0"/>
    <n v="2"/>
    <x v="0"/>
    <m/>
    <m/>
    <n v="23"/>
    <x v="1"/>
    <s v="10/05/2023"/>
    <d v="2023-05-10T00:00:00"/>
    <s v="2023023-14"/>
    <x v="4"/>
  </r>
  <r>
    <x v="359"/>
    <n v="2023023"/>
    <x v="23"/>
    <s v="Fababean"/>
    <m/>
    <x v="10"/>
    <s v="Y"/>
    <x v="2"/>
    <n v="15"/>
    <n v="8"/>
    <x v="0"/>
    <m/>
    <m/>
    <m/>
    <n v="2"/>
    <m/>
    <m/>
    <m/>
    <m/>
    <m/>
    <n v="3"/>
    <n v="7"/>
    <x v="2"/>
    <n v="4"/>
    <m/>
    <m/>
    <x v="0"/>
    <n v="4"/>
    <x v="0"/>
    <m/>
    <m/>
    <n v="23"/>
    <x v="1"/>
    <s v="10/05/2023"/>
    <d v="2023-05-10T00:00:00"/>
    <s v="2023023-15"/>
    <x v="4"/>
  </r>
  <r>
    <x v="359"/>
    <n v="2023023"/>
    <x v="23"/>
    <s v="Fababean"/>
    <m/>
    <x v="10"/>
    <s v="Y"/>
    <x v="1"/>
    <n v="16"/>
    <n v="8"/>
    <x v="0"/>
    <m/>
    <m/>
    <m/>
    <n v="2"/>
    <m/>
    <m/>
    <m/>
    <m/>
    <m/>
    <n v="4"/>
    <n v="7"/>
    <x v="3"/>
    <n v="4"/>
    <m/>
    <n v="13"/>
    <x v="0"/>
    <n v="4"/>
    <x v="0"/>
    <m/>
    <m/>
    <n v="23"/>
    <x v="1"/>
    <s v="10/05/2023"/>
    <d v="2023-05-10T00:00:00"/>
    <s v="2023023-16"/>
    <x v="4"/>
  </r>
  <r>
    <x v="360"/>
    <n v="2023023"/>
    <x v="23"/>
    <s v="Fababean"/>
    <m/>
    <x v="11"/>
    <s v="N"/>
    <x v="2"/>
    <n v="17"/>
    <n v="9"/>
    <x v="0"/>
    <m/>
    <m/>
    <m/>
    <n v="3"/>
    <m/>
    <m/>
    <m/>
    <m/>
    <m/>
    <n v="1"/>
    <n v="10"/>
    <x v="0"/>
    <n v="5"/>
    <m/>
    <m/>
    <x v="1"/>
    <n v="2"/>
    <x v="0"/>
    <m/>
    <m/>
    <n v="23"/>
    <x v="2"/>
    <s v="28/06/2023"/>
    <d v="2023-06-28T00:00:00"/>
    <s v="2023023-17"/>
    <x v="4"/>
  </r>
  <r>
    <x v="360"/>
    <n v="2023023"/>
    <x v="23"/>
    <s v="Fababean"/>
    <m/>
    <x v="11"/>
    <s v="N"/>
    <x v="1"/>
    <n v="18"/>
    <n v="9"/>
    <x v="0"/>
    <m/>
    <m/>
    <m/>
    <n v="3"/>
    <m/>
    <m/>
    <m/>
    <m/>
    <m/>
    <n v="2"/>
    <n v="10"/>
    <x v="1"/>
    <n v="5"/>
    <m/>
    <n v="18"/>
    <x v="1"/>
    <n v="2"/>
    <x v="0"/>
    <m/>
    <m/>
    <n v="23"/>
    <x v="2"/>
    <s v="28/06/2023"/>
    <d v="2023-06-28T00:00:00"/>
    <s v="2023023-18"/>
    <x v="4"/>
  </r>
  <r>
    <x v="361"/>
    <n v="2023023"/>
    <x v="23"/>
    <s v="Fababean"/>
    <m/>
    <x v="12"/>
    <s v="N"/>
    <x v="2"/>
    <n v="19"/>
    <n v="10"/>
    <x v="0"/>
    <m/>
    <m/>
    <m/>
    <n v="3"/>
    <m/>
    <m/>
    <m/>
    <m/>
    <m/>
    <n v="3"/>
    <n v="10"/>
    <x v="2"/>
    <n v="5"/>
    <m/>
    <m/>
    <x v="1"/>
    <n v="1"/>
    <x v="0"/>
    <m/>
    <m/>
    <n v="23"/>
    <x v="2"/>
    <s v="28/06/2023"/>
    <d v="2023-06-28T00:00:00"/>
    <s v="2023023-19"/>
    <x v="4"/>
  </r>
  <r>
    <x v="361"/>
    <n v="2023023"/>
    <x v="23"/>
    <s v="Fababean"/>
    <m/>
    <x v="12"/>
    <s v="N"/>
    <x v="1"/>
    <n v="20"/>
    <n v="10"/>
    <x v="0"/>
    <m/>
    <m/>
    <m/>
    <n v="3"/>
    <m/>
    <m/>
    <m/>
    <m/>
    <m/>
    <n v="4"/>
    <n v="10"/>
    <x v="3"/>
    <n v="5"/>
    <m/>
    <n v="20"/>
    <x v="1"/>
    <n v="1"/>
    <x v="0"/>
    <m/>
    <m/>
    <n v="23"/>
    <x v="2"/>
    <s v="28/06/2023"/>
    <d v="2023-06-28T00:00:00"/>
    <s v="2023023-20"/>
    <x v="4"/>
  </r>
  <r>
    <x v="362"/>
    <n v="2023023"/>
    <x v="23"/>
    <s v="Fababean"/>
    <m/>
    <x v="10"/>
    <s v="Y"/>
    <x v="2"/>
    <n v="21"/>
    <n v="11"/>
    <x v="0"/>
    <m/>
    <m/>
    <m/>
    <n v="3"/>
    <m/>
    <m/>
    <m/>
    <m/>
    <m/>
    <n v="1"/>
    <n v="11"/>
    <x v="0"/>
    <n v="6"/>
    <m/>
    <m/>
    <x v="1"/>
    <n v="4"/>
    <x v="0"/>
    <m/>
    <m/>
    <n v="23"/>
    <x v="2"/>
    <s v="28/06/2023"/>
    <d v="2023-06-28T00:00:00"/>
    <s v="2023023-21"/>
    <x v="4"/>
  </r>
  <r>
    <x v="362"/>
    <n v="2023023"/>
    <x v="23"/>
    <s v="Fababean"/>
    <m/>
    <x v="10"/>
    <s v="Y"/>
    <x v="1"/>
    <n v="22"/>
    <n v="11"/>
    <x v="0"/>
    <m/>
    <m/>
    <m/>
    <n v="3"/>
    <m/>
    <m/>
    <m/>
    <m/>
    <m/>
    <n v="2"/>
    <n v="11"/>
    <x v="1"/>
    <n v="6"/>
    <m/>
    <n v="23"/>
    <x v="1"/>
    <n v="4"/>
    <x v="0"/>
    <m/>
    <m/>
    <n v="23"/>
    <x v="2"/>
    <s v="28/06/2023"/>
    <d v="2023-06-28T00:00:00"/>
    <s v="2023023-22"/>
    <x v="4"/>
  </r>
  <r>
    <x v="363"/>
    <n v="2023023"/>
    <x v="23"/>
    <s v="Fababean"/>
    <m/>
    <x v="13"/>
    <s v="Y"/>
    <x v="2"/>
    <n v="23"/>
    <n v="12"/>
    <x v="0"/>
    <m/>
    <m/>
    <m/>
    <n v="3"/>
    <m/>
    <m/>
    <m/>
    <m/>
    <m/>
    <n v="3"/>
    <n v="11"/>
    <x v="2"/>
    <n v="6"/>
    <m/>
    <m/>
    <x v="1"/>
    <n v="3"/>
    <x v="0"/>
    <m/>
    <m/>
    <n v="23"/>
    <x v="2"/>
    <s v="28/06/2023"/>
    <d v="2023-06-28T00:00:00"/>
    <s v="2023023-23"/>
    <x v="4"/>
  </r>
  <r>
    <x v="363"/>
    <n v="2023023"/>
    <x v="23"/>
    <s v="Fababean"/>
    <m/>
    <x v="13"/>
    <s v="Y"/>
    <x v="1"/>
    <n v="24"/>
    <n v="12"/>
    <x v="0"/>
    <m/>
    <m/>
    <m/>
    <n v="3"/>
    <m/>
    <m/>
    <m/>
    <m/>
    <m/>
    <n v="4"/>
    <n v="11"/>
    <x v="3"/>
    <n v="6"/>
    <m/>
    <n v="21"/>
    <x v="1"/>
    <n v="3"/>
    <x v="0"/>
    <m/>
    <m/>
    <n v="23"/>
    <x v="2"/>
    <s v="28/06/2023"/>
    <d v="2023-06-28T00:00:00"/>
    <s v="2023023-24"/>
    <x v="4"/>
  </r>
  <r>
    <x v="364"/>
    <n v="2023023"/>
    <x v="23"/>
    <s v="Fababean"/>
    <m/>
    <x v="13"/>
    <s v="Y"/>
    <x v="2"/>
    <n v="25"/>
    <n v="13"/>
    <x v="0"/>
    <m/>
    <m/>
    <m/>
    <n v="4"/>
    <m/>
    <m/>
    <m/>
    <m/>
    <m/>
    <n v="1"/>
    <n v="14"/>
    <x v="0"/>
    <n v="7"/>
    <m/>
    <m/>
    <x v="0"/>
    <n v="3"/>
    <x v="0"/>
    <m/>
    <m/>
    <n v="23"/>
    <x v="2"/>
    <s v="28/06/2023"/>
    <d v="2023-06-28T00:00:00"/>
    <s v="2023023-25"/>
    <x v="4"/>
  </r>
  <r>
    <x v="364"/>
    <n v="2023023"/>
    <x v="23"/>
    <s v="Fababean"/>
    <m/>
    <x v="13"/>
    <s v="Y"/>
    <x v="1"/>
    <n v="26"/>
    <n v="13"/>
    <x v="0"/>
    <m/>
    <m/>
    <m/>
    <n v="4"/>
    <m/>
    <m/>
    <m/>
    <m/>
    <m/>
    <n v="2"/>
    <n v="14"/>
    <x v="1"/>
    <n v="7"/>
    <m/>
    <n v="26"/>
    <x v="0"/>
    <n v="3"/>
    <x v="0"/>
    <m/>
    <m/>
    <n v="23"/>
    <x v="2"/>
    <s v="28/06/2023"/>
    <d v="2023-06-28T00:00:00"/>
    <s v="2023023-26"/>
    <x v="4"/>
  </r>
  <r>
    <x v="365"/>
    <n v="2023023"/>
    <x v="23"/>
    <s v="Fababean"/>
    <m/>
    <x v="10"/>
    <s v="Y"/>
    <x v="2"/>
    <n v="27"/>
    <n v="14"/>
    <x v="0"/>
    <m/>
    <m/>
    <m/>
    <n v="4"/>
    <m/>
    <m/>
    <m/>
    <m/>
    <m/>
    <n v="3"/>
    <n v="14"/>
    <x v="2"/>
    <n v="7"/>
    <m/>
    <m/>
    <x v="0"/>
    <n v="4"/>
    <x v="0"/>
    <m/>
    <m/>
    <n v="23"/>
    <x v="2"/>
    <s v="28/06/2023"/>
    <d v="2023-06-28T00:00:00"/>
    <s v="2023023-27"/>
    <x v="4"/>
  </r>
  <r>
    <x v="365"/>
    <n v="2023023"/>
    <x v="23"/>
    <s v="Fababean"/>
    <m/>
    <x v="10"/>
    <s v="Y"/>
    <x v="1"/>
    <n v="28"/>
    <n v="14"/>
    <x v="0"/>
    <m/>
    <m/>
    <m/>
    <n v="4"/>
    <m/>
    <m/>
    <m/>
    <m/>
    <m/>
    <n v="4"/>
    <n v="14"/>
    <x v="3"/>
    <n v="7"/>
    <m/>
    <n v="28"/>
    <x v="0"/>
    <n v="4"/>
    <x v="0"/>
    <m/>
    <m/>
    <n v="23"/>
    <x v="2"/>
    <s v="28/06/2023"/>
    <d v="2023-06-28T00:00:00"/>
    <s v="2023023-28"/>
    <x v="4"/>
  </r>
  <r>
    <x v="366"/>
    <n v="2023023"/>
    <x v="23"/>
    <s v="Fababean"/>
    <m/>
    <x v="12"/>
    <s v="N"/>
    <x v="2"/>
    <n v="29"/>
    <n v="15"/>
    <x v="0"/>
    <m/>
    <m/>
    <m/>
    <n v="4"/>
    <m/>
    <m/>
    <m/>
    <m/>
    <m/>
    <n v="1"/>
    <n v="15"/>
    <x v="0"/>
    <n v="8"/>
    <m/>
    <m/>
    <x v="0"/>
    <n v="1"/>
    <x v="0"/>
    <m/>
    <m/>
    <n v="23"/>
    <x v="2"/>
    <s v="28/06/2023"/>
    <d v="2023-06-28T00:00:00"/>
    <s v="2023023-29"/>
    <x v="4"/>
  </r>
  <r>
    <x v="366"/>
    <n v="2023023"/>
    <x v="23"/>
    <s v="Fababean"/>
    <m/>
    <x v="12"/>
    <s v="N"/>
    <x v="1"/>
    <n v="30"/>
    <n v="15"/>
    <x v="0"/>
    <m/>
    <m/>
    <m/>
    <n v="4"/>
    <m/>
    <m/>
    <m/>
    <m/>
    <m/>
    <n v="2"/>
    <n v="15"/>
    <x v="1"/>
    <n v="8"/>
    <m/>
    <n v="31"/>
    <x v="0"/>
    <n v="1"/>
    <x v="0"/>
    <m/>
    <m/>
    <n v="23"/>
    <x v="2"/>
    <s v="28/06/2023"/>
    <d v="2023-06-28T00:00:00"/>
    <s v="2023023-30"/>
    <x v="4"/>
  </r>
  <r>
    <x v="367"/>
    <n v="2023023"/>
    <x v="23"/>
    <s v="Fababean"/>
    <m/>
    <x v="11"/>
    <s v="N"/>
    <x v="2"/>
    <n v="31"/>
    <n v="16"/>
    <x v="0"/>
    <m/>
    <m/>
    <m/>
    <n v="4"/>
    <m/>
    <m/>
    <m/>
    <m/>
    <m/>
    <n v="3"/>
    <n v="15"/>
    <x v="2"/>
    <n v="8"/>
    <m/>
    <m/>
    <x v="0"/>
    <n v="2"/>
    <x v="0"/>
    <m/>
    <m/>
    <n v="23"/>
    <x v="2"/>
    <s v="28/06/2023"/>
    <d v="2023-06-28T00:00:00"/>
    <s v="2023023-31"/>
    <x v="4"/>
  </r>
  <r>
    <x v="367"/>
    <n v="2023023"/>
    <x v="23"/>
    <s v="Fababean"/>
    <m/>
    <x v="11"/>
    <s v="N"/>
    <x v="1"/>
    <n v="32"/>
    <n v="16"/>
    <x v="0"/>
    <m/>
    <m/>
    <m/>
    <n v="4"/>
    <m/>
    <m/>
    <m/>
    <m/>
    <m/>
    <n v="4"/>
    <n v="15"/>
    <x v="3"/>
    <n v="8"/>
    <m/>
    <n v="29"/>
    <x v="0"/>
    <n v="2"/>
    <x v="0"/>
    <m/>
    <m/>
    <n v="23"/>
    <x v="2"/>
    <s v="28/06/2023"/>
    <d v="2023-06-28T00:00:00"/>
    <s v="2023023-32"/>
    <x v="4"/>
  </r>
  <r>
    <x v="359"/>
    <n v="2023023"/>
    <x v="23"/>
    <s v="Fababean"/>
    <m/>
    <x v="10"/>
    <s v="Y"/>
    <x v="2"/>
    <n v="33"/>
    <n v="17"/>
    <x v="1"/>
    <m/>
    <m/>
    <m/>
    <n v="5"/>
    <m/>
    <m/>
    <m/>
    <m/>
    <m/>
    <n v="1"/>
    <n v="18"/>
    <x v="0"/>
    <n v="9"/>
    <m/>
    <m/>
    <x v="0"/>
    <n v="4"/>
    <x v="0"/>
    <m/>
    <m/>
    <n v="23"/>
    <x v="1"/>
    <s v="10/05/2023"/>
    <d v="2023-05-10T00:00:00"/>
    <s v="2023023-33"/>
    <x v="4"/>
  </r>
  <r>
    <x v="359"/>
    <n v="2023023"/>
    <x v="23"/>
    <s v="Fababean"/>
    <m/>
    <x v="10"/>
    <s v="Y"/>
    <x v="1"/>
    <n v="34"/>
    <n v="17"/>
    <x v="1"/>
    <m/>
    <m/>
    <m/>
    <n v="5"/>
    <m/>
    <m/>
    <m/>
    <m/>
    <m/>
    <n v="2"/>
    <n v="18"/>
    <x v="1"/>
    <n v="9"/>
    <m/>
    <n v="34"/>
    <x v="0"/>
    <n v="4"/>
    <x v="0"/>
    <m/>
    <m/>
    <n v="23"/>
    <x v="1"/>
    <s v="10/05/2023"/>
    <d v="2023-05-10T00:00:00"/>
    <s v="2023023-34"/>
    <x v="4"/>
  </r>
  <r>
    <x v="357"/>
    <n v="2023023"/>
    <x v="23"/>
    <s v="Fababean"/>
    <m/>
    <x v="13"/>
    <s v="Y"/>
    <x v="2"/>
    <n v="35"/>
    <n v="18"/>
    <x v="1"/>
    <m/>
    <m/>
    <m/>
    <n v="5"/>
    <m/>
    <m/>
    <m/>
    <m/>
    <m/>
    <n v="3"/>
    <n v="18"/>
    <x v="2"/>
    <n v="9"/>
    <m/>
    <m/>
    <x v="0"/>
    <n v="3"/>
    <x v="0"/>
    <m/>
    <m/>
    <n v="23"/>
    <x v="1"/>
    <s v="10/05/2023"/>
    <d v="2023-05-10T00:00:00"/>
    <s v="2023023-35"/>
    <x v="4"/>
  </r>
  <r>
    <x v="357"/>
    <n v="2023023"/>
    <x v="23"/>
    <s v="Fababean"/>
    <m/>
    <x v="13"/>
    <s v="Y"/>
    <x v="1"/>
    <n v="36"/>
    <n v="18"/>
    <x v="1"/>
    <m/>
    <m/>
    <m/>
    <n v="5"/>
    <m/>
    <m/>
    <m/>
    <m/>
    <m/>
    <n v="4"/>
    <n v="18"/>
    <x v="3"/>
    <n v="9"/>
    <m/>
    <n v="36"/>
    <x v="0"/>
    <n v="3"/>
    <x v="0"/>
    <m/>
    <m/>
    <n v="23"/>
    <x v="1"/>
    <s v="10/05/2023"/>
    <d v="2023-05-10T00:00:00"/>
    <s v="2023023-36"/>
    <x v="4"/>
  </r>
  <r>
    <x v="356"/>
    <n v="2023023"/>
    <x v="23"/>
    <s v="Fababean"/>
    <m/>
    <x v="12"/>
    <s v="N"/>
    <x v="2"/>
    <n v="37"/>
    <n v="19"/>
    <x v="1"/>
    <m/>
    <m/>
    <m/>
    <n v="5"/>
    <m/>
    <m/>
    <m/>
    <m/>
    <m/>
    <n v="1"/>
    <n v="19"/>
    <x v="0"/>
    <n v="10"/>
    <m/>
    <m/>
    <x v="0"/>
    <n v="1"/>
    <x v="0"/>
    <m/>
    <m/>
    <n v="23"/>
    <x v="1"/>
    <s v="10/05/2023"/>
    <d v="2023-05-10T00:00:00"/>
    <s v="2023023-37"/>
    <x v="4"/>
  </r>
  <r>
    <x v="356"/>
    <n v="2023023"/>
    <x v="23"/>
    <s v="Fababean"/>
    <m/>
    <x v="12"/>
    <s v="N"/>
    <x v="1"/>
    <n v="38"/>
    <n v="19"/>
    <x v="1"/>
    <m/>
    <m/>
    <m/>
    <n v="5"/>
    <m/>
    <m/>
    <m/>
    <m/>
    <m/>
    <n v="2"/>
    <n v="19"/>
    <x v="1"/>
    <n v="10"/>
    <m/>
    <n v="39"/>
    <x v="0"/>
    <n v="1"/>
    <x v="0"/>
    <m/>
    <m/>
    <n v="23"/>
    <x v="1"/>
    <s v="10/05/2023"/>
    <d v="2023-05-10T00:00:00"/>
    <s v="2023023-38"/>
    <x v="4"/>
  </r>
  <r>
    <x v="358"/>
    <n v="2023023"/>
    <x v="23"/>
    <s v="Fababean"/>
    <m/>
    <x v="11"/>
    <s v="N"/>
    <x v="2"/>
    <n v="39"/>
    <n v="20"/>
    <x v="1"/>
    <m/>
    <m/>
    <m/>
    <n v="5"/>
    <m/>
    <m/>
    <m/>
    <m/>
    <m/>
    <n v="3"/>
    <n v="19"/>
    <x v="2"/>
    <n v="10"/>
    <m/>
    <m/>
    <x v="0"/>
    <n v="2"/>
    <x v="0"/>
    <m/>
    <m/>
    <n v="23"/>
    <x v="1"/>
    <s v="10/05/2023"/>
    <d v="2023-05-10T00:00:00"/>
    <s v="2023023-39"/>
    <x v="4"/>
  </r>
  <r>
    <x v="358"/>
    <n v="2023023"/>
    <x v="23"/>
    <s v="Fababean"/>
    <m/>
    <x v="11"/>
    <s v="N"/>
    <x v="1"/>
    <n v="40"/>
    <n v="20"/>
    <x v="1"/>
    <m/>
    <m/>
    <m/>
    <n v="5"/>
    <m/>
    <m/>
    <m/>
    <m/>
    <m/>
    <n v="4"/>
    <n v="19"/>
    <x v="3"/>
    <n v="10"/>
    <m/>
    <n v="37"/>
    <x v="0"/>
    <n v="2"/>
    <x v="0"/>
    <m/>
    <m/>
    <n v="23"/>
    <x v="1"/>
    <s v="10/05/2023"/>
    <d v="2023-05-10T00:00:00"/>
    <s v="2023023-40"/>
    <x v="4"/>
  </r>
  <r>
    <x v="354"/>
    <n v="2023023"/>
    <x v="23"/>
    <s v="Fababean"/>
    <m/>
    <x v="13"/>
    <s v="Y"/>
    <x v="2"/>
    <n v="41"/>
    <n v="21"/>
    <x v="1"/>
    <m/>
    <m/>
    <m/>
    <n v="6"/>
    <m/>
    <m/>
    <m/>
    <m/>
    <m/>
    <n v="1"/>
    <n v="22"/>
    <x v="0"/>
    <n v="11"/>
    <m/>
    <m/>
    <x v="1"/>
    <n v="3"/>
    <x v="0"/>
    <m/>
    <m/>
    <n v="23"/>
    <x v="1"/>
    <s v="10/05/2023"/>
    <d v="2023-05-10T00:00:00"/>
    <s v="2023023-41"/>
    <x v="4"/>
  </r>
  <r>
    <x v="354"/>
    <n v="2023023"/>
    <x v="23"/>
    <s v="Fababean"/>
    <m/>
    <x v="13"/>
    <s v="Y"/>
    <x v="1"/>
    <n v="42"/>
    <n v="21"/>
    <x v="1"/>
    <m/>
    <m/>
    <m/>
    <n v="6"/>
    <m/>
    <m/>
    <m/>
    <m/>
    <m/>
    <n v="2"/>
    <n v="22"/>
    <x v="1"/>
    <n v="11"/>
    <m/>
    <n v="42"/>
    <x v="1"/>
    <n v="3"/>
    <x v="0"/>
    <m/>
    <m/>
    <n v="23"/>
    <x v="1"/>
    <s v="10/05/2023"/>
    <d v="2023-05-10T00:00:00"/>
    <s v="2023023-42"/>
    <x v="4"/>
  </r>
  <r>
    <x v="352"/>
    <n v="2023023"/>
    <x v="23"/>
    <s v="Fababean"/>
    <m/>
    <x v="10"/>
    <s v="Y"/>
    <x v="2"/>
    <n v="43"/>
    <n v="22"/>
    <x v="1"/>
    <m/>
    <m/>
    <m/>
    <n v="6"/>
    <m/>
    <m/>
    <m/>
    <m/>
    <m/>
    <n v="3"/>
    <n v="22"/>
    <x v="2"/>
    <n v="11"/>
    <m/>
    <m/>
    <x v="1"/>
    <n v="4"/>
    <x v="0"/>
    <m/>
    <m/>
    <n v="23"/>
    <x v="1"/>
    <s v="10/05/2023"/>
    <d v="2023-05-10T00:00:00"/>
    <s v="2023023-43"/>
    <x v="4"/>
  </r>
  <r>
    <x v="352"/>
    <n v="2023023"/>
    <x v="23"/>
    <s v="Fababean"/>
    <m/>
    <x v="10"/>
    <s v="Y"/>
    <x v="1"/>
    <n v="44"/>
    <n v="22"/>
    <x v="1"/>
    <m/>
    <m/>
    <m/>
    <n v="6"/>
    <m/>
    <m/>
    <m/>
    <m/>
    <m/>
    <n v="4"/>
    <n v="22"/>
    <x v="3"/>
    <n v="11"/>
    <m/>
    <n v="44"/>
    <x v="1"/>
    <n v="4"/>
    <x v="0"/>
    <m/>
    <m/>
    <n v="23"/>
    <x v="1"/>
    <s v="10/05/2023"/>
    <d v="2023-05-10T00:00:00"/>
    <s v="2023023-44"/>
    <x v="4"/>
  </r>
  <r>
    <x v="353"/>
    <n v="2023023"/>
    <x v="23"/>
    <s v="Fababean"/>
    <m/>
    <x v="11"/>
    <s v="N"/>
    <x v="2"/>
    <n v="45"/>
    <n v="23"/>
    <x v="1"/>
    <m/>
    <m/>
    <m/>
    <n v="6"/>
    <m/>
    <m/>
    <m/>
    <m/>
    <m/>
    <n v="1"/>
    <n v="23"/>
    <x v="0"/>
    <n v="12"/>
    <m/>
    <m/>
    <x v="1"/>
    <n v="2"/>
    <x v="0"/>
    <m/>
    <m/>
    <n v="23"/>
    <x v="1"/>
    <s v="10/05/2023"/>
    <d v="2023-05-10T00:00:00"/>
    <s v="2023023-45"/>
    <x v="4"/>
  </r>
  <r>
    <x v="353"/>
    <n v="2023023"/>
    <x v="23"/>
    <s v="Fababean"/>
    <m/>
    <x v="11"/>
    <s v="N"/>
    <x v="1"/>
    <n v="46"/>
    <n v="23"/>
    <x v="1"/>
    <m/>
    <m/>
    <m/>
    <n v="6"/>
    <m/>
    <m/>
    <m/>
    <m/>
    <m/>
    <n v="2"/>
    <n v="23"/>
    <x v="1"/>
    <n v="12"/>
    <m/>
    <n v="47"/>
    <x v="1"/>
    <n v="2"/>
    <x v="0"/>
    <m/>
    <m/>
    <n v="23"/>
    <x v="1"/>
    <s v="10/05/2023"/>
    <d v="2023-05-10T00:00:00"/>
    <s v="2023023-46"/>
    <x v="4"/>
  </r>
  <r>
    <x v="355"/>
    <n v="2023023"/>
    <x v="23"/>
    <s v="Fababean"/>
    <m/>
    <x v="12"/>
    <s v="N"/>
    <x v="2"/>
    <n v="47"/>
    <n v="24"/>
    <x v="1"/>
    <m/>
    <m/>
    <m/>
    <n v="6"/>
    <m/>
    <m/>
    <m/>
    <m/>
    <m/>
    <n v="3"/>
    <n v="23"/>
    <x v="2"/>
    <n v="12"/>
    <m/>
    <m/>
    <x v="1"/>
    <n v="1"/>
    <x v="0"/>
    <m/>
    <m/>
    <n v="23"/>
    <x v="1"/>
    <s v="10/05/2023"/>
    <d v="2023-05-10T00:00:00"/>
    <s v="2023023-47"/>
    <x v="4"/>
  </r>
  <r>
    <x v="355"/>
    <n v="2023023"/>
    <x v="23"/>
    <s v="Fababean"/>
    <m/>
    <x v="12"/>
    <s v="N"/>
    <x v="1"/>
    <n v="48"/>
    <n v="24"/>
    <x v="1"/>
    <m/>
    <m/>
    <m/>
    <n v="6"/>
    <m/>
    <m/>
    <m/>
    <m/>
    <m/>
    <n v="4"/>
    <n v="23"/>
    <x v="3"/>
    <n v="12"/>
    <m/>
    <n v="45"/>
    <x v="1"/>
    <n v="1"/>
    <x v="0"/>
    <m/>
    <m/>
    <n v="23"/>
    <x v="1"/>
    <s v="10/05/2023"/>
    <d v="2023-05-10T00:00:00"/>
    <s v="2023023-48"/>
    <x v="4"/>
  </r>
  <r>
    <x v="367"/>
    <n v="2023023"/>
    <x v="23"/>
    <s v="Fababean"/>
    <m/>
    <x v="11"/>
    <s v="N"/>
    <x v="2"/>
    <n v="49"/>
    <n v="25"/>
    <x v="1"/>
    <m/>
    <m/>
    <m/>
    <n v="7"/>
    <m/>
    <m/>
    <m/>
    <m/>
    <m/>
    <n v="1"/>
    <n v="26"/>
    <x v="0"/>
    <n v="13"/>
    <m/>
    <m/>
    <x v="0"/>
    <n v="2"/>
    <x v="0"/>
    <m/>
    <m/>
    <n v="23"/>
    <x v="2"/>
    <s v="28/06/2023"/>
    <d v="2023-06-28T00:00:00"/>
    <s v="2023023-49"/>
    <x v="4"/>
  </r>
  <r>
    <x v="367"/>
    <n v="2023023"/>
    <x v="23"/>
    <s v="Fababean"/>
    <m/>
    <x v="11"/>
    <s v="N"/>
    <x v="1"/>
    <n v="50"/>
    <n v="25"/>
    <x v="1"/>
    <m/>
    <m/>
    <m/>
    <n v="7"/>
    <m/>
    <m/>
    <m/>
    <m/>
    <m/>
    <n v="2"/>
    <n v="26"/>
    <x v="1"/>
    <n v="13"/>
    <m/>
    <n v="50"/>
    <x v="0"/>
    <n v="2"/>
    <x v="0"/>
    <m/>
    <m/>
    <n v="23"/>
    <x v="2"/>
    <s v="28/06/2023"/>
    <d v="2023-06-28T00:00:00"/>
    <s v="2023023-50"/>
    <x v="4"/>
  </r>
  <r>
    <x v="366"/>
    <n v="2023023"/>
    <x v="23"/>
    <s v="Fababean"/>
    <m/>
    <x v="12"/>
    <s v="N"/>
    <x v="2"/>
    <n v="51"/>
    <n v="26"/>
    <x v="1"/>
    <m/>
    <m/>
    <m/>
    <n v="7"/>
    <m/>
    <m/>
    <m/>
    <m/>
    <m/>
    <n v="3"/>
    <n v="26"/>
    <x v="2"/>
    <n v="13"/>
    <m/>
    <m/>
    <x v="0"/>
    <n v="1"/>
    <x v="0"/>
    <m/>
    <m/>
    <n v="23"/>
    <x v="2"/>
    <s v="28/06/2023"/>
    <d v="2023-06-28T00:00:00"/>
    <s v="2023023-51"/>
    <x v="4"/>
  </r>
  <r>
    <x v="366"/>
    <n v="2023023"/>
    <x v="23"/>
    <s v="Fababean"/>
    <m/>
    <x v="12"/>
    <s v="N"/>
    <x v="1"/>
    <n v="52"/>
    <n v="26"/>
    <x v="1"/>
    <m/>
    <m/>
    <m/>
    <n v="7"/>
    <m/>
    <m/>
    <m/>
    <m/>
    <m/>
    <n v="4"/>
    <n v="26"/>
    <x v="3"/>
    <n v="13"/>
    <m/>
    <n v="52"/>
    <x v="0"/>
    <n v="1"/>
    <x v="0"/>
    <m/>
    <m/>
    <n v="23"/>
    <x v="2"/>
    <s v="28/06/2023"/>
    <d v="2023-06-28T00:00:00"/>
    <s v="2023023-52"/>
    <x v="4"/>
  </r>
  <r>
    <x v="365"/>
    <n v="2023023"/>
    <x v="23"/>
    <s v="Fababean"/>
    <m/>
    <x v="10"/>
    <s v="Y"/>
    <x v="2"/>
    <n v="53"/>
    <n v="27"/>
    <x v="1"/>
    <m/>
    <m/>
    <m/>
    <n v="7"/>
    <m/>
    <m/>
    <m/>
    <m/>
    <m/>
    <n v="1"/>
    <n v="27"/>
    <x v="0"/>
    <n v="14"/>
    <m/>
    <m/>
    <x v="0"/>
    <n v="4"/>
    <x v="0"/>
    <m/>
    <m/>
    <n v="23"/>
    <x v="2"/>
    <s v="28/06/2023"/>
    <d v="2023-06-28T00:00:00"/>
    <s v="2023023-53"/>
    <x v="4"/>
  </r>
  <r>
    <x v="365"/>
    <n v="2023023"/>
    <x v="23"/>
    <s v="Fababean"/>
    <m/>
    <x v="10"/>
    <s v="Y"/>
    <x v="1"/>
    <n v="54"/>
    <n v="27"/>
    <x v="1"/>
    <m/>
    <m/>
    <m/>
    <n v="7"/>
    <m/>
    <m/>
    <m/>
    <m/>
    <m/>
    <n v="2"/>
    <n v="27"/>
    <x v="1"/>
    <n v="14"/>
    <m/>
    <n v="55"/>
    <x v="0"/>
    <n v="4"/>
    <x v="0"/>
    <m/>
    <m/>
    <n v="23"/>
    <x v="2"/>
    <s v="28/06/2023"/>
    <d v="2023-06-28T00:00:00"/>
    <s v="2023023-54"/>
    <x v="4"/>
  </r>
  <r>
    <x v="364"/>
    <n v="2023023"/>
    <x v="23"/>
    <s v="Fababean"/>
    <m/>
    <x v="13"/>
    <s v="Y"/>
    <x v="2"/>
    <n v="55"/>
    <n v="28"/>
    <x v="1"/>
    <m/>
    <m/>
    <m/>
    <n v="7"/>
    <m/>
    <m/>
    <m/>
    <m/>
    <m/>
    <n v="3"/>
    <n v="27"/>
    <x v="2"/>
    <n v="14"/>
    <m/>
    <m/>
    <x v="0"/>
    <n v="3"/>
    <x v="0"/>
    <m/>
    <m/>
    <n v="23"/>
    <x v="2"/>
    <s v="28/06/2023"/>
    <d v="2023-06-28T00:00:00"/>
    <s v="2023023-55"/>
    <x v="4"/>
  </r>
  <r>
    <x v="364"/>
    <n v="2023023"/>
    <x v="23"/>
    <s v="Fababean"/>
    <m/>
    <x v="13"/>
    <s v="Y"/>
    <x v="1"/>
    <n v="56"/>
    <n v="28"/>
    <x v="1"/>
    <m/>
    <m/>
    <m/>
    <n v="7"/>
    <m/>
    <m/>
    <m/>
    <m/>
    <m/>
    <n v="4"/>
    <n v="27"/>
    <x v="3"/>
    <n v="14"/>
    <m/>
    <n v="53"/>
    <x v="0"/>
    <n v="3"/>
    <x v="0"/>
    <m/>
    <m/>
    <n v="23"/>
    <x v="2"/>
    <s v="28/06/2023"/>
    <d v="2023-06-28T00:00:00"/>
    <s v="2023023-56"/>
    <x v="4"/>
  </r>
  <r>
    <x v="361"/>
    <n v="2023023"/>
    <x v="23"/>
    <s v="Fababean"/>
    <m/>
    <x v="12"/>
    <s v="N"/>
    <x v="2"/>
    <n v="57"/>
    <n v="29"/>
    <x v="1"/>
    <m/>
    <m/>
    <m/>
    <n v="8"/>
    <m/>
    <m/>
    <m/>
    <m/>
    <m/>
    <n v="1"/>
    <n v="30"/>
    <x v="0"/>
    <n v="15"/>
    <m/>
    <m/>
    <x v="1"/>
    <n v="1"/>
    <x v="0"/>
    <m/>
    <m/>
    <n v="23"/>
    <x v="2"/>
    <s v="28/06/2023"/>
    <d v="2023-06-28T00:00:00"/>
    <s v="2023023-57"/>
    <x v="4"/>
  </r>
  <r>
    <x v="361"/>
    <n v="2023023"/>
    <x v="23"/>
    <s v="Fababean"/>
    <m/>
    <x v="12"/>
    <s v="N"/>
    <x v="1"/>
    <n v="58"/>
    <n v="29"/>
    <x v="1"/>
    <m/>
    <m/>
    <m/>
    <n v="8"/>
    <m/>
    <m/>
    <m/>
    <m/>
    <m/>
    <n v="2"/>
    <n v="30"/>
    <x v="1"/>
    <n v="15"/>
    <m/>
    <n v="58"/>
    <x v="1"/>
    <n v="1"/>
    <x v="0"/>
    <m/>
    <m/>
    <n v="23"/>
    <x v="2"/>
    <s v="28/06/2023"/>
    <d v="2023-06-28T00:00:00"/>
    <s v="2023023-58"/>
    <x v="4"/>
  </r>
  <r>
    <x v="360"/>
    <n v="2023023"/>
    <x v="23"/>
    <s v="Fababean"/>
    <m/>
    <x v="11"/>
    <s v="N"/>
    <x v="2"/>
    <n v="59"/>
    <n v="30"/>
    <x v="1"/>
    <m/>
    <m/>
    <m/>
    <n v="8"/>
    <m/>
    <m/>
    <m/>
    <m/>
    <m/>
    <n v="3"/>
    <n v="30"/>
    <x v="2"/>
    <n v="15"/>
    <m/>
    <m/>
    <x v="1"/>
    <n v="2"/>
    <x v="0"/>
    <m/>
    <m/>
    <n v="23"/>
    <x v="2"/>
    <s v="28/06/2023"/>
    <d v="2023-06-28T00:00:00"/>
    <s v="2023023-59"/>
    <x v="4"/>
  </r>
  <r>
    <x v="360"/>
    <n v="2023023"/>
    <x v="23"/>
    <s v="Fababean"/>
    <m/>
    <x v="11"/>
    <s v="N"/>
    <x v="1"/>
    <n v="60"/>
    <n v="30"/>
    <x v="1"/>
    <m/>
    <m/>
    <m/>
    <n v="8"/>
    <m/>
    <m/>
    <m/>
    <m/>
    <m/>
    <n v="4"/>
    <n v="30"/>
    <x v="3"/>
    <n v="15"/>
    <m/>
    <n v="60"/>
    <x v="1"/>
    <n v="2"/>
    <x v="0"/>
    <m/>
    <m/>
    <n v="23"/>
    <x v="2"/>
    <s v="28/06/2023"/>
    <d v="2023-06-28T00:00:00"/>
    <s v="2023023-60"/>
    <x v="4"/>
  </r>
  <r>
    <x v="363"/>
    <n v="2023023"/>
    <x v="23"/>
    <s v="Fababean"/>
    <m/>
    <x v="13"/>
    <s v="Y"/>
    <x v="2"/>
    <n v="61"/>
    <n v="31"/>
    <x v="1"/>
    <m/>
    <m/>
    <m/>
    <n v="8"/>
    <m/>
    <m/>
    <m/>
    <m/>
    <m/>
    <n v="1"/>
    <n v="31"/>
    <x v="0"/>
    <n v="16"/>
    <m/>
    <m/>
    <x v="1"/>
    <n v="3"/>
    <x v="0"/>
    <m/>
    <m/>
    <n v="23"/>
    <x v="2"/>
    <s v="28/06/2023"/>
    <d v="2023-06-28T00:00:00"/>
    <s v="2023023-61"/>
    <x v="4"/>
  </r>
  <r>
    <x v="363"/>
    <n v="2023023"/>
    <x v="23"/>
    <s v="Fababean"/>
    <m/>
    <x v="13"/>
    <s v="Y"/>
    <x v="1"/>
    <n v="62"/>
    <n v="31"/>
    <x v="1"/>
    <m/>
    <m/>
    <m/>
    <n v="8"/>
    <m/>
    <m/>
    <m/>
    <m/>
    <m/>
    <n v="2"/>
    <n v="31"/>
    <x v="1"/>
    <n v="16"/>
    <m/>
    <n v="63"/>
    <x v="1"/>
    <n v="3"/>
    <x v="0"/>
    <m/>
    <m/>
    <n v="23"/>
    <x v="2"/>
    <s v="28/06/2023"/>
    <d v="2023-06-28T00:00:00"/>
    <s v="2023023-62"/>
    <x v="4"/>
  </r>
  <r>
    <x v="362"/>
    <n v="2023023"/>
    <x v="23"/>
    <s v="Fababean"/>
    <m/>
    <x v="10"/>
    <s v="Y"/>
    <x v="2"/>
    <n v="63"/>
    <n v="32"/>
    <x v="1"/>
    <m/>
    <m/>
    <m/>
    <n v="8"/>
    <m/>
    <m/>
    <m/>
    <m/>
    <m/>
    <n v="3"/>
    <n v="31"/>
    <x v="2"/>
    <n v="16"/>
    <m/>
    <m/>
    <x v="1"/>
    <n v="4"/>
    <x v="0"/>
    <m/>
    <m/>
    <n v="23"/>
    <x v="2"/>
    <s v="28/06/2023"/>
    <d v="2023-06-28T00:00:00"/>
    <s v="2023023-63"/>
    <x v="4"/>
  </r>
  <r>
    <x v="362"/>
    <n v="2023023"/>
    <x v="23"/>
    <s v="Fababean"/>
    <m/>
    <x v="10"/>
    <s v="Y"/>
    <x v="1"/>
    <n v="64"/>
    <n v="32"/>
    <x v="1"/>
    <m/>
    <m/>
    <m/>
    <n v="8"/>
    <m/>
    <m/>
    <m/>
    <m/>
    <m/>
    <n v="4"/>
    <n v="31"/>
    <x v="3"/>
    <n v="16"/>
    <m/>
    <n v="61"/>
    <x v="1"/>
    <n v="4"/>
    <x v="0"/>
    <m/>
    <m/>
    <n v="23"/>
    <x v="2"/>
    <s v="28/06/2023"/>
    <d v="2023-06-28T00:00:00"/>
    <s v="2023023-64"/>
    <x v="4"/>
  </r>
  <r>
    <x v="361"/>
    <n v="2023023"/>
    <x v="23"/>
    <s v="Fababean"/>
    <m/>
    <x v="12"/>
    <s v="N"/>
    <x v="2"/>
    <n v="65"/>
    <n v="33"/>
    <x v="2"/>
    <m/>
    <m/>
    <m/>
    <n v="9"/>
    <m/>
    <m/>
    <m/>
    <m/>
    <m/>
    <n v="1"/>
    <n v="34"/>
    <x v="0"/>
    <n v="17"/>
    <m/>
    <m/>
    <x v="1"/>
    <n v="1"/>
    <x v="0"/>
    <m/>
    <m/>
    <n v="23"/>
    <x v="2"/>
    <s v="28/06/2023"/>
    <d v="2023-06-28T00:00:00"/>
    <s v="2023023-65"/>
    <x v="4"/>
  </r>
  <r>
    <x v="361"/>
    <n v="2023023"/>
    <x v="23"/>
    <s v="Fababean"/>
    <m/>
    <x v="12"/>
    <s v="N"/>
    <x v="1"/>
    <n v="66"/>
    <n v="33"/>
    <x v="2"/>
    <m/>
    <m/>
    <m/>
    <n v="9"/>
    <m/>
    <m/>
    <m/>
    <m/>
    <m/>
    <n v="2"/>
    <n v="34"/>
    <x v="1"/>
    <n v="17"/>
    <m/>
    <n v="66"/>
    <x v="1"/>
    <n v="1"/>
    <x v="0"/>
    <m/>
    <m/>
    <n v="23"/>
    <x v="2"/>
    <s v="28/06/2023"/>
    <d v="2023-06-28T00:00:00"/>
    <s v="2023023-66"/>
    <x v="4"/>
  </r>
  <r>
    <x v="362"/>
    <n v="2023023"/>
    <x v="23"/>
    <s v="Fababean"/>
    <m/>
    <x v="10"/>
    <s v="Y"/>
    <x v="2"/>
    <n v="67"/>
    <n v="34"/>
    <x v="2"/>
    <m/>
    <m/>
    <m/>
    <n v="9"/>
    <m/>
    <m/>
    <m/>
    <m/>
    <m/>
    <n v="3"/>
    <n v="34"/>
    <x v="2"/>
    <n v="17"/>
    <m/>
    <m/>
    <x v="1"/>
    <n v="4"/>
    <x v="0"/>
    <m/>
    <m/>
    <n v="23"/>
    <x v="2"/>
    <s v="28/06/2023"/>
    <d v="2023-06-28T00:00:00"/>
    <s v="2023023-67"/>
    <x v="4"/>
  </r>
  <r>
    <x v="362"/>
    <n v="2023023"/>
    <x v="23"/>
    <s v="Fababean"/>
    <m/>
    <x v="10"/>
    <s v="Y"/>
    <x v="1"/>
    <n v="68"/>
    <n v="34"/>
    <x v="2"/>
    <m/>
    <m/>
    <m/>
    <n v="9"/>
    <m/>
    <m/>
    <m/>
    <m/>
    <m/>
    <n v="4"/>
    <n v="34"/>
    <x v="3"/>
    <n v="17"/>
    <m/>
    <n v="68"/>
    <x v="1"/>
    <n v="4"/>
    <x v="0"/>
    <m/>
    <m/>
    <n v="23"/>
    <x v="2"/>
    <s v="28/06/2023"/>
    <d v="2023-06-28T00:00:00"/>
    <s v="2023023-68"/>
    <x v="4"/>
  </r>
  <r>
    <x v="360"/>
    <n v="2023023"/>
    <x v="23"/>
    <s v="Fababean"/>
    <m/>
    <x v="11"/>
    <s v="N"/>
    <x v="2"/>
    <n v="69"/>
    <n v="35"/>
    <x v="2"/>
    <m/>
    <m/>
    <m/>
    <n v="9"/>
    <m/>
    <m/>
    <m/>
    <m/>
    <m/>
    <n v="1"/>
    <n v="35"/>
    <x v="0"/>
    <n v="18"/>
    <m/>
    <m/>
    <x v="1"/>
    <n v="2"/>
    <x v="0"/>
    <m/>
    <m/>
    <n v="23"/>
    <x v="2"/>
    <s v="28/06/2023"/>
    <d v="2023-06-28T00:00:00"/>
    <s v="2023023-69"/>
    <x v="4"/>
  </r>
  <r>
    <x v="360"/>
    <n v="2023023"/>
    <x v="23"/>
    <s v="Fababean"/>
    <m/>
    <x v="11"/>
    <s v="N"/>
    <x v="1"/>
    <n v="70"/>
    <n v="35"/>
    <x v="2"/>
    <m/>
    <m/>
    <m/>
    <n v="9"/>
    <m/>
    <m/>
    <m/>
    <m/>
    <m/>
    <n v="2"/>
    <n v="35"/>
    <x v="1"/>
    <n v="18"/>
    <m/>
    <n v="71"/>
    <x v="1"/>
    <n v="2"/>
    <x v="0"/>
    <m/>
    <m/>
    <n v="23"/>
    <x v="2"/>
    <s v="28/06/2023"/>
    <d v="2023-06-28T00:00:00"/>
    <s v="2023023-70"/>
    <x v="4"/>
  </r>
  <r>
    <x v="363"/>
    <n v="2023023"/>
    <x v="23"/>
    <s v="Fababean"/>
    <m/>
    <x v="13"/>
    <s v="Y"/>
    <x v="2"/>
    <n v="71"/>
    <n v="36"/>
    <x v="2"/>
    <m/>
    <m/>
    <m/>
    <n v="9"/>
    <m/>
    <m/>
    <m/>
    <m/>
    <m/>
    <n v="3"/>
    <n v="35"/>
    <x v="2"/>
    <n v="18"/>
    <m/>
    <m/>
    <x v="1"/>
    <n v="3"/>
    <x v="0"/>
    <m/>
    <m/>
    <n v="23"/>
    <x v="2"/>
    <s v="28/06/2023"/>
    <d v="2023-06-28T00:00:00"/>
    <s v="2023023-71"/>
    <x v="4"/>
  </r>
  <r>
    <x v="363"/>
    <n v="2023023"/>
    <x v="23"/>
    <s v="Fababean"/>
    <m/>
    <x v="13"/>
    <s v="Y"/>
    <x v="1"/>
    <n v="72"/>
    <n v="36"/>
    <x v="2"/>
    <m/>
    <m/>
    <m/>
    <n v="9"/>
    <m/>
    <m/>
    <m/>
    <m/>
    <m/>
    <n v="4"/>
    <n v="35"/>
    <x v="3"/>
    <n v="18"/>
    <m/>
    <n v="69"/>
    <x v="1"/>
    <n v="3"/>
    <x v="0"/>
    <m/>
    <m/>
    <n v="23"/>
    <x v="2"/>
    <s v="28/06/2023"/>
    <d v="2023-06-28T00:00:00"/>
    <s v="2023023-72"/>
    <x v="4"/>
  </r>
  <r>
    <x v="364"/>
    <n v="2023023"/>
    <x v="23"/>
    <s v="Fababean"/>
    <m/>
    <x v="13"/>
    <s v="Y"/>
    <x v="2"/>
    <n v="73"/>
    <n v="37"/>
    <x v="2"/>
    <m/>
    <m/>
    <m/>
    <n v="10"/>
    <m/>
    <m/>
    <m/>
    <m/>
    <m/>
    <n v="1"/>
    <n v="38"/>
    <x v="0"/>
    <n v="19"/>
    <m/>
    <m/>
    <x v="0"/>
    <n v="3"/>
    <x v="0"/>
    <m/>
    <m/>
    <n v="23"/>
    <x v="2"/>
    <s v="28/06/2023"/>
    <d v="2023-06-28T00:00:00"/>
    <s v="2023023-73"/>
    <x v="4"/>
  </r>
  <r>
    <x v="364"/>
    <n v="2023023"/>
    <x v="23"/>
    <s v="Fababean"/>
    <m/>
    <x v="13"/>
    <s v="Y"/>
    <x v="1"/>
    <n v="74"/>
    <n v="37"/>
    <x v="2"/>
    <m/>
    <m/>
    <m/>
    <n v="10"/>
    <m/>
    <m/>
    <m/>
    <m/>
    <m/>
    <n v="2"/>
    <n v="38"/>
    <x v="1"/>
    <n v="19"/>
    <m/>
    <n v="74"/>
    <x v="0"/>
    <n v="3"/>
    <x v="0"/>
    <m/>
    <m/>
    <n v="23"/>
    <x v="2"/>
    <s v="28/06/2023"/>
    <d v="2023-06-28T00:00:00"/>
    <s v="2023023-74"/>
    <x v="4"/>
  </r>
  <r>
    <x v="367"/>
    <n v="2023023"/>
    <x v="23"/>
    <s v="Fababean"/>
    <m/>
    <x v="11"/>
    <s v="N"/>
    <x v="2"/>
    <n v="75"/>
    <n v="38"/>
    <x v="2"/>
    <m/>
    <m/>
    <m/>
    <n v="10"/>
    <m/>
    <m/>
    <m/>
    <m/>
    <m/>
    <n v="3"/>
    <n v="38"/>
    <x v="2"/>
    <n v="19"/>
    <m/>
    <m/>
    <x v="0"/>
    <n v="2"/>
    <x v="0"/>
    <m/>
    <m/>
    <n v="23"/>
    <x v="2"/>
    <s v="28/06/2023"/>
    <d v="2023-06-28T00:00:00"/>
    <s v="2023023-75"/>
    <x v="4"/>
  </r>
  <r>
    <x v="367"/>
    <n v="2023023"/>
    <x v="23"/>
    <s v="Fababean"/>
    <m/>
    <x v="11"/>
    <s v="N"/>
    <x v="1"/>
    <n v="76"/>
    <n v="38"/>
    <x v="2"/>
    <m/>
    <m/>
    <m/>
    <n v="10"/>
    <m/>
    <m/>
    <m/>
    <m/>
    <m/>
    <n v="4"/>
    <n v="38"/>
    <x v="3"/>
    <n v="19"/>
    <m/>
    <n v="76"/>
    <x v="0"/>
    <n v="2"/>
    <x v="0"/>
    <m/>
    <m/>
    <n v="23"/>
    <x v="2"/>
    <s v="28/06/2023"/>
    <d v="2023-06-28T00:00:00"/>
    <s v="2023023-76"/>
    <x v="4"/>
  </r>
  <r>
    <x v="366"/>
    <n v="2023023"/>
    <x v="23"/>
    <s v="Fababean"/>
    <m/>
    <x v="12"/>
    <s v="N"/>
    <x v="2"/>
    <n v="77"/>
    <n v="39"/>
    <x v="2"/>
    <m/>
    <m/>
    <m/>
    <n v="10"/>
    <m/>
    <m/>
    <m/>
    <m/>
    <m/>
    <n v="1"/>
    <n v="39"/>
    <x v="0"/>
    <n v="20"/>
    <m/>
    <m/>
    <x v="0"/>
    <n v="1"/>
    <x v="0"/>
    <m/>
    <m/>
    <n v="23"/>
    <x v="2"/>
    <s v="28/06/2023"/>
    <d v="2023-06-28T00:00:00"/>
    <s v="2023023-77"/>
    <x v="4"/>
  </r>
  <r>
    <x v="366"/>
    <n v="2023023"/>
    <x v="23"/>
    <s v="Fababean"/>
    <m/>
    <x v="12"/>
    <s v="N"/>
    <x v="1"/>
    <n v="78"/>
    <n v="39"/>
    <x v="2"/>
    <m/>
    <m/>
    <m/>
    <n v="10"/>
    <m/>
    <m/>
    <m/>
    <m/>
    <m/>
    <n v="2"/>
    <n v="39"/>
    <x v="1"/>
    <n v="20"/>
    <m/>
    <n v="79"/>
    <x v="0"/>
    <n v="1"/>
    <x v="0"/>
    <m/>
    <m/>
    <n v="23"/>
    <x v="2"/>
    <s v="28/06/2023"/>
    <d v="2023-06-28T00:00:00"/>
    <s v="2023023-78"/>
    <x v="4"/>
  </r>
  <r>
    <x v="365"/>
    <n v="2023023"/>
    <x v="23"/>
    <s v="Fababean"/>
    <m/>
    <x v="10"/>
    <s v="Y"/>
    <x v="2"/>
    <n v="79"/>
    <n v="40"/>
    <x v="2"/>
    <m/>
    <m/>
    <m/>
    <n v="10"/>
    <m/>
    <m/>
    <m/>
    <m/>
    <m/>
    <n v="3"/>
    <n v="39"/>
    <x v="2"/>
    <n v="20"/>
    <m/>
    <m/>
    <x v="0"/>
    <n v="4"/>
    <x v="0"/>
    <m/>
    <m/>
    <n v="23"/>
    <x v="2"/>
    <s v="28/06/2023"/>
    <d v="2023-06-28T00:00:00"/>
    <s v="2023023-79"/>
    <x v="4"/>
  </r>
  <r>
    <x v="365"/>
    <n v="2023023"/>
    <x v="23"/>
    <s v="Fababean"/>
    <m/>
    <x v="10"/>
    <s v="Y"/>
    <x v="1"/>
    <n v="80"/>
    <n v="40"/>
    <x v="2"/>
    <m/>
    <m/>
    <m/>
    <n v="10"/>
    <m/>
    <m/>
    <m/>
    <m/>
    <m/>
    <n v="4"/>
    <n v="39"/>
    <x v="3"/>
    <n v="20"/>
    <m/>
    <n v="77"/>
    <x v="0"/>
    <n v="4"/>
    <x v="0"/>
    <m/>
    <m/>
    <n v="23"/>
    <x v="2"/>
    <s v="28/06/2023"/>
    <d v="2023-06-28T00:00:00"/>
    <s v="2023023-80"/>
    <x v="4"/>
  </r>
  <r>
    <x v="359"/>
    <n v="2023023"/>
    <x v="23"/>
    <s v="Fababean"/>
    <m/>
    <x v="10"/>
    <s v="Y"/>
    <x v="2"/>
    <n v="81"/>
    <n v="41"/>
    <x v="2"/>
    <m/>
    <m/>
    <m/>
    <n v="11"/>
    <m/>
    <m/>
    <m/>
    <m/>
    <m/>
    <n v="1"/>
    <n v="42"/>
    <x v="0"/>
    <n v="21"/>
    <m/>
    <m/>
    <x v="0"/>
    <n v="4"/>
    <x v="0"/>
    <m/>
    <m/>
    <n v="23"/>
    <x v="1"/>
    <s v="10/05/2023"/>
    <d v="2023-05-10T00:00:00"/>
    <s v="2023023-81"/>
    <x v="4"/>
  </r>
  <r>
    <x v="359"/>
    <n v="2023023"/>
    <x v="23"/>
    <s v="Fababean"/>
    <m/>
    <x v="10"/>
    <s v="Y"/>
    <x v="1"/>
    <n v="82"/>
    <n v="41"/>
    <x v="2"/>
    <m/>
    <m/>
    <m/>
    <n v="11"/>
    <m/>
    <m/>
    <m/>
    <m/>
    <m/>
    <n v="2"/>
    <n v="42"/>
    <x v="1"/>
    <n v="21"/>
    <m/>
    <n v="82"/>
    <x v="0"/>
    <n v="4"/>
    <x v="0"/>
    <m/>
    <m/>
    <n v="23"/>
    <x v="1"/>
    <s v="10/05/2023"/>
    <d v="2023-05-10T00:00:00"/>
    <s v="2023023-82"/>
    <x v="4"/>
  </r>
  <r>
    <x v="356"/>
    <n v="2023023"/>
    <x v="23"/>
    <s v="Fababean"/>
    <m/>
    <x v="12"/>
    <s v="N"/>
    <x v="2"/>
    <n v="83"/>
    <n v="42"/>
    <x v="2"/>
    <m/>
    <m/>
    <m/>
    <n v="11"/>
    <m/>
    <m/>
    <m/>
    <m/>
    <m/>
    <n v="3"/>
    <n v="42"/>
    <x v="2"/>
    <n v="21"/>
    <m/>
    <m/>
    <x v="0"/>
    <n v="1"/>
    <x v="0"/>
    <m/>
    <m/>
    <n v="23"/>
    <x v="1"/>
    <s v="10/05/2023"/>
    <d v="2023-05-10T00:00:00"/>
    <s v="2023023-83"/>
    <x v="4"/>
  </r>
  <r>
    <x v="356"/>
    <n v="2023023"/>
    <x v="23"/>
    <s v="Fababean"/>
    <m/>
    <x v="12"/>
    <s v="N"/>
    <x v="1"/>
    <n v="84"/>
    <n v="42"/>
    <x v="2"/>
    <m/>
    <m/>
    <m/>
    <n v="11"/>
    <m/>
    <m/>
    <m/>
    <m/>
    <m/>
    <n v="4"/>
    <n v="42"/>
    <x v="3"/>
    <n v="21"/>
    <m/>
    <n v="84"/>
    <x v="0"/>
    <n v="1"/>
    <x v="0"/>
    <m/>
    <m/>
    <n v="23"/>
    <x v="1"/>
    <s v="10/05/2023"/>
    <d v="2023-05-10T00:00:00"/>
    <s v="2023023-84"/>
    <x v="4"/>
  </r>
  <r>
    <x v="357"/>
    <n v="2023023"/>
    <x v="23"/>
    <s v="Fababean"/>
    <m/>
    <x v="13"/>
    <s v="Y"/>
    <x v="2"/>
    <n v="85"/>
    <n v="43"/>
    <x v="2"/>
    <m/>
    <m/>
    <m/>
    <n v="11"/>
    <m/>
    <m/>
    <m/>
    <m/>
    <m/>
    <n v="1"/>
    <n v="43"/>
    <x v="0"/>
    <n v="22"/>
    <m/>
    <m/>
    <x v="0"/>
    <n v="3"/>
    <x v="0"/>
    <m/>
    <m/>
    <n v="23"/>
    <x v="1"/>
    <s v="10/05/2023"/>
    <d v="2023-05-10T00:00:00"/>
    <s v="2023023-85"/>
    <x v="4"/>
  </r>
  <r>
    <x v="357"/>
    <n v="2023023"/>
    <x v="23"/>
    <s v="Fababean"/>
    <m/>
    <x v="13"/>
    <s v="Y"/>
    <x v="1"/>
    <n v="86"/>
    <n v="43"/>
    <x v="2"/>
    <m/>
    <m/>
    <m/>
    <n v="11"/>
    <m/>
    <m/>
    <m/>
    <m/>
    <m/>
    <n v="2"/>
    <n v="43"/>
    <x v="1"/>
    <n v="22"/>
    <m/>
    <n v="87"/>
    <x v="0"/>
    <n v="3"/>
    <x v="0"/>
    <m/>
    <m/>
    <n v="23"/>
    <x v="1"/>
    <s v="10/05/2023"/>
    <d v="2023-05-10T00:00:00"/>
    <s v="2023023-86"/>
    <x v="4"/>
  </r>
  <r>
    <x v="358"/>
    <n v="2023023"/>
    <x v="23"/>
    <s v="Fababean"/>
    <m/>
    <x v="11"/>
    <s v="N"/>
    <x v="2"/>
    <n v="87"/>
    <n v="44"/>
    <x v="2"/>
    <m/>
    <m/>
    <m/>
    <n v="11"/>
    <m/>
    <m/>
    <m/>
    <m/>
    <m/>
    <n v="3"/>
    <n v="43"/>
    <x v="2"/>
    <n v="22"/>
    <m/>
    <m/>
    <x v="0"/>
    <n v="2"/>
    <x v="0"/>
    <m/>
    <m/>
    <n v="23"/>
    <x v="1"/>
    <s v="10/05/2023"/>
    <d v="2023-05-10T00:00:00"/>
    <s v="2023023-87"/>
    <x v="4"/>
  </r>
  <r>
    <x v="358"/>
    <n v="2023023"/>
    <x v="23"/>
    <s v="Fababean"/>
    <m/>
    <x v="11"/>
    <s v="N"/>
    <x v="1"/>
    <n v="88"/>
    <n v="44"/>
    <x v="2"/>
    <m/>
    <m/>
    <m/>
    <n v="11"/>
    <m/>
    <m/>
    <m/>
    <m/>
    <m/>
    <n v="4"/>
    <n v="43"/>
    <x v="3"/>
    <n v="22"/>
    <m/>
    <n v="85"/>
    <x v="0"/>
    <n v="2"/>
    <x v="0"/>
    <m/>
    <m/>
    <n v="23"/>
    <x v="1"/>
    <s v="10/05/2023"/>
    <d v="2023-05-10T00:00:00"/>
    <s v="2023023-88"/>
    <x v="4"/>
  </r>
  <r>
    <x v="353"/>
    <n v="2023023"/>
    <x v="23"/>
    <s v="Fababean"/>
    <m/>
    <x v="11"/>
    <s v="N"/>
    <x v="2"/>
    <n v="89"/>
    <n v="45"/>
    <x v="2"/>
    <m/>
    <m/>
    <m/>
    <n v="12"/>
    <m/>
    <m/>
    <m/>
    <m/>
    <m/>
    <n v="1"/>
    <n v="46"/>
    <x v="0"/>
    <n v="23"/>
    <m/>
    <m/>
    <x v="1"/>
    <n v="2"/>
    <x v="0"/>
    <m/>
    <m/>
    <n v="23"/>
    <x v="1"/>
    <s v="10/05/2023"/>
    <d v="2023-05-10T00:00:00"/>
    <s v="2023023-89"/>
    <x v="4"/>
  </r>
  <r>
    <x v="353"/>
    <n v="2023023"/>
    <x v="23"/>
    <s v="Fababean"/>
    <m/>
    <x v="11"/>
    <s v="N"/>
    <x v="1"/>
    <n v="90"/>
    <n v="45"/>
    <x v="2"/>
    <m/>
    <m/>
    <m/>
    <n v="12"/>
    <m/>
    <m/>
    <m/>
    <m/>
    <m/>
    <n v="2"/>
    <n v="46"/>
    <x v="1"/>
    <n v="23"/>
    <m/>
    <n v="90"/>
    <x v="1"/>
    <n v="2"/>
    <x v="0"/>
    <m/>
    <m/>
    <n v="23"/>
    <x v="1"/>
    <s v="10/05/2023"/>
    <d v="2023-05-10T00:00:00"/>
    <s v="2023023-90"/>
    <x v="4"/>
  </r>
  <r>
    <x v="354"/>
    <n v="2023023"/>
    <x v="23"/>
    <s v="Fababean"/>
    <m/>
    <x v="13"/>
    <s v="Y"/>
    <x v="2"/>
    <n v="91"/>
    <n v="46"/>
    <x v="2"/>
    <m/>
    <m/>
    <m/>
    <n v="12"/>
    <m/>
    <m/>
    <m/>
    <m/>
    <m/>
    <n v="3"/>
    <n v="46"/>
    <x v="2"/>
    <n v="23"/>
    <m/>
    <m/>
    <x v="1"/>
    <n v="3"/>
    <x v="0"/>
    <m/>
    <m/>
    <n v="23"/>
    <x v="1"/>
    <s v="10/05/2023"/>
    <d v="2023-05-10T00:00:00"/>
    <s v="2023023-91"/>
    <x v="4"/>
  </r>
  <r>
    <x v="354"/>
    <n v="2023023"/>
    <x v="23"/>
    <s v="Fababean"/>
    <m/>
    <x v="13"/>
    <s v="Y"/>
    <x v="1"/>
    <n v="92"/>
    <n v="46"/>
    <x v="2"/>
    <m/>
    <m/>
    <m/>
    <n v="12"/>
    <m/>
    <m/>
    <m/>
    <m/>
    <m/>
    <n v="4"/>
    <n v="46"/>
    <x v="3"/>
    <n v="23"/>
    <m/>
    <n v="92"/>
    <x v="1"/>
    <n v="3"/>
    <x v="0"/>
    <m/>
    <m/>
    <n v="23"/>
    <x v="1"/>
    <s v="10/05/2023"/>
    <d v="2023-05-10T00:00:00"/>
    <s v="2023023-92"/>
    <x v="4"/>
  </r>
  <r>
    <x v="352"/>
    <n v="2023023"/>
    <x v="23"/>
    <s v="Fababean"/>
    <m/>
    <x v="10"/>
    <s v="Y"/>
    <x v="2"/>
    <n v="93"/>
    <n v="47"/>
    <x v="2"/>
    <m/>
    <m/>
    <m/>
    <n v="12"/>
    <m/>
    <m/>
    <m/>
    <m/>
    <m/>
    <n v="1"/>
    <n v="47"/>
    <x v="0"/>
    <n v="24"/>
    <m/>
    <m/>
    <x v="1"/>
    <n v="4"/>
    <x v="0"/>
    <m/>
    <m/>
    <n v="23"/>
    <x v="1"/>
    <s v="10/05/2023"/>
    <d v="2023-05-10T00:00:00"/>
    <s v="2023023-93"/>
    <x v="4"/>
  </r>
  <r>
    <x v="352"/>
    <n v="2023023"/>
    <x v="23"/>
    <s v="Fababean"/>
    <m/>
    <x v="10"/>
    <s v="Y"/>
    <x v="1"/>
    <n v="94"/>
    <n v="47"/>
    <x v="2"/>
    <m/>
    <m/>
    <m/>
    <n v="12"/>
    <m/>
    <m/>
    <m/>
    <m/>
    <m/>
    <n v="2"/>
    <n v="47"/>
    <x v="1"/>
    <n v="24"/>
    <m/>
    <n v="95"/>
    <x v="1"/>
    <n v="4"/>
    <x v="0"/>
    <m/>
    <m/>
    <n v="23"/>
    <x v="1"/>
    <s v="10/05/2023"/>
    <d v="2023-05-10T00:00:00"/>
    <s v="2023023-94"/>
    <x v="4"/>
  </r>
  <r>
    <x v="355"/>
    <n v="2023023"/>
    <x v="23"/>
    <s v="Fababean"/>
    <m/>
    <x v="12"/>
    <s v="N"/>
    <x v="2"/>
    <n v="95"/>
    <n v="48"/>
    <x v="2"/>
    <m/>
    <m/>
    <m/>
    <n v="12"/>
    <m/>
    <m/>
    <m/>
    <m/>
    <m/>
    <n v="3"/>
    <n v="47"/>
    <x v="2"/>
    <n v="24"/>
    <m/>
    <m/>
    <x v="1"/>
    <n v="1"/>
    <x v="0"/>
    <m/>
    <m/>
    <n v="23"/>
    <x v="1"/>
    <s v="10/05/2023"/>
    <d v="2023-05-10T00:00:00"/>
    <s v="2023023-95"/>
    <x v="4"/>
  </r>
  <r>
    <x v="355"/>
    <n v="2023023"/>
    <x v="23"/>
    <s v="Fababean"/>
    <m/>
    <x v="12"/>
    <s v="N"/>
    <x v="1"/>
    <n v="96"/>
    <n v="48"/>
    <x v="2"/>
    <m/>
    <m/>
    <m/>
    <n v="12"/>
    <m/>
    <m/>
    <m/>
    <m/>
    <m/>
    <n v="4"/>
    <n v="47"/>
    <x v="3"/>
    <n v="24"/>
    <m/>
    <n v="93"/>
    <x v="1"/>
    <n v="1"/>
    <x v="0"/>
    <m/>
    <m/>
    <n v="23"/>
    <x v="1"/>
    <s v="10/05/2023"/>
    <d v="2023-05-10T00:00:00"/>
    <s v="2023023-96"/>
    <x v="4"/>
  </r>
  <r>
    <x v="364"/>
    <n v="2023023"/>
    <x v="23"/>
    <s v="Fababean"/>
    <m/>
    <x v="13"/>
    <s v="Y"/>
    <x v="2"/>
    <n v="97"/>
    <n v="49"/>
    <x v="3"/>
    <m/>
    <m/>
    <m/>
    <n v="13"/>
    <m/>
    <m/>
    <m/>
    <m/>
    <m/>
    <n v="1"/>
    <n v="50"/>
    <x v="0"/>
    <n v="25"/>
    <m/>
    <m/>
    <x v="0"/>
    <n v="3"/>
    <x v="0"/>
    <m/>
    <m/>
    <n v="23"/>
    <x v="2"/>
    <s v="28/06/2023"/>
    <d v="2023-06-28T00:00:00"/>
    <s v="2023023-97"/>
    <x v="4"/>
  </r>
  <r>
    <x v="364"/>
    <n v="2023023"/>
    <x v="23"/>
    <s v="Fababean"/>
    <m/>
    <x v="13"/>
    <s v="Y"/>
    <x v="1"/>
    <n v="98"/>
    <n v="49"/>
    <x v="3"/>
    <m/>
    <m/>
    <m/>
    <n v="13"/>
    <m/>
    <m/>
    <m/>
    <m/>
    <m/>
    <n v="2"/>
    <n v="50"/>
    <x v="1"/>
    <n v="25"/>
    <m/>
    <n v="98"/>
    <x v="0"/>
    <n v="3"/>
    <x v="0"/>
    <m/>
    <m/>
    <n v="23"/>
    <x v="2"/>
    <s v="28/06/2023"/>
    <d v="2023-06-28T00:00:00"/>
    <s v="2023023-98"/>
    <x v="4"/>
  </r>
  <r>
    <x v="366"/>
    <n v="2023023"/>
    <x v="23"/>
    <s v="Fababean"/>
    <m/>
    <x v="12"/>
    <s v="N"/>
    <x v="2"/>
    <n v="99"/>
    <n v="50"/>
    <x v="3"/>
    <m/>
    <m/>
    <m/>
    <n v="13"/>
    <m/>
    <m/>
    <m/>
    <m/>
    <m/>
    <n v="3"/>
    <n v="50"/>
    <x v="2"/>
    <n v="25"/>
    <m/>
    <m/>
    <x v="0"/>
    <n v="1"/>
    <x v="0"/>
    <m/>
    <m/>
    <n v="23"/>
    <x v="2"/>
    <s v="28/06/2023"/>
    <d v="2023-06-28T00:00:00"/>
    <s v="2023023-99"/>
    <x v="4"/>
  </r>
  <r>
    <x v="366"/>
    <n v="2023023"/>
    <x v="23"/>
    <s v="Fababean"/>
    <m/>
    <x v="12"/>
    <s v="N"/>
    <x v="1"/>
    <n v="100"/>
    <n v="50"/>
    <x v="3"/>
    <m/>
    <m/>
    <m/>
    <n v="13"/>
    <m/>
    <m/>
    <m/>
    <m/>
    <m/>
    <n v="4"/>
    <n v="50"/>
    <x v="3"/>
    <n v="25"/>
    <m/>
    <n v="100"/>
    <x v="0"/>
    <n v="1"/>
    <x v="0"/>
    <m/>
    <m/>
    <n v="23"/>
    <x v="2"/>
    <s v="28/06/2023"/>
    <d v="2023-06-28T00:00:00"/>
    <s v="2023023-100"/>
    <x v="4"/>
  </r>
  <r>
    <x v="367"/>
    <n v="2023023"/>
    <x v="23"/>
    <s v="Fababean"/>
    <m/>
    <x v="11"/>
    <s v="N"/>
    <x v="2"/>
    <n v="101"/>
    <n v="51"/>
    <x v="3"/>
    <m/>
    <m/>
    <m/>
    <n v="13"/>
    <m/>
    <m/>
    <m/>
    <m/>
    <m/>
    <n v="1"/>
    <n v="51"/>
    <x v="0"/>
    <n v="26"/>
    <m/>
    <m/>
    <x v="0"/>
    <n v="2"/>
    <x v="0"/>
    <m/>
    <m/>
    <n v="23"/>
    <x v="2"/>
    <s v="28/06/2023"/>
    <d v="2023-06-28T00:00:00"/>
    <s v="2023023-101"/>
    <x v="4"/>
  </r>
  <r>
    <x v="367"/>
    <n v="2023023"/>
    <x v="23"/>
    <s v="Fababean"/>
    <m/>
    <x v="11"/>
    <s v="N"/>
    <x v="1"/>
    <n v="102"/>
    <n v="51"/>
    <x v="3"/>
    <m/>
    <m/>
    <m/>
    <n v="13"/>
    <m/>
    <m/>
    <m/>
    <m/>
    <m/>
    <n v="2"/>
    <n v="51"/>
    <x v="1"/>
    <n v="26"/>
    <m/>
    <n v="103"/>
    <x v="0"/>
    <n v="2"/>
    <x v="0"/>
    <m/>
    <m/>
    <n v="23"/>
    <x v="2"/>
    <s v="28/06/2023"/>
    <d v="2023-06-28T00:00:00"/>
    <s v="2023023-102"/>
    <x v="4"/>
  </r>
  <r>
    <x v="365"/>
    <n v="2023023"/>
    <x v="23"/>
    <s v="Fababean"/>
    <m/>
    <x v="10"/>
    <s v="Y"/>
    <x v="2"/>
    <n v="103"/>
    <n v="52"/>
    <x v="3"/>
    <m/>
    <m/>
    <m/>
    <n v="13"/>
    <m/>
    <m/>
    <m/>
    <m/>
    <m/>
    <n v="3"/>
    <n v="51"/>
    <x v="2"/>
    <n v="26"/>
    <m/>
    <m/>
    <x v="0"/>
    <n v="4"/>
    <x v="0"/>
    <m/>
    <m/>
    <n v="23"/>
    <x v="2"/>
    <s v="28/06/2023"/>
    <d v="2023-06-28T00:00:00"/>
    <s v="2023023-103"/>
    <x v="4"/>
  </r>
  <r>
    <x v="365"/>
    <n v="2023023"/>
    <x v="23"/>
    <s v="Fababean"/>
    <m/>
    <x v="10"/>
    <s v="Y"/>
    <x v="1"/>
    <n v="104"/>
    <n v="52"/>
    <x v="3"/>
    <m/>
    <m/>
    <m/>
    <n v="13"/>
    <m/>
    <m/>
    <m/>
    <m/>
    <m/>
    <n v="4"/>
    <n v="51"/>
    <x v="3"/>
    <n v="26"/>
    <m/>
    <n v="101"/>
    <x v="0"/>
    <n v="4"/>
    <x v="0"/>
    <m/>
    <m/>
    <n v="23"/>
    <x v="2"/>
    <s v="28/06/2023"/>
    <d v="2023-06-28T00:00:00"/>
    <s v="2023023-104"/>
    <x v="4"/>
  </r>
  <r>
    <x v="362"/>
    <n v="2023023"/>
    <x v="23"/>
    <s v="Fababean"/>
    <m/>
    <x v="10"/>
    <s v="Y"/>
    <x v="2"/>
    <n v="105"/>
    <n v="53"/>
    <x v="3"/>
    <m/>
    <m/>
    <m/>
    <n v="14"/>
    <m/>
    <m/>
    <m/>
    <m/>
    <m/>
    <n v="1"/>
    <n v="54"/>
    <x v="0"/>
    <n v="27"/>
    <m/>
    <m/>
    <x v="1"/>
    <n v="4"/>
    <x v="0"/>
    <m/>
    <m/>
    <n v="23"/>
    <x v="2"/>
    <s v="28/06/2023"/>
    <d v="2023-06-28T00:00:00"/>
    <s v="2023023-105"/>
    <x v="4"/>
  </r>
  <r>
    <x v="362"/>
    <n v="2023023"/>
    <x v="23"/>
    <s v="Fababean"/>
    <m/>
    <x v="10"/>
    <s v="Y"/>
    <x v="1"/>
    <n v="106"/>
    <n v="53"/>
    <x v="3"/>
    <m/>
    <m/>
    <m/>
    <n v="14"/>
    <m/>
    <m/>
    <m/>
    <m/>
    <m/>
    <n v="2"/>
    <n v="54"/>
    <x v="1"/>
    <n v="27"/>
    <m/>
    <n v="106"/>
    <x v="1"/>
    <n v="4"/>
    <x v="0"/>
    <m/>
    <m/>
    <n v="23"/>
    <x v="2"/>
    <s v="28/06/2023"/>
    <d v="2023-06-28T00:00:00"/>
    <s v="2023023-106"/>
    <x v="4"/>
  </r>
  <r>
    <x v="360"/>
    <n v="2023023"/>
    <x v="23"/>
    <s v="Fababean"/>
    <m/>
    <x v="11"/>
    <s v="N"/>
    <x v="2"/>
    <n v="107"/>
    <n v="54"/>
    <x v="3"/>
    <m/>
    <m/>
    <m/>
    <n v="14"/>
    <m/>
    <m/>
    <m/>
    <m/>
    <m/>
    <n v="3"/>
    <n v="54"/>
    <x v="2"/>
    <n v="27"/>
    <m/>
    <m/>
    <x v="1"/>
    <n v="2"/>
    <x v="0"/>
    <m/>
    <m/>
    <n v="23"/>
    <x v="2"/>
    <s v="28/06/2023"/>
    <d v="2023-06-28T00:00:00"/>
    <s v="2023023-107"/>
    <x v="4"/>
  </r>
  <r>
    <x v="360"/>
    <n v="2023023"/>
    <x v="23"/>
    <s v="Fababean"/>
    <m/>
    <x v="11"/>
    <s v="N"/>
    <x v="1"/>
    <n v="108"/>
    <n v="54"/>
    <x v="3"/>
    <m/>
    <m/>
    <m/>
    <n v="14"/>
    <m/>
    <m/>
    <m/>
    <m/>
    <m/>
    <n v="4"/>
    <n v="54"/>
    <x v="3"/>
    <n v="27"/>
    <m/>
    <n v="108"/>
    <x v="1"/>
    <n v="2"/>
    <x v="0"/>
    <m/>
    <m/>
    <n v="23"/>
    <x v="2"/>
    <s v="28/06/2023"/>
    <d v="2023-06-28T00:00:00"/>
    <s v="2023023-108"/>
    <x v="4"/>
  </r>
  <r>
    <x v="361"/>
    <n v="2023023"/>
    <x v="23"/>
    <s v="Fababean"/>
    <m/>
    <x v="12"/>
    <s v="N"/>
    <x v="2"/>
    <n v="109"/>
    <n v="55"/>
    <x v="3"/>
    <m/>
    <m/>
    <m/>
    <n v="14"/>
    <m/>
    <m/>
    <m/>
    <m/>
    <m/>
    <n v="1"/>
    <n v="55"/>
    <x v="0"/>
    <n v="28"/>
    <m/>
    <m/>
    <x v="1"/>
    <n v="1"/>
    <x v="0"/>
    <m/>
    <m/>
    <n v="23"/>
    <x v="2"/>
    <s v="28/06/2023"/>
    <d v="2023-06-28T00:00:00"/>
    <s v="2023023-109"/>
    <x v="4"/>
  </r>
  <r>
    <x v="361"/>
    <n v="2023023"/>
    <x v="23"/>
    <s v="Fababean"/>
    <m/>
    <x v="12"/>
    <s v="N"/>
    <x v="1"/>
    <n v="110"/>
    <n v="55"/>
    <x v="3"/>
    <m/>
    <m/>
    <m/>
    <n v="14"/>
    <m/>
    <m/>
    <m/>
    <m/>
    <m/>
    <n v="2"/>
    <n v="55"/>
    <x v="1"/>
    <n v="28"/>
    <m/>
    <n v="111"/>
    <x v="1"/>
    <n v="1"/>
    <x v="0"/>
    <m/>
    <m/>
    <n v="23"/>
    <x v="2"/>
    <s v="28/06/2023"/>
    <d v="2023-06-28T00:00:00"/>
    <s v="2023023-110"/>
    <x v="4"/>
  </r>
  <r>
    <x v="363"/>
    <n v="2023023"/>
    <x v="23"/>
    <s v="Fababean"/>
    <m/>
    <x v="13"/>
    <s v="Y"/>
    <x v="2"/>
    <n v="111"/>
    <n v="56"/>
    <x v="3"/>
    <m/>
    <m/>
    <m/>
    <n v="14"/>
    <m/>
    <m/>
    <m/>
    <m/>
    <m/>
    <n v="3"/>
    <n v="55"/>
    <x v="2"/>
    <n v="28"/>
    <m/>
    <m/>
    <x v="1"/>
    <n v="3"/>
    <x v="0"/>
    <m/>
    <m/>
    <n v="23"/>
    <x v="2"/>
    <s v="28/06/2023"/>
    <d v="2023-06-28T00:00:00"/>
    <s v="2023023-111"/>
    <x v="4"/>
  </r>
  <r>
    <x v="363"/>
    <n v="2023023"/>
    <x v="23"/>
    <s v="Fababean"/>
    <m/>
    <x v="13"/>
    <s v="Y"/>
    <x v="1"/>
    <n v="112"/>
    <n v="56"/>
    <x v="3"/>
    <m/>
    <m/>
    <m/>
    <n v="14"/>
    <m/>
    <m/>
    <m/>
    <m/>
    <m/>
    <n v="4"/>
    <n v="55"/>
    <x v="3"/>
    <n v="28"/>
    <m/>
    <n v="109"/>
    <x v="1"/>
    <n v="3"/>
    <x v="0"/>
    <m/>
    <m/>
    <n v="23"/>
    <x v="2"/>
    <s v="28/06/2023"/>
    <d v="2023-06-28T00:00:00"/>
    <s v="2023023-112"/>
    <x v="4"/>
  </r>
  <r>
    <x v="355"/>
    <n v="2023023"/>
    <x v="23"/>
    <s v="Fababean"/>
    <m/>
    <x v="12"/>
    <s v="N"/>
    <x v="2"/>
    <n v="113"/>
    <n v="57"/>
    <x v="3"/>
    <m/>
    <m/>
    <m/>
    <n v="15"/>
    <m/>
    <m/>
    <m/>
    <m/>
    <m/>
    <n v="1"/>
    <n v="58"/>
    <x v="0"/>
    <n v="29"/>
    <m/>
    <m/>
    <x v="1"/>
    <n v="1"/>
    <x v="0"/>
    <m/>
    <m/>
    <n v="23"/>
    <x v="1"/>
    <s v="10/05/2023"/>
    <d v="2023-05-10T00:00:00"/>
    <s v="2023023-113"/>
    <x v="4"/>
  </r>
  <r>
    <x v="355"/>
    <n v="2023023"/>
    <x v="23"/>
    <s v="Fababean"/>
    <m/>
    <x v="12"/>
    <s v="N"/>
    <x v="1"/>
    <n v="114"/>
    <n v="57"/>
    <x v="3"/>
    <m/>
    <m/>
    <m/>
    <n v="15"/>
    <m/>
    <m/>
    <m/>
    <m/>
    <m/>
    <n v="2"/>
    <n v="58"/>
    <x v="1"/>
    <n v="29"/>
    <m/>
    <n v="114"/>
    <x v="1"/>
    <n v="1"/>
    <x v="0"/>
    <m/>
    <m/>
    <n v="23"/>
    <x v="1"/>
    <s v="10/05/2023"/>
    <d v="2023-05-10T00:00:00"/>
    <s v="2023023-114"/>
    <x v="4"/>
  </r>
  <r>
    <x v="352"/>
    <n v="2023023"/>
    <x v="23"/>
    <s v="Fababean"/>
    <m/>
    <x v="10"/>
    <s v="Y"/>
    <x v="2"/>
    <n v="115"/>
    <n v="58"/>
    <x v="3"/>
    <m/>
    <m/>
    <m/>
    <n v="15"/>
    <m/>
    <m/>
    <m/>
    <m/>
    <m/>
    <n v="3"/>
    <n v="58"/>
    <x v="2"/>
    <n v="29"/>
    <m/>
    <m/>
    <x v="1"/>
    <n v="4"/>
    <x v="0"/>
    <m/>
    <m/>
    <n v="23"/>
    <x v="1"/>
    <s v="10/05/2023"/>
    <d v="2023-05-10T00:00:00"/>
    <s v="2023023-115"/>
    <x v="4"/>
  </r>
  <r>
    <x v="352"/>
    <n v="2023023"/>
    <x v="23"/>
    <s v="Fababean"/>
    <m/>
    <x v="10"/>
    <s v="Y"/>
    <x v="1"/>
    <n v="116"/>
    <n v="58"/>
    <x v="3"/>
    <m/>
    <m/>
    <m/>
    <n v="15"/>
    <m/>
    <m/>
    <m/>
    <m/>
    <m/>
    <n v="4"/>
    <n v="58"/>
    <x v="3"/>
    <n v="29"/>
    <m/>
    <n v="116"/>
    <x v="1"/>
    <n v="4"/>
    <x v="0"/>
    <m/>
    <m/>
    <n v="23"/>
    <x v="1"/>
    <s v="10/05/2023"/>
    <d v="2023-05-10T00:00:00"/>
    <s v="2023023-116"/>
    <x v="4"/>
  </r>
  <r>
    <x v="354"/>
    <n v="2023023"/>
    <x v="23"/>
    <s v="Fababean"/>
    <m/>
    <x v="13"/>
    <s v="Y"/>
    <x v="2"/>
    <n v="117"/>
    <n v="59"/>
    <x v="3"/>
    <m/>
    <m/>
    <m/>
    <n v="15"/>
    <m/>
    <m/>
    <m/>
    <m/>
    <m/>
    <n v="1"/>
    <n v="59"/>
    <x v="0"/>
    <n v="30"/>
    <m/>
    <m/>
    <x v="1"/>
    <n v="3"/>
    <x v="0"/>
    <m/>
    <m/>
    <n v="23"/>
    <x v="1"/>
    <s v="10/05/2023"/>
    <d v="2023-05-10T00:00:00"/>
    <s v="2023023-117"/>
    <x v="4"/>
  </r>
  <r>
    <x v="354"/>
    <n v="2023023"/>
    <x v="23"/>
    <s v="Fababean"/>
    <m/>
    <x v="13"/>
    <s v="Y"/>
    <x v="1"/>
    <n v="118"/>
    <n v="59"/>
    <x v="3"/>
    <m/>
    <m/>
    <m/>
    <n v="15"/>
    <m/>
    <m/>
    <m/>
    <m/>
    <m/>
    <n v="2"/>
    <n v="59"/>
    <x v="1"/>
    <n v="30"/>
    <m/>
    <n v="119"/>
    <x v="1"/>
    <n v="3"/>
    <x v="0"/>
    <m/>
    <m/>
    <n v="23"/>
    <x v="1"/>
    <s v="10/05/2023"/>
    <d v="2023-05-10T00:00:00"/>
    <s v="2023023-118"/>
    <x v="4"/>
  </r>
  <r>
    <x v="353"/>
    <n v="2023023"/>
    <x v="23"/>
    <s v="Fababean"/>
    <m/>
    <x v="11"/>
    <s v="N"/>
    <x v="2"/>
    <n v="119"/>
    <n v="60"/>
    <x v="3"/>
    <m/>
    <m/>
    <m/>
    <n v="15"/>
    <m/>
    <m/>
    <m/>
    <m/>
    <m/>
    <n v="3"/>
    <n v="59"/>
    <x v="2"/>
    <n v="30"/>
    <m/>
    <m/>
    <x v="1"/>
    <n v="2"/>
    <x v="0"/>
    <m/>
    <m/>
    <n v="23"/>
    <x v="1"/>
    <s v="10/05/2023"/>
    <d v="2023-05-10T00:00:00"/>
    <s v="2023023-119"/>
    <x v="4"/>
  </r>
  <r>
    <x v="353"/>
    <n v="2023023"/>
    <x v="23"/>
    <s v="Fababean"/>
    <m/>
    <x v="11"/>
    <s v="N"/>
    <x v="1"/>
    <n v="120"/>
    <n v="60"/>
    <x v="3"/>
    <m/>
    <m/>
    <m/>
    <n v="15"/>
    <m/>
    <m/>
    <m/>
    <m/>
    <m/>
    <n v="4"/>
    <n v="59"/>
    <x v="3"/>
    <n v="30"/>
    <m/>
    <n v="117"/>
    <x v="1"/>
    <n v="2"/>
    <x v="0"/>
    <m/>
    <m/>
    <n v="23"/>
    <x v="1"/>
    <s v="10/05/2023"/>
    <d v="2023-05-10T00:00:00"/>
    <s v="2023023-120"/>
    <x v="4"/>
  </r>
  <r>
    <x v="358"/>
    <n v="2023023"/>
    <x v="23"/>
    <s v="Fababean"/>
    <m/>
    <x v="11"/>
    <s v="N"/>
    <x v="2"/>
    <n v="121"/>
    <n v="61"/>
    <x v="3"/>
    <m/>
    <m/>
    <m/>
    <n v="16"/>
    <m/>
    <m/>
    <m/>
    <m/>
    <m/>
    <n v="1"/>
    <n v="62"/>
    <x v="0"/>
    <n v="31"/>
    <m/>
    <m/>
    <x v="0"/>
    <n v="2"/>
    <x v="0"/>
    <m/>
    <m/>
    <n v="23"/>
    <x v="1"/>
    <s v="10/05/2023"/>
    <d v="2023-05-10T00:00:00"/>
    <s v="2023023-121"/>
    <x v="4"/>
  </r>
  <r>
    <x v="358"/>
    <n v="2023023"/>
    <x v="23"/>
    <s v="Fababean"/>
    <m/>
    <x v="11"/>
    <s v="N"/>
    <x v="1"/>
    <n v="122"/>
    <n v="61"/>
    <x v="3"/>
    <m/>
    <m/>
    <m/>
    <n v="16"/>
    <m/>
    <m/>
    <m/>
    <m/>
    <m/>
    <n v="2"/>
    <n v="62"/>
    <x v="1"/>
    <n v="31"/>
    <m/>
    <n v="122"/>
    <x v="0"/>
    <n v="2"/>
    <x v="0"/>
    <m/>
    <m/>
    <n v="23"/>
    <x v="1"/>
    <s v="10/05/2023"/>
    <d v="2023-05-10T00:00:00"/>
    <s v="2023023-122"/>
    <x v="4"/>
  </r>
  <r>
    <x v="357"/>
    <n v="2023023"/>
    <x v="23"/>
    <s v="Fababean"/>
    <m/>
    <x v="13"/>
    <s v="Y"/>
    <x v="2"/>
    <n v="123"/>
    <n v="62"/>
    <x v="3"/>
    <m/>
    <m/>
    <m/>
    <n v="16"/>
    <m/>
    <m/>
    <m/>
    <m/>
    <m/>
    <n v="3"/>
    <n v="62"/>
    <x v="2"/>
    <n v="31"/>
    <m/>
    <m/>
    <x v="0"/>
    <n v="3"/>
    <x v="0"/>
    <m/>
    <m/>
    <n v="23"/>
    <x v="1"/>
    <s v="10/05/2023"/>
    <d v="2023-05-10T00:00:00"/>
    <s v="2023023-123"/>
    <x v="4"/>
  </r>
  <r>
    <x v="357"/>
    <n v="2023023"/>
    <x v="23"/>
    <s v="Fababean"/>
    <m/>
    <x v="13"/>
    <s v="Y"/>
    <x v="1"/>
    <n v="124"/>
    <n v="62"/>
    <x v="3"/>
    <m/>
    <m/>
    <m/>
    <n v="16"/>
    <m/>
    <m/>
    <m/>
    <m/>
    <m/>
    <n v="4"/>
    <n v="62"/>
    <x v="3"/>
    <n v="31"/>
    <m/>
    <n v="124"/>
    <x v="0"/>
    <n v="3"/>
    <x v="0"/>
    <m/>
    <m/>
    <n v="23"/>
    <x v="1"/>
    <s v="10/05/2023"/>
    <d v="2023-05-10T00:00:00"/>
    <s v="2023023-124"/>
    <x v="4"/>
  </r>
  <r>
    <x v="359"/>
    <n v="2023023"/>
    <x v="23"/>
    <s v="Fababean"/>
    <m/>
    <x v="10"/>
    <s v="Y"/>
    <x v="2"/>
    <n v="125"/>
    <n v="63"/>
    <x v="3"/>
    <m/>
    <m/>
    <m/>
    <n v="16"/>
    <m/>
    <m/>
    <m/>
    <m/>
    <m/>
    <n v="1"/>
    <n v="63"/>
    <x v="0"/>
    <n v="32"/>
    <m/>
    <m/>
    <x v="0"/>
    <n v="4"/>
    <x v="0"/>
    <m/>
    <m/>
    <n v="23"/>
    <x v="1"/>
    <s v="10/05/2023"/>
    <d v="2023-05-10T00:00:00"/>
    <s v="2023023-125"/>
    <x v="4"/>
  </r>
  <r>
    <x v="359"/>
    <n v="2023023"/>
    <x v="23"/>
    <s v="Fababean"/>
    <m/>
    <x v="10"/>
    <s v="Y"/>
    <x v="1"/>
    <n v="126"/>
    <n v="63"/>
    <x v="3"/>
    <m/>
    <m/>
    <m/>
    <n v="16"/>
    <m/>
    <m/>
    <m/>
    <m/>
    <m/>
    <n v="2"/>
    <n v="63"/>
    <x v="1"/>
    <n v="32"/>
    <m/>
    <n v="127"/>
    <x v="0"/>
    <n v="4"/>
    <x v="0"/>
    <m/>
    <m/>
    <n v="23"/>
    <x v="1"/>
    <s v="10/05/2023"/>
    <d v="2023-05-10T00:00:00"/>
    <s v="2023023-126"/>
    <x v="4"/>
  </r>
  <r>
    <x v="356"/>
    <n v="2023023"/>
    <x v="23"/>
    <s v="Fababean"/>
    <m/>
    <x v="12"/>
    <s v="N"/>
    <x v="2"/>
    <n v="127"/>
    <n v="64"/>
    <x v="3"/>
    <m/>
    <m/>
    <m/>
    <n v="16"/>
    <m/>
    <m/>
    <m/>
    <m/>
    <m/>
    <n v="3"/>
    <n v="63"/>
    <x v="2"/>
    <n v="32"/>
    <m/>
    <m/>
    <x v="0"/>
    <n v="1"/>
    <x v="0"/>
    <m/>
    <m/>
    <n v="23"/>
    <x v="1"/>
    <s v="10/05/2023"/>
    <d v="2023-05-10T00:00:00"/>
    <s v="2023023-127"/>
    <x v="4"/>
  </r>
  <r>
    <x v="356"/>
    <n v="2023023"/>
    <x v="23"/>
    <s v="Fababean"/>
    <m/>
    <x v="12"/>
    <s v="N"/>
    <x v="1"/>
    <n v="128"/>
    <n v="64"/>
    <x v="3"/>
    <m/>
    <m/>
    <m/>
    <n v="16"/>
    <m/>
    <m/>
    <m/>
    <m/>
    <m/>
    <n v="4"/>
    <n v="63"/>
    <x v="3"/>
    <n v="32"/>
    <m/>
    <n v="125"/>
    <x v="0"/>
    <n v="1"/>
    <x v="0"/>
    <m/>
    <m/>
    <n v="23"/>
    <x v="1"/>
    <s v="10/05/2023"/>
    <d v="2023-05-10T00:00:00"/>
    <s v="2023023-128"/>
    <x v="4"/>
  </r>
  <r>
    <x v="368"/>
    <n v="2023024"/>
    <x v="24"/>
    <s v="Lentil"/>
    <m/>
    <x v="15"/>
    <s v="Y"/>
    <x v="2"/>
    <n v="1"/>
    <n v="1"/>
    <x v="0"/>
    <m/>
    <m/>
    <m/>
    <n v="1"/>
    <m/>
    <m/>
    <m/>
    <m/>
    <m/>
    <n v="1"/>
    <n v="2"/>
    <x v="0"/>
    <n v="1"/>
    <m/>
    <m/>
    <x v="1"/>
    <n v="4"/>
    <x v="0"/>
    <m/>
    <m/>
    <n v="23"/>
    <x v="2"/>
    <s v="28/06/2023"/>
    <d v="2023-06-28T00:00:00"/>
    <s v="2023024-1"/>
    <x v="0"/>
  </r>
  <r>
    <x v="368"/>
    <n v="2023024"/>
    <x v="24"/>
    <s v="Lentil"/>
    <m/>
    <x v="15"/>
    <s v="Y"/>
    <x v="1"/>
    <n v="2"/>
    <n v="1"/>
    <x v="0"/>
    <m/>
    <m/>
    <m/>
    <n v="1"/>
    <m/>
    <m/>
    <m/>
    <m/>
    <m/>
    <n v="2"/>
    <n v="2"/>
    <x v="1"/>
    <n v="1"/>
    <m/>
    <n v="2"/>
    <x v="1"/>
    <n v="4"/>
    <x v="0"/>
    <m/>
    <m/>
    <n v="23"/>
    <x v="2"/>
    <s v="28/06/2023"/>
    <d v="2023-06-28T00:00:00"/>
    <s v="2023024-2"/>
    <x v="0"/>
  </r>
  <r>
    <x v="369"/>
    <n v="2023024"/>
    <x v="24"/>
    <s v="Lentil"/>
    <m/>
    <x v="1"/>
    <s v="Y"/>
    <x v="2"/>
    <n v="3"/>
    <n v="2"/>
    <x v="0"/>
    <m/>
    <m/>
    <m/>
    <n v="1"/>
    <m/>
    <m/>
    <m/>
    <m/>
    <m/>
    <n v="3"/>
    <n v="2"/>
    <x v="2"/>
    <n v="1"/>
    <m/>
    <m/>
    <x v="1"/>
    <n v="3"/>
    <x v="0"/>
    <m/>
    <m/>
    <n v="23"/>
    <x v="2"/>
    <s v="28/06/2023"/>
    <d v="2023-06-28T00:00:00"/>
    <s v="2023024-3"/>
    <x v="0"/>
  </r>
  <r>
    <x v="369"/>
    <n v="2023024"/>
    <x v="24"/>
    <s v="Lentil"/>
    <m/>
    <x v="1"/>
    <s v="Y"/>
    <x v="1"/>
    <n v="4"/>
    <n v="2"/>
    <x v="0"/>
    <m/>
    <m/>
    <m/>
    <n v="1"/>
    <m/>
    <m/>
    <m/>
    <m/>
    <m/>
    <n v="4"/>
    <n v="2"/>
    <x v="3"/>
    <n v="1"/>
    <m/>
    <n v="4"/>
    <x v="1"/>
    <n v="3"/>
    <x v="0"/>
    <m/>
    <m/>
    <n v="23"/>
    <x v="2"/>
    <s v="28/06/2023"/>
    <d v="2023-06-28T00:00:00"/>
    <s v="2023024-4"/>
    <x v="0"/>
  </r>
  <r>
    <x v="370"/>
    <n v="2023024"/>
    <x v="24"/>
    <s v="Lentil"/>
    <m/>
    <x v="14"/>
    <s v="N"/>
    <x v="2"/>
    <n v="5"/>
    <n v="3"/>
    <x v="0"/>
    <m/>
    <m/>
    <m/>
    <n v="1"/>
    <m/>
    <m/>
    <m/>
    <m/>
    <m/>
    <n v="1"/>
    <n v="3"/>
    <x v="0"/>
    <n v="2"/>
    <m/>
    <m/>
    <x v="1"/>
    <n v="1"/>
    <x v="0"/>
    <m/>
    <m/>
    <n v="23"/>
    <x v="2"/>
    <s v="28/06/2023"/>
    <d v="2023-06-28T00:00:00"/>
    <s v="2023024-5"/>
    <x v="0"/>
  </r>
  <r>
    <x v="370"/>
    <n v="2023024"/>
    <x v="24"/>
    <s v="Lentil"/>
    <m/>
    <x v="14"/>
    <s v="N"/>
    <x v="1"/>
    <n v="6"/>
    <n v="3"/>
    <x v="0"/>
    <m/>
    <m/>
    <m/>
    <n v="1"/>
    <m/>
    <m/>
    <m/>
    <m/>
    <m/>
    <n v="2"/>
    <n v="3"/>
    <x v="1"/>
    <n v="2"/>
    <m/>
    <n v="7"/>
    <x v="1"/>
    <n v="1"/>
    <x v="0"/>
    <m/>
    <m/>
    <n v="23"/>
    <x v="2"/>
    <s v="28/06/2023"/>
    <d v="2023-06-28T00:00:00"/>
    <s v="2023024-6"/>
    <x v="0"/>
  </r>
  <r>
    <x v="371"/>
    <n v="2023024"/>
    <x v="24"/>
    <s v="Lentil"/>
    <m/>
    <x v="16"/>
    <s v="N"/>
    <x v="2"/>
    <n v="7"/>
    <n v="4"/>
    <x v="0"/>
    <m/>
    <m/>
    <m/>
    <n v="1"/>
    <m/>
    <m/>
    <m/>
    <m/>
    <m/>
    <n v="3"/>
    <n v="3"/>
    <x v="2"/>
    <n v="2"/>
    <m/>
    <m/>
    <x v="1"/>
    <n v="2"/>
    <x v="0"/>
    <m/>
    <m/>
    <n v="23"/>
    <x v="2"/>
    <s v="28/06/2023"/>
    <d v="2023-06-28T00:00:00"/>
    <s v="2023024-7"/>
    <x v="0"/>
  </r>
  <r>
    <x v="371"/>
    <n v="2023024"/>
    <x v="24"/>
    <s v="Lentil"/>
    <m/>
    <x v="16"/>
    <s v="N"/>
    <x v="1"/>
    <n v="8"/>
    <n v="4"/>
    <x v="0"/>
    <m/>
    <m/>
    <m/>
    <n v="1"/>
    <m/>
    <m/>
    <m/>
    <m/>
    <m/>
    <n v="4"/>
    <n v="3"/>
    <x v="3"/>
    <n v="2"/>
    <m/>
    <n v="5"/>
    <x v="1"/>
    <n v="2"/>
    <x v="0"/>
    <m/>
    <m/>
    <n v="23"/>
    <x v="2"/>
    <s v="28/06/2023"/>
    <d v="2023-06-28T00:00:00"/>
    <s v="2023024-8"/>
    <x v="0"/>
  </r>
  <r>
    <x v="372"/>
    <n v="2023024"/>
    <x v="24"/>
    <s v="Lentil"/>
    <m/>
    <x v="16"/>
    <s v="N"/>
    <x v="2"/>
    <n v="9"/>
    <n v="5"/>
    <x v="0"/>
    <m/>
    <m/>
    <m/>
    <n v="2"/>
    <m/>
    <m/>
    <m/>
    <m/>
    <m/>
    <n v="1"/>
    <n v="6"/>
    <x v="0"/>
    <n v="3"/>
    <m/>
    <m/>
    <x v="0"/>
    <n v="2"/>
    <x v="0"/>
    <m/>
    <m/>
    <n v="23"/>
    <x v="2"/>
    <s v="28/06/2023"/>
    <d v="2023-06-28T00:00:00"/>
    <s v="2023024-9"/>
    <x v="0"/>
  </r>
  <r>
    <x v="372"/>
    <n v="2023024"/>
    <x v="24"/>
    <s v="Lentil"/>
    <m/>
    <x v="16"/>
    <s v="N"/>
    <x v="1"/>
    <n v="10"/>
    <n v="5"/>
    <x v="0"/>
    <m/>
    <m/>
    <m/>
    <n v="2"/>
    <m/>
    <m/>
    <m/>
    <m/>
    <m/>
    <n v="2"/>
    <n v="6"/>
    <x v="1"/>
    <n v="3"/>
    <m/>
    <n v="10"/>
    <x v="0"/>
    <n v="2"/>
    <x v="0"/>
    <m/>
    <m/>
    <n v="23"/>
    <x v="2"/>
    <s v="28/06/2023"/>
    <d v="2023-06-28T00:00:00"/>
    <s v="2023024-10"/>
    <x v="0"/>
  </r>
  <r>
    <x v="373"/>
    <n v="2023024"/>
    <x v="24"/>
    <s v="Lentil"/>
    <m/>
    <x v="14"/>
    <s v="N"/>
    <x v="2"/>
    <n v="11"/>
    <n v="6"/>
    <x v="0"/>
    <m/>
    <m/>
    <m/>
    <n v="2"/>
    <m/>
    <m/>
    <m/>
    <m/>
    <m/>
    <n v="3"/>
    <n v="6"/>
    <x v="2"/>
    <n v="3"/>
    <m/>
    <m/>
    <x v="0"/>
    <n v="1"/>
    <x v="0"/>
    <m/>
    <m/>
    <n v="23"/>
    <x v="2"/>
    <s v="28/06/2023"/>
    <d v="2023-06-28T00:00:00"/>
    <s v="2023024-11"/>
    <x v="0"/>
  </r>
  <r>
    <x v="373"/>
    <n v="2023024"/>
    <x v="24"/>
    <s v="Lentil"/>
    <m/>
    <x v="14"/>
    <s v="N"/>
    <x v="1"/>
    <n v="12"/>
    <n v="6"/>
    <x v="0"/>
    <m/>
    <m/>
    <m/>
    <n v="2"/>
    <m/>
    <m/>
    <m/>
    <m/>
    <m/>
    <n v="4"/>
    <n v="6"/>
    <x v="3"/>
    <n v="3"/>
    <m/>
    <n v="12"/>
    <x v="0"/>
    <n v="1"/>
    <x v="0"/>
    <m/>
    <m/>
    <n v="23"/>
    <x v="2"/>
    <s v="28/06/2023"/>
    <d v="2023-06-28T00:00:00"/>
    <s v="2023024-12"/>
    <x v="0"/>
  </r>
  <r>
    <x v="374"/>
    <n v="2023024"/>
    <x v="24"/>
    <s v="Lentil"/>
    <m/>
    <x v="1"/>
    <s v="Y"/>
    <x v="2"/>
    <n v="13"/>
    <n v="7"/>
    <x v="0"/>
    <m/>
    <m/>
    <m/>
    <n v="2"/>
    <m/>
    <m/>
    <m/>
    <m/>
    <m/>
    <n v="1"/>
    <n v="7"/>
    <x v="0"/>
    <n v="4"/>
    <m/>
    <m/>
    <x v="0"/>
    <n v="3"/>
    <x v="0"/>
    <m/>
    <m/>
    <n v="23"/>
    <x v="2"/>
    <s v="28/06/2023"/>
    <d v="2023-06-28T00:00:00"/>
    <s v="2023024-13"/>
    <x v="0"/>
  </r>
  <r>
    <x v="374"/>
    <n v="2023024"/>
    <x v="24"/>
    <s v="Lentil"/>
    <m/>
    <x v="1"/>
    <s v="Y"/>
    <x v="1"/>
    <n v="14"/>
    <n v="7"/>
    <x v="0"/>
    <m/>
    <m/>
    <m/>
    <n v="2"/>
    <m/>
    <m/>
    <m/>
    <m/>
    <m/>
    <n v="2"/>
    <n v="7"/>
    <x v="1"/>
    <n v="4"/>
    <m/>
    <n v="15"/>
    <x v="0"/>
    <n v="3"/>
    <x v="0"/>
    <m/>
    <m/>
    <n v="23"/>
    <x v="2"/>
    <s v="28/06/2023"/>
    <d v="2023-06-28T00:00:00"/>
    <s v="2023024-14"/>
    <x v="0"/>
  </r>
  <r>
    <x v="375"/>
    <n v="2023024"/>
    <x v="24"/>
    <s v="Lentil"/>
    <m/>
    <x v="15"/>
    <s v="Y"/>
    <x v="2"/>
    <n v="15"/>
    <n v="8"/>
    <x v="0"/>
    <m/>
    <m/>
    <m/>
    <n v="2"/>
    <m/>
    <m/>
    <m/>
    <m/>
    <m/>
    <n v="3"/>
    <n v="7"/>
    <x v="2"/>
    <n v="4"/>
    <m/>
    <m/>
    <x v="0"/>
    <n v="4"/>
    <x v="0"/>
    <m/>
    <m/>
    <n v="23"/>
    <x v="2"/>
    <s v="28/06/2023"/>
    <d v="2023-06-28T00:00:00"/>
    <s v="2023024-15"/>
    <x v="0"/>
  </r>
  <r>
    <x v="375"/>
    <n v="2023024"/>
    <x v="24"/>
    <s v="Lentil"/>
    <m/>
    <x v="15"/>
    <s v="Y"/>
    <x v="1"/>
    <n v="16"/>
    <n v="8"/>
    <x v="0"/>
    <m/>
    <m/>
    <m/>
    <n v="2"/>
    <m/>
    <m/>
    <m/>
    <m/>
    <m/>
    <n v="4"/>
    <n v="7"/>
    <x v="3"/>
    <n v="4"/>
    <m/>
    <n v="13"/>
    <x v="0"/>
    <n v="4"/>
    <x v="0"/>
    <m/>
    <m/>
    <n v="23"/>
    <x v="2"/>
    <s v="28/06/2023"/>
    <d v="2023-06-28T00:00:00"/>
    <s v="2023024-16"/>
    <x v="0"/>
  </r>
  <r>
    <x v="376"/>
    <n v="2023024"/>
    <x v="24"/>
    <s v="Lentil"/>
    <m/>
    <x v="1"/>
    <s v="Y"/>
    <x v="2"/>
    <n v="17"/>
    <n v="9"/>
    <x v="0"/>
    <m/>
    <m/>
    <m/>
    <n v="3"/>
    <m/>
    <m/>
    <m/>
    <m/>
    <m/>
    <n v="1"/>
    <n v="10"/>
    <x v="0"/>
    <n v="5"/>
    <m/>
    <m/>
    <x v="1"/>
    <n v="3"/>
    <x v="0"/>
    <m/>
    <m/>
    <n v="23"/>
    <x v="1"/>
    <s v="10/05/2023"/>
    <d v="2023-05-10T00:00:00"/>
    <s v="2023024-17"/>
    <x v="0"/>
  </r>
  <r>
    <x v="376"/>
    <n v="2023024"/>
    <x v="24"/>
    <s v="Lentil"/>
    <m/>
    <x v="1"/>
    <s v="Y"/>
    <x v="1"/>
    <n v="18"/>
    <n v="9"/>
    <x v="0"/>
    <m/>
    <m/>
    <m/>
    <n v="3"/>
    <m/>
    <m/>
    <m/>
    <m/>
    <m/>
    <n v="2"/>
    <n v="10"/>
    <x v="1"/>
    <n v="5"/>
    <m/>
    <n v="18"/>
    <x v="1"/>
    <n v="3"/>
    <x v="0"/>
    <m/>
    <m/>
    <n v="23"/>
    <x v="1"/>
    <s v="10/05/2023"/>
    <d v="2023-05-10T00:00:00"/>
    <s v="2023024-18"/>
    <x v="0"/>
  </r>
  <r>
    <x v="377"/>
    <n v="2023024"/>
    <x v="24"/>
    <s v="Lentil"/>
    <m/>
    <x v="15"/>
    <s v="Y"/>
    <x v="2"/>
    <n v="19"/>
    <n v="10"/>
    <x v="0"/>
    <m/>
    <m/>
    <m/>
    <n v="3"/>
    <m/>
    <m/>
    <m/>
    <m/>
    <m/>
    <n v="3"/>
    <n v="10"/>
    <x v="2"/>
    <n v="5"/>
    <m/>
    <m/>
    <x v="1"/>
    <n v="4"/>
    <x v="0"/>
    <m/>
    <m/>
    <n v="23"/>
    <x v="1"/>
    <s v="10/05/2023"/>
    <d v="2023-05-10T00:00:00"/>
    <s v="2023024-19"/>
    <x v="0"/>
  </r>
  <r>
    <x v="377"/>
    <n v="2023024"/>
    <x v="24"/>
    <s v="Lentil"/>
    <m/>
    <x v="15"/>
    <s v="Y"/>
    <x v="1"/>
    <n v="20"/>
    <n v="10"/>
    <x v="0"/>
    <m/>
    <m/>
    <m/>
    <n v="3"/>
    <m/>
    <m/>
    <m/>
    <m/>
    <m/>
    <n v="4"/>
    <n v="10"/>
    <x v="3"/>
    <n v="5"/>
    <m/>
    <n v="20"/>
    <x v="1"/>
    <n v="4"/>
    <x v="0"/>
    <m/>
    <m/>
    <n v="23"/>
    <x v="1"/>
    <s v="10/05/2023"/>
    <d v="2023-05-10T00:00:00"/>
    <s v="2023024-20"/>
    <x v="0"/>
  </r>
  <r>
    <x v="378"/>
    <n v="2023024"/>
    <x v="24"/>
    <s v="Lentil"/>
    <m/>
    <x v="16"/>
    <s v="N"/>
    <x v="2"/>
    <n v="21"/>
    <n v="11"/>
    <x v="0"/>
    <m/>
    <m/>
    <m/>
    <n v="3"/>
    <m/>
    <m/>
    <m/>
    <m/>
    <m/>
    <n v="1"/>
    <n v="11"/>
    <x v="0"/>
    <n v="6"/>
    <m/>
    <m/>
    <x v="1"/>
    <n v="2"/>
    <x v="0"/>
    <m/>
    <m/>
    <n v="23"/>
    <x v="1"/>
    <s v="10/05/2023"/>
    <d v="2023-05-10T00:00:00"/>
    <s v="2023024-21"/>
    <x v="0"/>
  </r>
  <r>
    <x v="378"/>
    <n v="2023024"/>
    <x v="24"/>
    <s v="Lentil"/>
    <m/>
    <x v="16"/>
    <s v="N"/>
    <x v="1"/>
    <n v="22"/>
    <n v="11"/>
    <x v="0"/>
    <m/>
    <m/>
    <m/>
    <n v="3"/>
    <m/>
    <m/>
    <m/>
    <m/>
    <m/>
    <n v="2"/>
    <n v="11"/>
    <x v="1"/>
    <n v="6"/>
    <m/>
    <n v="23"/>
    <x v="1"/>
    <n v="2"/>
    <x v="0"/>
    <m/>
    <m/>
    <n v="23"/>
    <x v="1"/>
    <s v="10/05/2023"/>
    <d v="2023-05-10T00:00:00"/>
    <s v="2023024-22"/>
    <x v="0"/>
  </r>
  <r>
    <x v="379"/>
    <n v="2023024"/>
    <x v="24"/>
    <s v="Lentil"/>
    <m/>
    <x v="14"/>
    <s v="N"/>
    <x v="2"/>
    <n v="23"/>
    <n v="12"/>
    <x v="0"/>
    <m/>
    <m/>
    <m/>
    <n v="3"/>
    <m/>
    <m/>
    <m/>
    <m/>
    <m/>
    <n v="3"/>
    <n v="11"/>
    <x v="2"/>
    <n v="6"/>
    <m/>
    <m/>
    <x v="1"/>
    <n v="1"/>
    <x v="0"/>
    <m/>
    <m/>
    <n v="23"/>
    <x v="1"/>
    <s v="10/05/2023"/>
    <d v="2023-05-10T00:00:00"/>
    <s v="2023024-23"/>
    <x v="0"/>
  </r>
  <r>
    <x v="379"/>
    <n v="2023024"/>
    <x v="24"/>
    <s v="Lentil"/>
    <m/>
    <x v="14"/>
    <s v="N"/>
    <x v="1"/>
    <n v="24"/>
    <n v="12"/>
    <x v="0"/>
    <m/>
    <m/>
    <m/>
    <n v="3"/>
    <m/>
    <m/>
    <m/>
    <m/>
    <m/>
    <n v="4"/>
    <n v="11"/>
    <x v="3"/>
    <n v="6"/>
    <m/>
    <n v="21"/>
    <x v="1"/>
    <n v="1"/>
    <x v="0"/>
    <m/>
    <m/>
    <n v="23"/>
    <x v="1"/>
    <s v="10/05/2023"/>
    <d v="2023-05-10T00:00:00"/>
    <s v="2023024-24"/>
    <x v="0"/>
  </r>
  <r>
    <x v="380"/>
    <n v="2023024"/>
    <x v="24"/>
    <s v="Lentil"/>
    <m/>
    <x v="14"/>
    <s v="N"/>
    <x v="2"/>
    <n v="25"/>
    <n v="13"/>
    <x v="0"/>
    <m/>
    <m/>
    <m/>
    <n v="4"/>
    <m/>
    <m/>
    <m/>
    <m/>
    <m/>
    <n v="1"/>
    <n v="14"/>
    <x v="0"/>
    <n v="7"/>
    <m/>
    <m/>
    <x v="0"/>
    <n v="1"/>
    <x v="0"/>
    <m/>
    <m/>
    <n v="23"/>
    <x v="1"/>
    <s v="10/05/2023"/>
    <d v="2023-05-10T00:00:00"/>
    <s v="2023024-25"/>
    <x v="0"/>
  </r>
  <r>
    <x v="380"/>
    <n v="2023024"/>
    <x v="24"/>
    <s v="Lentil"/>
    <m/>
    <x v="14"/>
    <s v="N"/>
    <x v="1"/>
    <n v="26"/>
    <n v="13"/>
    <x v="0"/>
    <m/>
    <m/>
    <m/>
    <n v="4"/>
    <m/>
    <m/>
    <m/>
    <m/>
    <m/>
    <n v="2"/>
    <n v="14"/>
    <x v="1"/>
    <n v="7"/>
    <m/>
    <n v="26"/>
    <x v="0"/>
    <n v="1"/>
    <x v="0"/>
    <m/>
    <m/>
    <n v="23"/>
    <x v="1"/>
    <s v="10/05/2023"/>
    <d v="2023-05-10T00:00:00"/>
    <s v="2023024-26"/>
    <x v="0"/>
  </r>
  <r>
    <x v="381"/>
    <n v="2023024"/>
    <x v="24"/>
    <s v="Lentil"/>
    <m/>
    <x v="16"/>
    <s v="N"/>
    <x v="2"/>
    <n v="27"/>
    <n v="14"/>
    <x v="0"/>
    <m/>
    <m/>
    <m/>
    <n v="4"/>
    <m/>
    <m/>
    <m/>
    <m/>
    <m/>
    <n v="3"/>
    <n v="14"/>
    <x v="2"/>
    <n v="7"/>
    <m/>
    <m/>
    <x v="0"/>
    <n v="2"/>
    <x v="0"/>
    <m/>
    <m/>
    <n v="23"/>
    <x v="1"/>
    <s v="10/05/2023"/>
    <d v="2023-05-10T00:00:00"/>
    <s v="2023024-27"/>
    <x v="0"/>
  </r>
  <r>
    <x v="381"/>
    <n v="2023024"/>
    <x v="24"/>
    <s v="Lentil"/>
    <m/>
    <x v="16"/>
    <s v="N"/>
    <x v="1"/>
    <n v="28"/>
    <n v="14"/>
    <x v="0"/>
    <m/>
    <m/>
    <m/>
    <n v="4"/>
    <m/>
    <m/>
    <m/>
    <m/>
    <m/>
    <n v="4"/>
    <n v="14"/>
    <x v="3"/>
    <n v="7"/>
    <m/>
    <n v="28"/>
    <x v="0"/>
    <n v="2"/>
    <x v="0"/>
    <m/>
    <m/>
    <n v="23"/>
    <x v="1"/>
    <s v="10/05/2023"/>
    <d v="2023-05-10T00:00:00"/>
    <s v="2023024-28"/>
    <x v="0"/>
  </r>
  <r>
    <x v="382"/>
    <n v="2023024"/>
    <x v="24"/>
    <s v="Lentil"/>
    <m/>
    <x v="15"/>
    <s v="Y"/>
    <x v="2"/>
    <n v="29"/>
    <n v="15"/>
    <x v="0"/>
    <m/>
    <m/>
    <m/>
    <n v="4"/>
    <m/>
    <m/>
    <m/>
    <m/>
    <m/>
    <n v="1"/>
    <n v="15"/>
    <x v="0"/>
    <n v="8"/>
    <m/>
    <m/>
    <x v="0"/>
    <n v="4"/>
    <x v="0"/>
    <m/>
    <m/>
    <n v="23"/>
    <x v="1"/>
    <s v="10/05/2023"/>
    <d v="2023-05-10T00:00:00"/>
    <s v="2023024-29"/>
    <x v="0"/>
  </r>
  <r>
    <x v="382"/>
    <n v="2023024"/>
    <x v="24"/>
    <s v="Lentil"/>
    <m/>
    <x v="15"/>
    <s v="Y"/>
    <x v="1"/>
    <n v="30"/>
    <n v="15"/>
    <x v="0"/>
    <m/>
    <m/>
    <m/>
    <n v="4"/>
    <m/>
    <m/>
    <m/>
    <m/>
    <m/>
    <n v="2"/>
    <n v="15"/>
    <x v="1"/>
    <n v="8"/>
    <m/>
    <n v="31"/>
    <x v="0"/>
    <n v="4"/>
    <x v="0"/>
    <m/>
    <m/>
    <n v="23"/>
    <x v="1"/>
    <s v="10/05/2023"/>
    <d v="2023-05-10T00:00:00"/>
    <s v="2023024-30"/>
    <x v="0"/>
  </r>
  <r>
    <x v="383"/>
    <n v="2023024"/>
    <x v="24"/>
    <s v="Lentil"/>
    <m/>
    <x v="1"/>
    <s v="Y"/>
    <x v="2"/>
    <n v="31"/>
    <n v="16"/>
    <x v="0"/>
    <m/>
    <m/>
    <m/>
    <n v="4"/>
    <m/>
    <m/>
    <m/>
    <m/>
    <m/>
    <n v="3"/>
    <n v="15"/>
    <x v="2"/>
    <n v="8"/>
    <m/>
    <m/>
    <x v="0"/>
    <n v="3"/>
    <x v="0"/>
    <m/>
    <m/>
    <n v="23"/>
    <x v="1"/>
    <s v="10/05/2023"/>
    <d v="2023-05-10T00:00:00"/>
    <s v="2023024-31"/>
    <x v="0"/>
  </r>
  <r>
    <x v="383"/>
    <n v="2023024"/>
    <x v="24"/>
    <s v="Lentil"/>
    <m/>
    <x v="1"/>
    <s v="Y"/>
    <x v="1"/>
    <n v="32"/>
    <n v="16"/>
    <x v="0"/>
    <m/>
    <m/>
    <m/>
    <n v="4"/>
    <m/>
    <m/>
    <m/>
    <m/>
    <m/>
    <n v="4"/>
    <n v="15"/>
    <x v="3"/>
    <n v="8"/>
    <m/>
    <n v="29"/>
    <x v="0"/>
    <n v="3"/>
    <x v="0"/>
    <m/>
    <m/>
    <n v="23"/>
    <x v="1"/>
    <s v="10/05/2023"/>
    <d v="2023-05-10T00:00:00"/>
    <s v="2023024-32"/>
    <x v="0"/>
  </r>
  <r>
    <x v="381"/>
    <n v="2023024"/>
    <x v="24"/>
    <s v="Lentil"/>
    <m/>
    <x v="16"/>
    <s v="N"/>
    <x v="2"/>
    <n v="33"/>
    <n v="17"/>
    <x v="1"/>
    <m/>
    <m/>
    <m/>
    <n v="5"/>
    <m/>
    <m/>
    <m/>
    <m/>
    <m/>
    <n v="1"/>
    <n v="18"/>
    <x v="0"/>
    <n v="9"/>
    <m/>
    <m/>
    <x v="0"/>
    <n v="2"/>
    <x v="0"/>
    <m/>
    <m/>
    <n v="23"/>
    <x v="1"/>
    <s v="10/05/2023"/>
    <d v="2023-05-10T00:00:00"/>
    <s v="2023024-33"/>
    <x v="0"/>
  </r>
  <r>
    <x v="381"/>
    <n v="2023024"/>
    <x v="24"/>
    <s v="Lentil"/>
    <m/>
    <x v="16"/>
    <s v="N"/>
    <x v="1"/>
    <n v="34"/>
    <n v="17"/>
    <x v="1"/>
    <m/>
    <m/>
    <m/>
    <n v="5"/>
    <m/>
    <m/>
    <m/>
    <m/>
    <m/>
    <n v="2"/>
    <n v="18"/>
    <x v="1"/>
    <n v="9"/>
    <m/>
    <n v="34"/>
    <x v="0"/>
    <n v="2"/>
    <x v="0"/>
    <m/>
    <m/>
    <n v="23"/>
    <x v="1"/>
    <s v="10/05/2023"/>
    <d v="2023-05-10T00:00:00"/>
    <s v="2023024-34"/>
    <x v="0"/>
  </r>
  <r>
    <x v="383"/>
    <n v="2023024"/>
    <x v="24"/>
    <s v="Lentil"/>
    <m/>
    <x v="1"/>
    <s v="Y"/>
    <x v="2"/>
    <n v="35"/>
    <n v="18"/>
    <x v="1"/>
    <m/>
    <m/>
    <m/>
    <n v="5"/>
    <m/>
    <m/>
    <m/>
    <m/>
    <m/>
    <n v="3"/>
    <n v="18"/>
    <x v="2"/>
    <n v="9"/>
    <m/>
    <m/>
    <x v="0"/>
    <n v="3"/>
    <x v="0"/>
    <m/>
    <m/>
    <n v="23"/>
    <x v="1"/>
    <s v="10/05/2023"/>
    <d v="2023-05-10T00:00:00"/>
    <s v="2023024-35"/>
    <x v="0"/>
  </r>
  <r>
    <x v="383"/>
    <n v="2023024"/>
    <x v="24"/>
    <s v="Lentil"/>
    <m/>
    <x v="1"/>
    <s v="Y"/>
    <x v="1"/>
    <n v="36"/>
    <n v="18"/>
    <x v="1"/>
    <m/>
    <m/>
    <m/>
    <n v="5"/>
    <m/>
    <m/>
    <m/>
    <m/>
    <m/>
    <n v="4"/>
    <n v="18"/>
    <x v="3"/>
    <n v="9"/>
    <m/>
    <n v="36"/>
    <x v="0"/>
    <n v="3"/>
    <x v="0"/>
    <m/>
    <m/>
    <n v="23"/>
    <x v="1"/>
    <s v="10/05/2023"/>
    <d v="2023-05-10T00:00:00"/>
    <s v="2023024-36"/>
    <x v="0"/>
  </r>
  <r>
    <x v="380"/>
    <n v="2023024"/>
    <x v="24"/>
    <s v="Lentil"/>
    <m/>
    <x v="14"/>
    <s v="N"/>
    <x v="2"/>
    <n v="37"/>
    <n v="19"/>
    <x v="1"/>
    <m/>
    <m/>
    <m/>
    <n v="5"/>
    <m/>
    <m/>
    <m/>
    <m/>
    <m/>
    <n v="1"/>
    <n v="19"/>
    <x v="0"/>
    <n v="10"/>
    <m/>
    <m/>
    <x v="0"/>
    <n v="1"/>
    <x v="0"/>
    <m/>
    <m/>
    <n v="23"/>
    <x v="1"/>
    <s v="10/05/2023"/>
    <d v="2023-05-10T00:00:00"/>
    <s v="2023024-37"/>
    <x v="0"/>
  </r>
  <r>
    <x v="380"/>
    <n v="2023024"/>
    <x v="24"/>
    <s v="Lentil"/>
    <m/>
    <x v="14"/>
    <s v="N"/>
    <x v="1"/>
    <n v="38"/>
    <n v="19"/>
    <x v="1"/>
    <m/>
    <m/>
    <m/>
    <n v="5"/>
    <m/>
    <m/>
    <m/>
    <m/>
    <m/>
    <n v="2"/>
    <n v="19"/>
    <x v="1"/>
    <n v="10"/>
    <m/>
    <n v="39"/>
    <x v="0"/>
    <n v="1"/>
    <x v="0"/>
    <m/>
    <m/>
    <n v="23"/>
    <x v="1"/>
    <s v="10/05/2023"/>
    <d v="2023-05-10T00:00:00"/>
    <s v="2023024-38"/>
    <x v="0"/>
  </r>
  <r>
    <x v="382"/>
    <n v="2023024"/>
    <x v="24"/>
    <s v="Lentil"/>
    <m/>
    <x v="15"/>
    <s v="Y"/>
    <x v="2"/>
    <n v="39"/>
    <n v="20"/>
    <x v="1"/>
    <m/>
    <m/>
    <m/>
    <n v="5"/>
    <m/>
    <m/>
    <m/>
    <m/>
    <m/>
    <n v="3"/>
    <n v="19"/>
    <x v="2"/>
    <n v="10"/>
    <m/>
    <m/>
    <x v="0"/>
    <n v="4"/>
    <x v="0"/>
    <m/>
    <m/>
    <n v="23"/>
    <x v="1"/>
    <s v="10/05/2023"/>
    <d v="2023-05-10T00:00:00"/>
    <s v="2023024-39"/>
    <x v="0"/>
  </r>
  <r>
    <x v="382"/>
    <n v="2023024"/>
    <x v="24"/>
    <s v="Lentil"/>
    <m/>
    <x v="15"/>
    <s v="Y"/>
    <x v="1"/>
    <n v="40"/>
    <n v="20"/>
    <x v="1"/>
    <m/>
    <m/>
    <m/>
    <n v="5"/>
    <m/>
    <m/>
    <m/>
    <m/>
    <m/>
    <n v="4"/>
    <n v="19"/>
    <x v="3"/>
    <n v="10"/>
    <m/>
    <n v="37"/>
    <x v="0"/>
    <n v="4"/>
    <x v="0"/>
    <m/>
    <m/>
    <n v="23"/>
    <x v="1"/>
    <s v="10/05/2023"/>
    <d v="2023-05-10T00:00:00"/>
    <s v="2023024-40"/>
    <x v="0"/>
  </r>
  <r>
    <x v="377"/>
    <n v="2023024"/>
    <x v="24"/>
    <s v="Lentil"/>
    <m/>
    <x v="15"/>
    <s v="Y"/>
    <x v="2"/>
    <n v="41"/>
    <n v="21"/>
    <x v="1"/>
    <m/>
    <m/>
    <m/>
    <n v="6"/>
    <m/>
    <m/>
    <m/>
    <m/>
    <m/>
    <n v="1"/>
    <n v="22"/>
    <x v="0"/>
    <n v="11"/>
    <m/>
    <m/>
    <x v="1"/>
    <n v="4"/>
    <x v="0"/>
    <m/>
    <m/>
    <n v="23"/>
    <x v="1"/>
    <s v="10/05/2023"/>
    <d v="2023-05-10T00:00:00"/>
    <s v="2023024-41"/>
    <x v="0"/>
  </r>
  <r>
    <x v="377"/>
    <n v="2023024"/>
    <x v="24"/>
    <s v="Lentil"/>
    <m/>
    <x v="15"/>
    <s v="Y"/>
    <x v="1"/>
    <n v="42"/>
    <n v="21"/>
    <x v="1"/>
    <m/>
    <m/>
    <m/>
    <n v="6"/>
    <m/>
    <m/>
    <m/>
    <m/>
    <m/>
    <n v="2"/>
    <n v="22"/>
    <x v="1"/>
    <n v="11"/>
    <m/>
    <n v="42"/>
    <x v="1"/>
    <n v="4"/>
    <x v="0"/>
    <m/>
    <m/>
    <n v="23"/>
    <x v="1"/>
    <s v="10/05/2023"/>
    <d v="2023-05-10T00:00:00"/>
    <s v="2023024-42"/>
    <x v="0"/>
  </r>
  <r>
    <x v="379"/>
    <n v="2023024"/>
    <x v="24"/>
    <s v="Lentil"/>
    <m/>
    <x v="14"/>
    <s v="N"/>
    <x v="2"/>
    <n v="43"/>
    <n v="22"/>
    <x v="1"/>
    <m/>
    <m/>
    <m/>
    <n v="6"/>
    <m/>
    <m/>
    <m/>
    <m/>
    <m/>
    <n v="3"/>
    <n v="22"/>
    <x v="2"/>
    <n v="11"/>
    <m/>
    <m/>
    <x v="1"/>
    <n v="1"/>
    <x v="0"/>
    <m/>
    <m/>
    <n v="23"/>
    <x v="1"/>
    <s v="10/05/2023"/>
    <d v="2023-05-10T00:00:00"/>
    <s v="2023024-43"/>
    <x v="0"/>
  </r>
  <r>
    <x v="379"/>
    <n v="2023024"/>
    <x v="24"/>
    <s v="Lentil"/>
    <m/>
    <x v="14"/>
    <s v="N"/>
    <x v="1"/>
    <n v="44"/>
    <n v="22"/>
    <x v="1"/>
    <m/>
    <m/>
    <m/>
    <n v="6"/>
    <m/>
    <m/>
    <m/>
    <m/>
    <m/>
    <n v="4"/>
    <n v="22"/>
    <x v="3"/>
    <n v="11"/>
    <m/>
    <n v="44"/>
    <x v="1"/>
    <n v="1"/>
    <x v="0"/>
    <m/>
    <m/>
    <n v="23"/>
    <x v="1"/>
    <s v="10/05/2023"/>
    <d v="2023-05-10T00:00:00"/>
    <s v="2023024-44"/>
    <x v="0"/>
  </r>
  <r>
    <x v="378"/>
    <n v="2023024"/>
    <x v="24"/>
    <s v="Lentil"/>
    <m/>
    <x v="16"/>
    <s v="N"/>
    <x v="2"/>
    <n v="45"/>
    <n v="23"/>
    <x v="1"/>
    <m/>
    <m/>
    <m/>
    <n v="6"/>
    <m/>
    <m/>
    <m/>
    <m/>
    <m/>
    <n v="1"/>
    <n v="23"/>
    <x v="0"/>
    <n v="12"/>
    <m/>
    <m/>
    <x v="1"/>
    <n v="2"/>
    <x v="0"/>
    <m/>
    <m/>
    <n v="23"/>
    <x v="1"/>
    <s v="10/05/2023"/>
    <d v="2023-05-10T00:00:00"/>
    <s v="2023024-45"/>
    <x v="0"/>
  </r>
  <r>
    <x v="378"/>
    <n v="2023024"/>
    <x v="24"/>
    <s v="Lentil"/>
    <m/>
    <x v="16"/>
    <s v="N"/>
    <x v="1"/>
    <n v="46"/>
    <n v="23"/>
    <x v="1"/>
    <m/>
    <m/>
    <m/>
    <n v="6"/>
    <m/>
    <m/>
    <m/>
    <m/>
    <m/>
    <n v="2"/>
    <n v="23"/>
    <x v="1"/>
    <n v="12"/>
    <m/>
    <n v="47"/>
    <x v="1"/>
    <n v="2"/>
    <x v="0"/>
    <m/>
    <m/>
    <n v="23"/>
    <x v="1"/>
    <s v="10/05/2023"/>
    <d v="2023-05-10T00:00:00"/>
    <s v="2023024-46"/>
    <x v="0"/>
  </r>
  <r>
    <x v="376"/>
    <n v="2023024"/>
    <x v="24"/>
    <s v="Lentil"/>
    <m/>
    <x v="1"/>
    <s v="Y"/>
    <x v="2"/>
    <n v="47"/>
    <n v="24"/>
    <x v="1"/>
    <m/>
    <m/>
    <m/>
    <n v="6"/>
    <m/>
    <m/>
    <m/>
    <m/>
    <m/>
    <n v="3"/>
    <n v="23"/>
    <x v="2"/>
    <n v="12"/>
    <m/>
    <m/>
    <x v="1"/>
    <n v="3"/>
    <x v="0"/>
    <m/>
    <m/>
    <n v="23"/>
    <x v="1"/>
    <s v="10/05/2023"/>
    <d v="2023-05-10T00:00:00"/>
    <s v="2023024-47"/>
    <x v="0"/>
  </r>
  <r>
    <x v="376"/>
    <n v="2023024"/>
    <x v="24"/>
    <s v="Lentil"/>
    <m/>
    <x v="1"/>
    <s v="Y"/>
    <x v="1"/>
    <n v="48"/>
    <n v="24"/>
    <x v="1"/>
    <m/>
    <m/>
    <m/>
    <n v="6"/>
    <m/>
    <m/>
    <m/>
    <m/>
    <m/>
    <n v="4"/>
    <n v="23"/>
    <x v="3"/>
    <n v="12"/>
    <m/>
    <n v="45"/>
    <x v="1"/>
    <n v="3"/>
    <x v="0"/>
    <m/>
    <m/>
    <n v="23"/>
    <x v="1"/>
    <s v="10/05/2023"/>
    <d v="2023-05-10T00:00:00"/>
    <s v="2023024-48"/>
    <x v="0"/>
  </r>
  <r>
    <x v="374"/>
    <n v="2023024"/>
    <x v="24"/>
    <s v="Lentil"/>
    <m/>
    <x v="1"/>
    <s v="Y"/>
    <x v="2"/>
    <n v="49"/>
    <n v="25"/>
    <x v="1"/>
    <m/>
    <m/>
    <m/>
    <n v="7"/>
    <m/>
    <m/>
    <m/>
    <m/>
    <m/>
    <n v="1"/>
    <n v="26"/>
    <x v="0"/>
    <n v="13"/>
    <m/>
    <m/>
    <x v="0"/>
    <n v="3"/>
    <x v="0"/>
    <m/>
    <m/>
    <n v="23"/>
    <x v="2"/>
    <s v="28/06/2023"/>
    <d v="2023-06-28T00:00:00"/>
    <s v="2023024-49"/>
    <x v="0"/>
  </r>
  <r>
    <x v="374"/>
    <n v="2023024"/>
    <x v="24"/>
    <s v="Lentil"/>
    <m/>
    <x v="1"/>
    <s v="Y"/>
    <x v="1"/>
    <n v="50"/>
    <n v="25"/>
    <x v="1"/>
    <m/>
    <m/>
    <m/>
    <n v="7"/>
    <m/>
    <m/>
    <m/>
    <m/>
    <m/>
    <n v="2"/>
    <n v="26"/>
    <x v="1"/>
    <n v="13"/>
    <m/>
    <n v="50"/>
    <x v="0"/>
    <n v="3"/>
    <x v="0"/>
    <m/>
    <m/>
    <n v="23"/>
    <x v="2"/>
    <s v="28/06/2023"/>
    <d v="2023-06-28T00:00:00"/>
    <s v="2023024-50"/>
    <x v="0"/>
  </r>
  <r>
    <x v="372"/>
    <n v="2023024"/>
    <x v="24"/>
    <s v="Lentil"/>
    <m/>
    <x v="16"/>
    <s v="N"/>
    <x v="2"/>
    <n v="51"/>
    <n v="26"/>
    <x v="1"/>
    <m/>
    <m/>
    <m/>
    <n v="7"/>
    <m/>
    <m/>
    <m/>
    <m/>
    <m/>
    <n v="3"/>
    <n v="26"/>
    <x v="2"/>
    <n v="13"/>
    <m/>
    <m/>
    <x v="0"/>
    <n v="2"/>
    <x v="0"/>
    <m/>
    <m/>
    <n v="23"/>
    <x v="2"/>
    <s v="28/06/2023"/>
    <d v="2023-06-28T00:00:00"/>
    <s v="2023024-51"/>
    <x v="0"/>
  </r>
  <r>
    <x v="372"/>
    <n v="2023024"/>
    <x v="24"/>
    <s v="Lentil"/>
    <m/>
    <x v="16"/>
    <s v="N"/>
    <x v="1"/>
    <n v="52"/>
    <n v="26"/>
    <x v="1"/>
    <m/>
    <m/>
    <m/>
    <n v="7"/>
    <m/>
    <m/>
    <m/>
    <m/>
    <m/>
    <n v="4"/>
    <n v="26"/>
    <x v="3"/>
    <n v="13"/>
    <m/>
    <n v="52"/>
    <x v="0"/>
    <n v="2"/>
    <x v="0"/>
    <m/>
    <m/>
    <n v="23"/>
    <x v="2"/>
    <s v="28/06/2023"/>
    <d v="2023-06-28T00:00:00"/>
    <s v="2023024-52"/>
    <x v="0"/>
  </r>
  <r>
    <x v="375"/>
    <n v="2023024"/>
    <x v="24"/>
    <s v="Lentil"/>
    <m/>
    <x v="15"/>
    <s v="Y"/>
    <x v="2"/>
    <n v="53"/>
    <n v="27"/>
    <x v="1"/>
    <m/>
    <m/>
    <m/>
    <n v="7"/>
    <m/>
    <m/>
    <m/>
    <m/>
    <m/>
    <n v="1"/>
    <n v="27"/>
    <x v="0"/>
    <n v="14"/>
    <m/>
    <m/>
    <x v="0"/>
    <n v="4"/>
    <x v="0"/>
    <m/>
    <m/>
    <n v="23"/>
    <x v="2"/>
    <s v="28/06/2023"/>
    <d v="2023-06-28T00:00:00"/>
    <s v="2023024-53"/>
    <x v="0"/>
  </r>
  <r>
    <x v="375"/>
    <n v="2023024"/>
    <x v="24"/>
    <s v="Lentil"/>
    <m/>
    <x v="15"/>
    <s v="Y"/>
    <x v="1"/>
    <n v="54"/>
    <n v="27"/>
    <x v="1"/>
    <m/>
    <m/>
    <m/>
    <n v="7"/>
    <m/>
    <m/>
    <m/>
    <m/>
    <m/>
    <n v="2"/>
    <n v="27"/>
    <x v="1"/>
    <n v="14"/>
    <m/>
    <n v="55"/>
    <x v="0"/>
    <n v="4"/>
    <x v="0"/>
    <m/>
    <m/>
    <n v="23"/>
    <x v="2"/>
    <s v="28/06/2023"/>
    <d v="2023-06-28T00:00:00"/>
    <s v="2023024-54"/>
    <x v="0"/>
  </r>
  <r>
    <x v="373"/>
    <n v="2023024"/>
    <x v="24"/>
    <s v="Lentil"/>
    <m/>
    <x v="14"/>
    <s v="N"/>
    <x v="2"/>
    <n v="55"/>
    <n v="28"/>
    <x v="1"/>
    <m/>
    <m/>
    <m/>
    <n v="7"/>
    <m/>
    <m/>
    <m/>
    <m/>
    <m/>
    <n v="3"/>
    <n v="27"/>
    <x v="2"/>
    <n v="14"/>
    <m/>
    <m/>
    <x v="0"/>
    <n v="1"/>
    <x v="0"/>
    <m/>
    <m/>
    <n v="23"/>
    <x v="2"/>
    <s v="28/06/2023"/>
    <d v="2023-06-28T00:00:00"/>
    <s v="2023024-55"/>
    <x v="0"/>
  </r>
  <r>
    <x v="373"/>
    <n v="2023024"/>
    <x v="24"/>
    <s v="Lentil"/>
    <m/>
    <x v="14"/>
    <s v="N"/>
    <x v="1"/>
    <n v="56"/>
    <n v="28"/>
    <x v="1"/>
    <m/>
    <m/>
    <m/>
    <n v="7"/>
    <m/>
    <m/>
    <m/>
    <m/>
    <m/>
    <n v="4"/>
    <n v="27"/>
    <x v="3"/>
    <n v="14"/>
    <m/>
    <n v="53"/>
    <x v="0"/>
    <n v="1"/>
    <x v="0"/>
    <m/>
    <m/>
    <n v="23"/>
    <x v="2"/>
    <s v="28/06/2023"/>
    <d v="2023-06-28T00:00:00"/>
    <s v="2023024-56"/>
    <x v="0"/>
  </r>
  <r>
    <x v="370"/>
    <n v="2023024"/>
    <x v="24"/>
    <s v="Lentil"/>
    <m/>
    <x v="14"/>
    <s v="N"/>
    <x v="2"/>
    <n v="57"/>
    <n v="29"/>
    <x v="1"/>
    <m/>
    <m/>
    <m/>
    <n v="8"/>
    <m/>
    <m/>
    <m/>
    <m/>
    <m/>
    <n v="1"/>
    <n v="30"/>
    <x v="0"/>
    <n v="15"/>
    <m/>
    <m/>
    <x v="1"/>
    <n v="1"/>
    <x v="0"/>
    <m/>
    <m/>
    <n v="23"/>
    <x v="2"/>
    <s v="28/06/2023"/>
    <d v="2023-06-28T00:00:00"/>
    <s v="2023024-57"/>
    <x v="0"/>
  </r>
  <r>
    <x v="370"/>
    <n v="2023024"/>
    <x v="24"/>
    <s v="Lentil"/>
    <m/>
    <x v="14"/>
    <s v="N"/>
    <x v="1"/>
    <n v="58"/>
    <n v="29"/>
    <x v="1"/>
    <m/>
    <m/>
    <m/>
    <n v="8"/>
    <m/>
    <m/>
    <m/>
    <m/>
    <m/>
    <n v="2"/>
    <n v="30"/>
    <x v="1"/>
    <n v="15"/>
    <m/>
    <n v="58"/>
    <x v="1"/>
    <n v="1"/>
    <x v="0"/>
    <m/>
    <m/>
    <n v="23"/>
    <x v="2"/>
    <s v="28/06/2023"/>
    <d v="2023-06-28T00:00:00"/>
    <s v="2023024-58"/>
    <x v="0"/>
  </r>
  <r>
    <x v="368"/>
    <n v="2023024"/>
    <x v="24"/>
    <s v="Lentil"/>
    <m/>
    <x v="15"/>
    <s v="Y"/>
    <x v="2"/>
    <n v="59"/>
    <n v="30"/>
    <x v="1"/>
    <m/>
    <m/>
    <m/>
    <n v="8"/>
    <m/>
    <m/>
    <m/>
    <m/>
    <m/>
    <n v="3"/>
    <n v="30"/>
    <x v="2"/>
    <n v="15"/>
    <m/>
    <m/>
    <x v="1"/>
    <n v="4"/>
    <x v="0"/>
    <m/>
    <m/>
    <n v="23"/>
    <x v="2"/>
    <s v="28/06/2023"/>
    <d v="2023-06-28T00:00:00"/>
    <s v="2023024-59"/>
    <x v="0"/>
  </r>
  <r>
    <x v="368"/>
    <n v="2023024"/>
    <x v="24"/>
    <s v="Lentil"/>
    <m/>
    <x v="15"/>
    <s v="Y"/>
    <x v="1"/>
    <n v="60"/>
    <n v="30"/>
    <x v="1"/>
    <m/>
    <m/>
    <m/>
    <n v="8"/>
    <m/>
    <m/>
    <m/>
    <m/>
    <m/>
    <n v="4"/>
    <n v="30"/>
    <x v="3"/>
    <n v="15"/>
    <m/>
    <n v="60"/>
    <x v="1"/>
    <n v="4"/>
    <x v="0"/>
    <m/>
    <m/>
    <n v="23"/>
    <x v="2"/>
    <s v="28/06/2023"/>
    <d v="2023-06-28T00:00:00"/>
    <s v="2023024-60"/>
    <x v="0"/>
  </r>
  <r>
    <x v="369"/>
    <n v="2023024"/>
    <x v="24"/>
    <s v="Lentil"/>
    <m/>
    <x v="1"/>
    <s v="Y"/>
    <x v="2"/>
    <n v="61"/>
    <n v="31"/>
    <x v="1"/>
    <m/>
    <m/>
    <m/>
    <n v="8"/>
    <m/>
    <m/>
    <m/>
    <m/>
    <m/>
    <n v="1"/>
    <n v="31"/>
    <x v="0"/>
    <n v="16"/>
    <m/>
    <m/>
    <x v="1"/>
    <n v="3"/>
    <x v="0"/>
    <m/>
    <m/>
    <n v="23"/>
    <x v="2"/>
    <s v="28/06/2023"/>
    <d v="2023-06-28T00:00:00"/>
    <s v="2023024-61"/>
    <x v="0"/>
  </r>
  <r>
    <x v="369"/>
    <n v="2023024"/>
    <x v="24"/>
    <s v="Lentil"/>
    <m/>
    <x v="1"/>
    <s v="Y"/>
    <x v="1"/>
    <n v="62"/>
    <n v="31"/>
    <x v="1"/>
    <m/>
    <m/>
    <m/>
    <n v="8"/>
    <m/>
    <m/>
    <m/>
    <m/>
    <m/>
    <n v="2"/>
    <n v="31"/>
    <x v="1"/>
    <n v="16"/>
    <m/>
    <n v="63"/>
    <x v="1"/>
    <n v="3"/>
    <x v="0"/>
    <m/>
    <m/>
    <n v="23"/>
    <x v="2"/>
    <s v="28/06/2023"/>
    <d v="2023-06-28T00:00:00"/>
    <s v="2023024-62"/>
    <x v="0"/>
  </r>
  <r>
    <x v="371"/>
    <n v="2023024"/>
    <x v="24"/>
    <s v="Lentil"/>
    <m/>
    <x v="16"/>
    <s v="N"/>
    <x v="2"/>
    <n v="63"/>
    <n v="32"/>
    <x v="1"/>
    <m/>
    <m/>
    <m/>
    <n v="8"/>
    <m/>
    <m/>
    <m/>
    <m/>
    <m/>
    <n v="3"/>
    <n v="31"/>
    <x v="2"/>
    <n v="16"/>
    <m/>
    <m/>
    <x v="1"/>
    <n v="2"/>
    <x v="0"/>
    <m/>
    <m/>
    <n v="23"/>
    <x v="2"/>
    <s v="28/06/2023"/>
    <d v="2023-06-28T00:00:00"/>
    <s v="2023024-63"/>
    <x v="0"/>
  </r>
  <r>
    <x v="371"/>
    <n v="2023024"/>
    <x v="24"/>
    <s v="Lentil"/>
    <m/>
    <x v="16"/>
    <s v="N"/>
    <x v="1"/>
    <n v="64"/>
    <n v="32"/>
    <x v="1"/>
    <m/>
    <m/>
    <m/>
    <n v="8"/>
    <m/>
    <m/>
    <m/>
    <m/>
    <m/>
    <n v="4"/>
    <n v="31"/>
    <x v="3"/>
    <n v="16"/>
    <m/>
    <n v="61"/>
    <x v="1"/>
    <n v="2"/>
    <x v="0"/>
    <m/>
    <m/>
    <n v="23"/>
    <x v="2"/>
    <s v="28/06/2023"/>
    <d v="2023-06-28T00:00:00"/>
    <s v="2023024-64"/>
    <x v="0"/>
  </r>
  <r>
    <x v="372"/>
    <n v="2023024"/>
    <x v="24"/>
    <s v="Lentil"/>
    <m/>
    <x v="16"/>
    <s v="N"/>
    <x v="2"/>
    <n v="65"/>
    <n v="33"/>
    <x v="2"/>
    <m/>
    <m/>
    <m/>
    <n v="9"/>
    <m/>
    <m/>
    <m/>
    <m/>
    <m/>
    <n v="1"/>
    <n v="34"/>
    <x v="0"/>
    <n v="17"/>
    <m/>
    <m/>
    <x v="0"/>
    <n v="2"/>
    <x v="0"/>
    <m/>
    <m/>
    <n v="23"/>
    <x v="2"/>
    <s v="28/06/2023"/>
    <d v="2023-06-28T00:00:00"/>
    <s v="2023024-65"/>
    <x v="0"/>
  </r>
  <r>
    <x v="372"/>
    <n v="2023024"/>
    <x v="24"/>
    <s v="Lentil"/>
    <m/>
    <x v="16"/>
    <s v="N"/>
    <x v="1"/>
    <n v="66"/>
    <n v="33"/>
    <x v="2"/>
    <m/>
    <m/>
    <m/>
    <n v="9"/>
    <m/>
    <m/>
    <m/>
    <m/>
    <m/>
    <n v="2"/>
    <n v="34"/>
    <x v="1"/>
    <n v="17"/>
    <m/>
    <n v="66"/>
    <x v="0"/>
    <n v="2"/>
    <x v="0"/>
    <m/>
    <m/>
    <n v="23"/>
    <x v="2"/>
    <s v="28/06/2023"/>
    <d v="2023-06-28T00:00:00"/>
    <s v="2023024-66"/>
    <x v="0"/>
  </r>
  <r>
    <x v="375"/>
    <n v="2023024"/>
    <x v="24"/>
    <s v="Lentil"/>
    <m/>
    <x v="15"/>
    <s v="Y"/>
    <x v="2"/>
    <n v="67"/>
    <n v="34"/>
    <x v="2"/>
    <m/>
    <m/>
    <m/>
    <n v="9"/>
    <m/>
    <m/>
    <m/>
    <m/>
    <m/>
    <n v="3"/>
    <n v="34"/>
    <x v="2"/>
    <n v="17"/>
    <m/>
    <m/>
    <x v="0"/>
    <n v="4"/>
    <x v="0"/>
    <m/>
    <m/>
    <n v="23"/>
    <x v="2"/>
    <s v="28/06/2023"/>
    <d v="2023-06-28T00:00:00"/>
    <s v="2023024-67"/>
    <x v="0"/>
  </r>
  <r>
    <x v="375"/>
    <n v="2023024"/>
    <x v="24"/>
    <s v="Lentil"/>
    <m/>
    <x v="15"/>
    <s v="Y"/>
    <x v="1"/>
    <n v="68"/>
    <n v="34"/>
    <x v="2"/>
    <m/>
    <m/>
    <m/>
    <n v="9"/>
    <m/>
    <m/>
    <m/>
    <m/>
    <m/>
    <n v="4"/>
    <n v="34"/>
    <x v="3"/>
    <n v="17"/>
    <m/>
    <n v="68"/>
    <x v="0"/>
    <n v="4"/>
    <x v="0"/>
    <m/>
    <m/>
    <n v="23"/>
    <x v="2"/>
    <s v="28/06/2023"/>
    <d v="2023-06-28T00:00:00"/>
    <s v="2023024-68"/>
    <x v="0"/>
  </r>
  <r>
    <x v="373"/>
    <n v="2023024"/>
    <x v="24"/>
    <s v="Lentil"/>
    <m/>
    <x v="14"/>
    <s v="N"/>
    <x v="2"/>
    <n v="69"/>
    <n v="35"/>
    <x v="2"/>
    <m/>
    <m/>
    <m/>
    <n v="9"/>
    <m/>
    <m/>
    <m/>
    <m/>
    <m/>
    <n v="1"/>
    <n v="35"/>
    <x v="0"/>
    <n v="18"/>
    <m/>
    <m/>
    <x v="0"/>
    <n v="1"/>
    <x v="0"/>
    <m/>
    <m/>
    <n v="23"/>
    <x v="2"/>
    <s v="28/06/2023"/>
    <d v="2023-06-28T00:00:00"/>
    <s v="2023024-69"/>
    <x v="0"/>
  </r>
  <r>
    <x v="373"/>
    <n v="2023024"/>
    <x v="24"/>
    <s v="Lentil"/>
    <m/>
    <x v="14"/>
    <s v="N"/>
    <x v="1"/>
    <n v="70"/>
    <n v="35"/>
    <x v="2"/>
    <m/>
    <m/>
    <m/>
    <n v="9"/>
    <m/>
    <m/>
    <m/>
    <m/>
    <m/>
    <n v="2"/>
    <n v="35"/>
    <x v="1"/>
    <n v="18"/>
    <m/>
    <n v="71"/>
    <x v="0"/>
    <n v="1"/>
    <x v="0"/>
    <m/>
    <m/>
    <n v="23"/>
    <x v="2"/>
    <s v="28/06/2023"/>
    <d v="2023-06-28T00:00:00"/>
    <s v="2023024-70"/>
    <x v="0"/>
  </r>
  <r>
    <x v="374"/>
    <n v="2023024"/>
    <x v="24"/>
    <s v="Lentil"/>
    <m/>
    <x v="1"/>
    <s v="Y"/>
    <x v="2"/>
    <n v="71"/>
    <n v="36"/>
    <x v="2"/>
    <m/>
    <m/>
    <m/>
    <n v="9"/>
    <m/>
    <m/>
    <m/>
    <m/>
    <m/>
    <n v="3"/>
    <n v="35"/>
    <x v="2"/>
    <n v="18"/>
    <m/>
    <m/>
    <x v="0"/>
    <n v="3"/>
    <x v="0"/>
    <m/>
    <m/>
    <n v="23"/>
    <x v="2"/>
    <s v="28/06/2023"/>
    <d v="2023-06-28T00:00:00"/>
    <s v="2023024-71"/>
    <x v="0"/>
  </r>
  <r>
    <x v="374"/>
    <n v="2023024"/>
    <x v="24"/>
    <s v="Lentil"/>
    <m/>
    <x v="1"/>
    <s v="Y"/>
    <x v="1"/>
    <n v="72"/>
    <n v="36"/>
    <x v="2"/>
    <m/>
    <m/>
    <m/>
    <n v="9"/>
    <m/>
    <m/>
    <m/>
    <m/>
    <m/>
    <n v="4"/>
    <n v="35"/>
    <x v="3"/>
    <n v="18"/>
    <m/>
    <n v="69"/>
    <x v="0"/>
    <n v="3"/>
    <x v="0"/>
    <m/>
    <m/>
    <n v="23"/>
    <x v="2"/>
    <s v="28/06/2023"/>
    <d v="2023-06-28T00:00:00"/>
    <s v="2023024-72"/>
    <x v="0"/>
  </r>
  <r>
    <x v="383"/>
    <n v="2023024"/>
    <x v="24"/>
    <s v="Lentil"/>
    <m/>
    <x v="1"/>
    <s v="Y"/>
    <x v="2"/>
    <n v="73"/>
    <n v="37"/>
    <x v="2"/>
    <m/>
    <m/>
    <m/>
    <n v="10"/>
    <m/>
    <m/>
    <m/>
    <m/>
    <m/>
    <n v="1"/>
    <n v="38"/>
    <x v="0"/>
    <n v="19"/>
    <m/>
    <m/>
    <x v="0"/>
    <n v="3"/>
    <x v="0"/>
    <m/>
    <m/>
    <n v="23"/>
    <x v="1"/>
    <s v="10/05/2023"/>
    <d v="2023-05-10T00:00:00"/>
    <s v="2023024-73"/>
    <x v="0"/>
  </r>
  <r>
    <x v="383"/>
    <n v="2023024"/>
    <x v="24"/>
    <s v="Lentil"/>
    <m/>
    <x v="1"/>
    <s v="Y"/>
    <x v="1"/>
    <n v="74"/>
    <n v="37"/>
    <x v="2"/>
    <m/>
    <m/>
    <m/>
    <n v="10"/>
    <m/>
    <m/>
    <m/>
    <m/>
    <m/>
    <n v="2"/>
    <n v="38"/>
    <x v="1"/>
    <n v="19"/>
    <m/>
    <n v="74"/>
    <x v="0"/>
    <n v="3"/>
    <x v="0"/>
    <m/>
    <m/>
    <n v="23"/>
    <x v="1"/>
    <s v="10/05/2023"/>
    <d v="2023-05-10T00:00:00"/>
    <s v="2023024-74"/>
    <x v="0"/>
  </r>
  <r>
    <x v="380"/>
    <n v="2023024"/>
    <x v="24"/>
    <s v="Lentil"/>
    <m/>
    <x v="14"/>
    <s v="N"/>
    <x v="2"/>
    <n v="75"/>
    <n v="38"/>
    <x v="2"/>
    <m/>
    <m/>
    <m/>
    <n v="10"/>
    <m/>
    <m/>
    <m/>
    <m/>
    <m/>
    <n v="3"/>
    <n v="38"/>
    <x v="2"/>
    <n v="19"/>
    <m/>
    <m/>
    <x v="0"/>
    <n v="1"/>
    <x v="0"/>
    <m/>
    <m/>
    <n v="23"/>
    <x v="1"/>
    <s v="10/05/2023"/>
    <d v="2023-05-10T00:00:00"/>
    <s v="2023024-75"/>
    <x v="0"/>
  </r>
  <r>
    <x v="380"/>
    <n v="2023024"/>
    <x v="24"/>
    <s v="Lentil"/>
    <m/>
    <x v="14"/>
    <s v="N"/>
    <x v="1"/>
    <n v="76"/>
    <n v="38"/>
    <x v="2"/>
    <m/>
    <m/>
    <m/>
    <n v="10"/>
    <m/>
    <m/>
    <m/>
    <m/>
    <m/>
    <n v="4"/>
    <n v="38"/>
    <x v="3"/>
    <n v="19"/>
    <m/>
    <n v="76"/>
    <x v="0"/>
    <n v="1"/>
    <x v="0"/>
    <m/>
    <m/>
    <n v="23"/>
    <x v="1"/>
    <s v="10/05/2023"/>
    <d v="2023-05-10T00:00:00"/>
    <s v="2023024-76"/>
    <x v="0"/>
  </r>
  <r>
    <x v="382"/>
    <n v="2023024"/>
    <x v="24"/>
    <s v="Lentil"/>
    <m/>
    <x v="15"/>
    <s v="Y"/>
    <x v="2"/>
    <n v="77"/>
    <n v="39"/>
    <x v="2"/>
    <m/>
    <m/>
    <m/>
    <n v="10"/>
    <m/>
    <m/>
    <m/>
    <m/>
    <m/>
    <n v="1"/>
    <n v="39"/>
    <x v="0"/>
    <n v="20"/>
    <m/>
    <m/>
    <x v="0"/>
    <n v="4"/>
    <x v="0"/>
    <m/>
    <m/>
    <n v="23"/>
    <x v="1"/>
    <s v="10/05/2023"/>
    <d v="2023-05-10T00:00:00"/>
    <s v="2023024-77"/>
    <x v="0"/>
  </r>
  <r>
    <x v="382"/>
    <n v="2023024"/>
    <x v="24"/>
    <s v="Lentil"/>
    <m/>
    <x v="15"/>
    <s v="Y"/>
    <x v="1"/>
    <n v="78"/>
    <n v="39"/>
    <x v="2"/>
    <m/>
    <m/>
    <m/>
    <n v="10"/>
    <m/>
    <m/>
    <m/>
    <m/>
    <m/>
    <n v="2"/>
    <n v="39"/>
    <x v="1"/>
    <n v="20"/>
    <m/>
    <n v="79"/>
    <x v="0"/>
    <n v="4"/>
    <x v="0"/>
    <m/>
    <m/>
    <n v="23"/>
    <x v="1"/>
    <s v="10/05/2023"/>
    <d v="2023-05-10T00:00:00"/>
    <s v="2023024-78"/>
    <x v="0"/>
  </r>
  <r>
    <x v="381"/>
    <n v="2023024"/>
    <x v="24"/>
    <s v="Lentil"/>
    <m/>
    <x v="16"/>
    <s v="N"/>
    <x v="2"/>
    <n v="79"/>
    <n v="40"/>
    <x v="2"/>
    <m/>
    <m/>
    <m/>
    <n v="10"/>
    <m/>
    <m/>
    <m/>
    <m/>
    <m/>
    <n v="3"/>
    <n v="39"/>
    <x v="2"/>
    <n v="20"/>
    <m/>
    <m/>
    <x v="0"/>
    <n v="2"/>
    <x v="0"/>
    <m/>
    <m/>
    <n v="23"/>
    <x v="1"/>
    <s v="10/05/2023"/>
    <d v="2023-05-10T00:00:00"/>
    <s v="2023024-79"/>
    <x v="0"/>
  </r>
  <r>
    <x v="381"/>
    <n v="2023024"/>
    <x v="24"/>
    <s v="Lentil"/>
    <m/>
    <x v="16"/>
    <s v="N"/>
    <x v="1"/>
    <n v="80"/>
    <n v="40"/>
    <x v="2"/>
    <m/>
    <m/>
    <m/>
    <n v="10"/>
    <m/>
    <m/>
    <m/>
    <m/>
    <m/>
    <n v="4"/>
    <n v="39"/>
    <x v="3"/>
    <n v="20"/>
    <m/>
    <n v="77"/>
    <x v="0"/>
    <n v="2"/>
    <x v="0"/>
    <m/>
    <m/>
    <n v="23"/>
    <x v="1"/>
    <s v="10/05/2023"/>
    <d v="2023-05-10T00:00:00"/>
    <s v="2023024-80"/>
    <x v="0"/>
  </r>
  <r>
    <x v="368"/>
    <n v="2023024"/>
    <x v="24"/>
    <s v="Lentil"/>
    <m/>
    <x v="15"/>
    <s v="Y"/>
    <x v="2"/>
    <n v="81"/>
    <n v="41"/>
    <x v="2"/>
    <m/>
    <m/>
    <m/>
    <n v="11"/>
    <m/>
    <m/>
    <m/>
    <m/>
    <m/>
    <n v="1"/>
    <n v="42"/>
    <x v="0"/>
    <n v="21"/>
    <m/>
    <m/>
    <x v="1"/>
    <n v="4"/>
    <x v="0"/>
    <m/>
    <m/>
    <n v="23"/>
    <x v="2"/>
    <s v="28/06/2023"/>
    <d v="2023-06-28T00:00:00"/>
    <s v="2023024-81"/>
    <x v="0"/>
  </r>
  <r>
    <x v="368"/>
    <n v="2023024"/>
    <x v="24"/>
    <s v="Lentil"/>
    <m/>
    <x v="15"/>
    <s v="Y"/>
    <x v="1"/>
    <n v="82"/>
    <n v="41"/>
    <x v="2"/>
    <m/>
    <m/>
    <m/>
    <n v="11"/>
    <m/>
    <m/>
    <m/>
    <m/>
    <m/>
    <n v="2"/>
    <n v="42"/>
    <x v="1"/>
    <n v="21"/>
    <m/>
    <n v="82"/>
    <x v="1"/>
    <n v="4"/>
    <x v="0"/>
    <m/>
    <m/>
    <n v="23"/>
    <x v="2"/>
    <s v="28/06/2023"/>
    <d v="2023-06-28T00:00:00"/>
    <s v="2023024-82"/>
    <x v="0"/>
  </r>
  <r>
    <x v="369"/>
    <n v="2023024"/>
    <x v="24"/>
    <s v="Lentil"/>
    <m/>
    <x v="1"/>
    <s v="Y"/>
    <x v="2"/>
    <n v="83"/>
    <n v="42"/>
    <x v="2"/>
    <m/>
    <m/>
    <m/>
    <n v="11"/>
    <m/>
    <m/>
    <m/>
    <m/>
    <m/>
    <n v="3"/>
    <n v="42"/>
    <x v="2"/>
    <n v="21"/>
    <m/>
    <m/>
    <x v="1"/>
    <n v="3"/>
    <x v="0"/>
    <m/>
    <m/>
    <n v="23"/>
    <x v="2"/>
    <s v="28/06/2023"/>
    <d v="2023-06-28T00:00:00"/>
    <s v="2023024-83"/>
    <x v="0"/>
  </r>
  <r>
    <x v="369"/>
    <n v="2023024"/>
    <x v="24"/>
    <s v="Lentil"/>
    <m/>
    <x v="1"/>
    <s v="Y"/>
    <x v="1"/>
    <n v="84"/>
    <n v="42"/>
    <x v="2"/>
    <m/>
    <m/>
    <m/>
    <n v="11"/>
    <m/>
    <m/>
    <m/>
    <m/>
    <m/>
    <n v="4"/>
    <n v="42"/>
    <x v="3"/>
    <n v="21"/>
    <m/>
    <n v="84"/>
    <x v="1"/>
    <n v="3"/>
    <x v="0"/>
    <m/>
    <m/>
    <n v="23"/>
    <x v="2"/>
    <s v="28/06/2023"/>
    <d v="2023-06-28T00:00:00"/>
    <s v="2023024-84"/>
    <x v="0"/>
  </r>
  <r>
    <x v="371"/>
    <n v="2023024"/>
    <x v="24"/>
    <s v="Lentil"/>
    <m/>
    <x v="16"/>
    <s v="N"/>
    <x v="2"/>
    <n v="85"/>
    <n v="43"/>
    <x v="2"/>
    <m/>
    <m/>
    <m/>
    <n v="11"/>
    <m/>
    <m/>
    <m/>
    <m/>
    <m/>
    <n v="1"/>
    <n v="43"/>
    <x v="0"/>
    <n v="22"/>
    <m/>
    <m/>
    <x v="1"/>
    <n v="2"/>
    <x v="0"/>
    <m/>
    <m/>
    <n v="23"/>
    <x v="2"/>
    <s v="28/06/2023"/>
    <d v="2023-06-28T00:00:00"/>
    <s v="2023024-85"/>
    <x v="0"/>
  </r>
  <r>
    <x v="371"/>
    <n v="2023024"/>
    <x v="24"/>
    <s v="Lentil"/>
    <m/>
    <x v="16"/>
    <s v="N"/>
    <x v="1"/>
    <n v="86"/>
    <n v="43"/>
    <x v="2"/>
    <m/>
    <m/>
    <m/>
    <n v="11"/>
    <m/>
    <m/>
    <m/>
    <m/>
    <m/>
    <n v="2"/>
    <n v="43"/>
    <x v="1"/>
    <n v="22"/>
    <m/>
    <n v="87"/>
    <x v="1"/>
    <n v="2"/>
    <x v="0"/>
    <m/>
    <m/>
    <n v="23"/>
    <x v="2"/>
    <s v="28/06/2023"/>
    <d v="2023-06-28T00:00:00"/>
    <s v="2023024-86"/>
    <x v="0"/>
  </r>
  <r>
    <x v="370"/>
    <n v="2023024"/>
    <x v="24"/>
    <s v="Lentil"/>
    <m/>
    <x v="14"/>
    <s v="N"/>
    <x v="2"/>
    <n v="87"/>
    <n v="44"/>
    <x v="2"/>
    <m/>
    <m/>
    <m/>
    <n v="11"/>
    <m/>
    <m/>
    <m/>
    <m/>
    <m/>
    <n v="3"/>
    <n v="43"/>
    <x v="2"/>
    <n v="22"/>
    <m/>
    <m/>
    <x v="1"/>
    <n v="1"/>
    <x v="0"/>
    <m/>
    <m/>
    <n v="23"/>
    <x v="2"/>
    <s v="28/06/2023"/>
    <d v="2023-06-28T00:00:00"/>
    <s v="2023024-87"/>
    <x v="0"/>
  </r>
  <r>
    <x v="370"/>
    <n v="2023024"/>
    <x v="24"/>
    <s v="Lentil"/>
    <m/>
    <x v="14"/>
    <s v="N"/>
    <x v="1"/>
    <n v="88"/>
    <n v="44"/>
    <x v="2"/>
    <m/>
    <m/>
    <m/>
    <n v="11"/>
    <m/>
    <m/>
    <m/>
    <m/>
    <m/>
    <n v="4"/>
    <n v="43"/>
    <x v="3"/>
    <n v="22"/>
    <m/>
    <n v="85"/>
    <x v="1"/>
    <n v="1"/>
    <x v="0"/>
    <m/>
    <m/>
    <n v="23"/>
    <x v="2"/>
    <s v="28/06/2023"/>
    <d v="2023-06-28T00:00:00"/>
    <s v="2023024-88"/>
    <x v="0"/>
  </r>
  <r>
    <x v="379"/>
    <n v="2023024"/>
    <x v="24"/>
    <s v="Lentil"/>
    <m/>
    <x v="14"/>
    <s v="N"/>
    <x v="2"/>
    <n v="89"/>
    <n v="45"/>
    <x v="2"/>
    <m/>
    <m/>
    <m/>
    <n v="12"/>
    <m/>
    <m/>
    <m/>
    <m/>
    <m/>
    <n v="1"/>
    <n v="46"/>
    <x v="0"/>
    <n v="23"/>
    <m/>
    <m/>
    <x v="1"/>
    <n v="1"/>
    <x v="0"/>
    <m/>
    <m/>
    <n v="23"/>
    <x v="1"/>
    <s v="10/05/2023"/>
    <d v="2023-05-10T00:00:00"/>
    <s v="2023024-89"/>
    <x v="0"/>
  </r>
  <r>
    <x v="379"/>
    <n v="2023024"/>
    <x v="24"/>
    <s v="Lentil"/>
    <m/>
    <x v="14"/>
    <s v="N"/>
    <x v="1"/>
    <n v="90"/>
    <n v="45"/>
    <x v="2"/>
    <m/>
    <m/>
    <m/>
    <n v="12"/>
    <m/>
    <m/>
    <m/>
    <m/>
    <m/>
    <n v="2"/>
    <n v="46"/>
    <x v="1"/>
    <n v="23"/>
    <m/>
    <n v="90"/>
    <x v="1"/>
    <n v="1"/>
    <x v="0"/>
    <m/>
    <m/>
    <n v="23"/>
    <x v="1"/>
    <s v="10/05/2023"/>
    <d v="2023-05-10T00:00:00"/>
    <s v="2023024-90"/>
    <x v="0"/>
  </r>
  <r>
    <x v="378"/>
    <n v="2023024"/>
    <x v="24"/>
    <s v="Lentil"/>
    <m/>
    <x v="16"/>
    <s v="N"/>
    <x v="2"/>
    <n v="91"/>
    <n v="46"/>
    <x v="2"/>
    <m/>
    <m/>
    <m/>
    <n v="12"/>
    <m/>
    <m/>
    <m/>
    <m/>
    <m/>
    <n v="3"/>
    <n v="46"/>
    <x v="2"/>
    <n v="23"/>
    <m/>
    <m/>
    <x v="1"/>
    <n v="2"/>
    <x v="0"/>
    <m/>
    <m/>
    <n v="23"/>
    <x v="1"/>
    <s v="10/05/2023"/>
    <d v="2023-05-10T00:00:00"/>
    <s v="2023024-91"/>
    <x v="0"/>
  </r>
  <r>
    <x v="378"/>
    <n v="2023024"/>
    <x v="24"/>
    <s v="Lentil"/>
    <m/>
    <x v="16"/>
    <s v="N"/>
    <x v="1"/>
    <n v="92"/>
    <n v="46"/>
    <x v="2"/>
    <m/>
    <m/>
    <m/>
    <n v="12"/>
    <m/>
    <m/>
    <m/>
    <m/>
    <m/>
    <n v="4"/>
    <n v="46"/>
    <x v="3"/>
    <n v="23"/>
    <m/>
    <n v="92"/>
    <x v="1"/>
    <n v="2"/>
    <x v="0"/>
    <m/>
    <m/>
    <n v="23"/>
    <x v="1"/>
    <s v="10/05/2023"/>
    <d v="2023-05-10T00:00:00"/>
    <s v="2023024-92"/>
    <x v="0"/>
  </r>
  <r>
    <x v="376"/>
    <n v="2023024"/>
    <x v="24"/>
    <s v="Lentil"/>
    <m/>
    <x v="1"/>
    <s v="Y"/>
    <x v="2"/>
    <n v="93"/>
    <n v="47"/>
    <x v="2"/>
    <m/>
    <m/>
    <m/>
    <n v="12"/>
    <m/>
    <m/>
    <m/>
    <m/>
    <m/>
    <n v="1"/>
    <n v="47"/>
    <x v="0"/>
    <n v="24"/>
    <m/>
    <m/>
    <x v="1"/>
    <n v="3"/>
    <x v="0"/>
    <m/>
    <m/>
    <n v="23"/>
    <x v="1"/>
    <s v="10/05/2023"/>
    <d v="2023-05-10T00:00:00"/>
    <s v="2023024-93"/>
    <x v="0"/>
  </r>
  <r>
    <x v="376"/>
    <n v="2023024"/>
    <x v="24"/>
    <s v="Lentil"/>
    <m/>
    <x v="1"/>
    <s v="Y"/>
    <x v="1"/>
    <n v="94"/>
    <n v="47"/>
    <x v="2"/>
    <m/>
    <m/>
    <m/>
    <n v="12"/>
    <m/>
    <m/>
    <m/>
    <m/>
    <m/>
    <n v="2"/>
    <n v="47"/>
    <x v="1"/>
    <n v="24"/>
    <m/>
    <n v="95"/>
    <x v="1"/>
    <n v="3"/>
    <x v="0"/>
    <m/>
    <m/>
    <n v="23"/>
    <x v="1"/>
    <s v="10/05/2023"/>
    <d v="2023-05-10T00:00:00"/>
    <s v="2023024-94"/>
    <x v="0"/>
  </r>
  <r>
    <x v="377"/>
    <n v="2023024"/>
    <x v="24"/>
    <s v="Lentil"/>
    <m/>
    <x v="15"/>
    <s v="Y"/>
    <x v="2"/>
    <n v="95"/>
    <n v="48"/>
    <x v="2"/>
    <m/>
    <m/>
    <m/>
    <n v="12"/>
    <m/>
    <m/>
    <m/>
    <m/>
    <m/>
    <n v="3"/>
    <n v="47"/>
    <x v="2"/>
    <n v="24"/>
    <m/>
    <m/>
    <x v="1"/>
    <n v="4"/>
    <x v="0"/>
    <m/>
    <m/>
    <n v="23"/>
    <x v="1"/>
    <s v="10/05/2023"/>
    <d v="2023-05-10T00:00:00"/>
    <s v="2023024-95"/>
    <x v="0"/>
  </r>
  <r>
    <x v="377"/>
    <n v="2023024"/>
    <x v="24"/>
    <s v="Lentil"/>
    <m/>
    <x v="15"/>
    <s v="Y"/>
    <x v="1"/>
    <n v="96"/>
    <n v="48"/>
    <x v="2"/>
    <m/>
    <m/>
    <m/>
    <n v="12"/>
    <m/>
    <m/>
    <m/>
    <m/>
    <m/>
    <n v="4"/>
    <n v="47"/>
    <x v="3"/>
    <n v="24"/>
    <m/>
    <n v="93"/>
    <x v="1"/>
    <n v="4"/>
    <x v="0"/>
    <m/>
    <m/>
    <n v="23"/>
    <x v="1"/>
    <s v="10/05/2023"/>
    <d v="2023-05-10T00:00:00"/>
    <s v="2023024-96"/>
    <x v="0"/>
  </r>
  <r>
    <x v="378"/>
    <n v="2023024"/>
    <x v="24"/>
    <s v="Lentil"/>
    <m/>
    <x v="16"/>
    <s v="N"/>
    <x v="2"/>
    <n v="97"/>
    <n v="49"/>
    <x v="3"/>
    <m/>
    <m/>
    <m/>
    <n v="13"/>
    <m/>
    <m/>
    <m/>
    <m/>
    <m/>
    <n v="1"/>
    <n v="50"/>
    <x v="0"/>
    <n v="25"/>
    <m/>
    <m/>
    <x v="1"/>
    <n v="2"/>
    <x v="0"/>
    <m/>
    <m/>
    <n v="23"/>
    <x v="1"/>
    <s v="10/05/2023"/>
    <d v="2023-05-10T00:00:00"/>
    <s v="2023024-97"/>
    <x v="0"/>
  </r>
  <r>
    <x v="378"/>
    <n v="2023024"/>
    <x v="24"/>
    <s v="Lentil"/>
    <m/>
    <x v="16"/>
    <s v="N"/>
    <x v="1"/>
    <n v="98"/>
    <n v="49"/>
    <x v="3"/>
    <m/>
    <m/>
    <m/>
    <n v="13"/>
    <m/>
    <m/>
    <m/>
    <m/>
    <m/>
    <n v="2"/>
    <n v="50"/>
    <x v="1"/>
    <n v="25"/>
    <m/>
    <n v="98"/>
    <x v="1"/>
    <n v="2"/>
    <x v="0"/>
    <m/>
    <m/>
    <n v="23"/>
    <x v="1"/>
    <s v="10/05/2023"/>
    <d v="2023-05-10T00:00:00"/>
    <s v="2023024-98"/>
    <x v="0"/>
  </r>
  <r>
    <x v="377"/>
    <n v="2023024"/>
    <x v="24"/>
    <s v="Lentil"/>
    <m/>
    <x v="15"/>
    <s v="Y"/>
    <x v="2"/>
    <n v="99"/>
    <n v="50"/>
    <x v="3"/>
    <m/>
    <m/>
    <m/>
    <n v="13"/>
    <m/>
    <m/>
    <m/>
    <m/>
    <m/>
    <n v="3"/>
    <n v="50"/>
    <x v="2"/>
    <n v="25"/>
    <m/>
    <m/>
    <x v="1"/>
    <n v="4"/>
    <x v="0"/>
    <m/>
    <m/>
    <n v="23"/>
    <x v="1"/>
    <s v="10/05/2023"/>
    <d v="2023-05-10T00:00:00"/>
    <s v="2023024-99"/>
    <x v="0"/>
  </r>
  <r>
    <x v="377"/>
    <n v="2023024"/>
    <x v="24"/>
    <s v="Lentil"/>
    <m/>
    <x v="15"/>
    <s v="Y"/>
    <x v="1"/>
    <n v="100"/>
    <n v="50"/>
    <x v="3"/>
    <m/>
    <m/>
    <m/>
    <n v="13"/>
    <m/>
    <m/>
    <m/>
    <m/>
    <m/>
    <n v="4"/>
    <n v="50"/>
    <x v="3"/>
    <n v="25"/>
    <m/>
    <n v="100"/>
    <x v="1"/>
    <n v="4"/>
    <x v="0"/>
    <m/>
    <m/>
    <n v="23"/>
    <x v="1"/>
    <s v="10/05/2023"/>
    <d v="2023-05-10T00:00:00"/>
    <s v="2023024-100"/>
    <x v="0"/>
  </r>
  <r>
    <x v="379"/>
    <n v="2023024"/>
    <x v="24"/>
    <s v="Lentil"/>
    <m/>
    <x v="14"/>
    <s v="N"/>
    <x v="2"/>
    <n v="101"/>
    <n v="51"/>
    <x v="3"/>
    <m/>
    <m/>
    <m/>
    <n v="13"/>
    <m/>
    <m/>
    <m/>
    <m/>
    <m/>
    <n v="1"/>
    <n v="51"/>
    <x v="0"/>
    <n v="26"/>
    <m/>
    <m/>
    <x v="1"/>
    <n v="1"/>
    <x v="0"/>
    <m/>
    <m/>
    <n v="23"/>
    <x v="1"/>
    <s v="10/05/2023"/>
    <d v="2023-05-10T00:00:00"/>
    <s v="2023024-101"/>
    <x v="0"/>
  </r>
  <r>
    <x v="379"/>
    <n v="2023024"/>
    <x v="24"/>
    <s v="Lentil"/>
    <m/>
    <x v="14"/>
    <s v="N"/>
    <x v="1"/>
    <n v="102"/>
    <n v="51"/>
    <x v="3"/>
    <m/>
    <m/>
    <m/>
    <n v="13"/>
    <m/>
    <m/>
    <m/>
    <m/>
    <m/>
    <n v="2"/>
    <n v="51"/>
    <x v="1"/>
    <n v="26"/>
    <m/>
    <n v="103"/>
    <x v="1"/>
    <n v="1"/>
    <x v="0"/>
    <m/>
    <m/>
    <n v="23"/>
    <x v="1"/>
    <s v="10/05/2023"/>
    <d v="2023-05-10T00:00:00"/>
    <s v="2023024-102"/>
    <x v="0"/>
  </r>
  <r>
    <x v="376"/>
    <n v="2023024"/>
    <x v="24"/>
    <s v="Lentil"/>
    <m/>
    <x v="1"/>
    <s v="Y"/>
    <x v="2"/>
    <n v="103"/>
    <n v="52"/>
    <x v="3"/>
    <m/>
    <m/>
    <m/>
    <n v="13"/>
    <m/>
    <m/>
    <m/>
    <m/>
    <m/>
    <n v="3"/>
    <n v="51"/>
    <x v="2"/>
    <n v="26"/>
    <m/>
    <m/>
    <x v="1"/>
    <n v="3"/>
    <x v="0"/>
    <m/>
    <m/>
    <n v="23"/>
    <x v="1"/>
    <s v="10/05/2023"/>
    <d v="2023-05-10T00:00:00"/>
    <s v="2023024-103"/>
    <x v="0"/>
  </r>
  <r>
    <x v="376"/>
    <n v="2023024"/>
    <x v="24"/>
    <s v="Lentil"/>
    <m/>
    <x v="1"/>
    <s v="Y"/>
    <x v="1"/>
    <n v="104"/>
    <n v="52"/>
    <x v="3"/>
    <m/>
    <m/>
    <m/>
    <n v="13"/>
    <m/>
    <m/>
    <m/>
    <m/>
    <m/>
    <n v="4"/>
    <n v="51"/>
    <x v="3"/>
    <n v="26"/>
    <m/>
    <n v="101"/>
    <x v="1"/>
    <n v="3"/>
    <x v="0"/>
    <m/>
    <m/>
    <n v="23"/>
    <x v="1"/>
    <s v="10/05/2023"/>
    <d v="2023-05-10T00:00:00"/>
    <s v="2023024-104"/>
    <x v="0"/>
  </r>
  <r>
    <x v="368"/>
    <n v="2023024"/>
    <x v="24"/>
    <s v="Lentil"/>
    <m/>
    <x v="15"/>
    <s v="Y"/>
    <x v="2"/>
    <n v="105"/>
    <n v="53"/>
    <x v="3"/>
    <m/>
    <m/>
    <m/>
    <n v="14"/>
    <m/>
    <m/>
    <m/>
    <m/>
    <m/>
    <n v="1"/>
    <n v="54"/>
    <x v="0"/>
    <n v="27"/>
    <m/>
    <m/>
    <x v="1"/>
    <n v="4"/>
    <x v="0"/>
    <m/>
    <m/>
    <n v="23"/>
    <x v="2"/>
    <s v="28/06/2023"/>
    <d v="2023-06-28T00:00:00"/>
    <s v="2023024-105"/>
    <x v="0"/>
  </r>
  <r>
    <x v="368"/>
    <n v="2023024"/>
    <x v="24"/>
    <s v="Lentil"/>
    <m/>
    <x v="15"/>
    <s v="Y"/>
    <x v="1"/>
    <n v="106"/>
    <n v="53"/>
    <x v="3"/>
    <m/>
    <m/>
    <m/>
    <n v="14"/>
    <m/>
    <m/>
    <m/>
    <m/>
    <m/>
    <n v="2"/>
    <n v="54"/>
    <x v="1"/>
    <n v="27"/>
    <m/>
    <n v="106"/>
    <x v="1"/>
    <n v="4"/>
    <x v="0"/>
    <m/>
    <m/>
    <n v="23"/>
    <x v="2"/>
    <s v="28/06/2023"/>
    <d v="2023-06-28T00:00:00"/>
    <s v="2023024-106"/>
    <x v="0"/>
  </r>
  <r>
    <x v="371"/>
    <n v="2023024"/>
    <x v="24"/>
    <s v="Lentil"/>
    <m/>
    <x v="16"/>
    <s v="N"/>
    <x v="2"/>
    <n v="107"/>
    <n v="54"/>
    <x v="3"/>
    <m/>
    <m/>
    <m/>
    <n v="14"/>
    <m/>
    <m/>
    <m/>
    <m/>
    <m/>
    <n v="3"/>
    <n v="54"/>
    <x v="2"/>
    <n v="27"/>
    <m/>
    <m/>
    <x v="1"/>
    <n v="2"/>
    <x v="0"/>
    <m/>
    <m/>
    <n v="23"/>
    <x v="2"/>
    <s v="28/06/2023"/>
    <d v="2023-06-28T00:00:00"/>
    <s v="2023024-107"/>
    <x v="0"/>
  </r>
  <r>
    <x v="371"/>
    <n v="2023024"/>
    <x v="24"/>
    <s v="Lentil"/>
    <m/>
    <x v="16"/>
    <s v="N"/>
    <x v="1"/>
    <n v="108"/>
    <n v="54"/>
    <x v="3"/>
    <m/>
    <m/>
    <m/>
    <n v="14"/>
    <m/>
    <m/>
    <m/>
    <m/>
    <m/>
    <n v="4"/>
    <n v="54"/>
    <x v="3"/>
    <n v="27"/>
    <m/>
    <n v="108"/>
    <x v="1"/>
    <n v="2"/>
    <x v="0"/>
    <m/>
    <m/>
    <n v="23"/>
    <x v="2"/>
    <s v="28/06/2023"/>
    <d v="2023-06-28T00:00:00"/>
    <s v="2023024-108"/>
    <x v="0"/>
  </r>
  <r>
    <x v="369"/>
    <n v="2023024"/>
    <x v="24"/>
    <s v="Lentil"/>
    <m/>
    <x v="1"/>
    <s v="Y"/>
    <x v="2"/>
    <n v="109"/>
    <n v="55"/>
    <x v="3"/>
    <m/>
    <m/>
    <m/>
    <n v="14"/>
    <m/>
    <m/>
    <m/>
    <m/>
    <m/>
    <n v="1"/>
    <n v="55"/>
    <x v="0"/>
    <n v="28"/>
    <m/>
    <m/>
    <x v="1"/>
    <n v="3"/>
    <x v="0"/>
    <m/>
    <m/>
    <n v="23"/>
    <x v="2"/>
    <s v="28/06/2023"/>
    <d v="2023-06-28T00:00:00"/>
    <s v="2023024-109"/>
    <x v="0"/>
  </r>
  <r>
    <x v="369"/>
    <n v="2023024"/>
    <x v="24"/>
    <s v="Lentil"/>
    <m/>
    <x v="1"/>
    <s v="Y"/>
    <x v="1"/>
    <n v="110"/>
    <n v="55"/>
    <x v="3"/>
    <m/>
    <m/>
    <m/>
    <n v="14"/>
    <m/>
    <m/>
    <m/>
    <m/>
    <m/>
    <n v="2"/>
    <n v="55"/>
    <x v="1"/>
    <n v="28"/>
    <m/>
    <n v="111"/>
    <x v="1"/>
    <n v="3"/>
    <x v="0"/>
    <m/>
    <m/>
    <n v="23"/>
    <x v="2"/>
    <s v="28/06/2023"/>
    <d v="2023-06-28T00:00:00"/>
    <s v="2023024-110"/>
    <x v="0"/>
  </r>
  <r>
    <x v="370"/>
    <n v="2023024"/>
    <x v="24"/>
    <s v="Lentil"/>
    <m/>
    <x v="14"/>
    <s v="N"/>
    <x v="2"/>
    <n v="111"/>
    <n v="56"/>
    <x v="3"/>
    <m/>
    <m/>
    <m/>
    <n v="14"/>
    <m/>
    <m/>
    <m/>
    <m/>
    <m/>
    <n v="3"/>
    <n v="55"/>
    <x v="2"/>
    <n v="28"/>
    <m/>
    <m/>
    <x v="1"/>
    <n v="1"/>
    <x v="0"/>
    <m/>
    <m/>
    <n v="23"/>
    <x v="2"/>
    <s v="28/06/2023"/>
    <d v="2023-06-28T00:00:00"/>
    <s v="2023024-111"/>
    <x v="0"/>
  </r>
  <r>
    <x v="370"/>
    <n v="2023024"/>
    <x v="24"/>
    <s v="Lentil"/>
    <m/>
    <x v="14"/>
    <s v="N"/>
    <x v="1"/>
    <n v="112"/>
    <n v="56"/>
    <x v="3"/>
    <m/>
    <m/>
    <m/>
    <n v="14"/>
    <m/>
    <m/>
    <m/>
    <m/>
    <m/>
    <n v="4"/>
    <n v="55"/>
    <x v="3"/>
    <n v="28"/>
    <m/>
    <n v="109"/>
    <x v="1"/>
    <n v="1"/>
    <x v="0"/>
    <m/>
    <m/>
    <n v="23"/>
    <x v="2"/>
    <s v="28/06/2023"/>
    <d v="2023-06-28T00:00:00"/>
    <s v="2023024-112"/>
    <x v="0"/>
  </r>
  <r>
    <x v="380"/>
    <n v="2023024"/>
    <x v="24"/>
    <s v="Lentil"/>
    <m/>
    <x v="14"/>
    <s v="N"/>
    <x v="2"/>
    <n v="113"/>
    <n v="57"/>
    <x v="3"/>
    <m/>
    <m/>
    <m/>
    <n v="15"/>
    <m/>
    <m/>
    <m/>
    <m/>
    <m/>
    <n v="1"/>
    <n v="58"/>
    <x v="0"/>
    <n v="29"/>
    <m/>
    <m/>
    <x v="0"/>
    <n v="1"/>
    <x v="0"/>
    <m/>
    <m/>
    <n v="23"/>
    <x v="1"/>
    <s v="10/05/2023"/>
    <d v="2023-05-10T00:00:00"/>
    <s v="2023024-113"/>
    <x v="0"/>
  </r>
  <r>
    <x v="380"/>
    <n v="2023024"/>
    <x v="24"/>
    <s v="Lentil"/>
    <m/>
    <x v="14"/>
    <s v="N"/>
    <x v="1"/>
    <n v="114"/>
    <n v="57"/>
    <x v="3"/>
    <m/>
    <m/>
    <m/>
    <n v="15"/>
    <m/>
    <m/>
    <m/>
    <m/>
    <m/>
    <n v="2"/>
    <n v="58"/>
    <x v="1"/>
    <n v="29"/>
    <m/>
    <n v="114"/>
    <x v="0"/>
    <n v="1"/>
    <x v="0"/>
    <m/>
    <m/>
    <n v="23"/>
    <x v="1"/>
    <s v="10/05/2023"/>
    <d v="2023-05-10T00:00:00"/>
    <s v="2023024-114"/>
    <x v="0"/>
  </r>
  <r>
    <x v="383"/>
    <n v="2023024"/>
    <x v="24"/>
    <s v="Lentil"/>
    <m/>
    <x v="1"/>
    <s v="Y"/>
    <x v="2"/>
    <n v="115"/>
    <n v="58"/>
    <x v="3"/>
    <m/>
    <m/>
    <m/>
    <n v="15"/>
    <m/>
    <m/>
    <m/>
    <m/>
    <m/>
    <n v="3"/>
    <n v="58"/>
    <x v="2"/>
    <n v="29"/>
    <m/>
    <m/>
    <x v="0"/>
    <n v="3"/>
    <x v="0"/>
    <m/>
    <m/>
    <n v="23"/>
    <x v="1"/>
    <s v="10/05/2023"/>
    <d v="2023-05-10T00:00:00"/>
    <s v="2023024-115"/>
    <x v="0"/>
  </r>
  <r>
    <x v="383"/>
    <n v="2023024"/>
    <x v="24"/>
    <s v="Lentil"/>
    <m/>
    <x v="1"/>
    <s v="Y"/>
    <x v="1"/>
    <n v="116"/>
    <n v="58"/>
    <x v="3"/>
    <m/>
    <m/>
    <m/>
    <n v="15"/>
    <m/>
    <m/>
    <m/>
    <m/>
    <m/>
    <n v="4"/>
    <n v="58"/>
    <x v="3"/>
    <n v="29"/>
    <m/>
    <n v="116"/>
    <x v="0"/>
    <n v="3"/>
    <x v="0"/>
    <m/>
    <m/>
    <n v="23"/>
    <x v="1"/>
    <s v="10/05/2023"/>
    <d v="2023-05-10T00:00:00"/>
    <s v="2023024-116"/>
    <x v="0"/>
  </r>
  <r>
    <x v="382"/>
    <n v="2023024"/>
    <x v="24"/>
    <s v="Lentil"/>
    <m/>
    <x v="15"/>
    <s v="Y"/>
    <x v="2"/>
    <n v="117"/>
    <n v="59"/>
    <x v="3"/>
    <m/>
    <m/>
    <m/>
    <n v="15"/>
    <m/>
    <m/>
    <m/>
    <m/>
    <m/>
    <n v="1"/>
    <n v="59"/>
    <x v="0"/>
    <n v="30"/>
    <m/>
    <m/>
    <x v="0"/>
    <n v="4"/>
    <x v="0"/>
    <m/>
    <m/>
    <n v="23"/>
    <x v="1"/>
    <s v="10/05/2023"/>
    <d v="2023-05-10T00:00:00"/>
    <s v="2023024-117"/>
    <x v="0"/>
  </r>
  <r>
    <x v="382"/>
    <n v="2023024"/>
    <x v="24"/>
    <s v="Lentil"/>
    <m/>
    <x v="15"/>
    <s v="Y"/>
    <x v="1"/>
    <n v="118"/>
    <n v="59"/>
    <x v="3"/>
    <m/>
    <m/>
    <m/>
    <n v="15"/>
    <m/>
    <m/>
    <m/>
    <m/>
    <m/>
    <n v="2"/>
    <n v="59"/>
    <x v="1"/>
    <n v="30"/>
    <m/>
    <n v="119"/>
    <x v="0"/>
    <n v="4"/>
    <x v="0"/>
    <m/>
    <m/>
    <n v="23"/>
    <x v="1"/>
    <s v="10/05/2023"/>
    <d v="2023-05-10T00:00:00"/>
    <s v="2023024-118"/>
    <x v="0"/>
  </r>
  <r>
    <x v="381"/>
    <n v="2023024"/>
    <x v="24"/>
    <s v="Lentil"/>
    <m/>
    <x v="16"/>
    <s v="N"/>
    <x v="2"/>
    <n v="119"/>
    <n v="60"/>
    <x v="3"/>
    <m/>
    <m/>
    <m/>
    <n v="15"/>
    <m/>
    <m/>
    <m/>
    <m/>
    <m/>
    <n v="3"/>
    <n v="59"/>
    <x v="2"/>
    <n v="30"/>
    <m/>
    <m/>
    <x v="0"/>
    <n v="2"/>
    <x v="0"/>
    <m/>
    <m/>
    <n v="23"/>
    <x v="1"/>
    <s v="10/05/2023"/>
    <d v="2023-05-10T00:00:00"/>
    <s v="2023024-119"/>
    <x v="0"/>
  </r>
  <r>
    <x v="381"/>
    <n v="2023024"/>
    <x v="24"/>
    <s v="Lentil"/>
    <m/>
    <x v="16"/>
    <s v="N"/>
    <x v="1"/>
    <n v="120"/>
    <n v="60"/>
    <x v="3"/>
    <m/>
    <m/>
    <m/>
    <n v="15"/>
    <m/>
    <m/>
    <m/>
    <m/>
    <m/>
    <n v="4"/>
    <n v="59"/>
    <x v="3"/>
    <n v="30"/>
    <m/>
    <n v="117"/>
    <x v="0"/>
    <n v="2"/>
    <x v="0"/>
    <m/>
    <m/>
    <n v="23"/>
    <x v="1"/>
    <s v="10/05/2023"/>
    <d v="2023-05-10T00:00:00"/>
    <s v="2023024-120"/>
    <x v="0"/>
  </r>
  <r>
    <x v="374"/>
    <n v="2023024"/>
    <x v="24"/>
    <s v="Lentil"/>
    <m/>
    <x v="1"/>
    <s v="Y"/>
    <x v="2"/>
    <n v="121"/>
    <n v="61"/>
    <x v="3"/>
    <m/>
    <m/>
    <m/>
    <n v="16"/>
    <m/>
    <m/>
    <m/>
    <m/>
    <m/>
    <n v="1"/>
    <n v="62"/>
    <x v="0"/>
    <n v="31"/>
    <m/>
    <m/>
    <x v="0"/>
    <n v="3"/>
    <x v="0"/>
    <m/>
    <m/>
    <n v="23"/>
    <x v="2"/>
    <s v="28/06/2023"/>
    <d v="2023-06-28T00:00:00"/>
    <s v="2023024-121"/>
    <x v="0"/>
  </r>
  <r>
    <x v="374"/>
    <n v="2023024"/>
    <x v="24"/>
    <s v="Lentil"/>
    <m/>
    <x v="1"/>
    <s v="Y"/>
    <x v="1"/>
    <n v="122"/>
    <n v="61"/>
    <x v="3"/>
    <m/>
    <m/>
    <m/>
    <n v="16"/>
    <m/>
    <m/>
    <m/>
    <m/>
    <m/>
    <n v="2"/>
    <n v="62"/>
    <x v="1"/>
    <n v="31"/>
    <m/>
    <n v="122"/>
    <x v="0"/>
    <n v="3"/>
    <x v="0"/>
    <m/>
    <m/>
    <n v="23"/>
    <x v="2"/>
    <s v="28/06/2023"/>
    <d v="2023-06-28T00:00:00"/>
    <s v="2023024-122"/>
    <x v="0"/>
  </r>
  <r>
    <x v="373"/>
    <n v="2023024"/>
    <x v="24"/>
    <s v="Lentil"/>
    <m/>
    <x v="14"/>
    <s v="N"/>
    <x v="2"/>
    <n v="123"/>
    <n v="62"/>
    <x v="3"/>
    <m/>
    <m/>
    <m/>
    <n v="16"/>
    <m/>
    <m/>
    <m/>
    <m/>
    <m/>
    <n v="3"/>
    <n v="62"/>
    <x v="2"/>
    <n v="31"/>
    <m/>
    <m/>
    <x v="0"/>
    <n v="1"/>
    <x v="0"/>
    <m/>
    <m/>
    <n v="23"/>
    <x v="2"/>
    <s v="28/06/2023"/>
    <d v="2023-06-28T00:00:00"/>
    <s v="2023024-123"/>
    <x v="0"/>
  </r>
  <r>
    <x v="373"/>
    <n v="2023024"/>
    <x v="24"/>
    <s v="Lentil"/>
    <m/>
    <x v="14"/>
    <s v="N"/>
    <x v="1"/>
    <n v="124"/>
    <n v="62"/>
    <x v="3"/>
    <m/>
    <m/>
    <m/>
    <n v="16"/>
    <m/>
    <m/>
    <m/>
    <m/>
    <m/>
    <n v="4"/>
    <n v="62"/>
    <x v="3"/>
    <n v="31"/>
    <m/>
    <n v="124"/>
    <x v="0"/>
    <n v="1"/>
    <x v="0"/>
    <m/>
    <m/>
    <n v="23"/>
    <x v="2"/>
    <s v="28/06/2023"/>
    <d v="2023-06-28T00:00:00"/>
    <s v="2023024-124"/>
    <x v="0"/>
  </r>
  <r>
    <x v="372"/>
    <n v="2023024"/>
    <x v="24"/>
    <s v="Lentil"/>
    <m/>
    <x v="16"/>
    <s v="N"/>
    <x v="2"/>
    <n v="125"/>
    <n v="63"/>
    <x v="3"/>
    <m/>
    <m/>
    <m/>
    <n v="16"/>
    <m/>
    <m/>
    <m/>
    <m/>
    <m/>
    <n v="1"/>
    <n v="63"/>
    <x v="0"/>
    <n v="32"/>
    <m/>
    <m/>
    <x v="0"/>
    <n v="2"/>
    <x v="0"/>
    <m/>
    <m/>
    <n v="23"/>
    <x v="2"/>
    <s v="28/06/2023"/>
    <d v="2023-06-28T00:00:00"/>
    <s v="2023024-125"/>
    <x v="0"/>
  </r>
  <r>
    <x v="372"/>
    <n v="2023024"/>
    <x v="24"/>
    <s v="Lentil"/>
    <m/>
    <x v="16"/>
    <s v="N"/>
    <x v="1"/>
    <n v="126"/>
    <n v="63"/>
    <x v="3"/>
    <m/>
    <m/>
    <m/>
    <n v="16"/>
    <m/>
    <m/>
    <m/>
    <m/>
    <m/>
    <n v="2"/>
    <n v="63"/>
    <x v="1"/>
    <n v="32"/>
    <m/>
    <n v="127"/>
    <x v="0"/>
    <n v="2"/>
    <x v="0"/>
    <m/>
    <m/>
    <n v="23"/>
    <x v="2"/>
    <s v="28/06/2023"/>
    <d v="2023-06-28T00:00:00"/>
    <s v="2023024-126"/>
    <x v="0"/>
  </r>
  <r>
    <x v="375"/>
    <n v="2023024"/>
    <x v="24"/>
    <s v="Lentil"/>
    <m/>
    <x v="15"/>
    <s v="Y"/>
    <x v="2"/>
    <n v="127"/>
    <n v="64"/>
    <x v="3"/>
    <m/>
    <m/>
    <m/>
    <n v="16"/>
    <m/>
    <m/>
    <m/>
    <m/>
    <m/>
    <n v="3"/>
    <n v="63"/>
    <x v="2"/>
    <n v="32"/>
    <m/>
    <m/>
    <x v="0"/>
    <n v="4"/>
    <x v="0"/>
    <m/>
    <m/>
    <n v="23"/>
    <x v="2"/>
    <s v="28/06/2023"/>
    <d v="2023-06-28T00:00:00"/>
    <s v="2023024-127"/>
    <x v="0"/>
  </r>
  <r>
    <x v="375"/>
    <n v="2023024"/>
    <x v="24"/>
    <s v="Lentil"/>
    <m/>
    <x v="15"/>
    <s v="Y"/>
    <x v="1"/>
    <n v="128"/>
    <n v="64"/>
    <x v="3"/>
    <m/>
    <m/>
    <m/>
    <n v="16"/>
    <m/>
    <m/>
    <m/>
    <m/>
    <m/>
    <n v="4"/>
    <n v="63"/>
    <x v="3"/>
    <n v="32"/>
    <m/>
    <n v="125"/>
    <x v="0"/>
    <n v="4"/>
    <x v="0"/>
    <m/>
    <m/>
    <n v="23"/>
    <x v="2"/>
    <s v="28/06/2023"/>
    <d v="2023-06-28T00:00:00"/>
    <s v="2023024-128"/>
    <x v="0"/>
  </r>
  <r>
    <x v="384"/>
    <n v="2023025"/>
    <x v="25"/>
    <s v="Chickpea"/>
    <m/>
    <x v="4"/>
    <s v="Y"/>
    <x v="2"/>
    <n v="1"/>
    <n v="1"/>
    <x v="0"/>
    <m/>
    <m/>
    <m/>
    <n v="1"/>
    <n v="1"/>
    <m/>
    <m/>
    <m/>
    <m/>
    <n v="1"/>
    <n v="2"/>
    <x v="0"/>
    <n v="1"/>
    <m/>
    <m/>
    <x v="0"/>
    <n v="4"/>
    <x v="0"/>
    <m/>
    <m/>
    <n v="38"/>
    <x v="1"/>
    <s v="16/05/2023"/>
    <d v="2023-05-16T00:00:00"/>
    <s v="2023025-1"/>
    <x v="3"/>
  </r>
  <r>
    <x v="385"/>
    <n v="2023025"/>
    <x v="25"/>
    <s v="Chickpea"/>
    <m/>
    <x v="8"/>
    <s v="Y"/>
    <x v="2"/>
    <n v="2"/>
    <n v="2"/>
    <x v="0"/>
    <m/>
    <m/>
    <m/>
    <n v="1"/>
    <n v="1"/>
    <m/>
    <m/>
    <m/>
    <m/>
    <n v="2"/>
    <n v="2"/>
    <x v="1"/>
    <n v="1"/>
    <m/>
    <m/>
    <x v="0"/>
    <n v="3"/>
    <x v="0"/>
    <m/>
    <m/>
    <n v="38"/>
    <x v="1"/>
    <s v="16/05/2023"/>
    <d v="2023-05-16T00:00:00"/>
    <s v="2023025-2"/>
    <x v="3"/>
  </r>
  <r>
    <x v="386"/>
    <n v="2023025"/>
    <x v="25"/>
    <s v="Chickpea"/>
    <m/>
    <x v="9"/>
    <s v="N"/>
    <x v="2"/>
    <n v="3"/>
    <n v="3"/>
    <x v="0"/>
    <m/>
    <m/>
    <m/>
    <n v="1"/>
    <n v="2"/>
    <m/>
    <m/>
    <m/>
    <m/>
    <n v="3"/>
    <n v="2"/>
    <x v="2"/>
    <n v="1"/>
    <m/>
    <m/>
    <x v="1"/>
    <n v="1"/>
    <x v="0"/>
    <m/>
    <m/>
    <n v="38"/>
    <x v="1"/>
    <s v="16/05/2023"/>
    <d v="2023-05-16T00:00:00"/>
    <s v="2023025-3"/>
    <x v="3"/>
  </r>
  <r>
    <x v="387"/>
    <n v="2023025"/>
    <x v="25"/>
    <s v="Chickpea"/>
    <m/>
    <x v="3"/>
    <s v="N"/>
    <x v="2"/>
    <n v="4"/>
    <n v="4"/>
    <x v="0"/>
    <m/>
    <m/>
    <m/>
    <n v="1"/>
    <n v="2"/>
    <m/>
    <m/>
    <m/>
    <m/>
    <n v="4"/>
    <n v="2"/>
    <x v="3"/>
    <n v="1"/>
    <m/>
    <m/>
    <x v="1"/>
    <n v="2"/>
    <x v="0"/>
    <m/>
    <m/>
    <n v="38"/>
    <x v="1"/>
    <s v="16/05/2023"/>
    <d v="2023-05-16T00:00:00"/>
    <s v="2023025-4"/>
    <x v="3"/>
  </r>
  <r>
    <x v="384"/>
    <n v="2023025"/>
    <x v="25"/>
    <s v="Chickpea"/>
    <m/>
    <x v="4"/>
    <s v="Y"/>
    <x v="1"/>
    <n v="5"/>
    <n v="1"/>
    <x v="0"/>
    <m/>
    <m/>
    <m/>
    <n v="1"/>
    <n v="1"/>
    <m/>
    <m/>
    <m/>
    <m/>
    <n v="1"/>
    <n v="3"/>
    <x v="0"/>
    <n v="2"/>
    <m/>
    <n v="1"/>
    <x v="0"/>
    <n v="4"/>
    <x v="0"/>
    <m/>
    <m/>
    <n v="38"/>
    <x v="1"/>
    <s v="16/05/2023"/>
    <d v="2023-05-16T00:00:00"/>
    <s v="2023025-5"/>
    <x v="3"/>
  </r>
  <r>
    <x v="385"/>
    <n v="2023025"/>
    <x v="25"/>
    <s v="Chickpea"/>
    <m/>
    <x v="8"/>
    <s v="Y"/>
    <x v="1"/>
    <n v="6"/>
    <n v="2"/>
    <x v="0"/>
    <m/>
    <m/>
    <m/>
    <n v="1"/>
    <n v="1"/>
    <m/>
    <m/>
    <m/>
    <m/>
    <n v="2"/>
    <n v="3"/>
    <x v="1"/>
    <n v="2"/>
    <m/>
    <n v="2"/>
    <x v="0"/>
    <n v="3"/>
    <x v="0"/>
    <m/>
    <m/>
    <n v="38"/>
    <x v="1"/>
    <s v="16/05/2023"/>
    <d v="2023-05-16T00:00:00"/>
    <s v="2023025-6"/>
    <x v="3"/>
  </r>
  <r>
    <x v="386"/>
    <n v="2023025"/>
    <x v="25"/>
    <s v="Chickpea"/>
    <m/>
    <x v="9"/>
    <s v="N"/>
    <x v="1"/>
    <n v="7"/>
    <n v="3"/>
    <x v="0"/>
    <m/>
    <m/>
    <m/>
    <n v="1"/>
    <n v="2"/>
    <m/>
    <m/>
    <m/>
    <m/>
    <n v="3"/>
    <n v="3"/>
    <x v="2"/>
    <n v="2"/>
    <m/>
    <n v="3"/>
    <x v="1"/>
    <n v="1"/>
    <x v="0"/>
    <m/>
    <m/>
    <n v="38"/>
    <x v="1"/>
    <s v="16/05/2023"/>
    <d v="2023-05-16T00:00:00"/>
    <s v="2023025-7"/>
    <x v="3"/>
  </r>
  <r>
    <x v="387"/>
    <n v="2023025"/>
    <x v="25"/>
    <s v="Chickpea"/>
    <m/>
    <x v="3"/>
    <s v="N"/>
    <x v="1"/>
    <n v="8"/>
    <n v="4"/>
    <x v="0"/>
    <m/>
    <m/>
    <m/>
    <n v="1"/>
    <n v="2"/>
    <m/>
    <m/>
    <m/>
    <m/>
    <n v="4"/>
    <n v="3"/>
    <x v="3"/>
    <n v="2"/>
    <m/>
    <n v="4"/>
    <x v="1"/>
    <n v="2"/>
    <x v="0"/>
    <m/>
    <m/>
    <n v="38"/>
    <x v="1"/>
    <s v="16/05/2023"/>
    <d v="2023-05-16T00:00:00"/>
    <s v="2023025-8"/>
    <x v="3"/>
  </r>
  <r>
    <x v="388"/>
    <n v="2023025"/>
    <x v="25"/>
    <s v="Chickpea"/>
    <m/>
    <x v="3"/>
    <s v="N"/>
    <x v="2"/>
    <n v="9"/>
    <n v="5"/>
    <x v="0"/>
    <m/>
    <m/>
    <m/>
    <n v="1"/>
    <n v="1"/>
    <m/>
    <m/>
    <m/>
    <m/>
    <n v="1"/>
    <n v="4"/>
    <x v="0"/>
    <n v="3"/>
    <m/>
    <m/>
    <x v="0"/>
    <n v="2"/>
    <x v="0"/>
    <m/>
    <m/>
    <n v="38"/>
    <x v="1"/>
    <s v="16/05/2023"/>
    <d v="2023-05-16T00:00:00"/>
    <s v="2023025-9"/>
    <x v="3"/>
  </r>
  <r>
    <x v="389"/>
    <n v="2023025"/>
    <x v="25"/>
    <s v="Chickpea"/>
    <m/>
    <x v="9"/>
    <s v="N"/>
    <x v="2"/>
    <n v="10"/>
    <n v="6"/>
    <x v="0"/>
    <m/>
    <m/>
    <m/>
    <n v="1"/>
    <n v="1"/>
    <m/>
    <m/>
    <m/>
    <m/>
    <n v="2"/>
    <n v="4"/>
    <x v="1"/>
    <n v="3"/>
    <m/>
    <m/>
    <x v="0"/>
    <n v="1"/>
    <x v="0"/>
    <m/>
    <m/>
    <n v="38"/>
    <x v="1"/>
    <s v="16/05/2023"/>
    <d v="2023-05-16T00:00:00"/>
    <s v="2023025-10"/>
    <x v="3"/>
  </r>
  <r>
    <x v="390"/>
    <n v="2023025"/>
    <x v="25"/>
    <s v="Chickpea"/>
    <m/>
    <x v="4"/>
    <s v="Y"/>
    <x v="2"/>
    <n v="11"/>
    <n v="7"/>
    <x v="0"/>
    <m/>
    <m/>
    <m/>
    <n v="1"/>
    <n v="2"/>
    <m/>
    <m/>
    <m/>
    <m/>
    <n v="3"/>
    <n v="4"/>
    <x v="2"/>
    <n v="3"/>
    <m/>
    <m/>
    <x v="1"/>
    <n v="4"/>
    <x v="0"/>
    <m/>
    <m/>
    <n v="38"/>
    <x v="1"/>
    <s v="16/05/2023"/>
    <d v="2023-05-16T00:00:00"/>
    <s v="2023025-11"/>
    <x v="3"/>
  </r>
  <r>
    <x v="391"/>
    <n v="2023025"/>
    <x v="25"/>
    <s v="Chickpea"/>
    <m/>
    <x v="8"/>
    <s v="Y"/>
    <x v="2"/>
    <n v="12"/>
    <n v="8"/>
    <x v="0"/>
    <m/>
    <m/>
    <m/>
    <n v="1"/>
    <n v="2"/>
    <m/>
    <m/>
    <m/>
    <m/>
    <n v="4"/>
    <n v="4"/>
    <x v="3"/>
    <n v="3"/>
    <m/>
    <m/>
    <x v="1"/>
    <n v="3"/>
    <x v="0"/>
    <m/>
    <m/>
    <n v="38"/>
    <x v="1"/>
    <s v="16/05/2023"/>
    <d v="2023-05-16T00:00:00"/>
    <s v="2023025-12"/>
    <x v="3"/>
  </r>
  <r>
    <x v="388"/>
    <n v="2023025"/>
    <x v="25"/>
    <s v="Chickpea"/>
    <m/>
    <x v="3"/>
    <s v="N"/>
    <x v="1"/>
    <n v="13"/>
    <n v="5"/>
    <x v="0"/>
    <m/>
    <m/>
    <m/>
    <n v="1"/>
    <n v="1"/>
    <m/>
    <m/>
    <m/>
    <m/>
    <n v="1"/>
    <n v="5"/>
    <x v="0"/>
    <n v="4"/>
    <m/>
    <n v="8"/>
    <x v="0"/>
    <n v="2"/>
    <x v="0"/>
    <m/>
    <m/>
    <n v="38"/>
    <x v="1"/>
    <s v="16/05/2023"/>
    <d v="2023-05-16T00:00:00"/>
    <s v="2023025-13"/>
    <x v="3"/>
  </r>
  <r>
    <x v="389"/>
    <n v="2023025"/>
    <x v="25"/>
    <s v="Chickpea"/>
    <m/>
    <x v="9"/>
    <s v="N"/>
    <x v="1"/>
    <n v="14"/>
    <n v="6"/>
    <x v="0"/>
    <m/>
    <m/>
    <m/>
    <n v="1"/>
    <n v="1"/>
    <m/>
    <m/>
    <m/>
    <m/>
    <n v="2"/>
    <n v="5"/>
    <x v="1"/>
    <n v="4"/>
    <m/>
    <n v="7"/>
    <x v="0"/>
    <n v="1"/>
    <x v="0"/>
    <m/>
    <m/>
    <n v="38"/>
    <x v="1"/>
    <s v="16/05/2023"/>
    <d v="2023-05-16T00:00:00"/>
    <s v="2023025-14"/>
    <x v="3"/>
  </r>
  <r>
    <x v="390"/>
    <n v="2023025"/>
    <x v="25"/>
    <s v="Chickpea"/>
    <m/>
    <x v="4"/>
    <s v="Y"/>
    <x v="1"/>
    <n v="15"/>
    <n v="7"/>
    <x v="0"/>
    <m/>
    <m/>
    <m/>
    <n v="1"/>
    <n v="2"/>
    <m/>
    <m/>
    <m/>
    <m/>
    <n v="3"/>
    <n v="5"/>
    <x v="2"/>
    <n v="4"/>
    <m/>
    <n v="6"/>
    <x v="1"/>
    <n v="4"/>
    <x v="0"/>
    <m/>
    <m/>
    <n v="38"/>
    <x v="1"/>
    <s v="16/05/2023"/>
    <d v="2023-05-16T00:00:00"/>
    <s v="2023025-15"/>
    <x v="3"/>
  </r>
  <r>
    <x v="391"/>
    <n v="2023025"/>
    <x v="25"/>
    <s v="Chickpea"/>
    <m/>
    <x v="8"/>
    <s v="Y"/>
    <x v="1"/>
    <n v="16"/>
    <n v="8"/>
    <x v="0"/>
    <m/>
    <m/>
    <m/>
    <n v="1"/>
    <n v="2"/>
    <m/>
    <m/>
    <m/>
    <m/>
    <n v="4"/>
    <n v="5"/>
    <x v="3"/>
    <n v="4"/>
    <m/>
    <n v="5"/>
    <x v="1"/>
    <n v="3"/>
    <x v="0"/>
    <m/>
    <m/>
    <n v="38"/>
    <x v="1"/>
    <s v="16/05/2023"/>
    <d v="2023-05-16T00:00:00"/>
    <s v="2023025-16"/>
    <x v="3"/>
  </r>
  <r>
    <x v="392"/>
    <n v="2023025"/>
    <x v="25"/>
    <s v="Chickpea"/>
    <m/>
    <x v="9"/>
    <s v="N"/>
    <x v="2"/>
    <n v="17"/>
    <n v="9"/>
    <x v="0"/>
    <m/>
    <m/>
    <m/>
    <n v="2"/>
    <n v="3"/>
    <m/>
    <m/>
    <m/>
    <m/>
    <n v="1"/>
    <n v="7"/>
    <x v="0"/>
    <n v="5"/>
    <m/>
    <m/>
    <x v="1"/>
    <n v="1"/>
    <x v="0"/>
    <m/>
    <m/>
    <n v="38"/>
    <x v="2"/>
    <s v="3/07/2023"/>
    <d v="2023-07-03T00:00:00"/>
    <s v="2023025-17"/>
    <x v="3"/>
  </r>
  <r>
    <x v="393"/>
    <n v="2023025"/>
    <x v="25"/>
    <s v="Chickpea"/>
    <m/>
    <x v="8"/>
    <s v="Y"/>
    <x v="2"/>
    <n v="18"/>
    <n v="10"/>
    <x v="0"/>
    <m/>
    <m/>
    <m/>
    <n v="2"/>
    <n v="3"/>
    <m/>
    <m/>
    <m/>
    <m/>
    <n v="2"/>
    <n v="7"/>
    <x v="1"/>
    <n v="5"/>
    <m/>
    <m/>
    <x v="1"/>
    <n v="3"/>
    <x v="0"/>
    <m/>
    <m/>
    <n v="38"/>
    <x v="2"/>
    <s v="3/07/2023"/>
    <d v="2023-07-03T00:00:00"/>
    <s v="2023025-18"/>
    <x v="3"/>
  </r>
  <r>
    <x v="394"/>
    <n v="2023025"/>
    <x v="25"/>
    <s v="Chickpea"/>
    <m/>
    <x v="3"/>
    <s v="N"/>
    <x v="2"/>
    <n v="19"/>
    <n v="11"/>
    <x v="0"/>
    <m/>
    <m/>
    <m/>
    <n v="2"/>
    <n v="4"/>
    <m/>
    <m/>
    <m/>
    <m/>
    <n v="3"/>
    <n v="7"/>
    <x v="2"/>
    <n v="5"/>
    <m/>
    <m/>
    <x v="0"/>
    <n v="2"/>
    <x v="0"/>
    <m/>
    <m/>
    <n v="38"/>
    <x v="2"/>
    <s v="3/07/2023"/>
    <d v="2023-07-03T00:00:00"/>
    <s v="2023025-19"/>
    <x v="3"/>
  </r>
  <r>
    <x v="395"/>
    <n v="2023025"/>
    <x v="25"/>
    <s v="Chickpea"/>
    <m/>
    <x v="4"/>
    <s v="Y"/>
    <x v="2"/>
    <n v="20"/>
    <n v="12"/>
    <x v="0"/>
    <m/>
    <m/>
    <m/>
    <n v="2"/>
    <n v="4"/>
    <m/>
    <m/>
    <m/>
    <m/>
    <n v="4"/>
    <n v="7"/>
    <x v="3"/>
    <n v="5"/>
    <m/>
    <m/>
    <x v="0"/>
    <n v="4"/>
    <x v="0"/>
    <m/>
    <m/>
    <n v="38"/>
    <x v="2"/>
    <s v="3/07/2023"/>
    <d v="2023-07-03T00:00:00"/>
    <s v="2023025-20"/>
    <x v="3"/>
  </r>
  <r>
    <x v="392"/>
    <n v="2023025"/>
    <x v="25"/>
    <s v="Chickpea"/>
    <m/>
    <x v="9"/>
    <s v="N"/>
    <x v="1"/>
    <n v="21"/>
    <n v="9"/>
    <x v="0"/>
    <m/>
    <m/>
    <m/>
    <n v="2"/>
    <n v="3"/>
    <m/>
    <m/>
    <m/>
    <m/>
    <n v="1"/>
    <n v="8"/>
    <x v="0"/>
    <n v="6"/>
    <m/>
    <n v="9"/>
    <x v="1"/>
    <n v="1"/>
    <x v="0"/>
    <m/>
    <m/>
    <n v="38"/>
    <x v="2"/>
    <s v="3/07/2023"/>
    <d v="2023-07-03T00:00:00"/>
    <s v="2023025-21"/>
    <x v="3"/>
  </r>
  <r>
    <x v="393"/>
    <n v="2023025"/>
    <x v="25"/>
    <s v="Chickpea"/>
    <m/>
    <x v="8"/>
    <s v="Y"/>
    <x v="1"/>
    <n v="22"/>
    <n v="10"/>
    <x v="0"/>
    <m/>
    <m/>
    <m/>
    <n v="2"/>
    <n v="3"/>
    <m/>
    <m/>
    <m/>
    <m/>
    <n v="2"/>
    <n v="8"/>
    <x v="1"/>
    <n v="6"/>
    <m/>
    <n v="10"/>
    <x v="1"/>
    <n v="3"/>
    <x v="0"/>
    <m/>
    <m/>
    <n v="38"/>
    <x v="2"/>
    <s v="3/07/2023"/>
    <d v="2023-07-03T00:00:00"/>
    <s v="2023025-22"/>
    <x v="3"/>
  </r>
  <r>
    <x v="394"/>
    <n v="2023025"/>
    <x v="25"/>
    <s v="Chickpea"/>
    <m/>
    <x v="3"/>
    <s v="N"/>
    <x v="1"/>
    <n v="23"/>
    <n v="11"/>
    <x v="0"/>
    <m/>
    <m/>
    <m/>
    <n v="2"/>
    <n v="4"/>
    <m/>
    <m/>
    <m/>
    <m/>
    <n v="3"/>
    <n v="8"/>
    <x v="2"/>
    <n v="6"/>
    <m/>
    <n v="11"/>
    <x v="0"/>
    <n v="2"/>
    <x v="0"/>
    <m/>
    <m/>
    <n v="38"/>
    <x v="2"/>
    <s v="3/07/2023"/>
    <d v="2023-07-03T00:00:00"/>
    <s v="2023025-23"/>
    <x v="3"/>
  </r>
  <r>
    <x v="395"/>
    <n v="2023025"/>
    <x v="25"/>
    <s v="Chickpea"/>
    <m/>
    <x v="4"/>
    <s v="Y"/>
    <x v="1"/>
    <n v="24"/>
    <n v="12"/>
    <x v="0"/>
    <m/>
    <m/>
    <m/>
    <n v="2"/>
    <n v="4"/>
    <m/>
    <m/>
    <m/>
    <m/>
    <n v="4"/>
    <n v="8"/>
    <x v="3"/>
    <n v="6"/>
    <m/>
    <n v="12"/>
    <x v="0"/>
    <n v="4"/>
    <x v="0"/>
    <m/>
    <m/>
    <n v="38"/>
    <x v="2"/>
    <s v="3/07/2023"/>
    <d v="2023-07-03T00:00:00"/>
    <s v="2023025-24"/>
    <x v="3"/>
  </r>
  <r>
    <x v="396"/>
    <n v="2023025"/>
    <x v="25"/>
    <s v="Chickpea"/>
    <m/>
    <x v="3"/>
    <s v="N"/>
    <x v="2"/>
    <n v="25"/>
    <n v="13"/>
    <x v="0"/>
    <m/>
    <m/>
    <m/>
    <n v="2"/>
    <n v="3"/>
    <m/>
    <m/>
    <m/>
    <m/>
    <n v="1"/>
    <n v="9"/>
    <x v="0"/>
    <n v="7"/>
    <m/>
    <m/>
    <x v="1"/>
    <n v="2"/>
    <x v="0"/>
    <m/>
    <m/>
    <n v="38"/>
    <x v="2"/>
    <s v="3/07/2023"/>
    <d v="2023-07-03T00:00:00"/>
    <s v="2023025-25"/>
    <x v="3"/>
  </r>
  <r>
    <x v="397"/>
    <n v="2023025"/>
    <x v="25"/>
    <s v="Chickpea"/>
    <m/>
    <x v="4"/>
    <s v="Y"/>
    <x v="2"/>
    <n v="26"/>
    <n v="14"/>
    <x v="0"/>
    <m/>
    <m/>
    <m/>
    <n v="2"/>
    <n v="3"/>
    <m/>
    <m/>
    <m/>
    <m/>
    <n v="2"/>
    <n v="9"/>
    <x v="1"/>
    <n v="7"/>
    <m/>
    <m/>
    <x v="1"/>
    <n v="4"/>
    <x v="0"/>
    <m/>
    <m/>
    <n v="38"/>
    <x v="2"/>
    <s v="3/07/2023"/>
    <d v="2023-07-03T00:00:00"/>
    <s v="2023025-26"/>
    <x v="3"/>
  </r>
  <r>
    <x v="398"/>
    <n v="2023025"/>
    <x v="25"/>
    <s v="Chickpea"/>
    <m/>
    <x v="8"/>
    <s v="Y"/>
    <x v="2"/>
    <n v="27"/>
    <n v="15"/>
    <x v="0"/>
    <m/>
    <m/>
    <m/>
    <n v="2"/>
    <n v="4"/>
    <m/>
    <m/>
    <m/>
    <m/>
    <n v="3"/>
    <n v="9"/>
    <x v="2"/>
    <n v="7"/>
    <m/>
    <m/>
    <x v="0"/>
    <n v="3"/>
    <x v="0"/>
    <m/>
    <m/>
    <n v="38"/>
    <x v="2"/>
    <s v="3/07/2023"/>
    <d v="2023-07-03T00:00:00"/>
    <s v="2023025-27"/>
    <x v="3"/>
  </r>
  <r>
    <x v="399"/>
    <n v="2023025"/>
    <x v="25"/>
    <s v="Chickpea"/>
    <m/>
    <x v="9"/>
    <s v="N"/>
    <x v="2"/>
    <n v="28"/>
    <n v="16"/>
    <x v="0"/>
    <m/>
    <m/>
    <m/>
    <n v="2"/>
    <n v="4"/>
    <m/>
    <m/>
    <m/>
    <m/>
    <n v="4"/>
    <n v="9"/>
    <x v="3"/>
    <n v="7"/>
    <m/>
    <m/>
    <x v="0"/>
    <n v="1"/>
    <x v="0"/>
    <m/>
    <m/>
    <n v="38"/>
    <x v="2"/>
    <s v="3/07/2023"/>
    <d v="2023-07-03T00:00:00"/>
    <s v="2023025-28"/>
    <x v="3"/>
  </r>
  <r>
    <x v="396"/>
    <n v="2023025"/>
    <x v="25"/>
    <s v="Chickpea"/>
    <m/>
    <x v="3"/>
    <s v="N"/>
    <x v="1"/>
    <n v="29"/>
    <n v="13"/>
    <x v="0"/>
    <m/>
    <m/>
    <m/>
    <n v="2"/>
    <n v="3"/>
    <m/>
    <m/>
    <m/>
    <m/>
    <n v="1"/>
    <n v="10"/>
    <x v="0"/>
    <n v="8"/>
    <m/>
    <n v="16"/>
    <x v="1"/>
    <n v="2"/>
    <x v="0"/>
    <m/>
    <m/>
    <n v="38"/>
    <x v="2"/>
    <s v="3/07/2023"/>
    <d v="2023-07-03T00:00:00"/>
    <s v="2023025-29"/>
    <x v="3"/>
  </r>
  <r>
    <x v="397"/>
    <n v="2023025"/>
    <x v="25"/>
    <s v="Chickpea"/>
    <m/>
    <x v="4"/>
    <s v="Y"/>
    <x v="1"/>
    <n v="30"/>
    <n v="14"/>
    <x v="0"/>
    <m/>
    <m/>
    <m/>
    <n v="2"/>
    <n v="3"/>
    <m/>
    <m/>
    <m/>
    <m/>
    <n v="2"/>
    <n v="10"/>
    <x v="1"/>
    <n v="8"/>
    <m/>
    <n v="15"/>
    <x v="1"/>
    <n v="4"/>
    <x v="0"/>
    <m/>
    <m/>
    <n v="38"/>
    <x v="2"/>
    <s v="3/07/2023"/>
    <d v="2023-07-03T00:00:00"/>
    <s v="2023025-30"/>
    <x v="3"/>
  </r>
  <r>
    <x v="398"/>
    <n v="2023025"/>
    <x v="25"/>
    <s v="Chickpea"/>
    <m/>
    <x v="8"/>
    <s v="Y"/>
    <x v="1"/>
    <n v="31"/>
    <n v="15"/>
    <x v="0"/>
    <m/>
    <m/>
    <m/>
    <n v="2"/>
    <n v="4"/>
    <m/>
    <m/>
    <m/>
    <m/>
    <n v="3"/>
    <n v="10"/>
    <x v="2"/>
    <n v="8"/>
    <m/>
    <n v="14"/>
    <x v="0"/>
    <n v="3"/>
    <x v="0"/>
    <m/>
    <m/>
    <n v="38"/>
    <x v="2"/>
    <s v="3/07/2023"/>
    <d v="2023-07-03T00:00:00"/>
    <s v="2023025-31"/>
    <x v="3"/>
  </r>
  <r>
    <x v="399"/>
    <n v="2023025"/>
    <x v="25"/>
    <s v="Chickpea"/>
    <m/>
    <x v="9"/>
    <s v="N"/>
    <x v="1"/>
    <n v="32"/>
    <n v="16"/>
    <x v="0"/>
    <m/>
    <m/>
    <m/>
    <n v="2"/>
    <n v="4"/>
    <m/>
    <m/>
    <m/>
    <m/>
    <n v="4"/>
    <n v="10"/>
    <x v="3"/>
    <n v="8"/>
    <m/>
    <n v="13"/>
    <x v="0"/>
    <n v="1"/>
    <x v="0"/>
    <m/>
    <m/>
    <n v="38"/>
    <x v="2"/>
    <s v="3/07/2023"/>
    <d v="2023-07-03T00:00:00"/>
    <s v="2023025-32"/>
    <x v="3"/>
  </r>
  <r>
    <x v="388"/>
    <n v="2023025"/>
    <x v="25"/>
    <s v="Chickpea"/>
    <m/>
    <x v="3"/>
    <s v="N"/>
    <x v="2"/>
    <n v="33"/>
    <n v="17"/>
    <x v="1"/>
    <m/>
    <m/>
    <m/>
    <n v="3"/>
    <n v="5"/>
    <m/>
    <m/>
    <m/>
    <m/>
    <n v="1"/>
    <n v="12"/>
    <x v="0"/>
    <n v="9"/>
    <m/>
    <m/>
    <x v="0"/>
    <n v="2"/>
    <x v="0"/>
    <m/>
    <m/>
    <n v="38"/>
    <x v="1"/>
    <s v="16/05/2023"/>
    <d v="2023-05-16T00:00:00"/>
    <s v="2023025-33"/>
    <x v="3"/>
  </r>
  <r>
    <x v="385"/>
    <n v="2023025"/>
    <x v="25"/>
    <s v="Chickpea"/>
    <m/>
    <x v="8"/>
    <s v="Y"/>
    <x v="2"/>
    <n v="34"/>
    <n v="18"/>
    <x v="1"/>
    <m/>
    <m/>
    <m/>
    <n v="3"/>
    <n v="5"/>
    <m/>
    <m/>
    <m/>
    <m/>
    <n v="2"/>
    <n v="12"/>
    <x v="1"/>
    <n v="9"/>
    <m/>
    <m/>
    <x v="0"/>
    <n v="3"/>
    <x v="0"/>
    <m/>
    <m/>
    <n v="38"/>
    <x v="1"/>
    <s v="16/05/2023"/>
    <d v="2023-05-16T00:00:00"/>
    <s v="2023025-34"/>
    <x v="3"/>
  </r>
  <r>
    <x v="386"/>
    <n v="2023025"/>
    <x v="25"/>
    <s v="Chickpea"/>
    <m/>
    <x v="9"/>
    <s v="N"/>
    <x v="2"/>
    <n v="35"/>
    <n v="19"/>
    <x v="1"/>
    <m/>
    <m/>
    <m/>
    <n v="3"/>
    <n v="6"/>
    <m/>
    <m/>
    <m/>
    <m/>
    <n v="3"/>
    <n v="12"/>
    <x v="2"/>
    <n v="9"/>
    <m/>
    <m/>
    <x v="1"/>
    <n v="1"/>
    <x v="0"/>
    <m/>
    <m/>
    <n v="38"/>
    <x v="1"/>
    <s v="16/05/2023"/>
    <d v="2023-05-16T00:00:00"/>
    <s v="2023025-35"/>
    <x v="3"/>
  </r>
  <r>
    <x v="390"/>
    <n v="2023025"/>
    <x v="25"/>
    <s v="Chickpea"/>
    <m/>
    <x v="4"/>
    <s v="Y"/>
    <x v="2"/>
    <n v="36"/>
    <n v="20"/>
    <x v="1"/>
    <m/>
    <m/>
    <m/>
    <n v="3"/>
    <n v="6"/>
    <m/>
    <m/>
    <m/>
    <m/>
    <n v="4"/>
    <n v="12"/>
    <x v="3"/>
    <n v="9"/>
    <m/>
    <m/>
    <x v="1"/>
    <n v="4"/>
    <x v="0"/>
    <m/>
    <m/>
    <n v="38"/>
    <x v="1"/>
    <s v="16/05/2023"/>
    <d v="2023-05-16T00:00:00"/>
    <s v="2023025-36"/>
    <x v="3"/>
  </r>
  <r>
    <x v="388"/>
    <n v="2023025"/>
    <x v="25"/>
    <s v="Chickpea"/>
    <m/>
    <x v="3"/>
    <s v="N"/>
    <x v="1"/>
    <n v="37"/>
    <n v="17"/>
    <x v="1"/>
    <m/>
    <m/>
    <m/>
    <n v="3"/>
    <n v="5"/>
    <m/>
    <m/>
    <m/>
    <m/>
    <n v="1"/>
    <n v="13"/>
    <x v="0"/>
    <n v="10"/>
    <m/>
    <n v="17"/>
    <x v="0"/>
    <n v="2"/>
    <x v="0"/>
    <m/>
    <m/>
    <n v="38"/>
    <x v="1"/>
    <s v="16/05/2023"/>
    <d v="2023-05-16T00:00:00"/>
    <s v="2023025-37"/>
    <x v="3"/>
  </r>
  <r>
    <x v="385"/>
    <n v="2023025"/>
    <x v="25"/>
    <s v="Chickpea"/>
    <m/>
    <x v="8"/>
    <s v="Y"/>
    <x v="1"/>
    <n v="38"/>
    <n v="18"/>
    <x v="1"/>
    <m/>
    <m/>
    <m/>
    <n v="3"/>
    <n v="5"/>
    <m/>
    <m/>
    <m/>
    <m/>
    <n v="2"/>
    <n v="13"/>
    <x v="1"/>
    <n v="10"/>
    <m/>
    <n v="18"/>
    <x v="0"/>
    <n v="3"/>
    <x v="0"/>
    <m/>
    <m/>
    <n v="38"/>
    <x v="1"/>
    <s v="16/05/2023"/>
    <d v="2023-05-16T00:00:00"/>
    <s v="2023025-38"/>
    <x v="3"/>
  </r>
  <r>
    <x v="386"/>
    <n v="2023025"/>
    <x v="25"/>
    <s v="Chickpea"/>
    <m/>
    <x v="9"/>
    <s v="N"/>
    <x v="1"/>
    <n v="39"/>
    <n v="19"/>
    <x v="1"/>
    <m/>
    <m/>
    <m/>
    <n v="3"/>
    <n v="6"/>
    <m/>
    <m/>
    <m/>
    <m/>
    <n v="3"/>
    <n v="13"/>
    <x v="2"/>
    <n v="10"/>
    <m/>
    <n v="19"/>
    <x v="1"/>
    <n v="1"/>
    <x v="0"/>
    <m/>
    <m/>
    <n v="38"/>
    <x v="1"/>
    <s v="16/05/2023"/>
    <d v="2023-05-16T00:00:00"/>
    <s v="2023025-39"/>
    <x v="3"/>
  </r>
  <r>
    <x v="390"/>
    <n v="2023025"/>
    <x v="25"/>
    <s v="Chickpea"/>
    <m/>
    <x v="4"/>
    <s v="Y"/>
    <x v="1"/>
    <n v="40"/>
    <n v="20"/>
    <x v="1"/>
    <m/>
    <m/>
    <m/>
    <n v="3"/>
    <n v="6"/>
    <m/>
    <m/>
    <m/>
    <m/>
    <n v="4"/>
    <n v="13"/>
    <x v="3"/>
    <n v="10"/>
    <m/>
    <n v="20"/>
    <x v="1"/>
    <n v="4"/>
    <x v="0"/>
    <m/>
    <m/>
    <n v="38"/>
    <x v="1"/>
    <s v="16/05/2023"/>
    <d v="2023-05-16T00:00:00"/>
    <s v="2023025-40"/>
    <x v="3"/>
  </r>
  <r>
    <x v="384"/>
    <n v="2023025"/>
    <x v="25"/>
    <s v="Chickpea"/>
    <m/>
    <x v="4"/>
    <s v="Y"/>
    <x v="2"/>
    <n v="41"/>
    <n v="21"/>
    <x v="1"/>
    <m/>
    <m/>
    <m/>
    <n v="3"/>
    <n v="5"/>
    <m/>
    <m/>
    <m/>
    <m/>
    <n v="1"/>
    <n v="14"/>
    <x v="0"/>
    <n v="11"/>
    <m/>
    <m/>
    <x v="0"/>
    <n v="4"/>
    <x v="0"/>
    <m/>
    <m/>
    <n v="38"/>
    <x v="1"/>
    <s v="16/05/2023"/>
    <d v="2023-05-16T00:00:00"/>
    <s v="2023025-41"/>
    <x v="3"/>
  </r>
  <r>
    <x v="389"/>
    <n v="2023025"/>
    <x v="25"/>
    <s v="Chickpea"/>
    <m/>
    <x v="9"/>
    <s v="N"/>
    <x v="2"/>
    <n v="42"/>
    <n v="22"/>
    <x v="1"/>
    <m/>
    <m/>
    <m/>
    <n v="3"/>
    <n v="5"/>
    <m/>
    <m/>
    <m/>
    <m/>
    <n v="2"/>
    <n v="14"/>
    <x v="1"/>
    <n v="11"/>
    <m/>
    <m/>
    <x v="0"/>
    <n v="1"/>
    <x v="0"/>
    <m/>
    <m/>
    <n v="38"/>
    <x v="1"/>
    <s v="16/05/2023"/>
    <d v="2023-05-16T00:00:00"/>
    <s v="2023025-42"/>
    <x v="3"/>
  </r>
  <r>
    <x v="391"/>
    <n v="2023025"/>
    <x v="25"/>
    <s v="Chickpea"/>
    <m/>
    <x v="8"/>
    <s v="Y"/>
    <x v="2"/>
    <n v="43"/>
    <n v="23"/>
    <x v="1"/>
    <m/>
    <m/>
    <m/>
    <n v="3"/>
    <n v="6"/>
    <m/>
    <m/>
    <m/>
    <m/>
    <n v="3"/>
    <n v="14"/>
    <x v="2"/>
    <n v="11"/>
    <m/>
    <m/>
    <x v="1"/>
    <n v="3"/>
    <x v="0"/>
    <m/>
    <m/>
    <n v="38"/>
    <x v="1"/>
    <s v="16/05/2023"/>
    <d v="2023-05-16T00:00:00"/>
    <s v="2023025-43"/>
    <x v="3"/>
  </r>
  <r>
    <x v="387"/>
    <n v="2023025"/>
    <x v="25"/>
    <s v="Chickpea"/>
    <m/>
    <x v="3"/>
    <s v="N"/>
    <x v="2"/>
    <n v="44"/>
    <n v="24"/>
    <x v="1"/>
    <m/>
    <m/>
    <m/>
    <n v="3"/>
    <n v="6"/>
    <m/>
    <m/>
    <m/>
    <m/>
    <n v="4"/>
    <n v="14"/>
    <x v="3"/>
    <n v="11"/>
    <m/>
    <m/>
    <x v="1"/>
    <n v="2"/>
    <x v="0"/>
    <m/>
    <m/>
    <n v="38"/>
    <x v="1"/>
    <s v="16/05/2023"/>
    <d v="2023-05-16T00:00:00"/>
    <s v="2023025-44"/>
    <x v="3"/>
  </r>
  <r>
    <x v="384"/>
    <n v="2023025"/>
    <x v="25"/>
    <s v="Chickpea"/>
    <m/>
    <x v="4"/>
    <s v="Y"/>
    <x v="1"/>
    <n v="45"/>
    <n v="21"/>
    <x v="1"/>
    <m/>
    <m/>
    <m/>
    <n v="3"/>
    <n v="5"/>
    <m/>
    <m/>
    <m/>
    <m/>
    <n v="1"/>
    <n v="15"/>
    <x v="0"/>
    <n v="12"/>
    <m/>
    <n v="24"/>
    <x v="0"/>
    <n v="4"/>
    <x v="0"/>
    <m/>
    <m/>
    <n v="38"/>
    <x v="1"/>
    <s v="16/05/2023"/>
    <d v="2023-05-16T00:00:00"/>
    <s v="2023025-45"/>
    <x v="3"/>
  </r>
  <r>
    <x v="389"/>
    <n v="2023025"/>
    <x v="25"/>
    <s v="Chickpea"/>
    <m/>
    <x v="9"/>
    <s v="N"/>
    <x v="1"/>
    <n v="46"/>
    <n v="22"/>
    <x v="1"/>
    <m/>
    <m/>
    <m/>
    <n v="3"/>
    <n v="5"/>
    <m/>
    <m/>
    <m/>
    <m/>
    <n v="2"/>
    <n v="15"/>
    <x v="1"/>
    <n v="12"/>
    <m/>
    <n v="23"/>
    <x v="0"/>
    <n v="1"/>
    <x v="0"/>
    <m/>
    <m/>
    <n v="38"/>
    <x v="1"/>
    <s v="16/05/2023"/>
    <d v="2023-05-16T00:00:00"/>
    <s v="2023025-46"/>
    <x v="3"/>
  </r>
  <r>
    <x v="391"/>
    <n v="2023025"/>
    <x v="25"/>
    <s v="Chickpea"/>
    <m/>
    <x v="8"/>
    <s v="Y"/>
    <x v="1"/>
    <n v="47"/>
    <n v="23"/>
    <x v="1"/>
    <m/>
    <m/>
    <m/>
    <n v="3"/>
    <n v="6"/>
    <m/>
    <m/>
    <m/>
    <m/>
    <n v="3"/>
    <n v="15"/>
    <x v="2"/>
    <n v="12"/>
    <m/>
    <n v="22"/>
    <x v="1"/>
    <n v="3"/>
    <x v="0"/>
    <m/>
    <m/>
    <n v="38"/>
    <x v="1"/>
    <s v="16/05/2023"/>
    <d v="2023-05-16T00:00:00"/>
    <s v="2023025-47"/>
    <x v="3"/>
  </r>
  <r>
    <x v="387"/>
    <n v="2023025"/>
    <x v="25"/>
    <s v="Chickpea"/>
    <m/>
    <x v="3"/>
    <s v="N"/>
    <x v="1"/>
    <n v="48"/>
    <n v="24"/>
    <x v="1"/>
    <m/>
    <m/>
    <m/>
    <n v="3"/>
    <n v="6"/>
    <m/>
    <m/>
    <m/>
    <m/>
    <n v="4"/>
    <n v="15"/>
    <x v="3"/>
    <n v="12"/>
    <m/>
    <n v="21"/>
    <x v="1"/>
    <n v="2"/>
    <x v="0"/>
    <m/>
    <m/>
    <n v="38"/>
    <x v="1"/>
    <s v="16/05/2023"/>
    <d v="2023-05-16T00:00:00"/>
    <s v="2023025-48"/>
    <x v="3"/>
  </r>
  <r>
    <x v="397"/>
    <n v="2023025"/>
    <x v="25"/>
    <s v="Chickpea"/>
    <m/>
    <x v="4"/>
    <s v="Y"/>
    <x v="2"/>
    <n v="49"/>
    <n v="25"/>
    <x v="1"/>
    <m/>
    <m/>
    <m/>
    <n v="4"/>
    <n v="7"/>
    <m/>
    <m/>
    <m/>
    <m/>
    <n v="1"/>
    <n v="17"/>
    <x v="0"/>
    <n v="13"/>
    <m/>
    <m/>
    <x v="1"/>
    <n v="4"/>
    <x v="0"/>
    <m/>
    <m/>
    <n v="38"/>
    <x v="2"/>
    <s v="3/07/2023"/>
    <d v="2023-07-03T00:00:00"/>
    <s v="2023025-49"/>
    <x v="3"/>
  </r>
  <r>
    <x v="393"/>
    <n v="2023025"/>
    <x v="25"/>
    <s v="Chickpea"/>
    <m/>
    <x v="8"/>
    <s v="Y"/>
    <x v="2"/>
    <n v="50"/>
    <n v="26"/>
    <x v="1"/>
    <m/>
    <m/>
    <m/>
    <n v="4"/>
    <n v="7"/>
    <m/>
    <m/>
    <m/>
    <m/>
    <n v="2"/>
    <n v="17"/>
    <x v="1"/>
    <n v="13"/>
    <m/>
    <m/>
    <x v="1"/>
    <n v="3"/>
    <x v="0"/>
    <m/>
    <m/>
    <n v="38"/>
    <x v="2"/>
    <s v="3/07/2023"/>
    <d v="2023-07-03T00:00:00"/>
    <s v="2023025-50"/>
    <x v="3"/>
  </r>
  <r>
    <x v="394"/>
    <n v="2023025"/>
    <x v="25"/>
    <s v="Chickpea"/>
    <m/>
    <x v="3"/>
    <s v="N"/>
    <x v="2"/>
    <n v="51"/>
    <n v="27"/>
    <x v="1"/>
    <m/>
    <m/>
    <m/>
    <n v="4"/>
    <n v="8"/>
    <m/>
    <m/>
    <m/>
    <m/>
    <n v="3"/>
    <n v="17"/>
    <x v="2"/>
    <n v="13"/>
    <m/>
    <m/>
    <x v="0"/>
    <n v="2"/>
    <x v="0"/>
    <m/>
    <m/>
    <n v="38"/>
    <x v="2"/>
    <s v="3/07/2023"/>
    <d v="2023-07-03T00:00:00"/>
    <s v="2023025-51"/>
    <x v="3"/>
  </r>
  <r>
    <x v="399"/>
    <n v="2023025"/>
    <x v="25"/>
    <s v="Chickpea"/>
    <m/>
    <x v="9"/>
    <s v="N"/>
    <x v="2"/>
    <n v="52"/>
    <n v="28"/>
    <x v="1"/>
    <m/>
    <m/>
    <m/>
    <n v="4"/>
    <n v="8"/>
    <m/>
    <m/>
    <m/>
    <m/>
    <n v="4"/>
    <n v="17"/>
    <x v="3"/>
    <n v="13"/>
    <m/>
    <m/>
    <x v="0"/>
    <n v="1"/>
    <x v="0"/>
    <m/>
    <m/>
    <n v="38"/>
    <x v="2"/>
    <s v="3/07/2023"/>
    <d v="2023-07-03T00:00:00"/>
    <s v="2023025-52"/>
    <x v="3"/>
  </r>
  <r>
    <x v="397"/>
    <n v="2023025"/>
    <x v="25"/>
    <s v="Chickpea"/>
    <m/>
    <x v="4"/>
    <s v="Y"/>
    <x v="1"/>
    <n v="53"/>
    <n v="25"/>
    <x v="1"/>
    <m/>
    <m/>
    <m/>
    <n v="4"/>
    <n v="7"/>
    <m/>
    <m/>
    <m/>
    <m/>
    <n v="1"/>
    <n v="18"/>
    <x v="0"/>
    <n v="14"/>
    <m/>
    <n v="25"/>
    <x v="1"/>
    <n v="4"/>
    <x v="0"/>
    <m/>
    <m/>
    <n v="38"/>
    <x v="2"/>
    <s v="3/07/2023"/>
    <d v="2023-07-03T00:00:00"/>
    <s v="2023025-53"/>
    <x v="3"/>
  </r>
  <r>
    <x v="393"/>
    <n v="2023025"/>
    <x v="25"/>
    <s v="Chickpea"/>
    <m/>
    <x v="8"/>
    <s v="Y"/>
    <x v="1"/>
    <n v="54"/>
    <n v="26"/>
    <x v="1"/>
    <m/>
    <m/>
    <m/>
    <n v="4"/>
    <n v="7"/>
    <m/>
    <m/>
    <m/>
    <m/>
    <n v="2"/>
    <n v="18"/>
    <x v="1"/>
    <n v="14"/>
    <m/>
    <n v="26"/>
    <x v="1"/>
    <n v="3"/>
    <x v="0"/>
    <m/>
    <m/>
    <n v="38"/>
    <x v="2"/>
    <s v="3/07/2023"/>
    <d v="2023-07-03T00:00:00"/>
    <s v="2023025-54"/>
    <x v="3"/>
  </r>
  <r>
    <x v="394"/>
    <n v="2023025"/>
    <x v="25"/>
    <s v="Chickpea"/>
    <m/>
    <x v="3"/>
    <s v="N"/>
    <x v="1"/>
    <n v="55"/>
    <n v="27"/>
    <x v="1"/>
    <m/>
    <m/>
    <m/>
    <n v="4"/>
    <n v="8"/>
    <m/>
    <m/>
    <m/>
    <m/>
    <n v="3"/>
    <n v="18"/>
    <x v="2"/>
    <n v="14"/>
    <m/>
    <n v="27"/>
    <x v="0"/>
    <n v="2"/>
    <x v="0"/>
    <m/>
    <m/>
    <n v="38"/>
    <x v="2"/>
    <s v="3/07/2023"/>
    <d v="2023-07-03T00:00:00"/>
    <s v="2023025-55"/>
    <x v="3"/>
  </r>
  <r>
    <x v="399"/>
    <n v="2023025"/>
    <x v="25"/>
    <s v="Chickpea"/>
    <m/>
    <x v="9"/>
    <s v="N"/>
    <x v="1"/>
    <n v="56"/>
    <n v="28"/>
    <x v="1"/>
    <m/>
    <m/>
    <m/>
    <n v="4"/>
    <n v="8"/>
    <m/>
    <m/>
    <m/>
    <m/>
    <n v="4"/>
    <n v="18"/>
    <x v="3"/>
    <n v="14"/>
    <m/>
    <n v="28"/>
    <x v="0"/>
    <n v="1"/>
    <x v="0"/>
    <m/>
    <m/>
    <n v="38"/>
    <x v="2"/>
    <s v="3/07/2023"/>
    <d v="2023-07-03T00:00:00"/>
    <s v="2023025-56"/>
    <x v="3"/>
  </r>
  <r>
    <x v="392"/>
    <n v="2023025"/>
    <x v="25"/>
    <s v="Chickpea"/>
    <m/>
    <x v="9"/>
    <s v="N"/>
    <x v="2"/>
    <n v="57"/>
    <n v="29"/>
    <x v="1"/>
    <m/>
    <m/>
    <m/>
    <n v="4"/>
    <n v="7"/>
    <m/>
    <m/>
    <m/>
    <m/>
    <n v="1"/>
    <n v="19"/>
    <x v="0"/>
    <n v="15"/>
    <m/>
    <m/>
    <x v="1"/>
    <n v="1"/>
    <x v="0"/>
    <m/>
    <m/>
    <n v="38"/>
    <x v="2"/>
    <s v="3/07/2023"/>
    <d v="2023-07-03T00:00:00"/>
    <s v="2023025-57"/>
    <x v="3"/>
  </r>
  <r>
    <x v="396"/>
    <n v="2023025"/>
    <x v="25"/>
    <s v="Chickpea"/>
    <m/>
    <x v="3"/>
    <s v="N"/>
    <x v="2"/>
    <n v="58"/>
    <n v="30"/>
    <x v="1"/>
    <m/>
    <m/>
    <m/>
    <n v="4"/>
    <n v="7"/>
    <m/>
    <m/>
    <m/>
    <m/>
    <n v="2"/>
    <n v="19"/>
    <x v="1"/>
    <n v="15"/>
    <m/>
    <m/>
    <x v="1"/>
    <n v="2"/>
    <x v="0"/>
    <m/>
    <m/>
    <n v="38"/>
    <x v="2"/>
    <s v="3/07/2023"/>
    <d v="2023-07-03T00:00:00"/>
    <s v="2023025-58"/>
    <x v="3"/>
  </r>
  <r>
    <x v="398"/>
    <n v="2023025"/>
    <x v="25"/>
    <s v="Chickpea"/>
    <m/>
    <x v="8"/>
    <s v="Y"/>
    <x v="2"/>
    <n v="59"/>
    <n v="31"/>
    <x v="1"/>
    <m/>
    <m/>
    <m/>
    <n v="4"/>
    <n v="8"/>
    <m/>
    <m/>
    <m/>
    <m/>
    <n v="3"/>
    <n v="19"/>
    <x v="2"/>
    <n v="15"/>
    <m/>
    <m/>
    <x v="0"/>
    <n v="3"/>
    <x v="0"/>
    <m/>
    <m/>
    <n v="38"/>
    <x v="2"/>
    <s v="3/07/2023"/>
    <d v="2023-07-03T00:00:00"/>
    <s v="2023025-59"/>
    <x v="3"/>
  </r>
  <r>
    <x v="395"/>
    <n v="2023025"/>
    <x v="25"/>
    <s v="Chickpea"/>
    <m/>
    <x v="4"/>
    <s v="Y"/>
    <x v="2"/>
    <n v="60"/>
    <n v="32"/>
    <x v="1"/>
    <m/>
    <m/>
    <m/>
    <n v="4"/>
    <n v="8"/>
    <m/>
    <m/>
    <m/>
    <m/>
    <n v="4"/>
    <n v="19"/>
    <x v="3"/>
    <n v="15"/>
    <m/>
    <m/>
    <x v="0"/>
    <n v="4"/>
    <x v="0"/>
    <m/>
    <m/>
    <n v="38"/>
    <x v="2"/>
    <s v="3/07/2023"/>
    <d v="2023-07-03T00:00:00"/>
    <s v="2023025-60"/>
    <x v="3"/>
  </r>
  <r>
    <x v="392"/>
    <n v="2023025"/>
    <x v="25"/>
    <s v="Chickpea"/>
    <m/>
    <x v="9"/>
    <s v="N"/>
    <x v="1"/>
    <n v="61"/>
    <n v="29"/>
    <x v="1"/>
    <m/>
    <m/>
    <m/>
    <n v="4"/>
    <n v="7"/>
    <m/>
    <m/>
    <m/>
    <m/>
    <n v="1"/>
    <n v="20"/>
    <x v="0"/>
    <n v="16"/>
    <m/>
    <n v="32"/>
    <x v="1"/>
    <n v="1"/>
    <x v="0"/>
    <m/>
    <m/>
    <n v="38"/>
    <x v="2"/>
    <s v="3/07/2023"/>
    <d v="2023-07-03T00:00:00"/>
    <s v="2023025-61"/>
    <x v="3"/>
  </r>
  <r>
    <x v="396"/>
    <n v="2023025"/>
    <x v="25"/>
    <s v="Chickpea"/>
    <m/>
    <x v="3"/>
    <s v="N"/>
    <x v="1"/>
    <n v="62"/>
    <n v="30"/>
    <x v="1"/>
    <m/>
    <m/>
    <m/>
    <n v="4"/>
    <n v="7"/>
    <m/>
    <m/>
    <m/>
    <m/>
    <n v="2"/>
    <n v="20"/>
    <x v="1"/>
    <n v="16"/>
    <m/>
    <n v="31"/>
    <x v="1"/>
    <n v="2"/>
    <x v="0"/>
    <m/>
    <m/>
    <n v="38"/>
    <x v="2"/>
    <s v="3/07/2023"/>
    <d v="2023-07-03T00:00:00"/>
    <s v="2023025-62"/>
    <x v="3"/>
  </r>
  <r>
    <x v="398"/>
    <n v="2023025"/>
    <x v="25"/>
    <s v="Chickpea"/>
    <m/>
    <x v="8"/>
    <s v="Y"/>
    <x v="1"/>
    <n v="63"/>
    <n v="31"/>
    <x v="1"/>
    <m/>
    <m/>
    <m/>
    <n v="4"/>
    <n v="8"/>
    <m/>
    <m/>
    <m/>
    <m/>
    <n v="3"/>
    <n v="20"/>
    <x v="2"/>
    <n v="16"/>
    <m/>
    <n v="30"/>
    <x v="0"/>
    <n v="3"/>
    <x v="0"/>
    <m/>
    <m/>
    <n v="38"/>
    <x v="2"/>
    <s v="3/07/2023"/>
    <d v="2023-07-03T00:00:00"/>
    <s v="2023025-63"/>
    <x v="3"/>
  </r>
  <r>
    <x v="395"/>
    <n v="2023025"/>
    <x v="25"/>
    <s v="Chickpea"/>
    <m/>
    <x v="4"/>
    <s v="Y"/>
    <x v="1"/>
    <n v="64"/>
    <n v="32"/>
    <x v="1"/>
    <m/>
    <m/>
    <m/>
    <n v="4"/>
    <n v="8"/>
    <m/>
    <m/>
    <m/>
    <m/>
    <n v="4"/>
    <n v="20"/>
    <x v="3"/>
    <n v="16"/>
    <m/>
    <n v="29"/>
    <x v="0"/>
    <n v="4"/>
    <x v="0"/>
    <m/>
    <m/>
    <n v="38"/>
    <x v="2"/>
    <s v="3/07/2023"/>
    <d v="2023-07-03T00:00:00"/>
    <s v="2023025-64"/>
    <x v="3"/>
  </r>
  <r>
    <x v="397"/>
    <n v="2023025"/>
    <x v="25"/>
    <s v="Chickpea"/>
    <m/>
    <x v="4"/>
    <s v="Y"/>
    <x v="2"/>
    <n v="65"/>
    <n v="33"/>
    <x v="2"/>
    <m/>
    <m/>
    <m/>
    <n v="5"/>
    <n v="9"/>
    <m/>
    <m/>
    <m/>
    <m/>
    <n v="1"/>
    <n v="22"/>
    <x v="0"/>
    <n v="17"/>
    <m/>
    <m/>
    <x v="1"/>
    <n v="4"/>
    <x v="0"/>
    <m/>
    <m/>
    <n v="38"/>
    <x v="2"/>
    <s v="3/07/2023"/>
    <d v="2023-07-03T00:00:00"/>
    <s v="2023025-65"/>
    <x v="3"/>
  </r>
  <r>
    <x v="392"/>
    <n v="2023025"/>
    <x v="25"/>
    <s v="Chickpea"/>
    <m/>
    <x v="9"/>
    <s v="N"/>
    <x v="2"/>
    <n v="66"/>
    <n v="34"/>
    <x v="2"/>
    <m/>
    <m/>
    <m/>
    <n v="5"/>
    <n v="9"/>
    <m/>
    <m/>
    <m/>
    <m/>
    <n v="2"/>
    <n v="22"/>
    <x v="1"/>
    <n v="17"/>
    <m/>
    <m/>
    <x v="1"/>
    <n v="1"/>
    <x v="0"/>
    <m/>
    <m/>
    <n v="38"/>
    <x v="2"/>
    <s v="3/07/2023"/>
    <d v="2023-07-03T00:00:00"/>
    <s v="2023025-66"/>
    <x v="3"/>
  </r>
  <r>
    <x v="394"/>
    <n v="2023025"/>
    <x v="25"/>
    <s v="Chickpea"/>
    <m/>
    <x v="3"/>
    <s v="N"/>
    <x v="2"/>
    <n v="67"/>
    <n v="35"/>
    <x v="2"/>
    <m/>
    <m/>
    <m/>
    <n v="5"/>
    <n v="10"/>
    <m/>
    <m/>
    <m/>
    <m/>
    <n v="3"/>
    <n v="22"/>
    <x v="2"/>
    <n v="17"/>
    <m/>
    <m/>
    <x v="0"/>
    <n v="2"/>
    <x v="0"/>
    <m/>
    <m/>
    <n v="38"/>
    <x v="2"/>
    <s v="3/07/2023"/>
    <d v="2023-07-03T00:00:00"/>
    <s v="2023025-67"/>
    <x v="3"/>
  </r>
  <r>
    <x v="398"/>
    <n v="2023025"/>
    <x v="25"/>
    <s v="Chickpea"/>
    <m/>
    <x v="8"/>
    <s v="Y"/>
    <x v="2"/>
    <n v="68"/>
    <n v="36"/>
    <x v="2"/>
    <m/>
    <m/>
    <m/>
    <n v="5"/>
    <n v="10"/>
    <m/>
    <m/>
    <m/>
    <m/>
    <n v="4"/>
    <n v="22"/>
    <x v="3"/>
    <n v="17"/>
    <m/>
    <m/>
    <x v="0"/>
    <n v="3"/>
    <x v="0"/>
    <m/>
    <m/>
    <n v="38"/>
    <x v="2"/>
    <s v="3/07/2023"/>
    <d v="2023-07-03T00:00:00"/>
    <s v="2023025-68"/>
    <x v="3"/>
  </r>
  <r>
    <x v="397"/>
    <n v="2023025"/>
    <x v="25"/>
    <s v="Chickpea"/>
    <m/>
    <x v="4"/>
    <s v="Y"/>
    <x v="1"/>
    <n v="69"/>
    <n v="33"/>
    <x v="2"/>
    <m/>
    <m/>
    <m/>
    <n v="5"/>
    <n v="9"/>
    <m/>
    <m/>
    <m/>
    <m/>
    <n v="1"/>
    <n v="23"/>
    <x v="0"/>
    <n v="18"/>
    <m/>
    <n v="33"/>
    <x v="1"/>
    <n v="4"/>
    <x v="0"/>
    <m/>
    <m/>
    <n v="38"/>
    <x v="2"/>
    <s v="3/07/2023"/>
    <d v="2023-07-03T00:00:00"/>
    <s v="2023025-69"/>
    <x v="3"/>
  </r>
  <r>
    <x v="392"/>
    <n v="2023025"/>
    <x v="25"/>
    <s v="Chickpea"/>
    <m/>
    <x v="9"/>
    <s v="N"/>
    <x v="1"/>
    <n v="70"/>
    <n v="34"/>
    <x v="2"/>
    <m/>
    <m/>
    <m/>
    <n v="5"/>
    <n v="9"/>
    <m/>
    <m/>
    <m/>
    <m/>
    <n v="2"/>
    <n v="23"/>
    <x v="1"/>
    <n v="18"/>
    <m/>
    <n v="34"/>
    <x v="1"/>
    <n v="1"/>
    <x v="0"/>
    <m/>
    <m/>
    <n v="38"/>
    <x v="2"/>
    <s v="3/07/2023"/>
    <d v="2023-07-03T00:00:00"/>
    <s v="2023025-70"/>
    <x v="3"/>
  </r>
  <r>
    <x v="394"/>
    <n v="2023025"/>
    <x v="25"/>
    <s v="Chickpea"/>
    <m/>
    <x v="3"/>
    <s v="N"/>
    <x v="1"/>
    <n v="71"/>
    <n v="35"/>
    <x v="2"/>
    <m/>
    <m/>
    <m/>
    <n v="5"/>
    <n v="10"/>
    <m/>
    <m/>
    <m/>
    <m/>
    <n v="3"/>
    <n v="23"/>
    <x v="2"/>
    <n v="18"/>
    <m/>
    <n v="35"/>
    <x v="0"/>
    <n v="2"/>
    <x v="0"/>
    <m/>
    <m/>
    <n v="38"/>
    <x v="2"/>
    <s v="3/07/2023"/>
    <d v="2023-07-03T00:00:00"/>
    <s v="2023025-71"/>
    <x v="3"/>
  </r>
  <r>
    <x v="398"/>
    <n v="2023025"/>
    <x v="25"/>
    <s v="Chickpea"/>
    <m/>
    <x v="8"/>
    <s v="Y"/>
    <x v="1"/>
    <n v="72"/>
    <n v="36"/>
    <x v="2"/>
    <m/>
    <m/>
    <m/>
    <n v="5"/>
    <n v="10"/>
    <m/>
    <m/>
    <m/>
    <m/>
    <n v="4"/>
    <n v="23"/>
    <x v="3"/>
    <n v="18"/>
    <m/>
    <n v="36"/>
    <x v="0"/>
    <n v="3"/>
    <x v="0"/>
    <m/>
    <m/>
    <n v="38"/>
    <x v="2"/>
    <s v="3/07/2023"/>
    <d v="2023-07-03T00:00:00"/>
    <s v="2023025-72"/>
    <x v="3"/>
  </r>
  <r>
    <x v="393"/>
    <n v="2023025"/>
    <x v="25"/>
    <s v="Chickpea"/>
    <m/>
    <x v="8"/>
    <s v="Y"/>
    <x v="2"/>
    <n v="73"/>
    <n v="37"/>
    <x v="2"/>
    <m/>
    <m/>
    <m/>
    <n v="5"/>
    <n v="9"/>
    <m/>
    <m/>
    <m/>
    <m/>
    <n v="1"/>
    <n v="24"/>
    <x v="0"/>
    <n v="19"/>
    <m/>
    <m/>
    <x v="1"/>
    <n v="3"/>
    <x v="0"/>
    <m/>
    <m/>
    <n v="38"/>
    <x v="2"/>
    <s v="3/07/2023"/>
    <d v="2023-07-03T00:00:00"/>
    <s v="2023025-73"/>
    <x v="3"/>
  </r>
  <r>
    <x v="396"/>
    <n v="2023025"/>
    <x v="25"/>
    <s v="Chickpea"/>
    <m/>
    <x v="3"/>
    <s v="N"/>
    <x v="2"/>
    <n v="74"/>
    <n v="38"/>
    <x v="2"/>
    <m/>
    <m/>
    <m/>
    <n v="5"/>
    <n v="9"/>
    <m/>
    <m/>
    <m/>
    <m/>
    <n v="2"/>
    <n v="24"/>
    <x v="1"/>
    <n v="19"/>
    <m/>
    <m/>
    <x v="1"/>
    <n v="2"/>
    <x v="0"/>
    <m/>
    <m/>
    <n v="38"/>
    <x v="2"/>
    <s v="3/07/2023"/>
    <d v="2023-07-03T00:00:00"/>
    <s v="2023025-74"/>
    <x v="3"/>
  </r>
  <r>
    <x v="395"/>
    <n v="2023025"/>
    <x v="25"/>
    <s v="Chickpea"/>
    <m/>
    <x v="4"/>
    <s v="Y"/>
    <x v="2"/>
    <n v="75"/>
    <n v="39"/>
    <x v="2"/>
    <m/>
    <m/>
    <m/>
    <n v="5"/>
    <n v="10"/>
    <m/>
    <m/>
    <m/>
    <m/>
    <n v="3"/>
    <n v="24"/>
    <x v="2"/>
    <n v="19"/>
    <m/>
    <m/>
    <x v="0"/>
    <n v="4"/>
    <x v="0"/>
    <m/>
    <m/>
    <n v="38"/>
    <x v="2"/>
    <s v="3/07/2023"/>
    <d v="2023-07-03T00:00:00"/>
    <s v="2023025-75"/>
    <x v="3"/>
  </r>
  <r>
    <x v="399"/>
    <n v="2023025"/>
    <x v="25"/>
    <s v="Chickpea"/>
    <m/>
    <x v="9"/>
    <s v="N"/>
    <x v="2"/>
    <n v="76"/>
    <n v="40"/>
    <x v="2"/>
    <m/>
    <m/>
    <m/>
    <n v="5"/>
    <n v="10"/>
    <m/>
    <m/>
    <m/>
    <m/>
    <n v="4"/>
    <n v="24"/>
    <x v="3"/>
    <n v="19"/>
    <m/>
    <m/>
    <x v="0"/>
    <n v="1"/>
    <x v="0"/>
    <m/>
    <m/>
    <n v="38"/>
    <x v="2"/>
    <s v="3/07/2023"/>
    <d v="2023-07-03T00:00:00"/>
    <s v="2023025-76"/>
    <x v="3"/>
  </r>
  <r>
    <x v="393"/>
    <n v="2023025"/>
    <x v="25"/>
    <s v="Chickpea"/>
    <m/>
    <x v="8"/>
    <s v="Y"/>
    <x v="1"/>
    <n v="77"/>
    <n v="37"/>
    <x v="2"/>
    <m/>
    <m/>
    <m/>
    <n v="5"/>
    <n v="9"/>
    <m/>
    <m/>
    <m/>
    <m/>
    <n v="1"/>
    <n v="25"/>
    <x v="0"/>
    <n v="20"/>
    <m/>
    <n v="40"/>
    <x v="1"/>
    <n v="3"/>
    <x v="0"/>
    <m/>
    <m/>
    <n v="38"/>
    <x v="2"/>
    <s v="3/07/2023"/>
    <d v="2023-07-03T00:00:00"/>
    <s v="2023025-77"/>
    <x v="3"/>
  </r>
  <r>
    <x v="396"/>
    <n v="2023025"/>
    <x v="25"/>
    <s v="Chickpea"/>
    <m/>
    <x v="3"/>
    <s v="N"/>
    <x v="1"/>
    <n v="78"/>
    <n v="38"/>
    <x v="2"/>
    <m/>
    <m/>
    <m/>
    <n v="5"/>
    <n v="9"/>
    <m/>
    <m/>
    <m/>
    <m/>
    <n v="2"/>
    <n v="25"/>
    <x v="1"/>
    <n v="20"/>
    <m/>
    <n v="39"/>
    <x v="1"/>
    <n v="2"/>
    <x v="0"/>
    <m/>
    <m/>
    <n v="38"/>
    <x v="2"/>
    <s v="3/07/2023"/>
    <d v="2023-07-03T00:00:00"/>
    <s v="2023025-78"/>
    <x v="3"/>
  </r>
  <r>
    <x v="395"/>
    <n v="2023025"/>
    <x v="25"/>
    <s v="Chickpea"/>
    <m/>
    <x v="4"/>
    <s v="Y"/>
    <x v="1"/>
    <n v="79"/>
    <n v="39"/>
    <x v="2"/>
    <m/>
    <m/>
    <m/>
    <n v="5"/>
    <n v="10"/>
    <m/>
    <m/>
    <m/>
    <m/>
    <n v="3"/>
    <n v="25"/>
    <x v="2"/>
    <n v="20"/>
    <m/>
    <n v="38"/>
    <x v="0"/>
    <n v="4"/>
    <x v="0"/>
    <m/>
    <m/>
    <n v="38"/>
    <x v="2"/>
    <s v="3/07/2023"/>
    <d v="2023-07-03T00:00:00"/>
    <s v="2023025-79"/>
    <x v="3"/>
  </r>
  <r>
    <x v="399"/>
    <n v="2023025"/>
    <x v="25"/>
    <s v="Chickpea"/>
    <m/>
    <x v="9"/>
    <s v="N"/>
    <x v="1"/>
    <n v="80"/>
    <n v="40"/>
    <x v="2"/>
    <m/>
    <m/>
    <m/>
    <n v="5"/>
    <n v="10"/>
    <m/>
    <m/>
    <m/>
    <m/>
    <n v="4"/>
    <n v="25"/>
    <x v="3"/>
    <n v="20"/>
    <m/>
    <n v="37"/>
    <x v="0"/>
    <n v="1"/>
    <x v="0"/>
    <m/>
    <m/>
    <n v="38"/>
    <x v="2"/>
    <s v="3/07/2023"/>
    <d v="2023-07-03T00:00:00"/>
    <s v="2023025-80"/>
    <x v="3"/>
  </r>
  <r>
    <x v="391"/>
    <n v="2023025"/>
    <x v="25"/>
    <s v="Chickpea"/>
    <m/>
    <x v="8"/>
    <s v="Y"/>
    <x v="2"/>
    <n v="81"/>
    <n v="41"/>
    <x v="2"/>
    <m/>
    <m/>
    <m/>
    <n v="6"/>
    <n v="11"/>
    <m/>
    <m/>
    <m/>
    <m/>
    <n v="1"/>
    <n v="27"/>
    <x v="0"/>
    <n v="21"/>
    <m/>
    <m/>
    <x v="1"/>
    <n v="3"/>
    <x v="0"/>
    <m/>
    <m/>
    <n v="38"/>
    <x v="1"/>
    <s v="16/05/2023"/>
    <d v="2023-05-16T00:00:00"/>
    <s v="2023025-81"/>
    <x v="3"/>
  </r>
  <r>
    <x v="386"/>
    <n v="2023025"/>
    <x v="25"/>
    <s v="Chickpea"/>
    <m/>
    <x v="9"/>
    <s v="N"/>
    <x v="2"/>
    <n v="82"/>
    <n v="42"/>
    <x v="2"/>
    <m/>
    <m/>
    <m/>
    <n v="6"/>
    <n v="11"/>
    <m/>
    <m/>
    <m/>
    <m/>
    <n v="2"/>
    <n v="27"/>
    <x v="1"/>
    <n v="21"/>
    <m/>
    <m/>
    <x v="1"/>
    <n v="1"/>
    <x v="0"/>
    <m/>
    <m/>
    <n v="38"/>
    <x v="1"/>
    <s v="16/05/2023"/>
    <d v="2023-05-16T00:00:00"/>
    <s v="2023025-82"/>
    <x v="3"/>
  </r>
  <r>
    <x v="384"/>
    <n v="2023025"/>
    <x v="25"/>
    <s v="Chickpea"/>
    <m/>
    <x v="4"/>
    <s v="Y"/>
    <x v="2"/>
    <n v="83"/>
    <n v="43"/>
    <x v="2"/>
    <m/>
    <m/>
    <m/>
    <n v="6"/>
    <n v="12"/>
    <m/>
    <m/>
    <m/>
    <m/>
    <n v="3"/>
    <n v="27"/>
    <x v="2"/>
    <n v="21"/>
    <m/>
    <m/>
    <x v="0"/>
    <n v="4"/>
    <x v="0"/>
    <m/>
    <m/>
    <n v="38"/>
    <x v="1"/>
    <s v="16/05/2023"/>
    <d v="2023-05-16T00:00:00"/>
    <s v="2023025-83"/>
    <x v="3"/>
  </r>
  <r>
    <x v="388"/>
    <n v="2023025"/>
    <x v="25"/>
    <s v="Chickpea"/>
    <m/>
    <x v="3"/>
    <s v="N"/>
    <x v="2"/>
    <n v="84"/>
    <n v="44"/>
    <x v="2"/>
    <m/>
    <m/>
    <m/>
    <n v="6"/>
    <n v="12"/>
    <m/>
    <m/>
    <m/>
    <m/>
    <n v="4"/>
    <n v="27"/>
    <x v="3"/>
    <n v="21"/>
    <m/>
    <m/>
    <x v="0"/>
    <n v="2"/>
    <x v="0"/>
    <m/>
    <m/>
    <n v="38"/>
    <x v="1"/>
    <s v="16/05/2023"/>
    <d v="2023-05-16T00:00:00"/>
    <s v="2023025-84"/>
    <x v="3"/>
  </r>
  <r>
    <x v="391"/>
    <n v="2023025"/>
    <x v="25"/>
    <s v="Chickpea"/>
    <m/>
    <x v="8"/>
    <s v="Y"/>
    <x v="1"/>
    <n v="85"/>
    <n v="41"/>
    <x v="2"/>
    <m/>
    <m/>
    <m/>
    <n v="6"/>
    <n v="11"/>
    <m/>
    <m/>
    <m/>
    <m/>
    <n v="1"/>
    <n v="28"/>
    <x v="0"/>
    <n v="22"/>
    <m/>
    <n v="41"/>
    <x v="1"/>
    <n v="3"/>
    <x v="0"/>
    <m/>
    <m/>
    <n v="38"/>
    <x v="1"/>
    <s v="16/05/2023"/>
    <d v="2023-05-16T00:00:00"/>
    <s v="2023025-85"/>
    <x v="3"/>
  </r>
  <r>
    <x v="386"/>
    <n v="2023025"/>
    <x v="25"/>
    <s v="Chickpea"/>
    <m/>
    <x v="9"/>
    <s v="N"/>
    <x v="1"/>
    <n v="86"/>
    <n v="42"/>
    <x v="2"/>
    <m/>
    <m/>
    <m/>
    <n v="6"/>
    <n v="11"/>
    <m/>
    <m/>
    <m/>
    <m/>
    <n v="2"/>
    <n v="28"/>
    <x v="1"/>
    <n v="22"/>
    <m/>
    <n v="42"/>
    <x v="1"/>
    <n v="1"/>
    <x v="0"/>
    <m/>
    <m/>
    <n v="38"/>
    <x v="1"/>
    <s v="16/05/2023"/>
    <d v="2023-05-16T00:00:00"/>
    <s v="2023025-86"/>
    <x v="3"/>
  </r>
  <r>
    <x v="384"/>
    <n v="2023025"/>
    <x v="25"/>
    <s v="Chickpea"/>
    <m/>
    <x v="4"/>
    <s v="Y"/>
    <x v="1"/>
    <n v="87"/>
    <n v="43"/>
    <x v="2"/>
    <m/>
    <m/>
    <m/>
    <n v="6"/>
    <n v="12"/>
    <m/>
    <m/>
    <m/>
    <m/>
    <n v="3"/>
    <n v="28"/>
    <x v="2"/>
    <n v="22"/>
    <m/>
    <n v="43"/>
    <x v="0"/>
    <n v="4"/>
    <x v="0"/>
    <m/>
    <m/>
    <n v="38"/>
    <x v="1"/>
    <s v="16/05/2023"/>
    <d v="2023-05-16T00:00:00"/>
    <s v="2023025-87"/>
    <x v="3"/>
  </r>
  <r>
    <x v="388"/>
    <n v="2023025"/>
    <x v="25"/>
    <s v="Chickpea"/>
    <m/>
    <x v="3"/>
    <s v="N"/>
    <x v="1"/>
    <n v="88"/>
    <n v="44"/>
    <x v="2"/>
    <m/>
    <m/>
    <m/>
    <n v="6"/>
    <n v="12"/>
    <m/>
    <m/>
    <m/>
    <m/>
    <n v="4"/>
    <n v="28"/>
    <x v="3"/>
    <n v="22"/>
    <m/>
    <n v="44"/>
    <x v="0"/>
    <n v="2"/>
    <x v="0"/>
    <m/>
    <m/>
    <n v="38"/>
    <x v="1"/>
    <s v="16/05/2023"/>
    <d v="2023-05-16T00:00:00"/>
    <s v="2023025-88"/>
    <x v="3"/>
  </r>
  <r>
    <x v="387"/>
    <n v="2023025"/>
    <x v="25"/>
    <s v="Chickpea"/>
    <m/>
    <x v="3"/>
    <s v="N"/>
    <x v="2"/>
    <n v="89"/>
    <n v="45"/>
    <x v="2"/>
    <m/>
    <m/>
    <m/>
    <n v="6"/>
    <n v="11"/>
    <m/>
    <m/>
    <m/>
    <m/>
    <n v="1"/>
    <n v="29"/>
    <x v="0"/>
    <n v="23"/>
    <m/>
    <m/>
    <x v="1"/>
    <n v="2"/>
    <x v="0"/>
    <m/>
    <m/>
    <n v="38"/>
    <x v="1"/>
    <s v="16/05/2023"/>
    <d v="2023-05-16T00:00:00"/>
    <s v="2023025-89"/>
    <x v="3"/>
  </r>
  <r>
    <x v="390"/>
    <n v="2023025"/>
    <x v="25"/>
    <s v="Chickpea"/>
    <m/>
    <x v="4"/>
    <s v="Y"/>
    <x v="2"/>
    <n v="90"/>
    <n v="46"/>
    <x v="2"/>
    <m/>
    <m/>
    <m/>
    <n v="6"/>
    <n v="11"/>
    <m/>
    <m/>
    <m/>
    <m/>
    <n v="2"/>
    <n v="29"/>
    <x v="1"/>
    <n v="23"/>
    <m/>
    <m/>
    <x v="1"/>
    <n v="4"/>
    <x v="0"/>
    <m/>
    <m/>
    <n v="38"/>
    <x v="1"/>
    <s v="16/05/2023"/>
    <d v="2023-05-16T00:00:00"/>
    <s v="2023025-90"/>
    <x v="3"/>
  </r>
  <r>
    <x v="385"/>
    <n v="2023025"/>
    <x v="25"/>
    <s v="Chickpea"/>
    <m/>
    <x v="8"/>
    <s v="Y"/>
    <x v="2"/>
    <n v="91"/>
    <n v="47"/>
    <x v="2"/>
    <m/>
    <m/>
    <m/>
    <n v="6"/>
    <n v="12"/>
    <m/>
    <m/>
    <m/>
    <m/>
    <n v="3"/>
    <n v="29"/>
    <x v="2"/>
    <n v="23"/>
    <m/>
    <m/>
    <x v="0"/>
    <n v="3"/>
    <x v="0"/>
    <m/>
    <m/>
    <n v="38"/>
    <x v="1"/>
    <s v="16/05/2023"/>
    <d v="2023-05-16T00:00:00"/>
    <s v="2023025-91"/>
    <x v="3"/>
  </r>
  <r>
    <x v="389"/>
    <n v="2023025"/>
    <x v="25"/>
    <s v="Chickpea"/>
    <m/>
    <x v="9"/>
    <s v="N"/>
    <x v="2"/>
    <n v="92"/>
    <n v="48"/>
    <x v="2"/>
    <m/>
    <m/>
    <m/>
    <n v="6"/>
    <n v="12"/>
    <m/>
    <m/>
    <m/>
    <m/>
    <n v="4"/>
    <n v="29"/>
    <x v="3"/>
    <n v="23"/>
    <m/>
    <m/>
    <x v="0"/>
    <n v="1"/>
    <x v="0"/>
    <m/>
    <m/>
    <n v="38"/>
    <x v="1"/>
    <s v="16/05/2023"/>
    <d v="2023-05-16T00:00:00"/>
    <s v="2023025-92"/>
    <x v="3"/>
  </r>
  <r>
    <x v="387"/>
    <n v="2023025"/>
    <x v="25"/>
    <s v="Chickpea"/>
    <m/>
    <x v="3"/>
    <s v="N"/>
    <x v="1"/>
    <n v="93"/>
    <n v="45"/>
    <x v="2"/>
    <m/>
    <m/>
    <m/>
    <n v="6"/>
    <n v="11"/>
    <m/>
    <m/>
    <m/>
    <m/>
    <n v="1"/>
    <n v="30"/>
    <x v="0"/>
    <n v="24"/>
    <m/>
    <n v="48"/>
    <x v="1"/>
    <n v="2"/>
    <x v="0"/>
    <m/>
    <m/>
    <n v="38"/>
    <x v="1"/>
    <s v="16/05/2023"/>
    <d v="2023-05-16T00:00:00"/>
    <s v="2023025-93"/>
    <x v="3"/>
  </r>
  <r>
    <x v="390"/>
    <n v="2023025"/>
    <x v="25"/>
    <s v="Chickpea"/>
    <m/>
    <x v="4"/>
    <s v="Y"/>
    <x v="1"/>
    <n v="94"/>
    <n v="46"/>
    <x v="2"/>
    <m/>
    <m/>
    <m/>
    <n v="6"/>
    <n v="11"/>
    <m/>
    <m/>
    <m/>
    <m/>
    <n v="2"/>
    <n v="30"/>
    <x v="1"/>
    <n v="24"/>
    <m/>
    <n v="47"/>
    <x v="1"/>
    <n v="4"/>
    <x v="0"/>
    <m/>
    <m/>
    <n v="38"/>
    <x v="1"/>
    <s v="16/05/2023"/>
    <d v="2023-05-16T00:00:00"/>
    <s v="2023025-94"/>
    <x v="3"/>
  </r>
  <r>
    <x v="385"/>
    <n v="2023025"/>
    <x v="25"/>
    <s v="Chickpea"/>
    <m/>
    <x v="8"/>
    <s v="Y"/>
    <x v="1"/>
    <n v="95"/>
    <n v="47"/>
    <x v="2"/>
    <m/>
    <m/>
    <m/>
    <n v="6"/>
    <n v="12"/>
    <m/>
    <m/>
    <m/>
    <m/>
    <n v="3"/>
    <n v="30"/>
    <x v="2"/>
    <n v="24"/>
    <m/>
    <n v="46"/>
    <x v="0"/>
    <n v="3"/>
    <x v="0"/>
    <m/>
    <m/>
    <n v="38"/>
    <x v="1"/>
    <s v="16/05/2023"/>
    <d v="2023-05-16T00:00:00"/>
    <s v="2023025-95"/>
    <x v="3"/>
  </r>
  <r>
    <x v="389"/>
    <n v="2023025"/>
    <x v="25"/>
    <s v="Chickpea"/>
    <m/>
    <x v="9"/>
    <s v="N"/>
    <x v="1"/>
    <n v="96"/>
    <n v="48"/>
    <x v="2"/>
    <m/>
    <m/>
    <m/>
    <n v="6"/>
    <n v="12"/>
    <m/>
    <m/>
    <m/>
    <m/>
    <n v="4"/>
    <n v="30"/>
    <x v="3"/>
    <n v="24"/>
    <m/>
    <n v="45"/>
    <x v="0"/>
    <n v="1"/>
    <x v="0"/>
    <m/>
    <m/>
    <n v="38"/>
    <x v="1"/>
    <s v="16/05/2023"/>
    <d v="2023-05-16T00:00:00"/>
    <s v="2023025-96"/>
    <x v="3"/>
  </r>
  <r>
    <x v="399"/>
    <n v="2023025"/>
    <x v="25"/>
    <s v="Chickpea"/>
    <m/>
    <x v="9"/>
    <s v="N"/>
    <x v="2"/>
    <n v="97"/>
    <n v="49"/>
    <x v="3"/>
    <m/>
    <m/>
    <m/>
    <n v="7"/>
    <n v="13"/>
    <m/>
    <m/>
    <m/>
    <m/>
    <n v="1"/>
    <n v="32"/>
    <x v="0"/>
    <n v="25"/>
    <m/>
    <m/>
    <x v="0"/>
    <n v="1"/>
    <x v="0"/>
    <m/>
    <m/>
    <n v="38"/>
    <x v="2"/>
    <s v="3/07/2023"/>
    <d v="2023-07-03T00:00:00"/>
    <s v="2023025-97"/>
    <x v="3"/>
  </r>
  <r>
    <x v="395"/>
    <n v="2023025"/>
    <x v="25"/>
    <s v="Chickpea"/>
    <m/>
    <x v="4"/>
    <s v="Y"/>
    <x v="2"/>
    <n v="98"/>
    <n v="50"/>
    <x v="3"/>
    <m/>
    <m/>
    <m/>
    <n v="7"/>
    <n v="13"/>
    <m/>
    <m/>
    <m/>
    <m/>
    <n v="2"/>
    <n v="32"/>
    <x v="1"/>
    <n v="25"/>
    <m/>
    <m/>
    <x v="0"/>
    <n v="4"/>
    <x v="0"/>
    <m/>
    <m/>
    <n v="38"/>
    <x v="2"/>
    <s v="3/07/2023"/>
    <d v="2023-07-03T00:00:00"/>
    <s v="2023025-98"/>
    <x v="3"/>
  </r>
  <r>
    <x v="396"/>
    <n v="2023025"/>
    <x v="25"/>
    <s v="Chickpea"/>
    <m/>
    <x v="3"/>
    <s v="N"/>
    <x v="2"/>
    <n v="99"/>
    <n v="51"/>
    <x v="3"/>
    <m/>
    <m/>
    <m/>
    <n v="7"/>
    <n v="14"/>
    <m/>
    <m/>
    <m/>
    <m/>
    <n v="3"/>
    <n v="32"/>
    <x v="2"/>
    <n v="25"/>
    <m/>
    <m/>
    <x v="1"/>
    <n v="2"/>
    <x v="0"/>
    <m/>
    <m/>
    <n v="38"/>
    <x v="2"/>
    <s v="3/07/2023"/>
    <d v="2023-07-03T00:00:00"/>
    <s v="2023025-99"/>
    <x v="3"/>
  </r>
  <r>
    <x v="393"/>
    <n v="2023025"/>
    <x v="25"/>
    <s v="Chickpea"/>
    <m/>
    <x v="8"/>
    <s v="Y"/>
    <x v="2"/>
    <n v="100"/>
    <n v="52"/>
    <x v="3"/>
    <m/>
    <m/>
    <m/>
    <n v="7"/>
    <n v="14"/>
    <m/>
    <m/>
    <m/>
    <m/>
    <n v="4"/>
    <n v="32"/>
    <x v="3"/>
    <n v="25"/>
    <m/>
    <m/>
    <x v="1"/>
    <n v="3"/>
    <x v="0"/>
    <m/>
    <m/>
    <n v="38"/>
    <x v="2"/>
    <s v="3/07/2023"/>
    <d v="2023-07-03T00:00:00"/>
    <s v="2023025-100"/>
    <x v="3"/>
  </r>
  <r>
    <x v="399"/>
    <n v="2023025"/>
    <x v="25"/>
    <s v="Chickpea"/>
    <m/>
    <x v="9"/>
    <s v="N"/>
    <x v="1"/>
    <n v="101"/>
    <n v="49"/>
    <x v="3"/>
    <m/>
    <m/>
    <m/>
    <n v="7"/>
    <n v="13"/>
    <m/>
    <m/>
    <m/>
    <m/>
    <n v="1"/>
    <n v="33"/>
    <x v="0"/>
    <n v="26"/>
    <m/>
    <n v="49"/>
    <x v="0"/>
    <n v="1"/>
    <x v="0"/>
    <m/>
    <m/>
    <n v="38"/>
    <x v="2"/>
    <s v="3/07/2023"/>
    <d v="2023-07-03T00:00:00"/>
    <s v="2023025-101"/>
    <x v="3"/>
  </r>
  <r>
    <x v="395"/>
    <n v="2023025"/>
    <x v="25"/>
    <s v="Chickpea"/>
    <m/>
    <x v="4"/>
    <s v="Y"/>
    <x v="1"/>
    <n v="102"/>
    <n v="50"/>
    <x v="3"/>
    <m/>
    <m/>
    <m/>
    <n v="7"/>
    <n v="13"/>
    <m/>
    <m/>
    <m/>
    <m/>
    <n v="2"/>
    <n v="33"/>
    <x v="1"/>
    <n v="26"/>
    <m/>
    <n v="50"/>
    <x v="0"/>
    <n v="4"/>
    <x v="0"/>
    <m/>
    <m/>
    <n v="38"/>
    <x v="2"/>
    <s v="3/07/2023"/>
    <d v="2023-07-03T00:00:00"/>
    <s v="2023025-102"/>
    <x v="3"/>
  </r>
  <r>
    <x v="396"/>
    <n v="2023025"/>
    <x v="25"/>
    <s v="Chickpea"/>
    <m/>
    <x v="3"/>
    <s v="N"/>
    <x v="1"/>
    <n v="103"/>
    <n v="51"/>
    <x v="3"/>
    <m/>
    <m/>
    <m/>
    <n v="7"/>
    <n v="14"/>
    <m/>
    <m/>
    <m/>
    <m/>
    <n v="3"/>
    <n v="33"/>
    <x v="2"/>
    <n v="26"/>
    <m/>
    <n v="51"/>
    <x v="1"/>
    <n v="2"/>
    <x v="0"/>
    <m/>
    <m/>
    <n v="38"/>
    <x v="2"/>
    <s v="3/07/2023"/>
    <d v="2023-07-03T00:00:00"/>
    <s v="2023025-103"/>
    <x v="3"/>
  </r>
  <r>
    <x v="393"/>
    <n v="2023025"/>
    <x v="25"/>
    <s v="Chickpea"/>
    <m/>
    <x v="8"/>
    <s v="Y"/>
    <x v="1"/>
    <n v="104"/>
    <n v="52"/>
    <x v="3"/>
    <m/>
    <m/>
    <m/>
    <n v="7"/>
    <n v="14"/>
    <m/>
    <m/>
    <m/>
    <m/>
    <n v="4"/>
    <n v="33"/>
    <x v="3"/>
    <n v="26"/>
    <m/>
    <n v="52"/>
    <x v="1"/>
    <n v="3"/>
    <x v="0"/>
    <m/>
    <m/>
    <n v="38"/>
    <x v="2"/>
    <s v="3/07/2023"/>
    <d v="2023-07-03T00:00:00"/>
    <s v="2023025-104"/>
    <x v="3"/>
  </r>
  <r>
    <x v="398"/>
    <n v="2023025"/>
    <x v="25"/>
    <s v="Chickpea"/>
    <m/>
    <x v="8"/>
    <s v="Y"/>
    <x v="2"/>
    <n v="105"/>
    <n v="53"/>
    <x v="3"/>
    <m/>
    <m/>
    <m/>
    <n v="7"/>
    <n v="13"/>
    <m/>
    <m/>
    <m/>
    <m/>
    <n v="1"/>
    <n v="34"/>
    <x v="0"/>
    <n v="27"/>
    <m/>
    <m/>
    <x v="0"/>
    <n v="3"/>
    <x v="0"/>
    <m/>
    <m/>
    <n v="38"/>
    <x v="2"/>
    <s v="3/07/2023"/>
    <d v="2023-07-03T00:00:00"/>
    <s v="2023025-105"/>
    <x v="3"/>
  </r>
  <r>
    <x v="394"/>
    <n v="2023025"/>
    <x v="25"/>
    <s v="Chickpea"/>
    <m/>
    <x v="3"/>
    <s v="N"/>
    <x v="2"/>
    <n v="106"/>
    <n v="54"/>
    <x v="3"/>
    <m/>
    <m/>
    <m/>
    <n v="7"/>
    <n v="13"/>
    <m/>
    <m/>
    <m/>
    <m/>
    <n v="2"/>
    <n v="34"/>
    <x v="1"/>
    <n v="27"/>
    <m/>
    <m/>
    <x v="0"/>
    <n v="2"/>
    <x v="0"/>
    <m/>
    <m/>
    <n v="38"/>
    <x v="2"/>
    <s v="3/07/2023"/>
    <d v="2023-07-03T00:00:00"/>
    <s v="2023025-106"/>
    <x v="3"/>
  </r>
  <r>
    <x v="392"/>
    <n v="2023025"/>
    <x v="25"/>
    <s v="Chickpea"/>
    <m/>
    <x v="9"/>
    <s v="N"/>
    <x v="2"/>
    <n v="107"/>
    <n v="55"/>
    <x v="3"/>
    <m/>
    <m/>
    <m/>
    <n v="7"/>
    <n v="14"/>
    <m/>
    <m/>
    <m/>
    <m/>
    <n v="3"/>
    <n v="34"/>
    <x v="2"/>
    <n v="27"/>
    <m/>
    <m/>
    <x v="1"/>
    <n v="1"/>
    <x v="0"/>
    <m/>
    <m/>
    <n v="38"/>
    <x v="2"/>
    <s v="3/07/2023"/>
    <d v="2023-07-03T00:00:00"/>
    <s v="2023025-107"/>
    <x v="3"/>
  </r>
  <r>
    <x v="397"/>
    <n v="2023025"/>
    <x v="25"/>
    <s v="Chickpea"/>
    <m/>
    <x v="4"/>
    <s v="Y"/>
    <x v="2"/>
    <n v="108"/>
    <n v="56"/>
    <x v="3"/>
    <m/>
    <m/>
    <m/>
    <n v="7"/>
    <n v="14"/>
    <m/>
    <m/>
    <m/>
    <m/>
    <n v="4"/>
    <n v="34"/>
    <x v="3"/>
    <n v="27"/>
    <m/>
    <m/>
    <x v="1"/>
    <n v="4"/>
    <x v="0"/>
    <m/>
    <m/>
    <n v="38"/>
    <x v="2"/>
    <s v="3/07/2023"/>
    <d v="2023-07-03T00:00:00"/>
    <s v="2023025-108"/>
    <x v="3"/>
  </r>
  <r>
    <x v="398"/>
    <n v="2023025"/>
    <x v="25"/>
    <s v="Chickpea"/>
    <m/>
    <x v="8"/>
    <s v="Y"/>
    <x v="1"/>
    <n v="109"/>
    <n v="53"/>
    <x v="3"/>
    <m/>
    <m/>
    <m/>
    <n v="7"/>
    <n v="13"/>
    <m/>
    <m/>
    <m/>
    <m/>
    <n v="1"/>
    <n v="35"/>
    <x v="0"/>
    <n v="28"/>
    <m/>
    <n v="56"/>
    <x v="0"/>
    <n v="3"/>
    <x v="0"/>
    <m/>
    <m/>
    <n v="38"/>
    <x v="2"/>
    <s v="3/07/2023"/>
    <d v="2023-07-03T00:00:00"/>
    <s v="2023025-109"/>
    <x v="3"/>
  </r>
  <r>
    <x v="394"/>
    <n v="2023025"/>
    <x v="25"/>
    <s v="Chickpea"/>
    <m/>
    <x v="3"/>
    <s v="N"/>
    <x v="1"/>
    <n v="110"/>
    <n v="54"/>
    <x v="3"/>
    <m/>
    <m/>
    <m/>
    <n v="7"/>
    <n v="13"/>
    <m/>
    <m/>
    <m/>
    <m/>
    <n v="2"/>
    <n v="35"/>
    <x v="1"/>
    <n v="28"/>
    <m/>
    <n v="55"/>
    <x v="0"/>
    <n v="2"/>
    <x v="0"/>
    <m/>
    <m/>
    <n v="38"/>
    <x v="2"/>
    <s v="3/07/2023"/>
    <d v="2023-07-03T00:00:00"/>
    <s v="2023025-110"/>
    <x v="3"/>
  </r>
  <r>
    <x v="392"/>
    <n v="2023025"/>
    <x v="25"/>
    <s v="Chickpea"/>
    <m/>
    <x v="9"/>
    <s v="N"/>
    <x v="1"/>
    <n v="111"/>
    <n v="55"/>
    <x v="3"/>
    <m/>
    <m/>
    <m/>
    <n v="7"/>
    <n v="14"/>
    <m/>
    <m/>
    <m/>
    <m/>
    <n v="3"/>
    <n v="35"/>
    <x v="2"/>
    <n v="28"/>
    <m/>
    <n v="54"/>
    <x v="1"/>
    <n v="1"/>
    <x v="0"/>
    <m/>
    <m/>
    <n v="38"/>
    <x v="2"/>
    <s v="3/07/2023"/>
    <d v="2023-07-03T00:00:00"/>
    <s v="2023025-111"/>
    <x v="3"/>
  </r>
  <r>
    <x v="397"/>
    <n v="2023025"/>
    <x v="25"/>
    <s v="Chickpea"/>
    <m/>
    <x v="4"/>
    <s v="Y"/>
    <x v="1"/>
    <n v="112"/>
    <n v="56"/>
    <x v="3"/>
    <m/>
    <m/>
    <m/>
    <n v="7"/>
    <n v="14"/>
    <m/>
    <m/>
    <m/>
    <m/>
    <n v="4"/>
    <n v="35"/>
    <x v="3"/>
    <n v="28"/>
    <m/>
    <n v="53"/>
    <x v="1"/>
    <n v="4"/>
    <x v="0"/>
    <m/>
    <m/>
    <n v="38"/>
    <x v="2"/>
    <s v="3/07/2023"/>
    <d v="2023-07-03T00:00:00"/>
    <s v="2023025-112"/>
    <x v="3"/>
  </r>
  <r>
    <x v="389"/>
    <n v="2023025"/>
    <x v="25"/>
    <s v="Chickpea"/>
    <m/>
    <x v="9"/>
    <s v="N"/>
    <x v="2"/>
    <n v="113"/>
    <n v="57"/>
    <x v="3"/>
    <m/>
    <m/>
    <m/>
    <n v="8"/>
    <n v="15"/>
    <m/>
    <m/>
    <m/>
    <m/>
    <n v="1"/>
    <n v="37"/>
    <x v="0"/>
    <n v="29"/>
    <m/>
    <m/>
    <x v="0"/>
    <n v="1"/>
    <x v="0"/>
    <m/>
    <m/>
    <n v="38"/>
    <x v="1"/>
    <s v="16/05/2023"/>
    <d v="2023-05-16T00:00:00"/>
    <s v="2023025-113"/>
    <x v="3"/>
  </r>
  <r>
    <x v="388"/>
    <n v="2023025"/>
    <x v="25"/>
    <s v="Chickpea"/>
    <m/>
    <x v="3"/>
    <s v="N"/>
    <x v="2"/>
    <n v="114"/>
    <n v="58"/>
    <x v="3"/>
    <m/>
    <m/>
    <m/>
    <n v="8"/>
    <n v="15"/>
    <m/>
    <m/>
    <m/>
    <m/>
    <n v="2"/>
    <n v="37"/>
    <x v="1"/>
    <n v="29"/>
    <m/>
    <m/>
    <x v="0"/>
    <n v="2"/>
    <x v="0"/>
    <m/>
    <m/>
    <n v="38"/>
    <x v="1"/>
    <s v="16/05/2023"/>
    <d v="2023-05-16T00:00:00"/>
    <s v="2023025-114"/>
    <x v="3"/>
  </r>
  <r>
    <x v="390"/>
    <n v="2023025"/>
    <x v="25"/>
    <s v="Chickpea"/>
    <m/>
    <x v="4"/>
    <s v="Y"/>
    <x v="2"/>
    <n v="115"/>
    <n v="59"/>
    <x v="3"/>
    <m/>
    <m/>
    <m/>
    <n v="8"/>
    <n v="16"/>
    <m/>
    <m/>
    <m/>
    <m/>
    <n v="3"/>
    <n v="37"/>
    <x v="2"/>
    <n v="29"/>
    <m/>
    <m/>
    <x v="1"/>
    <n v="4"/>
    <x v="0"/>
    <m/>
    <m/>
    <n v="38"/>
    <x v="1"/>
    <s v="16/05/2023"/>
    <d v="2023-05-16T00:00:00"/>
    <s v="2023025-115"/>
    <x v="3"/>
  </r>
  <r>
    <x v="391"/>
    <n v="2023025"/>
    <x v="25"/>
    <s v="Chickpea"/>
    <m/>
    <x v="8"/>
    <s v="Y"/>
    <x v="2"/>
    <n v="116"/>
    <n v="60"/>
    <x v="3"/>
    <m/>
    <m/>
    <m/>
    <n v="8"/>
    <n v="16"/>
    <m/>
    <m/>
    <m/>
    <m/>
    <n v="4"/>
    <n v="37"/>
    <x v="3"/>
    <n v="29"/>
    <m/>
    <m/>
    <x v="1"/>
    <n v="3"/>
    <x v="0"/>
    <m/>
    <m/>
    <n v="38"/>
    <x v="1"/>
    <s v="16/05/2023"/>
    <d v="2023-05-16T00:00:00"/>
    <s v="2023025-116"/>
    <x v="3"/>
  </r>
  <r>
    <x v="389"/>
    <n v="2023025"/>
    <x v="25"/>
    <s v="Chickpea"/>
    <m/>
    <x v="9"/>
    <s v="N"/>
    <x v="1"/>
    <n v="117"/>
    <n v="57"/>
    <x v="3"/>
    <m/>
    <m/>
    <m/>
    <n v="8"/>
    <n v="15"/>
    <m/>
    <m/>
    <m/>
    <m/>
    <n v="1"/>
    <n v="38"/>
    <x v="0"/>
    <n v="30"/>
    <m/>
    <n v="57"/>
    <x v="0"/>
    <n v="1"/>
    <x v="0"/>
    <m/>
    <m/>
    <n v="38"/>
    <x v="1"/>
    <s v="16/05/2023"/>
    <d v="2023-05-16T00:00:00"/>
    <s v="2023025-117"/>
    <x v="3"/>
  </r>
  <r>
    <x v="388"/>
    <n v="2023025"/>
    <x v="25"/>
    <s v="Chickpea"/>
    <m/>
    <x v="3"/>
    <s v="N"/>
    <x v="1"/>
    <n v="118"/>
    <n v="58"/>
    <x v="3"/>
    <m/>
    <m/>
    <m/>
    <n v="8"/>
    <n v="15"/>
    <m/>
    <m/>
    <m/>
    <m/>
    <n v="2"/>
    <n v="38"/>
    <x v="1"/>
    <n v="30"/>
    <m/>
    <n v="58"/>
    <x v="0"/>
    <n v="2"/>
    <x v="0"/>
    <m/>
    <m/>
    <n v="38"/>
    <x v="1"/>
    <s v="16/05/2023"/>
    <d v="2023-05-16T00:00:00"/>
    <s v="2023025-118"/>
    <x v="3"/>
  </r>
  <r>
    <x v="390"/>
    <n v="2023025"/>
    <x v="25"/>
    <s v="Chickpea"/>
    <m/>
    <x v="4"/>
    <s v="Y"/>
    <x v="1"/>
    <n v="119"/>
    <n v="59"/>
    <x v="3"/>
    <m/>
    <m/>
    <m/>
    <n v="8"/>
    <n v="16"/>
    <m/>
    <m/>
    <m/>
    <m/>
    <n v="3"/>
    <n v="38"/>
    <x v="2"/>
    <n v="30"/>
    <m/>
    <n v="59"/>
    <x v="1"/>
    <n v="4"/>
    <x v="0"/>
    <m/>
    <m/>
    <n v="38"/>
    <x v="1"/>
    <s v="16/05/2023"/>
    <d v="2023-05-16T00:00:00"/>
    <s v="2023025-119"/>
    <x v="3"/>
  </r>
  <r>
    <x v="391"/>
    <n v="2023025"/>
    <x v="25"/>
    <s v="Chickpea"/>
    <m/>
    <x v="8"/>
    <s v="Y"/>
    <x v="1"/>
    <n v="120"/>
    <n v="60"/>
    <x v="3"/>
    <m/>
    <m/>
    <m/>
    <n v="8"/>
    <n v="16"/>
    <m/>
    <m/>
    <m/>
    <m/>
    <n v="4"/>
    <n v="38"/>
    <x v="3"/>
    <n v="30"/>
    <m/>
    <n v="60"/>
    <x v="1"/>
    <n v="3"/>
    <x v="0"/>
    <m/>
    <m/>
    <n v="38"/>
    <x v="1"/>
    <s v="16/05/2023"/>
    <d v="2023-05-16T00:00:00"/>
    <s v="2023025-120"/>
    <x v="3"/>
  </r>
  <r>
    <x v="385"/>
    <n v="2023025"/>
    <x v="25"/>
    <s v="Chickpea"/>
    <m/>
    <x v="8"/>
    <s v="Y"/>
    <x v="2"/>
    <n v="121"/>
    <n v="61"/>
    <x v="3"/>
    <m/>
    <m/>
    <m/>
    <n v="8"/>
    <n v="15"/>
    <m/>
    <m/>
    <m/>
    <m/>
    <n v="1"/>
    <n v="39"/>
    <x v="0"/>
    <n v="31"/>
    <m/>
    <m/>
    <x v="0"/>
    <n v="3"/>
    <x v="0"/>
    <m/>
    <m/>
    <n v="38"/>
    <x v="1"/>
    <s v="16/05/2023"/>
    <d v="2023-05-16T00:00:00"/>
    <s v="2023025-121"/>
    <x v="3"/>
  </r>
  <r>
    <x v="384"/>
    <n v="2023025"/>
    <x v="25"/>
    <s v="Chickpea"/>
    <m/>
    <x v="4"/>
    <s v="Y"/>
    <x v="2"/>
    <n v="122"/>
    <n v="62"/>
    <x v="3"/>
    <m/>
    <m/>
    <m/>
    <n v="8"/>
    <n v="15"/>
    <m/>
    <m/>
    <m/>
    <m/>
    <n v="2"/>
    <n v="39"/>
    <x v="1"/>
    <n v="31"/>
    <m/>
    <m/>
    <x v="0"/>
    <n v="4"/>
    <x v="0"/>
    <m/>
    <m/>
    <n v="38"/>
    <x v="1"/>
    <s v="16/05/2023"/>
    <d v="2023-05-16T00:00:00"/>
    <s v="2023025-122"/>
    <x v="3"/>
  </r>
  <r>
    <x v="386"/>
    <n v="2023025"/>
    <x v="25"/>
    <s v="Chickpea"/>
    <m/>
    <x v="9"/>
    <s v="N"/>
    <x v="2"/>
    <n v="123"/>
    <n v="63"/>
    <x v="3"/>
    <m/>
    <m/>
    <m/>
    <n v="8"/>
    <n v="16"/>
    <m/>
    <m/>
    <m/>
    <m/>
    <n v="3"/>
    <n v="39"/>
    <x v="2"/>
    <n v="31"/>
    <m/>
    <m/>
    <x v="1"/>
    <n v="1"/>
    <x v="0"/>
    <m/>
    <m/>
    <n v="38"/>
    <x v="1"/>
    <s v="16/05/2023"/>
    <d v="2023-05-16T00:00:00"/>
    <s v="2023025-123"/>
    <x v="3"/>
  </r>
  <r>
    <x v="387"/>
    <n v="2023025"/>
    <x v="25"/>
    <s v="Chickpea"/>
    <m/>
    <x v="3"/>
    <s v="N"/>
    <x v="2"/>
    <n v="124"/>
    <n v="64"/>
    <x v="3"/>
    <m/>
    <m/>
    <m/>
    <n v="8"/>
    <n v="16"/>
    <m/>
    <m/>
    <m/>
    <m/>
    <n v="4"/>
    <n v="39"/>
    <x v="3"/>
    <n v="31"/>
    <m/>
    <m/>
    <x v="1"/>
    <n v="2"/>
    <x v="0"/>
    <m/>
    <m/>
    <n v="38"/>
    <x v="1"/>
    <s v="16/05/2023"/>
    <d v="2023-05-16T00:00:00"/>
    <s v="2023025-124"/>
    <x v="3"/>
  </r>
  <r>
    <x v="385"/>
    <n v="2023025"/>
    <x v="25"/>
    <s v="Chickpea"/>
    <m/>
    <x v="8"/>
    <s v="Y"/>
    <x v="1"/>
    <n v="125"/>
    <n v="61"/>
    <x v="3"/>
    <m/>
    <m/>
    <m/>
    <n v="8"/>
    <n v="15"/>
    <m/>
    <m/>
    <m/>
    <m/>
    <n v="1"/>
    <n v="40"/>
    <x v="0"/>
    <n v="32"/>
    <m/>
    <n v="64"/>
    <x v="0"/>
    <n v="3"/>
    <x v="0"/>
    <m/>
    <m/>
    <n v="38"/>
    <x v="1"/>
    <s v="16/05/2023"/>
    <d v="2023-05-16T00:00:00"/>
    <s v="2023025-125"/>
    <x v="3"/>
  </r>
  <r>
    <x v="384"/>
    <n v="2023025"/>
    <x v="25"/>
    <s v="Chickpea"/>
    <m/>
    <x v="4"/>
    <s v="Y"/>
    <x v="1"/>
    <n v="126"/>
    <n v="62"/>
    <x v="3"/>
    <m/>
    <m/>
    <m/>
    <n v="8"/>
    <n v="15"/>
    <m/>
    <m/>
    <m/>
    <m/>
    <n v="2"/>
    <n v="40"/>
    <x v="1"/>
    <n v="32"/>
    <m/>
    <n v="63"/>
    <x v="0"/>
    <n v="4"/>
    <x v="0"/>
    <m/>
    <m/>
    <n v="38"/>
    <x v="1"/>
    <s v="16/05/2023"/>
    <d v="2023-05-16T00:00:00"/>
    <s v="2023025-126"/>
    <x v="3"/>
  </r>
  <r>
    <x v="386"/>
    <n v="2023025"/>
    <x v="25"/>
    <s v="Chickpea"/>
    <m/>
    <x v="9"/>
    <s v="N"/>
    <x v="1"/>
    <n v="127"/>
    <n v="63"/>
    <x v="3"/>
    <m/>
    <m/>
    <m/>
    <n v="8"/>
    <n v="16"/>
    <m/>
    <m/>
    <m/>
    <m/>
    <n v="3"/>
    <n v="40"/>
    <x v="2"/>
    <n v="32"/>
    <m/>
    <n v="62"/>
    <x v="1"/>
    <n v="1"/>
    <x v="0"/>
    <m/>
    <m/>
    <n v="38"/>
    <x v="1"/>
    <s v="16/05/2023"/>
    <d v="2023-05-16T00:00:00"/>
    <s v="2023025-127"/>
    <x v="3"/>
  </r>
  <r>
    <x v="387"/>
    <n v="2023025"/>
    <x v="25"/>
    <s v="Chickpea"/>
    <m/>
    <x v="3"/>
    <s v="N"/>
    <x v="1"/>
    <n v="128"/>
    <n v="64"/>
    <x v="3"/>
    <m/>
    <m/>
    <m/>
    <n v="8"/>
    <n v="16"/>
    <m/>
    <m/>
    <m/>
    <m/>
    <n v="4"/>
    <n v="40"/>
    <x v="3"/>
    <n v="32"/>
    <m/>
    <n v="61"/>
    <x v="1"/>
    <n v="2"/>
    <x v="0"/>
    <m/>
    <m/>
    <n v="38"/>
    <x v="1"/>
    <s v="16/05/2023"/>
    <d v="2023-05-16T00:00:00"/>
    <s v="2023025-128"/>
    <x v="3"/>
  </r>
  <r>
    <x v="400"/>
    <n v="2023026"/>
    <x v="26"/>
    <s v="Lentil"/>
    <m/>
    <x v="14"/>
    <s v="N"/>
    <x v="2"/>
    <n v="1"/>
    <n v="1"/>
    <x v="0"/>
    <m/>
    <m/>
    <m/>
    <n v="1"/>
    <n v="1"/>
    <m/>
    <m/>
    <m/>
    <m/>
    <n v="1"/>
    <n v="2"/>
    <x v="0"/>
    <n v="1"/>
    <m/>
    <m/>
    <x v="1"/>
    <n v="1"/>
    <x v="0"/>
    <m/>
    <m/>
    <n v="38"/>
    <x v="1"/>
    <s v="16/05/2023"/>
    <d v="2023-05-16T00:00:00"/>
    <s v="2023026-1"/>
    <x v="0"/>
  </r>
  <r>
    <x v="401"/>
    <n v="2023026"/>
    <x v="26"/>
    <s v="Lentil"/>
    <m/>
    <x v="1"/>
    <s v="Y"/>
    <x v="2"/>
    <n v="2"/>
    <n v="2"/>
    <x v="0"/>
    <m/>
    <m/>
    <m/>
    <n v="1"/>
    <n v="1"/>
    <m/>
    <m/>
    <m/>
    <m/>
    <n v="2"/>
    <n v="2"/>
    <x v="1"/>
    <n v="1"/>
    <m/>
    <m/>
    <x v="1"/>
    <n v="3"/>
    <x v="0"/>
    <m/>
    <m/>
    <n v="38"/>
    <x v="1"/>
    <s v="16/05/2023"/>
    <d v="2023-05-16T00:00:00"/>
    <s v="2023026-2"/>
    <x v="0"/>
  </r>
  <r>
    <x v="402"/>
    <n v="2023026"/>
    <x v="26"/>
    <s v="Lentil"/>
    <m/>
    <x v="15"/>
    <s v="Y"/>
    <x v="2"/>
    <n v="3"/>
    <n v="3"/>
    <x v="0"/>
    <m/>
    <m/>
    <m/>
    <n v="1"/>
    <n v="2"/>
    <m/>
    <m/>
    <m/>
    <m/>
    <n v="3"/>
    <n v="2"/>
    <x v="2"/>
    <n v="1"/>
    <m/>
    <m/>
    <x v="0"/>
    <n v="4"/>
    <x v="0"/>
    <m/>
    <m/>
    <n v="38"/>
    <x v="1"/>
    <s v="16/05/2023"/>
    <d v="2023-05-16T00:00:00"/>
    <s v="2023026-3"/>
    <x v="0"/>
  </r>
  <r>
    <x v="403"/>
    <n v="2023026"/>
    <x v="26"/>
    <s v="Lentil"/>
    <m/>
    <x v="16"/>
    <s v="N"/>
    <x v="2"/>
    <n v="4"/>
    <n v="4"/>
    <x v="0"/>
    <m/>
    <m/>
    <m/>
    <n v="1"/>
    <n v="2"/>
    <m/>
    <m/>
    <m/>
    <m/>
    <n v="4"/>
    <n v="2"/>
    <x v="3"/>
    <n v="1"/>
    <m/>
    <m/>
    <x v="0"/>
    <n v="2"/>
    <x v="0"/>
    <m/>
    <m/>
    <n v="38"/>
    <x v="1"/>
    <s v="16/05/2023"/>
    <d v="2023-05-16T00:00:00"/>
    <s v="2023026-4"/>
    <x v="0"/>
  </r>
  <r>
    <x v="400"/>
    <n v="2023026"/>
    <x v="26"/>
    <s v="Lentil"/>
    <m/>
    <x v="14"/>
    <s v="N"/>
    <x v="1"/>
    <n v="5"/>
    <n v="1"/>
    <x v="0"/>
    <m/>
    <m/>
    <m/>
    <n v="1"/>
    <n v="1"/>
    <m/>
    <m/>
    <m/>
    <m/>
    <n v="1"/>
    <n v="3"/>
    <x v="0"/>
    <n v="2"/>
    <m/>
    <n v="1"/>
    <x v="1"/>
    <n v="1"/>
    <x v="0"/>
    <m/>
    <m/>
    <n v="38"/>
    <x v="1"/>
    <s v="16/05/2023"/>
    <d v="2023-05-16T00:00:00"/>
    <s v="2023026-5"/>
    <x v="0"/>
  </r>
  <r>
    <x v="401"/>
    <n v="2023026"/>
    <x v="26"/>
    <s v="Lentil"/>
    <m/>
    <x v="1"/>
    <s v="Y"/>
    <x v="1"/>
    <n v="6"/>
    <n v="2"/>
    <x v="0"/>
    <m/>
    <m/>
    <m/>
    <n v="1"/>
    <n v="1"/>
    <m/>
    <m/>
    <m/>
    <m/>
    <n v="2"/>
    <n v="3"/>
    <x v="1"/>
    <n v="2"/>
    <m/>
    <n v="2"/>
    <x v="1"/>
    <n v="3"/>
    <x v="0"/>
    <m/>
    <m/>
    <n v="38"/>
    <x v="1"/>
    <s v="16/05/2023"/>
    <d v="2023-05-16T00:00:00"/>
    <s v="2023026-6"/>
    <x v="0"/>
  </r>
  <r>
    <x v="402"/>
    <n v="2023026"/>
    <x v="26"/>
    <s v="Lentil"/>
    <m/>
    <x v="15"/>
    <s v="Y"/>
    <x v="1"/>
    <n v="7"/>
    <n v="3"/>
    <x v="0"/>
    <m/>
    <m/>
    <m/>
    <n v="1"/>
    <n v="2"/>
    <m/>
    <m/>
    <m/>
    <m/>
    <n v="3"/>
    <n v="3"/>
    <x v="2"/>
    <n v="2"/>
    <m/>
    <n v="3"/>
    <x v="0"/>
    <n v="4"/>
    <x v="0"/>
    <m/>
    <m/>
    <n v="38"/>
    <x v="1"/>
    <s v="16/05/2023"/>
    <d v="2023-05-16T00:00:00"/>
    <s v="2023026-7"/>
    <x v="0"/>
  </r>
  <r>
    <x v="403"/>
    <n v="2023026"/>
    <x v="26"/>
    <s v="Lentil"/>
    <m/>
    <x v="16"/>
    <s v="N"/>
    <x v="1"/>
    <n v="8"/>
    <n v="4"/>
    <x v="0"/>
    <m/>
    <m/>
    <m/>
    <n v="1"/>
    <n v="2"/>
    <m/>
    <m/>
    <m/>
    <m/>
    <n v="4"/>
    <n v="3"/>
    <x v="3"/>
    <n v="2"/>
    <m/>
    <n v="4"/>
    <x v="0"/>
    <n v="2"/>
    <x v="0"/>
    <m/>
    <m/>
    <n v="38"/>
    <x v="1"/>
    <s v="16/05/2023"/>
    <d v="2023-05-16T00:00:00"/>
    <s v="2023026-8"/>
    <x v="0"/>
  </r>
  <r>
    <x v="404"/>
    <n v="2023026"/>
    <x v="26"/>
    <s v="Lentil"/>
    <m/>
    <x v="15"/>
    <s v="Y"/>
    <x v="2"/>
    <n v="9"/>
    <n v="5"/>
    <x v="0"/>
    <m/>
    <m/>
    <m/>
    <n v="1"/>
    <n v="1"/>
    <m/>
    <m/>
    <m/>
    <m/>
    <n v="1"/>
    <n v="4"/>
    <x v="0"/>
    <n v="3"/>
    <m/>
    <m/>
    <x v="1"/>
    <n v="4"/>
    <x v="0"/>
    <m/>
    <m/>
    <n v="38"/>
    <x v="1"/>
    <s v="16/05/2023"/>
    <d v="2023-05-16T00:00:00"/>
    <s v="2023026-9"/>
    <x v="0"/>
  </r>
  <r>
    <x v="405"/>
    <n v="2023026"/>
    <x v="26"/>
    <s v="Lentil"/>
    <m/>
    <x v="16"/>
    <s v="N"/>
    <x v="2"/>
    <n v="10"/>
    <n v="6"/>
    <x v="0"/>
    <m/>
    <m/>
    <m/>
    <n v="1"/>
    <n v="1"/>
    <m/>
    <m/>
    <m/>
    <m/>
    <n v="2"/>
    <n v="4"/>
    <x v="1"/>
    <n v="3"/>
    <m/>
    <m/>
    <x v="1"/>
    <n v="2"/>
    <x v="0"/>
    <m/>
    <m/>
    <n v="38"/>
    <x v="1"/>
    <s v="16/05/2023"/>
    <d v="2023-05-16T00:00:00"/>
    <s v="2023026-10"/>
    <x v="0"/>
  </r>
  <r>
    <x v="406"/>
    <n v="2023026"/>
    <x v="26"/>
    <s v="Lentil"/>
    <m/>
    <x v="1"/>
    <s v="Y"/>
    <x v="2"/>
    <n v="11"/>
    <n v="7"/>
    <x v="0"/>
    <m/>
    <m/>
    <m/>
    <n v="1"/>
    <n v="2"/>
    <m/>
    <m/>
    <m/>
    <m/>
    <n v="3"/>
    <n v="4"/>
    <x v="2"/>
    <n v="3"/>
    <m/>
    <m/>
    <x v="0"/>
    <n v="3"/>
    <x v="0"/>
    <m/>
    <m/>
    <n v="38"/>
    <x v="1"/>
    <s v="16/05/2023"/>
    <d v="2023-05-16T00:00:00"/>
    <s v="2023026-11"/>
    <x v="0"/>
  </r>
  <r>
    <x v="407"/>
    <n v="2023026"/>
    <x v="26"/>
    <s v="Lentil"/>
    <m/>
    <x v="14"/>
    <s v="N"/>
    <x v="2"/>
    <n v="12"/>
    <n v="8"/>
    <x v="0"/>
    <m/>
    <m/>
    <m/>
    <n v="1"/>
    <n v="2"/>
    <m/>
    <m/>
    <m/>
    <m/>
    <n v="4"/>
    <n v="4"/>
    <x v="3"/>
    <n v="3"/>
    <m/>
    <m/>
    <x v="0"/>
    <n v="1"/>
    <x v="0"/>
    <m/>
    <m/>
    <n v="38"/>
    <x v="1"/>
    <s v="16/05/2023"/>
    <d v="2023-05-16T00:00:00"/>
    <s v="2023026-12"/>
    <x v="0"/>
  </r>
  <r>
    <x v="404"/>
    <n v="2023026"/>
    <x v="26"/>
    <s v="Lentil"/>
    <m/>
    <x v="15"/>
    <s v="Y"/>
    <x v="1"/>
    <n v="13"/>
    <n v="5"/>
    <x v="0"/>
    <m/>
    <m/>
    <m/>
    <n v="1"/>
    <n v="1"/>
    <m/>
    <m/>
    <m/>
    <m/>
    <n v="1"/>
    <n v="5"/>
    <x v="0"/>
    <n v="4"/>
    <m/>
    <n v="8"/>
    <x v="1"/>
    <n v="4"/>
    <x v="0"/>
    <m/>
    <m/>
    <n v="38"/>
    <x v="1"/>
    <s v="16/05/2023"/>
    <d v="2023-05-16T00:00:00"/>
    <s v="2023026-13"/>
    <x v="0"/>
  </r>
  <r>
    <x v="405"/>
    <n v="2023026"/>
    <x v="26"/>
    <s v="Lentil"/>
    <m/>
    <x v="16"/>
    <s v="N"/>
    <x v="1"/>
    <n v="14"/>
    <n v="6"/>
    <x v="0"/>
    <m/>
    <m/>
    <m/>
    <n v="1"/>
    <n v="1"/>
    <m/>
    <m/>
    <m/>
    <m/>
    <n v="2"/>
    <n v="5"/>
    <x v="1"/>
    <n v="4"/>
    <m/>
    <n v="7"/>
    <x v="1"/>
    <n v="2"/>
    <x v="0"/>
    <m/>
    <m/>
    <n v="38"/>
    <x v="1"/>
    <s v="16/05/2023"/>
    <d v="2023-05-16T00:00:00"/>
    <s v="2023026-14"/>
    <x v="0"/>
  </r>
  <r>
    <x v="406"/>
    <n v="2023026"/>
    <x v="26"/>
    <s v="Lentil"/>
    <m/>
    <x v="1"/>
    <s v="Y"/>
    <x v="1"/>
    <n v="15"/>
    <n v="7"/>
    <x v="0"/>
    <m/>
    <m/>
    <m/>
    <n v="1"/>
    <n v="2"/>
    <m/>
    <m/>
    <m/>
    <m/>
    <n v="3"/>
    <n v="5"/>
    <x v="2"/>
    <n v="4"/>
    <m/>
    <n v="6"/>
    <x v="0"/>
    <n v="3"/>
    <x v="0"/>
    <m/>
    <m/>
    <n v="38"/>
    <x v="1"/>
    <s v="16/05/2023"/>
    <d v="2023-05-16T00:00:00"/>
    <s v="2023026-15"/>
    <x v="0"/>
  </r>
  <r>
    <x v="407"/>
    <n v="2023026"/>
    <x v="26"/>
    <s v="Lentil"/>
    <m/>
    <x v="14"/>
    <s v="N"/>
    <x v="1"/>
    <n v="16"/>
    <n v="8"/>
    <x v="0"/>
    <m/>
    <m/>
    <m/>
    <n v="1"/>
    <n v="2"/>
    <m/>
    <m/>
    <m/>
    <m/>
    <n v="4"/>
    <n v="5"/>
    <x v="3"/>
    <n v="4"/>
    <m/>
    <n v="5"/>
    <x v="0"/>
    <n v="1"/>
    <x v="0"/>
    <m/>
    <m/>
    <n v="38"/>
    <x v="1"/>
    <s v="16/05/2023"/>
    <d v="2023-05-16T00:00:00"/>
    <s v="2023026-16"/>
    <x v="0"/>
  </r>
  <r>
    <x v="408"/>
    <n v="2023026"/>
    <x v="26"/>
    <s v="Lentil"/>
    <m/>
    <x v="15"/>
    <s v="Y"/>
    <x v="2"/>
    <n v="17"/>
    <n v="9"/>
    <x v="0"/>
    <m/>
    <m/>
    <m/>
    <n v="2"/>
    <n v="3"/>
    <m/>
    <m/>
    <m/>
    <m/>
    <n v="1"/>
    <n v="7"/>
    <x v="0"/>
    <n v="5"/>
    <m/>
    <m/>
    <x v="1"/>
    <n v="4"/>
    <x v="0"/>
    <m/>
    <m/>
    <n v="38"/>
    <x v="2"/>
    <s v="3/07/2023"/>
    <d v="2023-07-03T00:00:00"/>
    <s v="2023026-17"/>
    <x v="0"/>
  </r>
  <r>
    <x v="409"/>
    <n v="2023026"/>
    <x v="26"/>
    <s v="Lentil"/>
    <m/>
    <x v="14"/>
    <s v="N"/>
    <x v="2"/>
    <n v="18"/>
    <n v="10"/>
    <x v="0"/>
    <m/>
    <m/>
    <m/>
    <n v="2"/>
    <n v="3"/>
    <m/>
    <m/>
    <m/>
    <m/>
    <n v="2"/>
    <n v="7"/>
    <x v="1"/>
    <n v="5"/>
    <m/>
    <m/>
    <x v="1"/>
    <n v="1"/>
    <x v="0"/>
    <m/>
    <m/>
    <n v="38"/>
    <x v="2"/>
    <s v="3/07/2023"/>
    <d v="2023-07-03T00:00:00"/>
    <s v="2023026-18"/>
    <x v="0"/>
  </r>
  <r>
    <x v="410"/>
    <n v="2023026"/>
    <x v="26"/>
    <s v="Lentil"/>
    <m/>
    <x v="16"/>
    <s v="N"/>
    <x v="2"/>
    <n v="19"/>
    <n v="11"/>
    <x v="0"/>
    <m/>
    <m/>
    <m/>
    <n v="2"/>
    <n v="4"/>
    <m/>
    <m/>
    <m/>
    <m/>
    <n v="3"/>
    <n v="7"/>
    <x v="2"/>
    <n v="5"/>
    <m/>
    <m/>
    <x v="0"/>
    <n v="2"/>
    <x v="0"/>
    <m/>
    <m/>
    <n v="38"/>
    <x v="2"/>
    <s v="3/07/2023"/>
    <d v="2023-07-03T00:00:00"/>
    <s v="2023026-19"/>
    <x v="0"/>
  </r>
  <r>
    <x v="411"/>
    <n v="2023026"/>
    <x v="26"/>
    <s v="Lentil"/>
    <m/>
    <x v="1"/>
    <s v="Y"/>
    <x v="2"/>
    <n v="20"/>
    <n v="12"/>
    <x v="0"/>
    <m/>
    <m/>
    <m/>
    <n v="2"/>
    <n v="4"/>
    <m/>
    <m/>
    <m/>
    <m/>
    <n v="4"/>
    <n v="7"/>
    <x v="3"/>
    <n v="5"/>
    <m/>
    <m/>
    <x v="0"/>
    <n v="3"/>
    <x v="0"/>
    <m/>
    <m/>
    <n v="38"/>
    <x v="2"/>
    <s v="3/07/2023"/>
    <d v="2023-07-03T00:00:00"/>
    <s v="2023026-20"/>
    <x v="0"/>
  </r>
  <r>
    <x v="408"/>
    <n v="2023026"/>
    <x v="26"/>
    <s v="Lentil"/>
    <m/>
    <x v="15"/>
    <s v="Y"/>
    <x v="1"/>
    <n v="21"/>
    <n v="9"/>
    <x v="0"/>
    <m/>
    <m/>
    <m/>
    <n v="2"/>
    <n v="3"/>
    <m/>
    <m/>
    <m/>
    <m/>
    <n v="1"/>
    <n v="8"/>
    <x v="0"/>
    <n v="6"/>
    <m/>
    <n v="9"/>
    <x v="1"/>
    <n v="4"/>
    <x v="0"/>
    <m/>
    <m/>
    <n v="38"/>
    <x v="2"/>
    <s v="3/07/2023"/>
    <d v="2023-07-03T00:00:00"/>
    <s v="2023026-21"/>
    <x v="0"/>
  </r>
  <r>
    <x v="409"/>
    <n v="2023026"/>
    <x v="26"/>
    <s v="Lentil"/>
    <m/>
    <x v="14"/>
    <s v="N"/>
    <x v="1"/>
    <n v="22"/>
    <n v="10"/>
    <x v="0"/>
    <m/>
    <m/>
    <m/>
    <n v="2"/>
    <n v="3"/>
    <m/>
    <m/>
    <m/>
    <m/>
    <n v="2"/>
    <n v="8"/>
    <x v="1"/>
    <n v="6"/>
    <m/>
    <n v="10"/>
    <x v="1"/>
    <n v="1"/>
    <x v="0"/>
    <m/>
    <m/>
    <n v="38"/>
    <x v="2"/>
    <s v="3/07/2023"/>
    <d v="2023-07-03T00:00:00"/>
    <s v="2023026-22"/>
    <x v="0"/>
  </r>
  <r>
    <x v="410"/>
    <n v="2023026"/>
    <x v="26"/>
    <s v="Lentil"/>
    <m/>
    <x v="16"/>
    <s v="N"/>
    <x v="1"/>
    <n v="23"/>
    <n v="11"/>
    <x v="0"/>
    <m/>
    <m/>
    <m/>
    <n v="2"/>
    <n v="4"/>
    <m/>
    <m/>
    <m/>
    <m/>
    <n v="3"/>
    <n v="8"/>
    <x v="2"/>
    <n v="6"/>
    <m/>
    <n v="11"/>
    <x v="0"/>
    <n v="2"/>
    <x v="0"/>
    <m/>
    <m/>
    <n v="38"/>
    <x v="2"/>
    <s v="3/07/2023"/>
    <d v="2023-07-03T00:00:00"/>
    <s v="2023026-23"/>
    <x v="0"/>
  </r>
  <r>
    <x v="411"/>
    <n v="2023026"/>
    <x v="26"/>
    <s v="Lentil"/>
    <m/>
    <x v="1"/>
    <s v="Y"/>
    <x v="1"/>
    <n v="24"/>
    <n v="12"/>
    <x v="0"/>
    <m/>
    <m/>
    <m/>
    <n v="2"/>
    <n v="4"/>
    <m/>
    <m/>
    <m/>
    <m/>
    <n v="4"/>
    <n v="8"/>
    <x v="3"/>
    <n v="6"/>
    <m/>
    <n v="12"/>
    <x v="0"/>
    <n v="3"/>
    <x v="0"/>
    <m/>
    <m/>
    <n v="38"/>
    <x v="2"/>
    <s v="3/07/2023"/>
    <d v="2023-07-03T00:00:00"/>
    <s v="2023026-24"/>
    <x v="0"/>
  </r>
  <r>
    <x v="412"/>
    <n v="2023026"/>
    <x v="26"/>
    <s v="Lentil"/>
    <m/>
    <x v="16"/>
    <s v="N"/>
    <x v="2"/>
    <n v="25"/>
    <n v="13"/>
    <x v="0"/>
    <m/>
    <m/>
    <m/>
    <n v="2"/>
    <n v="3"/>
    <m/>
    <m/>
    <m/>
    <m/>
    <n v="1"/>
    <n v="9"/>
    <x v="0"/>
    <n v="7"/>
    <m/>
    <m/>
    <x v="1"/>
    <n v="2"/>
    <x v="0"/>
    <m/>
    <m/>
    <n v="38"/>
    <x v="2"/>
    <s v="3/07/2023"/>
    <d v="2023-07-03T00:00:00"/>
    <s v="2023026-25"/>
    <x v="0"/>
  </r>
  <r>
    <x v="413"/>
    <n v="2023026"/>
    <x v="26"/>
    <s v="Lentil"/>
    <m/>
    <x v="1"/>
    <s v="Y"/>
    <x v="2"/>
    <n v="26"/>
    <n v="14"/>
    <x v="0"/>
    <m/>
    <m/>
    <m/>
    <n v="2"/>
    <n v="3"/>
    <m/>
    <m/>
    <m/>
    <m/>
    <n v="2"/>
    <n v="9"/>
    <x v="1"/>
    <n v="7"/>
    <m/>
    <m/>
    <x v="1"/>
    <n v="3"/>
    <x v="0"/>
    <m/>
    <m/>
    <n v="38"/>
    <x v="2"/>
    <s v="3/07/2023"/>
    <d v="2023-07-03T00:00:00"/>
    <s v="2023026-26"/>
    <x v="0"/>
  </r>
  <r>
    <x v="414"/>
    <n v="2023026"/>
    <x v="26"/>
    <s v="Lentil"/>
    <m/>
    <x v="14"/>
    <s v="N"/>
    <x v="2"/>
    <n v="27"/>
    <n v="15"/>
    <x v="0"/>
    <m/>
    <m/>
    <m/>
    <n v="2"/>
    <n v="4"/>
    <m/>
    <m/>
    <m/>
    <m/>
    <n v="3"/>
    <n v="9"/>
    <x v="2"/>
    <n v="7"/>
    <m/>
    <m/>
    <x v="0"/>
    <n v="1"/>
    <x v="0"/>
    <m/>
    <m/>
    <n v="38"/>
    <x v="2"/>
    <s v="3/07/2023"/>
    <d v="2023-07-03T00:00:00"/>
    <s v="2023026-27"/>
    <x v="0"/>
  </r>
  <r>
    <x v="415"/>
    <n v="2023026"/>
    <x v="26"/>
    <s v="Lentil"/>
    <m/>
    <x v="15"/>
    <s v="Y"/>
    <x v="2"/>
    <n v="28"/>
    <n v="16"/>
    <x v="0"/>
    <m/>
    <m/>
    <m/>
    <n v="2"/>
    <n v="4"/>
    <m/>
    <m/>
    <m/>
    <m/>
    <n v="4"/>
    <n v="9"/>
    <x v="3"/>
    <n v="7"/>
    <m/>
    <m/>
    <x v="0"/>
    <n v="4"/>
    <x v="0"/>
    <m/>
    <m/>
    <n v="38"/>
    <x v="2"/>
    <s v="3/07/2023"/>
    <d v="2023-07-03T00:00:00"/>
    <s v="2023026-28"/>
    <x v="0"/>
  </r>
  <r>
    <x v="412"/>
    <n v="2023026"/>
    <x v="26"/>
    <s v="Lentil"/>
    <m/>
    <x v="16"/>
    <s v="N"/>
    <x v="1"/>
    <n v="29"/>
    <n v="13"/>
    <x v="0"/>
    <m/>
    <m/>
    <m/>
    <n v="2"/>
    <n v="3"/>
    <m/>
    <m/>
    <m/>
    <m/>
    <n v="1"/>
    <n v="10"/>
    <x v="0"/>
    <n v="8"/>
    <m/>
    <n v="16"/>
    <x v="1"/>
    <n v="2"/>
    <x v="0"/>
    <m/>
    <m/>
    <n v="38"/>
    <x v="2"/>
    <s v="3/07/2023"/>
    <d v="2023-07-03T00:00:00"/>
    <s v="2023026-29"/>
    <x v="0"/>
  </r>
  <r>
    <x v="413"/>
    <n v="2023026"/>
    <x v="26"/>
    <s v="Lentil"/>
    <m/>
    <x v="1"/>
    <s v="Y"/>
    <x v="1"/>
    <n v="30"/>
    <n v="14"/>
    <x v="0"/>
    <m/>
    <m/>
    <m/>
    <n v="2"/>
    <n v="3"/>
    <m/>
    <m/>
    <m/>
    <m/>
    <n v="2"/>
    <n v="10"/>
    <x v="1"/>
    <n v="8"/>
    <m/>
    <n v="15"/>
    <x v="1"/>
    <n v="3"/>
    <x v="0"/>
    <m/>
    <m/>
    <n v="38"/>
    <x v="2"/>
    <s v="3/07/2023"/>
    <d v="2023-07-03T00:00:00"/>
    <s v="2023026-30"/>
    <x v="0"/>
  </r>
  <r>
    <x v="414"/>
    <n v="2023026"/>
    <x v="26"/>
    <s v="Lentil"/>
    <m/>
    <x v="14"/>
    <s v="N"/>
    <x v="1"/>
    <n v="31"/>
    <n v="15"/>
    <x v="0"/>
    <m/>
    <m/>
    <m/>
    <n v="2"/>
    <n v="4"/>
    <m/>
    <m/>
    <m/>
    <m/>
    <n v="3"/>
    <n v="10"/>
    <x v="2"/>
    <n v="8"/>
    <m/>
    <n v="14"/>
    <x v="0"/>
    <n v="1"/>
    <x v="0"/>
    <m/>
    <m/>
    <n v="38"/>
    <x v="2"/>
    <s v="3/07/2023"/>
    <d v="2023-07-03T00:00:00"/>
    <s v="2023026-31"/>
    <x v="0"/>
  </r>
  <r>
    <x v="415"/>
    <n v="2023026"/>
    <x v="26"/>
    <s v="Lentil"/>
    <m/>
    <x v="15"/>
    <s v="Y"/>
    <x v="1"/>
    <n v="32"/>
    <n v="16"/>
    <x v="0"/>
    <m/>
    <m/>
    <m/>
    <n v="2"/>
    <n v="4"/>
    <m/>
    <m/>
    <m/>
    <m/>
    <n v="4"/>
    <n v="10"/>
    <x v="3"/>
    <n v="8"/>
    <m/>
    <n v="13"/>
    <x v="0"/>
    <n v="4"/>
    <x v="0"/>
    <m/>
    <m/>
    <n v="38"/>
    <x v="2"/>
    <s v="3/07/2023"/>
    <d v="2023-07-03T00:00:00"/>
    <s v="2023026-32"/>
    <x v="0"/>
  </r>
  <r>
    <x v="402"/>
    <n v="2023026"/>
    <x v="26"/>
    <s v="Lentil"/>
    <m/>
    <x v="15"/>
    <s v="Y"/>
    <x v="2"/>
    <n v="33"/>
    <n v="17"/>
    <x v="1"/>
    <m/>
    <m/>
    <m/>
    <n v="3"/>
    <n v="5"/>
    <m/>
    <m/>
    <m/>
    <m/>
    <n v="1"/>
    <n v="12"/>
    <x v="0"/>
    <n v="9"/>
    <m/>
    <m/>
    <x v="0"/>
    <n v="4"/>
    <x v="0"/>
    <m/>
    <m/>
    <n v="38"/>
    <x v="1"/>
    <s v="16/05/2023"/>
    <d v="2023-05-16T00:00:00"/>
    <s v="2023026-33"/>
    <x v="0"/>
  </r>
  <r>
    <x v="406"/>
    <n v="2023026"/>
    <x v="26"/>
    <s v="Lentil"/>
    <m/>
    <x v="1"/>
    <s v="Y"/>
    <x v="2"/>
    <n v="34"/>
    <n v="18"/>
    <x v="1"/>
    <m/>
    <m/>
    <m/>
    <n v="3"/>
    <n v="5"/>
    <m/>
    <m/>
    <m/>
    <m/>
    <n v="2"/>
    <n v="12"/>
    <x v="1"/>
    <n v="9"/>
    <m/>
    <m/>
    <x v="0"/>
    <n v="3"/>
    <x v="0"/>
    <m/>
    <m/>
    <n v="38"/>
    <x v="1"/>
    <s v="16/05/2023"/>
    <d v="2023-05-16T00:00:00"/>
    <s v="2023026-34"/>
    <x v="0"/>
  </r>
  <r>
    <x v="405"/>
    <n v="2023026"/>
    <x v="26"/>
    <s v="Lentil"/>
    <m/>
    <x v="16"/>
    <s v="N"/>
    <x v="2"/>
    <n v="35"/>
    <n v="19"/>
    <x v="1"/>
    <m/>
    <m/>
    <m/>
    <n v="3"/>
    <n v="6"/>
    <m/>
    <m/>
    <m/>
    <m/>
    <n v="3"/>
    <n v="12"/>
    <x v="2"/>
    <n v="9"/>
    <m/>
    <m/>
    <x v="1"/>
    <n v="2"/>
    <x v="0"/>
    <m/>
    <m/>
    <n v="38"/>
    <x v="1"/>
    <s v="16/05/2023"/>
    <d v="2023-05-16T00:00:00"/>
    <s v="2023026-35"/>
    <x v="0"/>
  </r>
  <r>
    <x v="400"/>
    <n v="2023026"/>
    <x v="26"/>
    <s v="Lentil"/>
    <m/>
    <x v="14"/>
    <s v="N"/>
    <x v="2"/>
    <n v="36"/>
    <n v="20"/>
    <x v="1"/>
    <m/>
    <m/>
    <m/>
    <n v="3"/>
    <n v="6"/>
    <m/>
    <m/>
    <m/>
    <m/>
    <n v="4"/>
    <n v="12"/>
    <x v="3"/>
    <n v="9"/>
    <m/>
    <m/>
    <x v="1"/>
    <n v="1"/>
    <x v="0"/>
    <m/>
    <m/>
    <n v="38"/>
    <x v="1"/>
    <s v="16/05/2023"/>
    <d v="2023-05-16T00:00:00"/>
    <s v="2023026-36"/>
    <x v="0"/>
  </r>
  <r>
    <x v="402"/>
    <n v="2023026"/>
    <x v="26"/>
    <s v="Lentil"/>
    <m/>
    <x v="15"/>
    <s v="Y"/>
    <x v="1"/>
    <n v="37"/>
    <n v="17"/>
    <x v="1"/>
    <m/>
    <m/>
    <m/>
    <n v="3"/>
    <n v="5"/>
    <m/>
    <m/>
    <m/>
    <m/>
    <n v="1"/>
    <n v="13"/>
    <x v="0"/>
    <n v="10"/>
    <m/>
    <n v="17"/>
    <x v="0"/>
    <n v="4"/>
    <x v="0"/>
    <m/>
    <m/>
    <n v="38"/>
    <x v="1"/>
    <s v="16/05/2023"/>
    <d v="2023-05-16T00:00:00"/>
    <s v="2023026-37"/>
    <x v="0"/>
  </r>
  <r>
    <x v="406"/>
    <n v="2023026"/>
    <x v="26"/>
    <s v="Lentil"/>
    <m/>
    <x v="1"/>
    <s v="Y"/>
    <x v="1"/>
    <n v="38"/>
    <n v="18"/>
    <x v="1"/>
    <m/>
    <m/>
    <m/>
    <n v="3"/>
    <n v="5"/>
    <m/>
    <m/>
    <m/>
    <m/>
    <n v="2"/>
    <n v="13"/>
    <x v="1"/>
    <n v="10"/>
    <m/>
    <n v="18"/>
    <x v="0"/>
    <n v="3"/>
    <x v="0"/>
    <m/>
    <m/>
    <n v="38"/>
    <x v="1"/>
    <s v="16/05/2023"/>
    <d v="2023-05-16T00:00:00"/>
    <s v="2023026-38"/>
    <x v="0"/>
  </r>
  <r>
    <x v="405"/>
    <n v="2023026"/>
    <x v="26"/>
    <s v="Lentil"/>
    <m/>
    <x v="16"/>
    <s v="N"/>
    <x v="1"/>
    <n v="39"/>
    <n v="19"/>
    <x v="1"/>
    <m/>
    <m/>
    <m/>
    <n v="3"/>
    <n v="6"/>
    <m/>
    <m/>
    <m/>
    <m/>
    <n v="3"/>
    <n v="13"/>
    <x v="2"/>
    <n v="10"/>
    <m/>
    <n v="19"/>
    <x v="1"/>
    <n v="2"/>
    <x v="0"/>
    <m/>
    <m/>
    <n v="38"/>
    <x v="1"/>
    <s v="16/05/2023"/>
    <d v="2023-05-16T00:00:00"/>
    <s v="2023026-39"/>
    <x v="0"/>
  </r>
  <r>
    <x v="400"/>
    <n v="2023026"/>
    <x v="26"/>
    <s v="Lentil"/>
    <m/>
    <x v="14"/>
    <s v="N"/>
    <x v="1"/>
    <n v="40"/>
    <n v="20"/>
    <x v="1"/>
    <m/>
    <m/>
    <m/>
    <n v="3"/>
    <n v="6"/>
    <m/>
    <m/>
    <m/>
    <m/>
    <n v="4"/>
    <n v="13"/>
    <x v="3"/>
    <n v="10"/>
    <m/>
    <n v="20"/>
    <x v="1"/>
    <n v="1"/>
    <x v="0"/>
    <m/>
    <m/>
    <n v="38"/>
    <x v="1"/>
    <s v="16/05/2023"/>
    <d v="2023-05-16T00:00:00"/>
    <s v="2023026-40"/>
    <x v="0"/>
  </r>
  <r>
    <x v="407"/>
    <n v="2023026"/>
    <x v="26"/>
    <s v="Lentil"/>
    <m/>
    <x v="14"/>
    <s v="N"/>
    <x v="2"/>
    <n v="41"/>
    <n v="21"/>
    <x v="1"/>
    <m/>
    <m/>
    <m/>
    <n v="3"/>
    <n v="5"/>
    <m/>
    <m/>
    <m/>
    <m/>
    <n v="1"/>
    <n v="14"/>
    <x v="0"/>
    <n v="11"/>
    <m/>
    <m/>
    <x v="0"/>
    <n v="1"/>
    <x v="0"/>
    <m/>
    <m/>
    <n v="38"/>
    <x v="1"/>
    <s v="16/05/2023"/>
    <d v="2023-05-16T00:00:00"/>
    <s v="2023026-41"/>
    <x v="0"/>
  </r>
  <r>
    <x v="403"/>
    <n v="2023026"/>
    <x v="26"/>
    <s v="Lentil"/>
    <m/>
    <x v="16"/>
    <s v="N"/>
    <x v="2"/>
    <n v="42"/>
    <n v="22"/>
    <x v="1"/>
    <m/>
    <m/>
    <m/>
    <n v="3"/>
    <n v="5"/>
    <m/>
    <m/>
    <m/>
    <m/>
    <n v="2"/>
    <n v="14"/>
    <x v="1"/>
    <n v="11"/>
    <m/>
    <m/>
    <x v="0"/>
    <n v="2"/>
    <x v="0"/>
    <m/>
    <m/>
    <n v="38"/>
    <x v="1"/>
    <s v="16/05/2023"/>
    <d v="2023-05-16T00:00:00"/>
    <s v="2023026-42"/>
    <x v="0"/>
  </r>
  <r>
    <x v="401"/>
    <n v="2023026"/>
    <x v="26"/>
    <s v="Lentil"/>
    <m/>
    <x v="1"/>
    <s v="Y"/>
    <x v="2"/>
    <n v="43"/>
    <n v="23"/>
    <x v="1"/>
    <m/>
    <m/>
    <m/>
    <n v="3"/>
    <n v="6"/>
    <m/>
    <m/>
    <m/>
    <m/>
    <n v="3"/>
    <n v="14"/>
    <x v="2"/>
    <n v="11"/>
    <m/>
    <m/>
    <x v="1"/>
    <n v="3"/>
    <x v="0"/>
    <m/>
    <m/>
    <n v="38"/>
    <x v="1"/>
    <s v="16/05/2023"/>
    <d v="2023-05-16T00:00:00"/>
    <s v="2023026-43"/>
    <x v="0"/>
  </r>
  <r>
    <x v="404"/>
    <n v="2023026"/>
    <x v="26"/>
    <s v="Lentil"/>
    <m/>
    <x v="15"/>
    <s v="Y"/>
    <x v="2"/>
    <n v="44"/>
    <n v="24"/>
    <x v="1"/>
    <m/>
    <m/>
    <m/>
    <n v="3"/>
    <n v="6"/>
    <m/>
    <m/>
    <m/>
    <m/>
    <n v="4"/>
    <n v="14"/>
    <x v="3"/>
    <n v="11"/>
    <m/>
    <m/>
    <x v="1"/>
    <n v="4"/>
    <x v="0"/>
    <m/>
    <m/>
    <n v="38"/>
    <x v="1"/>
    <s v="16/05/2023"/>
    <d v="2023-05-16T00:00:00"/>
    <s v="2023026-44"/>
    <x v="0"/>
  </r>
  <r>
    <x v="407"/>
    <n v="2023026"/>
    <x v="26"/>
    <s v="Lentil"/>
    <m/>
    <x v="14"/>
    <s v="N"/>
    <x v="1"/>
    <n v="45"/>
    <n v="21"/>
    <x v="1"/>
    <m/>
    <m/>
    <m/>
    <n v="3"/>
    <n v="5"/>
    <m/>
    <m/>
    <m/>
    <m/>
    <n v="1"/>
    <n v="15"/>
    <x v="0"/>
    <n v="12"/>
    <m/>
    <n v="24"/>
    <x v="0"/>
    <n v="1"/>
    <x v="0"/>
    <m/>
    <m/>
    <n v="38"/>
    <x v="1"/>
    <s v="16/05/2023"/>
    <d v="2023-05-16T00:00:00"/>
    <s v="2023026-45"/>
    <x v="0"/>
  </r>
  <r>
    <x v="403"/>
    <n v="2023026"/>
    <x v="26"/>
    <s v="Lentil"/>
    <m/>
    <x v="16"/>
    <s v="N"/>
    <x v="1"/>
    <n v="46"/>
    <n v="22"/>
    <x v="1"/>
    <m/>
    <m/>
    <m/>
    <n v="3"/>
    <n v="5"/>
    <m/>
    <m/>
    <m/>
    <m/>
    <n v="2"/>
    <n v="15"/>
    <x v="1"/>
    <n v="12"/>
    <m/>
    <n v="23"/>
    <x v="0"/>
    <n v="2"/>
    <x v="0"/>
    <m/>
    <m/>
    <n v="38"/>
    <x v="1"/>
    <s v="16/05/2023"/>
    <d v="2023-05-16T00:00:00"/>
    <s v="2023026-46"/>
    <x v="0"/>
  </r>
  <r>
    <x v="401"/>
    <n v="2023026"/>
    <x v="26"/>
    <s v="Lentil"/>
    <m/>
    <x v="1"/>
    <s v="Y"/>
    <x v="1"/>
    <n v="47"/>
    <n v="23"/>
    <x v="1"/>
    <m/>
    <m/>
    <m/>
    <n v="3"/>
    <n v="6"/>
    <m/>
    <m/>
    <m/>
    <m/>
    <n v="3"/>
    <n v="15"/>
    <x v="2"/>
    <n v="12"/>
    <m/>
    <n v="22"/>
    <x v="1"/>
    <n v="3"/>
    <x v="0"/>
    <m/>
    <m/>
    <n v="38"/>
    <x v="1"/>
    <s v="16/05/2023"/>
    <d v="2023-05-16T00:00:00"/>
    <s v="2023026-47"/>
    <x v="0"/>
  </r>
  <r>
    <x v="404"/>
    <n v="2023026"/>
    <x v="26"/>
    <s v="Lentil"/>
    <m/>
    <x v="15"/>
    <s v="Y"/>
    <x v="1"/>
    <n v="48"/>
    <n v="24"/>
    <x v="1"/>
    <m/>
    <m/>
    <m/>
    <n v="3"/>
    <n v="6"/>
    <m/>
    <m/>
    <m/>
    <m/>
    <n v="4"/>
    <n v="15"/>
    <x v="3"/>
    <n v="12"/>
    <m/>
    <n v="21"/>
    <x v="1"/>
    <n v="4"/>
    <x v="0"/>
    <m/>
    <m/>
    <n v="38"/>
    <x v="1"/>
    <s v="16/05/2023"/>
    <d v="2023-05-16T00:00:00"/>
    <s v="2023026-48"/>
    <x v="0"/>
  </r>
  <r>
    <x v="411"/>
    <n v="2023026"/>
    <x v="26"/>
    <s v="Lentil"/>
    <m/>
    <x v="1"/>
    <s v="Y"/>
    <x v="2"/>
    <n v="49"/>
    <n v="25"/>
    <x v="1"/>
    <m/>
    <m/>
    <m/>
    <n v="4"/>
    <n v="7"/>
    <m/>
    <m/>
    <m/>
    <m/>
    <n v="1"/>
    <n v="17"/>
    <x v="0"/>
    <n v="13"/>
    <m/>
    <m/>
    <x v="0"/>
    <n v="3"/>
    <x v="0"/>
    <m/>
    <m/>
    <n v="38"/>
    <x v="2"/>
    <s v="3/07/2023"/>
    <d v="2023-07-03T00:00:00"/>
    <s v="2023026-49"/>
    <x v="0"/>
  </r>
  <r>
    <x v="414"/>
    <n v="2023026"/>
    <x v="26"/>
    <s v="Lentil"/>
    <m/>
    <x v="14"/>
    <s v="N"/>
    <x v="2"/>
    <n v="50"/>
    <n v="26"/>
    <x v="1"/>
    <m/>
    <m/>
    <m/>
    <n v="4"/>
    <n v="7"/>
    <m/>
    <m/>
    <m/>
    <m/>
    <n v="2"/>
    <n v="17"/>
    <x v="1"/>
    <n v="13"/>
    <m/>
    <m/>
    <x v="0"/>
    <n v="1"/>
    <x v="0"/>
    <m/>
    <m/>
    <n v="38"/>
    <x v="2"/>
    <s v="3/07/2023"/>
    <d v="2023-07-03T00:00:00"/>
    <s v="2023026-50"/>
    <x v="0"/>
  </r>
  <r>
    <x v="412"/>
    <n v="2023026"/>
    <x v="26"/>
    <s v="Lentil"/>
    <m/>
    <x v="16"/>
    <s v="N"/>
    <x v="2"/>
    <n v="51"/>
    <n v="27"/>
    <x v="1"/>
    <m/>
    <m/>
    <m/>
    <n v="4"/>
    <n v="8"/>
    <m/>
    <m/>
    <m/>
    <m/>
    <n v="3"/>
    <n v="17"/>
    <x v="2"/>
    <n v="13"/>
    <m/>
    <m/>
    <x v="1"/>
    <n v="2"/>
    <x v="0"/>
    <m/>
    <m/>
    <n v="38"/>
    <x v="2"/>
    <s v="3/07/2023"/>
    <d v="2023-07-03T00:00:00"/>
    <s v="2023026-51"/>
    <x v="0"/>
  </r>
  <r>
    <x v="408"/>
    <n v="2023026"/>
    <x v="26"/>
    <s v="Lentil"/>
    <m/>
    <x v="15"/>
    <s v="Y"/>
    <x v="2"/>
    <n v="52"/>
    <n v="28"/>
    <x v="1"/>
    <m/>
    <m/>
    <m/>
    <n v="4"/>
    <n v="8"/>
    <m/>
    <m/>
    <m/>
    <m/>
    <n v="4"/>
    <n v="17"/>
    <x v="3"/>
    <n v="13"/>
    <m/>
    <m/>
    <x v="1"/>
    <n v="4"/>
    <x v="0"/>
    <m/>
    <m/>
    <n v="38"/>
    <x v="2"/>
    <s v="3/07/2023"/>
    <d v="2023-07-03T00:00:00"/>
    <s v="2023026-52"/>
    <x v="0"/>
  </r>
  <r>
    <x v="411"/>
    <n v="2023026"/>
    <x v="26"/>
    <s v="Lentil"/>
    <m/>
    <x v="1"/>
    <s v="Y"/>
    <x v="1"/>
    <n v="53"/>
    <n v="25"/>
    <x v="1"/>
    <m/>
    <m/>
    <m/>
    <n v="4"/>
    <n v="7"/>
    <m/>
    <m/>
    <m/>
    <m/>
    <n v="1"/>
    <n v="18"/>
    <x v="0"/>
    <n v="14"/>
    <m/>
    <n v="25"/>
    <x v="0"/>
    <n v="3"/>
    <x v="0"/>
    <m/>
    <m/>
    <n v="38"/>
    <x v="2"/>
    <s v="3/07/2023"/>
    <d v="2023-07-03T00:00:00"/>
    <s v="2023026-53"/>
    <x v="0"/>
  </r>
  <r>
    <x v="414"/>
    <n v="2023026"/>
    <x v="26"/>
    <s v="Lentil"/>
    <m/>
    <x v="14"/>
    <s v="N"/>
    <x v="1"/>
    <n v="54"/>
    <n v="26"/>
    <x v="1"/>
    <m/>
    <m/>
    <m/>
    <n v="4"/>
    <n v="7"/>
    <m/>
    <m/>
    <m/>
    <m/>
    <n v="2"/>
    <n v="18"/>
    <x v="1"/>
    <n v="14"/>
    <m/>
    <n v="26"/>
    <x v="0"/>
    <n v="1"/>
    <x v="0"/>
    <m/>
    <m/>
    <n v="38"/>
    <x v="2"/>
    <s v="3/07/2023"/>
    <d v="2023-07-03T00:00:00"/>
    <s v="2023026-54"/>
    <x v="0"/>
  </r>
  <r>
    <x v="412"/>
    <n v="2023026"/>
    <x v="26"/>
    <s v="Lentil"/>
    <m/>
    <x v="16"/>
    <s v="N"/>
    <x v="1"/>
    <n v="55"/>
    <n v="27"/>
    <x v="1"/>
    <m/>
    <m/>
    <m/>
    <n v="4"/>
    <n v="8"/>
    <m/>
    <m/>
    <m/>
    <m/>
    <n v="3"/>
    <n v="18"/>
    <x v="2"/>
    <n v="14"/>
    <m/>
    <n v="27"/>
    <x v="1"/>
    <n v="2"/>
    <x v="0"/>
    <m/>
    <m/>
    <n v="38"/>
    <x v="2"/>
    <s v="3/07/2023"/>
    <d v="2023-07-03T00:00:00"/>
    <s v="2023026-55"/>
    <x v="0"/>
  </r>
  <r>
    <x v="408"/>
    <n v="2023026"/>
    <x v="26"/>
    <s v="Lentil"/>
    <m/>
    <x v="15"/>
    <s v="Y"/>
    <x v="1"/>
    <n v="56"/>
    <n v="28"/>
    <x v="1"/>
    <m/>
    <m/>
    <m/>
    <n v="4"/>
    <n v="8"/>
    <m/>
    <m/>
    <m/>
    <m/>
    <n v="4"/>
    <n v="18"/>
    <x v="3"/>
    <n v="14"/>
    <m/>
    <n v="28"/>
    <x v="1"/>
    <n v="4"/>
    <x v="0"/>
    <m/>
    <m/>
    <n v="38"/>
    <x v="2"/>
    <s v="3/07/2023"/>
    <d v="2023-07-03T00:00:00"/>
    <s v="2023026-56"/>
    <x v="0"/>
  </r>
  <r>
    <x v="415"/>
    <n v="2023026"/>
    <x v="26"/>
    <s v="Lentil"/>
    <m/>
    <x v="15"/>
    <s v="Y"/>
    <x v="2"/>
    <n v="57"/>
    <n v="29"/>
    <x v="1"/>
    <m/>
    <m/>
    <m/>
    <n v="4"/>
    <n v="7"/>
    <m/>
    <m/>
    <m/>
    <m/>
    <n v="1"/>
    <n v="19"/>
    <x v="0"/>
    <n v="15"/>
    <m/>
    <m/>
    <x v="0"/>
    <n v="4"/>
    <x v="0"/>
    <m/>
    <m/>
    <n v="38"/>
    <x v="2"/>
    <s v="3/07/2023"/>
    <d v="2023-07-03T00:00:00"/>
    <s v="2023026-57"/>
    <x v="0"/>
  </r>
  <r>
    <x v="410"/>
    <n v="2023026"/>
    <x v="26"/>
    <s v="Lentil"/>
    <m/>
    <x v="16"/>
    <s v="N"/>
    <x v="2"/>
    <n v="58"/>
    <n v="30"/>
    <x v="1"/>
    <m/>
    <m/>
    <m/>
    <n v="4"/>
    <n v="7"/>
    <m/>
    <m/>
    <m/>
    <m/>
    <n v="2"/>
    <n v="19"/>
    <x v="1"/>
    <n v="15"/>
    <m/>
    <m/>
    <x v="0"/>
    <n v="2"/>
    <x v="0"/>
    <m/>
    <m/>
    <n v="38"/>
    <x v="2"/>
    <s v="3/07/2023"/>
    <d v="2023-07-03T00:00:00"/>
    <s v="2023026-58"/>
    <x v="0"/>
  </r>
  <r>
    <x v="409"/>
    <n v="2023026"/>
    <x v="26"/>
    <s v="Lentil"/>
    <m/>
    <x v="14"/>
    <s v="N"/>
    <x v="2"/>
    <n v="59"/>
    <n v="31"/>
    <x v="1"/>
    <m/>
    <m/>
    <m/>
    <n v="4"/>
    <n v="8"/>
    <m/>
    <m/>
    <m/>
    <m/>
    <n v="3"/>
    <n v="19"/>
    <x v="2"/>
    <n v="15"/>
    <m/>
    <m/>
    <x v="1"/>
    <n v="1"/>
    <x v="0"/>
    <m/>
    <m/>
    <n v="38"/>
    <x v="2"/>
    <s v="3/07/2023"/>
    <d v="2023-07-03T00:00:00"/>
    <s v="2023026-59"/>
    <x v="0"/>
  </r>
  <r>
    <x v="413"/>
    <n v="2023026"/>
    <x v="26"/>
    <s v="Lentil"/>
    <m/>
    <x v="1"/>
    <s v="Y"/>
    <x v="2"/>
    <n v="60"/>
    <n v="32"/>
    <x v="1"/>
    <m/>
    <m/>
    <m/>
    <n v="4"/>
    <n v="8"/>
    <m/>
    <m/>
    <m/>
    <m/>
    <n v="4"/>
    <n v="19"/>
    <x v="3"/>
    <n v="15"/>
    <m/>
    <m/>
    <x v="1"/>
    <n v="3"/>
    <x v="0"/>
    <m/>
    <m/>
    <n v="38"/>
    <x v="2"/>
    <s v="3/07/2023"/>
    <d v="2023-07-03T00:00:00"/>
    <s v="2023026-60"/>
    <x v="0"/>
  </r>
  <r>
    <x v="415"/>
    <n v="2023026"/>
    <x v="26"/>
    <s v="Lentil"/>
    <m/>
    <x v="15"/>
    <s v="Y"/>
    <x v="1"/>
    <n v="61"/>
    <n v="29"/>
    <x v="1"/>
    <m/>
    <m/>
    <m/>
    <n v="4"/>
    <n v="7"/>
    <m/>
    <m/>
    <m/>
    <m/>
    <n v="1"/>
    <n v="20"/>
    <x v="0"/>
    <n v="16"/>
    <m/>
    <n v="32"/>
    <x v="0"/>
    <n v="4"/>
    <x v="0"/>
    <m/>
    <m/>
    <n v="38"/>
    <x v="2"/>
    <s v="3/07/2023"/>
    <d v="2023-07-03T00:00:00"/>
    <s v="2023026-61"/>
    <x v="0"/>
  </r>
  <r>
    <x v="410"/>
    <n v="2023026"/>
    <x v="26"/>
    <s v="Lentil"/>
    <m/>
    <x v="16"/>
    <s v="N"/>
    <x v="1"/>
    <n v="62"/>
    <n v="30"/>
    <x v="1"/>
    <m/>
    <m/>
    <m/>
    <n v="4"/>
    <n v="7"/>
    <m/>
    <m/>
    <m/>
    <m/>
    <n v="2"/>
    <n v="20"/>
    <x v="1"/>
    <n v="16"/>
    <m/>
    <n v="31"/>
    <x v="0"/>
    <n v="2"/>
    <x v="0"/>
    <m/>
    <m/>
    <n v="38"/>
    <x v="2"/>
    <s v="3/07/2023"/>
    <d v="2023-07-03T00:00:00"/>
    <s v="2023026-62"/>
    <x v="0"/>
  </r>
  <r>
    <x v="409"/>
    <n v="2023026"/>
    <x v="26"/>
    <s v="Lentil"/>
    <m/>
    <x v="14"/>
    <s v="N"/>
    <x v="1"/>
    <n v="63"/>
    <n v="31"/>
    <x v="1"/>
    <m/>
    <m/>
    <m/>
    <n v="4"/>
    <n v="8"/>
    <m/>
    <m/>
    <m/>
    <m/>
    <n v="3"/>
    <n v="20"/>
    <x v="2"/>
    <n v="16"/>
    <m/>
    <n v="30"/>
    <x v="1"/>
    <n v="1"/>
    <x v="0"/>
    <m/>
    <m/>
    <n v="38"/>
    <x v="2"/>
    <s v="3/07/2023"/>
    <d v="2023-07-03T00:00:00"/>
    <s v="2023026-63"/>
    <x v="0"/>
  </r>
  <r>
    <x v="413"/>
    <n v="2023026"/>
    <x v="26"/>
    <s v="Lentil"/>
    <m/>
    <x v="1"/>
    <s v="Y"/>
    <x v="1"/>
    <n v="64"/>
    <n v="32"/>
    <x v="1"/>
    <m/>
    <m/>
    <m/>
    <n v="4"/>
    <n v="8"/>
    <m/>
    <m/>
    <m/>
    <m/>
    <n v="4"/>
    <n v="20"/>
    <x v="3"/>
    <n v="16"/>
    <m/>
    <n v="29"/>
    <x v="1"/>
    <n v="3"/>
    <x v="0"/>
    <m/>
    <m/>
    <n v="38"/>
    <x v="2"/>
    <s v="3/07/2023"/>
    <d v="2023-07-03T00:00:00"/>
    <s v="2023026-64"/>
    <x v="0"/>
  </r>
  <r>
    <x v="414"/>
    <n v="2023026"/>
    <x v="26"/>
    <s v="Lentil"/>
    <m/>
    <x v="14"/>
    <s v="N"/>
    <x v="2"/>
    <n v="65"/>
    <n v="33"/>
    <x v="2"/>
    <m/>
    <m/>
    <m/>
    <n v="5"/>
    <n v="9"/>
    <m/>
    <m/>
    <m/>
    <m/>
    <n v="1"/>
    <n v="22"/>
    <x v="0"/>
    <n v="17"/>
    <m/>
    <m/>
    <x v="0"/>
    <n v="1"/>
    <x v="0"/>
    <m/>
    <m/>
    <n v="38"/>
    <x v="2"/>
    <s v="3/07/2023"/>
    <d v="2023-07-03T00:00:00"/>
    <s v="2023026-65"/>
    <x v="0"/>
  </r>
  <r>
    <x v="410"/>
    <n v="2023026"/>
    <x v="26"/>
    <s v="Lentil"/>
    <m/>
    <x v="16"/>
    <s v="N"/>
    <x v="2"/>
    <n v="66"/>
    <n v="34"/>
    <x v="2"/>
    <m/>
    <m/>
    <m/>
    <n v="5"/>
    <n v="9"/>
    <m/>
    <m/>
    <m/>
    <m/>
    <n v="2"/>
    <n v="22"/>
    <x v="1"/>
    <n v="17"/>
    <m/>
    <m/>
    <x v="0"/>
    <n v="2"/>
    <x v="0"/>
    <m/>
    <m/>
    <n v="38"/>
    <x v="2"/>
    <s v="3/07/2023"/>
    <d v="2023-07-03T00:00:00"/>
    <s v="2023026-66"/>
    <x v="0"/>
  </r>
  <r>
    <x v="408"/>
    <n v="2023026"/>
    <x v="26"/>
    <s v="Lentil"/>
    <m/>
    <x v="15"/>
    <s v="Y"/>
    <x v="2"/>
    <n v="67"/>
    <n v="35"/>
    <x v="2"/>
    <m/>
    <m/>
    <m/>
    <n v="5"/>
    <n v="10"/>
    <m/>
    <m/>
    <m/>
    <m/>
    <n v="3"/>
    <n v="22"/>
    <x v="2"/>
    <n v="17"/>
    <m/>
    <m/>
    <x v="1"/>
    <n v="4"/>
    <x v="0"/>
    <m/>
    <m/>
    <n v="38"/>
    <x v="2"/>
    <s v="3/07/2023"/>
    <d v="2023-07-03T00:00:00"/>
    <s v="2023026-67"/>
    <x v="0"/>
  </r>
  <r>
    <x v="413"/>
    <n v="2023026"/>
    <x v="26"/>
    <s v="Lentil"/>
    <m/>
    <x v="1"/>
    <s v="Y"/>
    <x v="2"/>
    <n v="68"/>
    <n v="36"/>
    <x v="2"/>
    <m/>
    <m/>
    <m/>
    <n v="5"/>
    <n v="10"/>
    <m/>
    <m/>
    <m/>
    <m/>
    <n v="4"/>
    <n v="22"/>
    <x v="3"/>
    <n v="17"/>
    <m/>
    <m/>
    <x v="1"/>
    <n v="3"/>
    <x v="0"/>
    <m/>
    <m/>
    <n v="38"/>
    <x v="2"/>
    <s v="3/07/2023"/>
    <d v="2023-07-03T00:00:00"/>
    <s v="2023026-68"/>
    <x v="0"/>
  </r>
  <r>
    <x v="414"/>
    <n v="2023026"/>
    <x v="26"/>
    <s v="Lentil"/>
    <m/>
    <x v="14"/>
    <s v="N"/>
    <x v="1"/>
    <n v="69"/>
    <n v="33"/>
    <x v="2"/>
    <m/>
    <m/>
    <m/>
    <n v="5"/>
    <n v="9"/>
    <m/>
    <m/>
    <m/>
    <m/>
    <n v="1"/>
    <n v="23"/>
    <x v="0"/>
    <n v="18"/>
    <m/>
    <n v="33"/>
    <x v="0"/>
    <n v="1"/>
    <x v="0"/>
    <m/>
    <m/>
    <n v="38"/>
    <x v="2"/>
    <s v="3/07/2023"/>
    <d v="2023-07-03T00:00:00"/>
    <s v="2023026-69"/>
    <x v="0"/>
  </r>
  <r>
    <x v="410"/>
    <n v="2023026"/>
    <x v="26"/>
    <s v="Lentil"/>
    <m/>
    <x v="16"/>
    <s v="N"/>
    <x v="1"/>
    <n v="70"/>
    <n v="34"/>
    <x v="2"/>
    <m/>
    <m/>
    <m/>
    <n v="5"/>
    <n v="9"/>
    <m/>
    <m/>
    <m/>
    <m/>
    <n v="2"/>
    <n v="23"/>
    <x v="1"/>
    <n v="18"/>
    <m/>
    <n v="34"/>
    <x v="0"/>
    <n v="2"/>
    <x v="0"/>
    <m/>
    <m/>
    <n v="38"/>
    <x v="2"/>
    <s v="3/07/2023"/>
    <d v="2023-07-03T00:00:00"/>
    <s v="2023026-70"/>
    <x v="0"/>
  </r>
  <r>
    <x v="408"/>
    <n v="2023026"/>
    <x v="26"/>
    <s v="Lentil"/>
    <m/>
    <x v="15"/>
    <s v="Y"/>
    <x v="1"/>
    <n v="71"/>
    <n v="35"/>
    <x v="2"/>
    <m/>
    <m/>
    <m/>
    <n v="5"/>
    <n v="10"/>
    <m/>
    <m/>
    <m/>
    <m/>
    <n v="3"/>
    <n v="23"/>
    <x v="2"/>
    <n v="18"/>
    <m/>
    <n v="35"/>
    <x v="1"/>
    <n v="4"/>
    <x v="0"/>
    <m/>
    <m/>
    <n v="38"/>
    <x v="2"/>
    <s v="3/07/2023"/>
    <d v="2023-07-03T00:00:00"/>
    <s v="2023026-71"/>
    <x v="0"/>
  </r>
  <r>
    <x v="413"/>
    <n v="2023026"/>
    <x v="26"/>
    <s v="Lentil"/>
    <m/>
    <x v="1"/>
    <s v="Y"/>
    <x v="1"/>
    <n v="72"/>
    <n v="36"/>
    <x v="2"/>
    <m/>
    <m/>
    <m/>
    <n v="5"/>
    <n v="10"/>
    <m/>
    <m/>
    <m/>
    <m/>
    <n v="4"/>
    <n v="23"/>
    <x v="3"/>
    <n v="18"/>
    <m/>
    <n v="36"/>
    <x v="1"/>
    <n v="3"/>
    <x v="0"/>
    <m/>
    <m/>
    <n v="38"/>
    <x v="2"/>
    <s v="3/07/2023"/>
    <d v="2023-07-03T00:00:00"/>
    <s v="2023026-72"/>
    <x v="0"/>
  </r>
  <r>
    <x v="411"/>
    <n v="2023026"/>
    <x v="26"/>
    <s v="Lentil"/>
    <m/>
    <x v="1"/>
    <s v="Y"/>
    <x v="2"/>
    <n v="73"/>
    <n v="37"/>
    <x v="2"/>
    <m/>
    <m/>
    <m/>
    <n v="5"/>
    <n v="9"/>
    <m/>
    <m/>
    <m/>
    <m/>
    <n v="1"/>
    <n v="24"/>
    <x v="0"/>
    <n v="19"/>
    <m/>
    <m/>
    <x v="0"/>
    <n v="3"/>
    <x v="0"/>
    <m/>
    <m/>
    <n v="38"/>
    <x v="2"/>
    <s v="3/07/2023"/>
    <d v="2023-07-03T00:00:00"/>
    <s v="2023026-73"/>
    <x v="0"/>
  </r>
  <r>
    <x v="415"/>
    <n v="2023026"/>
    <x v="26"/>
    <s v="Lentil"/>
    <m/>
    <x v="15"/>
    <s v="Y"/>
    <x v="2"/>
    <n v="74"/>
    <n v="38"/>
    <x v="2"/>
    <m/>
    <m/>
    <m/>
    <n v="5"/>
    <n v="9"/>
    <m/>
    <m/>
    <m/>
    <m/>
    <n v="2"/>
    <n v="24"/>
    <x v="1"/>
    <n v="19"/>
    <m/>
    <m/>
    <x v="0"/>
    <n v="4"/>
    <x v="0"/>
    <m/>
    <m/>
    <n v="38"/>
    <x v="2"/>
    <s v="3/07/2023"/>
    <d v="2023-07-03T00:00:00"/>
    <s v="2023026-74"/>
    <x v="0"/>
  </r>
  <r>
    <x v="409"/>
    <n v="2023026"/>
    <x v="26"/>
    <s v="Lentil"/>
    <m/>
    <x v="14"/>
    <s v="N"/>
    <x v="2"/>
    <n v="75"/>
    <n v="39"/>
    <x v="2"/>
    <m/>
    <m/>
    <m/>
    <n v="5"/>
    <n v="10"/>
    <m/>
    <m/>
    <m/>
    <m/>
    <n v="3"/>
    <n v="24"/>
    <x v="2"/>
    <n v="19"/>
    <m/>
    <m/>
    <x v="1"/>
    <n v="1"/>
    <x v="0"/>
    <m/>
    <m/>
    <n v="38"/>
    <x v="2"/>
    <s v="3/07/2023"/>
    <d v="2023-07-03T00:00:00"/>
    <s v="2023026-75"/>
    <x v="0"/>
  </r>
  <r>
    <x v="412"/>
    <n v="2023026"/>
    <x v="26"/>
    <s v="Lentil"/>
    <m/>
    <x v="16"/>
    <s v="N"/>
    <x v="2"/>
    <n v="76"/>
    <n v="40"/>
    <x v="2"/>
    <m/>
    <m/>
    <m/>
    <n v="5"/>
    <n v="10"/>
    <m/>
    <m/>
    <m/>
    <m/>
    <n v="4"/>
    <n v="24"/>
    <x v="3"/>
    <n v="19"/>
    <m/>
    <m/>
    <x v="1"/>
    <n v="2"/>
    <x v="0"/>
    <m/>
    <m/>
    <n v="38"/>
    <x v="2"/>
    <s v="3/07/2023"/>
    <d v="2023-07-03T00:00:00"/>
    <s v="2023026-76"/>
    <x v="0"/>
  </r>
  <r>
    <x v="411"/>
    <n v="2023026"/>
    <x v="26"/>
    <s v="Lentil"/>
    <m/>
    <x v="1"/>
    <s v="Y"/>
    <x v="1"/>
    <n v="77"/>
    <n v="37"/>
    <x v="2"/>
    <m/>
    <m/>
    <m/>
    <n v="5"/>
    <n v="9"/>
    <m/>
    <m/>
    <m/>
    <m/>
    <n v="1"/>
    <n v="25"/>
    <x v="0"/>
    <n v="20"/>
    <m/>
    <n v="40"/>
    <x v="0"/>
    <n v="3"/>
    <x v="0"/>
    <m/>
    <m/>
    <n v="38"/>
    <x v="2"/>
    <s v="3/07/2023"/>
    <d v="2023-07-03T00:00:00"/>
    <s v="2023026-77"/>
    <x v="0"/>
  </r>
  <r>
    <x v="415"/>
    <n v="2023026"/>
    <x v="26"/>
    <s v="Lentil"/>
    <m/>
    <x v="15"/>
    <s v="Y"/>
    <x v="1"/>
    <n v="78"/>
    <n v="38"/>
    <x v="2"/>
    <m/>
    <m/>
    <m/>
    <n v="5"/>
    <n v="9"/>
    <m/>
    <m/>
    <m/>
    <m/>
    <n v="2"/>
    <n v="25"/>
    <x v="1"/>
    <n v="20"/>
    <m/>
    <n v="39"/>
    <x v="0"/>
    <n v="4"/>
    <x v="0"/>
    <m/>
    <m/>
    <n v="38"/>
    <x v="2"/>
    <s v="3/07/2023"/>
    <d v="2023-07-03T00:00:00"/>
    <s v="2023026-78"/>
    <x v="0"/>
  </r>
  <r>
    <x v="409"/>
    <n v="2023026"/>
    <x v="26"/>
    <s v="Lentil"/>
    <m/>
    <x v="14"/>
    <s v="N"/>
    <x v="1"/>
    <n v="79"/>
    <n v="39"/>
    <x v="2"/>
    <m/>
    <m/>
    <m/>
    <n v="5"/>
    <n v="10"/>
    <m/>
    <m/>
    <m/>
    <m/>
    <n v="3"/>
    <n v="25"/>
    <x v="2"/>
    <n v="20"/>
    <m/>
    <n v="38"/>
    <x v="1"/>
    <n v="1"/>
    <x v="0"/>
    <m/>
    <m/>
    <n v="38"/>
    <x v="2"/>
    <s v="3/07/2023"/>
    <d v="2023-07-03T00:00:00"/>
    <s v="2023026-79"/>
    <x v="0"/>
  </r>
  <r>
    <x v="412"/>
    <n v="2023026"/>
    <x v="26"/>
    <s v="Lentil"/>
    <m/>
    <x v="16"/>
    <s v="N"/>
    <x v="1"/>
    <n v="80"/>
    <n v="40"/>
    <x v="2"/>
    <m/>
    <m/>
    <m/>
    <n v="5"/>
    <n v="10"/>
    <m/>
    <m/>
    <m/>
    <m/>
    <n v="4"/>
    <n v="25"/>
    <x v="3"/>
    <n v="20"/>
    <m/>
    <n v="37"/>
    <x v="1"/>
    <n v="2"/>
    <x v="0"/>
    <m/>
    <m/>
    <n v="38"/>
    <x v="2"/>
    <s v="3/07/2023"/>
    <d v="2023-07-03T00:00:00"/>
    <s v="2023026-80"/>
    <x v="0"/>
  </r>
  <r>
    <x v="407"/>
    <n v="2023026"/>
    <x v="26"/>
    <s v="Lentil"/>
    <m/>
    <x v="14"/>
    <s v="N"/>
    <x v="2"/>
    <n v="81"/>
    <n v="41"/>
    <x v="2"/>
    <m/>
    <m/>
    <m/>
    <n v="6"/>
    <n v="11"/>
    <m/>
    <m/>
    <m/>
    <m/>
    <n v="1"/>
    <n v="27"/>
    <x v="0"/>
    <n v="21"/>
    <m/>
    <m/>
    <x v="0"/>
    <n v="1"/>
    <x v="0"/>
    <m/>
    <m/>
    <n v="38"/>
    <x v="1"/>
    <s v="16/05/2023"/>
    <d v="2023-05-16T00:00:00"/>
    <s v="2023026-81"/>
    <x v="0"/>
  </r>
  <r>
    <x v="402"/>
    <n v="2023026"/>
    <x v="26"/>
    <s v="Lentil"/>
    <m/>
    <x v="15"/>
    <s v="Y"/>
    <x v="2"/>
    <n v="82"/>
    <n v="42"/>
    <x v="2"/>
    <m/>
    <m/>
    <m/>
    <n v="6"/>
    <n v="11"/>
    <m/>
    <m/>
    <m/>
    <m/>
    <n v="2"/>
    <n v="27"/>
    <x v="1"/>
    <n v="21"/>
    <m/>
    <m/>
    <x v="0"/>
    <n v="4"/>
    <x v="0"/>
    <m/>
    <m/>
    <n v="38"/>
    <x v="1"/>
    <s v="16/05/2023"/>
    <d v="2023-05-16T00:00:00"/>
    <s v="2023026-82"/>
    <x v="0"/>
  </r>
  <r>
    <x v="401"/>
    <n v="2023026"/>
    <x v="26"/>
    <s v="Lentil"/>
    <m/>
    <x v="1"/>
    <s v="Y"/>
    <x v="2"/>
    <n v="83"/>
    <n v="43"/>
    <x v="2"/>
    <m/>
    <m/>
    <m/>
    <n v="6"/>
    <n v="12"/>
    <m/>
    <m/>
    <m/>
    <m/>
    <n v="3"/>
    <n v="27"/>
    <x v="2"/>
    <n v="21"/>
    <m/>
    <m/>
    <x v="1"/>
    <n v="3"/>
    <x v="0"/>
    <m/>
    <m/>
    <n v="38"/>
    <x v="1"/>
    <s v="16/05/2023"/>
    <d v="2023-05-16T00:00:00"/>
    <s v="2023026-83"/>
    <x v="0"/>
  </r>
  <r>
    <x v="405"/>
    <n v="2023026"/>
    <x v="26"/>
    <s v="Lentil"/>
    <m/>
    <x v="16"/>
    <s v="N"/>
    <x v="2"/>
    <n v="84"/>
    <n v="44"/>
    <x v="2"/>
    <m/>
    <m/>
    <m/>
    <n v="6"/>
    <n v="12"/>
    <m/>
    <m/>
    <m/>
    <m/>
    <n v="4"/>
    <n v="27"/>
    <x v="3"/>
    <n v="21"/>
    <m/>
    <m/>
    <x v="1"/>
    <n v="2"/>
    <x v="0"/>
    <m/>
    <m/>
    <n v="38"/>
    <x v="1"/>
    <s v="16/05/2023"/>
    <d v="2023-05-16T00:00:00"/>
    <s v="2023026-84"/>
    <x v="0"/>
  </r>
  <r>
    <x v="407"/>
    <n v="2023026"/>
    <x v="26"/>
    <s v="Lentil"/>
    <m/>
    <x v="14"/>
    <s v="N"/>
    <x v="1"/>
    <n v="85"/>
    <n v="41"/>
    <x v="2"/>
    <m/>
    <m/>
    <m/>
    <n v="6"/>
    <n v="11"/>
    <m/>
    <m/>
    <m/>
    <m/>
    <n v="1"/>
    <n v="28"/>
    <x v="0"/>
    <n v="22"/>
    <m/>
    <n v="41"/>
    <x v="0"/>
    <n v="1"/>
    <x v="0"/>
    <m/>
    <m/>
    <n v="38"/>
    <x v="1"/>
    <s v="16/05/2023"/>
    <d v="2023-05-16T00:00:00"/>
    <s v="2023026-85"/>
    <x v="0"/>
  </r>
  <r>
    <x v="402"/>
    <n v="2023026"/>
    <x v="26"/>
    <s v="Lentil"/>
    <m/>
    <x v="15"/>
    <s v="Y"/>
    <x v="1"/>
    <n v="86"/>
    <n v="42"/>
    <x v="2"/>
    <m/>
    <m/>
    <m/>
    <n v="6"/>
    <n v="11"/>
    <m/>
    <m/>
    <m/>
    <m/>
    <n v="2"/>
    <n v="28"/>
    <x v="1"/>
    <n v="22"/>
    <m/>
    <n v="42"/>
    <x v="0"/>
    <n v="4"/>
    <x v="0"/>
    <m/>
    <m/>
    <n v="38"/>
    <x v="1"/>
    <s v="16/05/2023"/>
    <d v="2023-05-16T00:00:00"/>
    <s v="2023026-86"/>
    <x v="0"/>
  </r>
  <r>
    <x v="401"/>
    <n v="2023026"/>
    <x v="26"/>
    <s v="Lentil"/>
    <m/>
    <x v="1"/>
    <s v="Y"/>
    <x v="1"/>
    <n v="87"/>
    <n v="43"/>
    <x v="2"/>
    <m/>
    <m/>
    <m/>
    <n v="6"/>
    <n v="12"/>
    <m/>
    <m/>
    <m/>
    <m/>
    <n v="3"/>
    <n v="28"/>
    <x v="2"/>
    <n v="22"/>
    <m/>
    <n v="43"/>
    <x v="1"/>
    <n v="3"/>
    <x v="0"/>
    <m/>
    <m/>
    <n v="38"/>
    <x v="1"/>
    <s v="16/05/2023"/>
    <d v="2023-05-16T00:00:00"/>
    <s v="2023026-87"/>
    <x v="0"/>
  </r>
  <r>
    <x v="405"/>
    <n v="2023026"/>
    <x v="26"/>
    <s v="Lentil"/>
    <m/>
    <x v="16"/>
    <s v="N"/>
    <x v="1"/>
    <n v="88"/>
    <n v="44"/>
    <x v="2"/>
    <m/>
    <m/>
    <m/>
    <n v="6"/>
    <n v="12"/>
    <m/>
    <m/>
    <m/>
    <m/>
    <n v="4"/>
    <n v="28"/>
    <x v="3"/>
    <n v="22"/>
    <m/>
    <n v="44"/>
    <x v="1"/>
    <n v="2"/>
    <x v="0"/>
    <m/>
    <m/>
    <n v="38"/>
    <x v="1"/>
    <s v="16/05/2023"/>
    <d v="2023-05-16T00:00:00"/>
    <s v="2023026-88"/>
    <x v="0"/>
  </r>
  <r>
    <x v="403"/>
    <n v="2023026"/>
    <x v="26"/>
    <s v="Lentil"/>
    <m/>
    <x v="16"/>
    <s v="N"/>
    <x v="2"/>
    <n v="89"/>
    <n v="45"/>
    <x v="2"/>
    <m/>
    <m/>
    <m/>
    <n v="6"/>
    <n v="11"/>
    <m/>
    <m/>
    <m/>
    <m/>
    <n v="1"/>
    <n v="29"/>
    <x v="0"/>
    <n v="23"/>
    <m/>
    <m/>
    <x v="0"/>
    <n v="2"/>
    <x v="0"/>
    <m/>
    <m/>
    <n v="38"/>
    <x v="1"/>
    <s v="16/05/2023"/>
    <d v="2023-05-16T00:00:00"/>
    <s v="2023026-89"/>
    <x v="0"/>
  </r>
  <r>
    <x v="406"/>
    <n v="2023026"/>
    <x v="26"/>
    <s v="Lentil"/>
    <m/>
    <x v="1"/>
    <s v="Y"/>
    <x v="2"/>
    <n v="90"/>
    <n v="46"/>
    <x v="2"/>
    <m/>
    <m/>
    <m/>
    <n v="6"/>
    <n v="11"/>
    <m/>
    <m/>
    <m/>
    <m/>
    <n v="2"/>
    <n v="29"/>
    <x v="1"/>
    <n v="23"/>
    <m/>
    <m/>
    <x v="0"/>
    <n v="3"/>
    <x v="0"/>
    <m/>
    <m/>
    <n v="38"/>
    <x v="1"/>
    <s v="16/05/2023"/>
    <d v="2023-05-16T00:00:00"/>
    <s v="2023026-90"/>
    <x v="0"/>
  </r>
  <r>
    <x v="400"/>
    <n v="2023026"/>
    <x v="26"/>
    <s v="Lentil"/>
    <m/>
    <x v="14"/>
    <s v="N"/>
    <x v="2"/>
    <n v="91"/>
    <n v="47"/>
    <x v="2"/>
    <m/>
    <m/>
    <m/>
    <n v="6"/>
    <n v="12"/>
    <m/>
    <m/>
    <m/>
    <m/>
    <n v="3"/>
    <n v="29"/>
    <x v="2"/>
    <n v="23"/>
    <m/>
    <m/>
    <x v="1"/>
    <n v="1"/>
    <x v="0"/>
    <m/>
    <m/>
    <n v="38"/>
    <x v="1"/>
    <s v="16/05/2023"/>
    <d v="2023-05-16T00:00:00"/>
    <s v="2023026-91"/>
    <x v="0"/>
  </r>
  <r>
    <x v="404"/>
    <n v="2023026"/>
    <x v="26"/>
    <s v="Lentil"/>
    <m/>
    <x v="15"/>
    <s v="Y"/>
    <x v="2"/>
    <n v="92"/>
    <n v="48"/>
    <x v="2"/>
    <m/>
    <m/>
    <m/>
    <n v="6"/>
    <n v="12"/>
    <m/>
    <m/>
    <m/>
    <m/>
    <n v="4"/>
    <n v="29"/>
    <x v="3"/>
    <n v="23"/>
    <m/>
    <m/>
    <x v="1"/>
    <n v="4"/>
    <x v="0"/>
    <m/>
    <m/>
    <n v="38"/>
    <x v="1"/>
    <s v="16/05/2023"/>
    <d v="2023-05-16T00:00:00"/>
    <s v="2023026-92"/>
    <x v="0"/>
  </r>
  <r>
    <x v="403"/>
    <n v="2023026"/>
    <x v="26"/>
    <s v="Lentil"/>
    <m/>
    <x v="16"/>
    <s v="N"/>
    <x v="1"/>
    <n v="93"/>
    <n v="45"/>
    <x v="2"/>
    <m/>
    <m/>
    <m/>
    <n v="6"/>
    <n v="11"/>
    <m/>
    <m/>
    <m/>
    <m/>
    <n v="1"/>
    <n v="30"/>
    <x v="0"/>
    <n v="24"/>
    <m/>
    <n v="48"/>
    <x v="0"/>
    <n v="2"/>
    <x v="0"/>
    <m/>
    <m/>
    <n v="38"/>
    <x v="1"/>
    <s v="16/05/2023"/>
    <d v="2023-05-16T00:00:00"/>
    <s v="2023026-93"/>
    <x v="0"/>
  </r>
  <r>
    <x v="406"/>
    <n v="2023026"/>
    <x v="26"/>
    <s v="Lentil"/>
    <m/>
    <x v="1"/>
    <s v="Y"/>
    <x v="1"/>
    <n v="94"/>
    <n v="46"/>
    <x v="2"/>
    <m/>
    <m/>
    <m/>
    <n v="6"/>
    <n v="11"/>
    <m/>
    <m/>
    <m/>
    <m/>
    <n v="2"/>
    <n v="30"/>
    <x v="1"/>
    <n v="24"/>
    <m/>
    <n v="47"/>
    <x v="0"/>
    <n v="3"/>
    <x v="0"/>
    <m/>
    <m/>
    <n v="38"/>
    <x v="1"/>
    <s v="16/05/2023"/>
    <d v="2023-05-16T00:00:00"/>
    <s v="2023026-94"/>
    <x v="0"/>
  </r>
  <r>
    <x v="400"/>
    <n v="2023026"/>
    <x v="26"/>
    <s v="Lentil"/>
    <m/>
    <x v="14"/>
    <s v="N"/>
    <x v="1"/>
    <n v="95"/>
    <n v="47"/>
    <x v="2"/>
    <m/>
    <m/>
    <m/>
    <n v="6"/>
    <n v="12"/>
    <m/>
    <m/>
    <m/>
    <m/>
    <n v="3"/>
    <n v="30"/>
    <x v="2"/>
    <n v="24"/>
    <m/>
    <n v="46"/>
    <x v="1"/>
    <n v="1"/>
    <x v="0"/>
    <m/>
    <m/>
    <n v="38"/>
    <x v="1"/>
    <s v="16/05/2023"/>
    <d v="2023-05-16T00:00:00"/>
    <s v="2023026-95"/>
    <x v="0"/>
  </r>
  <r>
    <x v="404"/>
    <n v="2023026"/>
    <x v="26"/>
    <s v="Lentil"/>
    <m/>
    <x v="15"/>
    <s v="Y"/>
    <x v="1"/>
    <n v="96"/>
    <n v="48"/>
    <x v="2"/>
    <m/>
    <m/>
    <m/>
    <n v="6"/>
    <n v="12"/>
    <m/>
    <m/>
    <m/>
    <m/>
    <n v="4"/>
    <n v="30"/>
    <x v="3"/>
    <n v="24"/>
    <m/>
    <n v="45"/>
    <x v="1"/>
    <n v="4"/>
    <x v="0"/>
    <m/>
    <m/>
    <n v="38"/>
    <x v="1"/>
    <s v="16/05/2023"/>
    <d v="2023-05-16T00:00:00"/>
    <s v="2023026-96"/>
    <x v="0"/>
  </r>
  <r>
    <x v="412"/>
    <n v="2023026"/>
    <x v="26"/>
    <s v="Lentil"/>
    <m/>
    <x v="16"/>
    <s v="N"/>
    <x v="2"/>
    <n v="97"/>
    <n v="49"/>
    <x v="3"/>
    <m/>
    <m/>
    <m/>
    <n v="7"/>
    <n v="13"/>
    <m/>
    <m/>
    <m/>
    <m/>
    <n v="1"/>
    <n v="32"/>
    <x v="0"/>
    <n v="25"/>
    <m/>
    <m/>
    <x v="1"/>
    <n v="2"/>
    <x v="0"/>
    <m/>
    <m/>
    <n v="38"/>
    <x v="2"/>
    <s v="3/07/2023"/>
    <d v="2023-07-03T00:00:00"/>
    <s v="2023026-97"/>
    <x v="0"/>
  </r>
  <r>
    <x v="409"/>
    <n v="2023026"/>
    <x v="26"/>
    <s v="Lentil"/>
    <m/>
    <x v="14"/>
    <s v="N"/>
    <x v="2"/>
    <n v="98"/>
    <n v="50"/>
    <x v="3"/>
    <m/>
    <m/>
    <m/>
    <n v="7"/>
    <n v="13"/>
    <m/>
    <m/>
    <m/>
    <m/>
    <n v="2"/>
    <n v="32"/>
    <x v="1"/>
    <n v="25"/>
    <m/>
    <m/>
    <x v="1"/>
    <n v="1"/>
    <x v="0"/>
    <m/>
    <m/>
    <n v="38"/>
    <x v="2"/>
    <s v="3/07/2023"/>
    <d v="2023-07-03T00:00:00"/>
    <s v="2023026-98"/>
    <x v="0"/>
  </r>
  <r>
    <x v="415"/>
    <n v="2023026"/>
    <x v="26"/>
    <s v="Lentil"/>
    <m/>
    <x v="15"/>
    <s v="Y"/>
    <x v="2"/>
    <n v="99"/>
    <n v="51"/>
    <x v="3"/>
    <m/>
    <m/>
    <m/>
    <n v="7"/>
    <n v="14"/>
    <m/>
    <m/>
    <m/>
    <m/>
    <n v="3"/>
    <n v="32"/>
    <x v="2"/>
    <n v="25"/>
    <m/>
    <m/>
    <x v="0"/>
    <n v="4"/>
    <x v="0"/>
    <m/>
    <m/>
    <n v="38"/>
    <x v="2"/>
    <s v="3/07/2023"/>
    <d v="2023-07-03T00:00:00"/>
    <s v="2023026-99"/>
    <x v="0"/>
  </r>
  <r>
    <x v="411"/>
    <n v="2023026"/>
    <x v="26"/>
    <s v="Lentil"/>
    <m/>
    <x v="1"/>
    <s v="Y"/>
    <x v="2"/>
    <n v="100"/>
    <n v="52"/>
    <x v="3"/>
    <m/>
    <m/>
    <m/>
    <n v="7"/>
    <n v="14"/>
    <m/>
    <m/>
    <m/>
    <m/>
    <n v="4"/>
    <n v="32"/>
    <x v="3"/>
    <n v="25"/>
    <m/>
    <m/>
    <x v="0"/>
    <n v="3"/>
    <x v="0"/>
    <m/>
    <m/>
    <n v="38"/>
    <x v="2"/>
    <s v="3/07/2023"/>
    <d v="2023-07-03T00:00:00"/>
    <s v="2023026-100"/>
    <x v="0"/>
  </r>
  <r>
    <x v="412"/>
    <n v="2023026"/>
    <x v="26"/>
    <s v="Lentil"/>
    <m/>
    <x v="16"/>
    <s v="N"/>
    <x v="1"/>
    <n v="101"/>
    <n v="49"/>
    <x v="3"/>
    <m/>
    <m/>
    <m/>
    <n v="7"/>
    <n v="13"/>
    <m/>
    <m/>
    <m/>
    <m/>
    <n v="1"/>
    <n v="33"/>
    <x v="0"/>
    <n v="26"/>
    <m/>
    <n v="49"/>
    <x v="1"/>
    <n v="2"/>
    <x v="0"/>
    <m/>
    <m/>
    <n v="38"/>
    <x v="2"/>
    <s v="3/07/2023"/>
    <d v="2023-07-03T00:00:00"/>
    <s v="2023026-101"/>
    <x v="0"/>
  </r>
  <r>
    <x v="409"/>
    <n v="2023026"/>
    <x v="26"/>
    <s v="Lentil"/>
    <m/>
    <x v="14"/>
    <s v="N"/>
    <x v="1"/>
    <n v="102"/>
    <n v="50"/>
    <x v="3"/>
    <m/>
    <m/>
    <m/>
    <n v="7"/>
    <n v="13"/>
    <m/>
    <m/>
    <m/>
    <m/>
    <n v="2"/>
    <n v="33"/>
    <x v="1"/>
    <n v="26"/>
    <m/>
    <n v="50"/>
    <x v="1"/>
    <n v="1"/>
    <x v="0"/>
    <m/>
    <m/>
    <n v="38"/>
    <x v="2"/>
    <s v="3/07/2023"/>
    <d v="2023-07-03T00:00:00"/>
    <s v="2023026-102"/>
    <x v="0"/>
  </r>
  <r>
    <x v="415"/>
    <n v="2023026"/>
    <x v="26"/>
    <s v="Lentil"/>
    <m/>
    <x v="15"/>
    <s v="Y"/>
    <x v="1"/>
    <n v="103"/>
    <n v="51"/>
    <x v="3"/>
    <m/>
    <m/>
    <m/>
    <n v="7"/>
    <n v="14"/>
    <m/>
    <m/>
    <m/>
    <m/>
    <n v="3"/>
    <n v="33"/>
    <x v="2"/>
    <n v="26"/>
    <m/>
    <n v="51"/>
    <x v="0"/>
    <n v="4"/>
    <x v="0"/>
    <m/>
    <m/>
    <n v="38"/>
    <x v="2"/>
    <s v="3/07/2023"/>
    <d v="2023-07-03T00:00:00"/>
    <s v="2023026-103"/>
    <x v="0"/>
  </r>
  <r>
    <x v="411"/>
    <n v="2023026"/>
    <x v="26"/>
    <s v="Lentil"/>
    <m/>
    <x v="1"/>
    <s v="Y"/>
    <x v="1"/>
    <n v="104"/>
    <n v="52"/>
    <x v="3"/>
    <m/>
    <m/>
    <m/>
    <n v="7"/>
    <n v="14"/>
    <m/>
    <m/>
    <m/>
    <m/>
    <n v="4"/>
    <n v="33"/>
    <x v="3"/>
    <n v="26"/>
    <m/>
    <n v="52"/>
    <x v="0"/>
    <n v="3"/>
    <x v="0"/>
    <m/>
    <m/>
    <n v="38"/>
    <x v="2"/>
    <s v="3/07/2023"/>
    <d v="2023-07-03T00:00:00"/>
    <s v="2023026-104"/>
    <x v="0"/>
  </r>
  <r>
    <x v="413"/>
    <n v="2023026"/>
    <x v="26"/>
    <s v="Lentil"/>
    <m/>
    <x v="1"/>
    <s v="Y"/>
    <x v="2"/>
    <n v="105"/>
    <n v="53"/>
    <x v="3"/>
    <m/>
    <m/>
    <m/>
    <n v="7"/>
    <n v="13"/>
    <m/>
    <m/>
    <m/>
    <m/>
    <n v="1"/>
    <n v="34"/>
    <x v="0"/>
    <n v="27"/>
    <m/>
    <m/>
    <x v="1"/>
    <n v="3"/>
    <x v="0"/>
    <m/>
    <m/>
    <n v="38"/>
    <x v="2"/>
    <s v="3/07/2023"/>
    <d v="2023-07-03T00:00:00"/>
    <s v="2023026-105"/>
    <x v="0"/>
  </r>
  <r>
    <x v="408"/>
    <n v="2023026"/>
    <x v="26"/>
    <s v="Lentil"/>
    <m/>
    <x v="15"/>
    <s v="Y"/>
    <x v="2"/>
    <n v="106"/>
    <n v="54"/>
    <x v="3"/>
    <m/>
    <m/>
    <m/>
    <n v="7"/>
    <n v="13"/>
    <m/>
    <m/>
    <m/>
    <m/>
    <n v="2"/>
    <n v="34"/>
    <x v="1"/>
    <n v="27"/>
    <m/>
    <m/>
    <x v="1"/>
    <n v="4"/>
    <x v="0"/>
    <m/>
    <m/>
    <n v="38"/>
    <x v="2"/>
    <s v="3/07/2023"/>
    <d v="2023-07-03T00:00:00"/>
    <s v="2023026-106"/>
    <x v="0"/>
  </r>
  <r>
    <x v="410"/>
    <n v="2023026"/>
    <x v="26"/>
    <s v="Lentil"/>
    <m/>
    <x v="16"/>
    <s v="N"/>
    <x v="2"/>
    <n v="107"/>
    <n v="55"/>
    <x v="3"/>
    <m/>
    <m/>
    <m/>
    <n v="7"/>
    <n v="14"/>
    <m/>
    <m/>
    <m/>
    <m/>
    <n v="3"/>
    <n v="34"/>
    <x v="2"/>
    <n v="27"/>
    <m/>
    <m/>
    <x v="0"/>
    <n v="2"/>
    <x v="0"/>
    <m/>
    <m/>
    <n v="38"/>
    <x v="2"/>
    <s v="3/07/2023"/>
    <d v="2023-07-03T00:00:00"/>
    <s v="2023026-107"/>
    <x v="0"/>
  </r>
  <r>
    <x v="414"/>
    <n v="2023026"/>
    <x v="26"/>
    <s v="Lentil"/>
    <m/>
    <x v="14"/>
    <s v="N"/>
    <x v="2"/>
    <n v="108"/>
    <n v="56"/>
    <x v="3"/>
    <m/>
    <m/>
    <m/>
    <n v="7"/>
    <n v="14"/>
    <m/>
    <m/>
    <m/>
    <m/>
    <n v="4"/>
    <n v="34"/>
    <x v="3"/>
    <n v="27"/>
    <m/>
    <m/>
    <x v="0"/>
    <n v="1"/>
    <x v="0"/>
    <m/>
    <m/>
    <n v="38"/>
    <x v="2"/>
    <s v="3/07/2023"/>
    <d v="2023-07-03T00:00:00"/>
    <s v="2023026-108"/>
    <x v="0"/>
  </r>
  <r>
    <x v="413"/>
    <n v="2023026"/>
    <x v="26"/>
    <s v="Lentil"/>
    <m/>
    <x v="1"/>
    <s v="Y"/>
    <x v="1"/>
    <n v="109"/>
    <n v="53"/>
    <x v="3"/>
    <m/>
    <m/>
    <m/>
    <n v="7"/>
    <n v="13"/>
    <m/>
    <m/>
    <m/>
    <m/>
    <n v="1"/>
    <n v="35"/>
    <x v="0"/>
    <n v="28"/>
    <m/>
    <n v="56"/>
    <x v="1"/>
    <n v="3"/>
    <x v="0"/>
    <m/>
    <m/>
    <n v="38"/>
    <x v="2"/>
    <s v="3/07/2023"/>
    <d v="2023-07-03T00:00:00"/>
    <s v="2023026-109"/>
    <x v="0"/>
  </r>
  <r>
    <x v="408"/>
    <n v="2023026"/>
    <x v="26"/>
    <s v="Lentil"/>
    <m/>
    <x v="15"/>
    <s v="Y"/>
    <x v="1"/>
    <n v="110"/>
    <n v="54"/>
    <x v="3"/>
    <m/>
    <m/>
    <m/>
    <n v="7"/>
    <n v="13"/>
    <m/>
    <m/>
    <m/>
    <m/>
    <n v="2"/>
    <n v="35"/>
    <x v="1"/>
    <n v="28"/>
    <m/>
    <n v="55"/>
    <x v="1"/>
    <n v="4"/>
    <x v="0"/>
    <m/>
    <m/>
    <n v="38"/>
    <x v="2"/>
    <s v="3/07/2023"/>
    <d v="2023-07-03T00:00:00"/>
    <s v="2023026-110"/>
    <x v="0"/>
  </r>
  <r>
    <x v="410"/>
    <n v="2023026"/>
    <x v="26"/>
    <s v="Lentil"/>
    <m/>
    <x v="16"/>
    <s v="N"/>
    <x v="1"/>
    <n v="111"/>
    <n v="55"/>
    <x v="3"/>
    <m/>
    <m/>
    <m/>
    <n v="7"/>
    <n v="14"/>
    <m/>
    <m/>
    <m/>
    <m/>
    <n v="3"/>
    <n v="35"/>
    <x v="2"/>
    <n v="28"/>
    <m/>
    <n v="54"/>
    <x v="0"/>
    <n v="2"/>
    <x v="0"/>
    <m/>
    <m/>
    <n v="38"/>
    <x v="2"/>
    <s v="3/07/2023"/>
    <d v="2023-07-03T00:00:00"/>
    <s v="2023026-111"/>
    <x v="0"/>
  </r>
  <r>
    <x v="414"/>
    <n v="2023026"/>
    <x v="26"/>
    <s v="Lentil"/>
    <m/>
    <x v="14"/>
    <s v="N"/>
    <x v="1"/>
    <n v="112"/>
    <n v="56"/>
    <x v="3"/>
    <m/>
    <m/>
    <m/>
    <n v="7"/>
    <n v="14"/>
    <m/>
    <m/>
    <m/>
    <m/>
    <n v="4"/>
    <n v="35"/>
    <x v="3"/>
    <n v="28"/>
    <m/>
    <n v="53"/>
    <x v="0"/>
    <n v="1"/>
    <x v="0"/>
    <m/>
    <m/>
    <n v="38"/>
    <x v="2"/>
    <s v="3/07/2023"/>
    <d v="2023-07-03T00:00:00"/>
    <s v="2023026-112"/>
    <x v="0"/>
  </r>
  <r>
    <x v="401"/>
    <n v="2023026"/>
    <x v="26"/>
    <s v="Lentil"/>
    <m/>
    <x v="1"/>
    <s v="Y"/>
    <x v="2"/>
    <n v="113"/>
    <n v="57"/>
    <x v="3"/>
    <m/>
    <m/>
    <m/>
    <n v="8"/>
    <n v="15"/>
    <m/>
    <m/>
    <m/>
    <m/>
    <n v="1"/>
    <n v="37"/>
    <x v="0"/>
    <n v="29"/>
    <m/>
    <m/>
    <x v="1"/>
    <n v="3"/>
    <x v="0"/>
    <m/>
    <m/>
    <n v="38"/>
    <x v="1"/>
    <s v="16/05/2023"/>
    <d v="2023-05-16T00:00:00"/>
    <s v="2023026-113"/>
    <x v="0"/>
  </r>
  <r>
    <x v="400"/>
    <n v="2023026"/>
    <x v="26"/>
    <s v="Lentil"/>
    <m/>
    <x v="14"/>
    <s v="N"/>
    <x v="2"/>
    <n v="114"/>
    <n v="58"/>
    <x v="3"/>
    <m/>
    <m/>
    <m/>
    <n v="8"/>
    <n v="15"/>
    <m/>
    <m/>
    <m/>
    <m/>
    <n v="2"/>
    <n v="37"/>
    <x v="1"/>
    <n v="29"/>
    <m/>
    <m/>
    <x v="1"/>
    <n v="1"/>
    <x v="0"/>
    <m/>
    <m/>
    <n v="38"/>
    <x v="1"/>
    <s v="16/05/2023"/>
    <d v="2023-05-16T00:00:00"/>
    <s v="2023026-114"/>
    <x v="0"/>
  </r>
  <r>
    <x v="402"/>
    <n v="2023026"/>
    <x v="26"/>
    <s v="Lentil"/>
    <m/>
    <x v="15"/>
    <s v="Y"/>
    <x v="2"/>
    <n v="115"/>
    <n v="59"/>
    <x v="3"/>
    <m/>
    <m/>
    <m/>
    <n v="8"/>
    <n v="16"/>
    <m/>
    <m/>
    <m/>
    <m/>
    <n v="3"/>
    <n v="37"/>
    <x v="2"/>
    <n v="29"/>
    <m/>
    <m/>
    <x v="0"/>
    <n v="4"/>
    <x v="0"/>
    <m/>
    <m/>
    <n v="38"/>
    <x v="1"/>
    <s v="16/05/2023"/>
    <d v="2023-05-16T00:00:00"/>
    <s v="2023026-115"/>
    <x v="0"/>
  </r>
  <r>
    <x v="403"/>
    <n v="2023026"/>
    <x v="26"/>
    <s v="Lentil"/>
    <m/>
    <x v="16"/>
    <s v="N"/>
    <x v="2"/>
    <n v="116"/>
    <n v="60"/>
    <x v="3"/>
    <m/>
    <m/>
    <m/>
    <n v="8"/>
    <n v="16"/>
    <m/>
    <m/>
    <m/>
    <m/>
    <n v="4"/>
    <n v="37"/>
    <x v="3"/>
    <n v="29"/>
    <m/>
    <m/>
    <x v="0"/>
    <n v="2"/>
    <x v="0"/>
    <m/>
    <m/>
    <n v="38"/>
    <x v="1"/>
    <s v="16/05/2023"/>
    <d v="2023-05-16T00:00:00"/>
    <s v="2023026-116"/>
    <x v="0"/>
  </r>
  <r>
    <x v="401"/>
    <n v="2023026"/>
    <x v="26"/>
    <s v="Lentil"/>
    <m/>
    <x v="1"/>
    <s v="Y"/>
    <x v="1"/>
    <n v="117"/>
    <n v="57"/>
    <x v="3"/>
    <m/>
    <m/>
    <m/>
    <n v="8"/>
    <n v="15"/>
    <m/>
    <m/>
    <m/>
    <m/>
    <n v="1"/>
    <n v="38"/>
    <x v="0"/>
    <n v="30"/>
    <m/>
    <n v="57"/>
    <x v="1"/>
    <n v="3"/>
    <x v="0"/>
    <m/>
    <m/>
    <n v="38"/>
    <x v="1"/>
    <s v="16/05/2023"/>
    <d v="2023-05-16T00:00:00"/>
    <s v="2023026-117"/>
    <x v="0"/>
  </r>
  <r>
    <x v="400"/>
    <n v="2023026"/>
    <x v="26"/>
    <s v="Lentil"/>
    <m/>
    <x v="14"/>
    <s v="N"/>
    <x v="1"/>
    <n v="118"/>
    <n v="58"/>
    <x v="3"/>
    <m/>
    <m/>
    <m/>
    <n v="8"/>
    <n v="15"/>
    <m/>
    <m/>
    <m/>
    <m/>
    <n v="2"/>
    <n v="38"/>
    <x v="1"/>
    <n v="30"/>
    <m/>
    <n v="58"/>
    <x v="1"/>
    <n v="1"/>
    <x v="0"/>
    <m/>
    <m/>
    <n v="38"/>
    <x v="1"/>
    <s v="16/05/2023"/>
    <d v="2023-05-16T00:00:00"/>
    <s v="2023026-118"/>
    <x v="0"/>
  </r>
  <r>
    <x v="402"/>
    <n v="2023026"/>
    <x v="26"/>
    <s v="Lentil"/>
    <m/>
    <x v="15"/>
    <s v="Y"/>
    <x v="1"/>
    <n v="119"/>
    <n v="59"/>
    <x v="3"/>
    <m/>
    <m/>
    <m/>
    <n v="8"/>
    <n v="16"/>
    <m/>
    <m/>
    <m/>
    <m/>
    <n v="3"/>
    <n v="38"/>
    <x v="2"/>
    <n v="30"/>
    <m/>
    <n v="59"/>
    <x v="0"/>
    <n v="4"/>
    <x v="0"/>
    <m/>
    <m/>
    <n v="38"/>
    <x v="1"/>
    <s v="16/05/2023"/>
    <d v="2023-05-16T00:00:00"/>
    <s v="2023026-119"/>
    <x v="0"/>
  </r>
  <r>
    <x v="403"/>
    <n v="2023026"/>
    <x v="26"/>
    <s v="Lentil"/>
    <m/>
    <x v="16"/>
    <s v="N"/>
    <x v="1"/>
    <n v="120"/>
    <n v="60"/>
    <x v="3"/>
    <m/>
    <m/>
    <m/>
    <n v="8"/>
    <n v="16"/>
    <m/>
    <m/>
    <m/>
    <m/>
    <n v="4"/>
    <n v="38"/>
    <x v="3"/>
    <n v="30"/>
    <m/>
    <n v="60"/>
    <x v="0"/>
    <n v="2"/>
    <x v="0"/>
    <m/>
    <m/>
    <n v="38"/>
    <x v="1"/>
    <s v="16/05/2023"/>
    <d v="2023-05-16T00:00:00"/>
    <s v="2023026-120"/>
    <x v="0"/>
  </r>
  <r>
    <x v="405"/>
    <n v="2023026"/>
    <x v="26"/>
    <s v="Lentil"/>
    <m/>
    <x v="16"/>
    <s v="N"/>
    <x v="2"/>
    <n v="121"/>
    <n v="61"/>
    <x v="3"/>
    <m/>
    <m/>
    <m/>
    <n v="8"/>
    <n v="15"/>
    <m/>
    <m/>
    <m/>
    <m/>
    <n v="1"/>
    <n v="39"/>
    <x v="0"/>
    <n v="31"/>
    <m/>
    <m/>
    <x v="1"/>
    <n v="2"/>
    <x v="0"/>
    <m/>
    <m/>
    <n v="38"/>
    <x v="1"/>
    <s v="16/05/2023"/>
    <d v="2023-05-16T00:00:00"/>
    <s v="2023026-121"/>
    <x v="0"/>
  </r>
  <r>
    <x v="404"/>
    <n v="2023026"/>
    <x v="26"/>
    <s v="Lentil"/>
    <m/>
    <x v="15"/>
    <s v="Y"/>
    <x v="2"/>
    <n v="122"/>
    <n v="62"/>
    <x v="3"/>
    <m/>
    <m/>
    <m/>
    <n v="8"/>
    <n v="15"/>
    <m/>
    <m/>
    <m/>
    <m/>
    <n v="2"/>
    <n v="39"/>
    <x v="1"/>
    <n v="31"/>
    <m/>
    <m/>
    <x v="1"/>
    <n v="4"/>
    <x v="0"/>
    <m/>
    <m/>
    <n v="38"/>
    <x v="1"/>
    <s v="16/05/2023"/>
    <d v="2023-05-16T00:00:00"/>
    <s v="2023026-122"/>
    <x v="0"/>
  </r>
  <r>
    <x v="406"/>
    <n v="2023026"/>
    <x v="26"/>
    <s v="Lentil"/>
    <m/>
    <x v="1"/>
    <s v="Y"/>
    <x v="2"/>
    <n v="123"/>
    <n v="63"/>
    <x v="3"/>
    <m/>
    <m/>
    <m/>
    <n v="8"/>
    <n v="16"/>
    <m/>
    <m/>
    <m/>
    <m/>
    <n v="3"/>
    <n v="39"/>
    <x v="2"/>
    <n v="31"/>
    <m/>
    <m/>
    <x v="0"/>
    <n v="3"/>
    <x v="0"/>
    <m/>
    <m/>
    <n v="38"/>
    <x v="1"/>
    <s v="16/05/2023"/>
    <d v="2023-05-16T00:00:00"/>
    <s v="2023026-123"/>
    <x v="0"/>
  </r>
  <r>
    <x v="407"/>
    <n v="2023026"/>
    <x v="26"/>
    <s v="Lentil"/>
    <m/>
    <x v="14"/>
    <s v="N"/>
    <x v="2"/>
    <n v="124"/>
    <n v="64"/>
    <x v="3"/>
    <m/>
    <m/>
    <m/>
    <n v="8"/>
    <n v="16"/>
    <m/>
    <m/>
    <m/>
    <m/>
    <n v="4"/>
    <n v="39"/>
    <x v="3"/>
    <n v="31"/>
    <m/>
    <m/>
    <x v="0"/>
    <n v="1"/>
    <x v="0"/>
    <m/>
    <m/>
    <n v="38"/>
    <x v="1"/>
    <s v="16/05/2023"/>
    <d v="2023-05-16T00:00:00"/>
    <s v="2023026-124"/>
    <x v="0"/>
  </r>
  <r>
    <x v="405"/>
    <n v="2023026"/>
    <x v="26"/>
    <s v="Lentil"/>
    <m/>
    <x v="16"/>
    <s v="N"/>
    <x v="1"/>
    <n v="125"/>
    <n v="61"/>
    <x v="3"/>
    <m/>
    <m/>
    <m/>
    <n v="8"/>
    <n v="15"/>
    <m/>
    <m/>
    <m/>
    <m/>
    <n v="1"/>
    <n v="40"/>
    <x v="0"/>
    <n v="32"/>
    <m/>
    <n v="64"/>
    <x v="1"/>
    <n v="2"/>
    <x v="0"/>
    <m/>
    <m/>
    <n v="38"/>
    <x v="1"/>
    <s v="16/05/2023"/>
    <d v="2023-05-16T00:00:00"/>
    <s v="2023026-125"/>
    <x v="0"/>
  </r>
  <r>
    <x v="404"/>
    <n v="2023026"/>
    <x v="26"/>
    <s v="Lentil"/>
    <m/>
    <x v="15"/>
    <s v="Y"/>
    <x v="1"/>
    <n v="126"/>
    <n v="62"/>
    <x v="3"/>
    <m/>
    <m/>
    <m/>
    <n v="8"/>
    <n v="15"/>
    <m/>
    <m/>
    <m/>
    <m/>
    <n v="2"/>
    <n v="40"/>
    <x v="1"/>
    <n v="32"/>
    <m/>
    <n v="63"/>
    <x v="1"/>
    <n v="4"/>
    <x v="0"/>
    <m/>
    <m/>
    <n v="38"/>
    <x v="1"/>
    <s v="16/05/2023"/>
    <d v="2023-05-16T00:00:00"/>
    <s v="2023026-126"/>
    <x v="0"/>
  </r>
  <r>
    <x v="406"/>
    <n v="2023026"/>
    <x v="26"/>
    <s v="Lentil"/>
    <m/>
    <x v="1"/>
    <s v="Y"/>
    <x v="1"/>
    <n v="127"/>
    <n v="63"/>
    <x v="3"/>
    <m/>
    <m/>
    <m/>
    <n v="8"/>
    <n v="16"/>
    <m/>
    <m/>
    <m/>
    <m/>
    <n v="3"/>
    <n v="40"/>
    <x v="2"/>
    <n v="32"/>
    <m/>
    <n v="62"/>
    <x v="0"/>
    <n v="3"/>
    <x v="0"/>
    <m/>
    <m/>
    <n v="38"/>
    <x v="1"/>
    <s v="16/05/2023"/>
    <d v="2023-05-16T00:00:00"/>
    <s v="2023026-127"/>
    <x v="0"/>
  </r>
  <r>
    <x v="407"/>
    <n v="2023026"/>
    <x v="26"/>
    <s v="Lentil"/>
    <m/>
    <x v="14"/>
    <s v="N"/>
    <x v="1"/>
    <n v="128"/>
    <n v="64"/>
    <x v="3"/>
    <m/>
    <m/>
    <m/>
    <n v="8"/>
    <n v="16"/>
    <m/>
    <m/>
    <m/>
    <m/>
    <n v="4"/>
    <n v="40"/>
    <x v="3"/>
    <n v="32"/>
    <m/>
    <n v="61"/>
    <x v="0"/>
    <n v="1"/>
    <x v="0"/>
    <m/>
    <m/>
    <n v="38"/>
    <x v="1"/>
    <s v="16/05/2023"/>
    <d v="2023-05-16T00:00:00"/>
    <s v="2023026-128"/>
    <x v="0"/>
  </r>
  <r>
    <x v="416"/>
    <n v="2023027"/>
    <x v="27"/>
    <s v="Chickpea"/>
    <m/>
    <x v="4"/>
    <s v="Y"/>
    <x v="1"/>
    <n v="1"/>
    <n v="1"/>
    <x v="0"/>
    <m/>
    <m/>
    <m/>
    <n v="1"/>
    <n v="1"/>
    <m/>
    <m/>
    <m/>
    <m/>
    <n v="1"/>
    <n v="2"/>
    <x v="0"/>
    <n v="1"/>
    <m/>
    <n v="1"/>
    <x v="0"/>
    <n v="4"/>
    <x v="0"/>
    <m/>
    <m/>
    <n v="22"/>
    <x v="2"/>
    <s v="14/06/2023"/>
    <d v="2023-06-14T00:00:00"/>
    <s v="2023027-1"/>
    <x v="3"/>
  </r>
  <r>
    <x v="416"/>
    <n v="2023027"/>
    <x v="27"/>
    <s v="Chickpea"/>
    <m/>
    <x v="4"/>
    <s v="Y"/>
    <x v="2"/>
    <n v="2"/>
    <n v="1"/>
    <x v="0"/>
    <m/>
    <m/>
    <m/>
    <n v="1"/>
    <n v="1"/>
    <m/>
    <m/>
    <m/>
    <m/>
    <n v="2"/>
    <n v="2"/>
    <x v="1"/>
    <n v="1"/>
    <m/>
    <m/>
    <x v="0"/>
    <n v="4"/>
    <x v="0"/>
    <m/>
    <m/>
    <n v="22"/>
    <x v="2"/>
    <s v="14/06/2023"/>
    <d v="2023-06-14T00:00:00"/>
    <s v="2023027-2"/>
    <x v="3"/>
  </r>
  <r>
    <x v="417"/>
    <n v="2023027"/>
    <x v="27"/>
    <s v="Chickpea"/>
    <m/>
    <x v="8"/>
    <s v="Y"/>
    <x v="2"/>
    <n v="3"/>
    <n v="2"/>
    <x v="0"/>
    <m/>
    <m/>
    <m/>
    <n v="1"/>
    <n v="1"/>
    <m/>
    <m/>
    <m/>
    <m/>
    <n v="4"/>
    <n v="2"/>
    <x v="2"/>
    <n v="1"/>
    <m/>
    <m/>
    <x v="0"/>
    <n v="1"/>
    <x v="0"/>
    <m/>
    <m/>
    <n v="22"/>
    <x v="2"/>
    <s v="14/06/2023"/>
    <d v="2023-06-14T00:00:00"/>
    <s v="2023027-3"/>
    <x v="3"/>
  </r>
  <r>
    <x v="417"/>
    <n v="2023027"/>
    <x v="27"/>
    <s v="Chickpea"/>
    <m/>
    <x v="8"/>
    <s v="Y"/>
    <x v="1"/>
    <n v="4"/>
    <n v="2"/>
    <x v="0"/>
    <m/>
    <m/>
    <m/>
    <n v="1"/>
    <n v="1"/>
    <m/>
    <m/>
    <m/>
    <m/>
    <n v="5"/>
    <n v="2"/>
    <x v="3"/>
    <n v="1"/>
    <m/>
    <n v="48"/>
    <x v="0"/>
    <n v="1"/>
    <x v="0"/>
    <m/>
    <m/>
    <n v="22"/>
    <x v="2"/>
    <s v="14/06/2023"/>
    <d v="2023-06-14T00:00:00"/>
    <s v="2023027-4"/>
    <x v="3"/>
  </r>
  <r>
    <x v="418"/>
    <n v="2023027"/>
    <x v="27"/>
    <s v="Chickpea"/>
    <m/>
    <x v="3"/>
    <s v="N"/>
    <x v="1"/>
    <n v="5"/>
    <n v="3"/>
    <x v="0"/>
    <m/>
    <m/>
    <m/>
    <n v="1"/>
    <n v="1"/>
    <m/>
    <m/>
    <m/>
    <m/>
    <n v="1"/>
    <n v="3"/>
    <x v="0"/>
    <n v="2"/>
    <m/>
    <n v="2"/>
    <x v="0"/>
    <n v="3"/>
    <x v="0"/>
    <m/>
    <m/>
    <n v="22"/>
    <x v="2"/>
    <s v="14/06/2023"/>
    <d v="2023-06-14T00:00:00"/>
    <s v="2023027-5"/>
    <x v="3"/>
  </r>
  <r>
    <x v="418"/>
    <n v="2023027"/>
    <x v="27"/>
    <s v="Chickpea"/>
    <m/>
    <x v="3"/>
    <s v="N"/>
    <x v="2"/>
    <n v="6"/>
    <n v="3"/>
    <x v="0"/>
    <m/>
    <m/>
    <m/>
    <n v="1"/>
    <n v="1"/>
    <m/>
    <m/>
    <m/>
    <m/>
    <n v="2"/>
    <n v="3"/>
    <x v="1"/>
    <n v="2"/>
    <m/>
    <m/>
    <x v="0"/>
    <n v="3"/>
    <x v="0"/>
    <m/>
    <m/>
    <n v="22"/>
    <x v="2"/>
    <s v="14/06/2023"/>
    <d v="2023-06-14T00:00:00"/>
    <s v="2023027-6"/>
    <x v="3"/>
  </r>
  <r>
    <x v="419"/>
    <n v="2023027"/>
    <x v="27"/>
    <s v="Chickpea"/>
    <m/>
    <x v="9"/>
    <s v="N"/>
    <x v="2"/>
    <n v="7"/>
    <n v="4"/>
    <x v="0"/>
    <m/>
    <m/>
    <m/>
    <n v="1"/>
    <n v="1"/>
    <m/>
    <m/>
    <m/>
    <m/>
    <n v="4"/>
    <n v="3"/>
    <x v="2"/>
    <n v="2"/>
    <m/>
    <m/>
    <x v="0"/>
    <n v="2"/>
    <x v="0"/>
    <m/>
    <m/>
    <n v="22"/>
    <x v="2"/>
    <s v="14/06/2023"/>
    <d v="2023-06-14T00:00:00"/>
    <s v="2023027-7"/>
    <x v="3"/>
  </r>
  <r>
    <x v="419"/>
    <n v="2023027"/>
    <x v="27"/>
    <s v="Chickpea"/>
    <m/>
    <x v="9"/>
    <s v="N"/>
    <x v="1"/>
    <n v="8"/>
    <n v="4"/>
    <x v="0"/>
    <m/>
    <m/>
    <m/>
    <n v="1"/>
    <n v="1"/>
    <m/>
    <m/>
    <m/>
    <m/>
    <n v="5"/>
    <n v="3"/>
    <x v="3"/>
    <n v="2"/>
    <m/>
    <n v="47"/>
    <x v="0"/>
    <n v="2"/>
    <x v="0"/>
    <m/>
    <m/>
    <n v="22"/>
    <x v="2"/>
    <s v="14/06/2023"/>
    <d v="2023-06-14T00:00:00"/>
    <s v="2023027-8"/>
    <x v="3"/>
  </r>
  <r>
    <x v="420"/>
    <n v="2023027"/>
    <x v="27"/>
    <s v="Chickpea"/>
    <m/>
    <x v="8"/>
    <s v="Y"/>
    <x v="1"/>
    <n v="9"/>
    <n v="5"/>
    <x v="0"/>
    <m/>
    <m/>
    <m/>
    <n v="1"/>
    <n v="2"/>
    <m/>
    <m/>
    <m/>
    <m/>
    <n v="1"/>
    <n v="4"/>
    <x v="0"/>
    <n v="3"/>
    <m/>
    <n v="3"/>
    <x v="0"/>
    <n v="1"/>
    <x v="0"/>
    <m/>
    <m/>
    <n v="22"/>
    <x v="1"/>
    <s v="17/05/2023"/>
    <d v="2023-05-17T00:00:00"/>
    <s v="2023027-9"/>
    <x v="3"/>
  </r>
  <r>
    <x v="420"/>
    <n v="2023027"/>
    <x v="27"/>
    <s v="Chickpea"/>
    <m/>
    <x v="8"/>
    <s v="Y"/>
    <x v="2"/>
    <n v="10"/>
    <n v="5"/>
    <x v="0"/>
    <m/>
    <m/>
    <m/>
    <n v="1"/>
    <n v="2"/>
    <m/>
    <m/>
    <m/>
    <m/>
    <n v="2"/>
    <n v="4"/>
    <x v="1"/>
    <n v="3"/>
    <m/>
    <m/>
    <x v="0"/>
    <n v="1"/>
    <x v="0"/>
    <m/>
    <m/>
    <n v="22"/>
    <x v="1"/>
    <s v="17/05/2023"/>
    <d v="2023-05-17T00:00:00"/>
    <s v="2023027-10"/>
    <x v="3"/>
  </r>
  <r>
    <x v="421"/>
    <n v="2023027"/>
    <x v="27"/>
    <s v="Chickpea"/>
    <m/>
    <x v="9"/>
    <s v="N"/>
    <x v="2"/>
    <n v="11"/>
    <n v="6"/>
    <x v="0"/>
    <m/>
    <m/>
    <m/>
    <n v="1"/>
    <n v="2"/>
    <m/>
    <m/>
    <m/>
    <m/>
    <n v="4"/>
    <n v="4"/>
    <x v="2"/>
    <n v="3"/>
    <m/>
    <m/>
    <x v="0"/>
    <n v="2"/>
    <x v="0"/>
    <m/>
    <m/>
    <n v="22"/>
    <x v="1"/>
    <s v="17/05/2023"/>
    <d v="2023-05-17T00:00:00"/>
    <s v="2023027-11"/>
    <x v="3"/>
  </r>
  <r>
    <x v="421"/>
    <n v="2023027"/>
    <x v="27"/>
    <s v="Chickpea"/>
    <m/>
    <x v="9"/>
    <s v="N"/>
    <x v="1"/>
    <n v="12"/>
    <n v="6"/>
    <x v="0"/>
    <m/>
    <m/>
    <m/>
    <n v="1"/>
    <n v="2"/>
    <m/>
    <m/>
    <m/>
    <m/>
    <n v="5"/>
    <n v="4"/>
    <x v="3"/>
    <n v="3"/>
    <m/>
    <n v="46"/>
    <x v="0"/>
    <n v="2"/>
    <x v="0"/>
    <m/>
    <m/>
    <n v="22"/>
    <x v="1"/>
    <s v="17/05/2023"/>
    <d v="2023-05-17T00:00:00"/>
    <s v="2023027-12"/>
    <x v="3"/>
  </r>
  <r>
    <x v="422"/>
    <n v="2023027"/>
    <x v="27"/>
    <s v="Chickpea"/>
    <m/>
    <x v="3"/>
    <s v="N"/>
    <x v="1"/>
    <n v="13"/>
    <n v="7"/>
    <x v="0"/>
    <m/>
    <m/>
    <m/>
    <n v="1"/>
    <n v="2"/>
    <m/>
    <m/>
    <m/>
    <m/>
    <n v="1"/>
    <n v="5"/>
    <x v="0"/>
    <n v="4"/>
    <m/>
    <n v="4"/>
    <x v="0"/>
    <n v="3"/>
    <x v="0"/>
    <m/>
    <m/>
    <n v="22"/>
    <x v="1"/>
    <s v="17/05/2023"/>
    <d v="2023-05-17T00:00:00"/>
    <s v="2023027-13"/>
    <x v="3"/>
  </r>
  <r>
    <x v="422"/>
    <n v="2023027"/>
    <x v="27"/>
    <s v="Chickpea"/>
    <m/>
    <x v="3"/>
    <s v="N"/>
    <x v="2"/>
    <n v="14"/>
    <n v="7"/>
    <x v="0"/>
    <m/>
    <m/>
    <m/>
    <n v="1"/>
    <n v="2"/>
    <m/>
    <m/>
    <m/>
    <m/>
    <n v="2"/>
    <n v="5"/>
    <x v="1"/>
    <n v="4"/>
    <m/>
    <m/>
    <x v="0"/>
    <n v="3"/>
    <x v="0"/>
    <m/>
    <m/>
    <n v="22"/>
    <x v="1"/>
    <s v="17/05/2023"/>
    <d v="2023-05-17T00:00:00"/>
    <s v="2023027-14"/>
    <x v="3"/>
  </r>
  <r>
    <x v="423"/>
    <n v="2023027"/>
    <x v="27"/>
    <s v="Chickpea"/>
    <m/>
    <x v="4"/>
    <s v="Y"/>
    <x v="2"/>
    <n v="15"/>
    <n v="8"/>
    <x v="0"/>
    <m/>
    <m/>
    <m/>
    <n v="1"/>
    <n v="2"/>
    <m/>
    <m/>
    <m/>
    <m/>
    <n v="4"/>
    <n v="5"/>
    <x v="2"/>
    <n v="4"/>
    <m/>
    <m/>
    <x v="0"/>
    <n v="4"/>
    <x v="0"/>
    <m/>
    <m/>
    <n v="22"/>
    <x v="1"/>
    <s v="17/05/2023"/>
    <d v="2023-05-17T00:00:00"/>
    <s v="2023027-15"/>
    <x v="3"/>
  </r>
  <r>
    <x v="423"/>
    <n v="2023027"/>
    <x v="27"/>
    <s v="Chickpea"/>
    <m/>
    <x v="4"/>
    <s v="Y"/>
    <x v="1"/>
    <n v="16"/>
    <n v="8"/>
    <x v="0"/>
    <m/>
    <m/>
    <m/>
    <n v="1"/>
    <n v="2"/>
    <m/>
    <m/>
    <m/>
    <m/>
    <n v="5"/>
    <n v="5"/>
    <x v="3"/>
    <n v="4"/>
    <m/>
    <n v="45"/>
    <x v="0"/>
    <n v="4"/>
    <x v="0"/>
    <m/>
    <m/>
    <n v="22"/>
    <x v="1"/>
    <s v="17/05/2023"/>
    <d v="2023-05-17T00:00:00"/>
    <s v="2023027-16"/>
    <x v="3"/>
  </r>
  <r>
    <x v="424"/>
    <n v="2023027"/>
    <x v="27"/>
    <s v="Chickpea"/>
    <m/>
    <x v="3"/>
    <s v="N"/>
    <x v="1"/>
    <n v="17"/>
    <n v="9"/>
    <x v="0"/>
    <m/>
    <m/>
    <m/>
    <n v="2"/>
    <n v="3"/>
    <m/>
    <m/>
    <m/>
    <m/>
    <n v="1"/>
    <n v="8"/>
    <x v="0"/>
    <n v="5"/>
    <m/>
    <n v="5"/>
    <x v="1"/>
    <n v="3"/>
    <x v="0"/>
    <m/>
    <m/>
    <n v="22"/>
    <x v="1"/>
    <s v="17/05/2023"/>
    <d v="2023-05-17T00:00:00"/>
    <s v="2023027-17"/>
    <x v="3"/>
  </r>
  <r>
    <x v="424"/>
    <n v="2023027"/>
    <x v="27"/>
    <s v="Chickpea"/>
    <m/>
    <x v="3"/>
    <s v="N"/>
    <x v="2"/>
    <n v="18"/>
    <n v="9"/>
    <x v="0"/>
    <m/>
    <m/>
    <m/>
    <n v="2"/>
    <n v="3"/>
    <m/>
    <m/>
    <m/>
    <m/>
    <n v="2"/>
    <n v="8"/>
    <x v="1"/>
    <n v="5"/>
    <m/>
    <m/>
    <x v="1"/>
    <n v="3"/>
    <x v="0"/>
    <m/>
    <m/>
    <n v="22"/>
    <x v="1"/>
    <s v="17/05/2023"/>
    <d v="2023-05-17T00:00:00"/>
    <s v="2023027-18"/>
    <x v="3"/>
  </r>
  <r>
    <x v="425"/>
    <n v="2023027"/>
    <x v="27"/>
    <s v="Chickpea"/>
    <m/>
    <x v="4"/>
    <s v="Y"/>
    <x v="2"/>
    <n v="19"/>
    <n v="10"/>
    <x v="0"/>
    <m/>
    <m/>
    <m/>
    <n v="2"/>
    <n v="3"/>
    <m/>
    <m/>
    <m/>
    <m/>
    <n v="4"/>
    <n v="8"/>
    <x v="2"/>
    <n v="5"/>
    <m/>
    <m/>
    <x v="1"/>
    <n v="4"/>
    <x v="0"/>
    <m/>
    <m/>
    <n v="22"/>
    <x v="1"/>
    <s v="17/05/2023"/>
    <d v="2023-05-17T00:00:00"/>
    <s v="2023027-19"/>
    <x v="3"/>
  </r>
  <r>
    <x v="425"/>
    <n v="2023027"/>
    <x v="27"/>
    <s v="Chickpea"/>
    <m/>
    <x v="4"/>
    <s v="Y"/>
    <x v="1"/>
    <n v="20"/>
    <n v="10"/>
    <x v="0"/>
    <m/>
    <m/>
    <m/>
    <n v="2"/>
    <n v="3"/>
    <m/>
    <m/>
    <m/>
    <m/>
    <n v="5"/>
    <n v="8"/>
    <x v="3"/>
    <n v="5"/>
    <m/>
    <n v="44"/>
    <x v="1"/>
    <n v="4"/>
    <x v="0"/>
    <m/>
    <m/>
    <n v="22"/>
    <x v="1"/>
    <s v="17/05/2023"/>
    <d v="2023-05-17T00:00:00"/>
    <s v="2023027-20"/>
    <x v="3"/>
  </r>
  <r>
    <x v="426"/>
    <n v="2023027"/>
    <x v="27"/>
    <s v="Chickpea"/>
    <m/>
    <x v="9"/>
    <s v="N"/>
    <x v="1"/>
    <n v="21"/>
    <n v="11"/>
    <x v="0"/>
    <m/>
    <m/>
    <m/>
    <n v="2"/>
    <n v="3"/>
    <m/>
    <m/>
    <m/>
    <m/>
    <n v="1"/>
    <n v="9"/>
    <x v="0"/>
    <n v="6"/>
    <m/>
    <n v="6"/>
    <x v="1"/>
    <n v="2"/>
    <x v="0"/>
    <m/>
    <m/>
    <n v="22"/>
    <x v="1"/>
    <s v="17/05/2023"/>
    <d v="2023-05-17T00:00:00"/>
    <s v="2023027-21"/>
    <x v="3"/>
  </r>
  <r>
    <x v="426"/>
    <n v="2023027"/>
    <x v="27"/>
    <s v="Chickpea"/>
    <m/>
    <x v="9"/>
    <s v="N"/>
    <x v="2"/>
    <n v="22"/>
    <n v="11"/>
    <x v="0"/>
    <m/>
    <m/>
    <m/>
    <n v="2"/>
    <n v="3"/>
    <m/>
    <m/>
    <m/>
    <m/>
    <n v="2"/>
    <n v="9"/>
    <x v="1"/>
    <n v="6"/>
    <m/>
    <m/>
    <x v="1"/>
    <n v="2"/>
    <x v="0"/>
    <m/>
    <m/>
    <n v="22"/>
    <x v="1"/>
    <s v="17/05/2023"/>
    <d v="2023-05-17T00:00:00"/>
    <s v="2023027-22"/>
    <x v="3"/>
  </r>
  <r>
    <x v="427"/>
    <n v="2023027"/>
    <x v="27"/>
    <s v="Chickpea"/>
    <m/>
    <x v="8"/>
    <s v="Y"/>
    <x v="2"/>
    <n v="23"/>
    <n v="12"/>
    <x v="0"/>
    <m/>
    <m/>
    <m/>
    <n v="2"/>
    <n v="3"/>
    <m/>
    <m/>
    <m/>
    <m/>
    <n v="4"/>
    <n v="9"/>
    <x v="2"/>
    <n v="6"/>
    <m/>
    <m/>
    <x v="1"/>
    <n v="1"/>
    <x v="0"/>
    <m/>
    <m/>
    <n v="22"/>
    <x v="1"/>
    <s v="17/05/2023"/>
    <d v="2023-05-17T00:00:00"/>
    <s v="2023027-23"/>
    <x v="3"/>
  </r>
  <r>
    <x v="427"/>
    <n v="2023027"/>
    <x v="27"/>
    <s v="Chickpea"/>
    <m/>
    <x v="8"/>
    <s v="Y"/>
    <x v="1"/>
    <n v="24"/>
    <n v="12"/>
    <x v="0"/>
    <m/>
    <m/>
    <m/>
    <n v="2"/>
    <n v="3"/>
    <m/>
    <m/>
    <m/>
    <m/>
    <n v="5"/>
    <n v="9"/>
    <x v="3"/>
    <n v="6"/>
    <m/>
    <n v="43"/>
    <x v="1"/>
    <n v="1"/>
    <x v="0"/>
    <m/>
    <m/>
    <n v="22"/>
    <x v="1"/>
    <s v="17/05/2023"/>
    <d v="2023-05-17T00:00:00"/>
    <s v="2023027-24"/>
    <x v="3"/>
  </r>
  <r>
    <x v="428"/>
    <n v="2023027"/>
    <x v="27"/>
    <s v="Chickpea"/>
    <m/>
    <x v="8"/>
    <s v="Y"/>
    <x v="1"/>
    <n v="25"/>
    <n v="13"/>
    <x v="0"/>
    <m/>
    <m/>
    <m/>
    <n v="2"/>
    <n v="4"/>
    <m/>
    <m/>
    <m/>
    <m/>
    <n v="1"/>
    <n v="10"/>
    <x v="0"/>
    <n v="7"/>
    <m/>
    <n v="7"/>
    <x v="1"/>
    <n v="1"/>
    <x v="0"/>
    <m/>
    <m/>
    <n v="22"/>
    <x v="2"/>
    <s v="14/06/2023"/>
    <d v="2023-06-14T00:00:00"/>
    <s v="2023027-25"/>
    <x v="3"/>
  </r>
  <r>
    <x v="428"/>
    <n v="2023027"/>
    <x v="27"/>
    <s v="Chickpea"/>
    <m/>
    <x v="8"/>
    <s v="Y"/>
    <x v="2"/>
    <n v="26"/>
    <n v="13"/>
    <x v="0"/>
    <m/>
    <m/>
    <m/>
    <n v="2"/>
    <n v="4"/>
    <m/>
    <m/>
    <m/>
    <m/>
    <n v="2"/>
    <n v="10"/>
    <x v="1"/>
    <n v="7"/>
    <m/>
    <m/>
    <x v="1"/>
    <n v="1"/>
    <x v="0"/>
    <m/>
    <m/>
    <n v="22"/>
    <x v="2"/>
    <s v="14/06/2023"/>
    <d v="2023-06-14T00:00:00"/>
    <s v="2023027-26"/>
    <x v="3"/>
  </r>
  <r>
    <x v="429"/>
    <n v="2023027"/>
    <x v="27"/>
    <s v="Chickpea"/>
    <m/>
    <x v="9"/>
    <s v="N"/>
    <x v="2"/>
    <n v="27"/>
    <n v="14"/>
    <x v="0"/>
    <m/>
    <m/>
    <m/>
    <n v="2"/>
    <n v="4"/>
    <m/>
    <m/>
    <m/>
    <m/>
    <n v="4"/>
    <n v="10"/>
    <x v="2"/>
    <n v="7"/>
    <m/>
    <m/>
    <x v="1"/>
    <n v="2"/>
    <x v="0"/>
    <m/>
    <m/>
    <n v="22"/>
    <x v="2"/>
    <s v="14/06/2023"/>
    <d v="2023-06-14T00:00:00"/>
    <s v="2023027-27"/>
    <x v="3"/>
  </r>
  <r>
    <x v="429"/>
    <n v="2023027"/>
    <x v="27"/>
    <s v="Chickpea"/>
    <m/>
    <x v="9"/>
    <s v="N"/>
    <x v="1"/>
    <n v="28"/>
    <n v="14"/>
    <x v="0"/>
    <m/>
    <m/>
    <m/>
    <n v="2"/>
    <n v="4"/>
    <m/>
    <m/>
    <m/>
    <m/>
    <n v="5"/>
    <n v="10"/>
    <x v="3"/>
    <n v="7"/>
    <m/>
    <n v="42"/>
    <x v="1"/>
    <n v="2"/>
    <x v="0"/>
    <m/>
    <m/>
    <n v="22"/>
    <x v="2"/>
    <s v="14/06/2023"/>
    <d v="2023-06-14T00:00:00"/>
    <s v="2023027-28"/>
    <x v="3"/>
  </r>
  <r>
    <x v="430"/>
    <n v="2023027"/>
    <x v="27"/>
    <s v="Chickpea"/>
    <m/>
    <x v="4"/>
    <s v="Y"/>
    <x v="1"/>
    <n v="29"/>
    <n v="15"/>
    <x v="0"/>
    <m/>
    <m/>
    <m/>
    <n v="2"/>
    <n v="4"/>
    <m/>
    <m/>
    <m/>
    <m/>
    <n v="1"/>
    <n v="12"/>
    <x v="0"/>
    <n v="8"/>
    <m/>
    <n v="8"/>
    <x v="1"/>
    <n v="4"/>
    <x v="0"/>
    <m/>
    <m/>
    <n v="22"/>
    <x v="2"/>
    <s v="14/06/2023"/>
    <d v="2023-06-14T00:00:00"/>
    <s v="2023027-29"/>
    <x v="3"/>
  </r>
  <r>
    <x v="430"/>
    <n v="2023027"/>
    <x v="27"/>
    <s v="Chickpea"/>
    <m/>
    <x v="4"/>
    <s v="Y"/>
    <x v="2"/>
    <n v="30"/>
    <n v="15"/>
    <x v="0"/>
    <m/>
    <m/>
    <m/>
    <n v="2"/>
    <n v="4"/>
    <m/>
    <m/>
    <m/>
    <m/>
    <n v="2"/>
    <n v="12"/>
    <x v="1"/>
    <n v="8"/>
    <m/>
    <m/>
    <x v="1"/>
    <n v="4"/>
    <x v="0"/>
    <m/>
    <m/>
    <n v="22"/>
    <x v="2"/>
    <s v="14/06/2023"/>
    <d v="2023-06-14T00:00:00"/>
    <s v="2023027-30"/>
    <x v="3"/>
  </r>
  <r>
    <x v="431"/>
    <n v="2023027"/>
    <x v="27"/>
    <s v="Chickpea"/>
    <m/>
    <x v="3"/>
    <s v="N"/>
    <x v="2"/>
    <n v="31"/>
    <n v="16"/>
    <x v="0"/>
    <m/>
    <m/>
    <m/>
    <n v="2"/>
    <n v="4"/>
    <m/>
    <m/>
    <m/>
    <m/>
    <n v="4"/>
    <n v="12"/>
    <x v="2"/>
    <n v="8"/>
    <m/>
    <m/>
    <x v="1"/>
    <n v="3"/>
    <x v="0"/>
    <m/>
    <m/>
    <n v="22"/>
    <x v="2"/>
    <s v="14/06/2023"/>
    <d v="2023-06-14T00:00:00"/>
    <s v="2023027-31"/>
    <x v="3"/>
  </r>
  <r>
    <x v="431"/>
    <n v="2023027"/>
    <x v="27"/>
    <s v="Chickpea"/>
    <m/>
    <x v="3"/>
    <s v="N"/>
    <x v="1"/>
    <n v="32"/>
    <n v="16"/>
    <x v="0"/>
    <m/>
    <m/>
    <m/>
    <n v="2"/>
    <n v="4"/>
    <m/>
    <m/>
    <m/>
    <m/>
    <n v="5"/>
    <n v="12"/>
    <x v="3"/>
    <n v="8"/>
    <m/>
    <n v="41"/>
    <x v="1"/>
    <n v="3"/>
    <x v="0"/>
    <m/>
    <m/>
    <n v="22"/>
    <x v="2"/>
    <s v="14/06/2023"/>
    <d v="2023-06-14T00:00:00"/>
    <s v="2023027-32"/>
    <x v="3"/>
  </r>
  <r>
    <x v="429"/>
    <n v="2023027"/>
    <x v="27"/>
    <s v="Chickpea"/>
    <m/>
    <x v="9"/>
    <s v="N"/>
    <x v="1"/>
    <n v="33"/>
    <n v="17"/>
    <x v="1"/>
    <m/>
    <m/>
    <m/>
    <n v="3"/>
    <n v="5"/>
    <m/>
    <m/>
    <m/>
    <m/>
    <n v="1"/>
    <n v="14"/>
    <x v="0"/>
    <n v="9"/>
    <m/>
    <n v="9"/>
    <x v="1"/>
    <n v="2"/>
    <x v="0"/>
    <m/>
    <m/>
    <n v="22"/>
    <x v="2"/>
    <s v="14/06/2023"/>
    <d v="2023-06-14T00:00:00"/>
    <s v="2023027-33"/>
    <x v="3"/>
  </r>
  <r>
    <x v="429"/>
    <n v="2023027"/>
    <x v="27"/>
    <s v="Chickpea"/>
    <m/>
    <x v="9"/>
    <s v="N"/>
    <x v="2"/>
    <n v="34"/>
    <n v="17"/>
    <x v="1"/>
    <m/>
    <m/>
    <m/>
    <n v="3"/>
    <n v="5"/>
    <m/>
    <m/>
    <m/>
    <m/>
    <n v="2"/>
    <n v="14"/>
    <x v="1"/>
    <n v="9"/>
    <m/>
    <m/>
    <x v="1"/>
    <n v="2"/>
    <x v="0"/>
    <m/>
    <m/>
    <n v="22"/>
    <x v="2"/>
    <s v="14/06/2023"/>
    <d v="2023-06-14T00:00:00"/>
    <s v="2023027-34"/>
    <x v="3"/>
  </r>
  <r>
    <x v="430"/>
    <n v="2023027"/>
    <x v="27"/>
    <s v="Chickpea"/>
    <m/>
    <x v="4"/>
    <s v="Y"/>
    <x v="2"/>
    <n v="35"/>
    <n v="18"/>
    <x v="1"/>
    <m/>
    <m/>
    <m/>
    <n v="3"/>
    <n v="5"/>
    <m/>
    <m/>
    <m/>
    <m/>
    <n v="4"/>
    <n v="14"/>
    <x v="2"/>
    <n v="9"/>
    <m/>
    <m/>
    <x v="1"/>
    <n v="4"/>
    <x v="0"/>
    <m/>
    <m/>
    <n v="22"/>
    <x v="2"/>
    <s v="14/06/2023"/>
    <d v="2023-06-14T00:00:00"/>
    <s v="2023027-35"/>
    <x v="3"/>
  </r>
  <r>
    <x v="430"/>
    <n v="2023027"/>
    <x v="27"/>
    <s v="Chickpea"/>
    <m/>
    <x v="4"/>
    <s v="Y"/>
    <x v="1"/>
    <n v="36"/>
    <n v="18"/>
    <x v="1"/>
    <m/>
    <m/>
    <m/>
    <n v="3"/>
    <n v="5"/>
    <m/>
    <m/>
    <m/>
    <m/>
    <n v="5"/>
    <n v="14"/>
    <x v="3"/>
    <n v="9"/>
    <m/>
    <n v="40"/>
    <x v="1"/>
    <n v="4"/>
    <x v="0"/>
    <m/>
    <m/>
    <n v="22"/>
    <x v="2"/>
    <s v="14/06/2023"/>
    <d v="2023-06-14T00:00:00"/>
    <s v="2023027-36"/>
    <x v="3"/>
  </r>
  <r>
    <x v="428"/>
    <n v="2023027"/>
    <x v="27"/>
    <s v="Chickpea"/>
    <m/>
    <x v="8"/>
    <s v="Y"/>
    <x v="1"/>
    <n v="37"/>
    <n v="19"/>
    <x v="1"/>
    <m/>
    <m/>
    <m/>
    <n v="3"/>
    <n v="5"/>
    <m/>
    <m/>
    <m/>
    <m/>
    <n v="1"/>
    <n v="15"/>
    <x v="0"/>
    <n v="10"/>
    <m/>
    <n v="10"/>
    <x v="1"/>
    <n v="1"/>
    <x v="0"/>
    <m/>
    <m/>
    <n v="22"/>
    <x v="2"/>
    <s v="14/06/2023"/>
    <d v="2023-06-14T00:00:00"/>
    <s v="2023027-37"/>
    <x v="3"/>
  </r>
  <r>
    <x v="428"/>
    <n v="2023027"/>
    <x v="27"/>
    <s v="Chickpea"/>
    <m/>
    <x v="8"/>
    <s v="Y"/>
    <x v="2"/>
    <n v="38"/>
    <n v="19"/>
    <x v="1"/>
    <m/>
    <m/>
    <m/>
    <n v="3"/>
    <n v="5"/>
    <m/>
    <m/>
    <m/>
    <m/>
    <n v="2"/>
    <n v="15"/>
    <x v="1"/>
    <n v="10"/>
    <m/>
    <m/>
    <x v="1"/>
    <n v="1"/>
    <x v="0"/>
    <m/>
    <m/>
    <n v="22"/>
    <x v="2"/>
    <s v="14/06/2023"/>
    <d v="2023-06-14T00:00:00"/>
    <s v="2023027-38"/>
    <x v="3"/>
  </r>
  <r>
    <x v="431"/>
    <n v="2023027"/>
    <x v="27"/>
    <s v="Chickpea"/>
    <m/>
    <x v="3"/>
    <s v="N"/>
    <x v="2"/>
    <n v="39"/>
    <n v="20"/>
    <x v="1"/>
    <m/>
    <m/>
    <m/>
    <n v="3"/>
    <n v="5"/>
    <m/>
    <m/>
    <m/>
    <m/>
    <n v="4"/>
    <n v="15"/>
    <x v="2"/>
    <n v="10"/>
    <m/>
    <m/>
    <x v="1"/>
    <n v="3"/>
    <x v="0"/>
    <m/>
    <m/>
    <n v="22"/>
    <x v="2"/>
    <s v="14/06/2023"/>
    <d v="2023-06-14T00:00:00"/>
    <s v="2023027-39"/>
    <x v="3"/>
  </r>
  <r>
    <x v="431"/>
    <n v="2023027"/>
    <x v="27"/>
    <s v="Chickpea"/>
    <m/>
    <x v="3"/>
    <s v="N"/>
    <x v="1"/>
    <n v="40"/>
    <n v="20"/>
    <x v="1"/>
    <m/>
    <m/>
    <m/>
    <n v="3"/>
    <n v="5"/>
    <m/>
    <m/>
    <m/>
    <m/>
    <n v="5"/>
    <n v="15"/>
    <x v="3"/>
    <n v="10"/>
    <m/>
    <n v="39"/>
    <x v="1"/>
    <n v="3"/>
    <x v="0"/>
    <m/>
    <m/>
    <n v="22"/>
    <x v="2"/>
    <s v="14/06/2023"/>
    <d v="2023-06-14T00:00:00"/>
    <s v="2023027-40"/>
    <x v="3"/>
  </r>
  <r>
    <x v="427"/>
    <n v="2023027"/>
    <x v="27"/>
    <s v="Chickpea"/>
    <m/>
    <x v="8"/>
    <s v="Y"/>
    <x v="1"/>
    <n v="41"/>
    <n v="21"/>
    <x v="1"/>
    <m/>
    <m/>
    <m/>
    <n v="3"/>
    <n v="6"/>
    <m/>
    <m/>
    <m/>
    <m/>
    <n v="1"/>
    <n v="17"/>
    <x v="0"/>
    <n v="11"/>
    <m/>
    <n v="11"/>
    <x v="1"/>
    <n v="1"/>
    <x v="0"/>
    <m/>
    <m/>
    <n v="22"/>
    <x v="1"/>
    <s v="17/05/2023"/>
    <d v="2023-05-17T00:00:00"/>
    <s v="2023027-41"/>
    <x v="3"/>
  </r>
  <r>
    <x v="427"/>
    <n v="2023027"/>
    <x v="27"/>
    <s v="Chickpea"/>
    <m/>
    <x v="8"/>
    <s v="Y"/>
    <x v="2"/>
    <n v="42"/>
    <n v="21"/>
    <x v="1"/>
    <m/>
    <m/>
    <m/>
    <n v="3"/>
    <n v="6"/>
    <m/>
    <m/>
    <m/>
    <m/>
    <n v="2"/>
    <n v="17"/>
    <x v="1"/>
    <n v="11"/>
    <m/>
    <m/>
    <x v="1"/>
    <n v="1"/>
    <x v="0"/>
    <m/>
    <m/>
    <n v="22"/>
    <x v="1"/>
    <s v="17/05/2023"/>
    <d v="2023-05-17T00:00:00"/>
    <s v="2023027-42"/>
    <x v="3"/>
  </r>
  <r>
    <x v="426"/>
    <n v="2023027"/>
    <x v="27"/>
    <s v="Chickpea"/>
    <m/>
    <x v="9"/>
    <s v="N"/>
    <x v="2"/>
    <n v="43"/>
    <n v="22"/>
    <x v="1"/>
    <m/>
    <m/>
    <m/>
    <n v="3"/>
    <n v="6"/>
    <m/>
    <m/>
    <m/>
    <m/>
    <n v="4"/>
    <n v="17"/>
    <x v="2"/>
    <n v="11"/>
    <m/>
    <m/>
    <x v="1"/>
    <n v="2"/>
    <x v="0"/>
    <m/>
    <m/>
    <n v="22"/>
    <x v="1"/>
    <s v="17/05/2023"/>
    <d v="2023-05-17T00:00:00"/>
    <s v="2023027-43"/>
    <x v="3"/>
  </r>
  <r>
    <x v="426"/>
    <n v="2023027"/>
    <x v="27"/>
    <s v="Chickpea"/>
    <m/>
    <x v="9"/>
    <s v="N"/>
    <x v="1"/>
    <n v="44"/>
    <n v="22"/>
    <x v="1"/>
    <m/>
    <m/>
    <m/>
    <n v="3"/>
    <n v="6"/>
    <m/>
    <m/>
    <m/>
    <m/>
    <n v="5"/>
    <n v="17"/>
    <x v="3"/>
    <n v="11"/>
    <m/>
    <n v="38"/>
    <x v="1"/>
    <n v="2"/>
    <x v="0"/>
    <m/>
    <m/>
    <n v="22"/>
    <x v="1"/>
    <s v="17/05/2023"/>
    <d v="2023-05-17T00:00:00"/>
    <s v="2023027-44"/>
    <x v="3"/>
  </r>
  <r>
    <x v="425"/>
    <n v="2023027"/>
    <x v="27"/>
    <s v="Chickpea"/>
    <m/>
    <x v="4"/>
    <s v="Y"/>
    <x v="1"/>
    <n v="45"/>
    <n v="23"/>
    <x v="1"/>
    <m/>
    <m/>
    <m/>
    <n v="3"/>
    <n v="6"/>
    <m/>
    <m/>
    <m/>
    <m/>
    <n v="1"/>
    <n v="18"/>
    <x v="0"/>
    <n v="12"/>
    <m/>
    <n v="12"/>
    <x v="1"/>
    <n v="4"/>
    <x v="0"/>
    <m/>
    <m/>
    <n v="22"/>
    <x v="1"/>
    <s v="17/05/2023"/>
    <d v="2023-05-17T00:00:00"/>
    <s v="2023027-45"/>
    <x v="3"/>
  </r>
  <r>
    <x v="425"/>
    <n v="2023027"/>
    <x v="27"/>
    <s v="Chickpea"/>
    <m/>
    <x v="4"/>
    <s v="Y"/>
    <x v="2"/>
    <n v="46"/>
    <n v="23"/>
    <x v="1"/>
    <m/>
    <m/>
    <m/>
    <n v="3"/>
    <n v="6"/>
    <m/>
    <m/>
    <m/>
    <m/>
    <n v="2"/>
    <n v="18"/>
    <x v="1"/>
    <n v="12"/>
    <m/>
    <m/>
    <x v="1"/>
    <n v="4"/>
    <x v="0"/>
    <m/>
    <m/>
    <n v="22"/>
    <x v="1"/>
    <s v="17/05/2023"/>
    <d v="2023-05-17T00:00:00"/>
    <s v="2023027-46"/>
    <x v="3"/>
  </r>
  <r>
    <x v="424"/>
    <n v="2023027"/>
    <x v="27"/>
    <s v="Chickpea"/>
    <m/>
    <x v="3"/>
    <s v="N"/>
    <x v="2"/>
    <n v="47"/>
    <n v="24"/>
    <x v="1"/>
    <m/>
    <m/>
    <m/>
    <n v="3"/>
    <n v="6"/>
    <m/>
    <m/>
    <m/>
    <m/>
    <n v="4"/>
    <n v="18"/>
    <x v="2"/>
    <n v="12"/>
    <m/>
    <m/>
    <x v="1"/>
    <n v="3"/>
    <x v="0"/>
    <m/>
    <m/>
    <n v="22"/>
    <x v="1"/>
    <s v="17/05/2023"/>
    <d v="2023-05-17T00:00:00"/>
    <s v="2023027-47"/>
    <x v="3"/>
  </r>
  <r>
    <x v="424"/>
    <n v="2023027"/>
    <x v="27"/>
    <s v="Chickpea"/>
    <m/>
    <x v="3"/>
    <s v="N"/>
    <x v="1"/>
    <n v="48"/>
    <n v="24"/>
    <x v="1"/>
    <m/>
    <m/>
    <m/>
    <n v="3"/>
    <n v="6"/>
    <m/>
    <m/>
    <m/>
    <m/>
    <n v="5"/>
    <n v="18"/>
    <x v="3"/>
    <n v="12"/>
    <m/>
    <n v="37"/>
    <x v="1"/>
    <n v="3"/>
    <x v="0"/>
    <m/>
    <m/>
    <n v="22"/>
    <x v="1"/>
    <s v="17/05/2023"/>
    <d v="2023-05-17T00:00:00"/>
    <s v="2023027-48"/>
    <x v="3"/>
  </r>
  <r>
    <x v="418"/>
    <n v="2023027"/>
    <x v="27"/>
    <s v="Chickpea"/>
    <m/>
    <x v="3"/>
    <s v="N"/>
    <x v="1"/>
    <n v="49"/>
    <n v="25"/>
    <x v="1"/>
    <m/>
    <m/>
    <m/>
    <n v="4"/>
    <n v="7"/>
    <m/>
    <m/>
    <m/>
    <m/>
    <n v="1"/>
    <n v="22"/>
    <x v="0"/>
    <n v="13"/>
    <m/>
    <n v="13"/>
    <x v="0"/>
    <n v="3"/>
    <x v="0"/>
    <m/>
    <m/>
    <n v="22"/>
    <x v="2"/>
    <s v="14/06/2023"/>
    <d v="2023-06-14T00:00:00"/>
    <s v="2023027-49"/>
    <x v="3"/>
  </r>
  <r>
    <x v="418"/>
    <n v="2023027"/>
    <x v="27"/>
    <s v="Chickpea"/>
    <m/>
    <x v="3"/>
    <s v="N"/>
    <x v="2"/>
    <n v="50"/>
    <n v="25"/>
    <x v="1"/>
    <m/>
    <m/>
    <m/>
    <n v="4"/>
    <n v="7"/>
    <m/>
    <m/>
    <m/>
    <m/>
    <n v="2"/>
    <n v="22"/>
    <x v="1"/>
    <n v="13"/>
    <m/>
    <m/>
    <x v="0"/>
    <n v="3"/>
    <x v="0"/>
    <m/>
    <m/>
    <n v="22"/>
    <x v="2"/>
    <s v="14/06/2023"/>
    <d v="2023-06-14T00:00:00"/>
    <s v="2023027-50"/>
    <x v="3"/>
  </r>
  <r>
    <x v="419"/>
    <n v="2023027"/>
    <x v="27"/>
    <s v="Chickpea"/>
    <m/>
    <x v="9"/>
    <s v="N"/>
    <x v="2"/>
    <n v="51"/>
    <n v="26"/>
    <x v="1"/>
    <m/>
    <m/>
    <m/>
    <n v="4"/>
    <n v="7"/>
    <m/>
    <m/>
    <m/>
    <m/>
    <n v="4"/>
    <n v="22"/>
    <x v="2"/>
    <n v="13"/>
    <m/>
    <m/>
    <x v="0"/>
    <n v="2"/>
    <x v="0"/>
    <m/>
    <m/>
    <n v="22"/>
    <x v="2"/>
    <s v="14/06/2023"/>
    <d v="2023-06-14T00:00:00"/>
    <s v="2023027-51"/>
    <x v="3"/>
  </r>
  <r>
    <x v="419"/>
    <n v="2023027"/>
    <x v="27"/>
    <s v="Chickpea"/>
    <m/>
    <x v="9"/>
    <s v="N"/>
    <x v="1"/>
    <n v="52"/>
    <n v="26"/>
    <x v="1"/>
    <m/>
    <m/>
    <m/>
    <n v="4"/>
    <n v="7"/>
    <m/>
    <m/>
    <m/>
    <m/>
    <n v="5"/>
    <n v="22"/>
    <x v="3"/>
    <n v="13"/>
    <m/>
    <n v="36"/>
    <x v="0"/>
    <n v="2"/>
    <x v="0"/>
    <m/>
    <m/>
    <n v="22"/>
    <x v="2"/>
    <s v="14/06/2023"/>
    <d v="2023-06-14T00:00:00"/>
    <s v="2023027-52"/>
    <x v="3"/>
  </r>
  <r>
    <x v="417"/>
    <n v="2023027"/>
    <x v="27"/>
    <s v="Chickpea"/>
    <m/>
    <x v="8"/>
    <s v="Y"/>
    <x v="1"/>
    <n v="53"/>
    <n v="27"/>
    <x v="1"/>
    <m/>
    <m/>
    <m/>
    <n v="4"/>
    <n v="7"/>
    <m/>
    <m/>
    <m/>
    <m/>
    <n v="1"/>
    <n v="23"/>
    <x v="0"/>
    <n v="14"/>
    <m/>
    <n v="14"/>
    <x v="0"/>
    <n v="1"/>
    <x v="0"/>
    <m/>
    <m/>
    <n v="22"/>
    <x v="2"/>
    <s v="14/06/2023"/>
    <d v="2023-06-14T00:00:00"/>
    <s v="2023027-53"/>
    <x v="3"/>
  </r>
  <r>
    <x v="417"/>
    <n v="2023027"/>
    <x v="27"/>
    <s v="Chickpea"/>
    <m/>
    <x v="8"/>
    <s v="Y"/>
    <x v="2"/>
    <n v="54"/>
    <n v="27"/>
    <x v="1"/>
    <m/>
    <m/>
    <m/>
    <n v="4"/>
    <n v="7"/>
    <m/>
    <m/>
    <m/>
    <m/>
    <n v="2"/>
    <n v="23"/>
    <x v="1"/>
    <n v="14"/>
    <m/>
    <m/>
    <x v="0"/>
    <n v="1"/>
    <x v="0"/>
    <m/>
    <m/>
    <n v="22"/>
    <x v="2"/>
    <s v="14/06/2023"/>
    <d v="2023-06-14T00:00:00"/>
    <s v="2023027-54"/>
    <x v="3"/>
  </r>
  <r>
    <x v="416"/>
    <n v="2023027"/>
    <x v="27"/>
    <s v="Chickpea"/>
    <m/>
    <x v="4"/>
    <s v="Y"/>
    <x v="2"/>
    <n v="55"/>
    <n v="28"/>
    <x v="1"/>
    <m/>
    <m/>
    <m/>
    <n v="4"/>
    <n v="7"/>
    <m/>
    <m/>
    <m/>
    <m/>
    <n v="4"/>
    <n v="23"/>
    <x v="2"/>
    <n v="14"/>
    <m/>
    <m/>
    <x v="0"/>
    <n v="4"/>
    <x v="0"/>
    <m/>
    <m/>
    <n v="22"/>
    <x v="2"/>
    <s v="14/06/2023"/>
    <d v="2023-06-14T00:00:00"/>
    <s v="2023027-55"/>
    <x v="3"/>
  </r>
  <r>
    <x v="416"/>
    <n v="2023027"/>
    <x v="27"/>
    <s v="Chickpea"/>
    <m/>
    <x v="4"/>
    <s v="Y"/>
    <x v="1"/>
    <n v="56"/>
    <n v="28"/>
    <x v="1"/>
    <m/>
    <m/>
    <m/>
    <n v="4"/>
    <n v="7"/>
    <m/>
    <m/>
    <m/>
    <m/>
    <n v="5"/>
    <n v="23"/>
    <x v="3"/>
    <n v="14"/>
    <m/>
    <n v="35"/>
    <x v="0"/>
    <n v="4"/>
    <x v="0"/>
    <m/>
    <m/>
    <n v="22"/>
    <x v="2"/>
    <s v="14/06/2023"/>
    <d v="2023-06-14T00:00:00"/>
    <s v="2023027-56"/>
    <x v="3"/>
  </r>
  <r>
    <x v="423"/>
    <n v="2023027"/>
    <x v="27"/>
    <s v="Chickpea"/>
    <m/>
    <x v="4"/>
    <s v="Y"/>
    <x v="1"/>
    <n v="57"/>
    <n v="29"/>
    <x v="1"/>
    <m/>
    <m/>
    <m/>
    <n v="4"/>
    <n v="8"/>
    <m/>
    <m/>
    <m/>
    <m/>
    <n v="1"/>
    <n v="24"/>
    <x v="0"/>
    <n v="15"/>
    <m/>
    <n v="15"/>
    <x v="0"/>
    <n v="4"/>
    <x v="0"/>
    <m/>
    <m/>
    <n v="22"/>
    <x v="1"/>
    <s v="17/05/2023"/>
    <d v="2023-05-17T00:00:00"/>
    <s v="2023027-57"/>
    <x v="3"/>
  </r>
  <r>
    <x v="423"/>
    <n v="2023027"/>
    <x v="27"/>
    <s v="Chickpea"/>
    <m/>
    <x v="4"/>
    <s v="Y"/>
    <x v="2"/>
    <n v="58"/>
    <n v="29"/>
    <x v="1"/>
    <m/>
    <m/>
    <m/>
    <n v="4"/>
    <n v="8"/>
    <m/>
    <m/>
    <m/>
    <m/>
    <n v="2"/>
    <n v="24"/>
    <x v="1"/>
    <n v="15"/>
    <m/>
    <m/>
    <x v="0"/>
    <n v="4"/>
    <x v="0"/>
    <m/>
    <m/>
    <n v="22"/>
    <x v="1"/>
    <s v="17/05/2023"/>
    <d v="2023-05-17T00:00:00"/>
    <s v="2023027-58"/>
    <x v="3"/>
  </r>
  <r>
    <x v="420"/>
    <n v="2023027"/>
    <x v="27"/>
    <s v="Chickpea"/>
    <m/>
    <x v="8"/>
    <s v="Y"/>
    <x v="2"/>
    <n v="59"/>
    <n v="30"/>
    <x v="1"/>
    <m/>
    <m/>
    <m/>
    <n v="4"/>
    <n v="8"/>
    <m/>
    <m/>
    <m/>
    <m/>
    <n v="4"/>
    <n v="24"/>
    <x v="2"/>
    <n v="15"/>
    <m/>
    <m/>
    <x v="0"/>
    <n v="1"/>
    <x v="0"/>
    <m/>
    <m/>
    <n v="22"/>
    <x v="1"/>
    <s v="17/05/2023"/>
    <d v="2023-05-17T00:00:00"/>
    <s v="2023027-59"/>
    <x v="3"/>
  </r>
  <r>
    <x v="420"/>
    <n v="2023027"/>
    <x v="27"/>
    <s v="Chickpea"/>
    <m/>
    <x v="8"/>
    <s v="Y"/>
    <x v="1"/>
    <n v="60"/>
    <n v="30"/>
    <x v="1"/>
    <m/>
    <m/>
    <m/>
    <n v="4"/>
    <n v="8"/>
    <m/>
    <m/>
    <m/>
    <m/>
    <n v="5"/>
    <n v="24"/>
    <x v="3"/>
    <n v="15"/>
    <m/>
    <n v="34"/>
    <x v="0"/>
    <n v="1"/>
    <x v="0"/>
    <m/>
    <m/>
    <n v="22"/>
    <x v="1"/>
    <s v="17/05/2023"/>
    <d v="2023-05-17T00:00:00"/>
    <s v="2023027-60"/>
    <x v="3"/>
  </r>
  <r>
    <x v="421"/>
    <n v="2023027"/>
    <x v="27"/>
    <s v="Chickpea"/>
    <m/>
    <x v="9"/>
    <s v="N"/>
    <x v="1"/>
    <n v="61"/>
    <n v="31"/>
    <x v="1"/>
    <m/>
    <m/>
    <m/>
    <n v="4"/>
    <n v="8"/>
    <m/>
    <m/>
    <m/>
    <m/>
    <n v="1"/>
    <n v="25"/>
    <x v="0"/>
    <n v="16"/>
    <m/>
    <n v="16"/>
    <x v="0"/>
    <n v="2"/>
    <x v="0"/>
    <m/>
    <m/>
    <n v="22"/>
    <x v="1"/>
    <s v="17/05/2023"/>
    <d v="2023-05-17T00:00:00"/>
    <s v="2023027-61"/>
    <x v="3"/>
  </r>
  <r>
    <x v="421"/>
    <n v="2023027"/>
    <x v="27"/>
    <s v="Chickpea"/>
    <m/>
    <x v="9"/>
    <s v="N"/>
    <x v="2"/>
    <n v="62"/>
    <n v="31"/>
    <x v="1"/>
    <m/>
    <m/>
    <m/>
    <n v="4"/>
    <n v="8"/>
    <m/>
    <m/>
    <m/>
    <m/>
    <n v="2"/>
    <n v="25"/>
    <x v="1"/>
    <n v="16"/>
    <m/>
    <m/>
    <x v="0"/>
    <n v="2"/>
    <x v="0"/>
    <m/>
    <m/>
    <n v="22"/>
    <x v="1"/>
    <s v="17/05/2023"/>
    <d v="2023-05-17T00:00:00"/>
    <s v="2023027-62"/>
    <x v="3"/>
  </r>
  <r>
    <x v="422"/>
    <n v="2023027"/>
    <x v="27"/>
    <s v="Chickpea"/>
    <m/>
    <x v="3"/>
    <s v="N"/>
    <x v="2"/>
    <n v="63"/>
    <n v="32"/>
    <x v="1"/>
    <m/>
    <m/>
    <m/>
    <n v="4"/>
    <n v="8"/>
    <m/>
    <m/>
    <m/>
    <m/>
    <n v="4"/>
    <n v="25"/>
    <x v="2"/>
    <n v="16"/>
    <m/>
    <m/>
    <x v="0"/>
    <n v="3"/>
    <x v="0"/>
    <m/>
    <m/>
    <n v="22"/>
    <x v="1"/>
    <s v="17/05/2023"/>
    <d v="2023-05-17T00:00:00"/>
    <s v="2023027-63"/>
    <x v="3"/>
  </r>
  <r>
    <x v="422"/>
    <n v="2023027"/>
    <x v="27"/>
    <s v="Chickpea"/>
    <m/>
    <x v="3"/>
    <s v="N"/>
    <x v="1"/>
    <n v="64"/>
    <n v="32"/>
    <x v="1"/>
    <m/>
    <m/>
    <m/>
    <n v="4"/>
    <n v="8"/>
    <m/>
    <m/>
    <m/>
    <m/>
    <n v="5"/>
    <n v="25"/>
    <x v="3"/>
    <n v="16"/>
    <m/>
    <n v="33"/>
    <x v="0"/>
    <n v="3"/>
    <x v="0"/>
    <m/>
    <m/>
    <n v="22"/>
    <x v="1"/>
    <s v="17/05/2023"/>
    <d v="2023-05-17T00:00:00"/>
    <s v="2023027-64"/>
    <x v="3"/>
  </r>
  <r>
    <x v="422"/>
    <n v="2023027"/>
    <x v="27"/>
    <s v="Chickpea"/>
    <m/>
    <x v="3"/>
    <s v="N"/>
    <x v="1"/>
    <n v="65"/>
    <n v="33"/>
    <x v="2"/>
    <m/>
    <m/>
    <m/>
    <n v="5"/>
    <n v="9"/>
    <m/>
    <m/>
    <m/>
    <m/>
    <n v="1"/>
    <n v="27"/>
    <x v="0"/>
    <n v="17"/>
    <m/>
    <n v="17"/>
    <x v="0"/>
    <n v="3"/>
    <x v="0"/>
    <m/>
    <m/>
    <n v="22"/>
    <x v="1"/>
    <s v="17/05/2023"/>
    <d v="2023-05-17T00:00:00"/>
    <s v="2023027-65"/>
    <x v="3"/>
  </r>
  <r>
    <x v="422"/>
    <n v="2023027"/>
    <x v="27"/>
    <s v="Chickpea"/>
    <m/>
    <x v="3"/>
    <s v="N"/>
    <x v="2"/>
    <n v="66"/>
    <n v="33"/>
    <x v="2"/>
    <m/>
    <m/>
    <m/>
    <n v="5"/>
    <n v="9"/>
    <m/>
    <m/>
    <m/>
    <m/>
    <n v="2"/>
    <n v="27"/>
    <x v="1"/>
    <n v="17"/>
    <m/>
    <m/>
    <x v="0"/>
    <n v="3"/>
    <x v="0"/>
    <m/>
    <m/>
    <n v="22"/>
    <x v="1"/>
    <s v="17/05/2023"/>
    <d v="2023-05-17T00:00:00"/>
    <s v="2023027-66"/>
    <x v="3"/>
  </r>
  <r>
    <x v="420"/>
    <n v="2023027"/>
    <x v="27"/>
    <s v="Chickpea"/>
    <m/>
    <x v="8"/>
    <s v="Y"/>
    <x v="2"/>
    <n v="67"/>
    <n v="34"/>
    <x v="2"/>
    <m/>
    <m/>
    <m/>
    <n v="5"/>
    <n v="9"/>
    <m/>
    <m/>
    <m/>
    <m/>
    <n v="4"/>
    <n v="27"/>
    <x v="2"/>
    <n v="17"/>
    <m/>
    <m/>
    <x v="0"/>
    <n v="1"/>
    <x v="0"/>
    <m/>
    <m/>
    <n v="22"/>
    <x v="1"/>
    <s v="17/05/2023"/>
    <d v="2023-05-17T00:00:00"/>
    <s v="2023027-67"/>
    <x v="3"/>
  </r>
  <r>
    <x v="420"/>
    <n v="2023027"/>
    <x v="27"/>
    <s v="Chickpea"/>
    <m/>
    <x v="8"/>
    <s v="Y"/>
    <x v="1"/>
    <n v="68"/>
    <n v="34"/>
    <x v="2"/>
    <m/>
    <m/>
    <m/>
    <n v="5"/>
    <n v="9"/>
    <m/>
    <m/>
    <m/>
    <m/>
    <n v="5"/>
    <n v="27"/>
    <x v="3"/>
    <n v="17"/>
    <m/>
    <n v="32"/>
    <x v="0"/>
    <n v="1"/>
    <x v="0"/>
    <m/>
    <m/>
    <n v="22"/>
    <x v="1"/>
    <s v="17/05/2023"/>
    <d v="2023-05-17T00:00:00"/>
    <s v="2023027-68"/>
    <x v="3"/>
  </r>
  <r>
    <x v="423"/>
    <n v="2023027"/>
    <x v="27"/>
    <s v="Chickpea"/>
    <m/>
    <x v="4"/>
    <s v="Y"/>
    <x v="1"/>
    <n v="69"/>
    <n v="35"/>
    <x v="2"/>
    <m/>
    <m/>
    <m/>
    <n v="5"/>
    <n v="9"/>
    <m/>
    <m/>
    <m/>
    <m/>
    <n v="1"/>
    <n v="28"/>
    <x v="0"/>
    <n v="18"/>
    <m/>
    <n v="18"/>
    <x v="0"/>
    <n v="4"/>
    <x v="0"/>
    <m/>
    <m/>
    <n v="22"/>
    <x v="1"/>
    <s v="17/05/2023"/>
    <d v="2023-05-17T00:00:00"/>
    <s v="2023027-69"/>
    <x v="3"/>
  </r>
  <r>
    <x v="423"/>
    <n v="2023027"/>
    <x v="27"/>
    <s v="Chickpea"/>
    <m/>
    <x v="4"/>
    <s v="Y"/>
    <x v="2"/>
    <n v="70"/>
    <n v="35"/>
    <x v="2"/>
    <m/>
    <m/>
    <m/>
    <n v="5"/>
    <n v="9"/>
    <m/>
    <m/>
    <m/>
    <m/>
    <n v="2"/>
    <n v="28"/>
    <x v="1"/>
    <n v="18"/>
    <m/>
    <m/>
    <x v="0"/>
    <n v="4"/>
    <x v="0"/>
    <m/>
    <m/>
    <n v="22"/>
    <x v="1"/>
    <s v="17/05/2023"/>
    <d v="2023-05-17T00:00:00"/>
    <s v="2023027-70"/>
    <x v="3"/>
  </r>
  <r>
    <x v="421"/>
    <n v="2023027"/>
    <x v="27"/>
    <s v="Chickpea"/>
    <m/>
    <x v="9"/>
    <s v="N"/>
    <x v="2"/>
    <n v="71"/>
    <n v="36"/>
    <x v="2"/>
    <m/>
    <m/>
    <m/>
    <n v="5"/>
    <n v="9"/>
    <m/>
    <m/>
    <m/>
    <m/>
    <n v="4"/>
    <n v="28"/>
    <x v="2"/>
    <n v="18"/>
    <m/>
    <m/>
    <x v="0"/>
    <n v="2"/>
    <x v="0"/>
    <m/>
    <m/>
    <n v="22"/>
    <x v="1"/>
    <s v="17/05/2023"/>
    <d v="2023-05-17T00:00:00"/>
    <s v="2023027-71"/>
    <x v="3"/>
  </r>
  <r>
    <x v="421"/>
    <n v="2023027"/>
    <x v="27"/>
    <s v="Chickpea"/>
    <m/>
    <x v="9"/>
    <s v="N"/>
    <x v="1"/>
    <n v="72"/>
    <n v="36"/>
    <x v="2"/>
    <m/>
    <m/>
    <m/>
    <n v="5"/>
    <n v="9"/>
    <m/>
    <m/>
    <m/>
    <m/>
    <n v="5"/>
    <n v="28"/>
    <x v="3"/>
    <n v="18"/>
    <m/>
    <n v="31"/>
    <x v="0"/>
    <n v="2"/>
    <x v="0"/>
    <m/>
    <m/>
    <n v="22"/>
    <x v="1"/>
    <s v="17/05/2023"/>
    <d v="2023-05-17T00:00:00"/>
    <s v="2023027-72"/>
    <x v="3"/>
  </r>
  <r>
    <x v="418"/>
    <n v="2023027"/>
    <x v="27"/>
    <s v="Chickpea"/>
    <m/>
    <x v="3"/>
    <s v="N"/>
    <x v="1"/>
    <n v="73"/>
    <n v="37"/>
    <x v="2"/>
    <m/>
    <m/>
    <m/>
    <n v="5"/>
    <n v="10"/>
    <m/>
    <m/>
    <m/>
    <m/>
    <n v="1"/>
    <n v="29"/>
    <x v="0"/>
    <n v="19"/>
    <m/>
    <n v="19"/>
    <x v="0"/>
    <n v="3"/>
    <x v="0"/>
    <m/>
    <m/>
    <n v="22"/>
    <x v="2"/>
    <s v="14/06/2023"/>
    <d v="2023-06-14T00:00:00"/>
    <s v="2023027-73"/>
    <x v="3"/>
  </r>
  <r>
    <x v="418"/>
    <n v="2023027"/>
    <x v="27"/>
    <s v="Chickpea"/>
    <m/>
    <x v="3"/>
    <s v="N"/>
    <x v="2"/>
    <n v="74"/>
    <n v="37"/>
    <x v="2"/>
    <m/>
    <m/>
    <m/>
    <n v="5"/>
    <n v="10"/>
    <m/>
    <m/>
    <m/>
    <m/>
    <n v="2"/>
    <n v="29"/>
    <x v="1"/>
    <n v="19"/>
    <m/>
    <m/>
    <x v="0"/>
    <n v="3"/>
    <x v="0"/>
    <m/>
    <m/>
    <n v="22"/>
    <x v="2"/>
    <s v="14/06/2023"/>
    <d v="2023-06-14T00:00:00"/>
    <s v="2023027-74"/>
    <x v="3"/>
  </r>
  <r>
    <x v="417"/>
    <n v="2023027"/>
    <x v="27"/>
    <s v="Chickpea"/>
    <m/>
    <x v="8"/>
    <s v="Y"/>
    <x v="2"/>
    <n v="75"/>
    <n v="38"/>
    <x v="2"/>
    <m/>
    <m/>
    <m/>
    <n v="5"/>
    <n v="10"/>
    <m/>
    <m/>
    <m/>
    <m/>
    <n v="4"/>
    <n v="29"/>
    <x v="2"/>
    <n v="19"/>
    <m/>
    <m/>
    <x v="0"/>
    <n v="1"/>
    <x v="0"/>
    <m/>
    <m/>
    <n v="22"/>
    <x v="2"/>
    <s v="14/06/2023"/>
    <d v="2023-06-14T00:00:00"/>
    <s v="2023027-75"/>
    <x v="3"/>
  </r>
  <r>
    <x v="417"/>
    <n v="2023027"/>
    <x v="27"/>
    <s v="Chickpea"/>
    <m/>
    <x v="8"/>
    <s v="Y"/>
    <x v="1"/>
    <n v="76"/>
    <n v="38"/>
    <x v="2"/>
    <m/>
    <m/>
    <m/>
    <n v="5"/>
    <n v="10"/>
    <m/>
    <m/>
    <m/>
    <m/>
    <n v="5"/>
    <n v="29"/>
    <x v="3"/>
    <n v="19"/>
    <m/>
    <n v="30"/>
    <x v="0"/>
    <n v="1"/>
    <x v="0"/>
    <m/>
    <m/>
    <n v="22"/>
    <x v="2"/>
    <s v="14/06/2023"/>
    <d v="2023-06-14T00:00:00"/>
    <s v="2023027-76"/>
    <x v="3"/>
  </r>
  <r>
    <x v="419"/>
    <n v="2023027"/>
    <x v="27"/>
    <s v="Chickpea"/>
    <m/>
    <x v="9"/>
    <s v="N"/>
    <x v="1"/>
    <n v="77"/>
    <n v="39"/>
    <x v="2"/>
    <m/>
    <m/>
    <m/>
    <n v="5"/>
    <n v="10"/>
    <m/>
    <m/>
    <m/>
    <m/>
    <n v="1"/>
    <n v="30"/>
    <x v="0"/>
    <n v="20"/>
    <m/>
    <n v="20"/>
    <x v="0"/>
    <n v="2"/>
    <x v="0"/>
    <m/>
    <m/>
    <n v="22"/>
    <x v="2"/>
    <s v="14/06/2023"/>
    <d v="2023-06-14T00:00:00"/>
    <s v="2023027-77"/>
    <x v="3"/>
  </r>
  <r>
    <x v="419"/>
    <n v="2023027"/>
    <x v="27"/>
    <s v="Chickpea"/>
    <m/>
    <x v="9"/>
    <s v="N"/>
    <x v="2"/>
    <n v="78"/>
    <n v="39"/>
    <x v="2"/>
    <m/>
    <m/>
    <m/>
    <n v="5"/>
    <n v="10"/>
    <m/>
    <m/>
    <m/>
    <m/>
    <n v="2"/>
    <n v="30"/>
    <x v="1"/>
    <n v="20"/>
    <m/>
    <m/>
    <x v="0"/>
    <n v="2"/>
    <x v="0"/>
    <m/>
    <m/>
    <n v="22"/>
    <x v="2"/>
    <s v="14/06/2023"/>
    <d v="2023-06-14T00:00:00"/>
    <s v="2023027-78"/>
    <x v="3"/>
  </r>
  <r>
    <x v="416"/>
    <n v="2023027"/>
    <x v="27"/>
    <s v="Chickpea"/>
    <m/>
    <x v="4"/>
    <s v="Y"/>
    <x v="2"/>
    <n v="79"/>
    <n v="40"/>
    <x v="2"/>
    <m/>
    <m/>
    <m/>
    <n v="5"/>
    <n v="10"/>
    <m/>
    <m/>
    <m/>
    <m/>
    <n v="4"/>
    <n v="30"/>
    <x v="2"/>
    <n v="20"/>
    <m/>
    <m/>
    <x v="0"/>
    <n v="4"/>
    <x v="0"/>
    <m/>
    <m/>
    <n v="22"/>
    <x v="2"/>
    <s v="14/06/2023"/>
    <d v="2023-06-14T00:00:00"/>
    <s v="2023027-79"/>
    <x v="3"/>
  </r>
  <r>
    <x v="416"/>
    <n v="2023027"/>
    <x v="27"/>
    <s v="Chickpea"/>
    <m/>
    <x v="4"/>
    <s v="Y"/>
    <x v="1"/>
    <n v="80"/>
    <n v="40"/>
    <x v="2"/>
    <m/>
    <m/>
    <m/>
    <n v="5"/>
    <n v="10"/>
    <m/>
    <m/>
    <m/>
    <m/>
    <n v="5"/>
    <n v="30"/>
    <x v="3"/>
    <n v="20"/>
    <m/>
    <n v="29"/>
    <x v="0"/>
    <n v="4"/>
    <x v="0"/>
    <m/>
    <m/>
    <n v="22"/>
    <x v="2"/>
    <s v="14/06/2023"/>
    <d v="2023-06-14T00:00:00"/>
    <s v="2023027-80"/>
    <x v="3"/>
  </r>
  <r>
    <x v="426"/>
    <n v="2023027"/>
    <x v="27"/>
    <s v="Chickpea"/>
    <m/>
    <x v="9"/>
    <s v="N"/>
    <x v="1"/>
    <n v="81"/>
    <n v="41"/>
    <x v="2"/>
    <m/>
    <m/>
    <m/>
    <n v="6"/>
    <n v="11"/>
    <m/>
    <m/>
    <m/>
    <m/>
    <n v="1"/>
    <n v="33"/>
    <x v="0"/>
    <n v="21"/>
    <m/>
    <n v="21"/>
    <x v="1"/>
    <n v="2"/>
    <x v="0"/>
    <m/>
    <m/>
    <n v="22"/>
    <x v="1"/>
    <s v="17/05/2023"/>
    <d v="2023-05-17T00:00:00"/>
    <s v="2023027-81"/>
    <x v="3"/>
  </r>
  <r>
    <x v="426"/>
    <n v="2023027"/>
    <x v="27"/>
    <s v="Chickpea"/>
    <m/>
    <x v="9"/>
    <s v="N"/>
    <x v="2"/>
    <n v="82"/>
    <n v="41"/>
    <x v="2"/>
    <m/>
    <m/>
    <m/>
    <n v="6"/>
    <n v="11"/>
    <m/>
    <m/>
    <m/>
    <m/>
    <n v="2"/>
    <n v="33"/>
    <x v="1"/>
    <n v="21"/>
    <m/>
    <m/>
    <x v="1"/>
    <n v="2"/>
    <x v="0"/>
    <m/>
    <m/>
    <n v="22"/>
    <x v="1"/>
    <s v="17/05/2023"/>
    <d v="2023-05-17T00:00:00"/>
    <s v="2023027-82"/>
    <x v="3"/>
  </r>
  <r>
    <x v="425"/>
    <n v="2023027"/>
    <x v="27"/>
    <s v="Chickpea"/>
    <m/>
    <x v="4"/>
    <s v="Y"/>
    <x v="2"/>
    <n v="83"/>
    <n v="42"/>
    <x v="2"/>
    <m/>
    <m/>
    <m/>
    <n v="6"/>
    <n v="11"/>
    <m/>
    <m/>
    <m/>
    <m/>
    <n v="4"/>
    <n v="33"/>
    <x v="2"/>
    <n v="21"/>
    <m/>
    <m/>
    <x v="1"/>
    <n v="4"/>
    <x v="0"/>
    <m/>
    <m/>
    <n v="22"/>
    <x v="1"/>
    <s v="17/05/2023"/>
    <d v="2023-05-17T00:00:00"/>
    <s v="2023027-83"/>
    <x v="3"/>
  </r>
  <r>
    <x v="425"/>
    <n v="2023027"/>
    <x v="27"/>
    <s v="Chickpea"/>
    <m/>
    <x v="4"/>
    <s v="Y"/>
    <x v="1"/>
    <n v="84"/>
    <n v="42"/>
    <x v="2"/>
    <m/>
    <m/>
    <m/>
    <n v="6"/>
    <n v="11"/>
    <m/>
    <m/>
    <m/>
    <m/>
    <n v="5"/>
    <n v="33"/>
    <x v="3"/>
    <n v="21"/>
    <m/>
    <n v="28"/>
    <x v="1"/>
    <n v="4"/>
    <x v="0"/>
    <m/>
    <m/>
    <n v="22"/>
    <x v="1"/>
    <s v="17/05/2023"/>
    <d v="2023-05-17T00:00:00"/>
    <s v="2023027-84"/>
    <x v="3"/>
  </r>
  <r>
    <x v="427"/>
    <n v="2023027"/>
    <x v="27"/>
    <s v="Chickpea"/>
    <m/>
    <x v="8"/>
    <s v="Y"/>
    <x v="1"/>
    <n v="85"/>
    <n v="43"/>
    <x v="2"/>
    <m/>
    <m/>
    <m/>
    <n v="6"/>
    <n v="11"/>
    <m/>
    <m/>
    <m/>
    <m/>
    <n v="1"/>
    <n v="34"/>
    <x v="0"/>
    <n v="22"/>
    <m/>
    <n v="22"/>
    <x v="1"/>
    <n v="1"/>
    <x v="0"/>
    <m/>
    <m/>
    <n v="22"/>
    <x v="1"/>
    <s v="17/05/2023"/>
    <d v="2023-05-17T00:00:00"/>
    <s v="2023027-85"/>
    <x v="3"/>
  </r>
  <r>
    <x v="427"/>
    <n v="2023027"/>
    <x v="27"/>
    <s v="Chickpea"/>
    <m/>
    <x v="8"/>
    <s v="Y"/>
    <x v="2"/>
    <n v="86"/>
    <n v="43"/>
    <x v="2"/>
    <m/>
    <m/>
    <m/>
    <n v="6"/>
    <n v="11"/>
    <m/>
    <m/>
    <m/>
    <m/>
    <n v="2"/>
    <n v="34"/>
    <x v="1"/>
    <n v="22"/>
    <m/>
    <m/>
    <x v="1"/>
    <n v="1"/>
    <x v="0"/>
    <m/>
    <m/>
    <n v="22"/>
    <x v="1"/>
    <s v="17/05/2023"/>
    <d v="2023-05-17T00:00:00"/>
    <s v="2023027-86"/>
    <x v="3"/>
  </r>
  <r>
    <x v="424"/>
    <n v="2023027"/>
    <x v="27"/>
    <s v="Chickpea"/>
    <m/>
    <x v="3"/>
    <s v="N"/>
    <x v="2"/>
    <n v="87"/>
    <n v="44"/>
    <x v="2"/>
    <m/>
    <m/>
    <m/>
    <n v="6"/>
    <n v="11"/>
    <m/>
    <m/>
    <m/>
    <m/>
    <n v="4"/>
    <n v="34"/>
    <x v="2"/>
    <n v="22"/>
    <m/>
    <m/>
    <x v="1"/>
    <n v="3"/>
    <x v="0"/>
    <m/>
    <m/>
    <n v="22"/>
    <x v="1"/>
    <s v="17/05/2023"/>
    <d v="2023-05-17T00:00:00"/>
    <s v="2023027-87"/>
    <x v="3"/>
  </r>
  <r>
    <x v="424"/>
    <n v="2023027"/>
    <x v="27"/>
    <s v="Chickpea"/>
    <m/>
    <x v="3"/>
    <s v="N"/>
    <x v="1"/>
    <n v="88"/>
    <n v="44"/>
    <x v="2"/>
    <m/>
    <m/>
    <m/>
    <n v="6"/>
    <n v="11"/>
    <m/>
    <m/>
    <m/>
    <m/>
    <n v="5"/>
    <n v="34"/>
    <x v="3"/>
    <n v="22"/>
    <m/>
    <n v="27"/>
    <x v="1"/>
    <n v="3"/>
    <x v="0"/>
    <m/>
    <m/>
    <n v="22"/>
    <x v="1"/>
    <s v="17/05/2023"/>
    <d v="2023-05-17T00:00:00"/>
    <s v="2023027-88"/>
    <x v="3"/>
  </r>
  <r>
    <x v="429"/>
    <n v="2023027"/>
    <x v="27"/>
    <s v="Chickpea"/>
    <m/>
    <x v="9"/>
    <s v="N"/>
    <x v="1"/>
    <n v="89"/>
    <n v="45"/>
    <x v="2"/>
    <m/>
    <m/>
    <m/>
    <n v="6"/>
    <n v="12"/>
    <m/>
    <m/>
    <m/>
    <m/>
    <n v="1"/>
    <n v="37"/>
    <x v="0"/>
    <n v="23"/>
    <m/>
    <n v="23"/>
    <x v="1"/>
    <n v="2"/>
    <x v="0"/>
    <m/>
    <m/>
    <n v="22"/>
    <x v="2"/>
    <s v="14/06/2023"/>
    <d v="2023-06-14T00:00:00"/>
    <s v="2023027-89"/>
    <x v="3"/>
  </r>
  <r>
    <x v="429"/>
    <n v="2023027"/>
    <x v="27"/>
    <s v="Chickpea"/>
    <m/>
    <x v="9"/>
    <s v="N"/>
    <x v="2"/>
    <n v="90"/>
    <n v="45"/>
    <x v="2"/>
    <m/>
    <m/>
    <m/>
    <n v="6"/>
    <n v="12"/>
    <m/>
    <m/>
    <m/>
    <m/>
    <n v="2"/>
    <n v="37"/>
    <x v="1"/>
    <n v="23"/>
    <m/>
    <m/>
    <x v="1"/>
    <n v="2"/>
    <x v="0"/>
    <m/>
    <m/>
    <n v="22"/>
    <x v="2"/>
    <s v="14/06/2023"/>
    <d v="2023-06-14T00:00:00"/>
    <s v="2023027-90"/>
    <x v="3"/>
  </r>
  <r>
    <x v="431"/>
    <n v="2023027"/>
    <x v="27"/>
    <s v="Chickpea"/>
    <m/>
    <x v="3"/>
    <s v="N"/>
    <x v="2"/>
    <n v="91"/>
    <n v="46"/>
    <x v="2"/>
    <m/>
    <m/>
    <m/>
    <n v="6"/>
    <n v="12"/>
    <m/>
    <m/>
    <m/>
    <m/>
    <n v="4"/>
    <n v="37"/>
    <x v="2"/>
    <n v="23"/>
    <m/>
    <m/>
    <x v="1"/>
    <n v="3"/>
    <x v="0"/>
    <m/>
    <m/>
    <n v="22"/>
    <x v="2"/>
    <s v="14/06/2023"/>
    <d v="2023-06-14T00:00:00"/>
    <s v="2023027-91"/>
    <x v="3"/>
  </r>
  <r>
    <x v="431"/>
    <n v="2023027"/>
    <x v="27"/>
    <s v="Chickpea"/>
    <m/>
    <x v="3"/>
    <s v="N"/>
    <x v="1"/>
    <n v="92"/>
    <n v="46"/>
    <x v="2"/>
    <m/>
    <m/>
    <m/>
    <n v="6"/>
    <n v="12"/>
    <m/>
    <m/>
    <m/>
    <m/>
    <n v="5"/>
    <n v="37"/>
    <x v="3"/>
    <n v="23"/>
    <m/>
    <n v="26"/>
    <x v="1"/>
    <n v="3"/>
    <x v="0"/>
    <m/>
    <m/>
    <n v="22"/>
    <x v="2"/>
    <s v="14/06/2023"/>
    <d v="2023-06-14T00:00:00"/>
    <s v="2023027-92"/>
    <x v="3"/>
  </r>
  <r>
    <x v="430"/>
    <n v="2023027"/>
    <x v="27"/>
    <s v="Chickpea"/>
    <m/>
    <x v="4"/>
    <s v="Y"/>
    <x v="1"/>
    <n v="93"/>
    <n v="47"/>
    <x v="2"/>
    <m/>
    <m/>
    <m/>
    <n v="6"/>
    <n v="12"/>
    <m/>
    <m/>
    <m/>
    <m/>
    <n v="1"/>
    <n v="38"/>
    <x v="0"/>
    <n v="24"/>
    <m/>
    <n v="24"/>
    <x v="1"/>
    <n v="4"/>
    <x v="0"/>
    <m/>
    <m/>
    <n v="22"/>
    <x v="2"/>
    <s v="14/06/2023"/>
    <d v="2023-06-14T00:00:00"/>
    <s v="2023027-93"/>
    <x v="3"/>
  </r>
  <r>
    <x v="430"/>
    <n v="2023027"/>
    <x v="27"/>
    <s v="Chickpea"/>
    <m/>
    <x v="4"/>
    <s v="Y"/>
    <x v="2"/>
    <n v="94"/>
    <n v="47"/>
    <x v="2"/>
    <m/>
    <m/>
    <m/>
    <n v="6"/>
    <n v="12"/>
    <m/>
    <m/>
    <m/>
    <m/>
    <n v="2"/>
    <n v="38"/>
    <x v="1"/>
    <n v="24"/>
    <m/>
    <m/>
    <x v="1"/>
    <n v="4"/>
    <x v="0"/>
    <m/>
    <m/>
    <n v="22"/>
    <x v="2"/>
    <s v="14/06/2023"/>
    <d v="2023-06-14T00:00:00"/>
    <s v="2023027-94"/>
    <x v="3"/>
  </r>
  <r>
    <x v="428"/>
    <n v="2023027"/>
    <x v="27"/>
    <s v="Chickpea"/>
    <m/>
    <x v="8"/>
    <s v="Y"/>
    <x v="2"/>
    <n v="95"/>
    <n v="48"/>
    <x v="2"/>
    <m/>
    <m/>
    <m/>
    <n v="6"/>
    <n v="12"/>
    <m/>
    <m/>
    <m/>
    <m/>
    <n v="4"/>
    <n v="38"/>
    <x v="2"/>
    <n v="24"/>
    <m/>
    <m/>
    <x v="1"/>
    <n v="1"/>
    <x v="0"/>
    <m/>
    <m/>
    <n v="22"/>
    <x v="2"/>
    <s v="14/06/2023"/>
    <d v="2023-06-14T00:00:00"/>
    <s v="2023027-95"/>
    <x v="3"/>
  </r>
  <r>
    <x v="428"/>
    <n v="2023027"/>
    <x v="27"/>
    <s v="Chickpea"/>
    <m/>
    <x v="8"/>
    <s v="Y"/>
    <x v="1"/>
    <n v="96"/>
    <n v="48"/>
    <x v="2"/>
    <m/>
    <m/>
    <m/>
    <n v="6"/>
    <n v="12"/>
    <m/>
    <m/>
    <m/>
    <m/>
    <n v="5"/>
    <n v="38"/>
    <x v="3"/>
    <n v="24"/>
    <m/>
    <n v="25"/>
    <x v="1"/>
    <n v="1"/>
    <x v="0"/>
    <m/>
    <m/>
    <n v="22"/>
    <x v="2"/>
    <s v="14/06/2023"/>
    <d v="2023-06-14T00:00:00"/>
    <s v="2023027-96"/>
    <x v="3"/>
  </r>
  <r>
    <x v="432"/>
    <n v="2023028"/>
    <x v="28"/>
    <s v="Fababean"/>
    <m/>
    <x v="29"/>
    <s v="N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2"/>
    <s v="18/05/2023"/>
    <d v="2023-05-18T00:00:00"/>
    <s v="2023028-1"/>
    <x v="4"/>
  </r>
  <r>
    <x v="433"/>
    <n v="2023028"/>
    <x v="28"/>
    <s v="Fababean"/>
    <m/>
    <x v="10"/>
    <s v="Y"/>
    <x v="2"/>
    <n v="2"/>
    <n v="2"/>
    <x v="0"/>
    <m/>
    <m/>
    <m/>
    <n v="1"/>
    <m/>
    <m/>
    <m/>
    <m/>
    <m/>
    <n v="2"/>
    <n v="2"/>
    <x v="1"/>
    <n v="1"/>
    <m/>
    <n v="2"/>
    <x v="0"/>
    <n v="6"/>
    <x v="0"/>
    <m/>
    <m/>
    <n v="30"/>
    <x v="2"/>
    <s v="18/05/2023"/>
    <d v="2023-05-18T00:00:00"/>
    <s v="2023028-2"/>
    <x v="4"/>
  </r>
  <r>
    <x v="434"/>
    <n v="2023028"/>
    <x v="28"/>
    <s v="Fababean"/>
    <m/>
    <x v="13"/>
    <s v="Y"/>
    <x v="2"/>
    <n v="3"/>
    <n v="3"/>
    <x v="0"/>
    <m/>
    <m/>
    <m/>
    <n v="1"/>
    <m/>
    <m/>
    <m/>
    <m/>
    <m/>
    <n v="3"/>
    <n v="2"/>
    <x v="2"/>
    <n v="1"/>
    <m/>
    <n v="3"/>
    <x v="0"/>
    <n v="5"/>
    <x v="0"/>
    <m/>
    <m/>
    <n v="30"/>
    <x v="2"/>
    <s v="18/05/2023"/>
    <d v="2023-05-18T00:00:00"/>
    <s v="2023028-3"/>
    <x v="4"/>
  </r>
  <r>
    <x v="435"/>
    <n v="2023028"/>
    <x v="28"/>
    <s v="Fababean"/>
    <m/>
    <x v="11"/>
    <s v="N"/>
    <x v="2"/>
    <n v="4"/>
    <n v="4"/>
    <x v="0"/>
    <m/>
    <m/>
    <m/>
    <n v="1"/>
    <m/>
    <m/>
    <m/>
    <m/>
    <m/>
    <n v="4"/>
    <n v="2"/>
    <x v="3"/>
    <n v="1"/>
    <m/>
    <n v="4"/>
    <x v="0"/>
    <n v="3"/>
    <x v="0"/>
    <m/>
    <m/>
    <n v="30"/>
    <x v="2"/>
    <s v="18/05/2023"/>
    <d v="2023-05-18T00:00:00"/>
    <s v="2023028-4"/>
    <x v="4"/>
  </r>
  <r>
    <x v="436"/>
    <n v="2023028"/>
    <x v="28"/>
    <s v="Fababean"/>
    <m/>
    <x v="30"/>
    <s v="N"/>
    <x v="2"/>
    <n v="5"/>
    <n v="5"/>
    <x v="0"/>
    <m/>
    <m/>
    <m/>
    <n v="1"/>
    <m/>
    <m/>
    <m/>
    <m/>
    <m/>
    <n v="5"/>
    <n v="2"/>
    <x v="4"/>
    <n v="1"/>
    <m/>
    <n v="5"/>
    <x v="0"/>
    <n v="2"/>
    <x v="0"/>
    <m/>
    <m/>
    <n v="30"/>
    <x v="2"/>
    <s v="18/05/2023"/>
    <d v="2023-05-18T00:00:00"/>
    <s v="2023028-5"/>
    <x v="4"/>
  </r>
  <r>
    <x v="437"/>
    <n v="2023028"/>
    <x v="28"/>
    <s v="Fababean"/>
    <m/>
    <x v="12"/>
    <s v="N"/>
    <x v="2"/>
    <n v="6"/>
    <n v="6"/>
    <x v="0"/>
    <m/>
    <m/>
    <m/>
    <n v="1"/>
    <m/>
    <m/>
    <m/>
    <m/>
    <m/>
    <n v="6"/>
    <n v="2"/>
    <x v="5"/>
    <n v="1"/>
    <m/>
    <n v="6"/>
    <x v="0"/>
    <n v="1"/>
    <x v="0"/>
    <m/>
    <m/>
    <n v="30"/>
    <x v="2"/>
    <s v="18/05/2023"/>
    <d v="2023-05-18T00:00:00"/>
    <s v="2023028-6"/>
    <x v="4"/>
  </r>
  <r>
    <x v="438"/>
    <n v="2023028"/>
    <x v="28"/>
    <s v="Fababean"/>
    <m/>
    <x v="12"/>
    <s v="N"/>
    <x v="2"/>
    <n v="7"/>
    <n v="7"/>
    <x v="0"/>
    <m/>
    <m/>
    <m/>
    <n v="2"/>
    <m/>
    <m/>
    <m/>
    <m/>
    <m/>
    <n v="1"/>
    <n v="5"/>
    <x v="0"/>
    <n v="2"/>
    <m/>
    <n v="12"/>
    <x v="0"/>
    <n v="1"/>
    <x v="0"/>
    <m/>
    <m/>
    <n v="30"/>
    <x v="1"/>
    <s v="24/04/2023"/>
    <d v="2023-04-24T00:00:00"/>
    <s v="2023028-7"/>
    <x v="4"/>
  </r>
  <r>
    <x v="439"/>
    <n v="2023028"/>
    <x v="28"/>
    <s v="Fababean"/>
    <m/>
    <x v="11"/>
    <s v="N"/>
    <x v="2"/>
    <n v="8"/>
    <n v="8"/>
    <x v="0"/>
    <m/>
    <m/>
    <m/>
    <n v="2"/>
    <m/>
    <m/>
    <m/>
    <m/>
    <m/>
    <n v="2"/>
    <n v="5"/>
    <x v="1"/>
    <n v="2"/>
    <m/>
    <n v="11"/>
    <x v="0"/>
    <n v="3"/>
    <x v="0"/>
    <m/>
    <m/>
    <n v="30"/>
    <x v="1"/>
    <s v="24/04/2023"/>
    <d v="2023-04-24T00:00:00"/>
    <s v="2023028-8"/>
    <x v="4"/>
  </r>
  <r>
    <x v="440"/>
    <n v="2023028"/>
    <x v="28"/>
    <s v="Fababean"/>
    <m/>
    <x v="30"/>
    <s v="N"/>
    <x v="2"/>
    <n v="9"/>
    <n v="9"/>
    <x v="0"/>
    <m/>
    <m/>
    <m/>
    <n v="2"/>
    <m/>
    <m/>
    <m/>
    <m/>
    <m/>
    <n v="3"/>
    <n v="5"/>
    <x v="2"/>
    <n v="2"/>
    <m/>
    <n v="10"/>
    <x v="0"/>
    <n v="2"/>
    <x v="0"/>
    <m/>
    <m/>
    <n v="30"/>
    <x v="1"/>
    <s v="24/04/2023"/>
    <d v="2023-04-24T00:00:00"/>
    <s v="2023028-9"/>
    <x v="4"/>
  </r>
  <r>
    <x v="441"/>
    <n v="2023028"/>
    <x v="28"/>
    <s v="Fababean"/>
    <m/>
    <x v="29"/>
    <s v="N"/>
    <x v="2"/>
    <n v="10"/>
    <n v="10"/>
    <x v="0"/>
    <m/>
    <m/>
    <m/>
    <n v="2"/>
    <m/>
    <m/>
    <m/>
    <m/>
    <m/>
    <n v="4"/>
    <n v="5"/>
    <x v="3"/>
    <n v="2"/>
    <m/>
    <n v="9"/>
    <x v="0"/>
    <n v="4"/>
    <x v="0"/>
    <m/>
    <m/>
    <n v="30"/>
    <x v="1"/>
    <s v="24/04/2023"/>
    <d v="2023-04-24T00:00:00"/>
    <s v="2023028-10"/>
    <x v="4"/>
  </r>
  <r>
    <x v="442"/>
    <n v="2023028"/>
    <x v="28"/>
    <s v="Fababean"/>
    <m/>
    <x v="13"/>
    <s v="Y"/>
    <x v="2"/>
    <n v="11"/>
    <n v="11"/>
    <x v="0"/>
    <m/>
    <m/>
    <m/>
    <n v="2"/>
    <m/>
    <m/>
    <m/>
    <m/>
    <m/>
    <n v="5"/>
    <n v="5"/>
    <x v="4"/>
    <n v="2"/>
    <m/>
    <n v="8"/>
    <x v="0"/>
    <n v="5"/>
    <x v="0"/>
    <m/>
    <m/>
    <n v="30"/>
    <x v="1"/>
    <s v="24/04/2023"/>
    <d v="2023-04-24T00:00:00"/>
    <s v="2023028-11"/>
    <x v="4"/>
  </r>
  <r>
    <x v="443"/>
    <n v="2023028"/>
    <x v="28"/>
    <s v="Fababean"/>
    <m/>
    <x v="10"/>
    <s v="Y"/>
    <x v="2"/>
    <n v="12"/>
    <n v="12"/>
    <x v="0"/>
    <m/>
    <m/>
    <m/>
    <n v="2"/>
    <m/>
    <m/>
    <m/>
    <m/>
    <m/>
    <n v="6"/>
    <n v="5"/>
    <x v="5"/>
    <n v="2"/>
    <m/>
    <n v="7"/>
    <x v="0"/>
    <n v="6"/>
    <x v="0"/>
    <m/>
    <m/>
    <n v="30"/>
    <x v="1"/>
    <s v="24/04/2023"/>
    <d v="2023-04-24T00:00:00"/>
    <s v="2023028-12"/>
    <x v="4"/>
  </r>
  <r>
    <x v="443"/>
    <n v="2023028"/>
    <x v="28"/>
    <s v="Fababean"/>
    <m/>
    <x v="10"/>
    <s v="Y"/>
    <x v="2"/>
    <n v="13"/>
    <n v="13"/>
    <x v="1"/>
    <m/>
    <m/>
    <m/>
    <n v="3"/>
    <m/>
    <m/>
    <m/>
    <m/>
    <m/>
    <n v="1"/>
    <n v="8"/>
    <x v="0"/>
    <n v="3"/>
    <m/>
    <n v="13"/>
    <x v="0"/>
    <n v="6"/>
    <x v="0"/>
    <m/>
    <m/>
    <n v="30"/>
    <x v="1"/>
    <s v="24/04/2023"/>
    <d v="2023-04-24T00:00:00"/>
    <s v="2023028-13"/>
    <x v="4"/>
  </r>
  <r>
    <x v="440"/>
    <n v="2023028"/>
    <x v="28"/>
    <s v="Fababean"/>
    <m/>
    <x v="30"/>
    <s v="N"/>
    <x v="2"/>
    <n v="14"/>
    <n v="14"/>
    <x v="1"/>
    <m/>
    <m/>
    <m/>
    <n v="3"/>
    <m/>
    <m/>
    <m/>
    <m/>
    <m/>
    <n v="2"/>
    <n v="8"/>
    <x v="1"/>
    <n v="3"/>
    <m/>
    <n v="14"/>
    <x v="0"/>
    <n v="2"/>
    <x v="0"/>
    <m/>
    <m/>
    <n v="30"/>
    <x v="1"/>
    <s v="24/04/2023"/>
    <d v="2023-04-24T00:00:00"/>
    <s v="2023028-14"/>
    <x v="4"/>
  </r>
  <r>
    <x v="441"/>
    <n v="2023028"/>
    <x v="28"/>
    <s v="Fababean"/>
    <m/>
    <x v="29"/>
    <s v="N"/>
    <x v="2"/>
    <n v="15"/>
    <n v="15"/>
    <x v="1"/>
    <m/>
    <m/>
    <m/>
    <n v="3"/>
    <m/>
    <m/>
    <m/>
    <m/>
    <m/>
    <n v="3"/>
    <n v="8"/>
    <x v="2"/>
    <n v="3"/>
    <m/>
    <n v="15"/>
    <x v="0"/>
    <n v="4"/>
    <x v="0"/>
    <m/>
    <m/>
    <n v="30"/>
    <x v="1"/>
    <s v="24/04/2023"/>
    <d v="2023-04-24T00:00:00"/>
    <s v="2023028-15"/>
    <x v="4"/>
  </r>
  <r>
    <x v="439"/>
    <n v="2023028"/>
    <x v="28"/>
    <s v="Fababean"/>
    <m/>
    <x v="11"/>
    <s v="N"/>
    <x v="2"/>
    <n v="16"/>
    <n v="16"/>
    <x v="1"/>
    <m/>
    <m/>
    <m/>
    <n v="3"/>
    <m/>
    <m/>
    <m/>
    <m/>
    <m/>
    <n v="4"/>
    <n v="8"/>
    <x v="3"/>
    <n v="3"/>
    <m/>
    <n v="16"/>
    <x v="0"/>
    <n v="3"/>
    <x v="0"/>
    <m/>
    <m/>
    <n v="30"/>
    <x v="1"/>
    <s v="24/04/2023"/>
    <d v="2023-04-24T00:00:00"/>
    <s v="2023028-16"/>
    <x v="4"/>
  </r>
  <r>
    <x v="438"/>
    <n v="2023028"/>
    <x v="28"/>
    <s v="Fababean"/>
    <m/>
    <x v="12"/>
    <s v="N"/>
    <x v="2"/>
    <n v="17"/>
    <n v="17"/>
    <x v="1"/>
    <m/>
    <m/>
    <m/>
    <n v="3"/>
    <m/>
    <m/>
    <m/>
    <m/>
    <m/>
    <n v="5"/>
    <n v="8"/>
    <x v="4"/>
    <n v="3"/>
    <m/>
    <n v="17"/>
    <x v="0"/>
    <n v="1"/>
    <x v="0"/>
    <m/>
    <m/>
    <n v="30"/>
    <x v="1"/>
    <s v="24/04/2023"/>
    <d v="2023-04-24T00:00:00"/>
    <s v="2023028-17"/>
    <x v="4"/>
  </r>
  <r>
    <x v="442"/>
    <n v="2023028"/>
    <x v="28"/>
    <s v="Fababean"/>
    <m/>
    <x v="13"/>
    <s v="Y"/>
    <x v="2"/>
    <n v="18"/>
    <n v="18"/>
    <x v="1"/>
    <m/>
    <m/>
    <m/>
    <n v="3"/>
    <m/>
    <m/>
    <m/>
    <m/>
    <m/>
    <n v="6"/>
    <n v="8"/>
    <x v="5"/>
    <n v="3"/>
    <m/>
    <n v="18"/>
    <x v="0"/>
    <n v="5"/>
    <x v="0"/>
    <m/>
    <m/>
    <n v="30"/>
    <x v="1"/>
    <s v="24/04/2023"/>
    <d v="2023-04-24T00:00:00"/>
    <s v="2023028-18"/>
    <x v="4"/>
  </r>
  <r>
    <x v="436"/>
    <n v="2023028"/>
    <x v="28"/>
    <s v="Fababean"/>
    <m/>
    <x v="30"/>
    <s v="N"/>
    <x v="2"/>
    <n v="19"/>
    <n v="19"/>
    <x v="1"/>
    <m/>
    <m/>
    <m/>
    <n v="4"/>
    <m/>
    <m/>
    <m/>
    <m/>
    <m/>
    <n v="1"/>
    <n v="11"/>
    <x v="0"/>
    <n v="4"/>
    <m/>
    <n v="24"/>
    <x v="0"/>
    <n v="2"/>
    <x v="0"/>
    <m/>
    <m/>
    <n v="30"/>
    <x v="2"/>
    <s v="18/05/2023"/>
    <d v="2023-05-18T00:00:00"/>
    <s v="2023028-19"/>
    <x v="4"/>
  </r>
  <r>
    <x v="437"/>
    <n v="2023028"/>
    <x v="28"/>
    <s v="Fababean"/>
    <m/>
    <x v="12"/>
    <s v="N"/>
    <x v="2"/>
    <n v="20"/>
    <n v="20"/>
    <x v="1"/>
    <m/>
    <m/>
    <m/>
    <n v="4"/>
    <m/>
    <m/>
    <m/>
    <m/>
    <m/>
    <n v="2"/>
    <n v="11"/>
    <x v="1"/>
    <n v="4"/>
    <m/>
    <n v="23"/>
    <x v="0"/>
    <n v="1"/>
    <x v="0"/>
    <m/>
    <m/>
    <n v="30"/>
    <x v="2"/>
    <s v="18/05/2023"/>
    <d v="2023-05-18T00:00:00"/>
    <s v="2023028-20"/>
    <x v="4"/>
  </r>
  <r>
    <x v="433"/>
    <n v="2023028"/>
    <x v="28"/>
    <s v="Fababean"/>
    <m/>
    <x v="10"/>
    <s v="Y"/>
    <x v="2"/>
    <n v="21"/>
    <n v="21"/>
    <x v="1"/>
    <m/>
    <m/>
    <m/>
    <n v="4"/>
    <m/>
    <m/>
    <m/>
    <m/>
    <m/>
    <n v="3"/>
    <n v="11"/>
    <x v="2"/>
    <n v="4"/>
    <m/>
    <n v="22"/>
    <x v="0"/>
    <n v="6"/>
    <x v="0"/>
    <m/>
    <m/>
    <n v="30"/>
    <x v="2"/>
    <s v="18/05/2023"/>
    <d v="2023-05-18T00:00:00"/>
    <s v="2023028-21"/>
    <x v="4"/>
  </r>
  <r>
    <x v="434"/>
    <n v="2023028"/>
    <x v="28"/>
    <s v="Fababean"/>
    <m/>
    <x v="13"/>
    <s v="Y"/>
    <x v="2"/>
    <n v="22"/>
    <n v="22"/>
    <x v="1"/>
    <m/>
    <m/>
    <m/>
    <n v="4"/>
    <m/>
    <m/>
    <m/>
    <m/>
    <m/>
    <n v="4"/>
    <n v="11"/>
    <x v="3"/>
    <n v="4"/>
    <m/>
    <n v="21"/>
    <x v="0"/>
    <n v="5"/>
    <x v="0"/>
    <m/>
    <m/>
    <n v="30"/>
    <x v="2"/>
    <s v="18/05/2023"/>
    <d v="2023-05-18T00:00:00"/>
    <s v="2023028-22"/>
    <x v="4"/>
  </r>
  <r>
    <x v="432"/>
    <n v="2023028"/>
    <x v="28"/>
    <s v="Fababean"/>
    <m/>
    <x v="29"/>
    <s v="N"/>
    <x v="2"/>
    <n v="23"/>
    <n v="23"/>
    <x v="1"/>
    <m/>
    <m/>
    <m/>
    <n v="4"/>
    <m/>
    <m/>
    <m/>
    <m/>
    <m/>
    <n v="5"/>
    <n v="11"/>
    <x v="4"/>
    <n v="4"/>
    <m/>
    <n v="20"/>
    <x v="0"/>
    <n v="4"/>
    <x v="0"/>
    <m/>
    <m/>
    <n v="30"/>
    <x v="2"/>
    <s v="18/05/2023"/>
    <d v="2023-05-18T00:00:00"/>
    <s v="2023028-23"/>
    <x v="4"/>
  </r>
  <r>
    <x v="435"/>
    <n v="2023028"/>
    <x v="28"/>
    <s v="Fababean"/>
    <m/>
    <x v="11"/>
    <s v="N"/>
    <x v="2"/>
    <n v="24"/>
    <n v="24"/>
    <x v="1"/>
    <m/>
    <m/>
    <m/>
    <n v="4"/>
    <m/>
    <m/>
    <m/>
    <m/>
    <m/>
    <n v="6"/>
    <n v="11"/>
    <x v="5"/>
    <n v="4"/>
    <m/>
    <n v="19"/>
    <x v="0"/>
    <n v="3"/>
    <x v="0"/>
    <m/>
    <m/>
    <n v="30"/>
    <x v="2"/>
    <s v="18/05/2023"/>
    <d v="2023-05-18T00:00:00"/>
    <s v="2023028-24"/>
    <x v="4"/>
  </r>
  <r>
    <x v="437"/>
    <n v="2023028"/>
    <x v="28"/>
    <s v="Fababean"/>
    <m/>
    <x v="12"/>
    <s v="N"/>
    <x v="2"/>
    <n v="25"/>
    <n v="25"/>
    <x v="2"/>
    <m/>
    <m/>
    <m/>
    <n v="5"/>
    <m/>
    <m/>
    <m/>
    <m/>
    <m/>
    <n v="1"/>
    <n v="14"/>
    <x v="0"/>
    <n v="5"/>
    <m/>
    <n v="25"/>
    <x v="0"/>
    <n v="1"/>
    <x v="0"/>
    <m/>
    <m/>
    <n v="30"/>
    <x v="2"/>
    <s v="18/05/2023"/>
    <d v="2023-05-18T00:00:00"/>
    <s v="2023028-25"/>
    <x v="4"/>
  </r>
  <r>
    <x v="435"/>
    <n v="2023028"/>
    <x v="28"/>
    <s v="Fababean"/>
    <m/>
    <x v="11"/>
    <s v="N"/>
    <x v="2"/>
    <n v="26"/>
    <n v="26"/>
    <x v="2"/>
    <m/>
    <m/>
    <m/>
    <n v="5"/>
    <m/>
    <m/>
    <m/>
    <m/>
    <m/>
    <n v="2"/>
    <n v="14"/>
    <x v="1"/>
    <n v="5"/>
    <m/>
    <n v="26"/>
    <x v="0"/>
    <n v="3"/>
    <x v="0"/>
    <m/>
    <m/>
    <n v="30"/>
    <x v="2"/>
    <s v="18/05/2023"/>
    <d v="2023-05-18T00:00:00"/>
    <s v="2023028-26"/>
    <x v="4"/>
  </r>
  <r>
    <x v="432"/>
    <n v="2023028"/>
    <x v="28"/>
    <s v="Fababean"/>
    <m/>
    <x v="29"/>
    <s v="N"/>
    <x v="2"/>
    <n v="27"/>
    <n v="27"/>
    <x v="2"/>
    <m/>
    <m/>
    <m/>
    <n v="5"/>
    <m/>
    <m/>
    <m/>
    <m/>
    <m/>
    <n v="3"/>
    <n v="14"/>
    <x v="2"/>
    <n v="5"/>
    <m/>
    <n v="27"/>
    <x v="0"/>
    <n v="4"/>
    <x v="0"/>
    <m/>
    <m/>
    <n v="30"/>
    <x v="2"/>
    <s v="18/05/2023"/>
    <d v="2023-05-18T00:00:00"/>
    <s v="2023028-27"/>
    <x v="4"/>
  </r>
  <r>
    <x v="436"/>
    <n v="2023028"/>
    <x v="28"/>
    <s v="Fababean"/>
    <m/>
    <x v="30"/>
    <s v="N"/>
    <x v="2"/>
    <n v="28"/>
    <n v="28"/>
    <x v="2"/>
    <m/>
    <m/>
    <m/>
    <n v="5"/>
    <m/>
    <m/>
    <m/>
    <m/>
    <m/>
    <n v="4"/>
    <n v="14"/>
    <x v="3"/>
    <n v="5"/>
    <m/>
    <n v="28"/>
    <x v="0"/>
    <n v="2"/>
    <x v="0"/>
    <m/>
    <m/>
    <n v="30"/>
    <x v="2"/>
    <s v="18/05/2023"/>
    <d v="2023-05-18T00:00:00"/>
    <s v="2023028-28"/>
    <x v="4"/>
  </r>
  <r>
    <x v="434"/>
    <n v="2023028"/>
    <x v="28"/>
    <s v="Fababean"/>
    <m/>
    <x v="13"/>
    <s v="Y"/>
    <x v="2"/>
    <n v="29"/>
    <n v="29"/>
    <x v="2"/>
    <m/>
    <m/>
    <m/>
    <n v="5"/>
    <m/>
    <m/>
    <m/>
    <m/>
    <m/>
    <n v="5"/>
    <n v="14"/>
    <x v="4"/>
    <n v="5"/>
    <m/>
    <n v="29"/>
    <x v="0"/>
    <n v="5"/>
    <x v="0"/>
    <m/>
    <m/>
    <n v="30"/>
    <x v="2"/>
    <s v="18/05/2023"/>
    <d v="2023-05-18T00:00:00"/>
    <s v="2023028-29"/>
    <x v="4"/>
  </r>
  <r>
    <x v="433"/>
    <n v="2023028"/>
    <x v="28"/>
    <s v="Fababean"/>
    <m/>
    <x v="10"/>
    <s v="Y"/>
    <x v="2"/>
    <n v="30"/>
    <n v="30"/>
    <x v="2"/>
    <m/>
    <m/>
    <m/>
    <n v="5"/>
    <m/>
    <m/>
    <m/>
    <m/>
    <m/>
    <n v="6"/>
    <n v="14"/>
    <x v="5"/>
    <n v="5"/>
    <m/>
    <n v="30"/>
    <x v="0"/>
    <n v="6"/>
    <x v="0"/>
    <m/>
    <m/>
    <n v="30"/>
    <x v="2"/>
    <s v="18/05/2023"/>
    <d v="2023-05-18T00:00:00"/>
    <s v="2023028-30"/>
    <x v="4"/>
  </r>
  <r>
    <x v="442"/>
    <n v="2023028"/>
    <x v="28"/>
    <s v="Fababean"/>
    <m/>
    <x v="13"/>
    <s v="Y"/>
    <x v="2"/>
    <n v="31"/>
    <n v="31"/>
    <x v="2"/>
    <m/>
    <m/>
    <m/>
    <n v="6"/>
    <m/>
    <m/>
    <m/>
    <m/>
    <m/>
    <n v="1"/>
    <n v="17"/>
    <x v="0"/>
    <n v="6"/>
    <m/>
    <n v="36"/>
    <x v="0"/>
    <n v="5"/>
    <x v="0"/>
    <m/>
    <m/>
    <n v="30"/>
    <x v="1"/>
    <s v="24/04/2023"/>
    <d v="2023-04-24T00:00:00"/>
    <s v="2023028-31"/>
    <x v="4"/>
  </r>
  <r>
    <x v="441"/>
    <n v="2023028"/>
    <x v="28"/>
    <s v="Fababean"/>
    <m/>
    <x v="29"/>
    <s v="N"/>
    <x v="2"/>
    <n v="32"/>
    <n v="32"/>
    <x v="2"/>
    <m/>
    <m/>
    <m/>
    <n v="6"/>
    <m/>
    <m/>
    <m/>
    <m/>
    <m/>
    <n v="2"/>
    <n v="17"/>
    <x v="1"/>
    <n v="6"/>
    <m/>
    <n v="35"/>
    <x v="0"/>
    <n v="4"/>
    <x v="0"/>
    <m/>
    <m/>
    <n v="30"/>
    <x v="1"/>
    <s v="24/04/2023"/>
    <d v="2023-04-24T00:00:00"/>
    <s v="2023028-32"/>
    <x v="4"/>
  </r>
  <r>
    <x v="438"/>
    <n v="2023028"/>
    <x v="28"/>
    <s v="Fababean"/>
    <m/>
    <x v="12"/>
    <s v="N"/>
    <x v="2"/>
    <n v="33"/>
    <n v="33"/>
    <x v="2"/>
    <m/>
    <m/>
    <m/>
    <n v="6"/>
    <m/>
    <m/>
    <m/>
    <m/>
    <m/>
    <n v="3"/>
    <n v="17"/>
    <x v="2"/>
    <n v="6"/>
    <m/>
    <n v="34"/>
    <x v="0"/>
    <n v="1"/>
    <x v="0"/>
    <m/>
    <m/>
    <n v="30"/>
    <x v="1"/>
    <s v="24/04/2023"/>
    <d v="2023-04-24T00:00:00"/>
    <s v="2023028-33"/>
    <x v="4"/>
  </r>
  <r>
    <x v="443"/>
    <n v="2023028"/>
    <x v="28"/>
    <s v="Fababean"/>
    <m/>
    <x v="10"/>
    <s v="Y"/>
    <x v="2"/>
    <n v="34"/>
    <n v="34"/>
    <x v="2"/>
    <m/>
    <m/>
    <m/>
    <n v="6"/>
    <m/>
    <m/>
    <m/>
    <m/>
    <m/>
    <n v="4"/>
    <n v="17"/>
    <x v="3"/>
    <n v="6"/>
    <m/>
    <n v="33"/>
    <x v="0"/>
    <n v="6"/>
    <x v="0"/>
    <m/>
    <m/>
    <n v="30"/>
    <x v="1"/>
    <s v="24/04/2023"/>
    <d v="2023-04-24T00:00:00"/>
    <s v="2023028-34"/>
    <x v="4"/>
  </r>
  <r>
    <x v="439"/>
    <n v="2023028"/>
    <x v="28"/>
    <s v="Fababean"/>
    <m/>
    <x v="11"/>
    <s v="N"/>
    <x v="2"/>
    <n v="35"/>
    <n v="35"/>
    <x v="2"/>
    <m/>
    <m/>
    <m/>
    <n v="6"/>
    <m/>
    <m/>
    <m/>
    <m/>
    <m/>
    <n v="5"/>
    <n v="17"/>
    <x v="4"/>
    <n v="6"/>
    <m/>
    <n v="32"/>
    <x v="0"/>
    <n v="3"/>
    <x v="0"/>
    <m/>
    <m/>
    <n v="30"/>
    <x v="1"/>
    <s v="24/04/2023"/>
    <d v="2023-04-24T00:00:00"/>
    <s v="2023028-35"/>
    <x v="4"/>
  </r>
  <r>
    <x v="440"/>
    <n v="2023028"/>
    <x v="28"/>
    <s v="Fababean"/>
    <m/>
    <x v="30"/>
    <s v="N"/>
    <x v="2"/>
    <n v="36"/>
    <n v="36"/>
    <x v="2"/>
    <m/>
    <m/>
    <m/>
    <n v="6"/>
    <m/>
    <m/>
    <m/>
    <m/>
    <m/>
    <n v="6"/>
    <n v="17"/>
    <x v="5"/>
    <n v="6"/>
    <m/>
    <n v="31"/>
    <x v="0"/>
    <n v="2"/>
    <x v="0"/>
    <m/>
    <m/>
    <n v="30"/>
    <x v="1"/>
    <s v="24/04/2023"/>
    <d v="2023-04-24T00:00:00"/>
    <s v="2023028-36"/>
    <x v="4"/>
  </r>
  <r>
    <x v="440"/>
    <n v="2023028"/>
    <x v="28"/>
    <s v="Fababean"/>
    <m/>
    <x v="30"/>
    <s v="N"/>
    <x v="2"/>
    <n v="37"/>
    <n v="37"/>
    <x v="3"/>
    <m/>
    <m/>
    <m/>
    <n v="7"/>
    <m/>
    <m/>
    <m/>
    <m/>
    <m/>
    <n v="1"/>
    <n v="20"/>
    <x v="0"/>
    <n v="7"/>
    <m/>
    <n v="37"/>
    <x v="0"/>
    <n v="2"/>
    <x v="0"/>
    <m/>
    <m/>
    <n v="30"/>
    <x v="1"/>
    <s v="24/04/2023"/>
    <d v="2023-04-24T00:00:00"/>
    <s v="2023028-37"/>
    <x v="4"/>
  </r>
  <r>
    <x v="443"/>
    <n v="2023028"/>
    <x v="28"/>
    <s v="Fababean"/>
    <m/>
    <x v="10"/>
    <s v="Y"/>
    <x v="2"/>
    <n v="38"/>
    <n v="38"/>
    <x v="3"/>
    <m/>
    <m/>
    <m/>
    <n v="7"/>
    <m/>
    <m/>
    <m/>
    <m/>
    <m/>
    <n v="2"/>
    <n v="20"/>
    <x v="1"/>
    <n v="7"/>
    <m/>
    <n v="38"/>
    <x v="0"/>
    <n v="6"/>
    <x v="0"/>
    <m/>
    <m/>
    <n v="30"/>
    <x v="1"/>
    <s v="24/04/2023"/>
    <d v="2023-04-24T00:00:00"/>
    <s v="2023028-38"/>
    <x v="4"/>
  </r>
  <r>
    <x v="439"/>
    <n v="2023028"/>
    <x v="28"/>
    <s v="Fababean"/>
    <m/>
    <x v="11"/>
    <s v="N"/>
    <x v="2"/>
    <n v="39"/>
    <n v="39"/>
    <x v="3"/>
    <m/>
    <m/>
    <m/>
    <n v="7"/>
    <m/>
    <m/>
    <m/>
    <m/>
    <m/>
    <n v="3"/>
    <n v="20"/>
    <x v="2"/>
    <n v="7"/>
    <m/>
    <n v="39"/>
    <x v="0"/>
    <n v="3"/>
    <x v="0"/>
    <m/>
    <m/>
    <n v="30"/>
    <x v="1"/>
    <s v="24/04/2023"/>
    <d v="2023-04-24T00:00:00"/>
    <s v="2023028-39"/>
    <x v="4"/>
  </r>
  <r>
    <x v="442"/>
    <n v="2023028"/>
    <x v="28"/>
    <s v="Fababean"/>
    <m/>
    <x v="13"/>
    <s v="Y"/>
    <x v="2"/>
    <n v="40"/>
    <n v="40"/>
    <x v="3"/>
    <m/>
    <m/>
    <m/>
    <n v="7"/>
    <m/>
    <m/>
    <m/>
    <m/>
    <m/>
    <n v="4"/>
    <n v="20"/>
    <x v="3"/>
    <n v="7"/>
    <m/>
    <n v="40"/>
    <x v="0"/>
    <n v="5"/>
    <x v="0"/>
    <m/>
    <m/>
    <n v="30"/>
    <x v="1"/>
    <s v="24/04/2023"/>
    <d v="2023-04-24T00:00:00"/>
    <s v="2023028-40"/>
    <x v="4"/>
  </r>
  <r>
    <x v="441"/>
    <n v="2023028"/>
    <x v="28"/>
    <s v="Fababean"/>
    <m/>
    <x v="29"/>
    <s v="N"/>
    <x v="2"/>
    <n v="41"/>
    <n v="41"/>
    <x v="3"/>
    <m/>
    <m/>
    <m/>
    <n v="7"/>
    <m/>
    <m/>
    <m/>
    <m/>
    <m/>
    <n v="5"/>
    <n v="20"/>
    <x v="4"/>
    <n v="7"/>
    <m/>
    <n v="41"/>
    <x v="0"/>
    <n v="4"/>
    <x v="0"/>
    <m/>
    <m/>
    <n v="30"/>
    <x v="1"/>
    <s v="24/04/2023"/>
    <d v="2023-04-24T00:00:00"/>
    <s v="2023028-41"/>
    <x v="4"/>
  </r>
  <r>
    <x v="438"/>
    <n v="2023028"/>
    <x v="28"/>
    <s v="Fababean"/>
    <m/>
    <x v="12"/>
    <s v="N"/>
    <x v="2"/>
    <n v="42"/>
    <n v="42"/>
    <x v="3"/>
    <m/>
    <m/>
    <m/>
    <n v="7"/>
    <m/>
    <m/>
    <m/>
    <m/>
    <m/>
    <n v="6"/>
    <n v="20"/>
    <x v="5"/>
    <n v="7"/>
    <m/>
    <n v="42"/>
    <x v="0"/>
    <n v="1"/>
    <x v="0"/>
    <m/>
    <m/>
    <n v="30"/>
    <x v="1"/>
    <s v="24/04/2023"/>
    <d v="2023-04-24T00:00:00"/>
    <s v="2023028-42"/>
    <x v="4"/>
  </r>
  <r>
    <x v="435"/>
    <n v="2023028"/>
    <x v="28"/>
    <s v="Fababean"/>
    <m/>
    <x v="11"/>
    <s v="N"/>
    <x v="2"/>
    <n v="43"/>
    <n v="43"/>
    <x v="3"/>
    <m/>
    <m/>
    <m/>
    <n v="8"/>
    <m/>
    <m/>
    <m/>
    <m/>
    <m/>
    <n v="1"/>
    <n v="23"/>
    <x v="0"/>
    <n v="8"/>
    <m/>
    <n v="48"/>
    <x v="0"/>
    <n v="3"/>
    <x v="0"/>
    <m/>
    <m/>
    <n v="30"/>
    <x v="2"/>
    <s v="18/05/2023"/>
    <d v="2023-05-18T00:00:00"/>
    <s v="2023028-43"/>
    <x v="4"/>
  </r>
  <r>
    <x v="434"/>
    <n v="2023028"/>
    <x v="28"/>
    <s v="Fababean"/>
    <m/>
    <x v="13"/>
    <s v="Y"/>
    <x v="2"/>
    <n v="44"/>
    <n v="44"/>
    <x v="3"/>
    <m/>
    <m/>
    <m/>
    <n v="8"/>
    <m/>
    <m/>
    <m/>
    <m/>
    <m/>
    <n v="2"/>
    <n v="23"/>
    <x v="1"/>
    <n v="8"/>
    <m/>
    <n v="47"/>
    <x v="0"/>
    <n v="5"/>
    <x v="0"/>
    <m/>
    <m/>
    <n v="30"/>
    <x v="2"/>
    <s v="18/05/2023"/>
    <d v="2023-05-18T00:00:00"/>
    <s v="2023028-44"/>
    <x v="4"/>
  </r>
  <r>
    <x v="436"/>
    <n v="2023028"/>
    <x v="28"/>
    <s v="Fababean"/>
    <m/>
    <x v="30"/>
    <s v="N"/>
    <x v="2"/>
    <n v="45"/>
    <n v="45"/>
    <x v="3"/>
    <m/>
    <m/>
    <m/>
    <n v="8"/>
    <m/>
    <m/>
    <m/>
    <m/>
    <m/>
    <n v="3"/>
    <n v="23"/>
    <x v="2"/>
    <n v="8"/>
    <m/>
    <n v="46"/>
    <x v="0"/>
    <n v="2"/>
    <x v="0"/>
    <m/>
    <m/>
    <n v="30"/>
    <x v="2"/>
    <s v="18/05/2023"/>
    <d v="2023-05-18T00:00:00"/>
    <s v="2023028-45"/>
    <x v="4"/>
  </r>
  <r>
    <x v="437"/>
    <n v="2023028"/>
    <x v="28"/>
    <s v="Fababean"/>
    <m/>
    <x v="12"/>
    <s v="N"/>
    <x v="2"/>
    <n v="46"/>
    <n v="46"/>
    <x v="3"/>
    <m/>
    <m/>
    <m/>
    <n v="8"/>
    <m/>
    <m/>
    <m/>
    <m/>
    <m/>
    <n v="4"/>
    <n v="23"/>
    <x v="3"/>
    <n v="8"/>
    <m/>
    <n v="45"/>
    <x v="0"/>
    <n v="1"/>
    <x v="0"/>
    <m/>
    <m/>
    <n v="30"/>
    <x v="2"/>
    <s v="18/05/2023"/>
    <d v="2023-05-18T00:00:00"/>
    <s v="2023028-46"/>
    <x v="4"/>
  </r>
  <r>
    <x v="433"/>
    <n v="2023028"/>
    <x v="28"/>
    <s v="Fababean"/>
    <m/>
    <x v="10"/>
    <s v="Y"/>
    <x v="2"/>
    <n v="47"/>
    <n v="47"/>
    <x v="3"/>
    <m/>
    <m/>
    <m/>
    <n v="8"/>
    <m/>
    <m/>
    <m/>
    <m/>
    <m/>
    <n v="5"/>
    <n v="23"/>
    <x v="4"/>
    <n v="8"/>
    <m/>
    <n v="44"/>
    <x v="0"/>
    <n v="6"/>
    <x v="0"/>
    <m/>
    <m/>
    <n v="30"/>
    <x v="2"/>
    <s v="18/05/2023"/>
    <d v="2023-05-18T00:00:00"/>
    <s v="2023028-47"/>
    <x v="4"/>
  </r>
  <r>
    <x v="432"/>
    <n v="2023028"/>
    <x v="28"/>
    <s v="Fababean"/>
    <m/>
    <x v="29"/>
    <s v="N"/>
    <x v="2"/>
    <n v="48"/>
    <n v="48"/>
    <x v="3"/>
    <m/>
    <m/>
    <m/>
    <n v="8"/>
    <m/>
    <m/>
    <m/>
    <m/>
    <m/>
    <n v="6"/>
    <n v="23"/>
    <x v="5"/>
    <n v="8"/>
    <m/>
    <n v="43"/>
    <x v="0"/>
    <n v="4"/>
    <x v="0"/>
    <m/>
    <m/>
    <n v="30"/>
    <x v="2"/>
    <s v="18/05/2023"/>
    <d v="2023-05-18T00:00:00"/>
    <s v="2023028-48"/>
    <x v="4"/>
  </r>
  <r>
    <x v="444"/>
    <n v="2023029"/>
    <x v="29"/>
    <s v="Lupin"/>
    <m/>
    <x v="31"/>
    <s v="N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2"/>
    <s v="18/05/2023"/>
    <d v="2023-05-18T00:00:00"/>
    <s v="2023029-1"/>
    <x v="5"/>
  </r>
  <r>
    <x v="445"/>
    <n v="2023029"/>
    <x v="29"/>
    <s v="Lupin"/>
    <m/>
    <x v="27"/>
    <s v="Y"/>
    <x v="2"/>
    <n v="2"/>
    <n v="2"/>
    <x v="0"/>
    <m/>
    <m/>
    <m/>
    <n v="1"/>
    <m/>
    <m/>
    <m/>
    <m/>
    <m/>
    <n v="2"/>
    <n v="2"/>
    <x v="1"/>
    <n v="1"/>
    <m/>
    <n v="2"/>
    <x v="0"/>
    <n v="3"/>
    <x v="0"/>
    <m/>
    <m/>
    <n v="30"/>
    <x v="2"/>
    <s v="18/05/2023"/>
    <d v="2023-05-18T00:00:00"/>
    <s v="2023029-2"/>
    <x v="5"/>
  </r>
  <r>
    <x v="446"/>
    <n v="2023029"/>
    <x v="29"/>
    <s v="Lupin"/>
    <m/>
    <x v="28"/>
    <s v="N"/>
    <x v="2"/>
    <n v="3"/>
    <n v="3"/>
    <x v="0"/>
    <m/>
    <m/>
    <m/>
    <n v="1"/>
    <m/>
    <m/>
    <m/>
    <m/>
    <m/>
    <n v="3"/>
    <n v="2"/>
    <x v="2"/>
    <n v="1"/>
    <m/>
    <n v="3"/>
    <x v="0"/>
    <n v="2"/>
    <x v="0"/>
    <m/>
    <m/>
    <n v="30"/>
    <x v="2"/>
    <s v="18/05/2023"/>
    <d v="2023-05-18T00:00:00"/>
    <s v="2023029-3"/>
    <x v="5"/>
  </r>
  <r>
    <x v="447"/>
    <n v="2023029"/>
    <x v="29"/>
    <s v="Lupin"/>
    <m/>
    <x v="26"/>
    <s v="N"/>
    <x v="2"/>
    <n v="4"/>
    <n v="4"/>
    <x v="0"/>
    <m/>
    <m/>
    <m/>
    <n v="1"/>
    <m/>
    <m/>
    <m/>
    <m/>
    <m/>
    <n v="4"/>
    <n v="2"/>
    <x v="3"/>
    <n v="1"/>
    <m/>
    <n v="4"/>
    <x v="0"/>
    <n v="5"/>
    <x v="0"/>
    <m/>
    <m/>
    <n v="30"/>
    <x v="2"/>
    <s v="18/05/2023"/>
    <d v="2023-05-18T00:00:00"/>
    <s v="2023029-4"/>
    <x v="5"/>
  </r>
  <r>
    <x v="448"/>
    <n v="2023029"/>
    <x v="29"/>
    <s v="Lupin"/>
    <m/>
    <x v="25"/>
    <s v="N"/>
    <x v="2"/>
    <n v="5"/>
    <n v="5"/>
    <x v="0"/>
    <m/>
    <m/>
    <m/>
    <n v="1"/>
    <m/>
    <m/>
    <m/>
    <m/>
    <m/>
    <n v="5"/>
    <n v="2"/>
    <x v="4"/>
    <n v="1"/>
    <m/>
    <n v="5"/>
    <x v="0"/>
    <n v="6"/>
    <x v="0"/>
    <m/>
    <m/>
    <n v="30"/>
    <x v="2"/>
    <s v="18/05/2023"/>
    <d v="2023-05-18T00:00:00"/>
    <s v="2023029-5"/>
    <x v="5"/>
  </r>
  <r>
    <x v="449"/>
    <n v="2023029"/>
    <x v="29"/>
    <s v="Lupin"/>
    <m/>
    <x v="32"/>
    <s v="N"/>
    <x v="2"/>
    <n v="6"/>
    <n v="6"/>
    <x v="0"/>
    <m/>
    <m/>
    <m/>
    <n v="1"/>
    <m/>
    <m/>
    <m/>
    <m/>
    <m/>
    <n v="6"/>
    <n v="2"/>
    <x v="5"/>
    <n v="1"/>
    <m/>
    <n v="6"/>
    <x v="0"/>
    <n v="1"/>
    <x v="0"/>
    <m/>
    <m/>
    <n v="30"/>
    <x v="2"/>
    <s v="18/05/2023"/>
    <d v="2023-05-18T00:00:00"/>
    <s v="2023029-6"/>
    <x v="5"/>
  </r>
  <r>
    <x v="450"/>
    <n v="2023029"/>
    <x v="29"/>
    <s v="Lupin"/>
    <m/>
    <x v="28"/>
    <s v="N"/>
    <x v="2"/>
    <n v="7"/>
    <n v="7"/>
    <x v="0"/>
    <m/>
    <m/>
    <m/>
    <n v="2"/>
    <m/>
    <m/>
    <m/>
    <m/>
    <m/>
    <n v="1"/>
    <n v="5"/>
    <x v="0"/>
    <n v="2"/>
    <m/>
    <n v="12"/>
    <x v="0"/>
    <n v="2"/>
    <x v="0"/>
    <m/>
    <m/>
    <n v="30"/>
    <x v="1"/>
    <s v="24/04/2023"/>
    <d v="2023-04-24T00:00:00"/>
    <s v="2023029-7"/>
    <x v="5"/>
  </r>
  <r>
    <x v="451"/>
    <n v="2023029"/>
    <x v="29"/>
    <s v="Lupin"/>
    <m/>
    <x v="25"/>
    <s v="N"/>
    <x v="2"/>
    <n v="8"/>
    <n v="8"/>
    <x v="0"/>
    <m/>
    <m/>
    <m/>
    <n v="2"/>
    <m/>
    <m/>
    <m/>
    <m/>
    <m/>
    <n v="2"/>
    <n v="5"/>
    <x v="1"/>
    <n v="2"/>
    <m/>
    <n v="11"/>
    <x v="0"/>
    <n v="6"/>
    <x v="0"/>
    <m/>
    <m/>
    <n v="30"/>
    <x v="1"/>
    <s v="24/04/2023"/>
    <d v="2023-04-24T00:00:00"/>
    <s v="2023029-8"/>
    <x v="5"/>
  </r>
  <r>
    <x v="452"/>
    <n v="2023029"/>
    <x v="29"/>
    <s v="Lupin"/>
    <m/>
    <x v="32"/>
    <s v="N"/>
    <x v="2"/>
    <n v="9"/>
    <n v="9"/>
    <x v="0"/>
    <m/>
    <m/>
    <m/>
    <n v="2"/>
    <m/>
    <m/>
    <m/>
    <m/>
    <m/>
    <n v="3"/>
    <n v="5"/>
    <x v="2"/>
    <n v="2"/>
    <m/>
    <n v="10"/>
    <x v="0"/>
    <n v="1"/>
    <x v="0"/>
    <m/>
    <m/>
    <n v="30"/>
    <x v="1"/>
    <s v="24/04/2023"/>
    <d v="2023-04-24T00:00:00"/>
    <s v="2023029-9"/>
    <x v="5"/>
  </r>
  <r>
    <x v="453"/>
    <n v="2023029"/>
    <x v="29"/>
    <s v="Lupin"/>
    <m/>
    <x v="27"/>
    <s v="Y"/>
    <x v="2"/>
    <n v="10"/>
    <n v="10"/>
    <x v="0"/>
    <m/>
    <m/>
    <m/>
    <n v="2"/>
    <m/>
    <m/>
    <m/>
    <m/>
    <m/>
    <n v="4"/>
    <n v="5"/>
    <x v="3"/>
    <n v="2"/>
    <m/>
    <n v="9"/>
    <x v="0"/>
    <n v="3"/>
    <x v="0"/>
    <m/>
    <m/>
    <n v="30"/>
    <x v="1"/>
    <s v="24/04/2023"/>
    <d v="2023-04-24T00:00:00"/>
    <s v="2023029-10"/>
    <x v="5"/>
  </r>
  <r>
    <x v="454"/>
    <n v="2023029"/>
    <x v="29"/>
    <s v="Lupin"/>
    <m/>
    <x v="26"/>
    <s v="N"/>
    <x v="2"/>
    <n v="11"/>
    <n v="11"/>
    <x v="0"/>
    <m/>
    <m/>
    <m/>
    <n v="2"/>
    <m/>
    <m/>
    <m/>
    <m/>
    <m/>
    <n v="5"/>
    <n v="5"/>
    <x v="4"/>
    <n v="2"/>
    <m/>
    <n v="8"/>
    <x v="0"/>
    <n v="5"/>
    <x v="0"/>
    <m/>
    <m/>
    <n v="30"/>
    <x v="1"/>
    <s v="24/04/2023"/>
    <d v="2023-04-24T00:00:00"/>
    <s v="2023029-11"/>
    <x v="5"/>
  </r>
  <r>
    <x v="455"/>
    <n v="2023029"/>
    <x v="29"/>
    <s v="Lupin"/>
    <m/>
    <x v="31"/>
    <s v="N"/>
    <x v="2"/>
    <n v="12"/>
    <n v="12"/>
    <x v="0"/>
    <m/>
    <m/>
    <m/>
    <n v="2"/>
    <m/>
    <m/>
    <m/>
    <m/>
    <m/>
    <n v="6"/>
    <n v="5"/>
    <x v="5"/>
    <n v="2"/>
    <m/>
    <n v="7"/>
    <x v="0"/>
    <n v="4"/>
    <x v="0"/>
    <m/>
    <m/>
    <n v="30"/>
    <x v="1"/>
    <s v="24/04/2023"/>
    <d v="2023-04-24T00:00:00"/>
    <s v="2023029-12"/>
    <x v="5"/>
  </r>
  <r>
    <x v="445"/>
    <n v="2023029"/>
    <x v="29"/>
    <s v="Lupin"/>
    <m/>
    <x v="27"/>
    <s v="Y"/>
    <x v="2"/>
    <n v="13"/>
    <n v="13"/>
    <x v="1"/>
    <m/>
    <m/>
    <m/>
    <n v="3"/>
    <m/>
    <m/>
    <m/>
    <m/>
    <m/>
    <n v="1"/>
    <n v="8"/>
    <x v="0"/>
    <n v="3"/>
    <m/>
    <n v="13"/>
    <x v="0"/>
    <n v="3"/>
    <x v="0"/>
    <m/>
    <m/>
    <n v="30"/>
    <x v="2"/>
    <s v="18/05/2023"/>
    <d v="2023-05-18T00:00:00"/>
    <s v="2023029-13"/>
    <x v="5"/>
  </r>
  <r>
    <x v="449"/>
    <n v="2023029"/>
    <x v="29"/>
    <s v="Lupin"/>
    <m/>
    <x v="32"/>
    <s v="N"/>
    <x v="2"/>
    <n v="14"/>
    <n v="14"/>
    <x v="1"/>
    <m/>
    <m/>
    <m/>
    <n v="3"/>
    <m/>
    <m/>
    <m/>
    <m/>
    <m/>
    <n v="2"/>
    <n v="8"/>
    <x v="1"/>
    <n v="3"/>
    <m/>
    <n v="14"/>
    <x v="0"/>
    <n v="1"/>
    <x v="0"/>
    <m/>
    <m/>
    <n v="30"/>
    <x v="2"/>
    <s v="18/05/2023"/>
    <d v="2023-05-18T00:00:00"/>
    <s v="2023029-14"/>
    <x v="5"/>
  </r>
  <r>
    <x v="444"/>
    <n v="2023029"/>
    <x v="29"/>
    <s v="Lupin"/>
    <m/>
    <x v="31"/>
    <s v="N"/>
    <x v="2"/>
    <n v="15"/>
    <n v="15"/>
    <x v="1"/>
    <m/>
    <m/>
    <m/>
    <n v="3"/>
    <m/>
    <m/>
    <m/>
    <m/>
    <m/>
    <n v="3"/>
    <n v="8"/>
    <x v="2"/>
    <n v="3"/>
    <m/>
    <n v="15"/>
    <x v="0"/>
    <n v="4"/>
    <x v="0"/>
    <m/>
    <m/>
    <n v="30"/>
    <x v="2"/>
    <s v="18/05/2023"/>
    <d v="2023-05-18T00:00:00"/>
    <s v="2023029-15"/>
    <x v="5"/>
  </r>
  <r>
    <x v="448"/>
    <n v="2023029"/>
    <x v="29"/>
    <s v="Lupin"/>
    <m/>
    <x v="25"/>
    <s v="N"/>
    <x v="2"/>
    <n v="16"/>
    <n v="16"/>
    <x v="1"/>
    <m/>
    <m/>
    <m/>
    <n v="3"/>
    <m/>
    <m/>
    <m/>
    <m/>
    <m/>
    <n v="4"/>
    <n v="8"/>
    <x v="3"/>
    <n v="3"/>
    <m/>
    <n v="16"/>
    <x v="0"/>
    <n v="6"/>
    <x v="0"/>
    <m/>
    <m/>
    <n v="30"/>
    <x v="2"/>
    <s v="18/05/2023"/>
    <d v="2023-05-18T00:00:00"/>
    <s v="2023029-16"/>
    <x v="5"/>
  </r>
  <r>
    <x v="446"/>
    <n v="2023029"/>
    <x v="29"/>
    <s v="Lupin"/>
    <m/>
    <x v="28"/>
    <s v="N"/>
    <x v="2"/>
    <n v="17"/>
    <n v="17"/>
    <x v="1"/>
    <m/>
    <m/>
    <m/>
    <n v="3"/>
    <m/>
    <m/>
    <m/>
    <m/>
    <m/>
    <n v="5"/>
    <n v="8"/>
    <x v="4"/>
    <n v="3"/>
    <m/>
    <n v="17"/>
    <x v="0"/>
    <n v="2"/>
    <x v="0"/>
    <m/>
    <m/>
    <n v="30"/>
    <x v="2"/>
    <s v="18/05/2023"/>
    <d v="2023-05-18T00:00:00"/>
    <s v="2023029-17"/>
    <x v="5"/>
  </r>
  <r>
    <x v="447"/>
    <n v="2023029"/>
    <x v="29"/>
    <s v="Lupin"/>
    <m/>
    <x v="26"/>
    <s v="N"/>
    <x v="2"/>
    <n v="18"/>
    <n v="18"/>
    <x v="1"/>
    <m/>
    <m/>
    <m/>
    <n v="3"/>
    <m/>
    <m/>
    <m/>
    <m/>
    <m/>
    <n v="6"/>
    <n v="8"/>
    <x v="5"/>
    <n v="3"/>
    <m/>
    <n v="18"/>
    <x v="0"/>
    <n v="5"/>
    <x v="0"/>
    <m/>
    <m/>
    <n v="30"/>
    <x v="2"/>
    <s v="18/05/2023"/>
    <d v="2023-05-18T00:00:00"/>
    <s v="2023029-18"/>
    <x v="5"/>
  </r>
  <r>
    <x v="455"/>
    <n v="2023029"/>
    <x v="29"/>
    <s v="Lupin"/>
    <m/>
    <x v="31"/>
    <s v="N"/>
    <x v="2"/>
    <n v="19"/>
    <n v="19"/>
    <x v="1"/>
    <m/>
    <m/>
    <m/>
    <n v="4"/>
    <m/>
    <m/>
    <m/>
    <m/>
    <m/>
    <n v="1"/>
    <n v="11"/>
    <x v="0"/>
    <n v="4"/>
    <m/>
    <n v="24"/>
    <x v="0"/>
    <n v="4"/>
    <x v="0"/>
    <m/>
    <m/>
    <n v="30"/>
    <x v="1"/>
    <s v="24/04/2023"/>
    <d v="2023-04-24T00:00:00"/>
    <s v="2023029-19"/>
    <x v="5"/>
  </r>
  <r>
    <x v="454"/>
    <n v="2023029"/>
    <x v="29"/>
    <s v="Lupin"/>
    <m/>
    <x v="26"/>
    <s v="N"/>
    <x v="2"/>
    <n v="20"/>
    <n v="20"/>
    <x v="1"/>
    <m/>
    <m/>
    <m/>
    <n v="4"/>
    <m/>
    <m/>
    <m/>
    <m/>
    <m/>
    <n v="2"/>
    <n v="11"/>
    <x v="1"/>
    <n v="4"/>
    <m/>
    <n v="23"/>
    <x v="0"/>
    <n v="5"/>
    <x v="0"/>
    <m/>
    <m/>
    <n v="30"/>
    <x v="1"/>
    <s v="24/04/2023"/>
    <d v="2023-04-24T00:00:00"/>
    <s v="2023029-20"/>
    <x v="5"/>
  </r>
  <r>
    <x v="453"/>
    <n v="2023029"/>
    <x v="29"/>
    <s v="Lupin"/>
    <m/>
    <x v="27"/>
    <s v="Y"/>
    <x v="2"/>
    <n v="21"/>
    <n v="21"/>
    <x v="1"/>
    <m/>
    <m/>
    <m/>
    <n v="4"/>
    <m/>
    <m/>
    <m/>
    <m/>
    <m/>
    <n v="3"/>
    <n v="11"/>
    <x v="2"/>
    <n v="4"/>
    <m/>
    <n v="22"/>
    <x v="0"/>
    <n v="3"/>
    <x v="0"/>
    <m/>
    <m/>
    <n v="30"/>
    <x v="1"/>
    <s v="24/04/2023"/>
    <d v="2023-04-24T00:00:00"/>
    <s v="2023029-21"/>
    <x v="5"/>
  </r>
  <r>
    <x v="452"/>
    <n v="2023029"/>
    <x v="29"/>
    <s v="Lupin"/>
    <m/>
    <x v="32"/>
    <s v="N"/>
    <x v="2"/>
    <n v="22"/>
    <n v="22"/>
    <x v="1"/>
    <m/>
    <m/>
    <m/>
    <n v="4"/>
    <m/>
    <m/>
    <m/>
    <m/>
    <m/>
    <n v="4"/>
    <n v="11"/>
    <x v="3"/>
    <n v="4"/>
    <m/>
    <n v="21"/>
    <x v="0"/>
    <n v="1"/>
    <x v="0"/>
    <m/>
    <m/>
    <n v="30"/>
    <x v="1"/>
    <s v="24/04/2023"/>
    <d v="2023-04-24T00:00:00"/>
    <s v="2023029-22"/>
    <x v="5"/>
  </r>
  <r>
    <x v="451"/>
    <n v="2023029"/>
    <x v="29"/>
    <s v="Lupin"/>
    <m/>
    <x v="25"/>
    <s v="N"/>
    <x v="2"/>
    <n v="23"/>
    <n v="23"/>
    <x v="1"/>
    <m/>
    <m/>
    <m/>
    <n v="4"/>
    <m/>
    <m/>
    <m/>
    <m/>
    <m/>
    <n v="5"/>
    <n v="11"/>
    <x v="4"/>
    <n v="4"/>
    <m/>
    <n v="20"/>
    <x v="0"/>
    <n v="6"/>
    <x v="0"/>
    <m/>
    <m/>
    <n v="30"/>
    <x v="1"/>
    <s v="24/04/2023"/>
    <d v="2023-04-24T00:00:00"/>
    <s v="2023029-23"/>
    <x v="5"/>
  </r>
  <r>
    <x v="450"/>
    <n v="2023029"/>
    <x v="29"/>
    <s v="Lupin"/>
    <m/>
    <x v="28"/>
    <s v="N"/>
    <x v="2"/>
    <n v="24"/>
    <n v="24"/>
    <x v="1"/>
    <m/>
    <m/>
    <m/>
    <n v="4"/>
    <m/>
    <m/>
    <m/>
    <m/>
    <m/>
    <n v="6"/>
    <n v="11"/>
    <x v="5"/>
    <n v="4"/>
    <m/>
    <n v="19"/>
    <x v="0"/>
    <n v="2"/>
    <x v="0"/>
    <m/>
    <m/>
    <n v="30"/>
    <x v="1"/>
    <s v="24/04/2023"/>
    <d v="2023-04-24T00:00:00"/>
    <s v="2023029-24"/>
    <x v="5"/>
  </r>
  <r>
    <x v="451"/>
    <n v="2023029"/>
    <x v="29"/>
    <s v="Lupin"/>
    <m/>
    <x v="25"/>
    <s v="N"/>
    <x v="2"/>
    <n v="25"/>
    <n v="25"/>
    <x v="2"/>
    <m/>
    <m/>
    <m/>
    <n v="5"/>
    <m/>
    <m/>
    <m/>
    <m/>
    <m/>
    <n v="1"/>
    <n v="14"/>
    <x v="0"/>
    <n v="5"/>
    <m/>
    <n v="25"/>
    <x v="0"/>
    <n v="6"/>
    <x v="0"/>
    <m/>
    <m/>
    <n v="30"/>
    <x v="1"/>
    <s v="24/04/2023"/>
    <d v="2023-04-24T00:00:00"/>
    <s v="2023029-25"/>
    <x v="5"/>
  </r>
  <r>
    <x v="455"/>
    <n v="2023029"/>
    <x v="29"/>
    <s v="Lupin"/>
    <m/>
    <x v="31"/>
    <s v="N"/>
    <x v="2"/>
    <n v="26"/>
    <n v="26"/>
    <x v="2"/>
    <m/>
    <m/>
    <m/>
    <n v="5"/>
    <m/>
    <m/>
    <m/>
    <m/>
    <m/>
    <n v="2"/>
    <n v="14"/>
    <x v="1"/>
    <n v="5"/>
    <m/>
    <n v="26"/>
    <x v="0"/>
    <n v="4"/>
    <x v="0"/>
    <m/>
    <m/>
    <n v="30"/>
    <x v="1"/>
    <s v="24/04/2023"/>
    <d v="2023-04-24T00:00:00"/>
    <s v="2023029-26"/>
    <x v="5"/>
  </r>
  <r>
    <x v="454"/>
    <n v="2023029"/>
    <x v="29"/>
    <s v="Lupin"/>
    <m/>
    <x v="26"/>
    <s v="N"/>
    <x v="2"/>
    <n v="27"/>
    <n v="27"/>
    <x v="2"/>
    <m/>
    <m/>
    <m/>
    <n v="5"/>
    <m/>
    <m/>
    <m/>
    <m/>
    <m/>
    <n v="3"/>
    <n v="14"/>
    <x v="2"/>
    <n v="5"/>
    <m/>
    <n v="27"/>
    <x v="0"/>
    <n v="5"/>
    <x v="0"/>
    <m/>
    <m/>
    <n v="30"/>
    <x v="1"/>
    <s v="24/04/2023"/>
    <d v="2023-04-24T00:00:00"/>
    <s v="2023029-27"/>
    <x v="5"/>
  </r>
  <r>
    <x v="450"/>
    <n v="2023029"/>
    <x v="29"/>
    <s v="Lupin"/>
    <m/>
    <x v="28"/>
    <s v="N"/>
    <x v="2"/>
    <n v="28"/>
    <n v="28"/>
    <x v="2"/>
    <m/>
    <m/>
    <m/>
    <n v="5"/>
    <m/>
    <m/>
    <m/>
    <m/>
    <m/>
    <n v="4"/>
    <n v="14"/>
    <x v="3"/>
    <n v="5"/>
    <m/>
    <n v="28"/>
    <x v="0"/>
    <n v="2"/>
    <x v="0"/>
    <m/>
    <m/>
    <n v="30"/>
    <x v="1"/>
    <s v="24/04/2023"/>
    <d v="2023-04-24T00:00:00"/>
    <s v="2023029-28"/>
    <x v="5"/>
  </r>
  <r>
    <x v="452"/>
    <n v="2023029"/>
    <x v="29"/>
    <s v="Lupin"/>
    <m/>
    <x v="32"/>
    <s v="N"/>
    <x v="2"/>
    <n v="29"/>
    <n v="29"/>
    <x v="2"/>
    <m/>
    <m/>
    <m/>
    <n v="5"/>
    <m/>
    <m/>
    <m/>
    <m/>
    <m/>
    <n v="5"/>
    <n v="14"/>
    <x v="4"/>
    <n v="5"/>
    <m/>
    <n v="29"/>
    <x v="0"/>
    <n v="1"/>
    <x v="0"/>
    <m/>
    <m/>
    <n v="30"/>
    <x v="1"/>
    <s v="24/04/2023"/>
    <d v="2023-04-24T00:00:00"/>
    <s v="2023029-29"/>
    <x v="5"/>
  </r>
  <r>
    <x v="453"/>
    <n v="2023029"/>
    <x v="29"/>
    <s v="Lupin"/>
    <m/>
    <x v="27"/>
    <s v="Y"/>
    <x v="2"/>
    <n v="30"/>
    <n v="30"/>
    <x v="2"/>
    <m/>
    <m/>
    <m/>
    <n v="5"/>
    <m/>
    <m/>
    <m/>
    <m/>
    <m/>
    <n v="6"/>
    <n v="14"/>
    <x v="5"/>
    <n v="5"/>
    <m/>
    <n v="30"/>
    <x v="0"/>
    <n v="3"/>
    <x v="0"/>
    <m/>
    <m/>
    <n v="30"/>
    <x v="1"/>
    <s v="24/04/2023"/>
    <d v="2023-04-24T00:00:00"/>
    <s v="2023029-30"/>
    <x v="5"/>
  </r>
  <r>
    <x v="447"/>
    <n v="2023029"/>
    <x v="29"/>
    <s v="Lupin"/>
    <m/>
    <x v="26"/>
    <s v="N"/>
    <x v="2"/>
    <n v="31"/>
    <n v="31"/>
    <x v="2"/>
    <m/>
    <m/>
    <m/>
    <n v="6"/>
    <m/>
    <m/>
    <m/>
    <m/>
    <m/>
    <n v="1"/>
    <n v="17"/>
    <x v="0"/>
    <n v="6"/>
    <m/>
    <n v="36"/>
    <x v="0"/>
    <n v="5"/>
    <x v="0"/>
    <m/>
    <m/>
    <n v="30"/>
    <x v="2"/>
    <s v="18/05/2023"/>
    <d v="2023-05-18T00:00:00"/>
    <s v="2023029-31"/>
    <x v="5"/>
  </r>
  <r>
    <x v="446"/>
    <n v="2023029"/>
    <x v="29"/>
    <s v="Lupin"/>
    <m/>
    <x v="28"/>
    <s v="N"/>
    <x v="2"/>
    <n v="32"/>
    <n v="32"/>
    <x v="2"/>
    <m/>
    <m/>
    <m/>
    <n v="6"/>
    <m/>
    <m/>
    <m/>
    <m/>
    <m/>
    <n v="2"/>
    <n v="17"/>
    <x v="1"/>
    <n v="6"/>
    <m/>
    <n v="35"/>
    <x v="0"/>
    <n v="2"/>
    <x v="0"/>
    <m/>
    <m/>
    <n v="30"/>
    <x v="2"/>
    <s v="18/05/2023"/>
    <d v="2023-05-18T00:00:00"/>
    <s v="2023029-32"/>
    <x v="5"/>
  </r>
  <r>
    <x v="448"/>
    <n v="2023029"/>
    <x v="29"/>
    <s v="Lupin"/>
    <m/>
    <x v="25"/>
    <s v="N"/>
    <x v="2"/>
    <n v="33"/>
    <n v="33"/>
    <x v="2"/>
    <m/>
    <m/>
    <m/>
    <n v="6"/>
    <m/>
    <m/>
    <m/>
    <m/>
    <m/>
    <n v="3"/>
    <n v="17"/>
    <x v="2"/>
    <n v="6"/>
    <m/>
    <n v="34"/>
    <x v="0"/>
    <n v="6"/>
    <x v="0"/>
    <m/>
    <m/>
    <n v="30"/>
    <x v="2"/>
    <s v="18/05/2023"/>
    <d v="2023-05-18T00:00:00"/>
    <s v="2023029-33"/>
    <x v="5"/>
  </r>
  <r>
    <x v="449"/>
    <n v="2023029"/>
    <x v="29"/>
    <s v="Lupin"/>
    <m/>
    <x v="32"/>
    <s v="N"/>
    <x v="2"/>
    <n v="34"/>
    <n v="34"/>
    <x v="2"/>
    <m/>
    <m/>
    <m/>
    <n v="6"/>
    <m/>
    <m/>
    <m/>
    <m/>
    <m/>
    <n v="4"/>
    <n v="17"/>
    <x v="3"/>
    <n v="6"/>
    <m/>
    <n v="33"/>
    <x v="0"/>
    <n v="1"/>
    <x v="0"/>
    <m/>
    <m/>
    <n v="30"/>
    <x v="2"/>
    <s v="18/05/2023"/>
    <d v="2023-05-18T00:00:00"/>
    <s v="2023029-34"/>
    <x v="5"/>
  </r>
  <r>
    <x v="445"/>
    <n v="2023029"/>
    <x v="29"/>
    <s v="Lupin"/>
    <m/>
    <x v="27"/>
    <s v="Y"/>
    <x v="2"/>
    <n v="35"/>
    <n v="35"/>
    <x v="2"/>
    <m/>
    <m/>
    <m/>
    <n v="6"/>
    <m/>
    <m/>
    <m/>
    <m/>
    <m/>
    <n v="5"/>
    <n v="17"/>
    <x v="4"/>
    <n v="6"/>
    <m/>
    <n v="32"/>
    <x v="0"/>
    <n v="3"/>
    <x v="0"/>
    <m/>
    <m/>
    <n v="30"/>
    <x v="2"/>
    <s v="18/05/2023"/>
    <d v="2023-05-18T00:00:00"/>
    <s v="2023029-35"/>
    <x v="5"/>
  </r>
  <r>
    <x v="444"/>
    <n v="2023029"/>
    <x v="29"/>
    <s v="Lupin"/>
    <m/>
    <x v="31"/>
    <s v="N"/>
    <x v="2"/>
    <n v="36"/>
    <n v="36"/>
    <x v="2"/>
    <m/>
    <m/>
    <m/>
    <n v="6"/>
    <m/>
    <m/>
    <m/>
    <m/>
    <m/>
    <n v="6"/>
    <n v="17"/>
    <x v="5"/>
    <n v="6"/>
    <m/>
    <n v="31"/>
    <x v="0"/>
    <n v="4"/>
    <x v="0"/>
    <m/>
    <m/>
    <n v="30"/>
    <x v="2"/>
    <s v="18/05/2023"/>
    <d v="2023-05-18T00:00:00"/>
    <s v="2023029-36"/>
    <x v="5"/>
  </r>
  <r>
    <x v="452"/>
    <n v="2023029"/>
    <x v="29"/>
    <s v="Lupin"/>
    <m/>
    <x v="32"/>
    <s v="N"/>
    <x v="2"/>
    <n v="37"/>
    <n v="37"/>
    <x v="3"/>
    <m/>
    <m/>
    <m/>
    <n v="7"/>
    <m/>
    <m/>
    <m/>
    <m/>
    <m/>
    <n v="1"/>
    <n v="20"/>
    <x v="0"/>
    <n v="7"/>
    <m/>
    <n v="37"/>
    <x v="0"/>
    <n v="1"/>
    <x v="0"/>
    <m/>
    <m/>
    <n v="30"/>
    <x v="1"/>
    <s v="24/04/2023"/>
    <d v="2023-04-24T00:00:00"/>
    <s v="2023029-37"/>
    <x v="5"/>
  </r>
  <r>
    <x v="453"/>
    <n v="2023029"/>
    <x v="29"/>
    <s v="Lupin"/>
    <m/>
    <x v="27"/>
    <s v="Y"/>
    <x v="2"/>
    <n v="38"/>
    <n v="38"/>
    <x v="3"/>
    <m/>
    <m/>
    <m/>
    <n v="7"/>
    <m/>
    <m/>
    <m/>
    <m/>
    <m/>
    <n v="2"/>
    <n v="20"/>
    <x v="1"/>
    <n v="7"/>
    <m/>
    <n v="38"/>
    <x v="0"/>
    <n v="3"/>
    <x v="0"/>
    <m/>
    <m/>
    <n v="30"/>
    <x v="1"/>
    <s v="24/04/2023"/>
    <d v="2023-04-24T00:00:00"/>
    <s v="2023029-38"/>
    <x v="5"/>
  </r>
  <r>
    <x v="450"/>
    <n v="2023029"/>
    <x v="29"/>
    <s v="Lupin"/>
    <m/>
    <x v="28"/>
    <s v="N"/>
    <x v="2"/>
    <n v="39"/>
    <n v="39"/>
    <x v="3"/>
    <m/>
    <m/>
    <m/>
    <n v="7"/>
    <m/>
    <m/>
    <m/>
    <m/>
    <m/>
    <n v="3"/>
    <n v="20"/>
    <x v="2"/>
    <n v="7"/>
    <m/>
    <n v="39"/>
    <x v="0"/>
    <n v="2"/>
    <x v="0"/>
    <m/>
    <m/>
    <n v="30"/>
    <x v="1"/>
    <s v="24/04/2023"/>
    <d v="2023-04-24T00:00:00"/>
    <s v="2023029-39"/>
    <x v="5"/>
  </r>
  <r>
    <x v="454"/>
    <n v="2023029"/>
    <x v="29"/>
    <s v="Lupin"/>
    <m/>
    <x v="26"/>
    <s v="N"/>
    <x v="2"/>
    <n v="40"/>
    <n v="40"/>
    <x v="3"/>
    <m/>
    <m/>
    <m/>
    <n v="7"/>
    <m/>
    <m/>
    <m/>
    <m/>
    <m/>
    <n v="4"/>
    <n v="20"/>
    <x v="3"/>
    <n v="7"/>
    <m/>
    <n v="40"/>
    <x v="0"/>
    <n v="5"/>
    <x v="0"/>
    <m/>
    <m/>
    <n v="30"/>
    <x v="1"/>
    <s v="24/04/2023"/>
    <d v="2023-04-24T00:00:00"/>
    <s v="2023029-40"/>
    <x v="5"/>
  </r>
  <r>
    <x v="455"/>
    <n v="2023029"/>
    <x v="29"/>
    <s v="Lupin"/>
    <m/>
    <x v="31"/>
    <s v="N"/>
    <x v="2"/>
    <n v="41"/>
    <n v="41"/>
    <x v="3"/>
    <m/>
    <m/>
    <m/>
    <n v="7"/>
    <m/>
    <m/>
    <m/>
    <m/>
    <m/>
    <n v="5"/>
    <n v="20"/>
    <x v="4"/>
    <n v="7"/>
    <m/>
    <n v="41"/>
    <x v="0"/>
    <n v="4"/>
    <x v="0"/>
    <m/>
    <m/>
    <n v="30"/>
    <x v="1"/>
    <s v="24/04/2023"/>
    <d v="2023-04-24T00:00:00"/>
    <s v="2023029-41"/>
    <x v="5"/>
  </r>
  <r>
    <x v="451"/>
    <n v="2023029"/>
    <x v="29"/>
    <s v="Lupin"/>
    <m/>
    <x v="25"/>
    <s v="N"/>
    <x v="2"/>
    <n v="42"/>
    <n v="42"/>
    <x v="3"/>
    <m/>
    <m/>
    <m/>
    <n v="7"/>
    <m/>
    <m/>
    <m/>
    <m/>
    <m/>
    <n v="6"/>
    <n v="20"/>
    <x v="5"/>
    <n v="7"/>
    <m/>
    <n v="42"/>
    <x v="0"/>
    <n v="6"/>
    <x v="0"/>
    <m/>
    <m/>
    <n v="30"/>
    <x v="1"/>
    <s v="24/04/2023"/>
    <d v="2023-04-24T00:00:00"/>
    <s v="2023029-42"/>
    <x v="5"/>
  </r>
  <r>
    <x v="446"/>
    <n v="2023029"/>
    <x v="29"/>
    <s v="Lupin"/>
    <m/>
    <x v="28"/>
    <s v="N"/>
    <x v="2"/>
    <n v="43"/>
    <n v="43"/>
    <x v="3"/>
    <m/>
    <m/>
    <m/>
    <n v="8"/>
    <m/>
    <m/>
    <m/>
    <m/>
    <m/>
    <n v="1"/>
    <n v="23"/>
    <x v="0"/>
    <n v="8"/>
    <m/>
    <n v="48"/>
    <x v="0"/>
    <n v="2"/>
    <x v="0"/>
    <m/>
    <m/>
    <n v="30"/>
    <x v="2"/>
    <s v="18/05/2023"/>
    <d v="2023-05-18T00:00:00"/>
    <s v="2023029-43"/>
    <x v="5"/>
  </r>
  <r>
    <x v="448"/>
    <n v="2023029"/>
    <x v="29"/>
    <s v="Lupin"/>
    <m/>
    <x v="25"/>
    <s v="N"/>
    <x v="2"/>
    <n v="44"/>
    <n v="44"/>
    <x v="3"/>
    <m/>
    <m/>
    <m/>
    <n v="8"/>
    <m/>
    <m/>
    <m/>
    <m/>
    <m/>
    <n v="2"/>
    <n v="23"/>
    <x v="1"/>
    <n v="8"/>
    <m/>
    <n v="47"/>
    <x v="0"/>
    <n v="6"/>
    <x v="0"/>
    <m/>
    <m/>
    <n v="30"/>
    <x v="2"/>
    <s v="18/05/2023"/>
    <d v="2023-05-18T00:00:00"/>
    <s v="2023029-44"/>
    <x v="5"/>
  </r>
  <r>
    <x v="447"/>
    <n v="2023029"/>
    <x v="29"/>
    <s v="Lupin"/>
    <m/>
    <x v="26"/>
    <s v="N"/>
    <x v="2"/>
    <n v="45"/>
    <n v="45"/>
    <x v="3"/>
    <m/>
    <m/>
    <m/>
    <n v="8"/>
    <m/>
    <m/>
    <m/>
    <m/>
    <m/>
    <n v="3"/>
    <n v="23"/>
    <x v="2"/>
    <n v="8"/>
    <m/>
    <n v="46"/>
    <x v="0"/>
    <n v="5"/>
    <x v="0"/>
    <m/>
    <m/>
    <n v="30"/>
    <x v="2"/>
    <s v="18/05/2023"/>
    <d v="2023-05-18T00:00:00"/>
    <s v="2023029-45"/>
    <x v="5"/>
  </r>
  <r>
    <x v="444"/>
    <n v="2023029"/>
    <x v="29"/>
    <s v="Lupin"/>
    <m/>
    <x v="31"/>
    <s v="N"/>
    <x v="2"/>
    <n v="46"/>
    <n v="46"/>
    <x v="3"/>
    <m/>
    <m/>
    <m/>
    <n v="8"/>
    <m/>
    <m/>
    <m/>
    <m/>
    <m/>
    <n v="4"/>
    <n v="23"/>
    <x v="3"/>
    <n v="8"/>
    <m/>
    <n v="45"/>
    <x v="0"/>
    <n v="4"/>
    <x v="0"/>
    <m/>
    <m/>
    <n v="30"/>
    <x v="2"/>
    <s v="18/05/2023"/>
    <d v="2023-05-18T00:00:00"/>
    <s v="2023029-46"/>
    <x v="5"/>
  </r>
  <r>
    <x v="449"/>
    <n v="2023029"/>
    <x v="29"/>
    <s v="Lupin"/>
    <m/>
    <x v="32"/>
    <s v="N"/>
    <x v="2"/>
    <n v="47"/>
    <n v="47"/>
    <x v="3"/>
    <m/>
    <m/>
    <m/>
    <n v="8"/>
    <m/>
    <m/>
    <m/>
    <m/>
    <m/>
    <n v="5"/>
    <n v="23"/>
    <x v="4"/>
    <n v="8"/>
    <m/>
    <n v="44"/>
    <x v="0"/>
    <n v="1"/>
    <x v="0"/>
    <m/>
    <m/>
    <n v="30"/>
    <x v="2"/>
    <s v="18/05/2023"/>
    <d v="2023-05-18T00:00:00"/>
    <s v="2023029-47"/>
    <x v="5"/>
  </r>
  <r>
    <x v="445"/>
    <n v="2023029"/>
    <x v="29"/>
    <s v="Lupin"/>
    <m/>
    <x v="27"/>
    <s v="Y"/>
    <x v="2"/>
    <n v="48"/>
    <n v="48"/>
    <x v="3"/>
    <m/>
    <m/>
    <m/>
    <n v="8"/>
    <m/>
    <m/>
    <m/>
    <m/>
    <m/>
    <n v="6"/>
    <n v="23"/>
    <x v="5"/>
    <n v="8"/>
    <m/>
    <n v="43"/>
    <x v="0"/>
    <n v="3"/>
    <x v="0"/>
    <m/>
    <m/>
    <n v="30"/>
    <x v="2"/>
    <s v="18/05/2023"/>
    <d v="2023-05-18T00:00:00"/>
    <s v="2023029-48"/>
    <x v="5"/>
  </r>
  <r>
    <x v="456"/>
    <n v="2023030"/>
    <x v="30"/>
    <s v="Chickpea"/>
    <m/>
    <x v="8"/>
    <s v="Y"/>
    <x v="2"/>
    <n v="1"/>
    <n v="1"/>
    <x v="0"/>
    <m/>
    <m/>
    <m/>
    <n v="1"/>
    <m/>
    <m/>
    <m/>
    <m/>
    <m/>
    <n v="3"/>
    <n v="3"/>
    <x v="0"/>
    <n v="1"/>
    <m/>
    <n v="1"/>
    <x v="0"/>
    <n v="2"/>
    <x v="0"/>
    <m/>
    <m/>
    <n v="50"/>
    <x v="1"/>
    <s v="23/05/2023"/>
    <d v="2023-05-23T00:00:00"/>
    <s v="2023030-1"/>
    <x v="3"/>
  </r>
  <r>
    <x v="457"/>
    <n v="2023030"/>
    <x v="30"/>
    <s v="Chickpea"/>
    <m/>
    <x v="9"/>
    <s v="N"/>
    <x v="2"/>
    <n v="2"/>
    <n v="2"/>
    <x v="0"/>
    <m/>
    <m/>
    <m/>
    <n v="1"/>
    <m/>
    <m/>
    <m/>
    <m/>
    <m/>
    <n v="4"/>
    <n v="3"/>
    <x v="1"/>
    <n v="1"/>
    <m/>
    <n v="2"/>
    <x v="0"/>
    <n v="4"/>
    <x v="0"/>
    <m/>
    <m/>
    <n v="50"/>
    <x v="1"/>
    <s v="23/05/2023"/>
    <d v="2023-05-23T00:00:00"/>
    <s v="2023030-2"/>
    <x v="3"/>
  </r>
  <r>
    <x v="458"/>
    <n v="2023030"/>
    <x v="30"/>
    <s v="Chickpea"/>
    <m/>
    <x v="4"/>
    <s v="Y"/>
    <x v="2"/>
    <n v="3"/>
    <n v="3"/>
    <x v="0"/>
    <m/>
    <m/>
    <m/>
    <n v="1"/>
    <m/>
    <m/>
    <m/>
    <m/>
    <m/>
    <n v="5"/>
    <n v="3"/>
    <x v="2"/>
    <n v="1"/>
    <m/>
    <n v="3"/>
    <x v="0"/>
    <n v="3"/>
    <x v="0"/>
    <m/>
    <m/>
    <n v="50"/>
    <x v="1"/>
    <s v="23/05/2023"/>
    <d v="2023-05-23T00:00:00"/>
    <s v="2023030-3"/>
    <x v="3"/>
  </r>
  <r>
    <x v="459"/>
    <n v="2023030"/>
    <x v="30"/>
    <s v="Chickpea"/>
    <m/>
    <x v="3"/>
    <s v="N"/>
    <x v="2"/>
    <n v="4"/>
    <n v="4"/>
    <x v="0"/>
    <m/>
    <m/>
    <m/>
    <n v="1"/>
    <m/>
    <m/>
    <m/>
    <m/>
    <m/>
    <n v="6"/>
    <n v="3"/>
    <x v="3"/>
    <n v="1"/>
    <m/>
    <n v="4"/>
    <x v="0"/>
    <n v="1"/>
    <x v="0"/>
    <m/>
    <m/>
    <n v="50"/>
    <x v="1"/>
    <s v="23/05/2023"/>
    <d v="2023-05-23T00:00:00"/>
    <s v="2023030-4"/>
    <x v="3"/>
  </r>
  <r>
    <x v="460"/>
    <n v="2023030"/>
    <x v="30"/>
    <s v="Chickpea"/>
    <m/>
    <x v="3"/>
    <s v="N"/>
    <x v="2"/>
    <n v="5"/>
    <n v="5"/>
    <x v="0"/>
    <m/>
    <m/>
    <m/>
    <n v="2"/>
    <m/>
    <m/>
    <m/>
    <m/>
    <m/>
    <n v="3"/>
    <n v="6"/>
    <x v="0"/>
    <n v="2"/>
    <m/>
    <n v="8"/>
    <x v="0"/>
    <n v="1"/>
    <x v="0"/>
    <m/>
    <m/>
    <n v="50"/>
    <x v="2"/>
    <s v="12/06/2023"/>
    <d v="2023-06-12T00:00:00"/>
    <s v="2023030-5"/>
    <x v="3"/>
  </r>
  <r>
    <x v="461"/>
    <n v="2023030"/>
    <x v="30"/>
    <s v="Chickpea"/>
    <m/>
    <x v="4"/>
    <s v="Y"/>
    <x v="2"/>
    <n v="6"/>
    <n v="6"/>
    <x v="0"/>
    <m/>
    <m/>
    <m/>
    <n v="2"/>
    <m/>
    <m/>
    <m/>
    <m/>
    <m/>
    <n v="4"/>
    <n v="6"/>
    <x v="1"/>
    <n v="2"/>
    <m/>
    <n v="7"/>
    <x v="0"/>
    <n v="3"/>
    <x v="0"/>
    <m/>
    <m/>
    <n v="50"/>
    <x v="2"/>
    <s v="12/06/2023"/>
    <d v="2023-06-12T00:00:00"/>
    <s v="2023030-6"/>
    <x v="3"/>
  </r>
  <r>
    <x v="462"/>
    <n v="2023030"/>
    <x v="30"/>
    <s v="Chickpea"/>
    <m/>
    <x v="9"/>
    <s v="N"/>
    <x v="2"/>
    <n v="7"/>
    <n v="7"/>
    <x v="0"/>
    <m/>
    <m/>
    <m/>
    <n v="2"/>
    <m/>
    <m/>
    <m/>
    <m/>
    <m/>
    <n v="5"/>
    <n v="6"/>
    <x v="2"/>
    <n v="2"/>
    <m/>
    <n v="6"/>
    <x v="0"/>
    <n v="4"/>
    <x v="0"/>
    <m/>
    <m/>
    <n v="50"/>
    <x v="2"/>
    <s v="12/06/2023"/>
    <d v="2023-06-12T00:00:00"/>
    <s v="2023030-7"/>
    <x v="3"/>
  </r>
  <r>
    <x v="463"/>
    <n v="2023030"/>
    <x v="30"/>
    <s v="Chickpea"/>
    <m/>
    <x v="8"/>
    <s v="Y"/>
    <x v="2"/>
    <n v="8"/>
    <n v="8"/>
    <x v="0"/>
    <m/>
    <m/>
    <m/>
    <n v="2"/>
    <m/>
    <m/>
    <m/>
    <m/>
    <m/>
    <n v="6"/>
    <n v="6"/>
    <x v="3"/>
    <n v="2"/>
    <m/>
    <n v="5"/>
    <x v="0"/>
    <n v="2"/>
    <x v="0"/>
    <m/>
    <m/>
    <n v="50"/>
    <x v="2"/>
    <s v="12/06/2023"/>
    <d v="2023-06-12T00:00:00"/>
    <s v="2023030-8"/>
    <x v="3"/>
  </r>
  <r>
    <x v="457"/>
    <n v="2023030"/>
    <x v="30"/>
    <s v="Chickpea"/>
    <m/>
    <x v="9"/>
    <s v="N"/>
    <x v="2"/>
    <n v="9"/>
    <n v="9"/>
    <x v="1"/>
    <m/>
    <m/>
    <m/>
    <n v="3"/>
    <m/>
    <m/>
    <m/>
    <m/>
    <m/>
    <n v="3"/>
    <n v="9"/>
    <x v="0"/>
    <n v="3"/>
    <m/>
    <n v="9"/>
    <x v="0"/>
    <n v="4"/>
    <x v="0"/>
    <m/>
    <m/>
    <n v="50"/>
    <x v="1"/>
    <s v="23/05/2023"/>
    <d v="2023-05-23T00:00:00"/>
    <s v="2023030-9"/>
    <x v="3"/>
  </r>
  <r>
    <x v="459"/>
    <n v="2023030"/>
    <x v="30"/>
    <s v="Chickpea"/>
    <m/>
    <x v="3"/>
    <s v="N"/>
    <x v="2"/>
    <n v="10"/>
    <n v="10"/>
    <x v="1"/>
    <m/>
    <m/>
    <m/>
    <n v="3"/>
    <m/>
    <m/>
    <m/>
    <m/>
    <m/>
    <n v="4"/>
    <n v="9"/>
    <x v="1"/>
    <n v="3"/>
    <m/>
    <n v="10"/>
    <x v="0"/>
    <n v="1"/>
    <x v="0"/>
    <m/>
    <m/>
    <n v="50"/>
    <x v="1"/>
    <s v="23/05/2023"/>
    <d v="2023-05-23T00:00:00"/>
    <s v="2023030-10"/>
    <x v="3"/>
  </r>
  <r>
    <x v="456"/>
    <n v="2023030"/>
    <x v="30"/>
    <s v="Chickpea"/>
    <m/>
    <x v="8"/>
    <s v="Y"/>
    <x v="2"/>
    <n v="11"/>
    <n v="11"/>
    <x v="1"/>
    <m/>
    <m/>
    <m/>
    <n v="3"/>
    <m/>
    <m/>
    <m/>
    <m/>
    <m/>
    <n v="5"/>
    <n v="9"/>
    <x v="2"/>
    <n v="3"/>
    <m/>
    <n v="11"/>
    <x v="0"/>
    <n v="2"/>
    <x v="0"/>
    <m/>
    <m/>
    <n v="50"/>
    <x v="1"/>
    <s v="23/05/2023"/>
    <d v="2023-05-23T00:00:00"/>
    <s v="2023030-11"/>
    <x v="3"/>
  </r>
  <r>
    <x v="458"/>
    <n v="2023030"/>
    <x v="30"/>
    <s v="Chickpea"/>
    <m/>
    <x v="4"/>
    <s v="Y"/>
    <x v="2"/>
    <n v="12"/>
    <n v="12"/>
    <x v="1"/>
    <m/>
    <m/>
    <m/>
    <n v="3"/>
    <m/>
    <m/>
    <m/>
    <m/>
    <m/>
    <n v="6"/>
    <n v="9"/>
    <x v="3"/>
    <n v="3"/>
    <m/>
    <n v="12"/>
    <x v="0"/>
    <n v="3"/>
    <x v="0"/>
    <m/>
    <m/>
    <n v="50"/>
    <x v="1"/>
    <s v="23/05/2023"/>
    <d v="2023-05-23T00:00:00"/>
    <s v="2023030-12"/>
    <x v="3"/>
  </r>
  <r>
    <x v="463"/>
    <n v="2023030"/>
    <x v="30"/>
    <s v="Chickpea"/>
    <m/>
    <x v="8"/>
    <s v="Y"/>
    <x v="2"/>
    <n v="13"/>
    <n v="13"/>
    <x v="1"/>
    <m/>
    <m/>
    <m/>
    <n v="4"/>
    <m/>
    <m/>
    <m/>
    <m/>
    <m/>
    <n v="3"/>
    <n v="12"/>
    <x v="0"/>
    <n v="4"/>
    <m/>
    <n v="16"/>
    <x v="0"/>
    <n v="2"/>
    <x v="0"/>
    <m/>
    <m/>
    <n v="50"/>
    <x v="2"/>
    <s v="12/06/2023"/>
    <d v="2023-06-12T00:00:00"/>
    <s v="2023030-13"/>
    <x v="3"/>
  </r>
  <r>
    <x v="462"/>
    <n v="2023030"/>
    <x v="30"/>
    <s v="Chickpea"/>
    <m/>
    <x v="9"/>
    <s v="N"/>
    <x v="2"/>
    <n v="14"/>
    <n v="14"/>
    <x v="1"/>
    <m/>
    <m/>
    <m/>
    <n v="4"/>
    <m/>
    <m/>
    <m/>
    <m/>
    <m/>
    <n v="4"/>
    <n v="12"/>
    <x v="1"/>
    <n v="4"/>
    <m/>
    <n v="15"/>
    <x v="0"/>
    <n v="4"/>
    <x v="0"/>
    <m/>
    <m/>
    <n v="50"/>
    <x v="2"/>
    <s v="12/06/2023"/>
    <d v="2023-06-12T00:00:00"/>
    <s v="2023030-14"/>
    <x v="3"/>
  </r>
  <r>
    <x v="461"/>
    <n v="2023030"/>
    <x v="30"/>
    <s v="Chickpea"/>
    <m/>
    <x v="4"/>
    <s v="Y"/>
    <x v="2"/>
    <n v="15"/>
    <n v="15"/>
    <x v="1"/>
    <m/>
    <m/>
    <m/>
    <n v="4"/>
    <m/>
    <m/>
    <m/>
    <m/>
    <m/>
    <n v="5"/>
    <n v="12"/>
    <x v="2"/>
    <n v="4"/>
    <m/>
    <n v="14"/>
    <x v="0"/>
    <n v="3"/>
    <x v="0"/>
    <m/>
    <m/>
    <n v="50"/>
    <x v="2"/>
    <s v="12/06/2023"/>
    <d v="2023-06-12T00:00:00"/>
    <s v="2023030-15"/>
    <x v="3"/>
  </r>
  <r>
    <x v="460"/>
    <n v="2023030"/>
    <x v="30"/>
    <s v="Chickpea"/>
    <m/>
    <x v="3"/>
    <s v="N"/>
    <x v="2"/>
    <n v="16"/>
    <n v="16"/>
    <x v="1"/>
    <m/>
    <m/>
    <m/>
    <n v="4"/>
    <m/>
    <m/>
    <m/>
    <m/>
    <m/>
    <n v="6"/>
    <n v="12"/>
    <x v="3"/>
    <n v="4"/>
    <m/>
    <n v="13"/>
    <x v="0"/>
    <n v="1"/>
    <x v="0"/>
    <m/>
    <m/>
    <n v="50"/>
    <x v="2"/>
    <s v="12/06/2023"/>
    <d v="2023-06-12T00:00:00"/>
    <s v="2023030-16"/>
    <x v="3"/>
  </r>
  <r>
    <x v="461"/>
    <n v="2023030"/>
    <x v="30"/>
    <s v="Chickpea"/>
    <m/>
    <x v="4"/>
    <s v="Y"/>
    <x v="2"/>
    <n v="17"/>
    <n v="17"/>
    <x v="2"/>
    <m/>
    <m/>
    <m/>
    <n v="5"/>
    <m/>
    <m/>
    <m/>
    <m/>
    <m/>
    <n v="3"/>
    <n v="15"/>
    <x v="0"/>
    <n v="5"/>
    <m/>
    <n v="17"/>
    <x v="0"/>
    <n v="3"/>
    <x v="0"/>
    <m/>
    <m/>
    <n v="50"/>
    <x v="2"/>
    <s v="12/06/2023"/>
    <d v="2023-06-12T00:00:00"/>
    <s v="2023030-17"/>
    <x v="3"/>
  </r>
  <r>
    <x v="463"/>
    <n v="2023030"/>
    <x v="30"/>
    <s v="Chickpea"/>
    <m/>
    <x v="8"/>
    <s v="Y"/>
    <x v="2"/>
    <n v="18"/>
    <n v="18"/>
    <x v="2"/>
    <m/>
    <m/>
    <m/>
    <n v="5"/>
    <m/>
    <m/>
    <m/>
    <m/>
    <m/>
    <n v="4"/>
    <n v="15"/>
    <x v="1"/>
    <n v="5"/>
    <m/>
    <n v="18"/>
    <x v="0"/>
    <n v="2"/>
    <x v="0"/>
    <m/>
    <m/>
    <n v="50"/>
    <x v="2"/>
    <s v="12/06/2023"/>
    <d v="2023-06-12T00:00:00"/>
    <s v="2023030-18"/>
    <x v="3"/>
  </r>
  <r>
    <x v="460"/>
    <n v="2023030"/>
    <x v="30"/>
    <s v="Chickpea"/>
    <m/>
    <x v="3"/>
    <s v="N"/>
    <x v="2"/>
    <n v="19"/>
    <n v="19"/>
    <x v="2"/>
    <m/>
    <m/>
    <m/>
    <n v="5"/>
    <m/>
    <m/>
    <m/>
    <m/>
    <m/>
    <n v="5"/>
    <n v="15"/>
    <x v="2"/>
    <n v="5"/>
    <m/>
    <n v="19"/>
    <x v="0"/>
    <n v="1"/>
    <x v="0"/>
    <m/>
    <m/>
    <n v="50"/>
    <x v="2"/>
    <s v="12/06/2023"/>
    <d v="2023-06-12T00:00:00"/>
    <s v="2023030-19"/>
    <x v="3"/>
  </r>
  <r>
    <x v="462"/>
    <n v="2023030"/>
    <x v="30"/>
    <s v="Chickpea"/>
    <m/>
    <x v="9"/>
    <s v="N"/>
    <x v="2"/>
    <n v="20"/>
    <n v="20"/>
    <x v="2"/>
    <m/>
    <m/>
    <m/>
    <n v="5"/>
    <m/>
    <m/>
    <m/>
    <m/>
    <m/>
    <n v="6"/>
    <n v="15"/>
    <x v="3"/>
    <n v="5"/>
    <m/>
    <n v="20"/>
    <x v="0"/>
    <n v="4"/>
    <x v="0"/>
    <m/>
    <m/>
    <n v="50"/>
    <x v="2"/>
    <s v="12/06/2023"/>
    <d v="2023-06-12T00:00:00"/>
    <s v="2023030-20"/>
    <x v="3"/>
  </r>
  <r>
    <x v="459"/>
    <n v="2023030"/>
    <x v="30"/>
    <s v="Chickpea"/>
    <m/>
    <x v="3"/>
    <s v="N"/>
    <x v="2"/>
    <n v="21"/>
    <n v="21"/>
    <x v="2"/>
    <m/>
    <m/>
    <m/>
    <n v="6"/>
    <m/>
    <m/>
    <m/>
    <m/>
    <m/>
    <n v="3"/>
    <n v="18"/>
    <x v="0"/>
    <n v="6"/>
    <m/>
    <n v="24"/>
    <x v="0"/>
    <n v="1"/>
    <x v="0"/>
    <m/>
    <m/>
    <n v="50"/>
    <x v="1"/>
    <s v="23/05/2023"/>
    <d v="2023-05-23T00:00:00"/>
    <s v="2023030-21"/>
    <x v="3"/>
  </r>
  <r>
    <x v="458"/>
    <n v="2023030"/>
    <x v="30"/>
    <s v="Chickpea"/>
    <m/>
    <x v="4"/>
    <s v="Y"/>
    <x v="2"/>
    <n v="22"/>
    <n v="22"/>
    <x v="2"/>
    <m/>
    <m/>
    <m/>
    <n v="6"/>
    <m/>
    <m/>
    <m/>
    <m/>
    <m/>
    <n v="4"/>
    <n v="18"/>
    <x v="1"/>
    <n v="6"/>
    <m/>
    <n v="23"/>
    <x v="0"/>
    <n v="3"/>
    <x v="0"/>
    <m/>
    <m/>
    <n v="50"/>
    <x v="1"/>
    <s v="23/05/2023"/>
    <d v="2023-05-23T00:00:00"/>
    <s v="2023030-22"/>
    <x v="3"/>
  </r>
  <r>
    <x v="457"/>
    <n v="2023030"/>
    <x v="30"/>
    <s v="Chickpea"/>
    <m/>
    <x v="9"/>
    <s v="N"/>
    <x v="2"/>
    <n v="23"/>
    <n v="23"/>
    <x v="2"/>
    <m/>
    <m/>
    <m/>
    <n v="6"/>
    <m/>
    <m/>
    <m/>
    <m/>
    <m/>
    <n v="5"/>
    <n v="18"/>
    <x v="2"/>
    <n v="6"/>
    <m/>
    <n v="22"/>
    <x v="0"/>
    <n v="4"/>
    <x v="0"/>
    <m/>
    <m/>
    <n v="50"/>
    <x v="1"/>
    <s v="23/05/2023"/>
    <d v="2023-05-23T00:00:00"/>
    <s v="2023030-23"/>
    <x v="3"/>
  </r>
  <r>
    <x v="456"/>
    <n v="2023030"/>
    <x v="30"/>
    <s v="Chickpea"/>
    <m/>
    <x v="8"/>
    <s v="Y"/>
    <x v="2"/>
    <n v="24"/>
    <n v="24"/>
    <x v="2"/>
    <m/>
    <m/>
    <m/>
    <n v="6"/>
    <m/>
    <m/>
    <m/>
    <m/>
    <m/>
    <n v="6"/>
    <n v="18"/>
    <x v="3"/>
    <n v="6"/>
    <m/>
    <n v="21"/>
    <x v="0"/>
    <n v="2"/>
    <x v="0"/>
    <m/>
    <m/>
    <n v="50"/>
    <x v="1"/>
    <s v="23/05/2023"/>
    <d v="2023-05-23T00:00:00"/>
    <s v="2023030-24"/>
    <x v="3"/>
  </r>
  <r>
    <x v="462"/>
    <n v="2023030"/>
    <x v="30"/>
    <s v="Chickpea"/>
    <m/>
    <x v="9"/>
    <s v="N"/>
    <x v="2"/>
    <n v="25"/>
    <n v="25"/>
    <x v="3"/>
    <m/>
    <m/>
    <m/>
    <n v="7"/>
    <m/>
    <m/>
    <m/>
    <m/>
    <m/>
    <n v="3"/>
    <n v="21"/>
    <x v="0"/>
    <n v="7"/>
    <m/>
    <n v="25"/>
    <x v="0"/>
    <n v="4"/>
    <x v="0"/>
    <m/>
    <m/>
    <n v="50"/>
    <x v="2"/>
    <s v="12/06/2023"/>
    <d v="2023-06-12T00:00:00"/>
    <s v="2023030-25"/>
    <x v="3"/>
  </r>
  <r>
    <x v="460"/>
    <n v="2023030"/>
    <x v="30"/>
    <s v="Chickpea"/>
    <m/>
    <x v="3"/>
    <s v="N"/>
    <x v="2"/>
    <n v="26"/>
    <n v="26"/>
    <x v="3"/>
    <m/>
    <m/>
    <m/>
    <n v="7"/>
    <m/>
    <m/>
    <m/>
    <m/>
    <m/>
    <n v="4"/>
    <n v="21"/>
    <x v="1"/>
    <n v="7"/>
    <m/>
    <n v="26"/>
    <x v="0"/>
    <n v="1"/>
    <x v="0"/>
    <m/>
    <m/>
    <n v="50"/>
    <x v="2"/>
    <s v="12/06/2023"/>
    <d v="2023-06-12T00:00:00"/>
    <s v="2023030-26"/>
    <x v="3"/>
  </r>
  <r>
    <x v="463"/>
    <n v="2023030"/>
    <x v="30"/>
    <s v="Chickpea"/>
    <m/>
    <x v="8"/>
    <s v="Y"/>
    <x v="2"/>
    <n v="27"/>
    <n v="27"/>
    <x v="3"/>
    <m/>
    <m/>
    <m/>
    <n v="7"/>
    <m/>
    <m/>
    <m/>
    <m/>
    <m/>
    <n v="5"/>
    <n v="21"/>
    <x v="2"/>
    <n v="7"/>
    <m/>
    <n v="27"/>
    <x v="0"/>
    <n v="2"/>
    <x v="0"/>
    <m/>
    <m/>
    <n v="50"/>
    <x v="2"/>
    <s v="12/06/2023"/>
    <d v="2023-06-12T00:00:00"/>
    <s v="2023030-27"/>
    <x v="3"/>
  </r>
  <r>
    <x v="461"/>
    <n v="2023030"/>
    <x v="30"/>
    <s v="Chickpea"/>
    <m/>
    <x v="4"/>
    <s v="Y"/>
    <x v="2"/>
    <n v="28"/>
    <n v="28"/>
    <x v="3"/>
    <m/>
    <m/>
    <m/>
    <n v="7"/>
    <m/>
    <m/>
    <m/>
    <m/>
    <m/>
    <n v="6"/>
    <n v="21"/>
    <x v="3"/>
    <n v="7"/>
    <m/>
    <n v="28"/>
    <x v="0"/>
    <n v="3"/>
    <x v="0"/>
    <m/>
    <m/>
    <n v="50"/>
    <x v="2"/>
    <s v="12/06/2023"/>
    <d v="2023-06-12T00:00:00"/>
    <s v="2023030-28"/>
    <x v="3"/>
  </r>
  <r>
    <x v="458"/>
    <n v="2023030"/>
    <x v="30"/>
    <s v="Chickpea"/>
    <m/>
    <x v="4"/>
    <s v="Y"/>
    <x v="2"/>
    <n v="29"/>
    <n v="29"/>
    <x v="3"/>
    <m/>
    <m/>
    <m/>
    <n v="8"/>
    <m/>
    <m/>
    <m/>
    <m/>
    <m/>
    <n v="3"/>
    <n v="24"/>
    <x v="0"/>
    <n v="8"/>
    <m/>
    <n v="32"/>
    <x v="0"/>
    <n v="3"/>
    <x v="0"/>
    <m/>
    <m/>
    <n v="50"/>
    <x v="1"/>
    <s v="23/05/2023"/>
    <d v="2023-05-23T00:00:00"/>
    <s v="2023030-29"/>
    <x v="3"/>
  </r>
  <r>
    <x v="456"/>
    <n v="2023030"/>
    <x v="30"/>
    <s v="Chickpea"/>
    <m/>
    <x v="8"/>
    <s v="Y"/>
    <x v="2"/>
    <n v="30"/>
    <n v="30"/>
    <x v="3"/>
    <m/>
    <m/>
    <m/>
    <n v="8"/>
    <m/>
    <m/>
    <m/>
    <m/>
    <m/>
    <n v="4"/>
    <n v="24"/>
    <x v="1"/>
    <n v="8"/>
    <m/>
    <n v="31"/>
    <x v="0"/>
    <n v="2"/>
    <x v="0"/>
    <m/>
    <m/>
    <n v="50"/>
    <x v="1"/>
    <s v="23/05/2023"/>
    <d v="2023-05-23T00:00:00"/>
    <s v="2023030-30"/>
    <x v="3"/>
  </r>
  <r>
    <x v="459"/>
    <n v="2023030"/>
    <x v="30"/>
    <s v="Chickpea"/>
    <m/>
    <x v="3"/>
    <s v="N"/>
    <x v="2"/>
    <n v="31"/>
    <n v="31"/>
    <x v="3"/>
    <m/>
    <m/>
    <m/>
    <n v="8"/>
    <m/>
    <m/>
    <m/>
    <m/>
    <m/>
    <n v="5"/>
    <n v="24"/>
    <x v="2"/>
    <n v="8"/>
    <m/>
    <n v="30"/>
    <x v="0"/>
    <n v="1"/>
    <x v="0"/>
    <m/>
    <m/>
    <n v="50"/>
    <x v="1"/>
    <s v="23/05/2023"/>
    <d v="2023-05-23T00:00:00"/>
    <s v="2023030-31"/>
    <x v="3"/>
  </r>
  <r>
    <x v="457"/>
    <n v="2023030"/>
    <x v="30"/>
    <s v="Chickpea"/>
    <m/>
    <x v="9"/>
    <s v="N"/>
    <x v="2"/>
    <n v="32"/>
    <n v="32"/>
    <x v="3"/>
    <m/>
    <m/>
    <m/>
    <n v="8"/>
    <m/>
    <m/>
    <m/>
    <m/>
    <m/>
    <n v="6"/>
    <n v="24"/>
    <x v="3"/>
    <n v="8"/>
    <m/>
    <n v="29"/>
    <x v="0"/>
    <n v="4"/>
    <x v="0"/>
    <m/>
    <m/>
    <n v="50"/>
    <x v="1"/>
    <s v="23/05/2023"/>
    <d v="2023-05-23T00:00:00"/>
    <s v="2023030-32"/>
    <x v="3"/>
  </r>
  <r>
    <x v="464"/>
    <n v="2023031"/>
    <x v="31"/>
    <s v="Chickpea"/>
    <m/>
    <x v="3"/>
    <s v="N"/>
    <x v="2"/>
    <n v="1"/>
    <n v="1"/>
    <x v="0"/>
    <m/>
    <m/>
    <m/>
    <n v="1"/>
    <m/>
    <m/>
    <m/>
    <m/>
    <m/>
    <n v="3"/>
    <n v="2"/>
    <x v="0"/>
    <n v="1"/>
    <m/>
    <n v="1"/>
    <x v="0"/>
    <n v="1"/>
    <x v="0"/>
    <m/>
    <m/>
    <n v="50"/>
    <x v="2"/>
    <s v="27/07/2023"/>
    <d v="2023-07-27T00:00:00"/>
    <s v="2023031-1"/>
    <x v="3"/>
  </r>
  <r>
    <x v="465"/>
    <n v="2023031"/>
    <x v="31"/>
    <s v="Chickpea"/>
    <m/>
    <x v="4"/>
    <s v="Y"/>
    <x v="2"/>
    <n v="2"/>
    <n v="2"/>
    <x v="0"/>
    <m/>
    <m/>
    <m/>
    <n v="1"/>
    <m/>
    <m/>
    <m/>
    <m/>
    <m/>
    <n v="4"/>
    <n v="2"/>
    <x v="1"/>
    <n v="1"/>
    <m/>
    <n v="2"/>
    <x v="0"/>
    <n v="3"/>
    <x v="0"/>
    <m/>
    <m/>
    <n v="50"/>
    <x v="2"/>
    <s v="27/07/2023"/>
    <d v="2023-07-27T00:00:00"/>
    <s v="2023031-2"/>
    <x v="3"/>
  </r>
  <r>
    <x v="466"/>
    <n v="2023031"/>
    <x v="31"/>
    <s v="Chickpea"/>
    <m/>
    <x v="8"/>
    <s v="Y"/>
    <x v="2"/>
    <n v="3"/>
    <n v="3"/>
    <x v="0"/>
    <m/>
    <m/>
    <m/>
    <n v="1"/>
    <m/>
    <m/>
    <m/>
    <m/>
    <m/>
    <n v="5"/>
    <n v="2"/>
    <x v="2"/>
    <n v="1"/>
    <m/>
    <n v="3"/>
    <x v="0"/>
    <n v="2"/>
    <x v="0"/>
    <m/>
    <m/>
    <n v="50"/>
    <x v="2"/>
    <s v="27/07/2023"/>
    <d v="2023-07-27T00:00:00"/>
    <s v="2023031-3"/>
    <x v="3"/>
  </r>
  <r>
    <x v="467"/>
    <n v="2023031"/>
    <x v="31"/>
    <s v="Chickpea"/>
    <m/>
    <x v="9"/>
    <s v="N"/>
    <x v="2"/>
    <n v="4"/>
    <n v="4"/>
    <x v="0"/>
    <m/>
    <m/>
    <m/>
    <n v="1"/>
    <m/>
    <m/>
    <m/>
    <m/>
    <m/>
    <n v="6"/>
    <n v="2"/>
    <x v="3"/>
    <n v="1"/>
    <m/>
    <n v="4"/>
    <x v="0"/>
    <n v="4"/>
    <x v="0"/>
    <m/>
    <m/>
    <n v="50"/>
    <x v="2"/>
    <s v="27/07/2023"/>
    <d v="2023-07-27T00:00:00"/>
    <s v="2023031-4"/>
    <x v="3"/>
  </r>
  <r>
    <x v="468"/>
    <n v="2023031"/>
    <x v="31"/>
    <s v="Chickpea"/>
    <m/>
    <x v="8"/>
    <s v="Y"/>
    <x v="2"/>
    <n v="5"/>
    <n v="5"/>
    <x v="0"/>
    <m/>
    <m/>
    <m/>
    <n v="2"/>
    <m/>
    <m/>
    <m/>
    <m/>
    <m/>
    <n v="3"/>
    <n v="5"/>
    <x v="0"/>
    <n v="2"/>
    <m/>
    <n v="8"/>
    <x v="0"/>
    <n v="2"/>
    <x v="0"/>
    <m/>
    <m/>
    <n v="50"/>
    <x v="1"/>
    <s v="13/07/2023"/>
    <d v="2023-07-13T00:00:00"/>
    <s v="2023031-5"/>
    <x v="3"/>
  </r>
  <r>
    <x v="469"/>
    <n v="2023031"/>
    <x v="31"/>
    <s v="Chickpea"/>
    <m/>
    <x v="9"/>
    <s v="N"/>
    <x v="2"/>
    <n v="6"/>
    <n v="6"/>
    <x v="0"/>
    <m/>
    <m/>
    <m/>
    <n v="2"/>
    <m/>
    <m/>
    <m/>
    <m/>
    <m/>
    <n v="4"/>
    <n v="5"/>
    <x v="1"/>
    <n v="2"/>
    <m/>
    <n v="7"/>
    <x v="0"/>
    <n v="4"/>
    <x v="0"/>
    <m/>
    <m/>
    <n v="50"/>
    <x v="1"/>
    <s v="13/07/2023"/>
    <d v="2023-07-13T00:00:00"/>
    <s v="2023031-6"/>
    <x v="3"/>
  </r>
  <r>
    <x v="470"/>
    <n v="2023031"/>
    <x v="31"/>
    <s v="Chickpea"/>
    <m/>
    <x v="4"/>
    <s v="Y"/>
    <x v="2"/>
    <n v="7"/>
    <n v="7"/>
    <x v="0"/>
    <m/>
    <m/>
    <m/>
    <n v="2"/>
    <m/>
    <m/>
    <m/>
    <m/>
    <m/>
    <n v="5"/>
    <n v="5"/>
    <x v="2"/>
    <n v="2"/>
    <m/>
    <n v="6"/>
    <x v="0"/>
    <n v="3"/>
    <x v="0"/>
    <m/>
    <m/>
    <n v="50"/>
    <x v="1"/>
    <s v="13/07/2023"/>
    <d v="2023-07-13T00:00:00"/>
    <s v="2023031-7"/>
    <x v="3"/>
  </r>
  <r>
    <x v="471"/>
    <n v="2023031"/>
    <x v="31"/>
    <s v="Chickpea"/>
    <m/>
    <x v="3"/>
    <s v="N"/>
    <x v="2"/>
    <n v="8"/>
    <n v="8"/>
    <x v="0"/>
    <m/>
    <m/>
    <m/>
    <n v="2"/>
    <m/>
    <m/>
    <m/>
    <m/>
    <m/>
    <n v="6"/>
    <n v="5"/>
    <x v="3"/>
    <n v="2"/>
    <m/>
    <n v="5"/>
    <x v="0"/>
    <n v="1"/>
    <x v="0"/>
    <m/>
    <m/>
    <n v="50"/>
    <x v="1"/>
    <s v="13/07/2023"/>
    <d v="2023-07-13T00:00:00"/>
    <s v="2023031-8"/>
    <x v="3"/>
  </r>
  <r>
    <x v="469"/>
    <n v="2023031"/>
    <x v="31"/>
    <s v="Chickpea"/>
    <m/>
    <x v="9"/>
    <s v="N"/>
    <x v="2"/>
    <n v="9"/>
    <n v="9"/>
    <x v="1"/>
    <m/>
    <m/>
    <m/>
    <n v="3"/>
    <m/>
    <m/>
    <m/>
    <m/>
    <m/>
    <n v="3"/>
    <n v="8"/>
    <x v="0"/>
    <n v="3"/>
    <m/>
    <n v="9"/>
    <x v="0"/>
    <n v="4"/>
    <x v="0"/>
    <m/>
    <m/>
    <n v="50"/>
    <x v="1"/>
    <s v="13/07/2023"/>
    <d v="2023-07-13T00:00:00"/>
    <s v="2023031-9"/>
    <x v="3"/>
  </r>
  <r>
    <x v="470"/>
    <n v="2023031"/>
    <x v="31"/>
    <s v="Chickpea"/>
    <m/>
    <x v="4"/>
    <s v="Y"/>
    <x v="2"/>
    <n v="10"/>
    <n v="10"/>
    <x v="1"/>
    <m/>
    <m/>
    <m/>
    <n v="3"/>
    <m/>
    <m/>
    <m/>
    <m/>
    <m/>
    <n v="4"/>
    <n v="8"/>
    <x v="1"/>
    <n v="3"/>
    <m/>
    <n v="10"/>
    <x v="0"/>
    <n v="3"/>
    <x v="0"/>
    <m/>
    <m/>
    <n v="50"/>
    <x v="1"/>
    <s v="13/07/2023"/>
    <d v="2023-07-13T00:00:00"/>
    <s v="2023031-10"/>
    <x v="3"/>
  </r>
  <r>
    <x v="471"/>
    <n v="2023031"/>
    <x v="31"/>
    <s v="Chickpea"/>
    <m/>
    <x v="3"/>
    <s v="N"/>
    <x v="2"/>
    <n v="11"/>
    <n v="11"/>
    <x v="1"/>
    <m/>
    <m/>
    <m/>
    <n v="3"/>
    <m/>
    <m/>
    <m/>
    <m/>
    <m/>
    <n v="5"/>
    <n v="8"/>
    <x v="2"/>
    <n v="3"/>
    <m/>
    <n v="11"/>
    <x v="0"/>
    <n v="1"/>
    <x v="0"/>
    <m/>
    <m/>
    <n v="50"/>
    <x v="1"/>
    <s v="13/07/2023"/>
    <d v="2023-07-13T00:00:00"/>
    <s v="2023031-11"/>
    <x v="3"/>
  </r>
  <r>
    <x v="468"/>
    <n v="2023031"/>
    <x v="31"/>
    <s v="Chickpea"/>
    <m/>
    <x v="8"/>
    <s v="Y"/>
    <x v="2"/>
    <n v="12"/>
    <n v="12"/>
    <x v="1"/>
    <m/>
    <m/>
    <m/>
    <n v="3"/>
    <m/>
    <m/>
    <m/>
    <m/>
    <m/>
    <n v="6"/>
    <n v="8"/>
    <x v="3"/>
    <n v="3"/>
    <m/>
    <n v="12"/>
    <x v="0"/>
    <n v="2"/>
    <x v="0"/>
    <m/>
    <m/>
    <n v="50"/>
    <x v="1"/>
    <s v="13/07/2023"/>
    <d v="2023-07-13T00:00:00"/>
    <s v="2023031-12"/>
    <x v="3"/>
  </r>
  <r>
    <x v="466"/>
    <n v="2023031"/>
    <x v="31"/>
    <s v="Chickpea"/>
    <m/>
    <x v="8"/>
    <s v="Y"/>
    <x v="2"/>
    <n v="13"/>
    <n v="13"/>
    <x v="1"/>
    <m/>
    <m/>
    <m/>
    <n v="4"/>
    <m/>
    <m/>
    <m/>
    <m/>
    <m/>
    <n v="3"/>
    <n v="11"/>
    <x v="0"/>
    <n v="4"/>
    <m/>
    <n v="16"/>
    <x v="0"/>
    <n v="2"/>
    <x v="0"/>
    <m/>
    <m/>
    <n v="50"/>
    <x v="2"/>
    <s v="27/07/2023"/>
    <d v="2023-07-27T00:00:00"/>
    <s v="2023031-13"/>
    <x v="3"/>
  </r>
  <r>
    <x v="464"/>
    <n v="2023031"/>
    <x v="31"/>
    <s v="Chickpea"/>
    <m/>
    <x v="3"/>
    <s v="N"/>
    <x v="2"/>
    <n v="14"/>
    <n v="14"/>
    <x v="1"/>
    <m/>
    <m/>
    <m/>
    <n v="4"/>
    <m/>
    <m/>
    <m/>
    <m/>
    <m/>
    <n v="4"/>
    <n v="11"/>
    <x v="1"/>
    <n v="4"/>
    <m/>
    <n v="15"/>
    <x v="0"/>
    <n v="1"/>
    <x v="0"/>
    <m/>
    <m/>
    <n v="50"/>
    <x v="2"/>
    <s v="27/07/2023"/>
    <d v="2023-07-27T00:00:00"/>
    <s v="2023031-14"/>
    <x v="3"/>
  </r>
  <r>
    <x v="467"/>
    <n v="2023031"/>
    <x v="31"/>
    <s v="Chickpea"/>
    <m/>
    <x v="9"/>
    <s v="N"/>
    <x v="2"/>
    <n v="15"/>
    <n v="15"/>
    <x v="1"/>
    <m/>
    <m/>
    <m/>
    <n v="4"/>
    <m/>
    <m/>
    <m/>
    <m/>
    <m/>
    <n v="5"/>
    <n v="11"/>
    <x v="2"/>
    <n v="4"/>
    <m/>
    <n v="14"/>
    <x v="0"/>
    <n v="4"/>
    <x v="0"/>
    <m/>
    <m/>
    <n v="50"/>
    <x v="2"/>
    <s v="27/07/2023"/>
    <d v="2023-07-27T00:00:00"/>
    <s v="2023031-15"/>
    <x v="3"/>
  </r>
  <r>
    <x v="465"/>
    <n v="2023031"/>
    <x v="31"/>
    <s v="Chickpea"/>
    <m/>
    <x v="4"/>
    <s v="Y"/>
    <x v="2"/>
    <n v="16"/>
    <n v="16"/>
    <x v="1"/>
    <m/>
    <m/>
    <m/>
    <n v="4"/>
    <m/>
    <m/>
    <m/>
    <m/>
    <m/>
    <n v="6"/>
    <n v="11"/>
    <x v="3"/>
    <n v="4"/>
    <m/>
    <n v="13"/>
    <x v="0"/>
    <n v="3"/>
    <x v="0"/>
    <m/>
    <m/>
    <n v="50"/>
    <x v="2"/>
    <s v="27/07/2023"/>
    <d v="2023-07-27T00:00:00"/>
    <s v="2023031-16"/>
    <x v="3"/>
  </r>
  <r>
    <x v="470"/>
    <n v="2023031"/>
    <x v="31"/>
    <s v="Chickpea"/>
    <m/>
    <x v="4"/>
    <s v="Y"/>
    <x v="2"/>
    <n v="17"/>
    <n v="17"/>
    <x v="2"/>
    <m/>
    <m/>
    <m/>
    <n v="5"/>
    <m/>
    <m/>
    <m/>
    <m/>
    <m/>
    <n v="3"/>
    <n v="14"/>
    <x v="0"/>
    <n v="5"/>
    <m/>
    <n v="17"/>
    <x v="0"/>
    <n v="3"/>
    <x v="0"/>
    <m/>
    <m/>
    <n v="50"/>
    <x v="1"/>
    <s v="13/07/2023"/>
    <d v="2023-07-13T00:00:00"/>
    <s v="2023031-17"/>
    <x v="3"/>
  </r>
  <r>
    <x v="471"/>
    <n v="2023031"/>
    <x v="31"/>
    <s v="Chickpea"/>
    <m/>
    <x v="3"/>
    <s v="N"/>
    <x v="2"/>
    <n v="18"/>
    <n v="18"/>
    <x v="2"/>
    <m/>
    <m/>
    <m/>
    <n v="5"/>
    <m/>
    <m/>
    <m/>
    <m/>
    <m/>
    <n v="4"/>
    <n v="14"/>
    <x v="1"/>
    <n v="5"/>
    <m/>
    <n v="18"/>
    <x v="0"/>
    <n v="1"/>
    <x v="0"/>
    <m/>
    <m/>
    <n v="50"/>
    <x v="1"/>
    <s v="13/07/2023"/>
    <d v="2023-07-13T00:00:00"/>
    <s v="2023031-18"/>
    <x v="3"/>
  </r>
  <r>
    <x v="468"/>
    <n v="2023031"/>
    <x v="31"/>
    <s v="Chickpea"/>
    <m/>
    <x v="8"/>
    <s v="Y"/>
    <x v="2"/>
    <n v="19"/>
    <n v="19"/>
    <x v="2"/>
    <m/>
    <m/>
    <m/>
    <n v="5"/>
    <m/>
    <m/>
    <m/>
    <m/>
    <m/>
    <n v="5"/>
    <n v="14"/>
    <x v="2"/>
    <n v="5"/>
    <m/>
    <n v="19"/>
    <x v="0"/>
    <n v="2"/>
    <x v="0"/>
    <m/>
    <m/>
    <n v="50"/>
    <x v="1"/>
    <s v="13/07/2023"/>
    <d v="2023-07-13T00:00:00"/>
    <s v="2023031-19"/>
    <x v="3"/>
  </r>
  <r>
    <x v="469"/>
    <n v="2023031"/>
    <x v="31"/>
    <s v="Chickpea"/>
    <m/>
    <x v="9"/>
    <s v="N"/>
    <x v="2"/>
    <n v="20"/>
    <n v="20"/>
    <x v="2"/>
    <m/>
    <m/>
    <m/>
    <n v="5"/>
    <m/>
    <m/>
    <m/>
    <m/>
    <m/>
    <n v="6"/>
    <n v="14"/>
    <x v="3"/>
    <n v="5"/>
    <m/>
    <n v="20"/>
    <x v="0"/>
    <n v="4"/>
    <x v="0"/>
    <m/>
    <m/>
    <n v="50"/>
    <x v="1"/>
    <s v="13/07/2023"/>
    <d v="2023-07-13T00:00:00"/>
    <s v="2023031-20"/>
    <x v="3"/>
  </r>
  <r>
    <x v="467"/>
    <n v="2023031"/>
    <x v="31"/>
    <s v="Chickpea"/>
    <m/>
    <x v="9"/>
    <s v="N"/>
    <x v="2"/>
    <n v="21"/>
    <n v="21"/>
    <x v="2"/>
    <m/>
    <m/>
    <m/>
    <n v="6"/>
    <m/>
    <m/>
    <m/>
    <m/>
    <m/>
    <n v="3"/>
    <n v="17"/>
    <x v="0"/>
    <n v="6"/>
    <m/>
    <n v="24"/>
    <x v="0"/>
    <n v="4"/>
    <x v="0"/>
    <m/>
    <m/>
    <n v="50"/>
    <x v="2"/>
    <s v="27/07/2023"/>
    <d v="2023-07-27T00:00:00"/>
    <s v="2023031-21"/>
    <x v="3"/>
  </r>
  <r>
    <x v="466"/>
    <n v="2023031"/>
    <x v="31"/>
    <s v="Chickpea"/>
    <m/>
    <x v="8"/>
    <s v="Y"/>
    <x v="2"/>
    <n v="22"/>
    <n v="22"/>
    <x v="2"/>
    <m/>
    <m/>
    <m/>
    <n v="6"/>
    <m/>
    <m/>
    <m/>
    <m/>
    <m/>
    <n v="4"/>
    <n v="17"/>
    <x v="1"/>
    <n v="6"/>
    <m/>
    <n v="23"/>
    <x v="0"/>
    <n v="2"/>
    <x v="0"/>
    <m/>
    <m/>
    <n v="50"/>
    <x v="2"/>
    <s v="27/07/2023"/>
    <d v="2023-07-27T00:00:00"/>
    <s v="2023031-22"/>
    <x v="3"/>
  </r>
  <r>
    <x v="465"/>
    <n v="2023031"/>
    <x v="31"/>
    <s v="Chickpea"/>
    <m/>
    <x v="4"/>
    <s v="Y"/>
    <x v="2"/>
    <n v="23"/>
    <n v="23"/>
    <x v="2"/>
    <m/>
    <m/>
    <m/>
    <n v="6"/>
    <m/>
    <m/>
    <m/>
    <m/>
    <m/>
    <n v="5"/>
    <n v="17"/>
    <x v="2"/>
    <n v="6"/>
    <m/>
    <n v="22"/>
    <x v="0"/>
    <n v="3"/>
    <x v="0"/>
    <m/>
    <m/>
    <n v="50"/>
    <x v="2"/>
    <s v="27/07/2023"/>
    <d v="2023-07-27T00:00:00"/>
    <s v="2023031-23"/>
    <x v="3"/>
  </r>
  <r>
    <x v="464"/>
    <n v="2023031"/>
    <x v="31"/>
    <s v="Chickpea"/>
    <m/>
    <x v="3"/>
    <s v="N"/>
    <x v="2"/>
    <n v="24"/>
    <n v="24"/>
    <x v="2"/>
    <m/>
    <m/>
    <m/>
    <n v="6"/>
    <m/>
    <m/>
    <m/>
    <m/>
    <m/>
    <n v="6"/>
    <n v="17"/>
    <x v="3"/>
    <n v="6"/>
    <m/>
    <n v="21"/>
    <x v="0"/>
    <n v="1"/>
    <x v="0"/>
    <m/>
    <m/>
    <n v="50"/>
    <x v="2"/>
    <s v="27/07/2023"/>
    <d v="2023-07-27T00:00:00"/>
    <s v="2023031-24"/>
    <x v="3"/>
  </r>
  <r>
    <x v="465"/>
    <n v="2023031"/>
    <x v="31"/>
    <s v="Chickpea"/>
    <m/>
    <x v="4"/>
    <s v="Y"/>
    <x v="2"/>
    <n v="25"/>
    <n v="25"/>
    <x v="3"/>
    <m/>
    <m/>
    <m/>
    <n v="7"/>
    <m/>
    <m/>
    <m/>
    <m/>
    <m/>
    <n v="3"/>
    <n v="20"/>
    <x v="0"/>
    <n v="7"/>
    <m/>
    <n v="25"/>
    <x v="0"/>
    <n v="3"/>
    <x v="0"/>
    <m/>
    <m/>
    <n v="50"/>
    <x v="2"/>
    <s v="27/07/2023"/>
    <d v="2023-07-27T00:00:00"/>
    <s v="2023031-25"/>
    <x v="3"/>
  </r>
  <r>
    <x v="467"/>
    <n v="2023031"/>
    <x v="31"/>
    <s v="Chickpea"/>
    <m/>
    <x v="9"/>
    <s v="N"/>
    <x v="2"/>
    <n v="26"/>
    <n v="26"/>
    <x v="3"/>
    <m/>
    <m/>
    <m/>
    <n v="7"/>
    <m/>
    <m/>
    <m/>
    <m/>
    <m/>
    <n v="4"/>
    <n v="20"/>
    <x v="1"/>
    <n v="7"/>
    <m/>
    <n v="26"/>
    <x v="0"/>
    <n v="4"/>
    <x v="0"/>
    <m/>
    <m/>
    <n v="50"/>
    <x v="2"/>
    <s v="27/07/2023"/>
    <d v="2023-07-27T00:00:00"/>
    <s v="2023031-26"/>
    <x v="3"/>
  </r>
  <r>
    <x v="464"/>
    <n v="2023031"/>
    <x v="31"/>
    <s v="Chickpea"/>
    <m/>
    <x v="3"/>
    <s v="N"/>
    <x v="2"/>
    <n v="27"/>
    <n v="27"/>
    <x v="3"/>
    <m/>
    <m/>
    <m/>
    <n v="7"/>
    <m/>
    <m/>
    <m/>
    <m/>
    <m/>
    <n v="5"/>
    <n v="20"/>
    <x v="2"/>
    <n v="7"/>
    <m/>
    <n v="27"/>
    <x v="0"/>
    <n v="1"/>
    <x v="0"/>
    <m/>
    <m/>
    <n v="50"/>
    <x v="2"/>
    <s v="27/07/2023"/>
    <d v="2023-07-27T00:00:00"/>
    <s v="2023031-27"/>
    <x v="3"/>
  </r>
  <r>
    <x v="466"/>
    <n v="2023031"/>
    <x v="31"/>
    <s v="Chickpea"/>
    <m/>
    <x v="8"/>
    <s v="Y"/>
    <x v="2"/>
    <n v="28"/>
    <n v="28"/>
    <x v="3"/>
    <m/>
    <m/>
    <m/>
    <n v="7"/>
    <m/>
    <m/>
    <m/>
    <m/>
    <m/>
    <n v="6"/>
    <n v="20"/>
    <x v="3"/>
    <n v="7"/>
    <m/>
    <n v="28"/>
    <x v="0"/>
    <n v="2"/>
    <x v="0"/>
    <m/>
    <m/>
    <n v="50"/>
    <x v="2"/>
    <s v="27/07/2023"/>
    <d v="2023-07-27T00:00:00"/>
    <s v="2023031-28"/>
    <x v="3"/>
  </r>
  <r>
    <x v="471"/>
    <n v="2023031"/>
    <x v="31"/>
    <s v="Chickpea"/>
    <m/>
    <x v="3"/>
    <s v="N"/>
    <x v="2"/>
    <n v="29"/>
    <n v="29"/>
    <x v="3"/>
    <m/>
    <m/>
    <m/>
    <n v="8"/>
    <m/>
    <m/>
    <m/>
    <m/>
    <m/>
    <n v="3"/>
    <n v="23"/>
    <x v="0"/>
    <n v="8"/>
    <m/>
    <n v="32"/>
    <x v="0"/>
    <n v="1"/>
    <x v="0"/>
    <m/>
    <m/>
    <n v="50"/>
    <x v="1"/>
    <s v="13/07/2023"/>
    <d v="2023-07-13T00:00:00"/>
    <s v="2023031-29"/>
    <x v="3"/>
  </r>
  <r>
    <x v="468"/>
    <n v="2023031"/>
    <x v="31"/>
    <s v="Chickpea"/>
    <m/>
    <x v="8"/>
    <s v="Y"/>
    <x v="2"/>
    <n v="30"/>
    <n v="30"/>
    <x v="3"/>
    <m/>
    <m/>
    <m/>
    <n v="8"/>
    <m/>
    <m/>
    <m/>
    <m/>
    <m/>
    <n v="4"/>
    <n v="23"/>
    <x v="1"/>
    <n v="8"/>
    <m/>
    <n v="31"/>
    <x v="0"/>
    <n v="2"/>
    <x v="0"/>
    <m/>
    <m/>
    <n v="50"/>
    <x v="1"/>
    <s v="13/07/2023"/>
    <d v="2023-07-13T00:00:00"/>
    <s v="2023031-30"/>
    <x v="3"/>
  </r>
  <r>
    <x v="469"/>
    <n v="2023031"/>
    <x v="31"/>
    <s v="Chickpea"/>
    <m/>
    <x v="9"/>
    <s v="N"/>
    <x v="2"/>
    <n v="31"/>
    <n v="31"/>
    <x v="3"/>
    <m/>
    <m/>
    <m/>
    <n v="8"/>
    <m/>
    <m/>
    <m/>
    <m/>
    <m/>
    <n v="5"/>
    <n v="23"/>
    <x v="2"/>
    <n v="8"/>
    <m/>
    <n v="30"/>
    <x v="0"/>
    <n v="4"/>
    <x v="0"/>
    <m/>
    <m/>
    <n v="50"/>
    <x v="1"/>
    <s v="13/07/2023"/>
    <d v="2023-07-13T00:00:00"/>
    <s v="2023031-31"/>
    <x v="3"/>
  </r>
  <r>
    <x v="470"/>
    <n v="2023031"/>
    <x v="31"/>
    <s v="Chickpea"/>
    <m/>
    <x v="4"/>
    <s v="Y"/>
    <x v="2"/>
    <n v="32"/>
    <n v="32"/>
    <x v="3"/>
    <m/>
    <m/>
    <m/>
    <n v="8"/>
    <m/>
    <m/>
    <m/>
    <m/>
    <m/>
    <n v="6"/>
    <n v="23"/>
    <x v="3"/>
    <n v="8"/>
    <m/>
    <n v="29"/>
    <x v="0"/>
    <n v="3"/>
    <x v="0"/>
    <m/>
    <m/>
    <n v="50"/>
    <x v="1"/>
    <s v="13/07/2023"/>
    <d v="2023-07-13T00:00:00"/>
    <s v="2023031-32"/>
    <x v="3"/>
  </r>
  <r>
    <x v="472"/>
    <n v="2023032"/>
    <x v="32"/>
    <s v="Fababean"/>
    <m/>
    <x v="10"/>
    <s v="Y"/>
    <x v="2"/>
    <n v="1"/>
    <n v="1"/>
    <x v="0"/>
    <m/>
    <m/>
    <m/>
    <n v="1"/>
    <m/>
    <m/>
    <m/>
    <m/>
    <m/>
    <n v="1"/>
    <n v="2"/>
    <x v="0"/>
    <n v="1"/>
    <m/>
    <n v="1"/>
    <x v="0"/>
    <n v="4"/>
    <x v="2"/>
    <m/>
    <m/>
    <n v="23"/>
    <x v="2"/>
    <s v="8/05/2023"/>
    <d v="2023-05-08T00:00:00"/>
    <s v="2023032-1"/>
    <x v="4"/>
  </r>
  <r>
    <x v="473"/>
    <n v="2023032"/>
    <x v="32"/>
    <s v="Fababean"/>
    <m/>
    <x v="13"/>
    <s v="Y"/>
    <x v="2"/>
    <n v="2"/>
    <n v="2"/>
    <x v="0"/>
    <m/>
    <m/>
    <m/>
    <n v="1"/>
    <m/>
    <m/>
    <m/>
    <m/>
    <m/>
    <n v="2"/>
    <n v="2"/>
    <x v="1"/>
    <n v="1"/>
    <m/>
    <n v="2"/>
    <x v="0"/>
    <n v="3"/>
    <x v="2"/>
    <m/>
    <m/>
    <n v="23"/>
    <x v="2"/>
    <s v="8/05/2023"/>
    <d v="2023-05-08T00:00:00"/>
    <s v="2023032-2"/>
    <x v="4"/>
  </r>
  <r>
    <x v="474"/>
    <n v="2023032"/>
    <x v="32"/>
    <s v="Fababean"/>
    <m/>
    <x v="12"/>
    <s v="N"/>
    <x v="2"/>
    <n v="3"/>
    <n v="3"/>
    <x v="0"/>
    <m/>
    <m/>
    <m/>
    <n v="1"/>
    <m/>
    <m/>
    <m/>
    <m/>
    <m/>
    <n v="3"/>
    <n v="2"/>
    <x v="2"/>
    <n v="1"/>
    <m/>
    <n v="3"/>
    <x v="0"/>
    <n v="5"/>
    <x v="1"/>
    <m/>
    <m/>
    <n v="23"/>
    <x v="2"/>
    <s v="8/05/2023"/>
    <d v="2023-05-08T00:00:00"/>
    <s v="2023032-3"/>
    <x v="4"/>
  </r>
  <r>
    <x v="475"/>
    <n v="2023032"/>
    <x v="32"/>
    <s v="Fababean"/>
    <m/>
    <x v="11"/>
    <s v="N"/>
    <x v="2"/>
    <n v="4"/>
    <n v="4"/>
    <x v="0"/>
    <m/>
    <m/>
    <m/>
    <n v="1"/>
    <m/>
    <m/>
    <m/>
    <m/>
    <m/>
    <n v="1"/>
    <n v="3"/>
    <x v="0"/>
    <n v="2"/>
    <m/>
    <n v="6"/>
    <x v="0"/>
    <n v="6"/>
    <x v="1"/>
    <m/>
    <m/>
    <n v="23"/>
    <x v="2"/>
    <s v="8/05/2023"/>
    <d v="2023-05-08T00:00:00"/>
    <s v="2023032-4"/>
    <x v="4"/>
  </r>
  <r>
    <x v="476"/>
    <n v="2023032"/>
    <x v="32"/>
    <s v="Fababean"/>
    <m/>
    <x v="11"/>
    <s v="N"/>
    <x v="2"/>
    <n v="5"/>
    <n v="5"/>
    <x v="0"/>
    <m/>
    <m/>
    <m/>
    <n v="1"/>
    <m/>
    <m/>
    <m/>
    <m/>
    <m/>
    <n v="2"/>
    <n v="3"/>
    <x v="1"/>
    <n v="2"/>
    <m/>
    <n v="5"/>
    <x v="0"/>
    <n v="2"/>
    <x v="2"/>
    <m/>
    <m/>
    <n v="23"/>
    <x v="2"/>
    <s v="8/05/2023"/>
    <d v="2023-05-08T00:00:00"/>
    <s v="2023032-5"/>
    <x v="4"/>
  </r>
  <r>
    <x v="477"/>
    <n v="2023032"/>
    <x v="32"/>
    <s v="Fababean"/>
    <m/>
    <x v="12"/>
    <s v="N"/>
    <x v="2"/>
    <n v="6"/>
    <n v="6"/>
    <x v="0"/>
    <m/>
    <m/>
    <m/>
    <n v="1"/>
    <m/>
    <m/>
    <m/>
    <m/>
    <m/>
    <n v="3"/>
    <n v="3"/>
    <x v="2"/>
    <n v="2"/>
    <m/>
    <n v="4"/>
    <x v="0"/>
    <n v="1"/>
    <x v="2"/>
    <m/>
    <m/>
    <n v="23"/>
    <x v="2"/>
    <s v="8/05/2023"/>
    <d v="2023-05-08T00:00:00"/>
    <s v="2023032-6"/>
    <x v="4"/>
  </r>
  <r>
    <x v="478"/>
    <n v="2023032"/>
    <x v="32"/>
    <s v="Fababean"/>
    <m/>
    <x v="11"/>
    <s v="N"/>
    <x v="2"/>
    <n v="7"/>
    <n v="7"/>
    <x v="0"/>
    <m/>
    <m/>
    <m/>
    <n v="2"/>
    <m/>
    <m/>
    <m/>
    <m/>
    <m/>
    <n v="1"/>
    <n v="5"/>
    <x v="0"/>
    <n v="3"/>
    <m/>
    <n v="7"/>
    <x v="0"/>
    <n v="2"/>
    <x v="2"/>
    <m/>
    <m/>
    <n v="23"/>
    <x v="1"/>
    <s v="13/04/2023"/>
    <d v="2023-04-13T00:00:00"/>
    <s v="2023032-7"/>
    <x v="4"/>
  </r>
  <r>
    <x v="479"/>
    <n v="2023032"/>
    <x v="32"/>
    <s v="Fababean"/>
    <m/>
    <x v="11"/>
    <s v="N"/>
    <x v="2"/>
    <n v="8"/>
    <n v="8"/>
    <x v="0"/>
    <m/>
    <m/>
    <m/>
    <n v="2"/>
    <m/>
    <m/>
    <m/>
    <m/>
    <m/>
    <n v="2"/>
    <n v="5"/>
    <x v="1"/>
    <n v="3"/>
    <m/>
    <n v="8"/>
    <x v="0"/>
    <n v="6"/>
    <x v="1"/>
    <m/>
    <m/>
    <n v="23"/>
    <x v="1"/>
    <s v="13/04/2023"/>
    <d v="2023-04-13T00:00:00"/>
    <s v="2023032-8"/>
    <x v="4"/>
  </r>
  <r>
    <x v="480"/>
    <n v="2023032"/>
    <x v="32"/>
    <s v="Fababean"/>
    <m/>
    <x v="13"/>
    <s v="Y"/>
    <x v="2"/>
    <n v="9"/>
    <n v="9"/>
    <x v="0"/>
    <m/>
    <m/>
    <m/>
    <n v="2"/>
    <m/>
    <m/>
    <m/>
    <m/>
    <m/>
    <n v="3"/>
    <n v="5"/>
    <x v="2"/>
    <n v="3"/>
    <m/>
    <n v="9"/>
    <x v="0"/>
    <n v="3"/>
    <x v="2"/>
    <m/>
    <m/>
    <n v="23"/>
    <x v="1"/>
    <s v="13/04/2023"/>
    <d v="2023-04-13T00:00:00"/>
    <s v="2023032-9"/>
    <x v="4"/>
  </r>
  <r>
    <x v="481"/>
    <n v="2023032"/>
    <x v="32"/>
    <s v="Fababean"/>
    <m/>
    <x v="12"/>
    <s v="N"/>
    <x v="2"/>
    <n v="10"/>
    <n v="10"/>
    <x v="0"/>
    <m/>
    <m/>
    <m/>
    <n v="2"/>
    <m/>
    <m/>
    <m/>
    <m/>
    <m/>
    <n v="1"/>
    <n v="6"/>
    <x v="0"/>
    <n v="4"/>
    <m/>
    <n v="12"/>
    <x v="0"/>
    <n v="5"/>
    <x v="1"/>
    <m/>
    <m/>
    <n v="23"/>
    <x v="1"/>
    <s v="13/04/2023"/>
    <d v="2023-04-13T00:00:00"/>
    <s v="2023032-10"/>
    <x v="4"/>
  </r>
  <r>
    <x v="482"/>
    <n v="2023032"/>
    <x v="32"/>
    <s v="Fababean"/>
    <m/>
    <x v="12"/>
    <s v="N"/>
    <x v="2"/>
    <n v="11"/>
    <n v="11"/>
    <x v="0"/>
    <m/>
    <m/>
    <m/>
    <n v="2"/>
    <m/>
    <m/>
    <m/>
    <m/>
    <m/>
    <n v="2"/>
    <n v="6"/>
    <x v="1"/>
    <n v="4"/>
    <m/>
    <n v="11"/>
    <x v="0"/>
    <n v="1"/>
    <x v="2"/>
    <m/>
    <m/>
    <n v="23"/>
    <x v="1"/>
    <s v="13/04/2023"/>
    <d v="2023-04-13T00:00:00"/>
    <s v="2023032-11"/>
    <x v="4"/>
  </r>
  <r>
    <x v="483"/>
    <n v="2023032"/>
    <x v="32"/>
    <s v="Fababean"/>
    <m/>
    <x v="10"/>
    <s v="Y"/>
    <x v="2"/>
    <n v="12"/>
    <n v="12"/>
    <x v="0"/>
    <m/>
    <m/>
    <m/>
    <n v="2"/>
    <m/>
    <m/>
    <m/>
    <m/>
    <m/>
    <n v="3"/>
    <n v="6"/>
    <x v="2"/>
    <n v="4"/>
    <m/>
    <n v="10"/>
    <x v="0"/>
    <n v="4"/>
    <x v="2"/>
    <m/>
    <m/>
    <n v="23"/>
    <x v="1"/>
    <s v="13/04/2023"/>
    <d v="2023-04-13T00:00:00"/>
    <s v="2023032-12"/>
    <x v="4"/>
  </r>
  <r>
    <x v="482"/>
    <n v="2023032"/>
    <x v="32"/>
    <s v="Fababean"/>
    <m/>
    <x v="12"/>
    <s v="N"/>
    <x v="2"/>
    <n v="13"/>
    <n v="13"/>
    <x v="1"/>
    <m/>
    <m/>
    <m/>
    <n v="3"/>
    <m/>
    <m/>
    <m/>
    <m/>
    <m/>
    <n v="1"/>
    <n v="8"/>
    <x v="0"/>
    <n v="5"/>
    <m/>
    <n v="13"/>
    <x v="0"/>
    <n v="1"/>
    <x v="2"/>
    <m/>
    <m/>
    <n v="23"/>
    <x v="1"/>
    <s v="13/04/2023"/>
    <d v="2023-04-13T00:00:00"/>
    <s v="2023032-13"/>
    <x v="4"/>
  </r>
  <r>
    <x v="479"/>
    <n v="2023032"/>
    <x v="32"/>
    <s v="Fababean"/>
    <m/>
    <x v="11"/>
    <s v="N"/>
    <x v="2"/>
    <n v="14"/>
    <n v="14"/>
    <x v="1"/>
    <m/>
    <m/>
    <m/>
    <n v="3"/>
    <m/>
    <m/>
    <m/>
    <m/>
    <m/>
    <n v="2"/>
    <n v="8"/>
    <x v="1"/>
    <n v="5"/>
    <m/>
    <n v="14"/>
    <x v="0"/>
    <n v="6"/>
    <x v="1"/>
    <m/>
    <m/>
    <n v="23"/>
    <x v="1"/>
    <s v="13/04/2023"/>
    <d v="2023-04-13T00:00:00"/>
    <s v="2023032-14"/>
    <x v="4"/>
  </r>
  <r>
    <x v="481"/>
    <n v="2023032"/>
    <x v="32"/>
    <s v="Fababean"/>
    <m/>
    <x v="12"/>
    <s v="N"/>
    <x v="2"/>
    <n v="15"/>
    <n v="15"/>
    <x v="1"/>
    <m/>
    <m/>
    <m/>
    <n v="3"/>
    <m/>
    <m/>
    <m/>
    <m/>
    <m/>
    <n v="3"/>
    <n v="8"/>
    <x v="2"/>
    <n v="5"/>
    <m/>
    <n v="15"/>
    <x v="0"/>
    <n v="5"/>
    <x v="1"/>
    <m/>
    <m/>
    <n v="23"/>
    <x v="1"/>
    <s v="13/04/2023"/>
    <d v="2023-04-13T00:00:00"/>
    <s v="2023032-15"/>
    <x v="4"/>
  </r>
  <r>
    <x v="480"/>
    <n v="2023032"/>
    <x v="32"/>
    <s v="Fababean"/>
    <m/>
    <x v="13"/>
    <s v="Y"/>
    <x v="2"/>
    <n v="16"/>
    <n v="16"/>
    <x v="1"/>
    <m/>
    <m/>
    <m/>
    <n v="3"/>
    <m/>
    <m/>
    <m/>
    <m/>
    <m/>
    <n v="1"/>
    <n v="9"/>
    <x v="0"/>
    <n v="6"/>
    <m/>
    <n v="18"/>
    <x v="0"/>
    <n v="3"/>
    <x v="2"/>
    <m/>
    <m/>
    <n v="23"/>
    <x v="1"/>
    <s v="13/04/2023"/>
    <d v="2023-04-13T00:00:00"/>
    <s v="2023032-16"/>
    <x v="4"/>
  </r>
  <r>
    <x v="478"/>
    <n v="2023032"/>
    <x v="32"/>
    <s v="Fababean"/>
    <m/>
    <x v="11"/>
    <s v="N"/>
    <x v="2"/>
    <n v="17"/>
    <n v="17"/>
    <x v="1"/>
    <m/>
    <m/>
    <m/>
    <n v="3"/>
    <m/>
    <m/>
    <m/>
    <m/>
    <m/>
    <n v="2"/>
    <n v="9"/>
    <x v="1"/>
    <n v="6"/>
    <m/>
    <n v="17"/>
    <x v="0"/>
    <n v="2"/>
    <x v="2"/>
    <m/>
    <m/>
    <n v="23"/>
    <x v="1"/>
    <s v="13/04/2023"/>
    <d v="2023-04-13T00:00:00"/>
    <s v="2023032-17"/>
    <x v="4"/>
  </r>
  <r>
    <x v="483"/>
    <n v="2023032"/>
    <x v="32"/>
    <s v="Fababean"/>
    <m/>
    <x v="10"/>
    <s v="Y"/>
    <x v="2"/>
    <n v="18"/>
    <n v="18"/>
    <x v="1"/>
    <m/>
    <m/>
    <m/>
    <n v="3"/>
    <m/>
    <m/>
    <m/>
    <m/>
    <m/>
    <n v="3"/>
    <n v="9"/>
    <x v="2"/>
    <n v="6"/>
    <m/>
    <n v="16"/>
    <x v="0"/>
    <n v="4"/>
    <x v="2"/>
    <m/>
    <m/>
    <n v="23"/>
    <x v="1"/>
    <s v="13/04/2023"/>
    <d v="2023-04-13T00:00:00"/>
    <s v="2023032-18"/>
    <x v="4"/>
  </r>
  <r>
    <x v="475"/>
    <n v="2023032"/>
    <x v="32"/>
    <s v="Fababean"/>
    <m/>
    <x v="11"/>
    <s v="N"/>
    <x v="2"/>
    <n v="19"/>
    <n v="19"/>
    <x v="1"/>
    <m/>
    <m/>
    <m/>
    <n v="4"/>
    <m/>
    <m/>
    <m/>
    <m/>
    <m/>
    <n v="1"/>
    <n v="11"/>
    <x v="0"/>
    <n v="7"/>
    <m/>
    <n v="19"/>
    <x v="0"/>
    <n v="6"/>
    <x v="1"/>
    <m/>
    <m/>
    <n v="23"/>
    <x v="2"/>
    <s v="8/05/2023"/>
    <d v="2023-05-08T00:00:00"/>
    <s v="2023032-19"/>
    <x v="4"/>
  </r>
  <r>
    <x v="474"/>
    <n v="2023032"/>
    <x v="32"/>
    <s v="Fababean"/>
    <m/>
    <x v="12"/>
    <s v="N"/>
    <x v="2"/>
    <n v="20"/>
    <n v="20"/>
    <x v="1"/>
    <m/>
    <m/>
    <m/>
    <n v="4"/>
    <m/>
    <m/>
    <m/>
    <m/>
    <m/>
    <n v="2"/>
    <n v="11"/>
    <x v="1"/>
    <n v="7"/>
    <m/>
    <n v="20"/>
    <x v="0"/>
    <n v="5"/>
    <x v="1"/>
    <m/>
    <m/>
    <n v="23"/>
    <x v="2"/>
    <s v="8/05/2023"/>
    <d v="2023-05-08T00:00:00"/>
    <s v="2023032-20"/>
    <x v="4"/>
  </r>
  <r>
    <x v="476"/>
    <n v="2023032"/>
    <x v="32"/>
    <s v="Fababean"/>
    <m/>
    <x v="11"/>
    <s v="N"/>
    <x v="2"/>
    <n v="21"/>
    <n v="21"/>
    <x v="1"/>
    <m/>
    <m/>
    <m/>
    <n v="4"/>
    <m/>
    <m/>
    <m/>
    <m/>
    <m/>
    <n v="3"/>
    <n v="11"/>
    <x v="2"/>
    <n v="7"/>
    <m/>
    <n v="21"/>
    <x v="0"/>
    <n v="2"/>
    <x v="2"/>
    <m/>
    <m/>
    <n v="23"/>
    <x v="2"/>
    <s v="8/05/2023"/>
    <d v="2023-05-08T00:00:00"/>
    <s v="2023032-21"/>
    <x v="4"/>
  </r>
  <r>
    <x v="477"/>
    <n v="2023032"/>
    <x v="32"/>
    <s v="Fababean"/>
    <m/>
    <x v="12"/>
    <s v="N"/>
    <x v="2"/>
    <n v="22"/>
    <n v="22"/>
    <x v="1"/>
    <m/>
    <m/>
    <m/>
    <n v="4"/>
    <m/>
    <m/>
    <m/>
    <m/>
    <m/>
    <n v="1"/>
    <n v="12"/>
    <x v="0"/>
    <n v="8"/>
    <m/>
    <n v="24"/>
    <x v="0"/>
    <n v="1"/>
    <x v="2"/>
    <m/>
    <m/>
    <n v="23"/>
    <x v="2"/>
    <s v="8/05/2023"/>
    <d v="2023-05-08T00:00:00"/>
    <s v="2023032-22"/>
    <x v="4"/>
  </r>
  <r>
    <x v="473"/>
    <n v="2023032"/>
    <x v="32"/>
    <s v="Fababean"/>
    <m/>
    <x v="13"/>
    <s v="Y"/>
    <x v="2"/>
    <n v="23"/>
    <n v="23"/>
    <x v="1"/>
    <m/>
    <m/>
    <m/>
    <n v="4"/>
    <m/>
    <m/>
    <m/>
    <m/>
    <m/>
    <n v="2"/>
    <n v="12"/>
    <x v="1"/>
    <n v="8"/>
    <m/>
    <n v="23"/>
    <x v="0"/>
    <n v="3"/>
    <x v="2"/>
    <m/>
    <m/>
    <n v="23"/>
    <x v="2"/>
    <s v="8/05/2023"/>
    <d v="2023-05-08T00:00:00"/>
    <s v="2023032-23"/>
    <x v="4"/>
  </r>
  <r>
    <x v="472"/>
    <n v="2023032"/>
    <x v="32"/>
    <s v="Fababean"/>
    <m/>
    <x v="10"/>
    <s v="Y"/>
    <x v="2"/>
    <n v="24"/>
    <n v="24"/>
    <x v="1"/>
    <m/>
    <m/>
    <m/>
    <n v="4"/>
    <m/>
    <m/>
    <m/>
    <m/>
    <m/>
    <n v="3"/>
    <n v="12"/>
    <x v="2"/>
    <n v="8"/>
    <m/>
    <n v="22"/>
    <x v="0"/>
    <n v="4"/>
    <x v="2"/>
    <m/>
    <m/>
    <n v="23"/>
    <x v="2"/>
    <s v="8/05/2023"/>
    <d v="2023-05-08T00:00:00"/>
    <s v="2023032-24"/>
    <x v="4"/>
  </r>
  <r>
    <x v="481"/>
    <n v="2023032"/>
    <x v="32"/>
    <s v="Fababean"/>
    <m/>
    <x v="12"/>
    <s v="N"/>
    <x v="2"/>
    <n v="25"/>
    <n v="25"/>
    <x v="2"/>
    <m/>
    <m/>
    <m/>
    <n v="5"/>
    <m/>
    <m/>
    <m/>
    <m/>
    <m/>
    <n v="1"/>
    <n v="14"/>
    <x v="0"/>
    <n v="9"/>
    <m/>
    <n v="25"/>
    <x v="0"/>
    <n v="5"/>
    <x v="1"/>
    <m/>
    <m/>
    <n v="23"/>
    <x v="1"/>
    <s v="13/04/2023"/>
    <d v="2023-04-13T00:00:00"/>
    <s v="2023032-25"/>
    <x v="4"/>
  </r>
  <r>
    <x v="483"/>
    <n v="2023032"/>
    <x v="32"/>
    <s v="Fababean"/>
    <m/>
    <x v="10"/>
    <s v="Y"/>
    <x v="2"/>
    <n v="26"/>
    <n v="26"/>
    <x v="2"/>
    <m/>
    <m/>
    <m/>
    <n v="5"/>
    <m/>
    <m/>
    <m/>
    <m/>
    <m/>
    <n v="2"/>
    <n v="14"/>
    <x v="1"/>
    <n v="9"/>
    <m/>
    <n v="26"/>
    <x v="0"/>
    <n v="4"/>
    <x v="2"/>
    <m/>
    <m/>
    <n v="23"/>
    <x v="1"/>
    <s v="13/04/2023"/>
    <d v="2023-04-13T00:00:00"/>
    <s v="2023032-26"/>
    <x v="4"/>
  </r>
  <r>
    <x v="479"/>
    <n v="2023032"/>
    <x v="32"/>
    <s v="Fababean"/>
    <m/>
    <x v="11"/>
    <s v="N"/>
    <x v="2"/>
    <n v="27"/>
    <n v="27"/>
    <x v="2"/>
    <m/>
    <m/>
    <m/>
    <n v="5"/>
    <m/>
    <m/>
    <m/>
    <m/>
    <m/>
    <n v="3"/>
    <n v="14"/>
    <x v="2"/>
    <n v="9"/>
    <m/>
    <n v="27"/>
    <x v="0"/>
    <n v="6"/>
    <x v="1"/>
    <m/>
    <m/>
    <n v="23"/>
    <x v="1"/>
    <s v="13/04/2023"/>
    <d v="2023-04-13T00:00:00"/>
    <s v="2023032-27"/>
    <x v="4"/>
  </r>
  <r>
    <x v="478"/>
    <n v="2023032"/>
    <x v="32"/>
    <s v="Fababean"/>
    <m/>
    <x v="11"/>
    <s v="N"/>
    <x v="2"/>
    <n v="28"/>
    <n v="28"/>
    <x v="2"/>
    <m/>
    <m/>
    <m/>
    <n v="5"/>
    <m/>
    <m/>
    <m/>
    <m/>
    <m/>
    <n v="1"/>
    <n v="15"/>
    <x v="0"/>
    <n v="10"/>
    <m/>
    <n v="30"/>
    <x v="0"/>
    <n v="2"/>
    <x v="2"/>
    <m/>
    <m/>
    <n v="23"/>
    <x v="1"/>
    <s v="13/04/2023"/>
    <d v="2023-04-13T00:00:00"/>
    <s v="2023032-28"/>
    <x v="4"/>
  </r>
  <r>
    <x v="482"/>
    <n v="2023032"/>
    <x v="32"/>
    <s v="Fababean"/>
    <m/>
    <x v="12"/>
    <s v="N"/>
    <x v="2"/>
    <n v="29"/>
    <n v="29"/>
    <x v="2"/>
    <m/>
    <m/>
    <m/>
    <n v="5"/>
    <m/>
    <m/>
    <m/>
    <m/>
    <m/>
    <n v="2"/>
    <n v="15"/>
    <x v="1"/>
    <n v="10"/>
    <m/>
    <n v="29"/>
    <x v="0"/>
    <n v="1"/>
    <x v="2"/>
    <m/>
    <m/>
    <n v="23"/>
    <x v="1"/>
    <s v="13/04/2023"/>
    <d v="2023-04-13T00:00:00"/>
    <s v="2023032-29"/>
    <x v="4"/>
  </r>
  <r>
    <x v="480"/>
    <n v="2023032"/>
    <x v="32"/>
    <s v="Fababean"/>
    <m/>
    <x v="13"/>
    <s v="Y"/>
    <x v="2"/>
    <n v="30"/>
    <n v="30"/>
    <x v="2"/>
    <m/>
    <m/>
    <m/>
    <n v="5"/>
    <m/>
    <m/>
    <m/>
    <m/>
    <m/>
    <n v="3"/>
    <n v="15"/>
    <x v="2"/>
    <n v="10"/>
    <m/>
    <n v="28"/>
    <x v="0"/>
    <n v="3"/>
    <x v="2"/>
    <m/>
    <m/>
    <n v="23"/>
    <x v="1"/>
    <s v="13/04/2023"/>
    <d v="2023-04-13T00:00:00"/>
    <s v="2023032-30"/>
    <x v="4"/>
  </r>
  <r>
    <x v="472"/>
    <n v="2023032"/>
    <x v="32"/>
    <s v="Fababean"/>
    <m/>
    <x v="10"/>
    <s v="Y"/>
    <x v="2"/>
    <n v="31"/>
    <n v="31"/>
    <x v="2"/>
    <m/>
    <m/>
    <m/>
    <n v="6"/>
    <m/>
    <m/>
    <m/>
    <m/>
    <m/>
    <n v="1"/>
    <n v="17"/>
    <x v="0"/>
    <n v="11"/>
    <m/>
    <n v="31"/>
    <x v="0"/>
    <n v="4"/>
    <x v="2"/>
    <m/>
    <m/>
    <n v="23"/>
    <x v="2"/>
    <s v="8/05/2023"/>
    <d v="2023-05-08T00:00:00"/>
    <s v="2023032-31"/>
    <x v="4"/>
  </r>
  <r>
    <x v="475"/>
    <n v="2023032"/>
    <x v="32"/>
    <s v="Fababean"/>
    <m/>
    <x v="11"/>
    <s v="N"/>
    <x v="2"/>
    <n v="32"/>
    <n v="32"/>
    <x v="2"/>
    <m/>
    <m/>
    <m/>
    <n v="6"/>
    <m/>
    <m/>
    <m/>
    <m/>
    <m/>
    <n v="2"/>
    <n v="17"/>
    <x v="1"/>
    <n v="11"/>
    <m/>
    <n v="32"/>
    <x v="0"/>
    <n v="6"/>
    <x v="1"/>
    <m/>
    <m/>
    <n v="23"/>
    <x v="2"/>
    <s v="8/05/2023"/>
    <d v="2023-05-08T00:00:00"/>
    <s v="2023032-32"/>
    <x v="4"/>
  </r>
  <r>
    <x v="473"/>
    <n v="2023032"/>
    <x v="32"/>
    <s v="Fababean"/>
    <m/>
    <x v="13"/>
    <s v="Y"/>
    <x v="2"/>
    <n v="33"/>
    <n v="33"/>
    <x v="2"/>
    <m/>
    <m/>
    <m/>
    <n v="6"/>
    <m/>
    <m/>
    <m/>
    <m/>
    <m/>
    <n v="3"/>
    <n v="17"/>
    <x v="2"/>
    <n v="11"/>
    <m/>
    <n v="33"/>
    <x v="0"/>
    <n v="3"/>
    <x v="2"/>
    <m/>
    <m/>
    <n v="23"/>
    <x v="2"/>
    <s v="8/05/2023"/>
    <d v="2023-05-08T00:00:00"/>
    <s v="2023032-33"/>
    <x v="4"/>
  </r>
  <r>
    <x v="476"/>
    <n v="2023032"/>
    <x v="32"/>
    <s v="Fababean"/>
    <m/>
    <x v="11"/>
    <s v="N"/>
    <x v="2"/>
    <n v="34"/>
    <n v="34"/>
    <x v="2"/>
    <m/>
    <m/>
    <m/>
    <n v="6"/>
    <m/>
    <m/>
    <m/>
    <m/>
    <m/>
    <n v="1"/>
    <n v="18"/>
    <x v="0"/>
    <n v="12"/>
    <m/>
    <n v="36"/>
    <x v="0"/>
    <n v="2"/>
    <x v="2"/>
    <m/>
    <m/>
    <n v="23"/>
    <x v="2"/>
    <s v="8/05/2023"/>
    <d v="2023-05-08T00:00:00"/>
    <s v="2023032-34"/>
    <x v="4"/>
  </r>
  <r>
    <x v="474"/>
    <n v="2023032"/>
    <x v="32"/>
    <s v="Fababean"/>
    <m/>
    <x v="12"/>
    <s v="N"/>
    <x v="2"/>
    <n v="35"/>
    <n v="35"/>
    <x v="2"/>
    <m/>
    <m/>
    <m/>
    <n v="6"/>
    <m/>
    <m/>
    <m/>
    <m/>
    <m/>
    <n v="2"/>
    <n v="18"/>
    <x v="1"/>
    <n v="12"/>
    <m/>
    <n v="35"/>
    <x v="0"/>
    <n v="5"/>
    <x v="1"/>
    <m/>
    <m/>
    <n v="23"/>
    <x v="2"/>
    <s v="8/05/2023"/>
    <d v="2023-05-08T00:00:00"/>
    <s v="2023032-35"/>
    <x v="4"/>
  </r>
  <r>
    <x v="477"/>
    <n v="2023032"/>
    <x v="32"/>
    <s v="Fababean"/>
    <m/>
    <x v="12"/>
    <s v="N"/>
    <x v="2"/>
    <n v="36"/>
    <n v="36"/>
    <x v="2"/>
    <m/>
    <m/>
    <m/>
    <n v="6"/>
    <m/>
    <m/>
    <m/>
    <m/>
    <m/>
    <n v="3"/>
    <n v="18"/>
    <x v="2"/>
    <n v="12"/>
    <m/>
    <n v="34"/>
    <x v="0"/>
    <n v="1"/>
    <x v="2"/>
    <m/>
    <m/>
    <n v="23"/>
    <x v="2"/>
    <s v="8/05/2023"/>
    <d v="2023-05-08T00:00:00"/>
    <s v="2023032-36"/>
    <x v="4"/>
  </r>
  <r>
    <x v="473"/>
    <n v="2023032"/>
    <x v="32"/>
    <s v="Fababean"/>
    <m/>
    <x v="13"/>
    <s v="Y"/>
    <x v="2"/>
    <n v="37"/>
    <n v="37"/>
    <x v="3"/>
    <m/>
    <m/>
    <m/>
    <n v="7"/>
    <m/>
    <m/>
    <m/>
    <m/>
    <m/>
    <n v="1"/>
    <n v="20"/>
    <x v="0"/>
    <n v="13"/>
    <m/>
    <n v="37"/>
    <x v="0"/>
    <n v="3"/>
    <x v="2"/>
    <m/>
    <m/>
    <n v="23"/>
    <x v="2"/>
    <s v="8/05/2023"/>
    <d v="2023-05-08T00:00:00"/>
    <s v="2023032-37"/>
    <x v="4"/>
  </r>
  <r>
    <x v="477"/>
    <n v="2023032"/>
    <x v="32"/>
    <s v="Fababean"/>
    <m/>
    <x v="12"/>
    <s v="N"/>
    <x v="2"/>
    <n v="38"/>
    <n v="38"/>
    <x v="3"/>
    <m/>
    <m/>
    <m/>
    <n v="7"/>
    <m/>
    <m/>
    <m/>
    <m/>
    <m/>
    <n v="2"/>
    <n v="20"/>
    <x v="1"/>
    <n v="13"/>
    <m/>
    <n v="38"/>
    <x v="0"/>
    <n v="1"/>
    <x v="2"/>
    <m/>
    <m/>
    <n v="23"/>
    <x v="2"/>
    <s v="8/05/2023"/>
    <d v="2023-05-08T00:00:00"/>
    <s v="2023032-38"/>
    <x v="4"/>
  </r>
  <r>
    <x v="475"/>
    <n v="2023032"/>
    <x v="32"/>
    <s v="Fababean"/>
    <m/>
    <x v="11"/>
    <s v="N"/>
    <x v="2"/>
    <n v="39"/>
    <n v="39"/>
    <x v="3"/>
    <m/>
    <m/>
    <m/>
    <n v="7"/>
    <m/>
    <m/>
    <m/>
    <m/>
    <m/>
    <n v="3"/>
    <n v="20"/>
    <x v="2"/>
    <n v="13"/>
    <m/>
    <n v="39"/>
    <x v="0"/>
    <n v="6"/>
    <x v="1"/>
    <m/>
    <m/>
    <n v="23"/>
    <x v="2"/>
    <s v="8/05/2023"/>
    <d v="2023-05-08T00:00:00"/>
    <s v="2023032-39"/>
    <x v="4"/>
  </r>
  <r>
    <x v="474"/>
    <n v="2023032"/>
    <x v="32"/>
    <s v="Fababean"/>
    <m/>
    <x v="12"/>
    <s v="N"/>
    <x v="2"/>
    <n v="40"/>
    <n v="40"/>
    <x v="3"/>
    <m/>
    <m/>
    <m/>
    <n v="7"/>
    <m/>
    <m/>
    <m/>
    <m/>
    <m/>
    <n v="1"/>
    <n v="21"/>
    <x v="0"/>
    <n v="14"/>
    <m/>
    <n v="42"/>
    <x v="0"/>
    <n v="5"/>
    <x v="1"/>
    <m/>
    <m/>
    <n v="23"/>
    <x v="2"/>
    <s v="8/05/2023"/>
    <d v="2023-05-08T00:00:00"/>
    <s v="2023032-40"/>
    <x v="4"/>
  </r>
  <r>
    <x v="472"/>
    <n v="2023032"/>
    <x v="32"/>
    <s v="Fababean"/>
    <m/>
    <x v="10"/>
    <s v="Y"/>
    <x v="2"/>
    <n v="41"/>
    <n v="41"/>
    <x v="3"/>
    <m/>
    <m/>
    <m/>
    <n v="7"/>
    <m/>
    <m/>
    <m/>
    <m/>
    <m/>
    <n v="2"/>
    <n v="21"/>
    <x v="1"/>
    <n v="14"/>
    <m/>
    <n v="41"/>
    <x v="0"/>
    <n v="4"/>
    <x v="2"/>
    <m/>
    <m/>
    <n v="23"/>
    <x v="2"/>
    <s v="8/05/2023"/>
    <d v="2023-05-08T00:00:00"/>
    <s v="2023032-41"/>
    <x v="4"/>
  </r>
  <r>
    <x v="476"/>
    <n v="2023032"/>
    <x v="32"/>
    <s v="Fababean"/>
    <m/>
    <x v="11"/>
    <s v="N"/>
    <x v="2"/>
    <n v="42"/>
    <n v="42"/>
    <x v="3"/>
    <m/>
    <m/>
    <m/>
    <n v="7"/>
    <m/>
    <m/>
    <m/>
    <m/>
    <m/>
    <n v="3"/>
    <n v="21"/>
    <x v="2"/>
    <n v="14"/>
    <m/>
    <n v="40"/>
    <x v="0"/>
    <n v="2"/>
    <x v="2"/>
    <m/>
    <m/>
    <n v="23"/>
    <x v="2"/>
    <s v="8/05/2023"/>
    <d v="2023-05-08T00:00:00"/>
    <s v="2023032-42"/>
    <x v="4"/>
  </r>
  <r>
    <x v="479"/>
    <n v="2023032"/>
    <x v="32"/>
    <s v="Fababean"/>
    <m/>
    <x v="11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6"/>
    <x v="1"/>
    <m/>
    <m/>
    <n v="23"/>
    <x v="1"/>
    <s v="13/04/2023"/>
    <d v="2023-04-13T00:00:00"/>
    <s v="2023032-43"/>
    <x v="4"/>
  </r>
  <r>
    <x v="480"/>
    <n v="2023032"/>
    <x v="32"/>
    <s v="Fababean"/>
    <m/>
    <x v="13"/>
    <s v="Y"/>
    <x v="2"/>
    <n v="44"/>
    <n v="44"/>
    <x v="3"/>
    <m/>
    <m/>
    <m/>
    <n v="8"/>
    <m/>
    <m/>
    <m/>
    <m/>
    <m/>
    <n v="2"/>
    <n v="23"/>
    <x v="1"/>
    <n v="15"/>
    <m/>
    <n v="44"/>
    <x v="0"/>
    <n v="3"/>
    <x v="2"/>
    <m/>
    <m/>
    <n v="23"/>
    <x v="1"/>
    <s v="13/04/2023"/>
    <d v="2023-04-13T00:00:00"/>
    <s v="2023032-44"/>
    <x v="4"/>
  </r>
  <r>
    <x v="481"/>
    <n v="2023032"/>
    <x v="32"/>
    <s v="Fababean"/>
    <m/>
    <x v="12"/>
    <s v="N"/>
    <x v="2"/>
    <n v="45"/>
    <n v="45"/>
    <x v="3"/>
    <m/>
    <m/>
    <m/>
    <n v="8"/>
    <m/>
    <m/>
    <m/>
    <m/>
    <m/>
    <n v="3"/>
    <n v="23"/>
    <x v="2"/>
    <n v="15"/>
    <m/>
    <n v="45"/>
    <x v="0"/>
    <n v="5"/>
    <x v="1"/>
    <m/>
    <m/>
    <n v="23"/>
    <x v="1"/>
    <s v="13/04/2023"/>
    <d v="2023-04-13T00:00:00"/>
    <s v="2023032-45"/>
    <x v="4"/>
  </r>
  <r>
    <x v="483"/>
    <n v="2023032"/>
    <x v="32"/>
    <s v="Fababean"/>
    <m/>
    <x v="10"/>
    <s v="Y"/>
    <x v="2"/>
    <n v="46"/>
    <n v="46"/>
    <x v="3"/>
    <m/>
    <m/>
    <m/>
    <n v="8"/>
    <m/>
    <m/>
    <m/>
    <m/>
    <m/>
    <n v="1"/>
    <n v="24"/>
    <x v="0"/>
    <n v="16"/>
    <m/>
    <n v="48"/>
    <x v="0"/>
    <n v="4"/>
    <x v="2"/>
    <m/>
    <m/>
    <n v="23"/>
    <x v="1"/>
    <s v="13/04/2023"/>
    <d v="2023-04-13T00:00:00"/>
    <s v="2023032-46"/>
    <x v="4"/>
  </r>
  <r>
    <x v="478"/>
    <n v="2023032"/>
    <x v="32"/>
    <s v="Fababean"/>
    <m/>
    <x v="11"/>
    <s v="N"/>
    <x v="2"/>
    <n v="47"/>
    <n v="47"/>
    <x v="3"/>
    <m/>
    <m/>
    <m/>
    <n v="8"/>
    <m/>
    <m/>
    <m/>
    <m/>
    <m/>
    <n v="2"/>
    <n v="24"/>
    <x v="1"/>
    <n v="16"/>
    <m/>
    <n v="47"/>
    <x v="0"/>
    <n v="2"/>
    <x v="2"/>
    <m/>
    <m/>
    <n v="23"/>
    <x v="1"/>
    <s v="13/04/2023"/>
    <d v="2023-04-13T00:00:00"/>
    <s v="2023032-47"/>
    <x v="4"/>
  </r>
  <r>
    <x v="482"/>
    <n v="2023032"/>
    <x v="32"/>
    <s v="Fababean"/>
    <m/>
    <x v="12"/>
    <s v="N"/>
    <x v="2"/>
    <n v="48"/>
    <n v="48"/>
    <x v="3"/>
    <m/>
    <m/>
    <m/>
    <n v="8"/>
    <m/>
    <m/>
    <m/>
    <m/>
    <m/>
    <n v="3"/>
    <n v="24"/>
    <x v="2"/>
    <n v="16"/>
    <m/>
    <n v="46"/>
    <x v="0"/>
    <n v="1"/>
    <x v="2"/>
    <m/>
    <m/>
    <n v="23"/>
    <x v="1"/>
    <s v="13/04/2023"/>
    <d v="2023-04-13T00:00:00"/>
    <s v="2023032-48"/>
    <x v="4"/>
  </r>
  <r>
    <x v="484"/>
    <n v="2023033"/>
    <x v="33"/>
    <s v="Lentil"/>
    <m/>
    <x v="14"/>
    <s v="N"/>
    <x v="2"/>
    <n v="1"/>
    <n v="1"/>
    <x v="0"/>
    <m/>
    <m/>
    <m/>
    <n v="1"/>
    <m/>
    <m/>
    <m/>
    <m/>
    <m/>
    <n v="1"/>
    <n v="2"/>
    <x v="0"/>
    <n v="1"/>
    <m/>
    <n v="1"/>
    <x v="0"/>
    <n v="5"/>
    <x v="1"/>
    <m/>
    <m/>
    <n v="23"/>
    <x v="1"/>
    <s v="13/04/2023"/>
    <d v="2023-04-13T00:00:00"/>
    <s v="2023033-1"/>
    <x v="0"/>
  </r>
  <r>
    <x v="485"/>
    <n v="2023033"/>
    <x v="33"/>
    <s v="Lentil"/>
    <m/>
    <x v="16"/>
    <s v="N"/>
    <x v="2"/>
    <n v="2"/>
    <n v="2"/>
    <x v="0"/>
    <m/>
    <m/>
    <m/>
    <n v="1"/>
    <m/>
    <m/>
    <m/>
    <m/>
    <m/>
    <n v="2"/>
    <n v="2"/>
    <x v="1"/>
    <n v="1"/>
    <m/>
    <n v="2"/>
    <x v="0"/>
    <n v="1"/>
    <x v="2"/>
    <m/>
    <m/>
    <n v="23"/>
    <x v="1"/>
    <s v="13/04/2023"/>
    <d v="2023-04-13T00:00:00"/>
    <s v="2023033-2"/>
    <x v="0"/>
  </r>
  <r>
    <x v="486"/>
    <n v="2023033"/>
    <x v="33"/>
    <s v="Lentil"/>
    <m/>
    <x v="1"/>
    <s v="Y"/>
    <x v="2"/>
    <n v="3"/>
    <n v="3"/>
    <x v="0"/>
    <m/>
    <m/>
    <m/>
    <n v="1"/>
    <m/>
    <m/>
    <m/>
    <m/>
    <m/>
    <n v="3"/>
    <n v="2"/>
    <x v="2"/>
    <n v="1"/>
    <m/>
    <n v="3"/>
    <x v="0"/>
    <n v="3"/>
    <x v="2"/>
    <m/>
    <m/>
    <n v="23"/>
    <x v="1"/>
    <s v="13/04/2023"/>
    <d v="2023-04-13T00:00:00"/>
    <s v="2023033-3"/>
    <x v="0"/>
  </r>
  <r>
    <x v="487"/>
    <n v="2023033"/>
    <x v="33"/>
    <s v="Lentil"/>
    <m/>
    <x v="14"/>
    <s v="N"/>
    <x v="2"/>
    <n v="4"/>
    <n v="4"/>
    <x v="0"/>
    <m/>
    <m/>
    <m/>
    <n v="1"/>
    <m/>
    <m/>
    <m/>
    <m/>
    <m/>
    <n v="1"/>
    <n v="3"/>
    <x v="0"/>
    <n v="2"/>
    <m/>
    <n v="6"/>
    <x v="0"/>
    <n v="2"/>
    <x v="2"/>
    <m/>
    <m/>
    <n v="23"/>
    <x v="1"/>
    <s v="13/04/2023"/>
    <d v="2023-04-13T00:00:00"/>
    <s v="2023033-4"/>
    <x v="0"/>
  </r>
  <r>
    <x v="488"/>
    <n v="2023033"/>
    <x v="33"/>
    <s v="Lentil"/>
    <m/>
    <x v="15"/>
    <s v="Y"/>
    <x v="2"/>
    <n v="5"/>
    <n v="5"/>
    <x v="0"/>
    <m/>
    <m/>
    <m/>
    <n v="1"/>
    <m/>
    <m/>
    <m/>
    <m/>
    <m/>
    <n v="2"/>
    <n v="3"/>
    <x v="1"/>
    <n v="2"/>
    <m/>
    <n v="5"/>
    <x v="0"/>
    <n v="4"/>
    <x v="2"/>
    <m/>
    <m/>
    <n v="23"/>
    <x v="1"/>
    <s v="13/04/2023"/>
    <d v="2023-04-13T00:00:00"/>
    <s v="2023033-5"/>
    <x v="0"/>
  </r>
  <r>
    <x v="489"/>
    <n v="2023033"/>
    <x v="33"/>
    <s v="Lentil"/>
    <m/>
    <x v="1"/>
    <s v="Y"/>
    <x v="2"/>
    <n v="6"/>
    <n v="6"/>
    <x v="0"/>
    <m/>
    <m/>
    <m/>
    <n v="1"/>
    <m/>
    <m/>
    <m/>
    <m/>
    <m/>
    <n v="3"/>
    <n v="3"/>
    <x v="2"/>
    <n v="2"/>
    <m/>
    <n v="4"/>
    <x v="0"/>
    <n v="6"/>
    <x v="1"/>
    <m/>
    <m/>
    <n v="23"/>
    <x v="1"/>
    <s v="13/04/2023"/>
    <d v="2023-04-13T00:00:00"/>
    <s v="2023033-6"/>
    <x v="0"/>
  </r>
  <r>
    <x v="490"/>
    <n v="2023033"/>
    <x v="33"/>
    <s v="Lentil"/>
    <m/>
    <x v="1"/>
    <s v="Y"/>
    <x v="2"/>
    <n v="7"/>
    <n v="7"/>
    <x v="0"/>
    <m/>
    <m/>
    <m/>
    <n v="2"/>
    <m/>
    <m/>
    <m/>
    <m/>
    <m/>
    <n v="1"/>
    <n v="5"/>
    <x v="0"/>
    <n v="3"/>
    <m/>
    <n v="7"/>
    <x v="0"/>
    <n v="3"/>
    <x v="2"/>
    <m/>
    <m/>
    <n v="23"/>
    <x v="2"/>
    <s v="8/05/2023"/>
    <d v="2023-05-08T00:00:00"/>
    <s v="2023033-7"/>
    <x v="0"/>
  </r>
  <r>
    <x v="491"/>
    <n v="2023033"/>
    <x v="33"/>
    <s v="Lentil"/>
    <m/>
    <x v="14"/>
    <s v="N"/>
    <x v="2"/>
    <n v="8"/>
    <n v="8"/>
    <x v="0"/>
    <m/>
    <m/>
    <m/>
    <n v="2"/>
    <m/>
    <m/>
    <m/>
    <m/>
    <m/>
    <n v="2"/>
    <n v="5"/>
    <x v="1"/>
    <n v="3"/>
    <m/>
    <n v="8"/>
    <x v="0"/>
    <n v="2"/>
    <x v="2"/>
    <m/>
    <m/>
    <n v="23"/>
    <x v="2"/>
    <s v="8/05/2023"/>
    <d v="2023-05-08T00:00:00"/>
    <s v="2023033-8"/>
    <x v="0"/>
  </r>
  <r>
    <x v="492"/>
    <n v="2023033"/>
    <x v="33"/>
    <s v="Lentil"/>
    <m/>
    <x v="16"/>
    <s v="N"/>
    <x v="2"/>
    <n v="9"/>
    <n v="9"/>
    <x v="0"/>
    <m/>
    <m/>
    <m/>
    <n v="2"/>
    <m/>
    <m/>
    <m/>
    <m/>
    <m/>
    <n v="3"/>
    <n v="5"/>
    <x v="2"/>
    <n v="3"/>
    <m/>
    <n v="9"/>
    <x v="0"/>
    <n v="1"/>
    <x v="2"/>
    <m/>
    <m/>
    <n v="23"/>
    <x v="2"/>
    <s v="8/05/2023"/>
    <d v="2023-05-08T00:00:00"/>
    <s v="2023033-9"/>
    <x v="0"/>
  </r>
  <r>
    <x v="493"/>
    <n v="2023033"/>
    <x v="33"/>
    <s v="Lentil"/>
    <m/>
    <x v="15"/>
    <s v="Y"/>
    <x v="2"/>
    <n v="10"/>
    <n v="10"/>
    <x v="0"/>
    <m/>
    <m/>
    <m/>
    <n v="2"/>
    <m/>
    <m/>
    <m/>
    <m/>
    <m/>
    <n v="1"/>
    <n v="6"/>
    <x v="0"/>
    <n v="4"/>
    <m/>
    <n v="12"/>
    <x v="0"/>
    <n v="4"/>
    <x v="2"/>
    <m/>
    <m/>
    <n v="23"/>
    <x v="2"/>
    <s v="8/05/2023"/>
    <d v="2023-05-08T00:00:00"/>
    <s v="2023033-10"/>
    <x v="0"/>
  </r>
  <r>
    <x v="494"/>
    <n v="2023033"/>
    <x v="33"/>
    <s v="Lentil"/>
    <m/>
    <x v="14"/>
    <s v="N"/>
    <x v="2"/>
    <n v="11"/>
    <n v="11"/>
    <x v="0"/>
    <m/>
    <m/>
    <m/>
    <n v="2"/>
    <m/>
    <m/>
    <m/>
    <m/>
    <m/>
    <n v="2"/>
    <n v="6"/>
    <x v="1"/>
    <n v="4"/>
    <m/>
    <n v="11"/>
    <x v="0"/>
    <n v="5"/>
    <x v="1"/>
    <m/>
    <m/>
    <n v="23"/>
    <x v="2"/>
    <s v="8/05/2023"/>
    <d v="2023-05-08T00:00:00"/>
    <s v="2023033-11"/>
    <x v="0"/>
  </r>
  <r>
    <x v="495"/>
    <n v="2023033"/>
    <x v="33"/>
    <s v="Lentil"/>
    <m/>
    <x v="1"/>
    <s v="Y"/>
    <x v="2"/>
    <n v="12"/>
    <n v="12"/>
    <x v="0"/>
    <m/>
    <m/>
    <m/>
    <n v="2"/>
    <m/>
    <m/>
    <m/>
    <m/>
    <m/>
    <n v="3"/>
    <n v="6"/>
    <x v="2"/>
    <n v="4"/>
    <m/>
    <n v="10"/>
    <x v="0"/>
    <n v="6"/>
    <x v="1"/>
    <m/>
    <m/>
    <n v="23"/>
    <x v="2"/>
    <s v="8/05/2023"/>
    <d v="2023-05-08T00:00:00"/>
    <s v="2023033-12"/>
    <x v="0"/>
  </r>
  <r>
    <x v="492"/>
    <n v="2023033"/>
    <x v="33"/>
    <s v="Lentil"/>
    <m/>
    <x v="16"/>
    <s v="N"/>
    <x v="2"/>
    <n v="13"/>
    <n v="13"/>
    <x v="1"/>
    <m/>
    <m/>
    <m/>
    <n v="3"/>
    <m/>
    <m/>
    <m/>
    <m/>
    <m/>
    <n v="1"/>
    <n v="8"/>
    <x v="0"/>
    <n v="5"/>
    <m/>
    <n v="13"/>
    <x v="0"/>
    <n v="1"/>
    <x v="2"/>
    <m/>
    <m/>
    <n v="23"/>
    <x v="2"/>
    <s v="8/05/2023"/>
    <d v="2023-05-08T00:00:00"/>
    <s v="2023033-13"/>
    <x v="0"/>
  </r>
  <r>
    <x v="495"/>
    <n v="2023033"/>
    <x v="33"/>
    <s v="Lentil"/>
    <m/>
    <x v="1"/>
    <s v="Y"/>
    <x v="2"/>
    <n v="14"/>
    <n v="14"/>
    <x v="1"/>
    <m/>
    <m/>
    <m/>
    <n v="3"/>
    <m/>
    <m/>
    <m/>
    <m/>
    <m/>
    <n v="2"/>
    <n v="8"/>
    <x v="1"/>
    <n v="5"/>
    <m/>
    <n v="14"/>
    <x v="0"/>
    <n v="6"/>
    <x v="1"/>
    <m/>
    <m/>
    <n v="23"/>
    <x v="2"/>
    <s v="8/05/2023"/>
    <d v="2023-05-08T00:00:00"/>
    <s v="2023033-14"/>
    <x v="0"/>
  </r>
  <r>
    <x v="491"/>
    <n v="2023033"/>
    <x v="33"/>
    <s v="Lentil"/>
    <m/>
    <x v="14"/>
    <s v="N"/>
    <x v="2"/>
    <n v="15"/>
    <n v="15"/>
    <x v="1"/>
    <m/>
    <m/>
    <m/>
    <n v="3"/>
    <m/>
    <m/>
    <m/>
    <m/>
    <m/>
    <n v="3"/>
    <n v="8"/>
    <x v="2"/>
    <n v="5"/>
    <m/>
    <n v="15"/>
    <x v="0"/>
    <n v="2"/>
    <x v="2"/>
    <m/>
    <m/>
    <n v="23"/>
    <x v="2"/>
    <s v="8/05/2023"/>
    <d v="2023-05-08T00:00:00"/>
    <s v="2023033-15"/>
    <x v="0"/>
  </r>
  <r>
    <x v="493"/>
    <n v="2023033"/>
    <x v="33"/>
    <s v="Lentil"/>
    <m/>
    <x v="15"/>
    <s v="Y"/>
    <x v="2"/>
    <n v="16"/>
    <n v="16"/>
    <x v="1"/>
    <m/>
    <m/>
    <m/>
    <n v="3"/>
    <m/>
    <m/>
    <m/>
    <m/>
    <m/>
    <n v="1"/>
    <n v="9"/>
    <x v="0"/>
    <n v="6"/>
    <m/>
    <n v="18"/>
    <x v="0"/>
    <n v="4"/>
    <x v="2"/>
    <m/>
    <m/>
    <n v="23"/>
    <x v="2"/>
    <s v="8/05/2023"/>
    <d v="2023-05-08T00:00:00"/>
    <s v="2023033-16"/>
    <x v="0"/>
  </r>
  <r>
    <x v="494"/>
    <n v="2023033"/>
    <x v="33"/>
    <s v="Lentil"/>
    <m/>
    <x v="14"/>
    <s v="N"/>
    <x v="2"/>
    <n v="17"/>
    <n v="17"/>
    <x v="1"/>
    <m/>
    <m/>
    <m/>
    <n v="3"/>
    <m/>
    <m/>
    <m/>
    <m/>
    <m/>
    <n v="2"/>
    <n v="9"/>
    <x v="1"/>
    <n v="6"/>
    <m/>
    <n v="17"/>
    <x v="0"/>
    <n v="5"/>
    <x v="1"/>
    <m/>
    <m/>
    <n v="23"/>
    <x v="2"/>
    <s v="8/05/2023"/>
    <d v="2023-05-08T00:00:00"/>
    <s v="2023033-17"/>
    <x v="0"/>
  </r>
  <r>
    <x v="490"/>
    <n v="2023033"/>
    <x v="33"/>
    <s v="Lentil"/>
    <m/>
    <x v="1"/>
    <s v="Y"/>
    <x v="2"/>
    <n v="18"/>
    <n v="18"/>
    <x v="1"/>
    <m/>
    <m/>
    <m/>
    <n v="3"/>
    <m/>
    <m/>
    <m/>
    <m/>
    <m/>
    <n v="3"/>
    <n v="9"/>
    <x v="2"/>
    <n v="6"/>
    <m/>
    <n v="16"/>
    <x v="0"/>
    <n v="3"/>
    <x v="2"/>
    <m/>
    <m/>
    <n v="23"/>
    <x v="2"/>
    <s v="8/05/2023"/>
    <d v="2023-05-08T00:00:00"/>
    <s v="2023033-18"/>
    <x v="0"/>
  </r>
  <r>
    <x v="484"/>
    <n v="2023033"/>
    <x v="33"/>
    <s v="Lentil"/>
    <m/>
    <x v="14"/>
    <s v="N"/>
    <x v="2"/>
    <n v="19"/>
    <n v="19"/>
    <x v="1"/>
    <m/>
    <m/>
    <m/>
    <n v="4"/>
    <m/>
    <m/>
    <m/>
    <m/>
    <m/>
    <n v="1"/>
    <n v="11"/>
    <x v="0"/>
    <n v="7"/>
    <m/>
    <n v="19"/>
    <x v="0"/>
    <n v="5"/>
    <x v="1"/>
    <m/>
    <m/>
    <n v="23"/>
    <x v="1"/>
    <s v="13/04/2023"/>
    <d v="2023-04-13T00:00:00"/>
    <s v="2023033-19"/>
    <x v="0"/>
  </r>
  <r>
    <x v="488"/>
    <n v="2023033"/>
    <x v="33"/>
    <s v="Lentil"/>
    <m/>
    <x v="15"/>
    <s v="Y"/>
    <x v="2"/>
    <n v="20"/>
    <n v="20"/>
    <x v="1"/>
    <m/>
    <m/>
    <m/>
    <n v="4"/>
    <m/>
    <m/>
    <m/>
    <m/>
    <m/>
    <n v="2"/>
    <n v="11"/>
    <x v="1"/>
    <n v="7"/>
    <m/>
    <n v="20"/>
    <x v="0"/>
    <n v="4"/>
    <x v="2"/>
    <m/>
    <m/>
    <n v="23"/>
    <x v="1"/>
    <s v="13/04/2023"/>
    <d v="2023-04-13T00:00:00"/>
    <s v="2023033-20"/>
    <x v="0"/>
  </r>
  <r>
    <x v="485"/>
    <n v="2023033"/>
    <x v="33"/>
    <s v="Lentil"/>
    <m/>
    <x v="16"/>
    <s v="N"/>
    <x v="2"/>
    <n v="21"/>
    <n v="21"/>
    <x v="1"/>
    <m/>
    <m/>
    <m/>
    <n v="4"/>
    <m/>
    <m/>
    <m/>
    <m/>
    <m/>
    <n v="3"/>
    <n v="11"/>
    <x v="2"/>
    <n v="7"/>
    <m/>
    <n v="21"/>
    <x v="0"/>
    <n v="1"/>
    <x v="2"/>
    <m/>
    <m/>
    <n v="23"/>
    <x v="1"/>
    <s v="13/04/2023"/>
    <d v="2023-04-13T00:00:00"/>
    <s v="2023033-21"/>
    <x v="0"/>
  </r>
  <r>
    <x v="489"/>
    <n v="2023033"/>
    <x v="33"/>
    <s v="Lentil"/>
    <m/>
    <x v="1"/>
    <s v="Y"/>
    <x v="2"/>
    <n v="22"/>
    <n v="22"/>
    <x v="1"/>
    <m/>
    <m/>
    <m/>
    <n v="4"/>
    <m/>
    <m/>
    <m/>
    <m/>
    <m/>
    <n v="1"/>
    <n v="12"/>
    <x v="0"/>
    <n v="8"/>
    <m/>
    <n v="24"/>
    <x v="0"/>
    <n v="6"/>
    <x v="1"/>
    <m/>
    <m/>
    <n v="23"/>
    <x v="1"/>
    <s v="13/04/2023"/>
    <d v="2023-04-13T00:00:00"/>
    <s v="2023033-22"/>
    <x v="0"/>
  </r>
  <r>
    <x v="487"/>
    <n v="2023033"/>
    <x v="33"/>
    <s v="Lentil"/>
    <m/>
    <x v="14"/>
    <s v="N"/>
    <x v="2"/>
    <n v="23"/>
    <n v="23"/>
    <x v="1"/>
    <m/>
    <m/>
    <m/>
    <n v="4"/>
    <m/>
    <m/>
    <m/>
    <m/>
    <m/>
    <n v="2"/>
    <n v="12"/>
    <x v="1"/>
    <n v="8"/>
    <m/>
    <n v="23"/>
    <x v="0"/>
    <n v="2"/>
    <x v="2"/>
    <m/>
    <m/>
    <n v="23"/>
    <x v="1"/>
    <s v="13/04/2023"/>
    <d v="2023-04-13T00:00:00"/>
    <s v="2023033-23"/>
    <x v="0"/>
  </r>
  <r>
    <x v="486"/>
    <n v="2023033"/>
    <x v="33"/>
    <s v="Lentil"/>
    <m/>
    <x v="1"/>
    <s v="Y"/>
    <x v="2"/>
    <n v="24"/>
    <n v="24"/>
    <x v="1"/>
    <m/>
    <m/>
    <m/>
    <n v="4"/>
    <m/>
    <m/>
    <m/>
    <m/>
    <m/>
    <n v="3"/>
    <n v="12"/>
    <x v="2"/>
    <n v="8"/>
    <m/>
    <n v="22"/>
    <x v="0"/>
    <n v="3"/>
    <x v="2"/>
    <m/>
    <m/>
    <n v="23"/>
    <x v="1"/>
    <s v="13/04/2023"/>
    <d v="2023-04-13T00:00:00"/>
    <s v="2023033-24"/>
    <x v="0"/>
  </r>
  <r>
    <x v="495"/>
    <n v="2023033"/>
    <x v="33"/>
    <s v="Lentil"/>
    <m/>
    <x v="1"/>
    <s v="Y"/>
    <x v="2"/>
    <n v="25"/>
    <n v="25"/>
    <x v="2"/>
    <m/>
    <m/>
    <m/>
    <n v="5"/>
    <m/>
    <m/>
    <m/>
    <m/>
    <m/>
    <n v="1"/>
    <n v="14"/>
    <x v="0"/>
    <n v="9"/>
    <m/>
    <n v="25"/>
    <x v="0"/>
    <n v="6"/>
    <x v="1"/>
    <m/>
    <m/>
    <n v="23"/>
    <x v="2"/>
    <s v="8/05/2023"/>
    <d v="2023-05-08T00:00:00"/>
    <s v="2023033-25"/>
    <x v="0"/>
  </r>
  <r>
    <x v="491"/>
    <n v="2023033"/>
    <x v="33"/>
    <s v="Lentil"/>
    <m/>
    <x v="14"/>
    <s v="N"/>
    <x v="2"/>
    <n v="26"/>
    <n v="26"/>
    <x v="2"/>
    <m/>
    <m/>
    <m/>
    <n v="5"/>
    <m/>
    <m/>
    <m/>
    <m/>
    <m/>
    <n v="2"/>
    <n v="14"/>
    <x v="1"/>
    <n v="9"/>
    <m/>
    <n v="26"/>
    <x v="0"/>
    <n v="2"/>
    <x v="2"/>
    <m/>
    <m/>
    <n v="23"/>
    <x v="2"/>
    <s v="8/05/2023"/>
    <d v="2023-05-08T00:00:00"/>
    <s v="2023033-26"/>
    <x v="0"/>
  </r>
  <r>
    <x v="493"/>
    <n v="2023033"/>
    <x v="33"/>
    <s v="Lentil"/>
    <m/>
    <x v="15"/>
    <s v="Y"/>
    <x v="2"/>
    <n v="27"/>
    <n v="27"/>
    <x v="2"/>
    <m/>
    <m/>
    <m/>
    <n v="5"/>
    <m/>
    <m/>
    <m/>
    <m/>
    <m/>
    <n v="3"/>
    <n v="14"/>
    <x v="2"/>
    <n v="9"/>
    <m/>
    <n v="27"/>
    <x v="0"/>
    <n v="4"/>
    <x v="2"/>
    <m/>
    <m/>
    <n v="23"/>
    <x v="2"/>
    <s v="8/05/2023"/>
    <d v="2023-05-08T00:00:00"/>
    <s v="2023033-27"/>
    <x v="0"/>
  </r>
  <r>
    <x v="490"/>
    <n v="2023033"/>
    <x v="33"/>
    <s v="Lentil"/>
    <m/>
    <x v="1"/>
    <s v="Y"/>
    <x v="2"/>
    <n v="28"/>
    <n v="28"/>
    <x v="2"/>
    <m/>
    <m/>
    <m/>
    <n v="5"/>
    <m/>
    <m/>
    <m/>
    <m/>
    <m/>
    <n v="1"/>
    <n v="15"/>
    <x v="0"/>
    <n v="10"/>
    <m/>
    <n v="30"/>
    <x v="0"/>
    <n v="3"/>
    <x v="2"/>
    <m/>
    <m/>
    <n v="23"/>
    <x v="2"/>
    <s v="8/05/2023"/>
    <d v="2023-05-08T00:00:00"/>
    <s v="2023033-28"/>
    <x v="0"/>
  </r>
  <r>
    <x v="492"/>
    <n v="2023033"/>
    <x v="33"/>
    <s v="Lentil"/>
    <m/>
    <x v="16"/>
    <s v="N"/>
    <x v="2"/>
    <n v="29"/>
    <n v="29"/>
    <x v="2"/>
    <m/>
    <m/>
    <m/>
    <n v="5"/>
    <m/>
    <m/>
    <m/>
    <m/>
    <m/>
    <n v="2"/>
    <n v="15"/>
    <x v="1"/>
    <n v="10"/>
    <m/>
    <n v="29"/>
    <x v="0"/>
    <n v="1"/>
    <x v="2"/>
    <m/>
    <m/>
    <n v="23"/>
    <x v="2"/>
    <s v="8/05/2023"/>
    <d v="2023-05-08T00:00:00"/>
    <s v="2023033-29"/>
    <x v="0"/>
  </r>
  <r>
    <x v="494"/>
    <n v="2023033"/>
    <x v="33"/>
    <s v="Lentil"/>
    <m/>
    <x v="14"/>
    <s v="N"/>
    <x v="2"/>
    <n v="30"/>
    <n v="30"/>
    <x v="2"/>
    <m/>
    <m/>
    <m/>
    <n v="5"/>
    <m/>
    <m/>
    <m/>
    <m/>
    <m/>
    <n v="3"/>
    <n v="15"/>
    <x v="2"/>
    <n v="10"/>
    <m/>
    <n v="28"/>
    <x v="0"/>
    <n v="5"/>
    <x v="1"/>
    <m/>
    <m/>
    <n v="23"/>
    <x v="2"/>
    <s v="8/05/2023"/>
    <d v="2023-05-08T00:00:00"/>
    <s v="2023033-30"/>
    <x v="0"/>
  </r>
  <r>
    <x v="489"/>
    <n v="2023033"/>
    <x v="33"/>
    <s v="Lentil"/>
    <m/>
    <x v="1"/>
    <s v="Y"/>
    <x v="2"/>
    <n v="31"/>
    <n v="31"/>
    <x v="2"/>
    <m/>
    <m/>
    <m/>
    <n v="6"/>
    <m/>
    <m/>
    <m/>
    <m/>
    <m/>
    <n v="1"/>
    <n v="17"/>
    <x v="0"/>
    <n v="11"/>
    <m/>
    <n v="31"/>
    <x v="0"/>
    <n v="6"/>
    <x v="1"/>
    <m/>
    <m/>
    <n v="23"/>
    <x v="1"/>
    <s v="13/04/2023"/>
    <d v="2023-04-13T00:00:00"/>
    <s v="2023033-31"/>
    <x v="0"/>
  </r>
  <r>
    <x v="484"/>
    <n v="2023033"/>
    <x v="33"/>
    <s v="Lentil"/>
    <m/>
    <x v="14"/>
    <s v="N"/>
    <x v="2"/>
    <n v="32"/>
    <n v="32"/>
    <x v="2"/>
    <m/>
    <m/>
    <m/>
    <n v="6"/>
    <m/>
    <m/>
    <m/>
    <m/>
    <m/>
    <n v="2"/>
    <n v="17"/>
    <x v="1"/>
    <n v="11"/>
    <m/>
    <n v="32"/>
    <x v="0"/>
    <n v="5"/>
    <x v="1"/>
    <m/>
    <m/>
    <n v="23"/>
    <x v="1"/>
    <s v="13/04/2023"/>
    <d v="2023-04-13T00:00:00"/>
    <s v="2023033-32"/>
    <x v="0"/>
  </r>
  <r>
    <x v="487"/>
    <n v="2023033"/>
    <x v="33"/>
    <s v="Lentil"/>
    <m/>
    <x v="14"/>
    <s v="N"/>
    <x v="2"/>
    <n v="33"/>
    <n v="33"/>
    <x v="2"/>
    <m/>
    <m/>
    <m/>
    <n v="6"/>
    <m/>
    <m/>
    <m/>
    <m/>
    <m/>
    <n v="3"/>
    <n v="17"/>
    <x v="2"/>
    <n v="11"/>
    <m/>
    <n v="33"/>
    <x v="0"/>
    <n v="2"/>
    <x v="2"/>
    <m/>
    <m/>
    <n v="23"/>
    <x v="1"/>
    <s v="13/04/2023"/>
    <d v="2023-04-13T00:00:00"/>
    <s v="2023033-33"/>
    <x v="0"/>
  </r>
  <r>
    <x v="488"/>
    <n v="2023033"/>
    <x v="33"/>
    <s v="Lentil"/>
    <m/>
    <x v="15"/>
    <s v="Y"/>
    <x v="2"/>
    <n v="34"/>
    <n v="34"/>
    <x v="2"/>
    <m/>
    <m/>
    <m/>
    <n v="6"/>
    <m/>
    <m/>
    <m/>
    <m/>
    <m/>
    <n v="1"/>
    <n v="18"/>
    <x v="0"/>
    <n v="12"/>
    <m/>
    <n v="36"/>
    <x v="0"/>
    <n v="4"/>
    <x v="2"/>
    <m/>
    <m/>
    <n v="23"/>
    <x v="1"/>
    <s v="13/04/2023"/>
    <d v="2023-04-13T00:00:00"/>
    <s v="2023033-34"/>
    <x v="0"/>
  </r>
  <r>
    <x v="486"/>
    <n v="2023033"/>
    <x v="33"/>
    <s v="Lentil"/>
    <m/>
    <x v="1"/>
    <s v="Y"/>
    <x v="2"/>
    <n v="35"/>
    <n v="35"/>
    <x v="2"/>
    <m/>
    <m/>
    <m/>
    <n v="6"/>
    <m/>
    <m/>
    <m/>
    <m/>
    <m/>
    <n v="2"/>
    <n v="18"/>
    <x v="1"/>
    <n v="12"/>
    <m/>
    <n v="35"/>
    <x v="0"/>
    <n v="3"/>
    <x v="2"/>
    <m/>
    <m/>
    <n v="23"/>
    <x v="1"/>
    <s v="13/04/2023"/>
    <d v="2023-04-13T00:00:00"/>
    <s v="2023033-35"/>
    <x v="0"/>
  </r>
  <r>
    <x v="485"/>
    <n v="2023033"/>
    <x v="33"/>
    <s v="Lentil"/>
    <m/>
    <x v="16"/>
    <s v="N"/>
    <x v="2"/>
    <n v="36"/>
    <n v="36"/>
    <x v="2"/>
    <m/>
    <m/>
    <m/>
    <n v="6"/>
    <m/>
    <m/>
    <m/>
    <m/>
    <m/>
    <n v="3"/>
    <n v="18"/>
    <x v="2"/>
    <n v="12"/>
    <m/>
    <n v="34"/>
    <x v="0"/>
    <n v="1"/>
    <x v="2"/>
    <m/>
    <m/>
    <n v="23"/>
    <x v="1"/>
    <s v="13/04/2023"/>
    <d v="2023-04-13T00:00:00"/>
    <s v="2023033-36"/>
    <x v="0"/>
  </r>
  <r>
    <x v="485"/>
    <n v="2023033"/>
    <x v="33"/>
    <s v="Lentil"/>
    <m/>
    <x v="16"/>
    <s v="N"/>
    <x v="2"/>
    <n v="37"/>
    <n v="37"/>
    <x v="3"/>
    <m/>
    <m/>
    <m/>
    <n v="7"/>
    <m/>
    <m/>
    <m/>
    <m/>
    <m/>
    <n v="1"/>
    <n v="20"/>
    <x v="0"/>
    <n v="13"/>
    <m/>
    <n v="37"/>
    <x v="0"/>
    <n v="1"/>
    <x v="2"/>
    <m/>
    <m/>
    <n v="23"/>
    <x v="1"/>
    <s v="13/04/2023"/>
    <d v="2023-04-13T00:00:00"/>
    <s v="2023033-37"/>
    <x v="0"/>
  </r>
  <r>
    <x v="488"/>
    <n v="2023033"/>
    <x v="33"/>
    <s v="Lentil"/>
    <m/>
    <x v="15"/>
    <s v="Y"/>
    <x v="2"/>
    <n v="38"/>
    <n v="38"/>
    <x v="3"/>
    <m/>
    <m/>
    <m/>
    <n v="7"/>
    <m/>
    <m/>
    <m/>
    <m/>
    <m/>
    <n v="2"/>
    <n v="20"/>
    <x v="1"/>
    <n v="13"/>
    <m/>
    <n v="38"/>
    <x v="0"/>
    <n v="4"/>
    <x v="2"/>
    <m/>
    <m/>
    <n v="23"/>
    <x v="1"/>
    <s v="13/04/2023"/>
    <d v="2023-04-13T00:00:00"/>
    <s v="2023033-38"/>
    <x v="0"/>
  </r>
  <r>
    <x v="489"/>
    <n v="2023033"/>
    <x v="33"/>
    <s v="Lentil"/>
    <m/>
    <x v="1"/>
    <s v="Y"/>
    <x v="2"/>
    <n v="39"/>
    <n v="39"/>
    <x v="3"/>
    <m/>
    <m/>
    <m/>
    <n v="7"/>
    <m/>
    <m/>
    <m/>
    <m/>
    <m/>
    <n v="3"/>
    <n v="20"/>
    <x v="2"/>
    <n v="13"/>
    <m/>
    <n v="39"/>
    <x v="0"/>
    <n v="6"/>
    <x v="1"/>
    <m/>
    <m/>
    <n v="23"/>
    <x v="1"/>
    <s v="13/04/2023"/>
    <d v="2023-04-13T00:00:00"/>
    <s v="2023033-39"/>
    <x v="0"/>
  </r>
  <r>
    <x v="484"/>
    <n v="2023033"/>
    <x v="33"/>
    <s v="Lentil"/>
    <m/>
    <x v="14"/>
    <s v="N"/>
    <x v="2"/>
    <n v="40"/>
    <n v="40"/>
    <x v="3"/>
    <m/>
    <m/>
    <m/>
    <n v="7"/>
    <m/>
    <m/>
    <m/>
    <m/>
    <m/>
    <n v="1"/>
    <n v="21"/>
    <x v="0"/>
    <n v="14"/>
    <m/>
    <n v="42"/>
    <x v="0"/>
    <n v="5"/>
    <x v="1"/>
    <m/>
    <m/>
    <n v="23"/>
    <x v="1"/>
    <s v="13/04/2023"/>
    <d v="2023-04-13T00:00:00"/>
    <s v="2023033-40"/>
    <x v="0"/>
  </r>
  <r>
    <x v="486"/>
    <n v="2023033"/>
    <x v="33"/>
    <s v="Lentil"/>
    <m/>
    <x v="1"/>
    <s v="Y"/>
    <x v="2"/>
    <n v="41"/>
    <n v="41"/>
    <x v="3"/>
    <m/>
    <m/>
    <m/>
    <n v="7"/>
    <m/>
    <m/>
    <m/>
    <m/>
    <m/>
    <n v="2"/>
    <n v="21"/>
    <x v="1"/>
    <n v="14"/>
    <m/>
    <n v="41"/>
    <x v="0"/>
    <n v="3"/>
    <x v="2"/>
    <m/>
    <m/>
    <n v="23"/>
    <x v="1"/>
    <s v="13/04/2023"/>
    <d v="2023-04-13T00:00:00"/>
    <s v="2023033-41"/>
    <x v="0"/>
  </r>
  <r>
    <x v="487"/>
    <n v="2023033"/>
    <x v="33"/>
    <s v="Lentil"/>
    <m/>
    <x v="14"/>
    <s v="N"/>
    <x v="2"/>
    <n v="42"/>
    <n v="42"/>
    <x v="3"/>
    <m/>
    <m/>
    <m/>
    <n v="7"/>
    <m/>
    <m/>
    <m/>
    <m/>
    <m/>
    <n v="3"/>
    <n v="21"/>
    <x v="2"/>
    <n v="14"/>
    <m/>
    <n v="40"/>
    <x v="0"/>
    <n v="2"/>
    <x v="2"/>
    <m/>
    <m/>
    <n v="23"/>
    <x v="1"/>
    <s v="13/04/2023"/>
    <d v="2023-04-13T00:00:00"/>
    <s v="2023033-42"/>
    <x v="0"/>
  </r>
  <r>
    <x v="491"/>
    <n v="2023033"/>
    <x v="33"/>
    <s v="Lentil"/>
    <m/>
    <x v="14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2"/>
    <x v="2"/>
    <m/>
    <m/>
    <n v="23"/>
    <x v="2"/>
    <s v="8/05/2023"/>
    <d v="2023-05-08T00:00:00"/>
    <s v="2023033-43"/>
    <x v="0"/>
  </r>
  <r>
    <x v="492"/>
    <n v="2023033"/>
    <x v="33"/>
    <s v="Lentil"/>
    <m/>
    <x v="16"/>
    <s v="N"/>
    <x v="2"/>
    <n v="44"/>
    <n v="44"/>
    <x v="3"/>
    <m/>
    <m/>
    <m/>
    <n v="8"/>
    <m/>
    <m/>
    <m/>
    <m/>
    <m/>
    <n v="2"/>
    <n v="23"/>
    <x v="1"/>
    <n v="15"/>
    <m/>
    <n v="44"/>
    <x v="0"/>
    <n v="1"/>
    <x v="2"/>
    <m/>
    <m/>
    <n v="23"/>
    <x v="2"/>
    <s v="8/05/2023"/>
    <d v="2023-05-08T00:00:00"/>
    <s v="2023033-44"/>
    <x v="0"/>
  </r>
  <r>
    <x v="494"/>
    <n v="2023033"/>
    <x v="33"/>
    <s v="Lentil"/>
    <m/>
    <x v="14"/>
    <s v="N"/>
    <x v="2"/>
    <n v="45"/>
    <n v="45"/>
    <x v="3"/>
    <m/>
    <m/>
    <m/>
    <n v="8"/>
    <m/>
    <m/>
    <m/>
    <m/>
    <m/>
    <n v="3"/>
    <n v="23"/>
    <x v="2"/>
    <n v="15"/>
    <m/>
    <n v="45"/>
    <x v="0"/>
    <n v="5"/>
    <x v="1"/>
    <m/>
    <m/>
    <n v="23"/>
    <x v="2"/>
    <s v="8/05/2023"/>
    <d v="2023-05-08T00:00:00"/>
    <s v="2023033-45"/>
    <x v="0"/>
  </r>
  <r>
    <x v="490"/>
    <n v="2023033"/>
    <x v="33"/>
    <s v="Lentil"/>
    <m/>
    <x v="1"/>
    <s v="Y"/>
    <x v="2"/>
    <n v="46"/>
    <n v="46"/>
    <x v="3"/>
    <m/>
    <m/>
    <m/>
    <n v="8"/>
    <m/>
    <m/>
    <m/>
    <m/>
    <m/>
    <n v="1"/>
    <n v="24"/>
    <x v="0"/>
    <n v="16"/>
    <m/>
    <n v="48"/>
    <x v="0"/>
    <n v="3"/>
    <x v="2"/>
    <m/>
    <m/>
    <n v="23"/>
    <x v="2"/>
    <s v="8/05/2023"/>
    <d v="2023-05-08T00:00:00"/>
    <s v="2023033-46"/>
    <x v="0"/>
  </r>
  <r>
    <x v="495"/>
    <n v="2023033"/>
    <x v="33"/>
    <s v="Lentil"/>
    <m/>
    <x v="1"/>
    <s v="Y"/>
    <x v="2"/>
    <n v="47"/>
    <n v="47"/>
    <x v="3"/>
    <m/>
    <m/>
    <m/>
    <n v="8"/>
    <m/>
    <m/>
    <m/>
    <m/>
    <m/>
    <n v="2"/>
    <n v="24"/>
    <x v="1"/>
    <n v="16"/>
    <m/>
    <n v="47"/>
    <x v="0"/>
    <n v="6"/>
    <x v="1"/>
    <m/>
    <m/>
    <n v="23"/>
    <x v="2"/>
    <s v="8/05/2023"/>
    <d v="2023-05-08T00:00:00"/>
    <s v="2023033-47"/>
    <x v="0"/>
  </r>
  <r>
    <x v="493"/>
    <n v="2023033"/>
    <x v="33"/>
    <s v="Lentil"/>
    <m/>
    <x v="15"/>
    <s v="Y"/>
    <x v="2"/>
    <n v="48"/>
    <n v="48"/>
    <x v="3"/>
    <m/>
    <m/>
    <m/>
    <n v="8"/>
    <m/>
    <m/>
    <m/>
    <m/>
    <m/>
    <n v="3"/>
    <n v="24"/>
    <x v="2"/>
    <n v="16"/>
    <m/>
    <n v="46"/>
    <x v="0"/>
    <n v="4"/>
    <x v="2"/>
    <m/>
    <m/>
    <n v="23"/>
    <x v="2"/>
    <s v="8/05/2023"/>
    <d v="2023-05-08T00:00:00"/>
    <s v="2023033-48"/>
    <x v="0"/>
  </r>
  <r>
    <x v="496"/>
    <n v="2023034"/>
    <x v="34"/>
    <s v="Chickpea"/>
    <m/>
    <x v="3"/>
    <s v="N"/>
    <x v="2"/>
    <n v="1"/>
    <n v="1"/>
    <x v="0"/>
    <m/>
    <m/>
    <m/>
    <n v="1"/>
    <m/>
    <m/>
    <m/>
    <m/>
    <m/>
    <n v="1"/>
    <n v="2"/>
    <x v="0"/>
    <n v="1"/>
    <m/>
    <n v="1"/>
    <x v="0"/>
    <n v="3"/>
    <x v="0"/>
    <m/>
    <m/>
    <n v="28"/>
    <x v="1"/>
    <s v="4/05/2023"/>
    <d v="2023-05-04T00:00:00"/>
    <s v="2023034-1"/>
    <x v="3"/>
  </r>
  <r>
    <x v="497"/>
    <n v="2023034"/>
    <x v="34"/>
    <s v="Chickpea"/>
    <m/>
    <x v="4"/>
    <s v="Y"/>
    <x v="2"/>
    <n v="2"/>
    <n v="2"/>
    <x v="0"/>
    <m/>
    <m/>
    <m/>
    <n v="1"/>
    <m/>
    <m/>
    <m/>
    <m/>
    <m/>
    <n v="2"/>
    <n v="2"/>
    <x v="1"/>
    <n v="1"/>
    <m/>
    <n v="2"/>
    <x v="0"/>
    <n v="2"/>
    <x v="0"/>
    <m/>
    <m/>
    <n v="28"/>
    <x v="1"/>
    <s v="4/05/2023"/>
    <d v="2023-05-04T00:00:00"/>
    <s v="2023034-2"/>
    <x v="3"/>
  </r>
  <r>
    <x v="498"/>
    <n v="2023034"/>
    <x v="34"/>
    <s v="Chickpea"/>
    <m/>
    <x v="9"/>
    <s v="N"/>
    <x v="2"/>
    <n v="3"/>
    <n v="3"/>
    <x v="0"/>
    <m/>
    <m/>
    <m/>
    <n v="1"/>
    <m/>
    <m/>
    <m/>
    <m/>
    <m/>
    <n v="3"/>
    <n v="2"/>
    <x v="2"/>
    <n v="1"/>
    <m/>
    <n v="3"/>
    <x v="0"/>
    <n v="4"/>
    <x v="0"/>
    <m/>
    <m/>
    <n v="28"/>
    <x v="1"/>
    <s v="4/05/2023"/>
    <d v="2023-05-04T00:00:00"/>
    <s v="2023034-3"/>
    <x v="3"/>
  </r>
  <r>
    <x v="499"/>
    <n v="2023034"/>
    <x v="34"/>
    <s v="Chickpea"/>
    <m/>
    <x v="8"/>
    <s v="Y"/>
    <x v="2"/>
    <n v="4"/>
    <n v="4"/>
    <x v="0"/>
    <m/>
    <m/>
    <m/>
    <n v="1"/>
    <m/>
    <m/>
    <m/>
    <m/>
    <m/>
    <n v="4"/>
    <n v="2"/>
    <x v="3"/>
    <n v="1"/>
    <m/>
    <n v="4"/>
    <x v="0"/>
    <n v="1"/>
    <x v="0"/>
    <m/>
    <m/>
    <n v="28"/>
    <x v="1"/>
    <s v="4/05/2023"/>
    <d v="2023-05-04T00:00:00"/>
    <s v="2023034-4"/>
    <x v="3"/>
  </r>
  <r>
    <x v="500"/>
    <n v="2023034"/>
    <x v="34"/>
    <s v="Chickpea"/>
    <m/>
    <x v="8"/>
    <s v="Y"/>
    <x v="2"/>
    <n v="5"/>
    <n v="5"/>
    <x v="0"/>
    <m/>
    <m/>
    <m/>
    <n v="2"/>
    <m/>
    <m/>
    <m/>
    <m/>
    <m/>
    <n v="1"/>
    <n v="4"/>
    <x v="0"/>
    <n v="2"/>
    <m/>
    <n v="8"/>
    <x v="0"/>
    <n v="1"/>
    <x v="0"/>
    <m/>
    <m/>
    <n v="28"/>
    <x v="2"/>
    <s v="16/06/2023"/>
    <d v="2023-06-16T00:00:00"/>
    <s v="2023034-5"/>
    <x v="3"/>
  </r>
  <r>
    <x v="501"/>
    <n v="2023034"/>
    <x v="34"/>
    <s v="Chickpea"/>
    <m/>
    <x v="9"/>
    <s v="N"/>
    <x v="2"/>
    <n v="6"/>
    <n v="6"/>
    <x v="0"/>
    <m/>
    <m/>
    <m/>
    <n v="2"/>
    <m/>
    <m/>
    <m/>
    <m/>
    <m/>
    <n v="2"/>
    <n v="4"/>
    <x v="1"/>
    <n v="2"/>
    <m/>
    <n v="7"/>
    <x v="0"/>
    <n v="4"/>
    <x v="0"/>
    <m/>
    <m/>
    <n v="28"/>
    <x v="2"/>
    <s v="16/06/2023"/>
    <d v="2023-06-16T00:00:00"/>
    <s v="2023034-6"/>
    <x v="3"/>
  </r>
  <r>
    <x v="502"/>
    <n v="2023034"/>
    <x v="34"/>
    <s v="Chickpea"/>
    <m/>
    <x v="4"/>
    <s v="Y"/>
    <x v="2"/>
    <n v="7"/>
    <n v="7"/>
    <x v="0"/>
    <m/>
    <m/>
    <m/>
    <n v="2"/>
    <m/>
    <m/>
    <m/>
    <m/>
    <m/>
    <n v="3"/>
    <n v="4"/>
    <x v="2"/>
    <n v="2"/>
    <m/>
    <n v="6"/>
    <x v="0"/>
    <n v="3"/>
    <x v="0"/>
    <m/>
    <m/>
    <n v="28"/>
    <x v="2"/>
    <s v="16/06/2023"/>
    <d v="2023-06-16T00:00:00"/>
    <s v="2023034-7"/>
    <x v="3"/>
  </r>
  <r>
    <x v="503"/>
    <n v="2023034"/>
    <x v="34"/>
    <s v="Chickpea"/>
    <m/>
    <x v="3"/>
    <s v="N"/>
    <x v="2"/>
    <n v="8"/>
    <n v="8"/>
    <x v="0"/>
    <m/>
    <m/>
    <m/>
    <n v="2"/>
    <m/>
    <m/>
    <m/>
    <m/>
    <m/>
    <n v="4"/>
    <n v="4"/>
    <x v="3"/>
    <n v="2"/>
    <m/>
    <n v="5"/>
    <x v="0"/>
    <n v="2"/>
    <x v="0"/>
    <m/>
    <m/>
    <n v="28"/>
    <x v="2"/>
    <s v="16/06/2023"/>
    <d v="2023-06-16T00:00:00"/>
    <s v="2023034-8"/>
    <x v="3"/>
  </r>
  <r>
    <x v="501"/>
    <n v="2023034"/>
    <x v="34"/>
    <s v="Chickpea"/>
    <m/>
    <x v="9"/>
    <s v="N"/>
    <x v="2"/>
    <n v="9"/>
    <n v="9"/>
    <x v="1"/>
    <m/>
    <m/>
    <m/>
    <n v="3"/>
    <m/>
    <m/>
    <m/>
    <m/>
    <m/>
    <n v="1"/>
    <n v="6"/>
    <x v="0"/>
    <n v="3"/>
    <m/>
    <n v="9"/>
    <x v="0"/>
    <n v="4"/>
    <x v="0"/>
    <m/>
    <m/>
    <n v="28"/>
    <x v="2"/>
    <s v="16/06/2023"/>
    <d v="2023-06-16T00:00:00"/>
    <s v="2023034-9"/>
    <x v="3"/>
  </r>
  <r>
    <x v="503"/>
    <n v="2023034"/>
    <x v="34"/>
    <s v="Chickpea"/>
    <m/>
    <x v="3"/>
    <s v="N"/>
    <x v="2"/>
    <n v="10"/>
    <n v="10"/>
    <x v="1"/>
    <m/>
    <m/>
    <m/>
    <n v="3"/>
    <m/>
    <m/>
    <m/>
    <m/>
    <m/>
    <n v="2"/>
    <n v="6"/>
    <x v="1"/>
    <n v="3"/>
    <m/>
    <n v="10"/>
    <x v="0"/>
    <n v="3"/>
    <x v="0"/>
    <m/>
    <m/>
    <n v="28"/>
    <x v="2"/>
    <s v="16/06/2023"/>
    <d v="2023-06-16T00:00:00"/>
    <s v="2023034-10"/>
    <x v="3"/>
  </r>
  <r>
    <x v="500"/>
    <n v="2023034"/>
    <x v="34"/>
    <s v="Chickpea"/>
    <m/>
    <x v="8"/>
    <s v="Y"/>
    <x v="2"/>
    <n v="11"/>
    <n v="11"/>
    <x v="1"/>
    <m/>
    <m/>
    <m/>
    <n v="3"/>
    <m/>
    <m/>
    <m/>
    <m/>
    <m/>
    <n v="3"/>
    <n v="6"/>
    <x v="2"/>
    <n v="3"/>
    <m/>
    <n v="11"/>
    <x v="0"/>
    <n v="2"/>
    <x v="0"/>
    <m/>
    <m/>
    <n v="28"/>
    <x v="2"/>
    <s v="16/06/2023"/>
    <d v="2023-06-16T00:00:00"/>
    <s v="2023034-11"/>
    <x v="3"/>
  </r>
  <r>
    <x v="502"/>
    <n v="2023034"/>
    <x v="34"/>
    <s v="Chickpea"/>
    <m/>
    <x v="4"/>
    <s v="Y"/>
    <x v="2"/>
    <n v="12"/>
    <n v="12"/>
    <x v="1"/>
    <m/>
    <m/>
    <m/>
    <n v="3"/>
    <m/>
    <m/>
    <m/>
    <m/>
    <m/>
    <n v="4"/>
    <n v="6"/>
    <x v="3"/>
    <n v="3"/>
    <m/>
    <n v="12"/>
    <x v="0"/>
    <n v="1"/>
    <x v="0"/>
    <m/>
    <m/>
    <n v="28"/>
    <x v="2"/>
    <s v="16/06/2023"/>
    <d v="2023-06-16T00:00:00"/>
    <s v="2023034-12"/>
    <x v="3"/>
  </r>
  <r>
    <x v="499"/>
    <n v="2023034"/>
    <x v="34"/>
    <s v="Chickpea"/>
    <m/>
    <x v="8"/>
    <s v="Y"/>
    <x v="2"/>
    <n v="13"/>
    <n v="13"/>
    <x v="1"/>
    <m/>
    <m/>
    <m/>
    <n v="4"/>
    <m/>
    <m/>
    <m/>
    <m/>
    <m/>
    <n v="1"/>
    <n v="8"/>
    <x v="0"/>
    <n v="4"/>
    <m/>
    <n v="16"/>
    <x v="0"/>
    <n v="2"/>
    <x v="0"/>
    <m/>
    <m/>
    <n v="28"/>
    <x v="1"/>
    <s v="4/05/2023"/>
    <d v="2023-05-04T00:00:00"/>
    <s v="2023034-13"/>
    <x v="3"/>
  </r>
  <r>
    <x v="498"/>
    <n v="2023034"/>
    <x v="34"/>
    <s v="Chickpea"/>
    <m/>
    <x v="9"/>
    <s v="N"/>
    <x v="2"/>
    <n v="14"/>
    <n v="14"/>
    <x v="1"/>
    <m/>
    <m/>
    <m/>
    <n v="4"/>
    <m/>
    <m/>
    <m/>
    <m/>
    <m/>
    <n v="2"/>
    <n v="8"/>
    <x v="1"/>
    <n v="4"/>
    <m/>
    <n v="15"/>
    <x v="0"/>
    <n v="4"/>
    <x v="0"/>
    <m/>
    <m/>
    <n v="28"/>
    <x v="1"/>
    <s v="4/05/2023"/>
    <d v="2023-05-04T00:00:00"/>
    <s v="2023034-14"/>
    <x v="3"/>
  </r>
  <r>
    <x v="497"/>
    <n v="2023034"/>
    <x v="34"/>
    <s v="Chickpea"/>
    <m/>
    <x v="4"/>
    <s v="Y"/>
    <x v="2"/>
    <n v="15"/>
    <n v="15"/>
    <x v="1"/>
    <m/>
    <m/>
    <m/>
    <n v="4"/>
    <m/>
    <m/>
    <m/>
    <m/>
    <m/>
    <n v="3"/>
    <n v="8"/>
    <x v="2"/>
    <n v="4"/>
    <m/>
    <n v="14"/>
    <x v="0"/>
    <n v="1"/>
    <x v="0"/>
    <m/>
    <m/>
    <n v="28"/>
    <x v="1"/>
    <s v="4/05/2023"/>
    <d v="2023-05-04T00:00:00"/>
    <s v="2023034-15"/>
    <x v="3"/>
  </r>
  <r>
    <x v="496"/>
    <n v="2023034"/>
    <x v="34"/>
    <s v="Chickpea"/>
    <m/>
    <x v="3"/>
    <s v="N"/>
    <x v="2"/>
    <n v="16"/>
    <n v="16"/>
    <x v="1"/>
    <m/>
    <m/>
    <m/>
    <n v="4"/>
    <m/>
    <m/>
    <m/>
    <m/>
    <m/>
    <n v="4"/>
    <n v="8"/>
    <x v="3"/>
    <n v="4"/>
    <m/>
    <n v="13"/>
    <x v="0"/>
    <n v="3"/>
    <x v="0"/>
    <m/>
    <m/>
    <n v="28"/>
    <x v="1"/>
    <s v="4/05/2023"/>
    <d v="2023-05-04T00:00:00"/>
    <s v="2023034-16"/>
    <x v="3"/>
  </r>
  <r>
    <x v="503"/>
    <n v="2023034"/>
    <x v="34"/>
    <s v="Chickpea"/>
    <m/>
    <x v="3"/>
    <s v="N"/>
    <x v="2"/>
    <n v="17"/>
    <n v="17"/>
    <x v="2"/>
    <m/>
    <m/>
    <m/>
    <n v="5"/>
    <m/>
    <m/>
    <m/>
    <m/>
    <m/>
    <n v="1"/>
    <n v="10"/>
    <x v="0"/>
    <n v="5"/>
    <m/>
    <n v="17"/>
    <x v="0"/>
    <n v="2"/>
    <x v="0"/>
    <m/>
    <m/>
    <n v="28"/>
    <x v="2"/>
    <s v="16/06/2023"/>
    <d v="2023-06-16T00:00:00"/>
    <s v="2023034-17"/>
    <x v="3"/>
  </r>
  <r>
    <x v="502"/>
    <n v="2023034"/>
    <x v="34"/>
    <s v="Chickpea"/>
    <m/>
    <x v="4"/>
    <s v="Y"/>
    <x v="2"/>
    <n v="18"/>
    <n v="18"/>
    <x v="2"/>
    <m/>
    <m/>
    <m/>
    <n v="5"/>
    <m/>
    <m/>
    <m/>
    <m/>
    <m/>
    <n v="2"/>
    <n v="10"/>
    <x v="1"/>
    <n v="5"/>
    <m/>
    <n v="18"/>
    <x v="0"/>
    <n v="1"/>
    <x v="0"/>
    <m/>
    <m/>
    <n v="28"/>
    <x v="2"/>
    <s v="16/06/2023"/>
    <d v="2023-06-16T00:00:00"/>
    <s v="2023034-18"/>
    <x v="3"/>
  </r>
  <r>
    <x v="501"/>
    <n v="2023034"/>
    <x v="34"/>
    <s v="Chickpea"/>
    <m/>
    <x v="9"/>
    <s v="N"/>
    <x v="2"/>
    <n v="19"/>
    <n v="19"/>
    <x v="2"/>
    <m/>
    <m/>
    <m/>
    <n v="5"/>
    <m/>
    <m/>
    <m/>
    <m/>
    <m/>
    <n v="3"/>
    <n v="10"/>
    <x v="2"/>
    <n v="5"/>
    <m/>
    <n v="19"/>
    <x v="0"/>
    <n v="4"/>
    <x v="0"/>
    <m/>
    <m/>
    <n v="28"/>
    <x v="2"/>
    <s v="16/06/2023"/>
    <d v="2023-06-16T00:00:00"/>
    <s v="2023034-19"/>
    <x v="3"/>
  </r>
  <r>
    <x v="500"/>
    <n v="2023034"/>
    <x v="34"/>
    <s v="Chickpea"/>
    <m/>
    <x v="8"/>
    <s v="Y"/>
    <x v="2"/>
    <n v="20"/>
    <n v="20"/>
    <x v="2"/>
    <m/>
    <m/>
    <m/>
    <n v="5"/>
    <m/>
    <m/>
    <m/>
    <m/>
    <m/>
    <n v="4"/>
    <n v="10"/>
    <x v="3"/>
    <n v="5"/>
    <m/>
    <n v="20"/>
    <x v="0"/>
    <n v="3"/>
    <x v="0"/>
    <m/>
    <m/>
    <n v="28"/>
    <x v="2"/>
    <s v="16/06/2023"/>
    <d v="2023-06-16T00:00:00"/>
    <s v="2023034-20"/>
    <x v="3"/>
  </r>
  <r>
    <x v="497"/>
    <n v="2023034"/>
    <x v="34"/>
    <s v="Chickpea"/>
    <m/>
    <x v="4"/>
    <s v="Y"/>
    <x v="2"/>
    <n v="21"/>
    <n v="21"/>
    <x v="2"/>
    <m/>
    <m/>
    <m/>
    <n v="6"/>
    <m/>
    <m/>
    <m/>
    <m/>
    <m/>
    <n v="1"/>
    <n v="12"/>
    <x v="0"/>
    <n v="6"/>
    <m/>
    <n v="24"/>
    <x v="0"/>
    <n v="1"/>
    <x v="0"/>
    <m/>
    <m/>
    <n v="28"/>
    <x v="1"/>
    <s v="4/05/2023"/>
    <d v="2023-05-04T00:00:00"/>
    <s v="2023034-21"/>
    <x v="3"/>
  </r>
  <r>
    <x v="499"/>
    <n v="2023034"/>
    <x v="34"/>
    <s v="Chickpea"/>
    <m/>
    <x v="8"/>
    <s v="Y"/>
    <x v="2"/>
    <n v="22"/>
    <n v="22"/>
    <x v="2"/>
    <m/>
    <m/>
    <m/>
    <n v="6"/>
    <m/>
    <m/>
    <m/>
    <m/>
    <m/>
    <n v="2"/>
    <n v="12"/>
    <x v="1"/>
    <n v="6"/>
    <m/>
    <n v="23"/>
    <x v="0"/>
    <n v="3"/>
    <x v="0"/>
    <m/>
    <m/>
    <n v="28"/>
    <x v="1"/>
    <s v="4/05/2023"/>
    <d v="2023-05-04T00:00:00"/>
    <s v="2023034-22"/>
    <x v="3"/>
  </r>
  <r>
    <x v="496"/>
    <n v="2023034"/>
    <x v="34"/>
    <s v="Chickpea"/>
    <m/>
    <x v="3"/>
    <s v="N"/>
    <x v="2"/>
    <n v="23"/>
    <n v="23"/>
    <x v="2"/>
    <m/>
    <m/>
    <m/>
    <n v="6"/>
    <m/>
    <m/>
    <m/>
    <m/>
    <m/>
    <n v="3"/>
    <n v="12"/>
    <x v="2"/>
    <n v="6"/>
    <m/>
    <n v="22"/>
    <x v="0"/>
    <n v="2"/>
    <x v="0"/>
    <m/>
    <m/>
    <n v="28"/>
    <x v="1"/>
    <s v="4/05/2023"/>
    <d v="2023-05-04T00:00:00"/>
    <s v="2023034-23"/>
    <x v="3"/>
  </r>
  <r>
    <x v="498"/>
    <n v="2023034"/>
    <x v="34"/>
    <s v="Chickpea"/>
    <m/>
    <x v="9"/>
    <s v="N"/>
    <x v="2"/>
    <n v="24"/>
    <n v="24"/>
    <x v="2"/>
    <m/>
    <m/>
    <m/>
    <n v="6"/>
    <m/>
    <m/>
    <m/>
    <m/>
    <m/>
    <n v="4"/>
    <n v="12"/>
    <x v="3"/>
    <n v="6"/>
    <m/>
    <n v="21"/>
    <x v="0"/>
    <n v="4"/>
    <x v="0"/>
    <m/>
    <m/>
    <n v="28"/>
    <x v="1"/>
    <s v="4/05/2023"/>
    <d v="2023-05-04T00:00:00"/>
    <s v="2023034-24"/>
    <x v="3"/>
  </r>
  <r>
    <x v="498"/>
    <n v="2023034"/>
    <x v="34"/>
    <s v="Chickpea"/>
    <m/>
    <x v="9"/>
    <s v="N"/>
    <x v="2"/>
    <n v="25"/>
    <n v="25"/>
    <x v="3"/>
    <m/>
    <m/>
    <m/>
    <n v="7"/>
    <m/>
    <m/>
    <m/>
    <m/>
    <m/>
    <n v="1"/>
    <n v="14"/>
    <x v="0"/>
    <n v="7"/>
    <m/>
    <n v="25"/>
    <x v="0"/>
    <n v="4"/>
    <x v="0"/>
    <m/>
    <m/>
    <n v="28"/>
    <x v="1"/>
    <s v="4/05/2023"/>
    <d v="2023-05-04T00:00:00"/>
    <s v="2023034-25"/>
    <x v="3"/>
  </r>
  <r>
    <x v="496"/>
    <n v="2023034"/>
    <x v="34"/>
    <s v="Chickpea"/>
    <m/>
    <x v="3"/>
    <s v="N"/>
    <x v="2"/>
    <n v="26"/>
    <n v="26"/>
    <x v="3"/>
    <m/>
    <m/>
    <m/>
    <n v="7"/>
    <m/>
    <m/>
    <m/>
    <m/>
    <m/>
    <n v="2"/>
    <n v="14"/>
    <x v="1"/>
    <n v="7"/>
    <m/>
    <n v="26"/>
    <x v="0"/>
    <n v="1"/>
    <x v="0"/>
    <m/>
    <m/>
    <n v="28"/>
    <x v="1"/>
    <s v="4/05/2023"/>
    <d v="2023-05-04T00:00:00"/>
    <s v="2023034-26"/>
    <x v="3"/>
  </r>
  <r>
    <x v="499"/>
    <n v="2023034"/>
    <x v="34"/>
    <s v="Chickpea"/>
    <m/>
    <x v="8"/>
    <s v="Y"/>
    <x v="2"/>
    <n v="27"/>
    <n v="27"/>
    <x v="3"/>
    <m/>
    <m/>
    <m/>
    <n v="7"/>
    <m/>
    <m/>
    <m/>
    <m/>
    <m/>
    <n v="3"/>
    <n v="14"/>
    <x v="2"/>
    <n v="7"/>
    <m/>
    <n v="27"/>
    <x v="0"/>
    <n v="3"/>
    <x v="0"/>
    <m/>
    <m/>
    <n v="28"/>
    <x v="1"/>
    <s v="4/05/2023"/>
    <d v="2023-05-04T00:00:00"/>
    <s v="2023034-27"/>
    <x v="3"/>
  </r>
  <r>
    <x v="497"/>
    <n v="2023034"/>
    <x v="34"/>
    <s v="Chickpea"/>
    <m/>
    <x v="4"/>
    <s v="Y"/>
    <x v="2"/>
    <n v="28"/>
    <n v="28"/>
    <x v="3"/>
    <m/>
    <m/>
    <m/>
    <n v="7"/>
    <m/>
    <m/>
    <m/>
    <m/>
    <m/>
    <n v="4"/>
    <n v="14"/>
    <x v="3"/>
    <n v="7"/>
    <m/>
    <n v="28"/>
    <x v="0"/>
    <n v="2"/>
    <x v="0"/>
    <m/>
    <m/>
    <n v="28"/>
    <x v="1"/>
    <s v="4/05/2023"/>
    <d v="2023-05-04T00:00:00"/>
    <s v="2023034-28"/>
    <x v="3"/>
  </r>
  <r>
    <x v="502"/>
    <n v="2023034"/>
    <x v="34"/>
    <s v="Chickpea"/>
    <m/>
    <x v="4"/>
    <s v="Y"/>
    <x v="2"/>
    <n v="29"/>
    <n v="29"/>
    <x v="3"/>
    <m/>
    <m/>
    <m/>
    <n v="8"/>
    <m/>
    <m/>
    <m/>
    <m/>
    <m/>
    <n v="1"/>
    <n v="16"/>
    <x v="0"/>
    <n v="8"/>
    <m/>
    <n v="32"/>
    <x v="0"/>
    <n v="3"/>
    <x v="0"/>
    <m/>
    <m/>
    <n v="28"/>
    <x v="2"/>
    <s v="16/06/2023"/>
    <d v="2023-06-16T00:00:00"/>
    <s v="2023034-29"/>
    <x v="3"/>
  </r>
  <r>
    <x v="500"/>
    <n v="2023034"/>
    <x v="34"/>
    <s v="Chickpea"/>
    <m/>
    <x v="8"/>
    <s v="Y"/>
    <x v="2"/>
    <n v="30"/>
    <n v="30"/>
    <x v="3"/>
    <m/>
    <m/>
    <m/>
    <n v="8"/>
    <m/>
    <m/>
    <m/>
    <m/>
    <m/>
    <n v="2"/>
    <n v="16"/>
    <x v="1"/>
    <n v="8"/>
    <m/>
    <n v="31"/>
    <x v="0"/>
    <n v="2"/>
    <x v="0"/>
    <m/>
    <m/>
    <n v="28"/>
    <x v="2"/>
    <s v="16/06/2023"/>
    <d v="2023-06-16T00:00:00"/>
    <s v="2023034-30"/>
    <x v="3"/>
  </r>
  <r>
    <x v="503"/>
    <n v="2023034"/>
    <x v="34"/>
    <s v="Chickpea"/>
    <m/>
    <x v="3"/>
    <s v="N"/>
    <x v="2"/>
    <n v="31"/>
    <n v="31"/>
    <x v="3"/>
    <m/>
    <m/>
    <m/>
    <n v="8"/>
    <m/>
    <m/>
    <m/>
    <m/>
    <m/>
    <n v="3"/>
    <n v="16"/>
    <x v="2"/>
    <n v="8"/>
    <m/>
    <n v="30"/>
    <x v="0"/>
    <n v="1"/>
    <x v="0"/>
    <m/>
    <m/>
    <n v="28"/>
    <x v="2"/>
    <s v="16/06/2023"/>
    <d v="2023-06-16T00:00:00"/>
    <s v="2023034-31"/>
    <x v="3"/>
  </r>
  <r>
    <x v="501"/>
    <n v="2023034"/>
    <x v="34"/>
    <s v="Chickpea"/>
    <m/>
    <x v="9"/>
    <s v="N"/>
    <x v="2"/>
    <n v="32"/>
    <n v="32"/>
    <x v="3"/>
    <m/>
    <m/>
    <m/>
    <n v="8"/>
    <m/>
    <m/>
    <m/>
    <m/>
    <m/>
    <n v="4"/>
    <n v="16"/>
    <x v="3"/>
    <n v="8"/>
    <m/>
    <n v="29"/>
    <x v="0"/>
    <n v="4"/>
    <x v="0"/>
    <m/>
    <m/>
    <n v="28"/>
    <x v="2"/>
    <s v="16/06/2023"/>
    <d v="2023-06-16T00:00:00"/>
    <s v="2023034-32"/>
    <x v="3"/>
  </r>
  <r>
    <x v="504"/>
    <n v="2023035"/>
    <x v="35"/>
    <s v="Lentil"/>
    <m/>
    <x v="16"/>
    <s v="N"/>
    <x v="2"/>
    <n v="1"/>
    <n v="1"/>
    <x v="0"/>
    <m/>
    <m/>
    <m/>
    <n v="1"/>
    <m/>
    <m/>
    <m/>
    <m/>
    <m/>
    <n v="1"/>
    <n v="2"/>
    <x v="0"/>
    <n v="1"/>
    <m/>
    <n v="1"/>
    <x v="0"/>
    <n v="2"/>
    <x v="0"/>
    <m/>
    <m/>
    <n v="28"/>
    <x v="1"/>
    <s v="4/05/2023"/>
    <d v="2023-05-04T00:00:00"/>
    <s v="2023035-1"/>
    <x v="0"/>
  </r>
  <r>
    <x v="505"/>
    <n v="2023035"/>
    <x v="35"/>
    <s v="Lentil"/>
    <m/>
    <x v="14"/>
    <s v="N"/>
    <x v="2"/>
    <n v="2"/>
    <n v="2"/>
    <x v="0"/>
    <m/>
    <m/>
    <m/>
    <n v="1"/>
    <m/>
    <m/>
    <m/>
    <m/>
    <m/>
    <n v="2"/>
    <n v="2"/>
    <x v="1"/>
    <n v="1"/>
    <m/>
    <n v="2"/>
    <x v="0"/>
    <n v="1"/>
    <x v="0"/>
    <m/>
    <m/>
    <n v="28"/>
    <x v="1"/>
    <s v="4/05/2023"/>
    <d v="2023-05-04T00:00:00"/>
    <s v="2023035-2"/>
    <x v="0"/>
  </r>
  <r>
    <x v="506"/>
    <n v="2023035"/>
    <x v="35"/>
    <s v="Lentil"/>
    <m/>
    <x v="15"/>
    <s v="Y"/>
    <x v="2"/>
    <n v="3"/>
    <n v="3"/>
    <x v="0"/>
    <m/>
    <m/>
    <m/>
    <n v="1"/>
    <m/>
    <m/>
    <m/>
    <m/>
    <m/>
    <n v="3"/>
    <n v="2"/>
    <x v="2"/>
    <n v="1"/>
    <m/>
    <n v="3"/>
    <x v="0"/>
    <n v="4"/>
    <x v="0"/>
    <m/>
    <m/>
    <n v="28"/>
    <x v="1"/>
    <s v="4/05/2023"/>
    <d v="2023-05-04T00:00:00"/>
    <s v="2023035-3"/>
    <x v="0"/>
  </r>
  <r>
    <x v="507"/>
    <n v="2023035"/>
    <x v="35"/>
    <s v="Lentil"/>
    <m/>
    <x v="1"/>
    <s v="Y"/>
    <x v="2"/>
    <n v="4"/>
    <n v="4"/>
    <x v="0"/>
    <m/>
    <m/>
    <m/>
    <n v="1"/>
    <m/>
    <m/>
    <m/>
    <m/>
    <m/>
    <n v="4"/>
    <n v="2"/>
    <x v="3"/>
    <n v="1"/>
    <m/>
    <n v="4"/>
    <x v="0"/>
    <n v="3"/>
    <x v="0"/>
    <m/>
    <m/>
    <n v="28"/>
    <x v="1"/>
    <s v="4/05/2023"/>
    <d v="2023-05-04T00:00:00"/>
    <s v="2023035-4"/>
    <x v="0"/>
  </r>
  <r>
    <x v="508"/>
    <n v="2023035"/>
    <x v="35"/>
    <s v="Lentil"/>
    <m/>
    <x v="15"/>
    <s v="Y"/>
    <x v="2"/>
    <n v="5"/>
    <n v="5"/>
    <x v="0"/>
    <m/>
    <m/>
    <m/>
    <n v="2"/>
    <m/>
    <m/>
    <m/>
    <m/>
    <m/>
    <n v="1"/>
    <n v="4"/>
    <x v="0"/>
    <n v="2"/>
    <m/>
    <n v="8"/>
    <x v="0"/>
    <n v="4"/>
    <x v="0"/>
    <m/>
    <m/>
    <n v="28"/>
    <x v="2"/>
    <s v="16/06/2023"/>
    <d v="2023-06-16T00:00:00"/>
    <s v="2023035-5"/>
    <x v="0"/>
  </r>
  <r>
    <x v="509"/>
    <n v="2023035"/>
    <x v="35"/>
    <s v="Lentil"/>
    <m/>
    <x v="1"/>
    <s v="Y"/>
    <x v="2"/>
    <n v="6"/>
    <n v="6"/>
    <x v="0"/>
    <m/>
    <m/>
    <m/>
    <n v="2"/>
    <m/>
    <m/>
    <m/>
    <m/>
    <m/>
    <n v="2"/>
    <n v="4"/>
    <x v="1"/>
    <n v="2"/>
    <m/>
    <n v="7"/>
    <x v="0"/>
    <n v="3"/>
    <x v="0"/>
    <m/>
    <m/>
    <n v="28"/>
    <x v="2"/>
    <s v="16/06/2023"/>
    <d v="2023-06-16T00:00:00"/>
    <s v="2023035-6"/>
    <x v="0"/>
  </r>
  <r>
    <x v="510"/>
    <n v="2023035"/>
    <x v="35"/>
    <s v="Lentil"/>
    <m/>
    <x v="16"/>
    <s v="N"/>
    <x v="2"/>
    <n v="7"/>
    <n v="7"/>
    <x v="0"/>
    <m/>
    <m/>
    <m/>
    <n v="2"/>
    <m/>
    <m/>
    <m/>
    <m/>
    <m/>
    <n v="3"/>
    <n v="4"/>
    <x v="2"/>
    <n v="2"/>
    <m/>
    <n v="6"/>
    <x v="0"/>
    <n v="2"/>
    <x v="0"/>
    <m/>
    <m/>
    <n v="28"/>
    <x v="2"/>
    <s v="16/06/2023"/>
    <d v="2023-06-16T00:00:00"/>
    <s v="2023035-7"/>
    <x v="0"/>
  </r>
  <r>
    <x v="511"/>
    <n v="2023035"/>
    <x v="35"/>
    <s v="Lentil"/>
    <m/>
    <x v="14"/>
    <s v="N"/>
    <x v="2"/>
    <n v="8"/>
    <n v="8"/>
    <x v="0"/>
    <m/>
    <m/>
    <m/>
    <n v="2"/>
    <m/>
    <m/>
    <m/>
    <m/>
    <m/>
    <n v="4"/>
    <n v="4"/>
    <x v="3"/>
    <n v="2"/>
    <m/>
    <n v="5"/>
    <x v="0"/>
    <n v="1"/>
    <x v="0"/>
    <m/>
    <m/>
    <n v="28"/>
    <x v="2"/>
    <s v="16/06/2023"/>
    <d v="2023-06-16T00:00:00"/>
    <s v="2023035-8"/>
    <x v="0"/>
  </r>
  <r>
    <x v="511"/>
    <n v="2023035"/>
    <x v="35"/>
    <s v="Lentil"/>
    <m/>
    <x v="14"/>
    <s v="N"/>
    <x v="2"/>
    <n v="9"/>
    <n v="9"/>
    <x v="1"/>
    <m/>
    <m/>
    <m/>
    <n v="3"/>
    <m/>
    <m/>
    <m/>
    <m/>
    <m/>
    <n v="1"/>
    <n v="6"/>
    <x v="0"/>
    <n v="3"/>
    <m/>
    <n v="9"/>
    <x v="0"/>
    <n v="1"/>
    <x v="0"/>
    <m/>
    <m/>
    <n v="28"/>
    <x v="2"/>
    <s v="16/06/2023"/>
    <d v="2023-06-16T00:00:00"/>
    <s v="2023035-9"/>
    <x v="0"/>
  </r>
  <r>
    <x v="508"/>
    <n v="2023035"/>
    <x v="35"/>
    <s v="Lentil"/>
    <m/>
    <x v="15"/>
    <s v="Y"/>
    <x v="2"/>
    <n v="10"/>
    <n v="10"/>
    <x v="1"/>
    <m/>
    <m/>
    <m/>
    <n v="3"/>
    <m/>
    <m/>
    <m/>
    <m/>
    <m/>
    <n v="2"/>
    <n v="6"/>
    <x v="1"/>
    <n v="3"/>
    <m/>
    <n v="10"/>
    <x v="0"/>
    <n v="4"/>
    <x v="0"/>
    <m/>
    <m/>
    <n v="28"/>
    <x v="2"/>
    <s v="16/06/2023"/>
    <d v="2023-06-16T00:00:00"/>
    <s v="2023035-10"/>
    <x v="0"/>
  </r>
  <r>
    <x v="509"/>
    <n v="2023035"/>
    <x v="35"/>
    <s v="Lentil"/>
    <m/>
    <x v="1"/>
    <s v="Y"/>
    <x v="2"/>
    <n v="11"/>
    <n v="11"/>
    <x v="1"/>
    <m/>
    <m/>
    <m/>
    <n v="3"/>
    <m/>
    <m/>
    <m/>
    <m/>
    <m/>
    <n v="3"/>
    <n v="6"/>
    <x v="2"/>
    <n v="3"/>
    <m/>
    <n v="11"/>
    <x v="0"/>
    <n v="3"/>
    <x v="0"/>
    <m/>
    <m/>
    <n v="28"/>
    <x v="2"/>
    <s v="16/06/2023"/>
    <d v="2023-06-16T00:00:00"/>
    <s v="2023035-11"/>
    <x v="0"/>
  </r>
  <r>
    <x v="510"/>
    <n v="2023035"/>
    <x v="35"/>
    <s v="Lentil"/>
    <m/>
    <x v="16"/>
    <s v="N"/>
    <x v="2"/>
    <n v="12"/>
    <n v="12"/>
    <x v="1"/>
    <m/>
    <m/>
    <m/>
    <n v="3"/>
    <m/>
    <m/>
    <m/>
    <m/>
    <m/>
    <n v="4"/>
    <n v="6"/>
    <x v="3"/>
    <n v="3"/>
    <m/>
    <n v="12"/>
    <x v="0"/>
    <n v="2"/>
    <x v="0"/>
    <m/>
    <m/>
    <n v="28"/>
    <x v="2"/>
    <s v="16/06/2023"/>
    <d v="2023-06-16T00:00:00"/>
    <s v="2023035-12"/>
    <x v="0"/>
  </r>
  <r>
    <x v="506"/>
    <n v="2023035"/>
    <x v="35"/>
    <s v="Lentil"/>
    <m/>
    <x v="15"/>
    <s v="Y"/>
    <x v="2"/>
    <n v="13"/>
    <n v="13"/>
    <x v="1"/>
    <m/>
    <m/>
    <m/>
    <n v="4"/>
    <m/>
    <m/>
    <m/>
    <m/>
    <m/>
    <n v="1"/>
    <n v="8"/>
    <x v="0"/>
    <n v="4"/>
    <m/>
    <n v="16"/>
    <x v="0"/>
    <n v="4"/>
    <x v="0"/>
    <m/>
    <m/>
    <n v="28"/>
    <x v="1"/>
    <s v="4/05/2023"/>
    <d v="2023-05-04T00:00:00"/>
    <s v="2023035-13"/>
    <x v="0"/>
  </r>
  <r>
    <x v="507"/>
    <n v="2023035"/>
    <x v="35"/>
    <s v="Lentil"/>
    <m/>
    <x v="1"/>
    <s v="Y"/>
    <x v="2"/>
    <n v="14"/>
    <n v="14"/>
    <x v="1"/>
    <m/>
    <m/>
    <m/>
    <n v="4"/>
    <m/>
    <m/>
    <m/>
    <m/>
    <m/>
    <n v="2"/>
    <n v="8"/>
    <x v="1"/>
    <n v="4"/>
    <m/>
    <n v="15"/>
    <x v="0"/>
    <n v="3"/>
    <x v="0"/>
    <m/>
    <m/>
    <n v="28"/>
    <x v="1"/>
    <s v="4/05/2023"/>
    <d v="2023-05-04T00:00:00"/>
    <s v="2023035-14"/>
    <x v="0"/>
  </r>
  <r>
    <x v="504"/>
    <n v="2023035"/>
    <x v="35"/>
    <s v="Lentil"/>
    <m/>
    <x v="16"/>
    <s v="N"/>
    <x v="2"/>
    <n v="15"/>
    <n v="15"/>
    <x v="1"/>
    <m/>
    <m/>
    <m/>
    <n v="4"/>
    <m/>
    <m/>
    <m/>
    <m/>
    <m/>
    <n v="3"/>
    <n v="8"/>
    <x v="2"/>
    <n v="4"/>
    <m/>
    <n v="14"/>
    <x v="0"/>
    <n v="2"/>
    <x v="0"/>
    <m/>
    <m/>
    <n v="28"/>
    <x v="1"/>
    <s v="4/05/2023"/>
    <d v="2023-05-04T00:00:00"/>
    <s v="2023035-15"/>
    <x v="0"/>
  </r>
  <r>
    <x v="505"/>
    <n v="2023035"/>
    <x v="35"/>
    <s v="Lentil"/>
    <m/>
    <x v="14"/>
    <s v="N"/>
    <x v="2"/>
    <n v="16"/>
    <n v="16"/>
    <x v="1"/>
    <m/>
    <m/>
    <m/>
    <n v="4"/>
    <m/>
    <m/>
    <m/>
    <m/>
    <m/>
    <n v="4"/>
    <n v="8"/>
    <x v="3"/>
    <n v="4"/>
    <m/>
    <n v="13"/>
    <x v="0"/>
    <n v="1"/>
    <x v="0"/>
    <m/>
    <m/>
    <n v="28"/>
    <x v="1"/>
    <s v="4/05/2023"/>
    <d v="2023-05-04T00:00:00"/>
    <s v="2023035-16"/>
    <x v="0"/>
  </r>
  <r>
    <x v="510"/>
    <n v="2023035"/>
    <x v="35"/>
    <s v="Lentil"/>
    <m/>
    <x v="16"/>
    <s v="N"/>
    <x v="2"/>
    <n v="17"/>
    <n v="17"/>
    <x v="2"/>
    <m/>
    <m/>
    <m/>
    <n v="5"/>
    <m/>
    <m/>
    <m/>
    <m/>
    <m/>
    <n v="1"/>
    <n v="10"/>
    <x v="0"/>
    <n v="5"/>
    <m/>
    <n v="17"/>
    <x v="0"/>
    <n v="2"/>
    <x v="0"/>
    <m/>
    <m/>
    <n v="28"/>
    <x v="2"/>
    <s v="16/06/2023"/>
    <d v="2023-06-16T00:00:00"/>
    <s v="2023035-17"/>
    <x v="0"/>
  </r>
  <r>
    <x v="511"/>
    <n v="2023035"/>
    <x v="35"/>
    <s v="Lentil"/>
    <m/>
    <x v="14"/>
    <s v="N"/>
    <x v="2"/>
    <n v="18"/>
    <n v="18"/>
    <x v="2"/>
    <m/>
    <m/>
    <m/>
    <n v="5"/>
    <m/>
    <m/>
    <m/>
    <m/>
    <m/>
    <n v="2"/>
    <n v="10"/>
    <x v="1"/>
    <n v="5"/>
    <m/>
    <n v="18"/>
    <x v="0"/>
    <n v="1"/>
    <x v="0"/>
    <m/>
    <m/>
    <n v="28"/>
    <x v="2"/>
    <s v="16/06/2023"/>
    <d v="2023-06-16T00:00:00"/>
    <s v="2023035-18"/>
    <x v="0"/>
  </r>
  <r>
    <x v="508"/>
    <n v="2023035"/>
    <x v="35"/>
    <s v="Lentil"/>
    <m/>
    <x v="15"/>
    <s v="Y"/>
    <x v="2"/>
    <n v="19"/>
    <n v="19"/>
    <x v="2"/>
    <m/>
    <m/>
    <m/>
    <n v="5"/>
    <m/>
    <m/>
    <m/>
    <m/>
    <m/>
    <n v="3"/>
    <n v="10"/>
    <x v="2"/>
    <n v="5"/>
    <m/>
    <n v="19"/>
    <x v="0"/>
    <n v="4"/>
    <x v="0"/>
    <m/>
    <m/>
    <n v="28"/>
    <x v="2"/>
    <s v="16/06/2023"/>
    <d v="2023-06-16T00:00:00"/>
    <s v="2023035-19"/>
    <x v="0"/>
  </r>
  <r>
    <x v="509"/>
    <n v="2023035"/>
    <x v="35"/>
    <s v="Lentil"/>
    <m/>
    <x v="1"/>
    <s v="Y"/>
    <x v="2"/>
    <n v="20"/>
    <n v="20"/>
    <x v="2"/>
    <m/>
    <m/>
    <m/>
    <n v="5"/>
    <m/>
    <m/>
    <m/>
    <m/>
    <m/>
    <n v="4"/>
    <n v="10"/>
    <x v="3"/>
    <n v="5"/>
    <m/>
    <n v="20"/>
    <x v="0"/>
    <n v="3"/>
    <x v="0"/>
    <m/>
    <m/>
    <n v="28"/>
    <x v="2"/>
    <s v="16/06/2023"/>
    <d v="2023-06-16T00:00:00"/>
    <s v="2023035-20"/>
    <x v="0"/>
  </r>
  <r>
    <x v="507"/>
    <n v="2023035"/>
    <x v="35"/>
    <s v="Lentil"/>
    <m/>
    <x v="1"/>
    <s v="Y"/>
    <x v="2"/>
    <n v="21"/>
    <n v="21"/>
    <x v="2"/>
    <m/>
    <m/>
    <m/>
    <n v="6"/>
    <m/>
    <m/>
    <m/>
    <m/>
    <m/>
    <n v="1"/>
    <n v="12"/>
    <x v="0"/>
    <n v="6"/>
    <m/>
    <n v="24"/>
    <x v="0"/>
    <n v="3"/>
    <x v="0"/>
    <m/>
    <m/>
    <n v="28"/>
    <x v="1"/>
    <s v="4/05/2023"/>
    <d v="2023-05-04T00:00:00"/>
    <s v="2023035-21"/>
    <x v="0"/>
  </r>
  <r>
    <x v="504"/>
    <n v="2023035"/>
    <x v="35"/>
    <s v="Lentil"/>
    <m/>
    <x v="16"/>
    <s v="N"/>
    <x v="2"/>
    <n v="22"/>
    <n v="22"/>
    <x v="2"/>
    <m/>
    <m/>
    <m/>
    <n v="6"/>
    <m/>
    <m/>
    <m/>
    <m/>
    <m/>
    <n v="2"/>
    <n v="12"/>
    <x v="1"/>
    <n v="6"/>
    <m/>
    <n v="23"/>
    <x v="0"/>
    <n v="2"/>
    <x v="0"/>
    <m/>
    <m/>
    <n v="28"/>
    <x v="1"/>
    <s v="4/05/2023"/>
    <d v="2023-05-04T00:00:00"/>
    <s v="2023035-22"/>
    <x v="0"/>
  </r>
  <r>
    <x v="505"/>
    <n v="2023035"/>
    <x v="35"/>
    <s v="Lentil"/>
    <m/>
    <x v="14"/>
    <s v="N"/>
    <x v="2"/>
    <n v="23"/>
    <n v="23"/>
    <x v="2"/>
    <m/>
    <m/>
    <m/>
    <n v="6"/>
    <m/>
    <m/>
    <m/>
    <m/>
    <m/>
    <n v="3"/>
    <n v="12"/>
    <x v="2"/>
    <n v="6"/>
    <m/>
    <n v="22"/>
    <x v="0"/>
    <n v="1"/>
    <x v="0"/>
    <m/>
    <m/>
    <n v="28"/>
    <x v="1"/>
    <s v="4/05/2023"/>
    <d v="2023-05-04T00:00:00"/>
    <s v="2023035-23"/>
    <x v="0"/>
  </r>
  <r>
    <x v="506"/>
    <n v="2023035"/>
    <x v="35"/>
    <s v="Lentil"/>
    <m/>
    <x v="15"/>
    <s v="Y"/>
    <x v="2"/>
    <n v="24"/>
    <n v="24"/>
    <x v="2"/>
    <m/>
    <m/>
    <m/>
    <n v="6"/>
    <m/>
    <m/>
    <m/>
    <m/>
    <m/>
    <n v="4"/>
    <n v="12"/>
    <x v="3"/>
    <n v="6"/>
    <m/>
    <n v="21"/>
    <x v="0"/>
    <n v="4"/>
    <x v="0"/>
    <m/>
    <m/>
    <n v="28"/>
    <x v="1"/>
    <s v="4/05/2023"/>
    <d v="2023-05-04T00:00:00"/>
    <s v="2023035-24"/>
    <x v="0"/>
  </r>
  <r>
    <x v="505"/>
    <n v="2023035"/>
    <x v="35"/>
    <s v="Lentil"/>
    <m/>
    <x v="14"/>
    <s v="N"/>
    <x v="2"/>
    <n v="25"/>
    <n v="25"/>
    <x v="3"/>
    <m/>
    <m/>
    <m/>
    <n v="7"/>
    <m/>
    <m/>
    <m/>
    <m/>
    <m/>
    <n v="1"/>
    <n v="14"/>
    <x v="0"/>
    <n v="7"/>
    <m/>
    <n v="25"/>
    <x v="0"/>
    <n v="1"/>
    <x v="0"/>
    <m/>
    <m/>
    <n v="28"/>
    <x v="1"/>
    <s v="4/05/2023"/>
    <d v="2023-05-04T00:00:00"/>
    <s v="2023035-25"/>
    <x v="0"/>
  </r>
  <r>
    <x v="506"/>
    <n v="2023035"/>
    <x v="35"/>
    <s v="Lentil"/>
    <m/>
    <x v="15"/>
    <s v="Y"/>
    <x v="2"/>
    <n v="26"/>
    <n v="26"/>
    <x v="3"/>
    <m/>
    <m/>
    <m/>
    <n v="7"/>
    <m/>
    <m/>
    <m/>
    <m/>
    <m/>
    <n v="2"/>
    <n v="14"/>
    <x v="1"/>
    <n v="7"/>
    <m/>
    <n v="26"/>
    <x v="0"/>
    <n v="4"/>
    <x v="0"/>
    <m/>
    <m/>
    <n v="28"/>
    <x v="1"/>
    <s v="4/05/2023"/>
    <d v="2023-05-04T00:00:00"/>
    <s v="2023035-26"/>
    <x v="0"/>
  </r>
  <r>
    <x v="507"/>
    <n v="2023035"/>
    <x v="35"/>
    <s v="Lentil"/>
    <m/>
    <x v="1"/>
    <s v="Y"/>
    <x v="2"/>
    <n v="27"/>
    <n v="27"/>
    <x v="3"/>
    <m/>
    <m/>
    <m/>
    <n v="7"/>
    <m/>
    <m/>
    <m/>
    <m/>
    <m/>
    <n v="3"/>
    <n v="14"/>
    <x v="2"/>
    <n v="7"/>
    <m/>
    <n v="27"/>
    <x v="0"/>
    <n v="3"/>
    <x v="0"/>
    <m/>
    <m/>
    <n v="28"/>
    <x v="1"/>
    <s v="4/05/2023"/>
    <d v="2023-05-04T00:00:00"/>
    <s v="2023035-27"/>
    <x v="0"/>
  </r>
  <r>
    <x v="504"/>
    <n v="2023035"/>
    <x v="35"/>
    <s v="Lentil"/>
    <m/>
    <x v="16"/>
    <s v="N"/>
    <x v="2"/>
    <n v="28"/>
    <n v="28"/>
    <x v="3"/>
    <m/>
    <m/>
    <m/>
    <n v="7"/>
    <m/>
    <m/>
    <m/>
    <m/>
    <m/>
    <n v="4"/>
    <n v="14"/>
    <x v="3"/>
    <n v="7"/>
    <m/>
    <n v="28"/>
    <x v="0"/>
    <n v="2"/>
    <x v="0"/>
    <m/>
    <m/>
    <n v="28"/>
    <x v="1"/>
    <s v="4/05/2023"/>
    <d v="2023-05-04T00:00:00"/>
    <s v="2023035-28"/>
    <x v="0"/>
  </r>
  <r>
    <x v="509"/>
    <n v="2023035"/>
    <x v="35"/>
    <s v="Lentil"/>
    <m/>
    <x v="1"/>
    <s v="Y"/>
    <x v="2"/>
    <n v="29"/>
    <n v="29"/>
    <x v="3"/>
    <m/>
    <m/>
    <m/>
    <n v="8"/>
    <m/>
    <m/>
    <m/>
    <m/>
    <m/>
    <n v="1"/>
    <n v="16"/>
    <x v="0"/>
    <n v="8"/>
    <m/>
    <n v="32"/>
    <x v="0"/>
    <n v="3"/>
    <x v="0"/>
    <m/>
    <m/>
    <n v="28"/>
    <x v="2"/>
    <s v="16/06/2023"/>
    <d v="2023-06-16T00:00:00"/>
    <s v="2023035-29"/>
    <x v="0"/>
  </r>
  <r>
    <x v="510"/>
    <n v="2023035"/>
    <x v="35"/>
    <s v="Lentil"/>
    <m/>
    <x v="16"/>
    <s v="N"/>
    <x v="2"/>
    <n v="30"/>
    <n v="30"/>
    <x v="3"/>
    <m/>
    <m/>
    <m/>
    <n v="8"/>
    <m/>
    <m/>
    <m/>
    <m/>
    <m/>
    <n v="2"/>
    <n v="16"/>
    <x v="1"/>
    <n v="8"/>
    <m/>
    <n v="31"/>
    <x v="0"/>
    <n v="2"/>
    <x v="0"/>
    <m/>
    <m/>
    <n v="28"/>
    <x v="2"/>
    <s v="16/06/2023"/>
    <d v="2023-06-16T00:00:00"/>
    <s v="2023035-30"/>
    <x v="0"/>
  </r>
  <r>
    <x v="511"/>
    <n v="2023035"/>
    <x v="35"/>
    <s v="Lentil"/>
    <m/>
    <x v="14"/>
    <s v="N"/>
    <x v="2"/>
    <n v="31"/>
    <n v="31"/>
    <x v="3"/>
    <m/>
    <m/>
    <m/>
    <n v="8"/>
    <m/>
    <m/>
    <m/>
    <m/>
    <m/>
    <n v="3"/>
    <n v="16"/>
    <x v="2"/>
    <n v="8"/>
    <m/>
    <n v="30"/>
    <x v="0"/>
    <n v="1"/>
    <x v="0"/>
    <m/>
    <m/>
    <n v="28"/>
    <x v="2"/>
    <s v="16/06/2023"/>
    <d v="2023-06-16T00:00:00"/>
    <s v="2023035-31"/>
    <x v="0"/>
  </r>
  <r>
    <x v="508"/>
    <n v="2023035"/>
    <x v="35"/>
    <s v="Lentil"/>
    <m/>
    <x v="15"/>
    <s v="Y"/>
    <x v="2"/>
    <n v="32"/>
    <n v="32"/>
    <x v="3"/>
    <m/>
    <m/>
    <m/>
    <n v="8"/>
    <m/>
    <m/>
    <m/>
    <m/>
    <m/>
    <n v="4"/>
    <n v="16"/>
    <x v="3"/>
    <n v="8"/>
    <m/>
    <n v="29"/>
    <x v="0"/>
    <n v="4"/>
    <x v="0"/>
    <m/>
    <m/>
    <n v="28"/>
    <x v="2"/>
    <s v="16/06/2023"/>
    <d v="2023-06-16T00:00:00"/>
    <s v="2023035-32"/>
    <x v="0"/>
  </r>
  <r>
    <x v="512"/>
    <n v="2023036"/>
    <x v="36"/>
    <s v="Mixed"/>
    <s v="Fababean"/>
    <x v="10"/>
    <s v="Y"/>
    <x v="2"/>
    <n v="1"/>
    <n v="1"/>
    <x v="0"/>
    <m/>
    <m/>
    <m/>
    <n v="1"/>
    <m/>
    <m/>
    <m/>
    <m/>
    <m/>
    <n v="1"/>
    <n v="3"/>
    <x v="0"/>
    <n v="1"/>
    <m/>
    <n v="1"/>
    <x v="1"/>
    <n v="1"/>
    <x v="3"/>
    <s v="1"/>
    <m/>
    <m/>
    <x v="1"/>
    <s v="26/05/2023"/>
    <d v="2023-05-26T00:00:00"/>
    <s v="2023036-1"/>
    <x v="4"/>
  </r>
  <r>
    <x v="513"/>
    <n v="2023036"/>
    <x v="36"/>
    <s v="Mixed"/>
    <s v="Fababean"/>
    <x v="11"/>
    <s v="N"/>
    <x v="2"/>
    <n v="2"/>
    <n v="2"/>
    <x v="0"/>
    <m/>
    <m/>
    <m/>
    <n v="1"/>
    <m/>
    <m/>
    <m/>
    <m/>
    <m/>
    <n v="2"/>
    <n v="3"/>
    <x v="1"/>
    <n v="1"/>
    <m/>
    <n v="2"/>
    <x v="1"/>
    <n v="3"/>
    <x v="3"/>
    <s v="1"/>
    <m/>
    <m/>
    <x v="1"/>
    <s v="26/05/2023"/>
    <d v="2023-05-26T00:00:00"/>
    <s v="2023036-2"/>
    <x v="4"/>
  </r>
  <r>
    <x v="514"/>
    <n v="2023036"/>
    <x v="36"/>
    <s v="Mixed"/>
    <s v="Fababean"/>
    <x v="12"/>
    <s v="N"/>
    <x v="2"/>
    <n v="3"/>
    <n v="3"/>
    <x v="0"/>
    <m/>
    <m/>
    <m/>
    <n v="1"/>
    <m/>
    <m/>
    <m/>
    <m/>
    <m/>
    <n v="3"/>
    <n v="3"/>
    <x v="2"/>
    <n v="1"/>
    <m/>
    <n v="3"/>
    <x v="1"/>
    <n v="4"/>
    <x v="3"/>
    <s v="1"/>
    <m/>
    <m/>
    <x v="1"/>
    <s v="26/05/2023"/>
    <d v="2023-05-26T00:00:00"/>
    <s v="2023036-3"/>
    <x v="4"/>
  </r>
  <r>
    <x v="515"/>
    <n v="2023036"/>
    <x v="36"/>
    <s v="Mixed"/>
    <s v="Fababean"/>
    <x v="13"/>
    <s v="Y"/>
    <x v="2"/>
    <n v="4"/>
    <n v="4"/>
    <x v="0"/>
    <m/>
    <m/>
    <m/>
    <n v="1"/>
    <m/>
    <m/>
    <m/>
    <m/>
    <m/>
    <n v="4"/>
    <n v="3"/>
    <x v="3"/>
    <n v="1"/>
    <m/>
    <n v="4"/>
    <x v="1"/>
    <n v="2"/>
    <x v="3"/>
    <s v="1"/>
    <m/>
    <m/>
    <x v="1"/>
    <s v="26/05/2023"/>
    <d v="2023-05-26T00:00:00"/>
    <s v="2023036-4"/>
    <x v="4"/>
  </r>
  <r>
    <x v="516"/>
    <n v="2023036"/>
    <x v="36"/>
    <s v="Mixed"/>
    <s v="Lupin"/>
    <x v="32"/>
    <s v="N"/>
    <x v="2"/>
    <n v="5"/>
    <n v="5"/>
    <x v="0"/>
    <m/>
    <m/>
    <m/>
    <n v="2"/>
    <m/>
    <m/>
    <m/>
    <m/>
    <m/>
    <n v="5"/>
    <n v="3"/>
    <x v="4"/>
    <n v="1"/>
    <m/>
    <n v="5"/>
    <x v="1"/>
    <n v="11"/>
    <x v="3"/>
    <s v="1"/>
    <m/>
    <m/>
    <x v="1"/>
    <s v="26/05/2023"/>
    <d v="2023-05-26T00:00:00"/>
    <s v="2023036-5"/>
    <x v="5"/>
  </r>
  <r>
    <x v="517"/>
    <n v="2023036"/>
    <x v="36"/>
    <s v="Mixed"/>
    <s v="Lupin"/>
    <x v="25"/>
    <s v="N"/>
    <x v="2"/>
    <n v="6"/>
    <n v="6"/>
    <x v="0"/>
    <m/>
    <m/>
    <m/>
    <n v="2"/>
    <m/>
    <m/>
    <m/>
    <m/>
    <m/>
    <n v="6"/>
    <n v="3"/>
    <x v="5"/>
    <n v="1"/>
    <m/>
    <n v="6"/>
    <x v="1"/>
    <n v="10"/>
    <x v="3"/>
    <s v="1"/>
    <m/>
    <m/>
    <x v="1"/>
    <s v="26/05/2023"/>
    <d v="2023-05-26T00:00:00"/>
    <s v="2023036-6"/>
    <x v="5"/>
  </r>
  <r>
    <x v="518"/>
    <n v="2023036"/>
    <x v="36"/>
    <s v="Mixed"/>
    <s v="Lupin"/>
    <x v="27"/>
    <s v="Y"/>
    <x v="2"/>
    <n v="7"/>
    <n v="7"/>
    <x v="0"/>
    <m/>
    <m/>
    <m/>
    <n v="2"/>
    <m/>
    <m/>
    <m/>
    <m/>
    <m/>
    <n v="7"/>
    <n v="3"/>
    <x v="6"/>
    <n v="1"/>
    <m/>
    <n v="7"/>
    <x v="1"/>
    <n v="9"/>
    <x v="3"/>
    <s v="1"/>
    <m/>
    <m/>
    <x v="1"/>
    <s v="26/05/2023"/>
    <d v="2023-05-26T00:00:00"/>
    <s v="2023036-7"/>
    <x v="5"/>
  </r>
  <r>
    <x v="519"/>
    <n v="2023036"/>
    <x v="36"/>
    <s v="Mixed"/>
    <s v="Lupin"/>
    <x v="26"/>
    <s v="N"/>
    <x v="2"/>
    <n v="8"/>
    <n v="8"/>
    <x v="0"/>
    <m/>
    <m/>
    <m/>
    <n v="3"/>
    <m/>
    <m/>
    <m/>
    <m/>
    <m/>
    <n v="8"/>
    <n v="3"/>
    <x v="7"/>
    <n v="1"/>
    <m/>
    <n v="8"/>
    <x v="1"/>
    <n v="5"/>
    <x v="3"/>
    <s v="1"/>
    <m/>
    <m/>
    <x v="1"/>
    <s v="26/05/2023"/>
    <d v="2023-05-26T00:00:00"/>
    <s v="2023036-8"/>
    <x v="5"/>
  </r>
  <r>
    <x v="520"/>
    <n v="2023036"/>
    <x v="36"/>
    <s v="Mixed"/>
    <s v="Chickpea"/>
    <x v="3"/>
    <s v="N"/>
    <x v="2"/>
    <n v="9"/>
    <n v="9"/>
    <x v="0"/>
    <m/>
    <m/>
    <m/>
    <n v="3"/>
    <m/>
    <m/>
    <m/>
    <m/>
    <m/>
    <n v="9"/>
    <n v="3"/>
    <x v="8"/>
    <n v="1"/>
    <m/>
    <n v="9"/>
    <x v="1"/>
    <n v="6"/>
    <x v="3"/>
    <s v="1"/>
    <m/>
    <m/>
    <x v="1"/>
    <s v="26/05/2023"/>
    <d v="2023-05-26T00:00:00"/>
    <s v="2023036-9"/>
    <x v="3"/>
  </r>
  <r>
    <x v="521"/>
    <n v="2023036"/>
    <x v="36"/>
    <s v="Mixed"/>
    <s v="Chickpea"/>
    <x v="9"/>
    <s v="N"/>
    <x v="2"/>
    <n v="10"/>
    <n v="10"/>
    <x v="0"/>
    <m/>
    <m/>
    <m/>
    <n v="3"/>
    <m/>
    <m/>
    <m/>
    <m/>
    <m/>
    <n v="10"/>
    <n v="3"/>
    <x v="9"/>
    <n v="1"/>
    <m/>
    <n v="10"/>
    <x v="1"/>
    <n v="7"/>
    <x v="3"/>
    <s v="1"/>
    <m/>
    <m/>
    <x v="1"/>
    <s v="26/05/2023"/>
    <d v="2023-05-26T00:00:00"/>
    <s v="2023036-10"/>
    <x v="3"/>
  </r>
  <r>
    <x v="522"/>
    <n v="2023036"/>
    <x v="36"/>
    <s v="Mixed"/>
    <s v="Chickpea"/>
    <x v="8"/>
    <s v="Y"/>
    <x v="2"/>
    <n v="11"/>
    <n v="11"/>
    <x v="0"/>
    <m/>
    <m/>
    <m/>
    <n v="3"/>
    <m/>
    <m/>
    <m/>
    <m/>
    <m/>
    <n v="11"/>
    <n v="3"/>
    <x v="10"/>
    <n v="1"/>
    <m/>
    <n v="11"/>
    <x v="1"/>
    <n v="8"/>
    <x v="3"/>
    <s v="1"/>
    <m/>
    <m/>
    <x v="1"/>
    <s v="26/05/2023"/>
    <d v="2023-05-26T00:00:00"/>
    <s v="2023036-11"/>
    <x v="3"/>
  </r>
  <r>
    <x v="523"/>
    <n v="2023036"/>
    <x v="36"/>
    <s v="Mixed"/>
    <s v="Lentil"/>
    <x v="15"/>
    <s v="Y"/>
    <x v="2"/>
    <n v="12"/>
    <n v="12"/>
    <x v="0"/>
    <m/>
    <m/>
    <m/>
    <n v="4"/>
    <m/>
    <m/>
    <m/>
    <m/>
    <m/>
    <n v="12"/>
    <n v="3"/>
    <x v="11"/>
    <n v="1"/>
    <m/>
    <n v="12"/>
    <x v="1"/>
    <n v="12"/>
    <x v="3"/>
    <s v="1"/>
    <m/>
    <m/>
    <x v="1"/>
    <s v="26/05/2023"/>
    <d v="2023-05-26T00:00:00"/>
    <s v="2023036-12"/>
    <x v="0"/>
  </r>
  <r>
    <x v="513"/>
    <n v="2023036"/>
    <x v="36"/>
    <s v="Mixed"/>
    <s v="Fababean"/>
    <x v="11"/>
    <s v="N"/>
    <x v="2"/>
    <n v="13"/>
    <n v="13"/>
    <x v="1"/>
    <m/>
    <m/>
    <m/>
    <n v="5"/>
    <m/>
    <m/>
    <m/>
    <m/>
    <m/>
    <n v="1"/>
    <n v="4"/>
    <x v="0"/>
    <n v="2"/>
    <m/>
    <n v="24"/>
    <x v="1"/>
    <n v="12"/>
    <x v="3"/>
    <s v="1"/>
    <m/>
    <m/>
    <x v="1"/>
    <s v="26/05/2023"/>
    <d v="2023-05-26T00:00:00"/>
    <s v="2023036-13"/>
    <x v="4"/>
  </r>
  <r>
    <x v="514"/>
    <n v="2023036"/>
    <x v="36"/>
    <s v="Mixed"/>
    <s v="Fababean"/>
    <x v="12"/>
    <s v="N"/>
    <x v="2"/>
    <n v="14"/>
    <n v="14"/>
    <x v="1"/>
    <m/>
    <m/>
    <m/>
    <n v="6"/>
    <m/>
    <m/>
    <m/>
    <m/>
    <m/>
    <n v="2"/>
    <n v="4"/>
    <x v="1"/>
    <n v="2"/>
    <m/>
    <n v="23"/>
    <x v="1"/>
    <n v="6"/>
    <x v="3"/>
    <s v="1"/>
    <m/>
    <m/>
    <x v="1"/>
    <s v="26/05/2023"/>
    <d v="2023-05-26T00:00:00"/>
    <s v="2023036-14"/>
    <x v="4"/>
  </r>
  <r>
    <x v="515"/>
    <n v="2023036"/>
    <x v="36"/>
    <s v="Mixed"/>
    <s v="Fababean"/>
    <x v="13"/>
    <s v="Y"/>
    <x v="2"/>
    <n v="15"/>
    <n v="15"/>
    <x v="1"/>
    <m/>
    <m/>
    <m/>
    <n v="6"/>
    <m/>
    <m/>
    <m/>
    <m/>
    <m/>
    <n v="3"/>
    <n v="4"/>
    <x v="2"/>
    <n v="2"/>
    <m/>
    <n v="22"/>
    <x v="1"/>
    <n v="5"/>
    <x v="3"/>
    <s v="1"/>
    <m/>
    <m/>
    <x v="1"/>
    <s v="26/05/2023"/>
    <d v="2023-05-26T00:00:00"/>
    <s v="2023036-15"/>
    <x v="4"/>
  </r>
  <r>
    <x v="512"/>
    <n v="2023036"/>
    <x v="36"/>
    <s v="Mixed"/>
    <s v="Fababean"/>
    <x v="10"/>
    <s v="Y"/>
    <x v="2"/>
    <n v="16"/>
    <n v="16"/>
    <x v="1"/>
    <m/>
    <m/>
    <m/>
    <n v="6"/>
    <m/>
    <m/>
    <m/>
    <m/>
    <m/>
    <n v="4"/>
    <n v="4"/>
    <x v="3"/>
    <n v="2"/>
    <m/>
    <n v="21"/>
    <x v="1"/>
    <n v="8"/>
    <x v="3"/>
    <s v="1"/>
    <m/>
    <m/>
    <x v="1"/>
    <s v="26/05/2023"/>
    <d v="2023-05-26T00:00:00"/>
    <s v="2023036-16"/>
    <x v="4"/>
  </r>
  <r>
    <x v="519"/>
    <n v="2023036"/>
    <x v="36"/>
    <s v="Mixed"/>
    <s v="Lupin"/>
    <x v="26"/>
    <s v="N"/>
    <x v="2"/>
    <n v="17"/>
    <n v="17"/>
    <x v="1"/>
    <m/>
    <m/>
    <m/>
    <n v="6"/>
    <m/>
    <m/>
    <m/>
    <m/>
    <m/>
    <n v="5"/>
    <n v="4"/>
    <x v="4"/>
    <n v="2"/>
    <m/>
    <n v="20"/>
    <x v="1"/>
    <n v="7"/>
    <x v="3"/>
    <s v="1"/>
    <m/>
    <m/>
    <x v="1"/>
    <s v="26/05/2023"/>
    <d v="2023-05-26T00:00:00"/>
    <s v="2023036-17"/>
    <x v="5"/>
  </r>
  <r>
    <x v="516"/>
    <n v="2023036"/>
    <x v="36"/>
    <s v="Mixed"/>
    <s v="Lupin"/>
    <x v="32"/>
    <s v="N"/>
    <x v="2"/>
    <n v="18"/>
    <n v="18"/>
    <x v="1"/>
    <m/>
    <m/>
    <m/>
    <n v="7"/>
    <m/>
    <m/>
    <m/>
    <m/>
    <m/>
    <n v="6"/>
    <n v="4"/>
    <x v="5"/>
    <n v="2"/>
    <m/>
    <n v="19"/>
    <x v="1"/>
    <n v="9"/>
    <x v="3"/>
    <s v="1"/>
    <m/>
    <m/>
    <x v="1"/>
    <s v="26/05/2023"/>
    <d v="2023-05-26T00:00:00"/>
    <s v="2023036-18"/>
    <x v="5"/>
  </r>
  <r>
    <x v="517"/>
    <n v="2023036"/>
    <x v="36"/>
    <s v="Mixed"/>
    <s v="Lupin"/>
    <x v="25"/>
    <s v="N"/>
    <x v="2"/>
    <n v="19"/>
    <n v="19"/>
    <x v="1"/>
    <m/>
    <m/>
    <m/>
    <n v="7"/>
    <m/>
    <m/>
    <m/>
    <m/>
    <m/>
    <n v="7"/>
    <n v="4"/>
    <x v="6"/>
    <n v="2"/>
    <m/>
    <n v="18"/>
    <x v="1"/>
    <n v="11"/>
    <x v="3"/>
    <s v="1"/>
    <m/>
    <m/>
    <x v="1"/>
    <s v="26/05/2023"/>
    <d v="2023-05-26T00:00:00"/>
    <s v="2023036-19"/>
    <x v="5"/>
  </r>
  <r>
    <x v="518"/>
    <n v="2023036"/>
    <x v="36"/>
    <s v="Mixed"/>
    <s v="Lupin"/>
    <x v="27"/>
    <s v="Y"/>
    <x v="2"/>
    <n v="20"/>
    <n v="20"/>
    <x v="1"/>
    <m/>
    <m/>
    <m/>
    <n v="7"/>
    <m/>
    <m/>
    <m/>
    <m/>
    <m/>
    <n v="8"/>
    <n v="4"/>
    <x v="7"/>
    <n v="2"/>
    <m/>
    <n v="17"/>
    <x v="1"/>
    <n v="10"/>
    <x v="3"/>
    <s v="1"/>
    <m/>
    <m/>
    <x v="1"/>
    <s v="26/05/2023"/>
    <d v="2023-05-26T00:00:00"/>
    <s v="2023036-20"/>
    <x v="5"/>
  </r>
  <r>
    <x v="523"/>
    <n v="2023036"/>
    <x v="36"/>
    <s v="Mixed"/>
    <s v="Lentil"/>
    <x v="15"/>
    <s v="Y"/>
    <x v="2"/>
    <n v="21"/>
    <n v="21"/>
    <x v="1"/>
    <m/>
    <m/>
    <m/>
    <n v="8"/>
    <m/>
    <m/>
    <m/>
    <m/>
    <m/>
    <n v="9"/>
    <n v="4"/>
    <x v="8"/>
    <n v="2"/>
    <m/>
    <n v="16"/>
    <x v="1"/>
    <n v="3"/>
    <x v="3"/>
    <s v="1"/>
    <m/>
    <m/>
    <x v="1"/>
    <s v="26/05/2023"/>
    <d v="2023-05-26T00:00:00"/>
    <s v="2023036-21"/>
    <x v="0"/>
  </r>
  <r>
    <x v="520"/>
    <n v="2023036"/>
    <x v="36"/>
    <s v="Mixed"/>
    <s v="Chickpea"/>
    <x v="3"/>
    <s v="N"/>
    <x v="2"/>
    <n v="22"/>
    <n v="22"/>
    <x v="1"/>
    <m/>
    <m/>
    <m/>
    <n v="8"/>
    <m/>
    <m/>
    <m/>
    <m/>
    <m/>
    <n v="10"/>
    <n v="4"/>
    <x v="9"/>
    <n v="2"/>
    <m/>
    <n v="15"/>
    <x v="1"/>
    <n v="4"/>
    <x v="3"/>
    <s v="1"/>
    <m/>
    <m/>
    <x v="1"/>
    <s v="26/05/2023"/>
    <d v="2023-05-26T00:00:00"/>
    <s v="2023036-22"/>
    <x v="3"/>
  </r>
  <r>
    <x v="521"/>
    <n v="2023036"/>
    <x v="36"/>
    <s v="Mixed"/>
    <s v="Chickpea"/>
    <x v="9"/>
    <s v="N"/>
    <x v="2"/>
    <n v="23"/>
    <n v="23"/>
    <x v="1"/>
    <m/>
    <m/>
    <m/>
    <n v="8"/>
    <m/>
    <m/>
    <m/>
    <m/>
    <m/>
    <n v="11"/>
    <n v="4"/>
    <x v="10"/>
    <n v="2"/>
    <m/>
    <n v="14"/>
    <x v="1"/>
    <n v="2"/>
    <x v="3"/>
    <s v="1"/>
    <m/>
    <m/>
    <x v="1"/>
    <s v="26/05/2023"/>
    <d v="2023-05-26T00:00:00"/>
    <s v="2023036-23"/>
    <x v="3"/>
  </r>
  <r>
    <x v="522"/>
    <n v="2023036"/>
    <x v="36"/>
    <s v="Mixed"/>
    <s v="Chickpea"/>
    <x v="8"/>
    <s v="Y"/>
    <x v="2"/>
    <n v="24"/>
    <n v="24"/>
    <x v="1"/>
    <m/>
    <m/>
    <m/>
    <n v="8"/>
    <m/>
    <m/>
    <m/>
    <m/>
    <m/>
    <n v="12"/>
    <n v="4"/>
    <x v="11"/>
    <n v="2"/>
    <m/>
    <n v="13"/>
    <x v="1"/>
    <n v="1"/>
    <x v="3"/>
    <s v="1"/>
    <m/>
    <m/>
    <x v="1"/>
    <s v="26/05/2023"/>
    <d v="2023-05-26T00:00:00"/>
    <s v="2023036-24"/>
    <x v="3"/>
  </r>
  <r>
    <x v="520"/>
    <n v="2023036"/>
    <x v="36"/>
    <s v="Mixed"/>
    <s v="Chickpea"/>
    <x v="3"/>
    <s v="N"/>
    <x v="2"/>
    <n v="25"/>
    <n v="25"/>
    <x v="2"/>
    <m/>
    <m/>
    <m/>
    <n v="9"/>
    <m/>
    <m/>
    <m/>
    <m/>
    <m/>
    <n v="1"/>
    <n v="5"/>
    <x v="0"/>
    <n v="3"/>
    <m/>
    <n v="25"/>
    <x v="1"/>
    <n v="10"/>
    <x v="3"/>
    <s v="1"/>
    <m/>
    <m/>
    <x v="1"/>
    <s v="26/05/2023"/>
    <d v="2023-05-26T00:00:00"/>
    <s v="2023036-25"/>
    <x v="3"/>
  </r>
  <r>
    <x v="521"/>
    <n v="2023036"/>
    <x v="36"/>
    <s v="Mixed"/>
    <s v="Chickpea"/>
    <x v="9"/>
    <s v="N"/>
    <x v="2"/>
    <n v="26"/>
    <n v="26"/>
    <x v="2"/>
    <m/>
    <m/>
    <m/>
    <n v="9"/>
    <m/>
    <m/>
    <m/>
    <m/>
    <m/>
    <n v="2"/>
    <n v="5"/>
    <x v="1"/>
    <n v="3"/>
    <m/>
    <n v="26"/>
    <x v="1"/>
    <n v="11"/>
    <x v="3"/>
    <s v="1"/>
    <m/>
    <m/>
    <x v="1"/>
    <s v="26/05/2023"/>
    <d v="2023-05-26T00:00:00"/>
    <s v="2023036-26"/>
    <x v="3"/>
  </r>
  <r>
    <x v="522"/>
    <n v="2023036"/>
    <x v="36"/>
    <s v="Mixed"/>
    <s v="Chickpea"/>
    <x v="8"/>
    <s v="Y"/>
    <x v="2"/>
    <n v="27"/>
    <n v="27"/>
    <x v="2"/>
    <m/>
    <m/>
    <m/>
    <n v="9"/>
    <m/>
    <m/>
    <m/>
    <m/>
    <m/>
    <n v="3"/>
    <n v="5"/>
    <x v="2"/>
    <n v="3"/>
    <m/>
    <n v="27"/>
    <x v="1"/>
    <n v="9"/>
    <x v="3"/>
    <s v="1"/>
    <m/>
    <m/>
    <x v="1"/>
    <s v="26/05/2023"/>
    <d v="2023-05-26T00:00:00"/>
    <s v="2023036-27"/>
    <x v="3"/>
  </r>
  <r>
    <x v="523"/>
    <n v="2023036"/>
    <x v="36"/>
    <s v="Mixed"/>
    <s v="Lentil"/>
    <x v="15"/>
    <s v="Y"/>
    <x v="2"/>
    <n v="28"/>
    <n v="28"/>
    <x v="2"/>
    <m/>
    <m/>
    <m/>
    <n v="10"/>
    <m/>
    <m/>
    <m/>
    <m/>
    <m/>
    <n v="4"/>
    <n v="5"/>
    <x v="3"/>
    <n v="3"/>
    <m/>
    <n v="28"/>
    <x v="1"/>
    <n v="12"/>
    <x v="3"/>
    <s v="1"/>
    <m/>
    <m/>
    <x v="1"/>
    <s v="26/05/2023"/>
    <d v="2023-05-26T00:00:00"/>
    <s v="2023036-28"/>
    <x v="0"/>
  </r>
  <r>
    <x v="512"/>
    <n v="2023036"/>
    <x v="36"/>
    <s v="Mixed"/>
    <s v="Fababean"/>
    <x v="10"/>
    <s v="Y"/>
    <x v="2"/>
    <n v="29"/>
    <n v="29"/>
    <x v="2"/>
    <m/>
    <m/>
    <m/>
    <n v="11"/>
    <m/>
    <m/>
    <m/>
    <m/>
    <m/>
    <n v="5"/>
    <n v="5"/>
    <x v="4"/>
    <n v="3"/>
    <m/>
    <n v="29"/>
    <x v="1"/>
    <n v="3"/>
    <x v="3"/>
    <s v="1"/>
    <m/>
    <m/>
    <x v="1"/>
    <s v="26/05/2023"/>
    <d v="2023-05-26T00:00:00"/>
    <s v="2023036-29"/>
    <x v="4"/>
  </r>
  <r>
    <x v="513"/>
    <n v="2023036"/>
    <x v="36"/>
    <s v="Mixed"/>
    <s v="Fababean"/>
    <x v="11"/>
    <s v="N"/>
    <x v="2"/>
    <n v="30"/>
    <n v="30"/>
    <x v="2"/>
    <m/>
    <m/>
    <m/>
    <n v="11"/>
    <m/>
    <m/>
    <m/>
    <m/>
    <m/>
    <n v="6"/>
    <n v="5"/>
    <x v="5"/>
    <n v="3"/>
    <m/>
    <n v="30"/>
    <x v="1"/>
    <n v="2"/>
    <x v="3"/>
    <s v="1"/>
    <m/>
    <m/>
    <x v="1"/>
    <s v="26/05/2023"/>
    <d v="2023-05-26T00:00:00"/>
    <s v="2023036-30"/>
    <x v="4"/>
  </r>
  <r>
    <x v="514"/>
    <n v="2023036"/>
    <x v="36"/>
    <s v="Mixed"/>
    <s v="Fababean"/>
    <x v="12"/>
    <s v="N"/>
    <x v="2"/>
    <n v="31"/>
    <n v="31"/>
    <x v="2"/>
    <m/>
    <m/>
    <m/>
    <n v="11"/>
    <m/>
    <m/>
    <m/>
    <m/>
    <m/>
    <n v="7"/>
    <n v="5"/>
    <x v="6"/>
    <n v="3"/>
    <m/>
    <n v="31"/>
    <x v="1"/>
    <n v="1"/>
    <x v="3"/>
    <s v="1"/>
    <m/>
    <m/>
    <x v="1"/>
    <s v="26/05/2023"/>
    <d v="2023-05-26T00:00:00"/>
    <s v="2023036-31"/>
    <x v="4"/>
  </r>
  <r>
    <x v="515"/>
    <n v="2023036"/>
    <x v="36"/>
    <s v="Mixed"/>
    <s v="Fababean"/>
    <x v="13"/>
    <s v="Y"/>
    <x v="2"/>
    <n v="32"/>
    <n v="32"/>
    <x v="2"/>
    <m/>
    <m/>
    <m/>
    <n v="11"/>
    <m/>
    <m/>
    <m/>
    <m/>
    <m/>
    <n v="8"/>
    <n v="5"/>
    <x v="7"/>
    <n v="3"/>
    <m/>
    <n v="32"/>
    <x v="1"/>
    <n v="4"/>
    <x v="3"/>
    <s v="1"/>
    <m/>
    <m/>
    <x v="1"/>
    <s v="26/05/2023"/>
    <d v="2023-05-26T00:00:00"/>
    <s v="2023036-32"/>
    <x v="4"/>
  </r>
  <r>
    <x v="516"/>
    <n v="2023036"/>
    <x v="36"/>
    <s v="Mixed"/>
    <s v="Lupin"/>
    <x v="32"/>
    <s v="N"/>
    <x v="2"/>
    <n v="33"/>
    <n v="33"/>
    <x v="2"/>
    <m/>
    <m/>
    <m/>
    <n v="12"/>
    <m/>
    <m/>
    <m/>
    <m/>
    <m/>
    <n v="9"/>
    <n v="5"/>
    <x v="8"/>
    <n v="3"/>
    <m/>
    <n v="33"/>
    <x v="1"/>
    <n v="5"/>
    <x v="3"/>
    <s v="1"/>
    <m/>
    <m/>
    <x v="1"/>
    <s v="26/05/2023"/>
    <d v="2023-05-26T00:00:00"/>
    <s v="2023036-33"/>
    <x v="5"/>
  </r>
  <r>
    <x v="517"/>
    <n v="2023036"/>
    <x v="36"/>
    <s v="Mixed"/>
    <s v="Lupin"/>
    <x v="25"/>
    <s v="N"/>
    <x v="2"/>
    <n v="34"/>
    <n v="34"/>
    <x v="2"/>
    <m/>
    <m/>
    <m/>
    <n v="12"/>
    <m/>
    <m/>
    <m/>
    <m/>
    <m/>
    <n v="10"/>
    <n v="5"/>
    <x v="9"/>
    <n v="3"/>
    <m/>
    <n v="34"/>
    <x v="1"/>
    <n v="6"/>
    <x v="3"/>
    <s v="1"/>
    <m/>
    <m/>
    <x v="1"/>
    <s v="26/05/2023"/>
    <d v="2023-05-26T00:00:00"/>
    <s v="2023036-34"/>
    <x v="5"/>
  </r>
  <r>
    <x v="518"/>
    <n v="2023036"/>
    <x v="36"/>
    <s v="Mixed"/>
    <s v="Lupin"/>
    <x v="27"/>
    <s v="Y"/>
    <x v="2"/>
    <n v="35"/>
    <n v="35"/>
    <x v="2"/>
    <m/>
    <m/>
    <m/>
    <n v="12"/>
    <m/>
    <m/>
    <m/>
    <m/>
    <m/>
    <n v="11"/>
    <n v="5"/>
    <x v="10"/>
    <n v="3"/>
    <m/>
    <n v="35"/>
    <x v="1"/>
    <n v="7"/>
    <x v="3"/>
    <s v="1"/>
    <m/>
    <m/>
    <x v="1"/>
    <s v="26/05/2023"/>
    <d v="2023-05-26T00:00:00"/>
    <s v="2023036-35"/>
    <x v="5"/>
  </r>
  <r>
    <x v="519"/>
    <n v="2023036"/>
    <x v="36"/>
    <s v="Mixed"/>
    <s v="Lupin"/>
    <x v="26"/>
    <s v="N"/>
    <x v="2"/>
    <n v="36"/>
    <n v="36"/>
    <x v="2"/>
    <m/>
    <m/>
    <m/>
    <n v="12"/>
    <m/>
    <m/>
    <m/>
    <m/>
    <m/>
    <n v="12"/>
    <n v="5"/>
    <x v="11"/>
    <n v="3"/>
    <m/>
    <n v="36"/>
    <x v="1"/>
    <n v="8"/>
    <x v="3"/>
    <s v="1"/>
    <m/>
    <m/>
    <x v="1"/>
    <s v="26/05/2023"/>
    <d v="2023-05-26T00:00:00"/>
    <s v="2023036-36"/>
    <x v="5"/>
  </r>
  <r>
    <x v="523"/>
    <n v="2023036"/>
    <x v="36"/>
    <s v="Mixed"/>
    <s v="Lentil"/>
    <x v="15"/>
    <s v="Y"/>
    <x v="2"/>
    <n v="37"/>
    <n v="37"/>
    <x v="3"/>
    <m/>
    <m/>
    <m/>
    <n v="13"/>
    <m/>
    <m/>
    <m/>
    <m/>
    <m/>
    <n v="1"/>
    <n v="6"/>
    <x v="0"/>
    <n v="4"/>
    <m/>
    <n v="48"/>
    <x v="1"/>
    <n v="6"/>
    <x v="3"/>
    <s v="1"/>
    <m/>
    <m/>
    <x v="1"/>
    <s v="26/05/2023"/>
    <d v="2023-05-26T00:00:00"/>
    <s v="2023036-37"/>
    <x v="0"/>
  </r>
  <r>
    <x v="520"/>
    <n v="2023036"/>
    <x v="36"/>
    <s v="Mixed"/>
    <s v="Chickpea"/>
    <x v="3"/>
    <s v="N"/>
    <x v="2"/>
    <n v="38"/>
    <n v="38"/>
    <x v="3"/>
    <m/>
    <m/>
    <m/>
    <n v="13"/>
    <m/>
    <m/>
    <m/>
    <m/>
    <m/>
    <n v="2"/>
    <n v="6"/>
    <x v="1"/>
    <n v="4"/>
    <m/>
    <n v="47"/>
    <x v="1"/>
    <n v="8"/>
    <x v="3"/>
    <s v="1"/>
    <m/>
    <m/>
    <x v="1"/>
    <s v="26/05/2023"/>
    <d v="2023-05-26T00:00:00"/>
    <s v="2023036-38"/>
    <x v="3"/>
  </r>
  <r>
    <x v="521"/>
    <n v="2023036"/>
    <x v="36"/>
    <s v="Mixed"/>
    <s v="Chickpea"/>
    <x v="9"/>
    <s v="N"/>
    <x v="2"/>
    <n v="39"/>
    <n v="39"/>
    <x v="3"/>
    <m/>
    <m/>
    <m/>
    <n v="13"/>
    <m/>
    <m/>
    <m/>
    <m/>
    <m/>
    <n v="3"/>
    <n v="6"/>
    <x v="2"/>
    <n v="4"/>
    <m/>
    <n v="46"/>
    <x v="1"/>
    <n v="5"/>
    <x v="3"/>
    <s v="1"/>
    <m/>
    <m/>
    <x v="1"/>
    <s v="26/05/2023"/>
    <d v="2023-05-26T00:00:00"/>
    <s v="2023036-39"/>
    <x v="3"/>
  </r>
  <r>
    <x v="522"/>
    <n v="2023036"/>
    <x v="36"/>
    <s v="Mixed"/>
    <s v="Chickpea"/>
    <x v="8"/>
    <s v="Y"/>
    <x v="2"/>
    <n v="40"/>
    <n v="40"/>
    <x v="3"/>
    <m/>
    <m/>
    <m/>
    <n v="13"/>
    <m/>
    <m/>
    <m/>
    <m/>
    <m/>
    <n v="4"/>
    <n v="6"/>
    <x v="3"/>
    <n v="4"/>
    <m/>
    <n v="45"/>
    <x v="1"/>
    <n v="7"/>
    <x v="3"/>
    <s v="1"/>
    <m/>
    <m/>
    <x v="1"/>
    <s v="26/05/2023"/>
    <d v="2023-05-26T00:00:00"/>
    <s v="2023036-40"/>
    <x v="3"/>
  </r>
  <r>
    <x v="513"/>
    <n v="2023036"/>
    <x v="36"/>
    <s v="Mixed"/>
    <s v="Fababean"/>
    <x v="11"/>
    <s v="N"/>
    <x v="2"/>
    <n v="41"/>
    <n v="41"/>
    <x v="3"/>
    <m/>
    <m/>
    <m/>
    <n v="14"/>
    <m/>
    <m/>
    <m/>
    <m/>
    <m/>
    <n v="5"/>
    <n v="6"/>
    <x v="4"/>
    <n v="4"/>
    <m/>
    <n v="44"/>
    <x v="1"/>
    <n v="4"/>
    <x v="3"/>
    <s v="1"/>
    <m/>
    <m/>
    <x v="1"/>
    <s v="26/05/2023"/>
    <d v="2023-05-26T00:00:00"/>
    <s v="2023036-41"/>
    <x v="4"/>
  </r>
  <r>
    <x v="514"/>
    <n v="2023036"/>
    <x v="36"/>
    <s v="Mixed"/>
    <s v="Fababean"/>
    <x v="12"/>
    <s v="N"/>
    <x v="2"/>
    <n v="42"/>
    <n v="42"/>
    <x v="3"/>
    <m/>
    <m/>
    <m/>
    <n v="14"/>
    <m/>
    <m/>
    <m/>
    <m/>
    <m/>
    <n v="6"/>
    <n v="6"/>
    <x v="5"/>
    <n v="4"/>
    <m/>
    <n v="43"/>
    <x v="1"/>
    <n v="3"/>
    <x v="3"/>
    <s v="1"/>
    <m/>
    <m/>
    <x v="1"/>
    <s v="26/05/2023"/>
    <d v="2023-05-26T00:00:00"/>
    <s v="2023036-42"/>
    <x v="4"/>
  </r>
  <r>
    <x v="515"/>
    <n v="2023036"/>
    <x v="36"/>
    <s v="Mixed"/>
    <s v="Fababean"/>
    <x v="13"/>
    <s v="Y"/>
    <x v="2"/>
    <n v="43"/>
    <n v="43"/>
    <x v="3"/>
    <m/>
    <m/>
    <m/>
    <n v="14"/>
    <m/>
    <m/>
    <m/>
    <m/>
    <m/>
    <n v="7"/>
    <n v="6"/>
    <x v="6"/>
    <n v="4"/>
    <m/>
    <n v="42"/>
    <x v="1"/>
    <n v="2"/>
    <x v="3"/>
    <s v="1"/>
    <m/>
    <m/>
    <x v="1"/>
    <s v="26/05/2023"/>
    <d v="2023-05-26T00:00:00"/>
    <s v="2023036-43"/>
    <x v="4"/>
  </r>
  <r>
    <x v="512"/>
    <n v="2023036"/>
    <x v="36"/>
    <s v="Mixed"/>
    <s v="Fababean"/>
    <x v="10"/>
    <s v="Y"/>
    <x v="2"/>
    <n v="44"/>
    <n v="44"/>
    <x v="3"/>
    <m/>
    <m/>
    <m/>
    <n v="14"/>
    <m/>
    <m/>
    <m/>
    <m/>
    <m/>
    <n v="8"/>
    <n v="6"/>
    <x v="7"/>
    <n v="4"/>
    <m/>
    <n v="41"/>
    <x v="1"/>
    <n v="1"/>
    <x v="3"/>
    <s v="1"/>
    <m/>
    <m/>
    <x v="1"/>
    <s v="26/05/2023"/>
    <d v="2023-05-26T00:00:00"/>
    <s v="2023036-44"/>
    <x v="4"/>
  </r>
  <r>
    <x v="519"/>
    <n v="2023036"/>
    <x v="36"/>
    <s v="Mixed"/>
    <s v="Lupin"/>
    <x v="26"/>
    <s v="N"/>
    <x v="2"/>
    <n v="45"/>
    <n v="45"/>
    <x v="3"/>
    <m/>
    <m/>
    <m/>
    <n v="15"/>
    <m/>
    <m/>
    <m/>
    <m/>
    <m/>
    <n v="9"/>
    <n v="6"/>
    <x v="8"/>
    <n v="4"/>
    <m/>
    <n v="40"/>
    <x v="1"/>
    <n v="12"/>
    <x v="3"/>
    <s v="1"/>
    <m/>
    <m/>
    <x v="1"/>
    <s v="26/05/2023"/>
    <d v="2023-05-26T00:00:00"/>
    <s v="2023036-45"/>
    <x v="5"/>
  </r>
  <r>
    <x v="516"/>
    <n v="2023036"/>
    <x v="36"/>
    <s v="Mixed"/>
    <s v="Lupin"/>
    <x v="32"/>
    <s v="N"/>
    <x v="2"/>
    <n v="46"/>
    <n v="46"/>
    <x v="3"/>
    <m/>
    <m/>
    <m/>
    <n v="16"/>
    <m/>
    <m/>
    <m/>
    <m/>
    <m/>
    <n v="10"/>
    <n v="6"/>
    <x v="9"/>
    <n v="4"/>
    <m/>
    <n v="39"/>
    <x v="1"/>
    <n v="9"/>
    <x v="3"/>
    <s v="1"/>
    <m/>
    <m/>
    <x v="1"/>
    <s v="26/05/2023"/>
    <d v="2023-05-26T00:00:00"/>
    <s v="2023036-46"/>
    <x v="5"/>
  </r>
  <r>
    <x v="517"/>
    <n v="2023036"/>
    <x v="36"/>
    <s v="Mixed"/>
    <s v="Lupin"/>
    <x v="25"/>
    <s v="N"/>
    <x v="2"/>
    <n v="47"/>
    <n v="47"/>
    <x v="3"/>
    <m/>
    <m/>
    <m/>
    <n v="16"/>
    <m/>
    <m/>
    <m/>
    <m/>
    <m/>
    <n v="11"/>
    <n v="6"/>
    <x v="10"/>
    <n v="4"/>
    <m/>
    <n v="38"/>
    <x v="1"/>
    <n v="11"/>
    <x v="3"/>
    <s v="1"/>
    <m/>
    <m/>
    <x v="1"/>
    <s v="26/05/2023"/>
    <d v="2023-05-26T00:00:00"/>
    <s v="2023036-47"/>
    <x v="5"/>
  </r>
  <r>
    <x v="518"/>
    <n v="2023036"/>
    <x v="36"/>
    <s v="Mixed"/>
    <s v="Lupin"/>
    <x v="27"/>
    <s v="Y"/>
    <x v="2"/>
    <n v="48"/>
    <n v="48"/>
    <x v="3"/>
    <m/>
    <m/>
    <m/>
    <n v="16"/>
    <m/>
    <m/>
    <m/>
    <m/>
    <m/>
    <n v="12"/>
    <n v="6"/>
    <x v="11"/>
    <n v="4"/>
    <m/>
    <n v="37"/>
    <x v="1"/>
    <n v="10"/>
    <x v="3"/>
    <s v="1"/>
    <m/>
    <m/>
    <x v="1"/>
    <s v="26/05/2023"/>
    <d v="2023-05-26T00:00:00"/>
    <s v="2023036-48"/>
    <x v="5"/>
  </r>
  <r>
    <x v="524"/>
    <n v="2023036"/>
    <x v="36"/>
    <s v="Mixed"/>
    <s v="Lupin"/>
    <x v="27"/>
    <s v="Y"/>
    <x v="2"/>
    <n v="49"/>
    <n v="49"/>
    <x v="0"/>
    <m/>
    <m/>
    <m/>
    <n v="17"/>
    <m/>
    <m/>
    <m/>
    <m/>
    <m/>
    <n v="1"/>
    <n v="7"/>
    <x v="0"/>
    <n v="5"/>
    <m/>
    <n v="49"/>
    <x v="1"/>
    <n v="5"/>
    <x v="3"/>
    <s v="1"/>
    <m/>
    <m/>
    <x v="2"/>
    <s v="11/07/2023"/>
    <d v="2023-07-11T00:00:00"/>
    <s v="2023036-49"/>
    <x v="5"/>
  </r>
  <r>
    <x v="525"/>
    <n v="2023036"/>
    <x v="36"/>
    <s v="Mixed"/>
    <s v="Lupin"/>
    <x v="26"/>
    <s v="N"/>
    <x v="2"/>
    <n v="50"/>
    <n v="50"/>
    <x v="0"/>
    <m/>
    <m/>
    <m/>
    <n v="17"/>
    <m/>
    <m/>
    <m/>
    <m/>
    <m/>
    <n v="2"/>
    <n v="7"/>
    <x v="1"/>
    <n v="5"/>
    <m/>
    <n v="50"/>
    <x v="1"/>
    <n v="6"/>
    <x v="3"/>
    <s v="1"/>
    <m/>
    <m/>
    <x v="2"/>
    <s v="11/07/2023"/>
    <d v="2023-07-11T00:00:00"/>
    <s v="2023036-50"/>
    <x v="5"/>
  </r>
  <r>
    <x v="526"/>
    <n v="2023036"/>
    <x v="36"/>
    <s v="Mixed"/>
    <s v="Lupin"/>
    <x v="32"/>
    <s v="N"/>
    <x v="2"/>
    <n v="51"/>
    <n v="51"/>
    <x v="0"/>
    <m/>
    <m/>
    <m/>
    <n v="17"/>
    <m/>
    <m/>
    <m/>
    <m/>
    <m/>
    <n v="3"/>
    <n v="7"/>
    <x v="2"/>
    <n v="5"/>
    <m/>
    <n v="51"/>
    <x v="1"/>
    <n v="8"/>
    <x v="3"/>
    <s v="1"/>
    <m/>
    <m/>
    <x v="2"/>
    <s v="11/07/2023"/>
    <d v="2023-07-11T00:00:00"/>
    <s v="2023036-51"/>
    <x v="5"/>
  </r>
  <r>
    <x v="527"/>
    <n v="2023036"/>
    <x v="36"/>
    <s v="Mixed"/>
    <s v="Lupin"/>
    <x v="25"/>
    <s v="N"/>
    <x v="2"/>
    <n v="52"/>
    <n v="52"/>
    <x v="0"/>
    <m/>
    <m/>
    <m/>
    <n v="17"/>
    <m/>
    <m/>
    <m/>
    <m/>
    <m/>
    <n v="4"/>
    <n v="7"/>
    <x v="3"/>
    <n v="5"/>
    <m/>
    <n v="52"/>
    <x v="1"/>
    <n v="7"/>
    <x v="3"/>
    <s v="1"/>
    <m/>
    <m/>
    <x v="2"/>
    <s v="11/07/2023"/>
    <d v="2023-07-11T00:00:00"/>
    <s v="2023036-52"/>
    <x v="5"/>
  </r>
  <r>
    <x v="528"/>
    <n v="2023036"/>
    <x v="36"/>
    <s v="Mixed"/>
    <s v="Chickpea"/>
    <x v="8"/>
    <s v="Y"/>
    <x v="2"/>
    <n v="53"/>
    <n v="53"/>
    <x v="0"/>
    <m/>
    <m/>
    <m/>
    <n v="18"/>
    <m/>
    <m/>
    <m/>
    <m/>
    <m/>
    <n v="5"/>
    <n v="7"/>
    <x v="4"/>
    <n v="5"/>
    <m/>
    <n v="53"/>
    <x v="1"/>
    <n v="9"/>
    <x v="3"/>
    <s v="1"/>
    <m/>
    <m/>
    <x v="2"/>
    <s v="11/07/2023"/>
    <d v="2023-07-11T00:00:00"/>
    <s v="2023036-53"/>
    <x v="3"/>
  </r>
  <r>
    <x v="529"/>
    <n v="2023036"/>
    <x v="36"/>
    <s v="Mixed"/>
    <s v="Lentil"/>
    <x v="15"/>
    <s v="Y"/>
    <x v="2"/>
    <n v="54"/>
    <n v="54"/>
    <x v="0"/>
    <m/>
    <m/>
    <m/>
    <n v="18"/>
    <m/>
    <m/>
    <m/>
    <m/>
    <m/>
    <n v="6"/>
    <n v="7"/>
    <x v="5"/>
    <n v="5"/>
    <m/>
    <n v="54"/>
    <x v="1"/>
    <n v="10"/>
    <x v="3"/>
    <s v="1"/>
    <m/>
    <m/>
    <x v="2"/>
    <s v="11/07/2023"/>
    <d v="2023-07-11T00:00:00"/>
    <s v="2023036-54"/>
    <x v="0"/>
  </r>
  <r>
    <x v="530"/>
    <n v="2023036"/>
    <x v="36"/>
    <s v="Mixed"/>
    <s v="Chickpea"/>
    <x v="3"/>
    <s v="N"/>
    <x v="2"/>
    <n v="55"/>
    <n v="55"/>
    <x v="0"/>
    <m/>
    <m/>
    <m/>
    <n v="18"/>
    <m/>
    <m/>
    <m/>
    <m/>
    <m/>
    <n v="7"/>
    <n v="7"/>
    <x v="6"/>
    <n v="5"/>
    <m/>
    <n v="55"/>
    <x v="1"/>
    <n v="11"/>
    <x v="3"/>
    <s v="1"/>
    <m/>
    <m/>
    <x v="2"/>
    <s v="11/07/2023"/>
    <d v="2023-07-11T00:00:00"/>
    <s v="2023036-55"/>
    <x v="3"/>
  </r>
  <r>
    <x v="531"/>
    <n v="2023036"/>
    <x v="36"/>
    <s v="Mixed"/>
    <s v="Chickpea"/>
    <x v="9"/>
    <s v="N"/>
    <x v="2"/>
    <n v="56"/>
    <n v="56"/>
    <x v="0"/>
    <m/>
    <m/>
    <m/>
    <n v="19"/>
    <m/>
    <m/>
    <m/>
    <m/>
    <m/>
    <n v="8"/>
    <n v="7"/>
    <x v="7"/>
    <n v="5"/>
    <m/>
    <n v="56"/>
    <x v="1"/>
    <n v="12"/>
    <x v="3"/>
    <s v="1"/>
    <m/>
    <m/>
    <x v="2"/>
    <s v="11/07/2023"/>
    <d v="2023-07-11T00:00:00"/>
    <s v="2023036-56"/>
    <x v="3"/>
  </r>
  <r>
    <x v="532"/>
    <n v="2023036"/>
    <x v="36"/>
    <s v="Mixed"/>
    <s v="Fababean"/>
    <x v="12"/>
    <s v="N"/>
    <x v="2"/>
    <n v="57"/>
    <n v="57"/>
    <x v="0"/>
    <m/>
    <m/>
    <m/>
    <n v="20"/>
    <m/>
    <m/>
    <m/>
    <m/>
    <m/>
    <n v="9"/>
    <n v="7"/>
    <x v="8"/>
    <n v="5"/>
    <m/>
    <n v="57"/>
    <x v="1"/>
    <n v="1"/>
    <x v="3"/>
    <s v="1"/>
    <m/>
    <m/>
    <x v="2"/>
    <s v="11/07/2023"/>
    <d v="2023-07-11T00:00:00"/>
    <s v="2023036-57"/>
    <x v="4"/>
  </r>
  <r>
    <x v="533"/>
    <n v="2023036"/>
    <x v="36"/>
    <s v="Mixed"/>
    <s v="Fababean"/>
    <x v="13"/>
    <s v="Y"/>
    <x v="2"/>
    <n v="58"/>
    <n v="58"/>
    <x v="0"/>
    <m/>
    <m/>
    <m/>
    <n v="20"/>
    <m/>
    <m/>
    <m/>
    <m/>
    <m/>
    <n v="10"/>
    <n v="7"/>
    <x v="9"/>
    <n v="5"/>
    <m/>
    <n v="58"/>
    <x v="1"/>
    <n v="2"/>
    <x v="3"/>
    <s v="1"/>
    <m/>
    <m/>
    <x v="2"/>
    <s v="11/07/2023"/>
    <d v="2023-07-11T00:00:00"/>
    <s v="2023036-58"/>
    <x v="4"/>
  </r>
  <r>
    <x v="534"/>
    <n v="2023036"/>
    <x v="36"/>
    <s v="Mixed"/>
    <s v="Fababean"/>
    <x v="10"/>
    <s v="Y"/>
    <x v="2"/>
    <n v="59"/>
    <n v="59"/>
    <x v="0"/>
    <m/>
    <m/>
    <m/>
    <n v="20"/>
    <m/>
    <m/>
    <m/>
    <m/>
    <m/>
    <n v="11"/>
    <n v="7"/>
    <x v="10"/>
    <n v="5"/>
    <m/>
    <n v="59"/>
    <x v="1"/>
    <n v="4"/>
    <x v="3"/>
    <s v="1"/>
    <m/>
    <m/>
    <x v="2"/>
    <s v="11/07/2023"/>
    <d v="2023-07-11T00:00:00"/>
    <s v="2023036-59"/>
    <x v="4"/>
  </r>
  <r>
    <x v="535"/>
    <n v="2023036"/>
    <x v="36"/>
    <s v="Mixed"/>
    <s v="Fababean"/>
    <x v="11"/>
    <s v="N"/>
    <x v="2"/>
    <n v="60"/>
    <n v="60"/>
    <x v="0"/>
    <m/>
    <m/>
    <m/>
    <n v="20"/>
    <m/>
    <m/>
    <m/>
    <m/>
    <m/>
    <n v="12"/>
    <n v="7"/>
    <x v="11"/>
    <n v="5"/>
    <m/>
    <n v="60"/>
    <x v="1"/>
    <n v="3"/>
    <x v="3"/>
    <s v="1"/>
    <m/>
    <m/>
    <x v="2"/>
    <s v="11/07/2023"/>
    <d v="2023-07-11T00:00:00"/>
    <s v="2023036-60"/>
    <x v="4"/>
  </r>
  <r>
    <x v="524"/>
    <n v="2023036"/>
    <x v="36"/>
    <s v="Mixed"/>
    <s v="Lupin"/>
    <x v="27"/>
    <s v="Y"/>
    <x v="2"/>
    <n v="61"/>
    <n v="61"/>
    <x v="1"/>
    <m/>
    <m/>
    <m/>
    <n v="21"/>
    <m/>
    <m/>
    <m/>
    <m/>
    <m/>
    <n v="1"/>
    <n v="8"/>
    <x v="0"/>
    <n v="6"/>
    <m/>
    <n v="72"/>
    <x v="1"/>
    <n v="9"/>
    <x v="3"/>
    <s v="1"/>
    <m/>
    <m/>
    <x v="2"/>
    <s v="11/07/2023"/>
    <d v="2023-07-11T00:00:00"/>
    <s v="2023036-61"/>
    <x v="5"/>
  </r>
  <r>
    <x v="525"/>
    <n v="2023036"/>
    <x v="36"/>
    <s v="Mixed"/>
    <s v="Lupin"/>
    <x v="26"/>
    <s v="N"/>
    <x v="2"/>
    <n v="62"/>
    <n v="62"/>
    <x v="1"/>
    <m/>
    <m/>
    <m/>
    <n v="21"/>
    <m/>
    <m/>
    <m/>
    <m/>
    <m/>
    <n v="2"/>
    <n v="8"/>
    <x v="1"/>
    <n v="6"/>
    <m/>
    <n v="71"/>
    <x v="1"/>
    <n v="10"/>
    <x v="3"/>
    <s v="1"/>
    <m/>
    <m/>
    <x v="2"/>
    <s v="11/07/2023"/>
    <d v="2023-07-11T00:00:00"/>
    <s v="2023036-62"/>
    <x v="5"/>
  </r>
  <r>
    <x v="526"/>
    <n v="2023036"/>
    <x v="36"/>
    <s v="Mixed"/>
    <s v="Lupin"/>
    <x v="32"/>
    <s v="N"/>
    <x v="2"/>
    <n v="63"/>
    <n v="63"/>
    <x v="1"/>
    <m/>
    <m/>
    <m/>
    <n v="21"/>
    <m/>
    <m/>
    <m/>
    <m/>
    <m/>
    <n v="3"/>
    <n v="8"/>
    <x v="2"/>
    <n v="6"/>
    <m/>
    <n v="70"/>
    <x v="1"/>
    <n v="11"/>
    <x v="3"/>
    <s v="1"/>
    <m/>
    <m/>
    <x v="2"/>
    <s v="11/07/2023"/>
    <d v="2023-07-11T00:00:00"/>
    <s v="2023036-63"/>
    <x v="5"/>
  </r>
  <r>
    <x v="527"/>
    <n v="2023036"/>
    <x v="36"/>
    <s v="Mixed"/>
    <s v="Lupin"/>
    <x v="25"/>
    <s v="N"/>
    <x v="2"/>
    <n v="64"/>
    <n v="64"/>
    <x v="1"/>
    <m/>
    <m/>
    <m/>
    <n v="22"/>
    <m/>
    <m/>
    <m/>
    <m/>
    <m/>
    <n v="4"/>
    <n v="8"/>
    <x v="3"/>
    <n v="6"/>
    <m/>
    <n v="69"/>
    <x v="1"/>
    <n v="6"/>
    <x v="3"/>
    <s v="1"/>
    <m/>
    <m/>
    <x v="2"/>
    <s v="11/07/2023"/>
    <d v="2023-07-11T00:00:00"/>
    <s v="2023036-64"/>
    <x v="5"/>
  </r>
  <r>
    <x v="531"/>
    <n v="2023036"/>
    <x v="36"/>
    <s v="Mixed"/>
    <s v="Chickpea"/>
    <x v="9"/>
    <s v="N"/>
    <x v="2"/>
    <n v="65"/>
    <n v="65"/>
    <x v="1"/>
    <m/>
    <m/>
    <m/>
    <n v="22"/>
    <m/>
    <m/>
    <m/>
    <m/>
    <m/>
    <n v="5"/>
    <n v="8"/>
    <x v="4"/>
    <n v="6"/>
    <m/>
    <n v="68"/>
    <x v="1"/>
    <n v="5"/>
    <x v="3"/>
    <s v="1"/>
    <m/>
    <m/>
    <x v="2"/>
    <s v="11/07/2023"/>
    <d v="2023-07-11T00:00:00"/>
    <s v="2023036-65"/>
    <x v="3"/>
  </r>
  <r>
    <x v="528"/>
    <n v="2023036"/>
    <x v="36"/>
    <s v="Mixed"/>
    <s v="Chickpea"/>
    <x v="8"/>
    <s v="Y"/>
    <x v="2"/>
    <n v="66"/>
    <n v="66"/>
    <x v="1"/>
    <m/>
    <m/>
    <m/>
    <n v="22"/>
    <m/>
    <m/>
    <m/>
    <m/>
    <m/>
    <n v="6"/>
    <n v="8"/>
    <x v="5"/>
    <n v="6"/>
    <m/>
    <n v="67"/>
    <x v="1"/>
    <n v="8"/>
    <x v="3"/>
    <s v="1"/>
    <m/>
    <m/>
    <x v="2"/>
    <s v="11/07/2023"/>
    <d v="2023-07-11T00:00:00"/>
    <s v="2023036-66"/>
    <x v="3"/>
  </r>
  <r>
    <x v="529"/>
    <n v="2023036"/>
    <x v="36"/>
    <s v="Mixed"/>
    <s v="Lentil"/>
    <x v="15"/>
    <s v="Y"/>
    <x v="2"/>
    <n v="67"/>
    <n v="67"/>
    <x v="1"/>
    <m/>
    <m/>
    <m/>
    <n v="22"/>
    <m/>
    <m/>
    <m/>
    <m/>
    <m/>
    <n v="7"/>
    <n v="8"/>
    <x v="6"/>
    <n v="6"/>
    <m/>
    <n v="66"/>
    <x v="1"/>
    <n v="7"/>
    <x v="3"/>
    <s v="1"/>
    <m/>
    <m/>
    <x v="2"/>
    <s v="11/07/2023"/>
    <d v="2023-07-11T00:00:00"/>
    <s v="2023036-67"/>
    <x v="0"/>
  </r>
  <r>
    <x v="530"/>
    <n v="2023036"/>
    <x v="36"/>
    <s v="Mixed"/>
    <s v="Chickpea"/>
    <x v="3"/>
    <s v="N"/>
    <x v="2"/>
    <n v="68"/>
    <n v="68"/>
    <x v="1"/>
    <m/>
    <m/>
    <m/>
    <n v="23"/>
    <m/>
    <m/>
    <m/>
    <m/>
    <m/>
    <n v="8"/>
    <n v="8"/>
    <x v="7"/>
    <n v="6"/>
    <m/>
    <n v="65"/>
    <x v="1"/>
    <n v="2"/>
    <x v="3"/>
    <s v="1"/>
    <m/>
    <m/>
    <x v="2"/>
    <s v="11/07/2023"/>
    <d v="2023-07-11T00:00:00"/>
    <s v="2023036-68"/>
    <x v="3"/>
  </r>
  <r>
    <x v="533"/>
    <n v="2023036"/>
    <x v="36"/>
    <s v="Mixed"/>
    <s v="Fababean"/>
    <x v="13"/>
    <s v="Y"/>
    <x v="2"/>
    <n v="69"/>
    <n v="69"/>
    <x v="1"/>
    <m/>
    <m/>
    <m/>
    <n v="23"/>
    <m/>
    <m/>
    <m/>
    <m/>
    <m/>
    <n v="9"/>
    <n v="8"/>
    <x v="8"/>
    <n v="6"/>
    <m/>
    <n v="64"/>
    <x v="1"/>
    <n v="4"/>
    <x v="3"/>
    <s v="1"/>
    <m/>
    <m/>
    <x v="2"/>
    <s v="11/07/2023"/>
    <d v="2023-07-11T00:00:00"/>
    <s v="2023036-69"/>
    <x v="4"/>
  </r>
  <r>
    <x v="534"/>
    <n v="2023036"/>
    <x v="36"/>
    <s v="Mixed"/>
    <s v="Fababean"/>
    <x v="10"/>
    <s v="Y"/>
    <x v="2"/>
    <n v="70"/>
    <n v="70"/>
    <x v="1"/>
    <m/>
    <m/>
    <m/>
    <n v="23"/>
    <m/>
    <m/>
    <m/>
    <m/>
    <m/>
    <n v="10"/>
    <n v="8"/>
    <x v="9"/>
    <n v="6"/>
    <m/>
    <n v="63"/>
    <x v="1"/>
    <n v="3"/>
    <x v="3"/>
    <s v="1"/>
    <m/>
    <m/>
    <x v="2"/>
    <s v="11/07/2023"/>
    <d v="2023-07-11T00:00:00"/>
    <s v="2023036-70"/>
    <x v="4"/>
  </r>
  <r>
    <x v="535"/>
    <n v="2023036"/>
    <x v="36"/>
    <s v="Mixed"/>
    <s v="Fababean"/>
    <x v="11"/>
    <s v="N"/>
    <x v="2"/>
    <n v="71"/>
    <n v="71"/>
    <x v="1"/>
    <m/>
    <m/>
    <m/>
    <n v="23"/>
    <m/>
    <m/>
    <m/>
    <m/>
    <m/>
    <n v="11"/>
    <n v="8"/>
    <x v="10"/>
    <n v="6"/>
    <m/>
    <n v="62"/>
    <x v="1"/>
    <n v="1"/>
    <x v="3"/>
    <s v="1"/>
    <m/>
    <m/>
    <x v="2"/>
    <s v="11/07/2023"/>
    <d v="2023-07-11T00:00:00"/>
    <s v="2023036-71"/>
    <x v="4"/>
  </r>
  <r>
    <x v="532"/>
    <n v="2023036"/>
    <x v="36"/>
    <s v="Mixed"/>
    <s v="Fababean"/>
    <x v="12"/>
    <s v="N"/>
    <x v="2"/>
    <n v="72"/>
    <n v="72"/>
    <x v="1"/>
    <m/>
    <m/>
    <m/>
    <n v="24"/>
    <m/>
    <m/>
    <m/>
    <m/>
    <m/>
    <n v="12"/>
    <n v="8"/>
    <x v="11"/>
    <n v="6"/>
    <m/>
    <n v="61"/>
    <x v="1"/>
    <n v="12"/>
    <x v="3"/>
    <s v="1"/>
    <m/>
    <m/>
    <x v="2"/>
    <s v="11/07/2023"/>
    <d v="2023-07-11T00:00:00"/>
    <s v="2023036-72"/>
    <x v="4"/>
  </r>
  <r>
    <x v="533"/>
    <n v="2023036"/>
    <x v="36"/>
    <s v="Mixed"/>
    <s v="Fababean"/>
    <x v="13"/>
    <s v="Y"/>
    <x v="2"/>
    <n v="73"/>
    <n v="73"/>
    <x v="2"/>
    <m/>
    <m/>
    <m/>
    <n v="25"/>
    <m/>
    <m/>
    <m/>
    <m/>
    <m/>
    <n v="1"/>
    <n v="9"/>
    <x v="0"/>
    <n v="7"/>
    <m/>
    <n v="73"/>
    <x v="1"/>
    <n v="12"/>
    <x v="3"/>
    <s v="1"/>
    <m/>
    <m/>
    <x v="2"/>
    <s v="11/07/2023"/>
    <d v="2023-07-11T00:00:00"/>
    <s v="2023036-73"/>
    <x v="4"/>
  </r>
  <r>
    <x v="534"/>
    <n v="2023036"/>
    <x v="36"/>
    <s v="Mixed"/>
    <s v="Fababean"/>
    <x v="10"/>
    <s v="Y"/>
    <x v="2"/>
    <n v="74"/>
    <n v="74"/>
    <x v="2"/>
    <m/>
    <m/>
    <m/>
    <n v="26"/>
    <m/>
    <m/>
    <m/>
    <m/>
    <m/>
    <n v="2"/>
    <n v="9"/>
    <x v="1"/>
    <n v="7"/>
    <m/>
    <n v="74"/>
    <x v="1"/>
    <n v="4"/>
    <x v="3"/>
    <s v="1"/>
    <m/>
    <m/>
    <x v="2"/>
    <s v="11/07/2023"/>
    <d v="2023-07-11T00:00:00"/>
    <s v="2023036-74"/>
    <x v="4"/>
  </r>
  <r>
    <x v="535"/>
    <n v="2023036"/>
    <x v="36"/>
    <s v="Mixed"/>
    <s v="Fababean"/>
    <x v="11"/>
    <s v="N"/>
    <x v="2"/>
    <n v="75"/>
    <n v="75"/>
    <x v="2"/>
    <m/>
    <m/>
    <m/>
    <n v="26"/>
    <m/>
    <m/>
    <m/>
    <m/>
    <m/>
    <n v="3"/>
    <n v="9"/>
    <x v="2"/>
    <n v="7"/>
    <m/>
    <n v="75"/>
    <x v="1"/>
    <n v="2"/>
    <x v="3"/>
    <s v="1"/>
    <m/>
    <m/>
    <x v="2"/>
    <s v="11/07/2023"/>
    <d v="2023-07-11T00:00:00"/>
    <s v="2023036-75"/>
    <x v="4"/>
  </r>
  <r>
    <x v="532"/>
    <n v="2023036"/>
    <x v="36"/>
    <s v="Mixed"/>
    <s v="Fababean"/>
    <x v="12"/>
    <s v="N"/>
    <x v="2"/>
    <n v="76"/>
    <n v="76"/>
    <x v="2"/>
    <m/>
    <m/>
    <m/>
    <n v="26"/>
    <m/>
    <m/>
    <m/>
    <m/>
    <m/>
    <n v="4"/>
    <n v="9"/>
    <x v="3"/>
    <n v="7"/>
    <m/>
    <n v="76"/>
    <x v="1"/>
    <n v="1"/>
    <x v="3"/>
    <s v="1"/>
    <m/>
    <m/>
    <x v="2"/>
    <s v="11/07/2023"/>
    <d v="2023-07-11T00:00:00"/>
    <s v="2023036-76"/>
    <x v="4"/>
  </r>
  <r>
    <x v="524"/>
    <n v="2023036"/>
    <x v="36"/>
    <s v="Mixed"/>
    <s v="Lupin"/>
    <x v="27"/>
    <s v="Y"/>
    <x v="2"/>
    <n v="77"/>
    <n v="77"/>
    <x v="2"/>
    <m/>
    <m/>
    <m/>
    <n v="26"/>
    <m/>
    <m/>
    <m/>
    <m/>
    <m/>
    <n v="5"/>
    <n v="9"/>
    <x v="4"/>
    <n v="7"/>
    <m/>
    <n v="77"/>
    <x v="1"/>
    <n v="3"/>
    <x v="3"/>
    <s v="1"/>
    <m/>
    <m/>
    <x v="2"/>
    <s v="11/07/2023"/>
    <d v="2023-07-11T00:00:00"/>
    <s v="2023036-77"/>
    <x v="5"/>
  </r>
  <r>
    <x v="525"/>
    <n v="2023036"/>
    <x v="36"/>
    <s v="Mixed"/>
    <s v="Lupin"/>
    <x v="26"/>
    <s v="N"/>
    <x v="2"/>
    <n v="78"/>
    <n v="78"/>
    <x v="2"/>
    <m/>
    <m/>
    <m/>
    <n v="27"/>
    <m/>
    <m/>
    <m/>
    <m/>
    <m/>
    <n v="6"/>
    <n v="9"/>
    <x v="5"/>
    <n v="7"/>
    <m/>
    <n v="78"/>
    <x v="1"/>
    <n v="11"/>
    <x v="3"/>
    <s v="1"/>
    <m/>
    <m/>
    <x v="2"/>
    <s v="11/07/2023"/>
    <d v="2023-07-11T00:00:00"/>
    <s v="2023036-78"/>
    <x v="5"/>
  </r>
  <r>
    <x v="526"/>
    <n v="2023036"/>
    <x v="36"/>
    <s v="Mixed"/>
    <s v="Lupin"/>
    <x v="32"/>
    <s v="N"/>
    <x v="2"/>
    <n v="79"/>
    <n v="79"/>
    <x v="2"/>
    <m/>
    <m/>
    <m/>
    <n v="27"/>
    <m/>
    <m/>
    <m/>
    <m/>
    <m/>
    <n v="7"/>
    <n v="9"/>
    <x v="6"/>
    <n v="7"/>
    <m/>
    <n v="79"/>
    <x v="1"/>
    <n v="10"/>
    <x v="3"/>
    <s v="1"/>
    <m/>
    <m/>
    <x v="2"/>
    <s v="11/07/2023"/>
    <d v="2023-07-11T00:00:00"/>
    <s v="2023036-79"/>
    <x v="5"/>
  </r>
  <r>
    <x v="527"/>
    <n v="2023036"/>
    <x v="36"/>
    <s v="Mixed"/>
    <s v="Lupin"/>
    <x v="25"/>
    <s v="N"/>
    <x v="2"/>
    <n v="80"/>
    <n v="80"/>
    <x v="2"/>
    <m/>
    <m/>
    <m/>
    <n v="27"/>
    <m/>
    <m/>
    <m/>
    <m/>
    <m/>
    <n v="8"/>
    <n v="9"/>
    <x v="7"/>
    <n v="7"/>
    <m/>
    <n v="80"/>
    <x v="1"/>
    <n v="9"/>
    <x v="3"/>
    <s v="1"/>
    <m/>
    <m/>
    <x v="2"/>
    <s v="11/07/2023"/>
    <d v="2023-07-11T00:00:00"/>
    <s v="2023036-80"/>
    <x v="5"/>
  </r>
  <r>
    <x v="531"/>
    <n v="2023036"/>
    <x v="36"/>
    <s v="Mixed"/>
    <s v="Chickpea"/>
    <x v="9"/>
    <s v="N"/>
    <x v="2"/>
    <n v="81"/>
    <n v="81"/>
    <x v="2"/>
    <m/>
    <m/>
    <m/>
    <n v="28"/>
    <m/>
    <m/>
    <m/>
    <m/>
    <m/>
    <n v="9"/>
    <n v="9"/>
    <x v="8"/>
    <n v="7"/>
    <m/>
    <n v="81"/>
    <x v="1"/>
    <n v="8"/>
    <x v="3"/>
    <s v="1"/>
    <m/>
    <m/>
    <x v="2"/>
    <s v="11/07/2023"/>
    <d v="2023-07-11T00:00:00"/>
    <s v="2023036-81"/>
    <x v="3"/>
  </r>
  <r>
    <x v="528"/>
    <n v="2023036"/>
    <x v="36"/>
    <s v="Mixed"/>
    <s v="Chickpea"/>
    <x v="8"/>
    <s v="Y"/>
    <x v="2"/>
    <n v="82"/>
    <n v="82"/>
    <x v="2"/>
    <m/>
    <m/>
    <m/>
    <n v="28"/>
    <m/>
    <m/>
    <m/>
    <m/>
    <m/>
    <n v="10"/>
    <n v="9"/>
    <x v="9"/>
    <n v="7"/>
    <m/>
    <n v="82"/>
    <x v="1"/>
    <n v="5"/>
    <x v="3"/>
    <s v="1"/>
    <m/>
    <m/>
    <x v="2"/>
    <s v="11/07/2023"/>
    <d v="2023-07-11T00:00:00"/>
    <s v="2023036-82"/>
    <x v="3"/>
  </r>
  <r>
    <x v="529"/>
    <n v="2023036"/>
    <x v="36"/>
    <s v="Mixed"/>
    <s v="Lentil"/>
    <x v="15"/>
    <s v="Y"/>
    <x v="2"/>
    <n v="83"/>
    <n v="83"/>
    <x v="2"/>
    <m/>
    <m/>
    <m/>
    <n v="28"/>
    <m/>
    <m/>
    <m/>
    <m/>
    <m/>
    <n v="11"/>
    <n v="9"/>
    <x v="10"/>
    <n v="7"/>
    <m/>
    <n v="83"/>
    <x v="1"/>
    <n v="6"/>
    <x v="3"/>
    <s v="1"/>
    <m/>
    <m/>
    <x v="2"/>
    <s v="11/07/2023"/>
    <d v="2023-07-11T00:00:00"/>
    <s v="2023036-83"/>
    <x v="0"/>
  </r>
  <r>
    <x v="530"/>
    <n v="2023036"/>
    <x v="36"/>
    <s v="Mixed"/>
    <s v="Chickpea"/>
    <x v="3"/>
    <s v="N"/>
    <x v="2"/>
    <n v="84"/>
    <n v="84"/>
    <x v="2"/>
    <m/>
    <m/>
    <m/>
    <n v="28"/>
    <m/>
    <m/>
    <m/>
    <m/>
    <m/>
    <n v="12"/>
    <n v="9"/>
    <x v="11"/>
    <n v="7"/>
    <m/>
    <n v="84"/>
    <x v="1"/>
    <n v="7"/>
    <x v="3"/>
    <s v="1"/>
    <m/>
    <m/>
    <x v="2"/>
    <s v="11/07/2023"/>
    <d v="2023-07-11T00:00:00"/>
    <s v="2023036-84"/>
    <x v="3"/>
  </r>
  <r>
    <x v="532"/>
    <n v="2023036"/>
    <x v="36"/>
    <s v="Mixed"/>
    <s v="Fababean"/>
    <x v="12"/>
    <s v="N"/>
    <x v="2"/>
    <n v="85"/>
    <n v="85"/>
    <x v="3"/>
    <m/>
    <m/>
    <m/>
    <n v="29"/>
    <m/>
    <m/>
    <m/>
    <m/>
    <m/>
    <n v="1"/>
    <n v="10"/>
    <x v="0"/>
    <n v="8"/>
    <m/>
    <n v="96"/>
    <x v="1"/>
    <n v="2"/>
    <x v="3"/>
    <s v="1"/>
    <m/>
    <m/>
    <x v="2"/>
    <s v="11/07/2023"/>
    <d v="2023-07-11T00:00:00"/>
    <s v="2023036-85"/>
    <x v="4"/>
  </r>
  <r>
    <x v="533"/>
    <n v="2023036"/>
    <x v="36"/>
    <s v="Mixed"/>
    <s v="Fababean"/>
    <x v="13"/>
    <s v="Y"/>
    <x v="2"/>
    <n v="86"/>
    <n v="86"/>
    <x v="3"/>
    <m/>
    <m/>
    <m/>
    <n v="29"/>
    <m/>
    <m/>
    <m/>
    <m/>
    <m/>
    <n v="2"/>
    <n v="10"/>
    <x v="1"/>
    <n v="8"/>
    <m/>
    <n v="95"/>
    <x v="1"/>
    <n v="1"/>
    <x v="3"/>
    <s v="1"/>
    <m/>
    <m/>
    <x v="2"/>
    <s v="11/07/2023"/>
    <d v="2023-07-11T00:00:00"/>
    <s v="2023036-86"/>
    <x v="4"/>
  </r>
  <r>
    <x v="534"/>
    <n v="2023036"/>
    <x v="36"/>
    <s v="Mixed"/>
    <s v="Fababean"/>
    <x v="10"/>
    <s v="Y"/>
    <x v="2"/>
    <n v="87"/>
    <n v="87"/>
    <x v="3"/>
    <m/>
    <m/>
    <m/>
    <n v="29"/>
    <m/>
    <m/>
    <m/>
    <m/>
    <m/>
    <n v="3"/>
    <n v="10"/>
    <x v="2"/>
    <n v="8"/>
    <m/>
    <n v="94"/>
    <x v="1"/>
    <n v="3"/>
    <x v="3"/>
    <s v="1"/>
    <m/>
    <m/>
    <x v="2"/>
    <s v="11/07/2023"/>
    <d v="2023-07-11T00:00:00"/>
    <s v="2023036-87"/>
    <x v="4"/>
  </r>
  <r>
    <x v="535"/>
    <n v="2023036"/>
    <x v="36"/>
    <s v="Mixed"/>
    <s v="Fababean"/>
    <x v="11"/>
    <s v="N"/>
    <x v="2"/>
    <n v="88"/>
    <n v="88"/>
    <x v="3"/>
    <m/>
    <m/>
    <m/>
    <n v="29"/>
    <m/>
    <m/>
    <m/>
    <m/>
    <m/>
    <n v="4"/>
    <n v="10"/>
    <x v="3"/>
    <n v="8"/>
    <m/>
    <n v="93"/>
    <x v="1"/>
    <n v="4"/>
    <x v="3"/>
    <s v="1"/>
    <m/>
    <m/>
    <x v="2"/>
    <s v="11/07/2023"/>
    <d v="2023-07-11T00:00:00"/>
    <s v="2023036-88"/>
    <x v="4"/>
  </r>
  <r>
    <x v="524"/>
    <n v="2023036"/>
    <x v="36"/>
    <s v="Mixed"/>
    <s v="Lupin"/>
    <x v="27"/>
    <s v="Y"/>
    <x v="2"/>
    <n v="89"/>
    <n v="89"/>
    <x v="3"/>
    <m/>
    <m/>
    <m/>
    <n v="30"/>
    <m/>
    <m/>
    <m/>
    <m/>
    <m/>
    <n v="5"/>
    <n v="10"/>
    <x v="4"/>
    <n v="8"/>
    <m/>
    <n v="92"/>
    <x v="1"/>
    <n v="12"/>
    <x v="3"/>
    <s v="1"/>
    <m/>
    <m/>
    <x v="2"/>
    <s v="11/07/2023"/>
    <d v="2023-07-11T00:00:00"/>
    <s v="2023036-89"/>
    <x v="5"/>
  </r>
  <r>
    <x v="525"/>
    <n v="2023036"/>
    <x v="36"/>
    <s v="Mixed"/>
    <s v="Lupin"/>
    <x v="26"/>
    <s v="N"/>
    <x v="2"/>
    <n v="90"/>
    <n v="90"/>
    <x v="3"/>
    <m/>
    <m/>
    <m/>
    <n v="31"/>
    <m/>
    <m/>
    <m/>
    <m/>
    <m/>
    <n v="6"/>
    <n v="10"/>
    <x v="5"/>
    <n v="8"/>
    <m/>
    <n v="91"/>
    <x v="1"/>
    <n v="6"/>
    <x v="3"/>
    <s v="1"/>
    <m/>
    <m/>
    <x v="2"/>
    <s v="11/07/2023"/>
    <d v="2023-07-11T00:00:00"/>
    <s v="2023036-90"/>
    <x v="5"/>
  </r>
  <r>
    <x v="526"/>
    <n v="2023036"/>
    <x v="36"/>
    <s v="Mixed"/>
    <s v="Lupin"/>
    <x v="32"/>
    <s v="N"/>
    <x v="2"/>
    <n v="91"/>
    <n v="91"/>
    <x v="3"/>
    <m/>
    <m/>
    <m/>
    <n v="31"/>
    <m/>
    <m/>
    <m/>
    <m/>
    <m/>
    <n v="7"/>
    <n v="10"/>
    <x v="6"/>
    <n v="8"/>
    <m/>
    <n v="90"/>
    <x v="1"/>
    <n v="5"/>
    <x v="3"/>
    <s v="1"/>
    <m/>
    <m/>
    <x v="2"/>
    <s v="11/07/2023"/>
    <d v="2023-07-11T00:00:00"/>
    <s v="2023036-91"/>
    <x v="5"/>
  </r>
  <r>
    <x v="527"/>
    <n v="2023036"/>
    <x v="36"/>
    <s v="Mixed"/>
    <s v="Lupin"/>
    <x v="25"/>
    <s v="N"/>
    <x v="2"/>
    <n v="92"/>
    <n v="92"/>
    <x v="3"/>
    <m/>
    <m/>
    <m/>
    <n v="31"/>
    <m/>
    <m/>
    <m/>
    <m/>
    <m/>
    <n v="8"/>
    <n v="10"/>
    <x v="7"/>
    <n v="8"/>
    <m/>
    <n v="89"/>
    <x v="1"/>
    <n v="8"/>
    <x v="3"/>
    <s v="1"/>
    <m/>
    <m/>
    <x v="2"/>
    <s v="11/07/2023"/>
    <d v="2023-07-11T00:00:00"/>
    <s v="2023036-92"/>
    <x v="5"/>
  </r>
  <r>
    <x v="528"/>
    <n v="2023036"/>
    <x v="36"/>
    <s v="Mixed"/>
    <s v="Chickpea"/>
    <x v="8"/>
    <s v="Y"/>
    <x v="2"/>
    <n v="93"/>
    <n v="93"/>
    <x v="3"/>
    <m/>
    <m/>
    <m/>
    <n v="31"/>
    <m/>
    <m/>
    <m/>
    <m/>
    <m/>
    <n v="9"/>
    <n v="10"/>
    <x v="8"/>
    <n v="8"/>
    <m/>
    <n v="88"/>
    <x v="1"/>
    <n v="7"/>
    <x v="3"/>
    <s v="1"/>
    <m/>
    <m/>
    <x v="2"/>
    <s v="11/07/2023"/>
    <d v="2023-07-11T00:00:00"/>
    <s v="2023036-93"/>
    <x v="3"/>
  </r>
  <r>
    <x v="529"/>
    <n v="2023036"/>
    <x v="36"/>
    <s v="Mixed"/>
    <s v="Lentil"/>
    <x v="15"/>
    <s v="Y"/>
    <x v="2"/>
    <n v="94"/>
    <n v="94"/>
    <x v="3"/>
    <m/>
    <m/>
    <m/>
    <n v="32"/>
    <m/>
    <m/>
    <m/>
    <m/>
    <m/>
    <n v="10"/>
    <n v="10"/>
    <x v="9"/>
    <n v="8"/>
    <m/>
    <n v="87"/>
    <x v="1"/>
    <n v="10"/>
    <x v="3"/>
    <s v="1"/>
    <m/>
    <m/>
    <x v="2"/>
    <s v="11/07/2023"/>
    <d v="2023-07-11T00:00:00"/>
    <s v="2023036-94"/>
    <x v="0"/>
  </r>
  <r>
    <x v="530"/>
    <n v="2023036"/>
    <x v="36"/>
    <s v="Mixed"/>
    <s v="Chickpea"/>
    <x v="3"/>
    <s v="N"/>
    <x v="2"/>
    <n v="95"/>
    <n v="95"/>
    <x v="3"/>
    <m/>
    <m/>
    <m/>
    <n v="32"/>
    <m/>
    <m/>
    <m/>
    <m/>
    <m/>
    <n v="11"/>
    <n v="10"/>
    <x v="10"/>
    <n v="8"/>
    <m/>
    <n v="86"/>
    <x v="1"/>
    <n v="9"/>
    <x v="3"/>
    <s v="1"/>
    <m/>
    <m/>
    <x v="2"/>
    <s v="11/07/2023"/>
    <d v="2023-07-11T00:00:00"/>
    <s v="2023036-95"/>
    <x v="3"/>
  </r>
  <r>
    <x v="531"/>
    <n v="2023036"/>
    <x v="36"/>
    <s v="Mixed"/>
    <s v="Chickpea"/>
    <x v="9"/>
    <s v="N"/>
    <x v="2"/>
    <n v="96"/>
    <n v="96"/>
    <x v="3"/>
    <m/>
    <m/>
    <m/>
    <n v="32"/>
    <m/>
    <m/>
    <m/>
    <m/>
    <m/>
    <n v="12"/>
    <n v="10"/>
    <x v="11"/>
    <n v="8"/>
    <m/>
    <n v="85"/>
    <x v="1"/>
    <n v="11"/>
    <x v="3"/>
    <s v="1"/>
    <m/>
    <m/>
    <x v="2"/>
    <s v="11/07/2023"/>
    <d v="2023-07-11T00:00:00"/>
    <s v="2023036-96"/>
    <x v="3"/>
  </r>
  <r>
    <x v="536"/>
    <n v="2023036"/>
    <x v="36"/>
    <s v="Mixed"/>
    <s v="Lupin"/>
    <x v="32"/>
    <s v="N"/>
    <x v="2"/>
    <n v="97"/>
    <n v="97"/>
    <x v="0"/>
    <m/>
    <m/>
    <m/>
    <n v="33"/>
    <m/>
    <m/>
    <m/>
    <m/>
    <m/>
    <n v="1"/>
    <n v="13"/>
    <x v="0"/>
    <n v="9"/>
    <m/>
    <n v="97"/>
    <x v="1"/>
    <n v="8"/>
    <x v="4"/>
    <s v="2"/>
    <m/>
    <m/>
    <x v="1"/>
    <s v="26/05/2023"/>
    <d v="2023-05-26T00:00:00"/>
    <s v="2023036-97"/>
    <x v="5"/>
  </r>
  <r>
    <x v="537"/>
    <n v="2023036"/>
    <x v="36"/>
    <s v="Mixed"/>
    <s v="Lupin"/>
    <x v="25"/>
    <s v="N"/>
    <x v="2"/>
    <n v="98"/>
    <n v="98"/>
    <x v="0"/>
    <m/>
    <m/>
    <m/>
    <n v="33"/>
    <m/>
    <m/>
    <m/>
    <m/>
    <m/>
    <n v="2"/>
    <n v="13"/>
    <x v="1"/>
    <n v="9"/>
    <m/>
    <n v="98"/>
    <x v="1"/>
    <n v="7"/>
    <x v="4"/>
    <s v="2"/>
    <m/>
    <m/>
    <x v="1"/>
    <s v="26/05/2023"/>
    <d v="2023-05-26T00:00:00"/>
    <s v="2023036-98"/>
    <x v="5"/>
  </r>
  <r>
    <x v="538"/>
    <n v="2023036"/>
    <x v="36"/>
    <s v="Mixed"/>
    <s v="Lupin"/>
    <x v="27"/>
    <s v="Y"/>
    <x v="2"/>
    <n v="99"/>
    <n v="99"/>
    <x v="0"/>
    <m/>
    <m/>
    <m/>
    <n v="33"/>
    <m/>
    <m/>
    <m/>
    <m/>
    <m/>
    <n v="3"/>
    <n v="13"/>
    <x v="2"/>
    <n v="9"/>
    <m/>
    <n v="99"/>
    <x v="1"/>
    <n v="6"/>
    <x v="4"/>
    <s v="2"/>
    <m/>
    <m/>
    <x v="1"/>
    <s v="26/05/2023"/>
    <d v="2023-05-26T00:00:00"/>
    <s v="2023036-99"/>
    <x v="5"/>
  </r>
  <r>
    <x v="539"/>
    <n v="2023036"/>
    <x v="36"/>
    <s v="Mixed"/>
    <s v="Lupin"/>
    <x v="26"/>
    <s v="N"/>
    <x v="2"/>
    <n v="100"/>
    <n v="100"/>
    <x v="0"/>
    <m/>
    <m/>
    <m/>
    <n v="33"/>
    <m/>
    <m/>
    <m/>
    <m/>
    <m/>
    <n v="4"/>
    <n v="13"/>
    <x v="3"/>
    <n v="9"/>
    <m/>
    <n v="100"/>
    <x v="1"/>
    <n v="5"/>
    <x v="4"/>
    <s v="2"/>
    <m/>
    <m/>
    <x v="1"/>
    <s v="26/05/2023"/>
    <d v="2023-05-26T00:00:00"/>
    <s v="2023036-100"/>
    <x v="5"/>
  </r>
  <r>
    <x v="540"/>
    <n v="2023036"/>
    <x v="36"/>
    <s v="Mixed"/>
    <s v="Chickpea"/>
    <x v="3"/>
    <s v="N"/>
    <x v="2"/>
    <n v="101"/>
    <n v="101"/>
    <x v="0"/>
    <m/>
    <m/>
    <m/>
    <n v="34"/>
    <m/>
    <m/>
    <m/>
    <m/>
    <m/>
    <n v="5"/>
    <n v="13"/>
    <x v="4"/>
    <n v="9"/>
    <m/>
    <n v="101"/>
    <x v="1"/>
    <n v="2"/>
    <x v="4"/>
    <s v="2"/>
    <m/>
    <m/>
    <x v="1"/>
    <s v="26/05/2023"/>
    <d v="2023-05-26T00:00:00"/>
    <s v="2023036-101"/>
    <x v="3"/>
  </r>
  <r>
    <x v="541"/>
    <n v="2023036"/>
    <x v="36"/>
    <s v="Mixed"/>
    <s v="Chickpea"/>
    <x v="9"/>
    <s v="N"/>
    <x v="2"/>
    <n v="102"/>
    <n v="102"/>
    <x v="0"/>
    <m/>
    <m/>
    <m/>
    <n v="34"/>
    <m/>
    <m/>
    <m/>
    <m/>
    <m/>
    <n v="6"/>
    <n v="13"/>
    <x v="5"/>
    <n v="9"/>
    <m/>
    <n v="102"/>
    <x v="1"/>
    <n v="4"/>
    <x v="4"/>
    <s v="2"/>
    <m/>
    <m/>
    <x v="1"/>
    <s v="26/05/2023"/>
    <d v="2023-05-26T00:00:00"/>
    <s v="2023036-102"/>
    <x v="3"/>
  </r>
  <r>
    <x v="542"/>
    <n v="2023036"/>
    <x v="36"/>
    <s v="Mixed"/>
    <s v="Chickpea"/>
    <x v="8"/>
    <s v="Y"/>
    <x v="2"/>
    <n v="103"/>
    <n v="103"/>
    <x v="0"/>
    <m/>
    <m/>
    <m/>
    <n v="34"/>
    <m/>
    <m/>
    <m/>
    <m/>
    <m/>
    <n v="7"/>
    <n v="13"/>
    <x v="6"/>
    <n v="9"/>
    <m/>
    <n v="103"/>
    <x v="1"/>
    <n v="1"/>
    <x v="4"/>
    <s v="2"/>
    <m/>
    <m/>
    <x v="1"/>
    <s v="26/05/2023"/>
    <d v="2023-05-26T00:00:00"/>
    <s v="2023036-103"/>
    <x v="3"/>
  </r>
  <r>
    <x v="543"/>
    <n v="2023036"/>
    <x v="36"/>
    <s v="Mixed"/>
    <s v="Lentil"/>
    <x v="15"/>
    <s v="Y"/>
    <x v="2"/>
    <n v="104"/>
    <n v="104"/>
    <x v="0"/>
    <m/>
    <m/>
    <m/>
    <n v="34"/>
    <m/>
    <m/>
    <m/>
    <m/>
    <m/>
    <n v="8"/>
    <n v="13"/>
    <x v="7"/>
    <n v="9"/>
    <m/>
    <n v="104"/>
    <x v="1"/>
    <n v="3"/>
    <x v="4"/>
    <s v="2"/>
    <m/>
    <m/>
    <x v="1"/>
    <s v="26/05/2023"/>
    <d v="2023-05-26T00:00:00"/>
    <s v="2023036-104"/>
    <x v="0"/>
  </r>
  <r>
    <x v="544"/>
    <n v="2023036"/>
    <x v="36"/>
    <s v="Mixed"/>
    <s v="Fababean"/>
    <x v="10"/>
    <s v="Y"/>
    <x v="2"/>
    <n v="105"/>
    <n v="105"/>
    <x v="0"/>
    <m/>
    <m/>
    <m/>
    <n v="35"/>
    <m/>
    <m/>
    <m/>
    <m/>
    <m/>
    <n v="9"/>
    <n v="13"/>
    <x v="8"/>
    <n v="9"/>
    <m/>
    <n v="105"/>
    <x v="1"/>
    <n v="12"/>
    <x v="4"/>
    <s v="2"/>
    <m/>
    <m/>
    <x v="1"/>
    <s v="26/05/2023"/>
    <d v="2023-05-26T00:00:00"/>
    <s v="2023036-105"/>
    <x v="4"/>
  </r>
  <r>
    <x v="545"/>
    <n v="2023036"/>
    <x v="36"/>
    <s v="Mixed"/>
    <s v="Fababean"/>
    <x v="11"/>
    <s v="N"/>
    <x v="2"/>
    <n v="106"/>
    <n v="106"/>
    <x v="0"/>
    <m/>
    <m/>
    <m/>
    <n v="36"/>
    <m/>
    <m/>
    <m/>
    <m/>
    <m/>
    <n v="10"/>
    <n v="13"/>
    <x v="9"/>
    <n v="9"/>
    <m/>
    <n v="106"/>
    <x v="1"/>
    <n v="9"/>
    <x v="4"/>
    <s v="2"/>
    <m/>
    <m/>
    <x v="1"/>
    <s v="26/05/2023"/>
    <d v="2023-05-26T00:00:00"/>
    <s v="2023036-106"/>
    <x v="4"/>
  </r>
  <r>
    <x v="546"/>
    <n v="2023036"/>
    <x v="36"/>
    <s v="Mixed"/>
    <s v="Fababean"/>
    <x v="12"/>
    <s v="N"/>
    <x v="2"/>
    <n v="107"/>
    <n v="107"/>
    <x v="0"/>
    <m/>
    <m/>
    <m/>
    <n v="36"/>
    <m/>
    <m/>
    <m/>
    <m/>
    <m/>
    <n v="11"/>
    <n v="13"/>
    <x v="10"/>
    <n v="9"/>
    <m/>
    <n v="107"/>
    <x v="1"/>
    <n v="11"/>
    <x v="4"/>
    <s v="2"/>
    <m/>
    <m/>
    <x v="1"/>
    <s v="26/05/2023"/>
    <d v="2023-05-26T00:00:00"/>
    <s v="2023036-107"/>
    <x v="4"/>
  </r>
  <r>
    <x v="547"/>
    <n v="2023036"/>
    <x v="36"/>
    <s v="Mixed"/>
    <s v="Fababean"/>
    <x v="13"/>
    <s v="Y"/>
    <x v="2"/>
    <n v="108"/>
    <n v="108"/>
    <x v="0"/>
    <m/>
    <m/>
    <m/>
    <n v="36"/>
    <m/>
    <m/>
    <m/>
    <m/>
    <m/>
    <n v="12"/>
    <n v="13"/>
    <x v="11"/>
    <n v="9"/>
    <m/>
    <n v="108"/>
    <x v="1"/>
    <n v="10"/>
    <x v="4"/>
    <s v="2"/>
    <m/>
    <m/>
    <x v="1"/>
    <s v="26/05/2023"/>
    <d v="2023-05-26T00:00:00"/>
    <s v="2023036-108"/>
    <x v="4"/>
  </r>
  <r>
    <x v="539"/>
    <n v="2023036"/>
    <x v="36"/>
    <s v="Mixed"/>
    <s v="Lupin"/>
    <x v="26"/>
    <s v="N"/>
    <x v="2"/>
    <n v="109"/>
    <n v="109"/>
    <x v="1"/>
    <m/>
    <m/>
    <m/>
    <n v="37"/>
    <m/>
    <m/>
    <m/>
    <m/>
    <m/>
    <n v="1"/>
    <n v="14"/>
    <x v="0"/>
    <n v="10"/>
    <m/>
    <n v="120"/>
    <x v="1"/>
    <n v="4"/>
    <x v="4"/>
    <s v="2"/>
    <m/>
    <m/>
    <x v="1"/>
    <s v="26/05/2023"/>
    <d v="2023-05-26T00:00:00"/>
    <s v="2023036-109"/>
    <x v="5"/>
  </r>
  <r>
    <x v="536"/>
    <n v="2023036"/>
    <x v="36"/>
    <s v="Mixed"/>
    <s v="Lupin"/>
    <x v="32"/>
    <s v="N"/>
    <x v="2"/>
    <n v="110"/>
    <n v="110"/>
    <x v="1"/>
    <m/>
    <m/>
    <m/>
    <n v="37"/>
    <m/>
    <m/>
    <m/>
    <m/>
    <m/>
    <n v="2"/>
    <n v="14"/>
    <x v="1"/>
    <n v="10"/>
    <m/>
    <n v="119"/>
    <x v="1"/>
    <n v="2"/>
    <x v="4"/>
    <s v="2"/>
    <m/>
    <m/>
    <x v="1"/>
    <s v="26/05/2023"/>
    <d v="2023-05-26T00:00:00"/>
    <s v="2023036-110"/>
    <x v="5"/>
  </r>
  <r>
    <x v="537"/>
    <n v="2023036"/>
    <x v="36"/>
    <s v="Mixed"/>
    <s v="Lupin"/>
    <x v="25"/>
    <s v="N"/>
    <x v="2"/>
    <n v="111"/>
    <n v="111"/>
    <x v="1"/>
    <m/>
    <m/>
    <m/>
    <n v="37"/>
    <m/>
    <m/>
    <m/>
    <m/>
    <m/>
    <n v="3"/>
    <n v="14"/>
    <x v="2"/>
    <n v="10"/>
    <m/>
    <n v="118"/>
    <x v="1"/>
    <n v="1"/>
    <x v="4"/>
    <s v="2"/>
    <m/>
    <m/>
    <x v="1"/>
    <s v="26/05/2023"/>
    <d v="2023-05-26T00:00:00"/>
    <s v="2023036-111"/>
    <x v="5"/>
  </r>
  <r>
    <x v="538"/>
    <n v="2023036"/>
    <x v="36"/>
    <s v="Mixed"/>
    <s v="Lupin"/>
    <x v="27"/>
    <s v="Y"/>
    <x v="2"/>
    <n v="112"/>
    <n v="112"/>
    <x v="1"/>
    <m/>
    <m/>
    <m/>
    <n v="37"/>
    <m/>
    <m/>
    <m/>
    <m/>
    <m/>
    <n v="4"/>
    <n v="14"/>
    <x v="3"/>
    <n v="10"/>
    <m/>
    <n v="117"/>
    <x v="1"/>
    <n v="3"/>
    <x v="4"/>
    <s v="2"/>
    <m/>
    <m/>
    <x v="1"/>
    <s v="26/05/2023"/>
    <d v="2023-05-26T00:00:00"/>
    <s v="2023036-112"/>
    <x v="5"/>
  </r>
  <r>
    <x v="543"/>
    <n v="2023036"/>
    <x v="36"/>
    <s v="Mixed"/>
    <s v="Lentil"/>
    <x v="15"/>
    <s v="Y"/>
    <x v="2"/>
    <n v="113"/>
    <n v="113"/>
    <x v="1"/>
    <m/>
    <m/>
    <m/>
    <n v="38"/>
    <m/>
    <m/>
    <m/>
    <m/>
    <m/>
    <n v="5"/>
    <n v="14"/>
    <x v="4"/>
    <n v="10"/>
    <m/>
    <n v="116"/>
    <x v="1"/>
    <n v="10"/>
    <x v="4"/>
    <s v="2"/>
    <m/>
    <m/>
    <x v="1"/>
    <s v="26/05/2023"/>
    <d v="2023-05-26T00:00:00"/>
    <s v="2023036-113"/>
    <x v="0"/>
  </r>
  <r>
    <x v="540"/>
    <n v="2023036"/>
    <x v="36"/>
    <s v="Mixed"/>
    <s v="Chickpea"/>
    <x v="3"/>
    <s v="N"/>
    <x v="2"/>
    <n v="114"/>
    <n v="114"/>
    <x v="1"/>
    <m/>
    <m/>
    <m/>
    <n v="38"/>
    <m/>
    <m/>
    <m/>
    <m/>
    <m/>
    <n v="6"/>
    <n v="14"/>
    <x v="5"/>
    <n v="10"/>
    <m/>
    <n v="115"/>
    <x v="1"/>
    <n v="11"/>
    <x v="4"/>
    <s v="2"/>
    <m/>
    <m/>
    <x v="1"/>
    <s v="26/05/2023"/>
    <d v="2023-05-26T00:00:00"/>
    <s v="2023036-114"/>
    <x v="3"/>
  </r>
  <r>
    <x v="541"/>
    <n v="2023036"/>
    <x v="36"/>
    <s v="Mixed"/>
    <s v="Chickpea"/>
    <x v="9"/>
    <s v="N"/>
    <x v="2"/>
    <n v="115"/>
    <n v="115"/>
    <x v="1"/>
    <m/>
    <m/>
    <m/>
    <n v="38"/>
    <m/>
    <m/>
    <m/>
    <m/>
    <m/>
    <n v="7"/>
    <n v="14"/>
    <x v="6"/>
    <n v="10"/>
    <m/>
    <n v="114"/>
    <x v="1"/>
    <n v="9"/>
    <x v="4"/>
    <s v="2"/>
    <m/>
    <m/>
    <x v="1"/>
    <s v="26/05/2023"/>
    <d v="2023-05-26T00:00:00"/>
    <s v="2023036-115"/>
    <x v="3"/>
  </r>
  <r>
    <x v="542"/>
    <n v="2023036"/>
    <x v="36"/>
    <s v="Mixed"/>
    <s v="Chickpea"/>
    <x v="8"/>
    <s v="Y"/>
    <x v="2"/>
    <n v="116"/>
    <n v="116"/>
    <x v="1"/>
    <m/>
    <m/>
    <m/>
    <n v="39"/>
    <m/>
    <m/>
    <m/>
    <m/>
    <m/>
    <n v="8"/>
    <n v="14"/>
    <x v="7"/>
    <n v="10"/>
    <m/>
    <n v="113"/>
    <x v="1"/>
    <n v="6"/>
    <x v="4"/>
    <s v="2"/>
    <m/>
    <m/>
    <x v="1"/>
    <s v="26/05/2023"/>
    <d v="2023-05-26T00:00:00"/>
    <s v="2023036-116"/>
    <x v="3"/>
  </r>
  <r>
    <x v="545"/>
    <n v="2023036"/>
    <x v="36"/>
    <s v="Mixed"/>
    <s v="Fababean"/>
    <x v="11"/>
    <s v="N"/>
    <x v="2"/>
    <n v="117"/>
    <n v="117"/>
    <x v="1"/>
    <m/>
    <m/>
    <m/>
    <n v="39"/>
    <m/>
    <m/>
    <m/>
    <m/>
    <m/>
    <n v="9"/>
    <n v="14"/>
    <x v="8"/>
    <n v="10"/>
    <m/>
    <n v="112"/>
    <x v="1"/>
    <n v="5"/>
    <x v="4"/>
    <s v="2"/>
    <m/>
    <m/>
    <x v="1"/>
    <s v="26/05/2023"/>
    <d v="2023-05-26T00:00:00"/>
    <s v="2023036-117"/>
    <x v="4"/>
  </r>
  <r>
    <x v="546"/>
    <n v="2023036"/>
    <x v="36"/>
    <s v="Mixed"/>
    <s v="Fababean"/>
    <x v="12"/>
    <s v="N"/>
    <x v="2"/>
    <n v="118"/>
    <n v="118"/>
    <x v="1"/>
    <m/>
    <m/>
    <m/>
    <n v="39"/>
    <m/>
    <m/>
    <m/>
    <m/>
    <m/>
    <n v="10"/>
    <n v="14"/>
    <x v="9"/>
    <n v="10"/>
    <m/>
    <n v="111"/>
    <x v="1"/>
    <n v="8"/>
    <x v="4"/>
    <s v="2"/>
    <m/>
    <m/>
    <x v="1"/>
    <s v="26/05/2023"/>
    <d v="2023-05-26T00:00:00"/>
    <s v="2023036-118"/>
    <x v="4"/>
  </r>
  <r>
    <x v="547"/>
    <n v="2023036"/>
    <x v="36"/>
    <s v="Mixed"/>
    <s v="Fababean"/>
    <x v="13"/>
    <s v="Y"/>
    <x v="2"/>
    <n v="119"/>
    <n v="119"/>
    <x v="1"/>
    <m/>
    <m/>
    <m/>
    <n v="39"/>
    <m/>
    <m/>
    <m/>
    <m/>
    <m/>
    <n v="11"/>
    <n v="14"/>
    <x v="10"/>
    <n v="10"/>
    <m/>
    <n v="110"/>
    <x v="1"/>
    <n v="7"/>
    <x v="4"/>
    <s v="2"/>
    <m/>
    <m/>
    <x v="1"/>
    <s v="26/05/2023"/>
    <d v="2023-05-26T00:00:00"/>
    <s v="2023036-119"/>
    <x v="4"/>
  </r>
  <r>
    <x v="544"/>
    <n v="2023036"/>
    <x v="36"/>
    <s v="Mixed"/>
    <s v="Fababean"/>
    <x v="10"/>
    <s v="Y"/>
    <x v="2"/>
    <n v="120"/>
    <n v="120"/>
    <x v="1"/>
    <m/>
    <m/>
    <m/>
    <n v="40"/>
    <m/>
    <m/>
    <m/>
    <m/>
    <m/>
    <n v="12"/>
    <n v="14"/>
    <x v="11"/>
    <n v="10"/>
    <m/>
    <n v="109"/>
    <x v="1"/>
    <n v="12"/>
    <x v="4"/>
    <s v="2"/>
    <m/>
    <m/>
    <x v="1"/>
    <s v="26/05/2023"/>
    <d v="2023-05-26T00:00:00"/>
    <s v="2023036-120"/>
    <x v="4"/>
  </r>
  <r>
    <x v="545"/>
    <n v="2023036"/>
    <x v="36"/>
    <s v="Mixed"/>
    <s v="Fababean"/>
    <x v="11"/>
    <s v="N"/>
    <x v="2"/>
    <n v="121"/>
    <n v="121"/>
    <x v="2"/>
    <m/>
    <m/>
    <m/>
    <n v="41"/>
    <m/>
    <m/>
    <m/>
    <m/>
    <m/>
    <n v="1"/>
    <n v="15"/>
    <x v="0"/>
    <n v="11"/>
    <m/>
    <n v="121"/>
    <x v="1"/>
    <n v="12"/>
    <x v="4"/>
    <s v="2"/>
    <m/>
    <m/>
    <x v="1"/>
    <s v="26/05/2023"/>
    <d v="2023-05-26T00:00:00"/>
    <s v="2023036-121"/>
    <x v="4"/>
  </r>
  <r>
    <x v="546"/>
    <n v="2023036"/>
    <x v="36"/>
    <s v="Mixed"/>
    <s v="Fababean"/>
    <x v="12"/>
    <s v="N"/>
    <x v="2"/>
    <n v="122"/>
    <n v="122"/>
    <x v="2"/>
    <m/>
    <m/>
    <m/>
    <n v="42"/>
    <m/>
    <m/>
    <m/>
    <m/>
    <m/>
    <n v="2"/>
    <n v="15"/>
    <x v="1"/>
    <n v="11"/>
    <m/>
    <n v="122"/>
    <x v="1"/>
    <n v="5"/>
    <x v="4"/>
    <s v="2"/>
    <m/>
    <m/>
    <x v="1"/>
    <s v="26/05/2023"/>
    <d v="2023-05-26T00:00:00"/>
    <s v="2023036-122"/>
    <x v="4"/>
  </r>
  <r>
    <x v="547"/>
    <n v="2023036"/>
    <x v="36"/>
    <s v="Mixed"/>
    <s v="Fababean"/>
    <x v="13"/>
    <s v="Y"/>
    <x v="2"/>
    <n v="123"/>
    <n v="123"/>
    <x v="2"/>
    <m/>
    <m/>
    <m/>
    <n v="42"/>
    <m/>
    <m/>
    <m/>
    <m/>
    <m/>
    <n v="3"/>
    <n v="15"/>
    <x v="2"/>
    <n v="11"/>
    <m/>
    <n v="123"/>
    <x v="1"/>
    <n v="7"/>
    <x v="4"/>
    <s v="2"/>
    <m/>
    <m/>
    <x v="1"/>
    <s v="26/05/2023"/>
    <d v="2023-05-26T00:00:00"/>
    <s v="2023036-123"/>
    <x v="4"/>
  </r>
  <r>
    <x v="544"/>
    <n v="2023036"/>
    <x v="36"/>
    <s v="Mixed"/>
    <s v="Fababean"/>
    <x v="10"/>
    <s v="Y"/>
    <x v="2"/>
    <n v="124"/>
    <n v="124"/>
    <x v="2"/>
    <m/>
    <m/>
    <m/>
    <n v="42"/>
    <m/>
    <m/>
    <m/>
    <m/>
    <m/>
    <n v="4"/>
    <n v="15"/>
    <x v="3"/>
    <n v="11"/>
    <m/>
    <n v="124"/>
    <x v="1"/>
    <n v="6"/>
    <x v="4"/>
    <s v="2"/>
    <m/>
    <m/>
    <x v="1"/>
    <s v="26/05/2023"/>
    <d v="2023-05-26T00:00:00"/>
    <s v="2023036-124"/>
    <x v="4"/>
  </r>
  <r>
    <x v="539"/>
    <n v="2023036"/>
    <x v="36"/>
    <s v="Mixed"/>
    <s v="Lupin"/>
    <x v="26"/>
    <s v="N"/>
    <x v="2"/>
    <n v="125"/>
    <n v="125"/>
    <x v="2"/>
    <m/>
    <m/>
    <m/>
    <n v="42"/>
    <m/>
    <m/>
    <m/>
    <m/>
    <m/>
    <n v="5"/>
    <n v="15"/>
    <x v="4"/>
    <n v="11"/>
    <m/>
    <n v="125"/>
    <x v="1"/>
    <n v="8"/>
    <x v="4"/>
    <s v="2"/>
    <m/>
    <m/>
    <x v="1"/>
    <s v="26/05/2023"/>
    <d v="2023-05-26T00:00:00"/>
    <s v="2023036-125"/>
    <x v="5"/>
  </r>
  <r>
    <x v="536"/>
    <n v="2023036"/>
    <x v="36"/>
    <s v="Mixed"/>
    <s v="Lupin"/>
    <x v="32"/>
    <s v="N"/>
    <x v="2"/>
    <n v="126"/>
    <n v="126"/>
    <x v="2"/>
    <m/>
    <m/>
    <m/>
    <n v="43"/>
    <m/>
    <m/>
    <m/>
    <m/>
    <m/>
    <n v="6"/>
    <n v="15"/>
    <x v="5"/>
    <n v="11"/>
    <m/>
    <n v="126"/>
    <x v="1"/>
    <n v="9"/>
    <x v="4"/>
    <s v="2"/>
    <m/>
    <m/>
    <x v="1"/>
    <s v="26/05/2023"/>
    <d v="2023-05-26T00:00:00"/>
    <s v="2023036-126"/>
    <x v="5"/>
  </r>
  <r>
    <x v="537"/>
    <n v="2023036"/>
    <x v="36"/>
    <s v="Mixed"/>
    <s v="Lupin"/>
    <x v="25"/>
    <s v="N"/>
    <x v="2"/>
    <n v="127"/>
    <n v="127"/>
    <x v="2"/>
    <m/>
    <m/>
    <m/>
    <n v="43"/>
    <m/>
    <m/>
    <m/>
    <m/>
    <m/>
    <n v="7"/>
    <n v="15"/>
    <x v="6"/>
    <n v="11"/>
    <m/>
    <n v="127"/>
    <x v="1"/>
    <n v="11"/>
    <x v="4"/>
    <s v="2"/>
    <m/>
    <m/>
    <x v="1"/>
    <s v="26/05/2023"/>
    <d v="2023-05-26T00:00:00"/>
    <s v="2023036-127"/>
    <x v="5"/>
  </r>
  <r>
    <x v="538"/>
    <n v="2023036"/>
    <x v="36"/>
    <s v="Mixed"/>
    <s v="Lupin"/>
    <x v="27"/>
    <s v="Y"/>
    <x v="2"/>
    <n v="128"/>
    <n v="128"/>
    <x v="2"/>
    <m/>
    <m/>
    <m/>
    <n v="43"/>
    <m/>
    <m/>
    <m/>
    <m/>
    <m/>
    <n v="8"/>
    <n v="15"/>
    <x v="7"/>
    <n v="11"/>
    <m/>
    <n v="128"/>
    <x v="1"/>
    <n v="10"/>
    <x v="4"/>
    <s v="2"/>
    <m/>
    <m/>
    <x v="1"/>
    <s v="26/05/2023"/>
    <d v="2023-05-26T00:00:00"/>
    <s v="2023036-128"/>
    <x v="5"/>
  </r>
  <r>
    <x v="543"/>
    <n v="2023036"/>
    <x v="36"/>
    <s v="Mixed"/>
    <s v="Lentil"/>
    <x v="15"/>
    <s v="Y"/>
    <x v="2"/>
    <n v="129"/>
    <n v="129"/>
    <x v="2"/>
    <m/>
    <m/>
    <m/>
    <n v="44"/>
    <m/>
    <m/>
    <m/>
    <m/>
    <m/>
    <n v="9"/>
    <n v="15"/>
    <x v="8"/>
    <n v="11"/>
    <m/>
    <n v="129"/>
    <x v="1"/>
    <n v="2"/>
    <x v="4"/>
    <s v="2"/>
    <m/>
    <m/>
    <x v="1"/>
    <s v="26/05/2023"/>
    <d v="2023-05-26T00:00:00"/>
    <s v="2023036-129"/>
    <x v="0"/>
  </r>
  <r>
    <x v="540"/>
    <n v="2023036"/>
    <x v="36"/>
    <s v="Mixed"/>
    <s v="Chickpea"/>
    <x v="3"/>
    <s v="N"/>
    <x v="2"/>
    <n v="130"/>
    <n v="130"/>
    <x v="2"/>
    <m/>
    <m/>
    <m/>
    <n v="44"/>
    <m/>
    <m/>
    <m/>
    <m/>
    <m/>
    <n v="10"/>
    <n v="15"/>
    <x v="9"/>
    <n v="11"/>
    <m/>
    <n v="130"/>
    <x v="1"/>
    <n v="1"/>
    <x v="4"/>
    <s v="2"/>
    <m/>
    <m/>
    <x v="1"/>
    <s v="26/05/2023"/>
    <d v="2023-05-26T00:00:00"/>
    <s v="2023036-130"/>
    <x v="3"/>
  </r>
  <r>
    <x v="541"/>
    <n v="2023036"/>
    <x v="36"/>
    <s v="Mixed"/>
    <s v="Chickpea"/>
    <x v="9"/>
    <s v="N"/>
    <x v="2"/>
    <n v="131"/>
    <n v="131"/>
    <x v="2"/>
    <m/>
    <m/>
    <m/>
    <n v="44"/>
    <m/>
    <m/>
    <m/>
    <m/>
    <m/>
    <n v="11"/>
    <n v="15"/>
    <x v="10"/>
    <n v="11"/>
    <m/>
    <n v="131"/>
    <x v="1"/>
    <n v="3"/>
    <x v="4"/>
    <s v="2"/>
    <m/>
    <m/>
    <x v="1"/>
    <s v="26/05/2023"/>
    <d v="2023-05-26T00:00:00"/>
    <s v="2023036-131"/>
    <x v="3"/>
  </r>
  <r>
    <x v="542"/>
    <n v="2023036"/>
    <x v="36"/>
    <s v="Mixed"/>
    <s v="Chickpea"/>
    <x v="8"/>
    <s v="Y"/>
    <x v="2"/>
    <n v="132"/>
    <n v="132"/>
    <x v="2"/>
    <m/>
    <m/>
    <m/>
    <n v="44"/>
    <m/>
    <m/>
    <m/>
    <m/>
    <m/>
    <n v="12"/>
    <n v="15"/>
    <x v="11"/>
    <n v="11"/>
    <m/>
    <n v="132"/>
    <x v="1"/>
    <n v="4"/>
    <x v="4"/>
    <s v="2"/>
    <m/>
    <m/>
    <x v="1"/>
    <s v="26/05/2023"/>
    <d v="2023-05-26T00:00:00"/>
    <s v="2023036-132"/>
    <x v="3"/>
  </r>
  <r>
    <x v="544"/>
    <n v="2023036"/>
    <x v="36"/>
    <s v="Mixed"/>
    <s v="Fababean"/>
    <x v="10"/>
    <s v="Y"/>
    <x v="2"/>
    <n v="133"/>
    <n v="133"/>
    <x v="3"/>
    <m/>
    <m/>
    <m/>
    <n v="45"/>
    <m/>
    <m/>
    <m/>
    <m/>
    <m/>
    <n v="1"/>
    <n v="16"/>
    <x v="0"/>
    <n v="12"/>
    <m/>
    <n v="144"/>
    <x v="1"/>
    <n v="11"/>
    <x v="4"/>
    <s v="2"/>
    <m/>
    <m/>
    <x v="1"/>
    <s v="26/05/2023"/>
    <d v="2023-05-26T00:00:00"/>
    <s v="2023036-133"/>
    <x v="4"/>
  </r>
  <r>
    <x v="545"/>
    <n v="2023036"/>
    <x v="36"/>
    <s v="Mixed"/>
    <s v="Fababean"/>
    <x v="11"/>
    <s v="N"/>
    <x v="2"/>
    <n v="134"/>
    <n v="134"/>
    <x v="3"/>
    <m/>
    <m/>
    <m/>
    <n v="45"/>
    <m/>
    <m/>
    <m/>
    <m/>
    <m/>
    <n v="2"/>
    <n v="16"/>
    <x v="1"/>
    <n v="12"/>
    <m/>
    <n v="143"/>
    <x v="1"/>
    <n v="9"/>
    <x v="4"/>
    <s v="2"/>
    <m/>
    <m/>
    <x v="1"/>
    <s v="26/05/2023"/>
    <d v="2023-05-26T00:00:00"/>
    <s v="2023036-134"/>
    <x v="4"/>
  </r>
  <r>
    <x v="546"/>
    <n v="2023036"/>
    <x v="36"/>
    <s v="Mixed"/>
    <s v="Fababean"/>
    <x v="12"/>
    <s v="N"/>
    <x v="2"/>
    <n v="135"/>
    <n v="135"/>
    <x v="3"/>
    <m/>
    <m/>
    <m/>
    <n v="45"/>
    <m/>
    <m/>
    <m/>
    <m/>
    <m/>
    <n v="3"/>
    <n v="16"/>
    <x v="2"/>
    <n v="12"/>
    <m/>
    <n v="142"/>
    <x v="1"/>
    <n v="10"/>
    <x v="4"/>
    <s v="2"/>
    <m/>
    <m/>
    <x v="1"/>
    <s v="26/05/2023"/>
    <d v="2023-05-26T00:00:00"/>
    <s v="2023036-135"/>
    <x v="4"/>
  </r>
  <r>
    <x v="547"/>
    <n v="2023036"/>
    <x v="36"/>
    <s v="Mixed"/>
    <s v="Fababean"/>
    <x v="13"/>
    <s v="Y"/>
    <x v="2"/>
    <n v="136"/>
    <n v="136"/>
    <x v="3"/>
    <m/>
    <m/>
    <m/>
    <n v="46"/>
    <m/>
    <m/>
    <m/>
    <m/>
    <m/>
    <n v="4"/>
    <n v="16"/>
    <x v="3"/>
    <n v="12"/>
    <m/>
    <n v="141"/>
    <x v="1"/>
    <n v="12"/>
    <x v="4"/>
    <s v="2"/>
    <m/>
    <m/>
    <x v="1"/>
    <s v="26/05/2023"/>
    <d v="2023-05-26T00:00:00"/>
    <s v="2023036-136"/>
    <x v="4"/>
  </r>
  <r>
    <x v="536"/>
    <n v="2023036"/>
    <x v="36"/>
    <s v="Mixed"/>
    <s v="Lupin"/>
    <x v="32"/>
    <s v="N"/>
    <x v="2"/>
    <n v="137"/>
    <n v="137"/>
    <x v="3"/>
    <m/>
    <m/>
    <m/>
    <n v="47"/>
    <m/>
    <m/>
    <m/>
    <m/>
    <m/>
    <n v="5"/>
    <n v="16"/>
    <x v="4"/>
    <n v="12"/>
    <m/>
    <n v="140"/>
    <x v="1"/>
    <n v="1"/>
    <x v="4"/>
    <s v="2"/>
    <m/>
    <m/>
    <x v="1"/>
    <s v="26/05/2023"/>
    <d v="2023-05-26T00:00:00"/>
    <s v="2023036-137"/>
    <x v="5"/>
  </r>
  <r>
    <x v="537"/>
    <n v="2023036"/>
    <x v="36"/>
    <s v="Mixed"/>
    <s v="Lupin"/>
    <x v="25"/>
    <s v="N"/>
    <x v="2"/>
    <n v="138"/>
    <n v="138"/>
    <x v="3"/>
    <m/>
    <m/>
    <m/>
    <n v="47"/>
    <m/>
    <m/>
    <m/>
    <m/>
    <m/>
    <n v="6"/>
    <n v="16"/>
    <x v="5"/>
    <n v="12"/>
    <m/>
    <n v="139"/>
    <x v="1"/>
    <n v="3"/>
    <x v="4"/>
    <s v="2"/>
    <m/>
    <m/>
    <x v="1"/>
    <s v="26/05/2023"/>
    <d v="2023-05-26T00:00:00"/>
    <s v="2023036-138"/>
    <x v="5"/>
  </r>
  <r>
    <x v="538"/>
    <n v="2023036"/>
    <x v="36"/>
    <s v="Mixed"/>
    <s v="Lupin"/>
    <x v="27"/>
    <s v="Y"/>
    <x v="2"/>
    <n v="139"/>
    <n v="139"/>
    <x v="3"/>
    <m/>
    <m/>
    <m/>
    <n v="47"/>
    <m/>
    <m/>
    <m/>
    <m/>
    <m/>
    <n v="7"/>
    <n v="16"/>
    <x v="6"/>
    <n v="12"/>
    <m/>
    <n v="138"/>
    <x v="1"/>
    <n v="4"/>
    <x v="4"/>
    <s v="2"/>
    <m/>
    <m/>
    <x v="1"/>
    <s v="26/05/2023"/>
    <d v="2023-05-26T00:00:00"/>
    <s v="2023036-139"/>
    <x v="5"/>
  </r>
  <r>
    <x v="539"/>
    <n v="2023036"/>
    <x v="36"/>
    <s v="Mixed"/>
    <s v="Lupin"/>
    <x v="26"/>
    <s v="N"/>
    <x v="2"/>
    <n v="140"/>
    <n v="140"/>
    <x v="3"/>
    <m/>
    <m/>
    <m/>
    <n v="47"/>
    <m/>
    <m/>
    <m/>
    <m/>
    <m/>
    <n v="8"/>
    <n v="16"/>
    <x v="7"/>
    <n v="12"/>
    <m/>
    <n v="137"/>
    <x v="1"/>
    <n v="2"/>
    <x v="4"/>
    <s v="2"/>
    <m/>
    <m/>
    <x v="1"/>
    <s v="26/05/2023"/>
    <d v="2023-05-26T00:00:00"/>
    <s v="2023036-140"/>
    <x v="5"/>
  </r>
  <r>
    <x v="540"/>
    <n v="2023036"/>
    <x v="36"/>
    <s v="Mixed"/>
    <s v="Chickpea"/>
    <x v="3"/>
    <s v="N"/>
    <x v="2"/>
    <n v="141"/>
    <n v="141"/>
    <x v="3"/>
    <m/>
    <m/>
    <m/>
    <n v="48"/>
    <m/>
    <m/>
    <m/>
    <m/>
    <m/>
    <n v="9"/>
    <n v="16"/>
    <x v="8"/>
    <n v="12"/>
    <m/>
    <n v="136"/>
    <x v="1"/>
    <n v="6"/>
    <x v="4"/>
    <s v="2"/>
    <m/>
    <m/>
    <x v="1"/>
    <s v="26/05/2023"/>
    <d v="2023-05-26T00:00:00"/>
    <s v="2023036-141"/>
    <x v="3"/>
  </r>
  <r>
    <x v="541"/>
    <n v="2023036"/>
    <x v="36"/>
    <s v="Mixed"/>
    <s v="Chickpea"/>
    <x v="9"/>
    <s v="N"/>
    <x v="2"/>
    <n v="142"/>
    <n v="142"/>
    <x v="3"/>
    <m/>
    <m/>
    <m/>
    <n v="48"/>
    <m/>
    <m/>
    <m/>
    <m/>
    <m/>
    <n v="10"/>
    <n v="16"/>
    <x v="9"/>
    <n v="12"/>
    <m/>
    <n v="135"/>
    <x v="1"/>
    <n v="7"/>
    <x v="4"/>
    <s v="2"/>
    <m/>
    <m/>
    <x v="1"/>
    <s v="26/05/2023"/>
    <d v="2023-05-26T00:00:00"/>
    <s v="2023036-142"/>
    <x v="3"/>
  </r>
  <r>
    <x v="542"/>
    <n v="2023036"/>
    <x v="36"/>
    <s v="Mixed"/>
    <s v="Chickpea"/>
    <x v="8"/>
    <s v="Y"/>
    <x v="2"/>
    <n v="143"/>
    <n v="143"/>
    <x v="3"/>
    <m/>
    <m/>
    <m/>
    <n v="48"/>
    <m/>
    <m/>
    <m/>
    <m/>
    <m/>
    <n v="11"/>
    <n v="16"/>
    <x v="10"/>
    <n v="12"/>
    <m/>
    <n v="134"/>
    <x v="1"/>
    <n v="8"/>
    <x v="4"/>
    <s v="2"/>
    <m/>
    <m/>
    <x v="1"/>
    <s v="26/05/2023"/>
    <d v="2023-05-26T00:00:00"/>
    <s v="2023036-143"/>
    <x v="3"/>
  </r>
  <r>
    <x v="543"/>
    <n v="2023036"/>
    <x v="36"/>
    <s v="Mixed"/>
    <s v="Lentil"/>
    <x v="15"/>
    <s v="Y"/>
    <x v="2"/>
    <n v="144"/>
    <n v="144"/>
    <x v="3"/>
    <m/>
    <m/>
    <m/>
    <n v="48"/>
    <m/>
    <m/>
    <m/>
    <m/>
    <m/>
    <n v="12"/>
    <n v="16"/>
    <x v="11"/>
    <n v="12"/>
    <m/>
    <n v="133"/>
    <x v="1"/>
    <n v="5"/>
    <x v="4"/>
    <s v="2"/>
    <m/>
    <m/>
    <x v="1"/>
    <s v="26/05/2023"/>
    <d v="2023-05-26T00:00:00"/>
    <s v="2023036-144"/>
    <x v="0"/>
  </r>
  <r>
    <x v="548"/>
    <n v="2023036"/>
    <x v="36"/>
    <s v="Mixed"/>
    <s v="Chickpea"/>
    <x v="8"/>
    <s v="Y"/>
    <x v="2"/>
    <n v="145"/>
    <n v="145"/>
    <x v="0"/>
    <m/>
    <m/>
    <m/>
    <n v="49"/>
    <m/>
    <m/>
    <m/>
    <m/>
    <m/>
    <n v="1"/>
    <n v="17"/>
    <x v="0"/>
    <n v="13"/>
    <m/>
    <n v="145"/>
    <x v="1"/>
    <n v="3"/>
    <x v="4"/>
    <s v="2"/>
    <m/>
    <m/>
    <x v="2"/>
    <s v="11/07/2023"/>
    <d v="2023-07-11T00:00:00"/>
    <s v="2023036-145"/>
    <x v="3"/>
  </r>
  <r>
    <x v="549"/>
    <n v="2023036"/>
    <x v="36"/>
    <s v="Mixed"/>
    <s v="Lentil"/>
    <x v="15"/>
    <s v="Y"/>
    <x v="2"/>
    <n v="146"/>
    <n v="146"/>
    <x v="0"/>
    <m/>
    <m/>
    <m/>
    <n v="49"/>
    <m/>
    <m/>
    <m/>
    <m/>
    <m/>
    <n v="2"/>
    <n v="17"/>
    <x v="1"/>
    <n v="13"/>
    <m/>
    <n v="146"/>
    <x v="1"/>
    <n v="4"/>
    <x v="4"/>
    <s v="2"/>
    <m/>
    <m/>
    <x v="2"/>
    <s v="11/07/2023"/>
    <d v="2023-07-11T00:00:00"/>
    <s v="2023036-146"/>
    <x v="0"/>
  </r>
  <r>
    <x v="550"/>
    <n v="2023036"/>
    <x v="36"/>
    <s v="Mixed"/>
    <s v="Chickpea"/>
    <x v="3"/>
    <s v="N"/>
    <x v="2"/>
    <n v="147"/>
    <n v="147"/>
    <x v="0"/>
    <m/>
    <m/>
    <m/>
    <n v="49"/>
    <m/>
    <m/>
    <m/>
    <m/>
    <m/>
    <n v="3"/>
    <n v="17"/>
    <x v="2"/>
    <n v="13"/>
    <m/>
    <n v="147"/>
    <x v="1"/>
    <n v="2"/>
    <x v="4"/>
    <s v="2"/>
    <m/>
    <m/>
    <x v="2"/>
    <s v="11/07/2023"/>
    <d v="2023-07-11T00:00:00"/>
    <s v="2023036-147"/>
    <x v="3"/>
  </r>
  <r>
    <x v="551"/>
    <n v="2023036"/>
    <x v="36"/>
    <s v="Mixed"/>
    <s v="Chickpea"/>
    <x v="9"/>
    <s v="N"/>
    <x v="2"/>
    <n v="148"/>
    <n v="148"/>
    <x v="0"/>
    <m/>
    <m/>
    <m/>
    <n v="49"/>
    <m/>
    <m/>
    <m/>
    <m/>
    <m/>
    <n v="4"/>
    <n v="17"/>
    <x v="3"/>
    <n v="13"/>
    <m/>
    <n v="148"/>
    <x v="1"/>
    <n v="1"/>
    <x v="4"/>
    <s v="2"/>
    <m/>
    <m/>
    <x v="2"/>
    <s v="11/07/2023"/>
    <d v="2023-07-11T00:00:00"/>
    <s v="2023036-148"/>
    <x v="3"/>
  </r>
  <r>
    <x v="552"/>
    <n v="2023036"/>
    <x v="36"/>
    <s v="Mixed"/>
    <s v="Fababean"/>
    <x v="12"/>
    <s v="N"/>
    <x v="2"/>
    <n v="149"/>
    <n v="149"/>
    <x v="0"/>
    <m/>
    <m/>
    <m/>
    <n v="50"/>
    <m/>
    <m/>
    <m/>
    <m/>
    <m/>
    <n v="5"/>
    <n v="17"/>
    <x v="4"/>
    <n v="13"/>
    <m/>
    <n v="149"/>
    <x v="1"/>
    <n v="9"/>
    <x v="4"/>
    <s v="2"/>
    <m/>
    <m/>
    <x v="2"/>
    <s v="11/07/2023"/>
    <d v="2023-07-11T00:00:00"/>
    <s v="2023036-149"/>
    <x v="4"/>
  </r>
  <r>
    <x v="553"/>
    <n v="2023036"/>
    <x v="36"/>
    <s v="Mixed"/>
    <s v="Fababean"/>
    <x v="13"/>
    <s v="Y"/>
    <x v="2"/>
    <n v="150"/>
    <n v="150"/>
    <x v="0"/>
    <m/>
    <m/>
    <m/>
    <n v="50"/>
    <m/>
    <m/>
    <m/>
    <m/>
    <m/>
    <n v="6"/>
    <n v="17"/>
    <x v="5"/>
    <n v="13"/>
    <m/>
    <n v="150"/>
    <x v="1"/>
    <n v="11"/>
    <x v="4"/>
    <s v="2"/>
    <m/>
    <m/>
    <x v="2"/>
    <s v="11/07/2023"/>
    <d v="2023-07-11T00:00:00"/>
    <s v="2023036-150"/>
    <x v="4"/>
  </r>
  <r>
    <x v="554"/>
    <n v="2023036"/>
    <x v="36"/>
    <s v="Mixed"/>
    <s v="Fababean"/>
    <x v="10"/>
    <s v="Y"/>
    <x v="2"/>
    <n v="151"/>
    <n v="151"/>
    <x v="0"/>
    <m/>
    <m/>
    <m/>
    <n v="50"/>
    <m/>
    <m/>
    <m/>
    <m/>
    <m/>
    <n v="7"/>
    <n v="17"/>
    <x v="6"/>
    <n v="13"/>
    <m/>
    <n v="151"/>
    <x v="1"/>
    <n v="10"/>
    <x v="4"/>
    <s v="2"/>
    <m/>
    <m/>
    <x v="2"/>
    <s v="11/07/2023"/>
    <d v="2023-07-11T00:00:00"/>
    <s v="2023036-151"/>
    <x v="4"/>
  </r>
  <r>
    <x v="555"/>
    <n v="2023036"/>
    <x v="36"/>
    <s v="Mixed"/>
    <s v="Fababean"/>
    <x v="11"/>
    <s v="N"/>
    <x v="2"/>
    <n v="152"/>
    <n v="152"/>
    <x v="0"/>
    <m/>
    <m/>
    <m/>
    <n v="51"/>
    <m/>
    <m/>
    <m/>
    <m/>
    <m/>
    <n v="8"/>
    <n v="17"/>
    <x v="7"/>
    <n v="13"/>
    <m/>
    <n v="152"/>
    <x v="1"/>
    <n v="7"/>
    <x v="4"/>
    <s v="2"/>
    <m/>
    <m/>
    <x v="2"/>
    <s v="11/07/2023"/>
    <d v="2023-07-11T00:00:00"/>
    <s v="2023036-152"/>
    <x v="4"/>
  </r>
  <r>
    <x v="556"/>
    <n v="2023036"/>
    <x v="36"/>
    <s v="Mixed"/>
    <s v="Lupin"/>
    <x v="27"/>
    <s v="Y"/>
    <x v="2"/>
    <n v="153"/>
    <n v="153"/>
    <x v="0"/>
    <m/>
    <m/>
    <m/>
    <n v="51"/>
    <m/>
    <m/>
    <m/>
    <m/>
    <m/>
    <n v="9"/>
    <n v="17"/>
    <x v="8"/>
    <n v="13"/>
    <m/>
    <n v="153"/>
    <x v="1"/>
    <n v="8"/>
    <x v="4"/>
    <s v="2"/>
    <m/>
    <m/>
    <x v="2"/>
    <s v="11/07/2023"/>
    <d v="2023-07-11T00:00:00"/>
    <s v="2023036-153"/>
    <x v="5"/>
  </r>
  <r>
    <x v="557"/>
    <n v="2023036"/>
    <x v="36"/>
    <s v="Mixed"/>
    <s v="Lupin"/>
    <x v="26"/>
    <s v="N"/>
    <x v="2"/>
    <n v="154"/>
    <n v="154"/>
    <x v="0"/>
    <m/>
    <m/>
    <m/>
    <n v="51"/>
    <m/>
    <m/>
    <m/>
    <m/>
    <m/>
    <n v="10"/>
    <n v="17"/>
    <x v="9"/>
    <n v="13"/>
    <m/>
    <n v="154"/>
    <x v="1"/>
    <n v="5"/>
    <x v="4"/>
    <s v="2"/>
    <m/>
    <m/>
    <x v="2"/>
    <s v="11/07/2023"/>
    <d v="2023-07-11T00:00:00"/>
    <s v="2023036-154"/>
    <x v="5"/>
  </r>
  <r>
    <x v="558"/>
    <n v="2023036"/>
    <x v="36"/>
    <s v="Mixed"/>
    <s v="Lupin"/>
    <x v="32"/>
    <s v="N"/>
    <x v="2"/>
    <n v="155"/>
    <n v="155"/>
    <x v="0"/>
    <m/>
    <m/>
    <m/>
    <n v="51"/>
    <m/>
    <m/>
    <m/>
    <m/>
    <m/>
    <n v="11"/>
    <n v="17"/>
    <x v="10"/>
    <n v="13"/>
    <m/>
    <n v="155"/>
    <x v="1"/>
    <n v="6"/>
    <x v="4"/>
    <s v="2"/>
    <m/>
    <m/>
    <x v="2"/>
    <s v="11/07/2023"/>
    <d v="2023-07-11T00:00:00"/>
    <s v="2023036-155"/>
    <x v="5"/>
  </r>
  <r>
    <x v="559"/>
    <n v="2023036"/>
    <x v="36"/>
    <s v="Mixed"/>
    <s v="Lupin"/>
    <x v="25"/>
    <s v="N"/>
    <x v="2"/>
    <n v="156"/>
    <n v="156"/>
    <x v="0"/>
    <m/>
    <m/>
    <m/>
    <n v="52"/>
    <m/>
    <m/>
    <m/>
    <m/>
    <m/>
    <n v="12"/>
    <n v="17"/>
    <x v="11"/>
    <n v="13"/>
    <m/>
    <n v="156"/>
    <x v="1"/>
    <n v="12"/>
    <x v="4"/>
    <s v="2"/>
    <m/>
    <m/>
    <x v="2"/>
    <s v="11/07/2023"/>
    <d v="2023-07-11T00:00:00"/>
    <s v="2023036-156"/>
    <x v="5"/>
  </r>
  <r>
    <x v="551"/>
    <n v="2023036"/>
    <x v="36"/>
    <s v="Mixed"/>
    <s v="Chickpea"/>
    <x v="9"/>
    <s v="N"/>
    <x v="2"/>
    <n v="157"/>
    <n v="157"/>
    <x v="1"/>
    <m/>
    <m/>
    <m/>
    <n v="53"/>
    <m/>
    <m/>
    <m/>
    <m/>
    <m/>
    <n v="1"/>
    <n v="18"/>
    <x v="0"/>
    <n v="14"/>
    <m/>
    <n v="168"/>
    <x v="1"/>
    <n v="7"/>
    <x v="4"/>
    <s v="2"/>
    <m/>
    <m/>
    <x v="2"/>
    <s v="11/07/2023"/>
    <d v="2023-07-11T00:00:00"/>
    <s v="2023036-157"/>
    <x v="3"/>
  </r>
  <r>
    <x v="548"/>
    <n v="2023036"/>
    <x v="36"/>
    <s v="Mixed"/>
    <s v="Chickpea"/>
    <x v="8"/>
    <s v="Y"/>
    <x v="2"/>
    <n v="158"/>
    <n v="158"/>
    <x v="1"/>
    <m/>
    <m/>
    <m/>
    <n v="53"/>
    <m/>
    <m/>
    <m/>
    <m/>
    <m/>
    <n v="2"/>
    <n v="18"/>
    <x v="1"/>
    <n v="14"/>
    <m/>
    <n v="167"/>
    <x v="1"/>
    <n v="5"/>
    <x v="4"/>
    <s v="2"/>
    <m/>
    <m/>
    <x v="2"/>
    <s v="11/07/2023"/>
    <d v="2023-07-11T00:00:00"/>
    <s v="2023036-158"/>
    <x v="3"/>
  </r>
  <r>
    <x v="549"/>
    <n v="2023036"/>
    <x v="36"/>
    <s v="Mixed"/>
    <s v="Lentil"/>
    <x v="15"/>
    <s v="Y"/>
    <x v="2"/>
    <n v="159"/>
    <n v="159"/>
    <x v="1"/>
    <m/>
    <m/>
    <m/>
    <n v="53"/>
    <m/>
    <m/>
    <m/>
    <m/>
    <m/>
    <n v="3"/>
    <n v="18"/>
    <x v="2"/>
    <n v="14"/>
    <m/>
    <n v="166"/>
    <x v="1"/>
    <n v="6"/>
    <x v="4"/>
    <s v="2"/>
    <m/>
    <m/>
    <x v="2"/>
    <s v="11/07/2023"/>
    <d v="2023-07-11T00:00:00"/>
    <s v="2023036-159"/>
    <x v="0"/>
  </r>
  <r>
    <x v="550"/>
    <n v="2023036"/>
    <x v="36"/>
    <s v="Mixed"/>
    <s v="Chickpea"/>
    <x v="3"/>
    <s v="N"/>
    <x v="2"/>
    <n v="160"/>
    <n v="160"/>
    <x v="1"/>
    <m/>
    <m/>
    <m/>
    <n v="53"/>
    <m/>
    <m/>
    <m/>
    <m/>
    <m/>
    <n v="4"/>
    <n v="18"/>
    <x v="3"/>
    <n v="14"/>
    <m/>
    <n v="165"/>
    <x v="1"/>
    <n v="8"/>
    <x v="4"/>
    <s v="2"/>
    <m/>
    <m/>
    <x v="2"/>
    <s v="11/07/2023"/>
    <d v="2023-07-11T00:00:00"/>
    <s v="2023036-160"/>
    <x v="3"/>
  </r>
  <r>
    <x v="553"/>
    <n v="2023036"/>
    <x v="36"/>
    <s v="Mixed"/>
    <s v="Fababean"/>
    <x v="13"/>
    <s v="Y"/>
    <x v="2"/>
    <n v="161"/>
    <n v="161"/>
    <x v="1"/>
    <m/>
    <m/>
    <m/>
    <n v="54"/>
    <m/>
    <m/>
    <m/>
    <m/>
    <m/>
    <n v="5"/>
    <n v="18"/>
    <x v="4"/>
    <n v="14"/>
    <m/>
    <n v="164"/>
    <x v="1"/>
    <n v="4"/>
    <x v="4"/>
    <s v="2"/>
    <m/>
    <m/>
    <x v="2"/>
    <s v="11/07/2023"/>
    <d v="2023-07-11T00:00:00"/>
    <s v="2023036-161"/>
    <x v="4"/>
  </r>
  <r>
    <x v="554"/>
    <n v="2023036"/>
    <x v="36"/>
    <s v="Mixed"/>
    <s v="Fababean"/>
    <x v="10"/>
    <s v="Y"/>
    <x v="2"/>
    <n v="162"/>
    <n v="162"/>
    <x v="1"/>
    <m/>
    <m/>
    <m/>
    <n v="54"/>
    <m/>
    <m/>
    <m/>
    <m/>
    <m/>
    <n v="6"/>
    <n v="18"/>
    <x v="5"/>
    <n v="14"/>
    <m/>
    <n v="163"/>
    <x v="1"/>
    <n v="1"/>
    <x v="4"/>
    <s v="2"/>
    <m/>
    <m/>
    <x v="2"/>
    <s v="11/07/2023"/>
    <d v="2023-07-11T00:00:00"/>
    <s v="2023036-162"/>
    <x v="4"/>
  </r>
  <r>
    <x v="555"/>
    <n v="2023036"/>
    <x v="36"/>
    <s v="Mixed"/>
    <s v="Fababean"/>
    <x v="11"/>
    <s v="N"/>
    <x v="2"/>
    <n v="163"/>
    <n v="163"/>
    <x v="1"/>
    <m/>
    <m/>
    <m/>
    <n v="54"/>
    <m/>
    <m/>
    <m/>
    <m/>
    <m/>
    <n v="7"/>
    <n v="18"/>
    <x v="6"/>
    <n v="14"/>
    <m/>
    <n v="162"/>
    <x v="1"/>
    <n v="2"/>
    <x v="4"/>
    <s v="2"/>
    <m/>
    <m/>
    <x v="2"/>
    <s v="11/07/2023"/>
    <d v="2023-07-11T00:00:00"/>
    <s v="2023036-163"/>
    <x v="4"/>
  </r>
  <r>
    <x v="552"/>
    <n v="2023036"/>
    <x v="36"/>
    <s v="Mixed"/>
    <s v="Fababean"/>
    <x v="12"/>
    <s v="N"/>
    <x v="2"/>
    <n v="164"/>
    <n v="164"/>
    <x v="1"/>
    <m/>
    <m/>
    <m/>
    <n v="54"/>
    <m/>
    <m/>
    <m/>
    <m/>
    <m/>
    <n v="8"/>
    <n v="18"/>
    <x v="7"/>
    <n v="14"/>
    <m/>
    <n v="161"/>
    <x v="1"/>
    <n v="3"/>
    <x v="4"/>
    <s v="2"/>
    <m/>
    <m/>
    <x v="2"/>
    <s v="11/07/2023"/>
    <d v="2023-07-11T00:00:00"/>
    <s v="2023036-164"/>
    <x v="4"/>
  </r>
  <r>
    <x v="556"/>
    <n v="2023036"/>
    <x v="36"/>
    <s v="Mixed"/>
    <s v="Lupin"/>
    <x v="27"/>
    <s v="Y"/>
    <x v="2"/>
    <n v="165"/>
    <n v="165"/>
    <x v="1"/>
    <m/>
    <m/>
    <m/>
    <n v="55"/>
    <m/>
    <m/>
    <m/>
    <m/>
    <m/>
    <n v="9"/>
    <n v="18"/>
    <x v="8"/>
    <n v="14"/>
    <m/>
    <n v="160"/>
    <x v="1"/>
    <n v="12"/>
    <x v="4"/>
    <s v="2"/>
    <m/>
    <m/>
    <x v="2"/>
    <s v="11/07/2023"/>
    <d v="2023-07-11T00:00:00"/>
    <s v="2023036-165"/>
    <x v="5"/>
  </r>
  <r>
    <x v="557"/>
    <n v="2023036"/>
    <x v="36"/>
    <s v="Mixed"/>
    <s v="Lupin"/>
    <x v="26"/>
    <s v="N"/>
    <x v="2"/>
    <n v="166"/>
    <n v="166"/>
    <x v="1"/>
    <m/>
    <m/>
    <m/>
    <n v="56"/>
    <m/>
    <m/>
    <m/>
    <m/>
    <m/>
    <n v="10"/>
    <n v="18"/>
    <x v="9"/>
    <n v="14"/>
    <m/>
    <n v="159"/>
    <x v="1"/>
    <n v="11"/>
    <x v="4"/>
    <s v="2"/>
    <m/>
    <m/>
    <x v="2"/>
    <s v="11/07/2023"/>
    <d v="2023-07-11T00:00:00"/>
    <s v="2023036-166"/>
    <x v="5"/>
  </r>
  <r>
    <x v="558"/>
    <n v="2023036"/>
    <x v="36"/>
    <s v="Mixed"/>
    <s v="Lupin"/>
    <x v="32"/>
    <s v="N"/>
    <x v="2"/>
    <n v="167"/>
    <n v="167"/>
    <x v="1"/>
    <m/>
    <m/>
    <m/>
    <n v="56"/>
    <m/>
    <m/>
    <m/>
    <m/>
    <m/>
    <n v="11"/>
    <n v="18"/>
    <x v="10"/>
    <n v="14"/>
    <m/>
    <n v="158"/>
    <x v="1"/>
    <n v="10"/>
    <x v="4"/>
    <s v="2"/>
    <m/>
    <m/>
    <x v="2"/>
    <s v="11/07/2023"/>
    <d v="2023-07-11T00:00:00"/>
    <s v="2023036-167"/>
    <x v="5"/>
  </r>
  <r>
    <x v="559"/>
    <n v="2023036"/>
    <x v="36"/>
    <s v="Mixed"/>
    <s v="Lupin"/>
    <x v="25"/>
    <s v="N"/>
    <x v="2"/>
    <n v="168"/>
    <n v="168"/>
    <x v="1"/>
    <m/>
    <m/>
    <m/>
    <n v="56"/>
    <m/>
    <m/>
    <m/>
    <m/>
    <m/>
    <n v="12"/>
    <n v="18"/>
    <x v="11"/>
    <n v="14"/>
    <m/>
    <n v="157"/>
    <x v="1"/>
    <n v="9"/>
    <x v="4"/>
    <s v="2"/>
    <m/>
    <m/>
    <x v="2"/>
    <s v="11/07/2023"/>
    <d v="2023-07-11T00:00:00"/>
    <s v="2023036-168"/>
    <x v="5"/>
  </r>
  <r>
    <x v="553"/>
    <n v="2023036"/>
    <x v="36"/>
    <s v="Mixed"/>
    <s v="Fababean"/>
    <x v="13"/>
    <s v="Y"/>
    <x v="2"/>
    <n v="169"/>
    <n v="169"/>
    <x v="2"/>
    <m/>
    <m/>
    <m/>
    <n v="57"/>
    <m/>
    <m/>
    <m/>
    <m/>
    <m/>
    <n v="1"/>
    <n v="19"/>
    <x v="0"/>
    <n v="15"/>
    <m/>
    <n v="169"/>
    <x v="1"/>
    <n v="12"/>
    <x v="4"/>
    <s v="2"/>
    <m/>
    <m/>
    <x v="2"/>
    <s v="11/07/2023"/>
    <d v="2023-07-11T00:00:00"/>
    <s v="2023036-169"/>
    <x v="4"/>
  </r>
  <r>
    <x v="554"/>
    <n v="2023036"/>
    <x v="36"/>
    <s v="Mixed"/>
    <s v="Fababean"/>
    <x v="10"/>
    <s v="Y"/>
    <x v="2"/>
    <n v="170"/>
    <n v="170"/>
    <x v="2"/>
    <m/>
    <m/>
    <m/>
    <n v="58"/>
    <m/>
    <m/>
    <m/>
    <m/>
    <m/>
    <n v="2"/>
    <n v="19"/>
    <x v="1"/>
    <n v="15"/>
    <m/>
    <n v="170"/>
    <x v="1"/>
    <n v="7"/>
    <x v="4"/>
    <s v="2"/>
    <m/>
    <m/>
    <x v="2"/>
    <s v="11/07/2023"/>
    <d v="2023-07-11T00:00:00"/>
    <s v="2023036-170"/>
    <x v="4"/>
  </r>
  <r>
    <x v="555"/>
    <n v="2023036"/>
    <x v="36"/>
    <s v="Mixed"/>
    <s v="Fababean"/>
    <x v="11"/>
    <s v="N"/>
    <x v="2"/>
    <n v="171"/>
    <n v="171"/>
    <x v="2"/>
    <m/>
    <m/>
    <m/>
    <n v="58"/>
    <m/>
    <m/>
    <m/>
    <m/>
    <m/>
    <n v="3"/>
    <n v="19"/>
    <x v="2"/>
    <n v="15"/>
    <m/>
    <n v="171"/>
    <x v="1"/>
    <n v="8"/>
    <x v="4"/>
    <s v="2"/>
    <m/>
    <m/>
    <x v="2"/>
    <s v="11/07/2023"/>
    <d v="2023-07-11T00:00:00"/>
    <s v="2023036-171"/>
    <x v="4"/>
  </r>
  <r>
    <x v="552"/>
    <n v="2023036"/>
    <x v="36"/>
    <s v="Mixed"/>
    <s v="Fababean"/>
    <x v="12"/>
    <s v="N"/>
    <x v="2"/>
    <n v="172"/>
    <n v="172"/>
    <x v="2"/>
    <m/>
    <m/>
    <m/>
    <n v="58"/>
    <m/>
    <m/>
    <m/>
    <m/>
    <m/>
    <n v="4"/>
    <n v="19"/>
    <x v="3"/>
    <n v="15"/>
    <m/>
    <n v="172"/>
    <x v="1"/>
    <n v="5"/>
    <x v="4"/>
    <s v="2"/>
    <m/>
    <m/>
    <x v="2"/>
    <s v="11/07/2023"/>
    <d v="2023-07-11T00:00:00"/>
    <s v="2023036-172"/>
    <x v="4"/>
  </r>
  <r>
    <x v="556"/>
    <n v="2023036"/>
    <x v="36"/>
    <s v="Mixed"/>
    <s v="Lupin"/>
    <x v="27"/>
    <s v="Y"/>
    <x v="2"/>
    <n v="173"/>
    <n v="173"/>
    <x v="2"/>
    <m/>
    <m/>
    <m/>
    <n v="58"/>
    <m/>
    <m/>
    <m/>
    <m/>
    <m/>
    <n v="5"/>
    <n v="19"/>
    <x v="4"/>
    <n v="15"/>
    <m/>
    <n v="173"/>
    <x v="1"/>
    <n v="6"/>
    <x v="4"/>
    <s v="2"/>
    <m/>
    <m/>
    <x v="2"/>
    <s v="11/07/2023"/>
    <d v="2023-07-11T00:00:00"/>
    <s v="2023036-173"/>
    <x v="5"/>
  </r>
  <r>
    <x v="557"/>
    <n v="2023036"/>
    <x v="36"/>
    <s v="Mixed"/>
    <s v="Lupin"/>
    <x v="26"/>
    <s v="N"/>
    <x v="2"/>
    <n v="174"/>
    <n v="174"/>
    <x v="2"/>
    <m/>
    <m/>
    <m/>
    <n v="59"/>
    <m/>
    <m/>
    <m/>
    <m/>
    <m/>
    <n v="6"/>
    <n v="19"/>
    <x v="5"/>
    <n v="15"/>
    <m/>
    <n v="174"/>
    <x v="1"/>
    <n v="10"/>
    <x v="4"/>
    <s v="2"/>
    <m/>
    <m/>
    <x v="2"/>
    <s v="11/07/2023"/>
    <d v="2023-07-11T00:00:00"/>
    <s v="2023036-174"/>
    <x v="5"/>
  </r>
  <r>
    <x v="558"/>
    <n v="2023036"/>
    <x v="36"/>
    <s v="Mixed"/>
    <s v="Lupin"/>
    <x v="32"/>
    <s v="N"/>
    <x v="2"/>
    <n v="175"/>
    <n v="175"/>
    <x v="2"/>
    <m/>
    <m/>
    <m/>
    <n v="59"/>
    <m/>
    <m/>
    <m/>
    <m/>
    <m/>
    <n v="7"/>
    <n v="19"/>
    <x v="6"/>
    <n v="15"/>
    <m/>
    <n v="175"/>
    <x v="1"/>
    <n v="9"/>
    <x v="4"/>
    <s v="2"/>
    <m/>
    <m/>
    <x v="2"/>
    <s v="11/07/2023"/>
    <d v="2023-07-11T00:00:00"/>
    <s v="2023036-175"/>
    <x v="5"/>
  </r>
  <r>
    <x v="559"/>
    <n v="2023036"/>
    <x v="36"/>
    <s v="Mixed"/>
    <s v="Lupin"/>
    <x v="25"/>
    <s v="N"/>
    <x v="2"/>
    <n v="176"/>
    <n v="176"/>
    <x v="2"/>
    <m/>
    <m/>
    <m/>
    <n v="59"/>
    <m/>
    <m/>
    <m/>
    <m/>
    <m/>
    <n v="8"/>
    <n v="19"/>
    <x v="7"/>
    <n v="15"/>
    <m/>
    <n v="176"/>
    <x v="1"/>
    <n v="11"/>
    <x v="4"/>
    <s v="2"/>
    <m/>
    <m/>
    <x v="2"/>
    <s v="11/07/2023"/>
    <d v="2023-07-11T00:00:00"/>
    <s v="2023036-176"/>
    <x v="5"/>
  </r>
  <r>
    <x v="551"/>
    <n v="2023036"/>
    <x v="36"/>
    <s v="Mixed"/>
    <s v="Chickpea"/>
    <x v="9"/>
    <s v="N"/>
    <x v="2"/>
    <n v="177"/>
    <n v="177"/>
    <x v="2"/>
    <m/>
    <m/>
    <m/>
    <n v="60"/>
    <m/>
    <m/>
    <m/>
    <m/>
    <m/>
    <n v="9"/>
    <n v="19"/>
    <x v="8"/>
    <n v="15"/>
    <m/>
    <n v="177"/>
    <x v="1"/>
    <n v="4"/>
    <x v="4"/>
    <s v="2"/>
    <m/>
    <m/>
    <x v="2"/>
    <s v="11/07/2023"/>
    <d v="2023-07-11T00:00:00"/>
    <s v="2023036-177"/>
    <x v="3"/>
  </r>
  <r>
    <x v="548"/>
    <n v="2023036"/>
    <x v="36"/>
    <s v="Mixed"/>
    <s v="Chickpea"/>
    <x v="8"/>
    <s v="Y"/>
    <x v="2"/>
    <n v="178"/>
    <n v="178"/>
    <x v="2"/>
    <m/>
    <m/>
    <m/>
    <n v="60"/>
    <m/>
    <m/>
    <m/>
    <m/>
    <m/>
    <n v="10"/>
    <n v="19"/>
    <x v="9"/>
    <n v="15"/>
    <m/>
    <n v="178"/>
    <x v="1"/>
    <n v="3"/>
    <x v="4"/>
    <s v="2"/>
    <m/>
    <m/>
    <x v="2"/>
    <s v="11/07/2023"/>
    <d v="2023-07-11T00:00:00"/>
    <s v="2023036-178"/>
    <x v="3"/>
  </r>
  <r>
    <x v="549"/>
    <n v="2023036"/>
    <x v="36"/>
    <s v="Mixed"/>
    <s v="Lentil"/>
    <x v="15"/>
    <s v="Y"/>
    <x v="2"/>
    <n v="179"/>
    <n v="179"/>
    <x v="2"/>
    <m/>
    <m/>
    <m/>
    <n v="60"/>
    <m/>
    <m/>
    <m/>
    <m/>
    <m/>
    <n v="11"/>
    <n v="19"/>
    <x v="10"/>
    <n v="15"/>
    <m/>
    <n v="179"/>
    <x v="1"/>
    <n v="1"/>
    <x v="4"/>
    <s v="2"/>
    <m/>
    <m/>
    <x v="2"/>
    <s v="11/07/2023"/>
    <d v="2023-07-11T00:00:00"/>
    <s v="2023036-179"/>
    <x v="0"/>
  </r>
  <r>
    <x v="550"/>
    <n v="2023036"/>
    <x v="36"/>
    <s v="Mixed"/>
    <s v="Chickpea"/>
    <x v="3"/>
    <s v="N"/>
    <x v="2"/>
    <n v="180"/>
    <n v="180"/>
    <x v="2"/>
    <m/>
    <m/>
    <m/>
    <n v="60"/>
    <m/>
    <m/>
    <m/>
    <m/>
    <m/>
    <n v="12"/>
    <n v="19"/>
    <x v="11"/>
    <n v="15"/>
    <m/>
    <n v="180"/>
    <x v="1"/>
    <n v="2"/>
    <x v="4"/>
    <s v="2"/>
    <m/>
    <m/>
    <x v="2"/>
    <s v="11/07/2023"/>
    <d v="2023-07-11T00:00:00"/>
    <s v="2023036-180"/>
    <x v="3"/>
  </r>
  <r>
    <x v="552"/>
    <n v="2023036"/>
    <x v="36"/>
    <s v="Mixed"/>
    <s v="Fababean"/>
    <x v="12"/>
    <s v="N"/>
    <x v="2"/>
    <n v="181"/>
    <n v="181"/>
    <x v="3"/>
    <m/>
    <m/>
    <m/>
    <n v="61"/>
    <m/>
    <m/>
    <m/>
    <m/>
    <m/>
    <n v="1"/>
    <n v="20"/>
    <x v="0"/>
    <n v="16"/>
    <m/>
    <n v="192"/>
    <x v="1"/>
    <n v="9"/>
    <x v="4"/>
    <s v="2"/>
    <m/>
    <m/>
    <x v="2"/>
    <s v="11/07/2023"/>
    <d v="2023-07-11T00:00:00"/>
    <s v="2023036-181"/>
    <x v="4"/>
  </r>
  <r>
    <x v="553"/>
    <n v="2023036"/>
    <x v="36"/>
    <s v="Mixed"/>
    <s v="Fababean"/>
    <x v="13"/>
    <s v="Y"/>
    <x v="2"/>
    <n v="182"/>
    <n v="182"/>
    <x v="3"/>
    <m/>
    <m/>
    <m/>
    <n v="61"/>
    <m/>
    <m/>
    <m/>
    <m/>
    <m/>
    <n v="2"/>
    <n v="20"/>
    <x v="1"/>
    <n v="16"/>
    <m/>
    <n v="191"/>
    <x v="1"/>
    <n v="10"/>
    <x v="4"/>
    <s v="2"/>
    <m/>
    <m/>
    <x v="2"/>
    <s v="11/07/2023"/>
    <d v="2023-07-11T00:00:00"/>
    <s v="2023036-182"/>
    <x v="4"/>
  </r>
  <r>
    <x v="554"/>
    <n v="2023036"/>
    <x v="36"/>
    <s v="Mixed"/>
    <s v="Fababean"/>
    <x v="10"/>
    <s v="Y"/>
    <x v="2"/>
    <n v="183"/>
    <n v="183"/>
    <x v="3"/>
    <m/>
    <m/>
    <m/>
    <n v="61"/>
    <m/>
    <m/>
    <m/>
    <m/>
    <m/>
    <n v="3"/>
    <n v="20"/>
    <x v="2"/>
    <n v="16"/>
    <m/>
    <n v="190"/>
    <x v="1"/>
    <n v="11"/>
    <x v="4"/>
    <s v="2"/>
    <m/>
    <m/>
    <x v="2"/>
    <s v="11/07/2023"/>
    <d v="2023-07-11T00:00:00"/>
    <s v="2023036-183"/>
    <x v="4"/>
  </r>
  <r>
    <x v="555"/>
    <n v="2023036"/>
    <x v="36"/>
    <s v="Mixed"/>
    <s v="Fababean"/>
    <x v="11"/>
    <s v="N"/>
    <x v="2"/>
    <n v="184"/>
    <n v="184"/>
    <x v="3"/>
    <m/>
    <m/>
    <m/>
    <n v="62"/>
    <m/>
    <m/>
    <m/>
    <m/>
    <m/>
    <n v="4"/>
    <n v="20"/>
    <x v="3"/>
    <n v="16"/>
    <m/>
    <n v="189"/>
    <x v="1"/>
    <n v="12"/>
    <x v="4"/>
    <s v="2"/>
    <m/>
    <m/>
    <x v="2"/>
    <s v="11/07/2023"/>
    <d v="2023-07-11T00:00:00"/>
    <s v="2023036-184"/>
    <x v="4"/>
  </r>
  <r>
    <x v="556"/>
    <n v="2023036"/>
    <x v="36"/>
    <s v="Mixed"/>
    <s v="Lupin"/>
    <x v="27"/>
    <s v="Y"/>
    <x v="2"/>
    <n v="185"/>
    <n v="185"/>
    <x v="3"/>
    <m/>
    <m/>
    <m/>
    <n v="63"/>
    <m/>
    <m/>
    <m/>
    <m/>
    <m/>
    <n v="5"/>
    <n v="20"/>
    <x v="4"/>
    <n v="16"/>
    <m/>
    <n v="188"/>
    <x v="1"/>
    <n v="2"/>
    <x v="4"/>
    <s v="2"/>
    <m/>
    <m/>
    <x v="2"/>
    <s v="11/07/2023"/>
    <d v="2023-07-11T00:00:00"/>
    <s v="2023036-185"/>
    <x v="5"/>
  </r>
  <r>
    <x v="557"/>
    <n v="2023036"/>
    <x v="36"/>
    <s v="Mixed"/>
    <s v="Lupin"/>
    <x v="26"/>
    <s v="N"/>
    <x v="2"/>
    <n v="186"/>
    <n v="186"/>
    <x v="3"/>
    <m/>
    <m/>
    <m/>
    <n v="63"/>
    <m/>
    <m/>
    <m/>
    <m/>
    <m/>
    <n v="6"/>
    <n v="20"/>
    <x v="5"/>
    <n v="16"/>
    <m/>
    <n v="187"/>
    <x v="1"/>
    <n v="4"/>
    <x v="4"/>
    <s v="2"/>
    <m/>
    <m/>
    <x v="2"/>
    <s v="11/07/2023"/>
    <d v="2023-07-11T00:00:00"/>
    <s v="2023036-186"/>
    <x v="5"/>
  </r>
  <r>
    <x v="558"/>
    <n v="2023036"/>
    <x v="36"/>
    <s v="Mixed"/>
    <s v="Lupin"/>
    <x v="32"/>
    <s v="N"/>
    <x v="2"/>
    <n v="187"/>
    <n v="187"/>
    <x v="3"/>
    <m/>
    <m/>
    <m/>
    <n v="63"/>
    <m/>
    <m/>
    <m/>
    <m/>
    <m/>
    <n v="7"/>
    <n v="20"/>
    <x v="6"/>
    <n v="16"/>
    <m/>
    <n v="186"/>
    <x v="1"/>
    <n v="3"/>
    <x v="4"/>
    <s v="2"/>
    <m/>
    <m/>
    <x v="2"/>
    <s v="11/07/2023"/>
    <d v="2023-07-11T00:00:00"/>
    <s v="2023036-187"/>
    <x v="5"/>
  </r>
  <r>
    <x v="559"/>
    <n v="2023036"/>
    <x v="36"/>
    <s v="Mixed"/>
    <s v="Lupin"/>
    <x v="25"/>
    <s v="N"/>
    <x v="2"/>
    <n v="188"/>
    <n v="188"/>
    <x v="3"/>
    <m/>
    <m/>
    <m/>
    <n v="63"/>
    <m/>
    <m/>
    <m/>
    <m/>
    <m/>
    <n v="8"/>
    <n v="20"/>
    <x v="7"/>
    <n v="16"/>
    <m/>
    <n v="185"/>
    <x v="1"/>
    <n v="1"/>
    <x v="4"/>
    <s v="2"/>
    <m/>
    <m/>
    <x v="2"/>
    <s v="11/07/2023"/>
    <d v="2023-07-11T00:00:00"/>
    <s v="2023036-188"/>
    <x v="5"/>
  </r>
  <r>
    <x v="548"/>
    <n v="2023036"/>
    <x v="36"/>
    <s v="Mixed"/>
    <s v="Chickpea"/>
    <x v="8"/>
    <s v="Y"/>
    <x v="2"/>
    <n v="189"/>
    <n v="189"/>
    <x v="3"/>
    <m/>
    <m/>
    <m/>
    <n v="64"/>
    <m/>
    <m/>
    <m/>
    <m/>
    <m/>
    <n v="9"/>
    <n v="20"/>
    <x v="8"/>
    <n v="16"/>
    <m/>
    <n v="184"/>
    <x v="1"/>
    <n v="7"/>
    <x v="4"/>
    <s v="2"/>
    <m/>
    <m/>
    <x v="2"/>
    <s v="11/07/2023"/>
    <d v="2023-07-11T00:00:00"/>
    <s v="2023036-189"/>
    <x v="3"/>
  </r>
  <r>
    <x v="549"/>
    <n v="2023036"/>
    <x v="36"/>
    <s v="Mixed"/>
    <s v="Lentil"/>
    <x v="15"/>
    <s v="Y"/>
    <x v="2"/>
    <n v="190"/>
    <n v="190"/>
    <x v="3"/>
    <m/>
    <m/>
    <m/>
    <n v="64"/>
    <m/>
    <m/>
    <m/>
    <m/>
    <m/>
    <n v="10"/>
    <n v="20"/>
    <x v="9"/>
    <n v="16"/>
    <m/>
    <n v="183"/>
    <x v="1"/>
    <n v="8"/>
    <x v="4"/>
    <s v="2"/>
    <m/>
    <m/>
    <x v="2"/>
    <s v="11/07/2023"/>
    <d v="2023-07-11T00:00:00"/>
    <s v="2023036-190"/>
    <x v="0"/>
  </r>
  <r>
    <x v="550"/>
    <n v="2023036"/>
    <x v="36"/>
    <s v="Mixed"/>
    <s v="Chickpea"/>
    <x v="3"/>
    <s v="N"/>
    <x v="2"/>
    <n v="191"/>
    <n v="191"/>
    <x v="3"/>
    <m/>
    <m/>
    <m/>
    <n v="64"/>
    <m/>
    <m/>
    <m/>
    <m/>
    <m/>
    <n v="11"/>
    <n v="20"/>
    <x v="10"/>
    <n v="16"/>
    <m/>
    <n v="182"/>
    <x v="1"/>
    <n v="5"/>
    <x v="4"/>
    <s v="2"/>
    <m/>
    <m/>
    <x v="2"/>
    <s v="11/07/2023"/>
    <d v="2023-07-11T00:00:00"/>
    <s v="2023036-191"/>
    <x v="3"/>
  </r>
  <r>
    <x v="551"/>
    <n v="2023036"/>
    <x v="36"/>
    <s v="Mixed"/>
    <s v="Chickpea"/>
    <x v="9"/>
    <s v="N"/>
    <x v="2"/>
    <n v="192"/>
    <n v="192"/>
    <x v="3"/>
    <m/>
    <m/>
    <m/>
    <n v="64"/>
    <m/>
    <m/>
    <m/>
    <m/>
    <m/>
    <n v="12"/>
    <n v="20"/>
    <x v="11"/>
    <n v="16"/>
    <m/>
    <n v="181"/>
    <x v="1"/>
    <n v="6"/>
    <x v="4"/>
    <s v="2"/>
    <m/>
    <m/>
    <x v="2"/>
    <s v="11/07/2023"/>
    <d v="2023-07-11T00:00:00"/>
    <s v="2023036-192"/>
    <x v="3"/>
  </r>
  <r>
    <x v="560"/>
    <n v="2024037"/>
    <x v="37"/>
    <s v="Chickpea"/>
    <m/>
    <x v="4"/>
    <s v="Y"/>
    <x v="2"/>
    <n v="1"/>
    <n v="1"/>
    <x v="0"/>
    <m/>
    <m/>
    <m/>
    <n v="1"/>
    <m/>
    <m/>
    <m/>
    <m/>
    <m/>
    <n v="2"/>
    <n v="3"/>
    <x v="0"/>
    <n v="1"/>
    <m/>
    <n v="1"/>
    <x v="0"/>
    <n v="4"/>
    <x v="0"/>
    <m/>
    <m/>
    <n v="30"/>
    <x v="2"/>
    <s v="17/06/2024"/>
    <d v="2024-06-17T00:00:00"/>
    <s v="2024037-1"/>
    <x v="3"/>
  </r>
  <r>
    <x v="561"/>
    <n v="2024037"/>
    <x v="37"/>
    <s v="Chickpea"/>
    <m/>
    <x v="3"/>
    <s v="N"/>
    <x v="2"/>
    <n v="2"/>
    <n v="2"/>
    <x v="0"/>
    <m/>
    <m/>
    <m/>
    <n v="1"/>
    <m/>
    <m/>
    <m/>
    <m/>
    <m/>
    <n v="3"/>
    <n v="3"/>
    <x v="1"/>
    <n v="1"/>
    <m/>
    <n v="2"/>
    <x v="0"/>
    <n v="3"/>
    <x v="0"/>
    <m/>
    <m/>
    <n v="30"/>
    <x v="2"/>
    <s v="17/06/2024"/>
    <d v="2024-06-17T00:00:00"/>
    <s v="2024037-2"/>
    <x v="3"/>
  </r>
  <r>
    <x v="562"/>
    <n v="2024037"/>
    <x v="37"/>
    <s v="Chickpea"/>
    <m/>
    <x v="8"/>
    <s v="Y"/>
    <x v="2"/>
    <n v="3"/>
    <n v="3"/>
    <x v="0"/>
    <m/>
    <m/>
    <m/>
    <n v="1"/>
    <m/>
    <m/>
    <m/>
    <m/>
    <m/>
    <n v="5"/>
    <n v="3"/>
    <x v="2"/>
    <n v="1"/>
    <m/>
    <n v="3"/>
    <x v="0"/>
    <n v="1"/>
    <x v="0"/>
    <m/>
    <m/>
    <n v="30"/>
    <x v="2"/>
    <s v="17/06/2024"/>
    <d v="2024-06-17T00:00:00"/>
    <s v="2024037-3"/>
    <x v="3"/>
  </r>
  <r>
    <x v="563"/>
    <n v="2024037"/>
    <x v="37"/>
    <s v="Chickpea"/>
    <m/>
    <x v="9"/>
    <s v="N"/>
    <x v="2"/>
    <n v="4"/>
    <n v="4"/>
    <x v="0"/>
    <m/>
    <m/>
    <m/>
    <n v="1"/>
    <m/>
    <m/>
    <m/>
    <m/>
    <m/>
    <n v="6"/>
    <n v="3"/>
    <x v="3"/>
    <n v="1"/>
    <m/>
    <n v="4"/>
    <x v="0"/>
    <n v="2"/>
    <x v="0"/>
    <m/>
    <m/>
    <n v="30"/>
    <x v="2"/>
    <s v="17/06/2024"/>
    <d v="2024-06-17T00:00:00"/>
    <s v="2024037-4"/>
    <x v="3"/>
  </r>
  <r>
    <x v="560"/>
    <n v="2024037"/>
    <x v="37"/>
    <s v="Chickpea"/>
    <m/>
    <x v="4"/>
    <s v="Y"/>
    <x v="1"/>
    <n v="5"/>
    <n v="1"/>
    <x v="0"/>
    <m/>
    <m/>
    <m/>
    <n v="1"/>
    <m/>
    <m/>
    <m/>
    <m/>
    <m/>
    <n v="2"/>
    <n v="4"/>
    <x v="0"/>
    <n v="2"/>
    <m/>
    <m/>
    <x v="0"/>
    <n v="4"/>
    <x v="0"/>
    <m/>
    <m/>
    <n v="30"/>
    <x v="2"/>
    <s v="17/06/2024"/>
    <d v="2024-06-17T00:00:00"/>
    <s v="2024037-5"/>
    <x v="3"/>
  </r>
  <r>
    <x v="561"/>
    <n v="2024037"/>
    <x v="37"/>
    <s v="Chickpea"/>
    <m/>
    <x v="3"/>
    <s v="N"/>
    <x v="1"/>
    <n v="6"/>
    <n v="2"/>
    <x v="0"/>
    <m/>
    <m/>
    <m/>
    <n v="1"/>
    <m/>
    <m/>
    <m/>
    <m/>
    <m/>
    <n v="3"/>
    <n v="4"/>
    <x v="1"/>
    <n v="2"/>
    <m/>
    <m/>
    <x v="0"/>
    <n v="3"/>
    <x v="0"/>
    <m/>
    <m/>
    <n v="30"/>
    <x v="2"/>
    <s v="17/06/2024"/>
    <d v="2024-06-17T00:00:00"/>
    <s v="2024037-6"/>
    <x v="3"/>
  </r>
  <r>
    <x v="562"/>
    <n v="2024037"/>
    <x v="37"/>
    <s v="Chickpea"/>
    <m/>
    <x v="8"/>
    <s v="Y"/>
    <x v="1"/>
    <n v="7"/>
    <n v="3"/>
    <x v="0"/>
    <m/>
    <m/>
    <m/>
    <n v="1"/>
    <m/>
    <m/>
    <m/>
    <m/>
    <m/>
    <n v="5"/>
    <n v="4"/>
    <x v="2"/>
    <n v="2"/>
    <m/>
    <m/>
    <x v="0"/>
    <n v="1"/>
    <x v="0"/>
    <m/>
    <m/>
    <n v="30"/>
    <x v="2"/>
    <s v="17/06/2024"/>
    <d v="2024-06-17T00:00:00"/>
    <s v="2024037-7"/>
    <x v="3"/>
  </r>
  <r>
    <x v="563"/>
    <n v="2024037"/>
    <x v="37"/>
    <s v="Chickpea"/>
    <m/>
    <x v="9"/>
    <s v="N"/>
    <x v="1"/>
    <n v="8"/>
    <n v="4"/>
    <x v="0"/>
    <m/>
    <m/>
    <m/>
    <n v="1"/>
    <m/>
    <m/>
    <m/>
    <m/>
    <m/>
    <n v="6"/>
    <n v="4"/>
    <x v="3"/>
    <n v="2"/>
    <m/>
    <m/>
    <x v="0"/>
    <n v="2"/>
    <x v="0"/>
    <m/>
    <m/>
    <n v="30"/>
    <x v="2"/>
    <s v="17/06/2024"/>
    <d v="2024-06-17T00:00:00"/>
    <s v="2024037-8"/>
    <x v="3"/>
  </r>
  <r>
    <x v="564"/>
    <n v="2024037"/>
    <x v="37"/>
    <s v="Chickpea"/>
    <m/>
    <x v="9"/>
    <s v="N"/>
    <x v="1"/>
    <n v="9"/>
    <n v="5"/>
    <x v="0"/>
    <m/>
    <m/>
    <m/>
    <n v="2"/>
    <m/>
    <m/>
    <m/>
    <m/>
    <m/>
    <n v="2"/>
    <n v="7"/>
    <x v="0"/>
    <n v="3"/>
    <m/>
    <m/>
    <x v="0"/>
    <n v="2"/>
    <x v="0"/>
    <m/>
    <m/>
    <n v="30"/>
    <x v="1"/>
    <s v="15/05/2024"/>
    <d v="2024-05-15T00:00:00"/>
    <s v="2024037-9"/>
    <x v="3"/>
  </r>
  <r>
    <x v="565"/>
    <n v="2024037"/>
    <x v="37"/>
    <s v="Chickpea"/>
    <m/>
    <x v="8"/>
    <s v="Y"/>
    <x v="1"/>
    <n v="10"/>
    <n v="6"/>
    <x v="0"/>
    <m/>
    <m/>
    <m/>
    <n v="2"/>
    <m/>
    <m/>
    <m/>
    <m/>
    <m/>
    <n v="3"/>
    <n v="7"/>
    <x v="1"/>
    <n v="3"/>
    <m/>
    <m/>
    <x v="0"/>
    <n v="1"/>
    <x v="0"/>
    <m/>
    <m/>
    <n v="30"/>
    <x v="1"/>
    <s v="15/05/2024"/>
    <d v="2024-05-15T00:00:00"/>
    <s v="2024037-10"/>
    <x v="3"/>
  </r>
  <r>
    <x v="566"/>
    <n v="2024037"/>
    <x v="37"/>
    <s v="Chickpea"/>
    <m/>
    <x v="3"/>
    <s v="N"/>
    <x v="1"/>
    <n v="11"/>
    <n v="7"/>
    <x v="0"/>
    <m/>
    <m/>
    <m/>
    <n v="2"/>
    <m/>
    <m/>
    <m/>
    <m/>
    <m/>
    <n v="5"/>
    <n v="7"/>
    <x v="2"/>
    <n v="3"/>
    <m/>
    <m/>
    <x v="0"/>
    <n v="3"/>
    <x v="0"/>
    <m/>
    <m/>
    <n v="30"/>
    <x v="1"/>
    <s v="15/05/2024"/>
    <d v="2024-05-15T00:00:00"/>
    <s v="2024037-11"/>
    <x v="3"/>
  </r>
  <r>
    <x v="567"/>
    <n v="2024037"/>
    <x v="37"/>
    <s v="Chickpea"/>
    <m/>
    <x v="4"/>
    <s v="Y"/>
    <x v="1"/>
    <n v="12"/>
    <n v="8"/>
    <x v="0"/>
    <m/>
    <m/>
    <m/>
    <n v="2"/>
    <m/>
    <m/>
    <m/>
    <m/>
    <m/>
    <n v="6"/>
    <n v="7"/>
    <x v="3"/>
    <n v="3"/>
    <m/>
    <m/>
    <x v="0"/>
    <n v="4"/>
    <x v="0"/>
    <m/>
    <m/>
    <n v="30"/>
    <x v="1"/>
    <s v="15/05/2024"/>
    <d v="2024-05-15T00:00:00"/>
    <s v="2024037-12"/>
    <x v="3"/>
  </r>
  <r>
    <x v="564"/>
    <n v="2024037"/>
    <x v="37"/>
    <s v="Chickpea"/>
    <m/>
    <x v="9"/>
    <s v="N"/>
    <x v="2"/>
    <n v="13"/>
    <n v="5"/>
    <x v="0"/>
    <m/>
    <m/>
    <m/>
    <n v="2"/>
    <m/>
    <m/>
    <m/>
    <m/>
    <m/>
    <n v="2"/>
    <n v="8"/>
    <x v="0"/>
    <n v="4"/>
    <m/>
    <n v="8"/>
    <x v="0"/>
    <n v="2"/>
    <x v="0"/>
    <m/>
    <m/>
    <n v="30"/>
    <x v="1"/>
    <s v="15/05/2024"/>
    <d v="2024-05-15T00:00:00"/>
    <s v="2024037-13"/>
    <x v="3"/>
  </r>
  <r>
    <x v="565"/>
    <n v="2024037"/>
    <x v="37"/>
    <s v="Chickpea"/>
    <m/>
    <x v="8"/>
    <s v="Y"/>
    <x v="2"/>
    <n v="14"/>
    <n v="6"/>
    <x v="0"/>
    <m/>
    <m/>
    <m/>
    <n v="2"/>
    <m/>
    <m/>
    <m/>
    <m/>
    <m/>
    <n v="3"/>
    <n v="8"/>
    <x v="1"/>
    <n v="4"/>
    <m/>
    <n v="7"/>
    <x v="0"/>
    <n v="1"/>
    <x v="0"/>
    <m/>
    <m/>
    <n v="30"/>
    <x v="1"/>
    <s v="15/05/2024"/>
    <d v="2024-05-15T00:00:00"/>
    <s v="2024037-14"/>
    <x v="3"/>
  </r>
  <r>
    <x v="566"/>
    <n v="2024037"/>
    <x v="37"/>
    <s v="Chickpea"/>
    <m/>
    <x v="3"/>
    <s v="N"/>
    <x v="2"/>
    <n v="15"/>
    <n v="7"/>
    <x v="0"/>
    <m/>
    <m/>
    <m/>
    <n v="2"/>
    <m/>
    <m/>
    <m/>
    <m/>
    <m/>
    <n v="5"/>
    <n v="8"/>
    <x v="2"/>
    <n v="4"/>
    <m/>
    <n v="6"/>
    <x v="0"/>
    <n v="3"/>
    <x v="0"/>
    <m/>
    <m/>
    <n v="30"/>
    <x v="1"/>
    <s v="15/05/2024"/>
    <d v="2024-05-15T00:00:00"/>
    <s v="2024037-15"/>
    <x v="3"/>
  </r>
  <r>
    <x v="567"/>
    <n v="2024037"/>
    <x v="37"/>
    <s v="Chickpea"/>
    <m/>
    <x v="4"/>
    <s v="Y"/>
    <x v="2"/>
    <n v="16"/>
    <n v="8"/>
    <x v="0"/>
    <m/>
    <m/>
    <m/>
    <n v="2"/>
    <m/>
    <m/>
    <m/>
    <m/>
    <m/>
    <n v="6"/>
    <n v="8"/>
    <x v="3"/>
    <n v="4"/>
    <m/>
    <n v="5"/>
    <x v="0"/>
    <n v="4"/>
    <x v="0"/>
    <m/>
    <m/>
    <n v="30"/>
    <x v="1"/>
    <s v="15/05/2024"/>
    <d v="2024-05-15T00:00:00"/>
    <s v="2024037-16"/>
    <x v="3"/>
  </r>
  <r>
    <x v="568"/>
    <n v="2024037"/>
    <x v="37"/>
    <s v="Chickpea"/>
    <m/>
    <x v="3"/>
    <s v="N"/>
    <x v="2"/>
    <n v="17"/>
    <n v="9"/>
    <x v="0"/>
    <m/>
    <m/>
    <m/>
    <n v="3"/>
    <m/>
    <m/>
    <m/>
    <m/>
    <m/>
    <n v="2"/>
    <n v="11"/>
    <x v="0"/>
    <n v="5"/>
    <m/>
    <n v="9"/>
    <x v="1"/>
    <n v="3"/>
    <x v="0"/>
    <m/>
    <m/>
    <n v="30"/>
    <x v="2"/>
    <s v="17/06/2024"/>
    <d v="2024-06-17T00:00:00"/>
    <s v="2024037-17"/>
    <x v="3"/>
  </r>
  <r>
    <x v="569"/>
    <n v="2024037"/>
    <x v="37"/>
    <s v="Chickpea"/>
    <m/>
    <x v="9"/>
    <s v="N"/>
    <x v="2"/>
    <n v="18"/>
    <n v="10"/>
    <x v="0"/>
    <m/>
    <m/>
    <m/>
    <n v="3"/>
    <m/>
    <m/>
    <m/>
    <m/>
    <m/>
    <n v="3"/>
    <n v="11"/>
    <x v="1"/>
    <n v="5"/>
    <m/>
    <n v="10"/>
    <x v="1"/>
    <n v="2"/>
    <x v="0"/>
    <m/>
    <m/>
    <n v="30"/>
    <x v="2"/>
    <s v="17/06/2024"/>
    <d v="2024-06-17T00:00:00"/>
    <s v="2024037-18"/>
    <x v="3"/>
  </r>
  <r>
    <x v="570"/>
    <n v="2024037"/>
    <x v="37"/>
    <s v="Chickpea"/>
    <m/>
    <x v="4"/>
    <s v="Y"/>
    <x v="2"/>
    <n v="19"/>
    <n v="11"/>
    <x v="0"/>
    <m/>
    <m/>
    <m/>
    <n v="3"/>
    <m/>
    <m/>
    <m/>
    <m/>
    <m/>
    <n v="5"/>
    <n v="11"/>
    <x v="2"/>
    <n v="5"/>
    <m/>
    <n v="11"/>
    <x v="1"/>
    <n v="4"/>
    <x v="0"/>
    <m/>
    <m/>
    <n v="30"/>
    <x v="2"/>
    <s v="17/06/2024"/>
    <d v="2024-06-17T00:00:00"/>
    <s v="2024037-19"/>
    <x v="3"/>
  </r>
  <r>
    <x v="571"/>
    <n v="2024037"/>
    <x v="37"/>
    <s v="Chickpea"/>
    <m/>
    <x v="8"/>
    <s v="Y"/>
    <x v="2"/>
    <n v="20"/>
    <n v="12"/>
    <x v="0"/>
    <m/>
    <m/>
    <m/>
    <n v="3"/>
    <m/>
    <m/>
    <m/>
    <m/>
    <m/>
    <n v="6"/>
    <n v="11"/>
    <x v="3"/>
    <n v="5"/>
    <m/>
    <n v="12"/>
    <x v="1"/>
    <n v="1"/>
    <x v="0"/>
    <m/>
    <m/>
    <n v="30"/>
    <x v="2"/>
    <s v="17/06/2024"/>
    <d v="2024-06-17T00:00:00"/>
    <s v="2024037-20"/>
    <x v="3"/>
  </r>
  <r>
    <x v="568"/>
    <n v="2024037"/>
    <x v="37"/>
    <s v="Chickpea"/>
    <m/>
    <x v="3"/>
    <s v="N"/>
    <x v="1"/>
    <n v="21"/>
    <n v="9"/>
    <x v="0"/>
    <m/>
    <m/>
    <m/>
    <n v="3"/>
    <m/>
    <m/>
    <m/>
    <m/>
    <m/>
    <n v="2"/>
    <n v="12"/>
    <x v="0"/>
    <n v="6"/>
    <m/>
    <m/>
    <x v="1"/>
    <n v="3"/>
    <x v="0"/>
    <m/>
    <m/>
    <n v="30"/>
    <x v="2"/>
    <s v="17/06/2024"/>
    <d v="2024-06-17T00:00:00"/>
    <s v="2024037-21"/>
    <x v="3"/>
  </r>
  <r>
    <x v="569"/>
    <n v="2024037"/>
    <x v="37"/>
    <s v="Chickpea"/>
    <m/>
    <x v="9"/>
    <s v="N"/>
    <x v="1"/>
    <n v="22"/>
    <n v="10"/>
    <x v="0"/>
    <m/>
    <m/>
    <m/>
    <n v="3"/>
    <m/>
    <m/>
    <m/>
    <m/>
    <m/>
    <n v="3"/>
    <n v="12"/>
    <x v="1"/>
    <n v="6"/>
    <m/>
    <m/>
    <x v="1"/>
    <n v="2"/>
    <x v="0"/>
    <m/>
    <m/>
    <n v="30"/>
    <x v="2"/>
    <s v="17/06/2024"/>
    <d v="2024-06-17T00:00:00"/>
    <s v="2024037-22"/>
    <x v="3"/>
  </r>
  <r>
    <x v="570"/>
    <n v="2024037"/>
    <x v="37"/>
    <s v="Chickpea"/>
    <m/>
    <x v="4"/>
    <s v="Y"/>
    <x v="1"/>
    <n v="23"/>
    <n v="11"/>
    <x v="0"/>
    <m/>
    <m/>
    <m/>
    <n v="3"/>
    <m/>
    <m/>
    <m/>
    <m/>
    <m/>
    <n v="5"/>
    <n v="12"/>
    <x v="2"/>
    <n v="6"/>
    <m/>
    <m/>
    <x v="1"/>
    <n v="4"/>
    <x v="0"/>
    <m/>
    <m/>
    <n v="30"/>
    <x v="2"/>
    <s v="17/06/2024"/>
    <d v="2024-06-17T00:00:00"/>
    <s v="2024037-23"/>
    <x v="3"/>
  </r>
  <r>
    <x v="571"/>
    <n v="2024037"/>
    <x v="37"/>
    <s v="Chickpea"/>
    <m/>
    <x v="8"/>
    <s v="Y"/>
    <x v="1"/>
    <n v="24"/>
    <n v="12"/>
    <x v="0"/>
    <m/>
    <m/>
    <m/>
    <n v="3"/>
    <m/>
    <m/>
    <m/>
    <m/>
    <m/>
    <n v="6"/>
    <n v="12"/>
    <x v="3"/>
    <n v="6"/>
    <m/>
    <m/>
    <x v="1"/>
    <n v="1"/>
    <x v="0"/>
    <m/>
    <m/>
    <n v="30"/>
    <x v="2"/>
    <s v="17/06/2024"/>
    <d v="2024-06-17T00:00:00"/>
    <s v="2024037-24"/>
    <x v="3"/>
  </r>
  <r>
    <x v="572"/>
    <n v="2024037"/>
    <x v="37"/>
    <s v="Chickpea"/>
    <m/>
    <x v="8"/>
    <s v="Y"/>
    <x v="1"/>
    <n v="25"/>
    <n v="13"/>
    <x v="0"/>
    <m/>
    <m/>
    <m/>
    <n v="4"/>
    <m/>
    <m/>
    <m/>
    <m/>
    <m/>
    <n v="2"/>
    <n v="15"/>
    <x v="0"/>
    <n v="7"/>
    <m/>
    <m/>
    <x v="1"/>
    <n v="1"/>
    <x v="0"/>
    <m/>
    <m/>
    <n v="30"/>
    <x v="1"/>
    <s v="15/05/2024"/>
    <d v="2024-05-15T00:00:00"/>
    <s v="2024037-25"/>
    <x v="3"/>
  </r>
  <r>
    <x v="573"/>
    <n v="2024037"/>
    <x v="37"/>
    <s v="Chickpea"/>
    <m/>
    <x v="4"/>
    <s v="Y"/>
    <x v="1"/>
    <n v="26"/>
    <n v="14"/>
    <x v="0"/>
    <m/>
    <m/>
    <m/>
    <n v="4"/>
    <m/>
    <m/>
    <m/>
    <m/>
    <m/>
    <n v="3"/>
    <n v="15"/>
    <x v="1"/>
    <n v="7"/>
    <m/>
    <m/>
    <x v="1"/>
    <n v="4"/>
    <x v="0"/>
    <m/>
    <m/>
    <n v="30"/>
    <x v="1"/>
    <s v="15/05/2024"/>
    <d v="2024-05-15T00:00:00"/>
    <s v="2024037-26"/>
    <x v="3"/>
  </r>
  <r>
    <x v="574"/>
    <n v="2024037"/>
    <x v="37"/>
    <s v="Chickpea"/>
    <m/>
    <x v="9"/>
    <s v="N"/>
    <x v="1"/>
    <n v="27"/>
    <n v="15"/>
    <x v="0"/>
    <m/>
    <m/>
    <m/>
    <n v="4"/>
    <m/>
    <m/>
    <m/>
    <m/>
    <m/>
    <n v="5"/>
    <n v="15"/>
    <x v="2"/>
    <n v="7"/>
    <m/>
    <m/>
    <x v="1"/>
    <n v="2"/>
    <x v="0"/>
    <m/>
    <m/>
    <n v="30"/>
    <x v="1"/>
    <s v="15/05/2024"/>
    <d v="2024-05-15T00:00:00"/>
    <s v="2024037-27"/>
    <x v="3"/>
  </r>
  <r>
    <x v="575"/>
    <n v="2024037"/>
    <x v="37"/>
    <s v="Chickpea"/>
    <m/>
    <x v="3"/>
    <s v="N"/>
    <x v="1"/>
    <n v="28"/>
    <n v="16"/>
    <x v="0"/>
    <m/>
    <m/>
    <m/>
    <n v="4"/>
    <m/>
    <m/>
    <m/>
    <m/>
    <m/>
    <n v="6"/>
    <n v="15"/>
    <x v="3"/>
    <n v="7"/>
    <m/>
    <m/>
    <x v="1"/>
    <n v="3"/>
    <x v="0"/>
    <m/>
    <m/>
    <n v="30"/>
    <x v="1"/>
    <s v="15/05/2024"/>
    <d v="2024-05-15T00:00:00"/>
    <s v="2024037-28"/>
    <x v="3"/>
  </r>
  <r>
    <x v="572"/>
    <n v="2024037"/>
    <x v="37"/>
    <s v="Chickpea"/>
    <m/>
    <x v="8"/>
    <s v="Y"/>
    <x v="2"/>
    <n v="29"/>
    <n v="13"/>
    <x v="0"/>
    <m/>
    <m/>
    <m/>
    <n v="4"/>
    <m/>
    <m/>
    <m/>
    <m/>
    <m/>
    <n v="2"/>
    <n v="16"/>
    <x v="0"/>
    <n v="8"/>
    <m/>
    <n v="16"/>
    <x v="1"/>
    <n v="1"/>
    <x v="0"/>
    <m/>
    <m/>
    <n v="30"/>
    <x v="1"/>
    <s v="15/05/2024"/>
    <d v="2024-05-15T00:00:00"/>
    <s v="2024037-29"/>
    <x v="3"/>
  </r>
  <r>
    <x v="573"/>
    <n v="2024037"/>
    <x v="37"/>
    <s v="Chickpea"/>
    <m/>
    <x v="4"/>
    <s v="Y"/>
    <x v="2"/>
    <n v="30"/>
    <n v="14"/>
    <x v="0"/>
    <m/>
    <m/>
    <m/>
    <n v="4"/>
    <m/>
    <m/>
    <m/>
    <m/>
    <m/>
    <n v="3"/>
    <n v="16"/>
    <x v="1"/>
    <n v="8"/>
    <m/>
    <n v="15"/>
    <x v="1"/>
    <n v="4"/>
    <x v="0"/>
    <m/>
    <m/>
    <n v="30"/>
    <x v="1"/>
    <s v="15/05/2024"/>
    <d v="2024-05-15T00:00:00"/>
    <s v="2024037-30"/>
    <x v="3"/>
  </r>
  <r>
    <x v="574"/>
    <n v="2024037"/>
    <x v="37"/>
    <s v="Chickpea"/>
    <m/>
    <x v="9"/>
    <s v="N"/>
    <x v="2"/>
    <n v="31"/>
    <n v="15"/>
    <x v="0"/>
    <m/>
    <m/>
    <m/>
    <n v="4"/>
    <m/>
    <m/>
    <m/>
    <m/>
    <m/>
    <n v="5"/>
    <n v="16"/>
    <x v="2"/>
    <n v="8"/>
    <m/>
    <n v="14"/>
    <x v="1"/>
    <n v="2"/>
    <x v="0"/>
    <m/>
    <m/>
    <n v="30"/>
    <x v="1"/>
    <s v="15/05/2024"/>
    <d v="2024-05-15T00:00:00"/>
    <s v="2024037-31"/>
    <x v="3"/>
  </r>
  <r>
    <x v="575"/>
    <n v="2024037"/>
    <x v="37"/>
    <s v="Chickpea"/>
    <m/>
    <x v="3"/>
    <s v="N"/>
    <x v="2"/>
    <n v="32"/>
    <n v="16"/>
    <x v="0"/>
    <m/>
    <m/>
    <m/>
    <n v="4"/>
    <m/>
    <m/>
    <m/>
    <m/>
    <m/>
    <n v="6"/>
    <n v="16"/>
    <x v="3"/>
    <n v="8"/>
    <m/>
    <n v="13"/>
    <x v="1"/>
    <n v="3"/>
    <x v="0"/>
    <m/>
    <m/>
    <n v="30"/>
    <x v="1"/>
    <s v="15/05/2024"/>
    <d v="2024-05-15T00:00:00"/>
    <s v="2024037-32"/>
    <x v="3"/>
  </r>
  <r>
    <x v="566"/>
    <n v="2024037"/>
    <x v="37"/>
    <s v="Chickpea"/>
    <m/>
    <x v="3"/>
    <s v="N"/>
    <x v="2"/>
    <n v="33"/>
    <n v="17"/>
    <x v="1"/>
    <m/>
    <m/>
    <m/>
    <n v="5"/>
    <m/>
    <m/>
    <m/>
    <m/>
    <m/>
    <n v="2"/>
    <n v="19"/>
    <x v="0"/>
    <n v="9"/>
    <m/>
    <n v="17"/>
    <x v="0"/>
    <n v="3"/>
    <x v="0"/>
    <m/>
    <m/>
    <n v="30"/>
    <x v="1"/>
    <s v="15/05/2024"/>
    <d v="2024-05-15T00:00:00"/>
    <s v="2024037-33"/>
    <x v="3"/>
  </r>
  <r>
    <x v="567"/>
    <n v="2024037"/>
    <x v="37"/>
    <s v="Chickpea"/>
    <m/>
    <x v="4"/>
    <s v="Y"/>
    <x v="2"/>
    <n v="34"/>
    <n v="18"/>
    <x v="1"/>
    <m/>
    <m/>
    <m/>
    <n v="5"/>
    <m/>
    <m/>
    <m/>
    <m/>
    <m/>
    <n v="3"/>
    <n v="19"/>
    <x v="1"/>
    <n v="9"/>
    <m/>
    <n v="18"/>
    <x v="0"/>
    <n v="4"/>
    <x v="0"/>
    <m/>
    <m/>
    <n v="30"/>
    <x v="1"/>
    <s v="15/05/2024"/>
    <d v="2024-05-15T00:00:00"/>
    <s v="2024037-34"/>
    <x v="3"/>
  </r>
  <r>
    <x v="564"/>
    <n v="2024037"/>
    <x v="37"/>
    <s v="Chickpea"/>
    <m/>
    <x v="9"/>
    <s v="N"/>
    <x v="2"/>
    <n v="35"/>
    <n v="19"/>
    <x v="1"/>
    <m/>
    <m/>
    <m/>
    <n v="5"/>
    <m/>
    <m/>
    <m/>
    <m/>
    <m/>
    <n v="5"/>
    <n v="19"/>
    <x v="2"/>
    <n v="9"/>
    <m/>
    <n v="19"/>
    <x v="0"/>
    <n v="2"/>
    <x v="0"/>
    <m/>
    <m/>
    <n v="30"/>
    <x v="1"/>
    <s v="15/05/2024"/>
    <d v="2024-05-15T00:00:00"/>
    <s v="2024037-35"/>
    <x v="3"/>
  </r>
  <r>
    <x v="565"/>
    <n v="2024037"/>
    <x v="37"/>
    <s v="Chickpea"/>
    <m/>
    <x v="8"/>
    <s v="Y"/>
    <x v="2"/>
    <n v="36"/>
    <n v="20"/>
    <x v="1"/>
    <m/>
    <m/>
    <m/>
    <n v="5"/>
    <m/>
    <m/>
    <m/>
    <m/>
    <m/>
    <n v="6"/>
    <n v="19"/>
    <x v="3"/>
    <n v="9"/>
    <m/>
    <n v="20"/>
    <x v="0"/>
    <n v="1"/>
    <x v="0"/>
    <m/>
    <m/>
    <n v="30"/>
    <x v="1"/>
    <s v="15/05/2024"/>
    <d v="2024-05-15T00:00:00"/>
    <s v="2024037-36"/>
    <x v="3"/>
  </r>
  <r>
    <x v="566"/>
    <n v="2024037"/>
    <x v="37"/>
    <s v="Chickpea"/>
    <m/>
    <x v="3"/>
    <s v="N"/>
    <x v="1"/>
    <n v="37"/>
    <n v="17"/>
    <x v="1"/>
    <m/>
    <m/>
    <m/>
    <n v="5"/>
    <m/>
    <m/>
    <m/>
    <m/>
    <m/>
    <n v="2"/>
    <n v="20"/>
    <x v="0"/>
    <n v="10"/>
    <m/>
    <m/>
    <x v="0"/>
    <n v="3"/>
    <x v="0"/>
    <m/>
    <m/>
    <n v="30"/>
    <x v="1"/>
    <s v="15/05/2024"/>
    <d v="2024-05-15T00:00:00"/>
    <s v="2024037-37"/>
    <x v="3"/>
  </r>
  <r>
    <x v="567"/>
    <n v="2024037"/>
    <x v="37"/>
    <s v="Chickpea"/>
    <m/>
    <x v="4"/>
    <s v="Y"/>
    <x v="1"/>
    <n v="38"/>
    <n v="18"/>
    <x v="1"/>
    <m/>
    <m/>
    <m/>
    <n v="5"/>
    <m/>
    <m/>
    <m/>
    <m/>
    <m/>
    <n v="3"/>
    <n v="20"/>
    <x v="1"/>
    <n v="10"/>
    <m/>
    <m/>
    <x v="0"/>
    <n v="4"/>
    <x v="0"/>
    <m/>
    <m/>
    <n v="30"/>
    <x v="1"/>
    <s v="15/05/2024"/>
    <d v="2024-05-15T00:00:00"/>
    <s v="2024037-38"/>
    <x v="3"/>
  </r>
  <r>
    <x v="564"/>
    <n v="2024037"/>
    <x v="37"/>
    <s v="Chickpea"/>
    <m/>
    <x v="9"/>
    <s v="N"/>
    <x v="1"/>
    <n v="39"/>
    <n v="19"/>
    <x v="1"/>
    <m/>
    <m/>
    <m/>
    <n v="5"/>
    <m/>
    <m/>
    <m/>
    <m/>
    <m/>
    <n v="5"/>
    <n v="20"/>
    <x v="2"/>
    <n v="10"/>
    <m/>
    <m/>
    <x v="0"/>
    <n v="2"/>
    <x v="0"/>
    <m/>
    <m/>
    <n v="30"/>
    <x v="1"/>
    <s v="15/05/2024"/>
    <d v="2024-05-15T00:00:00"/>
    <s v="2024037-39"/>
    <x v="3"/>
  </r>
  <r>
    <x v="565"/>
    <n v="2024037"/>
    <x v="37"/>
    <s v="Chickpea"/>
    <m/>
    <x v="8"/>
    <s v="Y"/>
    <x v="1"/>
    <n v="40"/>
    <n v="20"/>
    <x v="1"/>
    <m/>
    <m/>
    <m/>
    <n v="5"/>
    <m/>
    <m/>
    <m/>
    <m/>
    <m/>
    <n v="6"/>
    <n v="20"/>
    <x v="3"/>
    <n v="10"/>
    <m/>
    <m/>
    <x v="0"/>
    <n v="1"/>
    <x v="0"/>
    <m/>
    <m/>
    <n v="30"/>
    <x v="1"/>
    <s v="15/05/2024"/>
    <d v="2024-05-15T00:00:00"/>
    <s v="2024037-40"/>
    <x v="3"/>
  </r>
  <r>
    <x v="575"/>
    <n v="2024037"/>
    <x v="37"/>
    <s v="Chickpea"/>
    <m/>
    <x v="3"/>
    <s v="N"/>
    <x v="2"/>
    <n v="41"/>
    <n v="21"/>
    <x v="1"/>
    <m/>
    <m/>
    <m/>
    <n v="6"/>
    <m/>
    <m/>
    <m/>
    <m/>
    <m/>
    <n v="2"/>
    <n v="23"/>
    <x v="0"/>
    <n v="11"/>
    <m/>
    <n v="24"/>
    <x v="1"/>
    <n v="3"/>
    <x v="0"/>
    <m/>
    <m/>
    <n v="30"/>
    <x v="1"/>
    <s v="15/05/2024"/>
    <d v="2024-05-15T00:00:00"/>
    <s v="2024037-41"/>
    <x v="3"/>
  </r>
  <r>
    <x v="574"/>
    <n v="2024037"/>
    <x v="37"/>
    <s v="Chickpea"/>
    <m/>
    <x v="9"/>
    <s v="N"/>
    <x v="2"/>
    <n v="42"/>
    <n v="22"/>
    <x v="1"/>
    <m/>
    <m/>
    <m/>
    <n v="6"/>
    <m/>
    <m/>
    <m/>
    <m/>
    <m/>
    <n v="3"/>
    <n v="23"/>
    <x v="1"/>
    <n v="11"/>
    <m/>
    <n v="23"/>
    <x v="1"/>
    <n v="2"/>
    <x v="0"/>
    <m/>
    <m/>
    <n v="30"/>
    <x v="1"/>
    <s v="15/05/2024"/>
    <d v="2024-05-15T00:00:00"/>
    <s v="2024037-42"/>
    <x v="3"/>
  </r>
  <r>
    <x v="572"/>
    <n v="2024037"/>
    <x v="37"/>
    <s v="Chickpea"/>
    <m/>
    <x v="8"/>
    <s v="Y"/>
    <x v="2"/>
    <n v="43"/>
    <n v="23"/>
    <x v="1"/>
    <m/>
    <m/>
    <m/>
    <n v="6"/>
    <m/>
    <m/>
    <m/>
    <m/>
    <m/>
    <n v="5"/>
    <n v="23"/>
    <x v="2"/>
    <n v="11"/>
    <m/>
    <n v="22"/>
    <x v="1"/>
    <n v="1"/>
    <x v="0"/>
    <m/>
    <m/>
    <n v="30"/>
    <x v="1"/>
    <s v="15/05/2024"/>
    <d v="2024-05-15T00:00:00"/>
    <s v="2024037-43"/>
    <x v="3"/>
  </r>
  <r>
    <x v="573"/>
    <n v="2024037"/>
    <x v="37"/>
    <s v="Chickpea"/>
    <m/>
    <x v="4"/>
    <s v="Y"/>
    <x v="2"/>
    <n v="44"/>
    <n v="24"/>
    <x v="1"/>
    <m/>
    <m/>
    <m/>
    <n v="6"/>
    <m/>
    <m/>
    <m/>
    <m/>
    <m/>
    <n v="6"/>
    <n v="23"/>
    <x v="3"/>
    <n v="11"/>
    <m/>
    <n v="21"/>
    <x v="1"/>
    <n v="4"/>
    <x v="0"/>
    <m/>
    <m/>
    <n v="30"/>
    <x v="1"/>
    <s v="15/05/2024"/>
    <d v="2024-05-15T00:00:00"/>
    <s v="2024037-44"/>
    <x v="3"/>
  </r>
  <r>
    <x v="575"/>
    <n v="2024037"/>
    <x v="37"/>
    <s v="Chickpea"/>
    <m/>
    <x v="3"/>
    <s v="N"/>
    <x v="1"/>
    <n v="45"/>
    <n v="21"/>
    <x v="1"/>
    <m/>
    <m/>
    <m/>
    <n v="6"/>
    <m/>
    <m/>
    <m/>
    <m/>
    <m/>
    <n v="2"/>
    <n v="24"/>
    <x v="0"/>
    <n v="12"/>
    <m/>
    <m/>
    <x v="1"/>
    <n v="3"/>
    <x v="0"/>
    <m/>
    <m/>
    <n v="30"/>
    <x v="1"/>
    <s v="15/05/2024"/>
    <d v="2024-05-15T00:00:00"/>
    <s v="2024037-45"/>
    <x v="3"/>
  </r>
  <r>
    <x v="574"/>
    <n v="2024037"/>
    <x v="37"/>
    <s v="Chickpea"/>
    <m/>
    <x v="9"/>
    <s v="N"/>
    <x v="1"/>
    <n v="46"/>
    <n v="22"/>
    <x v="1"/>
    <m/>
    <m/>
    <m/>
    <n v="6"/>
    <m/>
    <m/>
    <m/>
    <m/>
    <m/>
    <n v="3"/>
    <n v="24"/>
    <x v="1"/>
    <n v="12"/>
    <m/>
    <m/>
    <x v="1"/>
    <n v="2"/>
    <x v="0"/>
    <m/>
    <m/>
    <n v="30"/>
    <x v="1"/>
    <s v="15/05/2024"/>
    <d v="2024-05-15T00:00:00"/>
    <s v="2024037-46"/>
    <x v="3"/>
  </r>
  <r>
    <x v="572"/>
    <n v="2024037"/>
    <x v="37"/>
    <s v="Chickpea"/>
    <m/>
    <x v="8"/>
    <s v="Y"/>
    <x v="1"/>
    <n v="47"/>
    <n v="23"/>
    <x v="1"/>
    <m/>
    <m/>
    <m/>
    <n v="6"/>
    <m/>
    <m/>
    <m/>
    <m/>
    <m/>
    <n v="5"/>
    <n v="24"/>
    <x v="2"/>
    <n v="12"/>
    <m/>
    <m/>
    <x v="1"/>
    <n v="1"/>
    <x v="0"/>
    <m/>
    <m/>
    <n v="30"/>
    <x v="1"/>
    <s v="15/05/2024"/>
    <d v="2024-05-15T00:00:00"/>
    <s v="2024037-47"/>
    <x v="3"/>
  </r>
  <r>
    <x v="573"/>
    <n v="2024037"/>
    <x v="37"/>
    <s v="Chickpea"/>
    <m/>
    <x v="4"/>
    <s v="Y"/>
    <x v="1"/>
    <n v="48"/>
    <n v="24"/>
    <x v="1"/>
    <m/>
    <m/>
    <m/>
    <n v="6"/>
    <m/>
    <m/>
    <m/>
    <m/>
    <m/>
    <n v="6"/>
    <n v="24"/>
    <x v="3"/>
    <n v="12"/>
    <m/>
    <m/>
    <x v="1"/>
    <n v="4"/>
    <x v="0"/>
    <m/>
    <m/>
    <n v="30"/>
    <x v="1"/>
    <s v="15/05/2024"/>
    <d v="2024-05-15T00:00:00"/>
    <s v="2024037-48"/>
    <x v="3"/>
  </r>
  <r>
    <x v="562"/>
    <n v="2024037"/>
    <x v="37"/>
    <s v="Chickpea"/>
    <m/>
    <x v="8"/>
    <s v="Y"/>
    <x v="2"/>
    <n v="49"/>
    <n v="25"/>
    <x v="1"/>
    <m/>
    <m/>
    <m/>
    <n v="7"/>
    <m/>
    <m/>
    <m/>
    <m/>
    <m/>
    <n v="2"/>
    <n v="27"/>
    <x v="0"/>
    <n v="13"/>
    <m/>
    <n v="25"/>
    <x v="0"/>
    <n v="1"/>
    <x v="0"/>
    <m/>
    <m/>
    <n v="30"/>
    <x v="2"/>
    <s v="17/06/2024"/>
    <d v="2024-06-17T00:00:00"/>
    <s v="2024037-49"/>
    <x v="3"/>
  </r>
  <r>
    <x v="563"/>
    <n v="2024037"/>
    <x v="37"/>
    <s v="Chickpea"/>
    <m/>
    <x v="9"/>
    <s v="N"/>
    <x v="2"/>
    <n v="50"/>
    <n v="26"/>
    <x v="1"/>
    <m/>
    <m/>
    <m/>
    <n v="7"/>
    <m/>
    <m/>
    <m/>
    <m/>
    <m/>
    <n v="3"/>
    <n v="27"/>
    <x v="1"/>
    <n v="13"/>
    <m/>
    <n v="26"/>
    <x v="0"/>
    <n v="2"/>
    <x v="0"/>
    <m/>
    <m/>
    <n v="30"/>
    <x v="2"/>
    <s v="17/06/2024"/>
    <d v="2024-06-17T00:00:00"/>
    <s v="2024037-50"/>
    <x v="3"/>
  </r>
  <r>
    <x v="561"/>
    <n v="2024037"/>
    <x v="37"/>
    <s v="Chickpea"/>
    <m/>
    <x v="3"/>
    <s v="N"/>
    <x v="2"/>
    <n v="51"/>
    <n v="27"/>
    <x v="1"/>
    <m/>
    <m/>
    <m/>
    <n v="7"/>
    <m/>
    <m/>
    <m/>
    <m/>
    <m/>
    <n v="5"/>
    <n v="27"/>
    <x v="2"/>
    <n v="13"/>
    <m/>
    <n v="27"/>
    <x v="0"/>
    <n v="3"/>
    <x v="0"/>
    <m/>
    <m/>
    <n v="30"/>
    <x v="2"/>
    <s v="17/06/2024"/>
    <d v="2024-06-17T00:00:00"/>
    <s v="2024037-51"/>
    <x v="3"/>
  </r>
  <r>
    <x v="560"/>
    <n v="2024037"/>
    <x v="37"/>
    <s v="Chickpea"/>
    <m/>
    <x v="4"/>
    <s v="Y"/>
    <x v="2"/>
    <n v="52"/>
    <n v="28"/>
    <x v="1"/>
    <m/>
    <m/>
    <m/>
    <n v="7"/>
    <m/>
    <m/>
    <m/>
    <m/>
    <m/>
    <n v="6"/>
    <n v="27"/>
    <x v="3"/>
    <n v="13"/>
    <m/>
    <n v="28"/>
    <x v="0"/>
    <n v="4"/>
    <x v="0"/>
    <m/>
    <m/>
    <n v="30"/>
    <x v="2"/>
    <s v="17/06/2024"/>
    <d v="2024-06-17T00:00:00"/>
    <s v="2024037-52"/>
    <x v="3"/>
  </r>
  <r>
    <x v="562"/>
    <n v="2024037"/>
    <x v="37"/>
    <s v="Chickpea"/>
    <m/>
    <x v="8"/>
    <s v="Y"/>
    <x v="1"/>
    <n v="53"/>
    <n v="25"/>
    <x v="1"/>
    <m/>
    <m/>
    <m/>
    <n v="7"/>
    <m/>
    <m/>
    <m/>
    <m/>
    <m/>
    <n v="2"/>
    <n v="28"/>
    <x v="0"/>
    <n v="14"/>
    <m/>
    <m/>
    <x v="0"/>
    <n v="1"/>
    <x v="0"/>
    <m/>
    <m/>
    <n v="30"/>
    <x v="2"/>
    <s v="17/06/2024"/>
    <d v="2024-06-17T00:00:00"/>
    <s v="2024037-53"/>
    <x v="3"/>
  </r>
  <r>
    <x v="563"/>
    <n v="2024037"/>
    <x v="37"/>
    <s v="Chickpea"/>
    <m/>
    <x v="9"/>
    <s v="N"/>
    <x v="1"/>
    <n v="54"/>
    <n v="26"/>
    <x v="1"/>
    <m/>
    <m/>
    <m/>
    <n v="7"/>
    <m/>
    <m/>
    <m/>
    <m/>
    <m/>
    <n v="3"/>
    <n v="28"/>
    <x v="1"/>
    <n v="14"/>
    <m/>
    <m/>
    <x v="0"/>
    <n v="2"/>
    <x v="0"/>
    <m/>
    <m/>
    <n v="30"/>
    <x v="2"/>
    <s v="17/06/2024"/>
    <d v="2024-06-17T00:00:00"/>
    <s v="2024037-54"/>
    <x v="3"/>
  </r>
  <r>
    <x v="561"/>
    <n v="2024037"/>
    <x v="37"/>
    <s v="Chickpea"/>
    <m/>
    <x v="3"/>
    <s v="N"/>
    <x v="1"/>
    <n v="55"/>
    <n v="27"/>
    <x v="1"/>
    <m/>
    <m/>
    <m/>
    <n v="7"/>
    <m/>
    <m/>
    <m/>
    <m/>
    <m/>
    <n v="5"/>
    <n v="28"/>
    <x v="2"/>
    <n v="14"/>
    <m/>
    <m/>
    <x v="0"/>
    <n v="3"/>
    <x v="0"/>
    <m/>
    <m/>
    <n v="30"/>
    <x v="2"/>
    <s v="17/06/2024"/>
    <d v="2024-06-17T00:00:00"/>
    <s v="2024037-55"/>
    <x v="3"/>
  </r>
  <r>
    <x v="560"/>
    <n v="2024037"/>
    <x v="37"/>
    <s v="Chickpea"/>
    <m/>
    <x v="4"/>
    <s v="Y"/>
    <x v="1"/>
    <n v="56"/>
    <n v="28"/>
    <x v="1"/>
    <m/>
    <m/>
    <m/>
    <n v="7"/>
    <m/>
    <m/>
    <m/>
    <m/>
    <m/>
    <n v="6"/>
    <n v="28"/>
    <x v="3"/>
    <n v="14"/>
    <m/>
    <m/>
    <x v="0"/>
    <n v="4"/>
    <x v="0"/>
    <m/>
    <m/>
    <n v="30"/>
    <x v="2"/>
    <s v="17/06/2024"/>
    <d v="2024-06-17T00:00:00"/>
    <s v="2024037-56"/>
    <x v="3"/>
  </r>
  <r>
    <x v="569"/>
    <n v="2024037"/>
    <x v="37"/>
    <s v="Chickpea"/>
    <m/>
    <x v="9"/>
    <s v="N"/>
    <x v="2"/>
    <n v="57"/>
    <n v="29"/>
    <x v="1"/>
    <m/>
    <m/>
    <m/>
    <n v="8"/>
    <m/>
    <m/>
    <m/>
    <m/>
    <m/>
    <n v="2"/>
    <n v="31"/>
    <x v="0"/>
    <n v="15"/>
    <m/>
    <n v="32"/>
    <x v="1"/>
    <n v="2"/>
    <x v="0"/>
    <m/>
    <m/>
    <n v="30"/>
    <x v="2"/>
    <s v="17/06/2024"/>
    <d v="2024-06-17T00:00:00"/>
    <s v="2024037-57"/>
    <x v="3"/>
  </r>
  <r>
    <x v="571"/>
    <n v="2024037"/>
    <x v="37"/>
    <s v="Chickpea"/>
    <m/>
    <x v="8"/>
    <s v="Y"/>
    <x v="2"/>
    <n v="58"/>
    <n v="30"/>
    <x v="1"/>
    <m/>
    <m/>
    <m/>
    <n v="8"/>
    <m/>
    <m/>
    <m/>
    <m/>
    <m/>
    <n v="3"/>
    <n v="31"/>
    <x v="1"/>
    <n v="15"/>
    <m/>
    <n v="31"/>
    <x v="1"/>
    <n v="1"/>
    <x v="0"/>
    <m/>
    <m/>
    <n v="30"/>
    <x v="2"/>
    <s v="17/06/2024"/>
    <d v="2024-06-17T00:00:00"/>
    <s v="2024037-58"/>
    <x v="3"/>
  </r>
  <r>
    <x v="570"/>
    <n v="2024037"/>
    <x v="37"/>
    <s v="Chickpea"/>
    <m/>
    <x v="4"/>
    <s v="Y"/>
    <x v="2"/>
    <n v="59"/>
    <n v="31"/>
    <x v="1"/>
    <m/>
    <m/>
    <m/>
    <n v="8"/>
    <m/>
    <m/>
    <m/>
    <m/>
    <m/>
    <n v="5"/>
    <n v="31"/>
    <x v="2"/>
    <n v="15"/>
    <m/>
    <n v="30"/>
    <x v="1"/>
    <n v="4"/>
    <x v="0"/>
    <m/>
    <m/>
    <n v="30"/>
    <x v="2"/>
    <s v="17/06/2024"/>
    <d v="2024-06-17T00:00:00"/>
    <s v="2024037-59"/>
    <x v="3"/>
  </r>
  <r>
    <x v="568"/>
    <n v="2024037"/>
    <x v="37"/>
    <s v="Chickpea"/>
    <m/>
    <x v="3"/>
    <s v="N"/>
    <x v="2"/>
    <n v="60"/>
    <n v="32"/>
    <x v="1"/>
    <m/>
    <m/>
    <m/>
    <n v="8"/>
    <m/>
    <m/>
    <m/>
    <m/>
    <m/>
    <n v="6"/>
    <n v="31"/>
    <x v="3"/>
    <n v="15"/>
    <m/>
    <n v="29"/>
    <x v="1"/>
    <n v="3"/>
    <x v="0"/>
    <m/>
    <m/>
    <n v="30"/>
    <x v="2"/>
    <s v="17/06/2024"/>
    <d v="2024-06-17T00:00:00"/>
    <s v="2024037-60"/>
    <x v="3"/>
  </r>
  <r>
    <x v="569"/>
    <n v="2024037"/>
    <x v="37"/>
    <s v="Chickpea"/>
    <m/>
    <x v="9"/>
    <s v="N"/>
    <x v="1"/>
    <n v="61"/>
    <n v="29"/>
    <x v="1"/>
    <m/>
    <m/>
    <m/>
    <n v="8"/>
    <m/>
    <m/>
    <m/>
    <m/>
    <m/>
    <n v="2"/>
    <n v="32"/>
    <x v="0"/>
    <n v="16"/>
    <m/>
    <m/>
    <x v="1"/>
    <n v="2"/>
    <x v="0"/>
    <m/>
    <m/>
    <n v="30"/>
    <x v="2"/>
    <s v="17/06/2024"/>
    <d v="2024-06-17T00:00:00"/>
    <s v="2024037-61"/>
    <x v="3"/>
  </r>
  <r>
    <x v="571"/>
    <n v="2024037"/>
    <x v="37"/>
    <s v="Chickpea"/>
    <m/>
    <x v="8"/>
    <s v="Y"/>
    <x v="1"/>
    <n v="62"/>
    <n v="30"/>
    <x v="1"/>
    <m/>
    <m/>
    <m/>
    <n v="8"/>
    <m/>
    <m/>
    <m/>
    <m/>
    <m/>
    <n v="3"/>
    <n v="32"/>
    <x v="1"/>
    <n v="16"/>
    <m/>
    <m/>
    <x v="1"/>
    <n v="1"/>
    <x v="0"/>
    <m/>
    <m/>
    <n v="30"/>
    <x v="2"/>
    <s v="17/06/2024"/>
    <d v="2024-06-17T00:00:00"/>
    <s v="2024037-62"/>
    <x v="3"/>
  </r>
  <r>
    <x v="570"/>
    <n v="2024037"/>
    <x v="37"/>
    <s v="Chickpea"/>
    <m/>
    <x v="4"/>
    <s v="Y"/>
    <x v="1"/>
    <n v="63"/>
    <n v="31"/>
    <x v="1"/>
    <m/>
    <m/>
    <m/>
    <n v="8"/>
    <m/>
    <m/>
    <m/>
    <m/>
    <m/>
    <n v="5"/>
    <n v="32"/>
    <x v="2"/>
    <n v="16"/>
    <m/>
    <m/>
    <x v="1"/>
    <n v="4"/>
    <x v="0"/>
    <m/>
    <m/>
    <n v="30"/>
    <x v="2"/>
    <s v="17/06/2024"/>
    <d v="2024-06-17T00:00:00"/>
    <s v="2024037-63"/>
    <x v="3"/>
  </r>
  <r>
    <x v="568"/>
    <n v="2024037"/>
    <x v="37"/>
    <s v="Chickpea"/>
    <m/>
    <x v="3"/>
    <s v="N"/>
    <x v="1"/>
    <n v="64"/>
    <n v="32"/>
    <x v="1"/>
    <m/>
    <m/>
    <m/>
    <n v="8"/>
    <m/>
    <m/>
    <m/>
    <m/>
    <m/>
    <n v="6"/>
    <n v="32"/>
    <x v="3"/>
    <n v="16"/>
    <m/>
    <m/>
    <x v="1"/>
    <n v="3"/>
    <x v="0"/>
    <m/>
    <m/>
    <n v="30"/>
    <x v="2"/>
    <s v="17/06/2024"/>
    <d v="2024-06-17T00:00:00"/>
    <s v="2024037-64"/>
    <x v="3"/>
  </r>
  <r>
    <x v="573"/>
    <n v="2024037"/>
    <x v="37"/>
    <s v="Chickpea"/>
    <m/>
    <x v="4"/>
    <s v="Y"/>
    <x v="2"/>
    <n v="65"/>
    <n v="33"/>
    <x v="2"/>
    <m/>
    <m/>
    <m/>
    <n v="9"/>
    <m/>
    <m/>
    <m/>
    <m/>
    <m/>
    <n v="2"/>
    <n v="35"/>
    <x v="0"/>
    <n v="17"/>
    <m/>
    <n v="33"/>
    <x v="1"/>
    <n v="4"/>
    <x v="0"/>
    <m/>
    <m/>
    <n v="30"/>
    <x v="1"/>
    <s v="15/05/2024"/>
    <d v="2024-05-15T00:00:00"/>
    <s v="2024037-65"/>
    <x v="3"/>
  </r>
  <r>
    <x v="574"/>
    <n v="2024037"/>
    <x v="37"/>
    <s v="Chickpea"/>
    <m/>
    <x v="9"/>
    <s v="N"/>
    <x v="2"/>
    <n v="66"/>
    <n v="34"/>
    <x v="2"/>
    <m/>
    <m/>
    <m/>
    <n v="9"/>
    <m/>
    <m/>
    <m/>
    <m/>
    <m/>
    <n v="3"/>
    <n v="35"/>
    <x v="1"/>
    <n v="17"/>
    <m/>
    <n v="34"/>
    <x v="1"/>
    <n v="2"/>
    <x v="0"/>
    <m/>
    <m/>
    <n v="30"/>
    <x v="1"/>
    <s v="15/05/2024"/>
    <d v="2024-05-15T00:00:00"/>
    <s v="2024037-66"/>
    <x v="3"/>
  </r>
  <r>
    <x v="575"/>
    <n v="2024037"/>
    <x v="37"/>
    <s v="Chickpea"/>
    <m/>
    <x v="3"/>
    <s v="N"/>
    <x v="2"/>
    <n v="67"/>
    <n v="35"/>
    <x v="2"/>
    <m/>
    <m/>
    <m/>
    <n v="9"/>
    <m/>
    <m/>
    <m/>
    <m/>
    <m/>
    <n v="5"/>
    <n v="35"/>
    <x v="2"/>
    <n v="17"/>
    <m/>
    <n v="35"/>
    <x v="1"/>
    <n v="3"/>
    <x v="0"/>
    <m/>
    <m/>
    <n v="30"/>
    <x v="1"/>
    <s v="15/05/2024"/>
    <d v="2024-05-15T00:00:00"/>
    <s v="2024037-67"/>
    <x v="3"/>
  </r>
  <r>
    <x v="572"/>
    <n v="2024037"/>
    <x v="37"/>
    <s v="Chickpea"/>
    <m/>
    <x v="8"/>
    <s v="Y"/>
    <x v="2"/>
    <n v="68"/>
    <n v="36"/>
    <x v="2"/>
    <m/>
    <m/>
    <m/>
    <n v="9"/>
    <m/>
    <m/>
    <m/>
    <m/>
    <m/>
    <n v="6"/>
    <n v="35"/>
    <x v="3"/>
    <n v="17"/>
    <m/>
    <n v="36"/>
    <x v="1"/>
    <n v="1"/>
    <x v="0"/>
    <m/>
    <m/>
    <n v="30"/>
    <x v="1"/>
    <s v="15/05/2024"/>
    <d v="2024-05-15T00:00:00"/>
    <s v="2024037-68"/>
    <x v="3"/>
  </r>
  <r>
    <x v="573"/>
    <n v="2024037"/>
    <x v="37"/>
    <s v="Chickpea"/>
    <m/>
    <x v="4"/>
    <s v="Y"/>
    <x v="1"/>
    <n v="69"/>
    <n v="33"/>
    <x v="2"/>
    <m/>
    <m/>
    <m/>
    <n v="9"/>
    <m/>
    <m/>
    <m/>
    <m/>
    <m/>
    <n v="2"/>
    <n v="36"/>
    <x v="0"/>
    <n v="18"/>
    <m/>
    <m/>
    <x v="1"/>
    <n v="4"/>
    <x v="0"/>
    <m/>
    <m/>
    <n v="30"/>
    <x v="1"/>
    <s v="15/05/2024"/>
    <d v="2024-05-15T00:00:00"/>
    <s v="2024037-69"/>
    <x v="3"/>
  </r>
  <r>
    <x v="574"/>
    <n v="2024037"/>
    <x v="37"/>
    <s v="Chickpea"/>
    <m/>
    <x v="9"/>
    <s v="N"/>
    <x v="1"/>
    <n v="70"/>
    <n v="34"/>
    <x v="2"/>
    <m/>
    <m/>
    <m/>
    <n v="9"/>
    <m/>
    <m/>
    <m/>
    <m/>
    <m/>
    <n v="3"/>
    <n v="36"/>
    <x v="1"/>
    <n v="18"/>
    <m/>
    <m/>
    <x v="1"/>
    <n v="2"/>
    <x v="0"/>
    <m/>
    <m/>
    <n v="30"/>
    <x v="1"/>
    <s v="15/05/2024"/>
    <d v="2024-05-15T00:00:00"/>
    <s v="2024037-70"/>
    <x v="3"/>
  </r>
  <r>
    <x v="575"/>
    <n v="2024037"/>
    <x v="37"/>
    <s v="Chickpea"/>
    <m/>
    <x v="3"/>
    <s v="N"/>
    <x v="1"/>
    <n v="71"/>
    <n v="35"/>
    <x v="2"/>
    <m/>
    <m/>
    <m/>
    <n v="9"/>
    <m/>
    <m/>
    <m/>
    <m/>
    <m/>
    <n v="5"/>
    <n v="36"/>
    <x v="2"/>
    <n v="18"/>
    <m/>
    <m/>
    <x v="1"/>
    <n v="3"/>
    <x v="0"/>
    <m/>
    <m/>
    <n v="30"/>
    <x v="1"/>
    <s v="15/05/2024"/>
    <d v="2024-05-15T00:00:00"/>
    <s v="2024037-71"/>
    <x v="3"/>
  </r>
  <r>
    <x v="572"/>
    <n v="2024037"/>
    <x v="37"/>
    <s v="Chickpea"/>
    <m/>
    <x v="8"/>
    <s v="Y"/>
    <x v="1"/>
    <n v="72"/>
    <n v="36"/>
    <x v="2"/>
    <m/>
    <m/>
    <m/>
    <n v="9"/>
    <m/>
    <m/>
    <m/>
    <m/>
    <m/>
    <n v="6"/>
    <n v="36"/>
    <x v="3"/>
    <n v="18"/>
    <m/>
    <m/>
    <x v="1"/>
    <n v="1"/>
    <x v="0"/>
    <m/>
    <m/>
    <n v="30"/>
    <x v="1"/>
    <s v="15/05/2024"/>
    <d v="2024-05-15T00:00:00"/>
    <s v="2024037-72"/>
    <x v="3"/>
  </r>
  <r>
    <x v="568"/>
    <n v="2024037"/>
    <x v="37"/>
    <s v="Chickpea"/>
    <m/>
    <x v="3"/>
    <s v="N"/>
    <x v="1"/>
    <n v="73"/>
    <n v="37"/>
    <x v="2"/>
    <m/>
    <m/>
    <m/>
    <n v="10"/>
    <m/>
    <m/>
    <m/>
    <m/>
    <m/>
    <n v="2"/>
    <n v="39"/>
    <x v="0"/>
    <n v="19"/>
    <m/>
    <m/>
    <x v="1"/>
    <n v="3"/>
    <x v="0"/>
    <m/>
    <m/>
    <n v="30"/>
    <x v="2"/>
    <s v="17/06/2024"/>
    <d v="2024-06-17T00:00:00"/>
    <s v="2024037-73"/>
    <x v="3"/>
  </r>
  <r>
    <x v="570"/>
    <n v="2024037"/>
    <x v="37"/>
    <s v="Chickpea"/>
    <m/>
    <x v="4"/>
    <s v="Y"/>
    <x v="1"/>
    <n v="74"/>
    <n v="38"/>
    <x v="2"/>
    <m/>
    <m/>
    <m/>
    <n v="10"/>
    <m/>
    <m/>
    <m/>
    <m/>
    <m/>
    <n v="3"/>
    <n v="39"/>
    <x v="1"/>
    <n v="19"/>
    <m/>
    <m/>
    <x v="1"/>
    <n v="4"/>
    <x v="0"/>
    <m/>
    <m/>
    <n v="30"/>
    <x v="2"/>
    <s v="17/06/2024"/>
    <d v="2024-06-17T00:00:00"/>
    <s v="2024037-74"/>
    <x v="3"/>
  </r>
  <r>
    <x v="571"/>
    <n v="2024037"/>
    <x v="37"/>
    <s v="Chickpea"/>
    <m/>
    <x v="8"/>
    <s v="Y"/>
    <x v="1"/>
    <n v="75"/>
    <n v="39"/>
    <x v="2"/>
    <m/>
    <m/>
    <m/>
    <n v="10"/>
    <m/>
    <m/>
    <m/>
    <m/>
    <m/>
    <n v="5"/>
    <n v="39"/>
    <x v="2"/>
    <n v="19"/>
    <m/>
    <m/>
    <x v="1"/>
    <n v="1"/>
    <x v="0"/>
    <m/>
    <m/>
    <n v="30"/>
    <x v="2"/>
    <s v="17/06/2024"/>
    <d v="2024-06-17T00:00:00"/>
    <s v="2024037-75"/>
    <x v="3"/>
  </r>
  <r>
    <x v="569"/>
    <n v="2024037"/>
    <x v="37"/>
    <s v="Chickpea"/>
    <m/>
    <x v="9"/>
    <s v="N"/>
    <x v="1"/>
    <n v="76"/>
    <n v="40"/>
    <x v="2"/>
    <m/>
    <m/>
    <m/>
    <n v="10"/>
    <m/>
    <m/>
    <m/>
    <m/>
    <m/>
    <n v="6"/>
    <n v="39"/>
    <x v="3"/>
    <n v="19"/>
    <m/>
    <m/>
    <x v="1"/>
    <n v="2"/>
    <x v="0"/>
    <m/>
    <m/>
    <n v="30"/>
    <x v="2"/>
    <s v="17/06/2024"/>
    <d v="2024-06-17T00:00:00"/>
    <s v="2024037-76"/>
    <x v="3"/>
  </r>
  <r>
    <x v="568"/>
    <n v="2024037"/>
    <x v="37"/>
    <s v="Chickpea"/>
    <m/>
    <x v="3"/>
    <s v="N"/>
    <x v="2"/>
    <n v="77"/>
    <n v="37"/>
    <x v="2"/>
    <m/>
    <m/>
    <m/>
    <n v="10"/>
    <m/>
    <m/>
    <m/>
    <m/>
    <m/>
    <n v="2"/>
    <n v="40"/>
    <x v="0"/>
    <n v="20"/>
    <m/>
    <n v="40"/>
    <x v="1"/>
    <n v="3"/>
    <x v="0"/>
    <m/>
    <m/>
    <n v="30"/>
    <x v="2"/>
    <s v="17/06/2024"/>
    <d v="2024-06-17T00:00:00"/>
    <s v="2024037-77"/>
    <x v="3"/>
  </r>
  <r>
    <x v="570"/>
    <n v="2024037"/>
    <x v="37"/>
    <s v="Chickpea"/>
    <m/>
    <x v="4"/>
    <s v="Y"/>
    <x v="2"/>
    <n v="78"/>
    <n v="38"/>
    <x v="2"/>
    <m/>
    <m/>
    <m/>
    <n v="10"/>
    <m/>
    <m/>
    <m/>
    <m/>
    <m/>
    <n v="3"/>
    <n v="40"/>
    <x v="1"/>
    <n v="20"/>
    <m/>
    <n v="39"/>
    <x v="1"/>
    <n v="4"/>
    <x v="0"/>
    <m/>
    <m/>
    <n v="30"/>
    <x v="2"/>
    <s v="17/06/2024"/>
    <d v="2024-06-17T00:00:00"/>
    <s v="2024037-78"/>
    <x v="3"/>
  </r>
  <r>
    <x v="571"/>
    <n v="2024037"/>
    <x v="37"/>
    <s v="Chickpea"/>
    <m/>
    <x v="8"/>
    <s v="Y"/>
    <x v="2"/>
    <n v="79"/>
    <n v="39"/>
    <x v="2"/>
    <m/>
    <m/>
    <m/>
    <n v="10"/>
    <m/>
    <m/>
    <m/>
    <m/>
    <m/>
    <n v="5"/>
    <n v="40"/>
    <x v="2"/>
    <n v="20"/>
    <m/>
    <n v="38"/>
    <x v="1"/>
    <n v="1"/>
    <x v="0"/>
    <m/>
    <m/>
    <n v="30"/>
    <x v="2"/>
    <s v="17/06/2024"/>
    <d v="2024-06-17T00:00:00"/>
    <s v="2024037-79"/>
    <x v="3"/>
  </r>
  <r>
    <x v="569"/>
    <n v="2024037"/>
    <x v="37"/>
    <s v="Chickpea"/>
    <m/>
    <x v="9"/>
    <s v="N"/>
    <x v="2"/>
    <n v="80"/>
    <n v="40"/>
    <x v="2"/>
    <m/>
    <m/>
    <m/>
    <n v="10"/>
    <m/>
    <m/>
    <m/>
    <m/>
    <m/>
    <n v="6"/>
    <n v="40"/>
    <x v="3"/>
    <n v="20"/>
    <m/>
    <n v="37"/>
    <x v="1"/>
    <n v="2"/>
    <x v="0"/>
    <m/>
    <m/>
    <n v="30"/>
    <x v="2"/>
    <s v="17/06/2024"/>
    <d v="2024-06-17T00:00:00"/>
    <s v="2024037-80"/>
    <x v="3"/>
  </r>
  <r>
    <x v="565"/>
    <n v="2024037"/>
    <x v="37"/>
    <s v="Chickpea"/>
    <m/>
    <x v="8"/>
    <s v="Y"/>
    <x v="2"/>
    <n v="81"/>
    <n v="41"/>
    <x v="2"/>
    <m/>
    <m/>
    <m/>
    <n v="11"/>
    <m/>
    <m/>
    <m/>
    <m/>
    <m/>
    <n v="2"/>
    <n v="43"/>
    <x v="0"/>
    <n v="21"/>
    <m/>
    <n v="41"/>
    <x v="0"/>
    <n v="1"/>
    <x v="0"/>
    <m/>
    <m/>
    <n v="30"/>
    <x v="1"/>
    <s v="15/05/2024"/>
    <d v="2024-05-15T00:00:00"/>
    <s v="2024037-81"/>
    <x v="3"/>
  </r>
  <r>
    <x v="566"/>
    <n v="2024037"/>
    <x v="37"/>
    <s v="Chickpea"/>
    <m/>
    <x v="3"/>
    <s v="N"/>
    <x v="2"/>
    <n v="82"/>
    <n v="42"/>
    <x v="2"/>
    <m/>
    <m/>
    <m/>
    <n v="11"/>
    <m/>
    <m/>
    <m/>
    <m/>
    <m/>
    <n v="3"/>
    <n v="43"/>
    <x v="1"/>
    <n v="21"/>
    <m/>
    <n v="42"/>
    <x v="0"/>
    <n v="3"/>
    <x v="0"/>
    <m/>
    <m/>
    <n v="30"/>
    <x v="1"/>
    <s v="15/05/2024"/>
    <d v="2024-05-15T00:00:00"/>
    <s v="2024037-82"/>
    <x v="3"/>
  </r>
  <r>
    <x v="567"/>
    <n v="2024037"/>
    <x v="37"/>
    <s v="Chickpea"/>
    <m/>
    <x v="4"/>
    <s v="Y"/>
    <x v="2"/>
    <n v="83"/>
    <n v="43"/>
    <x v="2"/>
    <m/>
    <m/>
    <m/>
    <n v="11"/>
    <m/>
    <m/>
    <m/>
    <m/>
    <m/>
    <n v="5"/>
    <n v="43"/>
    <x v="2"/>
    <n v="21"/>
    <m/>
    <n v="43"/>
    <x v="0"/>
    <n v="4"/>
    <x v="0"/>
    <m/>
    <m/>
    <n v="30"/>
    <x v="1"/>
    <s v="15/05/2024"/>
    <d v="2024-05-15T00:00:00"/>
    <s v="2024037-83"/>
    <x v="3"/>
  </r>
  <r>
    <x v="564"/>
    <n v="2024037"/>
    <x v="37"/>
    <s v="Chickpea"/>
    <m/>
    <x v="9"/>
    <s v="N"/>
    <x v="2"/>
    <n v="84"/>
    <n v="44"/>
    <x v="2"/>
    <m/>
    <m/>
    <m/>
    <n v="11"/>
    <m/>
    <m/>
    <m/>
    <m/>
    <m/>
    <n v="6"/>
    <n v="43"/>
    <x v="3"/>
    <n v="21"/>
    <m/>
    <n v="44"/>
    <x v="0"/>
    <n v="2"/>
    <x v="0"/>
    <m/>
    <m/>
    <n v="30"/>
    <x v="1"/>
    <s v="15/05/2024"/>
    <d v="2024-05-15T00:00:00"/>
    <s v="2024037-84"/>
    <x v="3"/>
  </r>
  <r>
    <x v="565"/>
    <n v="2024037"/>
    <x v="37"/>
    <s v="Chickpea"/>
    <m/>
    <x v="8"/>
    <s v="Y"/>
    <x v="1"/>
    <n v="85"/>
    <n v="41"/>
    <x v="2"/>
    <m/>
    <m/>
    <m/>
    <n v="11"/>
    <m/>
    <m/>
    <m/>
    <m/>
    <m/>
    <n v="2"/>
    <n v="44"/>
    <x v="0"/>
    <n v="22"/>
    <m/>
    <m/>
    <x v="0"/>
    <n v="1"/>
    <x v="0"/>
    <m/>
    <m/>
    <n v="30"/>
    <x v="1"/>
    <s v="15/05/2024"/>
    <d v="2024-05-15T00:00:00"/>
    <s v="2024037-85"/>
    <x v="3"/>
  </r>
  <r>
    <x v="566"/>
    <n v="2024037"/>
    <x v="37"/>
    <s v="Chickpea"/>
    <m/>
    <x v="3"/>
    <s v="N"/>
    <x v="1"/>
    <n v="86"/>
    <n v="42"/>
    <x v="2"/>
    <m/>
    <m/>
    <m/>
    <n v="11"/>
    <m/>
    <m/>
    <m/>
    <m/>
    <m/>
    <n v="3"/>
    <n v="44"/>
    <x v="1"/>
    <n v="22"/>
    <m/>
    <m/>
    <x v="0"/>
    <n v="3"/>
    <x v="0"/>
    <m/>
    <m/>
    <n v="30"/>
    <x v="1"/>
    <s v="15/05/2024"/>
    <d v="2024-05-15T00:00:00"/>
    <s v="2024037-86"/>
    <x v="3"/>
  </r>
  <r>
    <x v="567"/>
    <n v="2024037"/>
    <x v="37"/>
    <s v="Chickpea"/>
    <m/>
    <x v="4"/>
    <s v="Y"/>
    <x v="1"/>
    <n v="87"/>
    <n v="43"/>
    <x v="2"/>
    <m/>
    <m/>
    <m/>
    <n v="11"/>
    <m/>
    <m/>
    <m/>
    <m/>
    <m/>
    <n v="5"/>
    <n v="44"/>
    <x v="2"/>
    <n v="22"/>
    <m/>
    <m/>
    <x v="0"/>
    <n v="4"/>
    <x v="0"/>
    <m/>
    <m/>
    <n v="30"/>
    <x v="1"/>
    <s v="15/05/2024"/>
    <d v="2024-05-15T00:00:00"/>
    <s v="2024037-87"/>
    <x v="3"/>
  </r>
  <r>
    <x v="564"/>
    <n v="2024037"/>
    <x v="37"/>
    <s v="Chickpea"/>
    <m/>
    <x v="9"/>
    <s v="N"/>
    <x v="1"/>
    <n v="88"/>
    <n v="44"/>
    <x v="2"/>
    <m/>
    <m/>
    <m/>
    <n v="11"/>
    <m/>
    <m/>
    <m/>
    <m/>
    <m/>
    <n v="6"/>
    <n v="44"/>
    <x v="3"/>
    <n v="22"/>
    <m/>
    <m/>
    <x v="0"/>
    <n v="2"/>
    <x v="0"/>
    <m/>
    <m/>
    <n v="30"/>
    <x v="1"/>
    <s v="15/05/2024"/>
    <d v="2024-05-15T00:00:00"/>
    <s v="2024037-88"/>
    <x v="3"/>
  </r>
  <r>
    <x v="560"/>
    <n v="2024037"/>
    <x v="37"/>
    <s v="Chickpea"/>
    <m/>
    <x v="4"/>
    <s v="Y"/>
    <x v="1"/>
    <n v="89"/>
    <n v="45"/>
    <x v="2"/>
    <m/>
    <m/>
    <m/>
    <n v="12"/>
    <m/>
    <m/>
    <m/>
    <m/>
    <m/>
    <n v="2"/>
    <n v="47"/>
    <x v="0"/>
    <n v="23"/>
    <m/>
    <m/>
    <x v="0"/>
    <n v="4"/>
    <x v="0"/>
    <m/>
    <m/>
    <n v="30"/>
    <x v="2"/>
    <s v="17/06/2024"/>
    <d v="2024-06-17T00:00:00"/>
    <s v="2024037-89"/>
    <x v="3"/>
  </r>
  <r>
    <x v="562"/>
    <n v="2024037"/>
    <x v="37"/>
    <s v="Chickpea"/>
    <m/>
    <x v="8"/>
    <s v="Y"/>
    <x v="1"/>
    <n v="90"/>
    <n v="46"/>
    <x v="2"/>
    <m/>
    <m/>
    <m/>
    <n v="12"/>
    <m/>
    <m/>
    <m/>
    <m/>
    <m/>
    <n v="3"/>
    <n v="47"/>
    <x v="1"/>
    <n v="23"/>
    <m/>
    <m/>
    <x v="0"/>
    <n v="1"/>
    <x v="0"/>
    <m/>
    <m/>
    <n v="30"/>
    <x v="2"/>
    <s v="17/06/2024"/>
    <d v="2024-06-17T00:00:00"/>
    <s v="2024037-90"/>
    <x v="3"/>
  </r>
  <r>
    <x v="563"/>
    <n v="2024037"/>
    <x v="37"/>
    <s v="Chickpea"/>
    <m/>
    <x v="9"/>
    <s v="N"/>
    <x v="1"/>
    <n v="91"/>
    <n v="47"/>
    <x v="2"/>
    <m/>
    <m/>
    <m/>
    <n v="12"/>
    <m/>
    <m/>
    <m/>
    <m/>
    <m/>
    <n v="5"/>
    <n v="47"/>
    <x v="2"/>
    <n v="23"/>
    <m/>
    <m/>
    <x v="0"/>
    <n v="2"/>
    <x v="0"/>
    <m/>
    <m/>
    <n v="30"/>
    <x v="2"/>
    <s v="17/06/2024"/>
    <d v="2024-06-17T00:00:00"/>
    <s v="2024037-91"/>
    <x v="3"/>
  </r>
  <r>
    <x v="561"/>
    <n v="2024037"/>
    <x v="37"/>
    <s v="Chickpea"/>
    <m/>
    <x v="3"/>
    <s v="N"/>
    <x v="1"/>
    <n v="92"/>
    <n v="48"/>
    <x v="2"/>
    <m/>
    <m/>
    <m/>
    <n v="12"/>
    <m/>
    <m/>
    <m/>
    <m/>
    <m/>
    <n v="6"/>
    <n v="47"/>
    <x v="3"/>
    <n v="23"/>
    <m/>
    <m/>
    <x v="0"/>
    <n v="3"/>
    <x v="0"/>
    <m/>
    <m/>
    <n v="30"/>
    <x v="2"/>
    <s v="17/06/2024"/>
    <d v="2024-06-17T00:00:00"/>
    <s v="2024037-92"/>
    <x v="3"/>
  </r>
  <r>
    <x v="560"/>
    <n v="2024037"/>
    <x v="37"/>
    <s v="Chickpea"/>
    <m/>
    <x v="4"/>
    <s v="Y"/>
    <x v="2"/>
    <n v="93"/>
    <n v="45"/>
    <x v="2"/>
    <m/>
    <m/>
    <m/>
    <n v="12"/>
    <m/>
    <m/>
    <m/>
    <m/>
    <m/>
    <n v="2"/>
    <n v="48"/>
    <x v="0"/>
    <n v="24"/>
    <m/>
    <n v="48"/>
    <x v="0"/>
    <n v="4"/>
    <x v="0"/>
    <m/>
    <m/>
    <n v="30"/>
    <x v="2"/>
    <s v="17/06/2024"/>
    <d v="2024-06-17T00:00:00"/>
    <s v="2024037-93"/>
    <x v="3"/>
  </r>
  <r>
    <x v="562"/>
    <n v="2024037"/>
    <x v="37"/>
    <s v="Chickpea"/>
    <m/>
    <x v="8"/>
    <s v="Y"/>
    <x v="2"/>
    <n v="94"/>
    <n v="46"/>
    <x v="2"/>
    <m/>
    <m/>
    <m/>
    <n v="12"/>
    <m/>
    <m/>
    <m/>
    <m/>
    <m/>
    <n v="3"/>
    <n v="48"/>
    <x v="1"/>
    <n v="24"/>
    <m/>
    <n v="47"/>
    <x v="0"/>
    <n v="1"/>
    <x v="0"/>
    <m/>
    <m/>
    <n v="30"/>
    <x v="2"/>
    <s v="17/06/2024"/>
    <d v="2024-06-17T00:00:00"/>
    <s v="2024037-94"/>
    <x v="3"/>
  </r>
  <r>
    <x v="563"/>
    <n v="2024037"/>
    <x v="37"/>
    <s v="Chickpea"/>
    <m/>
    <x v="9"/>
    <s v="N"/>
    <x v="2"/>
    <n v="95"/>
    <n v="47"/>
    <x v="2"/>
    <m/>
    <m/>
    <m/>
    <n v="12"/>
    <m/>
    <m/>
    <m/>
    <m/>
    <m/>
    <n v="5"/>
    <n v="48"/>
    <x v="2"/>
    <n v="24"/>
    <m/>
    <n v="46"/>
    <x v="0"/>
    <n v="2"/>
    <x v="0"/>
    <m/>
    <m/>
    <n v="30"/>
    <x v="2"/>
    <s v="17/06/2024"/>
    <d v="2024-06-17T00:00:00"/>
    <s v="2024037-95"/>
    <x v="3"/>
  </r>
  <r>
    <x v="561"/>
    <n v="2024037"/>
    <x v="37"/>
    <s v="Chickpea"/>
    <m/>
    <x v="3"/>
    <s v="N"/>
    <x v="2"/>
    <n v="96"/>
    <n v="48"/>
    <x v="2"/>
    <m/>
    <m/>
    <m/>
    <n v="12"/>
    <m/>
    <m/>
    <m/>
    <m/>
    <m/>
    <n v="6"/>
    <n v="48"/>
    <x v="3"/>
    <n v="24"/>
    <m/>
    <n v="45"/>
    <x v="0"/>
    <n v="3"/>
    <x v="0"/>
    <m/>
    <m/>
    <n v="30"/>
    <x v="2"/>
    <s v="17/06/2024"/>
    <d v="2024-06-17T00:00:00"/>
    <s v="2024037-96"/>
    <x v="3"/>
  </r>
  <r>
    <x v="571"/>
    <n v="2024037"/>
    <x v="37"/>
    <s v="Chickpea"/>
    <m/>
    <x v="8"/>
    <s v="Y"/>
    <x v="2"/>
    <n v="97"/>
    <n v="49"/>
    <x v="3"/>
    <m/>
    <m/>
    <m/>
    <n v="13"/>
    <m/>
    <m/>
    <m/>
    <m/>
    <m/>
    <n v="2"/>
    <n v="51"/>
    <x v="0"/>
    <n v="25"/>
    <m/>
    <n v="49"/>
    <x v="1"/>
    <n v="1"/>
    <x v="0"/>
    <m/>
    <m/>
    <n v="30"/>
    <x v="2"/>
    <s v="17/06/2024"/>
    <d v="2024-06-17T00:00:00"/>
    <s v="2024037-97"/>
    <x v="3"/>
  </r>
  <r>
    <x v="568"/>
    <n v="2024037"/>
    <x v="37"/>
    <s v="Chickpea"/>
    <m/>
    <x v="3"/>
    <s v="N"/>
    <x v="2"/>
    <n v="98"/>
    <n v="50"/>
    <x v="3"/>
    <m/>
    <m/>
    <m/>
    <n v="13"/>
    <m/>
    <m/>
    <m/>
    <m/>
    <m/>
    <n v="3"/>
    <n v="51"/>
    <x v="1"/>
    <n v="25"/>
    <m/>
    <n v="50"/>
    <x v="1"/>
    <n v="3"/>
    <x v="0"/>
    <m/>
    <m/>
    <n v="30"/>
    <x v="2"/>
    <s v="17/06/2024"/>
    <d v="2024-06-17T00:00:00"/>
    <s v="2024037-98"/>
    <x v="3"/>
  </r>
  <r>
    <x v="569"/>
    <n v="2024037"/>
    <x v="37"/>
    <s v="Chickpea"/>
    <m/>
    <x v="9"/>
    <s v="N"/>
    <x v="2"/>
    <n v="99"/>
    <n v="51"/>
    <x v="3"/>
    <m/>
    <m/>
    <m/>
    <n v="13"/>
    <m/>
    <m/>
    <m/>
    <m/>
    <m/>
    <n v="5"/>
    <n v="51"/>
    <x v="2"/>
    <n v="25"/>
    <m/>
    <n v="51"/>
    <x v="1"/>
    <n v="2"/>
    <x v="0"/>
    <m/>
    <m/>
    <n v="30"/>
    <x v="2"/>
    <s v="17/06/2024"/>
    <d v="2024-06-17T00:00:00"/>
    <s v="2024037-99"/>
    <x v="3"/>
  </r>
  <r>
    <x v="570"/>
    <n v="2024037"/>
    <x v="37"/>
    <s v="Chickpea"/>
    <m/>
    <x v="4"/>
    <s v="Y"/>
    <x v="2"/>
    <n v="100"/>
    <n v="52"/>
    <x v="3"/>
    <m/>
    <m/>
    <m/>
    <n v="13"/>
    <m/>
    <m/>
    <m/>
    <m/>
    <m/>
    <n v="6"/>
    <n v="51"/>
    <x v="3"/>
    <n v="25"/>
    <m/>
    <n v="52"/>
    <x v="1"/>
    <n v="4"/>
    <x v="0"/>
    <m/>
    <m/>
    <n v="30"/>
    <x v="2"/>
    <s v="17/06/2024"/>
    <d v="2024-06-17T00:00:00"/>
    <s v="2024037-100"/>
    <x v="3"/>
  </r>
  <r>
    <x v="571"/>
    <n v="2024037"/>
    <x v="37"/>
    <s v="Chickpea"/>
    <m/>
    <x v="8"/>
    <s v="Y"/>
    <x v="1"/>
    <n v="101"/>
    <n v="49"/>
    <x v="3"/>
    <m/>
    <m/>
    <m/>
    <n v="13"/>
    <m/>
    <m/>
    <m/>
    <m/>
    <m/>
    <n v="2"/>
    <n v="52"/>
    <x v="0"/>
    <n v="26"/>
    <m/>
    <m/>
    <x v="1"/>
    <n v="1"/>
    <x v="0"/>
    <m/>
    <m/>
    <n v="30"/>
    <x v="2"/>
    <s v="17/06/2024"/>
    <d v="2024-06-17T00:00:00"/>
    <s v="2024037-101"/>
    <x v="3"/>
  </r>
  <r>
    <x v="568"/>
    <n v="2024037"/>
    <x v="37"/>
    <s v="Chickpea"/>
    <m/>
    <x v="3"/>
    <s v="N"/>
    <x v="1"/>
    <n v="102"/>
    <n v="50"/>
    <x v="3"/>
    <m/>
    <m/>
    <m/>
    <n v="13"/>
    <m/>
    <m/>
    <m/>
    <m/>
    <m/>
    <n v="3"/>
    <n v="52"/>
    <x v="1"/>
    <n v="26"/>
    <m/>
    <m/>
    <x v="1"/>
    <n v="3"/>
    <x v="0"/>
    <m/>
    <m/>
    <n v="30"/>
    <x v="2"/>
    <s v="17/06/2024"/>
    <d v="2024-06-17T00:00:00"/>
    <s v="2024037-102"/>
    <x v="3"/>
  </r>
  <r>
    <x v="569"/>
    <n v="2024037"/>
    <x v="37"/>
    <s v="Chickpea"/>
    <m/>
    <x v="9"/>
    <s v="N"/>
    <x v="1"/>
    <n v="103"/>
    <n v="51"/>
    <x v="3"/>
    <m/>
    <m/>
    <m/>
    <n v="13"/>
    <m/>
    <m/>
    <m/>
    <m/>
    <m/>
    <n v="5"/>
    <n v="52"/>
    <x v="2"/>
    <n v="26"/>
    <m/>
    <m/>
    <x v="1"/>
    <n v="2"/>
    <x v="0"/>
    <m/>
    <m/>
    <n v="30"/>
    <x v="2"/>
    <s v="17/06/2024"/>
    <d v="2024-06-17T00:00:00"/>
    <s v="2024037-103"/>
    <x v="3"/>
  </r>
  <r>
    <x v="570"/>
    <n v="2024037"/>
    <x v="37"/>
    <s v="Chickpea"/>
    <m/>
    <x v="4"/>
    <s v="Y"/>
    <x v="1"/>
    <n v="104"/>
    <n v="52"/>
    <x v="3"/>
    <m/>
    <m/>
    <m/>
    <n v="13"/>
    <m/>
    <m/>
    <m/>
    <m/>
    <m/>
    <n v="6"/>
    <n v="52"/>
    <x v="3"/>
    <n v="26"/>
    <m/>
    <m/>
    <x v="1"/>
    <n v="4"/>
    <x v="0"/>
    <m/>
    <m/>
    <n v="30"/>
    <x v="2"/>
    <s v="17/06/2024"/>
    <d v="2024-06-17T00:00:00"/>
    <s v="2024037-104"/>
    <x v="3"/>
  </r>
  <r>
    <x v="563"/>
    <n v="2024037"/>
    <x v="37"/>
    <s v="Chickpea"/>
    <m/>
    <x v="9"/>
    <s v="N"/>
    <x v="2"/>
    <n v="105"/>
    <n v="53"/>
    <x v="3"/>
    <m/>
    <m/>
    <m/>
    <n v="14"/>
    <m/>
    <m/>
    <m/>
    <m/>
    <m/>
    <n v="2"/>
    <n v="55"/>
    <x v="0"/>
    <n v="27"/>
    <m/>
    <n v="56"/>
    <x v="0"/>
    <n v="2"/>
    <x v="0"/>
    <m/>
    <m/>
    <n v="30"/>
    <x v="2"/>
    <s v="17/06/2024"/>
    <d v="2024-06-17T00:00:00"/>
    <s v="2024037-105"/>
    <x v="3"/>
  </r>
  <r>
    <x v="561"/>
    <n v="2024037"/>
    <x v="37"/>
    <s v="Chickpea"/>
    <m/>
    <x v="3"/>
    <s v="N"/>
    <x v="2"/>
    <n v="106"/>
    <n v="54"/>
    <x v="3"/>
    <m/>
    <m/>
    <m/>
    <n v="14"/>
    <m/>
    <m/>
    <m/>
    <m/>
    <m/>
    <n v="3"/>
    <n v="55"/>
    <x v="1"/>
    <n v="27"/>
    <m/>
    <n v="55"/>
    <x v="0"/>
    <n v="3"/>
    <x v="0"/>
    <m/>
    <m/>
    <n v="30"/>
    <x v="2"/>
    <s v="17/06/2024"/>
    <d v="2024-06-17T00:00:00"/>
    <s v="2024037-106"/>
    <x v="3"/>
  </r>
  <r>
    <x v="560"/>
    <n v="2024037"/>
    <x v="37"/>
    <s v="Chickpea"/>
    <m/>
    <x v="4"/>
    <s v="Y"/>
    <x v="2"/>
    <n v="107"/>
    <n v="55"/>
    <x v="3"/>
    <m/>
    <m/>
    <m/>
    <n v="14"/>
    <m/>
    <m/>
    <m/>
    <m/>
    <m/>
    <n v="5"/>
    <n v="55"/>
    <x v="2"/>
    <n v="27"/>
    <m/>
    <n v="54"/>
    <x v="0"/>
    <n v="4"/>
    <x v="0"/>
    <m/>
    <m/>
    <n v="30"/>
    <x v="2"/>
    <s v="17/06/2024"/>
    <d v="2024-06-17T00:00:00"/>
    <s v="2024037-107"/>
    <x v="3"/>
  </r>
  <r>
    <x v="562"/>
    <n v="2024037"/>
    <x v="37"/>
    <s v="Chickpea"/>
    <m/>
    <x v="8"/>
    <s v="Y"/>
    <x v="2"/>
    <n v="108"/>
    <n v="56"/>
    <x v="3"/>
    <m/>
    <m/>
    <m/>
    <n v="14"/>
    <m/>
    <m/>
    <m/>
    <m/>
    <m/>
    <n v="6"/>
    <n v="55"/>
    <x v="3"/>
    <n v="27"/>
    <m/>
    <n v="53"/>
    <x v="0"/>
    <n v="1"/>
    <x v="0"/>
    <m/>
    <m/>
    <n v="30"/>
    <x v="2"/>
    <s v="17/06/2024"/>
    <d v="2024-06-17T00:00:00"/>
    <s v="2024037-108"/>
    <x v="3"/>
  </r>
  <r>
    <x v="563"/>
    <n v="2024037"/>
    <x v="37"/>
    <s v="Chickpea"/>
    <m/>
    <x v="9"/>
    <s v="N"/>
    <x v="1"/>
    <n v="109"/>
    <n v="53"/>
    <x v="3"/>
    <m/>
    <m/>
    <m/>
    <n v="14"/>
    <m/>
    <m/>
    <m/>
    <m/>
    <m/>
    <n v="2"/>
    <n v="56"/>
    <x v="0"/>
    <n v="28"/>
    <m/>
    <m/>
    <x v="0"/>
    <n v="2"/>
    <x v="0"/>
    <m/>
    <m/>
    <n v="30"/>
    <x v="2"/>
    <s v="17/06/2024"/>
    <d v="2024-06-17T00:00:00"/>
    <s v="2024037-109"/>
    <x v="3"/>
  </r>
  <r>
    <x v="561"/>
    <n v="2024037"/>
    <x v="37"/>
    <s v="Chickpea"/>
    <m/>
    <x v="3"/>
    <s v="N"/>
    <x v="1"/>
    <n v="110"/>
    <n v="54"/>
    <x v="3"/>
    <m/>
    <m/>
    <m/>
    <n v="14"/>
    <m/>
    <m/>
    <m/>
    <m/>
    <m/>
    <n v="3"/>
    <n v="56"/>
    <x v="1"/>
    <n v="28"/>
    <m/>
    <m/>
    <x v="0"/>
    <n v="3"/>
    <x v="0"/>
    <m/>
    <m/>
    <n v="30"/>
    <x v="2"/>
    <s v="17/06/2024"/>
    <d v="2024-06-17T00:00:00"/>
    <s v="2024037-110"/>
    <x v="3"/>
  </r>
  <r>
    <x v="560"/>
    <n v="2024037"/>
    <x v="37"/>
    <s v="Chickpea"/>
    <m/>
    <x v="4"/>
    <s v="Y"/>
    <x v="1"/>
    <n v="111"/>
    <n v="55"/>
    <x v="3"/>
    <m/>
    <m/>
    <m/>
    <n v="14"/>
    <m/>
    <m/>
    <m/>
    <m/>
    <m/>
    <n v="5"/>
    <n v="56"/>
    <x v="2"/>
    <n v="28"/>
    <m/>
    <m/>
    <x v="0"/>
    <n v="4"/>
    <x v="0"/>
    <m/>
    <m/>
    <n v="30"/>
    <x v="2"/>
    <s v="17/06/2024"/>
    <d v="2024-06-17T00:00:00"/>
    <s v="2024037-111"/>
    <x v="3"/>
  </r>
  <r>
    <x v="562"/>
    <n v="2024037"/>
    <x v="37"/>
    <s v="Chickpea"/>
    <m/>
    <x v="8"/>
    <s v="Y"/>
    <x v="1"/>
    <n v="112"/>
    <n v="56"/>
    <x v="3"/>
    <m/>
    <m/>
    <m/>
    <n v="14"/>
    <m/>
    <m/>
    <m/>
    <m/>
    <m/>
    <n v="6"/>
    <n v="56"/>
    <x v="3"/>
    <n v="28"/>
    <m/>
    <m/>
    <x v="0"/>
    <n v="1"/>
    <x v="0"/>
    <m/>
    <m/>
    <n v="30"/>
    <x v="2"/>
    <s v="17/06/2024"/>
    <d v="2024-06-17T00:00:00"/>
    <s v="2024037-112"/>
    <x v="3"/>
  </r>
  <r>
    <x v="573"/>
    <n v="2024037"/>
    <x v="37"/>
    <s v="Chickpea"/>
    <m/>
    <x v="4"/>
    <s v="Y"/>
    <x v="2"/>
    <n v="113"/>
    <n v="57"/>
    <x v="3"/>
    <m/>
    <m/>
    <m/>
    <n v="15"/>
    <m/>
    <m/>
    <m/>
    <m/>
    <m/>
    <n v="2"/>
    <n v="59"/>
    <x v="0"/>
    <n v="29"/>
    <m/>
    <n v="57"/>
    <x v="1"/>
    <n v="4"/>
    <x v="0"/>
    <m/>
    <m/>
    <n v="30"/>
    <x v="1"/>
    <s v="15/05/2024"/>
    <d v="2024-05-15T00:00:00"/>
    <s v="2024037-113"/>
    <x v="3"/>
  </r>
  <r>
    <x v="572"/>
    <n v="2024037"/>
    <x v="37"/>
    <s v="Chickpea"/>
    <m/>
    <x v="8"/>
    <s v="Y"/>
    <x v="2"/>
    <n v="114"/>
    <n v="58"/>
    <x v="3"/>
    <m/>
    <m/>
    <m/>
    <n v="15"/>
    <m/>
    <m/>
    <m/>
    <m/>
    <m/>
    <n v="3"/>
    <n v="59"/>
    <x v="1"/>
    <n v="29"/>
    <m/>
    <n v="58"/>
    <x v="1"/>
    <n v="1"/>
    <x v="0"/>
    <m/>
    <m/>
    <n v="30"/>
    <x v="1"/>
    <s v="15/05/2024"/>
    <d v="2024-05-15T00:00:00"/>
    <s v="2024037-114"/>
    <x v="3"/>
  </r>
  <r>
    <x v="575"/>
    <n v="2024037"/>
    <x v="37"/>
    <s v="Chickpea"/>
    <m/>
    <x v="3"/>
    <s v="N"/>
    <x v="2"/>
    <n v="115"/>
    <n v="59"/>
    <x v="3"/>
    <m/>
    <m/>
    <m/>
    <n v="15"/>
    <m/>
    <m/>
    <m/>
    <m/>
    <m/>
    <n v="5"/>
    <n v="59"/>
    <x v="2"/>
    <n v="29"/>
    <m/>
    <n v="59"/>
    <x v="1"/>
    <n v="3"/>
    <x v="0"/>
    <m/>
    <m/>
    <n v="30"/>
    <x v="1"/>
    <s v="15/05/2024"/>
    <d v="2024-05-15T00:00:00"/>
    <s v="2024037-115"/>
    <x v="3"/>
  </r>
  <r>
    <x v="574"/>
    <n v="2024037"/>
    <x v="37"/>
    <s v="Chickpea"/>
    <m/>
    <x v="9"/>
    <s v="N"/>
    <x v="2"/>
    <n v="116"/>
    <n v="60"/>
    <x v="3"/>
    <m/>
    <m/>
    <m/>
    <n v="15"/>
    <m/>
    <m/>
    <m/>
    <m/>
    <m/>
    <n v="6"/>
    <n v="59"/>
    <x v="3"/>
    <n v="29"/>
    <m/>
    <n v="60"/>
    <x v="1"/>
    <n v="2"/>
    <x v="0"/>
    <m/>
    <m/>
    <n v="30"/>
    <x v="1"/>
    <s v="15/05/2024"/>
    <d v="2024-05-15T00:00:00"/>
    <s v="2024037-116"/>
    <x v="3"/>
  </r>
  <r>
    <x v="573"/>
    <n v="2024037"/>
    <x v="37"/>
    <s v="Chickpea"/>
    <m/>
    <x v="4"/>
    <s v="Y"/>
    <x v="1"/>
    <n v="117"/>
    <n v="57"/>
    <x v="3"/>
    <m/>
    <m/>
    <m/>
    <n v="15"/>
    <m/>
    <m/>
    <m/>
    <m/>
    <m/>
    <n v="2"/>
    <n v="60"/>
    <x v="0"/>
    <n v="30"/>
    <m/>
    <m/>
    <x v="1"/>
    <n v="4"/>
    <x v="0"/>
    <m/>
    <m/>
    <n v="30"/>
    <x v="1"/>
    <s v="15/05/2024"/>
    <d v="2024-05-15T00:00:00"/>
    <s v="2024037-117"/>
    <x v="3"/>
  </r>
  <r>
    <x v="572"/>
    <n v="2024037"/>
    <x v="37"/>
    <s v="Chickpea"/>
    <m/>
    <x v="8"/>
    <s v="Y"/>
    <x v="1"/>
    <n v="118"/>
    <n v="58"/>
    <x v="3"/>
    <m/>
    <m/>
    <m/>
    <n v="15"/>
    <m/>
    <m/>
    <m/>
    <m/>
    <m/>
    <n v="3"/>
    <n v="60"/>
    <x v="1"/>
    <n v="30"/>
    <m/>
    <m/>
    <x v="1"/>
    <n v="1"/>
    <x v="0"/>
    <m/>
    <m/>
    <n v="30"/>
    <x v="1"/>
    <s v="15/05/2024"/>
    <d v="2024-05-15T00:00:00"/>
    <s v="2024037-118"/>
    <x v="3"/>
  </r>
  <r>
    <x v="575"/>
    <n v="2024037"/>
    <x v="37"/>
    <s v="Chickpea"/>
    <m/>
    <x v="3"/>
    <s v="N"/>
    <x v="1"/>
    <n v="119"/>
    <n v="59"/>
    <x v="3"/>
    <m/>
    <m/>
    <m/>
    <n v="15"/>
    <m/>
    <m/>
    <m/>
    <m/>
    <m/>
    <n v="5"/>
    <n v="60"/>
    <x v="2"/>
    <n v="30"/>
    <m/>
    <m/>
    <x v="1"/>
    <n v="3"/>
    <x v="0"/>
    <m/>
    <m/>
    <n v="30"/>
    <x v="1"/>
    <s v="15/05/2024"/>
    <d v="2024-05-15T00:00:00"/>
    <s v="2024037-119"/>
    <x v="3"/>
  </r>
  <r>
    <x v="574"/>
    <n v="2024037"/>
    <x v="37"/>
    <s v="Chickpea"/>
    <m/>
    <x v="9"/>
    <s v="N"/>
    <x v="1"/>
    <n v="120"/>
    <n v="60"/>
    <x v="3"/>
    <m/>
    <m/>
    <m/>
    <n v="15"/>
    <m/>
    <m/>
    <m/>
    <m/>
    <m/>
    <n v="6"/>
    <n v="60"/>
    <x v="3"/>
    <n v="30"/>
    <m/>
    <m/>
    <x v="1"/>
    <n v="2"/>
    <x v="0"/>
    <m/>
    <m/>
    <n v="30"/>
    <x v="1"/>
    <s v="15/05/2024"/>
    <d v="2024-05-15T00:00:00"/>
    <s v="2024037-120"/>
    <x v="3"/>
  </r>
  <r>
    <x v="564"/>
    <n v="2024037"/>
    <x v="37"/>
    <s v="Chickpea"/>
    <m/>
    <x v="9"/>
    <s v="N"/>
    <x v="2"/>
    <n v="121"/>
    <n v="61"/>
    <x v="3"/>
    <m/>
    <m/>
    <m/>
    <n v="16"/>
    <m/>
    <m/>
    <m/>
    <m/>
    <m/>
    <n v="2"/>
    <n v="63"/>
    <x v="0"/>
    <n v="31"/>
    <m/>
    <n v="64"/>
    <x v="0"/>
    <n v="2"/>
    <x v="0"/>
    <m/>
    <m/>
    <n v="30"/>
    <x v="1"/>
    <s v="15/05/2024"/>
    <d v="2024-05-15T00:00:00"/>
    <s v="2024037-121"/>
    <x v="3"/>
  </r>
  <r>
    <x v="567"/>
    <n v="2024037"/>
    <x v="37"/>
    <s v="Chickpea"/>
    <m/>
    <x v="4"/>
    <s v="Y"/>
    <x v="2"/>
    <n v="122"/>
    <n v="62"/>
    <x v="3"/>
    <m/>
    <m/>
    <m/>
    <n v="16"/>
    <m/>
    <m/>
    <m/>
    <m/>
    <m/>
    <n v="3"/>
    <n v="63"/>
    <x v="1"/>
    <n v="31"/>
    <m/>
    <n v="63"/>
    <x v="0"/>
    <n v="4"/>
    <x v="0"/>
    <m/>
    <m/>
    <n v="30"/>
    <x v="1"/>
    <s v="15/05/2024"/>
    <d v="2024-05-15T00:00:00"/>
    <s v="2024037-122"/>
    <x v="3"/>
  </r>
  <r>
    <x v="565"/>
    <n v="2024037"/>
    <x v="37"/>
    <s v="Chickpea"/>
    <m/>
    <x v="8"/>
    <s v="Y"/>
    <x v="2"/>
    <n v="123"/>
    <n v="63"/>
    <x v="3"/>
    <m/>
    <m/>
    <m/>
    <n v="16"/>
    <m/>
    <m/>
    <m/>
    <m/>
    <m/>
    <n v="5"/>
    <n v="63"/>
    <x v="2"/>
    <n v="31"/>
    <m/>
    <n v="62"/>
    <x v="0"/>
    <n v="1"/>
    <x v="0"/>
    <m/>
    <m/>
    <n v="30"/>
    <x v="1"/>
    <s v="15/05/2024"/>
    <d v="2024-05-15T00:00:00"/>
    <s v="2024037-123"/>
    <x v="3"/>
  </r>
  <r>
    <x v="566"/>
    <n v="2024037"/>
    <x v="37"/>
    <s v="Chickpea"/>
    <m/>
    <x v="3"/>
    <s v="N"/>
    <x v="2"/>
    <n v="124"/>
    <n v="64"/>
    <x v="3"/>
    <m/>
    <m/>
    <m/>
    <n v="16"/>
    <m/>
    <m/>
    <m/>
    <m/>
    <m/>
    <n v="6"/>
    <n v="63"/>
    <x v="3"/>
    <n v="31"/>
    <m/>
    <n v="61"/>
    <x v="0"/>
    <n v="3"/>
    <x v="0"/>
    <m/>
    <m/>
    <n v="30"/>
    <x v="1"/>
    <s v="15/05/2024"/>
    <d v="2024-05-15T00:00:00"/>
    <s v="2024037-124"/>
    <x v="3"/>
  </r>
  <r>
    <x v="564"/>
    <n v="2024037"/>
    <x v="37"/>
    <s v="Chickpea"/>
    <m/>
    <x v="9"/>
    <s v="N"/>
    <x v="1"/>
    <n v="125"/>
    <n v="61"/>
    <x v="3"/>
    <m/>
    <m/>
    <m/>
    <n v="16"/>
    <m/>
    <m/>
    <m/>
    <m/>
    <m/>
    <n v="2"/>
    <n v="64"/>
    <x v="0"/>
    <n v="32"/>
    <m/>
    <m/>
    <x v="0"/>
    <n v="2"/>
    <x v="0"/>
    <m/>
    <m/>
    <n v="30"/>
    <x v="1"/>
    <s v="15/05/2024"/>
    <d v="2024-05-15T00:00:00"/>
    <s v="2024037-125"/>
    <x v="3"/>
  </r>
  <r>
    <x v="567"/>
    <n v="2024037"/>
    <x v="37"/>
    <s v="Chickpea"/>
    <m/>
    <x v="4"/>
    <s v="Y"/>
    <x v="1"/>
    <n v="126"/>
    <n v="62"/>
    <x v="3"/>
    <m/>
    <m/>
    <m/>
    <n v="16"/>
    <m/>
    <m/>
    <m/>
    <m/>
    <m/>
    <n v="3"/>
    <n v="64"/>
    <x v="1"/>
    <n v="32"/>
    <m/>
    <m/>
    <x v="0"/>
    <n v="4"/>
    <x v="0"/>
    <m/>
    <m/>
    <n v="30"/>
    <x v="1"/>
    <s v="15/05/2024"/>
    <d v="2024-05-15T00:00:00"/>
    <s v="2024037-126"/>
    <x v="3"/>
  </r>
  <r>
    <x v="565"/>
    <n v="2024037"/>
    <x v="37"/>
    <s v="Chickpea"/>
    <m/>
    <x v="8"/>
    <s v="Y"/>
    <x v="1"/>
    <n v="127"/>
    <n v="63"/>
    <x v="3"/>
    <m/>
    <m/>
    <m/>
    <n v="16"/>
    <m/>
    <m/>
    <m/>
    <m/>
    <m/>
    <n v="5"/>
    <n v="64"/>
    <x v="2"/>
    <n v="32"/>
    <m/>
    <m/>
    <x v="0"/>
    <n v="1"/>
    <x v="0"/>
    <m/>
    <m/>
    <n v="30"/>
    <x v="1"/>
    <s v="15/05/2024"/>
    <d v="2024-05-15T00:00:00"/>
    <s v="2024037-127"/>
    <x v="3"/>
  </r>
  <r>
    <x v="566"/>
    <n v="2024037"/>
    <x v="37"/>
    <s v="Chickpea"/>
    <m/>
    <x v="3"/>
    <s v="N"/>
    <x v="1"/>
    <n v="128"/>
    <n v="64"/>
    <x v="3"/>
    <m/>
    <m/>
    <m/>
    <n v="16"/>
    <m/>
    <m/>
    <m/>
    <m/>
    <m/>
    <n v="6"/>
    <n v="64"/>
    <x v="3"/>
    <n v="32"/>
    <m/>
    <m/>
    <x v="0"/>
    <n v="3"/>
    <x v="0"/>
    <m/>
    <m/>
    <n v="30"/>
    <x v="1"/>
    <s v="15/05/2024"/>
    <d v="2024-05-15T00:00:00"/>
    <s v="2024037-128"/>
    <x v="3"/>
  </r>
  <r>
    <x v="576"/>
    <n v="2024038"/>
    <x v="38"/>
    <s v="Chickpea"/>
    <m/>
    <x v="8"/>
    <s v="Y"/>
    <x v="2"/>
    <n v="1"/>
    <n v="1"/>
    <x v="0"/>
    <m/>
    <m/>
    <m/>
    <n v="1"/>
    <n v="1"/>
    <m/>
    <m/>
    <m/>
    <m/>
    <n v="1"/>
    <n v="2"/>
    <x v="0"/>
    <n v="1"/>
    <m/>
    <m/>
    <x v="0"/>
    <n v="3"/>
    <x v="0"/>
    <m/>
    <m/>
    <n v="30.5"/>
    <x v="1"/>
    <s v="22/05/2024"/>
    <d v="2024-05-22T00:00:00"/>
    <s v="2024038-1"/>
    <x v="3"/>
  </r>
  <r>
    <x v="577"/>
    <n v="2024038"/>
    <x v="38"/>
    <s v="Chickpea"/>
    <m/>
    <x v="4"/>
    <s v="Y"/>
    <x v="2"/>
    <n v="2"/>
    <n v="2"/>
    <x v="0"/>
    <m/>
    <m/>
    <m/>
    <n v="1"/>
    <n v="1"/>
    <m/>
    <m/>
    <m/>
    <m/>
    <n v="2"/>
    <n v="2"/>
    <x v="1"/>
    <n v="1"/>
    <m/>
    <m/>
    <x v="0"/>
    <n v="4"/>
    <x v="0"/>
    <m/>
    <m/>
    <n v="30.5"/>
    <x v="1"/>
    <s v="22/05/2024"/>
    <d v="2024-05-22T00:00:00"/>
    <s v="2024038-2"/>
    <x v="3"/>
  </r>
  <r>
    <x v="578"/>
    <n v="2024038"/>
    <x v="38"/>
    <s v="Chickpea"/>
    <m/>
    <x v="9"/>
    <s v="N"/>
    <x v="2"/>
    <n v="3"/>
    <n v="3"/>
    <x v="0"/>
    <m/>
    <m/>
    <m/>
    <n v="1"/>
    <n v="2"/>
    <m/>
    <m/>
    <m/>
    <m/>
    <n v="3"/>
    <n v="2"/>
    <x v="2"/>
    <n v="1"/>
    <m/>
    <m/>
    <x v="1"/>
    <n v="1"/>
    <x v="0"/>
    <m/>
    <m/>
    <n v="30.5"/>
    <x v="1"/>
    <s v="22/05/2024"/>
    <d v="2024-05-22T00:00:00"/>
    <s v="2024038-3"/>
    <x v="3"/>
  </r>
  <r>
    <x v="579"/>
    <n v="2024038"/>
    <x v="38"/>
    <s v="Chickpea"/>
    <m/>
    <x v="3"/>
    <s v="N"/>
    <x v="2"/>
    <n v="4"/>
    <n v="4"/>
    <x v="0"/>
    <m/>
    <m/>
    <m/>
    <n v="1"/>
    <n v="2"/>
    <m/>
    <m/>
    <m/>
    <m/>
    <n v="4"/>
    <n v="2"/>
    <x v="3"/>
    <n v="1"/>
    <m/>
    <m/>
    <x v="1"/>
    <n v="2"/>
    <x v="0"/>
    <m/>
    <m/>
    <n v="30.5"/>
    <x v="1"/>
    <s v="22/05/2024"/>
    <d v="2024-05-22T00:00:00"/>
    <s v="2024038-4"/>
    <x v="3"/>
  </r>
  <r>
    <x v="576"/>
    <n v="2024038"/>
    <x v="38"/>
    <s v="Chickpea"/>
    <m/>
    <x v="8"/>
    <s v="Y"/>
    <x v="1"/>
    <n v="5"/>
    <n v="1"/>
    <x v="0"/>
    <m/>
    <m/>
    <m/>
    <n v="1"/>
    <n v="1"/>
    <m/>
    <m/>
    <m/>
    <m/>
    <n v="1"/>
    <n v="3"/>
    <x v="0"/>
    <n v="2"/>
    <m/>
    <n v="1"/>
    <x v="0"/>
    <n v="3"/>
    <x v="0"/>
    <m/>
    <m/>
    <n v="30.5"/>
    <x v="1"/>
    <s v="22/05/2024"/>
    <d v="2024-05-22T00:00:00"/>
    <s v="2024038-5"/>
    <x v="3"/>
  </r>
  <r>
    <x v="577"/>
    <n v="2024038"/>
    <x v="38"/>
    <s v="Chickpea"/>
    <m/>
    <x v="4"/>
    <s v="Y"/>
    <x v="1"/>
    <n v="6"/>
    <n v="2"/>
    <x v="0"/>
    <m/>
    <m/>
    <m/>
    <n v="1"/>
    <n v="1"/>
    <m/>
    <m/>
    <m/>
    <m/>
    <n v="2"/>
    <n v="3"/>
    <x v="1"/>
    <n v="2"/>
    <m/>
    <n v="2"/>
    <x v="0"/>
    <n v="4"/>
    <x v="0"/>
    <m/>
    <m/>
    <n v="30.5"/>
    <x v="1"/>
    <s v="22/05/2024"/>
    <d v="2024-05-22T00:00:00"/>
    <s v="2024038-6"/>
    <x v="3"/>
  </r>
  <r>
    <x v="578"/>
    <n v="2024038"/>
    <x v="38"/>
    <s v="Chickpea"/>
    <m/>
    <x v="9"/>
    <s v="N"/>
    <x v="1"/>
    <n v="7"/>
    <n v="3"/>
    <x v="0"/>
    <m/>
    <m/>
    <m/>
    <n v="1"/>
    <n v="2"/>
    <m/>
    <m/>
    <m/>
    <m/>
    <n v="3"/>
    <n v="3"/>
    <x v="2"/>
    <n v="2"/>
    <m/>
    <n v="3"/>
    <x v="1"/>
    <n v="1"/>
    <x v="0"/>
    <m/>
    <m/>
    <n v="30.5"/>
    <x v="1"/>
    <s v="22/05/2024"/>
    <d v="2024-05-22T00:00:00"/>
    <s v="2024038-7"/>
    <x v="3"/>
  </r>
  <r>
    <x v="579"/>
    <n v="2024038"/>
    <x v="38"/>
    <s v="Chickpea"/>
    <m/>
    <x v="3"/>
    <s v="N"/>
    <x v="1"/>
    <n v="8"/>
    <n v="4"/>
    <x v="0"/>
    <m/>
    <m/>
    <m/>
    <n v="1"/>
    <n v="2"/>
    <m/>
    <m/>
    <m/>
    <m/>
    <n v="4"/>
    <n v="3"/>
    <x v="3"/>
    <n v="2"/>
    <m/>
    <n v="4"/>
    <x v="1"/>
    <n v="2"/>
    <x v="0"/>
    <m/>
    <m/>
    <n v="30.5"/>
    <x v="1"/>
    <s v="22/05/2024"/>
    <d v="2024-05-22T00:00:00"/>
    <s v="2024038-8"/>
    <x v="3"/>
  </r>
  <r>
    <x v="580"/>
    <n v="2024038"/>
    <x v="38"/>
    <s v="Chickpea"/>
    <m/>
    <x v="9"/>
    <s v="N"/>
    <x v="2"/>
    <n v="9"/>
    <n v="5"/>
    <x v="0"/>
    <m/>
    <m/>
    <m/>
    <n v="1"/>
    <n v="1"/>
    <m/>
    <m/>
    <m/>
    <m/>
    <n v="1"/>
    <n v="4"/>
    <x v="0"/>
    <n v="3"/>
    <m/>
    <m/>
    <x v="0"/>
    <n v="1"/>
    <x v="0"/>
    <m/>
    <m/>
    <n v="30.5"/>
    <x v="1"/>
    <s v="22/05/2024"/>
    <d v="2024-05-22T00:00:00"/>
    <s v="2024038-9"/>
    <x v="3"/>
  </r>
  <r>
    <x v="581"/>
    <n v="2024038"/>
    <x v="38"/>
    <s v="Chickpea"/>
    <m/>
    <x v="3"/>
    <s v="N"/>
    <x v="2"/>
    <n v="10"/>
    <n v="6"/>
    <x v="0"/>
    <m/>
    <m/>
    <m/>
    <n v="1"/>
    <n v="1"/>
    <m/>
    <m/>
    <m/>
    <m/>
    <n v="2"/>
    <n v="4"/>
    <x v="1"/>
    <n v="3"/>
    <m/>
    <m/>
    <x v="0"/>
    <n v="2"/>
    <x v="0"/>
    <m/>
    <m/>
    <n v="30.5"/>
    <x v="1"/>
    <s v="22/05/2024"/>
    <d v="2024-05-22T00:00:00"/>
    <s v="2024038-10"/>
    <x v="3"/>
  </r>
  <r>
    <x v="582"/>
    <n v="2024038"/>
    <x v="38"/>
    <s v="Chickpea"/>
    <m/>
    <x v="4"/>
    <s v="Y"/>
    <x v="2"/>
    <n v="11"/>
    <n v="7"/>
    <x v="0"/>
    <m/>
    <m/>
    <m/>
    <n v="1"/>
    <n v="2"/>
    <m/>
    <m/>
    <m/>
    <m/>
    <n v="3"/>
    <n v="4"/>
    <x v="2"/>
    <n v="3"/>
    <m/>
    <m/>
    <x v="1"/>
    <n v="4"/>
    <x v="0"/>
    <m/>
    <m/>
    <n v="30.5"/>
    <x v="1"/>
    <s v="22/05/2024"/>
    <d v="2024-05-22T00:00:00"/>
    <s v="2024038-11"/>
    <x v="3"/>
  </r>
  <r>
    <x v="583"/>
    <n v="2024038"/>
    <x v="38"/>
    <s v="Chickpea"/>
    <m/>
    <x v="8"/>
    <s v="Y"/>
    <x v="2"/>
    <n v="12"/>
    <n v="8"/>
    <x v="0"/>
    <m/>
    <m/>
    <m/>
    <n v="1"/>
    <n v="2"/>
    <m/>
    <m/>
    <m/>
    <m/>
    <n v="4"/>
    <n v="4"/>
    <x v="3"/>
    <n v="3"/>
    <m/>
    <m/>
    <x v="1"/>
    <n v="3"/>
    <x v="0"/>
    <m/>
    <m/>
    <n v="30.5"/>
    <x v="1"/>
    <s v="22/05/2024"/>
    <d v="2024-05-22T00:00:00"/>
    <s v="2024038-12"/>
    <x v="3"/>
  </r>
  <r>
    <x v="580"/>
    <n v="2024038"/>
    <x v="38"/>
    <s v="Chickpea"/>
    <m/>
    <x v="9"/>
    <s v="N"/>
    <x v="1"/>
    <n v="13"/>
    <n v="5"/>
    <x v="0"/>
    <m/>
    <m/>
    <m/>
    <n v="1"/>
    <n v="1"/>
    <m/>
    <m/>
    <m/>
    <m/>
    <n v="1"/>
    <n v="5"/>
    <x v="0"/>
    <n v="4"/>
    <m/>
    <n v="8"/>
    <x v="0"/>
    <n v="1"/>
    <x v="0"/>
    <m/>
    <m/>
    <n v="30.5"/>
    <x v="1"/>
    <s v="22/05/2024"/>
    <d v="2024-05-22T00:00:00"/>
    <s v="2024038-13"/>
    <x v="3"/>
  </r>
  <r>
    <x v="581"/>
    <n v="2024038"/>
    <x v="38"/>
    <s v="Chickpea"/>
    <m/>
    <x v="3"/>
    <s v="N"/>
    <x v="1"/>
    <n v="14"/>
    <n v="6"/>
    <x v="0"/>
    <m/>
    <m/>
    <m/>
    <n v="1"/>
    <n v="1"/>
    <m/>
    <m/>
    <m/>
    <m/>
    <n v="2"/>
    <n v="5"/>
    <x v="1"/>
    <n v="4"/>
    <m/>
    <n v="7"/>
    <x v="0"/>
    <n v="2"/>
    <x v="0"/>
    <m/>
    <m/>
    <n v="30.5"/>
    <x v="1"/>
    <s v="22/05/2024"/>
    <d v="2024-05-22T00:00:00"/>
    <s v="2024038-14"/>
    <x v="3"/>
  </r>
  <r>
    <x v="582"/>
    <n v="2024038"/>
    <x v="38"/>
    <s v="Chickpea"/>
    <m/>
    <x v="4"/>
    <s v="Y"/>
    <x v="1"/>
    <n v="15"/>
    <n v="7"/>
    <x v="0"/>
    <m/>
    <m/>
    <m/>
    <n v="1"/>
    <n v="2"/>
    <m/>
    <m/>
    <m/>
    <m/>
    <n v="3"/>
    <n v="5"/>
    <x v="2"/>
    <n v="4"/>
    <m/>
    <n v="6"/>
    <x v="1"/>
    <n v="4"/>
    <x v="0"/>
    <m/>
    <m/>
    <n v="30.5"/>
    <x v="1"/>
    <s v="22/05/2024"/>
    <d v="2024-05-22T00:00:00"/>
    <s v="2024038-15"/>
    <x v="3"/>
  </r>
  <r>
    <x v="583"/>
    <n v="2024038"/>
    <x v="38"/>
    <s v="Chickpea"/>
    <m/>
    <x v="8"/>
    <s v="Y"/>
    <x v="1"/>
    <n v="16"/>
    <n v="8"/>
    <x v="0"/>
    <m/>
    <m/>
    <m/>
    <n v="1"/>
    <n v="2"/>
    <m/>
    <m/>
    <m/>
    <m/>
    <n v="4"/>
    <n v="5"/>
    <x v="3"/>
    <n v="4"/>
    <m/>
    <n v="5"/>
    <x v="1"/>
    <n v="3"/>
    <x v="0"/>
    <m/>
    <m/>
    <n v="30.5"/>
    <x v="1"/>
    <s v="22/05/2024"/>
    <d v="2024-05-22T00:00:00"/>
    <s v="2024038-16"/>
    <x v="3"/>
  </r>
  <r>
    <x v="584"/>
    <n v="2024038"/>
    <x v="38"/>
    <s v="Chickpea"/>
    <m/>
    <x v="8"/>
    <s v="Y"/>
    <x v="2"/>
    <n v="17"/>
    <n v="9"/>
    <x v="0"/>
    <m/>
    <m/>
    <m/>
    <n v="2"/>
    <n v="3"/>
    <m/>
    <m/>
    <m/>
    <m/>
    <n v="1"/>
    <n v="7"/>
    <x v="0"/>
    <n v="5"/>
    <m/>
    <m/>
    <x v="1"/>
    <n v="3"/>
    <x v="0"/>
    <m/>
    <m/>
    <n v="30.5"/>
    <x v="2"/>
    <s v="04/07/2024"/>
    <d v="2024-07-04T00:00:00"/>
    <s v="2024038-17"/>
    <x v="3"/>
  </r>
  <r>
    <x v="585"/>
    <n v="2024038"/>
    <x v="38"/>
    <s v="Chickpea"/>
    <m/>
    <x v="3"/>
    <s v="N"/>
    <x v="2"/>
    <n v="18"/>
    <n v="10"/>
    <x v="0"/>
    <m/>
    <m/>
    <m/>
    <n v="2"/>
    <n v="3"/>
    <m/>
    <m/>
    <m/>
    <m/>
    <n v="2"/>
    <n v="7"/>
    <x v="1"/>
    <n v="5"/>
    <m/>
    <m/>
    <x v="1"/>
    <n v="2"/>
    <x v="0"/>
    <m/>
    <m/>
    <n v="30.5"/>
    <x v="2"/>
    <s v="04/07/2024"/>
    <d v="2024-07-04T00:00:00"/>
    <s v="2024038-18"/>
    <x v="3"/>
  </r>
  <r>
    <x v="586"/>
    <n v="2024038"/>
    <x v="38"/>
    <s v="Chickpea"/>
    <m/>
    <x v="4"/>
    <s v="Y"/>
    <x v="2"/>
    <n v="19"/>
    <n v="11"/>
    <x v="0"/>
    <m/>
    <m/>
    <m/>
    <n v="2"/>
    <n v="4"/>
    <m/>
    <m/>
    <m/>
    <m/>
    <n v="3"/>
    <n v="7"/>
    <x v="2"/>
    <n v="5"/>
    <m/>
    <m/>
    <x v="0"/>
    <n v="4"/>
    <x v="0"/>
    <m/>
    <m/>
    <n v="30.5"/>
    <x v="2"/>
    <s v="04/07/2024"/>
    <d v="2024-07-04T00:00:00"/>
    <s v="2024038-19"/>
    <x v="3"/>
  </r>
  <r>
    <x v="587"/>
    <n v="2024038"/>
    <x v="38"/>
    <s v="Chickpea"/>
    <m/>
    <x v="9"/>
    <s v="N"/>
    <x v="2"/>
    <n v="20"/>
    <n v="12"/>
    <x v="0"/>
    <m/>
    <m/>
    <m/>
    <n v="2"/>
    <n v="4"/>
    <m/>
    <m/>
    <m/>
    <m/>
    <n v="4"/>
    <n v="7"/>
    <x v="3"/>
    <n v="5"/>
    <m/>
    <m/>
    <x v="0"/>
    <n v="1"/>
    <x v="0"/>
    <m/>
    <m/>
    <n v="30.5"/>
    <x v="2"/>
    <s v="04/07/2024"/>
    <d v="2024-07-04T00:00:00"/>
    <s v="2024038-20"/>
    <x v="3"/>
  </r>
  <r>
    <x v="584"/>
    <n v="2024038"/>
    <x v="38"/>
    <s v="Chickpea"/>
    <m/>
    <x v="8"/>
    <s v="Y"/>
    <x v="1"/>
    <n v="21"/>
    <n v="9"/>
    <x v="0"/>
    <m/>
    <m/>
    <m/>
    <n v="2"/>
    <n v="3"/>
    <m/>
    <m/>
    <m/>
    <m/>
    <n v="1"/>
    <n v="8"/>
    <x v="0"/>
    <n v="6"/>
    <m/>
    <n v="9"/>
    <x v="1"/>
    <n v="3"/>
    <x v="0"/>
    <m/>
    <m/>
    <n v="30.5"/>
    <x v="2"/>
    <s v="04/07/2024"/>
    <d v="2024-07-04T00:00:00"/>
    <s v="2024038-21"/>
    <x v="3"/>
  </r>
  <r>
    <x v="585"/>
    <n v="2024038"/>
    <x v="38"/>
    <s v="Chickpea"/>
    <m/>
    <x v="3"/>
    <s v="N"/>
    <x v="1"/>
    <n v="22"/>
    <n v="10"/>
    <x v="0"/>
    <m/>
    <m/>
    <m/>
    <n v="2"/>
    <n v="3"/>
    <m/>
    <m/>
    <m/>
    <m/>
    <n v="2"/>
    <n v="8"/>
    <x v="1"/>
    <n v="6"/>
    <m/>
    <n v="10"/>
    <x v="1"/>
    <n v="2"/>
    <x v="0"/>
    <m/>
    <m/>
    <n v="30.5"/>
    <x v="2"/>
    <s v="04/07/2024"/>
    <d v="2024-07-04T00:00:00"/>
    <s v="2024038-22"/>
    <x v="3"/>
  </r>
  <r>
    <x v="586"/>
    <n v="2024038"/>
    <x v="38"/>
    <s v="Chickpea"/>
    <m/>
    <x v="4"/>
    <s v="Y"/>
    <x v="1"/>
    <n v="23"/>
    <n v="11"/>
    <x v="0"/>
    <m/>
    <m/>
    <m/>
    <n v="2"/>
    <n v="4"/>
    <m/>
    <m/>
    <m/>
    <m/>
    <n v="3"/>
    <n v="8"/>
    <x v="2"/>
    <n v="6"/>
    <m/>
    <n v="11"/>
    <x v="0"/>
    <n v="4"/>
    <x v="0"/>
    <m/>
    <m/>
    <n v="30.5"/>
    <x v="2"/>
    <s v="04/07/2024"/>
    <d v="2024-07-04T00:00:00"/>
    <s v="2024038-23"/>
    <x v="3"/>
  </r>
  <r>
    <x v="587"/>
    <n v="2024038"/>
    <x v="38"/>
    <s v="Chickpea"/>
    <m/>
    <x v="9"/>
    <s v="N"/>
    <x v="1"/>
    <n v="24"/>
    <n v="12"/>
    <x v="0"/>
    <m/>
    <m/>
    <m/>
    <n v="2"/>
    <n v="4"/>
    <m/>
    <m/>
    <m/>
    <m/>
    <n v="4"/>
    <n v="8"/>
    <x v="3"/>
    <n v="6"/>
    <m/>
    <n v="12"/>
    <x v="0"/>
    <n v="1"/>
    <x v="0"/>
    <m/>
    <m/>
    <n v="30.5"/>
    <x v="2"/>
    <s v="04/07/2024"/>
    <d v="2024-07-04T00:00:00"/>
    <s v="2024038-24"/>
    <x v="3"/>
  </r>
  <r>
    <x v="588"/>
    <n v="2024038"/>
    <x v="38"/>
    <s v="Chickpea"/>
    <m/>
    <x v="9"/>
    <s v="N"/>
    <x v="2"/>
    <n v="25"/>
    <n v="13"/>
    <x v="0"/>
    <m/>
    <m/>
    <m/>
    <n v="2"/>
    <n v="3"/>
    <m/>
    <m/>
    <m/>
    <m/>
    <n v="1"/>
    <n v="9"/>
    <x v="0"/>
    <n v="7"/>
    <m/>
    <m/>
    <x v="1"/>
    <n v="1"/>
    <x v="0"/>
    <m/>
    <m/>
    <n v="30.5"/>
    <x v="2"/>
    <s v="04/07/2024"/>
    <d v="2024-07-04T00:00:00"/>
    <s v="2024038-25"/>
    <x v="3"/>
  </r>
  <r>
    <x v="589"/>
    <n v="2024038"/>
    <x v="38"/>
    <s v="Chickpea"/>
    <m/>
    <x v="4"/>
    <s v="Y"/>
    <x v="2"/>
    <n v="26"/>
    <n v="14"/>
    <x v="0"/>
    <m/>
    <m/>
    <m/>
    <n v="2"/>
    <n v="3"/>
    <m/>
    <m/>
    <m/>
    <m/>
    <n v="2"/>
    <n v="9"/>
    <x v="1"/>
    <n v="7"/>
    <m/>
    <m/>
    <x v="1"/>
    <n v="4"/>
    <x v="0"/>
    <m/>
    <m/>
    <n v="30.5"/>
    <x v="2"/>
    <s v="04/07/2024"/>
    <d v="2024-07-04T00:00:00"/>
    <s v="2024038-26"/>
    <x v="3"/>
  </r>
  <r>
    <x v="590"/>
    <n v="2024038"/>
    <x v="38"/>
    <s v="Chickpea"/>
    <m/>
    <x v="8"/>
    <s v="Y"/>
    <x v="2"/>
    <n v="27"/>
    <n v="15"/>
    <x v="0"/>
    <m/>
    <m/>
    <m/>
    <n v="2"/>
    <n v="4"/>
    <m/>
    <m/>
    <m/>
    <m/>
    <n v="3"/>
    <n v="9"/>
    <x v="2"/>
    <n v="7"/>
    <m/>
    <m/>
    <x v="0"/>
    <n v="3"/>
    <x v="0"/>
    <m/>
    <m/>
    <n v="30.5"/>
    <x v="2"/>
    <s v="04/07/2024"/>
    <d v="2024-07-04T00:00:00"/>
    <s v="2024038-27"/>
    <x v="3"/>
  </r>
  <r>
    <x v="591"/>
    <n v="2024038"/>
    <x v="38"/>
    <s v="Chickpea"/>
    <m/>
    <x v="3"/>
    <s v="N"/>
    <x v="2"/>
    <n v="28"/>
    <n v="16"/>
    <x v="0"/>
    <m/>
    <m/>
    <m/>
    <n v="2"/>
    <n v="4"/>
    <m/>
    <m/>
    <m/>
    <m/>
    <n v="4"/>
    <n v="9"/>
    <x v="3"/>
    <n v="7"/>
    <m/>
    <m/>
    <x v="0"/>
    <n v="2"/>
    <x v="0"/>
    <m/>
    <m/>
    <n v="30.5"/>
    <x v="2"/>
    <s v="04/07/2024"/>
    <d v="2024-07-04T00:00:00"/>
    <s v="2024038-28"/>
    <x v="3"/>
  </r>
  <r>
    <x v="588"/>
    <n v="2024038"/>
    <x v="38"/>
    <s v="Chickpea"/>
    <m/>
    <x v="9"/>
    <s v="N"/>
    <x v="1"/>
    <n v="29"/>
    <n v="13"/>
    <x v="0"/>
    <m/>
    <m/>
    <m/>
    <n v="2"/>
    <n v="3"/>
    <m/>
    <m/>
    <m/>
    <m/>
    <n v="1"/>
    <n v="10"/>
    <x v="0"/>
    <n v="8"/>
    <m/>
    <n v="16"/>
    <x v="1"/>
    <n v="1"/>
    <x v="0"/>
    <m/>
    <m/>
    <n v="30.5"/>
    <x v="2"/>
    <s v="04/07/2024"/>
    <d v="2024-07-04T00:00:00"/>
    <s v="2024038-29"/>
    <x v="3"/>
  </r>
  <r>
    <x v="589"/>
    <n v="2024038"/>
    <x v="38"/>
    <s v="Chickpea"/>
    <m/>
    <x v="4"/>
    <s v="Y"/>
    <x v="1"/>
    <n v="30"/>
    <n v="14"/>
    <x v="0"/>
    <m/>
    <m/>
    <m/>
    <n v="2"/>
    <n v="3"/>
    <m/>
    <m/>
    <m/>
    <m/>
    <n v="2"/>
    <n v="10"/>
    <x v="1"/>
    <n v="8"/>
    <m/>
    <n v="15"/>
    <x v="1"/>
    <n v="4"/>
    <x v="0"/>
    <m/>
    <m/>
    <n v="30.5"/>
    <x v="2"/>
    <s v="04/07/2024"/>
    <d v="2024-07-04T00:00:00"/>
    <s v="2024038-30"/>
    <x v="3"/>
  </r>
  <r>
    <x v="590"/>
    <n v="2024038"/>
    <x v="38"/>
    <s v="Chickpea"/>
    <m/>
    <x v="8"/>
    <s v="Y"/>
    <x v="1"/>
    <n v="31"/>
    <n v="15"/>
    <x v="0"/>
    <m/>
    <m/>
    <m/>
    <n v="2"/>
    <n v="4"/>
    <m/>
    <m/>
    <m/>
    <m/>
    <n v="3"/>
    <n v="10"/>
    <x v="2"/>
    <n v="8"/>
    <m/>
    <n v="14"/>
    <x v="0"/>
    <n v="3"/>
    <x v="0"/>
    <m/>
    <m/>
    <n v="30.5"/>
    <x v="2"/>
    <s v="04/07/2024"/>
    <d v="2024-07-04T00:00:00"/>
    <s v="2024038-31"/>
    <x v="3"/>
  </r>
  <r>
    <x v="591"/>
    <n v="2024038"/>
    <x v="38"/>
    <s v="Chickpea"/>
    <m/>
    <x v="3"/>
    <s v="N"/>
    <x v="1"/>
    <n v="32"/>
    <n v="16"/>
    <x v="0"/>
    <m/>
    <m/>
    <m/>
    <n v="2"/>
    <n v="4"/>
    <m/>
    <m/>
    <m/>
    <m/>
    <n v="4"/>
    <n v="10"/>
    <x v="3"/>
    <n v="8"/>
    <m/>
    <n v="13"/>
    <x v="0"/>
    <n v="2"/>
    <x v="0"/>
    <m/>
    <m/>
    <n v="30.5"/>
    <x v="2"/>
    <s v="04/07/2024"/>
    <d v="2024-07-04T00:00:00"/>
    <s v="2024038-32"/>
    <x v="3"/>
  </r>
  <r>
    <x v="585"/>
    <n v="2024038"/>
    <x v="38"/>
    <s v="Chickpea"/>
    <m/>
    <x v="3"/>
    <s v="N"/>
    <x v="2"/>
    <n v="33"/>
    <n v="17"/>
    <x v="1"/>
    <m/>
    <m/>
    <m/>
    <n v="3"/>
    <n v="5"/>
    <m/>
    <m/>
    <m/>
    <m/>
    <n v="1"/>
    <n v="12"/>
    <x v="0"/>
    <n v="9"/>
    <m/>
    <m/>
    <x v="1"/>
    <n v="2"/>
    <x v="0"/>
    <m/>
    <m/>
    <n v="30.5"/>
    <x v="2"/>
    <s v="04/07/2024"/>
    <d v="2024-07-04T00:00:00"/>
    <s v="2024038-33"/>
    <x v="3"/>
  </r>
  <r>
    <x v="584"/>
    <n v="2024038"/>
    <x v="38"/>
    <s v="Chickpea"/>
    <m/>
    <x v="8"/>
    <s v="Y"/>
    <x v="2"/>
    <n v="34"/>
    <n v="18"/>
    <x v="1"/>
    <m/>
    <m/>
    <m/>
    <n v="3"/>
    <n v="5"/>
    <m/>
    <m/>
    <m/>
    <m/>
    <n v="2"/>
    <n v="12"/>
    <x v="1"/>
    <n v="9"/>
    <m/>
    <m/>
    <x v="1"/>
    <n v="3"/>
    <x v="0"/>
    <m/>
    <m/>
    <n v="30.5"/>
    <x v="2"/>
    <s v="04/07/2024"/>
    <d v="2024-07-04T00:00:00"/>
    <s v="2024038-34"/>
    <x v="3"/>
  </r>
  <r>
    <x v="587"/>
    <n v="2024038"/>
    <x v="38"/>
    <s v="Chickpea"/>
    <m/>
    <x v="9"/>
    <s v="N"/>
    <x v="2"/>
    <n v="35"/>
    <n v="19"/>
    <x v="1"/>
    <m/>
    <m/>
    <m/>
    <n v="3"/>
    <n v="6"/>
    <m/>
    <m/>
    <m/>
    <m/>
    <n v="3"/>
    <n v="12"/>
    <x v="2"/>
    <n v="9"/>
    <m/>
    <m/>
    <x v="0"/>
    <n v="1"/>
    <x v="0"/>
    <m/>
    <m/>
    <n v="30.5"/>
    <x v="2"/>
    <s v="04/07/2024"/>
    <d v="2024-07-04T00:00:00"/>
    <s v="2024038-35"/>
    <x v="3"/>
  </r>
  <r>
    <x v="586"/>
    <n v="2024038"/>
    <x v="38"/>
    <s v="Chickpea"/>
    <m/>
    <x v="4"/>
    <s v="Y"/>
    <x v="2"/>
    <n v="36"/>
    <n v="20"/>
    <x v="1"/>
    <m/>
    <m/>
    <m/>
    <n v="3"/>
    <n v="6"/>
    <m/>
    <m/>
    <m/>
    <m/>
    <n v="4"/>
    <n v="12"/>
    <x v="3"/>
    <n v="9"/>
    <m/>
    <m/>
    <x v="0"/>
    <n v="4"/>
    <x v="0"/>
    <m/>
    <m/>
    <n v="30.5"/>
    <x v="2"/>
    <s v="04/07/2024"/>
    <d v="2024-07-04T00:00:00"/>
    <s v="2024038-36"/>
    <x v="3"/>
  </r>
  <r>
    <x v="585"/>
    <n v="2024038"/>
    <x v="38"/>
    <s v="Chickpea"/>
    <m/>
    <x v="3"/>
    <s v="N"/>
    <x v="1"/>
    <n v="37"/>
    <n v="17"/>
    <x v="1"/>
    <m/>
    <m/>
    <m/>
    <n v="3"/>
    <n v="5"/>
    <m/>
    <m/>
    <m/>
    <m/>
    <n v="1"/>
    <n v="13"/>
    <x v="0"/>
    <n v="10"/>
    <m/>
    <n v="17"/>
    <x v="1"/>
    <n v="2"/>
    <x v="0"/>
    <m/>
    <m/>
    <n v="30.5"/>
    <x v="2"/>
    <s v="04/07/2024"/>
    <d v="2024-07-04T00:00:00"/>
    <s v="2024038-37"/>
    <x v="3"/>
  </r>
  <r>
    <x v="584"/>
    <n v="2024038"/>
    <x v="38"/>
    <s v="Chickpea"/>
    <m/>
    <x v="8"/>
    <s v="Y"/>
    <x v="1"/>
    <n v="38"/>
    <n v="18"/>
    <x v="1"/>
    <m/>
    <m/>
    <m/>
    <n v="3"/>
    <n v="5"/>
    <m/>
    <m/>
    <m/>
    <m/>
    <n v="2"/>
    <n v="13"/>
    <x v="1"/>
    <n v="10"/>
    <m/>
    <n v="18"/>
    <x v="1"/>
    <n v="3"/>
    <x v="0"/>
    <m/>
    <m/>
    <n v="30.5"/>
    <x v="2"/>
    <s v="04/07/2024"/>
    <d v="2024-07-04T00:00:00"/>
    <s v="2024038-38"/>
    <x v="3"/>
  </r>
  <r>
    <x v="587"/>
    <n v="2024038"/>
    <x v="38"/>
    <s v="Chickpea"/>
    <m/>
    <x v="9"/>
    <s v="N"/>
    <x v="1"/>
    <n v="39"/>
    <n v="19"/>
    <x v="1"/>
    <m/>
    <m/>
    <m/>
    <n v="3"/>
    <n v="6"/>
    <m/>
    <m/>
    <m/>
    <m/>
    <n v="3"/>
    <n v="13"/>
    <x v="2"/>
    <n v="10"/>
    <m/>
    <n v="19"/>
    <x v="0"/>
    <n v="1"/>
    <x v="0"/>
    <m/>
    <m/>
    <n v="30.5"/>
    <x v="2"/>
    <s v="04/07/2024"/>
    <d v="2024-07-04T00:00:00"/>
    <s v="2024038-39"/>
    <x v="3"/>
  </r>
  <r>
    <x v="586"/>
    <n v="2024038"/>
    <x v="38"/>
    <s v="Chickpea"/>
    <m/>
    <x v="4"/>
    <s v="Y"/>
    <x v="1"/>
    <n v="40"/>
    <n v="20"/>
    <x v="1"/>
    <m/>
    <m/>
    <m/>
    <n v="3"/>
    <n v="6"/>
    <m/>
    <m/>
    <m/>
    <m/>
    <n v="4"/>
    <n v="13"/>
    <x v="3"/>
    <n v="10"/>
    <m/>
    <n v="20"/>
    <x v="0"/>
    <n v="4"/>
    <x v="0"/>
    <m/>
    <m/>
    <n v="30.5"/>
    <x v="2"/>
    <s v="04/07/2024"/>
    <d v="2024-07-04T00:00:00"/>
    <s v="2024038-40"/>
    <x v="3"/>
  </r>
  <r>
    <x v="589"/>
    <n v="2024038"/>
    <x v="38"/>
    <s v="Chickpea"/>
    <m/>
    <x v="4"/>
    <s v="Y"/>
    <x v="2"/>
    <n v="41"/>
    <n v="21"/>
    <x v="1"/>
    <m/>
    <m/>
    <m/>
    <n v="3"/>
    <n v="5"/>
    <m/>
    <m/>
    <m/>
    <m/>
    <n v="1"/>
    <n v="14"/>
    <x v="0"/>
    <n v="11"/>
    <m/>
    <m/>
    <x v="1"/>
    <n v="4"/>
    <x v="0"/>
    <m/>
    <m/>
    <n v="30.5"/>
    <x v="2"/>
    <s v="04/07/2024"/>
    <d v="2024-07-04T00:00:00"/>
    <s v="2024038-41"/>
    <x v="3"/>
  </r>
  <r>
    <x v="588"/>
    <n v="2024038"/>
    <x v="38"/>
    <s v="Chickpea"/>
    <m/>
    <x v="9"/>
    <s v="N"/>
    <x v="2"/>
    <n v="42"/>
    <n v="22"/>
    <x v="1"/>
    <m/>
    <m/>
    <m/>
    <n v="3"/>
    <n v="5"/>
    <m/>
    <m/>
    <m/>
    <m/>
    <n v="2"/>
    <n v="14"/>
    <x v="1"/>
    <n v="11"/>
    <m/>
    <m/>
    <x v="1"/>
    <n v="1"/>
    <x v="0"/>
    <m/>
    <m/>
    <n v="30.5"/>
    <x v="2"/>
    <s v="04/07/2024"/>
    <d v="2024-07-04T00:00:00"/>
    <s v="2024038-42"/>
    <x v="3"/>
  </r>
  <r>
    <x v="591"/>
    <n v="2024038"/>
    <x v="38"/>
    <s v="Chickpea"/>
    <m/>
    <x v="3"/>
    <s v="N"/>
    <x v="2"/>
    <n v="43"/>
    <n v="23"/>
    <x v="1"/>
    <m/>
    <m/>
    <m/>
    <n v="3"/>
    <n v="6"/>
    <m/>
    <m/>
    <m/>
    <m/>
    <n v="3"/>
    <n v="14"/>
    <x v="2"/>
    <n v="11"/>
    <m/>
    <m/>
    <x v="0"/>
    <n v="2"/>
    <x v="0"/>
    <m/>
    <m/>
    <n v="30.5"/>
    <x v="2"/>
    <s v="04/07/2024"/>
    <d v="2024-07-04T00:00:00"/>
    <s v="2024038-43"/>
    <x v="3"/>
  </r>
  <r>
    <x v="590"/>
    <n v="2024038"/>
    <x v="38"/>
    <s v="Chickpea"/>
    <m/>
    <x v="8"/>
    <s v="Y"/>
    <x v="2"/>
    <n v="44"/>
    <n v="24"/>
    <x v="1"/>
    <m/>
    <m/>
    <m/>
    <n v="3"/>
    <n v="6"/>
    <m/>
    <m/>
    <m/>
    <m/>
    <n v="4"/>
    <n v="14"/>
    <x v="3"/>
    <n v="11"/>
    <m/>
    <m/>
    <x v="0"/>
    <n v="3"/>
    <x v="0"/>
    <m/>
    <m/>
    <n v="30.5"/>
    <x v="2"/>
    <s v="04/07/2024"/>
    <d v="2024-07-04T00:00:00"/>
    <s v="2024038-44"/>
    <x v="3"/>
  </r>
  <r>
    <x v="589"/>
    <n v="2024038"/>
    <x v="38"/>
    <s v="Chickpea"/>
    <m/>
    <x v="4"/>
    <s v="Y"/>
    <x v="1"/>
    <n v="45"/>
    <n v="21"/>
    <x v="1"/>
    <m/>
    <m/>
    <m/>
    <n v="3"/>
    <n v="5"/>
    <m/>
    <m/>
    <m/>
    <m/>
    <n v="1"/>
    <n v="15"/>
    <x v="0"/>
    <n v="12"/>
    <m/>
    <n v="24"/>
    <x v="1"/>
    <n v="4"/>
    <x v="0"/>
    <m/>
    <m/>
    <n v="30.5"/>
    <x v="2"/>
    <s v="04/07/2024"/>
    <d v="2024-07-04T00:00:00"/>
    <s v="2024038-45"/>
    <x v="3"/>
  </r>
  <r>
    <x v="588"/>
    <n v="2024038"/>
    <x v="38"/>
    <s v="Chickpea"/>
    <m/>
    <x v="9"/>
    <s v="N"/>
    <x v="1"/>
    <n v="46"/>
    <n v="22"/>
    <x v="1"/>
    <m/>
    <m/>
    <m/>
    <n v="3"/>
    <n v="5"/>
    <m/>
    <m/>
    <m/>
    <m/>
    <n v="2"/>
    <n v="15"/>
    <x v="1"/>
    <n v="12"/>
    <m/>
    <n v="23"/>
    <x v="1"/>
    <n v="1"/>
    <x v="0"/>
    <m/>
    <m/>
    <n v="30.5"/>
    <x v="2"/>
    <s v="04/07/2024"/>
    <d v="2024-07-04T00:00:00"/>
    <s v="2024038-46"/>
    <x v="3"/>
  </r>
  <r>
    <x v="591"/>
    <n v="2024038"/>
    <x v="38"/>
    <s v="Chickpea"/>
    <m/>
    <x v="3"/>
    <s v="N"/>
    <x v="1"/>
    <n v="47"/>
    <n v="23"/>
    <x v="1"/>
    <m/>
    <m/>
    <m/>
    <n v="3"/>
    <n v="6"/>
    <m/>
    <m/>
    <m/>
    <m/>
    <n v="3"/>
    <n v="15"/>
    <x v="2"/>
    <n v="12"/>
    <m/>
    <n v="22"/>
    <x v="0"/>
    <n v="2"/>
    <x v="0"/>
    <m/>
    <m/>
    <n v="30.5"/>
    <x v="2"/>
    <s v="04/07/2024"/>
    <d v="2024-07-04T00:00:00"/>
    <s v="2024038-47"/>
    <x v="3"/>
  </r>
  <r>
    <x v="590"/>
    <n v="2024038"/>
    <x v="38"/>
    <s v="Chickpea"/>
    <m/>
    <x v="8"/>
    <s v="Y"/>
    <x v="1"/>
    <n v="48"/>
    <n v="24"/>
    <x v="1"/>
    <m/>
    <m/>
    <m/>
    <n v="3"/>
    <n v="6"/>
    <m/>
    <m/>
    <m/>
    <m/>
    <n v="4"/>
    <n v="15"/>
    <x v="3"/>
    <n v="12"/>
    <m/>
    <n v="21"/>
    <x v="0"/>
    <n v="3"/>
    <x v="0"/>
    <m/>
    <m/>
    <n v="30.5"/>
    <x v="2"/>
    <s v="04/07/2024"/>
    <d v="2024-07-04T00:00:00"/>
    <s v="2024038-48"/>
    <x v="3"/>
  </r>
  <r>
    <x v="580"/>
    <n v="2024038"/>
    <x v="38"/>
    <s v="Chickpea"/>
    <m/>
    <x v="9"/>
    <s v="N"/>
    <x v="2"/>
    <n v="49"/>
    <n v="25"/>
    <x v="1"/>
    <m/>
    <m/>
    <m/>
    <n v="4"/>
    <n v="7"/>
    <m/>
    <m/>
    <m/>
    <m/>
    <n v="1"/>
    <n v="17"/>
    <x v="0"/>
    <n v="13"/>
    <m/>
    <m/>
    <x v="0"/>
    <n v="1"/>
    <x v="0"/>
    <m/>
    <m/>
    <n v="30.5"/>
    <x v="1"/>
    <s v="22/05/2024"/>
    <d v="2024-05-22T00:00:00"/>
    <s v="2024038-49"/>
    <x v="3"/>
  </r>
  <r>
    <x v="577"/>
    <n v="2024038"/>
    <x v="38"/>
    <s v="Chickpea"/>
    <m/>
    <x v="4"/>
    <s v="Y"/>
    <x v="2"/>
    <n v="50"/>
    <n v="26"/>
    <x v="1"/>
    <m/>
    <m/>
    <m/>
    <n v="4"/>
    <n v="7"/>
    <m/>
    <m/>
    <m/>
    <m/>
    <n v="2"/>
    <n v="17"/>
    <x v="1"/>
    <n v="13"/>
    <m/>
    <m/>
    <x v="0"/>
    <n v="4"/>
    <x v="0"/>
    <m/>
    <m/>
    <n v="30.5"/>
    <x v="1"/>
    <s v="22/05/2024"/>
    <d v="2024-05-22T00:00:00"/>
    <s v="2024038-50"/>
    <x v="3"/>
  </r>
  <r>
    <x v="583"/>
    <n v="2024038"/>
    <x v="38"/>
    <s v="Chickpea"/>
    <m/>
    <x v="8"/>
    <s v="Y"/>
    <x v="2"/>
    <n v="51"/>
    <n v="27"/>
    <x v="1"/>
    <m/>
    <m/>
    <m/>
    <n v="4"/>
    <n v="8"/>
    <m/>
    <m/>
    <m/>
    <m/>
    <n v="3"/>
    <n v="17"/>
    <x v="2"/>
    <n v="13"/>
    <m/>
    <m/>
    <x v="1"/>
    <n v="3"/>
    <x v="0"/>
    <m/>
    <m/>
    <n v="30.5"/>
    <x v="1"/>
    <s v="22/05/2024"/>
    <d v="2024-05-22T00:00:00"/>
    <s v="2024038-51"/>
    <x v="3"/>
  </r>
  <r>
    <x v="579"/>
    <n v="2024038"/>
    <x v="38"/>
    <s v="Chickpea"/>
    <m/>
    <x v="3"/>
    <s v="N"/>
    <x v="2"/>
    <n v="52"/>
    <n v="28"/>
    <x v="1"/>
    <m/>
    <m/>
    <m/>
    <n v="4"/>
    <n v="8"/>
    <m/>
    <m/>
    <m/>
    <m/>
    <n v="4"/>
    <n v="17"/>
    <x v="3"/>
    <n v="13"/>
    <m/>
    <m/>
    <x v="1"/>
    <n v="2"/>
    <x v="0"/>
    <m/>
    <m/>
    <n v="30.5"/>
    <x v="1"/>
    <s v="22/05/2024"/>
    <d v="2024-05-22T00:00:00"/>
    <s v="2024038-52"/>
    <x v="3"/>
  </r>
  <r>
    <x v="580"/>
    <n v="2024038"/>
    <x v="38"/>
    <s v="Chickpea"/>
    <m/>
    <x v="9"/>
    <s v="N"/>
    <x v="1"/>
    <n v="53"/>
    <n v="25"/>
    <x v="1"/>
    <m/>
    <m/>
    <m/>
    <n v="4"/>
    <n v="7"/>
    <m/>
    <m/>
    <m/>
    <m/>
    <n v="1"/>
    <n v="18"/>
    <x v="0"/>
    <n v="14"/>
    <m/>
    <n v="25"/>
    <x v="0"/>
    <n v="1"/>
    <x v="0"/>
    <m/>
    <m/>
    <n v="30.5"/>
    <x v="1"/>
    <s v="22/05/2024"/>
    <d v="2024-05-22T00:00:00"/>
    <s v="2024038-53"/>
    <x v="3"/>
  </r>
  <r>
    <x v="577"/>
    <n v="2024038"/>
    <x v="38"/>
    <s v="Chickpea"/>
    <m/>
    <x v="4"/>
    <s v="Y"/>
    <x v="1"/>
    <n v="54"/>
    <n v="26"/>
    <x v="1"/>
    <m/>
    <m/>
    <m/>
    <n v="4"/>
    <n v="7"/>
    <m/>
    <m/>
    <m/>
    <m/>
    <n v="2"/>
    <n v="18"/>
    <x v="1"/>
    <n v="14"/>
    <m/>
    <n v="26"/>
    <x v="0"/>
    <n v="4"/>
    <x v="0"/>
    <m/>
    <m/>
    <n v="30.5"/>
    <x v="1"/>
    <s v="22/05/2024"/>
    <d v="2024-05-22T00:00:00"/>
    <s v="2024038-54"/>
    <x v="3"/>
  </r>
  <r>
    <x v="583"/>
    <n v="2024038"/>
    <x v="38"/>
    <s v="Chickpea"/>
    <m/>
    <x v="8"/>
    <s v="Y"/>
    <x v="1"/>
    <n v="55"/>
    <n v="27"/>
    <x v="1"/>
    <m/>
    <m/>
    <m/>
    <n v="4"/>
    <n v="8"/>
    <m/>
    <m/>
    <m/>
    <m/>
    <n v="3"/>
    <n v="18"/>
    <x v="2"/>
    <n v="14"/>
    <m/>
    <n v="27"/>
    <x v="1"/>
    <n v="3"/>
    <x v="0"/>
    <m/>
    <m/>
    <n v="30.5"/>
    <x v="1"/>
    <s v="22/05/2024"/>
    <d v="2024-05-22T00:00:00"/>
    <s v="2024038-55"/>
    <x v="3"/>
  </r>
  <r>
    <x v="579"/>
    <n v="2024038"/>
    <x v="38"/>
    <s v="Chickpea"/>
    <m/>
    <x v="3"/>
    <s v="N"/>
    <x v="1"/>
    <n v="56"/>
    <n v="28"/>
    <x v="1"/>
    <m/>
    <m/>
    <m/>
    <n v="4"/>
    <n v="8"/>
    <m/>
    <m/>
    <m/>
    <m/>
    <n v="4"/>
    <n v="18"/>
    <x v="3"/>
    <n v="14"/>
    <m/>
    <n v="28"/>
    <x v="1"/>
    <n v="2"/>
    <x v="0"/>
    <m/>
    <m/>
    <n v="30.5"/>
    <x v="1"/>
    <s v="22/05/2024"/>
    <d v="2024-05-22T00:00:00"/>
    <s v="2024038-56"/>
    <x v="3"/>
  </r>
  <r>
    <x v="581"/>
    <n v="2024038"/>
    <x v="38"/>
    <s v="Chickpea"/>
    <m/>
    <x v="3"/>
    <s v="N"/>
    <x v="2"/>
    <n v="57"/>
    <n v="29"/>
    <x v="1"/>
    <m/>
    <m/>
    <m/>
    <n v="4"/>
    <n v="7"/>
    <m/>
    <m/>
    <m/>
    <m/>
    <n v="1"/>
    <n v="19"/>
    <x v="0"/>
    <n v="15"/>
    <m/>
    <m/>
    <x v="0"/>
    <n v="2"/>
    <x v="0"/>
    <m/>
    <m/>
    <n v="30.5"/>
    <x v="1"/>
    <s v="22/05/2024"/>
    <d v="2024-05-22T00:00:00"/>
    <s v="2024038-57"/>
    <x v="3"/>
  </r>
  <r>
    <x v="576"/>
    <n v="2024038"/>
    <x v="38"/>
    <s v="Chickpea"/>
    <m/>
    <x v="8"/>
    <s v="Y"/>
    <x v="2"/>
    <n v="58"/>
    <n v="30"/>
    <x v="1"/>
    <m/>
    <m/>
    <m/>
    <n v="4"/>
    <n v="7"/>
    <m/>
    <m/>
    <m/>
    <m/>
    <n v="2"/>
    <n v="19"/>
    <x v="1"/>
    <n v="15"/>
    <m/>
    <m/>
    <x v="0"/>
    <n v="3"/>
    <x v="0"/>
    <m/>
    <m/>
    <n v="30.5"/>
    <x v="1"/>
    <s v="22/05/2024"/>
    <d v="2024-05-22T00:00:00"/>
    <s v="2024038-58"/>
    <x v="3"/>
  </r>
  <r>
    <x v="582"/>
    <n v="2024038"/>
    <x v="38"/>
    <s v="Chickpea"/>
    <m/>
    <x v="4"/>
    <s v="Y"/>
    <x v="2"/>
    <n v="59"/>
    <n v="31"/>
    <x v="1"/>
    <m/>
    <m/>
    <m/>
    <n v="4"/>
    <n v="8"/>
    <m/>
    <m/>
    <m/>
    <m/>
    <n v="3"/>
    <n v="19"/>
    <x v="2"/>
    <n v="15"/>
    <m/>
    <m/>
    <x v="1"/>
    <n v="4"/>
    <x v="0"/>
    <m/>
    <m/>
    <n v="30.5"/>
    <x v="1"/>
    <s v="22/05/2024"/>
    <d v="2024-05-22T00:00:00"/>
    <s v="2024038-59"/>
    <x v="3"/>
  </r>
  <r>
    <x v="578"/>
    <n v="2024038"/>
    <x v="38"/>
    <s v="Chickpea"/>
    <m/>
    <x v="9"/>
    <s v="N"/>
    <x v="2"/>
    <n v="60"/>
    <n v="32"/>
    <x v="1"/>
    <m/>
    <m/>
    <m/>
    <n v="4"/>
    <n v="8"/>
    <m/>
    <m/>
    <m/>
    <m/>
    <n v="4"/>
    <n v="19"/>
    <x v="3"/>
    <n v="15"/>
    <m/>
    <m/>
    <x v="1"/>
    <n v="1"/>
    <x v="0"/>
    <m/>
    <m/>
    <n v="30.5"/>
    <x v="1"/>
    <s v="22/05/2024"/>
    <d v="2024-05-22T00:00:00"/>
    <s v="2024038-60"/>
    <x v="3"/>
  </r>
  <r>
    <x v="581"/>
    <n v="2024038"/>
    <x v="38"/>
    <s v="Chickpea"/>
    <m/>
    <x v="3"/>
    <s v="N"/>
    <x v="1"/>
    <n v="61"/>
    <n v="29"/>
    <x v="1"/>
    <m/>
    <m/>
    <m/>
    <n v="4"/>
    <n v="7"/>
    <m/>
    <m/>
    <m/>
    <m/>
    <n v="1"/>
    <n v="20"/>
    <x v="0"/>
    <n v="16"/>
    <m/>
    <n v="32"/>
    <x v="0"/>
    <n v="2"/>
    <x v="0"/>
    <m/>
    <m/>
    <n v="30.5"/>
    <x v="1"/>
    <s v="22/05/2024"/>
    <d v="2024-05-22T00:00:00"/>
    <s v="2024038-61"/>
    <x v="3"/>
  </r>
  <r>
    <x v="576"/>
    <n v="2024038"/>
    <x v="38"/>
    <s v="Chickpea"/>
    <m/>
    <x v="8"/>
    <s v="Y"/>
    <x v="1"/>
    <n v="62"/>
    <n v="30"/>
    <x v="1"/>
    <m/>
    <m/>
    <m/>
    <n v="4"/>
    <n v="7"/>
    <m/>
    <m/>
    <m/>
    <m/>
    <n v="2"/>
    <n v="20"/>
    <x v="1"/>
    <n v="16"/>
    <m/>
    <n v="31"/>
    <x v="0"/>
    <n v="3"/>
    <x v="0"/>
    <m/>
    <m/>
    <n v="30.5"/>
    <x v="1"/>
    <s v="22/05/2024"/>
    <d v="2024-05-22T00:00:00"/>
    <s v="2024038-62"/>
    <x v="3"/>
  </r>
  <r>
    <x v="582"/>
    <n v="2024038"/>
    <x v="38"/>
    <s v="Chickpea"/>
    <m/>
    <x v="4"/>
    <s v="Y"/>
    <x v="1"/>
    <n v="63"/>
    <n v="31"/>
    <x v="1"/>
    <m/>
    <m/>
    <m/>
    <n v="4"/>
    <n v="8"/>
    <m/>
    <m/>
    <m/>
    <m/>
    <n v="3"/>
    <n v="20"/>
    <x v="2"/>
    <n v="16"/>
    <m/>
    <n v="30"/>
    <x v="1"/>
    <n v="4"/>
    <x v="0"/>
    <m/>
    <m/>
    <n v="30.5"/>
    <x v="1"/>
    <s v="22/05/2024"/>
    <d v="2024-05-22T00:00:00"/>
    <s v="2024038-63"/>
    <x v="3"/>
  </r>
  <r>
    <x v="578"/>
    <n v="2024038"/>
    <x v="38"/>
    <s v="Chickpea"/>
    <m/>
    <x v="9"/>
    <s v="N"/>
    <x v="1"/>
    <n v="64"/>
    <n v="32"/>
    <x v="1"/>
    <m/>
    <m/>
    <m/>
    <n v="4"/>
    <n v="8"/>
    <m/>
    <m/>
    <m/>
    <m/>
    <n v="4"/>
    <n v="20"/>
    <x v="3"/>
    <n v="16"/>
    <m/>
    <n v="29"/>
    <x v="1"/>
    <n v="1"/>
    <x v="0"/>
    <m/>
    <m/>
    <n v="30.5"/>
    <x v="1"/>
    <s v="22/05/2024"/>
    <d v="2024-05-22T00:00:00"/>
    <s v="2024038-64"/>
    <x v="3"/>
  </r>
  <r>
    <x v="579"/>
    <n v="2024038"/>
    <x v="38"/>
    <s v="Chickpea"/>
    <m/>
    <x v="3"/>
    <s v="N"/>
    <x v="2"/>
    <n v="65"/>
    <n v="33"/>
    <x v="2"/>
    <m/>
    <m/>
    <m/>
    <n v="5"/>
    <n v="9"/>
    <m/>
    <m/>
    <m/>
    <m/>
    <n v="1"/>
    <n v="22"/>
    <x v="0"/>
    <n v="17"/>
    <m/>
    <m/>
    <x v="1"/>
    <n v="2"/>
    <x v="0"/>
    <m/>
    <m/>
    <n v="30.5"/>
    <x v="1"/>
    <s v="22/05/2024"/>
    <d v="2024-05-22T00:00:00"/>
    <s v="2024038-65"/>
    <x v="3"/>
  </r>
  <r>
    <x v="582"/>
    <n v="2024038"/>
    <x v="38"/>
    <s v="Chickpea"/>
    <m/>
    <x v="4"/>
    <s v="Y"/>
    <x v="2"/>
    <n v="66"/>
    <n v="34"/>
    <x v="2"/>
    <m/>
    <m/>
    <m/>
    <n v="5"/>
    <n v="9"/>
    <m/>
    <m/>
    <m/>
    <m/>
    <n v="2"/>
    <n v="22"/>
    <x v="1"/>
    <n v="17"/>
    <m/>
    <m/>
    <x v="1"/>
    <n v="4"/>
    <x v="0"/>
    <m/>
    <m/>
    <n v="30.5"/>
    <x v="1"/>
    <s v="22/05/2024"/>
    <d v="2024-05-22T00:00:00"/>
    <s v="2024038-66"/>
    <x v="3"/>
  </r>
  <r>
    <x v="580"/>
    <n v="2024038"/>
    <x v="38"/>
    <s v="Chickpea"/>
    <m/>
    <x v="9"/>
    <s v="N"/>
    <x v="2"/>
    <n v="67"/>
    <n v="35"/>
    <x v="2"/>
    <m/>
    <m/>
    <m/>
    <n v="5"/>
    <n v="10"/>
    <m/>
    <m/>
    <m/>
    <m/>
    <n v="3"/>
    <n v="22"/>
    <x v="2"/>
    <n v="17"/>
    <m/>
    <m/>
    <x v="0"/>
    <n v="1"/>
    <x v="0"/>
    <m/>
    <m/>
    <n v="30.5"/>
    <x v="1"/>
    <s v="22/05/2024"/>
    <d v="2024-05-22T00:00:00"/>
    <s v="2024038-67"/>
    <x v="3"/>
  </r>
  <r>
    <x v="576"/>
    <n v="2024038"/>
    <x v="38"/>
    <s v="Chickpea"/>
    <m/>
    <x v="8"/>
    <s v="Y"/>
    <x v="2"/>
    <n v="68"/>
    <n v="36"/>
    <x v="2"/>
    <m/>
    <m/>
    <m/>
    <n v="5"/>
    <n v="10"/>
    <m/>
    <m/>
    <m/>
    <m/>
    <n v="4"/>
    <n v="22"/>
    <x v="3"/>
    <n v="17"/>
    <m/>
    <m/>
    <x v="0"/>
    <n v="3"/>
    <x v="0"/>
    <m/>
    <m/>
    <n v="30.5"/>
    <x v="1"/>
    <s v="22/05/2024"/>
    <d v="2024-05-22T00:00:00"/>
    <s v="2024038-68"/>
    <x v="3"/>
  </r>
  <r>
    <x v="579"/>
    <n v="2024038"/>
    <x v="38"/>
    <s v="Chickpea"/>
    <m/>
    <x v="3"/>
    <s v="N"/>
    <x v="1"/>
    <n v="69"/>
    <n v="33"/>
    <x v="2"/>
    <m/>
    <m/>
    <m/>
    <n v="5"/>
    <n v="9"/>
    <m/>
    <m/>
    <m/>
    <m/>
    <n v="1"/>
    <n v="23"/>
    <x v="0"/>
    <n v="18"/>
    <m/>
    <n v="33"/>
    <x v="1"/>
    <n v="2"/>
    <x v="0"/>
    <m/>
    <m/>
    <n v="30.5"/>
    <x v="1"/>
    <s v="22/05/2024"/>
    <d v="2024-05-22T00:00:00"/>
    <s v="2024038-69"/>
    <x v="3"/>
  </r>
  <r>
    <x v="582"/>
    <n v="2024038"/>
    <x v="38"/>
    <s v="Chickpea"/>
    <m/>
    <x v="4"/>
    <s v="Y"/>
    <x v="1"/>
    <n v="70"/>
    <n v="34"/>
    <x v="2"/>
    <m/>
    <m/>
    <m/>
    <n v="5"/>
    <n v="9"/>
    <m/>
    <m/>
    <m/>
    <m/>
    <n v="2"/>
    <n v="23"/>
    <x v="1"/>
    <n v="18"/>
    <m/>
    <n v="34"/>
    <x v="1"/>
    <n v="4"/>
    <x v="0"/>
    <m/>
    <m/>
    <n v="30.5"/>
    <x v="1"/>
    <s v="22/05/2024"/>
    <d v="2024-05-22T00:00:00"/>
    <s v="2024038-70"/>
    <x v="3"/>
  </r>
  <r>
    <x v="580"/>
    <n v="2024038"/>
    <x v="38"/>
    <s v="Chickpea"/>
    <m/>
    <x v="9"/>
    <s v="N"/>
    <x v="1"/>
    <n v="71"/>
    <n v="35"/>
    <x v="2"/>
    <m/>
    <m/>
    <m/>
    <n v="5"/>
    <n v="10"/>
    <m/>
    <m/>
    <m/>
    <m/>
    <n v="3"/>
    <n v="23"/>
    <x v="2"/>
    <n v="18"/>
    <m/>
    <n v="35"/>
    <x v="0"/>
    <n v="1"/>
    <x v="0"/>
    <m/>
    <m/>
    <n v="30.5"/>
    <x v="1"/>
    <s v="22/05/2024"/>
    <d v="2024-05-22T00:00:00"/>
    <s v="2024038-71"/>
    <x v="3"/>
  </r>
  <r>
    <x v="576"/>
    <n v="2024038"/>
    <x v="38"/>
    <s v="Chickpea"/>
    <m/>
    <x v="8"/>
    <s v="Y"/>
    <x v="1"/>
    <n v="72"/>
    <n v="36"/>
    <x v="2"/>
    <m/>
    <m/>
    <m/>
    <n v="5"/>
    <n v="10"/>
    <m/>
    <m/>
    <m/>
    <m/>
    <n v="4"/>
    <n v="23"/>
    <x v="3"/>
    <n v="18"/>
    <m/>
    <n v="36"/>
    <x v="0"/>
    <n v="3"/>
    <x v="0"/>
    <m/>
    <m/>
    <n v="30.5"/>
    <x v="1"/>
    <s v="22/05/2024"/>
    <d v="2024-05-22T00:00:00"/>
    <s v="2024038-72"/>
    <x v="3"/>
  </r>
  <r>
    <x v="583"/>
    <n v="2024038"/>
    <x v="38"/>
    <s v="Chickpea"/>
    <m/>
    <x v="8"/>
    <s v="Y"/>
    <x v="2"/>
    <n v="73"/>
    <n v="37"/>
    <x v="2"/>
    <m/>
    <m/>
    <m/>
    <n v="5"/>
    <n v="9"/>
    <m/>
    <m/>
    <m/>
    <m/>
    <n v="1"/>
    <n v="24"/>
    <x v="0"/>
    <n v="19"/>
    <m/>
    <m/>
    <x v="1"/>
    <n v="3"/>
    <x v="0"/>
    <m/>
    <m/>
    <n v="30.5"/>
    <x v="1"/>
    <s v="22/05/2024"/>
    <d v="2024-05-22T00:00:00"/>
    <s v="2024038-73"/>
    <x v="3"/>
  </r>
  <r>
    <x v="578"/>
    <n v="2024038"/>
    <x v="38"/>
    <s v="Chickpea"/>
    <m/>
    <x v="9"/>
    <s v="N"/>
    <x v="2"/>
    <n v="74"/>
    <n v="38"/>
    <x v="2"/>
    <m/>
    <m/>
    <m/>
    <n v="5"/>
    <n v="9"/>
    <m/>
    <m/>
    <m/>
    <m/>
    <n v="2"/>
    <n v="24"/>
    <x v="1"/>
    <n v="19"/>
    <m/>
    <m/>
    <x v="1"/>
    <n v="1"/>
    <x v="0"/>
    <m/>
    <m/>
    <n v="30.5"/>
    <x v="1"/>
    <s v="22/05/2024"/>
    <d v="2024-05-22T00:00:00"/>
    <s v="2024038-74"/>
    <x v="3"/>
  </r>
  <r>
    <x v="581"/>
    <n v="2024038"/>
    <x v="38"/>
    <s v="Chickpea"/>
    <m/>
    <x v="3"/>
    <s v="N"/>
    <x v="2"/>
    <n v="75"/>
    <n v="39"/>
    <x v="2"/>
    <m/>
    <m/>
    <m/>
    <n v="5"/>
    <n v="10"/>
    <m/>
    <m/>
    <m/>
    <m/>
    <n v="3"/>
    <n v="24"/>
    <x v="2"/>
    <n v="19"/>
    <m/>
    <m/>
    <x v="0"/>
    <n v="2"/>
    <x v="0"/>
    <m/>
    <m/>
    <n v="30.5"/>
    <x v="1"/>
    <s v="22/05/2024"/>
    <d v="2024-05-22T00:00:00"/>
    <s v="2024038-75"/>
    <x v="3"/>
  </r>
  <r>
    <x v="577"/>
    <n v="2024038"/>
    <x v="38"/>
    <s v="Chickpea"/>
    <m/>
    <x v="4"/>
    <s v="Y"/>
    <x v="2"/>
    <n v="76"/>
    <n v="40"/>
    <x v="2"/>
    <m/>
    <m/>
    <m/>
    <n v="5"/>
    <n v="10"/>
    <m/>
    <m/>
    <m/>
    <m/>
    <n v="4"/>
    <n v="24"/>
    <x v="3"/>
    <n v="19"/>
    <m/>
    <m/>
    <x v="0"/>
    <n v="4"/>
    <x v="0"/>
    <m/>
    <m/>
    <n v="30.5"/>
    <x v="1"/>
    <s v="22/05/2024"/>
    <d v="2024-05-22T00:00:00"/>
    <s v="2024038-76"/>
    <x v="3"/>
  </r>
  <r>
    <x v="583"/>
    <n v="2024038"/>
    <x v="38"/>
    <s v="Chickpea"/>
    <m/>
    <x v="8"/>
    <s v="Y"/>
    <x v="1"/>
    <n v="77"/>
    <n v="37"/>
    <x v="2"/>
    <m/>
    <m/>
    <m/>
    <n v="5"/>
    <n v="9"/>
    <m/>
    <m/>
    <m/>
    <m/>
    <n v="1"/>
    <n v="25"/>
    <x v="0"/>
    <n v="20"/>
    <m/>
    <n v="40"/>
    <x v="1"/>
    <n v="3"/>
    <x v="0"/>
    <m/>
    <m/>
    <n v="30.5"/>
    <x v="1"/>
    <s v="22/05/2024"/>
    <d v="2024-05-22T00:00:00"/>
    <s v="2024038-77"/>
    <x v="3"/>
  </r>
  <r>
    <x v="578"/>
    <n v="2024038"/>
    <x v="38"/>
    <s v="Chickpea"/>
    <m/>
    <x v="9"/>
    <s v="N"/>
    <x v="1"/>
    <n v="78"/>
    <n v="38"/>
    <x v="2"/>
    <m/>
    <m/>
    <m/>
    <n v="5"/>
    <n v="9"/>
    <m/>
    <m/>
    <m/>
    <m/>
    <n v="2"/>
    <n v="25"/>
    <x v="1"/>
    <n v="20"/>
    <m/>
    <n v="39"/>
    <x v="1"/>
    <n v="1"/>
    <x v="0"/>
    <m/>
    <m/>
    <n v="30.5"/>
    <x v="1"/>
    <s v="22/05/2024"/>
    <d v="2024-05-22T00:00:00"/>
    <s v="2024038-78"/>
    <x v="3"/>
  </r>
  <r>
    <x v="581"/>
    <n v="2024038"/>
    <x v="38"/>
    <s v="Chickpea"/>
    <m/>
    <x v="3"/>
    <s v="N"/>
    <x v="1"/>
    <n v="79"/>
    <n v="39"/>
    <x v="2"/>
    <m/>
    <m/>
    <m/>
    <n v="5"/>
    <n v="10"/>
    <m/>
    <m/>
    <m/>
    <m/>
    <n v="3"/>
    <n v="25"/>
    <x v="2"/>
    <n v="20"/>
    <m/>
    <n v="38"/>
    <x v="0"/>
    <n v="2"/>
    <x v="0"/>
    <m/>
    <m/>
    <n v="30.5"/>
    <x v="1"/>
    <s v="22/05/2024"/>
    <d v="2024-05-22T00:00:00"/>
    <s v="2024038-79"/>
    <x v="3"/>
  </r>
  <r>
    <x v="577"/>
    <n v="2024038"/>
    <x v="38"/>
    <s v="Chickpea"/>
    <m/>
    <x v="4"/>
    <s v="Y"/>
    <x v="1"/>
    <n v="80"/>
    <n v="40"/>
    <x v="2"/>
    <m/>
    <m/>
    <m/>
    <n v="5"/>
    <n v="10"/>
    <m/>
    <m/>
    <m/>
    <m/>
    <n v="4"/>
    <n v="25"/>
    <x v="3"/>
    <n v="20"/>
    <m/>
    <n v="37"/>
    <x v="0"/>
    <n v="4"/>
    <x v="0"/>
    <m/>
    <m/>
    <n v="30.5"/>
    <x v="1"/>
    <s v="22/05/2024"/>
    <d v="2024-05-22T00:00:00"/>
    <s v="2024038-80"/>
    <x v="3"/>
  </r>
  <r>
    <x v="587"/>
    <n v="2024038"/>
    <x v="38"/>
    <s v="Chickpea"/>
    <m/>
    <x v="9"/>
    <s v="N"/>
    <x v="2"/>
    <n v="81"/>
    <n v="41"/>
    <x v="2"/>
    <m/>
    <m/>
    <m/>
    <n v="6"/>
    <n v="11"/>
    <m/>
    <m/>
    <m/>
    <m/>
    <n v="1"/>
    <n v="27"/>
    <x v="0"/>
    <n v="21"/>
    <m/>
    <m/>
    <x v="0"/>
    <n v="1"/>
    <x v="0"/>
    <m/>
    <m/>
    <n v="30.5"/>
    <x v="2"/>
    <s v="04/07/2024"/>
    <d v="2024-07-04T00:00:00"/>
    <s v="2024038-81"/>
    <x v="3"/>
  </r>
  <r>
    <x v="590"/>
    <n v="2024038"/>
    <x v="38"/>
    <s v="Chickpea"/>
    <m/>
    <x v="8"/>
    <s v="Y"/>
    <x v="2"/>
    <n v="82"/>
    <n v="42"/>
    <x v="2"/>
    <m/>
    <m/>
    <m/>
    <n v="6"/>
    <n v="11"/>
    <m/>
    <m/>
    <m/>
    <m/>
    <n v="2"/>
    <n v="27"/>
    <x v="1"/>
    <n v="21"/>
    <m/>
    <m/>
    <x v="0"/>
    <n v="3"/>
    <x v="0"/>
    <m/>
    <m/>
    <n v="30.5"/>
    <x v="2"/>
    <s v="04/07/2024"/>
    <d v="2024-07-04T00:00:00"/>
    <s v="2024038-82"/>
    <x v="3"/>
  </r>
  <r>
    <x v="585"/>
    <n v="2024038"/>
    <x v="38"/>
    <s v="Chickpea"/>
    <m/>
    <x v="3"/>
    <s v="N"/>
    <x v="2"/>
    <n v="83"/>
    <n v="43"/>
    <x v="2"/>
    <m/>
    <m/>
    <m/>
    <n v="6"/>
    <n v="12"/>
    <m/>
    <m/>
    <m/>
    <m/>
    <n v="3"/>
    <n v="27"/>
    <x v="2"/>
    <n v="21"/>
    <m/>
    <m/>
    <x v="1"/>
    <n v="2"/>
    <x v="0"/>
    <m/>
    <m/>
    <n v="30.5"/>
    <x v="2"/>
    <s v="04/07/2024"/>
    <d v="2024-07-04T00:00:00"/>
    <s v="2024038-83"/>
    <x v="3"/>
  </r>
  <r>
    <x v="589"/>
    <n v="2024038"/>
    <x v="38"/>
    <s v="Chickpea"/>
    <m/>
    <x v="4"/>
    <s v="Y"/>
    <x v="2"/>
    <n v="84"/>
    <n v="44"/>
    <x v="2"/>
    <m/>
    <m/>
    <m/>
    <n v="6"/>
    <n v="12"/>
    <m/>
    <m/>
    <m/>
    <m/>
    <n v="4"/>
    <n v="27"/>
    <x v="3"/>
    <n v="21"/>
    <m/>
    <m/>
    <x v="1"/>
    <n v="4"/>
    <x v="0"/>
    <m/>
    <m/>
    <n v="30.5"/>
    <x v="2"/>
    <s v="04/07/2024"/>
    <d v="2024-07-04T00:00:00"/>
    <s v="2024038-84"/>
    <x v="3"/>
  </r>
  <r>
    <x v="587"/>
    <n v="2024038"/>
    <x v="38"/>
    <s v="Chickpea"/>
    <m/>
    <x v="9"/>
    <s v="N"/>
    <x v="1"/>
    <n v="85"/>
    <n v="41"/>
    <x v="2"/>
    <m/>
    <m/>
    <m/>
    <n v="6"/>
    <n v="11"/>
    <m/>
    <m/>
    <m/>
    <m/>
    <n v="1"/>
    <n v="28"/>
    <x v="0"/>
    <n v="22"/>
    <m/>
    <n v="41"/>
    <x v="0"/>
    <n v="1"/>
    <x v="0"/>
    <m/>
    <m/>
    <n v="30.5"/>
    <x v="2"/>
    <s v="04/07/2024"/>
    <d v="2024-07-04T00:00:00"/>
    <s v="2024038-85"/>
    <x v="3"/>
  </r>
  <r>
    <x v="590"/>
    <n v="2024038"/>
    <x v="38"/>
    <s v="Chickpea"/>
    <m/>
    <x v="8"/>
    <s v="Y"/>
    <x v="1"/>
    <n v="86"/>
    <n v="42"/>
    <x v="2"/>
    <m/>
    <m/>
    <m/>
    <n v="6"/>
    <n v="11"/>
    <m/>
    <m/>
    <m/>
    <m/>
    <n v="2"/>
    <n v="28"/>
    <x v="1"/>
    <n v="22"/>
    <m/>
    <n v="42"/>
    <x v="0"/>
    <n v="3"/>
    <x v="0"/>
    <m/>
    <m/>
    <n v="30.5"/>
    <x v="2"/>
    <s v="04/07/2024"/>
    <d v="2024-07-04T00:00:00"/>
    <s v="2024038-86"/>
    <x v="3"/>
  </r>
  <r>
    <x v="585"/>
    <n v="2024038"/>
    <x v="38"/>
    <s v="Chickpea"/>
    <m/>
    <x v="3"/>
    <s v="N"/>
    <x v="1"/>
    <n v="87"/>
    <n v="43"/>
    <x v="2"/>
    <m/>
    <m/>
    <m/>
    <n v="6"/>
    <n v="12"/>
    <m/>
    <m/>
    <m/>
    <m/>
    <n v="3"/>
    <n v="28"/>
    <x v="2"/>
    <n v="22"/>
    <m/>
    <n v="43"/>
    <x v="1"/>
    <n v="2"/>
    <x v="0"/>
    <m/>
    <m/>
    <n v="30.5"/>
    <x v="2"/>
    <s v="04/07/2024"/>
    <d v="2024-07-04T00:00:00"/>
    <s v="2024038-87"/>
    <x v="3"/>
  </r>
  <r>
    <x v="589"/>
    <n v="2024038"/>
    <x v="38"/>
    <s v="Chickpea"/>
    <m/>
    <x v="4"/>
    <s v="Y"/>
    <x v="1"/>
    <n v="88"/>
    <n v="44"/>
    <x v="2"/>
    <m/>
    <m/>
    <m/>
    <n v="6"/>
    <n v="12"/>
    <m/>
    <m/>
    <m/>
    <m/>
    <n v="4"/>
    <n v="28"/>
    <x v="3"/>
    <n v="22"/>
    <m/>
    <n v="44"/>
    <x v="1"/>
    <n v="4"/>
    <x v="0"/>
    <m/>
    <m/>
    <n v="30.5"/>
    <x v="2"/>
    <s v="04/07/2024"/>
    <d v="2024-07-04T00:00:00"/>
    <s v="2024038-88"/>
    <x v="3"/>
  </r>
  <r>
    <x v="586"/>
    <n v="2024038"/>
    <x v="38"/>
    <s v="Chickpea"/>
    <m/>
    <x v="4"/>
    <s v="Y"/>
    <x v="2"/>
    <n v="89"/>
    <n v="45"/>
    <x v="2"/>
    <m/>
    <m/>
    <m/>
    <n v="6"/>
    <n v="11"/>
    <m/>
    <m/>
    <m/>
    <m/>
    <n v="1"/>
    <n v="29"/>
    <x v="0"/>
    <n v="23"/>
    <m/>
    <m/>
    <x v="0"/>
    <n v="4"/>
    <x v="0"/>
    <m/>
    <m/>
    <n v="30.5"/>
    <x v="2"/>
    <s v="04/07/2024"/>
    <d v="2024-07-04T00:00:00"/>
    <s v="2024038-89"/>
    <x v="3"/>
  </r>
  <r>
    <x v="591"/>
    <n v="2024038"/>
    <x v="38"/>
    <s v="Chickpea"/>
    <m/>
    <x v="3"/>
    <s v="N"/>
    <x v="2"/>
    <n v="90"/>
    <n v="46"/>
    <x v="2"/>
    <m/>
    <m/>
    <m/>
    <n v="6"/>
    <n v="11"/>
    <m/>
    <m/>
    <m/>
    <m/>
    <n v="2"/>
    <n v="29"/>
    <x v="1"/>
    <n v="23"/>
    <m/>
    <m/>
    <x v="0"/>
    <n v="2"/>
    <x v="0"/>
    <m/>
    <m/>
    <n v="30.5"/>
    <x v="2"/>
    <s v="04/07/2024"/>
    <d v="2024-07-04T00:00:00"/>
    <s v="2024038-90"/>
    <x v="3"/>
  </r>
  <r>
    <x v="584"/>
    <n v="2024038"/>
    <x v="38"/>
    <s v="Chickpea"/>
    <m/>
    <x v="8"/>
    <s v="Y"/>
    <x v="2"/>
    <n v="91"/>
    <n v="47"/>
    <x v="2"/>
    <m/>
    <m/>
    <m/>
    <n v="6"/>
    <n v="12"/>
    <m/>
    <m/>
    <m/>
    <m/>
    <n v="3"/>
    <n v="29"/>
    <x v="2"/>
    <n v="23"/>
    <m/>
    <m/>
    <x v="1"/>
    <n v="3"/>
    <x v="0"/>
    <m/>
    <m/>
    <n v="30.5"/>
    <x v="2"/>
    <s v="04/07/2024"/>
    <d v="2024-07-04T00:00:00"/>
    <s v="2024038-91"/>
    <x v="3"/>
  </r>
  <r>
    <x v="588"/>
    <n v="2024038"/>
    <x v="38"/>
    <s v="Chickpea"/>
    <m/>
    <x v="9"/>
    <s v="N"/>
    <x v="2"/>
    <n v="92"/>
    <n v="48"/>
    <x v="2"/>
    <m/>
    <m/>
    <m/>
    <n v="6"/>
    <n v="12"/>
    <m/>
    <m/>
    <m/>
    <m/>
    <n v="4"/>
    <n v="29"/>
    <x v="3"/>
    <n v="23"/>
    <m/>
    <m/>
    <x v="1"/>
    <n v="1"/>
    <x v="0"/>
    <m/>
    <m/>
    <n v="30.5"/>
    <x v="2"/>
    <s v="04/07/2024"/>
    <d v="2024-07-04T00:00:00"/>
    <s v="2024038-92"/>
    <x v="3"/>
  </r>
  <r>
    <x v="586"/>
    <n v="2024038"/>
    <x v="38"/>
    <s v="Chickpea"/>
    <m/>
    <x v="4"/>
    <s v="Y"/>
    <x v="1"/>
    <n v="93"/>
    <n v="45"/>
    <x v="2"/>
    <m/>
    <m/>
    <m/>
    <n v="6"/>
    <n v="11"/>
    <m/>
    <m/>
    <m/>
    <m/>
    <n v="1"/>
    <n v="30"/>
    <x v="0"/>
    <n v="24"/>
    <m/>
    <n v="48"/>
    <x v="0"/>
    <n v="4"/>
    <x v="0"/>
    <m/>
    <m/>
    <n v="30.5"/>
    <x v="2"/>
    <s v="04/07/2024"/>
    <d v="2024-07-04T00:00:00"/>
    <s v="2024038-93"/>
    <x v="3"/>
  </r>
  <r>
    <x v="591"/>
    <n v="2024038"/>
    <x v="38"/>
    <s v="Chickpea"/>
    <m/>
    <x v="3"/>
    <s v="N"/>
    <x v="1"/>
    <n v="94"/>
    <n v="46"/>
    <x v="2"/>
    <m/>
    <m/>
    <m/>
    <n v="6"/>
    <n v="11"/>
    <m/>
    <m/>
    <m/>
    <m/>
    <n v="2"/>
    <n v="30"/>
    <x v="1"/>
    <n v="24"/>
    <m/>
    <n v="47"/>
    <x v="0"/>
    <n v="2"/>
    <x v="0"/>
    <m/>
    <m/>
    <n v="30.5"/>
    <x v="2"/>
    <s v="04/07/2024"/>
    <d v="2024-07-04T00:00:00"/>
    <s v="2024038-94"/>
    <x v="3"/>
  </r>
  <r>
    <x v="584"/>
    <n v="2024038"/>
    <x v="38"/>
    <s v="Chickpea"/>
    <m/>
    <x v="8"/>
    <s v="Y"/>
    <x v="1"/>
    <n v="95"/>
    <n v="47"/>
    <x v="2"/>
    <m/>
    <m/>
    <m/>
    <n v="6"/>
    <n v="12"/>
    <m/>
    <m/>
    <m/>
    <m/>
    <n v="3"/>
    <n v="30"/>
    <x v="2"/>
    <n v="24"/>
    <m/>
    <n v="46"/>
    <x v="1"/>
    <n v="3"/>
    <x v="0"/>
    <m/>
    <m/>
    <n v="30.5"/>
    <x v="2"/>
    <s v="04/07/2024"/>
    <d v="2024-07-04T00:00:00"/>
    <s v="2024038-95"/>
    <x v="3"/>
  </r>
  <r>
    <x v="588"/>
    <n v="2024038"/>
    <x v="38"/>
    <s v="Chickpea"/>
    <m/>
    <x v="9"/>
    <s v="N"/>
    <x v="1"/>
    <n v="96"/>
    <n v="48"/>
    <x v="2"/>
    <m/>
    <m/>
    <m/>
    <n v="6"/>
    <n v="12"/>
    <m/>
    <m/>
    <m/>
    <m/>
    <n v="4"/>
    <n v="30"/>
    <x v="3"/>
    <n v="24"/>
    <m/>
    <n v="45"/>
    <x v="1"/>
    <n v="1"/>
    <x v="0"/>
    <m/>
    <m/>
    <n v="30.5"/>
    <x v="2"/>
    <s v="04/07/2024"/>
    <d v="2024-07-04T00:00:00"/>
    <s v="2024038-96"/>
    <x v="3"/>
  </r>
  <r>
    <x v="590"/>
    <n v="2024038"/>
    <x v="38"/>
    <s v="Chickpea"/>
    <m/>
    <x v="8"/>
    <s v="Y"/>
    <x v="2"/>
    <n v="97"/>
    <n v="49"/>
    <x v="3"/>
    <m/>
    <m/>
    <m/>
    <n v="7"/>
    <n v="13"/>
    <m/>
    <m/>
    <m/>
    <m/>
    <n v="1"/>
    <n v="32"/>
    <x v="0"/>
    <n v="25"/>
    <m/>
    <m/>
    <x v="0"/>
    <n v="3"/>
    <x v="0"/>
    <m/>
    <m/>
    <n v="30.5"/>
    <x v="2"/>
    <s v="04/07/2024"/>
    <d v="2024-07-04T00:00:00"/>
    <s v="2024038-97"/>
    <x v="3"/>
  </r>
  <r>
    <x v="587"/>
    <n v="2024038"/>
    <x v="38"/>
    <s v="Chickpea"/>
    <m/>
    <x v="9"/>
    <s v="N"/>
    <x v="2"/>
    <n v="98"/>
    <n v="50"/>
    <x v="3"/>
    <m/>
    <m/>
    <m/>
    <n v="7"/>
    <n v="13"/>
    <m/>
    <m/>
    <m/>
    <m/>
    <n v="2"/>
    <n v="32"/>
    <x v="1"/>
    <n v="25"/>
    <m/>
    <m/>
    <x v="0"/>
    <n v="1"/>
    <x v="0"/>
    <m/>
    <m/>
    <n v="30.5"/>
    <x v="2"/>
    <s v="04/07/2024"/>
    <d v="2024-07-04T00:00:00"/>
    <s v="2024038-98"/>
    <x v="3"/>
  </r>
  <r>
    <x v="589"/>
    <n v="2024038"/>
    <x v="38"/>
    <s v="Chickpea"/>
    <m/>
    <x v="4"/>
    <s v="Y"/>
    <x v="2"/>
    <n v="99"/>
    <n v="51"/>
    <x v="3"/>
    <m/>
    <m/>
    <m/>
    <n v="7"/>
    <n v="14"/>
    <m/>
    <m/>
    <m/>
    <m/>
    <n v="3"/>
    <n v="32"/>
    <x v="2"/>
    <n v="25"/>
    <m/>
    <m/>
    <x v="1"/>
    <n v="4"/>
    <x v="0"/>
    <m/>
    <m/>
    <n v="30.5"/>
    <x v="2"/>
    <s v="04/07/2024"/>
    <d v="2024-07-04T00:00:00"/>
    <s v="2024038-99"/>
    <x v="3"/>
  </r>
  <r>
    <x v="585"/>
    <n v="2024038"/>
    <x v="38"/>
    <s v="Chickpea"/>
    <m/>
    <x v="3"/>
    <s v="N"/>
    <x v="2"/>
    <n v="100"/>
    <n v="52"/>
    <x v="3"/>
    <m/>
    <m/>
    <m/>
    <n v="7"/>
    <n v="14"/>
    <m/>
    <m/>
    <m/>
    <m/>
    <n v="4"/>
    <n v="32"/>
    <x v="3"/>
    <n v="25"/>
    <m/>
    <m/>
    <x v="1"/>
    <n v="2"/>
    <x v="0"/>
    <m/>
    <m/>
    <n v="30.5"/>
    <x v="2"/>
    <s v="04/07/2024"/>
    <d v="2024-07-04T00:00:00"/>
    <s v="2024038-100"/>
    <x v="3"/>
  </r>
  <r>
    <x v="590"/>
    <n v="2024038"/>
    <x v="38"/>
    <s v="Chickpea"/>
    <m/>
    <x v="8"/>
    <s v="Y"/>
    <x v="1"/>
    <n v="101"/>
    <n v="49"/>
    <x v="3"/>
    <m/>
    <m/>
    <m/>
    <n v="7"/>
    <n v="13"/>
    <m/>
    <m/>
    <m/>
    <m/>
    <n v="1"/>
    <n v="33"/>
    <x v="0"/>
    <n v="26"/>
    <m/>
    <n v="49"/>
    <x v="0"/>
    <n v="3"/>
    <x v="0"/>
    <m/>
    <m/>
    <n v="30.5"/>
    <x v="2"/>
    <s v="04/07/2024"/>
    <d v="2024-07-04T00:00:00"/>
    <s v="2024038-101"/>
    <x v="3"/>
  </r>
  <r>
    <x v="587"/>
    <n v="2024038"/>
    <x v="38"/>
    <s v="Chickpea"/>
    <m/>
    <x v="9"/>
    <s v="N"/>
    <x v="1"/>
    <n v="102"/>
    <n v="50"/>
    <x v="3"/>
    <m/>
    <m/>
    <m/>
    <n v="7"/>
    <n v="13"/>
    <m/>
    <m/>
    <m/>
    <m/>
    <n v="2"/>
    <n v="33"/>
    <x v="1"/>
    <n v="26"/>
    <m/>
    <n v="50"/>
    <x v="0"/>
    <n v="1"/>
    <x v="0"/>
    <m/>
    <m/>
    <n v="30.5"/>
    <x v="2"/>
    <s v="04/07/2024"/>
    <d v="2024-07-04T00:00:00"/>
    <s v="2024038-102"/>
    <x v="3"/>
  </r>
  <r>
    <x v="589"/>
    <n v="2024038"/>
    <x v="38"/>
    <s v="Chickpea"/>
    <m/>
    <x v="4"/>
    <s v="Y"/>
    <x v="1"/>
    <n v="103"/>
    <n v="51"/>
    <x v="3"/>
    <m/>
    <m/>
    <m/>
    <n v="7"/>
    <n v="14"/>
    <m/>
    <m/>
    <m/>
    <m/>
    <n v="3"/>
    <n v="33"/>
    <x v="2"/>
    <n v="26"/>
    <m/>
    <n v="51"/>
    <x v="1"/>
    <n v="4"/>
    <x v="0"/>
    <m/>
    <m/>
    <n v="30.5"/>
    <x v="2"/>
    <s v="04/07/2024"/>
    <d v="2024-07-04T00:00:00"/>
    <s v="2024038-103"/>
    <x v="3"/>
  </r>
  <r>
    <x v="585"/>
    <n v="2024038"/>
    <x v="38"/>
    <s v="Chickpea"/>
    <m/>
    <x v="3"/>
    <s v="N"/>
    <x v="1"/>
    <n v="104"/>
    <n v="52"/>
    <x v="3"/>
    <m/>
    <m/>
    <m/>
    <n v="7"/>
    <n v="14"/>
    <m/>
    <m/>
    <m/>
    <m/>
    <n v="4"/>
    <n v="33"/>
    <x v="3"/>
    <n v="26"/>
    <m/>
    <n v="52"/>
    <x v="1"/>
    <n v="2"/>
    <x v="0"/>
    <m/>
    <m/>
    <n v="30.5"/>
    <x v="2"/>
    <s v="04/07/2024"/>
    <d v="2024-07-04T00:00:00"/>
    <s v="2024038-104"/>
    <x v="3"/>
  </r>
  <r>
    <x v="586"/>
    <n v="2024038"/>
    <x v="38"/>
    <s v="Chickpea"/>
    <m/>
    <x v="4"/>
    <s v="Y"/>
    <x v="2"/>
    <n v="105"/>
    <n v="53"/>
    <x v="3"/>
    <m/>
    <m/>
    <m/>
    <n v="7"/>
    <n v="13"/>
    <m/>
    <m/>
    <m/>
    <m/>
    <n v="1"/>
    <n v="34"/>
    <x v="0"/>
    <n v="27"/>
    <m/>
    <m/>
    <x v="0"/>
    <n v="4"/>
    <x v="0"/>
    <m/>
    <m/>
    <n v="30.5"/>
    <x v="2"/>
    <s v="04/07/2024"/>
    <d v="2024-07-04T00:00:00"/>
    <s v="2024038-105"/>
    <x v="3"/>
  </r>
  <r>
    <x v="591"/>
    <n v="2024038"/>
    <x v="38"/>
    <s v="Chickpea"/>
    <m/>
    <x v="3"/>
    <s v="N"/>
    <x v="2"/>
    <n v="106"/>
    <n v="54"/>
    <x v="3"/>
    <m/>
    <m/>
    <m/>
    <n v="7"/>
    <n v="13"/>
    <m/>
    <m/>
    <m/>
    <m/>
    <n v="2"/>
    <n v="34"/>
    <x v="1"/>
    <n v="27"/>
    <m/>
    <m/>
    <x v="0"/>
    <n v="2"/>
    <x v="0"/>
    <m/>
    <m/>
    <n v="30.5"/>
    <x v="2"/>
    <s v="04/07/2024"/>
    <d v="2024-07-04T00:00:00"/>
    <s v="2024038-106"/>
    <x v="3"/>
  </r>
  <r>
    <x v="588"/>
    <n v="2024038"/>
    <x v="38"/>
    <s v="Chickpea"/>
    <m/>
    <x v="9"/>
    <s v="N"/>
    <x v="2"/>
    <n v="107"/>
    <n v="55"/>
    <x v="3"/>
    <m/>
    <m/>
    <m/>
    <n v="7"/>
    <n v="14"/>
    <m/>
    <m/>
    <m/>
    <m/>
    <n v="3"/>
    <n v="34"/>
    <x v="2"/>
    <n v="27"/>
    <m/>
    <m/>
    <x v="1"/>
    <n v="1"/>
    <x v="0"/>
    <m/>
    <m/>
    <n v="30.5"/>
    <x v="2"/>
    <s v="04/07/2024"/>
    <d v="2024-07-04T00:00:00"/>
    <s v="2024038-107"/>
    <x v="3"/>
  </r>
  <r>
    <x v="584"/>
    <n v="2024038"/>
    <x v="38"/>
    <s v="Chickpea"/>
    <m/>
    <x v="8"/>
    <s v="Y"/>
    <x v="2"/>
    <n v="108"/>
    <n v="56"/>
    <x v="3"/>
    <m/>
    <m/>
    <m/>
    <n v="7"/>
    <n v="14"/>
    <m/>
    <m/>
    <m/>
    <m/>
    <n v="4"/>
    <n v="34"/>
    <x v="3"/>
    <n v="27"/>
    <m/>
    <m/>
    <x v="1"/>
    <n v="3"/>
    <x v="0"/>
    <m/>
    <m/>
    <n v="30.5"/>
    <x v="2"/>
    <s v="04/07/2024"/>
    <d v="2024-07-04T00:00:00"/>
    <s v="2024038-108"/>
    <x v="3"/>
  </r>
  <r>
    <x v="586"/>
    <n v="2024038"/>
    <x v="38"/>
    <s v="Chickpea"/>
    <m/>
    <x v="4"/>
    <s v="Y"/>
    <x v="1"/>
    <n v="109"/>
    <n v="53"/>
    <x v="3"/>
    <m/>
    <m/>
    <m/>
    <n v="7"/>
    <n v="13"/>
    <m/>
    <m/>
    <m/>
    <m/>
    <n v="1"/>
    <n v="35"/>
    <x v="0"/>
    <n v="28"/>
    <m/>
    <n v="56"/>
    <x v="0"/>
    <n v="4"/>
    <x v="0"/>
    <m/>
    <m/>
    <n v="30.5"/>
    <x v="2"/>
    <s v="04/07/2024"/>
    <d v="2024-07-04T00:00:00"/>
    <s v="2024038-109"/>
    <x v="3"/>
  </r>
  <r>
    <x v="591"/>
    <n v="2024038"/>
    <x v="38"/>
    <s v="Chickpea"/>
    <m/>
    <x v="3"/>
    <s v="N"/>
    <x v="1"/>
    <n v="110"/>
    <n v="54"/>
    <x v="3"/>
    <m/>
    <m/>
    <m/>
    <n v="7"/>
    <n v="13"/>
    <m/>
    <m/>
    <m/>
    <m/>
    <n v="2"/>
    <n v="35"/>
    <x v="1"/>
    <n v="28"/>
    <m/>
    <n v="55"/>
    <x v="0"/>
    <n v="2"/>
    <x v="0"/>
    <m/>
    <m/>
    <n v="30.5"/>
    <x v="2"/>
    <s v="04/07/2024"/>
    <d v="2024-07-04T00:00:00"/>
    <s v="2024038-110"/>
    <x v="3"/>
  </r>
  <r>
    <x v="588"/>
    <n v="2024038"/>
    <x v="38"/>
    <s v="Chickpea"/>
    <m/>
    <x v="9"/>
    <s v="N"/>
    <x v="1"/>
    <n v="111"/>
    <n v="55"/>
    <x v="3"/>
    <m/>
    <m/>
    <m/>
    <n v="7"/>
    <n v="14"/>
    <m/>
    <m/>
    <m/>
    <m/>
    <n v="3"/>
    <n v="35"/>
    <x v="2"/>
    <n v="28"/>
    <m/>
    <n v="54"/>
    <x v="1"/>
    <n v="1"/>
    <x v="0"/>
    <m/>
    <m/>
    <n v="30.5"/>
    <x v="2"/>
    <s v="04/07/2024"/>
    <d v="2024-07-04T00:00:00"/>
    <s v="2024038-111"/>
    <x v="3"/>
  </r>
  <r>
    <x v="584"/>
    <n v="2024038"/>
    <x v="38"/>
    <s v="Chickpea"/>
    <m/>
    <x v="8"/>
    <s v="Y"/>
    <x v="1"/>
    <n v="112"/>
    <n v="56"/>
    <x v="3"/>
    <m/>
    <m/>
    <m/>
    <n v="7"/>
    <n v="14"/>
    <m/>
    <m/>
    <m/>
    <m/>
    <n v="4"/>
    <n v="35"/>
    <x v="3"/>
    <n v="28"/>
    <m/>
    <n v="53"/>
    <x v="1"/>
    <n v="3"/>
    <x v="0"/>
    <m/>
    <m/>
    <n v="30.5"/>
    <x v="2"/>
    <s v="04/07/2024"/>
    <d v="2024-07-04T00:00:00"/>
    <s v="2024038-112"/>
    <x v="3"/>
  </r>
  <r>
    <x v="579"/>
    <n v="2024038"/>
    <x v="38"/>
    <s v="Chickpea"/>
    <m/>
    <x v="3"/>
    <s v="N"/>
    <x v="2"/>
    <n v="113"/>
    <n v="57"/>
    <x v="3"/>
    <m/>
    <m/>
    <m/>
    <n v="8"/>
    <n v="15"/>
    <m/>
    <m/>
    <m/>
    <m/>
    <n v="1"/>
    <n v="37"/>
    <x v="0"/>
    <n v="29"/>
    <m/>
    <m/>
    <x v="1"/>
    <n v="2"/>
    <x v="0"/>
    <m/>
    <m/>
    <n v="30.5"/>
    <x v="1"/>
    <s v="22/05/2024"/>
    <d v="2024-05-22T00:00:00"/>
    <s v="2024038-113"/>
    <x v="3"/>
  </r>
  <r>
    <x v="578"/>
    <n v="2024038"/>
    <x v="38"/>
    <s v="Chickpea"/>
    <m/>
    <x v="9"/>
    <s v="N"/>
    <x v="2"/>
    <n v="114"/>
    <n v="58"/>
    <x v="3"/>
    <m/>
    <m/>
    <m/>
    <n v="8"/>
    <n v="15"/>
    <m/>
    <m/>
    <m/>
    <m/>
    <n v="2"/>
    <n v="37"/>
    <x v="1"/>
    <n v="29"/>
    <m/>
    <m/>
    <x v="1"/>
    <n v="1"/>
    <x v="0"/>
    <m/>
    <m/>
    <n v="30.5"/>
    <x v="1"/>
    <s v="22/05/2024"/>
    <d v="2024-05-22T00:00:00"/>
    <s v="2024038-114"/>
    <x v="3"/>
  </r>
  <r>
    <x v="576"/>
    <n v="2024038"/>
    <x v="38"/>
    <s v="Chickpea"/>
    <m/>
    <x v="8"/>
    <s v="Y"/>
    <x v="2"/>
    <n v="115"/>
    <n v="59"/>
    <x v="3"/>
    <m/>
    <m/>
    <m/>
    <n v="8"/>
    <n v="16"/>
    <m/>
    <m/>
    <m/>
    <m/>
    <n v="3"/>
    <n v="37"/>
    <x v="2"/>
    <n v="29"/>
    <m/>
    <m/>
    <x v="0"/>
    <n v="3"/>
    <x v="0"/>
    <m/>
    <m/>
    <n v="30.5"/>
    <x v="1"/>
    <s v="22/05/2024"/>
    <d v="2024-05-22T00:00:00"/>
    <s v="2024038-115"/>
    <x v="3"/>
  </r>
  <r>
    <x v="577"/>
    <n v="2024038"/>
    <x v="38"/>
    <s v="Chickpea"/>
    <m/>
    <x v="4"/>
    <s v="Y"/>
    <x v="2"/>
    <n v="116"/>
    <n v="60"/>
    <x v="3"/>
    <m/>
    <m/>
    <m/>
    <n v="8"/>
    <n v="16"/>
    <m/>
    <m/>
    <m/>
    <m/>
    <n v="4"/>
    <n v="37"/>
    <x v="3"/>
    <n v="29"/>
    <m/>
    <m/>
    <x v="0"/>
    <n v="4"/>
    <x v="0"/>
    <m/>
    <m/>
    <n v="30.5"/>
    <x v="1"/>
    <s v="22/05/2024"/>
    <d v="2024-05-22T00:00:00"/>
    <s v="2024038-116"/>
    <x v="3"/>
  </r>
  <r>
    <x v="579"/>
    <n v="2024038"/>
    <x v="38"/>
    <s v="Chickpea"/>
    <m/>
    <x v="3"/>
    <s v="N"/>
    <x v="1"/>
    <n v="117"/>
    <n v="57"/>
    <x v="3"/>
    <m/>
    <m/>
    <m/>
    <n v="8"/>
    <n v="15"/>
    <m/>
    <m/>
    <m/>
    <m/>
    <n v="1"/>
    <n v="38"/>
    <x v="0"/>
    <n v="30"/>
    <m/>
    <n v="57"/>
    <x v="1"/>
    <n v="2"/>
    <x v="0"/>
    <m/>
    <m/>
    <n v="30.5"/>
    <x v="1"/>
    <s v="22/05/2024"/>
    <d v="2024-05-22T00:00:00"/>
    <s v="2024038-117"/>
    <x v="3"/>
  </r>
  <r>
    <x v="578"/>
    <n v="2024038"/>
    <x v="38"/>
    <s v="Chickpea"/>
    <m/>
    <x v="9"/>
    <s v="N"/>
    <x v="1"/>
    <n v="118"/>
    <n v="58"/>
    <x v="3"/>
    <m/>
    <m/>
    <m/>
    <n v="8"/>
    <n v="15"/>
    <m/>
    <m/>
    <m/>
    <m/>
    <n v="2"/>
    <n v="38"/>
    <x v="1"/>
    <n v="30"/>
    <m/>
    <n v="58"/>
    <x v="1"/>
    <n v="1"/>
    <x v="0"/>
    <m/>
    <m/>
    <n v="30.5"/>
    <x v="1"/>
    <s v="22/05/2024"/>
    <d v="2024-05-22T00:00:00"/>
    <s v="2024038-118"/>
    <x v="3"/>
  </r>
  <r>
    <x v="576"/>
    <n v="2024038"/>
    <x v="38"/>
    <s v="Chickpea"/>
    <m/>
    <x v="8"/>
    <s v="Y"/>
    <x v="1"/>
    <n v="119"/>
    <n v="59"/>
    <x v="3"/>
    <m/>
    <m/>
    <m/>
    <n v="8"/>
    <n v="16"/>
    <m/>
    <m/>
    <m/>
    <m/>
    <n v="3"/>
    <n v="38"/>
    <x v="2"/>
    <n v="30"/>
    <m/>
    <n v="59"/>
    <x v="0"/>
    <n v="3"/>
    <x v="0"/>
    <m/>
    <m/>
    <n v="30.5"/>
    <x v="1"/>
    <s v="22/05/2024"/>
    <d v="2024-05-22T00:00:00"/>
    <s v="2024038-119"/>
    <x v="3"/>
  </r>
  <r>
    <x v="577"/>
    <n v="2024038"/>
    <x v="38"/>
    <s v="Chickpea"/>
    <m/>
    <x v="4"/>
    <s v="Y"/>
    <x v="1"/>
    <n v="120"/>
    <n v="60"/>
    <x v="3"/>
    <m/>
    <m/>
    <m/>
    <n v="8"/>
    <n v="16"/>
    <m/>
    <m/>
    <m/>
    <m/>
    <n v="4"/>
    <n v="38"/>
    <x v="3"/>
    <n v="30"/>
    <m/>
    <n v="60"/>
    <x v="0"/>
    <n v="4"/>
    <x v="0"/>
    <m/>
    <m/>
    <n v="30.5"/>
    <x v="1"/>
    <s v="22/05/2024"/>
    <d v="2024-05-22T00:00:00"/>
    <s v="2024038-120"/>
    <x v="3"/>
  </r>
  <r>
    <x v="582"/>
    <n v="2024038"/>
    <x v="38"/>
    <s v="Chickpea"/>
    <m/>
    <x v="4"/>
    <s v="Y"/>
    <x v="2"/>
    <n v="121"/>
    <n v="61"/>
    <x v="3"/>
    <m/>
    <m/>
    <m/>
    <n v="8"/>
    <n v="15"/>
    <m/>
    <m/>
    <m/>
    <m/>
    <n v="1"/>
    <n v="39"/>
    <x v="0"/>
    <n v="31"/>
    <m/>
    <m/>
    <x v="1"/>
    <n v="4"/>
    <x v="0"/>
    <m/>
    <m/>
    <n v="30.5"/>
    <x v="1"/>
    <s v="22/05/2024"/>
    <d v="2024-05-22T00:00:00"/>
    <s v="2024038-121"/>
    <x v="3"/>
  </r>
  <r>
    <x v="583"/>
    <n v="2024038"/>
    <x v="38"/>
    <s v="Chickpea"/>
    <m/>
    <x v="8"/>
    <s v="Y"/>
    <x v="2"/>
    <n v="122"/>
    <n v="62"/>
    <x v="3"/>
    <m/>
    <m/>
    <m/>
    <n v="8"/>
    <n v="15"/>
    <m/>
    <m/>
    <m/>
    <m/>
    <n v="2"/>
    <n v="39"/>
    <x v="1"/>
    <n v="31"/>
    <m/>
    <m/>
    <x v="1"/>
    <n v="3"/>
    <x v="0"/>
    <m/>
    <m/>
    <n v="30.5"/>
    <x v="1"/>
    <s v="22/05/2024"/>
    <d v="2024-05-22T00:00:00"/>
    <s v="2024038-122"/>
    <x v="3"/>
  </r>
  <r>
    <x v="581"/>
    <n v="2024038"/>
    <x v="38"/>
    <s v="Chickpea"/>
    <m/>
    <x v="3"/>
    <s v="N"/>
    <x v="2"/>
    <n v="123"/>
    <n v="63"/>
    <x v="3"/>
    <m/>
    <m/>
    <m/>
    <n v="8"/>
    <n v="16"/>
    <m/>
    <m/>
    <m/>
    <m/>
    <n v="3"/>
    <n v="39"/>
    <x v="2"/>
    <n v="31"/>
    <m/>
    <m/>
    <x v="0"/>
    <n v="2"/>
    <x v="0"/>
    <m/>
    <m/>
    <n v="30.5"/>
    <x v="1"/>
    <s v="22/05/2024"/>
    <d v="2024-05-22T00:00:00"/>
    <s v="2024038-123"/>
    <x v="3"/>
  </r>
  <r>
    <x v="580"/>
    <n v="2024038"/>
    <x v="38"/>
    <s v="Chickpea"/>
    <m/>
    <x v="9"/>
    <s v="N"/>
    <x v="2"/>
    <n v="124"/>
    <n v="64"/>
    <x v="3"/>
    <m/>
    <m/>
    <m/>
    <n v="8"/>
    <n v="16"/>
    <m/>
    <m/>
    <m/>
    <m/>
    <n v="4"/>
    <n v="39"/>
    <x v="3"/>
    <n v="31"/>
    <m/>
    <m/>
    <x v="0"/>
    <n v="1"/>
    <x v="0"/>
    <m/>
    <m/>
    <n v="30.5"/>
    <x v="1"/>
    <s v="22/05/2024"/>
    <d v="2024-05-22T00:00:00"/>
    <s v="2024038-124"/>
    <x v="3"/>
  </r>
  <r>
    <x v="582"/>
    <n v="2024038"/>
    <x v="38"/>
    <s v="Chickpea"/>
    <m/>
    <x v="4"/>
    <s v="Y"/>
    <x v="1"/>
    <n v="125"/>
    <n v="61"/>
    <x v="3"/>
    <m/>
    <m/>
    <m/>
    <n v="8"/>
    <n v="15"/>
    <m/>
    <m/>
    <m/>
    <m/>
    <n v="1"/>
    <n v="40"/>
    <x v="0"/>
    <n v="32"/>
    <m/>
    <n v="64"/>
    <x v="1"/>
    <n v="4"/>
    <x v="0"/>
    <m/>
    <m/>
    <n v="30.5"/>
    <x v="1"/>
    <s v="22/05/2024"/>
    <d v="2024-05-22T00:00:00"/>
    <s v="2024038-125"/>
    <x v="3"/>
  </r>
  <r>
    <x v="583"/>
    <n v="2024038"/>
    <x v="38"/>
    <s v="Chickpea"/>
    <m/>
    <x v="8"/>
    <s v="Y"/>
    <x v="1"/>
    <n v="126"/>
    <n v="62"/>
    <x v="3"/>
    <m/>
    <m/>
    <m/>
    <n v="8"/>
    <n v="15"/>
    <m/>
    <m/>
    <m/>
    <m/>
    <n v="2"/>
    <n v="40"/>
    <x v="1"/>
    <n v="32"/>
    <m/>
    <n v="63"/>
    <x v="1"/>
    <n v="3"/>
    <x v="0"/>
    <m/>
    <m/>
    <n v="30.5"/>
    <x v="1"/>
    <s v="22/05/2024"/>
    <d v="2024-05-22T00:00:00"/>
    <s v="2024038-126"/>
    <x v="3"/>
  </r>
  <r>
    <x v="581"/>
    <n v="2024038"/>
    <x v="38"/>
    <s v="Chickpea"/>
    <m/>
    <x v="3"/>
    <s v="N"/>
    <x v="1"/>
    <n v="127"/>
    <n v="63"/>
    <x v="3"/>
    <m/>
    <m/>
    <m/>
    <n v="8"/>
    <n v="16"/>
    <m/>
    <m/>
    <m/>
    <m/>
    <n v="3"/>
    <n v="40"/>
    <x v="2"/>
    <n v="32"/>
    <m/>
    <n v="62"/>
    <x v="0"/>
    <n v="2"/>
    <x v="0"/>
    <m/>
    <m/>
    <n v="30.5"/>
    <x v="1"/>
    <s v="22/05/2024"/>
    <d v="2024-05-22T00:00:00"/>
    <s v="2024038-127"/>
    <x v="3"/>
  </r>
  <r>
    <x v="580"/>
    <n v="2024038"/>
    <x v="38"/>
    <s v="Chickpea"/>
    <m/>
    <x v="9"/>
    <s v="N"/>
    <x v="1"/>
    <n v="128"/>
    <n v="64"/>
    <x v="3"/>
    <m/>
    <m/>
    <m/>
    <n v="8"/>
    <n v="16"/>
    <m/>
    <m/>
    <m/>
    <m/>
    <n v="4"/>
    <n v="40"/>
    <x v="3"/>
    <n v="32"/>
    <m/>
    <n v="61"/>
    <x v="0"/>
    <n v="1"/>
    <x v="0"/>
    <m/>
    <m/>
    <n v="30.5"/>
    <x v="1"/>
    <s v="22/05/2024"/>
    <d v="2024-05-22T00:00:00"/>
    <s v="2024038-128"/>
    <x v="3"/>
  </r>
  <r>
    <x v="592"/>
    <n v="2024039"/>
    <x v="39"/>
    <s v="Fababean"/>
    <m/>
    <x v="10"/>
    <s v="Y"/>
    <x v="2"/>
    <n v="1"/>
    <n v="1"/>
    <x v="0"/>
    <m/>
    <m/>
    <m/>
    <n v="1"/>
    <n v="1"/>
    <m/>
    <m/>
    <m/>
    <m/>
    <n v="1"/>
    <m/>
    <x v="0"/>
    <n v="1"/>
    <m/>
    <m/>
    <x v="0"/>
    <n v="4"/>
    <x v="0"/>
    <m/>
    <m/>
    <n v="30.5"/>
    <x v="1"/>
    <s v="24/05/2024"/>
    <d v="2024-05-24T00:00:00"/>
    <s v="2024039-1"/>
    <x v="4"/>
  </r>
  <r>
    <x v="593"/>
    <n v="2024039"/>
    <x v="39"/>
    <s v="Fababean"/>
    <m/>
    <x v="11"/>
    <s v="N"/>
    <x v="2"/>
    <n v="2"/>
    <n v="2"/>
    <x v="0"/>
    <m/>
    <m/>
    <m/>
    <n v="1"/>
    <n v="1"/>
    <m/>
    <m/>
    <m/>
    <m/>
    <n v="2"/>
    <m/>
    <x v="1"/>
    <n v="1"/>
    <m/>
    <m/>
    <x v="0"/>
    <n v="2"/>
    <x v="0"/>
    <m/>
    <m/>
    <n v="30.5"/>
    <x v="1"/>
    <s v="24/05/2024"/>
    <d v="2024-05-24T00:00:00"/>
    <s v="2024039-2"/>
    <x v="4"/>
  </r>
  <r>
    <x v="594"/>
    <n v="2024039"/>
    <x v="39"/>
    <s v="Fababean"/>
    <m/>
    <x v="12"/>
    <s v="N"/>
    <x v="2"/>
    <n v="3"/>
    <n v="3"/>
    <x v="0"/>
    <m/>
    <m/>
    <m/>
    <n v="1"/>
    <n v="2"/>
    <m/>
    <m/>
    <m/>
    <m/>
    <n v="3"/>
    <m/>
    <x v="2"/>
    <n v="1"/>
    <m/>
    <m/>
    <x v="1"/>
    <n v="1"/>
    <x v="0"/>
    <m/>
    <m/>
    <n v="30.5"/>
    <x v="1"/>
    <s v="24/05/2024"/>
    <d v="2024-05-24T00:00:00"/>
    <s v="2024039-3"/>
    <x v="4"/>
  </r>
  <r>
    <x v="595"/>
    <n v="2024039"/>
    <x v="39"/>
    <s v="Fababean"/>
    <m/>
    <x v="13"/>
    <s v="Y"/>
    <x v="2"/>
    <n v="4"/>
    <n v="4"/>
    <x v="0"/>
    <m/>
    <m/>
    <m/>
    <n v="1"/>
    <n v="2"/>
    <m/>
    <m/>
    <m/>
    <m/>
    <n v="4"/>
    <m/>
    <x v="3"/>
    <n v="1"/>
    <m/>
    <m/>
    <x v="1"/>
    <n v="3"/>
    <x v="0"/>
    <m/>
    <m/>
    <n v="30.5"/>
    <x v="1"/>
    <s v="24/05/2024"/>
    <d v="2024-05-24T00:00:00"/>
    <s v="2024039-4"/>
    <x v="4"/>
  </r>
  <r>
    <x v="592"/>
    <n v="2024039"/>
    <x v="39"/>
    <s v="Fababean"/>
    <m/>
    <x v="10"/>
    <s v="Y"/>
    <x v="1"/>
    <n v="5"/>
    <n v="1"/>
    <x v="0"/>
    <m/>
    <m/>
    <m/>
    <n v="1"/>
    <n v="1"/>
    <m/>
    <m/>
    <m/>
    <m/>
    <n v="1"/>
    <m/>
    <x v="0"/>
    <n v="2"/>
    <m/>
    <n v="1"/>
    <x v="0"/>
    <n v="4"/>
    <x v="0"/>
    <m/>
    <m/>
    <n v="30.5"/>
    <x v="1"/>
    <s v="24/05/2024"/>
    <d v="2024-05-24T00:00:00"/>
    <s v="2024039-5"/>
    <x v="4"/>
  </r>
  <r>
    <x v="593"/>
    <n v="2024039"/>
    <x v="39"/>
    <s v="Fababean"/>
    <m/>
    <x v="11"/>
    <s v="N"/>
    <x v="1"/>
    <n v="6"/>
    <n v="2"/>
    <x v="0"/>
    <m/>
    <m/>
    <m/>
    <n v="1"/>
    <n v="1"/>
    <m/>
    <m/>
    <m/>
    <m/>
    <n v="2"/>
    <m/>
    <x v="1"/>
    <n v="2"/>
    <m/>
    <n v="2"/>
    <x v="0"/>
    <n v="2"/>
    <x v="0"/>
    <m/>
    <m/>
    <n v="30.5"/>
    <x v="1"/>
    <s v="24/05/2024"/>
    <d v="2024-05-24T00:00:00"/>
    <s v="2024039-6"/>
    <x v="4"/>
  </r>
  <r>
    <x v="594"/>
    <n v="2024039"/>
    <x v="39"/>
    <s v="Fababean"/>
    <m/>
    <x v="12"/>
    <s v="N"/>
    <x v="1"/>
    <n v="7"/>
    <n v="3"/>
    <x v="0"/>
    <m/>
    <m/>
    <m/>
    <n v="1"/>
    <n v="2"/>
    <m/>
    <m/>
    <m/>
    <m/>
    <n v="3"/>
    <m/>
    <x v="2"/>
    <n v="2"/>
    <m/>
    <n v="3"/>
    <x v="1"/>
    <n v="1"/>
    <x v="0"/>
    <m/>
    <m/>
    <n v="30.5"/>
    <x v="1"/>
    <s v="24/05/2024"/>
    <d v="2024-05-24T00:00:00"/>
    <s v="2024039-7"/>
    <x v="4"/>
  </r>
  <r>
    <x v="595"/>
    <n v="2024039"/>
    <x v="39"/>
    <s v="Fababean"/>
    <m/>
    <x v="13"/>
    <s v="Y"/>
    <x v="1"/>
    <n v="8"/>
    <n v="4"/>
    <x v="0"/>
    <m/>
    <m/>
    <m/>
    <n v="1"/>
    <n v="2"/>
    <m/>
    <m/>
    <m/>
    <m/>
    <n v="4"/>
    <m/>
    <x v="3"/>
    <n v="2"/>
    <m/>
    <n v="4"/>
    <x v="1"/>
    <n v="3"/>
    <x v="0"/>
    <m/>
    <m/>
    <n v="30.5"/>
    <x v="1"/>
    <s v="24/05/2024"/>
    <d v="2024-05-24T00:00:00"/>
    <s v="2024039-8"/>
    <x v="4"/>
  </r>
  <r>
    <x v="596"/>
    <n v="2024039"/>
    <x v="39"/>
    <s v="Fababean"/>
    <m/>
    <x v="12"/>
    <s v="N"/>
    <x v="2"/>
    <n v="9"/>
    <n v="5"/>
    <x v="0"/>
    <m/>
    <m/>
    <m/>
    <n v="1"/>
    <n v="1"/>
    <m/>
    <m/>
    <m/>
    <m/>
    <n v="1"/>
    <m/>
    <x v="0"/>
    <n v="3"/>
    <m/>
    <m/>
    <x v="0"/>
    <n v="1"/>
    <x v="0"/>
    <m/>
    <m/>
    <n v="30.5"/>
    <x v="1"/>
    <s v="24/05/2024"/>
    <d v="2024-05-24T00:00:00"/>
    <s v="2024039-9"/>
    <x v="4"/>
  </r>
  <r>
    <x v="597"/>
    <n v="2024039"/>
    <x v="39"/>
    <s v="Fababean"/>
    <m/>
    <x v="13"/>
    <s v="Y"/>
    <x v="2"/>
    <n v="10"/>
    <n v="6"/>
    <x v="0"/>
    <m/>
    <m/>
    <m/>
    <n v="1"/>
    <n v="1"/>
    <m/>
    <m/>
    <m/>
    <m/>
    <n v="2"/>
    <m/>
    <x v="1"/>
    <n v="3"/>
    <m/>
    <m/>
    <x v="0"/>
    <n v="3"/>
    <x v="0"/>
    <m/>
    <m/>
    <n v="30.5"/>
    <x v="1"/>
    <s v="24/05/2024"/>
    <d v="2024-05-24T00:00:00"/>
    <s v="2024039-10"/>
    <x v="4"/>
  </r>
  <r>
    <x v="598"/>
    <n v="2024039"/>
    <x v="39"/>
    <s v="Fababean"/>
    <m/>
    <x v="11"/>
    <s v="N"/>
    <x v="2"/>
    <n v="11"/>
    <n v="7"/>
    <x v="0"/>
    <m/>
    <m/>
    <m/>
    <n v="1"/>
    <n v="2"/>
    <m/>
    <m/>
    <m/>
    <m/>
    <n v="3"/>
    <m/>
    <x v="2"/>
    <n v="3"/>
    <m/>
    <m/>
    <x v="1"/>
    <n v="2"/>
    <x v="0"/>
    <m/>
    <m/>
    <n v="30.5"/>
    <x v="1"/>
    <s v="24/05/2024"/>
    <d v="2024-05-24T00:00:00"/>
    <s v="2024039-11"/>
    <x v="4"/>
  </r>
  <r>
    <x v="599"/>
    <n v="2024039"/>
    <x v="39"/>
    <s v="Fababean"/>
    <m/>
    <x v="10"/>
    <s v="Y"/>
    <x v="2"/>
    <n v="12"/>
    <n v="8"/>
    <x v="0"/>
    <m/>
    <m/>
    <m/>
    <n v="1"/>
    <n v="2"/>
    <m/>
    <m/>
    <m/>
    <m/>
    <n v="4"/>
    <m/>
    <x v="3"/>
    <n v="3"/>
    <m/>
    <m/>
    <x v="1"/>
    <n v="4"/>
    <x v="0"/>
    <m/>
    <m/>
    <n v="30.5"/>
    <x v="1"/>
    <s v="24/05/2024"/>
    <d v="2024-05-24T00:00:00"/>
    <s v="2024039-12"/>
    <x v="4"/>
  </r>
  <r>
    <x v="596"/>
    <n v="2024039"/>
    <x v="39"/>
    <s v="Fababean"/>
    <m/>
    <x v="12"/>
    <s v="N"/>
    <x v="1"/>
    <n v="13"/>
    <n v="5"/>
    <x v="0"/>
    <m/>
    <m/>
    <m/>
    <n v="1"/>
    <n v="1"/>
    <m/>
    <m/>
    <m/>
    <m/>
    <n v="1"/>
    <m/>
    <x v="0"/>
    <n v="4"/>
    <m/>
    <n v="8"/>
    <x v="0"/>
    <n v="1"/>
    <x v="0"/>
    <m/>
    <m/>
    <n v="30.5"/>
    <x v="1"/>
    <s v="24/05/2024"/>
    <d v="2024-05-24T00:00:00"/>
    <s v="2024039-13"/>
    <x v="4"/>
  </r>
  <r>
    <x v="597"/>
    <n v="2024039"/>
    <x v="39"/>
    <s v="Fababean"/>
    <m/>
    <x v="13"/>
    <s v="Y"/>
    <x v="1"/>
    <n v="14"/>
    <n v="6"/>
    <x v="0"/>
    <m/>
    <m/>
    <m/>
    <n v="1"/>
    <n v="1"/>
    <m/>
    <m/>
    <m/>
    <m/>
    <n v="2"/>
    <m/>
    <x v="1"/>
    <n v="4"/>
    <m/>
    <n v="7"/>
    <x v="0"/>
    <n v="3"/>
    <x v="0"/>
    <m/>
    <m/>
    <n v="30.5"/>
    <x v="1"/>
    <s v="24/05/2024"/>
    <d v="2024-05-24T00:00:00"/>
    <s v="2024039-14"/>
    <x v="4"/>
  </r>
  <r>
    <x v="598"/>
    <n v="2024039"/>
    <x v="39"/>
    <s v="Fababean"/>
    <m/>
    <x v="11"/>
    <s v="N"/>
    <x v="1"/>
    <n v="15"/>
    <n v="7"/>
    <x v="0"/>
    <m/>
    <m/>
    <m/>
    <n v="1"/>
    <n v="2"/>
    <m/>
    <m/>
    <m/>
    <m/>
    <n v="3"/>
    <m/>
    <x v="2"/>
    <n v="4"/>
    <m/>
    <n v="6"/>
    <x v="1"/>
    <n v="2"/>
    <x v="0"/>
    <m/>
    <m/>
    <n v="30.5"/>
    <x v="1"/>
    <s v="24/05/2024"/>
    <d v="2024-05-24T00:00:00"/>
    <s v="2024039-15"/>
    <x v="4"/>
  </r>
  <r>
    <x v="599"/>
    <n v="2024039"/>
    <x v="39"/>
    <s v="Fababean"/>
    <m/>
    <x v="10"/>
    <s v="Y"/>
    <x v="1"/>
    <n v="16"/>
    <n v="8"/>
    <x v="0"/>
    <m/>
    <m/>
    <m/>
    <n v="1"/>
    <n v="2"/>
    <m/>
    <m/>
    <m/>
    <m/>
    <n v="4"/>
    <m/>
    <x v="3"/>
    <n v="4"/>
    <m/>
    <n v="5"/>
    <x v="1"/>
    <n v="4"/>
    <x v="0"/>
    <m/>
    <m/>
    <n v="30.5"/>
    <x v="1"/>
    <s v="24/05/2024"/>
    <d v="2024-05-24T00:00:00"/>
    <s v="2024039-16"/>
    <x v="4"/>
  </r>
  <r>
    <x v="600"/>
    <n v="2024039"/>
    <x v="39"/>
    <s v="Fababean"/>
    <m/>
    <x v="10"/>
    <s v="Y"/>
    <x v="2"/>
    <n v="17"/>
    <n v="9"/>
    <x v="0"/>
    <m/>
    <m/>
    <m/>
    <n v="2"/>
    <n v="3"/>
    <m/>
    <m/>
    <m/>
    <m/>
    <n v="1"/>
    <m/>
    <x v="0"/>
    <n v="5"/>
    <m/>
    <m/>
    <x v="0"/>
    <n v="4"/>
    <x v="0"/>
    <m/>
    <m/>
    <n v="30.5"/>
    <x v="2"/>
    <s v="04/07/2024"/>
    <d v="2024-07-04T00:00:00"/>
    <s v="2024039-17"/>
    <x v="4"/>
  </r>
  <r>
    <x v="601"/>
    <n v="2024039"/>
    <x v="39"/>
    <s v="Fababean"/>
    <m/>
    <x v="13"/>
    <s v="Y"/>
    <x v="2"/>
    <n v="18"/>
    <n v="10"/>
    <x v="0"/>
    <m/>
    <m/>
    <m/>
    <n v="2"/>
    <n v="3"/>
    <m/>
    <m/>
    <m/>
    <m/>
    <n v="2"/>
    <m/>
    <x v="1"/>
    <n v="5"/>
    <m/>
    <m/>
    <x v="0"/>
    <n v="3"/>
    <x v="0"/>
    <m/>
    <m/>
    <n v="30.5"/>
    <x v="2"/>
    <s v="04/07/2024"/>
    <d v="2024-07-04T00:00:00"/>
    <s v="2024039-18"/>
    <x v="4"/>
  </r>
  <r>
    <x v="602"/>
    <n v="2024039"/>
    <x v="39"/>
    <s v="Fababean"/>
    <m/>
    <x v="12"/>
    <s v="N"/>
    <x v="2"/>
    <n v="19"/>
    <n v="11"/>
    <x v="0"/>
    <m/>
    <m/>
    <m/>
    <n v="2"/>
    <n v="4"/>
    <m/>
    <m/>
    <m/>
    <m/>
    <n v="3"/>
    <m/>
    <x v="2"/>
    <n v="5"/>
    <m/>
    <m/>
    <x v="1"/>
    <n v="1"/>
    <x v="0"/>
    <m/>
    <m/>
    <n v="30.5"/>
    <x v="2"/>
    <s v="04/07/2024"/>
    <d v="2024-07-04T00:00:00"/>
    <s v="2024039-19"/>
    <x v="4"/>
  </r>
  <r>
    <x v="603"/>
    <n v="2024039"/>
    <x v="39"/>
    <s v="Fababean"/>
    <m/>
    <x v="11"/>
    <s v="N"/>
    <x v="2"/>
    <n v="20"/>
    <n v="12"/>
    <x v="0"/>
    <m/>
    <m/>
    <m/>
    <n v="2"/>
    <n v="4"/>
    <m/>
    <m/>
    <m/>
    <m/>
    <n v="4"/>
    <m/>
    <x v="3"/>
    <n v="5"/>
    <m/>
    <m/>
    <x v="1"/>
    <n v="2"/>
    <x v="0"/>
    <m/>
    <m/>
    <n v="30.5"/>
    <x v="2"/>
    <s v="04/07/2024"/>
    <d v="2024-07-04T00:00:00"/>
    <s v="2024039-20"/>
    <x v="4"/>
  </r>
  <r>
    <x v="600"/>
    <n v="2024039"/>
    <x v="39"/>
    <s v="Fababean"/>
    <m/>
    <x v="10"/>
    <s v="Y"/>
    <x v="1"/>
    <n v="21"/>
    <n v="9"/>
    <x v="0"/>
    <m/>
    <m/>
    <m/>
    <n v="2"/>
    <n v="3"/>
    <m/>
    <m/>
    <m/>
    <m/>
    <n v="1"/>
    <m/>
    <x v="0"/>
    <n v="6"/>
    <m/>
    <n v="9"/>
    <x v="0"/>
    <n v="4"/>
    <x v="0"/>
    <m/>
    <m/>
    <n v="30.5"/>
    <x v="2"/>
    <s v="04/07/2024"/>
    <d v="2024-07-04T00:00:00"/>
    <s v="2024039-21"/>
    <x v="4"/>
  </r>
  <r>
    <x v="601"/>
    <n v="2024039"/>
    <x v="39"/>
    <s v="Fababean"/>
    <m/>
    <x v="13"/>
    <s v="Y"/>
    <x v="1"/>
    <n v="22"/>
    <n v="10"/>
    <x v="0"/>
    <m/>
    <m/>
    <m/>
    <n v="2"/>
    <n v="3"/>
    <m/>
    <m/>
    <m/>
    <m/>
    <n v="2"/>
    <m/>
    <x v="1"/>
    <n v="6"/>
    <m/>
    <n v="10"/>
    <x v="0"/>
    <n v="3"/>
    <x v="0"/>
    <m/>
    <m/>
    <n v="30.5"/>
    <x v="2"/>
    <s v="04/07/2024"/>
    <d v="2024-07-04T00:00:00"/>
    <s v="2024039-22"/>
    <x v="4"/>
  </r>
  <r>
    <x v="602"/>
    <n v="2024039"/>
    <x v="39"/>
    <s v="Fababean"/>
    <m/>
    <x v="12"/>
    <s v="N"/>
    <x v="1"/>
    <n v="23"/>
    <n v="11"/>
    <x v="0"/>
    <m/>
    <m/>
    <m/>
    <n v="2"/>
    <n v="4"/>
    <m/>
    <m/>
    <m/>
    <m/>
    <n v="3"/>
    <m/>
    <x v="2"/>
    <n v="6"/>
    <m/>
    <n v="11"/>
    <x v="1"/>
    <n v="1"/>
    <x v="0"/>
    <m/>
    <m/>
    <n v="30.5"/>
    <x v="2"/>
    <s v="04/07/2024"/>
    <d v="2024-07-04T00:00:00"/>
    <s v="2024039-23"/>
    <x v="4"/>
  </r>
  <r>
    <x v="603"/>
    <n v="2024039"/>
    <x v="39"/>
    <s v="Fababean"/>
    <m/>
    <x v="11"/>
    <s v="N"/>
    <x v="1"/>
    <n v="24"/>
    <n v="12"/>
    <x v="0"/>
    <m/>
    <m/>
    <m/>
    <n v="2"/>
    <n v="4"/>
    <m/>
    <m/>
    <m/>
    <m/>
    <n v="4"/>
    <m/>
    <x v="3"/>
    <n v="6"/>
    <m/>
    <n v="12"/>
    <x v="1"/>
    <n v="2"/>
    <x v="0"/>
    <m/>
    <m/>
    <n v="30.5"/>
    <x v="2"/>
    <s v="04/07/2024"/>
    <d v="2024-07-04T00:00:00"/>
    <s v="2024039-24"/>
    <x v="4"/>
  </r>
  <r>
    <x v="604"/>
    <n v="2024039"/>
    <x v="39"/>
    <s v="Fababean"/>
    <m/>
    <x v="12"/>
    <s v="N"/>
    <x v="2"/>
    <n v="25"/>
    <n v="13"/>
    <x v="0"/>
    <m/>
    <m/>
    <m/>
    <n v="2"/>
    <n v="3"/>
    <m/>
    <m/>
    <m/>
    <m/>
    <n v="1"/>
    <m/>
    <x v="0"/>
    <n v="7"/>
    <m/>
    <m/>
    <x v="0"/>
    <n v="1"/>
    <x v="0"/>
    <m/>
    <m/>
    <n v="30.5"/>
    <x v="2"/>
    <s v="04/07/2024"/>
    <d v="2024-07-04T00:00:00"/>
    <s v="2024039-25"/>
    <x v="4"/>
  </r>
  <r>
    <x v="605"/>
    <n v="2024039"/>
    <x v="39"/>
    <s v="Fababean"/>
    <m/>
    <x v="11"/>
    <s v="N"/>
    <x v="2"/>
    <n v="26"/>
    <n v="14"/>
    <x v="0"/>
    <m/>
    <m/>
    <m/>
    <n v="2"/>
    <n v="3"/>
    <m/>
    <m/>
    <m/>
    <m/>
    <n v="2"/>
    <m/>
    <x v="1"/>
    <n v="7"/>
    <m/>
    <m/>
    <x v="0"/>
    <n v="2"/>
    <x v="0"/>
    <m/>
    <m/>
    <n v="30.5"/>
    <x v="2"/>
    <s v="04/07/2024"/>
    <d v="2024-07-04T00:00:00"/>
    <s v="2024039-26"/>
    <x v="4"/>
  </r>
  <r>
    <x v="606"/>
    <n v="2024039"/>
    <x v="39"/>
    <s v="Fababean"/>
    <m/>
    <x v="13"/>
    <s v="Y"/>
    <x v="2"/>
    <n v="27"/>
    <n v="15"/>
    <x v="0"/>
    <m/>
    <m/>
    <m/>
    <n v="2"/>
    <n v="4"/>
    <m/>
    <m/>
    <m/>
    <m/>
    <n v="3"/>
    <m/>
    <x v="2"/>
    <n v="7"/>
    <m/>
    <m/>
    <x v="1"/>
    <n v="3"/>
    <x v="0"/>
    <m/>
    <m/>
    <n v="30.5"/>
    <x v="2"/>
    <s v="04/07/2024"/>
    <d v="2024-07-04T00:00:00"/>
    <s v="2024039-27"/>
    <x v="4"/>
  </r>
  <r>
    <x v="607"/>
    <n v="2024039"/>
    <x v="39"/>
    <s v="Fababean"/>
    <m/>
    <x v="10"/>
    <s v="Y"/>
    <x v="2"/>
    <n v="28"/>
    <n v="16"/>
    <x v="0"/>
    <m/>
    <m/>
    <m/>
    <n v="2"/>
    <n v="4"/>
    <m/>
    <m/>
    <m/>
    <m/>
    <n v="4"/>
    <m/>
    <x v="3"/>
    <n v="7"/>
    <m/>
    <m/>
    <x v="1"/>
    <n v="4"/>
    <x v="0"/>
    <m/>
    <m/>
    <n v="30.5"/>
    <x v="2"/>
    <s v="04/07/2024"/>
    <d v="2024-07-04T00:00:00"/>
    <s v="2024039-28"/>
    <x v="4"/>
  </r>
  <r>
    <x v="604"/>
    <n v="2024039"/>
    <x v="39"/>
    <s v="Fababean"/>
    <m/>
    <x v="12"/>
    <s v="N"/>
    <x v="1"/>
    <n v="29"/>
    <n v="13"/>
    <x v="0"/>
    <m/>
    <m/>
    <m/>
    <n v="2"/>
    <n v="3"/>
    <m/>
    <m/>
    <m/>
    <m/>
    <n v="1"/>
    <m/>
    <x v="0"/>
    <n v="8"/>
    <m/>
    <n v="16"/>
    <x v="0"/>
    <n v="1"/>
    <x v="0"/>
    <m/>
    <m/>
    <n v="30.5"/>
    <x v="2"/>
    <s v="04/07/2024"/>
    <d v="2024-07-04T00:00:00"/>
    <s v="2024039-29"/>
    <x v="4"/>
  </r>
  <r>
    <x v="605"/>
    <n v="2024039"/>
    <x v="39"/>
    <s v="Fababean"/>
    <m/>
    <x v="11"/>
    <s v="N"/>
    <x v="1"/>
    <n v="30"/>
    <n v="14"/>
    <x v="0"/>
    <m/>
    <m/>
    <m/>
    <n v="2"/>
    <n v="3"/>
    <m/>
    <m/>
    <m/>
    <m/>
    <n v="2"/>
    <m/>
    <x v="1"/>
    <n v="8"/>
    <m/>
    <n v="15"/>
    <x v="0"/>
    <n v="2"/>
    <x v="0"/>
    <m/>
    <m/>
    <n v="30.5"/>
    <x v="2"/>
    <s v="04/07/2024"/>
    <d v="2024-07-04T00:00:00"/>
    <s v="2024039-30"/>
    <x v="4"/>
  </r>
  <r>
    <x v="606"/>
    <n v="2024039"/>
    <x v="39"/>
    <s v="Fababean"/>
    <m/>
    <x v="13"/>
    <s v="Y"/>
    <x v="1"/>
    <n v="31"/>
    <n v="15"/>
    <x v="0"/>
    <m/>
    <m/>
    <m/>
    <n v="2"/>
    <n v="4"/>
    <m/>
    <m/>
    <m/>
    <m/>
    <n v="3"/>
    <m/>
    <x v="2"/>
    <n v="8"/>
    <m/>
    <n v="14"/>
    <x v="1"/>
    <n v="3"/>
    <x v="0"/>
    <m/>
    <m/>
    <n v="30.5"/>
    <x v="2"/>
    <s v="04/07/2024"/>
    <d v="2024-07-04T00:00:00"/>
    <s v="2024039-31"/>
    <x v="4"/>
  </r>
  <r>
    <x v="607"/>
    <n v="2024039"/>
    <x v="39"/>
    <s v="Fababean"/>
    <m/>
    <x v="10"/>
    <s v="Y"/>
    <x v="1"/>
    <n v="32"/>
    <n v="16"/>
    <x v="0"/>
    <m/>
    <m/>
    <m/>
    <n v="2"/>
    <n v="4"/>
    <m/>
    <m/>
    <m/>
    <m/>
    <n v="4"/>
    <m/>
    <x v="3"/>
    <n v="8"/>
    <m/>
    <n v="13"/>
    <x v="1"/>
    <n v="4"/>
    <x v="0"/>
    <m/>
    <m/>
    <n v="30.5"/>
    <x v="2"/>
    <s v="04/07/2024"/>
    <d v="2024-07-04T00:00:00"/>
    <s v="2024039-32"/>
    <x v="4"/>
  </r>
  <r>
    <x v="603"/>
    <n v="2024039"/>
    <x v="39"/>
    <s v="Fababean"/>
    <m/>
    <x v="11"/>
    <s v="N"/>
    <x v="2"/>
    <n v="33"/>
    <n v="17"/>
    <x v="1"/>
    <m/>
    <m/>
    <m/>
    <n v="3"/>
    <n v="5"/>
    <m/>
    <m/>
    <m/>
    <m/>
    <n v="1"/>
    <m/>
    <x v="0"/>
    <n v="9"/>
    <m/>
    <m/>
    <x v="1"/>
    <n v="2"/>
    <x v="0"/>
    <m/>
    <m/>
    <n v="30.5"/>
    <x v="2"/>
    <s v="04/07/2024"/>
    <d v="2024-07-04T00:00:00"/>
    <s v="2024039-33"/>
    <x v="4"/>
  </r>
  <r>
    <x v="602"/>
    <n v="2024039"/>
    <x v="39"/>
    <s v="Fababean"/>
    <m/>
    <x v="12"/>
    <s v="N"/>
    <x v="2"/>
    <n v="34"/>
    <n v="18"/>
    <x v="1"/>
    <m/>
    <m/>
    <m/>
    <n v="3"/>
    <n v="5"/>
    <m/>
    <m/>
    <m/>
    <m/>
    <n v="2"/>
    <m/>
    <x v="1"/>
    <n v="9"/>
    <m/>
    <m/>
    <x v="1"/>
    <n v="1"/>
    <x v="0"/>
    <m/>
    <m/>
    <n v="30.5"/>
    <x v="2"/>
    <s v="04/07/2024"/>
    <d v="2024-07-04T00:00:00"/>
    <s v="2024039-34"/>
    <x v="4"/>
  </r>
  <r>
    <x v="600"/>
    <n v="2024039"/>
    <x v="39"/>
    <s v="Fababean"/>
    <m/>
    <x v="10"/>
    <s v="Y"/>
    <x v="2"/>
    <n v="35"/>
    <n v="19"/>
    <x v="1"/>
    <m/>
    <m/>
    <m/>
    <n v="3"/>
    <n v="6"/>
    <m/>
    <m/>
    <m/>
    <m/>
    <n v="3"/>
    <m/>
    <x v="2"/>
    <n v="9"/>
    <m/>
    <m/>
    <x v="0"/>
    <n v="4"/>
    <x v="0"/>
    <m/>
    <m/>
    <n v="30.5"/>
    <x v="2"/>
    <s v="04/07/2024"/>
    <d v="2024-07-04T00:00:00"/>
    <s v="2024039-35"/>
    <x v="4"/>
  </r>
  <r>
    <x v="601"/>
    <n v="2024039"/>
    <x v="39"/>
    <s v="Fababean"/>
    <m/>
    <x v="13"/>
    <s v="Y"/>
    <x v="2"/>
    <n v="36"/>
    <n v="20"/>
    <x v="1"/>
    <m/>
    <m/>
    <m/>
    <n v="3"/>
    <n v="6"/>
    <m/>
    <m/>
    <m/>
    <m/>
    <n v="4"/>
    <m/>
    <x v="3"/>
    <n v="9"/>
    <m/>
    <m/>
    <x v="0"/>
    <n v="3"/>
    <x v="0"/>
    <m/>
    <m/>
    <n v="30.5"/>
    <x v="2"/>
    <s v="04/07/2024"/>
    <d v="2024-07-04T00:00:00"/>
    <s v="2024039-36"/>
    <x v="4"/>
  </r>
  <r>
    <x v="603"/>
    <n v="2024039"/>
    <x v="39"/>
    <s v="Fababean"/>
    <m/>
    <x v="11"/>
    <s v="N"/>
    <x v="1"/>
    <n v="37"/>
    <n v="17"/>
    <x v="1"/>
    <m/>
    <m/>
    <m/>
    <n v="3"/>
    <n v="5"/>
    <m/>
    <m/>
    <m/>
    <m/>
    <n v="1"/>
    <m/>
    <x v="0"/>
    <n v="10"/>
    <m/>
    <n v="17"/>
    <x v="1"/>
    <n v="2"/>
    <x v="0"/>
    <m/>
    <m/>
    <n v="30.5"/>
    <x v="2"/>
    <s v="04/07/2024"/>
    <d v="2024-07-04T00:00:00"/>
    <s v="2024039-37"/>
    <x v="4"/>
  </r>
  <r>
    <x v="602"/>
    <n v="2024039"/>
    <x v="39"/>
    <s v="Fababean"/>
    <m/>
    <x v="12"/>
    <s v="N"/>
    <x v="1"/>
    <n v="38"/>
    <n v="18"/>
    <x v="1"/>
    <m/>
    <m/>
    <m/>
    <n v="3"/>
    <n v="5"/>
    <m/>
    <m/>
    <m/>
    <m/>
    <n v="2"/>
    <m/>
    <x v="1"/>
    <n v="10"/>
    <m/>
    <n v="18"/>
    <x v="1"/>
    <n v="1"/>
    <x v="0"/>
    <m/>
    <m/>
    <n v="30.5"/>
    <x v="2"/>
    <s v="04/07/2024"/>
    <d v="2024-07-04T00:00:00"/>
    <s v="2024039-38"/>
    <x v="4"/>
  </r>
  <r>
    <x v="600"/>
    <n v="2024039"/>
    <x v="39"/>
    <s v="Fababean"/>
    <m/>
    <x v="10"/>
    <s v="Y"/>
    <x v="1"/>
    <n v="39"/>
    <n v="19"/>
    <x v="1"/>
    <m/>
    <m/>
    <m/>
    <n v="3"/>
    <n v="6"/>
    <m/>
    <m/>
    <m/>
    <m/>
    <n v="3"/>
    <m/>
    <x v="2"/>
    <n v="10"/>
    <m/>
    <n v="19"/>
    <x v="0"/>
    <n v="4"/>
    <x v="0"/>
    <m/>
    <m/>
    <n v="30.5"/>
    <x v="2"/>
    <s v="04/07/2024"/>
    <d v="2024-07-04T00:00:00"/>
    <s v="2024039-39"/>
    <x v="4"/>
  </r>
  <r>
    <x v="601"/>
    <n v="2024039"/>
    <x v="39"/>
    <s v="Fababean"/>
    <m/>
    <x v="13"/>
    <s v="Y"/>
    <x v="1"/>
    <n v="40"/>
    <n v="20"/>
    <x v="1"/>
    <m/>
    <m/>
    <m/>
    <n v="3"/>
    <n v="6"/>
    <m/>
    <m/>
    <m/>
    <m/>
    <n v="4"/>
    <m/>
    <x v="3"/>
    <n v="10"/>
    <m/>
    <n v="20"/>
    <x v="0"/>
    <n v="3"/>
    <x v="0"/>
    <m/>
    <m/>
    <n v="30.5"/>
    <x v="2"/>
    <s v="04/07/2024"/>
    <d v="2024-07-04T00:00:00"/>
    <s v="2024039-40"/>
    <x v="4"/>
  </r>
  <r>
    <x v="606"/>
    <n v="2024039"/>
    <x v="39"/>
    <s v="Fababean"/>
    <m/>
    <x v="13"/>
    <s v="Y"/>
    <x v="2"/>
    <n v="41"/>
    <n v="21"/>
    <x v="1"/>
    <m/>
    <m/>
    <m/>
    <n v="3"/>
    <n v="5"/>
    <m/>
    <m/>
    <m/>
    <m/>
    <n v="1"/>
    <m/>
    <x v="0"/>
    <n v="11"/>
    <m/>
    <m/>
    <x v="1"/>
    <n v="3"/>
    <x v="0"/>
    <m/>
    <m/>
    <n v="30.5"/>
    <x v="2"/>
    <s v="04/07/2024"/>
    <d v="2024-07-04T00:00:00"/>
    <s v="2024039-41"/>
    <x v="4"/>
  </r>
  <r>
    <x v="607"/>
    <n v="2024039"/>
    <x v="39"/>
    <s v="Fababean"/>
    <m/>
    <x v="10"/>
    <s v="Y"/>
    <x v="2"/>
    <n v="42"/>
    <n v="22"/>
    <x v="1"/>
    <m/>
    <m/>
    <m/>
    <n v="3"/>
    <n v="5"/>
    <m/>
    <m/>
    <m/>
    <m/>
    <n v="2"/>
    <m/>
    <x v="1"/>
    <n v="11"/>
    <m/>
    <m/>
    <x v="1"/>
    <n v="4"/>
    <x v="0"/>
    <m/>
    <m/>
    <n v="30.5"/>
    <x v="2"/>
    <s v="04/07/2024"/>
    <d v="2024-07-04T00:00:00"/>
    <s v="2024039-42"/>
    <x v="4"/>
  </r>
  <r>
    <x v="605"/>
    <n v="2024039"/>
    <x v="39"/>
    <s v="Fababean"/>
    <m/>
    <x v="11"/>
    <s v="N"/>
    <x v="2"/>
    <n v="43"/>
    <n v="23"/>
    <x v="1"/>
    <m/>
    <m/>
    <m/>
    <n v="3"/>
    <n v="6"/>
    <m/>
    <m/>
    <m/>
    <m/>
    <n v="3"/>
    <m/>
    <x v="2"/>
    <n v="11"/>
    <m/>
    <m/>
    <x v="0"/>
    <n v="2"/>
    <x v="0"/>
    <m/>
    <m/>
    <n v="30.5"/>
    <x v="2"/>
    <s v="04/07/2024"/>
    <d v="2024-07-04T00:00:00"/>
    <s v="2024039-43"/>
    <x v="4"/>
  </r>
  <r>
    <x v="604"/>
    <n v="2024039"/>
    <x v="39"/>
    <s v="Fababean"/>
    <m/>
    <x v="12"/>
    <s v="N"/>
    <x v="2"/>
    <n v="44"/>
    <n v="24"/>
    <x v="1"/>
    <m/>
    <m/>
    <m/>
    <n v="3"/>
    <n v="6"/>
    <m/>
    <m/>
    <m/>
    <m/>
    <n v="4"/>
    <m/>
    <x v="3"/>
    <n v="11"/>
    <m/>
    <m/>
    <x v="0"/>
    <n v="1"/>
    <x v="0"/>
    <m/>
    <m/>
    <n v="30.5"/>
    <x v="2"/>
    <s v="04/07/2024"/>
    <d v="2024-07-04T00:00:00"/>
    <s v="2024039-44"/>
    <x v="4"/>
  </r>
  <r>
    <x v="606"/>
    <n v="2024039"/>
    <x v="39"/>
    <s v="Fababean"/>
    <m/>
    <x v="13"/>
    <s v="Y"/>
    <x v="1"/>
    <n v="45"/>
    <n v="21"/>
    <x v="1"/>
    <m/>
    <m/>
    <m/>
    <n v="3"/>
    <n v="5"/>
    <m/>
    <m/>
    <m/>
    <m/>
    <n v="1"/>
    <m/>
    <x v="0"/>
    <n v="12"/>
    <m/>
    <n v="24"/>
    <x v="1"/>
    <n v="3"/>
    <x v="0"/>
    <m/>
    <m/>
    <n v="30.5"/>
    <x v="2"/>
    <s v="04/07/2024"/>
    <d v="2024-07-04T00:00:00"/>
    <s v="2024039-45"/>
    <x v="4"/>
  </r>
  <r>
    <x v="607"/>
    <n v="2024039"/>
    <x v="39"/>
    <s v="Fababean"/>
    <m/>
    <x v="10"/>
    <s v="Y"/>
    <x v="1"/>
    <n v="46"/>
    <n v="22"/>
    <x v="1"/>
    <m/>
    <m/>
    <m/>
    <n v="3"/>
    <n v="5"/>
    <m/>
    <m/>
    <m/>
    <m/>
    <n v="2"/>
    <m/>
    <x v="1"/>
    <n v="12"/>
    <m/>
    <n v="23"/>
    <x v="1"/>
    <n v="4"/>
    <x v="0"/>
    <m/>
    <m/>
    <n v="30.5"/>
    <x v="2"/>
    <s v="04/07/2024"/>
    <d v="2024-07-04T00:00:00"/>
    <s v="2024039-46"/>
    <x v="4"/>
  </r>
  <r>
    <x v="605"/>
    <n v="2024039"/>
    <x v="39"/>
    <s v="Fababean"/>
    <m/>
    <x v="11"/>
    <s v="N"/>
    <x v="1"/>
    <n v="47"/>
    <n v="23"/>
    <x v="1"/>
    <m/>
    <m/>
    <m/>
    <n v="3"/>
    <n v="6"/>
    <m/>
    <m/>
    <m/>
    <m/>
    <n v="3"/>
    <m/>
    <x v="2"/>
    <n v="12"/>
    <m/>
    <n v="22"/>
    <x v="0"/>
    <n v="2"/>
    <x v="0"/>
    <m/>
    <m/>
    <n v="30.5"/>
    <x v="2"/>
    <s v="04/07/2024"/>
    <d v="2024-07-04T00:00:00"/>
    <s v="2024039-47"/>
    <x v="4"/>
  </r>
  <r>
    <x v="604"/>
    <n v="2024039"/>
    <x v="39"/>
    <s v="Fababean"/>
    <m/>
    <x v="12"/>
    <s v="N"/>
    <x v="1"/>
    <n v="48"/>
    <n v="24"/>
    <x v="1"/>
    <m/>
    <m/>
    <m/>
    <n v="3"/>
    <n v="6"/>
    <m/>
    <m/>
    <m/>
    <m/>
    <n v="4"/>
    <m/>
    <x v="3"/>
    <n v="12"/>
    <m/>
    <n v="21"/>
    <x v="0"/>
    <n v="1"/>
    <x v="0"/>
    <m/>
    <m/>
    <n v="30.5"/>
    <x v="2"/>
    <s v="04/07/2024"/>
    <d v="2024-07-04T00:00:00"/>
    <s v="2024039-48"/>
    <x v="4"/>
  </r>
  <r>
    <x v="599"/>
    <n v="2024039"/>
    <x v="39"/>
    <s v="Fababean"/>
    <m/>
    <x v="10"/>
    <s v="Y"/>
    <x v="2"/>
    <n v="49"/>
    <n v="25"/>
    <x v="1"/>
    <m/>
    <m/>
    <m/>
    <n v="4"/>
    <n v="7"/>
    <m/>
    <m/>
    <m/>
    <m/>
    <n v="1"/>
    <m/>
    <x v="0"/>
    <n v="13"/>
    <m/>
    <m/>
    <x v="1"/>
    <n v="4"/>
    <x v="0"/>
    <m/>
    <m/>
    <n v="30.5"/>
    <x v="1"/>
    <s v="24/05/2024"/>
    <d v="2024-05-24T00:00:00"/>
    <s v="2024039-49"/>
    <x v="4"/>
  </r>
  <r>
    <x v="595"/>
    <n v="2024039"/>
    <x v="39"/>
    <s v="Fababean"/>
    <m/>
    <x v="13"/>
    <s v="Y"/>
    <x v="2"/>
    <n v="50"/>
    <n v="26"/>
    <x v="1"/>
    <m/>
    <m/>
    <m/>
    <n v="4"/>
    <n v="7"/>
    <m/>
    <m/>
    <m/>
    <m/>
    <n v="2"/>
    <m/>
    <x v="1"/>
    <n v="13"/>
    <m/>
    <m/>
    <x v="1"/>
    <n v="3"/>
    <x v="0"/>
    <m/>
    <m/>
    <n v="30.5"/>
    <x v="1"/>
    <s v="24/05/2024"/>
    <d v="2024-05-24T00:00:00"/>
    <s v="2024039-50"/>
    <x v="4"/>
  </r>
  <r>
    <x v="596"/>
    <n v="2024039"/>
    <x v="39"/>
    <s v="Fababean"/>
    <m/>
    <x v="12"/>
    <s v="N"/>
    <x v="2"/>
    <n v="51"/>
    <n v="27"/>
    <x v="1"/>
    <m/>
    <m/>
    <m/>
    <n v="4"/>
    <n v="8"/>
    <m/>
    <m/>
    <m/>
    <m/>
    <n v="3"/>
    <m/>
    <x v="2"/>
    <n v="13"/>
    <m/>
    <m/>
    <x v="0"/>
    <n v="1"/>
    <x v="0"/>
    <m/>
    <m/>
    <n v="30.5"/>
    <x v="1"/>
    <s v="24/05/2024"/>
    <d v="2024-05-24T00:00:00"/>
    <s v="2024039-51"/>
    <x v="4"/>
  </r>
  <r>
    <x v="593"/>
    <n v="2024039"/>
    <x v="39"/>
    <s v="Fababean"/>
    <m/>
    <x v="11"/>
    <s v="N"/>
    <x v="2"/>
    <n v="52"/>
    <n v="28"/>
    <x v="1"/>
    <m/>
    <m/>
    <m/>
    <n v="4"/>
    <n v="8"/>
    <m/>
    <m/>
    <m/>
    <m/>
    <n v="4"/>
    <m/>
    <x v="3"/>
    <n v="13"/>
    <m/>
    <m/>
    <x v="0"/>
    <n v="2"/>
    <x v="0"/>
    <m/>
    <m/>
    <n v="30.5"/>
    <x v="1"/>
    <s v="24/05/2024"/>
    <d v="2024-05-24T00:00:00"/>
    <s v="2024039-52"/>
    <x v="4"/>
  </r>
  <r>
    <x v="599"/>
    <n v="2024039"/>
    <x v="39"/>
    <s v="Fababean"/>
    <m/>
    <x v="10"/>
    <s v="Y"/>
    <x v="1"/>
    <n v="53"/>
    <n v="25"/>
    <x v="1"/>
    <m/>
    <m/>
    <m/>
    <n v="4"/>
    <n v="7"/>
    <m/>
    <m/>
    <m/>
    <m/>
    <n v="1"/>
    <m/>
    <x v="0"/>
    <n v="14"/>
    <m/>
    <n v="25"/>
    <x v="1"/>
    <n v="4"/>
    <x v="0"/>
    <m/>
    <m/>
    <n v="30.5"/>
    <x v="1"/>
    <s v="24/05/2024"/>
    <d v="2024-05-24T00:00:00"/>
    <s v="2024039-53"/>
    <x v="4"/>
  </r>
  <r>
    <x v="595"/>
    <n v="2024039"/>
    <x v="39"/>
    <s v="Fababean"/>
    <m/>
    <x v="13"/>
    <s v="Y"/>
    <x v="1"/>
    <n v="54"/>
    <n v="26"/>
    <x v="1"/>
    <m/>
    <m/>
    <m/>
    <n v="4"/>
    <n v="7"/>
    <m/>
    <m/>
    <m/>
    <m/>
    <n v="2"/>
    <m/>
    <x v="1"/>
    <n v="14"/>
    <m/>
    <n v="26"/>
    <x v="1"/>
    <n v="3"/>
    <x v="0"/>
    <m/>
    <m/>
    <n v="30.5"/>
    <x v="1"/>
    <s v="24/05/2024"/>
    <d v="2024-05-24T00:00:00"/>
    <s v="2024039-54"/>
    <x v="4"/>
  </r>
  <r>
    <x v="596"/>
    <n v="2024039"/>
    <x v="39"/>
    <s v="Fababean"/>
    <m/>
    <x v="12"/>
    <s v="N"/>
    <x v="1"/>
    <n v="55"/>
    <n v="27"/>
    <x v="1"/>
    <m/>
    <m/>
    <m/>
    <n v="4"/>
    <n v="8"/>
    <m/>
    <m/>
    <m/>
    <m/>
    <n v="3"/>
    <m/>
    <x v="2"/>
    <n v="14"/>
    <m/>
    <n v="27"/>
    <x v="0"/>
    <n v="1"/>
    <x v="0"/>
    <m/>
    <m/>
    <n v="30.5"/>
    <x v="1"/>
    <s v="24/05/2024"/>
    <d v="2024-05-24T00:00:00"/>
    <s v="2024039-55"/>
    <x v="4"/>
  </r>
  <r>
    <x v="593"/>
    <n v="2024039"/>
    <x v="39"/>
    <s v="Fababean"/>
    <m/>
    <x v="11"/>
    <s v="N"/>
    <x v="1"/>
    <n v="56"/>
    <n v="28"/>
    <x v="1"/>
    <m/>
    <m/>
    <m/>
    <n v="4"/>
    <n v="8"/>
    <m/>
    <m/>
    <m/>
    <m/>
    <n v="4"/>
    <m/>
    <x v="3"/>
    <n v="14"/>
    <m/>
    <n v="28"/>
    <x v="0"/>
    <n v="2"/>
    <x v="0"/>
    <m/>
    <m/>
    <n v="30.5"/>
    <x v="1"/>
    <s v="24/05/2024"/>
    <d v="2024-05-24T00:00:00"/>
    <s v="2024039-56"/>
    <x v="4"/>
  </r>
  <r>
    <x v="598"/>
    <n v="2024039"/>
    <x v="39"/>
    <s v="Fababean"/>
    <m/>
    <x v="11"/>
    <s v="N"/>
    <x v="2"/>
    <n v="57"/>
    <n v="29"/>
    <x v="1"/>
    <m/>
    <m/>
    <m/>
    <n v="4"/>
    <n v="7"/>
    <m/>
    <m/>
    <m/>
    <m/>
    <n v="1"/>
    <m/>
    <x v="0"/>
    <n v="15"/>
    <m/>
    <m/>
    <x v="1"/>
    <n v="2"/>
    <x v="0"/>
    <m/>
    <m/>
    <n v="30.5"/>
    <x v="1"/>
    <s v="24/05/2024"/>
    <d v="2024-05-24T00:00:00"/>
    <s v="2024039-57"/>
    <x v="4"/>
  </r>
  <r>
    <x v="594"/>
    <n v="2024039"/>
    <x v="39"/>
    <s v="Fababean"/>
    <m/>
    <x v="12"/>
    <s v="N"/>
    <x v="2"/>
    <n v="58"/>
    <n v="30"/>
    <x v="1"/>
    <m/>
    <m/>
    <m/>
    <n v="4"/>
    <n v="7"/>
    <m/>
    <m/>
    <m/>
    <m/>
    <n v="2"/>
    <m/>
    <x v="1"/>
    <n v="15"/>
    <m/>
    <m/>
    <x v="1"/>
    <n v="1"/>
    <x v="0"/>
    <m/>
    <m/>
    <n v="30.5"/>
    <x v="1"/>
    <s v="24/05/2024"/>
    <d v="2024-05-24T00:00:00"/>
    <s v="2024039-58"/>
    <x v="4"/>
  </r>
  <r>
    <x v="597"/>
    <n v="2024039"/>
    <x v="39"/>
    <s v="Fababean"/>
    <m/>
    <x v="13"/>
    <s v="Y"/>
    <x v="2"/>
    <n v="59"/>
    <n v="31"/>
    <x v="1"/>
    <m/>
    <m/>
    <m/>
    <n v="4"/>
    <n v="8"/>
    <m/>
    <m/>
    <m/>
    <m/>
    <n v="3"/>
    <m/>
    <x v="2"/>
    <n v="15"/>
    <m/>
    <m/>
    <x v="0"/>
    <n v="3"/>
    <x v="0"/>
    <m/>
    <m/>
    <n v="30.5"/>
    <x v="1"/>
    <s v="24/05/2024"/>
    <d v="2024-05-24T00:00:00"/>
    <s v="2024039-59"/>
    <x v="4"/>
  </r>
  <r>
    <x v="592"/>
    <n v="2024039"/>
    <x v="39"/>
    <s v="Fababean"/>
    <m/>
    <x v="10"/>
    <s v="Y"/>
    <x v="2"/>
    <n v="60"/>
    <n v="32"/>
    <x v="1"/>
    <m/>
    <m/>
    <m/>
    <n v="4"/>
    <n v="8"/>
    <m/>
    <m/>
    <m/>
    <m/>
    <n v="4"/>
    <m/>
    <x v="3"/>
    <n v="15"/>
    <m/>
    <m/>
    <x v="0"/>
    <n v="4"/>
    <x v="0"/>
    <m/>
    <m/>
    <n v="30.5"/>
    <x v="1"/>
    <s v="24/05/2024"/>
    <d v="2024-05-24T00:00:00"/>
    <s v="2024039-60"/>
    <x v="4"/>
  </r>
  <r>
    <x v="598"/>
    <n v="2024039"/>
    <x v="39"/>
    <s v="Fababean"/>
    <m/>
    <x v="11"/>
    <s v="N"/>
    <x v="1"/>
    <n v="61"/>
    <n v="29"/>
    <x v="1"/>
    <m/>
    <m/>
    <m/>
    <n v="4"/>
    <n v="7"/>
    <m/>
    <m/>
    <m/>
    <m/>
    <n v="1"/>
    <m/>
    <x v="0"/>
    <n v="16"/>
    <m/>
    <n v="32"/>
    <x v="1"/>
    <n v="2"/>
    <x v="0"/>
    <m/>
    <m/>
    <n v="30.5"/>
    <x v="1"/>
    <s v="24/05/2024"/>
    <d v="2024-05-24T00:00:00"/>
    <s v="2024039-61"/>
    <x v="4"/>
  </r>
  <r>
    <x v="594"/>
    <n v="2024039"/>
    <x v="39"/>
    <s v="Fababean"/>
    <m/>
    <x v="12"/>
    <s v="N"/>
    <x v="1"/>
    <n v="62"/>
    <n v="30"/>
    <x v="1"/>
    <m/>
    <m/>
    <m/>
    <n v="4"/>
    <n v="7"/>
    <m/>
    <m/>
    <m/>
    <m/>
    <n v="2"/>
    <m/>
    <x v="1"/>
    <n v="16"/>
    <m/>
    <n v="31"/>
    <x v="1"/>
    <n v="1"/>
    <x v="0"/>
    <m/>
    <m/>
    <n v="30.5"/>
    <x v="1"/>
    <s v="24/05/2024"/>
    <d v="2024-05-24T00:00:00"/>
    <s v="2024039-62"/>
    <x v="4"/>
  </r>
  <r>
    <x v="597"/>
    <n v="2024039"/>
    <x v="39"/>
    <s v="Fababean"/>
    <m/>
    <x v="13"/>
    <s v="Y"/>
    <x v="1"/>
    <n v="63"/>
    <n v="31"/>
    <x v="1"/>
    <m/>
    <m/>
    <m/>
    <n v="4"/>
    <n v="8"/>
    <m/>
    <m/>
    <m/>
    <m/>
    <n v="3"/>
    <m/>
    <x v="2"/>
    <n v="16"/>
    <m/>
    <n v="30"/>
    <x v="0"/>
    <n v="3"/>
    <x v="0"/>
    <m/>
    <m/>
    <n v="30.5"/>
    <x v="1"/>
    <s v="24/05/2024"/>
    <d v="2024-05-24T00:00:00"/>
    <s v="2024039-63"/>
    <x v="4"/>
  </r>
  <r>
    <x v="592"/>
    <n v="2024039"/>
    <x v="39"/>
    <s v="Fababean"/>
    <m/>
    <x v="10"/>
    <s v="Y"/>
    <x v="1"/>
    <n v="64"/>
    <n v="32"/>
    <x v="1"/>
    <m/>
    <m/>
    <m/>
    <n v="4"/>
    <n v="8"/>
    <m/>
    <m/>
    <m/>
    <m/>
    <n v="4"/>
    <m/>
    <x v="3"/>
    <n v="16"/>
    <m/>
    <n v="29"/>
    <x v="0"/>
    <n v="4"/>
    <x v="0"/>
    <m/>
    <m/>
    <n v="30.5"/>
    <x v="1"/>
    <s v="24/05/2024"/>
    <d v="2024-05-24T00:00:00"/>
    <s v="2024039-64"/>
    <x v="4"/>
  </r>
  <r>
    <x v="601"/>
    <n v="2024039"/>
    <x v="39"/>
    <s v="Fababean"/>
    <m/>
    <x v="13"/>
    <s v="Y"/>
    <x v="2"/>
    <n v="65"/>
    <n v="33"/>
    <x v="2"/>
    <m/>
    <m/>
    <m/>
    <n v="5"/>
    <n v="9"/>
    <m/>
    <m/>
    <m/>
    <m/>
    <n v="1"/>
    <m/>
    <x v="0"/>
    <n v="17"/>
    <m/>
    <m/>
    <x v="0"/>
    <n v="3"/>
    <x v="0"/>
    <m/>
    <m/>
    <n v="30.5"/>
    <x v="2"/>
    <s v="04/07/2024"/>
    <d v="2024-07-04T00:00:00"/>
    <s v="2024039-65"/>
    <x v="4"/>
  </r>
  <r>
    <x v="605"/>
    <n v="2024039"/>
    <x v="39"/>
    <s v="Fababean"/>
    <m/>
    <x v="11"/>
    <s v="N"/>
    <x v="2"/>
    <n v="66"/>
    <n v="34"/>
    <x v="2"/>
    <m/>
    <m/>
    <m/>
    <n v="5"/>
    <n v="9"/>
    <m/>
    <m/>
    <m/>
    <m/>
    <n v="2"/>
    <m/>
    <x v="1"/>
    <n v="17"/>
    <m/>
    <m/>
    <x v="0"/>
    <n v="2"/>
    <x v="0"/>
    <m/>
    <m/>
    <n v="30.5"/>
    <x v="2"/>
    <s v="04/07/2024"/>
    <d v="2024-07-04T00:00:00"/>
    <s v="2024039-66"/>
    <x v="4"/>
  </r>
  <r>
    <x v="607"/>
    <n v="2024039"/>
    <x v="39"/>
    <s v="Fababean"/>
    <m/>
    <x v="10"/>
    <s v="Y"/>
    <x v="2"/>
    <n v="67"/>
    <n v="35"/>
    <x v="2"/>
    <m/>
    <m/>
    <m/>
    <n v="5"/>
    <n v="10"/>
    <m/>
    <m/>
    <m/>
    <m/>
    <n v="3"/>
    <m/>
    <x v="2"/>
    <n v="17"/>
    <m/>
    <m/>
    <x v="1"/>
    <n v="4"/>
    <x v="0"/>
    <m/>
    <m/>
    <n v="30.5"/>
    <x v="2"/>
    <s v="04/07/2024"/>
    <d v="2024-07-04T00:00:00"/>
    <s v="2024039-67"/>
    <x v="4"/>
  </r>
  <r>
    <x v="602"/>
    <n v="2024039"/>
    <x v="39"/>
    <s v="Fababean"/>
    <m/>
    <x v="12"/>
    <s v="N"/>
    <x v="2"/>
    <n v="68"/>
    <n v="36"/>
    <x v="2"/>
    <m/>
    <m/>
    <m/>
    <n v="5"/>
    <n v="10"/>
    <m/>
    <m/>
    <m/>
    <m/>
    <n v="4"/>
    <m/>
    <x v="3"/>
    <n v="17"/>
    <m/>
    <m/>
    <x v="1"/>
    <n v="1"/>
    <x v="0"/>
    <m/>
    <m/>
    <n v="30.5"/>
    <x v="2"/>
    <s v="04/07/2024"/>
    <d v="2024-07-04T00:00:00"/>
    <s v="2024039-68"/>
    <x v="4"/>
  </r>
  <r>
    <x v="601"/>
    <n v="2024039"/>
    <x v="39"/>
    <s v="Fababean"/>
    <m/>
    <x v="13"/>
    <s v="Y"/>
    <x v="1"/>
    <n v="69"/>
    <n v="33"/>
    <x v="2"/>
    <m/>
    <m/>
    <m/>
    <n v="5"/>
    <n v="9"/>
    <m/>
    <m/>
    <m/>
    <m/>
    <n v="1"/>
    <m/>
    <x v="0"/>
    <n v="18"/>
    <m/>
    <n v="33"/>
    <x v="0"/>
    <n v="3"/>
    <x v="0"/>
    <m/>
    <m/>
    <n v="30.5"/>
    <x v="2"/>
    <s v="04/07/2024"/>
    <d v="2024-07-04T00:00:00"/>
    <s v="2024039-69"/>
    <x v="4"/>
  </r>
  <r>
    <x v="605"/>
    <n v="2024039"/>
    <x v="39"/>
    <s v="Fababean"/>
    <m/>
    <x v="11"/>
    <s v="N"/>
    <x v="1"/>
    <n v="70"/>
    <n v="34"/>
    <x v="2"/>
    <m/>
    <m/>
    <m/>
    <n v="5"/>
    <n v="9"/>
    <m/>
    <m/>
    <m/>
    <m/>
    <n v="2"/>
    <m/>
    <x v="1"/>
    <n v="18"/>
    <m/>
    <n v="34"/>
    <x v="0"/>
    <n v="2"/>
    <x v="0"/>
    <m/>
    <m/>
    <n v="30.5"/>
    <x v="2"/>
    <s v="04/07/2024"/>
    <d v="2024-07-04T00:00:00"/>
    <s v="2024039-70"/>
    <x v="4"/>
  </r>
  <r>
    <x v="607"/>
    <n v="2024039"/>
    <x v="39"/>
    <s v="Fababean"/>
    <m/>
    <x v="10"/>
    <s v="Y"/>
    <x v="1"/>
    <n v="71"/>
    <n v="35"/>
    <x v="2"/>
    <m/>
    <m/>
    <m/>
    <n v="5"/>
    <n v="10"/>
    <m/>
    <m/>
    <m/>
    <m/>
    <n v="3"/>
    <m/>
    <x v="2"/>
    <n v="18"/>
    <m/>
    <n v="35"/>
    <x v="1"/>
    <n v="4"/>
    <x v="0"/>
    <m/>
    <m/>
    <n v="30.5"/>
    <x v="2"/>
    <s v="04/07/2024"/>
    <d v="2024-07-04T00:00:00"/>
    <s v="2024039-71"/>
    <x v="4"/>
  </r>
  <r>
    <x v="602"/>
    <n v="2024039"/>
    <x v="39"/>
    <s v="Fababean"/>
    <m/>
    <x v="12"/>
    <s v="N"/>
    <x v="1"/>
    <n v="72"/>
    <n v="36"/>
    <x v="2"/>
    <m/>
    <m/>
    <m/>
    <n v="5"/>
    <n v="10"/>
    <m/>
    <m/>
    <m/>
    <m/>
    <n v="4"/>
    <m/>
    <x v="3"/>
    <n v="18"/>
    <m/>
    <n v="36"/>
    <x v="1"/>
    <n v="1"/>
    <x v="0"/>
    <m/>
    <m/>
    <n v="30.5"/>
    <x v="2"/>
    <s v="04/07/2024"/>
    <d v="2024-07-04T00:00:00"/>
    <s v="2024039-72"/>
    <x v="4"/>
  </r>
  <r>
    <x v="600"/>
    <n v="2024039"/>
    <x v="39"/>
    <s v="Fababean"/>
    <m/>
    <x v="10"/>
    <s v="Y"/>
    <x v="2"/>
    <n v="73"/>
    <n v="37"/>
    <x v="2"/>
    <m/>
    <m/>
    <m/>
    <n v="5"/>
    <n v="9"/>
    <m/>
    <m/>
    <m/>
    <m/>
    <n v="1"/>
    <m/>
    <x v="0"/>
    <n v="19"/>
    <m/>
    <m/>
    <x v="0"/>
    <n v="4"/>
    <x v="0"/>
    <m/>
    <m/>
    <n v="30.5"/>
    <x v="2"/>
    <s v="04/07/2024"/>
    <d v="2024-07-04T00:00:00"/>
    <s v="2024039-73"/>
    <x v="4"/>
  </r>
  <r>
    <x v="604"/>
    <n v="2024039"/>
    <x v="39"/>
    <s v="Fababean"/>
    <m/>
    <x v="12"/>
    <s v="N"/>
    <x v="2"/>
    <n v="74"/>
    <n v="38"/>
    <x v="2"/>
    <m/>
    <m/>
    <m/>
    <n v="5"/>
    <n v="9"/>
    <m/>
    <m/>
    <m/>
    <m/>
    <n v="2"/>
    <m/>
    <x v="1"/>
    <n v="19"/>
    <m/>
    <m/>
    <x v="0"/>
    <n v="1"/>
    <x v="0"/>
    <m/>
    <m/>
    <n v="30.5"/>
    <x v="2"/>
    <s v="04/07/2024"/>
    <d v="2024-07-04T00:00:00"/>
    <s v="2024039-74"/>
    <x v="4"/>
  </r>
  <r>
    <x v="603"/>
    <n v="2024039"/>
    <x v="39"/>
    <s v="Fababean"/>
    <m/>
    <x v="11"/>
    <s v="N"/>
    <x v="2"/>
    <n v="75"/>
    <n v="39"/>
    <x v="2"/>
    <m/>
    <m/>
    <m/>
    <n v="5"/>
    <n v="10"/>
    <m/>
    <m/>
    <m/>
    <m/>
    <n v="3"/>
    <m/>
    <x v="2"/>
    <n v="19"/>
    <m/>
    <m/>
    <x v="1"/>
    <n v="2"/>
    <x v="0"/>
    <m/>
    <m/>
    <n v="30.5"/>
    <x v="2"/>
    <s v="04/07/2024"/>
    <d v="2024-07-04T00:00:00"/>
    <s v="2024039-75"/>
    <x v="4"/>
  </r>
  <r>
    <x v="606"/>
    <n v="2024039"/>
    <x v="39"/>
    <s v="Fababean"/>
    <m/>
    <x v="13"/>
    <s v="Y"/>
    <x v="2"/>
    <n v="76"/>
    <n v="40"/>
    <x v="2"/>
    <m/>
    <m/>
    <m/>
    <n v="5"/>
    <n v="10"/>
    <m/>
    <m/>
    <m/>
    <m/>
    <n v="4"/>
    <m/>
    <x v="3"/>
    <n v="19"/>
    <m/>
    <m/>
    <x v="1"/>
    <n v="3"/>
    <x v="0"/>
    <m/>
    <m/>
    <n v="30.5"/>
    <x v="2"/>
    <s v="04/07/2024"/>
    <d v="2024-07-04T00:00:00"/>
    <s v="2024039-76"/>
    <x v="4"/>
  </r>
  <r>
    <x v="600"/>
    <n v="2024039"/>
    <x v="39"/>
    <s v="Fababean"/>
    <m/>
    <x v="10"/>
    <s v="Y"/>
    <x v="1"/>
    <n v="77"/>
    <n v="37"/>
    <x v="2"/>
    <m/>
    <m/>
    <m/>
    <n v="5"/>
    <n v="9"/>
    <m/>
    <m/>
    <m/>
    <m/>
    <n v="1"/>
    <m/>
    <x v="0"/>
    <n v="20"/>
    <m/>
    <n v="40"/>
    <x v="0"/>
    <n v="4"/>
    <x v="0"/>
    <m/>
    <m/>
    <n v="30.5"/>
    <x v="2"/>
    <s v="04/07/2024"/>
    <d v="2024-07-04T00:00:00"/>
    <s v="2024039-77"/>
    <x v="4"/>
  </r>
  <r>
    <x v="604"/>
    <n v="2024039"/>
    <x v="39"/>
    <s v="Fababean"/>
    <m/>
    <x v="12"/>
    <s v="N"/>
    <x v="1"/>
    <n v="78"/>
    <n v="38"/>
    <x v="2"/>
    <m/>
    <m/>
    <m/>
    <n v="5"/>
    <n v="9"/>
    <m/>
    <m/>
    <m/>
    <m/>
    <n v="2"/>
    <m/>
    <x v="1"/>
    <n v="20"/>
    <m/>
    <n v="39"/>
    <x v="0"/>
    <n v="1"/>
    <x v="0"/>
    <m/>
    <m/>
    <n v="30.5"/>
    <x v="2"/>
    <s v="04/07/2024"/>
    <d v="2024-07-04T00:00:00"/>
    <s v="2024039-78"/>
    <x v="4"/>
  </r>
  <r>
    <x v="603"/>
    <n v="2024039"/>
    <x v="39"/>
    <s v="Fababean"/>
    <m/>
    <x v="11"/>
    <s v="N"/>
    <x v="1"/>
    <n v="79"/>
    <n v="39"/>
    <x v="2"/>
    <m/>
    <m/>
    <m/>
    <n v="5"/>
    <n v="10"/>
    <m/>
    <m/>
    <m/>
    <m/>
    <n v="3"/>
    <m/>
    <x v="2"/>
    <n v="20"/>
    <m/>
    <n v="38"/>
    <x v="1"/>
    <n v="2"/>
    <x v="0"/>
    <m/>
    <m/>
    <n v="30.5"/>
    <x v="2"/>
    <s v="04/07/2024"/>
    <d v="2024-07-04T00:00:00"/>
    <s v="2024039-79"/>
    <x v="4"/>
  </r>
  <r>
    <x v="606"/>
    <n v="2024039"/>
    <x v="39"/>
    <s v="Fababean"/>
    <m/>
    <x v="13"/>
    <s v="Y"/>
    <x v="1"/>
    <n v="80"/>
    <n v="40"/>
    <x v="2"/>
    <m/>
    <m/>
    <m/>
    <n v="5"/>
    <n v="10"/>
    <m/>
    <m/>
    <m/>
    <m/>
    <n v="4"/>
    <m/>
    <x v="3"/>
    <n v="20"/>
    <m/>
    <n v="37"/>
    <x v="1"/>
    <n v="3"/>
    <x v="0"/>
    <m/>
    <m/>
    <n v="30.5"/>
    <x v="2"/>
    <s v="04/07/2024"/>
    <d v="2024-07-04T00:00:00"/>
    <s v="2024039-80"/>
    <x v="4"/>
  </r>
  <r>
    <x v="594"/>
    <n v="2024039"/>
    <x v="39"/>
    <s v="Fababean"/>
    <m/>
    <x v="12"/>
    <s v="N"/>
    <x v="2"/>
    <n v="81"/>
    <n v="41"/>
    <x v="2"/>
    <m/>
    <m/>
    <m/>
    <n v="6"/>
    <n v="11"/>
    <m/>
    <m/>
    <m/>
    <m/>
    <n v="1"/>
    <m/>
    <x v="0"/>
    <n v="21"/>
    <m/>
    <m/>
    <x v="1"/>
    <n v="1"/>
    <x v="0"/>
    <m/>
    <m/>
    <n v="30.5"/>
    <x v="1"/>
    <s v="24/05/2024"/>
    <d v="2024-05-24T00:00:00"/>
    <s v="2024039-81"/>
    <x v="4"/>
  </r>
  <r>
    <x v="599"/>
    <n v="2024039"/>
    <x v="39"/>
    <s v="Fababean"/>
    <m/>
    <x v="10"/>
    <s v="Y"/>
    <x v="2"/>
    <n v="82"/>
    <n v="42"/>
    <x v="2"/>
    <m/>
    <m/>
    <m/>
    <n v="6"/>
    <n v="11"/>
    <m/>
    <m/>
    <m/>
    <m/>
    <n v="2"/>
    <m/>
    <x v="1"/>
    <n v="21"/>
    <m/>
    <m/>
    <x v="1"/>
    <n v="4"/>
    <x v="0"/>
    <m/>
    <m/>
    <n v="30.5"/>
    <x v="1"/>
    <s v="24/05/2024"/>
    <d v="2024-05-24T00:00:00"/>
    <s v="2024039-82"/>
    <x v="4"/>
  </r>
  <r>
    <x v="597"/>
    <n v="2024039"/>
    <x v="39"/>
    <s v="Fababean"/>
    <m/>
    <x v="13"/>
    <s v="Y"/>
    <x v="2"/>
    <n v="83"/>
    <n v="43"/>
    <x v="2"/>
    <m/>
    <m/>
    <m/>
    <n v="6"/>
    <n v="12"/>
    <m/>
    <m/>
    <m/>
    <m/>
    <n v="3"/>
    <m/>
    <x v="2"/>
    <n v="21"/>
    <m/>
    <m/>
    <x v="0"/>
    <n v="3"/>
    <x v="0"/>
    <m/>
    <m/>
    <n v="30.5"/>
    <x v="1"/>
    <s v="24/05/2024"/>
    <d v="2024-05-24T00:00:00"/>
    <s v="2024039-83"/>
    <x v="4"/>
  </r>
  <r>
    <x v="593"/>
    <n v="2024039"/>
    <x v="39"/>
    <s v="Fababean"/>
    <m/>
    <x v="11"/>
    <s v="N"/>
    <x v="2"/>
    <n v="84"/>
    <n v="44"/>
    <x v="2"/>
    <m/>
    <m/>
    <m/>
    <n v="6"/>
    <n v="12"/>
    <m/>
    <m/>
    <m/>
    <m/>
    <n v="4"/>
    <m/>
    <x v="3"/>
    <n v="21"/>
    <m/>
    <m/>
    <x v="0"/>
    <n v="2"/>
    <x v="0"/>
    <m/>
    <m/>
    <n v="30.5"/>
    <x v="1"/>
    <s v="24/05/2024"/>
    <d v="2024-05-24T00:00:00"/>
    <s v="2024039-84"/>
    <x v="4"/>
  </r>
  <r>
    <x v="594"/>
    <n v="2024039"/>
    <x v="39"/>
    <s v="Fababean"/>
    <m/>
    <x v="12"/>
    <s v="N"/>
    <x v="1"/>
    <n v="85"/>
    <n v="41"/>
    <x v="2"/>
    <m/>
    <m/>
    <m/>
    <n v="6"/>
    <n v="11"/>
    <m/>
    <m/>
    <m/>
    <m/>
    <n v="1"/>
    <m/>
    <x v="0"/>
    <n v="22"/>
    <m/>
    <n v="41"/>
    <x v="1"/>
    <n v="1"/>
    <x v="0"/>
    <m/>
    <m/>
    <n v="30.5"/>
    <x v="1"/>
    <s v="24/05/2024"/>
    <d v="2024-05-24T00:00:00"/>
    <s v="2024039-85"/>
    <x v="4"/>
  </r>
  <r>
    <x v="599"/>
    <n v="2024039"/>
    <x v="39"/>
    <s v="Fababean"/>
    <m/>
    <x v="10"/>
    <s v="Y"/>
    <x v="1"/>
    <n v="86"/>
    <n v="42"/>
    <x v="2"/>
    <m/>
    <m/>
    <m/>
    <n v="6"/>
    <n v="11"/>
    <m/>
    <m/>
    <m/>
    <m/>
    <n v="2"/>
    <m/>
    <x v="1"/>
    <n v="22"/>
    <m/>
    <n v="42"/>
    <x v="1"/>
    <n v="4"/>
    <x v="0"/>
    <m/>
    <m/>
    <n v="30.5"/>
    <x v="1"/>
    <s v="24/05/2024"/>
    <d v="2024-05-24T00:00:00"/>
    <s v="2024039-86"/>
    <x v="4"/>
  </r>
  <r>
    <x v="597"/>
    <n v="2024039"/>
    <x v="39"/>
    <s v="Fababean"/>
    <m/>
    <x v="13"/>
    <s v="Y"/>
    <x v="1"/>
    <n v="87"/>
    <n v="43"/>
    <x v="2"/>
    <m/>
    <m/>
    <m/>
    <n v="6"/>
    <n v="12"/>
    <m/>
    <m/>
    <m/>
    <m/>
    <n v="3"/>
    <m/>
    <x v="2"/>
    <n v="22"/>
    <m/>
    <n v="43"/>
    <x v="0"/>
    <n v="3"/>
    <x v="0"/>
    <m/>
    <m/>
    <n v="30.5"/>
    <x v="1"/>
    <s v="24/05/2024"/>
    <d v="2024-05-24T00:00:00"/>
    <s v="2024039-87"/>
    <x v="4"/>
  </r>
  <r>
    <x v="593"/>
    <n v="2024039"/>
    <x v="39"/>
    <s v="Fababean"/>
    <m/>
    <x v="11"/>
    <s v="N"/>
    <x v="1"/>
    <n v="88"/>
    <n v="44"/>
    <x v="2"/>
    <m/>
    <m/>
    <m/>
    <n v="6"/>
    <n v="12"/>
    <m/>
    <m/>
    <m/>
    <m/>
    <n v="4"/>
    <m/>
    <x v="3"/>
    <n v="22"/>
    <m/>
    <n v="44"/>
    <x v="0"/>
    <n v="2"/>
    <x v="0"/>
    <m/>
    <m/>
    <n v="30.5"/>
    <x v="1"/>
    <s v="24/05/2024"/>
    <d v="2024-05-24T00:00:00"/>
    <s v="2024039-88"/>
    <x v="4"/>
  </r>
  <r>
    <x v="598"/>
    <n v="2024039"/>
    <x v="39"/>
    <s v="Fababean"/>
    <m/>
    <x v="11"/>
    <s v="N"/>
    <x v="2"/>
    <n v="89"/>
    <n v="45"/>
    <x v="2"/>
    <m/>
    <m/>
    <m/>
    <n v="6"/>
    <n v="11"/>
    <m/>
    <m/>
    <m/>
    <m/>
    <n v="1"/>
    <m/>
    <x v="0"/>
    <n v="23"/>
    <m/>
    <m/>
    <x v="1"/>
    <n v="2"/>
    <x v="0"/>
    <m/>
    <m/>
    <n v="30.5"/>
    <x v="1"/>
    <s v="24/05/2024"/>
    <d v="2024-05-24T00:00:00"/>
    <s v="2024039-89"/>
    <x v="4"/>
  </r>
  <r>
    <x v="595"/>
    <n v="2024039"/>
    <x v="39"/>
    <s v="Fababean"/>
    <m/>
    <x v="13"/>
    <s v="Y"/>
    <x v="2"/>
    <n v="90"/>
    <n v="46"/>
    <x v="2"/>
    <m/>
    <m/>
    <m/>
    <n v="6"/>
    <n v="11"/>
    <m/>
    <m/>
    <m/>
    <m/>
    <n v="2"/>
    <m/>
    <x v="1"/>
    <n v="23"/>
    <m/>
    <m/>
    <x v="1"/>
    <n v="3"/>
    <x v="0"/>
    <m/>
    <m/>
    <n v="30.5"/>
    <x v="1"/>
    <s v="24/05/2024"/>
    <d v="2024-05-24T00:00:00"/>
    <s v="2024039-90"/>
    <x v="4"/>
  </r>
  <r>
    <x v="592"/>
    <n v="2024039"/>
    <x v="39"/>
    <s v="Fababean"/>
    <m/>
    <x v="10"/>
    <s v="Y"/>
    <x v="2"/>
    <n v="91"/>
    <n v="47"/>
    <x v="2"/>
    <m/>
    <m/>
    <m/>
    <n v="6"/>
    <n v="12"/>
    <m/>
    <m/>
    <m/>
    <m/>
    <n v="3"/>
    <m/>
    <x v="2"/>
    <n v="23"/>
    <m/>
    <m/>
    <x v="0"/>
    <n v="4"/>
    <x v="0"/>
    <m/>
    <m/>
    <n v="30.5"/>
    <x v="1"/>
    <s v="24/05/2024"/>
    <d v="2024-05-24T00:00:00"/>
    <s v="2024039-91"/>
    <x v="4"/>
  </r>
  <r>
    <x v="596"/>
    <n v="2024039"/>
    <x v="39"/>
    <s v="Fababean"/>
    <m/>
    <x v="12"/>
    <s v="N"/>
    <x v="2"/>
    <n v="92"/>
    <n v="48"/>
    <x v="2"/>
    <m/>
    <m/>
    <m/>
    <n v="6"/>
    <n v="12"/>
    <m/>
    <m/>
    <m/>
    <m/>
    <n v="4"/>
    <m/>
    <x v="3"/>
    <n v="23"/>
    <m/>
    <m/>
    <x v="0"/>
    <n v="1"/>
    <x v="0"/>
    <m/>
    <m/>
    <n v="30.5"/>
    <x v="1"/>
    <s v="24/05/2024"/>
    <d v="2024-05-24T00:00:00"/>
    <s v="2024039-92"/>
    <x v="4"/>
  </r>
  <r>
    <x v="598"/>
    <n v="2024039"/>
    <x v="39"/>
    <s v="Fababean"/>
    <m/>
    <x v="11"/>
    <s v="N"/>
    <x v="1"/>
    <n v="93"/>
    <n v="45"/>
    <x v="2"/>
    <m/>
    <m/>
    <m/>
    <n v="6"/>
    <n v="11"/>
    <m/>
    <m/>
    <m/>
    <m/>
    <n v="1"/>
    <m/>
    <x v="0"/>
    <n v="24"/>
    <m/>
    <n v="48"/>
    <x v="1"/>
    <n v="2"/>
    <x v="0"/>
    <m/>
    <m/>
    <n v="30.5"/>
    <x v="1"/>
    <s v="24/05/2024"/>
    <d v="2024-05-24T00:00:00"/>
    <s v="2024039-93"/>
    <x v="4"/>
  </r>
  <r>
    <x v="595"/>
    <n v="2024039"/>
    <x v="39"/>
    <s v="Fababean"/>
    <m/>
    <x v="13"/>
    <s v="Y"/>
    <x v="1"/>
    <n v="94"/>
    <n v="46"/>
    <x v="2"/>
    <m/>
    <m/>
    <m/>
    <n v="6"/>
    <n v="11"/>
    <m/>
    <m/>
    <m/>
    <m/>
    <n v="2"/>
    <m/>
    <x v="1"/>
    <n v="24"/>
    <m/>
    <n v="47"/>
    <x v="1"/>
    <n v="3"/>
    <x v="0"/>
    <m/>
    <m/>
    <n v="30.5"/>
    <x v="1"/>
    <s v="24/05/2024"/>
    <d v="2024-05-24T00:00:00"/>
    <s v="2024039-94"/>
    <x v="4"/>
  </r>
  <r>
    <x v="592"/>
    <n v="2024039"/>
    <x v="39"/>
    <s v="Fababean"/>
    <m/>
    <x v="10"/>
    <s v="Y"/>
    <x v="1"/>
    <n v="95"/>
    <n v="47"/>
    <x v="2"/>
    <m/>
    <m/>
    <m/>
    <n v="6"/>
    <n v="12"/>
    <m/>
    <m/>
    <m/>
    <m/>
    <n v="3"/>
    <m/>
    <x v="2"/>
    <n v="24"/>
    <m/>
    <n v="46"/>
    <x v="0"/>
    <n v="4"/>
    <x v="0"/>
    <m/>
    <m/>
    <n v="30.5"/>
    <x v="1"/>
    <s v="24/05/2024"/>
    <d v="2024-05-24T00:00:00"/>
    <s v="2024039-95"/>
    <x v="4"/>
  </r>
  <r>
    <x v="596"/>
    <n v="2024039"/>
    <x v="39"/>
    <s v="Fababean"/>
    <m/>
    <x v="12"/>
    <s v="N"/>
    <x v="1"/>
    <n v="96"/>
    <n v="48"/>
    <x v="2"/>
    <m/>
    <m/>
    <m/>
    <n v="6"/>
    <n v="12"/>
    <m/>
    <m/>
    <m/>
    <m/>
    <n v="4"/>
    <m/>
    <x v="3"/>
    <n v="24"/>
    <m/>
    <n v="45"/>
    <x v="0"/>
    <n v="1"/>
    <x v="0"/>
    <m/>
    <m/>
    <n v="30.5"/>
    <x v="1"/>
    <s v="24/05/2024"/>
    <d v="2024-05-24T00:00:00"/>
    <s v="2024039-96"/>
    <x v="4"/>
  </r>
  <r>
    <x v="596"/>
    <n v="2024039"/>
    <x v="39"/>
    <s v="Fababean"/>
    <m/>
    <x v="12"/>
    <s v="N"/>
    <x v="2"/>
    <n v="97"/>
    <n v="49"/>
    <x v="3"/>
    <m/>
    <m/>
    <m/>
    <n v="7"/>
    <n v="13"/>
    <m/>
    <m/>
    <m/>
    <m/>
    <n v="1"/>
    <m/>
    <x v="0"/>
    <n v="25"/>
    <m/>
    <m/>
    <x v="0"/>
    <n v="1"/>
    <x v="0"/>
    <m/>
    <m/>
    <n v="30.5"/>
    <x v="1"/>
    <s v="24/05/2024"/>
    <d v="2024-05-24T00:00:00"/>
    <s v="2024039-97"/>
    <x v="4"/>
  </r>
  <r>
    <x v="592"/>
    <n v="2024039"/>
    <x v="39"/>
    <s v="Fababean"/>
    <m/>
    <x v="10"/>
    <s v="Y"/>
    <x v="2"/>
    <n v="98"/>
    <n v="50"/>
    <x v="3"/>
    <m/>
    <m/>
    <m/>
    <n v="7"/>
    <n v="13"/>
    <m/>
    <m/>
    <m/>
    <m/>
    <n v="2"/>
    <m/>
    <x v="1"/>
    <n v="25"/>
    <m/>
    <m/>
    <x v="0"/>
    <n v="4"/>
    <x v="0"/>
    <m/>
    <m/>
    <n v="30.5"/>
    <x v="1"/>
    <s v="24/05/2024"/>
    <d v="2024-05-24T00:00:00"/>
    <s v="2024039-98"/>
    <x v="4"/>
  </r>
  <r>
    <x v="598"/>
    <n v="2024039"/>
    <x v="39"/>
    <s v="Fababean"/>
    <m/>
    <x v="11"/>
    <s v="N"/>
    <x v="2"/>
    <n v="99"/>
    <n v="51"/>
    <x v="3"/>
    <m/>
    <m/>
    <m/>
    <n v="7"/>
    <n v="14"/>
    <m/>
    <m/>
    <m/>
    <m/>
    <n v="3"/>
    <m/>
    <x v="2"/>
    <n v="25"/>
    <m/>
    <m/>
    <x v="1"/>
    <n v="2"/>
    <x v="0"/>
    <m/>
    <m/>
    <n v="30.5"/>
    <x v="1"/>
    <s v="24/05/2024"/>
    <d v="2024-05-24T00:00:00"/>
    <s v="2024039-99"/>
    <x v="4"/>
  </r>
  <r>
    <x v="595"/>
    <n v="2024039"/>
    <x v="39"/>
    <s v="Fababean"/>
    <m/>
    <x v="13"/>
    <s v="Y"/>
    <x v="2"/>
    <n v="100"/>
    <n v="52"/>
    <x v="3"/>
    <m/>
    <m/>
    <m/>
    <n v="7"/>
    <n v="14"/>
    <m/>
    <m/>
    <m/>
    <m/>
    <n v="4"/>
    <m/>
    <x v="3"/>
    <n v="25"/>
    <m/>
    <m/>
    <x v="1"/>
    <n v="3"/>
    <x v="0"/>
    <m/>
    <m/>
    <n v="30.5"/>
    <x v="1"/>
    <s v="24/05/2024"/>
    <d v="2024-05-24T00:00:00"/>
    <s v="2024039-100"/>
    <x v="4"/>
  </r>
  <r>
    <x v="596"/>
    <n v="2024039"/>
    <x v="39"/>
    <s v="Fababean"/>
    <m/>
    <x v="12"/>
    <s v="N"/>
    <x v="1"/>
    <n v="101"/>
    <n v="49"/>
    <x v="3"/>
    <m/>
    <m/>
    <m/>
    <n v="7"/>
    <n v="13"/>
    <m/>
    <m/>
    <m/>
    <m/>
    <n v="1"/>
    <m/>
    <x v="0"/>
    <n v="26"/>
    <m/>
    <n v="49"/>
    <x v="0"/>
    <n v="1"/>
    <x v="0"/>
    <m/>
    <m/>
    <n v="30.5"/>
    <x v="1"/>
    <s v="24/05/2024"/>
    <d v="2024-05-24T00:00:00"/>
    <s v="2024039-101"/>
    <x v="4"/>
  </r>
  <r>
    <x v="592"/>
    <n v="2024039"/>
    <x v="39"/>
    <s v="Fababean"/>
    <m/>
    <x v="10"/>
    <s v="Y"/>
    <x v="1"/>
    <n v="102"/>
    <n v="50"/>
    <x v="3"/>
    <m/>
    <m/>
    <m/>
    <n v="7"/>
    <n v="13"/>
    <m/>
    <m/>
    <m/>
    <m/>
    <n v="2"/>
    <m/>
    <x v="1"/>
    <n v="26"/>
    <m/>
    <n v="50"/>
    <x v="0"/>
    <n v="4"/>
    <x v="0"/>
    <m/>
    <m/>
    <n v="30.5"/>
    <x v="1"/>
    <s v="24/05/2024"/>
    <d v="2024-05-24T00:00:00"/>
    <s v="2024039-102"/>
    <x v="4"/>
  </r>
  <r>
    <x v="598"/>
    <n v="2024039"/>
    <x v="39"/>
    <s v="Fababean"/>
    <m/>
    <x v="11"/>
    <s v="N"/>
    <x v="1"/>
    <n v="103"/>
    <n v="51"/>
    <x v="3"/>
    <m/>
    <m/>
    <m/>
    <n v="7"/>
    <n v="14"/>
    <m/>
    <m/>
    <m/>
    <m/>
    <n v="3"/>
    <m/>
    <x v="2"/>
    <n v="26"/>
    <m/>
    <n v="51"/>
    <x v="1"/>
    <n v="2"/>
    <x v="0"/>
    <m/>
    <m/>
    <n v="30.5"/>
    <x v="1"/>
    <s v="24/05/2024"/>
    <d v="2024-05-24T00:00:00"/>
    <s v="2024039-103"/>
    <x v="4"/>
  </r>
  <r>
    <x v="595"/>
    <n v="2024039"/>
    <x v="39"/>
    <s v="Fababean"/>
    <m/>
    <x v="13"/>
    <s v="Y"/>
    <x v="1"/>
    <n v="104"/>
    <n v="52"/>
    <x v="3"/>
    <m/>
    <m/>
    <m/>
    <n v="7"/>
    <n v="14"/>
    <m/>
    <m/>
    <m/>
    <m/>
    <n v="4"/>
    <m/>
    <x v="3"/>
    <n v="26"/>
    <m/>
    <n v="52"/>
    <x v="1"/>
    <n v="3"/>
    <x v="0"/>
    <m/>
    <m/>
    <n v="30.5"/>
    <x v="1"/>
    <s v="24/05/2024"/>
    <d v="2024-05-24T00:00:00"/>
    <s v="2024039-104"/>
    <x v="4"/>
  </r>
  <r>
    <x v="597"/>
    <n v="2024039"/>
    <x v="39"/>
    <s v="Fababean"/>
    <m/>
    <x v="13"/>
    <s v="Y"/>
    <x v="2"/>
    <n v="105"/>
    <n v="53"/>
    <x v="3"/>
    <m/>
    <m/>
    <m/>
    <n v="7"/>
    <n v="13"/>
    <m/>
    <m/>
    <m/>
    <m/>
    <n v="1"/>
    <m/>
    <x v="0"/>
    <n v="27"/>
    <m/>
    <m/>
    <x v="0"/>
    <n v="3"/>
    <x v="0"/>
    <m/>
    <m/>
    <n v="30.5"/>
    <x v="1"/>
    <s v="24/05/2024"/>
    <d v="2024-05-24T00:00:00"/>
    <s v="2024039-105"/>
    <x v="4"/>
  </r>
  <r>
    <x v="593"/>
    <n v="2024039"/>
    <x v="39"/>
    <s v="Fababean"/>
    <m/>
    <x v="11"/>
    <s v="N"/>
    <x v="2"/>
    <n v="106"/>
    <n v="54"/>
    <x v="3"/>
    <m/>
    <m/>
    <m/>
    <n v="7"/>
    <n v="13"/>
    <m/>
    <m/>
    <m/>
    <m/>
    <n v="2"/>
    <m/>
    <x v="1"/>
    <n v="27"/>
    <m/>
    <m/>
    <x v="0"/>
    <n v="2"/>
    <x v="0"/>
    <m/>
    <m/>
    <n v="30.5"/>
    <x v="1"/>
    <s v="24/05/2024"/>
    <d v="2024-05-24T00:00:00"/>
    <s v="2024039-106"/>
    <x v="4"/>
  </r>
  <r>
    <x v="594"/>
    <n v="2024039"/>
    <x v="39"/>
    <s v="Fababean"/>
    <m/>
    <x v="12"/>
    <s v="N"/>
    <x v="2"/>
    <n v="107"/>
    <n v="55"/>
    <x v="3"/>
    <m/>
    <m/>
    <m/>
    <n v="7"/>
    <n v="14"/>
    <m/>
    <m/>
    <m/>
    <m/>
    <n v="3"/>
    <m/>
    <x v="2"/>
    <n v="27"/>
    <m/>
    <m/>
    <x v="1"/>
    <n v="1"/>
    <x v="0"/>
    <m/>
    <m/>
    <n v="30.5"/>
    <x v="1"/>
    <s v="24/05/2024"/>
    <d v="2024-05-24T00:00:00"/>
    <s v="2024039-107"/>
    <x v="4"/>
  </r>
  <r>
    <x v="599"/>
    <n v="2024039"/>
    <x v="39"/>
    <s v="Fababean"/>
    <m/>
    <x v="10"/>
    <s v="Y"/>
    <x v="2"/>
    <n v="108"/>
    <n v="56"/>
    <x v="3"/>
    <m/>
    <m/>
    <m/>
    <n v="7"/>
    <n v="14"/>
    <m/>
    <m/>
    <m/>
    <m/>
    <n v="4"/>
    <m/>
    <x v="3"/>
    <n v="27"/>
    <m/>
    <m/>
    <x v="1"/>
    <n v="4"/>
    <x v="0"/>
    <m/>
    <m/>
    <n v="30.5"/>
    <x v="1"/>
    <s v="24/05/2024"/>
    <d v="2024-05-24T00:00:00"/>
    <s v="2024039-108"/>
    <x v="4"/>
  </r>
  <r>
    <x v="597"/>
    <n v="2024039"/>
    <x v="39"/>
    <s v="Fababean"/>
    <m/>
    <x v="13"/>
    <s v="Y"/>
    <x v="1"/>
    <n v="109"/>
    <n v="53"/>
    <x v="3"/>
    <m/>
    <m/>
    <m/>
    <n v="7"/>
    <n v="13"/>
    <m/>
    <m/>
    <m/>
    <m/>
    <n v="1"/>
    <m/>
    <x v="0"/>
    <n v="28"/>
    <m/>
    <n v="56"/>
    <x v="0"/>
    <n v="3"/>
    <x v="0"/>
    <m/>
    <m/>
    <n v="30.5"/>
    <x v="1"/>
    <s v="24/05/2024"/>
    <d v="2024-05-24T00:00:00"/>
    <s v="2024039-109"/>
    <x v="4"/>
  </r>
  <r>
    <x v="593"/>
    <n v="2024039"/>
    <x v="39"/>
    <s v="Fababean"/>
    <m/>
    <x v="11"/>
    <s v="N"/>
    <x v="1"/>
    <n v="110"/>
    <n v="54"/>
    <x v="3"/>
    <m/>
    <m/>
    <m/>
    <n v="7"/>
    <n v="13"/>
    <m/>
    <m/>
    <m/>
    <m/>
    <n v="2"/>
    <m/>
    <x v="1"/>
    <n v="28"/>
    <m/>
    <n v="55"/>
    <x v="0"/>
    <n v="2"/>
    <x v="0"/>
    <m/>
    <m/>
    <n v="30.5"/>
    <x v="1"/>
    <s v="24/05/2024"/>
    <d v="2024-05-24T00:00:00"/>
    <s v="2024039-110"/>
    <x v="4"/>
  </r>
  <r>
    <x v="594"/>
    <n v="2024039"/>
    <x v="39"/>
    <s v="Fababean"/>
    <m/>
    <x v="12"/>
    <s v="N"/>
    <x v="1"/>
    <n v="111"/>
    <n v="55"/>
    <x v="3"/>
    <m/>
    <m/>
    <m/>
    <n v="7"/>
    <n v="14"/>
    <m/>
    <m/>
    <m/>
    <m/>
    <n v="3"/>
    <m/>
    <x v="2"/>
    <n v="28"/>
    <m/>
    <n v="54"/>
    <x v="1"/>
    <n v="1"/>
    <x v="0"/>
    <m/>
    <m/>
    <n v="30.5"/>
    <x v="1"/>
    <s v="24/05/2024"/>
    <d v="2024-05-24T00:00:00"/>
    <s v="2024039-111"/>
    <x v="4"/>
  </r>
  <r>
    <x v="599"/>
    <n v="2024039"/>
    <x v="39"/>
    <s v="Fababean"/>
    <m/>
    <x v="10"/>
    <s v="Y"/>
    <x v="1"/>
    <n v="112"/>
    <n v="56"/>
    <x v="3"/>
    <m/>
    <m/>
    <m/>
    <n v="7"/>
    <n v="14"/>
    <m/>
    <m/>
    <m/>
    <m/>
    <n v="4"/>
    <m/>
    <x v="3"/>
    <n v="28"/>
    <m/>
    <n v="53"/>
    <x v="1"/>
    <n v="4"/>
    <x v="0"/>
    <m/>
    <m/>
    <n v="30.5"/>
    <x v="1"/>
    <s v="24/05/2024"/>
    <d v="2024-05-24T00:00:00"/>
    <s v="2024039-112"/>
    <x v="4"/>
  </r>
  <r>
    <x v="606"/>
    <n v="2024039"/>
    <x v="39"/>
    <s v="Fababean"/>
    <m/>
    <x v="13"/>
    <s v="Y"/>
    <x v="2"/>
    <n v="113"/>
    <n v="57"/>
    <x v="3"/>
    <m/>
    <m/>
    <m/>
    <n v="8"/>
    <n v="15"/>
    <m/>
    <m/>
    <m/>
    <m/>
    <n v="1"/>
    <m/>
    <x v="0"/>
    <n v="29"/>
    <m/>
    <m/>
    <x v="1"/>
    <n v="3"/>
    <x v="0"/>
    <m/>
    <m/>
    <n v="30.5"/>
    <x v="2"/>
    <s v="04/07/2024"/>
    <d v="2024-07-04T00:00:00"/>
    <s v="2024039-113"/>
    <x v="4"/>
  </r>
  <r>
    <x v="602"/>
    <n v="2024039"/>
    <x v="39"/>
    <s v="Fababean"/>
    <m/>
    <x v="12"/>
    <s v="N"/>
    <x v="2"/>
    <n v="114"/>
    <n v="58"/>
    <x v="3"/>
    <m/>
    <m/>
    <m/>
    <n v="8"/>
    <n v="15"/>
    <m/>
    <m/>
    <m/>
    <m/>
    <n v="2"/>
    <m/>
    <x v="1"/>
    <n v="29"/>
    <m/>
    <m/>
    <x v="1"/>
    <n v="1"/>
    <x v="0"/>
    <m/>
    <m/>
    <n v="30.5"/>
    <x v="2"/>
    <s v="04/07/2024"/>
    <d v="2024-07-04T00:00:00"/>
    <s v="2024039-114"/>
    <x v="4"/>
  </r>
  <r>
    <x v="600"/>
    <n v="2024039"/>
    <x v="39"/>
    <s v="Fababean"/>
    <m/>
    <x v="10"/>
    <s v="Y"/>
    <x v="2"/>
    <n v="115"/>
    <n v="59"/>
    <x v="3"/>
    <m/>
    <m/>
    <m/>
    <n v="8"/>
    <n v="16"/>
    <m/>
    <m/>
    <m/>
    <m/>
    <n v="3"/>
    <m/>
    <x v="2"/>
    <n v="29"/>
    <m/>
    <m/>
    <x v="0"/>
    <n v="4"/>
    <x v="0"/>
    <m/>
    <m/>
    <n v="30.5"/>
    <x v="2"/>
    <s v="04/07/2024"/>
    <d v="2024-07-04T00:00:00"/>
    <s v="2024039-115"/>
    <x v="4"/>
  </r>
  <r>
    <x v="605"/>
    <n v="2024039"/>
    <x v="39"/>
    <s v="Fababean"/>
    <m/>
    <x v="11"/>
    <s v="N"/>
    <x v="2"/>
    <n v="116"/>
    <n v="60"/>
    <x v="3"/>
    <m/>
    <m/>
    <m/>
    <n v="8"/>
    <n v="16"/>
    <m/>
    <m/>
    <m/>
    <m/>
    <n v="4"/>
    <m/>
    <x v="3"/>
    <n v="29"/>
    <m/>
    <m/>
    <x v="0"/>
    <n v="2"/>
    <x v="0"/>
    <m/>
    <m/>
    <n v="30.5"/>
    <x v="2"/>
    <s v="04/07/2024"/>
    <d v="2024-07-04T00:00:00"/>
    <s v="2024039-116"/>
    <x v="4"/>
  </r>
  <r>
    <x v="606"/>
    <n v="2024039"/>
    <x v="39"/>
    <s v="Fababean"/>
    <m/>
    <x v="13"/>
    <s v="Y"/>
    <x v="1"/>
    <n v="117"/>
    <n v="57"/>
    <x v="3"/>
    <m/>
    <m/>
    <m/>
    <n v="8"/>
    <n v="15"/>
    <m/>
    <m/>
    <m/>
    <m/>
    <n v="1"/>
    <m/>
    <x v="0"/>
    <n v="30"/>
    <m/>
    <n v="57"/>
    <x v="1"/>
    <n v="3"/>
    <x v="0"/>
    <m/>
    <m/>
    <n v="30.5"/>
    <x v="2"/>
    <s v="04/07/2024"/>
    <d v="2024-07-04T00:00:00"/>
    <s v="2024039-117"/>
    <x v="4"/>
  </r>
  <r>
    <x v="602"/>
    <n v="2024039"/>
    <x v="39"/>
    <s v="Fababean"/>
    <m/>
    <x v="12"/>
    <s v="N"/>
    <x v="1"/>
    <n v="118"/>
    <n v="58"/>
    <x v="3"/>
    <m/>
    <m/>
    <m/>
    <n v="8"/>
    <n v="15"/>
    <m/>
    <m/>
    <m/>
    <m/>
    <n v="2"/>
    <m/>
    <x v="1"/>
    <n v="30"/>
    <m/>
    <n v="58"/>
    <x v="1"/>
    <n v="1"/>
    <x v="0"/>
    <m/>
    <m/>
    <n v="30.5"/>
    <x v="2"/>
    <s v="04/07/2024"/>
    <d v="2024-07-04T00:00:00"/>
    <s v="2024039-118"/>
    <x v="4"/>
  </r>
  <r>
    <x v="600"/>
    <n v="2024039"/>
    <x v="39"/>
    <s v="Fababean"/>
    <m/>
    <x v="10"/>
    <s v="Y"/>
    <x v="1"/>
    <n v="119"/>
    <n v="59"/>
    <x v="3"/>
    <m/>
    <m/>
    <m/>
    <n v="8"/>
    <n v="16"/>
    <m/>
    <m/>
    <m/>
    <m/>
    <n v="3"/>
    <m/>
    <x v="2"/>
    <n v="30"/>
    <m/>
    <n v="59"/>
    <x v="0"/>
    <n v="4"/>
    <x v="0"/>
    <m/>
    <m/>
    <n v="30.5"/>
    <x v="2"/>
    <s v="04/07/2024"/>
    <d v="2024-07-04T00:00:00"/>
    <s v="2024039-119"/>
    <x v="4"/>
  </r>
  <r>
    <x v="605"/>
    <n v="2024039"/>
    <x v="39"/>
    <s v="Fababean"/>
    <m/>
    <x v="11"/>
    <s v="N"/>
    <x v="1"/>
    <n v="120"/>
    <n v="60"/>
    <x v="3"/>
    <m/>
    <m/>
    <m/>
    <n v="8"/>
    <n v="16"/>
    <m/>
    <m/>
    <m/>
    <m/>
    <n v="4"/>
    <m/>
    <x v="3"/>
    <n v="30"/>
    <m/>
    <n v="60"/>
    <x v="0"/>
    <n v="2"/>
    <x v="0"/>
    <m/>
    <m/>
    <n v="30.5"/>
    <x v="2"/>
    <s v="04/07/2024"/>
    <d v="2024-07-04T00:00:00"/>
    <s v="2024039-120"/>
    <x v="4"/>
  </r>
  <r>
    <x v="603"/>
    <n v="2024039"/>
    <x v="39"/>
    <s v="Fababean"/>
    <m/>
    <x v="11"/>
    <s v="N"/>
    <x v="2"/>
    <n v="121"/>
    <n v="61"/>
    <x v="3"/>
    <m/>
    <m/>
    <m/>
    <n v="8"/>
    <n v="15"/>
    <m/>
    <m/>
    <m/>
    <m/>
    <n v="1"/>
    <m/>
    <x v="0"/>
    <n v="31"/>
    <m/>
    <m/>
    <x v="1"/>
    <n v="2"/>
    <x v="0"/>
    <m/>
    <m/>
    <n v="30.5"/>
    <x v="2"/>
    <s v="04/07/2024"/>
    <d v="2024-07-04T00:00:00"/>
    <s v="2024039-121"/>
    <x v="4"/>
  </r>
  <r>
    <x v="607"/>
    <n v="2024039"/>
    <x v="39"/>
    <s v="Fababean"/>
    <m/>
    <x v="10"/>
    <s v="Y"/>
    <x v="2"/>
    <n v="122"/>
    <n v="62"/>
    <x v="3"/>
    <m/>
    <m/>
    <m/>
    <n v="8"/>
    <n v="15"/>
    <m/>
    <m/>
    <m/>
    <m/>
    <n v="2"/>
    <m/>
    <x v="1"/>
    <n v="31"/>
    <m/>
    <m/>
    <x v="1"/>
    <n v="4"/>
    <x v="0"/>
    <m/>
    <m/>
    <n v="30.5"/>
    <x v="2"/>
    <s v="04/07/2024"/>
    <d v="2024-07-04T00:00:00"/>
    <s v="2024039-122"/>
    <x v="4"/>
  </r>
  <r>
    <x v="601"/>
    <n v="2024039"/>
    <x v="39"/>
    <s v="Fababean"/>
    <m/>
    <x v="13"/>
    <s v="Y"/>
    <x v="2"/>
    <n v="123"/>
    <n v="63"/>
    <x v="3"/>
    <m/>
    <m/>
    <m/>
    <n v="8"/>
    <n v="16"/>
    <m/>
    <m/>
    <m/>
    <m/>
    <n v="3"/>
    <m/>
    <x v="2"/>
    <n v="31"/>
    <m/>
    <m/>
    <x v="0"/>
    <n v="3"/>
    <x v="0"/>
    <m/>
    <m/>
    <n v="30.5"/>
    <x v="2"/>
    <s v="04/07/2024"/>
    <d v="2024-07-04T00:00:00"/>
    <s v="2024039-123"/>
    <x v="4"/>
  </r>
  <r>
    <x v="604"/>
    <n v="2024039"/>
    <x v="39"/>
    <s v="Fababean"/>
    <m/>
    <x v="12"/>
    <s v="N"/>
    <x v="2"/>
    <n v="124"/>
    <n v="64"/>
    <x v="3"/>
    <m/>
    <m/>
    <m/>
    <n v="8"/>
    <n v="16"/>
    <m/>
    <m/>
    <m/>
    <m/>
    <n v="4"/>
    <m/>
    <x v="3"/>
    <n v="31"/>
    <m/>
    <m/>
    <x v="0"/>
    <n v="1"/>
    <x v="0"/>
    <m/>
    <m/>
    <n v="30.5"/>
    <x v="2"/>
    <s v="04/07/2024"/>
    <d v="2024-07-04T00:00:00"/>
    <s v="2024039-124"/>
    <x v="4"/>
  </r>
  <r>
    <x v="603"/>
    <n v="2024039"/>
    <x v="39"/>
    <s v="Fababean"/>
    <m/>
    <x v="11"/>
    <s v="N"/>
    <x v="1"/>
    <n v="125"/>
    <n v="61"/>
    <x v="3"/>
    <m/>
    <m/>
    <m/>
    <n v="8"/>
    <n v="15"/>
    <m/>
    <m/>
    <m/>
    <m/>
    <n v="1"/>
    <m/>
    <x v="0"/>
    <n v="32"/>
    <m/>
    <n v="64"/>
    <x v="1"/>
    <n v="2"/>
    <x v="0"/>
    <m/>
    <m/>
    <n v="30.5"/>
    <x v="2"/>
    <s v="04/07/2024"/>
    <d v="2024-07-04T00:00:00"/>
    <s v="2024039-125"/>
    <x v="4"/>
  </r>
  <r>
    <x v="607"/>
    <n v="2024039"/>
    <x v="39"/>
    <s v="Fababean"/>
    <m/>
    <x v="10"/>
    <s v="Y"/>
    <x v="1"/>
    <n v="126"/>
    <n v="62"/>
    <x v="3"/>
    <m/>
    <m/>
    <m/>
    <n v="8"/>
    <n v="15"/>
    <m/>
    <m/>
    <m/>
    <m/>
    <n v="2"/>
    <m/>
    <x v="1"/>
    <n v="32"/>
    <m/>
    <n v="63"/>
    <x v="1"/>
    <n v="4"/>
    <x v="0"/>
    <m/>
    <m/>
    <n v="30.5"/>
    <x v="2"/>
    <s v="04/07/2024"/>
    <d v="2024-07-04T00:00:00"/>
    <s v="2024039-126"/>
    <x v="4"/>
  </r>
  <r>
    <x v="601"/>
    <n v="2024039"/>
    <x v="39"/>
    <s v="Fababean"/>
    <m/>
    <x v="13"/>
    <s v="Y"/>
    <x v="1"/>
    <n v="127"/>
    <n v="63"/>
    <x v="3"/>
    <m/>
    <m/>
    <m/>
    <n v="8"/>
    <n v="16"/>
    <m/>
    <m/>
    <m/>
    <m/>
    <n v="3"/>
    <m/>
    <x v="2"/>
    <n v="32"/>
    <m/>
    <n v="62"/>
    <x v="0"/>
    <n v="3"/>
    <x v="0"/>
    <m/>
    <m/>
    <n v="30.5"/>
    <x v="2"/>
    <s v="04/07/2024"/>
    <d v="2024-07-04T00:00:00"/>
    <s v="2024039-127"/>
    <x v="4"/>
  </r>
  <r>
    <x v="604"/>
    <n v="2024039"/>
    <x v="39"/>
    <s v="Fababean"/>
    <m/>
    <x v="12"/>
    <s v="N"/>
    <x v="1"/>
    <n v="128"/>
    <n v="64"/>
    <x v="3"/>
    <m/>
    <m/>
    <m/>
    <n v="8"/>
    <n v="16"/>
    <m/>
    <m/>
    <m/>
    <m/>
    <n v="4"/>
    <m/>
    <x v="3"/>
    <n v="32"/>
    <m/>
    <n v="61"/>
    <x v="0"/>
    <n v="1"/>
    <x v="0"/>
    <m/>
    <m/>
    <n v="30.5"/>
    <x v="2"/>
    <s v="04/07/2024"/>
    <d v="2024-07-04T00:00:00"/>
    <s v="2024039-128"/>
    <x v="4"/>
  </r>
  <r>
    <x v="608"/>
    <n v="2024040"/>
    <x v="40"/>
    <s v="Chickpea"/>
    <m/>
    <x v="4"/>
    <s v="Y"/>
    <x v="1"/>
    <n v="1"/>
    <n v="1"/>
    <x v="0"/>
    <n v="1"/>
    <m/>
    <m/>
    <n v="1"/>
    <n v="1"/>
    <m/>
    <n v="1"/>
    <m/>
    <m/>
    <n v="1"/>
    <n v="2"/>
    <x v="0"/>
    <n v="1"/>
    <m/>
    <n v="1"/>
    <x v="1"/>
    <n v="4"/>
    <x v="0"/>
    <m/>
    <m/>
    <n v="22"/>
    <x v="2"/>
    <s v="20/06/2024"/>
    <d v="2024-06-20T00:00:00"/>
    <s v="2024040-1"/>
    <x v="3"/>
  </r>
  <r>
    <x v="608"/>
    <n v="2024040"/>
    <x v="40"/>
    <s v="Chickpea"/>
    <m/>
    <x v="4"/>
    <s v="Y"/>
    <x v="2"/>
    <n v="2"/>
    <n v="1"/>
    <x v="0"/>
    <n v="1"/>
    <m/>
    <m/>
    <n v="1"/>
    <n v="1"/>
    <m/>
    <n v="1"/>
    <m/>
    <m/>
    <n v="2"/>
    <n v="2"/>
    <x v="1"/>
    <n v="1"/>
    <m/>
    <m/>
    <x v="1"/>
    <n v="4"/>
    <x v="0"/>
    <m/>
    <m/>
    <n v="22"/>
    <x v="2"/>
    <s v="20/06/2024"/>
    <d v="2024-06-20T00:00:00"/>
    <s v="2024040-2"/>
    <x v="3"/>
  </r>
  <r>
    <x v="609"/>
    <n v="2024040"/>
    <x v="40"/>
    <s v="Chickpea"/>
    <m/>
    <x v="9"/>
    <s v="N"/>
    <x v="2"/>
    <n v="3"/>
    <n v="2"/>
    <x v="0"/>
    <n v="1"/>
    <m/>
    <m/>
    <n v="1"/>
    <n v="2"/>
    <m/>
    <n v="2"/>
    <m/>
    <m/>
    <n v="5"/>
    <n v="2"/>
    <x v="2"/>
    <n v="1"/>
    <m/>
    <m/>
    <x v="0"/>
    <n v="2"/>
    <x v="0"/>
    <m/>
    <m/>
    <n v="22"/>
    <x v="2"/>
    <s v="20/06/2024"/>
    <d v="2024-06-20T00:00:00"/>
    <s v="2024040-3"/>
    <x v="3"/>
  </r>
  <r>
    <x v="609"/>
    <n v="2024040"/>
    <x v="40"/>
    <s v="Chickpea"/>
    <m/>
    <x v="9"/>
    <s v="N"/>
    <x v="1"/>
    <n v="4"/>
    <n v="2"/>
    <x v="0"/>
    <n v="1"/>
    <m/>
    <m/>
    <n v="1"/>
    <n v="2"/>
    <m/>
    <n v="2"/>
    <m/>
    <m/>
    <n v="6"/>
    <n v="2"/>
    <x v="3"/>
    <n v="1"/>
    <m/>
    <n v="64"/>
    <x v="0"/>
    <n v="2"/>
    <x v="0"/>
    <m/>
    <m/>
    <n v="22"/>
    <x v="2"/>
    <s v="20/06/2024"/>
    <d v="2024-06-20T00:00:00"/>
    <s v="2024040-4"/>
    <x v="3"/>
  </r>
  <r>
    <x v="610"/>
    <n v="2024040"/>
    <x v="40"/>
    <s v="Chickpea"/>
    <m/>
    <x v="9"/>
    <s v="N"/>
    <x v="1"/>
    <n v="5"/>
    <n v="3"/>
    <x v="0"/>
    <n v="1"/>
    <m/>
    <m/>
    <n v="1"/>
    <n v="1"/>
    <m/>
    <n v="1"/>
    <m/>
    <m/>
    <n v="1"/>
    <n v="3"/>
    <x v="0"/>
    <n v="2"/>
    <m/>
    <n v="2"/>
    <x v="1"/>
    <n v="2"/>
    <x v="0"/>
    <m/>
    <m/>
    <n v="22"/>
    <x v="2"/>
    <s v="20/06/2024"/>
    <d v="2024-06-20T00:00:00"/>
    <s v="2024040-5"/>
    <x v="3"/>
  </r>
  <r>
    <x v="610"/>
    <n v="2024040"/>
    <x v="40"/>
    <s v="Chickpea"/>
    <m/>
    <x v="9"/>
    <s v="N"/>
    <x v="2"/>
    <n v="6"/>
    <n v="3"/>
    <x v="0"/>
    <n v="1"/>
    <m/>
    <m/>
    <n v="1"/>
    <n v="1"/>
    <m/>
    <n v="1"/>
    <m/>
    <m/>
    <n v="2"/>
    <n v="3"/>
    <x v="1"/>
    <n v="2"/>
    <m/>
    <m/>
    <x v="1"/>
    <n v="2"/>
    <x v="0"/>
    <m/>
    <m/>
    <n v="22"/>
    <x v="2"/>
    <s v="20/06/2024"/>
    <d v="2024-06-20T00:00:00"/>
    <s v="2024040-6"/>
    <x v="3"/>
  </r>
  <r>
    <x v="611"/>
    <n v="2024040"/>
    <x v="40"/>
    <s v="Chickpea"/>
    <m/>
    <x v="8"/>
    <s v="Y"/>
    <x v="2"/>
    <n v="7"/>
    <n v="4"/>
    <x v="0"/>
    <n v="1"/>
    <m/>
    <m/>
    <n v="1"/>
    <n v="2"/>
    <m/>
    <n v="2"/>
    <m/>
    <m/>
    <n v="5"/>
    <n v="3"/>
    <x v="2"/>
    <n v="2"/>
    <m/>
    <m/>
    <x v="0"/>
    <n v="1"/>
    <x v="0"/>
    <m/>
    <m/>
    <n v="22"/>
    <x v="2"/>
    <s v="20/06/2024"/>
    <d v="2024-06-20T00:00:00"/>
    <s v="2024040-7"/>
    <x v="3"/>
  </r>
  <r>
    <x v="611"/>
    <n v="2024040"/>
    <x v="40"/>
    <s v="Chickpea"/>
    <m/>
    <x v="8"/>
    <s v="Y"/>
    <x v="1"/>
    <n v="8"/>
    <n v="4"/>
    <x v="0"/>
    <n v="1"/>
    <m/>
    <m/>
    <n v="1"/>
    <n v="2"/>
    <m/>
    <n v="2"/>
    <m/>
    <m/>
    <n v="6"/>
    <n v="3"/>
    <x v="3"/>
    <n v="2"/>
    <m/>
    <n v="63"/>
    <x v="0"/>
    <n v="1"/>
    <x v="0"/>
    <m/>
    <m/>
    <n v="22"/>
    <x v="2"/>
    <s v="20/06/2024"/>
    <d v="2024-06-20T00:00:00"/>
    <s v="2024040-8"/>
    <x v="3"/>
  </r>
  <r>
    <x v="612"/>
    <n v="2024040"/>
    <x v="40"/>
    <s v="Chickpea"/>
    <m/>
    <x v="3"/>
    <s v="N"/>
    <x v="1"/>
    <n v="9"/>
    <n v="5"/>
    <x v="0"/>
    <n v="1"/>
    <m/>
    <m/>
    <n v="1"/>
    <n v="1"/>
    <m/>
    <n v="1"/>
    <m/>
    <m/>
    <n v="1"/>
    <n v="4"/>
    <x v="0"/>
    <n v="3"/>
    <m/>
    <n v="3"/>
    <x v="1"/>
    <n v="3"/>
    <x v="0"/>
    <m/>
    <m/>
    <n v="22"/>
    <x v="2"/>
    <s v="20/06/2024"/>
    <d v="2024-06-20T00:00:00"/>
    <s v="2024040-9"/>
    <x v="3"/>
  </r>
  <r>
    <x v="612"/>
    <n v="2024040"/>
    <x v="40"/>
    <s v="Chickpea"/>
    <m/>
    <x v="3"/>
    <s v="N"/>
    <x v="2"/>
    <n v="10"/>
    <n v="5"/>
    <x v="0"/>
    <n v="1"/>
    <m/>
    <m/>
    <n v="1"/>
    <n v="1"/>
    <m/>
    <n v="1"/>
    <m/>
    <m/>
    <n v="2"/>
    <n v="4"/>
    <x v="1"/>
    <n v="3"/>
    <m/>
    <m/>
    <x v="1"/>
    <n v="3"/>
    <x v="0"/>
    <m/>
    <m/>
    <n v="22"/>
    <x v="2"/>
    <s v="20/06/2024"/>
    <d v="2024-06-20T00:00:00"/>
    <s v="2024040-10"/>
    <x v="3"/>
  </r>
  <r>
    <x v="613"/>
    <n v="2024040"/>
    <x v="40"/>
    <s v="Chickpea"/>
    <m/>
    <x v="4"/>
    <s v="Y"/>
    <x v="2"/>
    <n v="11"/>
    <n v="6"/>
    <x v="0"/>
    <n v="1"/>
    <m/>
    <m/>
    <n v="1"/>
    <n v="2"/>
    <m/>
    <n v="2"/>
    <m/>
    <m/>
    <n v="5"/>
    <n v="4"/>
    <x v="2"/>
    <n v="3"/>
    <m/>
    <m/>
    <x v="0"/>
    <n v="4"/>
    <x v="0"/>
    <m/>
    <m/>
    <n v="22"/>
    <x v="2"/>
    <s v="20/06/2024"/>
    <d v="2024-06-20T00:00:00"/>
    <s v="2024040-11"/>
    <x v="3"/>
  </r>
  <r>
    <x v="613"/>
    <n v="2024040"/>
    <x v="40"/>
    <s v="Chickpea"/>
    <m/>
    <x v="4"/>
    <s v="Y"/>
    <x v="1"/>
    <n v="12"/>
    <n v="6"/>
    <x v="0"/>
    <n v="1"/>
    <m/>
    <m/>
    <n v="1"/>
    <n v="2"/>
    <m/>
    <n v="2"/>
    <m/>
    <m/>
    <n v="6"/>
    <n v="4"/>
    <x v="3"/>
    <n v="3"/>
    <m/>
    <n v="62"/>
    <x v="0"/>
    <n v="4"/>
    <x v="0"/>
    <m/>
    <m/>
    <n v="22"/>
    <x v="2"/>
    <s v="20/06/2024"/>
    <d v="2024-06-20T00:00:00"/>
    <s v="2024040-12"/>
    <x v="3"/>
  </r>
  <r>
    <x v="614"/>
    <n v="2024040"/>
    <x v="40"/>
    <s v="Chickpea"/>
    <m/>
    <x v="8"/>
    <s v="Y"/>
    <x v="1"/>
    <n v="13"/>
    <n v="7"/>
    <x v="0"/>
    <n v="1"/>
    <m/>
    <m/>
    <n v="1"/>
    <n v="1"/>
    <m/>
    <n v="1"/>
    <m/>
    <m/>
    <n v="1"/>
    <n v="5"/>
    <x v="0"/>
    <n v="4"/>
    <m/>
    <n v="4"/>
    <x v="1"/>
    <n v="1"/>
    <x v="0"/>
    <m/>
    <m/>
    <n v="22"/>
    <x v="2"/>
    <s v="20/06/2024"/>
    <d v="2024-06-20T00:00:00"/>
    <s v="2024040-13"/>
    <x v="3"/>
  </r>
  <r>
    <x v="614"/>
    <n v="2024040"/>
    <x v="40"/>
    <s v="Chickpea"/>
    <m/>
    <x v="8"/>
    <s v="Y"/>
    <x v="2"/>
    <n v="14"/>
    <n v="7"/>
    <x v="0"/>
    <n v="1"/>
    <m/>
    <m/>
    <n v="1"/>
    <n v="1"/>
    <m/>
    <n v="1"/>
    <m/>
    <m/>
    <n v="2"/>
    <n v="5"/>
    <x v="1"/>
    <n v="4"/>
    <m/>
    <m/>
    <x v="1"/>
    <n v="1"/>
    <x v="0"/>
    <m/>
    <m/>
    <n v="22"/>
    <x v="2"/>
    <s v="20/06/2024"/>
    <d v="2024-06-20T00:00:00"/>
    <s v="2024040-14"/>
    <x v="3"/>
  </r>
  <r>
    <x v="615"/>
    <n v="2024040"/>
    <x v="40"/>
    <s v="Chickpea"/>
    <m/>
    <x v="3"/>
    <s v="N"/>
    <x v="2"/>
    <n v="15"/>
    <n v="8"/>
    <x v="0"/>
    <n v="1"/>
    <m/>
    <m/>
    <n v="1"/>
    <n v="2"/>
    <m/>
    <n v="2"/>
    <m/>
    <m/>
    <n v="5"/>
    <n v="5"/>
    <x v="2"/>
    <n v="4"/>
    <m/>
    <m/>
    <x v="0"/>
    <n v="3"/>
    <x v="0"/>
    <m/>
    <m/>
    <n v="22"/>
    <x v="2"/>
    <s v="20/06/2024"/>
    <d v="2024-06-20T00:00:00"/>
    <s v="2024040-15"/>
    <x v="3"/>
  </r>
  <r>
    <x v="615"/>
    <n v="2024040"/>
    <x v="40"/>
    <s v="Chickpea"/>
    <m/>
    <x v="3"/>
    <s v="N"/>
    <x v="1"/>
    <n v="16"/>
    <n v="8"/>
    <x v="0"/>
    <n v="1"/>
    <m/>
    <m/>
    <n v="1"/>
    <n v="2"/>
    <m/>
    <n v="2"/>
    <m/>
    <m/>
    <n v="6"/>
    <n v="5"/>
    <x v="3"/>
    <n v="4"/>
    <m/>
    <n v="61"/>
    <x v="0"/>
    <n v="3"/>
    <x v="0"/>
    <m/>
    <m/>
    <n v="22"/>
    <x v="2"/>
    <s v="20/06/2024"/>
    <d v="2024-06-20T00:00:00"/>
    <s v="2024040-16"/>
    <x v="3"/>
  </r>
  <r>
    <x v="616"/>
    <n v="2024040"/>
    <x v="40"/>
    <s v="Chickpea"/>
    <m/>
    <x v="3"/>
    <s v="N"/>
    <x v="1"/>
    <n v="17"/>
    <n v="9"/>
    <x v="0"/>
    <n v="1"/>
    <m/>
    <m/>
    <n v="2"/>
    <n v="3"/>
    <m/>
    <n v="1"/>
    <m/>
    <m/>
    <n v="1"/>
    <n v="10"/>
    <x v="0"/>
    <n v="5"/>
    <m/>
    <n v="5"/>
    <x v="1"/>
    <n v="3"/>
    <x v="0"/>
    <m/>
    <m/>
    <n v="22"/>
    <x v="1"/>
    <s v="22/05/2024"/>
    <d v="2024-05-22T00:00:00"/>
    <s v="2024040-17"/>
    <x v="3"/>
  </r>
  <r>
    <x v="616"/>
    <n v="2024040"/>
    <x v="40"/>
    <s v="Chickpea"/>
    <m/>
    <x v="3"/>
    <s v="N"/>
    <x v="2"/>
    <n v="18"/>
    <n v="9"/>
    <x v="0"/>
    <n v="1"/>
    <m/>
    <m/>
    <n v="2"/>
    <n v="3"/>
    <m/>
    <n v="1"/>
    <m/>
    <m/>
    <n v="2"/>
    <n v="10"/>
    <x v="1"/>
    <n v="5"/>
    <m/>
    <m/>
    <x v="1"/>
    <n v="3"/>
    <x v="0"/>
    <m/>
    <m/>
    <n v="22"/>
    <x v="1"/>
    <s v="22/05/2024"/>
    <d v="2024-05-22T00:00:00"/>
    <s v="2024040-18"/>
    <x v="3"/>
  </r>
  <r>
    <x v="617"/>
    <n v="2024040"/>
    <x v="40"/>
    <s v="Chickpea"/>
    <m/>
    <x v="9"/>
    <s v="N"/>
    <x v="2"/>
    <n v="19"/>
    <n v="10"/>
    <x v="0"/>
    <n v="1"/>
    <m/>
    <m/>
    <n v="2"/>
    <n v="4"/>
    <m/>
    <n v="2"/>
    <m/>
    <m/>
    <n v="5"/>
    <n v="10"/>
    <x v="2"/>
    <n v="5"/>
    <m/>
    <m/>
    <x v="0"/>
    <n v="2"/>
    <x v="0"/>
    <m/>
    <m/>
    <n v="22"/>
    <x v="1"/>
    <s v="22/05/2024"/>
    <d v="2024-05-22T00:00:00"/>
    <s v="2024040-19"/>
    <x v="3"/>
  </r>
  <r>
    <x v="617"/>
    <n v="2024040"/>
    <x v="40"/>
    <s v="Chickpea"/>
    <m/>
    <x v="9"/>
    <s v="N"/>
    <x v="1"/>
    <n v="20"/>
    <n v="10"/>
    <x v="0"/>
    <n v="1"/>
    <m/>
    <m/>
    <n v="2"/>
    <n v="4"/>
    <m/>
    <n v="2"/>
    <m/>
    <m/>
    <n v="6"/>
    <n v="10"/>
    <x v="3"/>
    <n v="5"/>
    <m/>
    <n v="60"/>
    <x v="0"/>
    <n v="2"/>
    <x v="0"/>
    <m/>
    <m/>
    <n v="22"/>
    <x v="1"/>
    <s v="22/05/2024"/>
    <d v="2024-05-22T00:00:00"/>
    <s v="2024040-20"/>
    <x v="3"/>
  </r>
  <r>
    <x v="618"/>
    <n v="2024040"/>
    <x v="40"/>
    <s v="Chickpea"/>
    <m/>
    <x v="8"/>
    <s v="Y"/>
    <x v="1"/>
    <n v="21"/>
    <n v="11"/>
    <x v="0"/>
    <n v="1"/>
    <m/>
    <m/>
    <n v="2"/>
    <n v="3"/>
    <m/>
    <n v="1"/>
    <m/>
    <m/>
    <n v="1"/>
    <n v="11"/>
    <x v="0"/>
    <n v="6"/>
    <m/>
    <n v="6"/>
    <x v="1"/>
    <n v="1"/>
    <x v="0"/>
    <m/>
    <m/>
    <n v="22"/>
    <x v="1"/>
    <s v="22/05/2024"/>
    <d v="2024-05-22T00:00:00"/>
    <s v="2024040-21"/>
    <x v="3"/>
  </r>
  <r>
    <x v="618"/>
    <n v="2024040"/>
    <x v="40"/>
    <s v="Chickpea"/>
    <m/>
    <x v="8"/>
    <s v="Y"/>
    <x v="2"/>
    <n v="22"/>
    <n v="11"/>
    <x v="0"/>
    <n v="1"/>
    <m/>
    <m/>
    <n v="2"/>
    <n v="3"/>
    <m/>
    <n v="1"/>
    <m/>
    <m/>
    <n v="2"/>
    <n v="11"/>
    <x v="1"/>
    <n v="6"/>
    <m/>
    <m/>
    <x v="1"/>
    <n v="1"/>
    <x v="0"/>
    <m/>
    <m/>
    <n v="22"/>
    <x v="1"/>
    <s v="22/05/2024"/>
    <d v="2024-05-22T00:00:00"/>
    <s v="2024040-22"/>
    <x v="3"/>
  </r>
  <r>
    <x v="619"/>
    <n v="2024040"/>
    <x v="40"/>
    <s v="Chickpea"/>
    <m/>
    <x v="4"/>
    <s v="Y"/>
    <x v="2"/>
    <n v="23"/>
    <n v="12"/>
    <x v="0"/>
    <n v="1"/>
    <m/>
    <m/>
    <n v="2"/>
    <n v="4"/>
    <m/>
    <n v="2"/>
    <m/>
    <m/>
    <n v="5"/>
    <n v="11"/>
    <x v="2"/>
    <n v="6"/>
    <m/>
    <m/>
    <x v="0"/>
    <n v="4"/>
    <x v="0"/>
    <m/>
    <m/>
    <n v="22"/>
    <x v="1"/>
    <s v="22/05/2024"/>
    <d v="2024-05-22T00:00:00"/>
    <s v="2024040-23"/>
    <x v="3"/>
  </r>
  <r>
    <x v="619"/>
    <n v="2024040"/>
    <x v="40"/>
    <s v="Chickpea"/>
    <m/>
    <x v="4"/>
    <s v="Y"/>
    <x v="1"/>
    <n v="24"/>
    <n v="12"/>
    <x v="0"/>
    <n v="1"/>
    <m/>
    <m/>
    <n v="2"/>
    <n v="4"/>
    <m/>
    <n v="2"/>
    <m/>
    <m/>
    <n v="6"/>
    <n v="11"/>
    <x v="3"/>
    <n v="6"/>
    <m/>
    <n v="59"/>
    <x v="0"/>
    <n v="4"/>
    <x v="0"/>
    <m/>
    <m/>
    <n v="22"/>
    <x v="1"/>
    <s v="22/05/2024"/>
    <d v="2024-05-22T00:00:00"/>
    <s v="2024040-24"/>
    <x v="3"/>
  </r>
  <r>
    <x v="620"/>
    <n v="2024040"/>
    <x v="40"/>
    <s v="Chickpea"/>
    <m/>
    <x v="9"/>
    <s v="N"/>
    <x v="1"/>
    <n v="25"/>
    <n v="13"/>
    <x v="0"/>
    <n v="1"/>
    <m/>
    <m/>
    <n v="2"/>
    <n v="3"/>
    <m/>
    <n v="1"/>
    <m/>
    <m/>
    <n v="1"/>
    <n v="12"/>
    <x v="0"/>
    <n v="7"/>
    <m/>
    <n v="7"/>
    <x v="1"/>
    <n v="2"/>
    <x v="0"/>
    <m/>
    <m/>
    <n v="22"/>
    <x v="1"/>
    <s v="22/05/2024"/>
    <d v="2024-05-22T00:00:00"/>
    <s v="2024040-25"/>
    <x v="3"/>
  </r>
  <r>
    <x v="620"/>
    <n v="2024040"/>
    <x v="40"/>
    <s v="Chickpea"/>
    <m/>
    <x v="9"/>
    <s v="N"/>
    <x v="2"/>
    <n v="26"/>
    <n v="13"/>
    <x v="0"/>
    <n v="1"/>
    <m/>
    <m/>
    <n v="2"/>
    <n v="3"/>
    <m/>
    <n v="1"/>
    <m/>
    <m/>
    <n v="2"/>
    <n v="12"/>
    <x v="1"/>
    <n v="7"/>
    <m/>
    <m/>
    <x v="1"/>
    <n v="2"/>
    <x v="0"/>
    <m/>
    <m/>
    <n v="22"/>
    <x v="1"/>
    <s v="22/05/2024"/>
    <d v="2024-05-22T00:00:00"/>
    <s v="2024040-26"/>
    <x v="3"/>
  </r>
  <r>
    <x v="621"/>
    <n v="2024040"/>
    <x v="40"/>
    <s v="Chickpea"/>
    <m/>
    <x v="3"/>
    <s v="N"/>
    <x v="2"/>
    <n v="27"/>
    <n v="14"/>
    <x v="0"/>
    <n v="1"/>
    <m/>
    <m/>
    <n v="2"/>
    <n v="4"/>
    <m/>
    <n v="2"/>
    <m/>
    <m/>
    <n v="5"/>
    <n v="12"/>
    <x v="2"/>
    <n v="7"/>
    <m/>
    <m/>
    <x v="0"/>
    <n v="3"/>
    <x v="0"/>
    <m/>
    <m/>
    <n v="22"/>
    <x v="1"/>
    <s v="22/05/2024"/>
    <d v="2024-05-22T00:00:00"/>
    <s v="2024040-27"/>
    <x v="3"/>
  </r>
  <r>
    <x v="621"/>
    <n v="2024040"/>
    <x v="40"/>
    <s v="Chickpea"/>
    <m/>
    <x v="3"/>
    <s v="N"/>
    <x v="1"/>
    <n v="28"/>
    <n v="14"/>
    <x v="0"/>
    <n v="1"/>
    <m/>
    <m/>
    <n v="2"/>
    <n v="4"/>
    <m/>
    <n v="2"/>
    <m/>
    <m/>
    <n v="6"/>
    <n v="12"/>
    <x v="3"/>
    <n v="7"/>
    <m/>
    <n v="58"/>
    <x v="0"/>
    <n v="3"/>
    <x v="0"/>
    <m/>
    <m/>
    <n v="22"/>
    <x v="1"/>
    <s v="22/05/2024"/>
    <d v="2024-05-22T00:00:00"/>
    <s v="2024040-28"/>
    <x v="3"/>
  </r>
  <r>
    <x v="622"/>
    <n v="2024040"/>
    <x v="40"/>
    <s v="Chickpea"/>
    <m/>
    <x v="4"/>
    <s v="Y"/>
    <x v="1"/>
    <n v="29"/>
    <n v="15"/>
    <x v="0"/>
    <n v="1"/>
    <m/>
    <m/>
    <n v="2"/>
    <n v="3"/>
    <m/>
    <n v="1"/>
    <m/>
    <m/>
    <n v="1"/>
    <n v="13"/>
    <x v="0"/>
    <n v="8"/>
    <m/>
    <n v="8"/>
    <x v="1"/>
    <n v="4"/>
    <x v="0"/>
    <m/>
    <m/>
    <n v="22"/>
    <x v="1"/>
    <s v="22/05/2024"/>
    <d v="2024-05-22T00:00:00"/>
    <s v="2024040-29"/>
    <x v="3"/>
  </r>
  <r>
    <x v="622"/>
    <n v="2024040"/>
    <x v="40"/>
    <s v="Chickpea"/>
    <m/>
    <x v="4"/>
    <s v="Y"/>
    <x v="2"/>
    <n v="30"/>
    <n v="15"/>
    <x v="0"/>
    <n v="1"/>
    <m/>
    <m/>
    <n v="2"/>
    <n v="3"/>
    <m/>
    <n v="1"/>
    <m/>
    <m/>
    <n v="2"/>
    <n v="13"/>
    <x v="1"/>
    <n v="8"/>
    <m/>
    <m/>
    <x v="1"/>
    <n v="4"/>
    <x v="0"/>
    <m/>
    <m/>
    <n v="22"/>
    <x v="1"/>
    <s v="22/05/2024"/>
    <d v="2024-05-22T00:00:00"/>
    <s v="2024040-30"/>
    <x v="3"/>
  </r>
  <r>
    <x v="623"/>
    <n v="2024040"/>
    <x v="40"/>
    <s v="Chickpea"/>
    <m/>
    <x v="8"/>
    <s v="Y"/>
    <x v="2"/>
    <n v="31"/>
    <n v="16"/>
    <x v="0"/>
    <n v="1"/>
    <m/>
    <m/>
    <n v="2"/>
    <n v="4"/>
    <m/>
    <n v="2"/>
    <m/>
    <m/>
    <n v="5"/>
    <n v="13"/>
    <x v="2"/>
    <n v="8"/>
    <m/>
    <m/>
    <x v="0"/>
    <n v="1"/>
    <x v="0"/>
    <m/>
    <m/>
    <n v="22"/>
    <x v="1"/>
    <s v="22/05/2024"/>
    <d v="2024-05-22T00:00:00"/>
    <s v="2024040-31"/>
    <x v="3"/>
  </r>
  <r>
    <x v="623"/>
    <n v="2024040"/>
    <x v="40"/>
    <s v="Chickpea"/>
    <m/>
    <x v="8"/>
    <s v="Y"/>
    <x v="1"/>
    <n v="32"/>
    <n v="16"/>
    <x v="0"/>
    <n v="1"/>
    <m/>
    <m/>
    <n v="2"/>
    <n v="4"/>
    <m/>
    <n v="2"/>
    <m/>
    <m/>
    <n v="6"/>
    <n v="13"/>
    <x v="3"/>
    <n v="8"/>
    <m/>
    <n v="57"/>
    <x v="0"/>
    <n v="1"/>
    <x v="0"/>
    <m/>
    <m/>
    <n v="22"/>
    <x v="1"/>
    <s v="22/05/2024"/>
    <d v="2024-05-22T00:00:00"/>
    <s v="2024040-32"/>
    <x v="3"/>
  </r>
  <r>
    <x v="622"/>
    <n v="2024040"/>
    <x v="40"/>
    <s v="Chickpea"/>
    <m/>
    <x v="4"/>
    <s v="Y"/>
    <x v="1"/>
    <n v="33"/>
    <n v="17"/>
    <x v="0"/>
    <n v="2"/>
    <m/>
    <m/>
    <n v="3"/>
    <n v="5"/>
    <m/>
    <n v="1"/>
    <m/>
    <m/>
    <n v="1"/>
    <n v="14"/>
    <x v="0"/>
    <n v="9"/>
    <m/>
    <n v="9"/>
    <x v="1"/>
    <n v="4"/>
    <x v="0"/>
    <m/>
    <m/>
    <n v="22"/>
    <x v="1"/>
    <s v="22/05/2024"/>
    <d v="2024-05-22T00:00:00"/>
    <s v="2024040-33"/>
    <x v="3"/>
  </r>
  <r>
    <x v="622"/>
    <n v="2024040"/>
    <x v="40"/>
    <s v="Chickpea"/>
    <m/>
    <x v="4"/>
    <s v="Y"/>
    <x v="2"/>
    <n v="34"/>
    <n v="17"/>
    <x v="0"/>
    <n v="2"/>
    <m/>
    <m/>
    <n v="3"/>
    <n v="5"/>
    <m/>
    <n v="1"/>
    <m/>
    <m/>
    <n v="2"/>
    <n v="14"/>
    <x v="1"/>
    <n v="9"/>
    <m/>
    <m/>
    <x v="1"/>
    <n v="4"/>
    <x v="0"/>
    <m/>
    <m/>
    <n v="22"/>
    <x v="1"/>
    <s v="22/05/2024"/>
    <d v="2024-05-22T00:00:00"/>
    <s v="2024040-34"/>
    <x v="3"/>
  </r>
  <r>
    <x v="621"/>
    <n v="2024040"/>
    <x v="40"/>
    <s v="Chickpea"/>
    <m/>
    <x v="3"/>
    <s v="N"/>
    <x v="2"/>
    <n v="35"/>
    <n v="18"/>
    <x v="0"/>
    <n v="2"/>
    <m/>
    <m/>
    <n v="3"/>
    <n v="6"/>
    <m/>
    <n v="2"/>
    <m/>
    <m/>
    <n v="5"/>
    <n v="14"/>
    <x v="2"/>
    <n v="9"/>
    <m/>
    <m/>
    <x v="0"/>
    <n v="3"/>
    <x v="0"/>
    <m/>
    <m/>
    <n v="22"/>
    <x v="1"/>
    <s v="22/05/2024"/>
    <d v="2024-05-22T00:00:00"/>
    <s v="2024040-35"/>
    <x v="3"/>
  </r>
  <r>
    <x v="621"/>
    <n v="2024040"/>
    <x v="40"/>
    <s v="Chickpea"/>
    <m/>
    <x v="3"/>
    <s v="N"/>
    <x v="1"/>
    <n v="36"/>
    <n v="18"/>
    <x v="0"/>
    <n v="2"/>
    <m/>
    <m/>
    <n v="3"/>
    <n v="6"/>
    <m/>
    <n v="2"/>
    <m/>
    <m/>
    <n v="6"/>
    <n v="14"/>
    <x v="3"/>
    <n v="9"/>
    <m/>
    <n v="56"/>
    <x v="0"/>
    <n v="3"/>
    <x v="0"/>
    <m/>
    <m/>
    <n v="22"/>
    <x v="1"/>
    <s v="22/05/2024"/>
    <d v="2024-05-22T00:00:00"/>
    <s v="2024040-36"/>
    <x v="3"/>
  </r>
  <r>
    <x v="616"/>
    <n v="2024040"/>
    <x v="40"/>
    <s v="Chickpea"/>
    <m/>
    <x v="3"/>
    <s v="N"/>
    <x v="1"/>
    <n v="37"/>
    <n v="19"/>
    <x v="0"/>
    <n v="2"/>
    <m/>
    <m/>
    <n v="3"/>
    <n v="5"/>
    <m/>
    <n v="1"/>
    <m/>
    <m/>
    <n v="1"/>
    <n v="15"/>
    <x v="0"/>
    <n v="10"/>
    <m/>
    <n v="10"/>
    <x v="1"/>
    <n v="3"/>
    <x v="0"/>
    <m/>
    <m/>
    <n v="22"/>
    <x v="1"/>
    <s v="22/05/2024"/>
    <d v="2024-05-22T00:00:00"/>
    <s v="2024040-37"/>
    <x v="3"/>
  </r>
  <r>
    <x v="616"/>
    <n v="2024040"/>
    <x v="40"/>
    <s v="Chickpea"/>
    <m/>
    <x v="3"/>
    <s v="N"/>
    <x v="2"/>
    <n v="38"/>
    <n v="19"/>
    <x v="0"/>
    <n v="2"/>
    <m/>
    <m/>
    <n v="3"/>
    <n v="5"/>
    <m/>
    <n v="1"/>
    <m/>
    <m/>
    <n v="2"/>
    <n v="15"/>
    <x v="1"/>
    <n v="10"/>
    <m/>
    <m/>
    <x v="1"/>
    <n v="3"/>
    <x v="0"/>
    <m/>
    <m/>
    <n v="22"/>
    <x v="1"/>
    <s v="22/05/2024"/>
    <d v="2024-05-22T00:00:00"/>
    <s v="2024040-38"/>
    <x v="3"/>
  </r>
  <r>
    <x v="623"/>
    <n v="2024040"/>
    <x v="40"/>
    <s v="Chickpea"/>
    <m/>
    <x v="8"/>
    <s v="Y"/>
    <x v="2"/>
    <n v="39"/>
    <n v="20"/>
    <x v="0"/>
    <n v="2"/>
    <m/>
    <m/>
    <n v="3"/>
    <n v="6"/>
    <m/>
    <n v="2"/>
    <m/>
    <m/>
    <n v="5"/>
    <n v="15"/>
    <x v="2"/>
    <n v="10"/>
    <m/>
    <m/>
    <x v="0"/>
    <n v="1"/>
    <x v="0"/>
    <m/>
    <m/>
    <n v="22"/>
    <x v="1"/>
    <s v="22/05/2024"/>
    <d v="2024-05-22T00:00:00"/>
    <s v="2024040-39"/>
    <x v="3"/>
  </r>
  <r>
    <x v="623"/>
    <n v="2024040"/>
    <x v="40"/>
    <s v="Chickpea"/>
    <m/>
    <x v="8"/>
    <s v="Y"/>
    <x v="1"/>
    <n v="40"/>
    <n v="20"/>
    <x v="0"/>
    <n v="2"/>
    <m/>
    <m/>
    <n v="3"/>
    <n v="6"/>
    <m/>
    <n v="2"/>
    <m/>
    <m/>
    <n v="6"/>
    <n v="15"/>
    <x v="3"/>
    <n v="10"/>
    <m/>
    <n v="55"/>
    <x v="0"/>
    <n v="1"/>
    <x v="0"/>
    <m/>
    <m/>
    <n v="22"/>
    <x v="1"/>
    <s v="22/05/2024"/>
    <d v="2024-05-22T00:00:00"/>
    <s v="2024040-40"/>
    <x v="3"/>
  </r>
  <r>
    <x v="620"/>
    <n v="2024040"/>
    <x v="40"/>
    <s v="Chickpea"/>
    <m/>
    <x v="9"/>
    <s v="N"/>
    <x v="1"/>
    <n v="41"/>
    <n v="21"/>
    <x v="0"/>
    <n v="2"/>
    <m/>
    <m/>
    <n v="3"/>
    <n v="5"/>
    <m/>
    <n v="1"/>
    <m/>
    <m/>
    <n v="1"/>
    <n v="16"/>
    <x v="0"/>
    <n v="11"/>
    <m/>
    <n v="11"/>
    <x v="1"/>
    <n v="2"/>
    <x v="0"/>
    <m/>
    <m/>
    <n v="22"/>
    <x v="1"/>
    <s v="22/05/2024"/>
    <d v="2024-05-22T00:00:00"/>
    <s v="2024040-41"/>
    <x v="3"/>
  </r>
  <r>
    <x v="620"/>
    <n v="2024040"/>
    <x v="40"/>
    <s v="Chickpea"/>
    <m/>
    <x v="9"/>
    <s v="N"/>
    <x v="2"/>
    <n v="42"/>
    <n v="21"/>
    <x v="0"/>
    <n v="2"/>
    <m/>
    <m/>
    <n v="3"/>
    <n v="5"/>
    <m/>
    <n v="1"/>
    <m/>
    <m/>
    <n v="2"/>
    <n v="16"/>
    <x v="1"/>
    <n v="11"/>
    <m/>
    <m/>
    <x v="1"/>
    <n v="2"/>
    <x v="0"/>
    <m/>
    <m/>
    <n v="22"/>
    <x v="1"/>
    <s v="22/05/2024"/>
    <d v="2024-05-22T00:00:00"/>
    <s v="2024040-42"/>
    <x v="3"/>
  </r>
  <r>
    <x v="619"/>
    <n v="2024040"/>
    <x v="40"/>
    <s v="Chickpea"/>
    <m/>
    <x v="4"/>
    <s v="Y"/>
    <x v="2"/>
    <n v="43"/>
    <n v="22"/>
    <x v="0"/>
    <n v="2"/>
    <m/>
    <m/>
    <n v="3"/>
    <n v="6"/>
    <m/>
    <n v="2"/>
    <m/>
    <m/>
    <n v="5"/>
    <n v="16"/>
    <x v="2"/>
    <n v="11"/>
    <m/>
    <m/>
    <x v="0"/>
    <n v="4"/>
    <x v="0"/>
    <m/>
    <m/>
    <n v="22"/>
    <x v="1"/>
    <s v="22/05/2024"/>
    <d v="2024-05-22T00:00:00"/>
    <s v="2024040-43"/>
    <x v="3"/>
  </r>
  <r>
    <x v="619"/>
    <n v="2024040"/>
    <x v="40"/>
    <s v="Chickpea"/>
    <m/>
    <x v="4"/>
    <s v="Y"/>
    <x v="1"/>
    <n v="44"/>
    <n v="22"/>
    <x v="0"/>
    <n v="2"/>
    <m/>
    <m/>
    <n v="3"/>
    <n v="6"/>
    <m/>
    <n v="2"/>
    <m/>
    <m/>
    <n v="6"/>
    <n v="16"/>
    <x v="3"/>
    <n v="11"/>
    <m/>
    <n v="54"/>
    <x v="0"/>
    <n v="4"/>
    <x v="0"/>
    <m/>
    <m/>
    <n v="22"/>
    <x v="1"/>
    <s v="22/05/2024"/>
    <d v="2024-05-22T00:00:00"/>
    <s v="2024040-44"/>
    <x v="3"/>
  </r>
  <r>
    <x v="618"/>
    <n v="2024040"/>
    <x v="40"/>
    <s v="Chickpea"/>
    <m/>
    <x v="8"/>
    <s v="Y"/>
    <x v="1"/>
    <n v="45"/>
    <n v="23"/>
    <x v="0"/>
    <n v="2"/>
    <m/>
    <m/>
    <n v="3"/>
    <n v="5"/>
    <m/>
    <n v="1"/>
    <m/>
    <m/>
    <n v="1"/>
    <n v="17"/>
    <x v="0"/>
    <n v="12"/>
    <m/>
    <n v="12"/>
    <x v="1"/>
    <n v="1"/>
    <x v="0"/>
    <m/>
    <m/>
    <n v="22"/>
    <x v="1"/>
    <s v="22/05/2024"/>
    <d v="2024-05-22T00:00:00"/>
    <s v="2024040-45"/>
    <x v="3"/>
  </r>
  <r>
    <x v="618"/>
    <n v="2024040"/>
    <x v="40"/>
    <s v="Chickpea"/>
    <m/>
    <x v="8"/>
    <s v="Y"/>
    <x v="2"/>
    <n v="46"/>
    <n v="23"/>
    <x v="0"/>
    <n v="2"/>
    <m/>
    <m/>
    <n v="3"/>
    <n v="5"/>
    <m/>
    <n v="1"/>
    <m/>
    <m/>
    <n v="2"/>
    <n v="17"/>
    <x v="1"/>
    <n v="12"/>
    <m/>
    <m/>
    <x v="1"/>
    <n v="1"/>
    <x v="0"/>
    <m/>
    <m/>
    <n v="22"/>
    <x v="1"/>
    <s v="22/05/2024"/>
    <d v="2024-05-22T00:00:00"/>
    <s v="2024040-46"/>
    <x v="3"/>
  </r>
  <r>
    <x v="617"/>
    <n v="2024040"/>
    <x v="40"/>
    <s v="Chickpea"/>
    <m/>
    <x v="9"/>
    <s v="N"/>
    <x v="2"/>
    <n v="47"/>
    <n v="24"/>
    <x v="0"/>
    <n v="2"/>
    <m/>
    <m/>
    <n v="3"/>
    <n v="6"/>
    <m/>
    <n v="2"/>
    <m/>
    <m/>
    <n v="5"/>
    <n v="17"/>
    <x v="2"/>
    <n v="12"/>
    <m/>
    <m/>
    <x v="0"/>
    <n v="2"/>
    <x v="0"/>
    <m/>
    <m/>
    <n v="22"/>
    <x v="1"/>
    <s v="22/05/2024"/>
    <d v="2024-05-22T00:00:00"/>
    <s v="2024040-47"/>
    <x v="3"/>
  </r>
  <r>
    <x v="617"/>
    <n v="2024040"/>
    <x v="40"/>
    <s v="Chickpea"/>
    <m/>
    <x v="9"/>
    <s v="N"/>
    <x v="1"/>
    <n v="48"/>
    <n v="24"/>
    <x v="0"/>
    <n v="2"/>
    <m/>
    <m/>
    <n v="3"/>
    <n v="6"/>
    <m/>
    <n v="2"/>
    <m/>
    <m/>
    <n v="6"/>
    <n v="17"/>
    <x v="3"/>
    <n v="12"/>
    <m/>
    <n v="53"/>
    <x v="0"/>
    <n v="2"/>
    <x v="0"/>
    <m/>
    <m/>
    <n v="22"/>
    <x v="1"/>
    <s v="22/05/2024"/>
    <d v="2024-05-22T00:00:00"/>
    <s v="2024040-48"/>
    <x v="3"/>
  </r>
  <r>
    <x v="608"/>
    <n v="2024040"/>
    <x v="40"/>
    <s v="Chickpea"/>
    <m/>
    <x v="4"/>
    <s v="Y"/>
    <x v="1"/>
    <n v="49"/>
    <n v="25"/>
    <x v="0"/>
    <n v="2"/>
    <m/>
    <m/>
    <n v="4"/>
    <n v="7"/>
    <m/>
    <n v="1"/>
    <m/>
    <m/>
    <n v="1"/>
    <n v="22"/>
    <x v="0"/>
    <n v="13"/>
    <m/>
    <n v="13"/>
    <x v="1"/>
    <n v="4"/>
    <x v="0"/>
    <m/>
    <m/>
    <n v="22"/>
    <x v="2"/>
    <s v="20/06/2024"/>
    <d v="2024-06-20T00:00:00"/>
    <s v="2024040-49"/>
    <x v="3"/>
  </r>
  <r>
    <x v="608"/>
    <n v="2024040"/>
    <x v="40"/>
    <s v="Chickpea"/>
    <m/>
    <x v="4"/>
    <s v="Y"/>
    <x v="2"/>
    <n v="50"/>
    <n v="25"/>
    <x v="0"/>
    <n v="2"/>
    <m/>
    <m/>
    <n v="4"/>
    <n v="7"/>
    <m/>
    <n v="1"/>
    <m/>
    <m/>
    <n v="2"/>
    <n v="22"/>
    <x v="1"/>
    <n v="13"/>
    <m/>
    <m/>
    <x v="1"/>
    <n v="4"/>
    <x v="0"/>
    <m/>
    <m/>
    <n v="22"/>
    <x v="2"/>
    <s v="20/06/2024"/>
    <d v="2024-06-20T00:00:00"/>
    <s v="2024040-50"/>
    <x v="3"/>
  </r>
  <r>
    <x v="615"/>
    <n v="2024040"/>
    <x v="40"/>
    <s v="Chickpea"/>
    <m/>
    <x v="3"/>
    <s v="N"/>
    <x v="2"/>
    <n v="51"/>
    <n v="26"/>
    <x v="0"/>
    <n v="2"/>
    <m/>
    <m/>
    <n v="4"/>
    <n v="8"/>
    <m/>
    <n v="2"/>
    <m/>
    <m/>
    <n v="5"/>
    <n v="22"/>
    <x v="2"/>
    <n v="13"/>
    <m/>
    <m/>
    <x v="0"/>
    <n v="3"/>
    <x v="0"/>
    <m/>
    <m/>
    <n v="22"/>
    <x v="2"/>
    <s v="20/06/2024"/>
    <d v="2024-06-20T00:00:00"/>
    <s v="2024040-51"/>
    <x v="3"/>
  </r>
  <r>
    <x v="615"/>
    <n v="2024040"/>
    <x v="40"/>
    <s v="Chickpea"/>
    <m/>
    <x v="3"/>
    <s v="N"/>
    <x v="1"/>
    <n v="52"/>
    <n v="26"/>
    <x v="0"/>
    <n v="2"/>
    <m/>
    <m/>
    <n v="4"/>
    <n v="8"/>
    <m/>
    <n v="2"/>
    <m/>
    <m/>
    <n v="6"/>
    <n v="22"/>
    <x v="3"/>
    <n v="13"/>
    <m/>
    <n v="52"/>
    <x v="0"/>
    <n v="3"/>
    <x v="0"/>
    <m/>
    <m/>
    <n v="22"/>
    <x v="2"/>
    <s v="20/06/2024"/>
    <d v="2024-06-20T00:00:00"/>
    <s v="2024040-52"/>
    <x v="3"/>
  </r>
  <r>
    <x v="610"/>
    <n v="2024040"/>
    <x v="40"/>
    <s v="Chickpea"/>
    <m/>
    <x v="9"/>
    <s v="N"/>
    <x v="1"/>
    <n v="53"/>
    <n v="27"/>
    <x v="0"/>
    <n v="2"/>
    <m/>
    <m/>
    <n v="4"/>
    <n v="7"/>
    <m/>
    <n v="1"/>
    <m/>
    <m/>
    <n v="1"/>
    <n v="23"/>
    <x v="0"/>
    <n v="14"/>
    <m/>
    <n v="14"/>
    <x v="1"/>
    <n v="2"/>
    <x v="0"/>
    <m/>
    <m/>
    <n v="22"/>
    <x v="2"/>
    <s v="20/06/2024"/>
    <d v="2024-06-20T00:00:00"/>
    <s v="2024040-53"/>
    <x v="3"/>
  </r>
  <r>
    <x v="610"/>
    <n v="2024040"/>
    <x v="40"/>
    <s v="Chickpea"/>
    <m/>
    <x v="9"/>
    <s v="N"/>
    <x v="2"/>
    <n v="54"/>
    <n v="27"/>
    <x v="0"/>
    <n v="2"/>
    <m/>
    <m/>
    <n v="4"/>
    <n v="7"/>
    <m/>
    <n v="1"/>
    <m/>
    <m/>
    <n v="2"/>
    <n v="23"/>
    <x v="1"/>
    <n v="14"/>
    <m/>
    <m/>
    <x v="1"/>
    <n v="2"/>
    <x v="0"/>
    <m/>
    <m/>
    <n v="22"/>
    <x v="2"/>
    <s v="20/06/2024"/>
    <d v="2024-06-20T00:00:00"/>
    <s v="2024040-54"/>
    <x v="3"/>
  </r>
  <r>
    <x v="611"/>
    <n v="2024040"/>
    <x v="40"/>
    <s v="Chickpea"/>
    <m/>
    <x v="8"/>
    <s v="Y"/>
    <x v="2"/>
    <n v="55"/>
    <n v="28"/>
    <x v="0"/>
    <n v="2"/>
    <m/>
    <m/>
    <n v="4"/>
    <n v="8"/>
    <m/>
    <n v="2"/>
    <m/>
    <m/>
    <n v="5"/>
    <n v="23"/>
    <x v="2"/>
    <n v="14"/>
    <m/>
    <m/>
    <x v="0"/>
    <n v="1"/>
    <x v="0"/>
    <m/>
    <m/>
    <n v="22"/>
    <x v="2"/>
    <s v="20/06/2024"/>
    <d v="2024-06-20T00:00:00"/>
    <s v="2024040-55"/>
    <x v="3"/>
  </r>
  <r>
    <x v="611"/>
    <n v="2024040"/>
    <x v="40"/>
    <s v="Chickpea"/>
    <m/>
    <x v="8"/>
    <s v="Y"/>
    <x v="1"/>
    <n v="56"/>
    <n v="28"/>
    <x v="0"/>
    <n v="2"/>
    <m/>
    <m/>
    <n v="4"/>
    <n v="8"/>
    <m/>
    <n v="2"/>
    <m/>
    <m/>
    <n v="6"/>
    <n v="23"/>
    <x v="3"/>
    <n v="14"/>
    <m/>
    <n v="51"/>
    <x v="0"/>
    <n v="1"/>
    <x v="0"/>
    <m/>
    <m/>
    <n v="22"/>
    <x v="2"/>
    <s v="20/06/2024"/>
    <d v="2024-06-20T00:00:00"/>
    <s v="2024040-56"/>
    <x v="3"/>
  </r>
  <r>
    <x v="612"/>
    <n v="2024040"/>
    <x v="40"/>
    <s v="Chickpea"/>
    <m/>
    <x v="3"/>
    <s v="N"/>
    <x v="1"/>
    <n v="57"/>
    <n v="29"/>
    <x v="0"/>
    <n v="2"/>
    <m/>
    <m/>
    <n v="4"/>
    <n v="7"/>
    <m/>
    <n v="1"/>
    <m/>
    <m/>
    <n v="1"/>
    <n v="24"/>
    <x v="0"/>
    <n v="15"/>
    <m/>
    <n v="15"/>
    <x v="1"/>
    <n v="3"/>
    <x v="0"/>
    <m/>
    <m/>
    <n v="22"/>
    <x v="2"/>
    <s v="20/06/2024"/>
    <d v="2024-06-20T00:00:00"/>
    <s v="2024040-57"/>
    <x v="3"/>
  </r>
  <r>
    <x v="612"/>
    <n v="2024040"/>
    <x v="40"/>
    <s v="Chickpea"/>
    <m/>
    <x v="3"/>
    <s v="N"/>
    <x v="2"/>
    <n v="58"/>
    <n v="29"/>
    <x v="0"/>
    <n v="2"/>
    <m/>
    <m/>
    <n v="4"/>
    <n v="7"/>
    <m/>
    <n v="1"/>
    <m/>
    <m/>
    <n v="2"/>
    <n v="24"/>
    <x v="1"/>
    <n v="15"/>
    <m/>
    <m/>
    <x v="1"/>
    <n v="3"/>
    <x v="0"/>
    <m/>
    <m/>
    <n v="22"/>
    <x v="2"/>
    <s v="20/06/2024"/>
    <d v="2024-06-20T00:00:00"/>
    <s v="2024040-58"/>
    <x v="3"/>
  </r>
  <r>
    <x v="613"/>
    <n v="2024040"/>
    <x v="40"/>
    <s v="Chickpea"/>
    <m/>
    <x v="4"/>
    <s v="Y"/>
    <x v="2"/>
    <n v="59"/>
    <n v="30"/>
    <x v="0"/>
    <n v="2"/>
    <m/>
    <m/>
    <n v="4"/>
    <n v="8"/>
    <m/>
    <n v="2"/>
    <m/>
    <m/>
    <n v="5"/>
    <n v="24"/>
    <x v="2"/>
    <n v="15"/>
    <m/>
    <m/>
    <x v="0"/>
    <n v="4"/>
    <x v="0"/>
    <m/>
    <m/>
    <n v="22"/>
    <x v="2"/>
    <s v="20/06/2024"/>
    <d v="2024-06-20T00:00:00"/>
    <s v="2024040-59"/>
    <x v="3"/>
  </r>
  <r>
    <x v="613"/>
    <n v="2024040"/>
    <x v="40"/>
    <s v="Chickpea"/>
    <m/>
    <x v="4"/>
    <s v="Y"/>
    <x v="1"/>
    <n v="60"/>
    <n v="30"/>
    <x v="0"/>
    <n v="2"/>
    <m/>
    <m/>
    <n v="4"/>
    <n v="8"/>
    <m/>
    <n v="2"/>
    <m/>
    <m/>
    <n v="6"/>
    <n v="24"/>
    <x v="3"/>
    <n v="15"/>
    <m/>
    <n v="50"/>
    <x v="0"/>
    <n v="4"/>
    <x v="0"/>
    <m/>
    <m/>
    <n v="22"/>
    <x v="2"/>
    <s v="20/06/2024"/>
    <d v="2024-06-20T00:00:00"/>
    <s v="2024040-60"/>
    <x v="3"/>
  </r>
  <r>
    <x v="614"/>
    <n v="2024040"/>
    <x v="40"/>
    <s v="Chickpea"/>
    <m/>
    <x v="8"/>
    <s v="Y"/>
    <x v="1"/>
    <n v="61"/>
    <n v="31"/>
    <x v="0"/>
    <n v="2"/>
    <m/>
    <m/>
    <n v="4"/>
    <n v="7"/>
    <m/>
    <n v="1"/>
    <m/>
    <m/>
    <n v="1"/>
    <n v="25"/>
    <x v="0"/>
    <n v="16"/>
    <m/>
    <n v="16"/>
    <x v="1"/>
    <n v="1"/>
    <x v="0"/>
    <m/>
    <m/>
    <n v="22"/>
    <x v="2"/>
    <s v="20/06/2024"/>
    <d v="2024-06-20T00:00:00"/>
    <s v="2024040-61"/>
    <x v="3"/>
  </r>
  <r>
    <x v="614"/>
    <n v="2024040"/>
    <x v="40"/>
    <s v="Chickpea"/>
    <m/>
    <x v="8"/>
    <s v="Y"/>
    <x v="2"/>
    <n v="62"/>
    <n v="31"/>
    <x v="0"/>
    <n v="2"/>
    <m/>
    <m/>
    <n v="4"/>
    <n v="7"/>
    <m/>
    <n v="1"/>
    <m/>
    <m/>
    <n v="2"/>
    <n v="25"/>
    <x v="1"/>
    <n v="16"/>
    <m/>
    <m/>
    <x v="1"/>
    <n v="1"/>
    <x v="0"/>
    <m/>
    <m/>
    <n v="22"/>
    <x v="2"/>
    <s v="20/06/2024"/>
    <d v="2024-06-20T00:00:00"/>
    <s v="2024040-62"/>
    <x v="3"/>
  </r>
  <r>
    <x v="609"/>
    <n v="2024040"/>
    <x v="40"/>
    <s v="Chickpea"/>
    <m/>
    <x v="9"/>
    <s v="N"/>
    <x v="2"/>
    <n v="63"/>
    <n v="32"/>
    <x v="0"/>
    <n v="2"/>
    <m/>
    <m/>
    <n v="4"/>
    <n v="8"/>
    <m/>
    <n v="2"/>
    <m/>
    <m/>
    <n v="5"/>
    <n v="25"/>
    <x v="2"/>
    <n v="16"/>
    <m/>
    <m/>
    <x v="0"/>
    <n v="2"/>
    <x v="0"/>
    <m/>
    <m/>
    <n v="22"/>
    <x v="2"/>
    <s v="20/06/2024"/>
    <d v="2024-06-20T00:00:00"/>
    <s v="2024040-63"/>
    <x v="3"/>
  </r>
  <r>
    <x v="609"/>
    <n v="2024040"/>
    <x v="40"/>
    <s v="Chickpea"/>
    <m/>
    <x v="9"/>
    <s v="N"/>
    <x v="1"/>
    <n v="64"/>
    <n v="32"/>
    <x v="0"/>
    <n v="2"/>
    <m/>
    <m/>
    <n v="4"/>
    <n v="8"/>
    <m/>
    <n v="2"/>
    <m/>
    <m/>
    <n v="6"/>
    <n v="25"/>
    <x v="3"/>
    <n v="16"/>
    <m/>
    <n v="49"/>
    <x v="0"/>
    <n v="2"/>
    <x v="0"/>
    <m/>
    <m/>
    <n v="22"/>
    <x v="2"/>
    <s v="20/06/2024"/>
    <d v="2024-06-20T00:00:00"/>
    <s v="2024040-64"/>
    <x v="3"/>
  </r>
  <r>
    <x v="609"/>
    <n v="2024040"/>
    <x v="40"/>
    <s v="Chickpea"/>
    <m/>
    <x v="9"/>
    <s v="N"/>
    <x v="1"/>
    <n v="65"/>
    <n v="33"/>
    <x v="1"/>
    <n v="3"/>
    <m/>
    <m/>
    <n v="5"/>
    <n v="9"/>
    <m/>
    <n v="3"/>
    <m/>
    <m/>
    <n v="1"/>
    <n v="32"/>
    <x v="0"/>
    <n v="17"/>
    <m/>
    <n v="17"/>
    <x v="0"/>
    <n v="2"/>
    <x v="0"/>
    <m/>
    <m/>
    <n v="22"/>
    <x v="2"/>
    <s v="20/06/2024"/>
    <d v="2024-06-20T00:00:00"/>
    <s v="2024040-65"/>
    <x v="3"/>
  </r>
  <r>
    <x v="609"/>
    <n v="2024040"/>
    <x v="40"/>
    <s v="Chickpea"/>
    <m/>
    <x v="9"/>
    <s v="N"/>
    <x v="2"/>
    <n v="66"/>
    <n v="33"/>
    <x v="1"/>
    <n v="3"/>
    <m/>
    <m/>
    <n v="5"/>
    <n v="9"/>
    <m/>
    <n v="3"/>
    <m/>
    <m/>
    <n v="2"/>
    <n v="32"/>
    <x v="1"/>
    <n v="17"/>
    <m/>
    <m/>
    <x v="0"/>
    <n v="2"/>
    <x v="0"/>
    <m/>
    <m/>
    <n v="22"/>
    <x v="2"/>
    <s v="20/06/2024"/>
    <d v="2024-06-20T00:00:00"/>
    <s v="2024040-66"/>
    <x v="3"/>
  </r>
  <r>
    <x v="612"/>
    <n v="2024040"/>
    <x v="40"/>
    <s v="Chickpea"/>
    <m/>
    <x v="3"/>
    <s v="N"/>
    <x v="2"/>
    <n v="67"/>
    <n v="34"/>
    <x v="1"/>
    <n v="3"/>
    <m/>
    <m/>
    <n v="5"/>
    <n v="10"/>
    <m/>
    <n v="4"/>
    <m/>
    <m/>
    <n v="5"/>
    <n v="32"/>
    <x v="2"/>
    <n v="17"/>
    <m/>
    <m/>
    <x v="1"/>
    <n v="3"/>
    <x v="0"/>
    <m/>
    <m/>
    <n v="22"/>
    <x v="2"/>
    <s v="20/06/2024"/>
    <d v="2024-06-20T00:00:00"/>
    <s v="2024040-67"/>
    <x v="3"/>
  </r>
  <r>
    <x v="612"/>
    <n v="2024040"/>
    <x v="40"/>
    <s v="Chickpea"/>
    <m/>
    <x v="3"/>
    <s v="N"/>
    <x v="1"/>
    <n v="68"/>
    <n v="34"/>
    <x v="1"/>
    <n v="3"/>
    <m/>
    <m/>
    <n v="5"/>
    <n v="10"/>
    <m/>
    <n v="4"/>
    <m/>
    <m/>
    <n v="6"/>
    <n v="32"/>
    <x v="3"/>
    <n v="17"/>
    <m/>
    <n v="48"/>
    <x v="1"/>
    <n v="3"/>
    <x v="0"/>
    <m/>
    <m/>
    <n v="22"/>
    <x v="2"/>
    <s v="20/06/2024"/>
    <d v="2024-06-20T00:00:00"/>
    <s v="2024040-68"/>
    <x v="3"/>
  </r>
  <r>
    <x v="611"/>
    <n v="2024040"/>
    <x v="40"/>
    <s v="Chickpea"/>
    <m/>
    <x v="8"/>
    <s v="Y"/>
    <x v="1"/>
    <n v="69"/>
    <n v="35"/>
    <x v="1"/>
    <n v="3"/>
    <m/>
    <m/>
    <n v="5"/>
    <n v="9"/>
    <m/>
    <n v="3"/>
    <m/>
    <m/>
    <n v="1"/>
    <n v="33"/>
    <x v="0"/>
    <n v="18"/>
    <m/>
    <n v="18"/>
    <x v="0"/>
    <n v="1"/>
    <x v="0"/>
    <m/>
    <m/>
    <n v="22"/>
    <x v="2"/>
    <s v="20/06/2024"/>
    <d v="2024-06-20T00:00:00"/>
    <s v="2024040-69"/>
    <x v="3"/>
  </r>
  <r>
    <x v="611"/>
    <n v="2024040"/>
    <x v="40"/>
    <s v="Chickpea"/>
    <m/>
    <x v="8"/>
    <s v="Y"/>
    <x v="2"/>
    <n v="70"/>
    <n v="35"/>
    <x v="1"/>
    <n v="3"/>
    <m/>
    <m/>
    <n v="5"/>
    <n v="9"/>
    <m/>
    <n v="3"/>
    <m/>
    <m/>
    <n v="2"/>
    <n v="33"/>
    <x v="1"/>
    <n v="18"/>
    <m/>
    <m/>
    <x v="0"/>
    <n v="1"/>
    <x v="0"/>
    <m/>
    <m/>
    <n v="22"/>
    <x v="2"/>
    <s v="20/06/2024"/>
    <d v="2024-06-20T00:00:00"/>
    <s v="2024040-70"/>
    <x v="3"/>
  </r>
  <r>
    <x v="608"/>
    <n v="2024040"/>
    <x v="40"/>
    <s v="Chickpea"/>
    <m/>
    <x v="4"/>
    <s v="Y"/>
    <x v="2"/>
    <n v="71"/>
    <n v="36"/>
    <x v="1"/>
    <n v="3"/>
    <m/>
    <m/>
    <n v="5"/>
    <n v="10"/>
    <m/>
    <n v="4"/>
    <m/>
    <m/>
    <n v="5"/>
    <n v="33"/>
    <x v="2"/>
    <n v="18"/>
    <m/>
    <m/>
    <x v="1"/>
    <n v="4"/>
    <x v="0"/>
    <m/>
    <m/>
    <n v="22"/>
    <x v="2"/>
    <s v="20/06/2024"/>
    <d v="2024-06-20T00:00:00"/>
    <s v="2024040-71"/>
    <x v="3"/>
  </r>
  <r>
    <x v="608"/>
    <n v="2024040"/>
    <x v="40"/>
    <s v="Chickpea"/>
    <m/>
    <x v="4"/>
    <s v="Y"/>
    <x v="1"/>
    <n v="72"/>
    <n v="36"/>
    <x v="1"/>
    <n v="3"/>
    <m/>
    <m/>
    <n v="5"/>
    <n v="10"/>
    <m/>
    <n v="4"/>
    <m/>
    <m/>
    <n v="6"/>
    <n v="33"/>
    <x v="3"/>
    <n v="18"/>
    <m/>
    <n v="47"/>
    <x v="1"/>
    <n v="4"/>
    <x v="0"/>
    <m/>
    <m/>
    <n v="22"/>
    <x v="2"/>
    <s v="20/06/2024"/>
    <d v="2024-06-20T00:00:00"/>
    <s v="2024040-72"/>
    <x v="3"/>
  </r>
  <r>
    <x v="615"/>
    <n v="2024040"/>
    <x v="40"/>
    <s v="Chickpea"/>
    <m/>
    <x v="3"/>
    <s v="N"/>
    <x v="1"/>
    <n v="73"/>
    <n v="37"/>
    <x v="1"/>
    <n v="3"/>
    <m/>
    <m/>
    <n v="5"/>
    <n v="9"/>
    <m/>
    <n v="3"/>
    <m/>
    <m/>
    <n v="1"/>
    <n v="34"/>
    <x v="0"/>
    <n v="19"/>
    <m/>
    <n v="19"/>
    <x v="0"/>
    <n v="3"/>
    <x v="0"/>
    <m/>
    <m/>
    <n v="22"/>
    <x v="2"/>
    <s v="20/06/2024"/>
    <d v="2024-06-20T00:00:00"/>
    <s v="2024040-73"/>
    <x v="3"/>
  </r>
  <r>
    <x v="615"/>
    <n v="2024040"/>
    <x v="40"/>
    <s v="Chickpea"/>
    <m/>
    <x v="3"/>
    <s v="N"/>
    <x v="2"/>
    <n v="74"/>
    <n v="37"/>
    <x v="1"/>
    <n v="3"/>
    <m/>
    <m/>
    <n v="5"/>
    <n v="9"/>
    <m/>
    <n v="3"/>
    <m/>
    <m/>
    <n v="2"/>
    <n v="34"/>
    <x v="1"/>
    <n v="19"/>
    <m/>
    <m/>
    <x v="0"/>
    <n v="3"/>
    <x v="0"/>
    <m/>
    <m/>
    <n v="22"/>
    <x v="2"/>
    <s v="20/06/2024"/>
    <d v="2024-06-20T00:00:00"/>
    <s v="2024040-74"/>
    <x v="3"/>
  </r>
  <r>
    <x v="614"/>
    <n v="2024040"/>
    <x v="40"/>
    <s v="Chickpea"/>
    <m/>
    <x v="8"/>
    <s v="Y"/>
    <x v="2"/>
    <n v="75"/>
    <n v="38"/>
    <x v="1"/>
    <n v="3"/>
    <m/>
    <m/>
    <n v="5"/>
    <n v="10"/>
    <m/>
    <n v="4"/>
    <m/>
    <m/>
    <n v="5"/>
    <n v="34"/>
    <x v="2"/>
    <n v="19"/>
    <m/>
    <m/>
    <x v="1"/>
    <n v="1"/>
    <x v="0"/>
    <m/>
    <m/>
    <n v="22"/>
    <x v="2"/>
    <s v="20/06/2024"/>
    <d v="2024-06-20T00:00:00"/>
    <s v="2024040-75"/>
    <x v="3"/>
  </r>
  <r>
    <x v="614"/>
    <n v="2024040"/>
    <x v="40"/>
    <s v="Chickpea"/>
    <m/>
    <x v="8"/>
    <s v="Y"/>
    <x v="1"/>
    <n v="76"/>
    <n v="38"/>
    <x v="1"/>
    <n v="3"/>
    <m/>
    <m/>
    <n v="5"/>
    <n v="10"/>
    <m/>
    <n v="4"/>
    <m/>
    <m/>
    <n v="6"/>
    <n v="34"/>
    <x v="3"/>
    <n v="19"/>
    <m/>
    <n v="46"/>
    <x v="1"/>
    <n v="1"/>
    <x v="0"/>
    <m/>
    <m/>
    <n v="22"/>
    <x v="2"/>
    <s v="20/06/2024"/>
    <d v="2024-06-20T00:00:00"/>
    <s v="2024040-76"/>
    <x v="3"/>
  </r>
  <r>
    <x v="613"/>
    <n v="2024040"/>
    <x v="40"/>
    <s v="Chickpea"/>
    <m/>
    <x v="4"/>
    <s v="Y"/>
    <x v="1"/>
    <n v="77"/>
    <n v="39"/>
    <x v="1"/>
    <n v="3"/>
    <m/>
    <m/>
    <n v="5"/>
    <n v="9"/>
    <m/>
    <n v="3"/>
    <m/>
    <m/>
    <n v="1"/>
    <n v="35"/>
    <x v="0"/>
    <n v="20"/>
    <m/>
    <n v="20"/>
    <x v="0"/>
    <n v="4"/>
    <x v="0"/>
    <m/>
    <m/>
    <n v="22"/>
    <x v="2"/>
    <s v="20/06/2024"/>
    <d v="2024-06-20T00:00:00"/>
    <s v="2024040-77"/>
    <x v="3"/>
  </r>
  <r>
    <x v="613"/>
    <n v="2024040"/>
    <x v="40"/>
    <s v="Chickpea"/>
    <m/>
    <x v="4"/>
    <s v="Y"/>
    <x v="2"/>
    <n v="78"/>
    <n v="39"/>
    <x v="1"/>
    <n v="3"/>
    <m/>
    <m/>
    <n v="5"/>
    <n v="9"/>
    <m/>
    <n v="3"/>
    <m/>
    <m/>
    <n v="2"/>
    <n v="35"/>
    <x v="1"/>
    <n v="20"/>
    <m/>
    <m/>
    <x v="0"/>
    <n v="4"/>
    <x v="0"/>
    <m/>
    <m/>
    <n v="22"/>
    <x v="2"/>
    <s v="20/06/2024"/>
    <d v="2024-06-20T00:00:00"/>
    <s v="2024040-78"/>
    <x v="3"/>
  </r>
  <r>
    <x v="610"/>
    <n v="2024040"/>
    <x v="40"/>
    <s v="Chickpea"/>
    <m/>
    <x v="9"/>
    <s v="N"/>
    <x v="2"/>
    <n v="79"/>
    <n v="40"/>
    <x v="1"/>
    <n v="3"/>
    <m/>
    <m/>
    <n v="5"/>
    <n v="10"/>
    <m/>
    <n v="4"/>
    <m/>
    <m/>
    <n v="5"/>
    <n v="35"/>
    <x v="2"/>
    <n v="20"/>
    <m/>
    <m/>
    <x v="1"/>
    <n v="2"/>
    <x v="0"/>
    <m/>
    <m/>
    <n v="22"/>
    <x v="2"/>
    <s v="20/06/2024"/>
    <d v="2024-06-20T00:00:00"/>
    <s v="2024040-79"/>
    <x v="3"/>
  </r>
  <r>
    <x v="610"/>
    <n v="2024040"/>
    <x v="40"/>
    <s v="Chickpea"/>
    <m/>
    <x v="9"/>
    <s v="N"/>
    <x v="1"/>
    <n v="80"/>
    <n v="40"/>
    <x v="1"/>
    <n v="3"/>
    <m/>
    <m/>
    <n v="5"/>
    <n v="10"/>
    <m/>
    <n v="4"/>
    <m/>
    <m/>
    <n v="6"/>
    <n v="35"/>
    <x v="3"/>
    <n v="20"/>
    <m/>
    <n v="45"/>
    <x v="1"/>
    <n v="2"/>
    <x v="0"/>
    <m/>
    <m/>
    <n v="22"/>
    <x v="2"/>
    <s v="20/06/2024"/>
    <d v="2024-06-20T00:00:00"/>
    <s v="2024040-80"/>
    <x v="3"/>
  </r>
  <r>
    <x v="621"/>
    <n v="2024040"/>
    <x v="40"/>
    <s v="Chickpea"/>
    <m/>
    <x v="3"/>
    <s v="N"/>
    <x v="1"/>
    <n v="81"/>
    <n v="41"/>
    <x v="1"/>
    <n v="3"/>
    <m/>
    <m/>
    <n v="6"/>
    <n v="11"/>
    <m/>
    <n v="3"/>
    <m/>
    <m/>
    <n v="1"/>
    <n v="40"/>
    <x v="0"/>
    <n v="21"/>
    <m/>
    <n v="21"/>
    <x v="0"/>
    <n v="3"/>
    <x v="0"/>
    <m/>
    <m/>
    <n v="22"/>
    <x v="1"/>
    <s v="22/05/2024"/>
    <d v="2024-05-22T00:00:00"/>
    <s v="2024040-81"/>
    <x v="3"/>
  </r>
  <r>
    <x v="621"/>
    <n v="2024040"/>
    <x v="40"/>
    <s v="Chickpea"/>
    <m/>
    <x v="3"/>
    <s v="N"/>
    <x v="2"/>
    <n v="82"/>
    <n v="41"/>
    <x v="1"/>
    <n v="3"/>
    <m/>
    <m/>
    <n v="6"/>
    <n v="11"/>
    <m/>
    <n v="3"/>
    <m/>
    <m/>
    <n v="2"/>
    <n v="40"/>
    <x v="1"/>
    <n v="21"/>
    <m/>
    <m/>
    <x v="0"/>
    <n v="3"/>
    <x v="0"/>
    <m/>
    <m/>
    <n v="22"/>
    <x v="1"/>
    <s v="22/05/2024"/>
    <d v="2024-05-22T00:00:00"/>
    <s v="2024040-82"/>
    <x v="3"/>
  </r>
  <r>
    <x v="622"/>
    <n v="2024040"/>
    <x v="40"/>
    <s v="Chickpea"/>
    <m/>
    <x v="4"/>
    <s v="Y"/>
    <x v="2"/>
    <n v="83"/>
    <n v="42"/>
    <x v="1"/>
    <n v="3"/>
    <m/>
    <m/>
    <n v="6"/>
    <n v="12"/>
    <m/>
    <n v="4"/>
    <m/>
    <m/>
    <n v="5"/>
    <n v="40"/>
    <x v="2"/>
    <n v="21"/>
    <m/>
    <m/>
    <x v="1"/>
    <n v="4"/>
    <x v="0"/>
    <m/>
    <m/>
    <n v="22"/>
    <x v="1"/>
    <s v="22/05/2024"/>
    <d v="2024-05-22T00:00:00"/>
    <s v="2024040-83"/>
    <x v="3"/>
  </r>
  <r>
    <x v="622"/>
    <n v="2024040"/>
    <x v="40"/>
    <s v="Chickpea"/>
    <m/>
    <x v="4"/>
    <s v="Y"/>
    <x v="1"/>
    <n v="84"/>
    <n v="42"/>
    <x v="1"/>
    <n v="3"/>
    <m/>
    <m/>
    <n v="6"/>
    <n v="12"/>
    <m/>
    <n v="4"/>
    <m/>
    <m/>
    <n v="6"/>
    <n v="40"/>
    <x v="3"/>
    <n v="21"/>
    <m/>
    <n v="44"/>
    <x v="1"/>
    <n v="4"/>
    <x v="0"/>
    <m/>
    <m/>
    <n v="22"/>
    <x v="1"/>
    <s v="22/05/2024"/>
    <d v="2024-05-22T00:00:00"/>
    <s v="2024040-84"/>
    <x v="3"/>
  </r>
  <r>
    <x v="623"/>
    <n v="2024040"/>
    <x v="40"/>
    <s v="Chickpea"/>
    <m/>
    <x v="8"/>
    <s v="Y"/>
    <x v="1"/>
    <n v="85"/>
    <n v="43"/>
    <x v="1"/>
    <n v="3"/>
    <m/>
    <m/>
    <n v="6"/>
    <n v="11"/>
    <m/>
    <n v="3"/>
    <m/>
    <m/>
    <n v="1"/>
    <n v="41"/>
    <x v="0"/>
    <n v="22"/>
    <m/>
    <n v="22"/>
    <x v="0"/>
    <n v="1"/>
    <x v="0"/>
    <m/>
    <m/>
    <n v="22"/>
    <x v="1"/>
    <s v="22/05/2024"/>
    <d v="2024-05-22T00:00:00"/>
    <s v="2024040-85"/>
    <x v="3"/>
  </r>
  <r>
    <x v="623"/>
    <n v="2024040"/>
    <x v="40"/>
    <s v="Chickpea"/>
    <m/>
    <x v="8"/>
    <s v="Y"/>
    <x v="2"/>
    <n v="86"/>
    <n v="43"/>
    <x v="1"/>
    <n v="3"/>
    <m/>
    <m/>
    <n v="6"/>
    <n v="11"/>
    <m/>
    <n v="3"/>
    <m/>
    <m/>
    <n v="2"/>
    <n v="41"/>
    <x v="1"/>
    <n v="22"/>
    <m/>
    <m/>
    <x v="0"/>
    <n v="1"/>
    <x v="0"/>
    <m/>
    <m/>
    <n v="22"/>
    <x v="1"/>
    <s v="22/05/2024"/>
    <d v="2024-05-22T00:00:00"/>
    <s v="2024040-86"/>
    <x v="3"/>
  </r>
  <r>
    <x v="620"/>
    <n v="2024040"/>
    <x v="40"/>
    <s v="Chickpea"/>
    <m/>
    <x v="9"/>
    <s v="N"/>
    <x v="2"/>
    <n v="87"/>
    <n v="44"/>
    <x v="1"/>
    <n v="3"/>
    <m/>
    <m/>
    <n v="6"/>
    <n v="12"/>
    <m/>
    <n v="4"/>
    <m/>
    <m/>
    <n v="5"/>
    <n v="41"/>
    <x v="2"/>
    <n v="22"/>
    <m/>
    <m/>
    <x v="1"/>
    <n v="2"/>
    <x v="0"/>
    <m/>
    <m/>
    <n v="22"/>
    <x v="1"/>
    <s v="22/05/2024"/>
    <d v="2024-05-22T00:00:00"/>
    <s v="2024040-87"/>
    <x v="3"/>
  </r>
  <r>
    <x v="620"/>
    <n v="2024040"/>
    <x v="40"/>
    <s v="Chickpea"/>
    <m/>
    <x v="9"/>
    <s v="N"/>
    <x v="1"/>
    <n v="88"/>
    <n v="44"/>
    <x v="1"/>
    <n v="3"/>
    <m/>
    <m/>
    <n v="6"/>
    <n v="12"/>
    <m/>
    <n v="4"/>
    <m/>
    <m/>
    <n v="6"/>
    <n v="41"/>
    <x v="3"/>
    <n v="22"/>
    <m/>
    <n v="43"/>
    <x v="1"/>
    <n v="2"/>
    <x v="0"/>
    <m/>
    <m/>
    <n v="22"/>
    <x v="1"/>
    <s v="22/05/2024"/>
    <d v="2024-05-22T00:00:00"/>
    <s v="2024040-88"/>
    <x v="3"/>
  </r>
  <r>
    <x v="617"/>
    <n v="2024040"/>
    <x v="40"/>
    <s v="Chickpea"/>
    <m/>
    <x v="9"/>
    <s v="N"/>
    <x v="1"/>
    <n v="89"/>
    <n v="45"/>
    <x v="1"/>
    <n v="3"/>
    <m/>
    <m/>
    <n v="6"/>
    <n v="11"/>
    <m/>
    <n v="3"/>
    <m/>
    <m/>
    <n v="1"/>
    <n v="42"/>
    <x v="0"/>
    <n v="23"/>
    <m/>
    <n v="23"/>
    <x v="0"/>
    <n v="2"/>
    <x v="0"/>
    <m/>
    <m/>
    <n v="22"/>
    <x v="1"/>
    <s v="22/05/2024"/>
    <d v="2024-05-22T00:00:00"/>
    <s v="2024040-89"/>
    <x v="3"/>
  </r>
  <r>
    <x v="617"/>
    <n v="2024040"/>
    <x v="40"/>
    <s v="Chickpea"/>
    <m/>
    <x v="9"/>
    <s v="N"/>
    <x v="2"/>
    <n v="90"/>
    <n v="45"/>
    <x v="1"/>
    <n v="3"/>
    <m/>
    <m/>
    <n v="6"/>
    <n v="11"/>
    <m/>
    <n v="3"/>
    <m/>
    <m/>
    <n v="2"/>
    <n v="42"/>
    <x v="1"/>
    <n v="23"/>
    <m/>
    <m/>
    <x v="0"/>
    <n v="2"/>
    <x v="0"/>
    <m/>
    <m/>
    <n v="22"/>
    <x v="1"/>
    <s v="22/05/2024"/>
    <d v="2024-05-22T00:00:00"/>
    <s v="2024040-90"/>
    <x v="3"/>
  </r>
  <r>
    <x v="616"/>
    <n v="2024040"/>
    <x v="40"/>
    <s v="Chickpea"/>
    <m/>
    <x v="3"/>
    <s v="N"/>
    <x v="2"/>
    <n v="91"/>
    <n v="46"/>
    <x v="1"/>
    <n v="3"/>
    <m/>
    <m/>
    <n v="6"/>
    <n v="12"/>
    <m/>
    <n v="4"/>
    <m/>
    <m/>
    <n v="5"/>
    <n v="42"/>
    <x v="2"/>
    <n v="23"/>
    <m/>
    <m/>
    <x v="1"/>
    <n v="3"/>
    <x v="0"/>
    <m/>
    <m/>
    <n v="22"/>
    <x v="1"/>
    <s v="22/05/2024"/>
    <d v="2024-05-22T00:00:00"/>
    <s v="2024040-91"/>
    <x v="3"/>
  </r>
  <r>
    <x v="616"/>
    <n v="2024040"/>
    <x v="40"/>
    <s v="Chickpea"/>
    <m/>
    <x v="3"/>
    <s v="N"/>
    <x v="1"/>
    <n v="92"/>
    <n v="46"/>
    <x v="1"/>
    <n v="3"/>
    <m/>
    <m/>
    <n v="6"/>
    <n v="12"/>
    <m/>
    <n v="4"/>
    <m/>
    <m/>
    <n v="6"/>
    <n v="42"/>
    <x v="3"/>
    <n v="23"/>
    <m/>
    <n v="42"/>
    <x v="1"/>
    <n v="3"/>
    <x v="0"/>
    <m/>
    <m/>
    <n v="22"/>
    <x v="1"/>
    <s v="22/05/2024"/>
    <d v="2024-05-22T00:00:00"/>
    <s v="2024040-92"/>
    <x v="3"/>
  </r>
  <r>
    <x v="619"/>
    <n v="2024040"/>
    <x v="40"/>
    <s v="Chickpea"/>
    <m/>
    <x v="4"/>
    <s v="Y"/>
    <x v="1"/>
    <n v="93"/>
    <n v="47"/>
    <x v="1"/>
    <n v="3"/>
    <m/>
    <m/>
    <n v="6"/>
    <n v="11"/>
    <m/>
    <n v="3"/>
    <m/>
    <m/>
    <n v="1"/>
    <n v="43"/>
    <x v="0"/>
    <n v="24"/>
    <m/>
    <n v="24"/>
    <x v="0"/>
    <n v="4"/>
    <x v="0"/>
    <m/>
    <m/>
    <n v="22"/>
    <x v="1"/>
    <s v="22/05/2024"/>
    <d v="2024-05-22T00:00:00"/>
    <s v="2024040-93"/>
    <x v="3"/>
  </r>
  <r>
    <x v="619"/>
    <n v="2024040"/>
    <x v="40"/>
    <s v="Chickpea"/>
    <m/>
    <x v="4"/>
    <s v="Y"/>
    <x v="2"/>
    <n v="94"/>
    <n v="47"/>
    <x v="1"/>
    <n v="3"/>
    <m/>
    <m/>
    <n v="6"/>
    <n v="11"/>
    <m/>
    <n v="3"/>
    <m/>
    <m/>
    <n v="2"/>
    <n v="43"/>
    <x v="1"/>
    <n v="24"/>
    <m/>
    <m/>
    <x v="0"/>
    <n v="4"/>
    <x v="0"/>
    <m/>
    <m/>
    <n v="22"/>
    <x v="1"/>
    <s v="22/05/2024"/>
    <d v="2024-05-22T00:00:00"/>
    <s v="2024040-94"/>
    <x v="3"/>
  </r>
  <r>
    <x v="618"/>
    <n v="2024040"/>
    <x v="40"/>
    <s v="Chickpea"/>
    <m/>
    <x v="8"/>
    <s v="Y"/>
    <x v="2"/>
    <n v="95"/>
    <n v="48"/>
    <x v="1"/>
    <n v="3"/>
    <m/>
    <m/>
    <n v="6"/>
    <n v="12"/>
    <m/>
    <n v="4"/>
    <m/>
    <m/>
    <n v="5"/>
    <n v="43"/>
    <x v="2"/>
    <n v="24"/>
    <m/>
    <m/>
    <x v="1"/>
    <n v="1"/>
    <x v="0"/>
    <m/>
    <m/>
    <n v="22"/>
    <x v="1"/>
    <s v="22/05/2024"/>
    <d v="2024-05-22T00:00:00"/>
    <s v="2024040-95"/>
    <x v="3"/>
  </r>
  <r>
    <x v="618"/>
    <n v="2024040"/>
    <x v="40"/>
    <s v="Chickpea"/>
    <m/>
    <x v="8"/>
    <s v="Y"/>
    <x v="1"/>
    <n v="96"/>
    <n v="48"/>
    <x v="1"/>
    <n v="3"/>
    <m/>
    <m/>
    <n v="6"/>
    <n v="12"/>
    <m/>
    <n v="4"/>
    <m/>
    <m/>
    <n v="6"/>
    <n v="43"/>
    <x v="3"/>
    <n v="24"/>
    <m/>
    <n v="41"/>
    <x v="1"/>
    <n v="1"/>
    <x v="0"/>
    <m/>
    <m/>
    <n v="22"/>
    <x v="1"/>
    <s v="22/05/2024"/>
    <d v="2024-05-22T00:00:00"/>
    <s v="2024040-96"/>
    <x v="3"/>
  </r>
  <r>
    <x v="623"/>
    <n v="2024040"/>
    <x v="40"/>
    <s v="Chickpea"/>
    <m/>
    <x v="8"/>
    <s v="Y"/>
    <x v="1"/>
    <n v="97"/>
    <n v="49"/>
    <x v="1"/>
    <n v="4"/>
    <m/>
    <m/>
    <n v="7"/>
    <n v="13"/>
    <m/>
    <n v="3"/>
    <m/>
    <m/>
    <n v="1"/>
    <n v="44"/>
    <x v="0"/>
    <n v="25"/>
    <m/>
    <n v="25"/>
    <x v="0"/>
    <n v="1"/>
    <x v="0"/>
    <m/>
    <m/>
    <n v="22"/>
    <x v="1"/>
    <s v="22/05/2024"/>
    <d v="2024-05-22T00:00:00"/>
    <s v="2024040-97"/>
    <x v="3"/>
  </r>
  <r>
    <x v="623"/>
    <n v="2024040"/>
    <x v="40"/>
    <s v="Chickpea"/>
    <m/>
    <x v="8"/>
    <s v="Y"/>
    <x v="2"/>
    <n v="98"/>
    <n v="49"/>
    <x v="1"/>
    <n v="4"/>
    <m/>
    <m/>
    <n v="7"/>
    <n v="13"/>
    <m/>
    <n v="3"/>
    <m/>
    <m/>
    <n v="2"/>
    <n v="44"/>
    <x v="1"/>
    <n v="25"/>
    <m/>
    <m/>
    <x v="0"/>
    <n v="1"/>
    <x v="0"/>
    <m/>
    <m/>
    <n v="22"/>
    <x v="1"/>
    <s v="22/05/2024"/>
    <d v="2024-05-22T00:00:00"/>
    <s v="2024040-98"/>
    <x v="3"/>
  </r>
  <r>
    <x v="616"/>
    <n v="2024040"/>
    <x v="40"/>
    <s v="Chickpea"/>
    <m/>
    <x v="3"/>
    <s v="N"/>
    <x v="2"/>
    <n v="99"/>
    <n v="50"/>
    <x v="1"/>
    <n v="4"/>
    <m/>
    <m/>
    <n v="7"/>
    <n v="14"/>
    <m/>
    <n v="4"/>
    <m/>
    <m/>
    <n v="5"/>
    <n v="44"/>
    <x v="2"/>
    <n v="25"/>
    <m/>
    <m/>
    <x v="1"/>
    <n v="3"/>
    <x v="0"/>
    <m/>
    <m/>
    <n v="22"/>
    <x v="1"/>
    <s v="22/05/2024"/>
    <d v="2024-05-22T00:00:00"/>
    <s v="2024040-99"/>
    <x v="3"/>
  </r>
  <r>
    <x v="616"/>
    <n v="2024040"/>
    <x v="40"/>
    <s v="Chickpea"/>
    <m/>
    <x v="3"/>
    <s v="N"/>
    <x v="1"/>
    <n v="100"/>
    <n v="50"/>
    <x v="1"/>
    <n v="4"/>
    <m/>
    <m/>
    <n v="7"/>
    <n v="14"/>
    <m/>
    <n v="4"/>
    <m/>
    <m/>
    <n v="6"/>
    <n v="44"/>
    <x v="3"/>
    <n v="25"/>
    <m/>
    <n v="40"/>
    <x v="1"/>
    <n v="3"/>
    <x v="0"/>
    <m/>
    <m/>
    <n v="22"/>
    <x v="1"/>
    <s v="22/05/2024"/>
    <d v="2024-05-22T00:00:00"/>
    <s v="2024040-100"/>
    <x v="3"/>
  </r>
  <r>
    <x v="619"/>
    <n v="2024040"/>
    <x v="40"/>
    <s v="Chickpea"/>
    <m/>
    <x v="4"/>
    <s v="Y"/>
    <x v="1"/>
    <n v="101"/>
    <n v="51"/>
    <x v="1"/>
    <n v="4"/>
    <m/>
    <m/>
    <n v="7"/>
    <n v="13"/>
    <m/>
    <n v="3"/>
    <m/>
    <m/>
    <n v="1"/>
    <n v="45"/>
    <x v="0"/>
    <n v="26"/>
    <m/>
    <n v="26"/>
    <x v="0"/>
    <n v="4"/>
    <x v="0"/>
    <m/>
    <m/>
    <n v="22"/>
    <x v="1"/>
    <s v="22/05/2024"/>
    <d v="2024-05-22T00:00:00"/>
    <s v="2024040-101"/>
    <x v="3"/>
  </r>
  <r>
    <x v="619"/>
    <n v="2024040"/>
    <x v="40"/>
    <s v="Chickpea"/>
    <m/>
    <x v="4"/>
    <s v="Y"/>
    <x v="2"/>
    <n v="102"/>
    <n v="51"/>
    <x v="1"/>
    <n v="4"/>
    <m/>
    <m/>
    <n v="7"/>
    <n v="13"/>
    <m/>
    <n v="3"/>
    <m/>
    <m/>
    <n v="2"/>
    <n v="45"/>
    <x v="1"/>
    <n v="26"/>
    <m/>
    <m/>
    <x v="0"/>
    <n v="4"/>
    <x v="0"/>
    <m/>
    <m/>
    <n v="22"/>
    <x v="1"/>
    <s v="22/05/2024"/>
    <d v="2024-05-22T00:00:00"/>
    <s v="2024040-102"/>
    <x v="3"/>
  </r>
  <r>
    <x v="620"/>
    <n v="2024040"/>
    <x v="40"/>
    <s v="Chickpea"/>
    <m/>
    <x v="9"/>
    <s v="N"/>
    <x v="2"/>
    <n v="103"/>
    <n v="52"/>
    <x v="1"/>
    <n v="4"/>
    <m/>
    <m/>
    <n v="7"/>
    <n v="14"/>
    <m/>
    <n v="4"/>
    <m/>
    <m/>
    <n v="5"/>
    <n v="45"/>
    <x v="2"/>
    <n v="26"/>
    <m/>
    <m/>
    <x v="1"/>
    <n v="2"/>
    <x v="0"/>
    <m/>
    <m/>
    <n v="22"/>
    <x v="1"/>
    <s v="22/05/2024"/>
    <d v="2024-05-22T00:00:00"/>
    <s v="2024040-103"/>
    <x v="3"/>
  </r>
  <r>
    <x v="620"/>
    <n v="2024040"/>
    <x v="40"/>
    <s v="Chickpea"/>
    <m/>
    <x v="9"/>
    <s v="N"/>
    <x v="1"/>
    <n v="104"/>
    <n v="52"/>
    <x v="1"/>
    <n v="4"/>
    <m/>
    <m/>
    <n v="7"/>
    <n v="14"/>
    <m/>
    <n v="4"/>
    <m/>
    <m/>
    <n v="6"/>
    <n v="45"/>
    <x v="3"/>
    <n v="26"/>
    <m/>
    <n v="39"/>
    <x v="1"/>
    <n v="2"/>
    <x v="0"/>
    <m/>
    <m/>
    <n v="22"/>
    <x v="1"/>
    <s v="22/05/2024"/>
    <d v="2024-05-22T00:00:00"/>
    <s v="2024040-104"/>
    <x v="3"/>
  </r>
  <r>
    <x v="617"/>
    <n v="2024040"/>
    <x v="40"/>
    <s v="Chickpea"/>
    <m/>
    <x v="9"/>
    <s v="N"/>
    <x v="1"/>
    <n v="105"/>
    <n v="53"/>
    <x v="1"/>
    <n v="4"/>
    <m/>
    <m/>
    <n v="7"/>
    <n v="13"/>
    <m/>
    <n v="3"/>
    <m/>
    <m/>
    <n v="1"/>
    <n v="46"/>
    <x v="0"/>
    <n v="27"/>
    <m/>
    <n v="27"/>
    <x v="0"/>
    <n v="2"/>
    <x v="0"/>
    <m/>
    <m/>
    <n v="22"/>
    <x v="1"/>
    <s v="22/05/2024"/>
    <d v="2024-05-22T00:00:00"/>
    <s v="2024040-105"/>
    <x v="3"/>
  </r>
  <r>
    <x v="617"/>
    <n v="2024040"/>
    <x v="40"/>
    <s v="Chickpea"/>
    <m/>
    <x v="9"/>
    <s v="N"/>
    <x v="2"/>
    <n v="106"/>
    <n v="53"/>
    <x v="1"/>
    <n v="4"/>
    <m/>
    <m/>
    <n v="7"/>
    <n v="13"/>
    <m/>
    <n v="3"/>
    <m/>
    <m/>
    <n v="2"/>
    <n v="46"/>
    <x v="1"/>
    <n v="27"/>
    <m/>
    <m/>
    <x v="0"/>
    <n v="2"/>
    <x v="0"/>
    <m/>
    <m/>
    <n v="22"/>
    <x v="1"/>
    <s v="22/05/2024"/>
    <d v="2024-05-22T00:00:00"/>
    <s v="2024040-106"/>
    <x v="3"/>
  </r>
  <r>
    <x v="622"/>
    <n v="2024040"/>
    <x v="40"/>
    <s v="Chickpea"/>
    <m/>
    <x v="4"/>
    <s v="Y"/>
    <x v="2"/>
    <n v="107"/>
    <n v="54"/>
    <x v="1"/>
    <n v="4"/>
    <m/>
    <m/>
    <n v="7"/>
    <n v="14"/>
    <m/>
    <n v="4"/>
    <m/>
    <m/>
    <n v="5"/>
    <n v="46"/>
    <x v="2"/>
    <n v="27"/>
    <m/>
    <m/>
    <x v="1"/>
    <n v="4"/>
    <x v="0"/>
    <m/>
    <m/>
    <n v="22"/>
    <x v="1"/>
    <s v="22/05/2024"/>
    <d v="2024-05-22T00:00:00"/>
    <s v="2024040-107"/>
    <x v="3"/>
  </r>
  <r>
    <x v="622"/>
    <n v="2024040"/>
    <x v="40"/>
    <s v="Chickpea"/>
    <m/>
    <x v="4"/>
    <s v="Y"/>
    <x v="1"/>
    <n v="108"/>
    <n v="54"/>
    <x v="1"/>
    <n v="4"/>
    <m/>
    <m/>
    <n v="7"/>
    <n v="14"/>
    <m/>
    <n v="4"/>
    <m/>
    <m/>
    <n v="6"/>
    <n v="46"/>
    <x v="3"/>
    <n v="27"/>
    <m/>
    <n v="38"/>
    <x v="1"/>
    <n v="4"/>
    <x v="0"/>
    <m/>
    <m/>
    <n v="22"/>
    <x v="1"/>
    <s v="22/05/2024"/>
    <d v="2024-05-22T00:00:00"/>
    <s v="2024040-108"/>
    <x v="3"/>
  </r>
  <r>
    <x v="621"/>
    <n v="2024040"/>
    <x v="40"/>
    <s v="Chickpea"/>
    <m/>
    <x v="3"/>
    <s v="N"/>
    <x v="1"/>
    <n v="109"/>
    <n v="55"/>
    <x v="1"/>
    <n v="4"/>
    <m/>
    <m/>
    <n v="7"/>
    <n v="13"/>
    <m/>
    <n v="3"/>
    <m/>
    <m/>
    <n v="1"/>
    <n v="47"/>
    <x v="0"/>
    <n v="28"/>
    <m/>
    <n v="28"/>
    <x v="0"/>
    <n v="3"/>
    <x v="0"/>
    <m/>
    <m/>
    <n v="22"/>
    <x v="1"/>
    <s v="22/05/2024"/>
    <d v="2024-05-22T00:00:00"/>
    <s v="2024040-109"/>
    <x v="3"/>
  </r>
  <r>
    <x v="621"/>
    <n v="2024040"/>
    <x v="40"/>
    <s v="Chickpea"/>
    <m/>
    <x v="3"/>
    <s v="N"/>
    <x v="2"/>
    <n v="110"/>
    <n v="55"/>
    <x v="1"/>
    <n v="4"/>
    <m/>
    <m/>
    <n v="7"/>
    <n v="13"/>
    <m/>
    <n v="3"/>
    <m/>
    <m/>
    <n v="2"/>
    <n v="47"/>
    <x v="1"/>
    <n v="28"/>
    <m/>
    <m/>
    <x v="0"/>
    <n v="3"/>
    <x v="0"/>
    <m/>
    <m/>
    <n v="22"/>
    <x v="1"/>
    <s v="22/05/2024"/>
    <d v="2024-05-22T00:00:00"/>
    <s v="2024040-110"/>
    <x v="3"/>
  </r>
  <r>
    <x v="618"/>
    <n v="2024040"/>
    <x v="40"/>
    <s v="Chickpea"/>
    <m/>
    <x v="8"/>
    <s v="Y"/>
    <x v="2"/>
    <n v="111"/>
    <n v="56"/>
    <x v="1"/>
    <n v="4"/>
    <m/>
    <m/>
    <n v="7"/>
    <n v="14"/>
    <m/>
    <n v="4"/>
    <m/>
    <m/>
    <n v="5"/>
    <n v="47"/>
    <x v="2"/>
    <n v="28"/>
    <m/>
    <m/>
    <x v="1"/>
    <n v="1"/>
    <x v="0"/>
    <m/>
    <m/>
    <n v="22"/>
    <x v="1"/>
    <s v="22/05/2024"/>
    <d v="2024-05-22T00:00:00"/>
    <s v="2024040-111"/>
    <x v="3"/>
  </r>
  <r>
    <x v="618"/>
    <n v="2024040"/>
    <x v="40"/>
    <s v="Chickpea"/>
    <m/>
    <x v="8"/>
    <s v="Y"/>
    <x v="1"/>
    <n v="112"/>
    <n v="56"/>
    <x v="1"/>
    <n v="4"/>
    <m/>
    <m/>
    <n v="7"/>
    <n v="14"/>
    <m/>
    <n v="4"/>
    <m/>
    <m/>
    <n v="6"/>
    <n v="47"/>
    <x v="3"/>
    <n v="28"/>
    <m/>
    <n v="37"/>
    <x v="1"/>
    <n v="1"/>
    <x v="0"/>
    <m/>
    <m/>
    <n v="22"/>
    <x v="1"/>
    <s v="22/05/2024"/>
    <d v="2024-05-22T00:00:00"/>
    <s v="2024040-112"/>
    <x v="3"/>
  </r>
  <r>
    <x v="615"/>
    <n v="2024040"/>
    <x v="40"/>
    <s v="Chickpea"/>
    <m/>
    <x v="3"/>
    <s v="N"/>
    <x v="1"/>
    <n v="113"/>
    <n v="59"/>
    <x v="1"/>
    <n v="4"/>
    <m/>
    <m/>
    <n v="8"/>
    <n v="15"/>
    <m/>
    <n v="3"/>
    <m/>
    <m/>
    <n v="1"/>
    <n v="52"/>
    <x v="0"/>
    <n v="29"/>
    <m/>
    <n v="29"/>
    <x v="0"/>
    <n v="3"/>
    <x v="0"/>
    <m/>
    <m/>
    <n v="22"/>
    <x v="2"/>
    <s v="20/06/2024"/>
    <d v="2024-06-20T00:00:00"/>
    <s v="2024040-113"/>
    <x v="3"/>
  </r>
  <r>
    <x v="611"/>
    <n v="2024040"/>
    <x v="40"/>
    <s v="Chickpea"/>
    <m/>
    <x v="8"/>
    <s v="Y"/>
    <x v="2"/>
    <n v="114"/>
    <n v="57"/>
    <x v="1"/>
    <n v="4"/>
    <m/>
    <m/>
    <n v="8"/>
    <n v="15"/>
    <m/>
    <n v="3"/>
    <m/>
    <m/>
    <n v="2"/>
    <n v="52"/>
    <x v="1"/>
    <n v="29"/>
    <m/>
    <m/>
    <x v="0"/>
    <n v="1"/>
    <x v="0"/>
    <m/>
    <m/>
    <n v="22"/>
    <x v="2"/>
    <s v="20/06/2024"/>
    <d v="2024-06-20T00:00:00"/>
    <s v="2024040-114"/>
    <x v="3"/>
  </r>
  <r>
    <x v="608"/>
    <n v="2024040"/>
    <x v="40"/>
    <s v="Chickpea"/>
    <m/>
    <x v="4"/>
    <s v="Y"/>
    <x v="2"/>
    <n v="115"/>
    <n v="58"/>
    <x v="1"/>
    <n v="4"/>
    <m/>
    <m/>
    <n v="8"/>
    <n v="16"/>
    <m/>
    <n v="4"/>
    <m/>
    <m/>
    <n v="5"/>
    <n v="52"/>
    <x v="2"/>
    <n v="29"/>
    <m/>
    <m/>
    <x v="1"/>
    <n v="4"/>
    <x v="0"/>
    <m/>
    <m/>
    <n v="22"/>
    <x v="2"/>
    <s v="20/06/2024"/>
    <d v="2024-06-20T00:00:00"/>
    <s v="2024040-115"/>
    <x v="3"/>
  </r>
  <r>
    <x v="608"/>
    <n v="2024040"/>
    <x v="40"/>
    <s v="Chickpea"/>
    <m/>
    <x v="4"/>
    <s v="Y"/>
    <x v="1"/>
    <n v="116"/>
    <n v="58"/>
    <x v="1"/>
    <n v="4"/>
    <m/>
    <m/>
    <n v="8"/>
    <n v="16"/>
    <m/>
    <n v="4"/>
    <m/>
    <m/>
    <n v="6"/>
    <n v="52"/>
    <x v="3"/>
    <n v="29"/>
    <m/>
    <n v="36"/>
    <x v="1"/>
    <n v="4"/>
    <x v="0"/>
    <m/>
    <m/>
    <n v="22"/>
    <x v="2"/>
    <s v="20/06/2024"/>
    <d v="2024-06-20T00:00:00"/>
    <s v="2024040-116"/>
    <x v="3"/>
  </r>
  <r>
    <x v="611"/>
    <n v="2024040"/>
    <x v="40"/>
    <s v="Chickpea"/>
    <m/>
    <x v="8"/>
    <s v="Y"/>
    <x v="1"/>
    <n v="117"/>
    <n v="57"/>
    <x v="1"/>
    <n v="4"/>
    <m/>
    <m/>
    <n v="8"/>
    <n v="15"/>
    <m/>
    <n v="3"/>
    <m/>
    <m/>
    <n v="1"/>
    <n v="53"/>
    <x v="0"/>
    <n v="30"/>
    <m/>
    <n v="30"/>
    <x v="0"/>
    <n v="1"/>
    <x v="0"/>
    <m/>
    <m/>
    <n v="22"/>
    <x v="2"/>
    <s v="20/06/2024"/>
    <d v="2024-06-20T00:00:00"/>
    <s v="2024040-117"/>
    <x v="3"/>
  </r>
  <r>
    <x v="615"/>
    <n v="2024040"/>
    <x v="40"/>
    <s v="Chickpea"/>
    <m/>
    <x v="3"/>
    <s v="N"/>
    <x v="2"/>
    <n v="118"/>
    <n v="59"/>
    <x v="1"/>
    <n v="4"/>
    <m/>
    <m/>
    <n v="8"/>
    <n v="15"/>
    <m/>
    <n v="3"/>
    <m/>
    <m/>
    <n v="2"/>
    <n v="53"/>
    <x v="1"/>
    <n v="30"/>
    <m/>
    <m/>
    <x v="0"/>
    <n v="3"/>
    <x v="0"/>
    <m/>
    <m/>
    <n v="22"/>
    <x v="2"/>
    <s v="20/06/2024"/>
    <d v="2024-06-20T00:00:00"/>
    <s v="2024040-118"/>
    <x v="3"/>
  </r>
  <r>
    <x v="614"/>
    <n v="2024040"/>
    <x v="40"/>
    <s v="Chickpea"/>
    <m/>
    <x v="8"/>
    <s v="Y"/>
    <x v="2"/>
    <n v="119"/>
    <n v="60"/>
    <x v="1"/>
    <n v="4"/>
    <m/>
    <m/>
    <n v="8"/>
    <n v="16"/>
    <m/>
    <n v="4"/>
    <m/>
    <m/>
    <n v="5"/>
    <n v="53"/>
    <x v="2"/>
    <n v="30"/>
    <m/>
    <m/>
    <x v="1"/>
    <n v="1"/>
    <x v="0"/>
    <m/>
    <m/>
    <n v="22"/>
    <x v="2"/>
    <s v="20/06/2024"/>
    <d v="2024-06-20T00:00:00"/>
    <s v="2024040-119"/>
    <x v="3"/>
  </r>
  <r>
    <x v="614"/>
    <n v="2024040"/>
    <x v="40"/>
    <s v="Chickpea"/>
    <m/>
    <x v="8"/>
    <s v="Y"/>
    <x v="1"/>
    <n v="120"/>
    <n v="60"/>
    <x v="1"/>
    <n v="4"/>
    <m/>
    <m/>
    <n v="8"/>
    <n v="16"/>
    <m/>
    <n v="4"/>
    <m/>
    <m/>
    <n v="6"/>
    <n v="53"/>
    <x v="3"/>
    <n v="30"/>
    <m/>
    <n v="35"/>
    <x v="1"/>
    <n v="1"/>
    <x v="0"/>
    <m/>
    <m/>
    <n v="22"/>
    <x v="2"/>
    <s v="20/06/2024"/>
    <d v="2024-06-20T00:00:00"/>
    <s v="2024040-120"/>
    <x v="3"/>
  </r>
  <r>
    <x v="609"/>
    <n v="2024040"/>
    <x v="40"/>
    <s v="Chickpea"/>
    <m/>
    <x v="9"/>
    <s v="N"/>
    <x v="1"/>
    <n v="121"/>
    <n v="61"/>
    <x v="1"/>
    <n v="4"/>
    <m/>
    <m/>
    <n v="8"/>
    <n v="15"/>
    <m/>
    <n v="3"/>
    <m/>
    <m/>
    <n v="1"/>
    <n v="54"/>
    <x v="0"/>
    <n v="31"/>
    <m/>
    <n v="31"/>
    <x v="0"/>
    <n v="2"/>
    <x v="0"/>
    <m/>
    <m/>
    <n v="22"/>
    <x v="2"/>
    <s v="20/06/2024"/>
    <d v="2024-06-20T00:00:00"/>
    <s v="2024040-121"/>
    <x v="3"/>
  </r>
  <r>
    <x v="609"/>
    <n v="2024040"/>
    <x v="40"/>
    <s v="Chickpea"/>
    <m/>
    <x v="9"/>
    <s v="N"/>
    <x v="2"/>
    <n v="122"/>
    <n v="61"/>
    <x v="1"/>
    <n v="4"/>
    <m/>
    <m/>
    <n v="8"/>
    <n v="15"/>
    <m/>
    <n v="3"/>
    <m/>
    <m/>
    <n v="2"/>
    <n v="54"/>
    <x v="1"/>
    <n v="31"/>
    <m/>
    <m/>
    <x v="0"/>
    <n v="2"/>
    <x v="0"/>
    <m/>
    <m/>
    <n v="22"/>
    <x v="2"/>
    <s v="20/06/2024"/>
    <d v="2024-06-20T00:00:00"/>
    <s v="2024040-122"/>
    <x v="3"/>
  </r>
  <r>
    <x v="612"/>
    <n v="2024040"/>
    <x v="40"/>
    <s v="Chickpea"/>
    <m/>
    <x v="3"/>
    <s v="N"/>
    <x v="2"/>
    <n v="123"/>
    <n v="62"/>
    <x v="1"/>
    <n v="4"/>
    <m/>
    <m/>
    <n v="8"/>
    <n v="16"/>
    <m/>
    <n v="4"/>
    <m/>
    <m/>
    <n v="5"/>
    <n v="54"/>
    <x v="2"/>
    <n v="31"/>
    <m/>
    <m/>
    <x v="1"/>
    <n v="3"/>
    <x v="0"/>
    <m/>
    <m/>
    <n v="22"/>
    <x v="2"/>
    <s v="20/06/2024"/>
    <d v="2024-06-20T00:00:00"/>
    <s v="2024040-123"/>
    <x v="3"/>
  </r>
  <r>
    <x v="612"/>
    <n v="2024040"/>
    <x v="40"/>
    <s v="Chickpea"/>
    <m/>
    <x v="3"/>
    <s v="N"/>
    <x v="1"/>
    <n v="124"/>
    <n v="62"/>
    <x v="1"/>
    <n v="4"/>
    <m/>
    <m/>
    <n v="8"/>
    <n v="16"/>
    <m/>
    <n v="4"/>
    <m/>
    <m/>
    <n v="6"/>
    <n v="54"/>
    <x v="3"/>
    <n v="31"/>
    <m/>
    <n v="34"/>
    <x v="1"/>
    <n v="3"/>
    <x v="0"/>
    <m/>
    <m/>
    <n v="22"/>
    <x v="2"/>
    <s v="20/06/2024"/>
    <d v="2024-06-20T00:00:00"/>
    <s v="2024040-124"/>
    <x v="3"/>
  </r>
  <r>
    <x v="613"/>
    <n v="2024040"/>
    <x v="40"/>
    <s v="Chickpea"/>
    <m/>
    <x v="4"/>
    <s v="Y"/>
    <x v="1"/>
    <n v="125"/>
    <n v="63"/>
    <x v="1"/>
    <n v="4"/>
    <m/>
    <m/>
    <n v="8"/>
    <n v="15"/>
    <m/>
    <n v="3"/>
    <m/>
    <m/>
    <n v="1"/>
    <n v="55"/>
    <x v="0"/>
    <n v="32"/>
    <m/>
    <n v="32"/>
    <x v="0"/>
    <n v="4"/>
    <x v="0"/>
    <m/>
    <m/>
    <n v="22"/>
    <x v="2"/>
    <s v="20/06/2024"/>
    <d v="2024-06-20T00:00:00"/>
    <s v="2024040-125"/>
    <x v="3"/>
  </r>
  <r>
    <x v="613"/>
    <n v="2024040"/>
    <x v="40"/>
    <s v="Chickpea"/>
    <m/>
    <x v="4"/>
    <s v="Y"/>
    <x v="2"/>
    <n v="126"/>
    <n v="63"/>
    <x v="1"/>
    <n v="4"/>
    <m/>
    <m/>
    <n v="8"/>
    <n v="15"/>
    <m/>
    <n v="3"/>
    <m/>
    <m/>
    <n v="2"/>
    <n v="55"/>
    <x v="1"/>
    <n v="32"/>
    <m/>
    <m/>
    <x v="0"/>
    <n v="4"/>
    <x v="0"/>
    <m/>
    <m/>
    <n v="22"/>
    <x v="2"/>
    <s v="20/06/2024"/>
    <d v="2024-06-20T00:00:00"/>
    <s v="2024040-126"/>
    <x v="3"/>
  </r>
  <r>
    <x v="610"/>
    <n v="2024040"/>
    <x v="40"/>
    <s v="Chickpea"/>
    <m/>
    <x v="9"/>
    <s v="N"/>
    <x v="2"/>
    <n v="127"/>
    <n v="64"/>
    <x v="1"/>
    <n v="4"/>
    <m/>
    <m/>
    <n v="8"/>
    <n v="16"/>
    <m/>
    <n v="4"/>
    <m/>
    <m/>
    <n v="5"/>
    <n v="55"/>
    <x v="2"/>
    <n v="32"/>
    <m/>
    <m/>
    <x v="1"/>
    <n v="2"/>
    <x v="0"/>
    <m/>
    <m/>
    <n v="22"/>
    <x v="2"/>
    <s v="20/06/2024"/>
    <d v="2024-06-20T00:00:00"/>
    <s v="2024040-127"/>
    <x v="3"/>
  </r>
  <r>
    <x v="610"/>
    <n v="2024040"/>
    <x v="40"/>
    <s v="Chickpea"/>
    <m/>
    <x v="9"/>
    <s v="N"/>
    <x v="1"/>
    <n v="128"/>
    <n v="64"/>
    <x v="1"/>
    <n v="4"/>
    <m/>
    <m/>
    <n v="8"/>
    <n v="16"/>
    <m/>
    <n v="4"/>
    <m/>
    <m/>
    <n v="6"/>
    <n v="55"/>
    <x v="3"/>
    <n v="32"/>
    <m/>
    <n v="33"/>
    <x v="1"/>
    <n v="2"/>
    <x v="0"/>
    <m/>
    <m/>
    <n v="22"/>
    <x v="2"/>
    <s v="20/06/2024"/>
    <d v="2024-06-20T00:00:00"/>
    <s v="2024040-128"/>
    <x v="3"/>
  </r>
  <r>
    <x v="624"/>
    <n v="2024041"/>
    <x v="41"/>
    <s v="Mixed"/>
    <s v="Fababean"/>
    <x v="10"/>
    <s v="Y"/>
    <x v="2"/>
    <n v="1"/>
    <n v="1"/>
    <x v="0"/>
    <n v="1"/>
    <n v="1"/>
    <n v="1"/>
    <m/>
    <n v="1"/>
    <n v="1"/>
    <m/>
    <s v="Edge"/>
    <n v="1"/>
    <m/>
    <m/>
    <x v="0"/>
    <n v="1"/>
    <n v="125"/>
    <n v="1"/>
    <x v="0"/>
    <n v="6"/>
    <x v="5"/>
    <m/>
    <m/>
    <n v="25"/>
    <x v="1"/>
    <s v="08/05/2024"/>
    <d v="2024-05-08T00:00:00"/>
    <s v="2024041-1"/>
    <x v="4"/>
  </r>
  <r>
    <x v="624"/>
    <n v="2024041"/>
    <x v="41"/>
    <s v="Mixed"/>
    <s v="Fababean"/>
    <x v="10"/>
    <s v="Y"/>
    <x v="2"/>
    <n v="2"/>
    <n v="2"/>
    <x v="0"/>
    <n v="1"/>
    <n v="1"/>
    <n v="1"/>
    <m/>
    <n v="1"/>
    <n v="2"/>
    <m/>
    <s v="Inside"/>
    <n v="2"/>
    <m/>
    <m/>
    <x v="1"/>
    <n v="1"/>
    <n v="125"/>
    <n v="2"/>
    <x v="0"/>
    <n v="6"/>
    <x v="5"/>
    <m/>
    <m/>
    <n v="25"/>
    <x v="1"/>
    <s v="08/05/2024"/>
    <d v="2024-05-08T00:00:00"/>
    <s v="2024041-2"/>
    <x v="4"/>
  </r>
  <r>
    <x v="625"/>
    <n v="2024041"/>
    <x v="41"/>
    <s v="Mixed"/>
    <s v="Fababean"/>
    <x v="13"/>
    <s v="Y"/>
    <x v="2"/>
    <n v="3"/>
    <n v="3"/>
    <x v="0"/>
    <n v="1"/>
    <n v="1"/>
    <n v="1"/>
    <m/>
    <n v="1"/>
    <n v="2"/>
    <m/>
    <s v="Inside"/>
    <n v="2"/>
    <m/>
    <m/>
    <x v="2"/>
    <n v="1"/>
    <n v="125"/>
    <n v="3"/>
    <x v="0"/>
    <n v="5"/>
    <x v="5"/>
    <m/>
    <m/>
    <n v="25"/>
    <x v="1"/>
    <s v="08/05/2024"/>
    <d v="2024-05-08T00:00:00"/>
    <s v="2024041-3"/>
    <x v="4"/>
  </r>
  <r>
    <x v="625"/>
    <n v="2024041"/>
    <x v="41"/>
    <s v="Mixed"/>
    <s v="Fababean"/>
    <x v="13"/>
    <s v="Y"/>
    <x v="2"/>
    <n v="4"/>
    <n v="4"/>
    <x v="0"/>
    <n v="1"/>
    <n v="1"/>
    <n v="1"/>
    <m/>
    <n v="1"/>
    <n v="1"/>
    <m/>
    <s v="Edge"/>
    <n v="1"/>
    <m/>
    <m/>
    <x v="3"/>
    <n v="1"/>
    <n v="125"/>
    <n v="4"/>
    <x v="0"/>
    <n v="5"/>
    <x v="5"/>
    <m/>
    <m/>
    <n v="25"/>
    <x v="1"/>
    <s v="08/05/2024"/>
    <d v="2024-05-08T00:00:00"/>
    <s v="2024041-4"/>
    <x v="4"/>
  </r>
  <r>
    <x v="626"/>
    <n v="2024041"/>
    <x v="41"/>
    <s v="Mixed"/>
    <s v="Canola"/>
    <x v="33"/>
    <s v="N"/>
    <x v="2"/>
    <n v="5"/>
    <n v="5"/>
    <x v="0"/>
    <n v="1"/>
    <n v="1"/>
    <n v="2"/>
    <m/>
    <n v="2"/>
    <n v="3"/>
    <m/>
    <s v="Edge"/>
    <n v="1"/>
    <m/>
    <m/>
    <x v="0"/>
    <n v="2"/>
    <n v="125"/>
    <n v="32"/>
    <x v="0"/>
    <n v="8"/>
    <x v="5"/>
    <m/>
    <m/>
    <n v="25"/>
    <x v="1"/>
    <s v="08/05/2024"/>
    <d v="2024-05-08T00:00:00"/>
    <s v="2024041-5"/>
    <x v="6"/>
  </r>
  <r>
    <x v="627"/>
    <n v="2024041"/>
    <x v="41"/>
    <s v="Mixed"/>
    <s v="Lupin"/>
    <x v="27"/>
    <s v="Y"/>
    <x v="2"/>
    <n v="6"/>
    <n v="6"/>
    <x v="0"/>
    <n v="1"/>
    <n v="1"/>
    <n v="2"/>
    <m/>
    <n v="2"/>
    <n v="4"/>
    <m/>
    <s v="Inside"/>
    <n v="2"/>
    <m/>
    <m/>
    <x v="1"/>
    <n v="2"/>
    <n v="125"/>
    <n v="31"/>
    <x v="0"/>
    <n v="7"/>
    <x v="5"/>
    <m/>
    <m/>
    <n v="25"/>
    <x v="1"/>
    <s v="08/05/2024"/>
    <d v="2024-05-08T00:00:00"/>
    <s v="2024041-6"/>
    <x v="5"/>
  </r>
  <r>
    <x v="627"/>
    <n v="2024041"/>
    <x v="41"/>
    <s v="Mixed"/>
    <s v="Lupin"/>
    <x v="27"/>
    <s v="Y"/>
    <x v="2"/>
    <n v="7"/>
    <n v="7"/>
    <x v="0"/>
    <n v="1"/>
    <n v="1"/>
    <n v="2"/>
    <m/>
    <n v="2"/>
    <n v="4"/>
    <m/>
    <s v="Inside"/>
    <n v="2"/>
    <m/>
    <m/>
    <x v="2"/>
    <n v="2"/>
    <n v="125"/>
    <n v="30"/>
    <x v="0"/>
    <n v="7"/>
    <x v="5"/>
    <m/>
    <m/>
    <n v="25"/>
    <x v="1"/>
    <s v="08/05/2024"/>
    <d v="2024-05-08T00:00:00"/>
    <s v="2024041-7"/>
    <x v="5"/>
  </r>
  <r>
    <x v="627"/>
    <n v="2024041"/>
    <x v="41"/>
    <s v="Mixed"/>
    <s v="Lupin"/>
    <x v="27"/>
    <s v="Y"/>
    <x v="2"/>
    <n v="8"/>
    <n v="8"/>
    <x v="0"/>
    <n v="1"/>
    <n v="1"/>
    <n v="2"/>
    <m/>
    <n v="2"/>
    <n v="3"/>
    <m/>
    <s v="Edge"/>
    <n v="1"/>
    <m/>
    <m/>
    <x v="3"/>
    <n v="2"/>
    <n v="125"/>
    <n v="29"/>
    <x v="0"/>
    <n v="7"/>
    <x v="5"/>
    <m/>
    <m/>
    <n v="25"/>
    <x v="1"/>
    <s v="08/05/2024"/>
    <d v="2024-05-08T00:00:00"/>
    <s v="2024041-8"/>
    <x v="5"/>
  </r>
  <r>
    <x v="628"/>
    <n v="2024041"/>
    <x v="41"/>
    <s v="Mixed"/>
    <s v="Lentil"/>
    <x v="15"/>
    <s v="Y"/>
    <x v="2"/>
    <n v="9"/>
    <n v="9"/>
    <x v="0"/>
    <n v="1"/>
    <n v="2"/>
    <n v="1"/>
    <m/>
    <n v="3"/>
    <n v="5"/>
    <m/>
    <s v="Edge"/>
    <n v="1"/>
    <m/>
    <m/>
    <x v="4"/>
    <n v="1"/>
    <n v="350"/>
    <n v="5"/>
    <x v="0"/>
    <n v="4"/>
    <x v="6"/>
    <m/>
    <m/>
    <n v="25"/>
    <x v="1"/>
    <s v="08/05/2024"/>
    <d v="2024-05-08T00:00:00"/>
    <s v="2024041-9"/>
    <x v="0"/>
  </r>
  <r>
    <x v="628"/>
    <n v="2024041"/>
    <x v="41"/>
    <s v="Mixed"/>
    <s v="Lentil"/>
    <x v="15"/>
    <s v="Y"/>
    <x v="2"/>
    <n v="10"/>
    <n v="10"/>
    <x v="0"/>
    <n v="1"/>
    <n v="2"/>
    <n v="1"/>
    <m/>
    <n v="3"/>
    <n v="6"/>
    <m/>
    <s v="Inside"/>
    <n v="2"/>
    <m/>
    <m/>
    <x v="5"/>
    <n v="1"/>
    <n v="350"/>
    <n v="6"/>
    <x v="0"/>
    <n v="4"/>
    <x v="6"/>
    <m/>
    <m/>
    <n v="25"/>
    <x v="1"/>
    <s v="08/05/2024"/>
    <d v="2024-05-08T00:00:00"/>
    <s v="2024041-10"/>
    <x v="0"/>
  </r>
  <r>
    <x v="629"/>
    <n v="2024041"/>
    <x v="41"/>
    <s v="Mixed"/>
    <s v="Lentil"/>
    <x v="1"/>
    <s v="Y"/>
    <x v="2"/>
    <n v="11"/>
    <n v="11"/>
    <x v="0"/>
    <n v="1"/>
    <n v="2"/>
    <n v="1"/>
    <m/>
    <n v="3"/>
    <n v="6"/>
    <m/>
    <s v="Inside"/>
    <n v="2"/>
    <m/>
    <m/>
    <x v="6"/>
    <n v="1"/>
    <n v="350"/>
    <n v="7"/>
    <x v="0"/>
    <n v="3"/>
    <x v="6"/>
    <m/>
    <m/>
    <n v="25"/>
    <x v="1"/>
    <s v="08/05/2024"/>
    <d v="2024-05-08T00:00:00"/>
    <s v="2024041-11"/>
    <x v="0"/>
  </r>
  <r>
    <x v="629"/>
    <n v="2024041"/>
    <x v="41"/>
    <s v="Mixed"/>
    <s v="Lentil"/>
    <x v="1"/>
    <s v="Y"/>
    <x v="2"/>
    <n v="12"/>
    <n v="12"/>
    <x v="0"/>
    <n v="1"/>
    <n v="2"/>
    <n v="1"/>
    <m/>
    <n v="3"/>
    <n v="5"/>
    <m/>
    <s v="Edge"/>
    <n v="1"/>
    <m/>
    <m/>
    <x v="7"/>
    <n v="1"/>
    <n v="350"/>
    <n v="8"/>
    <x v="0"/>
    <n v="3"/>
    <x v="6"/>
    <m/>
    <m/>
    <n v="25"/>
    <x v="1"/>
    <s v="08/05/2024"/>
    <d v="2024-05-08T00:00:00"/>
    <s v="2024041-12"/>
    <x v="0"/>
  </r>
  <r>
    <x v="630"/>
    <n v="2024041"/>
    <x v="41"/>
    <s v="Mixed"/>
    <s v="Chickpea"/>
    <x v="4"/>
    <s v="Y"/>
    <x v="2"/>
    <n v="13"/>
    <n v="13"/>
    <x v="0"/>
    <n v="1"/>
    <n v="2"/>
    <n v="2"/>
    <m/>
    <n v="4"/>
    <n v="7"/>
    <m/>
    <s v="Edge"/>
    <n v="1"/>
    <m/>
    <m/>
    <x v="4"/>
    <n v="2"/>
    <n v="350"/>
    <n v="28"/>
    <x v="0"/>
    <n v="2"/>
    <x v="6"/>
    <m/>
    <m/>
    <n v="25"/>
    <x v="1"/>
    <s v="08/05/2024"/>
    <d v="2024-05-08T00:00:00"/>
    <s v="2024041-13"/>
    <x v="3"/>
  </r>
  <r>
    <x v="631"/>
    <n v="2024041"/>
    <x v="41"/>
    <s v="Mixed"/>
    <s v="Chickpea"/>
    <x v="8"/>
    <s v="Y"/>
    <x v="2"/>
    <n v="14"/>
    <n v="14"/>
    <x v="0"/>
    <n v="1"/>
    <n v="2"/>
    <n v="2"/>
    <m/>
    <n v="4"/>
    <n v="8"/>
    <m/>
    <s v="Inside"/>
    <n v="2"/>
    <m/>
    <m/>
    <x v="5"/>
    <n v="2"/>
    <n v="350"/>
    <n v="27"/>
    <x v="0"/>
    <n v="1"/>
    <x v="6"/>
    <m/>
    <m/>
    <n v="25"/>
    <x v="1"/>
    <s v="08/05/2024"/>
    <d v="2024-05-08T00:00:00"/>
    <s v="2024041-14"/>
    <x v="3"/>
  </r>
  <r>
    <x v="630"/>
    <n v="2024041"/>
    <x v="41"/>
    <s v="Mixed"/>
    <s v="Chickpea"/>
    <x v="4"/>
    <s v="Y"/>
    <x v="2"/>
    <n v="15"/>
    <n v="15"/>
    <x v="0"/>
    <n v="1"/>
    <n v="2"/>
    <n v="2"/>
    <m/>
    <n v="4"/>
    <n v="8"/>
    <m/>
    <s v="Inside"/>
    <n v="2"/>
    <m/>
    <m/>
    <x v="6"/>
    <n v="2"/>
    <n v="350"/>
    <n v="26"/>
    <x v="0"/>
    <n v="2"/>
    <x v="6"/>
    <m/>
    <m/>
    <n v="25"/>
    <x v="1"/>
    <s v="08/05/2024"/>
    <d v="2024-05-08T00:00:00"/>
    <s v="2024041-15"/>
    <x v="3"/>
  </r>
  <r>
    <x v="631"/>
    <n v="2024041"/>
    <x v="41"/>
    <s v="Mixed"/>
    <s v="Chickpea"/>
    <x v="8"/>
    <s v="Y"/>
    <x v="2"/>
    <n v="16"/>
    <n v="16"/>
    <x v="0"/>
    <n v="1"/>
    <n v="2"/>
    <n v="2"/>
    <m/>
    <n v="4"/>
    <n v="7"/>
    <m/>
    <s v="Edge"/>
    <n v="1"/>
    <m/>
    <m/>
    <x v="7"/>
    <n v="2"/>
    <n v="350"/>
    <n v="25"/>
    <x v="0"/>
    <n v="1"/>
    <x v="6"/>
    <m/>
    <m/>
    <n v="25"/>
    <x v="1"/>
    <s v="08/05/2024"/>
    <d v="2024-05-08T00:00:00"/>
    <s v="2024041-16"/>
    <x v="3"/>
  </r>
  <r>
    <x v="632"/>
    <n v="2024041"/>
    <x v="41"/>
    <s v="Mixed"/>
    <s v="Chickpea"/>
    <x v="4"/>
    <s v="Y"/>
    <x v="2"/>
    <n v="17"/>
    <n v="17"/>
    <x v="0"/>
    <n v="1"/>
    <n v="3"/>
    <n v="1"/>
    <m/>
    <n v="5"/>
    <n v="9"/>
    <m/>
    <s v="Edge"/>
    <n v="1"/>
    <m/>
    <m/>
    <x v="8"/>
    <n v="1"/>
    <n v="50"/>
    <n v="9"/>
    <x v="0"/>
    <n v="2"/>
    <x v="7"/>
    <m/>
    <m/>
    <n v="25"/>
    <x v="1"/>
    <s v="08/05/2024"/>
    <d v="2024-05-08T00:00:00"/>
    <s v="2024041-17"/>
    <x v="3"/>
  </r>
  <r>
    <x v="633"/>
    <n v="2024041"/>
    <x v="41"/>
    <s v="Mixed"/>
    <s v="Chickpea"/>
    <x v="8"/>
    <s v="Y"/>
    <x v="2"/>
    <n v="18"/>
    <n v="18"/>
    <x v="0"/>
    <n v="1"/>
    <n v="3"/>
    <n v="1"/>
    <m/>
    <n v="5"/>
    <n v="10"/>
    <m/>
    <s v="Inside"/>
    <n v="2"/>
    <m/>
    <m/>
    <x v="9"/>
    <n v="1"/>
    <n v="50"/>
    <n v="10"/>
    <x v="0"/>
    <n v="1"/>
    <x v="7"/>
    <m/>
    <m/>
    <n v="25"/>
    <x v="1"/>
    <s v="08/05/2024"/>
    <d v="2024-05-08T00:00:00"/>
    <s v="2024041-18"/>
    <x v="3"/>
  </r>
  <r>
    <x v="632"/>
    <n v="2024041"/>
    <x v="41"/>
    <s v="Mixed"/>
    <s v="Chickpea"/>
    <x v="4"/>
    <s v="Y"/>
    <x v="2"/>
    <n v="19"/>
    <n v="19"/>
    <x v="0"/>
    <n v="1"/>
    <n v="3"/>
    <n v="1"/>
    <m/>
    <n v="5"/>
    <n v="10"/>
    <m/>
    <s v="Inside"/>
    <n v="2"/>
    <m/>
    <m/>
    <x v="10"/>
    <n v="1"/>
    <n v="50"/>
    <n v="11"/>
    <x v="0"/>
    <n v="2"/>
    <x v="7"/>
    <m/>
    <m/>
    <n v="25"/>
    <x v="1"/>
    <s v="08/05/2024"/>
    <d v="2024-05-08T00:00:00"/>
    <s v="2024041-19"/>
    <x v="3"/>
  </r>
  <r>
    <x v="633"/>
    <n v="2024041"/>
    <x v="41"/>
    <s v="Mixed"/>
    <s v="Chickpea"/>
    <x v="8"/>
    <s v="Y"/>
    <x v="2"/>
    <n v="20"/>
    <n v="20"/>
    <x v="0"/>
    <n v="1"/>
    <n v="3"/>
    <n v="1"/>
    <m/>
    <n v="5"/>
    <n v="9"/>
    <m/>
    <s v="Edge"/>
    <n v="1"/>
    <m/>
    <m/>
    <x v="11"/>
    <n v="1"/>
    <n v="50"/>
    <n v="12"/>
    <x v="0"/>
    <n v="1"/>
    <x v="7"/>
    <m/>
    <m/>
    <n v="25"/>
    <x v="1"/>
    <s v="08/05/2024"/>
    <d v="2024-05-08T00:00:00"/>
    <s v="2024041-20"/>
    <x v="3"/>
  </r>
  <r>
    <x v="634"/>
    <n v="2024041"/>
    <x v="41"/>
    <s v="Mixed"/>
    <s v="Fababean"/>
    <x v="13"/>
    <s v="Y"/>
    <x v="2"/>
    <n v="21"/>
    <n v="21"/>
    <x v="0"/>
    <n v="1"/>
    <n v="3"/>
    <n v="2"/>
    <m/>
    <n v="6"/>
    <n v="11"/>
    <m/>
    <s v="Edge"/>
    <n v="1"/>
    <m/>
    <m/>
    <x v="8"/>
    <n v="2"/>
    <n v="50"/>
    <n v="24"/>
    <x v="0"/>
    <n v="5"/>
    <x v="7"/>
    <m/>
    <m/>
    <n v="25"/>
    <x v="1"/>
    <s v="08/05/2024"/>
    <d v="2024-05-08T00:00:00"/>
    <s v="2024041-21"/>
    <x v="4"/>
  </r>
  <r>
    <x v="634"/>
    <n v="2024041"/>
    <x v="41"/>
    <s v="Mixed"/>
    <s v="Fababean"/>
    <x v="13"/>
    <s v="Y"/>
    <x v="2"/>
    <n v="22"/>
    <n v="22"/>
    <x v="0"/>
    <n v="1"/>
    <n v="3"/>
    <n v="2"/>
    <m/>
    <n v="6"/>
    <n v="12"/>
    <m/>
    <s v="Inside"/>
    <n v="2"/>
    <m/>
    <m/>
    <x v="9"/>
    <n v="2"/>
    <n v="50"/>
    <n v="23"/>
    <x v="0"/>
    <n v="5"/>
    <x v="7"/>
    <m/>
    <m/>
    <n v="25"/>
    <x v="1"/>
    <s v="08/05/2024"/>
    <d v="2024-05-08T00:00:00"/>
    <s v="2024041-22"/>
    <x v="4"/>
  </r>
  <r>
    <x v="635"/>
    <n v="2024041"/>
    <x v="41"/>
    <s v="Mixed"/>
    <s v="Fababean"/>
    <x v="10"/>
    <s v="Y"/>
    <x v="2"/>
    <n v="23"/>
    <n v="23"/>
    <x v="0"/>
    <n v="1"/>
    <n v="3"/>
    <n v="2"/>
    <m/>
    <n v="6"/>
    <n v="12"/>
    <m/>
    <s v="Inside"/>
    <n v="2"/>
    <m/>
    <m/>
    <x v="10"/>
    <n v="2"/>
    <n v="50"/>
    <n v="22"/>
    <x v="0"/>
    <n v="6"/>
    <x v="7"/>
    <m/>
    <m/>
    <n v="25"/>
    <x v="1"/>
    <s v="08/05/2024"/>
    <d v="2024-05-08T00:00:00"/>
    <s v="2024041-23"/>
    <x v="4"/>
  </r>
  <r>
    <x v="635"/>
    <n v="2024041"/>
    <x v="41"/>
    <s v="Mixed"/>
    <s v="Fababean"/>
    <x v="10"/>
    <s v="Y"/>
    <x v="2"/>
    <n v="24"/>
    <n v="24"/>
    <x v="0"/>
    <n v="1"/>
    <n v="3"/>
    <n v="2"/>
    <m/>
    <n v="6"/>
    <n v="11"/>
    <m/>
    <s v="Edge"/>
    <n v="1"/>
    <m/>
    <m/>
    <x v="11"/>
    <n v="2"/>
    <n v="50"/>
    <n v="21"/>
    <x v="0"/>
    <n v="6"/>
    <x v="7"/>
    <m/>
    <m/>
    <n v="25"/>
    <x v="1"/>
    <s v="08/05/2024"/>
    <d v="2024-05-08T00:00:00"/>
    <s v="2024041-24"/>
    <x v="4"/>
  </r>
  <r>
    <x v="636"/>
    <n v="2024041"/>
    <x v="41"/>
    <s v="Mixed"/>
    <s v="Canola"/>
    <x v="33"/>
    <s v="N"/>
    <x v="2"/>
    <n v="25"/>
    <n v="25"/>
    <x v="0"/>
    <n v="1"/>
    <n v="4"/>
    <n v="1"/>
    <m/>
    <n v="7"/>
    <n v="13"/>
    <m/>
    <s v="Edge"/>
    <n v="1"/>
    <m/>
    <m/>
    <x v="12"/>
    <n v="1"/>
    <n v="175"/>
    <n v="13"/>
    <x v="0"/>
    <n v="8"/>
    <x v="8"/>
    <m/>
    <m/>
    <n v="25"/>
    <x v="1"/>
    <s v="08/05/2024"/>
    <d v="2024-05-08T00:00:00"/>
    <s v="2024041-25"/>
    <x v="6"/>
  </r>
  <r>
    <x v="637"/>
    <n v="2024041"/>
    <x v="41"/>
    <s v="Mixed"/>
    <s v="Lupin"/>
    <x v="27"/>
    <s v="Y"/>
    <x v="2"/>
    <n v="26"/>
    <n v="26"/>
    <x v="0"/>
    <n v="1"/>
    <n v="4"/>
    <n v="1"/>
    <m/>
    <n v="7"/>
    <n v="14"/>
    <m/>
    <s v="Inside"/>
    <n v="2"/>
    <m/>
    <m/>
    <x v="13"/>
    <n v="1"/>
    <n v="175"/>
    <n v="14"/>
    <x v="0"/>
    <n v="7"/>
    <x v="8"/>
    <m/>
    <m/>
    <n v="25"/>
    <x v="1"/>
    <s v="08/05/2024"/>
    <d v="2024-05-08T00:00:00"/>
    <s v="2024041-26"/>
    <x v="5"/>
  </r>
  <r>
    <x v="637"/>
    <n v="2024041"/>
    <x v="41"/>
    <s v="Mixed"/>
    <s v="Lupin"/>
    <x v="27"/>
    <s v="Y"/>
    <x v="2"/>
    <n v="27"/>
    <n v="27"/>
    <x v="0"/>
    <n v="1"/>
    <n v="4"/>
    <n v="1"/>
    <m/>
    <n v="7"/>
    <n v="14"/>
    <m/>
    <s v="Inside"/>
    <n v="2"/>
    <m/>
    <m/>
    <x v="14"/>
    <n v="1"/>
    <n v="175"/>
    <n v="15"/>
    <x v="0"/>
    <n v="7"/>
    <x v="8"/>
    <m/>
    <m/>
    <n v="25"/>
    <x v="1"/>
    <s v="08/05/2024"/>
    <d v="2024-05-08T00:00:00"/>
    <s v="2024041-27"/>
    <x v="5"/>
  </r>
  <r>
    <x v="637"/>
    <n v="2024041"/>
    <x v="41"/>
    <s v="Mixed"/>
    <s v="Lupin"/>
    <x v="27"/>
    <s v="Y"/>
    <x v="2"/>
    <n v="28"/>
    <n v="28"/>
    <x v="0"/>
    <n v="1"/>
    <n v="4"/>
    <n v="1"/>
    <m/>
    <n v="7"/>
    <n v="13"/>
    <m/>
    <s v="Edge"/>
    <n v="1"/>
    <m/>
    <m/>
    <x v="17"/>
    <n v="1"/>
    <n v="175"/>
    <n v="16"/>
    <x v="0"/>
    <n v="7"/>
    <x v="8"/>
    <m/>
    <m/>
    <n v="25"/>
    <x v="1"/>
    <s v="08/05/2024"/>
    <d v="2024-05-08T00:00:00"/>
    <s v="2024041-28"/>
    <x v="5"/>
  </r>
  <r>
    <x v="638"/>
    <n v="2024041"/>
    <x v="41"/>
    <s v="Mixed"/>
    <s v="Lentil"/>
    <x v="1"/>
    <s v="Y"/>
    <x v="2"/>
    <n v="29"/>
    <n v="29"/>
    <x v="0"/>
    <n v="1"/>
    <n v="4"/>
    <n v="2"/>
    <m/>
    <n v="8"/>
    <n v="15"/>
    <m/>
    <s v="Edge"/>
    <n v="1"/>
    <m/>
    <m/>
    <x v="12"/>
    <n v="2"/>
    <n v="175"/>
    <n v="20"/>
    <x v="0"/>
    <n v="3"/>
    <x v="8"/>
    <m/>
    <m/>
    <n v="25"/>
    <x v="1"/>
    <s v="08/05/2024"/>
    <d v="2024-05-08T00:00:00"/>
    <s v="2024041-29"/>
    <x v="0"/>
  </r>
  <r>
    <x v="639"/>
    <n v="2024041"/>
    <x v="41"/>
    <s v="Mixed"/>
    <s v="Lentil"/>
    <x v="15"/>
    <s v="Y"/>
    <x v="2"/>
    <n v="30"/>
    <n v="30"/>
    <x v="0"/>
    <n v="1"/>
    <n v="4"/>
    <n v="2"/>
    <m/>
    <n v="8"/>
    <n v="16"/>
    <m/>
    <s v="Inside"/>
    <n v="2"/>
    <m/>
    <m/>
    <x v="13"/>
    <n v="2"/>
    <n v="175"/>
    <n v="19"/>
    <x v="0"/>
    <n v="4"/>
    <x v="8"/>
    <m/>
    <m/>
    <n v="25"/>
    <x v="1"/>
    <s v="08/05/2024"/>
    <d v="2024-05-08T00:00:00"/>
    <s v="2024041-30"/>
    <x v="0"/>
  </r>
  <r>
    <x v="638"/>
    <n v="2024041"/>
    <x v="41"/>
    <s v="Mixed"/>
    <s v="Lentil"/>
    <x v="1"/>
    <s v="Y"/>
    <x v="2"/>
    <n v="31"/>
    <n v="31"/>
    <x v="0"/>
    <n v="1"/>
    <n v="4"/>
    <n v="2"/>
    <m/>
    <n v="8"/>
    <n v="16"/>
    <m/>
    <s v="Inside"/>
    <n v="2"/>
    <m/>
    <m/>
    <x v="14"/>
    <n v="2"/>
    <n v="175"/>
    <n v="18"/>
    <x v="0"/>
    <n v="3"/>
    <x v="8"/>
    <m/>
    <m/>
    <n v="25"/>
    <x v="1"/>
    <s v="08/05/2024"/>
    <d v="2024-05-08T00:00:00"/>
    <s v="2024041-31"/>
    <x v="0"/>
  </r>
  <r>
    <x v="639"/>
    <n v="2024041"/>
    <x v="41"/>
    <s v="Mixed"/>
    <s v="Lentil"/>
    <x v="15"/>
    <s v="Y"/>
    <x v="2"/>
    <n v="32"/>
    <n v="32"/>
    <x v="0"/>
    <n v="1"/>
    <n v="4"/>
    <n v="2"/>
    <m/>
    <n v="8"/>
    <n v="15"/>
    <m/>
    <s v="Edge"/>
    <n v="1"/>
    <m/>
    <m/>
    <x v="17"/>
    <n v="2"/>
    <n v="175"/>
    <n v="17"/>
    <x v="0"/>
    <n v="4"/>
    <x v="8"/>
    <m/>
    <m/>
    <n v="25"/>
    <x v="1"/>
    <s v="08/05/2024"/>
    <d v="2024-05-08T00:00:00"/>
    <s v="2024041-32"/>
    <x v="0"/>
  </r>
  <r>
    <x v="640"/>
    <n v="2024041"/>
    <x v="41"/>
    <s v="Mixed"/>
    <s v="Chickpea"/>
    <x v="4"/>
    <s v="Y"/>
    <x v="2"/>
    <n v="33"/>
    <n v="33"/>
    <x v="0"/>
    <n v="2"/>
    <n v="5"/>
    <n v="3"/>
    <m/>
    <n v="9"/>
    <n v="17"/>
    <m/>
    <s v="Edge"/>
    <n v="1"/>
    <m/>
    <m/>
    <x v="0"/>
    <n v="3"/>
    <n v="175"/>
    <n v="33"/>
    <x v="0"/>
    <n v="2"/>
    <x v="8"/>
    <m/>
    <m/>
    <n v="25"/>
    <x v="1"/>
    <s v="08/05/2024"/>
    <d v="2024-05-08T00:00:00"/>
    <s v="2024041-33"/>
    <x v="3"/>
  </r>
  <r>
    <x v="641"/>
    <n v="2024041"/>
    <x v="41"/>
    <s v="Mixed"/>
    <s v="Chickpea"/>
    <x v="8"/>
    <s v="Y"/>
    <x v="2"/>
    <n v="34"/>
    <n v="34"/>
    <x v="0"/>
    <n v="2"/>
    <n v="5"/>
    <n v="3"/>
    <m/>
    <n v="9"/>
    <n v="18"/>
    <m/>
    <s v="Inside"/>
    <n v="2"/>
    <m/>
    <m/>
    <x v="1"/>
    <n v="3"/>
    <n v="175"/>
    <n v="34"/>
    <x v="0"/>
    <n v="1"/>
    <x v="8"/>
    <m/>
    <m/>
    <n v="25"/>
    <x v="1"/>
    <s v="08/05/2024"/>
    <d v="2024-05-08T00:00:00"/>
    <s v="2024041-34"/>
    <x v="3"/>
  </r>
  <r>
    <x v="640"/>
    <n v="2024041"/>
    <x v="41"/>
    <s v="Mixed"/>
    <s v="Chickpea"/>
    <x v="4"/>
    <s v="Y"/>
    <x v="2"/>
    <n v="35"/>
    <n v="35"/>
    <x v="0"/>
    <n v="2"/>
    <n v="5"/>
    <n v="3"/>
    <m/>
    <n v="9"/>
    <n v="18"/>
    <m/>
    <s v="Inside"/>
    <n v="2"/>
    <m/>
    <m/>
    <x v="2"/>
    <n v="3"/>
    <n v="175"/>
    <n v="35"/>
    <x v="0"/>
    <n v="2"/>
    <x v="8"/>
    <m/>
    <m/>
    <n v="25"/>
    <x v="1"/>
    <s v="08/05/2024"/>
    <d v="2024-05-08T00:00:00"/>
    <s v="2024041-35"/>
    <x v="3"/>
  </r>
  <r>
    <x v="641"/>
    <n v="2024041"/>
    <x v="41"/>
    <s v="Mixed"/>
    <s v="Chickpea"/>
    <x v="8"/>
    <s v="Y"/>
    <x v="2"/>
    <n v="36"/>
    <n v="36"/>
    <x v="0"/>
    <n v="2"/>
    <n v="5"/>
    <n v="3"/>
    <m/>
    <n v="9"/>
    <n v="17"/>
    <m/>
    <s v="Edge"/>
    <n v="1"/>
    <m/>
    <m/>
    <x v="3"/>
    <n v="3"/>
    <n v="175"/>
    <n v="36"/>
    <x v="0"/>
    <n v="1"/>
    <x v="8"/>
    <m/>
    <m/>
    <n v="25"/>
    <x v="1"/>
    <s v="08/05/2024"/>
    <d v="2024-05-08T00:00:00"/>
    <s v="2024041-36"/>
    <x v="3"/>
  </r>
  <r>
    <x v="642"/>
    <n v="2024041"/>
    <x v="41"/>
    <s v="Mixed"/>
    <s v="Fababean"/>
    <x v="13"/>
    <s v="Y"/>
    <x v="2"/>
    <n v="37"/>
    <n v="37"/>
    <x v="0"/>
    <n v="2"/>
    <n v="5"/>
    <n v="4"/>
    <m/>
    <n v="10"/>
    <n v="19"/>
    <m/>
    <s v="Edge"/>
    <n v="1"/>
    <m/>
    <m/>
    <x v="0"/>
    <n v="4"/>
    <n v="175"/>
    <n v="64"/>
    <x v="0"/>
    <n v="5"/>
    <x v="8"/>
    <m/>
    <m/>
    <n v="25"/>
    <x v="1"/>
    <s v="08/05/2024"/>
    <d v="2024-05-08T00:00:00"/>
    <s v="2024041-37"/>
    <x v="4"/>
  </r>
  <r>
    <x v="642"/>
    <n v="2024041"/>
    <x v="41"/>
    <s v="Mixed"/>
    <s v="Fababean"/>
    <x v="13"/>
    <s v="Y"/>
    <x v="2"/>
    <n v="38"/>
    <n v="38"/>
    <x v="0"/>
    <n v="2"/>
    <n v="5"/>
    <n v="4"/>
    <m/>
    <n v="10"/>
    <n v="20"/>
    <m/>
    <s v="Inside"/>
    <n v="2"/>
    <m/>
    <m/>
    <x v="1"/>
    <n v="4"/>
    <n v="175"/>
    <n v="63"/>
    <x v="0"/>
    <n v="5"/>
    <x v="8"/>
    <m/>
    <m/>
    <n v="25"/>
    <x v="1"/>
    <s v="08/05/2024"/>
    <d v="2024-05-08T00:00:00"/>
    <s v="2024041-38"/>
    <x v="4"/>
  </r>
  <r>
    <x v="643"/>
    <n v="2024041"/>
    <x v="41"/>
    <s v="Mixed"/>
    <s v="Fababean"/>
    <x v="10"/>
    <s v="Y"/>
    <x v="2"/>
    <n v="39"/>
    <n v="39"/>
    <x v="0"/>
    <n v="2"/>
    <n v="5"/>
    <n v="4"/>
    <m/>
    <n v="10"/>
    <n v="20"/>
    <m/>
    <s v="Inside"/>
    <n v="2"/>
    <m/>
    <m/>
    <x v="2"/>
    <n v="4"/>
    <n v="175"/>
    <n v="62"/>
    <x v="0"/>
    <n v="6"/>
    <x v="8"/>
    <m/>
    <m/>
    <n v="25"/>
    <x v="1"/>
    <s v="08/05/2024"/>
    <d v="2024-05-08T00:00:00"/>
    <s v="2024041-39"/>
    <x v="4"/>
  </r>
  <r>
    <x v="643"/>
    <n v="2024041"/>
    <x v="41"/>
    <s v="Mixed"/>
    <s v="Fababean"/>
    <x v="10"/>
    <s v="Y"/>
    <x v="2"/>
    <n v="40"/>
    <n v="40"/>
    <x v="0"/>
    <n v="2"/>
    <n v="5"/>
    <n v="4"/>
    <m/>
    <n v="10"/>
    <n v="19"/>
    <m/>
    <s v="Edge"/>
    <n v="1"/>
    <m/>
    <m/>
    <x v="3"/>
    <n v="4"/>
    <n v="175"/>
    <n v="61"/>
    <x v="0"/>
    <n v="6"/>
    <x v="8"/>
    <m/>
    <m/>
    <n v="25"/>
    <x v="1"/>
    <s v="08/05/2024"/>
    <d v="2024-05-08T00:00:00"/>
    <s v="2024041-40"/>
    <x v="4"/>
  </r>
  <r>
    <x v="644"/>
    <n v="2024041"/>
    <x v="41"/>
    <s v="Mixed"/>
    <s v="Lupin"/>
    <x v="27"/>
    <s v="Y"/>
    <x v="2"/>
    <n v="41"/>
    <n v="41"/>
    <x v="0"/>
    <n v="2"/>
    <n v="6"/>
    <n v="3"/>
    <m/>
    <n v="11"/>
    <n v="21"/>
    <m/>
    <s v="Edge"/>
    <n v="1"/>
    <m/>
    <m/>
    <x v="4"/>
    <n v="3"/>
    <n v="50"/>
    <n v="37"/>
    <x v="0"/>
    <n v="7"/>
    <x v="7"/>
    <m/>
    <m/>
    <n v="25"/>
    <x v="1"/>
    <s v="08/05/2024"/>
    <d v="2024-05-08T00:00:00"/>
    <s v="2024041-41"/>
    <x v="5"/>
  </r>
  <r>
    <x v="644"/>
    <n v="2024041"/>
    <x v="41"/>
    <s v="Mixed"/>
    <s v="Lupin"/>
    <x v="27"/>
    <s v="Y"/>
    <x v="2"/>
    <n v="42"/>
    <n v="42"/>
    <x v="0"/>
    <n v="2"/>
    <n v="6"/>
    <n v="3"/>
    <m/>
    <n v="11"/>
    <n v="22"/>
    <m/>
    <s v="Inside"/>
    <n v="2"/>
    <m/>
    <m/>
    <x v="5"/>
    <n v="3"/>
    <n v="50"/>
    <n v="38"/>
    <x v="0"/>
    <n v="7"/>
    <x v="7"/>
    <m/>
    <m/>
    <n v="25"/>
    <x v="1"/>
    <s v="08/05/2024"/>
    <d v="2024-05-08T00:00:00"/>
    <s v="2024041-42"/>
    <x v="5"/>
  </r>
  <r>
    <x v="644"/>
    <n v="2024041"/>
    <x v="41"/>
    <s v="Mixed"/>
    <s v="Lupin"/>
    <x v="27"/>
    <s v="Y"/>
    <x v="2"/>
    <n v="43"/>
    <n v="43"/>
    <x v="0"/>
    <n v="2"/>
    <n v="6"/>
    <n v="3"/>
    <m/>
    <n v="11"/>
    <n v="22"/>
    <m/>
    <s v="Inside"/>
    <n v="2"/>
    <m/>
    <m/>
    <x v="6"/>
    <n v="3"/>
    <n v="50"/>
    <n v="39"/>
    <x v="0"/>
    <n v="7"/>
    <x v="7"/>
    <m/>
    <m/>
    <n v="25"/>
    <x v="1"/>
    <s v="08/05/2024"/>
    <d v="2024-05-08T00:00:00"/>
    <s v="2024041-43"/>
    <x v="5"/>
  </r>
  <r>
    <x v="645"/>
    <n v="2024041"/>
    <x v="41"/>
    <s v="Mixed"/>
    <s v="Canola"/>
    <x v="33"/>
    <s v="N"/>
    <x v="2"/>
    <n v="44"/>
    <n v="44"/>
    <x v="0"/>
    <n v="2"/>
    <n v="6"/>
    <n v="3"/>
    <m/>
    <n v="11"/>
    <n v="21"/>
    <m/>
    <s v="Edge"/>
    <n v="1"/>
    <m/>
    <m/>
    <x v="7"/>
    <n v="3"/>
    <n v="50"/>
    <n v="40"/>
    <x v="0"/>
    <n v="8"/>
    <x v="7"/>
    <m/>
    <m/>
    <n v="25"/>
    <x v="1"/>
    <s v="08/05/2024"/>
    <d v="2024-05-08T00:00:00"/>
    <s v="2024041-44"/>
    <x v="6"/>
  </r>
  <r>
    <x v="646"/>
    <n v="2024041"/>
    <x v="41"/>
    <s v="Mixed"/>
    <s v="Lentil"/>
    <x v="1"/>
    <s v="Y"/>
    <x v="2"/>
    <n v="45"/>
    <n v="45"/>
    <x v="0"/>
    <n v="2"/>
    <n v="6"/>
    <n v="4"/>
    <m/>
    <n v="12"/>
    <n v="23"/>
    <m/>
    <s v="Edge"/>
    <n v="1"/>
    <m/>
    <m/>
    <x v="4"/>
    <n v="4"/>
    <n v="50"/>
    <n v="60"/>
    <x v="0"/>
    <n v="3"/>
    <x v="7"/>
    <m/>
    <m/>
    <n v="25"/>
    <x v="1"/>
    <s v="08/05/2024"/>
    <d v="2024-05-08T00:00:00"/>
    <s v="2024041-45"/>
    <x v="0"/>
  </r>
  <r>
    <x v="647"/>
    <n v="2024041"/>
    <x v="41"/>
    <s v="Mixed"/>
    <s v="Lentil"/>
    <x v="15"/>
    <s v="Y"/>
    <x v="2"/>
    <n v="46"/>
    <n v="46"/>
    <x v="0"/>
    <n v="2"/>
    <n v="6"/>
    <n v="4"/>
    <m/>
    <n v="12"/>
    <n v="24"/>
    <m/>
    <s v="Inside"/>
    <n v="2"/>
    <m/>
    <m/>
    <x v="5"/>
    <n v="4"/>
    <n v="50"/>
    <n v="59"/>
    <x v="0"/>
    <n v="4"/>
    <x v="7"/>
    <m/>
    <m/>
    <n v="25"/>
    <x v="1"/>
    <s v="08/05/2024"/>
    <d v="2024-05-08T00:00:00"/>
    <s v="2024041-46"/>
    <x v="0"/>
  </r>
  <r>
    <x v="646"/>
    <n v="2024041"/>
    <x v="41"/>
    <s v="Mixed"/>
    <s v="Lentil"/>
    <x v="1"/>
    <s v="Y"/>
    <x v="2"/>
    <n v="47"/>
    <n v="47"/>
    <x v="0"/>
    <n v="2"/>
    <n v="6"/>
    <n v="4"/>
    <m/>
    <n v="12"/>
    <n v="24"/>
    <m/>
    <s v="Inside"/>
    <n v="2"/>
    <m/>
    <m/>
    <x v="6"/>
    <n v="4"/>
    <n v="50"/>
    <n v="58"/>
    <x v="0"/>
    <n v="3"/>
    <x v="7"/>
    <m/>
    <m/>
    <n v="25"/>
    <x v="1"/>
    <s v="08/05/2024"/>
    <d v="2024-05-08T00:00:00"/>
    <s v="2024041-47"/>
    <x v="0"/>
  </r>
  <r>
    <x v="647"/>
    <n v="2024041"/>
    <x v="41"/>
    <s v="Mixed"/>
    <s v="Lentil"/>
    <x v="15"/>
    <s v="Y"/>
    <x v="2"/>
    <n v="48"/>
    <n v="48"/>
    <x v="0"/>
    <n v="2"/>
    <n v="6"/>
    <n v="4"/>
    <m/>
    <n v="12"/>
    <n v="23"/>
    <m/>
    <s v="Edge"/>
    <n v="1"/>
    <m/>
    <m/>
    <x v="7"/>
    <n v="4"/>
    <n v="50"/>
    <n v="57"/>
    <x v="0"/>
    <n v="4"/>
    <x v="7"/>
    <m/>
    <m/>
    <n v="25"/>
    <x v="1"/>
    <s v="08/05/2024"/>
    <d v="2024-05-08T00:00:00"/>
    <s v="2024041-48"/>
    <x v="0"/>
  </r>
  <r>
    <x v="648"/>
    <n v="2024041"/>
    <x v="41"/>
    <s v="Mixed"/>
    <s v="Fababean"/>
    <x v="10"/>
    <s v="Y"/>
    <x v="2"/>
    <n v="49"/>
    <n v="49"/>
    <x v="0"/>
    <n v="2"/>
    <n v="7"/>
    <n v="3"/>
    <m/>
    <n v="13"/>
    <n v="25"/>
    <m/>
    <s v="Edge"/>
    <n v="1"/>
    <m/>
    <m/>
    <x v="8"/>
    <n v="3"/>
    <n v="350"/>
    <n v="41"/>
    <x v="0"/>
    <n v="6"/>
    <x v="6"/>
    <m/>
    <m/>
    <n v="25"/>
    <x v="1"/>
    <s v="08/05/2024"/>
    <d v="2024-05-08T00:00:00"/>
    <s v="2024041-49"/>
    <x v="4"/>
  </r>
  <r>
    <x v="648"/>
    <n v="2024041"/>
    <x v="41"/>
    <s v="Mixed"/>
    <s v="Fababean"/>
    <x v="10"/>
    <s v="Y"/>
    <x v="2"/>
    <n v="50"/>
    <n v="50"/>
    <x v="0"/>
    <n v="2"/>
    <n v="7"/>
    <n v="3"/>
    <m/>
    <n v="13"/>
    <n v="26"/>
    <m/>
    <s v="Inside"/>
    <n v="2"/>
    <m/>
    <m/>
    <x v="9"/>
    <n v="3"/>
    <n v="350"/>
    <n v="42"/>
    <x v="0"/>
    <n v="6"/>
    <x v="6"/>
    <m/>
    <m/>
    <n v="25"/>
    <x v="1"/>
    <s v="08/05/2024"/>
    <d v="2024-05-08T00:00:00"/>
    <s v="2024041-50"/>
    <x v="4"/>
  </r>
  <r>
    <x v="649"/>
    <n v="2024041"/>
    <x v="41"/>
    <s v="Mixed"/>
    <s v="Fababean"/>
    <x v="13"/>
    <s v="Y"/>
    <x v="2"/>
    <n v="51"/>
    <n v="51"/>
    <x v="0"/>
    <n v="2"/>
    <n v="7"/>
    <n v="3"/>
    <m/>
    <n v="13"/>
    <n v="26"/>
    <m/>
    <s v="Inside"/>
    <n v="2"/>
    <m/>
    <m/>
    <x v="10"/>
    <n v="3"/>
    <n v="350"/>
    <n v="43"/>
    <x v="0"/>
    <n v="5"/>
    <x v="6"/>
    <m/>
    <m/>
    <n v="25"/>
    <x v="1"/>
    <s v="08/05/2024"/>
    <d v="2024-05-08T00:00:00"/>
    <s v="2024041-51"/>
    <x v="4"/>
  </r>
  <r>
    <x v="649"/>
    <n v="2024041"/>
    <x v="41"/>
    <s v="Mixed"/>
    <s v="Fababean"/>
    <x v="13"/>
    <s v="Y"/>
    <x v="2"/>
    <n v="52"/>
    <n v="52"/>
    <x v="0"/>
    <n v="2"/>
    <n v="7"/>
    <n v="3"/>
    <m/>
    <n v="13"/>
    <n v="25"/>
    <m/>
    <s v="Edge"/>
    <n v="1"/>
    <m/>
    <m/>
    <x v="11"/>
    <n v="3"/>
    <n v="350"/>
    <n v="44"/>
    <x v="0"/>
    <n v="5"/>
    <x v="6"/>
    <m/>
    <m/>
    <n v="25"/>
    <x v="1"/>
    <s v="08/05/2024"/>
    <d v="2024-05-08T00:00:00"/>
    <s v="2024041-52"/>
    <x v="4"/>
  </r>
  <r>
    <x v="650"/>
    <n v="2024041"/>
    <x v="41"/>
    <s v="Mixed"/>
    <s v="Lupin"/>
    <x v="27"/>
    <s v="Y"/>
    <x v="2"/>
    <n v="53"/>
    <n v="53"/>
    <x v="0"/>
    <n v="2"/>
    <n v="7"/>
    <n v="4"/>
    <m/>
    <n v="14"/>
    <n v="27"/>
    <m/>
    <s v="Edge"/>
    <n v="1"/>
    <m/>
    <m/>
    <x v="8"/>
    <n v="4"/>
    <n v="350"/>
    <n v="56"/>
    <x v="0"/>
    <n v="7"/>
    <x v="6"/>
    <m/>
    <m/>
    <n v="25"/>
    <x v="1"/>
    <s v="08/05/2024"/>
    <d v="2024-05-08T00:00:00"/>
    <s v="2024041-53"/>
    <x v="5"/>
  </r>
  <r>
    <x v="650"/>
    <n v="2024041"/>
    <x v="41"/>
    <s v="Mixed"/>
    <s v="Lupin"/>
    <x v="27"/>
    <s v="Y"/>
    <x v="2"/>
    <n v="54"/>
    <n v="54"/>
    <x v="0"/>
    <n v="2"/>
    <n v="7"/>
    <n v="4"/>
    <m/>
    <n v="14"/>
    <n v="28"/>
    <m/>
    <s v="Inside"/>
    <n v="2"/>
    <m/>
    <m/>
    <x v="9"/>
    <n v="4"/>
    <n v="350"/>
    <n v="55"/>
    <x v="0"/>
    <n v="7"/>
    <x v="6"/>
    <m/>
    <m/>
    <n v="25"/>
    <x v="1"/>
    <s v="08/05/2024"/>
    <d v="2024-05-08T00:00:00"/>
    <s v="2024041-54"/>
    <x v="5"/>
  </r>
  <r>
    <x v="650"/>
    <n v="2024041"/>
    <x v="41"/>
    <s v="Mixed"/>
    <s v="Lupin"/>
    <x v="27"/>
    <s v="Y"/>
    <x v="2"/>
    <n v="55"/>
    <n v="55"/>
    <x v="0"/>
    <n v="2"/>
    <n v="7"/>
    <n v="4"/>
    <m/>
    <n v="14"/>
    <n v="28"/>
    <m/>
    <s v="Inside"/>
    <n v="2"/>
    <m/>
    <m/>
    <x v="10"/>
    <n v="4"/>
    <n v="350"/>
    <n v="54"/>
    <x v="0"/>
    <n v="7"/>
    <x v="6"/>
    <m/>
    <m/>
    <n v="25"/>
    <x v="1"/>
    <s v="08/05/2024"/>
    <d v="2024-05-08T00:00:00"/>
    <s v="2024041-55"/>
    <x v="5"/>
  </r>
  <r>
    <x v="651"/>
    <n v="2024041"/>
    <x v="41"/>
    <s v="Mixed"/>
    <s v="Canola"/>
    <x v="33"/>
    <s v="N"/>
    <x v="2"/>
    <n v="56"/>
    <n v="56"/>
    <x v="0"/>
    <n v="2"/>
    <n v="7"/>
    <n v="4"/>
    <m/>
    <n v="14"/>
    <n v="27"/>
    <m/>
    <s v="Edge"/>
    <n v="1"/>
    <m/>
    <m/>
    <x v="11"/>
    <n v="4"/>
    <n v="350"/>
    <n v="53"/>
    <x v="0"/>
    <n v="8"/>
    <x v="6"/>
    <m/>
    <m/>
    <n v="25"/>
    <x v="1"/>
    <s v="08/05/2024"/>
    <d v="2024-05-08T00:00:00"/>
    <s v="2024041-56"/>
    <x v="6"/>
  </r>
  <r>
    <x v="652"/>
    <n v="2024041"/>
    <x v="41"/>
    <s v="Mixed"/>
    <s v="Lentil"/>
    <x v="15"/>
    <s v="Y"/>
    <x v="2"/>
    <n v="57"/>
    <n v="57"/>
    <x v="0"/>
    <n v="2"/>
    <n v="8"/>
    <n v="3"/>
    <m/>
    <n v="15"/>
    <n v="29"/>
    <m/>
    <s v="Edge"/>
    <n v="1"/>
    <m/>
    <m/>
    <x v="12"/>
    <n v="3"/>
    <n v="125"/>
    <n v="45"/>
    <x v="0"/>
    <n v="4"/>
    <x v="5"/>
    <m/>
    <m/>
    <n v="25"/>
    <x v="1"/>
    <s v="08/05/2024"/>
    <d v="2024-05-08T00:00:00"/>
    <s v="2024041-57"/>
    <x v="0"/>
  </r>
  <r>
    <x v="653"/>
    <n v="2024041"/>
    <x v="41"/>
    <s v="Mixed"/>
    <s v="Lentil"/>
    <x v="1"/>
    <s v="Y"/>
    <x v="2"/>
    <n v="58"/>
    <n v="58"/>
    <x v="0"/>
    <n v="2"/>
    <n v="8"/>
    <n v="3"/>
    <m/>
    <n v="15"/>
    <n v="30"/>
    <m/>
    <s v="Inside"/>
    <n v="2"/>
    <m/>
    <m/>
    <x v="13"/>
    <n v="3"/>
    <n v="125"/>
    <n v="46"/>
    <x v="0"/>
    <n v="3"/>
    <x v="5"/>
    <m/>
    <m/>
    <n v="25"/>
    <x v="1"/>
    <s v="08/05/2024"/>
    <d v="2024-05-08T00:00:00"/>
    <s v="2024041-58"/>
    <x v="0"/>
  </r>
  <r>
    <x v="652"/>
    <n v="2024041"/>
    <x v="41"/>
    <s v="Mixed"/>
    <s v="Lentil"/>
    <x v="15"/>
    <s v="Y"/>
    <x v="2"/>
    <n v="59"/>
    <n v="59"/>
    <x v="0"/>
    <n v="2"/>
    <n v="8"/>
    <n v="3"/>
    <m/>
    <n v="15"/>
    <n v="30"/>
    <m/>
    <s v="Inside"/>
    <n v="2"/>
    <m/>
    <m/>
    <x v="14"/>
    <n v="3"/>
    <n v="125"/>
    <n v="47"/>
    <x v="0"/>
    <n v="4"/>
    <x v="5"/>
    <m/>
    <m/>
    <n v="25"/>
    <x v="1"/>
    <s v="08/05/2024"/>
    <d v="2024-05-08T00:00:00"/>
    <s v="2024041-59"/>
    <x v="0"/>
  </r>
  <r>
    <x v="653"/>
    <n v="2024041"/>
    <x v="41"/>
    <s v="Mixed"/>
    <s v="Lentil"/>
    <x v="1"/>
    <s v="Y"/>
    <x v="2"/>
    <n v="60"/>
    <n v="60"/>
    <x v="0"/>
    <n v="2"/>
    <n v="8"/>
    <n v="3"/>
    <m/>
    <n v="15"/>
    <n v="29"/>
    <m/>
    <s v="Edge"/>
    <n v="1"/>
    <m/>
    <m/>
    <x v="17"/>
    <n v="3"/>
    <n v="125"/>
    <n v="48"/>
    <x v="0"/>
    <n v="3"/>
    <x v="5"/>
    <m/>
    <m/>
    <n v="25"/>
    <x v="1"/>
    <s v="08/05/2024"/>
    <d v="2024-05-08T00:00:00"/>
    <s v="2024041-60"/>
    <x v="0"/>
  </r>
  <r>
    <x v="654"/>
    <n v="2024041"/>
    <x v="41"/>
    <s v="Mixed"/>
    <s v="Chickpea"/>
    <x v="8"/>
    <s v="Y"/>
    <x v="2"/>
    <n v="61"/>
    <n v="61"/>
    <x v="0"/>
    <n v="2"/>
    <n v="8"/>
    <n v="4"/>
    <m/>
    <n v="16"/>
    <n v="31"/>
    <m/>
    <s v="Edge"/>
    <n v="1"/>
    <m/>
    <m/>
    <x v="12"/>
    <n v="4"/>
    <n v="125"/>
    <n v="52"/>
    <x v="0"/>
    <n v="1"/>
    <x v="5"/>
    <m/>
    <m/>
    <n v="25"/>
    <x v="1"/>
    <s v="08/05/2024"/>
    <d v="2024-05-08T00:00:00"/>
    <s v="2024041-61"/>
    <x v="3"/>
  </r>
  <r>
    <x v="655"/>
    <n v="2024041"/>
    <x v="41"/>
    <s v="Mixed"/>
    <s v="Chickpea"/>
    <x v="4"/>
    <s v="Y"/>
    <x v="2"/>
    <n v="62"/>
    <n v="62"/>
    <x v="0"/>
    <n v="2"/>
    <n v="8"/>
    <n v="4"/>
    <m/>
    <n v="16"/>
    <n v="32"/>
    <m/>
    <s v="Inside"/>
    <n v="2"/>
    <m/>
    <m/>
    <x v="13"/>
    <n v="4"/>
    <n v="125"/>
    <n v="51"/>
    <x v="0"/>
    <n v="2"/>
    <x v="5"/>
    <m/>
    <m/>
    <n v="25"/>
    <x v="1"/>
    <s v="08/05/2024"/>
    <d v="2024-05-08T00:00:00"/>
    <s v="2024041-62"/>
    <x v="3"/>
  </r>
  <r>
    <x v="654"/>
    <n v="2024041"/>
    <x v="41"/>
    <s v="Mixed"/>
    <s v="Chickpea"/>
    <x v="8"/>
    <s v="Y"/>
    <x v="2"/>
    <n v="63"/>
    <n v="63"/>
    <x v="0"/>
    <n v="2"/>
    <n v="8"/>
    <n v="4"/>
    <m/>
    <n v="16"/>
    <n v="32"/>
    <m/>
    <s v="Inside"/>
    <n v="2"/>
    <m/>
    <m/>
    <x v="14"/>
    <n v="4"/>
    <n v="125"/>
    <n v="50"/>
    <x v="0"/>
    <n v="1"/>
    <x v="5"/>
    <m/>
    <m/>
    <n v="25"/>
    <x v="1"/>
    <s v="08/05/2024"/>
    <d v="2024-05-08T00:00:00"/>
    <s v="2024041-63"/>
    <x v="3"/>
  </r>
  <r>
    <x v="655"/>
    <n v="2024041"/>
    <x v="41"/>
    <s v="Mixed"/>
    <s v="Chickpea"/>
    <x v="4"/>
    <s v="Y"/>
    <x v="2"/>
    <n v="64"/>
    <n v="64"/>
    <x v="0"/>
    <n v="2"/>
    <n v="8"/>
    <n v="4"/>
    <m/>
    <n v="16"/>
    <n v="31"/>
    <m/>
    <s v="Edge"/>
    <n v="1"/>
    <m/>
    <m/>
    <x v="17"/>
    <n v="4"/>
    <n v="125"/>
    <n v="49"/>
    <x v="0"/>
    <n v="2"/>
    <x v="5"/>
    <m/>
    <m/>
    <n v="25"/>
    <x v="1"/>
    <s v="08/05/2024"/>
    <d v="2024-05-08T00:00:00"/>
    <s v="2024041-64"/>
    <x v="3"/>
  </r>
  <r>
    <x v="636"/>
    <n v="2024041"/>
    <x v="41"/>
    <s v="Mixed"/>
    <s v="Canola"/>
    <x v="33"/>
    <s v="N"/>
    <x v="2"/>
    <n v="65"/>
    <n v="65"/>
    <x v="1"/>
    <n v="3"/>
    <n v="9"/>
    <n v="5"/>
    <m/>
    <n v="17"/>
    <n v="33"/>
    <m/>
    <s v="Edge"/>
    <n v="1"/>
    <m/>
    <m/>
    <x v="0"/>
    <n v="5"/>
    <n v="175"/>
    <n v="65"/>
    <x v="0"/>
    <n v="8"/>
    <x v="8"/>
    <m/>
    <m/>
    <n v="25"/>
    <x v="1"/>
    <s v="08/05/2024"/>
    <d v="2024-05-08T00:00:00"/>
    <s v="2024041-65"/>
    <x v="6"/>
  </r>
  <r>
    <x v="637"/>
    <n v="2024041"/>
    <x v="41"/>
    <s v="Mixed"/>
    <s v="Lupin"/>
    <x v="27"/>
    <s v="Y"/>
    <x v="2"/>
    <n v="66"/>
    <n v="66"/>
    <x v="1"/>
    <n v="3"/>
    <n v="9"/>
    <n v="5"/>
    <m/>
    <n v="17"/>
    <n v="34"/>
    <m/>
    <s v="Inside"/>
    <n v="2"/>
    <m/>
    <m/>
    <x v="1"/>
    <n v="5"/>
    <n v="175"/>
    <n v="66"/>
    <x v="0"/>
    <n v="7"/>
    <x v="8"/>
    <m/>
    <m/>
    <n v="25"/>
    <x v="1"/>
    <s v="08/05/2024"/>
    <d v="2024-05-08T00:00:00"/>
    <s v="2024041-66"/>
    <x v="5"/>
  </r>
  <r>
    <x v="637"/>
    <n v="2024041"/>
    <x v="41"/>
    <s v="Mixed"/>
    <s v="Lupin"/>
    <x v="27"/>
    <s v="Y"/>
    <x v="2"/>
    <n v="67"/>
    <n v="67"/>
    <x v="1"/>
    <n v="3"/>
    <n v="9"/>
    <n v="5"/>
    <m/>
    <n v="17"/>
    <n v="34"/>
    <m/>
    <s v="Inside"/>
    <n v="2"/>
    <m/>
    <m/>
    <x v="2"/>
    <n v="5"/>
    <n v="175"/>
    <n v="67"/>
    <x v="0"/>
    <n v="7"/>
    <x v="8"/>
    <m/>
    <m/>
    <n v="25"/>
    <x v="1"/>
    <s v="08/05/2024"/>
    <d v="2024-05-08T00:00:00"/>
    <s v="2024041-67"/>
    <x v="5"/>
  </r>
  <r>
    <x v="637"/>
    <n v="2024041"/>
    <x v="41"/>
    <s v="Mixed"/>
    <s v="Lupin"/>
    <x v="27"/>
    <s v="Y"/>
    <x v="2"/>
    <n v="68"/>
    <n v="68"/>
    <x v="1"/>
    <n v="3"/>
    <n v="9"/>
    <n v="5"/>
    <m/>
    <n v="17"/>
    <n v="33"/>
    <m/>
    <s v="Edge"/>
    <n v="1"/>
    <m/>
    <m/>
    <x v="3"/>
    <n v="5"/>
    <n v="175"/>
    <n v="68"/>
    <x v="0"/>
    <n v="7"/>
    <x v="8"/>
    <m/>
    <m/>
    <n v="25"/>
    <x v="1"/>
    <s v="08/05/2024"/>
    <d v="2024-05-08T00:00:00"/>
    <s v="2024041-68"/>
    <x v="5"/>
  </r>
  <r>
    <x v="639"/>
    <n v="2024041"/>
    <x v="41"/>
    <s v="Mixed"/>
    <s v="Lentil"/>
    <x v="15"/>
    <s v="Y"/>
    <x v="2"/>
    <n v="69"/>
    <n v="69"/>
    <x v="1"/>
    <n v="3"/>
    <n v="9"/>
    <n v="6"/>
    <m/>
    <n v="18"/>
    <n v="35"/>
    <m/>
    <s v="Edge"/>
    <n v="1"/>
    <m/>
    <m/>
    <x v="0"/>
    <n v="6"/>
    <n v="175"/>
    <n v="96"/>
    <x v="0"/>
    <n v="4"/>
    <x v="8"/>
    <m/>
    <m/>
    <n v="25"/>
    <x v="1"/>
    <s v="08/05/2024"/>
    <d v="2024-05-08T00:00:00"/>
    <s v="2024041-69"/>
    <x v="0"/>
  </r>
  <r>
    <x v="638"/>
    <n v="2024041"/>
    <x v="41"/>
    <s v="Mixed"/>
    <s v="Lentil"/>
    <x v="1"/>
    <s v="Y"/>
    <x v="2"/>
    <n v="70"/>
    <n v="70"/>
    <x v="1"/>
    <n v="3"/>
    <n v="9"/>
    <n v="6"/>
    <m/>
    <n v="18"/>
    <n v="36"/>
    <m/>
    <s v="Inside"/>
    <n v="2"/>
    <m/>
    <m/>
    <x v="1"/>
    <n v="6"/>
    <n v="175"/>
    <n v="95"/>
    <x v="0"/>
    <n v="3"/>
    <x v="8"/>
    <m/>
    <m/>
    <n v="25"/>
    <x v="1"/>
    <s v="08/05/2024"/>
    <d v="2024-05-08T00:00:00"/>
    <s v="2024041-70"/>
    <x v="0"/>
  </r>
  <r>
    <x v="639"/>
    <n v="2024041"/>
    <x v="41"/>
    <s v="Mixed"/>
    <s v="Lentil"/>
    <x v="15"/>
    <s v="Y"/>
    <x v="2"/>
    <n v="71"/>
    <n v="71"/>
    <x v="1"/>
    <n v="3"/>
    <n v="9"/>
    <n v="6"/>
    <m/>
    <n v="18"/>
    <n v="36"/>
    <m/>
    <s v="Inside"/>
    <n v="2"/>
    <m/>
    <m/>
    <x v="2"/>
    <n v="6"/>
    <n v="175"/>
    <n v="94"/>
    <x v="0"/>
    <n v="4"/>
    <x v="8"/>
    <m/>
    <m/>
    <n v="25"/>
    <x v="1"/>
    <s v="08/05/2024"/>
    <d v="2024-05-08T00:00:00"/>
    <s v="2024041-71"/>
    <x v="0"/>
  </r>
  <r>
    <x v="638"/>
    <n v="2024041"/>
    <x v="41"/>
    <s v="Mixed"/>
    <s v="Lentil"/>
    <x v="1"/>
    <s v="Y"/>
    <x v="2"/>
    <n v="72"/>
    <n v="72"/>
    <x v="1"/>
    <n v="3"/>
    <n v="9"/>
    <n v="6"/>
    <m/>
    <n v="18"/>
    <n v="35"/>
    <m/>
    <s v="Edge"/>
    <n v="1"/>
    <m/>
    <m/>
    <x v="3"/>
    <n v="6"/>
    <n v="175"/>
    <n v="93"/>
    <x v="0"/>
    <n v="3"/>
    <x v="8"/>
    <m/>
    <m/>
    <n v="25"/>
    <x v="1"/>
    <s v="08/05/2024"/>
    <d v="2024-05-08T00:00:00"/>
    <s v="2024041-72"/>
    <x v="0"/>
  </r>
  <r>
    <x v="629"/>
    <n v="2024041"/>
    <x v="41"/>
    <s v="Mixed"/>
    <s v="Lentil"/>
    <x v="1"/>
    <s v="Y"/>
    <x v="2"/>
    <n v="73"/>
    <n v="73"/>
    <x v="1"/>
    <n v="3"/>
    <n v="10"/>
    <n v="5"/>
    <m/>
    <n v="19"/>
    <n v="37"/>
    <m/>
    <s v="Edge"/>
    <n v="1"/>
    <m/>
    <m/>
    <x v="4"/>
    <n v="5"/>
    <n v="350"/>
    <n v="69"/>
    <x v="0"/>
    <n v="3"/>
    <x v="6"/>
    <m/>
    <m/>
    <n v="25"/>
    <x v="1"/>
    <s v="08/05/2024"/>
    <d v="2024-05-08T00:00:00"/>
    <s v="2024041-73"/>
    <x v="0"/>
  </r>
  <r>
    <x v="629"/>
    <n v="2024041"/>
    <x v="41"/>
    <s v="Mixed"/>
    <s v="Lentil"/>
    <x v="1"/>
    <s v="Y"/>
    <x v="2"/>
    <n v="74"/>
    <n v="74"/>
    <x v="1"/>
    <n v="3"/>
    <n v="10"/>
    <n v="5"/>
    <m/>
    <n v="19"/>
    <n v="38"/>
    <m/>
    <s v="Inside"/>
    <n v="2"/>
    <m/>
    <m/>
    <x v="5"/>
    <n v="5"/>
    <n v="350"/>
    <n v="70"/>
    <x v="0"/>
    <n v="3"/>
    <x v="6"/>
    <m/>
    <m/>
    <n v="25"/>
    <x v="1"/>
    <s v="08/05/2024"/>
    <d v="2024-05-08T00:00:00"/>
    <s v="2024041-74"/>
    <x v="0"/>
  </r>
  <r>
    <x v="628"/>
    <n v="2024041"/>
    <x v="41"/>
    <s v="Mixed"/>
    <s v="Lentil"/>
    <x v="15"/>
    <s v="Y"/>
    <x v="2"/>
    <n v="75"/>
    <n v="75"/>
    <x v="1"/>
    <n v="3"/>
    <n v="10"/>
    <n v="5"/>
    <m/>
    <n v="19"/>
    <n v="38"/>
    <m/>
    <s v="Inside"/>
    <n v="2"/>
    <m/>
    <m/>
    <x v="6"/>
    <n v="5"/>
    <n v="350"/>
    <n v="71"/>
    <x v="0"/>
    <n v="4"/>
    <x v="6"/>
    <m/>
    <m/>
    <n v="25"/>
    <x v="1"/>
    <s v="08/05/2024"/>
    <d v="2024-05-08T00:00:00"/>
    <s v="2024041-75"/>
    <x v="0"/>
  </r>
  <r>
    <x v="628"/>
    <n v="2024041"/>
    <x v="41"/>
    <s v="Mixed"/>
    <s v="Lentil"/>
    <x v="15"/>
    <s v="Y"/>
    <x v="2"/>
    <n v="76"/>
    <n v="76"/>
    <x v="1"/>
    <n v="3"/>
    <n v="10"/>
    <n v="5"/>
    <m/>
    <n v="19"/>
    <n v="37"/>
    <m/>
    <s v="Edge"/>
    <n v="1"/>
    <m/>
    <m/>
    <x v="7"/>
    <n v="5"/>
    <n v="350"/>
    <n v="72"/>
    <x v="0"/>
    <n v="4"/>
    <x v="6"/>
    <m/>
    <m/>
    <n v="25"/>
    <x v="1"/>
    <s v="08/05/2024"/>
    <d v="2024-05-08T00:00:00"/>
    <s v="2024041-76"/>
    <x v="0"/>
  </r>
  <r>
    <x v="648"/>
    <n v="2024041"/>
    <x v="41"/>
    <s v="Mixed"/>
    <s v="Fababean"/>
    <x v="10"/>
    <s v="Y"/>
    <x v="2"/>
    <n v="77"/>
    <n v="77"/>
    <x v="1"/>
    <n v="3"/>
    <n v="10"/>
    <n v="6"/>
    <m/>
    <n v="20"/>
    <n v="39"/>
    <m/>
    <s v="Edge"/>
    <n v="1"/>
    <m/>
    <m/>
    <x v="4"/>
    <n v="6"/>
    <n v="350"/>
    <n v="92"/>
    <x v="0"/>
    <n v="6"/>
    <x v="6"/>
    <m/>
    <m/>
    <n v="25"/>
    <x v="1"/>
    <s v="08/05/2024"/>
    <d v="2024-05-08T00:00:00"/>
    <s v="2024041-77"/>
    <x v="4"/>
  </r>
  <r>
    <x v="649"/>
    <n v="2024041"/>
    <x v="41"/>
    <s v="Mixed"/>
    <s v="Fababean"/>
    <x v="13"/>
    <s v="Y"/>
    <x v="2"/>
    <n v="78"/>
    <n v="78"/>
    <x v="1"/>
    <n v="3"/>
    <n v="10"/>
    <n v="6"/>
    <m/>
    <n v="20"/>
    <n v="40"/>
    <m/>
    <s v="Inside"/>
    <n v="2"/>
    <m/>
    <m/>
    <x v="5"/>
    <n v="6"/>
    <n v="350"/>
    <n v="91"/>
    <x v="0"/>
    <n v="5"/>
    <x v="6"/>
    <m/>
    <m/>
    <n v="25"/>
    <x v="1"/>
    <s v="08/05/2024"/>
    <d v="2024-05-08T00:00:00"/>
    <s v="2024041-78"/>
    <x v="4"/>
  </r>
  <r>
    <x v="648"/>
    <n v="2024041"/>
    <x v="41"/>
    <s v="Mixed"/>
    <s v="Fababean"/>
    <x v="10"/>
    <s v="Y"/>
    <x v="2"/>
    <n v="79"/>
    <n v="79"/>
    <x v="1"/>
    <n v="3"/>
    <n v="10"/>
    <n v="6"/>
    <m/>
    <n v="20"/>
    <n v="40"/>
    <m/>
    <s v="Inside"/>
    <n v="2"/>
    <m/>
    <m/>
    <x v="6"/>
    <n v="6"/>
    <n v="350"/>
    <n v="90"/>
    <x v="0"/>
    <n v="6"/>
    <x v="6"/>
    <m/>
    <m/>
    <n v="25"/>
    <x v="1"/>
    <s v="08/05/2024"/>
    <d v="2024-05-08T00:00:00"/>
    <s v="2024041-79"/>
    <x v="4"/>
  </r>
  <r>
    <x v="649"/>
    <n v="2024041"/>
    <x v="41"/>
    <s v="Mixed"/>
    <s v="Fababean"/>
    <x v="13"/>
    <s v="Y"/>
    <x v="2"/>
    <n v="80"/>
    <n v="80"/>
    <x v="1"/>
    <n v="3"/>
    <n v="10"/>
    <n v="6"/>
    <m/>
    <n v="20"/>
    <n v="39"/>
    <m/>
    <s v="Edge"/>
    <n v="1"/>
    <m/>
    <m/>
    <x v="7"/>
    <n v="6"/>
    <n v="350"/>
    <n v="89"/>
    <x v="0"/>
    <n v="5"/>
    <x v="6"/>
    <m/>
    <m/>
    <n v="25"/>
    <x v="1"/>
    <s v="08/05/2024"/>
    <d v="2024-05-08T00:00:00"/>
    <s v="2024041-80"/>
    <x v="4"/>
  </r>
  <r>
    <x v="654"/>
    <n v="2024041"/>
    <x v="41"/>
    <s v="Mixed"/>
    <s v="Chickpea"/>
    <x v="8"/>
    <s v="Y"/>
    <x v="2"/>
    <n v="81"/>
    <n v="81"/>
    <x v="1"/>
    <n v="3"/>
    <n v="11"/>
    <n v="5"/>
    <m/>
    <n v="21"/>
    <n v="41"/>
    <m/>
    <s v="Edge"/>
    <n v="1"/>
    <m/>
    <m/>
    <x v="8"/>
    <n v="5"/>
    <n v="125"/>
    <n v="73"/>
    <x v="0"/>
    <n v="1"/>
    <x v="5"/>
    <m/>
    <m/>
    <n v="25"/>
    <x v="1"/>
    <s v="08/05/2024"/>
    <d v="2024-05-08T00:00:00"/>
    <s v="2024041-81"/>
    <x v="3"/>
  </r>
  <r>
    <x v="655"/>
    <n v="2024041"/>
    <x v="41"/>
    <s v="Mixed"/>
    <s v="Chickpea"/>
    <x v="4"/>
    <s v="Y"/>
    <x v="2"/>
    <n v="82"/>
    <n v="82"/>
    <x v="1"/>
    <n v="3"/>
    <n v="11"/>
    <n v="5"/>
    <m/>
    <n v="21"/>
    <n v="42"/>
    <m/>
    <s v="Inside"/>
    <n v="2"/>
    <m/>
    <m/>
    <x v="9"/>
    <n v="5"/>
    <n v="125"/>
    <n v="74"/>
    <x v="0"/>
    <n v="2"/>
    <x v="5"/>
    <m/>
    <m/>
    <n v="25"/>
    <x v="1"/>
    <s v="08/05/2024"/>
    <d v="2024-05-08T00:00:00"/>
    <s v="2024041-82"/>
    <x v="3"/>
  </r>
  <r>
    <x v="654"/>
    <n v="2024041"/>
    <x v="41"/>
    <s v="Mixed"/>
    <s v="Chickpea"/>
    <x v="8"/>
    <s v="Y"/>
    <x v="2"/>
    <n v="83"/>
    <n v="83"/>
    <x v="1"/>
    <n v="3"/>
    <n v="11"/>
    <n v="5"/>
    <m/>
    <n v="21"/>
    <n v="42"/>
    <m/>
    <s v="Inside"/>
    <n v="2"/>
    <m/>
    <m/>
    <x v="10"/>
    <n v="5"/>
    <n v="125"/>
    <n v="75"/>
    <x v="0"/>
    <n v="1"/>
    <x v="5"/>
    <m/>
    <m/>
    <n v="25"/>
    <x v="1"/>
    <s v="08/05/2024"/>
    <d v="2024-05-08T00:00:00"/>
    <s v="2024041-83"/>
    <x v="3"/>
  </r>
  <r>
    <x v="655"/>
    <n v="2024041"/>
    <x v="41"/>
    <s v="Mixed"/>
    <s v="Chickpea"/>
    <x v="4"/>
    <s v="Y"/>
    <x v="2"/>
    <n v="84"/>
    <n v="84"/>
    <x v="1"/>
    <n v="3"/>
    <n v="11"/>
    <n v="5"/>
    <m/>
    <n v="21"/>
    <n v="41"/>
    <m/>
    <s v="Edge"/>
    <n v="1"/>
    <m/>
    <m/>
    <x v="11"/>
    <n v="5"/>
    <n v="125"/>
    <n v="76"/>
    <x v="0"/>
    <n v="2"/>
    <x v="5"/>
    <m/>
    <m/>
    <n v="25"/>
    <x v="1"/>
    <s v="08/05/2024"/>
    <d v="2024-05-08T00:00:00"/>
    <s v="2024041-84"/>
    <x v="3"/>
  </r>
  <r>
    <x v="626"/>
    <n v="2024041"/>
    <x v="41"/>
    <s v="Mixed"/>
    <s v="Canola"/>
    <x v="33"/>
    <s v="N"/>
    <x v="2"/>
    <n v="85"/>
    <n v="85"/>
    <x v="1"/>
    <n v="3"/>
    <n v="11"/>
    <n v="6"/>
    <m/>
    <n v="22"/>
    <n v="43"/>
    <m/>
    <s v="Edge"/>
    <n v="1"/>
    <m/>
    <m/>
    <x v="8"/>
    <n v="6"/>
    <n v="125"/>
    <n v="88"/>
    <x v="0"/>
    <n v="8"/>
    <x v="5"/>
    <m/>
    <m/>
    <n v="25"/>
    <x v="1"/>
    <s v="08/05/2024"/>
    <d v="2024-05-08T00:00:00"/>
    <s v="2024041-85"/>
    <x v="6"/>
  </r>
  <r>
    <x v="627"/>
    <n v="2024041"/>
    <x v="41"/>
    <s v="Mixed"/>
    <s v="Lupin"/>
    <x v="27"/>
    <s v="Y"/>
    <x v="2"/>
    <n v="86"/>
    <n v="86"/>
    <x v="1"/>
    <n v="3"/>
    <n v="11"/>
    <n v="6"/>
    <m/>
    <n v="22"/>
    <n v="44"/>
    <m/>
    <s v="Inside"/>
    <n v="2"/>
    <m/>
    <m/>
    <x v="9"/>
    <n v="6"/>
    <n v="125"/>
    <n v="87"/>
    <x v="0"/>
    <n v="7"/>
    <x v="5"/>
    <m/>
    <m/>
    <n v="25"/>
    <x v="1"/>
    <s v="08/05/2024"/>
    <d v="2024-05-08T00:00:00"/>
    <s v="2024041-86"/>
    <x v="5"/>
  </r>
  <r>
    <x v="627"/>
    <n v="2024041"/>
    <x v="41"/>
    <s v="Mixed"/>
    <s v="Lupin"/>
    <x v="27"/>
    <s v="Y"/>
    <x v="2"/>
    <n v="87"/>
    <n v="87"/>
    <x v="1"/>
    <n v="3"/>
    <n v="11"/>
    <n v="6"/>
    <m/>
    <n v="22"/>
    <n v="44"/>
    <m/>
    <s v="Inside"/>
    <n v="2"/>
    <m/>
    <m/>
    <x v="10"/>
    <n v="6"/>
    <n v="125"/>
    <n v="86"/>
    <x v="0"/>
    <n v="7"/>
    <x v="5"/>
    <m/>
    <m/>
    <n v="25"/>
    <x v="1"/>
    <s v="08/05/2024"/>
    <d v="2024-05-08T00:00:00"/>
    <s v="2024041-87"/>
    <x v="5"/>
  </r>
  <r>
    <x v="627"/>
    <n v="2024041"/>
    <x v="41"/>
    <s v="Mixed"/>
    <s v="Lupin"/>
    <x v="27"/>
    <s v="Y"/>
    <x v="2"/>
    <n v="88"/>
    <n v="88"/>
    <x v="1"/>
    <n v="3"/>
    <n v="11"/>
    <n v="6"/>
    <m/>
    <n v="22"/>
    <n v="43"/>
    <m/>
    <s v="Edge"/>
    <n v="1"/>
    <m/>
    <m/>
    <x v="11"/>
    <n v="6"/>
    <n v="125"/>
    <n v="85"/>
    <x v="0"/>
    <n v="7"/>
    <x v="5"/>
    <m/>
    <m/>
    <n v="25"/>
    <x v="1"/>
    <s v="08/05/2024"/>
    <d v="2024-05-08T00:00:00"/>
    <s v="2024041-88"/>
    <x v="5"/>
  </r>
  <r>
    <x v="634"/>
    <n v="2024041"/>
    <x v="41"/>
    <s v="Mixed"/>
    <s v="Fababean"/>
    <x v="13"/>
    <s v="Y"/>
    <x v="2"/>
    <n v="89"/>
    <n v="89"/>
    <x v="1"/>
    <n v="3"/>
    <n v="12"/>
    <n v="5"/>
    <m/>
    <n v="23"/>
    <n v="45"/>
    <m/>
    <s v="Edge"/>
    <n v="1"/>
    <m/>
    <m/>
    <x v="12"/>
    <n v="5"/>
    <n v="50"/>
    <n v="77"/>
    <x v="0"/>
    <n v="5"/>
    <x v="7"/>
    <m/>
    <m/>
    <n v="25"/>
    <x v="1"/>
    <s v="08/05/2024"/>
    <d v="2024-05-08T00:00:00"/>
    <s v="2024041-89"/>
    <x v="4"/>
  </r>
  <r>
    <x v="634"/>
    <n v="2024041"/>
    <x v="41"/>
    <s v="Mixed"/>
    <s v="Fababean"/>
    <x v="13"/>
    <s v="Y"/>
    <x v="2"/>
    <n v="90"/>
    <n v="90"/>
    <x v="1"/>
    <n v="3"/>
    <n v="12"/>
    <n v="5"/>
    <m/>
    <n v="23"/>
    <n v="46"/>
    <m/>
    <s v="Inside"/>
    <n v="2"/>
    <m/>
    <m/>
    <x v="13"/>
    <n v="5"/>
    <n v="50"/>
    <n v="78"/>
    <x v="0"/>
    <n v="5"/>
    <x v="7"/>
    <m/>
    <m/>
    <n v="25"/>
    <x v="1"/>
    <s v="08/05/2024"/>
    <d v="2024-05-08T00:00:00"/>
    <s v="2024041-90"/>
    <x v="4"/>
  </r>
  <r>
    <x v="635"/>
    <n v="2024041"/>
    <x v="41"/>
    <s v="Mixed"/>
    <s v="Fababean"/>
    <x v="10"/>
    <s v="Y"/>
    <x v="2"/>
    <n v="91"/>
    <n v="91"/>
    <x v="1"/>
    <n v="3"/>
    <n v="12"/>
    <n v="5"/>
    <m/>
    <n v="23"/>
    <n v="46"/>
    <m/>
    <s v="Inside"/>
    <n v="2"/>
    <m/>
    <m/>
    <x v="14"/>
    <n v="5"/>
    <n v="50"/>
    <n v="79"/>
    <x v="0"/>
    <n v="6"/>
    <x v="7"/>
    <m/>
    <m/>
    <n v="25"/>
    <x v="1"/>
    <s v="08/05/2024"/>
    <d v="2024-05-08T00:00:00"/>
    <s v="2024041-91"/>
    <x v="4"/>
  </r>
  <r>
    <x v="635"/>
    <n v="2024041"/>
    <x v="41"/>
    <s v="Mixed"/>
    <s v="Fababean"/>
    <x v="10"/>
    <s v="Y"/>
    <x v="2"/>
    <n v="92"/>
    <n v="92"/>
    <x v="1"/>
    <n v="3"/>
    <n v="12"/>
    <n v="5"/>
    <m/>
    <n v="23"/>
    <n v="45"/>
    <m/>
    <s v="Edge"/>
    <n v="1"/>
    <m/>
    <m/>
    <x v="17"/>
    <n v="5"/>
    <n v="50"/>
    <n v="80"/>
    <x v="0"/>
    <n v="6"/>
    <x v="7"/>
    <m/>
    <m/>
    <n v="25"/>
    <x v="1"/>
    <s v="08/05/2024"/>
    <d v="2024-05-08T00:00:00"/>
    <s v="2024041-92"/>
    <x v="4"/>
  </r>
  <r>
    <x v="632"/>
    <n v="2024041"/>
    <x v="41"/>
    <s v="Mixed"/>
    <s v="Chickpea"/>
    <x v="4"/>
    <s v="Y"/>
    <x v="2"/>
    <n v="93"/>
    <n v="93"/>
    <x v="1"/>
    <n v="3"/>
    <n v="12"/>
    <n v="6"/>
    <m/>
    <n v="24"/>
    <n v="47"/>
    <m/>
    <s v="Edge"/>
    <n v="1"/>
    <m/>
    <m/>
    <x v="12"/>
    <n v="6"/>
    <n v="50"/>
    <n v="84"/>
    <x v="0"/>
    <n v="2"/>
    <x v="7"/>
    <m/>
    <m/>
    <n v="25"/>
    <x v="1"/>
    <s v="08/05/2024"/>
    <d v="2024-05-08T00:00:00"/>
    <s v="2024041-93"/>
    <x v="3"/>
  </r>
  <r>
    <x v="633"/>
    <n v="2024041"/>
    <x v="41"/>
    <s v="Mixed"/>
    <s v="Chickpea"/>
    <x v="8"/>
    <s v="Y"/>
    <x v="2"/>
    <n v="94"/>
    <n v="94"/>
    <x v="1"/>
    <n v="3"/>
    <n v="12"/>
    <n v="6"/>
    <m/>
    <n v="24"/>
    <n v="48"/>
    <m/>
    <s v="Inside"/>
    <n v="2"/>
    <m/>
    <m/>
    <x v="13"/>
    <n v="6"/>
    <n v="50"/>
    <n v="83"/>
    <x v="0"/>
    <n v="1"/>
    <x v="7"/>
    <m/>
    <m/>
    <n v="25"/>
    <x v="1"/>
    <s v="08/05/2024"/>
    <d v="2024-05-08T00:00:00"/>
    <s v="2024041-94"/>
    <x v="3"/>
  </r>
  <r>
    <x v="632"/>
    <n v="2024041"/>
    <x v="41"/>
    <s v="Mixed"/>
    <s v="Chickpea"/>
    <x v="4"/>
    <s v="Y"/>
    <x v="2"/>
    <n v="95"/>
    <n v="95"/>
    <x v="1"/>
    <n v="3"/>
    <n v="12"/>
    <n v="6"/>
    <m/>
    <n v="24"/>
    <n v="48"/>
    <m/>
    <s v="Inside"/>
    <n v="2"/>
    <m/>
    <m/>
    <x v="14"/>
    <n v="6"/>
    <n v="50"/>
    <n v="82"/>
    <x v="0"/>
    <n v="2"/>
    <x v="7"/>
    <m/>
    <m/>
    <n v="25"/>
    <x v="1"/>
    <s v="08/05/2024"/>
    <d v="2024-05-08T00:00:00"/>
    <s v="2024041-95"/>
    <x v="3"/>
  </r>
  <r>
    <x v="633"/>
    <n v="2024041"/>
    <x v="41"/>
    <s v="Mixed"/>
    <s v="Chickpea"/>
    <x v="8"/>
    <s v="Y"/>
    <x v="2"/>
    <n v="96"/>
    <n v="96"/>
    <x v="1"/>
    <n v="3"/>
    <n v="12"/>
    <n v="6"/>
    <m/>
    <n v="24"/>
    <n v="47"/>
    <m/>
    <s v="Edge"/>
    <n v="1"/>
    <m/>
    <m/>
    <x v="17"/>
    <n v="6"/>
    <n v="50"/>
    <n v="81"/>
    <x v="0"/>
    <n v="1"/>
    <x v="7"/>
    <m/>
    <m/>
    <n v="25"/>
    <x v="1"/>
    <s v="08/05/2024"/>
    <d v="2024-05-08T00:00:00"/>
    <s v="2024041-96"/>
    <x v="3"/>
  </r>
  <r>
    <x v="631"/>
    <n v="2024041"/>
    <x v="41"/>
    <s v="Mixed"/>
    <s v="Chickpea"/>
    <x v="8"/>
    <s v="Y"/>
    <x v="2"/>
    <n v="97"/>
    <n v="97"/>
    <x v="1"/>
    <n v="4"/>
    <n v="13"/>
    <n v="7"/>
    <m/>
    <n v="25"/>
    <n v="49"/>
    <m/>
    <s v="Edge"/>
    <n v="1"/>
    <m/>
    <m/>
    <x v="0"/>
    <n v="7"/>
    <n v="350"/>
    <n v="97"/>
    <x v="0"/>
    <n v="1"/>
    <x v="6"/>
    <m/>
    <m/>
    <n v="25"/>
    <x v="1"/>
    <s v="08/05/2024"/>
    <d v="2024-05-08T00:00:00"/>
    <s v="2024041-97"/>
    <x v="3"/>
  </r>
  <r>
    <x v="630"/>
    <n v="2024041"/>
    <x v="41"/>
    <s v="Mixed"/>
    <s v="Chickpea"/>
    <x v="4"/>
    <s v="Y"/>
    <x v="2"/>
    <n v="98"/>
    <n v="98"/>
    <x v="1"/>
    <n v="4"/>
    <n v="13"/>
    <n v="7"/>
    <m/>
    <n v="25"/>
    <n v="50"/>
    <m/>
    <s v="Inside"/>
    <n v="2"/>
    <m/>
    <m/>
    <x v="1"/>
    <n v="7"/>
    <n v="350"/>
    <n v="98"/>
    <x v="0"/>
    <n v="2"/>
    <x v="6"/>
    <m/>
    <m/>
    <n v="25"/>
    <x v="1"/>
    <s v="08/05/2024"/>
    <d v="2024-05-08T00:00:00"/>
    <s v="2024041-98"/>
    <x v="3"/>
  </r>
  <r>
    <x v="631"/>
    <n v="2024041"/>
    <x v="41"/>
    <s v="Mixed"/>
    <s v="Chickpea"/>
    <x v="8"/>
    <s v="Y"/>
    <x v="2"/>
    <n v="99"/>
    <n v="99"/>
    <x v="1"/>
    <n v="4"/>
    <n v="13"/>
    <n v="7"/>
    <m/>
    <n v="25"/>
    <n v="50"/>
    <m/>
    <s v="Inside"/>
    <n v="2"/>
    <m/>
    <m/>
    <x v="2"/>
    <n v="7"/>
    <n v="350"/>
    <n v="99"/>
    <x v="0"/>
    <n v="1"/>
    <x v="6"/>
    <m/>
    <m/>
    <n v="25"/>
    <x v="1"/>
    <s v="08/05/2024"/>
    <d v="2024-05-08T00:00:00"/>
    <s v="2024041-99"/>
    <x v="3"/>
  </r>
  <r>
    <x v="630"/>
    <n v="2024041"/>
    <x v="41"/>
    <s v="Mixed"/>
    <s v="Chickpea"/>
    <x v="4"/>
    <s v="Y"/>
    <x v="2"/>
    <n v="100"/>
    <n v="100"/>
    <x v="1"/>
    <n v="4"/>
    <n v="13"/>
    <n v="7"/>
    <m/>
    <n v="25"/>
    <n v="49"/>
    <m/>
    <s v="Edge"/>
    <n v="1"/>
    <m/>
    <m/>
    <x v="3"/>
    <n v="7"/>
    <n v="350"/>
    <n v="100"/>
    <x v="0"/>
    <n v="2"/>
    <x v="6"/>
    <m/>
    <m/>
    <n v="25"/>
    <x v="1"/>
    <s v="08/05/2024"/>
    <d v="2024-05-08T00:00:00"/>
    <s v="2024041-100"/>
    <x v="3"/>
  </r>
  <r>
    <x v="651"/>
    <n v="2024041"/>
    <x v="41"/>
    <s v="Mixed"/>
    <s v="Canola"/>
    <x v="33"/>
    <s v="N"/>
    <x v="2"/>
    <n v="101"/>
    <n v="101"/>
    <x v="1"/>
    <n v="4"/>
    <n v="13"/>
    <n v="8"/>
    <m/>
    <n v="26"/>
    <n v="51"/>
    <m/>
    <s v="Edge"/>
    <n v="1"/>
    <m/>
    <m/>
    <x v="0"/>
    <n v="8"/>
    <n v="350"/>
    <n v="128"/>
    <x v="0"/>
    <n v="8"/>
    <x v="6"/>
    <m/>
    <m/>
    <n v="25"/>
    <x v="1"/>
    <s v="08/05/2024"/>
    <d v="2024-05-08T00:00:00"/>
    <s v="2024041-101"/>
    <x v="6"/>
  </r>
  <r>
    <x v="650"/>
    <n v="2024041"/>
    <x v="41"/>
    <s v="Mixed"/>
    <s v="Lupin"/>
    <x v="27"/>
    <s v="Y"/>
    <x v="2"/>
    <n v="102"/>
    <n v="102"/>
    <x v="1"/>
    <n v="4"/>
    <n v="13"/>
    <n v="8"/>
    <m/>
    <n v="26"/>
    <n v="52"/>
    <m/>
    <s v="Inside"/>
    <n v="2"/>
    <m/>
    <m/>
    <x v="1"/>
    <n v="8"/>
    <n v="350"/>
    <n v="127"/>
    <x v="0"/>
    <n v="7"/>
    <x v="6"/>
    <m/>
    <m/>
    <n v="25"/>
    <x v="1"/>
    <s v="08/05/2024"/>
    <d v="2024-05-08T00:00:00"/>
    <s v="2024041-102"/>
    <x v="5"/>
  </r>
  <r>
    <x v="650"/>
    <n v="2024041"/>
    <x v="41"/>
    <s v="Mixed"/>
    <s v="Lupin"/>
    <x v="27"/>
    <s v="Y"/>
    <x v="2"/>
    <n v="103"/>
    <n v="103"/>
    <x v="1"/>
    <n v="4"/>
    <n v="13"/>
    <n v="8"/>
    <m/>
    <n v="26"/>
    <n v="52"/>
    <m/>
    <s v="Inside"/>
    <n v="2"/>
    <m/>
    <m/>
    <x v="2"/>
    <n v="8"/>
    <n v="350"/>
    <n v="126"/>
    <x v="0"/>
    <n v="7"/>
    <x v="6"/>
    <m/>
    <m/>
    <n v="25"/>
    <x v="1"/>
    <s v="08/05/2024"/>
    <d v="2024-05-08T00:00:00"/>
    <s v="2024041-103"/>
    <x v="5"/>
  </r>
  <r>
    <x v="650"/>
    <n v="2024041"/>
    <x v="41"/>
    <s v="Mixed"/>
    <s v="Lupin"/>
    <x v="27"/>
    <s v="Y"/>
    <x v="2"/>
    <n v="104"/>
    <n v="104"/>
    <x v="1"/>
    <n v="4"/>
    <n v="13"/>
    <n v="8"/>
    <m/>
    <n v="26"/>
    <n v="51"/>
    <m/>
    <s v="Edge"/>
    <n v="1"/>
    <m/>
    <m/>
    <x v="3"/>
    <n v="8"/>
    <n v="350"/>
    <n v="125"/>
    <x v="0"/>
    <n v="7"/>
    <x v="6"/>
    <m/>
    <m/>
    <n v="25"/>
    <x v="1"/>
    <s v="08/05/2024"/>
    <d v="2024-05-08T00:00:00"/>
    <s v="2024041-104"/>
    <x v="5"/>
  </r>
  <r>
    <x v="642"/>
    <n v="2024041"/>
    <x v="41"/>
    <s v="Mixed"/>
    <s v="Fababean"/>
    <x v="13"/>
    <s v="Y"/>
    <x v="2"/>
    <n v="105"/>
    <n v="105"/>
    <x v="1"/>
    <n v="4"/>
    <n v="14"/>
    <n v="7"/>
    <m/>
    <n v="27"/>
    <n v="53"/>
    <m/>
    <s v="Edge"/>
    <n v="1"/>
    <m/>
    <m/>
    <x v="4"/>
    <n v="7"/>
    <n v="175"/>
    <n v="101"/>
    <x v="0"/>
    <n v="5"/>
    <x v="8"/>
    <m/>
    <m/>
    <n v="25"/>
    <x v="1"/>
    <s v="08/05/2024"/>
    <d v="2024-05-08T00:00:00"/>
    <s v="2024041-105"/>
    <x v="4"/>
  </r>
  <r>
    <x v="643"/>
    <n v="2024041"/>
    <x v="41"/>
    <s v="Mixed"/>
    <s v="Fababean"/>
    <x v="10"/>
    <s v="Y"/>
    <x v="2"/>
    <n v="106"/>
    <n v="106"/>
    <x v="1"/>
    <n v="4"/>
    <n v="14"/>
    <n v="7"/>
    <m/>
    <n v="27"/>
    <n v="54"/>
    <m/>
    <s v="Inside"/>
    <n v="2"/>
    <m/>
    <m/>
    <x v="5"/>
    <n v="7"/>
    <n v="175"/>
    <n v="102"/>
    <x v="0"/>
    <n v="6"/>
    <x v="8"/>
    <m/>
    <m/>
    <n v="25"/>
    <x v="1"/>
    <s v="08/05/2024"/>
    <d v="2024-05-08T00:00:00"/>
    <s v="2024041-106"/>
    <x v="4"/>
  </r>
  <r>
    <x v="642"/>
    <n v="2024041"/>
    <x v="41"/>
    <s v="Mixed"/>
    <s v="Fababean"/>
    <x v="13"/>
    <s v="Y"/>
    <x v="2"/>
    <n v="107"/>
    <n v="107"/>
    <x v="1"/>
    <n v="4"/>
    <n v="14"/>
    <n v="7"/>
    <m/>
    <n v="27"/>
    <n v="54"/>
    <m/>
    <s v="Inside"/>
    <n v="2"/>
    <m/>
    <m/>
    <x v="6"/>
    <n v="7"/>
    <n v="175"/>
    <n v="103"/>
    <x v="0"/>
    <n v="5"/>
    <x v="8"/>
    <m/>
    <m/>
    <n v="25"/>
    <x v="1"/>
    <s v="08/05/2024"/>
    <d v="2024-05-08T00:00:00"/>
    <s v="2024041-107"/>
    <x v="4"/>
  </r>
  <r>
    <x v="643"/>
    <n v="2024041"/>
    <x v="41"/>
    <s v="Mixed"/>
    <s v="Fababean"/>
    <x v="10"/>
    <s v="Y"/>
    <x v="2"/>
    <n v="108"/>
    <n v="108"/>
    <x v="1"/>
    <n v="4"/>
    <n v="14"/>
    <n v="7"/>
    <m/>
    <n v="27"/>
    <n v="53"/>
    <m/>
    <s v="Edge"/>
    <n v="1"/>
    <m/>
    <m/>
    <x v="7"/>
    <n v="7"/>
    <n v="175"/>
    <n v="104"/>
    <x v="0"/>
    <n v="6"/>
    <x v="8"/>
    <m/>
    <m/>
    <n v="25"/>
    <x v="1"/>
    <s v="08/05/2024"/>
    <d v="2024-05-08T00:00:00"/>
    <s v="2024041-108"/>
    <x v="4"/>
  </r>
  <r>
    <x v="641"/>
    <n v="2024041"/>
    <x v="41"/>
    <s v="Mixed"/>
    <s v="Chickpea"/>
    <x v="8"/>
    <s v="Y"/>
    <x v="2"/>
    <n v="109"/>
    <n v="109"/>
    <x v="1"/>
    <n v="4"/>
    <n v="14"/>
    <n v="8"/>
    <m/>
    <n v="28"/>
    <n v="55"/>
    <m/>
    <s v="Edge"/>
    <n v="1"/>
    <m/>
    <m/>
    <x v="4"/>
    <n v="8"/>
    <n v="175"/>
    <n v="124"/>
    <x v="0"/>
    <n v="1"/>
    <x v="8"/>
    <m/>
    <m/>
    <n v="25"/>
    <x v="1"/>
    <s v="08/05/2024"/>
    <d v="2024-05-08T00:00:00"/>
    <s v="2024041-109"/>
    <x v="3"/>
  </r>
  <r>
    <x v="640"/>
    <n v="2024041"/>
    <x v="41"/>
    <s v="Mixed"/>
    <s v="Chickpea"/>
    <x v="4"/>
    <s v="Y"/>
    <x v="2"/>
    <n v="110"/>
    <n v="110"/>
    <x v="1"/>
    <n v="4"/>
    <n v="14"/>
    <n v="8"/>
    <m/>
    <n v="28"/>
    <n v="56"/>
    <m/>
    <s v="Inside"/>
    <n v="2"/>
    <m/>
    <m/>
    <x v="5"/>
    <n v="8"/>
    <n v="175"/>
    <n v="123"/>
    <x v="0"/>
    <n v="2"/>
    <x v="8"/>
    <m/>
    <m/>
    <n v="25"/>
    <x v="1"/>
    <s v="08/05/2024"/>
    <d v="2024-05-08T00:00:00"/>
    <s v="2024041-110"/>
    <x v="3"/>
  </r>
  <r>
    <x v="641"/>
    <n v="2024041"/>
    <x v="41"/>
    <s v="Mixed"/>
    <s v="Chickpea"/>
    <x v="8"/>
    <s v="Y"/>
    <x v="2"/>
    <n v="111"/>
    <n v="111"/>
    <x v="1"/>
    <n v="4"/>
    <n v="14"/>
    <n v="8"/>
    <m/>
    <n v="28"/>
    <n v="56"/>
    <m/>
    <s v="Inside"/>
    <n v="2"/>
    <m/>
    <m/>
    <x v="6"/>
    <n v="8"/>
    <n v="175"/>
    <n v="122"/>
    <x v="0"/>
    <n v="1"/>
    <x v="8"/>
    <m/>
    <m/>
    <n v="25"/>
    <x v="1"/>
    <s v="08/05/2024"/>
    <d v="2024-05-08T00:00:00"/>
    <s v="2024041-111"/>
    <x v="3"/>
  </r>
  <r>
    <x v="640"/>
    <n v="2024041"/>
    <x v="41"/>
    <s v="Mixed"/>
    <s v="Chickpea"/>
    <x v="4"/>
    <s v="Y"/>
    <x v="2"/>
    <n v="112"/>
    <n v="112"/>
    <x v="1"/>
    <n v="4"/>
    <n v="14"/>
    <n v="8"/>
    <m/>
    <n v="28"/>
    <n v="55"/>
    <m/>
    <s v="Edge"/>
    <n v="1"/>
    <m/>
    <m/>
    <x v="7"/>
    <n v="8"/>
    <n v="175"/>
    <n v="121"/>
    <x v="0"/>
    <n v="2"/>
    <x v="8"/>
    <m/>
    <m/>
    <n v="25"/>
    <x v="1"/>
    <s v="08/05/2024"/>
    <d v="2024-05-08T00:00:00"/>
    <s v="2024041-112"/>
    <x v="3"/>
  </r>
  <r>
    <x v="644"/>
    <n v="2024041"/>
    <x v="41"/>
    <s v="Mixed"/>
    <s v="Lupin"/>
    <x v="27"/>
    <s v="Y"/>
    <x v="2"/>
    <n v="113"/>
    <n v="113"/>
    <x v="1"/>
    <n v="4"/>
    <n v="15"/>
    <n v="7"/>
    <m/>
    <n v="29"/>
    <n v="57"/>
    <m/>
    <s v="Edge"/>
    <n v="1"/>
    <m/>
    <m/>
    <x v="8"/>
    <n v="7"/>
    <n v="50"/>
    <n v="105"/>
    <x v="0"/>
    <n v="7"/>
    <x v="7"/>
    <m/>
    <m/>
    <n v="25"/>
    <x v="1"/>
    <s v="08/05/2024"/>
    <d v="2024-05-08T00:00:00"/>
    <s v="2024041-113"/>
    <x v="5"/>
  </r>
  <r>
    <x v="644"/>
    <n v="2024041"/>
    <x v="41"/>
    <s v="Mixed"/>
    <s v="Lupin"/>
    <x v="27"/>
    <s v="Y"/>
    <x v="2"/>
    <n v="114"/>
    <n v="114"/>
    <x v="1"/>
    <n v="4"/>
    <n v="15"/>
    <n v="7"/>
    <m/>
    <n v="29"/>
    <n v="58"/>
    <m/>
    <s v="Inside"/>
    <n v="2"/>
    <m/>
    <m/>
    <x v="9"/>
    <n v="7"/>
    <n v="50"/>
    <n v="106"/>
    <x v="0"/>
    <n v="7"/>
    <x v="7"/>
    <m/>
    <m/>
    <n v="25"/>
    <x v="1"/>
    <s v="08/05/2024"/>
    <d v="2024-05-08T00:00:00"/>
    <s v="2024041-114"/>
    <x v="5"/>
  </r>
  <r>
    <x v="644"/>
    <n v="2024041"/>
    <x v="41"/>
    <s v="Mixed"/>
    <s v="Lupin"/>
    <x v="27"/>
    <s v="Y"/>
    <x v="2"/>
    <n v="115"/>
    <n v="115"/>
    <x v="1"/>
    <n v="4"/>
    <n v="15"/>
    <n v="7"/>
    <m/>
    <n v="29"/>
    <n v="58"/>
    <m/>
    <s v="Inside"/>
    <n v="2"/>
    <m/>
    <m/>
    <x v="10"/>
    <n v="7"/>
    <n v="50"/>
    <n v="107"/>
    <x v="0"/>
    <n v="7"/>
    <x v="7"/>
    <m/>
    <m/>
    <n v="25"/>
    <x v="1"/>
    <s v="08/05/2024"/>
    <d v="2024-05-08T00:00:00"/>
    <s v="2024041-115"/>
    <x v="5"/>
  </r>
  <r>
    <x v="645"/>
    <n v="2024041"/>
    <x v="41"/>
    <s v="Mixed"/>
    <s v="Canola"/>
    <x v="33"/>
    <s v="N"/>
    <x v="2"/>
    <n v="116"/>
    <n v="116"/>
    <x v="1"/>
    <n v="4"/>
    <n v="15"/>
    <n v="7"/>
    <m/>
    <n v="29"/>
    <n v="57"/>
    <m/>
    <s v="Edge"/>
    <n v="1"/>
    <m/>
    <m/>
    <x v="11"/>
    <n v="7"/>
    <n v="50"/>
    <n v="108"/>
    <x v="0"/>
    <n v="8"/>
    <x v="7"/>
    <m/>
    <m/>
    <n v="25"/>
    <x v="1"/>
    <s v="08/05/2024"/>
    <d v="2024-05-08T00:00:00"/>
    <s v="2024041-116"/>
    <x v="6"/>
  </r>
  <r>
    <x v="646"/>
    <n v="2024041"/>
    <x v="41"/>
    <s v="Mixed"/>
    <s v="Lentil"/>
    <x v="1"/>
    <s v="Y"/>
    <x v="2"/>
    <n v="117"/>
    <n v="117"/>
    <x v="1"/>
    <n v="4"/>
    <n v="15"/>
    <n v="8"/>
    <m/>
    <n v="30"/>
    <n v="59"/>
    <m/>
    <s v="Edge"/>
    <n v="1"/>
    <m/>
    <m/>
    <x v="8"/>
    <n v="8"/>
    <n v="50"/>
    <n v="120"/>
    <x v="0"/>
    <n v="3"/>
    <x v="7"/>
    <m/>
    <m/>
    <n v="25"/>
    <x v="1"/>
    <s v="08/05/2024"/>
    <d v="2024-05-08T00:00:00"/>
    <s v="2024041-117"/>
    <x v="0"/>
  </r>
  <r>
    <x v="646"/>
    <n v="2024041"/>
    <x v="41"/>
    <s v="Mixed"/>
    <s v="Lentil"/>
    <x v="1"/>
    <s v="Y"/>
    <x v="2"/>
    <n v="118"/>
    <n v="118"/>
    <x v="1"/>
    <n v="4"/>
    <n v="15"/>
    <n v="8"/>
    <m/>
    <n v="30"/>
    <n v="60"/>
    <m/>
    <s v="Inside"/>
    <n v="2"/>
    <m/>
    <m/>
    <x v="9"/>
    <n v="8"/>
    <n v="50"/>
    <n v="119"/>
    <x v="0"/>
    <n v="3"/>
    <x v="7"/>
    <m/>
    <m/>
    <n v="25"/>
    <x v="1"/>
    <s v="08/05/2024"/>
    <d v="2024-05-08T00:00:00"/>
    <s v="2024041-118"/>
    <x v="0"/>
  </r>
  <r>
    <x v="647"/>
    <n v="2024041"/>
    <x v="41"/>
    <s v="Mixed"/>
    <s v="Lentil"/>
    <x v="15"/>
    <s v="Y"/>
    <x v="2"/>
    <n v="119"/>
    <n v="119"/>
    <x v="1"/>
    <n v="4"/>
    <n v="15"/>
    <n v="8"/>
    <m/>
    <n v="30"/>
    <n v="60"/>
    <m/>
    <s v="Inside"/>
    <n v="2"/>
    <m/>
    <m/>
    <x v="10"/>
    <n v="8"/>
    <n v="50"/>
    <n v="118"/>
    <x v="0"/>
    <n v="4"/>
    <x v="7"/>
    <m/>
    <m/>
    <n v="25"/>
    <x v="1"/>
    <s v="08/05/2024"/>
    <d v="2024-05-08T00:00:00"/>
    <s v="2024041-119"/>
    <x v="0"/>
  </r>
  <r>
    <x v="647"/>
    <n v="2024041"/>
    <x v="41"/>
    <s v="Mixed"/>
    <s v="Lentil"/>
    <x v="15"/>
    <s v="Y"/>
    <x v="2"/>
    <n v="120"/>
    <n v="120"/>
    <x v="1"/>
    <n v="4"/>
    <n v="15"/>
    <n v="8"/>
    <m/>
    <n v="30"/>
    <n v="59"/>
    <m/>
    <s v="Edge"/>
    <n v="1"/>
    <m/>
    <m/>
    <x v="11"/>
    <n v="8"/>
    <n v="50"/>
    <n v="117"/>
    <x v="0"/>
    <n v="4"/>
    <x v="7"/>
    <m/>
    <m/>
    <n v="25"/>
    <x v="1"/>
    <s v="08/05/2024"/>
    <d v="2024-05-08T00:00:00"/>
    <s v="2024041-120"/>
    <x v="0"/>
  </r>
  <r>
    <x v="652"/>
    <n v="2024041"/>
    <x v="41"/>
    <s v="Mixed"/>
    <s v="Lentil"/>
    <x v="15"/>
    <s v="Y"/>
    <x v="2"/>
    <n v="121"/>
    <n v="121"/>
    <x v="1"/>
    <n v="4"/>
    <n v="16"/>
    <n v="7"/>
    <m/>
    <n v="31"/>
    <n v="61"/>
    <m/>
    <s v="Edge"/>
    <n v="1"/>
    <m/>
    <m/>
    <x v="12"/>
    <n v="7"/>
    <n v="125"/>
    <n v="109"/>
    <x v="0"/>
    <n v="4"/>
    <x v="5"/>
    <m/>
    <m/>
    <n v="25"/>
    <x v="1"/>
    <s v="08/05/2024"/>
    <d v="2024-05-08T00:00:00"/>
    <s v="2024041-121"/>
    <x v="0"/>
  </r>
  <r>
    <x v="652"/>
    <n v="2024041"/>
    <x v="41"/>
    <s v="Mixed"/>
    <s v="Lentil"/>
    <x v="15"/>
    <s v="Y"/>
    <x v="2"/>
    <n v="122"/>
    <n v="122"/>
    <x v="1"/>
    <n v="4"/>
    <n v="16"/>
    <n v="7"/>
    <m/>
    <n v="31"/>
    <n v="62"/>
    <m/>
    <s v="Inside"/>
    <n v="2"/>
    <m/>
    <m/>
    <x v="13"/>
    <n v="7"/>
    <n v="125"/>
    <n v="110"/>
    <x v="0"/>
    <n v="4"/>
    <x v="5"/>
    <m/>
    <m/>
    <n v="25"/>
    <x v="1"/>
    <s v="08/05/2024"/>
    <d v="2024-05-08T00:00:00"/>
    <s v="2024041-122"/>
    <x v="0"/>
  </r>
  <r>
    <x v="653"/>
    <n v="2024041"/>
    <x v="41"/>
    <s v="Mixed"/>
    <s v="Lentil"/>
    <x v="1"/>
    <s v="Y"/>
    <x v="2"/>
    <n v="123"/>
    <n v="123"/>
    <x v="1"/>
    <n v="4"/>
    <n v="16"/>
    <n v="7"/>
    <m/>
    <n v="31"/>
    <n v="62"/>
    <m/>
    <s v="Inside"/>
    <n v="2"/>
    <m/>
    <m/>
    <x v="14"/>
    <n v="7"/>
    <n v="125"/>
    <n v="111"/>
    <x v="0"/>
    <n v="3"/>
    <x v="5"/>
    <m/>
    <m/>
    <n v="25"/>
    <x v="1"/>
    <s v="08/05/2024"/>
    <d v="2024-05-08T00:00:00"/>
    <s v="2024041-123"/>
    <x v="0"/>
  </r>
  <r>
    <x v="653"/>
    <n v="2024041"/>
    <x v="41"/>
    <s v="Mixed"/>
    <s v="Lentil"/>
    <x v="1"/>
    <s v="Y"/>
    <x v="2"/>
    <n v="124"/>
    <n v="124"/>
    <x v="1"/>
    <n v="4"/>
    <n v="16"/>
    <n v="7"/>
    <m/>
    <n v="31"/>
    <n v="61"/>
    <m/>
    <s v="Edge"/>
    <n v="1"/>
    <m/>
    <m/>
    <x v="17"/>
    <n v="7"/>
    <n v="125"/>
    <n v="112"/>
    <x v="0"/>
    <n v="3"/>
    <x v="5"/>
    <m/>
    <m/>
    <n v="25"/>
    <x v="1"/>
    <s v="08/05/2024"/>
    <d v="2024-05-08T00:00:00"/>
    <s v="2024041-124"/>
    <x v="0"/>
  </r>
  <r>
    <x v="624"/>
    <n v="2024041"/>
    <x v="41"/>
    <s v="Mixed"/>
    <s v="Fababean"/>
    <x v="10"/>
    <s v="Y"/>
    <x v="2"/>
    <n v="125"/>
    <n v="125"/>
    <x v="1"/>
    <n v="4"/>
    <n v="16"/>
    <n v="8"/>
    <m/>
    <n v="32"/>
    <n v="63"/>
    <m/>
    <s v="Edge"/>
    <n v="1"/>
    <m/>
    <m/>
    <x v="12"/>
    <n v="8"/>
    <n v="125"/>
    <n v="116"/>
    <x v="0"/>
    <n v="6"/>
    <x v="5"/>
    <m/>
    <m/>
    <n v="25"/>
    <x v="1"/>
    <s v="08/05/2024"/>
    <d v="2024-05-08T00:00:00"/>
    <s v="2024041-125"/>
    <x v="4"/>
  </r>
  <r>
    <x v="624"/>
    <n v="2024041"/>
    <x v="41"/>
    <s v="Mixed"/>
    <s v="Fababean"/>
    <x v="10"/>
    <s v="Y"/>
    <x v="2"/>
    <n v="126"/>
    <n v="126"/>
    <x v="1"/>
    <n v="4"/>
    <n v="16"/>
    <n v="8"/>
    <m/>
    <n v="32"/>
    <n v="64"/>
    <m/>
    <s v="Inside"/>
    <n v="2"/>
    <m/>
    <m/>
    <x v="13"/>
    <n v="8"/>
    <n v="125"/>
    <n v="115"/>
    <x v="0"/>
    <n v="6"/>
    <x v="5"/>
    <m/>
    <m/>
    <n v="25"/>
    <x v="1"/>
    <s v="08/05/2024"/>
    <d v="2024-05-08T00:00:00"/>
    <s v="2024041-126"/>
    <x v="4"/>
  </r>
  <r>
    <x v="625"/>
    <n v="2024041"/>
    <x v="41"/>
    <s v="Mixed"/>
    <s v="Fababean"/>
    <x v="13"/>
    <s v="Y"/>
    <x v="2"/>
    <n v="127"/>
    <n v="127"/>
    <x v="1"/>
    <n v="4"/>
    <n v="16"/>
    <n v="8"/>
    <m/>
    <n v="32"/>
    <n v="64"/>
    <m/>
    <s v="Inside"/>
    <n v="2"/>
    <m/>
    <m/>
    <x v="14"/>
    <n v="8"/>
    <n v="125"/>
    <n v="114"/>
    <x v="0"/>
    <n v="5"/>
    <x v="5"/>
    <m/>
    <m/>
    <n v="25"/>
    <x v="1"/>
    <s v="08/05/2024"/>
    <d v="2024-05-08T00:00:00"/>
    <s v="2024041-127"/>
    <x v="4"/>
  </r>
  <r>
    <x v="625"/>
    <n v="2024041"/>
    <x v="41"/>
    <s v="Mixed"/>
    <s v="Fababean"/>
    <x v="13"/>
    <s v="Y"/>
    <x v="2"/>
    <n v="128"/>
    <n v="128"/>
    <x v="1"/>
    <n v="4"/>
    <n v="16"/>
    <n v="8"/>
    <m/>
    <n v="32"/>
    <n v="63"/>
    <m/>
    <s v="Edge"/>
    <n v="1"/>
    <m/>
    <m/>
    <x v="17"/>
    <n v="8"/>
    <n v="125"/>
    <n v="113"/>
    <x v="0"/>
    <n v="5"/>
    <x v="5"/>
    <m/>
    <m/>
    <n v="25"/>
    <x v="1"/>
    <s v="08/05/2024"/>
    <d v="2024-05-08T00:00:00"/>
    <s v="2024041-128"/>
    <x v="4"/>
  </r>
  <r>
    <x v="656"/>
    <n v="2024042"/>
    <x v="42"/>
    <s v="Fababean"/>
    <m/>
    <x v="11"/>
    <s v="N"/>
    <x v="2"/>
    <n v="1"/>
    <n v="1"/>
    <x v="0"/>
    <m/>
    <m/>
    <m/>
    <n v="1"/>
    <m/>
    <m/>
    <m/>
    <m/>
    <m/>
    <n v="1"/>
    <n v="2"/>
    <x v="0"/>
    <n v="1"/>
    <m/>
    <n v="1"/>
    <x v="0"/>
    <n v="6"/>
    <x v="1"/>
    <m/>
    <m/>
    <n v="23"/>
    <x v="1"/>
    <s v="10/04/2024"/>
    <d v="2024-04-10T00:00:00"/>
    <s v="2024042-1"/>
    <x v="4"/>
  </r>
  <r>
    <x v="657"/>
    <n v="2024042"/>
    <x v="42"/>
    <s v="Fababean"/>
    <m/>
    <x v="12"/>
    <s v="N"/>
    <x v="2"/>
    <n v="2"/>
    <n v="2"/>
    <x v="0"/>
    <m/>
    <m/>
    <m/>
    <n v="1"/>
    <m/>
    <m/>
    <m/>
    <m/>
    <m/>
    <n v="2"/>
    <n v="2"/>
    <x v="1"/>
    <n v="1"/>
    <m/>
    <n v="2"/>
    <x v="0"/>
    <n v="5"/>
    <x v="1"/>
    <m/>
    <m/>
    <n v="23"/>
    <x v="1"/>
    <s v="10/04/2024"/>
    <d v="2024-04-10T00:00:00"/>
    <s v="2024042-2"/>
    <x v="4"/>
  </r>
  <r>
    <x v="658"/>
    <n v="2024042"/>
    <x v="42"/>
    <s v="Fababean"/>
    <m/>
    <x v="13"/>
    <s v="Y"/>
    <x v="2"/>
    <n v="3"/>
    <n v="3"/>
    <x v="0"/>
    <m/>
    <m/>
    <m/>
    <n v="1"/>
    <m/>
    <m/>
    <m/>
    <m/>
    <m/>
    <n v="3"/>
    <n v="2"/>
    <x v="2"/>
    <n v="1"/>
    <m/>
    <n v="3"/>
    <x v="0"/>
    <n v="3"/>
    <x v="2"/>
    <m/>
    <m/>
    <n v="23"/>
    <x v="1"/>
    <s v="10/04/2024"/>
    <d v="2024-04-10T00:00:00"/>
    <s v="2024042-3"/>
    <x v="4"/>
  </r>
  <r>
    <x v="659"/>
    <n v="2024042"/>
    <x v="42"/>
    <s v="Fababean"/>
    <m/>
    <x v="10"/>
    <s v="Y"/>
    <x v="2"/>
    <n v="4"/>
    <n v="4"/>
    <x v="0"/>
    <m/>
    <m/>
    <m/>
    <n v="1"/>
    <m/>
    <m/>
    <m/>
    <m/>
    <m/>
    <n v="1"/>
    <n v="3"/>
    <x v="0"/>
    <n v="2"/>
    <m/>
    <n v="6"/>
    <x v="0"/>
    <n v="4"/>
    <x v="2"/>
    <m/>
    <m/>
    <n v="23"/>
    <x v="1"/>
    <s v="10/04/2024"/>
    <d v="2024-04-10T00:00:00"/>
    <s v="2024042-4"/>
    <x v="4"/>
  </r>
  <r>
    <x v="660"/>
    <n v="2024042"/>
    <x v="42"/>
    <s v="Fababean"/>
    <m/>
    <x v="11"/>
    <s v="N"/>
    <x v="2"/>
    <n v="5"/>
    <n v="5"/>
    <x v="0"/>
    <m/>
    <m/>
    <m/>
    <n v="1"/>
    <m/>
    <m/>
    <m/>
    <m/>
    <m/>
    <n v="2"/>
    <n v="3"/>
    <x v="1"/>
    <n v="2"/>
    <m/>
    <n v="5"/>
    <x v="0"/>
    <n v="2"/>
    <x v="2"/>
    <m/>
    <m/>
    <n v="23"/>
    <x v="1"/>
    <s v="10/04/2024"/>
    <d v="2024-04-10T00:00:00"/>
    <s v="2024042-5"/>
    <x v="4"/>
  </r>
  <r>
    <x v="661"/>
    <n v="2024042"/>
    <x v="42"/>
    <s v="Fababean"/>
    <m/>
    <x v="12"/>
    <s v="N"/>
    <x v="2"/>
    <n v="6"/>
    <n v="6"/>
    <x v="0"/>
    <m/>
    <m/>
    <m/>
    <n v="1"/>
    <m/>
    <m/>
    <m/>
    <m/>
    <m/>
    <n v="3"/>
    <n v="3"/>
    <x v="2"/>
    <n v="2"/>
    <m/>
    <n v="4"/>
    <x v="0"/>
    <n v="1"/>
    <x v="2"/>
    <m/>
    <m/>
    <n v="23"/>
    <x v="1"/>
    <s v="10/04/2024"/>
    <d v="2024-04-10T00:00:00"/>
    <s v="2024042-6"/>
    <x v="4"/>
  </r>
  <r>
    <x v="662"/>
    <n v="2024042"/>
    <x v="42"/>
    <s v="Fababean"/>
    <m/>
    <x v="10"/>
    <s v="Y"/>
    <x v="2"/>
    <n v="7"/>
    <n v="7"/>
    <x v="1"/>
    <m/>
    <m/>
    <m/>
    <n v="2"/>
    <m/>
    <m/>
    <m/>
    <m/>
    <m/>
    <n v="1"/>
    <n v="5"/>
    <x v="0"/>
    <n v="3"/>
    <m/>
    <n v="25"/>
    <x v="0"/>
    <n v="4"/>
    <x v="2"/>
    <m/>
    <m/>
    <n v="23"/>
    <x v="2"/>
    <s v="15/05/2024"/>
    <d v="2024-05-15T00:00:00"/>
    <s v="2024042-7"/>
    <x v="4"/>
  </r>
  <r>
    <x v="663"/>
    <n v="2024042"/>
    <x v="42"/>
    <s v="Fababean"/>
    <m/>
    <x v="12"/>
    <s v="N"/>
    <x v="2"/>
    <n v="8"/>
    <n v="8"/>
    <x v="1"/>
    <m/>
    <m/>
    <m/>
    <n v="2"/>
    <m/>
    <m/>
    <m/>
    <m/>
    <m/>
    <n v="2"/>
    <n v="5"/>
    <x v="1"/>
    <n v="3"/>
    <m/>
    <n v="26"/>
    <x v="0"/>
    <n v="5"/>
    <x v="1"/>
    <m/>
    <m/>
    <n v="23"/>
    <x v="2"/>
    <s v="15/05/2024"/>
    <d v="2024-05-15T00:00:00"/>
    <s v="2024042-8"/>
    <x v="4"/>
  </r>
  <r>
    <x v="664"/>
    <n v="2024042"/>
    <x v="42"/>
    <s v="Fababean"/>
    <m/>
    <x v="11"/>
    <s v="N"/>
    <x v="2"/>
    <n v="9"/>
    <n v="9"/>
    <x v="1"/>
    <m/>
    <m/>
    <m/>
    <n v="2"/>
    <m/>
    <m/>
    <m/>
    <m/>
    <m/>
    <n v="3"/>
    <n v="5"/>
    <x v="2"/>
    <n v="3"/>
    <m/>
    <n v="27"/>
    <x v="0"/>
    <n v="2"/>
    <x v="2"/>
    <m/>
    <m/>
    <n v="23"/>
    <x v="2"/>
    <s v="15/05/2024"/>
    <d v="2024-05-15T00:00:00"/>
    <s v="2024042-9"/>
    <x v="4"/>
  </r>
  <r>
    <x v="665"/>
    <n v="2024042"/>
    <x v="42"/>
    <s v="Fababean"/>
    <m/>
    <x v="11"/>
    <s v="N"/>
    <x v="2"/>
    <n v="10"/>
    <n v="10"/>
    <x v="1"/>
    <m/>
    <m/>
    <m/>
    <n v="2"/>
    <m/>
    <m/>
    <m/>
    <m/>
    <m/>
    <n v="1"/>
    <n v="6"/>
    <x v="0"/>
    <n v="4"/>
    <m/>
    <n v="30"/>
    <x v="0"/>
    <n v="6"/>
    <x v="1"/>
    <m/>
    <m/>
    <n v="23"/>
    <x v="2"/>
    <s v="15/05/2024"/>
    <d v="2024-05-15T00:00:00"/>
    <s v="2024042-10"/>
    <x v="4"/>
  </r>
  <r>
    <x v="666"/>
    <n v="2024042"/>
    <x v="42"/>
    <s v="Fababean"/>
    <m/>
    <x v="13"/>
    <s v="Y"/>
    <x v="2"/>
    <n v="11"/>
    <n v="11"/>
    <x v="1"/>
    <m/>
    <m/>
    <m/>
    <n v="2"/>
    <m/>
    <m/>
    <m/>
    <m/>
    <m/>
    <n v="2"/>
    <n v="6"/>
    <x v="1"/>
    <n v="4"/>
    <m/>
    <n v="29"/>
    <x v="0"/>
    <n v="3"/>
    <x v="2"/>
    <m/>
    <m/>
    <n v="23"/>
    <x v="2"/>
    <s v="15/05/2024"/>
    <d v="2024-05-15T00:00:00"/>
    <s v="2024042-11"/>
    <x v="4"/>
  </r>
  <r>
    <x v="667"/>
    <n v="2024042"/>
    <x v="42"/>
    <s v="Fababean"/>
    <m/>
    <x v="12"/>
    <s v="N"/>
    <x v="2"/>
    <n v="12"/>
    <n v="12"/>
    <x v="1"/>
    <m/>
    <m/>
    <m/>
    <n v="2"/>
    <m/>
    <m/>
    <m/>
    <m/>
    <m/>
    <n v="3"/>
    <n v="6"/>
    <x v="2"/>
    <n v="4"/>
    <m/>
    <n v="28"/>
    <x v="0"/>
    <n v="1"/>
    <x v="2"/>
    <m/>
    <m/>
    <n v="23"/>
    <x v="2"/>
    <s v="15/05/2024"/>
    <d v="2024-05-15T00:00:00"/>
    <s v="2024042-12"/>
    <x v="4"/>
  </r>
  <r>
    <x v="659"/>
    <n v="2024042"/>
    <x v="42"/>
    <s v="Fababean"/>
    <m/>
    <x v="10"/>
    <s v="Y"/>
    <x v="2"/>
    <n v="13"/>
    <n v="13"/>
    <x v="2"/>
    <m/>
    <m/>
    <m/>
    <n v="3"/>
    <m/>
    <m/>
    <m/>
    <m/>
    <m/>
    <n v="1"/>
    <n v="8"/>
    <x v="0"/>
    <n v="5"/>
    <m/>
    <n v="7"/>
    <x v="0"/>
    <n v="4"/>
    <x v="2"/>
    <m/>
    <m/>
    <n v="23"/>
    <x v="1"/>
    <s v="10/04/2024"/>
    <d v="2024-04-10T00:00:00"/>
    <s v="2024042-13"/>
    <x v="4"/>
  </r>
  <r>
    <x v="656"/>
    <n v="2024042"/>
    <x v="42"/>
    <s v="Fababean"/>
    <m/>
    <x v="11"/>
    <s v="N"/>
    <x v="2"/>
    <n v="14"/>
    <n v="14"/>
    <x v="2"/>
    <m/>
    <m/>
    <m/>
    <n v="3"/>
    <m/>
    <m/>
    <m/>
    <m/>
    <m/>
    <n v="2"/>
    <n v="8"/>
    <x v="1"/>
    <n v="5"/>
    <m/>
    <n v="8"/>
    <x v="0"/>
    <n v="6"/>
    <x v="1"/>
    <m/>
    <m/>
    <n v="23"/>
    <x v="1"/>
    <s v="10/04/2024"/>
    <d v="2024-04-10T00:00:00"/>
    <s v="2024042-14"/>
    <x v="4"/>
  </r>
  <r>
    <x v="658"/>
    <n v="2024042"/>
    <x v="42"/>
    <s v="Fababean"/>
    <m/>
    <x v="13"/>
    <s v="Y"/>
    <x v="2"/>
    <n v="15"/>
    <n v="15"/>
    <x v="2"/>
    <m/>
    <m/>
    <m/>
    <n v="3"/>
    <m/>
    <m/>
    <m/>
    <m/>
    <m/>
    <n v="3"/>
    <n v="8"/>
    <x v="2"/>
    <n v="5"/>
    <m/>
    <n v="9"/>
    <x v="0"/>
    <n v="3"/>
    <x v="2"/>
    <m/>
    <m/>
    <n v="23"/>
    <x v="1"/>
    <s v="10/04/2024"/>
    <d v="2024-04-10T00:00:00"/>
    <s v="2024042-15"/>
    <x v="4"/>
  </r>
  <r>
    <x v="657"/>
    <n v="2024042"/>
    <x v="42"/>
    <s v="Fababean"/>
    <m/>
    <x v="12"/>
    <s v="N"/>
    <x v="2"/>
    <n v="16"/>
    <n v="16"/>
    <x v="2"/>
    <m/>
    <m/>
    <m/>
    <n v="3"/>
    <m/>
    <m/>
    <m/>
    <m/>
    <m/>
    <n v="1"/>
    <n v="9"/>
    <x v="0"/>
    <n v="6"/>
    <m/>
    <n v="12"/>
    <x v="0"/>
    <n v="5"/>
    <x v="1"/>
    <m/>
    <m/>
    <n v="23"/>
    <x v="1"/>
    <s v="10/04/2024"/>
    <d v="2024-04-10T00:00:00"/>
    <s v="2024042-16"/>
    <x v="4"/>
  </r>
  <r>
    <x v="661"/>
    <n v="2024042"/>
    <x v="42"/>
    <s v="Fababean"/>
    <m/>
    <x v="12"/>
    <s v="N"/>
    <x v="2"/>
    <n v="17"/>
    <n v="17"/>
    <x v="2"/>
    <m/>
    <m/>
    <m/>
    <n v="3"/>
    <m/>
    <m/>
    <m/>
    <m/>
    <m/>
    <n v="2"/>
    <n v="9"/>
    <x v="1"/>
    <n v="6"/>
    <m/>
    <n v="11"/>
    <x v="0"/>
    <n v="1"/>
    <x v="2"/>
    <m/>
    <m/>
    <n v="23"/>
    <x v="1"/>
    <s v="10/04/2024"/>
    <d v="2024-04-10T00:00:00"/>
    <s v="2024042-17"/>
    <x v="4"/>
  </r>
  <r>
    <x v="660"/>
    <n v="2024042"/>
    <x v="42"/>
    <s v="Fababean"/>
    <m/>
    <x v="11"/>
    <s v="N"/>
    <x v="2"/>
    <n v="18"/>
    <n v="18"/>
    <x v="2"/>
    <m/>
    <m/>
    <m/>
    <n v="3"/>
    <m/>
    <m/>
    <m/>
    <m/>
    <m/>
    <n v="3"/>
    <n v="9"/>
    <x v="2"/>
    <n v="6"/>
    <m/>
    <n v="10"/>
    <x v="0"/>
    <n v="2"/>
    <x v="2"/>
    <m/>
    <m/>
    <n v="23"/>
    <x v="1"/>
    <s v="10/04/2024"/>
    <d v="2024-04-10T00:00:00"/>
    <s v="2024042-18"/>
    <x v="4"/>
  </r>
  <r>
    <x v="665"/>
    <n v="2024042"/>
    <x v="42"/>
    <s v="Fababean"/>
    <m/>
    <x v="11"/>
    <s v="N"/>
    <x v="2"/>
    <n v="19"/>
    <n v="19"/>
    <x v="3"/>
    <m/>
    <m/>
    <m/>
    <n v="4"/>
    <m/>
    <m/>
    <m/>
    <m/>
    <m/>
    <n v="1"/>
    <n v="11"/>
    <x v="0"/>
    <n v="7"/>
    <m/>
    <n v="31"/>
    <x v="0"/>
    <n v="6"/>
    <x v="1"/>
    <m/>
    <m/>
    <n v="23"/>
    <x v="2"/>
    <s v="15/05/2024"/>
    <d v="2024-05-15T00:00:00"/>
    <s v="2024042-19"/>
    <x v="4"/>
  </r>
  <r>
    <x v="663"/>
    <n v="2024042"/>
    <x v="42"/>
    <s v="Fababean"/>
    <m/>
    <x v="12"/>
    <s v="N"/>
    <x v="2"/>
    <n v="20"/>
    <n v="20"/>
    <x v="3"/>
    <m/>
    <m/>
    <m/>
    <n v="4"/>
    <m/>
    <m/>
    <m/>
    <m/>
    <m/>
    <n v="2"/>
    <n v="11"/>
    <x v="1"/>
    <n v="7"/>
    <m/>
    <n v="32"/>
    <x v="0"/>
    <n v="5"/>
    <x v="1"/>
    <m/>
    <m/>
    <n v="23"/>
    <x v="2"/>
    <s v="15/05/2024"/>
    <d v="2024-05-15T00:00:00"/>
    <s v="2024042-20"/>
    <x v="4"/>
  </r>
  <r>
    <x v="667"/>
    <n v="2024042"/>
    <x v="42"/>
    <s v="Fababean"/>
    <m/>
    <x v="12"/>
    <s v="N"/>
    <x v="2"/>
    <n v="21"/>
    <n v="21"/>
    <x v="3"/>
    <m/>
    <m/>
    <m/>
    <n v="4"/>
    <m/>
    <m/>
    <m/>
    <m/>
    <m/>
    <n v="3"/>
    <n v="11"/>
    <x v="2"/>
    <n v="7"/>
    <m/>
    <n v="33"/>
    <x v="0"/>
    <n v="1"/>
    <x v="2"/>
    <m/>
    <m/>
    <n v="23"/>
    <x v="2"/>
    <s v="15/05/2024"/>
    <d v="2024-05-15T00:00:00"/>
    <s v="2024042-21"/>
    <x v="4"/>
  </r>
  <r>
    <x v="664"/>
    <n v="2024042"/>
    <x v="42"/>
    <s v="Fababean"/>
    <m/>
    <x v="11"/>
    <s v="N"/>
    <x v="2"/>
    <n v="22"/>
    <n v="22"/>
    <x v="3"/>
    <m/>
    <m/>
    <m/>
    <n v="4"/>
    <m/>
    <m/>
    <m/>
    <m/>
    <m/>
    <n v="1"/>
    <n v="12"/>
    <x v="0"/>
    <n v="8"/>
    <m/>
    <n v="36"/>
    <x v="0"/>
    <n v="2"/>
    <x v="2"/>
    <m/>
    <m/>
    <n v="23"/>
    <x v="2"/>
    <s v="15/05/2024"/>
    <d v="2024-05-15T00:00:00"/>
    <s v="2024042-22"/>
    <x v="4"/>
  </r>
  <r>
    <x v="666"/>
    <n v="2024042"/>
    <x v="42"/>
    <s v="Fababean"/>
    <m/>
    <x v="13"/>
    <s v="Y"/>
    <x v="2"/>
    <n v="23"/>
    <n v="23"/>
    <x v="3"/>
    <m/>
    <m/>
    <m/>
    <n v="4"/>
    <m/>
    <m/>
    <m/>
    <m/>
    <m/>
    <n v="2"/>
    <n v="12"/>
    <x v="1"/>
    <n v="8"/>
    <m/>
    <n v="35"/>
    <x v="0"/>
    <n v="3"/>
    <x v="2"/>
    <m/>
    <m/>
    <n v="23"/>
    <x v="2"/>
    <s v="15/05/2024"/>
    <d v="2024-05-15T00:00:00"/>
    <s v="2024042-23"/>
    <x v="4"/>
  </r>
  <r>
    <x v="662"/>
    <n v="2024042"/>
    <x v="42"/>
    <s v="Fababean"/>
    <m/>
    <x v="10"/>
    <s v="Y"/>
    <x v="2"/>
    <n v="24"/>
    <n v="24"/>
    <x v="3"/>
    <m/>
    <m/>
    <m/>
    <n v="4"/>
    <m/>
    <m/>
    <m/>
    <m/>
    <m/>
    <n v="3"/>
    <n v="12"/>
    <x v="2"/>
    <n v="8"/>
    <m/>
    <n v="34"/>
    <x v="0"/>
    <n v="4"/>
    <x v="2"/>
    <m/>
    <m/>
    <n v="23"/>
    <x v="2"/>
    <s v="15/05/2024"/>
    <d v="2024-05-15T00:00:00"/>
    <s v="2024042-24"/>
    <x v="4"/>
  </r>
  <r>
    <x v="664"/>
    <n v="2024042"/>
    <x v="42"/>
    <s v="Fababean"/>
    <m/>
    <x v="11"/>
    <s v="N"/>
    <x v="2"/>
    <n v="25"/>
    <n v="25"/>
    <x v="4"/>
    <m/>
    <m/>
    <m/>
    <n v="5"/>
    <m/>
    <m/>
    <m/>
    <m/>
    <m/>
    <n v="1"/>
    <n v="14"/>
    <x v="0"/>
    <n v="9"/>
    <m/>
    <n v="37"/>
    <x v="0"/>
    <n v="2"/>
    <x v="2"/>
    <m/>
    <m/>
    <n v="23"/>
    <x v="2"/>
    <s v="15/05/2024"/>
    <d v="2024-05-15T00:00:00"/>
    <s v="2024042-25"/>
    <x v="4"/>
  </r>
  <r>
    <x v="662"/>
    <n v="2024042"/>
    <x v="42"/>
    <s v="Fababean"/>
    <m/>
    <x v="10"/>
    <s v="Y"/>
    <x v="2"/>
    <n v="26"/>
    <n v="26"/>
    <x v="4"/>
    <m/>
    <m/>
    <m/>
    <n v="5"/>
    <m/>
    <m/>
    <m/>
    <m/>
    <m/>
    <n v="2"/>
    <n v="14"/>
    <x v="1"/>
    <n v="9"/>
    <m/>
    <n v="38"/>
    <x v="0"/>
    <n v="4"/>
    <x v="2"/>
    <m/>
    <m/>
    <n v="23"/>
    <x v="2"/>
    <s v="15/05/2024"/>
    <d v="2024-05-15T00:00:00"/>
    <s v="2024042-26"/>
    <x v="4"/>
  </r>
  <r>
    <x v="665"/>
    <n v="2024042"/>
    <x v="42"/>
    <s v="Fababean"/>
    <m/>
    <x v="11"/>
    <s v="N"/>
    <x v="2"/>
    <n v="27"/>
    <n v="27"/>
    <x v="4"/>
    <m/>
    <m/>
    <m/>
    <n v="5"/>
    <m/>
    <m/>
    <m/>
    <m/>
    <m/>
    <n v="3"/>
    <n v="14"/>
    <x v="2"/>
    <n v="9"/>
    <m/>
    <n v="39"/>
    <x v="0"/>
    <n v="6"/>
    <x v="1"/>
    <m/>
    <m/>
    <n v="23"/>
    <x v="2"/>
    <s v="15/05/2024"/>
    <d v="2024-05-15T00:00:00"/>
    <s v="2024042-27"/>
    <x v="4"/>
  </r>
  <r>
    <x v="666"/>
    <n v="2024042"/>
    <x v="42"/>
    <s v="Fababean"/>
    <m/>
    <x v="13"/>
    <s v="Y"/>
    <x v="2"/>
    <n v="28"/>
    <n v="28"/>
    <x v="4"/>
    <m/>
    <m/>
    <m/>
    <n v="5"/>
    <m/>
    <m/>
    <m/>
    <m/>
    <m/>
    <n v="1"/>
    <n v="15"/>
    <x v="0"/>
    <n v="10"/>
    <m/>
    <n v="42"/>
    <x v="0"/>
    <n v="3"/>
    <x v="2"/>
    <m/>
    <m/>
    <n v="23"/>
    <x v="2"/>
    <s v="15/05/2024"/>
    <d v="2024-05-15T00:00:00"/>
    <s v="2024042-28"/>
    <x v="4"/>
  </r>
  <r>
    <x v="667"/>
    <n v="2024042"/>
    <x v="42"/>
    <s v="Fababean"/>
    <m/>
    <x v="12"/>
    <s v="N"/>
    <x v="2"/>
    <n v="29"/>
    <n v="29"/>
    <x v="4"/>
    <m/>
    <m/>
    <m/>
    <n v="5"/>
    <m/>
    <m/>
    <m/>
    <m/>
    <m/>
    <n v="2"/>
    <n v="15"/>
    <x v="1"/>
    <n v="10"/>
    <m/>
    <n v="41"/>
    <x v="0"/>
    <n v="1"/>
    <x v="2"/>
    <m/>
    <m/>
    <n v="23"/>
    <x v="2"/>
    <s v="15/05/2024"/>
    <d v="2024-05-15T00:00:00"/>
    <s v="2024042-29"/>
    <x v="4"/>
  </r>
  <r>
    <x v="663"/>
    <n v="2024042"/>
    <x v="42"/>
    <s v="Fababean"/>
    <m/>
    <x v="12"/>
    <s v="N"/>
    <x v="2"/>
    <n v="30"/>
    <n v="30"/>
    <x v="4"/>
    <m/>
    <m/>
    <m/>
    <n v="5"/>
    <m/>
    <m/>
    <m/>
    <m/>
    <m/>
    <n v="3"/>
    <n v="15"/>
    <x v="2"/>
    <n v="10"/>
    <m/>
    <n v="40"/>
    <x v="0"/>
    <n v="5"/>
    <x v="1"/>
    <m/>
    <m/>
    <n v="23"/>
    <x v="2"/>
    <s v="15/05/2024"/>
    <d v="2024-05-15T00:00:00"/>
    <s v="2024042-30"/>
    <x v="4"/>
  </r>
  <r>
    <x v="661"/>
    <n v="2024042"/>
    <x v="42"/>
    <s v="Fababean"/>
    <m/>
    <x v="12"/>
    <s v="N"/>
    <x v="2"/>
    <n v="31"/>
    <n v="31"/>
    <x v="5"/>
    <m/>
    <m/>
    <m/>
    <n v="6"/>
    <m/>
    <m/>
    <m/>
    <m/>
    <m/>
    <n v="1"/>
    <n v="17"/>
    <x v="0"/>
    <n v="11"/>
    <m/>
    <n v="13"/>
    <x v="0"/>
    <n v="1"/>
    <x v="2"/>
    <m/>
    <m/>
    <n v="23"/>
    <x v="1"/>
    <s v="10/04/2024"/>
    <d v="2024-04-10T00:00:00"/>
    <s v="2024042-31"/>
    <x v="4"/>
  </r>
  <r>
    <x v="658"/>
    <n v="2024042"/>
    <x v="42"/>
    <s v="Fababean"/>
    <m/>
    <x v="13"/>
    <s v="Y"/>
    <x v="2"/>
    <n v="32"/>
    <n v="32"/>
    <x v="5"/>
    <m/>
    <m/>
    <m/>
    <n v="6"/>
    <m/>
    <m/>
    <m/>
    <m/>
    <m/>
    <n v="2"/>
    <n v="17"/>
    <x v="1"/>
    <n v="11"/>
    <m/>
    <n v="14"/>
    <x v="0"/>
    <n v="3"/>
    <x v="2"/>
    <m/>
    <m/>
    <n v="23"/>
    <x v="1"/>
    <s v="10/04/2024"/>
    <d v="2024-04-10T00:00:00"/>
    <s v="2024042-32"/>
    <x v="4"/>
  </r>
  <r>
    <x v="660"/>
    <n v="2024042"/>
    <x v="42"/>
    <s v="Fababean"/>
    <m/>
    <x v="11"/>
    <s v="N"/>
    <x v="2"/>
    <n v="33"/>
    <n v="33"/>
    <x v="5"/>
    <m/>
    <m/>
    <m/>
    <n v="6"/>
    <m/>
    <m/>
    <m/>
    <m/>
    <m/>
    <n v="3"/>
    <n v="17"/>
    <x v="2"/>
    <n v="11"/>
    <m/>
    <n v="15"/>
    <x v="0"/>
    <n v="2"/>
    <x v="2"/>
    <m/>
    <m/>
    <n v="23"/>
    <x v="1"/>
    <s v="10/04/2024"/>
    <d v="2024-04-10T00:00:00"/>
    <s v="2024042-33"/>
    <x v="4"/>
  </r>
  <r>
    <x v="657"/>
    <n v="2024042"/>
    <x v="42"/>
    <s v="Fababean"/>
    <m/>
    <x v="12"/>
    <s v="N"/>
    <x v="2"/>
    <n v="34"/>
    <n v="34"/>
    <x v="5"/>
    <m/>
    <m/>
    <m/>
    <n v="6"/>
    <m/>
    <m/>
    <m/>
    <m/>
    <m/>
    <n v="1"/>
    <n v="18"/>
    <x v="0"/>
    <n v="12"/>
    <m/>
    <n v="18"/>
    <x v="0"/>
    <n v="5"/>
    <x v="1"/>
    <m/>
    <m/>
    <n v="23"/>
    <x v="1"/>
    <s v="10/04/2024"/>
    <d v="2024-04-10T00:00:00"/>
    <s v="2024042-34"/>
    <x v="4"/>
  </r>
  <r>
    <x v="659"/>
    <n v="2024042"/>
    <x v="42"/>
    <s v="Fababean"/>
    <m/>
    <x v="10"/>
    <s v="Y"/>
    <x v="2"/>
    <n v="35"/>
    <n v="35"/>
    <x v="5"/>
    <m/>
    <m/>
    <m/>
    <n v="6"/>
    <m/>
    <m/>
    <m/>
    <m/>
    <m/>
    <n v="2"/>
    <n v="18"/>
    <x v="1"/>
    <n v="12"/>
    <m/>
    <n v="17"/>
    <x v="0"/>
    <n v="4"/>
    <x v="2"/>
    <m/>
    <m/>
    <n v="23"/>
    <x v="1"/>
    <s v="10/04/2024"/>
    <d v="2024-04-10T00:00:00"/>
    <s v="2024042-35"/>
    <x v="4"/>
  </r>
  <r>
    <x v="656"/>
    <n v="2024042"/>
    <x v="42"/>
    <s v="Fababean"/>
    <m/>
    <x v="11"/>
    <s v="N"/>
    <x v="2"/>
    <n v="36"/>
    <n v="36"/>
    <x v="5"/>
    <m/>
    <m/>
    <m/>
    <n v="6"/>
    <m/>
    <m/>
    <m/>
    <m/>
    <m/>
    <n v="3"/>
    <n v="18"/>
    <x v="2"/>
    <n v="12"/>
    <m/>
    <n v="16"/>
    <x v="0"/>
    <n v="6"/>
    <x v="1"/>
    <m/>
    <m/>
    <n v="23"/>
    <x v="1"/>
    <s v="10/04/2024"/>
    <d v="2024-04-10T00:00:00"/>
    <s v="2024042-36"/>
    <x v="4"/>
  </r>
  <r>
    <x v="663"/>
    <n v="2024042"/>
    <x v="42"/>
    <s v="Fababean"/>
    <m/>
    <x v="12"/>
    <s v="N"/>
    <x v="2"/>
    <n v="37"/>
    <n v="37"/>
    <x v="6"/>
    <m/>
    <m/>
    <m/>
    <n v="7"/>
    <m/>
    <m/>
    <m/>
    <m/>
    <m/>
    <n v="1"/>
    <n v="20"/>
    <x v="0"/>
    <n v="13"/>
    <m/>
    <n v="43"/>
    <x v="0"/>
    <n v="5"/>
    <x v="1"/>
    <m/>
    <m/>
    <n v="23"/>
    <x v="2"/>
    <s v="15/05/2024"/>
    <d v="2024-05-15T00:00:00"/>
    <s v="2024042-37"/>
    <x v="4"/>
  </r>
  <r>
    <x v="667"/>
    <n v="2024042"/>
    <x v="42"/>
    <s v="Fababean"/>
    <m/>
    <x v="12"/>
    <s v="N"/>
    <x v="2"/>
    <n v="38"/>
    <n v="38"/>
    <x v="6"/>
    <m/>
    <m/>
    <m/>
    <n v="7"/>
    <m/>
    <m/>
    <m/>
    <m/>
    <m/>
    <n v="2"/>
    <n v="20"/>
    <x v="1"/>
    <n v="13"/>
    <m/>
    <n v="44"/>
    <x v="0"/>
    <n v="1"/>
    <x v="2"/>
    <m/>
    <m/>
    <n v="23"/>
    <x v="2"/>
    <s v="15/05/2024"/>
    <d v="2024-05-15T00:00:00"/>
    <s v="2024042-38"/>
    <x v="4"/>
  </r>
  <r>
    <x v="662"/>
    <n v="2024042"/>
    <x v="42"/>
    <s v="Fababean"/>
    <m/>
    <x v="10"/>
    <s v="Y"/>
    <x v="2"/>
    <n v="39"/>
    <n v="39"/>
    <x v="6"/>
    <m/>
    <m/>
    <m/>
    <n v="7"/>
    <m/>
    <m/>
    <m/>
    <m/>
    <m/>
    <n v="3"/>
    <n v="20"/>
    <x v="2"/>
    <n v="13"/>
    <m/>
    <n v="45"/>
    <x v="0"/>
    <n v="4"/>
    <x v="2"/>
    <m/>
    <m/>
    <n v="23"/>
    <x v="2"/>
    <s v="15/05/2024"/>
    <d v="2024-05-15T00:00:00"/>
    <s v="2024042-39"/>
    <x v="4"/>
  </r>
  <r>
    <x v="664"/>
    <n v="2024042"/>
    <x v="42"/>
    <s v="Fababean"/>
    <m/>
    <x v="11"/>
    <s v="N"/>
    <x v="2"/>
    <n v="40"/>
    <n v="40"/>
    <x v="6"/>
    <m/>
    <m/>
    <m/>
    <n v="7"/>
    <m/>
    <m/>
    <m/>
    <m/>
    <m/>
    <n v="1"/>
    <n v="21"/>
    <x v="0"/>
    <n v="14"/>
    <m/>
    <n v="48"/>
    <x v="0"/>
    <n v="2"/>
    <x v="2"/>
    <m/>
    <m/>
    <n v="23"/>
    <x v="2"/>
    <s v="15/05/2024"/>
    <d v="2024-05-15T00:00:00"/>
    <s v="2024042-40"/>
    <x v="4"/>
  </r>
  <r>
    <x v="665"/>
    <n v="2024042"/>
    <x v="42"/>
    <s v="Fababean"/>
    <m/>
    <x v="11"/>
    <s v="N"/>
    <x v="2"/>
    <n v="41"/>
    <n v="41"/>
    <x v="6"/>
    <m/>
    <m/>
    <m/>
    <n v="7"/>
    <m/>
    <m/>
    <m/>
    <m/>
    <m/>
    <n v="2"/>
    <n v="21"/>
    <x v="1"/>
    <n v="14"/>
    <m/>
    <n v="47"/>
    <x v="0"/>
    <n v="6"/>
    <x v="1"/>
    <m/>
    <m/>
    <n v="23"/>
    <x v="2"/>
    <s v="15/05/2024"/>
    <d v="2024-05-15T00:00:00"/>
    <s v="2024042-41"/>
    <x v="4"/>
  </r>
  <r>
    <x v="666"/>
    <n v="2024042"/>
    <x v="42"/>
    <s v="Fababean"/>
    <m/>
    <x v="13"/>
    <s v="Y"/>
    <x v="2"/>
    <n v="42"/>
    <n v="42"/>
    <x v="6"/>
    <m/>
    <m/>
    <m/>
    <n v="7"/>
    <m/>
    <m/>
    <m/>
    <m/>
    <m/>
    <n v="3"/>
    <n v="21"/>
    <x v="2"/>
    <n v="14"/>
    <m/>
    <n v="46"/>
    <x v="0"/>
    <n v="3"/>
    <x v="2"/>
    <m/>
    <m/>
    <n v="23"/>
    <x v="2"/>
    <s v="15/05/2024"/>
    <d v="2024-05-15T00:00:00"/>
    <s v="2024042-42"/>
    <x v="4"/>
  </r>
  <r>
    <x v="661"/>
    <n v="2024042"/>
    <x v="42"/>
    <s v="Fababean"/>
    <m/>
    <x v="12"/>
    <s v="N"/>
    <x v="2"/>
    <n v="43"/>
    <n v="43"/>
    <x v="7"/>
    <m/>
    <m/>
    <m/>
    <n v="8"/>
    <m/>
    <m/>
    <m/>
    <m/>
    <m/>
    <n v="1"/>
    <n v="23"/>
    <x v="0"/>
    <n v="15"/>
    <m/>
    <n v="19"/>
    <x v="0"/>
    <n v="1"/>
    <x v="2"/>
    <m/>
    <m/>
    <n v="23"/>
    <x v="1"/>
    <s v="10/04/2024"/>
    <d v="2024-04-10T00:00:00"/>
    <s v="2024042-43"/>
    <x v="4"/>
  </r>
  <r>
    <x v="660"/>
    <n v="2024042"/>
    <x v="42"/>
    <s v="Fababean"/>
    <m/>
    <x v="11"/>
    <s v="N"/>
    <x v="2"/>
    <n v="44"/>
    <n v="44"/>
    <x v="7"/>
    <m/>
    <m/>
    <m/>
    <n v="8"/>
    <m/>
    <m/>
    <m/>
    <m/>
    <m/>
    <n v="2"/>
    <n v="23"/>
    <x v="1"/>
    <n v="15"/>
    <m/>
    <n v="20"/>
    <x v="0"/>
    <n v="2"/>
    <x v="2"/>
    <m/>
    <m/>
    <n v="23"/>
    <x v="1"/>
    <s v="10/04/2024"/>
    <d v="2024-04-10T00:00:00"/>
    <s v="2024042-44"/>
    <x v="4"/>
  </r>
  <r>
    <x v="656"/>
    <n v="2024042"/>
    <x v="42"/>
    <s v="Fababean"/>
    <m/>
    <x v="11"/>
    <s v="N"/>
    <x v="2"/>
    <n v="45"/>
    <n v="45"/>
    <x v="7"/>
    <m/>
    <m/>
    <m/>
    <n v="8"/>
    <m/>
    <m/>
    <m/>
    <m/>
    <m/>
    <n v="3"/>
    <n v="23"/>
    <x v="2"/>
    <n v="15"/>
    <m/>
    <n v="21"/>
    <x v="0"/>
    <n v="6"/>
    <x v="1"/>
    <m/>
    <m/>
    <n v="23"/>
    <x v="1"/>
    <s v="10/04/2024"/>
    <d v="2024-04-10T00:00:00"/>
    <s v="2024042-45"/>
    <x v="4"/>
  </r>
  <r>
    <x v="658"/>
    <n v="2024042"/>
    <x v="42"/>
    <s v="Fababean"/>
    <m/>
    <x v="13"/>
    <s v="Y"/>
    <x v="2"/>
    <n v="46"/>
    <n v="46"/>
    <x v="7"/>
    <m/>
    <m/>
    <m/>
    <n v="8"/>
    <m/>
    <m/>
    <m/>
    <m/>
    <m/>
    <n v="1"/>
    <n v="24"/>
    <x v="0"/>
    <n v="16"/>
    <m/>
    <n v="24"/>
    <x v="0"/>
    <n v="3"/>
    <x v="2"/>
    <m/>
    <m/>
    <n v="23"/>
    <x v="1"/>
    <s v="10/04/2024"/>
    <d v="2024-04-10T00:00:00"/>
    <s v="2024042-46"/>
    <x v="4"/>
  </r>
  <r>
    <x v="659"/>
    <n v="2024042"/>
    <x v="42"/>
    <s v="Fababean"/>
    <m/>
    <x v="10"/>
    <s v="Y"/>
    <x v="2"/>
    <n v="47"/>
    <n v="47"/>
    <x v="7"/>
    <m/>
    <m/>
    <m/>
    <n v="8"/>
    <m/>
    <m/>
    <m/>
    <m/>
    <m/>
    <n v="2"/>
    <n v="24"/>
    <x v="1"/>
    <n v="16"/>
    <m/>
    <n v="23"/>
    <x v="0"/>
    <n v="4"/>
    <x v="2"/>
    <m/>
    <m/>
    <n v="23"/>
    <x v="1"/>
    <s v="10/04/2024"/>
    <d v="2024-04-10T00:00:00"/>
    <s v="2024042-47"/>
    <x v="4"/>
  </r>
  <r>
    <x v="657"/>
    <n v="2024042"/>
    <x v="42"/>
    <s v="Fababean"/>
    <m/>
    <x v="12"/>
    <s v="N"/>
    <x v="2"/>
    <n v="48"/>
    <n v="48"/>
    <x v="7"/>
    <m/>
    <m/>
    <m/>
    <n v="8"/>
    <m/>
    <m/>
    <m/>
    <m/>
    <m/>
    <n v="3"/>
    <n v="24"/>
    <x v="2"/>
    <n v="16"/>
    <m/>
    <n v="22"/>
    <x v="0"/>
    <n v="5"/>
    <x v="1"/>
    <m/>
    <m/>
    <n v="23"/>
    <x v="1"/>
    <s v="10/04/2024"/>
    <d v="2024-04-10T00:00:00"/>
    <s v="2024042-48"/>
    <x v="4"/>
  </r>
  <r>
    <x v="668"/>
    <n v="2024043"/>
    <x v="43"/>
    <s v="Lentil"/>
    <m/>
    <x v="1"/>
    <s v="Y"/>
    <x v="2"/>
    <n v="1"/>
    <n v="1"/>
    <x v="0"/>
    <m/>
    <m/>
    <m/>
    <n v="1"/>
    <m/>
    <m/>
    <m/>
    <m/>
    <m/>
    <n v="1"/>
    <n v="2"/>
    <x v="0"/>
    <n v="1"/>
    <m/>
    <n v="25"/>
    <x v="0"/>
    <n v="6"/>
    <x v="1"/>
    <m/>
    <m/>
    <n v="23"/>
    <x v="2"/>
    <s v="15/05/2024"/>
    <d v="2024-05-15T00:00:00"/>
    <s v="2024043-1"/>
    <x v="0"/>
  </r>
  <r>
    <x v="669"/>
    <n v="2024043"/>
    <x v="43"/>
    <s v="Lentil"/>
    <m/>
    <x v="14"/>
    <s v="N"/>
    <x v="2"/>
    <n v="2"/>
    <n v="2"/>
    <x v="0"/>
    <m/>
    <m/>
    <m/>
    <n v="1"/>
    <m/>
    <m/>
    <m/>
    <m/>
    <m/>
    <n v="2"/>
    <n v="2"/>
    <x v="1"/>
    <n v="1"/>
    <m/>
    <n v="26"/>
    <x v="0"/>
    <n v="2"/>
    <x v="2"/>
    <m/>
    <m/>
    <n v="23"/>
    <x v="2"/>
    <s v="15/05/2024"/>
    <d v="2024-05-15T00:00:00"/>
    <s v="2024043-2"/>
    <x v="0"/>
  </r>
  <r>
    <x v="670"/>
    <n v="2024043"/>
    <x v="43"/>
    <s v="Lentil"/>
    <m/>
    <x v="14"/>
    <s v="N"/>
    <x v="2"/>
    <n v="3"/>
    <n v="3"/>
    <x v="0"/>
    <m/>
    <m/>
    <m/>
    <n v="1"/>
    <m/>
    <m/>
    <m/>
    <m/>
    <m/>
    <n v="3"/>
    <n v="2"/>
    <x v="2"/>
    <n v="1"/>
    <m/>
    <n v="27"/>
    <x v="0"/>
    <n v="5"/>
    <x v="1"/>
    <m/>
    <m/>
    <n v="23"/>
    <x v="2"/>
    <s v="15/05/2024"/>
    <d v="2024-05-15T00:00:00"/>
    <s v="2024043-3"/>
    <x v="0"/>
  </r>
  <r>
    <x v="671"/>
    <n v="2024043"/>
    <x v="43"/>
    <s v="Lentil"/>
    <m/>
    <x v="16"/>
    <s v="N"/>
    <x v="2"/>
    <n v="4"/>
    <n v="4"/>
    <x v="0"/>
    <m/>
    <m/>
    <m/>
    <n v="1"/>
    <m/>
    <m/>
    <m/>
    <m/>
    <m/>
    <n v="1"/>
    <n v="3"/>
    <x v="0"/>
    <n v="2"/>
    <m/>
    <n v="30"/>
    <x v="0"/>
    <n v="1"/>
    <x v="2"/>
    <m/>
    <m/>
    <n v="23"/>
    <x v="2"/>
    <s v="15/05/2024"/>
    <d v="2024-05-15T00:00:00"/>
    <s v="2024043-4"/>
    <x v="0"/>
  </r>
  <r>
    <x v="672"/>
    <n v="2024043"/>
    <x v="43"/>
    <s v="Lentil"/>
    <m/>
    <x v="1"/>
    <s v="Y"/>
    <x v="2"/>
    <n v="5"/>
    <n v="5"/>
    <x v="0"/>
    <m/>
    <m/>
    <m/>
    <n v="1"/>
    <m/>
    <m/>
    <m/>
    <m/>
    <m/>
    <n v="2"/>
    <n v="3"/>
    <x v="1"/>
    <n v="2"/>
    <m/>
    <n v="29"/>
    <x v="0"/>
    <n v="3"/>
    <x v="2"/>
    <m/>
    <m/>
    <n v="23"/>
    <x v="2"/>
    <s v="15/05/2024"/>
    <d v="2024-05-15T00:00:00"/>
    <s v="2024043-5"/>
    <x v="0"/>
  </r>
  <r>
    <x v="673"/>
    <n v="2024043"/>
    <x v="43"/>
    <s v="Lentil"/>
    <m/>
    <x v="15"/>
    <s v="Y"/>
    <x v="2"/>
    <n v="6"/>
    <n v="6"/>
    <x v="0"/>
    <m/>
    <m/>
    <m/>
    <n v="1"/>
    <m/>
    <m/>
    <m/>
    <m/>
    <m/>
    <n v="3"/>
    <n v="3"/>
    <x v="2"/>
    <n v="2"/>
    <m/>
    <n v="28"/>
    <x v="0"/>
    <n v="4"/>
    <x v="2"/>
    <m/>
    <m/>
    <n v="23"/>
    <x v="2"/>
    <s v="15/05/2024"/>
    <d v="2024-05-15T00:00:00"/>
    <s v="2024043-6"/>
    <x v="0"/>
  </r>
  <r>
    <x v="674"/>
    <n v="2024043"/>
    <x v="43"/>
    <s v="Lentil"/>
    <m/>
    <x v="14"/>
    <s v="N"/>
    <x v="2"/>
    <n v="7"/>
    <n v="7"/>
    <x v="0"/>
    <m/>
    <m/>
    <m/>
    <n v="2"/>
    <m/>
    <m/>
    <m/>
    <m/>
    <m/>
    <n v="1"/>
    <n v="5"/>
    <x v="0"/>
    <n v="3"/>
    <m/>
    <n v="1"/>
    <x v="0"/>
    <n v="5"/>
    <x v="1"/>
    <m/>
    <m/>
    <n v="23"/>
    <x v="1"/>
    <s v="10/04/2024"/>
    <d v="2024-04-10T00:00:00"/>
    <s v="2024043-7"/>
    <x v="0"/>
  </r>
  <r>
    <x v="675"/>
    <n v="2024043"/>
    <x v="43"/>
    <s v="Lentil"/>
    <m/>
    <x v="15"/>
    <s v="Y"/>
    <x v="2"/>
    <n v="8"/>
    <n v="8"/>
    <x v="0"/>
    <m/>
    <m/>
    <m/>
    <n v="2"/>
    <m/>
    <m/>
    <m/>
    <m/>
    <m/>
    <n v="2"/>
    <n v="5"/>
    <x v="1"/>
    <n v="3"/>
    <m/>
    <n v="2"/>
    <x v="0"/>
    <n v="4"/>
    <x v="2"/>
    <m/>
    <m/>
    <n v="23"/>
    <x v="1"/>
    <s v="10/04/2024"/>
    <d v="2024-04-10T00:00:00"/>
    <s v="2024043-8"/>
    <x v="0"/>
  </r>
  <r>
    <x v="676"/>
    <n v="2024043"/>
    <x v="43"/>
    <s v="Lentil"/>
    <m/>
    <x v="1"/>
    <s v="Y"/>
    <x v="2"/>
    <n v="9"/>
    <n v="9"/>
    <x v="0"/>
    <m/>
    <m/>
    <m/>
    <n v="2"/>
    <m/>
    <m/>
    <m/>
    <m/>
    <m/>
    <n v="3"/>
    <n v="5"/>
    <x v="2"/>
    <n v="3"/>
    <m/>
    <n v="3"/>
    <x v="0"/>
    <n v="3"/>
    <x v="2"/>
    <m/>
    <m/>
    <n v="23"/>
    <x v="1"/>
    <s v="10/04/2024"/>
    <d v="2024-04-10T00:00:00"/>
    <s v="2024043-9"/>
    <x v="0"/>
  </r>
  <r>
    <x v="677"/>
    <n v="2024043"/>
    <x v="43"/>
    <s v="Lentil"/>
    <m/>
    <x v="14"/>
    <s v="N"/>
    <x v="2"/>
    <n v="10"/>
    <n v="10"/>
    <x v="0"/>
    <m/>
    <m/>
    <m/>
    <n v="2"/>
    <m/>
    <m/>
    <m/>
    <m/>
    <m/>
    <n v="1"/>
    <n v="6"/>
    <x v="0"/>
    <n v="4"/>
    <m/>
    <n v="6"/>
    <x v="0"/>
    <n v="2"/>
    <x v="2"/>
    <m/>
    <m/>
    <n v="23"/>
    <x v="1"/>
    <s v="10/04/2024"/>
    <d v="2024-04-10T00:00:00"/>
    <s v="2024043-10"/>
    <x v="0"/>
  </r>
  <r>
    <x v="678"/>
    <n v="2024043"/>
    <x v="43"/>
    <s v="Lentil"/>
    <m/>
    <x v="16"/>
    <s v="N"/>
    <x v="2"/>
    <n v="11"/>
    <n v="11"/>
    <x v="0"/>
    <m/>
    <m/>
    <m/>
    <n v="2"/>
    <m/>
    <m/>
    <m/>
    <m/>
    <m/>
    <n v="2"/>
    <n v="6"/>
    <x v="1"/>
    <n v="4"/>
    <m/>
    <n v="5"/>
    <x v="0"/>
    <n v="1"/>
    <x v="2"/>
    <m/>
    <m/>
    <n v="23"/>
    <x v="1"/>
    <s v="10/04/2024"/>
    <d v="2024-04-10T00:00:00"/>
    <s v="2024043-11"/>
    <x v="0"/>
  </r>
  <r>
    <x v="679"/>
    <n v="2024043"/>
    <x v="43"/>
    <s v="Lentil"/>
    <m/>
    <x v="1"/>
    <s v="Y"/>
    <x v="2"/>
    <n v="12"/>
    <n v="12"/>
    <x v="0"/>
    <m/>
    <m/>
    <m/>
    <n v="2"/>
    <m/>
    <m/>
    <m/>
    <m/>
    <m/>
    <n v="3"/>
    <n v="6"/>
    <x v="2"/>
    <n v="4"/>
    <m/>
    <n v="4"/>
    <x v="0"/>
    <n v="6"/>
    <x v="1"/>
    <m/>
    <m/>
    <n v="23"/>
    <x v="1"/>
    <s v="10/04/2024"/>
    <d v="2024-04-10T00:00:00"/>
    <s v="2024043-12"/>
    <x v="0"/>
  </r>
  <r>
    <x v="678"/>
    <n v="2024043"/>
    <x v="43"/>
    <s v="Lentil"/>
    <m/>
    <x v="16"/>
    <s v="N"/>
    <x v="2"/>
    <n v="13"/>
    <n v="13"/>
    <x v="1"/>
    <m/>
    <m/>
    <m/>
    <n v="3"/>
    <m/>
    <m/>
    <m/>
    <m/>
    <m/>
    <n v="1"/>
    <n v="8"/>
    <x v="0"/>
    <n v="5"/>
    <m/>
    <n v="7"/>
    <x v="0"/>
    <n v="1"/>
    <x v="2"/>
    <m/>
    <m/>
    <n v="23"/>
    <x v="1"/>
    <s v="10/04/2024"/>
    <d v="2024-04-10T00:00:00"/>
    <s v="2024043-13"/>
    <x v="0"/>
  </r>
  <r>
    <x v="674"/>
    <n v="2024043"/>
    <x v="43"/>
    <s v="Lentil"/>
    <m/>
    <x v="14"/>
    <s v="N"/>
    <x v="2"/>
    <n v="14"/>
    <n v="14"/>
    <x v="1"/>
    <m/>
    <m/>
    <m/>
    <n v="3"/>
    <m/>
    <m/>
    <m/>
    <m/>
    <m/>
    <n v="2"/>
    <n v="8"/>
    <x v="1"/>
    <n v="5"/>
    <m/>
    <n v="8"/>
    <x v="0"/>
    <n v="5"/>
    <x v="1"/>
    <m/>
    <m/>
    <n v="23"/>
    <x v="1"/>
    <s v="10/04/2024"/>
    <d v="2024-04-10T00:00:00"/>
    <s v="2024043-14"/>
    <x v="0"/>
  </r>
  <r>
    <x v="676"/>
    <n v="2024043"/>
    <x v="43"/>
    <s v="Lentil"/>
    <m/>
    <x v="1"/>
    <s v="Y"/>
    <x v="2"/>
    <n v="15"/>
    <n v="15"/>
    <x v="1"/>
    <m/>
    <m/>
    <m/>
    <n v="3"/>
    <m/>
    <m/>
    <m/>
    <m/>
    <m/>
    <n v="3"/>
    <n v="8"/>
    <x v="2"/>
    <n v="5"/>
    <m/>
    <n v="9"/>
    <x v="0"/>
    <n v="3"/>
    <x v="2"/>
    <m/>
    <m/>
    <n v="23"/>
    <x v="1"/>
    <s v="10/04/2024"/>
    <d v="2024-04-10T00:00:00"/>
    <s v="2024043-15"/>
    <x v="0"/>
  </r>
  <r>
    <x v="679"/>
    <n v="2024043"/>
    <x v="43"/>
    <s v="Lentil"/>
    <m/>
    <x v="1"/>
    <s v="Y"/>
    <x v="2"/>
    <n v="16"/>
    <n v="16"/>
    <x v="1"/>
    <m/>
    <m/>
    <m/>
    <n v="3"/>
    <m/>
    <m/>
    <m/>
    <m/>
    <m/>
    <n v="1"/>
    <n v="9"/>
    <x v="0"/>
    <n v="6"/>
    <m/>
    <n v="12"/>
    <x v="0"/>
    <n v="6"/>
    <x v="1"/>
    <m/>
    <m/>
    <n v="23"/>
    <x v="1"/>
    <s v="10/04/2024"/>
    <d v="2024-04-10T00:00:00"/>
    <s v="2024043-16"/>
    <x v="0"/>
  </r>
  <r>
    <x v="677"/>
    <n v="2024043"/>
    <x v="43"/>
    <s v="Lentil"/>
    <m/>
    <x v="14"/>
    <s v="N"/>
    <x v="2"/>
    <n v="17"/>
    <n v="17"/>
    <x v="1"/>
    <m/>
    <m/>
    <m/>
    <n v="3"/>
    <m/>
    <m/>
    <m/>
    <m/>
    <m/>
    <n v="2"/>
    <n v="9"/>
    <x v="1"/>
    <n v="6"/>
    <m/>
    <n v="11"/>
    <x v="0"/>
    <n v="2"/>
    <x v="2"/>
    <m/>
    <m/>
    <n v="23"/>
    <x v="1"/>
    <s v="10/04/2024"/>
    <d v="2024-04-10T00:00:00"/>
    <s v="2024043-17"/>
    <x v="0"/>
  </r>
  <r>
    <x v="675"/>
    <n v="2024043"/>
    <x v="43"/>
    <s v="Lentil"/>
    <m/>
    <x v="15"/>
    <s v="Y"/>
    <x v="2"/>
    <n v="18"/>
    <n v="18"/>
    <x v="1"/>
    <m/>
    <m/>
    <m/>
    <n v="3"/>
    <m/>
    <m/>
    <m/>
    <m/>
    <m/>
    <n v="3"/>
    <n v="9"/>
    <x v="2"/>
    <n v="6"/>
    <m/>
    <n v="10"/>
    <x v="0"/>
    <n v="4"/>
    <x v="2"/>
    <m/>
    <m/>
    <n v="23"/>
    <x v="1"/>
    <s v="10/04/2024"/>
    <d v="2024-04-10T00:00:00"/>
    <s v="2024043-18"/>
    <x v="0"/>
  </r>
  <r>
    <x v="672"/>
    <n v="2024043"/>
    <x v="43"/>
    <s v="Lentil"/>
    <m/>
    <x v="1"/>
    <s v="Y"/>
    <x v="2"/>
    <n v="19"/>
    <n v="19"/>
    <x v="1"/>
    <m/>
    <m/>
    <m/>
    <n v="4"/>
    <m/>
    <m/>
    <m/>
    <m/>
    <m/>
    <n v="1"/>
    <n v="11"/>
    <x v="0"/>
    <n v="7"/>
    <m/>
    <n v="31"/>
    <x v="0"/>
    <n v="3"/>
    <x v="2"/>
    <m/>
    <m/>
    <n v="23"/>
    <x v="2"/>
    <s v="15/05/2024"/>
    <d v="2024-05-15T00:00:00"/>
    <s v="2024043-19"/>
    <x v="0"/>
  </r>
  <r>
    <x v="668"/>
    <n v="2024043"/>
    <x v="43"/>
    <s v="Lentil"/>
    <m/>
    <x v="1"/>
    <s v="Y"/>
    <x v="2"/>
    <n v="20"/>
    <n v="20"/>
    <x v="1"/>
    <m/>
    <m/>
    <m/>
    <n v="4"/>
    <m/>
    <m/>
    <m/>
    <m/>
    <m/>
    <n v="2"/>
    <n v="11"/>
    <x v="1"/>
    <n v="7"/>
    <m/>
    <n v="32"/>
    <x v="0"/>
    <n v="6"/>
    <x v="1"/>
    <m/>
    <m/>
    <n v="23"/>
    <x v="2"/>
    <s v="15/05/2024"/>
    <d v="2024-05-15T00:00:00"/>
    <s v="2024043-20"/>
    <x v="0"/>
  </r>
  <r>
    <x v="670"/>
    <n v="2024043"/>
    <x v="43"/>
    <s v="Lentil"/>
    <m/>
    <x v="14"/>
    <s v="N"/>
    <x v="2"/>
    <n v="21"/>
    <n v="21"/>
    <x v="1"/>
    <m/>
    <m/>
    <m/>
    <n v="4"/>
    <m/>
    <m/>
    <m/>
    <m/>
    <m/>
    <n v="3"/>
    <n v="11"/>
    <x v="2"/>
    <n v="7"/>
    <m/>
    <n v="33"/>
    <x v="0"/>
    <n v="5"/>
    <x v="1"/>
    <m/>
    <m/>
    <n v="23"/>
    <x v="2"/>
    <s v="15/05/2024"/>
    <d v="2024-05-15T00:00:00"/>
    <s v="2024043-21"/>
    <x v="0"/>
  </r>
  <r>
    <x v="669"/>
    <n v="2024043"/>
    <x v="43"/>
    <s v="Lentil"/>
    <m/>
    <x v="14"/>
    <s v="N"/>
    <x v="2"/>
    <n v="22"/>
    <n v="22"/>
    <x v="1"/>
    <m/>
    <m/>
    <m/>
    <n v="4"/>
    <m/>
    <m/>
    <m/>
    <m/>
    <m/>
    <n v="1"/>
    <n v="12"/>
    <x v="0"/>
    <n v="8"/>
    <m/>
    <n v="36"/>
    <x v="0"/>
    <n v="2"/>
    <x v="2"/>
    <m/>
    <m/>
    <n v="23"/>
    <x v="2"/>
    <s v="15/05/2024"/>
    <d v="2024-05-15T00:00:00"/>
    <s v="2024043-22"/>
    <x v="0"/>
  </r>
  <r>
    <x v="673"/>
    <n v="2024043"/>
    <x v="43"/>
    <s v="Lentil"/>
    <m/>
    <x v="15"/>
    <s v="Y"/>
    <x v="2"/>
    <n v="23"/>
    <n v="23"/>
    <x v="1"/>
    <m/>
    <m/>
    <m/>
    <n v="4"/>
    <m/>
    <m/>
    <m/>
    <m/>
    <m/>
    <n v="2"/>
    <n v="12"/>
    <x v="1"/>
    <n v="8"/>
    <m/>
    <n v="35"/>
    <x v="0"/>
    <n v="4"/>
    <x v="2"/>
    <m/>
    <m/>
    <n v="23"/>
    <x v="2"/>
    <s v="15/05/2024"/>
    <d v="2024-05-15T00:00:00"/>
    <s v="2024043-23"/>
    <x v="0"/>
  </r>
  <r>
    <x v="671"/>
    <n v="2024043"/>
    <x v="43"/>
    <s v="Lentil"/>
    <m/>
    <x v="16"/>
    <s v="N"/>
    <x v="2"/>
    <n v="24"/>
    <n v="24"/>
    <x v="1"/>
    <m/>
    <m/>
    <m/>
    <n v="4"/>
    <m/>
    <m/>
    <m/>
    <m/>
    <m/>
    <n v="3"/>
    <n v="12"/>
    <x v="2"/>
    <n v="8"/>
    <m/>
    <n v="34"/>
    <x v="0"/>
    <n v="1"/>
    <x v="2"/>
    <m/>
    <m/>
    <n v="23"/>
    <x v="2"/>
    <s v="15/05/2024"/>
    <d v="2024-05-15T00:00:00"/>
    <s v="2024043-24"/>
    <x v="0"/>
  </r>
  <r>
    <x v="670"/>
    <n v="2024043"/>
    <x v="43"/>
    <s v="Lentil"/>
    <m/>
    <x v="14"/>
    <s v="N"/>
    <x v="2"/>
    <n v="25"/>
    <n v="25"/>
    <x v="2"/>
    <m/>
    <m/>
    <m/>
    <n v="5"/>
    <m/>
    <m/>
    <m/>
    <m/>
    <m/>
    <n v="1"/>
    <n v="14"/>
    <x v="0"/>
    <n v="9"/>
    <m/>
    <n v="37"/>
    <x v="0"/>
    <n v="5"/>
    <x v="1"/>
    <m/>
    <m/>
    <n v="23"/>
    <x v="2"/>
    <s v="15/05/2024"/>
    <d v="2024-05-15T00:00:00"/>
    <s v="2024043-25"/>
    <x v="0"/>
  </r>
  <r>
    <x v="671"/>
    <n v="2024043"/>
    <x v="43"/>
    <s v="Lentil"/>
    <m/>
    <x v="16"/>
    <s v="N"/>
    <x v="2"/>
    <n v="26"/>
    <n v="26"/>
    <x v="2"/>
    <m/>
    <m/>
    <m/>
    <n v="5"/>
    <m/>
    <m/>
    <m/>
    <m/>
    <m/>
    <n v="2"/>
    <n v="14"/>
    <x v="1"/>
    <n v="9"/>
    <m/>
    <n v="38"/>
    <x v="0"/>
    <n v="1"/>
    <x v="2"/>
    <m/>
    <m/>
    <n v="23"/>
    <x v="2"/>
    <s v="15/05/2024"/>
    <d v="2024-05-15T00:00:00"/>
    <s v="2024043-26"/>
    <x v="0"/>
  </r>
  <r>
    <x v="668"/>
    <n v="2024043"/>
    <x v="43"/>
    <s v="Lentil"/>
    <m/>
    <x v="1"/>
    <s v="Y"/>
    <x v="2"/>
    <n v="27"/>
    <n v="27"/>
    <x v="2"/>
    <m/>
    <m/>
    <m/>
    <n v="5"/>
    <m/>
    <m/>
    <m/>
    <m/>
    <m/>
    <n v="3"/>
    <n v="14"/>
    <x v="2"/>
    <n v="9"/>
    <m/>
    <n v="39"/>
    <x v="0"/>
    <n v="6"/>
    <x v="1"/>
    <m/>
    <m/>
    <n v="23"/>
    <x v="2"/>
    <s v="15/05/2024"/>
    <d v="2024-05-15T00:00:00"/>
    <s v="2024043-27"/>
    <x v="0"/>
  </r>
  <r>
    <x v="673"/>
    <n v="2024043"/>
    <x v="43"/>
    <s v="Lentil"/>
    <m/>
    <x v="15"/>
    <s v="Y"/>
    <x v="2"/>
    <n v="28"/>
    <n v="28"/>
    <x v="2"/>
    <m/>
    <m/>
    <m/>
    <n v="5"/>
    <m/>
    <m/>
    <m/>
    <m/>
    <m/>
    <n v="1"/>
    <n v="15"/>
    <x v="0"/>
    <n v="10"/>
    <m/>
    <n v="42"/>
    <x v="0"/>
    <n v="4"/>
    <x v="2"/>
    <m/>
    <m/>
    <n v="23"/>
    <x v="2"/>
    <s v="15/05/2024"/>
    <d v="2024-05-15T00:00:00"/>
    <s v="2024043-28"/>
    <x v="0"/>
  </r>
  <r>
    <x v="672"/>
    <n v="2024043"/>
    <x v="43"/>
    <s v="Lentil"/>
    <m/>
    <x v="1"/>
    <s v="Y"/>
    <x v="2"/>
    <n v="29"/>
    <n v="29"/>
    <x v="2"/>
    <m/>
    <m/>
    <m/>
    <n v="5"/>
    <m/>
    <m/>
    <m/>
    <m/>
    <m/>
    <n v="2"/>
    <n v="15"/>
    <x v="1"/>
    <n v="10"/>
    <m/>
    <n v="41"/>
    <x v="0"/>
    <n v="3"/>
    <x v="2"/>
    <m/>
    <m/>
    <n v="23"/>
    <x v="2"/>
    <s v="15/05/2024"/>
    <d v="2024-05-15T00:00:00"/>
    <s v="2024043-29"/>
    <x v="0"/>
  </r>
  <r>
    <x v="669"/>
    <n v="2024043"/>
    <x v="43"/>
    <s v="Lentil"/>
    <m/>
    <x v="14"/>
    <s v="N"/>
    <x v="2"/>
    <n v="30"/>
    <n v="30"/>
    <x v="2"/>
    <m/>
    <m/>
    <m/>
    <n v="5"/>
    <m/>
    <m/>
    <m/>
    <m/>
    <m/>
    <n v="3"/>
    <n v="15"/>
    <x v="2"/>
    <n v="10"/>
    <m/>
    <n v="40"/>
    <x v="0"/>
    <n v="2"/>
    <x v="2"/>
    <m/>
    <m/>
    <n v="23"/>
    <x v="2"/>
    <s v="15/05/2024"/>
    <d v="2024-05-15T00:00:00"/>
    <s v="2024043-30"/>
    <x v="0"/>
  </r>
  <r>
    <x v="677"/>
    <n v="2024043"/>
    <x v="43"/>
    <s v="Lentil"/>
    <m/>
    <x v="14"/>
    <s v="N"/>
    <x v="2"/>
    <n v="31"/>
    <n v="31"/>
    <x v="2"/>
    <m/>
    <m/>
    <m/>
    <n v="6"/>
    <m/>
    <m/>
    <m/>
    <m/>
    <m/>
    <n v="1"/>
    <n v="17"/>
    <x v="0"/>
    <n v="11"/>
    <m/>
    <n v="13"/>
    <x v="0"/>
    <n v="2"/>
    <x v="2"/>
    <m/>
    <m/>
    <n v="23"/>
    <x v="1"/>
    <s v="10/04/2024"/>
    <d v="2024-04-10T00:00:00"/>
    <s v="2024043-31"/>
    <x v="0"/>
  </r>
  <r>
    <x v="676"/>
    <n v="2024043"/>
    <x v="43"/>
    <s v="Lentil"/>
    <m/>
    <x v="1"/>
    <s v="Y"/>
    <x v="2"/>
    <n v="32"/>
    <n v="32"/>
    <x v="2"/>
    <m/>
    <m/>
    <m/>
    <n v="6"/>
    <m/>
    <m/>
    <m/>
    <m/>
    <m/>
    <n v="2"/>
    <n v="17"/>
    <x v="1"/>
    <n v="11"/>
    <m/>
    <n v="14"/>
    <x v="0"/>
    <n v="3"/>
    <x v="2"/>
    <m/>
    <m/>
    <n v="23"/>
    <x v="1"/>
    <s v="10/04/2024"/>
    <d v="2024-04-10T00:00:00"/>
    <s v="2024043-32"/>
    <x v="0"/>
  </r>
  <r>
    <x v="678"/>
    <n v="2024043"/>
    <x v="43"/>
    <s v="Lentil"/>
    <m/>
    <x v="16"/>
    <s v="N"/>
    <x v="2"/>
    <n v="33"/>
    <n v="33"/>
    <x v="2"/>
    <m/>
    <m/>
    <m/>
    <n v="6"/>
    <m/>
    <m/>
    <m/>
    <m/>
    <m/>
    <n v="3"/>
    <n v="17"/>
    <x v="2"/>
    <n v="11"/>
    <m/>
    <n v="15"/>
    <x v="0"/>
    <n v="1"/>
    <x v="2"/>
    <m/>
    <m/>
    <n v="23"/>
    <x v="1"/>
    <s v="10/04/2024"/>
    <d v="2024-04-10T00:00:00"/>
    <s v="2024043-33"/>
    <x v="0"/>
  </r>
  <r>
    <x v="675"/>
    <n v="2024043"/>
    <x v="43"/>
    <s v="Lentil"/>
    <m/>
    <x v="15"/>
    <s v="Y"/>
    <x v="2"/>
    <n v="34"/>
    <n v="34"/>
    <x v="2"/>
    <m/>
    <m/>
    <m/>
    <n v="6"/>
    <m/>
    <m/>
    <m/>
    <m/>
    <m/>
    <n v="1"/>
    <n v="18"/>
    <x v="0"/>
    <n v="12"/>
    <m/>
    <n v="18"/>
    <x v="0"/>
    <n v="4"/>
    <x v="2"/>
    <m/>
    <m/>
    <n v="23"/>
    <x v="1"/>
    <s v="10/04/2024"/>
    <d v="2024-04-10T00:00:00"/>
    <s v="2024043-34"/>
    <x v="0"/>
  </r>
  <r>
    <x v="679"/>
    <n v="2024043"/>
    <x v="43"/>
    <s v="Lentil"/>
    <m/>
    <x v="1"/>
    <s v="Y"/>
    <x v="2"/>
    <n v="35"/>
    <n v="35"/>
    <x v="2"/>
    <m/>
    <m/>
    <m/>
    <n v="6"/>
    <m/>
    <m/>
    <m/>
    <m/>
    <m/>
    <n v="2"/>
    <n v="18"/>
    <x v="1"/>
    <n v="12"/>
    <m/>
    <n v="17"/>
    <x v="0"/>
    <n v="6"/>
    <x v="1"/>
    <m/>
    <m/>
    <n v="23"/>
    <x v="1"/>
    <s v="10/04/2024"/>
    <d v="2024-04-10T00:00:00"/>
    <s v="2024043-35"/>
    <x v="0"/>
  </r>
  <r>
    <x v="674"/>
    <n v="2024043"/>
    <x v="43"/>
    <s v="Lentil"/>
    <m/>
    <x v="14"/>
    <s v="N"/>
    <x v="2"/>
    <n v="36"/>
    <n v="36"/>
    <x v="2"/>
    <m/>
    <m/>
    <m/>
    <n v="6"/>
    <m/>
    <m/>
    <m/>
    <m/>
    <m/>
    <n v="3"/>
    <n v="18"/>
    <x v="2"/>
    <n v="12"/>
    <m/>
    <n v="16"/>
    <x v="0"/>
    <n v="5"/>
    <x v="1"/>
    <m/>
    <m/>
    <n v="23"/>
    <x v="1"/>
    <s v="10/04/2024"/>
    <d v="2024-04-10T00:00:00"/>
    <s v="2024043-36"/>
    <x v="0"/>
  </r>
  <r>
    <x v="678"/>
    <n v="2024043"/>
    <x v="43"/>
    <s v="Lentil"/>
    <m/>
    <x v="16"/>
    <s v="N"/>
    <x v="2"/>
    <n v="37"/>
    <n v="37"/>
    <x v="3"/>
    <m/>
    <m/>
    <m/>
    <n v="7"/>
    <m/>
    <m/>
    <m/>
    <m/>
    <m/>
    <n v="1"/>
    <n v="20"/>
    <x v="0"/>
    <n v="13"/>
    <m/>
    <n v="19"/>
    <x v="0"/>
    <n v="1"/>
    <x v="2"/>
    <m/>
    <m/>
    <n v="23"/>
    <x v="1"/>
    <s v="10/04/2024"/>
    <d v="2024-04-10T00:00:00"/>
    <s v="2024043-37"/>
    <x v="0"/>
  </r>
  <r>
    <x v="679"/>
    <n v="2024043"/>
    <x v="43"/>
    <s v="Lentil"/>
    <m/>
    <x v="1"/>
    <s v="Y"/>
    <x v="2"/>
    <n v="38"/>
    <n v="38"/>
    <x v="3"/>
    <m/>
    <m/>
    <m/>
    <n v="7"/>
    <m/>
    <m/>
    <m/>
    <m/>
    <m/>
    <n v="2"/>
    <n v="20"/>
    <x v="1"/>
    <n v="13"/>
    <m/>
    <n v="20"/>
    <x v="0"/>
    <n v="6"/>
    <x v="1"/>
    <m/>
    <m/>
    <n v="23"/>
    <x v="1"/>
    <s v="10/04/2024"/>
    <d v="2024-04-10T00:00:00"/>
    <s v="2024043-38"/>
    <x v="0"/>
  </r>
  <r>
    <x v="675"/>
    <n v="2024043"/>
    <x v="43"/>
    <s v="Lentil"/>
    <m/>
    <x v="15"/>
    <s v="Y"/>
    <x v="2"/>
    <n v="39"/>
    <n v="39"/>
    <x v="3"/>
    <m/>
    <m/>
    <m/>
    <n v="7"/>
    <m/>
    <m/>
    <m/>
    <m/>
    <m/>
    <n v="3"/>
    <n v="20"/>
    <x v="2"/>
    <n v="13"/>
    <m/>
    <n v="21"/>
    <x v="0"/>
    <n v="4"/>
    <x v="2"/>
    <m/>
    <m/>
    <n v="23"/>
    <x v="1"/>
    <s v="10/04/2024"/>
    <d v="2024-04-10T00:00:00"/>
    <s v="2024043-39"/>
    <x v="0"/>
  </r>
  <r>
    <x v="676"/>
    <n v="2024043"/>
    <x v="43"/>
    <s v="Lentil"/>
    <m/>
    <x v="1"/>
    <s v="Y"/>
    <x v="2"/>
    <n v="40"/>
    <n v="40"/>
    <x v="3"/>
    <m/>
    <m/>
    <m/>
    <n v="7"/>
    <m/>
    <m/>
    <m/>
    <m/>
    <m/>
    <n v="1"/>
    <n v="21"/>
    <x v="0"/>
    <n v="14"/>
    <m/>
    <n v="24"/>
    <x v="0"/>
    <n v="3"/>
    <x v="2"/>
    <m/>
    <m/>
    <n v="23"/>
    <x v="1"/>
    <s v="10/04/2024"/>
    <d v="2024-04-10T00:00:00"/>
    <s v="2024043-40"/>
    <x v="0"/>
  </r>
  <r>
    <x v="674"/>
    <n v="2024043"/>
    <x v="43"/>
    <s v="Lentil"/>
    <m/>
    <x v="14"/>
    <s v="N"/>
    <x v="2"/>
    <n v="41"/>
    <n v="41"/>
    <x v="3"/>
    <m/>
    <m/>
    <m/>
    <n v="7"/>
    <m/>
    <m/>
    <m/>
    <m/>
    <m/>
    <n v="2"/>
    <n v="21"/>
    <x v="1"/>
    <n v="14"/>
    <m/>
    <n v="23"/>
    <x v="0"/>
    <n v="5"/>
    <x v="1"/>
    <m/>
    <m/>
    <n v="23"/>
    <x v="1"/>
    <s v="10/04/2024"/>
    <d v="2024-04-10T00:00:00"/>
    <s v="2024043-41"/>
    <x v="0"/>
  </r>
  <r>
    <x v="677"/>
    <n v="2024043"/>
    <x v="43"/>
    <s v="Lentil"/>
    <m/>
    <x v="14"/>
    <s v="N"/>
    <x v="2"/>
    <n v="42"/>
    <n v="42"/>
    <x v="3"/>
    <m/>
    <m/>
    <m/>
    <n v="7"/>
    <m/>
    <m/>
    <m/>
    <m/>
    <m/>
    <n v="3"/>
    <n v="21"/>
    <x v="2"/>
    <n v="14"/>
    <m/>
    <n v="22"/>
    <x v="0"/>
    <n v="2"/>
    <x v="2"/>
    <m/>
    <m/>
    <n v="23"/>
    <x v="1"/>
    <s v="10/04/2024"/>
    <d v="2024-04-10T00:00:00"/>
    <s v="2024043-42"/>
    <x v="0"/>
  </r>
  <r>
    <x v="670"/>
    <n v="2024043"/>
    <x v="43"/>
    <s v="Lentil"/>
    <m/>
    <x v="14"/>
    <s v="N"/>
    <x v="2"/>
    <n v="43"/>
    <n v="43"/>
    <x v="3"/>
    <m/>
    <m/>
    <m/>
    <n v="8"/>
    <m/>
    <m/>
    <m/>
    <m/>
    <m/>
    <n v="1"/>
    <n v="23"/>
    <x v="0"/>
    <n v="15"/>
    <m/>
    <n v="43"/>
    <x v="0"/>
    <n v="5"/>
    <x v="1"/>
    <m/>
    <m/>
    <n v="23"/>
    <x v="2"/>
    <s v="15/05/2024"/>
    <d v="2024-05-15T00:00:00"/>
    <s v="2024043-43"/>
    <x v="0"/>
  </r>
  <r>
    <x v="671"/>
    <n v="2024043"/>
    <x v="43"/>
    <s v="Lentil"/>
    <m/>
    <x v="16"/>
    <s v="N"/>
    <x v="2"/>
    <n v="44"/>
    <n v="44"/>
    <x v="3"/>
    <m/>
    <m/>
    <m/>
    <n v="8"/>
    <m/>
    <m/>
    <m/>
    <m/>
    <m/>
    <n v="2"/>
    <n v="23"/>
    <x v="1"/>
    <n v="15"/>
    <m/>
    <n v="44"/>
    <x v="0"/>
    <n v="1"/>
    <x v="2"/>
    <m/>
    <m/>
    <n v="23"/>
    <x v="2"/>
    <s v="15/05/2024"/>
    <d v="2024-05-15T00:00:00"/>
    <s v="2024043-44"/>
    <x v="0"/>
  </r>
  <r>
    <x v="669"/>
    <n v="2024043"/>
    <x v="43"/>
    <s v="Lentil"/>
    <m/>
    <x v="14"/>
    <s v="N"/>
    <x v="2"/>
    <n v="45"/>
    <n v="45"/>
    <x v="3"/>
    <m/>
    <m/>
    <m/>
    <n v="8"/>
    <m/>
    <m/>
    <m/>
    <m/>
    <m/>
    <n v="3"/>
    <n v="23"/>
    <x v="2"/>
    <n v="15"/>
    <m/>
    <n v="45"/>
    <x v="0"/>
    <n v="2"/>
    <x v="2"/>
    <m/>
    <m/>
    <n v="23"/>
    <x v="2"/>
    <s v="15/05/2024"/>
    <d v="2024-05-15T00:00:00"/>
    <s v="2024043-45"/>
    <x v="0"/>
  </r>
  <r>
    <x v="672"/>
    <n v="2024043"/>
    <x v="43"/>
    <s v="Lentil"/>
    <m/>
    <x v="1"/>
    <s v="Y"/>
    <x v="2"/>
    <n v="46"/>
    <n v="46"/>
    <x v="3"/>
    <m/>
    <m/>
    <m/>
    <n v="8"/>
    <m/>
    <m/>
    <m/>
    <m/>
    <m/>
    <n v="1"/>
    <n v="24"/>
    <x v="0"/>
    <n v="16"/>
    <m/>
    <n v="48"/>
    <x v="0"/>
    <n v="3"/>
    <x v="2"/>
    <m/>
    <m/>
    <n v="23"/>
    <x v="2"/>
    <s v="15/05/2024"/>
    <d v="2024-05-15T00:00:00"/>
    <s v="2024043-46"/>
    <x v="0"/>
  </r>
  <r>
    <x v="673"/>
    <n v="2024043"/>
    <x v="43"/>
    <s v="Lentil"/>
    <m/>
    <x v="15"/>
    <s v="Y"/>
    <x v="2"/>
    <n v="47"/>
    <n v="47"/>
    <x v="3"/>
    <m/>
    <m/>
    <m/>
    <n v="8"/>
    <m/>
    <m/>
    <m/>
    <m/>
    <m/>
    <n v="2"/>
    <n v="24"/>
    <x v="1"/>
    <n v="16"/>
    <m/>
    <n v="47"/>
    <x v="0"/>
    <n v="4"/>
    <x v="2"/>
    <m/>
    <m/>
    <n v="23"/>
    <x v="2"/>
    <s v="15/05/2024"/>
    <d v="2024-05-15T00:00:00"/>
    <s v="2024043-47"/>
    <x v="0"/>
  </r>
  <r>
    <x v="668"/>
    <n v="2024043"/>
    <x v="43"/>
    <s v="Lentil"/>
    <m/>
    <x v="1"/>
    <s v="Y"/>
    <x v="2"/>
    <n v="48"/>
    <n v="48"/>
    <x v="3"/>
    <m/>
    <m/>
    <m/>
    <n v="8"/>
    <m/>
    <m/>
    <m/>
    <m/>
    <m/>
    <n v="3"/>
    <n v="24"/>
    <x v="2"/>
    <n v="16"/>
    <m/>
    <n v="46"/>
    <x v="0"/>
    <n v="6"/>
    <x v="1"/>
    <m/>
    <m/>
    <n v="23"/>
    <x v="2"/>
    <s v="15/05/2024"/>
    <d v="2024-05-15T00:00:00"/>
    <s v="2024043-48"/>
    <x v="0"/>
  </r>
  <r>
    <x v="680"/>
    <n v="2024044"/>
    <x v="44"/>
    <s v="Fababean"/>
    <m/>
    <x v="10"/>
    <s v="Y"/>
    <x v="2"/>
    <n v="1"/>
    <n v="1"/>
    <x v="0"/>
    <m/>
    <m/>
    <m/>
    <n v="1"/>
    <m/>
    <m/>
    <m/>
    <m/>
    <m/>
    <n v="1"/>
    <n v="2"/>
    <x v="0"/>
    <n v="1"/>
    <m/>
    <n v="1"/>
    <x v="0"/>
    <n v="4"/>
    <x v="0"/>
    <m/>
    <m/>
    <n v="30"/>
    <x v="1"/>
    <s v="10/05/2024"/>
    <d v="2024-05-10T00:00:00"/>
    <s v="2024044-1"/>
    <x v="4"/>
  </r>
  <r>
    <x v="681"/>
    <n v="2024044"/>
    <x v="44"/>
    <s v="Fababean"/>
    <m/>
    <x v="11"/>
    <s v="N"/>
    <x v="2"/>
    <n v="2"/>
    <n v="2"/>
    <x v="0"/>
    <m/>
    <m/>
    <m/>
    <n v="1"/>
    <m/>
    <m/>
    <m/>
    <m/>
    <m/>
    <n v="1"/>
    <n v="3"/>
    <x v="0"/>
    <n v="2"/>
    <m/>
    <n v="8"/>
    <x v="0"/>
    <n v="2"/>
    <x v="0"/>
    <m/>
    <m/>
    <n v="30"/>
    <x v="1"/>
    <s v="10/05/2024"/>
    <d v="2024-05-10T00:00:00"/>
    <s v="2024044-2"/>
    <x v="4"/>
  </r>
  <r>
    <x v="682"/>
    <n v="2024044"/>
    <x v="44"/>
    <s v="Fababean"/>
    <m/>
    <x v="12"/>
    <s v="N"/>
    <x v="2"/>
    <n v="3"/>
    <n v="3"/>
    <x v="0"/>
    <m/>
    <m/>
    <m/>
    <n v="1"/>
    <m/>
    <m/>
    <m/>
    <m/>
    <m/>
    <n v="1"/>
    <n v="4"/>
    <x v="0"/>
    <n v="3"/>
    <m/>
    <n v="9"/>
    <x v="0"/>
    <n v="1"/>
    <x v="0"/>
    <m/>
    <m/>
    <n v="30"/>
    <x v="1"/>
    <s v="10/05/2024"/>
    <d v="2024-05-10T00:00:00"/>
    <s v="2024044-3"/>
    <x v="4"/>
  </r>
  <r>
    <x v="683"/>
    <n v="2024044"/>
    <x v="44"/>
    <s v="Fababean"/>
    <m/>
    <x v="13"/>
    <s v="Y"/>
    <x v="2"/>
    <n v="4"/>
    <n v="4"/>
    <x v="0"/>
    <m/>
    <m/>
    <m/>
    <n v="1"/>
    <m/>
    <m/>
    <m/>
    <m/>
    <m/>
    <n v="1"/>
    <n v="5"/>
    <x v="0"/>
    <n v="4"/>
    <m/>
    <n v="16"/>
    <x v="0"/>
    <n v="3"/>
    <x v="0"/>
    <m/>
    <m/>
    <n v="30"/>
    <x v="1"/>
    <s v="10/05/2024"/>
    <d v="2024-05-10T00:00:00"/>
    <s v="2024044-4"/>
    <x v="4"/>
  </r>
  <r>
    <x v="684"/>
    <n v="2024044"/>
    <x v="44"/>
    <s v="Fababean"/>
    <m/>
    <x v="12"/>
    <s v="N"/>
    <x v="2"/>
    <n v="5"/>
    <n v="5"/>
    <x v="0"/>
    <m/>
    <m/>
    <m/>
    <n v="2"/>
    <m/>
    <m/>
    <m/>
    <m/>
    <m/>
    <n v="1"/>
    <n v="8"/>
    <x v="0"/>
    <n v="5"/>
    <m/>
    <n v="17"/>
    <x v="0"/>
    <n v="1"/>
    <x v="0"/>
    <m/>
    <m/>
    <n v="30"/>
    <x v="2"/>
    <s v="04/07/2024"/>
    <d v="2024-07-04T00:00:00"/>
    <s v="2024044-5"/>
    <x v="4"/>
  </r>
  <r>
    <x v="685"/>
    <n v="2024044"/>
    <x v="44"/>
    <s v="Fababean"/>
    <m/>
    <x v="10"/>
    <s v="Y"/>
    <x v="2"/>
    <n v="6"/>
    <n v="6"/>
    <x v="0"/>
    <m/>
    <m/>
    <m/>
    <n v="2"/>
    <m/>
    <m/>
    <m/>
    <m/>
    <m/>
    <n v="1"/>
    <n v="9"/>
    <x v="0"/>
    <n v="6"/>
    <m/>
    <n v="24"/>
    <x v="0"/>
    <n v="4"/>
    <x v="0"/>
    <m/>
    <m/>
    <n v="30"/>
    <x v="2"/>
    <s v="04/07/2024"/>
    <d v="2024-07-04T00:00:00"/>
    <s v="2024044-6"/>
    <x v="4"/>
  </r>
  <r>
    <x v="686"/>
    <n v="2024044"/>
    <x v="44"/>
    <s v="Fababean"/>
    <m/>
    <x v="13"/>
    <s v="Y"/>
    <x v="2"/>
    <n v="7"/>
    <n v="7"/>
    <x v="0"/>
    <m/>
    <m/>
    <m/>
    <n v="2"/>
    <m/>
    <m/>
    <m/>
    <m/>
    <m/>
    <n v="1"/>
    <n v="10"/>
    <x v="0"/>
    <n v="7"/>
    <m/>
    <n v="25"/>
    <x v="0"/>
    <n v="3"/>
    <x v="0"/>
    <m/>
    <m/>
    <n v="30"/>
    <x v="2"/>
    <s v="04/07/2024"/>
    <d v="2024-07-04T00:00:00"/>
    <s v="2024044-7"/>
    <x v="4"/>
  </r>
  <r>
    <x v="687"/>
    <n v="2024044"/>
    <x v="44"/>
    <s v="Fababean"/>
    <m/>
    <x v="11"/>
    <s v="N"/>
    <x v="2"/>
    <n v="8"/>
    <n v="8"/>
    <x v="0"/>
    <m/>
    <m/>
    <m/>
    <n v="2"/>
    <m/>
    <m/>
    <m/>
    <m/>
    <m/>
    <n v="1"/>
    <n v="11"/>
    <x v="0"/>
    <n v="8"/>
    <m/>
    <n v="32"/>
    <x v="0"/>
    <n v="2"/>
    <x v="0"/>
    <m/>
    <m/>
    <n v="30"/>
    <x v="2"/>
    <s v="04/07/2024"/>
    <d v="2024-07-04T00:00:00"/>
    <s v="2024044-8"/>
    <x v="4"/>
  </r>
  <r>
    <x v="686"/>
    <n v="2024044"/>
    <x v="44"/>
    <s v="Fababean"/>
    <m/>
    <x v="13"/>
    <s v="Y"/>
    <x v="2"/>
    <n v="9"/>
    <n v="9"/>
    <x v="1"/>
    <m/>
    <m/>
    <m/>
    <n v="3"/>
    <m/>
    <m/>
    <m/>
    <m/>
    <m/>
    <n v="3"/>
    <n v="2"/>
    <x v="1"/>
    <n v="1"/>
    <m/>
    <n v="2"/>
    <x v="0"/>
    <n v="3"/>
    <x v="0"/>
    <m/>
    <m/>
    <n v="30"/>
    <x v="2"/>
    <s v="04/07/2024"/>
    <d v="2024-07-04T00:00:00"/>
    <s v="2024044-9"/>
    <x v="4"/>
  </r>
  <r>
    <x v="684"/>
    <n v="2024044"/>
    <x v="44"/>
    <s v="Fababean"/>
    <m/>
    <x v="12"/>
    <s v="N"/>
    <x v="2"/>
    <n v="10"/>
    <n v="10"/>
    <x v="1"/>
    <m/>
    <m/>
    <m/>
    <n v="3"/>
    <m/>
    <m/>
    <m/>
    <m/>
    <m/>
    <n v="3"/>
    <n v="3"/>
    <x v="1"/>
    <n v="2"/>
    <m/>
    <n v="7"/>
    <x v="0"/>
    <n v="1"/>
    <x v="0"/>
    <m/>
    <m/>
    <n v="30"/>
    <x v="2"/>
    <s v="04/07/2024"/>
    <d v="2024-07-04T00:00:00"/>
    <s v="2024044-10"/>
    <x v="4"/>
  </r>
  <r>
    <x v="685"/>
    <n v="2024044"/>
    <x v="44"/>
    <s v="Fababean"/>
    <m/>
    <x v="10"/>
    <s v="Y"/>
    <x v="2"/>
    <n v="11"/>
    <n v="11"/>
    <x v="1"/>
    <m/>
    <m/>
    <m/>
    <n v="3"/>
    <m/>
    <m/>
    <m/>
    <m/>
    <m/>
    <n v="3"/>
    <n v="4"/>
    <x v="1"/>
    <n v="3"/>
    <m/>
    <n v="10"/>
    <x v="0"/>
    <n v="4"/>
    <x v="0"/>
    <m/>
    <m/>
    <n v="30"/>
    <x v="2"/>
    <s v="04/07/2024"/>
    <d v="2024-07-04T00:00:00"/>
    <s v="2024044-11"/>
    <x v="4"/>
  </r>
  <r>
    <x v="687"/>
    <n v="2024044"/>
    <x v="44"/>
    <s v="Fababean"/>
    <m/>
    <x v="11"/>
    <s v="N"/>
    <x v="2"/>
    <n v="12"/>
    <n v="12"/>
    <x v="1"/>
    <m/>
    <m/>
    <m/>
    <n v="3"/>
    <m/>
    <m/>
    <m/>
    <m/>
    <m/>
    <n v="3"/>
    <n v="5"/>
    <x v="1"/>
    <n v="4"/>
    <m/>
    <n v="15"/>
    <x v="0"/>
    <n v="2"/>
    <x v="0"/>
    <m/>
    <m/>
    <n v="30"/>
    <x v="2"/>
    <s v="04/07/2024"/>
    <d v="2024-07-04T00:00:00"/>
    <s v="2024044-12"/>
    <x v="4"/>
  </r>
  <r>
    <x v="680"/>
    <n v="2024044"/>
    <x v="44"/>
    <s v="Fababean"/>
    <m/>
    <x v="10"/>
    <s v="Y"/>
    <x v="2"/>
    <n v="13"/>
    <n v="13"/>
    <x v="1"/>
    <m/>
    <m/>
    <m/>
    <n v="4"/>
    <m/>
    <m/>
    <m/>
    <m/>
    <m/>
    <n v="3"/>
    <n v="8"/>
    <x v="1"/>
    <n v="5"/>
    <m/>
    <n v="18"/>
    <x v="0"/>
    <n v="4"/>
    <x v="0"/>
    <m/>
    <m/>
    <n v="30"/>
    <x v="1"/>
    <s v="10/05/2024"/>
    <d v="2024-05-10T00:00:00"/>
    <s v="2024044-13"/>
    <x v="4"/>
  </r>
  <r>
    <x v="681"/>
    <n v="2024044"/>
    <x v="44"/>
    <s v="Fababean"/>
    <m/>
    <x v="11"/>
    <s v="N"/>
    <x v="2"/>
    <n v="14"/>
    <n v="14"/>
    <x v="1"/>
    <m/>
    <m/>
    <m/>
    <n v="4"/>
    <m/>
    <m/>
    <m/>
    <m/>
    <m/>
    <n v="3"/>
    <n v="9"/>
    <x v="1"/>
    <n v="6"/>
    <m/>
    <n v="23"/>
    <x v="0"/>
    <n v="2"/>
    <x v="0"/>
    <m/>
    <m/>
    <n v="30"/>
    <x v="1"/>
    <s v="10/05/2024"/>
    <d v="2024-05-10T00:00:00"/>
    <s v="2024044-14"/>
    <x v="4"/>
  </r>
  <r>
    <x v="682"/>
    <n v="2024044"/>
    <x v="44"/>
    <s v="Fababean"/>
    <m/>
    <x v="12"/>
    <s v="N"/>
    <x v="2"/>
    <n v="15"/>
    <n v="15"/>
    <x v="1"/>
    <m/>
    <m/>
    <m/>
    <n v="4"/>
    <m/>
    <m/>
    <m/>
    <m/>
    <m/>
    <n v="3"/>
    <n v="10"/>
    <x v="1"/>
    <n v="7"/>
    <m/>
    <n v="26"/>
    <x v="0"/>
    <n v="1"/>
    <x v="0"/>
    <m/>
    <m/>
    <n v="30"/>
    <x v="1"/>
    <s v="10/05/2024"/>
    <d v="2024-05-10T00:00:00"/>
    <s v="2024044-15"/>
    <x v="4"/>
  </r>
  <r>
    <x v="683"/>
    <n v="2024044"/>
    <x v="44"/>
    <s v="Fababean"/>
    <m/>
    <x v="13"/>
    <s v="Y"/>
    <x v="2"/>
    <n v="16"/>
    <n v="16"/>
    <x v="1"/>
    <m/>
    <m/>
    <m/>
    <n v="4"/>
    <m/>
    <m/>
    <m/>
    <m/>
    <m/>
    <n v="3"/>
    <n v="11"/>
    <x v="1"/>
    <n v="8"/>
    <m/>
    <n v="31"/>
    <x v="0"/>
    <n v="3"/>
    <x v="0"/>
    <m/>
    <m/>
    <n v="30"/>
    <x v="1"/>
    <s v="10/05/2024"/>
    <d v="2024-05-10T00:00:00"/>
    <s v="2024044-16"/>
    <x v="4"/>
  </r>
  <r>
    <x v="687"/>
    <n v="2024044"/>
    <x v="44"/>
    <s v="Fababean"/>
    <m/>
    <x v="11"/>
    <s v="N"/>
    <x v="2"/>
    <n v="17"/>
    <n v="17"/>
    <x v="2"/>
    <m/>
    <m/>
    <m/>
    <n v="5"/>
    <m/>
    <m/>
    <m/>
    <m/>
    <m/>
    <n v="5"/>
    <n v="2"/>
    <x v="2"/>
    <n v="1"/>
    <m/>
    <n v="3"/>
    <x v="0"/>
    <n v="2"/>
    <x v="0"/>
    <m/>
    <m/>
    <n v="30"/>
    <x v="2"/>
    <s v="04/07/2024"/>
    <d v="2024-07-04T00:00:00"/>
    <s v="2024044-17"/>
    <x v="4"/>
  </r>
  <r>
    <x v="685"/>
    <n v="2024044"/>
    <x v="44"/>
    <s v="Fababean"/>
    <m/>
    <x v="10"/>
    <s v="Y"/>
    <x v="2"/>
    <n v="18"/>
    <n v="18"/>
    <x v="2"/>
    <m/>
    <m/>
    <m/>
    <n v="5"/>
    <m/>
    <m/>
    <m/>
    <m/>
    <m/>
    <n v="5"/>
    <n v="3"/>
    <x v="2"/>
    <n v="2"/>
    <m/>
    <n v="6"/>
    <x v="0"/>
    <n v="4"/>
    <x v="0"/>
    <m/>
    <m/>
    <n v="30"/>
    <x v="2"/>
    <s v="04/07/2024"/>
    <d v="2024-07-04T00:00:00"/>
    <s v="2024044-18"/>
    <x v="4"/>
  </r>
  <r>
    <x v="686"/>
    <n v="2024044"/>
    <x v="44"/>
    <s v="Fababean"/>
    <m/>
    <x v="13"/>
    <s v="Y"/>
    <x v="2"/>
    <n v="19"/>
    <n v="19"/>
    <x v="2"/>
    <m/>
    <m/>
    <m/>
    <n v="5"/>
    <m/>
    <m/>
    <m/>
    <m/>
    <m/>
    <n v="5"/>
    <n v="4"/>
    <x v="2"/>
    <n v="3"/>
    <m/>
    <n v="11"/>
    <x v="0"/>
    <n v="3"/>
    <x v="0"/>
    <m/>
    <m/>
    <n v="30"/>
    <x v="2"/>
    <s v="04/07/2024"/>
    <d v="2024-07-04T00:00:00"/>
    <s v="2024044-19"/>
    <x v="4"/>
  </r>
  <r>
    <x v="684"/>
    <n v="2024044"/>
    <x v="44"/>
    <s v="Fababean"/>
    <m/>
    <x v="12"/>
    <s v="N"/>
    <x v="2"/>
    <n v="20"/>
    <n v="20"/>
    <x v="2"/>
    <m/>
    <m/>
    <m/>
    <n v="5"/>
    <m/>
    <m/>
    <m/>
    <m/>
    <m/>
    <n v="5"/>
    <n v="5"/>
    <x v="2"/>
    <n v="4"/>
    <m/>
    <n v="14"/>
    <x v="0"/>
    <n v="1"/>
    <x v="0"/>
    <m/>
    <m/>
    <n v="30"/>
    <x v="2"/>
    <s v="04/07/2024"/>
    <d v="2024-07-04T00:00:00"/>
    <s v="2024044-20"/>
    <x v="4"/>
  </r>
  <r>
    <x v="683"/>
    <n v="2024044"/>
    <x v="44"/>
    <s v="Fababean"/>
    <m/>
    <x v="13"/>
    <s v="Y"/>
    <x v="2"/>
    <n v="21"/>
    <n v="21"/>
    <x v="2"/>
    <m/>
    <m/>
    <m/>
    <n v="6"/>
    <m/>
    <m/>
    <m/>
    <m/>
    <m/>
    <n v="5"/>
    <n v="8"/>
    <x v="2"/>
    <n v="5"/>
    <m/>
    <n v="19"/>
    <x v="0"/>
    <n v="3"/>
    <x v="0"/>
    <m/>
    <m/>
    <n v="30"/>
    <x v="1"/>
    <s v="10/05/2024"/>
    <d v="2024-05-10T00:00:00"/>
    <s v="2024044-21"/>
    <x v="4"/>
  </r>
  <r>
    <x v="682"/>
    <n v="2024044"/>
    <x v="44"/>
    <s v="Fababean"/>
    <m/>
    <x v="12"/>
    <s v="N"/>
    <x v="2"/>
    <n v="22"/>
    <n v="22"/>
    <x v="2"/>
    <m/>
    <m/>
    <m/>
    <n v="6"/>
    <m/>
    <m/>
    <m/>
    <m/>
    <m/>
    <n v="5"/>
    <n v="9"/>
    <x v="2"/>
    <n v="6"/>
    <m/>
    <n v="22"/>
    <x v="0"/>
    <n v="1"/>
    <x v="0"/>
    <m/>
    <m/>
    <n v="30"/>
    <x v="1"/>
    <s v="10/05/2024"/>
    <d v="2024-05-10T00:00:00"/>
    <s v="2024044-22"/>
    <x v="4"/>
  </r>
  <r>
    <x v="681"/>
    <n v="2024044"/>
    <x v="44"/>
    <s v="Fababean"/>
    <m/>
    <x v="11"/>
    <s v="N"/>
    <x v="2"/>
    <n v="23"/>
    <n v="23"/>
    <x v="2"/>
    <m/>
    <m/>
    <m/>
    <n v="6"/>
    <m/>
    <m/>
    <m/>
    <m/>
    <m/>
    <n v="5"/>
    <n v="10"/>
    <x v="2"/>
    <n v="7"/>
    <m/>
    <n v="27"/>
    <x v="0"/>
    <n v="2"/>
    <x v="0"/>
    <m/>
    <m/>
    <n v="30"/>
    <x v="1"/>
    <s v="10/05/2024"/>
    <d v="2024-05-10T00:00:00"/>
    <s v="2024044-23"/>
    <x v="4"/>
  </r>
  <r>
    <x v="680"/>
    <n v="2024044"/>
    <x v="44"/>
    <s v="Fababean"/>
    <m/>
    <x v="10"/>
    <s v="Y"/>
    <x v="2"/>
    <n v="24"/>
    <n v="24"/>
    <x v="2"/>
    <m/>
    <m/>
    <m/>
    <n v="6"/>
    <m/>
    <m/>
    <m/>
    <m/>
    <m/>
    <n v="5"/>
    <n v="11"/>
    <x v="2"/>
    <n v="8"/>
    <m/>
    <n v="30"/>
    <x v="0"/>
    <n v="4"/>
    <x v="0"/>
    <m/>
    <m/>
    <n v="30"/>
    <x v="1"/>
    <s v="10/05/2024"/>
    <d v="2024-05-10T00:00:00"/>
    <s v="2024044-24"/>
    <x v="4"/>
  </r>
  <r>
    <x v="682"/>
    <n v="2024044"/>
    <x v="44"/>
    <s v="Fababean"/>
    <m/>
    <x v="12"/>
    <s v="N"/>
    <x v="2"/>
    <n v="25"/>
    <n v="25"/>
    <x v="3"/>
    <m/>
    <m/>
    <m/>
    <n v="7"/>
    <m/>
    <m/>
    <m/>
    <m/>
    <m/>
    <n v="7"/>
    <n v="2"/>
    <x v="3"/>
    <n v="1"/>
    <m/>
    <n v="4"/>
    <x v="0"/>
    <n v="1"/>
    <x v="0"/>
    <m/>
    <m/>
    <n v="30"/>
    <x v="1"/>
    <s v="10/05/2024"/>
    <d v="2024-05-10T00:00:00"/>
    <s v="2024044-25"/>
    <x v="4"/>
  </r>
  <r>
    <x v="683"/>
    <n v="2024044"/>
    <x v="44"/>
    <s v="Fababean"/>
    <m/>
    <x v="13"/>
    <s v="Y"/>
    <x v="2"/>
    <n v="26"/>
    <n v="26"/>
    <x v="3"/>
    <m/>
    <m/>
    <m/>
    <n v="7"/>
    <m/>
    <m/>
    <m/>
    <m/>
    <m/>
    <n v="7"/>
    <n v="3"/>
    <x v="3"/>
    <n v="2"/>
    <m/>
    <n v="5"/>
    <x v="0"/>
    <n v="3"/>
    <x v="0"/>
    <m/>
    <m/>
    <n v="30"/>
    <x v="1"/>
    <s v="10/05/2024"/>
    <d v="2024-05-10T00:00:00"/>
    <s v="2024044-26"/>
    <x v="4"/>
  </r>
  <r>
    <x v="681"/>
    <n v="2024044"/>
    <x v="44"/>
    <s v="Fababean"/>
    <m/>
    <x v="11"/>
    <s v="N"/>
    <x v="2"/>
    <n v="27"/>
    <n v="27"/>
    <x v="3"/>
    <m/>
    <m/>
    <m/>
    <n v="7"/>
    <m/>
    <m/>
    <m/>
    <m/>
    <m/>
    <n v="7"/>
    <n v="4"/>
    <x v="3"/>
    <n v="3"/>
    <m/>
    <n v="12"/>
    <x v="0"/>
    <n v="2"/>
    <x v="0"/>
    <m/>
    <m/>
    <n v="30"/>
    <x v="1"/>
    <s v="10/05/2024"/>
    <d v="2024-05-10T00:00:00"/>
    <s v="2024044-27"/>
    <x v="4"/>
  </r>
  <r>
    <x v="680"/>
    <n v="2024044"/>
    <x v="44"/>
    <s v="Fababean"/>
    <m/>
    <x v="10"/>
    <s v="Y"/>
    <x v="2"/>
    <n v="28"/>
    <n v="28"/>
    <x v="3"/>
    <m/>
    <m/>
    <m/>
    <n v="7"/>
    <m/>
    <m/>
    <m/>
    <m/>
    <m/>
    <n v="7"/>
    <n v="5"/>
    <x v="3"/>
    <n v="4"/>
    <m/>
    <n v="13"/>
    <x v="0"/>
    <n v="4"/>
    <x v="0"/>
    <m/>
    <m/>
    <n v="30"/>
    <x v="1"/>
    <s v="10/05/2024"/>
    <d v="2024-05-10T00:00:00"/>
    <s v="2024044-28"/>
    <x v="4"/>
  </r>
  <r>
    <x v="687"/>
    <n v="2024044"/>
    <x v="44"/>
    <s v="Fababean"/>
    <m/>
    <x v="11"/>
    <s v="N"/>
    <x v="2"/>
    <n v="29"/>
    <n v="29"/>
    <x v="3"/>
    <m/>
    <m/>
    <m/>
    <n v="8"/>
    <m/>
    <m/>
    <m/>
    <m/>
    <m/>
    <n v="7"/>
    <n v="8"/>
    <x v="3"/>
    <n v="5"/>
    <m/>
    <n v="20"/>
    <x v="0"/>
    <n v="2"/>
    <x v="0"/>
    <m/>
    <m/>
    <n v="30"/>
    <x v="2"/>
    <s v="04/07/2024"/>
    <d v="2024-07-04T00:00:00"/>
    <s v="2024044-29"/>
    <x v="4"/>
  </r>
  <r>
    <x v="686"/>
    <n v="2024044"/>
    <x v="44"/>
    <s v="Fababean"/>
    <m/>
    <x v="13"/>
    <s v="Y"/>
    <x v="2"/>
    <n v="30"/>
    <n v="30"/>
    <x v="3"/>
    <m/>
    <m/>
    <m/>
    <n v="8"/>
    <m/>
    <m/>
    <m/>
    <m/>
    <m/>
    <n v="7"/>
    <n v="9"/>
    <x v="3"/>
    <n v="6"/>
    <m/>
    <n v="21"/>
    <x v="0"/>
    <n v="3"/>
    <x v="0"/>
    <m/>
    <m/>
    <n v="30"/>
    <x v="2"/>
    <s v="04/07/2024"/>
    <d v="2024-07-04T00:00:00"/>
    <s v="2024044-30"/>
    <x v="4"/>
  </r>
  <r>
    <x v="685"/>
    <n v="2024044"/>
    <x v="44"/>
    <s v="Fababean"/>
    <m/>
    <x v="10"/>
    <s v="Y"/>
    <x v="2"/>
    <n v="31"/>
    <n v="31"/>
    <x v="3"/>
    <m/>
    <m/>
    <m/>
    <n v="8"/>
    <m/>
    <m/>
    <m/>
    <m/>
    <m/>
    <n v="7"/>
    <n v="10"/>
    <x v="3"/>
    <n v="7"/>
    <m/>
    <n v="28"/>
    <x v="0"/>
    <n v="4"/>
    <x v="0"/>
    <m/>
    <m/>
    <n v="30"/>
    <x v="2"/>
    <s v="04/07/2024"/>
    <d v="2024-07-04T00:00:00"/>
    <s v="2024044-31"/>
    <x v="4"/>
  </r>
  <r>
    <x v="684"/>
    <n v="2024044"/>
    <x v="44"/>
    <s v="Fababean"/>
    <m/>
    <x v="12"/>
    <s v="N"/>
    <x v="2"/>
    <n v="32"/>
    <n v="32"/>
    <x v="3"/>
    <m/>
    <m/>
    <m/>
    <n v="8"/>
    <m/>
    <m/>
    <m/>
    <m/>
    <m/>
    <n v="7"/>
    <n v="11"/>
    <x v="3"/>
    <n v="8"/>
    <m/>
    <n v="29"/>
    <x v="0"/>
    <n v="1"/>
    <x v="0"/>
    <m/>
    <m/>
    <n v="30"/>
    <x v="2"/>
    <s v="04/07/2024"/>
    <d v="2024-07-04T00:00:00"/>
    <s v="2024044-32"/>
    <x v="4"/>
  </r>
  <r>
    <x v="688"/>
    <n v="2024045"/>
    <x v="45"/>
    <s v="Lentil"/>
    <m/>
    <x v="1"/>
    <s v="Y"/>
    <x v="2"/>
    <n v="1"/>
    <n v="1"/>
    <x v="0"/>
    <m/>
    <m/>
    <m/>
    <n v="1"/>
    <m/>
    <m/>
    <m/>
    <m/>
    <m/>
    <n v="1"/>
    <n v="2"/>
    <x v="0"/>
    <n v="1"/>
    <m/>
    <n v="1"/>
    <x v="0"/>
    <n v="3"/>
    <x v="0"/>
    <m/>
    <m/>
    <n v="28"/>
    <x v="1"/>
    <s v="09/05/2024"/>
    <d v="2024-05-09T00:00:00"/>
    <s v="2024045-1"/>
    <x v="0"/>
  </r>
  <r>
    <x v="689"/>
    <n v="2024045"/>
    <x v="45"/>
    <s v="Lentil"/>
    <m/>
    <x v="16"/>
    <s v="N"/>
    <x v="2"/>
    <n v="2"/>
    <n v="2"/>
    <x v="0"/>
    <m/>
    <m/>
    <m/>
    <n v="1"/>
    <m/>
    <m/>
    <m/>
    <m/>
    <m/>
    <n v="2"/>
    <n v="2"/>
    <x v="1"/>
    <n v="1"/>
    <m/>
    <n v="2"/>
    <x v="0"/>
    <n v="2"/>
    <x v="0"/>
    <m/>
    <m/>
    <n v="28"/>
    <x v="1"/>
    <s v="09/05/2024"/>
    <d v="2024-05-09T00:00:00"/>
    <s v="2024045-2"/>
    <x v="0"/>
  </r>
  <r>
    <x v="690"/>
    <n v="2024045"/>
    <x v="45"/>
    <s v="Lentil"/>
    <m/>
    <x v="15"/>
    <s v="Y"/>
    <x v="2"/>
    <n v="3"/>
    <n v="3"/>
    <x v="0"/>
    <m/>
    <m/>
    <m/>
    <n v="1"/>
    <m/>
    <m/>
    <m/>
    <m/>
    <m/>
    <n v="3"/>
    <n v="2"/>
    <x v="2"/>
    <n v="1"/>
    <m/>
    <n v="3"/>
    <x v="0"/>
    <n v="4"/>
    <x v="0"/>
    <m/>
    <m/>
    <n v="28"/>
    <x v="1"/>
    <s v="09/05/2024"/>
    <d v="2024-05-09T00:00:00"/>
    <s v="2024045-3"/>
    <x v="0"/>
  </r>
  <r>
    <x v="691"/>
    <n v="2024045"/>
    <x v="45"/>
    <s v="Lentil"/>
    <m/>
    <x v="14"/>
    <s v="N"/>
    <x v="2"/>
    <n v="4"/>
    <n v="4"/>
    <x v="0"/>
    <m/>
    <m/>
    <m/>
    <n v="1"/>
    <m/>
    <m/>
    <m/>
    <m/>
    <m/>
    <n v="4"/>
    <n v="2"/>
    <x v="3"/>
    <n v="1"/>
    <m/>
    <n v="4"/>
    <x v="0"/>
    <n v="1"/>
    <x v="0"/>
    <m/>
    <m/>
    <n v="28"/>
    <x v="1"/>
    <s v="09/05/2024"/>
    <d v="2024-05-09T00:00:00"/>
    <s v="2024045-4"/>
    <x v="0"/>
  </r>
  <r>
    <x v="692"/>
    <n v="2024045"/>
    <x v="45"/>
    <s v="Lentil"/>
    <m/>
    <x v="14"/>
    <s v="N"/>
    <x v="2"/>
    <n v="5"/>
    <n v="5"/>
    <x v="0"/>
    <m/>
    <m/>
    <m/>
    <n v="2"/>
    <m/>
    <m/>
    <m/>
    <m/>
    <m/>
    <n v="1"/>
    <n v="4"/>
    <x v="0"/>
    <n v="2"/>
    <m/>
    <n v="8"/>
    <x v="0"/>
    <n v="1"/>
    <x v="0"/>
    <m/>
    <m/>
    <n v="28"/>
    <x v="2"/>
    <s v="17/06/2024"/>
    <d v="2024-06-17T00:00:00"/>
    <s v="2024045-5"/>
    <x v="0"/>
  </r>
  <r>
    <x v="693"/>
    <n v="2024045"/>
    <x v="45"/>
    <s v="Lentil"/>
    <m/>
    <x v="15"/>
    <s v="Y"/>
    <x v="2"/>
    <n v="6"/>
    <n v="6"/>
    <x v="0"/>
    <m/>
    <m/>
    <m/>
    <n v="2"/>
    <m/>
    <m/>
    <m/>
    <m/>
    <m/>
    <n v="2"/>
    <n v="4"/>
    <x v="1"/>
    <n v="2"/>
    <m/>
    <n v="7"/>
    <x v="0"/>
    <n v="4"/>
    <x v="0"/>
    <m/>
    <m/>
    <n v="28"/>
    <x v="2"/>
    <s v="17/06/2024"/>
    <d v="2024-06-17T00:00:00"/>
    <s v="2024045-6"/>
    <x v="0"/>
  </r>
  <r>
    <x v="694"/>
    <n v="2024045"/>
    <x v="45"/>
    <s v="Lentil"/>
    <m/>
    <x v="1"/>
    <s v="Y"/>
    <x v="2"/>
    <n v="7"/>
    <n v="7"/>
    <x v="0"/>
    <m/>
    <m/>
    <m/>
    <n v="2"/>
    <m/>
    <m/>
    <m/>
    <m/>
    <m/>
    <n v="3"/>
    <n v="4"/>
    <x v="2"/>
    <n v="2"/>
    <m/>
    <n v="6"/>
    <x v="0"/>
    <n v="3"/>
    <x v="0"/>
    <m/>
    <m/>
    <n v="28"/>
    <x v="2"/>
    <s v="17/06/2024"/>
    <d v="2024-06-17T00:00:00"/>
    <s v="2024045-7"/>
    <x v="0"/>
  </r>
  <r>
    <x v="695"/>
    <n v="2024045"/>
    <x v="45"/>
    <s v="Lentil"/>
    <m/>
    <x v="16"/>
    <s v="N"/>
    <x v="2"/>
    <n v="8"/>
    <n v="8"/>
    <x v="0"/>
    <m/>
    <m/>
    <m/>
    <n v="2"/>
    <m/>
    <m/>
    <m/>
    <m/>
    <m/>
    <n v="4"/>
    <n v="4"/>
    <x v="3"/>
    <n v="2"/>
    <m/>
    <n v="5"/>
    <x v="0"/>
    <n v="2"/>
    <x v="0"/>
    <m/>
    <m/>
    <n v="28"/>
    <x v="2"/>
    <s v="17/06/2024"/>
    <d v="2024-06-17T00:00:00"/>
    <s v="2024045-8"/>
    <x v="0"/>
  </r>
  <r>
    <x v="693"/>
    <n v="2024045"/>
    <x v="45"/>
    <s v="Lentil"/>
    <m/>
    <x v="15"/>
    <s v="Y"/>
    <x v="2"/>
    <n v="9"/>
    <n v="9"/>
    <x v="1"/>
    <m/>
    <m/>
    <m/>
    <n v="3"/>
    <m/>
    <m/>
    <m/>
    <m/>
    <m/>
    <n v="1"/>
    <n v="6"/>
    <x v="0"/>
    <n v="3"/>
    <m/>
    <n v="9"/>
    <x v="0"/>
    <n v="4"/>
    <x v="0"/>
    <m/>
    <m/>
    <n v="28"/>
    <x v="2"/>
    <s v="17/06/2024"/>
    <d v="2024-06-17T00:00:00"/>
    <s v="2024045-9"/>
    <x v="0"/>
  </r>
  <r>
    <x v="692"/>
    <n v="2024045"/>
    <x v="45"/>
    <s v="Lentil"/>
    <m/>
    <x v="14"/>
    <s v="N"/>
    <x v="2"/>
    <n v="10"/>
    <n v="10"/>
    <x v="1"/>
    <m/>
    <m/>
    <m/>
    <n v="3"/>
    <m/>
    <m/>
    <m/>
    <m/>
    <m/>
    <n v="2"/>
    <n v="6"/>
    <x v="1"/>
    <n v="3"/>
    <m/>
    <n v="10"/>
    <x v="0"/>
    <n v="1"/>
    <x v="0"/>
    <m/>
    <m/>
    <n v="28"/>
    <x v="2"/>
    <s v="17/06/2024"/>
    <d v="2024-06-17T00:00:00"/>
    <s v="2024045-10"/>
    <x v="0"/>
  </r>
  <r>
    <x v="695"/>
    <n v="2024045"/>
    <x v="45"/>
    <s v="Lentil"/>
    <m/>
    <x v="16"/>
    <s v="N"/>
    <x v="2"/>
    <n v="11"/>
    <n v="11"/>
    <x v="1"/>
    <m/>
    <m/>
    <m/>
    <n v="3"/>
    <m/>
    <m/>
    <m/>
    <m/>
    <m/>
    <n v="3"/>
    <n v="6"/>
    <x v="2"/>
    <n v="3"/>
    <m/>
    <n v="11"/>
    <x v="0"/>
    <n v="2"/>
    <x v="0"/>
    <m/>
    <m/>
    <n v="28"/>
    <x v="2"/>
    <s v="17/06/2024"/>
    <d v="2024-06-17T00:00:00"/>
    <s v="2024045-11"/>
    <x v="0"/>
  </r>
  <r>
    <x v="694"/>
    <n v="2024045"/>
    <x v="45"/>
    <s v="Lentil"/>
    <m/>
    <x v="1"/>
    <s v="Y"/>
    <x v="2"/>
    <n v="12"/>
    <n v="12"/>
    <x v="1"/>
    <m/>
    <m/>
    <m/>
    <n v="3"/>
    <m/>
    <m/>
    <m/>
    <m/>
    <m/>
    <n v="4"/>
    <n v="6"/>
    <x v="3"/>
    <n v="3"/>
    <m/>
    <n v="12"/>
    <x v="0"/>
    <n v="3"/>
    <x v="0"/>
    <m/>
    <m/>
    <n v="28"/>
    <x v="2"/>
    <s v="17/06/2024"/>
    <d v="2024-06-17T00:00:00"/>
    <s v="2024045-12"/>
    <x v="0"/>
  </r>
  <r>
    <x v="688"/>
    <n v="2024045"/>
    <x v="45"/>
    <s v="Lentil"/>
    <m/>
    <x v="1"/>
    <s v="Y"/>
    <x v="2"/>
    <n v="13"/>
    <n v="13"/>
    <x v="1"/>
    <m/>
    <m/>
    <m/>
    <n v="4"/>
    <m/>
    <m/>
    <m/>
    <m/>
    <m/>
    <n v="1"/>
    <n v="8"/>
    <x v="0"/>
    <n v="4"/>
    <m/>
    <n v="16"/>
    <x v="0"/>
    <n v="3"/>
    <x v="0"/>
    <m/>
    <m/>
    <n v="28"/>
    <x v="1"/>
    <s v="09/05/2024"/>
    <d v="2024-05-09T00:00:00"/>
    <s v="2024045-13"/>
    <x v="0"/>
  </r>
  <r>
    <x v="690"/>
    <n v="2024045"/>
    <x v="45"/>
    <s v="Lentil"/>
    <m/>
    <x v="15"/>
    <s v="Y"/>
    <x v="2"/>
    <n v="14"/>
    <n v="14"/>
    <x v="1"/>
    <m/>
    <m/>
    <m/>
    <n v="4"/>
    <m/>
    <m/>
    <m/>
    <m/>
    <m/>
    <n v="2"/>
    <n v="8"/>
    <x v="1"/>
    <n v="4"/>
    <m/>
    <n v="15"/>
    <x v="0"/>
    <n v="4"/>
    <x v="0"/>
    <m/>
    <m/>
    <n v="28"/>
    <x v="1"/>
    <s v="09/05/2024"/>
    <d v="2024-05-09T00:00:00"/>
    <s v="2024045-14"/>
    <x v="0"/>
  </r>
  <r>
    <x v="691"/>
    <n v="2024045"/>
    <x v="45"/>
    <s v="Lentil"/>
    <m/>
    <x v="14"/>
    <s v="N"/>
    <x v="2"/>
    <n v="15"/>
    <n v="15"/>
    <x v="1"/>
    <m/>
    <m/>
    <m/>
    <n v="4"/>
    <m/>
    <m/>
    <m/>
    <m/>
    <m/>
    <n v="3"/>
    <n v="8"/>
    <x v="2"/>
    <n v="4"/>
    <m/>
    <n v="14"/>
    <x v="0"/>
    <n v="1"/>
    <x v="0"/>
    <m/>
    <m/>
    <n v="28"/>
    <x v="1"/>
    <s v="09/05/2024"/>
    <d v="2024-05-09T00:00:00"/>
    <s v="2024045-15"/>
    <x v="0"/>
  </r>
  <r>
    <x v="689"/>
    <n v="2024045"/>
    <x v="45"/>
    <s v="Lentil"/>
    <m/>
    <x v="16"/>
    <s v="N"/>
    <x v="2"/>
    <n v="16"/>
    <n v="16"/>
    <x v="1"/>
    <m/>
    <m/>
    <m/>
    <n v="4"/>
    <m/>
    <m/>
    <m/>
    <m/>
    <m/>
    <n v="4"/>
    <n v="8"/>
    <x v="3"/>
    <n v="4"/>
    <m/>
    <n v="13"/>
    <x v="0"/>
    <n v="2"/>
    <x v="0"/>
    <m/>
    <m/>
    <n v="28"/>
    <x v="1"/>
    <s v="09/05/2024"/>
    <d v="2024-05-09T00:00:00"/>
    <s v="2024045-16"/>
    <x v="0"/>
  </r>
  <r>
    <x v="689"/>
    <n v="2024045"/>
    <x v="45"/>
    <s v="Lentil"/>
    <m/>
    <x v="16"/>
    <s v="N"/>
    <x v="2"/>
    <n v="17"/>
    <n v="17"/>
    <x v="2"/>
    <m/>
    <m/>
    <m/>
    <n v="5"/>
    <m/>
    <m/>
    <m/>
    <m/>
    <m/>
    <n v="1"/>
    <n v="10"/>
    <x v="0"/>
    <n v="5"/>
    <m/>
    <n v="17"/>
    <x v="0"/>
    <n v="2"/>
    <x v="0"/>
    <m/>
    <m/>
    <n v="28"/>
    <x v="1"/>
    <s v="09/05/2024"/>
    <d v="2024-05-09T00:00:00"/>
    <s v="2024045-17"/>
    <x v="0"/>
  </r>
  <r>
    <x v="688"/>
    <n v="2024045"/>
    <x v="45"/>
    <s v="Lentil"/>
    <m/>
    <x v="1"/>
    <s v="Y"/>
    <x v="2"/>
    <n v="18"/>
    <n v="18"/>
    <x v="2"/>
    <m/>
    <m/>
    <m/>
    <n v="5"/>
    <m/>
    <m/>
    <m/>
    <m/>
    <m/>
    <n v="2"/>
    <n v="10"/>
    <x v="1"/>
    <n v="5"/>
    <m/>
    <n v="18"/>
    <x v="0"/>
    <n v="3"/>
    <x v="0"/>
    <m/>
    <m/>
    <n v="28"/>
    <x v="1"/>
    <s v="09/05/2024"/>
    <d v="2024-05-09T00:00:00"/>
    <s v="2024045-18"/>
    <x v="0"/>
  </r>
  <r>
    <x v="691"/>
    <n v="2024045"/>
    <x v="45"/>
    <s v="Lentil"/>
    <m/>
    <x v="14"/>
    <s v="N"/>
    <x v="2"/>
    <n v="19"/>
    <n v="19"/>
    <x v="2"/>
    <m/>
    <m/>
    <m/>
    <n v="5"/>
    <m/>
    <m/>
    <m/>
    <m/>
    <m/>
    <n v="3"/>
    <n v="10"/>
    <x v="2"/>
    <n v="5"/>
    <m/>
    <n v="19"/>
    <x v="0"/>
    <n v="1"/>
    <x v="0"/>
    <m/>
    <m/>
    <n v="28"/>
    <x v="1"/>
    <s v="09/05/2024"/>
    <d v="2024-05-09T00:00:00"/>
    <s v="2024045-19"/>
    <x v="0"/>
  </r>
  <r>
    <x v="690"/>
    <n v="2024045"/>
    <x v="45"/>
    <s v="Lentil"/>
    <m/>
    <x v="15"/>
    <s v="Y"/>
    <x v="2"/>
    <n v="20"/>
    <n v="20"/>
    <x v="2"/>
    <m/>
    <m/>
    <m/>
    <n v="5"/>
    <m/>
    <m/>
    <m/>
    <m/>
    <m/>
    <n v="4"/>
    <n v="10"/>
    <x v="3"/>
    <n v="5"/>
    <m/>
    <n v="20"/>
    <x v="0"/>
    <n v="4"/>
    <x v="0"/>
    <m/>
    <m/>
    <n v="28"/>
    <x v="1"/>
    <s v="09/05/2024"/>
    <d v="2024-05-09T00:00:00"/>
    <s v="2024045-20"/>
    <x v="0"/>
  </r>
  <r>
    <x v="693"/>
    <n v="2024045"/>
    <x v="45"/>
    <s v="Lentil"/>
    <m/>
    <x v="15"/>
    <s v="Y"/>
    <x v="2"/>
    <n v="21"/>
    <n v="21"/>
    <x v="2"/>
    <m/>
    <m/>
    <m/>
    <n v="6"/>
    <m/>
    <m/>
    <m/>
    <m/>
    <m/>
    <n v="1"/>
    <n v="12"/>
    <x v="0"/>
    <n v="6"/>
    <m/>
    <n v="24"/>
    <x v="0"/>
    <n v="4"/>
    <x v="0"/>
    <m/>
    <m/>
    <n v="28"/>
    <x v="2"/>
    <s v="17/06/2024"/>
    <d v="2024-06-17T00:00:00"/>
    <s v="2024045-21"/>
    <x v="0"/>
  </r>
  <r>
    <x v="695"/>
    <n v="2024045"/>
    <x v="45"/>
    <s v="Lentil"/>
    <m/>
    <x v="16"/>
    <s v="N"/>
    <x v="2"/>
    <n v="22"/>
    <n v="22"/>
    <x v="2"/>
    <m/>
    <m/>
    <m/>
    <n v="6"/>
    <m/>
    <m/>
    <m/>
    <m/>
    <m/>
    <n v="2"/>
    <n v="12"/>
    <x v="1"/>
    <n v="6"/>
    <m/>
    <n v="23"/>
    <x v="0"/>
    <n v="2"/>
    <x v="0"/>
    <m/>
    <m/>
    <n v="28"/>
    <x v="2"/>
    <s v="17/06/2024"/>
    <d v="2024-06-17T00:00:00"/>
    <s v="2024045-22"/>
    <x v="0"/>
  </r>
  <r>
    <x v="694"/>
    <n v="2024045"/>
    <x v="45"/>
    <s v="Lentil"/>
    <m/>
    <x v="1"/>
    <s v="Y"/>
    <x v="2"/>
    <n v="23"/>
    <n v="23"/>
    <x v="2"/>
    <m/>
    <m/>
    <m/>
    <n v="6"/>
    <m/>
    <m/>
    <m/>
    <m/>
    <m/>
    <n v="3"/>
    <n v="12"/>
    <x v="2"/>
    <n v="6"/>
    <m/>
    <n v="22"/>
    <x v="0"/>
    <n v="3"/>
    <x v="0"/>
    <m/>
    <m/>
    <n v="28"/>
    <x v="2"/>
    <s v="17/06/2024"/>
    <d v="2024-06-17T00:00:00"/>
    <s v="2024045-23"/>
    <x v="0"/>
  </r>
  <r>
    <x v="692"/>
    <n v="2024045"/>
    <x v="45"/>
    <s v="Lentil"/>
    <m/>
    <x v="14"/>
    <s v="N"/>
    <x v="2"/>
    <n v="24"/>
    <n v="24"/>
    <x v="2"/>
    <m/>
    <m/>
    <m/>
    <n v="6"/>
    <m/>
    <m/>
    <m/>
    <m/>
    <m/>
    <n v="4"/>
    <n v="12"/>
    <x v="3"/>
    <n v="6"/>
    <m/>
    <n v="21"/>
    <x v="0"/>
    <n v="1"/>
    <x v="0"/>
    <m/>
    <m/>
    <n v="28"/>
    <x v="2"/>
    <s v="17/06/2024"/>
    <d v="2024-06-17T00:00:00"/>
    <s v="2024045-24"/>
    <x v="0"/>
  </r>
  <r>
    <x v="695"/>
    <n v="2024045"/>
    <x v="45"/>
    <s v="Lentil"/>
    <m/>
    <x v="16"/>
    <s v="N"/>
    <x v="2"/>
    <n v="25"/>
    <n v="25"/>
    <x v="3"/>
    <m/>
    <m/>
    <m/>
    <n v="7"/>
    <m/>
    <m/>
    <m/>
    <m/>
    <m/>
    <n v="1"/>
    <n v="14"/>
    <x v="0"/>
    <n v="7"/>
    <m/>
    <n v="25"/>
    <x v="0"/>
    <n v="2"/>
    <x v="0"/>
    <m/>
    <m/>
    <n v="28"/>
    <x v="2"/>
    <s v="17/06/2024"/>
    <d v="2024-06-17T00:00:00"/>
    <s v="2024045-25"/>
    <x v="0"/>
  </r>
  <r>
    <x v="692"/>
    <n v="2024045"/>
    <x v="45"/>
    <s v="Lentil"/>
    <m/>
    <x v="14"/>
    <s v="N"/>
    <x v="2"/>
    <n v="26"/>
    <n v="26"/>
    <x v="3"/>
    <m/>
    <m/>
    <m/>
    <n v="7"/>
    <m/>
    <m/>
    <m/>
    <m/>
    <m/>
    <n v="2"/>
    <n v="14"/>
    <x v="1"/>
    <n v="7"/>
    <m/>
    <n v="26"/>
    <x v="0"/>
    <n v="1"/>
    <x v="0"/>
    <m/>
    <m/>
    <n v="28"/>
    <x v="2"/>
    <s v="17/06/2024"/>
    <d v="2024-06-17T00:00:00"/>
    <s v="2024045-26"/>
    <x v="0"/>
  </r>
  <r>
    <x v="693"/>
    <n v="2024045"/>
    <x v="45"/>
    <s v="Lentil"/>
    <m/>
    <x v="15"/>
    <s v="Y"/>
    <x v="2"/>
    <n v="27"/>
    <n v="27"/>
    <x v="3"/>
    <m/>
    <m/>
    <m/>
    <n v="7"/>
    <m/>
    <m/>
    <m/>
    <m/>
    <m/>
    <n v="3"/>
    <n v="14"/>
    <x v="2"/>
    <n v="7"/>
    <m/>
    <n v="27"/>
    <x v="0"/>
    <n v="4"/>
    <x v="0"/>
    <m/>
    <m/>
    <n v="28"/>
    <x v="2"/>
    <s v="17/06/2024"/>
    <d v="2024-06-17T00:00:00"/>
    <s v="2024045-27"/>
    <x v="0"/>
  </r>
  <r>
    <x v="694"/>
    <n v="2024045"/>
    <x v="45"/>
    <s v="Lentil"/>
    <m/>
    <x v="1"/>
    <s v="Y"/>
    <x v="2"/>
    <n v="28"/>
    <n v="28"/>
    <x v="3"/>
    <m/>
    <m/>
    <m/>
    <n v="7"/>
    <m/>
    <m/>
    <m/>
    <m/>
    <m/>
    <n v="4"/>
    <n v="14"/>
    <x v="3"/>
    <n v="7"/>
    <m/>
    <n v="28"/>
    <x v="0"/>
    <n v="3"/>
    <x v="0"/>
    <m/>
    <m/>
    <n v="28"/>
    <x v="2"/>
    <s v="17/06/2024"/>
    <d v="2024-06-17T00:00:00"/>
    <s v="2024045-28"/>
    <x v="0"/>
  </r>
  <r>
    <x v="691"/>
    <n v="2024045"/>
    <x v="45"/>
    <s v="Lentil"/>
    <m/>
    <x v="14"/>
    <s v="N"/>
    <x v="2"/>
    <n v="29"/>
    <n v="29"/>
    <x v="3"/>
    <m/>
    <m/>
    <m/>
    <n v="8"/>
    <m/>
    <m/>
    <m/>
    <m/>
    <m/>
    <n v="1"/>
    <n v="16"/>
    <x v="0"/>
    <n v="8"/>
    <m/>
    <n v="32"/>
    <x v="0"/>
    <n v="1"/>
    <x v="0"/>
    <m/>
    <m/>
    <n v="28"/>
    <x v="1"/>
    <s v="09/05/2024"/>
    <d v="2024-05-09T00:00:00"/>
    <s v="2024045-29"/>
    <x v="0"/>
  </r>
  <r>
    <x v="688"/>
    <n v="2024045"/>
    <x v="45"/>
    <s v="Lentil"/>
    <m/>
    <x v="1"/>
    <s v="Y"/>
    <x v="2"/>
    <n v="30"/>
    <n v="30"/>
    <x v="3"/>
    <m/>
    <m/>
    <m/>
    <n v="8"/>
    <m/>
    <m/>
    <m/>
    <m/>
    <m/>
    <n v="2"/>
    <n v="16"/>
    <x v="1"/>
    <n v="8"/>
    <m/>
    <n v="31"/>
    <x v="0"/>
    <n v="3"/>
    <x v="0"/>
    <m/>
    <m/>
    <n v="28"/>
    <x v="1"/>
    <s v="09/05/2024"/>
    <d v="2024-05-09T00:00:00"/>
    <s v="2024045-30"/>
    <x v="0"/>
  </r>
  <r>
    <x v="689"/>
    <n v="2024045"/>
    <x v="45"/>
    <s v="Lentil"/>
    <m/>
    <x v="16"/>
    <s v="N"/>
    <x v="2"/>
    <n v="31"/>
    <n v="31"/>
    <x v="3"/>
    <m/>
    <m/>
    <m/>
    <n v="8"/>
    <m/>
    <m/>
    <m/>
    <m/>
    <m/>
    <n v="3"/>
    <n v="16"/>
    <x v="2"/>
    <n v="8"/>
    <m/>
    <n v="30"/>
    <x v="0"/>
    <n v="2"/>
    <x v="0"/>
    <m/>
    <m/>
    <n v="28"/>
    <x v="1"/>
    <s v="09/05/2024"/>
    <d v="2024-05-09T00:00:00"/>
    <s v="2024045-31"/>
    <x v="0"/>
  </r>
  <r>
    <x v="690"/>
    <n v="2024045"/>
    <x v="45"/>
    <s v="Lentil"/>
    <m/>
    <x v="15"/>
    <s v="Y"/>
    <x v="2"/>
    <n v="32"/>
    <n v="32"/>
    <x v="3"/>
    <m/>
    <m/>
    <m/>
    <n v="8"/>
    <m/>
    <m/>
    <m/>
    <m/>
    <m/>
    <n v="4"/>
    <n v="16"/>
    <x v="3"/>
    <n v="8"/>
    <m/>
    <n v="29"/>
    <x v="0"/>
    <n v="4"/>
    <x v="0"/>
    <m/>
    <m/>
    <n v="28"/>
    <x v="1"/>
    <s v="09/05/2024"/>
    <d v="2024-05-09T00:00:00"/>
    <s v="2024045-3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2E24A-FFB5-424F-859F-A8E92E49422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J1117" firstHeaderRow="2" firstDataRow="2" firstDataCol="9" rowPageCount="1" colPageCount="1"/>
  <pivotFields count="37">
    <pivotField axis="axisRow" compact="0" outline="0" showAll="0" defaultSubtotal="0">
      <items count="696">
        <item x="11"/>
        <item x="5"/>
        <item x="9"/>
        <item x="4"/>
        <item x="42"/>
        <item x="38"/>
        <item x="33"/>
        <item x="18"/>
        <item x="10"/>
        <item x="3"/>
        <item x="43"/>
        <item x="39"/>
        <item x="34"/>
        <item x="20"/>
        <item x="35"/>
        <item x="19"/>
        <item x="14"/>
        <item x="8"/>
        <item x="12"/>
        <item x="7"/>
        <item x="46"/>
        <item x="36"/>
        <item x="27"/>
        <item x="21"/>
        <item x="13"/>
        <item x="6"/>
        <item x="47"/>
        <item x="37"/>
        <item x="28"/>
        <item x="23"/>
        <item x="29"/>
        <item x="22"/>
        <item x="17"/>
        <item x="0"/>
        <item x="15"/>
        <item x="2"/>
        <item x="44"/>
        <item x="41"/>
        <item x="31"/>
        <item x="25"/>
        <item x="16"/>
        <item x="1"/>
        <item x="45"/>
        <item x="40"/>
        <item x="32"/>
        <item x="26"/>
        <item x="30"/>
        <item x="24"/>
        <item x="196"/>
        <item x="197"/>
        <item x="199"/>
        <item x="198"/>
        <item x="202"/>
        <item x="203"/>
        <item x="200"/>
        <item x="201"/>
        <item x="258"/>
        <item x="254"/>
        <item x="257"/>
        <item x="256"/>
        <item x="255"/>
        <item x="259"/>
        <item x="253"/>
        <item x="251"/>
        <item x="250"/>
        <item x="248"/>
        <item x="252"/>
        <item x="249"/>
        <item x="221"/>
        <item x="219"/>
        <item x="218"/>
        <item x="217"/>
        <item x="216"/>
        <item x="220"/>
        <item x="226"/>
        <item x="223"/>
        <item x="227"/>
        <item x="224"/>
        <item x="225"/>
        <item x="222"/>
        <item x="275"/>
        <item x="277"/>
        <item x="274"/>
        <item x="272"/>
        <item x="273"/>
        <item x="276"/>
        <item x="282"/>
        <item x="279"/>
        <item x="278"/>
        <item x="280"/>
        <item x="283"/>
        <item x="281"/>
        <item x="86"/>
        <item x="89"/>
        <item x="87"/>
        <item x="88"/>
        <item x="84"/>
        <item x="90"/>
        <item x="85"/>
        <item x="91"/>
        <item x="80"/>
        <item x="95"/>
        <item x="81"/>
        <item x="94"/>
        <item x="83"/>
        <item x="92"/>
        <item x="82"/>
        <item x="93"/>
        <item x="151"/>
        <item x="158"/>
        <item x="149"/>
        <item x="159"/>
        <item x="150"/>
        <item x="157"/>
        <item x="148"/>
        <item x="156"/>
        <item x="146"/>
        <item x="152"/>
        <item x="144"/>
        <item x="154"/>
        <item x="145"/>
        <item x="155"/>
        <item x="147"/>
        <item x="153"/>
        <item x="195"/>
        <item x="189"/>
        <item x="192"/>
        <item x="190"/>
        <item x="191"/>
        <item x="193"/>
        <item x="194"/>
        <item x="188"/>
        <item x="63"/>
        <item x="48"/>
        <item x="60"/>
        <item x="50"/>
        <item x="62"/>
        <item x="49"/>
        <item x="61"/>
        <item x="51"/>
        <item x="53"/>
        <item x="58"/>
        <item x="55"/>
        <item x="57"/>
        <item x="52"/>
        <item x="59"/>
        <item x="54"/>
        <item x="56"/>
        <item x="303"/>
        <item x="299"/>
        <item x="297"/>
        <item x="300"/>
        <item x="301"/>
        <item x="296"/>
        <item x="298"/>
        <item x="302"/>
        <item x="233"/>
        <item x="232"/>
        <item x="234"/>
        <item x="235"/>
        <item x="231"/>
        <item x="230"/>
        <item x="229"/>
        <item x="228"/>
        <item x="101"/>
        <item x="104"/>
        <item x="102"/>
        <item x="107"/>
        <item x="100"/>
        <item x="106"/>
        <item x="103"/>
        <item x="105"/>
        <item x="98"/>
        <item x="111"/>
        <item x="97"/>
        <item x="108"/>
        <item x="99"/>
        <item x="109"/>
        <item x="96"/>
        <item x="110"/>
        <item x="138"/>
        <item x="128"/>
        <item x="139"/>
        <item x="129"/>
        <item x="137"/>
        <item x="131"/>
        <item x="136"/>
        <item x="130"/>
        <item x="133"/>
        <item x="143"/>
        <item x="134"/>
        <item x="140"/>
        <item x="132"/>
        <item x="142"/>
        <item x="135"/>
        <item x="141"/>
        <item x="247"/>
        <item x="242"/>
        <item x="246"/>
        <item x="244"/>
        <item x="243"/>
        <item x="245"/>
        <item x="239"/>
        <item x="237"/>
        <item x="236"/>
        <item x="240"/>
        <item x="241"/>
        <item x="238"/>
        <item x="291"/>
        <item x="295"/>
        <item x="290"/>
        <item x="292"/>
        <item x="293"/>
        <item x="294"/>
        <item x="286"/>
        <item x="289"/>
        <item x="288"/>
        <item x="284"/>
        <item x="287"/>
        <item x="285"/>
        <item x="75"/>
        <item x="77"/>
        <item x="73"/>
        <item x="79"/>
        <item x="74"/>
        <item x="76"/>
        <item x="72"/>
        <item x="78"/>
        <item x="68"/>
        <item x="66"/>
        <item x="70"/>
        <item x="64"/>
        <item x="71"/>
        <item x="65"/>
        <item x="69"/>
        <item x="67"/>
        <item x="122"/>
        <item x="127"/>
        <item x="120"/>
        <item x="125"/>
        <item x="121"/>
        <item x="126"/>
        <item x="123"/>
        <item x="124"/>
        <item x="116"/>
        <item x="113"/>
        <item x="118"/>
        <item x="115"/>
        <item x="119"/>
        <item x="112"/>
        <item x="117"/>
        <item x="114"/>
        <item x="206"/>
        <item x="205"/>
        <item x="207"/>
        <item x="204"/>
        <item x="209"/>
        <item x="208"/>
        <item x="211"/>
        <item x="213"/>
        <item x="214"/>
        <item x="212"/>
        <item x="210"/>
        <item x="215"/>
        <item x="261"/>
        <item x="260"/>
        <item x="263"/>
        <item x="262"/>
        <item x="265"/>
        <item x="264"/>
        <item x="269"/>
        <item x="267"/>
        <item x="270"/>
        <item x="268"/>
        <item x="266"/>
        <item x="271"/>
        <item x="178"/>
        <item x="180"/>
        <item x="179"/>
        <item x="177"/>
        <item x="176"/>
        <item x="174"/>
        <item x="175"/>
        <item x="181"/>
        <item x="187"/>
        <item x="183"/>
        <item x="185"/>
        <item x="182"/>
        <item x="184"/>
        <item x="186"/>
        <item x="169"/>
        <item x="171"/>
        <item x="173"/>
        <item x="168"/>
        <item x="170"/>
        <item x="172"/>
        <item x="167"/>
        <item x="165"/>
        <item x="161"/>
        <item x="164"/>
        <item x="166"/>
        <item x="160"/>
        <item x="162"/>
        <item x="163"/>
        <item x="438"/>
        <item x="440"/>
        <item x="439"/>
        <item x="441"/>
        <item x="442"/>
        <item x="443"/>
        <item x="437"/>
        <item x="436"/>
        <item x="435"/>
        <item x="432"/>
        <item x="434"/>
        <item x="433"/>
        <item x="453"/>
        <item x="455"/>
        <item x="452"/>
        <item x="454"/>
        <item x="450"/>
        <item x="451"/>
        <item x="445"/>
        <item x="444"/>
        <item x="449"/>
        <item x="447"/>
        <item x="446"/>
        <item x="448"/>
        <item x="309"/>
        <item x="314"/>
        <item x="310"/>
        <item x="313"/>
        <item x="311"/>
        <item x="312"/>
        <item x="308"/>
        <item x="315"/>
        <item x="307"/>
        <item x="317"/>
        <item x="305"/>
        <item x="318"/>
        <item x="304"/>
        <item x="319"/>
        <item x="306"/>
        <item x="316"/>
        <item x="324"/>
        <item x="333"/>
        <item x="327"/>
        <item x="334"/>
        <item x="325"/>
        <item x="332"/>
        <item x="326"/>
        <item x="335"/>
        <item x="322"/>
        <item x="331"/>
        <item x="321"/>
        <item x="328"/>
        <item x="323"/>
        <item x="329"/>
        <item x="320"/>
        <item x="330"/>
        <item x="456"/>
        <item x="457"/>
        <item x="459"/>
        <item x="458"/>
        <item x="463"/>
        <item x="462"/>
        <item x="460"/>
        <item x="461"/>
        <item x="343"/>
        <item x="348"/>
        <item x="340"/>
        <item x="349"/>
        <item x="342"/>
        <item x="351"/>
        <item x="341"/>
        <item x="350"/>
        <item x="345"/>
        <item x="338"/>
        <item x="346"/>
        <item x="339"/>
        <item x="344"/>
        <item x="337"/>
        <item x="347"/>
        <item x="336"/>
        <item x="514"/>
        <item x="546"/>
        <item x="518"/>
        <item x="538"/>
        <item x="522"/>
        <item x="542"/>
        <item x="521"/>
        <item x="541"/>
        <item x="520"/>
        <item x="540"/>
        <item x="516"/>
        <item x="536"/>
        <item x="519"/>
        <item x="539"/>
        <item x="523"/>
        <item x="543"/>
        <item x="513"/>
        <item x="545"/>
        <item x="515"/>
        <item x="547"/>
        <item x="512"/>
        <item x="544"/>
        <item x="517"/>
        <item x="537"/>
        <item x="532"/>
        <item x="552"/>
        <item x="524"/>
        <item x="556"/>
        <item x="528"/>
        <item x="548"/>
        <item x="531"/>
        <item x="551"/>
        <item x="530"/>
        <item x="550"/>
        <item x="526"/>
        <item x="558"/>
        <item x="525"/>
        <item x="557"/>
        <item x="529"/>
        <item x="549"/>
        <item x="535"/>
        <item x="555"/>
        <item x="533"/>
        <item x="553"/>
        <item x="534"/>
        <item x="554"/>
        <item x="527"/>
        <item x="559"/>
        <item x="468"/>
        <item x="469"/>
        <item x="471"/>
        <item x="470"/>
        <item x="466"/>
        <item x="467"/>
        <item x="464"/>
        <item x="465"/>
        <item x="355"/>
        <item x="356"/>
        <item x="353"/>
        <item x="358"/>
        <item x="354"/>
        <item x="357"/>
        <item x="352"/>
        <item x="359"/>
        <item x="361"/>
        <item x="366"/>
        <item x="360"/>
        <item x="367"/>
        <item x="363"/>
        <item x="364"/>
        <item x="362"/>
        <item x="365"/>
        <item x="379"/>
        <item x="380"/>
        <item x="378"/>
        <item x="381"/>
        <item x="376"/>
        <item x="383"/>
        <item x="377"/>
        <item x="382"/>
        <item x="370"/>
        <item x="373"/>
        <item x="371"/>
        <item x="372"/>
        <item x="369"/>
        <item x="374"/>
        <item x="368"/>
        <item x="375"/>
        <item x="481"/>
        <item x="482"/>
        <item x="479"/>
        <item x="478"/>
        <item x="480"/>
        <item x="483"/>
        <item x="474"/>
        <item x="477"/>
        <item x="475"/>
        <item x="476"/>
        <item x="473"/>
        <item x="472"/>
        <item x="484"/>
        <item x="487"/>
        <item x="485"/>
        <item x="489"/>
        <item x="486"/>
        <item x="488"/>
        <item x="494"/>
        <item x="491"/>
        <item x="492"/>
        <item x="495"/>
        <item x="490"/>
        <item x="493"/>
        <item x="391"/>
        <item x="385"/>
        <item x="386"/>
        <item x="389"/>
        <item x="387"/>
        <item x="388"/>
        <item x="390"/>
        <item x="384"/>
        <item x="393"/>
        <item x="398"/>
        <item x="392"/>
        <item x="399"/>
        <item x="396"/>
        <item x="394"/>
        <item x="397"/>
        <item x="395"/>
        <item x="400"/>
        <item x="407"/>
        <item x="405"/>
        <item x="403"/>
        <item x="401"/>
        <item x="406"/>
        <item x="404"/>
        <item x="402"/>
        <item x="409"/>
        <item x="414"/>
        <item x="412"/>
        <item x="410"/>
        <item x="413"/>
        <item x="411"/>
        <item x="408"/>
        <item x="415"/>
        <item x="499"/>
        <item x="498"/>
        <item x="496"/>
        <item x="497"/>
        <item x="500"/>
        <item x="501"/>
        <item x="503"/>
        <item x="502"/>
        <item x="505"/>
        <item x="504"/>
        <item x="507"/>
        <item x="506"/>
        <item x="511"/>
        <item x="510"/>
        <item x="509"/>
        <item x="508"/>
        <item x="427"/>
        <item x="420"/>
        <item x="426"/>
        <item x="421"/>
        <item x="424"/>
        <item x="422"/>
        <item x="425"/>
        <item x="423"/>
        <item x="428"/>
        <item x="417"/>
        <item x="429"/>
        <item x="419"/>
        <item x="431"/>
        <item x="418"/>
        <item x="430"/>
        <item x="416"/>
        <item x="627"/>
        <item x="637"/>
        <item x="650"/>
        <item x="644"/>
        <item x="626"/>
        <item x="636"/>
        <item x="651"/>
        <item x="645"/>
        <item x="654"/>
        <item x="641"/>
        <item x="631"/>
        <item x="633"/>
        <item x="653"/>
        <item x="638"/>
        <item x="629"/>
        <item x="646"/>
        <item x="652"/>
        <item x="639"/>
        <item x="628"/>
        <item x="647"/>
        <item x="625"/>
        <item x="642"/>
        <item x="649"/>
        <item x="634"/>
        <item x="624"/>
        <item x="643"/>
        <item x="648"/>
        <item x="635"/>
        <item x="655"/>
        <item x="640"/>
        <item x="630"/>
        <item x="632"/>
        <item x="572"/>
        <item x="565"/>
        <item x="574"/>
        <item x="564"/>
        <item x="575"/>
        <item x="566"/>
        <item x="573"/>
        <item x="567"/>
        <item x="571"/>
        <item x="562"/>
        <item x="569"/>
        <item x="563"/>
        <item x="568"/>
        <item x="561"/>
        <item x="570"/>
        <item x="560"/>
        <item x="657"/>
        <item x="661"/>
        <item x="656"/>
        <item x="660"/>
        <item x="658"/>
        <item x="659"/>
        <item x="663"/>
        <item x="667"/>
        <item x="665"/>
        <item x="664"/>
        <item x="666"/>
        <item x="662"/>
        <item x="674"/>
        <item x="677"/>
        <item x="678"/>
        <item x="679"/>
        <item x="676"/>
        <item x="675"/>
        <item x="670"/>
        <item x="669"/>
        <item x="671"/>
        <item x="668"/>
        <item x="672"/>
        <item x="673"/>
        <item x="682"/>
        <item x="681"/>
        <item x="683"/>
        <item x="680"/>
        <item x="684"/>
        <item x="687"/>
        <item x="686"/>
        <item x="685"/>
        <item x="583"/>
        <item x="576"/>
        <item x="578"/>
        <item x="580"/>
        <item x="579"/>
        <item x="581"/>
        <item x="582"/>
        <item x="577"/>
        <item x="584"/>
        <item x="590"/>
        <item x="588"/>
        <item x="587"/>
        <item x="585"/>
        <item x="591"/>
        <item x="589"/>
        <item x="586"/>
        <item x="594"/>
        <item x="596"/>
        <item x="598"/>
        <item x="593"/>
        <item x="595"/>
        <item x="597"/>
        <item x="599"/>
        <item x="592"/>
        <item x="602"/>
        <item x="604"/>
        <item x="603"/>
        <item x="605"/>
        <item x="606"/>
        <item x="601"/>
        <item x="607"/>
        <item x="600"/>
        <item x="691"/>
        <item x="689"/>
        <item x="688"/>
        <item x="690"/>
        <item x="692"/>
        <item x="695"/>
        <item x="694"/>
        <item x="693"/>
        <item x="618"/>
        <item x="623"/>
        <item x="620"/>
        <item x="617"/>
        <item x="616"/>
        <item x="621"/>
        <item x="622"/>
        <item x="619"/>
        <item x="614"/>
        <item x="611"/>
        <item x="610"/>
        <item x="609"/>
        <item x="612"/>
        <item x="615"/>
        <item x="608"/>
        <item x="613"/>
      </items>
    </pivotField>
    <pivotField compact="0" outline="0" showAll="0"/>
    <pivotField axis="axisRow" compact="0" outline="0" showAll="0" defaultSubtotal="0">
      <items count="46">
        <item x="0"/>
        <item x="10"/>
        <item x="15"/>
        <item x="12"/>
        <item x="17"/>
        <item x="3"/>
        <item x="7"/>
        <item x="9"/>
        <item x="1"/>
        <item x="19"/>
        <item x="13"/>
        <item x="4"/>
        <item x="6"/>
        <item x="14"/>
        <item x="18"/>
        <item x="2"/>
        <item x="5"/>
        <item x="11"/>
        <item x="16"/>
        <item x="8"/>
        <item x="28"/>
        <item x="29"/>
        <item x="20"/>
        <item x="21"/>
        <item x="30"/>
        <item x="22"/>
        <item x="36"/>
        <item x="31"/>
        <item x="23"/>
        <item x="24"/>
        <item x="32"/>
        <item x="33"/>
        <item x="25"/>
        <item x="26"/>
        <item x="34"/>
        <item x="35"/>
        <item x="27"/>
        <item x="41"/>
        <item x="37"/>
        <item x="42"/>
        <item x="43"/>
        <item x="44"/>
        <item x="38"/>
        <item x="39"/>
        <item x="45"/>
        <item x="40"/>
      </items>
    </pivotField>
    <pivotField compact="0" outline="0" showAll="0"/>
    <pivotField compact="0" outline="0" showAll="0"/>
    <pivotField axis="axisRow" compact="0" outline="0" showAll="0" defaultSubtotal="0">
      <items count="34">
        <item x="0"/>
        <item x="12"/>
        <item x="30"/>
        <item x="27"/>
        <item x="2"/>
        <item x="14"/>
        <item x="20"/>
        <item x="33"/>
        <item x="8"/>
        <item x="17"/>
        <item x="18"/>
        <item x="9"/>
        <item x="6"/>
        <item x="22"/>
        <item x="23"/>
        <item x="21"/>
        <item x="31"/>
        <item x="16"/>
        <item x="3"/>
        <item x="32"/>
        <item x="1"/>
        <item x="26"/>
        <item x="15"/>
        <item x="19"/>
        <item x="28"/>
        <item x="11"/>
        <item x="7"/>
        <item x="29"/>
        <item x="13"/>
        <item x="10"/>
        <item x="24"/>
        <item x="5"/>
        <item x="4"/>
        <item x="25"/>
      </items>
    </pivotField>
    <pivotField compact="0" outline="0" showAll="0"/>
    <pivotField axis="axisRow" compact="0" outline="0" showAll="0" defaultSubtotal="0">
      <items count="3">
        <item x="1"/>
        <item x="2"/>
        <item x="0"/>
      </items>
    </pivotField>
    <pivotField dataField="1" compact="0" outline="0" showAll="0"/>
    <pivotField compact="0" outline="0" showAll="0"/>
    <pivotField axis="axisRow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7"/>
        <item x="15"/>
        <item x="1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5">
        <item x="4"/>
        <item x="2"/>
        <item x="1"/>
        <item x="0"/>
        <item x="3"/>
      </items>
    </pivotField>
    <pivotField compact="0" outline="0" showAll="0"/>
    <pivotField axis="axisRow" compact="0" outline="0" showAll="0" defaultSubtotal="0">
      <items count="9">
        <item x="5"/>
        <item x="3"/>
        <item x="8"/>
        <item x="6"/>
        <item x="7"/>
        <item x="1"/>
        <item x="2"/>
        <item x="4"/>
        <item x="0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x="1"/>
        <item x="2"/>
        <item x="0"/>
        <item x="3"/>
      </items>
    </pivotField>
    <pivotField compact="0" outline="0" showAll="0"/>
    <pivotField compact="0" numFmtId="166" outline="0" showAll="0"/>
    <pivotField compact="0" outline="0" showAll="0"/>
    <pivotField axis="axisPage" compact="0" outline="0" showAll="0">
      <items count="8">
        <item x="6"/>
        <item x="3"/>
        <item x="1"/>
        <item x="4"/>
        <item x="2"/>
        <item x="0"/>
        <item x="5"/>
        <item t="default"/>
      </items>
    </pivotField>
  </pivotFields>
  <rowFields count="9">
    <field x="0"/>
    <field x="2"/>
    <field x="32"/>
    <field x="5"/>
    <field x="26"/>
    <field x="28"/>
    <field x="10"/>
    <field x="7"/>
    <field x="22"/>
  </rowFields>
  <rowItems count="1113">
    <i>
      <x/>
      <x/>
      <x/>
      <x/>
      <x v="2"/>
      <x v="8"/>
      <x/>
      <x v="2"/>
      <x v="2"/>
    </i>
    <i r="6">
      <x v="1"/>
      <x v="2"/>
      <x v="3"/>
    </i>
    <i r="6">
      <x v="2"/>
      <x v="2"/>
      <x v="7"/>
    </i>
    <i>
      <x v="1"/>
      <x/>
      <x/>
      <x/>
      <x v="3"/>
      <x v="8"/>
      <x/>
      <x v="2"/>
      <x v="7"/>
    </i>
    <i r="6">
      <x v="1"/>
      <x v="2"/>
      <x v="8"/>
    </i>
    <i r="6">
      <x v="2"/>
      <x v="2"/>
      <x v="9"/>
    </i>
    <i>
      <x v="2"/>
      <x/>
      <x/>
      <x v="4"/>
      <x v="2"/>
      <x v="8"/>
      <x/>
      <x v="2"/>
      <x/>
    </i>
    <i r="6">
      <x v="1"/>
      <x v="2"/>
      <x v="1"/>
    </i>
    <i r="6">
      <x v="2"/>
      <x v="2"/>
      <x v="6"/>
    </i>
    <i>
      <x v="3"/>
      <x/>
      <x/>
      <x v="4"/>
      <x v="3"/>
      <x v="8"/>
      <x/>
      <x v="2"/>
      <x v="5"/>
    </i>
    <i r="6">
      <x v="1"/>
      <x v="2"/>
      <x v="10"/>
    </i>
    <i r="6">
      <x v="2"/>
      <x v="2"/>
      <x v="10"/>
    </i>
    <i>
      <x v="8"/>
      <x/>
      <x/>
      <x v="20"/>
      <x v="2"/>
      <x v="8"/>
      <x/>
      <x v="2"/>
      <x v="1"/>
    </i>
    <i r="8">
      <x v="3"/>
    </i>
    <i r="6">
      <x v="1"/>
      <x v="2"/>
      <x/>
    </i>
    <i r="8">
      <x v="2"/>
    </i>
    <i r="6">
      <x v="2"/>
      <x v="2"/>
      <x v="4"/>
    </i>
    <i r="8">
      <x v="5"/>
    </i>
    <i>
      <x v="9"/>
      <x/>
      <x/>
      <x v="20"/>
      <x v="3"/>
      <x v="8"/>
      <x/>
      <x v="2"/>
      <x v="4"/>
    </i>
    <i r="8">
      <x v="6"/>
    </i>
    <i r="6">
      <x v="1"/>
      <x v="2"/>
      <x v="9"/>
    </i>
    <i r="8">
      <x v="11"/>
    </i>
    <i r="6">
      <x v="2"/>
      <x v="2"/>
      <x v="8"/>
    </i>
    <i r="8">
      <x v="11"/>
    </i>
    <i>
      <x v="16"/>
      <x/>
      <x v="1"/>
      <x/>
      <x v="2"/>
      <x v="8"/>
      <x/>
      <x v="2"/>
      <x v="6"/>
    </i>
    <i r="6">
      <x v="1"/>
      <x v="2"/>
      <x v="4"/>
    </i>
    <i r="6">
      <x v="2"/>
      <x v="2"/>
      <x v="8"/>
    </i>
    <i>
      <x v="17"/>
      <x/>
      <x v="1"/>
      <x/>
      <x v="3"/>
      <x v="8"/>
      <x/>
      <x v="2"/>
      <x v="11"/>
    </i>
    <i r="6">
      <x v="1"/>
      <x v="2"/>
      <x v="1"/>
    </i>
    <i r="6">
      <x v="2"/>
      <x v="2"/>
      <x/>
    </i>
    <i>
      <x v="18"/>
      <x/>
      <x v="1"/>
      <x v="4"/>
      <x v="2"/>
      <x v="8"/>
      <x/>
      <x v="2"/>
      <x v="4"/>
    </i>
    <i r="6">
      <x v="1"/>
      <x v="2"/>
      <x v="6"/>
    </i>
    <i r="6">
      <x v="2"/>
      <x v="2"/>
      <x v="11"/>
    </i>
    <i>
      <x v="19"/>
      <x/>
      <x v="1"/>
      <x v="4"/>
      <x v="3"/>
      <x v="8"/>
      <x/>
      <x v="2"/>
      <x v="9"/>
    </i>
    <i r="6">
      <x v="1"/>
      <x v="2"/>
      <x v="3"/>
    </i>
    <i r="6">
      <x v="2"/>
      <x v="2"/>
      <x v="1"/>
    </i>
    <i>
      <x v="24"/>
      <x/>
      <x v="1"/>
      <x v="20"/>
      <x v="2"/>
      <x v="8"/>
      <x/>
      <x v="2"/>
      <x v="5"/>
    </i>
    <i r="8">
      <x v="7"/>
    </i>
    <i r="6">
      <x v="1"/>
      <x v="2"/>
      <x v="5"/>
    </i>
    <i r="8">
      <x v="7"/>
    </i>
    <i r="6">
      <x v="2"/>
      <x v="2"/>
      <x v="9"/>
    </i>
    <i r="8">
      <x v="10"/>
    </i>
    <i>
      <x v="25"/>
      <x/>
      <x v="1"/>
      <x v="20"/>
      <x v="3"/>
      <x v="8"/>
      <x/>
      <x v="2"/>
      <x v="8"/>
    </i>
    <i r="8">
      <x v="10"/>
    </i>
    <i r="6">
      <x v="1"/>
      <x v="2"/>
      <x/>
    </i>
    <i r="8">
      <x v="2"/>
    </i>
    <i r="6">
      <x v="2"/>
      <x v="2"/>
      <x v="2"/>
    </i>
    <i r="8">
      <x v="3"/>
    </i>
    <i>
      <x v="32"/>
      <x/>
      <x v="2"/>
      <x/>
      <x v="2"/>
      <x v="8"/>
      <x/>
      <x v="2"/>
      <x v="10"/>
    </i>
    <i r="6">
      <x v="1"/>
      <x v="2"/>
      <x v="9"/>
    </i>
    <i r="6">
      <x v="2"/>
      <x v="2"/>
      <x v="2"/>
    </i>
    <i>
      <x v="33"/>
      <x/>
      <x v="2"/>
      <x/>
      <x v="3"/>
      <x v="8"/>
      <x/>
      <x v="2"/>
      <x/>
    </i>
    <i r="6">
      <x v="1"/>
      <x v="2"/>
      <x v="5"/>
    </i>
    <i r="6">
      <x v="2"/>
      <x v="2"/>
      <x v="5"/>
    </i>
    <i>
      <x v="34"/>
      <x/>
      <x v="2"/>
      <x v="4"/>
      <x v="2"/>
      <x v="8"/>
      <x/>
      <x v="2"/>
      <x v="8"/>
    </i>
    <i r="6">
      <x v="1"/>
      <x v="2"/>
      <x v="11"/>
    </i>
    <i r="6">
      <x v="2"/>
      <x v="2"/>
      <x v="3"/>
    </i>
    <i>
      <x v="35"/>
      <x/>
      <x v="2"/>
      <x v="4"/>
      <x v="3"/>
      <x v="8"/>
      <x/>
      <x v="2"/>
      <x v="2"/>
    </i>
    <i r="6">
      <x v="1"/>
      <x v="2"/>
      <x v="7"/>
    </i>
    <i r="6">
      <x v="2"/>
      <x v="2"/>
      <x v="4"/>
    </i>
    <i>
      <x v="40"/>
      <x/>
      <x v="2"/>
      <x v="20"/>
      <x v="2"/>
      <x v="8"/>
      <x/>
      <x v="2"/>
      <x v="9"/>
    </i>
    <i r="8">
      <x v="11"/>
    </i>
    <i r="6">
      <x v="1"/>
      <x v="2"/>
      <x v="8"/>
    </i>
    <i r="8">
      <x v="10"/>
    </i>
    <i r="6">
      <x v="2"/>
      <x v="2"/>
      <x/>
    </i>
    <i r="8">
      <x v="1"/>
    </i>
    <i>
      <x v="41"/>
      <x/>
      <x v="2"/>
      <x v="20"/>
      <x v="3"/>
      <x v="8"/>
      <x/>
      <x v="2"/>
      <x v="1"/>
    </i>
    <i r="8">
      <x v="3"/>
    </i>
    <i r="6">
      <x v="1"/>
      <x v="2"/>
      <x v="4"/>
    </i>
    <i r="8">
      <x v="6"/>
    </i>
    <i r="6">
      <x v="2"/>
      <x v="2"/>
      <x v="6"/>
    </i>
    <i r="8">
      <x v="7"/>
    </i>
    <i>
      <x v="56"/>
      <x v="2"/>
      <x/>
      <x/>
      <x v="3"/>
      <x v="8"/>
      <x/>
      <x v="1"/>
      <x v="4"/>
    </i>
    <i r="6">
      <x v="1"/>
      <x v="1"/>
      <x v="2"/>
    </i>
    <i r="6">
      <x v="2"/>
      <x v="1"/>
      <x/>
    </i>
    <i r="6">
      <x v="3"/>
      <x v="1"/>
      <x v="1"/>
    </i>
    <i>
      <x v="57"/>
      <x v="2"/>
      <x/>
      <x v="5"/>
      <x v="3"/>
      <x v="8"/>
      <x/>
      <x v="1"/>
      <x/>
    </i>
    <i r="6">
      <x v="1"/>
      <x v="1"/>
      <x v="3"/>
    </i>
    <i r="6">
      <x v="2"/>
      <x v="1"/>
      <x v="5"/>
    </i>
    <i r="6">
      <x v="3"/>
      <x v="1"/>
      <x v="2"/>
    </i>
    <i>
      <x v="58"/>
      <x v="2"/>
      <x/>
      <x v="15"/>
      <x v="3"/>
      <x v="8"/>
      <x/>
      <x v="1"/>
      <x v="3"/>
    </i>
    <i r="6">
      <x v="1"/>
      <x v="1"/>
      <x v="5"/>
    </i>
    <i r="6">
      <x v="2"/>
      <x v="1"/>
      <x v="2"/>
    </i>
    <i r="6">
      <x v="3"/>
      <x v="1"/>
      <x/>
    </i>
    <i>
      <x v="59"/>
      <x v="2"/>
      <x/>
      <x v="17"/>
      <x v="3"/>
      <x v="8"/>
      <x/>
      <x v="1"/>
      <x v="2"/>
    </i>
    <i r="6">
      <x v="1"/>
      <x v="1"/>
      <x v="1"/>
    </i>
    <i r="6">
      <x v="2"/>
      <x v="1"/>
      <x v="4"/>
    </i>
    <i r="6">
      <x v="3"/>
      <x v="1"/>
      <x v="3"/>
    </i>
    <i>
      <x v="60"/>
      <x v="2"/>
      <x/>
      <x v="20"/>
      <x v="3"/>
      <x v="8"/>
      <x/>
      <x v="1"/>
      <x v="1"/>
    </i>
    <i r="6">
      <x v="1"/>
      <x v="1"/>
      <x v="4"/>
    </i>
    <i r="6">
      <x v="2"/>
      <x v="1"/>
      <x v="3"/>
    </i>
    <i r="6">
      <x v="3"/>
      <x v="1"/>
      <x v="5"/>
    </i>
    <i>
      <x v="61"/>
      <x v="2"/>
      <x/>
      <x v="22"/>
      <x v="3"/>
      <x v="8"/>
      <x/>
      <x v="1"/>
      <x v="5"/>
    </i>
    <i r="6">
      <x v="1"/>
      <x v="1"/>
      <x/>
    </i>
    <i r="6">
      <x v="2"/>
      <x v="1"/>
      <x v="1"/>
    </i>
    <i r="6">
      <x v="3"/>
      <x v="1"/>
      <x v="4"/>
    </i>
    <i>
      <x v="62"/>
      <x v="2"/>
      <x v="1"/>
      <x/>
      <x v="3"/>
      <x v="8"/>
      <x/>
      <x v="1"/>
      <x v="5"/>
    </i>
    <i r="6">
      <x v="1"/>
      <x v="1"/>
      <x/>
    </i>
    <i r="6">
      <x v="2"/>
      <x v="1"/>
      <x v="2"/>
    </i>
    <i r="6">
      <x v="3"/>
      <x v="1"/>
      <x v="3"/>
    </i>
    <i>
      <x v="63"/>
      <x v="2"/>
      <x v="1"/>
      <x v="5"/>
      <x v="3"/>
      <x v="8"/>
      <x/>
      <x v="1"/>
      <x v="3"/>
    </i>
    <i r="6">
      <x v="1"/>
      <x v="1"/>
      <x v="4"/>
    </i>
    <i r="6">
      <x v="2"/>
      <x v="1"/>
      <x v="1"/>
    </i>
    <i r="6">
      <x v="3"/>
      <x v="1"/>
      <x/>
    </i>
    <i>
      <x v="64"/>
      <x v="2"/>
      <x v="1"/>
      <x v="15"/>
      <x v="3"/>
      <x v="8"/>
      <x/>
      <x v="1"/>
      <x v="2"/>
    </i>
    <i r="6">
      <x v="1"/>
      <x v="1"/>
      <x v="1"/>
    </i>
    <i r="6">
      <x v="2"/>
      <x v="1"/>
      <x v="4"/>
    </i>
    <i r="6">
      <x v="3"/>
      <x v="1"/>
      <x v="5"/>
    </i>
    <i>
      <x v="65"/>
      <x v="2"/>
      <x v="1"/>
      <x v="17"/>
      <x v="3"/>
      <x v="8"/>
      <x/>
      <x v="1"/>
      <x/>
    </i>
    <i r="6">
      <x v="1"/>
      <x v="1"/>
      <x v="5"/>
    </i>
    <i r="6">
      <x v="2"/>
      <x v="1"/>
      <x v="3"/>
    </i>
    <i r="6">
      <x v="3"/>
      <x v="1"/>
      <x v="4"/>
    </i>
    <i>
      <x v="66"/>
      <x v="2"/>
      <x v="1"/>
      <x v="20"/>
      <x v="3"/>
      <x v="8"/>
      <x/>
      <x v="1"/>
      <x v="4"/>
    </i>
    <i r="6">
      <x v="1"/>
      <x v="1"/>
      <x v="2"/>
    </i>
    <i r="6">
      <x v="2"/>
      <x v="1"/>
      <x/>
    </i>
    <i r="6">
      <x v="3"/>
      <x v="1"/>
      <x v="1"/>
    </i>
    <i>
      <x v="67"/>
      <x v="2"/>
      <x v="1"/>
      <x v="22"/>
      <x v="3"/>
      <x v="8"/>
      <x/>
      <x v="1"/>
      <x v="1"/>
    </i>
    <i r="6">
      <x v="1"/>
      <x v="1"/>
      <x v="3"/>
    </i>
    <i r="6">
      <x v="2"/>
      <x v="1"/>
      <x v="5"/>
    </i>
    <i r="6">
      <x v="3"/>
      <x v="1"/>
      <x v="2"/>
    </i>
    <i>
      <x v="80"/>
      <x v="4"/>
      <x/>
      <x/>
      <x v="3"/>
      <x v="8"/>
      <x/>
      <x v="1"/>
      <x v="3"/>
    </i>
    <i r="6">
      <x v="1"/>
      <x v="1"/>
      <x/>
    </i>
    <i r="6">
      <x v="2"/>
      <x v="1"/>
      <x v="1"/>
    </i>
    <i r="6">
      <x v="3"/>
      <x v="1"/>
      <x v="5"/>
    </i>
    <i>
      <x v="81"/>
      <x v="4"/>
      <x/>
      <x v="5"/>
      <x v="3"/>
      <x v="8"/>
      <x/>
      <x v="1"/>
      <x v="5"/>
    </i>
    <i r="6">
      <x v="1"/>
      <x v="1"/>
      <x v="4"/>
    </i>
    <i r="6">
      <x v="2"/>
      <x v="1"/>
      <x v="3"/>
    </i>
    <i r="6">
      <x v="3"/>
      <x v="1"/>
      <x v="2"/>
    </i>
    <i>
      <x v="82"/>
      <x v="4"/>
      <x/>
      <x v="15"/>
      <x v="3"/>
      <x v="8"/>
      <x/>
      <x v="1"/>
      <x v="2"/>
    </i>
    <i r="6">
      <x v="1"/>
      <x v="1"/>
      <x v="5"/>
    </i>
    <i r="6">
      <x v="2"/>
      <x v="1"/>
      <x/>
    </i>
    <i r="6">
      <x v="3"/>
      <x v="1"/>
      <x v="1"/>
    </i>
    <i>
      <x v="83"/>
      <x v="4"/>
      <x/>
      <x v="17"/>
      <x v="3"/>
      <x v="8"/>
      <x/>
      <x v="1"/>
      <x/>
    </i>
    <i r="6">
      <x v="1"/>
      <x v="1"/>
      <x v="1"/>
    </i>
    <i r="6">
      <x v="2"/>
      <x v="1"/>
      <x v="4"/>
    </i>
    <i r="6">
      <x v="3"/>
      <x v="1"/>
      <x v="3"/>
    </i>
    <i>
      <x v="84"/>
      <x v="4"/>
      <x/>
      <x v="20"/>
      <x v="3"/>
      <x v="8"/>
      <x/>
      <x v="1"/>
      <x v="1"/>
    </i>
    <i r="6">
      <x v="1"/>
      <x v="1"/>
      <x v="3"/>
    </i>
    <i r="6">
      <x v="2"/>
      <x v="1"/>
      <x v="2"/>
    </i>
    <i r="6">
      <x v="3"/>
      <x v="1"/>
      <x v="4"/>
    </i>
    <i>
      <x v="85"/>
      <x v="4"/>
      <x/>
      <x v="22"/>
      <x v="3"/>
      <x v="8"/>
      <x/>
      <x v="1"/>
      <x v="4"/>
    </i>
    <i r="6">
      <x v="1"/>
      <x v="1"/>
      <x v="2"/>
    </i>
    <i r="6">
      <x v="2"/>
      <x v="1"/>
      <x v="5"/>
    </i>
    <i r="6">
      <x v="3"/>
      <x v="1"/>
      <x/>
    </i>
    <i>
      <x v="86"/>
      <x v="4"/>
      <x v="1"/>
      <x/>
      <x v="3"/>
      <x v="8"/>
      <x/>
      <x v="1"/>
      <x v="4"/>
    </i>
    <i r="6">
      <x v="1"/>
      <x v="1"/>
      <x v="5"/>
    </i>
    <i r="6">
      <x v="2"/>
      <x v="1"/>
      <x v="2"/>
    </i>
    <i r="6">
      <x v="3"/>
      <x v="1"/>
      <x v="3"/>
    </i>
    <i>
      <x v="87"/>
      <x v="4"/>
      <x v="1"/>
      <x v="5"/>
      <x v="3"/>
      <x v="8"/>
      <x/>
      <x v="1"/>
      <x v="1"/>
    </i>
    <i r="6">
      <x v="1"/>
      <x v="1"/>
      <x v="2"/>
    </i>
    <i r="6">
      <x v="2"/>
      <x v="1"/>
      <x/>
    </i>
    <i r="6">
      <x v="3"/>
      <x v="1"/>
      <x v="5"/>
    </i>
    <i>
      <x v="88"/>
      <x v="4"/>
      <x v="1"/>
      <x v="15"/>
      <x v="3"/>
      <x v="8"/>
      <x/>
      <x v="1"/>
      <x/>
    </i>
    <i r="6">
      <x v="1"/>
      <x v="1"/>
      <x v="3"/>
    </i>
    <i r="6">
      <x v="2"/>
      <x v="1"/>
      <x v="4"/>
    </i>
    <i r="6">
      <x v="3"/>
      <x v="1"/>
      <x v="2"/>
    </i>
    <i>
      <x v="89"/>
      <x v="4"/>
      <x v="1"/>
      <x v="17"/>
      <x v="3"/>
      <x v="8"/>
      <x/>
      <x v="1"/>
      <x v="2"/>
    </i>
    <i r="6">
      <x v="1"/>
      <x v="1"/>
      <x v="4"/>
    </i>
    <i r="6">
      <x v="2"/>
      <x v="1"/>
      <x v="5"/>
    </i>
    <i r="6">
      <x v="3"/>
      <x v="1"/>
      <x v="1"/>
    </i>
    <i>
      <x v="90"/>
      <x v="4"/>
      <x v="1"/>
      <x v="20"/>
      <x v="3"/>
      <x v="8"/>
      <x/>
      <x v="1"/>
      <x v="5"/>
    </i>
    <i r="6">
      <x v="1"/>
      <x v="1"/>
      <x v="1"/>
    </i>
    <i r="6">
      <x v="2"/>
      <x v="1"/>
      <x v="3"/>
    </i>
    <i r="6">
      <x v="3"/>
      <x v="1"/>
      <x/>
    </i>
    <i>
      <x v="91"/>
      <x v="4"/>
      <x v="1"/>
      <x v="22"/>
      <x v="3"/>
      <x v="8"/>
      <x/>
      <x v="1"/>
      <x v="3"/>
    </i>
    <i r="6">
      <x v="1"/>
      <x v="1"/>
      <x/>
    </i>
    <i r="6">
      <x v="2"/>
      <x v="1"/>
      <x v="1"/>
    </i>
    <i r="6">
      <x v="3"/>
      <x v="1"/>
      <x v="4"/>
    </i>
    <i>
      <x v="108"/>
      <x v="6"/>
      <x/>
      <x v="5"/>
      <x v="2"/>
      <x v="8"/>
      <x/>
      <x/>
      <x v="3"/>
    </i>
    <i r="7">
      <x v="1"/>
      <x v="3"/>
    </i>
    <i r="6">
      <x v="1"/>
      <x/>
      <x v="2"/>
    </i>
    <i r="7">
      <x v="1"/>
      <x v="2"/>
    </i>
    <i r="6">
      <x v="2"/>
      <x/>
      <x/>
    </i>
    <i r="7">
      <x v="1"/>
      <x/>
    </i>
    <i r="6">
      <x v="3"/>
      <x/>
      <x v="1"/>
    </i>
    <i r="7">
      <x v="1"/>
      <x v="1"/>
    </i>
    <i>
      <x v="109"/>
      <x v="6"/>
      <x/>
      <x v="5"/>
      <x v="3"/>
      <x v="8"/>
      <x/>
      <x/>
      <x v="6"/>
    </i>
    <i r="7">
      <x v="1"/>
      <x v="6"/>
    </i>
    <i r="6">
      <x v="1"/>
      <x/>
      <x v="7"/>
    </i>
    <i r="7">
      <x v="1"/>
      <x v="7"/>
    </i>
    <i r="6">
      <x v="2"/>
      <x/>
      <x v="5"/>
    </i>
    <i r="7">
      <x v="1"/>
      <x v="5"/>
    </i>
    <i r="6">
      <x v="3"/>
      <x/>
      <x v="4"/>
    </i>
    <i r="7">
      <x v="1"/>
      <x v="4"/>
    </i>
    <i>
      <x v="110"/>
      <x v="6"/>
      <x/>
      <x v="17"/>
      <x v="2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/>
    </i>
    <i r="7">
      <x v="1"/>
      <x/>
    </i>
    <i>
      <x v="111"/>
      <x v="6"/>
      <x/>
      <x v="17"/>
      <x v="3"/>
      <x v="8"/>
      <x/>
      <x/>
      <x v="7"/>
    </i>
    <i r="7">
      <x v="1"/>
      <x v="7"/>
    </i>
    <i r="6">
      <x v="1"/>
      <x/>
      <x v="6"/>
    </i>
    <i r="7">
      <x v="1"/>
      <x v="6"/>
    </i>
    <i r="6">
      <x v="2"/>
      <x/>
      <x v="4"/>
    </i>
    <i r="7">
      <x v="1"/>
      <x v="4"/>
    </i>
    <i r="6">
      <x v="3"/>
      <x/>
      <x v="5"/>
    </i>
    <i r="7">
      <x v="1"/>
      <x v="5"/>
    </i>
    <i>
      <x v="112"/>
      <x v="6"/>
      <x/>
      <x v="20"/>
      <x v="2"/>
      <x v="8"/>
      <x/>
      <x/>
      <x v="2"/>
    </i>
    <i r="7">
      <x v="1"/>
      <x v="2"/>
    </i>
    <i r="6">
      <x v="1"/>
      <x/>
      <x/>
    </i>
    <i r="7">
      <x v="1"/>
      <x/>
    </i>
    <i r="6">
      <x v="2"/>
      <x/>
      <x v="1"/>
    </i>
    <i r="7">
      <x v="1"/>
      <x v="1"/>
    </i>
    <i r="6">
      <x v="3"/>
      <x/>
      <x v="3"/>
    </i>
    <i r="7">
      <x v="1"/>
      <x v="3"/>
    </i>
    <i>
      <x v="113"/>
      <x v="6"/>
      <x/>
      <x v="20"/>
      <x v="3"/>
      <x v="8"/>
      <x/>
      <x/>
      <x v="5"/>
    </i>
    <i r="7">
      <x v="1"/>
      <x v="5"/>
    </i>
    <i r="6">
      <x v="1"/>
      <x/>
      <x v="4"/>
    </i>
    <i r="7">
      <x v="1"/>
      <x v="4"/>
    </i>
    <i r="6">
      <x v="2"/>
      <x/>
      <x v="7"/>
    </i>
    <i r="7">
      <x v="1"/>
      <x v="7"/>
    </i>
    <i r="6">
      <x v="3"/>
      <x/>
      <x v="6"/>
    </i>
    <i r="7">
      <x v="1"/>
      <x v="6"/>
    </i>
    <i>
      <x v="114"/>
      <x v="6"/>
      <x/>
      <x v="22"/>
      <x v="2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 v="3"/>
    </i>
    <i r="7">
      <x v="1"/>
      <x v="3"/>
    </i>
    <i r="6">
      <x v="3"/>
      <x/>
      <x v="2"/>
    </i>
    <i r="7">
      <x v="1"/>
      <x v="2"/>
    </i>
    <i>
      <x v="115"/>
      <x v="6"/>
      <x/>
      <x v="22"/>
      <x v="3"/>
      <x v="8"/>
      <x/>
      <x/>
      <x v="4"/>
    </i>
    <i r="7">
      <x v="1"/>
      <x v="4"/>
    </i>
    <i r="6">
      <x v="1"/>
      <x/>
      <x v="5"/>
    </i>
    <i r="7">
      <x v="1"/>
      <x v="5"/>
    </i>
    <i r="6">
      <x v="2"/>
      <x/>
      <x v="6"/>
    </i>
    <i r="7">
      <x v="1"/>
      <x v="6"/>
    </i>
    <i r="6">
      <x v="3"/>
      <x/>
      <x v="7"/>
    </i>
    <i r="7">
      <x v="1"/>
      <x v="7"/>
    </i>
    <i>
      <x v="116"/>
      <x v="6"/>
      <x v="1"/>
      <x v="5"/>
      <x v="2"/>
      <x v="8"/>
      <x/>
      <x/>
      <x v="2"/>
    </i>
    <i r="7">
      <x v="1"/>
      <x v="2"/>
    </i>
    <i r="6">
      <x v="1"/>
      <x/>
      <x v="1"/>
    </i>
    <i r="7">
      <x v="1"/>
      <x v="1"/>
    </i>
    <i r="6">
      <x v="2"/>
      <x/>
      <x v="3"/>
    </i>
    <i r="7">
      <x v="1"/>
      <x v="3"/>
    </i>
    <i r="6">
      <x v="3"/>
      <x/>
      <x/>
    </i>
    <i r="7">
      <x v="1"/>
      <x/>
    </i>
    <i>
      <x v="117"/>
      <x v="6"/>
      <x v="1"/>
      <x v="5"/>
      <x v="3"/>
      <x v="8"/>
      <x/>
      <x/>
      <x v="4"/>
    </i>
    <i r="7">
      <x v="1"/>
      <x v="4"/>
    </i>
    <i r="6">
      <x v="1"/>
      <x/>
      <x v="6"/>
    </i>
    <i r="7">
      <x v="1"/>
      <x v="6"/>
    </i>
    <i r="6">
      <x v="2"/>
      <x/>
      <x v="7"/>
    </i>
    <i r="7">
      <x v="1"/>
      <x v="7"/>
    </i>
    <i r="6">
      <x v="3"/>
      <x/>
      <x v="5"/>
    </i>
    <i r="7">
      <x v="1"/>
      <x v="5"/>
    </i>
    <i>
      <x v="118"/>
      <x v="6"/>
      <x v="1"/>
      <x v="17"/>
      <x v="2"/>
      <x v="8"/>
      <x/>
      <x/>
      <x/>
    </i>
    <i r="7">
      <x v="1"/>
      <x/>
    </i>
    <i r="6">
      <x v="1"/>
      <x/>
      <x v="2"/>
    </i>
    <i r="7">
      <x v="1"/>
      <x v="2"/>
    </i>
    <i r="6">
      <x v="2"/>
      <x/>
      <x v="1"/>
    </i>
    <i r="7">
      <x v="1"/>
      <x v="1"/>
    </i>
    <i r="6">
      <x v="3"/>
      <x/>
      <x v="3"/>
    </i>
    <i r="7">
      <x v="1"/>
      <x v="3"/>
    </i>
    <i>
      <x v="119"/>
      <x v="6"/>
      <x v="1"/>
      <x v="17"/>
      <x v="3"/>
      <x v="8"/>
      <x/>
      <x/>
      <x v="6"/>
    </i>
    <i r="7">
      <x v="1"/>
      <x v="6"/>
    </i>
    <i r="6">
      <x v="1"/>
      <x/>
      <x v="4"/>
    </i>
    <i r="7">
      <x v="1"/>
      <x v="4"/>
    </i>
    <i r="6">
      <x v="2"/>
      <x/>
      <x v="5"/>
    </i>
    <i r="7">
      <x v="1"/>
      <x v="5"/>
    </i>
    <i r="6">
      <x v="3"/>
      <x/>
      <x v="7"/>
    </i>
    <i r="7">
      <x v="1"/>
      <x v="7"/>
    </i>
    <i>
      <x v="120"/>
      <x v="6"/>
      <x v="1"/>
      <x v="20"/>
      <x v="2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/>
    </i>
    <i r="7">
      <x v="1"/>
      <x/>
    </i>
    <i r="6">
      <x v="3"/>
      <x/>
      <x v="2"/>
    </i>
    <i r="7">
      <x v="1"/>
      <x v="2"/>
    </i>
    <i>
      <x v="121"/>
      <x v="6"/>
      <x v="1"/>
      <x v="20"/>
      <x v="3"/>
      <x v="8"/>
      <x/>
      <x/>
      <x v="7"/>
    </i>
    <i r="7">
      <x v="1"/>
      <x v="7"/>
    </i>
    <i r="6">
      <x v="1"/>
      <x/>
      <x v="5"/>
    </i>
    <i r="7">
      <x v="1"/>
      <x v="5"/>
    </i>
    <i r="6">
      <x v="2"/>
      <x/>
      <x v="6"/>
    </i>
    <i r="7">
      <x v="1"/>
      <x v="6"/>
    </i>
    <i r="6">
      <x v="3"/>
      <x/>
      <x v="4"/>
    </i>
    <i r="7">
      <x v="1"/>
      <x v="4"/>
    </i>
    <i>
      <x v="122"/>
      <x v="6"/>
      <x v="1"/>
      <x v="22"/>
      <x v="2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123"/>
      <x v="6"/>
      <x v="1"/>
      <x v="22"/>
      <x v="3"/>
      <x v="8"/>
      <x/>
      <x/>
      <x v="5"/>
    </i>
    <i r="7">
      <x v="1"/>
      <x v="5"/>
    </i>
    <i r="6">
      <x v="1"/>
      <x/>
      <x v="7"/>
    </i>
    <i r="7">
      <x v="1"/>
      <x v="7"/>
    </i>
    <i r="6">
      <x v="2"/>
      <x/>
      <x v="4"/>
    </i>
    <i r="7">
      <x v="1"/>
      <x v="4"/>
    </i>
    <i r="6">
      <x v="3"/>
      <x/>
      <x v="6"/>
    </i>
    <i r="7">
      <x v="1"/>
      <x v="6"/>
    </i>
    <i>
      <x v="180"/>
      <x v="12"/>
      <x/>
      <x v="5"/>
      <x v="2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181"/>
      <x v="12"/>
      <x/>
      <x v="5"/>
      <x v="3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3"/>
    </i>
    <i r="7">
      <x v="1"/>
      <x v="2"/>
    </i>
    <i r="6">
      <x v="3"/>
      <x/>
      <x v="1"/>
    </i>
    <i r="7">
      <x v="1"/>
      <x/>
    </i>
    <i>
      <x v="182"/>
      <x v="12"/>
      <x/>
      <x v="17"/>
      <x v="2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183"/>
      <x v="12"/>
      <x/>
      <x v="17"/>
      <x v="3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1"/>
    </i>
    <i r="7">
      <x v="1"/>
      <x/>
    </i>
    <i r="6">
      <x v="3"/>
      <x/>
      <x v="3"/>
    </i>
    <i r="7">
      <x v="1"/>
      <x v="2"/>
    </i>
    <i>
      <x v="184"/>
      <x v="12"/>
      <x/>
      <x v="20"/>
      <x v="2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1"/>
    </i>
    <i r="7">
      <x v="1"/>
      <x/>
    </i>
    <i r="6">
      <x v="3"/>
      <x/>
      <x v="3"/>
    </i>
    <i r="7">
      <x v="1"/>
      <x v="2"/>
    </i>
    <i>
      <x v="185"/>
      <x v="12"/>
      <x/>
      <x v="20"/>
      <x v="3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186"/>
      <x v="12"/>
      <x/>
      <x v="22"/>
      <x v="2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3"/>
    </i>
    <i r="7">
      <x v="1"/>
      <x v="2"/>
    </i>
    <i r="6">
      <x v="3"/>
      <x/>
      <x v="1"/>
    </i>
    <i r="7">
      <x v="1"/>
      <x/>
    </i>
    <i>
      <x v="187"/>
      <x v="12"/>
      <x/>
      <x v="22"/>
      <x v="3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188"/>
      <x v="12"/>
      <x v="1"/>
      <x v="5"/>
      <x v="2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1"/>
    </i>
    <i r="7">
      <x v="1"/>
      <x/>
    </i>
    <i r="6">
      <x v="3"/>
      <x/>
      <x v="1"/>
    </i>
    <i r="7">
      <x v="1"/>
      <x/>
    </i>
    <i>
      <x v="189"/>
      <x v="12"/>
      <x v="1"/>
      <x v="5"/>
      <x v="3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190"/>
      <x v="12"/>
      <x v="1"/>
      <x v="17"/>
      <x v="2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191"/>
      <x v="12"/>
      <x v="1"/>
      <x v="17"/>
      <x v="3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192"/>
      <x v="12"/>
      <x v="1"/>
      <x v="20"/>
      <x v="2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193"/>
      <x v="12"/>
      <x v="1"/>
      <x v="20"/>
      <x v="3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194"/>
      <x v="12"/>
      <x v="1"/>
      <x v="22"/>
      <x v="2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195"/>
      <x v="12"/>
      <x v="1"/>
      <x v="22"/>
      <x v="3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1"/>
    </i>
    <i r="7">
      <x v="1"/>
      <x/>
    </i>
    <i r="6">
      <x v="3"/>
      <x/>
      <x v="1"/>
    </i>
    <i r="7">
      <x v="1"/>
      <x/>
    </i>
    <i>
      <x v="208"/>
      <x v="14"/>
      <x/>
      <x v="5"/>
      <x v="3"/>
      <x v="5"/>
      <x/>
      <x v="1"/>
      <x v="1"/>
    </i>
    <i r="6">
      <x v="1"/>
      <x v="1"/>
      <x v="2"/>
    </i>
    <i r="6">
      <x v="2"/>
      <x v="1"/>
      <x v="1"/>
    </i>
    <i r="6">
      <x v="3"/>
      <x v="1"/>
      <x v="1"/>
    </i>
    <i>
      <x v="209"/>
      <x v="14"/>
      <x/>
      <x v="5"/>
      <x v="3"/>
      <x v="6"/>
      <x/>
      <x v="1"/>
      <x v="2"/>
    </i>
    <i r="6">
      <x v="1"/>
      <x v="1"/>
      <x v="1"/>
    </i>
    <i r="6">
      <x v="2"/>
      <x v="1"/>
      <x v="2"/>
    </i>
    <i r="6">
      <x v="3"/>
      <x v="1"/>
      <x/>
    </i>
    <i>
      <x v="210"/>
      <x v="14"/>
      <x/>
      <x v="17"/>
      <x v="3"/>
      <x v="6"/>
      <x/>
      <x v="1"/>
      <x/>
    </i>
    <i r="6">
      <x v="1"/>
      <x v="1"/>
      <x/>
    </i>
    <i r="6">
      <x v="2"/>
      <x v="1"/>
      <x v="1"/>
    </i>
    <i r="6">
      <x v="3"/>
      <x v="1"/>
      <x/>
    </i>
    <i>
      <x v="211"/>
      <x v="14"/>
      <x/>
      <x v="20"/>
      <x v="3"/>
      <x v="5"/>
      <x/>
      <x v="1"/>
      <x v="2"/>
    </i>
    <i r="6">
      <x v="1"/>
      <x v="1"/>
      <x v="1"/>
    </i>
    <i r="6">
      <x v="2"/>
      <x v="1"/>
      <x/>
    </i>
    <i r="6">
      <x v="3"/>
      <x v="1"/>
      <x v="1"/>
    </i>
    <i>
      <x v="212"/>
      <x v="14"/>
      <x/>
      <x v="20"/>
      <x v="3"/>
      <x v="6"/>
      <x/>
      <x v="1"/>
      <x/>
    </i>
    <i r="6">
      <x v="1"/>
      <x v="1"/>
      <x/>
    </i>
    <i r="6">
      <x v="2"/>
      <x v="1"/>
      <x v="2"/>
    </i>
    <i r="6">
      <x v="3"/>
      <x v="1"/>
      <x v="2"/>
    </i>
    <i>
      <x v="213"/>
      <x v="14"/>
      <x/>
      <x v="22"/>
      <x v="3"/>
      <x v="6"/>
      <x/>
      <x v="1"/>
      <x v="1"/>
    </i>
    <i r="6">
      <x v="1"/>
      <x v="1"/>
      <x v="2"/>
    </i>
    <i r="6">
      <x v="2"/>
      <x v="1"/>
      <x/>
    </i>
    <i r="6">
      <x v="3"/>
      <x v="1"/>
      <x v="2"/>
    </i>
    <i>
      <x v="214"/>
      <x v="14"/>
      <x v="1"/>
      <x v="5"/>
      <x v="3"/>
      <x v="5"/>
      <x/>
      <x v="1"/>
      <x v="2"/>
    </i>
    <i r="6">
      <x v="1"/>
      <x v="1"/>
      <x/>
    </i>
    <i r="6">
      <x v="2"/>
      <x v="1"/>
      <x v="2"/>
    </i>
    <i r="6">
      <x v="3"/>
      <x v="1"/>
      <x/>
    </i>
    <i>
      <x v="215"/>
      <x v="14"/>
      <x v="1"/>
      <x v="5"/>
      <x v="3"/>
      <x v="6"/>
      <x/>
      <x v="1"/>
      <x v="2"/>
    </i>
    <i r="6">
      <x v="1"/>
      <x v="1"/>
      <x/>
    </i>
    <i r="6">
      <x v="2"/>
      <x v="1"/>
      <x/>
    </i>
    <i r="6">
      <x v="3"/>
      <x v="1"/>
      <x v="1"/>
    </i>
    <i>
      <x v="216"/>
      <x v="14"/>
      <x v="1"/>
      <x v="17"/>
      <x v="3"/>
      <x v="6"/>
      <x/>
      <x v="1"/>
      <x v="1"/>
    </i>
    <i r="6">
      <x v="1"/>
      <x v="1"/>
      <x v="2"/>
    </i>
    <i r="6">
      <x v="2"/>
      <x v="1"/>
      <x v="2"/>
    </i>
    <i r="6">
      <x v="3"/>
      <x v="1"/>
      <x v="2"/>
    </i>
    <i>
      <x v="217"/>
      <x v="14"/>
      <x v="1"/>
      <x v="20"/>
      <x v="3"/>
      <x v="5"/>
      <x/>
      <x v="1"/>
      <x/>
    </i>
    <i r="6">
      <x v="1"/>
      <x v="1"/>
      <x v="2"/>
    </i>
    <i r="6">
      <x v="2"/>
      <x v="1"/>
      <x v="1"/>
    </i>
    <i r="6">
      <x v="3"/>
      <x v="1"/>
      <x/>
    </i>
    <i>
      <x v="218"/>
      <x v="14"/>
      <x v="1"/>
      <x v="20"/>
      <x v="3"/>
      <x v="6"/>
      <x/>
      <x v="1"/>
      <x/>
    </i>
    <i r="6">
      <x v="1"/>
      <x v="1"/>
      <x v="1"/>
    </i>
    <i r="6">
      <x v="2"/>
      <x v="1"/>
      <x v="1"/>
    </i>
    <i r="6">
      <x v="3"/>
      <x v="1"/>
      <x v="1"/>
    </i>
    <i>
      <x v="219"/>
      <x v="14"/>
      <x v="1"/>
      <x v="22"/>
      <x v="3"/>
      <x v="6"/>
      <x/>
      <x v="1"/>
      <x v="1"/>
    </i>
    <i r="6">
      <x v="1"/>
      <x v="1"/>
      <x v="1"/>
    </i>
    <i r="6">
      <x v="2"/>
      <x v="1"/>
      <x/>
    </i>
    <i r="6">
      <x v="3"/>
      <x v="1"/>
      <x v="2"/>
    </i>
    <i>
      <x v="236"/>
      <x v="16"/>
      <x/>
      <x v="5"/>
      <x v="2"/>
      <x v="8"/>
      <x/>
      <x/>
      <x v="2"/>
    </i>
    <i r="7">
      <x v="1"/>
      <x v="2"/>
    </i>
    <i r="6">
      <x v="1"/>
      <x/>
      <x v="2"/>
    </i>
    <i r="7">
      <x v="1"/>
      <x v="2"/>
    </i>
    <i r="6">
      <x v="2"/>
      <x/>
      <x v="1"/>
    </i>
    <i r="7">
      <x v="1"/>
      <x v="1"/>
    </i>
    <i r="6">
      <x v="3"/>
      <x/>
      <x v="3"/>
    </i>
    <i r="7">
      <x v="1"/>
      <x v="3"/>
    </i>
    <i>
      <x v="237"/>
      <x v="16"/>
      <x/>
      <x v="5"/>
      <x v="3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238"/>
      <x v="16"/>
      <x/>
      <x v="17"/>
      <x v="2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/>
    </i>
    <i r="7">
      <x v="1"/>
      <x/>
    </i>
    <i r="6">
      <x v="3"/>
      <x/>
      <x v="2"/>
    </i>
    <i r="7">
      <x v="1"/>
      <x v="2"/>
    </i>
    <i>
      <x v="239"/>
      <x v="16"/>
      <x/>
      <x v="17"/>
      <x v="3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 v="3"/>
    </i>
    <i r="7">
      <x v="1"/>
      <x v="3"/>
    </i>
    <i r="6">
      <x v="3"/>
      <x/>
      <x/>
    </i>
    <i r="7">
      <x v="1"/>
      <x/>
    </i>
    <i>
      <x v="240"/>
      <x v="16"/>
      <x/>
      <x v="20"/>
      <x v="2"/>
      <x v="8"/>
      <x/>
      <x/>
      <x v="1"/>
    </i>
    <i r="7">
      <x v="1"/>
      <x v="1"/>
    </i>
    <i r="6">
      <x v="1"/>
      <x/>
      <x/>
    </i>
    <i r="7">
      <x v="1"/>
      <x/>
    </i>
    <i r="6">
      <x v="2"/>
      <x/>
      <x v="3"/>
    </i>
    <i r="7">
      <x v="1"/>
      <x v="3"/>
    </i>
    <i r="6">
      <x v="3"/>
      <x/>
      <x v="1"/>
    </i>
    <i r="7">
      <x v="1"/>
      <x v="1"/>
    </i>
    <i>
      <x v="241"/>
      <x v="16"/>
      <x/>
      <x v="20"/>
      <x v="3"/>
      <x v="8"/>
      <x/>
      <x/>
      <x v="2"/>
    </i>
    <i r="7">
      <x v="1"/>
      <x v="2"/>
    </i>
    <i r="6">
      <x v="1"/>
      <x/>
      <x v="2"/>
    </i>
    <i r="7">
      <x v="1"/>
      <x v="2"/>
    </i>
    <i r="6">
      <x v="2"/>
      <x/>
      <x/>
    </i>
    <i r="7">
      <x v="1"/>
      <x/>
    </i>
    <i r="6">
      <x v="3"/>
      <x/>
      <x v="3"/>
    </i>
    <i r="7">
      <x v="1"/>
      <x v="3"/>
    </i>
    <i>
      <x v="242"/>
      <x v="16"/>
      <x/>
      <x v="22"/>
      <x v="2"/>
      <x v="8"/>
      <x/>
      <x/>
      <x v="3"/>
    </i>
    <i r="7">
      <x v="1"/>
      <x v="3"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/>
    </i>
    <i r="7">
      <x v="1"/>
      <x/>
    </i>
    <i>
      <x v="243"/>
      <x v="16"/>
      <x/>
      <x v="22"/>
      <x v="3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244"/>
      <x v="16"/>
      <x v="1"/>
      <x v="5"/>
      <x v="2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 v="3"/>
    </i>
    <i r="7">
      <x v="1"/>
      <x v="3"/>
    </i>
    <i r="6">
      <x v="3"/>
      <x/>
      <x/>
    </i>
    <i r="7">
      <x v="1"/>
      <x/>
    </i>
    <i>
      <x v="245"/>
      <x v="16"/>
      <x v="1"/>
      <x v="5"/>
      <x v="3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/>
    </i>
    <i r="7">
      <x v="1"/>
      <x/>
    </i>
    <i r="6">
      <x v="3"/>
      <x/>
      <x v="2"/>
    </i>
    <i r="7">
      <x v="1"/>
      <x v="2"/>
    </i>
    <i>
      <x v="246"/>
      <x v="16"/>
      <x v="1"/>
      <x v="17"/>
      <x v="2"/>
      <x v="8"/>
      <x/>
      <x/>
      <x v="2"/>
    </i>
    <i r="7">
      <x v="1"/>
      <x v="2"/>
    </i>
    <i r="6">
      <x v="1"/>
      <x/>
      <x/>
    </i>
    <i r="7">
      <x v="1"/>
      <x/>
    </i>
    <i r="6">
      <x v="2"/>
      <x/>
      <x v="1"/>
    </i>
    <i r="7">
      <x v="1"/>
      <x v="1"/>
    </i>
    <i r="6">
      <x v="3"/>
      <x/>
      <x v="3"/>
    </i>
    <i r="7">
      <x v="1"/>
      <x v="3"/>
    </i>
    <i>
      <x v="247"/>
      <x v="16"/>
      <x v="1"/>
      <x v="17"/>
      <x v="3"/>
      <x v="8"/>
      <x/>
      <x/>
      <x v="3"/>
    </i>
    <i r="7">
      <x v="1"/>
      <x v="3"/>
    </i>
    <i r="6">
      <x v="1"/>
      <x/>
      <x v="2"/>
    </i>
    <i r="7">
      <x v="1"/>
      <x v="2"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248"/>
      <x v="16"/>
      <x v="1"/>
      <x v="20"/>
      <x v="2"/>
      <x v="8"/>
      <x/>
      <x/>
      <x v="3"/>
    </i>
    <i r="7">
      <x v="1"/>
      <x v="3"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 v="2"/>
    </i>
    <i r="7">
      <x v="1"/>
      <x v="2"/>
    </i>
    <i>
      <x v="249"/>
      <x v="16"/>
      <x v="1"/>
      <x v="20"/>
      <x v="3"/>
      <x v="8"/>
      <x/>
      <x/>
      <x/>
    </i>
    <i r="7">
      <x v="1"/>
      <x/>
    </i>
    <i r="6">
      <x v="1"/>
      <x/>
      <x v="1"/>
    </i>
    <i r="7">
      <x v="1"/>
      <x v="1"/>
    </i>
    <i r="6">
      <x v="2"/>
      <x/>
      <x v="1"/>
    </i>
    <i r="7">
      <x v="1"/>
      <x v="1"/>
    </i>
    <i r="6">
      <x v="3"/>
      <x/>
      <x/>
    </i>
    <i r="7">
      <x v="1"/>
      <x/>
    </i>
    <i>
      <x v="250"/>
      <x v="16"/>
      <x v="1"/>
      <x v="22"/>
      <x v="2"/>
      <x v="8"/>
      <x/>
      <x/>
      <x v="1"/>
    </i>
    <i r="7">
      <x v="1"/>
      <x v="1"/>
    </i>
    <i r="6">
      <x v="1"/>
      <x/>
      <x v="2"/>
    </i>
    <i r="7">
      <x v="1"/>
      <x v="2"/>
    </i>
    <i r="6">
      <x v="2"/>
      <x/>
      <x/>
    </i>
    <i r="7">
      <x v="1"/>
      <x/>
    </i>
    <i r="6">
      <x v="3"/>
      <x/>
      <x v="1"/>
    </i>
    <i r="7">
      <x v="1"/>
      <x v="1"/>
    </i>
    <i>
      <x v="251"/>
      <x v="16"/>
      <x v="1"/>
      <x v="22"/>
      <x v="3"/>
      <x v="8"/>
      <x/>
      <x/>
      <x v="2"/>
    </i>
    <i r="7">
      <x v="1"/>
      <x v="2"/>
    </i>
    <i r="6">
      <x v="1"/>
      <x/>
      <x/>
    </i>
    <i r="7">
      <x v="1"/>
      <x/>
    </i>
    <i r="6">
      <x v="2"/>
      <x/>
      <x v="3"/>
    </i>
    <i r="7">
      <x v="1"/>
      <x v="3"/>
    </i>
    <i r="6">
      <x v="3"/>
      <x/>
      <x v="3"/>
    </i>
    <i r="7">
      <x v="1"/>
      <x v="3"/>
    </i>
    <i>
      <x v="264"/>
      <x v="18"/>
      <x/>
      <x v="5"/>
      <x v="3"/>
      <x v="8"/>
      <x/>
      <x v="1"/>
      <x v="1"/>
    </i>
    <i r="6">
      <x v="1"/>
      <x v="1"/>
      <x/>
    </i>
    <i r="6">
      <x v="2"/>
      <x v="1"/>
      <x v="1"/>
    </i>
    <i r="6">
      <x v="3"/>
      <x v="1"/>
      <x v="2"/>
    </i>
    <i>
      <x v="265"/>
      <x v="18"/>
      <x/>
      <x v="13"/>
      <x v="3"/>
      <x v="8"/>
      <x/>
      <x v="1"/>
      <x/>
    </i>
    <i r="6">
      <x v="1"/>
      <x v="1"/>
      <x v="2"/>
    </i>
    <i r="6">
      <x v="2"/>
      <x v="1"/>
      <x v="2"/>
    </i>
    <i r="6">
      <x v="3"/>
      <x v="1"/>
      <x v="1"/>
    </i>
    <i>
      <x v="266"/>
      <x v="18"/>
      <x/>
      <x v="14"/>
      <x v="3"/>
      <x v="8"/>
      <x/>
      <x v="1"/>
      <x/>
    </i>
    <i r="6">
      <x v="1"/>
      <x v="1"/>
      <x v="1"/>
    </i>
    <i r="6">
      <x v="2"/>
      <x v="1"/>
      <x/>
    </i>
    <i r="6">
      <x v="3"/>
      <x v="1"/>
      <x v="2"/>
    </i>
    <i>
      <x v="267"/>
      <x v="18"/>
      <x/>
      <x v="17"/>
      <x v="3"/>
      <x v="8"/>
      <x/>
      <x v="1"/>
      <x v="2"/>
    </i>
    <i r="6">
      <x v="1"/>
      <x v="1"/>
      <x v="1"/>
    </i>
    <i r="6">
      <x v="2"/>
      <x v="1"/>
      <x v="1"/>
    </i>
    <i r="6">
      <x v="3"/>
      <x v="1"/>
      <x/>
    </i>
    <i>
      <x v="268"/>
      <x v="18"/>
      <x/>
      <x v="20"/>
      <x v="3"/>
      <x v="8"/>
      <x/>
      <x v="1"/>
      <x v="2"/>
    </i>
    <i r="6">
      <x v="1"/>
      <x v="1"/>
      <x/>
    </i>
    <i r="6">
      <x v="2"/>
      <x v="1"/>
      <x v="2"/>
    </i>
    <i r="6">
      <x v="3"/>
      <x v="1"/>
      <x v="1"/>
    </i>
    <i>
      <x v="269"/>
      <x v="18"/>
      <x/>
      <x v="22"/>
      <x v="3"/>
      <x v="8"/>
      <x/>
      <x v="1"/>
      <x v="1"/>
    </i>
    <i r="6">
      <x v="1"/>
      <x v="1"/>
      <x v="2"/>
    </i>
    <i r="6">
      <x v="2"/>
      <x v="1"/>
      <x/>
    </i>
    <i r="6">
      <x v="3"/>
      <x v="1"/>
      <x/>
    </i>
    <i>
      <x v="270"/>
      <x v="18"/>
      <x v="1"/>
      <x v="5"/>
      <x v="3"/>
      <x v="8"/>
      <x/>
      <x v="1"/>
      <x/>
    </i>
    <i r="6">
      <x v="1"/>
      <x v="1"/>
      <x v="2"/>
    </i>
    <i r="6">
      <x v="2"/>
      <x v="1"/>
      <x v="1"/>
    </i>
    <i r="6">
      <x v="3"/>
      <x v="1"/>
      <x v="2"/>
    </i>
    <i>
      <x v="271"/>
      <x v="18"/>
      <x v="1"/>
      <x v="13"/>
      <x v="3"/>
      <x v="8"/>
      <x/>
      <x v="1"/>
      <x v="1"/>
    </i>
    <i r="6">
      <x v="1"/>
      <x v="1"/>
      <x/>
    </i>
    <i r="6">
      <x v="2"/>
      <x v="1"/>
      <x v="1"/>
    </i>
    <i r="6">
      <x v="3"/>
      <x v="1"/>
      <x v="2"/>
    </i>
    <i>
      <x v="272"/>
      <x v="18"/>
      <x v="1"/>
      <x v="14"/>
      <x v="3"/>
      <x v="8"/>
      <x/>
      <x v="1"/>
      <x v="1"/>
    </i>
    <i r="6">
      <x v="1"/>
      <x v="1"/>
      <x v="1"/>
    </i>
    <i r="6">
      <x v="2"/>
      <x v="1"/>
      <x v="2"/>
    </i>
    <i r="6">
      <x v="3"/>
      <x v="1"/>
      <x/>
    </i>
    <i>
      <x v="273"/>
      <x v="18"/>
      <x v="1"/>
      <x v="17"/>
      <x v="3"/>
      <x v="8"/>
      <x/>
      <x v="1"/>
      <x v="2"/>
    </i>
    <i r="6">
      <x v="1"/>
      <x v="1"/>
      <x v="2"/>
    </i>
    <i r="6">
      <x v="2"/>
      <x v="1"/>
      <x/>
    </i>
    <i r="6">
      <x v="3"/>
      <x v="1"/>
      <x/>
    </i>
    <i>
      <x v="274"/>
      <x v="18"/>
      <x v="1"/>
      <x v="20"/>
      <x v="3"/>
      <x v="8"/>
      <x/>
      <x v="1"/>
      <x/>
    </i>
    <i r="6">
      <x v="1"/>
      <x v="1"/>
      <x v="1"/>
    </i>
    <i r="6">
      <x v="2"/>
      <x v="1"/>
      <x/>
    </i>
    <i r="6">
      <x v="3"/>
      <x v="1"/>
      <x v="1"/>
    </i>
    <i>
      <x v="275"/>
      <x v="18"/>
      <x v="1"/>
      <x v="22"/>
      <x v="3"/>
      <x v="8"/>
      <x/>
      <x v="1"/>
      <x v="2"/>
    </i>
    <i r="6">
      <x v="1"/>
      <x v="1"/>
      <x/>
    </i>
    <i r="6">
      <x v="2"/>
      <x v="1"/>
      <x v="2"/>
    </i>
    <i r="6">
      <x v="3"/>
      <x v="1"/>
      <x v="1"/>
    </i>
    <i>
      <x v="398"/>
      <x v="26"/>
      <x/>
      <x v="22"/>
      <x v="2"/>
      <x v="1"/>
      <x/>
      <x v="1"/>
      <x v="11"/>
    </i>
    <i r="6">
      <x v="1"/>
      <x v="1"/>
      <x v="8"/>
    </i>
    <i r="6">
      <x v="2"/>
      <x v="1"/>
      <x v="3"/>
    </i>
    <i r="6">
      <x v="3"/>
      <x v="1"/>
      <x/>
    </i>
    <i>
      <x v="399"/>
      <x v="26"/>
      <x/>
      <x v="22"/>
      <x v="2"/>
      <x v="7"/>
      <x/>
      <x v="1"/>
      <x v="7"/>
    </i>
    <i r="6">
      <x v="1"/>
      <x v="1"/>
      <x v="4"/>
    </i>
    <i r="6">
      <x v="2"/>
      <x v="1"/>
      <x v="8"/>
    </i>
    <i r="6">
      <x v="3"/>
      <x v="1"/>
      <x v="11"/>
    </i>
    <i>
      <x v="422"/>
      <x v="26"/>
      <x v="1"/>
      <x v="22"/>
      <x v="2"/>
      <x v="1"/>
      <x/>
      <x v="1"/>
      <x v="5"/>
    </i>
    <i r="6">
      <x v="1"/>
      <x v="1"/>
      <x v="6"/>
    </i>
    <i r="6">
      <x v="2"/>
      <x v="1"/>
      <x v="10"/>
    </i>
    <i r="6">
      <x v="3"/>
      <x v="1"/>
      <x v="9"/>
    </i>
    <i>
      <x v="423"/>
      <x v="26"/>
      <x v="1"/>
      <x v="22"/>
      <x v="2"/>
      <x v="7"/>
      <x/>
      <x v="1"/>
      <x v="1"/>
    </i>
    <i r="6">
      <x v="1"/>
      <x v="1"/>
      <x v="2"/>
    </i>
    <i r="6">
      <x v="2"/>
      <x v="1"/>
      <x v="10"/>
    </i>
    <i r="6">
      <x v="3"/>
      <x v="1"/>
      <x v="9"/>
    </i>
    <i>
      <x v="456"/>
      <x v="29"/>
      <x/>
      <x v="5"/>
      <x v="2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457"/>
      <x v="29"/>
      <x/>
      <x v="5"/>
      <x v="3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458"/>
      <x v="29"/>
      <x/>
      <x v="17"/>
      <x v="2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459"/>
      <x v="29"/>
      <x/>
      <x v="17"/>
      <x v="3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460"/>
      <x v="29"/>
      <x/>
      <x v="20"/>
      <x v="2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461"/>
      <x v="29"/>
      <x/>
      <x v="20"/>
      <x v="3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462"/>
      <x v="29"/>
      <x/>
      <x v="22"/>
      <x v="2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463"/>
      <x v="29"/>
      <x/>
      <x v="22"/>
      <x v="3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464"/>
      <x v="29"/>
      <x v="1"/>
      <x v="5"/>
      <x v="2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465"/>
      <x v="29"/>
      <x v="1"/>
      <x v="5"/>
      <x v="3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466"/>
      <x v="29"/>
      <x v="1"/>
      <x v="17"/>
      <x v="2"/>
      <x v="8"/>
      <x/>
      <x/>
      <x v="3"/>
    </i>
    <i r="7">
      <x v="1"/>
      <x v="2"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3"/>
    </i>
    <i r="7">
      <x v="1"/>
      <x v="2"/>
    </i>
    <i>
      <x v="467"/>
      <x v="29"/>
      <x v="1"/>
      <x v="17"/>
      <x v="3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468"/>
      <x v="29"/>
      <x v="1"/>
      <x v="20"/>
      <x v="2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469"/>
      <x v="29"/>
      <x v="1"/>
      <x v="20"/>
      <x v="3"/>
      <x v="8"/>
      <x/>
      <x/>
      <x v="1"/>
    </i>
    <i r="7">
      <x v="1"/>
      <x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1"/>
    </i>
    <i r="7">
      <x v="1"/>
      <x/>
    </i>
    <i>
      <x v="470"/>
      <x v="29"/>
      <x v="1"/>
      <x v="22"/>
      <x v="2"/>
      <x v="8"/>
      <x/>
      <x/>
      <x v="1"/>
    </i>
    <i r="7">
      <x v="1"/>
      <x/>
    </i>
    <i r="6">
      <x v="1"/>
      <x/>
      <x v="3"/>
    </i>
    <i r="7">
      <x v="1"/>
      <x v="2"/>
    </i>
    <i r="6">
      <x v="2"/>
      <x/>
      <x v="1"/>
    </i>
    <i r="7">
      <x v="1"/>
      <x/>
    </i>
    <i r="6">
      <x v="3"/>
      <x/>
      <x v="1"/>
    </i>
    <i r="7">
      <x v="1"/>
      <x/>
    </i>
    <i>
      <x v="471"/>
      <x v="29"/>
      <x v="1"/>
      <x v="22"/>
      <x v="3"/>
      <x v="8"/>
      <x/>
      <x/>
      <x v="3"/>
    </i>
    <i r="7">
      <x v="1"/>
      <x v="2"/>
    </i>
    <i r="6">
      <x v="1"/>
      <x/>
      <x v="1"/>
    </i>
    <i r="7">
      <x v="1"/>
      <x/>
    </i>
    <i r="6">
      <x v="2"/>
      <x/>
      <x v="3"/>
    </i>
    <i r="7">
      <x v="1"/>
      <x v="2"/>
    </i>
    <i r="6">
      <x v="3"/>
      <x/>
      <x v="3"/>
    </i>
    <i r="7">
      <x v="1"/>
      <x v="2"/>
    </i>
    <i>
      <x v="484"/>
      <x v="31"/>
      <x/>
      <x v="5"/>
      <x v="3"/>
      <x v="5"/>
      <x/>
      <x v="1"/>
      <x/>
    </i>
    <i r="6">
      <x v="1"/>
      <x v="1"/>
      <x/>
    </i>
    <i r="6">
      <x v="2"/>
      <x v="1"/>
      <x v="1"/>
    </i>
    <i r="6">
      <x v="3"/>
      <x v="1"/>
      <x/>
    </i>
    <i>
      <x v="485"/>
      <x v="31"/>
      <x/>
      <x v="5"/>
      <x v="3"/>
      <x v="6"/>
      <x/>
      <x v="1"/>
      <x/>
    </i>
    <i r="6">
      <x v="1"/>
      <x v="1"/>
      <x v="1"/>
    </i>
    <i r="6">
      <x v="2"/>
      <x v="1"/>
      <x v="2"/>
    </i>
    <i r="6">
      <x v="3"/>
      <x v="1"/>
      <x v="2"/>
    </i>
    <i>
      <x v="486"/>
      <x v="31"/>
      <x/>
      <x v="17"/>
      <x v="3"/>
      <x v="6"/>
      <x/>
      <x v="1"/>
      <x v="1"/>
    </i>
    <i r="6">
      <x v="1"/>
      <x v="1"/>
      <x v="2"/>
    </i>
    <i r="6">
      <x v="2"/>
      <x v="1"/>
      <x v="2"/>
    </i>
    <i r="6">
      <x v="3"/>
      <x v="1"/>
      <x/>
    </i>
    <i>
      <x v="487"/>
      <x v="31"/>
      <x/>
      <x v="20"/>
      <x v="3"/>
      <x v="5"/>
      <x/>
      <x v="1"/>
      <x v="2"/>
    </i>
    <i r="6">
      <x v="1"/>
      <x v="1"/>
      <x/>
    </i>
    <i r="6">
      <x v="2"/>
      <x v="1"/>
      <x/>
    </i>
    <i r="6">
      <x v="3"/>
      <x v="1"/>
      <x v="2"/>
    </i>
    <i>
      <x v="488"/>
      <x v="31"/>
      <x/>
      <x v="20"/>
      <x v="3"/>
      <x v="6"/>
      <x/>
      <x v="1"/>
      <x v="2"/>
    </i>
    <i r="6">
      <x v="1"/>
      <x v="1"/>
      <x v="2"/>
    </i>
    <i r="6">
      <x v="2"/>
      <x v="1"/>
      <x v="1"/>
    </i>
    <i r="6">
      <x v="3"/>
      <x v="1"/>
      <x v="1"/>
    </i>
    <i>
      <x v="489"/>
      <x v="31"/>
      <x/>
      <x v="22"/>
      <x v="3"/>
      <x v="6"/>
      <x/>
      <x v="1"/>
      <x v="1"/>
    </i>
    <i r="6">
      <x v="1"/>
      <x v="1"/>
      <x v="1"/>
    </i>
    <i r="6">
      <x v="2"/>
      <x v="1"/>
      <x/>
    </i>
    <i r="6">
      <x v="3"/>
      <x v="1"/>
      <x v="1"/>
    </i>
    <i>
      <x v="490"/>
      <x v="31"/>
      <x v="1"/>
      <x v="5"/>
      <x v="3"/>
      <x v="5"/>
      <x/>
      <x v="1"/>
      <x v="1"/>
    </i>
    <i r="6">
      <x v="1"/>
      <x v="1"/>
      <x v="1"/>
    </i>
    <i r="6">
      <x v="2"/>
      <x v="1"/>
      <x v="2"/>
    </i>
    <i r="6">
      <x v="3"/>
      <x v="1"/>
      <x v="2"/>
    </i>
    <i>
      <x v="491"/>
      <x v="31"/>
      <x v="1"/>
      <x v="5"/>
      <x v="3"/>
      <x v="6"/>
      <x/>
      <x v="1"/>
      <x v="1"/>
    </i>
    <i r="6">
      <x v="1"/>
      <x v="1"/>
      <x v="2"/>
    </i>
    <i r="6">
      <x v="2"/>
      <x v="1"/>
      <x v="1"/>
    </i>
    <i r="6">
      <x v="3"/>
      <x v="1"/>
      <x/>
    </i>
    <i>
      <x v="492"/>
      <x v="31"/>
      <x v="1"/>
      <x v="17"/>
      <x v="3"/>
      <x v="6"/>
      <x/>
      <x v="1"/>
      <x v="2"/>
    </i>
    <i r="6">
      <x v="1"/>
      <x v="1"/>
      <x/>
    </i>
    <i r="6">
      <x v="2"/>
      <x v="1"/>
      <x v="1"/>
    </i>
    <i r="6">
      <x v="3"/>
      <x v="1"/>
      <x v="1"/>
    </i>
    <i>
      <x v="493"/>
      <x v="31"/>
      <x v="1"/>
      <x v="20"/>
      <x v="3"/>
      <x v="5"/>
      <x/>
      <x v="1"/>
      <x v="2"/>
    </i>
    <i r="6">
      <x v="1"/>
      <x v="1"/>
      <x v="1"/>
    </i>
    <i r="6">
      <x v="2"/>
      <x v="1"/>
      <x/>
    </i>
    <i r="6">
      <x v="3"/>
      <x v="1"/>
      <x v="1"/>
    </i>
    <i>
      <x v="494"/>
      <x v="31"/>
      <x v="1"/>
      <x v="20"/>
      <x v="3"/>
      <x v="6"/>
      <x/>
      <x v="1"/>
      <x/>
    </i>
    <i r="6">
      <x v="1"/>
      <x v="1"/>
      <x v="2"/>
    </i>
    <i r="6">
      <x v="2"/>
      <x v="1"/>
      <x/>
    </i>
    <i r="6">
      <x v="3"/>
      <x v="1"/>
      <x/>
    </i>
    <i>
      <x v="495"/>
      <x v="31"/>
      <x v="1"/>
      <x v="22"/>
      <x v="3"/>
      <x v="6"/>
      <x/>
      <x v="1"/>
      <x/>
    </i>
    <i r="6">
      <x v="1"/>
      <x v="1"/>
      <x/>
    </i>
    <i r="6">
      <x v="2"/>
      <x v="1"/>
      <x v="2"/>
    </i>
    <i r="6">
      <x v="3"/>
      <x v="1"/>
      <x v="2"/>
    </i>
    <i>
      <x v="512"/>
      <x v="33"/>
      <x/>
      <x v="5"/>
      <x v="2"/>
      <x v="8"/>
      <x/>
      <x/>
      <x/>
    </i>
    <i r="7">
      <x v="1"/>
      <x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513"/>
      <x v="33"/>
      <x/>
      <x v="5"/>
      <x v="3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/>
    </i>
    <i r="7">
      <x v="1"/>
      <x/>
    </i>
    <i r="6">
      <x v="3"/>
      <x/>
      <x v="3"/>
    </i>
    <i r="7">
      <x v="1"/>
      <x v="3"/>
    </i>
    <i>
      <x v="514"/>
      <x v="33"/>
      <x/>
      <x v="17"/>
      <x v="2"/>
      <x v="8"/>
      <x/>
      <x/>
      <x v="1"/>
    </i>
    <i r="7">
      <x v="1"/>
      <x v="1"/>
    </i>
    <i r="6">
      <x v="1"/>
      <x/>
      <x v="2"/>
    </i>
    <i r="7">
      <x v="1"/>
      <x v="2"/>
    </i>
    <i r="6">
      <x v="2"/>
      <x/>
      <x v="3"/>
    </i>
    <i r="7">
      <x v="1"/>
      <x v="3"/>
    </i>
    <i r="6">
      <x v="3"/>
      <x/>
      <x/>
    </i>
    <i r="7">
      <x v="1"/>
      <x/>
    </i>
    <i>
      <x v="515"/>
      <x v="33"/>
      <x/>
      <x v="17"/>
      <x v="3"/>
      <x v="8"/>
      <x/>
      <x/>
      <x v="3"/>
    </i>
    <i r="7">
      <x v="1"/>
      <x v="3"/>
    </i>
    <i r="6">
      <x v="1"/>
      <x/>
      <x v="1"/>
    </i>
    <i r="7">
      <x v="1"/>
      <x v="1"/>
    </i>
    <i r="6">
      <x v="2"/>
      <x/>
      <x/>
    </i>
    <i r="7">
      <x v="1"/>
      <x/>
    </i>
    <i r="6">
      <x v="3"/>
      <x/>
      <x v="3"/>
    </i>
    <i r="7">
      <x v="1"/>
      <x v="3"/>
    </i>
    <i>
      <x v="516"/>
      <x v="33"/>
      <x/>
      <x v="20"/>
      <x v="2"/>
      <x v="8"/>
      <x/>
      <x/>
      <x v="1"/>
    </i>
    <i r="7">
      <x v="1"/>
      <x v="1"/>
    </i>
    <i r="6">
      <x v="1"/>
      <x/>
      <x v="2"/>
    </i>
    <i r="7">
      <x v="1"/>
      <x v="2"/>
    </i>
    <i r="6">
      <x v="2"/>
      <x/>
      <x v="2"/>
    </i>
    <i r="7">
      <x v="1"/>
      <x v="2"/>
    </i>
    <i r="6">
      <x v="3"/>
      <x/>
      <x/>
    </i>
    <i r="7">
      <x v="1"/>
      <x/>
    </i>
    <i>
      <x v="517"/>
      <x v="33"/>
      <x/>
      <x v="20"/>
      <x v="3"/>
      <x v="8"/>
      <x/>
      <x/>
      <x v="2"/>
    </i>
    <i r="7">
      <x v="1"/>
      <x v="2"/>
    </i>
    <i r="6">
      <x v="1"/>
      <x/>
      <x v="1"/>
    </i>
    <i r="7">
      <x v="1"/>
      <x v="1"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518"/>
      <x v="33"/>
      <x/>
      <x v="22"/>
      <x v="2"/>
      <x v="8"/>
      <x/>
      <x/>
      <x/>
    </i>
    <i r="7">
      <x v="1"/>
      <x/>
    </i>
    <i r="6">
      <x v="1"/>
      <x/>
      <x v="3"/>
    </i>
    <i r="7">
      <x v="1"/>
      <x v="3"/>
    </i>
    <i r="6">
      <x v="2"/>
      <x/>
      <x v="3"/>
    </i>
    <i r="7">
      <x v="1"/>
      <x v="3"/>
    </i>
    <i r="6">
      <x v="3"/>
      <x/>
      <x v="1"/>
    </i>
    <i r="7">
      <x v="1"/>
      <x v="1"/>
    </i>
    <i>
      <x v="519"/>
      <x v="33"/>
      <x/>
      <x v="22"/>
      <x v="3"/>
      <x v="8"/>
      <x/>
      <x/>
      <x v="2"/>
    </i>
    <i r="7">
      <x v="1"/>
      <x v="2"/>
    </i>
    <i r="6">
      <x v="1"/>
      <x/>
      <x/>
    </i>
    <i r="7">
      <x v="1"/>
      <x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520"/>
      <x v="33"/>
      <x v="1"/>
      <x v="5"/>
      <x v="2"/>
      <x v="8"/>
      <x/>
      <x/>
      <x v="1"/>
    </i>
    <i r="7">
      <x v="1"/>
      <x v="1"/>
    </i>
    <i r="6">
      <x v="1"/>
      <x/>
      <x v="2"/>
    </i>
    <i r="7">
      <x v="1"/>
      <x v="2"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521"/>
      <x v="33"/>
      <x v="1"/>
      <x v="5"/>
      <x v="3"/>
      <x v="8"/>
      <x/>
      <x/>
      <x v="2"/>
    </i>
    <i r="7">
      <x v="1"/>
      <x v="2"/>
    </i>
    <i r="6">
      <x v="1"/>
      <x/>
      <x v="1"/>
    </i>
    <i r="7">
      <x v="1"/>
      <x v="1"/>
    </i>
    <i r="6">
      <x v="2"/>
      <x/>
      <x/>
    </i>
    <i r="7">
      <x v="1"/>
      <x/>
    </i>
    <i r="6">
      <x v="3"/>
      <x/>
      <x v="3"/>
    </i>
    <i r="7">
      <x v="1"/>
      <x v="3"/>
    </i>
    <i>
      <x v="522"/>
      <x v="33"/>
      <x v="1"/>
      <x v="17"/>
      <x v="2"/>
      <x v="8"/>
      <x/>
      <x/>
      <x/>
    </i>
    <i r="7">
      <x v="1"/>
      <x/>
    </i>
    <i r="6">
      <x v="1"/>
      <x/>
      <x v="2"/>
    </i>
    <i r="7">
      <x v="1"/>
      <x v="2"/>
    </i>
    <i r="6">
      <x v="2"/>
      <x/>
      <x v="3"/>
    </i>
    <i r="7">
      <x v="1"/>
      <x v="3"/>
    </i>
    <i r="6">
      <x v="3"/>
      <x/>
      <x/>
    </i>
    <i r="7">
      <x v="1"/>
      <x/>
    </i>
    <i>
      <x v="523"/>
      <x v="33"/>
      <x v="1"/>
      <x v="17"/>
      <x v="3"/>
      <x v="8"/>
      <x/>
      <x/>
      <x v="2"/>
    </i>
    <i r="7">
      <x v="1"/>
      <x v="2"/>
    </i>
    <i r="6">
      <x v="1"/>
      <x/>
      <x v="1"/>
    </i>
    <i r="7">
      <x v="1"/>
      <x v="1"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524"/>
      <x v="33"/>
      <x v="1"/>
      <x v="20"/>
      <x v="2"/>
      <x v="8"/>
      <x/>
      <x/>
      <x v="1"/>
    </i>
    <i r="7">
      <x v="1"/>
      <x v="1"/>
    </i>
    <i r="6">
      <x v="1"/>
      <x/>
      <x v="3"/>
    </i>
    <i r="7">
      <x v="1"/>
      <x v="3"/>
    </i>
    <i r="6">
      <x v="2"/>
      <x/>
      <x v="3"/>
    </i>
    <i r="7">
      <x v="1"/>
      <x v="3"/>
    </i>
    <i r="6">
      <x v="3"/>
      <x/>
      <x/>
    </i>
    <i r="7">
      <x v="1"/>
      <x/>
    </i>
    <i>
      <x v="525"/>
      <x v="33"/>
      <x v="1"/>
      <x v="20"/>
      <x v="3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/>
    </i>
    <i r="7">
      <x v="1"/>
      <x/>
    </i>
    <i r="6">
      <x v="3"/>
      <x/>
      <x v="3"/>
    </i>
    <i r="7">
      <x v="1"/>
      <x v="3"/>
    </i>
    <i>
      <x v="526"/>
      <x v="33"/>
      <x v="1"/>
      <x v="22"/>
      <x v="2"/>
      <x v="8"/>
      <x/>
      <x/>
      <x/>
    </i>
    <i r="7">
      <x v="1"/>
      <x/>
    </i>
    <i r="6">
      <x v="1"/>
      <x/>
      <x v="3"/>
    </i>
    <i r="7">
      <x v="1"/>
      <x v="3"/>
    </i>
    <i r="6">
      <x v="2"/>
      <x/>
      <x v="2"/>
    </i>
    <i r="7">
      <x v="1"/>
      <x v="2"/>
    </i>
    <i r="6">
      <x v="3"/>
      <x/>
      <x v="1"/>
    </i>
    <i r="7">
      <x v="1"/>
      <x v="1"/>
    </i>
    <i>
      <x v="527"/>
      <x v="33"/>
      <x v="1"/>
      <x v="22"/>
      <x v="3"/>
      <x v="8"/>
      <x/>
      <x/>
      <x v="3"/>
    </i>
    <i r="7">
      <x v="1"/>
      <x v="3"/>
    </i>
    <i r="6">
      <x v="1"/>
      <x/>
      <x/>
    </i>
    <i r="7">
      <x v="1"/>
      <x/>
    </i>
    <i r="6">
      <x v="2"/>
      <x/>
      <x v="1"/>
    </i>
    <i r="7">
      <x v="1"/>
      <x v="1"/>
    </i>
    <i r="6">
      <x v="3"/>
      <x/>
      <x v="2"/>
    </i>
    <i r="7">
      <x v="1"/>
      <x v="2"/>
    </i>
    <i>
      <x v="536"/>
      <x v="35"/>
      <x/>
      <x v="5"/>
      <x v="3"/>
      <x v="8"/>
      <x/>
      <x v="1"/>
      <x v="1"/>
    </i>
    <i r="6">
      <x v="1"/>
      <x v="1"/>
      <x v="3"/>
    </i>
    <i r="6">
      <x v="2"/>
      <x v="1"/>
      <x v="2"/>
    </i>
    <i r="6">
      <x v="3"/>
      <x v="1"/>
      <x/>
    </i>
    <i>
      <x v="537"/>
      <x v="35"/>
      <x/>
      <x v="17"/>
      <x v="3"/>
      <x v="8"/>
      <x/>
      <x v="1"/>
      <x/>
    </i>
    <i r="6">
      <x v="1"/>
      <x v="1"/>
      <x v="2"/>
    </i>
    <i r="6">
      <x v="2"/>
      <x v="1"/>
      <x v="1"/>
    </i>
    <i r="6">
      <x v="3"/>
      <x v="1"/>
      <x v="3"/>
    </i>
    <i>
      <x v="538"/>
      <x v="35"/>
      <x/>
      <x v="20"/>
      <x v="3"/>
      <x v="8"/>
      <x/>
      <x v="1"/>
      <x v="3"/>
    </i>
    <i r="6">
      <x v="1"/>
      <x v="1"/>
      <x v="1"/>
    </i>
    <i r="6">
      <x v="2"/>
      <x v="1"/>
      <x/>
    </i>
    <i r="6">
      <x v="3"/>
      <x v="1"/>
      <x v="2"/>
    </i>
    <i>
      <x v="539"/>
      <x v="35"/>
      <x/>
      <x v="22"/>
      <x v="3"/>
      <x v="8"/>
      <x/>
      <x v="1"/>
      <x v="2"/>
    </i>
    <i r="6">
      <x v="1"/>
      <x v="1"/>
      <x/>
    </i>
    <i r="6">
      <x v="2"/>
      <x v="1"/>
      <x v="3"/>
    </i>
    <i r="6">
      <x v="3"/>
      <x v="1"/>
      <x v="1"/>
    </i>
    <i>
      <x v="540"/>
      <x v="35"/>
      <x v="1"/>
      <x v="5"/>
      <x v="3"/>
      <x v="8"/>
      <x/>
      <x v="1"/>
      <x v="3"/>
    </i>
    <i r="6">
      <x v="1"/>
      <x v="1"/>
      <x/>
    </i>
    <i r="6">
      <x v="2"/>
      <x v="1"/>
      <x v="1"/>
    </i>
    <i r="6">
      <x v="3"/>
      <x v="1"/>
      <x v="2"/>
    </i>
    <i>
      <x v="541"/>
      <x v="35"/>
      <x v="1"/>
      <x v="17"/>
      <x v="3"/>
      <x v="8"/>
      <x/>
      <x v="1"/>
      <x v="2"/>
    </i>
    <i r="6">
      <x v="1"/>
      <x v="1"/>
      <x v="3"/>
    </i>
    <i r="6">
      <x v="2"/>
      <x v="1"/>
      <x/>
    </i>
    <i r="6">
      <x v="3"/>
      <x v="1"/>
      <x v="1"/>
    </i>
    <i>
      <x v="542"/>
      <x v="35"/>
      <x v="1"/>
      <x v="20"/>
      <x v="3"/>
      <x v="8"/>
      <x/>
      <x v="1"/>
      <x v="1"/>
    </i>
    <i r="6">
      <x v="1"/>
      <x v="1"/>
      <x v="2"/>
    </i>
    <i r="6">
      <x v="2"/>
      <x v="1"/>
      <x v="3"/>
    </i>
    <i r="6">
      <x v="3"/>
      <x v="1"/>
      <x/>
    </i>
    <i>
      <x v="543"/>
      <x v="35"/>
      <x v="1"/>
      <x v="22"/>
      <x v="3"/>
      <x v="8"/>
      <x/>
      <x v="1"/>
      <x/>
    </i>
    <i r="6">
      <x v="1"/>
      <x v="1"/>
      <x v="1"/>
    </i>
    <i r="6">
      <x v="2"/>
      <x v="1"/>
      <x v="2"/>
    </i>
    <i r="6">
      <x v="3"/>
      <x v="1"/>
      <x v="3"/>
    </i>
    <i>
      <x v="572"/>
      <x v="37"/>
      <x/>
      <x v="20"/>
      <x v="3"/>
      <x/>
      <x/>
      <x v="1"/>
      <x v="13"/>
    </i>
    <i r="8">
      <x v="15"/>
    </i>
    <i r="6">
      <x v="1"/>
      <x v="1"/>
      <x v="14"/>
    </i>
    <i r="8">
      <x v="15"/>
    </i>
    <i>
      <x v="573"/>
      <x v="37"/>
      <x/>
      <x v="20"/>
      <x v="3"/>
      <x v="2"/>
      <x/>
      <x v="1"/>
      <x v="12"/>
    </i>
    <i r="8">
      <x v="14"/>
    </i>
    <i r="6">
      <x v="1"/>
      <x v="1"/>
      <x v="1"/>
    </i>
    <i r="8">
      <x v="3"/>
    </i>
    <i>
      <x v="574"/>
      <x v="37"/>
      <x/>
      <x v="20"/>
      <x v="3"/>
      <x v="3"/>
      <x/>
      <x v="1"/>
      <x v="6"/>
    </i>
    <i r="8">
      <x v="7"/>
    </i>
    <i r="6">
      <x v="1"/>
      <x v="1"/>
      <x v="4"/>
    </i>
    <i r="8">
      <x v="5"/>
    </i>
    <i>
      <x v="575"/>
      <x v="37"/>
      <x/>
      <x v="20"/>
      <x v="3"/>
      <x v="4"/>
      <x/>
      <x v="1"/>
      <x v="4"/>
    </i>
    <i r="8">
      <x v="6"/>
    </i>
    <i r="6">
      <x v="1"/>
      <x v="1"/>
      <x v="8"/>
    </i>
    <i r="8">
      <x v="9"/>
    </i>
    <i>
      <x v="576"/>
      <x v="37"/>
      <x/>
      <x v="22"/>
      <x v="3"/>
      <x/>
      <x/>
      <x v="1"/>
      <x v="12"/>
    </i>
    <i r="8">
      <x v="14"/>
    </i>
    <i r="6">
      <x v="1"/>
      <x v="1"/>
      <x v="12"/>
    </i>
    <i r="8">
      <x v="13"/>
    </i>
    <i>
      <x v="577"/>
      <x v="37"/>
      <x/>
      <x v="22"/>
      <x v="3"/>
      <x v="2"/>
      <x/>
      <x v="1"/>
      <x v="13"/>
    </i>
    <i r="8">
      <x v="15"/>
    </i>
    <i r="6">
      <x v="1"/>
      <x v="1"/>
      <x/>
    </i>
    <i r="8">
      <x v="2"/>
    </i>
    <i>
      <x v="578"/>
      <x v="37"/>
      <x/>
      <x v="22"/>
      <x v="3"/>
      <x v="3"/>
      <x/>
      <x v="1"/>
      <x v="4"/>
    </i>
    <i r="8">
      <x v="5"/>
    </i>
    <i r="6">
      <x v="1"/>
      <x v="1"/>
      <x v="6"/>
    </i>
    <i r="8">
      <x v="7"/>
    </i>
    <i>
      <x v="579"/>
      <x v="37"/>
      <x/>
      <x v="22"/>
      <x v="3"/>
      <x v="4"/>
      <x/>
      <x v="1"/>
      <x v="5"/>
    </i>
    <i r="8">
      <x v="7"/>
    </i>
    <i r="6">
      <x v="1"/>
      <x v="1"/>
      <x v="10"/>
    </i>
    <i r="8">
      <x v="11"/>
    </i>
    <i>
      <x v="620"/>
      <x v="40"/>
      <x/>
      <x v="5"/>
      <x v="3"/>
      <x v="5"/>
      <x/>
      <x v="1"/>
      <x/>
    </i>
    <i r="6">
      <x v="1"/>
      <x v="1"/>
      <x v="1"/>
    </i>
    <i r="6">
      <x v="2"/>
      <x v="1"/>
      <x v="2"/>
    </i>
    <i r="6">
      <x v="3"/>
      <x v="1"/>
      <x v="1"/>
    </i>
    <i>
      <x v="621"/>
      <x v="40"/>
      <x/>
      <x v="5"/>
      <x v="3"/>
      <x v="6"/>
      <x/>
      <x v="1"/>
      <x/>
    </i>
    <i r="6">
      <x v="1"/>
      <x v="1"/>
      <x v="1"/>
    </i>
    <i r="6">
      <x v="2"/>
      <x v="1"/>
      <x/>
    </i>
    <i r="6">
      <x v="3"/>
      <x v="1"/>
      <x v="2"/>
    </i>
    <i>
      <x v="622"/>
      <x v="40"/>
      <x/>
      <x v="17"/>
      <x v="3"/>
      <x v="6"/>
      <x/>
      <x v="1"/>
      <x v="1"/>
    </i>
    <i r="6">
      <x v="1"/>
      <x v="1"/>
      <x/>
    </i>
    <i r="6">
      <x v="2"/>
      <x v="1"/>
      <x v="2"/>
    </i>
    <i r="6">
      <x v="3"/>
      <x v="1"/>
      <x/>
    </i>
    <i>
      <x v="623"/>
      <x v="40"/>
      <x/>
      <x v="20"/>
      <x v="3"/>
      <x v="5"/>
      <x/>
      <x v="1"/>
      <x v="2"/>
    </i>
    <i r="6">
      <x v="1"/>
      <x v="1"/>
      <x/>
    </i>
    <i r="6">
      <x v="2"/>
      <x v="1"/>
      <x v="1"/>
    </i>
    <i r="6">
      <x v="3"/>
      <x v="1"/>
      <x v="1"/>
    </i>
    <i>
      <x v="624"/>
      <x v="40"/>
      <x/>
      <x v="20"/>
      <x v="3"/>
      <x v="6"/>
      <x/>
      <x v="1"/>
      <x v="2"/>
    </i>
    <i r="6">
      <x v="1"/>
      <x v="1"/>
      <x v="2"/>
    </i>
    <i r="6">
      <x v="2"/>
      <x v="1"/>
      <x v="1"/>
    </i>
    <i r="6">
      <x v="3"/>
      <x v="1"/>
      <x/>
    </i>
    <i>
      <x v="625"/>
      <x v="40"/>
      <x/>
      <x v="22"/>
      <x v="3"/>
      <x v="6"/>
      <x/>
      <x v="1"/>
      <x v="1"/>
    </i>
    <i r="6">
      <x v="1"/>
      <x v="1"/>
      <x v="2"/>
    </i>
    <i r="6">
      <x v="2"/>
      <x v="1"/>
      <x/>
    </i>
    <i r="6">
      <x v="3"/>
      <x v="1"/>
      <x v="2"/>
    </i>
    <i>
      <x v="626"/>
      <x v="40"/>
      <x v="1"/>
      <x v="5"/>
      <x v="3"/>
      <x v="5"/>
      <x/>
      <x v="1"/>
      <x v="2"/>
    </i>
    <i r="6">
      <x v="1"/>
      <x v="1"/>
      <x v="2"/>
    </i>
    <i r="6">
      <x v="2"/>
      <x v="1"/>
      <x/>
    </i>
    <i r="6">
      <x v="3"/>
      <x v="1"/>
      <x/>
    </i>
    <i>
      <x v="627"/>
      <x v="40"/>
      <x v="1"/>
      <x v="5"/>
      <x v="3"/>
      <x v="6"/>
      <x/>
      <x v="1"/>
      <x v="1"/>
    </i>
    <i r="6">
      <x v="1"/>
      <x v="1"/>
      <x/>
    </i>
    <i r="6">
      <x v="2"/>
      <x v="1"/>
      <x v="2"/>
    </i>
    <i r="6">
      <x v="3"/>
      <x v="1"/>
      <x v="2"/>
    </i>
    <i>
      <x v="628"/>
      <x v="40"/>
      <x v="1"/>
      <x v="17"/>
      <x v="3"/>
      <x v="6"/>
      <x/>
      <x v="1"/>
      <x/>
    </i>
    <i r="6">
      <x v="1"/>
      <x v="1"/>
      <x v="2"/>
    </i>
    <i r="6">
      <x v="2"/>
      <x v="1"/>
      <x v="1"/>
    </i>
    <i r="6">
      <x v="3"/>
      <x v="1"/>
      <x v="1"/>
    </i>
    <i>
      <x v="629"/>
      <x v="40"/>
      <x v="1"/>
      <x v="20"/>
      <x v="3"/>
      <x v="5"/>
      <x/>
      <x v="1"/>
      <x/>
    </i>
    <i r="6">
      <x v="1"/>
      <x v="1"/>
      <x v="1"/>
    </i>
    <i r="6">
      <x v="2"/>
      <x v="1"/>
      <x v="2"/>
    </i>
    <i r="6">
      <x v="3"/>
      <x v="1"/>
      <x v="2"/>
    </i>
    <i>
      <x v="630"/>
      <x v="40"/>
      <x v="1"/>
      <x v="20"/>
      <x v="3"/>
      <x v="6"/>
      <x/>
      <x v="1"/>
      <x v="1"/>
    </i>
    <i r="6">
      <x v="1"/>
      <x v="1"/>
      <x/>
    </i>
    <i r="6">
      <x v="2"/>
      <x v="1"/>
      <x v="1"/>
    </i>
    <i r="6">
      <x v="3"/>
      <x v="1"/>
      <x/>
    </i>
    <i>
      <x v="631"/>
      <x v="40"/>
      <x v="1"/>
      <x v="22"/>
      <x v="3"/>
      <x v="6"/>
      <x/>
      <x v="1"/>
      <x v="2"/>
    </i>
    <i r="6">
      <x v="1"/>
      <x v="1"/>
      <x v="1"/>
    </i>
    <i r="6">
      <x v="2"/>
      <x v="1"/>
      <x/>
    </i>
    <i r="6">
      <x v="3"/>
      <x v="1"/>
      <x v="1"/>
    </i>
    <i>
      <x v="672"/>
      <x v="44"/>
      <x/>
      <x v="5"/>
      <x v="3"/>
      <x v="8"/>
      <x/>
      <x v="1"/>
      <x v="3"/>
    </i>
    <i r="6">
      <x v="1"/>
      <x v="1"/>
      <x v="2"/>
    </i>
    <i r="6">
      <x v="2"/>
      <x v="1"/>
      <x v="2"/>
    </i>
    <i r="6">
      <x v="3"/>
      <x v="1"/>
      <x/>
    </i>
    <i>
      <x v="673"/>
      <x v="44"/>
      <x/>
      <x v="17"/>
      <x v="3"/>
      <x v="8"/>
      <x/>
      <x v="1"/>
      <x v="1"/>
    </i>
    <i r="6">
      <x v="1"/>
      <x v="1"/>
      <x v="3"/>
    </i>
    <i r="6">
      <x v="2"/>
      <x v="1"/>
      <x/>
    </i>
    <i r="6">
      <x v="3"/>
      <x v="1"/>
      <x v="2"/>
    </i>
    <i>
      <x v="674"/>
      <x v="44"/>
      <x/>
      <x v="20"/>
      <x v="3"/>
      <x v="8"/>
      <x/>
      <x v="1"/>
      <x/>
    </i>
    <i r="6">
      <x v="1"/>
      <x v="1"/>
      <x/>
    </i>
    <i r="6">
      <x v="2"/>
      <x v="1"/>
      <x v="1"/>
    </i>
    <i r="6">
      <x v="3"/>
      <x v="1"/>
      <x v="1"/>
    </i>
    <i>
      <x v="675"/>
      <x v="44"/>
      <x/>
      <x v="22"/>
      <x v="3"/>
      <x v="8"/>
      <x/>
      <x v="1"/>
      <x v="2"/>
    </i>
    <i r="6">
      <x v="1"/>
      <x v="1"/>
      <x v="1"/>
    </i>
    <i r="6">
      <x v="2"/>
      <x v="1"/>
      <x v="3"/>
    </i>
    <i r="6">
      <x v="3"/>
      <x v="1"/>
      <x v="3"/>
    </i>
    <i>
      <x v="676"/>
      <x v="44"/>
      <x v="1"/>
      <x v="5"/>
      <x v="3"/>
      <x v="8"/>
      <x/>
      <x v="1"/>
      <x/>
    </i>
    <i r="6">
      <x v="1"/>
      <x v="1"/>
      <x v="1"/>
    </i>
    <i r="6">
      <x v="2"/>
      <x v="1"/>
      <x v="3"/>
    </i>
    <i r="6">
      <x v="3"/>
      <x v="1"/>
      <x v="1"/>
    </i>
    <i>
      <x v="677"/>
      <x v="44"/>
      <x v="1"/>
      <x v="17"/>
      <x v="3"/>
      <x v="8"/>
      <x/>
      <x v="1"/>
      <x v="3"/>
    </i>
    <i r="6">
      <x v="1"/>
      <x v="1"/>
      <x v="2"/>
    </i>
    <i r="6">
      <x v="2"/>
      <x v="1"/>
      <x v="1"/>
    </i>
    <i r="6">
      <x v="3"/>
      <x v="1"/>
      <x/>
    </i>
    <i>
      <x v="678"/>
      <x v="44"/>
      <x v="1"/>
      <x v="20"/>
      <x v="3"/>
      <x v="8"/>
      <x/>
      <x v="1"/>
      <x v="2"/>
    </i>
    <i r="6">
      <x v="1"/>
      <x v="1"/>
      <x v="3"/>
    </i>
    <i r="6">
      <x v="2"/>
      <x v="1"/>
      <x v="2"/>
    </i>
    <i r="6">
      <x v="3"/>
      <x v="1"/>
      <x v="3"/>
    </i>
    <i>
      <x v="679"/>
      <x v="44"/>
      <x v="1"/>
      <x v="22"/>
      <x v="3"/>
      <x v="8"/>
      <x/>
      <x v="1"/>
      <x v="1"/>
    </i>
    <i r="6">
      <x v="1"/>
      <x v="1"/>
      <x/>
    </i>
    <i r="6">
      <x v="2"/>
      <x v="1"/>
      <x/>
    </i>
    <i r="6">
      <x v="3"/>
      <x v="1"/>
      <x v="2"/>
    </i>
    <i t="grand">
      <x/>
    </i>
  </rowItems>
  <colItems count="1">
    <i/>
  </colItems>
  <pageFields count="1">
    <pageField fld="36" item="5" hier="-1"/>
  </pageFields>
  <dataFields count="1">
    <dataField name="Average of PlotNo" fld="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67B9-C59E-43A5-BAD6-BD52D81830C9}">
  <dimension ref="A1:P1117"/>
  <sheetViews>
    <sheetView tabSelected="1" topLeftCell="B1076" workbookViewId="0">
      <selection activeCell="O4" sqref="O4:P1116"/>
    </sheetView>
  </sheetViews>
  <sheetFormatPr defaultRowHeight="13.5" x14ac:dyDescent="0.25"/>
  <cols>
    <col min="1" max="1" width="80.140625" bestFit="1" customWidth="1"/>
    <col min="2" max="2" width="38" customWidth="1"/>
    <col min="6" max="6" width="8.42578125" bestFit="1" customWidth="1"/>
    <col min="7" max="7" width="10.140625" bestFit="1" customWidth="1"/>
    <col min="8" max="10" width="11" bestFit="1" customWidth="1"/>
    <col min="13" max="13" width="34.28515625" bestFit="1" customWidth="1"/>
    <col min="15" max="15" width="36.42578125" customWidth="1"/>
  </cols>
  <sheetData>
    <row r="1" spans="1:16" x14ac:dyDescent="0.25">
      <c r="A1" s="5" t="s">
        <v>35</v>
      </c>
      <c r="B1" t="s">
        <v>38</v>
      </c>
    </row>
    <row r="3" spans="1:16" x14ac:dyDescent="0.25">
      <c r="A3" s="5" t="s">
        <v>4400</v>
      </c>
    </row>
    <row r="4" spans="1:16" x14ac:dyDescent="0.25">
      <c r="A4" s="5" t="s">
        <v>4174</v>
      </c>
      <c r="B4" s="5" t="s">
        <v>1</v>
      </c>
      <c r="C4" s="5" t="s">
        <v>31</v>
      </c>
      <c r="D4" s="5" t="s">
        <v>4</v>
      </c>
      <c r="E4" s="5" t="s">
        <v>25</v>
      </c>
      <c r="F4" s="5" t="s">
        <v>27</v>
      </c>
      <c r="G4" s="5" t="s">
        <v>9</v>
      </c>
      <c r="H4" s="5" t="s">
        <v>6</v>
      </c>
      <c r="I4" s="5" t="s">
        <v>21</v>
      </c>
      <c r="J4" t="s">
        <v>4399</v>
      </c>
      <c r="M4" t="s">
        <v>4403</v>
      </c>
      <c r="N4" t="s">
        <v>4401</v>
      </c>
      <c r="O4" t="s">
        <v>4402</v>
      </c>
      <c r="P4" t="s">
        <v>4174</v>
      </c>
    </row>
    <row r="5" spans="1:16" x14ac:dyDescent="0.25">
      <c r="A5" t="s">
        <v>4199</v>
      </c>
      <c r="B5" t="s">
        <v>36</v>
      </c>
      <c r="C5">
        <v>1</v>
      </c>
      <c r="D5" t="s">
        <v>4175</v>
      </c>
      <c r="E5" t="s">
        <v>57</v>
      </c>
      <c r="F5" t="s">
        <v>4398</v>
      </c>
      <c r="G5">
        <v>1</v>
      </c>
      <c r="H5" t="s">
        <v>4398</v>
      </c>
      <c r="I5">
        <v>3</v>
      </c>
      <c r="J5" s="6">
        <v>15</v>
      </c>
      <c r="M5" t="str">
        <f>IF(B5="",M4,B5)</f>
        <v>2019_NSW_Greenethorpe_Mixed_Detailed</v>
      </c>
      <c r="N5">
        <f>I5</f>
        <v>3</v>
      </c>
      <c r="O5" t="str">
        <f>M5&amp;"_"&amp;J5</f>
        <v>2019_NSW_Greenethorpe_Mixed_Detailed_15</v>
      </c>
      <c r="P5" t="str">
        <f>IF(A5="",P4,A5)</f>
        <v>2019_NSW_Greenethorpe_Mixed_DetailedTOS1VarietyAceWaterTrtIrrigated</v>
      </c>
    </row>
    <row r="6" spans="1:16" x14ac:dyDescent="0.25">
      <c r="G6">
        <v>2</v>
      </c>
      <c r="H6" t="s">
        <v>4398</v>
      </c>
      <c r="I6">
        <v>4</v>
      </c>
      <c r="J6" s="6">
        <v>40</v>
      </c>
      <c r="M6" t="str">
        <f t="shared" ref="M6:M69" si="0">IF(B6="",M5,B6)</f>
        <v>2019_NSW_Greenethorpe_Mixed_Detailed</v>
      </c>
      <c r="N6">
        <f>I6</f>
        <v>4</v>
      </c>
      <c r="O6" t="str">
        <f t="shared" ref="O6:O69" si="1">M6&amp;"_"&amp;J6</f>
        <v>2019_NSW_Greenethorpe_Mixed_Detailed_40</v>
      </c>
      <c r="P6" t="str">
        <f t="shared" ref="P6:P69" si="2">IF(A6="",P5,A6)</f>
        <v>2019_NSW_Greenethorpe_Mixed_DetailedTOS1VarietyAceWaterTrtIrrigated</v>
      </c>
    </row>
    <row r="7" spans="1:16" x14ac:dyDescent="0.25">
      <c r="G7">
        <v>3</v>
      </c>
      <c r="H7" t="s">
        <v>4398</v>
      </c>
      <c r="I7">
        <v>8</v>
      </c>
      <c r="J7" s="6">
        <v>56</v>
      </c>
      <c r="M7" t="str">
        <f t="shared" si="0"/>
        <v>2019_NSW_Greenethorpe_Mixed_Detailed</v>
      </c>
      <c r="N7">
        <f>I7</f>
        <v>8</v>
      </c>
      <c r="O7" t="str">
        <f t="shared" si="1"/>
        <v>2019_NSW_Greenethorpe_Mixed_Detailed_56</v>
      </c>
      <c r="P7" t="str">
        <f t="shared" si="2"/>
        <v>2019_NSW_Greenethorpe_Mixed_DetailedTOS1VarietyAceWaterTrtIrrigated</v>
      </c>
    </row>
    <row r="8" spans="1:16" x14ac:dyDescent="0.25">
      <c r="A8" t="s">
        <v>4200</v>
      </c>
      <c r="B8" t="s">
        <v>36</v>
      </c>
      <c r="C8">
        <v>1</v>
      </c>
      <c r="D8" t="s">
        <v>4175</v>
      </c>
      <c r="E8" t="s">
        <v>40</v>
      </c>
      <c r="F8" t="s">
        <v>4398</v>
      </c>
      <c r="G8">
        <v>1</v>
      </c>
      <c r="H8" t="s">
        <v>4398</v>
      </c>
      <c r="I8">
        <v>8</v>
      </c>
      <c r="J8" s="6">
        <v>8</v>
      </c>
      <c r="M8" t="str">
        <f t="shared" si="0"/>
        <v>2019_NSW_Greenethorpe_Mixed_Detailed</v>
      </c>
      <c r="N8">
        <f>I8</f>
        <v>8</v>
      </c>
      <c r="O8" t="str">
        <f t="shared" si="1"/>
        <v>2019_NSW_Greenethorpe_Mixed_Detailed_8</v>
      </c>
      <c r="P8" t="str">
        <f t="shared" si="2"/>
        <v>2019_NSW_Greenethorpe_Mixed_DetailedTOS1VarietyAceWaterTrtRainFed</v>
      </c>
    </row>
    <row r="9" spans="1:16" x14ac:dyDescent="0.25">
      <c r="G9">
        <v>2</v>
      </c>
      <c r="H9" t="s">
        <v>4398</v>
      </c>
      <c r="I9">
        <v>9</v>
      </c>
      <c r="J9" s="6">
        <v>33</v>
      </c>
      <c r="M9" t="str">
        <f t="shared" si="0"/>
        <v>2019_NSW_Greenethorpe_Mixed_Detailed</v>
      </c>
      <c r="N9">
        <f>I9</f>
        <v>9</v>
      </c>
      <c r="O9" t="str">
        <f t="shared" si="1"/>
        <v>2019_NSW_Greenethorpe_Mixed_Detailed_33</v>
      </c>
      <c r="P9" t="str">
        <f t="shared" si="2"/>
        <v>2019_NSW_Greenethorpe_Mixed_DetailedTOS1VarietyAceWaterTrtRainFed</v>
      </c>
    </row>
    <row r="10" spans="1:16" x14ac:dyDescent="0.25">
      <c r="G10">
        <v>3</v>
      </c>
      <c r="H10" t="s">
        <v>4398</v>
      </c>
      <c r="I10">
        <v>10</v>
      </c>
      <c r="J10" s="6">
        <v>70</v>
      </c>
      <c r="M10" t="str">
        <f t="shared" si="0"/>
        <v>2019_NSW_Greenethorpe_Mixed_Detailed</v>
      </c>
      <c r="N10">
        <f>I10</f>
        <v>10</v>
      </c>
      <c r="O10" t="str">
        <f t="shared" si="1"/>
        <v>2019_NSW_Greenethorpe_Mixed_Detailed_70</v>
      </c>
      <c r="P10" t="str">
        <f t="shared" si="2"/>
        <v>2019_NSW_Greenethorpe_Mixed_DetailedTOS1VarietyAceWaterTrtRainFed</v>
      </c>
    </row>
    <row r="11" spans="1:16" x14ac:dyDescent="0.25">
      <c r="A11" t="s">
        <v>4201</v>
      </c>
      <c r="B11" t="s">
        <v>36</v>
      </c>
      <c r="C11">
        <v>1</v>
      </c>
      <c r="D11" t="s">
        <v>4177</v>
      </c>
      <c r="E11" t="s">
        <v>57</v>
      </c>
      <c r="F11" t="s">
        <v>4398</v>
      </c>
      <c r="G11">
        <v>1</v>
      </c>
      <c r="H11" t="s">
        <v>4398</v>
      </c>
      <c r="I11">
        <v>1</v>
      </c>
      <c r="J11" s="6">
        <v>13</v>
      </c>
      <c r="M11" t="str">
        <f t="shared" si="0"/>
        <v>2019_NSW_Greenethorpe_Mixed_Detailed</v>
      </c>
      <c r="N11">
        <f>I11</f>
        <v>1</v>
      </c>
      <c r="O11" t="str">
        <f t="shared" si="1"/>
        <v>2019_NSW_Greenethorpe_Mixed_Detailed_13</v>
      </c>
      <c r="P11" t="str">
        <f t="shared" si="2"/>
        <v>2019_NSW_Greenethorpe_Mixed_DetailedTOS1VarietyBlitzWaterTrtIrrigated</v>
      </c>
    </row>
    <row r="12" spans="1:16" x14ac:dyDescent="0.25">
      <c r="G12">
        <v>2</v>
      </c>
      <c r="H12" t="s">
        <v>4398</v>
      </c>
      <c r="I12">
        <v>2</v>
      </c>
      <c r="J12" s="6">
        <v>38</v>
      </c>
      <c r="M12" t="str">
        <f t="shared" si="0"/>
        <v>2019_NSW_Greenethorpe_Mixed_Detailed</v>
      </c>
      <c r="N12">
        <f>I12</f>
        <v>2</v>
      </c>
      <c r="O12" t="str">
        <f t="shared" si="1"/>
        <v>2019_NSW_Greenethorpe_Mixed_Detailed_38</v>
      </c>
      <c r="P12" t="str">
        <f t="shared" si="2"/>
        <v>2019_NSW_Greenethorpe_Mixed_DetailedTOS1VarietyBlitzWaterTrtIrrigated</v>
      </c>
    </row>
    <row r="13" spans="1:16" x14ac:dyDescent="0.25">
      <c r="G13">
        <v>3</v>
      </c>
      <c r="H13" t="s">
        <v>4398</v>
      </c>
      <c r="I13">
        <v>7</v>
      </c>
      <c r="J13" s="6">
        <v>55</v>
      </c>
      <c r="M13" t="str">
        <f t="shared" si="0"/>
        <v>2019_NSW_Greenethorpe_Mixed_Detailed</v>
      </c>
      <c r="N13">
        <f>I13</f>
        <v>7</v>
      </c>
      <c r="O13" t="str">
        <f t="shared" si="1"/>
        <v>2019_NSW_Greenethorpe_Mixed_Detailed_55</v>
      </c>
      <c r="P13" t="str">
        <f t="shared" si="2"/>
        <v>2019_NSW_Greenethorpe_Mixed_DetailedTOS1VarietyBlitzWaterTrtIrrigated</v>
      </c>
    </row>
    <row r="14" spans="1:16" x14ac:dyDescent="0.25">
      <c r="A14" t="s">
        <v>4202</v>
      </c>
      <c r="B14" t="s">
        <v>36</v>
      </c>
      <c r="C14">
        <v>1</v>
      </c>
      <c r="D14" t="s">
        <v>4177</v>
      </c>
      <c r="E14" t="s">
        <v>40</v>
      </c>
      <c r="F14" t="s">
        <v>4398</v>
      </c>
      <c r="G14">
        <v>1</v>
      </c>
      <c r="H14" t="s">
        <v>4398</v>
      </c>
      <c r="I14">
        <v>6</v>
      </c>
      <c r="J14" s="6">
        <v>6</v>
      </c>
      <c r="M14" t="str">
        <f t="shared" si="0"/>
        <v>2019_NSW_Greenethorpe_Mixed_Detailed</v>
      </c>
      <c r="N14">
        <f>I14</f>
        <v>6</v>
      </c>
      <c r="O14" t="str">
        <f t="shared" si="1"/>
        <v>2019_NSW_Greenethorpe_Mixed_Detailed_6</v>
      </c>
      <c r="P14" t="str">
        <f t="shared" si="2"/>
        <v>2019_NSW_Greenethorpe_Mixed_DetailedTOS1VarietyBlitzWaterTrtRainFed</v>
      </c>
    </row>
    <row r="15" spans="1:16" x14ac:dyDescent="0.25">
      <c r="G15">
        <v>2</v>
      </c>
      <c r="H15" t="s">
        <v>4398</v>
      </c>
      <c r="I15">
        <v>11</v>
      </c>
      <c r="J15" s="6">
        <v>35</v>
      </c>
      <c r="M15" t="str">
        <f t="shared" si="0"/>
        <v>2019_NSW_Greenethorpe_Mixed_Detailed</v>
      </c>
      <c r="N15">
        <f>I15</f>
        <v>11</v>
      </c>
      <c r="O15" t="str">
        <f t="shared" si="1"/>
        <v>2019_NSW_Greenethorpe_Mixed_Detailed_35</v>
      </c>
      <c r="P15" t="str">
        <f t="shared" si="2"/>
        <v>2019_NSW_Greenethorpe_Mixed_DetailedTOS1VarietyBlitzWaterTrtRainFed</v>
      </c>
    </row>
    <row r="16" spans="1:16" x14ac:dyDescent="0.25">
      <c r="G16">
        <v>3</v>
      </c>
      <c r="H16" t="s">
        <v>4398</v>
      </c>
      <c r="I16">
        <v>11</v>
      </c>
      <c r="J16" s="6">
        <v>71</v>
      </c>
      <c r="M16" t="str">
        <f t="shared" si="0"/>
        <v>2019_NSW_Greenethorpe_Mixed_Detailed</v>
      </c>
      <c r="N16">
        <f>I16</f>
        <v>11</v>
      </c>
      <c r="O16" t="str">
        <f t="shared" si="1"/>
        <v>2019_NSW_Greenethorpe_Mixed_Detailed_71</v>
      </c>
      <c r="P16" t="str">
        <f t="shared" si="2"/>
        <v>2019_NSW_Greenethorpe_Mixed_DetailedTOS1VarietyBlitzWaterTrtRainFed</v>
      </c>
    </row>
    <row r="17" spans="1:16" x14ac:dyDescent="0.25">
      <c r="A17" t="s">
        <v>4203</v>
      </c>
      <c r="B17" t="s">
        <v>36</v>
      </c>
      <c r="C17">
        <v>1</v>
      </c>
      <c r="D17" t="s">
        <v>4176</v>
      </c>
      <c r="E17" t="s">
        <v>57</v>
      </c>
      <c r="F17" t="s">
        <v>4398</v>
      </c>
      <c r="G17">
        <v>1</v>
      </c>
      <c r="H17" t="s">
        <v>4398</v>
      </c>
      <c r="I17">
        <v>2</v>
      </c>
      <c r="J17" s="6">
        <v>14</v>
      </c>
      <c r="M17" t="str">
        <f t="shared" si="0"/>
        <v>2019_NSW_Greenethorpe_Mixed_Detailed</v>
      </c>
      <c r="N17">
        <f>I17</f>
        <v>2</v>
      </c>
      <c r="O17" t="str">
        <f t="shared" si="1"/>
        <v>2019_NSW_Greenethorpe_Mixed_Detailed_14</v>
      </c>
      <c r="P17" t="str">
        <f t="shared" si="2"/>
        <v>2019_NSW_Greenethorpe_Mixed_DetailedTOS1VarietyJumbo2WaterTrtIrrigated</v>
      </c>
    </row>
    <row r="18" spans="1:16" x14ac:dyDescent="0.25">
      <c r="I18">
        <v>4</v>
      </c>
      <c r="J18" s="6">
        <v>16</v>
      </c>
      <c r="M18" t="str">
        <f t="shared" si="0"/>
        <v>2019_NSW_Greenethorpe_Mixed_Detailed</v>
      </c>
      <c r="N18">
        <f>I18</f>
        <v>4</v>
      </c>
      <c r="O18" t="str">
        <f t="shared" si="1"/>
        <v>2019_NSW_Greenethorpe_Mixed_Detailed_16</v>
      </c>
      <c r="P18" t="str">
        <f t="shared" si="2"/>
        <v>2019_NSW_Greenethorpe_Mixed_DetailedTOS1VarietyJumbo2WaterTrtIrrigated</v>
      </c>
    </row>
    <row r="19" spans="1:16" x14ac:dyDescent="0.25">
      <c r="G19">
        <v>2</v>
      </c>
      <c r="H19" t="s">
        <v>4398</v>
      </c>
      <c r="I19">
        <v>1</v>
      </c>
      <c r="J19" s="6">
        <v>37</v>
      </c>
      <c r="M19" t="str">
        <f t="shared" si="0"/>
        <v>2019_NSW_Greenethorpe_Mixed_Detailed</v>
      </c>
      <c r="N19">
        <f>I19</f>
        <v>1</v>
      </c>
      <c r="O19" t="str">
        <f t="shared" si="1"/>
        <v>2019_NSW_Greenethorpe_Mixed_Detailed_37</v>
      </c>
      <c r="P19" t="str">
        <f t="shared" si="2"/>
        <v>2019_NSW_Greenethorpe_Mixed_DetailedTOS1VarietyJumbo2WaterTrtIrrigated</v>
      </c>
    </row>
    <row r="20" spans="1:16" x14ac:dyDescent="0.25">
      <c r="I20">
        <v>3</v>
      </c>
      <c r="J20" s="6">
        <v>39</v>
      </c>
      <c r="M20" t="str">
        <f t="shared" si="0"/>
        <v>2019_NSW_Greenethorpe_Mixed_Detailed</v>
      </c>
      <c r="N20">
        <f>I20</f>
        <v>3</v>
      </c>
      <c r="O20" t="str">
        <f t="shared" si="1"/>
        <v>2019_NSW_Greenethorpe_Mixed_Detailed_39</v>
      </c>
      <c r="P20" t="str">
        <f t="shared" si="2"/>
        <v>2019_NSW_Greenethorpe_Mixed_DetailedTOS1VarietyJumbo2WaterTrtIrrigated</v>
      </c>
    </row>
    <row r="21" spans="1:16" x14ac:dyDescent="0.25">
      <c r="G21">
        <v>3</v>
      </c>
      <c r="H21" t="s">
        <v>4398</v>
      </c>
      <c r="I21">
        <v>5</v>
      </c>
      <c r="J21" s="6">
        <v>53</v>
      </c>
      <c r="M21" t="str">
        <f t="shared" si="0"/>
        <v>2019_NSW_Greenethorpe_Mixed_Detailed</v>
      </c>
      <c r="N21">
        <f>I21</f>
        <v>5</v>
      </c>
      <c r="O21" t="str">
        <f t="shared" si="1"/>
        <v>2019_NSW_Greenethorpe_Mixed_Detailed_53</v>
      </c>
      <c r="P21" t="str">
        <f t="shared" si="2"/>
        <v>2019_NSW_Greenethorpe_Mixed_DetailedTOS1VarietyJumbo2WaterTrtIrrigated</v>
      </c>
    </row>
    <row r="22" spans="1:16" x14ac:dyDescent="0.25">
      <c r="I22">
        <v>6</v>
      </c>
      <c r="J22" s="6">
        <v>54</v>
      </c>
      <c r="M22" t="str">
        <f t="shared" si="0"/>
        <v>2019_NSW_Greenethorpe_Mixed_Detailed</v>
      </c>
      <c r="N22">
        <f>I22</f>
        <v>6</v>
      </c>
      <c r="O22" t="str">
        <f t="shared" si="1"/>
        <v>2019_NSW_Greenethorpe_Mixed_Detailed_54</v>
      </c>
      <c r="P22" t="str">
        <f t="shared" si="2"/>
        <v>2019_NSW_Greenethorpe_Mixed_DetailedTOS1VarietyJumbo2WaterTrtIrrigated</v>
      </c>
    </row>
    <row r="23" spans="1:16" x14ac:dyDescent="0.25">
      <c r="A23" t="s">
        <v>4204</v>
      </c>
      <c r="B23" t="s">
        <v>36</v>
      </c>
      <c r="C23">
        <v>1</v>
      </c>
      <c r="D23" t="s">
        <v>4176</v>
      </c>
      <c r="E23" t="s">
        <v>40</v>
      </c>
      <c r="F23" t="s">
        <v>4398</v>
      </c>
      <c r="G23">
        <v>1</v>
      </c>
      <c r="H23" t="s">
        <v>4398</v>
      </c>
      <c r="I23">
        <v>5</v>
      </c>
      <c r="J23" s="6">
        <v>5</v>
      </c>
      <c r="M23" t="str">
        <f t="shared" si="0"/>
        <v>2019_NSW_Greenethorpe_Mixed_Detailed</v>
      </c>
      <c r="N23">
        <f>I23</f>
        <v>5</v>
      </c>
      <c r="O23" t="str">
        <f t="shared" si="1"/>
        <v>2019_NSW_Greenethorpe_Mixed_Detailed_5</v>
      </c>
      <c r="P23" t="str">
        <f t="shared" si="2"/>
        <v>2019_NSW_Greenethorpe_Mixed_DetailedTOS1VarietyJumbo2WaterTrtRainFed</v>
      </c>
    </row>
    <row r="24" spans="1:16" x14ac:dyDescent="0.25">
      <c r="I24">
        <v>7</v>
      </c>
      <c r="J24" s="6">
        <v>7</v>
      </c>
      <c r="M24" t="str">
        <f t="shared" si="0"/>
        <v>2019_NSW_Greenethorpe_Mixed_Detailed</v>
      </c>
      <c r="N24">
        <f>I24</f>
        <v>7</v>
      </c>
      <c r="O24" t="str">
        <f t="shared" si="1"/>
        <v>2019_NSW_Greenethorpe_Mixed_Detailed_7</v>
      </c>
      <c r="P24" t="str">
        <f t="shared" si="2"/>
        <v>2019_NSW_Greenethorpe_Mixed_DetailedTOS1VarietyJumbo2WaterTrtRainFed</v>
      </c>
    </row>
    <row r="25" spans="1:16" x14ac:dyDescent="0.25">
      <c r="G25">
        <v>2</v>
      </c>
      <c r="H25" t="s">
        <v>4398</v>
      </c>
      <c r="I25">
        <v>10</v>
      </c>
      <c r="J25" s="6">
        <v>34</v>
      </c>
      <c r="M25" t="str">
        <f t="shared" si="0"/>
        <v>2019_NSW_Greenethorpe_Mixed_Detailed</v>
      </c>
      <c r="N25">
        <f>I25</f>
        <v>10</v>
      </c>
      <c r="O25" t="str">
        <f t="shared" si="1"/>
        <v>2019_NSW_Greenethorpe_Mixed_Detailed_34</v>
      </c>
      <c r="P25" t="str">
        <f t="shared" si="2"/>
        <v>2019_NSW_Greenethorpe_Mixed_DetailedTOS1VarietyJumbo2WaterTrtRainFed</v>
      </c>
    </row>
    <row r="26" spans="1:16" x14ac:dyDescent="0.25">
      <c r="I26">
        <v>12</v>
      </c>
      <c r="J26" s="6">
        <v>36</v>
      </c>
      <c r="M26" t="str">
        <f t="shared" si="0"/>
        <v>2019_NSW_Greenethorpe_Mixed_Detailed</v>
      </c>
      <c r="N26">
        <f>I26</f>
        <v>12</v>
      </c>
      <c r="O26" t="str">
        <f t="shared" si="1"/>
        <v>2019_NSW_Greenethorpe_Mixed_Detailed_36</v>
      </c>
      <c r="P26" t="str">
        <f t="shared" si="2"/>
        <v>2019_NSW_Greenethorpe_Mixed_DetailedTOS1VarietyJumbo2WaterTrtRainFed</v>
      </c>
    </row>
    <row r="27" spans="1:16" x14ac:dyDescent="0.25">
      <c r="G27">
        <v>3</v>
      </c>
      <c r="H27" t="s">
        <v>4398</v>
      </c>
      <c r="I27">
        <v>9</v>
      </c>
      <c r="J27" s="6">
        <v>69</v>
      </c>
      <c r="M27" t="str">
        <f t="shared" si="0"/>
        <v>2019_NSW_Greenethorpe_Mixed_Detailed</v>
      </c>
      <c r="N27">
        <f>I27</f>
        <v>9</v>
      </c>
      <c r="O27" t="str">
        <f t="shared" si="1"/>
        <v>2019_NSW_Greenethorpe_Mixed_Detailed_69</v>
      </c>
      <c r="P27" t="str">
        <f t="shared" si="2"/>
        <v>2019_NSW_Greenethorpe_Mixed_DetailedTOS1VarietyJumbo2WaterTrtRainFed</v>
      </c>
    </row>
    <row r="28" spans="1:16" x14ac:dyDescent="0.25">
      <c r="I28">
        <v>12</v>
      </c>
      <c r="J28" s="6">
        <v>72</v>
      </c>
      <c r="M28" t="str">
        <f t="shared" si="0"/>
        <v>2019_NSW_Greenethorpe_Mixed_Detailed</v>
      </c>
      <c r="N28">
        <f>I28</f>
        <v>12</v>
      </c>
      <c r="O28" t="str">
        <f t="shared" si="1"/>
        <v>2019_NSW_Greenethorpe_Mixed_Detailed_72</v>
      </c>
      <c r="P28" t="str">
        <f t="shared" si="2"/>
        <v>2019_NSW_Greenethorpe_Mixed_DetailedTOS1VarietyJumbo2WaterTrtRainFed</v>
      </c>
    </row>
    <row r="29" spans="1:16" x14ac:dyDescent="0.25">
      <c r="A29" t="s">
        <v>4205</v>
      </c>
      <c r="B29" t="s">
        <v>36</v>
      </c>
      <c r="C29">
        <v>2</v>
      </c>
      <c r="D29" t="s">
        <v>4175</v>
      </c>
      <c r="E29" t="s">
        <v>57</v>
      </c>
      <c r="F29" t="s">
        <v>4398</v>
      </c>
      <c r="G29">
        <v>1</v>
      </c>
      <c r="H29" t="s">
        <v>4398</v>
      </c>
      <c r="I29">
        <v>7</v>
      </c>
      <c r="J29" s="6">
        <v>19</v>
      </c>
      <c r="M29" t="str">
        <f t="shared" si="0"/>
        <v>2019_NSW_Greenethorpe_Mixed_Detailed</v>
      </c>
      <c r="N29">
        <f>I29</f>
        <v>7</v>
      </c>
      <c r="O29" t="str">
        <f t="shared" si="1"/>
        <v>2019_NSW_Greenethorpe_Mixed_Detailed_19</v>
      </c>
      <c r="P29" t="str">
        <f t="shared" si="2"/>
        <v>2019_NSW_Greenethorpe_Mixed_DetailedTOS2VarietyAceWaterTrtIrrigated</v>
      </c>
    </row>
    <row r="30" spans="1:16" x14ac:dyDescent="0.25">
      <c r="G30">
        <v>2</v>
      </c>
      <c r="H30" t="s">
        <v>4398</v>
      </c>
      <c r="I30">
        <v>5</v>
      </c>
      <c r="J30" s="6">
        <v>41</v>
      </c>
      <c r="M30" t="str">
        <f t="shared" si="0"/>
        <v>2019_NSW_Greenethorpe_Mixed_Detailed</v>
      </c>
      <c r="N30">
        <f>I30</f>
        <v>5</v>
      </c>
      <c r="O30" t="str">
        <f t="shared" si="1"/>
        <v>2019_NSW_Greenethorpe_Mixed_Detailed_41</v>
      </c>
      <c r="P30" t="str">
        <f t="shared" si="2"/>
        <v>2019_NSW_Greenethorpe_Mixed_DetailedTOS2VarietyAceWaterTrtIrrigated</v>
      </c>
    </row>
    <row r="31" spans="1:16" x14ac:dyDescent="0.25">
      <c r="G31">
        <v>3</v>
      </c>
      <c r="H31" t="s">
        <v>4398</v>
      </c>
      <c r="I31">
        <v>9</v>
      </c>
      <c r="J31" s="6">
        <v>57</v>
      </c>
      <c r="M31" t="str">
        <f t="shared" si="0"/>
        <v>2019_NSW_Greenethorpe_Mixed_Detailed</v>
      </c>
      <c r="N31">
        <f>I31</f>
        <v>9</v>
      </c>
      <c r="O31" t="str">
        <f t="shared" si="1"/>
        <v>2019_NSW_Greenethorpe_Mixed_Detailed_57</v>
      </c>
      <c r="P31" t="str">
        <f t="shared" si="2"/>
        <v>2019_NSW_Greenethorpe_Mixed_DetailedTOS2VarietyAceWaterTrtIrrigated</v>
      </c>
    </row>
    <row r="32" spans="1:16" x14ac:dyDescent="0.25">
      <c r="A32" t="s">
        <v>4206</v>
      </c>
      <c r="B32" t="s">
        <v>36</v>
      </c>
      <c r="C32">
        <v>2</v>
      </c>
      <c r="D32" t="s">
        <v>4175</v>
      </c>
      <c r="E32" t="s">
        <v>40</v>
      </c>
      <c r="F32" t="s">
        <v>4398</v>
      </c>
      <c r="G32">
        <v>1</v>
      </c>
      <c r="H32" t="s">
        <v>4398</v>
      </c>
      <c r="I32">
        <v>12</v>
      </c>
      <c r="J32" s="6">
        <v>12</v>
      </c>
      <c r="M32" t="str">
        <f t="shared" si="0"/>
        <v>2019_NSW_Greenethorpe_Mixed_Detailed</v>
      </c>
      <c r="N32">
        <f>I32</f>
        <v>12</v>
      </c>
      <c r="O32" t="str">
        <f t="shared" si="1"/>
        <v>2019_NSW_Greenethorpe_Mixed_Detailed_12</v>
      </c>
      <c r="P32" t="str">
        <f t="shared" si="2"/>
        <v>2019_NSW_Greenethorpe_Mixed_DetailedTOS2VarietyAceWaterTrtRainFed</v>
      </c>
    </row>
    <row r="33" spans="1:16" x14ac:dyDescent="0.25">
      <c r="G33">
        <v>2</v>
      </c>
      <c r="H33" t="s">
        <v>4398</v>
      </c>
      <c r="I33">
        <v>2</v>
      </c>
      <c r="J33" s="6">
        <v>26</v>
      </c>
      <c r="M33" t="str">
        <f t="shared" si="0"/>
        <v>2019_NSW_Greenethorpe_Mixed_Detailed</v>
      </c>
      <c r="N33">
        <f>I33</f>
        <v>2</v>
      </c>
      <c r="O33" t="str">
        <f t="shared" si="1"/>
        <v>2019_NSW_Greenethorpe_Mixed_Detailed_26</v>
      </c>
      <c r="P33" t="str">
        <f t="shared" si="2"/>
        <v>2019_NSW_Greenethorpe_Mixed_DetailedTOS2VarietyAceWaterTrtRainFed</v>
      </c>
    </row>
    <row r="34" spans="1:16" x14ac:dyDescent="0.25">
      <c r="G34">
        <v>3</v>
      </c>
      <c r="H34" t="s">
        <v>4398</v>
      </c>
      <c r="I34">
        <v>1</v>
      </c>
      <c r="J34" s="6">
        <v>61</v>
      </c>
      <c r="M34" t="str">
        <f t="shared" si="0"/>
        <v>2019_NSW_Greenethorpe_Mixed_Detailed</v>
      </c>
      <c r="N34">
        <f>I34</f>
        <v>1</v>
      </c>
      <c r="O34" t="str">
        <f t="shared" si="1"/>
        <v>2019_NSW_Greenethorpe_Mixed_Detailed_61</v>
      </c>
      <c r="P34" t="str">
        <f t="shared" si="2"/>
        <v>2019_NSW_Greenethorpe_Mixed_DetailedTOS2VarietyAceWaterTrtRainFed</v>
      </c>
    </row>
    <row r="35" spans="1:16" x14ac:dyDescent="0.25">
      <c r="A35" t="s">
        <v>4207</v>
      </c>
      <c r="B35" t="s">
        <v>36</v>
      </c>
      <c r="C35">
        <v>2</v>
      </c>
      <c r="D35" t="s">
        <v>4177</v>
      </c>
      <c r="E35" t="s">
        <v>57</v>
      </c>
      <c r="F35" t="s">
        <v>4398</v>
      </c>
      <c r="G35">
        <v>1</v>
      </c>
      <c r="H35" t="s">
        <v>4398</v>
      </c>
      <c r="I35">
        <v>5</v>
      </c>
      <c r="J35" s="6">
        <v>17</v>
      </c>
      <c r="M35" t="str">
        <f t="shared" si="0"/>
        <v>2019_NSW_Greenethorpe_Mixed_Detailed</v>
      </c>
      <c r="N35">
        <f>I35</f>
        <v>5</v>
      </c>
      <c r="O35" t="str">
        <f t="shared" si="1"/>
        <v>2019_NSW_Greenethorpe_Mixed_Detailed_17</v>
      </c>
      <c r="P35" t="str">
        <f t="shared" si="2"/>
        <v>2019_NSW_Greenethorpe_Mixed_DetailedTOS2VarietyBlitzWaterTrtIrrigated</v>
      </c>
    </row>
    <row r="36" spans="1:16" x14ac:dyDescent="0.25">
      <c r="G36">
        <v>2</v>
      </c>
      <c r="H36" t="s">
        <v>4398</v>
      </c>
      <c r="I36">
        <v>7</v>
      </c>
      <c r="J36" s="6">
        <v>43</v>
      </c>
      <c r="M36" t="str">
        <f t="shared" si="0"/>
        <v>2019_NSW_Greenethorpe_Mixed_Detailed</v>
      </c>
      <c r="N36">
        <f>I36</f>
        <v>7</v>
      </c>
      <c r="O36" t="str">
        <f t="shared" si="1"/>
        <v>2019_NSW_Greenethorpe_Mixed_Detailed_43</v>
      </c>
      <c r="P36" t="str">
        <f t="shared" si="2"/>
        <v>2019_NSW_Greenethorpe_Mixed_DetailedTOS2VarietyBlitzWaterTrtIrrigated</v>
      </c>
    </row>
    <row r="37" spans="1:16" x14ac:dyDescent="0.25">
      <c r="G37">
        <v>3</v>
      </c>
      <c r="H37" t="s">
        <v>4398</v>
      </c>
      <c r="I37">
        <v>12</v>
      </c>
      <c r="J37" s="6">
        <v>60</v>
      </c>
      <c r="M37" t="str">
        <f t="shared" si="0"/>
        <v>2019_NSW_Greenethorpe_Mixed_Detailed</v>
      </c>
      <c r="N37">
        <f>I37</f>
        <v>12</v>
      </c>
      <c r="O37" t="str">
        <f t="shared" si="1"/>
        <v>2019_NSW_Greenethorpe_Mixed_Detailed_60</v>
      </c>
      <c r="P37" t="str">
        <f t="shared" si="2"/>
        <v>2019_NSW_Greenethorpe_Mixed_DetailedTOS2VarietyBlitzWaterTrtIrrigated</v>
      </c>
    </row>
    <row r="38" spans="1:16" x14ac:dyDescent="0.25">
      <c r="A38" t="s">
        <v>4208</v>
      </c>
      <c r="B38" t="s">
        <v>36</v>
      </c>
      <c r="C38">
        <v>2</v>
      </c>
      <c r="D38" t="s">
        <v>4177</v>
      </c>
      <c r="E38" t="s">
        <v>40</v>
      </c>
      <c r="F38" t="s">
        <v>4398</v>
      </c>
      <c r="G38">
        <v>1</v>
      </c>
      <c r="H38" t="s">
        <v>4398</v>
      </c>
      <c r="I38">
        <v>10</v>
      </c>
      <c r="J38" s="6">
        <v>10</v>
      </c>
      <c r="M38" t="str">
        <f t="shared" si="0"/>
        <v>2019_NSW_Greenethorpe_Mixed_Detailed</v>
      </c>
      <c r="N38">
        <f>I38</f>
        <v>10</v>
      </c>
      <c r="O38" t="str">
        <f t="shared" si="1"/>
        <v>2019_NSW_Greenethorpe_Mixed_Detailed_10</v>
      </c>
      <c r="P38" t="str">
        <f t="shared" si="2"/>
        <v>2019_NSW_Greenethorpe_Mixed_DetailedTOS2VarietyBlitzWaterTrtRainFed</v>
      </c>
    </row>
    <row r="39" spans="1:16" x14ac:dyDescent="0.25">
      <c r="G39">
        <v>2</v>
      </c>
      <c r="H39" t="s">
        <v>4398</v>
      </c>
      <c r="I39">
        <v>4</v>
      </c>
      <c r="J39" s="6">
        <v>28</v>
      </c>
      <c r="M39" t="str">
        <f t="shared" si="0"/>
        <v>2019_NSW_Greenethorpe_Mixed_Detailed</v>
      </c>
      <c r="N39">
        <f>I39</f>
        <v>4</v>
      </c>
      <c r="O39" t="str">
        <f t="shared" si="1"/>
        <v>2019_NSW_Greenethorpe_Mixed_Detailed_28</v>
      </c>
      <c r="P39" t="str">
        <f t="shared" si="2"/>
        <v>2019_NSW_Greenethorpe_Mixed_DetailedTOS2VarietyBlitzWaterTrtRainFed</v>
      </c>
    </row>
    <row r="40" spans="1:16" x14ac:dyDescent="0.25">
      <c r="G40">
        <v>3</v>
      </c>
      <c r="H40" t="s">
        <v>4398</v>
      </c>
      <c r="I40">
        <v>2</v>
      </c>
      <c r="J40" s="6">
        <v>62</v>
      </c>
      <c r="M40" t="str">
        <f t="shared" si="0"/>
        <v>2019_NSW_Greenethorpe_Mixed_Detailed</v>
      </c>
      <c r="N40">
        <f>I40</f>
        <v>2</v>
      </c>
      <c r="O40" t="str">
        <f t="shared" si="1"/>
        <v>2019_NSW_Greenethorpe_Mixed_Detailed_62</v>
      </c>
      <c r="P40" t="str">
        <f t="shared" si="2"/>
        <v>2019_NSW_Greenethorpe_Mixed_DetailedTOS2VarietyBlitzWaterTrtRainFed</v>
      </c>
    </row>
    <row r="41" spans="1:16" x14ac:dyDescent="0.25">
      <c r="A41" t="s">
        <v>4209</v>
      </c>
      <c r="B41" t="s">
        <v>36</v>
      </c>
      <c r="C41">
        <v>2</v>
      </c>
      <c r="D41" t="s">
        <v>4176</v>
      </c>
      <c r="E41" t="s">
        <v>57</v>
      </c>
      <c r="F41" t="s">
        <v>4398</v>
      </c>
      <c r="G41">
        <v>1</v>
      </c>
      <c r="H41" t="s">
        <v>4398</v>
      </c>
      <c r="I41">
        <v>6</v>
      </c>
      <c r="J41" s="6">
        <v>18</v>
      </c>
      <c r="M41" t="str">
        <f t="shared" si="0"/>
        <v>2019_NSW_Greenethorpe_Mixed_Detailed</v>
      </c>
      <c r="N41">
        <f>I41</f>
        <v>6</v>
      </c>
      <c r="O41" t="str">
        <f t="shared" si="1"/>
        <v>2019_NSW_Greenethorpe_Mixed_Detailed_18</v>
      </c>
      <c r="P41" t="str">
        <f t="shared" si="2"/>
        <v>2019_NSW_Greenethorpe_Mixed_DetailedTOS2VarietyJumbo2WaterTrtIrrigated</v>
      </c>
    </row>
    <row r="42" spans="1:16" x14ac:dyDescent="0.25">
      <c r="I42">
        <v>8</v>
      </c>
      <c r="J42" s="6">
        <v>20</v>
      </c>
      <c r="M42" t="str">
        <f t="shared" si="0"/>
        <v>2019_NSW_Greenethorpe_Mixed_Detailed</v>
      </c>
      <c r="N42">
        <f>I42</f>
        <v>8</v>
      </c>
      <c r="O42" t="str">
        <f t="shared" si="1"/>
        <v>2019_NSW_Greenethorpe_Mixed_Detailed_20</v>
      </c>
      <c r="P42" t="str">
        <f t="shared" si="2"/>
        <v>2019_NSW_Greenethorpe_Mixed_DetailedTOS2VarietyJumbo2WaterTrtIrrigated</v>
      </c>
    </row>
    <row r="43" spans="1:16" x14ac:dyDescent="0.25">
      <c r="G43">
        <v>2</v>
      </c>
      <c r="H43" t="s">
        <v>4398</v>
      </c>
      <c r="I43">
        <v>6</v>
      </c>
      <c r="J43" s="6">
        <v>42</v>
      </c>
      <c r="M43" t="str">
        <f t="shared" si="0"/>
        <v>2019_NSW_Greenethorpe_Mixed_Detailed</v>
      </c>
      <c r="N43">
        <f>I43</f>
        <v>6</v>
      </c>
      <c r="O43" t="str">
        <f t="shared" si="1"/>
        <v>2019_NSW_Greenethorpe_Mixed_Detailed_42</v>
      </c>
      <c r="P43" t="str">
        <f t="shared" si="2"/>
        <v>2019_NSW_Greenethorpe_Mixed_DetailedTOS2VarietyJumbo2WaterTrtIrrigated</v>
      </c>
    </row>
    <row r="44" spans="1:16" x14ac:dyDescent="0.25">
      <c r="I44">
        <v>8</v>
      </c>
      <c r="J44" s="6">
        <v>44</v>
      </c>
      <c r="M44" t="str">
        <f t="shared" si="0"/>
        <v>2019_NSW_Greenethorpe_Mixed_Detailed</v>
      </c>
      <c r="N44">
        <f>I44</f>
        <v>8</v>
      </c>
      <c r="O44" t="str">
        <f t="shared" si="1"/>
        <v>2019_NSW_Greenethorpe_Mixed_Detailed_44</v>
      </c>
      <c r="P44" t="str">
        <f t="shared" si="2"/>
        <v>2019_NSW_Greenethorpe_Mixed_DetailedTOS2VarietyJumbo2WaterTrtIrrigated</v>
      </c>
    </row>
    <row r="45" spans="1:16" x14ac:dyDescent="0.25">
      <c r="G45">
        <v>3</v>
      </c>
      <c r="H45" t="s">
        <v>4398</v>
      </c>
      <c r="I45">
        <v>10</v>
      </c>
      <c r="J45" s="6">
        <v>58</v>
      </c>
      <c r="M45" t="str">
        <f t="shared" si="0"/>
        <v>2019_NSW_Greenethorpe_Mixed_Detailed</v>
      </c>
      <c r="N45">
        <f>I45</f>
        <v>10</v>
      </c>
      <c r="O45" t="str">
        <f t="shared" si="1"/>
        <v>2019_NSW_Greenethorpe_Mixed_Detailed_58</v>
      </c>
      <c r="P45" t="str">
        <f t="shared" si="2"/>
        <v>2019_NSW_Greenethorpe_Mixed_DetailedTOS2VarietyJumbo2WaterTrtIrrigated</v>
      </c>
    </row>
    <row r="46" spans="1:16" x14ac:dyDescent="0.25">
      <c r="I46">
        <v>11</v>
      </c>
      <c r="J46" s="6">
        <v>59</v>
      </c>
      <c r="M46" t="str">
        <f t="shared" si="0"/>
        <v>2019_NSW_Greenethorpe_Mixed_Detailed</v>
      </c>
      <c r="N46">
        <f>I46</f>
        <v>11</v>
      </c>
      <c r="O46" t="str">
        <f t="shared" si="1"/>
        <v>2019_NSW_Greenethorpe_Mixed_Detailed_59</v>
      </c>
      <c r="P46" t="str">
        <f t="shared" si="2"/>
        <v>2019_NSW_Greenethorpe_Mixed_DetailedTOS2VarietyJumbo2WaterTrtIrrigated</v>
      </c>
    </row>
    <row r="47" spans="1:16" x14ac:dyDescent="0.25">
      <c r="A47" t="s">
        <v>4210</v>
      </c>
      <c r="B47" t="s">
        <v>36</v>
      </c>
      <c r="C47">
        <v>2</v>
      </c>
      <c r="D47" t="s">
        <v>4176</v>
      </c>
      <c r="E47" t="s">
        <v>40</v>
      </c>
      <c r="F47" t="s">
        <v>4398</v>
      </c>
      <c r="G47">
        <v>1</v>
      </c>
      <c r="H47" t="s">
        <v>4398</v>
      </c>
      <c r="I47">
        <v>9</v>
      </c>
      <c r="J47" s="6">
        <v>9</v>
      </c>
      <c r="M47" t="str">
        <f t="shared" si="0"/>
        <v>2019_NSW_Greenethorpe_Mixed_Detailed</v>
      </c>
      <c r="N47">
        <f>I47</f>
        <v>9</v>
      </c>
      <c r="O47" t="str">
        <f t="shared" si="1"/>
        <v>2019_NSW_Greenethorpe_Mixed_Detailed_9</v>
      </c>
      <c r="P47" t="str">
        <f t="shared" si="2"/>
        <v>2019_NSW_Greenethorpe_Mixed_DetailedTOS2VarietyJumbo2WaterTrtRainFed</v>
      </c>
    </row>
    <row r="48" spans="1:16" x14ac:dyDescent="0.25">
      <c r="I48">
        <v>11</v>
      </c>
      <c r="J48" s="6">
        <v>11</v>
      </c>
      <c r="M48" t="str">
        <f t="shared" si="0"/>
        <v>2019_NSW_Greenethorpe_Mixed_Detailed</v>
      </c>
      <c r="N48">
        <f>I48</f>
        <v>11</v>
      </c>
      <c r="O48" t="str">
        <f t="shared" si="1"/>
        <v>2019_NSW_Greenethorpe_Mixed_Detailed_11</v>
      </c>
      <c r="P48" t="str">
        <f t="shared" si="2"/>
        <v>2019_NSW_Greenethorpe_Mixed_DetailedTOS2VarietyJumbo2WaterTrtRainFed</v>
      </c>
    </row>
    <row r="49" spans="1:16" x14ac:dyDescent="0.25">
      <c r="G49">
        <v>2</v>
      </c>
      <c r="H49" t="s">
        <v>4398</v>
      </c>
      <c r="I49">
        <v>1</v>
      </c>
      <c r="J49" s="6">
        <v>25</v>
      </c>
      <c r="M49" t="str">
        <f t="shared" si="0"/>
        <v>2019_NSW_Greenethorpe_Mixed_Detailed</v>
      </c>
      <c r="N49">
        <f>I49</f>
        <v>1</v>
      </c>
      <c r="O49" t="str">
        <f t="shared" si="1"/>
        <v>2019_NSW_Greenethorpe_Mixed_Detailed_25</v>
      </c>
      <c r="P49" t="str">
        <f t="shared" si="2"/>
        <v>2019_NSW_Greenethorpe_Mixed_DetailedTOS2VarietyJumbo2WaterTrtRainFed</v>
      </c>
    </row>
    <row r="50" spans="1:16" x14ac:dyDescent="0.25">
      <c r="I50">
        <v>3</v>
      </c>
      <c r="J50" s="6">
        <v>27</v>
      </c>
      <c r="M50" t="str">
        <f t="shared" si="0"/>
        <v>2019_NSW_Greenethorpe_Mixed_Detailed</v>
      </c>
      <c r="N50">
        <f>I50</f>
        <v>3</v>
      </c>
      <c r="O50" t="str">
        <f t="shared" si="1"/>
        <v>2019_NSW_Greenethorpe_Mixed_Detailed_27</v>
      </c>
      <c r="P50" t="str">
        <f t="shared" si="2"/>
        <v>2019_NSW_Greenethorpe_Mixed_DetailedTOS2VarietyJumbo2WaterTrtRainFed</v>
      </c>
    </row>
    <row r="51" spans="1:16" x14ac:dyDescent="0.25">
      <c r="G51">
        <v>3</v>
      </c>
      <c r="H51" t="s">
        <v>4398</v>
      </c>
      <c r="I51">
        <v>3</v>
      </c>
      <c r="J51" s="6">
        <v>63</v>
      </c>
      <c r="M51" t="str">
        <f t="shared" si="0"/>
        <v>2019_NSW_Greenethorpe_Mixed_Detailed</v>
      </c>
      <c r="N51">
        <f>I51</f>
        <v>3</v>
      </c>
      <c r="O51" t="str">
        <f t="shared" si="1"/>
        <v>2019_NSW_Greenethorpe_Mixed_Detailed_63</v>
      </c>
      <c r="P51" t="str">
        <f t="shared" si="2"/>
        <v>2019_NSW_Greenethorpe_Mixed_DetailedTOS2VarietyJumbo2WaterTrtRainFed</v>
      </c>
    </row>
    <row r="52" spans="1:16" x14ac:dyDescent="0.25">
      <c r="I52">
        <v>4</v>
      </c>
      <c r="J52" s="6">
        <v>64</v>
      </c>
      <c r="M52" t="str">
        <f t="shared" si="0"/>
        <v>2019_NSW_Greenethorpe_Mixed_Detailed</v>
      </c>
      <c r="N52">
        <f>I52</f>
        <v>4</v>
      </c>
      <c r="O52" t="str">
        <f t="shared" si="1"/>
        <v>2019_NSW_Greenethorpe_Mixed_Detailed_64</v>
      </c>
      <c r="P52" t="str">
        <f t="shared" si="2"/>
        <v>2019_NSW_Greenethorpe_Mixed_DetailedTOS2VarietyJumbo2WaterTrtRainFed</v>
      </c>
    </row>
    <row r="53" spans="1:16" x14ac:dyDescent="0.25">
      <c r="A53" t="s">
        <v>4211</v>
      </c>
      <c r="B53" t="s">
        <v>36</v>
      </c>
      <c r="C53">
        <v>3</v>
      </c>
      <c r="D53" t="s">
        <v>4175</v>
      </c>
      <c r="E53" t="s">
        <v>57</v>
      </c>
      <c r="F53" t="s">
        <v>4398</v>
      </c>
      <c r="G53">
        <v>1</v>
      </c>
      <c r="H53" t="s">
        <v>4398</v>
      </c>
      <c r="I53">
        <v>11</v>
      </c>
      <c r="J53" s="6">
        <v>23</v>
      </c>
      <c r="M53" t="str">
        <f t="shared" si="0"/>
        <v>2019_NSW_Greenethorpe_Mixed_Detailed</v>
      </c>
      <c r="N53">
        <f>I53</f>
        <v>11</v>
      </c>
      <c r="O53" t="str">
        <f t="shared" si="1"/>
        <v>2019_NSW_Greenethorpe_Mixed_Detailed_23</v>
      </c>
      <c r="P53" t="str">
        <f t="shared" si="2"/>
        <v>2019_NSW_Greenethorpe_Mixed_DetailedTOS3VarietyAceWaterTrtIrrigated</v>
      </c>
    </row>
    <row r="54" spans="1:16" x14ac:dyDescent="0.25">
      <c r="G54">
        <v>2</v>
      </c>
      <c r="H54" t="s">
        <v>4398</v>
      </c>
      <c r="I54">
        <v>10</v>
      </c>
      <c r="J54" s="6">
        <v>46</v>
      </c>
      <c r="M54" t="str">
        <f t="shared" si="0"/>
        <v>2019_NSW_Greenethorpe_Mixed_Detailed</v>
      </c>
      <c r="N54">
        <f>I54</f>
        <v>10</v>
      </c>
      <c r="O54" t="str">
        <f t="shared" si="1"/>
        <v>2019_NSW_Greenethorpe_Mixed_Detailed_46</v>
      </c>
      <c r="P54" t="str">
        <f t="shared" si="2"/>
        <v>2019_NSW_Greenethorpe_Mixed_DetailedTOS3VarietyAceWaterTrtIrrigated</v>
      </c>
    </row>
    <row r="55" spans="1:16" x14ac:dyDescent="0.25">
      <c r="G55">
        <v>3</v>
      </c>
      <c r="H55" t="s">
        <v>4398</v>
      </c>
      <c r="I55">
        <v>3</v>
      </c>
      <c r="J55" s="6">
        <v>51</v>
      </c>
      <c r="M55" t="str">
        <f t="shared" si="0"/>
        <v>2019_NSW_Greenethorpe_Mixed_Detailed</v>
      </c>
      <c r="N55">
        <f>I55</f>
        <v>3</v>
      </c>
      <c r="O55" t="str">
        <f t="shared" si="1"/>
        <v>2019_NSW_Greenethorpe_Mixed_Detailed_51</v>
      </c>
      <c r="P55" t="str">
        <f t="shared" si="2"/>
        <v>2019_NSW_Greenethorpe_Mixed_DetailedTOS3VarietyAceWaterTrtIrrigated</v>
      </c>
    </row>
    <row r="56" spans="1:16" x14ac:dyDescent="0.25">
      <c r="A56" t="s">
        <v>4212</v>
      </c>
      <c r="B56" t="s">
        <v>36</v>
      </c>
      <c r="C56">
        <v>3</v>
      </c>
      <c r="D56" t="s">
        <v>4175</v>
      </c>
      <c r="E56" t="s">
        <v>40</v>
      </c>
      <c r="F56" t="s">
        <v>4398</v>
      </c>
      <c r="G56">
        <v>1</v>
      </c>
      <c r="H56" t="s">
        <v>4398</v>
      </c>
      <c r="I56">
        <v>1</v>
      </c>
      <c r="J56" s="6">
        <v>1</v>
      </c>
      <c r="M56" t="str">
        <f t="shared" si="0"/>
        <v>2019_NSW_Greenethorpe_Mixed_Detailed</v>
      </c>
      <c r="N56">
        <f>I56</f>
        <v>1</v>
      </c>
      <c r="O56" t="str">
        <f t="shared" si="1"/>
        <v>2019_NSW_Greenethorpe_Mixed_Detailed_1</v>
      </c>
      <c r="P56" t="str">
        <f t="shared" si="2"/>
        <v>2019_NSW_Greenethorpe_Mixed_DetailedTOS3VarietyAceWaterTrtRainFed</v>
      </c>
    </row>
    <row r="57" spans="1:16" x14ac:dyDescent="0.25">
      <c r="G57">
        <v>2</v>
      </c>
      <c r="H57" t="s">
        <v>4398</v>
      </c>
      <c r="I57">
        <v>6</v>
      </c>
      <c r="J57" s="6">
        <v>30</v>
      </c>
      <c r="M57" t="str">
        <f t="shared" si="0"/>
        <v>2019_NSW_Greenethorpe_Mixed_Detailed</v>
      </c>
      <c r="N57">
        <f>I57</f>
        <v>6</v>
      </c>
      <c r="O57" t="str">
        <f t="shared" si="1"/>
        <v>2019_NSW_Greenethorpe_Mixed_Detailed_30</v>
      </c>
      <c r="P57" t="str">
        <f t="shared" si="2"/>
        <v>2019_NSW_Greenethorpe_Mixed_DetailedTOS3VarietyAceWaterTrtRainFed</v>
      </c>
    </row>
    <row r="58" spans="1:16" x14ac:dyDescent="0.25">
      <c r="G58">
        <v>3</v>
      </c>
      <c r="H58" t="s">
        <v>4398</v>
      </c>
      <c r="I58">
        <v>6</v>
      </c>
      <c r="J58" s="6">
        <v>66</v>
      </c>
      <c r="M58" t="str">
        <f t="shared" si="0"/>
        <v>2019_NSW_Greenethorpe_Mixed_Detailed</v>
      </c>
      <c r="N58">
        <f>I58</f>
        <v>6</v>
      </c>
      <c r="O58" t="str">
        <f t="shared" si="1"/>
        <v>2019_NSW_Greenethorpe_Mixed_Detailed_66</v>
      </c>
      <c r="P58" t="str">
        <f t="shared" si="2"/>
        <v>2019_NSW_Greenethorpe_Mixed_DetailedTOS3VarietyAceWaterTrtRainFed</v>
      </c>
    </row>
    <row r="59" spans="1:16" x14ac:dyDescent="0.25">
      <c r="A59" t="s">
        <v>4213</v>
      </c>
      <c r="B59" t="s">
        <v>36</v>
      </c>
      <c r="C59">
        <v>3</v>
      </c>
      <c r="D59" t="s">
        <v>4177</v>
      </c>
      <c r="E59" t="s">
        <v>57</v>
      </c>
      <c r="F59" t="s">
        <v>4398</v>
      </c>
      <c r="G59">
        <v>1</v>
      </c>
      <c r="H59" t="s">
        <v>4398</v>
      </c>
      <c r="I59">
        <v>9</v>
      </c>
      <c r="J59" s="6">
        <v>21</v>
      </c>
      <c r="M59" t="str">
        <f t="shared" si="0"/>
        <v>2019_NSW_Greenethorpe_Mixed_Detailed</v>
      </c>
      <c r="N59">
        <f>I59</f>
        <v>9</v>
      </c>
      <c r="O59" t="str">
        <f t="shared" si="1"/>
        <v>2019_NSW_Greenethorpe_Mixed_Detailed_21</v>
      </c>
      <c r="P59" t="str">
        <f t="shared" si="2"/>
        <v>2019_NSW_Greenethorpe_Mixed_DetailedTOS3VarietyBlitzWaterTrtIrrigated</v>
      </c>
    </row>
    <row r="60" spans="1:16" x14ac:dyDescent="0.25">
      <c r="G60">
        <v>2</v>
      </c>
      <c r="H60" t="s">
        <v>4398</v>
      </c>
      <c r="I60">
        <v>12</v>
      </c>
      <c r="J60" s="6">
        <v>48</v>
      </c>
      <c r="M60" t="str">
        <f t="shared" si="0"/>
        <v>2019_NSW_Greenethorpe_Mixed_Detailed</v>
      </c>
      <c r="N60">
        <f>I60</f>
        <v>12</v>
      </c>
      <c r="O60" t="str">
        <f t="shared" si="1"/>
        <v>2019_NSW_Greenethorpe_Mixed_Detailed_48</v>
      </c>
      <c r="P60" t="str">
        <f t="shared" si="2"/>
        <v>2019_NSW_Greenethorpe_Mixed_DetailedTOS3VarietyBlitzWaterTrtIrrigated</v>
      </c>
    </row>
    <row r="61" spans="1:16" x14ac:dyDescent="0.25">
      <c r="G61">
        <v>3</v>
      </c>
      <c r="H61" t="s">
        <v>4398</v>
      </c>
      <c r="I61">
        <v>4</v>
      </c>
      <c r="J61" s="6">
        <v>52</v>
      </c>
      <c r="M61" t="str">
        <f t="shared" si="0"/>
        <v>2019_NSW_Greenethorpe_Mixed_Detailed</v>
      </c>
      <c r="N61">
        <f>I61</f>
        <v>4</v>
      </c>
      <c r="O61" t="str">
        <f t="shared" si="1"/>
        <v>2019_NSW_Greenethorpe_Mixed_Detailed_52</v>
      </c>
      <c r="P61" t="str">
        <f t="shared" si="2"/>
        <v>2019_NSW_Greenethorpe_Mixed_DetailedTOS3VarietyBlitzWaterTrtIrrigated</v>
      </c>
    </row>
    <row r="62" spans="1:16" x14ac:dyDescent="0.25">
      <c r="A62" t="s">
        <v>4214</v>
      </c>
      <c r="B62" t="s">
        <v>36</v>
      </c>
      <c r="C62">
        <v>3</v>
      </c>
      <c r="D62" t="s">
        <v>4177</v>
      </c>
      <c r="E62" t="s">
        <v>40</v>
      </c>
      <c r="F62" t="s">
        <v>4398</v>
      </c>
      <c r="G62">
        <v>1</v>
      </c>
      <c r="H62" t="s">
        <v>4398</v>
      </c>
      <c r="I62">
        <v>3</v>
      </c>
      <c r="J62" s="6">
        <v>3</v>
      </c>
      <c r="M62" t="str">
        <f t="shared" si="0"/>
        <v>2019_NSW_Greenethorpe_Mixed_Detailed</v>
      </c>
      <c r="N62">
        <f>I62</f>
        <v>3</v>
      </c>
      <c r="O62" t="str">
        <f t="shared" si="1"/>
        <v>2019_NSW_Greenethorpe_Mixed_Detailed_3</v>
      </c>
      <c r="P62" t="str">
        <f t="shared" si="2"/>
        <v>2019_NSW_Greenethorpe_Mixed_DetailedTOS3VarietyBlitzWaterTrtRainFed</v>
      </c>
    </row>
    <row r="63" spans="1:16" x14ac:dyDescent="0.25">
      <c r="G63">
        <v>2</v>
      </c>
      <c r="H63" t="s">
        <v>4398</v>
      </c>
      <c r="I63">
        <v>8</v>
      </c>
      <c r="J63" s="6">
        <v>32</v>
      </c>
      <c r="M63" t="str">
        <f t="shared" si="0"/>
        <v>2019_NSW_Greenethorpe_Mixed_Detailed</v>
      </c>
      <c r="N63">
        <f>I63</f>
        <v>8</v>
      </c>
      <c r="O63" t="str">
        <f t="shared" si="1"/>
        <v>2019_NSW_Greenethorpe_Mixed_Detailed_32</v>
      </c>
      <c r="P63" t="str">
        <f t="shared" si="2"/>
        <v>2019_NSW_Greenethorpe_Mixed_DetailedTOS3VarietyBlitzWaterTrtRainFed</v>
      </c>
    </row>
    <row r="64" spans="1:16" x14ac:dyDescent="0.25">
      <c r="G64">
        <v>3</v>
      </c>
      <c r="H64" t="s">
        <v>4398</v>
      </c>
      <c r="I64">
        <v>5</v>
      </c>
      <c r="J64" s="6">
        <v>65</v>
      </c>
      <c r="M64" t="str">
        <f t="shared" si="0"/>
        <v>2019_NSW_Greenethorpe_Mixed_Detailed</v>
      </c>
      <c r="N64">
        <f>I64</f>
        <v>5</v>
      </c>
      <c r="O64" t="str">
        <f t="shared" si="1"/>
        <v>2019_NSW_Greenethorpe_Mixed_Detailed_65</v>
      </c>
      <c r="P64" t="str">
        <f t="shared" si="2"/>
        <v>2019_NSW_Greenethorpe_Mixed_DetailedTOS3VarietyBlitzWaterTrtRainFed</v>
      </c>
    </row>
    <row r="65" spans="1:16" x14ac:dyDescent="0.25">
      <c r="A65" t="s">
        <v>4215</v>
      </c>
      <c r="B65" t="s">
        <v>36</v>
      </c>
      <c r="C65">
        <v>3</v>
      </c>
      <c r="D65" t="s">
        <v>4176</v>
      </c>
      <c r="E65" t="s">
        <v>57</v>
      </c>
      <c r="F65" t="s">
        <v>4398</v>
      </c>
      <c r="G65">
        <v>1</v>
      </c>
      <c r="H65" t="s">
        <v>4398</v>
      </c>
      <c r="I65">
        <v>10</v>
      </c>
      <c r="J65" s="6">
        <v>22</v>
      </c>
      <c r="M65" t="str">
        <f t="shared" si="0"/>
        <v>2019_NSW_Greenethorpe_Mixed_Detailed</v>
      </c>
      <c r="N65">
        <f>I65</f>
        <v>10</v>
      </c>
      <c r="O65" t="str">
        <f t="shared" si="1"/>
        <v>2019_NSW_Greenethorpe_Mixed_Detailed_22</v>
      </c>
      <c r="P65" t="str">
        <f t="shared" si="2"/>
        <v>2019_NSW_Greenethorpe_Mixed_DetailedTOS3VarietyJumbo2WaterTrtIrrigated</v>
      </c>
    </row>
    <row r="66" spans="1:16" x14ac:dyDescent="0.25">
      <c r="I66">
        <v>12</v>
      </c>
      <c r="J66" s="6">
        <v>24</v>
      </c>
      <c r="M66" t="str">
        <f t="shared" si="0"/>
        <v>2019_NSW_Greenethorpe_Mixed_Detailed</v>
      </c>
      <c r="N66">
        <f>I66</f>
        <v>12</v>
      </c>
      <c r="O66" t="str">
        <f t="shared" si="1"/>
        <v>2019_NSW_Greenethorpe_Mixed_Detailed_24</v>
      </c>
      <c r="P66" t="str">
        <f t="shared" si="2"/>
        <v>2019_NSW_Greenethorpe_Mixed_DetailedTOS3VarietyJumbo2WaterTrtIrrigated</v>
      </c>
    </row>
    <row r="67" spans="1:16" x14ac:dyDescent="0.25">
      <c r="G67">
        <v>2</v>
      </c>
      <c r="H67" t="s">
        <v>4398</v>
      </c>
      <c r="I67">
        <v>9</v>
      </c>
      <c r="J67" s="6">
        <v>45</v>
      </c>
      <c r="M67" t="str">
        <f t="shared" si="0"/>
        <v>2019_NSW_Greenethorpe_Mixed_Detailed</v>
      </c>
      <c r="N67">
        <f>I67</f>
        <v>9</v>
      </c>
      <c r="O67" t="str">
        <f t="shared" si="1"/>
        <v>2019_NSW_Greenethorpe_Mixed_Detailed_45</v>
      </c>
      <c r="P67" t="str">
        <f t="shared" si="2"/>
        <v>2019_NSW_Greenethorpe_Mixed_DetailedTOS3VarietyJumbo2WaterTrtIrrigated</v>
      </c>
    </row>
    <row r="68" spans="1:16" x14ac:dyDescent="0.25">
      <c r="I68">
        <v>11</v>
      </c>
      <c r="J68" s="6">
        <v>47</v>
      </c>
      <c r="M68" t="str">
        <f t="shared" si="0"/>
        <v>2019_NSW_Greenethorpe_Mixed_Detailed</v>
      </c>
      <c r="N68">
        <f>I68</f>
        <v>11</v>
      </c>
      <c r="O68" t="str">
        <f t="shared" si="1"/>
        <v>2019_NSW_Greenethorpe_Mixed_Detailed_47</v>
      </c>
      <c r="P68" t="str">
        <f t="shared" si="2"/>
        <v>2019_NSW_Greenethorpe_Mixed_DetailedTOS3VarietyJumbo2WaterTrtIrrigated</v>
      </c>
    </row>
    <row r="69" spans="1:16" x14ac:dyDescent="0.25">
      <c r="G69">
        <v>3</v>
      </c>
      <c r="H69" t="s">
        <v>4398</v>
      </c>
      <c r="I69">
        <v>1</v>
      </c>
      <c r="J69" s="6">
        <v>49</v>
      </c>
      <c r="M69" t="str">
        <f t="shared" si="0"/>
        <v>2019_NSW_Greenethorpe_Mixed_Detailed</v>
      </c>
      <c r="N69">
        <f>I69</f>
        <v>1</v>
      </c>
      <c r="O69" t="str">
        <f t="shared" si="1"/>
        <v>2019_NSW_Greenethorpe_Mixed_Detailed_49</v>
      </c>
      <c r="P69" t="str">
        <f t="shared" si="2"/>
        <v>2019_NSW_Greenethorpe_Mixed_DetailedTOS3VarietyJumbo2WaterTrtIrrigated</v>
      </c>
    </row>
    <row r="70" spans="1:16" x14ac:dyDescent="0.25">
      <c r="I70">
        <v>2</v>
      </c>
      <c r="J70" s="6">
        <v>50</v>
      </c>
      <c r="M70" t="str">
        <f t="shared" ref="M70:M133" si="3">IF(B70="",M69,B70)</f>
        <v>2019_NSW_Greenethorpe_Mixed_Detailed</v>
      </c>
      <c r="N70">
        <f>I70</f>
        <v>2</v>
      </c>
      <c r="O70" t="str">
        <f t="shared" ref="O70:O133" si="4">M70&amp;"_"&amp;J70</f>
        <v>2019_NSW_Greenethorpe_Mixed_Detailed_50</v>
      </c>
      <c r="P70" t="str">
        <f t="shared" ref="P70:P133" si="5">IF(A70="",P69,A70)</f>
        <v>2019_NSW_Greenethorpe_Mixed_DetailedTOS3VarietyJumbo2WaterTrtIrrigated</v>
      </c>
    </row>
    <row r="71" spans="1:16" x14ac:dyDescent="0.25">
      <c r="A71" t="s">
        <v>4216</v>
      </c>
      <c r="B71" t="s">
        <v>36</v>
      </c>
      <c r="C71">
        <v>3</v>
      </c>
      <c r="D71" t="s">
        <v>4176</v>
      </c>
      <c r="E71" t="s">
        <v>40</v>
      </c>
      <c r="F71" t="s">
        <v>4398</v>
      </c>
      <c r="G71">
        <v>1</v>
      </c>
      <c r="H71" t="s">
        <v>4398</v>
      </c>
      <c r="I71">
        <v>2</v>
      </c>
      <c r="J71" s="6">
        <v>2</v>
      </c>
      <c r="M71" t="str">
        <f t="shared" si="3"/>
        <v>2019_NSW_Greenethorpe_Mixed_Detailed</v>
      </c>
      <c r="N71">
        <f>I71</f>
        <v>2</v>
      </c>
      <c r="O71" t="str">
        <f t="shared" si="4"/>
        <v>2019_NSW_Greenethorpe_Mixed_Detailed_2</v>
      </c>
      <c r="P71" t="str">
        <f t="shared" si="5"/>
        <v>2019_NSW_Greenethorpe_Mixed_DetailedTOS3VarietyJumbo2WaterTrtRainFed</v>
      </c>
    </row>
    <row r="72" spans="1:16" x14ac:dyDescent="0.25">
      <c r="I72">
        <v>4</v>
      </c>
      <c r="J72" s="6">
        <v>4</v>
      </c>
      <c r="M72" t="str">
        <f t="shared" si="3"/>
        <v>2019_NSW_Greenethorpe_Mixed_Detailed</v>
      </c>
      <c r="N72">
        <f>I72</f>
        <v>4</v>
      </c>
      <c r="O72" t="str">
        <f t="shared" si="4"/>
        <v>2019_NSW_Greenethorpe_Mixed_Detailed_4</v>
      </c>
      <c r="P72" t="str">
        <f t="shared" si="5"/>
        <v>2019_NSW_Greenethorpe_Mixed_DetailedTOS3VarietyJumbo2WaterTrtRainFed</v>
      </c>
    </row>
    <row r="73" spans="1:16" x14ac:dyDescent="0.25">
      <c r="G73">
        <v>2</v>
      </c>
      <c r="H73" t="s">
        <v>4398</v>
      </c>
      <c r="I73">
        <v>5</v>
      </c>
      <c r="J73" s="6">
        <v>29</v>
      </c>
      <c r="M73" t="str">
        <f t="shared" si="3"/>
        <v>2019_NSW_Greenethorpe_Mixed_Detailed</v>
      </c>
      <c r="N73">
        <f>I73</f>
        <v>5</v>
      </c>
      <c r="O73" t="str">
        <f t="shared" si="4"/>
        <v>2019_NSW_Greenethorpe_Mixed_Detailed_29</v>
      </c>
      <c r="P73" t="str">
        <f t="shared" si="5"/>
        <v>2019_NSW_Greenethorpe_Mixed_DetailedTOS3VarietyJumbo2WaterTrtRainFed</v>
      </c>
    </row>
    <row r="74" spans="1:16" x14ac:dyDescent="0.25">
      <c r="I74">
        <v>7</v>
      </c>
      <c r="J74" s="6">
        <v>31</v>
      </c>
      <c r="M74" t="str">
        <f t="shared" si="3"/>
        <v>2019_NSW_Greenethorpe_Mixed_Detailed</v>
      </c>
      <c r="N74">
        <f>I74</f>
        <v>7</v>
      </c>
      <c r="O74" t="str">
        <f t="shared" si="4"/>
        <v>2019_NSW_Greenethorpe_Mixed_Detailed_31</v>
      </c>
      <c r="P74" t="str">
        <f t="shared" si="5"/>
        <v>2019_NSW_Greenethorpe_Mixed_DetailedTOS3VarietyJumbo2WaterTrtRainFed</v>
      </c>
    </row>
    <row r="75" spans="1:16" x14ac:dyDescent="0.25">
      <c r="G75">
        <v>3</v>
      </c>
      <c r="H75" t="s">
        <v>4398</v>
      </c>
      <c r="I75">
        <v>7</v>
      </c>
      <c r="J75" s="6">
        <v>67</v>
      </c>
      <c r="M75" t="str">
        <f t="shared" si="3"/>
        <v>2019_NSW_Greenethorpe_Mixed_Detailed</v>
      </c>
      <c r="N75">
        <f>I75</f>
        <v>7</v>
      </c>
      <c r="O75" t="str">
        <f t="shared" si="4"/>
        <v>2019_NSW_Greenethorpe_Mixed_Detailed_67</v>
      </c>
      <c r="P75" t="str">
        <f t="shared" si="5"/>
        <v>2019_NSW_Greenethorpe_Mixed_DetailedTOS3VarietyJumbo2WaterTrtRainFed</v>
      </c>
    </row>
    <row r="76" spans="1:16" x14ac:dyDescent="0.25">
      <c r="I76">
        <v>8</v>
      </c>
      <c r="J76" s="6">
        <v>68</v>
      </c>
      <c r="M76" t="str">
        <f t="shared" si="3"/>
        <v>2019_NSW_Greenethorpe_Mixed_Detailed</v>
      </c>
      <c r="N76">
        <f>I76</f>
        <v>8</v>
      </c>
      <c r="O76" t="str">
        <f t="shared" si="4"/>
        <v>2019_NSW_Greenethorpe_Mixed_Detailed_68</v>
      </c>
      <c r="P76" t="str">
        <f t="shared" si="5"/>
        <v>2019_NSW_Greenethorpe_Mixed_DetailedTOS3VarietyJumbo2WaterTrtRainFed</v>
      </c>
    </row>
    <row r="77" spans="1:16" x14ac:dyDescent="0.25">
      <c r="A77" t="s">
        <v>4217</v>
      </c>
      <c r="B77" t="s">
        <v>1562</v>
      </c>
      <c r="C77">
        <v>1</v>
      </c>
      <c r="D77" t="s">
        <v>4175</v>
      </c>
      <c r="E77" t="s">
        <v>40</v>
      </c>
      <c r="F77" t="s">
        <v>4398</v>
      </c>
      <c r="G77">
        <v>1</v>
      </c>
      <c r="H77" t="s">
        <v>253</v>
      </c>
      <c r="I77">
        <v>5</v>
      </c>
      <c r="J77" s="6">
        <v>11</v>
      </c>
      <c r="M77" t="str">
        <f t="shared" si="3"/>
        <v>2022_NSW_Methul_Lentil_Satellite</v>
      </c>
      <c r="N77">
        <f>I77</f>
        <v>5</v>
      </c>
      <c r="O77" t="str">
        <f t="shared" si="4"/>
        <v>2022_NSW_Methul_Lentil_Satellite_11</v>
      </c>
      <c r="P77" t="str">
        <f t="shared" si="5"/>
        <v>2022_NSW_Methul_Lentil_SatelliteTOS1VarietyAceWaterTrtRainFed</v>
      </c>
    </row>
    <row r="78" spans="1:16" x14ac:dyDescent="0.25">
      <c r="G78">
        <v>2</v>
      </c>
      <c r="H78" t="s">
        <v>253</v>
      </c>
      <c r="I78">
        <v>3</v>
      </c>
      <c r="J78" s="6">
        <v>15</v>
      </c>
      <c r="M78" t="str">
        <f t="shared" si="3"/>
        <v>2022_NSW_Methul_Lentil_Satellite</v>
      </c>
      <c r="N78">
        <f>I78</f>
        <v>3</v>
      </c>
      <c r="O78" t="str">
        <f t="shared" si="4"/>
        <v>2022_NSW_Methul_Lentil_Satellite_15</v>
      </c>
      <c r="P78" t="str">
        <f t="shared" si="5"/>
        <v>2022_NSW_Methul_Lentil_SatelliteTOS1VarietyAceWaterTrtRainFed</v>
      </c>
    </row>
    <row r="79" spans="1:16" x14ac:dyDescent="0.25">
      <c r="G79">
        <v>3</v>
      </c>
      <c r="H79" t="s">
        <v>253</v>
      </c>
      <c r="I79">
        <v>1</v>
      </c>
      <c r="J79" s="6">
        <v>31</v>
      </c>
      <c r="M79" t="str">
        <f t="shared" si="3"/>
        <v>2022_NSW_Methul_Lentil_Satellite</v>
      </c>
      <c r="N79">
        <f>I79</f>
        <v>1</v>
      </c>
      <c r="O79" t="str">
        <f t="shared" si="4"/>
        <v>2022_NSW_Methul_Lentil_Satellite_31</v>
      </c>
      <c r="P79" t="str">
        <f t="shared" si="5"/>
        <v>2022_NSW_Methul_Lentil_SatelliteTOS1VarietyAceWaterTrtRainFed</v>
      </c>
    </row>
    <row r="80" spans="1:16" x14ac:dyDescent="0.25">
      <c r="G80">
        <v>4</v>
      </c>
      <c r="H80" t="s">
        <v>253</v>
      </c>
      <c r="I80">
        <v>2</v>
      </c>
      <c r="J80" s="6">
        <v>38</v>
      </c>
      <c r="M80" t="str">
        <f t="shared" si="3"/>
        <v>2022_NSW_Methul_Lentil_Satellite</v>
      </c>
      <c r="N80">
        <f>I80</f>
        <v>2</v>
      </c>
      <c r="O80" t="str">
        <f t="shared" si="4"/>
        <v>2022_NSW_Methul_Lentil_Satellite_38</v>
      </c>
      <c r="P80" t="str">
        <f t="shared" si="5"/>
        <v>2022_NSW_Methul_Lentil_SatelliteTOS1VarietyAceWaterTrtRainFed</v>
      </c>
    </row>
    <row r="81" spans="1:16" x14ac:dyDescent="0.25">
      <c r="A81" t="s">
        <v>4218</v>
      </c>
      <c r="B81" t="s">
        <v>1562</v>
      </c>
      <c r="C81">
        <v>1</v>
      </c>
      <c r="D81" t="s">
        <v>4187</v>
      </c>
      <c r="E81" t="s">
        <v>40</v>
      </c>
      <c r="F81" t="s">
        <v>4398</v>
      </c>
      <c r="G81">
        <v>1</v>
      </c>
      <c r="H81" t="s">
        <v>253</v>
      </c>
      <c r="I81">
        <v>1</v>
      </c>
      <c r="J81" s="6">
        <v>7</v>
      </c>
      <c r="M81" t="str">
        <f t="shared" si="3"/>
        <v>2022_NSW_Methul_Lentil_Satellite</v>
      </c>
      <c r="N81">
        <f>I81</f>
        <v>1</v>
      </c>
      <c r="O81" t="str">
        <f t="shared" si="4"/>
        <v>2022_NSW_Methul_Lentil_Satellite_7</v>
      </c>
      <c r="P81" t="str">
        <f t="shared" si="5"/>
        <v>2022_NSW_Methul_Lentil_SatelliteTOS1VarietyBoltWaterTrtRainFed</v>
      </c>
    </row>
    <row r="82" spans="1:16" x14ac:dyDescent="0.25">
      <c r="G82">
        <v>2</v>
      </c>
      <c r="H82" t="s">
        <v>253</v>
      </c>
      <c r="I82">
        <v>4</v>
      </c>
      <c r="J82" s="6">
        <v>16</v>
      </c>
      <c r="M82" t="str">
        <f t="shared" si="3"/>
        <v>2022_NSW_Methul_Lentil_Satellite</v>
      </c>
      <c r="N82">
        <f>I82</f>
        <v>4</v>
      </c>
      <c r="O82" t="str">
        <f t="shared" si="4"/>
        <v>2022_NSW_Methul_Lentil_Satellite_16</v>
      </c>
      <c r="P82" t="str">
        <f t="shared" si="5"/>
        <v>2022_NSW_Methul_Lentil_SatelliteTOS1VarietyBoltWaterTrtRainFed</v>
      </c>
    </row>
    <row r="83" spans="1:16" x14ac:dyDescent="0.25">
      <c r="G83">
        <v>3</v>
      </c>
      <c r="H83" t="s">
        <v>253</v>
      </c>
      <c r="I83">
        <v>6</v>
      </c>
      <c r="J83" s="6">
        <v>36</v>
      </c>
      <c r="M83" t="str">
        <f t="shared" si="3"/>
        <v>2022_NSW_Methul_Lentil_Satellite</v>
      </c>
      <c r="N83">
        <f>I83</f>
        <v>6</v>
      </c>
      <c r="O83" t="str">
        <f t="shared" si="4"/>
        <v>2022_NSW_Methul_Lentil_Satellite_36</v>
      </c>
      <c r="P83" t="str">
        <f t="shared" si="5"/>
        <v>2022_NSW_Methul_Lentil_SatelliteTOS1VarietyBoltWaterTrtRainFed</v>
      </c>
    </row>
    <row r="84" spans="1:16" x14ac:dyDescent="0.25">
      <c r="G84">
        <v>4</v>
      </c>
      <c r="H84" t="s">
        <v>253</v>
      </c>
      <c r="I84">
        <v>3</v>
      </c>
      <c r="J84" s="6">
        <v>39</v>
      </c>
      <c r="M84" t="str">
        <f t="shared" si="3"/>
        <v>2022_NSW_Methul_Lentil_Satellite</v>
      </c>
      <c r="N84">
        <f>I84</f>
        <v>3</v>
      </c>
      <c r="O84" t="str">
        <f t="shared" si="4"/>
        <v>2022_NSW_Methul_Lentil_Satellite_39</v>
      </c>
      <c r="P84" t="str">
        <f t="shared" si="5"/>
        <v>2022_NSW_Methul_Lentil_SatelliteTOS1VarietyBoltWaterTrtRainFed</v>
      </c>
    </row>
    <row r="85" spans="1:16" x14ac:dyDescent="0.25">
      <c r="A85" t="s">
        <v>4219</v>
      </c>
      <c r="B85" t="s">
        <v>1562</v>
      </c>
      <c r="C85">
        <v>1</v>
      </c>
      <c r="D85" t="s">
        <v>4192</v>
      </c>
      <c r="E85" t="s">
        <v>40</v>
      </c>
      <c r="F85" t="s">
        <v>4398</v>
      </c>
      <c r="G85">
        <v>1</v>
      </c>
      <c r="H85" t="s">
        <v>253</v>
      </c>
      <c r="I85">
        <v>4</v>
      </c>
      <c r="J85" s="6">
        <v>10</v>
      </c>
      <c r="M85" t="str">
        <f t="shared" si="3"/>
        <v>2022_NSW_Methul_Lentil_Satellite</v>
      </c>
      <c r="N85">
        <f>I85</f>
        <v>4</v>
      </c>
      <c r="O85" t="str">
        <f t="shared" si="4"/>
        <v>2022_NSW_Methul_Lentil_Satellite_10</v>
      </c>
      <c r="P85" t="str">
        <f t="shared" si="5"/>
        <v>2022_NSW_Methul_Lentil_SatelliteTOS1VarietyGreenfieldWaterTrtRainFed</v>
      </c>
    </row>
    <row r="86" spans="1:16" x14ac:dyDescent="0.25">
      <c r="G86">
        <v>2</v>
      </c>
      <c r="H86" t="s">
        <v>253</v>
      </c>
      <c r="I86">
        <v>6</v>
      </c>
      <c r="J86" s="6">
        <v>18</v>
      </c>
      <c r="M86" t="str">
        <f t="shared" si="3"/>
        <v>2022_NSW_Methul_Lentil_Satellite</v>
      </c>
      <c r="N86">
        <f>I86</f>
        <v>6</v>
      </c>
      <c r="O86" t="str">
        <f t="shared" si="4"/>
        <v>2022_NSW_Methul_Lentil_Satellite_18</v>
      </c>
      <c r="P86" t="str">
        <f t="shared" si="5"/>
        <v>2022_NSW_Methul_Lentil_SatelliteTOS1VarietyGreenfieldWaterTrtRainFed</v>
      </c>
    </row>
    <row r="87" spans="1:16" x14ac:dyDescent="0.25">
      <c r="G87">
        <v>3</v>
      </c>
      <c r="H87" t="s">
        <v>253</v>
      </c>
      <c r="I87">
        <v>3</v>
      </c>
      <c r="J87" s="6">
        <v>33</v>
      </c>
      <c r="M87" t="str">
        <f t="shared" si="3"/>
        <v>2022_NSW_Methul_Lentil_Satellite</v>
      </c>
      <c r="N87">
        <f>I87</f>
        <v>3</v>
      </c>
      <c r="O87" t="str">
        <f t="shared" si="4"/>
        <v>2022_NSW_Methul_Lentil_Satellite_33</v>
      </c>
      <c r="P87" t="str">
        <f t="shared" si="5"/>
        <v>2022_NSW_Methul_Lentil_SatelliteTOS1VarietyGreenfieldWaterTrtRainFed</v>
      </c>
    </row>
    <row r="88" spans="1:16" x14ac:dyDescent="0.25">
      <c r="G88">
        <v>4</v>
      </c>
      <c r="H88" t="s">
        <v>253</v>
      </c>
      <c r="I88">
        <v>1</v>
      </c>
      <c r="J88" s="6">
        <v>37</v>
      </c>
      <c r="M88" t="str">
        <f t="shared" si="3"/>
        <v>2022_NSW_Methul_Lentil_Satellite</v>
      </c>
      <c r="N88">
        <f>I88</f>
        <v>1</v>
      </c>
      <c r="O88" t="str">
        <f t="shared" si="4"/>
        <v>2022_NSW_Methul_Lentil_Satellite_37</v>
      </c>
      <c r="P88" t="str">
        <f t="shared" si="5"/>
        <v>2022_NSW_Methul_Lentil_SatelliteTOS1VarietyGreenfieldWaterTrtRainFed</v>
      </c>
    </row>
    <row r="89" spans="1:16" x14ac:dyDescent="0.25">
      <c r="A89" t="s">
        <v>4220</v>
      </c>
      <c r="B89" t="s">
        <v>1562</v>
      </c>
      <c r="C89">
        <v>1</v>
      </c>
      <c r="D89" t="s">
        <v>4189</v>
      </c>
      <c r="E89" t="s">
        <v>40</v>
      </c>
      <c r="F89" t="s">
        <v>4398</v>
      </c>
      <c r="G89">
        <v>1</v>
      </c>
      <c r="H89" t="s">
        <v>253</v>
      </c>
      <c r="I89">
        <v>3</v>
      </c>
      <c r="J89" s="6">
        <v>9</v>
      </c>
      <c r="M89" t="str">
        <f t="shared" si="3"/>
        <v>2022_NSW_Methul_Lentil_Satellite</v>
      </c>
      <c r="N89">
        <f>I89</f>
        <v>3</v>
      </c>
      <c r="O89" t="str">
        <f t="shared" si="4"/>
        <v>2022_NSW_Methul_Lentil_Satellite_9</v>
      </c>
      <c r="P89" t="str">
        <f t="shared" si="5"/>
        <v>2022_NSW_Methul_Lentil_SatelliteTOS1VarietyHallmarkXTWaterTrtRainFed</v>
      </c>
    </row>
    <row r="90" spans="1:16" x14ac:dyDescent="0.25">
      <c r="G90">
        <v>2</v>
      </c>
      <c r="H90" t="s">
        <v>253</v>
      </c>
      <c r="I90">
        <v>2</v>
      </c>
      <c r="J90" s="6">
        <v>14</v>
      </c>
      <c r="M90" t="str">
        <f t="shared" si="3"/>
        <v>2022_NSW_Methul_Lentil_Satellite</v>
      </c>
      <c r="N90">
        <f>I90</f>
        <v>2</v>
      </c>
      <c r="O90" t="str">
        <f t="shared" si="4"/>
        <v>2022_NSW_Methul_Lentil_Satellite_14</v>
      </c>
      <c r="P90" t="str">
        <f t="shared" si="5"/>
        <v>2022_NSW_Methul_Lentil_SatelliteTOS1VarietyHallmarkXTWaterTrtRainFed</v>
      </c>
    </row>
    <row r="91" spans="1:16" x14ac:dyDescent="0.25">
      <c r="G91">
        <v>3</v>
      </c>
      <c r="H91" t="s">
        <v>253</v>
      </c>
      <c r="I91">
        <v>5</v>
      </c>
      <c r="J91" s="6">
        <v>35</v>
      </c>
      <c r="M91" t="str">
        <f t="shared" si="3"/>
        <v>2022_NSW_Methul_Lentil_Satellite</v>
      </c>
      <c r="N91">
        <f>I91</f>
        <v>5</v>
      </c>
      <c r="O91" t="str">
        <f t="shared" si="4"/>
        <v>2022_NSW_Methul_Lentil_Satellite_35</v>
      </c>
      <c r="P91" t="str">
        <f t="shared" si="5"/>
        <v>2022_NSW_Methul_Lentil_SatelliteTOS1VarietyHallmarkXTWaterTrtRainFed</v>
      </c>
    </row>
    <row r="92" spans="1:16" x14ac:dyDescent="0.25">
      <c r="G92">
        <v>4</v>
      </c>
      <c r="H92" t="s">
        <v>253</v>
      </c>
      <c r="I92">
        <v>4</v>
      </c>
      <c r="J92" s="6">
        <v>40</v>
      </c>
      <c r="M92" t="str">
        <f t="shared" si="3"/>
        <v>2022_NSW_Methul_Lentil_Satellite</v>
      </c>
      <c r="N92">
        <f>I92</f>
        <v>4</v>
      </c>
      <c r="O92" t="str">
        <f t="shared" si="4"/>
        <v>2022_NSW_Methul_Lentil_Satellite_40</v>
      </c>
      <c r="P92" t="str">
        <f t="shared" si="5"/>
        <v>2022_NSW_Methul_Lentil_SatelliteTOS1VarietyHallmarkXTWaterTrtRainFed</v>
      </c>
    </row>
    <row r="93" spans="1:16" x14ac:dyDescent="0.25">
      <c r="A93" t="s">
        <v>4221</v>
      </c>
      <c r="B93" t="s">
        <v>1562</v>
      </c>
      <c r="C93">
        <v>1</v>
      </c>
      <c r="D93" t="s">
        <v>4176</v>
      </c>
      <c r="E93" t="s">
        <v>40</v>
      </c>
      <c r="F93" t="s">
        <v>4398</v>
      </c>
      <c r="G93">
        <v>1</v>
      </c>
      <c r="H93" t="s">
        <v>253</v>
      </c>
      <c r="I93">
        <v>2</v>
      </c>
      <c r="J93" s="6">
        <v>8</v>
      </c>
      <c r="M93" t="str">
        <f t="shared" si="3"/>
        <v>2022_NSW_Methul_Lentil_Satellite</v>
      </c>
      <c r="N93">
        <f>I93</f>
        <v>2</v>
      </c>
      <c r="O93" t="str">
        <f t="shared" si="4"/>
        <v>2022_NSW_Methul_Lentil_Satellite_8</v>
      </c>
      <c r="P93" t="str">
        <f t="shared" si="5"/>
        <v>2022_NSW_Methul_Lentil_SatelliteTOS1VarietyJumbo2WaterTrtRainFed</v>
      </c>
    </row>
    <row r="94" spans="1:16" x14ac:dyDescent="0.25">
      <c r="G94">
        <v>2</v>
      </c>
      <c r="H94" t="s">
        <v>253</v>
      </c>
      <c r="I94">
        <v>5</v>
      </c>
      <c r="J94" s="6">
        <v>17</v>
      </c>
      <c r="M94" t="str">
        <f t="shared" si="3"/>
        <v>2022_NSW_Methul_Lentil_Satellite</v>
      </c>
      <c r="N94">
        <f>I94</f>
        <v>5</v>
      </c>
      <c r="O94" t="str">
        <f t="shared" si="4"/>
        <v>2022_NSW_Methul_Lentil_Satellite_17</v>
      </c>
      <c r="P94" t="str">
        <f t="shared" si="5"/>
        <v>2022_NSW_Methul_Lentil_SatelliteTOS1VarietyJumbo2WaterTrtRainFed</v>
      </c>
    </row>
    <row r="95" spans="1:16" x14ac:dyDescent="0.25">
      <c r="G95">
        <v>3</v>
      </c>
      <c r="H95" t="s">
        <v>253</v>
      </c>
      <c r="I95">
        <v>4</v>
      </c>
      <c r="J95" s="6">
        <v>34</v>
      </c>
      <c r="M95" t="str">
        <f t="shared" si="3"/>
        <v>2022_NSW_Methul_Lentil_Satellite</v>
      </c>
      <c r="N95">
        <f>I95</f>
        <v>4</v>
      </c>
      <c r="O95" t="str">
        <f t="shared" si="4"/>
        <v>2022_NSW_Methul_Lentil_Satellite_34</v>
      </c>
      <c r="P95" t="str">
        <f t="shared" si="5"/>
        <v>2022_NSW_Methul_Lentil_SatelliteTOS1VarietyJumbo2WaterTrtRainFed</v>
      </c>
    </row>
    <row r="96" spans="1:16" x14ac:dyDescent="0.25">
      <c r="G96">
        <v>4</v>
      </c>
      <c r="H96" t="s">
        <v>253</v>
      </c>
      <c r="I96">
        <v>6</v>
      </c>
      <c r="J96" s="6">
        <v>42</v>
      </c>
      <c r="M96" t="str">
        <f t="shared" si="3"/>
        <v>2022_NSW_Methul_Lentil_Satellite</v>
      </c>
      <c r="N96">
        <f>I96</f>
        <v>6</v>
      </c>
      <c r="O96" t="str">
        <f t="shared" si="4"/>
        <v>2022_NSW_Methul_Lentil_Satellite_42</v>
      </c>
      <c r="P96" t="str">
        <f t="shared" si="5"/>
        <v>2022_NSW_Methul_Lentil_SatelliteTOS1VarietyJumbo2WaterTrtRainFed</v>
      </c>
    </row>
    <row r="97" spans="1:16" x14ac:dyDescent="0.25">
      <c r="A97" t="s">
        <v>4222</v>
      </c>
      <c r="B97" t="s">
        <v>1562</v>
      </c>
      <c r="C97">
        <v>1</v>
      </c>
      <c r="D97" t="s">
        <v>4188</v>
      </c>
      <c r="E97" t="s">
        <v>40</v>
      </c>
      <c r="F97" t="s">
        <v>4398</v>
      </c>
      <c r="G97">
        <v>1</v>
      </c>
      <c r="H97" t="s">
        <v>253</v>
      </c>
      <c r="I97">
        <v>6</v>
      </c>
      <c r="J97" s="6">
        <v>12</v>
      </c>
      <c r="M97" t="str">
        <f t="shared" si="3"/>
        <v>2022_NSW_Methul_Lentil_Satellite</v>
      </c>
      <c r="N97">
        <f>I97</f>
        <v>6</v>
      </c>
      <c r="O97" t="str">
        <f t="shared" si="4"/>
        <v>2022_NSW_Methul_Lentil_Satellite_12</v>
      </c>
      <c r="P97" t="str">
        <f t="shared" si="5"/>
        <v>2022_NSW_Methul_Lentil_SatelliteTOS1VarietyKelpieXTWaterTrtRainFed</v>
      </c>
    </row>
    <row r="98" spans="1:16" x14ac:dyDescent="0.25">
      <c r="G98">
        <v>2</v>
      </c>
      <c r="H98" t="s">
        <v>253</v>
      </c>
      <c r="I98">
        <v>1</v>
      </c>
      <c r="J98" s="6">
        <v>13</v>
      </c>
      <c r="M98" t="str">
        <f t="shared" si="3"/>
        <v>2022_NSW_Methul_Lentil_Satellite</v>
      </c>
      <c r="N98">
        <f>I98</f>
        <v>1</v>
      </c>
      <c r="O98" t="str">
        <f t="shared" si="4"/>
        <v>2022_NSW_Methul_Lentil_Satellite_13</v>
      </c>
      <c r="P98" t="str">
        <f t="shared" si="5"/>
        <v>2022_NSW_Methul_Lentil_SatelliteTOS1VarietyKelpieXTWaterTrtRainFed</v>
      </c>
    </row>
    <row r="99" spans="1:16" x14ac:dyDescent="0.25">
      <c r="G99">
        <v>3</v>
      </c>
      <c r="H99" t="s">
        <v>253</v>
      </c>
      <c r="I99">
        <v>2</v>
      </c>
      <c r="J99" s="6">
        <v>32</v>
      </c>
      <c r="M99" t="str">
        <f t="shared" si="3"/>
        <v>2022_NSW_Methul_Lentil_Satellite</v>
      </c>
      <c r="N99">
        <f>I99</f>
        <v>2</v>
      </c>
      <c r="O99" t="str">
        <f t="shared" si="4"/>
        <v>2022_NSW_Methul_Lentil_Satellite_32</v>
      </c>
      <c r="P99" t="str">
        <f t="shared" si="5"/>
        <v>2022_NSW_Methul_Lentil_SatelliteTOS1VarietyKelpieXTWaterTrtRainFed</v>
      </c>
    </row>
    <row r="100" spans="1:16" x14ac:dyDescent="0.25">
      <c r="G100">
        <v>4</v>
      </c>
      <c r="H100" t="s">
        <v>253</v>
      </c>
      <c r="I100">
        <v>5</v>
      </c>
      <c r="J100" s="6">
        <v>41</v>
      </c>
      <c r="M100" t="str">
        <f t="shared" si="3"/>
        <v>2022_NSW_Methul_Lentil_Satellite</v>
      </c>
      <c r="N100">
        <f>I100</f>
        <v>5</v>
      </c>
      <c r="O100" t="str">
        <f t="shared" si="4"/>
        <v>2022_NSW_Methul_Lentil_Satellite_41</v>
      </c>
      <c r="P100" t="str">
        <f t="shared" si="5"/>
        <v>2022_NSW_Methul_Lentil_SatelliteTOS1VarietyKelpieXTWaterTrtRainFed</v>
      </c>
    </row>
    <row r="101" spans="1:16" x14ac:dyDescent="0.25">
      <c r="A101" t="s">
        <v>4223</v>
      </c>
      <c r="B101" t="s">
        <v>1562</v>
      </c>
      <c r="C101">
        <v>2</v>
      </c>
      <c r="D101" t="s">
        <v>4175</v>
      </c>
      <c r="E101" t="s">
        <v>40</v>
      </c>
      <c r="F101" t="s">
        <v>4398</v>
      </c>
      <c r="G101">
        <v>1</v>
      </c>
      <c r="H101" t="s">
        <v>253</v>
      </c>
      <c r="I101">
        <v>6</v>
      </c>
      <c r="J101" s="6">
        <v>6</v>
      </c>
      <c r="M101" t="str">
        <f t="shared" si="3"/>
        <v>2022_NSW_Methul_Lentil_Satellite</v>
      </c>
      <c r="N101">
        <f>I101</f>
        <v>6</v>
      </c>
      <c r="O101" t="str">
        <f t="shared" si="4"/>
        <v>2022_NSW_Methul_Lentil_Satellite_6</v>
      </c>
      <c r="P101" t="str">
        <f t="shared" si="5"/>
        <v>2022_NSW_Methul_Lentil_SatelliteTOS2VarietyAceWaterTrtRainFed</v>
      </c>
    </row>
    <row r="102" spans="1:16" x14ac:dyDescent="0.25">
      <c r="G102">
        <v>2</v>
      </c>
      <c r="H102" t="s">
        <v>253</v>
      </c>
      <c r="I102">
        <v>1</v>
      </c>
      <c r="J102" s="6">
        <v>19</v>
      </c>
      <c r="M102" t="str">
        <f t="shared" si="3"/>
        <v>2022_NSW_Methul_Lentil_Satellite</v>
      </c>
      <c r="N102">
        <f>I102</f>
        <v>1</v>
      </c>
      <c r="O102" t="str">
        <f t="shared" si="4"/>
        <v>2022_NSW_Methul_Lentil_Satellite_19</v>
      </c>
      <c r="P102" t="str">
        <f t="shared" si="5"/>
        <v>2022_NSW_Methul_Lentil_SatelliteTOS2VarietyAceWaterTrtRainFed</v>
      </c>
    </row>
    <row r="103" spans="1:16" x14ac:dyDescent="0.25">
      <c r="G103">
        <v>3</v>
      </c>
      <c r="H103" t="s">
        <v>253</v>
      </c>
      <c r="I103">
        <v>3</v>
      </c>
      <c r="J103" s="6">
        <v>27</v>
      </c>
      <c r="M103" t="str">
        <f t="shared" si="3"/>
        <v>2022_NSW_Methul_Lentil_Satellite</v>
      </c>
      <c r="N103">
        <f>I103</f>
        <v>3</v>
      </c>
      <c r="O103" t="str">
        <f t="shared" si="4"/>
        <v>2022_NSW_Methul_Lentil_Satellite_27</v>
      </c>
      <c r="P103" t="str">
        <f t="shared" si="5"/>
        <v>2022_NSW_Methul_Lentil_SatelliteTOS2VarietyAceWaterTrtRainFed</v>
      </c>
    </row>
    <row r="104" spans="1:16" x14ac:dyDescent="0.25">
      <c r="G104">
        <v>4</v>
      </c>
      <c r="H104" t="s">
        <v>253</v>
      </c>
      <c r="I104">
        <v>4</v>
      </c>
      <c r="J104" s="6">
        <v>46</v>
      </c>
      <c r="M104" t="str">
        <f t="shared" si="3"/>
        <v>2022_NSW_Methul_Lentil_Satellite</v>
      </c>
      <c r="N104">
        <f>I104</f>
        <v>4</v>
      </c>
      <c r="O104" t="str">
        <f t="shared" si="4"/>
        <v>2022_NSW_Methul_Lentil_Satellite_46</v>
      </c>
      <c r="P104" t="str">
        <f t="shared" si="5"/>
        <v>2022_NSW_Methul_Lentil_SatelliteTOS2VarietyAceWaterTrtRainFed</v>
      </c>
    </row>
    <row r="105" spans="1:16" x14ac:dyDescent="0.25">
      <c r="A105" t="s">
        <v>4224</v>
      </c>
      <c r="B105" t="s">
        <v>1562</v>
      </c>
      <c r="C105">
        <v>2</v>
      </c>
      <c r="D105" t="s">
        <v>4187</v>
      </c>
      <c r="E105" t="s">
        <v>40</v>
      </c>
      <c r="F105" t="s">
        <v>4398</v>
      </c>
      <c r="G105">
        <v>1</v>
      </c>
      <c r="H105" t="s">
        <v>253</v>
      </c>
      <c r="I105">
        <v>4</v>
      </c>
      <c r="J105" s="6">
        <v>4</v>
      </c>
      <c r="M105" t="str">
        <f t="shared" si="3"/>
        <v>2022_NSW_Methul_Lentil_Satellite</v>
      </c>
      <c r="N105">
        <f>I105</f>
        <v>4</v>
      </c>
      <c r="O105" t="str">
        <f t="shared" si="4"/>
        <v>2022_NSW_Methul_Lentil_Satellite_4</v>
      </c>
      <c r="P105" t="str">
        <f t="shared" si="5"/>
        <v>2022_NSW_Methul_Lentil_SatelliteTOS2VarietyBoltWaterTrtRainFed</v>
      </c>
    </row>
    <row r="106" spans="1:16" x14ac:dyDescent="0.25">
      <c r="G106">
        <v>2</v>
      </c>
      <c r="H106" t="s">
        <v>253</v>
      </c>
      <c r="I106">
        <v>5</v>
      </c>
      <c r="J106" s="6">
        <v>23</v>
      </c>
      <c r="M106" t="str">
        <f t="shared" si="3"/>
        <v>2022_NSW_Methul_Lentil_Satellite</v>
      </c>
      <c r="N106">
        <f>I106</f>
        <v>5</v>
      </c>
      <c r="O106" t="str">
        <f t="shared" si="4"/>
        <v>2022_NSW_Methul_Lentil_Satellite_23</v>
      </c>
      <c r="P106" t="str">
        <f t="shared" si="5"/>
        <v>2022_NSW_Methul_Lentil_SatelliteTOS2VarietyBoltWaterTrtRainFed</v>
      </c>
    </row>
    <row r="107" spans="1:16" x14ac:dyDescent="0.25">
      <c r="G107">
        <v>3</v>
      </c>
      <c r="H107" t="s">
        <v>253</v>
      </c>
      <c r="I107">
        <v>2</v>
      </c>
      <c r="J107" s="6">
        <v>26</v>
      </c>
      <c r="M107" t="str">
        <f t="shared" si="3"/>
        <v>2022_NSW_Methul_Lentil_Satellite</v>
      </c>
      <c r="N107">
        <f>I107</f>
        <v>2</v>
      </c>
      <c r="O107" t="str">
        <f t="shared" si="4"/>
        <v>2022_NSW_Methul_Lentil_Satellite_26</v>
      </c>
      <c r="P107" t="str">
        <f t="shared" si="5"/>
        <v>2022_NSW_Methul_Lentil_SatelliteTOS2VarietyBoltWaterTrtRainFed</v>
      </c>
    </row>
    <row r="108" spans="1:16" x14ac:dyDescent="0.25">
      <c r="G108">
        <v>4</v>
      </c>
      <c r="H108" t="s">
        <v>253</v>
      </c>
      <c r="I108">
        <v>1</v>
      </c>
      <c r="J108" s="6">
        <v>43</v>
      </c>
      <c r="M108" t="str">
        <f t="shared" si="3"/>
        <v>2022_NSW_Methul_Lentil_Satellite</v>
      </c>
      <c r="N108">
        <f>I108</f>
        <v>1</v>
      </c>
      <c r="O108" t="str">
        <f t="shared" si="4"/>
        <v>2022_NSW_Methul_Lentil_Satellite_43</v>
      </c>
      <c r="P108" t="str">
        <f t="shared" si="5"/>
        <v>2022_NSW_Methul_Lentil_SatelliteTOS2VarietyBoltWaterTrtRainFed</v>
      </c>
    </row>
    <row r="109" spans="1:16" x14ac:dyDescent="0.25">
      <c r="A109" t="s">
        <v>4225</v>
      </c>
      <c r="B109" t="s">
        <v>1562</v>
      </c>
      <c r="C109">
        <v>2</v>
      </c>
      <c r="D109" t="s">
        <v>4192</v>
      </c>
      <c r="E109" t="s">
        <v>40</v>
      </c>
      <c r="F109" t="s">
        <v>4398</v>
      </c>
      <c r="G109">
        <v>1</v>
      </c>
      <c r="H109" t="s">
        <v>253</v>
      </c>
      <c r="I109">
        <v>3</v>
      </c>
      <c r="J109" s="6">
        <v>3</v>
      </c>
      <c r="M109" t="str">
        <f t="shared" si="3"/>
        <v>2022_NSW_Methul_Lentil_Satellite</v>
      </c>
      <c r="N109">
        <f>I109</f>
        <v>3</v>
      </c>
      <c r="O109" t="str">
        <f t="shared" si="4"/>
        <v>2022_NSW_Methul_Lentil_Satellite_3</v>
      </c>
      <c r="P109" t="str">
        <f t="shared" si="5"/>
        <v>2022_NSW_Methul_Lentil_SatelliteTOS2VarietyGreenfieldWaterTrtRainFed</v>
      </c>
    </row>
    <row r="110" spans="1:16" x14ac:dyDescent="0.25">
      <c r="G110">
        <v>2</v>
      </c>
      <c r="H110" t="s">
        <v>253</v>
      </c>
      <c r="I110">
        <v>2</v>
      </c>
      <c r="J110" s="6">
        <v>20</v>
      </c>
      <c r="M110" t="str">
        <f t="shared" si="3"/>
        <v>2022_NSW_Methul_Lentil_Satellite</v>
      </c>
      <c r="N110">
        <f>I110</f>
        <v>2</v>
      </c>
      <c r="O110" t="str">
        <f t="shared" si="4"/>
        <v>2022_NSW_Methul_Lentil_Satellite_20</v>
      </c>
      <c r="P110" t="str">
        <f t="shared" si="5"/>
        <v>2022_NSW_Methul_Lentil_SatelliteTOS2VarietyGreenfieldWaterTrtRainFed</v>
      </c>
    </row>
    <row r="111" spans="1:16" x14ac:dyDescent="0.25">
      <c r="G111">
        <v>3</v>
      </c>
      <c r="H111" t="s">
        <v>253</v>
      </c>
      <c r="I111">
        <v>5</v>
      </c>
      <c r="J111" s="6">
        <v>29</v>
      </c>
      <c r="M111" t="str">
        <f t="shared" si="3"/>
        <v>2022_NSW_Methul_Lentil_Satellite</v>
      </c>
      <c r="N111">
        <f>I111</f>
        <v>5</v>
      </c>
      <c r="O111" t="str">
        <f t="shared" si="4"/>
        <v>2022_NSW_Methul_Lentil_Satellite_29</v>
      </c>
      <c r="P111" t="str">
        <f t="shared" si="5"/>
        <v>2022_NSW_Methul_Lentil_SatelliteTOS2VarietyGreenfieldWaterTrtRainFed</v>
      </c>
    </row>
    <row r="112" spans="1:16" x14ac:dyDescent="0.25">
      <c r="G112">
        <v>4</v>
      </c>
      <c r="H112" t="s">
        <v>253</v>
      </c>
      <c r="I112">
        <v>6</v>
      </c>
      <c r="J112" s="6">
        <v>48</v>
      </c>
      <c r="M112" t="str">
        <f t="shared" si="3"/>
        <v>2022_NSW_Methul_Lentil_Satellite</v>
      </c>
      <c r="N112">
        <f>I112</f>
        <v>6</v>
      </c>
      <c r="O112" t="str">
        <f t="shared" si="4"/>
        <v>2022_NSW_Methul_Lentil_Satellite_48</v>
      </c>
      <c r="P112" t="str">
        <f t="shared" si="5"/>
        <v>2022_NSW_Methul_Lentil_SatelliteTOS2VarietyGreenfieldWaterTrtRainFed</v>
      </c>
    </row>
    <row r="113" spans="1:16" x14ac:dyDescent="0.25">
      <c r="A113" t="s">
        <v>4226</v>
      </c>
      <c r="B113" t="s">
        <v>1562</v>
      </c>
      <c r="C113">
        <v>2</v>
      </c>
      <c r="D113" t="s">
        <v>4189</v>
      </c>
      <c r="E113" t="s">
        <v>40</v>
      </c>
      <c r="F113" t="s">
        <v>4398</v>
      </c>
      <c r="G113">
        <v>1</v>
      </c>
      <c r="H113" t="s">
        <v>253</v>
      </c>
      <c r="I113">
        <v>1</v>
      </c>
      <c r="J113" s="6">
        <v>1</v>
      </c>
      <c r="M113" t="str">
        <f t="shared" si="3"/>
        <v>2022_NSW_Methul_Lentil_Satellite</v>
      </c>
      <c r="N113">
        <f>I113</f>
        <v>1</v>
      </c>
      <c r="O113" t="str">
        <f t="shared" si="4"/>
        <v>2022_NSW_Methul_Lentil_Satellite_1</v>
      </c>
      <c r="P113" t="str">
        <f t="shared" si="5"/>
        <v>2022_NSW_Methul_Lentil_SatelliteTOS2VarietyHallmarkXTWaterTrtRainFed</v>
      </c>
    </row>
    <row r="114" spans="1:16" x14ac:dyDescent="0.25">
      <c r="G114">
        <v>2</v>
      </c>
      <c r="H114" t="s">
        <v>253</v>
      </c>
      <c r="I114">
        <v>6</v>
      </c>
      <c r="J114" s="6">
        <v>24</v>
      </c>
      <c r="M114" t="str">
        <f t="shared" si="3"/>
        <v>2022_NSW_Methul_Lentil_Satellite</v>
      </c>
      <c r="N114">
        <f>I114</f>
        <v>6</v>
      </c>
      <c r="O114" t="str">
        <f t="shared" si="4"/>
        <v>2022_NSW_Methul_Lentil_Satellite_24</v>
      </c>
      <c r="P114" t="str">
        <f t="shared" si="5"/>
        <v>2022_NSW_Methul_Lentil_SatelliteTOS2VarietyHallmarkXTWaterTrtRainFed</v>
      </c>
    </row>
    <row r="115" spans="1:16" x14ac:dyDescent="0.25">
      <c r="G115">
        <v>3</v>
      </c>
      <c r="H115" t="s">
        <v>253</v>
      </c>
      <c r="I115">
        <v>4</v>
      </c>
      <c r="J115" s="6">
        <v>28</v>
      </c>
      <c r="M115" t="str">
        <f t="shared" si="3"/>
        <v>2022_NSW_Methul_Lentil_Satellite</v>
      </c>
      <c r="N115">
        <f>I115</f>
        <v>4</v>
      </c>
      <c r="O115" t="str">
        <f t="shared" si="4"/>
        <v>2022_NSW_Methul_Lentil_Satellite_28</v>
      </c>
      <c r="P115" t="str">
        <f t="shared" si="5"/>
        <v>2022_NSW_Methul_Lentil_SatelliteTOS2VarietyHallmarkXTWaterTrtRainFed</v>
      </c>
    </row>
    <row r="116" spans="1:16" x14ac:dyDescent="0.25">
      <c r="G116">
        <v>4</v>
      </c>
      <c r="H116" t="s">
        <v>253</v>
      </c>
      <c r="I116">
        <v>5</v>
      </c>
      <c r="J116" s="6">
        <v>47</v>
      </c>
      <c r="M116" t="str">
        <f t="shared" si="3"/>
        <v>2022_NSW_Methul_Lentil_Satellite</v>
      </c>
      <c r="N116">
        <f>I116</f>
        <v>5</v>
      </c>
      <c r="O116" t="str">
        <f t="shared" si="4"/>
        <v>2022_NSW_Methul_Lentil_Satellite_47</v>
      </c>
      <c r="P116" t="str">
        <f t="shared" si="5"/>
        <v>2022_NSW_Methul_Lentil_SatelliteTOS2VarietyHallmarkXTWaterTrtRainFed</v>
      </c>
    </row>
    <row r="117" spans="1:16" x14ac:dyDescent="0.25">
      <c r="A117" t="s">
        <v>4227</v>
      </c>
      <c r="B117" t="s">
        <v>1562</v>
      </c>
      <c r="C117">
        <v>2</v>
      </c>
      <c r="D117" t="s">
        <v>4176</v>
      </c>
      <c r="E117" t="s">
        <v>40</v>
      </c>
      <c r="F117" t="s">
        <v>4398</v>
      </c>
      <c r="G117">
        <v>1</v>
      </c>
      <c r="H117" t="s">
        <v>253</v>
      </c>
      <c r="I117">
        <v>5</v>
      </c>
      <c r="J117" s="6">
        <v>5</v>
      </c>
      <c r="M117" t="str">
        <f t="shared" si="3"/>
        <v>2022_NSW_Methul_Lentil_Satellite</v>
      </c>
      <c r="N117">
        <f>I117</f>
        <v>5</v>
      </c>
      <c r="O117" t="str">
        <f t="shared" si="4"/>
        <v>2022_NSW_Methul_Lentil_Satellite_5</v>
      </c>
      <c r="P117" t="str">
        <f t="shared" si="5"/>
        <v>2022_NSW_Methul_Lentil_SatelliteTOS2VarietyJumbo2WaterTrtRainFed</v>
      </c>
    </row>
    <row r="118" spans="1:16" x14ac:dyDescent="0.25">
      <c r="G118">
        <v>2</v>
      </c>
      <c r="H118" t="s">
        <v>253</v>
      </c>
      <c r="I118">
        <v>3</v>
      </c>
      <c r="J118" s="6">
        <v>21</v>
      </c>
      <c r="M118" t="str">
        <f t="shared" si="3"/>
        <v>2022_NSW_Methul_Lentil_Satellite</v>
      </c>
      <c r="N118">
        <f>I118</f>
        <v>3</v>
      </c>
      <c r="O118" t="str">
        <f t="shared" si="4"/>
        <v>2022_NSW_Methul_Lentil_Satellite_21</v>
      </c>
      <c r="P118" t="str">
        <f t="shared" si="5"/>
        <v>2022_NSW_Methul_Lentil_SatelliteTOS2VarietyJumbo2WaterTrtRainFed</v>
      </c>
    </row>
    <row r="119" spans="1:16" x14ac:dyDescent="0.25">
      <c r="G119">
        <v>3</v>
      </c>
      <c r="H119" t="s">
        <v>253</v>
      </c>
      <c r="I119">
        <v>1</v>
      </c>
      <c r="J119" s="6">
        <v>25</v>
      </c>
      <c r="M119" t="str">
        <f t="shared" si="3"/>
        <v>2022_NSW_Methul_Lentil_Satellite</v>
      </c>
      <c r="N119">
        <f>I119</f>
        <v>1</v>
      </c>
      <c r="O119" t="str">
        <f t="shared" si="4"/>
        <v>2022_NSW_Methul_Lentil_Satellite_25</v>
      </c>
      <c r="P119" t="str">
        <f t="shared" si="5"/>
        <v>2022_NSW_Methul_Lentil_SatelliteTOS2VarietyJumbo2WaterTrtRainFed</v>
      </c>
    </row>
    <row r="120" spans="1:16" x14ac:dyDescent="0.25">
      <c r="G120">
        <v>4</v>
      </c>
      <c r="H120" t="s">
        <v>253</v>
      </c>
      <c r="I120">
        <v>2</v>
      </c>
      <c r="J120" s="6">
        <v>44</v>
      </c>
      <c r="M120" t="str">
        <f t="shared" si="3"/>
        <v>2022_NSW_Methul_Lentil_Satellite</v>
      </c>
      <c r="N120">
        <f>I120</f>
        <v>2</v>
      </c>
      <c r="O120" t="str">
        <f t="shared" si="4"/>
        <v>2022_NSW_Methul_Lentil_Satellite_44</v>
      </c>
      <c r="P120" t="str">
        <f t="shared" si="5"/>
        <v>2022_NSW_Methul_Lentil_SatelliteTOS2VarietyJumbo2WaterTrtRainFed</v>
      </c>
    </row>
    <row r="121" spans="1:16" x14ac:dyDescent="0.25">
      <c r="A121" t="s">
        <v>4228</v>
      </c>
      <c r="B121" t="s">
        <v>1562</v>
      </c>
      <c r="C121">
        <v>2</v>
      </c>
      <c r="D121" t="s">
        <v>4188</v>
      </c>
      <c r="E121" t="s">
        <v>40</v>
      </c>
      <c r="F121" t="s">
        <v>4398</v>
      </c>
      <c r="G121">
        <v>1</v>
      </c>
      <c r="H121" t="s">
        <v>253</v>
      </c>
      <c r="I121">
        <v>2</v>
      </c>
      <c r="J121" s="6">
        <v>2</v>
      </c>
      <c r="M121" t="str">
        <f t="shared" si="3"/>
        <v>2022_NSW_Methul_Lentil_Satellite</v>
      </c>
      <c r="N121">
        <f>I121</f>
        <v>2</v>
      </c>
      <c r="O121" t="str">
        <f t="shared" si="4"/>
        <v>2022_NSW_Methul_Lentil_Satellite_2</v>
      </c>
      <c r="P121" t="str">
        <f t="shared" si="5"/>
        <v>2022_NSW_Methul_Lentil_SatelliteTOS2VarietyKelpieXTWaterTrtRainFed</v>
      </c>
    </row>
    <row r="122" spans="1:16" x14ac:dyDescent="0.25">
      <c r="G122">
        <v>2</v>
      </c>
      <c r="H122" t="s">
        <v>253</v>
      </c>
      <c r="I122">
        <v>4</v>
      </c>
      <c r="J122" s="6">
        <v>22</v>
      </c>
      <c r="M122" t="str">
        <f t="shared" si="3"/>
        <v>2022_NSW_Methul_Lentil_Satellite</v>
      </c>
      <c r="N122">
        <f>I122</f>
        <v>4</v>
      </c>
      <c r="O122" t="str">
        <f t="shared" si="4"/>
        <v>2022_NSW_Methul_Lentil_Satellite_22</v>
      </c>
      <c r="P122" t="str">
        <f t="shared" si="5"/>
        <v>2022_NSW_Methul_Lentil_SatelliteTOS2VarietyKelpieXTWaterTrtRainFed</v>
      </c>
    </row>
    <row r="123" spans="1:16" x14ac:dyDescent="0.25">
      <c r="G123">
        <v>3</v>
      </c>
      <c r="H123" t="s">
        <v>253</v>
      </c>
      <c r="I123">
        <v>6</v>
      </c>
      <c r="J123" s="6">
        <v>30</v>
      </c>
      <c r="M123" t="str">
        <f t="shared" si="3"/>
        <v>2022_NSW_Methul_Lentil_Satellite</v>
      </c>
      <c r="N123">
        <f>I123</f>
        <v>6</v>
      </c>
      <c r="O123" t="str">
        <f t="shared" si="4"/>
        <v>2022_NSW_Methul_Lentil_Satellite_30</v>
      </c>
      <c r="P123" t="str">
        <f t="shared" si="5"/>
        <v>2022_NSW_Methul_Lentil_SatelliteTOS2VarietyKelpieXTWaterTrtRainFed</v>
      </c>
    </row>
    <row r="124" spans="1:16" x14ac:dyDescent="0.25">
      <c r="G124">
        <v>4</v>
      </c>
      <c r="H124" t="s">
        <v>253</v>
      </c>
      <c r="I124">
        <v>3</v>
      </c>
      <c r="J124" s="6">
        <v>45</v>
      </c>
      <c r="M124" t="str">
        <f t="shared" si="3"/>
        <v>2022_NSW_Methul_Lentil_Satellite</v>
      </c>
      <c r="N124">
        <f>I124</f>
        <v>3</v>
      </c>
      <c r="O124" t="str">
        <f t="shared" si="4"/>
        <v>2022_NSW_Methul_Lentil_Satellite_45</v>
      </c>
      <c r="P124" t="str">
        <f t="shared" si="5"/>
        <v>2022_NSW_Methul_Lentil_SatelliteTOS2VarietyKelpieXTWaterTrtRainFed</v>
      </c>
    </row>
    <row r="125" spans="1:16" x14ac:dyDescent="0.25">
      <c r="A125" t="s">
        <v>4229</v>
      </c>
      <c r="B125" t="s">
        <v>1663</v>
      </c>
      <c r="C125">
        <v>1</v>
      </c>
      <c r="D125" t="s">
        <v>4175</v>
      </c>
      <c r="E125" t="s">
        <v>40</v>
      </c>
      <c r="F125" t="s">
        <v>4398</v>
      </c>
      <c r="G125">
        <v>1</v>
      </c>
      <c r="H125" t="s">
        <v>253</v>
      </c>
      <c r="I125">
        <v>4</v>
      </c>
      <c r="J125" s="6">
        <v>4</v>
      </c>
      <c r="M125" t="str">
        <f t="shared" si="3"/>
        <v>2022_NSW_RankinsSprings_Lentil_Satellite</v>
      </c>
      <c r="N125">
        <f>I125</f>
        <v>4</v>
      </c>
      <c r="O125" t="str">
        <f t="shared" si="4"/>
        <v>2022_NSW_RankinsSprings_Lentil_Satellite_4</v>
      </c>
      <c r="P125" t="str">
        <f t="shared" si="5"/>
        <v>2022_NSW_RankinsSprings_Lentil_SatelliteTOS1VarietyAceWaterTrtRainFed</v>
      </c>
    </row>
    <row r="126" spans="1:16" x14ac:dyDescent="0.25">
      <c r="G126">
        <v>2</v>
      </c>
      <c r="H126" t="s">
        <v>253</v>
      </c>
      <c r="I126">
        <v>1</v>
      </c>
      <c r="J126" s="6">
        <v>19</v>
      </c>
      <c r="M126" t="str">
        <f t="shared" si="3"/>
        <v>2022_NSW_RankinsSprings_Lentil_Satellite</v>
      </c>
      <c r="N126">
        <f>I126</f>
        <v>1</v>
      </c>
      <c r="O126" t="str">
        <f t="shared" si="4"/>
        <v>2022_NSW_RankinsSprings_Lentil_Satellite_19</v>
      </c>
      <c r="P126" t="str">
        <f t="shared" si="5"/>
        <v>2022_NSW_RankinsSprings_Lentil_SatelliteTOS1VarietyAceWaterTrtRainFed</v>
      </c>
    </row>
    <row r="127" spans="1:16" x14ac:dyDescent="0.25">
      <c r="G127">
        <v>3</v>
      </c>
      <c r="H127" t="s">
        <v>253</v>
      </c>
      <c r="I127">
        <v>2</v>
      </c>
      <c r="J127" s="6">
        <v>32</v>
      </c>
      <c r="M127" t="str">
        <f t="shared" si="3"/>
        <v>2022_NSW_RankinsSprings_Lentil_Satellite</v>
      </c>
      <c r="N127">
        <f>I127</f>
        <v>2</v>
      </c>
      <c r="O127" t="str">
        <f t="shared" si="4"/>
        <v>2022_NSW_RankinsSprings_Lentil_Satellite_32</v>
      </c>
      <c r="P127" t="str">
        <f t="shared" si="5"/>
        <v>2022_NSW_RankinsSprings_Lentil_SatelliteTOS1VarietyAceWaterTrtRainFed</v>
      </c>
    </row>
    <row r="128" spans="1:16" x14ac:dyDescent="0.25">
      <c r="G128">
        <v>4</v>
      </c>
      <c r="H128" t="s">
        <v>253</v>
      </c>
      <c r="I128">
        <v>6</v>
      </c>
      <c r="J128" s="6">
        <v>42</v>
      </c>
      <c r="M128" t="str">
        <f t="shared" si="3"/>
        <v>2022_NSW_RankinsSprings_Lentil_Satellite</v>
      </c>
      <c r="N128">
        <f>I128</f>
        <v>6</v>
      </c>
      <c r="O128" t="str">
        <f t="shared" si="4"/>
        <v>2022_NSW_RankinsSprings_Lentil_Satellite_42</v>
      </c>
      <c r="P128" t="str">
        <f t="shared" si="5"/>
        <v>2022_NSW_RankinsSprings_Lentil_SatelliteTOS1VarietyAceWaterTrtRainFed</v>
      </c>
    </row>
    <row r="129" spans="1:16" x14ac:dyDescent="0.25">
      <c r="A129" t="s">
        <v>4230</v>
      </c>
      <c r="B129" t="s">
        <v>1663</v>
      </c>
      <c r="C129">
        <v>1</v>
      </c>
      <c r="D129" t="s">
        <v>4187</v>
      </c>
      <c r="E129" t="s">
        <v>40</v>
      </c>
      <c r="F129" t="s">
        <v>4398</v>
      </c>
      <c r="G129">
        <v>1</v>
      </c>
      <c r="H129" t="s">
        <v>253</v>
      </c>
      <c r="I129">
        <v>6</v>
      </c>
      <c r="J129" s="6">
        <v>6</v>
      </c>
      <c r="M129" t="str">
        <f t="shared" si="3"/>
        <v>2022_NSW_RankinsSprings_Lentil_Satellite</v>
      </c>
      <c r="N129">
        <f>I129</f>
        <v>6</v>
      </c>
      <c r="O129" t="str">
        <f t="shared" si="4"/>
        <v>2022_NSW_RankinsSprings_Lentil_Satellite_6</v>
      </c>
      <c r="P129" t="str">
        <f t="shared" si="5"/>
        <v>2022_NSW_RankinsSprings_Lentil_SatelliteTOS1VarietyBoltWaterTrtRainFed</v>
      </c>
    </row>
    <row r="130" spans="1:16" x14ac:dyDescent="0.25">
      <c r="G130">
        <v>2</v>
      </c>
      <c r="H130" t="s">
        <v>253</v>
      </c>
      <c r="I130">
        <v>5</v>
      </c>
      <c r="J130" s="6">
        <v>23</v>
      </c>
      <c r="M130" t="str">
        <f t="shared" si="3"/>
        <v>2022_NSW_RankinsSprings_Lentil_Satellite</v>
      </c>
      <c r="N130">
        <f>I130</f>
        <v>5</v>
      </c>
      <c r="O130" t="str">
        <f t="shared" si="4"/>
        <v>2022_NSW_RankinsSprings_Lentil_Satellite_23</v>
      </c>
      <c r="P130" t="str">
        <f t="shared" si="5"/>
        <v>2022_NSW_RankinsSprings_Lentil_SatelliteTOS1VarietyBoltWaterTrtRainFed</v>
      </c>
    </row>
    <row r="131" spans="1:16" x14ac:dyDescent="0.25">
      <c r="G131">
        <v>3</v>
      </c>
      <c r="H131" t="s">
        <v>253</v>
      </c>
      <c r="I131">
        <v>4</v>
      </c>
      <c r="J131" s="6">
        <v>34</v>
      </c>
      <c r="M131" t="str">
        <f t="shared" si="3"/>
        <v>2022_NSW_RankinsSprings_Lentil_Satellite</v>
      </c>
      <c r="N131">
        <f>I131</f>
        <v>4</v>
      </c>
      <c r="O131" t="str">
        <f t="shared" si="4"/>
        <v>2022_NSW_RankinsSprings_Lentil_Satellite_34</v>
      </c>
      <c r="P131" t="str">
        <f t="shared" si="5"/>
        <v>2022_NSW_RankinsSprings_Lentil_SatelliteTOS1VarietyBoltWaterTrtRainFed</v>
      </c>
    </row>
    <row r="132" spans="1:16" x14ac:dyDescent="0.25">
      <c r="G132">
        <v>4</v>
      </c>
      <c r="H132" t="s">
        <v>253</v>
      </c>
      <c r="I132">
        <v>3</v>
      </c>
      <c r="J132" s="6">
        <v>39</v>
      </c>
      <c r="M132" t="str">
        <f t="shared" si="3"/>
        <v>2022_NSW_RankinsSprings_Lentil_Satellite</v>
      </c>
      <c r="N132">
        <f>I132</f>
        <v>3</v>
      </c>
      <c r="O132" t="str">
        <f t="shared" si="4"/>
        <v>2022_NSW_RankinsSprings_Lentil_Satellite_39</v>
      </c>
      <c r="P132" t="str">
        <f t="shared" si="5"/>
        <v>2022_NSW_RankinsSprings_Lentil_SatelliteTOS1VarietyBoltWaterTrtRainFed</v>
      </c>
    </row>
    <row r="133" spans="1:16" x14ac:dyDescent="0.25">
      <c r="A133" t="s">
        <v>4231</v>
      </c>
      <c r="B133" t="s">
        <v>1663</v>
      </c>
      <c r="C133">
        <v>1</v>
      </c>
      <c r="D133" t="s">
        <v>4192</v>
      </c>
      <c r="E133" t="s">
        <v>40</v>
      </c>
      <c r="F133" t="s">
        <v>4398</v>
      </c>
      <c r="G133">
        <v>1</v>
      </c>
      <c r="H133" t="s">
        <v>253</v>
      </c>
      <c r="I133">
        <v>3</v>
      </c>
      <c r="J133" s="6">
        <v>3</v>
      </c>
      <c r="M133" t="str">
        <f t="shared" si="3"/>
        <v>2022_NSW_RankinsSprings_Lentil_Satellite</v>
      </c>
      <c r="N133">
        <f>I133</f>
        <v>3</v>
      </c>
      <c r="O133" t="str">
        <f t="shared" si="4"/>
        <v>2022_NSW_RankinsSprings_Lentil_Satellite_3</v>
      </c>
      <c r="P133" t="str">
        <f t="shared" si="5"/>
        <v>2022_NSW_RankinsSprings_Lentil_SatelliteTOS1VarietyGreenfieldWaterTrtRainFed</v>
      </c>
    </row>
    <row r="134" spans="1:16" x14ac:dyDescent="0.25">
      <c r="G134">
        <v>2</v>
      </c>
      <c r="H134" t="s">
        <v>253</v>
      </c>
      <c r="I134">
        <v>6</v>
      </c>
      <c r="J134" s="6">
        <v>24</v>
      </c>
      <c r="M134" t="str">
        <f t="shared" ref="M134:M197" si="6">IF(B134="",M133,B134)</f>
        <v>2022_NSW_RankinsSprings_Lentil_Satellite</v>
      </c>
      <c r="N134">
        <f>I134</f>
        <v>6</v>
      </c>
      <c r="O134" t="str">
        <f t="shared" ref="O134:O197" si="7">M134&amp;"_"&amp;J134</f>
        <v>2022_NSW_RankinsSprings_Lentil_Satellite_24</v>
      </c>
      <c r="P134" t="str">
        <f t="shared" ref="P134:P197" si="8">IF(A134="",P133,A134)</f>
        <v>2022_NSW_RankinsSprings_Lentil_SatelliteTOS1VarietyGreenfieldWaterTrtRainFed</v>
      </c>
    </row>
    <row r="135" spans="1:16" x14ac:dyDescent="0.25">
      <c r="G135">
        <v>3</v>
      </c>
      <c r="H135" t="s">
        <v>253</v>
      </c>
      <c r="I135">
        <v>1</v>
      </c>
      <c r="J135" s="6">
        <v>31</v>
      </c>
      <c r="M135" t="str">
        <f t="shared" si="6"/>
        <v>2022_NSW_RankinsSprings_Lentil_Satellite</v>
      </c>
      <c r="N135">
        <f>I135</f>
        <v>1</v>
      </c>
      <c r="O135" t="str">
        <f t="shared" si="7"/>
        <v>2022_NSW_RankinsSprings_Lentil_Satellite_31</v>
      </c>
      <c r="P135" t="str">
        <f t="shared" si="8"/>
        <v>2022_NSW_RankinsSprings_Lentil_SatelliteTOS1VarietyGreenfieldWaterTrtRainFed</v>
      </c>
    </row>
    <row r="136" spans="1:16" x14ac:dyDescent="0.25">
      <c r="G136">
        <v>4</v>
      </c>
      <c r="H136" t="s">
        <v>253</v>
      </c>
      <c r="I136">
        <v>2</v>
      </c>
      <c r="J136" s="6">
        <v>38</v>
      </c>
      <c r="M136" t="str">
        <f t="shared" si="6"/>
        <v>2022_NSW_RankinsSprings_Lentil_Satellite</v>
      </c>
      <c r="N136">
        <f>I136</f>
        <v>2</v>
      </c>
      <c r="O136" t="str">
        <f t="shared" si="7"/>
        <v>2022_NSW_RankinsSprings_Lentil_Satellite_38</v>
      </c>
      <c r="P136" t="str">
        <f t="shared" si="8"/>
        <v>2022_NSW_RankinsSprings_Lentil_SatelliteTOS1VarietyGreenfieldWaterTrtRainFed</v>
      </c>
    </row>
    <row r="137" spans="1:16" x14ac:dyDescent="0.25">
      <c r="A137" t="s">
        <v>4232</v>
      </c>
      <c r="B137" t="s">
        <v>1663</v>
      </c>
      <c r="C137">
        <v>1</v>
      </c>
      <c r="D137" t="s">
        <v>4189</v>
      </c>
      <c r="E137" t="s">
        <v>40</v>
      </c>
      <c r="F137" t="s">
        <v>4398</v>
      </c>
      <c r="G137">
        <v>1</v>
      </c>
      <c r="H137" t="s">
        <v>253</v>
      </c>
      <c r="I137">
        <v>1</v>
      </c>
      <c r="J137" s="6">
        <v>1</v>
      </c>
      <c r="M137" t="str">
        <f t="shared" si="6"/>
        <v>2022_NSW_RankinsSprings_Lentil_Satellite</v>
      </c>
      <c r="N137">
        <f>I137</f>
        <v>1</v>
      </c>
      <c r="O137" t="str">
        <f t="shared" si="7"/>
        <v>2022_NSW_RankinsSprings_Lentil_Satellite_1</v>
      </c>
      <c r="P137" t="str">
        <f t="shared" si="8"/>
        <v>2022_NSW_RankinsSprings_Lentil_SatelliteTOS1VarietyHallmarkXTWaterTrtRainFed</v>
      </c>
    </row>
    <row r="138" spans="1:16" x14ac:dyDescent="0.25">
      <c r="G138">
        <v>2</v>
      </c>
      <c r="H138" t="s">
        <v>253</v>
      </c>
      <c r="I138">
        <v>2</v>
      </c>
      <c r="J138" s="6">
        <v>20</v>
      </c>
      <c r="M138" t="str">
        <f t="shared" si="6"/>
        <v>2022_NSW_RankinsSprings_Lentil_Satellite</v>
      </c>
      <c r="N138">
        <f>I138</f>
        <v>2</v>
      </c>
      <c r="O138" t="str">
        <f t="shared" si="7"/>
        <v>2022_NSW_RankinsSprings_Lentil_Satellite_20</v>
      </c>
      <c r="P138" t="str">
        <f t="shared" si="8"/>
        <v>2022_NSW_RankinsSprings_Lentil_SatelliteTOS1VarietyHallmarkXTWaterTrtRainFed</v>
      </c>
    </row>
    <row r="139" spans="1:16" x14ac:dyDescent="0.25">
      <c r="G139">
        <v>3</v>
      </c>
      <c r="H139" t="s">
        <v>253</v>
      </c>
      <c r="I139">
        <v>5</v>
      </c>
      <c r="J139" s="6">
        <v>35</v>
      </c>
      <c r="M139" t="str">
        <f t="shared" si="6"/>
        <v>2022_NSW_RankinsSprings_Lentil_Satellite</v>
      </c>
      <c r="N139">
        <f>I139</f>
        <v>5</v>
      </c>
      <c r="O139" t="str">
        <f t="shared" si="7"/>
        <v>2022_NSW_RankinsSprings_Lentil_Satellite_35</v>
      </c>
      <c r="P139" t="str">
        <f t="shared" si="8"/>
        <v>2022_NSW_RankinsSprings_Lentil_SatelliteTOS1VarietyHallmarkXTWaterTrtRainFed</v>
      </c>
    </row>
    <row r="140" spans="1:16" x14ac:dyDescent="0.25">
      <c r="G140">
        <v>4</v>
      </c>
      <c r="H140" t="s">
        <v>253</v>
      </c>
      <c r="I140">
        <v>4</v>
      </c>
      <c r="J140" s="6">
        <v>40</v>
      </c>
      <c r="M140" t="str">
        <f t="shared" si="6"/>
        <v>2022_NSW_RankinsSprings_Lentil_Satellite</v>
      </c>
      <c r="N140">
        <f>I140</f>
        <v>4</v>
      </c>
      <c r="O140" t="str">
        <f t="shared" si="7"/>
        <v>2022_NSW_RankinsSprings_Lentil_Satellite_40</v>
      </c>
      <c r="P140" t="str">
        <f t="shared" si="8"/>
        <v>2022_NSW_RankinsSprings_Lentil_SatelliteTOS1VarietyHallmarkXTWaterTrtRainFed</v>
      </c>
    </row>
    <row r="141" spans="1:16" x14ac:dyDescent="0.25">
      <c r="A141" t="s">
        <v>4233</v>
      </c>
      <c r="B141" t="s">
        <v>1663</v>
      </c>
      <c r="C141">
        <v>1</v>
      </c>
      <c r="D141" t="s">
        <v>4176</v>
      </c>
      <c r="E141" t="s">
        <v>40</v>
      </c>
      <c r="F141" t="s">
        <v>4398</v>
      </c>
      <c r="G141">
        <v>1</v>
      </c>
      <c r="H141" t="s">
        <v>253</v>
      </c>
      <c r="I141">
        <v>2</v>
      </c>
      <c r="J141" s="6">
        <v>2</v>
      </c>
      <c r="M141" t="str">
        <f t="shared" si="6"/>
        <v>2022_NSW_RankinsSprings_Lentil_Satellite</v>
      </c>
      <c r="N141">
        <f>I141</f>
        <v>2</v>
      </c>
      <c r="O141" t="str">
        <f t="shared" si="7"/>
        <v>2022_NSW_RankinsSprings_Lentil_Satellite_2</v>
      </c>
      <c r="P141" t="str">
        <f t="shared" si="8"/>
        <v>2022_NSW_RankinsSprings_Lentil_SatelliteTOS1VarietyJumbo2WaterTrtRainFed</v>
      </c>
    </row>
    <row r="142" spans="1:16" x14ac:dyDescent="0.25">
      <c r="G142">
        <v>2</v>
      </c>
      <c r="H142" t="s">
        <v>253</v>
      </c>
      <c r="I142">
        <v>4</v>
      </c>
      <c r="J142" s="6">
        <v>22</v>
      </c>
      <c r="M142" t="str">
        <f t="shared" si="6"/>
        <v>2022_NSW_RankinsSprings_Lentil_Satellite</v>
      </c>
      <c r="N142">
        <f>I142</f>
        <v>4</v>
      </c>
      <c r="O142" t="str">
        <f t="shared" si="7"/>
        <v>2022_NSW_RankinsSprings_Lentil_Satellite_22</v>
      </c>
      <c r="P142" t="str">
        <f t="shared" si="8"/>
        <v>2022_NSW_RankinsSprings_Lentil_SatelliteTOS1VarietyJumbo2WaterTrtRainFed</v>
      </c>
    </row>
    <row r="143" spans="1:16" x14ac:dyDescent="0.25">
      <c r="G143">
        <v>3</v>
      </c>
      <c r="H143" t="s">
        <v>253</v>
      </c>
      <c r="I143">
        <v>3</v>
      </c>
      <c r="J143" s="6">
        <v>33</v>
      </c>
      <c r="M143" t="str">
        <f t="shared" si="6"/>
        <v>2022_NSW_RankinsSprings_Lentil_Satellite</v>
      </c>
      <c r="N143">
        <f>I143</f>
        <v>3</v>
      </c>
      <c r="O143" t="str">
        <f t="shared" si="7"/>
        <v>2022_NSW_RankinsSprings_Lentil_Satellite_33</v>
      </c>
      <c r="P143" t="str">
        <f t="shared" si="8"/>
        <v>2022_NSW_RankinsSprings_Lentil_SatelliteTOS1VarietyJumbo2WaterTrtRainFed</v>
      </c>
    </row>
    <row r="144" spans="1:16" x14ac:dyDescent="0.25">
      <c r="G144">
        <v>4</v>
      </c>
      <c r="H144" t="s">
        <v>253</v>
      </c>
      <c r="I144">
        <v>5</v>
      </c>
      <c r="J144" s="6">
        <v>41</v>
      </c>
      <c r="M144" t="str">
        <f t="shared" si="6"/>
        <v>2022_NSW_RankinsSprings_Lentil_Satellite</v>
      </c>
      <c r="N144">
        <f>I144</f>
        <v>5</v>
      </c>
      <c r="O144" t="str">
        <f t="shared" si="7"/>
        <v>2022_NSW_RankinsSprings_Lentil_Satellite_41</v>
      </c>
      <c r="P144" t="str">
        <f t="shared" si="8"/>
        <v>2022_NSW_RankinsSprings_Lentil_SatelliteTOS1VarietyJumbo2WaterTrtRainFed</v>
      </c>
    </row>
    <row r="145" spans="1:16" x14ac:dyDescent="0.25">
      <c r="A145" t="s">
        <v>4234</v>
      </c>
      <c r="B145" t="s">
        <v>1663</v>
      </c>
      <c r="C145">
        <v>1</v>
      </c>
      <c r="D145" t="s">
        <v>4188</v>
      </c>
      <c r="E145" t="s">
        <v>40</v>
      </c>
      <c r="F145" t="s">
        <v>4398</v>
      </c>
      <c r="G145">
        <v>1</v>
      </c>
      <c r="H145" t="s">
        <v>253</v>
      </c>
      <c r="I145">
        <v>5</v>
      </c>
      <c r="J145" s="6">
        <v>5</v>
      </c>
      <c r="M145" t="str">
        <f t="shared" si="6"/>
        <v>2022_NSW_RankinsSprings_Lentil_Satellite</v>
      </c>
      <c r="N145">
        <f>I145</f>
        <v>5</v>
      </c>
      <c r="O145" t="str">
        <f t="shared" si="7"/>
        <v>2022_NSW_RankinsSprings_Lentil_Satellite_5</v>
      </c>
      <c r="P145" t="str">
        <f t="shared" si="8"/>
        <v>2022_NSW_RankinsSprings_Lentil_SatelliteTOS1VarietyKelpieXTWaterTrtRainFed</v>
      </c>
    </row>
    <row r="146" spans="1:16" x14ac:dyDescent="0.25">
      <c r="G146">
        <v>2</v>
      </c>
      <c r="H146" t="s">
        <v>253</v>
      </c>
      <c r="I146">
        <v>3</v>
      </c>
      <c r="J146" s="6">
        <v>21</v>
      </c>
      <c r="M146" t="str">
        <f t="shared" si="6"/>
        <v>2022_NSW_RankinsSprings_Lentil_Satellite</v>
      </c>
      <c r="N146">
        <f>I146</f>
        <v>3</v>
      </c>
      <c r="O146" t="str">
        <f t="shared" si="7"/>
        <v>2022_NSW_RankinsSprings_Lentil_Satellite_21</v>
      </c>
      <c r="P146" t="str">
        <f t="shared" si="8"/>
        <v>2022_NSW_RankinsSprings_Lentil_SatelliteTOS1VarietyKelpieXTWaterTrtRainFed</v>
      </c>
    </row>
    <row r="147" spans="1:16" x14ac:dyDescent="0.25">
      <c r="G147">
        <v>3</v>
      </c>
      <c r="H147" t="s">
        <v>253</v>
      </c>
      <c r="I147">
        <v>6</v>
      </c>
      <c r="J147" s="6">
        <v>36</v>
      </c>
      <c r="M147" t="str">
        <f t="shared" si="6"/>
        <v>2022_NSW_RankinsSprings_Lentil_Satellite</v>
      </c>
      <c r="N147">
        <f>I147</f>
        <v>6</v>
      </c>
      <c r="O147" t="str">
        <f t="shared" si="7"/>
        <v>2022_NSW_RankinsSprings_Lentil_Satellite_36</v>
      </c>
      <c r="P147" t="str">
        <f t="shared" si="8"/>
        <v>2022_NSW_RankinsSprings_Lentil_SatelliteTOS1VarietyKelpieXTWaterTrtRainFed</v>
      </c>
    </row>
    <row r="148" spans="1:16" x14ac:dyDescent="0.25">
      <c r="G148">
        <v>4</v>
      </c>
      <c r="H148" t="s">
        <v>253</v>
      </c>
      <c r="I148">
        <v>1</v>
      </c>
      <c r="J148" s="6">
        <v>37</v>
      </c>
      <c r="M148" t="str">
        <f t="shared" si="6"/>
        <v>2022_NSW_RankinsSprings_Lentil_Satellite</v>
      </c>
      <c r="N148">
        <f>I148</f>
        <v>1</v>
      </c>
      <c r="O148" t="str">
        <f t="shared" si="7"/>
        <v>2022_NSW_RankinsSprings_Lentil_Satellite_37</v>
      </c>
      <c r="P148" t="str">
        <f t="shared" si="8"/>
        <v>2022_NSW_RankinsSprings_Lentil_SatelliteTOS1VarietyKelpieXTWaterTrtRainFed</v>
      </c>
    </row>
    <row r="149" spans="1:16" x14ac:dyDescent="0.25">
      <c r="A149" t="s">
        <v>4235</v>
      </c>
      <c r="B149" t="s">
        <v>1663</v>
      </c>
      <c r="C149">
        <v>2</v>
      </c>
      <c r="D149" t="s">
        <v>4175</v>
      </c>
      <c r="E149" t="s">
        <v>40</v>
      </c>
      <c r="F149" t="s">
        <v>4398</v>
      </c>
      <c r="G149">
        <v>1</v>
      </c>
      <c r="H149" t="s">
        <v>253</v>
      </c>
      <c r="I149">
        <v>5</v>
      </c>
      <c r="J149" s="6">
        <v>11</v>
      </c>
      <c r="M149" t="str">
        <f t="shared" si="6"/>
        <v>2022_NSW_RankinsSprings_Lentil_Satellite</v>
      </c>
      <c r="N149">
        <f>I149</f>
        <v>5</v>
      </c>
      <c r="O149" t="str">
        <f t="shared" si="7"/>
        <v>2022_NSW_RankinsSprings_Lentil_Satellite_11</v>
      </c>
      <c r="P149" t="str">
        <f t="shared" si="8"/>
        <v>2022_NSW_RankinsSprings_Lentil_SatelliteTOS2VarietyAceWaterTrtRainFed</v>
      </c>
    </row>
    <row r="150" spans="1:16" x14ac:dyDescent="0.25">
      <c r="G150">
        <v>2</v>
      </c>
      <c r="H150" t="s">
        <v>253</v>
      </c>
      <c r="I150">
        <v>6</v>
      </c>
      <c r="J150" s="6">
        <v>18</v>
      </c>
      <c r="M150" t="str">
        <f t="shared" si="6"/>
        <v>2022_NSW_RankinsSprings_Lentil_Satellite</v>
      </c>
      <c r="N150">
        <f>I150</f>
        <v>6</v>
      </c>
      <c r="O150" t="str">
        <f t="shared" si="7"/>
        <v>2022_NSW_RankinsSprings_Lentil_Satellite_18</v>
      </c>
      <c r="P150" t="str">
        <f t="shared" si="8"/>
        <v>2022_NSW_RankinsSprings_Lentil_SatelliteTOS2VarietyAceWaterTrtRainFed</v>
      </c>
    </row>
    <row r="151" spans="1:16" x14ac:dyDescent="0.25">
      <c r="G151">
        <v>3</v>
      </c>
      <c r="H151" t="s">
        <v>253</v>
      </c>
      <c r="I151">
        <v>3</v>
      </c>
      <c r="J151" s="6">
        <v>27</v>
      </c>
      <c r="M151" t="str">
        <f t="shared" si="6"/>
        <v>2022_NSW_RankinsSprings_Lentil_Satellite</v>
      </c>
      <c r="N151">
        <f>I151</f>
        <v>3</v>
      </c>
      <c r="O151" t="str">
        <f t="shared" si="7"/>
        <v>2022_NSW_RankinsSprings_Lentil_Satellite_27</v>
      </c>
      <c r="P151" t="str">
        <f t="shared" si="8"/>
        <v>2022_NSW_RankinsSprings_Lentil_SatelliteTOS2VarietyAceWaterTrtRainFed</v>
      </c>
    </row>
    <row r="152" spans="1:16" x14ac:dyDescent="0.25">
      <c r="G152">
        <v>4</v>
      </c>
      <c r="H152" t="s">
        <v>253</v>
      </c>
      <c r="I152">
        <v>4</v>
      </c>
      <c r="J152" s="6">
        <v>46</v>
      </c>
      <c r="M152" t="str">
        <f t="shared" si="6"/>
        <v>2022_NSW_RankinsSprings_Lentil_Satellite</v>
      </c>
      <c r="N152">
        <f>I152</f>
        <v>4</v>
      </c>
      <c r="O152" t="str">
        <f t="shared" si="7"/>
        <v>2022_NSW_RankinsSprings_Lentil_Satellite_46</v>
      </c>
      <c r="P152" t="str">
        <f t="shared" si="8"/>
        <v>2022_NSW_RankinsSprings_Lentil_SatelliteTOS2VarietyAceWaterTrtRainFed</v>
      </c>
    </row>
    <row r="153" spans="1:16" x14ac:dyDescent="0.25">
      <c r="A153" t="s">
        <v>4236</v>
      </c>
      <c r="B153" t="s">
        <v>1663</v>
      </c>
      <c r="C153">
        <v>2</v>
      </c>
      <c r="D153" t="s">
        <v>4187</v>
      </c>
      <c r="E153" t="s">
        <v>40</v>
      </c>
      <c r="F153" t="s">
        <v>4398</v>
      </c>
      <c r="G153">
        <v>1</v>
      </c>
      <c r="H153" t="s">
        <v>253</v>
      </c>
      <c r="I153">
        <v>2</v>
      </c>
      <c r="J153" s="6">
        <v>8</v>
      </c>
      <c r="M153" t="str">
        <f t="shared" si="6"/>
        <v>2022_NSW_RankinsSprings_Lentil_Satellite</v>
      </c>
      <c r="N153">
        <f>I153</f>
        <v>2</v>
      </c>
      <c r="O153" t="str">
        <f t="shared" si="7"/>
        <v>2022_NSW_RankinsSprings_Lentil_Satellite_8</v>
      </c>
      <c r="P153" t="str">
        <f t="shared" si="8"/>
        <v>2022_NSW_RankinsSprings_Lentil_SatelliteTOS2VarietyBoltWaterTrtRainFed</v>
      </c>
    </row>
    <row r="154" spans="1:16" x14ac:dyDescent="0.25">
      <c r="G154">
        <v>2</v>
      </c>
      <c r="H154" t="s">
        <v>253</v>
      </c>
      <c r="I154">
        <v>3</v>
      </c>
      <c r="J154" s="6">
        <v>15</v>
      </c>
      <c r="M154" t="str">
        <f t="shared" si="6"/>
        <v>2022_NSW_RankinsSprings_Lentil_Satellite</v>
      </c>
      <c r="N154">
        <f>I154</f>
        <v>3</v>
      </c>
      <c r="O154" t="str">
        <f t="shared" si="7"/>
        <v>2022_NSW_RankinsSprings_Lentil_Satellite_15</v>
      </c>
      <c r="P154" t="str">
        <f t="shared" si="8"/>
        <v>2022_NSW_RankinsSprings_Lentil_SatelliteTOS2VarietyBoltWaterTrtRainFed</v>
      </c>
    </row>
    <row r="155" spans="1:16" x14ac:dyDescent="0.25">
      <c r="G155">
        <v>3</v>
      </c>
      <c r="H155" t="s">
        <v>253</v>
      </c>
      <c r="I155">
        <v>1</v>
      </c>
      <c r="J155" s="6">
        <v>25</v>
      </c>
      <c r="M155" t="str">
        <f t="shared" si="6"/>
        <v>2022_NSW_RankinsSprings_Lentil_Satellite</v>
      </c>
      <c r="N155">
        <f>I155</f>
        <v>1</v>
      </c>
      <c r="O155" t="str">
        <f t="shared" si="7"/>
        <v>2022_NSW_RankinsSprings_Lentil_Satellite_25</v>
      </c>
      <c r="P155" t="str">
        <f t="shared" si="8"/>
        <v>2022_NSW_RankinsSprings_Lentil_SatelliteTOS2VarietyBoltWaterTrtRainFed</v>
      </c>
    </row>
    <row r="156" spans="1:16" x14ac:dyDescent="0.25">
      <c r="G156">
        <v>4</v>
      </c>
      <c r="H156" t="s">
        <v>253</v>
      </c>
      <c r="I156">
        <v>6</v>
      </c>
      <c r="J156" s="6">
        <v>48</v>
      </c>
      <c r="M156" t="str">
        <f t="shared" si="6"/>
        <v>2022_NSW_RankinsSprings_Lentil_Satellite</v>
      </c>
      <c r="N156">
        <f>I156</f>
        <v>6</v>
      </c>
      <c r="O156" t="str">
        <f t="shared" si="7"/>
        <v>2022_NSW_RankinsSprings_Lentil_Satellite_48</v>
      </c>
      <c r="P156" t="str">
        <f t="shared" si="8"/>
        <v>2022_NSW_RankinsSprings_Lentil_SatelliteTOS2VarietyBoltWaterTrtRainFed</v>
      </c>
    </row>
    <row r="157" spans="1:16" x14ac:dyDescent="0.25">
      <c r="A157" t="s">
        <v>4237</v>
      </c>
      <c r="B157" t="s">
        <v>1663</v>
      </c>
      <c r="C157">
        <v>2</v>
      </c>
      <c r="D157" t="s">
        <v>4192</v>
      </c>
      <c r="E157" t="s">
        <v>40</v>
      </c>
      <c r="F157" t="s">
        <v>4398</v>
      </c>
      <c r="G157">
        <v>1</v>
      </c>
      <c r="H157" t="s">
        <v>253</v>
      </c>
      <c r="I157">
        <v>1</v>
      </c>
      <c r="J157" s="6">
        <v>7</v>
      </c>
      <c r="M157" t="str">
        <f t="shared" si="6"/>
        <v>2022_NSW_RankinsSprings_Lentil_Satellite</v>
      </c>
      <c r="N157">
        <f>I157</f>
        <v>1</v>
      </c>
      <c r="O157" t="str">
        <f t="shared" si="7"/>
        <v>2022_NSW_RankinsSprings_Lentil_Satellite_7</v>
      </c>
      <c r="P157" t="str">
        <f t="shared" si="8"/>
        <v>2022_NSW_RankinsSprings_Lentil_SatelliteTOS2VarietyGreenfieldWaterTrtRainFed</v>
      </c>
    </row>
    <row r="158" spans="1:16" x14ac:dyDescent="0.25">
      <c r="G158">
        <v>2</v>
      </c>
      <c r="H158" t="s">
        <v>253</v>
      </c>
      <c r="I158">
        <v>4</v>
      </c>
      <c r="J158" s="6">
        <v>16</v>
      </c>
      <c r="M158" t="str">
        <f t="shared" si="6"/>
        <v>2022_NSW_RankinsSprings_Lentil_Satellite</v>
      </c>
      <c r="N158">
        <f>I158</f>
        <v>4</v>
      </c>
      <c r="O158" t="str">
        <f t="shared" si="7"/>
        <v>2022_NSW_RankinsSprings_Lentil_Satellite_16</v>
      </c>
      <c r="P158" t="str">
        <f t="shared" si="8"/>
        <v>2022_NSW_RankinsSprings_Lentil_SatelliteTOS2VarietyGreenfieldWaterTrtRainFed</v>
      </c>
    </row>
    <row r="159" spans="1:16" x14ac:dyDescent="0.25">
      <c r="G159">
        <v>3</v>
      </c>
      <c r="H159" t="s">
        <v>253</v>
      </c>
      <c r="I159">
        <v>5</v>
      </c>
      <c r="J159" s="6">
        <v>29</v>
      </c>
      <c r="M159" t="str">
        <f t="shared" si="6"/>
        <v>2022_NSW_RankinsSprings_Lentil_Satellite</v>
      </c>
      <c r="N159">
        <f>I159</f>
        <v>5</v>
      </c>
      <c r="O159" t="str">
        <f t="shared" si="7"/>
        <v>2022_NSW_RankinsSprings_Lentil_Satellite_29</v>
      </c>
      <c r="P159" t="str">
        <f t="shared" si="8"/>
        <v>2022_NSW_RankinsSprings_Lentil_SatelliteTOS2VarietyGreenfieldWaterTrtRainFed</v>
      </c>
    </row>
    <row r="160" spans="1:16" x14ac:dyDescent="0.25">
      <c r="G160">
        <v>4</v>
      </c>
      <c r="H160" t="s">
        <v>253</v>
      </c>
      <c r="I160">
        <v>3</v>
      </c>
      <c r="J160" s="6">
        <v>45</v>
      </c>
      <c r="M160" t="str">
        <f t="shared" si="6"/>
        <v>2022_NSW_RankinsSprings_Lentil_Satellite</v>
      </c>
      <c r="N160">
        <f>I160</f>
        <v>3</v>
      </c>
      <c r="O160" t="str">
        <f t="shared" si="7"/>
        <v>2022_NSW_RankinsSprings_Lentil_Satellite_45</v>
      </c>
      <c r="P160" t="str">
        <f t="shared" si="8"/>
        <v>2022_NSW_RankinsSprings_Lentil_SatelliteTOS2VarietyGreenfieldWaterTrtRainFed</v>
      </c>
    </row>
    <row r="161" spans="1:16" x14ac:dyDescent="0.25">
      <c r="A161" t="s">
        <v>4238</v>
      </c>
      <c r="B161" t="s">
        <v>1663</v>
      </c>
      <c r="C161">
        <v>2</v>
      </c>
      <c r="D161" t="s">
        <v>4189</v>
      </c>
      <c r="E161" t="s">
        <v>40</v>
      </c>
      <c r="F161" t="s">
        <v>4398</v>
      </c>
      <c r="G161">
        <v>1</v>
      </c>
      <c r="H161" t="s">
        <v>253</v>
      </c>
      <c r="I161">
        <v>3</v>
      </c>
      <c r="J161" s="6">
        <v>9</v>
      </c>
      <c r="M161" t="str">
        <f t="shared" si="6"/>
        <v>2022_NSW_RankinsSprings_Lentil_Satellite</v>
      </c>
      <c r="N161">
        <f>I161</f>
        <v>3</v>
      </c>
      <c r="O161" t="str">
        <f t="shared" si="7"/>
        <v>2022_NSW_RankinsSprings_Lentil_Satellite_9</v>
      </c>
      <c r="P161" t="str">
        <f t="shared" si="8"/>
        <v>2022_NSW_RankinsSprings_Lentil_SatelliteTOS2VarietyHallmarkXTWaterTrtRainFed</v>
      </c>
    </row>
    <row r="162" spans="1:16" x14ac:dyDescent="0.25">
      <c r="G162">
        <v>2</v>
      </c>
      <c r="H162" t="s">
        <v>253</v>
      </c>
      <c r="I162">
        <v>5</v>
      </c>
      <c r="J162" s="6">
        <v>17</v>
      </c>
      <c r="M162" t="str">
        <f t="shared" si="6"/>
        <v>2022_NSW_RankinsSprings_Lentil_Satellite</v>
      </c>
      <c r="N162">
        <f>I162</f>
        <v>5</v>
      </c>
      <c r="O162" t="str">
        <f t="shared" si="7"/>
        <v>2022_NSW_RankinsSprings_Lentil_Satellite_17</v>
      </c>
      <c r="P162" t="str">
        <f t="shared" si="8"/>
        <v>2022_NSW_RankinsSprings_Lentil_SatelliteTOS2VarietyHallmarkXTWaterTrtRainFed</v>
      </c>
    </row>
    <row r="163" spans="1:16" x14ac:dyDescent="0.25">
      <c r="G163">
        <v>3</v>
      </c>
      <c r="H163" t="s">
        <v>253</v>
      </c>
      <c r="I163">
        <v>6</v>
      </c>
      <c r="J163" s="6">
        <v>30</v>
      </c>
      <c r="M163" t="str">
        <f t="shared" si="6"/>
        <v>2022_NSW_RankinsSprings_Lentil_Satellite</v>
      </c>
      <c r="N163">
        <f>I163</f>
        <v>6</v>
      </c>
      <c r="O163" t="str">
        <f t="shared" si="7"/>
        <v>2022_NSW_RankinsSprings_Lentil_Satellite_30</v>
      </c>
      <c r="P163" t="str">
        <f t="shared" si="8"/>
        <v>2022_NSW_RankinsSprings_Lentil_SatelliteTOS2VarietyHallmarkXTWaterTrtRainFed</v>
      </c>
    </row>
    <row r="164" spans="1:16" x14ac:dyDescent="0.25">
      <c r="G164">
        <v>4</v>
      </c>
      <c r="H164" t="s">
        <v>253</v>
      </c>
      <c r="I164">
        <v>2</v>
      </c>
      <c r="J164" s="6">
        <v>44</v>
      </c>
      <c r="M164" t="str">
        <f t="shared" si="6"/>
        <v>2022_NSW_RankinsSprings_Lentil_Satellite</v>
      </c>
      <c r="N164">
        <f>I164</f>
        <v>2</v>
      </c>
      <c r="O164" t="str">
        <f t="shared" si="7"/>
        <v>2022_NSW_RankinsSprings_Lentil_Satellite_44</v>
      </c>
      <c r="P164" t="str">
        <f t="shared" si="8"/>
        <v>2022_NSW_RankinsSprings_Lentil_SatelliteTOS2VarietyHallmarkXTWaterTrtRainFed</v>
      </c>
    </row>
    <row r="165" spans="1:16" x14ac:dyDescent="0.25">
      <c r="A165" t="s">
        <v>4239</v>
      </c>
      <c r="B165" t="s">
        <v>1663</v>
      </c>
      <c r="C165">
        <v>2</v>
      </c>
      <c r="D165" t="s">
        <v>4176</v>
      </c>
      <c r="E165" t="s">
        <v>40</v>
      </c>
      <c r="F165" t="s">
        <v>4398</v>
      </c>
      <c r="G165">
        <v>1</v>
      </c>
      <c r="H165" t="s">
        <v>253</v>
      </c>
      <c r="I165">
        <v>6</v>
      </c>
      <c r="J165" s="6">
        <v>12</v>
      </c>
      <c r="M165" t="str">
        <f t="shared" si="6"/>
        <v>2022_NSW_RankinsSprings_Lentil_Satellite</v>
      </c>
      <c r="N165">
        <f>I165</f>
        <v>6</v>
      </c>
      <c r="O165" t="str">
        <f t="shared" si="7"/>
        <v>2022_NSW_RankinsSprings_Lentil_Satellite_12</v>
      </c>
      <c r="P165" t="str">
        <f t="shared" si="8"/>
        <v>2022_NSW_RankinsSprings_Lentil_SatelliteTOS2VarietyJumbo2WaterTrtRainFed</v>
      </c>
    </row>
    <row r="166" spans="1:16" x14ac:dyDescent="0.25">
      <c r="G166">
        <v>2</v>
      </c>
      <c r="H166" t="s">
        <v>253</v>
      </c>
      <c r="I166">
        <v>2</v>
      </c>
      <c r="J166" s="6">
        <v>14</v>
      </c>
      <c r="M166" t="str">
        <f t="shared" si="6"/>
        <v>2022_NSW_RankinsSprings_Lentil_Satellite</v>
      </c>
      <c r="N166">
        <f>I166</f>
        <v>2</v>
      </c>
      <c r="O166" t="str">
        <f t="shared" si="7"/>
        <v>2022_NSW_RankinsSprings_Lentil_Satellite_14</v>
      </c>
      <c r="P166" t="str">
        <f t="shared" si="8"/>
        <v>2022_NSW_RankinsSprings_Lentil_SatelliteTOS2VarietyJumbo2WaterTrtRainFed</v>
      </c>
    </row>
    <row r="167" spans="1:16" x14ac:dyDescent="0.25">
      <c r="G167">
        <v>3</v>
      </c>
      <c r="H167" t="s">
        <v>253</v>
      </c>
      <c r="I167">
        <v>4</v>
      </c>
      <c r="J167" s="6">
        <v>28</v>
      </c>
      <c r="M167" t="str">
        <f t="shared" si="6"/>
        <v>2022_NSW_RankinsSprings_Lentil_Satellite</v>
      </c>
      <c r="N167">
        <f>I167</f>
        <v>4</v>
      </c>
      <c r="O167" t="str">
        <f t="shared" si="7"/>
        <v>2022_NSW_RankinsSprings_Lentil_Satellite_28</v>
      </c>
      <c r="P167" t="str">
        <f t="shared" si="8"/>
        <v>2022_NSW_RankinsSprings_Lentil_SatelliteTOS2VarietyJumbo2WaterTrtRainFed</v>
      </c>
    </row>
    <row r="168" spans="1:16" x14ac:dyDescent="0.25">
      <c r="G168">
        <v>4</v>
      </c>
      <c r="H168" t="s">
        <v>253</v>
      </c>
      <c r="I168">
        <v>1</v>
      </c>
      <c r="J168" s="6">
        <v>43</v>
      </c>
      <c r="M168" t="str">
        <f t="shared" si="6"/>
        <v>2022_NSW_RankinsSprings_Lentil_Satellite</v>
      </c>
      <c r="N168">
        <f>I168</f>
        <v>1</v>
      </c>
      <c r="O168" t="str">
        <f t="shared" si="7"/>
        <v>2022_NSW_RankinsSprings_Lentil_Satellite_43</v>
      </c>
      <c r="P168" t="str">
        <f t="shared" si="8"/>
        <v>2022_NSW_RankinsSprings_Lentil_SatelliteTOS2VarietyJumbo2WaterTrtRainFed</v>
      </c>
    </row>
    <row r="169" spans="1:16" x14ac:dyDescent="0.25">
      <c r="A169" t="s">
        <v>4240</v>
      </c>
      <c r="B169" t="s">
        <v>1663</v>
      </c>
      <c r="C169">
        <v>2</v>
      </c>
      <c r="D169" t="s">
        <v>4188</v>
      </c>
      <c r="E169" t="s">
        <v>40</v>
      </c>
      <c r="F169" t="s">
        <v>4398</v>
      </c>
      <c r="G169">
        <v>1</v>
      </c>
      <c r="H169" t="s">
        <v>253</v>
      </c>
      <c r="I169">
        <v>4</v>
      </c>
      <c r="J169" s="6">
        <v>10</v>
      </c>
      <c r="M169" t="str">
        <f t="shared" si="6"/>
        <v>2022_NSW_RankinsSprings_Lentil_Satellite</v>
      </c>
      <c r="N169">
        <f>I169</f>
        <v>4</v>
      </c>
      <c r="O169" t="str">
        <f t="shared" si="7"/>
        <v>2022_NSW_RankinsSprings_Lentil_Satellite_10</v>
      </c>
      <c r="P169" t="str">
        <f t="shared" si="8"/>
        <v>2022_NSW_RankinsSprings_Lentil_SatelliteTOS2VarietyKelpieXTWaterTrtRainFed</v>
      </c>
    </row>
    <row r="170" spans="1:16" x14ac:dyDescent="0.25">
      <c r="G170">
        <v>2</v>
      </c>
      <c r="H170" t="s">
        <v>253</v>
      </c>
      <c r="I170">
        <v>1</v>
      </c>
      <c r="J170" s="6">
        <v>13</v>
      </c>
      <c r="M170" t="str">
        <f t="shared" si="6"/>
        <v>2022_NSW_RankinsSprings_Lentil_Satellite</v>
      </c>
      <c r="N170">
        <f>I170</f>
        <v>1</v>
      </c>
      <c r="O170" t="str">
        <f t="shared" si="7"/>
        <v>2022_NSW_RankinsSprings_Lentil_Satellite_13</v>
      </c>
      <c r="P170" t="str">
        <f t="shared" si="8"/>
        <v>2022_NSW_RankinsSprings_Lentil_SatelliteTOS2VarietyKelpieXTWaterTrtRainFed</v>
      </c>
    </row>
    <row r="171" spans="1:16" x14ac:dyDescent="0.25">
      <c r="G171">
        <v>3</v>
      </c>
      <c r="H171" t="s">
        <v>253</v>
      </c>
      <c r="I171">
        <v>2</v>
      </c>
      <c r="J171" s="6">
        <v>26</v>
      </c>
      <c r="M171" t="str">
        <f t="shared" si="6"/>
        <v>2022_NSW_RankinsSprings_Lentil_Satellite</v>
      </c>
      <c r="N171">
        <f>I171</f>
        <v>2</v>
      </c>
      <c r="O171" t="str">
        <f t="shared" si="7"/>
        <v>2022_NSW_RankinsSprings_Lentil_Satellite_26</v>
      </c>
      <c r="P171" t="str">
        <f t="shared" si="8"/>
        <v>2022_NSW_RankinsSprings_Lentil_SatelliteTOS2VarietyKelpieXTWaterTrtRainFed</v>
      </c>
    </row>
    <row r="172" spans="1:16" x14ac:dyDescent="0.25">
      <c r="G172">
        <v>4</v>
      </c>
      <c r="H172" t="s">
        <v>253</v>
      </c>
      <c r="I172">
        <v>5</v>
      </c>
      <c r="J172" s="6">
        <v>47</v>
      </c>
      <c r="M172" t="str">
        <f t="shared" si="6"/>
        <v>2022_NSW_RankinsSprings_Lentil_Satellite</v>
      </c>
      <c r="N172">
        <f>I172</f>
        <v>5</v>
      </c>
      <c r="O172" t="str">
        <f t="shared" si="7"/>
        <v>2022_NSW_RankinsSprings_Lentil_Satellite_47</v>
      </c>
      <c r="P172" t="str">
        <f t="shared" si="8"/>
        <v>2022_NSW_RankinsSprings_Lentil_SatelliteTOS2VarietyKelpieXTWaterTrtRainFed</v>
      </c>
    </row>
    <row r="173" spans="1:16" x14ac:dyDescent="0.25">
      <c r="A173" t="s">
        <v>4241</v>
      </c>
      <c r="B173" t="s">
        <v>1034</v>
      </c>
      <c r="C173">
        <v>1</v>
      </c>
      <c r="D173" t="s">
        <v>4187</v>
      </c>
      <c r="E173" t="s">
        <v>57</v>
      </c>
      <c r="F173" t="s">
        <v>4398</v>
      </c>
      <c r="G173">
        <v>1</v>
      </c>
      <c r="H173" t="s">
        <v>250</v>
      </c>
      <c r="I173">
        <v>4</v>
      </c>
      <c r="J173" s="6">
        <v>16</v>
      </c>
      <c r="M173" t="str">
        <f t="shared" si="6"/>
        <v>2022_NSW_WaggaWagga_Lentil_Detailed</v>
      </c>
      <c r="N173">
        <f>I173</f>
        <v>4</v>
      </c>
      <c r="O173" t="str">
        <f t="shared" si="7"/>
        <v>2022_NSW_WaggaWagga_Lentil_Detailed_16</v>
      </c>
      <c r="P173" t="str">
        <f t="shared" si="8"/>
        <v>2022_NSW_WaggaWagga_Lentil_DetailedTOS1VarietyBoltWaterTrtIrrigated</v>
      </c>
    </row>
    <row r="174" spans="1:16" x14ac:dyDescent="0.25">
      <c r="H174" t="s">
        <v>253</v>
      </c>
      <c r="I174">
        <v>4</v>
      </c>
      <c r="J174" s="6">
        <v>15</v>
      </c>
      <c r="M174" t="str">
        <f t="shared" si="6"/>
        <v>2022_NSW_WaggaWagga_Lentil_Detailed</v>
      </c>
      <c r="N174">
        <f>I174</f>
        <v>4</v>
      </c>
      <c r="O174" t="str">
        <f t="shared" si="7"/>
        <v>2022_NSW_WaggaWagga_Lentil_Detailed_15</v>
      </c>
      <c r="P174" t="str">
        <f t="shared" si="8"/>
        <v>2022_NSW_WaggaWagga_Lentil_DetailedTOS1VarietyBoltWaterTrtIrrigated</v>
      </c>
    </row>
    <row r="175" spans="1:16" x14ac:dyDescent="0.25">
      <c r="G175">
        <v>2</v>
      </c>
      <c r="H175" t="s">
        <v>250</v>
      </c>
      <c r="I175">
        <v>3</v>
      </c>
      <c r="J175" s="6">
        <v>30</v>
      </c>
      <c r="M175" t="str">
        <f t="shared" si="6"/>
        <v>2022_NSW_WaggaWagga_Lentil_Detailed</v>
      </c>
      <c r="N175">
        <f>I175</f>
        <v>3</v>
      </c>
      <c r="O175" t="str">
        <f t="shared" si="7"/>
        <v>2022_NSW_WaggaWagga_Lentil_Detailed_30</v>
      </c>
      <c r="P175" t="str">
        <f t="shared" si="8"/>
        <v>2022_NSW_WaggaWagga_Lentil_DetailedTOS1VarietyBoltWaterTrtIrrigated</v>
      </c>
    </row>
    <row r="176" spans="1:16" x14ac:dyDescent="0.25">
      <c r="H176" t="s">
        <v>253</v>
      </c>
      <c r="I176">
        <v>3</v>
      </c>
      <c r="J176" s="6">
        <v>29</v>
      </c>
      <c r="M176" t="str">
        <f t="shared" si="6"/>
        <v>2022_NSW_WaggaWagga_Lentil_Detailed</v>
      </c>
      <c r="N176">
        <f>I176</f>
        <v>3</v>
      </c>
      <c r="O176" t="str">
        <f t="shared" si="7"/>
        <v>2022_NSW_WaggaWagga_Lentil_Detailed_29</v>
      </c>
      <c r="P176" t="str">
        <f t="shared" si="8"/>
        <v>2022_NSW_WaggaWagga_Lentil_DetailedTOS1VarietyBoltWaterTrtIrrigated</v>
      </c>
    </row>
    <row r="177" spans="1:16" x14ac:dyDescent="0.25">
      <c r="G177">
        <v>3</v>
      </c>
      <c r="H177" t="s">
        <v>250</v>
      </c>
      <c r="I177">
        <v>1</v>
      </c>
      <c r="J177" s="6">
        <v>34</v>
      </c>
      <c r="M177" t="str">
        <f t="shared" si="6"/>
        <v>2022_NSW_WaggaWagga_Lentil_Detailed</v>
      </c>
      <c r="N177">
        <f>I177</f>
        <v>1</v>
      </c>
      <c r="O177" t="str">
        <f t="shared" si="7"/>
        <v>2022_NSW_WaggaWagga_Lentil_Detailed_34</v>
      </c>
      <c r="P177" t="str">
        <f t="shared" si="8"/>
        <v>2022_NSW_WaggaWagga_Lentil_DetailedTOS1VarietyBoltWaterTrtIrrigated</v>
      </c>
    </row>
    <row r="178" spans="1:16" x14ac:dyDescent="0.25">
      <c r="H178" t="s">
        <v>253</v>
      </c>
      <c r="I178">
        <v>1</v>
      </c>
      <c r="J178" s="6">
        <v>33</v>
      </c>
      <c r="M178" t="str">
        <f t="shared" si="6"/>
        <v>2022_NSW_WaggaWagga_Lentil_Detailed</v>
      </c>
      <c r="N178">
        <f>I178</f>
        <v>1</v>
      </c>
      <c r="O178" t="str">
        <f t="shared" si="7"/>
        <v>2022_NSW_WaggaWagga_Lentil_Detailed_33</v>
      </c>
      <c r="P178" t="str">
        <f t="shared" si="8"/>
        <v>2022_NSW_WaggaWagga_Lentil_DetailedTOS1VarietyBoltWaterTrtIrrigated</v>
      </c>
    </row>
    <row r="179" spans="1:16" x14ac:dyDescent="0.25">
      <c r="G179">
        <v>4</v>
      </c>
      <c r="H179" t="s">
        <v>250</v>
      </c>
      <c r="I179">
        <v>2</v>
      </c>
      <c r="J179" s="6">
        <v>52</v>
      </c>
      <c r="M179" t="str">
        <f t="shared" si="6"/>
        <v>2022_NSW_WaggaWagga_Lentil_Detailed</v>
      </c>
      <c r="N179">
        <f>I179</f>
        <v>2</v>
      </c>
      <c r="O179" t="str">
        <f t="shared" si="7"/>
        <v>2022_NSW_WaggaWagga_Lentil_Detailed_52</v>
      </c>
      <c r="P179" t="str">
        <f t="shared" si="8"/>
        <v>2022_NSW_WaggaWagga_Lentil_DetailedTOS1VarietyBoltWaterTrtIrrigated</v>
      </c>
    </row>
    <row r="180" spans="1:16" x14ac:dyDescent="0.25">
      <c r="H180" t="s">
        <v>253</v>
      </c>
      <c r="I180">
        <v>2</v>
      </c>
      <c r="J180" s="6">
        <v>51</v>
      </c>
      <c r="M180" t="str">
        <f t="shared" si="6"/>
        <v>2022_NSW_WaggaWagga_Lentil_Detailed</v>
      </c>
      <c r="N180">
        <f>I180</f>
        <v>2</v>
      </c>
      <c r="O180" t="str">
        <f t="shared" si="7"/>
        <v>2022_NSW_WaggaWagga_Lentil_Detailed_51</v>
      </c>
      <c r="P180" t="str">
        <f t="shared" si="8"/>
        <v>2022_NSW_WaggaWagga_Lentil_DetailedTOS1VarietyBoltWaterTrtIrrigated</v>
      </c>
    </row>
    <row r="181" spans="1:16" x14ac:dyDescent="0.25">
      <c r="A181" t="s">
        <v>4242</v>
      </c>
      <c r="B181" t="s">
        <v>1034</v>
      </c>
      <c r="C181">
        <v>1</v>
      </c>
      <c r="D181" t="s">
        <v>4187</v>
      </c>
      <c r="E181" t="s">
        <v>40</v>
      </c>
      <c r="F181" t="s">
        <v>4398</v>
      </c>
      <c r="G181">
        <v>1</v>
      </c>
      <c r="H181" t="s">
        <v>250</v>
      </c>
      <c r="I181">
        <v>7</v>
      </c>
      <c r="J181" s="6">
        <v>78</v>
      </c>
      <c r="M181" t="str">
        <f t="shared" si="6"/>
        <v>2022_NSW_WaggaWagga_Lentil_Detailed</v>
      </c>
      <c r="N181">
        <f>I181</f>
        <v>7</v>
      </c>
      <c r="O181" t="str">
        <f t="shared" si="7"/>
        <v>2022_NSW_WaggaWagga_Lentil_Detailed_78</v>
      </c>
      <c r="P181" t="str">
        <f t="shared" si="8"/>
        <v>2022_NSW_WaggaWagga_Lentil_DetailedTOS1VarietyBoltWaterTrtRainFed</v>
      </c>
    </row>
    <row r="182" spans="1:16" x14ac:dyDescent="0.25">
      <c r="H182" t="s">
        <v>253</v>
      </c>
      <c r="I182">
        <v>7</v>
      </c>
      <c r="J182" s="6">
        <v>77</v>
      </c>
      <c r="M182" t="str">
        <f t="shared" si="6"/>
        <v>2022_NSW_WaggaWagga_Lentil_Detailed</v>
      </c>
      <c r="N182">
        <f>I182</f>
        <v>7</v>
      </c>
      <c r="O182" t="str">
        <f t="shared" si="7"/>
        <v>2022_NSW_WaggaWagga_Lentil_Detailed_77</v>
      </c>
      <c r="P182" t="str">
        <f t="shared" si="8"/>
        <v>2022_NSW_WaggaWagga_Lentil_DetailedTOS1VarietyBoltWaterTrtRainFed</v>
      </c>
    </row>
    <row r="183" spans="1:16" x14ac:dyDescent="0.25">
      <c r="G183">
        <v>2</v>
      </c>
      <c r="H183" t="s">
        <v>250</v>
      </c>
      <c r="I183">
        <v>8</v>
      </c>
      <c r="J183" s="6">
        <v>88</v>
      </c>
      <c r="M183" t="str">
        <f t="shared" si="6"/>
        <v>2022_NSW_WaggaWagga_Lentil_Detailed</v>
      </c>
      <c r="N183">
        <f>I183</f>
        <v>8</v>
      </c>
      <c r="O183" t="str">
        <f t="shared" si="7"/>
        <v>2022_NSW_WaggaWagga_Lentil_Detailed_88</v>
      </c>
      <c r="P183" t="str">
        <f t="shared" si="8"/>
        <v>2022_NSW_WaggaWagga_Lentil_DetailedTOS1VarietyBoltWaterTrtRainFed</v>
      </c>
    </row>
    <row r="184" spans="1:16" x14ac:dyDescent="0.25">
      <c r="H184" t="s">
        <v>253</v>
      </c>
      <c r="I184">
        <v>8</v>
      </c>
      <c r="J184" s="6">
        <v>87</v>
      </c>
      <c r="M184" t="str">
        <f t="shared" si="6"/>
        <v>2022_NSW_WaggaWagga_Lentil_Detailed</v>
      </c>
      <c r="N184">
        <f>I184</f>
        <v>8</v>
      </c>
      <c r="O184" t="str">
        <f t="shared" si="7"/>
        <v>2022_NSW_WaggaWagga_Lentil_Detailed_87</v>
      </c>
      <c r="P184" t="str">
        <f t="shared" si="8"/>
        <v>2022_NSW_WaggaWagga_Lentil_DetailedTOS1VarietyBoltWaterTrtRainFed</v>
      </c>
    </row>
    <row r="185" spans="1:16" x14ac:dyDescent="0.25">
      <c r="G185">
        <v>3</v>
      </c>
      <c r="H185" t="s">
        <v>250</v>
      </c>
      <c r="I185">
        <v>6</v>
      </c>
      <c r="J185" s="6">
        <v>100</v>
      </c>
      <c r="M185" t="str">
        <f t="shared" si="6"/>
        <v>2022_NSW_WaggaWagga_Lentil_Detailed</v>
      </c>
      <c r="N185">
        <f>I185</f>
        <v>6</v>
      </c>
      <c r="O185" t="str">
        <f t="shared" si="7"/>
        <v>2022_NSW_WaggaWagga_Lentil_Detailed_100</v>
      </c>
      <c r="P185" t="str">
        <f t="shared" si="8"/>
        <v>2022_NSW_WaggaWagga_Lentil_DetailedTOS1VarietyBoltWaterTrtRainFed</v>
      </c>
    </row>
    <row r="186" spans="1:16" x14ac:dyDescent="0.25">
      <c r="H186" t="s">
        <v>253</v>
      </c>
      <c r="I186">
        <v>6</v>
      </c>
      <c r="J186" s="6">
        <v>99</v>
      </c>
      <c r="M186" t="str">
        <f t="shared" si="6"/>
        <v>2022_NSW_WaggaWagga_Lentil_Detailed</v>
      </c>
      <c r="N186">
        <f>I186</f>
        <v>6</v>
      </c>
      <c r="O186" t="str">
        <f t="shared" si="7"/>
        <v>2022_NSW_WaggaWagga_Lentil_Detailed_99</v>
      </c>
      <c r="P186" t="str">
        <f t="shared" si="8"/>
        <v>2022_NSW_WaggaWagga_Lentil_DetailedTOS1VarietyBoltWaterTrtRainFed</v>
      </c>
    </row>
    <row r="187" spans="1:16" x14ac:dyDescent="0.25">
      <c r="G187">
        <v>4</v>
      </c>
      <c r="H187" t="s">
        <v>250</v>
      </c>
      <c r="I187">
        <v>5</v>
      </c>
      <c r="J187" s="6">
        <v>122</v>
      </c>
      <c r="M187" t="str">
        <f t="shared" si="6"/>
        <v>2022_NSW_WaggaWagga_Lentil_Detailed</v>
      </c>
      <c r="N187">
        <f>I187</f>
        <v>5</v>
      </c>
      <c r="O187" t="str">
        <f t="shared" si="7"/>
        <v>2022_NSW_WaggaWagga_Lentil_Detailed_122</v>
      </c>
      <c r="P187" t="str">
        <f t="shared" si="8"/>
        <v>2022_NSW_WaggaWagga_Lentil_DetailedTOS1VarietyBoltWaterTrtRainFed</v>
      </c>
    </row>
    <row r="188" spans="1:16" x14ac:dyDescent="0.25">
      <c r="H188" t="s">
        <v>253</v>
      </c>
      <c r="I188">
        <v>5</v>
      </c>
      <c r="J188" s="6">
        <v>121</v>
      </c>
      <c r="M188" t="str">
        <f t="shared" si="6"/>
        <v>2022_NSW_WaggaWagga_Lentil_Detailed</v>
      </c>
      <c r="N188">
        <f>I188</f>
        <v>5</v>
      </c>
      <c r="O188" t="str">
        <f t="shared" si="7"/>
        <v>2022_NSW_WaggaWagga_Lentil_Detailed_121</v>
      </c>
      <c r="P188" t="str">
        <f t="shared" si="8"/>
        <v>2022_NSW_WaggaWagga_Lentil_DetailedTOS1VarietyBoltWaterTrtRainFed</v>
      </c>
    </row>
    <row r="189" spans="1:16" x14ac:dyDescent="0.25">
      <c r="A189" t="s">
        <v>4243</v>
      </c>
      <c r="B189" t="s">
        <v>1034</v>
      </c>
      <c r="C189">
        <v>1</v>
      </c>
      <c r="D189" t="s">
        <v>4189</v>
      </c>
      <c r="E189" t="s">
        <v>57</v>
      </c>
      <c r="F189" t="s">
        <v>4398</v>
      </c>
      <c r="G189">
        <v>1</v>
      </c>
      <c r="H189" t="s">
        <v>250</v>
      </c>
      <c r="I189">
        <v>2</v>
      </c>
      <c r="J189" s="6">
        <v>12</v>
      </c>
      <c r="M189" t="str">
        <f t="shared" si="6"/>
        <v>2022_NSW_WaggaWagga_Lentil_Detailed</v>
      </c>
      <c r="N189">
        <f>I189</f>
        <v>2</v>
      </c>
      <c r="O189" t="str">
        <f t="shared" si="7"/>
        <v>2022_NSW_WaggaWagga_Lentil_Detailed_12</v>
      </c>
      <c r="P189" t="str">
        <f t="shared" si="8"/>
        <v>2022_NSW_WaggaWagga_Lentil_DetailedTOS1VarietyHallmarkXTWaterTrtIrrigated</v>
      </c>
    </row>
    <row r="190" spans="1:16" x14ac:dyDescent="0.25">
      <c r="H190" t="s">
        <v>253</v>
      </c>
      <c r="I190">
        <v>2</v>
      </c>
      <c r="J190" s="6">
        <v>11</v>
      </c>
      <c r="M190" t="str">
        <f t="shared" si="6"/>
        <v>2022_NSW_WaggaWagga_Lentil_Detailed</v>
      </c>
      <c r="N190">
        <f>I190</f>
        <v>2</v>
      </c>
      <c r="O190" t="str">
        <f t="shared" si="7"/>
        <v>2022_NSW_WaggaWagga_Lentil_Detailed_11</v>
      </c>
      <c r="P190" t="str">
        <f t="shared" si="8"/>
        <v>2022_NSW_WaggaWagga_Lentil_DetailedTOS1VarietyHallmarkXTWaterTrtIrrigated</v>
      </c>
    </row>
    <row r="191" spans="1:16" x14ac:dyDescent="0.25">
      <c r="G191">
        <v>2</v>
      </c>
      <c r="H191" t="s">
        <v>250</v>
      </c>
      <c r="I191">
        <v>4</v>
      </c>
      <c r="J191" s="6">
        <v>32</v>
      </c>
      <c r="M191" t="str">
        <f t="shared" si="6"/>
        <v>2022_NSW_WaggaWagga_Lentil_Detailed</v>
      </c>
      <c r="N191">
        <f>I191</f>
        <v>4</v>
      </c>
      <c r="O191" t="str">
        <f t="shared" si="7"/>
        <v>2022_NSW_WaggaWagga_Lentil_Detailed_32</v>
      </c>
      <c r="P191" t="str">
        <f t="shared" si="8"/>
        <v>2022_NSW_WaggaWagga_Lentil_DetailedTOS1VarietyHallmarkXTWaterTrtIrrigated</v>
      </c>
    </row>
    <row r="192" spans="1:16" x14ac:dyDescent="0.25">
      <c r="H192" t="s">
        <v>253</v>
      </c>
      <c r="I192">
        <v>4</v>
      </c>
      <c r="J192" s="6">
        <v>31</v>
      </c>
      <c r="M192" t="str">
        <f t="shared" si="6"/>
        <v>2022_NSW_WaggaWagga_Lentil_Detailed</v>
      </c>
      <c r="N192">
        <f>I192</f>
        <v>4</v>
      </c>
      <c r="O192" t="str">
        <f t="shared" si="7"/>
        <v>2022_NSW_WaggaWagga_Lentil_Detailed_31</v>
      </c>
      <c r="P192" t="str">
        <f t="shared" si="8"/>
        <v>2022_NSW_WaggaWagga_Lentil_DetailedTOS1VarietyHallmarkXTWaterTrtIrrigated</v>
      </c>
    </row>
    <row r="193" spans="1:16" x14ac:dyDescent="0.25">
      <c r="G193">
        <v>3</v>
      </c>
      <c r="H193" t="s">
        <v>250</v>
      </c>
      <c r="I193">
        <v>3</v>
      </c>
      <c r="J193" s="6">
        <v>38</v>
      </c>
      <c r="M193" t="str">
        <f t="shared" si="6"/>
        <v>2022_NSW_WaggaWagga_Lentil_Detailed</v>
      </c>
      <c r="N193">
        <f>I193</f>
        <v>3</v>
      </c>
      <c r="O193" t="str">
        <f t="shared" si="7"/>
        <v>2022_NSW_WaggaWagga_Lentil_Detailed_38</v>
      </c>
      <c r="P193" t="str">
        <f t="shared" si="8"/>
        <v>2022_NSW_WaggaWagga_Lentil_DetailedTOS1VarietyHallmarkXTWaterTrtIrrigated</v>
      </c>
    </row>
    <row r="194" spans="1:16" x14ac:dyDescent="0.25">
      <c r="H194" t="s">
        <v>253</v>
      </c>
      <c r="I194">
        <v>3</v>
      </c>
      <c r="J194" s="6">
        <v>37</v>
      </c>
      <c r="M194" t="str">
        <f t="shared" si="6"/>
        <v>2022_NSW_WaggaWagga_Lentil_Detailed</v>
      </c>
      <c r="N194">
        <f>I194</f>
        <v>3</v>
      </c>
      <c r="O194" t="str">
        <f t="shared" si="7"/>
        <v>2022_NSW_WaggaWagga_Lentil_Detailed_37</v>
      </c>
      <c r="P194" t="str">
        <f t="shared" si="8"/>
        <v>2022_NSW_WaggaWagga_Lentil_DetailedTOS1VarietyHallmarkXTWaterTrtIrrigated</v>
      </c>
    </row>
    <row r="195" spans="1:16" x14ac:dyDescent="0.25">
      <c r="G195">
        <v>4</v>
      </c>
      <c r="H195" t="s">
        <v>250</v>
      </c>
      <c r="I195">
        <v>1</v>
      </c>
      <c r="J195" s="6">
        <v>50</v>
      </c>
      <c r="M195" t="str">
        <f t="shared" si="6"/>
        <v>2022_NSW_WaggaWagga_Lentil_Detailed</v>
      </c>
      <c r="N195">
        <f>I195</f>
        <v>1</v>
      </c>
      <c r="O195" t="str">
        <f t="shared" si="7"/>
        <v>2022_NSW_WaggaWagga_Lentil_Detailed_50</v>
      </c>
      <c r="P195" t="str">
        <f t="shared" si="8"/>
        <v>2022_NSW_WaggaWagga_Lentil_DetailedTOS1VarietyHallmarkXTWaterTrtIrrigated</v>
      </c>
    </row>
    <row r="196" spans="1:16" x14ac:dyDescent="0.25">
      <c r="H196" t="s">
        <v>253</v>
      </c>
      <c r="I196">
        <v>1</v>
      </c>
      <c r="J196" s="6">
        <v>49</v>
      </c>
      <c r="M196" t="str">
        <f t="shared" si="6"/>
        <v>2022_NSW_WaggaWagga_Lentil_Detailed</v>
      </c>
      <c r="N196">
        <f>I196</f>
        <v>1</v>
      </c>
      <c r="O196" t="str">
        <f t="shared" si="7"/>
        <v>2022_NSW_WaggaWagga_Lentil_Detailed_49</v>
      </c>
      <c r="P196" t="str">
        <f t="shared" si="8"/>
        <v>2022_NSW_WaggaWagga_Lentil_DetailedTOS1VarietyHallmarkXTWaterTrtIrrigated</v>
      </c>
    </row>
    <row r="197" spans="1:16" x14ac:dyDescent="0.25">
      <c r="A197" t="s">
        <v>4244</v>
      </c>
      <c r="B197" t="s">
        <v>1034</v>
      </c>
      <c r="C197">
        <v>1</v>
      </c>
      <c r="D197" t="s">
        <v>4189</v>
      </c>
      <c r="E197" t="s">
        <v>40</v>
      </c>
      <c r="F197" t="s">
        <v>4398</v>
      </c>
      <c r="G197">
        <v>1</v>
      </c>
      <c r="H197" t="s">
        <v>250</v>
      </c>
      <c r="I197">
        <v>8</v>
      </c>
      <c r="J197" s="6">
        <v>80</v>
      </c>
      <c r="M197" t="str">
        <f t="shared" si="6"/>
        <v>2022_NSW_WaggaWagga_Lentil_Detailed</v>
      </c>
      <c r="N197">
        <f>I197</f>
        <v>8</v>
      </c>
      <c r="O197" t="str">
        <f t="shared" si="7"/>
        <v>2022_NSW_WaggaWagga_Lentil_Detailed_80</v>
      </c>
      <c r="P197" t="str">
        <f t="shared" si="8"/>
        <v>2022_NSW_WaggaWagga_Lentil_DetailedTOS1VarietyHallmarkXTWaterTrtRainFed</v>
      </c>
    </row>
    <row r="198" spans="1:16" x14ac:dyDescent="0.25">
      <c r="H198" t="s">
        <v>253</v>
      </c>
      <c r="I198">
        <v>8</v>
      </c>
      <c r="J198" s="6">
        <v>79</v>
      </c>
      <c r="M198" t="str">
        <f t="shared" ref="M198:M261" si="9">IF(B198="",M197,B198)</f>
        <v>2022_NSW_WaggaWagga_Lentil_Detailed</v>
      </c>
      <c r="N198">
        <f>I198</f>
        <v>8</v>
      </c>
      <c r="O198" t="str">
        <f t="shared" ref="O198:O261" si="10">M198&amp;"_"&amp;J198</f>
        <v>2022_NSW_WaggaWagga_Lentil_Detailed_79</v>
      </c>
      <c r="P198" t="str">
        <f t="shared" ref="P198:P261" si="11">IF(A198="",P197,A198)</f>
        <v>2022_NSW_WaggaWagga_Lentil_DetailedTOS1VarietyHallmarkXTWaterTrtRainFed</v>
      </c>
    </row>
    <row r="199" spans="1:16" x14ac:dyDescent="0.25">
      <c r="G199">
        <v>2</v>
      </c>
      <c r="H199" t="s">
        <v>250</v>
      </c>
      <c r="I199">
        <v>7</v>
      </c>
      <c r="J199" s="6">
        <v>86</v>
      </c>
      <c r="M199" t="str">
        <f t="shared" si="9"/>
        <v>2022_NSW_WaggaWagga_Lentil_Detailed</v>
      </c>
      <c r="N199">
        <f>I199</f>
        <v>7</v>
      </c>
      <c r="O199" t="str">
        <f t="shared" si="10"/>
        <v>2022_NSW_WaggaWagga_Lentil_Detailed_86</v>
      </c>
      <c r="P199" t="str">
        <f t="shared" si="11"/>
        <v>2022_NSW_WaggaWagga_Lentil_DetailedTOS1VarietyHallmarkXTWaterTrtRainFed</v>
      </c>
    </row>
    <row r="200" spans="1:16" x14ac:dyDescent="0.25">
      <c r="H200" t="s">
        <v>253</v>
      </c>
      <c r="I200">
        <v>7</v>
      </c>
      <c r="J200" s="6">
        <v>85</v>
      </c>
      <c r="M200" t="str">
        <f t="shared" si="9"/>
        <v>2022_NSW_WaggaWagga_Lentil_Detailed</v>
      </c>
      <c r="N200">
        <f>I200</f>
        <v>7</v>
      </c>
      <c r="O200" t="str">
        <f t="shared" si="10"/>
        <v>2022_NSW_WaggaWagga_Lentil_Detailed_85</v>
      </c>
      <c r="P200" t="str">
        <f t="shared" si="11"/>
        <v>2022_NSW_WaggaWagga_Lentil_DetailedTOS1VarietyHallmarkXTWaterTrtRainFed</v>
      </c>
    </row>
    <row r="201" spans="1:16" x14ac:dyDescent="0.25">
      <c r="G201">
        <v>3</v>
      </c>
      <c r="H201" t="s">
        <v>250</v>
      </c>
      <c r="I201">
        <v>5</v>
      </c>
      <c r="J201" s="6">
        <v>98</v>
      </c>
      <c r="M201" t="str">
        <f t="shared" si="9"/>
        <v>2022_NSW_WaggaWagga_Lentil_Detailed</v>
      </c>
      <c r="N201">
        <f>I201</f>
        <v>5</v>
      </c>
      <c r="O201" t="str">
        <f t="shared" si="10"/>
        <v>2022_NSW_WaggaWagga_Lentil_Detailed_98</v>
      </c>
      <c r="P201" t="str">
        <f t="shared" si="11"/>
        <v>2022_NSW_WaggaWagga_Lentil_DetailedTOS1VarietyHallmarkXTWaterTrtRainFed</v>
      </c>
    </row>
    <row r="202" spans="1:16" x14ac:dyDescent="0.25">
      <c r="H202" t="s">
        <v>253</v>
      </c>
      <c r="I202">
        <v>5</v>
      </c>
      <c r="J202" s="6">
        <v>97</v>
      </c>
      <c r="M202" t="str">
        <f t="shared" si="9"/>
        <v>2022_NSW_WaggaWagga_Lentil_Detailed</v>
      </c>
      <c r="N202">
        <f>I202</f>
        <v>5</v>
      </c>
      <c r="O202" t="str">
        <f t="shared" si="10"/>
        <v>2022_NSW_WaggaWagga_Lentil_Detailed_97</v>
      </c>
      <c r="P202" t="str">
        <f t="shared" si="11"/>
        <v>2022_NSW_WaggaWagga_Lentil_DetailedTOS1VarietyHallmarkXTWaterTrtRainFed</v>
      </c>
    </row>
    <row r="203" spans="1:16" x14ac:dyDescent="0.25">
      <c r="G203">
        <v>4</v>
      </c>
      <c r="H203" t="s">
        <v>250</v>
      </c>
      <c r="I203">
        <v>6</v>
      </c>
      <c r="J203" s="6">
        <v>124</v>
      </c>
      <c r="M203" t="str">
        <f t="shared" si="9"/>
        <v>2022_NSW_WaggaWagga_Lentil_Detailed</v>
      </c>
      <c r="N203">
        <f>I203</f>
        <v>6</v>
      </c>
      <c r="O203" t="str">
        <f t="shared" si="10"/>
        <v>2022_NSW_WaggaWagga_Lentil_Detailed_124</v>
      </c>
      <c r="P203" t="str">
        <f t="shared" si="11"/>
        <v>2022_NSW_WaggaWagga_Lentil_DetailedTOS1VarietyHallmarkXTWaterTrtRainFed</v>
      </c>
    </row>
    <row r="204" spans="1:16" x14ac:dyDescent="0.25">
      <c r="H204" t="s">
        <v>253</v>
      </c>
      <c r="I204">
        <v>6</v>
      </c>
      <c r="J204" s="6">
        <v>123</v>
      </c>
      <c r="M204" t="str">
        <f t="shared" si="9"/>
        <v>2022_NSW_WaggaWagga_Lentil_Detailed</v>
      </c>
      <c r="N204">
        <f>I204</f>
        <v>6</v>
      </c>
      <c r="O204" t="str">
        <f t="shared" si="10"/>
        <v>2022_NSW_WaggaWagga_Lentil_Detailed_123</v>
      </c>
      <c r="P204" t="str">
        <f t="shared" si="11"/>
        <v>2022_NSW_WaggaWagga_Lentil_DetailedTOS1VarietyHallmarkXTWaterTrtRainFed</v>
      </c>
    </row>
    <row r="205" spans="1:16" x14ac:dyDescent="0.25">
      <c r="A205" t="s">
        <v>4245</v>
      </c>
      <c r="B205" t="s">
        <v>1034</v>
      </c>
      <c r="C205">
        <v>1</v>
      </c>
      <c r="D205" t="s">
        <v>4176</v>
      </c>
      <c r="E205" t="s">
        <v>57</v>
      </c>
      <c r="F205" t="s">
        <v>4398</v>
      </c>
      <c r="G205">
        <v>1</v>
      </c>
      <c r="H205" t="s">
        <v>250</v>
      </c>
      <c r="I205">
        <v>3</v>
      </c>
      <c r="J205" s="6">
        <v>14</v>
      </c>
      <c r="M205" t="str">
        <f t="shared" si="9"/>
        <v>2022_NSW_WaggaWagga_Lentil_Detailed</v>
      </c>
      <c r="N205">
        <f>I205</f>
        <v>3</v>
      </c>
      <c r="O205" t="str">
        <f t="shared" si="10"/>
        <v>2022_NSW_WaggaWagga_Lentil_Detailed_14</v>
      </c>
      <c r="P205" t="str">
        <f t="shared" si="11"/>
        <v>2022_NSW_WaggaWagga_Lentil_DetailedTOS1VarietyJumbo2WaterTrtIrrigated</v>
      </c>
    </row>
    <row r="206" spans="1:16" x14ac:dyDescent="0.25">
      <c r="H206" t="s">
        <v>253</v>
      </c>
      <c r="I206">
        <v>3</v>
      </c>
      <c r="J206" s="6">
        <v>13</v>
      </c>
      <c r="M206" t="str">
        <f t="shared" si="9"/>
        <v>2022_NSW_WaggaWagga_Lentil_Detailed</v>
      </c>
      <c r="N206">
        <f>I206</f>
        <v>3</v>
      </c>
      <c r="O206" t="str">
        <f t="shared" si="10"/>
        <v>2022_NSW_WaggaWagga_Lentil_Detailed_13</v>
      </c>
      <c r="P206" t="str">
        <f t="shared" si="11"/>
        <v>2022_NSW_WaggaWagga_Lentil_DetailedTOS1VarietyJumbo2WaterTrtIrrigated</v>
      </c>
    </row>
    <row r="207" spans="1:16" x14ac:dyDescent="0.25">
      <c r="G207">
        <v>2</v>
      </c>
      <c r="H207" t="s">
        <v>250</v>
      </c>
      <c r="I207">
        <v>1</v>
      </c>
      <c r="J207" s="6">
        <v>26</v>
      </c>
      <c r="M207" t="str">
        <f t="shared" si="9"/>
        <v>2022_NSW_WaggaWagga_Lentil_Detailed</v>
      </c>
      <c r="N207">
        <f>I207</f>
        <v>1</v>
      </c>
      <c r="O207" t="str">
        <f t="shared" si="10"/>
        <v>2022_NSW_WaggaWagga_Lentil_Detailed_26</v>
      </c>
      <c r="P207" t="str">
        <f t="shared" si="11"/>
        <v>2022_NSW_WaggaWagga_Lentil_DetailedTOS1VarietyJumbo2WaterTrtIrrigated</v>
      </c>
    </row>
    <row r="208" spans="1:16" x14ac:dyDescent="0.25">
      <c r="H208" t="s">
        <v>253</v>
      </c>
      <c r="I208">
        <v>1</v>
      </c>
      <c r="J208" s="6">
        <v>25</v>
      </c>
      <c r="M208" t="str">
        <f t="shared" si="9"/>
        <v>2022_NSW_WaggaWagga_Lentil_Detailed</v>
      </c>
      <c r="N208">
        <f>I208</f>
        <v>1</v>
      </c>
      <c r="O208" t="str">
        <f t="shared" si="10"/>
        <v>2022_NSW_WaggaWagga_Lentil_Detailed_25</v>
      </c>
      <c r="P208" t="str">
        <f t="shared" si="11"/>
        <v>2022_NSW_WaggaWagga_Lentil_DetailedTOS1VarietyJumbo2WaterTrtIrrigated</v>
      </c>
    </row>
    <row r="209" spans="1:16" x14ac:dyDescent="0.25">
      <c r="G209">
        <v>3</v>
      </c>
      <c r="H209" t="s">
        <v>250</v>
      </c>
      <c r="I209">
        <v>2</v>
      </c>
      <c r="J209" s="6">
        <v>36</v>
      </c>
      <c r="M209" t="str">
        <f t="shared" si="9"/>
        <v>2022_NSW_WaggaWagga_Lentil_Detailed</v>
      </c>
      <c r="N209">
        <f>I209</f>
        <v>2</v>
      </c>
      <c r="O209" t="str">
        <f t="shared" si="10"/>
        <v>2022_NSW_WaggaWagga_Lentil_Detailed_36</v>
      </c>
      <c r="P209" t="str">
        <f t="shared" si="11"/>
        <v>2022_NSW_WaggaWagga_Lentil_DetailedTOS1VarietyJumbo2WaterTrtIrrigated</v>
      </c>
    </row>
    <row r="210" spans="1:16" x14ac:dyDescent="0.25">
      <c r="H210" t="s">
        <v>253</v>
      </c>
      <c r="I210">
        <v>2</v>
      </c>
      <c r="J210" s="6">
        <v>35</v>
      </c>
      <c r="M210" t="str">
        <f t="shared" si="9"/>
        <v>2022_NSW_WaggaWagga_Lentil_Detailed</v>
      </c>
      <c r="N210">
        <f>I210</f>
        <v>2</v>
      </c>
      <c r="O210" t="str">
        <f t="shared" si="10"/>
        <v>2022_NSW_WaggaWagga_Lentil_Detailed_35</v>
      </c>
      <c r="P210" t="str">
        <f t="shared" si="11"/>
        <v>2022_NSW_WaggaWagga_Lentil_DetailedTOS1VarietyJumbo2WaterTrtIrrigated</v>
      </c>
    </row>
    <row r="211" spans="1:16" x14ac:dyDescent="0.25">
      <c r="G211">
        <v>4</v>
      </c>
      <c r="H211" t="s">
        <v>250</v>
      </c>
      <c r="I211">
        <v>4</v>
      </c>
      <c r="J211" s="6">
        <v>56</v>
      </c>
      <c r="M211" t="str">
        <f t="shared" si="9"/>
        <v>2022_NSW_WaggaWagga_Lentil_Detailed</v>
      </c>
      <c r="N211">
        <f>I211</f>
        <v>4</v>
      </c>
      <c r="O211" t="str">
        <f t="shared" si="10"/>
        <v>2022_NSW_WaggaWagga_Lentil_Detailed_56</v>
      </c>
      <c r="P211" t="str">
        <f t="shared" si="11"/>
        <v>2022_NSW_WaggaWagga_Lentil_DetailedTOS1VarietyJumbo2WaterTrtIrrigated</v>
      </c>
    </row>
    <row r="212" spans="1:16" x14ac:dyDescent="0.25">
      <c r="H212" t="s">
        <v>253</v>
      </c>
      <c r="I212">
        <v>4</v>
      </c>
      <c r="J212" s="6">
        <v>55</v>
      </c>
      <c r="M212" t="str">
        <f t="shared" si="9"/>
        <v>2022_NSW_WaggaWagga_Lentil_Detailed</v>
      </c>
      <c r="N212">
        <f>I212</f>
        <v>4</v>
      </c>
      <c r="O212" t="str">
        <f t="shared" si="10"/>
        <v>2022_NSW_WaggaWagga_Lentil_Detailed_55</v>
      </c>
      <c r="P212" t="str">
        <f t="shared" si="11"/>
        <v>2022_NSW_WaggaWagga_Lentil_DetailedTOS1VarietyJumbo2WaterTrtIrrigated</v>
      </c>
    </row>
    <row r="213" spans="1:16" x14ac:dyDescent="0.25">
      <c r="A213" t="s">
        <v>4246</v>
      </c>
      <c r="B213" t="s">
        <v>1034</v>
      </c>
      <c r="C213">
        <v>1</v>
      </c>
      <c r="D213" t="s">
        <v>4176</v>
      </c>
      <c r="E213" t="s">
        <v>40</v>
      </c>
      <c r="F213" t="s">
        <v>4398</v>
      </c>
      <c r="G213">
        <v>1</v>
      </c>
      <c r="H213" t="s">
        <v>250</v>
      </c>
      <c r="I213">
        <v>6</v>
      </c>
      <c r="J213" s="6">
        <v>76</v>
      </c>
      <c r="M213" t="str">
        <f t="shared" si="9"/>
        <v>2022_NSW_WaggaWagga_Lentil_Detailed</v>
      </c>
      <c r="N213">
        <f>I213</f>
        <v>6</v>
      </c>
      <c r="O213" t="str">
        <f t="shared" si="10"/>
        <v>2022_NSW_WaggaWagga_Lentil_Detailed_76</v>
      </c>
      <c r="P213" t="str">
        <f t="shared" si="11"/>
        <v>2022_NSW_WaggaWagga_Lentil_DetailedTOS1VarietyJumbo2WaterTrtRainFed</v>
      </c>
    </row>
    <row r="214" spans="1:16" x14ac:dyDescent="0.25">
      <c r="H214" t="s">
        <v>253</v>
      </c>
      <c r="I214">
        <v>6</v>
      </c>
      <c r="J214" s="6">
        <v>75</v>
      </c>
      <c r="M214" t="str">
        <f t="shared" si="9"/>
        <v>2022_NSW_WaggaWagga_Lentil_Detailed</v>
      </c>
      <c r="N214">
        <f>I214</f>
        <v>6</v>
      </c>
      <c r="O214" t="str">
        <f t="shared" si="10"/>
        <v>2022_NSW_WaggaWagga_Lentil_Detailed_75</v>
      </c>
      <c r="P214" t="str">
        <f t="shared" si="11"/>
        <v>2022_NSW_WaggaWagga_Lentil_DetailedTOS1VarietyJumbo2WaterTrtRainFed</v>
      </c>
    </row>
    <row r="215" spans="1:16" x14ac:dyDescent="0.25">
      <c r="G215">
        <v>2</v>
      </c>
      <c r="H215" t="s">
        <v>250</v>
      </c>
      <c r="I215">
        <v>5</v>
      </c>
      <c r="J215" s="6">
        <v>82</v>
      </c>
      <c r="M215" t="str">
        <f t="shared" si="9"/>
        <v>2022_NSW_WaggaWagga_Lentil_Detailed</v>
      </c>
      <c r="N215">
        <f>I215</f>
        <v>5</v>
      </c>
      <c r="O215" t="str">
        <f t="shared" si="10"/>
        <v>2022_NSW_WaggaWagga_Lentil_Detailed_82</v>
      </c>
      <c r="P215" t="str">
        <f t="shared" si="11"/>
        <v>2022_NSW_WaggaWagga_Lentil_DetailedTOS1VarietyJumbo2WaterTrtRainFed</v>
      </c>
    </row>
    <row r="216" spans="1:16" x14ac:dyDescent="0.25">
      <c r="H216" t="s">
        <v>253</v>
      </c>
      <c r="I216">
        <v>5</v>
      </c>
      <c r="J216" s="6">
        <v>81</v>
      </c>
      <c r="M216" t="str">
        <f t="shared" si="9"/>
        <v>2022_NSW_WaggaWagga_Lentil_Detailed</v>
      </c>
      <c r="N216">
        <f>I216</f>
        <v>5</v>
      </c>
      <c r="O216" t="str">
        <f t="shared" si="10"/>
        <v>2022_NSW_WaggaWagga_Lentil_Detailed_81</v>
      </c>
      <c r="P216" t="str">
        <f t="shared" si="11"/>
        <v>2022_NSW_WaggaWagga_Lentil_DetailedTOS1VarietyJumbo2WaterTrtRainFed</v>
      </c>
    </row>
    <row r="217" spans="1:16" x14ac:dyDescent="0.25">
      <c r="G217">
        <v>3</v>
      </c>
      <c r="H217" t="s">
        <v>250</v>
      </c>
      <c r="I217">
        <v>8</v>
      </c>
      <c r="J217" s="6">
        <v>104</v>
      </c>
      <c r="M217" t="str">
        <f t="shared" si="9"/>
        <v>2022_NSW_WaggaWagga_Lentil_Detailed</v>
      </c>
      <c r="N217">
        <f>I217</f>
        <v>8</v>
      </c>
      <c r="O217" t="str">
        <f t="shared" si="10"/>
        <v>2022_NSW_WaggaWagga_Lentil_Detailed_104</v>
      </c>
      <c r="P217" t="str">
        <f t="shared" si="11"/>
        <v>2022_NSW_WaggaWagga_Lentil_DetailedTOS1VarietyJumbo2WaterTrtRainFed</v>
      </c>
    </row>
    <row r="218" spans="1:16" x14ac:dyDescent="0.25">
      <c r="H218" t="s">
        <v>253</v>
      </c>
      <c r="I218">
        <v>8</v>
      </c>
      <c r="J218" s="6">
        <v>103</v>
      </c>
      <c r="M218" t="str">
        <f t="shared" si="9"/>
        <v>2022_NSW_WaggaWagga_Lentil_Detailed</v>
      </c>
      <c r="N218">
        <f>I218</f>
        <v>8</v>
      </c>
      <c r="O218" t="str">
        <f t="shared" si="10"/>
        <v>2022_NSW_WaggaWagga_Lentil_Detailed_103</v>
      </c>
      <c r="P218" t="str">
        <f t="shared" si="11"/>
        <v>2022_NSW_WaggaWagga_Lentil_DetailedTOS1VarietyJumbo2WaterTrtRainFed</v>
      </c>
    </row>
    <row r="219" spans="1:16" x14ac:dyDescent="0.25">
      <c r="G219">
        <v>4</v>
      </c>
      <c r="H219" t="s">
        <v>250</v>
      </c>
      <c r="I219">
        <v>7</v>
      </c>
      <c r="J219" s="6">
        <v>126</v>
      </c>
      <c r="M219" t="str">
        <f t="shared" si="9"/>
        <v>2022_NSW_WaggaWagga_Lentil_Detailed</v>
      </c>
      <c r="N219">
        <f>I219</f>
        <v>7</v>
      </c>
      <c r="O219" t="str">
        <f t="shared" si="10"/>
        <v>2022_NSW_WaggaWagga_Lentil_Detailed_126</v>
      </c>
      <c r="P219" t="str">
        <f t="shared" si="11"/>
        <v>2022_NSW_WaggaWagga_Lentil_DetailedTOS1VarietyJumbo2WaterTrtRainFed</v>
      </c>
    </row>
    <row r="220" spans="1:16" x14ac:dyDescent="0.25">
      <c r="H220" t="s">
        <v>253</v>
      </c>
      <c r="I220">
        <v>7</v>
      </c>
      <c r="J220" s="6">
        <v>125</v>
      </c>
      <c r="M220" t="str">
        <f t="shared" si="9"/>
        <v>2022_NSW_WaggaWagga_Lentil_Detailed</v>
      </c>
      <c r="N220">
        <f>I220</f>
        <v>7</v>
      </c>
      <c r="O220" t="str">
        <f t="shared" si="10"/>
        <v>2022_NSW_WaggaWagga_Lentil_Detailed_125</v>
      </c>
      <c r="P220" t="str">
        <f t="shared" si="11"/>
        <v>2022_NSW_WaggaWagga_Lentil_DetailedTOS1VarietyJumbo2WaterTrtRainFed</v>
      </c>
    </row>
    <row r="221" spans="1:16" x14ac:dyDescent="0.25">
      <c r="A221" t="s">
        <v>4247</v>
      </c>
      <c r="B221" t="s">
        <v>1034</v>
      </c>
      <c r="C221">
        <v>1</v>
      </c>
      <c r="D221" t="s">
        <v>4188</v>
      </c>
      <c r="E221" t="s">
        <v>57</v>
      </c>
      <c r="F221" t="s">
        <v>4398</v>
      </c>
      <c r="G221">
        <v>1</v>
      </c>
      <c r="H221" t="s">
        <v>250</v>
      </c>
      <c r="I221">
        <v>1</v>
      </c>
      <c r="J221" s="6">
        <v>10</v>
      </c>
      <c r="M221" t="str">
        <f t="shared" si="9"/>
        <v>2022_NSW_WaggaWagga_Lentil_Detailed</v>
      </c>
      <c r="N221">
        <f>I221</f>
        <v>1</v>
      </c>
      <c r="O221" t="str">
        <f t="shared" si="10"/>
        <v>2022_NSW_WaggaWagga_Lentil_Detailed_10</v>
      </c>
      <c r="P221" t="str">
        <f t="shared" si="11"/>
        <v>2022_NSW_WaggaWagga_Lentil_DetailedTOS1VarietyKelpieXTWaterTrtIrrigated</v>
      </c>
    </row>
    <row r="222" spans="1:16" x14ac:dyDescent="0.25">
      <c r="H222" t="s">
        <v>253</v>
      </c>
      <c r="I222">
        <v>1</v>
      </c>
      <c r="J222" s="6">
        <v>9</v>
      </c>
      <c r="M222" t="str">
        <f t="shared" si="9"/>
        <v>2022_NSW_WaggaWagga_Lentil_Detailed</v>
      </c>
      <c r="N222">
        <f>I222</f>
        <v>1</v>
      </c>
      <c r="O222" t="str">
        <f t="shared" si="10"/>
        <v>2022_NSW_WaggaWagga_Lentil_Detailed_9</v>
      </c>
      <c r="P222" t="str">
        <f t="shared" si="11"/>
        <v>2022_NSW_WaggaWagga_Lentil_DetailedTOS1VarietyKelpieXTWaterTrtIrrigated</v>
      </c>
    </row>
    <row r="223" spans="1:16" x14ac:dyDescent="0.25">
      <c r="G223">
        <v>2</v>
      </c>
      <c r="H223" t="s">
        <v>250</v>
      </c>
      <c r="I223">
        <v>2</v>
      </c>
      <c r="J223" s="6">
        <v>28</v>
      </c>
      <c r="M223" t="str">
        <f t="shared" si="9"/>
        <v>2022_NSW_WaggaWagga_Lentil_Detailed</v>
      </c>
      <c r="N223">
        <f>I223</f>
        <v>2</v>
      </c>
      <c r="O223" t="str">
        <f t="shared" si="10"/>
        <v>2022_NSW_WaggaWagga_Lentil_Detailed_28</v>
      </c>
      <c r="P223" t="str">
        <f t="shared" si="11"/>
        <v>2022_NSW_WaggaWagga_Lentil_DetailedTOS1VarietyKelpieXTWaterTrtIrrigated</v>
      </c>
    </row>
    <row r="224" spans="1:16" x14ac:dyDescent="0.25">
      <c r="H224" t="s">
        <v>253</v>
      </c>
      <c r="I224">
        <v>2</v>
      </c>
      <c r="J224" s="6">
        <v>27</v>
      </c>
      <c r="M224" t="str">
        <f t="shared" si="9"/>
        <v>2022_NSW_WaggaWagga_Lentil_Detailed</v>
      </c>
      <c r="N224">
        <f>I224</f>
        <v>2</v>
      </c>
      <c r="O224" t="str">
        <f t="shared" si="10"/>
        <v>2022_NSW_WaggaWagga_Lentil_Detailed_27</v>
      </c>
      <c r="P224" t="str">
        <f t="shared" si="11"/>
        <v>2022_NSW_WaggaWagga_Lentil_DetailedTOS1VarietyKelpieXTWaterTrtIrrigated</v>
      </c>
    </row>
    <row r="225" spans="1:16" x14ac:dyDescent="0.25">
      <c r="G225">
        <v>3</v>
      </c>
      <c r="H225" t="s">
        <v>250</v>
      </c>
      <c r="I225">
        <v>4</v>
      </c>
      <c r="J225" s="6">
        <v>40</v>
      </c>
      <c r="M225" t="str">
        <f t="shared" si="9"/>
        <v>2022_NSW_WaggaWagga_Lentil_Detailed</v>
      </c>
      <c r="N225">
        <f>I225</f>
        <v>4</v>
      </c>
      <c r="O225" t="str">
        <f t="shared" si="10"/>
        <v>2022_NSW_WaggaWagga_Lentil_Detailed_40</v>
      </c>
      <c r="P225" t="str">
        <f t="shared" si="11"/>
        <v>2022_NSW_WaggaWagga_Lentil_DetailedTOS1VarietyKelpieXTWaterTrtIrrigated</v>
      </c>
    </row>
    <row r="226" spans="1:16" x14ac:dyDescent="0.25">
      <c r="H226" t="s">
        <v>253</v>
      </c>
      <c r="I226">
        <v>4</v>
      </c>
      <c r="J226" s="6">
        <v>39</v>
      </c>
      <c r="M226" t="str">
        <f t="shared" si="9"/>
        <v>2022_NSW_WaggaWagga_Lentil_Detailed</v>
      </c>
      <c r="N226">
        <f>I226</f>
        <v>4</v>
      </c>
      <c r="O226" t="str">
        <f t="shared" si="10"/>
        <v>2022_NSW_WaggaWagga_Lentil_Detailed_39</v>
      </c>
      <c r="P226" t="str">
        <f t="shared" si="11"/>
        <v>2022_NSW_WaggaWagga_Lentil_DetailedTOS1VarietyKelpieXTWaterTrtIrrigated</v>
      </c>
    </row>
    <row r="227" spans="1:16" x14ac:dyDescent="0.25">
      <c r="G227">
        <v>4</v>
      </c>
      <c r="H227" t="s">
        <v>250</v>
      </c>
      <c r="I227">
        <v>3</v>
      </c>
      <c r="J227" s="6">
        <v>54</v>
      </c>
      <c r="M227" t="str">
        <f t="shared" si="9"/>
        <v>2022_NSW_WaggaWagga_Lentil_Detailed</v>
      </c>
      <c r="N227">
        <f>I227</f>
        <v>3</v>
      </c>
      <c r="O227" t="str">
        <f t="shared" si="10"/>
        <v>2022_NSW_WaggaWagga_Lentil_Detailed_54</v>
      </c>
      <c r="P227" t="str">
        <f t="shared" si="11"/>
        <v>2022_NSW_WaggaWagga_Lentil_DetailedTOS1VarietyKelpieXTWaterTrtIrrigated</v>
      </c>
    </row>
    <row r="228" spans="1:16" x14ac:dyDescent="0.25">
      <c r="H228" t="s">
        <v>253</v>
      </c>
      <c r="I228">
        <v>3</v>
      </c>
      <c r="J228" s="6">
        <v>53</v>
      </c>
      <c r="M228" t="str">
        <f t="shared" si="9"/>
        <v>2022_NSW_WaggaWagga_Lentil_Detailed</v>
      </c>
      <c r="N228">
        <f>I228</f>
        <v>3</v>
      </c>
      <c r="O228" t="str">
        <f t="shared" si="10"/>
        <v>2022_NSW_WaggaWagga_Lentil_Detailed_53</v>
      </c>
      <c r="P228" t="str">
        <f t="shared" si="11"/>
        <v>2022_NSW_WaggaWagga_Lentil_DetailedTOS1VarietyKelpieXTWaterTrtIrrigated</v>
      </c>
    </row>
    <row r="229" spans="1:16" x14ac:dyDescent="0.25">
      <c r="A229" t="s">
        <v>4248</v>
      </c>
      <c r="B229" t="s">
        <v>1034</v>
      </c>
      <c r="C229">
        <v>1</v>
      </c>
      <c r="D229" t="s">
        <v>4188</v>
      </c>
      <c r="E229" t="s">
        <v>40</v>
      </c>
      <c r="F229" t="s">
        <v>4398</v>
      </c>
      <c r="G229">
        <v>1</v>
      </c>
      <c r="H229" t="s">
        <v>250</v>
      </c>
      <c r="I229">
        <v>5</v>
      </c>
      <c r="J229" s="6">
        <v>74</v>
      </c>
      <c r="M229" t="str">
        <f t="shared" si="9"/>
        <v>2022_NSW_WaggaWagga_Lentil_Detailed</v>
      </c>
      <c r="N229">
        <f>I229</f>
        <v>5</v>
      </c>
      <c r="O229" t="str">
        <f t="shared" si="10"/>
        <v>2022_NSW_WaggaWagga_Lentil_Detailed_74</v>
      </c>
      <c r="P229" t="str">
        <f t="shared" si="11"/>
        <v>2022_NSW_WaggaWagga_Lentil_DetailedTOS1VarietyKelpieXTWaterTrtRainFed</v>
      </c>
    </row>
    <row r="230" spans="1:16" x14ac:dyDescent="0.25">
      <c r="H230" t="s">
        <v>253</v>
      </c>
      <c r="I230">
        <v>5</v>
      </c>
      <c r="J230" s="6">
        <v>73</v>
      </c>
      <c r="M230" t="str">
        <f t="shared" si="9"/>
        <v>2022_NSW_WaggaWagga_Lentil_Detailed</v>
      </c>
      <c r="N230">
        <f>I230</f>
        <v>5</v>
      </c>
      <c r="O230" t="str">
        <f t="shared" si="10"/>
        <v>2022_NSW_WaggaWagga_Lentil_Detailed_73</v>
      </c>
      <c r="P230" t="str">
        <f t="shared" si="11"/>
        <v>2022_NSW_WaggaWagga_Lentil_DetailedTOS1VarietyKelpieXTWaterTrtRainFed</v>
      </c>
    </row>
    <row r="231" spans="1:16" x14ac:dyDescent="0.25">
      <c r="G231">
        <v>2</v>
      </c>
      <c r="H231" t="s">
        <v>250</v>
      </c>
      <c r="I231">
        <v>6</v>
      </c>
      <c r="J231" s="6">
        <v>84</v>
      </c>
      <c r="M231" t="str">
        <f t="shared" si="9"/>
        <v>2022_NSW_WaggaWagga_Lentil_Detailed</v>
      </c>
      <c r="N231">
        <f>I231</f>
        <v>6</v>
      </c>
      <c r="O231" t="str">
        <f t="shared" si="10"/>
        <v>2022_NSW_WaggaWagga_Lentil_Detailed_84</v>
      </c>
      <c r="P231" t="str">
        <f t="shared" si="11"/>
        <v>2022_NSW_WaggaWagga_Lentil_DetailedTOS1VarietyKelpieXTWaterTrtRainFed</v>
      </c>
    </row>
    <row r="232" spans="1:16" x14ac:dyDescent="0.25">
      <c r="H232" t="s">
        <v>253</v>
      </c>
      <c r="I232">
        <v>6</v>
      </c>
      <c r="J232" s="6">
        <v>83</v>
      </c>
      <c r="M232" t="str">
        <f t="shared" si="9"/>
        <v>2022_NSW_WaggaWagga_Lentil_Detailed</v>
      </c>
      <c r="N232">
        <f>I232</f>
        <v>6</v>
      </c>
      <c r="O232" t="str">
        <f t="shared" si="10"/>
        <v>2022_NSW_WaggaWagga_Lentil_Detailed_83</v>
      </c>
      <c r="P232" t="str">
        <f t="shared" si="11"/>
        <v>2022_NSW_WaggaWagga_Lentil_DetailedTOS1VarietyKelpieXTWaterTrtRainFed</v>
      </c>
    </row>
    <row r="233" spans="1:16" x14ac:dyDescent="0.25">
      <c r="G233">
        <v>3</v>
      </c>
      <c r="H233" t="s">
        <v>250</v>
      </c>
      <c r="I233">
        <v>7</v>
      </c>
      <c r="J233" s="6">
        <v>102</v>
      </c>
      <c r="M233" t="str">
        <f t="shared" si="9"/>
        <v>2022_NSW_WaggaWagga_Lentil_Detailed</v>
      </c>
      <c r="N233">
        <f>I233</f>
        <v>7</v>
      </c>
      <c r="O233" t="str">
        <f t="shared" si="10"/>
        <v>2022_NSW_WaggaWagga_Lentil_Detailed_102</v>
      </c>
      <c r="P233" t="str">
        <f t="shared" si="11"/>
        <v>2022_NSW_WaggaWagga_Lentil_DetailedTOS1VarietyKelpieXTWaterTrtRainFed</v>
      </c>
    </row>
    <row r="234" spans="1:16" x14ac:dyDescent="0.25">
      <c r="H234" t="s">
        <v>253</v>
      </c>
      <c r="I234">
        <v>7</v>
      </c>
      <c r="J234" s="6">
        <v>101</v>
      </c>
      <c r="M234" t="str">
        <f t="shared" si="9"/>
        <v>2022_NSW_WaggaWagga_Lentil_Detailed</v>
      </c>
      <c r="N234">
        <f>I234</f>
        <v>7</v>
      </c>
      <c r="O234" t="str">
        <f t="shared" si="10"/>
        <v>2022_NSW_WaggaWagga_Lentil_Detailed_101</v>
      </c>
      <c r="P234" t="str">
        <f t="shared" si="11"/>
        <v>2022_NSW_WaggaWagga_Lentil_DetailedTOS1VarietyKelpieXTWaterTrtRainFed</v>
      </c>
    </row>
    <row r="235" spans="1:16" x14ac:dyDescent="0.25">
      <c r="G235">
        <v>4</v>
      </c>
      <c r="H235" t="s">
        <v>250</v>
      </c>
      <c r="I235">
        <v>8</v>
      </c>
      <c r="J235" s="6">
        <v>128</v>
      </c>
      <c r="M235" t="str">
        <f t="shared" si="9"/>
        <v>2022_NSW_WaggaWagga_Lentil_Detailed</v>
      </c>
      <c r="N235">
        <f>I235</f>
        <v>8</v>
      </c>
      <c r="O235" t="str">
        <f t="shared" si="10"/>
        <v>2022_NSW_WaggaWagga_Lentil_Detailed_128</v>
      </c>
      <c r="P235" t="str">
        <f t="shared" si="11"/>
        <v>2022_NSW_WaggaWagga_Lentil_DetailedTOS1VarietyKelpieXTWaterTrtRainFed</v>
      </c>
    </row>
    <row r="236" spans="1:16" x14ac:dyDescent="0.25">
      <c r="H236" t="s">
        <v>253</v>
      </c>
      <c r="I236">
        <v>8</v>
      </c>
      <c r="J236" s="6">
        <v>127</v>
      </c>
      <c r="M236" t="str">
        <f t="shared" si="9"/>
        <v>2022_NSW_WaggaWagga_Lentil_Detailed</v>
      </c>
      <c r="N236">
        <f>I236</f>
        <v>8</v>
      </c>
      <c r="O236" t="str">
        <f t="shared" si="10"/>
        <v>2022_NSW_WaggaWagga_Lentil_Detailed_127</v>
      </c>
      <c r="P236" t="str">
        <f t="shared" si="11"/>
        <v>2022_NSW_WaggaWagga_Lentil_DetailedTOS1VarietyKelpieXTWaterTrtRainFed</v>
      </c>
    </row>
    <row r="237" spans="1:16" x14ac:dyDescent="0.25">
      <c r="A237" t="s">
        <v>4249</v>
      </c>
      <c r="B237" t="s">
        <v>1034</v>
      </c>
      <c r="C237">
        <v>2</v>
      </c>
      <c r="D237" t="s">
        <v>4187</v>
      </c>
      <c r="E237" t="s">
        <v>57</v>
      </c>
      <c r="F237" t="s">
        <v>4398</v>
      </c>
      <c r="G237">
        <v>1</v>
      </c>
      <c r="H237" t="s">
        <v>250</v>
      </c>
      <c r="I237">
        <v>3</v>
      </c>
      <c r="J237" s="6">
        <v>6</v>
      </c>
      <c r="M237" t="str">
        <f t="shared" si="9"/>
        <v>2022_NSW_WaggaWagga_Lentil_Detailed</v>
      </c>
      <c r="N237">
        <f>I237</f>
        <v>3</v>
      </c>
      <c r="O237" t="str">
        <f t="shared" si="10"/>
        <v>2022_NSW_WaggaWagga_Lentil_Detailed_6</v>
      </c>
      <c r="P237" t="str">
        <f t="shared" si="11"/>
        <v>2022_NSW_WaggaWagga_Lentil_DetailedTOS2VarietyBoltWaterTrtIrrigated</v>
      </c>
    </row>
    <row r="238" spans="1:16" x14ac:dyDescent="0.25">
      <c r="H238" t="s">
        <v>253</v>
      </c>
      <c r="I238">
        <v>3</v>
      </c>
      <c r="J238" s="6">
        <v>5</v>
      </c>
      <c r="M238" t="str">
        <f t="shared" si="9"/>
        <v>2022_NSW_WaggaWagga_Lentil_Detailed</v>
      </c>
      <c r="N238">
        <f>I238</f>
        <v>3</v>
      </c>
      <c r="O238" t="str">
        <f t="shared" si="10"/>
        <v>2022_NSW_WaggaWagga_Lentil_Detailed_5</v>
      </c>
      <c r="P238" t="str">
        <f t="shared" si="11"/>
        <v>2022_NSW_WaggaWagga_Lentil_DetailedTOS2VarietyBoltWaterTrtIrrigated</v>
      </c>
    </row>
    <row r="239" spans="1:16" x14ac:dyDescent="0.25">
      <c r="G239">
        <v>2</v>
      </c>
      <c r="H239" t="s">
        <v>250</v>
      </c>
      <c r="I239">
        <v>2</v>
      </c>
      <c r="J239" s="6">
        <v>20</v>
      </c>
      <c r="M239" t="str">
        <f t="shared" si="9"/>
        <v>2022_NSW_WaggaWagga_Lentil_Detailed</v>
      </c>
      <c r="N239">
        <f>I239</f>
        <v>2</v>
      </c>
      <c r="O239" t="str">
        <f t="shared" si="10"/>
        <v>2022_NSW_WaggaWagga_Lentil_Detailed_20</v>
      </c>
      <c r="P239" t="str">
        <f t="shared" si="11"/>
        <v>2022_NSW_WaggaWagga_Lentil_DetailedTOS2VarietyBoltWaterTrtIrrigated</v>
      </c>
    </row>
    <row r="240" spans="1:16" x14ac:dyDescent="0.25">
      <c r="H240" t="s">
        <v>253</v>
      </c>
      <c r="I240">
        <v>2</v>
      </c>
      <c r="J240" s="6">
        <v>19</v>
      </c>
      <c r="M240" t="str">
        <f t="shared" si="9"/>
        <v>2022_NSW_WaggaWagga_Lentil_Detailed</v>
      </c>
      <c r="N240">
        <f>I240</f>
        <v>2</v>
      </c>
      <c r="O240" t="str">
        <f t="shared" si="10"/>
        <v>2022_NSW_WaggaWagga_Lentil_Detailed_19</v>
      </c>
      <c r="P240" t="str">
        <f t="shared" si="11"/>
        <v>2022_NSW_WaggaWagga_Lentil_DetailedTOS2VarietyBoltWaterTrtIrrigated</v>
      </c>
    </row>
    <row r="241" spans="1:16" x14ac:dyDescent="0.25">
      <c r="G241">
        <v>3</v>
      </c>
      <c r="H241" t="s">
        <v>250</v>
      </c>
      <c r="I241">
        <v>4</v>
      </c>
      <c r="J241" s="6">
        <v>48</v>
      </c>
      <c r="M241" t="str">
        <f t="shared" si="9"/>
        <v>2022_NSW_WaggaWagga_Lentil_Detailed</v>
      </c>
      <c r="N241">
        <f>I241</f>
        <v>4</v>
      </c>
      <c r="O241" t="str">
        <f t="shared" si="10"/>
        <v>2022_NSW_WaggaWagga_Lentil_Detailed_48</v>
      </c>
      <c r="P241" t="str">
        <f t="shared" si="11"/>
        <v>2022_NSW_WaggaWagga_Lentil_DetailedTOS2VarietyBoltWaterTrtIrrigated</v>
      </c>
    </row>
    <row r="242" spans="1:16" x14ac:dyDescent="0.25">
      <c r="H242" t="s">
        <v>253</v>
      </c>
      <c r="I242">
        <v>4</v>
      </c>
      <c r="J242" s="6">
        <v>47</v>
      </c>
      <c r="M242" t="str">
        <f t="shared" si="9"/>
        <v>2022_NSW_WaggaWagga_Lentil_Detailed</v>
      </c>
      <c r="N242">
        <f>I242</f>
        <v>4</v>
      </c>
      <c r="O242" t="str">
        <f t="shared" si="10"/>
        <v>2022_NSW_WaggaWagga_Lentil_Detailed_47</v>
      </c>
      <c r="P242" t="str">
        <f t="shared" si="11"/>
        <v>2022_NSW_WaggaWagga_Lentil_DetailedTOS2VarietyBoltWaterTrtIrrigated</v>
      </c>
    </row>
    <row r="243" spans="1:16" x14ac:dyDescent="0.25">
      <c r="G243">
        <v>4</v>
      </c>
      <c r="H243" t="s">
        <v>250</v>
      </c>
      <c r="I243">
        <v>1</v>
      </c>
      <c r="J243" s="6">
        <v>58</v>
      </c>
      <c r="M243" t="str">
        <f t="shared" si="9"/>
        <v>2022_NSW_WaggaWagga_Lentil_Detailed</v>
      </c>
      <c r="N243">
        <f>I243</f>
        <v>1</v>
      </c>
      <c r="O243" t="str">
        <f t="shared" si="10"/>
        <v>2022_NSW_WaggaWagga_Lentil_Detailed_58</v>
      </c>
      <c r="P243" t="str">
        <f t="shared" si="11"/>
        <v>2022_NSW_WaggaWagga_Lentil_DetailedTOS2VarietyBoltWaterTrtIrrigated</v>
      </c>
    </row>
    <row r="244" spans="1:16" x14ac:dyDescent="0.25">
      <c r="H244" t="s">
        <v>253</v>
      </c>
      <c r="I244">
        <v>1</v>
      </c>
      <c r="J244" s="6">
        <v>57</v>
      </c>
      <c r="M244" t="str">
        <f t="shared" si="9"/>
        <v>2022_NSW_WaggaWagga_Lentil_Detailed</v>
      </c>
      <c r="N244">
        <f>I244</f>
        <v>1</v>
      </c>
      <c r="O244" t="str">
        <f t="shared" si="10"/>
        <v>2022_NSW_WaggaWagga_Lentil_Detailed_57</v>
      </c>
      <c r="P244" t="str">
        <f t="shared" si="11"/>
        <v>2022_NSW_WaggaWagga_Lentil_DetailedTOS2VarietyBoltWaterTrtIrrigated</v>
      </c>
    </row>
    <row r="245" spans="1:16" x14ac:dyDescent="0.25">
      <c r="A245" t="s">
        <v>4250</v>
      </c>
      <c r="B245" t="s">
        <v>1034</v>
      </c>
      <c r="C245">
        <v>2</v>
      </c>
      <c r="D245" t="s">
        <v>4187</v>
      </c>
      <c r="E245" t="s">
        <v>40</v>
      </c>
      <c r="F245" t="s">
        <v>4398</v>
      </c>
      <c r="G245">
        <v>1</v>
      </c>
      <c r="H245" t="s">
        <v>250</v>
      </c>
      <c r="I245">
        <v>5</v>
      </c>
      <c r="J245" s="6">
        <v>66</v>
      </c>
      <c r="M245" t="str">
        <f t="shared" si="9"/>
        <v>2022_NSW_WaggaWagga_Lentil_Detailed</v>
      </c>
      <c r="N245">
        <f>I245</f>
        <v>5</v>
      </c>
      <c r="O245" t="str">
        <f t="shared" si="10"/>
        <v>2022_NSW_WaggaWagga_Lentil_Detailed_66</v>
      </c>
      <c r="P245" t="str">
        <f t="shared" si="11"/>
        <v>2022_NSW_WaggaWagga_Lentil_DetailedTOS2VarietyBoltWaterTrtRainFed</v>
      </c>
    </row>
    <row r="246" spans="1:16" x14ac:dyDescent="0.25">
      <c r="H246" t="s">
        <v>253</v>
      </c>
      <c r="I246">
        <v>5</v>
      </c>
      <c r="J246" s="6">
        <v>65</v>
      </c>
      <c r="M246" t="str">
        <f t="shared" si="9"/>
        <v>2022_NSW_WaggaWagga_Lentil_Detailed</v>
      </c>
      <c r="N246">
        <f>I246</f>
        <v>5</v>
      </c>
      <c r="O246" t="str">
        <f t="shared" si="10"/>
        <v>2022_NSW_WaggaWagga_Lentil_Detailed_65</v>
      </c>
      <c r="P246" t="str">
        <f t="shared" si="11"/>
        <v>2022_NSW_WaggaWagga_Lentil_DetailedTOS2VarietyBoltWaterTrtRainFed</v>
      </c>
    </row>
    <row r="247" spans="1:16" x14ac:dyDescent="0.25">
      <c r="G247">
        <v>2</v>
      </c>
      <c r="H247" t="s">
        <v>250</v>
      </c>
      <c r="I247">
        <v>7</v>
      </c>
      <c r="J247" s="6">
        <v>94</v>
      </c>
      <c r="M247" t="str">
        <f t="shared" si="9"/>
        <v>2022_NSW_WaggaWagga_Lentil_Detailed</v>
      </c>
      <c r="N247">
        <f>I247</f>
        <v>7</v>
      </c>
      <c r="O247" t="str">
        <f t="shared" si="10"/>
        <v>2022_NSW_WaggaWagga_Lentil_Detailed_94</v>
      </c>
      <c r="P247" t="str">
        <f t="shared" si="11"/>
        <v>2022_NSW_WaggaWagga_Lentil_DetailedTOS2VarietyBoltWaterTrtRainFed</v>
      </c>
    </row>
    <row r="248" spans="1:16" x14ac:dyDescent="0.25">
      <c r="H248" t="s">
        <v>253</v>
      </c>
      <c r="I248">
        <v>7</v>
      </c>
      <c r="J248" s="6">
        <v>93</v>
      </c>
      <c r="M248" t="str">
        <f t="shared" si="9"/>
        <v>2022_NSW_WaggaWagga_Lentil_Detailed</v>
      </c>
      <c r="N248">
        <f>I248</f>
        <v>7</v>
      </c>
      <c r="O248" t="str">
        <f t="shared" si="10"/>
        <v>2022_NSW_WaggaWagga_Lentil_Detailed_93</v>
      </c>
      <c r="P248" t="str">
        <f t="shared" si="11"/>
        <v>2022_NSW_WaggaWagga_Lentil_DetailedTOS2VarietyBoltWaterTrtRainFed</v>
      </c>
    </row>
    <row r="249" spans="1:16" x14ac:dyDescent="0.25">
      <c r="G249">
        <v>3</v>
      </c>
      <c r="H249" t="s">
        <v>250</v>
      </c>
      <c r="I249">
        <v>8</v>
      </c>
      <c r="J249" s="6">
        <v>112</v>
      </c>
      <c r="M249" t="str">
        <f t="shared" si="9"/>
        <v>2022_NSW_WaggaWagga_Lentil_Detailed</v>
      </c>
      <c r="N249">
        <f>I249</f>
        <v>8</v>
      </c>
      <c r="O249" t="str">
        <f t="shared" si="10"/>
        <v>2022_NSW_WaggaWagga_Lentil_Detailed_112</v>
      </c>
      <c r="P249" t="str">
        <f t="shared" si="11"/>
        <v>2022_NSW_WaggaWagga_Lentil_DetailedTOS2VarietyBoltWaterTrtRainFed</v>
      </c>
    </row>
    <row r="250" spans="1:16" x14ac:dyDescent="0.25">
      <c r="H250" t="s">
        <v>253</v>
      </c>
      <c r="I250">
        <v>8</v>
      </c>
      <c r="J250" s="6">
        <v>111</v>
      </c>
      <c r="M250" t="str">
        <f t="shared" si="9"/>
        <v>2022_NSW_WaggaWagga_Lentil_Detailed</v>
      </c>
      <c r="N250">
        <f>I250</f>
        <v>8</v>
      </c>
      <c r="O250" t="str">
        <f t="shared" si="10"/>
        <v>2022_NSW_WaggaWagga_Lentil_Detailed_111</v>
      </c>
      <c r="P250" t="str">
        <f t="shared" si="11"/>
        <v>2022_NSW_WaggaWagga_Lentil_DetailedTOS2VarietyBoltWaterTrtRainFed</v>
      </c>
    </row>
    <row r="251" spans="1:16" x14ac:dyDescent="0.25">
      <c r="G251">
        <v>4</v>
      </c>
      <c r="H251" t="s">
        <v>250</v>
      </c>
      <c r="I251">
        <v>6</v>
      </c>
      <c r="J251" s="6">
        <v>116</v>
      </c>
      <c r="M251" t="str">
        <f t="shared" si="9"/>
        <v>2022_NSW_WaggaWagga_Lentil_Detailed</v>
      </c>
      <c r="N251">
        <f>I251</f>
        <v>6</v>
      </c>
      <c r="O251" t="str">
        <f t="shared" si="10"/>
        <v>2022_NSW_WaggaWagga_Lentil_Detailed_116</v>
      </c>
      <c r="P251" t="str">
        <f t="shared" si="11"/>
        <v>2022_NSW_WaggaWagga_Lentil_DetailedTOS2VarietyBoltWaterTrtRainFed</v>
      </c>
    </row>
    <row r="252" spans="1:16" x14ac:dyDescent="0.25">
      <c r="H252" t="s">
        <v>253</v>
      </c>
      <c r="I252">
        <v>6</v>
      </c>
      <c r="J252" s="6">
        <v>115</v>
      </c>
      <c r="M252" t="str">
        <f t="shared" si="9"/>
        <v>2022_NSW_WaggaWagga_Lentil_Detailed</v>
      </c>
      <c r="N252">
        <f>I252</f>
        <v>6</v>
      </c>
      <c r="O252" t="str">
        <f t="shared" si="10"/>
        <v>2022_NSW_WaggaWagga_Lentil_Detailed_115</v>
      </c>
      <c r="P252" t="str">
        <f t="shared" si="11"/>
        <v>2022_NSW_WaggaWagga_Lentil_DetailedTOS2VarietyBoltWaterTrtRainFed</v>
      </c>
    </row>
    <row r="253" spans="1:16" x14ac:dyDescent="0.25">
      <c r="A253" t="s">
        <v>4251</v>
      </c>
      <c r="B253" t="s">
        <v>1034</v>
      </c>
      <c r="C253">
        <v>2</v>
      </c>
      <c r="D253" t="s">
        <v>4189</v>
      </c>
      <c r="E253" t="s">
        <v>57</v>
      </c>
      <c r="F253" t="s">
        <v>4398</v>
      </c>
      <c r="G253">
        <v>1</v>
      </c>
      <c r="H253" t="s">
        <v>250</v>
      </c>
      <c r="I253">
        <v>1</v>
      </c>
      <c r="J253" s="6">
        <v>2</v>
      </c>
      <c r="M253" t="str">
        <f t="shared" si="9"/>
        <v>2022_NSW_WaggaWagga_Lentil_Detailed</v>
      </c>
      <c r="N253">
        <f>I253</f>
        <v>1</v>
      </c>
      <c r="O253" t="str">
        <f t="shared" si="10"/>
        <v>2022_NSW_WaggaWagga_Lentil_Detailed_2</v>
      </c>
      <c r="P253" t="str">
        <f t="shared" si="11"/>
        <v>2022_NSW_WaggaWagga_Lentil_DetailedTOS2VarietyHallmarkXTWaterTrtIrrigated</v>
      </c>
    </row>
    <row r="254" spans="1:16" x14ac:dyDescent="0.25">
      <c r="H254" t="s">
        <v>253</v>
      </c>
      <c r="I254">
        <v>1</v>
      </c>
      <c r="J254" s="6">
        <v>1</v>
      </c>
      <c r="M254" t="str">
        <f t="shared" si="9"/>
        <v>2022_NSW_WaggaWagga_Lentil_Detailed</v>
      </c>
      <c r="N254">
        <f>I254</f>
        <v>1</v>
      </c>
      <c r="O254" t="str">
        <f t="shared" si="10"/>
        <v>2022_NSW_WaggaWagga_Lentil_Detailed_1</v>
      </c>
      <c r="P254" t="str">
        <f t="shared" si="11"/>
        <v>2022_NSW_WaggaWagga_Lentil_DetailedTOS2VarietyHallmarkXTWaterTrtIrrigated</v>
      </c>
    </row>
    <row r="255" spans="1:16" x14ac:dyDescent="0.25">
      <c r="G255">
        <v>2</v>
      </c>
      <c r="H255" t="s">
        <v>250</v>
      </c>
      <c r="I255">
        <v>3</v>
      </c>
      <c r="J255" s="6">
        <v>22</v>
      </c>
      <c r="M255" t="str">
        <f t="shared" si="9"/>
        <v>2022_NSW_WaggaWagga_Lentil_Detailed</v>
      </c>
      <c r="N255">
        <f>I255</f>
        <v>3</v>
      </c>
      <c r="O255" t="str">
        <f t="shared" si="10"/>
        <v>2022_NSW_WaggaWagga_Lentil_Detailed_22</v>
      </c>
      <c r="P255" t="str">
        <f t="shared" si="11"/>
        <v>2022_NSW_WaggaWagga_Lentil_DetailedTOS2VarietyHallmarkXTWaterTrtIrrigated</v>
      </c>
    </row>
    <row r="256" spans="1:16" x14ac:dyDescent="0.25">
      <c r="H256" t="s">
        <v>253</v>
      </c>
      <c r="I256">
        <v>3</v>
      </c>
      <c r="J256" s="6">
        <v>21</v>
      </c>
      <c r="M256" t="str">
        <f t="shared" si="9"/>
        <v>2022_NSW_WaggaWagga_Lentil_Detailed</v>
      </c>
      <c r="N256">
        <f>I256</f>
        <v>3</v>
      </c>
      <c r="O256" t="str">
        <f t="shared" si="10"/>
        <v>2022_NSW_WaggaWagga_Lentil_Detailed_21</v>
      </c>
      <c r="P256" t="str">
        <f t="shared" si="11"/>
        <v>2022_NSW_WaggaWagga_Lentil_DetailedTOS2VarietyHallmarkXTWaterTrtIrrigated</v>
      </c>
    </row>
    <row r="257" spans="1:16" x14ac:dyDescent="0.25">
      <c r="G257">
        <v>3</v>
      </c>
      <c r="H257" t="s">
        <v>250</v>
      </c>
      <c r="I257">
        <v>2</v>
      </c>
      <c r="J257" s="6">
        <v>44</v>
      </c>
      <c r="M257" t="str">
        <f t="shared" si="9"/>
        <v>2022_NSW_WaggaWagga_Lentil_Detailed</v>
      </c>
      <c r="N257">
        <f>I257</f>
        <v>2</v>
      </c>
      <c r="O257" t="str">
        <f t="shared" si="10"/>
        <v>2022_NSW_WaggaWagga_Lentil_Detailed_44</v>
      </c>
      <c r="P257" t="str">
        <f t="shared" si="11"/>
        <v>2022_NSW_WaggaWagga_Lentil_DetailedTOS2VarietyHallmarkXTWaterTrtIrrigated</v>
      </c>
    </row>
    <row r="258" spans="1:16" x14ac:dyDescent="0.25">
      <c r="H258" t="s">
        <v>253</v>
      </c>
      <c r="I258">
        <v>2</v>
      </c>
      <c r="J258" s="6">
        <v>43</v>
      </c>
      <c r="M258" t="str">
        <f t="shared" si="9"/>
        <v>2022_NSW_WaggaWagga_Lentil_Detailed</v>
      </c>
      <c r="N258">
        <f>I258</f>
        <v>2</v>
      </c>
      <c r="O258" t="str">
        <f t="shared" si="10"/>
        <v>2022_NSW_WaggaWagga_Lentil_Detailed_43</v>
      </c>
      <c r="P258" t="str">
        <f t="shared" si="11"/>
        <v>2022_NSW_WaggaWagga_Lentil_DetailedTOS2VarietyHallmarkXTWaterTrtIrrigated</v>
      </c>
    </row>
    <row r="259" spans="1:16" x14ac:dyDescent="0.25">
      <c r="G259">
        <v>4</v>
      </c>
      <c r="H259" t="s">
        <v>250</v>
      </c>
      <c r="I259">
        <v>4</v>
      </c>
      <c r="J259" s="6">
        <v>64</v>
      </c>
      <c r="M259" t="str">
        <f t="shared" si="9"/>
        <v>2022_NSW_WaggaWagga_Lentil_Detailed</v>
      </c>
      <c r="N259">
        <f>I259</f>
        <v>4</v>
      </c>
      <c r="O259" t="str">
        <f t="shared" si="10"/>
        <v>2022_NSW_WaggaWagga_Lentil_Detailed_64</v>
      </c>
      <c r="P259" t="str">
        <f t="shared" si="11"/>
        <v>2022_NSW_WaggaWagga_Lentil_DetailedTOS2VarietyHallmarkXTWaterTrtIrrigated</v>
      </c>
    </row>
    <row r="260" spans="1:16" x14ac:dyDescent="0.25">
      <c r="H260" t="s">
        <v>253</v>
      </c>
      <c r="I260">
        <v>4</v>
      </c>
      <c r="J260" s="6">
        <v>63</v>
      </c>
      <c r="M260" t="str">
        <f t="shared" si="9"/>
        <v>2022_NSW_WaggaWagga_Lentil_Detailed</v>
      </c>
      <c r="N260">
        <f>I260</f>
        <v>4</v>
      </c>
      <c r="O260" t="str">
        <f t="shared" si="10"/>
        <v>2022_NSW_WaggaWagga_Lentil_Detailed_63</v>
      </c>
      <c r="P260" t="str">
        <f t="shared" si="11"/>
        <v>2022_NSW_WaggaWagga_Lentil_DetailedTOS2VarietyHallmarkXTWaterTrtIrrigated</v>
      </c>
    </row>
    <row r="261" spans="1:16" x14ac:dyDescent="0.25">
      <c r="A261" t="s">
        <v>4252</v>
      </c>
      <c r="B261" t="s">
        <v>1034</v>
      </c>
      <c r="C261">
        <v>2</v>
      </c>
      <c r="D261" t="s">
        <v>4189</v>
      </c>
      <c r="E261" t="s">
        <v>40</v>
      </c>
      <c r="F261" t="s">
        <v>4398</v>
      </c>
      <c r="G261">
        <v>1</v>
      </c>
      <c r="H261" t="s">
        <v>250</v>
      </c>
      <c r="I261">
        <v>7</v>
      </c>
      <c r="J261" s="6">
        <v>70</v>
      </c>
      <c r="M261" t="str">
        <f t="shared" si="9"/>
        <v>2022_NSW_WaggaWagga_Lentil_Detailed</v>
      </c>
      <c r="N261">
        <f>I261</f>
        <v>7</v>
      </c>
      <c r="O261" t="str">
        <f t="shared" si="10"/>
        <v>2022_NSW_WaggaWagga_Lentil_Detailed_70</v>
      </c>
      <c r="P261" t="str">
        <f t="shared" si="11"/>
        <v>2022_NSW_WaggaWagga_Lentil_DetailedTOS2VarietyHallmarkXTWaterTrtRainFed</v>
      </c>
    </row>
    <row r="262" spans="1:16" x14ac:dyDescent="0.25">
      <c r="H262" t="s">
        <v>253</v>
      </c>
      <c r="I262">
        <v>7</v>
      </c>
      <c r="J262" s="6">
        <v>69</v>
      </c>
      <c r="M262" t="str">
        <f t="shared" ref="M262:M325" si="12">IF(B262="",M261,B262)</f>
        <v>2022_NSW_WaggaWagga_Lentil_Detailed</v>
      </c>
      <c r="N262">
        <f>I262</f>
        <v>7</v>
      </c>
      <c r="O262" t="str">
        <f t="shared" ref="O262:O325" si="13">M262&amp;"_"&amp;J262</f>
        <v>2022_NSW_WaggaWagga_Lentil_Detailed_69</v>
      </c>
      <c r="P262" t="str">
        <f t="shared" ref="P262:P325" si="14">IF(A262="",P261,A262)</f>
        <v>2022_NSW_WaggaWagga_Lentil_DetailedTOS2VarietyHallmarkXTWaterTrtRainFed</v>
      </c>
    </row>
    <row r="263" spans="1:16" x14ac:dyDescent="0.25">
      <c r="G263">
        <v>2</v>
      </c>
      <c r="H263" t="s">
        <v>250</v>
      </c>
      <c r="I263">
        <v>5</v>
      </c>
      <c r="J263" s="6">
        <v>90</v>
      </c>
      <c r="M263" t="str">
        <f t="shared" si="12"/>
        <v>2022_NSW_WaggaWagga_Lentil_Detailed</v>
      </c>
      <c r="N263">
        <f>I263</f>
        <v>5</v>
      </c>
      <c r="O263" t="str">
        <f t="shared" si="13"/>
        <v>2022_NSW_WaggaWagga_Lentil_Detailed_90</v>
      </c>
      <c r="P263" t="str">
        <f t="shared" si="14"/>
        <v>2022_NSW_WaggaWagga_Lentil_DetailedTOS2VarietyHallmarkXTWaterTrtRainFed</v>
      </c>
    </row>
    <row r="264" spans="1:16" x14ac:dyDescent="0.25">
      <c r="H264" t="s">
        <v>253</v>
      </c>
      <c r="I264">
        <v>5</v>
      </c>
      <c r="J264" s="6">
        <v>89</v>
      </c>
      <c r="M264" t="str">
        <f t="shared" si="12"/>
        <v>2022_NSW_WaggaWagga_Lentil_Detailed</v>
      </c>
      <c r="N264">
        <f>I264</f>
        <v>5</v>
      </c>
      <c r="O264" t="str">
        <f t="shared" si="13"/>
        <v>2022_NSW_WaggaWagga_Lentil_Detailed_89</v>
      </c>
      <c r="P264" t="str">
        <f t="shared" si="14"/>
        <v>2022_NSW_WaggaWagga_Lentil_DetailedTOS2VarietyHallmarkXTWaterTrtRainFed</v>
      </c>
    </row>
    <row r="265" spans="1:16" x14ac:dyDescent="0.25">
      <c r="G265">
        <v>3</v>
      </c>
      <c r="H265" t="s">
        <v>250</v>
      </c>
      <c r="I265">
        <v>6</v>
      </c>
      <c r="J265" s="6">
        <v>108</v>
      </c>
      <c r="M265" t="str">
        <f t="shared" si="12"/>
        <v>2022_NSW_WaggaWagga_Lentil_Detailed</v>
      </c>
      <c r="N265">
        <f>I265</f>
        <v>6</v>
      </c>
      <c r="O265" t="str">
        <f t="shared" si="13"/>
        <v>2022_NSW_WaggaWagga_Lentil_Detailed_108</v>
      </c>
      <c r="P265" t="str">
        <f t="shared" si="14"/>
        <v>2022_NSW_WaggaWagga_Lentil_DetailedTOS2VarietyHallmarkXTWaterTrtRainFed</v>
      </c>
    </row>
    <row r="266" spans="1:16" x14ac:dyDescent="0.25">
      <c r="H266" t="s">
        <v>253</v>
      </c>
      <c r="I266">
        <v>6</v>
      </c>
      <c r="J266" s="6">
        <v>107</v>
      </c>
      <c r="M266" t="str">
        <f t="shared" si="12"/>
        <v>2022_NSW_WaggaWagga_Lentil_Detailed</v>
      </c>
      <c r="N266">
        <f>I266</f>
        <v>6</v>
      </c>
      <c r="O266" t="str">
        <f t="shared" si="13"/>
        <v>2022_NSW_WaggaWagga_Lentil_Detailed_107</v>
      </c>
      <c r="P266" t="str">
        <f t="shared" si="14"/>
        <v>2022_NSW_WaggaWagga_Lentil_DetailedTOS2VarietyHallmarkXTWaterTrtRainFed</v>
      </c>
    </row>
    <row r="267" spans="1:16" x14ac:dyDescent="0.25">
      <c r="G267">
        <v>4</v>
      </c>
      <c r="H267" t="s">
        <v>250</v>
      </c>
      <c r="I267">
        <v>8</v>
      </c>
      <c r="J267" s="6">
        <v>120</v>
      </c>
      <c r="M267" t="str">
        <f t="shared" si="12"/>
        <v>2022_NSW_WaggaWagga_Lentil_Detailed</v>
      </c>
      <c r="N267">
        <f>I267</f>
        <v>8</v>
      </c>
      <c r="O267" t="str">
        <f t="shared" si="13"/>
        <v>2022_NSW_WaggaWagga_Lentil_Detailed_120</v>
      </c>
      <c r="P267" t="str">
        <f t="shared" si="14"/>
        <v>2022_NSW_WaggaWagga_Lentil_DetailedTOS2VarietyHallmarkXTWaterTrtRainFed</v>
      </c>
    </row>
    <row r="268" spans="1:16" x14ac:dyDescent="0.25">
      <c r="H268" t="s">
        <v>253</v>
      </c>
      <c r="I268">
        <v>8</v>
      </c>
      <c r="J268" s="6">
        <v>119</v>
      </c>
      <c r="M268" t="str">
        <f t="shared" si="12"/>
        <v>2022_NSW_WaggaWagga_Lentil_Detailed</v>
      </c>
      <c r="N268">
        <f>I268</f>
        <v>8</v>
      </c>
      <c r="O268" t="str">
        <f t="shared" si="13"/>
        <v>2022_NSW_WaggaWagga_Lentil_Detailed_119</v>
      </c>
      <c r="P268" t="str">
        <f t="shared" si="14"/>
        <v>2022_NSW_WaggaWagga_Lentil_DetailedTOS2VarietyHallmarkXTWaterTrtRainFed</v>
      </c>
    </row>
    <row r="269" spans="1:16" x14ac:dyDescent="0.25">
      <c r="A269" t="s">
        <v>4253</v>
      </c>
      <c r="B269" t="s">
        <v>1034</v>
      </c>
      <c r="C269">
        <v>2</v>
      </c>
      <c r="D269" t="s">
        <v>4176</v>
      </c>
      <c r="E269" t="s">
        <v>57</v>
      </c>
      <c r="F269" t="s">
        <v>4398</v>
      </c>
      <c r="G269">
        <v>1</v>
      </c>
      <c r="H269" t="s">
        <v>250</v>
      </c>
      <c r="I269">
        <v>2</v>
      </c>
      <c r="J269" s="6">
        <v>4</v>
      </c>
      <c r="M269" t="str">
        <f t="shared" si="12"/>
        <v>2022_NSW_WaggaWagga_Lentil_Detailed</v>
      </c>
      <c r="N269">
        <f>I269</f>
        <v>2</v>
      </c>
      <c r="O269" t="str">
        <f t="shared" si="13"/>
        <v>2022_NSW_WaggaWagga_Lentil_Detailed_4</v>
      </c>
      <c r="P269" t="str">
        <f t="shared" si="14"/>
        <v>2022_NSW_WaggaWagga_Lentil_DetailedTOS2VarietyJumbo2WaterTrtIrrigated</v>
      </c>
    </row>
    <row r="270" spans="1:16" x14ac:dyDescent="0.25">
      <c r="H270" t="s">
        <v>253</v>
      </c>
      <c r="I270">
        <v>2</v>
      </c>
      <c r="J270" s="6">
        <v>3</v>
      </c>
      <c r="M270" t="str">
        <f t="shared" si="12"/>
        <v>2022_NSW_WaggaWagga_Lentil_Detailed</v>
      </c>
      <c r="N270">
        <f>I270</f>
        <v>2</v>
      </c>
      <c r="O270" t="str">
        <f t="shared" si="13"/>
        <v>2022_NSW_WaggaWagga_Lentil_Detailed_3</v>
      </c>
      <c r="P270" t="str">
        <f t="shared" si="14"/>
        <v>2022_NSW_WaggaWagga_Lentil_DetailedTOS2VarietyJumbo2WaterTrtIrrigated</v>
      </c>
    </row>
    <row r="271" spans="1:16" x14ac:dyDescent="0.25">
      <c r="G271">
        <v>2</v>
      </c>
      <c r="H271" t="s">
        <v>250</v>
      </c>
      <c r="I271">
        <v>4</v>
      </c>
      <c r="J271" s="6">
        <v>24</v>
      </c>
      <c r="M271" t="str">
        <f t="shared" si="12"/>
        <v>2022_NSW_WaggaWagga_Lentil_Detailed</v>
      </c>
      <c r="N271">
        <f>I271</f>
        <v>4</v>
      </c>
      <c r="O271" t="str">
        <f t="shared" si="13"/>
        <v>2022_NSW_WaggaWagga_Lentil_Detailed_24</v>
      </c>
      <c r="P271" t="str">
        <f t="shared" si="14"/>
        <v>2022_NSW_WaggaWagga_Lentil_DetailedTOS2VarietyJumbo2WaterTrtIrrigated</v>
      </c>
    </row>
    <row r="272" spans="1:16" x14ac:dyDescent="0.25">
      <c r="H272" t="s">
        <v>253</v>
      </c>
      <c r="I272">
        <v>4</v>
      </c>
      <c r="J272" s="6">
        <v>23</v>
      </c>
      <c r="M272" t="str">
        <f t="shared" si="12"/>
        <v>2022_NSW_WaggaWagga_Lentil_Detailed</v>
      </c>
      <c r="N272">
        <f>I272</f>
        <v>4</v>
      </c>
      <c r="O272" t="str">
        <f t="shared" si="13"/>
        <v>2022_NSW_WaggaWagga_Lentil_Detailed_23</v>
      </c>
      <c r="P272" t="str">
        <f t="shared" si="14"/>
        <v>2022_NSW_WaggaWagga_Lentil_DetailedTOS2VarietyJumbo2WaterTrtIrrigated</v>
      </c>
    </row>
    <row r="273" spans="1:16" x14ac:dyDescent="0.25">
      <c r="G273">
        <v>3</v>
      </c>
      <c r="H273" t="s">
        <v>250</v>
      </c>
      <c r="I273">
        <v>1</v>
      </c>
      <c r="J273" s="6">
        <v>42</v>
      </c>
      <c r="M273" t="str">
        <f t="shared" si="12"/>
        <v>2022_NSW_WaggaWagga_Lentil_Detailed</v>
      </c>
      <c r="N273">
        <f>I273</f>
        <v>1</v>
      </c>
      <c r="O273" t="str">
        <f t="shared" si="13"/>
        <v>2022_NSW_WaggaWagga_Lentil_Detailed_42</v>
      </c>
      <c r="P273" t="str">
        <f t="shared" si="14"/>
        <v>2022_NSW_WaggaWagga_Lentil_DetailedTOS2VarietyJumbo2WaterTrtIrrigated</v>
      </c>
    </row>
    <row r="274" spans="1:16" x14ac:dyDescent="0.25">
      <c r="H274" t="s">
        <v>253</v>
      </c>
      <c r="I274">
        <v>1</v>
      </c>
      <c r="J274" s="6">
        <v>41</v>
      </c>
      <c r="M274" t="str">
        <f t="shared" si="12"/>
        <v>2022_NSW_WaggaWagga_Lentil_Detailed</v>
      </c>
      <c r="N274">
        <f>I274</f>
        <v>1</v>
      </c>
      <c r="O274" t="str">
        <f t="shared" si="13"/>
        <v>2022_NSW_WaggaWagga_Lentil_Detailed_41</v>
      </c>
      <c r="P274" t="str">
        <f t="shared" si="14"/>
        <v>2022_NSW_WaggaWagga_Lentil_DetailedTOS2VarietyJumbo2WaterTrtIrrigated</v>
      </c>
    </row>
    <row r="275" spans="1:16" x14ac:dyDescent="0.25">
      <c r="G275">
        <v>4</v>
      </c>
      <c r="H275" t="s">
        <v>250</v>
      </c>
      <c r="I275">
        <v>3</v>
      </c>
      <c r="J275" s="6">
        <v>62</v>
      </c>
      <c r="M275" t="str">
        <f t="shared" si="12"/>
        <v>2022_NSW_WaggaWagga_Lentil_Detailed</v>
      </c>
      <c r="N275">
        <f>I275</f>
        <v>3</v>
      </c>
      <c r="O275" t="str">
        <f t="shared" si="13"/>
        <v>2022_NSW_WaggaWagga_Lentil_Detailed_62</v>
      </c>
      <c r="P275" t="str">
        <f t="shared" si="14"/>
        <v>2022_NSW_WaggaWagga_Lentil_DetailedTOS2VarietyJumbo2WaterTrtIrrigated</v>
      </c>
    </row>
    <row r="276" spans="1:16" x14ac:dyDescent="0.25">
      <c r="H276" t="s">
        <v>253</v>
      </c>
      <c r="I276">
        <v>3</v>
      </c>
      <c r="J276" s="6">
        <v>61</v>
      </c>
      <c r="M276" t="str">
        <f t="shared" si="12"/>
        <v>2022_NSW_WaggaWagga_Lentil_Detailed</v>
      </c>
      <c r="N276">
        <f>I276</f>
        <v>3</v>
      </c>
      <c r="O276" t="str">
        <f t="shared" si="13"/>
        <v>2022_NSW_WaggaWagga_Lentil_Detailed_61</v>
      </c>
      <c r="P276" t="str">
        <f t="shared" si="14"/>
        <v>2022_NSW_WaggaWagga_Lentil_DetailedTOS2VarietyJumbo2WaterTrtIrrigated</v>
      </c>
    </row>
    <row r="277" spans="1:16" x14ac:dyDescent="0.25">
      <c r="A277" t="s">
        <v>4254</v>
      </c>
      <c r="B277" t="s">
        <v>1034</v>
      </c>
      <c r="C277">
        <v>2</v>
      </c>
      <c r="D277" t="s">
        <v>4176</v>
      </c>
      <c r="E277" t="s">
        <v>40</v>
      </c>
      <c r="F277" t="s">
        <v>4398</v>
      </c>
      <c r="G277">
        <v>1</v>
      </c>
      <c r="H277" t="s">
        <v>250</v>
      </c>
      <c r="I277">
        <v>8</v>
      </c>
      <c r="J277" s="6">
        <v>72</v>
      </c>
      <c r="M277" t="str">
        <f t="shared" si="12"/>
        <v>2022_NSW_WaggaWagga_Lentil_Detailed</v>
      </c>
      <c r="N277">
        <f>I277</f>
        <v>8</v>
      </c>
      <c r="O277" t="str">
        <f t="shared" si="13"/>
        <v>2022_NSW_WaggaWagga_Lentil_Detailed_72</v>
      </c>
      <c r="P277" t="str">
        <f t="shared" si="14"/>
        <v>2022_NSW_WaggaWagga_Lentil_DetailedTOS2VarietyJumbo2WaterTrtRainFed</v>
      </c>
    </row>
    <row r="278" spans="1:16" x14ac:dyDescent="0.25">
      <c r="H278" t="s">
        <v>253</v>
      </c>
      <c r="I278">
        <v>8</v>
      </c>
      <c r="J278" s="6">
        <v>71</v>
      </c>
      <c r="M278" t="str">
        <f t="shared" si="12"/>
        <v>2022_NSW_WaggaWagga_Lentil_Detailed</v>
      </c>
      <c r="N278">
        <f>I278</f>
        <v>8</v>
      </c>
      <c r="O278" t="str">
        <f t="shared" si="13"/>
        <v>2022_NSW_WaggaWagga_Lentil_Detailed_71</v>
      </c>
      <c r="P278" t="str">
        <f t="shared" si="14"/>
        <v>2022_NSW_WaggaWagga_Lentil_DetailedTOS2VarietyJumbo2WaterTrtRainFed</v>
      </c>
    </row>
    <row r="279" spans="1:16" x14ac:dyDescent="0.25">
      <c r="G279">
        <v>2</v>
      </c>
      <c r="H279" t="s">
        <v>250</v>
      </c>
      <c r="I279">
        <v>6</v>
      </c>
      <c r="J279" s="6">
        <v>92</v>
      </c>
      <c r="M279" t="str">
        <f t="shared" si="12"/>
        <v>2022_NSW_WaggaWagga_Lentil_Detailed</v>
      </c>
      <c r="N279">
        <f>I279</f>
        <v>6</v>
      </c>
      <c r="O279" t="str">
        <f t="shared" si="13"/>
        <v>2022_NSW_WaggaWagga_Lentil_Detailed_92</v>
      </c>
      <c r="P279" t="str">
        <f t="shared" si="14"/>
        <v>2022_NSW_WaggaWagga_Lentil_DetailedTOS2VarietyJumbo2WaterTrtRainFed</v>
      </c>
    </row>
    <row r="280" spans="1:16" x14ac:dyDescent="0.25">
      <c r="H280" t="s">
        <v>253</v>
      </c>
      <c r="I280">
        <v>6</v>
      </c>
      <c r="J280" s="6">
        <v>91</v>
      </c>
      <c r="M280" t="str">
        <f t="shared" si="12"/>
        <v>2022_NSW_WaggaWagga_Lentil_Detailed</v>
      </c>
      <c r="N280">
        <f>I280</f>
        <v>6</v>
      </c>
      <c r="O280" t="str">
        <f t="shared" si="13"/>
        <v>2022_NSW_WaggaWagga_Lentil_Detailed_91</v>
      </c>
      <c r="P280" t="str">
        <f t="shared" si="14"/>
        <v>2022_NSW_WaggaWagga_Lentil_DetailedTOS2VarietyJumbo2WaterTrtRainFed</v>
      </c>
    </row>
    <row r="281" spans="1:16" x14ac:dyDescent="0.25">
      <c r="G281">
        <v>3</v>
      </c>
      <c r="H281" t="s">
        <v>250</v>
      </c>
      <c r="I281">
        <v>7</v>
      </c>
      <c r="J281" s="6">
        <v>110</v>
      </c>
      <c r="M281" t="str">
        <f t="shared" si="12"/>
        <v>2022_NSW_WaggaWagga_Lentil_Detailed</v>
      </c>
      <c r="N281">
        <f>I281</f>
        <v>7</v>
      </c>
      <c r="O281" t="str">
        <f t="shared" si="13"/>
        <v>2022_NSW_WaggaWagga_Lentil_Detailed_110</v>
      </c>
      <c r="P281" t="str">
        <f t="shared" si="14"/>
        <v>2022_NSW_WaggaWagga_Lentil_DetailedTOS2VarietyJumbo2WaterTrtRainFed</v>
      </c>
    </row>
    <row r="282" spans="1:16" x14ac:dyDescent="0.25">
      <c r="H282" t="s">
        <v>253</v>
      </c>
      <c r="I282">
        <v>7</v>
      </c>
      <c r="J282" s="6">
        <v>109</v>
      </c>
      <c r="M282" t="str">
        <f t="shared" si="12"/>
        <v>2022_NSW_WaggaWagga_Lentil_Detailed</v>
      </c>
      <c r="N282">
        <f>I282</f>
        <v>7</v>
      </c>
      <c r="O282" t="str">
        <f t="shared" si="13"/>
        <v>2022_NSW_WaggaWagga_Lentil_Detailed_109</v>
      </c>
      <c r="P282" t="str">
        <f t="shared" si="14"/>
        <v>2022_NSW_WaggaWagga_Lentil_DetailedTOS2VarietyJumbo2WaterTrtRainFed</v>
      </c>
    </row>
    <row r="283" spans="1:16" x14ac:dyDescent="0.25">
      <c r="G283">
        <v>4</v>
      </c>
      <c r="H283" t="s">
        <v>250</v>
      </c>
      <c r="I283">
        <v>5</v>
      </c>
      <c r="J283" s="6">
        <v>114</v>
      </c>
      <c r="M283" t="str">
        <f t="shared" si="12"/>
        <v>2022_NSW_WaggaWagga_Lentil_Detailed</v>
      </c>
      <c r="N283">
        <f>I283</f>
        <v>5</v>
      </c>
      <c r="O283" t="str">
        <f t="shared" si="13"/>
        <v>2022_NSW_WaggaWagga_Lentil_Detailed_114</v>
      </c>
      <c r="P283" t="str">
        <f t="shared" si="14"/>
        <v>2022_NSW_WaggaWagga_Lentil_DetailedTOS2VarietyJumbo2WaterTrtRainFed</v>
      </c>
    </row>
    <row r="284" spans="1:16" x14ac:dyDescent="0.25">
      <c r="H284" t="s">
        <v>253</v>
      </c>
      <c r="I284">
        <v>5</v>
      </c>
      <c r="J284" s="6">
        <v>113</v>
      </c>
      <c r="M284" t="str">
        <f t="shared" si="12"/>
        <v>2022_NSW_WaggaWagga_Lentil_Detailed</v>
      </c>
      <c r="N284">
        <f>I284</f>
        <v>5</v>
      </c>
      <c r="O284" t="str">
        <f t="shared" si="13"/>
        <v>2022_NSW_WaggaWagga_Lentil_Detailed_113</v>
      </c>
      <c r="P284" t="str">
        <f t="shared" si="14"/>
        <v>2022_NSW_WaggaWagga_Lentil_DetailedTOS2VarietyJumbo2WaterTrtRainFed</v>
      </c>
    </row>
    <row r="285" spans="1:16" x14ac:dyDescent="0.25">
      <c r="A285" t="s">
        <v>4255</v>
      </c>
      <c r="B285" t="s">
        <v>1034</v>
      </c>
      <c r="C285">
        <v>2</v>
      </c>
      <c r="D285" t="s">
        <v>4188</v>
      </c>
      <c r="E285" t="s">
        <v>57</v>
      </c>
      <c r="F285" t="s">
        <v>4398</v>
      </c>
      <c r="G285">
        <v>1</v>
      </c>
      <c r="H285" t="s">
        <v>250</v>
      </c>
      <c r="I285">
        <v>4</v>
      </c>
      <c r="J285" s="6">
        <v>8</v>
      </c>
      <c r="M285" t="str">
        <f t="shared" si="12"/>
        <v>2022_NSW_WaggaWagga_Lentil_Detailed</v>
      </c>
      <c r="N285">
        <f>I285</f>
        <v>4</v>
      </c>
      <c r="O285" t="str">
        <f t="shared" si="13"/>
        <v>2022_NSW_WaggaWagga_Lentil_Detailed_8</v>
      </c>
      <c r="P285" t="str">
        <f t="shared" si="14"/>
        <v>2022_NSW_WaggaWagga_Lentil_DetailedTOS2VarietyKelpieXTWaterTrtIrrigated</v>
      </c>
    </row>
    <row r="286" spans="1:16" x14ac:dyDescent="0.25">
      <c r="H286" t="s">
        <v>253</v>
      </c>
      <c r="I286">
        <v>4</v>
      </c>
      <c r="J286" s="6">
        <v>7</v>
      </c>
      <c r="M286" t="str">
        <f t="shared" si="12"/>
        <v>2022_NSW_WaggaWagga_Lentil_Detailed</v>
      </c>
      <c r="N286">
        <f>I286</f>
        <v>4</v>
      </c>
      <c r="O286" t="str">
        <f t="shared" si="13"/>
        <v>2022_NSW_WaggaWagga_Lentil_Detailed_7</v>
      </c>
      <c r="P286" t="str">
        <f t="shared" si="14"/>
        <v>2022_NSW_WaggaWagga_Lentil_DetailedTOS2VarietyKelpieXTWaterTrtIrrigated</v>
      </c>
    </row>
    <row r="287" spans="1:16" x14ac:dyDescent="0.25">
      <c r="G287">
        <v>2</v>
      </c>
      <c r="H287" t="s">
        <v>250</v>
      </c>
      <c r="I287">
        <v>1</v>
      </c>
      <c r="J287" s="6">
        <v>18</v>
      </c>
      <c r="M287" t="str">
        <f t="shared" si="12"/>
        <v>2022_NSW_WaggaWagga_Lentil_Detailed</v>
      </c>
      <c r="N287">
        <f>I287</f>
        <v>1</v>
      </c>
      <c r="O287" t="str">
        <f t="shared" si="13"/>
        <v>2022_NSW_WaggaWagga_Lentil_Detailed_18</v>
      </c>
      <c r="P287" t="str">
        <f t="shared" si="14"/>
        <v>2022_NSW_WaggaWagga_Lentil_DetailedTOS2VarietyKelpieXTWaterTrtIrrigated</v>
      </c>
    </row>
    <row r="288" spans="1:16" x14ac:dyDescent="0.25">
      <c r="H288" t="s">
        <v>253</v>
      </c>
      <c r="I288">
        <v>1</v>
      </c>
      <c r="J288" s="6">
        <v>17</v>
      </c>
      <c r="M288" t="str">
        <f t="shared" si="12"/>
        <v>2022_NSW_WaggaWagga_Lentil_Detailed</v>
      </c>
      <c r="N288">
        <f>I288</f>
        <v>1</v>
      </c>
      <c r="O288" t="str">
        <f t="shared" si="13"/>
        <v>2022_NSW_WaggaWagga_Lentil_Detailed_17</v>
      </c>
      <c r="P288" t="str">
        <f t="shared" si="14"/>
        <v>2022_NSW_WaggaWagga_Lentil_DetailedTOS2VarietyKelpieXTWaterTrtIrrigated</v>
      </c>
    </row>
    <row r="289" spans="1:16" x14ac:dyDescent="0.25">
      <c r="G289">
        <v>3</v>
      </c>
      <c r="H289" t="s">
        <v>250</v>
      </c>
      <c r="I289">
        <v>3</v>
      </c>
      <c r="J289" s="6">
        <v>46</v>
      </c>
      <c r="M289" t="str">
        <f t="shared" si="12"/>
        <v>2022_NSW_WaggaWagga_Lentil_Detailed</v>
      </c>
      <c r="N289">
        <f>I289</f>
        <v>3</v>
      </c>
      <c r="O289" t="str">
        <f t="shared" si="13"/>
        <v>2022_NSW_WaggaWagga_Lentil_Detailed_46</v>
      </c>
      <c r="P289" t="str">
        <f t="shared" si="14"/>
        <v>2022_NSW_WaggaWagga_Lentil_DetailedTOS2VarietyKelpieXTWaterTrtIrrigated</v>
      </c>
    </row>
    <row r="290" spans="1:16" x14ac:dyDescent="0.25">
      <c r="H290" t="s">
        <v>253</v>
      </c>
      <c r="I290">
        <v>3</v>
      </c>
      <c r="J290" s="6">
        <v>45</v>
      </c>
      <c r="M290" t="str">
        <f t="shared" si="12"/>
        <v>2022_NSW_WaggaWagga_Lentil_Detailed</v>
      </c>
      <c r="N290">
        <f>I290</f>
        <v>3</v>
      </c>
      <c r="O290" t="str">
        <f t="shared" si="13"/>
        <v>2022_NSW_WaggaWagga_Lentil_Detailed_45</v>
      </c>
      <c r="P290" t="str">
        <f t="shared" si="14"/>
        <v>2022_NSW_WaggaWagga_Lentil_DetailedTOS2VarietyKelpieXTWaterTrtIrrigated</v>
      </c>
    </row>
    <row r="291" spans="1:16" x14ac:dyDescent="0.25">
      <c r="G291">
        <v>4</v>
      </c>
      <c r="H291" t="s">
        <v>250</v>
      </c>
      <c r="I291">
        <v>2</v>
      </c>
      <c r="J291" s="6">
        <v>60</v>
      </c>
      <c r="M291" t="str">
        <f t="shared" si="12"/>
        <v>2022_NSW_WaggaWagga_Lentil_Detailed</v>
      </c>
      <c r="N291">
        <f>I291</f>
        <v>2</v>
      </c>
      <c r="O291" t="str">
        <f t="shared" si="13"/>
        <v>2022_NSW_WaggaWagga_Lentil_Detailed_60</v>
      </c>
      <c r="P291" t="str">
        <f t="shared" si="14"/>
        <v>2022_NSW_WaggaWagga_Lentil_DetailedTOS2VarietyKelpieXTWaterTrtIrrigated</v>
      </c>
    </row>
    <row r="292" spans="1:16" x14ac:dyDescent="0.25">
      <c r="H292" t="s">
        <v>253</v>
      </c>
      <c r="I292">
        <v>2</v>
      </c>
      <c r="J292" s="6">
        <v>59</v>
      </c>
      <c r="M292" t="str">
        <f t="shared" si="12"/>
        <v>2022_NSW_WaggaWagga_Lentil_Detailed</v>
      </c>
      <c r="N292">
        <f>I292</f>
        <v>2</v>
      </c>
      <c r="O292" t="str">
        <f t="shared" si="13"/>
        <v>2022_NSW_WaggaWagga_Lentil_Detailed_59</v>
      </c>
      <c r="P292" t="str">
        <f t="shared" si="14"/>
        <v>2022_NSW_WaggaWagga_Lentil_DetailedTOS2VarietyKelpieXTWaterTrtIrrigated</v>
      </c>
    </row>
    <row r="293" spans="1:16" x14ac:dyDescent="0.25">
      <c r="A293" t="s">
        <v>4256</v>
      </c>
      <c r="B293" t="s">
        <v>1034</v>
      </c>
      <c r="C293">
        <v>2</v>
      </c>
      <c r="D293" t="s">
        <v>4188</v>
      </c>
      <c r="E293" t="s">
        <v>40</v>
      </c>
      <c r="F293" t="s">
        <v>4398</v>
      </c>
      <c r="G293">
        <v>1</v>
      </c>
      <c r="H293" t="s">
        <v>250</v>
      </c>
      <c r="I293">
        <v>6</v>
      </c>
      <c r="J293" s="6">
        <v>68</v>
      </c>
      <c r="M293" t="str">
        <f t="shared" si="12"/>
        <v>2022_NSW_WaggaWagga_Lentil_Detailed</v>
      </c>
      <c r="N293">
        <f>I293</f>
        <v>6</v>
      </c>
      <c r="O293" t="str">
        <f t="shared" si="13"/>
        <v>2022_NSW_WaggaWagga_Lentil_Detailed_68</v>
      </c>
      <c r="P293" t="str">
        <f t="shared" si="14"/>
        <v>2022_NSW_WaggaWagga_Lentil_DetailedTOS2VarietyKelpieXTWaterTrtRainFed</v>
      </c>
    </row>
    <row r="294" spans="1:16" x14ac:dyDescent="0.25">
      <c r="H294" t="s">
        <v>253</v>
      </c>
      <c r="I294">
        <v>6</v>
      </c>
      <c r="J294" s="6">
        <v>67</v>
      </c>
      <c r="M294" t="str">
        <f t="shared" si="12"/>
        <v>2022_NSW_WaggaWagga_Lentil_Detailed</v>
      </c>
      <c r="N294">
        <f>I294</f>
        <v>6</v>
      </c>
      <c r="O294" t="str">
        <f t="shared" si="13"/>
        <v>2022_NSW_WaggaWagga_Lentil_Detailed_67</v>
      </c>
      <c r="P294" t="str">
        <f t="shared" si="14"/>
        <v>2022_NSW_WaggaWagga_Lentil_DetailedTOS2VarietyKelpieXTWaterTrtRainFed</v>
      </c>
    </row>
    <row r="295" spans="1:16" x14ac:dyDescent="0.25">
      <c r="G295">
        <v>2</v>
      </c>
      <c r="H295" t="s">
        <v>250</v>
      </c>
      <c r="I295">
        <v>8</v>
      </c>
      <c r="J295" s="6">
        <v>96</v>
      </c>
      <c r="M295" t="str">
        <f t="shared" si="12"/>
        <v>2022_NSW_WaggaWagga_Lentil_Detailed</v>
      </c>
      <c r="N295">
        <f>I295</f>
        <v>8</v>
      </c>
      <c r="O295" t="str">
        <f t="shared" si="13"/>
        <v>2022_NSW_WaggaWagga_Lentil_Detailed_96</v>
      </c>
      <c r="P295" t="str">
        <f t="shared" si="14"/>
        <v>2022_NSW_WaggaWagga_Lentil_DetailedTOS2VarietyKelpieXTWaterTrtRainFed</v>
      </c>
    </row>
    <row r="296" spans="1:16" x14ac:dyDescent="0.25">
      <c r="H296" t="s">
        <v>253</v>
      </c>
      <c r="I296">
        <v>8</v>
      </c>
      <c r="J296" s="6">
        <v>95</v>
      </c>
      <c r="M296" t="str">
        <f t="shared" si="12"/>
        <v>2022_NSW_WaggaWagga_Lentil_Detailed</v>
      </c>
      <c r="N296">
        <f>I296</f>
        <v>8</v>
      </c>
      <c r="O296" t="str">
        <f t="shared" si="13"/>
        <v>2022_NSW_WaggaWagga_Lentil_Detailed_95</v>
      </c>
      <c r="P296" t="str">
        <f t="shared" si="14"/>
        <v>2022_NSW_WaggaWagga_Lentil_DetailedTOS2VarietyKelpieXTWaterTrtRainFed</v>
      </c>
    </row>
    <row r="297" spans="1:16" x14ac:dyDescent="0.25">
      <c r="G297">
        <v>3</v>
      </c>
      <c r="H297" t="s">
        <v>250</v>
      </c>
      <c r="I297">
        <v>5</v>
      </c>
      <c r="J297" s="6">
        <v>106</v>
      </c>
      <c r="M297" t="str">
        <f t="shared" si="12"/>
        <v>2022_NSW_WaggaWagga_Lentil_Detailed</v>
      </c>
      <c r="N297">
        <f>I297</f>
        <v>5</v>
      </c>
      <c r="O297" t="str">
        <f t="shared" si="13"/>
        <v>2022_NSW_WaggaWagga_Lentil_Detailed_106</v>
      </c>
      <c r="P297" t="str">
        <f t="shared" si="14"/>
        <v>2022_NSW_WaggaWagga_Lentil_DetailedTOS2VarietyKelpieXTWaterTrtRainFed</v>
      </c>
    </row>
    <row r="298" spans="1:16" x14ac:dyDescent="0.25">
      <c r="H298" t="s">
        <v>253</v>
      </c>
      <c r="I298">
        <v>5</v>
      </c>
      <c r="J298" s="6">
        <v>105</v>
      </c>
      <c r="M298" t="str">
        <f t="shared" si="12"/>
        <v>2022_NSW_WaggaWagga_Lentil_Detailed</v>
      </c>
      <c r="N298">
        <f>I298</f>
        <v>5</v>
      </c>
      <c r="O298" t="str">
        <f t="shared" si="13"/>
        <v>2022_NSW_WaggaWagga_Lentil_Detailed_105</v>
      </c>
      <c r="P298" t="str">
        <f t="shared" si="14"/>
        <v>2022_NSW_WaggaWagga_Lentil_DetailedTOS2VarietyKelpieXTWaterTrtRainFed</v>
      </c>
    </row>
    <row r="299" spans="1:16" x14ac:dyDescent="0.25">
      <c r="G299">
        <v>4</v>
      </c>
      <c r="H299" t="s">
        <v>250</v>
      </c>
      <c r="I299">
        <v>7</v>
      </c>
      <c r="J299" s="6">
        <v>118</v>
      </c>
      <c r="M299" t="str">
        <f t="shared" si="12"/>
        <v>2022_NSW_WaggaWagga_Lentil_Detailed</v>
      </c>
      <c r="N299">
        <f>I299</f>
        <v>7</v>
      </c>
      <c r="O299" t="str">
        <f t="shared" si="13"/>
        <v>2022_NSW_WaggaWagga_Lentil_Detailed_118</v>
      </c>
      <c r="P299" t="str">
        <f t="shared" si="14"/>
        <v>2022_NSW_WaggaWagga_Lentil_DetailedTOS2VarietyKelpieXTWaterTrtRainFed</v>
      </c>
    </row>
    <row r="300" spans="1:16" x14ac:dyDescent="0.25">
      <c r="H300" t="s">
        <v>253</v>
      </c>
      <c r="I300">
        <v>7</v>
      </c>
      <c r="J300" s="6">
        <v>117</v>
      </c>
      <c r="M300" t="str">
        <f t="shared" si="12"/>
        <v>2022_NSW_WaggaWagga_Lentil_Detailed</v>
      </c>
      <c r="N300">
        <f>I300</f>
        <v>7</v>
      </c>
      <c r="O300" t="str">
        <f t="shared" si="13"/>
        <v>2022_NSW_WaggaWagga_Lentil_Detailed_117</v>
      </c>
      <c r="P300" t="str">
        <f t="shared" si="14"/>
        <v>2022_NSW_WaggaWagga_Lentil_DetailedTOS2VarietyKelpieXTWaterTrtRainFed</v>
      </c>
    </row>
    <row r="301" spans="1:16" x14ac:dyDescent="0.25">
      <c r="A301" t="s">
        <v>4257</v>
      </c>
      <c r="B301" t="s">
        <v>905</v>
      </c>
      <c r="C301">
        <v>1</v>
      </c>
      <c r="D301" t="s">
        <v>4187</v>
      </c>
      <c r="E301" t="s">
        <v>57</v>
      </c>
      <c r="F301" t="s">
        <v>4398</v>
      </c>
      <c r="G301">
        <v>1</v>
      </c>
      <c r="H301" t="s">
        <v>250</v>
      </c>
      <c r="I301">
        <v>2</v>
      </c>
      <c r="J301" s="6">
        <v>22</v>
      </c>
      <c r="M301" t="str">
        <f t="shared" si="12"/>
        <v>2022_SA_Riverton_Lentil_Detailed</v>
      </c>
      <c r="N301">
        <f>I301</f>
        <v>2</v>
      </c>
      <c r="O301" t="str">
        <f t="shared" si="13"/>
        <v>2022_SA_Riverton_Lentil_Detailed_22</v>
      </c>
      <c r="P301" t="str">
        <f t="shared" si="14"/>
        <v>2022_SA_Riverton_Lentil_DetailedTOS1VarietyBoltWaterTrtIrrigated</v>
      </c>
    </row>
    <row r="302" spans="1:16" x14ac:dyDescent="0.25">
      <c r="H302" t="s">
        <v>253</v>
      </c>
      <c r="I302">
        <v>1</v>
      </c>
      <c r="J302" s="6">
        <v>21</v>
      </c>
      <c r="M302" t="str">
        <f t="shared" si="12"/>
        <v>2022_SA_Riverton_Lentil_Detailed</v>
      </c>
      <c r="N302">
        <f>I302</f>
        <v>1</v>
      </c>
      <c r="O302" t="str">
        <f t="shared" si="13"/>
        <v>2022_SA_Riverton_Lentil_Detailed_21</v>
      </c>
      <c r="P302" t="str">
        <f t="shared" si="14"/>
        <v>2022_SA_Riverton_Lentil_DetailedTOS1VarietyBoltWaterTrtIrrigated</v>
      </c>
    </row>
    <row r="303" spans="1:16" x14ac:dyDescent="0.25">
      <c r="G303">
        <v>2</v>
      </c>
      <c r="H303" t="s">
        <v>250</v>
      </c>
      <c r="I303">
        <v>2</v>
      </c>
      <c r="J303" s="6">
        <v>38</v>
      </c>
      <c r="M303" t="str">
        <f t="shared" si="12"/>
        <v>2022_SA_Riverton_Lentil_Detailed</v>
      </c>
      <c r="N303">
        <f>I303</f>
        <v>2</v>
      </c>
      <c r="O303" t="str">
        <f t="shared" si="13"/>
        <v>2022_SA_Riverton_Lentil_Detailed_38</v>
      </c>
      <c r="P303" t="str">
        <f t="shared" si="14"/>
        <v>2022_SA_Riverton_Lentil_DetailedTOS1VarietyBoltWaterTrtIrrigated</v>
      </c>
    </row>
    <row r="304" spans="1:16" x14ac:dyDescent="0.25">
      <c r="H304" t="s">
        <v>253</v>
      </c>
      <c r="I304">
        <v>1</v>
      </c>
      <c r="J304" s="6">
        <v>37</v>
      </c>
      <c r="M304" t="str">
        <f t="shared" si="12"/>
        <v>2022_SA_Riverton_Lentil_Detailed</v>
      </c>
      <c r="N304">
        <f>I304</f>
        <v>1</v>
      </c>
      <c r="O304" t="str">
        <f t="shared" si="13"/>
        <v>2022_SA_Riverton_Lentil_Detailed_37</v>
      </c>
      <c r="P304" t="str">
        <f t="shared" si="14"/>
        <v>2022_SA_Riverton_Lentil_DetailedTOS1VarietyBoltWaterTrtIrrigated</v>
      </c>
    </row>
    <row r="305" spans="1:16" x14ac:dyDescent="0.25">
      <c r="G305">
        <v>3</v>
      </c>
      <c r="H305" t="s">
        <v>250</v>
      </c>
      <c r="I305">
        <v>4</v>
      </c>
      <c r="J305" s="6">
        <v>80</v>
      </c>
      <c r="M305" t="str">
        <f t="shared" si="12"/>
        <v>2022_SA_Riverton_Lentil_Detailed</v>
      </c>
      <c r="N305">
        <f>I305</f>
        <v>4</v>
      </c>
      <c r="O305" t="str">
        <f t="shared" si="13"/>
        <v>2022_SA_Riverton_Lentil_Detailed_80</v>
      </c>
      <c r="P305" t="str">
        <f t="shared" si="14"/>
        <v>2022_SA_Riverton_Lentil_DetailedTOS1VarietyBoltWaterTrtIrrigated</v>
      </c>
    </row>
    <row r="306" spans="1:16" x14ac:dyDescent="0.25">
      <c r="H306" t="s">
        <v>253</v>
      </c>
      <c r="I306">
        <v>3</v>
      </c>
      <c r="J306" s="6">
        <v>79</v>
      </c>
      <c r="M306" t="str">
        <f t="shared" si="12"/>
        <v>2022_SA_Riverton_Lentil_Detailed</v>
      </c>
      <c r="N306">
        <f>I306</f>
        <v>3</v>
      </c>
      <c r="O306" t="str">
        <f t="shared" si="13"/>
        <v>2022_SA_Riverton_Lentil_Detailed_79</v>
      </c>
      <c r="P306" t="str">
        <f t="shared" si="14"/>
        <v>2022_SA_Riverton_Lentil_DetailedTOS1VarietyBoltWaterTrtIrrigated</v>
      </c>
    </row>
    <row r="307" spans="1:16" x14ac:dyDescent="0.25">
      <c r="G307">
        <v>4</v>
      </c>
      <c r="H307" t="s">
        <v>250</v>
      </c>
      <c r="I307">
        <v>4</v>
      </c>
      <c r="J307" s="6">
        <v>124</v>
      </c>
      <c r="M307" t="str">
        <f t="shared" si="12"/>
        <v>2022_SA_Riverton_Lentil_Detailed</v>
      </c>
      <c r="N307">
        <f>I307</f>
        <v>4</v>
      </c>
      <c r="O307" t="str">
        <f t="shared" si="13"/>
        <v>2022_SA_Riverton_Lentil_Detailed_124</v>
      </c>
      <c r="P307" t="str">
        <f t="shared" si="14"/>
        <v>2022_SA_Riverton_Lentil_DetailedTOS1VarietyBoltWaterTrtIrrigated</v>
      </c>
    </row>
    <row r="308" spans="1:16" x14ac:dyDescent="0.25">
      <c r="H308" t="s">
        <v>253</v>
      </c>
      <c r="I308">
        <v>3</v>
      </c>
      <c r="J308" s="6">
        <v>123</v>
      </c>
      <c r="M308" t="str">
        <f t="shared" si="12"/>
        <v>2022_SA_Riverton_Lentil_Detailed</v>
      </c>
      <c r="N308">
        <f>I308</f>
        <v>3</v>
      </c>
      <c r="O308" t="str">
        <f t="shared" si="13"/>
        <v>2022_SA_Riverton_Lentil_Detailed_123</v>
      </c>
      <c r="P308" t="str">
        <f t="shared" si="14"/>
        <v>2022_SA_Riverton_Lentil_DetailedTOS1VarietyBoltWaterTrtIrrigated</v>
      </c>
    </row>
    <row r="309" spans="1:16" x14ac:dyDescent="0.25">
      <c r="A309" t="s">
        <v>4258</v>
      </c>
      <c r="B309" t="s">
        <v>905</v>
      </c>
      <c r="C309">
        <v>1</v>
      </c>
      <c r="D309" t="s">
        <v>4187</v>
      </c>
      <c r="E309" t="s">
        <v>40</v>
      </c>
      <c r="F309" t="s">
        <v>4398</v>
      </c>
      <c r="G309">
        <v>1</v>
      </c>
      <c r="H309" t="s">
        <v>250</v>
      </c>
      <c r="I309">
        <v>2</v>
      </c>
      <c r="J309" s="6">
        <v>2</v>
      </c>
      <c r="M309" t="str">
        <f t="shared" si="12"/>
        <v>2022_SA_Riverton_Lentil_Detailed</v>
      </c>
      <c r="N309">
        <f>I309</f>
        <v>2</v>
      </c>
      <c r="O309" t="str">
        <f t="shared" si="13"/>
        <v>2022_SA_Riverton_Lentil_Detailed_2</v>
      </c>
      <c r="P309" t="str">
        <f t="shared" si="14"/>
        <v>2022_SA_Riverton_Lentil_DetailedTOS1VarietyBoltWaterTrtRainFed</v>
      </c>
    </row>
    <row r="310" spans="1:16" x14ac:dyDescent="0.25">
      <c r="H310" t="s">
        <v>253</v>
      </c>
      <c r="I310">
        <v>1</v>
      </c>
      <c r="J310" s="6">
        <v>1</v>
      </c>
      <c r="M310" t="str">
        <f t="shared" si="12"/>
        <v>2022_SA_Riverton_Lentil_Detailed</v>
      </c>
      <c r="N310">
        <f>I310</f>
        <v>1</v>
      </c>
      <c r="O310" t="str">
        <f t="shared" si="13"/>
        <v>2022_SA_Riverton_Lentil_Detailed_1</v>
      </c>
      <c r="P310" t="str">
        <f t="shared" si="14"/>
        <v>2022_SA_Riverton_Lentil_DetailedTOS1VarietyBoltWaterTrtRainFed</v>
      </c>
    </row>
    <row r="311" spans="1:16" x14ac:dyDescent="0.25">
      <c r="G311">
        <v>2</v>
      </c>
      <c r="H311" t="s">
        <v>250</v>
      </c>
      <c r="I311">
        <v>4</v>
      </c>
      <c r="J311" s="6">
        <v>48</v>
      </c>
      <c r="M311" t="str">
        <f t="shared" si="12"/>
        <v>2022_SA_Riverton_Lentil_Detailed</v>
      </c>
      <c r="N311">
        <f>I311</f>
        <v>4</v>
      </c>
      <c r="O311" t="str">
        <f t="shared" si="13"/>
        <v>2022_SA_Riverton_Lentil_Detailed_48</v>
      </c>
      <c r="P311" t="str">
        <f t="shared" si="14"/>
        <v>2022_SA_Riverton_Lentil_DetailedTOS1VarietyBoltWaterTrtRainFed</v>
      </c>
    </row>
    <row r="312" spans="1:16" x14ac:dyDescent="0.25">
      <c r="H312" t="s">
        <v>253</v>
      </c>
      <c r="I312">
        <v>3</v>
      </c>
      <c r="J312" s="6">
        <v>47</v>
      </c>
      <c r="M312" t="str">
        <f t="shared" si="12"/>
        <v>2022_SA_Riverton_Lentil_Detailed</v>
      </c>
      <c r="N312">
        <f>I312</f>
        <v>3</v>
      </c>
      <c r="O312" t="str">
        <f t="shared" si="13"/>
        <v>2022_SA_Riverton_Lentil_Detailed_47</v>
      </c>
      <c r="P312" t="str">
        <f t="shared" si="14"/>
        <v>2022_SA_Riverton_Lentil_DetailedTOS1VarietyBoltWaterTrtRainFed</v>
      </c>
    </row>
    <row r="313" spans="1:16" x14ac:dyDescent="0.25">
      <c r="G313">
        <v>3</v>
      </c>
      <c r="H313" t="s">
        <v>250</v>
      </c>
      <c r="I313">
        <v>4</v>
      </c>
      <c r="J313" s="6">
        <v>92</v>
      </c>
      <c r="M313" t="str">
        <f t="shared" si="12"/>
        <v>2022_SA_Riverton_Lentil_Detailed</v>
      </c>
      <c r="N313">
        <f>I313</f>
        <v>4</v>
      </c>
      <c r="O313" t="str">
        <f t="shared" si="13"/>
        <v>2022_SA_Riverton_Lentil_Detailed_92</v>
      </c>
      <c r="P313" t="str">
        <f t="shared" si="14"/>
        <v>2022_SA_Riverton_Lentil_DetailedTOS1VarietyBoltWaterTrtRainFed</v>
      </c>
    </row>
    <row r="314" spans="1:16" x14ac:dyDescent="0.25">
      <c r="H314" t="s">
        <v>253</v>
      </c>
      <c r="I314">
        <v>3</v>
      </c>
      <c r="J314" s="6">
        <v>91</v>
      </c>
      <c r="M314" t="str">
        <f t="shared" si="12"/>
        <v>2022_SA_Riverton_Lentil_Detailed</v>
      </c>
      <c r="N314">
        <f>I314</f>
        <v>3</v>
      </c>
      <c r="O314" t="str">
        <f t="shared" si="13"/>
        <v>2022_SA_Riverton_Lentil_Detailed_91</v>
      </c>
      <c r="P314" t="str">
        <f t="shared" si="14"/>
        <v>2022_SA_Riverton_Lentil_DetailedTOS1VarietyBoltWaterTrtRainFed</v>
      </c>
    </row>
    <row r="315" spans="1:16" x14ac:dyDescent="0.25">
      <c r="G315">
        <v>4</v>
      </c>
      <c r="H315" t="s">
        <v>250</v>
      </c>
      <c r="I315">
        <v>2</v>
      </c>
      <c r="J315" s="6">
        <v>114</v>
      </c>
      <c r="M315" t="str">
        <f t="shared" si="12"/>
        <v>2022_SA_Riverton_Lentil_Detailed</v>
      </c>
      <c r="N315">
        <f>I315</f>
        <v>2</v>
      </c>
      <c r="O315" t="str">
        <f t="shared" si="13"/>
        <v>2022_SA_Riverton_Lentil_Detailed_114</v>
      </c>
      <c r="P315" t="str">
        <f t="shared" si="14"/>
        <v>2022_SA_Riverton_Lentil_DetailedTOS1VarietyBoltWaterTrtRainFed</v>
      </c>
    </row>
    <row r="316" spans="1:16" x14ac:dyDescent="0.25">
      <c r="H316" t="s">
        <v>253</v>
      </c>
      <c r="I316">
        <v>1</v>
      </c>
      <c r="J316" s="6">
        <v>113</v>
      </c>
      <c r="M316" t="str">
        <f t="shared" si="12"/>
        <v>2022_SA_Riverton_Lentil_Detailed</v>
      </c>
      <c r="N316">
        <f>I316</f>
        <v>1</v>
      </c>
      <c r="O316" t="str">
        <f t="shared" si="13"/>
        <v>2022_SA_Riverton_Lentil_Detailed_113</v>
      </c>
      <c r="P316" t="str">
        <f t="shared" si="14"/>
        <v>2022_SA_Riverton_Lentil_DetailedTOS1VarietyBoltWaterTrtRainFed</v>
      </c>
    </row>
    <row r="317" spans="1:16" x14ac:dyDescent="0.25">
      <c r="A317" t="s">
        <v>4259</v>
      </c>
      <c r="B317" t="s">
        <v>905</v>
      </c>
      <c r="C317">
        <v>1</v>
      </c>
      <c r="D317" t="s">
        <v>4189</v>
      </c>
      <c r="E317" t="s">
        <v>57</v>
      </c>
      <c r="F317" t="s">
        <v>4398</v>
      </c>
      <c r="G317">
        <v>1</v>
      </c>
      <c r="H317" t="s">
        <v>250</v>
      </c>
      <c r="I317">
        <v>4</v>
      </c>
      <c r="J317" s="6">
        <v>24</v>
      </c>
      <c r="M317" t="str">
        <f t="shared" si="12"/>
        <v>2022_SA_Riverton_Lentil_Detailed</v>
      </c>
      <c r="N317">
        <f>I317</f>
        <v>4</v>
      </c>
      <c r="O317" t="str">
        <f t="shared" si="13"/>
        <v>2022_SA_Riverton_Lentil_Detailed_24</v>
      </c>
      <c r="P317" t="str">
        <f t="shared" si="14"/>
        <v>2022_SA_Riverton_Lentil_DetailedTOS1VarietyHallmarkXTWaterTrtIrrigated</v>
      </c>
    </row>
    <row r="318" spans="1:16" x14ac:dyDescent="0.25">
      <c r="H318" t="s">
        <v>253</v>
      </c>
      <c r="I318">
        <v>3</v>
      </c>
      <c r="J318" s="6">
        <v>23</v>
      </c>
      <c r="M318" t="str">
        <f t="shared" si="12"/>
        <v>2022_SA_Riverton_Lentil_Detailed</v>
      </c>
      <c r="N318">
        <f>I318</f>
        <v>3</v>
      </c>
      <c r="O318" t="str">
        <f t="shared" si="13"/>
        <v>2022_SA_Riverton_Lentil_Detailed_23</v>
      </c>
      <c r="P318" t="str">
        <f t="shared" si="14"/>
        <v>2022_SA_Riverton_Lentil_DetailedTOS1VarietyHallmarkXTWaterTrtIrrigated</v>
      </c>
    </row>
    <row r="319" spans="1:16" x14ac:dyDescent="0.25">
      <c r="G319">
        <v>2</v>
      </c>
      <c r="H319" t="s">
        <v>250</v>
      </c>
      <c r="I319">
        <v>4</v>
      </c>
      <c r="J319" s="6">
        <v>36</v>
      </c>
      <c r="M319" t="str">
        <f t="shared" si="12"/>
        <v>2022_SA_Riverton_Lentil_Detailed</v>
      </c>
      <c r="N319">
        <f>I319</f>
        <v>4</v>
      </c>
      <c r="O319" t="str">
        <f t="shared" si="13"/>
        <v>2022_SA_Riverton_Lentil_Detailed_36</v>
      </c>
      <c r="P319" t="str">
        <f t="shared" si="14"/>
        <v>2022_SA_Riverton_Lentil_DetailedTOS1VarietyHallmarkXTWaterTrtIrrigated</v>
      </c>
    </row>
    <row r="320" spans="1:16" x14ac:dyDescent="0.25">
      <c r="H320" t="s">
        <v>253</v>
      </c>
      <c r="I320">
        <v>3</v>
      </c>
      <c r="J320" s="6">
        <v>35</v>
      </c>
      <c r="M320" t="str">
        <f t="shared" si="12"/>
        <v>2022_SA_Riverton_Lentil_Detailed</v>
      </c>
      <c r="N320">
        <f>I320</f>
        <v>3</v>
      </c>
      <c r="O320" t="str">
        <f t="shared" si="13"/>
        <v>2022_SA_Riverton_Lentil_Detailed_35</v>
      </c>
      <c r="P320" t="str">
        <f t="shared" si="14"/>
        <v>2022_SA_Riverton_Lentil_DetailedTOS1VarietyHallmarkXTWaterTrtIrrigated</v>
      </c>
    </row>
    <row r="321" spans="1:16" x14ac:dyDescent="0.25">
      <c r="G321">
        <v>3</v>
      </c>
      <c r="H321" t="s">
        <v>250</v>
      </c>
      <c r="I321">
        <v>2</v>
      </c>
      <c r="J321" s="6">
        <v>74</v>
      </c>
      <c r="M321" t="str">
        <f t="shared" si="12"/>
        <v>2022_SA_Riverton_Lentil_Detailed</v>
      </c>
      <c r="N321">
        <f>I321</f>
        <v>2</v>
      </c>
      <c r="O321" t="str">
        <f t="shared" si="13"/>
        <v>2022_SA_Riverton_Lentil_Detailed_74</v>
      </c>
      <c r="P321" t="str">
        <f t="shared" si="14"/>
        <v>2022_SA_Riverton_Lentil_DetailedTOS1VarietyHallmarkXTWaterTrtIrrigated</v>
      </c>
    </row>
    <row r="322" spans="1:16" x14ac:dyDescent="0.25">
      <c r="H322" t="s">
        <v>253</v>
      </c>
      <c r="I322">
        <v>1</v>
      </c>
      <c r="J322" s="6">
        <v>73</v>
      </c>
      <c r="M322" t="str">
        <f t="shared" si="12"/>
        <v>2022_SA_Riverton_Lentil_Detailed</v>
      </c>
      <c r="N322">
        <f>I322</f>
        <v>1</v>
      </c>
      <c r="O322" t="str">
        <f t="shared" si="13"/>
        <v>2022_SA_Riverton_Lentil_Detailed_73</v>
      </c>
      <c r="P322" t="str">
        <f t="shared" si="14"/>
        <v>2022_SA_Riverton_Lentil_DetailedTOS1VarietyHallmarkXTWaterTrtIrrigated</v>
      </c>
    </row>
    <row r="323" spans="1:16" x14ac:dyDescent="0.25">
      <c r="G323">
        <v>4</v>
      </c>
      <c r="H323" t="s">
        <v>250</v>
      </c>
      <c r="I323">
        <v>2</v>
      </c>
      <c r="J323" s="6">
        <v>122</v>
      </c>
      <c r="M323" t="str">
        <f t="shared" si="12"/>
        <v>2022_SA_Riverton_Lentil_Detailed</v>
      </c>
      <c r="N323">
        <f>I323</f>
        <v>2</v>
      </c>
      <c r="O323" t="str">
        <f t="shared" si="13"/>
        <v>2022_SA_Riverton_Lentil_Detailed_122</v>
      </c>
      <c r="P323" t="str">
        <f t="shared" si="14"/>
        <v>2022_SA_Riverton_Lentil_DetailedTOS1VarietyHallmarkXTWaterTrtIrrigated</v>
      </c>
    </row>
    <row r="324" spans="1:16" x14ac:dyDescent="0.25">
      <c r="H324" t="s">
        <v>253</v>
      </c>
      <c r="I324">
        <v>1</v>
      </c>
      <c r="J324" s="6">
        <v>121</v>
      </c>
      <c r="M324" t="str">
        <f t="shared" si="12"/>
        <v>2022_SA_Riverton_Lentil_Detailed</v>
      </c>
      <c r="N324">
        <f>I324</f>
        <v>1</v>
      </c>
      <c r="O324" t="str">
        <f t="shared" si="13"/>
        <v>2022_SA_Riverton_Lentil_Detailed_121</v>
      </c>
      <c r="P324" t="str">
        <f t="shared" si="14"/>
        <v>2022_SA_Riverton_Lentil_DetailedTOS1VarietyHallmarkXTWaterTrtIrrigated</v>
      </c>
    </row>
    <row r="325" spans="1:16" x14ac:dyDescent="0.25">
      <c r="A325" t="s">
        <v>4260</v>
      </c>
      <c r="B325" t="s">
        <v>905</v>
      </c>
      <c r="C325">
        <v>1</v>
      </c>
      <c r="D325" t="s">
        <v>4189</v>
      </c>
      <c r="E325" t="s">
        <v>40</v>
      </c>
      <c r="F325" t="s">
        <v>4398</v>
      </c>
      <c r="G325">
        <v>1</v>
      </c>
      <c r="H325" t="s">
        <v>250</v>
      </c>
      <c r="I325">
        <v>4</v>
      </c>
      <c r="J325" s="6">
        <v>4</v>
      </c>
      <c r="M325" t="str">
        <f t="shared" si="12"/>
        <v>2022_SA_Riverton_Lentil_Detailed</v>
      </c>
      <c r="N325">
        <f>I325</f>
        <v>4</v>
      </c>
      <c r="O325" t="str">
        <f t="shared" si="13"/>
        <v>2022_SA_Riverton_Lentil_Detailed_4</v>
      </c>
      <c r="P325" t="str">
        <f t="shared" si="14"/>
        <v>2022_SA_Riverton_Lentil_DetailedTOS1VarietyHallmarkXTWaterTrtRainFed</v>
      </c>
    </row>
    <row r="326" spans="1:16" x14ac:dyDescent="0.25">
      <c r="H326" t="s">
        <v>253</v>
      </c>
      <c r="I326">
        <v>3</v>
      </c>
      <c r="J326" s="6">
        <v>3</v>
      </c>
      <c r="M326" t="str">
        <f t="shared" ref="M326:M389" si="15">IF(B326="",M325,B326)</f>
        <v>2022_SA_Riverton_Lentil_Detailed</v>
      </c>
      <c r="N326">
        <f>I326</f>
        <v>3</v>
      </c>
      <c r="O326" t="str">
        <f t="shared" ref="O326:O389" si="16">M326&amp;"_"&amp;J326</f>
        <v>2022_SA_Riverton_Lentil_Detailed_3</v>
      </c>
      <c r="P326" t="str">
        <f t="shared" ref="P326:P389" si="17">IF(A326="",P325,A326)</f>
        <v>2022_SA_Riverton_Lentil_DetailedTOS1VarietyHallmarkXTWaterTrtRainFed</v>
      </c>
    </row>
    <row r="327" spans="1:16" x14ac:dyDescent="0.25">
      <c r="G327">
        <v>2</v>
      </c>
      <c r="H327" t="s">
        <v>250</v>
      </c>
      <c r="I327">
        <v>2</v>
      </c>
      <c r="J327" s="6">
        <v>42</v>
      </c>
      <c r="M327" t="str">
        <f t="shared" si="15"/>
        <v>2022_SA_Riverton_Lentil_Detailed</v>
      </c>
      <c r="N327">
        <f>I327</f>
        <v>2</v>
      </c>
      <c r="O327" t="str">
        <f t="shared" si="16"/>
        <v>2022_SA_Riverton_Lentil_Detailed_42</v>
      </c>
      <c r="P327" t="str">
        <f t="shared" si="17"/>
        <v>2022_SA_Riverton_Lentil_DetailedTOS1VarietyHallmarkXTWaterTrtRainFed</v>
      </c>
    </row>
    <row r="328" spans="1:16" x14ac:dyDescent="0.25">
      <c r="H328" t="s">
        <v>253</v>
      </c>
      <c r="I328">
        <v>1</v>
      </c>
      <c r="J328" s="6">
        <v>41</v>
      </c>
      <c r="M328" t="str">
        <f t="shared" si="15"/>
        <v>2022_SA_Riverton_Lentil_Detailed</v>
      </c>
      <c r="N328">
        <f>I328</f>
        <v>1</v>
      </c>
      <c r="O328" t="str">
        <f t="shared" si="16"/>
        <v>2022_SA_Riverton_Lentil_Detailed_41</v>
      </c>
      <c r="P328" t="str">
        <f t="shared" si="17"/>
        <v>2022_SA_Riverton_Lentil_DetailedTOS1VarietyHallmarkXTWaterTrtRainFed</v>
      </c>
    </row>
    <row r="329" spans="1:16" x14ac:dyDescent="0.25">
      <c r="G329">
        <v>3</v>
      </c>
      <c r="H329" t="s">
        <v>250</v>
      </c>
      <c r="I329">
        <v>2</v>
      </c>
      <c r="J329" s="6">
        <v>94</v>
      </c>
      <c r="M329" t="str">
        <f t="shared" si="15"/>
        <v>2022_SA_Riverton_Lentil_Detailed</v>
      </c>
      <c r="N329">
        <f>I329</f>
        <v>2</v>
      </c>
      <c r="O329" t="str">
        <f t="shared" si="16"/>
        <v>2022_SA_Riverton_Lentil_Detailed_94</v>
      </c>
      <c r="P329" t="str">
        <f t="shared" si="17"/>
        <v>2022_SA_Riverton_Lentil_DetailedTOS1VarietyHallmarkXTWaterTrtRainFed</v>
      </c>
    </row>
    <row r="330" spans="1:16" x14ac:dyDescent="0.25">
      <c r="H330" t="s">
        <v>253</v>
      </c>
      <c r="I330">
        <v>1</v>
      </c>
      <c r="J330" s="6">
        <v>93</v>
      </c>
      <c r="M330" t="str">
        <f t="shared" si="15"/>
        <v>2022_SA_Riverton_Lentil_Detailed</v>
      </c>
      <c r="N330">
        <f>I330</f>
        <v>1</v>
      </c>
      <c r="O330" t="str">
        <f t="shared" si="16"/>
        <v>2022_SA_Riverton_Lentil_Detailed_93</v>
      </c>
      <c r="P330" t="str">
        <f t="shared" si="17"/>
        <v>2022_SA_Riverton_Lentil_DetailedTOS1VarietyHallmarkXTWaterTrtRainFed</v>
      </c>
    </row>
    <row r="331" spans="1:16" x14ac:dyDescent="0.25">
      <c r="G331">
        <v>4</v>
      </c>
      <c r="H331" t="s">
        <v>250</v>
      </c>
      <c r="I331">
        <v>4</v>
      </c>
      <c r="J331" s="6">
        <v>120</v>
      </c>
      <c r="M331" t="str">
        <f t="shared" si="15"/>
        <v>2022_SA_Riverton_Lentil_Detailed</v>
      </c>
      <c r="N331">
        <f>I331</f>
        <v>4</v>
      </c>
      <c r="O331" t="str">
        <f t="shared" si="16"/>
        <v>2022_SA_Riverton_Lentil_Detailed_120</v>
      </c>
      <c r="P331" t="str">
        <f t="shared" si="17"/>
        <v>2022_SA_Riverton_Lentil_DetailedTOS1VarietyHallmarkXTWaterTrtRainFed</v>
      </c>
    </row>
    <row r="332" spans="1:16" x14ac:dyDescent="0.25">
      <c r="H332" t="s">
        <v>253</v>
      </c>
      <c r="I332">
        <v>3</v>
      </c>
      <c r="J332" s="6">
        <v>119</v>
      </c>
      <c r="M332" t="str">
        <f t="shared" si="15"/>
        <v>2022_SA_Riverton_Lentil_Detailed</v>
      </c>
      <c r="N332">
        <f>I332</f>
        <v>3</v>
      </c>
      <c r="O332" t="str">
        <f t="shared" si="16"/>
        <v>2022_SA_Riverton_Lentil_Detailed_119</v>
      </c>
      <c r="P332" t="str">
        <f t="shared" si="17"/>
        <v>2022_SA_Riverton_Lentil_DetailedTOS1VarietyHallmarkXTWaterTrtRainFed</v>
      </c>
    </row>
    <row r="333" spans="1:16" x14ac:dyDescent="0.25">
      <c r="A333" t="s">
        <v>4261</v>
      </c>
      <c r="B333" t="s">
        <v>905</v>
      </c>
      <c r="C333">
        <v>1</v>
      </c>
      <c r="D333" t="s">
        <v>4176</v>
      </c>
      <c r="E333" t="s">
        <v>57</v>
      </c>
      <c r="F333" t="s">
        <v>4398</v>
      </c>
      <c r="G333">
        <v>1</v>
      </c>
      <c r="H333" t="s">
        <v>250</v>
      </c>
      <c r="I333">
        <v>4</v>
      </c>
      <c r="J333" s="6">
        <v>20</v>
      </c>
      <c r="M333" t="str">
        <f t="shared" si="15"/>
        <v>2022_SA_Riverton_Lentil_Detailed</v>
      </c>
      <c r="N333">
        <f>I333</f>
        <v>4</v>
      </c>
      <c r="O333" t="str">
        <f t="shared" si="16"/>
        <v>2022_SA_Riverton_Lentil_Detailed_20</v>
      </c>
      <c r="P333" t="str">
        <f t="shared" si="17"/>
        <v>2022_SA_Riverton_Lentil_DetailedTOS1VarietyJumbo2WaterTrtIrrigated</v>
      </c>
    </row>
    <row r="334" spans="1:16" x14ac:dyDescent="0.25">
      <c r="H334" t="s">
        <v>253</v>
      </c>
      <c r="I334">
        <v>3</v>
      </c>
      <c r="J334" s="6">
        <v>19</v>
      </c>
      <c r="M334" t="str">
        <f t="shared" si="15"/>
        <v>2022_SA_Riverton_Lentil_Detailed</v>
      </c>
      <c r="N334">
        <f>I334</f>
        <v>3</v>
      </c>
      <c r="O334" t="str">
        <f t="shared" si="16"/>
        <v>2022_SA_Riverton_Lentil_Detailed_19</v>
      </c>
      <c r="P334" t="str">
        <f t="shared" si="17"/>
        <v>2022_SA_Riverton_Lentil_DetailedTOS1VarietyJumbo2WaterTrtIrrigated</v>
      </c>
    </row>
    <row r="335" spans="1:16" x14ac:dyDescent="0.25">
      <c r="G335">
        <v>2</v>
      </c>
      <c r="H335" t="s">
        <v>250</v>
      </c>
      <c r="I335">
        <v>2</v>
      </c>
      <c r="J335" s="6">
        <v>34</v>
      </c>
      <c r="M335" t="str">
        <f t="shared" si="15"/>
        <v>2022_SA_Riverton_Lentil_Detailed</v>
      </c>
      <c r="N335">
        <f>I335</f>
        <v>2</v>
      </c>
      <c r="O335" t="str">
        <f t="shared" si="16"/>
        <v>2022_SA_Riverton_Lentil_Detailed_34</v>
      </c>
      <c r="P335" t="str">
        <f t="shared" si="17"/>
        <v>2022_SA_Riverton_Lentil_DetailedTOS1VarietyJumbo2WaterTrtIrrigated</v>
      </c>
    </row>
    <row r="336" spans="1:16" x14ac:dyDescent="0.25">
      <c r="H336" t="s">
        <v>253</v>
      </c>
      <c r="I336">
        <v>1</v>
      </c>
      <c r="J336" s="6">
        <v>33</v>
      </c>
      <c r="M336" t="str">
        <f t="shared" si="15"/>
        <v>2022_SA_Riverton_Lentil_Detailed</v>
      </c>
      <c r="N336">
        <f>I336</f>
        <v>1</v>
      </c>
      <c r="O336" t="str">
        <f t="shared" si="16"/>
        <v>2022_SA_Riverton_Lentil_Detailed_33</v>
      </c>
      <c r="P336" t="str">
        <f t="shared" si="17"/>
        <v>2022_SA_Riverton_Lentil_DetailedTOS1VarietyJumbo2WaterTrtIrrigated</v>
      </c>
    </row>
    <row r="337" spans="1:16" x14ac:dyDescent="0.25">
      <c r="G337">
        <v>3</v>
      </c>
      <c r="H337" t="s">
        <v>250</v>
      </c>
      <c r="I337">
        <v>2</v>
      </c>
      <c r="J337" s="6">
        <v>78</v>
      </c>
      <c r="M337" t="str">
        <f t="shared" si="15"/>
        <v>2022_SA_Riverton_Lentil_Detailed</v>
      </c>
      <c r="N337">
        <f>I337</f>
        <v>2</v>
      </c>
      <c r="O337" t="str">
        <f t="shared" si="16"/>
        <v>2022_SA_Riverton_Lentil_Detailed_78</v>
      </c>
      <c r="P337" t="str">
        <f t="shared" si="17"/>
        <v>2022_SA_Riverton_Lentil_DetailedTOS1VarietyJumbo2WaterTrtIrrigated</v>
      </c>
    </row>
    <row r="338" spans="1:16" x14ac:dyDescent="0.25">
      <c r="H338" t="s">
        <v>253</v>
      </c>
      <c r="I338">
        <v>1</v>
      </c>
      <c r="J338" s="6">
        <v>77</v>
      </c>
      <c r="M338" t="str">
        <f t="shared" si="15"/>
        <v>2022_SA_Riverton_Lentil_Detailed</v>
      </c>
      <c r="N338">
        <f>I338</f>
        <v>1</v>
      </c>
      <c r="O338" t="str">
        <f t="shared" si="16"/>
        <v>2022_SA_Riverton_Lentil_Detailed_77</v>
      </c>
      <c r="P338" t="str">
        <f t="shared" si="17"/>
        <v>2022_SA_Riverton_Lentil_DetailedTOS1VarietyJumbo2WaterTrtIrrigated</v>
      </c>
    </row>
    <row r="339" spans="1:16" x14ac:dyDescent="0.25">
      <c r="G339">
        <v>4</v>
      </c>
      <c r="H339" t="s">
        <v>250</v>
      </c>
      <c r="I339">
        <v>4</v>
      </c>
      <c r="J339" s="6">
        <v>128</v>
      </c>
      <c r="M339" t="str">
        <f t="shared" si="15"/>
        <v>2022_SA_Riverton_Lentil_Detailed</v>
      </c>
      <c r="N339">
        <f>I339</f>
        <v>4</v>
      </c>
      <c r="O339" t="str">
        <f t="shared" si="16"/>
        <v>2022_SA_Riverton_Lentil_Detailed_128</v>
      </c>
      <c r="P339" t="str">
        <f t="shared" si="17"/>
        <v>2022_SA_Riverton_Lentil_DetailedTOS1VarietyJumbo2WaterTrtIrrigated</v>
      </c>
    </row>
    <row r="340" spans="1:16" x14ac:dyDescent="0.25">
      <c r="H340" t="s">
        <v>253</v>
      </c>
      <c r="I340">
        <v>3</v>
      </c>
      <c r="J340" s="6">
        <v>127</v>
      </c>
      <c r="M340" t="str">
        <f t="shared" si="15"/>
        <v>2022_SA_Riverton_Lentil_Detailed</v>
      </c>
      <c r="N340">
        <f>I340</f>
        <v>3</v>
      </c>
      <c r="O340" t="str">
        <f t="shared" si="16"/>
        <v>2022_SA_Riverton_Lentil_Detailed_127</v>
      </c>
      <c r="P340" t="str">
        <f t="shared" si="17"/>
        <v>2022_SA_Riverton_Lentil_DetailedTOS1VarietyJumbo2WaterTrtIrrigated</v>
      </c>
    </row>
    <row r="341" spans="1:16" x14ac:dyDescent="0.25">
      <c r="A341" t="s">
        <v>4262</v>
      </c>
      <c r="B341" t="s">
        <v>905</v>
      </c>
      <c r="C341">
        <v>1</v>
      </c>
      <c r="D341" t="s">
        <v>4176</v>
      </c>
      <c r="E341" t="s">
        <v>40</v>
      </c>
      <c r="F341" t="s">
        <v>4398</v>
      </c>
      <c r="G341">
        <v>1</v>
      </c>
      <c r="H341" t="s">
        <v>250</v>
      </c>
      <c r="I341">
        <v>4</v>
      </c>
      <c r="J341" s="6">
        <v>8</v>
      </c>
      <c r="M341" t="str">
        <f t="shared" si="15"/>
        <v>2022_SA_Riverton_Lentil_Detailed</v>
      </c>
      <c r="N341">
        <f>I341</f>
        <v>4</v>
      </c>
      <c r="O341" t="str">
        <f t="shared" si="16"/>
        <v>2022_SA_Riverton_Lentil_Detailed_8</v>
      </c>
      <c r="P341" t="str">
        <f t="shared" si="17"/>
        <v>2022_SA_Riverton_Lentil_DetailedTOS1VarietyJumbo2WaterTrtRainFed</v>
      </c>
    </row>
    <row r="342" spans="1:16" x14ac:dyDescent="0.25">
      <c r="H342" t="s">
        <v>253</v>
      </c>
      <c r="I342">
        <v>3</v>
      </c>
      <c r="J342" s="6">
        <v>7</v>
      </c>
      <c r="M342" t="str">
        <f t="shared" si="15"/>
        <v>2022_SA_Riverton_Lentil_Detailed</v>
      </c>
      <c r="N342">
        <f>I342</f>
        <v>3</v>
      </c>
      <c r="O342" t="str">
        <f t="shared" si="16"/>
        <v>2022_SA_Riverton_Lentil_Detailed_7</v>
      </c>
      <c r="P342" t="str">
        <f t="shared" si="17"/>
        <v>2022_SA_Riverton_Lentil_DetailedTOS1VarietyJumbo2WaterTrtRainFed</v>
      </c>
    </row>
    <row r="343" spans="1:16" x14ac:dyDescent="0.25">
      <c r="G343">
        <v>2</v>
      </c>
      <c r="H343" t="s">
        <v>250</v>
      </c>
      <c r="I343">
        <v>4</v>
      </c>
      <c r="J343" s="6">
        <v>44</v>
      </c>
      <c r="M343" t="str">
        <f t="shared" si="15"/>
        <v>2022_SA_Riverton_Lentil_Detailed</v>
      </c>
      <c r="N343">
        <f>I343</f>
        <v>4</v>
      </c>
      <c r="O343" t="str">
        <f t="shared" si="16"/>
        <v>2022_SA_Riverton_Lentil_Detailed_44</v>
      </c>
      <c r="P343" t="str">
        <f t="shared" si="17"/>
        <v>2022_SA_Riverton_Lentil_DetailedTOS1VarietyJumbo2WaterTrtRainFed</v>
      </c>
    </row>
    <row r="344" spans="1:16" x14ac:dyDescent="0.25">
      <c r="H344" t="s">
        <v>253</v>
      </c>
      <c r="I344">
        <v>3</v>
      </c>
      <c r="J344" s="6">
        <v>43</v>
      </c>
      <c r="M344" t="str">
        <f t="shared" si="15"/>
        <v>2022_SA_Riverton_Lentil_Detailed</v>
      </c>
      <c r="N344">
        <f>I344</f>
        <v>3</v>
      </c>
      <c r="O344" t="str">
        <f t="shared" si="16"/>
        <v>2022_SA_Riverton_Lentil_Detailed_43</v>
      </c>
      <c r="P344" t="str">
        <f t="shared" si="17"/>
        <v>2022_SA_Riverton_Lentil_DetailedTOS1VarietyJumbo2WaterTrtRainFed</v>
      </c>
    </row>
    <row r="345" spans="1:16" x14ac:dyDescent="0.25">
      <c r="G345">
        <v>3</v>
      </c>
      <c r="H345" t="s">
        <v>250</v>
      </c>
      <c r="I345">
        <v>2</v>
      </c>
      <c r="J345" s="6">
        <v>90</v>
      </c>
      <c r="M345" t="str">
        <f t="shared" si="15"/>
        <v>2022_SA_Riverton_Lentil_Detailed</v>
      </c>
      <c r="N345">
        <f>I345</f>
        <v>2</v>
      </c>
      <c r="O345" t="str">
        <f t="shared" si="16"/>
        <v>2022_SA_Riverton_Lentil_Detailed_90</v>
      </c>
      <c r="P345" t="str">
        <f t="shared" si="17"/>
        <v>2022_SA_Riverton_Lentil_DetailedTOS1VarietyJumbo2WaterTrtRainFed</v>
      </c>
    </row>
    <row r="346" spans="1:16" x14ac:dyDescent="0.25">
      <c r="H346" t="s">
        <v>253</v>
      </c>
      <c r="I346">
        <v>1</v>
      </c>
      <c r="J346" s="6">
        <v>89</v>
      </c>
      <c r="M346" t="str">
        <f t="shared" si="15"/>
        <v>2022_SA_Riverton_Lentil_Detailed</v>
      </c>
      <c r="N346">
        <f>I346</f>
        <v>1</v>
      </c>
      <c r="O346" t="str">
        <f t="shared" si="16"/>
        <v>2022_SA_Riverton_Lentil_Detailed_89</v>
      </c>
      <c r="P346" t="str">
        <f t="shared" si="17"/>
        <v>2022_SA_Riverton_Lentil_DetailedTOS1VarietyJumbo2WaterTrtRainFed</v>
      </c>
    </row>
    <row r="347" spans="1:16" x14ac:dyDescent="0.25">
      <c r="G347">
        <v>4</v>
      </c>
      <c r="H347" t="s">
        <v>250</v>
      </c>
      <c r="I347">
        <v>2</v>
      </c>
      <c r="J347" s="6">
        <v>118</v>
      </c>
      <c r="M347" t="str">
        <f t="shared" si="15"/>
        <v>2022_SA_Riverton_Lentil_Detailed</v>
      </c>
      <c r="N347">
        <f>I347</f>
        <v>2</v>
      </c>
      <c r="O347" t="str">
        <f t="shared" si="16"/>
        <v>2022_SA_Riverton_Lentil_Detailed_118</v>
      </c>
      <c r="P347" t="str">
        <f t="shared" si="17"/>
        <v>2022_SA_Riverton_Lentil_DetailedTOS1VarietyJumbo2WaterTrtRainFed</v>
      </c>
    </row>
    <row r="348" spans="1:16" x14ac:dyDescent="0.25">
      <c r="H348" t="s">
        <v>253</v>
      </c>
      <c r="I348">
        <v>1</v>
      </c>
      <c r="J348" s="6">
        <v>117</v>
      </c>
      <c r="M348" t="str">
        <f t="shared" si="15"/>
        <v>2022_SA_Riverton_Lentil_Detailed</v>
      </c>
      <c r="N348">
        <f>I348</f>
        <v>1</v>
      </c>
      <c r="O348" t="str">
        <f t="shared" si="16"/>
        <v>2022_SA_Riverton_Lentil_Detailed_117</v>
      </c>
      <c r="P348" t="str">
        <f t="shared" si="17"/>
        <v>2022_SA_Riverton_Lentil_DetailedTOS1VarietyJumbo2WaterTrtRainFed</v>
      </c>
    </row>
    <row r="349" spans="1:16" x14ac:dyDescent="0.25">
      <c r="A349" t="s">
        <v>4263</v>
      </c>
      <c r="B349" t="s">
        <v>905</v>
      </c>
      <c r="C349">
        <v>1</v>
      </c>
      <c r="D349" t="s">
        <v>4188</v>
      </c>
      <c r="E349" t="s">
        <v>57</v>
      </c>
      <c r="F349" t="s">
        <v>4398</v>
      </c>
      <c r="G349">
        <v>1</v>
      </c>
      <c r="H349" t="s">
        <v>250</v>
      </c>
      <c r="I349">
        <v>2</v>
      </c>
      <c r="J349" s="6">
        <v>18</v>
      </c>
      <c r="M349" t="str">
        <f t="shared" si="15"/>
        <v>2022_SA_Riverton_Lentil_Detailed</v>
      </c>
      <c r="N349">
        <f>I349</f>
        <v>2</v>
      </c>
      <c r="O349" t="str">
        <f t="shared" si="16"/>
        <v>2022_SA_Riverton_Lentil_Detailed_18</v>
      </c>
      <c r="P349" t="str">
        <f t="shared" si="17"/>
        <v>2022_SA_Riverton_Lentil_DetailedTOS1VarietyKelpieXTWaterTrtIrrigated</v>
      </c>
    </row>
    <row r="350" spans="1:16" x14ac:dyDescent="0.25">
      <c r="H350" t="s">
        <v>253</v>
      </c>
      <c r="I350">
        <v>1</v>
      </c>
      <c r="J350" s="6">
        <v>17</v>
      </c>
      <c r="M350" t="str">
        <f t="shared" si="15"/>
        <v>2022_SA_Riverton_Lentil_Detailed</v>
      </c>
      <c r="N350">
        <f>I350</f>
        <v>1</v>
      </c>
      <c r="O350" t="str">
        <f t="shared" si="16"/>
        <v>2022_SA_Riverton_Lentil_Detailed_17</v>
      </c>
      <c r="P350" t="str">
        <f t="shared" si="17"/>
        <v>2022_SA_Riverton_Lentil_DetailedTOS1VarietyKelpieXTWaterTrtIrrigated</v>
      </c>
    </row>
    <row r="351" spans="1:16" x14ac:dyDescent="0.25">
      <c r="G351">
        <v>2</v>
      </c>
      <c r="H351" t="s">
        <v>250</v>
      </c>
      <c r="I351">
        <v>4</v>
      </c>
      <c r="J351" s="6">
        <v>40</v>
      </c>
      <c r="M351" t="str">
        <f t="shared" si="15"/>
        <v>2022_SA_Riverton_Lentil_Detailed</v>
      </c>
      <c r="N351">
        <f>I351</f>
        <v>4</v>
      </c>
      <c r="O351" t="str">
        <f t="shared" si="16"/>
        <v>2022_SA_Riverton_Lentil_Detailed_40</v>
      </c>
      <c r="P351" t="str">
        <f t="shared" si="17"/>
        <v>2022_SA_Riverton_Lentil_DetailedTOS1VarietyKelpieXTWaterTrtIrrigated</v>
      </c>
    </row>
    <row r="352" spans="1:16" x14ac:dyDescent="0.25">
      <c r="H352" t="s">
        <v>253</v>
      </c>
      <c r="I352">
        <v>3</v>
      </c>
      <c r="J352" s="6">
        <v>39</v>
      </c>
      <c r="M352" t="str">
        <f t="shared" si="15"/>
        <v>2022_SA_Riverton_Lentil_Detailed</v>
      </c>
      <c r="N352">
        <f>I352</f>
        <v>3</v>
      </c>
      <c r="O352" t="str">
        <f t="shared" si="16"/>
        <v>2022_SA_Riverton_Lentil_Detailed_39</v>
      </c>
      <c r="P352" t="str">
        <f t="shared" si="17"/>
        <v>2022_SA_Riverton_Lentil_DetailedTOS1VarietyKelpieXTWaterTrtIrrigated</v>
      </c>
    </row>
    <row r="353" spans="1:16" x14ac:dyDescent="0.25">
      <c r="G353">
        <v>3</v>
      </c>
      <c r="H353" t="s">
        <v>250</v>
      </c>
      <c r="I353">
        <v>4</v>
      </c>
      <c r="J353" s="6">
        <v>76</v>
      </c>
      <c r="M353" t="str">
        <f t="shared" si="15"/>
        <v>2022_SA_Riverton_Lentil_Detailed</v>
      </c>
      <c r="N353">
        <f>I353</f>
        <v>4</v>
      </c>
      <c r="O353" t="str">
        <f t="shared" si="16"/>
        <v>2022_SA_Riverton_Lentil_Detailed_76</v>
      </c>
      <c r="P353" t="str">
        <f t="shared" si="17"/>
        <v>2022_SA_Riverton_Lentil_DetailedTOS1VarietyKelpieXTWaterTrtIrrigated</v>
      </c>
    </row>
    <row r="354" spans="1:16" x14ac:dyDescent="0.25">
      <c r="H354" t="s">
        <v>253</v>
      </c>
      <c r="I354">
        <v>3</v>
      </c>
      <c r="J354" s="6">
        <v>75</v>
      </c>
      <c r="M354" t="str">
        <f t="shared" si="15"/>
        <v>2022_SA_Riverton_Lentil_Detailed</v>
      </c>
      <c r="N354">
        <f>I354</f>
        <v>3</v>
      </c>
      <c r="O354" t="str">
        <f t="shared" si="16"/>
        <v>2022_SA_Riverton_Lentil_Detailed_75</v>
      </c>
      <c r="P354" t="str">
        <f t="shared" si="17"/>
        <v>2022_SA_Riverton_Lentil_DetailedTOS1VarietyKelpieXTWaterTrtIrrigated</v>
      </c>
    </row>
    <row r="355" spans="1:16" x14ac:dyDescent="0.25">
      <c r="G355">
        <v>4</v>
      </c>
      <c r="H355" t="s">
        <v>250</v>
      </c>
      <c r="I355">
        <v>2</v>
      </c>
      <c r="J355" s="6">
        <v>126</v>
      </c>
      <c r="M355" t="str">
        <f t="shared" si="15"/>
        <v>2022_SA_Riverton_Lentil_Detailed</v>
      </c>
      <c r="N355">
        <f>I355</f>
        <v>2</v>
      </c>
      <c r="O355" t="str">
        <f t="shared" si="16"/>
        <v>2022_SA_Riverton_Lentil_Detailed_126</v>
      </c>
      <c r="P355" t="str">
        <f t="shared" si="17"/>
        <v>2022_SA_Riverton_Lentil_DetailedTOS1VarietyKelpieXTWaterTrtIrrigated</v>
      </c>
    </row>
    <row r="356" spans="1:16" x14ac:dyDescent="0.25">
      <c r="H356" t="s">
        <v>253</v>
      </c>
      <c r="I356">
        <v>1</v>
      </c>
      <c r="J356" s="6">
        <v>125</v>
      </c>
      <c r="M356" t="str">
        <f t="shared" si="15"/>
        <v>2022_SA_Riverton_Lentil_Detailed</v>
      </c>
      <c r="N356">
        <f>I356</f>
        <v>1</v>
      </c>
      <c r="O356" t="str">
        <f t="shared" si="16"/>
        <v>2022_SA_Riverton_Lentil_Detailed_125</v>
      </c>
      <c r="P356" t="str">
        <f t="shared" si="17"/>
        <v>2022_SA_Riverton_Lentil_DetailedTOS1VarietyKelpieXTWaterTrtIrrigated</v>
      </c>
    </row>
    <row r="357" spans="1:16" x14ac:dyDescent="0.25">
      <c r="A357" t="s">
        <v>4264</v>
      </c>
      <c r="B357" t="s">
        <v>905</v>
      </c>
      <c r="C357">
        <v>1</v>
      </c>
      <c r="D357" t="s">
        <v>4188</v>
      </c>
      <c r="E357" t="s">
        <v>40</v>
      </c>
      <c r="F357" t="s">
        <v>4398</v>
      </c>
      <c r="G357">
        <v>1</v>
      </c>
      <c r="H357" t="s">
        <v>250</v>
      </c>
      <c r="I357">
        <v>2</v>
      </c>
      <c r="J357" s="6">
        <v>6</v>
      </c>
      <c r="M357" t="str">
        <f t="shared" si="15"/>
        <v>2022_SA_Riverton_Lentil_Detailed</v>
      </c>
      <c r="N357">
        <f>I357</f>
        <v>2</v>
      </c>
      <c r="O357" t="str">
        <f t="shared" si="16"/>
        <v>2022_SA_Riverton_Lentil_Detailed_6</v>
      </c>
      <c r="P357" t="str">
        <f t="shared" si="17"/>
        <v>2022_SA_Riverton_Lentil_DetailedTOS1VarietyKelpieXTWaterTrtRainFed</v>
      </c>
    </row>
    <row r="358" spans="1:16" x14ac:dyDescent="0.25">
      <c r="H358" t="s">
        <v>253</v>
      </c>
      <c r="I358">
        <v>1</v>
      </c>
      <c r="J358" s="6">
        <v>5</v>
      </c>
      <c r="M358" t="str">
        <f t="shared" si="15"/>
        <v>2022_SA_Riverton_Lentil_Detailed</v>
      </c>
      <c r="N358">
        <f>I358</f>
        <v>1</v>
      </c>
      <c r="O358" t="str">
        <f t="shared" si="16"/>
        <v>2022_SA_Riverton_Lentil_Detailed_5</v>
      </c>
      <c r="P358" t="str">
        <f t="shared" si="17"/>
        <v>2022_SA_Riverton_Lentil_DetailedTOS1VarietyKelpieXTWaterTrtRainFed</v>
      </c>
    </row>
    <row r="359" spans="1:16" x14ac:dyDescent="0.25">
      <c r="G359">
        <v>2</v>
      </c>
      <c r="H359" t="s">
        <v>250</v>
      </c>
      <c r="I359">
        <v>2</v>
      </c>
      <c r="J359" s="6">
        <v>46</v>
      </c>
      <c r="M359" t="str">
        <f t="shared" si="15"/>
        <v>2022_SA_Riverton_Lentil_Detailed</v>
      </c>
      <c r="N359">
        <f>I359</f>
        <v>2</v>
      </c>
      <c r="O359" t="str">
        <f t="shared" si="16"/>
        <v>2022_SA_Riverton_Lentil_Detailed_46</v>
      </c>
      <c r="P359" t="str">
        <f t="shared" si="17"/>
        <v>2022_SA_Riverton_Lentil_DetailedTOS1VarietyKelpieXTWaterTrtRainFed</v>
      </c>
    </row>
    <row r="360" spans="1:16" x14ac:dyDescent="0.25">
      <c r="H360" t="s">
        <v>253</v>
      </c>
      <c r="I360">
        <v>1</v>
      </c>
      <c r="J360" s="6">
        <v>45</v>
      </c>
      <c r="M360" t="str">
        <f t="shared" si="15"/>
        <v>2022_SA_Riverton_Lentil_Detailed</v>
      </c>
      <c r="N360">
        <f>I360</f>
        <v>1</v>
      </c>
      <c r="O360" t="str">
        <f t="shared" si="16"/>
        <v>2022_SA_Riverton_Lentil_Detailed_45</v>
      </c>
      <c r="P360" t="str">
        <f t="shared" si="17"/>
        <v>2022_SA_Riverton_Lentil_DetailedTOS1VarietyKelpieXTWaterTrtRainFed</v>
      </c>
    </row>
    <row r="361" spans="1:16" x14ac:dyDescent="0.25">
      <c r="G361">
        <v>3</v>
      </c>
      <c r="H361" t="s">
        <v>250</v>
      </c>
      <c r="I361">
        <v>4</v>
      </c>
      <c r="J361" s="6">
        <v>96</v>
      </c>
      <c r="M361" t="str">
        <f t="shared" si="15"/>
        <v>2022_SA_Riverton_Lentil_Detailed</v>
      </c>
      <c r="N361">
        <f>I361</f>
        <v>4</v>
      </c>
      <c r="O361" t="str">
        <f t="shared" si="16"/>
        <v>2022_SA_Riverton_Lentil_Detailed_96</v>
      </c>
      <c r="P361" t="str">
        <f t="shared" si="17"/>
        <v>2022_SA_Riverton_Lentil_DetailedTOS1VarietyKelpieXTWaterTrtRainFed</v>
      </c>
    </row>
    <row r="362" spans="1:16" x14ac:dyDescent="0.25">
      <c r="H362" t="s">
        <v>253</v>
      </c>
      <c r="I362">
        <v>3</v>
      </c>
      <c r="J362" s="6">
        <v>95</v>
      </c>
      <c r="M362" t="str">
        <f t="shared" si="15"/>
        <v>2022_SA_Riverton_Lentil_Detailed</v>
      </c>
      <c r="N362">
        <f>I362</f>
        <v>3</v>
      </c>
      <c r="O362" t="str">
        <f t="shared" si="16"/>
        <v>2022_SA_Riverton_Lentil_Detailed_95</v>
      </c>
      <c r="P362" t="str">
        <f t="shared" si="17"/>
        <v>2022_SA_Riverton_Lentil_DetailedTOS1VarietyKelpieXTWaterTrtRainFed</v>
      </c>
    </row>
    <row r="363" spans="1:16" x14ac:dyDescent="0.25">
      <c r="G363">
        <v>4</v>
      </c>
      <c r="H363" t="s">
        <v>250</v>
      </c>
      <c r="I363">
        <v>4</v>
      </c>
      <c r="J363" s="6">
        <v>116</v>
      </c>
      <c r="M363" t="str">
        <f t="shared" si="15"/>
        <v>2022_SA_Riverton_Lentil_Detailed</v>
      </c>
      <c r="N363">
        <f>I363</f>
        <v>4</v>
      </c>
      <c r="O363" t="str">
        <f t="shared" si="16"/>
        <v>2022_SA_Riverton_Lentil_Detailed_116</v>
      </c>
      <c r="P363" t="str">
        <f t="shared" si="17"/>
        <v>2022_SA_Riverton_Lentil_DetailedTOS1VarietyKelpieXTWaterTrtRainFed</v>
      </c>
    </row>
    <row r="364" spans="1:16" x14ac:dyDescent="0.25">
      <c r="H364" t="s">
        <v>253</v>
      </c>
      <c r="I364">
        <v>3</v>
      </c>
      <c r="J364" s="6">
        <v>115</v>
      </c>
      <c r="M364" t="str">
        <f t="shared" si="15"/>
        <v>2022_SA_Riverton_Lentil_Detailed</v>
      </c>
      <c r="N364">
        <f>I364</f>
        <v>3</v>
      </c>
      <c r="O364" t="str">
        <f t="shared" si="16"/>
        <v>2022_SA_Riverton_Lentil_Detailed_115</v>
      </c>
      <c r="P364" t="str">
        <f t="shared" si="17"/>
        <v>2022_SA_Riverton_Lentil_DetailedTOS1VarietyKelpieXTWaterTrtRainFed</v>
      </c>
    </row>
    <row r="365" spans="1:16" x14ac:dyDescent="0.25">
      <c r="A365" t="s">
        <v>4265</v>
      </c>
      <c r="B365" t="s">
        <v>905</v>
      </c>
      <c r="C365">
        <v>2</v>
      </c>
      <c r="D365" t="s">
        <v>4187</v>
      </c>
      <c r="E365" t="s">
        <v>57</v>
      </c>
      <c r="F365" t="s">
        <v>4398</v>
      </c>
      <c r="G365">
        <v>1</v>
      </c>
      <c r="H365" t="s">
        <v>250</v>
      </c>
      <c r="I365">
        <v>4</v>
      </c>
      <c r="J365" s="6">
        <v>12</v>
      </c>
      <c r="M365" t="str">
        <f t="shared" si="15"/>
        <v>2022_SA_Riverton_Lentil_Detailed</v>
      </c>
      <c r="N365">
        <f>I365</f>
        <v>4</v>
      </c>
      <c r="O365" t="str">
        <f t="shared" si="16"/>
        <v>2022_SA_Riverton_Lentil_Detailed_12</v>
      </c>
      <c r="P365" t="str">
        <f t="shared" si="17"/>
        <v>2022_SA_Riverton_Lentil_DetailedTOS2VarietyBoltWaterTrtIrrigated</v>
      </c>
    </row>
    <row r="366" spans="1:16" x14ac:dyDescent="0.25">
      <c r="H366" t="s">
        <v>253</v>
      </c>
      <c r="I366">
        <v>3</v>
      </c>
      <c r="J366" s="6">
        <v>11</v>
      </c>
      <c r="M366" t="str">
        <f t="shared" si="15"/>
        <v>2022_SA_Riverton_Lentil_Detailed</v>
      </c>
      <c r="N366">
        <f>I366</f>
        <v>3</v>
      </c>
      <c r="O366" t="str">
        <f t="shared" si="16"/>
        <v>2022_SA_Riverton_Lentil_Detailed_11</v>
      </c>
      <c r="P366" t="str">
        <f t="shared" si="17"/>
        <v>2022_SA_Riverton_Lentil_DetailedTOS2VarietyBoltWaterTrtIrrigated</v>
      </c>
    </row>
    <row r="367" spans="1:16" x14ac:dyDescent="0.25">
      <c r="G367">
        <v>2</v>
      </c>
      <c r="H367" t="s">
        <v>250</v>
      </c>
      <c r="I367">
        <v>2</v>
      </c>
      <c r="J367" s="6">
        <v>58</v>
      </c>
      <c r="M367" t="str">
        <f t="shared" si="15"/>
        <v>2022_SA_Riverton_Lentil_Detailed</v>
      </c>
      <c r="N367">
        <f>I367</f>
        <v>2</v>
      </c>
      <c r="O367" t="str">
        <f t="shared" si="16"/>
        <v>2022_SA_Riverton_Lentil_Detailed_58</v>
      </c>
      <c r="P367" t="str">
        <f t="shared" si="17"/>
        <v>2022_SA_Riverton_Lentil_DetailedTOS2VarietyBoltWaterTrtIrrigated</v>
      </c>
    </row>
    <row r="368" spans="1:16" x14ac:dyDescent="0.25">
      <c r="H368" t="s">
        <v>253</v>
      </c>
      <c r="I368">
        <v>1</v>
      </c>
      <c r="J368" s="6">
        <v>57</v>
      </c>
      <c r="M368" t="str">
        <f t="shared" si="15"/>
        <v>2022_SA_Riverton_Lentil_Detailed</v>
      </c>
      <c r="N368">
        <f>I368</f>
        <v>1</v>
      </c>
      <c r="O368" t="str">
        <f t="shared" si="16"/>
        <v>2022_SA_Riverton_Lentil_Detailed_57</v>
      </c>
      <c r="P368" t="str">
        <f t="shared" si="17"/>
        <v>2022_SA_Riverton_Lentil_DetailedTOS2VarietyBoltWaterTrtIrrigated</v>
      </c>
    </row>
    <row r="369" spans="1:16" x14ac:dyDescent="0.25">
      <c r="G369">
        <v>3</v>
      </c>
      <c r="H369" t="s">
        <v>250</v>
      </c>
      <c r="I369">
        <v>2</v>
      </c>
      <c r="J369" s="6">
        <v>86</v>
      </c>
      <c r="M369" t="str">
        <f t="shared" si="15"/>
        <v>2022_SA_Riverton_Lentil_Detailed</v>
      </c>
      <c r="N369">
        <f>I369</f>
        <v>2</v>
      </c>
      <c r="O369" t="str">
        <f t="shared" si="16"/>
        <v>2022_SA_Riverton_Lentil_Detailed_86</v>
      </c>
      <c r="P369" t="str">
        <f t="shared" si="17"/>
        <v>2022_SA_Riverton_Lentil_DetailedTOS2VarietyBoltWaterTrtIrrigated</v>
      </c>
    </row>
    <row r="370" spans="1:16" x14ac:dyDescent="0.25">
      <c r="H370" t="s">
        <v>253</v>
      </c>
      <c r="I370">
        <v>1</v>
      </c>
      <c r="J370" s="6">
        <v>85</v>
      </c>
      <c r="M370" t="str">
        <f t="shared" si="15"/>
        <v>2022_SA_Riverton_Lentil_Detailed</v>
      </c>
      <c r="N370">
        <f>I370</f>
        <v>1</v>
      </c>
      <c r="O370" t="str">
        <f t="shared" si="16"/>
        <v>2022_SA_Riverton_Lentil_Detailed_85</v>
      </c>
      <c r="P370" t="str">
        <f t="shared" si="17"/>
        <v>2022_SA_Riverton_Lentil_DetailedTOS2VarietyBoltWaterTrtIrrigated</v>
      </c>
    </row>
    <row r="371" spans="1:16" x14ac:dyDescent="0.25">
      <c r="G371">
        <v>4</v>
      </c>
      <c r="H371" t="s">
        <v>250</v>
      </c>
      <c r="I371">
        <v>2</v>
      </c>
      <c r="J371" s="6">
        <v>102</v>
      </c>
      <c r="M371" t="str">
        <f t="shared" si="15"/>
        <v>2022_SA_Riverton_Lentil_Detailed</v>
      </c>
      <c r="N371">
        <f>I371</f>
        <v>2</v>
      </c>
      <c r="O371" t="str">
        <f t="shared" si="16"/>
        <v>2022_SA_Riverton_Lentil_Detailed_102</v>
      </c>
      <c r="P371" t="str">
        <f t="shared" si="17"/>
        <v>2022_SA_Riverton_Lentil_DetailedTOS2VarietyBoltWaterTrtIrrigated</v>
      </c>
    </row>
    <row r="372" spans="1:16" x14ac:dyDescent="0.25">
      <c r="H372" t="s">
        <v>253</v>
      </c>
      <c r="I372">
        <v>1</v>
      </c>
      <c r="J372" s="6">
        <v>101</v>
      </c>
      <c r="M372" t="str">
        <f t="shared" si="15"/>
        <v>2022_SA_Riverton_Lentil_Detailed</v>
      </c>
      <c r="N372">
        <f>I372</f>
        <v>1</v>
      </c>
      <c r="O372" t="str">
        <f t="shared" si="16"/>
        <v>2022_SA_Riverton_Lentil_Detailed_101</v>
      </c>
      <c r="P372" t="str">
        <f t="shared" si="17"/>
        <v>2022_SA_Riverton_Lentil_DetailedTOS2VarietyBoltWaterTrtIrrigated</v>
      </c>
    </row>
    <row r="373" spans="1:16" x14ac:dyDescent="0.25">
      <c r="A373" t="s">
        <v>4266</v>
      </c>
      <c r="B373" t="s">
        <v>905</v>
      </c>
      <c r="C373">
        <v>2</v>
      </c>
      <c r="D373" t="s">
        <v>4187</v>
      </c>
      <c r="E373" t="s">
        <v>40</v>
      </c>
      <c r="F373" t="s">
        <v>4398</v>
      </c>
      <c r="G373">
        <v>1</v>
      </c>
      <c r="H373" t="s">
        <v>250</v>
      </c>
      <c r="I373">
        <v>4</v>
      </c>
      <c r="J373" s="6">
        <v>32</v>
      </c>
      <c r="M373" t="str">
        <f t="shared" si="15"/>
        <v>2022_SA_Riverton_Lentil_Detailed</v>
      </c>
      <c r="N373">
        <f>I373</f>
        <v>4</v>
      </c>
      <c r="O373" t="str">
        <f t="shared" si="16"/>
        <v>2022_SA_Riverton_Lentil_Detailed_32</v>
      </c>
      <c r="P373" t="str">
        <f t="shared" si="17"/>
        <v>2022_SA_Riverton_Lentil_DetailedTOS2VarietyBoltWaterTrtRainFed</v>
      </c>
    </row>
    <row r="374" spans="1:16" x14ac:dyDescent="0.25">
      <c r="H374" t="s">
        <v>253</v>
      </c>
      <c r="I374">
        <v>3</v>
      </c>
      <c r="J374" s="6">
        <v>31</v>
      </c>
      <c r="M374" t="str">
        <f t="shared" si="15"/>
        <v>2022_SA_Riverton_Lentil_Detailed</v>
      </c>
      <c r="N374">
        <f>I374</f>
        <v>3</v>
      </c>
      <c r="O374" t="str">
        <f t="shared" si="16"/>
        <v>2022_SA_Riverton_Lentil_Detailed_31</v>
      </c>
      <c r="P374" t="str">
        <f t="shared" si="17"/>
        <v>2022_SA_Riverton_Lentil_DetailedTOS2VarietyBoltWaterTrtRainFed</v>
      </c>
    </row>
    <row r="375" spans="1:16" x14ac:dyDescent="0.25">
      <c r="G375">
        <v>2</v>
      </c>
      <c r="H375" t="s">
        <v>250</v>
      </c>
      <c r="I375">
        <v>4</v>
      </c>
      <c r="J375" s="6">
        <v>52</v>
      </c>
      <c r="M375" t="str">
        <f t="shared" si="15"/>
        <v>2022_SA_Riverton_Lentil_Detailed</v>
      </c>
      <c r="N375">
        <f>I375</f>
        <v>4</v>
      </c>
      <c r="O375" t="str">
        <f t="shared" si="16"/>
        <v>2022_SA_Riverton_Lentil_Detailed_52</v>
      </c>
      <c r="P375" t="str">
        <f t="shared" si="17"/>
        <v>2022_SA_Riverton_Lentil_DetailedTOS2VarietyBoltWaterTrtRainFed</v>
      </c>
    </row>
    <row r="376" spans="1:16" x14ac:dyDescent="0.25">
      <c r="H376" t="s">
        <v>253</v>
      </c>
      <c r="I376">
        <v>3</v>
      </c>
      <c r="J376" s="6">
        <v>51</v>
      </c>
      <c r="M376" t="str">
        <f t="shared" si="15"/>
        <v>2022_SA_Riverton_Lentil_Detailed</v>
      </c>
      <c r="N376">
        <f>I376</f>
        <v>3</v>
      </c>
      <c r="O376" t="str">
        <f t="shared" si="16"/>
        <v>2022_SA_Riverton_Lentil_Detailed_51</v>
      </c>
      <c r="P376" t="str">
        <f t="shared" si="17"/>
        <v>2022_SA_Riverton_Lentil_DetailedTOS2VarietyBoltWaterTrtRainFed</v>
      </c>
    </row>
    <row r="377" spans="1:16" x14ac:dyDescent="0.25">
      <c r="G377">
        <v>3</v>
      </c>
      <c r="H377" t="s">
        <v>250</v>
      </c>
      <c r="I377">
        <v>2</v>
      </c>
      <c r="J377" s="6">
        <v>66</v>
      </c>
      <c r="M377" t="str">
        <f t="shared" si="15"/>
        <v>2022_SA_Riverton_Lentil_Detailed</v>
      </c>
      <c r="N377">
        <f>I377</f>
        <v>2</v>
      </c>
      <c r="O377" t="str">
        <f t="shared" si="16"/>
        <v>2022_SA_Riverton_Lentil_Detailed_66</v>
      </c>
      <c r="P377" t="str">
        <f t="shared" si="17"/>
        <v>2022_SA_Riverton_Lentil_DetailedTOS2VarietyBoltWaterTrtRainFed</v>
      </c>
    </row>
    <row r="378" spans="1:16" x14ac:dyDescent="0.25">
      <c r="H378" t="s">
        <v>253</v>
      </c>
      <c r="I378">
        <v>1</v>
      </c>
      <c r="J378" s="6">
        <v>65</v>
      </c>
      <c r="M378" t="str">
        <f t="shared" si="15"/>
        <v>2022_SA_Riverton_Lentil_Detailed</v>
      </c>
      <c r="N378">
        <f>I378</f>
        <v>1</v>
      </c>
      <c r="O378" t="str">
        <f t="shared" si="16"/>
        <v>2022_SA_Riverton_Lentil_Detailed_65</v>
      </c>
      <c r="P378" t="str">
        <f t="shared" si="17"/>
        <v>2022_SA_Riverton_Lentil_DetailedTOS2VarietyBoltWaterTrtRainFed</v>
      </c>
    </row>
    <row r="379" spans="1:16" x14ac:dyDescent="0.25">
      <c r="G379">
        <v>4</v>
      </c>
      <c r="H379" t="s">
        <v>250</v>
      </c>
      <c r="I379">
        <v>4</v>
      </c>
      <c r="J379" s="6">
        <v>112</v>
      </c>
      <c r="M379" t="str">
        <f t="shared" si="15"/>
        <v>2022_SA_Riverton_Lentil_Detailed</v>
      </c>
      <c r="N379">
        <f>I379</f>
        <v>4</v>
      </c>
      <c r="O379" t="str">
        <f t="shared" si="16"/>
        <v>2022_SA_Riverton_Lentil_Detailed_112</v>
      </c>
      <c r="P379" t="str">
        <f t="shared" si="17"/>
        <v>2022_SA_Riverton_Lentil_DetailedTOS2VarietyBoltWaterTrtRainFed</v>
      </c>
    </row>
    <row r="380" spans="1:16" x14ac:dyDescent="0.25">
      <c r="H380" t="s">
        <v>253</v>
      </c>
      <c r="I380">
        <v>3</v>
      </c>
      <c r="J380" s="6">
        <v>111</v>
      </c>
      <c r="M380" t="str">
        <f t="shared" si="15"/>
        <v>2022_SA_Riverton_Lentil_Detailed</v>
      </c>
      <c r="N380">
        <f>I380</f>
        <v>3</v>
      </c>
      <c r="O380" t="str">
        <f t="shared" si="16"/>
        <v>2022_SA_Riverton_Lentil_Detailed_111</v>
      </c>
      <c r="P380" t="str">
        <f t="shared" si="17"/>
        <v>2022_SA_Riverton_Lentil_DetailedTOS2VarietyBoltWaterTrtRainFed</v>
      </c>
    </row>
    <row r="381" spans="1:16" x14ac:dyDescent="0.25">
      <c r="A381" t="s">
        <v>4267</v>
      </c>
      <c r="B381" t="s">
        <v>905</v>
      </c>
      <c r="C381">
        <v>2</v>
      </c>
      <c r="D381" t="s">
        <v>4189</v>
      </c>
      <c r="E381" t="s">
        <v>57</v>
      </c>
      <c r="F381" t="s">
        <v>4398</v>
      </c>
      <c r="G381">
        <v>1</v>
      </c>
      <c r="H381" t="s">
        <v>250</v>
      </c>
      <c r="I381">
        <v>2</v>
      </c>
      <c r="J381" s="6">
        <v>14</v>
      </c>
      <c r="M381" t="str">
        <f t="shared" si="15"/>
        <v>2022_SA_Riverton_Lentil_Detailed</v>
      </c>
      <c r="N381">
        <f>I381</f>
        <v>2</v>
      </c>
      <c r="O381" t="str">
        <f t="shared" si="16"/>
        <v>2022_SA_Riverton_Lentil_Detailed_14</v>
      </c>
      <c r="P381" t="str">
        <f t="shared" si="17"/>
        <v>2022_SA_Riverton_Lentil_DetailedTOS2VarietyHallmarkXTWaterTrtIrrigated</v>
      </c>
    </row>
    <row r="382" spans="1:16" x14ac:dyDescent="0.25">
      <c r="H382" t="s">
        <v>253</v>
      </c>
      <c r="I382">
        <v>1</v>
      </c>
      <c r="J382" s="6">
        <v>13</v>
      </c>
      <c r="M382" t="str">
        <f t="shared" si="15"/>
        <v>2022_SA_Riverton_Lentil_Detailed</v>
      </c>
      <c r="N382">
        <f>I382</f>
        <v>1</v>
      </c>
      <c r="O382" t="str">
        <f t="shared" si="16"/>
        <v>2022_SA_Riverton_Lentil_Detailed_13</v>
      </c>
      <c r="P382" t="str">
        <f t="shared" si="17"/>
        <v>2022_SA_Riverton_Lentil_DetailedTOS2VarietyHallmarkXTWaterTrtIrrigated</v>
      </c>
    </row>
    <row r="383" spans="1:16" x14ac:dyDescent="0.25">
      <c r="G383">
        <v>2</v>
      </c>
      <c r="H383" t="s">
        <v>250</v>
      </c>
      <c r="I383">
        <v>4</v>
      </c>
      <c r="J383" s="6">
        <v>64</v>
      </c>
      <c r="M383" t="str">
        <f t="shared" si="15"/>
        <v>2022_SA_Riverton_Lentil_Detailed</v>
      </c>
      <c r="N383">
        <f>I383</f>
        <v>4</v>
      </c>
      <c r="O383" t="str">
        <f t="shared" si="16"/>
        <v>2022_SA_Riverton_Lentil_Detailed_64</v>
      </c>
      <c r="P383" t="str">
        <f t="shared" si="17"/>
        <v>2022_SA_Riverton_Lentil_DetailedTOS2VarietyHallmarkXTWaterTrtIrrigated</v>
      </c>
    </row>
    <row r="384" spans="1:16" x14ac:dyDescent="0.25">
      <c r="H384" t="s">
        <v>253</v>
      </c>
      <c r="I384">
        <v>3</v>
      </c>
      <c r="J384" s="6">
        <v>63</v>
      </c>
      <c r="M384" t="str">
        <f t="shared" si="15"/>
        <v>2022_SA_Riverton_Lentil_Detailed</v>
      </c>
      <c r="N384">
        <f>I384</f>
        <v>3</v>
      </c>
      <c r="O384" t="str">
        <f t="shared" si="16"/>
        <v>2022_SA_Riverton_Lentil_Detailed_63</v>
      </c>
      <c r="P384" t="str">
        <f t="shared" si="17"/>
        <v>2022_SA_Riverton_Lentil_DetailedTOS2VarietyHallmarkXTWaterTrtIrrigated</v>
      </c>
    </row>
    <row r="385" spans="1:16" x14ac:dyDescent="0.25">
      <c r="G385">
        <v>3</v>
      </c>
      <c r="H385" t="s">
        <v>250</v>
      </c>
      <c r="I385">
        <v>4</v>
      </c>
      <c r="J385" s="6">
        <v>88</v>
      </c>
      <c r="M385" t="str">
        <f t="shared" si="15"/>
        <v>2022_SA_Riverton_Lentil_Detailed</v>
      </c>
      <c r="N385">
        <f>I385</f>
        <v>4</v>
      </c>
      <c r="O385" t="str">
        <f t="shared" si="16"/>
        <v>2022_SA_Riverton_Lentil_Detailed_88</v>
      </c>
      <c r="P385" t="str">
        <f t="shared" si="17"/>
        <v>2022_SA_Riverton_Lentil_DetailedTOS2VarietyHallmarkXTWaterTrtIrrigated</v>
      </c>
    </row>
    <row r="386" spans="1:16" x14ac:dyDescent="0.25">
      <c r="H386" t="s">
        <v>253</v>
      </c>
      <c r="I386">
        <v>3</v>
      </c>
      <c r="J386" s="6">
        <v>87</v>
      </c>
      <c r="M386" t="str">
        <f t="shared" si="15"/>
        <v>2022_SA_Riverton_Lentil_Detailed</v>
      </c>
      <c r="N386">
        <f>I386</f>
        <v>3</v>
      </c>
      <c r="O386" t="str">
        <f t="shared" si="16"/>
        <v>2022_SA_Riverton_Lentil_Detailed_87</v>
      </c>
      <c r="P386" t="str">
        <f t="shared" si="17"/>
        <v>2022_SA_Riverton_Lentil_DetailedTOS2VarietyHallmarkXTWaterTrtIrrigated</v>
      </c>
    </row>
    <row r="387" spans="1:16" x14ac:dyDescent="0.25">
      <c r="G387">
        <v>4</v>
      </c>
      <c r="H387" t="s">
        <v>250</v>
      </c>
      <c r="I387">
        <v>4</v>
      </c>
      <c r="J387" s="6">
        <v>100</v>
      </c>
      <c r="M387" t="str">
        <f t="shared" si="15"/>
        <v>2022_SA_Riverton_Lentil_Detailed</v>
      </c>
      <c r="N387">
        <f>I387</f>
        <v>4</v>
      </c>
      <c r="O387" t="str">
        <f t="shared" si="16"/>
        <v>2022_SA_Riverton_Lentil_Detailed_100</v>
      </c>
      <c r="P387" t="str">
        <f t="shared" si="17"/>
        <v>2022_SA_Riverton_Lentil_DetailedTOS2VarietyHallmarkXTWaterTrtIrrigated</v>
      </c>
    </row>
    <row r="388" spans="1:16" x14ac:dyDescent="0.25">
      <c r="H388" t="s">
        <v>253</v>
      </c>
      <c r="I388">
        <v>3</v>
      </c>
      <c r="J388" s="6">
        <v>99</v>
      </c>
      <c r="M388" t="str">
        <f t="shared" si="15"/>
        <v>2022_SA_Riverton_Lentil_Detailed</v>
      </c>
      <c r="N388">
        <f>I388</f>
        <v>3</v>
      </c>
      <c r="O388" t="str">
        <f t="shared" si="16"/>
        <v>2022_SA_Riverton_Lentil_Detailed_99</v>
      </c>
      <c r="P388" t="str">
        <f t="shared" si="17"/>
        <v>2022_SA_Riverton_Lentil_DetailedTOS2VarietyHallmarkXTWaterTrtIrrigated</v>
      </c>
    </row>
    <row r="389" spans="1:16" x14ac:dyDescent="0.25">
      <c r="A389" t="s">
        <v>4268</v>
      </c>
      <c r="B389" t="s">
        <v>905</v>
      </c>
      <c r="C389">
        <v>2</v>
      </c>
      <c r="D389" t="s">
        <v>4189</v>
      </c>
      <c r="E389" t="s">
        <v>40</v>
      </c>
      <c r="F389" t="s">
        <v>4398</v>
      </c>
      <c r="G389">
        <v>1</v>
      </c>
      <c r="H389" t="s">
        <v>250</v>
      </c>
      <c r="I389">
        <v>2</v>
      </c>
      <c r="J389" s="6">
        <v>26</v>
      </c>
      <c r="M389" t="str">
        <f t="shared" si="15"/>
        <v>2022_SA_Riverton_Lentil_Detailed</v>
      </c>
      <c r="N389">
        <f>I389</f>
        <v>2</v>
      </c>
      <c r="O389" t="str">
        <f t="shared" si="16"/>
        <v>2022_SA_Riverton_Lentil_Detailed_26</v>
      </c>
      <c r="P389" t="str">
        <f t="shared" si="17"/>
        <v>2022_SA_Riverton_Lentil_DetailedTOS2VarietyHallmarkXTWaterTrtRainFed</v>
      </c>
    </row>
    <row r="390" spans="1:16" x14ac:dyDescent="0.25">
      <c r="H390" t="s">
        <v>253</v>
      </c>
      <c r="I390">
        <v>1</v>
      </c>
      <c r="J390" s="6">
        <v>25</v>
      </c>
      <c r="M390" t="str">
        <f t="shared" ref="M390:M453" si="18">IF(B390="",M389,B390)</f>
        <v>2022_SA_Riverton_Lentil_Detailed</v>
      </c>
      <c r="N390">
        <f>I390</f>
        <v>1</v>
      </c>
      <c r="O390" t="str">
        <f t="shared" ref="O390:O453" si="19">M390&amp;"_"&amp;J390</f>
        <v>2022_SA_Riverton_Lentil_Detailed_25</v>
      </c>
      <c r="P390" t="str">
        <f t="shared" ref="P390:P453" si="20">IF(A390="",P389,A390)</f>
        <v>2022_SA_Riverton_Lentil_DetailedTOS2VarietyHallmarkXTWaterTrtRainFed</v>
      </c>
    </row>
    <row r="391" spans="1:16" x14ac:dyDescent="0.25">
      <c r="G391">
        <v>2</v>
      </c>
      <c r="H391" t="s">
        <v>250</v>
      </c>
      <c r="I391">
        <v>2</v>
      </c>
      <c r="J391" s="6">
        <v>54</v>
      </c>
      <c r="M391" t="str">
        <f t="shared" si="18"/>
        <v>2022_SA_Riverton_Lentil_Detailed</v>
      </c>
      <c r="N391">
        <f>I391</f>
        <v>2</v>
      </c>
      <c r="O391" t="str">
        <f t="shared" si="19"/>
        <v>2022_SA_Riverton_Lentil_Detailed_54</v>
      </c>
      <c r="P391" t="str">
        <f t="shared" si="20"/>
        <v>2022_SA_Riverton_Lentil_DetailedTOS2VarietyHallmarkXTWaterTrtRainFed</v>
      </c>
    </row>
    <row r="392" spans="1:16" x14ac:dyDescent="0.25">
      <c r="H392" t="s">
        <v>253</v>
      </c>
      <c r="I392">
        <v>1</v>
      </c>
      <c r="J392" s="6">
        <v>53</v>
      </c>
      <c r="M392" t="str">
        <f t="shared" si="18"/>
        <v>2022_SA_Riverton_Lentil_Detailed</v>
      </c>
      <c r="N392">
        <f>I392</f>
        <v>1</v>
      </c>
      <c r="O392" t="str">
        <f t="shared" si="19"/>
        <v>2022_SA_Riverton_Lentil_Detailed_53</v>
      </c>
      <c r="P392" t="str">
        <f t="shared" si="20"/>
        <v>2022_SA_Riverton_Lentil_DetailedTOS2VarietyHallmarkXTWaterTrtRainFed</v>
      </c>
    </row>
    <row r="393" spans="1:16" x14ac:dyDescent="0.25">
      <c r="G393">
        <v>3</v>
      </c>
      <c r="H393" t="s">
        <v>250</v>
      </c>
      <c r="I393">
        <v>4</v>
      </c>
      <c r="J393" s="6">
        <v>68</v>
      </c>
      <c r="M393" t="str">
        <f t="shared" si="18"/>
        <v>2022_SA_Riverton_Lentil_Detailed</v>
      </c>
      <c r="N393">
        <f>I393</f>
        <v>4</v>
      </c>
      <c r="O393" t="str">
        <f t="shared" si="19"/>
        <v>2022_SA_Riverton_Lentil_Detailed_68</v>
      </c>
      <c r="P393" t="str">
        <f t="shared" si="20"/>
        <v>2022_SA_Riverton_Lentil_DetailedTOS2VarietyHallmarkXTWaterTrtRainFed</v>
      </c>
    </row>
    <row r="394" spans="1:16" x14ac:dyDescent="0.25">
      <c r="H394" t="s">
        <v>253</v>
      </c>
      <c r="I394">
        <v>3</v>
      </c>
      <c r="J394" s="6">
        <v>67</v>
      </c>
      <c r="M394" t="str">
        <f t="shared" si="18"/>
        <v>2022_SA_Riverton_Lentil_Detailed</v>
      </c>
      <c r="N394">
        <f>I394</f>
        <v>3</v>
      </c>
      <c r="O394" t="str">
        <f t="shared" si="19"/>
        <v>2022_SA_Riverton_Lentil_Detailed_67</v>
      </c>
      <c r="P394" t="str">
        <f t="shared" si="20"/>
        <v>2022_SA_Riverton_Lentil_DetailedTOS2VarietyHallmarkXTWaterTrtRainFed</v>
      </c>
    </row>
    <row r="395" spans="1:16" x14ac:dyDescent="0.25">
      <c r="G395">
        <v>4</v>
      </c>
      <c r="H395" t="s">
        <v>250</v>
      </c>
      <c r="I395">
        <v>2</v>
      </c>
      <c r="J395" s="6">
        <v>110</v>
      </c>
      <c r="M395" t="str">
        <f t="shared" si="18"/>
        <v>2022_SA_Riverton_Lentil_Detailed</v>
      </c>
      <c r="N395">
        <f>I395</f>
        <v>2</v>
      </c>
      <c r="O395" t="str">
        <f t="shared" si="19"/>
        <v>2022_SA_Riverton_Lentil_Detailed_110</v>
      </c>
      <c r="P395" t="str">
        <f t="shared" si="20"/>
        <v>2022_SA_Riverton_Lentil_DetailedTOS2VarietyHallmarkXTWaterTrtRainFed</v>
      </c>
    </row>
    <row r="396" spans="1:16" x14ac:dyDescent="0.25">
      <c r="H396" t="s">
        <v>253</v>
      </c>
      <c r="I396">
        <v>1</v>
      </c>
      <c r="J396" s="6">
        <v>109</v>
      </c>
      <c r="M396" t="str">
        <f t="shared" si="18"/>
        <v>2022_SA_Riverton_Lentil_Detailed</v>
      </c>
      <c r="N396">
        <f>I396</f>
        <v>1</v>
      </c>
      <c r="O396" t="str">
        <f t="shared" si="19"/>
        <v>2022_SA_Riverton_Lentil_Detailed_109</v>
      </c>
      <c r="P396" t="str">
        <f t="shared" si="20"/>
        <v>2022_SA_Riverton_Lentil_DetailedTOS2VarietyHallmarkXTWaterTrtRainFed</v>
      </c>
    </row>
    <row r="397" spans="1:16" x14ac:dyDescent="0.25">
      <c r="A397" t="s">
        <v>4269</v>
      </c>
      <c r="B397" t="s">
        <v>905</v>
      </c>
      <c r="C397">
        <v>2</v>
      </c>
      <c r="D397" t="s">
        <v>4176</v>
      </c>
      <c r="E397" t="s">
        <v>57</v>
      </c>
      <c r="F397" t="s">
        <v>4398</v>
      </c>
      <c r="G397">
        <v>1</v>
      </c>
      <c r="H397" t="s">
        <v>250</v>
      </c>
      <c r="I397">
        <v>2</v>
      </c>
      <c r="J397" s="6">
        <v>10</v>
      </c>
      <c r="M397" t="str">
        <f t="shared" si="18"/>
        <v>2022_SA_Riverton_Lentil_Detailed</v>
      </c>
      <c r="N397">
        <f>I397</f>
        <v>2</v>
      </c>
      <c r="O397" t="str">
        <f t="shared" si="19"/>
        <v>2022_SA_Riverton_Lentil_Detailed_10</v>
      </c>
      <c r="P397" t="str">
        <f t="shared" si="20"/>
        <v>2022_SA_Riverton_Lentil_DetailedTOS2VarietyJumbo2WaterTrtIrrigated</v>
      </c>
    </row>
    <row r="398" spans="1:16" x14ac:dyDescent="0.25">
      <c r="H398" t="s">
        <v>253</v>
      </c>
      <c r="I398">
        <v>1</v>
      </c>
      <c r="J398" s="6">
        <v>9</v>
      </c>
      <c r="M398" t="str">
        <f t="shared" si="18"/>
        <v>2022_SA_Riverton_Lentil_Detailed</v>
      </c>
      <c r="N398">
        <f>I398</f>
        <v>1</v>
      </c>
      <c r="O398" t="str">
        <f t="shared" si="19"/>
        <v>2022_SA_Riverton_Lentil_Detailed_9</v>
      </c>
      <c r="P398" t="str">
        <f t="shared" si="20"/>
        <v>2022_SA_Riverton_Lentil_DetailedTOS2VarietyJumbo2WaterTrtIrrigated</v>
      </c>
    </row>
    <row r="399" spans="1:16" x14ac:dyDescent="0.25">
      <c r="G399">
        <v>2</v>
      </c>
      <c r="H399" t="s">
        <v>250</v>
      </c>
      <c r="I399">
        <v>2</v>
      </c>
      <c r="J399" s="6">
        <v>62</v>
      </c>
      <c r="M399" t="str">
        <f t="shared" si="18"/>
        <v>2022_SA_Riverton_Lentil_Detailed</v>
      </c>
      <c r="N399">
        <f>I399</f>
        <v>2</v>
      </c>
      <c r="O399" t="str">
        <f t="shared" si="19"/>
        <v>2022_SA_Riverton_Lentil_Detailed_62</v>
      </c>
      <c r="P399" t="str">
        <f t="shared" si="20"/>
        <v>2022_SA_Riverton_Lentil_DetailedTOS2VarietyJumbo2WaterTrtIrrigated</v>
      </c>
    </row>
    <row r="400" spans="1:16" x14ac:dyDescent="0.25">
      <c r="H400" t="s">
        <v>253</v>
      </c>
      <c r="I400">
        <v>1</v>
      </c>
      <c r="J400" s="6">
        <v>61</v>
      </c>
      <c r="M400" t="str">
        <f t="shared" si="18"/>
        <v>2022_SA_Riverton_Lentil_Detailed</v>
      </c>
      <c r="N400">
        <f>I400</f>
        <v>1</v>
      </c>
      <c r="O400" t="str">
        <f t="shared" si="19"/>
        <v>2022_SA_Riverton_Lentil_Detailed_61</v>
      </c>
      <c r="P400" t="str">
        <f t="shared" si="20"/>
        <v>2022_SA_Riverton_Lentil_DetailedTOS2VarietyJumbo2WaterTrtIrrigated</v>
      </c>
    </row>
    <row r="401" spans="1:16" x14ac:dyDescent="0.25">
      <c r="G401">
        <v>3</v>
      </c>
      <c r="H401" t="s">
        <v>250</v>
      </c>
      <c r="I401">
        <v>4</v>
      </c>
      <c r="J401" s="6">
        <v>84</v>
      </c>
      <c r="M401" t="str">
        <f t="shared" si="18"/>
        <v>2022_SA_Riverton_Lentil_Detailed</v>
      </c>
      <c r="N401">
        <f>I401</f>
        <v>4</v>
      </c>
      <c r="O401" t="str">
        <f t="shared" si="19"/>
        <v>2022_SA_Riverton_Lentil_Detailed_84</v>
      </c>
      <c r="P401" t="str">
        <f t="shared" si="20"/>
        <v>2022_SA_Riverton_Lentil_DetailedTOS2VarietyJumbo2WaterTrtIrrigated</v>
      </c>
    </row>
    <row r="402" spans="1:16" x14ac:dyDescent="0.25">
      <c r="H402" t="s">
        <v>253</v>
      </c>
      <c r="I402">
        <v>3</v>
      </c>
      <c r="J402" s="6">
        <v>83</v>
      </c>
      <c r="M402" t="str">
        <f t="shared" si="18"/>
        <v>2022_SA_Riverton_Lentil_Detailed</v>
      </c>
      <c r="N402">
        <f>I402</f>
        <v>3</v>
      </c>
      <c r="O402" t="str">
        <f t="shared" si="19"/>
        <v>2022_SA_Riverton_Lentil_Detailed_83</v>
      </c>
      <c r="P402" t="str">
        <f t="shared" si="20"/>
        <v>2022_SA_Riverton_Lentil_DetailedTOS2VarietyJumbo2WaterTrtIrrigated</v>
      </c>
    </row>
    <row r="403" spans="1:16" x14ac:dyDescent="0.25">
      <c r="G403">
        <v>4</v>
      </c>
      <c r="H403" t="s">
        <v>250</v>
      </c>
      <c r="I403">
        <v>2</v>
      </c>
      <c r="J403" s="6">
        <v>98</v>
      </c>
      <c r="M403" t="str">
        <f t="shared" si="18"/>
        <v>2022_SA_Riverton_Lentil_Detailed</v>
      </c>
      <c r="N403">
        <f>I403</f>
        <v>2</v>
      </c>
      <c r="O403" t="str">
        <f t="shared" si="19"/>
        <v>2022_SA_Riverton_Lentil_Detailed_98</v>
      </c>
      <c r="P403" t="str">
        <f t="shared" si="20"/>
        <v>2022_SA_Riverton_Lentil_DetailedTOS2VarietyJumbo2WaterTrtIrrigated</v>
      </c>
    </row>
    <row r="404" spans="1:16" x14ac:dyDescent="0.25">
      <c r="H404" t="s">
        <v>253</v>
      </c>
      <c r="I404">
        <v>1</v>
      </c>
      <c r="J404" s="6">
        <v>97</v>
      </c>
      <c r="M404" t="str">
        <f t="shared" si="18"/>
        <v>2022_SA_Riverton_Lentil_Detailed</v>
      </c>
      <c r="N404">
        <f>I404</f>
        <v>1</v>
      </c>
      <c r="O404" t="str">
        <f t="shared" si="19"/>
        <v>2022_SA_Riverton_Lentil_Detailed_97</v>
      </c>
      <c r="P404" t="str">
        <f t="shared" si="20"/>
        <v>2022_SA_Riverton_Lentil_DetailedTOS2VarietyJumbo2WaterTrtIrrigated</v>
      </c>
    </row>
    <row r="405" spans="1:16" x14ac:dyDescent="0.25">
      <c r="A405" t="s">
        <v>4270</v>
      </c>
      <c r="B405" t="s">
        <v>905</v>
      </c>
      <c r="C405">
        <v>2</v>
      </c>
      <c r="D405" t="s">
        <v>4176</v>
      </c>
      <c r="E405" t="s">
        <v>40</v>
      </c>
      <c r="F405" t="s">
        <v>4398</v>
      </c>
      <c r="G405">
        <v>1</v>
      </c>
      <c r="H405" t="s">
        <v>250</v>
      </c>
      <c r="I405">
        <v>2</v>
      </c>
      <c r="J405" s="6">
        <v>30</v>
      </c>
      <c r="M405" t="str">
        <f t="shared" si="18"/>
        <v>2022_SA_Riverton_Lentil_Detailed</v>
      </c>
      <c r="N405">
        <f>I405</f>
        <v>2</v>
      </c>
      <c r="O405" t="str">
        <f t="shared" si="19"/>
        <v>2022_SA_Riverton_Lentil_Detailed_30</v>
      </c>
      <c r="P405" t="str">
        <f t="shared" si="20"/>
        <v>2022_SA_Riverton_Lentil_DetailedTOS2VarietyJumbo2WaterTrtRainFed</v>
      </c>
    </row>
    <row r="406" spans="1:16" x14ac:dyDescent="0.25">
      <c r="H406" t="s">
        <v>253</v>
      </c>
      <c r="I406">
        <v>1</v>
      </c>
      <c r="J406" s="6">
        <v>29</v>
      </c>
      <c r="M406" t="str">
        <f t="shared" si="18"/>
        <v>2022_SA_Riverton_Lentil_Detailed</v>
      </c>
      <c r="N406">
        <f>I406</f>
        <v>1</v>
      </c>
      <c r="O406" t="str">
        <f t="shared" si="19"/>
        <v>2022_SA_Riverton_Lentil_Detailed_29</v>
      </c>
      <c r="P406" t="str">
        <f t="shared" si="20"/>
        <v>2022_SA_Riverton_Lentil_DetailedTOS2VarietyJumbo2WaterTrtRainFed</v>
      </c>
    </row>
    <row r="407" spans="1:16" x14ac:dyDescent="0.25">
      <c r="G407">
        <v>2</v>
      </c>
      <c r="H407" t="s">
        <v>250</v>
      </c>
      <c r="I407">
        <v>4</v>
      </c>
      <c r="J407" s="6">
        <v>56</v>
      </c>
      <c r="M407" t="str">
        <f t="shared" si="18"/>
        <v>2022_SA_Riverton_Lentil_Detailed</v>
      </c>
      <c r="N407">
        <f>I407</f>
        <v>4</v>
      </c>
      <c r="O407" t="str">
        <f t="shared" si="19"/>
        <v>2022_SA_Riverton_Lentil_Detailed_56</v>
      </c>
      <c r="P407" t="str">
        <f t="shared" si="20"/>
        <v>2022_SA_Riverton_Lentil_DetailedTOS2VarietyJumbo2WaterTrtRainFed</v>
      </c>
    </row>
    <row r="408" spans="1:16" x14ac:dyDescent="0.25">
      <c r="H408" t="s">
        <v>253</v>
      </c>
      <c r="I408">
        <v>3</v>
      </c>
      <c r="J408" s="6">
        <v>55</v>
      </c>
      <c r="M408" t="str">
        <f t="shared" si="18"/>
        <v>2022_SA_Riverton_Lentil_Detailed</v>
      </c>
      <c r="N408">
        <f>I408</f>
        <v>3</v>
      </c>
      <c r="O408" t="str">
        <f t="shared" si="19"/>
        <v>2022_SA_Riverton_Lentil_Detailed_55</v>
      </c>
      <c r="P408" t="str">
        <f t="shared" si="20"/>
        <v>2022_SA_Riverton_Lentil_DetailedTOS2VarietyJumbo2WaterTrtRainFed</v>
      </c>
    </row>
    <row r="409" spans="1:16" x14ac:dyDescent="0.25">
      <c r="G409">
        <v>3</v>
      </c>
      <c r="H409" t="s">
        <v>250</v>
      </c>
      <c r="I409">
        <v>4</v>
      </c>
      <c r="J409" s="6">
        <v>72</v>
      </c>
      <c r="M409" t="str">
        <f t="shared" si="18"/>
        <v>2022_SA_Riverton_Lentil_Detailed</v>
      </c>
      <c r="N409">
        <f>I409</f>
        <v>4</v>
      </c>
      <c r="O409" t="str">
        <f t="shared" si="19"/>
        <v>2022_SA_Riverton_Lentil_Detailed_72</v>
      </c>
      <c r="P409" t="str">
        <f t="shared" si="20"/>
        <v>2022_SA_Riverton_Lentil_DetailedTOS2VarietyJumbo2WaterTrtRainFed</v>
      </c>
    </row>
    <row r="410" spans="1:16" x14ac:dyDescent="0.25">
      <c r="H410" t="s">
        <v>253</v>
      </c>
      <c r="I410">
        <v>3</v>
      </c>
      <c r="J410" s="6">
        <v>71</v>
      </c>
      <c r="M410" t="str">
        <f t="shared" si="18"/>
        <v>2022_SA_Riverton_Lentil_Detailed</v>
      </c>
      <c r="N410">
        <f>I410</f>
        <v>3</v>
      </c>
      <c r="O410" t="str">
        <f t="shared" si="19"/>
        <v>2022_SA_Riverton_Lentil_Detailed_71</v>
      </c>
      <c r="P410" t="str">
        <f t="shared" si="20"/>
        <v>2022_SA_Riverton_Lentil_DetailedTOS2VarietyJumbo2WaterTrtRainFed</v>
      </c>
    </row>
    <row r="411" spans="1:16" x14ac:dyDescent="0.25">
      <c r="G411">
        <v>4</v>
      </c>
      <c r="H411" t="s">
        <v>250</v>
      </c>
      <c r="I411">
        <v>4</v>
      </c>
      <c r="J411" s="6">
        <v>108</v>
      </c>
      <c r="M411" t="str">
        <f t="shared" si="18"/>
        <v>2022_SA_Riverton_Lentil_Detailed</v>
      </c>
      <c r="N411">
        <f>I411</f>
        <v>4</v>
      </c>
      <c r="O411" t="str">
        <f t="shared" si="19"/>
        <v>2022_SA_Riverton_Lentil_Detailed_108</v>
      </c>
      <c r="P411" t="str">
        <f t="shared" si="20"/>
        <v>2022_SA_Riverton_Lentil_DetailedTOS2VarietyJumbo2WaterTrtRainFed</v>
      </c>
    </row>
    <row r="412" spans="1:16" x14ac:dyDescent="0.25">
      <c r="H412" t="s">
        <v>253</v>
      </c>
      <c r="I412">
        <v>3</v>
      </c>
      <c r="J412" s="6">
        <v>107</v>
      </c>
      <c r="M412" t="str">
        <f t="shared" si="18"/>
        <v>2022_SA_Riverton_Lentil_Detailed</v>
      </c>
      <c r="N412">
        <f>I412</f>
        <v>3</v>
      </c>
      <c r="O412" t="str">
        <f t="shared" si="19"/>
        <v>2022_SA_Riverton_Lentil_Detailed_107</v>
      </c>
      <c r="P412" t="str">
        <f t="shared" si="20"/>
        <v>2022_SA_Riverton_Lentil_DetailedTOS2VarietyJumbo2WaterTrtRainFed</v>
      </c>
    </row>
    <row r="413" spans="1:16" x14ac:dyDescent="0.25">
      <c r="A413" t="s">
        <v>4271</v>
      </c>
      <c r="B413" t="s">
        <v>905</v>
      </c>
      <c r="C413">
        <v>2</v>
      </c>
      <c r="D413" t="s">
        <v>4188</v>
      </c>
      <c r="E413" t="s">
        <v>57</v>
      </c>
      <c r="F413" t="s">
        <v>4398</v>
      </c>
      <c r="G413">
        <v>1</v>
      </c>
      <c r="H413" t="s">
        <v>250</v>
      </c>
      <c r="I413">
        <v>4</v>
      </c>
      <c r="J413" s="6">
        <v>16</v>
      </c>
      <c r="M413" t="str">
        <f t="shared" si="18"/>
        <v>2022_SA_Riverton_Lentil_Detailed</v>
      </c>
      <c r="N413">
        <f>I413</f>
        <v>4</v>
      </c>
      <c r="O413" t="str">
        <f t="shared" si="19"/>
        <v>2022_SA_Riverton_Lentil_Detailed_16</v>
      </c>
      <c r="P413" t="str">
        <f t="shared" si="20"/>
        <v>2022_SA_Riverton_Lentil_DetailedTOS2VarietyKelpieXTWaterTrtIrrigated</v>
      </c>
    </row>
    <row r="414" spans="1:16" x14ac:dyDescent="0.25">
      <c r="H414" t="s">
        <v>253</v>
      </c>
      <c r="I414">
        <v>3</v>
      </c>
      <c r="J414" s="6">
        <v>15</v>
      </c>
      <c r="M414" t="str">
        <f t="shared" si="18"/>
        <v>2022_SA_Riverton_Lentil_Detailed</v>
      </c>
      <c r="N414">
        <f>I414</f>
        <v>3</v>
      </c>
      <c r="O414" t="str">
        <f t="shared" si="19"/>
        <v>2022_SA_Riverton_Lentil_Detailed_15</v>
      </c>
      <c r="P414" t="str">
        <f t="shared" si="20"/>
        <v>2022_SA_Riverton_Lentil_DetailedTOS2VarietyKelpieXTWaterTrtIrrigated</v>
      </c>
    </row>
    <row r="415" spans="1:16" x14ac:dyDescent="0.25">
      <c r="G415">
        <v>2</v>
      </c>
      <c r="H415" t="s">
        <v>250</v>
      </c>
      <c r="I415">
        <v>4</v>
      </c>
      <c r="J415" s="6">
        <v>60</v>
      </c>
      <c r="M415" t="str">
        <f t="shared" si="18"/>
        <v>2022_SA_Riverton_Lentil_Detailed</v>
      </c>
      <c r="N415">
        <f>I415</f>
        <v>4</v>
      </c>
      <c r="O415" t="str">
        <f t="shared" si="19"/>
        <v>2022_SA_Riverton_Lentil_Detailed_60</v>
      </c>
      <c r="P415" t="str">
        <f t="shared" si="20"/>
        <v>2022_SA_Riverton_Lentil_DetailedTOS2VarietyKelpieXTWaterTrtIrrigated</v>
      </c>
    </row>
    <row r="416" spans="1:16" x14ac:dyDescent="0.25">
      <c r="H416" t="s">
        <v>253</v>
      </c>
      <c r="I416">
        <v>3</v>
      </c>
      <c r="J416" s="6">
        <v>59</v>
      </c>
      <c r="M416" t="str">
        <f t="shared" si="18"/>
        <v>2022_SA_Riverton_Lentil_Detailed</v>
      </c>
      <c r="N416">
        <f>I416</f>
        <v>3</v>
      </c>
      <c r="O416" t="str">
        <f t="shared" si="19"/>
        <v>2022_SA_Riverton_Lentil_Detailed_59</v>
      </c>
      <c r="P416" t="str">
        <f t="shared" si="20"/>
        <v>2022_SA_Riverton_Lentil_DetailedTOS2VarietyKelpieXTWaterTrtIrrigated</v>
      </c>
    </row>
    <row r="417" spans="1:16" x14ac:dyDescent="0.25">
      <c r="G417">
        <v>3</v>
      </c>
      <c r="H417" t="s">
        <v>250</v>
      </c>
      <c r="I417">
        <v>2</v>
      </c>
      <c r="J417" s="6">
        <v>82</v>
      </c>
      <c r="M417" t="str">
        <f t="shared" si="18"/>
        <v>2022_SA_Riverton_Lentil_Detailed</v>
      </c>
      <c r="N417">
        <f>I417</f>
        <v>2</v>
      </c>
      <c r="O417" t="str">
        <f t="shared" si="19"/>
        <v>2022_SA_Riverton_Lentil_Detailed_82</v>
      </c>
      <c r="P417" t="str">
        <f t="shared" si="20"/>
        <v>2022_SA_Riverton_Lentil_DetailedTOS2VarietyKelpieXTWaterTrtIrrigated</v>
      </c>
    </row>
    <row r="418" spans="1:16" x14ac:dyDescent="0.25">
      <c r="H418" t="s">
        <v>253</v>
      </c>
      <c r="I418">
        <v>1</v>
      </c>
      <c r="J418" s="6">
        <v>81</v>
      </c>
      <c r="M418" t="str">
        <f t="shared" si="18"/>
        <v>2022_SA_Riverton_Lentil_Detailed</v>
      </c>
      <c r="N418">
        <f>I418</f>
        <v>1</v>
      </c>
      <c r="O418" t="str">
        <f t="shared" si="19"/>
        <v>2022_SA_Riverton_Lentil_Detailed_81</v>
      </c>
      <c r="P418" t="str">
        <f t="shared" si="20"/>
        <v>2022_SA_Riverton_Lentil_DetailedTOS2VarietyKelpieXTWaterTrtIrrigated</v>
      </c>
    </row>
    <row r="419" spans="1:16" x14ac:dyDescent="0.25">
      <c r="G419">
        <v>4</v>
      </c>
      <c r="H419" t="s">
        <v>250</v>
      </c>
      <c r="I419">
        <v>4</v>
      </c>
      <c r="J419" s="6">
        <v>104</v>
      </c>
      <c r="M419" t="str">
        <f t="shared" si="18"/>
        <v>2022_SA_Riverton_Lentil_Detailed</v>
      </c>
      <c r="N419">
        <f>I419</f>
        <v>4</v>
      </c>
      <c r="O419" t="str">
        <f t="shared" si="19"/>
        <v>2022_SA_Riverton_Lentil_Detailed_104</v>
      </c>
      <c r="P419" t="str">
        <f t="shared" si="20"/>
        <v>2022_SA_Riverton_Lentil_DetailedTOS2VarietyKelpieXTWaterTrtIrrigated</v>
      </c>
    </row>
    <row r="420" spans="1:16" x14ac:dyDescent="0.25">
      <c r="H420" t="s">
        <v>253</v>
      </c>
      <c r="I420">
        <v>3</v>
      </c>
      <c r="J420" s="6">
        <v>103</v>
      </c>
      <c r="M420" t="str">
        <f t="shared" si="18"/>
        <v>2022_SA_Riverton_Lentil_Detailed</v>
      </c>
      <c r="N420">
        <f>I420</f>
        <v>3</v>
      </c>
      <c r="O420" t="str">
        <f t="shared" si="19"/>
        <v>2022_SA_Riverton_Lentil_Detailed_103</v>
      </c>
      <c r="P420" t="str">
        <f t="shared" si="20"/>
        <v>2022_SA_Riverton_Lentil_DetailedTOS2VarietyKelpieXTWaterTrtIrrigated</v>
      </c>
    </row>
    <row r="421" spans="1:16" x14ac:dyDescent="0.25">
      <c r="A421" t="s">
        <v>4272</v>
      </c>
      <c r="B421" t="s">
        <v>905</v>
      </c>
      <c r="C421">
        <v>2</v>
      </c>
      <c r="D421" t="s">
        <v>4188</v>
      </c>
      <c r="E421" t="s">
        <v>40</v>
      </c>
      <c r="F421" t="s">
        <v>4398</v>
      </c>
      <c r="G421">
        <v>1</v>
      </c>
      <c r="H421" t="s">
        <v>250</v>
      </c>
      <c r="I421">
        <v>4</v>
      </c>
      <c r="J421" s="6">
        <v>28</v>
      </c>
      <c r="M421" t="str">
        <f t="shared" si="18"/>
        <v>2022_SA_Riverton_Lentil_Detailed</v>
      </c>
      <c r="N421">
        <f>I421</f>
        <v>4</v>
      </c>
      <c r="O421" t="str">
        <f t="shared" si="19"/>
        <v>2022_SA_Riverton_Lentil_Detailed_28</v>
      </c>
      <c r="P421" t="str">
        <f t="shared" si="20"/>
        <v>2022_SA_Riverton_Lentil_DetailedTOS2VarietyKelpieXTWaterTrtRainFed</v>
      </c>
    </row>
    <row r="422" spans="1:16" x14ac:dyDescent="0.25">
      <c r="H422" t="s">
        <v>253</v>
      </c>
      <c r="I422">
        <v>3</v>
      </c>
      <c r="J422" s="6">
        <v>27</v>
      </c>
      <c r="M422" t="str">
        <f t="shared" si="18"/>
        <v>2022_SA_Riverton_Lentil_Detailed</v>
      </c>
      <c r="N422">
        <f>I422</f>
        <v>3</v>
      </c>
      <c r="O422" t="str">
        <f t="shared" si="19"/>
        <v>2022_SA_Riverton_Lentil_Detailed_27</v>
      </c>
      <c r="P422" t="str">
        <f t="shared" si="20"/>
        <v>2022_SA_Riverton_Lentil_DetailedTOS2VarietyKelpieXTWaterTrtRainFed</v>
      </c>
    </row>
    <row r="423" spans="1:16" x14ac:dyDescent="0.25">
      <c r="G423">
        <v>2</v>
      </c>
      <c r="H423" t="s">
        <v>250</v>
      </c>
      <c r="I423">
        <v>2</v>
      </c>
      <c r="J423" s="6">
        <v>50</v>
      </c>
      <c r="M423" t="str">
        <f t="shared" si="18"/>
        <v>2022_SA_Riverton_Lentil_Detailed</v>
      </c>
      <c r="N423">
        <f>I423</f>
        <v>2</v>
      </c>
      <c r="O423" t="str">
        <f t="shared" si="19"/>
        <v>2022_SA_Riverton_Lentil_Detailed_50</v>
      </c>
      <c r="P423" t="str">
        <f t="shared" si="20"/>
        <v>2022_SA_Riverton_Lentil_DetailedTOS2VarietyKelpieXTWaterTrtRainFed</v>
      </c>
    </row>
    <row r="424" spans="1:16" x14ac:dyDescent="0.25">
      <c r="H424" t="s">
        <v>253</v>
      </c>
      <c r="I424">
        <v>1</v>
      </c>
      <c r="J424" s="6">
        <v>49</v>
      </c>
      <c r="M424" t="str">
        <f t="shared" si="18"/>
        <v>2022_SA_Riverton_Lentil_Detailed</v>
      </c>
      <c r="N424">
        <f>I424</f>
        <v>1</v>
      </c>
      <c r="O424" t="str">
        <f t="shared" si="19"/>
        <v>2022_SA_Riverton_Lentil_Detailed_49</v>
      </c>
      <c r="P424" t="str">
        <f t="shared" si="20"/>
        <v>2022_SA_Riverton_Lentil_DetailedTOS2VarietyKelpieXTWaterTrtRainFed</v>
      </c>
    </row>
    <row r="425" spans="1:16" x14ac:dyDescent="0.25">
      <c r="G425">
        <v>3</v>
      </c>
      <c r="H425" t="s">
        <v>250</v>
      </c>
      <c r="I425">
        <v>2</v>
      </c>
      <c r="J425" s="6">
        <v>70</v>
      </c>
      <c r="M425" t="str">
        <f t="shared" si="18"/>
        <v>2022_SA_Riverton_Lentil_Detailed</v>
      </c>
      <c r="N425">
        <f>I425</f>
        <v>2</v>
      </c>
      <c r="O425" t="str">
        <f t="shared" si="19"/>
        <v>2022_SA_Riverton_Lentil_Detailed_70</v>
      </c>
      <c r="P425" t="str">
        <f t="shared" si="20"/>
        <v>2022_SA_Riverton_Lentil_DetailedTOS2VarietyKelpieXTWaterTrtRainFed</v>
      </c>
    </row>
    <row r="426" spans="1:16" x14ac:dyDescent="0.25">
      <c r="H426" t="s">
        <v>253</v>
      </c>
      <c r="I426">
        <v>1</v>
      </c>
      <c r="J426" s="6">
        <v>69</v>
      </c>
      <c r="M426" t="str">
        <f t="shared" si="18"/>
        <v>2022_SA_Riverton_Lentil_Detailed</v>
      </c>
      <c r="N426">
        <f>I426</f>
        <v>1</v>
      </c>
      <c r="O426" t="str">
        <f t="shared" si="19"/>
        <v>2022_SA_Riverton_Lentil_Detailed_69</v>
      </c>
      <c r="P426" t="str">
        <f t="shared" si="20"/>
        <v>2022_SA_Riverton_Lentil_DetailedTOS2VarietyKelpieXTWaterTrtRainFed</v>
      </c>
    </row>
    <row r="427" spans="1:16" x14ac:dyDescent="0.25">
      <c r="G427">
        <v>4</v>
      </c>
      <c r="H427" t="s">
        <v>250</v>
      </c>
      <c r="I427">
        <v>2</v>
      </c>
      <c r="J427" s="6">
        <v>106</v>
      </c>
      <c r="M427" t="str">
        <f t="shared" si="18"/>
        <v>2022_SA_Riverton_Lentil_Detailed</v>
      </c>
      <c r="N427">
        <f>I427</f>
        <v>2</v>
      </c>
      <c r="O427" t="str">
        <f t="shared" si="19"/>
        <v>2022_SA_Riverton_Lentil_Detailed_106</v>
      </c>
      <c r="P427" t="str">
        <f t="shared" si="20"/>
        <v>2022_SA_Riverton_Lentil_DetailedTOS2VarietyKelpieXTWaterTrtRainFed</v>
      </c>
    </row>
    <row r="428" spans="1:16" x14ac:dyDescent="0.25">
      <c r="H428" t="s">
        <v>253</v>
      </c>
      <c r="I428">
        <v>1</v>
      </c>
      <c r="J428" s="6">
        <v>105</v>
      </c>
      <c r="M428" t="str">
        <f t="shared" si="18"/>
        <v>2022_SA_Riverton_Lentil_Detailed</v>
      </c>
      <c r="N428">
        <f>I428</f>
        <v>1</v>
      </c>
      <c r="O428" t="str">
        <f t="shared" si="19"/>
        <v>2022_SA_Riverton_Lentil_Detailed_105</v>
      </c>
      <c r="P428" t="str">
        <f t="shared" si="20"/>
        <v>2022_SA_Riverton_Lentil_DetailedTOS2VarietyKelpieXTWaterTrtRainFed</v>
      </c>
    </row>
    <row r="429" spans="1:16" x14ac:dyDescent="0.25">
      <c r="A429" t="s">
        <v>4273</v>
      </c>
      <c r="B429" t="s">
        <v>1712</v>
      </c>
      <c r="C429">
        <v>1</v>
      </c>
      <c r="D429" t="s">
        <v>4187</v>
      </c>
      <c r="E429" t="s">
        <v>40</v>
      </c>
      <c r="F429" t="s">
        <v>1511</v>
      </c>
      <c r="G429">
        <v>1</v>
      </c>
      <c r="H429" t="s">
        <v>253</v>
      </c>
      <c r="I429">
        <v>2</v>
      </c>
      <c r="J429" s="6">
        <v>8</v>
      </c>
      <c r="M429" t="str">
        <f t="shared" si="18"/>
        <v>2022_SA_Warnertown_Lentil_Satellite</v>
      </c>
      <c r="N429">
        <f>I429</f>
        <v>2</v>
      </c>
      <c r="O429" t="str">
        <f t="shared" si="19"/>
        <v>2022_SA_Warnertown_Lentil_Satellite_8</v>
      </c>
      <c r="P429" t="str">
        <f t="shared" si="20"/>
        <v>2022_SA_Warnertown_Lentil_SatelliteTOS1VarietyBoltWaterTrtRainFedAgronomyDensity_0.66</v>
      </c>
    </row>
    <row r="430" spans="1:16" x14ac:dyDescent="0.25">
      <c r="G430">
        <v>2</v>
      </c>
      <c r="H430" t="s">
        <v>253</v>
      </c>
      <c r="I430">
        <v>3</v>
      </c>
      <c r="J430" s="6">
        <v>24</v>
      </c>
      <c r="M430" t="str">
        <f t="shared" si="18"/>
        <v>2022_SA_Warnertown_Lentil_Satellite</v>
      </c>
      <c r="N430">
        <f>I430</f>
        <v>3</v>
      </c>
      <c r="O430" t="str">
        <f t="shared" si="19"/>
        <v>2022_SA_Warnertown_Lentil_Satellite_24</v>
      </c>
      <c r="P430" t="str">
        <f t="shared" si="20"/>
        <v>2022_SA_Warnertown_Lentil_SatelliteTOS1VarietyBoltWaterTrtRainFedAgronomyDensity_0.66</v>
      </c>
    </row>
    <row r="431" spans="1:16" x14ac:dyDescent="0.25">
      <c r="G431">
        <v>3</v>
      </c>
      <c r="H431" t="s">
        <v>253</v>
      </c>
      <c r="I431">
        <v>2</v>
      </c>
      <c r="J431" s="6">
        <v>29</v>
      </c>
      <c r="M431" t="str">
        <f t="shared" si="18"/>
        <v>2022_SA_Warnertown_Lentil_Satellite</v>
      </c>
      <c r="N431">
        <f>I431</f>
        <v>2</v>
      </c>
      <c r="O431" t="str">
        <f t="shared" si="19"/>
        <v>2022_SA_Warnertown_Lentil_Satellite_29</v>
      </c>
      <c r="P431" t="str">
        <f t="shared" si="20"/>
        <v>2022_SA_Warnertown_Lentil_SatelliteTOS1VarietyBoltWaterTrtRainFedAgronomyDensity_0.66</v>
      </c>
    </row>
    <row r="432" spans="1:16" x14ac:dyDescent="0.25">
      <c r="G432">
        <v>4</v>
      </c>
      <c r="H432" t="s">
        <v>253</v>
      </c>
      <c r="I432">
        <v>2</v>
      </c>
      <c r="J432" s="6">
        <v>41</v>
      </c>
      <c r="M432" t="str">
        <f t="shared" si="18"/>
        <v>2022_SA_Warnertown_Lentil_Satellite</v>
      </c>
      <c r="N432">
        <f>I432</f>
        <v>2</v>
      </c>
      <c r="O432" t="str">
        <f t="shared" si="19"/>
        <v>2022_SA_Warnertown_Lentil_Satellite_41</v>
      </c>
      <c r="P432" t="str">
        <f t="shared" si="20"/>
        <v>2022_SA_Warnertown_Lentil_SatelliteTOS1VarietyBoltWaterTrtRainFedAgronomyDensity_0.66</v>
      </c>
    </row>
    <row r="433" spans="1:16" x14ac:dyDescent="0.25">
      <c r="A433" t="s">
        <v>4274</v>
      </c>
      <c r="B433" t="s">
        <v>1712</v>
      </c>
      <c r="C433">
        <v>1</v>
      </c>
      <c r="D433" t="s">
        <v>4187</v>
      </c>
      <c r="E433" t="s">
        <v>40</v>
      </c>
      <c r="F433" t="s">
        <v>1513</v>
      </c>
      <c r="G433">
        <v>1</v>
      </c>
      <c r="H433" t="s">
        <v>253</v>
      </c>
      <c r="I433">
        <v>3</v>
      </c>
      <c r="J433" s="6">
        <v>12</v>
      </c>
      <c r="M433" t="str">
        <f t="shared" si="18"/>
        <v>2022_SA_Warnertown_Lentil_Satellite</v>
      </c>
      <c r="N433">
        <f>I433</f>
        <v>3</v>
      </c>
      <c r="O433" t="str">
        <f t="shared" si="19"/>
        <v>2022_SA_Warnertown_Lentil_Satellite_12</v>
      </c>
      <c r="P433" t="str">
        <f t="shared" si="20"/>
        <v>2022_SA_Warnertown_Lentil_SatelliteTOS1VarietyBoltWaterTrtRainFedAgronomyDensity_1</v>
      </c>
    </row>
    <row r="434" spans="1:16" x14ac:dyDescent="0.25">
      <c r="G434">
        <v>2</v>
      </c>
      <c r="H434" t="s">
        <v>253</v>
      </c>
      <c r="I434">
        <v>2</v>
      </c>
      <c r="J434" s="6">
        <v>23</v>
      </c>
      <c r="M434" t="str">
        <f t="shared" si="18"/>
        <v>2022_SA_Warnertown_Lentil_Satellite</v>
      </c>
      <c r="N434">
        <f>I434</f>
        <v>2</v>
      </c>
      <c r="O434" t="str">
        <f t="shared" si="19"/>
        <v>2022_SA_Warnertown_Lentil_Satellite_23</v>
      </c>
      <c r="P434" t="str">
        <f t="shared" si="20"/>
        <v>2022_SA_Warnertown_Lentil_SatelliteTOS1VarietyBoltWaterTrtRainFedAgronomyDensity_1</v>
      </c>
    </row>
    <row r="435" spans="1:16" x14ac:dyDescent="0.25">
      <c r="G435">
        <v>3</v>
      </c>
      <c r="H435" t="s">
        <v>253</v>
      </c>
      <c r="I435">
        <v>3</v>
      </c>
      <c r="J435" s="6">
        <v>27</v>
      </c>
      <c r="M435" t="str">
        <f t="shared" si="18"/>
        <v>2022_SA_Warnertown_Lentil_Satellite</v>
      </c>
      <c r="N435">
        <f>I435</f>
        <v>3</v>
      </c>
      <c r="O435" t="str">
        <f t="shared" si="19"/>
        <v>2022_SA_Warnertown_Lentil_Satellite_27</v>
      </c>
      <c r="P435" t="str">
        <f t="shared" si="20"/>
        <v>2022_SA_Warnertown_Lentil_SatelliteTOS1VarietyBoltWaterTrtRainFedAgronomyDensity_1</v>
      </c>
    </row>
    <row r="436" spans="1:16" x14ac:dyDescent="0.25">
      <c r="G436">
        <v>4</v>
      </c>
      <c r="H436" t="s">
        <v>253</v>
      </c>
      <c r="I436">
        <v>1</v>
      </c>
      <c r="J436" s="6">
        <v>40</v>
      </c>
      <c r="M436" t="str">
        <f t="shared" si="18"/>
        <v>2022_SA_Warnertown_Lentil_Satellite</v>
      </c>
      <c r="N436">
        <f>I436</f>
        <v>1</v>
      </c>
      <c r="O436" t="str">
        <f t="shared" si="19"/>
        <v>2022_SA_Warnertown_Lentil_Satellite_40</v>
      </c>
      <c r="P436" t="str">
        <f t="shared" si="20"/>
        <v>2022_SA_Warnertown_Lentil_SatelliteTOS1VarietyBoltWaterTrtRainFedAgronomyDensity_1</v>
      </c>
    </row>
    <row r="437" spans="1:16" x14ac:dyDescent="0.25">
      <c r="A437" t="s">
        <v>4275</v>
      </c>
      <c r="B437" t="s">
        <v>1712</v>
      </c>
      <c r="C437">
        <v>1</v>
      </c>
      <c r="D437" t="s">
        <v>4189</v>
      </c>
      <c r="E437" t="s">
        <v>40</v>
      </c>
      <c r="F437" t="s">
        <v>1513</v>
      </c>
      <c r="G437">
        <v>1</v>
      </c>
      <c r="H437" t="s">
        <v>253</v>
      </c>
      <c r="I437">
        <v>1</v>
      </c>
      <c r="J437" s="6">
        <v>7</v>
      </c>
      <c r="M437" t="str">
        <f t="shared" si="18"/>
        <v>2022_SA_Warnertown_Lentil_Satellite</v>
      </c>
      <c r="N437">
        <f>I437</f>
        <v>1</v>
      </c>
      <c r="O437" t="str">
        <f t="shared" si="19"/>
        <v>2022_SA_Warnertown_Lentil_Satellite_7</v>
      </c>
      <c r="P437" t="str">
        <f t="shared" si="20"/>
        <v>2022_SA_Warnertown_Lentil_SatelliteTOS1VarietyHallmarkXTWaterTrtRainFedAgronomyDensity_1</v>
      </c>
    </row>
    <row r="438" spans="1:16" x14ac:dyDescent="0.25">
      <c r="G438">
        <v>2</v>
      </c>
      <c r="H438" t="s">
        <v>253</v>
      </c>
      <c r="I438">
        <v>1</v>
      </c>
      <c r="J438" s="6">
        <v>22</v>
      </c>
      <c r="M438" t="str">
        <f t="shared" si="18"/>
        <v>2022_SA_Warnertown_Lentil_Satellite</v>
      </c>
      <c r="N438">
        <f>I438</f>
        <v>1</v>
      </c>
      <c r="O438" t="str">
        <f t="shared" si="19"/>
        <v>2022_SA_Warnertown_Lentil_Satellite_22</v>
      </c>
      <c r="P438" t="str">
        <f t="shared" si="20"/>
        <v>2022_SA_Warnertown_Lentil_SatelliteTOS1VarietyHallmarkXTWaterTrtRainFedAgronomyDensity_1</v>
      </c>
    </row>
    <row r="439" spans="1:16" x14ac:dyDescent="0.25">
      <c r="G439">
        <v>3</v>
      </c>
      <c r="H439" t="s">
        <v>253</v>
      </c>
      <c r="I439">
        <v>2</v>
      </c>
      <c r="J439" s="6">
        <v>26</v>
      </c>
      <c r="M439" t="str">
        <f t="shared" si="18"/>
        <v>2022_SA_Warnertown_Lentil_Satellite</v>
      </c>
      <c r="N439">
        <f>I439</f>
        <v>2</v>
      </c>
      <c r="O439" t="str">
        <f t="shared" si="19"/>
        <v>2022_SA_Warnertown_Lentil_Satellite_26</v>
      </c>
      <c r="P439" t="str">
        <f t="shared" si="20"/>
        <v>2022_SA_Warnertown_Lentil_SatelliteTOS1VarietyHallmarkXTWaterTrtRainFedAgronomyDensity_1</v>
      </c>
    </row>
    <row r="440" spans="1:16" x14ac:dyDescent="0.25">
      <c r="G440">
        <v>4</v>
      </c>
      <c r="H440" t="s">
        <v>253</v>
      </c>
      <c r="I440">
        <v>1</v>
      </c>
      <c r="J440" s="6">
        <v>37</v>
      </c>
      <c r="M440" t="str">
        <f t="shared" si="18"/>
        <v>2022_SA_Warnertown_Lentil_Satellite</v>
      </c>
      <c r="N440">
        <f>I440</f>
        <v>1</v>
      </c>
      <c r="O440" t="str">
        <f t="shared" si="19"/>
        <v>2022_SA_Warnertown_Lentil_Satellite_37</v>
      </c>
      <c r="P440" t="str">
        <f t="shared" si="20"/>
        <v>2022_SA_Warnertown_Lentil_SatelliteTOS1VarietyHallmarkXTWaterTrtRainFedAgronomyDensity_1</v>
      </c>
    </row>
    <row r="441" spans="1:16" x14ac:dyDescent="0.25">
      <c r="A441" t="s">
        <v>4276</v>
      </c>
      <c r="B441" t="s">
        <v>1712</v>
      </c>
      <c r="C441">
        <v>1</v>
      </c>
      <c r="D441" t="s">
        <v>4176</v>
      </c>
      <c r="E441" t="s">
        <v>40</v>
      </c>
      <c r="F441" t="s">
        <v>1511</v>
      </c>
      <c r="G441">
        <v>1</v>
      </c>
      <c r="H441" t="s">
        <v>253</v>
      </c>
      <c r="I441">
        <v>3</v>
      </c>
      <c r="J441" s="6">
        <v>9</v>
      </c>
      <c r="M441" t="str">
        <f t="shared" si="18"/>
        <v>2022_SA_Warnertown_Lentil_Satellite</v>
      </c>
      <c r="N441">
        <f>I441</f>
        <v>3</v>
      </c>
      <c r="O441" t="str">
        <f t="shared" si="19"/>
        <v>2022_SA_Warnertown_Lentil_Satellite_9</v>
      </c>
      <c r="P441" t="str">
        <f t="shared" si="20"/>
        <v>2022_SA_Warnertown_Lentil_SatelliteTOS1VarietyJumbo2WaterTrtRainFedAgronomyDensity_0.66</v>
      </c>
    </row>
    <row r="442" spans="1:16" x14ac:dyDescent="0.25">
      <c r="G442">
        <v>2</v>
      </c>
      <c r="H442" t="s">
        <v>253</v>
      </c>
      <c r="I442">
        <v>2</v>
      </c>
      <c r="J442" s="6">
        <v>20</v>
      </c>
      <c r="M442" t="str">
        <f t="shared" si="18"/>
        <v>2022_SA_Warnertown_Lentil_Satellite</v>
      </c>
      <c r="N442">
        <f>I442</f>
        <v>2</v>
      </c>
      <c r="O442" t="str">
        <f t="shared" si="19"/>
        <v>2022_SA_Warnertown_Lentil_Satellite_20</v>
      </c>
      <c r="P442" t="str">
        <f t="shared" si="20"/>
        <v>2022_SA_Warnertown_Lentil_SatelliteTOS1VarietyJumbo2WaterTrtRainFedAgronomyDensity_0.66</v>
      </c>
    </row>
    <row r="443" spans="1:16" x14ac:dyDescent="0.25">
      <c r="G443">
        <v>3</v>
      </c>
      <c r="H443" t="s">
        <v>253</v>
      </c>
      <c r="I443">
        <v>1</v>
      </c>
      <c r="J443" s="6">
        <v>28</v>
      </c>
      <c r="M443" t="str">
        <f t="shared" si="18"/>
        <v>2022_SA_Warnertown_Lentil_Satellite</v>
      </c>
      <c r="N443">
        <f>I443</f>
        <v>1</v>
      </c>
      <c r="O443" t="str">
        <f t="shared" si="19"/>
        <v>2022_SA_Warnertown_Lentil_Satellite_28</v>
      </c>
      <c r="P443" t="str">
        <f t="shared" si="20"/>
        <v>2022_SA_Warnertown_Lentil_SatelliteTOS1VarietyJumbo2WaterTrtRainFedAgronomyDensity_0.66</v>
      </c>
    </row>
    <row r="444" spans="1:16" x14ac:dyDescent="0.25">
      <c r="G444">
        <v>4</v>
      </c>
      <c r="H444" t="s">
        <v>253</v>
      </c>
      <c r="I444">
        <v>2</v>
      </c>
      <c r="J444" s="6">
        <v>38</v>
      </c>
      <c r="M444" t="str">
        <f t="shared" si="18"/>
        <v>2022_SA_Warnertown_Lentil_Satellite</v>
      </c>
      <c r="N444">
        <f>I444</f>
        <v>2</v>
      </c>
      <c r="O444" t="str">
        <f t="shared" si="19"/>
        <v>2022_SA_Warnertown_Lentil_Satellite_38</v>
      </c>
      <c r="P444" t="str">
        <f t="shared" si="20"/>
        <v>2022_SA_Warnertown_Lentil_SatelliteTOS1VarietyJumbo2WaterTrtRainFedAgronomyDensity_0.66</v>
      </c>
    </row>
    <row r="445" spans="1:16" x14ac:dyDescent="0.25">
      <c r="A445" t="s">
        <v>4277</v>
      </c>
      <c r="B445" t="s">
        <v>1712</v>
      </c>
      <c r="C445">
        <v>1</v>
      </c>
      <c r="D445" t="s">
        <v>4176</v>
      </c>
      <c r="E445" t="s">
        <v>40</v>
      </c>
      <c r="F445" t="s">
        <v>1513</v>
      </c>
      <c r="G445">
        <v>1</v>
      </c>
      <c r="H445" t="s">
        <v>253</v>
      </c>
      <c r="I445">
        <v>1</v>
      </c>
      <c r="J445" s="6">
        <v>10</v>
      </c>
      <c r="M445" t="str">
        <f t="shared" si="18"/>
        <v>2022_SA_Warnertown_Lentil_Satellite</v>
      </c>
      <c r="N445">
        <f>I445</f>
        <v>1</v>
      </c>
      <c r="O445" t="str">
        <f t="shared" si="19"/>
        <v>2022_SA_Warnertown_Lentil_Satellite_10</v>
      </c>
      <c r="P445" t="str">
        <f t="shared" si="20"/>
        <v>2022_SA_Warnertown_Lentil_SatelliteTOS1VarietyJumbo2WaterTrtRainFedAgronomyDensity_1</v>
      </c>
    </row>
    <row r="446" spans="1:16" x14ac:dyDescent="0.25">
      <c r="G446">
        <v>2</v>
      </c>
      <c r="H446" t="s">
        <v>253</v>
      </c>
      <c r="I446">
        <v>1</v>
      </c>
      <c r="J446" s="6">
        <v>19</v>
      </c>
      <c r="M446" t="str">
        <f t="shared" si="18"/>
        <v>2022_SA_Warnertown_Lentil_Satellite</v>
      </c>
      <c r="N446">
        <f>I446</f>
        <v>1</v>
      </c>
      <c r="O446" t="str">
        <f t="shared" si="19"/>
        <v>2022_SA_Warnertown_Lentil_Satellite_19</v>
      </c>
      <c r="P446" t="str">
        <f t="shared" si="20"/>
        <v>2022_SA_Warnertown_Lentil_SatelliteTOS1VarietyJumbo2WaterTrtRainFedAgronomyDensity_1</v>
      </c>
    </row>
    <row r="447" spans="1:16" x14ac:dyDescent="0.25">
      <c r="G447">
        <v>3</v>
      </c>
      <c r="H447" t="s">
        <v>253</v>
      </c>
      <c r="I447">
        <v>3</v>
      </c>
      <c r="J447" s="6">
        <v>30</v>
      </c>
      <c r="M447" t="str">
        <f t="shared" si="18"/>
        <v>2022_SA_Warnertown_Lentil_Satellite</v>
      </c>
      <c r="N447">
        <f>I447</f>
        <v>3</v>
      </c>
      <c r="O447" t="str">
        <f t="shared" si="19"/>
        <v>2022_SA_Warnertown_Lentil_Satellite_30</v>
      </c>
      <c r="P447" t="str">
        <f t="shared" si="20"/>
        <v>2022_SA_Warnertown_Lentil_SatelliteTOS1VarietyJumbo2WaterTrtRainFedAgronomyDensity_1</v>
      </c>
    </row>
    <row r="448" spans="1:16" x14ac:dyDescent="0.25">
      <c r="G448">
        <v>4</v>
      </c>
      <c r="H448" t="s">
        <v>253</v>
      </c>
      <c r="I448">
        <v>3</v>
      </c>
      <c r="J448" s="6">
        <v>42</v>
      </c>
      <c r="M448" t="str">
        <f t="shared" si="18"/>
        <v>2022_SA_Warnertown_Lentil_Satellite</v>
      </c>
      <c r="N448">
        <f>I448</f>
        <v>3</v>
      </c>
      <c r="O448" t="str">
        <f t="shared" si="19"/>
        <v>2022_SA_Warnertown_Lentil_Satellite_42</v>
      </c>
      <c r="P448" t="str">
        <f t="shared" si="20"/>
        <v>2022_SA_Warnertown_Lentil_SatelliteTOS1VarietyJumbo2WaterTrtRainFedAgronomyDensity_1</v>
      </c>
    </row>
    <row r="449" spans="1:16" x14ac:dyDescent="0.25">
      <c r="A449" t="s">
        <v>4278</v>
      </c>
      <c r="B449" t="s">
        <v>1712</v>
      </c>
      <c r="C449">
        <v>1</v>
      </c>
      <c r="D449" t="s">
        <v>4188</v>
      </c>
      <c r="E449" t="s">
        <v>40</v>
      </c>
      <c r="F449" t="s">
        <v>1513</v>
      </c>
      <c r="G449">
        <v>1</v>
      </c>
      <c r="H449" t="s">
        <v>253</v>
      </c>
      <c r="I449">
        <v>2</v>
      </c>
      <c r="J449" s="6">
        <v>11</v>
      </c>
      <c r="M449" t="str">
        <f t="shared" si="18"/>
        <v>2022_SA_Warnertown_Lentil_Satellite</v>
      </c>
      <c r="N449">
        <f>I449</f>
        <v>2</v>
      </c>
      <c r="O449" t="str">
        <f t="shared" si="19"/>
        <v>2022_SA_Warnertown_Lentil_Satellite_11</v>
      </c>
      <c r="P449" t="str">
        <f t="shared" si="20"/>
        <v>2022_SA_Warnertown_Lentil_SatelliteTOS1VarietyKelpieXTWaterTrtRainFedAgronomyDensity_1</v>
      </c>
    </row>
    <row r="450" spans="1:16" x14ac:dyDescent="0.25">
      <c r="G450">
        <v>2</v>
      </c>
      <c r="H450" t="s">
        <v>253</v>
      </c>
      <c r="I450">
        <v>3</v>
      </c>
      <c r="J450" s="6">
        <v>21</v>
      </c>
      <c r="M450" t="str">
        <f t="shared" si="18"/>
        <v>2022_SA_Warnertown_Lentil_Satellite</v>
      </c>
      <c r="N450">
        <f>I450</f>
        <v>3</v>
      </c>
      <c r="O450" t="str">
        <f t="shared" si="19"/>
        <v>2022_SA_Warnertown_Lentil_Satellite_21</v>
      </c>
      <c r="P450" t="str">
        <f t="shared" si="20"/>
        <v>2022_SA_Warnertown_Lentil_SatelliteTOS1VarietyKelpieXTWaterTrtRainFedAgronomyDensity_1</v>
      </c>
    </row>
    <row r="451" spans="1:16" x14ac:dyDescent="0.25">
      <c r="G451">
        <v>3</v>
      </c>
      <c r="H451" t="s">
        <v>253</v>
      </c>
      <c r="I451">
        <v>1</v>
      </c>
      <c r="J451" s="6">
        <v>25</v>
      </c>
      <c r="M451" t="str">
        <f t="shared" si="18"/>
        <v>2022_SA_Warnertown_Lentil_Satellite</v>
      </c>
      <c r="N451">
        <f>I451</f>
        <v>1</v>
      </c>
      <c r="O451" t="str">
        <f t="shared" si="19"/>
        <v>2022_SA_Warnertown_Lentil_Satellite_25</v>
      </c>
      <c r="P451" t="str">
        <f t="shared" si="20"/>
        <v>2022_SA_Warnertown_Lentil_SatelliteTOS1VarietyKelpieXTWaterTrtRainFedAgronomyDensity_1</v>
      </c>
    </row>
    <row r="452" spans="1:16" x14ac:dyDescent="0.25">
      <c r="G452">
        <v>4</v>
      </c>
      <c r="H452" t="s">
        <v>253</v>
      </c>
      <c r="I452">
        <v>3</v>
      </c>
      <c r="J452" s="6">
        <v>39</v>
      </c>
      <c r="M452" t="str">
        <f t="shared" si="18"/>
        <v>2022_SA_Warnertown_Lentil_Satellite</v>
      </c>
      <c r="N452">
        <f>I452</f>
        <v>3</v>
      </c>
      <c r="O452" t="str">
        <f t="shared" si="19"/>
        <v>2022_SA_Warnertown_Lentil_Satellite_39</v>
      </c>
      <c r="P452" t="str">
        <f t="shared" si="20"/>
        <v>2022_SA_Warnertown_Lentil_SatelliteTOS1VarietyKelpieXTWaterTrtRainFedAgronomyDensity_1</v>
      </c>
    </row>
    <row r="453" spans="1:16" x14ac:dyDescent="0.25">
      <c r="A453" t="s">
        <v>4279</v>
      </c>
      <c r="B453" t="s">
        <v>1712</v>
      </c>
      <c r="C453">
        <v>2</v>
      </c>
      <c r="D453" t="s">
        <v>4187</v>
      </c>
      <c r="E453" t="s">
        <v>40</v>
      </c>
      <c r="F453" t="s">
        <v>1511</v>
      </c>
      <c r="G453">
        <v>1</v>
      </c>
      <c r="H453" t="s">
        <v>253</v>
      </c>
      <c r="I453">
        <v>3</v>
      </c>
      <c r="J453" s="6">
        <v>3</v>
      </c>
      <c r="M453" t="str">
        <f t="shared" si="18"/>
        <v>2022_SA_Warnertown_Lentil_Satellite</v>
      </c>
      <c r="N453">
        <f>I453</f>
        <v>3</v>
      </c>
      <c r="O453" t="str">
        <f t="shared" si="19"/>
        <v>2022_SA_Warnertown_Lentil_Satellite_3</v>
      </c>
      <c r="P453" t="str">
        <f t="shared" si="20"/>
        <v>2022_SA_Warnertown_Lentil_SatelliteTOS2VarietyBoltWaterTrtRainFedAgronomyDensity_0.66</v>
      </c>
    </row>
    <row r="454" spans="1:16" x14ac:dyDescent="0.25">
      <c r="G454">
        <v>2</v>
      </c>
      <c r="H454" t="s">
        <v>253</v>
      </c>
      <c r="I454">
        <v>1</v>
      </c>
      <c r="J454" s="6">
        <v>16</v>
      </c>
      <c r="M454" t="str">
        <f t="shared" ref="M454:M517" si="21">IF(B454="",M453,B454)</f>
        <v>2022_SA_Warnertown_Lentil_Satellite</v>
      </c>
      <c r="N454">
        <f>I454</f>
        <v>1</v>
      </c>
      <c r="O454" t="str">
        <f t="shared" ref="O454:O517" si="22">M454&amp;"_"&amp;J454</f>
        <v>2022_SA_Warnertown_Lentil_Satellite_16</v>
      </c>
      <c r="P454" t="str">
        <f t="shared" ref="P454:P517" si="23">IF(A454="",P453,A454)</f>
        <v>2022_SA_Warnertown_Lentil_SatelliteTOS2VarietyBoltWaterTrtRainFedAgronomyDensity_0.66</v>
      </c>
    </row>
    <row r="455" spans="1:16" x14ac:dyDescent="0.25">
      <c r="G455">
        <v>3</v>
      </c>
      <c r="H455" t="s">
        <v>253</v>
      </c>
      <c r="I455">
        <v>3</v>
      </c>
      <c r="J455" s="6">
        <v>36</v>
      </c>
      <c r="M455" t="str">
        <f t="shared" si="21"/>
        <v>2022_SA_Warnertown_Lentil_Satellite</v>
      </c>
      <c r="N455">
        <f>I455</f>
        <v>3</v>
      </c>
      <c r="O455" t="str">
        <f t="shared" si="22"/>
        <v>2022_SA_Warnertown_Lentil_Satellite_36</v>
      </c>
      <c r="P455" t="str">
        <f t="shared" si="23"/>
        <v>2022_SA_Warnertown_Lentil_SatelliteTOS2VarietyBoltWaterTrtRainFedAgronomyDensity_0.66</v>
      </c>
    </row>
    <row r="456" spans="1:16" x14ac:dyDescent="0.25">
      <c r="G456">
        <v>4</v>
      </c>
      <c r="H456" t="s">
        <v>253</v>
      </c>
      <c r="I456">
        <v>1</v>
      </c>
      <c r="J456" s="6">
        <v>43</v>
      </c>
      <c r="M456" t="str">
        <f t="shared" si="21"/>
        <v>2022_SA_Warnertown_Lentil_Satellite</v>
      </c>
      <c r="N456">
        <f>I456</f>
        <v>1</v>
      </c>
      <c r="O456" t="str">
        <f t="shared" si="22"/>
        <v>2022_SA_Warnertown_Lentil_Satellite_43</v>
      </c>
      <c r="P456" t="str">
        <f t="shared" si="23"/>
        <v>2022_SA_Warnertown_Lentil_SatelliteTOS2VarietyBoltWaterTrtRainFedAgronomyDensity_0.66</v>
      </c>
    </row>
    <row r="457" spans="1:16" x14ac:dyDescent="0.25">
      <c r="A457" t="s">
        <v>4280</v>
      </c>
      <c r="B457" t="s">
        <v>1712</v>
      </c>
      <c r="C457">
        <v>2</v>
      </c>
      <c r="D457" t="s">
        <v>4187</v>
      </c>
      <c r="E457" t="s">
        <v>40</v>
      </c>
      <c r="F457" t="s">
        <v>1513</v>
      </c>
      <c r="G457">
        <v>1</v>
      </c>
      <c r="H457" t="s">
        <v>253</v>
      </c>
      <c r="I457">
        <v>3</v>
      </c>
      <c r="J457" s="6">
        <v>6</v>
      </c>
      <c r="M457" t="str">
        <f t="shared" si="21"/>
        <v>2022_SA_Warnertown_Lentil_Satellite</v>
      </c>
      <c r="N457">
        <f>I457</f>
        <v>3</v>
      </c>
      <c r="O457" t="str">
        <f t="shared" si="22"/>
        <v>2022_SA_Warnertown_Lentil_Satellite_6</v>
      </c>
      <c r="P457" t="str">
        <f t="shared" si="23"/>
        <v>2022_SA_Warnertown_Lentil_SatelliteTOS2VarietyBoltWaterTrtRainFedAgronomyDensity_1</v>
      </c>
    </row>
    <row r="458" spans="1:16" x14ac:dyDescent="0.25">
      <c r="G458">
        <v>2</v>
      </c>
      <c r="H458" t="s">
        <v>253</v>
      </c>
      <c r="I458">
        <v>1</v>
      </c>
      <c r="J458" s="6">
        <v>13</v>
      </c>
      <c r="M458" t="str">
        <f t="shared" si="21"/>
        <v>2022_SA_Warnertown_Lentil_Satellite</v>
      </c>
      <c r="N458">
        <f>I458</f>
        <v>1</v>
      </c>
      <c r="O458" t="str">
        <f t="shared" si="22"/>
        <v>2022_SA_Warnertown_Lentil_Satellite_13</v>
      </c>
      <c r="P458" t="str">
        <f t="shared" si="23"/>
        <v>2022_SA_Warnertown_Lentil_SatelliteTOS2VarietyBoltWaterTrtRainFedAgronomyDensity_1</v>
      </c>
    </row>
    <row r="459" spans="1:16" x14ac:dyDescent="0.25">
      <c r="G459">
        <v>3</v>
      </c>
      <c r="H459" t="s">
        <v>253</v>
      </c>
      <c r="I459">
        <v>1</v>
      </c>
      <c r="J459" s="6">
        <v>31</v>
      </c>
      <c r="M459" t="str">
        <f t="shared" si="21"/>
        <v>2022_SA_Warnertown_Lentil_Satellite</v>
      </c>
      <c r="N459">
        <f>I459</f>
        <v>1</v>
      </c>
      <c r="O459" t="str">
        <f t="shared" si="22"/>
        <v>2022_SA_Warnertown_Lentil_Satellite_31</v>
      </c>
      <c r="P459" t="str">
        <f t="shared" si="23"/>
        <v>2022_SA_Warnertown_Lentil_SatelliteTOS2VarietyBoltWaterTrtRainFedAgronomyDensity_1</v>
      </c>
    </row>
    <row r="460" spans="1:16" x14ac:dyDescent="0.25">
      <c r="G460">
        <v>4</v>
      </c>
      <c r="H460" t="s">
        <v>253</v>
      </c>
      <c r="I460">
        <v>2</v>
      </c>
      <c r="J460" s="6">
        <v>44</v>
      </c>
      <c r="M460" t="str">
        <f t="shared" si="21"/>
        <v>2022_SA_Warnertown_Lentil_Satellite</v>
      </c>
      <c r="N460">
        <f>I460</f>
        <v>2</v>
      </c>
      <c r="O460" t="str">
        <f t="shared" si="22"/>
        <v>2022_SA_Warnertown_Lentil_Satellite_44</v>
      </c>
      <c r="P460" t="str">
        <f t="shared" si="23"/>
        <v>2022_SA_Warnertown_Lentil_SatelliteTOS2VarietyBoltWaterTrtRainFedAgronomyDensity_1</v>
      </c>
    </row>
    <row r="461" spans="1:16" x14ac:dyDescent="0.25">
      <c r="A461" t="s">
        <v>4281</v>
      </c>
      <c r="B461" t="s">
        <v>1712</v>
      </c>
      <c r="C461">
        <v>2</v>
      </c>
      <c r="D461" t="s">
        <v>4189</v>
      </c>
      <c r="E461" t="s">
        <v>40</v>
      </c>
      <c r="F461" t="s">
        <v>1513</v>
      </c>
      <c r="G461">
        <v>1</v>
      </c>
      <c r="H461" t="s">
        <v>253</v>
      </c>
      <c r="I461">
        <v>2</v>
      </c>
      <c r="J461" s="6">
        <v>5</v>
      </c>
      <c r="M461" t="str">
        <f t="shared" si="21"/>
        <v>2022_SA_Warnertown_Lentil_Satellite</v>
      </c>
      <c r="N461">
        <f>I461</f>
        <v>2</v>
      </c>
      <c r="O461" t="str">
        <f t="shared" si="22"/>
        <v>2022_SA_Warnertown_Lentil_Satellite_5</v>
      </c>
      <c r="P461" t="str">
        <f t="shared" si="23"/>
        <v>2022_SA_Warnertown_Lentil_SatelliteTOS2VarietyHallmarkXTWaterTrtRainFedAgronomyDensity_1</v>
      </c>
    </row>
    <row r="462" spans="1:16" x14ac:dyDescent="0.25">
      <c r="G462">
        <v>2</v>
      </c>
      <c r="H462" t="s">
        <v>253</v>
      </c>
      <c r="I462">
        <v>3</v>
      </c>
      <c r="J462" s="6">
        <v>18</v>
      </c>
      <c r="M462" t="str">
        <f t="shared" si="21"/>
        <v>2022_SA_Warnertown_Lentil_Satellite</v>
      </c>
      <c r="N462">
        <f>I462</f>
        <v>3</v>
      </c>
      <c r="O462" t="str">
        <f t="shared" si="22"/>
        <v>2022_SA_Warnertown_Lentil_Satellite_18</v>
      </c>
      <c r="P462" t="str">
        <f t="shared" si="23"/>
        <v>2022_SA_Warnertown_Lentil_SatelliteTOS2VarietyHallmarkXTWaterTrtRainFedAgronomyDensity_1</v>
      </c>
    </row>
    <row r="463" spans="1:16" x14ac:dyDescent="0.25">
      <c r="G463">
        <v>3</v>
      </c>
      <c r="H463" t="s">
        <v>253</v>
      </c>
      <c r="I463">
        <v>3</v>
      </c>
      <c r="J463" s="6">
        <v>33</v>
      </c>
      <c r="M463" t="str">
        <f t="shared" si="21"/>
        <v>2022_SA_Warnertown_Lentil_Satellite</v>
      </c>
      <c r="N463">
        <f>I463</f>
        <v>3</v>
      </c>
      <c r="O463" t="str">
        <f t="shared" si="22"/>
        <v>2022_SA_Warnertown_Lentil_Satellite_33</v>
      </c>
      <c r="P463" t="str">
        <f t="shared" si="23"/>
        <v>2022_SA_Warnertown_Lentil_SatelliteTOS2VarietyHallmarkXTWaterTrtRainFedAgronomyDensity_1</v>
      </c>
    </row>
    <row r="464" spans="1:16" x14ac:dyDescent="0.25">
      <c r="G464">
        <v>4</v>
      </c>
      <c r="H464" t="s">
        <v>253</v>
      </c>
      <c r="I464">
        <v>3</v>
      </c>
      <c r="J464" s="6">
        <v>48</v>
      </c>
      <c r="M464" t="str">
        <f t="shared" si="21"/>
        <v>2022_SA_Warnertown_Lentil_Satellite</v>
      </c>
      <c r="N464">
        <f>I464</f>
        <v>3</v>
      </c>
      <c r="O464" t="str">
        <f t="shared" si="22"/>
        <v>2022_SA_Warnertown_Lentil_Satellite_48</v>
      </c>
      <c r="P464" t="str">
        <f t="shared" si="23"/>
        <v>2022_SA_Warnertown_Lentil_SatelliteTOS2VarietyHallmarkXTWaterTrtRainFedAgronomyDensity_1</v>
      </c>
    </row>
    <row r="465" spans="1:16" x14ac:dyDescent="0.25">
      <c r="A465" t="s">
        <v>4282</v>
      </c>
      <c r="B465" t="s">
        <v>1712</v>
      </c>
      <c r="C465">
        <v>2</v>
      </c>
      <c r="D465" t="s">
        <v>4176</v>
      </c>
      <c r="E465" t="s">
        <v>40</v>
      </c>
      <c r="F465" t="s">
        <v>1511</v>
      </c>
      <c r="G465">
        <v>1</v>
      </c>
      <c r="H465" t="s">
        <v>253</v>
      </c>
      <c r="I465">
        <v>1</v>
      </c>
      <c r="J465" s="6">
        <v>1</v>
      </c>
      <c r="M465" t="str">
        <f t="shared" si="21"/>
        <v>2022_SA_Warnertown_Lentil_Satellite</v>
      </c>
      <c r="N465">
        <f>I465</f>
        <v>1</v>
      </c>
      <c r="O465" t="str">
        <f t="shared" si="22"/>
        <v>2022_SA_Warnertown_Lentil_Satellite_1</v>
      </c>
      <c r="P465" t="str">
        <f t="shared" si="23"/>
        <v>2022_SA_Warnertown_Lentil_SatelliteTOS2VarietyJumbo2WaterTrtRainFedAgronomyDensity_0.66</v>
      </c>
    </row>
    <row r="466" spans="1:16" x14ac:dyDescent="0.25">
      <c r="G466">
        <v>2</v>
      </c>
      <c r="H466" t="s">
        <v>253</v>
      </c>
      <c r="I466">
        <v>3</v>
      </c>
      <c r="J466" s="6">
        <v>15</v>
      </c>
      <c r="M466" t="str">
        <f t="shared" si="21"/>
        <v>2022_SA_Warnertown_Lentil_Satellite</v>
      </c>
      <c r="N466">
        <f>I466</f>
        <v>3</v>
      </c>
      <c r="O466" t="str">
        <f t="shared" si="22"/>
        <v>2022_SA_Warnertown_Lentil_Satellite_15</v>
      </c>
      <c r="P466" t="str">
        <f t="shared" si="23"/>
        <v>2022_SA_Warnertown_Lentil_SatelliteTOS2VarietyJumbo2WaterTrtRainFedAgronomyDensity_0.66</v>
      </c>
    </row>
    <row r="467" spans="1:16" x14ac:dyDescent="0.25">
      <c r="G467">
        <v>3</v>
      </c>
      <c r="H467" t="s">
        <v>253</v>
      </c>
      <c r="I467">
        <v>2</v>
      </c>
      <c r="J467" s="6">
        <v>32</v>
      </c>
      <c r="M467" t="str">
        <f t="shared" si="21"/>
        <v>2022_SA_Warnertown_Lentil_Satellite</v>
      </c>
      <c r="N467">
        <f>I467</f>
        <v>2</v>
      </c>
      <c r="O467" t="str">
        <f t="shared" si="22"/>
        <v>2022_SA_Warnertown_Lentil_Satellite_32</v>
      </c>
      <c r="P467" t="str">
        <f t="shared" si="23"/>
        <v>2022_SA_Warnertown_Lentil_SatelliteTOS2VarietyJumbo2WaterTrtRainFedAgronomyDensity_0.66</v>
      </c>
    </row>
    <row r="468" spans="1:16" x14ac:dyDescent="0.25">
      <c r="G468">
        <v>4</v>
      </c>
      <c r="H468" t="s">
        <v>253</v>
      </c>
      <c r="I468">
        <v>1</v>
      </c>
      <c r="J468" s="6">
        <v>46</v>
      </c>
      <c r="M468" t="str">
        <f t="shared" si="21"/>
        <v>2022_SA_Warnertown_Lentil_Satellite</v>
      </c>
      <c r="N468">
        <f>I468</f>
        <v>1</v>
      </c>
      <c r="O468" t="str">
        <f t="shared" si="22"/>
        <v>2022_SA_Warnertown_Lentil_Satellite_46</v>
      </c>
      <c r="P468" t="str">
        <f t="shared" si="23"/>
        <v>2022_SA_Warnertown_Lentil_SatelliteTOS2VarietyJumbo2WaterTrtRainFedAgronomyDensity_0.66</v>
      </c>
    </row>
    <row r="469" spans="1:16" x14ac:dyDescent="0.25">
      <c r="A469" t="s">
        <v>4283</v>
      </c>
      <c r="B469" t="s">
        <v>1712</v>
      </c>
      <c r="C469">
        <v>2</v>
      </c>
      <c r="D469" t="s">
        <v>4176</v>
      </c>
      <c r="E469" t="s">
        <v>40</v>
      </c>
      <c r="F469" t="s">
        <v>1513</v>
      </c>
      <c r="G469">
        <v>1</v>
      </c>
      <c r="H469" t="s">
        <v>253</v>
      </c>
      <c r="I469">
        <v>1</v>
      </c>
      <c r="J469" s="6">
        <v>4</v>
      </c>
      <c r="M469" t="str">
        <f t="shared" si="21"/>
        <v>2022_SA_Warnertown_Lentil_Satellite</v>
      </c>
      <c r="N469">
        <f>I469</f>
        <v>1</v>
      </c>
      <c r="O469" t="str">
        <f t="shared" si="22"/>
        <v>2022_SA_Warnertown_Lentil_Satellite_4</v>
      </c>
      <c r="P469" t="str">
        <f t="shared" si="23"/>
        <v>2022_SA_Warnertown_Lentil_SatelliteTOS2VarietyJumbo2WaterTrtRainFedAgronomyDensity_1</v>
      </c>
    </row>
    <row r="470" spans="1:16" x14ac:dyDescent="0.25">
      <c r="G470">
        <v>2</v>
      </c>
      <c r="H470" t="s">
        <v>253</v>
      </c>
      <c r="I470">
        <v>2</v>
      </c>
      <c r="J470" s="6">
        <v>17</v>
      </c>
      <c r="M470" t="str">
        <f t="shared" si="21"/>
        <v>2022_SA_Warnertown_Lentil_Satellite</v>
      </c>
      <c r="N470">
        <f>I470</f>
        <v>2</v>
      </c>
      <c r="O470" t="str">
        <f t="shared" si="22"/>
        <v>2022_SA_Warnertown_Lentil_Satellite_17</v>
      </c>
      <c r="P470" t="str">
        <f t="shared" si="23"/>
        <v>2022_SA_Warnertown_Lentil_SatelliteTOS2VarietyJumbo2WaterTrtRainFedAgronomyDensity_1</v>
      </c>
    </row>
    <row r="471" spans="1:16" x14ac:dyDescent="0.25">
      <c r="G471">
        <v>3</v>
      </c>
      <c r="H471" t="s">
        <v>253</v>
      </c>
      <c r="I471">
        <v>2</v>
      </c>
      <c r="J471" s="6">
        <v>35</v>
      </c>
      <c r="M471" t="str">
        <f t="shared" si="21"/>
        <v>2022_SA_Warnertown_Lentil_Satellite</v>
      </c>
      <c r="N471">
        <f>I471</f>
        <v>2</v>
      </c>
      <c r="O471" t="str">
        <f t="shared" si="22"/>
        <v>2022_SA_Warnertown_Lentil_Satellite_35</v>
      </c>
      <c r="P471" t="str">
        <f t="shared" si="23"/>
        <v>2022_SA_Warnertown_Lentil_SatelliteTOS2VarietyJumbo2WaterTrtRainFedAgronomyDensity_1</v>
      </c>
    </row>
    <row r="472" spans="1:16" x14ac:dyDescent="0.25">
      <c r="G472">
        <v>4</v>
      </c>
      <c r="H472" t="s">
        <v>253</v>
      </c>
      <c r="I472">
        <v>2</v>
      </c>
      <c r="J472" s="6">
        <v>47</v>
      </c>
      <c r="M472" t="str">
        <f t="shared" si="21"/>
        <v>2022_SA_Warnertown_Lentil_Satellite</v>
      </c>
      <c r="N472">
        <f>I472</f>
        <v>2</v>
      </c>
      <c r="O472" t="str">
        <f t="shared" si="22"/>
        <v>2022_SA_Warnertown_Lentil_Satellite_47</v>
      </c>
      <c r="P472" t="str">
        <f t="shared" si="23"/>
        <v>2022_SA_Warnertown_Lentil_SatelliteTOS2VarietyJumbo2WaterTrtRainFedAgronomyDensity_1</v>
      </c>
    </row>
    <row r="473" spans="1:16" x14ac:dyDescent="0.25">
      <c r="A473" t="s">
        <v>4284</v>
      </c>
      <c r="B473" t="s">
        <v>1712</v>
      </c>
      <c r="C473">
        <v>2</v>
      </c>
      <c r="D473" t="s">
        <v>4188</v>
      </c>
      <c r="E473" t="s">
        <v>40</v>
      </c>
      <c r="F473" t="s">
        <v>1513</v>
      </c>
      <c r="G473">
        <v>1</v>
      </c>
      <c r="H473" t="s">
        <v>253</v>
      </c>
      <c r="I473">
        <v>2</v>
      </c>
      <c r="J473" s="6">
        <v>2</v>
      </c>
      <c r="M473" t="str">
        <f t="shared" si="21"/>
        <v>2022_SA_Warnertown_Lentil_Satellite</v>
      </c>
      <c r="N473">
        <f>I473</f>
        <v>2</v>
      </c>
      <c r="O473" t="str">
        <f t="shared" si="22"/>
        <v>2022_SA_Warnertown_Lentil_Satellite_2</v>
      </c>
      <c r="P473" t="str">
        <f t="shared" si="23"/>
        <v>2022_SA_Warnertown_Lentil_SatelliteTOS2VarietyKelpieXTWaterTrtRainFedAgronomyDensity_1</v>
      </c>
    </row>
    <row r="474" spans="1:16" x14ac:dyDescent="0.25">
      <c r="G474">
        <v>2</v>
      </c>
      <c r="H474" t="s">
        <v>253</v>
      </c>
      <c r="I474">
        <v>2</v>
      </c>
      <c r="J474" s="6">
        <v>14</v>
      </c>
      <c r="M474" t="str">
        <f t="shared" si="21"/>
        <v>2022_SA_Warnertown_Lentil_Satellite</v>
      </c>
      <c r="N474">
        <f>I474</f>
        <v>2</v>
      </c>
      <c r="O474" t="str">
        <f t="shared" si="22"/>
        <v>2022_SA_Warnertown_Lentil_Satellite_14</v>
      </c>
      <c r="P474" t="str">
        <f t="shared" si="23"/>
        <v>2022_SA_Warnertown_Lentil_SatelliteTOS2VarietyKelpieXTWaterTrtRainFedAgronomyDensity_1</v>
      </c>
    </row>
    <row r="475" spans="1:16" x14ac:dyDescent="0.25">
      <c r="G475">
        <v>3</v>
      </c>
      <c r="H475" t="s">
        <v>253</v>
      </c>
      <c r="I475">
        <v>1</v>
      </c>
      <c r="J475" s="6">
        <v>34</v>
      </c>
      <c r="M475" t="str">
        <f t="shared" si="21"/>
        <v>2022_SA_Warnertown_Lentil_Satellite</v>
      </c>
      <c r="N475">
        <f>I475</f>
        <v>1</v>
      </c>
      <c r="O475" t="str">
        <f t="shared" si="22"/>
        <v>2022_SA_Warnertown_Lentil_Satellite_34</v>
      </c>
      <c r="P475" t="str">
        <f t="shared" si="23"/>
        <v>2022_SA_Warnertown_Lentil_SatelliteTOS2VarietyKelpieXTWaterTrtRainFedAgronomyDensity_1</v>
      </c>
    </row>
    <row r="476" spans="1:16" x14ac:dyDescent="0.25">
      <c r="G476">
        <v>4</v>
      </c>
      <c r="H476" t="s">
        <v>253</v>
      </c>
      <c r="I476">
        <v>3</v>
      </c>
      <c r="J476" s="6">
        <v>45</v>
      </c>
      <c r="M476" t="str">
        <f t="shared" si="21"/>
        <v>2022_SA_Warnertown_Lentil_Satellite</v>
      </c>
      <c r="N476">
        <f>I476</f>
        <v>3</v>
      </c>
      <c r="O476" t="str">
        <f t="shared" si="22"/>
        <v>2022_SA_Warnertown_Lentil_Satellite_45</v>
      </c>
      <c r="P476" t="str">
        <f t="shared" si="23"/>
        <v>2022_SA_Warnertown_Lentil_SatelliteTOS2VarietyKelpieXTWaterTrtRainFedAgronomyDensity_1</v>
      </c>
    </row>
    <row r="477" spans="1:16" x14ac:dyDescent="0.25">
      <c r="A477" t="s">
        <v>4285</v>
      </c>
      <c r="B477" t="s">
        <v>776</v>
      </c>
      <c r="C477">
        <v>1</v>
      </c>
      <c r="D477" t="s">
        <v>4187</v>
      </c>
      <c r="E477" t="s">
        <v>57</v>
      </c>
      <c r="F477" t="s">
        <v>4398</v>
      </c>
      <c r="G477">
        <v>1</v>
      </c>
      <c r="H477" t="s">
        <v>250</v>
      </c>
      <c r="I477">
        <v>3</v>
      </c>
      <c r="J477" s="6">
        <v>22</v>
      </c>
      <c r="M477" t="str">
        <f t="shared" si="21"/>
        <v>2022_Vic_Kalkee_Lentil_Detailed</v>
      </c>
      <c r="N477">
        <f>I477</f>
        <v>3</v>
      </c>
      <c r="O477" t="str">
        <f t="shared" si="22"/>
        <v>2022_Vic_Kalkee_Lentil_Detailed_22</v>
      </c>
      <c r="P477" t="str">
        <f t="shared" si="23"/>
        <v>2022_Vic_Kalkee_Lentil_DetailedTOS1VarietyBoltWaterTrtIrrigated</v>
      </c>
    </row>
    <row r="478" spans="1:16" x14ac:dyDescent="0.25">
      <c r="H478" t="s">
        <v>253</v>
      </c>
      <c r="I478">
        <v>3</v>
      </c>
      <c r="J478" s="6">
        <v>21</v>
      </c>
      <c r="M478" t="str">
        <f t="shared" si="21"/>
        <v>2022_Vic_Kalkee_Lentil_Detailed</v>
      </c>
      <c r="N478">
        <f>I478</f>
        <v>3</v>
      </c>
      <c r="O478" t="str">
        <f t="shared" si="22"/>
        <v>2022_Vic_Kalkee_Lentil_Detailed_21</v>
      </c>
      <c r="P478" t="str">
        <f t="shared" si="23"/>
        <v>2022_Vic_Kalkee_Lentil_DetailedTOS1VarietyBoltWaterTrtIrrigated</v>
      </c>
    </row>
    <row r="479" spans="1:16" x14ac:dyDescent="0.25">
      <c r="G479">
        <v>2</v>
      </c>
      <c r="H479" t="s">
        <v>250</v>
      </c>
      <c r="I479">
        <v>3</v>
      </c>
      <c r="J479" s="6">
        <v>38</v>
      </c>
      <c r="M479" t="str">
        <f t="shared" si="21"/>
        <v>2022_Vic_Kalkee_Lentil_Detailed</v>
      </c>
      <c r="N479">
        <f>I479</f>
        <v>3</v>
      </c>
      <c r="O479" t="str">
        <f t="shared" si="22"/>
        <v>2022_Vic_Kalkee_Lentil_Detailed_38</v>
      </c>
      <c r="P479" t="str">
        <f t="shared" si="23"/>
        <v>2022_Vic_Kalkee_Lentil_DetailedTOS1VarietyBoltWaterTrtIrrigated</v>
      </c>
    </row>
    <row r="480" spans="1:16" x14ac:dyDescent="0.25">
      <c r="H480" t="s">
        <v>253</v>
      </c>
      <c r="I480">
        <v>3</v>
      </c>
      <c r="J480" s="6">
        <v>37</v>
      </c>
      <c r="M480" t="str">
        <f t="shared" si="21"/>
        <v>2022_Vic_Kalkee_Lentil_Detailed</v>
      </c>
      <c r="N480">
        <f>I480</f>
        <v>3</v>
      </c>
      <c r="O480" t="str">
        <f t="shared" si="22"/>
        <v>2022_Vic_Kalkee_Lentil_Detailed_37</v>
      </c>
      <c r="P480" t="str">
        <f t="shared" si="23"/>
        <v>2022_Vic_Kalkee_Lentil_DetailedTOS1VarietyBoltWaterTrtIrrigated</v>
      </c>
    </row>
    <row r="481" spans="1:16" x14ac:dyDescent="0.25">
      <c r="G481">
        <v>3</v>
      </c>
      <c r="H481" t="s">
        <v>250</v>
      </c>
      <c r="I481">
        <v>2</v>
      </c>
      <c r="J481" s="6">
        <v>76</v>
      </c>
      <c r="M481" t="str">
        <f t="shared" si="21"/>
        <v>2022_Vic_Kalkee_Lentil_Detailed</v>
      </c>
      <c r="N481">
        <f>I481</f>
        <v>2</v>
      </c>
      <c r="O481" t="str">
        <f t="shared" si="22"/>
        <v>2022_Vic_Kalkee_Lentil_Detailed_76</v>
      </c>
      <c r="P481" t="str">
        <f t="shared" si="23"/>
        <v>2022_Vic_Kalkee_Lentil_DetailedTOS1VarietyBoltWaterTrtIrrigated</v>
      </c>
    </row>
    <row r="482" spans="1:16" x14ac:dyDescent="0.25">
      <c r="H482" t="s">
        <v>253</v>
      </c>
      <c r="I482">
        <v>2</v>
      </c>
      <c r="J482" s="6">
        <v>75</v>
      </c>
      <c r="M482" t="str">
        <f t="shared" si="21"/>
        <v>2022_Vic_Kalkee_Lentil_Detailed</v>
      </c>
      <c r="N482">
        <f>I482</f>
        <v>2</v>
      </c>
      <c r="O482" t="str">
        <f t="shared" si="22"/>
        <v>2022_Vic_Kalkee_Lentil_Detailed_75</v>
      </c>
      <c r="P482" t="str">
        <f t="shared" si="23"/>
        <v>2022_Vic_Kalkee_Lentil_DetailedTOS1VarietyBoltWaterTrtIrrigated</v>
      </c>
    </row>
    <row r="483" spans="1:16" x14ac:dyDescent="0.25">
      <c r="G483">
        <v>4</v>
      </c>
      <c r="H483" t="s">
        <v>250</v>
      </c>
      <c r="I483">
        <v>4</v>
      </c>
      <c r="J483" s="6">
        <v>120</v>
      </c>
      <c r="M483" t="str">
        <f t="shared" si="21"/>
        <v>2022_Vic_Kalkee_Lentil_Detailed</v>
      </c>
      <c r="N483">
        <f>I483</f>
        <v>4</v>
      </c>
      <c r="O483" t="str">
        <f t="shared" si="22"/>
        <v>2022_Vic_Kalkee_Lentil_Detailed_120</v>
      </c>
      <c r="P483" t="str">
        <f t="shared" si="23"/>
        <v>2022_Vic_Kalkee_Lentil_DetailedTOS1VarietyBoltWaterTrtIrrigated</v>
      </c>
    </row>
    <row r="484" spans="1:16" x14ac:dyDescent="0.25">
      <c r="H484" t="s">
        <v>253</v>
      </c>
      <c r="I484">
        <v>4</v>
      </c>
      <c r="J484" s="6">
        <v>119</v>
      </c>
      <c r="M484" t="str">
        <f t="shared" si="21"/>
        <v>2022_Vic_Kalkee_Lentil_Detailed</v>
      </c>
      <c r="N484">
        <f>I484</f>
        <v>4</v>
      </c>
      <c r="O484" t="str">
        <f t="shared" si="22"/>
        <v>2022_Vic_Kalkee_Lentil_Detailed_119</v>
      </c>
      <c r="P484" t="str">
        <f t="shared" si="23"/>
        <v>2022_Vic_Kalkee_Lentil_DetailedTOS1VarietyBoltWaterTrtIrrigated</v>
      </c>
    </row>
    <row r="485" spans="1:16" x14ac:dyDescent="0.25">
      <c r="A485" t="s">
        <v>4286</v>
      </c>
      <c r="B485" t="s">
        <v>776</v>
      </c>
      <c r="C485">
        <v>1</v>
      </c>
      <c r="D485" t="s">
        <v>4187</v>
      </c>
      <c r="E485" t="s">
        <v>40</v>
      </c>
      <c r="F485" t="s">
        <v>4398</v>
      </c>
      <c r="G485">
        <v>1</v>
      </c>
      <c r="H485" t="s">
        <v>250</v>
      </c>
      <c r="I485">
        <v>4</v>
      </c>
      <c r="J485" s="6">
        <v>32</v>
      </c>
      <c r="M485" t="str">
        <f t="shared" si="21"/>
        <v>2022_Vic_Kalkee_Lentil_Detailed</v>
      </c>
      <c r="N485">
        <f>I485</f>
        <v>4</v>
      </c>
      <c r="O485" t="str">
        <f t="shared" si="22"/>
        <v>2022_Vic_Kalkee_Lentil_Detailed_32</v>
      </c>
      <c r="P485" t="str">
        <f t="shared" si="23"/>
        <v>2022_Vic_Kalkee_Lentil_DetailedTOS1VarietyBoltWaterTrtRainFed</v>
      </c>
    </row>
    <row r="486" spans="1:16" x14ac:dyDescent="0.25">
      <c r="H486" t="s">
        <v>253</v>
      </c>
      <c r="I486">
        <v>4</v>
      </c>
      <c r="J486" s="6">
        <v>31</v>
      </c>
      <c r="M486" t="str">
        <f t="shared" si="21"/>
        <v>2022_Vic_Kalkee_Lentil_Detailed</v>
      </c>
      <c r="N486">
        <f>I486</f>
        <v>4</v>
      </c>
      <c r="O486" t="str">
        <f t="shared" si="22"/>
        <v>2022_Vic_Kalkee_Lentil_Detailed_31</v>
      </c>
      <c r="P486" t="str">
        <f t="shared" si="23"/>
        <v>2022_Vic_Kalkee_Lentil_DetailedTOS1VarietyBoltWaterTrtRainFed</v>
      </c>
    </row>
    <row r="487" spans="1:16" x14ac:dyDescent="0.25">
      <c r="G487">
        <v>2</v>
      </c>
      <c r="H487" t="s">
        <v>250</v>
      </c>
      <c r="I487">
        <v>1</v>
      </c>
      <c r="J487" s="6">
        <v>42</v>
      </c>
      <c r="M487" t="str">
        <f t="shared" si="21"/>
        <v>2022_Vic_Kalkee_Lentil_Detailed</v>
      </c>
      <c r="N487">
        <f>I487</f>
        <v>1</v>
      </c>
      <c r="O487" t="str">
        <f t="shared" si="22"/>
        <v>2022_Vic_Kalkee_Lentil_Detailed_42</v>
      </c>
      <c r="P487" t="str">
        <f t="shared" si="23"/>
        <v>2022_Vic_Kalkee_Lentil_DetailedTOS1VarietyBoltWaterTrtRainFed</v>
      </c>
    </row>
    <row r="488" spans="1:16" x14ac:dyDescent="0.25">
      <c r="H488" t="s">
        <v>253</v>
      </c>
      <c r="I488">
        <v>1</v>
      </c>
      <c r="J488" s="6">
        <v>41</v>
      </c>
      <c r="M488" t="str">
        <f t="shared" si="21"/>
        <v>2022_Vic_Kalkee_Lentil_Detailed</v>
      </c>
      <c r="N488">
        <f>I488</f>
        <v>1</v>
      </c>
      <c r="O488" t="str">
        <f t="shared" si="22"/>
        <v>2022_Vic_Kalkee_Lentil_Detailed_41</v>
      </c>
      <c r="P488" t="str">
        <f t="shared" si="23"/>
        <v>2022_Vic_Kalkee_Lentil_DetailedTOS1VarietyBoltWaterTrtRainFed</v>
      </c>
    </row>
    <row r="489" spans="1:16" x14ac:dyDescent="0.25">
      <c r="G489">
        <v>3</v>
      </c>
      <c r="H489" t="s">
        <v>250</v>
      </c>
      <c r="I489">
        <v>3</v>
      </c>
      <c r="J489" s="6">
        <v>70</v>
      </c>
      <c r="M489" t="str">
        <f t="shared" si="21"/>
        <v>2022_Vic_Kalkee_Lentil_Detailed</v>
      </c>
      <c r="N489">
        <f>I489</f>
        <v>3</v>
      </c>
      <c r="O489" t="str">
        <f t="shared" si="22"/>
        <v>2022_Vic_Kalkee_Lentil_Detailed_70</v>
      </c>
      <c r="P489" t="str">
        <f t="shared" si="23"/>
        <v>2022_Vic_Kalkee_Lentil_DetailedTOS1VarietyBoltWaterTrtRainFed</v>
      </c>
    </row>
    <row r="490" spans="1:16" x14ac:dyDescent="0.25">
      <c r="H490" t="s">
        <v>253</v>
      </c>
      <c r="I490">
        <v>3</v>
      </c>
      <c r="J490" s="6">
        <v>69</v>
      </c>
      <c r="M490" t="str">
        <f t="shared" si="21"/>
        <v>2022_Vic_Kalkee_Lentil_Detailed</v>
      </c>
      <c r="N490">
        <f>I490</f>
        <v>3</v>
      </c>
      <c r="O490" t="str">
        <f t="shared" si="22"/>
        <v>2022_Vic_Kalkee_Lentil_Detailed_69</v>
      </c>
      <c r="P490" t="str">
        <f t="shared" si="23"/>
        <v>2022_Vic_Kalkee_Lentil_DetailedTOS1VarietyBoltWaterTrtRainFed</v>
      </c>
    </row>
    <row r="491" spans="1:16" x14ac:dyDescent="0.25">
      <c r="G491">
        <v>4</v>
      </c>
      <c r="H491" t="s">
        <v>250</v>
      </c>
      <c r="I491">
        <v>2</v>
      </c>
      <c r="J491" s="6">
        <v>124</v>
      </c>
      <c r="M491" t="str">
        <f t="shared" si="21"/>
        <v>2022_Vic_Kalkee_Lentil_Detailed</v>
      </c>
      <c r="N491">
        <f>I491</f>
        <v>2</v>
      </c>
      <c r="O491" t="str">
        <f t="shared" si="22"/>
        <v>2022_Vic_Kalkee_Lentil_Detailed_124</v>
      </c>
      <c r="P491" t="str">
        <f t="shared" si="23"/>
        <v>2022_Vic_Kalkee_Lentil_DetailedTOS1VarietyBoltWaterTrtRainFed</v>
      </c>
    </row>
    <row r="492" spans="1:16" x14ac:dyDescent="0.25">
      <c r="H492" t="s">
        <v>253</v>
      </c>
      <c r="I492">
        <v>2</v>
      </c>
      <c r="J492" s="6">
        <v>123</v>
      </c>
      <c r="M492" t="str">
        <f t="shared" si="21"/>
        <v>2022_Vic_Kalkee_Lentil_Detailed</v>
      </c>
      <c r="N492">
        <f>I492</f>
        <v>2</v>
      </c>
      <c r="O492" t="str">
        <f t="shared" si="22"/>
        <v>2022_Vic_Kalkee_Lentil_Detailed_123</v>
      </c>
      <c r="P492" t="str">
        <f t="shared" si="23"/>
        <v>2022_Vic_Kalkee_Lentil_DetailedTOS1VarietyBoltWaterTrtRainFed</v>
      </c>
    </row>
    <row r="493" spans="1:16" x14ac:dyDescent="0.25">
      <c r="A493" t="s">
        <v>4287</v>
      </c>
      <c r="B493" t="s">
        <v>776</v>
      </c>
      <c r="C493">
        <v>1</v>
      </c>
      <c r="D493" t="s">
        <v>4189</v>
      </c>
      <c r="E493" t="s">
        <v>57</v>
      </c>
      <c r="F493" t="s">
        <v>4398</v>
      </c>
      <c r="G493">
        <v>1</v>
      </c>
      <c r="H493" t="s">
        <v>250</v>
      </c>
      <c r="I493">
        <v>1</v>
      </c>
      <c r="J493" s="6">
        <v>18</v>
      </c>
      <c r="M493" t="str">
        <f t="shared" si="21"/>
        <v>2022_Vic_Kalkee_Lentil_Detailed</v>
      </c>
      <c r="N493">
        <f>I493</f>
        <v>1</v>
      </c>
      <c r="O493" t="str">
        <f t="shared" si="22"/>
        <v>2022_Vic_Kalkee_Lentil_Detailed_18</v>
      </c>
      <c r="P493" t="str">
        <f t="shared" si="23"/>
        <v>2022_Vic_Kalkee_Lentil_DetailedTOS1VarietyHallmarkXTWaterTrtIrrigated</v>
      </c>
    </row>
    <row r="494" spans="1:16" x14ac:dyDescent="0.25">
      <c r="H494" t="s">
        <v>253</v>
      </c>
      <c r="I494">
        <v>1</v>
      </c>
      <c r="J494" s="6">
        <v>17</v>
      </c>
      <c r="M494" t="str">
        <f t="shared" si="21"/>
        <v>2022_Vic_Kalkee_Lentil_Detailed</v>
      </c>
      <c r="N494">
        <f>I494</f>
        <v>1</v>
      </c>
      <c r="O494" t="str">
        <f t="shared" si="22"/>
        <v>2022_Vic_Kalkee_Lentil_Detailed_17</v>
      </c>
      <c r="P494" t="str">
        <f t="shared" si="23"/>
        <v>2022_Vic_Kalkee_Lentil_DetailedTOS1VarietyHallmarkXTWaterTrtIrrigated</v>
      </c>
    </row>
    <row r="495" spans="1:16" x14ac:dyDescent="0.25">
      <c r="G495">
        <v>2</v>
      </c>
      <c r="H495" t="s">
        <v>250</v>
      </c>
      <c r="I495">
        <v>2</v>
      </c>
      <c r="J495" s="6">
        <v>36</v>
      </c>
      <c r="M495" t="str">
        <f t="shared" si="21"/>
        <v>2022_Vic_Kalkee_Lentil_Detailed</v>
      </c>
      <c r="N495">
        <f>I495</f>
        <v>2</v>
      </c>
      <c r="O495" t="str">
        <f t="shared" si="22"/>
        <v>2022_Vic_Kalkee_Lentil_Detailed_36</v>
      </c>
      <c r="P495" t="str">
        <f t="shared" si="23"/>
        <v>2022_Vic_Kalkee_Lentil_DetailedTOS1VarietyHallmarkXTWaterTrtIrrigated</v>
      </c>
    </row>
    <row r="496" spans="1:16" x14ac:dyDescent="0.25">
      <c r="H496" t="s">
        <v>253</v>
      </c>
      <c r="I496">
        <v>2</v>
      </c>
      <c r="J496" s="6">
        <v>35</v>
      </c>
      <c r="M496" t="str">
        <f t="shared" si="21"/>
        <v>2022_Vic_Kalkee_Lentil_Detailed</v>
      </c>
      <c r="N496">
        <f>I496</f>
        <v>2</v>
      </c>
      <c r="O496" t="str">
        <f t="shared" si="22"/>
        <v>2022_Vic_Kalkee_Lentil_Detailed_35</v>
      </c>
      <c r="P496" t="str">
        <f t="shared" si="23"/>
        <v>2022_Vic_Kalkee_Lentil_DetailedTOS1VarietyHallmarkXTWaterTrtIrrigated</v>
      </c>
    </row>
    <row r="497" spans="1:16" x14ac:dyDescent="0.25">
      <c r="G497">
        <v>3</v>
      </c>
      <c r="H497" t="s">
        <v>250</v>
      </c>
      <c r="I497">
        <v>1</v>
      </c>
      <c r="J497" s="6">
        <v>74</v>
      </c>
      <c r="M497" t="str">
        <f t="shared" si="21"/>
        <v>2022_Vic_Kalkee_Lentil_Detailed</v>
      </c>
      <c r="N497">
        <f>I497</f>
        <v>1</v>
      </c>
      <c r="O497" t="str">
        <f t="shared" si="22"/>
        <v>2022_Vic_Kalkee_Lentil_Detailed_74</v>
      </c>
      <c r="P497" t="str">
        <f t="shared" si="23"/>
        <v>2022_Vic_Kalkee_Lentil_DetailedTOS1VarietyHallmarkXTWaterTrtIrrigated</v>
      </c>
    </row>
    <row r="498" spans="1:16" x14ac:dyDescent="0.25">
      <c r="H498" t="s">
        <v>253</v>
      </c>
      <c r="I498">
        <v>1</v>
      </c>
      <c r="J498" s="6">
        <v>73</v>
      </c>
      <c r="M498" t="str">
        <f t="shared" si="21"/>
        <v>2022_Vic_Kalkee_Lentil_Detailed</v>
      </c>
      <c r="N498">
        <f>I498</f>
        <v>1</v>
      </c>
      <c r="O498" t="str">
        <f t="shared" si="22"/>
        <v>2022_Vic_Kalkee_Lentil_Detailed_73</v>
      </c>
      <c r="P498" t="str">
        <f t="shared" si="23"/>
        <v>2022_Vic_Kalkee_Lentil_DetailedTOS1VarietyHallmarkXTWaterTrtIrrigated</v>
      </c>
    </row>
    <row r="499" spans="1:16" x14ac:dyDescent="0.25">
      <c r="G499">
        <v>4</v>
      </c>
      <c r="H499" t="s">
        <v>250</v>
      </c>
      <c r="I499">
        <v>3</v>
      </c>
      <c r="J499" s="6">
        <v>118</v>
      </c>
      <c r="M499" t="str">
        <f t="shared" si="21"/>
        <v>2022_Vic_Kalkee_Lentil_Detailed</v>
      </c>
      <c r="N499">
        <f>I499</f>
        <v>3</v>
      </c>
      <c r="O499" t="str">
        <f t="shared" si="22"/>
        <v>2022_Vic_Kalkee_Lentil_Detailed_118</v>
      </c>
      <c r="P499" t="str">
        <f t="shared" si="23"/>
        <v>2022_Vic_Kalkee_Lentil_DetailedTOS1VarietyHallmarkXTWaterTrtIrrigated</v>
      </c>
    </row>
    <row r="500" spans="1:16" x14ac:dyDescent="0.25">
      <c r="H500" t="s">
        <v>253</v>
      </c>
      <c r="I500">
        <v>3</v>
      </c>
      <c r="J500" s="6">
        <v>117</v>
      </c>
      <c r="M500" t="str">
        <f t="shared" si="21"/>
        <v>2022_Vic_Kalkee_Lentil_Detailed</v>
      </c>
      <c r="N500">
        <f>I500</f>
        <v>3</v>
      </c>
      <c r="O500" t="str">
        <f t="shared" si="22"/>
        <v>2022_Vic_Kalkee_Lentil_Detailed_117</v>
      </c>
      <c r="P500" t="str">
        <f t="shared" si="23"/>
        <v>2022_Vic_Kalkee_Lentil_DetailedTOS1VarietyHallmarkXTWaterTrtIrrigated</v>
      </c>
    </row>
    <row r="501" spans="1:16" x14ac:dyDescent="0.25">
      <c r="A501" t="s">
        <v>4288</v>
      </c>
      <c r="B501" t="s">
        <v>776</v>
      </c>
      <c r="C501">
        <v>1</v>
      </c>
      <c r="D501" t="s">
        <v>4189</v>
      </c>
      <c r="E501" t="s">
        <v>40</v>
      </c>
      <c r="F501" t="s">
        <v>4398</v>
      </c>
      <c r="G501">
        <v>1</v>
      </c>
      <c r="H501" t="s">
        <v>250</v>
      </c>
      <c r="I501">
        <v>2</v>
      </c>
      <c r="J501" s="6">
        <v>28</v>
      </c>
      <c r="M501" t="str">
        <f t="shared" si="21"/>
        <v>2022_Vic_Kalkee_Lentil_Detailed</v>
      </c>
      <c r="N501">
        <f>I501</f>
        <v>2</v>
      </c>
      <c r="O501" t="str">
        <f t="shared" si="22"/>
        <v>2022_Vic_Kalkee_Lentil_Detailed_28</v>
      </c>
      <c r="P501" t="str">
        <f t="shared" si="23"/>
        <v>2022_Vic_Kalkee_Lentil_DetailedTOS1VarietyHallmarkXTWaterTrtRainFed</v>
      </c>
    </row>
    <row r="502" spans="1:16" x14ac:dyDescent="0.25">
      <c r="H502" t="s">
        <v>253</v>
      </c>
      <c r="I502">
        <v>2</v>
      </c>
      <c r="J502" s="6">
        <v>27</v>
      </c>
      <c r="M502" t="str">
        <f t="shared" si="21"/>
        <v>2022_Vic_Kalkee_Lentil_Detailed</v>
      </c>
      <c r="N502">
        <f>I502</f>
        <v>2</v>
      </c>
      <c r="O502" t="str">
        <f t="shared" si="22"/>
        <v>2022_Vic_Kalkee_Lentil_Detailed_27</v>
      </c>
      <c r="P502" t="str">
        <f t="shared" si="23"/>
        <v>2022_Vic_Kalkee_Lentil_DetailedTOS1VarietyHallmarkXTWaterTrtRainFed</v>
      </c>
    </row>
    <row r="503" spans="1:16" x14ac:dyDescent="0.25">
      <c r="G503">
        <v>2</v>
      </c>
      <c r="H503" t="s">
        <v>250</v>
      </c>
      <c r="I503">
        <v>4</v>
      </c>
      <c r="J503" s="6">
        <v>48</v>
      </c>
      <c r="M503" t="str">
        <f t="shared" si="21"/>
        <v>2022_Vic_Kalkee_Lentil_Detailed</v>
      </c>
      <c r="N503">
        <f>I503</f>
        <v>4</v>
      </c>
      <c r="O503" t="str">
        <f t="shared" si="22"/>
        <v>2022_Vic_Kalkee_Lentil_Detailed_48</v>
      </c>
      <c r="P503" t="str">
        <f t="shared" si="23"/>
        <v>2022_Vic_Kalkee_Lentil_DetailedTOS1VarietyHallmarkXTWaterTrtRainFed</v>
      </c>
    </row>
    <row r="504" spans="1:16" x14ac:dyDescent="0.25">
      <c r="H504" t="s">
        <v>253</v>
      </c>
      <c r="I504">
        <v>4</v>
      </c>
      <c r="J504" s="6">
        <v>47</v>
      </c>
      <c r="M504" t="str">
        <f t="shared" si="21"/>
        <v>2022_Vic_Kalkee_Lentil_Detailed</v>
      </c>
      <c r="N504">
        <f>I504</f>
        <v>4</v>
      </c>
      <c r="O504" t="str">
        <f t="shared" si="22"/>
        <v>2022_Vic_Kalkee_Lentil_Detailed_47</v>
      </c>
      <c r="P504" t="str">
        <f t="shared" si="23"/>
        <v>2022_Vic_Kalkee_Lentil_DetailedTOS1VarietyHallmarkXTWaterTrtRainFed</v>
      </c>
    </row>
    <row r="505" spans="1:16" x14ac:dyDescent="0.25">
      <c r="G505">
        <v>3</v>
      </c>
      <c r="H505" t="s">
        <v>250</v>
      </c>
      <c r="I505">
        <v>4</v>
      </c>
      <c r="J505" s="6">
        <v>72</v>
      </c>
      <c r="M505" t="str">
        <f t="shared" si="21"/>
        <v>2022_Vic_Kalkee_Lentil_Detailed</v>
      </c>
      <c r="N505">
        <f>I505</f>
        <v>4</v>
      </c>
      <c r="O505" t="str">
        <f t="shared" si="22"/>
        <v>2022_Vic_Kalkee_Lentil_Detailed_72</v>
      </c>
      <c r="P505" t="str">
        <f t="shared" si="23"/>
        <v>2022_Vic_Kalkee_Lentil_DetailedTOS1VarietyHallmarkXTWaterTrtRainFed</v>
      </c>
    </row>
    <row r="506" spans="1:16" x14ac:dyDescent="0.25">
      <c r="H506" t="s">
        <v>253</v>
      </c>
      <c r="I506">
        <v>4</v>
      </c>
      <c r="J506" s="6">
        <v>71</v>
      </c>
      <c r="M506" t="str">
        <f t="shared" si="21"/>
        <v>2022_Vic_Kalkee_Lentil_Detailed</v>
      </c>
      <c r="N506">
        <f>I506</f>
        <v>4</v>
      </c>
      <c r="O506" t="str">
        <f t="shared" si="22"/>
        <v>2022_Vic_Kalkee_Lentil_Detailed_71</v>
      </c>
      <c r="P506" t="str">
        <f t="shared" si="23"/>
        <v>2022_Vic_Kalkee_Lentil_DetailedTOS1VarietyHallmarkXTWaterTrtRainFed</v>
      </c>
    </row>
    <row r="507" spans="1:16" x14ac:dyDescent="0.25">
      <c r="G507">
        <v>4</v>
      </c>
      <c r="H507" t="s">
        <v>250</v>
      </c>
      <c r="I507">
        <v>1</v>
      </c>
      <c r="J507" s="6">
        <v>122</v>
      </c>
      <c r="M507" t="str">
        <f t="shared" si="21"/>
        <v>2022_Vic_Kalkee_Lentil_Detailed</v>
      </c>
      <c r="N507">
        <f>I507</f>
        <v>1</v>
      </c>
      <c r="O507" t="str">
        <f t="shared" si="22"/>
        <v>2022_Vic_Kalkee_Lentil_Detailed_122</v>
      </c>
      <c r="P507" t="str">
        <f t="shared" si="23"/>
        <v>2022_Vic_Kalkee_Lentil_DetailedTOS1VarietyHallmarkXTWaterTrtRainFed</v>
      </c>
    </row>
    <row r="508" spans="1:16" x14ac:dyDescent="0.25">
      <c r="H508" t="s">
        <v>253</v>
      </c>
      <c r="I508">
        <v>1</v>
      </c>
      <c r="J508" s="6">
        <v>121</v>
      </c>
      <c r="M508" t="str">
        <f t="shared" si="21"/>
        <v>2022_Vic_Kalkee_Lentil_Detailed</v>
      </c>
      <c r="N508">
        <f>I508</f>
        <v>1</v>
      </c>
      <c r="O508" t="str">
        <f t="shared" si="22"/>
        <v>2022_Vic_Kalkee_Lentil_Detailed_121</v>
      </c>
      <c r="P508" t="str">
        <f t="shared" si="23"/>
        <v>2022_Vic_Kalkee_Lentil_DetailedTOS1VarietyHallmarkXTWaterTrtRainFed</v>
      </c>
    </row>
    <row r="509" spans="1:16" x14ac:dyDescent="0.25">
      <c r="A509" t="s">
        <v>4289</v>
      </c>
      <c r="B509" t="s">
        <v>776</v>
      </c>
      <c r="C509">
        <v>1</v>
      </c>
      <c r="D509" t="s">
        <v>4176</v>
      </c>
      <c r="E509" t="s">
        <v>57</v>
      </c>
      <c r="F509" t="s">
        <v>4398</v>
      </c>
      <c r="G509">
        <v>1</v>
      </c>
      <c r="H509" t="s">
        <v>250</v>
      </c>
      <c r="I509">
        <v>2</v>
      </c>
      <c r="J509" s="6">
        <v>20</v>
      </c>
      <c r="M509" t="str">
        <f t="shared" si="21"/>
        <v>2022_Vic_Kalkee_Lentil_Detailed</v>
      </c>
      <c r="N509">
        <f>I509</f>
        <v>2</v>
      </c>
      <c r="O509" t="str">
        <f t="shared" si="22"/>
        <v>2022_Vic_Kalkee_Lentil_Detailed_20</v>
      </c>
      <c r="P509" t="str">
        <f t="shared" si="23"/>
        <v>2022_Vic_Kalkee_Lentil_DetailedTOS1VarietyJumbo2WaterTrtIrrigated</v>
      </c>
    </row>
    <row r="510" spans="1:16" x14ac:dyDescent="0.25">
      <c r="H510" t="s">
        <v>253</v>
      </c>
      <c r="I510">
        <v>2</v>
      </c>
      <c r="J510" s="6">
        <v>19</v>
      </c>
      <c r="M510" t="str">
        <f t="shared" si="21"/>
        <v>2022_Vic_Kalkee_Lentil_Detailed</v>
      </c>
      <c r="N510">
        <f>I510</f>
        <v>2</v>
      </c>
      <c r="O510" t="str">
        <f t="shared" si="22"/>
        <v>2022_Vic_Kalkee_Lentil_Detailed_19</v>
      </c>
      <c r="P510" t="str">
        <f t="shared" si="23"/>
        <v>2022_Vic_Kalkee_Lentil_DetailedTOS1VarietyJumbo2WaterTrtIrrigated</v>
      </c>
    </row>
    <row r="511" spans="1:16" x14ac:dyDescent="0.25">
      <c r="G511">
        <v>2</v>
      </c>
      <c r="H511" t="s">
        <v>250</v>
      </c>
      <c r="I511">
        <v>1</v>
      </c>
      <c r="J511" s="6">
        <v>34</v>
      </c>
      <c r="M511" t="str">
        <f t="shared" si="21"/>
        <v>2022_Vic_Kalkee_Lentil_Detailed</v>
      </c>
      <c r="N511">
        <f>I511</f>
        <v>1</v>
      </c>
      <c r="O511" t="str">
        <f t="shared" si="22"/>
        <v>2022_Vic_Kalkee_Lentil_Detailed_34</v>
      </c>
      <c r="P511" t="str">
        <f t="shared" si="23"/>
        <v>2022_Vic_Kalkee_Lentil_DetailedTOS1VarietyJumbo2WaterTrtIrrigated</v>
      </c>
    </row>
    <row r="512" spans="1:16" x14ac:dyDescent="0.25">
      <c r="H512" t="s">
        <v>253</v>
      </c>
      <c r="I512">
        <v>1</v>
      </c>
      <c r="J512" s="6">
        <v>33</v>
      </c>
      <c r="M512" t="str">
        <f t="shared" si="21"/>
        <v>2022_Vic_Kalkee_Lentil_Detailed</v>
      </c>
      <c r="N512">
        <f>I512</f>
        <v>1</v>
      </c>
      <c r="O512" t="str">
        <f t="shared" si="22"/>
        <v>2022_Vic_Kalkee_Lentil_Detailed_33</v>
      </c>
      <c r="P512" t="str">
        <f t="shared" si="23"/>
        <v>2022_Vic_Kalkee_Lentil_DetailedTOS1VarietyJumbo2WaterTrtIrrigated</v>
      </c>
    </row>
    <row r="513" spans="1:16" x14ac:dyDescent="0.25">
      <c r="G513">
        <v>3</v>
      </c>
      <c r="H513" t="s">
        <v>250</v>
      </c>
      <c r="I513">
        <v>4</v>
      </c>
      <c r="J513" s="6">
        <v>80</v>
      </c>
      <c r="M513" t="str">
        <f t="shared" si="21"/>
        <v>2022_Vic_Kalkee_Lentil_Detailed</v>
      </c>
      <c r="N513">
        <f>I513</f>
        <v>4</v>
      </c>
      <c r="O513" t="str">
        <f t="shared" si="22"/>
        <v>2022_Vic_Kalkee_Lentil_Detailed_80</v>
      </c>
      <c r="P513" t="str">
        <f t="shared" si="23"/>
        <v>2022_Vic_Kalkee_Lentil_DetailedTOS1VarietyJumbo2WaterTrtIrrigated</v>
      </c>
    </row>
    <row r="514" spans="1:16" x14ac:dyDescent="0.25">
      <c r="H514" t="s">
        <v>253</v>
      </c>
      <c r="I514">
        <v>4</v>
      </c>
      <c r="J514" s="6">
        <v>79</v>
      </c>
      <c r="M514" t="str">
        <f t="shared" si="21"/>
        <v>2022_Vic_Kalkee_Lentil_Detailed</v>
      </c>
      <c r="N514">
        <f>I514</f>
        <v>4</v>
      </c>
      <c r="O514" t="str">
        <f t="shared" si="22"/>
        <v>2022_Vic_Kalkee_Lentil_Detailed_79</v>
      </c>
      <c r="P514" t="str">
        <f t="shared" si="23"/>
        <v>2022_Vic_Kalkee_Lentil_DetailedTOS1VarietyJumbo2WaterTrtIrrigated</v>
      </c>
    </row>
    <row r="515" spans="1:16" x14ac:dyDescent="0.25">
      <c r="G515">
        <v>4</v>
      </c>
      <c r="H515" t="s">
        <v>250</v>
      </c>
      <c r="I515">
        <v>2</v>
      </c>
      <c r="J515" s="6">
        <v>116</v>
      </c>
      <c r="M515" t="str">
        <f t="shared" si="21"/>
        <v>2022_Vic_Kalkee_Lentil_Detailed</v>
      </c>
      <c r="N515">
        <f>I515</f>
        <v>2</v>
      </c>
      <c r="O515" t="str">
        <f t="shared" si="22"/>
        <v>2022_Vic_Kalkee_Lentil_Detailed_116</v>
      </c>
      <c r="P515" t="str">
        <f t="shared" si="23"/>
        <v>2022_Vic_Kalkee_Lentil_DetailedTOS1VarietyJumbo2WaterTrtIrrigated</v>
      </c>
    </row>
    <row r="516" spans="1:16" x14ac:dyDescent="0.25">
      <c r="H516" t="s">
        <v>253</v>
      </c>
      <c r="I516">
        <v>2</v>
      </c>
      <c r="J516" s="6">
        <v>115</v>
      </c>
      <c r="M516" t="str">
        <f t="shared" si="21"/>
        <v>2022_Vic_Kalkee_Lentil_Detailed</v>
      </c>
      <c r="N516">
        <f>I516</f>
        <v>2</v>
      </c>
      <c r="O516" t="str">
        <f t="shared" si="22"/>
        <v>2022_Vic_Kalkee_Lentil_Detailed_115</v>
      </c>
      <c r="P516" t="str">
        <f t="shared" si="23"/>
        <v>2022_Vic_Kalkee_Lentil_DetailedTOS1VarietyJumbo2WaterTrtIrrigated</v>
      </c>
    </row>
    <row r="517" spans="1:16" x14ac:dyDescent="0.25">
      <c r="A517" t="s">
        <v>4290</v>
      </c>
      <c r="B517" t="s">
        <v>776</v>
      </c>
      <c r="C517">
        <v>1</v>
      </c>
      <c r="D517" t="s">
        <v>4176</v>
      </c>
      <c r="E517" t="s">
        <v>40</v>
      </c>
      <c r="F517" t="s">
        <v>4398</v>
      </c>
      <c r="G517">
        <v>1</v>
      </c>
      <c r="H517" t="s">
        <v>250</v>
      </c>
      <c r="I517">
        <v>3</v>
      </c>
      <c r="J517" s="6">
        <v>30</v>
      </c>
      <c r="M517" t="str">
        <f t="shared" si="21"/>
        <v>2022_Vic_Kalkee_Lentil_Detailed</v>
      </c>
      <c r="N517">
        <f>I517</f>
        <v>3</v>
      </c>
      <c r="O517" t="str">
        <f t="shared" si="22"/>
        <v>2022_Vic_Kalkee_Lentil_Detailed_30</v>
      </c>
      <c r="P517" t="str">
        <f t="shared" si="23"/>
        <v>2022_Vic_Kalkee_Lentil_DetailedTOS1VarietyJumbo2WaterTrtRainFed</v>
      </c>
    </row>
    <row r="518" spans="1:16" x14ac:dyDescent="0.25">
      <c r="H518" t="s">
        <v>253</v>
      </c>
      <c r="I518">
        <v>3</v>
      </c>
      <c r="J518" s="6">
        <v>29</v>
      </c>
      <c r="M518" t="str">
        <f t="shared" ref="M518:M581" si="24">IF(B518="",M517,B518)</f>
        <v>2022_Vic_Kalkee_Lentil_Detailed</v>
      </c>
      <c r="N518">
        <f>I518</f>
        <v>3</v>
      </c>
      <c r="O518" t="str">
        <f t="shared" ref="O518:O581" si="25">M518&amp;"_"&amp;J518</f>
        <v>2022_Vic_Kalkee_Lentil_Detailed_29</v>
      </c>
      <c r="P518" t="str">
        <f t="shared" ref="P518:P581" si="26">IF(A518="",P517,A518)</f>
        <v>2022_Vic_Kalkee_Lentil_DetailedTOS1VarietyJumbo2WaterTrtRainFed</v>
      </c>
    </row>
    <row r="519" spans="1:16" x14ac:dyDescent="0.25">
      <c r="G519">
        <v>2</v>
      </c>
      <c r="H519" t="s">
        <v>250</v>
      </c>
      <c r="I519">
        <v>3</v>
      </c>
      <c r="J519" s="6">
        <v>46</v>
      </c>
      <c r="M519" t="str">
        <f t="shared" si="24"/>
        <v>2022_Vic_Kalkee_Lentil_Detailed</v>
      </c>
      <c r="N519">
        <f>I519</f>
        <v>3</v>
      </c>
      <c r="O519" t="str">
        <f t="shared" si="25"/>
        <v>2022_Vic_Kalkee_Lentil_Detailed_46</v>
      </c>
      <c r="P519" t="str">
        <f t="shared" si="26"/>
        <v>2022_Vic_Kalkee_Lentil_DetailedTOS1VarietyJumbo2WaterTrtRainFed</v>
      </c>
    </row>
    <row r="520" spans="1:16" x14ac:dyDescent="0.25">
      <c r="H520" t="s">
        <v>253</v>
      </c>
      <c r="I520">
        <v>3</v>
      </c>
      <c r="J520" s="6">
        <v>45</v>
      </c>
      <c r="M520" t="str">
        <f t="shared" si="24"/>
        <v>2022_Vic_Kalkee_Lentil_Detailed</v>
      </c>
      <c r="N520">
        <f>I520</f>
        <v>3</v>
      </c>
      <c r="O520" t="str">
        <f t="shared" si="25"/>
        <v>2022_Vic_Kalkee_Lentil_Detailed_45</v>
      </c>
      <c r="P520" t="str">
        <f t="shared" si="26"/>
        <v>2022_Vic_Kalkee_Lentil_DetailedTOS1VarietyJumbo2WaterTrtRainFed</v>
      </c>
    </row>
    <row r="521" spans="1:16" x14ac:dyDescent="0.25">
      <c r="G521">
        <v>3</v>
      </c>
      <c r="H521" t="s">
        <v>250</v>
      </c>
      <c r="I521">
        <v>1</v>
      </c>
      <c r="J521" s="6">
        <v>66</v>
      </c>
      <c r="M521" t="str">
        <f t="shared" si="24"/>
        <v>2022_Vic_Kalkee_Lentil_Detailed</v>
      </c>
      <c r="N521">
        <f>I521</f>
        <v>1</v>
      </c>
      <c r="O521" t="str">
        <f t="shared" si="25"/>
        <v>2022_Vic_Kalkee_Lentil_Detailed_66</v>
      </c>
      <c r="P521" t="str">
        <f t="shared" si="26"/>
        <v>2022_Vic_Kalkee_Lentil_DetailedTOS1VarietyJumbo2WaterTrtRainFed</v>
      </c>
    </row>
    <row r="522" spans="1:16" x14ac:dyDescent="0.25">
      <c r="H522" t="s">
        <v>253</v>
      </c>
      <c r="I522">
        <v>1</v>
      </c>
      <c r="J522" s="6">
        <v>65</v>
      </c>
      <c r="M522" t="str">
        <f t="shared" si="24"/>
        <v>2022_Vic_Kalkee_Lentil_Detailed</v>
      </c>
      <c r="N522">
        <f>I522</f>
        <v>1</v>
      </c>
      <c r="O522" t="str">
        <f t="shared" si="25"/>
        <v>2022_Vic_Kalkee_Lentil_Detailed_65</v>
      </c>
      <c r="P522" t="str">
        <f t="shared" si="26"/>
        <v>2022_Vic_Kalkee_Lentil_DetailedTOS1VarietyJumbo2WaterTrtRainFed</v>
      </c>
    </row>
    <row r="523" spans="1:16" x14ac:dyDescent="0.25">
      <c r="G523">
        <v>4</v>
      </c>
      <c r="H523" t="s">
        <v>250</v>
      </c>
      <c r="I523">
        <v>4</v>
      </c>
      <c r="J523" s="6">
        <v>128</v>
      </c>
      <c r="M523" t="str">
        <f t="shared" si="24"/>
        <v>2022_Vic_Kalkee_Lentil_Detailed</v>
      </c>
      <c r="N523">
        <f>I523</f>
        <v>4</v>
      </c>
      <c r="O523" t="str">
        <f t="shared" si="25"/>
        <v>2022_Vic_Kalkee_Lentil_Detailed_128</v>
      </c>
      <c r="P523" t="str">
        <f t="shared" si="26"/>
        <v>2022_Vic_Kalkee_Lentil_DetailedTOS1VarietyJumbo2WaterTrtRainFed</v>
      </c>
    </row>
    <row r="524" spans="1:16" x14ac:dyDescent="0.25">
      <c r="H524" t="s">
        <v>253</v>
      </c>
      <c r="I524">
        <v>4</v>
      </c>
      <c r="J524" s="6">
        <v>127</v>
      </c>
      <c r="M524" t="str">
        <f t="shared" si="24"/>
        <v>2022_Vic_Kalkee_Lentil_Detailed</v>
      </c>
      <c r="N524">
        <f>I524</f>
        <v>4</v>
      </c>
      <c r="O524" t="str">
        <f t="shared" si="25"/>
        <v>2022_Vic_Kalkee_Lentil_Detailed_127</v>
      </c>
      <c r="P524" t="str">
        <f t="shared" si="26"/>
        <v>2022_Vic_Kalkee_Lentil_DetailedTOS1VarietyJumbo2WaterTrtRainFed</v>
      </c>
    </row>
    <row r="525" spans="1:16" x14ac:dyDescent="0.25">
      <c r="A525" t="s">
        <v>4291</v>
      </c>
      <c r="B525" t="s">
        <v>776</v>
      </c>
      <c r="C525">
        <v>1</v>
      </c>
      <c r="D525" t="s">
        <v>4188</v>
      </c>
      <c r="E525" t="s">
        <v>57</v>
      </c>
      <c r="F525" t="s">
        <v>4398</v>
      </c>
      <c r="G525">
        <v>1</v>
      </c>
      <c r="H525" t="s">
        <v>250</v>
      </c>
      <c r="I525">
        <v>4</v>
      </c>
      <c r="J525" s="6">
        <v>24</v>
      </c>
      <c r="M525" t="str">
        <f t="shared" si="24"/>
        <v>2022_Vic_Kalkee_Lentil_Detailed</v>
      </c>
      <c r="N525">
        <f>I525</f>
        <v>4</v>
      </c>
      <c r="O525" t="str">
        <f t="shared" si="25"/>
        <v>2022_Vic_Kalkee_Lentil_Detailed_24</v>
      </c>
      <c r="P525" t="str">
        <f t="shared" si="26"/>
        <v>2022_Vic_Kalkee_Lentil_DetailedTOS1VarietyKelpieXTWaterTrtIrrigated</v>
      </c>
    </row>
    <row r="526" spans="1:16" x14ac:dyDescent="0.25">
      <c r="H526" t="s">
        <v>253</v>
      </c>
      <c r="I526">
        <v>4</v>
      </c>
      <c r="J526" s="6">
        <v>23</v>
      </c>
      <c r="M526" t="str">
        <f t="shared" si="24"/>
        <v>2022_Vic_Kalkee_Lentil_Detailed</v>
      </c>
      <c r="N526">
        <f>I526</f>
        <v>4</v>
      </c>
      <c r="O526" t="str">
        <f t="shared" si="25"/>
        <v>2022_Vic_Kalkee_Lentil_Detailed_23</v>
      </c>
      <c r="P526" t="str">
        <f t="shared" si="26"/>
        <v>2022_Vic_Kalkee_Lentil_DetailedTOS1VarietyKelpieXTWaterTrtIrrigated</v>
      </c>
    </row>
    <row r="527" spans="1:16" x14ac:dyDescent="0.25">
      <c r="G527">
        <v>2</v>
      </c>
      <c r="H527" t="s">
        <v>250</v>
      </c>
      <c r="I527">
        <v>4</v>
      </c>
      <c r="J527" s="6">
        <v>40</v>
      </c>
      <c r="M527" t="str">
        <f t="shared" si="24"/>
        <v>2022_Vic_Kalkee_Lentil_Detailed</v>
      </c>
      <c r="N527">
        <f>I527</f>
        <v>4</v>
      </c>
      <c r="O527" t="str">
        <f t="shared" si="25"/>
        <v>2022_Vic_Kalkee_Lentil_Detailed_40</v>
      </c>
      <c r="P527" t="str">
        <f t="shared" si="26"/>
        <v>2022_Vic_Kalkee_Lentil_DetailedTOS1VarietyKelpieXTWaterTrtIrrigated</v>
      </c>
    </row>
    <row r="528" spans="1:16" x14ac:dyDescent="0.25">
      <c r="H528" t="s">
        <v>253</v>
      </c>
      <c r="I528">
        <v>4</v>
      </c>
      <c r="J528" s="6">
        <v>39</v>
      </c>
      <c r="M528" t="str">
        <f t="shared" si="24"/>
        <v>2022_Vic_Kalkee_Lentil_Detailed</v>
      </c>
      <c r="N528">
        <f>I528</f>
        <v>4</v>
      </c>
      <c r="O528" t="str">
        <f t="shared" si="25"/>
        <v>2022_Vic_Kalkee_Lentil_Detailed_39</v>
      </c>
      <c r="P528" t="str">
        <f t="shared" si="26"/>
        <v>2022_Vic_Kalkee_Lentil_DetailedTOS1VarietyKelpieXTWaterTrtIrrigated</v>
      </c>
    </row>
    <row r="529" spans="1:16" x14ac:dyDescent="0.25">
      <c r="G529">
        <v>3</v>
      </c>
      <c r="H529" t="s">
        <v>250</v>
      </c>
      <c r="I529">
        <v>3</v>
      </c>
      <c r="J529" s="6">
        <v>78</v>
      </c>
      <c r="M529" t="str">
        <f t="shared" si="24"/>
        <v>2022_Vic_Kalkee_Lentil_Detailed</v>
      </c>
      <c r="N529">
        <f>I529</f>
        <v>3</v>
      </c>
      <c r="O529" t="str">
        <f t="shared" si="25"/>
        <v>2022_Vic_Kalkee_Lentil_Detailed_78</v>
      </c>
      <c r="P529" t="str">
        <f t="shared" si="26"/>
        <v>2022_Vic_Kalkee_Lentil_DetailedTOS1VarietyKelpieXTWaterTrtIrrigated</v>
      </c>
    </row>
    <row r="530" spans="1:16" x14ac:dyDescent="0.25">
      <c r="H530" t="s">
        <v>253</v>
      </c>
      <c r="I530">
        <v>3</v>
      </c>
      <c r="J530" s="6">
        <v>77</v>
      </c>
      <c r="M530" t="str">
        <f t="shared" si="24"/>
        <v>2022_Vic_Kalkee_Lentil_Detailed</v>
      </c>
      <c r="N530">
        <f>I530</f>
        <v>3</v>
      </c>
      <c r="O530" t="str">
        <f t="shared" si="25"/>
        <v>2022_Vic_Kalkee_Lentil_Detailed_77</v>
      </c>
      <c r="P530" t="str">
        <f t="shared" si="26"/>
        <v>2022_Vic_Kalkee_Lentil_DetailedTOS1VarietyKelpieXTWaterTrtIrrigated</v>
      </c>
    </row>
    <row r="531" spans="1:16" x14ac:dyDescent="0.25">
      <c r="G531">
        <v>4</v>
      </c>
      <c r="H531" t="s">
        <v>250</v>
      </c>
      <c r="I531">
        <v>1</v>
      </c>
      <c r="J531" s="6">
        <v>114</v>
      </c>
      <c r="M531" t="str">
        <f t="shared" si="24"/>
        <v>2022_Vic_Kalkee_Lentil_Detailed</v>
      </c>
      <c r="N531">
        <f>I531</f>
        <v>1</v>
      </c>
      <c r="O531" t="str">
        <f t="shared" si="25"/>
        <v>2022_Vic_Kalkee_Lentil_Detailed_114</v>
      </c>
      <c r="P531" t="str">
        <f t="shared" si="26"/>
        <v>2022_Vic_Kalkee_Lentil_DetailedTOS1VarietyKelpieXTWaterTrtIrrigated</v>
      </c>
    </row>
    <row r="532" spans="1:16" x14ac:dyDescent="0.25">
      <c r="H532" t="s">
        <v>253</v>
      </c>
      <c r="I532">
        <v>1</v>
      </c>
      <c r="J532" s="6">
        <v>113</v>
      </c>
      <c r="M532" t="str">
        <f t="shared" si="24"/>
        <v>2022_Vic_Kalkee_Lentil_Detailed</v>
      </c>
      <c r="N532">
        <f>I532</f>
        <v>1</v>
      </c>
      <c r="O532" t="str">
        <f t="shared" si="25"/>
        <v>2022_Vic_Kalkee_Lentil_Detailed_113</v>
      </c>
      <c r="P532" t="str">
        <f t="shared" si="26"/>
        <v>2022_Vic_Kalkee_Lentil_DetailedTOS1VarietyKelpieXTWaterTrtIrrigated</v>
      </c>
    </row>
    <row r="533" spans="1:16" x14ac:dyDescent="0.25">
      <c r="A533" t="s">
        <v>4292</v>
      </c>
      <c r="B533" t="s">
        <v>776</v>
      </c>
      <c r="C533">
        <v>1</v>
      </c>
      <c r="D533" t="s">
        <v>4188</v>
      </c>
      <c r="E533" t="s">
        <v>40</v>
      </c>
      <c r="F533" t="s">
        <v>4398</v>
      </c>
      <c r="G533">
        <v>1</v>
      </c>
      <c r="H533" t="s">
        <v>250</v>
      </c>
      <c r="I533">
        <v>1</v>
      </c>
      <c r="J533" s="6">
        <v>26</v>
      </c>
      <c r="M533" t="str">
        <f t="shared" si="24"/>
        <v>2022_Vic_Kalkee_Lentil_Detailed</v>
      </c>
      <c r="N533">
        <f>I533</f>
        <v>1</v>
      </c>
      <c r="O533" t="str">
        <f t="shared" si="25"/>
        <v>2022_Vic_Kalkee_Lentil_Detailed_26</v>
      </c>
      <c r="P533" t="str">
        <f t="shared" si="26"/>
        <v>2022_Vic_Kalkee_Lentil_DetailedTOS1VarietyKelpieXTWaterTrtRainFed</v>
      </c>
    </row>
    <row r="534" spans="1:16" x14ac:dyDescent="0.25">
      <c r="H534" t="s">
        <v>253</v>
      </c>
      <c r="I534">
        <v>1</v>
      </c>
      <c r="J534" s="6">
        <v>25</v>
      </c>
      <c r="M534" t="str">
        <f t="shared" si="24"/>
        <v>2022_Vic_Kalkee_Lentil_Detailed</v>
      </c>
      <c r="N534">
        <f>I534</f>
        <v>1</v>
      </c>
      <c r="O534" t="str">
        <f t="shared" si="25"/>
        <v>2022_Vic_Kalkee_Lentil_Detailed_25</v>
      </c>
      <c r="P534" t="str">
        <f t="shared" si="26"/>
        <v>2022_Vic_Kalkee_Lentil_DetailedTOS1VarietyKelpieXTWaterTrtRainFed</v>
      </c>
    </row>
    <row r="535" spans="1:16" x14ac:dyDescent="0.25">
      <c r="G535">
        <v>2</v>
      </c>
      <c r="H535" t="s">
        <v>250</v>
      </c>
      <c r="I535">
        <v>2</v>
      </c>
      <c r="J535" s="6">
        <v>44</v>
      </c>
      <c r="M535" t="str">
        <f t="shared" si="24"/>
        <v>2022_Vic_Kalkee_Lentil_Detailed</v>
      </c>
      <c r="N535">
        <f>I535</f>
        <v>2</v>
      </c>
      <c r="O535" t="str">
        <f t="shared" si="25"/>
        <v>2022_Vic_Kalkee_Lentil_Detailed_44</v>
      </c>
      <c r="P535" t="str">
        <f t="shared" si="26"/>
        <v>2022_Vic_Kalkee_Lentil_DetailedTOS1VarietyKelpieXTWaterTrtRainFed</v>
      </c>
    </row>
    <row r="536" spans="1:16" x14ac:dyDescent="0.25">
      <c r="H536" t="s">
        <v>253</v>
      </c>
      <c r="I536">
        <v>2</v>
      </c>
      <c r="J536" s="6">
        <v>43</v>
      </c>
      <c r="M536" t="str">
        <f t="shared" si="24"/>
        <v>2022_Vic_Kalkee_Lentil_Detailed</v>
      </c>
      <c r="N536">
        <f>I536</f>
        <v>2</v>
      </c>
      <c r="O536" t="str">
        <f t="shared" si="25"/>
        <v>2022_Vic_Kalkee_Lentil_Detailed_43</v>
      </c>
      <c r="P536" t="str">
        <f t="shared" si="26"/>
        <v>2022_Vic_Kalkee_Lentil_DetailedTOS1VarietyKelpieXTWaterTrtRainFed</v>
      </c>
    </row>
    <row r="537" spans="1:16" x14ac:dyDescent="0.25">
      <c r="G537">
        <v>3</v>
      </c>
      <c r="H537" t="s">
        <v>250</v>
      </c>
      <c r="I537">
        <v>2</v>
      </c>
      <c r="J537" s="6">
        <v>68</v>
      </c>
      <c r="M537" t="str">
        <f t="shared" si="24"/>
        <v>2022_Vic_Kalkee_Lentil_Detailed</v>
      </c>
      <c r="N537">
        <f>I537</f>
        <v>2</v>
      </c>
      <c r="O537" t="str">
        <f t="shared" si="25"/>
        <v>2022_Vic_Kalkee_Lentil_Detailed_68</v>
      </c>
      <c r="P537" t="str">
        <f t="shared" si="26"/>
        <v>2022_Vic_Kalkee_Lentil_DetailedTOS1VarietyKelpieXTWaterTrtRainFed</v>
      </c>
    </row>
    <row r="538" spans="1:16" x14ac:dyDescent="0.25">
      <c r="H538" t="s">
        <v>253</v>
      </c>
      <c r="I538">
        <v>2</v>
      </c>
      <c r="J538" s="6">
        <v>67</v>
      </c>
      <c r="M538" t="str">
        <f t="shared" si="24"/>
        <v>2022_Vic_Kalkee_Lentil_Detailed</v>
      </c>
      <c r="N538">
        <f>I538</f>
        <v>2</v>
      </c>
      <c r="O538" t="str">
        <f t="shared" si="25"/>
        <v>2022_Vic_Kalkee_Lentil_Detailed_67</v>
      </c>
      <c r="P538" t="str">
        <f t="shared" si="26"/>
        <v>2022_Vic_Kalkee_Lentil_DetailedTOS1VarietyKelpieXTWaterTrtRainFed</v>
      </c>
    </row>
    <row r="539" spans="1:16" x14ac:dyDescent="0.25">
      <c r="G539">
        <v>4</v>
      </c>
      <c r="H539" t="s">
        <v>250</v>
      </c>
      <c r="I539">
        <v>3</v>
      </c>
      <c r="J539" s="6">
        <v>126</v>
      </c>
      <c r="M539" t="str">
        <f t="shared" si="24"/>
        <v>2022_Vic_Kalkee_Lentil_Detailed</v>
      </c>
      <c r="N539">
        <f>I539</f>
        <v>3</v>
      </c>
      <c r="O539" t="str">
        <f t="shared" si="25"/>
        <v>2022_Vic_Kalkee_Lentil_Detailed_126</v>
      </c>
      <c r="P539" t="str">
        <f t="shared" si="26"/>
        <v>2022_Vic_Kalkee_Lentil_DetailedTOS1VarietyKelpieXTWaterTrtRainFed</v>
      </c>
    </row>
    <row r="540" spans="1:16" x14ac:dyDescent="0.25">
      <c r="H540" t="s">
        <v>253</v>
      </c>
      <c r="I540">
        <v>3</v>
      </c>
      <c r="J540" s="6">
        <v>125</v>
      </c>
      <c r="M540" t="str">
        <f t="shared" si="24"/>
        <v>2022_Vic_Kalkee_Lentil_Detailed</v>
      </c>
      <c r="N540">
        <f>I540</f>
        <v>3</v>
      </c>
      <c r="O540" t="str">
        <f t="shared" si="25"/>
        <v>2022_Vic_Kalkee_Lentil_Detailed_125</v>
      </c>
      <c r="P540" t="str">
        <f t="shared" si="26"/>
        <v>2022_Vic_Kalkee_Lentil_DetailedTOS1VarietyKelpieXTWaterTrtRainFed</v>
      </c>
    </row>
    <row r="541" spans="1:16" x14ac:dyDescent="0.25">
      <c r="A541" t="s">
        <v>4293</v>
      </c>
      <c r="B541" t="s">
        <v>776</v>
      </c>
      <c r="C541">
        <v>2</v>
      </c>
      <c r="D541" t="s">
        <v>4187</v>
      </c>
      <c r="E541" t="s">
        <v>57</v>
      </c>
      <c r="F541" t="s">
        <v>4398</v>
      </c>
      <c r="G541">
        <v>1</v>
      </c>
      <c r="H541" t="s">
        <v>250</v>
      </c>
      <c r="I541">
        <v>1</v>
      </c>
      <c r="J541" s="6">
        <v>10</v>
      </c>
      <c r="M541" t="str">
        <f t="shared" si="24"/>
        <v>2022_Vic_Kalkee_Lentil_Detailed</v>
      </c>
      <c r="N541">
        <f>I541</f>
        <v>1</v>
      </c>
      <c r="O541" t="str">
        <f t="shared" si="25"/>
        <v>2022_Vic_Kalkee_Lentil_Detailed_10</v>
      </c>
      <c r="P541" t="str">
        <f t="shared" si="26"/>
        <v>2022_Vic_Kalkee_Lentil_DetailedTOS2VarietyBoltWaterTrtIrrigated</v>
      </c>
    </row>
    <row r="542" spans="1:16" x14ac:dyDescent="0.25">
      <c r="H542" t="s">
        <v>253</v>
      </c>
      <c r="I542">
        <v>1</v>
      </c>
      <c r="J542" s="6">
        <v>9</v>
      </c>
      <c r="M542" t="str">
        <f t="shared" si="24"/>
        <v>2022_Vic_Kalkee_Lentil_Detailed</v>
      </c>
      <c r="N542">
        <f>I542</f>
        <v>1</v>
      </c>
      <c r="O542" t="str">
        <f t="shared" si="25"/>
        <v>2022_Vic_Kalkee_Lentil_Detailed_9</v>
      </c>
      <c r="P542" t="str">
        <f t="shared" si="26"/>
        <v>2022_Vic_Kalkee_Lentil_DetailedTOS2VarietyBoltWaterTrtIrrigated</v>
      </c>
    </row>
    <row r="543" spans="1:16" x14ac:dyDescent="0.25">
      <c r="G543">
        <v>2</v>
      </c>
      <c r="H543" t="s">
        <v>250</v>
      </c>
      <c r="I543">
        <v>2</v>
      </c>
      <c r="J543" s="6">
        <v>60</v>
      </c>
      <c r="M543" t="str">
        <f t="shared" si="24"/>
        <v>2022_Vic_Kalkee_Lentil_Detailed</v>
      </c>
      <c r="N543">
        <f>I543</f>
        <v>2</v>
      </c>
      <c r="O543" t="str">
        <f t="shared" si="25"/>
        <v>2022_Vic_Kalkee_Lentil_Detailed_60</v>
      </c>
      <c r="P543" t="str">
        <f t="shared" si="26"/>
        <v>2022_Vic_Kalkee_Lentil_DetailedTOS2VarietyBoltWaterTrtIrrigated</v>
      </c>
    </row>
    <row r="544" spans="1:16" x14ac:dyDescent="0.25">
      <c r="H544" t="s">
        <v>253</v>
      </c>
      <c r="I544">
        <v>2</v>
      </c>
      <c r="J544" s="6">
        <v>59</v>
      </c>
      <c r="M544" t="str">
        <f t="shared" si="24"/>
        <v>2022_Vic_Kalkee_Lentil_Detailed</v>
      </c>
      <c r="N544">
        <f>I544</f>
        <v>2</v>
      </c>
      <c r="O544" t="str">
        <f t="shared" si="25"/>
        <v>2022_Vic_Kalkee_Lentil_Detailed_59</v>
      </c>
      <c r="P544" t="str">
        <f t="shared" si="26"/>
        <v>2022_Vic_Kalkee_Lentil_DetailedTOS2VarietyBoltWaterTrtIrrigated</v>
      </c>
    </row>
    <row r="545" spans="1:16" x14ac:dyDescent="0.25">
      <c r="G545">
        <v>3</v>
      </c>
      <c r="H545" t="s">
        <v>250</v>
      </c>
      <c r="I545">
        <v>4</v>
      </c>
      <c r="J545" s="6">
        <v>96</v>
      </c>
      <c r="M545" t="str">
        <f t="shared" si="24"/>
        <v>2022_Vic_Kalkee_Lentil_Detailed</v>
      </c>
      <c r="N545">
        <f>I545</f>
        <v>4</v>
      </c>
      <c r="O545" t="str">
        <f t="shared" si="25"/>
        <v>2022_Vic_Kalkee_Lentil_Detailed_96</v>
      </c>
      <c r="P545" t="str">
        <f t="shared" si="26"/>
        <v>2022_Vic_Kalkee_Lentil_DetailedTOS2VarietyBoltWaterTrtIrrigated</v>
      </c>
    </row>
    <row r="546" spans="1:16" x14ac:dyDescent="0.25">
      <c r="H546" t="s">
        <v>253</v>
      </c>
      <c r="I546">
        <v>4</v>
      </c>
      <c r="J546" s="6">
        <v>95</v>
      </c>
      <c r="M546" t="str">
        <f t="shared" si="24"/>
        <v>2022_Vic_Kalkee_Lentil_Detailed</v>
      </c>
      <c r="N546">
        <f>I546</f>
        <v>4</v>
      </c>
      <c r="O546" t="str">
        <f t="shared" si="25"/>
        <v>2022_Vic_Kalkee_Lentil_Detailed_95</v>
      </c>
      <c r="P546" t="str">
        <f t="shared" si="26"/>
        <v>2022_Vic_Kalkee_Lentil_DetailedTOS2VarietyBoltWaterTrtIrrigated</v>
      </c>
    </row>
    <row r="547" spans="1:16" x14ac:dyDescent="0.25">
      <c r="G547">
        <v>4</v>
      </c>
      <c r="H547" t="s">
        <v>250</v>
      </c>
      <c r="I547">
        <v>1</v>
      </c>
      <c r="J547" s="6">
        <v>98</v>
      </c>
      <c r="M547" t="str">
        <f t="shared" si="24"/>
        <v>2022_Vic_Kalkee_Lentil_Detailed</v>
      </c>
      <c r="N547">
        <f>I547</f>
        <v>1</v>
      </c>
      <c r="O547" t="str">
        <f t="shared" si="25"/>
        <v>2022_Vic_Kalkee_Lentil_Detailed_98</v>
      </c>
      <c r="P547" t="str">
        <f t="shared" si="26"/>
        <v>2022_Vic_Kalkee_Lentil_DetailedTOS2VarietyBoltWaterTrtIrrigated</v>
      </c>
    </row>
    <row r="548" spans="1:16" x14ac:dyDescent="0.25">
      <c r="H548" t="s">
        <v>253</v>
      </c>
      <c r="I548">
        <v>1</v>
      </c>
      <c r="J548" s="6">
        <v>97</v>
      </c>
      <c r="M548" t="str">
        <f t="shared" si="24"/>
        <v>2022_Vic_Kalkee_Lentil_Detailed</v>
      </c>
      <c r="N548">
        <f>I548</f>
        <v>1</v>
      </c>
      <c r="O548" t="str">
        <f t="shared" si="25"/>
        <v>2022_Vic_Kalkee_Lentil_Detailed_97</v>
      </c>
      <c r="P548" t="str">
        <f t="shared" si="26"/>
        <v>2022_Vic_Kalkee_Lentil_DetailedTOS2VarietyBoltWaterTrtIrrigated</v>
      </c>
    </row>
    <row r="549" spans="1:16" x14ac:dyDescent="0.25">
      <c r="A549" t="s">
        <v>4294</v>
      </c>
      <c r="B549" t="s">
        <v>776</v>
      </c>
      <c r="C549">
        <v>2</v>
      </c>
      <c r="D549" t="s">
        <v>4187</v>
      </c>
      <c r="E549" t="s">
        <v>40</v>
      </c>
      <c r="F549" t="s">
        <v>4398</v>
      </c>
      <c r="G549">
        <v>1</v>
      </c>
      <c r="H549" t="s">
        <v>250</v>
      </c>
      <c r="I549">
        <v>2</v>
      </c>
      <c r="J549" s="6">
        <v>4</v>
      </c>
      <c r="M549" t="str">
        <f t="shared" si="24"/>
        <v>2022_Vic_Kalkee_Lentil_Detailed</v>
      </c>
      <c r="N549">
        <f>I549</f>
        <v>2</v>
      </c>
      <c r="O549" t="str">
        <f t="shared" si="25"/>
        <v>2022_Vic_Kalkee_Lentil_Detailed_4</v>
      </c>
      <c r="P549" t="str">
        <f t="shared" si="26"/>
        <v>2022_Vic_Kalkee_Lentil_DetailedTOS2VarietyBoltWaterTrtRainFed</v>
      </c>
    </row>
    <row r="550" spans="1:16" x14ac:dyDescent="0.25">
      <c r="H550" t="s">
        <v>253</v>
      </c>
      <c r="I550">
        <v>2</v>
      </c>
      <c r="J550" s="6">
        <v>3</v>
      </c>
      <c r="M550" t="str">
        <f t="shared" si="24"/>
        <v>2022_Vic_Kalkee_Lentil_Detailed</v>
      </c>
      <c r="N550">
        <f>I550</f>
        <v>2</v>
      </c>
      <c r="O550" t="str">
        <f t="shared" si="25"/>
        <v>2022_Vic_Kalkee_Lentil_Detailed_3</v>
      </c>
      <c r="P550" t="str">
        <f t="shared" si="26"/>
        <v>2022_Vic_Kalkee_Lentil_DetailedTOS2VarietyBoltWaterTrtRainFed</v>
      </c>
    </row>
    <row r="551" spans="1:16" x14ac:dyDescent="0.25">
      <c r="G551">
        <v>2</v>
      </c>
      <c r="H551" t="s">
        <v>250</v>
      </c>
      <c r="I551">
        <v>4</v>
      </c>
      <c r="J551" s="6">
        <v>56</v>
      </c>
      <c r="M551" t="str">
        <f t="shared" si="24"/>
        <v>2022_Vic_Kalkee_Lentil_Detailed</v>
      </c>
      <c r="N551">
        <f>I551</f>
        <v>4</v>
      </c>
      <c r="O551" t="str">
        <f t="shared" si="25"/>
        <v>2022_Vic_Kalkee_Lentil_Detailed_56</v>
      </c>
      <c r="P551" t="str">
        <f t="shared" si="26"/>
        <v>2022_Vic_Kalkee_Lentil_DetailedTOS2VarietyBoltWaterTrtRainFed</v>
      </c>
    </row>
    <row r="552" spans="1:16" x14ac:dyDescent="0.25">
      <c r="H552" t="s">
        <v>253</v>
      </c>
      <c r="I552">
        <v>4</v>
      </c>
      <c r="J552" s="6">
        <v>55</v>
      </c>
      <c r="M552" t="str">
        <f t="shared" si="24"/>
        <v>2022_Vic_Kalkee_Lentil_Detailed</v>
      </c>
      <c r="N552">
        <f>I552</f>
        <v>4</v>
      </c>
      <c r="O552" t="str">
        <f t="shared" si="25"/>
        <v>2022_Vic_Kalkee_Lentil_Detailed_55</v>
      </c>
      <c r="P552" t="str">
        <f t="shared" si="26"/>
        <v>2022_Vic_Kalkee_Lentil_DetailedTOS2VarietyBoltWaterTrtRainFed</v>
      </c>
    </row>
    <row r="553" spans="1:16" x14ac:dyDescent="0.25">
      <c r="G553">
        <v>3</v>
      </c>
      <c r="H553" t="s">
        <v>250</v>
      </c>
      <c r="I553">
        <v>1</v>
      </c>
      <c r="J553" s="6">
        <v>82</v>
      </c>
      <c r="M553" t="str">
        <f t="shared" si="24"/>
        <v>2022_Vic_Kalkee_Lentil_Detailed</v>
      </c>
      <c r="N553">
        <f>I553</f>
        <v>1</v>
      </c>
      <c r="O553" t="str">
        <f t="shared" si="25"/>
        <v>2022_Vic_Kalkee_Lentil_Detailed_82</v>
      </c>
      <c r="P553" t="str">
        <f t="shared" si="26"/>
        <v>2022_Vic_Kalkee_Lentil_DetailedTOS2VarietyBoltWaterTrtRainFed</v>
      </c>
    </row>
    <row r="554" spans="1:16" x14ac:dyDescent="0.25">
      <c r="H554" t="s">
        <v>253</v>
      </c>
      <c r="I554">
        <v>1</v>
      </c>
      <c r="J554" s="6">
        <v>81</v>
      </c>
      <c r="M554" t="str">
        <f t="shared" si="24"/>
        <v>2022_Vic_Kalkee_Lentil_Detailed</v>
      </c>
      <c r="N554">
        <f>I554</f>
        <v>1</v>
      </c>
      <c r="O554" t="str">
        <f t="shared" si="25"/>
        <v>2022_Vic_Kalkee_Lentil_Detailed_81</v>
      </c>
      <c r="P554" t="str">
        <f t="shared" si="26"/>
        <v>2022_Vic_Kalkee_Lentil_DetailedTOS2VarietyBoltWaterTrtRainFed</v>
      </c>
    </row>
    <row r="555" spans="1:16" x14ac:dyDescent="0.25">
      <c r="G555">
        <v>4</v>
      </c>
      <c r="H555" t="s">
        <v>250</v>
      </c>
      <c r="I555">
        <v>3</v>
      </c>
      <c r="J555" s="6">
        <v>110</v>
      </c>
      <c r="M555" t="str">
        <f t="shared" si="24"/>
        <v>2022_Vic_Kalkee_Lentil_Detailed</v>
      </c>
      <c r="N555">
        <f>I555</f>
        <v>3</v>
      </c>
      <c r="O555" t="str">
        <f t="shared" si="25"/>
        <v>2022_Vic_Kalkee_Lentil_Detailed_110</v>
      </c>
      <c r="P555" t="str">
        <f t="shared" si="26"/>
        <v>2022_Vic_Kalkee_Lentil_DetailedTOS2VarietyBoltWaterTrtRainFed</v>
      </c>
    </row>
    <row r="556" spans="1:16" x14ac:dyDescent="0.25">
      <c r="H556" t="s">
        <v>253</v>
      </c>
      <c r="I556">
        <v>3</v>
      </c>
      <c r="J556" s="6">
        <v>109</v>
      </c>
      <c r="M556" t="str">
        <f t="shared" si="24"/>
        <v>2022_Vic_Kalkee_Lentil_Detailed</v>
      </c>
      <c r="N556">
        <f>I556</f>
        <v>3</v>
      </c>
      <c r="O556" t="str">
        <f t="shared" si="25"/>
        <v>2022_Vic_Kalkee_Lentil_Detailed_109</v>
      </c>
      <c r="P556" t="str">
        <f t="shared" si="26"/>
        <v>2022_Vic_Kalkee_Lentil_DetailedTOS2VarietyBoltWaterTrtRainFed</v>
      </c>
    </row>
    <row r="557" spans="1:16" x14ac:dyDescent="0.25">
      <c r="A557" t="s">
        <v>4295</v>
      </c>
      <c r="B557" t="s">
        <v>776</v>
      </c>
      <c r="C557">
        <v>2</v>
      </c>
      <c r="D557" t="s">
        <v>4189</v>
      </c>
      <c r="E557" t="s">
        <v>57</v>
      </c>
      <c r="F557" t="s">
        <v>4398</v>
      </c>
      <c r="G557">
        <v>1</v>
      </c>
      <c r="H557" t="s">
        <v>250</v>
      </c>
      <c r="I557">
        <v>3</v>
      </c>
      <c r="J557" s="6">
        <v>14</v>
      </c>
      <c r="M557" t="str">
        <f t="shared" si="24"/>
        <v>2022_Vic_Kalkee_Lentil_Detailed</v>
      </c>
      <c r="N557">
        <f>I557</f>
        <v>3</v>
      </c>
      <c r="O557" t="str">
        <f t="shared" si="25"/>
        <v>2022_Vic_Kalkee_Lentil_Detailed_14</v>
      </c>
      <c r="P557" t="str">
        <f t="shared" si="26"/>
        <v>2022_Vic_Kalkee_Lentil_DetailedTOS2VarietyHallmarkXTWaterTrtIrrigated</v>
      </c>
    </row>
    <row r="558" spans="1:16" x14ac:dyDescent="0.25">
      <c r="H558" t="s">
        <v>253</v>
      </c>
      <c r="I558">
        <v>3</v>
      </c>
      <c r="J558" s="6">
        <v>13</v>
      </c>
      <c r="M558" t="str">
        <f t="shared" si="24"/>
        <v>2022_Vic_Kalkee_Lentil_Detailed</v>
      </c>
      <c r="N558">
        <f>I558</f>
        <v>3</v>
      </c>
      <c r="O558" t="str">
        <f t="shared" si="25"/>
        <v>2022_Vic_Kalkee_Lentil_Detailed_13</v>
      </c>
      <c r="P558" t="str">
        <f t="shared" si="26"/>
        <v>2022_Vic_Kalkee_Lentil_DetailedTOS2VarietyHallmarkXTWaterTrtIrrigated</v>
      </c>
    </row>
    <row r="559" spans="1:16" x14ac:dyDescent="0.25">
      <c r="G559">
        <v>2</v>
      </c>
      <c r="H559" t="s">
        <v>250</v>
      </c>
      <c r="I559">
        <v>1</v>
      </c>
      <c r="J559" s="6">
        <v>58</v>
      </c>
      <c r="M559" t="str">
        <f t="shared" si="24"/>
        <v>2022_Vic_Kalkee_Lentil_Detailed</v>
      </c>
      <c r="N559">
        <f>I559</f>
        <v>1</v>
      </c>
      <c r="O559" t="str">
        <f t="shared" si="25"/>
        <v>2022_Vic_Kalkee_Lentil_Detailed_58</v>
      </c>
      <c r="P559" t="str">
        <f t="shared" si="26"/>
        <v>2022_Vic_Kalkee_Lentil_DetailedTOS2VarietyHallmarkXTWaterTrtIrrigated</v>
      </c>
    </row>
    <row r="560" spans="1:16" x14ac:dyDescent="0.25">
      <c r="H560" t="s">
        <v>253</v>
      </c>
      <c r="I560">
        <v>1</v>
      </c>
      <c r="J560" s="6">
        <v>57</v>
      </c>
      <c r="M560" t="str">
        <f t="shared" si="24"/>
        <v>2022_Vic_Kalkee_Lentil_Detailed</v>
      </c>
      <c r="N560">
        <f>I560</f>
        <v>1</v>
      </c>
      <c r="O560" t="str">
        <f t="shared" si="25"/>
        <v>2022_Vic_Kalkee_Lentil_Detailed_57</v>
      </c>
      <c r="P560" t="str">
        <f t="shared" si="26"/>
        <v>2022_Vic_Kalkee_Lentil_DetailedTOS2VarietyHallmarkXTWaterTrtIrrigated</v>
      </c>
    </row>
    <row r="561" spans="1:16" x14ac:dyDescent="0.25">
      <c r="G561">
        <v>3</v>
      </c>
      <c r="H561" t="s">
        <v>250</v>
      </c>
      <c r="I561">
        <v>2</v>
      </c>
      <c r="J561" s="6">
        <v>92</v>
      </c>
      <c r="M561" t="str">
        <f t="shared" si="24"/>
        <v>2022_Vic_Kalkee_Lentil_Detailed</v>
      </c>
      <c r="N561">
        <f>I561</f>
        <v>2</v>
      </c>
      <c r="O561" t="str">
        <f t="shared" si="25"/>
        <v>2022_Vic_Kalkee_Lentil_Detailed_92</v>
      </c>
      <c r="P561" t="str">
        <f t="shared" si="26"/>
        <v>2022_Vic_Kalkee_Lentil_DetailedTOS2VarietyHallmarkXTWaterTrtIrrigated</v>
      </c>
    </row>
    <row r="562" spans="1:16" x14ac:dyDescent="0.25">
      <c r="H562" t="s">
        <v>253</v>
      </c>
      <c r="I562">
        <v>2</v>
      </c>
      <c r="J562" s="6">
        <v>91</v>
      </c>
      <c r="M562" t="str">
        <f t="shared" si="24"/>
        <v>2022_Vic_Kalkee_Lentil_Detailed</v>
      </c>
      <c r="N562">
        <f>I562</f>
        <v>2</v>
      </c>
      <c r="O562" t="str">
        <f t="shared" si="25"/>
        <v>2022_Vic_Kalkee_Lentil_Detailed_91</v>
      </c>
      <c r="P562" t="str">
        <f t="shared" si="26"/>
        <v>2022_Vic_Kalkee_Lentil_DetailedTOS2VarietyHallmarkXTWaterTrtIrrigated</v>
      </c>
    </row>
    <row r="563" spans="1:16" x14ac:dyDescent="0.25">
      <c r="G563">
        <v>4</v>
      </c>
      <c r="H563" t="s">
        <v>250</v>
      </c>
      <c r="I563">
        <v>4</v>
      </c>
      <c r="J563" s="6">
        <v>104</v>
      </c>
      <c r="M563" t="str">
        <f t="shared" si="24"/>
        <v>2022_Vic_Kalkee_Lentil_Detailed</v>
      </c>
      <c r="N563">
        <f>I563</f>
        <v>4</v>
      </c>
      <c r="O563" t="str">
        <f t="shared" si="25"/>
        <v>2022_Vic_Kalkee_Lentil_Detailed_104</v>
      </c>
      <c r="P563" t="str">
        <f t="shared" si="26"/>
        <v>2022_Vic_Kalkee_Lentil_DetailedTOS2VarietyHallmarkXTWaterTrtIrrigated</v>
      </c>
    </row>
    <row r="564" spans="1:16" x14ac:dyDescent="0.25">
      <c r="H564" t="s">
        <v>253</v>
      </c>
      <c r="I564">
        <v>4</v>
      </c>
      <c r="J564" s="6">
        <v>103</v>
      </c>
      <c r="M564" t="str">
        <f t="shared" si="24"/>
        <v>2022_Vic_Kalkee_Lentil_Detailed</v>
      </c>
      <c r="N564">
        <f>I564</f>
        <v>4</v>
      </c>
      <c r="O564" t="str">
        <f t="shared" si="25"/>
        <v>2022_Vic_Kalkee_Lentil_Detailed_103</v>
      </c>
      <c r="P564" t="str">
        <f t="shared" si="26"/>
        <v>2022_Vic_Kalkee_Lentil_DetailedTOS2VarietyHallmarkXTWaterTrtIrrigated</v>
      </c>
    </row>
    <row r="565" spans="1:16" x14ac:dyDescent="0.25">
      <c r="A565" t="s">
        <v>4296</v>
      </c>
      <c r="B565" t="s">
        <v>776</v>
      </c>
      <c r="C565">
        <v>2</v>
      </c>
      <c r="D565" t="s">
        <v>4189</v>
      </c>
      <c r="E565" t="s">
        <v>40</v>
      </c>
      <c r="F565" t="s">
        <v>4398</v>
      </c>
      <c r="G565">
        <v>1</v>
      </c>
      <c r="H565" t="s">
        <v>250</v>
      </c>
      <c r="I565">
        <v>4</v>
      </c>
      <c r="J565" s="6">
        <v>8</v>
      </c>
      <c r="M565" t="str">
        <f t="shared" si="24"/>
        <v>2022_Vic_Kalkee_Lentil_Detailed</v>
      </c>
      <c r="N565">
        <f>I565</f>
        <v>4</v>
      </c>
      <c r="O565" t="str">
        <f t="shared" si="25"/>
        <v>2022_Vic_Kalkee_Lentil_Detailed_8</v>
      </c>
      <c r="P565" t="str">
        <f t="shared" si="26"/>
        <v>2022_Vic_Kalkee_Lentil_DetailedTOS2VarietyHallmarkXTWaterTrtRainFed</v>
      </c>
    </row>
    <row r="566" spans="1:16" x14ac:dyDescent="0.25">
      <c r="H566" t="s">
        <v>253</v>
      </c>
      <c r="I566">
        <v>4</v>
      </c>
      <c r="J566" s="6">
        <v>7</v>
      </c>
      <c r="M566" t="str">
        <f t="shared" si="24"/>
        <v>2022_Vic_Kalkee_Lentil_Detailed</v>
      </c>
      <c r="N566">
        <f>I566</f>
        <v>4</v>
      </c>
      <c r="O566" t="str">
        <f t="shared" si="25"/>
        <v>2022_Vic_Kalkee_Lentil_Detailed_7</v>
      </c>
      <c r="P566" t="str">
        <f t="shared" si="26"/>
        <v>2022_Vic_Kalkee_Lentil_DetailedTOS2VarietyHallmarkXTWaterTrtRainFed</v>
      </c>
    </row>
    <row r="567" spans="1:16" x14ac:dyDescent="0.25">
      <c r="G567">
        <v>2</v>
      </c>
      <c r="H567" t="s">
        <v>250</v>
      </c>
      <c r="I567">
        <v>3</v>
      </c>
      <c r="J567" s="6">
        <v>54</v>
      </c>
      <c r="M567" t="str">
        <f t="shared" si="24"/>
        <v>2022_Vic_Kalkee_Lentil_Detailed</v>
      </c>
      <c r="N567">
        <f>I567</f>
        <v>3</v>
      </c>
      <c r="O567" t="str">
        <f t="shared" si="25"/>
        <v>2022_Vic_Kalkee_Lentil_Detailed_54</v>
      </c>
      <c r="P567" t="str">
        <f t="shared" si="26"/>
        <v>2022_Vic_Kalkee_Lentil_DetailedTOS2VarietyHallmarkXTWaterTrtRainFed</v>
      </c>
    </row>
    <row r="568" spans="1:16" x14ac:dyDescent="0.25">
      <c r="H568" t="s">
        <v>253</v>
      </c>
      <c r="I568">
        <v>3</v>
      </c>
      <c r="J568" s="6">
        <v>53</v>
      </c>
      <c r="M568" t="str">
        <f t="shared" si="24"/>
        <v>2022_Vic_Kalkee_Lentil_Detailed</v>
      </c>
      <c r="N568">
        <f>I568</f>
        <v>3</v>
      </c>
      <c r="O568" t="str">
        <f t="shared" si="25"/>
        <v>2022_Vic_Kalkee_Lentil_Detailed_53</v>
      </c>
      <c r="P568" t="str">
        <f t="shared" si="26"/>
        <v>2022_Vic_Kalkee_Lentil_DetailedTOS2VarietyHallmarkXTWaterTrtRainFed</v>
      </c>
    </row>
    <row r="569" spans="1:16" x14ac:dyDescent="0.25">
      <c r="G569">
        <v>3</v>
      </c>
      <c r="H569" t="s">
        <v>250</v>
      </c>
      <c r="I569">
        <v>3</v>
      </c>
      <c r="J569" s="6">
        <v>86</v>
      </c>
      <c r="M569" t="str">
        <f t="shared" si="24"/>
        <v>2022_Vic_Kalkee_Lentil_Detailed</v>
      </c>
      <c r="N569">
        <f>I569</f>
        <v>3</v>
      </c>
      <c r="O569" t="str">
        <f t="shared" si="25"/>
        <v>2022_Vic_Kalkee_Lentil_Detailed_86</v>
      </c>
      <c r="P569" t="str">
        <f t="shared" si="26"/>
        <v>2022_Vic_Kalkee_Lentil_DetailedTOS2VarietyHallmarkXTWaterTrtRainFed</v>
      </c>
    </row>
    <row r="570" spans="1:16" x14ac:dyDescent="0.25">
      <c r="H570" t="s">
        <v>253</v>
      </c>
      <c r="I570">
        <v>3</v>
      </c>
      <c r="J570" s="6">
        <v>85</v>
      </c>
      <c r="M570" t="str">
        <f t="shared" si="24"/>
        <v>2022_Vic_Kalkee_Lentil_Detailed</v>
      </c>
      <c r="N570">
        <f>I570</f>
        <v>3</v>
      </c>
      <c r="O570" t="str">
        <f t="shared" si="25"/>
        <v>2022_Vic_Kalkee_Lentil_Detailed_85</v>
      </c>
      <c r="P570" t="str">
        <f t="shared" si="26"/>
        <v>2022_Vic_Kalkee_Lentil_DetailedTOS2VarietyHallmarkXTWaterTrtRainFed</v>
      </c>
    </row>
    <row r="571" spans="1:16" x14ac:dyDescent="0.25">
      <c r="G571">
        <v>4</v>
      </c>
      <c r="H571" t="s">
        <v>250</v>
      </c>
      <c r="I571">
        <v>2</v>
      </c>
      <c r="J571" s="6">
        <v>108</v>
      </c>
      <c r="M571" t="str">
        <f t="shared" si="24"/>
        <v>2022_Vic_Kalkee_Lentil_Detailed</v>
      </c>
      <c r="N571">
        <f>I571</f>
        <v>2</v>
      </c>
      <c r="O571" t="str">
        <f t="shared" si="25"/>
        <v>2022_Vic_Kalkee_Lentil_Detailed_108</v>
      </c>
      <c r="P571" t="str">
        <f t="shared" si="26"/>
        <v>2022_Vic_Kalkee_Lentil_DetailedTOS2VarietyHallmarkXTWaterTrtRainFed</v>
      </c>
    </row>
    <row r="572" spans="1:16" x14ac:dyDescent="0.25">
      <c r="H572" t="s">
        <v>253</v>
      </c>
      <c r="I572">
        <v>2</v>
      </c>
      <c r="J572" s="6">
        <v>107</v>
      </c>
      <c r="M572" t="str">
        <f t="shared" si="24"/>
        <v>2022_Vic_Kalkee_Lentil_Detailed</v>
      </c>
      <c r="N572">
        <f>I572</f>
        <v>2</v>
      </c>
      <c r="O572" t="str">
        <f t="shared" si="25"/>
        <v>2022_Vic_Kalkee_Lentil_Detailed_107</v>
      </c>
      <c r="P572" t="str">
        <f t="shared" si="26"/>
        <v>2022_Vic_Kalkee_Lentil_DetailedTOS2VarietyHallmarkXTWaterTrtRainFed</v>
      </c>
    </row>
    <row r="573" spans="1:16" x14ac:dyDescent="0.25">
      <c r="A573" t="s">
        <v>4297</v>
      </c>
      <c r="B573" t="s">
        <v>776</v>
      </c>
      <c r="C573">
        <v>2</v>
      </c>
      <c r="D573" t="s">
        <v>4176</v>
      </c>
      <c r="E573" t="s">
        <v>57</v>
      </c>
      <c r="F573" t="s">
        <v>4398</v>
      </c>
      <c r="G573">
        <v>1</v>
      </c>
      <c r="H573" t="s">
        <v>250</v>
      </c>
      <c r="I573">
        <v>4</v>
      </c>
      <c r="J573" s="6">
        <v>16</v>
      </c>
      <c r="M573" t="str">
        <f t="shared" si="24"/>
        <v>2022_Vic_Kalkee_Lentil_Detailed</v>
      </c>
      <c r="N573">
        <f>I573</f>
        <v>4</v>
      </c>
      <c r="O573" t="str">
        <f t="shared" si="25"/>
        <v>2022_Vic_Kalkee_Lentil_Detailed_16</v>
      </c>
      <c r="P573" t="str">
        <f t="shared" si="26"/>
        <v>2022_Vic_Kalkee_Lentil_DetailedTOS2VarietyJumbo2WaterTrtIrrigated</v>
      </c>
    </row>
    <row r="574" spans="1:16" x14ac:dyDescent="0.25">
      <c r="H574" t="s">
        <v>253</v>
      </c>
      <c r="I574">
        <v>4</v>
      </c>
      <c r="J574" s="6">
        <v>15</v>
      </c>
      <c r="M574" t="str">
        <f t="shared" si="24"/>
        <v>2022_Vic_Kalkee_Lentil_Detailed</v>
      </c>
      <c r="N574">
        <f>I574</f>
        <v>4</v>
      </c>
      <c r="O574" t="str">
        <f t="shared" si="25"/>
        <v>2022_Vic_Kalkee_Lentil_Detailed_15</v>
      </c>
      <c r="P574" t="str">
        <f t="shared" si="26"/>
        <v>2022_Vic_Kalkee_Lentil_DetailedTOS2VarietyJumbo2WaterTrtIrrigated</v>
      </c>
    </row>
    <row r="575" spans="1:16" x14ac:dyDescent="0.25">
      <c r="G575">
        <v>2</v>
      </c>
      <c r="H575" t="s">
        <v>250</v>
      </c>
      <c r="I575">
        <v>4</v>
      </c>
      <c r="J575" s="6">
        <v>64</v>
      </c>
      <c r="M575" t="str">
        <f t="shared" si="24"/>
        <v>2022_Vic_Kalkee_Lentil_Detailed</v>
      </c>
      <c r="N575">
        <f>I575</f>
        <v>4</v>
      </c>
      <c r="O575" t="str">
        <f t="shared" si="25"/>
        <v>2022_Vic_Kalkee_Lentil_Detailed_64</v>
      </c>
      <c r="P575" t="str">
        <f t="shared" si="26"/>
        <v>2022_Vic_Kalkee_Lentil_DetailedTOS2VarietyJumbo2WaterTrtIrrigated</v>
      </c>
    </row>
    <row r="576" spans="1:16" x14ac:dyDescent="0.25">
      <c r="H576" t="s">
        <v>253</v>
      </c>
      <c r="I576">
        <v>4</v>
      </c>
      <c r="J576" s="6">
        <v>63</v>
      </c>
      <c r="M576" t="str">
        <f t="shared" si="24"/>
        <v>2022_Vic_Kalkee_Lentil_Detailed</v>
      </c>
      <c r="N576">
        <f>I576</f>
        <v>4</v>
      </c>
      <c r="O576" t="str">
        <f t="shared" si="25"/>
        <v>2022_Vic_Kalkee_Lentil_Detailed_63</v>
      </c>
      <c r="P576" t="str">
        <f t="shared" si="26"/>
        <v>2022_Vic_Kalkee_Lentil_DetailedTOS2VarietyJumbo2WaterTrtIrrigated</v>
      </c>
    </row>
    <row r="577" spans="1:16" x14ac:dyDescent="0.25">
      <c r="G577">
        <v>3</v>
      </c>
      <c r="H577" t="s">
        <v>250</v>
      </c>
      <c r="I577">
        <v>3</v>
      </c>
      <c r="J577" s="6">
        <v>94</v>
      </c>
      <c r="M577" t="str">
        <f t="shared" si="24"/>
        <v>2022_Vic_Kalkee_Lentil_Detailed</v>
      </c>
      <c r="N577">
        <f>I577</f>
        <v>3</v>
      </c>
      <c r="O577" t="str">
        <f t="shared" si="25"/>
        <v>2022_Vic_Kalkee_Lentil_Detailed_94</v>
      </c>
      <c r="P577" t="str">
        <f t="shared" si="26"/>
        <v>2022_Vic_Kalkee_Lentil_DetailedTOS2VarietyJumbo2WaterTrtIrrigated</v>
      </c>
    </row>
    <row r="578" spans="1:16" x14ac:dyDescent="0.25">
      <c r="H578" t="s">
        <v>253</v>
      </c>
      <c r="I578">
        <v>3</v>
      </c>
      <c r="J578" s="6">
        <v>93</v>
      </c>
      <c r="M578" t="str">
        <f t="shared" si="24"/>
        <v>2022_Vic_Kalkee_Lentil_Detailed</v>
      </c>
      <c r="N578">
        <f>I578</f>
        <v>3</v>
      </c>
      <c r="O578" t="str">
        <f t="shared" si="25"/>
        <v>2022_Vic_Kalkee_Lentil_Detailed_93</v>
      </c>
      <c r="P578" t="str">
        <f t="shared" si="26"/>
        <v>2022_Vic_Kalkee_Lentil_DetailedTOS2VarietyJumbo2WaterTrtIrrigated</v>
      </c>
    </row>
    <row r="579" spans="1:16" x14ac:dyDescent="0.25">
      <c r="G579">
        <v>4</v>
      </c>
      <c r="H579" t="s">
        <v>250</v>
      </c>
      <c r="I579">
        <v>3</v>
      </c>
      <c r="J579" s="6">
        <v>102</v>
      </c>
      <c r="M579" t="str">
        <f t="shared" si="24"/>
        <v>2022_Vic_Kalkee_Lentil_Detailed</v>
      </c>
      <c r="N579">
        <f>I579</f>
        <v>3</v>
      </c>
      <c r="O579" t="str">
        <f t="shared" si="25"/>
        <v>2022_Vic_Kalkee_Lentil_Detailed_102</v>
      </c>
      <c r="P579" t="str">
        <f t="shared" si="26"/>
        <v>2022_Vic_Kalkee_Lentil_DetailedTOS2VarietyJumbo2WaterTrtIrrigated</v>
      </c>
    </row>
    <row r="580" spans="1:16" x14ac:dyDescent="0.25">
      <c r="H580" t="s">
        <v>253</v>
      </c>
      <c r="I580">
        <v>3</v>
      </c>
      <c r="J580" s="6">
        <v>101</v>
      </c>
      <c r="M580" t="str">
        <f t="shared" si="24"/>
        <v>2022_Vic_Kalkee_Lentil_Detailed</v>
      </c>
      <c r="N580">
        <f>I580</f>
        <v>3</v>
      </c>
      <c r="O580" t="str">
        <f t="shared" si="25"/>
        <v>2022_Vic_Kalkee_Lentil_Detailed_101</v>
      </c>
      <c r="P580" t="str">
        <f t="shared" si="26"/>
        <v>2022_Vic_Kalkee_Lentil_DetailedTOS2VarietyJumbo2WaterTrtIrrigated</v>
      </c>
    </row>
    <row r="581" spans="1:16" x14ac:dyDescent="0.25">
      <c r="A581" t="s">
        <v>4298</v>
      </c>
      <c r="B581" t="s">
        <v>776</v>
      </c>
      <c r="C581">
        <v>2</v>
      </c>
      <c r="D581" t="s">
        <v>4176</v>
      </c>
      <c r="E581" t="s">
        <v>40</v>
      </c>
      <c r="F581" t="s">
        <v>4398</v>
      </c>
      <c r="G581">
        <v>1</v>
      </c>
      <c r="H581" t="s">
        <v>250</v>
      </c>
      <c r="I581">
        <v>1</v>
      </c>
      <c r="J581" s="6">
        <v>2</v>
      </c>
      <c r="M581" t="str">
        <f t="shared" si="24"/>
        <v>2022_Vic_Kalkee_Lentil_Detailed</v>
      </c>
      <c r="N581">
        <f>I581</f>
        <v>1</v>
      </c>
      <c r="O581" t="str">
        <f t="shared" si="25"/>
        <v>2022_Vic_Kalkee_Lentil_Detailed_2</v>
      </c>
      <c r="P581" t="str">
        <f t="shared" si="26"/>
        <v>2022_Vic_Kalkee_Lentil_DetailedTOS2VarietyJumbo2WaterTrtRainFed</v>
      </c>
    </row>
    <row r="582" spans="1:16" x14ac:dyDescent="0.25">
      <c r="H582" t="s">
        <v>253</v>
      </c>
      <c r="I582">
        <v>1</v>
      </c>
      <c r="J582" s="6">
        <v>1</v>
      </c>
      <c r="M582" t="str">
        <f t="shared" ref="M582:M645" si="27">IF(B582="",M581,B582)</f>
        <v>2022_Vic_Kalkee_Lentil_Detailed</v>
      </c>
      <c r="N582">
        <f>I582</f>
        <v>1</v>
      </c>
      <c r="O582" t="str">
        <f t="shared" ref="O582:O645" si="28">M582&amp;"_"&amp;J582</f>
        <v>2022_Vic_Kalkee_Lentil_Detailed_1</v>
      </c>
      <c r="P582" t="str">
        <f t="shared" ref="P582:P645" si="29">IF(A582="",P581,A582)</f>
        <v>2022_Vic_Kalkee_Lentil_DetailedTOS2VarietyJumbo2WaterTrtRainFed</v>
      </c>
    </row>
    <row r="583" spans="1:16" x14ac:dyDescent="0.25">
      <c r="G583">
        <v>2</v>
      </c>
      <c r="H583" t="s">
        <v>250</v>
      </c>
      <c r="I583">
        <v>2</v>
      </c>
      <c r="J583" s="6">
        <v>52</v>
      </c>
      <c r="M583" t="str">
        <f t="shared" si="27"/>
        <v>2022_Vic_Kalkee_Lentil_Detailed</v>
      </c>
      <c r="N583">
        <f>I583</f>
        <v>2</v>
      </c>
      <c r="O583" t="str">
        <f t="shared" si="28"/>
        <v>2022_Vic_Kalkee_Lentil_Detailed_52</v>
      </c>
      <c r="P583" t="str">
        <f t="shared" si="29"/>
        <v>2022_Vic_Kalkee_Lentil_DetailedTOS2VarietyJumbo2WaterTrtRainFed</v>
      </c>
    </row>
    <row r="584" spans="1:16" x14ac:dyDescent="0.25">
      <c r="H584" t="s">
        <v>253</v>
      </c>
      <c r="I584">
        <v>2</v>
      </c>
      <c r="J584" s="6">
        <v>51</v>
      </c>
      <c r="M584" t="str">
        <f t="shared" si="27"/>
        <v>2022_Vic_Kalkee_Lentil_Detailed</v>
      </c>
      <c r="N584">
        <f>I584</f>
        <v>2</v>
      </c>
      <c r="O584" t="str">
        <f t="shared" si="28"/>
        <v>2022_Vic_Kalkee_Lentil_Detailed_51</v>
      </c>
      <c r="P584" t="str">
        <f t="shared" si="29"/>
        <v>2022_Vic_Kalkee_Lentil_DetailedTOS2VarietyJumbo2WaterTrtRainFed</v>
      </c>
    </row>
    <row r="585" spans="1:16" x14ac:dyDescent="0.25">
      <c r="G585">
        <v>3</v>
      </c>
      <c r="H585" t="s">
        <v>250</v>
      </c>
      <c r="I585">
        <v>2</v>
      </c>
      <c r="J585" s="6">
        <v>84</v>
      </c>
      <c r="M585" t="str">
        <f t="shared" si="27"/>
        <v>2022_Vic_Kalkee_Lentil_Detailed</v>
      </c>
      <c r="N585">
        <f>I585</f>
        <v>2</v>
      </c>
      <c r="O585" t="str">
        <f t="shared" si="28"/>
        <v>2022_Vic_Kalkee_Lentil_Detailed_84</v>
      </c>
      <c r="P585" t="str">
        <f t="shared" si="29"/>
        <v>2022_Vic_Kalkee_Lentil_DetailedTOS2VarietyJumbo2WaterTrtRainFed</v>
      </c>
    </row>
    <row r="586" spans="1:16" x14ac:dyDescent="0.25">
      <c r="H586" t="s">
        <v>253</v>
      </c>
      <c r="I586">
        <v>2</v>
      </c>
      <c r="J586" s="6">
        <v>83</v>
      </c>
      <c r="M586" t="str">
        <f t="shared" si="27"/>
        <v>2022_Vic_Kalkee_Lentil_Detailed</v>
      </c>
      <c r="N586">
        <f>I586</f>
        <v>2</v>
      </c>
      <c r="O586" t="str">
        <f t="shared" si="28"/>
        <v>2022_Vic_Kalkee_Lentil_Detailed_83</v>
      </c>
      <c r="P586" t="str">
        <f t="shared" si="29"/>
        <v>2022_Vic_Kalkee_Lentil_DetailedTOS2VarietyJumbo2WaterTrtRainFed</v>
      </c>
    </row>
    <row r="587" spans="1:16" x14ac:dyDescent="0.25">
      <c r="G587">
        <v>4</v>
      </c>
      <c r="H587" t="s">
        <v>250</v>
      </c>
      <c r="I587">
        <v>1</v>
      </c>
      <c r="J587" s="6">
        <v>106</v>
      </c>
      <c r="M587" t="str">
        <f t="shared" si="27"/>
        <v>2022_Vic_Kalkee_Lentil_Detailed</v>
      </c>
      <c r="N587">
        <f>I587</f>
        <v>1</v>
      </c>
      <c r="O587" t="str">
        <f t="shared" si="28"/>
        <v>2022_Vic_Kalkee_Lentil_Detailed_106</v>
      </c>
      <c r="P587" t="str">
        <f t="shared" si="29"/>
        <v>2022_Vic_Kalkee_Lentil_DetailedTOS2VarietyJumbo2WaterTrtRainFed</v>
      </c>
    </row>
    <row r="588" spans="1:16" x14ac:dyDescent="0.25">
      <c r="H588" t="s">
        <v>253</v>
      </c>
      <c r="I588">
        <v>1</v>
      </c>
      <c r="J588" s="6">
        <v>105</v>
      </c>
      <c r="M588" t="str">
        <f t="shared" si="27"/>
        <v>2022_Vic_Kalkee_Lentil_Detailed</v>
      </c>
      <c r="N588">
        <f>I588</f>
        <v>1</v>
      </c>
      <c r="O588" t="str">
        <f t="shared" si="28"/>
        <v>2022_Vic_Kalkee_Lentil_Detailed_105</v>
      </c>
      <c r="P588" t="str">
        <f t="shared" si="29"/>
        <v>2022_Vic_Kalkee_Lentil_DetailedTOS2VarietyJumbo2WaterTrtRainFed</v>
      </c>
    </row>
    <row r="589" spans="1:16" x14ac:dyDescent="0.25">
      <c r="A589" t="s">
        <v>4299</v>
      </c>
      <c r="B589" t="s">
        <v>776</v>
      </c>
      <c r="C589">
        <v>2</v>
      </c>
      <c r="D589" t="s">
        <v>4188</v>
      </c>
      <c r="E589" t="s">
        <v>57</v>
      </c>
      <c r="F589" t="s">
        <v>4398</v>
      </c>
      <c r="G589">
        <v>1</v>
      </c>
      <c r="H589" t="s">
        <v>250</v>
      </c>
      <c r="I589">
        <v>2</v>
      </c>
      <c r="J589" s="6">
        <v>12</v>
      </c>
      <c r="M589" t="str">
        <f t="shared" si="27"/>
        <v>2022_Vic_Kalkee_Lentil_Detailed</v>
      </c>
      <c r="N589">
        <f>I589</f>
        <v>2</v>
      </c>
      <c r="O589" t="str">
        <f t="shared" si="28"/>
        <v>2022_Vic_Kalkee_Lentil_Detailed_12</v>
      </c>
      <c r="P589" t="str">
        <f t="shared" si="29"/>
        <v>2022_Vic_Kalkee_Lentil_DetailedTOS2VarietyKelpieXTWaterTrtIrrigated</v>
      </c>
    </row>
    <row r="590" spans="1:16" x14ac:dyDescent="0.25">
      <c r="H590" t="s">
        <v>253</v>
      </c>
      <c r="I590">
        <v>2</v>
      </c>
      <c r="J590" s="6">
        <v>11</v>
      </c>
      <c r="M590" t="str">
        <f t="shared" si="27"/>
        <v>2022_Vic_Kalkee_Lentil_Detailed</v>
      </c>
      <c r="N590">
        <f>I590</f>
        <v>2</v>
      </c>
      <c r="O590" t="str">
        <f t="shared" si="28"/>
        <v>2022_Vic_Kalkee_Lentil_Detailed_11</v>
      </c>
      <c r="P590" t="str">
        <f t="shared" si="29"/>
        <v>2022_Vic_Kalkee_Lentil_DetailedTOS2VarietyKelpieXTWaterTrtIrrigated</v>
      </c>
    </row>
    <row r="591" spans="1:16" x14ac:dyDescent="0.25">
      <c r="G591">
        <v>2</v>
      </c>
      <c r="H591" t="s">
        <v>250</v>
      </c>
      <c r="I591">
        <v>3</v>
      </c>
      <c r="J591" s="6">
        <v>62</v>
      </c>
      <c r="M591" t="str">
        <f t="shared" si="27"/>
        <v>2022_Vic_Kalkee_Lentil_Detailed</v>
      </c>
      <c r="N591">
        <f>I591</f>
        <v>3</v>
      </c>
      <c r="O591" t="str">
        <f t="shared" si="28"/>
        <v>2022_Vic_Kalkee_Lentil_Detailed_62</v>
      </c>
      <c r="P591" t="str">
        <f t="shared" si="29"/>
        <v>2022_Vic_Kalkee_Lentil_DetailedTOS2VarietyKelpieXTWaterTrtIrrigated</v>
      </c>
    </row>
    <row r="592" spans="1:16" x14ac:dyDescent="0.25">
      <c r="H592" t="s">
        <v>253</v>
      </c>
      <c r="I592">
        <v>3</v>
      </c>
      <c r="J592" s="6">
        <v>61</v>
      </c>
      <c r="M592" t="str">
        <f t="shared" si="27"/>
        <v>2022_Vic_Kalkee_Lentil_Detailed</v>
      </c>
      <c r="N592">
        <f>I592</f>
        <v>3</v>
      </c>
      <c r="O592" t="str">
        <f t="shared" si="28"/>
        <v>2022_Vic_Kalkee_Lentil_Detailed_61</v>
      </c>
      <c r="P592" t="str">
        <f t="shared" si="29"/>
        <v>2022_Vic_Kalkee_Lentil_DetailedTOS2VarietyKelpieXTWaterTrtIrrigated</v>
      </c>
    </row>
    <row r="593" spans="1:16" x14ac:dyDescent="0.25">
      <c r="G593">
        <v>3</v>
      </c>
      <c r="H593" t="s">
        <v>250</v>
      </c>
      <c r="I593">
        <v>1</v>
      </c>
      <c r="J593" s="6">
        <v>90</v>
      </c>
      <c r="M593" t="str">
        <f t="shared" si="27"/>
        <v>2022_Vic_Kalkee_Lentil_Detailed</v>
      </c>
      <c r="N593">
        <f>I593</f>
        <v>1</v>
      </c>
      <c r="O593" t="str">
        <f t="shared" si="28"/>
        <v>2022_Vic_Kalkee_Lentil_Detailed_90</v>
      </c>
      <c r="P593" t="str">
        <f t="shared" si="29"/>
        <v>2022_Vic_Kalkee_Lentil_DetailedTOS2VarietyKelpieXTWaterTrtIrrigated</v>
      </c>
    </row>
    <row r="594" spans="1:16" x14ac:dyDescent="0.25">
      <c r="H594" t="s">
        <v>253</v>
      </c>
      <c r="I594">
        <v>1</v>
      </c>
      <c r="J594" s="6">
        <v>89</v>
      </c>
      <c r="M594" t="str">
        <f t="shared" si="27"/>
        <v>2022_Vic_Kalkee_Lentil_Detailed</v>
      </c>
      <c r="N594">
        <f>I594</f>
        <v>1</v>
      </c>
      <c r="O594" t="str">
        <f t="shared" si="28"/>
        <v>2022_Vic_Kalkee_Lentil_Detailed_89</v>
      </c>
      <c r="P594" t="str">
        <f t="shared" si="29"/>
        <v>2022_Vic_Kalkee_Lentil_DetailedTOS2VarietyKelpieXTWaterTrtIrrigated</v>
      </c>
    </row>
    <row r="595" spans="1:16" x14ac:dyDescent="0.25">
      <c r="G595">
        <v>4</v>
      </c>
      <c r="H595" t="s">
        <v>250</v>
      </c>
      <c r="I595">
        <v>2</v>
      </c>
      <c r="J595" s="6">
        <v>100</v>
      </c>
      <c r="M595" t="str">
        <f t="shared" si="27"/>
        <v>2022_Vic_Kalkee_Lentil_Detailed</v>
      </c>
      <c r="N595">
        <f>I595</f>
        <v>2</v>
      </c>
      <c r="O595" t="str">
        <f t="shared" si="28"/>
        <v>2022_Vic_Kalkee_Lentil_Detailed_100</v>
      </c>
      <c r="P595" t="str">
        <f t="shared" si="29"/>
        <v>2022_Vic_Kalkee_Lentil_DetailedTOS2VarietyKelpieXTWaterTrtIrrigated</v>
      </c>
    </row>
    <row r="596" spans="1:16" x14ac:dyDescent="0.25">
      <c r="H596" t="s">
        <v>253</v>
      </c>
      <c r="I596">
        <v>2</v>
      </c>
      <c r="J596" s="6">
        <v>99</v>
      </c>
      <c r="M596" t="str">
        <f t="shared" si="27"/>
        <v>2022_Vic_Kalkee_Lentil_Detailed</v>
      </c>
      <c r="N596">
        <f>I596</f>
        <v>2</v>
      </c>
      <c r="O596" t="str">
        <f t="shared" si="28"/>
        <v>2022_Vic_Kalkee_Lentil_Detailed_99</v>
      </c>
      <c r="P596" t="str">
        <f t="shared" si="29"/>
        <v>2022_Vic_Kalkee_Lentil_DetailedTOS2VarietyKelpieXTWaterTrtIrrigated</v>
      </c>
    </row>
    <row r="597" spans="1:16" x14ac:dyDescent="0.25">
      <c r="A597" t="s">
        <v>4300</v>
      </c>
      <c r="B597" t="s">
        <v>776</v>
      </c>
      <c r="C597">
        <v>2</v>
      </c>
      <c r="D597" t="s">
        <v>4188</v>
      </c>
      <c r="E597" t="s">
        <v>40</v>
      </c>
      <c r="F597" t="s">
        <v>4398</v>
      </c>
      <c r="G597">
        <v>1</v>
      </c>
      <c r="H597" t="s">
        <v>250</v>
      </c>
      <c r="I597">
        <v>3</v>
      </c>
      <c r="J597" s="6">
        <v>6</v>
      </c>
      <c r="M597" t="str">
        <f t="shared" si="27"/>
        <v>2022_Vic_Kalkee_Lentil_Detailed</v>
      </c>
      <c r="N597">
        <f>I597</f>
        <v>3</v>
      </c>
      <c r="O597" t="str">
        <f t="shared" si="28"/>
        <v>2022_Vic_Kalkee_Lentil_Detailed_6</v>
      </c>
      <c r="P597" t="str">
        <f t="shared" si="29"/>
        <v>2022_Vic_Kalkee_Lentil_DetailedTOS2VarietyKelpieXTWaterTrtRainFed</v>
      </c>
    </row>
    <row r="598" spans="1:16" x14ac:dyDescent="0.25">
      <c r="H598" t="s">
        <v>253</v>
      </c>
      <c r="I598">
        <v>3</v>
      </c>
      <c r="J598" s="6">
        <v>5</v>
      </c>
      <c r="M598" t="str">
        <f t="shared" si="27"/>
        <v>2022_Vic_Kalkee_Lentil_Detailed</v>
      </c>
      <c r="N598">
        <f>I598</f>
        <v>3</v>
      </c>
      <c r="O598" t="str">
        <f t="shared" si="28"/>
        <v>2022_Vic_Kalkee_Lentil_Detailed_5</v>
      </c>
      <c r="P598" t="str">
        <f t="shared" si="29"/>
        <v>2022_Vic_Kalkee_Lentil_DetailedTOS2VarietyKelpieXTWaterTrtRainFed</v>
      </c>
    </row>
    <row r="599" spans="1:16" x14ac:dyDescent="0.25">
      <c r="G599">
        <v>2</v>
      </c>
      <c r="H599" t="s">
        <v>250</v>
      </c>
      <c r="I599">
        <v>1</v>
      </c>
      <c r="J599" s="6">
        <v>50</v>
      </c>
      <c r="M599" t="str">
        <f t="shared" si="27"/>
        <v>2022_Vic_Kalkee_Lentil_Detailed</v>
      </c>
      <c r="N599">
        <f>I599</f>
        <v>1</v>
      </c>
      <c r="O599" t="str">
        <f t="shared" si="28"/>
        <v>2022_Vic_Kalkee_Lentil_Detailed_50</v>
      </c>
      <c r="P599" t="str">
        <f t="shared" si="29"/>
        <v>2022_Vic_Kalkee_Lentil_DetailedTOS2VarietyKelpieXTWaterTrtRainFed</v>
      </c>
    </row>
    <row r="600" spans="1:16" x14ac:dyDescent="0.25">
      <c r="H600" t="s">
        <v>253</v>
      </c>
      <c r="I600">
        <v>1</v>
      </c>
      <c r="J600" s="6">
        <v>49</v>
      </c>
      <c r="M600" t="str">
        <f t="shared" si="27"/>
        <v>2022_Vic_Kalkee_Lentil_Detailed</v>
      </c>
      <c r="N600">
        <f>I600</f>
        <v>1</v>
      </c>
      <c r="O600" t="str">
        <f t="shared" si="28"/>
        <v>2022_Vic_Kalkee_Lentil_Detailed_49</v>
      </c>
      <c r="P600" t="str">
        <f t="shared" si="29"/>
        <v>2022_Vic_Kalkee_Lentil_DetailedTOS2VarietyKelpieXTWaterTrtRainFed</v>
      </c>
    </row>
    <row r="601" spans="1:16" x14ac:dyDescent="0.25">
      <c r="G601">
        <v>3</v>
      </c>
      <c r="H601" t="s">
        <v>250</v>
      </c>
      <c r="I601">
        <v>4</v>
      </c>
      <c r="J601" s="6">
        <v>88</v>
      </c>
      <c r="M601" t="str">
        <f t="shared" si="27"/>
        <v>2022_Vic_Kalkee_Lentil_Detailed</v>
      </c>
      <c r="N601">
        <f>I601</f>
        <v>4</v>
      </c>
      <c r="O601" t="str">
        <f t="shared" si="28"/>
        <v>2022_Vic_Kalkee_Lentil_Detailed_88</v>
      </c>
      <c r="P601" t="str">
        <f t="shared" si="29"/>
        <v>2022_Vic_Kalkee_Lentil_DetailedTOS2VarietyKelpieXTWaterTrtRainFed</v>
      </c>
    </row>
    <row r="602" spans="1:16" x14ac:dyDescent="0.25">
      <c r="H602" t="s">
        <v>253</v>
      </c>
      <c r="I602">
        <v>4</v>
      </c>
      <c r="J602" s="6">
        <v>87</v>
      </c>
      <c r="M602" t="str">
        <f t="shared" si="27"/>
        <v>2022_Vic_Kalkee_Lentil_Detailed</v>
      </c>
      <c r="N602">
        <f>I602</f>
        <v>4</v>
      </c>
      <c r="O602" t="str">
        <f t="shared" si="28"/>
        <v>2022_Vic_Kalkee_Lentil_Detailed_87</v>
      </c>
      <c r="P602" t="str">
        <f t="shared" si="29"/>
        <v>2022_Vic_Kalkee_Lentil_DetailedTOS2VarietyKelpieXTWaterTrtRainFed</v>
      </c>
    </row>
    <row r="603" spans="1:16" x14ac:dyDescent="0.25">
      <c r="G603">
        <v>4</v>
      </c>
      <c r="H603" t="s">
        <v>250</v>
      </c>
      <c r="I603">
        <v>4</v>
      </c>
      <c r="J603" s="6">
        <v>112</v>
      </c>
      <c r="M603" t="str">
        <f t="shared" si="27"/>
        <v>2022_Vic_Kalkee_Lentil_Detailed</v>
      </c>
      <c r="N603">
        <f>I603</f>
        <v>4</v>
      </c>
      <c r="O603" t="str">
        <f t="shared" si="28"/>
        <v>2022_Vic_Kalkee_Lentil_Detailed_112</v>
      </c>
      <c r="P603" t="str">
        <f t="shared" si="29"/>
        <v>2022_Vic_Kalkee_Lentil_DetailedTOS2VarietyKelpieXTWaterTrtRainFed</v>
      </c>
    </row>
    <row r="604" spans="1:16" x14ac:dyDescent="0.25">
      <c r="H604" t="s">
        <v>253</v>
      </c>
      <c r="I604">
        <v>4</v>
      </c>
      <c r="J604" s="6">
        <v>111</v>
      </c>
      <c r="M604" t="str">
        <f t="shared" si="27"/>
        <v>2022_Vic_Kalkee_Lentil_Detailed</v>
      </c>
      <c r="N604">
        <f>I604</f>
        <v>4</v>
      </c>
      <c r="O604" t="str">
        <f t="shared" si="28"/>
        <v>2022_Vic_Kalkee_Lentil_Detailed_111</v>
      </c>
      <c r="P604" t="str">
        <f t="shared" si="29"/>
        <v>2022_Vic_Kalkee_Lentil_DetailedTOS2VarietyKelpieXTWaterTrtRainFed</v>
      </c>
    </row>
    <row r="605" spans="1:16" x14ac:dyDescent="0.25">
      <c r="A605" t="s">
        <v>4301</v>
      </c>
      <c r="B605" t="s">
        <v>1612</v>
      </c>
      <c r="C605">
        <v>1</v>
      </c>
      <c r="D605" t="s">
        <v>4187</v>
      </c>
      <c r="E605" t="s">
        <v>40</v>
      </c>
      <c r="F605" t="s">
        <v>4398</v>
      </c>
      <c r="G605">
        <v>1</v>
      </c>
      <c r="H605" t="s">
        <v>253</v>
      </c>
      <c r="I605">
        <v>2</v>
      </c>
      <c r="J605" s="6">
        <v>2</v>
      </c>
      <c r="M605" t="str">
        <f t="shared" si="27"/>
        <v>2022_Vic_Ouyen_Lentil_Satellite</v>
      </c>
      <c r="N605">
        <f>I605</f>
        <v>2</v>
      </c>
      <c r="O605" t="str">
        <f t="shared" si="28"/>
        <v>2022_Vic_Ouyen_Lentil_Satellite_2</v>
      </c>
      <c r="P605" t="str">
        <f t="shared" si="29"/>
        <v>2022_Vic_Ouyen_Lentil_SatelliteTOS1VarietyBoltWaterTrtRainFed</v>
      </c>
    </row>
    <row r="606" spans="1:16" x14ac:dyDescent="0.25">
      <c r="G606">
        <v>2</v>
      </c>
      <c r="H606" t="s">
        <v>253</v>
      </c>
      <c r="I606">
        <v>1</v>
      </c>
      <c r="J606" s="6">
        <v>19</v>
      </c>
      <c r="M606" t="str">
        <f t="shared" si="27"/>
        <v>2022_Vic_Ouyen_Lentil_Satellite</v>
      </c>
      <c r="N606">
        <f>I606</f>
        <v>1</v>
      </c>
      <c r="O606" t="str">
        <f t="shared" si="28"/>
        <v>2022_Vic_Ouyen_Lentil_Satellite_19</v>
      </c>
      <c r="P606" t="str">
        <f t="shared" si="29"/>
        <v>2022_Vic_Ouyen_Lentil_SatelliteTOS1VarietyBoltWaterTrtRainFed</v>
      </c>
    </row>
    <row r="607" spans="1:16" x14ac:dyDescent="0.25">
      <c r="G607">
        <v>3</v>
      </c>
      <c r="H607" t="s">
        <v>253</v>
      </c>
      <c r="I607">
        <v>2</v>
      </c>
      <c r="J607" s="6">
        <v>32</v>
      </c>
      <c r="M607" t="str">
        <f t="shared" si="27"/>
        <v>2022_Vic_Ouyen_Lentil_Satellite</v>
      </c>
      <c r="N607">
        <f>I607</f>
        <v>2</v>
      </c>
      <c r="O607" t="str">
        <f t="shared" si="28"/>
        <v>2022_Vic_Ouyen_Lentil_Satellite_32</v>
      </c>
      <c r="P607" t="str">
        <f t="shared" si="29"/>
        <v>2022_Vic_Ouyen_Lentil_SatelliteTOS1VarietyBoltWaterTrtRainFed</v>
      </c>
    </row>
    <row r="608" spans="1:16" x14ac:dyDescent="0.25">
      <c r="G608">
        <v>4</v>
      </c>
      <c r="H608" t="s">
        <v>253</v>
      </c>
      <c r="I608">
        <v>3</v>
      </c>
      <c r="J608" s="6">
        <v>39</v>
      </c>
      <c r="M608" t="str">
        <f t="shared" si="27"/>
        <v>2022_Vic_Ouyen_Lentil_Satellite</v>
      </c>
      <c r="N608">
        <f>I608</f>
        <v>3</v>
      </c>
      <c r="O608" t="str">
        <f t="shared" si="28"/>
        <v>2022_Vic_Ouyen_Lentil_Satellite_39</v>
      </c>
      <c r="P608" t="str">
        <f t="shared" si="29"/>
        <v>2022_Vic_Ouyen_Lentil_SatelliteTOS1VarietyBoltWaterTrtRainFed</v>
      </c>
    </row>
    <row r="609" spans="1:16" x14ac:dyDescent="0.25">
      <c r="A609" t="s">
        <v>4302</v>
      </c>
      <c r="B609" t="s">
        <v>1612</v>
      </c>
      <c r="C609">
        <v>1</v>
      </c>
      <c r="D609" t="s">
        <v>1613</v>
      </c>
      <c r="E609" t="s">
        <v>40</v>
      </c>
      <c r="F609" t="s">
        <v>4398</v>
      </c>
      <c r="G609">
        <v>1</v>
      </c>
      <c r="H609" t="s">
        <v>253</v>
      </c>
      <c r="I609">
        <v>1</v>
      </c>
      <c r="J609" s="6">
        <v>1</v>
      </c>
      <c r="M609" t="str">
        <f t="shared" si="27"/>
        <v>2022_Vic_Ouyen_Lentil_Satellite</v>
      </c>
      <c r="N609">
        <f>I609</f>
        <v>1</v>
      </c>
      <c r="O609" t="str">
        <f t="shared" si="28"/>
        <v>2022_Vic_Ouyen_Lentil_Satellite_1</v>
      </c>
      <c r="P609" t="str">
        <f t="shared" si="29"/>
        <v>2022_Vic_Ouyen_Lentil_SatelliteTOS1VarietyGIA_LeaderWaterTrtRainFed</v>
      </c>
    </row>
    <row r="610" spans="1:16" x14ac:dyDescent="0.25">
      <c r="G610">
        <v>2</v>
      </c>
      <c r="H610" t="s">
        <v>253</v>
      </c>
      <c r="I610">
        <v>3</v>
      </c>
      <c r="J610" s="6">
        <v>24</v>
      </c>
      <c r="M610" t="str">
        <f t="shared" si="27"/>
        <v>2022_Vic_Ouyen_Lentil_Satellite</v>
      </c>
      <c r="N610">
        <f>I610</f>
        <v>3</v>
      </c>
      <c r="O610" t="str">
        <f t="shared" si="28"/>
        <v>2022_Vic_Ouyen_Lentil_Satellite_24</v>
      </c>
      <c r="P610" t="str">
        <f t="shared" si="29"/>
        <v>2022_Vic_Ouyen_Lentil_SatelliteTOS1VarietyGIA_LeaderWaterTrtRainFed</v>
      </c>
    </row>
    <row r="611" spans="1:16" x14ac:dyDescent="0.25">
      <c r="G611">
        <v>3</v>
      </c>
      <c r="H611" t="s">
        <v>253</v>
      </c>
      <c r="I611">
        <v>3</v>
      </c>
      <c r="J611" s="6">
        <v>36</v>
      </c>
      <c r="M611" t="str">
        <f t="shared" si="27"/>
        <v>2022_Vic_Ouyen_Lentil_Satellite</v>
      </c>
      <c r="N611">
        <f>I611</f>
        <v>3</v>
      </c>
      <c r="O611" t="str">
        <f t="shared" si="28"/>
        <v>2022_Vic_Ouyen_Lentil_Satellite_36</v>
      </c>
      <c r="P611" t="str">
        <f t="shared" si="29"/>
        <v>2022_Vic_Ouyen_Lentil_SatelliteTOS1VarietyGIA_LeaderWaterTrtRainFed</v>
      </c>
    </row>
    <row r="612" spans="1:16" x14ac:dyDescent="0.25">
      <c r="G612">
        <v>4</v>
      </c>
      <c r="H612" t="s">
        <v>253</v>
      </c>
      <c r="I612">
        <v>2</v>
      </c>
      <c r="J612" s="6">
        <v>38</v>
      </c>
      <c r="M612" t="str">
        <f t="shared" si="27"/>
        <v>2022_Vic_Ouyen_Lentil_Satellite</v>
      </c>
      <c r="N612">
        <f>I612</f>
        <v>2</v>
      </c>
      <c r="O612" t="str">
        <f t="shared" si="28"/>
        <v>2022_Vic_Ouyen_Lentil_Satellite_38</v>
      </c>
      <c r="P612" t="str">
        <f t="shared" si="29"/>
        <v>2022_Vic_Ouyen_Lentil_SatelliteTOS1VarietyGIA_LeaderWaterTrtRainFed</v>
      </c>
    </row>
    <row r="613" spans="1:16" x14ac:dyDescent="0.25">
      <c r="A613" t="s">
        <v>4303</v>
      </c>
      <c r="B613" t="s">
        <v>1612</v>
      </c>
      <c r="C613">
        <v>1</v>
      </c>
      <c r="D613" t="s">
        <v>1617</v>
      </c>
      <c r="E613" t="s">
        <v>40</v>
      </c>
      <c r="F613" t="s">
        <v>4398</v>
      </c>
      <c r="G613">
        <v>1</v>
      </c>
      <c r="H613" t="s">
        <v>253</v>
      </c>
      <c r="I613">
        <v>1</v>
      </c>
      <c r="J613" s="6">
        <v>4</v>
      </c>
      <c r="M613" t="str">
        <f t="shared" si="27"/>
        <v>2022_Vic_Ouyen_Lentil_Satellite</v>
      </c>
      <c r="N613">
        <f>I613</f>
        <v>1</v>
      </c>
      <c r="O613" t="str">
        <f t="shared" si="28"/>
        <v>2022_Vic_Ouyen_Lentil_Satellite_4</v>
      </c>
      <c r="P613" t="str">
        <f t="shared" si="29"/>
        <v>2022_Vic_Ouyen_Lentil_SatelliteTOS1VarietyGIA_LightningWaterTrtRainFed</v>
      </c>
    </row>
    <row r="614" spans="1:16" x14ac:dyDescent="0.25">
      <c r="G614">
        <v>2</v>
      </c>
      <c r="H614" t="s">
        <v>253</v>
      </c>
      <c r="I614">
        <v>2</v>
      </c>
      <c r="J614" s="6">
        <v>23</v>
      </c>
      <c r="M614" t="str">
        <f t="shared" si="27"/>
        <v>2022_Vic_Ouyen_Lentil_Satellite</v>
      </c>
      <c r="N614">
        <f>I614</f>
        <v>2</v>
      </c>
      <c r="O614" t="str">
        <f t="shared" si="28"/>
        <v>2022_Vic_Ouyen_Lentil_Satellite_23</v>
      </c>
      <c r="P614" t="str">
        <f t="shared" si="29"/>
        <v>2022_Vic_Ouyen_Lentil_SatelliteTOS1VarietyGIA_LightningWaterTrtRainFed</v>
      </c>
    </row>
    <row r="615" spans="1:16" x14ac:dyDescent="0.25">
      <c r="G615">
        <v>3</v>
      </c>
      <c r="H615" t="s">
        <v>253</v>
      </c>
      <c r="I615">
        <v>1</v>
      </c>
      <c r="J615" s="6">
        <v>34</v>
      </c>
      <c r="M615" t="str">
        <f t="shared" si="27"/>
        <v>2022_Vic_Ouyen_Lentil_Satellite</v>
      </c>
      <c r="N615">
        <f>I615</f>
        <v>1</v>
      </c>
      <c r="O615" t="str">
        <f t="shared" si="28"/>
        <v>2022_Vic_Ouyen_Lentil_Satellite_34</v>
      </c>
      <c r="P615" t="str">
        <f t="shared" si="29"/>
        <v>2022_Vic_Ouyen_Lentil_SatelliteTOS1VarietyGIA_LightningWaterTrtRainFed</v>
      </c>
    </row>
    <row r="616" spans="1:16" x14ac:dyDescent="0.25">
      <c r="G616">
        <v>4</v>
      </c>
      <c r="H616" t="s">
        <v>253</v>
      </c>
      <c r="I616">
        <v>3</v>
      </c>
      <c r="J616" s="6">
        <v>42</v>
      </c>
      <c r="M616" t="str">
        <f t="shared" si="27"/>
        <v>2022_Vic_Ouyen_Lentil_Satellite</v>
      </c>
      <c r="N616">
        <f>I616</f>
        <v>3</v>
      </c>
      <c r="O616" t="str">
        <f t="shared" si="28"/>
        <v>2022_Vic_Ouyen_Lentil_Satellite_42</v>
      </c>
      <c r="P616" t="str">
        <f t="shared" si="29"/>
        <v>2022_Vic_Ouyen_Lentil_SatelliteTOS1VarietyGIA_LightningWaterTrtRainFed</v>
      </c>
    </row>
    <row r="617" spans="1:16" x14ac:dyDescent="0.25">
      <c r="A617" t="s">
        <v>4304</v>
      </c>
      <c r="B617" t="s">
        <v>1612</v>
      </c>
      <c r="C617">
        <v>1</v>
      </c>
      <c r="D617" t="s">
        <v>4189</v>
      </c>
      <c r="E617" t="s">
        <v>40</v>
      </c>
      <c r="F617" t="s">
        <v>4398</v>
      </c>
      <c r="G617">
        <v>1</v>
      </c>
      <c r="H617" t="s">
        <v>253</v>
      </c>
      <c r="I617">
        <v>3</v>
      </c>
      <c r="J617" s="6">
        <v>3</v>
      </c>
      <c r="M617" t="str">
        <f t="shared" si="27"/>
        <v>2022_Vic_Ouyen_Lentil_Satellite</v>
      </c>
      <c r="N617">
        <f>I617</f>
        <v>3</v>
      </c>
      <c r="O617" t="str">
        <f t="shared" si="28"/>
        <v>2022_Vic_Ouyen_Lentil_Satellite_3</v>
      </c>
      <c r="P617" t="str">
        <f t="shared" si="29"/>
        <v>2022_Vic_Ouyen_Lentil_SatelliteTOS1VarietyHallmarkXTWaterTrtRainFed</v>
      </c>
    </row>
    <row r="618" spans="1:16" x14ac:dyDescent="0.25">
      <c r="G618">
        <v>2</v>
      </c>
      <c r="H618" t="s">
        <v>253</v>
      </c>
      <c r="I618">
        <v>2</v>
      </c>
      <c r="J618" s="6">
        <v>20</v>
      </c>
      <c r="M618" t="str">
        <f t="shared" si="27"/>
        <v>2022_Vic_Ouyen_Lentil_Satellite</v>
      </c>
      <c r="N618">
        <f>I618</f>
        <v>2</v>
      </c>
      <c r="O618" t="str">
        <f t="shared" si="28"/>
        <v>2022_Vic_Ouyen_Lentil_Satellite_20</v>
      </c>
      <c r="P618" t="str">
        <f t="shared" si="29"/>
        <v>2022_Vic_Ouyen_Lentil_SatelliteTOS1VarietyHallmarkXTWaterTrtRainFed</v>
      </c>
    </row>
    <row r="619" spans="1:16" x14ac:dyDescent="0.25">
      <c r="G619">
        <v>3</v>
      </c>
      <c r="H619" t="s">
        <v>253</v>
      </c>
      <c r="I619">
        <v>2</v>
      </c>
      <c r="J619" s="6">
        <v>35</v>
      </c>
      <c r="M619" t="str">
        <f t="shared" si="27"/>
        <v>2022_Vic_Ouyen_Lentil_Satellite</v>
      </c>
      <c r="N619">
        <f>I619</f>
        <v>2</v>
      </c>
      <c r="O619" t="str">
        <f t="shared" si="28"/>
        <v>2022_Vic_Ouyen_Lentil_Satellite_35</v>
      </c>
      <c r="P619" t="str">
        <f t="shared" si="29"/>
        <v>2022_Vic_Ouyen_Lentil_SatelliteTOS1VarietyHallmarkXTWaterTrtRainFed</v>
      </c>
    </row>
    <row r="620" spans="1:16" x14ac:dyDescent="0.25">
      <c r="G620">
        <v>4</v>
      </c>
      <c r="H620" t="s">
        <v>253</v>
      </c>
      <c r="I620">
        <v>1</v>
      </c>
      <c r="J620" s="6">
        <v>40</v>
      </c>
      <c r="M620" t="str">
        <f t="shared" si="27"/>
        <v>2022_Vic_Ouyen_Lentil_Satellite</v>
      </c>
      <c r="N620">
        <f>I620</f>
        <v>1</v>
      </c>
      <c r="O620" t="str">
        <f t="shared" si="28"/>
        <v>2022_Vic_Ouyen_Lentil_Satellite_40</v>
      </c>
      <c r="P620" t="str">
        <f t="shared" si="29"/>
        <v>2022_Vic_Ouyen_Lentil_SatelliteTOS1VarietyHallmarkXTWaterTrtRainFed</v>
      </c>
    </row>
    <row r="621" spans="1:16" x14ac:dyDescent="0.25">
      <c r="A621" t="s">
        <v>4305</v>
      </c>
      <c r="B621" t="s">
        <v>1612</v>
      </c>
      <c r="C621">
        <v>1</v>
      </c>
      <c r="D621" t="s">
        <v>4176</v>
      </c>
      <c r="E621" t="s">
        <v>40</v>
      </c>
      <c r="F621" t="s">
        <v>4398</v>
      </c>
      <c r="G621">
        <v>1</v>
      </c>
      <c r="H621" t="s">
        <v>253</v>
      </c>
      <c r="I621">
        <v>3</v>
      </c>
      <c r="J621" s="6">
        <v>6</v>
      </c>
      <c r="M621" t="str">
        <f t="shared" si="27"/>
        <v>2022_Vic_Ouyen_Lentil_Satellite</v>
      </c>
      <c r="N621">
        <f>I621</f>
        <v>3</v>
      </c>
      <c r="O621" t="str">
        <f t="shared" si="28"/>
        <v>2022_Vic_Ouyen_Lentil_Satellite_6</v>
      </c>
      <c r="P621" t="str">
        <f t="shared" si="29"/>
        <v>2022_Vic_Ouyen_Lentil_SatelliteTOS1VarietyJumbo2WaterTrtRainFed</v>
      </c>
    </row>
    <row r="622" spans="1:16" x14ac:dyDescent="0.25">
      <c r="G622">
        <v>2</v>
      </c>
      <c r="H622" t="s">
        <v>253</v>
      </c>
      <c r="I622">
        <v>1</v>
      </c>
      <c r="J622" s="6">
        <v>22</v>
      </c>
      <c r="M622" t="str">
        <f t="shared" si="27"/>
        <v>2022_Vic_Ouyen_Lentil_Satellite</v>
      </c>
      <c r="N622">
        <f>I622</f>
        <v>1</v>
      </c>
      <c r="O622" t="str">
        <f t="shared" si="28"/>
        <v>2022_Vic_Ouyen_Lentil_Satellite_22</v>
      </c>
      <c r="P622" t="str">
        <f t="shared" si="29"/>
        <v>2022_Vic_Ouyen_Lentil_SatelliteTOS1VarietyJumbo2WaterTrtRainFed</v>
      </c>
    </row>
    <row r="623" spans="1:16" x14ac:dyDescent="0.25">
      <c r="G623">
        <v>3</v>
      </c>
      <c r="H623" t="s">
        <v>253</v>
      </c>
      <c r="I623">
        <v>3</v>
      </c>
      <c r="J623" s="6">
        <v>33</v>
      </c>
      <c r="M623" t="str">
        <f t="shared" si="27"/>
        <v>2022_Vic_Ouyen_Lentil_Satellite</v>
      </c>
      <c r="N623">
        <f>I623</f>
        <v>3</v>
      </c>
      <c r="O623" t="str">
        <f t="shared" si="28"/>
        <v>2022_Vic_Ouyen_Lentil_Satellite_33</v>
      </c>
      <c r="P623" t="str">
        <f t="shared" si="29"/>
        <v>2022_Vic_Ouyen_Lentil_SatelliteTOS1VarietyJumbo2WaterTrtRainFed</v>
      </c>
    </row>
    <row r="624" spans="1:16" x14ac:dyDescent="0.25">
      <c r="G624">
        <v>4</v>
      </c>
      <c r="H624" t="s">
        <v>253</v>
      </c>
      <c r="I624">
        <v>2</v>
      </c>
      <c r="J624" s="6">
        <v>41</v>
      </c>
      <c r="M624" t="str">
        <f t="shared" si="27"/>
        <v>2022_Vic_Ouyen_Lentil_Satellite</v>
      </c>
      <c r="N624">
        <f>I624</f>
        <v>2</v>
      </c>
      <c r="O624" t="str">
        <f t="shared" si="28"/>
        <v>2022_Vic_Ouyen_Lentil_Satellite_41</v>
      </c>
      <c r="P624" t="str">
        <f t="shared" si="29"/>
        <v>2022_Vic_Ouyen_Lentil_SatelliteTOS1VarietyJumbo2WaterTrtRainFed</v>
      </c>
    </row>
    <row r="625" spans="1:16" x14ac:dyDescent="0.25">
      <c r="A625" t="s">
        <v>4306</v>
      </c>
      <c r="B625" t="s">
        <v>1612</v>
      </c>
      <c r="C625">
        <v>1</v>
      </c>
      <c r="D625" t="s">
        <v>4188</v>
      </c>
      <c r="E625" t="s">
        <v>40</v>
      </c>
      <c r="F625" t="s">
        <v>4398</v>
      </c>
      <c r="G625">
        <v>1</v>
      </c>
      <c r="H625" t="s">
        <v>253</v>
      </c>
      <c r="I625">
        <v>2</v>
      </c>
      <c r="J625" s="6">
        <v>5</v>
      </c>
      <c r="M625" t="str">
        <f t="shared" si="27"/>
        <v>2022_Vic_Ouyen_Lentil_Satellite</v>
      </c>
      <c r="N625">
        <f>I625</f>
        <v>2</v>
      </c>
      <c r="O625" t="str">
        <f t="shared" si="28"/>
        <v>2022_Vic_Ouyen_Lentil_Satellite_5</v>
      </c>
      <c r="P625" t="str">
        <f t="shared" si="29"/>
        <v>2022_Vic_Ouyen_Lentil_SatelliteTOS1VarietyKelpieXTWaterTrtRainFed</v>
      </c>
    </row>
    <row r="626" spans="1:16" x14ac:dyDescent="0.25">
      <c r="G626">
        <v>2</v>
      </c>
      <c r="H626" t="s">
        <v>253</v>
      </c>
      <c r="I626">
        <v>3</v>
      </c>
      <c r="J626" s="6">
        <v>21</v>
      </c>
      <c r="M626" t="str">
        <f t="shared" si="27"/>
        <v>2022_Vic_Ouyen_Lentil_Satellite</v>
      </c>
      <c r="N626">
        <f>I626</f>
        <v>3</v>
      </c>
      <c r="O626" t="str">
        <f t="shared" si="28"/>
        <v>2022_Vic_Ouyen_Lentil_Satellite_21</v>
      </c>
      <c r="P626" t="str">
        <f t="shared" si="29"/>
        <v>2022_Vic_Ouyen_Lentil_SatelliteTOS1VarietyKelpieXTWaterTrtRainFed</v>
      </c>
    </row>
    <row r="627" spans="1:16" x14ac:dyDescent="0.25">
      <c r="G627">
        <v>3</v>
      </c>
      <c r="H627" t="s">
        <v>253</v>
      </c>
      <c r="I627">
        <v>1</v>
      </c>
      <c r="J627" s="6">
        <v>31</v>
      </c>
      <c r="M627" t="str">
        <f t="shared" si="27"/>
        <v>2022_Vic_Ouyen_Lentil_Satellite</v>
      </c>
      <c r="N627">
        <f>I627</f>
        <v>1</v>
      </c>
      <c r="O627" t="str">
        <f t="shared" si="28"/>
        <v>2022_Vic_Ouyen_Lentil_Satellite_31</v>
      </c>
      <c r="P627" t="str">
        <f t="shared" si="29"/>
        <v>2022_Vic_Ouyen_Lentil_SatelliteTOS1VarietyKelpieXTWaterTrtRainFed</v>
      </c>
    </row>
    <row r="628" spans="1:16" x14ac:dyDescent="0.25">
      <c r="G628">
        <v>4</v>
      </c>
      <c r="H628" t="s">
        <v>253</v>
      </c>
      <c r="I628">
        <v>1</v>
      </c>
      <c r="J628" s="6">
        <v>37</v>
      </c>
      <c r="M628" t="str">
        <f t="shared" si="27"/>
        <v>2022_Vic_Ouyen_Lentil_Satellite</v>
      </c>
      <c r="N628">
        <f>I628</f>
        <v>1</v>
      </c>
      <c r="O628" t="str">
        <f t="shared" si="28"/>
        <v>2022_Vic_Ouyen_Lentil_Satellite_37</v>
      </c>
      <c r="P628" t="str">
        <f t="shared" si="29"/>
        <v>2022_Vic_Ouyen_Lentil_SatelliteTOS1VarietyKelpieXTWaterTrtRainFed</v>
      </c>
    </row>
    <row r="629" spans="1:16" x14ac:dyDescent="0.25">
      <c r="A629" t="s">
        <v>4307</v>
      </c>
      <c r="B629" t="s">
        <v>1612</v>
      </c>
      <c r="C629">
        <v>2</v>
      </c>
      <c r="D629" t="s">
        <v>4187</v>
      </c>
      <c r="E629" t="s">
        <v>40</v>
      </c>
      <c r="F629" t="s">
        <v>4398</v>
      </c>
      <c r="G629">
        <v>1</v>
      </c>
      <c r="H629" t="s">
        <v>253</v>
      </c>
      <c r="I629">
        <v>1</v>
      </c>
      <c r="J629" s="6">
        <v>10</v>
      </c>
      <c r="M629" t="str">
        <f t="shared" si="27"/>
        <v>2022_Vic_Ouyen_Lentil_Satellite</v>
      </c>
      <c r="N629">
        <f>I629</f>
        <v>1</v>
      </c>
      <c r="O629" t="str">
        <f t="shared" si="28"/>
        <v>2022_Vic_Ouyen_Lentil_Satellite_10</v>
      </c>
      <c r="P629" t="str">
        <f t="shared" si="29"/>
        <v>2022_Vic_Ouyen_Lentil_SatelliteTOS2VarietyBoltWaterTrtRainFed</v>
      </c>
    </row>
    <row r="630" spans="1:16" x14ac:dyDescent="0.25">
      <c r="G630">
        <v>2</v>
      </c>
      <c r="H630" t="s">
        <v>253</v>
      </c>
      <c r="I630">
        <v>3</v>
      </c>
      <c r="J630" s="6">
        <v>18</v>
      </c>
      <c r="M630" t="str">
        <f t="shared" si="27"/>
        <v>2022_Vic_Ouyen_Lentil_Satellite</v>
      </c>
      <c r="N630">
        <f>I630</f>
        <v>3</v>
      </c>
      <c r="O630" t="str">
        <f t="shared" si="28"/>
        <v>2022_Vic_Ouyen_Lentil_Satellite_18</v>
      </c>
      <c r="P630" t="str">
        <f t="shared" si="29"/>
        <v>2022_Vic_Ouyen_Lentil_SatelliteTOS2VarietyBoltWaterTrtRainFed</v>
      </c>
    </row>
    <row r="631" spans="1:16" x14ac:dyDescent="0.25">
      <c r="G631">
        <v>3</v>
      </c>
      <c r="H631" t="s">
        <v>253</v>
      </c>
      <c r="I631">
        <v>2</v>
      </c>
      <c r="J631" s="6">
        <v>29</v>
      </c>
      <c r="M631" t="str">
        <f t="shared" si="27"/>
        <v>2022_Vic_Ouyen_Lentil_Satellite</v>
      </c>
      <c r="N631">
        <f>I631</f>
        <v>2</v>
      </c>
      <c r="O631" t="str">
        <f t="shared" si="28"/>
        <v>2022_Vic_Ouyen_Lentil_Satellite_29</v>
      </c>
      <c r="P631" t="str">
        <f t="shared" si="29"/>
        <v>2022_Vic_Ouyen_Lentil_SatelliteTOS2VarietyBoltWaterTrtRainFed</v>
      </c>
    </row>
    <row r="632" spans="1:16" x14ac:dyDescent="0.25">
      <c r="G632">
        <v>4</v>
      </c>
      <c r="H632" t="s">
        <v>253</v>
      </c>
      <c r="I632">
        <v>3</v>
      </c>
      <c r="J632" s="6">
        <v>45</v>
      </c>
      <c r="M632" t="str">
        <f t="shared" si="27"/>
        <v>2022_Vic_Ouyen_Lentil_Satellite</v>
      </c>
      <c r="N632">
        <f>I632</f>
        <v>3</v>
      </c>
      <c r="O632" t="str">
        <f t="shared" si="28"/>
        <v>2022_Vic_Ouyen_Lentil_Satellite_45</v>
      </c>
      <c r="P632" t="str">
        <f t="shared" si="29"/>
        <v>2022_Vic_Ouyen_Lentil_SatelliteTOS2VarietyBoltWaterTrtRainFed</v>
      </c>
    </row>
    <row r="633" spans="1:16" x14ac:dyDescent="0.25">
      <c r="A633" t="s">
        <v>4308</v>
      </c>
      <c r="B633" t="s">
        <v>1612</v>
      </c>
      <c r="C633">
        <v>2</v>
      </c>
      <c r="D633" t="s">
        <v>1613</v>
      </c>
      <c r="E633" t="s">
        <v>40</v>
      </c>
      <c r="F633" t="s">
        <v>4398</v>
      </c>
      <c r="G633">
        <v>1</v>
      </c>
      <c r="H633" t="s">
        <v>253</v>
      </c>
      <c r="I633">
        <v>2</v>
      </c>
      <c r="J633" s="6">
        <v>8</v>
      </c>
      <c r="M633" t="str">
        <f t="shared" si="27"/>
        <v>2022_Vic_Ouyen_Lentil_Satellite</v>
      </c>
      <c r="N633">
        <f>I633</f>
        <v>2</v>
      </c>
      <c r="O633" t="str">
        <f t="shared" si="28"/>
        <v>2022_Vic_Ouyen_Lentil_Satellite_8</v>
      </c>
      <c r="P633" t="str">
        <f t="shared" si="29"/>
        <v>2022_Vic_Ouyen_Lentil_SatelliteTOS2VarietyGIA_LeaderWaterTrtRainFed</v>
      </c>
    </row>
    <row r="634" spans="1:16" x14ac:dyDescent="0.25">
      <c r="G634">
        <v>2</v>
      </c>
      <c r="H634" t="s">
        <v>253</v>
      </c>
      <c r="I634">
        <v>1</v>
      </c>
      <c r="J634" s="6">
        <v>16</v>
      </c>
      <c r="M634" t="str">
        <f t="shared" si="27"/>
        <v>2022_Vic_Ouyen_Lentil_Satellite</v>
      </c>
      <c r="N634">
        <f>I634</f>
        <v>1</v>
      </c>
      <c r="O634" t="str">
        <f t="shared" si="28"/>
        <v>2022_Vic_Ouyen_Lentil_Satellite_16</v>
      </c>
      <c r="P634" t="str">
        <f t="shared" si="29"/>
        <v>2022_Vic_Ouyen_Lentil_SatelliteTOS2VarietyGIA_LeaderWaterTrtRainFed</v>
      </c>
    </row>
    <row r="635" spans="1:16" x14ac:dyDescent="0.25">
      <c r="G635">
        <v>3</v>
      </c>
      <c r="H635" t="s">
        <v>253</v>
      </c>
      <c r="I635">
        <v>2</v>
      </c>
      <c r="J635" s="6">
        <v>26</v>
      </c>
      <c r="M635" t="str">
        <f t="shared" si="27"/>
        <v>2022_Vic_Ouyen_Lentil_Satellite</v>
      </c>
      <c r="N635">
        <f>I635</f>
        <v>2</v>
      </c>
      <c r="O635" t="str">
        <f t="shared" si="28"/>
        <v>2022_Vic_Ouyen_Lentil_Satellite_26</v>
      </c>
      <c r="P635" t="str">
        <f t="shared" si="29"/>
        <v>2022_Vic_Ouyen_Lentil_SatelliteTOS2VarietyGIA_LeaderWaterTrtRainFed</v>
      </c>
    </row>
    <row r="636" spans="1:16" x14ac:dyDescent="0.25">
      <c r="G636">
        <v>4</v>
      </c>
      <c r="H636" t="s">
        <v>253</v>
      </c>
      <c r="I636">
        <v>3</v>
      </c>
      <c r="J636" s="6">
        <v>48</v>
      </c>
      <c r="M636" t="str">
        <f t="shared" si="27"/>
        <v>2022_Vic_Ouyen_Lentil_Satellite</v>
      </c>
      <c r="N636">
        <f>I636</f>
        <v>3</v>
      </c>
      <c r="O636" t="str">
        <f t="shared" si="28"/>
        <v>2022_Vic_Ouyen_Lentil_Satellite_48</v>
      </c>
      <c r="P636" t="str">
        <f t="shared" si="29"/>
        <v>2022_Vic_Ouyen_Lentil_SatelliteTOS2VarietyGIA_LeaderWaterTrtRainFed</v>
      </c>
    </row>
    <row r="637" spans="1:16" x14ac:dyDescent="0.25">
      <c r="A637" t="s">
        <v>4309</v>
      </c>
      <c r="B637" t="s">
        <v>1612</v>
      </c>
      <c r="C637">
        <v>2</v>
      </c>
      <c r="D637" t="s">
        <v>1617</v>
      </c>
      <c r="E637" t="s">
        <v>40</v>
      </c>
      <c r="F637" t="s">
        <v>4398</v>
      </c>
      <c r="G637">
        <v>1</v>
      </c>
      <c r="H637" t="s">
        <v>253</v>
      </c>
      <c r="I637">
        <v>2</v>
      </c>
      <c r="J637" s="6">
        <v>11</v>
      </c>
      <c r="M637" t="str">
        <f t="shared" si="27"/>
        <v>2022_Vic_Ouyen_Lentil_Satellite</v>
      </c>
      <c r="N637">
        <f>I637</f>
        <v>2</v>
      </c>
      <c r="O637" t="str">
        <f t="shared" si="28"/>
        <v>2022_Vic_Ouyen_Lentil_Satellite_11</v>
      </c>
      <c r="P637" t="str">
        <f t="shared" si="29"/>
        <v>2022_Vic_Ouyen_Lentil_SatelliteTOS2VarietyGIA_LightningWaterTrtRainFed</v>
      </c>
    </row>
    <row r="638" spans="1:16" x14ac:dyDescent="0.25">
      <c r="G638">
        <v>2</v>
      </c>
      <c r="H638" t="s">
        <v>253</v>
      </c>
      <c r="I638">
        <v>2</v>
      </c>
      <c r="J638" s="6">
        <v>17</v>
      </c>
      <c r="M638" t="str">
        <f t="shared" si="27"/>
        <v>2022_Vic_Ouyen_Lentil_Satellite</v>
      </c>
      <c r="N638">
        <f>I638</f>
        <v>2</v>
      </c>
      <c r="O638" t="str">
        <f t="shared" si="28"/>
        <v>2022_Vic_Ouyen_Lentil_Satellite_17</v>
      </c>
      <c r="P638" t="str">
        <f t="shared" si="29"/>
        <v>2022_Vic_Ouyen_Lentil_SatelliteTOS2VarietyGIA_LightningWaterTrtRainFed</v>
      </c>
    </row>
    <row r="639" spans="1:16" x14ac:dyDescent="0.25">
      <c r="G639">
        <v>3</v>
      </c>
      <c r="H639" t="s">
        <v>253</v>
      </c>
      <c r="I639">
        <v>3</v>
      </c>
      <c r="J639" s="6">
        <v>30</v>
      </c>
      <c r="M639" t="str">
        <f t="shared" si="27"/>
        <v>2022_Vic_Ouyen_Lentil_Satellite</v>
      </c>
      <c r="N639">
        <f>I639</f>
        <v>3</v>
      </c>
      <c r="O639" t="str">
        <f t="shared" si="28"/>
        <v>2022_Vic_Ouyen_Lentil_Satellite_30</v>
      </c>
      <c r="P639" t="str">
        <f t="shared" si="29"/>
        <v>2022_Vic_Ouyen_Lentil_SatelliteTOS2VarietyGIA_LightningWaterTrtRainFed</v>
      </c>
    </row>
    <row r="640" spans="1:16" x14ac:dyDescent="0.25">
      <c r="G640">
        <v>4</v>
      </c>
      <c r="H640" t="s">
        <v>253</v>
      </c>
      <c r="I640">
        <v>1</v>
      </c>
      <c r="J640" s="6">
        <v>43</v>
      </c>
      <c r="M640" t="str">
        <f t="shared" si="27"/>
        <v>2022_Vic_Ouyen_Lentil_Satellite</v>
      </c>
      <c r="N640">
        <f>I640</f>
        <v>1</v>
      </c>
      <c r="O640" t="str">
        <f t="shared" si="28"/>
        <v>2022_Vic_Ouyen_Lentil_Satellite_43</v>
      </c>
      <c r="P640" t="str">
        <f t="shared" si="29"/>
        <v>2022_Vic_Ouyen_Lentil_SatelliteTOS2VarietyGIA_LightningWaterTrtRainFed</v>
      </c>
    </row>
    <row r="641" spans="1:16" x14ac:dyDescent="0.25">
      <c r="A641" t="s">
        <v>4310</v>
      </c>
      <c r="B641" t="s">
        <v>1612</v>
      </c>
      <c r="C641">
        <v>2</v>
      </c>
      <c r="D641" t="s">
        <v>4189</v>
      </c>
      <c r="E641" t="s">
        <v>40</v>
      </c>
      <c r="F641" t="s">
        <v>4398</v>
      </c>
      <c r="G641">
        <v>1</v>
      </c>
      <c r="H641" t="s">
        <v>253</v>
      </c>
      <c r="I641">
        <v>3</v>
      </c>
      <c r="J641" s="6">
        <v>9</v>
      </c>
      <c r="M641" t="str">
        <f t="shared" si="27"/>
        <v>2022_Vic_Ouyen_Lentil_Satellite</v>
      </c>
      <c r="N641">
        <f>I641</f>
        <v>3</v>
      </c>
      <c r="O641" t="str">
        <f t="shared" si="28"/>
        <v>2022_Vic_Ouyen_Lentil_Satellite_9</v>
      </c>
      <c r="P641" t="str">
        <f t="shared" si="29"/>
        <v>2022_Vic_Ouyen_Lentil_SatelliteTOS2VarietyHallmarkXTWaterTrtRainFed</v>
      </c>
    </row>
    <row r="642" spans="1:16" x14ac:dyDescent="0.25">
      <c r="G642">
        <v>2</v>
      </c>
      <c r="H642" t="s">
        <v>253</v>
      </c>
      <c r="I642">
        <v>3</v>
      </c>
      <c r="J642" s="6">
        <v>15</v>
      </c>
      <c r="M642" t="str">
        <f t="shared" si="27"/>
        <v>2022_Vic_Ouyen_Lentil_Satellite</v>
      </c>
      <c r="N642">
        <f>I642</f>
        <v>3</v>
      </c>
      <c r="O642" t="str">
        <f t="shared" si="28"/>
        <v>2022_Vic_Ouyen_Lentil_Satellite_15</v>
      </c>
      <c r="P642" t="str">
        <f t="shared" si="29"/>
        <v>2022_Vic_Ouyen_Lentil_SatelliteTOS2VarietyHallmarkXTWaterTrtRainFed</v>
      </c>
    </row>
    <row r="643" spans="1:16" x14ac:dyDescent="0.25">
      <c r="G643">
        <v>3</v>
      </c>
      <c r="H643" t="s">
        <v>253</v>
      </c>
      <c r="I643">
        <v>1</v>
      </c>
      <c r="J643" s="6">
        <v>28</v>
      </c>
      <c r="M643" t="str">
        <f t="shared" si="27"/>
        <v>2022_Vic_Ouyen_Lentil_Satellite</v>
      </c>
      <c r="N643">
        <f>I643</f>
        <v>1</v>
      </c>
      <c r="O643" t="str">
        <f t="shared" si="28"/>
        <v>2022_Vic_Ouyen_Lentil_Satellite_28</v>
      </c>
      <c r="P643" t="str">
        <f t="shared" si="29"/>
        <v>2022_Vic_Ouyen_Lentil_SatelliteTOS2VarietyHallmarkXTWaterTrtRainFed</v>
      </c>
    </row>
    <row r="644" spans="1:16" x14ac:dyDescent="0.25">
      <c r="G644">
        <v>4</v>
      </c>
      <c r="H644" t="s">
        <v>253</v>
      </c>
      <c r="I644">
        <v>1</v>
      </c>
      <c r="J644" s="6">
        <v>46</v>
      </c>
      <c r="M644" t="str">
        <f t="shared" si="27"/>
        <v>2022_Vic_Ouyen_Lentil_Satellite</v>
      </c>
      <c r="N644">
        <f>I644</f>
        <v>1</v>
      </c>
      <c r="O644" t="str">
        <f t="shared" si="28"/>
        <v>2022_Vic_Ouyen_Lentil_Satellite_46</v>
      </c>
      <c r="P644" t="str">
        <f t="shared" si="29"/>
        <v>2022_Vic_Ouyen_Lentil_SatelliteTOS2VarietyHallmarkXTWaterTrtRainFed</v>
      </c>
    </row>
    <row r="645" spans="1:16" x14ac:dyDescent="0.25">
      <c r="A645" t="s">
        <v>4311</v>
      </c>
      <c r="B645" t="s">
        <v>1612</v>
      </c>
      <c r="C645">
        <v>2</v>
      </c>
      <c r="D645" t="s">
        <v>4176</v>
      </c>
      <c r="E645" t="s">
        <v>40</v>
      </c>
      <c r="F645" t="s">
        <v>4398</v>
      </c>
      <c r="G645">
        <v>1</v>
      </c>
      <c r="H645" t="s">
        <v>253</v>
      </c>
      <c r="I645">
        <v>1</v>
      </c>
      <c r="J645" s="6">
        <v>7</v>
      </c>
      <c r="M645" t="str">
        <f t="shared" si="27"/>
        <v>2022_Vic_Ouyen_Lentil_Satellite</v>
      </c>
      <c r="N645">
        <f>I645</f>
        <v>1</v>
      </c>
      <c r="O645" t="str">
        <f t="shared" si="28"/>
        <v>2022_Vic_Ouyen_Lentil_Satellite_7</v>
      </c>
      <c r="P645" t="str">
        <f t="shared" si="29"/>
        <v>2022_Vic_Ouyen_Lentil_SatelliteTOS2VarietyJumbo2WaterTrtRainFed</v>
      </c>
    </row>
    <row r="646" spans="1:16" x14ac:dyDescent="0.25">
      <c r="G646">
        <v>2</v>
      </c>
      <c r="H646" t="s">
        <v>253</v>
      </c>
      <c r="I646">
        <v>2</v>
      </c>
      <c r="J646" s="6">
        <v>14</v>
      </c>
      <c r="M646" t="str">
        <f t="shared" ref="M646:M709" si="30">IF(B646="",M645,B646)</f>
        <v>2022_Vic_Ouyen_Lentil_Satellite</v>
      </c>
      <c r="N646">
        <f>I646</f>
        <v>2</v>
      </c>
      <c r="O646" t="str">
        <f t="shared" ref="O646:O709" si="31">M646&amp;"_"&amp;J646</f>
        <v>2022_Vic_Ouyen_Lentil_Satellite_14</v>
      </c>
      <c r="P646" t="str">
        <f t="shared" ref="P646:P709" si="32">IF(A646="",P645,A646)</f>
        <v>2022_Vic_Ouyen_Lentil_SatelliteTOS2VarietyJumbo2WaterTrtRainFed</v>
      </c>
    </row>
    <row r="647" spans="1:16" x14ac:dyDescent="0.25">
      <c r="G647">
        <v>3</v>
      </c>
      <c r="H647" t="s">
        <v>253</v>
      </c>
      <c r="I647">
        <v>1</v>
      </c>
      <c r="J647" s="6">
        <v>25</v>
      </c>
      <c r="M647" t="str">
        <f t="shared" si="30"/>
        <v>2022_Vic_Ouyen_Lentil_Satellite</v>
      </c>
      <c r="N647">
        <f>I647</f>
        <v>1</v>
      </c>
      <c r="O647" t="str">
        <f t="shared" si="31"/>
        <v>2022_Vic_Ouyen_Lentil_Satellite_25</v>
      </c>
      <c r="P647" t="str">
        <f t="shared" si="32"/>
        <v>2022_Vic_Ouyen_Lentil_SatelliteTOS2VarietyJumbo2WaterTrtRainFed</v>
      </c>
    </row>
    <row r="648" spans="1:16" x14ac:dyDescent="0.25">
      <c r="G648">
        <v>4</v>
      </c>
      <c r="H648" t="s">
        <v>253</v>
      </c>
      <c r="I648">
        <v>2</v>
      </c>
      <c r="J648" s="6">
        <v>44</v>
      </c>
      <c r="M648" t="str">
        <f t="shared" si="30"/>
        <v>2022_Vic_Ouyen_Lentil_Satellite</v>
      </c>
      <c r="N648">
        <f>I648</f>
        <v>2</v>
      </c>
      <c r="O648" t="str">
        <f t="shared" si="31"/>
        <v>2022_Vic_Ouyen_Lentil_Satellite_44</v>
      </c>
      <c r="P648" t="str">
        <f t="shared" si="32"/>
        <v>2022_Vic_Ouyen_Lentil_SatelliteTOS2VarietyJumbo2WaterTrtRainFed</v>
      </c>
    </row>
    <row r="649" spans="1:16" x14ac:dyDescent="0.25">
      <c r="A649" t="s">
        <v>4312</v>
      </c>
      <c r="B649" t="s">
        <v>1612</v>
      </c>
      <c r="C649">
        <v>2</v>
      </c>
      <c r="D649" t="s">
        <v>4188</v>
      </c>
      <c r="E649" t="s">
        <v>40</v>
      </c>
      <c r="F649" t="s">
        <v>4398</v>
      </c>
      <c r="G649">
        <v>1</v>
      </c>
      <c r="H649" t="s">
        <v>253</v>
      </c>
      <c r="I649">
        <v>3</v>
      </c>
      <c r="J649" s="6">
        <v>12</v>
      </c>
      <c r="M649" t="str">
        <f t="shared" si="30"/>
        <v>2022_Vic_Ouyen_Lentil_Satellite</v>
      </c>
      <c r="N649">
        <f>I649</f>
        <v>3</v>
      </c>
      <c r="O649" t="str">
        <f t="shared" si="31"/>
        <v>2022_Vic_Ouyen_Lentil_Satellite_12</v>
      </c>
      <c r="P649" t="str">
        <f t="shared" si="32"/>
        <v>2022_Vic_Ouyen_Lentil_SatelliteTOS2VarietyKelpieXTWaterTrtRainFed</v>
      </c>
    </row>
    <row r="650" spans="1:16" x14ac:dyDescent="0.25">
      <c r="G650">
        <v>2</v>
      </c>
      <c r="H650" t="s">
        <v>253</v>
      </c>
      <c r="I650">
        <v>1</v>
      </c>
      <c r="J650" s="6">
        <v>13</v>
      </c>
      <c r="M650" t="str">
        <f t="shared" si="30"/>
        <v>2022_Vic_Ouyen_Lentil_Satellite</v>
      </c>
      <c r="N650">
        <f>I650</f>
        <v>1</v>
      </c>
      <c r="O650" t="str">
        <f t="shared" si="31"/>
        <v>2022_Vic_Ouyen_Lentil_Satellite_13</v>
      </c>
      <c r="P650" t="str">
        <f t="shared" si="32"/>
        <v>2022_Vic_Ouyen_Lentil_SatelliteTOS2VarietyKelpieXTWaterTrtRainFed</v>
      </c>
    </row>
    <row r="651" spans="1:16" x14ac:dyDescent="0.25">
      <c r="G651">
        <v>3</v>
      </c>
      <c r="H651" t="s">
        <v>253</v>
      </c>
      <c r="I651">
        <v>3</v>
      </c>
      <c r="J651" s="6">
        <v>27</v>
      </c>
      <c r="M651" t="str">
        <f t="shared" si="30"/>
        <v>2022_Vic_Ouyen_Lentil_Satellite</v>
      </c>
      <c r="N651">
        <f>I651</f>
        <v>3</v>
      </c>
      <c r="O651" t="str">
        <f t="shared" si="31"/>
        <v>2022_Vic_Ouyen_Lentil_Satellite_27</v>
      </c>
      <c r="P651" t="str">
        <f t="shared" si="32"/>
        <v>2022_Vic_Ouyen_Lentil_SatelliteTOS2VarietyKelpieXTWaterTrtRainFed</v>
      </c>
    </row>
    <row r="652" spans="1:16" x14ac:dyDescent="0.25">
      <c r="G652">
        <v>4</v>
      </c>
      <c r="H652" t="s">
        <v>253</v>
      </c>
      <c r="I652">
        <v>2</v>
      </c>
      <c r="J652" s="6">
        <v>47</v>
      </c>
      <c r="M652" t="str">
        <f t="shared" si="30"/>
        <v>2022_Vic_Ouyen_Lentil_Satellite</v>
      </c>
      <c r="N652">
        <f>I652</f>
        <v>2</v>
      </c>
      <c r="O652" t="str">
        <f t="shared" si="31"/>
        <v>2022_Vic_Ouyen_Lentil_Satellite_47</v>
      </c>
      <c r="P652" t="str">
        <f t="shared" si="32"/>
        <v>2022_Vic_Ouyen_Lentil_SatelliteTOS2VarietyKelpieXTWaterTrtRainFed</v>
      </c>
    </row>
    <row r="653" spans="1:16" x14ac:dyDescent="0.25">
      <c r="A653" t="s">
        <v>4313</v>
      </c>
      <c r="B653" t="s">
        <v>3150</v>
      </c>
      <c r="C653">
        <v>1</v>
      </c>
      <c r="D653" t="s">
        <v>4188</v>
      </c>
      <c r="E653" t="s">
        <v>57</v>
      </c>
      <c r="F653" t="s">
        <v>3151</v>
      </c>
      <c r="G653">
        <v>1</v>
      </c>
      <c r="H653" t="s">
        <v>253</v>
      </c>
      <c r="I653">
        <v>12</v>
      </c>
      <c r="J653" s="6">
        <v>12</v>
      </c>
      <c r="M653" t="str">
        <f t="shared" si="30"/>
        <v>2023_Qld_Gatton_Mixed_Light</v>
      </c>
      <c r="N653">
        <f>I653</f>
        <v>12</v>
      </c>
      <c r="O653" t="str">
        <f t="shared" si="31"/>
        <v>2023_Qld_Gatton_Mixed_Light_12</v>
      </c>
      <c r="P653" t="str">
        <f t="shared" si="32"/>
        <v>2023_Qld_Gatton_Mixed_LightTOS1VarietyKelpieXTWaterTrtIrrigatedAgronomy16_hr</v>
      </c>
    </row>
    <row r="654" spans="1:16" x14ac:dyDescent="0.25">
      <c r="G654">
        <v>2</v>
      </c>
      <c r="H654" t="s">
        <v>253</v>
      </c>
      <c r="I654">
        <v>9</v>
      </c>
      <c r="J654" s="6">
        <v>21</v>
      </c>
      <c r="M654" t="str">
        <f t="shared" si="30"/>
        <v>2023_Qld_Gatton_Mixed_Light</v>
      </c>
      <c r="N654">
        <f>I654</f>
        <v>9</v>
      </c>
      <c r="O654" t="str">
        <f t="shared" si="31"/>
        <v>2023_Qld_Gatton_Mixed_Light_21</v>
      </c>
      <c r="P654" t="str">
        <f t="shared" si="32"/>
        <v>2023_Qld_Gatton_Mixed_LightTOS1VarietyKelpieXTWaterTrtIrrigatedAgronomy16_hr</v>
      </c>
    </row>
    <row r="655" spans="1:16" x14ac:dyDescent="0.25">
      <c r="G655">
        <v>3</v>
      </c>
      <c r="H655" t="s">
        <v>253</v>
      </c>
      <c r="I655">
        <v>4</v>
      </c>
      <c r="J655" s="6">
        <v>28</v>
      </c>
      <c r="M655" t="str">
        <f t="shared" si="30"/>
        <v>2023_Qld_Gatton_Mixed_Light</v>
      </c>
      <c r="N655">
        <f>I655</f>
        <v>4</v>
      </c>
      <c r="O655" t="str">
        <f t="shared" si="31"/>
        <v>2023_Qld_Gatton_Mixed_Light_28</v>
      </c>
      <c r="P655" t="str">
        <f t="shared" si="32"/>
        <v>2023_Qld_Gatton_Mixed_LightTOS1VarietyKelpieXTWaterTrtIrrigatedAgronomy16_hr</v>
      </c>
    </row>
    <row r="656" spans="1:16" x14ac:dyDescent="0.25">
      <c r="G656">
        <v>4</v>
      </c>
      <c r="H656" t="s">
        <v>253</v>
      </c>
      <c r="I656">
        <v>1</v>
      </c>
      <c r="J656" s="6">
        <v>37</v>
      </c>
      <c r="M656" t="str">
        <f t="shared" si="30"/>
        <v>2023_Qld_Gatton_Mixed_Light</v>
      </c>
      <c r="N656">
        <f>I656</f>
        <v>1</v>
      </c>
      <c r="O656" t="str">
        <f t="shared" si="31"/>
        <v>2023_Qld_Gatton_Mixed_Light_37</v>
      </c>
      <c r="P656" t="str">
        <f t="shared" si="32"/>
        <v>2023_Qld_Gatton_Mixed_LightTOS1VarietyKelpieXTWaterTrtIrrigatedAgronomy16_hr</v>
      </c>
    </row>
    <row r="657" spans="1:16" x14ac:dyDescent="0.25">
      <c r="A657" t="s">
        <v>4314</v>
      </c>
      <c r="B657" t="s">
        <v>3150</v>
      </c>
      <c r="C657">
        <v>1</v>
      </c>
      <c r="D657" t="s">
        <v>4188</v>
      </c>
      <c r="E657" t="s">
        <v>57</v>
      </c>
      <c r="F657" t="s">
        <v>3250</v>
      </c>
      <c r="G657">
        <v>1</v>
      </c>
      <c r="H657" t="s">
        <v>253</v>
      </c>
      <c r="I657">
        <v>8</v>
      </c>
      <c r="J657" s="6">
        <v>104</v>
      </c>
      <c r="M657" t="str">
        <f t="shared" si="30"/>
        <v>2023_Qld_Gatton_Mixed_Light</v>
      </c>
      <c r="N657">
        <f>I657</f>
        <v>8</v>
      </c>
      <c r="O657" t="str">
        <f t="shared" si="31"/>
        <v>2023_Qld_Gatton_Mixed_Light_104</v>
      </c>
      <c r="P657" t="str">
        <f t="shared" si="32"/>
        <v>2023_Qld_Gatton_Mixed_LightTOS1VarietyKelpieXTWaterTrtIrrigatedAgronomyNatural</v>
      </c>
    </row>
    <row r="658" spans="1:16" x14ac:dyDescent="0.25">
      <c r="G658">
        <v>2</v>
      </c>
      <c r="H658" t="s">
        <v>253</v>
      </c>
      <c r="I658">
        <v>5</v>
      </c>
      <c r="J658" s="6">
        <v>113</v>
      </c>
      <c r="M658" t="str">
        <f t="shared" si="30"/>
        <v>2023_Qld_Gatton_Mixed_Light</v>
      </c>
      <c r="N658">
        <f>I658</f>
        <v>5</v>
      </c>
      <c r="O658" t="str">
        <f t="shared" si="31"/>
        <v>2023_Qld_Gatton_Mixed_Light_113</v>
      </c>
      <c r="P658" t="str">
        <f t="shared" si="32"/>
        <v>2023_Qld_Gatton_Mixed_LightTOS1VarietyKelpieXTWaterTrtIrrigatedAgronomyNatural</v>
      </c>
    </row>
    <row r="659" spans="1:16" x14ac:dyDescent="0.25">
      <c r="G659">
        <v>3</v>
      </c>
      <c r="H659" t="s">
        <v>253</v>
      </c>
      <c r="I659">
        <v>9</v>
      </c>
      <c r="J659" s="6">
        <v>129</v>
      </c>
      <c r="M659" t="str">
        <f t="shared" si="30"/>
        <v>2023_Qld_Gatton_Mixed_Light</v>
      </c>
      <c r="N659">
        <f>I659</f>
        <v>9</v>
      </c>
      <c r="O659" t="str">
        <f t="shared" si="31"/>
        <v>2023_Qld_Gatton_Mixed_Light_129</v>
      </c>
      <c r="P659" t="str">
        <f t="shared" si="32"/>
        <v>2023_Qld_Gatton_Mixed_LightTOS1VarietyKelpieXTWaterTrtIrrigatedAgronomyNatural</v>
      </c>
    </row>
    <row r="660" spans="1:16" x14ac:dyDescent="0.25">
      <c r="G660">
        <v>4</v>
      </c>
      <c r="H660" t="s">
        <v>253</v>
      </c>
      <c r="I660">
        <v>12</v>
      </c>
      <c r="J660" s="6">
        <v>144</v>
      </c>
      <c r="M660" t="str">
        <f t="shared" si="30"/>
        <v>2023_Qld_Gatton_Mixed_Light</v>
      </c>
      <c r="N660">
        <f>I660</f>
        <v>12</v>
      </c>
      <c r="O660" t="str">
        <f t="shared" si="31"/>
        <v>2023_Qld_Gatton_Mixed_Light_144</v>
      </c>
      <c r="P660" t="str">
        <f t="shared" si="32"/>
        <v>2023_Qld_Gatton_Mixed_LightTOS1VarietyKelpieXTWaterTrtIrrigatedAgronomyNatural</v>
      </c>
    </row>
    <row r="661" spans="1:16" x14ac:dyDescent="0.25">
      <c r="A661" t="s">
        <v>4315</v>
      </c>
      <c r="B661" t="s">
        <v>3150</v>
      </c>
      <c r="C661">
        <v>2</v>
      </c>
      <c r="D661" t="s">
        <v>4188</v>
      </c>
      <c r="E661" t="s">
        <v>57</v>
      </c>
      <c r="F661" t="s">
        <v>3151</v>
      </c>
      <c r="G661">
        <v>1</v>
      </c>
      <c r="H661" t="s">
        <v>253</v>
      </c>
      <c r="I661">
        <v>6</v>
      </c>
      <c r="J661" s="6">
        <v>54</v>
      </c>
      <c r="M661" t="str">
        <f t="shared" si="30"/>
        <v>2023_Qld_Gatton_Mixed_Light</v>
      </c>
      <c r="N661">
        <f>I661</f>
        <v>6</v>
      </c>
      <c r="O661" t="str">
        <f t="shared" si="31"/>
        <v>2023_Qld_Gatton_Mixed_Light_54</v>
      </c>
      <c r="P661" t="str">
        <f t="shared" si="32"/>
        <v>2023_Qld_Gatton_Mixed_LightTOS2VarietyKelpieXTWaterTrtIrrigatedAgronomy16_hr</v>
      </c>
    </row>
    <row r="662" spans="1:16" x14ac:dyDescent="0.25">
      <c r="G662">
        <v>2</v>
      </c>
      <c r="H662" t="s">
        <v>253</v>
      </c>
      <c r="I662">
        <v>7</v>
      </c>
      <c r="J662" s="6">
        <v>67</v>
      </c>
      <c r="M662" t="str">
        <f t="shared" si="30"/>
        <v>2023_Qld_Gatton_Mixed_Light</v>
      </c>
      <c r="N662">
        <f>I662</f>
        <v>7</v>
      </c>
      <c r="O662" t="str">
        <f t="shared" si="31"/>
        <v>2023_Qld_Gatton_Mixed_Light_67</v>
      </c>
      <c r="P662" t="str">
        <f t="shared" si="32"/>
        <v>2023_Qld_Gatton_Mixed_LightTOS2VarietyKelpieXTWaterTrtIrrigatedAgronomy16_hr</v>
      </c>
    </row>
    <row r="663" spans="1:16" x14ac:dyDescent="0.25">
      <c r="G663">
        <v>3</v>
      </c>
      <c r="H663" t="s">
        <v>253</v>
      </c>
      <c r="I663">
        <v>11</v>
      </c>
      <c r="J663" s="6">
        <v>83</v>
      </c>
      <c r="M663" t="str">
        <f t="shared" si="30"/>
        <v>2023_Qld_Gatton_Mixed_Light</v>
      </c>
      <c r="N663">
        <f>I663</f>
        <v>11</v>
      </c>
      <c r="O663" t="str">
        <f t="shared" si="31"/>
        <v>2023_Qld_Gatton_Mixed_Light_83</v>
      </c>
      <c r="P663" t="str">
        <f t="shared" si="32"/>
        <v>2023_Qld_Gatton_Mixed_LightTOS2VarietyKelpieXTWaterTrtIrrigatedAgronomy16_hr</v>
      </c>
    </row>
    <row r="664" spans="1:16" x14ac:dyDescent="0.25">
      <c r="G664">
        <v>4</v>
      </c>
      <c r="H664" t="s">
        <v>253</v>
      </c>
      <c r="I664">
        <v>10</v>
      </c>
      <c r="J664" s="6">
        <v>94</v>
      </c>
      <c r="M664" t="str">
        <f t="shared" si="30"/>
        <v>2023_Qld_Gatton_Mixed_Light</v>
      </c>
      <c r="N664">
        <f>I664</f>
        <v>10</v>
      </c>
      <c r="O664" t="str">
        <f t="shared" si="31"/>
        <v>2023_Qld_Gatton_Mixed_Light_94</v>
      </c>
      <c r="P664" t="str">
        <f t="shared" si="32"/>
        <v>2023_Qld_Gatton_Mixed_LightTOS2VarietyKelpieXTWaterTrtIrrigatedAgronomy16_hr</v>
      </c>
    </row>
    <row r="665" spans="1:16" x14ac:dyDescent="0.25">
      <c r="A665" t="s">
        <v>4316</v>
      </c>
      <c r="B665" t="s">
        <v>3150</v>
      </c>
      <c r="C665">
        <v>2</v>
      </c>
      <c r="D665" t="s">
        <v>4188</v>
      </c>
      <c r="E665" t="s">
        <v>57</v>
      </c>
      <c r="F665" t="s">
        <v>3250</v>
      </c>
      <c r="G665">
        <v>1</v>
      </c>
      <c r="H665" t="s">
        <v>253</v>
      </c>
      <c r="I665">
        <v>2</v>
      </c>
      <c r="J665" s="6">
        <v>146</v>
      </c>
      <c r="M665" t="str">
        <f t="shared" si="30"/>
        <v>2023_Qld_Gatton_Mixed_Light</v>
      </c>
      <c r="N665">
        <f>I665</f>
        <v>2</v>
      </c>
      <c r="O665" t="str">
        <f t="shared" si="31"/>
        <v>2023_Qld_Gatton_Mixed_Light_146</v>
      </c>
      <c r="P665" t="str">
        <f t="shared" si="32"/>
        <v>2023_Qld_Gatton_Mixed_LightTOS2VarietyKelpieXTWaterTrtIrrigatedAgronomyNatural</v>
      </c>
    </row>
    <row r="666" spans="1:16" x14ac:dyDescent="0.25">
      <c r="G666">
        <v>2</v>
      </c>
      <c r="H666" t="s">
        <v>253</v>
      </c>
      <c r="I666">
        <v>3</v>
      </c>
      <c r="J666" s="6">
        <v>159</v>
      </c>
      <c r="M666" t="str">
        <f t="shared" si="30"/>
        <v>2023_Qld_Gatton_Mixed_Light</v>
      </c>
      <c r="N666">
        <f>I666</f>
        <v>3</v>
      </c>
      <c r="O666" t="str">
        <f t="shared" si="31"/>
        <v>2023_Qld_Gatton_Mixed_Light_159</v>
      </c>
      <c r="P666" t="str">
        <f t="shared" si="32"/>
        <v>2023_Qld_Gatton_Mixed_LightTOS2VarietyKelpieXTWaterTrtIrrigatedAgronomyNatural</v>
      </c>
    </row>
    <row r="667" spans="1:16" x14ac:dyDescent="0.25">
      <c r="G667">
        <v>3</v>
      </c>
      <c r="H667" t="s">
        <v>253</v>
      </c>
      <c r="I667">
        <v>11</v>
      </c>
      <c r="J667" s="6">
        <v>179</v>
      </c>
      <c r="M667" t="str">
        <f t="shared" si="30"/>
        <v>2023_Qld_Gatton_Mixed_Light</v>
      </c>
      <c r="N667">
        <f>I667</f>
        <v>11</v>
      </c>
      <c r="O667" t="str">
        <f t="shared" si="31"/>
        <v>2023_Qld_Gatton_Mixed_Light_179</v>
      </c>
      <c r="P667" t="str">
        <f t="shared" si="32"/>
        <v>2023_Qld_Gatton_Mixed_LightTOS2VarietyKelpieXTWaterTrtIrrigatedAgronomyNatural</v>
      </c>
    </row>
    <row r="668" spans="1:16" x14ac:dyDescent="0.25">
      <c r="G668">
        <v>4</v>
      </c>
      <c r="H668" t="s">
        <v>253</v>
      </c>
      <c r="I668">
        <v>10</v>
      </c>
      <c r="J668" s="6">
        <v>190</v>
      </c>
      <c r="M668" t="str">
        <f t="shared" si="30"/>
        <v>2023_Qld_Gatton_Mixed_Light</v>
      </c>
      <c r="N668">
        <f>I668</f>
        <v>10</v>
      </c>
      <c r="O668" t="str">
        <f t="shared" si="31"/>
        <v>2023_Qld_Gatton_Mixed_Light_190</v>
      </c>
      <c r="P668" t="str">
        <f t="shared" si="32"/>
        <v>2023_Qld_Gatton_Mixed_LightTOS2VarietyKelpieXTWaterTrtIrrigatedAgronomyNatural</v>
      </c>
    </row>
    <row r="669" spans="1:16" x14ac:dyDescent="0.25">
      <c r="A669" t="s">
        <v>4317</v>
      </c>
      <c r="B669" t="s">
        <v>2324</v>
      </c>
      <c r="C669">
        <v>1</v>
      </c>
      <c r="D669" t="s">
        <v>4187</v>
      </c>
      <c r="E669" t="s">
        <v>57</v>
      </c>
      <c r="F669" t="s">
        <v>4398</v>
      </c>
      <c r="G669">
        <v>1</v>
      </c>
      <c r="H669" t="s">
        <v>250</v>
      </c>
      <c r="I669">
        <v>4</v>
      </c>
      <c r="J669" s="6">
        <v>24</v>
      </c>
      <c r="M669" t="str">
        <f t="shared" si="30"/>
        <v>2023_SA_Pinery_Lentil_Detailed</v>
      </c>
      <c r="N669">
        <f>I669</f>
        <v>4</v>
      </c>
      <c r="O669" t="str">
        <f t="shared" si="31"/>
        <v>2023_SA_Pinery_Lentil_Detailed_24</v>
      </c>
      <c r="P669" t="str">
        <f t="shared" si="32"/>
        <v>2023_SA_Pinery_Lentil_DetailedTOS1VarietyBoltWaterTrtIrrigated</v>
      </c>
    </row>
    <row r="670" spans="1:16" x14ac:dyDescent="0.25">
      <c r="H670" t="s">
        <v>253</v>
      </c>
      <c r="I670">
        <v>3</v>
      </c>
      <c r="J670" s="6">
        <v>23</v>
      </c>
      <c r="M670" t="str">
        <f t="shared" si="30"/>
        <v>2023_SA_Pinery_Lentil_Detailed</v>
      </c>
      <c r="N670">
        <f>I670</f>
        <v>3</v>
      </c>
      <c r="O670" t="str">
        <f t="shared" si="31"/>
        <v>2023_SA_Pinery_Lentil_Detailed_23</v>
      </c>
      <c r="P670" t="str">
        <f t="shared" si="32"/>
        <v>2023_SA_Pinery_Lentil_DetailedTOS1VarietyBoltWaterTrtIrrigated</v>
      </c>
    </row>
    <row r="671" spans="1:16" x14ac:dyDescent="0.25">
      <c r="G671">
        <v>2</v>
      </c>
      <c r="H671" t="s">
        <v>250</v>
      </c>
      <c r="I671">
        <v>4</v>
      </c>
      <c r="J671" s="6">
        <v>44</v>
      </c>
      <c r="M671" t="str">
        <f t="shared" si="30"/>
        <v>2023_SA_Pinery_Lentil_Detailed</v>
      </c>
      <c r="N671">
        <f>I671</f>
        <v>4</v>
      </c>
      <c r="O671" t="str">
        <f t="shared" si="31"/>
        <v>2023_SA_Pinery_Lentil_Detailed_44</v>
      </c>
      <c r="P671" t="str">
        <f t="shared" si="32"/>
        <v>2023_SA_Pinery_Lentil_DetailedTOS1VarietyBoltWaterTrtIrrigated</v>
      </c>
    </row>
    <row r="672" spans="1:16" x14ac:dyDescent="0.25">
      <c r="H672" t="s">
        <v>253</v>
      </c>
      <c r="I672">
        <v>3</v>
      </c>
      <c r="J672" s="6">
        <v>43</v>
      </c>
      <c r="M672" t="str">
        <f t="shared" si="30"/>
        <v>2023_SA_Pinery_Lentil_Detailed</v>
      </c>
      <c r="N672">
        <f>I672</f>
        <v>3</v>
      </c>
      <c r="O672" t="str">
        <f t="shared" si="31"/>
        <v>2023_SA_Pinery_Lentil_Detailed_43</v>
      </c>
      <c r="P672" t="str">
        <f t="shared" si="32"/>
        <v>2023_SA_Pinery_Lentil_DetailedTOS1VarietyBoltWaterTrtIrrigated</v>
      </c>
    </row>
    <row r="673" spans="1:16" x14ac:dyDescent="0.25">
      <c r="G673">
        <v>3</v>
      </c>
      <c r="H673" t="s">
        <v>250</v>
      </c>
      <c r="I673">
        <v>2</v>
      </c>
      <c r="J673" s="6">
        <v>90</v>
      </c>
      <c r="M673" t="str">
        <f t="shared" si="30"/>
        <v>2023_SA_Pinery_Lentil_Detailed</v>
      </c>
      <c r="N673">
        <f>I673</f>
        <v>2</v>
      </c>
      <c r="O673" t="str">
        <f t="shared" si="31"/>
        <v>2023_SA_Pinery_Lentil_Detailed_90</v>
      </c>
      <c r="P673" t="str">
        <f t="shared" si="32"/>
        <v>2023_SA_Pinery_Lentil_DetailedTOS1VarietyBoltWaterTrtIrrigated</v>
      </c>
    </row>
    <row r="674" spans="1:16" x14ac:dyDescent="0.25">
      <c r="H674" t="s">
        <v>253</v>
      </c>
      <c r="I674">
        <v>1</v>
      </c>
      <c r="J674" s="6">
        <v>89</v>
      </c>
      <c r="M674" t="str">
        <f t="shared" si="30"/>
        <v>2023_SA_Pinery_Lentil_Detailed</v>
      </c>
      <c r="N674">
        <f>I674</f>
        <v>1</v>
      </c>
      <c r="O674" t="str">
        <f t="shared" si="31"/>
        <v>2023_SA_Pinery_Lentil_Detailed_89</v>
      </c>
      <c r="P674" t="str">
        <f t="shared" si="32"/>
        <v>2023_SA_Pinery_Lentil_DetailedTOS1VarietyBoltWaterTrtIrrigated</v>
      </c>
    </row>
    <row r="675" spans="1:16" x14ac:dyDescent="0.25">
      <c r="G675">
        <v>4</v>
      </c>
      <c r="H675" t="s">
        <v>250</v>
      </c>
      <c r="I675">
        <v>2</v>
      </c>
      <c r="J675" s="6">
        <v>102</v>
      </c>
      <c r="M675" t="str">
        <f t="shared" si="30"/>
        <v>2023_SA_Pinery_Lentil_Detailed</v>
      </c>
      <c r="N675">
        <f>I675</f>
        <v>2</v>
      </c>
      <c r="O675" t="str">
        <f t="shared" si="31"/>
        <v>2023_SA_Pinery_Lentil_Detailed_102</v>
      </c>
      <c r="P675" t="str">
        <f t="shared" si="32"/>
        <v>2023_SA_Pinery_Lentil_DetailedTOS1VarietyBoltWaterTrtIrrigated</v>
      </c>
    </row>
    <row r="676" spans="1:16" x14ac:dyDescent="0.25">
      <c r="H676" t="s">
        <v>253</v>
      </c>
      <c r="I676">
        <v>1</v>
      </c>
      <c r="J676" s="6">
        <v>101</v>
      </c>
      <c r="M676" t="str">
        <f t="shared" si="30"/>
        <v>2023_SA_Pinery_Lentil_Detailed</v>
      </c>
      <c r="N676">
        <f>I676</f>
        <v>1</v>
      </c>
      <c r="O676" t="str">
        <f t="shared" si="31"/>
        <v>2023_SA_Pinery_Lentil_Detailed_101</v>
      </c>
      <c r="P676" t="str">
        <f t="shared" si="32"/>
        <v>2023_SA_Pinery_Lentil_DetailedTOS1VarietyBoltWaterTrtIrrigated</v>
      </c>
    </row>
    <row r="677" spans="1:16" x14ac:dyDescent="0.25">
      <c r="A677" t="s">
        <v>4318</v>
      </c>
      <c r="B677" t="s">
        <v>2324</v>
      </c>
      <c r="C677">
        <v>1</v>
      </c>
      <c r="D677" t="s">
        <v>4187</v>
      </c>
      <c r="E677" t="s">
        <v>40</v>
      </c>
      <c r="F677" t="s">
        <v>4398</v>
      </c>
      <c r="G677">
        <v>1</v>
      </c>
      <c r="H677" t="s">
        <v>250</v>
      </c>
      <c r="I677">
        <v>2</v>
      </c>
      <c r="J677" s="6">
        <v>26</v>
      </c>
      <c r="M677" t="str">
        <f t="shared" si="30"/>
        <v>2023_SA_Pinery_Lentil_Detailed</v>
      </c>
      <c r="N677">
        <f>I677</f>
        <v>2</v>
      </c>
      <c r="O677" t="str">
        <f t="shared" si="31"/>
        <v>2023_SA_Pinery_Lentil_Detailed_26</v>
      </c>
      <c r="P677" t="str">
        <f t="shared" si="32"/>
        <v>2023_SA_Pinery_Lentil_DetailedTOS1VarietyBoltWaterTrtRainFed</v>
      </c>
    </row>
    <row r="678" spans="1:16" x14ac:dyDescent="0.25">
      <c r="H678" t="s">
        <v>253</v>
      </c>
      <c r="I678">
        <v>1</v>
      </c>
      <c r="J678" s="6">
        <v>25</v>
      </c>
      <c r="M678" t="str">
        <f t="shared" si="30"/>
        <v>2023_SA_Pinery_Lentil_Detailed</v>
      </c>
      <c r="N678">
        <f>I678</f>
        <v>1</v>
      </c>
      <c r="O678" t="str">
        <f t="shared" si="31"/>
        <v>2023_SA_Pinery_Lentil_Detailed_25</v>
      </c>
      <c r="P678" t="str">
        <f t="shared" si="32"/>
        <v>2023_SA_Pinery_Lentil_DetailedTOS1VarietyBoltWaterTrtRainFed</v>
      </c>
    </row>
    <row r="679" spans="1:16" x14ac:dyDescent="0.25">
      <c r="G679">
        <v>2</v>
      </c>
      <c r="H679" t="s">
        <v>250</v>
      </c>
      <c r="I679">
        <v>2</v>
      </c>
      <c r="J679" s="6">
        <v>38</v>
      </c>
      <c r="M679" t="str">
        <f t="shared" si="30"/>
        <v>2023_SA_Pinery_Lentil_Detailed</v>
      </c>
      <c r="N679">
        <f>I679</f>
        <v>2</v>
      </c>
      <c r="O679" t="str">
        <f t="shared" si="31"/>
        <v>2023_SA_Pinery_Lentil_Detailed_38</v>
      </c>
      <c r="P679" t="str">
        <f t="shared" si="32"/>
        <v>2023_SA_Pinery_Lentil_DetailedTOS1VarietyBoltWaterTrtRainFed</v>
      </c>
    </row>
    <row r="680" spans="1:16" x14ac:dyDescent="0.25">
      <c r="H680" t="s">
        <v>253</v>
      </c>
      <c r="I680">
        <v>1</v>
      </c>
      <c r="J680" s="6">
        <v>37</v>
      </c>
      <c r="M680" t="str">
        <f t="shared" si="30"/>
        <v>2023_SA_Pinery_Lentil_Detailed</v>
      </c>
      <c r="N680">
        <f>I680</f>
        <v>1</v>
      </c>
      <c r="O680" t="str">
        <f t="shared" si="31"/>
        <v>2023_SA_Pinery_Lentil_Detailed_37</v>
      </c>
      <c r="P680" t="str">
        <f t="shared" si="32"/>
        <v>2023_SA_Pinery_Lentil_DetailedTOS1VarietyBoltWaterTrtRainFed</v>
      </c>
    </row>
    <row r="681" spans="1:16" x14ac:dyDescent="0.25">
      <c r="G681">
        <v>3</v>
      </c>
      <c r="H681" t="s">
        <v>250</v>
      </c>
      <c r="I681">
        <v>4</v>
      </c>
      <c r="J681" s="6">
        <v>76</v>
      </c>
      <c r="M681" t="str">
        <f t="shared" si="30"/>
        <v>2023_SA_Pinery_Lentil_Detailed</v>
      </c>
      <c r="N681">
        <f>I681</f>
        <v>4</v>
      </c>
      <c r="O681" t="str">
        <f t="shared" si="31"/>
        <v>2023_SA_Pinery_Lentil_Detailed_76</v>
      </c>
      <c r="P681" t="str">
        <f t="shared" si="32"/>
        <v>2023_SA_Pinery_Lentil_DetailedTOS1VarietyBoltWaterTrtRainFed</v>
      </c>
    </row>
    <row r="682" spans="1:16" x14ac:dyDescent="0.25">
      <c r="H682" t="s">
        <v>253</v>
      </c>
      <c r="I682">
        <v>3</v>
      </c>
      <c r="J682" s="6">
        <v>75</v>
      </c>
      <c r="M682" t="str">
        <f t="shared" si="30"/>
        <v>2023_SA_Pinery_Lentil_Detailed</v>
      </c>
      <c r="N682">
        <f>I682</f>
        <v>3</v>
      </c>
      <c r="O682" t="str">
        <f t="shared" si="31"/>
        <v>2023_SA_Pinery_Lentil_Detailed_75</v>
      </c>
      <c r="P682" t="str">
        <f t="shared" si="32"/>
        <v>2023_SA_Pinery_Lentil_DetailedTOS1VarietyBoltWaterTrtRainFed</v>
      </c>
    </row>
    <row r="683" spans="1:16" x14ac:dyDescent="0.25">
      <c r="G683">
        <v>4</v>
      </c>
      <c r="H683" t="s">
        <v>250</v>
      </c>
      <c r="I683">
        <v>2</v>
      </c>
      <c r="J683" s="6">
        <v>114</v>
      </c>
      <c r="M683" t="str">
        <f t="shared" si="30"/>
        <v>2023_SA_Pinery_Lentil_Detailed</v>
      </c>
      <c r="N683">
        <f>I683</f>
        <v>2</v>
      </c>
      <c r="O683" t="str">
        <f t="shared" si="31"/>
        <v>2023_SA_Pinery_Lentil_Detailed_114</v>
      </c>
      <c r="P683" t="str">
        <f t="shared" si="32"/>
        <v>2023_SA_Pinery_Lentil_DetailedTOS1VarietyBoltWaterTrtRainFed</v>
      </c>
    </row>
    <row r="684" spans="1:16" x14ac:dyDescent="0.25">
      <c r="H684" t="s">
        <v>253</v>
      </c>
      <c r="I684">
        <v>1</v>
      </c>
      <c r="J684" s="6">
        <v>113</v>
      </c>
      <c r="M684" t="str">
        <f t="shared" si="30"/>
        <v>2023_SA_Pinery_Lentil_Detailed</v>
      </c>
      <c r="N684">
        <f>I684</f>
        <v>1</v>
      </c>
      <c r="O684" t="str">
        <f t="shared" si="31"/>
        <v>2023_SA_Pinery_Lentil_Detailed_113</v>
      </c>
      <c r="P684" t="str">
        <f t="shared" si="32"/>
        <v>2023_SA_Pinery_Lentil_DetailedTOS1VarietyBoltWaterTrtRainFed</v>
      </c>
    </row>
    <row r="685" spans="1:16" x14ac:dyDescent="0.25">
      <c r="A685" t="s">
        <v>4319</v>
      </c>
      <c r="B685" t="s">
        <v>2324</v>
      </c>
      <c r="C685">
        <v>1</v>
      </c>
      <c r="D685" t="s">
        <v>4189</v>
      </c>
      <c r="E685" t="s">
        <v>57</v>
      </c>
      <c r="F685" t="s">
        <v>4398</v>
      </c>
      <c r="G685">
        <v>1</v>
      </c>
      <c r="H685" t="s">
        <v>250</v>
      </c>
      <c r="I685">
        <v>2</v>
      </c>
      <c r="J685" s="6">
        <v>22</v>
      </c>
      <c r="M685" t="str">
        <f t="shared" si="30"/>
        <v>2023_SA_Pinery_Lentil_Detailed</v>
      </c>
      <c r="N685">
        <f>I685</f>
        <v>2</v>
      </c>
      <c r="O685" t="str">
        <f t="shared" si="31"/>
        <v>2023_SA_Pinery_Lentil_Detailed_22</v>
      </c>
      <c r="P685" t="str">
        <f t="shared" si="32"/>
        <v>2023_SA_Pinery_Lentil_DetailedTOS1VarietyHallmarkXTWaterTrtIrrigated</v>
      </c>
    </row>
    <row r="686" spans="1:16" x14ac:dyDescent="0.25">
      <c r="H686" t="s">
        <v>253</v>
      </c>
      <c r="I686">
        <v>1</v>
      </c>
      <c r="J686" s="6">
        <v>21</v>
      </c>
      <c r="M686" t="str">
        <f t="shared" si="30"/>
        <v>2023_SA_Pinery_Lentil_Detailed</v>
      </c>
      <c r="N686">
        <f>I686</f>
        <v>1</v>
      </c>
      <c r="O686" t="str">
        <f t="shared" si="31"/>
        <v>2023_SA_Pinery_Lentil_Detailed_21</v>
      </c>
      <c r="P686" t="str">
        <f t="shared" si="32"/>
        <v>2023_SA_Pinery_Lentil_DetailedTOS1VarietyHallmarkXTWaterTrtIrrigated</v>
      </c>
    </row>
    <row r="687" spans="1:16" x14ac:dyDescent="0.25">
      <c r="G687">
        <v>2</v>
      </c>
      <c r="H687" t="s">
        <v>250</v>
      </c>
      <c r="I687">
        <v>2</v>
      </c>
      <c r="J687" s="6">
        <v>46</v>
      </c>
      <c r="M687" t="str">
        <f t="shared" si="30"/>
        <v>2023_SA_Pinery_Lentil_Detailed</v>
      </c>
      <c r="N687">
        <f>I687</f>
        <v>2</v>
      </c>
      <c r="O687" t="str">
        <f t="shared" si="31"/>
        <v>2023_SA_Pinery_Lentil_Detailed_46</v>
      </c>
      <c r="P687" t="str">
        <f t="shared" si="32"/>
        <v>2023_SA_Pinery_Lentil_DetailedTOS1VarietyHallmarkXTWaterTrtIrrigated</v>
      </c>
    </row>
    <row r="688" spans="1:16" x14ac:dyDescent="0.25">
      <c r="H688" t="s">
        <v>253</v>
      </c>
      <c r="I688">
        <v>1</v>
      </c>
      <c r="J688" s="6">
        <v>45</v>
      </c>
      <c r="M688" t="str">
        <f t="shared" si="30"/>
        <v>2023_SA_Pinery_Lentil_Detailed</v>
      </c>
      <c r="N688">
        <f>I688</f>
        <v>1</v>
      </c>
      <c r="O688" t="str">
        <f t="shared" si="31"/>
        <v>2023_SA_Pinery_Lentil_Detailed_45</v>
      </c>
      <c r="P688" t="str">
        <f t="shared" si="32"/>
        <v>2023_SA_Pinery_Lentil_DetailedTOS1VarietyHallmarkXTWaterTrtIrrigated</v>
      </c>
    </row>
    <row r="689" spans="1:16" x14ac:dyDescent="0.25">
      <c r="G689">
        <v>3</v>
      </c>
      <c r="H689" t="s">
        <v>250</v>
      </c>
      <c r="I689">
        <v>4</v>
      </c>
      <c r="J689" s="6">
        <v>92</v>
      </c>
      <c r="M689" t="str">
        <f t="shared" si="30"/>
        <v>2023_SA_Pinery_Lentil_Detailed</v>
      </c>
      <c r="N689">
        <f>I689</f>
        <v>4</v>
      </c>
      <c r="O689" t="str">
        <f t="shared" si="31"/>
        <v>2023_SA_Pinery_Lentil_Detailed_92</v>
      </c>
      <c r="P689" t="str">
        <f t="shared" si="32"/>
        <v>2023_SA_Pinery_Lentil_DetailedTOS1VarietyHallmarkXTWaterTrtIrrigated</v>
      </c>
    </row>
    <row r="690" spans="1:16" x14ac:dyDescent="0.25">
      <c r="H690" t="s">
        <v>253</v>
      </c>
      <c r="I690">
        <v>3</v>
      </c>
      <c r="J690" s="6">
        <v>91</v>
      </c>
      <c r="M690" t="str">
        <f t="shared" si="30"/>
        <v>2023_SA_Pinery_Lentil_Detailed</v>
      </c>
      <c r="N690">
        <f>I690</f>
        <v>3</v>
      </c>
      <c r="O690" t="str">
        <f t="shared" si="31"/>
        <v>2023_SA_Pinery_Lentil_Detailed_91</v>
      </c>
      <c r="P690" t="str">
        <f t="shared" si="32"/>
        <v>2023_SA_Pinery_Lentil_DetailedTOS1VarietyHallmarkXTWaterTrtIrrigated</v>
      </c>
    </row>
    <row r="691" spans="1:16" x14ac:dyDescent="0.25">
      <c r="G691">
        <v>4</v>
      </c>
      <c r="H691" t="s">
        <v>250</v>
      </c>
      <c r="I691">
        <v>2</v>
      </c>
      <c r="J691" s="6">
        <v>98</v>
      </c>
      <c r="M691" t="str">
        <f t="shared" si="30"/>
        <v>2023_SA_Pinery_Lentil_Detailed</v>
      </c>
      <c r="N691">
        <f>I691</f>
        <v>2</v>
      </c>
      <c r="O691" t="str">
        <f t="shared" si="31"/>
        <v>2023_SA_Pinery_Lentil_Detailed_98</v>
      </c>
      <c r="P691" t="str">
        <f t="shared" si="32"/>
        <v>2023_SA_Pinery_Lentil_DetailedTOS1VarietyHallmarkXTWaterTrtIrrigated</v>
      </c>
    </row>
    <row r="692" spans="1:16" x14ac:dyDescent="0.25">
      <c r="H692" t="s">
        <v>253</v>
      </c>
      <c r="I692">
        <v>1</v>
      </c>
      <c r="J692" s="6">
        <v>97</v>
      </c>
      <c r="M692" t="str">
        <f t="shared" si="30"/>
        <v>2023_SA_Pinery_Lentil_Detailed</v>
      </c>
      <c r="N692">
        <f>I692</f>
        <v>1</v>
      </c>
      <c r="O692" t="str">
        <f t="shared" si="31"/>
        <v>2023_SA_Pinery_Lentil_Detailed_97</v>
      </c>
      <c r="P692" t="str">
        <f t="shared" si="32"/>
        <v>2023_SA_Pinery_Lentil_DetailedTOS1VarietyHallmarkXTWaterTrtIrrigated</v>
      </c>
    </row>
    <row r="693" spans="1:16" x14ac:dyDescent="0.25">
      <c r="A693" t="s">
        <v>4320</v>
      </c>
      <c r="B693" t="s">
        <v>2324</v>
      </c>
      <c r="C693">
        <v>1</v>
      </c>
      <c r="D693" t="s">
        <v>4189</v>
      </c>
      <c r="E693" t="s">
        <v>40</v>
      </c>
      <c r="F693" t="s">
        <v>4398</v>
      </c>
      <c r="G693">
        <v>1</v>
      </c>
      <c r="H693" t="s">
        <v>250</v>
      </c>
      <c r="I693">
        <v>4</v>
      </c>
      <c r="J693" s="6">
        <v>28</v>
      </c>
      <c r="M693" t="str">
        <f t="shared" si="30"/>
        <v>2023_SA_Pinery_Lentil_Detailed</v>
      </c>
      <c r="N693">
        <f>I693</f>
        <v>4</v>
      </c>
      <c r="O693" t="str">
        <f t="shared" si="31"/>
        <v>2023_SA_Pinery_Lentil_Detailed_28</v>
      </c>
      <c r="P693" t="str">
        <f t="shared" si="32"/>
        <v>2023_SA_Pinery_Lentil_DetailedTOS1VarietyHallmarkXTWaterTrtRainFed</v>
      </c>
    </row>
    <row r="694" spans="1:16" x14ac:dyDescent="0.25">
      <c r="H694" t="s">
        <v>253</v>
      </c>
      <c r="I694">
        <v>3</v>
      </c>
      <c r="J694" s="6">
        <v>27</v>
      </c>
      <c r="M694" t="str">
        <f t="shared" si="30"/>
        <v>2023_SA_Pinery_Lentil_Detailed</v>
      </c>
      <c r="N694">
        <f>I694</f>
        <v>3</v>
      </c>
      <c r="O694" t="str">
        <f t="shared" si="31"/>
        <v>2023_SA_Pinery_Lentil_Detailed_27</v>
      </c>
      <c r="P694" t="str">
        <f t="shared" si="32"/>
        <v>2023_SA_Pinery_Lentil_DetailedTOS1VarietyHallmarkXTWaterTrtRainFed</v>
      </c>
    </row>
    <row r="695" spans="1:16" x14ac:dyDescent="0.25">
      <c r="G695">
        <v>2</v>
      </c>
      <c r="H695" t="s">
        <v>250</v>
      </c>
      <c r="I695">
        <v>2</v>
      </c>
      <c r="J695" s="6">
        <v>34</v>
      </c>
      <c r="M695" t="str">
        <f t="shared" si="30"/>
        <v>2023_SA_Pinery_Lentil_Detailed</v>
      </c>
      <c r="N695">
        <f>I695</f>
        <v>2</v>
      </c>
      <c r="O695" t="str">
        <f t="shared" si="31"/>
        <v>2023_SA_Pinery_Lentil_Detailed_34</v>
      </c>
      <c r="P695" t="str">
        <f t="shared" si="32"/>
        <v>2023_SA_Pinery_Lentil_DetailedTOS1VarietyHallmarkXTWaterTrtRainFed</v>
      </c>
    </row>
    <row r="696" spans="1:16" x14ac:dyDescent="0.25">
      <c r="H696" t="s">
        <v>253</v>
      </c>
      <c r="I696">
        <v>1</v>
      </c>
      <c r="J696" s="6">
        <v>33</v>
      </c>
      <c r="M696" t="str">
        <f t="shared" si="30"/>
        <v>2023_SA_Pinery_Lentil_Detailed</v>
      </c>
      <c r="N696">
        <f>I696</f>
        <v>1</v>
      </c>
      <c r="O696" t="str">
        <f t="shared" si="31"/>
        <v>2023_SA_Pinery_Lentil_Detailed_33</v>
      </c>
      <c r="P696" t="str">
        <f t="shared" si="32"/>
        <v>2023_SA_Pinery_Lentil_DetailedTOS1VarietyHallmarkXTWaterTrtRainFed</v>
      </c>
    </row>
    <row r="697" spans="1:16" x14ac:dyDescent="0.25">
      <c r="G697">
        <v>3</v>
      </c>
      <c r="H697" t="s">
        <v>250</v>
      </c>
      <c r="I697">
        <v>4</v>
      </c>
      <c r="J697" s="6">
        <v>80</v>
      </c>
      <c r="M697" t="str">
        <f t="shared" si="30"/>
        <v>2023_SA_Pinery_Lentil_Detailed</v>
      </c>
      <c r="N697">
        <f>I697</f>
        <v>4</v>
      </c>
      <c r="O697" t="str">
        <f t="shared" si="31"/>
        <v>2023_SA_Pinery_Lentil_Detailed_80</v>
      </c>
      <c r="P697" t="str">
        <f t="shared" si="32"/>
        <v>2023_SA_Pinery_Lentil_DetailedTOS1VarietyHallmarkXTWaterTrtRainFed</v>
      </c>
    </row>
    <row r="698" spans="1:16" x14ac:dyDescent="0.25">
      <c r="H698" t="s">
        <v>253</v>
      </c>
      <c r="I698">
        <v>3</v>
      </c>
      <c r="J698" s="6">
        <v>79</v>
      </c>
      <c r="M698" t="str">
        <f t="shared" si="30"/>
        <v>2023_SA_Pinery_Lentil_Detailed</v>
      </c>
      <c r="N698">
        <f>I698</f>
        <v>3</v>
      </c>
      <c r="O698" t="str">
        <f t="shared" si="31"/>
        <v>2023_SA_Pinery_Lentil_Detailed_79</v>
      </c>
      <c r="P698" t="str">
        <f t="shared" si="32"/>
        <v>2023_SA_Pinery_Lentil_DetailedTOS1VarietyHallmarkXTWaterTrtRainFed</v>
      </c>
    </row>
    <row r="699" spans="1:16" x14ac:dyDescent="0.25">
      <c r="G699">
        <v>4</v>
      </c>
      <c r="H699" t="s">
        <v>250</v>
      </c>
      <c r="I699">
        <v>4</v>
      </c>
      <c r="J699" s="6">
        <v>120</v>
      </c>
      <c r="M699" t="str">
        <f t="shared" si="30"/>
        <v>2023_SA_Pinery_Lentil_Detailed</v>
      </c>
      <c r="N699">
        <f>I699</f>
        <v>4</v>
      </c>
      <c r="O699" t="str">
        <f t="shared" si="31"/>
        <v>2023_SA_Pinery_Lentil_Detailed_120</v>
      </c>
      <c r="P699" t="str">
        <f t="shared" si="32"/>
        <v>2023_SA_Pinery_Lentil_DetailedTOS1VarietyHallmarkXTWaterTrtRainFed</v>
      </c>
    </row>
    <row r="700" spans="1:16" x14ac:dyDescent="0.25">
      <c r="H700" t="s">
        <v>253</v>
      </c>
      <c r="I700">
        <v>3</v>
      </c>
      <c r="J700" s="6">
        <v>119</v>
      </c>
      <c r="M700" t="str">
        <f t="shared" si="30"/>
        <v>2023_SA_Pinery_Lentil_Detailed</v>
      </c>
      <c r="N700">
        <f>I700</f>
        <v>3</v>
      </c>
      <c r="O700" t="str">
        <f t="shared" si="31"/>
        <v>2023_SA_Pinery_Lentil_Detailed_119</v>
      </c>
      <c r="P700" t="str">
        <f t="shared" si="32"/>
        <v>2023_SA_Pinery_Lentil_DetailedTOS1VarietyHallmarkXTWaterTrtRainFed</v>
      </c>
    </row>
    <row r="701" spans="1:16" x14ac:dyDescent="0.25">
      <c r="A701" t="s">
        <v>4321</v>
      </c>
      <c r="B701" t="s">
        <v>2324</v>
      </c>
      <c r="C701">
        <v>1</v>
      </c>
      <c r="D701" t="s">
        <v>4176</v>
      </c>
      <c r="E701" t="s">
        <v>57</v>
      </c>
      <c r="F701" t="s">
        <v>4398</v>
      </c>
      <c r="G701">
        <v>1</v>
      </c>
      <c r="H701" t="s">
        <v>250</v>
      </c>
      <c r="I701">
        <v>2</v>
      </c>
      <c r="J701" s="6">
        <v>18</v>
      </c>
      <c r="M701" t="str">
        <f t="shared" si="30"/>
        <v>2023_SA_Pinery_Lentil_Detailed</v>
      </c>
      <c r="N701">
        <f>I701</f>
        <v>2</v>
      </c>
      <c r="O701" t="str">
        <f t="shared" si="31"/>
        <v>2023_SA_Pinery_Lentil_Detailed_18</v>
      </c>
      <c r="P701" t="str">
        <f t="shared" si="32"/>
        <v>2023_SA_Pinery_Lentil_DetailedTOS1VarietyJumbo2WaterTrtIrrigated</v>
      </c>
    </row>
    <row r="702" spans="1:16" x14ac:dyDescent="0.25">
      <c r="H702" t="s">
        <v>253</v>
      </c>
      <c r="I702">
        <v>1</v>
      </c>
      <c r="J702" s="6">
        <v>17</v>
      </c>
      <c r="M702" t="str">
        <f t="shared" si="30"/>
        <v>2023_SA_Pinery_Lentil_Detailed</v>
      </c>
      <c r="N702">
        <f>I702</f>
        <v>1</v>
      </c>
      <c r="O702" t="str">
        <f t="shared" si="31"/>
        <v>2023_SA_Pinery_Lentil_Detailed_17</v>
      </c>
      <c r="P702" t="str">
        <f t="shared" si="32"/>
        <v>2023_SA_Pinery_Lentil_DetailedTOS1VarietyJumbo2WaterTrtIrrigated</v>
      </c>
    </row>
    <row r="703" spans="1:16" x14ac:dyDescent="0.25">
      <c r="G703">
        <v>2</v>
      </c>
      <c r="H703" t="s">
        <v>250</v>
      </c>
      <c r="I703">
        <v>4</v>
      </c>
      <c r="J703" s="6">
        <v>48</v>
      </c>
      <c r="M703" t="str">
        <f t="shared" si="30"/>
        <v>2023_SA_Pinery_Lentil_Detailed</v>
      </c>
      <c r="N703">
        <f>I703</f>
        <v>4</v>
      </c>
      <c r="O703" t="str">
        <f t="shared" si="31"/>
        <v>2023_SA_Pinery_Lentil_Detailed_48</v>
      </c>
      <c r="P703" t="str">
        <f t="shared" si="32"/>
        <v>2023_SA_Pinery_Lentil_DetailedTOS1VarietyJumbo2WaterTrtIrrigated</v>
      </c>
    </row>
    <row r="704" spans="1:16" x14ac:dyDescent="0.25">
      <c r="H704" t="s">
        <v>253</v>
      </c>
      <c r="I704">
        <v>3</v>
      </c>
      <c r="J704" s="6">
        <v>47</v>
      </c>
      <c r="M704" t="str">
        <f t="shared" si="30"/>
        <v>2023_SA_Pinery_Lentil_Detailed</v>
      </c>
      <c r="N704">
        <f>I704</f>
        <v>3</v>
      </c>
      <c r="O704" t="str">
        <f t="shared" si="31"/>
        <v>2023_SA_Pinery_Lentil_Detailed_47</v>
      </c>
      <c r="P704" t="str">
        <f t="shared" si="32"/>
        <v>2023_SA_Pinery_Lentil_DetailedTOS1VarietyJumbo2WaterTrtIrrigated</v>
      </c>
    </row>
    <row r="705" spans="1:16" x14ac:dyDescent="0.25">
      <c r="G705">
        <v>3</v>
      </c>
      <c r="H705" t="s">
        <v>250</v>
      </c>
      <c r="I705">
        <v>2</v>
      </c>
      <c r="J705" s="6">
        <v>94</v>
      </c>
      <c r="M705" t="str">
        <f t="shared" si="30"/>
        <v>2023_SA_Pinery_Lentil_Detailed</v>
      </c>
      <c r="N705">
        <f>I705</f>
        <v>2</v>
      </c>
      <c r="O705" t="str">
        <f t="shared" si="31"/>
        <v>2023_SA_Pinery_Lentil_Detailed_94</v>
      </c>
      <c r="P705" t="str">
        <f t="shared" si="32"/>
        <v>2023_SA_Pinery_Lentil_DetailedTOS1VarietyJumbo2WaterTrtIrrigated</v>
      </c>
    </row>
    <row r="706" spans="1:16" x14ac:dyDescent="0.25">
      <c r="H706" t="s">
        <v>253</v>
      </c>
      <c r="I706">
        <v>1</v>
      </c>
      <c r="J706" s="6">
        <v>93</v>
      </c>
      <c r="M706" t="str">
        <f t="shared" si="30"/>
        <v>2023_SA_Pinery_Lentil_Detailed</v>
      </c>
      <c r="N706">
        <f>I706</f>
        <v>1</v>
      </c>
      <c r="O706" t="str">
        <f t="shared" si="31"/>
        <v>2023_SA_Pinery_Lentil_Detailed_93</v>
      </c>
      <c r="P706" t="str">
        <f t="shared" si="32"/>
        <v>2023_SA_Pinery_Lentil_DetailedTOS1VarietyJumbo2WaterTrtIrrigated</v>
      </c>
    </row>
    <row r="707" spans="1:16" x14ac:dyDescent="0.25">
      <c r="G707">
        <v>4</v>
      </c>
      <c r="H707" t="s">
        <v>250</v>
      </c>
      <c r="I707">
        <v>4</v>
      </c>
      <c r="J707" s="6">
        <v>104</v>
      </c>
      <c r="M707" t="str">
        <f t="shared" si="30"/>
        <v>2023_SA_Pinery_Lentil_Detailed</v>
      </c>
      <c r="N707">
        <f>I707</f>
        <v>4</v>
      </c>
      <c r="O707" t="str">
        <f t="shared" si="31"/>
        <v>2023_SA_Pinery_Lentil_Detailed_104</v>
      </c>
      <c r="P707" t="str">
        <f t="shared" si="32"/>
        <v>2023_SA_Pinery_Lentil_DetailedTOS1VarietyJumbo2WaterTrtIrrigated</v>
      </c>
    </row>
    <row r="708" spans="1:16" x14ac:dyDescent="0.25">
      <c r="H708" t="s">
        <v>253</v>
      </c>
      <c r="I708">
        <v>3</v>
      </c>
      <c r="J708" s="6">
        <v>103</v>
      </c>
      <c r="M708" t="str">
        <f t="shared" si="30"/>
        <v>2023_SA_Pinery_Lentil_Detailed</v>
      </c>
      <c r="N708">
        <f>I708</f>
        <v>3</v>
      </c>
      <c r="O708" t="str">
        <f t="shared" si="31"/>
        <v>2023_SA_Pinery_Lentil_Detailed_103</v>
      </c>
      <c r="P708" t="str">
        <f t="shared" si="32"/>
        <v>2023_SA_Pinery_Lentil_DetailedTOS1VarietyJumbo2WaterTrtIrrigated</v>
      </c>
    </row>
    <row r="709" spans="1:16" x14ac:dyDescent="0.25">
      <c r="A709" t="s">
        <v>4322</v>
      </c>
      <c r="B709" t="s">
        <v>2324</v>
      </c>
      <c r="C709">
        <v>1</v>
      </c>
      <c r="D709" t="s">
        <v>4176</v>
      </c>
      <c r="E709" t="s">
        <v>40</v>
      </c>
      <c r="F709" t="s">
        <v>4398</v>
      </c>
      <c r="G709">
        <v>1</v>
      </c>
      <c r="H709" t="s">
        <v>250</v>
      </c>
      <c r="I709">
        <v>4</v>
      </c>
      <c r="J709" s="6">
        <v>32</v>
      </c>
      <c r="M709" t="str">
        <f t="shared" si="30"/>
        <v>2023_SA_Pinery_Lentil_Detailed</v>
      </c>
      <c r="N709">
        <f>I709</f>
        <v>4</v>
      </c>
      <c r="O709" t="str">
        <f t="shared" si="31"/>
        <v>2023_SA_Pinery_Lentil_Detailed_32</v>
      </c>
      <c r="P709" t="str">
        <f t="shared" si="32"/>
        <v>2023_SA_Pinery_Lentil_DetailedTOS1VarietyJumbo2WaterTrtRainFed</v>
      </c>
    </row>
    <row r="710" spans="1:16" x14ac:dyDescent="0.25">
      <c r="H710" t="s">
        <v>253</v>
      </c>
      <c r="I710">
        <v>3</v>
      </c>
      <c r="J710" s="6">
        <v>31</v>
      </c>
      <c r="M710" t="str">
        <f t="shared" ref="M710:M773" si="33">IF(B710="",M709,B710)</f>
        <v>2023_SA_Pinery_Lentil_Detailed</v>
      </c>
      <c r="N710">
        <f>I710</f>
        <v>3</v>
      </c>
      <c r="O710" t="str">
        <f t="shared" ref="O710:O773" si="34">M710&amp;"_"&amp;J710</f>
        <v>2023_SA_Pinery_Lentil_Detailed_31</v>
      </c>
      <c r="P710" t="str">
        <f t="shared" ref="P710:P773" si="35">IF(A710="",P709,A710)</f>
        <v>2023_SA_Pinery_Lentil_DetailedTOS1VarietyJumbo2WaterTrtRainFed</v>
      </c>
    </row>
    <row r="711" spans="1:16" x14ac:dyDescent="0.25">
      <c r="G711">
        <v>2</v>
      </c>
      <c r="H711" t="s">
        <v>250</v>
      </c>
      <c r="I711">
        <v>4</v>
      </c>
      <c r="J711" s="6">
        <v>36</v>
      </c>
      <c r="M711" t="str">
        <f t="shared" si="33"/>
        <v>2023_SA_Pinery_Lentil_Detailed</v>
      </c>
      <c r="N711">
        <f>I711</f>
        <v>4</v>
      </c>
      <c r="O711" t="str">
        <f t="shared" si="34"/>
        <v>2023_SA_Pinery_Lentil_Detailed_36</v>
      </c>
      <c r="P711" t="str">
        <f t="shared" si="35"/>
        <v>2023_SA_Pinery_Lentil_DetailedTOS1VarietyJumbo2WaterTrtRainFed</v>
      </c>
    </row>
    <row r="712" spans="1:16" x14ac:dyDescent="0.25">
      <c r="H712" t="s">
        <v>253</v>
      </c>
      <c r="I712">
        <v>3</v>
      </c>
      <c r="J712" s="6">
        <v>35</v>
      </c>
      <c r="M712" t="str">
        <f t="shared" si="33"/>
        <v>2023_SA_Pinery_Lentil_Detailed</v>
      </c>
      <c r="N712">
        <f>I712</f>
        <v>3</v>
      </c>
      <c r="O712" t="str">
        <f t="shared" si="34"/>
        <v>2023_SA_Pinery_Lentil_Detailed_35</v>
      </c>
      <c r="P712" t="str">
        <f t="shared" si="35"/>
        <v>2023_SA_Pinery_Lentil_DetailedTOS1VarietyJumbo2WaterTrtRainFed</v>
      </c>
    </row>
    <row r="713" spans="1:16" x14ac:dyDescent="0.25">
      <c r="G713">
        <v>3</v>
      </c>
      <c r="H713" t="s">
        <v>250</v>
      </c>
      <c r="I713">
        <v>2</v>
      </c>
      <c r="J713" s="6">
        <v>74</v>
      </c>
      <c r="M713" t="str">
        <f t="shared" si="33"/>
        <v>2023_SA_Pinery_Lentil_Detailed</v>
      </c>
      <c r="N713">
        <f>I713</f>
        <v>2</v>
      </c>
      <c r="O713" t="str">
        <f t="shared" si="34"/>
        <v>2023_SA_Pinery_Lentil_Detailed_74</v>
      </c>
      <c r="P713" t="str">
        <f t="shared" si="35"/>
        <v>2023_SA_Pinery_Lentil_DetailedTOS1VarietyJumbo2WaterTrtRainFed</v>
      </c>
    </row>
    <row r="714" spans="1:16" x14ac:dyDescent="0.25">
      <c r="H714" t="s">
        <v>253</v>
      </c>
      <c r="I714">
        <v>1</v>
      </c>
      <c r="J714" s="6">
        <v>73</v>
      </c>
      <c r="M714" t="str">
        <f t="shared" si="33"/>
        <v>2023_SA_Pinery_Lentil_Detailed</v>
      </c>
      <c r="N714">
        <f>I714</f>
        <v>1</v>
      </c>
      <c r="O714" t="str">
        <f t="shared" si="34"/>
        <v>2023_SA_Pinery_Lentil_Detailed_73</v>
      </c>
      <c r="P714" t="str">
        <f t="shared" si="35"/>
        <v>2023_SA_Pinery_Lentil_DetailedTOS1VarietyJumbo2WaterTrtRainFed</v>
      </c>
    </row>
    <row r="715" spans="1:16" x14ac:dyDescent="0.25">
      <c r="G715">
        <v>4</v>
      </c>
      <c r="H715" t="s">
        <v>250</v>
      </c>
      <c r="I715">
        <v>4</v>
      </c>
      <c r="J715" s="6">
        <v>116</v>
      </c>
      <c r="M715" t="str">
        <f t="shared" si="33"/>
        <v>2023_SA_Pinery_Lentil_Detailed</v>
      </c>
      <c r="N715">
        <f>I715</f>
        <v>4</v>
      </c>
      <c r="O715" t="str">
        <f t="shared" si="34"/>
        <v>2023_SA_Pinery_Lentil_Detailed_116</v>
      </c>
      <c r="P715" t="str">
        <f t="shared" si="35"/>
        <v>2023_SA_Pinery_Lentil_DetailedTOS1VarietyJumbo2WaterTrtRainFed</v>
      </c>
    </row>
    <row r="716" spans="1:16" x14ac:dyDescent="0.25">
      <c r="H716" t="s">
        <v>253</v>
      </c>
      <c r="I716">
        <v>3</v>
      </c>
      <c r="J716" s="6">
        <v>115</v>
      </c>
      <c r="M716" t="str">
        <f t="shared" si="33"/>
        <v>2023_SA_Pinery_Lentil_Detailed</v>
      </c>
      <c r="N716">
        <f>I716</f>
        <v>3</v>
      </c>
      <c r="O716" t="str">
        <f t="shared" si="34"/>
        <v>2023_SA_Pinery_Lentil_Detailed_115</v>
      </c>
      <c r="P716" t="str">
        <f t="shared" si="35"/>
        <v>2023_SA_Pinery_Lentil_DetailedTOS1VarietyJumbo2WaterTrtRainFed</v>
      </c>
    </row>
    <row r="717" spans="1:16" x14ac:dyDescent="0.25">
      <c r="A717" t="s">
        <v>4323</v>
      </c>
      <c r="B717" t="s">
        <v>2324</v>
      </c>
      <c r="C717">
        <v>1</v>
      </c>
      <c r="D717" t="s">
        <v>4188</v>
      </c>
      <c r="E717" t="s">
        <v>57</v>
      </c>
      <c r="F717" t="s">
        <v>4398</v>
      </c>
      <c r="G717">
        <v>1</v>
      </c>
      <c r="H717" t="s">
        <v>250</v>
      </c>
      <c r="I717">
        <v>4</v>
      </c>
      <c r="J717" s="6">
        <v>20</v>
      </c>
      <c r="M717" t="str">
        <f t="shared" si="33"/>
        <v>2023_SA_Pinery_Lentil_Detailed</v>
      </c>
      <c r="N717">
        <f>I717</f>
        <v>4</v>
      </c>
      <c r="O717" t="str">
        <f t="shared" si="34"/>
        <v>2023_SA_Pinery_Lentil_Detailed_20</v>
      </c>
      <c r="P717" t="str">
        <f t="shared" si="35"/>
        <v>2023_SA_Pinery_Lentil_DetailedTOS1VarietyKelpieXTWaterTrtIrrigated</v>
      </c>
    </row>
    <row r="718" spans="1:16" x14ac:dyDescent="0.25">
      <c r="H718" t="s">
        <v>253</v>
      </c>
      <c r="I718">
        <v>3</v>
      </c>
      <c r="J718" s="6">
        <v>19</v>
      </c>
      <c r="M718" t="str">
        <f t="shared" si="33"/>
        <v>2023_SA_Pinery_Lentil_Detailed</v>
      </c>
      <c r="N718">
        <f>I718</f>
        <v>3</v>
      </c>
      <c r="O718" t="str">
        <f t="shared" si="34"/>
        <v>2023_SA_Pinery_Lentil_Detailed_19</v>
      </c>
      <c r="P718" t="str">
        <f t="shared" si="35"/>
        <v>2023_SA_Pinery_Lentil_DetailedTOS1VarietyKelpieXTWaterTrtIrrigated</v>
      </c>
    </row>
    <row r="719" spans="1:16" x14ac:dyDescent="0.25">
      <c r="G719">
        <v>2</v>
      </c>
      <c r="H719" t="s">
        <v>250</v>
      </c>
      <c r="I719">
        <v>2</v>
      </c>
      <c r="J719" s="6">
        <v>42</v>
      </c>
      <c r="M719" t="str">
        <f t="shared" si="33"/>
        <v>2023_SA_Pinery_Lentil_Detailed</v>
      </c>
      <c r="N719">
        <f>I719</f>
        <v>2</v>
      </c>
      <c r="O719" t="str">
        <f t="shared" si="34"/>
        <v>2023_SA_Pinery_Lentil_Detailed_42</v>
      </c>
      <c r="P719" t="str">
        <f t="shared" si="35"/>
        <v>2023_SA_Pinery_Lentil_DetailedTOS1VarietyKelpieXTWaterTrtIrrigated</v>
      </c>
    </row>
    <row r="720" spans="1:16" x14ac:dyDescent="0.25">
      <c r="H720" t="s">
        <v>253</v>
      </c>
      <c r="I720">
        <v>1</v>
      </c>
      <c r="J720" s="6">
        <v>41</v>
      </c>
      <c r="M720" t="str">
        <f t="shared" si="33"/>
        <v>2023_SA_Pinery_Lentil_Detailed</v>
      </c>
      <c r="N720">
        <f>I720</f>
        <v>1</v>
      </c>
      <c r="O720" t="str">
        <f t="shared" si="34"/>
        <v>2023_SA_Pinery_Lentil_Detailed_41</v>
      </c>
      <c r="P720" t="str">
        <f t="shared" si="35"/>
        <v>2023_SA_Pinery_Lentil_DetailedTOS1VarietyKelpieXTWaterTrtIrrigated</v>
      </c>
    </row>
    <row r="721" spans="1:16" x14ac:dyDescent="0.25">
      <c r="G721">
        <v>3</v>
      </c>
      <c r="H721" t="s">
        <v>250</v>
      </c>
      <c r="I721">
        <v>4</v>
      </c>
      <c r="J721" s="6">
        <v>96</v>
      </c>
      <c r="M721" t="str">
        <f t="shared" si="33"/>
        <v>2023_SA_Pinery_Lentil_Detailed</v>
      </c>
      <c r="N721">
        <f>I721</f>
        <v>4</v>
      </c>
      <c r="O721" t="str">
        <f t="shared" si="34"/>
        <v>2023_SA_Pinery_Lentil_Detailed_96</v>
      </c>
      <c r="P721" t="str">
        <f t="shared" si="35"/>
        <v>2023_SA_Pinery_Lentil_DetailedTOS1VarietyKelpieXTWaterTrtIrrigated</v>
      </c>
    </row>
    <row r="722" spans="1:16" x14ac:dyDescent="0.25">
      <c r="H722" t="s">
        <v>253</v>
      </c>
      <c r="I722">
        <v>3</v>
      </c>
      <c r="J722" s="6">
        <v>95</v>
      </c>
      <c r="M722" t="str">
        <f t="shared" si="33"/>
        <v>2023_SA_Pinery_Lentil_Detailed</v>
      </c>
      <c r="N722">
        <f>I722</f>
        <v>3</v>
      </c>
      <c r="O722" t="str">
        <f t="shared" si="34"/>
        <v>2023_SA_Pinery_Lentil_Detailed_95</v>
      </c>
      <c r="P722" t="str">
        <f t="shared" si="35"/>
        <v>2023_SA_Pinery_Lentil_DetailedTOS1VarietyKelpieXTWaterTrtIrrigated</v>
      </c>
    </row>
    <row r="723" spans="1:16" x14ac:dyDescent="0.25">
      <c r="G723">
        <v>4</v>
      </c>
      <c r="H723" t="s">
        <v>250</v>
      </c>
      <c r="I723">
        <v>4</v>
      </c>
      <c r="J723" s="6">
        <v>100</v>
      </c>
      <c r="M723" t="str">
        <f t="shared" si="33"/>
        <v>2023_SA_Pinery_Lentil_Detailed</v>
      </c>
      <c r="N723">
        <f>I723</f>
        <v>4</v>
      </c>
      <c r="O723" t="str">
        <f t="shared" si="34"/>
        <v>2023_SA_Pinery_Lentil_Detailed_100</v>
      </c>
      <c r="P723" t="str">
        <f t="shared" si="35"/>
        <v>2023_SA_Pinery_Lentil_DetailedTOS1VarietyKelpieXTWaterTrtIrrigated</v>
      </c>
    </row>
    <row r="724" spans="1:16" x14ac:dyDescent="0.25">
      <c r="H724" t="s">
        <v>253</v>
      </c>
      <c r="I724">
        <v>3</v>
      </c>
      <c r="J724" s="6">
        <v>99</v>
      </c>
      <c r="M724" t="str">
        <f t="shared" si="33"/>
        <v>2023_SA_Pinery_Lentil_Detailed</v>
      </c>
      <c r="N724">
        <f>I724</f>
        <v>3</v>
      </c>
      <c r="O724" t="str">
        <f t="shared" si="34"/>
        <v>2023_SA_Pinery_Lentil_Detailed_99</v>
      </c>
      <c r="P724" t="str">
        <f t="shared" si="35"/>
        <v>2023_SA_Pinery_Lentil_DetailedTOS1VarietyKelpieXTWaterTrtIrrigated</v>
      </c>
    </row>
    <row r="725" spans="1:16" x14ac:dyDescent="0.25">
      <c r="A725" t="s">
        <v>4324</v>
      </c>
      <c r="B725" t="s">
        <v>2324</v>
      </c>
      <c r="C725">
        <v>1</v>
      </c>
      <c r="D725" t="s">
        <v>4188</v>
      </c>
      <c r="E725" t="s">
        <v>40</v>
      </c>
      <c r="F725" t="s">
        <v>4398</v>
      </c>
      <c r="G725">
        <v>1</v>
      </c>
      <c r="H725" t="s">
        <v>250</v>
      </c>
      <c r="I725">
        <v>2</v>
      </c>
      <c r="J725" s="6">
        <v>30</v>
      </c>
      <c r="M725" t="str">
        <f t="shared" si="33"/>
        <v>2023_SA_Pinery_Lentil_Detailed</v>
      </c>
      <c r="N725">
        <f>I725</f>
        <v>2</v>
      </c>
      <c r="O725" t="str">
        <f t="shared" si="34"/>
        <v>2023_SA_Pinery_Lentil_Detailed_30</v>
      </c>
      <c r="P725" t="str">
        <f t="shared" si="35"/>
        <v>2023_SA_Pinery_Lentil_DetailedTOS1VarietyKelpieXTWaterTrtRainFed</v>
      </c>
    </row>
    <row r="726" spans="1:16" x14ac:dyDescent="0.25">
      <c r="H726" t="s">
        <v>253</v>
      </c>
      <c r="I726">
        <v>1</v>
      </c>
      <c r="J726" s="6">
        <v>29</v>
      </c>
      <c r="M726" t="str">
        <f t="shared" si="33"/>
        <v>2023_SA_Pinery_Lentil_Detailed</v>
      </c>
      <c r="N726">
        <f>I726</f>
        <v>1</v>
      </c>
      <c r="O726" t="str">
        <f t="shared" si="34"/>
        <v>2023_SA_Pinery_Lentil_Detailed_29</v>
      </c>
      <c r="P726" t="str">
        <f t="shared" si="35"/>
        <v>2023_SA_Pinery_Lentil_DetailedTOS1VarietyKelpieXTWaterTrtRainFed</v>
      </c>
    </row>
    <row r="727" spans="1:16" x14ac:dyDescent="0.25">
      <c r="G727">
        <v>2</v>
      </c>
      <c r="H727" t="s">
        <v>250</v>
      </c>
      <c r="I727">
        <v>4</v>
      </c>
      <c r="J727" s="6">
        <v>40</v>
      </c>
      <c r="M727" t="str">
        <f t="shared" si="33"/>
        <v>2023_SA_Pinery_Lentil_Detailed</v>
      </c>
      <c r="N727">
        <f>I727</f>
        <v>4</v>
      </c>
      <c r="O727" t="str">
        <f t="shared" si="34"/>
        <v>2023_SA_Pinery_Lentil_Detailed_40</v>
      </c>
      <c r="P727" t="str">
        <f t="shared" si="35"/>
        <v>2023_SA_Pinery_Lentil_DetailedTOS1VarietyKelpieXTWaterTrtRainFed</v>
      </c>
    </row>
    <row r="728" spans="1:16" x14ac:dyDescent="0.25">
      <c r="H728" t="s">
        <v>253</v>
      </c>
      <c r="I728">
        <v>3</v>
      </c>
      <c r="J728" s="6">
        <v>39</v>
      </c>
      <c r="M728" t="str">
        <f t="shared" si="33"/>
        <v>2023_SA_Pinery_Lentil_Detailed</v>
      </c>
      <c r="N728">
        <f>I728</f>
        <v>3</v>
      </c>
      <c r="O728" t="str">
        <f t="shared" si="34"/>
        <v>2023_SA_Pinery_Lentil_Detailed_39</v>
      </c>
      <c r="P728" t="str">
        <f t="shared" si="35"/>
        <v>2023_SA_Pinery_Lentil_DetailedTOS1VarietyKelpieXTWaterTrtRainFed</v>
      </c>
    </row>
    <row r="729" spans="1:16" x14ac:dyDescent="0.25">
      <c r="G729">
        <v>3</v>
      </c>
      <c r="H729" t="s">
        <v>250</v>
      </c>
      <c r="I729">
        <v>2</v>
      </c>
      <c r="J729" s="6">
        <v>78</v>
      </c>
      <c r="M729" t="str">
        <f t="shared" si="33"/>
        <v>2023_SA_Pinery_Lentil_Detailed</v>
      </c>
      <c r="N729">
        <f>I729</f>
        <v>2</v>
      </c>
      <c r="O729" t="str">
        <f t="shared" si="34"/>
        <v>2023_SA_Pinery_Lentil_Detailed_78</v>
      </c>
      <c r="P729" t="str">
        <f t="shared" si="35"/>
        <v>2023_SA_Pinery_Lentil_DetailedTOS1VarietyKelpieXTWaterTrtRainFed</v>
      </c>
    </row>
    <row r="730" spans="1:16" x14ac:dyDescent="0.25">
      <c r="H730" t="s">
        <v>253</v>
      </c>
      <c r="I730">
        <v>1</v>
      </c>
      <c r="J730" s="6">
        <v>77</v>
      </c>
      <c r="M730" t="str">
        <f t="shared" si="33"/>
        <v>2023_SA_Pinery_Lentil_Detailed</v>
      </c>
      <c r="N730">
        <f>I730</f>
        <v>1</v>
      </c>
      <c r="O730" t="str">
        <f t="shared" si="34"/>
        <v>2023_SA_Pinery_Lentil_Detailed_77</v>
      </c>
      <c r="P730" t="str">
        <f t="shared" si="35"/>
        <v>2023_SA_Pinery_Lentil_DetailedTOS1VarietyKelpieXTWaterTrtRainFed</v>
      </c>
    </row>
    <row r="731" spans="1:16" x14ac:dyDescent="0.25">
      <c r="G731">
        <v>4</v>
      </c>
      <c r="H731" t="s">
        <v>250</v>
      </c>
      <c r="I731">
        <v>2</v>
      </c>
      <c r="J731" s="6">
        <v>118</v>
      </c>
      <c r="M731" t="str">
        <f t="shared" si="33"/>
        <v>2023_SA_Pinery_Lentil_Detailed</v>
      </c>
      <c r="N731">
        <f>I731</f>
        <v>2</v>
      </c>
      <c r="O731" t="str">
        <f t="shared" si="34"/>
        <v>2023_SA_Pinery_Lentil_Detailed_118</v>
      </c>
      <c r="P731" t="str">
        <f t="shared" si="35"/>
        <v>2023_SA_Pinery_Lentil_DetailedTOS1VarietyKelpieXTWaterTrtRainFed</v>
      </c>
    </row>
    <row r="732" spans="1:16" x14ac:dyDescent="0.25">
      <c r="H732" t="s">
        <v>253</v>
      </c>
      <c r="I732">
        <v>1</v>
      </c>
      <c r="J732" s="6">
        <v>117</v>
      </c>
      <c r="M732" t="str">
        <f t="shared" si="33"/>
        <v>2023_SA_Pinery_Lentil_Detailed</v>
      </c>
      <c r="N732">
        <f>I732</f>
        <v>1</v>
      </c>
      <c r="O732" t="str">
        <f t="shared" si="34"/>
        <v>2023_SA_Pinery_Lentil_Detailed_117</v>
      </c>
      <c r="P732" t="str">
        <f t="shared" si="35"/>
        <v>2023_SA_Pinery_Lentil_DetailedTOS1VarietyKelpieXTWaterTrtRainFed</v>
      </c>
    </row>
    <row r="733" spans="1:16" x14ac:dyDescent="0.25">
      <c r="A733" t="s">
        <v>4325</v>
      </c>
      <c r="B733" t="s">
        <v>2324</v>
      </c>
      <c r="C733">
        <v>2</v>
      </c>
      <c r="D733" t="s">
        <v>4187</v>
      </c>
      <c r="E733" t="s">
        <v>57</v>
      </c>
      <c r="F733" t="s">
        <v>4398</v>
      </c>
      <c r="G733">
        <v>1</v>
      </c>
      <c r="H733" t="s">
        <v>250</v>
      </c>
      <c r="I733">
        <v>2</v>
      </c>
      <c r="J733" s="6">
        <v>6</v>
      </c>
      <c r="M733" t="str">
        <f t="shared" si="33"/>
        <v>2023_SA_Pinery_Lentil_Detailed</v>
      </c>
      <c r="N733">
        <f>I733</f>
        <v>2</v>
      </c>
      <c r="O733" t="str">
        <f t="shared" si="34"/>
        <v>2023_SA_Pinery_Lentil_Detailed_6</v>
      </c>
      <c r="P733" t="str">
        <f t="shared" si="35"/>
        <v>2023_SA_Pinery_Lentil_DetailedTOS2VarietyBoltWaterTrtIrrigated</v>
      </c>
    </row>
    <row r="734" spans="1:16" x14ac:dyDescent="0.25">
      <c r="H734" t="s">
        <v>253</v>
      </c>
      <c r="I734">
        <v>1</v>
      </c>
      <c r="J734" s="6">
        <v>5</v>
      </c>
      <c r="M734" t="str">
        <f t="shared" si="33"/>
        <v>2023_SA_Pinery_Lentil_Detailed</v>
      </c>
      <c r="N734">
        <f>I734</f>
        <v>1</v>
      </c>
      <c r="O734" t="str">
        <f t="shared" si="34"/>
        <v>2023_SA_Pinery_Lentil_Detailed_5</v>
      </c>
      <c r="P734" t="str">
        <f t="shared" si="35"/>
        <v>2023_SA_Pinery_Lentil_DetailedTOS2VarietyBoltWaterTrtIrrigated</v>
      </c>
    </row>
    <row r="735" spans="1:16" x14ac:dyDescent="0.25">
      <c r="G735">
        <v>2</v>
      </c>
      <c r="H735" t="s">
        <v>250</v>
      </c>
      <c r="I735">
        <v>2</v>
      </c>
      <c r="J735" s="6">
        <v>58</v>
      </c>
      <c r="M735" t="str">
        <f t="shared" si="33"/>
        <v>2023_SA_Pinery_Lentil_Detailed</v>
      </c>
      <c r="N735">
        <f>I735</f>
        <v>2</v>
      </c>
      <c r="O735" t="str">
        <f t="shared" si="34"/>
        <v>2023_SA_Pinery_Lentil_Detailed_58</v>
      </c>
      <c r="P735" t="str">
        <f t="shared" si="35"/>
        <v>2023_SA_Pinery_Lentil_DetailedTOS2VarietyBoltWaterTrtIrrigated</v>
      </c>
    </row>
    <row r="736" spans="1:16" x14ac:dyDescent="0.25">
      <c r="H736" t="s">
        <v>253</v>
      </c>
      <c r="I736">
        <v>1</v>
      </c>
      <c r="J736" s="6">
        <v>57</v>
      </c>
      <c r="M736" t="str">
        <f t="shared" si="33"/>
        <v>2023_SA_Pinery_Lentil_Detailed</v>
      </c>
      <c r="N736">
        <f>I736</f>
        <v>1</v>
      </c>
      <c r="O736" t="str">
        <f t="shared" si="34"/>
        <v>2023_SA_Pinery_Lentil_Detailed_57</v>
      </c>
      <c r="P736" t="str">
        <f t="shared" si="35"/>
        <v>2023_SA_Pinery_Lentil_DetailedTOS2VarietyBoltWaterTrtIrrigated</v>
      </c>
    </row>
    <row r="737" spans="1:16" x14ac:dyDescent="0.25">
      <c r="G737">
        <v>3</v>
      </c>
      <c r="H737" t="s">
        <v>250</v>
      </c>
      <c r="I737">
        <v>4</v>
      </c>
      <c r="J737" s="6">
        <v>88</v>
      </c>
      <c r="M737" t="str">
        <f t="shared" si="33"/>
        <v>2023_SA_Pinery_Lentil_Detailed</v>
      </c>
      <c r="N737">
        <f>I737</f>
        <v>4</v>
      </c>
      <c r="O737" t="str">
        <f t="shared" si="34"/>
        <v>2023_SA_Pinery_Lentil_Detailed_88</v>
      </c>
      <c r="P737" t="str">
        <f t="shared" si="35"/>
        <v>2023_SA_Pinery_Lentil_DetailedTOS2VarietyBoltWaterTrtIrrigated</v>
      </c>
    </row>
    <row r="738" spans="1:16" x14ac:dyDescent="0.25">
      <c r="H738" t="s">
        <v>253</v>
      </c>
      <c r="I738">
        <v>3</v>
      </c>
      <c r="J738" s="6">
        <v>87</v>
      </c>
      <c r="M738" t="str">
        <f t="shared" si="33"/>
        <v>2023_SA_Pinery_Lentil_Detailed</v>
      </c>
      <c r="N738">
        <f>I738</f>
        <v>3</v>
      </c>
      <c r="O738" t="str">
        <f t="shared" si="34"/>
        <v>2023_SA_Pinery_Lentil_Detailed_87</v>
      </c>
      <c r="P738" t="str">
        <f t="shared" si="35"/>
        <v>2023_SA_Pinery_Lentil_DetailedTOS2VarietyBoltWaterTrtIrrigated</v>
      </c>
    </row>
    <row r="739" spans="1:16" x14ac:dyDescent="0.25">
      <c r="G739">
        <v>4</v>
      </c>
      <c r="H739" t="s">
        <v>250</v>
      </c>
      <c r="I739">
        <v>4</v>
      </c>
      <c r="J739" s="6">
        <v>112</v>
      </c>
      <c r="M739" t="str">
        <f t="shared" si="33"/>
        <v>2023_SA_Pinery_Lentil_Detailed</v>
      </c>
      <c r="N739">
        <f>I739</f>
        <v>4</v>
      </c>
      <c r="O739" t="str">
        <f t="shared" si="34"/>
        <v>2023_SA_Pinery_Lentil_Detailed_112</v>
      </c>
      <c r="P739" t="str">
        <f t="shared" si="35"/>
        <v>2023_SA_Pinery_Lentil_DetailedTOS2VarietyBoltWaterTrtIrrigated</v>
      </c>
    </row>
    <row r="740" spans="1:16" x14ac:dyDescent="0.25">
      <c r="H740" t="s">
        <v>253</v>
      </c>
      <c r="I740">
        <v>3</v>
      </c>
      <c r="J740" s="6">
        <v>111</v>
      </c>
      <c r="M740" t="str">
        <f t="shared" si="33"/>
        <v>2023_SA_Pinery_Lentil_Detailed</v>
      </c>
      <c r="N740">
        <f>I740</f>
        <v>3</v>
      </c>
      <c r="O740" t="str">
        <f t="shared" si="34"/>
        <v>2023_SA_Pinery_Lentil_Detailed_111</v>
      </c>
      <c r="P740" t="str">
        <f t="shared" si="35"/>
        <v>2023_SA_Pinery_Lentil_DetailedTOS2VarietyBoltWaterTrtIrrigated</v>
      </c>
    </row>
    <row r="741" spans="1:16" x14ac:dyDescent="0.25">
      <c r="A741" t="s">
        <v>4326</v>
      </c>
      <c r="B741" t="s">
        <v>2324</v>
      </c>
      <c r="C741">
        <v>2</v>
      </c>
      <c r="D741" t="s">
        <v>4187</v>
      </c>
      <c r="E741" t="s">
        <v>40</v>
      </c>
      <c r="F741" t="s">
        <v>4398</v>
      </c>
      <c r="G741">
        <v>1</v>
      </c>
      <c r="H741" t="s">
        <v>250</v>
      </c>
      <c r="I741">
        <v>4</v>
      </c>
      <c r="J741" s="6">
        <v>12</v>
      </c>
      <c r="M741" t="str">
        <f t="shared" si="33"/>
        <v>2023_SA_Pinery_Lentil_Detailed</v>
      </c>
      <c r="N741">
        <f>I741</f>
        <v>4</v>
      </c>
      <c r="O741" t="str">
        <f t="shared" si="34"/>
        <v>2023_SA_Pinery_Lentil_Detailed_12</v>
      </c>
      <c r="P741" t="str">
        <f t="shared" si="35"/>
        <v>2023_SA_Pinery_Lentil_DetailedTOS2VarietyBoltWaterTrtRainFed</v>
      </c>
    </row>
    <row r="742" spans="1:16" x14ac:dyDescent="0.25">
      <c r="H742" t="s">
        <v>253</v>
      </c>
      <c r="I742">
        <v>3</v>
      </c>
      <c r="J742" s="6">
        <v>11</v>
      </c>
      <c r="M742" t="str">
        <f t="shared" si="33"/>
        <v>2023_SA_Pinery_Lentil_Detailed</v>
      </c>
      <c r="N742">
        <f>I742</f>
        <v>3</v>
      </c>
      <c r="O742" t="str">
        <f t="shared" si="34"/>
        <v>2023_SA_Pinery_Lentil_Detailed_11</v>
      </c>
      <c r="P742" t="str">
        <f t="shared" si="35"/>
        <v>2023_SA_Pinery_Lentil_DetailedTOS2VarietyBoltWaterTrtRainFed</v>
      </c>
    </row>
    <row r="743" spans="1:16" x14ac:dyDescent="0.25">
      <c r="G743">
        <v>2</v>
      </c>
      <c r="H743" t="s">
        <v>250</v>
      </c>
      <c r="I743">
        <v>4</v>
      </c>
      <c r="J743" s="6">
        <v>56</v>
      </c>
      <c r="M743" t="str">
        <f t="shared" si="33"/>
        <v>2023_SA_Pinery_Lentil_Detailed</v>
      </c>
      <c r="N743">
        <f>I743</f>
        <v>4</v>
      </c>
      <c r="O743" t="str">
        <f t="shared" si="34"/>
        <v>2023_SA_Pinery_Lentil_Detailed_56</v>
      </c>
      <c r="P743" t="str">
        <f t="shared" si="35"/>
        <v>2023_SA_Pinery_Lentil_DetailedTOS2VarietyBoltWaterTrtRainFed</v>
      </c>
    </row>
    <row r="744" spans="1:16" x14ac:dyDescent="0.25">
      <c r="H744" t="s">
        <v>253</v>
      </c>
      <c r="I744">
        <v>3</v>
      </c>
      <c r="J744" s="6">
        <v>55</v>
      </c>
      <c r="M744" t="str">
        <f t="shared" si="33"/>
        <v>2023_SA_Pinery_Lentil_Detailed</v>
      </c>
      <c r="N744">
        <f>I744</f>
        <v>3</v>
      </c>
      <c r="O744" t="str">
        <f t="shared" si="34"/>
        <v>2023_SA_Pinery_Lentil_Detailed_55</v>
      </c>
      <c r="P744" t="str">
        <f t="shared" si="35"/>
        <v>2023_SA_Pinery_Lentil_DetailedTOS2VarietyBoltWaterTrtRainFed</v>
      </c>
    </row>
    <row r="745" spans="1:16" x14ac:dyDescent="0.25">
      <c r="G745">
        <v>3</v>
      </c>
      <c r="H745" t="s">
        <v>250</v>
      </c>
      <c r="I745">
        <v>2</v>
      </c>
      <c r="J745" s="6">
        <v>70</v>
      </c>
      <c r="M745" t="str">
        <f t="shared" si="33"/>
        <v>2023_SA_Pinery_Lentil_Detailed</v>
      </c>
      <c r="N745">
        <f>I745</f>
        <v>2</v>
      </c>
      <c r="O745" t="str">
        <f t="shared" si="34"/>
        <v>2023_SA_Pinery_Lentil_Detailed_70</v>
      </c>
      <c r="P745" t="str">
        <f t="shared" si="35"/>
        <v>2023_SA_Pinery_Lentil_DetailedTOS2VarietyBoltWaterTrtRainFed</v>
      </c>
    </row>
    <row r="746" spans="1:16" x14ac:dyDescent="0.25">
      <c r="H746" t="s">
        <v>253</v>
      </c>
      <c r="I746">
        <v>1</v>
      </c>
      <c r="J746" s="6">
        <v>69</v>
      </c>
      <c r="M746" t="str">
        <f t="shared" si="33"/>
        <v>2023_SA_Pinery_Lentil_Detailed</v>
      </c>
      <c r="N746">
        <f>I746</f>
        <v>1</v>
      </c>
      <c r="O746" t="str">
        <f t="shared" si="34"/>
        <v>2023_SA_Pinery_Lentil_Detailed_69</v>
      </c>
      <c r="P746" t="str">
        <f t="shared" si="35"/>
        <v>2023_SA_Pinery_Lentil_DetailedTOS2VarietyBoltWaterTrtRainFed</v>
      </c>
    </row>
    <row r="747" spans="1:16" x14ac:dyDescent="0.25">
      <c r="G747">
        <v>4</v>
      </c>
      <c r="H747" t="s">
        <v>250</v>
      </c>
      <c r="I747">
        <v>4</v>
      </c>
      <c r="J747" s="6">
        <v>124</v>
      </c>
      <c r="M747" t="str">
        <f t="shared" si="33"/>
        <v>2023_SA_Pinery_Lentil_Detailed</v>
      </c>
      <c r="N747">
        <f>I747</f>
        <v>4</v>
      </c>
      <c r="O747" t="str">
        <f t="shared" si="34"/>
        <v>2023_SA_Pinery_Lentil_Detailed_124</v>
      </c>
      <c r="P747" t="str">
        <f t="shared" si="35"/>
        <v>2023_SA_Pinery_Lentil_DetailedTOS2VarietyBoltWaterTrtRainFed</v>
      </c>
    </row>
    <row r="748" spans="1:16" x14ac:dyDescent="0.25">
      <c r="H748" t="s">
        <v>253</v>
      </c>
      <c r="I748">
        <v>3</v>
      </c>
      <c r="J748" s="6">
        <v>123</v>
      </c>
      <c r="M748" t="str">
        <f t="shared" si="33"/>
        <v>2023_SA_Pinery_Lentil_Detailed</v>
      </c>
      <c r="N748">
        <f>I748</f>
        <v>3</v>
      </c>
      <c r="O748" t="str">
        <f t="shared" si="34"/>
        <v>2023_SA_Pinery_Lentil_Detailed_123</v>
      </c>
      <c r="P748" t="str">
        <f t="shared" si="35"/>
        <v>2023_SA_Pinery_Lentil_DetailedTOS2VarietyBoltWaterTrtRainFed</v>
      </c>
    </row>
    <row r="749" spans="1:16" x14ac:dyDescent="0.25">
      <c r="A749" t="s">
        <v>4327</v>
      </c>
      <c r="B749" t="s">
        <v>2324</v>
      </c>
      <c r="C749">
        <v>2</v>
      </c>
      <c r="D749" t="s">
        <v>4189</v>
      </c>
      <c r="E749" t="s">
        <v>57</v>
      </c>
      <c r="F749" t="s">
        <v>4398</v>
      </c>
      <c r="G749">
        <v>1</v>
      </c>
      <c r="H749" t="s">
        <v>250</v>
      </c>
      <c r="I749">
        <v>4</v>
      </c>
      <c r="J749" s="6">
        <v>8</v>
      </c>
      <c r="M749" t="str">
        <f t="shared" si="33"/>
        <v>2023_SA_Pinery_Lentil_Detailed</v>
      </c>
      <c r="N749">
        <f>I749</f>
        <v>4</v>
      </c>
      <c r="O749" t="str">
        <f t="shared" si="34"/>
        <v>2023_SA_Pinery_Lentil_Detailed_8</v>
      </c>
      <c r="P749" t="str">
        <f t="shared" si="35"/>
        <v>2023_SA_Pinery_Lentil_DetailedTOS2VarietyHallmarkXTWaterTrtIrrigated</v>
      </c>
    </row>
    <row r="750" spans="1:16" x14ac:dyDescent="0.25">
      <c r="H750" t="s">
        <v>253</v>
      </c>
      <c r="I750">
        <v>3</v>
      </c>
      <c r="J750" s="6">
        <v>7</v>
      </c>
      <c r="M750" t="str">
        <f t="shared" si="33"/>
        <v>2023_SA_Pinery_Lentil_Detailed</v>
      </c>
      <c r="N750">
        <f>I750</f>
        <v>3</v>
      </c>
      <c r="O750" t="str">
        <f t="shared" si="34"/>
        <v>2023_SA_Pinery_Lentil_Detailed_7</v>
      </c>
      <c r="P750" t="str">
        <f t="shared" si="35"/>
        <v>2023_SA_Pinery_Lentil_DetailedTOS2VarietyHallmarkXTWaterTrtIrrigated</v>
      </c>
    </row>
    <row r="751" spans="1:16" x14ac:dyDescent="0.25">
      <c r="G751">
        <v>2</v>
      </c>
      <c r="H751" t="s">
        <v>250</v>
      </c>
      <c r="I751">
        <v>4</v>
      </c>
      <c r="J751" s="6">
        <v>64</v>
      </c>
      <c r="M751" t="str">
        <f t="shared" si="33"/>
        <v>2023_SA_Pinery_Lentil_Detailed</v>
      </c>
      <c r="N751">
        <f>I751</f>
        <v>4</v>
      </c>
      <c r="O751" t="str">
        <f t="shared" si="34"/>
        <v>2023_SA_Pinery_Lentil_Detailed_64</v>
      </c>
      <c r="P751" t="str">
        <f t="shared" si="35"/>
        <v>2023_SA_Pinery_Lentil_DetailedTOS2VarietyHallmarkXTWaterTrtIrrigated</v>
      </c>
    </row>
    <row r="752" spans="1:16" x14ac:dyDescent="0.25">
      <c r="H752" t="s">
        <v>253</v>
      </c>
      <c r="I752">
        <v>3</v>
      </c>
      <c r="J752" s="6">
        <v>63</v>
      </c>
      <c r="M752" t="str">
        <f t="shared" si="33"/>
        <v>2023_SA_Pinery_Lentil_Detailed</v>
      </c>
      <c r="N752">
        <f>I752</f>
        <v>3</v>
      </c>
      <c r="O752" t="str">
        <f t="shared" si="34"/>
        <v>2023_SA_Pinery_Lentil_Detailed_63</v>
      </c>
      <c r="P752" t="str">
        <f t="shared" si="35"/>
        <v>2023_SA_Pinery_Lentil_DetailedTOS2VarietyHallmarkXTWaterTrtIrrigated</v>
      </c>
    </row>
    <row r="753" spans="1:16" x14ac:dyDescent="0.25">
      <c r="G753">
        <v>3</v>
      </c>
      <c r="H753" t="s">
        <v>250</v>
      </c>
      <c r="I753">
        <v>2</v>
      </c>
      <c r="J753" s="6">
        <v>86</v>
      </c>
      <c r="M753" t="str">
        <f t="shared" si="33"/>
        <v>2023_SA_Pinery_Lentil_Detailed</v>
      </c>
      <c r="N753">
        <f>I753</f>
        <v>2</v>
      </c>
      <c r="O753" t="str">
        <f t="shared" si="34"/>
        <v>2023_SA_Pinery_Lentil_Detailed_86</v>
      </c>
      <c r="P753" t="str">
        <f t="shared" si="35"/>
        <v>2023_SA_Pinery_Lentil_DetailedTOS2VarietyHallmarkXTWaterTrtIrrigated</v>
      </c>
    </row>
    <row r="754" spans="1:16" x14ac:dyDescent="0.25">
      <c r="H754" t="s">
        <v>253</v>
      </c>
      <c r="I754">
        <v>1</v>
      </c>
      <c r="J754" s="6">
        <v>85</v>
      </c>
      <c r="M754" t="str">
        <f t="shared" si="33"/>
        <v>2023_SA_Pinery_Lentil_Detailed</v>
      </c>
      <c r="N754">
        <f>I754</f>
        <v>1</v>
      </c>
      <c r="O754" t="str">
        <f t="shared" si="34"/>
        <v>2023_SA_Pinery_Lentil_Detailed_85</v>
      </c>
      <c r="P754" t="str">
        <f t="shared" si="35"/>
        <v>2023_SA_Pinery_Lentil_DetailedTOS2VarietyHallmarkXTWaterTrtIrrigated</v>
      </c>
    </row>
    <row r="755" spans="1:16" x14ac:dyDescent="0.25">
      <c r="G755">
        <v>4</v>
      </c>
      <c r="H755" t="s">
        <v>250</v>
      </c>
      <c r="I755">
        <v>4</v>
      </c>
      <c r="J755" s="6">
        <v>108</v>
      </c>
      <c r="M755" t="str">
        <f t="shared" si="33"/>
        <v>2023_SA_Pinery_Lentil_Detailed</v>
      </c>
      <c r="N755">
        <f>I755</f>
        <v>4</v>
      </c>
      <c r="O755" t="str">
        <f t="shared" si="34"/>
        <v>2023_SA_Pinery_Lentil_Detailed_108</v>
      </c>
      <c r="P755" t="str">
        <f t="shared" si="35"/>
        <v>2023_SA_Pinery_Lentil_DetailedTOS2VarietyHallmarkXTWaterTrtIrrigated</v>
      </c>
    </row>
    <row r="756" spans="1:16" x14ac:dyDescent="0.25">
      <c r="H756" t="s">
        <v>253</v>
      </c>
      <c r="I756">
        <v>3</v>
      </c>
      <c r="J756" s="6">
        <v>107</v>
      </c>
      <c r="M756" t="str">
        <f t="shared" si="33"/>
        <v>2023_SA_Pinery_Lentil_Detailed</v>
      </c>
      <c r="N756">
        <f>I756</f>
        <v>3</v>
      </c>
      <c r="O756" t="str">
        <f t="shared" si="34"/>
        <v>2023_SA_Pinery_Lentil_Detailed_107</v>
      </c>
      <c r="P756" t="str">
        <f t="shared" si="35"/>
        <v>2023_SA_Pinery_Lentil_DetailedTOS2VarietyHallmarkXTWaterTrtIrrigated</v>
      </c>
    </row>
    <row r="757" spans="1:16" x14ac:dyDescent="0.25">
      <c r="A757" t="s">
        <v>4328</v>
      </c>
      <c r="B757" t="s">
        <v>2324</v>
      </c>
      <c r="C757">
        <v>2</v>
      </c>
      <c r="D757" t="s">
        <v>4189</v>
      </c>
      <c r="E757" t="s">
        <v>40</v>
      </c>
      <c r="F757" t="s">
        <v>4398</v>
      </c>
      <c r="G757">
        <v>1</v>
      </c>
      <c r="H757" t="s">
        <v>250</v>
      </c>
      <c r="I757">
        <v>2</v>
      </c>
      <c r="J757" s="6">
        <v>10</v>
      </c>
      <c r="M757" t="str">
        <f t="shared" si="33"/>
        <v>2023_SA_Pinery_Lentil_Detailed</v>
      </c>
      <c r="N757">
        <f>I757</f>
        <v>2</v>
      </c>
      <c r="O757" t="str">
        <f t="shared" si="34"/>
        <v>2023_SA_Pinery_Lentil_Detailed_10</v>
      </c>
      <c r="P757" t="str">
        <f t="shared" si="35"/>
        <v>2023_SA_Pinery_Lentil_DetailedTOS2VarietyHallmarkXTWaterTrtRainFed</v>
      </c>
    </row>
    <row r="758" spans="1:16" x14ac:dyDescent="0.25">
      <c r="H758" t="s">
        <v>253</v>
      </c>
      <c r="I758">
        <v>1</v>
      </c>
      <c r="J758" s="6">
        <v>9</v>
      </c>
      <c r="M758" t="str">
        <f t="shared" si="33"/>
        <v>2023_SA_Pinery_Lentil_Detailed</v>
      </c>
      <c r="N758">
        <f>I758</f>
        <v>1</v>
      </c>
      <c r="O758" t="str">
        <f t="shared" si="34"/>
        <v>2023_SA_Pinery_Lentil_Detailed_9</v>
      </c>
      <c r="P758" t="str">
        <f t="shared" si="35"/>
        <v>2023_SA_Pinery_Lentil_DetailedTOS2VarietyHallmarkXTWaterTrtRainFed</v>
      </c>
    </row>
    <row r="759" spans="1:16" x14ac:dyDescent="0.25">
      <c r="G759">
        <v>2</v>
      </c>
      <c r="H759" t="s">
        <v>250</v>
      </c>
      <c r="I759">
        <v>4</v>
      </c>
      <c r="J759" s="6">
        <v>52</v>
      </c>
      <c r="M759" t="str">
        <f t="shared" si="33"/>
        <v>2023_SA_Pinery_Lentil_Detailed</v>
      </c>
      <c r="N759">
        <f>I759</f>
        <v>4</v>
      </c>
      <c r="O759" t="str">
        <f t="shared" si="34"/>
        <v>2023_SA_Pinery_Lentil_Detailed_52</v>
      </c>
      <c r="P759" t="str">
        <f t="shared" si="35"/>
        <v>2023_SA_Pinery_Lentil_DetailedTOS2VarietyHallmarkXTWaterTrtRainFed</v>
      </c>
    </row>
    <row r="760" spans="1:16" x14ac:dyDescent="0.25">
      <c r="H760" t="s">
        <v>253</v>
      </c>
      <c r="I760">
        <v>3</v>
      </c>
      <c r="J760" s="6">
        <v>51</v>
      </c>
      <c r="M760" t="str">
        <f t="shared" si="33"/>
        <v>2023_SA_Pinery_Lentil_Detailed</v>
      </c>
      <c r="N760">
        <f>I760</f>
        <v>3</v>
      </c>
      <c r="O760" t="str">
        <f t="shared" si="34"/>
        <v>2023_SA_Pinery_Lentil_Detailed_51</v>
      </c>
      <c r="P760" t="str">
        <f t="shared" si="35"/>
        <v>2023_SA_Pinery_Lentil_DetailedTOS2VarietyHallmarkXTWaterTrtRainFed</v>
      </c>
    </row>
    <row r="761" spans="1:16" x14ac:dyDescent="0.25">
      <c r="G761">
        <v>3</v>
      </c>
      <c r="H761" t="s">
        <v>250</v>
      </c>
      <c r="I761">
        <v>2</v>
      </c>
      <c r="J761" s="6">
        <v>66</v>
      </c>
      <c r="M761" t="str">
        <f t="shared" si="33"/>
        <v>2023_SA_Pinery_Lentil_Detailed</v>
      </c>
      <c r="N761">
        <f>I761</f>
        <v>2</v>
      </c>
      <c r="O761" t="str">
        <f t="shared" si="34"/>
        <v>2023_SA_Pinery_Lentil_Detailed_66</v>
      </c>
      <c r="P761" t="str">
        <f t="shared" si="35"/>
        <v>2023_SA_Pinery_Lentil_DetailedTOS2VarietyHallmarkXTWaterTrtRainFed</v>
      </c>
    </row>
    <row r="762" spans="1:16" x14ac:dyDescent="0.25">
      <c r="H762" t="s">
        <v>253</v>
      </c>
      <c r="I762">
        <v>1</v>
      </c>
      <c r="J762" s="6">
        <v>65</v>
      </c>
      <c r="M762" t="str">
        <f t="shared" si="33"/>
        <v>2023_SA_Pinery_Lentil_Detailed</v>
      </c>
      <c r="N762">
        <f>I762</f>
        <v>1</v>
      </c>
      <c r="O762" t="str">
        <f t="shared" si="34"/>
        <v>2023_SA_Pinery_Lentil_Detailed_65</v>
      </c>
      <c r="P762" t="str">
        <f t="shared" si="35"/>
        <v>2023_SA_Pinery_Lentil_DetailedTOS2VarietyHallmarkXTWaterTrtRainFed</v>
      </c>
    </row>
    <row r="763" spans="1:16" x14ac:dyDescent="0.25">
      <c r="G763">
        <v>4</v>
      </c>
      <c r="H763" t="s">
        <v>250</v>
      </c>
      <c r="I763">
        <v>2</v>
      </c>
      <c r="J763" s="6">
        <v>126</v>
      </c>
      <c r="M763" t="str">
        <f t="shared" si="33"/>
        <v>2023_SA_Pinery_Lentil_Detailed</v>
      </c>
      <c r="N763">
        <f>I763</f>
        <v>2</v>
      </c>
      <c r="O763" t="str">
        <f t="shared" si="34"/>
        <v>2023_SA_Pinery_Lentil_Detailed_126</v>
      </c>
      <c r="P763" t="str">
        <f t="shared" si="35"/>
        <v>2023_SA_Pinery_Lentil_DetailedTOS2VarietyHallmarkXTWaterTrtRainFed</v>
      </c>
    </row>
    <row r="764" spans="1:16" x14ac:dyDescent="0.25">
      <c r="H764" t="s">
        <v>253</v>
      </c>
      <c r="I764">
        <v>1</v>
      </c>
      <c r="J764" s="6">
        <v>125</v>
      </c>
      <c r="M764" t="str">
        <f t="shared" si="33"/>
        <v>2023_SA_Pinery_Lentil_Detailed</v>
      </c>
      <c r="N764">
        <f>I764</f>
        <v>1</v>
      </c>
      <c r="O764" t="str">
        <f t="shared" si="34"/>
        <v>2023_SA_Pinery_Lentil_Detailed_125</v>
      </c>
      <c r="P764" t="str">
        <f t="shared" si="35"/>
        <v>2023_SA_Pinery_Lentil_DetailedTOS2VarietyHallmarkXTWaterTrtRainFed</v>
      </c>
    </row>
    <row r="765" spans="1:16" x14ac:dyDescent="0.25">
      <c r="A765" t="s">
        <v>4329</v>
      </c>
      <c r="B765" t="s">
        <v>2324</v>
      </c>
      <c r="C765">
        <v>2</v>
      </c>
      <c r="D765" t="s">
        <v>4176</v>
      </c>
      <c r="E765" t="s">
        <v>57</v>
      </c>
      <c r="F765" t="s">
        <v>4398</v>
      </c>
      <c r="G765">
        <v>1</v>
      </c>
      <c r="H765" t="s">
        <v>250</v>
      </c>
      <c r="I765">
        <v>4</v>
      </c>
      <c r="J765" s="6">
        <v>4</v>
      </c>
      <c r="M765" t="str">
        <f t="shared" si="33"/>
        <v>2023_SA_Pinery_Lentil_Detailed</v>
      </c>
      <c r="N765">
        <f>I765</f>
        <v>4</v>
      </c>
      <c r="O765" t="str">
        <f t="shared" si="34"/>
        <v>2023_SA_Pinery_Lentil_Detailed_4</v>
      </c>
      <c r="P765" t="str">
        <f t="shared" si="35"/>
        <v>2023_SA_Pinery_Lentil_DetailedTOS2VarietyJumbo2WaterTrtIrrigated</v>
      </c>
    </row>
    <row r="766" spans="1:16" x14ac:dyDescent="0.25">
      <c r="H766" t="s">
        <v>253</v>
      </c>
      <c r="I766">
        <v>3</v>
      </c>
      <c r="J766" s="6">
        <v>3</v>
      </c>
      <c r="M766" t="str">
        <f t="shared" si="33"/>
        <v>2023_SA_Pinery_Lentil_Detailed</v>
      </c>
      <c r="N766">
        <f>I766</f>
        <v>3</v>
      </c>
      <c r="O766" t="str">
        <f t="shared" si="34"/>
        <v>2023_SA_Pinery_Lentil_Detailed_3</v>
      </c>
      <c r="P766" t="str">
        <f t="shared" si="35"/>
        <v>2023_SA_Pinery_Lentil_DetailedTOS2VarietyJumbo2WaterTrtIrrigated</v>
      </c>
    </row>
    <row r="767" spans="1:16" x14ac:dyDescent="0.25">
      <c r="G767">
        <v>2</v>
      </c>
      <c r="H767" t="s">
        <v>250</v>
      </c>
      <c r="I767">
        <v>2</v>
      </c>
      <c r="J767" s="6">
        <v>62</v>
      </c>
      <c r="M767" t="str">
        <f t="shared" si="33"/>
        <v>2023_SA_Pinery_Lentil_Detailed</v>
      </c>
      <c r="N767">
        <f>I767</f>
        <v>2</v>
      </c>
      <c r="O767" t="str">
        <f t="shared" si="34"/>
        <v>2023_SA_Pinery_Lentil_Detailed_62</v>
      </c>
      <c r="P767" t="str">
        <f t="shared" si="35"/>
        <v>2023_SA_Pinery_Lentil_DetailedTOS2VarietyJumbo2WaterTrtIrrigated</v>
      </c>
    </row>
    <row r="768" spans="1:16" x14ac:dyDescent="0.25">
      <c r="H768" t="s">
        <v>253</v>
      </c>
      <c r="I768">
        <v>1</v>
      </c>
      <c r="J768" s="6">
        <v>61</v>
      </c>
      <c r="M768" t="str">
        <f t="shared" si="33"/>
        <v>2023_SA_Pinery_Lentil_Detailed</v>
      </c>
      <c r="N768">
        <f>I768</f>
        <v>1</v>
      </c>
      <c r="O768" t="str">
        <f t="shared" si="34"/>
        <v>2023_SA_Pinery_Lentil_Detailed_61</v>
      </c>
      <c r="P768" t="str">
        <f t="shared" si="35"/>
        <v>2023_SA_Pinery_Lentil_DetailedTOS2VarietyJumbo2WaterTrtIrrigated</v>
      </c>
    </row>
    <row r="769" spans="1:16" x14ac:dyDescent="0.25">
      <c r="G769">
        <v>3</v>
      </c>
      <c r="H769" t="s">
        <v>250</v>
      </c>
      <c r="I769">
        <v>4</v>
      </c>
      <c r="J769" s="6">
        <v>84</v>
      </c>
      <c r="M769" t="str">
        <f t="shared" si="33"/>
        <v>2023_SA_Pinery_Lentil_Detailed</v>
      </c>
      <c r="N769">
        <f>I769</f>
        <v>4</v>
      </c>
      <c r="O769" t="str">
        <f t="shared" si="34"/>
        <v>2023_SA_Pinery_Lentil_Detailed_84</v>
      </c>
      <c r="P769" t="str">
        <f t="shared" si="35"/>
        <v>2023_SA_Pinery_Lentil_DetailedTOS2VarietyJumbo2WaterTrtIrrigated</v>
      </c>
    </row>
    <row r="770" spans="1:16" x14ac:dyDescent="0.25">
      <c r="H770" t="s">
        <v>253</v>
      </c>
      <c r="I770">
        <v>3</v>
      </c>
      <c r="J770" s="6">
        <v>83</v>
      </c>
      <c r="M770" t="str">
        <f t="shared" si="33"/>
        <v>2023_SA_Pinery_Lentil_Detailed</v>
      </c>
      <c r="N770">
        <f>I770</f>
        <v>3</v>
      </c>
      <c r="O770" t="str">
        <f t="shared" si="34"/>
        <v>2023_SA_Pinery_Lentil_Detailed_83</v>
      </c>
      <c r="P770" t="str">
        <f t="shared" si="35"/>
        <v>2023_SA_Pinery_Lentil_DetailedTOS2VarietyJumbo2WaterTrtIrrigated</v>
      </c>
    </row>
    <row r="771" spans="1:16" x14ac:dyDescent="0.25">
      <c r="G771">
        <v>4</v>
      </c>
      <c r="H771" t="s">
        <v>250</v>
      </c>
      <c r="I771">
        <v>2</v>
      </c>
      <c r="J771" s="6">
        <v>110</v>
      </c>
      <c r="M771" t="str">
        <f t="shared" si="33"/>
        <v>2023_SA_Pinery_Lentil_Detailed</v>
      </c>
      <c r="N771">
        <f>I771</f>
        <v>2</v>
      </c>
      <c r="O771" t="str">
        <f t="shared" si="34"/>
        <v>2023_SA_Pinery_Lentil_Detailed_110</v>
      </c>
      <c r="P771" t="str">
        <f t="shared" si="35"/>
        <v>2023_SA_Pinery_Lentil_DetailedTOS2VarietyJumbo2WaterTrtIrrigated</v>
      </c>
    </row>
    <row r="772" spans="1:16" x14ac:dyDescent="0.25">
      <c r="H772" t="s">
        <v>253</v>
      </c>
      <c r="I772">
        <v>1</v>
      </c>
      <c r="J772" s="6">
        <v>109</v>
      </c>
      <c r="M772" t="str">
        <f t="shared" si="33"/>
        <v>2023_SA_Pinery_Lentil_Detailed</v>
      </c>
      <c r="N772">
        <f>I772</f>
        <v>1</v>
      </c>
      <c r="O772" t="str">
        <f t="shared" si="34"/>
        <v>2023_SA_Pinery_Lentil_Detailed_109</v>
      </c>
      <c r="P772" t="str">
        <f t="shared" si="35"/>
        <v>2023_SA_Pinery_Lentil_DetailedTOS2VarietyJumbo2WaterTrtIrrigated</v>
      </c>
    </row>
    <row r="773" spans="1:16" x14ac:dyDescent="0.25">
      <c r="A773" t="s">
        <v>4330</v>
      </c>
      <c r="B773" t="s">
        <v>2324</v>
      </c>
      <c r="C773">
        <v>2</v>
      </c>
      <c r="D773" t="s">
        <v>4176</v>
      </c>
      <c r="E773" t="s">
        <v>40</v>
      </c>
      <c r="F773" t="s">
        <v>4398</v>
      </c>
      <c r="G773">
        <v>1</v>
      </c>
      <c r="H773" t="s">
        <v>250</v>
      </c>
      <c r="I773">
        <v>2</v>
      </c>
      <c r="J773" s="6">
        <v>14</v>
      </c>
      <c r="M773" t="str">
        <f t="shared" si="33"/>
        <v>2023_SA_Pinery_Lentil_Detailed</v>
      </c>
      <c r="N773">
        <f>I773</f>
        <v>2</v>
      </c>
      <c r="O773" t="str">
        <f t="shared" si="34"/>
        <v>2023_SA_Pinery_Lentil_Detailed_14</v>
      </c>
      <c r="P773" t="str">
        <f t="shared" si="35"/>
        <v>2023_SA_Pinery_Lentil_DetailedTOS2VarietyJumbo2WaterTrtRainFed</v>
      </c>
    </row>
    <row r="774" spans="1:16" x14ac:dyDescent="0.25">
      <c r="H774" t="s">
        <v>253</v>
      </c>
      <c r="I774">
        <v>1</v>
      </c>
      <c r="J774" s="6">
        <v>13</v>
      </c>
      <c r="M774" t="str">
        <f t="shared" ref="M774:M837" si="36">IF(B774="",M773,B774)</f>
        <v>2023_SA_Pinery_Lentil_Detailed</v>
      </c>
      <c r="N774">
        <f>I774</f>
        <v>1</v>
      </c>
      <c r="O774" t="str">
        <f t="shared" ref="O774:O837" si="37">M774&amp;"_"&amp;J774</f>
        <v>2023_SA_Pinery_Lentil_Detailed_13</v>
      </c>
      <c r="P774" t="str">
        <f t="shared" ref="P774:P837" si="38">IF(A774="",P773,A774)</f>
        <v>2023_SA_Pinery_Lentil_DetailedTOS2VarietyJumbo2WaterTrtRainFed</v>
      </c>
    </row>
    <row r="775" spans="1:16" x14ac:dyDescent="0.25">
      <c r="G775">
        <v>2</v>
      </c>
      <c r="H775" t="s">
        <v>250</v>
      </c>
      <c r="I775">
        <v>2</v>
      </c>
      <c r="J775" s="6">
        <v>50</v>
      </c>
      <c r="M775" t="str">
        <f t="shared" si="36"/>
        <v>2023_SA_Pinery_Lentil_Detailed</v>
      </c>
      <c r="N775">
        <f>I775</f>
        <v>2</v>
      </c>
      <c r="O775" t="str">
        <f t="shared" si="37"/>
        <v>2023_SA_Pinery_Lentil_Detailed_50</v>
      </c>
      <c r="P775" t="str">
        <f t="shared" si="38"/>
        <v>2023_SA_Pinery_Lentil_DetailedTOS2VarietyJumbo2WaterTrtRainFed</v>
      </c>
    </row>
    <row r="776" spans="1:16" x14ac:dyDescent="0.25">
      <c r="H776" t="s">
        <v>253</v>
      </c>
      <c r="I776">
        <v>1</v>
      </c>
      <c r="J776" s="6">
        <v>49</v>
      </c>
      <c r="M776" t="str">
        <f t="shared" si="36"/>
        <v>2023_SA_Pinery_Lentil_Detailed</v>
      </c>
      <c r="N776">
        <f>I776</f>
        <v>1</v>
      </c>
      <c r="O776" t="str">
        <f t="shared" si="37"/>
        <v>2023_SA_Pinery_Lentil_Detailed_49</v>
      </c>
      <c r="P776" t="str">
        <f t="shared" si="38"/>
        <v>2023_SA_Pinery_Lentil_DetailedTOS2VarietyJumbo2WaterTrtRainFed</v>
      </c>
    </row>
    <row r="777" spans="1:16" x14ac:dyDescent="0.25">
      <c r="G777">
        <v>3</v>
      </c>
      <c r="H777" t="s">
        <v>250</v>
      </c>
      <c r="I777">
        <v>4</v>
      </c>
      <c r="J777" s="6">
        <v>72</v>
      </c>
      <c r="M777" t="str">
        <f t="shared" si="36"/>
        <v>2023_SA_Pinery_Lentil_Detailed</v>
      </c>
      <c r="N777">
        <f>I777</f>
        <v>4</v>
      </c>
      <c r="O777" t="str">
        <f t="shared" si="37"/>
        <v>2023_SA_Pinery_Lentil_Detailed_72</v>
      </c>
      <c r="P777" t="str">
        <f t="shared" si="38"/>
        <v>2023_SA_Pinery_Lentil_DetailedTOS2VarietyJumbo2WaterTrtRainFed</v>
      </c>
    </row>
    <row r="778" spans="1:16" x14ac:dyDescent="0.25">
      <c r="H778" t="s">
        <v>253</v>
      </c>
      <c r="I778">
        <v>3</v>
      </c>
      <c r="J778" s="6">
        <v>71</v>
      </c>
      <c r="M778" t="str">
        <f t="shared" si="36"/>
        <v>2023_SA_Pinery_Lentil_Detailed</v>
      </c>
      <c r="N778">
        <f>I778</f>
        <v>3</v>
      </c>
      <c r="O778" t="str">
        <f t="shared" si="37"/>
        <v>2023_SA_Pinery_Lentil_Detailed_71</v>
      </c>
      <c r="P778" t="str">
        <f t="shared" si="38"/>
        <v>2023_SA_Pinery_Lentil_DetailedTOS2VarietyJumbo2WaterTrtRainFed</v>
      </c>
    </row>
    <row r="779" spans="1:16" x14ac:dyDescent="0.25">
      <c r="G779">
        <v>4</v>
      </c>
      <c r="H779" t="s">
        <v>250</v>
      </c>
      <c r="I779">
        <v>2</v>
      </c>
      <c r="J779" s="6">
        <v>122</v>
      </c>
      <c r="M779" t="str">
        <f t="shared" si="36"/>
        <v>2023_SA_Pinery_Lentil_Detailed</v>
      </c>
      <c r="N779">
        <f>I779</f>
        <v>2</v>
      </c>
      <c r="O779" t="str">
        <f t="shared" si="37"/>
        <v>2023_SA_Pinery_Lentil_Detailed_122</v>
      </c>
      <c r="P779" t="str">
        <f t="shared" si="38"/>
        <v>2023_SA_Pinery_Lentil_DetailedTOS2VarietyJumbo2WaterTrtRainFed</v>
      </c>
    </row>
    <row r="780" spans="1:16" x14ac:dyDescent="0.25">
      <c r="H780" t="s">
        <v>253</v>
      </c>
      <c r="I780">
        <v>1</v>
      </c>
      <c r="J780" s="6">
        <v>121</v>
      </c>
      <c r="M780" t="str">
        <f t="shared" si="36"/>
        <v>2023_SA_Pinery_Lentil_Detailed</v>
      </c>
      <c r="N780">
        <f>I780</f>
        <v>1</v>
      </c>
      <c r="O780" t="str">
        <f t="shared" si="37"/>
        <v>2023_SA_Pinery_Lentil_Detailed_121</v>
      </c>
      <c r="P780" t="str">
        <f t="shared" si="38"/>
        <v>2023_SA_Pinery_Lentil_DetailedTOS2VarietyJumbo2WaterTrtRainFed</v>
      </c>
    </row>
    <row r="781" spans="1:16" x14ac:dyDescent="0.25">
      <c r="A781" t="s">
        <v>4331</v>
      </c>
      <c r="B781" t="s">
        <v>2324</v>
      </c>
      <c r="C781">
        <v>2</v>
      </c>
      <c r="D781" t="s">
        <v>4188</v>
      </c>
      <c r="E781" t="s">
        <v>57</v>
      </c>
      <c r="F781" t="s">
        <v>4398</v>
      </c>
      <c r="G781">
        <v>1</v>
      </c>
      <c r="H781" t="s">
        <v>250</v>
      </c>
      <c r="I781">
        <v>2</v>
      </c>
      <c r="J781" s="6">
        <v>2</v>
      </c>
      <c r="M781" t="str">
        <f t="shared" si="36"/>
        <v>2023_SA_Pinery_Lentil_Detailed</v>
      </c>
      <c r="N781">
        <f>I781</f>
        <v>2</v>
      </c>
      <c r="O781" t="str">
        <f t="shared" si="37"/>
        <v>2023_SA_Pinery_Lentil_Detailed_2</v>
      </c>
      <c r="P781" t="str">
        <f t="shared" si="38"/>
        <v>2023_SA_Pinery_Lentil_DetailedTOS2VarietyKelpieXTWaterTrtIrrigated</v>
      </c>
    </row>
    <row r="782" spans="1:16" x14ac:dyDescent="0.25">
      <c r="H782" t="s">
        <v>253</v>
      </c>
      <c r="I782">
        <v>1</v>
      </c>
      <c r="J782" s="6">
        <v>1</v>
      </c>
      <c r="M782" t="str">
        <f t="shared" si="36"/>
        <v>2023_SA_Pinery_Lentil_Detailed</v>
      </c>
      <c r="N782">
        <f>I782</f>
        <v>1</v>
      </c>
      <c r="O782" t="str">
        <f t="shared" si="37"/>
        <v>2023_SA_Pinery_Lentil_Detailed_1</v>
      </c>
      <c r="P782" t="str">
        <f t="shared" si="38"/>
        <v>2023_SA_Pinery_Lentil_DetailedTOS2VarietyKelpieXTWaterTrtIrrigated</v>
      </c>
    </row>
    <row r="783" spans="1:16" x14ac:dyDescent="0.25">
      <c r="G783">
        <v>2</v>
      </c>
      <c r="H783" t="s">
        <v>250</v>
      </c>
      <c r="I783">
        <v>4</v>
      </c>
      <c r="J783" s="6">
        <v>60</v>
      </c>
      <c r="M783" t="str">
        <f t="shared" si="36"/>
        <v>2023_SA_Pinery_Lentil_Detailed</v>
      </c>
      <c r="N783">
        <f>I783</f>
        <v>4</v>
      </c>
      <c r="O783" t="str">
        <f t="shared" si="37"/>
        <v>2023_SA_Pinery_Lentil_Detailed_60</v>
      </c>
      <c r="P783" t="str">
        <f t="shared" si="38"/>
        <v>2023_SA_Pinery_Lentil_DetailedTOS2VarietyKelpieXTWaterTrtIrrigated</v>
      </c>
    </row>
    <row r="784" spans="1:16" x14ac:dyDescent="0.25">
      <c r="H784" t="s">
        <v>253</v>
      </c>
      <c r="I784">
        <v>3</v>
      </c>
      <c r="J784" s="6">
        <v>59</v>
      </c>
      <c r="M784" t="str">
        <f t="shared" si="36"/>
        <v>2023_SA_Pinery_Lentil_Detailed</v>
      </c>
      <c r="N784">
        <f>I784</f>
        <v>3</v>
      </c>
      <c r="O784" t="str">
        <f t="shared" si="37"/>
        <v>2023_SA_Pinery_Lentil_Detailed_59</v>
      </c>
      <c r="P784" t="str">
        <f t="shared" si="38"/>
        <v>2023_SA_Pinery_Lentil_DetailedTOS2VarietyKelpieXTWaterTrtIrrigated</v>
      </c>
    </row>
    <row r="785" spans="1:16" x14ac:dyDescent="0.25">
      <c r="G785">
        <v>3</v>
      </c>
      <c r="H785" t="s">
        <v>250</v>
      </c>
      <c r="I785">
        <v>2</v>
      </c>
      <c r="J785" s="6">
        <v>82</v>
      </c>
      <c r="M785" t="str">
        <f t="shared" si="36"/>
        <v>2023_SA_Pinery_Lentil_Detailed</v>
      </c>
      <c r="N785">
        <f>I785</f>
        <v>2</v>
      </c>
      <c r="O785" t="str">
        <f t="shared" si="37"/>
        <v>2023_SA_Pinery_Lentil_Detailed_82</v>
      </c>
      <c r="P785" t="str">
        <f t="shared" si="38"/>
        <v>2023_SA_Pinery_Lentil_DetailedTOS2VarietyKelpieXTWaterTrtIrrigated</v>
      </c>
    </row>
    <row r="786" spans="1:16" x14ac:dyDescent="0.25">
      <c r="H786" t="s">
        <v>253</v>
      </c>
      <c r="I786">
        <v>1</v>
      </c>
      <c r="J786" s="6">
        <v>81</v>
      </c>
      <c r="M786" t="str">
        <f t="shared" si="36"/>
        <v>2023_SA_Pinery_Lentil_Detailed</v>
      </c>
      <c r="N786">
        <f>I786</f>
        <v>1</v>
      </c>
      <c r="O786" t="str">
        <f t="shared" si="37"/>
        <v>2023_SA_Pinery_Lentil_Detailed_81</v>
      </c>
      <c r="P786" t="str">
        <f t="shared" si="38"/>
        <v>2023_SA_Pinery_Lentil_DetailedTOS2VarietyKelpieXTWaterTrtIrrigated</v>
      </c>
    </row>
    <row r="787" spans="1:16" x14ac:dyDescent="0.25">
      <c r="G787">
        <v>4</v>
      </c>
      <c r="H787" t="s">
        <v>250</v>
      </c>
      <c r="I787">
        <v>2</v>
      </c>
      <c r="J787" s="6">
        <v>106</v>
      </c>
      <c r="M787" t="str">
        <f t="shared" si="36"/>
        <v>2023_SA_Pinery_Lentil_Detailed</v>
      </c>
      <c r="N787">
        <f>I787</f>
        <v>2</v>
      </c>
      <c r="O787" t="str">
        <f t="shared" si="37"/>
        <v>2023_SA_Pinery_Lentil_Detailed_106</v>
      </c>
      <c r="P787" t="str">
        <f t="shared" si="38"/>
        <v>2023_SA_Pinery_Lentil_DetailedTOS2VarietyKelpieXTWaterTrtIrrigated</v>
      </c>
    </row>
    <row r="788" spans="1:16" x14ac:dyDescent="0.25">
      <c r="H788" t="s">
        <v>253</v>
      </c>
      <c r="I788">
        <v>1</v>
      </c>
      <c r="J788" s="6">
        <v>105</v>
      </c>
      <c r="M788" t="str">
        <f t="shared" si="36"/>
        <v>2023_SA_Pinery_Lentil_Detailed</v>
      </c>
      <c r="N788">
        <f>I788</f>
        <v>1</v>
      </c>
      <c r="O788" t="str">
        <f t="shared" si="37"/>
        <v>2023_SA_Pinery_Lentil_Detailed_105</v>
      </c>
      <c r="P788" t="str">
        <f t="shared" si="38"/>
        <v>2023_SA_Pinery_Lentil_DetailedTOS2VarietyKelpieXTWaterTrtIrrigated</v>
      </c>
    </row>
    <row r="789" spans="1:16" x14ac:dyDescent="0.25">
      <c r="A789" t="s">
        <v>4332</v>
      </c>
      <c r="B789" t="s">
        <v>2324</v>
      </c>
      <c r="C789">
        <v>2</v>
      </c>
      <c r="D789" t="s">
        <v>4188</v>
      </c>
      <c r="E789" t="s">
        <v>40</v>
      </c>
      <c r="F789" t="s">
        <v>4398</v>
      </c>
      <c r="G789">
        <v>1</v>
      </c>
      <c r="H789" t="s">
        <v>250</v>
      </c>
      <c r="I789">
        <v>4</v>
      </c>
      <c r="J789" s="6">
        <v>16</v>
      </c>
      <c r="M789" t="str">
        <f t="shared" si="36"/>
        <v>2023_SA_Pinery_Lentil_Detailed</v>
      </c>
      <c r="N789">
        <f>I789</f>
        <v>4</v>
      </c>
      <c r="O789" t="str">
        <f t="shared" si="37"/>
        <v>2023_SA_Pinery_Lentil_Detailed_16</v>
      </c>
      <c r="P789" t="str">
        <f t="shared" si="38"/>
        <v>2023_SA_Pinery_Lentil_DetailedTOS2VarietyKelpieXTWaterTrtRainFed</v>
      </c>
    </row>
    <row r="790" spans="1:16" x14ac:dyDescent="0.25">
      <c r="H790" t="s">
        <v>253</v>
      </c>
      <c r="I790">
        <v>3</v>
      </c>
      <c r="J790" s="6">
        <v>15</v>
      </c>
      <c r="M790" t="str">
        <f t="shared" si="36"/>
        <v>2023_SA_Pinery_Lentil_Detailed</v>
      </c>
      <c r="N790">
        <f>I790</f>
        <v>3</v>
      </c>
      <c r="O790" t="str">
        <f t="shared" si="37"/>
        <v>2023_SA_Pinery_Lentil_Detailed_15</v>
      </c>
      <c r="P790" t="str">
        <f t="shared" si="38"/>
        <v>2023_SA_Pinery_Lentil_DetailedTOS2VarietyKelpieXTWaterTrtRainFed</v>
      </c>
    </row>
    <row r="791" spans="1:16" x14ac:dyDescent="0.25">
      <c r="G791">
        <v>2</v>
      </c>
      <c r="H791" t="s">
        <v>250</v>
      </c>
      <c r="I791">
        <v>2</v>
      </c>
      <c r="J791" s="6">
        <v>54</v>
      </c>
      <c r="M791" t="str">
        <f t="shared" si="36"/>
        <v>2023_SA_Pinery_Lentil_Detailed</v>
      </c>
      <c r="N791">
        <f>I791</f>
        <v>2</v>
      </c>
      <c r="O791" t="str">
        <f t="shared" si="37"/>
        <v>2023_SA_Pinery_Lentil_Detailed_54</v>
      </c>
      <c r="P791" t="str">
        <f t="shared" si="38"/>
        <v>2023_SA_Pinery_Lentil_DetailedTOS2VarietyKelpieXTWaterTrtRainFed</v>
      </c>
    </row>
    <row r="792" spans="1:16" x14ac:dyDescent="0.25">
      <c r="H792" t="s">
        <v>253</v>
      </c>
      <c r="I792">
        <v>1</v>
      </c>
      <c r="J792" s="6">
        <v>53</v>
      </c>
      <c r="M792" t="str">
        <f t="shared" si="36"/>
        <v>2023_SA_Pinery_Lentil_Detailed</v>
      </c>
      <c r="N792">
        <f>I792</f>
        <v>1</v>
      </c>
      <c r="O792" t="str">
        <f t="shared" si="37"/>
        <v>2023_SA_Pinery_Lentil_Detailed_53</v>
      </c>
      <c r="P792" t="str">
        <f t="shared" si="38"/>
        <v>2023_SA_Pinery_Lentil_DetailedTOS2VarietyKelpieXTWaterTrtRainFed</v>
      </c>
    </row>
    <row r="793" spans="1:16" x14ac:dyDescent="0.25">
      <c r="G793">
        <v>3</v>
      </c>
      <c r="H793" t="s">
        <v>250</v>
      </c>
      <c r="I793">
        <v>4</v>
      </c>
      <c r="J793" s="6">
        <v>68</v>
      </c>
      <c r="M793" t="str">
        <f t="shared" si="36"/>
        <v>2023_SA_Pinery_Lentil_Detailed</v>
      </c>
      <c r="N793">
        <f>I793</f>
        <v>4</v>
      </c>
      <c r="O793" t="str">
        <f t="shared" si="37"/>
        <v>2023_SA_Pinery_Lentil_Detailed_68</v>
      </c>
      <c r="P793" t="str">
        <f t="shared" si="38"/>
        <v>2023_SA_Pinery_Lentil_DetailedTOS2VarietyKelpieXTWaterTrtRainFed</v>
      </c>
    </row>
    <row r="794" spans="1:16" x14ac:dyDescent="0.25">
      <c r="H794" t="s">
        <v>253</v>
      </c>
      <c r="I794">
        <v>3</v>
      </c>
      <c r="J794" s="6">
        <v>67</v>
      </c>
      <c r="M794" t="str">
        <f t="shared" si="36"/>
        <v>2023_SA_Pinery_Lentil_Detailed</v>
      </c>
      <c r="N794">
        <f>I794</f>
        <v>3</v>
      </c>
      <c r="O794" t="str">
        <f t="shared" si="37"/>
        <v>2023_SA_Pinery_Lentil_Detailed_67</v>
      </c>
      <c r="P794" t="str">
        <f t="shared" si="38"/>
        <v>2023_SA_Pinery_Lentil_DetailedTOS2VarietyKelpieXTWaterTrtRainFed</v>
      </c>
    </row>
    <row r="795" spans="1:16" x14ac:dyDescent="0.25">
      <c r="G795">
        <v>4</v>
      </c>
      <c r="H795" t="s">
        <v>250</v>
      </c>
      <c r="I795">
        <v>4</v>
      </c>
      <c r="J795" s="6">
        <v>128</v>
      </c>
      <c r="M795" t="str">
        <f t="shared" si="36"/>
        <v>2023_SA_Pinery_Lentil_Detailed</v>
      </c>
      <c r="N795">
        <f>I795</f>
        <v>4</v>
      </c>
      <c r="O795" t="str">
        <f t="shared" si="37"/>
        <v>2023_SA_Pinery_Lentil_Detailed_128</v>
      </c>
      <c r="P795" t="str">
        <f t="shared" si="38"/>
        <v>2023_SA_Pinery_Lentil_DetailedTOS2VarietyKelpieXTWaterTrtRainFed</v>
      </c>
    </row>
    <row r="796" spans="1:16" x14ac:dyDescent="0.25">
      <c r="H796" t="s">
        <v>253</v>
      </c>
      <c r="I796">
        <v>3</v>
      </c>
      <c r="J796" s="6">
        <v>127</v>
      </c>
      <c r="M796" t="str">
        <f t="shared" si="36"/>
        <v>2023_SA_Pinery_Lentil_Detailed</v>
      </c>
      <c r="N796">
        <f>I796</f>
        <v>3</v>
      </c>
      <c r="O796" t="str">
        <f t="shared" si="37"/>
        <v>2023_SA_Pinery_Lentil_Detailed_127</v>
      </c>
      <c r="P796" t="str">
        <f t="shared" si="38"/>
        <v>2023_SA_Pinery_Lentil_DetailedTOS2VarietyKelpieXTWaterTrtRainFed</v>
      </c>
    </row>
    <row r="797" spans="1:16" x14ac:dyDescent="0.25">
      <c r="A797" t="s">
        <v>4333</v>
      </c>
      <c r="B797" t="s">
        <v>3033</v>
      </c>
      <c r="C797">
        <v>1</v>
      </c>
      <c r="D797" t="s">
        <v>4187</v>
      </c>
      <c r="E797" t="s">
        <v>40</v>
      </c>
      <c r="F797" t="s">
        <v>1511</v>
      </c>
      <c r="G797">
        <v>1</v>
      </c>
      <c r="H797" t="s">
        <v>253</v>
      </c>
      <c r="I797">
        <v>1</v>
      </c>
      <c r="J797" s="6">
        <v>1</v>
      </c>
      <c r="M797" t="str">
        <f t="shared" si="36"/>
        <v>2023_SA_Warnertown_Lentil_Satellite</v>
      </c>
      <c r="N797">
        <f>I797</f>
        <v>1</v>
      </c>
      <c r="O797" t="str">
        <f t="shared" si="37"/>
        <v>2023_SA_Warnertown_Lentil_Satellite_1</v>
      </c>
      <c r="P797" t="str">
        <f t="shared" si="38"/>
        <v>2023_SA_Warnertown_Lentil_SatelliteTOS1VarietyBoltWaterTrtRainFedAgronomyDensity_0.66</v>
      </c>
    </row>
    <row r="798" spans="1:16" x14ac:dyDescent="0.25">
      <c r="G798">
        <v>2</v>
      </c>
      <c r="H798" t="s">
        <v>253</v>
      </c>
      <c r="I798">
        <v>1</v>
      </c>
      <c r="J798" s="6">
        <v>19</v>
      </c>
      <c r="M798" t="str">
        <f t="shared" si="36"/>
        <v>2023_SA_Warnertown_Lentil_Satellite</v>
      </c>
      <c r="N798">
        <f>I798</f>
        <v>1</v>
      </c>
      <c r="O798" t="str">
        <f t="shared" si="37"/>
        <v>2023_SA_Warnertown_Lentil_Satellite_19</v>
      </c>
      <c r="P798" t="str">
        <f t="shared" si="38"/>
        <v>2023_SA_Warnertown_Lentil_SatelliteTOS1VarietyBoltWaterTrtRainFedAgronomyDensity_0.66</v>
      </c>
    </row>
    <row r="799" spans="1:16" x14ac:dyDescent="0.25">
      <c r="G799">
        <v>3</v>
      </c>
      <c r="H799" t="s">
        <v>253</v>
      </c>
      <c r="I799">
        <v>2</v>
      </c>
      <c r="J799" s="6">
        <v>32</v>
      </c>
      <c r="M799" t="str">
        <f t="shared" si="36"/>
        <v>2023_SA_Warnertown_Lentil_Satellite</v>
      </c>
      <c r="N799">
        <f>I799</f>
        <v>2</v>
      </c>
      <c r="O799" t="str">
        <f t="shared" si="37"/>
        <v>2023_SA_Warnertown_Lentil_Satellite_32</v>
      </c>
      <c r="P799" t="str">
        <f t="shared" si="38"/>
        <v>2023_SA_Warnertown_Lentil_SatelliteTOS1VarietyBoltWaterTrtRainFedAgronomyDensity_0.66</v>
      </c>
    </row>
    <row r="800" spans="1:16" x14ac:dyDescent="0.25">
      <c r="G800">
        <v>4</v>
      </c>
      <c r="H800" t="s">
        <v>253</v>
      </c>
      <c r="I800">
        <v>1</v>
      </c>
      <c r="J800" s="6">
        <v>40</v>
      </c>
      <c r="M800" t="str">
        <f t="shared" si="36"/>
        <v>2023_SA_Warnertown_Lentil_Satellite</v>
      </c>
      <c r="N800">
        <f>I800</f>
        <v>1</v>
      </c>
      <c r="O800" t="str">
        <f t="shared" si="37"/>
        <v>2023_SA_Warnertown_Lentil_Satellite_40</v>
      </c>
      <c r="P800" t="str">
        <f t="shared" si="38"/>
        <v>2023_SA_Warnertown_Lentil_SatelliteTOS1VarietyBoltWaterTrtRainFedAgronomyDensity_0.66</v>
      </c>
    </row>
    <row r="801" spans="1:16" x14ac:dyDescent="0.25">
      <c r="A801" t="s">
        <v>4334</v>
      </c>
      <c r="B801" t="s">
        <v>3033</v>
      </c>
      <c r="C801">
        <v>1</v>
      </c>
      <c r="D801" t="s">
        <v>4187</v>
      </c>
      <c r="E801" t="s">
        <v>40</v>
      </c>
      <c r="F801" t="s">
        <v>1513</v>
      </c>
      <c r="G801">
        <v>1</v>
      </c>
      <c r="H801" t="s">
        <v>253</v>
      </c>
      <c r="I801">
        <v>1</v>
      </c>
      <c r="J801" s="6">
        <v>4</v>
      </c>
      <c r="M801" t="str">
        <f t="shared" si="36"/>
        <v>2023_SA_Warnertown_Lentil_Satellite</v>
      </c>
      <c r="N801">
        <f>I801</f>
        <v>1</v>
      </c>
      <c r="O801" t="str">
        <f t="shared" si="37"/>
        <v>2023_SA_Warnertown_Lentil_Satellite_4</v>
      </c>
      <c r="P801" t="str">
        <f t="shared" si="38"/>
        <v>2023_SA_Warnertown_Lentil_SatelliteTOS1VarietyBoltWaterTrtRainFedAgronomyDensity_1</v>
      </c>
    </row>
    <row r="802" spans="1:16" x14ac:dyDescent="0.25">
      <c r="G802">
        <v>2</v>
      </c>
      <c r="H802" t="s">
        <v>253</v>
      </c>
      <c r="I802">
        <v>2</v>
      </c>
      <c r="J802" s="6">
        <v>23</v>
      </c>
      <c r="M802" t="str">
        <f t="shared" si="36"/>
        <v>2023_SA_Warnertown_Lentil_Satellite</v>
      </c>
      <c r="N802">
        <f>I802</f>
        <v>2</v>
      </c>
      <c r="O802" t="str">
        <f t="shared" si="37"/>
        <v>2023_SA_Warnertown_Lentil_Satellite_23</v>
      </c>
      <c r="P802" t="str">
        <f t="shared" si="38"/>
        <v>2023_SA_Warnertown_Lentil_SatelliteTOS1VarietyBoltWaterTrtRainFedAgronomyDensity_1</v>
      </c>
    </row>
    <row r="803" spans="1:16" x14ac:dyDescent="0.25">
      <c r="G803">
        <v>3</v>
      </c>
      <c r="H803" t="s">
        <v>253</v>
      </c>
      <c r="I803">
        <v>3</v>
      </c>
      <c r="J803" s="6">
        <v>33</v>
      </c>
      <c r="M803" t="str">
        <f t="shared" si="36"/>
        <v>2023_SA_Warnertown_Lentil_Satellite</v>
      </c>
      <c r="N803">
        <f>I803</f>
        <v>3</v>
      </c>
      <c r="O803" t="str">
        <f t="shared" si="37"/>
        <v>2023_SA_Warnertown_Lentil_Satellite_33</v>
      </c>
      <c r="P803" t="str">
        <f t="shared" si="38"/>
        <v>2023_SA_Warnertown_Lentil_SatelliteTOS1VarietyBoltWaterTrtRainFedAgronomyDensity_1</v>
      </c>
    </row>
    <row r="804" spans="1:16" x14ac:dyDescent="0.25">
      <c r="G804">
        <v>4</v>
      </c>
      <c r="H804" t="s">
        <v>253</v>
      </c>
      <c r="I804">
        <v>3</v>
      </c>
      <c r="J804" s="6">
        <v>42</v>
      </c>
      <c r="M804" t="str">
        <f t="shared" si="36"/>
        <v>2023_SA_Warnertown_Lentil_Satellite</v>
      </c>
      <c r="N804">
        <f>I804</f>
        <v>3</v>
      </c>
      <c r="O804" t="str">
        <f t="shared" si="37"/>
        <v>2023_SA_Warnertown_Lentil_Satellite_42</v>
      </c>
      <c r="P804" t="str">
        <f t="shared" si="38"/>
        <v>2023_SA_Warnertown_Lentil_SatelliteTOS1VarietyBoltWaterTrtRainFedAgronomyDensity_1</v>
      </c>
    </row>
    <row r="805" spans="1:16" x14ac:dyDescent="0.25">
      <c r="A805" t="s">
        <v>4335</v>
      </c>
      <c r="B805" t="s">
        <v>3033</v>
      </c>
      <c r="C805">
        <v>1</v>
      </c>
      <c r="D805" t="s">
        <v>4189</v>
      </c>
      <c r="E805" t="s">
        <v>40</v>
      </c>
      <c r="F805" t="s">
        <v>1513</v>
      </c>
      <c r="G805">
        <v>1</v>
      </c>
      <c r="H805" t="s">
        <v>253</v>
      </c>
      <c r="I805">
        <v>2</v>
      </c>
      <c r="J805" s="6">
        <v>2</v>
      </c>
      <c r="M805" t="str">
        <f t="shared" si="36"/>
        <v>2023_SA_Warnertown_Lentil_Satellite</v>
      </c>
      <c r="N805">
        <f>I805</f>
        <v>2</v>
      </c>
      <c r="O805" t="str">
        <f t="shared" si="37"/>
        <v>2023_SA_Warnertown_Lentil_Satellite_2</v>
      </c>
      <c r="P805" t="str">
        <f t="shared" si="38"/>
        <v>2023_SA_Warnertown_Lentil_SatelliteTOS1VarietyHallmarkXTWaterTrtRainFedAgronomyDensity_1</v>
      </c>
    </row>
    <row r="806" spans="1:16" x14ac:dyDescent="0.25">
      <c r="G806">
        <v>2</v>
      </c>
      <c r="H806" t="s">
        <v>253</v>
      </c>
      <c r="I806">
        <v>3</v>
      </c>
      <c r="J806" s="6">
        <v>21</v>
      </c>
      <c r="M806" t="str">
        <f t="shared" si="36"/>
        <v>2023_SA_Warnertown_Lentil_Satellite</v>
      </c>
      <c r="N806">
        <f>I806</f>
        <v>3</v>
      </c>
      <c r="O806" t="str">
        <f t="shared" si="37"/>
        <v>2023_SA_Warnertown_Lentil_Satellite_21</v>
      </c>
      <c r="P806" t="str">
        <f t="shared" si="38"/>
        <v>2023_SA_Warnertown_Lentil_SatelliteTOS1VarietyHallmarkXTWaterTrtRainFedAgronomyDensity_1</v>
      </c>
    </row>
    <row r="807" spans="1:16" x14ac:dyDescent="0.25">
      <c r="G807">
        <v>3</v>
      </c>
      <c r="H807" t="s">
        <v>253</v>
      </c>
      <c r="I807">
        <v>3</v>
      </c>
      <c r="J807" s="6">
        <v>36</v>
      </c>
      <c r="M807" t="str">
        <f t="shared" si="36"/>
        <v>2023_SA_Warnertown_Lentil_Satellite</v>
      </c>
      <c r="N807">
        <f>I807</f>
        <v>3</v>
      </c>
      <c r="O807" t="str">
        <f t="shared" si="37"/>
        <v>2023_SA_Warnertown_Lentil_Satellite_36</v>
      </c>
      <c r="P807" t="str">
        <f t="shared" si="38"/>
        <v>2023_SA_Warnertown_Lentil_SatelliteTOS1VarietyHallmarkXTWaterTrtRainFedAgronomyDensity_1</v>
      </c>
    </row>
    <row r="808" spans="1:16" x14ac:dyDescent="0.25">
      <c r="G808">
        <v>4</v>
      </c>
      <c r="H808" t="s">
        <v>253</v>
      </c>
      <c r="I808">
        <v>1</v>
      </c>
      <c r="J808" s="6">
        <v>37</v>
      </c>
      <c r="M808" t="str">
        <f t="shared" si="36"/>
        <v>2023_SA_Warnertown_Lentil_Satellite</v>
      </c>
      <c r="N808">
        <f>I808</f>
        <v>1</v>
      </c>
      <c r="O808" t="str">
        <f t="shared" si="37"/>
        <v>2023_SA_Warnertown_Lentil_Satellite_37</v>
      </c>
      <c r="P808" t="str">
        <f t="shared" si="38"/>
        <v>2023_SA_Warnertown_Lentil_SatelliteTOS1VarietyHallmarkXTWaterTrtRainFedAgronomyDensity_1</v>
      </c>
    </row>
    <row r="809" spans="1:16" x14ac:dyDescent="0.25">
      <c r="A809" t="s">
        <v>4336</v>
      </c>
      <c r="B809" t="s">
        <v>3033</v>
      </c>
      <c r="C809">
        <v>1</v>
      </c>
      <c r="D809" t="s">
        <v>4176</v>
      </c>
      <c r="E809" t="s">
        <v>40</v>
      </c>
      <c r="F809" t="s">
        <v>1511</v>
      </c>
      <c r="G809">
        <v>1</v>
      </c>
      <c r="H809" t="s">
        <v>253</v>
      </c>
      <c r="I809">
        <v>3</v>
      </c>
      <c r="J809" s="6">
        <v>6</v>
      </c>
      <c r="M809" t="str">
        <f t="shared" si="36"/>
        <v>2023_SA_Warnertown_Lentil_Satellite</v>
      </c>
      <c r="N809">
        <f>I809</f>
        <v>3</v>
      </c>
      <c r="O809" t="str">
        <f t="shared" si="37"/>
        <v>2023_SA_Warnertown_Lentil_Satellite_6</v>
      </c>
      <c r="P809" t="str">
        <f t="shared" si="38"/>
        <v>2023_SA_Warnertown_Lentil_SatelliteTOS1VarietyJumbo2WaterTrtRainFedAgronomyDensity_0.66</v>
      </c>
    </row>
    <row r="810" spans="1:16" x14ac:dyDescent="0.25">
      <c r="G810">
        <v>2</v>
      </c>
      <c r="H810" t="s">
        <v>253</v>
      </c>
      <c r="I810">
        <v>1</v>
      </c>
      <c r="J810" s="6">
        <v>22</v>
      </c>
      <c r="M810" t="str">
        <f t="shared" si="36"/>
        <v>2023_SA_Warnertown_Lentil_Satellite</v>
      </c>
      <c r="N810">
        <f>I810</f>
        <v>1</v>
      </c>
      <c r="O810" t="str">
        <f t="shared" si="37"/>
        <v>2023_SA_Warnertown_Lentil_Satellite_22</v>
      </c>
      <c r="P810" t="str">
        <f t="shared" si="38"/>
        <v>2023_SA_Warnertown_Lentil_SatelliteTOS1VarietyJumbo2WaterTrtRainFedAgronomyDensity_0.66</v>
      </c>
    </row>
    <row r="811" spans="1:16" x14ac:dyDescent="0.25">
      <c r="G811">
        <v>3</v>
      </c>
      <c r="H811" t="s">
        <v>253</v>
      </c>
      <c r="I811">
        <v>1</v>
      </c>
      <c r="J811" s="6">
        <v>31</v>
      </c>
      <c r="M811" t="str">
        <f t="shared" si="36"/>
        <v>2023_SA_Warnertown_Lentil_Satellite</v>
      </c>
      <c r="N811">
        <f>I811</f>
        <v>1</v>
      </c>
      <c r="O811" t="str">
        <f t="shared" si="37"/>
        <v>2023_SA_Warnertown_Lentil_Satellite_31</v>
      </c>
      <c r="P811" t="str">
        <f t="shared" si="38"/>
        <v>2023_SA_Warnertown_Lentil_SatelliteTOS1VarietyJumbo2WaterTrtRainFedAgronomyDensity_0.66</v>
      </c>
    </row>
    <row r="812" spans="1:16" x14ac:dyDescent="0.25">
      <c r="G812">
        <v>4</v>
      </c>
      <c r="H812" t="s">
        <v>253</v>
      </c>
      <c r="I812">
        <v>3</v>
      </c>
      <c r="J812" s="6">
        <v>39</v>
      </c>
      <c r="M812" t="str">
        <f t="shared" si="36"/>
        <v>2023_SA_Warnertown_Lentil_Satellite</v>
      </c>
      <c r="N812">
        <f>I812</f>
        <v>3</v>
      </c>
      <c r="O812" t="str">
        <f t="shared" si="37"/>
        <v>2023_SA_Warnertown_Lentil_Satellite_39</v>
      </c>
      <c r="P812" t="str">
        <f t="shared" si="38"/>
        <v>2023_SA_Warnertown_Lentil_SatelliteTOS1VarietyJumbo2WaterTrtRainFedAgronomyDensity_0.66</v>
      </c>
    </row>
    <row r="813" spans="1:16" x14ac:dyDescent="0.25">
      <c r="A813" t="s">
        <v>4337</v>
      </c>
      <c r="B813" t="s">
        <v>3033</v>
      </c>
      <c r="C813">
        <v>1</v>
      </c>
      <c r="D813" t="s">
        <v>4176</v>
      </c>
      <c r="E813" t="s">
        <v>40</v>
      </c>
      <c r="F813" t="s">
        <v>1513</v>
      </c>
      <c r="G813">
        <v>1</v>
      </c>
      <c r="H813" t="s">
        <v>253</v>
      </c>
      <c r="I813">
        <v>3</v>
      </c>
      <c r="J813" s="6">
        <v>3</v>
      </c>
      <c r="M813" t="str">
        <f t="shared" si="36"/>
        <v>2023_SA_Warnertown_Lentil_Satellite</v>
      </c>
      <c r="N813">
        <f>I813</f>
        <v>3</v>
      </c>
      <c r="O813" t="str">
        <f t="shared" si="37"/>
        <v>2023_SA_Warnertown_Lentil_Satellite_3</v>
      </c>
      <c r="P813" t="str">
        <f t="shared" si="38"/>
        <v>2023_SA_Warnertown_Lentil_SatelliteTOS1VarietyJumbo2WaterTrtRainFedAgronomyDensity_1</v>
      </c>
    </row>
    <row r="814" spans="1:16" x14ac:dyDescent="0.25">
      <c r="G814">
        <v>2</v>
      </c>
      <c r="H814" t="s">
        <v>253</v>
      </c>
      <c r="I814">
        <v>3</v>
      </c>
      <c r="J814" s="6">
        <v>24</v>
      </c>
      <c r="M814" t="str">
        <f t="shared" si="36"/>
        <v>2023_SA_Warnertown_Lentil_Satellite</v>
      </c>
      <c r="N814">
        <f>I814</f>
        <v>3</v>
      </c>
      <c r="O814" t="str">
        <f t="shared" si="37"/>
        <v>2023_SA_Warnertown_Lentil_Satellite_24</v>
      </c>
      <c r="P814" t="str">
        <f t="shared" si="38"/>
        <v>2023_SA_Warnertown_Lentil_SatelliteTOS1VarietyJumbo2WaterTrtRainFedAgronomyDensity_1</v>
      </c>
    </row>
    <row r="815" spans="1:16" x14ac:dyDescent="0.25">
      <c r="G815">
        <v>3</v>
      </c>
      <c r="H815" t="s">
        <v>253</v>
      </c>
      <c r="I815">
        <v>2</v>
      </c>
      <c r="J815" s="6">
        <v>35</v>
      </c>
      <c r="M815" t="str">
        <f t="shared" si="36"/>
        <v>2023_SA_Warnertown_Lentil_Satellite</v>
      </c>
      <c r="N815">
        <f>I815</f>
        <v>2</v>
      </c>
      <c r="O815" t="str">
        <f t="shared" si="37"/>
        <v>2023_SA_Warnertown_Lentil_Satellite_35</v>
      </c>
      <c r="P815" t="str">
        <f t="shared" si="38"/>
        <v>2023_SA_Warnertown_Lentil_SatelliteTOS1VarietyJumbo2WaterTrtRainFedAgronomyDensity_1</v>
      </c>
    </row>
    <row r="816" spans="1:16" x14ac:dyDescent="0.25">
      <c r="G816">
        <v>4</v>
      </c>
      <c r="H816" t="s">
        <v>253</v>
      </c>
      <c r="I816">
        <v>2</v>
      </c>
      <c r="J816" s="6">
        <v>41</v>
      </c>
      <c r="M816" t="str">
        <f t="shared" si="36"/>
        <v>2023_SA_Warnertown_Lentil_Satellite</v>
      </c>
      <c r="N816">
        <f>I816</f>
        <v>2</v>
      </c>
      <c r="O816" t="str">
        <f t="shared" si="37"/>
        <v>2023_SA_Warnertown_Lentil_Satellite_41</v>
      </c>
      <c r="P816" t="str">
        <f t="shared" si="38"/>
        <v>2023_SA_Warnertown_Lentil_SatelliteTOS1VarietyJumbo2WaterTrtRainFedAgronomyDensity_1</v>
      </c>
    </row>
    <row r="817" spans="1:16" x14ac:dyDescent="0.25">
      <c r="A817" t="s">
        <v>4338</v>
      </c>
      <c r="B817" t="s">
        <v>3033</v>
      </c>
      <c r="C817">
        <v>1</v>
      </c>
      <c r="D817" t="s">
        <v>4188</v>
      </c>
      <c r="E817" t="s">
        <v>40</v>
      </c>
      <c r="F817" t="s">
        <v>1513</v>
      </c>
      <c r="G817">
        <v>1</v>
      </c>
      <c r="H817" t="s">
        <v>253</v>
      </c>
      <c r="I817">
        <v>2</v>
      </c>
      <c r="J817" s="6">
        <v>5</v>
      </c>
      <c r="M817" t="str">
        <f t="shared" si="36"/>
        <v>2023_SA_Warnertown_Lentil_Satellite</v>
      </c>
      <c r="N817">
        <f>I817</f>
        <v>2</v>
      </c>
      <c r="O817" t="str">
        <f t="shared" si="37"/>
        <v>2023_SA_Warnertown_Lentil_Satellite_5</v>
      </c>
      <c r="P817" t="str">
        <f t="shared" si="38"/>
        <v>2023_SA_Warnertown_Lentil_SatelliteTOS1VarietyKelpieXTWaterTrtRainFedAgronomyDensity_1</v>
      </c>
    </row>
    <row r="818" spans="1:16" x14ac:dyDescent="0.25">
      <c r="G818">
        <v>2</v>
      </c>
      <c r="H818" t="s">
        <v>253</v>
      </c>
      <c r="I818">
        <v>2</v>
      </c>
      <c r="J818" s="6">
        <v>20</v>
      </c>
      <c r="M818" t="str">
        <f t="shared" si="36"/>
        <v>2023_SA_Warnertown_Lentil_Satellite</v>
      </c>
      <c r="N818">
        <f>I818</f>
        <v>2</v>
      </c>
      <c r="O818" t="str">
        <f t="shared" si="37"/>
        <v>2023_SA_Warnertown_Lentil_Satellite_20</v>
      </c>
      <c r="P818" t="str">
        <f t="shared" si="38"/>
        <v>2023_SA_Warnertown_Lentil_SatelliteTOS1VarietyKelpieXTWaterTrtRainFedAgronomyDensity_1</v>
      </c>
    </row>
    <row r="819" spans="1:16" x14ac:dyDescent="0.25">
      <c r="G819">
        <v>3</v>
      </c>
      <c r="H819" t="s">
        <v>253</v>
      </c>
      <c r="I819">
        <v>1</v>
      </c>
      <c r="J819" s="6">
        <v>34</v>
      </c>
      <c r="M819" t="str">
        <f t="shared" si="36"/>
        <v>2023_SA_Warnertown_Lentil_Satellite</v>
      </c>
      <c r="N819">
        <f>I819</f>
        <v>1</v>
      </c>
      <c r="O819" t="str">
        <f t="shared" si="37"/>
        <v>2023_SA_Warnertown_Lentil_Satellite_34</v>
      </c>
      <c r="P819" t="str">
        <f t="shared" si="38"/>
        <v>2023_SA_Warnertown_Lentil_SatelliteTOS1VarietyKelpieXTWaterTrtRainFedAgronomyDensity_1</v>
      </c>
    </row>
    <row r="820" spans="1:16" x14ac:dyDescent="0.25">
      <c r="G820">
        <v>4</v>
      </c>
      <c r="H820" t="s">
        <v>253</v>
      </c>
      <c r="I820">
        <v>2</v>
      </c>
      <c r="J820" s="6">
        <v>38</v>
      </c>
      <c r="M820" t="str">
        <f t="shared" si="36"/>
        <v>2023_SA_Warnertown_Lentil_Satellite</v>
      </c>
      <c r="N820">
        <f>I820</f>
        <v>2</v>
      </c>
      <c r="O820" t="str">
        <f t="shared" si="37"/>
        <v>2023_SA_Warnertown_Lentil_Satellite_38</v>
      </c>
      <c r="P820" t="str">
        <f t="shared" si="38"/>
        <v>2023_SA_Warnertown_Lentil_SatelliteTOS1VarietyKelpieXTWaterTrtRainFedAgronomyDensity_1</v>
      </c>
    </row>
    <row r="821" spans="1:16" x14ac:dyDescent="0.25">
      <c r="A821" t="s">
        <v>4339</v>
      </c>
      <c r="B821" t="s">
        <v>3033</v>
      </c>
      <c r="C821">
        <v>2</v>
      </c>
      <c r="D821" t="s">
        <v>4187</v>
      </c>
      <c r="E821" t="s">
        <v>40</v>
      </c>
      <c r="F821" t="s">
        <v>1511</v>
      </c>
      <c r="G821">
        <v>1</v>
      </c>
      <c r="H821" t="s">
        <v>253</v>
      </c>
      <c r="I821">
        <v>2</v>
      </c>
      <c r="J821" s="6">
        <v>11</v>
      </c>
      <c r="M821" t="str">
        <f t="shared" si="36"/>
        <v>2023_SA_Warnertown_Lentil_Satellite</v>
      </c>
      <c r="N821">
        <f>I821</f>
        <v>2</v>
      </c>
      <c r="O821" t="str">
        <f t="shared" si="37"/>
        <v>2023_SA_Warnertown_Lentil_Satellite_11</v>
      </c>
      <c r="P821" t="str">
        <f t="shared" si="38"/>
        <v>2023_SA_Warnertown_Lentil_SatelliteTOS2VarietyBoltWaterTrtRainFedAgronomyDensity_0.66</v>
      </c>
    </row>
    <row r="822" spans="1:16" x14ac:dyDescent="0.25">
      <c r="G822">
        <v>2</v>
      </c>
      <c r="H822" t="s">
        <v>253</v>
      </c>
      <c r="I822">
        <v>2</v>
      </c>
      <c r="J822" s="6">
        <v>17</v>
      </c>
      <c r="M822" t="str">
        <f t="shared" si="36"/>
        <v>2023_SA_Warnertown_Lentil_Satellite</v>
      </c>
      <c r="N822">
        <f>I822</f>
        <v>2</v>
      </c>
      <c r="O822" t="str">
        <f t="shared" si="37"/>
        <v>2023_SA_Warnertown_Lentil_Satellite_17</v>
      </c>
      <c r="P822" t="str">
        <f t="shared" si="38"/>
        <v>2023_SA_Warnertown_Lentil_SatelliteTOS2VarietyBoltWaterTrtRainFedAgronomyDensity_0.66</v>
      </c>
    </row>
    <row r="823" spans="1:16" x14ac:dyDescent="0.25">
      <c r="G823">
        <v>3</v>
      </c>
      <c r="H823" t="s">
        <v>253</v>
      </c>
      <c r="I823">
        <v>3</v>
      </c>
      <c r="J823" s="6">
        <v>30</v>
      </c>
      <c r="M823" t="str">
        <f t="shared" si="36"/>
        <v>2023_SA_Warnertown_Lentil_Satellite</v>
      </c>
      <c r="N823">
        <f>I823</f>
        <v>3</v>
      </c>
      <c r="O823" t="str">
        <f t="shared" si="37"/>
        <v>2023_SA_Warnertown_Lentil_Satellite_30</v>
      </c>
      <c r="P823" t="str">
        <f t="shared" si="38"/>
        <v>2023_SA_Warnertown_Lentil_SatelliteTOS2VarietyBoltWaterTrtRainFedAgronomyDensity_0.66</v>
      </c>
    </row>
    <row r="824" spans="1:16" x14ac:dyDescent="0.25">
      <c r="G824">
        <v>4</v>
      </c>
      <c r="H824" t="s">
        <v>253</v>
      </c>
      <c r="I824">
        <v>3</v>
      </c>
      <c r="J824" s="6">
        <v>45</v>
      </c>
      <c r="M824" t="str">
        <f t="shared" si="36"/>
        <v>2023_SA_Warnertown_Lentil_Satellite</v>
      </c>
      <c r="N824">
        <f>I824</f>
        <v>3</v>
      </c>
      <c r="O824" t="str">
        <f t="shared" si="37"/>
        <v>2023_SA_Warnertown_Lentil_Satellite_45</v>
      </c>
      <c r="P824" t="str">
        <f t="shared" si="38"/>
        <v>2023_SA_Warnertown_Lentil_SatelliteTOS2VarietyBoltWaterTrtRainFedAgronomyDensity_0.66</v>
      </c>
    </row>
    <row r="825" spans="1:16" x14ac:dyDescent="0.25">
      <c r="A825" t="s">
        <v>4340</v>
      </c>
      <c r="B825" t="s">
        <v>3033</v>
      </c>
      <c r="C825">
        <v>2</v>
      </c>
      <c r="D825" t="s">
        <v>4187</v>
      </c>
      <c r="E825" t="s">
        <v>40</v>
      </c>
      <c r="F825" t="s">
        <v>1513</v>
      </c>
      <c r="G825">
        <v>1</v>
      </c>
      <c r="H825" t="s">
        <v>253</v>
      </c>
      <c r="I825">
        <v>2</v>
      </c>
      <c r="J825" s="6">
        <v>8</v>
      </c>
      <c r="M825" t="str">
        <f t="shared" si="36"/>
        <v>2023_SA_Warnertown_Lentil_Satellite</v>
      </c>
      <c r="N825">
        <f>I825</f>
        <v>2</v>
      </c>
      <c r="O825" t="str">
        <f t="shared" si="37"/>
        <v>2023_SA_Warnertown_Lentil_Satellite_8</v>
      </c>
      <c r="P825" t="str">
        <f t="shared" si="38"/>
        <v>2023_SA_Warnertown_Lentil_SatelliteTOS2VarietyBoltWaterTrtRainFedAgronomyDensity_1</v>
      </c>
    </row>
    <row r="826" spans="1:16" x14ac:dyDescent="0.25">
      <c r="G826">
        <v>2</v>
      </c>
      <c r="H826" t="s">
        <v>253</v>
      </c>
      <c r="I826">
        <v>3</v>
      </c>
      <c r="J826" s="6">
        <v>15</v>
      </c>
      <c r="M826" t="str">
        <f t="shared" si="36"/>
        <v>2023_SA_Warnertown_Lentil_Satellite</v>
      </c>
      <c r="N826">
        <f>I826</f>
        <v>3</v>
      </c>
      <c r="O826" t="str">
        <f t="shared" si="37"/>
        <v>2023_SA_Warnertown_Lentil_Satellite_15</v>
      </c>
      <c r="P826" t="str">
        <f t="shared" si="38"/>
        <v>2023_SA_Warnertown_Lentil_SatelliteTOS2VarietyBoltWaterTrtRainFedAgronomyDensity_1</v>
      </c>
    </row>
    <row r="827" spans="1:16" x14ac:dyDescent="0.25">
      <c r="G827">
        <v>3</v>
      </c>
      <c r="H827" t="s">
        <v>253</v>
      </c>
      <c r="I827">
        <v>2</v>
      </c>
      <c r="J827" s="6">
        <v>26</v>
      </c>
      <c r="M827" t="str">
        <f t="shared" si="36"/>
        <v>2023_SA_Warnertown_Lentil_Satellite</v>
      </c>
      <c r="N827">
        <f>I827</f>
        <v>2</v>
      </c>
      <c r="O827" t="str">
        <f t="shared" si="37"/>
        <v>2023_SA_Warnertown_Lentil_Satellite_26</v>
      </c>
      <c r="P827" t="str">
        <f t="shared" si="38"/>
        <v>2023_SA_Warnertown_Lentil_SatelliteTOS2VarietyBoltWaterTrtRainFedAgronomyDensity_1</v>
      </c>
    </row>
    <row r="828" spans="1:16" x14ac:dyDescent="0.25">
      <c r="G828">
        <v>4</v>
      </c>
      <c r="H828" t="s">
        <v>253</v>
      </c>
      <c r="I828">
        <v>1</v>
      </c>
      <c r="J828" s="6">
        <v>43</v>
      </c>
      <c r="M828" t="str">
        <f t="shared" si="36"/>
        <v>2023_SA_Warnertown_Lentil_Satellite</v>
      </c>
      <c r="N828">
        <f>I828</f>
        <v>1</v>
      </c>
      <c r="O828" t="str">
        <f t="shared" si="37"/>
        <v>2023_SA_Warnertown_Lentil_Satellite_43</v>
      </c>
      <c r="P828" t="str">
        <f t="shared" si="38"/>
        <v>2023_SA_Warnertown_Lentil_SatelliteTOS2VarietyBoltWaterTrtRainFedAgronomyDensity_1</v>
      </c>
    </row>
    <row r="829" spans="1:16" x14ac:dyDescent="0.25">
      <c r="A829" t="s">
        <v>4341</v>
      </c>
      <c r="B829" t="s">
        <v>3033</v>
      </c>
      <c r="C829">
        <v>2</v>
      </c>
      <c r="D829" t="s">
        <v>4189</v>
      </c>
      <c r="E829" t="s">
        <v>40</v>
      </c>
      <c r="F829" t="s">
        <v>1513</v>
      </c>
      <c r="G829">
        <v>1</v>
      </c>
      <c r="H829" t="s">
        <v>253</v>
      </c>
      <c r="I829">
        <v>3</v>
      </c>
      <c r="J829" s="6">
        <v>9</v>
      </c>
      <c r="M829" t="str">
        <f t="shared" si="36"/>
        <v>2023_SA_Warnertown_Lentil_Satellite</v>
      </c>
      <c r="N829">
        <f>I829</f>
        <v>3</v>
      </c>
      <c r="O829" t="str">
        <f t="shared" si="37"/>
        <v>2023_SA_Warnertown_Lentil_Satellite_9</v>
      </c>
      <c r="P829" t="str">
        <f t="shared" si="38"/>
        <v>2023_SA_Warnertown_Lentil_SatelliteTOS2VarietyHallmarkXTWaterTrtRainFedAgronomyDensity_1</v>
      </c>
    </row>
    <row r="830" spans="1:16" x14ac:dyDescent="0.25">
      <c r="G830">
        <v>2</v>
      </c>
      <c r="H830" t="s">
        <v>253</v>
      </c>
      <c r="I830">
        <v>1</v>
      </c>
      <c r="J830" s="6">
        <v>13</v>
      </c>
      <c r="M830" t="str">
        <f t="shared" si="36"/>
        <v>2023_SA_Warnertown_Lentil_Satellite</v>
      </c>
      <c r="N830">
        <f>I830</f>
        <v>1</v>
      </c>
      <c r="O830" t="str">
        <f t="shared" si="37"/>
        <v>2023_SA_Warnertown_Lentil_Satellite_13</v>
      </c>
      <c r="P830" t="str">
        <f t="shared" si="38"/>
        <v>2023_SA_Warnertown_Lentil_SatelliteTOS2VarietyHallmarkXTWaterTrtRainFedAgronomyDensity_1</v>
      </c>
    </row>
    <row r="831" spans="1:16" x14ac:dyDescent="0.25">
      <c r="G831">
        <v>3</v>
      </c>
      <c r="H831" t="s">
        <v>253</v>
      </c>
      <c r="I831">
        <v>2</v>
      </c>
      <c r="J831" s="6">
        <v>29</v>
      </c>
      <c r="M831" t="str">
        <f t="shared" si="36"/>
        <v>2023_SA_Warnertown_Lentil_Satellite</v>
      </c>
      <c r="N831">
        <f>I831</f>
        <v>2</v>
      </c>
      <c r="O831" t="str">
        <f t="shared" si="37"/>
        <v>2023_SA_Warnertown_Lentil_Satellite_29</v>
      </c>
      <c r="P831" t="str">
        <f t="shared" si="38"/>
        <v>2023_SA_Warnertown_Lentil_SatelliteTOS2VarietyHallmarkXTWaterTrtRainFedAgronomyDensity_1</v>
      </c>
    </row>
    <row r="832" spans="1:16" x14ac:dyDescent="0.25">
      <c r="G832">
        <v>4</v>
      </c>
      <c r="H832" t="s">
        <v>253</v>
      </c>
      <c r="I832">
        <v>2</v>
      </c>
      <c r="J832" s="6">
        <v>44</v>
      </c>
      <c r="M832" t="str">
        <f t="shared" si="36"/>
        <v>2023_SA_Warnertown_Lentil_Satellite</v>
      </c>
      <c r="N832">
        <f>I832</f>
        <v>2</v>
      </c>
      <c r="O832" t="str">
        <f t="shared" si="37"/>
        <v>2023_SA_Warnertown_Lentil_Satellite_44</v>
      </c>
      <c r="P832" t="str">
        <f t="shared" si="38"/>
        <v>2023_SA_Warnertown_Lentil_SatelliteTOS2VarietyHallmarkXTWaterTrtRainFedAgronomyDensity_1</v>
      </c>
    </row>
    <row r="833" spans="1:16" x14ac:dyDescent="0.25">
      <c r="A833" t="s">
        <v>4342</v>
      </c>
      <c r="B833" t="s">
        <v>3033</v>
      </c>
      <c r="C833">
        <v>2</v>
      </c>
      <c r="D833" t="s">
        <v>4176</v>
      </c>
      <c r="E833" t="s">
        <v>40</v>
      </c>
      <c r="F833" t="s">
        <v>1511</v>
      </c>
      <c r="G833">
        <v>1</v>
      </c>
      <c r="H833" t="s">
        <v>253</v>
      </c>
      <c r="I833">
        <v>3</v>
      </c>
      <c r="J833" s="6">
        <v>12</v>
      </c>
      <c r="M833" t="str">
        <f t="shared" si="36"/>
        <v>2023_SA_Warnertown_Lentil_Satellite</v>
      </c>
      <c r="N833">
        <f>I833</f>
        <v>3</v>
      </c>
      <c r="O833" t="str">
        <f t="shared" si="37"/>
        <v>2023_SA_Warnertown_Lentil_Satellite_12</v>
      </c>
      <c r="P833" t="str">
        <f t="shared" si="38"/>
        <v>2023_SA_Warnertown_Lentil_SatelliteTOS2VarietyJumbo2WaterTrtRainFedAgronomyDensity_0.66</v>
      </c>
    </row>
    <row r="834" spans="1:16" x14ac:dyDescent="0.25">
      <c r="G834">
        <v>2</v>
      </c>
      <c r="H834" t="s">
        <v>253</v>
      </c>
      <c r="I834">
        <v>2</v>
      </c>
      <c r="J834" s="6">
        <v>14</v>
      </c>
      <c r="M834" t="str">
        <f t="shared" si="36"/>
        <v>2023_SA_Warnertown_Lentil_Satellite</v>
      </c>
      <c r="N834">
        <f>I834</f>
        <v>2</v>
      </c>
      <c r="O834" t="str">
        <f t="shared" si="37"/>
        <v>2023_SA_Warnertown_Lentil_Satellite_14</v>
      </c>
      <c r="P834" t="str">
        <f t="shared" si="38"/>
        <v>2023_SA_Warnertown_Lentil_SatelliteTOS2VarietyJumbo2WaterTrtRainFedAgronomyDensity_0.66</v>
      </c>
    </row>
    <row r="835" spans="1:16" x14ac:dyDescent="0.25">
      <c r="G835">
        <v>3</v>
      </c>
      <c r="H835" t="s">
        <v>253</v>
      </c>
      <c r="I835">
        <v>1</v>
      </c>
      <c r="J835" s="6">
        <v>25</v>
      </c>
      <c r="M835" t="str">
        <f t="shared" si="36"/>
        <v>2023_SA_Warnertown_Lentil_Satellite</v>
      </c>
      <c r="N835">
        <f>I835</f>
        <v>1</v>
      </c>
      <c r="O835" t="str">
        <f t="shared" si="37"/>
        <v>2023_SA_Warnertown_Lentil_Satellite_25</v>
      </c>
      <c r="P835" t="str">
        <f t="shared" si="38"/>
        <v>2023_SA_Warnertown_Lentil_SatelliteTOS2VarietyJumbo2WaterTrtRainFedAgronomyDensity_0.66</v>
      </c>
    </row>
    <row r="836" spans="1:16" x14ac:dyDescent="0.25">
      <c r="G836">
        <v>4</v>
      </c>
      <c r="H836" t="s">
        <v>253</v>
      </c>
      <c r="I836">
        <v>2</v>
      </c>
      <c r="J836" s="6">
        <v>47</v>
      </c>
      <c r="M836" t="str">
        <f t="shared" si="36"/>
        <v>2023_SA_Warnertown_Lentil_Satellite</v>
      </c>
      <c r="N836">
        <f>I836</f>
        <v>2</v>
      </c>
      <c r="O836" t="str">
        <f t="shared" si="37"/>
        <v>2023_SA_Warnertown_Lentil_Satellite_47</v>
      </c>
      <c r="P836" t="str">
        <f t="shared" si="38"/>
        <v>2023_SA_Warnertown_Lentil_SatelliteTOS2VarietyJumbo2WaterTrtRainFedAgronomyDensity_0.66</v>
      </c>
    </row>
    <row r="837" spans="1:16" x14ac:dyDescent="0.25">
      <c r="A837" t="s">
        <v>4343</v>
      </c>
      <c r="B837" t="s">
        <v>3033</v>
      </c>
      <c r="C837">
        <v>2</v>
      </c>
      <c r="D837" t="s">
        <v>4176</v>
      </c>
      <c r="E837" t="s">
        <v>40</v>
      </c>
      <c r="F837" t="s">
        <v>1513</v>
      </c>
      <c r="G837">
        <v>1</v>
      </c>
      <c r="H837" t="s">
        <v>253</v>
      </c>
      <c r="I837">
        <v>1</v>
      </c>
      <c r="J837" s="6">
        <v>7</v>
      </c>
      <c r="M837" t="str">
        <f t="shared" si="36"/>
        <v>2023_SA_Warnertown_Lentil_Satellite</v>
      </c>
      <c r="N837">
        <f>I837</f>
        <v>1</v>
      </c>
      <c r="O837" t="str">
        <f t="shared" si="37"/>
        <v>2023_SA_Warnertown_Lentil_Satellite_7</v>
      </c>
      <c r="P837" t="str">
        <f t="shared" si="38"/>
        <v>2023_SA_Warnertown_Lentil_SatelliteTOS2VarietyJumbo2WaterTrtRainFedAgronomyDensity_1</v>
      </c>
    </row>
    <row r="838" spans="1:16" x14ac:dyDescent="0.25">
      <c r="G838">
        <v>2</v>
      </c>
      <c r="H838" t="s">
        <v>253</v>
      </c>
      <c r="I838">
        <v>3</v>
      </c>
      <c r="J838" s="6">
        <v>18</v>
      </c>
      <c r="M838" t="str">
        <f t="shared" ref="M838:M901" si="39">IF(B838="",M837,B838)</f>
        <v>2023_SA_Warnertown_Lentil_Satellite</v>
      </c>
      <c r="N838">
        <f>I838</f>
        <v>3</v>
      </c>
      <c r="O838" t="str">
        <f t="shared" ref="O838:O901" si="40">M838&amp;"_"&amp;J838</f>
        <v>2023_SA_Warnertown_Lentil_Satellite_18</v>
      </c>
      <c r="P838" t="str">
        <f t="shared" ref="P838:P901" si="41">IF(A838="",P837,A838)</f>
        <v>2023_SA_Warnertown_Lentil_SatelliteTOS2VarietyJumbo2WaterTrtRainFedAgronomyDensity_1</v>
      </c>
    </row>
    <row r="839" spans="1:16" x14ac:dyDescent="0.25">
      <c r="G839">
        <v>3</v>
      </c>
      <c r="H839" t="s">
        <v>253</v>
      </c>
      <c r="I839">
        <v>1</v>
      </c>
      <c r="J839" s="6">
        <v>28</v>
      </c>
      <c r="M839" t="str">
        <f t="shared" si="39"/>
        <v>2023_SA_Warnertown_Lentil_Satellite</v>
      </c>
      <c r="N839">
        <f>I839</f>
        <v>1</v>
      </c>
      <c r="O839" t="str">
        <f t="shared" si="40"/>
        <v>2023_SA_Warnertown_Lentil_Satellite_28</v>
      </c>
      <c r="P839" t="str">
        <f t="shared" si="41"/>
        <v>2023_SA_Warnertown_Lentil_SatelliteTOS2VarietyJumbo2WaterTrtRainFedAgronomyDensity_1</v>
      </c>
    </row>
    <row r="840" spans="1:16" x14ac:dyDescent="0.25">
      <c r="G840">
        <v>4</v>
      </c>
      <c r="H840" t="s">
        <v>253</v>
      </c>
      <c r="I840">
        <v>1</v>
      </c>
      <c r="J840" s="6">
        <v>46</v>
      </c>
      <c r="M840" t="str">
        <f t="shared" si="39"/>
        <v>2023_SA_Warnertown_Lentil_Satellite</v>
      </c>
      <c r="N840">
        <f>I840</f>
        <v>1</v>
      </c>
      <c r="O840" t="str">
        <f t="shared" si="40"/>
        <v>2023_SA_Warnertown_Lentil_Satellite_46</v>
      </c>
      <c r="P840" t="str">
        <f t="shared" si="41"/>
        <v>2023_SA_Warnertown_Lentil_SatelliteTOS2VarietyJumbo2WaterTrtRainFedAgronomyDensity_1</v>
      </c>
    </row>
    <row r="841" spans="1:16" x14ac:dyDescent="0.25">
      <c r="A841" t="s">
        <v>4344</v>
      </c>
      <c r="B841" t="s">
        <v>3033</v>
      </c>
      <c r="C841">
        <v>2</v>
      </c>
      <c r="D841" t="s">
        <v>4188</v>
      </c>
      <c r="E841" t="s">
        <v>40</v>
      </c>
      <c r="F841" t="s">
        <v>1513</v>
      </c>
      <c r="G841">
        <v>1</v>
      </c>
      <c r="H841" t="s">
        <v>253</v>
      </c>
      <c r="I841">
        <v>1</v>
      </c>
      <c r="J841" s="6">
        <v>10</v>
      </c>
      <c r="M841" t="str">
        <f t="shared" si="39"/>
        <v>2023_SA_Warnertown_Lentil_Satellite</v>
      </c>
      <c r="N841">
        <f>I841</f>
        <v>1</v>
      </c>
      <c r="O841" t="str">
        <f t="shared" si="40"/>
        <v>2023_SA_Warnertown_Lentil_Satellite_10</v>
      </c>
      <c r="P841" t="str">
        <f t="shared" si="41"/>
        <v>2023_SA_Warnertown_Lentil_SatelliteTOS2VarietyKelpieXTWaterTrtRainFedAgronomyDensity_1</v>
      </c>
    </row>
    <row r="842" spans="1:16" x14ac:dyDescent="0.25">
      <c r="G842">
        <v>2</v>
      </c>
      <c r="H842" t="s">
        <v>253</v>
      </c>
      <c r="I842">
        <v>1</v>
      </c>
      <c r="J842" s="6">
        <v>16</v>
      </c>
      <c r="M842" t="str">
        <f t="shared" si="39"/>
        <v>2023_SA_Warnertown_Lentil_Satellite</v>
      </c>
      <c r="N842">
        <f>I842</f>
        <v>1</v>
      </c>
      <c r="O842" t="str">
        <f t="shared" si="40"/>
        <v>2023_SA_Warnertown_Lentil_Satellite_16</v>
      </c>
      <c r="P842" t="str">
        <f t="shared" si="41"/>
        <v>2023_SA_Warnertown_Lentil_SatelliteTOS2VarietyKelpieXTWaterTrtRainFedAgronomyDensity_1</v>
      </c>
    </row>
    <row r="843" spans="1:16" x14ac:dyDescent="0.25">
      <c r="G843">
        <v>3</v>
      </c>
      <c r="H843" t="s">
        <v>253</v>
      </c>
      <c r="I843">
        <v>3</v>
      </c>
      <c r="J843" s="6">
        <v>27</v>
      </c>
      <c r="M843" t="str">
        <f t="shared" si="39"/>
        <v>2023_SA_Warnertown_Lentil_Satellite</v>
      </c>
      <c r="N843">
        <f>I843</f>
        <v>3</v>
      </c>
      <c r="O843" t="str">
        <f t="shared" si="40"/>
        <v>2023_SA_Warnertown_Lentil_Satellite_27</v>
      </c>
      <c r="P843" t="str">
        <f t="shared" si="41"/>
        <v>2023_SA_Warnertown_Lentil_SatelliteTOS2VarietyKelpieXTWaterTrtRainFedAgronomyDensity_1</v>
      </c>
    </row>
    <row r="844" spans="1:16" x14ac:dyDescent="0.25">
      <c r="G844">
        <v>4</v>
      </c>
      <c r="H844" t="s">
        <v>253</v>
      </c>
      <c r="I844">
        <v>3</v>
      </c>
      <c r="J844" s="6">
        <v>48</v>
      </c>
      <c r="M844" t="str">
        <f t="shared" si="39"/>
        <v>2023_SA_Warnertown_Lentil_Satellite</v>
      </c>
      <c r="N844">
        <f>I844</f>
        <v>3</v>
      </c>
      <c r="O844" t="str">
        <f t="shared" si="40"/>
        <v>2023_SA_Warnertown_Lentil_Satellite_48</v>
      </c>
      <c r="P844" t="str">
        <f t="shared" si="41"/>
        <v>2023_SA_Warnertown_Lentil_SatelliteTOS2VarietyKelpieXTWaterTrtRainFedAgronomyDensity_1</v>
      </c>
    </row>
    <row r="845" spans="1:16" x14ac:dyDescent="0.25">
      <c r="A845" t="s">
        <v>4345</v>
      </c>
      <c r="B845" t="s">
        <v>2583</v>
      </c>
      <c r="C845">
        <v>1</v>
      </c>
      <c r="D845" t="s">
        <v>4187</v>
      </c>
      <c r="E845" t="s">
        <v>57</v>
      </c>
      <c r="F845" t="s">
        <v>4398</v>
      </c>
      <c r="G845">
        <v>1</v>
      </c>
      <c r="H845" t="s">
        <v>250</v>
      </c>
      <c r="I845">
        <v>1</v>
      </c>
      <c r="J845" s="6">
        <v>5</v>
      </c>
      <c r="M845" t="str">
        <f t="shared" si="39"/>
        <v>2023_Vic_Dooen_Lentil_Detailed</v>
      </c>
      <c r="N845">
        <f>I845</f>
        <v>1</v>
      </c>
      <c r="O845" t="str">
        <f t="shared" si="40"/>
        <v>2023_Vic_Dooen_Lentil_Detailed_5</v>
      </c>
      <c r="P845" t="str">
        <f t="shared" si="41"/>
        <v>2023_Vic_Dooen_Lentil_DetailedTOS1VarietyBoltWaterTrtIrrigated</v>
      </c>
    </row>
    <row r="846" spans="1:16" x14ac:dyDescent="0.25">
      <c r="H846" t="s">
        <v>253</v>
      </c>
      <c r="I846">
        <v>1</v>
      </c>
      <c r="J846" s="6">
        <v>1</v>
      </c>
      <c r="M846" t="str">
        <f t="shared" si="39"/>
        <v>2023_Vic_Dooen_Lentil_Detailed</v>
      </c>
      <c r="N846">
        <f>I846</f>
        <v>1</v>
      </c>
      <c r="O846" t="str">
        <f t="shared" si="40"/>
        <v>2023_Vic_Dooen_Lentil_Detailed_1</v>
      </c>
      <c r="P846" t="str">
        <f t="shared" si="41"/>
        <v>2023_Vic_Dooen_Lentil_DetailedTOS1VarietyBoltWaterTrtIrrigated</v>
      </c>
    </row>
    <row r="847" spans="1:16" x14ac:dyDescent="0.25">
      <c r="G847">
        <v>2</v>
      </c>
      <c r="H847" t="s">
        <v>250</v>
      </c>
      <c r="I847">
        <v>4</v>
      </c>
      <c r="J847" s="6">
        <v>40</v>
      </c>
      <c r="M847" t="str">
        <f t="shared" si="39"/>
        <v>2023_Vic_Dooen_Lentil_Detailed</v>
      </c>
      <c r="N847">
        <f>I847</f>
        <v>4</v>
      </c>
      <c r="O847" t="str">
        <f t="shared" si="40"/>
        <v>2023_Vic_Dooen_Lentil_Detailed_40</v>
      </c>
      <c r="P847" t="str">
        <f t="shared" si="41"/>
        <v>2023_Vic_Dooen_Lentil_DetailedTOS1VarietyBoltWaterTrtIrrigated</v>
      </c>
    </row>
    <row r="848" spans="1:16" x14ac:dyDescent="0.25">
      <c r="H848" t="s">
        <v>253</v>
      </c>
      <c r="I848">
        <v>4</v>
      </c>
      <c r="J848" s="6">
        <v>36</v>
      </c>
      <c r="M848" t="str">
        <f t="shared" si="39"/>
        <v>2023_Vic_Dooen_Lentil_Detailed</v>
      </c>
      <c r="N848">
        <f>I848</f>
        <v>4</v>
      </c>
      <c r="O848" t="str">
        <f t="shared" si="40"/>
        <v>2023_Vic_Dooen_Lentil_Detailed_36</v>
      </c>
      <c r="P848" t="str">
        <f t="shared" si="41"/>
        <v>2023_Vic_Dooen_Lentil_DetailedTOS1VarietyBoltWaterTrtIrrigated</v>
      </c>
    </row>
    <row r="849" spans="1:16" x14ac:dyDescent="0.25">
      <c r="G849">
        <v>3</v>
      </c>
      <c r="H849" t="s">
        <v>250</v>
      </c>
      <c r="I849">
        <v>3</v>
      </c>
      <c r="J849" s="6">
        <v>95</v>
      </c>
      <c r="M849" t="str">
        <f t="shared" si="39"/>
        <v>2023_Vic_Dooen_Lentil_Detailed</v>
      </c>
      <c r="N849">
        <f>I849</f>
        <v>3</v>
      </c>
      <c r="O849" t="str">
        <f t="shared" si="40"/>
        <v>2023_Vic_Dooen_Lentil_Detailed_95</v>
      </c>
      <c r="P849" t="str">
        <f t="shared" si="41"/>
        <v>2023_Vic_Dooen_Lentil_DetailedTOS1VarietyBoltWaterTrtIrrigated</v>
      </c>
    </row>
    <row r="850" spans="1:16" x14ac:dyDescent="0.25">
      <c r="H850" t="s">
        <v>253</v>
      </c>
      <c r="I850">
        <v>3</v>
      </c>
      <c r="J850" s="6">
        <v>91</v>
      </c>
      <c r="M850" t="str">
        <f t="shared" si="39"/>
        <v>2023_Vic_Dooen_Lentil_Detailed</v>
      </c>
      <c r="N850">
        <f>I850</f>
        <v>3</v>
      </c>
      <c r="O850" t="str">
        <f t="shared" si="40"/>
        <v>2023_Vic_Dooen_Lentil_Detailed_91</v>
      </c>
      <c r="P850" t="str">
        <f t="shared" si="41"/>
        <v>2023_Vic_Dooen_Lentil_DetailedTOS1VarietyBoltWaterTrtIrrigated</v>
      </c>
    </row>
    <row r="851" spans="1:16" x14ac:dyDescent="0.25">
      <c r="G851">
        <v>4</v>
      </c>
      <c r="H851" t="s">
        <v>250</v>
      </c>
      <c r="I851">
        <v>2</v>
      </c>
      <c r="J851" s="6">
        <v>118</v>
      </c>
      <c r="M851" t="str">
        <f t="shared" si="39"/>
        <v>2023_Vic_Dooen_Lentil_Detailed</v>
      </c>
      <c r="N851">
        <f>I851</f>
        <v>2</v>
      </c>
      <c r="O851" t="str">
        <f t="shared" si="40"/>
        <v>2023_Vic_Dooen_Lentil_Detailed_118</v>
      </c>
      <c r="P851" t="str">
        <f t="shared" si="41"/>
        <v>2023_Vic_Dooen_Lentil_DetailedTOS1VarietyBoltWaterTrtIrrigated</v>
      </c>
    </row>
    <row r="852" spans="1:16" x14ac:dyDescent="0.25">
      <c r="H852" t="s">
        <v>253</v>
      </c>
      <c r="I852">
        <v>2</v>
      </c>
      <c r="J852" s="6">
        <v>114</v>
      </c>
      <c r="M852" t="str">
        <f t="shared" si="39"/>
        <v>2023_Vic_Dooen_Lentil_Detailed</v>
      </c>
      <c r="N852">
        <f>I852</f>
        <v>2</v>
      </c>
      <c r="O852" t="str">
        <f t="shared" si="40"/>
        <v>2023_Vic_Dooen_Lentil_Detailed_114</v>
      </c>
      <c r="P852" t="str">
        <f t="shared" si="41"/>
        <v>2023_Vic_Dooen_Lentil_DetailedTOS1VarietyBoltWaterTrtIrrigated</v>
      </c>
    </row>
    <row r="853" spans="1:16" x14ac:dyDescent="0.25">
      <c r="A853" t="s">
        <v>4346</v>
      </c>
      <c r="B853" t="s">
        <v>2583</v>
      </c>
      <c r="C853">
        <v>1</v>
      </c>
      <c r="D853" t="s">
        <v>4187</v>
      </c>
      <c r="E853" t="s">
        <v>40</v>
      </c>
      <c r="F853" t="s">
        <v>4398</v>
      </c>
      <c r="G853">
        <v>1</v>
      </c>
      <c r="H853" t="s">
        <v>250</v>
      </c>
      <c r="I853">
        <v>4</v>
      </c>
      <c r="J853" s="6">
        <v>16</v>
      </c>
      <c r="M853" t="str">
        <f t="shared" si="39"/>
        <v>2023_Vic_Dooen_Lentil_Detailed</v>
      </c>
      <c r="N853">
        <f>I853</f>
        <v>4</v>
      </c>
      <c r="O853" t="str">
        <f t="shared" si="40"/>
        <v>2023_Vic_Dooen_Lentil_Detailed_16</v>
      </c>
      <c r="P853" t="str">
        <f t="shared" si="41"/>
        <v>2023_Vic_Dooen_Lentil_DetailedTOS1VarietyBoltWaterTrtRainFed</v>
      </c>
    </row>
    <row r="854" spans="1:16" x14ac:dyDescent="0.25">
      <c r="H854" t="s">
        <v>253</v>
      </c>
      <c r="I854">
        <v>4</v>
      </c>
      <c r="J854" s="6">
        <v>12</v>
      </c>
      <c r="M854" t="str">
        <f t="shared" si="39"/>
        <v>2023_Vic_Dooen_Lentil_Detailed</v>
      </c>
      <c r="N854">
        <f>I854</f>
        <v>4</v>
      </c>
      <c r="O854" t="str">
        <f t="shared" si="40"/>
        <v>2023_Vic_Dooen_Lentil_Detailed_12</v>
      </c>
      <c r="P854" t="str">
        <f t="shared" si="41"/>
        <v>2023_Vic_Dooen_Lentil_DetailedTOS1VarietyBoltWaterTrtRainFed</v>
      </c>
    </row>
    <row r="855" spans="1:16" x14ac:dyDescent="0.25">
      <c r="G855">
        <v>2</v>
      </c>
      <c r="H855" t="s">
        <v>250</v>
      </c>
      <c r="I855">
        <v>1</v>
      </c>
      <c r="J855" s="6">
        <v>45</v>
      </c>
      <c r="M855" t="str">
        <f t="shared" si="39"/>
        <v>2023_Vic_Dooen_Lentil_Detailed</v>
      </c>
      <c r="N855">
        <f>I855</f>
        <v>1</v>
      </c>
      <c r="O855" t="str">
        <f t="shared" si="40"/>
        <v>2023_Vic_Dooen_Lentil_Detailed_45</v>
      </c>
      <c r="P855" t="str">
        <f t="shared" si="41"/>
        <v>2023_Vic_Dooen_Lentil_DetailedTOS1VarietyBoltWaterTrtRainFed</v>
      </c>
    </row>
    <row r="856" spans="1:16" x14ac:dyDescent="0.25">
      <c r="H856" t="s">
        <v>253</v>
      </c>
      <c r="I856">
        <v>1</v>
      </c>
      <c r="J856" s="6">
        <v>41</v>
      </c>
      <c r="M856" t="str">
        <f t="shared" si="39"/>
        <v>2023_Vic_Dooen_Lentil_Detailed</v>
      </c>
      <c r="N856">
        <f>I856</f>
        <v>1</v>
      </c>
      <c r="O856" t="str">
        <f t="shared" si="40"/>
        <v>2023_Vic_Dooen_Lentil_Detailed_41</v>
      </c>
      <c r="P856" t="str">
        <f t="shared" si="41"/>
        <v>2023_Vic_Dooen_Lentil_DetailedTOS1VarietyBoltWaterTrtRainFed</v>
      </c>
    </row>
    <row r="857" spans="1:16" x14ac:dyDescent="0.25">
      <c r="G857">
        <v>3</v>
      </c>
      <c r="H857" t="s">
        <v>250</v>
      </c>
      <c r="I857">
        <v>1</v>
      </c>
      <c r="J857" s="6">
        <v>85</v>
      </c>
      <c r="M857" t="str">
        <f t="shared" si="39"/>
        <v>2023_Vic_Dooen_Lentil_Detailed</v>
      </c>
      <c r="N857">
        <f>I857</f>
        <v>1</v>
      </c>
      <c r="O857" t="str">
        <f t="shared" si="40"/>
        <v>2023_Vic_Dooen_Lentil_Detailed_85</v>
      </c>
      <c r="P857" t="str">
        <f t="shared" si="41"/>
        <v>2023_Vic_Dooen_Lentil_DetailedTOS1VarietyBoltWaterTrtRainFed</v>
      </c>
    </row>
    <row r="858" spans="1:16" x14ac:dyDescent="0.25">
      <c r="H858" t="s">
        <v>253</v>
      </c>
      <c r="I858">
        <v>1</v>
      </c>
      <c r="J858" s="6">
        <v>81</v>
      </c>
      <c r="M858" t="str">
        <f t="shared" si="39"/>
        <v>2023_Vic_Dooen_Lentil_Detailed</v>
      </c>
      <c r="N858">
        <f>I858</f>
        <v>1</v>
      </c>
      <c r="O858" t="str">
        <f t="shared" si="40"/>
        <v>2023_Vic_Dooen_Lentil_Detailed_81</v>
      </c>
      <c r="P858" t="str">
        <f t="shared" si="41"/>
        <v>2023_Vic_Dooen_Lentil_DetailedTOS1VarietyBoltWaterTrtRainFed</v>
      </c>
    </row>
    <row r="859" spans="1:16" x14ac:dyDescent="0.25">
      <c r="G859">
        <v>4</v>
      </c>
      <c r="H859" t="s">
        <v>250</v>
      </c>
      <c r="I859">
        <v>4</v>
      </c>
      <c r="J859" s="6">
        <v>128</v>
      </c>
      <c r="M859" t="str">
        <f t="shared" si="39"/>
        <v>2023_Vic_Dooen_Lentil_Detailed</v>
      </c>
      <c r="N859">
        <f>I859</f>
        <v>4</v>
      </c>
      <c r="O859" t="str">
        <f t="shared" si="40"/>
        <v>2023_Vic_Dooen_Lentil_Detailed_128</v>
      </c>
      <c r="P859" t="str">
        <f t="shared" si="41"/>
        <v>2023_Vic_Dooen_Lentil_DetailedTOS1VarietyBoltWaterTrtRainFed</v>
      </c>
    </row>
    <row r="860" spans="1:16" x14ac:dyDescent="0.25">
      <c r="H860" t="s">
        <v>253</v>
      </c>
      <c r="I860">
        <v>4</v>
      </c>
      <c r="J860" s="6">
        <v>124</v>
      </c>
      <c r="M860" t="str">
        <f t="shared" si="39"/>
        <v>2023_Vic_Dooen_Lentil_Detailed</v>
      </c>
      <c r="N860">
        <f>I860</f>
        <v>4</v>
      </c>
      <c r="O860" t="str">
        <f t="shared" si="40"/>
        <v>2023_Vic_Dooen_Lentil_Detailed_124</v>
      </c>
      <c r="P860" t="str">
        <f t="shared" si="41"/>
        <v>2023_Vic_Dooen_Lentil_DetailedTOS1VarietyBoltWaterTrtRainFed</v>
      </c>
    </row>
    <row r="861" spans="1:16" x14ac:dyDescent="0.25">
      <c r="A861" t="s">
        <v>4347</v>
      </c>
      <c r="B861" t="s">
        <v>2583</v>
      </c>
      <c r="C861">
        <v>1</v>
      </c>
      <c r="D861" t="s">
        <v>4189</v>
      </c>
      <c r="E861" t="s">
        <v>57</v>
      </c>
      <c r="F861" t="s">
        <v>4398</v>
      </c>
      <c r="G861">
        <v>1</v>
      </c>
      <c r="H861" t="s">
        <v>250</v>
      </c>
      <c r="I861">
        <v>2</v>
      </c>
      <c r="J861" s="6">
        <v>14</v>
      </c>
      <c r="M861" t="str">
        <f t="shared" si="39"/>
        <v>2023_Vic_Dooen_Lentil_Detailed</v>
      </c>
      <c r="N861">
        <f>I861</f>
        <v>2</v>
      </c>
      <c r="O861" t="str">
        <f t="shared" si="40"/>
        <v>2023_Vic_Dooen_Lentil_Detailed_14</v>
      </c>
      <c r="P861" t="str">
        <f t="shared" si="41"/>
        <v>2023_Vic_Dooen_Lentil_DetailedTOS1VarietyHallmarkXTWaterTrtIrrigated</v>
      </c>
    </row>
    <row r="862" spans="1:16" x14ac:dyDescent="0.25">
      <c r="H862" t="s">
        <v>253</v>
      </c>
      <c r="I862">
        <v>2</v>
      </c>
      <c r="J862" s="6">
        <v>10</v>
      </c>
      <c r="M862" t="str">
        <f t="shared" si="39"/>
        <v>2023_Vic_Dooen_Lentil_Detailed</v>
      </c>
      <c r="N862">
        <f>I862</f>
        <v>2</v>
      </c>
      <c r="O862" t="str">
        <f t="shared" si="40"/>
        <v>2023_Vic_Dooen_Lentil_Detailed_10</v>
      </c>
      <c r="P862" t="str">
        <f t="shared" si="41"/>
        <v>2023_Vic_Dooen_Lentil_DetailedTOS1VarietyHallmarkXTWaterTrtIrrigated</v>
      </c>
    </row>
    <row r="863" spans="1:16" x14ac:dyDescent="0.25">
      <c r="G863">
        <v>2</v>
      </c>
      <c r="H863" t="s">
        <v>250</v>
      </c>
      <c r="I863">
        <v>3</v>
      </c>
      <c r="J863" s="6">
        <v>39</v>
      </c>
      <c r="M863" t="str">
        <f t="shared" si="39"/>
        <v>2023_Vic_Dooen_Lentil_Detailed</v>
      </c>
      <c r="N863">
        <f>I863</f>
        <v>3</v>
      </c>
      <c r="O863" t="str">
        <f t="shared" si="40"/>
        <v>2023_Vic_Dooen_Lentil_Detailed_39</v>
      </c>
      <c r="P863" t="str">
        <f t="shared" si="41"/>
        <v>2023_Vic_Dooen_Lentil_DetailedTOS1VarietyHallmarkXTWaterTrtIrrigated</v>
      </c>
    </row>
    <row r="864" spans="1:16" x14ac:dyDescent="0.25">
      <c r="H864" t="s">
        <v>253</v>
      </c>
      <c r="I864">
        <v>3</v>
      </c>
      <c r="J864" s="6">
        <v>35</v>
      </c>
      <c r="M864" t="str">
        <f t="shared" si="39"/>
        <v>2023_Vic_Dooen_Lentil_Detailed</v>
      </c>
      <c r="N864">
        <f>I864</f>
        <v>3</v>
      </c>
      <c r="O864" t="str">
        <f t="shared" si="40"/>
        <v>2023_Vic_Dooen_Lentil_Detailed_35</v>
      </c>
      <c r="P864" t="str">
        <f t="shared" si="41"/>
        <v>2023_Vic_Dooen_Lentil_DetailedTOS1VarietyHallmarkXTWaterTrtIrrigated</v>
      </c>
    </row>
    <row r="865" spans="1:16" x14ac:dyDescent="0.25">
      <c r="G865">
        <v>3</v>
      </c>
      <c r="H865" t="s">
        <v>250</v>
      </c>
      <c r="I865">
        <v>4</v>
      </c>
      <c r="J865" s="6">
        <v>88</v>
      </c>
      <c r="M865" t="str">
        <f t="shared" si="39"/>
        <v>2023_Vic_Dooen_Lentil_Detailed</v>
      </c>
      <c r="N865">
        <f>I865</f>
        <v>4</v>
      </c>
      <c r="O865" t="str">
        <f t="shared" si="40"/>
        <v>2023_Vic_Dooen_Lentil_Detailed_88</v>
      </c>
      <c r="P865" t="str">
        <f t="shared" si="41"/>
        <v>2023_Vic_Dooen_Lentil_DetailedTOS1VarietyHallmarkXTWaterTrtIrrigated</v>
      </c>
    </row>
    <row r="866" spans="1:16" x14ac:dyDescent="0.25">
      <c r="H866" t="s">
        <v>253</v>
      </c>
      <c r="I866">
        <v>4</v>
      </c>
      <c r="J866" s="6">
        <v>84</v>
      </c>
      <c r="M866" t="str">
        <f t="shared" si="39"/>
        <v>2023_Vic_Dooen_Lentil_Detailed</v>
      </c>
      <c r="N866">
        <f>I866</f>
        <v>4</v>
      </c>
      <c r="O866" t="str">
        <f t="shared" si="40"/>
        <v>2023_Vic_Dooen_Lentil_Detailed_84</v>
      </c>
      <c r="P866" t="str">
        <f t="shared" si="41"/>
        <v>2023_Vic_Dooen_Lentil_DetailedTOS1VarietyHallmarkXTWaterTrtIrrigated</v>
      </c>
    </row>
    <row r="867" spans="1:16" x14ac:dyDescent="0.25">
      <c r="G867">
        <v>4</v>
      </c>
      <c r="H867" t="s">
        <v>250</v>
      </c>
      <c r="I867">
        <v>1</v>
      </c>
      <c r="J867" s="6">
        <v>125</v>
      </c>
      <c r="M867" t="str">
        <f t="shared" si="39"/>
        <v>2023_Vic_Dooen_Lentil_Detailed</v>
      </c>
      <c r="N867">
        <f>I867</f>
        <v>1</v>
      </c>
      <c r="O867" t="str">
        <f t="shared" si="40"/>
        <v>2023_Vic_Dooen_Lentil_Detailed_125</v>
      </c>
      <c r="P867" t="str">
        <f t="shared" si="41"/>
        <v>2023_Vic_Dooen_Lentil_DetailedTOS1VarietyHallmarkXTWaterTrtIrrigated</v>
      </c>
    </row>
    <row r="868" spans="1:16" x14ac:dyDescent="0.25">
      <c r="H868" t="s">
        <v>253</v>
      </c>
      <c r="I868">
        <v>1</v>
      </c>
      <c r="J868" s="6">
        <v>121</v>
      </c>
      <c r="M868" t="str">
        <f t="shared" si="39"/>
        <v>2023_Vic_Dooen_Lentil_Detailed</v>
      </c>
      <c r="N868">
        <f>I868</f>
        <v>1</v>
      </c>
      <c r="O868" t="str">
        <f t="shared" si="40"/>
        <v>2023_Vic_Dooen_Lentil_Detailed_121</v>
      </c>
      <c r="P868" t="str">
        <f t="shared" si="41"/>
        <v>2023_Vic_Dooen_Lentil_DetailedTOS1VarietyHallmarkXTWaterTrtIrrigated</v>
      </c>
    </row>
    <row r="869" spans="1:16" x14ac:dyDescent="0.25">
      <c r="A869" t="s">
        <v>4348</v>
      </c>
      <c r="B869" t="s">
        <v>2583</v>
      </c>
      <c r="C869">
        <v>1</v>
      </c>
      <c r="D869" t="s">
        <v>4189</v>
      </c>
      <c r="E869" t="s">
        <v>40</v>
      </c>
      <c r="F869" t="s">
        <v>4398</v>
      </c>
      <c r="G869">
        <v>1</v>
      </c>
      <c r="H869" t="s">
        <v>250</v>
      </c>
      <c r="I869">
        <v>4</v>
      </c>
      <c r="J869" s="6">
        <v>8</v>
      </c>
      <c r="M869" t="str">
        <f t="shared" si="39"/>
        <v>2023_Vic_Dooen_Lentil_Detailed</v>
      </c>
      <c r="N869">
        <f>I869</f>
        <v>4</v>
      </c>
      <c r="O869" t="str">
        <f t="shared" si="40"/>
        <v>2023_Vic_Dooen_Lentil_Detailed_8</v>
      </c>
      <c r="P869" t="str">
        <f t="shared" si="41"/>
        <v>2023_Vic_Dooen_Lentil_DetailedTOS1VarietyHallmarkXTWaterTrtRainFed</v>
      </c>
    </row>
    <row r="870" spans="1:16" x14ac:dyDescent="0.25">
      <c r="H870" t="s">
        <v>253</v>
      </c>
      <c r="I870">
        <v>4</v>
      </c>
      <c r="J870" s="6">
        <v>4</v>
      </c>
      <c r="M870" t="str">
        <f t="shared" si="39"/>
        <v>2023_Vic_Dooen_Lentil_Detailed</v>
      </c>
      <c r="N870">
        <f>I870</f>
        <v>4</v>
      </c>
      <c r="O870" t="str">
        <f t="shared" si="40"/>
        <v>2023_Vic_Dooen_Lentil_Detailed_4</v>
      </c>
      <c r="P870" t="str">
        <f t="shared" si="41"/>
        <v>2023_Vic_Dooen_Lentil_DetailedTOS1VarietyHallmarkXTWaterTrtRainFed</v>
      </c>
    </row>
    <row r="871" spans="1:16" x14ac:dyDescent="0.25">
      <c r="G871">
        <v>2</v>
      </c>
      <c r="H871" t="s">
        <v>250</v>
      </c>
      <c r="I871">
        <v>2</v>
      </c>
      <c r="J871" s="6">
        <v>46</v>
      </c>
      <c r="M871" t="str">
        <f t="shared" si="39"/>
        <v>2023_Vic_Dooen_Lentil_Detailed</v>
      </c>
      <c r="N871">
        <f>I871</f>
        <v>2</v>
      </c>
      <c r="O871" t="str">
        <f t="shared" si="40"/>
        <v>2023_Vic_Dooen_Lentil_Detailed_46</v>
      </c>
      <c r="P871" t="str">
        <f t="shared" si="41"/>
        <v>2023_Vic_Dooen_Lentil_DetailedTOS1VarietyHallmarkXTWaterTrtRainFed</v>
      </c>
    </row>
    <row r="872" spans="1:16" x14ac:dyDescent="0.25">
      <c r="H872" t="s">
        <v>253</v>
      </c>
      <c r="I872">
        <v>2</v>
      </c>
      <c r="J872" s="6">
        <v>42</v>
      </c>
      <c r="M872" t="str">
        <f t="shared" si="39"/>
        <v>2023_Vic_Dooen_Lentil_Detailed</v>
      </c>
      <c r="N872">
        <f>I872</f>
        <v>2</v>
      </c>
      <c r="O872" t="str">
        <f t="shared" si="40"/>
        <v>2023_Vic_Dooen_Lentil_Detailed_42</v>
      </c>
      <c r="P872" t="str">
        <f t="shared" si="41"/>
        <v>2023_Vic_Dooen_Lentil_DetailedTOS1VarietyHallmarkXTWaterTrtRainFed</v>
      </c>
    </row>
    <row r="873" spans="1:16" x14ac:dyDescent="0.25">
      <c r="G873">
        <v>3</v>
      </c>
      <c r="H873" t="s">
        <v>250</v>
      </c>
      <c r="I873">
        <v>1</v>
      </c>
      <c r="J873" s="6">
        <v>93</v>
      </c>
      <c r="M873" t="str">
        <f t="shared" si="39"/>
        <v>2023_Vic_Dooen_Lentil_Detailed</v>
      </c>
      <c r="N873">
        <f>I873</f>
        <v>1</v>
      </c>
      <c r="O873" t="str">
        <f t="shared" si="40"/>
        <v>2023_Vic_Dooen_Lentil_Detailed_93</v>
      </c>
      <c r="P873" t="str">
        <f t="shared" si="41"/>
        <v>2023_Vic_Dooen_Lentil_DetailedTOS1VarietyHallmarkXTWaterTrtRainFed</v>
      </c>
    </row>
    <row r="874" spans="1:16" x14ac:dyDescent="0.25">
      <c r="H874" t="s">
        <v>253</v>
      </c>
      <c r="I874">
        <v>1</v>
      </c>
      <c r="J874" s="6">
        <v>89</v>
      </c>
      <c r="M874" t="str">
        <f t="shared" si="39"/>
        <v>2023_Vic_Dooen_Lentil_Detailed</v>
      </c>
      <c r="N874">
        <f>I874</f>
        <v>1</v>
      </c>
      <c r="O874" t="str">
        <f t="shared" si="40"/>
        <v>2023_Vic_Dooen_Lentil_Detailed_89</v>
      </c>
      <c r="P874" t="str">
        <f t="shared" si="41"/>
        <v>2023_Vic_Dooen_Lentil_DetailedTOS1VarietyHallmarkXTWaterTrtRainFed</v>
      </c>
    </row>
    <row r="875" spans="1:16" x14ac:dyDescent="0.25">
      <c r="G875">
        <v>4</v>
      </c>
      <c r="H875" t="s">
        <v>250</v>
      </c>
      <c r="I875">
        <v>4</v>
      </c>
      <c r="J875" s="6">
        <v>120</v>
      </c>
      <c r="M875" t="str">
        <f t="shared" si="39"/>
        <v>2023_Vic_Dooen_Lentil_Detailed</v>
      </c>
      <c r="N875">
        <f>I875</f>
        <v>4</v>
      </c>
      <c r="O875" t="str">
        <f t="shared" si="40"/>
        <v>2023_Vic_Dooen_Lentil_Detailed_120</v>
      </c>
      <c r="P875" t="str">
        <f t="shared" si="41"/>
        <v>2023_Vic_Dooen_Lentil_DetailedTOS1VarietyHallmarkXTWaterTrtRainFed</v>
      </c>
    </row>
    <row r="876" spans="1:16" x14ac:dyDescent="0.25">
      <c r="H876" t="s">
        <v>253</v>
      </c>
      <c r="I876">
        <v>4</v>
      </c>
      <c r="J876" s="6">
        <v>116</v>
      </c>
      <c r="M876" t="str">
        <f t="shared" si="39"/>
        <v>2023_Vic_Dooen_Lentil_Detailed</v>
      </c>
      <c r="N876">
        <f>I876</f>
        <v>4</v>
      </c>
      <c r="O876" t="str">
        <f t="shared" si="40"/>
        <v>2023_Vic_Dooen_Lentil_Detailed_116</v>
      </c>
      <c r="P876" t="str">
        <f t="shared" si="41"/>
        <v>2023_Vic_Dooen_Lentil_DetailedTOS1VarietyHallmarkXTWaterTrtRainFed</v>
      </c>
    </row>
    <row r="877" spans="1:16" x14ac:dyDescent="0.25">
      <c r="A877" t="s">
        <v>4349</v>
      </c>
      <c r="B877" t="s">
        <v>2583</v>
      </c>
      <c r="C877">
        <v>1</v>
      </c>
      <c r="D877" t="s">
        <v>4176</v>
      </c>
      <c r="E877" t="s">
        <v>57</v>
      </c>
      <c r="F877" t="s">
        <v>4398</v>
      </c>
      <c r="G877">
        <v>1</v>
      </c>
      <c r="H877" t="s">
        <v>250</v>
      </c>
      <c r="I877">
        <v>2</v>
      </c>
      <c r="J877" s="6">
        <v>6</v>
      </c>
      <c r="M877" t="str">
        <f t="shared" si="39"/>
        <v>2023_Vic_Dooen_Lentil_Detailed</v>
      </c>
      <c r="N877">
        <f>I877</f>
        <v>2</v>
      </c>
      <c r="O877" t="str">
        <f t="shared" si="40"/>
        <v>2023_Vic_Dooen_Lentil_Detailed_6</v>
      </c>
      <c r="P877" t="str">
        <f t="shared" si="41"/>
        <v>2023_Vic_Dooen_Lentil_DetailedTOS1VarietyJumbo2WaterTrtIrrigated</v>
      </c>
    </row>
    <row r="878" spans="1:16" x14ac:dyDescent="0.25">
      <c r="H878" t="s">
        <v>253</v>
      </c>
      <c r="I878">
        <v>2</v>
      </c>
      <c r="J878" s="6">
        <v>2</v>
      </c>
      <c r="M878" t="str">
        <f t="shared" si="39"/>
        <v>2023_Vic_Dooen_Lentil_Detailed</v>
      </c>
      <c r="N878">
        <f>I878</f>
        <v>2</v>
      </c>
      <c r="O878" t="str">
        <f t="shared" si="40"/>
        <v>2023_Vic_Dooen_Lentil_Detailed_2</v>
      </c>
      <c r="P878" t="str">
        <f t="shared" si="41"/>
        <v>2023_Vic_Dooen_Lentil_DetailedTOS1VarietyJumbo2WaterTrtIrrigated</v>
      </c>
    </row>
    <row r="879" spans="1:16" x14ac:dyDescent="0.25">
      <c r="G879">
        <v>2</v>
      </c>
      <c r="H879" t="s">
        <v>250</v>
      </c>
      <c r="I879">
        <v>3</v>
      </c>
      <c r="J879" s="6">
        <v>47</v>
      </c>
      <c r="M879" t="str">
        <f t="shared" si="39"/>
        <v>2023_Vic_Dooen_Lentil_Detailed</v>
      </c>
      <c r="N879">
        <f>I879</f>
        <v>3</v>
      </c>
      <c r="O879" t="str">
        <f t="shared" si="40"/>
        <v>2023_Vic_Dooen_Lentil_Detailed_47</v>
      </c>
      <c r="P879" t="str">
        <f t="shared" si="41"/>
        <v>2023_Vic_Dooen_Lentil_DetailedTOS1VarietyJumbo2WaterTrtIrrigated</v>
      </c>
    </row>
    <row r="880" spans="1:16" x14ac:dyDescent="0.25">
      <c r="H880" t="s">
        <v>253</v>
      </c>
      <c r="I880">
        <v>3</v>
      </c>
      <c r="J880" s="6">
        <v>43</v>
      </c>
      <c r="M880" t="str">
        <f t="shared" si="39"/>
        <v>2023_Vic_Dooen_Lentil_Detailed</v>
      </c>
      <c r="N880">
        <f>I880</f>
        <v>3</v>
      </c>
      <c r="O880" t="str">
        <f t="shared" si="40"/>
        <v>2023_Vic_Dooen_Lentil_Detailed_43</v>
      </c>
      <c r="P880" t="str">
        <f t="shared" si="41"/>
        <v>2023_Vic_Dooen_Lentil_DetailedTOS1VarietyJumbo2WaterTrtIrrigated</v>
      </c>
    </row>
    <row r="881" spans="1:16" x14ac:dyDescent="0.25">
      <c r="G881">
        <v>3</v>
      </c>
      <c r="H881" t="s">
        <v>250</v>
      </c>
      <c r="I881">
        <v>3</v>
      </c>
      <c r="J881" s="6">
        <v>87</v>
      </c>
      <c r="M881" t="str">
        <f t="shared" si="39"/>
        <v>2023_Vic_Dooen_Lentil_Detailed</v>
      </c>
      <c r="N881">
        <f>I881</f>
        <v>3</v>
      </c>
      <c r="O881" t="str">
        <f t="shared" si="40"/>
        <v>2023_Vic_Dooen_Lentil_Detailed_87</v>
      </c>
      <c r="P881" t="str">
        <f t="shared" si="41"/>
        <v>2023_Vic_Dooen_Lentil_DetailedTOS1VarietyJumbo2WaterTrtIrrigated</v>
      </c>
    </row>
    <row r="882" spans="1:16" x14ac:dyDescent="0.25">
      <c r="H882" t="s">
        <v>253</v>
      </c>
      <c r="I882">
        <v>3</v>
      </c>
      <c r="J882" s="6">
        <v>83</v>
      </c>
      <c r="M882" t="str">
        <f t="shared" si="39"/>
        <v>2023_Vic_Dooen_Lentil_Detailed</v>
      </c>
      <c r="N882">
        <f>I882</f>
        <v>3</v>
      </c>
      <c r="O882" t="str">
        <f t="shared" si="40"/>
        <v>2023_Vic_Dooen_Lentil_Detailed_83</v>
      </c>
      <c r="P882" t="str">
        <f t="shared" si="41"/>
        <v>2023_Vic_Dooen_Lentil_DetailedTOS1VarietyJumbo2WaterTrtIrrigated</v>
      </c>
    </row>
    <row r="883" spans="1:16" x14ac:dyDescent="0.25">
      <c r="G883">
        <v>4</v>
      </c>
      <c r="H883" t="s">
        <v>250</v>
      </c>
      <c r="I883">
        <v>1</v>
      </c>
      <c r="J883" s="6">
        <v>117</v>
      </c>
      <c r="M883" t="str">
        <f t="shared" si="39"/>
        <v>2023_Vic_Dooen_Lentil_Detailed</v>
      </c>
      <c r="N883">
        <f>I883</f>
        <v>1</v>
      </c>
      <c r="O883" t="str">
        <f t="shared" si="40"/>
        <v>2023_Vic_Dooen_Lentil_Detailed_117</v>
      </c>
      <c r="P883" t="str">
        <f t="shared" si="41"/>
        <v>2023_Vic_Dooen_Lentil_DetailedTOS1VarietyJumbo2WaterTrtIrrigated</v>
      </c>
    </row>
    <row r="884" spans="1:16" x14ac:dyDescent="0.25">
      <c r="H884" t="s">
        <v>253</v>
      </c>
      <c r="I884">
        <v>1</v>
      </c>
      <c r="J884" s="6">
        <v>113</v>
      </c>
      <c r="M884" t="str">
        <f t="shared" si="39"/>
        <v>2023_Vic_Dooen_Lentil_Detailed</v>
      </c>
      <c r="N884">
        <f>I884</f>
        <v>1</v>
      </c>
      <c r="O884" t="str">
        <f t="shared" si="40"/>
        <v>2023_Vic_Dooen_Lentil_Detailed_113</v>
      </c>
      <c r="P884" t="str">
        <f t="shared" si="41"/>
        <v>2023_Vic_Dooen_Lentil_DetailedTOS1VarietyJumbo2WaterTrtIrrigated</v>
      </c>
    </row>
    <row r="885" spans="1:16" x14ac:dyDescent="0.25">
      <c r="A885" t="s">
        <v>4350</v>
      </c>
      <c r="B885" t="s">
        <v>2583</v>
      </c>
      <c r="C885">
        <v>1</v>
      </c>
      <c r="D885" t="s">
        <v>4176</v>
      </c>
      <c r="E885" t="s">
        <v>40</v>
      </c>
      <c r="F885" t="s">
        <v>4398</v>
      </c>
      <c r="G885">
        <v>1</v>
      </c>
      <c r="H885" t="s">
        <v>250</v>
      </c>
      <c r="I885">
        <v>3</v>
      </c>
      <c r="J885" s="6">
        <v>15</v>
      </c>
      <c r="M885" t="str">
        <f t="shared" si="39"/>
        <v>2023_Vic_Dooen_Lentil_Detailed</v>
      </c>
      <c r="N885">
        <f>I885</f>
        <v>3</v>
      </c>
      <c r="O885" t="str">
        <f t="shared" si="40"/>
        <v>2023_Vic_Dooen_Lentil_Detailed_15</v>
      </c>
      <c r="P885" t="str">
        <f t="shared" si="41"/>
        <v>2023_Vic_Dooen_Lentil_DetailedTOS1VarietyJumbo2WaterTrtRainFed</v>
      </c>
    </row>
    <row r="886" spans="1:16" x14ac:dyDescent="0.25">
      <c r="H886" t="s">
        <v>253</v>
      </c>
      <c r="I886">
        <v>3</v>
      </c>
      <c r="J886" s="6">
        <v>11</v>
      </c>
      <c r="M886" t="str">
        <f t="shared" si="39"/>
        <v>2023_Vic_Dooen_Lentil_Detailed</v>
      </c>
      <c r="N886">
        <f>I886</f>
        <v>3</v>
      </c>
      <c r="O886" t="str">
        <f t="shared" si="40"/>
        <v>2023_Vic_Dooen_Lentil_Detailed_11</v>
      </c>
      <c r="P886" t="str">
        <f t="shared" si="41"/>
        <v>2023_Vic_Dooen_Lentil_DetailedTOS1VarietyJumbo2WaterTrtRainFed</v>
      </c>
    </row>
    <row r="887" spans="1:16" x14ac:dyDescent="0.25">
      <c r="G887">
        <v>2</v>
      </c>
      <c r="H887" t="s">
        <v>250</v>
      </c>
      <c r="I887">
        <v>2</v>
      </c>
      <c r="J887" s="6">
        <v>38</v>
      </c>
      <c r="M887" t="str">
        <f t="shared" si="39"/>
        <v>2023_Vic_Dooen_Lentil_Detailed</v>
      </c>
      <c r="N887">
        <f>I887</f>
        <v>2</v>
      </c>
      <c r="O887" t="str">
        <f t="shared" si="40"/>
        <v>2023_Vic_Dooen_Lentil_Detailed_38</v>
      </c>
      <c r="P887" t="str">
        <f t="shared" si="41"/>
        <v>2023_Vic_Dooen_Lentil_DetailedTOS1VarietyJumbo2WaterTrtRainFed</v>
      </c>
    </row>
    <row r="888" spans="1:16" x14ac:dyDescent="0.25">
      <c r="H888" t="s">
        <v>253</v>
      </c>
      <c r="I888">
        <v>2</v>
      </c>
      <c r="J888" s="6">
        <v>34</v>
      </c>
      <c r="M888" t="str">
        <f t="shared" si="39"/>
        <v>2023_Vic_Dooen_Lentil_Detailed</v>
      </c>
      <c r="N888">
        <f>I888</f>
        <v>2</v>
      </c>
      <c r="O888" t="str">
        <f t="shared" si="40"/>
        <v>2023_Vic_Dooen_Lentil_Detailed_34</v>
      </c>
      <c r="P888" t="str">
        <f t="shared" si="41"/>
        <v>2023_Vic_Dooen_Lentil_DetailedTOS1VarietyJumbo2WaterTrtRainFed</v>
      </c>
    </row>
    <row r="889" spans="1:16" x14ac:dyDescent="0.25">
      <c r="G889">
        <v>3</v>
      </c>
      <c r="H889" t="s">
        <v>250</v>
      </c>
      <c r="I889">
        <v>2</v>
      </c>
      <c r="J889" s="6">
        <v>94</v>
      </c>
      <c r="M889" t="str">
        <f t="shared" si="39"/>
        <v>2023_Vic_Dooen_Lentil_Detailed</v>
      </c>
      <c r="N889">
        <f>I889</f>
        <v>2</v>
      </c>
      <c r="O889" t="str">
        <f t="shared" si="40"/>
        <v>2023_Vic_Dooen_Lentil_Detailed_94</v>
      </c>
      <c r="P889" t="str">
        <f t="shared" si="41"/>
        <v>2023_Vic_Dooen_Lentil_DetailedTOS1VarietyJumbo2WaterTrtRainFed</v>
      </c>
    </row>
    <row r="890" spans="1:16" x14ac:dyDescent="0.25">
      <c r="H890" t="s">
        <v>253</v>
      </c>
      <c r="I890">
        <v>2</v>
      </c>
      <c r="J890" s="6">
        <v>90</v>
      </c>
      <c r="M890" t="str">
        <f t="shared" si="39"/>
        <v>2023_Vic_Dooen_Lentil_Detailed</v>
      </c>
      <c r="N890">
        <f>I890</f>
        <v>2</v>
      </c>
      <c r="O890" t="str">
        <f t="shared" si="40"/>
        <v>2023_Vic_Dooen_Lentil_Detailed_90</v>
      </c>
      <c r="P890" t="str">
        <f t="shared" si="41"/>
        <v>2023_Vic_Dooen_Lentil_DetailedTOS1VarietyJumbo2WaterTrtRainFed</v>
      </c>
    </row>
    <row r="891" spans="1:16" x14ac:dyDescent="0.25">
      <c r="G891">
        <v>4</v>
      </c>
      <c r="H891" t="s">
        <v>250</v>
      </c>
      <c r="I891">
        <v>3</v>
      </c>
      <c r="J891" s="6">
        <v>127</v>
      </c>
      <c r="M891" t="str">
        <f t="shared" si="39"/>
        <v>2023_Vic_Dooen_Lentil_Detailed</v>
      </c>
      <c r="N891">
        <f>I891</f>
        <v>3</v>
      </c>
      <c r="O891" t="str">
        <f t="shared" si="40"/>
        <v>2023_Vic_Dooen_Lentil_Detailed_127</v>
      </c>
      <c r="P891" t="str">
        <f t="shared" si="41"/>
        <v>2023_Vic_Dooen_Lentil_DetailedTOS1VarietyJumbo2WaterTrtRainFed</v>
      </c>
    </row>
    <row r="892" spans="1:16" x14ac:dyDescent="0.25">
      <c r="H892" t="s">
        <v>253</v>
      </c>
      <c r="I892">
        <v>3</v>
      </c>
      <c r="J892" s="6">
        <v>123</v>
      </c>
      <c r="M892" t="str">
        <f t="shared" si="39"/>
        <v>2023_Vic_Dooen_Lentil_Detailed</v>
      </c>
      <c r="N892">
        <f>I892</f>
        <v>3</v>
      </c>
      <c r="O892" t="str">
        <f t="shared" si="40"/>
        <v>2023_Vic_Dooen_Lentil_Detailed_123</v>
      </c>
      <c r="P892" t="str">
        <f t="shared" si="41"/>
        <v>2023_Vic_Dooen_Lentil_DetailedTOS1VarietyJumbo2WaterTrtRainFed</v>
      </c>
    </row>
    <row r="893" spans="1:16" x14ac:dyDescent="0.25">
      <c r="A893" t="s">
        <v>4351</v>
      </c>
      <c r="B893" t="s">
        <v>2583</v>
      </c>
      <c r="C893">
        <v>1</v>
      </c>
      <c r="D893" t="s">
        <v>4188</v>
      </c>
      <c r="E893" t="s">
        <v>57</v>
      </c>
      <c r="F893" t="s">
        <v>4398</v>
      </c>
      <c r="G893">
        <v>1</v>
      </c>
      <c r="H893" t="s">
        <v>250</v>
      </c>
      <c r="I893">
        <v>1</v>
      </c>
      <c r="J893" s="6">
        <v>13</v>
      </c>
      <c r="M893" t="str">
        <f t="shared" si="39"/>
        <v>2023_Vic_Dooen_Lentil_Detailed</v>
      </c>
      <c r="N893">
        <f>I893</f>
        <v>1</v>
      </c>
      <c r="O893" t="str">
        <f t="shared" si="40"/>
        <v>2023_Vic_Dooen_Lentil_Detailed_13</v>
      </c>
      <c r="P893" t="str">
        <f t="shared" si="41"/>
        <v>2023_Vic_Dooen_Lentil_DetailedTOS1VarietyKelpieXTWaterTrtIrrigated</v>
      </c>
    </row>
    <row r="894" spans="1:16" x14ac:dyDescent="0.25">
      <c r="H894" t="s">
        <v>253</v>
      </c>
      <c r="I894">
        <v>1</v>
      </c>
      <c r="J894" s="6">
        <v>9</v>
      </c>
      <c r="M894" t="str">
        <f t="shared" si="39"/>
        <v>2023_Vic_Dooen_Lentil_Detailed</v>
      </c>
      <c r="N894">
        <f>I894</f>
        <v>1</v>
      </c>
      <c r="O894" t="str">
        <f t="shared" si="40"/>
        <v>2023_Vic_Dooen_Lentil_Detailed_9</v>
      </c>
      <c r="P894" t="str">
        <f t="shared" si="41"/>
        <v>2023_Vic_Dooen_Lentil_DetailedTOS1VarietyKelpieXTWaterTrtIrrigated</v>
      </c>
    </row>
    <row r="895" spans="1:16" x14ac:dyDescent="0.25">
      <c r="G895">
        <v>2</v>
      </c>
      <c r="H895" t="s">
        <v>250</v>
      </c>
      <c r="I895">
        <v>4</v>
      </c>
      <c r="J895" s="6">
        <v>48</v>
      </c>
      <c r="M895" t="str">
        <f t="shared" si="39"/>
        <v>2023_Vic_Dooen_Lentil_Detailed</v>
      </c>
      <c r="N895">
        <f>I895</f>
        <v>4</v>
      </c>
      <c r="O895" t="str">
        <f t="shared" si="40"/>
        <v>2023_Vic_Dooen_Lentil_Detailed_48</v>
      </c>
      <c r="P895" t="str">
        <f t="shared" si="41"/>
        <v>2023_Vic_Dooen_Lentil_DetailedTOS1VarietyKelpieXTWaterTrtIrrigated</v>
      </c>
    </row>
    <row r="896" spans="1:16" x14ac:dyDescent="0.25">
      <c r="H896" t="s">
        <v>253</v>
      </c>
      <c r="I896">
        <v>4</v>
      </c>
      <c r="J896" s="6">
        <v>44</v>
      </c>
      <c r="M896" t="str">
        <f t="shared" si="39"/>
        <v>2023_Vic_Dooen_Lentil_Detailed</v>
      </c>
      <c r="N896">
        <f>I896</f>
        <v>4</v>
      </c>
      <c r="O896" t="str">
        <f t="shared" si="40"/>
        <v>2023_Vic_Dooen_Lentil_Detailed_44</v>
      </c>
      <c r="P896" t="str">
        <f t="shared" si="41"/>
        <v>2023_Vic_Dooen_Lentil_DetailedTOS1VarietyKelpieXTWaterTrtIrrigated</v>
      </c>
    </row>
    <row r="897" spans="1:16" x14ac:dyDescent="0.25">
      <c r="G897">
        <v>3</v>
      </c>
      <c r="H897" t="s">
        <v>250</v>
      </c>
      <c r="I897">
        <v>4</v>
      </c>
      <c r="J897" s="6">
        <v>96</v>
      </c>
      <c r="M897" t="str">
        <f t="shared" si="39"/>
        <v>2023_Vic_Dooen_Lentil_Detailed</v>
      </c>
      <c r="N897">
        <f>I897</f>
        <v>4</v>
      </c>
      <c r="O897" t="str">
        <f t="shared" si="40"/>
        <v>2023_Vic_Dooen_Lentil_Detailed_96</v>
      </c>
      <c r="P897" t="str">
        <f t="shared" si="41"/>
        <v>2023_Vic_Dooen_Lentil_DetailedTOS1VarietyKelpieXTWaterTrtIrrigated</v>
      </c>
    </row>
    <row r="898" spans="1:16" x14ac:dyDescent="0.25">
      <c r="H898" t="s">
        <v>253</v>
      </c>
      <c r="I898">
        <v>4</v>
      </c>
      <c r="J898" s="6">
        <v>92</v>
      </c>
      <c r="M898" t="str">
        <f t="shared" si="39"/>
        <v>2023_Vic_Dooen_Lentil_Detailed</v>
      </c>
      <c r="N898">
        <f>I898</f>
        <v>4</v>
      </c>
      <c r="O898" t="str">
        <f t="shared" si="40"/>
        <v>2023_Vic_Dooen_Lentil_Detailed_92</v>
      </c>
      <c r="P898" t="str">
        <f t="shared" si="41"/>
        <v>2023_Vic_Dooen_Lentil_DetailedTOS1VarietyKelpieXTWaterTrtIrrigated</v>
      </c>
    </row>
    <row r="899" spans="1:16" x14ac:dyDescent="0.25">
      <c r="G899">
        <v>4</v>
      </c>
      <c r="H899" t="s">
        <v>250</v>
      </c>
      <c r="I899">
        <v>2</v>
      </c>
      <c r="J899" s="6">
        <v>126</v>
      </c>
      <c r="M899" t="str">
        <f t="shared" si="39"/>
        <v>2023_Vic_Dooen_Lentil_Detailed</v>
      </c>
      <c r="N899">
        <f>I899</f>
        <v>2</v>
      </c>
      <c r="O899" t="str">
        <f t="shared" si="40"/>
        <v>2023_Vic_Dooen_Lentil_Detailed_126</v>
      </c>
      <c r="P899" t="str">
        <f t="shared" si="41"/>
        <v>2023_Vic_Dooen_Lentil_DetailedTOS1VarietyKelpieXTWaterTrtIrrigated</v>
      </c>
    </row>
    <row r="900" spans="1:16" x14ac:dyDescent="0.25">
      <c r="H900" t="s">
        <v>253</v>
      </c>
      <c r="I900">
        <v>2</v>
      </c>
      <c r="J900" s="6">
        <v>122</v>
      </c>
      <c r="M900" t="str">
        <f t="shared" si="39"/>
        <v>2023_Vic_Dooen_Lentil_Detailed</v>
      </c>
      <c r="N900">
        <f>I900</f>
        <v>2</v>
      </c>
      <c r="O900" t="str">
        <f t="shared" si="40"/>
        <v>2023_Vic_Dooen_Lentil_Detailed_122</v>
      </c>
      <c r="P900" t="str">
        <f t="shared" si="41"/>
        <v>2023_Vic_Dooen_Lentil_DetailedTOS1VarietyKelpieXTWaterTrtIrrigated</v>
      </c>
    </row>
    <row r="901" spans="1:16" x14ac:dyDescent="0.25">
      <c r="A901" t="s">
        <v>4352</v>
      </c>
      <c r="B901" t="s">
        <v>2583</v>
      </c>
      <c r="C901">
        <v>1</v>
      </c>
      <c r="D901" t="s">
        <v>4188</v>
      </c>
      <c r="E901" t="s">
        <v>40</v>
      </c>
      <c r="F901" t="s">
        <v>4398</v>
      </c>
      <c r="G901">
        <v>1</v>
      </c>
      <c r="H901" t="s">
        <v>250</v>
      </c>
      <c r="I901">
        <v>3</v>
      </c>
      <c r="J901" s="6">
        <v>7</v>
      </c>
      <c r="M901" t="str">
        <f t="shared" si="39"/>
        <v>2023_Vic_Dooen_Lentil_Detailed</v>
      </c>
      <c r="N901">
        <f>I901</f>
        <v>3</v>
      </c>
      <c r="O901" t="str">
        <f t="shared" si="40"/>
        <v>2023_Vic_Dooen_Lentil_Detailed_7</v>
      </c>
      <c r="P901" t="str">
        <f t="shared" si="41"/>
        <v>2023_Vic_Dooen_Lentil_DetailedTOS1VarietyKelpieXTWaterTrtRainFed</v>
      </c>
    </row>
    <row r="902" spans="1:16" x14ac:dyDescent="0.25">
      <c r="H902" t="s">
        <v>253</v>
      </c>
      <c r="I902">
        <v>3</v>
      </c>
      <c r="J902" s="6">
        <v>3</v>
      </c>
      <c r="M902" t="str">
        <f t="shared" ref="M902:M965" si="42">IF(B902="",M901,B902)</f>
        <v>2023_Vic_Dooen_Lentil_Detailed</v>
      </c>
      <c r="N902">
        <f>I902</f>
        <v>3</v>
      </c>
      <c r="O902" t="str">
        <f t="shared" ref="O902:O965" si="43">M902&amp;"_"&amp;J902</f>
        <v>2023_Vic_Dooen_Lentil_Detailed_3</v>
      </c>
      <c r="P902" t="str">
        <f t="shared" ref="P902:P965" si="44">IF(A902="",P901,A902)</f>
        <v>2023_Vic_Dooen_Lentil_DetailedTOS1VarietyKelpieXTWaterTrtRainFed</v>
      </c>
    </row>
    <row r="903" spans="1:16" x14ac:dyDescent="0.25">
      <c r="G903">
        <v>2</v>
      </c>
      <c r="H903" t="s">
        <v>250</v>
      </c>
      <c r="I903">
        <v>1</v>
      </c>
      <c r="J903" s="6">
        <v>37</v>
      </c>
      <c r="M903" t="str">
        <f t="shared" si="42"/>
        <v>2023_Vic_Dooen_Lentil_Detailed</v>
      </c>
      <c r="N903">
        <f>I903</f>
        <v>1</v>
      </c>
      <c r="O903" t="str">
        <f t="shared" si="43"/>
        <v>2023_Vic_Dooen_Lentil_Detailed_37</v>
      </c>
      <c r="P903" t="str">
        <f t="shared" si="44"/>
        <v>2023_Vic_Dooen_Lentil_DetailedTOS1VarietyKelpieXTWaterTrtRainFed</v>
      </c>
    </row>
    <row r="904" spans="1:16" x14ac:dyDescent="0.25">
      <c r="H904" t="s">
        <v>253</v>
      </c>
      <c r="I904">
        <v>1</v>
      </c>
      <c r="J904" s="6">
        <v>33</v>
      </c>
      <c r="M904" t="str">
        <f t="shared" si="42"/>
        <v>2023_Vic_Dooen_Lentil_Detailed</v>
      </c>
      <c r="N904">
        <f>I904</f>
        <v>1</v>
      </c>
      <c r="O904" t="str">
        <f t="shared" si="43"/>
        <v>2023_Vic_Dooen_Lentil_Detailed_33</v>
      </c>
      <c r="P904" t="str">
        <f t="shared" si="44"/>
        <v>2023_Vic_Dooen_Lentil_DetailedTOS1VarietyKelpieXTWaterTrtRainFed</v>
      </c>
    </row>
    <row r="905" spans="1:16" x14ac:dyDescent="0.25">
      <c r="G905">
        <v>3</v>
      </c>
      <c r="H905" t="s">
        <v>250</v>
      </c>
      <c r="I905">
        <v>2</v>
      </c>
      <c r="J905" s="6">
        <v>86</v>
      </c>
      <c r="M905" t="str">
        <f t="shared" si="42"/>
        <v>2023_Vic_Dooen_Lentil_Detailed</v>
      </c>
      <c r="N905">
        <f>I905</f>
        <v>2</v>
      </c>
      <c r="O905" t="str">
        <f t="shared" si="43"/>
        <v>2023_Vic_Dooen_Lentil_Detailed_86</v>
      </c>
      <c r="P905" t="str">
        <f t="shared" si="44"/>
        <v>2023_Vic_Dooen_Lentil_DetailedTOS1VarietyKelpieXTWaterTrtRainFed</v>
      </c>
    </row>
    <row r="906" spans="1:16" x14ac:dyDescent="0.25">
      <c r="H906" t="s">
        <v>253</v>
      </c>
      <c r="I906">
        <v>2</v>
      </c>
      <c r="J906" s="6">
        <v>82</v>
      </c>
      <c r="M906" t="str">
        <f t="shared" si="42"/>
        <v>2023_Vic_Dooen_Lentil_Detailed</v>
      </c>
      <c r="N906">
        <f>I906</f>
        <v>2</v>
      </c>
      <c r="O906" t="str">
        <f t="shared" si="43"/>
        <v>2023_Vic_Dooen_Lentil_Detailed_82</v>
      </c>
      <c r="P906" t="str">
        <f t="shared" si="44"/>
        <v>2023_Vic_Dooen_Lentil_DetailedTOS1VarietyKelpieXTWaterTrtRainFed</v>
      </c>
    </row>
    <row r="907" spans="1:16" x14ac:dyDescent="0.25">
      <c r="G907">
        <v>4</v>
      </c>
      <c r="H907" t="s">
        <v>250</v>
      </c>
      <c r="I907">
        <v>3</v>
      </c>
      <c r="J907" s="6">
        <v>119</v>
      </c>
      <c r="M907" t="str">
        <f t="shared" si="42"/>
        <v>2023_Vic_Dooen_Lentil_Detailed</v>
      </c>
      <c r="N907">
        <f>I907</f>
        <v>3</v>
      </c>
      <c r="O907" t="str">
        <f t="shared" si="43"/>
        <v>2023_Vic_Dooen_Lentil_Detailed_119</v>
      </c>
      <c r="P907" t="str">
        <f t="shared" si="44"/>
        <v>2023_Vic_Dooen_Lentil_DetailedTOS1VarietyKelpieXTWaterTrtRainFed</v>
      </c>
    </row>
    <row r="908" spans="1:16" x14ac:dyDescent="0.25">
      <c r="H908" t="s">
        <v>253</v>
      </c>
      <c r="I908">
        <v>3</v>
      </c>
      <c r="J908" s="6">
        <v>115</v>
      </c>
      <c r="M908" t="str">
        <f t="shared" si="42"/>
        <v>2023_Vic_Dooen_Lentil_Detailed</v>
      </c>
      <c r="N908">
        <f>I908</f>
        <v>3</v>
      </c>
      <c r="O908" t="str">
        <f t="shared" si="43"/>
        <v>2023_Vic_Dooen_Lentil_Detailed_115</v>
      </c>
      <c r="P908" t="str">
        <f t="shared" si="44"/>
        <v>2023_Vic_Dooen_Lentil_DetailedTOS1VarietyKelpieXTWaterTrtRainFed</v>
      </c>
    </row>
    <row r="909" spans="1:16" x14ac:dyDescent="0.25">
      <c r="A909" t="s">
        <v>4353</v>
      </c>
      <c r="B909" t="s">
        <v>2583</v>
      </c>
      <c r="C909">
        <v>2</v>
      </c>
      <c r="D909" t="s">
        <v>4187</v>
      </c>
      <c r="E909" t="s">
        <v>57</v>
      </c>
      <c r="F909" t="s">
        <v>4398</v>
      </c>
      <c r="G909">
        <v>1</v>
      </c>
      <c r="H909" t="s">
        <v>250</v>
      </c>
      <c r="I909">
        <v>2</v>
      </c>
      <c r="J909" s="6">
        <v>22</v>
      </c>
      <c r="M909" t="str">
        <f t="shared" si="42"/>
        <v>2023_Vic_Dooen_Lentil_Detailed</v>
      </c>
      <c r="N909">
        <f>I909</f>
        <v>2</v>
      </c>
      <c r="O909" t="str">
        <f t="shared" si="43"/>
        <v>2023_Vic_Dooen_Lentil_Detailed_22</v>
      </c>
      <c r="P909" t="str">
        <f t="shared" si="44"/>
        <v>2023_Vic_Dooen_Lentil_DetailedTOS2VarietyBoltWaterTrtIrrigated</v>
      </c>
    </row>
    <row r="910" spans="1:16" x14ac:dyDescent="0.25">
      <c r="H910" t="s">
        <v>253</v>
      </c>
      <c r="I910">
        <v>2</v>
      </c>
      <c r="J910" s="6">
        <v>18</v>
      </c>
      <c r="M910" t="str">
        <f t="shared" si="42"/>
        <v>2023_Vic_Dooen_Lentil_Detailed</v>
      </c>
      <c r="N910">
        <f>I910</f>
        <v>2</v>
      </c>
      <c r="O910" t="str">
        <f t="shared" si="43"/>
        <v>2023_Vic_Dooen_Lentil_Detailed_18</v>
      </c>
      <c r="P910" t="str">
        <f t="shared" si="44"/>
        <v>2023_Vic_Dooen_Lentil_DetailedTOS2VarietyBoltWaterTrtIrrigated</v>
      </c>
    </row>
    <row r="911" spans="1:16" x14ac:dyDescent="0.25">
      <c r="G911">
        <v>2</v>
      </c>
      <c r="H911" t="s">
        <v>250</v>
      </c>
      <c r="I911">
        <v>3</v>
      </c>
      <c r="J911" s="6">
        <v>63</v>
      </c>
      <c r="M911" t="str">
        <f t="shared" si="42"/>
        <v>2023_Vic_Dooen_Lentil_Detailed</v>
      </c>
      <c r="N911">
        <f>I911</f>
        <v>3</v>
      </c>
      <c r="O911" t="str">
        <f t="shared" si="43"/>
        <v>2023_Vic_Dooen_Lentil_Detailed_63</v>
      </c>
      <c r="P911" t="str">
        <f t="shared" si="44"/>
        <v>2023_Vic_Dooen_Lentil_DetailedTOS2VarietyBoltWaterTrtIrrigated</v>
      </c>
    </row>
    <row r="912" spans="1:16" x14ac:dyDescent="0.25">
      <c r="H912" t="s">
        <v>253</v>
      </c>
      <c r="I912">
        <v>3</v>
      </c>
      <c r="J912" s="6">
        <v>59</v>
      </c>
      <c r="M912" t="str">
        <f t="shared" si="42"/>
        <v>2023_Vic_Dooen_Lentil_Detailed</v>
      </c>
      <c r="N912">
        <f>I912</f>
        <v>3</v>
      </c>
      <c r="O912" t="str">
        <f t="shared" si="43"/>
        <v>2023_Vic_Dooen_Lentil_Detailed_59</v>
      </c>
      <c r="P912" t="str">
        <f t="shared" si="44"/>
        <v>2023_Vic_Dooen_Lentil_DetailedTOS2VarietyBoltWaterTrtIrrigated</v>
      </c>
    </row>
    <row r="913" spans="1:16" x14ac:dyDescent="0.25">
      <c r="G913">
        <v>3</v>
      </c>
      <c r="H913" t="s">
        <v>250</v>
      </c>
      <c r="I913">
        <v>3</v>
      </c>
      <c r="J913" s="6">
        <v>79</v>
      </c>
      <c r="M913" t="str">
        <f t="shared" si="42"/>
        <v>2023_Vic_Dooen_Lentil_Detailed</v>
      </c>
      <c r="N913">
        <f>I913</f>
        <v>3</v>
      </c>
      <c r="O913" t="str">
        <f t="shared" si="43"/>
        <v>2023_Vic_Dooen_Lentil_Detailed_79</v>
      </c>
      <c r="P913" t="str">
        <f t="shared" si="44"/>
        <v>2023_Vic_Dooen_Lentil_DetailedTOS2VarietyBoltWaterTrtIrrigated</v>
      </c>
    </row>
    <row r="914" spans="1:16" x14ac:dyDescent="0.25">
      <c r="H914" t="s">
        <v>253</v>
      </c>
      <c r="I914">
        <v>3</v>
      </c>
      <c r="J914" s="6">
        <v>75</v>
      </c>
      <c r="M914" t="str">
        <f t="shared" si="42"/>
        <v>2023_Vic_Dooen_Lentil_Detailed</v>
      </c>
      <c r="N914">
        <f>I914</f>
        <v>3</v>
      </c>
      <c r="O914" t="str">
        <f t="shared" si="43"/>
        <v>2023_Vic_Dooen_Lentil_Detailed_75</v>
      </c>
      <c r="P914" t="str">
        <f t="shared" si="44"/>
        <v>2023_Vic_Dooen_Lentil_DetailedTOS2VarietyBoltWaterTrtIrrigated</v>
      </c>
    </row>
    <row r="915" spans="1:16" x14ac:dyDescent="0.25">
      <c r="G915">
        <v>4</v>
      </c>
      <c r="H915" t="s">
        <v>250</v>
      </c>
      <c r="I915">
        <v>2</v>
      </c>
      <c r="J915" s="6">
        <v>102</v>
      </c>
      <c r="M915" t="str">
        <f t="shared" si="42"/>
        <v>2023_Vic_Dooen_Lentil_Detailed</v>
      </c>
      <c r="N915">
        <f>I915</f>
        <v>2</v>
      </c>
      <c r="O915" t="str">
        <f t="shared" si="43"/>
        <v>2023_Vic_Dooen_Lentil_Detailed_102</v>
      </c>
      <c r="P915" t="str">
        <f t="shared" si="44"/>
        <v>2023_Vic_Dooen_Lentil_DetailedTOS2VarietyBoltWaterTrtIrrigated</v>
      </c>
    </row>
    <row r="916" spans="1:16" x14ac:dyDescent="0.25">
      <c r="H916" t="s">
        <v>253</v>
      </c>
      <c r="I916">
        <v>2</v>
      </c>
      <c r="J916" s="6">
        <v>98</v>
      </c>
      <c r="M916" t="str">
        <f t="shared" si="42"/>
        <v>2023_Vic_Dooen_Lentil_Detailed</v>
      </c>
      <c r="N916">
        <f>I916</f>
        <v>2</v>
      </c>
      <c r="O916" t="str">
        <f t="shared" si="43"/>
        <v>2023_Vic_Dooen_Lentil_Detailed_98</v>
      </c>
      <c r="P916" t="str">
        <f t="shared" si="44"/>
        <v>2023_Vic_Dooen_Lentil_DetailedTOS2VarietyBoltWaterTrtIrrigated</v>
      </c>
    </row>
    <row r="917" spans="1:16" x14ac:dyDescent="0.25">
      <c r="A917" t="s">
        <v>4354</v>
      </c>
      <c r="B917" t="s">
        <v>2583</v>
      </c>
      <c r="C917">
        <v>2</v>
      </c>
      <c r="D917" t="s">
        <v>4187</v>
      </c>
      <c r="E917" t="s">
        <v>40</v>
      </c>
      <c r="F917" t="s">
        <v>4398</v>
      </c>
      <c r="G917">
        <v>1</v>
      </c>
      <c r="H917" t="s">
        <v>250</v>
      </c>
      <c r="I917">
        <v>3</v>
      </c>
      <c r="J917" s="6">
        <v>31</v>
      </c>
      <c r="M917" t="str">
        <f t="shared" si="42"/>
        <v>2023_Vic_Dooen_Lentil_Detailed</v>
      </c>
      <c r="N917">
        <f>I917</f>
        <v>3</v>
      </c>
      <c r="O917" t="str">
        <f t="shared" si="43"/>
        <v>2023_Vic_Dooen_Lentil_Detailed_31</v>
      </c>
      <c r="P917" t="str">
        <f t="shared" si="44"/>
        <v>2023_Vic_Dooen_Lentil_DetailedTOS2VarietyBoltWaterTrtRainFed</v>
      </c>
    </row>
    <row r="918" spans="1:16" x14ac:dyDescent="0.25">
      <c r="H918" t="s">
        <v>253</v>
      </c>
      <c r="I918">
        <v>3</v>
      </c>
      <c r="J918" s="6">
        <v>27</v>
      </c>
      <c r="M918" t="str">
        <f t="shared" si="42"/>
        <v>2023_Vic_Dooen_Lentil_Detailed</v>
      </c>
      <c r="N918">
        <f>I918</f>
        <v>3</v>
      </c>
      <c r="O918" t="str">
        <f t="shared" si="43"/>
        <v>2023_Vic_Dooen_Lentil_Detailed_27</v>
      </c>
      <c r="P918" t="str">
        <f t="shared" si="44"/>
        <v>2023_Vic_Dooen_Lentil_DetailedTOS2VarietyBoltWaterTrtRainFed</v>
      </c>
    </row>
    <row r="919" spans="1:16" x14ac:dyDescent="0.25">
      <c r="G919">
        <v>2</v>
      </c>
      <c r="H919" t="s">
        <v>250</v>
      </c>
      <c r="I919">
        <v>2</v>
      </c>
      <c r="J919" s="6">
        <v>54</v>
      </c>
      <c r="M919" t="str">
        <f t="shared" si="42"/>
        <v>2023_Vic_Dooen_Lentil_Detailed</v>
      </c>
      <c r="N919">
        <f>I919</f>
        <v>2</v>
      </c>
      <c r="O919" t="str">
        <f t="shared" si="43"/>
        <v>2023_Vic_Dooen_Lentil_Detailed_54</v>
      </c>
      <c r="P919" t="str">
        <f t="shared" si="44"/>
        <v>2023_Vic_Dooen_Lentil_DetailedTOS2VarietyBoltWaterTrtRainFed</v>
      </c>
    </row>
    <row r="920" spans="1:16" x14ac:dyDescent="0.25">
      <c r="H920" t="s">
        <v>253</v>
      </c>
      <c r="I920">
        <v>2</v>
      </c>
      <c r="J920" s="6">
        <v>50</v>
      </c>
      <c r="M920" t="str">
        <f t="shared" si="42"/>
        <v>2023_Vic_Dooen_Lentil_Detailed</v>
      </c>
      <c r="N920">
        <f>I920</f>
        <v>2</v>
      </c>
      <c r="O920" t="str">
        <f t="shared" si="43"/>
        <v>2023_Vic_Dooen_Lentil_Detailed_50</v>
      </c>
      <c r="P920" t="str">
        <f t="shared" si="44"/>
        <v>2023_Vic_Dooen_Lentil_DetailedTOS2VarietyBoltWaterTrtRainFed</v>
      </c>
    </row>
    <row r="921" spans="1:16" x14ac:dyDescent="0.25">
      <c r="G921">
        <v>3</v>
      </c>
      <c r="H921" t="s">
        <v>250</v>
      </c>
      <c r="I921">
        <v>1</v>
      </c>
      <c r="J921" s="6">
        <v>69</v>
      </c>
      <c r="M921" t="str">
        <f t="shared" si="42"/>
        <v>2023_Vic_Dooen_Lentil_Detailed</v>
      </c>
      <c r="N921">
        <f>I921</f>
        <v>1</v>
      </c>
      <c r="O921" t="str">
        <f t="shared" si="43"/>
        <v>2023_Vic_Dooen_Lentil_Detailed_69</v>
      </c>
      <c r="P921" t="str">
        <f t="shared" si="44"/>
        <v>2023_Vic_Dooen_Lentil_DetailedTOS2VarietyBoltWaterTrtRainFed</v>
      </c>
    </row>
    <row r="922" spans="1:16" x14ac:dyDescent="0.25">
      <c r="H922" t="s">
        <v>253</v>
      </c>
      <c r="I922">
        <v>1</v>
      </c>
      <c r="J922" s="6">
        <v>65</v>
      </c>
      <c r="M922" t="str">
        <f t="shared" si="42"/>
        <v>2023_Vic_Dooen_Lentil_Detailed</v>
      </c>
      <c r="N922">
        <f>I922</f>
        <v>1</v>
      </c>
      <c r="O922" t="str">
        <f t="shared" si="43"/>
        <v>2023_Vic_Dooen_Lentil_Detailed_65</v>
      </c>
      <c r="P922" t="str">
        <f t="shared" si="44"/>
        <v>2023_Vic_Dooen_Lentil_DetailedTOS2VarietyBoltWaterTrtRainFed</v>
      </c>
    </row>
    <row r="923" spans="1:16" x14ac:dyDescent="0.25">
      <c r="G923">
        <v>4</v>
      </c>
      <c r="H923" t="s">
        <v>250</v>
      </c>
      <c r="I923">
        <v>4</v>
      </c>
      <c r="J923" s="6">
        <v>112</v>
      </c>
      <c r="M923" t="str">
        <f t="shared" si="42"/>
        <v>2023_Vic_Dooen_Lentil_Detailed</v>
      </c>
      <c r="N923">
        <f>I923</f>
        <v>4</v>
      </c>
      <c r="O923" t="str">
        <f t="shared" si="43"/>
        <v>2023_Vic_Dooen_Lentil_Detailed_112</v>
      </c>
      <c r="P923" t="str">
        <f t="shared" si="44"/>
        <v>2023_Vic_Dooen_Lentil_DetailedTOS2VarietyBoltWaterTrtRainFed</v>
      </c>
    </row>
    <row r="924" spans="1:16" x14ac:dyDescent="0.25">
      <c r="H924" t="s">
        <v>253</v>
      </c>
      <c r="I924">
        <v>4</v>
      </c>
      <c r="J924" s="6">
        <v>108</v>
      </c>
      <c r="M924" t="str">
        <f t="shared" si="42"/>
        <v>2023_Vic_Dooen_Lentil_Detailed</v>
      </c>
      <c r="N924">
        <f>I924</f>
        <v>4</v>
      </c>
      <c r="O924" t="str">
        <f t="shared" si="43"/>
        <v>2023_Vic_Dooen_Lentil_Detailed_108</v>
      </c>
      <c r="P924" t="str">
        <f t="shared" si="44"/>
        <v>2023_Vic_Dooen_Lentil_DetailedTOS2VarietyBoltWaterTrtRainFed</v>
      </c>
    </row>
    <row r="925" spans="1:16" x14ac:dyDescent="0.25">
      <c r="A925" t="s">
        <v>4355</v>
      </c>
      <c r="B925" t="s">
        <v>2583</v>
      </c>
      <c r="C925">
        <v>2</v>
      </c>
      <c r="D925" t="s">
        <v>4189</v>
      </c>
      <c r="E925" t="s">
        <v>57</v>
      </c>
      <c r="F925" t="s">
        <v>4398</v>
      </c>
      <c r="G925">
        <v>1</v>
      </c>
      <c r="H925" t="s">
        <v>250</v>
      </c>
      <c r="I925">
        <v>1</v>
      </c>
      <c r="J925" s="6">
        <v>29</v>
      </c>
      <c r="M925" t="str">
        <f t="shared" si="42"/>
        <v>2023_Vic_Dooen_Lentil_Detailed</v>
      </c>
      <c r="N925">
        <f>I925</f>
        <v>1</v>
      </c>
      <c r="O925" t="str">
        <f t="shared" si="43"/>
        <v>2023_Vic_Dooen_Lentil_Detailed_29</v>
      </c>
      <c r="P925" t="str">
        <f t="shared" si="44"/>
        <v>2023_Vic_Dooen_Lentil_DetailedTOS2VarietyHallmarkXTWaterTrtIrrigated</v>
      </c>
    </row>
    <row r="926" spans="1:16" x14ac:dyDescent="0.25">
      <c r="H926" t="s">
        <v>253</v>
      </c>
      <c r="I926">
        <v>1</v>
      </c>
      <c r="J926" s="6">
        <v>25</v>
      </c>
      <c r="M926" t="str">
        <f t="shared" si="42"/>
        <v>2023_Vic_Dooen_Lentil_Detailed</v>
      </c>
      <c r="N926">
        <f>I926</f>
        <v>1</v>
      </c>
      <c r="O926" t="str">
        <f t="shared" si="43"/>
        <v>2023_Vic_Dooen_Lentil_Detailed_25</v>
      </c>
      <c r="P926" t="str">
        <f t="shared" si="44"/>
        <v>2023_Vic_Dooen_Lentil_DetailedTOS2VarietyHallmarkXTWaterTrtIrrigated</v>
      </c>
    </row>
    <row r="927" spans="1:16" x14ac:dyDescent="0.25">
      <c r="G927">
        <v>2</v>
      </c>
      <c r="H927" t="s">
        <v>250</v>
      </c>
      <c r="I927">
        <v>3</v>
      </c>
      <c r="J927" s="6">
        <v>55</v>
      </c>
      <c r="M927" t="str">
        <f t="shared" si="42"/>
        <v>2023_Vic_Dooen_Lentil_Detailed</v>
      </c>
      <c r="N927">
        <f>I927</f>
        <v>3</v>
      </c>
      <c r="O927" t="str">
        <f t="shared" si="43"/>
        <v>2023_Vic_Dooen_Lentil_Detailed_55</v>
      </c>
      <c r="P927" t="str">
        <f t="shared" si="44"/>
        <v>2023_Vic_Dooen_Lentil_DetailedTOS2VarietyHallmarkXTWaterTrtIrrigated</v>
      </c>
    </row>
    <row r="928" spans="1:16" x14ac:dyDescent="0.25">
      <c r="H928" t="s">
        <v>253</v>
      </c>
      <c r="I928">
        <v>3</v>
      </c>
      <c r="J928" s="6">
        <v>51</v>
      </c>
      <c r="M928" t="str">
        <f t="shared" si="42"/>
        <v>2023_Vic_Dooen_Lentil_Detailed</v>
      </c>
      <c r="N928">
        <f>I928</f>
        <v>3</v>
      </c>
      <c r="O928" t="str">
        <f t="shared" si="43"/>
        <v>2023_Vic_Dooen_Lentil_Detailed_51</v>
      </c>
      <c r="P928" t="str">
        <f t="shared" si="44"/>
        <v>2023_Vic_Dooen_Lentil_DetailedTOS2VarietyHallmarkXTWaterTrtIrrigated</v>
      </c>
    </row>
    <row r="929" spans="1:16" x14ac:dyDescent="0.25">
      <c r="G929">
        <v>3</v>
      </c>
      <c r="H929" t="s">
        <v>250</v>
      </c>
      <c r="I929">
        <v>4</v>
      </c>
      <c r="J929" s="6">
        <v>80</v>
      </c>
      <c r="M929" t="str">
        <f t="shared" si="42"/>
        <v>2023_Vic_Dooen_Lentil_Detailed</v>
      </c>
      <c r="N929">
        <f>I929</f>
        <v>4</v>
      </c>
      <c r="O929" t="str">
        <f t="shared" si="43"/>
        <v>2023_Vic_Dooen_Lentil_Detailed_80</v>
      </c>
      <c r="P929" t="str">
        <f t="shared" si="44"/>
        <v>2023_Vic_Dooen_Lentil_DetailedTOS2VarietyHallmarkXTWaterTrtIrrigated</v>
      </c>
    </row>
    <row r="930" spans="1:16" x14ac:dyDescent="0.25">
      <c r="H930" t="s">
        <v>253</v>
      </c>
      <c r="I930">
        <v>4</v>
      </c>
      <c r="J930" s="6">
        <v>76</v>
      </c>
      <c r="M930" t="str">
        <f t="shared" si="42"/>
        <v>2023_Vic_Dooen_Lentil_Detailed</v>
      </c>
      <c r="N930">
        <f>I930</f>
        <v>4</v>
      </c>
      <c r="O930" t="str">
        <f t="shared" si="43"/>
        <v>2023_Vic_Dooen_Lentil_Detailed_76</v>
      </c>
      <c r="P930" t="str">
        <f t="shared" si="44"/>
        <v>2023_Vic_Dooen_Lentil_DetailedTOS2VarietyHallmarkXTWaterTrtIrrigated</v>
      </c>
    </row>
    <row r="931" spans="1:16" x14ac:dyDescent="0.25">
      <c r="G931">
        <v>4</v>
      </c>
      <c r="H931" t="s">
        <v>250</v>
      </c>
      <c r="I931">
        <v>1</v>
      </c>
      <c r="J931" s="6">
        <v>101</v>
      </c>
      <c r="M931" t="str">
        <f t="shared" si="42"/>
        <v>2023_Vic_Dooen_Lentil_Detailed</v>
      </c>
      <c r="N931">
        <f>I931</f>
        <v>1</v>
      </c>
      <c r="O931" t="str">
        <f t="shared" si="43"/>
        <v>2023_Vic_Dooen_Lentil_Detailed_101</v>
      </c>
      <c r="P931" t="str">
        <f t="shared" si="44"/>
        <v>2023_Vic_Dooen_Lentil_DetailedTOS2VarietyHallmarkXTWaterTrtIrrigated</v>
      </c>
    </row>
    <row r="932" spans="1:16" x14ac:dyDescent="0.25">
      <c r="H932" t="s">
        <v>253</v>
      </c>
      <c r="I932">
        <v>1</v>
      </c>
      <c r="J932" s="6">
        <v>97</v>
      </c>
      <c r="M932" t="str">
        <f t="shared" si="42"/>
        <v>2023_Vic_Dooen_Lentil_Detailed</v>
      </c>
      <c r="N932">
        <f>I932</f>
        <v>1</v>
      </c>
      <c r="O932" t="str">
        <f t="shared" si="43"/>
        <v>2023_Vic_Dooen_Lentil_Detailed_97</v>
      </c>
      <c r="P932" t="str">
        <f t="shared" si="44"/>
        <v>2023_Vic_Dooen_Lentil_DetailedTOS2VarietyHallmarkXTWaterTrtIrrigated</v>
      </c>
    </row>
    <row r="933" spans="1:16" x14ac:dyDescent="0.25">
      <c r="A933" t="s">
        <v>4356</v>
      </c>
      <c r="B933" t="s">
        <v>2583</v>
      </c>
      <c r="C933">
        <v>2</v>
      </c>
      <c r="D933" t="s">
        <v>4189</v>
      </c>
      <c r="E933" t="s">
        <v>40</v>
      </c>
      <c r="F933" t="s">
        <v>4398</v>
      </c>
      <c r="G933">
        <v>1</v>
      </c>
      <c r="H933" t="s">
        <v>250</v>
      </c>
      <c r="I933">
        <v>3</v>
      </c>
      <c r="J933" s="6">
        <v>23</v>
      </c>
      <c r="M933" t="str">
        <f t="shared" si="42"/>
        <v>2023_Vic_Dooen_Lentil_Detailed</v>
      </c>
      <c r="N933">
        <f>I933</f>
        <v>3</v>
      </c>
      <c r="O933" t="str">
        <f t="shared" si="43"/>
        <v>2023_Vic_Dooen_Lentil_Detailed_23</v>
      </c>
      <c r="P933" t="str">
        <f t="shared" si="44"/>
        <v>2023_Vic_Dooen_Lentil_DetailedTOS2VarietyHallmarkXTWaterTrtRainFed</v>
      </c>
    </row>
    <row r="934" spans="1:16" x14ac:dyDescent="0.25">
      <c r="H934" t="s">
        <v>253</v>
      </c>
      <c r="I934">
        <v>3</v>
      </c>
      <c r="J934" s="6">
        <v>19</v>
      </c>
      <c r="M934" t="str">
        <f t="shared" si="42"/>
        <v>2023_Vic_Dooen_Lentil_Detailed</v>
      </c>
      <c r="N934">
        <f>I934</f>
        <v>3</v>
      </c>
      <c r="O934" t="str">
        <f t="shared" si="43"/>
        <v>2023_Vic_Dooen_Lentil_Detailed_19</v>
      </c>
      <c r="P934" t="str">
        <f t="shared" si="44"/>
        <v>2023_Vic_Dooen_Lentil_DetailedTOS2VarietyHallmarkXTWaterTrtRainFed</v>
      </c>
    </row>
    <row r="935" spans="1:16" x14ac:dyDescent="0.25">
      <c r="G935">
        <v>2</v>
      </c>
      <c r="H935" t="s">
        <v>250</v>
      </c>
      <c r="I935">
        <v>2</v>
      </c>
      <c r="J935" s="6">
        <v>62</v>
      </c>
      <c r="M935" t="str">
        <f t="shared" si="42"/>
        <v>2023_Vic_Dooen_Lentil_Detailed</v>
      </c>
      <c r="N935">
        <f>I935</f>
        <v>2</v>
      </c>
      <c r="O935" t="str">
        <f t="shared" si="43"/>
        <v>2023_Vic_Dooen_Lentil_Detailed_62</v>
      </c>
      <c r="P935" t="str">
        <f t="shared" si="44"/>
        <v>2023_Vic_Dooen_Lentil_DetailedTOS2VarietyHallmarkXTWaterTrtRainFed</v>
      </c>
    </row>
    <row r="936" spans="1:16" x14ac:dyDescent="0.25">
      <c r="H936" t="s">
        <v>253</v>
      </c>
      <c r="I936">
        <v>2</v>
      </c>
      <c r="J936" s="6">
        <v>58</v>
      </c>
      <c r="M936" t="str">
        <f t="shared" si="42"/>
        <v>2023_Vic_Dooen_Lentil_Detailed</v>
      </c>
      <c r="N936">
        <f>I936</f>
        <v>2</v>
      </c>
      <c r="O936" t="str">
        <f t="shared" si="43"/>
        <v>2023_Vic_Dooen_Lentil_Detailed_58</v>
      </c>
      <c r="P936" t="str">
        <f t="shared" si="44"/>
        <v>2023_Vic_Dooen_Lentil_DetailedTOS2VarietyHallmarkXTWaterTrtRainFed</v>
      </c>
    </row>
    <row r="937" spans="1:16" x14ac:dyDescent="0.25">
      <c r="G937">
        <v>3</v>
      </c>
      <c r="H937" t="s">
        <v>250</v>
      </c>
      <c r="I937">
        <v>2</v>
      </c>
      <c r="J937" s="6">
        <v>70</v>
      </c>
      <c r="M937" t="str">
        <f t="shared" si="42"/>
        <v>2023_Vic_Dooen_Lentil_Detailed</v>
      </c>
      <c r="N937">
        <f>I937</f>
        <v>2</v>
      </c>
      <c r="O937" t="str">
        <f t="shared" si="43"/>
        <v>2023_Vic_Dooen_Lentil_Detailed_70</v>
      </c>
      <c r="P937" t="str">
        <f t="shared" si="44"/>
        <v>2023_Vic_Dooen_Lentil_DetailedTOS2VarietyHallmarkXTWaterTrtRainFed</v>
      </c>
    </row>
    <row r="938" spans="1:16" x14ac:dyDescent="0.25">
      <c r="H938" t="s">
        <v>253</v>
      </c>
      <c r="I938">
        <v>2</v>
      </c>
      <c r="J938" s="6">
        <v>66</v>
      </c>
      <c r="M938" t="str">
        <f t="shared" si="42"/>
        <v>2023_Vic_Dooen_Lentil_Detailed</v>
      </c>
      <c r="N938">
        <f>I938</f>
        <v>2</v>
      </c>
      <c r="O938" t="str">
        <f t="shared" si="43"/>
        <v>2023_Vic_Dooen_Lentil_Detailed_66</v>
      </c>
      <c r="P938" t="str">
        <f t="shared" si="44"/>
        <v>2023_Vic_Dooen_Lentil_DetailedTOS2VarietyHallmarkXTWaterTrtRainFed</v>
      </c>
    </row>
    <row r="939" spans="1:16" x14ac:dyDescent="0.25">
      <c r="G939">
        <v>4</v>
      </c>
      <c r="H939" t="s">
        <v>250</v>
      </c>
      <c r="I939">
        <v>3</v>
      </c>
      <c r="J939" s="6">
        <v>111</v>
      </c>
      <c r="M939" t="str">
        <f t="shared" si="42"/>
        <v>2023_Vic_Dooen_Lentil_Detailed</v>
      </c>
      <c r="N939">
        <f>I939</f>
        <v>3</v>
      </c>
      <c r="O939" t="str">
        <f t="shared" si="43"/>
        <v>2023_Vic_Dooen_Lentil_Detailed_111</v>
      </c>
      <c r="P939" t="str">
        <f t="shared" si="44"/>
        <v>2023_Vic_Dooen_Lentil_DetailedTOS2VarietyHallmarkXTWaterTrtRainFed</v>
      </c>
    </row>
    <row r="940" spans="1:16" x14ac:dyDescent="0.25">
      <c r="H940" t="s">
        <v>253</v>
      </c>
      <c r="I940">
        <v>3</v>
      </c>
      <c r="J940" s="6">
        <v>107</v>
      </c>
      <c r="M940" t="str">
        <f t="shared" si="42"/>
        <v>2023_Vic_Dooen_Lentil_Detailed</v>
      </c>
      <c r="N940">
        <f>I940</f>
        <v>3</v>
      </c>
      <c r="O940" t="str">
        <f t="shared" si="43"/>
        <v>2023_Vic_Dooen_Lentil_Detailed_107</v>
      </c>
      <c r="P940" t="str">
        <f t="shared" si="44"/>
        <v>2023_Vic_Dooen_Lentil_DetailedTOS2VarietyHallmarkXTWaterTrtRainFed</v>
      </c>
    </row>
    <row r="941" spans="1:16" x14ac:dyDescent="0.25">
      <c r="A941" t="s">
        <v>4357</v>
      </c>
      <c r="B941" t="s">
        <v>2583</v>
      </c>
      <c r="C941">
        <v>2</v>
      </c>
      <c r="D941" t="s">
        <v>4176</v>
      </c>
      <c r="E941" t="s">
        <v>57</v>
      </c>
      <c r="F941" t="s">
        <v>4398</v>
      </c>
      <c r="G941">
        <v>1</v>
      </c>
      <c r="H941" t="s">
        <v>250</v>
      </c>
      <c r="I941">
        <v>2</v>
      </c>
      <c r="J941" s="6">
        <v>30</v>
      </c>
      <c r="M941" t="str">
        <f t="shared" si="42"/>
        <v>2023_Vic_Dooen_Lentil_Detailed</v>
      </c>
      <c r="N941">
        <f>I941</f>
        <v>2</v>
      </c>
      <c r="O941" t="str">
        <f t="shared" si="43"/>
        <v>2023_Vic_Dooen_Lentil_Detailed_30</v>
      </c>
      <c r="P941" t="str">
        <f t="shared" si="44"/>
        <v>2023_Vic_Dooen_Lentil_DetailedTOS2VarietyJumbo2WaterTrtIrrigated</v>
      </c>
    </row>
    <row r="942" spans="1:16" x14ac:dyDescent="0.25">
      <c r="H942" t="s">
        <v>253</v>
      </c>
      <c r="I942">
        <v>2</v>
      </c>
      <c r="J942" s="6">
        <v>26</v>
      </c>
      <c r="M942" t="str">
        <f t="shared" si="42"/>
        <v>2023_Vic_Dooen_Lentil_Detailed</v>
      </c>
      <c r="N942">
        <f>I942</f>
        <v>2</v>
      </c>
      <c r="O942" t="str">
        <f t="shared" si="43"/>
        <v>2023_Vic_Dooen_Lentil_Detailed_26</v>
      </c>
      <c r="P942" t="str">
        <f t="shared" si="44"/>
        <v>2023_Vic_Dooen_Lentil_DetailedTOS2VarietyJumbo2WaterTrtIrrigated</v>
      </c>
    </row>
    <row r="943" spans="1:16" x14ac:dyDescent="0.25">
      <c r="G943">
        <v>2</v>
      </c>
      <c r="H943" t="s">
        <v>250</v>
      </c>
      <c r="I943">
        <v>4</v>
      </c>
      <c r="J943" s="6">
        <v>64</v>
      </c>
      <c r="M943" t="str">
        <f t="shared" si="42"/>
        <v>2023_Vic_Dooen_Lentil_Detailed</v>
      </c>
      <c r="N943">
        <f>I943</f>
        <v>4</v>
      </c>
      <c r="O943" t="str">
        <f t="shared" si="43"/>
        <v>2023_Vic_Dooen_Lentil_Detailed_64</v>
      </c>
      <c r="P943" t="str">
        <f t="shared" si="44"/>
        <v>2023_Vic_Dooen_Lentil_DetailedTOS2VarietyJumbo2WaterTrtIrrigated</v>
      </c>
    </row>
    <row r="944" spans="1:16" x14ac:dyDescent="0.25">
      <c r="H944" t="s">
        <v>253</v>
      </c>
      <c r="I944">
        <v>4</v>
      </c>
      <c r="J944" s="6">
        <v>60</v>
      </c>
      <c r="M944" t="str">
        <f t="shared" si="42"/>
        <v>2023_Vic_Dooen_Lentil_Detailed</v>
      </c>
      <c r="N944">
        <f>I944</f>
        <v>4</v>
      </c>
      <c r="O944" t="str">
        <f t="shared" si="43"/>
        <v>2023_Vic_Dooen_Lentil_Detailed_60</v>
      </c>
      <c r="P944" t="str">
        <f t="shared" si="44"/>
        <v>2023_Vic_Dooen_Lentil_DetailedTOS2VarietyJumbo2WaterTrtIrrigated</v>
      </c>
    </row>
    <row r="945" spans="1:16" x14ac:dyDescent="0.25">
      <c r="G945">
        <v>3</v>
      </c>
      <c r="H945" t="s">
        <v>250</v>
      </c>
      <c r="I945">
        <v>4</v>
      </c>
      <c r="J945" s="6">
        <v>72</v>
      </c>
      <c r="M945" t="str">
        <f t="shared" si="42"/>
        <v>2023_Vic_Dooen_Lentil_Detailed</v>
      </c>
      <c r="N945">
        <f>I945</f>
        <v>4</v>
      </c>
      <c r="O945" t="str">
        <f t="shared" si="43"/>
        <v>2023_Vic_Dooen_Lentil_Detailed_72</v>
      </c>
      <c r="P945" t="str">
        <f t="shared" si="44"/>
        <v>2023_Vic_Dooen_Lentil_DetailedTOS2VarietyJumbo2WaterTrtIrrigated</v>
      </c>
    </row>
    <row r="946" spans="1:16" x14ac:dyDescent="0.25">
      <c r="H946" t="s">
        <v>253</v>
      </c>
      <c r="I946">
        <v>4</v>
      </c>
      <c r="J946" s="6">
        <v>68</v>
      </c>
      <c r="M946" t="str">
        <f t="shared" si="42"/>
        <v>2023_Vic_Dooen_Lentil_Detailed</v>
      </c>
      <c r="N946">
        <f>I946</f>
        <v>4</v>
      </c>
      <c r="O946" t="str">
        <f t="shared" si="43"/>
        <v>2023_Vic_Dooen_Lentil_Detailed_68</v>
      </c>
      <c r="P946" t="str">
        <f t="shared" si="44"/>
        <v>2023_Vic_Dooen_Lentil_DetailedTOS2VarietyJumbo2WaterTrtIrrigated</v>
      </c>
    </row>
    <row r="947" spans="1:16" x14ac:dyDescent="0.25">
      <c r="G947">
        <v>4</v>
      </c>
      <c r="H947" t="s">
        <v>250</v>
      </c>
      <c r="I947">
        <v>1</v>
      </c>
      <c r="J947" s="6">
        <v>109</v>
      </c>
      <c r="M947" t="str">
        <f t="shared" si="42"/>
        <v>2023_Vic_Dooen_Lentil_Detailed</v>
      </c>
      <c r="N947">
        <f>I947</f>
        <v>1</v>
      </c>
      <c r="O947" t="str">
        <f t="shared" si="43"/>
        <v>2023_Vic_Dooen_Lentil_Detailed_109</v>
      </c>
      <c r="P947" t="str">
        <f t="shared" si="44"/>
        <v>2023_Vic_Dooen_Lentil_DetailedTOS2VarietyJumbo2WaterTrtIrrigated</v>
      </c>
    </row>
    <row r="948" spans="1:16" x14ac:dyDescent="0.25">
      <c r="H948" t="s">
        <v>253</v>
      </c>
      <c r="I948">
        <v>1</v>
      </c>
      <c r="J948" s="6">
        <v>105</v>
      </c>
      <c r="M948" t="str">
        <f t="shared" si="42"/>
        <v>2023_Vic_Dooen_Lentil_Detailed</v>
      </c>
      <c r="N948">
        <f>I948</f>
        <v>1</v>
      </c>
      <c r="O948" t="str">
        <f t="shared" si="43"/>
        <v>2023_Vic_Dooen_Lentil_Detailed_105</v>
      </c>
      <c r="P948" t="str">
        <f t="shared" si="44"/>
        <v>2023_Vic_Dooen_Lentil_DetailedTOS2VarietyJumbo2WaterTrtIrrigated</v>
      </c>
    </row>
    <row r="949" spans="1:16" x14ac:dyDescent="0.25">
      <c r="A949" t="s">
        <v>4358</v>
      </c>
      <c r="B949" t="s">
        <v>2583</v>
      </c>
      <c r="C949">
        <v>2</v>
      </c>
      <c r="D949" t="s">
        <v>4176</v>
      </c>
      <c r="E949" t="s">
        <v>40</v>
      </c>
      <c r="F949" t="s">
        <v>4398</v>
      </c>
      <c r="G949">
        <v>1</v>
      </c>
      <c r="H949" t="s">
        <v>250</v>
      </c>
      <c r="I949">
        <v>4</v>
      </c>
      <c r="J949" s="6">
        <v>24</v>
      </c>
      <c r="M949" t="str">
        <f t="shared" si="42"/>
        <v>2023_Vic_Dooen_Lentil_Detailed</v>
      </c>
      <c r="N949">
        <f>I949</f>
        <v>4</v>
      </c>
      <c r="O949" t="str">
        <f t="shared" si="43"/>
        <v>2023_Vic_Dooen_Lentil_Detailed_24</v>
      </c>
      <c r="P949" t="str">
        <f t="shared" si="44"/>
        <v>2023_Vic_Dooen_Lentil_DetailedTOS2VarietyJumbo2WaterTrtRainFed</v>
      </c>
    </row>
    <row r="950" spans="1:16" x14ac:dyDescent="0.25">
      <c r="H950" t="s">
        <v>253</v>
      </c>
      <c r="I950">
        <v>4</v>
      </c>
      <c r="J950" s="6">
        <v>20</v>
      </c>
      <c r="M950" t="str">
        <f t="shared" si="42"/>
        <v>2023_Vic_Dooen_Lentil_Detailed</v>
      </c>
      <c r="N950">
        <f>I950</f>
        <v>4</v>
      </c>
      <c r="O950" t="str">
        <f t="shared" si="43"/>
        <v>2023_Vic_Dooen_Lentil_Detailed_20</v>
      </c>
      <c r="P950" t="str">
        <f t="shared" si="44"/>
        <v>2023_Vic_Dooen_Lentil_DetailedTOS2VarietyJumbo2WaterTrtRainFed</v>
      </c>
    </row>
    <row r="951" spans="1:16" x14ac:dyDescent="0.25">
      <c r="G951">
        <v>2</v>
      </c>
      <c r="H951" t="s">
        <v>250</v>
      </c>
      <c r="I951">
        <v>1</v>
      </c>
      <c r="J951" s="6">
        <v>53</v>
      </c>
      <c r="M951" t="str">
        <f t="shared" si="42"/>
        <v>2023_Vic_Dooen_Lentil_Detailed</v>
      </c>
      <c r="N951">
        <f>I951</f>
        <v>1</v>
      </c>
      <c r="O951" t="str">
        <f t="shared" si="43"/>
        <v>2023_Vic_Dooen_Lentil_Detailed_53</v>
      </c>
      <c r="P951" t="str">
        <f t="shared" si="44"/>
        <v>2023_Vic_Dooen_Lentil_DetailedTOS2VarietyJumbo2WaterTrtRainFed</v>
      </c>
    </row>
    <row r="952" spans="1:16" x14ac:dyDescent="0.25">
      <c r="H952" t="s">
        <v>253</v>
      </c>
      <c r="I952">
        <v>1</v>
      </c>
      <c r="J952" s="6">
        <v>49</v>
      </c>
      <c r="M952" t="str">
        <f t="shared" si="42"/>
        <v>2023_Vic_Dooen_Lentil_Detailed</v>
      </c>
      <c r="N952">
        <f>I952</f>
        <v>1</v>
      </c>
      <c r="O952" t="str">
        <f t="shared" si="43"/>
        <v>2023_Vic_Dooen_Lentil_Detailed_49</v>
      </c>
      <c r="P952" t="str">
        <f t="shared" si="44"/>
        <v>2023_Vic_Dooen_Lentil_DetailedTOS2VarietyJumbo2WaterTrtRainFed</v>
      </c>
    </row>
    <row r="953" spans="1:16" x14ac:dyDescent="0.25">
      <c r="G953">
        <v>3</v>
      </c>
      <c r="H953" t="s">
        <v>250</v>
      </c>
      <c r="I953">
        <v>1</v>
      </c>
      <c r="J953" s="6">
        <v>77</v>
      </c>
      <c r="M953" t="str">
        <f t="shared" si="42"/>
        <v>2023_Vic_Dooen_Lentil_Detailed</v>
      </c>
      <c r="N953">
        <f>I953</f>
        <v>1</v>
      </c>
      <c r="O953" t="str">
        <f t="shared" si="43"/>
        <v>2023_Vic_Dooen_Lentil_Detailed_77</v>
      </c>
      <c r="P953" t="str">
        <f t="shared" si="44"/>
        <v>2023_Vic_Dooen_Lentil_DetailedTOS2VarietyJumbo2WaterTrtRainFed</v>
      </c>
    </row>
    <row r="954" spans="1:16" x14ac:dyDescent="0.25">
      <c r="H954" t="s">
        <v>253</v>
      </c>
      <c r="I954">
        <v>1</v>
      </c>
      <c r="J954" s="6">
        <v>73</v>
      </c>
      <c r="M954" t="str">
        <f t="shared" si="42"/>
        <v>2023_Vic_Dooen_Lentil_Detailed</v>
      </c>
      <c r="N954">
        <f>I954</f>
        <v>1</v>
      </c>
      <c r="O954" t="str">
        <f t="shared" si="43"/>
        <v>2023_Vic_Dooen_Lentil_Detailed_73</v>
      </c>
      <c r="P954" t="str">
        <f t="shared" si="44"/>
        <v>2023_Vic_Dooen_Lentil_DetailedTOS2VarietyJumbo2WaterTrtRainFed</v>
      </c>
    </row>
    <row r="955" spans="1:16" x14ac:dyDescent="0.25">
      <c r="G955">
        <v>4</v>
      </c>
      <c r="H955" t="s">
        <v>250</v>
      </c>
      <c r="I955">
        <v>4</v>
      </c>
      <c r="J955" s="6">
        <v>104</v>
      </c>
      <c r="M955" t="str">
        <f t="shared" si="42"/>
        <v>2023_Vic_Dooen_Lentil_Detailed</v>
      </c>
      <c r="N955">
        <f>I955</f>
        <v>4</v>
      </c>
      <c r="O955" t="str">
        <f t="shared" si="43"/>
        <v>2023_Vic_Dooen_Lentil_Detailed_104</v>
      </c>
      <c r="P955" t="str">
        <f t="shared" si="44"/>
        <v>2023_Vic_Dooen_Lentil_DetailedTOS2VarietyJumbo2WaterTrtRainFed</v>
      </c>
    </row>
    <row r="956" spans="1:16" x14ac:dyDescent="0.25">
      <c r="H956" t="s">
        <v>253</v>
      </c>
      <c r="I956">
        <v>4</v>
      </c>
      <c r="J956" s="6">
        <v>100</v>
      </c>
      <c r="M956" t="str">
        <f t="shared" si="42"/>
        <v>2023_Vic_Dooen_Lentil_Detailed</v>
      </c>
      <c r="N956">
        <f>I956</f>
        <v>4</v>
      </c>
      <c r="O956" t="str">
        <f t="shared" si="43"/>
        <v>2023_Vic_Dooen_Lentil_Detailed_100</v>
      </c>
      <c r="P956" t="str">
        <f t="shared" si="44"/>
        <v>2023_Vic_Dooen_Lentil_DetailedTOS2VarietyJumbo2WaterTrtRainFed</v>
      </c>
    </row>
    <row r="957" spans="1:16" x14ac:dyDescent="0.25">
      <c r="A957" t="s">
        <v>4359</v>
      </c>
      <c r="B957" t="s">
        <v>2583</v>
      </c>
      <c r="C957">
        <v>2</v>
      </c>
      <c r="D957" t="s">
        <v>4188</v>
      </c>
      <c r="E957" t="s">
        <v>57</v>
      </c>
      <c r="F957" t="s">
        <v>4398</v>
      </c>
      <c r="G957">
        <v>1</v>
      </c>
      <c r="H957" t="s">
        <v>250</v>
      </c>
      <c r="I957">
        <v>1</v>
      </c>
      <c r="J957" s="6">
        <v>21</v>
      </c>
      <c r="M957" t="str">
        <f t="shared" si="42"/>
        <v>2023_Vic_Dooen_Lentil_Detailed</v>
      </c>
      <c r="N957">
        <f>I957</f>
        <v>1</v>
      </c>
      <c r="O957" t="str">
        <f t="shared" si="43"/>
        <v>2023_Vic_Dooen_Lentil_Detailed_21</v>
      </c>
      <c r="P957" t="str">
        <f t="shared" si="44"/>
        <v>2023_Vic_Dooen_Lentil_DetailedTOS2VarietyKelpieXTWaterTrtIrrigated</v>
      </c>
    </row>
    <row r="958" spans="1:16" x14ac:dyDescent="0.25">
      <c r="H958" t="s">
        <v>253</v>
      </c>
      <c r="I958">
        <v>1</v>
      </c>
      <c r="J958" s="6">
        <v>17</v>
      </c>
      <c r="M958" t="str">
        <f t="shared" si="42"/>
        <v>2023_Vic_Dooen_Lentil_Detailed</v>
      </c>
      <c r="N958">
        <f>I958</f>
        <v>1</v>
      </c>
      <c r="O958" t="str">
        <f t="shared" si="43"/>
        <v>2023_Vic_Dooen_Lentil_Detailed_17</v>
      </c>
      <c r="P958" t="str">
        <f t="shared" si="44"/>
        <v>2023_Vic_Dooen_Lentil_DetailedTOS2VarietyKelpieXTWaterTrtIrrigated</v>
      </c>
    </row>
    <row r="959" spans="1:16" x14ac:dyDescent="0.25">
      <c r="G959">
        <v>2</v>
      </c>
      <c r="H959" t="s">
        <v>250</v>
      </c>
      <c r="I959">
        <v>4</v>
      </c>
      <c r="J959" s="6">
        <v>56</v>
      </c>
      <c r="M959" t="str">
        <f t="shared" si="42"/>
        <v>2023_Vic_Dooen_Lentil_Detailed</v>
      </c>
      <c r="N959">
        <f>I959</f>
        <v>4</v>
      </c>
      <c r="O959" t="str">
        <f t="shared" si="43"/>
        <v>2023_Vic_Dooen_Lentil_Detailed_56</v>
      </c>
      <c r="P959" t="str">
        <f t="shared" si="44"/>
        <v>2023_Vic_Dooen_Lentil_DetailedTOS2VarietyKelpieXTWaterTrtIrrigated</v>
      </c>
    </row>
    <row r="960" spans="1:16" x14ac:dyDescent="0.25">
      <c r="H960" t="s">
        <v>253</v>
      </c>
      <c r="I960">
        <v>4</v>
      </c>
      <c r="J960" s="6">
        <v>52</v>
      </c>
      <c r="M960" t="str">
        <f t="shared" si="42"/>
        <v>2023_Vic_Dooen_Lentil_Detailed</v>
      </c>
      <c r="N960">
        <f>I960</f>
        <v>4</v>
      </c>
      <c r="O960" t="str">
        <f t="shared" si="43"/>
        <v>2023_Vic_Dooen_Lentil_Detailed_52</v>
      </c>
      <c r="P960" t="str">
        <f t="shared" si="44"/>
        <v>2023_Vic_Dooen_Lentil_DetailedTOS2VarietyKelpieXTWaterTrtIrrigated</v>
      </c>
    </row>
    <row r="961" spans="1:16" x14ac:dyDescent="0.25">
      <c r="G961">
        <v>3</v>
      </c>
      <c r="H961" t="s">
        <v>250</v>
      </c>
      <c r="I961">
        <v>3</v>
      </c>
      <c r="J961" s="6">
        <v>71</v>
      </c>
      <c r="M961" t="str">
        <f t="shared" si="42"/>
        <v>2023_Vic_Dooen_Lentil_Detailed</v>
      </c>
      <c r="N961">
        <f>I961</f>
        <v>3</v>
      </c>
      <c r="O961" t="str">
        <f t="shared" si="43"/>
        <v>2023_Vic_Dooen_Lentil_Detailed_71</v>
      </c>
      <c r="P961" t="str">
        <f t="shared" si="44"/>
        <v>2023_Vic_Dooen_Lentil_DetailedTOS2VarietyKelpieXTWaterTrtIrrigated</v>
      </c>
    </row>
    <row r="962" spans="1:16" x14ac:dyDescent="0.25">
      <c r="H962" t="s">
        <v>253</v>
      </c>
      <c r="I962">
        <v>3</v>
      </c>
      <c r="J962" s="6">
        <v>67</v>
      </c>
      <c r="M962" t="str">
        <f t="shared" si="42"/>
        <v>2023_Vic_Dooen_Lentil_Detailed</v>
      </c>
      <c r="N962">
        <f>I962</f>
        <v>3</v>
      </c>
      <c r="O962" t="str">
        <f t="shared" si="43"/>
        <v>2023_Vic_Dooen_Lentil_Detailed_67</v>
      </c>
      <c r="P962" t="str">
        <f t="shared" si="44"/>
        <v>2023_Vic_Dooen_Lentil_DetailedTOS2VarietyKelpieXTWaterTrtIrrigated</v>
      </c>
    </row>
    <row r="963" spans="1:16" x14ac:dyDescent="0.25">
      <c r="G963">
        <v>4</v>
      </c>
      <c r="H963" t="s">
        <v>250</v>
      </c>
      <c r="I963">
        <v>2</v>
      </c>
      <c r="J963" s="6">
        <v>110</v>
      </c>
      <c r="M963" t="str">
        <f t="shared" si="42"/>
        <v>2023_Vic_Dooen_Lentil_Detailed</v>
      </c>
      <c r="N963">
        <f>I963</f>
        <v>2</v>
      </c>
      <c r="O963" t="str">
        <f t="shared" si="43"/>
        <v>2023_Vic_Dooen_Lentil_Detailed_110</v>
      </c>
      <c r="P963" t="str">
        <f t="shared" si="44"/>
        <v>2023_Vic_Dooen_Lentil_DetailedTOS2VarietyKelpieXTWaterTrtIrrigated</v>
      </c>
    </row>
    <row r="964" spans="1:16" x14ac:dyDescent="0.25">
      <c r="H964" t="s">
        <v>253</v>
      </c>
      <c r="I964">
        <v>2</v>
      </c>
      <c r="J964" s="6">
        <v>106</v>
      </c>
      <c r="M964" t="str">
        <f t="shared" si="42"/>
        <v>2023_Vic_Dooen_Lentil_Detailed</v>
      </c>
      <c r="N964">
        <f>I964</f>
        <v>2</v>
      </c>
      <c r="O964" t="str">
        <f t="shared" si="43"/>
        <v>2023_Vic_Dooen_Lentil_Detailed_106</v>
      </c>
      <c r="P964" t="str">
        <f t="shared" si="44"/>
        <v>2023_Vic_Dooen_Lentil_DetailedTOS2VarietyKelpieXTWaterTrtIrrigated</v>
      </c>
    </row>
    <row r="965" spans="1:16" x14ac:dyDescent="0.25">
      <c r="A965" t="s">
        <v>4360</v>
      </c>
      <c r="B965" t="s">
        <v>2583</v>
      </c>
      <c r="C965">
        <v>2</v>
      </c>
      <c r="D965" t="s">
        <v>4188</v>
      </c>
      <c r="E965" t="s">
        <v>40</v>
      </c>
      <c r="F965" t="s">
        <v>4398</v>
      </c>
      <c r="G965">
        <v>1</v>
      </c>
      <c r="H965" t="s">
        <v>250</v>
      </c>
      <c r="I965">
        <v>4</v>
      </c>
      <c r="J965" s="6">
        <v>32</v>
      </c>
      <c r="M965" t="str">
        <f t="shared" si="42"/>
        <v>2023_Vic_Dooen_Lentil_Detailed</v>
      </c>
      <c r="N965">
        <f>I965</f>
        <v>4</v>
      </c>
      <c r="O965" t="str">
        <f t="shared" si="43"/>
        <v>2023_Vic_Dooen_Lentil_Detailed_32</v>
      </c>
      <c r="P965" t="str">
        <f t="shared" si="44"/>
        <v>2023_Vic_Dooen_Lentil_DetailedTOS2VarietyKelpieXTWaterTrtRainFed</v>
      </c>
    </row>
    <row r="966" spans="1:16" x14ac:dyDescent="0.25">
      <c r="H966" t="s">
        <v>253</v>
      </c>
      <c r="I966">
        <v>4</v>
      </c>
      <c r="J966" s="6">
        <v>28</v>
      </c>
      <c r="M966" t="str">
        <f t="shared" ref="M966:M1029" si="45">IF(B966="",M965,B966)</f>
        <v>2023_Vic_Dooen_Lentil_Detailed</v>
      </c>
      <c r="N966">
        <f>I966</f>
        <v>4</v>
      </c>
      <c r="O966" t="str">
        <f t="shared" ref="O966:O1029" si="46">M966&amp;"_"&amp;J966</f>
        <v>2023_Vic_Dooen_Lentil_Detailed_28</v>
      </c>
      <c r="P966" t="str">
        <f t="shared" ref="P966:P1029" si="47">IF(A966="",P965,A966)</f>
        <v>2023_Vic_Dooen_Lentil_DetailedTOS2VarietyKelpieXTWaterTrtRainFed</v>
      </c>
    </row>
    <row r="967" spans="1:16" x14ac:dyDescent="0.25">
      <c r="G967">
        <v>2</v>
      </c>
      <c r="H967" t="s">
        <v>250</v>
      </c>
      <c r="I967">
        <v>1</v>
      </c>
      <c r="J967" s="6">
        <v>61</v>
      </c>
      <c r="M967" t="str">
        <f t="shared" si="45"/>
        <v>2023_Vic_Dooen_Lentil_Detailed</v>
      </c>
      <c r="N967">
        <f>I967</f>
        <v>1</v>
      </c>
      <c r="O967" t="str">
        <f t="shared" si="46"/>
        <v>2023_Vic_Dooen_Lentil_Detailed_61</v>
      </c>
      <c r="P967" t="str">
        <f t="shared" si="47"/>
        <v>2023_Vic_Dooen_Lentil_DetailedTOS2VarietyKelpieXTWaterTrtRainFed</v>
      </c>
    </row>
    <row r="968" spans="1:16" x14ac:dyDescent="0.25">
      <c r="H968" t="s">
        <v>253</v>
      </c>
      <c r="I968">
        <v>1</v>
      </c>
      <c r="J968" s="6">
        <v>57</v>
      </c>
      <c r="M968" t="str">
        <f t="shared" si="45"/>
        <v>2023_Vic_Dooen_Lentil_Detailed</v>
      </c>
      <c r="N968">
        <f>I968</f>
        <v>1</v>
      </c>
      <c r="O968" t="str">
        <f t="shared" si="46"/>
        <v>2023_Vic_Dooen_Lentil_Detailed_57</v>
      </c>
      <c r="P968" t="str">
        <f t="shared" si="47"/>
        <v>2023_Vic_Dooen_Lentil_DetailedTOS2VarietyKelpieXTWaterTrtRainFed</v>
      </c>
    </row>
    <row r="969" spans="1:16" x14ac:dyDescent="0.25">
      <c r="G969">
        <v>3</v>
      </c>
      <c r="H969" t="s">
        <v>250</v>
      </c>
      <c r="I969">
        <v>2</v>
      </c>
      <c r="J969" s="6">
        <v>78</v>
      </c>
      <c r="M969" t="str">
        <f t="shared" si="45"/>
        <v>2023_Vic_Dooen_Lentil_Detailed</v>
      </c>
      <c r="N969">
        <f>I969</f>
        <v>2</v>
      </c>
      <c r="O969" t="str">
        <f t="shared" si="46"/>
        <v>2023_Vic_Dooen_Lentil_Detailed_78</v>
      </c>
      <c r="P969" t="str">
        <f t="shared" si="47"/>
        <v>2023_Vic_Dooen_Lentil_DetailedTOS2VarietyKelpieXTWaterTrtRainFed</v>
      </c>
    </row>
    <row r="970" spans="1:16" x14ac:dyDescent="0.25">
      <c r="H970" t="s">
        <v>253</v>
      </c>
      <c r="I970">
        <v>2</v>
      </c>
      <c r="J970" s="6">
        <v>74</v>
      </c>
      <c r="M970" t="str">
        <f t="shared" si="45"/>
        <v>2023_Vic_Dooen_Lentil_Detailed</v>
      </c>
      <c r="N970">
        <f>I970</f>
        <v>2</v>
      </c>
      <c r="O970" t="str">
        <f t="shared" si="46"/>
        <v>2023_Vic_Dooen_Lentil_Detailed_74</v>
      </c>
      <c r="P970" t="str">
        <f t="shared" si="47"/>
        <v>2023_Vic_Dooen_Lentil_DetailedTOS2VarietyKelpieXTWaterTrtRainFed</v>
      </c>
    </row>
    <row r="971" spans="1:16" x14ac:dyDescent="0.25">
      <c r="G971">
        <v>4</v>
      </c>
      <c r="H971" t="s">
        <v>250</v>
      </c>
      <c r="I971">
        <v>3</v>
      </c>
      <c r="J971" s="6">
        <v>103</v>
      </c>
      <c r="M971" t="str">
        <f t="shared" si="45"/>
        <v>2023_Vic_Dooen_Lentil_Detailed</v>
      </c>
      <c r="N971">
        <f>I971</f>
        <v>3</v>
      </c>
      <c r="O971" t="str">
        <f t="shared" si="46"/>
        <v>2023_Vic_Dooen_Lentil_Detailed_103</v>
      </c>
      <c r="P971" t="str">
        <f t="shared" si="47"/>
        <v>2023_Vic_Dooen_Lentil_DetailedTOS2VarietyKelpieXTWaterTrtRainFed</v>
      </c>
    </row>
    <row r="972" spans="1:16" x14ac:dyDescent="0.25">
      <c r="H972" t="s">
        <v>253</v>
      </c>
      <c r="I972">
        <v>3</v>
      </c>
      <c r="J972" s="6">
        <v>99</v>
      </c>
      <c r="M972" t="str">
        <f t="shared" si="45"/>
        <v>2023_Vic_Dooen_Lentil_Detailed</v>
      </c>
      <c r="N972">
        <f>I972</f>
        <v>3</v>
      </c>
      <c r="O972" t="str">
        <f t="shared" si="46"/>
        <v>2023_Vic_Dooen_Lentil_Detailed_99</v>
      </c>
      <c r="P972" t="str">
        <f t="shared" si="47"/>
        <v>2023_Vic_Dooen_Lentil_DetailedTOS2VarietyKelpieXTWaterTrtRainFed</v>
      </c>
    </row>
    <row r="973" spans="1:16" x14ac:dyDescent="0.25">
      <c r="A973" t="s">
        <v>4361</v>
      </c>
      <c r="B973" t="s">
        <v>3117</v>
      </c>
      <c r="C973">
        <v>1</v>
      </c>
      <c r="D973" t="s">
        <v>4187</v>
      </c>
      <c r="E973" t="s">
        <v>40</v>
      </c>
      <c r="F973" t="s">
        <v>4398</v>
      </c>
      <c r="G973">
        <v>1</v>
      </c>
      <c r="H973" t="s">
        <v>253</v>
      </c>
      <c r="I973">
        <v>2</v>
      </c>
      <c r="J973" s="6">
        <v>2</v>
      </c>
      <c r="M973" t="str">
        <f t="shared" si="45"/>
        <v>2023_Vic_Ouyen_Lentil_Satellite</v>
      </c>
      <c r="N973">
        <f>I973</f>
        <v>2</v>
      </c>
      <c r="O973" t="str">
        <f t="shared" si="46"/>
        <v>2023_Vic_Ouyen_Lentil_Satellite_2</v>
      </c>
      <c r="P973" t="str">
        <f t="shared" si="47"/>
        <v>2023_Vic_Ouyen_Lentil_SatelliteTOS1VarietyBoltWaterTrtRainFed</v>
      </c>
    </row>
    <row r="974" spans="1:16" x14ac:dyDescent="0.25">
      <c r="G974">
        <v>2</v>
      </c>
      <c r="H974" t="s">
        <v>253</v>
      </c>
      <c r="I974">
        <v>4</v>
      </c>
      <c r="J974" s="6">
        <v>16</v>
      </c>
      <c r="M974" t="str">
        <f t="shared" si="45"/>
        <v>2023_Vic_Ouyen_Lentil_Satellite</v>
      </c>
      <c r="N974">
        <f>I974</f>
        <v>4</v>
      </c>
      <c r="O974" t="str">
        <f t="shared" si="46"/>
        <v>2023_Vic_Ouyen_Lentil_Satellite_16</v>
      </c>
      <c r="P974" t="str">
        <f t="shared" si="47"/>
        <v>2023_Vic_Ouyen_Lentil_SatelliteTOS1VarietyBoltWaterTrtRainFed</v>
      </c>
    </row>
    <row r="975" spans="1:16" x14ac:dyDescent="0.25">
      <c r="G975">
        <v>3</v>
      </c>
      <c r="H975" t="s">
        <v>253</v>
      </c>
      <c r="I975">
        <v>3</v>
      </c>
      <c r="J975" s="6">
        <v>23</v>
      </c>
      <c r="M975" t="str">
        <f t="shared" si="45"/>
        <v>2023_Vic_Ouyen_Lentil_Satellite</v>
      </c>
      <c r="N975">
        <f>I975</f>
        <v>3</v>
      </c>
      <c r="O975" t="str">
        <f t="shared" si="46"/>
        <v>2023_Vic_Ouyen_Lentil_Satellite_23</v>
      </c>
      <c r="P975" t="str">
        <f t="shared" si="47"/>
        <v>2023_Vic_Ouyen_Lentil_SatelliteTOS1VarietyBoltWaterTrtRainFed</v>
      </c>
    </row>
    <row r="976" spans="1:16" x14ac:dyDescent="0.25">
      <c r="G976">
        <v>4</v>
      </c>
      <c r="H976" t="s">
        <v>253</v>
      </c>
      <c r="I976">
        <v>1</v>
      </c>
      <c r="J976" s="6">
        <v>25</v>
      </c>
      <c r="M976" t="str">
        <f t="shared" si="45"/>
        <v>2023_Vic_Ouyen_Lentil_Satellite</v>
      </c>
      <c r="N976">
        <f>I976</f>
        <v>1</v>
      </c>
      <c r="O976" t="str">
        <f t="shared" si="46"/>
        <v>2023_Vic_Ouyen_Lentil_Satellite_25</v>
      </c>
      <c r="P976" t="str">
        <f t="shared" si="47"/>
        <v>2023_Vic_Ouyen_Lentil_SatelliteTOS1VarietyBoltWaterTrtRainFed</v>
      </c>
    </row>
    <row r="977" spans="1:16" x14ac:dyDescent="0.25">
      <c r="A977" t="s">
        <v>4362</v>
      </c>
      <c r="B977" t="s">
        <v>3117</v>
      </c>
      <c r="C977">
        <v>1</v>
      </c>
      <c r="D977" t="s">
        <v>4189</v>
      </c>
      <c r="E977" t="s">
        <v>40</v>
      </c>
      <c r="F977" t="s">
        <v>4398</v>
      </c>
      <c r="G977">
        <v>1</v>
      </c>
      <c r="H977" t="s">
        <v>253</v>
      </c>
      <c r="I977">
        <v>1</v>
      </c>
      <c r="J977" s="6">
        <v>1</v>
      </c>
      <c r="M977" t="str">
        <f t="shared" si="45"/>
        <v>2023_Vic_Ouyen_Lentil_Satellite</v>
      </c>
      <c r="N977">
        <f>I977</f>
        <v>1</v>
      </c>
      <c r="O977" t="str">
        <f t="shared" si="46"/>
        <v>2023_Vic_Ouyen_Lentil_Satellite_1</v>
      </c>
      <c r="P977" t="str">
        <f t="shared" si="47"/>
        <v>2023_Vic_Ouyen_Lentil_SatelliteTOS1VarietyHallmarkXTWaterTrtRainFed</v>
      </c>
    </row>
    <row r="978" spans="1:16" x14ac:dyDescent="0.25">
      <c r="G978">
        <v>2</v>
      </c>
      <c r="H978" t="s">
        <v>253</v>
      </c>
      <c r="I978">
        <v>3</v>
      </c>
      <c r="J978" s="6">
        <v>15</v>
      </c>
      <c r="M978" t="str">
        <f t="shared" si="45"/>
        <v>2023_Vic_Ouyen_Lentil_Satellite</v>
      </c>
      <c r="N978">
        <f>I978</f>
        <v>3</v>
      </c>
      <c r="O978" t="str">
        <f t="shared" si="46"/>
        <v>2023_Vic_Ouyen_Lentil_Satellite_15</v>
      </c>
      <c r="P978" t="str">
        <f t="shared" si="47"/>
        <v>2023_Vic_Ouyen_Lentil_SatelliteTOS1VarietyHallmarkXTWaterTrtRainFed</v>
      </c>
    </row>
    <row r="979" spans="1:16" x14ac:dyDescent="0.25">
      <c r="G979">
        <v>3</v>
      </c>
      <c r="H979" t="s">
        <v>253</v>
      </c>
      <c r="I979">
        <v>2</v>
      </c>
      <c r="J979" s="6">
        <v>22</v>
      </c>
      <c r="M979" t="str">
        <f t="shared" si="45"/>
        <v>2023_Vic_Ouyen_Lentil_Satellite</v>
      </c>
      <c r="N979">
        <f>I979</f>
        <v>2</v>
      </c>
      <c r="O979" t="str">
        <f t="shared" si="46"/>
        <v>2023_Vic_Ouyen_Lentil_Satellite_22</v>
      </c>
      <c r="P979" t="str">
        <f t="shared" si="47"/>
        <v>2023_Vic_Ouyen_Lentil_SatelliteTOS1VarietyHallmarkXTWaterTrtRainFed</v>
      </c>
    </row>
    <row r="980" spans="1:16" x14ac:dyDescent="0.25">
      <c r="G980">
        <v>4</v>
      </c>
      <c r="H980" t="s">
        <v>253</v>
      </c>
      <c r="I980">
        <v>4</v>
      </c>
      <c r="J980" s="6">
        <v>28</v>
      </c>
      <c r="M980" t="str">
        <f t="shared" si="45"/>
        <v>2023_Vic_Ouyen_Lentil_Satellite</v>
      </c>
      <c r="N980">
        <f>I980</f>
        <v>4</v>
      </c>
      <c r="O980" t="str">
        <f t="shared" si="46"/>
        <v>2023_Vic_Ouyen_Lentil_Satellite_28</v>
      </c>
      <c r="P980" t="str">
        <f t="shared" si="47"/>
        <v>2023_Vic_Ouyen_Lentil_SatelliteTOS1VarietyHallmarkXTWaterTrtRainFed</v>
      </c>
    </row>
    <row r="981" spans="1:16" x14ac:dyDescent="0.25">
      <c r="A981" t="s">
        <v>4363</v>
      </c>
      <c r="B981" t="s">
        <v>3117</v>
      </c>
      <c r="C981">
        <v>1</v>
      </c>
      <c r="D981" t="s">
        <v>4176</v>
      </c>
      <c r="E981" t="s">
        <v>40</v>
      </c>
      <c r="F981" t="s">
        <v>4398</v>
      </c>
      <c r="G981">
        <v>1</v>
      </c>
      <c r="H981" t="s">
        <v>253</v>
      </c>
      <c r="I981">
        <v>4</v>
      </c>
      <c r="J981" s="6">
        <v>4</v>
      </c>
      <c r="M981" t="str">
        <f t="shared" si="45"/>
        <v>2023_Vic_Ouyen_Lentil_Satellite</v>
      </c>
      <c r="N981">
        <f>I981</f>
        <v>4</v>
      </c>
      <c r="O981" t="str">
        <f t="shared" si="46"/>
        <v>2023_Vic_Ouyen_Lentil_Satellite_4</v>
      </c>
      <c r="P981" t="str">
        <f t="shared" si="47"/>
        <v>2023_Vic_Ouyen_Lentil_SatelliteTOS1VarietyJumbo2WaterTrtRainFed</v>
      </c>
    </row>
    <row r="982" spans="1:16" x14ac:dyDescent="0.25">
      <c r="G982">
        <v>2</v>
      </c>
      <c r="H982" t="s">
        <v>253</v>
      </c>
      <c r="I982">
        <v>2</v>
      </c>
      <c r="J982" s="6">
        <v>14</v>
      </c>
      <c r="M982" t="str">
        <f t="shared" si="45"/>
        <v>2023_Vic_Ouyen_Lentil_Satellite</v>
      </c>
      <c r="N982">
        <f>I982</f>
        <v>2</v>
      </c>
      <c r="O982" t="str">
        <f t="shared" si="46"/>
        <v>2023_Vic_Ouyen_Lentil_Satellite_14</v>
      </c>
      <c r="P982" t="str">
        <f t="shared" si="47"/>
        <v>2023_Vic_Ouyen_Lentil_SatelliteTOS1VarietyJumbo2WaterTrtRainFed</v>
      </c>
    </row>
    <row r="983" spans="1:16" x14ac:dyDescent="0.25">
      <c r="G983">
        <v>3</v>
      </c>
      <c r="H983" t="s">
        <v>253</v>
      </c>
      <c r="I983">
        <v>1</v>
      </c>
      <c r="J983" s="6">
        <v>21</v>
      </c>
      <c r="M983" t="str">
        <f t="shared" si="45"/>
        <v>2023_Vic_Ouyen_Lentil_Satellite</v>
      </c>
      <c r="N983">
        <f>I983</f>
        <v>1</v>
      </c>
      <c r="O983" t="str">
        <f t="shared" si="46"/>
        <v>2023_Vic_Ouyen_Lentil_Satellite_21</v>
      </c>
      <c r="P983" t="str">
        <f t="shared" si="47"/>
        <v>2023_Vic_Ouyen_Lentil_SatelliteTOS1VarietyJumbo2WaterTrtRainFed</v>
      </c>
    </row>
    <row r="984" spans="1:16" x14ac:dyDescent="0.25">
      <c r="G984">
        <v>4</v>
      </c>
      <c r="H984" t="s">
        <v>253</v>
      </c>
      <c r="I984">
        <v>3</v>
      </c>
      <c r="J984" s="6">
        <v>27</v>
      </c>
      <c r="M984" t="str">
        <f t="shared" si="45"/>
        <v>2023_Vic_Ouyen_Lentil_Satellite</v>
      </c>
      <c r="N984">
        <f>I984</f>
        <v>3</v>
      </c>
      <c r="O984" t="str">
        <f t="shared" si="46"/>
        <v>2023_Vic_Ouyen_Lentil_Satellite_27</v>
      </c>
      <c r="P984" t="str">
        <f t="shared" si="47"/>
        <v>2023_Vic_Ouyen_Lentil_SatelliteTOS1VarietyJumbo2WaterTrtRainFed</v>
      </c>
    </row>
    <row r="985" spans="1:16" x14ac:dyDescent="0.25">
      <c r="A985" t="s">
        <v>4364</v>
      </c>
      <c r="B985" t="s">
        <v>3117</v>
      </c>
      <c r="C985">
        <v>1</v>
      </c>
      <c r="D985" t="s">
        <v>4188</v>
      </c>
      <c r="E985" t="s">
        <v>40</v>
      </c>
      <c r="F985" t="s">
        <v>4398</v>
      </c>
      <c r="G985">
        <v>1</v>
      </c>
      <c r="H985" t="s">
        <v>253</v>
      </c>
      <c r="I985">
        <v>3</v>
      </c>
      <c r="J985" s="6">
        <v>3</v>
      </c>
      <c r="M985" t="str">
        <f t="shared" si="45"/>
        <v>2023_Vic_Ouyen_Lentil_Satellite</v>
      </c>
      <c r="N985">
        <f>I985</f>
        <v>3</v>
      </c>
      <c r="O985" t="str">
        <f t="shared" si="46"/>
        <v>2023_Vic_Ouyen_Lentil_Satellite_3</v>
      </c>
      <c r="P985" t="str">
        <f t="shared" si="47"/>
        <v>2023_Vic_Ouyen_Lentil_SatelliteTOS1VarietyKelpieXTWaterTrtRainFed</v>
      </c>
    </row>
    <row r="986" spans="1:16" x14ac:dyDescent="0.25">
      <c r="G986">
        <v>2</v>
      </c>
      <c r="H986" t="s">
        <v>253</v>
      </c>
      <c r="I986">
        <v>1</v>
      </c>
      <c r="J986" s="6">
        <v>13</v>
      </c>
      <c r="M986" t="str">
        <f t="shared" si="45"/>
        <v>2023_Vic_Ouyen_Lentil_Satellite</v>
      </c>
      <c r="N986">
        <f>I986</f>
        <v>1</v>
      </c>
      <c r="O986" t="str">
        <f t="shared" si="46"/>
        <v>2023_Vic_Ouyen_Lentil_Satellite_13</v>
      </c>
      <c r="P986" t="str">
        <f t="shared" si="47"/>
        <v>2023_Vic_Ouyen_Lentil_SatelliteTOS1VarietyKelpieXTWaterTrtRainFed</v>
      </c>
    </row>
    <row r="987" spans="1:16" x14ac:dyDescent="0.25">
      <c r="G987">
        <v>3</v>
      </c>
      <c r="H987" t="s">
        <v>253</v>
      </c>
      <c r="I987">
        <v>4</v>
      </c>
      <c r="J987" s="6">
        <v>24</v>
      </c>
      <c r="M987" t="str">
        <f t="shared" si="45"/>
        <v>2023_Vic_Ouyen_Lentil_Satellite</v>
      </c>
      <c r="N987">
        <f>I987</f>
        <v>4</v>
      </c>
      <c r="O987" t="str">
        <f t="shared" si="46"/>
        <v>2023_Vic_Ouyen_Lentil_Satellite_24</v>
      </c>
      <c r="P987" t="str">
        <f t="shared" si="47"/>
        <v>2023_Vic_Ouyen_Lentil_SatelliteTOS1VarietyKelpieXTWaterTrtRainFed</v>
      </c>
    </row>
    <row r="988" spans="1:16" x14ac:dyDescent="0.25">
      <c r="G988">
        <v>4</v>
      </c>
      <c r="H988" t="s">
        <v>253</v>
      </c>
      <c r="I988">
        <v>2</v>
      </c>
      <c r="J988" s="6">
        <v>26</v>
      </c>
      <c r="M988" t="str">
        <f t="shared" si="45"/>
        <v>2023_Vic_Ouyen_Lentil_Satellite</v>
      </c>
      <c r="N988">
        <f>I988</f>
        <v>2</v>
      </c>
      <c r="O988" t="str">
        <f t="shared" si="46"/>
        <v>2023_Vic_Ouyen_Lentil_Satellite_26</v>
      </c>
      <c r="P988" t="str">
        <f t="shared" si="47"/>
        <v>2023_Vic_Ouyen_Lentil_SatelliteTOS1VarietyKelpieXTWaterTrtRainFed</v>
      </c>
    </row>
    <row r="989" spans="1:16" x14ac:dyDescent="0.25">
      <c r="A989" t="s">
        <v>4365</v>
      </c>
      <c r="B989" t="s">
        <v>3117</v>
      </c>
      <c r="C989">
        <v>2</v>
      </c>
      <c r="D989" t="s">
        <v>4187</v>
      </c>
      <c r="E989" t="s">
        <v>40</v>
      </c>
      <c r="F989" t="s">
        <v>4398</v>
      </c>
      <c r="G989">
        <v>1</v>
      </c>
      <c r="H989" t="s">
        <v>253</v>
      </c>
      <c r="I989">
        <v>4</v>
      </c>
      <c r="J989" s="6">
        <v>8</v>
      </c>
      <c r="M989" t="str">
        <f t="shared" si="45"/>
        <v>2023_Vic_Ouyen_Lentil_Satellite</v>
      </c>
      <c r="N989">
        <f>I989</f>
        <v>4</v>
      </c>
      <c r="O989" t="str">
        <f t="shared" si="46"/>
        <v>2023_Vic_Ouyen_Lentil_Satellite_8</v>
      </c>
      <c r="P989" t="str">
        <f t="shared" si="47"/>
        <v>2023_Vic_Ouyen_Lentil_SatelliteTOS2VarietyBoltWaterTrtRainFed</v>
      </c>
    </row>
    <row r="990" spans="1:16" x14ac:dyDescent="0.25">
      <c r="G990">
        <v>2</v>
      </c>
      <c r="H990" t="s">
        <v>253</v>
      </c>
      <c r="I990">
        <v>1</v>
      </c>
      <c r="J990" s="6">
        <v>9</v>
      </c>
      <c r="M990" t="str">
        <f t="shared" si="45"/>
        <v>2023_Vic_Ouyen_Lentil_Satellite</v>
      </c>
      <c r="N990">
        <f>I990</f>
        <v>1</v>
      </c>
      <c r="O990" t="str">
        <f t="shared" si="46"/>
        <v>2023_Vic_Ouyen_Lentil_Satellite_9</v>
      </c>
      <c r="P990" t="str">
        <f t="shared" si="47"/>
        <v>2023_Vic_Ouyen_Lentil_SatelliteTOS2VarietyBoltWaterTrtRainFed</v>
      </c>
    </row>
    <row r="991" spans="1:16" x14ac:dyDescent="0.25">
      <c r="G991">
        <v>3</v>
      </c>
      <c r="H991" t="s">
        <v>253</v>
      </c>
      <c r="I991">
        <v>2</v>
      </c>
      <c r="J991" s="6">
        <v>18</v>
      </c>
      <c r="M991" t="str">
        <f t="shared" si="45"/>
        <v>2023_Vic_Ouyen_Lentil_Satellite</v>
      </c>
      <c r="N991">
        <f>I991</f>
        <v>2</v>
      </c>
      <c r="O991" t="str">
        <f t="shared" si="46"/>
        <v>2023_Vic_Ouyen_Lentil_Satellite_18</v>
      </c>
      <c r="P991" t="str">
        <f t="shared" si="47"/>
        <v>2023_Vic_Ouyen_Lentil_SatelliteTOS2VarietyBoltWaterTrtRainFed</v>
      </c>
    </row>
    <row r="992" spans="1:16" x14ac:dyDescent="0.25">
      <c r="G992">
        <v>4</v>
      </c>
      <c r="H992" t="s">
        <v>253</v>
      </c>
      <c r="I992">
        <v>3</v>
      </c>
      <c r="J992" s="6">
        <v>31</v>
      </c>
      <c r="M992" t="str">
        <f t="shared" si="45"/>
        <v>2023_Vic_Ouyen_Lentil_Satellite</v>
      </c>
      <c r="N992">
        <f>I992</f>
        <v>3</v>
      </c>
      <c r="O992" t="str">
        <f t="shared" si="46"/>
        <v>2023_Vic_Ouyen_Lentil_Satellite_31</v>
      </c>
      <c r="P992" t="str">
        <f t="shared" si="47"/>
        <v>2023_Vic_Ouyen_Lentil_SatelliteTOS2VarietyBoltWaterTrtRainFed</v>
      </c>
    </row>
    <row r="993" spans="1:16" x14ac:dyDescent="0.25">
      <c r="A993" t="s">
        <v>4366</v>
      </c>
      <c r="B993" t="s">
        <v>3117</v>
      </c>
      <c r="C993">
        <v>2</v>
      </c>
      <c r="D993" t="s">
        <v>4189</v>
      </c>
      <c r="E993" t="s">
        <v>40</v>
      </c>
      <c r="F993" t="s">
        <v>4398</v>
      </c>
      <c r="G993">
        <v>1</v>
      </c>
      <c r="H993" t="s">
        <v>253</v>
      </c>
      <c r="I993">
        <v>3</v>
      </c>
      <c r="J993" s="6">
        <v>7</v>
      </c>
      <c r="M993" t="str">
        <f t="shared" si="45"/>
        <v>2023_Vic_Ouyen_Lentil_Satellite</v>
      </c>
      <c r="N993">
        <f>I993</f>
        <v>3</v>
      </c>
      <c r="O993" t="str">
        <f t="shared" si="46"/>
        <v>2023_Vic_Ouyen_Lentil_Satellite_7</v>
      </c>
      <c r="P993" t="str">
        <f t="shared" si="47"/>
        <v>2023_Vic_Ouyen_Lentil_SatelliteTOS2VarietyHallmarkXTWaterTrtRainFed</v>
      </c>
    </row>
    <row r="994" spans="1:16" x14ac:dyDescent="0.25">
      <c r="G994">
        <v>2</v>
      </c>
      <c r="H994" t="s">
        <v>253</v>
      </c>
      <c r="I994">
        <v>4</v>
      </c>
      <c r="J994" s="6">
        <v>12</v>
      </c>
      <c r="M994" t="str">
        <f t="shared" si="45"/>
        <v>2023_Vic_Ouyen_Lentil_Satellite</v>
      </c>
      <c r="N994">
        <f>I994</f>
        <v>4</v>
      </c>
      <c r="O994" t="str">
        <f t="shared" si="46"/>
        <v>2023_Vic_Ouyen_Lentil_Satellite_12</v>
      </c>
      <c r="P994" t="str">
        <f t="shared" si="47"/>
        <v>2023_Vic_Ouyen_Lentil_SatelliteTOS2VarietyHallmarkXTWaterTrtRainFed</v>
      </c>
    </row>
    <row r="995" spans="1:16" x14ac:dyDescent="0.25">
      <c r="G995">
        <v>3</v>
      </c>
      <c r="H995" t="s">
        <v>253</v>
      </c>
      <c r="I995">
        <v>1</v>
      </c>
      <c r="J995" s="6">
        <v>17</v>
      </c>
      <c r="M995" t="str">
        <f t="shared" si="45"/>
        <v>2023_Vic_Ouyen_Lentil_Satellite</v>
      </c>
      <c r="N995">
        <f>I995</f>
        <v>1</v>
      </c>
      <c r="O995" t="str">
        <f t="shared" si="46"/>
        <v>2023_Vic_Ouyen_Lentil_Satellite_17</v>
      </c>
      <c r="P995" t="str">
        <f t="shared" si="47"/>
        <v>2023_Vic_Ouyen_Lentil_SatelliteTOS2VarietyHallmarkXTWaterTrtRainFed</v>
      </c>
    </row>
    <row r="996" spans="1:16" x14ac:dyDescent="0.25">
      <c r="G996">
        <v>4</v>
      </c>
      <c r="H996" t="s">
        <v>253</v>
      </c>
      <c r="I996">
        <v>2</v>
      </c>
      <c r="J996" s="6">
        <v>30</v>
      </c>
      <c r="M996" t="str">
        <f t="shared" si="45"/>
        <v>2023_Vic_Ouyen_Lentil_Satellite</v>
      </c>
      <c r="N996">
        <f>I996</f>
        <v>2</v>
      </c>
      <c r="O996" t="str">
        <f t="shared" si="46"/>
        <v>2023_Vic_Ouyen_Lentil_Satellite_30</v>
      </c>
      <c r="P996" t="str">
        <f t="shared" si="47"/>
        <v>2023_Vic_Ouyen_Lentil_SatelliteTOS2VarietyHallmarkXTWaterTrtRainFed</v>
      </c>
    </row>
    <row r="997" spans="1:16" x14ac:dyDescent="0.25">
      <c r="A997" t="s">
        <v>4367</v>
      </c>
      <c r="B997" t="s">
        <v>3117</v>
      </c>
      <c r="C997">
        <v>2</v>
      </c>
      <c r="D997" t="s">
        <v>4176</v>
      </c>
      <c r="E997" t="s">
        <v>40</v>
      </c>
      <c r="F997" t="s">
        <v>4398</v>
      </c>
      <c r="G997">
        <v>1</v>
      </c>
      <c r="H997" t="s">
        <v>253</v>
      </c>
      <c r="I997">
        <v>2</v>
      </c>
      <c r="J997" s="6">
        <v>6</v>
      </c>
      <c r="M997" t="str">
        <f t="shared" si="45"/>
        <v>2023_Vic_Ouyen_Lentil_Satellite</v>
      </c>
      <c r="N997">
        <f>I997</f>
        <v>2</v>
      </c>
      <c r="O997" t="str">
        <f t="shared" si="46"/>
        <v>2023_Vic_Ouyen_Lentil_Satellite_6</v>
      </c>
      <c r="P997" t="str">
        <f t="shared" si="47"/>
        <v>2023_Vic_Ouyen_Lentil_SatelliteTOS2VarietyJumbo2WaterTrtRainFed</v>
      </c>
    </row>
    <row r="998" spans="1:16" x14ac:dyDescent="0.25">
      <c r="G998">
        <v>2</v>
      </c>
      <c r="H998" t="s">
        <v>253</v>
      </c>
      <c r="I998">
        <v>3</v>
      </c>
      <c r="J998" s="6">
        <v>11</v>
      </c>
      <c r="M998" t="str">
        <f t="shared" si="45"/>
        <v>2023_Vic_Ouyen_Lentil_Satellite</v>
      </c>
      <c r="N998">
        <f>I998</f>
        <v>3</v>
      </c>
      <c r="O998" t="str">
        <f t="shared" si="46"/>
        <v>2023_Vic_Ouyen_Lentil_Satellite_11</v>
      </c>
      <c r="P998" t="str">
        <f t="shared" si="47"/>
        <v>2023_Vic_Ouyen_Lentil_SatelliteTOS2VarietyJumbo2WaterTrtRainFed</v>
      </c>
    </row>
    <row r="999" spans="1:16" x14ac:dyDescent="0.25">
      <c r="G999">
        <v>3</v>
      </c>
      <c r="H999" t="s">
        <v>253</v>
      </c>
      <c r="I999">
        <v>4</v>
      </c>
      <c r="J999" s="6">
        <v>20</v>
      </c>
      <c r="M999" t="str">
        <f t="shared" si="45"/>
        <v>2023_Vic_Ouyen_Lentil_Satellite</v>
      </c>
      <c r="N999">
        <f>I999</f>
        <v>4</v>
      </c>
      <c r="O999" t="str">
        <f t="shared" si="46"/>
        <v>2023_Vic_Ouyen_Lentil_Satellite_20</v>
      </c>
      <c r="P999" t="str">
        <f t="shared" si="47"/>
        <v>2023_Vic_Ouyen_Lentil_SatelliteTOS2VarietyJumbo2WaterTrtRainFed</v>
      </c>
    </row>
    <row r="1000" spans="1:16" x14ac:dyDescent="0.25">
      <c r="G1000">
        <v>4</v>
      </c>
      <c r="H1000" t="s">
        <v>253</v>
      </c>
      <c r="I1000">
        <v>1</v>
      </c>
      <c r="J1000" s="6">
        <v>29</v>
      </c>
      <c r="M1000" t="str">
        <f t="shared" si="45"/>
        <v>2023_Vic_Ouyen_Lentil_Satellite</v>
      </c>
      <c r="N1000">
        <f>I1000</f>
        <v>1</v>
      </c>
      <c r="O1000" t="str">
        <f t="shared" si="46"/>
        <v>2023_Vic_Ouyen_Lentil_Satellite_29</v>
      </c>
      <c r="P1000" t="str">
        <f t="shared" si="47"/>
        <v>2023_Vic_Ouyen_Lentil_SatelliteTOS2VarietyJumbo2WaterTrtRainFed</v>
      </c>
    </row>
    <row r="1001" spans="1:16" x14ac:dyDescent="0.25">
      <c r="A1001" t="s">
        <v>4368</v>
      </c>
      <c r="B1001" t="s">
        <v>3117</v>
      </c>
      <c r="C1001">
        <v>2</v>
      </c>
      <c r="D1001" t="s">
        <v>4188</v>
      </c>
      <c r="E1001" t="s">
        <v>40</v>
      </c>
      <c r="F1001" t="s">
        <v>4398</v>
      </c>
      <c r="G1001">
        <v>1</v>
      </c>
      <c r="H1001" t="s">
        <v>253</v>
      </c>
      <c r="I1001">
        <v>1</v>
      </c>
      <c r="J1001" s="6">
        <v>5</v>
      </c>
      <c r="M1001" t="str">
        <f t="shared" si="45"/>
        <v>2023_Vic_Ouyen_Lentil_Satellite</v>
      </c>
      <c r="N1001">
        <f>I1001</f>
        <v>1</v>
      </c>
      <c r="O1001" t="str">
        <f t="shared" si="46"/>
        <v>2023_Vic_Ouyen_Lentil_Satellite_5</v>
      </c>
      <c r="P1001" t="str">
        <f t="shared" si="47"/>
        <v>2023_Vic_Ouyen_Lentil_SatelliteTOS2VarietyKelpieXTWaterTrtRainFed</v>
      </c>
    </row>
    <row r="1002" spans="1:16" x14ac:dyDescent="0.25">
      <c r="G1002">
        <v>2</v>
      </c>
      <c r="H1002" t="s">
        <v>253</v>
      </c>
      <c r="I1002">
        <v>2</v>
      </c>
      <c r="J1002" s="6">
        <v>10</v>
      </c>
      <c r="M1002" t="str">
        <f t="shared" si="45"/>
        <v>2023_Vic_Ouyen_Lentil_Satellite</v>
      </c>
      <c r="N1002">
        <f>I1002</f>
        <v>2</v>
      </c>
      <c r="O1002" t="str">
        <f t="shared" si="46"/>
        <v>2023_Vic_Ouyen_Lentil_Satellite_10</v>
      </c>
      <c r="P1002" t="str">
        <f t="shared" si="47"/>
        <v>2023_Vic_Ouyen_Lentil_SatelliteTOS2VarietyKelpieXTWaterTrtRainFed</v>
      </c>
    </row>
    <row r="1003" spans="1:16" x14ac:dyDescent="0.25">
      <c r="G1003">
        <v>3</v>
      </c>
      <c r="H1003" t="s">
        <v>253</v>
      </c>
      <c r="I1003">
        <v>3</v>
      </c>
      <c r="J1003" s="6">
        <v>19</v>
      </c>
      <c r="M1003" t="str">
        <f t="shared" si="45"/>
        <v>2023_Vic_Ouyen_Lentil_Satellite</v>
      </c>
      <c r="N1003">
        <f>I1003</f>
        <v>3</v>
      </c>
      <c r="O1003" t="str">
        <f t="shared" si="46"/>
        <v>2023_Vic_Ouyen_Lentil_Satellite_19</v>
      </c>
      <c r="P1003" t="str">
        <f t="shared" si="47"/>
        <v>2023_Vic_Ouyen_Lentil_SatelliteTOS2VarietyKelpieXTWaterTrtRainFed</v>
      </c>
    </row>
    <row r="1004" spans="1:16" x14ac:dyDescent="0.25">
      <c r="G1004">
        <v>4</v>
      </c>
      <c r="H1004" t="s">
        <v>253</v>
      </c>
      <c r="I1004">
        <v>4</v>
      </c>
      <c r="J1004" s="6">
        <v>32</v>
      </c>
      <c r="M1004" t="str">
        <f t="shared" si="45"/>
        <v>2023_Vic_Ouyen_Lentil_Satellite</v>
      </c>
      <c r="N1004">
        <f>I1004</f>
        <v>4</v>
      </c>
      <c r="O1004" t="str">
        <f t="shared" si="46"/>
        <v>2023_Vic_Ouyen_Lentil_Satellite_32</v>
      </c>
      <c r="P1004" t="str">
        <f t="shared" si="47"/>
        <v>2023_Vic_Ouyen_Lentil_SatelliteTOS2VarietyKelpieXTWaterTrtRainFed</v>
      </c>
    </row>
    <row r="1005" spans="1:16" x14ac:dyDescent="0.25">
      <c r="A1005" t="s">
        <v>4369</v>
      </c>
      <c r="B1005" t="s">
        <v>3870</v>
      </c>
      <c r="C1005">
        <v>1</v>
      </c>
      <c r="D1005" t="s">
        <v>4176</v>
      </c>
      <c r="E1005" t="s">
        <v>40</v>
      </c>
      <c r="F1005" t="s">
        <v>3872</v>
      </c>
      <c r="G1005">
        <v>1</v>
      </c>
      <c r="H1005" t="s">
        <v>253</v>
      </c>
      <c r="I1005">
        <v>14</v>
      </c>
      <c r="J1005" s="6">
        <v>58</v>
      </c>
      <c r="M1005" t="str">
        <f t="shared" si="45"/>
        <v>2024_NSW_Greenethorpe_Mixed_NFix</v>
      </c>
      <c r="N1005">
        <f>I1005</f>
        <v>14</v>
      </c>
      <c r="O1005" t="str">
        <f t="shared" si="46"/>
        <v>2024_NSW_Greenethorpe_Mixed_NFix_58</v>
      </c>
      <c r="P1005" t="str">
        <f t="shared" si="47"/>
        <v>2024_NSW_Greenethorpe_Mixed_NFixTOS1VarietyJumbo2WaterTrtRainFedAgronomy125kgN</v>
      </c>
    </row>
    <row r="1006" spans="1:16" x14ac:dyDescent="0.25">
      <c r="I1006">
        <v>16</v>
      </c>
      <c r="J1006" s="6">
        <v>60</v>
      </c>
      <c r="M1006" t="str">
        <f t="shared" si="45"/>
        <v>2024_NSW_Greenethorpe_Mixed_NFix</v>
      </c>
      <c r="N1006">
        <f>I1006</f>
        <v>16</v>
      </c>
      <c r="O1006" t="str">
        <f t="shared" si="46"/>
        <v>2024_NSW_Greenethorpe_Mixed_NFix_60</v>
      </c>
      <c r="P1006" t="str">
        <f t="shared" si="47"/>
        <v>2024_NSW_Greenethorpe_Mixed_NFixTOS1VarietyJumbo2WaterTrtRainFedAgronomy125kgN</v>
      </c>
    </row>
    <row r="1007" spans="1:16" x14ac:dyDescent="0.25">
      <c r="G1007">
        <v>2</v>
      </c>
      <c r="H1007" t="s">
        <v>253</v>
      </c>
      <c r="I1007">
        <v>15</v>
      </c>
      <c r="J1007" s="6">
        <v>123</v>
      </c>
      <c r="M1007" t="str">
        <f t="shared" si="45"/>
        <v>2024_NSW_Greenethorpe_Mixed_NFix</v>
      </c>
      <c r="N1007">
        <f>I1007</f>
        <v>15</v>
      </c>
      <c r="O1007" t="str">
        <f t="shared" si="46"/>
        <v>2024_NSW_Greenethorpe_Mixed_NFix_123</v>
      </c>
      <c r="P1007" t="str">
        <f t="shared" si="47"/>
        <v>2024_NSW_Greenethorpe_Mixed_NFixTOS1VarietyJumbo2WaterTrtRainFedAgronomy125kgN</v>
      </c>
    </row>
    <row r="1008" spans="1:16" x14ac:dyDescent="0.25">
      <c r="I1008">
        <v>16</v>
      </c>
      <c r="J1008" s="6">
        <v>124</v>
      </c>
      <c r="M1008" t="str">
        <f t="shared" si="45"/>
        <v>2024_NSW_Greenethorpe_Mixed_NFix</v>
      </c>
      <c r="N1008">
        <f>I1008</f>
        <v>16</v>
      </c>
      <c r="O1008" t="str">
        <f t="shared" si="46"/>
        <v>2024_NSW_Greenethorpe_Mixed_NFix_124</v>
      </c>
      <c r="P1008" t="str">
        <f t="shared" si="47"/>
        <v>2024_NSW_Greenethorpe_Mixed_NFixTOS1VarietyJumbo2WaterTrtRainFedAgronomy125kgN</v>
      </c>
    </row>
    <row r="1009" spans="1:16" x14ac:dyDescent="0.25">
      <c r="A1009" t="s">
        <v>4370</v>
      </c>
      <c r="B1009" t="s">
        <v>3870</v>
      </c>
      <c r="C1009">
        <v>1</v>
      </c>
      <c r="D1009" t="s">
        <v>4176</v>
      </c>
      <c r="E1009" t="s">
        <v>40</v>
      </c>
      <c r="F1009" t="s">
        <v>3902</v>
      </c>
      <c r="G1009">
        <v>1</v>
      </c>
      <c r="H1009" t="s">
        <v>253</v>
      </c>
      <c r="I1009">
        <v>13</v>
      </c>
      <c r="J1009" s="6">
        <v>29</v>
      </c>
      <c r="M1009" t="str">
        <f t="shared" si="45"/>
        <v>2024_NSW_Greenethorpe_Mixed_NFix</v>
      </c>
      <c r="N1009">
        <f>I1009</f>
        <v>13</v>
      </c>
      <c r="O1009" t="str">
        <f t="shared" si="46"/>
        <v>2024_NSW_Greenethorpe_Mixed_NFix_29</v>
      </c>
      <c r="P1009" t="str">
        <f t="shared" si="47"/>
        <v>2024_NSW_Greenethorpe_Mixed_NFixTOS1VarietyJumbo2WaterTrtRainFedAgronomy175kgN</v>
      </c>
    </row>
    <row r="1010" spans="1:16" x14ac:dyDescent="0.25">
      <c r="I1010">
        <v>15</v>
      </c>
      <c r="J1010" s="6">
        <v>31</v>
      </c>
      <c r="M1010" t="str">
        <f t="shared" si="45"/>
        <v>2024_NSW_Greenethorpe_Mixed_NFix</v>
      </c>
      <c r="N1010">
        <f>I1010</f>
        <v>15</v>
      </c>
      <c r="O1010" t="str">
        <f t="shared" si="46"/>
        <v>2024_NSW_Greenethorpe_Mixed_NFix_31</v>
      </c>
      <c r="P1010" t="str">
        <f t="shared" si="47"/>
        <v>2024_NSW_Greenethorpe_Mixed_NFixTOS1VarietyJumbo2WaterTrtRainFedAgronomy175kgN</v>
      </c>
    </row>
    <row r="1011" spans="1:16" x14ac:dyDescent="0.25">
      <c r="G1011">
        <v>2</v>
      </c>
      <c r="H1011" t="s">
        <v>253</v>
      </c>
      <c r="I1011">
        <v>2</v>
      </c>
      <c r="J1011" s="6">
        <v>70</v>
      </c>
      <c r="M1011" t="str">
        <f t="shared" si="45"/>
        <v>2024_NSW_Greenethorpe_Mixed_NFix</v>
      </c>
      <c r="N1011">
        <f>I1011</f>
        <v>2</v>
      </c>
      <c r="O1011" t="str">
        <f t="shared" si="46"/>
        <v>2024_NSW_Greenethorpe_Mixed_NFix_70</v>
      </c>
      <c r="P1011" t="str">
        <f t="shared" si="47"/>
        <v>2024_NSW_Greenethorpe_Mixed_NFixTOS1VarietyJumbo2WaterTrtRainFedAgronomy175kgN</v>
      </c>
    </row>
    <row r="1012" spans="1:16" x14ac:dyDescent="0.25">
      <c r="I1012">
        <v>4</v>
      </c>
      <c r="J1012" s="6">
        <v>72</v>
      </c>
      <c r="M1012" t="str">
        <f t="shared" si="45"/>
        <v>2024_NSW_Greenethorpe_Mixed_NFix</v>
      </c>
      <c r="N1012">
        <f>I1012</f>
        <v>4</v>
      </c>
      <c r="O1012" t="str">
        <f t="shared" si="46"/>
        <v>2024_NSW_Greenethorpe_Mixed_NFix_72</v>
      </c>
      <c r="P1012" t="str">
        <f t="shared" si="47"/>
        <v>2024_NSW_Greenethorpe_Mixed_NFixTOS1VarietyJumbo2WaterTrtRainFedAgronomy175kgN</v>
      </c>
    </row>
    <row r="1013" spans="1:16" x14ac:dyDescent="0.25">
      <c r="A1013" t="s">
        <v>4371</v>
      </c>
      <c r="B1013" t="s">
        <v>3870</v>
      </c>
      <c r="C1013">
        <v>1</v>
      </c>
      <c r="D1013" t="s">
        <v>4176</v>
      </c>
      <c r="E1013" t="s">
        <v>40</v>
      </c>
      <c r="F1013" t="s">
        <v>3884</v>
      </c>
      <c r="G1013">
        <v>1</v>
      </c>
      <c r="H1013" t="s">
        <v>253</v>
      </c>
      <c r="I1013">
        <v>7</v>
      </c>
      <c r="J1013" s="6">
        <v>11</v>
      </c>
      <c r="M1013" t="str">
        <f t="shared" si="45"/>
        <v>2024_NSW_Greenethorpe_Mixed_NFix</v>
      </c>
      <c r="N1013">
        <f>I1013</f>
        <v>7</v>
      </c>
      <c r="O1013" t="str">
        <f t="shared" si="46"/>
        <v>2024_NSW_Greenethorpe_Mixed_NFix_11</v>
      </c>
      <c r="P1013" t="str">
        <f t="shared" si="47"/>
        <v>2024_NSW_Greenethorpe_Mixed_NFixTOS1VarietyJumbo2WaterTrtRainFedAgronomy350kgN</v>
      </c>
    </row>
    <row r="1014" spans="1:16" x14ac:dyDescent="0.25">
      <c r="I1014">
        <v>8</v>
      </c>
      <c r="J1014" s="6">
        <v>12</v>
      </c>
      <c r="M1014" t="str">
        <f t="shared" si="45"/>
        <v>2024_NSW_Greenethorpe_Mixed_NFix</v>
      </c>
      <c r="N1014">
        <f>I1014</f>
        <v>8</v>
      </c>
      <c r="O1014" t="str">
        <f t="shared" si="46"/>
        <v>2024_NSW_Greenethorpe_Mixed_NFix_12</v>
      </c>
      <c r="P1014" t="str">
        <f t="shared" si="47"/>
        <v>2024_NSW_Greenethorpe_Mixed_NFixTOS1VarietyJumbo2WaterTrtRainFedAgronomy350kgN</v>
      </c>
    </row>
    <row r="1015" spans="1:16" x14ac:dyDescent="0.25">
      <c r="G1015">
        <v>2</v>
      </c>
      <c r="H1015" t="s">
        <v>253</v>
      </c>
      <c r="I1015">
        <v>5</v>
      </c>
      <c r="J1015" s="6">
        <v>73</v>
      </c>
      <c r="M1015" t="str">
        <f t="shared" si="45"/>
        <v>2024_NSW_Greenethorpe_Mixed_NFix</v>
      </c>
      <c r="N1015">
        <f>I1015</f>
        <v>5</v>
      </c>
      <c r="O1015" t="str">
        <f t="shared" si="46"/>
        <v>2024_NSW_Greenethorpe_Mixed_NFix_73</v>
      </c>
      <c r="P1015" t="str">
        <f t="shared" si="47"/>
        <v>2024_NSW_Greenethorpe_Mixed_NFixTOS1VarietyJumbo2WaterTrtRainFedAgronomy350kgN</v>
      </c>
    </row>
    <row r="1016" spans="1:16" x14ac:dyDescent="0.25">
      <c r="I1016">
        <v>6</v>
      </c>
      <c r="J1016" s="6">
        <v>74</v>
      </c>
      <c r="M1016" t="str">
        <f t="shared" si="45"/>
        <v>2024_NSW_Greenethorpe_Mixed_NFix</v>
      </c>
      <c r="N1016">
        <f>I1016</f>
        <v>6</v>
      </c>
      <c r="O1016" t="str">
        <f t="shared" si="46"/>
        <v>2024_NSW_Greenethorpe_Mixed_NFix_74</v>
      </c>
      <c r="P1016" t="str">
        <f t="shared" si="47"/>
        <v>2024_NSW_Greenethorpe_Mixed_NFixTOS1VarietyJumbo2WaterTrtRainFedAgronomy350kgN</v>
      </c>
    </row>
    <row r="1017" spans="1:16" x14ac:dyDescent="0.25">
      <c r="A1017" t="s">
        <v>4372</v>
      </c>
      <c r="B1017" t="s">
        <v>3870</v>
      </c>
      <c r="C1017">
        <v>1</v>
      </c>
      <c r="D1017" t="s">
        <v>4176</v>
      </c>
      <c r="E1017" t="s">
        <v>40</v>
      </c>
      <c r="F1017" t="s">
        <v>3893</v>
      </c>
      <c r="G1017">
        <v>1</v>
      </c>
      <c r="H1017" t="s">
        <v>253</v>
      </c>
      <c r="I1017">
        <v>5</v>
      </c>
      <c r="J1017" s="6">
        <v>45</v>
      </c>
      <c r="M1017" t="str">
        <f t="shared" si="45"/>
        <v>2024_NSW_Greenethorpe_Mixed_NFix</v>
      </c>
      <c r="N1017">
        <f>I1017</f>
        <v>5</v>
      </c>
      <c r="O1017" t="str">
        <f t="shared" si="46"/>
        <v>2024_NSW_Greenethorpe_Mixed_NFix_45</v>
      </c>
      <c r="P1017" t="str">
        <f t="shared" si="47"/>
        <v>2024_NSW_Greenethorpe_Mixed_NFixTOS1VarietyJumbo2WaterTrtRainFedAgronomy50kgN</v>
      </c>
    </row>
    <row r="1018" spans="1:16" x14ac:dyDescent="0.25">
      <c r="I1018">
        <v>7</v>
      </c>
      <c r="J1018" s="6">
        <v>47</v>
      </c>
      <c r="M1018" t="str">
        <f t="shared" si="45"/>
        <v>2024_NSW_Greenethorpe_Mixed_NFix</v>
      </c>
      <c r="N1018">
        <f>I1018</f>
        <v>7</v>
      </c>
      <c r="O1018" t="str">
        <f t="shared" si="46"/>
        <v>2024_NSW_Greenethorpe_Mixed_NFix_47</v>
      </c>
      <c r="P1018" t="str">
        <f t="shared" si="47"/>
        <v>2024_NSW_Greenethorpe_Mixed_NFixTOS1VarietyJumbo2WaterTrtRainFedAgronomy50kgN</v>
      </c>
    </row>
    <row r="1019" spans="1:16" x14ac:dyDescent="0.25">
      <c r="G1019">
        <v>2</v>
      </c>
      <c r="H1019" t="s">
        <v>253</v>
      </c>
      <c r="I1019">
        <v>9</v>
      </c>
      <c r="J1019" s="6">
        <v>117</v>
      </c>
      <c r="M1019" t="str">
        <f t="shared" si="45"/>
        <v>2024_NSW_Greenethorpe_Mixed_NFix</v>
      </c>
      <c r="N1019">
        <f>I1019</f>
        <v>9</v>
      </c>
      <c r="O1019" t="str">
        <f t="shared" si="46"/>
        <v>2024_NSW_Greenethorpe_Mixed_NFix_117</v>
      </c>
      <c r="P1019" t="str">
        <f t="shared" si="47"/>
        <v>2024_NSW_Greenethorpe_Mixed_NFixTOS1VarietyJumbo2WaterTrtRainFedAgronomy50kgN</v>
      </c>
    </row>
    <row r="1020" spans="1:16" x14ac:dyDescent="0.25">
      <c r="I1020">
        <v>10</v>
      </c>
      <c r="J1020" s="6">
        <v>118</v>
      </c>
      <c r="M1020" t="str">
        <f t="shared" si="45"/>
        <v>2024_NSW_Greenethorpe_Mixed_NFix</v>
      </c>
      <c r="N1020">
        <f>I1020</f>
        <v>10</v>
      </c>
      <c r="O1020" t="str">
        <f t="shared" si="46"/>
        <v>2024_NSW_Greenethorpe_Mixed_NFix_118</v>
      </c>
      <c r="P1020" t="str">
        <f t="shared" si="47"/>
        <v>2024_NSW_Greenethorpe_Mixed_NFixTOS1VarietyJumbo2WaterTrtRainFedAgronomy50kgN</v>
      </c>
    </row>
    <row r="1021" spans="1:16" x14ac:dyDescent="0.25">
      <c r="A1021" t="s">
        <v>4373</v>
      </c>
      <c r="B1021" t="s">
        <v>3870</v>
      </c>
      <c r="C1021">
        <v>1</v>
      </c>
      <c r="D1021" t="s">
        <v>4188</v>
      </c>
      <c r="E1021" t="s">
        <v>40</v>
      </c>
      <c r="F1021" t="s">
        <v>3872</v>
      </c>
      <c r="G1021">
        <v>1</v>
      </c>
      <c r="H1021" t="s">
        <v>253</v>
      </c>
      <c r="I1021">
        <v>13</v>
      </c>
      <c r="J1021" s="6">
        <v>57</v>
      </c>
      <c r="M1021" t="str">
        <f t="shared" si="45"/>
        <v>2024_NSW_Greenethorpe_Mixed_NFix</v>
      </c>
      <c r="N1021">
        <f>I1021</f>
        <v>13</v>
      </c>
      <c r="O1021" t="str">
        <f t="shared" si="46"/>
        <v>2024_NSW_Greenethorpe_Mixed_NFix_57</v>
      </c>
      <c r="P1021" t="str">
        <f t="shared" si="47"/>
        <v>2024_NSW_Greenethorpe_Mixed_NFixTOS1VarietyKelpieXTWaterTrtRainFedAgronomy125kgN</v>
      </c>
    </row>
    <row r="1022" spans="1:16" x14ac:dyDescent="0.25">
      <c r="I1022">
        <v>15</v>
      </c>
      <c r="J1022" s="6">
        <v>59</v>
      </c>
      <c r="M1022" t="str">
        <f t="shared" si="45"/>
        <v>2024_NSW_Greenethorpe_Mixed_NFix</v>
      </c>
      <c r="N1022">
        <f>I1022</f>
        <v>15</v>
      </c>
      <c r="O1022" t="str">
        <f t="shared" si="46"/>
        <v>2024_NSW_Greenethorpe_Mixed_NFix_59</v>
      </c>
      <c r="P1022" t="str">
        <f t="shared" si="47"/>
        <v>2024_NSW_Greenethorpe_Mixed_NFixTOS1VarietyKelpieXTWaterTrtRainFedAgronomy125kgN</v>
      </c>
    </row>
    <row r="1023" spans="1:16" x14ac:dyDescent="0.25">
      <c r="G1023">
        <v>2</v>
      </c>
      <c r="H1023" t="s">
        <v>253</v>
      </c>
      <c r="I1023">
        <v>13</v>
      </c>
      <c r="J1023" s="6">
        <v>121</v>
      </c>
      <c r="M1023" t="str">
        <f t="shared" si="45"/>
        <v>2024_NSW_Greenethorpe_Mixed_NFix</v>
      </c>
      <c r="N1023">
        <f>I1023</f>
        <v>13</v>
      </c>
      <c r="O1023" t="str">
        <f t="shared" si="46"/>
        <v>2024_NSW_Greenethorpe_Mixed_NFix_121</v>
      </c>
      <c r="P1023" t="str">
        <f t="shared" si="47"/>
        <v>2024_NSW_Greenethorpe_Mixed_NFixTOS1VarietyKelpieXTWaterTrtRainFedAgronomy125kgN</v>
      </c>
    </row>
    <row r="1024" spans="1:16" x14ac:dyDescent="0.25">
      <c r="I1024">
        <v>14</v>
      </c>
      <c r="J1024" s="6">
        <v>122</v>
      </c>
      <c r="M1024" t="str">
        <f t="shared" si="45"/>
        <v>2024_NSW_Greenethorpe_Mixed_NFix</v>
      </c>
      <c r="N1024">
        <f>I1024</f>
        <v>14</v>
      </c>
      <c r="O1024" t="str">
        <f t="shared" si="46"/>
        <v>2024_NSW_Greenethorpe_Mixed_NFix_122</v>
      </c>
      <c r="P1024" t="str">
        <f t="shared" si="47"/>
        <v>2024_NSW_Greenethorpe_Mixed_NFixTOS1VarietyKelpieXTWaterTrtRainFedAgronomy125kgN</v>
      </c>
    </row>
    <row r="1025" spans="1:16" x14ac:dyDescent="0.25">
      <c r="A1025" t="s">
        <v>4374</v>
      </c>
      <c r="B1025" t="s">
        <v>3870</v>
      </c>
      <c r="C1025">
        <v>1</v>
      </c>
      <c r="D1025" t="s">
        <v>4188</v>
      </c>
      <c r="E1025" t="s">
        <v>40</v>
      </c>
      <c r="F1025" t="s">
        <v>3902</v>
      </c>
      <c r="G1025">
        <v>1</v>
      </c>
      <c r="H1025" t="s">
        <v>253</v>
      </c>
      <c r="I1025">
        <v>14</v>
      </c>
      <c r="J1025" s="6">
        <v>30</v>
      </c>
      <c r="M1025" t="str">
        <f t="shared" si="45"/>
        <v>2024_NSW_Greenethorpe_Mixed_NFix</v>
      </c>
      <c r="N1025">
        <f>I1025</f>
        <v>14</v>
      </c>
      <c r="O1025" t="str">
        <f t="shared" si="46"/>
        <v>2024_NSW_Greenethorpe_Mixed_NFix_30</v>
      </c>
      <c r="P1025" t="str">
        <f t="shared" si="47"/>
        <v>2024_NSW_Greenethorpe_Mixed_NFixTOS1VarietyKelpieXTWaterTrtRainFedAgronomy175kgN</v>
      </c>
    </row>
    <row r="1026" spans="1:16" x14ac:dyDescent="0.25">
      <c r="I1026">
        <v>16</v>
      </c>
      <c r="J1026" s="6">
        <v>32</v>
      </c>
      <c r="M1026" t="str">
        <f t="shared" si="45"/>
        <v>2024_NSW_Greenethorpe_Mixed_NFix</v>
      </c>
      <c r="N1026">
        <f>I1026</f>
        <v>16</v>
      </c>
      <c r="O1026" t="str">
        <f t="shared" si="46"/>
        <v>2024_NSW_Greenethorpe_Mixed_NFix_32</v>
      </c>
      <c r="P1026" t="str">
        <f t="shared" si="47"/>
        <v>2024_NSW_Greenethorpe_Mixed_NFixTOS1VarietyKelpieXTWaterTrtRainFedAgronomy175kgN</v>
      </c>
    </row>
    <row r="1027" spans="1:16" x14ac:dyDescent="0.25">
      <c r="G1027">
        <v>2</v>
      </c>
      <c r="H1027" t="s">
        <v>253</v>
      </c>
      <c r="I1027">
        <v>1</v>
      </c>
      <c r="J1027" s="6">
        <v>69</v>
      </c>
      <c r="M1027" t="str">
        <f t="shared" si="45"/>
        <v>2024_NSW_Greenethorpe_Mixed_NFix</v>
      </c>
      <c r="N1027">
        <f>I1027</f>
        <v>1</v>
      </c>
      <c r="O1027" t="str">
        <f t="shared" si="46"/>
        <v>2024_NSW_Greenethorpe_Mixed_NFix_69</v>
      </c>
      <c r="P1027" t="str">
        <f t="shared" si="47"/>
        <v>2024_NSW_Greenethorpe_Mixed_NFixTOS1VarietyKelpieXTWaterTrtRainFedAgronomy175kgN</v>
      </c>
    </row>
    <row r="1028" spans="1:16" x14ac:dyDescent="0.25">
      <c r="I1028">
        <v>3</v>
      </c>
      <c r="J1028" s="6">
        <v>71</v>
      </c>
      <c r="M1028" t="str">
        <f t="shared" si="45"/>
        <v>2024_NSW_Greenethorpe_Mixed_NFix</v>
      </c>
      <c r="N1028">
        <f>I1028</f>
        <v>3</v>
      </c>
      <c r="O1028" t="str">
        <f t="shared" si="46"/>
        <v>2024_NSW_Greenethorpe_Mixed_NFix_71</v>
      </c>
      <c r="P1028" t="str">
        <f t="shared" si="47"/>
        <v>2024_NSW_Greenethorpe_Mixed_NFixTOS1VarietyKelpieXTWaterTrtRainFedAgronomy175kgN</v>
      </c>
    </row>
    <row r="1029" spans="1:16" x14ac:dyDescent="0.25">
      <c r="A1029" t="s">
        <v>4375</v>
      </c>
      <c r="B1029" t="s">
        <v>3870</v>
      </c>
      <c r="C1029">
        <v>1</v>
      </c>
      <c r="D1029" t="s">
        <v>4188</v>
      </c>
      <c r="E1029" t="s">
        <v>40</v>
      </c>
      <c r="F1029" t="s">
        <v>3884</v>
      </c>
      <c r="G1029">
        <v>1</v>
      </c>
      <c r="H1029" t="s">
        <v>253</v>
      </c>
      <c r="I1029">
        <v>5</v>
      </c>
      <c r="J1029" s="6">
        <v>9</v>
      </c>
      <c r="M1029" t="str">
        <f t="shared" si="45"/>
        <v>2024_NSW_Greenethorpe_Mixed_NFix</v>
      </c>
      <c r="N1029">
        <f>I1029</f>
        <v>5</v>
      </c>
      <c r="O1029" t="str">
        <f t="shared" si="46"/>
        <v>2024_NSW_Greenethorpe_Mixed_NFix_9</v>
      </c>
      <c r="P1029" t="str">
        <f t="shared" si="47"/>
        <v>2024_NSW_Greenethorpe_Mixed_NFixTOS1VarietyKelpieXTWaterTrtRainFedAgronomy350kgN</v>
      </c>
    </row>
    <row r="1030" spans="1:16" x14ac:dyDescent="0.25">
      <c r="I1030">
        <v>6</v>
      </c>
      <c r="J1030" s="6">
        <v>10</v>
      </c>
      <c r="M1030" t="str">
        <f t="shared" ref="M1030:M1093" si="48">IF(B1030="",M1029,B1030)</f>
        <v>2024_NSW_Greenethorpe_Mixed_NFix</v>
      </c>
      <c r="N1030">
        <f>I1030</f>
        <v>6</v>
      </c>
      <c r="O1030" t="str">
        <f t="shared" ref="O1030:O1093" si="49">M1030&amp;"_"&amp;J1030</f>
        <v>2024_NSW_Greenethorpe_Mixed_NFix_10</v>
      </c>
      <c r="P1030" t="str">
        <f t="shared" ref="P1030:P1093" si="50">IF(A1030="",P1029,A1030)</f>
        <v>2024_NSW_Greenethorpe_Mixed_NFixTOS1VarietyKelpieXTWaterTrtRainFedAgronomy350kgN</v>
      </c>
    </row>
    <row r="1031" spans="1:16" x14ac:dyDescent="0.25">
      <c r="G1031">
        <v>2</v>
      </c>
      <c r="H1031" t="s">
        <v>253</v>
      </c>
      <c r="I1031">
        <v>7</v>
      </c>
      <c r="J1031" s="6">
        <v>75</v>
      </c>
      <c r="M1031" t="str">
        <f t="shared" si="48"/>
        <v>2024_NSW_Greenethorpe_Mixed_NFix</v>
      </c>
      <c r="N1031">
        <f>I1031</f>
        <v>7</v>
      </c>
      <c r="O1031" t="str">
        <f t="shared" si="49"/>
        <v>2024_NSW_Greenethorpe_Mixed_NFix_75</v>
      </c>
      <c r="P1031" t="str">
        <f t="shared" si="50"/>
        <v>2024_NSW_Greenethorpe_Mixed_NFixTOS1VarietyKelpieXTWaterTrtRainFedAgronomy350kgN</v>
      </c>
    </row>
    <row r="1032" spans="1:16" x14ac:dyDescent="0.25">
      <c r="I1032">
        <v>8</v>
      </c>
      <c r="J1032" s="6">
        <v>76</v>
      </c>
      <c r="M1032" t="str">
        <f t="shared" si="48"/>
        <v>2024_NSW_Greenethorpe_Mixed_NFix</v>
      </c>
      <c r="N1032">
        <f>I1032</f>
        <v>8</v>
      </c>
      <c r="O1032" t="str">
        <f t="shared" si="49"/>
        <v>2024_NSW_Greenethorpe_Mixed_NFix_76</v>
      </c>
      <c r="P1032" t="str">
        <f t="shared" si="50"/>
        <v>2024_NSW_Greenethorpe_Mixed_NFixTOS1VarietyKelpieXTWaterTrtRainFedAgronomy350kgN</v>
      </c>
    </row>
    <row r="1033" spans="1:16" x14ac:dyDescent="0.25">
      <c r="A1033" t="s">
        <v>4376</v>
      </c>
      <c r="B1033" t="s">
        <v>3870</v>
      </c>
      <c r="C1033">
        <v>1</v>
      </c>
      <c r="D1033" t="s">
        <v>4188</v>
      </c>
      <c r="E1033" t="s">
        <v>40</v>
      </c>
      <c r="F1033" t="s">
        <v>3893</v>
      </c>
      <c r="G1033">
        <v>1</v>
      </c>
      <c r="H1033" t="s">
        <v>253</v>
      </c>
      <c r="I1033">
        <v>6</v>
      </c>
      <c r="J1033" s="6">
        <v>46</v>
      </c>
      <c r="M1033" t="str">
        <f t="shared" si="48"/>
        <v>2024_NSW_Greenethorpe_Mixed_NFix</v>
      </c>
      <c r="N1033">
        <f>I1033</f>
        <v>6</v>
      </c>
      <c r="O1033" t="str">
        <f t="shared" si="49"/>
        <v>2024_NSW_Greenethorpe_Mixed_NFix_46</v>
      </c>
      <c r="P1033" t="str">
        <f t="shared" si="50"/>
        <v>2024_NSW_Greenethorpe_Mixed_NFixTOS1VarietyKelpieXTWaterTrtRainFedAgronomy50kgN</v>
      </c>
    </row>
    <row r="1034" spans="1:16" x14ac:dyDescent="0.25">
      <c r="I1034">
        <v>8</v>
      </c>
      <c r="J1034" s="6">
        <v>48</v>
      </c>
      <c r="M1034" t="str">
        <f t="shared" si="48"/>
        <v>2024_NSW_Greenethorpe_Mixed_NFix</v>
      </c>
      <c r="N1034">
        <f>I1034</f>
        <v>8</v>
      </c>
      <c r="O1034" t="str">
        <f t="shared" si="49"/>
        <v>2024_NSW_Greenethorpe_Mixed_NFix_48</v>
      </c>
      <c r="P1034" t="str">
        <f t="shared" si="50"/>
        <v>2024_NSW_Greenethorpe_Mixed_NFixTOS1VarietyKelpieXTWaterTrtRainFedAgronomy50kgN</v>
      </c>
    </row>
    <row r="1035" spans="1:16" x14ac:dyDescent="0.25">
      <c r="G1035">
        <v>2</v>
      </c>
      <c r="H1035" t="s">
        <v>253</v>
      </c>
      <c r="I1035">
        <v>11</v>
      </c>
      <c r="J1035" s="6">
        <v>119</v>
      </c>
      <c r="M1035" t="str">
        <f t="shared" si="48"/>
        <v>2024_NSW_Greenethorpe_Mixed_NFix</v>
      </c>
      <c r="N1035">
        <f>I1035</f>
        <v>11</v>
      </c>
      <c r="O1035" t="str">
        <f t="shared" si="49"/>
        <v>2024_NSW_Greenethorpe_Mixed_NFix_119</v>
      </c>
      <c r="P1035" t="str">
        <f t="shared" si="50"/>
        <v>2024_NSW_Greenethorpe_Mixed_NFixTOS1VarietyKelpieXTWaterTrtRainFedAgronomy50kgN</v>
      </c>
    </row>
    <row r="1036" spans="1:16" x14ac:dyDescent="0.25">
      <c r="I1036">
        <v>12</v>
      </c>
      <c r="J1036" s="6">
        <v>120</v>
      </c>
      <c r="M1036" t="str">
        <f t="shared" si="48"/>
        <v>2024_NSW_Greenethorpe_Mixed_NFix</v>
      </c>
      <c r="N1036">
        <f>I1036</f>
        <v>12</v>
      </c>
      <c r="O1036" t="str">
        <f t="shared" si="49"/>
        <v>2024_NSW_Greenethorpe_Mixed_NFix_120</v>
      </c>
      <c r="P1036" t="str">
        <f t="shared" si="50"/>
        <v>2024_NSW_Greenethorpe_Mixed_NFixTOS1VarietyKelpieXTWaterTrtRainFedAgronomy50kgN</v>
      </c>
    </row>
    <row r="1037" spans="1:16" x14ac:dyDescent="0.25">
      <c r="A1037" t="s">
        <v>4377</v>
      </c>
      <c r="B1037" t="s">
        <v>4057</v>
      </c>
      <c r="C1037">
        <v>1</v>
      </c>
      <c r="D1037" t="s">
        <v>4187</v>
      </c>
      <c r="E1037" t="s">
        <v>40</v>
      </c>
      <c r="F1037" t="s">
        <v>1511</v>
      </c>
      <c r="G1037">
        <v>1</v>
      </c>
      <c r="H1037" t="s">
        <v>253</v>
      </c>
      <c r="I1037">
        <v>1</v>
      </c>
      <c r="J1037" s="6">
        <v>7</v>
      </c>
      <c r="M1037" t="str">
        <f t="shared" si="48"/>
        <v>2024_SA_Warnertown_Lentil_Satellite</v>
      </c>
      <c r="N1037">
        <f>I1037</f>
        <v>1</v>
      </c>
      <c r="O1037" t="str">
        <f t="shared" si="49"/>
        <v>2024_SA_Warnertown_Lentil_Satellite_7</v>
      </c>
      <c r="P1037" t="str">
        <f t="shared" si="50"/>
        <v>2024_SA_Warnertown_Lentil_SatelliteTOS1VarietyBoltWaterTrtRainFedAgronomyDensity_0.66</v>
      </c>
    </row>
    <row r="1038" spans="1:16" x14ac:dyDescent="0.25">
      <c r="G1038">
        <v>2</v>
      </c>
      <c r="H1038" t="s">
        <v>253</v>
      </c>
      <c r="I1038">
        <v>2</v>
      </c>
      <c r="J1038" s="6">
        <v>14</v>
      </c>
      <c r="M1038" t="str">
        <f t="shared" si="48"/>
        <v>2024_SA_Warnertown_Lentil_Satellite</v>
      </c>
      <c r="N1038">
        <f>I1038</f>
        <v>2</v>
      </c>
      <c r="O1038" t="str">
        <f t="shared" si="49"/>
        <v>2024_SA_Warnertown_Lentil_Satellite_14</v>
      </c>
      <c r="P1038" t="str">
        <f t="shared" si="50"/>
        <v>2024_SA_Warnertown_Lentil_SatelliteTOS1VarietyBoltWaterTrtRainFedAgronomyDensity_0.66</v>
      </c>
    </row>
    <row r="1039" spans="1:16" x14ac:dyDescent="0.25">
      <c r="G1039">
        <v>3</v>
      </c>
      <c r="H1039" t="s">
        <v>253</v>
      </c>
      <c r="I1039">
        <v>3</v>
      </c>
      <c r="J1039" s="6">
        <v>36</v>
      </c>
      <c r="M1039" t="str">
        <f t="shared" si="48"/>
        <v>2024_SA_Warnertown_Lentil_Satellite</v>
      </c>
      <c r="N1039">
        <f>I1039</f>
        <v>3</v>
      </c>
      <c r="O1039" t="str">
        <f t="shared" si="49"/>
        <v>2024_SA_Warnertown_Lentil_Satellite_36</v>
      </c>
      <c r="P1039" t="str">
        <f t="shared" si="50"/>
        <v>2024_SA_Warnertown_Lentil_SatelliteTOS1VarietyBoltWaterTrtRainFedAgronomyDensity_0.66</v>
      </c>
    </row>
    <row r="1040" spans="1:16" x14ac:dyDescent="0.25">
      <c r="G1040">
        <v>4</v>
      </c>
      <c r="H1040" t="s">
        <v>253</v>
      </c>
      <c r="I1040">
        <v>2</v>
      </c>
      <c r="J1040" s="6">
        <v>41</v>
      </c>
      <c r="M1040" t="str">
        <f t="shared" si="48"/>
        <v>2024_SA_Warnertown_Lentil_Satellite</v>
      </c>
      <c r="N1040">
        <f>I1040</f>
        <v>2</v>
      </c>
      <c r="O1040" t="str">
        <f t="shared" si="49"/>
        <v>2024_SA_Warnertown_Lentil_Satellite_41</v>
      </c>
      <c r="P1040" t="str">
        <f t="shared" si="50"/>
        <v>2024_SA_Warnertown_Lentil_SatelliteTOS1VarietyBoltWaterTrtRainFedAgronomyDensity_0.66</v>
      </c>
    </row>
    <row r="1041" spans="1:16" x14ac:dyDescent="0.25">
      <c r="A1041" t="s">
        <v>4378</v>
      </c>
      <c r="B1041" t="s">
        <v>4057</v>
      </c>
      <c r="C1041">
        <v>1</v>
      </c>
      <c r="D1041" t="s">
        <v>4187</v>
      </c>
      <c r="E1041" t="s">
        <v>40</v>
      </c>
      <c r="F1041" t="s">
        <v>1513</v>
      </c>
      <c r="G1041">
        <v>1</v>
      </c>
      <c r="H1041" t="s">
        <v>253</v>
      </c>
      <c r="I1041">
        <v>1</v>
      </c>
      <c r="J1041" s="6">
        <v>10</v>
      </c>
      <c r="M1041" t="str">
        <f t="shared" si="48"/>
        <v>2024_SA_Warnertown_Lentil_Satellite</v>
      </c>
      <c r="N1041">
        <f>I1041</f>
        <v>1</v>
      </c>
      <c r="O1041" t="str">
        <f t="shared" si="49"/>
        <v>2024_SA_Warnertown_Lentil_Satellite_10</v>
      </c>
      <c r="P1041" t="str">
        <f t="shared" si="50"/>
        <v>2024_SA_Warnertown_Lentil_SatelliteTOS1VarietyBoltWaterTrtRainFedAgronomyDensity_1</v>
      </c>
    </row>
    <row r="1042" spans="1:16" x14ac:dyDescent="0.25">
      <c r="G1042">
        <v>2</v>
      </c>
      <c r="H1042" t="s">
        <v>253</v>
      </c>
      <c r="I1042">
        <v>2</v>
      </c>
      <c r="J1042" s="6">
        <v>17</v>
      </c>
      <c r="M1042" t="str">
        <f t="shared" si="48"/>
        <v>2024_SA_Warnertown_Lentil_Satellite</v>
      </c>
      <c r="N1042">
        <f>I1042</f>
        <v>2</v>
      </c>
      <c r="O1042" t="str">
        <f t="shared" si="49"/>
        <v>2024_SA_Warnertown_Lentil_Satellite_17</v>
      </c>
      <c r="P1042" t="str">
        <f t="shared" si="50"/>
        <v>2024_SA_Warnertown_Lentil_SatelliteTOS1VarietyBoltWaterTrtRainFedAgronomyDensity_1</v>
      </c>
    </row>
    <row r="1043" spans="1:16" x14ac:dyDescent="0.25">
      <c r="G1043">
        <v>3</v>
      </c>
      <c r="H1043" t="s">
        <v>253</v>
      </c>
      <c r="I1043">
        <v>1</v>
      </c>
      <c r="J1043" s="6">
        <v>31</v>
      </c>
      <c r="M1043" t="str">
        <f t="shared" si="48"/>
        <v>2024_SA_Warnertown_Lentil_Satellite</v>
      </c>
      <c r="N1043">
        <f>I1043</f>
        <v>1</v>
      </c>
      <c r="O1043" t="str">
        <f t="shared" si="49"/>
        <v>2024_SA_Warnertown_Lentil_Satellite_31</v>
      </c>
      <c r="P1043" t="str">
        <f t="shared" si="50"/>
        <v>2024_SA_Warnertown_Lentil_SatelliteTOS1VarietyBoltWaterTrtRainFedAgronomyDensity_1</v>
      </c>
    </row>
    <row r="1044" spans="1:16" x14ac:dyDescent="0.25">
      <c r="G1044">
        <v>4</v>
      </c>
      <c r="H1044" t="s">
        <v>253</v>
      </c>
      <c r="I1044">
        <v>3</v>
      </c>
      <c r="J1044" s="6">
        <v>42</v>
      </c>
      <c r="M1044" t="str">
        <f t="shared" si="48"/>
        <v>2024_SA_Warnertown_Lentil_Satellite</v>
      </c>
      <c r="N1044">
        <f>I1044</f>
        <v>3</v>
      </c>
      <c r="O1044" t="str">
        <f t="shared" si="49"/>
        <v>2024_SA_Warnertown_Lentil_Satellite_42</v>
      </c>
      <c r="P1044" t="str">
        <f t="shared" si="50"/>
        <v>2024_SA_Warnertown_Lentil_SatelliteTOS1VarietyBoltWaterTrtRainFedAgronomyDensity_1</v>
      </c>
    </row>
    <row r="1045" spans="1:16" x14ac:dyDescent="0.25">
      <c r="A1045" t="s">
        <v>4379</v>
      </c>
      <c r="B1045" t="s">
        <v>4057</v>
      </c>
      <c r="C1045">
        <v>1</v>
      </c>
      <c r="D1045" t="s">
        <v>4189</v>
      </c>
      <c r="E1045" t="s">
        <v>40</v>
      </c>
      <c r="F1045" t="s">
        <v>1513</v>
      </c>
      <c r="G1045">
        <v>1</v>
      </c>
      <c r="H1045" t="s">
        <v>253</v>
      </c>
      <c r="I1045">
        <v>2</v>
      </c>
      <c r="J1045" s="6">
        <v>11</v>
      </c>
      <c r="M1045" t="str">
        <f t="shared" si="48"/>
        <v>2024_SA_Warnertown_Lentil_Satellite</v>
      </c>
      <c r="N1045">
        <f>I1045</f>
        <v>2</v>
      </c>
      <c r="O1045" t="str">
        <f t="shared" si="49"/>
        <v>2024_SA_Warnertown_Lentil_Satellite_11</v>
      </c>
      <c r="P1045" t="str">
        <f t="shared" si="50"/>
        <v>2024_SA_Warnertown_Lentil_SatelliteTOS1VarietyHallmarkXTWaterTrtRainFedAgronomyDensity_1</v>
      </c>
    </row>
    <row r="1046" spans="1:16" x14ac:dyDescent="0.25">
      <c r="G1046">
        <v>2</v>
      </c>
      <c r="H1046" t="s">
        <v>253</v>
      </c>
      <c r="I1046">
        <v>1</v>
      </c>
      <c r="J1046" s="6">
        <v>13</v>
      </c>
      <c r="M1046" t="str">
        <f t="shared" si="48"/>
        <v>2024_SA_Warnertown_Lentil_Satellite</v>
      </c>
      <c r="N1046">
        <f>I1046</f>
        <v>1</v>
      </c>
      <c r="O1046" t="str">
        <f t="shared" si="49"/>
        <v>2024_SA_Warnertown_Lentil_Satellite_13</v>
      </c>
      <c r="P1046" t="str">
        <f t="shared" si="50"/>
        <v>2024_SA_Warnertown_Lentil_SatelliteTOS1VarietyHallmarkXTWaterTrtRainFedAgronomyDensity_1</v>
      </c>
    </row>
    <row r="1047" spans="1:16" x14ac:dyDescent="0.25">
      <c r="G1047">
        <v>3</v>
      </c>
      <c r="H1047" t="s">
        <v>253</v>
      </c>
      <c r="I1047">
        <v>3</v>
      </c>
      <c r="J1047" s="6">
        <v>33</v>
      </c>
      <c r="M1047" t="str">
        <f t="shared" si="48"/>
        <v>2024_SA_Warnertown_Lentil_Satellite</v>
      </c>
      <c r="N1047">
        <f>I1047</f>
        <v>3</v>
      </c>
      <c r="O1047" t="str">
        <f t="shared" si="49"/>
        <v>2024_SA_Warnertown_Lentil_Satellite_33</v>
      </c>
      <c r="P1047" t="str">
        <f t="shared" si="50"/>
        <v>2024_SA_Warnertown_Lentil_SatelliteTOS1VarietyHallmarkXTWaterTrtRainFedAgronomyDensity_1</v>
      </c>
    </row>
    <row r="1048" spans="1:16" x14ac:dyDescent="0.25">
      <c r="G1048">
        <v>4</v>
      </c>
      <c r="H1048" t="s">
        <v>253</v>
      </c>
      <c r="I1048">
        <v>1</v>
      </c>
      <c r="J1048" s="6">
        <v>37</v>
      </c>
      <c r="M1048" t="str">
        <f t="shared" si="48"/>
        <v>2024_SA_Warnertown_Lentil_Satellite</v>
      </c>
      <c r="N1048">
        <f>I1048</f>
        <v>1</v>
      </c>
      <c r="O1048" t="str">
        <f t="shared" si="49"/>
        <v>2024_SA_Warnertown_Lentil_Satellite_37</v>
      </c>
      <c r="P1048" t="str">
        <f t="shared" si="50"/>
        <v>2024_SA_Warnertown_Lentil_SatelliteTOS1VarietyHallmarkXTWaterTrtRainFedAgronomyDensity_1</v>
      </c>
    </row>
    <row r="1049" spans="1:16" x14ac:dyDescent="0.25">
      <c r="A1049" t="s">
        <v>4380</v>
      </c>
      <c r="B1049" t="s">
        <v>4057</v>
      </c>
      <c r="C1049">
        <v>1</v>
      </c>
      <c r="D1049" t="s">
        <v>4176</v>
      </c>
      <c r="E1049" t="s">
        <v>40</v>
      </c>
      <c r="F1049" t="s">
        <v>1511</v>
      </c>
      <c r="G1049">
        <v>1</v>
      </c>
      <c r="H1049" t="s">
        <v>253</v>
      </c>
      <c r="I1049">
        <v>3</v>
      </c>
      <c r="J1049" s="6">
        <v>12</v>
      </c>
      <c r="M1049" t="str">
        <f t="shared" si="48"/>
        <v>2024_SA_Warnertown_Lentil_Satellite</v>
      </c>
      <c r="N1049">
        <f>I1049</f>
        <v>3</v>
      </c>
      <c r="O1049" t="str">
        <f t="shared" si="49"/>
        <v>2024_SA_Warnertown_Lentil_Satellite_12</v>
      </c>
      <c r="P1049" t="str">
        <f t="shared" si="50"/>
        <v>2024_SA_Warnertown_Lentil_SatelliteTOS1VarietyJumbo2WaterTrtRainFedAgronomyDensity_0.66</v>
      </c>
    </row>
    <row r="1050" spans="1:16" x14ac:dyDescent="0.25">
      <c r="G1050">
        <v>2</v>
      </c>
      <c r="H1050" t="s">
        <v>253</v>
      </c>
      <c r="I1050">
        <v>1</v>
      </c>
      <c r="J1050" s="6">
        <v>16</v>
      </c>
      <c r="M1050" t="str">
        <f t="shared" si="48"/>
        <v>2024_SA_Warnertown_Lentil_Satellite</v>
      </c>
      <c r="N1050">
        <f>I1050</f>
        <v>1</v>
      </c>
      <c r="O1050" t="str">
        <f t="shared" si="49"/>
        <v>2024_SA_Warnertown_Lentil_Satellite_16</v>
      </c>
      <c r="P1050" t="str">
        <f t="shared" si="50"/>
        <v>2024_SA_Warnertown_Lentil_SatelliteTOS1VarietyJumbo2WaterTrtRainFedAgronomyDensity_0.66</v>
      </c>
    </row>
    <row r="1051" spans="1:16" x14ac:dyDescent="0.25">
      <c r="G1051">
        <v>3</v>
      </c>
      <c r="H1051" t="s">
        <v>253</v>
      </c>
      <c r="I1051">
        <v>2</v>
      </c>
      <c r="J1051" s="6">
        <v>35</v>
      </c>
      <c r="M1051" t="str">
        <f t="shared" si="48"/>
        <v>2024_SA_Warnertown_Lentil_Satellite</v>
      </c>
      <c r="N1051">
        <f>I1051</f>
        <v>2</v>
      </c>
      <c r="O1051" t="str">
        <f t="shared" si="49"/>
        <v>2024_SA_Warnertown_Lentil_Satellite_35</v>
      </c>
      <c r="P1051" t="str">
        <f t="shared" si="50"/>
        <v>2024_SA_Warnertown_Lentil_SatelliteTOS1VarietyJumbo2WaterTrtRainFedAgronomyDensity_0.66</v>
      </c>
    </row>
    <row r="1052" spans="1:16" x14ac:dyDescent="0.25">
      <c r="G1052">
        <v>4</v>
      </c>
      <c r="H1052" t="s">
        <v>253</v>
      </c>
      <c r="I1052">
        <v>2</v>
      </c>
      <c r="J1052" s="6">
        <v>38</v>
      </c>
      <c r="M1052" t="str">
        <f t="shared" si="48"/>
        <v>2024_SA_Warnertown_Lentil_Satellite</v>
      </c>
      <c r="N1052">
        <f>I1052</f>
        <v>2</v>
      </c>
      <c r="O1052" t="str">
        <f t="shared" si="49"/>
        <v>2024_SA_Warnertown_Lentil_Satellite_38</v>
      </c>
      <c r="P1052" t="str">
        <f t="shared" si="50"/>
        <v>2024_SA_Warnertown_Lentil_SatelliteTOS1VarietyJumbo2WaterTrtRainFedAgronomyDensity_0.66</v>
      </c>
    </row>
    <row r="1053" spans="1:16" x14ac:dyDescent="0.25">
      <c r="A1053" t="s">
        <v>4381</v>
      </c>
      <c r="B1053" t="s">
        <v>4057</v>
      </c>
      <c r="C1053">
        <v>1</v>
      </c>
      <c r="D1053" t="s">
        <v>4176</v>
      </c>
      <c r="E1053" t="s">
        <v>40</v>
      </c>
      <c r="F1053" t="s">
        <v>1513</v>
      </c>
      <c r="G1053">
        <v>1</v>
      </c>
      <c r="H1053" t="s">
        <v>253</v>
      </c>
      <c r="I1053">
        <v>3</v>
      </c>
      <c r="J1053" s="6">
        <v>9</v>
      </c>
      <c r="M1053" t="str">
        <f t="shared" si="48"/>
        <v>2024_SA_Warnertown_Lentil_Satellite</v>
      </c>
      <c r="N1053">
        <f>I1053</f>
        <v>3</v>
      </c>
      <c r="O1053" t="str">
        <f t="shared" si="49"/>
        <v>2024_SA_Warnertown_Lentil_Satellite_9</v>
      </c>
      <c r="P1053" t="str">
        <f t="shared" si="50"/>
        <v>2024_SA_Warnertown_Lentil_SatelliteTOS1VarietyJumbo2WaterTrtRainFedAgronomyDensity_1</v>
      </c>
    </row>
    <row r="1054" spans="1:16" x14ac:dyDescent="0.25">
      <c r="G1054">
        <v>2</v>
      </c>
      <c r="H1054" t="s">
        <v>253</v>
      </c>
      <c r="I1054">
        <v>3</v>
      </c>
      <c r="J1054" s="6">
        <v>15</v>
      </c>
      <c r="M1054" t="str">
        <f t="shared" si="48"/>
        <v>2024_SA_Warnertown_Lentil_Satellite</v>
      </c>
      <c r="N1054">
        <f>I1054</f>
        <v>3</v>
      </c>
      <c r="O1054" t="str">
        <f t="shared" si="49"/>
        <v>2024_SA_Warnertown_Lentil_Satellite_15</v>
      </c>
      <c r="P1054" t="str">
        <f t="shared" si="50"/>
        <v>2024_SA_Warnertown_Lentil_SatelliteTOS1VarietyJumbo2WaterTrtRainFedAgronomyDensity_1</v>
      </c>
    </row>
    <row r="1055" spans="1:16" x14ac:dyDescent="0.25">
      <c r="G1055">
        <v>3</v>
      </c>
      <c r="H1055" t="s">
        <v>253</v>
      </c>
      <c r="I1055">
        <v>2</v>
      </c>
      <c r="J1055" s="6">
        <v>32</v>
      </c>
      <c r="M1055" t="str">
        <f t="shared" si="48"/>
        <v>2024_SA_Warnertown_Lentil_Satellite</v>
      </c>
      <c r="N1055">
        <f>I1055</f>
        <v>2</v>
      </c>
      <c r="O1055" t="str">
        <f t="shared" si="49"/>
        <v>2024_SA_Warnertown_Lentil_Satellite_32</v>
      </c>
      <c r="P1055" t="str">
        <f t="shared" si="50"/>
        <v>2024_SA_Warnertown_Lentil_SatelliteTOS1VarietyJumbo2WaterTrtRainFedAgronomyDensity_1</v>
      </c>
    </row>
    <row r="1056" spans="1:16" x14ac:dyDescent="0.25">
      <c r="G1056">
        <v>4</v>
      </c>
      <c r="H1056" t="s">
        <v>253</v>
      </c>
      <c r="I1056">
        <v>1</v>
      </c>
      <c r="J1056" s="6">
        <v>40</v>
      </c>
      <c r="M1056" t="str">
        <f t="shared" si="48"/>
        <v>2024_SA_Warnertown_Lentil_Satellite</v>
      </c>
      <c r="N1056">
        <f>I1056</f>
        <v>1</v>
      </c>
      <c r="O1056" t="str">
        <f t="shared" si="49"/>
        <v>2024_SA_Warnertown_Lentil_Satellite_40</v>
      </c>
      <c r="P1056" t="str">
        <f t="shared" si="50"/>
        <v>2024_SA_Warnertown_Lentil_SatelliteTOS1VarietyJumbo2WaterTrtRainFedAgronomyDensity_1</v>
      </c>
    </row>
    <row r="1057" spans="1:16" x14ac:dyDescent="0.25">
      <c r="A1057" t="s">
        <v>4382</v>
      </c>
      <c r="B1057" t="s">
        <v>4057</v>
      </c>
      <c r="C1057">
        <v>1</v>
      </c>
      <c r="D1057" t="s">
        <v>4188</v>
      </c>
      <c r="E1057" t="s">
        <v>40</v>
      </c>
      <c r="F1057" t="s">
        <v>1513</v>
      </c>
      <c r="G1057">
        <v>1</v>
      </c>
      <c r="H1057" t="s">
        <v>253</v>
      </c>
      <c r="I1057">
        <v>2</v>
      </c>
      <c r="J1057" s="6">
        <v>8</v>
      </c>
      <c r="M1057" t="str">
        <f t="shared" si="48"/>
        <v>2024_SA_Warnertown_Lentil_Satellite</v>
      </c>
      <c r="N1057">
        <f>I1057</f>
        <v>2</v>
      </c>
      <c r="O1057" t="str">
        <f t="shared" si="49"/>
        <v>2024_SA_Warnertown_Lentil_Satellite_8</v>
      </c>
      <c r="P1057" t="str">
        <f t="shared" si="50"/>
        <v>2024_SA_Warnertown_Lentil_SatelliteTOS1VarietyKelpieXTWaterTrtRainFedAgronomyDensity_1</v>
      </c>
    </row>
    <row r="1058" spans="1:16" x14ac:dyDescent="0.25">
      <c r="G1058">
        <v>2</v>
      </c>
      <c r="H1058" t="s">
        <v>253</v>
      </c>
      <c r="I1058">
        <v>3</v>
      </c>
      <c r="J1058" s="6">
        <v>18</v>
      </c>
      <c r="M1058" t="str">
        <f t="shared" si="48"/>
        <v>2024_SA_Warnertown_Lentil_Satellite</v>
      </c>
      <c r="N1058">
        <f>I1058</f>
        <v>3</v>
      </c>
      <c r="O1058" t="str">
        <f t="shared" si="49"/>
        <v>2024_SA_Warnertown_Lentil_Satellite_18</v>
      </c>
      <c r="P1058" t="str">
        <f t="shared" si="50"/>
        <v>2024_SA_Warnertown_Lentil_SatelliteTOS1VarietyKelpieXTWaterTrtRainFedAgronomyDensity_1</v>
      </c>
    </row>
    <row r="1059" spans="1:16" x14ac:dyDescent="0.25">
      <c r="G1059">
        <v>3</v>
      </c>
      <c r="H1059" t="s">
        <v>253</v>
      </c>
      <c r="I1059">
        <v>1</v>
      </c>
      <c r="J1059" s="6">
        <v>34</v>
      </c>
      <c r="M1059" t="str">
        <f t="shared" si="48"/>
        <v>2024_SA_Warnertown_Lentil_Satellite</v>
      </c>
      <c r="N1059">
        <f>I1059</f>
        <v>1</v>
      </c>
      <c r="O1059" t="str">
        <f t="shared" si="49"/>
        <v>2024_SA_Warnertown_Lentil_Satellite_34</v>
      </c>
      <c r="P1059" t="str">
        <f t="shared" si="50"/>
        <v>2024_SA_Warnertown_Lentil_SatelliteTOS1VarietyKelpieXTWaterTrtRainFedAgronomyDensity_1</v>
      </c>
    </row>
    <row r="1060" spans="1:16" x14ac:dyDescent="0.25">
      <c r="G1060">
        <v>4</v>
      </c>
      <c r="H1060" t="s">
        <v>253</v>
      </c>
      <c r="I1060">
        <v>3</v>
      </c>
      <c r="J1060" s="6">
        <v>39</v>
      </c>
      <c r="M1060" t="str">
        <f t="shared" si="48"/>
        <v>2024_SA_Warnertown_Lentil_Satellite</v>
      </c>
      <c r="N1060">
        <f>I1060</f>
        <v>3</v>
      </c>
      <c r="O1060" t="str">
        <f t="shared" si="49"/>
        <v>2024_SA_Warnertown_Lentil_Satellite_39</v>
      </c>
      <c r="P1060" t="str">
        <f t="shared" si="50"/>
        <v>2024_SA_Warnertown_Lentil_SatelliteTOS1VarietyKelpieXTWaterTrtRainFedAgronomyDensity_1</v>
      </c>
    </row>
    <row r="1061" spans="1:16" x14ac:dyDescent="0.25">
      <c r="A1061" t="s">
        <v>4383</v>
      </c>
      <c r="B1061" t="s">
        <v>4057</v>
      </c>
      <c r="C1061">
        <v>2</v>
      </c>
      <c r="D1061" t="s">
        <v>4187</v>
      </c>
      <c r="E1061" t="s">
        <v>40</v>
      </c>
      <c r="F1061" t="s">
        <v>1511</v>
      </c>
      <c r="G1061">
        <v>1</v>
      </c>
      <c r="H1061" t="s">
        <v>253</v>
      </c>
      <c r="I1061">
        <v>3</v>
      </c>
      <c r="J1061" s="6">
        <v>3</v>
      </c>
      <c r="M1061" t="str">
        <f t="shared" si="48"/>
        <v>2024_SA_Warnertown_Lentil_Satellite</v>
      </c>
      <c r="N1061">
        <f>I1061</f>
        <v>3</v>
      </c>
      <c r="O1061" t="str">
        <f t="shared" si="49"/>
        <v>2024_SA_Warnertown_Lentil_Satellite_3</v>
      </c>
      <c r="P1061" t="str">
        <f t="shared" si="50"/>
        <v>2024_SA_Warnertown_Lentil_SatelliteTOS2VarietyBoltWaterTrtRainFedAgronomyDensity_0.66</v>
      </c>
    </row>
    <row r="1062" spans="1:16" x14ac:dyDescent="0.25">
      <c r="G1062">
        <v>2</v>
      </c>
      <c r="H1062" t="s">
        <v>253</v>
      </c>
      <c r="I1062">
        <v>3</v>
      </c>
      <c r="J1062" s="6">
        <v>21</v>
      </c>
      <c r="M1062" t="str">
        <f t="shared" si="48"/>
        <v>2024_SA_Warnertown_Lentil_Satellite</v>
      </c>
      <c r="N1062">
        <f>I1062</f>
        <v>3</v>
      </c>
      <c r="O1062" t="str">
        <f t="shared" si="49"/>
        <v>2024_SA_Warnertown_Lentil_Satellite_21</v>
      </c>
      <c r="P1062" t="str">
        <f t="shared" si="50"/>
        <v>2024_SA_Warnertown_Lentil_SatelliteTOS2VarietyBoltWaterTrtRainFedAgronomyDensity_0.66</v>
      </c>
    </row>
    <row r="1063" spans="1:16" x14ac:dyDescent="0.25">
      <c r="G1063">
        <v>3</v>
      </c>
      <c r="H1063" t="s">
        <v>253</v>
      </c>
      <c r="I1063">
        <v>1</v>
      </c>
      <c r="J1063" s="6">
        <v>25</v>
      </c>
      <c r="M1063" t="str">
        <f t="shared" si="48"/>
        <v>2024_SA_Warnertown_Lentil_Satellite</v>
      </c>
      <c r="N1063">
        <f>I1063</f>
        <v>1</v>
      </c>
      <c r="O1063" t="str">
        <f t="shared" si="49"/>
        <v>2024_SA_Warnertown_Lentil_Satellite_25</v>
      </c>
      <c r="P1063" t="str">
        <f t="shared" si="50"/>
        <v>2024_SA_Warnertown_Lentil_SatelliteTOS2VarietyBoltWaterTrtRainFedAgronomyDensity_0.66</v>
      </c>
    </row>
    <row r="1064" spans="1:16" x14ac:dyDescent="0.25">
      <c r="G1064">
        <v>4</v>
      </c>
      <c r="H1064" t="s">
        <v>253</v>
      </c>
      <c r="I1064">
        <v>1</v>
      </c>
      <c r="J1064" s="6">
        <v>43</v>
      </c>
      <c r="M1064" t="str">
        <f t="shared" si="48"/>
        <v>2024_SA_Warnertown_Lentil_Satellite</v>
      </c>
      <c r="N1064">
        <f>I1064</f>
        <v>1</v>
      </c>
      <c r="O1064" t="str">
        <f t="shared" si="49"/>
        <v>2024_SA_Warnertown_Lentil_Satellite_43</v>
      </c>
      <c r="P1064" t="str">
        <f t="shared" si="50"/>
        <v>2024_SA_Warnertown_Lentil_SatelliteTOS2VarietyBoltWaterTrtRainFedAgronomyDensity_0.66</v>
      </c>
    </row>
    <row r="1065" spans="1:16" x14ac:dyDescent="0.25">
      <c r="A1065" t="s">
        <v>4384</v>
      </c>
      <c r="B1065" t="s">
        <v>4057</v>
      </c>
      <c r="C1065">
        <v>2</v>
      </c>
      <c r="D1065" t="s">
        <v>4187</v>
      </c>
      <c r="E1065" t="s">
        <v>40</v>
      </c>
      <c r="F1065" t="s">
        <v>1513</v>
      </c>
      <c r="G1065">
        <v>1</v>
      </c>
      <c r="H1065" t="s">
        <v>253</v>
      </c>
      <c r="I1065">
        <v>2</v>
      </c>
      <c r="J1065" s="6">
        <v>2</v>
      </c>
      <c r="M1065" t="str">
        <f t="shared" si="48"/>
        <v>2024_SA_Warnertown_Lentil_Satellite</v>
      </c>
      <c r="N1065">
        <f>I1065</f>
        <v>2</v>
      </c>
      <c r="O1065" t="str">
        <f t="shared" si="49"/>
        <v>2024_SA_Warnertown_Lentil_Satellite_2</v>
      </c>
      <c r="P1065" t="str">
        <f t="shared" si="50"/>
        <v>2024_SA_Warnertown_Lentil_SatelliteTOS2VarietyBoltWaterTrtRainFedAgronomyDensity_1</v>
      </c>
    </row>
    <row r="1066" spans="1:16" x14ac:dyDescent="0.25">
      <c r="G1066">
        <v>2</v>
      </c>
      <c r="H1066" t="s">
        <v>253</v>
      </c>
      <c r="I1066">
        <v>1</v>
      </c>
      <c r="J1066" s="6">
        <v>22</v>
      </c>
      <c r="M1066" t="str">
        <f t="shared" si="48"/>
        <v>2024_SA_Warnertown_Lentil_Satellite</v>
      </c>
      <c r="N1066">
        <f>I1066</f>
        <v>1</v>
      </c>
      <c r="O1066" t="str">
        <f t="shared" si="49"/>
        <v>2024_SA_Warnertown_Lentil_Satellite_22</v>
      </c>
      <c r="P1066" t="str">
        <f t="shared" si="50"/>
        <v>2024_SA_Warnertown_Lentil_SatelliteTOS2VarietyBoltWaterTrtRainFedAgronomyDensity_1</v>
      </c>
    </row>
    <row r="1067" spans="1:16" x14ac:dyDescent="0.25">
      <c r="G1067">
        <v>3</v>
      </c>
      <c r="H1067" t="s">
        <v>253</v>
      </c>
      <c r="I1067">
        <v>3</v>
      </c>
      <c r="J1067" s="6">
        <v>30</v>
      </c>
      <c r="M1067" t="str">
        <f t="shared" si="48"/>
        <v>2024_SA_Warnertown_Lentil_Satellite</v>
      </c>
      <c r="N1067">
        <f>I1067</f>
        <v>3</v>
      </c>
      <c r="O1067" t="str">
        <f t="shared" si="49"/>
        <v>2024_SA_Warnertown_Lentil_Satellite_30</v>
      </c>
      <c r="P1067" t="str">
        <f t="shared" si="50"/>
        <v>2024_SA_Warnertown_Lentil_SatelliteTOS2VarietyBoltWaterTrtRainFedAgronomyDensity_1</v>
      </c>
    </row>
    <row r="1068" spans="1:16" x14ac:dyDescent="0.25">
      <c r="G1068">
        <v>4</v>
      </c>
      <c r="H1068" t="s">
        <v>253</v>
      </c>
      <c r="I1068">
        <v>3</v>
      </c>
      <c r="J1068" s="6">
        <v>45</v>
      </c>
      <c r="M1068" t="str">
        <f t="shared" si="48"/>
        <v>2024_SA_Warnertown_Lentil_Satellite</v>
      </c>
      <c r="N1068">
        <f>I1068</f>
        <v>3</v>
      </c>
      <c r="O1068" t="str">
        <f t="shared" si="49"/>
        <v>2024_SA_Warnertown_Lentil_Satellite_45</v>
      </c>
      <c r="P1068" t="str">
        <f t="shared" si="50"/>
        <v>2024_SA_Warnertown_Lentil_SatelliteTOS2VarietyBoltWaterTrtRainFedAgronomyDensity_1</v>
      </c>
    </row>
    <row r="1069" spans="1:16" x14ac:dyDescent="0.25">
      <c r="A1069" t="s">
        <v>4385</v>
      </c>
      <c r="B1069" t="s">
        <v>4057</v>
      </c>
      <c r="C1069">
        <v>2</v>
      </c>
      <c r="D1069" t="s">
        <v>4189</v>
      </c>
      <c r="E1069" t="s">
        <v>40</v>
      </c>
      <c r="F1069" t="s">
        <v>1513</v>
      </c>
      <c r="G1069">
        <v>1</v>
      </c>
      <c r="H1069" t="s">
        <v>253</v>
      </c>
      <c r="I1069">
        <v>1</v>
      </c>
      <c r="J1069" s="6">
        <v>4</v>
      </c>
      <c r="M1069" t="str">
        <f t="shared" si="48"/>
        <v>2024_SA_Warnertown_Lentil_Satellite</v>
      </c>
      <c r="N1069">
        <f>I1069</f>
        <v>1</v>
      </c>
      <c r="O1069" t="str">
        <f t="shared" si="49"/>
        <v>2024_SA_Warnertown_Lentil_Satellite_4</v>
      </c>
      <c r="P1069" t="str">
        <f t="shared" si="50"/>
        <v>2024_SA_Warnertown_Lentil_SatelliteTOS2VarietyHallmarkXTWaterTrtRainFedAgronomyDensity_1</v>
      </c>
    </row>
    <row r="1070" spans="1:16" x14ac:dyDescent="0.25">
      <c r="G1070">
        <v>2</v>
      </c>
      <c r="H1070" t="s">
        <v>253</v>
      </c>
      <c r="I1070">
        <v>3</v>
      </c>
      <c r="J1070" s="6">
        <v>24</v>
      </c>
      <c r="M1070" t="str">
        <f t="shared" si="48"/>
        <v>2024_SA_Warnertown_Lentil_Satellite</v>
      </c>
      <c r="N1070">
        <f>I1070</f>
        <v>3</v>
      </c>
      <c r="O1070" t="str">
        <f t="shared" si="49"/>
        <v>2024_SA_Warnertown_Lentil_Satellite_24</v>
      </c>
      <c r="P1070" t="str">
        <f t="shared" si="50"/>
        <v>2024_SA_Warnertown_Lentil_SatelliteTOS2VarietyHallmarkXTWaterTrtRainFedAgronomyDensity_1</v>
      </c>
    </row>
    <row r="1071" spans="1:16" x14ac:dyDescent="0.25">
      <c r="G1071">
        <v>3</v>
      </c>
      <c r="H1071" t="s">
        <v>253</v>
      </c>
      <c r="I1071">
        <v>2</v>
      </c>
      <c r="J1071" s="6">
        <v>26</v>
      </c>
      <c r="M1071" t="str">
        <f t="shared" si="48"/>
        <v>2024_SA_Warnertown_Lentil_Satellite</v>
      </c>
      <c r="N1071">
        <f>I1071</f>
        <v>2</v>
      </c>
      <c r="O1071" t="str">
        <f t="shared" si="49"/>
        <v>2024_SA_Warnertown_Lentil_Satellite_26</v>
      </c>
      <c r="P1071" t="str">
        <f t="shared" si="50"/>
        <v>2024_SA_Warnertown_Lentil_SatelliteTOS2VarietyHallmarkXTWaterTrtRainFedAgronomyDensity_1</v>
      </c>
    </row>
    <row r="1072" spans="1:16" x14ac:dyDescent="0.25">
      <c r="G1072">
        <v>4</v>
      </c>
      <c r="H1072" t="s">
        <v>253</v>
      </c>
      <c r="I1072">
        <v>2</v>
      </c>
      <c r="J1072" s="6">
        <v>44</v>
      </c>
      <c r="M1072" t="str">
        <f t="shared" si="48"/>
        <v>2024_SA_Warnertown_Lentil_Satellite</v>
      </c>
      <c r="N1072">
        <f>I1072</f>
        <v>2</v>
      </c>
      <c r="O1072" t="str">
        <f t="shared" si="49"/>
        <v>2024_SA_Warnertown_Lentil_Satellite_44</v>
      </c>
      <c r="P1072" t="str">
        <f t="shared" si="50"/>
        <v>2024_SA_Warnertown_Lentil_SatelliteTOS2VarietyHallmarkXTWaterTrtRainFedAgronomyDensity_1</v>
      </c>
    </row>
    <row r="1073" spans="1:16" x14ac:dyDescent="0.25">
      <c r="A1073" t="s">
        <v>4386</v>
      </c>
      <c r="B1073" t="s">
        <v>4057</v>
      </c>
      <c r="C1073">
        <v>2</v>
      </c>
      <c r="D1073" t="s">
        <v>4176</v>
      </c>
      <c r="E1073" t="s">
        <v>40</v>
      </c>
      <c r="F1073" t="s">
        <v>1511</v>
      </c>
      <c r="G1073">
        <v>1</v>
      </c>
      <c r="H1073" t="s">
        <v>253</v>
      </c>
      <c r="I1073">
        <v>1</v>
      </c>
      <c r="J1073" s="6">
        <v>1</v>
      </c>
      <c r="M1073" t="str">
        <f t="shared" si="48"/>
        <v>2024_SA_Warnertown_Lentil_Satellite</v>
      </c>
      <c r="N1073">
        <f>I1073</f>
        <v>1</v>
      </c>
      <c r="O1073" t="str">
        <f t="shared" si="49"/>
        <v>2024_SA_Warnertown_Lentil_Satellite_1</v>
      </c>
      <c r="P1073" t="str">
        <f t="shared" si="50"/>
        <v>2024_SA_Warnertown_Lentil_SatelliteTOS2VarietyJumbo2WaterTrtRainFedAgronomyDensity_0.66</v>
      </c>
    </row>
    <row r="1074" spans="1:16" x14ac:dyDescent="0.25">
      <c r="G1074">
        <v>2</v>
      </c>
      <c r="H1074" t="s">
        <v>253</v>
      </c>
      <c r="I1074">
        <v>2</v>
      </c>
      <c r="J1074" s="6">
        <v>20</v>
      </c>
      <c r="M1074" t="str">
        <f t="shared" si="48"/>
        <v>2024_SA_Warnertown_Lentil_Satellite</v>
      </c>
      <c r="N1074">
        <f>I1074</f>
        <v>2</v>
      </c>
      <c r="O1074" t="str">
        <f t="shared" si="49"/>
        <v>2024_SA_Warnertown_Lentil_Satellite_20</v>
      </c>
      <c r="P1074" t="str">
        <f t="shared" si="50"/>
        <v>2024_SA_Warnertown_Lentil_SatelliteTOS2VarietyJumbo2WaterTrtRainFedAgronomyDensity_0.66</v>
      </c>
    </row>
    <row r="1075" spans="1:16" x14ac:dyDescent="0.25">
      <c r="G1075">
        <v>3</v>
      </c>
      <c r="H1075" t="s">
        <v>253</v>
      </c>
      <c r="I1075">
        <v>3</v>
      </c>
      <c r="J1075" s="6">
        <v>27</v>
      </c>
      <c r="M1075" t="str">
        <f t="shared" si="48"/>
        <v>2024_SA_Warnertown_Lentil_Satellite</v>
      </c>
      <c r="N1075">
        <f>I1075</f>
        <v>3</v>
      </c>
      <c r="O1075" t="str">
        <f t="shared" si="49"/>
        <v>2024_SA_Warnertown_Lentil_Satellite_27</v>
      </c>
      <c r="P1075" t="str">
        <f t="shared" si="50"/>
        <v>2024_SA_Warnertown_Lentil_SatelliteTOS2VarietyJumbo2WaterTrtRainFedAgronomyDensity_0.66</v>
      </c>
    </row>
    <row r="1076" spans="1:16" x14ac:dyDescent="0.25">
      <c r="G1076">
        <v>4</v>
      </c>
      <c r="H1076" t="s">
        <v>253</v>
      </c>
      <c r="I1076">
        <v>3</v>
      </c>
      <c r="J1076" s="6">
        <v>48</v>
      </c>
      <c r="M1076" t="str">
        <f t="shared" si="48"/>
        <v>2024_SA_Warnertown_Lentil_Satellite</v>
      </c>
      <c r="N1076">
        <f>I1076</f>
        <v>3</v>
      </c>
      <c r="O1076" t="str">
        <f t="shared" si="49"/>
        <v>2024_SA_Warnertown_Lentil_Satellite_48</v>
      </c>
      <c r="P1076" t="str">
        <f t="shared" si="50"/>
        <v>2024_SA_Warnertown_Lentil_SatelliteTOS2VarietyJumbo2WaterTrtRainFedAgronomyDensity_0.66</v>
      </c>
    </row>
    <row r="1077" spans="1:16" x14ac:dyDescent="0.25">
      <c r="A1077" t="s">
        <v>4387</v>
      </c>
      <c r="B1077" t="s">
        <v>4057</v>
      </c>
      <c r="C1077">
        <v>2</v>
      </c>
      <c r="D1077" t="s">
        <v>4176</v>
      </c>
      <c r="E1077" t="s">
        <v>40</v>
      </c>
      <c r="F1077" t="s">
        <v>1513</v>
      </c>
      <c r="G1077">
        <v>1</v>
      </c>
      <c r="H1077" t="s">
        <v>253</v>
      </c>
      <c r="I1077">
        <v>2</v>
      </c>
      <c r="J1077" s="6">
        <v>5</v>
      </c>
      <c r="M1077" t="str">
        <f t="shared" si="48"/>
        <v>2024_SA_Warnertown_Lentil_Satellite</v>
      </c>
      <c r="N1077">
        <f>I1077</f>
        <v>2</v>
      </c>
      <c r="O1077" t="str">
        <f t="shared" si="49"/>
        <v>2024_SA_Warnertown_Lentil_Satellite_5</v>
      </c>
      <c r="P1077" t="str">
        <f t="shared" si="50"/>
        <v>2024_SA_Warnertown_Lentil_SatelliteTOS2VarietyJumbo2WaterTrtRainFedAgronomyDensity_1</v>
      </c>
    </row>
    <row r="1078" spans="1:16" x14ac:dyDescent="0.25">
      <c r="G1078">
        <v>2</v>
      </c>
      <c r="H1078" t="s">
        <v>253</v>
      </c>
      <c r="I1078">
        <v>1</v>
      </c>
      <c r="J1078" s="6">
        <v>19</v>
      </c>
      <c r="M1078" t="str">
        <f t="shared" si="48"/>
        <v>2024_SA_Warnertown_Lentil_Satellite</v>
      </c>
      <c r="N1078">
        <f>I1078</f>
        <v>1</v>
      </c>
      <c r="O1078" t="str">
        <f t="shared" si="49"/>
        <v>2024_SA_Warnertown_Lentil_Satellite_19</v>
      </c>
      <c r="P1078" t="str">
        <f t="shared" si="50"/>
        <v>2024_SA_Warnertown_Lentil_SatelliteTOS2VarietyJumbo2WaterTrtRainFedAgronomyDensity_1</v>
      </c>
    </row>
    <row r="1079" spans="1:16" x14ac:dyDescent="0.25">
      <c r="G1079">
        <v>3</v>
      </c>
      <c r="H1079" t="s">
        <v>253</v>
      </c>
      <c r="I1079">
        <v>2</v>
      </c>
      <c r="J1079" s="6">
        <v>29</v>
      </c>
      <c r="M1079" t="str">
        <f t="shared" si="48"/>
        <v>2024_SA_Warnertown_Lentil_Satellite</v>
      </c>
      <c r="N1079">
        <f>I1079</f>
        <v>2</v>
      </c>
      <c r="O1079" t="str">
        <f t="shared" si="49"/>
        <v>2024_SA_Warnertown_Lentil_Satellite_29</v>
      </c>
      <c r="P1079" t="str">
        <f t="shared" si="50"/>
        <v>2024_SA_Warnertown_Lentil_SatelliteTOS2VarietyJumbo2WaterTrtRainFedAgronomyDensity_1</v>
      </c>
    </row>
    <row r="1080" spans="1:16" x14ac:dyDescent="0.25">
      <c r="G1080">
        <v>4</v>
      </c>
      <c r="H1080" t="s">
        <v>253</v>
      </c>
      <c r="I1080">
        <v>1</v>
      </c>
      <c r="J1080" s="6">
        <v>46</v>
      </c>
      <c r="M1080" t="str">
        <f t="shared" si="48"/>
        <v>2024_SA_Warnertown_Lentil_Satellite</v>
      </c>
      <c r="N1080">
        <f>I1080</f>
        <v>1</v>
      </c>
      <c r="O1080" t="str">
        <f t="shared" si="49"/>
        <v>2024_SA_Warnertown_Lentil_Satellite_46</v>
      </c>
      <c r="P1080" t="str">
        <f t="shared" si="50"/>
        <v>2024_SA_Warnertown_Lentil_SatelliteTOS2VarietyJumbo2WaterTrtRainFedAgronomyDensity_1</v>
      </c>
    </row>
    <row r="1081" spans="1:16" x14ac:dyDescent="0.25">
      <c r="A1081" t="s">
        <v>4388</v>
      </c>
      <c r="B1081" t="s">
        <v>4057</v>
      </c>
      <c r="C1081">
        <v>2</v>
      </c>
      <c r="D1081" t="s">
        <v>4188</v>
      </c>
      <c r="E1081" t="s">
        <v>40</v>
      </c>
      <c r="F1081" t="s">
        <v>1513</v>
      </c>
      <c r="G1081">
        <v>1</v>
      </c>
      <c r="H1081" t="s">
        <v>253</v>
      </c>
      <c r="I1081">
        <v>3</v>
      </c>
      <c r="J1081" s="6">
        <v>6</v>
      </c>
      <c r="M1081" t="str">
        <f t="shared" si="48"/>
        <v>2024_SA_Warnertown_Lentil_Satellite</v>
      </c>
      <c r="N1081">
        <f>I1081</f>
        <v>3</v>
      </c>
      <c r="O1081" t="str">
        <f t="shared" si="49"/>
        <v>2024_SA_Warnertown_Lentil_Satellite_6</v>
      </c>
      <c r="P1081" t="str">
        <f t="shared" si="50"/>
        <v>2024_SA_Warnertown_Lentil_SatelliteTOS2VarietyKelpieXTWaterTrtRainFedAgronomyDensity_1</v>
      </c>
    </row>
    <row r="1082" spans="1:16" x14ac:dyDescent="0.25">
      <c r="G1082">
        <v>2</v>
      </c>
      <c r="H1082" t="s">
        <v>253</v>
      </c>
      <c r="I1082">
        <v>2</v>
      </c>
      <c r="J1082" s="6">
        <v>23</v>
      </c>
      <c r="M1082" t="str">
        <f t="shared" si="48"/>
        <v>2024_SA_Warnertown_Lentil_Satellite</v>
      </c>
      <c r="N1082">
        <f>I1082</f>
        <v>2</v>
      </c>
      <c r="O1082" t="str">
        <f t="shared" si="49"/>
        <v>2024_SA_Warnertown_Lentil_Satellite_23</v>
      </c>
      <c r="P1082" t="str">
        <f t="shared" si="50"/>
        <v>2024_SA_Warnertown_Lentil_SatelliteTOS2VarietyKelpieXTWaterTrtRainFedAgronomyDensity_1</v>
      </c>
    </row>
    <row r="1083" spans="1:16" x14ac:dyDescent="0.25">
      <c r="G1083">
        <v>3</v>
      </c>
      <c r="H1083" t="s">
        <v>253</v>
      </c>
      <c r="I1083">
        <v>1</v>
      </c>
      <c r="J1083" s="6">
        <v>28</v>
      </c>
      <c r="M1083" t="str">
        <f t="shared" si="48"/>
        <v>2024_SA_Warnertown_Lentil_Satellite</v>
      </c>
      <c r="N1083">
        <f>I1083</f>
        <v>1</v>
      </c>
      <c r="O1083" t="str">
        <f t="shared" si="49"/>
        <v>2024_SA_Warnertown_Lentil_Satellite_28</v>
      </c>
      <c r="P1083" t="str">
        <f t="shared" si="50"/>
        <v>2024_SA_Warnertown_Lentil_SatelliteTOS2VarietyKelpieXTWaterTrtRainFedAgronomyDensity_1</v>
      </c>
    </row>
    <row r="1084" spans="1:16" x14ac:dyDescent="0.25">
      <c r="G1084">
        <v>4</v>
      </c>
      <c r="H1084" t="s">
        <v>253</v>
      </c>
      <c r="I1084">
        <v>2</v>
      </c>
      <c r="J1084" s="6">
        <v>47</v>
      </c>
      <c r="M1084" t="str">
        <f t="shared" si="48"/>
        <v>2024_SA_Warnertown_Lentil_Satellite</v>
      </c>
      <c r="N1084">
        <f>I1084</f>
        <v>2</v>
      </c>
      <c r="O1084" t="str">
        <f t="shared" si="49"/>
        <v>2024_SA_Warnertown_Lentil_Satellite_47</v>
      </c>
      <c r="P1084" t="str">
        <f t="shared" si="50"/>
        <v>2024_SA_Warnertown_Lentil_SatelliteTOS2VarietyKelpieXTWaterTrtRainFedAgronomyDensity_1</v>
      </c>
    </row>
    <row r="1085" spans="1:16" x14ac:dyDescent="0.25">
      <c r="A1085" t="s">
        <v>4389</v>
      </c>
      <c r="B1085" t="s">
        <v>4140</v>
      </c>
      <c r="C1085">
        <v>1</v>
      </c>
      <c r="D1085" t="s">
        <v>4187</v>
      </c>
      <c r="E1085" t="s">
        <v>40</v>
      </c>
      <c r="F1085" t="s">
        <v>4398</v>
      </c>
      <c r="G1085">
        <v>1</v>
      </c>
      <c r="H1085" t="s">
        <v>253</v>
      </c>
      <c r="I1085">
        <v>4</v>
      </c>
      <c r="J1085" s="6">
        <v>4</v>
      </c>
      <c r="M1085" t="str">
        <f t="shared" si="48"/>
        <v>2024_Vic_Walpeup_Lentil_Satellite</v>
      </c>
      <c r="N1085">
        <f>I1085</f>
        <v>4</v>
      </c>
      <c r="O1085" t="str">
        <f t="shared" si="49"/>
        <v>2024_Vic_Walpeup_Lentil_Satellite_4</v>
      </c>
      <c r="P1085" t="str">
        <f t="shared" si="50"/>
        <v>2024_Vic_Walpeup_Lentil_SatelliteTOS1VarietyBoltWaterTrtRainFed</v>
      </c>
    </row>
    <row r="1086" spans="1:16" x14ac:dyDescent="0.25">
      <c r="G1086">
        <v>2</v>
      </c>
      <c r="H1086" t="s">
        <v>253</v>
      </c>
      <c r="I1086">
        <v>3</v>
      </c>
      <c r="J1086" s="6">
        <v>15</v>
      </c>
      <c r="M1086" t="str">
        <f t="shared" si="48"/>
        <v>2024_Vic_Walpeup_Lentil_Satellite</v>
      </c>
      <c r="N1086">
        <f>I1086</f>
        <v>3</v>
      </c>
      <c r="O1086" t="str">
        <f t="shared" si="49"/>
        <v>2024_Vic_Walpeup_Lentil_Satellite_15</v>
      </c>
      <c r="P1086" t="str">
        <f t="shared" si="50"/>
        <v>2024_Vic_Walpeup_Lentil_SatelliteTOS1VarietyBoltWaterTrtRainFed</v>
      </c>
    </row>
    <row r="1087" spans="1:16" x14ac:dyDescent="0.25">
      <c r="G1087">
        <v>3</v>
      </c>
      <c r="H1087" t="s">
        <v>253</v>
      </c>
      <c r="I1087">
        <v>3</v>
      </c>
      <c r="J1087" s="6">
        <v>19</v>
      </c>
      <c r="M1087" t="str">
        <f t="shared" si="48"/>
        <v>2024_Vic_Walpeup_Lentil_Satellite</v>
      </c>
      <c r="N1087">
        <f>I1087</f>
        <v>3</v>
      </c>
      <c r="O1087" t="str">
        <f t="shared" si="49"/>
        <v>2024_Vic_Walpeup_Lentil_Satellite_19</v>
      </c>
      <c r="P1087" t="str">
        <f t="shared" si="50"/>
        <v>2024_Vic_Walpeup_Lentil_SatelliteTOS1VarietyBoltWaterTrtRainFed</v>
      </c>
    </row>
    <row r="1088" spans="1:16" x14ac:dyDescent="0.25">
      <c r="G1088">
        <v>4</v>
      </c>
      <c r="H1088" t="s">
        <v>253</v>
      </c>
      <c r="I1088">
        <v>1</v>
      </c>
      <c r="J1088" s="6">
        <v>29</v>
      </c>
      <c r="M1088" t="str">
        <f t="shared" si="48"/>
        <v>2024_Vic_Walpeup_Lentil_Satellite</v>
      </c>
      <c r="N1088">
        <f>I1088</f>
        <v>1</v>
      </c>
      <c r="O1088" t="str">
        <f t="shared" si="49"/>
        <v>2024_Vic_Walpeup_Lentil_Satellite_29</v>
      </c>
      <c r="P1088" t="str">
        <f t="shared" si="50"/>
        <v>2024_Vic_Walpeup_Lentil_SatelliteTOS1VarietyBoltWaterTrtRainFed</v>
      </c>
    </row>
    <row r="1089" spans="1:16" x14ac:dyDescent="0.25">
      <c r="A1089" t="s">
        <v>4390</v>
      </c>
      <c r="B1089" t="s">
        <v>4140</v>
      </c>
      <c r="C1089">
        <v>1</v>
      </c>
      <c r="D1089" t="s">
        <v>4189</v>
      </c>
      <c r="E1089" t="s">
        <v>40</v>
      </c>
      <c r="F1089" t="s">
        <v>4398</v>
      </c>
      <c r="G1089">
        <v>1</v>
      </c>
      <c r="H1089" t="s">
        <v>253</v>
      </c>
      <c r="I1089">
        <v>2</v>
      </c>
      <c r="J1089" s="6">
        <v>2</v>
      </c>
      <c r="M1089" t="str">
        <f t="shared" si="48"/>
        <v>2024_Vic_Walpeup_Lentil_Satellite</v>
      </c>
      <c r="N1089">
        <f>I1089</f>
        <v>2</v>
      </c>
      <c r="O1089" t="str">
        <f t="shared" si="49"/>
        <v>2024_Vic_Walpeup_Lentil_Satellite_2</v>
      </c>
      <c r="P1089" t="str">
        <f t="shared" si="50"/>
        <v>2024_Vic_Walpeup_Lentil_SatelliteTOS1VarietyHallmarkXTWaterTrtRainFed</v>
      </c>
    </row>
    <row r="1090" spans="1:16" x14ac:dyDescent="0.25">
      <c r="G1090">
        <v>2</v>
      </c>
      <c r="H1090" t="s">
        <v>253</v>
      </c>
      <c r="I1090">
        <v>4</v>
      </c>
      <c r="J1090" s="6">
        <v>16</v>
      </c>
      <c r="M1090" t="str">
        <f t="shared" si="48"/>
        <v>2024_Vic_Walpeup_Lentil_Satellite</v>
      </c>
      <c r="N1090">
        <f>I1090</f>
        <v>4</v>
      </c>
      <c r="O1090" t="str">
        <f t="shared" si="49"/>
        <v>2024_Vic_Walpeup_Lentil_Satellite_16</v>
      </c>
      <c r="P1090" t="str">
        <f t="shared" si="50"/>
        <v>2024_Vic_Walpeup_Lentil_SatelliteTOS1VarietyHallmarkXTWaterTrtRainFed</v>
      </c>
    </row>
    <row r="1091" spans="1:16" x14ac:dyDescent="0.25">
      <c r="G1091">
        <v>3</v>
      </c>
      <c r="H1091" t="s">
        <v>253</v>
      </c>
      <c r="I1091">
        <v>1</v>
      </c>
      <c r="J1091" s="6">
        <v>17</v>
      </c>
      <c r="M1091" t="str">
        <f t="shared" si="48"/>
        <v>2024_Vic_Walpeup_Lentil_Satellite</v>
      </c>
      <c r="N1091">
        <f>I1091</f>
        <v>1</v>
      </c>
      <c r="O1091" t="str">
        <f t="shared" si="49"/>
        <v>2024_Vic_Walpeup_Lentil_Satellite_17</v>
      </c>
      <c r="P1091" t="str">
        <f t="shared" si="50"/>
        <v>2024_Vic_Walpeup_Lentil_SatelliteTOS1VarietyHallmarkXTWaterTrtRainFed</v>
      </c>
    </row>
    <row r="1092" spans="1:16" x14ac:dyDescent="0.25">
      <c r="G1092">
        <v>4</v>
      </c>
      <c r="H1092" t="s">
        <v>253</v>
      </c>
      <c r="I1092">
        <v>3</v>
      </c>
      <c r="J1092" s="6">
        <v>31</v>
      </c>
      <c r="M1092" t="str">
        <f t="shared" si="48"/>
        <v>2024_Vic_Walpeup_Lentil_Satellite</v>
      </c>
      <c r="N1092">
        <f>I1092</f>
        <v>3</v>
      </c>
      <c r="O1092" t="str">
        <f t="shared" si="49"/>
        <v>2024_Vic_Walpeup_Lentil_Satellite_31</v>
      </c>
      <c r="P1092" t="str">
        <f t="shared" si="50"/>
        <v>2024_Vic_Walpeup_Lentil_SatelliteTOS1VarietyHallmarkXTWaterTrtRainFed</v>
      </c>
    </row>
    <row r="1093" spans="1:16" x14ac:dyDescent="0.25">
      <c r="A1093" t="s">
        <v>4391</v>
      </c>
      <c r="B1093" t="s">
        <v>4140</v>
      </c>
      <c r="C1093">
        <v>1</v>
      </c>
      <c r="D1093" t="s">
        <v>4176</v>
      </c>
      <c r="E1093" t="s">
        <v>40</v>
      </c>
      <c r="F1093" t="s">
        <v>4398</v>
      </c>
      <c r="G1093">
        <v>1</v>
      </c>
      <c r="H1093" t="s">
        <v>253</v>
      </c>
      <c r="I1093">
        <v>1</v>
      </c>
      <c r="J1093" s="6">
        <v>1</v>
      </c>
      <c r="M1093" t="str">
        <f t="shared" si="48"/>
        <v>2024_Vic_Walpeup_Lentil_Satellite</v>
      </c>
      <c r="N1093">
        <f>I1093</f>
        <v>1</v>
      </c>
      <c r="O1093" t="str">
        <f t="shared" si="49"/>
        <v>2024_Vic_Walpeup_Lentil_Satellite_1</v>
      </c>
      <c r="P1093" t="str">
        <f t="shared" si="50"/>
        <v>2024_Vic_Walpeup_Lentil_SatelliteTOS1VarietyJumbo2WaterTrtRainFed</v>
      </c>
    </row>
    <row r="1094" spans="1:16" x14ac:dyDescent="0.25">
      <c r="G1094">
        <v>2</v>
      </c>
      <c r="H1094" t="s">
        <v>253</v>
      </c>
      <c r="I1094">
        <v>1</v>
      </c>
      <c r="J1094" s="6">
        <v>13</v>
      </c>
      <c r="M1094" t="str">
        <f t="shared" ref="M1094:M1116" si="51">IF(B1094="",M1093,B1094)</f>
        <v>2024_Vic_Walpeup_Lentil_Satellite</v>
      </c>
      <c r="N1094">
        <f>I1094</f>
        <v>1</v>
      </c>
      <c r="O1094" t="str">
        <f t="shared" ref="O1094:O1116" si="52">M1094&amp;"_"&amp;J1094</f>
        <v>2024_Vic_Walpeup_Lentil_Satellite_13</v>
      </c>
      <c r="P1094" t="str">
        <f t="shared" ref="P1094:P1116" si="53">IF(A1094="",P1093,A1094)</f>
        <v>2024_Vic_Walpeup_Lentil_SatelliteTOS1VarietyJumbo2WaterTrtRainFed</v>
      </c>
    </row>
    <row r="1095" spans="1:16" x14ac:dyDescent="0.25">
      <c r="G1095">
        <v>3</v>
      </c>
      <c r="H1095" t="s">
        <v>253</v>
      </c>
      <c r="I1095">
        <v>2</v>
      </c>
      <c r="J1095" s="6">
        <v>18</v>
      </c>
      <c r="M1095" t="str">
        <f t="shared" si="51"/>
        <v>2024_Vic_Walpeup_Lentil_Satellite</v>
      </c>
      <c r="N1095">
        <f>I1095</f>
        <v>2</v>
      </c>
      <c r="O1095" t="str">
        <f t="shared" si="52"/>
        <v>2024_Vic_Walpeup_Lentil_Satellite_18</v>
      </c>
      <c r="P1095" t="str">
        <f t="shared" si="53"/>
        <v>2024_Vic_Walpeup_Lentil_SatelliteTOS1VarietyJumbo2WaterTrtRainFed</v>
      </c>
    </row>
    <row r="1096" spans="1:16" x14ac:dyDescent="0.25">
      <c r="G1096">
        <v>4</v>
      </c>
      <c r="H1096" t="s">
        <v>253</v>
      </c>
      <c r="I1096">
        <v>2</v>
      </c>
      <c r="J1096" s="6">
        <v>30</v>
      </c>
      <c r="M1096" t="str">
        <f t="shared" si="51"/>
        <v>2024_Vic_Walpeup_Lentil_Satellite</v>
      </c>
      <c r="N1096">
        <f>I1096</f>
        <v>2</v>
      </c>
      <c r="O1096" t="str">
        <f t="shared" si="52"/>
        <v>2024_Vic_Walpeup_Lentil_Satellite_30</v>
      </c>
      <c r="P1096" t="str">
        <f t="shared" si="53"/>
        <v>2024_Vic_Walpeup_Lentil_SatelliteTOS1VarietyJumbo2WaterTrtRainFed</v>
      </c>
    </row>
    <row r="1097" spans="1:16" x14ac:dyDescent="0.25">
      <c r="A1097" t="s">
        <v>4392</v>
      </c>
      <c r="B1097" t="s">
        <v>4140</v>
      </c>
      <c r="C1097">
        <v>1</v>
      </c>
      <c r="D1097" t="s">
        <v>4188</v>
      </c>
      <c r="E1097" t="s">
        <v>40</v>
      </c>
      <c r="F1097" t="s">
        <v>4398</v>
      </c>
      <c r="G1097">
        <v>1</v>
      </c>
      <c r="H1097" t="s">
        <v>253</v>
      </c>
      <c r="I1097">
        <v>3</v>
      </c>
      <c r="J1097" s="6">
        <v>3</v>
      </c>
      <c r="M1097" t="str">
        <f t="shared" si="51"/>
        <v>2024_Vic_Walpeup_Lentil_Satellite</v>
      </c>
      <c r="N1097">
        <f>I1097</f>
        <v>3</v>
      </c>
      <c r="O1097" t="str">
        <f t="shared" si="52"/>
        <v>2024_Vic_Walpeup_Lentil_Satellite_3</v>
      </c>
      <c r="P1097" t="str">
        <f t="shared" si="53"/>
        <v>2024_Vic_Walpeup_Lentil_SatelliteTOS1VarietyKelpieXTWaterTrtRainFed</v>
      </c>
    </row>
    <row r="1098" spans="1:16" x14ac:dyDescent="0.25">
      <c r="G1098">
        <v>2</v>
      </c>
      <c r="H1098" t="s">
        <v>253</v>
      </c>
      <c r="I1098">
        <v>2</v>
      </c>
      <c r="J1098" s="6">
        <v>14</v>
      </c>
      <c r="M1098" t="str">
        <f t="shared" si="51"/>
        <v>2024_Vic_Walpeup_Lentil_Satellite</v>
      </c>
      <c r="N1098">
        <f>I1098</f>
        <v>2</v>
      </c>
      <c r="O1098" t="str">
        <f t="shared" si="52"/>
        <v>2024_Vic_Walpeup_Lentil_Satellite_14</v>
      </c>
      <c r="P1098" t="str">
        <f t="shared" si="53"/>
        <v>2024_Vic_Walpeup_Lentil_SatelliteTOS1VarietyKelpieXTWaterTrtRainFed</v>
      </c>
    </row>
    <row r="1099" spans="1:16" x14ac:dyDescent="0.25">
      <c r="G1099">
        <v>3</v>
      </c>
      <c r="H1099" t="s">
        <v>253</v>
      </c>
      <c r="I1099">
        <v>4</v>
      </c>
      <c r="J1099" s="6">
        <v>20</v>
      </c>
      <c r="M1099" t="str">
        <f t="shared" si="51"/>
        <v>2024_Vic_Walpeup_Lentil_Satellite</v>
      </c>
      <c r="N1099">
        <f>I1099</f>
        <v>4</v>
      </c>
      <c r="O1099" t="str">
        <f t="shared" si="52"/>
        <v>2024_Vic_Walpeup_Lentil_Satellite_20</v>
      </c>
      <c r="P1099" t="str">
        <f t="shared" si="53"/>
        <v>2024_Vic_Walpeup_Lentil_SatelliteTOS1VarietyKelpieXTWaterTrtRainFed</v>
      </c>
    </row>
    <row r="1100" spans="1:16" x14ac:dyDescent="0.25">
      <c r="G1100">
        <v>4</v>
      </c>
      <c r="H1100" t="s">
        <v>253</v>
      </c>
      <c r="I1100">
        <v>4</v>
      </c>
      <c r="J1100" s="6">
        <v>32</v>
      </c>
      <c r="M1100" t="str">
        <f t="shared" si="51"/>
        <v>2024_Vic_Walpeup_Lentil_Satellite</v>
      </c>
      <c r="N1100">
        <f>I1100</f>
        <v>4</v>
      </c>
      <c r="O1100" t="str">
        <f t="shared" si="52"/>
        <v>2024_Vic_Walpeup_Lentil_Satellite_32</v>
      </c>
      <c r="P1100" t="str">
        <f t="shared" si="53"/>
        <v>2024_Vic_Walpeup_Lentil_SatelliteTOS1VarietyKelpieXTWaterTrtRainFed</v>
      </c>
    </row>
    <row r="1101" spans="1:16" x14ac:dyDescent="0.25">
      <c r="A1101" t="s">
        <v>4393</v>
      </c>
      <c r="B1101" t="s">
        <v>4140</v>
      </c>
      <c r="C1101">
        <v>2</v>
      </c>
      <c r="D1101" t="s">
        <v>4187</v>
      </c>
      <c r="E1101" t="s">
        <v>40</v>
      </c>
      <c r="F1101" t="s">
        <v>4398</v>
      </c>
      <c r="G1101">
        <v>1</v>
      </c>
      <c r="H1101" t="s">
        <v>253</v>
      </c>
      <c r="I1101">
        <v>1</v>
      </c>
      <c r="J1101" s="6">
        <v>5</v>
      </c>
      <c r="M1101" t="str">
        <f t="shared" si="51"/>
        <v>2024_Vic_Walpeup_Lentil_Satellite</v>
      </c>
      <c r="N1101">
        <f>I1101</f>
        <v>1</v>
      </c>
      <c r="O1101" t="str">
        <f t="shared" si="52"/>
        <v>2024_Vic_Walpeup_Lentil_Satellite_5</v>
      </c>
      <c r="P1101" t="str">
        <f t="shared" si="53"/>
        <v>2024_Vic_Walpeup_Lentil_SatelliteTOS2VarietyBoltWaterTrtRainFed</v>
      </c>
    </row>
    <row r="1102" spans="1:16" x14ac:dyDescent="0.25">
      <c r="G1102">
        <v>2</v>
      </c>
      <c r="H1102" t="s">
        <v>253</v>
      </c>
      <c r="I1102">
        <v>2</v>
      </c>
      <c r="J1102" s="6">
        <v>10</v>
      </c>
      <c r="M1102" t="str">
        <f t="shared" si="51"/>
        <v>2024_Vic_Walpeup_Lentil_Satellite</v>
      </c>
      <c r="N1102">
        <f>I1102</f>
        <v>2</v>
      </c>
      <c r="O1102" t="str">
        <f t="shared" si="52"/>
        <v>2024_Vic_Walpeup_Lentil_Satellite_10</v>
      </c>
      <c r="P1102" t="str">
        <f t="shared" si="53"/>
        <v>2024_Vic_Walpeup_Lentil_SatelliteTOS2VarietyBoltWaterTrtRainFed</v>
      </c>
    </row>
    <row r="1103" spans="1:16" x14ac:dyDescent="0.25">
      <c r="G1103">
        <v>3</v>
      </c>
      <c r="H1103" t="s">
        <v>253</v>
      </c>
      <c r="I1103">
        <v>4</v>
      </c>
      <c r="J1103" s="6">
        <v>24</v>
      </c>
      <c r="M1103" t="str">
        <f t="shared" si="51"/>
        <v>2024_Vic_Walpeup_Lentil_Satellite</v>
      </c>
      <c r="N1103">
        <f>I1103</f>
        <v>4</v>
      </c>
      <c r="O1103" t="str">
        <f t="shared" si="52"/>
        <v>2024_Vic_Walpeup_Lentil_Satellite_24</v>
      </c>
      <c r="P1103" t="str">
        <f t="shared" si="53"/>
        <v>2024_Vic_Walpeup_Lentil_SatelliteTOS2VarietyBoltWaterTrtRainFed</v>
      </c>
    </row>
    <row r="1104" spans="1:16" x14ac:dyDescent="0.25">
      <c r="G1104">
        <v>4</v>
      </c>
      <c r="H1104" t="s">
        <v>253</v>
      </c>
      <c r="I1104">
        <v>2</v>
      </c>
      <c r="J1104" s="6">
        <v>26</v>
      </c>
      <c r="M1104" t="str">
        <f t="shared" si="51"/>
        <v>2024_Vic_Walpeup_Lentil_Satellite</v>
      </c>
      <c r="N1104">
        <f>I1104</f>
        <v>2</v>
      </c>
      <c r="O1104" t="str">
        <f t="shared" si="52"/>
        <v>2024_Vic_Walpeup_Lentil_Satellite_26</v>
      </c>
      <c r="P1104" t="str">
        <f t="shared" si="53"/>
        <v>2024_Vic_Walpeup_Lentil_SatelliteTOS2VarietyBoltWaterTrtRainFed</v>
      </c>
    </row>
    <row r="1105" spans="1:16" x14ac:dyDescent="0.25">
      <c r="A1105" t="s">
        <v>4394</v>
      </c>
      <c r="B1105" t="s">
        <v>4140</v>
      </c>
      <c r="C1105">
        <v>2</v>
      </c>
      <c r="D1105" t="s">
        <v>4189</v>
      </c>
      <c r="E1105" t="s">
        <v>40</v>
      </c>
      <c r="F1105" t="s">
        <v>4398</v>
      </c>
      <c r="G1105">
        <v>1</v>
      </c>
      <c r="H1105" t="s">
        <v>253</v>
      </c>
      <c r="I1105">
        <v>4</v>
      </c>
      <c r="J1105" s="6">
        <v>8</v>
      </c>
      <c r="M1105" t="str">
        <f t="shared" si="51"/>
        <v>2024_Vic_Walpeup_Lentil_Satellite</v>
      </c>
      <c r="N1105">
        <f>I1105</f>
        <v>4</v>
      </c>
      <c r="O1105" t="str">
        <f t="shared" si="52"/>
        <v>2024_Vic_Walpeup_Lentil_Satellite_8</v>
      </c>
      <c r="P1105" t="str">
        <f t="shared" si="53"/>
        <v>2024_Vic_Walpeup_Lentil_SatelliteTOS2VarietyHallmarkXTWaterTrtRainFed</v>
      </c>
    </row>
    <row r="1106" spans="1:16" x14ac:dyDescent="0.25">
      <c r="G1106">
        <v>2</v>
      </c>
      <c r="H1106" t="s">
        <v>253</v>
      </c>
      <c r="I1106">
        <v>3</v>
      </c>
      <c r="J1106" s="6">
        <v>11</v>
      </c>
      <c r="M1106" t="str">
        <f t="shared" si="51"/>
        <v>2024_Vic_Walpeup_Lentil_Satellite</v>
      </c>
      <c r="N1106">
        <f>I1106</f>
        <v>3</v>
      </c>
      <c r="O1106" t="str">
        <f t="shared" si="52"/>
        <v>2024_Vic_Walpeup_Lentil_Satellite_11</v>
      </c>
      <c r="P1106" t="str">
        <f t="shared" si="53"/>
        <v>2024_Vic_Walpeup_Lentil_SatelliteTOS2VarietyHallmarkXTWaterTrtRainFed</v>
      </c>
    </row>
    <row r="1107" spans="1:16" x14ac:dyDescent="0.25">
      <c r="G1107">
        <v>3</v>
      </c>
      <c r="H1107" t="s">
        <v>253</v>
      </c>
      <c r="I1107">
        <v>2</v>
      </c>
      <c r="J1107" s="6">
        <v>22</v>
      </c>
      <c r="M1107" t="str">
        <f t="shared" si="51"/>
        <v>2024_Vic_Walpeup_Lentil_Satellite</v>
      </c>
      <c r="N1107">
        <f>I1107</f>
        <v>2</v>
      </c>
      <c r="O1107" t="str">
        <f t="shared" si="52"/>
        <v>2024_Vic_Walpeup_Lentil_Satellite_22</v>
      </c>
      <c r="P1107" t="str">
        <f t="shared" si="53"/>
        <v>2024_Vic_Walpeup_Lentil_SatelliteTOS2VarietyHallmarkXTWaterTrtRainFed</v>
      </c>
    </row>
    <row r="1108" spans="1:16" x14ac:dyDescent="0.25">
      <c r="G1108">
        <v>4</v>
      </c>
      <c r="H1108" t="s">
        <v>253</v>
      </c>
      <c r="I1108">
        <v>1</v>
      </c>
      <c r="J1108" s="6">
        <v>25</v>
      </c>
      <c r="M1108" t="str">
        <f t="shared" si="51"/>
        <v>2024_Vic_Walpeup_Lentil_Satellite</v>
      </c>
      <c r="N1108">
        <f>I1108</f>
        <v>1</v>
      </c>
      <c r="O1108" t="str">
        <f t="shared" si="52"/>
        <v>2024_Vic_Walpeup_Lentil_Satellite_25</v>
      </c>
      <c r="P1108" t="str">
        <f t="shared" si="53"/>
        <v>2024_Vic_Walpeup_Lentil_SatelliteTOS2VarietyHallmarkXTWaterTrtRainFed</v>
      </c>
    </row>
    <row r="1109" spans="1:16" x14ac:dyDescent="0.25">
      <c r="A1109" t="s">
        <v>4395</v>
      </c>
      <c r="B1109" t="s">
        <v>4140</v>
      </c>
      <c r="C1109">
        <v>2</v>
      </c>
      <c r="D1109" t="s">
        <v>4176</v>
      </c>
      <c r="E1109" t="s">
        <v>40</v>
      </c>
      <c r="F1109" t="s">
        <v>4398</v>
      </c>
      <c r="G1109">
        <v>1</v>
      </c>
      <c r="H1109" t="s">
        <v>253</v>
      </c>
      <c r="I1109">
        <v>3</v>
      </c>
      <c r="J1109" s="6">
        <v>7</v>
      </c>
      <c r="M1109" t="str">
        <f t="shared" si="51"/>
        <v>2024_Vic_Walpeup_Lentil_Satellite</v>
      </c>
      <c r="N1109">
        <f>I1109</f>
        <v>3</v>
      </c>
      <c r="O1109" t="str">
        <f t="shared" si="52"/>
        <v>2024_Vic_Walpeup_Lentil_Satellite_7</v>
      </c>
      <c r="P1109" t="str">
        <f t="shared" si="53"/>
        <v>2024_Vic_Walpeup_Lentil_SatelliteTOS2VarietyJumbo2WaterTrtRainFed</v>
      </c>
    </row>
    <row r="1110" spans="1:16" x14ac:dyDescent="0.25">
      <c r="G1110">
        <v>2</v>
      </c>
      <c r="H1110" t="s">
        <v>253</v>
      </c>
      <c r="I1110">
        <v>4</v>
      </c>
      <c r="J1110" s="6">
        <v>12</v>
      </c>
      <c r="M1110" t="str">
        <f t="shared" si="51"/>
        <v>2024_Vic_Walpeup_Lentil_Satellite</v>
      </c>
      <c r="N1110">
        <f>I1110</f>
        <v>4</v>
      </c>
      <c r="O1110" t="str">
        <f t="shared" si="52"/>
        <v>2024_Vic_Walpeup_Lentil_Satellite_12</v>
      </c>
      <c r="P1110" t="str">
        <f t="shared" si="53"/>
        <v>2024_Vic_Walpeup_Lentil_SatelliteTOS2VarietyJumbo2WaterTrtRainFed</v>
      </c>
    </row>
    <row r="1111" spans="1:16" x14ac:dyDescent="0.25">
      <c r="G1111">
        <v>3</v>
      </c>
      <c r="H1111" t="s">
        <v>253</v>
      </c>
      <c r="I1111">
        <v>3</v>
      </c>
      <c r="J1111" s="6">
        <v>23</v>
      </c>
      <c r="M1111" t="str">
        <f t="shared" si="51"/>
        <v>2024_Vic_Walpeup_Lentil_Satellite</v>
      </c>
      <c r="N1111">
        <f>I1111</f>
        <v>3</v>
      </c>
      <c r="O1111" t="str">
        <f t="shared" si="52"/>
        <v>2024_Vic_Walpeup_Lentil_Satellite_23</v>
      </c>
      <c r="P1111" t="str">
        <f t="shared" si="53"/>
        <v>2024_Vic_Walpeup_Lentil_SatelliteTOS2VarietyJumbo2WaterTrtRainFed</v>
      </c>
    </row>
    <row r="1112" spans="1:16" x14ac:dyDescent="0.25">
      <c r="G1112">
        <v>4</v>
      </c>
      <c r="H1112" t="s">
        <v>253</v>
      </c>
      <c r="I1112">
        <v>4</v>
      </c>
      <c r="J1112" s="6">
        <v>28</v>
      </c>
      <c r="M1112" t="str">
        <f t="shared" si="51"/>
        <v>2024_Vic_Walpeup_Lentil_Satellite</v>
      </c>
      <c r="N1112">
        <f>I1112</f>
        <v>4</v>
      </c>
      <c r="O1112" t="str">
        <f t="shared" si="52"/>
        <v>2024_Vic_Walpeup_Lentil_Satellite_28</v>
      </c>
      <c r="P1112" t="str">
        <f t="shared" si="53"/>
        <v>2024_Vic_Walpeup_Lentil_SatelliteTOS2VarietyJumbo2WaterTrtRainFed</v>
      </c>
    </row>
    <row r="1113" spans="1:16" x14ac:dyDescent="0.25">
      <c r="A1113" t="s">
        <v>4396</v>
      </c>
      <c r="B1113" t="s">
        <v>4140</v>
      </c>
      <c r="C1113">
        <v>2</v>
      </c>
      <c r="D1113" t="s">
        <v>4188</v>
      </c>
      <c r="E1113" t="s">
        <v>40</v>
      </c>
      <c r="F1113" t="s">
        <v>4398</v>
      </c>
      <c r="G1113">
        <v>1</v>
      </c>
      <c r="H1113" t="s">
        <v>253</v>
      </c>
      <c r="I1113">
        <v>2</v>
      </c>
      <c r="J1113" s="6">
        <v>6</v>
      </c>
      <c r="M1113" t="str">
        <f t="shared" si="51"/>
        <v>2024_Vic_Walpeup_Lentil_Satellite</v>
      </c>
      <c r="N1113">
        <f>I1113</f>
        <v>2</v>
      </c>
      <c r="O1113" t="str">
        <f t="shared" si="52"/>
        <v>2024_Vic_Walpeup_Lentil_Satellite_6</v>
      </c>
      <c r="P1113" t="str">
        <f t="shared" si="53"/>
        <v>2024_Vic_Walpeup_Lentil_SatelliteTOS2VarietyKelpieXTWaterTrtRainFed</v>
      </c>
    </row>
    <row r="1114" spans="1:16" x14ac:dyDescent="0.25">
      <c r="G1114">
        <v>2</v>
      </c>
      <c r="H1114" t="s">
        <v>253</v>
      </c>
      <c r="I1114">
        <v>1</v>
      </c>
      <c r="J1114" s="6">
        <v>9</v>
      </c>
      <c r="M1114" t="str">
        <f t="shared" si="51"/>
        <v>2024_Vic_Walpeup_Lentil_Satellite</v>
      </c>
      <c r="N1114">
        <f>I1114</f>
        <v>1</v>
      </c>
      <c r="O1114" t="str">
        <f t="shared" si="52"/>
        <v>2024_Vic_Walpeup_Lentil_Satellite_9</v>
      </c>
      <c r="P1114" t="str">
        <f t="shared" si="53"/>
        <v>2024_Vic_Walpeup_Lentil_SatelliteTOS2VarietyKelpieXTWaterTrtRainFed</v>
      </c>
    </row>
    <row r="1115" spans="1:16" x14ac:dyDescent="0.25">
      <c r="G1115">
        <v>3</v>
      </c>
      <c r="H1115" t="s">
        <v>253</v>
      </c>
      <c r="I1115">
        <v>1</v>
      </c>
      <c r="J1115" s="6">
        <v>21</v>
      </c>
      <c r="M1115" t="str">
        <f t="shared" si="51"/>
        <v>2024_Vic_Walpeup_Lentil_Satellite</v>
      </c>
      <c r="N1115">
        <f>I1115</f>
        <v>1</v>
      </c>
      <c r="O1115" t="str">
        <f t="shared" si="52"/>
        <v>2024_Vic_Walpeup_Lentil_Satellite_21</v>
      </c>
      <c r="P1115" t="str">
        <f t="shared" si="53"/>
        <v>2024_Vic_Walpeup_Lentil_SatelliteTOS2VarietyKelpieXTWaterTrtRainFed</v>
      </c>
    </row>
    <row r="1116" spans="1:16" x14ac:dyDescent="0.25">
      <c r="G1116">
        <v>4</v>
      </c>
      <c r="H1116" t="s">
        <v>253</v>
      </c>
      <c r="I1116">
        <v>3</v>
      </c>
      <c r="J1116" s="6">
        <v>27</v>
      </c>
      <c r="M1116" t="str">
        <f t="shared" si="51"/>
        <v>2024_Vic_Walpeup_Lentil_Satellite</v>
      </c>
      <c r="N1116">
        <f>I1116</f>
        <v>3</v>
      </c>
      <c r="O1116" t="str">
        <f t="shared" si="52"/>
        <v>2024_Vic_Walpeup_Lentil_Satellite_27</v>
      </c>
      <c r="P1116" t="str">
        <f t="shared" si="53"/>
        <v>2024_Vic_Walpeup_Lentil_SatelliteTOS2VarietyKelpieXTWaterTrtRainFed</v>
      </c>
    </row>
    <row r="1117" spans="1:16" x14ac:dyDescent="0.25">
      <c r="A1117" t="s">
        <v>4397</v>
      </c>
      <c r="J1117" s="6">
        <v>50.097122302158276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K3999"/>
  <sheetViews>
    <sheetView workbookViewId="0">
      <selection activeCell="E968" sqref="E968"/>
    </sheetView>
  </sheetViews>
  <sheetFormatPr defaultColWidth="21.7109375" defaultRowHeight="13.5" x14ac:dyDescent="0.25"/>
  <cols>
    <col min="1" max="1" width="64.85546875" customWidth="1"/>
    <col min="3" max="3" width="34" customWidth="1"/>
  </cols>
  <sheetData>
    <row r="1" spans="1:37" x14ac:dyDescent="0.25">
      <c r="A1" t="s">
        <v>4174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</row>
    <row r="2" spans="1:37" hidden="1" x14ac:dyDescent="0.25">
      <c r="A2" t="str">
        <f>C2&amp;"TOS"&amp;AG2&amp;"Variety"&amp;F2&amp;"WaterTrt"&amp;AA2&amp;IF(AC2="","","Agronomy"&amp;AC2)</f>
        <v>2019_NSW_Greenethorpe_Mixed_DetailedTOS3VarietyAceWaterTrtRainFed</v>
      </c>
      <c r="B2" s="2">
        <v>2019002</v>
      </c>
      <c r="C2" s="3" t="s">
        <v>36</v>
      </c>
      <c r="D2" s="3" t="s">
        <v>37</v>
      </c>
      <c r="E2" s="3" t="s">
        <v>38</v>
      </c>
      <c r="F2" s="3" t="s">
        <v>4175</v>
      </c>
      <c r="G2" s="3" t="s">
        <v>39</v>
      </c>
      <c r="I2" s="2">
        <v>1</v>
      </c>
      <c r="J2" s="2">
        <v>1</v>
      </c>
      <c r="K2" s="2">
        <v>1</v>
      </c>
      <c r="O2" s="2">
        <v>1</v>
      </c>
      <c r="P2" s="2">
        <v>1</v>
      </c>
      <c r="W2" s="2">
        <v>1</v>
      </c>
      <c r="X2" s="2">
        <v>1</v>
      </c>
      <c r="Z2" s="2">
        <v>1</v>
      </c>
      <c r="AA2" s="3" t="s">
        <v>40</v>
      </c>
      <c r="AG2" s="2">
        <v>3</v>
      </c>
      <c r="AH2" s="3" t="s">
        <v>41</v>
      </c>
      <c r="AI2" s="4">
        <v>43627</v>
      </c>
      <c r="AJ2" s="3" t="s">
        <v>42</v>
      </c>
      <c r="AK2" s="3" t="s">
        <v>38</v>
      </c>
    </row>
    <row r="3" spans="1:37" hidden="1" x14ac:dyDescent="0.25">
      <c r="A3" t="str">
        <f t="shared" ref="A3:A66" si="0">C3&amp;"TOS"&amp;AG3&amp;"Variety"&amp;F3&amp;"WaterTrt"&amp;AA3&amp;IF(AC3="","","Agronomy"&amp;AC3)</f>
        <v>2019_NSW_Greenethorpe_Mixed_DetailedTOS3VarietyJumbo2WaterTrtRainFed</v>
      </c>
      <c r="B3" s="2">
        <v>2019002</v>
      </c>
      <c r="C3" s="3" t="s">
        <v>36</v>
      </c>
      <c r="D3" s="3" t="s">
        <v>37</v>
      </c>
      <c r="E3" s="3" t="s">
        <v>38</v>
      </c>
      <c r="F3" s="3" t="s">
        <v>4176</v>
      </c>
      <c r="G3" s="3" t="s">
        <v>43</v>
      </c>
      <c r="I3" s="2">
        <v>2</v>
      </c>
      <c r="J3" s="2">
        <v>2</v>
      </c>
      <c r="K3" s="2">
        <v>1</v>
      </c>
      <c r="O3" s="2">
        <v>1</v>
      </c>
      <c r="P3" s="2">
        <v>1</v>
      </c>
      <c r="W3" s="2">
        <v>2</v>
      </c>
      <c r="X3" s="2">
        <v>1</v>
      </c>
      <c r="Z3" s="2">
        <v>2</v>
      </c>
      <c r="AA3" s="3" t="s">
        <v>40</v>
      </c>
      <c r="AG3" s="2">
        <v>3</v>
      </c>
      <c r="AH3" s="3" t="s">
        <v>41</v>
      </c>
      <c r="AI3" s="4">
        <v>43627</v>
      </c>
      <c r="AJ3" s="3" t="s">
        <v>44</v>
      </c>
      <c r="AK3" s="3" t="s">
        <v>38</v>
      </c>
    </row>
    <row r="4" spans="1:37" hidden="1" x14ac:dyDescent="0.25">
      <c r="A4" t="str">
        <f t="shared" si="0"/>
        <v>2019_NSW_Greenethorpe_Mixed_DetailedTOS3VarietyBlitzWaterTrtRainFed</v>
      </c>
      <c r="B4" s="2">
        <v>2019002</v>
      </c>
      <c r="C4" s="3" t="s">
        <v>36</v>
      </c>
      <c r="D4" s="3" t="s">
        <v>37</v>
      </c>
      <c r="E4" s="3" t="s">
        <v>38</v>
      </c>
      <c r="F4" s="3" t="s">
        <v>4177</v>
      </c>
      <c r="G4" s="3" t="s">
        <v>39</v>
      </c>
      <c r="I4" s="2">
        <v>3</v>
      </c>
      <c r="J4" s="2">
        <v>3</v>
      </c>
      <c r="K4" s="2">
        <v>1</v>
      </c>
      <c r="O4" s="2">
        <v>1</v>
      </c>
      <c r="P4" s="2">
        <v>1</v>
      </c>
      <c r="W4" s="2">
        <v>3</v>
      </c>
      <c r="X4" s="2">
        <v>1</v>
      </c>
      <c r="Z4" s="2">
        <v>3</v>
      </c>
      <c r="AA4" s="3" t="s">
        <v>40</v>
      </c>
      <c r="AG4" s="2">
        <v>3</v>
      </c>
      <c r="AH4" s="3" t="s">
        <v>41</v>
      </c>
      <c r="AI4" s="4">
        <v>43627</v>
      </c>
      <c r="AJ4" s="3" t="s">
        <v>45</v>
      </c>
      <c r="AK4" s="3" t="s">
        <v>38</v>
      </c>
    </row>
    <row r="5" spans="1:37" hidden="1" x14ac:dyDescent="0.25">
      <c r="A5" t="str">
        <f t="shared" si="0"/>
        <v>2019_NSW_Greenethorpe_Mixed_DetailedTOS3VarietyJumbo2WaterTrtRainFed</v>
      </c>
      <c r="B5" s="2">
        <v>2019002</v>
      </c>
      <c r="C5" s="3" t="s">
        <v>36</v>
      </c>
      <c r="D5" s="3" t="s">
        <v>37</v>
      </c>
      <c r="E5" s="3" t="s">
        <v>38</v>
      </c>
      <c r="F5" s="3" t="s">
        <v>4176</v>
      </c>
      <c r="G5" s="3" t="s">
        <v>43</v>
      </c>
      <c r="I5" s="2">
        <v>4</v>
      </c>
      <c r="J5" s="2">
        <v>4</v>
      </c>
      <c r="K5" s="2">
        <v>1</v>
      </c>
      <c r="O5" s="2">
        <v>1</v>
      </c>
      <c r="P5" s="2">
        <v>1</v>
      </c>
      <c r="W5" s="2">
        <v>4</v>
      </c>
      <c r="X5" s="2">
        <v>1</v>
      </c>
      <c r="Z5" s="2">
        <v>4</v>
      </c>
      <c r="AA5" s="3" t="s">
        <v>40</v>
      </c>
      <c r="AG5" s="2">
        <v>3</v>
      </c>
      <c r="AH5" s="3" t="s">
        <v>41</v>
      </c>
      <c r="AI5" s="4">
        <v>43627</v>
      </c>
      <c r="AJ5" s="3" t="s">
        <v>46</v>
      </c>
      <c r="AK5" s="3" t="s">
        <v>38</v>
      </c>
    </row>
    <row r="6" spans="1:37" hidden="1" x14ac:dyDescent="0.25">
      <c r="A6" t="str">
        <f t="shared" si="0"/>
        <v>2019_NSW_Greenethorpe_Mixed_DetailedTOS1VarietyJumbo2WaterTrtRainFed</v>
      </c>
      <c r="B6" s="2">
        <v>2019002</v>
      </c>
      <c r="C6" s="3" t="s">
        <v>36</v>
      </c>
      <c r="D6" s="3" t="s">
        <v>37</v>
      </c>
      <c r="E6" s="3" t="s">
        <v>38</v>
      </c>
      <c r="F6" s="3" t="s">
        <v>4176</v>
      </c>
      <c r="G6" s="3" t="s">
        <v>43</v>
      </c>
      <c r="I6" s="2">
        <v>5</v>
      </c>
      <c r="J6" s="2">
        <v>5</v>
      </c>
      <c r="K6" s="2">
        <v>1</v>
      </c>
      <c r="O6" s="2">
        <v>1</v>
      </c>
      <c r="P6" s="2">
        <v>2</v>
      </c>
      <c r="W6" s="2">
        <v>5</v>
      </c>
      <c r="X6" s="2">
        <v>1</v>
      </c>
      <c r="Z6" s="2">
        <v>5</v>
      </c>
      <c r="AA6" s="3" t="s">
        <v>40</v>
      </c>
      <c r="AG6" s="2">
        <v>1</v>
      </c>
      <c r="AH6" s="3" t="s">
        <v>47</v>
      </c>
      <c r="AI6" s="4">
        <v>43585</v>
      </c>
      <c r="AJ6" s="3" t="s">
        <v>48</v>
      </c>
      <c r="AK6" s="3" t="s">
        <v>38</v>
      </c>
    </row>
    <row r="7" spans="1:37" hidden="1" x14ac:dyDescent="0.25">
      <c r="A7" t="str">
        <f t="shared" si="0"/>
        <v>2019_NSW_Greenethorpe_Mixed_DetailedTOS1VarietyBlitzWaterTrtRainFed</v>
      </c>
      <c r="B7" s="2">
        <v>2019002</v>
      </c>
      <c r="C7" s="3" t="s">
        <v>36</v>
      </c>
      <c r="D7" s="3" t="s">
        <v>37</v>
      </c>
      <c r="E7" s="3" t="s">
        <v>38</v>
      </c>
      <c r="F7" s="3" t="s">
        <v>4177</v>
      </c>
      <c r="G7" s="3" t="s">
        <v>39</v>
      </c>
      <c r="I7" s="2">
        <v>6</v>
      </c>
      <c r="J7" s="2">
        <v>6</v>
      </c>
      <c r="K7" s="2">
        <v>1</v>
      </c>
      <c r="O7" s="2">
        <v>1</v>
      </c>
      <c r="P7" s="2">
        <v>2</v>
      </c>
      <c r="W7" s="2">
        <v>6</v>
      </c>
      <c r="X7" s="2">
        <v>1</v>
      </c>
      <c r="Z7" s="2">
        <v>6</v>
      </c>
      <c r="AA7" s="3" t="s">
        <v>40</v>
      </c>
      <c r="AG7" s="2">
        <v>1</v>
      </c>
      <c r="AH7" s="3" t="s">
        <v>47</v>
      </c>
      <c r="AI7" s="4">
        <v>43585</v>
      </c>
      <c r="AJ7" s="3" t="s">
        <v>49</v>
      </c>
      <c r="AK7" s="3" t="s">
        <v>38</v>
      </c>
    </row>
    <row r="8" spans="1:37" hidden="1" x14ac:dyDescent="0.25">
      <c r="A8" t="str">
        <f t="shared" si="0"/>
        <v>2019_NSW_Greenethorpe_Mixed_DetailedTOS1VarietyJumbo2WaterTrtRainFed</v>
      </c>
      <c r="B8" s="2">
        <v>2019002</v>
      </c>
      <c r="C8" s="3" t="s">
        <v>36</v>
      </c>
      <c r="D8" s="3" t="s">
        <v>37</v>
      </c>
      <c r="E8" s="3" t="s">
        <v>38</v>
      </c>
      <c r="F8" s="3" t="s">
        <v>4176</v>
      </c>
      <c r="G8" s="3" t="s">
        <v>43</v>
      </c>
      <c r="I8" s="2">
        <v>7</v>
      </c>
      <c r="J8" s="2">
        <v>7</v>
      </c>
      <c r="K8" s="2">
        <v>1</v>
      </c>
      <c r="O8" s="2">
        <v>1</v>
      </c>
      <c r="P8" s="2">
        <v>2</v>
      </c>
      <c r="W8" s="2">
        <v>7</v>
      </c>
      <c r="X8" s="2">
        <v>1</v>
      </c>
      <c r="Z8" s="2">
        <v>7</v>
      </c>
      <c r="AA8" s="3" t="s">
        <v>40</v>
      </c>
      <c r="AG8" s="2">
        <v>1</v>
      </c>
      <c r="AH8" s="3" t="s">
        <v>47</v>
      </c>
      <c r="AI8" s="4">
        <v>43585</v>
      </c>
      <c r="AJ8" s="3" t="s">
        <v>50</v>
      </c>
      <c r="AK8" s="3" t="s">
        <v>38</v>
      </c>
    </row>
    <row r="9" spans="1:37" hidden="1" x14ac:dyDescent="0.25">
      <c r="A9" t="str">
        <f t="shared" si="0"/>
        <v>2019_NSW_Greenethorpe_Mixed_DetailedTOS1VarietyAceWaterTrtRainFed</v>
      </c>
      <c r="B9" s="2">
        <v>2019002</v>
      </c>
      <c r="C9" s="3" t="s">
        <v>36</v>
      </c>
      <c r="D9" s="3" t="s">
        <v>37</v>
      </c>
      <c r="E9" s="3" t="s">
        <v>38</v>
      </c>
      <c r="F9" s="3" t="s">
        <v>4175</v>
      </c>
      <c r="G9" s="3" t="s">
        <v>39</v>
      </c>
      <c r="I9" s="2">
        <v>8</v>
      </c>
      <c r="J9" s="2">
        <v>8</v>
      </c>
      <c r="K9" s="2">
        <v>1</v>
      </c>
      <c r="O9" s="2">
        <v>1</v>
      </c>
      <c r="P9" s="2">
        <v>2</v>
      </c>
      <c r="W9" s="2">
        <v>8</v>
      </c>
      <c r="X9" s="2">
        <v>1</v>
      </c>
      <c r="Z9" s="2">
        <v>8</v>
      </c>
      <c r="AA9" s="3" t="s">
        <v>40</v>
      </c>
      <c r="AG9" s="2">
        <v>1</v>
      </c>
      <c r="AH9" s="3" t="s">
        <v>47</v>
      </c>
      <c r="AI9" s="4">
        <v>43585</v>
      </c>
      <c r="AJ9" s="3" t="s">
        <v>51</v>
      </c>
      <c r="AK9" s="3" t="s">
        <v>38</v>
      </c>
    </row>
    <row r="10" spans="1:37" hidden="1" x14ac:dyDescent="0.25">
      <c r="A10" t="str">
        <f t="shared" si="0"/>
        <v>2019_NSW_Greenethorpe_Mixed_DetailedTOS2VarietyJumbo2WaterTrtRainFed</v>
      </c>
      <c r="B10" s="2">
        <v>2019002</v>
      </c>
      <c r="C10" s="3" t="s">
        <v>36</v>
      </c>
      <c r="D10" s="3" t="s">
        <v>37</v>
      </c>
      <c r="E10" s="3" t="s">
        <v>38</v>
      </c>
      <c r="F10" s="3" t="s">
        <v>4176</v>
      </c>
      <c r="G10" s="3" t="s">
        <v>43</v>
      </c>
      <c r="I10" s="2">
        <v>9</v>
      </c>
      <c r="J10" s="2">
        <v>9</v>
      </c>
      <c r="K10" s="2">
        <v>1</v>
      </c>
      <c r="O10" s="2">
        <v>1</v>
      </c>
      <c r="P10" s="2">
        <v>3</v>
      </c>
      <c r="W10" s="2">
        <v>9</v>
      </c>
      <c r="X10" s="2">
        <v>1</v>
      </c>
      <c r="Z10" s="2">
        <v>9</v>
      </c>
      <c r="AA10" s="3" t="s">
        <v>40</v>
      </c>
      <c r="AG10" s="2">
        <v>2</v>
      </c>
      <c r="AH10" s="3" t="s">
        <v>52</v>
      </c>
      <c r="AI10" s="4">
        <v>43606</v>
      </c>
      <c r="AJ10" s="3" t="s">
        <v>53</v>
      </c>
      <c r="AK10" s="3" t="s">
        <v>38</v>
      </c>
    </row>
    <row r="11" spans="1:37" hidden="1" x14ac:dyDescent="0.25">
      <c r="A11" t="str">
        <f t="shared" si="0"/>
        <v>2019_NSW_Greenethorpe_Mixed_DetailedTOS2VarietyBlitzWaterTrtRainFed</v>
      </c>
      <c r="B11" s="2">
        <v>2019002</v>
      </c>
      <c r="C11" s="3" t="s">
        <v>36</v>
      </c>
      <c r="D11" s="3" t="s">
        <v>37</v>
      </c>
      <c r="E11" s="3" t="s">
        <v>38</v>
      </c>
      <c r="F11" s="3" t="s">
        <v>4177</v>
      </c>
      <c r="G11" s="3" t="s">
        <v>39</v>
      </c>
      <c r="I11" s="2">
        <v>10</v>
      </c>
      <c r="J11" s="2">
        <v>10</v>
      </c>
      <c r="K11" s="2">
        <v>1</v>
      </c>
      <c r="O11" s="2">
        <v>1</v>
      </c>
      <c r="P11" s="2">
        <v>3</v>
      </c>
      <c r="W11" s="2">
        <v>10</v>
      </c>
      <c r="X11" s="2">
        <v>1</v>
      </c>
      <c r="Z11" s="2">
        <v>10</v>
      </c>
      <c r="AA11" s="3" t="s">
        <v>40</v>
      </c>
      <c r="AG11" s="2">
        <v>2</v>
      </c>
      <c r="AH11" s="3" t="s">
        <v>52</v>
      </c>
      <c r="AI11" s="4">
        <v>43606</v>
      </c>
      <c r="AJ11" s="3" t="s">
        <v>54</v>
      </c>
      <c r="AK11" s="3" t="s">
        <v>38</v>
      </c>
    </row>
    <row r="12" spans="1:37" hidden="1" x14ac:dyDescent="0.25">
      <c r="A12" t="str">
        <f t="shared" si="0"/>
        <v>2019_NSW_Greenethorpe_Mixed_DetailedTOS2VarietyJumbo2WaterTrtRainFed</v>
      </c>
      <c r="B12" s="2">
        <v>2019002</v>
      </c>
      <c r="C12" s="3" t="s">
        <v>36</v>
      </c>
      <c r="D12" s="3" t="s">
        <v>37</v>
      </c>
      <c r="E12" s="3" t="s">
        <v>38</v>
      </c>
      <c r="F12" s="3" t="s">
        <v>4176</v>
      </c>
      <c r="G12" s="3" t="s">
        <v>43</v>
      </c>
      <c r="I12" s="2">
        <v>11</v>
      </c>
      <c r="J12" s="2">
        <v>11</v>
      </c>
      <c r="K12" s="2">
        <v>1</v>
      </c>
      <c r="O12" s="2">
        <v>1</v>
      </c>
      <c r="P12" s="2">
        <v>3</v>
      </c>
      <c r="W12" s="2">
        <v>11</v>
      </c>
      <c r="X12" s="2">
        <v>1</v>
      </c>
      <c r="Z12" s="2">
        <v>11</v>
      </c>
      <c r="AA12" s="3" t="s">
        <v>40</v>
      </c>
      <c r="AG12" s="2">
        <v>2</v>
      </c>
      <c r="AH12" s="3" t="s">
        <v>52</v>
      </c>
      <c r="AI12" s="4">
        <v>43606</v>
      </c>
      <c r="AJ12" s="3" t="s">
        <v>55</v>
      </c>
      <c r="AK12" s="3" t="s">
        <v>38</v>
      </c>
    </row>
    <row r="13" spans="1:37" hidden="1" x14ac:dyDescent="0.25">
      <c r="A13" t="str">
        <f t="shared" si="0"/>
        <v>2019_NSW_Greenethorpe_Mixed_DetailedTOS2VarietyAceWaterTrtRainFed</v>
      </c>
      <c r="B13" s="2">
        <v>2019002</v>
      </c>
      <c r="C13" s="3" t="s">
        <v>36</v>
      </c>
      <c r="D13" s="3" t="s">
        <v>37</v>
      </c>
      <c r="E13" s="3" t="s">
        <v>38</v>
      </c>
      <c r="F13" s="3" t="s">
        <v>4175</v>
      </c>
      <c r="G13" s="3" t="s">
        <v>39</v>
      </c>
      <c r="I13" s="2">
        <v>12</v>
      </c>
      <c r="J13" s="2">
        <v>12</v>
      </c>
      <c r="K13" s="2">
        <v>1</v>
      </c>
      <c r="O13" s="2">
        <v>1</v>
      </c>
      <c r="P13" s="2">
        <v>3</v>
      </c>
      <c r="W13" s="2">
        <v>12</v>
      </c>
      <c r="X13" s="2">
        <v>1</v>
      </c>
      <c r="Z13" s="2">
        <v>12</v>
      </c>
      <c r="AA13" s="3" t="s">
        <v>40</v>
      </c>
      <c r="AG13" s="2">
        <v>2</v>
      </c>
      <c r="AH13" s="3" t="s">
        <v>52</v>
      </c>
      <c r="AI13" s="4">
        <v>43606</v>
      </c>
      <c r="AJ13" s="3" t="s">
        <v>56</v>
      </c>
      <c r="AK13" s="3" t="s">
        <v>38</v>
      </c>
    </row>
    <row r="14" spans="1:37" hidden="1" x14ac:dyDescent="0.25">
      <c r="A14" t="str">
        <f t="shared" si="0"/>
        <v>2019_NSW_Greenethorpe_Mixed_DetailedTOS1VarietyBlitzWaterTrtIrrigated</v>
      </c>
      <c r="B14" s="2">
        <v>2019002</v>
      </c>
      <c r="C14" s="3" t="s">
        <v>36</v>
      </c>
      <c r="D14" s="3" t="s">
        <v>37</v>
      </c>
      <c r="E14" s="3" t="s">
        <v>38</v>
      </c>
      <c r="F14" s="3" t="s">
        <v>4177</v>
      </c>
      <c r="G14" s="3" t="s">
        <v>39</v>
      </c>
      <c r="I14" s="2">
        <v>13</v>
      </c>
      <c r="J14" s="2">
        <v>13</v>
      </c>
      <c r="K14" s="2">
        <v>1</v>
      </c>
      <c r="O14" s="2">
        <v>2</v>
      </c>
      <c r="P14" s="2">
        <v>4</v>
      </c>
      <c r="W14" s="2">
        <v>1</v>
      </c>
      <c r="X14" s="2">
        <v>2</v>
      </c>
      <c r="Z14" s="2">
        <v>24</v>
      </c>
      <c r="AA14" s="3" t="s">
        <v>57</v>
      </c>
      <c r="AG14" s="2">
        <v>1</v>
      </c>
      <c r="AH14" s="3" t="s">
        <v>47</v>
      </c>
      <c r="AI14" s="4">
        <v>43585</v>
      </c>
      <c r="AJ14" s="3" t="s">
        <v>58</v>
      </c>
      <c r="AK14" s="3" t="s">
        <v>38</v>
      </c>
    </row>
    <row r="15" spans="1:37" hidden="1" x14ac:dyDescent="0.25">
      <c r="A15" t="str">
        <f t="shared" si="0"/>
        <v>2019_NSW_Greenethorpe_Mixed_DetailedTOS1VarietyJumbo2WaterTrtIrrigated</v>
      </c>
      <c r="B15" s="2">
        <v>2019002</v>
      </c>
      <c r="C15" s="3" t="s">
        <v>36</v>
      </c>
      <c r="D15" s="3" t="s">
        <v>37</v>
      </c>
      <c r="E15" s="3" t="s">
        <v>38</v>
      </c>
      <c r="F15" s="3" t="s">
        <v>4176</v>
      </c>
      <c r="G15" s="3" t="s">
        <v>43</v>
      </c>
      <c r="I15" s="2">
        <v>14</v>
      </c>
      <c r="J15" s="2">
        <v>14</v>
      </c>
      <c r="K15" s="2">
        <v>1</v>
      </c>
      <c r="O15" s="2">
        <v>2</v>
      </c>
      <c r="P15" s="2">
        <v>4</v>
      </c>
      <c r="W15" s="2">
        <v>2</v>
      </c>
      <c r="X15" s="2">
        <v>2</v>
      </c>
      <c r="Z15" s="2">
        <v>23</v>
      </c>
      <c r="AA15" s="3" t="s">
        <v>57</v>
      </c>
      <c r="AG15" s="2">
        <v>1</v>
      </c>
      <c r="AH15" s="3" t="s">
        <v>47</v>
      </c>
      <c r="AI15" s="4">
        <v>43585</v>
      </c>
      <c r="AJ15" s="3" t="s">
        <v>59</v>
      </c>
      <c r="AK15" s="3" t="s">
        <v>38</v>
      </c>
    </row>
    <row r="16" spans="1:37" hidden="1" x14ac:dyDescent="0.25">
      <c r="A16" t="str">
        <f t="shared" si="0"/>
        <v>2019_NSW_Greenethorpe_Mixed_DetailedTOS1VarietyAceWaterTrtIrrigated</v>
      </c>
      <c r="B16" s="2">
        <v>2019002</v>
      </c>
      <c r="C16" s="3" t="s">
        <v>36</v>
      </c>
      <c r="D16" s="3" t="s">
        <v>37</v>
      </c>
      <c r="E16" s="3" t="s">
        <v>38</v>
      </c>
      <c r="F16" s="3" t="s">
        <v>4175</v>
      </c>
      <c r="G16" s="3" t="s">
        <v>39</v>
      </c>
      <c r="I16" s="2">
        <v>15</v>
      </c>
      <c r="J16" s="2">
        <v>15</v>
      </c>
      <c r="K16" s="2">
        <v>1</v>
      </c>
      <c r="O16" s="2">
        <v>2</v>
      </c>
      <c r="P16" s="2">
        <v>4</v>
      </c>
      <c r="W16" s="2">
        <v>3</v>
      </c>
      <c r="X16" s="2">
        <v>2</v>
      </c>
      <c r="Z16" s="2">
        <v>22</v>
      </c>
      <c r="AA16" s="3" t="s">
        <v>57</v>
      </c>
      <c r="AG16" s="2">
        <v>1</v>
      </c>
      <c r="AH16" s="3" t="s">
        <v>47</v>
      </c>
      <c r="AI16" s="4">
        <v>43585</v>
      </c>
      <c r="AJ16" s="3" t="s">
        <v>60</v>
      </c>
      <c r="AK16" s="3" t="s">
        <v>38</v>
      </c>
    </row>
    <row r="17" spans="1:37" hidden="1" x14ac:dyDescent="0.25">
      <c r="A17" t="str">
        <f t="shared" si="0"/>
        <v>2019_NSW_Greenethorpe_Mixed_DetailedTOS1VarietyJumbo2WaterTrtIrrigated</v>
      </c>
      <c r="B17" s="2">
        <v>2019002</v>
      </c>
      <c r="C17" s="3" t="s">
        <v>36</v>
      </c>
      <c r="D17" s="3" t="s">
        <v>37</v>
      </c>
      <c r="E17" s="3" t="s">
        <v>38</v>
      </c>
      <c r="F17" s="3" t="s">
        <v>4176</v>
      </c>
      <c r="G17" s="3" t="s">
        <v>43</v>
      </c>
      <c r="I17" s="2">
        <v>16</v>
      </c>
      <c r="J17" s="2">
        <v>16</v>
      </c>
      <c r="K17" s="2">
        <v>1</v>
      </c>
      <c r="O17" s="2">
        <v>2</v>
      </c>
      <c r="P17" s="2">
        <v>4</v>
      </c>
      <c r="W17" s="2">
        <v>4</v>
      </c>
      <c r="X17" s="2">
        <v>2</v>
      </c>
      <c r="Z17" s="2">
        <v>21</v>
      </c>
      <c r="AA17" s="3" t="s">
        <v>57</v>
      </c>
      <c r="AG17" s="2">
        <v>1</v>
      </c>
      <c r="AH17" s="3" t="s">
        <v>47</v>
      </c>
      <c r="AI17" s="4">
        <v>43585</v>
      </c>
      <c r="AJ17" s="3" t="s">
        <v>61</v>
      </c>
      <c r="AK17" s="3" t="s">
        <v>38</v>
      </c>
    </row>
    <row r="18" spans="1:37" hidden="1" x14ac:dyDescent="0.25">
      <c r="A18" t="str">
        <f t="shared" si="0"/>
        <v>2019_NSW_Greenethorpe_Mixed_DetailedTOS2VarietyBlitzWaterTrtIrrigated</v>
      </c>
      <c r="B18" s="2">
        <v>2019002</v>
      </c>
      <c r="C18" s="3" t="s">
        <v>36</v>
      </c>
      <c r="D18" s="3" t="s">
        <v>37</v>
      </c>
      <c r="E18" s="3" t="s">
        <v>38</v>
      </c>
      <c r="F18" s="3" t="s">
        <v>4177</v>
      </c>
      <c r="G18" s="3" t="s">
        <v>39</v>
      </c>
      <c r="I18" s="2">
        <v>17</v>
      </c>
      <c r="J18" s="2">
        <v>17</v>
      </c>
      <c r="K18" s="2">
        <v>1</v>
      </c>
      <c r="O18" s="2">
        <v>2</v>
      </c>
      <c r="P18" s="2">
        <v>5</v>
      </c>
      <c r="W18" s="2">
        <v>5</v>
      </c>
      <c r="X18" s="2">
        <v>2</v>
      </c>
      <c r="Z18" s="2">
        <v>20</v>
      </c>
      <c r="AA18" s="3" t="s">
        <v>57</v>
      </c>
      <c r="AG18" s="2">
        <v>2</v>
      </c>
      <c r="AH18" s="3" t="s">
        <v>52</v>
      </c>
      <c r="AI18" s="4">
        <v>43606</v>
      </c>
      <c r="AJ18" s="3" t="s">
        <v>62</v>
      </c>
      <c r="AK18" s="3" t="s">
        <v>38</v>
      </c>
    </row>
    <row r="19" spans="1:37" hidden="1" x14ac:dyDescent="0.25">
      <c r="A19" t="str">
        <f t="shared" si="0"/>
        <v>2019_NSW_Greenethorpe_Mixed_DetailedTOS2VarietyJumbo2WaterTrtIrrigated</v>
      </c>
      <c r="B19" s="2">
        <v>2019002</v>
      </c>
      <c r="C19" s="3" t="s">
        <v>36</v>
      </c>
      <c r="D19" s="3" t="s">
        <v>37</v>
      </c>
      <c r="E19" s="3" t="s">
        <v>38</v>
      </c>
      <c r="F19" s="3" t="s">
        <v>4176</v>
      </c>
      <c r="G19" s="3" t="s">
        <v>43</v>
      </c>
      <c r="I19" s="2">
        <v>18</v>
      </c>
      <c r="J19" s="2">
        <v>18</v>
      </c>
      <c r="K19" s="2">
        <v>1</v>
      </c>
      <c r="O19" s="2">
        <v>2</v>
      </c>
      <c r="P19" s="2">
        <v>5</v>
      </c>
      <c r="W19" s="2">
        <v>6</v>
      </c>
      <c r="X19" s="2">
        <v>2</v>
      </c>
      <c r="Z19" s="2">
        <v>19</v>
      </c>
      <c r="AA19" s="3" t="s">
        <v>57</v>
      </c>
      <c r="AG19" s="2">
        <v>2</v>
      </c>
      <c r="AH19" s="3" t="s">
        <v>52</v>
      </c>
      <c r="AI19" s="4">
        <v>43606</v>
      </c>
      <c r="AJ19" s="3" t="s">
        <v>63</v>
      </c>
      <c r="AK19" s="3" t="s">
        <v>38</v>
      </c>
    </row>
    <row r="20" spans="1:37" hidden="1" x14ac:dyDescent="0.25">
      <c r="A20" t="str">
        <f t="shared" si="0"/>
        <v>2019_NSW_Greenethorpe_Mixed_DetailedTOS2VarietyAceWaterTrtIrrigated</v>
      </c>
      <c r="B20" s="2">
        <v>2019002</v>
      </c>
      <c r="C20" s="3" t="s">
        <v>36</v>
      </c>
      <c r="D20" s="3" t="s">
        <v>37</v>
      </c>
      <c r="E20" s="3" t="s">
        <v>38</v>
      </c>
      <c r="F20" s="3" t="s">
        <v>4175</v>
      </c>
      <c r="G20" s="3" t="s">
        <v>39</v>
      </c>
      <c r="I20" s="2">
        <v>19</v>
      </c>
      <c r="J20" s="2">
        <v>19</v>
      </c>
      <c r="K20" s="2">
        <v>1</v>
      </c>
      <c r="O20" s="2">
        <v>2</v>
      </c>
      <c r="P20" s="2">
        <v>5</v>
      </c>
      <c r="W20" s="2">
        <v>7</v>
      </c>
      <c r="X20" s="2">
        <v>2</v>
      </c>
      <c r="Z20" s="2">
        <v>18</v>
      </c>
      <c r="AA20" s="3" t="s">
        <v>57</v>
      </c>
      <c r="AG20" s="2">
        <v>2</v>
      </c>
      <c r="AH20" s="3" t="s">
        <v>52</v>
      </c>
      <c r="AI20" s="4">
        <v>43606</v>
      </c>
      <c r="AJ20" s="3" t="s">
        <v>64</v>
      </c>
      <c r="AK20" s="3" t="s">
        <v>38</v>
      </c>
    </row>
    <row r="21" spans="1:37" hidden="1" x14ac:dyDescent="0.25">
      <c r="A21" t="str">
        <f t="shared" si="0"/>
        <v>2019_NSW_Greenethorpe_Mixed_DetailedTOS2VarietyJumbo2WaterTrtIrrigated</v>
      </c>
      <c r="B21" s="2">
        <v>2019002</v>
      </c>
      <c r="C21" s="3" t="s">
        <v>36</v>
      </c>
      <c r="D21" s="3" t="s">
        <v>37</v>
      </c>
      <c r="E21" s="3" t="s">
        <v>38</v>
      </c>
      <c r="F21" s="3" t="s">
        <v>4176</v>
      </c>
      <c r="G21" s="3" t="s">
        <v>43</v>
      </c>
      <c r="I21" s="2">
        <v>20</v>
      </c>
      <c r="J21" s="2">
        <v>20</v>
      </c>
      <c r="K21" s="2">
        <v>1</v>
      </c>
      <c r="O21" s="2">
        <v>2</v>
      </c>
      <c r="P21" s="2">
        <v>5</v>
      </c>
      <c r="W21" s="2">
        <v>8</v>
      </c>
      <c r="X21" s="2">
        <v>2</v>
      </c>
      <c r="Z21" s="2">
        <v>17</v>
      </c>
      <c r="AA21" s="3" t="s">
        <v>57</v>
      </c>
      <c r="AG21" s="2">
        <v>2</v>
      </c>
      <c r="AH21" s="3" t="s">
        <v>52</v>
      </c>
      <c r="AI21" s="4">
        <v>43606</v>
      </c>
      <c r="AJ21" s="3" t="s">
        <v>65</v>
      </c>
      <c r="AK21" s="3" t="s">
        <v>38</v>
      </c>
    </row>
    <row r="22" spans="1:37" hidden="1" x14ac:dyDescent="0.25">
      <c r="A22" t="str">
        <f t="shared" si="0"/>
        <v>2019_NSW_Greenethorpe_Mixed_DetailedTOS3VarietyBlitzWaterTrtIrrigated</v>
      </c>
      <c r="B22" s="2">
        <v>2019002</v>
      </c>
      <c r="C22" s="3" t="s">
        <v>36</v>
      </c>
      <c r="D22" s="3" t="s">
        <v>37</v>
      </c>
      <c r="E22" s="3" t="s">
        <v>38</v>
      </c>
      <c r="F22" s="3" t="s">
        <v>4177</v>
      </c>
      <c r="G22" s="3" t="s">
        <v>39</v>
      </c>
      <c r="I22" s="2">
        <v>21</v>
      </c>
      <c r="J22" s="2">
        <v>21</v>
      </c>
      <c r="K22" s="2">
        <v>1</v>
      </c>
      <c r="O22" s="2">
        <v>2</v>
      </c>
      <c r="P22" s="2">
        <v>6</v>
      </c>
      <c r="W22" s="2">
        <v>9</v>
      </c>
      <c r="X22" s="2">
        <v>2</v>
      </c>
      <c r="Z22" s="2">
        <v>16</v>
      </c>
      <c r="AA22" s="3" t="s">
        <v>57</v>
      </c>
      <c r="AG22" s="2">
        <v>3</v>
      </c>
      <c r="AH22" s="3" t="s">
        <v>41</v>
      </c>
      <c r="AI22" s="4">
        <v>43627</v>
      </c>
      <c r="AJ22" s="3" t="s">
        <v>66</v>
      </c>
      <c r="AK22" s="3" t="s">
        <v>38</v>
      </c>
    </row>
    <row r="23" spans="1:37" hidden="1" x14ac:dyDescent="0.25">
      <c r="A23" t="str">
        <f t="shared" si="0"/>
        <v>2019_NSW_Greenethorpe_Mixed_DetailedTOS3VarietyJumbo2WaterTrtIrrigated</v>
      </c>
      <c r="B23" s="2">
        <v>2019002</v>
      </c>
      <c r="C23" s="3" t="s">
        <v>36</v>
      </c>
      <c r="D23" s="3" t="s">
        <v>37</v>
      </c>
      <c r="E23" s="3" t="s">
        <v>38</v>
      </c>
      <c r="F23" s="3" t="s">
        <v>4176</v>
      </c>
      <c r="G23" s="3" t="s">
        <v>43</v>
      </c>
      <c r="I23" s="2">
        <v>22</v>
      </c>
      <c r="J23" s="2">
        <v>22</v>
      </c>
      <c r="K23" s="2">
        <v>1</v>
      </c>
      <c r="O23" s="2">
        <v>2</v>
      </c>
      <c r="P23" s="2">
        <v>6</v>
      </c>
      <c r="W23" s="2">
        <v>10</v>
      </c>
      <c r="X23" s="2">
        <v>2</v>
      </c>
      <c r="Z23" s="2">
        <v>15</v>
      </c>
      <c r="AA23" s="3" t="s">
        <v>57</v>
      </c>
      <c r="AG23" s="2">
        <v>3</v>
      </c>
      <c r="AH23" s="3" t="s">
        <v>41</v>
      </c>
      <c r="AI23" s="4">
        <v>43627</v>
      </c>
      <c r="AJ23" s="3" t="s">
        <v>67</v>
      </c>
      <c r="AK23" s="3" t="s">
        <v>38</v>
      </c>
    </row>
    <row r="24" spans="1:37" hidden="1" x14ac:dyDescent="0.25">
      <c r="A24" t="str">
        <f t="shared" si="0"/>
        <v>2019_NSW_Greenethorpe_Mixed_DetailedTOS3VarietyAceWaterTrtIrrigated</v>
      </c>
      <c r="B24" s="2">
        <v>2019002</v>
      </c>
      <c r="C24" s="3" t="s">
        <v>36</v>
      </c>
      <c r="D24" s="3" t="s">
        <v>37</v>
      </c>
      <c r="E24" s="3" t="s">
        <v>38</v>
      </c>
      <c r="F24" s="3" t="s">
        <v>4175</v>
      </c>
      <c r="G24" s="3" t="s">
        <v>39</v>
      </c>
      <c r="I24" s="2">
        <v>23</v>
      </c>
      <c r="J24" s="2">
        <v>23</v>
      </c>
      <c r="K24" s="2">
        <v>1</v>
      </c>
      <c r="O24" s="2">
        <v>2</v>
      </c>
      <c r="P24" s="2">
        <v>6</v>
      </c>
      <c r="W24" s="2">
        <v>11</v>
      </c>
      <c r="X24" s="2">
        <v>2</v>
      </c>
      <c r="Z24" s="2">
        <v>14</v>
      </c>
      <c r="AA24" s="3" t="s">
        <v>57</v>
      </c>
      <c r="AG24" s="2">
        <v>3</v>
      </c>
      <c r="AH24" s="3" t="s">
        <v>41</v>
      </c>
      <c r="AI24" s="4">
        <v>43627</v>
      </c>
      <c r="AJ24" s="3" t="s">
        <v>68</v>
      </c>
      <c r="AK24" s="3" t="s">
        <v>38</v>
      </c>
    </row>
    <row r="25" spans="1:37" hidden="1" x14ac:dyDescent="0.25">
      <c r="A25" t="str">
        <f t="shared" si="0"/>
        <v>2019_NSW_Greenethorpe_Mixed_DetailedTOS3VarietyJumbo2WaterTrtIrrigated</v>
      </c>
      <c r="B25" s="2">
        <v>2019002</v>
      </c>
      <c r="C25" s="3" t="s">
        <v>36</v>
      </c>
      <c r="D25" s="3" t="s">
        <v>37</v>
      </c>
      <c r="E25" s="3" t="s">
        <v>38</v>
      </c>
      <c r="F25" s="3" t="s">
        <v>4176</v>
      </c>
      <c r="G25" s="3" t="s">
        <v>43</v>
      </c>
      <c r="I25" s="2">
        <v>24</v>
      </c>
      <c r="J25" s="2">
        <v>24</v>
      </c>
      <c r="K25" s="2">
        <v>1</v>
      </c>
      <c r="O25" s="2">
        <v>2</v>
      </c>
      <c r="P25" s="2">
        <v>6</v>
      </c>
      <c r="W25" s="2">
        <v>12</v>
      </c>
      <c r="X25" s="2">
        <v>2</v>
      </c>
      <c r="Z25" s="2">
        <v>13</v>
      </c>
      <c r="AA25" s="3" t="s">
        <v>57</v>
      </c>
      <c r="AG25" s="2">
        <v>3</v>
      </c>
      <c r="AH25" s="3" t="s">
        <v>41</v>
      </c>
      <c r="AI25" s="4">
        <v>43627</v>
      </c>
      <c r="AJ25" s="3" t="s">
        <v>69</v>
      </c>
      <c r="AK25" s="3" t="s">
        <v>38</v>
      </c>
    </row>
    <row r="26" spans="1:37" hidden="1" x14ac:dyDescent="0.25">
      <c r="A26" t="str">
        <f t="shared" si="0"/>
        <v>2019_NSW_Greenethorpe_Mixed_DetailedTOS2VarietyJumbo2WaterTrtRainFed</v>
      </c>
      <c r="B26" s="2">
        <v>2019002</v>
      </c>
      <c r="C26" s="3" t="s">
        <v>36</v>
      </c>
      <c r="D26" s="3" t="s">
        <v>37</v>
      </c>
      <c r="E26" s="3" t="s">
        <v>38</v>
      </c>
      <c r="F26" s="3" t="s">
        <v>4176</v>
      </c>
      <c r="G26" s="3" t="s">
        <v>43</v>
      </c>
      <c r="I26" s="2">
        <v>25</v>
      </c>
      <c r="J26" s="2">
        <v>25</v>
      </c>
      <c r="K26" s="2">
        <v>2</v>
      </c>
      <c r="O26" s="2">
        <v>3</v>
      </c>
      <c r="P26" s="2">
        <v>7</v>
      </c>
      <c r="W26" s="2">
        <v>1</v>
      </c>
      <c r="X26" s="2">
        <v>3</v>
      </c>
      <c r="Z26" s="2">
        <v>25</v>
      </c>
      <c r="AA26" s="3" t="s">
        <v>40</v>
      </c>
      <c r="AG26" s="2">
        <v>2</v>
      </c>
      <c r="AH26" s="3" t="s">
        <v>52</v>
      </c>
      <c r="AI26" s="4">
        <v>43606</v>
      </c>
      <c r="AJ26" s="3" t="s">
        <v>70</v>
      </c>
      <c r="AK26" s="3" t="s">
        <v>38</v>
      </c>
    </row>
    <row r="27" spans="1:37" hidden="1" x14ac:dyDescent="0.25">
      <c r="A27" t="str">
        <f t="shared" si="0"/>
        <v>2019_NSW_Greenethorpe_Mixed_DetailedTOS2VarietyAceWaterTrtRainFed</v>
      </c>
      <c r="B27" s="2">
        <v>2019002</v>
      </c>
      <c r="C27" s="3" t="s">
        <v>36</v>
      </c>
      <c r="D27" s="3" t="s">
        <v>37</v>
      </c>
      <c r="E27" s="3" t="s">
        <v>38</v>
      </c>
      <c r="F27" s="3" t="s">
        <v>4175</v>
      </c>
      <c r="G27" s="3" t="s">
        <v>39</v>
      </c>
      <c r="I27" s="2">
        <v>26</v>
      </c>
      <c r="J27" s="2">
        <v>26</v>
      </c>
      <c r="K27" s="2">
        <v>2</v>
      </c>
      <c r="O27" s="2">
        <v>3</v>
      </c>
      <c r="P27" s="2">
        <v>7</v>
      </c>
      <c r="W27" s="2">
        <v>2</v>
      </c>
      <c r="X27" s="2">
        <v>3</v>
      </c>
      <c r="Z27" s="2">
        <v>26</v>
      </c>
      <c r="AA27" s="3" t="s">
        <v>40</v>
      </c>
      <c r="AG27" s="2">
        <v>2</v>
      </c>
      <c r="AH27" s="3" t="s">
        <v>52</v>
      </c>
      <c r="AI27" s="4">
        <v>43606</v>
      </c>
      <c r="AJ27" s="3" t="s">
        <v>71</v>
      </c>
      <c r="AK27" s="3" t="s">
        <v>38</v>
      </c>
    </row>
    <row r="28" spans="1:37" hidden="1" x14ac:dyDescent="0.25">
      <c r="A28" t="str">
        <f t="shared" si="0"/>
        <v>2019_NSW_Greenethorpe_Mixed_DetailedTOS2VarietyJumbo2WaterTrtRainFed</v>
      </c>
      <c r="B28" s="2">
        <v>2019002</v>
      </c>
      <c r="C28" s="3" t="s">
        <v>36</v>
      </c>
      <c r="D28" s="3" t="s">
        <v>37</v>
      </c>
      <c r="E28" s="3" t="s">
        <v>38</v>
      </c>
      <c r="F28" s="3" t="s">
        <v>4176</v>
      </c>
      <c r="G28" s="3" t="s">
        <v>43</v>
      </c>
      <c r="I28" s="2">
        <v>27</v>
      </c>
      <c r="J28" s="2">
        <v>27</v>
      </c>
      <c r="K28" s="2">
        <v>2</v>
      </c>
      <c r="O28" s="2">
        <v>3</v>
      </c>
      <c r="P28" s="2">
        <v>7</v>
      </c>
      <c r="W28" s="2">
        <v>3</v>
      </c>
      <c r="X28" s="2">
        <v>3</v>
      </c>
      <c r="Z28" s="2">
        <v>27</v>
      </c>
      <c r="AA28" s="3" t="s">
        <v>40</v>
      </c>
      <c r="AG28" s="2">
        <v>2</v>
      </c>
      <c r="AH28" s="3" t="s">
        <v>52</v>
      </c>
      <c r="AI28" s="4">
        <v>43606</v>
      </c>
      <c r="AJ28" s="3" t="s">
        <v>72</v>
      </c>
      <c r="AK28" s="3" t="s">
        <v>38</v>
      </c>
    </row>
    <row r="29" spans="1:37" hidden="1" x14ac:dyDescent="0.25">
      <c r="A29" t="str">
        <f t="shared" si="0"/>
        <v>2019_NSW_Greenethorpe_Mixed_DetailedTOS2VarietyBlitzWaterTrtRainFed</v>
      </c>
      <c r="B29" s="2">
        <v>2019002</v>
      </c>
      <c r="C29" s="3" t="s">
        <v>36</v>
      </c>
      <c r="D29" s="3" t="s">
        <v>37</v>
      </c>
      <c r="E29" s="3" t="s">
        <v>38</v>
      </c>
      <c r="F29" s="3" t="s">
        <v>4177</v>
      </c>
      <c r="G29" s="3" t="s">
        <v>39</v>
      </c>
      <c r="I29" s="2">
        <v>28</v>
      </c>
      <c r="J29" s="2">
        <v>28</v>
      </c>
      <c r="K29" s="2">
        <v>2</v>
      </c>
      <c r="O29" s="2">
        <v>3</v>
      </c>
      <c r="P29" s="2">
        <v>7</v>
      </c>
      <c r="W29" s="2">
        <v>4</v>
      </c>
      <c r="X29" s="2">
        <v>3</v>
      </c>
      <c r="Z29" s="2">
        <v>28</v>
      </c>
      <c r="AA29" s="3" t="s">
        <v>40</v>
      </c>
      <c r="AG29" s="2">
        <v>2</v>
      </c>
      <c r="AH29" s="3" t="s">
        <v>52</v>
      </c>
      <c r="AI29" s="4">
        <v>43606</v>
      </c>
      <c r="AJ29" s="3" t="s">
        <v>73</v>
      </c>
      <c r="AK29" s="3" t="s">
        <v>38</v>
      </c>
    </row>
    <row r="30" spans="1:37" hidden="1" x14ac:dyDescent="0.25">
      <c r="A30" t="str">
        <f t="shared" si="0"/>
        <v>2019_NSW_Greenethorpe_Mixed_DetailedTOS3VarietyJumbo2WaterTrtRainFed</v>
      </c>
      <c r="B30" s="2">
        <v>2019002</v>
      </c>
      <c r="C30" s="3" t="s">
        <v>36</v>
      </c>
      <c r="D30" s="3" t="s">
        <v>37</v>
      </c>
      <c r="E30" s="3" t="s">
        <v>38</v>
      </c>
      <c r="F30" s="3" t="s">
        <v>4176</v>
      </c>
      <c r="G30" s="3" t="s">
        <v>43</v>
      </c>
      <c r="I30" s="2">
        <v>29</v>
      </c>
      <c r="J30" s="2">
        <v>29</v>
      </c>
      <c r="K30" s="2">
        <v>2</v>
      </c>
      <c r="O30" s="2">
        <v>3</v>
      </c>
      <c r="P30" s="2">
        <v>8</v>
      </c>
      <c r="W30" s="2">
        <v>5</v>
      </c>
      <c r="X30" s="2">
        <v>3</v>
      </c>
      <c r="Z30" s="2">
        <v>29</v>
      </c>
      <c r="AA30" s="3" t="s">
        <v>40</v>
      </c>
      <c r="AG30" s="2">
        <v>3</v>
      </c>
      <c r="AH30" s="3" t="s">
        <v>41</v>
      </c>
      <c r="AI30" s="4">
        <v>43627</v>
      </c>
      <c r="AJ30" s="3" t="s">
        <v>74</v>
      </c>
      <c r="AK30" s="3" t="s">
        <v>38</v>
      </c>
    </row>
    <row r="31" spans="1:37" hidden="1" x14ac:dyDescent="0.25">
      <c r="A31" t="str">
        <f t="shared" si="0"/>
        <v>2019_NSW_Greenethorpe_Mixed_DetailedTOS3VarietyAceWaterTrtRainFed</v>
      </c>
      <c r="B31" s="2">
        <v>2019002</v>
      </c>
      <c r="C31" s="3" t="s">
        <v>36</v>
      </c>
      <c r="D31" s="3" t="s">
        <v>37</v>
      </c>
      <c r="E31" s="3" t="s">
        <v>38</v>
      </c>
      <c r="F31" s="3" t="s">
        <v>4175</v>
      </c>
      <c r="G31" s="3" t="s">
        <v>39</v>
      </c>
      <c r="I31" s="2">
        <v>30</v>
      </c>
      <c r="J31" s="2">
        <v>30</v>
      </c>
      <c r="K31" s="2">
        <v>2</v>
      </c>
      <c r="O31" s="2">
        <v>3</v>
      </c>
      <c r="P31" s="2">
        <v>8</v>
      </c>
      <c r="W31" s="2">
        <v>6</v>
      </c>
      <c r="X31" s="2">
        <v>3</v>
      </c>
      <c r="Z31" s="2">
        <v>30</v>
      </c>
      <c r="AA31" s="3" t="s">
        <v>40</v>
      </c>
      <c r="AG31" s="2">
        <v>3</v>
      </c>
      <c r="AH31" s="3" t="s">
        <v>41</v>
      </c>
      <c r="AI31" s="4">
        <v>43627</v>
      </c>
      <c r="AJ31" s="3" t="s">
        <v>75</v>
      </c>
      <c r="AK31" s="3" t="s">
        <v>38</v>
      </c>
    </row>
    <row r="32" spans="1:37" hidden="1" x14ac:dyDescent="0.25">
      <c r="A32" t="str">
        <f t="shared" si="0"/>
        <v>2019_NSW_Greenethorpe_Mixed_DetailedTOS3VarietyJumbo2WaterTrtRainFed</v>
      </c>
      <c r="B32" s="2">
        <v>2019002</v>
      </c>
      <c r="C32" s="3" t="s">
        <v>36</v>
      </c>
      <c r="D32" s="3" t="s">
        <v>37</v>
      </c>
      <c r="E32" s="3" t="s">
        <v>38</v>
      </c>
      <c r="F32" s="3" t="s">
        <v>4176</v>
      </c>
      <c r="G32" s="3" t="s">
        <v>43</v>
      </c>
      <c r="I32" s="2">
        <v>31</v>
      </c>
      <c r="J32" s="2">
        <v>31</v>
      </c>
      <c r="K32" s="2">
        <v>2</v>
      </c>
      <c r="O32" s="2">
        <v>3</v>
      </c>
      <c r="P32" s="2">
        <v>8</v>
      </c>
      <c r="W32" s="2">
        <v>7</v>
      </c>
      <c r="X32" s="2">
        <v>3</v>
      </c>
      <c r="Z32" s="2">
        <v>31</v>
      </c>
      <c r="AA32" s="3" t="s">
        <v>40</v>
      </c>
      <c r="AG32" s="2">
        <v>3</v>
      </c>
      <c r="AH32" s="3" t="s">
        <v>41</v>
      </c>
      <c r="AI32" s="4">
        <v>43627</v>
      </c>
      <c r="AJ32" s="3" t="s">
        <v>76</v>
      </c>
      <c r="AK32" s="3" t="s">
        <v>38</v>
      </c>
    </row>
    <row r="33" spans="1:37" hidden="1" x14ac:dyDescent="0.25">
      <c r="A33" t="str">
        <f t="shared" si="0"/>
        <v>2019_NSW_Greenethorpe_Mixed_DetailedTOS3VarietyBlitzWaterTrtRainFed</v>
      </c>
      <c r="B33" s="2">
        <v>2019002</v>
      </c>
      <c r="C33" s="3" t="s">
        <v>36</v>
      </c>
      <c r="D33" s="3" t="s">
        <v>37</v>
      </c>
      <c r="E33" s="3" t="s">
        <v>38</v>
      </c>
      <c r="F33" s="3" t="s">
        <v>4177</v>
      </c>
      <c r="G33" s="3" t="s">
        <v>39</v>
      </c>
      <c r="I33" s="2">
        <v>32</v>
      </c>
      <c r="J33" s="2">
        <v>32</v>
      </c>
      <c r="K33" s="2">
        <v>2</v>
      </c>
      <c r="O33" s="2">
        <v>3</v>
      </c>
      <c r="P33" s="2">
        <v>8</v>
      </c>
      <c r="W33" s="2">
        <v>8</v>
      </c>
      <c r="X33" s="2">
        <v>3</v>
      </c>
      <c r="Z33" s="2">
        <v>32</v>
      </c>
      <c r="AA33" s="3" t="s">
        <v>40</v>
      </c>
      <c r="AG33" s="2">
        <v>3</v>
      </c>
      <c r="AH33" s="3" t="s">
        <v>41</v>
      </c>
      <c r="AI33" s="4">
        <v>43627</v>
      </c>
      <c r="AJ33" s="3" t="s">
        <v>77</v>
      </c>
      <c r="AK33" s="3" t="s">
        <v>38</v>
      </c>
    </row>
    <row r="34" spans="1:37" hidden="1" x14ac:dyDescent="0.25">
      <c r="A34" t="str">
        <f t="shared" si="0"/>
        <v>2019_NSW_Greenethorpe_Mixed_DetailedTOS1VarietyAceWaterTrtRainFed</v>
      </c>
      <c r="B34" s="2">
        <v>2019002</v>
      </c>
      <c r="C34" s="3" t="s">
        <v>36</v>
      </c>
      <c r="D34" s="3" t="s">
        <v>37</v>
      </c>
      <c r="E34" s="3" t="s">
        <v>38</v>
      </c>
      <c r="F34" s="3" t="s">
        <v>4175</v>
      </c>
      <c r="G34" s="3" t="s">
        <v>39</v>
      </c>
      <c r="I34" s="2">
        <v>33</v>
      </c>
      <c r="J34" s="2">
        <v>33</v>
      </c>
      <c r="K34" s="2">
        <v>2</v>
      </c>
      <c r="O34" s="2">
        <v>3</v>
      </c>
      <c r="P34" s="2">
        <v>9</v>
      </c>
      <c r="W34" s="2">
        <v>9</v>
      </c>
      <c r="X34" s="2">
        <v>3</v>
      </c>
      <c r="Z34" s="2">
        <v>33</v>
      </c>
      <c r="AA34" s="3" t="s">
        <v>40</v>
      </c>
      <c r="AG34" s="2">
        <v>1</v>
      </c>
      <c r="AH34" s="3" t="s">
        <v>47</v>
      </c>
      <c r="AI34" s="4">
        <v>43585</v>
      </c>
      <c r="AJ34" s="3" t="s">
        <v>78</v>
      </c>
      <c r="AK34" s="3" t="s">
        <v>38</v>
      </c>
    </row>
    <row r="35" spans="1:37" hidden="1" x14ac:dyDescent="0.25">
      <c r="A35" t="str">
        <f t="shared" si="0"/>
        <v>2019_NSW_Greenethorpe_Mixed_DetailedTOS1VarietyJumbo2WaterTrtRainFed</v>
      </c>
      <c r="B35" s="2">
        <v>2019002</v>
      </c>
      <c r="C35" s="3" t="s">
        <v>36</v>
      </c>
      <c r="D35" s="3" t="s">
        <v>37</v>
      </c>
      <c r="E35" s="3" t="s">
        <v>38</v>
      </c>
      <c r="F35" s="3" t="s">
        <v>4176</v>
      </c>
      <c r="G35" s="3" t="s">
        <v>43</v>
      </c>
      <c r="I35" s="2">
        <v>34</v>
      </c>
      <c r="J35" s="2">
        <v>34</v>
      </c>
      <c r="K35" s="2">
        <v>2</v>
      </c>
      <c r="O35" s="2">
        <v>3</v>
      </c>
      <c r="P35" s="2">
        <v>9</v>
      </c>
      <c r="W35" s="2">
        <v>10</v>
      </c>
      <c r="X35" s="2">
        <v>3</v>
      </c>
      <c r="Z35" s="2">
        <v>34</v>
      </c>
      <c r="AA35" s="3" t="s">
        <v>40</v>
      </c>
      <c r="AG35" s="2">
        <v>1</v>
      </c>
      <c r="AH35" s="3" t="s">
        <v>47</v>
      </c>
      <c r="AI35" s="4">
        <v>43585</v>
      </c>
      <c r="AJ35" s="3" t="s">
        <v>79</v>
      </c>
      <c r="AK35" s="3" t="s">
        <v>38</v>
      </c>
    </row>
    <row r="36" spans="1:37" hidden="1" x14ac:dyDescent="0.25">
      <c r="A36" t="str">
        <f t="shared" si="0"/>
        <v>2019_NSW_Greenethorpe_Mixed_DetailedTOS1VarietyBlitzWaterTrtRainFed</v>
      </c>
      <c r="B36" s="2">
        <v>2019002</v>
      </c>
      <c r="C36" s="3" t="s">
        <v>36</v>
      </c>
      <c r="D36" s="3" t="s">
        <v>37</v>
      </c>
      <c r="E36" s="3" t="s">
        <v>38</v>
      </c>
      <c r="F36" s="3" t="s">
        <v>4177</v>
      </c>
      <c r="G36" s="3" t="s">
        <v>39</v>
      </c>
      <c r="I36" s="2">
        <v>35</v>
      </c>
      <c r="J36" s="2">
        <v>35</v>
      </c>
      <c r="K36" s="2">
        <v>2</v>
      </c>
      <c r="O36" s="2">
        <v>3</v>
      </c>
      <c r="P36" s="2">
        <v>9</v>
      </c>
      <c r="W36" s="2">
        <v>11</v>
      </c>
      <c r="X36" s="2">
        <v>3</v>
      </c>
      <c r="Z36" s="2">
        <v>35</v>
      </c>
      <c r="AA36" s="3" t="s">
        <v>40</v>
      </c>
      <c r="AG36" s="2">
        <v>1</v>
      </c>
      <c r="AH36" s="3" t="s">
        <v>47</v>
      </c>
      <c r="AI36" s="4">
        <v>43585</v>
      </c>
      <c r="AJ36" s="3" t="s">
        <v>80</v>
      </c>
      <c r="AK36" s="3" t="s">
        <v>38</v>
      </c>
    </row>
    <row r="37" spans="1:37" hidden="1" x14ac:dyDescent="0.25">
      <c r="A37" t="str">
        <f t="shared" si="0"/>
        <v>2019_NSW_Greenethorpe_Mixed_DetailedTOS1VarietyJumbo2WaterTrtRainFed</v>
      </c>
      <c r="B37" s="2">
        <v>2019002</v>
      </c>
      <c r="C37" s="3" t="s">
        <v>36</v>
      </c>
      <c r="D37" s="3" t="s">
        <v>37</v>
      </c>
      <c r="E37" s="3" t="s">
        <v>38</v>
      </c>
      <c r="F37" s="3" t="s">
        <v>4176</v>
      </c>
      <c r="G37" s="3" t="s">
        <v>43</v>
      </c>
      <c r="I37" s="2">
        <v>36</v>
      </c>
      <c r="J37" s="2">
        <v>36</v>
      </c>
      <c r="K37" s="2">
        <v>2</v>
      </c>
      <c r="O37" s="2">
        <v>3</v>
      </c>
      <c r="P37" s="2">
        <v>9</v>
      </c>
      <c r="W37" s="2">
        <v>12</v>
      </c>
      <c r="X37" s="2">
        <v>3</v>
      </c>
      <c r="Z37" s="2">
        <v>36</v>
      </c>
      <c r="AA37" s="3" t="s">
        <v>40</v>
      </c>
      <c r="AG37" s="2">
        <v>1</v>
      </c>
      <c r="AH37" s="3" t="s">
        <v>47</v>
      </c>
      <c r="AI37" s="4">
        <v>43585</v>
      </c>
      <c r="AJ37" s="3" t="s">
        <v>81</v>
      </c>
      <c r="AK37" s="3" t="s">
        <v>38</v>
      </c>
    </row>
    <row r="38" spans="1:37" hidden="1" x14ac:dyDescent="0.25">
      <c r="A38" t="str">
        <f t="shared" si="0"/>
        <v>2019_NSW_Greenethorpe_Mixed_DetailedTOS1VarietyJumbo2WaterTrtIrrigated</v>
      </c>
      <c r="B38" s="2">
        <v>2019002</v>
      </c>
      <c r="C38" s="3" t="s">
        <v>36</v>
      </c>
      <c r="D38" s="3" t="s">
        <v>37</v>
      </c>
      <c r="E38" s="3" t="s">
        <v>38</v>
      </c>
      <c r="F38" s="3" t="s">
        <v>4176</v>
      </c>
      <c r="G38" s="3" t="s">
        <v>43</v>
      </c>
      <c r="I38" s="2">
        <v>37</v>
      </c>
      <c r="J38" s="2">
        <v>37</v>
      </c>
      <c r="K38" s="2">
        <v>2</v>
      </c>
      <c r="O38" s="2">
        <v>4</v>
      </c>
      <c r="P38" s="2">
        <v>10</v>
      </c>
      <c r="W38" s="2">
        <v>1</v>
      </c>
      <c r="X38" s="2">
        <v>4</v>
      </c>
      <c r="Z38" s="2">
        <v>48</v>
      </c>
      <c r="AA38" s="3" t="s">
        <v>57</v>
      </c>
      <c r="AG38" s="2">
        <v>1</v>
      </c>
      <c r="AH38" s="3" t="s">
        <v>47</v>
      </c>
      <c r="AI38" s="4">
        <v>43585</v>
      </c>
      <c r="AJ38" s="3" t="s">
        <v>82</v>
      </c>
      <c r="AK38" s="3" t="s">
        <v>38</v>
      </c>
    </row>
    <row r="39" spans="1:37" hidden="1" x14ac:dyDescent="0.25">
      <c r="A39" t="str">
        <f t="shared" si="0"/>
        <v>2019_NSW_Greenethorpe_Mixed_DetailedTOS1VarietyBlitzWaterTrtIrrigated</v>
      </c>
      <c r="B39" s="2">
        <v>2019002</v>
      </c>
      <c r="C39" s="3" t="s">
        <v>36</v>
      </c>
      <c r="D39" s="3" t="s">
        <v>37</v>
      </c>
      <c r="E39" s="3" t="s">
        <v>38</v>
      </c>
      <c r="F39" s="3" t="s">
        <v>4177</v>
      </c>
      <c r="G39" s="3" t="s">
        <v>39</v>
      </c>
      <c r="I39" s="2">
        <v>38</v>
      </c>
      <c r="J39" s="2">
        <v>38</v>
      </c>
      <c r="K39" s="2">
        <v>2</v>
      </c>
      <c r="O39" s="2">
        <v>4</v>
      </c>
      <c r="P39" s="2">
        <v>10</v>
      </c>
      <c r="W39" s="2">
        <v>2</v>
      </c>
      <c r="X39" s="2">
        <v>4</v>
      </c>
      <c r="Z39" s="2">
        <v>47</v>
      </c>
      <c r="AA39" s="3" t="s">
        <v>57</v>
      </c>
      <c r="AG39" s="2">
        <v>1</v>
      </c>
      <c r="AH39" s="3" t="s">
        <v>47</v>
      </c>
      <c r="AI39" s="4">
        <v>43585</v>
      </c>
      <c r="AJ39" s="3" t="s">
        <v>83</v>
      </c>
      <c r="AK39" s="3" t="s">
        <v>38</v>
      </c>
    </row>
    <row r="40" spans="1:37" hidden="1" x14ac:dyDescent="0.25">
      <c r="A40" t="str">
        <f t="shared" si="0"/>
        <v>2019_NSW_Greenethorpe_Mixed_DetailedTOS1VarietyJumbo2WaterTrtIrrigated</v>
      </c>
      <c r="B40" s="2">
        <v>2019002</v>
      </c>
      <c r="C40" s="3" t="s">
        <v>36</v>
      </c>
      <c r="D40" s="3" t="s">
        <v>37</v>
      </c>
      <c r="E40" s="3" t="s">
        <v>38</v>
      </c>
      <c r="F40" s="3" t="s">
        <v>4176</v>
      </c>
      <c r="G40" s="3" t="s">
        <v>43</v>
      </c>
      <c r="I40" s="2">
        <v>39</v>
      </c>
      <c r="J40" s="2">
        <v>39</v>
      </c>
      <c r="K40" s="2">
        <v>2</v>
      </c>
      <c r="O40" s="2">
        <v>4</v>
      </c>
      <c r="P40" s="2">
        <v>10</v>
      </c>
      <c r="W40" s="2">
        <v>3</v>
      </c>
      <c r="X40" s="2">
        <v>4</v>
      </c>
      <c r="Z40" s="2">
        <v>46</v>
      </c>
      <c r="AA40" s="3" t="s">
        <v>57</v>
      </c>
      <c r="AG40" s="2">
        <v>1</v>
      </c>
      <c r="AH40" s="3" t="s">
        <v>47</v>
      </c>
      <c r="AI40" s="4">
        <v>43585</v>
      </c>
      <c r="AJ40" s="3" t="s">
        <v>84</v>
      </c>
      <c r="AK40" s="3" t="s">
        <v>38</v>
      </c>
    </row>
    <row r="41" spans="1:37" hidden="1" x14ac:dyDescent="0.25">
      <c r="A41" t="str">
        <f t="shared" si="0"/>
        <v>2019_NSW_Greenethorpe_Mixed_DetailedTOS1VarietyAceWaterTrtIrrigated</v>
      </c>
      <c r="B41" s="2">
        <v>2019002</v>
      </c>
      <c r="C41" s="3" t="s">
        <v>36</v>
      </c>
      <c r="D41" s="3" t="s">
        <v>37</v>
      </c>
      <c r="E41" s="3" t="s">
        <v>38</v>
      </c>
      <c r="F41" s="3" t="s">
        <v>4175</v>
      </c>
      <c r="G41" s="3" t="s">
        <v>39</v>
      </c>
      <c r="I41" s="2">
        <v>40</v>
      </c>
      <c r="J41" s="2">
        <v>40</v>
      </c>
      <c r="K41" s="2">
        <v>2</v>
      </c>
      <c r="O41" s="2">
        <v>4</v>
      </c>
      <c r="P41" s="2">
        <v>10</v>
      </c>
      <c r="W41" s="2">
        <v>4</v>
      </c>
      <c r="X41" s="2">
        <v>4</v>
      </c>
      <c r="Z41" s="2">
        <v>45</v>
      </c>
      <c r="AA41" s="3" t="s">
        <v>57</v>
      </c>
      <c r="AG41" s="2">
        <v>1</v>
      </c>
      <c r="AH41" s="3" t="s">
        <v>47</v>
      </c>
      <c r="AI41" s="4">
        <v>43585</v>
      </c>
      <c r="AJ41" s="3" t="s">
        <v>85</v>
      </c>
      <c r="AK41" s="3" t="s">
        <v>38</v>
      </c>
    </row>
    <row r="42" spans="1:37" hidden="1" x14ac:dyDescent="0.25">
      <c r="A42" t="str">
        <f t="shared" si="0"/>
        <v>2019_NSW_Greenethorpe_Mixed_DetailedTOS2VarietyAceWaterTrtIrrigated</v>
      </c>
      <c r="B42" s="2">
        <v>2019002</v>
      </c>
      <c r="C42" s="3" t="s">
        <v>36</v>
      </c>
      <c r="D42" s="3" t="s">
        <v>37</v>
      </c>
      <c r="E42" s="3" t="s">
        <v>38</v>
      </c>
      <c r="F42" s="3" t="s">
        <v>4175</v>
      </c>
      <c r="G42" s="3" t="s">
        <v>39</v>
      </c>
      <c r="I42" s="2">
        <v>41</v>
      </c>
      <c r="J42" s="2">
        <v>41</v>
      </c>
      <c r="K42" s="2">
        <v>2</v>
      </c>
      <c r="O42" s="2">
        <v>4</v>
      </c>
      <c r="P42" s="2">
        <v>11</v>
      </c>
      <c r="W42" s="2">
        <v>5</v>
      </c>
      <c r="X42" s="2">
        <v>4</v>
      </c>
      <c r="Z42" s="2">
        <v>44</v>
      </c>
      <c r="AA42" s="3" t="s">
        <v>57</v>
      </c>
      <c r="AG42" s="2">
        <v>2</v>
      </c>
      <c r="AH42" s="3" t="s">
        <v>52</v>
      </c>
      <c r="AI42" s="4">
        <v>43606</v>
      </c>
      <c r="AJ42" s="3" t="s">
        <v>86</v>
      </c>
      <c r="AK42" s="3" t="s">
        <v>38</v>
      </c>
    </row>
    <row r="43" spans="1:37" hidden="1" x14ac:dyDescent="0.25">
      <c r="A43" t="str">
        <f t="shared" si="0"/>
        <v>2019_NSW_Greenethorpe_Mixed_DetailedTOS2VarietyJumbo2WaterTrtIrrigated</v>
      </c>
      <c r="B43" s="2">
        <v>2019002</v>
      </c>
      <c r="C43" s="3" t="s">
        <v>36</v>
      </c>
      <c r="D43" s="3" t="s">
        <v>37</v>
      </c>
      <c r="E43" s="3" t="s">
        <v>38</v>
      </c>
      <c r="F43" s="3" t="s">
        <v>4176</v>
      </c>
      <c r="G43" s="3" t="s">
        <v>43</v>
      </c>
      <c r="I43" s="2">
        <v>42</v>
      </c>
      <c r="J43" s="2">
        <v>42</v>
      </c>
      <c r="K43" s="2">
        <v>2</v>
      </c>
      <c r="O43" s="2">
        <v>4</v>
      </c>
      <c r="P43" s="2">
        <v>11</v>
      </c>
      <c r="W43" s="2">
        <v>6</v>
      </c>
      <c r="X43" s="2">
        <v>4</v>
      </c>
      <c r="Z43" s="2">
        <v>43</v>
      </c>
      <c r="AA43" s="3" t="s">
        <v>57</v>
      </c>
      <c r="AG43" s="2">
        <v>2</v>
      </c>
      <c r="AH43" s="3" t="s">
        <v>52</v>
      </c>
      <c r="AI43" s="4">
        <v>43606</v>
      </c>
      <c r="AJ43" s="3" t="s">
        <v>87</v>
      </c>
      <c r="AK43" s="3" t="s">
        <v>38</v>
      </c>
    </row>
    <row r="44" spans="1:37" hidden="1" x14ac:dyDescent="0.25">
      <c r="A44" t="str">
        <f t="shared" si="0"/>
        <v>2019_NSW_Greenethorpe_Mixed_DetailedTOS2VarietyBlitzWaterTrtIrrigated</v>
      </c>
      <c r="B44" s="2">
        <v>2019002</v>
      </c>
      <c r="C44" s="3" t="s">
        <v>36</v>
      </c>
      <c r="D44" s="3" t="s">
        <v>37</v>
      </c>
      <c r="E44" s="3" t="s">
        <v>38</v>
      </c>
      <c r="F44" s="3" t="s">
        <v>4177</v>
      </c>
      <c r="G44" s="3" t="s">
        <v>39</v>
      </c>
      <c r="I44" s="2">
        <v>43</v>
      </c>
      <c r="J44" s="2">
        <v>43</v>
      </c>
      <c r="K44" s="2">
        <v>2</v>
      </c>
      <c r="O44" s="2">
        <v>4</v>
      </c>
      <c r="P44" s="2">
        <v>11</v>
      </c>
      <c r="W44" s="2">
        <v>7</v>
      </c>
      <c r="X44" s="2">
        <v>4</v>
      </c>
      <c r="Z44" s="2">
        <v>42</v>
      </c>
      <c r="AA44" s="3" t="s">
        <v>57</v>
      </c>
      <c r="AG44" s="2">
        <v>2</v>
      </c>
      <c r="AH44" s="3" t="s">
        <v>52</v>
      </c>
      <c r="AI44" s="4">
        <v>43606</v>
      </c>
      <c r="AJ44" s="3" t="s">
        <v>88</v>
      </c>
      <c r="AK44" s="3" t="s">
        <v>38</v>
      </c>
    </row>
    <row r="45" spans="1:37" hidden="1" x14ac:dyDescent="0.25">
      <c r="A45" t="str">
        <f t="shared" si="0"/>
        <v>2019_NSW_Greenethorpe_Mixed_DetailedTOS2VarietyJumbo2WaterTrtIrrigated</v>
      </c>
      <c r="B45" s="2">
        <v>2019002</v>
      </c>
      <c r="C45" s="3" t="s">
        <v>36</v>
      </c>
      <c r="D45" s="3" t="s">
        <v>37</v>
      </c>
      <c r="E45" s="3" t="s">
        <v>38</v>
      </c>
      <c r="F45" s="3" t="s">
        <v>4176</v>
      </c>
      <c r="G45" s="3" t="s">
        <v>43</v>
      </c>
      <c r="I45" s="2">
        <v>44</v>
      </c>
      <c r="J45" s="2">
        <v>44</v>
      </c>
      <c r="K45" s="2">
        <v>2</v>
      </c>
      <c r="O45" s="2">
        <v>4</v>
      </c>
      <c r="P45" s="2">
        <v>11</v>
      </c>
      <c r="W45" s="2">
        <v>8</v>
      </c>
      <c r="X45" s="2">
        <v>4</v>
      </c>
      <c r="Z45" s="2">
        <v>41</v>
      </c>
      <c r="AA45" s="3" t="s">
        <v>57</v>
      </c>
      <c r="AG45" s="2">
        <v>2</v>
      </c>
      <c r="AH45" s="3" t="s">
        <v>52</v>
      </c>
      <c r="AI45" s="4">
        <v>43606</v>
      </c>
      <c r="AJ45" s="3" t="s">
        <v>89</v>
      </c>
      <c r="AK45" s="3" t="s">
        <v>38</v>
      </c>
    </row>
    <row r="46" spans="1:37" hidden="1" x14ac:dyDescent="0.25">
      <c r="A46" t="str">
        <f t="shared" si="0"/>
        <v>2019_NSW_Greenethorpe_Mixed_DetailedTOS3VarietyJumbo2WaterTrtIrrigated</v>
      </c>
      <c r="B46" s="2">
        <v>2019002</v>
      </c>
      <c r="C46" s="3" t="s">
        <v>36</v>
      </c>
      <c r="D46" s="3" t="s">
        <v>37</v>
      </c>
      <c r="E46" s="3" t="s">
        <v>38</v>
      </c>
      <c r="F46" s="3" t="s">
        <v>4176</v>
      </c>
      <c r="G46" s="3" t="s">
        <v>43</v>
      </c>
      <c r="I46" s="2">
        <v>45</v>
      </c>
      <c r="J46" s="2">
        <v>45</v>
      </c>
      <c r="K46" s="2">
        <v>2</v>
      </c>
      <c r="O46" s="2">
        <v>4</v>
      </c>
      <c r="P46" s="2">
        <v>12</v>
      </c>
      <c r="W46" s="2">
        <v>9</v>
      </c>
      <c r="X46" s="2">
        <v>4</v>
      </c>
      <c r="Z46" s="2">
        <v>40</v>
      </c>
      <c r="AA46" s="3" t="s">
        <v>57</v>
      </c>
      <c r="AG46" s="2">
        <v>3</v>
      </c>
      <c r="AH46" s="3" t="s">
        <v>41</v>
      </c>
      <c r="AI46" s="4">
        <v>43627</v>
      </c>
      <c r="AJ46" s="3" t="s">
        <v>90</v>
      </c>
      <c r="AK46" s="3" t="s">
        <v>38</v>
      </c>
    </row>
    <row r="47" spans="1:37" hidden="1" x14ac:dyDescent="0.25">
      <c r="A47" t="str">
        <f t="shared" si="0"/>
        <v>2019_NSW_Greenethorpe_Mixed_DetailedTOS3VarietyAceWaterTrtIrrigated</v>
      </c>
      <c r="B47" s="2">
        <v>2019002</v>
      </c>
      <c r="C47" s="3" t="s">
        <v>36</v>
      </c>
      <c r="D47" s="3" t="s">
        <v>37</v>
      </c>
      <c r="E47" s="3" t="s">
        <v>38</v>
      </c>
      <c r="F47" s="3" t="s">
        <v>4175</v>
      </c>
      <c r="G47" s="3" t="s">
        <v>39</v>
      </c>
      <c r="I47" s="2">
        <v>46</v>
      </c>
      <c r="J47" s="2">
        <v>46</v>
      </c>
      <c r="K47" s="2">
        <v>2</v>
      </c>
      <c r="O47" s="2">
        <v>4</v>
      </c>
      <c r="P47" s="2">
        <v>12</v>
      </c>
      <c r="W47" s="2">
        <v>10</v>
      </c>
      <c r="X47" s="2">
        <v>4</v>
      </c>
      <c r="Z47" s="2">
        <v>39</v>
      </c>
      <c r="AA47" s="3" t="s">
        <v>57</v>
      </c>
      <c r="AG47" s="2">
        <v>3</v>
      </c>
      <c r="AH47" s="3" t="s">
        <v>41</v>
      </c>
      <c r="AI47" s="4">
        <v>43627</v>
      </c>
      <c r="AJ47" s="3" t="s">
        <v>91</v>
      </c>
      <c r="AK47" s="3" t="s">
        <v>38</v>
      </c>
    </row>
    <row r="48" spans="1:37" hidden="1" x14ac:dyDescent="0.25">
      <c r="A48" t="str">
        <f t="shared" si="0"/>
        <v>2019_NSW_Greenethorpe_Mixed_DetailedTOS3VarietyJumbo2WaterTrtIrrigated</v>
      </c>
      <c r="B48" s="2">
        <v>2019002</v>
      </c>
      <c r="C48" s="3" t="s">
        <v>36</v>
      </c>
      <c r="D48" s="3" t="s">
        <v>37</v>
      </c>
      <c r="E48" s="3" t="s">
        <v>38</v>
      </c>
      <c r="F48" s="3" t="s">
        <v>4176</v>
      </c>
      <c r="G48" s="3" t="s">
        <v>43</v>
      </c>
      <c r="I48" s="2">
        <v>47</v>
      </c>
      <c r="J48" s="2">
        <v>47</v>
      </c>
      <c r="K48" s="2">
        <v>2</v>
      </c>
      <c r="O48" s="2">
        <v>4</v>
      </c>
      <c r="P48" s="2">
        <v>12</v>
      </c>
      <c r="W48" s="2">
        <v>11</v>
      </c>
      <c r="X48" s="2">
        <v>4</v>
      </c>
      <c r="Z48" s="2">
        <v>38</v>
      </c>
      <c r="AA48" s="3" t="s">
        <v>57</v>
      </c>
      <c r="AG48" s="2">
        <v>3</v>
      </c>
      <c r="AH48" s="3" t="s">
        <v>41</v>
      </c>
      <c r="AI48" s="4">
        <v>43627</v>
      </c>
      <c r="AJ48" s="3" t="s">
        <v>92</v>
      </c>
      <c r="AK48" s="3" t="s">
        <v>38</v>
      </c>
    </row>
    <row r="49" spans="1:37" hidden="1" x14ac:dyDescent="0.25">
      <c r="A49" t="str">
        <f t="shared" si="0"/>
        <v>2019_NSW_Greenethorpe_Mixed_DetailedTOS3VarietyBlitzWaterTrtIrrigated</v>
      </c>
      <c r="B49" s="2">
        <v>2019002</v>
      </c>
      <c r="C49" s="3" t="s">
        <v>36</v>
      </c>
      <c r="D49" s="3" t="s">
        <v>37</v>
      </c>
      <c r="E49" s="3" t="s">
        <v>38</v>
      </c>
      <c r="F49" s="3" t="s">
        <v>4177</v>
      </c>
      <c r="G49" s="3" t="s">
        <v>39</v>
      </c>
      <c r="I49" s="2">
        <v>48</v>
      </c>
      <c r="J49" s="2">
        <v>48</v>
      </c>
      <c r="K49" s="2">
        <v>2</v>
      </c>
      <c r="O49" s="2">
        <v>4</v>
      </c>
      <c r="P49" s="2">
        <v>12</v>
      </c>
      <c r="W49" s="2">
        <v>12</v>
      </c>
      <c r="X49" s="2">
        <v>4</v>
      </c>
      <c r="Z49" s="2">
        <v>37</v>
      </c>
      <c r="AA49" s="3" t="s">
        <v>57</v>
      </c>
      <c r="AG49" s="2">
        <v>3</v>
      </c>
      <c r="AH49" s="3" t="s">
        <v>41</v>
      </c>
      <c r="AI49" s="4">
        <v>43627</v>
      </c>
      <c r="AJ49" s="3" t="s">
        <v>93</v>
      </c>
      <c r="AK49" s="3" t="s">
        <v>38</v>
      </c>
    </row>
    <row r="50" spans="1:37" hidden="1" x14ac:dyDescent="0.25">
      <c r="A50" t="str">
        <f t="shared" si="0"/>
        <v>2019_NSW_Greenethorpe_Mixed_DetailedTOS3VarietyJumbo2WaterTrtIrrigated</v>
      </c>
      <c r="B50" s="2">
        <v>2019002</v>
      </c>
      <c r="C50" s="3" t="s">
        <v>36</v>
      </c>
      <c r="D50" s="3" t="s">
        <v>37</v>
      </c>
      <c r="E50" s="3" t="s">
        <v>38</v>
      </c>
      <c r="F50" s="3" t="s">
        <v>4176</v>
      </c>
      <c r="G50" s="3" t="s">
        <v>43</v>
      </c>
      <c r="I50" s="2">
        <v>49</v>
      </c>
      <c r="J50" s="2">
        <v>49</v>
      </c>
      <c r="K50" s="2">
        <v>3</v>
      </c>
      <c r="O50" s="2">
        <v>5</v>
      </c>
      <c r="P50" s="2">
        <v>13</v>
      </c>
      <c r="W50" s="2">
        <v>1</v>
      </c>
      <c r="X50" s="2">
        <v>5</v>
      </c>
      <c r="Z50" s="2">
        <v>49</v>
      </c>
      <c r="AA50" s="3" t="s">
        <v>57</v>
      </c>
      <c r="AG50" s="2">
        <v>3</v>
      </c>
      <c r="AH50" s="3" t="s">
        <v>41</v>
      </c>
      <c r="AI50" s="4">
        <v>43627</v>
      </c>
      <c r="AJ50" s="3" t="s">
        <v>94</v>
      </c>
      <c r="AK50" s="3" t="s">
        <v>38</v>
      </c>
    </row>
    <row r="51" spans="1:37" hidden="1" x14ac:dyDescent="0.25">
      <c r="A51" t="str">
        <f t="shared" si="0"/>
        <v>2019_NSW_Greenethorpe_Mixed_DetailedTOS3VarietyJumbo2WaterTrtIrrigated</v>
      </c>
      <c r="B51" s="2">
        <v>2019002</v>
      </c>
      <c r="C51" s="3" t="s">
        <v>36</v>
      </c>
      <c r="D51" s="3" t="s">
        <v>37</v>
      </c>
      <c r="E51" s="3" t="s">
        <v>38</v>
      </c>
      <c r="F51" s="3" t="s">
        <v>4176</v>
      </c>
      <c r="G51" s="3" t="s">
        <v>43</v>
      </c>
      <c r="I51" s="2">
        <v>50</v>
      </c>
      <c r="J51" s="2">
        <v>50</v>
      </c>
      <c r="K51" s="2">
        <v>3</v>
      </c>
      <c r="O51" s="2">
        <v>5</v>
      </c>
      <c r="P51" s="2">
        <v>13</v>
      </c>
      <c r="W51" s="2">
        <v>2</v>
      </c>
      <c r="X51" s="2">
        <v>5</v>
      </c>
      <c r="Z51" s="2">
        <v>50</v>
      </c>
      <c r="AA51" s="3" t="s">
        <v>57</v>
      </c>
      <c r="AG51" s="2">
        <v>3</v>
      </c>
      <c r="AH51" s="3" t="s">
        <v>41</v>
      </c>
      <c r="AI51" s="4">
        <v>43627</v>
      </c>
      <c r="AJ51" s="3" t="s">
        <v>95</v>
      </c>
      <c r="AK51" s="3" t="s">
        <v>38</v>
      </c>
    </row>
    <row r="52" spans="1:37" hidden="1" x14ac:dyDescent="0.25">
      <c r="A52" t="str">
        <f t="shared" si="0"/>
        <v>2019_NSW_Greenethorpe_Mixed_DetailedTOS3VarietyAceWaterTrtIrrigated</v>
      </c>
      <c r="B52" s="2">
        <v>2019002</v>
      </c>
      <c r="C52" s="3" t="s">
        <v>36</v>
      </c>
      <c r="D52" s="3" t="s">
        <v>37</v>
      </c>
      <c r="E52" s="3" t="s">
        <v>38</v>
      </c>
      <c r="F52" s="3" t="s">
        <v>4175</v>
      </c>
      <c r="G52" s="3" t="s">
        <v>39</v>
      </c>
      <c r="I52" s="2">
        <v>51</v>
      </c>
      <c r="J52" s="2">
        <v>51</v>
      </c>
      <c r="K52" s="2">
        <v>3</v>
      </c>
      <c r="O52" s="2">
        <v>5</v>
      </c>
      <c r="P52" s="2">
        <v>13</v>
      </c>
      <c r="W52" s="2">
        <v>3</v>
      </c>
      <c r="X52" s="2">
        <v>5</v>
      </c>
      <c r="Z52" s="2">
        <v>51</v>
      </c>
      <c r="AA52" s="3" t="s">
        <v>57</v>
      </c>
      <c r="AG52" s="2">
        <v>3</v>
      </c>
      <c r="AH52" s="3" t="s">
        <v>41</v>
      </c>
      <c r="AI52" s="4">
        <v>43627</v>
      </c>
      <c r="AJ52" s="3" t="s">
        <v>96</v>
      </c>
      <c r="AK52" s="3" t="s">
        <v>38</v>
      </c>
    </row>
    <row r="53" spans="1:37" hidden="1" x14ac:dyDescent="0.25">
      <c r="A53" t="str">
        <f t="shared" si="0"/>
        <v>2019_NSW_Greenethorpe_Mixed_DetailedTOS3VarietyBlitzWaterTrtIrrigated</v>
      </c>
      <c r="B53" s="2">
        <v>2019002</v>
      </c>
      <c r="C53" s="3" t="s">
        <v>36</v>
      </c>
      <c r="D53" s="3" t="s">
        <v>37</v>
      </c>
      <c r="E53" s="3" t="s">
        <v>38</v>
      </c>
      <c r="F53" s="3" t="s">
        <v>4177</v>
      </c>
      <c r="G53" s="3" t="s">
        <v>39</v>
      </c>
      <c r="I53" s="2">
        <v>52</v>
      </c>
      <c r="J53" s="2">
        <v>52</v>
      </c>
      <c r="K53" s="2">
        <v>3</v>
      </c>
      <c r="O53" s="2">
        <v>5</v>
      </c>
      <c r="P53" s="2">
        <v>13</v>
      </c>
      <c r="W53" s="2">
        <v>4</v>
      </c>
      <c r="X53" s="2">
        <v>5</v>
      </c>
      <c r="Z53" s="2">
        <v>52</v>
      </c>
      <c r="AA53" s="3" t="s">
        <v>57</v>
      </c>
      <c r="AG53" s="2">
        <v>3</v>
      </c>
      <c r="AH53" s="3" t="s">
        <v>41</v>
      </c>
      <c r="AI53" s="4">
        <v>43627</v>
      </c>
      <c r="AJ53" s="3" t="s">
        <v>97</v>
      </c>
      <c r="AK53" s="3" t="s">
        <v>38</v>
      </c>
    </row>
    <row r="54" spans="1:37" hidden="1" x14ac:dyDescent="0.25">
      <c r="A54" t="str">
        <f t="shared" si="0"/>
        <v>2019_NSW_Greenethorpe_Mixed_DetailedTOS1VarietyJumbo2WaterTrtIrrigated</v>
      </c>
      <c r="B54" s="2">
        <v>2019002</v>
      </c>
      <c r="C54" s="3" t="s">
        <v>36</v>
      </c>
      <c r="D54" s="3" t="s">
        <v>37</v>
      </c>
      <c r="E54" s="3" t="s">
        <v>38</v>
      </c>
      <c r="F54" s="3" t="s">
        <v>4176</v>
      </c>
      <c r="G54" s="3" t="s">
        <v>43</v>
      </c>
      <c r="I54" s="2">
        <v>53</v>
      </c>
      <c r="J54" s="2">
        <v>53</v>
      </c>
      <c r="K54" s="2">
        <v>3</v>
      </c>
      <c r="O54" s="2">
        <v>5</v>
      </c>
      <c r="P54" s="2">
        <v>14</v>
      </c>
      <c r="W54" s="2">
        <v>5</v>
      </c>
      <c r="X54" s="2">
        <v>5</v>
      </c>
      <c r="Z54" s="2">
        <v>53</v>
      </c>
      <c r="AA54" s="3" t="s">
        <v>57</v>
      </c>
      <c r="AG54" s="2">
        <v>1</v>
      </c>
      <c r="AH54" s="3" t="s">
        <v>47</v>
      </c>
      <c r="AI54" s="4">
        <v>43585</v>
      </c>
      <c r="AJ54" s="3" t="s">
        <v>98</v>
      </c>
      <c r="AK54" s="3" t="s">
        <v>38</v>
      </c>
    </row>
    <row r="55" spans="1:37" hidden="1" x14ac:dyDescent="0.25">
      <c r="A55" t="str">
        <f t="shared" si="0"/>
        <v>2019_NSW_Greenethorpe_Mixed_DetailedTOS1VarietyJumbo2WaterTrtIrrigated</v>
      </c>
      <c r="B55" s="2">
        <v>2019002</v>
      </c>
      <c r="C55" s="3" t="s">
        <v>36</v>
      </c>
      <c r="D55" s="3" t="s">
        <v>37</v>
      </c>
      <c r="E55" s="3" t="s">
        <v>38</v>
      </c>
      <c r="F55" s="3" t="s">
        <v>4176</v>
      </c>
      <c r="G55" s="3" t="s">
        <v>43</v>
      </c>
      <c r="I55" s="2">
        <v>54</v>
      </c>
      <c r="J55" s="2">
        <v>54</v>
      </c>
      <c r="K55" s="2">
        <v>3</v>
      </c>
      <c r="O55" s="2">
        <v>5</v>
      </c>
      <c r="P55" s="2">
        <v>14</v>
      </c>
      <c r="W55" s="2">
        <v>6</v>
      </c>
      <c r="X55" s="2">
        <v>5</v>
      </c>
      <c r="Z55" s="2">
        <v>54</v>
      </c>
      <c r="AA55" s="3" t="s">
        <v>57</v>
      </c>
      <c r="AG55" s="2">
        <v>1</v>
      </c>
      <c r="AH55" s="3" t="s">
        <v>47</v>
      </c>
      <c r="AI55" s="4">
        <v>43585</v>
      </c>
      <c r="AJ55" s="3" t="s">
        <v>99</v>
      </c>
      <c r="AK55" s="3" t="s">
        <v>38</v>
      </c>
    </row>
    <row r="56" spans="1:37" hidden="1" x14ac:dyDescent="0.25">
      <c r="A56" t="str">
        <f t="shared" si="0"/>
        <v>2019_NSW_Greenethorpe_Mixed_DetailedTOS1VarietyBlitzWaterTrtIrrigated</v>
      </c>
      <c r="B56" s="2">
        <v>2019002</v>
      </c>
      <c r="C56" s="3" t="s">
        <v>36</v>
      </c>
      <c r="D56" s="3" t="s">
        <v>37</v>
      </c>
      <c r="E56" s="3" t="s">
        <v>38</v>
      </c>
      <c r="F56" s="3" t="s">
        <v>4177</v>
      </c>
      <c r="G56" s="3" t="s">
        <v>39</v>
      </c>
      <c r="I56" s="2">
        <v>55</v>
      </c>
      <c r="J56" s="2">
        <v>55</v>
      </c>
      <c r="K56" s="2">
        <v>3</v>
      </c>
      <c r="O56" s="2">
        <v>5</v>
      </c>
      <c r="P56" s="2">
        <v>14</v>
      </c>
      <c r="W56" s="2">
        <v>7</v>
      </c>
      <c r="X56" s="2">
        <v>5</v>
      </c>
      <c r="Z56" s="2">
        <v>55</v>
      </c>
      <c r="AA56" s="3" t="s">
        <v>57</v>
      </c>
      <c r="AG56" s="2">
        <v>1</v>
      </c>
      <c r="AH56" s="3" t="s">
        <v>47</v>
      </c>
      <c r="AI56" s="4">
        <v>43585</v>
      </c>
      <c r="AJ56" s="3" t="s">
        <v>100</v>
      </c>
      <c r="AK56" s="3" t="s">
        <v>38</v>
      </c>
    </row>
    <row r="57" spans="1:37" hidden="1" x14ac:dyDescent="0.25">
      <c r="A57" t="str">
        <f t="shared" si="0"/>
        <v>2019_NSW_Greenethorpe_Mixed_DetailedTOS1VarietyAceWaterTrtIrrigated</v>
      </c>
      <c r="B57" s="2">
        <v>2019002</v>
      </c>
      <c r="C57" s="3" t="s">
        <v>36</v>
      </c>
      <c r="D57" s="3" t="s">
        <v>37</v>
      </c>
      <c r="E57" s="3" t="s">
        <v>38</v>
      </c>
      <c r="F57" s="3" t="s">
        <v>4175</v>
      </c>
      <c r="G57" s="3" t="s">
        <v>39</v>
      </c>
      <c r="I57" s="2">
        <v>56</v>
      </c>
      <c r="J57" s="2">
        <v>56</v>
      </c>
      <c r="K57" s="2">
        <v>3</v>
      </c>
      <c r="O57" s="2">
        <v>5</v>
      </c>
      <c r="P57" s="2">
        <v>14</v>
      </c>
      <c r="W57" s="2">
        <v>8</v>
      </c>
      <c r="X57" s="2">
        <v>5</v>
      </c>
      <c r="Z57" s="2">
        <v>56</v>
      </c>
      <c r="AA57" s="3" t="s">
        <v>57</v>
      </c>
      <c r="AG57" s="2">
        <v>1</v>
      </c>
      <c r="AH57" s="3" t="s">
        <v>47</v>
      </c>
      <c r="AI57" s="4">
        <v>43585</v>
      </c>
      <c r="AJ57" s="3" t="s">
        <v>101</v>
      </c>
      <c r="AK57" s="3" t="s">
        <v>38</v>
      </c>
    </row>
    <row r="58" spans="1:37" hidden="1" x14ac:dyDescent="0.25">
      <c r="A58" t="str">
        <f t="shared" si="0"/>
        <v>2019_NSW_Greenethorpe_Mixed_DetailedTOS2VarietyAceWaterTrtIrrigated</v>
      </c>
      <c r="B58" s="2">
        <v>2019002</v>
      </c>
      <c r="C58" s="3" t="s">
        <v>36</v>
      </c>
      <c r="D58" s="3" t="s">
        <v>37</v>
      </c>
      <c r="E58" s="3" t="s">
        <v>38</v>
      </c>
      <c r="F58" s="3" t="s">
        <v>4175</v>
      </c>
      <c r="G58" s="3" t="s">
        <v>39</v>
      </c>
      <c r="I58" s="2">
        <v>57</v>
      </c>
      <c r="J58" s="2">
        <v>57</v>
      </c>
      <c r="K58" s="2">
        <v>3</v>
      </c>
      <c r="O58" s="2">
        <v>5</v>
      </c>
      <c r="P58" s="2">
        <v>15</v>
      </c>
      <c r="W58" s="2">
        <v>9</v>
      </c>
      <c r="X58" s="2">
        <v>5</v>
      </c>
      <c r="Z58" s="2">
        <v>57</v>
      </c>
      <c r="AA58" s="3" t="s">
        <v>57</v>
      </c>
      <c r="AG58" s="2">
        <v>2</v>
      </c>
      <c r="AH58" s="3" t="s">
        <v>52</v>
      </c>
      <c r="AI58" s="4">
        <v>43606</v>
      </c>
      <c r="AJ58" s="3" t="s">
        <v>102</v>
      </c>
      <c r="AK58" s="3" t="s">
        <v>38</v>
      </c>
    </row>
    <row r="59" spans="1:37" hidden="1" x14ac:dyDescent="0.25">
      <c r="A59" t="str">
        <f t="shared" si="0"/>
        <v>2019_NSW_Greenethorpe_Mixed_DetailedTOS2VarietyJumbo2WaterTrtIrrigated</v>
      </c>
      <c r="B59" s="2">
        <v>2019002</v>
      </c>
      <c r="C59" s="3" t="s">
        <v>36</v>
      </c>
      <c r="D59" s="3" t="s">
        <v>37</v>
      </c>
      <c r="E59" s="3" t="s">
        <v>38</v>
      </c>
      <c r="F59" s="3" t="s">
        <v>4176</v>
      </c>
      <c r="G59" s="3" t="s">
        <v>43</v>
      </c>
      <c r="I59" s="2">
        <v>58</v>
      </c>
      <c r="J59" s="2">
        <v>58</v>
      </c>
      <c r="K59" s="2">
        <v>3</v>
      </c>
      <c r="O59" s="2">
        <v>5</v>
      </c>
      <c r="P59" s="2">
        <v>15</v>
      </c>
      <c r="W59" s="2">
        <v>10</v>
      </c>
      <c r="X59" s="2">
        <v>5</v>
      </c>
      <c r="Z59" s="2">
        <v>58</v>
      </c>
      <c r="AA59" s="3" t="s">
        <v>57</v>
      </c>
      <c r="AG59" s="2">
        <v>2</v>
      </c>
      <c r="AH59" s="3" t="s">
        <v>52</v>
      </c>
      <c r="AI59" s="4">
        <v>43606</v>
      </c>
      <c r="AJ59" s="3" t="s">
        <v>103</v>
      </c>
      <c r="AK59" s="3" t="s">
        <v>38</v>
      </c>
    </row>
    <row r="60" spans="1:37" hidden="1" x14ac:dyDescent="0.25">
      <c r="A60" t="str">
        <f t="shared" si="0"/>
        <v>2019_NSW_Greenethorpe_Mixed_DetailedTOS2VarietyJumbo2WaterTrtIrrigated</v>
      </c>
      <c r="B60" s="2">
        <v>2019002</v>
      </c>
      <c r="C60" s="3" t="s">
        <v>36</v>
      </c>
      <c r="D60" s="3" t="s">
        <v>37</v>
      </c>
      <c r="E60" s="3" t="s">
        <v>38</v>
      </c>
      <c r="F60" s="3" t="s">
        <v>4176</v>
      </c>
      <c r="G60" s="3" t="s">
        <v>43</v>
      </c>
      <c r="I60" s="2">
        <v>59</v>
      </c>
      <c r="J60" s="2">
        <v>59</v>
      </c>
      <c r="K60" s="2">
        <v>3</v>
      </c>
      <c r="O60" s="2">
        <v>5</v>
      </c>
      <c r="P60" s="2">
        <v>15</v>
      </c>
      <c r="W60" s="2">
        <v>11</v>
      </c>
      <c r="X60" s="2">
        <v>5</v>
      </c>
      <c r="Z60" s="2">
        <v>59</v>
      </c>
      <c r="AA60" s="3" t="s">
        <v>57</v>
      </c>
      <c r="AG60" s="2">
        <v>2</v>
      </c>
      <c r="AH60" s="3" t="s">
        <v>52</v>
      </c>
      <c r="AI60" s="4">
        <v>43606</v>
      </c>
      <c r="AJ60" s="3" t="s">
        <v>104</v>
      </c>
      <c r="AK60" s="3" t="s">
        <v>38</v>
      </c>
    </row>
    <row r="61" spans="1:37" hidden="1" x14ac:dyDescent="0.25">
      <c r="A61" t="str">
        <f t="shared" si="0"/>
        <v>2019_NSW_Greenethorpe_Mixed_DetailedTOS2VarietyBlitzWaterTrtIrrigated</v>
      </c>
      <c r="B61" s="2">
        <v>2019002</v>
      </c>
      <c r="C61" s="3" t="s">
        <v>36</v>
      </c>
      <c r="D61" s="3" t="s">
        <v>37</v>
      </c>
      <c r="E61" s="3" t="s">
        <v>38</v>
      </c>
      <c r="F61" s="3" t="s">
        <v>4177</v>
      </c>
      <c r="G61" s="3" t="s">
        <v>39</v>
      </c>
      <c r="I61" s="2">
        <v>60</v>
      </c>
      <c r="J61" s="2">
        <v>60</v>
      </c>
      <c r="K61" s="2">
        <v>3</v>
      </c>
      <c r="O61" s="2">
        <v>5</v>
      </c>
      <c r="P61" s="2">
        <v>15</v>
      </c>
      <c r="W61" s="2">
        <v>12</v>
      </c>
      <c r="X61" s="2">
        <v>5</v>
      </c>
      <c r="Z61" s="2">
        <v>60</v>
      </c>
      <c r="AA61" s="3" t="s">
        <v>57</v>
      </c>
      <c r="AG61" s="2">
        <v>2</v>
      </c>
      <c r="AH61" s="3" t="s">
        <v>52</v>
      </c>
      <c r="AI61" s="4">
        <v>43606</v>
      </c>
      <c r="AJ61" s="3" t="s">
        <v>105</v>
      </c>
      <c r="AK61" s="3" t="s">
        <v>38</v>
      </c>
    </row>
    <row r="62" spans="1:37" hidden="1" x14ac:dyDescent="0.25">
      <c r="A62" t="str">
        <f t="shared" si="0"/>
        <v>2019_NSW_Greenethorpe_Mixed_DetailedTOS2VarietyAceWaterTrtRainFed</v>
      </c>
      <c r="B62" s="2">
        <v>2019002</v>
      </c>
      <c r="C62" s="3" t="s">
        <v>36</v>
      </c>
      <c r="D62" s="3" t="s">
        <v>37</v>
      </c>
      <c r="E62" s="3" t="s">
        <v>38</v>
      </c>
      <c r="F62" s="3" t="s">
        <v>4175</v>
      </c>
      <c r="G62" s="3" t="s">
        <v>39</v>
      </c>
      <c r="I62" s="2">
        <v>61</v>
      </c>
      <c r="J62" s="2">
        <v>61</v>
      </c>
      <c r="K62" s="2">
        <v>3</v>
      </c>
      <c r="O62" s="2">
        <v>6</v>
      </c>
      <c r="P62" s="2">
        <v>16</v>
      </c>
      <c r="W62" s="2">
        <v>1</v>
      </c>
      <c r="X62" s="2">
        <v>6</v>
      </c>
      <c r="Z62" s="2">
        <v>72</v>
      </c>
      <c r="AA62" s="3" t="s">
        <v>40</v>
      </c>
      <c r="AG62" s="2">
        <v>2</v>
      </c>
      <c r="AH62" s="3" t="s">
        <v>52</v>
      </c>
      <c r="AI62" s="4">
        <v>43606</v>
      </c>
      <c r="AJ62" s="3" t="s">
        <v>106</v>
      </c>
      <c r="AK62" s="3" t="s">
        <v>38</v>
      </c>
    </row>
    <row r="63" spans="1:37" hidden="1" x14ac:dyDescent="0.25">
      <c r="A63" t="str">
        <f t="shared" si="0"/>
        <v>2019_NSW_Greenethorpe_Mixed_DetailedTOS2VarietyBlitzWaterTrtRainFed</v>
      </c>
      <c r="B63" s="2">
        <v>2019002</v>
      </c>
      <c r="C63" s="3" t="s">
        <v>36</v>
      </c>
      <c r="D63" s="3" t="s">
        <v>37</v>
      </c>
      <c r="E63" s="3" t="s">
        <v>38</v>
      </c>
      <c r="F63" s="3" t="s">
        <v>4177</v>
      </c>
      <c r="G63" s="3" t="s">
        <v>39</v>
      </c>
      <c r="I63" s="2">
        <v>62</v>
      </c>
      <c r="J63" s="2">
        <v>62</v>
      </c>
      <c r="K63" s="2">
        <v>3</v>
      </c>
      <c r="O63" s="2">
        <v>6</v>
      </c>
      <c r="P63" s="2">
        <v>16</v>
      </c>
      <c r="W63" s="2">
        <v>2</v>
      </c>
      <c r="X63" s="2">
        <v>6</v>
      </c>
      <c r="Z63" s="2">
        <v>71</v>
      </c>
      <c r="AA63" s="3" t="s">
        <v>40</v>
      </c>
      <c r="AG63" s="2">
        <v>2</v>
      </c>
      <c r="AH63" s="3" t="s">
        <v>52</v>
      </c>
      <c r="AI63" s="4">
        <v>43606</v>
      </c>
      <c r="AJ63" s="3" t="s">
        <v>107</v>
      </c>
      <c r="AK63" s="3" t="s">
        <v>38</v>
      </c>
    </row>
    <row r="64" spans="1:37" hidden="1" x14ac:dyDescent="0.25">
      <c r="A64" t="str">
        <f t="shared" si="0"/>
        <v>2019_NSW_Greenethorpe_Mixed_DetailedTOS2VarietyJumbo2WaterTrtRainFed</v>
      </c>
      <c r="B64" s="2">
        <v>2019002</v>
      </c>
      <c r="C64" s="3" t="s">
        <v>36</v>
      </c>
      <c r="D64" s="3" t="s">
        <v>37</v>
      </c>
      <c r="E64" s="3" t="s">
        <v>38</v>
      </c>
      <c r="F64" s="3" t="s">
        <v>4176</v>
      </c>
      <c r="G64" s="3" t="s">
        <v>43</v>
      </c>
      <c r="I64" s="2">
        <v>63</v>
      </c>
      <c r="J64" s="2">
        <v>63</v>
      </c>
      <c r="K64" s="2">
        <v>3</v>
      </c>
      <c r="O64" s="2">
        <v>6</v>
      </c>
      <c r="P64" s="2">
        <v>16</v>
      </c>
      <c r="W64" s="2">
        <v>3</v>
      </c>
      <c r="X64" s="2">
        <v>6</v>
      </c>
      <c r="Z64" s="2">
        <v>70</v>
      </c>
      <c r="AA64" s="3" t="s">
        <v>40</v>
      </c>
      <c r="AG64" s="2">
        <v>2</v>
      </c>
      <c r="AH64" s="3" t="s">
        <v>52</v>
      </c>
      <c r="AI64" s="4">
        <v>43606</v>
      </c>
      <c r="AJ64" s="3" t="s">
        <v>108</v>
      </c>
      <c r="AK64" s="3" t="s">
        <v>38</v>
      </c>
    </row>
    <row r="65" spans="1:37" hidden="1" x14ac:dyDescent="0.25">
      <c r="A65" t="str">
        <f t="shared" si="0"/>
        <v>2019_NSW_Greenethorpe_Mixed_DetailedTOS2VarietyJumbo2WaterTrtRainFed</v>
      </c>
      <c r="B65" s="2">
        <v>2019002</v>
      </c>
      <c r="C65" s="3" t="s">
        <v>36</v>
      </c>
      <c r="D65" s="3" t="s">
        <v>37</v>
      </c>
      <c r="E65" s="3" t="s">
        <v>38</v>
      </c>
      <c r="F65" s="3" t="s">
        <v>4176</v>
      </c>
      <c r="G65" s="3" t="s">
        <v>43</v>
      </c>
      <c r="I65" s="2">
        <v>64</v>
      </c>
      <c r="J65" s="2">
        <v>64</v>
      </c>
      <c r="K65" s="2">
        <v>3</v>
      </c>
      <c r="O65" s="2">
        <v>6</v>
      </c>
      <c r="P65" s="2">
        <v>16</v>
      </c>
      <c r="W65" s="2">
        <v>4</v>
      </c>
      <c r="X65" s="2">
        <v>6</v>
      </c>
      <c r="Z65" s="2">
        <v>69</v>
      </c>
      <c r="AA65" s="3" t="s">
        <v>40</v>
      </c>
      <c r="AG65" s="2">
        <v>2</v>
      </c>
      <c r="AH65" s="3" t="s">
        <v>52</v>
      </c>
      <c r="AI65" s="4">
        <v>43606</v>
      </c>
      <c r="AJ65" s="3" t="s">
        <v>109</v>
      </c>
      <c r="AK65" s="3" t="s">
        <v>38</v>
      </c>
    </row>
    <row r="66" spans="1:37" hidden="1" x14ac:dyDescent="0.25">
      <c r="A66" t="str">
        <f t="shared" si="0"/>
        <v>2019_NSW_Greenethorpe_Mixed_DetailedTOS3VarietyBlitzWaterTrtRainFed</v>
      </c>
      <c r="B66" s="2">
        <v>2019002</v>
      </c>
      <c r="C66" s="3" t="s">
        <v>36</v>
      </c>
      <c r="D66" s="3" t="s">
        <v>37</v>
      </c>
      <c r="E66" s="3" t="s">
        <v>38</v>
      </c>
      <c r="F66" s="3" t="s">
        <v>4177</v>
      </c>
      <c r="G66" s="3" t="s">
        <v>39</v>
      </c>
      <c r="I66" s="2">
        <v>65</v>
      </c>
      <c r="J66" s="2">
        <v>65</v>
      </c>
      <c r="K66" s="2">
        <v>3</v>
      </c>
      <c r="O66" s="2">
        <v>6</v>
      </c>
      <c r="P66" s="2">
        <v>17</v>
      </c>
      <c r="W66" s="2">
        <v>5</v>
      </c>
      <c r="X66" s="2">
        <v>6</v>
      </c>
      <c r="Z66" s="2">
        <v>68</v>
      </c>
      <c r="AA66" s="3" t="s">
        <v>40</v>
      </c>
      <c r="AG66" s="2">
        <v>3</v>
      </c>
      <c r="AH66" s="3" t="s">
        <v>41</v>
      </c>
      <c r="AI66" s="4">
        <v>43627</v>
      </c>
      <c r="AJ66" s="3" t="s">
        <v>110</v>
      </c>
      <c r="AK66" s="3" t="s">
        <v>38</v>
      </c>
    </row>
    <row r="67" spans="1:37" hidden="1" x14ac:dyDescent="0.25">
      <c r="A67" t="str">
        <f t="shared" ref="A67:A130" si="1">C67&amp;"TOS"&amp;AG67&amp;"Variety"&amp;F67&amp;"WaterTrt"&amp;AA67&amp;IF(AC67="","","Agronomy"&amp;AC67)</f>
        <v>2019_NSW_Greenethorpe_Mixed_DetailedTOS3VarietyAceWaterTrtRainFed</v>
      </c>
      <c r="B67" s="2">
        <v>2019002</v>
      </c>
      <c r="C67" s="3" t="s">
        <v>36</v>
      </c>
      <c r="D67" s="3" t="s">
        <v>37</v>
      </c>
      <c r="E67" s="3" t="s">
        <v>38</v>
      </c>
      <c r="F67" s="3" t="s">
        <v>4175</v>
      </c>
      <c r="G67" s="3" t="s">
        <v>39</v>
      </c>
      <c r="I67" s="2">
        <v>66</v>
      </c>
      <c r="J67" s="2">
        <v>66</v>
      </c>
      <c r="K67" s="2">
        <v>3</v>
      </c>
      <c r="O67" s="2">
        <v>6</v>
      </c>
      <c r="P67" s="2">
        <v>17</v>
      </c>
      <c r="W67" s="2">
        <v>6</v>
      </c>
      <c r="X67" s="2">
        <v>6</v>
      </c>
      <c r="Z67" s="2">
        <v>67</v>
      </c>
      <c r="AA67" s="3" t="s">
        <v>40</v>
      </c>
      <c r="AG67" s="2">
        <v>3</v>
      </c>
      <c r="AH67" s="3" t="s">
        <v>41</v>
      </c>
      <c r="AI67" s="4">
        <v>43627</v>
      </c>
      <c r="AJ67" s="3" t="s">
        <v>111</v>
      </c>
      <c r="AK67" s="3" t="s">
        <v>38</v>
      </c>
    </row>
    <row r="68" spans="1:37" hidden="1" x14ac:dyDescent="0.25">
      <c r="A68" t="str">
        <f t="shared" si="1"/>
        <v>2019_NSW_Greenethorpe_Mixed_DetailedTOS3VarietyJumbo2WaterTrtRainFed</v>
      </c>
      <c r="B68" s="2">
        <v>2019002</v>
      </c>
      <c r="C68" s="3" t="s">
        <v>36</v>
      </c>
      <c r="D68" s="3" t="s">
        <v>37</v>
      </c>
      <c r="E68" s="3" t="s">
        <v>38</v>
      </c>
      <c r="F68" s="3" t="s">
        <v>4176</v>
      </c>
      <c r="G68" s="3" t="s">
        <v>43</v>
      </c>
      <c r="I68" s="2">
        <v>67</v>
      </c>
      <c r="J68" s="2">
        <v>67</v>
      </c>
      <c r="K68" s="2">
        <v>3</v>
      </c>
      <c r="O68" s="2">
        <v>6</v>
      </c>
      <c r="P68" s="2">
        <v>17</v>
      </c>
      <c r="W68" s="2">
        <v>7</v>
      </c>
      <c r="X68" s="2">
        <v>6</v>
      </c>
      <c r="Z68" s="2">
        <v>66</v>
      </c>
      <c r="AA68" s="3" t="s">
        <v>40</v>
      </c>
      <c r="AG68" s="2">
        <v>3</v>
      </c>
      <c r="AH68" s="3" t="s">
        <v>41</v>
      </c>
      <c r="AI68" s="4">
        <v>43627</v>
      </c>
      <c r="AJ68" s="3" t="s">
        <v>112</v>
      </c>
      <c r="AK68" s="3" t="s">
        <v>38</v>
      </c>
    </row>
    <row r="69" spans="1:37" hidden="1" x14ac:dyDescent="0.25">
      <c r="A69" t="str">
        <f t="shared" si="1"/>
        <v>2019_NSW_Greenethorpe_Mixed_DetailedTOS3VarietyJumbo2WaterTrtRainFed</v>
      </c>
      <c r="B69" s="2">
        <v>2019002</v>
      </c>
      <c r="C69" s="3" t="s">
        <v>36</v>
      </c>
      <c r="D69" s="3" t="s">
        <v>37</v>
      </c>
      <c r="E69" s="3" t="s">
        <v>38</v>
      </c>
      <c r="F69" s="3" t="s">
        <v>4176</v>
      </c>
      <c r="G69" s="3" t="s">
        <v>43</v>
      </c>
      <c r="I69" s="2">
        <v>68</v>
      </c>
      <c r="J69" s="2">
        <v>68</v>
      </c>
      <c r="K69" s="2">
        <v>3</v>
      </c>
      <c r="O69" s="2">
        <v>6</v>
      </c>
      <c r="P69" s="2">
        <v>17</v>
      </c>
      <c r="W69" s="2">
        <v>8</v>
      </c>
      <c r="X69" s="2">
        <v>6</v>
      </c>
      <c r="Z69" s="2">
        <v>65</v>
      </c>
      <c r="AA69" s="3" t="s">
        <v>40</v>
      </c>
      <c r="AG69" s="2">
        <v>3</v>
      </c>
      <c r="AH69" s="3" t="s">
        <v>41</v>
      </c>
      <c r="AI69" s="4">
        <v>43627</v>
      </c>
      <c r="AJ69" s="3" t="s">
        <v>113</v>
      </c>
      <c r="AK69" s="3" t="s">
        <v>38</v>
      </c>
    </row>
    <row r="70" spans="1:37" hidden="1" x14ac:dyDescent="0.25">
      <c r="A70" t="str">
        <f t="shared" si="1"/>
        <v>2019_NSW_Greenethorpe_Mixed_DetailedTOS1VarietyJumbo2WaterTrtRainFed</v>
      </c>
      <c r="B70" s="2">
        <v>2019002</v>
      </c>
      <c r="C70" s="3" t="s">
        <v>36</v>
      </c>
      <c r="D70" s="3" t="s">
        <v>37</v>
      </c>
      <c r="E70" s="3" t="s">
        <v>38</v>
      </c>
      <c r="F70" s="3" t="s">
        <v>4176</v>
      </c>
      <c r="G70" s="3" t="s">
        <v>43</v>
      </c>
      <c r="I70" s="2">
        <v>69</v>
      </c>
      <c r="J70" s="2">
        <v>69</v>
      </c>
      <c r="K70" s="2">
        <v>3</v>
      </c>
      <c r="O70" s="2">
        <v>6</v>
      </c>
      <c r="P70" s="2">
        <v>18</v>
      </c>
      <c r="W70" s="2">
        <v>9</v>
      </c>
      <c r="X70" s="2">
        <v>6</v>
      </c>
      <c r="Z70" s="2">
        <v>64</v>
      </c>
      <c r="AA70" s="3" t="s">
        <v>40</v>
      </c>
      <c r="AG70" s="2">
        <v>1</v>
      </c>
      <c r="AH70" s="3" t="s">
        <v>47</v>
      </c>
      <c r="AI70" s="4">
        <v>43585</v>
      </c>
      <c r="AJ70" s="3" t="s">
        <v>114</v>
      </c>
      <c r="AK70" s="3" t="s">
        <v>38</v>
      </c>
    </row>
    <row r="71" spans="1:37" hidden="1" x14ac:dyDescent="0.25">
      <c r="A71" t="str">
        <f t="shared" si="1"/>
        <v>2019_NSW_Greenethorpe_Mixed_DetailedTOS1VarietyAceWaterTrtRainFed</v>
      </c>
      <c r="B71" s="2">
        <v>2019002</v>
      </c>
      <c r="C71" s="3" t="s">
        <v>36</v>
      </c>
      <c r="D71" s="3" t="s">
        <v>37</v>
      </c>
      <c r="E71" s="3" t="s">
        <v>38</v>
      </c>
      <c r="F71" s="3" t="s">
        <v>4175</v>
      </c>
      <c r="G71" s="3" t="s">
        <v>39</v>
      </c>
      <c r="I71" s="2">
        <v>70</v>
      </c>
      <c r="J71" s="2">
        <v>70</v>
      </c>
      <c r="K71" s="2">
        <v>3</v>
      </c>
      <c r="O71" s="2">
        <v>6</v>
      </c>
      <c r="P71" s="2">
        <v>18</v>
      </c>
      <c r="W71" s="2">
        <v>10</v>
      </c>
      <c r="X71" s="2">
        <v>6</v>
      </c>
      <c r="Z71" s="2">
        <v>63</v>
      </c>
      <c r="AA71" s="3" t="s">
        <v>40</v>
      </c>
      <c r="AG71" s="2">
        <v>1</v>
      </c>
      <c r="AH71" s="3" t="s">
        <v>47</v>
      </c>
      <c r="AI71" s="4">
        <v>43585</v>
      </c>
      <c r="AJ71" s="3" t="s">
        <v>115</v>
      </c>
      <c r="AK71" s="3" t="s">
        <v>38</v>
      </c>
    </row>
    <row r="72" spans="1:37" hidden="1" x14ac:dyDescent="0.25">
      <c r="A72" t="str">
        <f t="shared" si="1"/>
        <v>2019_NSW_Greenethorpe_Mixed_DetailedTOS1VarietyBlitzWaterTrtRainFed</v>
      </c>
      <c r="B72" s="2">
        <v>2019002</v>
      </c>
      <c r="C72" s="3" t="s">
        <v>36</v>
      </c>
      <c r="D72" s="3" t="s">
        <v>37</v>
      </c>
      <c r="E72" s="3" t="s">
        <v>38</v>
      </c>
      <c r="F72" s="3" t="s">
        <v>4177</v>
      </c>
      <c r="G72" s="3" t="s">
        <v>39</v>
      </c>
      <c r="I72" s="2">
        <v>71</v>
      </c>
      <c r="J72" s="2">
        <v>71</v>
      </c>
      <c r="K72" s="2">
        <v>3</v>
      </c>
      <c r="O72" s="2">
        <v>6</v>
      </c>
      <c r="P72" s="2">
        <v>18</v>
      </c>
      <c r="W72" s="2">
        <v>11</v>
      </c>
      <c r="X72" s="2">
        <v>6</v>
      </c>
      <c r="Z72" s="2">
        <v>62</v>
      </c>
      <c r="AA72" s="3" t="s">
        <v>40</v>
      </c>
      <c r="AG72" s="2">
        <v>1</v>
      </c>
      <c r="AH72" s="3" t="s">
        <v>47</v>
      </c>
      <c r="AI72" s="4">
        <v>43585</v>
      </c>
      <c r="AJ72" s="3" t="s">
        <v>116</v>
      </c>
      <c r="AK72" s="3" t="s">
        <v>38</v>
      </c>
    </row>
    <row r="73" spans="1:37" hidden="1" x14ac:dyDescent="0.25">
      <c r="A73" t="str">
        <f t="shared" si="1"/>
        <v>2019_NSW_Greenethorpe_Mixed_DetailedTOS1VarietyJumbo2WaterTrtRainFed</v>
      </c>
      <c r="B73" s="2">
        <v>2019002</v>
      </c>
      <c r="C73" s="3" t="s">
        <v>36</v>
      </c>
      <c r="D73" s="3" t="s">
        <v>37</v>
      </c>
      <c r="E73" s="3" t="s">
        <v>38</v>
      </c>
      <c r="F73" s="3" t="s">
        <v>4176</v>
      </c>
      <c r="G73" s="3" t="s">
        <v>43</v>
      </c>
      <c r="I73" s="2">
        <v>72</v>
      </c>
      <c r="J73" s="2">
        <v>72</v>
      </c>
      <c r="K73" s="2">
        <v>3</v>
      </c>
      <c r="O73" s="2">
        <v>6</v>
      </c>
      <c r="P73" s="2">
        <v>18</v>
      </c>
      <c r="W73" s="2">
        <v>12</v>
      </c>
      <c r="X73" s="2">
        <v>6</v>
      </c>
      <c r="Z73" s="2">
        <v>61</v>
      </c>
      <c r="AA73" s="3" t="s">
        <v>40</v>
      </c>
      <c r="AG73" s="2">
        <v>1</v>
      </c>
      <c r="AH73" s="3" t="s">
        <v>47</v>
      </c>
      <c r="AI73" s="4">
        <v>43585</v>
      </c>
      <c r="AJ73" s="3" t="s">
        <v>117</v>
      </c>
      <c r="AK73" s="3" t="s">
        <v>38</v>
      </c>
    </row>
    <row r="74" spans="1:37" hidden="1" x14ac:dyDescent="0.25">
      <c r="A74" t="str">
        <f t="shared" si="1"/>
        <v>2019_NSW_Greenethorpe_Mixed_DetailedTOS1VarietyHatTrickWaterTrtRainFed</v>
      </c>
      <c r="B74" s="2">
        <v>2019002</v>
      </c>
      <c r="C74" s="3" t="s">
        <v>36</v>
      </c>
      <c r="D74" s="3" t="s">
        <v>37</v>
      </c>
      <c r="E74" s="3" t="s">
        <v>118</v>
      </c>
      <c r="F74" s="3" t="s">
        <v>4178</v>
      </c>
      <c r="G74" s="3" t="s">
        <v>39</v>
      </c>
      <c r="I74" s="2">
        <v>101</v>
      </c>
      <c r="J74" s="2">
        <v>101</v>
      </c>
      <c r="K74" s="2">
        <v>1</v>
      </c>
      <c r="O74" s="2">
        <v>1</v>
      </c>
      <c r="P74" s="2">
        <v>1</v>
      </c>
      <c r="W74" s="2">
        <v>1</v>
      </c>
      <c r="X74" s="2">
        <v>1</v>
      </c>
      <c r="Z74" s="2">
        <v>101</v>
      </c>
      <c r="AA74" s="3" t="s">
        <v>40</v>
      </c>
      <c r="AG74" s="2">
        <v>1</v>
      </c>
      <c r="AH74" s="3" t="s">
        <v>47</v>
      </c>
      <c r="AI74" s="4">
        <v>43585</v>
      </c>
      <c r="AJ74" s="3" t="s">
        <v>119</v>
      </c>
      <c r="AK74" s="3" t="s">
        <v>118</v>
      </c>
    </row>
    <row r="75" spans="1:37" hidden="1" x14ac:dyDescent="0.25">
      <c r="A75" t="str">
        <f t="shared" si="1"/>
        <v>2019_NSW_Greenethorpe_Mixed_DetailedTOS1VarietyStrikerWaterTrtRainFed</v>
      </c>
      <c r="B75" s="2">
        <v>2019002</v>
      </c>
      <c r="C75" s="3" t="s">
        <v>36</v>
      </c>
      <c r="D75" s="3" t="s">
        <v>37</v>
      </c>
      <c r="E75" s="3" t="s">
        <v>118</v>
      </c>
      <c r="F75" s="3" t="s">
        <v>4179</v>
      </c>
      <c r="G75" s="3" t="s">
        <v>43</v>
      </c>
      <c r="I75" s="2">
        <v>102</v>
      </c>
      <c r="J75" s="2">
        <v>102</v>
      </c>
      <c r="K75" s="2">
        <v>1</v>
      </c>
      <c r="O75" s="2">
        <v>1</v>
      </c>
      <c r="P75" s="2">
        <v>1</v>
      </c>
      <c r="W75" s="2">
        <v>2</v>
      </c>
      <c r="X75" s="2">
        <v>1</v>
      </c>
      <c r="Z75" s="2">
        <v>102</v>
      </c>
      <c r="AA75" s="3" t="s">
        <v>40</v>
      </c>
      <c r="AG75" s="2">
        <v>1</v>
      </c>
      <c r="AH75" s="3" t="s">
        <v>47</v>
      </c>
      <c r="AI75" s="4">
        <v>43585</v>
      </c>
      <c r="AJ75" s="3" t="s">
        <v>120</v>
      </c>
      <c r="AK75" s="3" t="s">
        <v>118</v>
      </c>
    </row>
    <row r="76" spans="1:37" hidden="1" x14ac:dyDescent="0.25">
      <c r="A76" t="str">
        <f t="shared" si="1"/>
        <v>2019_NSW_Greenethorpe_Mixed_DetailedTOS1VarietyHatTrickWaterTrtRainFed</v>
      </c>
      <c r="B76" s="2">
        <v>2019002</v>
      </c>
      <c r="C76" s="3" t="s">
        <v>36</v>
      </c>
      <c r="D76" s="3" t="s">
        <v>37</v>
      </c>
      <c r="E76" s="3" t="s">
        <v>118</v>
      </c>
      <c r="F76" s="3" t="s">
        <v>4178</v>
      </c>
      <c r="G76" s="3" t="s">
        <v>39</v>
      </c>
      <c r="I76" s="2">
        <v>103</v>
      </c>
      <c r="J76" s="2">
        <v>103</v>
      </c>
      <c r="K76" s="2">
        <v>1</v>
      </c>
      <c r="O76" s="2">
        <v>1</v>
      </c>
      <c r="P76" s="2">
        <v>1</v>
      </c>
      <c r="W76" s="2">
        <v>3</v>
      </c>
      <c r="X76" s="2">
        <v>1</v>
      </c>
      <c r="Z76" s="2">
        <v>103</v>
      </c>
      <c r="AA76" s="3" t="s">
        <v>40</v>
      </c>
      <c r="AG76" s="2">
        <v>1</v>
      </c>
      <c r="AH76" s="3" t="s">
        <v>47</v>
      </c>
      <c r="AI76" s="4">
        <v>43585</v>
      </c>
      <c r="AJ76" s="3" t="s">
        <v>121</v>
      </c>
      <c r="AK76" s="3" t="s">
        <v>118</v>
      </c>
    </row>
    <row r="77" spans="1:37" hidden="1" x14ac:dyDescent="0.25">
      <c r="A77" t="str">
        <f t="shared" si="1"/>
        <v>2019_NSW_Greenethorpe_Mixed_DetailedTOS1VarietySlasherWaterTrtRainFed</v>
      </c>
      <c r="B77" s="2">
        <v>2019002</v>
      </c>
      <c r="C77" s="3" t="s">
        <v>36</v>
      </c>
      <c r="D77" s="3" t="s">
        <v>37</v>
      </c>
      <c r="E77" s="3" t="s">
        <v>118</v>
      </c>
      <c r="F77" s="3" t="s">
        <v>4180</v>
      </c>
      <c r="G77" s="3" t="s">
        <v>39</v>
      </c>
      <c r="I77" s="2">
        <v>104</v>
      </c>
      <c r="J77" s="2">
        <v>104</v>
      </c>
      <c r="K77" s="2">
        <v>1</v>
      </c>
      <c r="O77" s="2">
        <v>1</v>
      </c>
      <c r="P77" s="2">
        <v>1</v>
      </c>
      <c r="W77" s="2">
        <v>4</v>
      </c>
      <c r="X77" s="2">
        <v>1</v>
      </c>
      <c r="Z77" s="2">
        <v>104</v>
      </c>
      <c r="AA77" s="3" t="s">
        <v>40</v>
      </c>
      <c r="AG77" s="2">
        <v>1</v>
      </c>
      <c r="AH77" s="3" t="s">
        <v>47</v>
      </c>
      <c r="AI77" s="4">
        <v>43585</v>
      </c>
      <c r="AJ77" s="3" t="s">
        <v>122</v>
      </c>
      <c r="AK77" s="3" t="s">
        <v>118</v>
      </c>
    </row>
    <row r="78" spans="1:37" hidden="1" x14ac:dyDescent="0.25">
      <c r="A78" t="str">
        <f t="shared" si="1"/>
        <v>2019_NSW_Greenethorpe_Mixed_DetailedTOS2VarietyHatTrickWaterTrtRainFed</v>
      </c>
      <c r="B78" s="2">
        <v>2019002</v>
      </c>
      <c r="C78" s="3" t="s">
        <v>36</v>
      </c>
      <c r="D78" s="3" t="s">
        <v>37</v>
      </c>
      <c r="E78" s="3" t="s">
        <v>118</v>
      </c>
      <c r="F78" s="3" t="s">
        <v>4178</v>
      </c>
      <c r="G78" s="3" t="s">
        <v>39</v>
      </c>
      <c r="I78" s="2">
        <v>105</v>
      </c>
      <c r="J78" s="2">
        <v>105</v>
      </c>
      <c r="K78" s="2">
        <v>1</v>
      </c>
      <c r="O78" s="2">
        <v>1</v>
      </c>
      <c r="P78" s="2">
        <v>2</v>
      </c>
      <c r="W78" s="2">
        <v>5</v>
      </c>
      <c r="X78" s="2">
        <v>1</v>
      </c>
      <c r="Z78" s="2">
        <v>105</v>
      </c>
      <c r="AA78" s="3" t="s">
        <v>40</v>
      </c>
      <c r="AG78" s="2">
        <v>2</v>
      </c>
      <c r="AH78" s="3" t="s">
        <v>52</v>
      </c>
      <c r="AI78" s="4">
        <v>43606</v>
      </c>
      <c r="AJ78" s="3" t="s">
        <v>123</v>
      </c>
      <c r="AK78" s="3" t="s">
        <v>118</v>
      </c>
    </row>
    <row r="79" spans="1:37" hidden="1" x14ac:dyDescent="0.25">
      <c r="A79" t="str">
        <f t="shared" si="1"/>
        <v>2019_NSW_Greenethorpe_Mixed_DetailedTOS2VarietyStrikerWaterTrtRainFed</v>
      </c>
      <c r="B79" s="2">
        <v>2019002</v>
      </c>
      <c r="C79" s="3" t="s">
        <v>36</v>
      </c>
      <c r="D79" s="3" t="s">
        <v>37</v>
      </c>
      <c r="E79" s="3" t="s">
        <v>118</v>
      </c>
      <c r="F79" s="3" t="s">
        <v>4179</v>
      </c>
      <c r="G79" s="3" t="s">
        <v>43</v>
      </c>
      <c r="I79" s="2">
        <v>106</v>
      </c>
      <c r="J79" s="2">
        <v>106</v>
      </c>
      <c r="K79" s="2">
        <v>1</v>
      </c>
      <c r="O79" s="2">
        <v>1</v>
      </c>
      <c r="P79" s="2">
        <v>2</v>
      </c>
      <c r="W79" s="2">
        <v>6</v>
      </c>
      <c r="X79" s="2">
        <v>1</v>
      </c>
      <c r="Z79" s="2">
        <v>106</v>
      </c>
      <c r="AA79" s="3" t="s">
        <v>40</v>
      </c>
      <c r="AG79" s="2">
        <v>2</v>
      </c>
      <c r="AH79" s="3" t="s">
        <v>52</v>
      </c>
      <c r="AI79" s="4">
        <v>43606</v>
      </c>
      <c r="AJ79" s="3" t="s">
        <v>124</v>
      </c>
      <c r="AK79" s="3" t="s">
        <v>118</v>
      </c>
    </row>
    <row r="80" spans="1:37" hidden="1" x14ac:dyDescent="0.25">
      <c r="A80" t="str">
        <f t="shared" si="1"/>
        <v>2019_NSW_Greenethorpe_Mixed_DetailedTOS2VarietySlasherWaterTrtRainFed</v>
      </c>
      <c r="B80" s="2">
        <v>2019002</v>
      </c>
      <c r="C80" s="3" t="s">
        <v>36</v>
      </c>
      <c r="D80" s="3" t="s">
        <v>37</v>
      </c>
      <c r="E80" s="3" t="s">
        <v>118</v>
      </c>
      <c r="F80" s="3" t="s">
        <v>4180</v>
      </c>
      <c r="G80" s="3" t="s">
        <v>39</v>
      </c>
      <c r="I80" s="2">
        <v>107</v>
      </c>
      <c r="J80" s="2">
        <v>107</v>
      </c>
      <c r="K80" s="2">
        <v>1</v>
      </c>
      <c r="O80" s="2">
        <v>1</v>
      </c>
      <c r="P80" s="2">
        <v>2</v>
      </c>
      <c r="W80" s="2">
        <v>7</v>
      </c>
      <c r="X80" s="2">
        <v>1</v>
      </c>
      <c r="Z80" s="2">
        <v>107</v>
      </c>
      <c r="AA80" s="3" t="s">
        <v>40</v>
      </c>
      <c r="AG80" s="2">
        <v>2</v>
      </c>
      <c r="AH80" s="3" t="s">
        <v>52</v>
      </c>
      <c r="AI80" s="4">
        <v>43606</v>
      </c>
      <c r="AJ80" s="3" t="s">
        <v>125</v>
      </c>
      <c r="AK80" s="3" t="s">
        <v>118</v>
      </c>
    </row>
    <row r="81" spans="1:37" hidden="1" x14ac:dyDescent="0.25">
      <c r="A81" t="str">
        <f t="shared" si="1"/>
        <v>2019_NSW_Greenethorpe_Mixed_DetailedTOS2VarietyHatTrickWaterTrtRainFed</v>
      </c>
      <c r="B81" s="2">
        <v>2019002</v>
      </c>
      <c r="C81" s="3" t="s">
        <v>36</v>
      </c>
      <c r="D81" s="3" t="s">
        <v>37</v>
      </c>
      <c r="E81" s="3" t="s">
        <v>118</v>
      </c>
      <c r="F81" s="3" t="s">
        <v>4178</v>
      </c>
      <c r="G81" s="3" t="s">
        <v>39</v>
      </c>
      <c r="I81" s="2">
        <v>108</v>
      </c>
      <c r="J81" s="2">
        <v>108</v>
      </c>
      <c r="K81" s="2">
        <v>1</v>
      </c>
      <c r="O81" s="2">
        <v>1</v>
      </c>
      <c r="P81" s="2">
        <v>2</v>
      </c>
      <c r="W81" s="2">
        <v>8</v>
      </c>
      <c r="X81" s="2">
        <v>1</v>
      </c>
      <c r="Z81" s="2">
        <v>108</v>
      </c>
      <c r="AA81" s="3" t="s">
        <v>40</v>
      </c>
      <c r="AG81" s="2">
        <v>2</v>
      </c>
      <c r="AH81" s="3" t="s">
        <v>52</v>
      </c>
      <c r="AI81" s="4">
        <v>43606</v>
      </c>
      <c r="AJ81" s="3" t="s">
        <v>126</v>
      </c>
      <c r="AK81" s="3" t="s">
        <v>118</v>
      </c>
    </row>
    <row r="82" spans="1:37" hidden="1" x14ac:dyDescent="0.25">
      <c r="A82" t="str">
        <f t="shared" si="1"/>
        <v>2019_NSW_Greenethorpe_Mixed_DetailedTOS3VarietyStrikerWaterTrtRainFed</v>
      </c>
      <c r="B82" s="2">
        <v>2019002</v>
      </c>
      <c r="C82" s="3" t="s">
        <v>36</v>
      </c>
      <c r="D82" s="3" t="s">
        <v>37</v>
      </c>
      <c r="E82" s="3" t="s">
        <v>118</v>
      </c>
      <c r="F82" s="3" t="s">
        <v>4179</v>
      </c>
      <c r="G82" s="3" t="s">
        <v>43</v>
      </c>
      <c r="I82" s="2">
        <v>109</v>
      </c>
      <c r="J82" s="2">
        <v>109</v>
      </c>
      <c r="K82" s="2">
        <v>1</v>
      </c>
      <c r="O82" s="2">
        <v>1</v>
      </c>
      <c r="P82" s="2">
        <v>3</v>
      </c>
      <c r="W82" s="2">
        <v>9</v>
      </c>
      <c r="X82" s="2">
        <v>1</v>
      </c>
      <c r="Z82" s="2">
        <v>109</v>
      </c>
      <c r="AA82" s="3" t="s">
        <v>40</v>
      </c>
      <c r="AG82" s="2">
        <v>3</v>
      </c>
      <c r="AH82" s="3" t="s">
        <v>41</v>
      </c>
      <c r="AI82" s="4">
        <v>43627</v>
      </c>
      <c r="AJ82" s="3" t="s">
        <v>127</v>
      </c>
      <c r="AK82" s="3" t="s">
        <v>118</v>
      </c>
    </row>
    <row r="83" spans="1:37" hidden="1" x14ac:dyDescent="0.25">
      <c r="A83" t="str">
        <f t="shared" si="1"/>
        <v>2019_NSW_Greenethorpe_Mixed_DetailedTOS3VarietyHatTrickWaterTrtRainFed</v>
      </c>
      <c r="B83" s="2">
        <v>2019002</v>
      </c>
      <c r="C83" s="3" t="s">
        <v>36</v>
      </c>
      <c r="D83" s="3" t="s">
        <v>37</v>
      </c>
      <c r="E83" s="3" t="s">
        <v>118</v>
      </c>
      <c r="F83" s="3" t="s">
        <v>4178</v>
      </c>
      <c r="G83" s="3" t="s">
        <v>39</v>
      </c>
      <c r="I83" s="2">
        <v>110</v>
      </c>
      <c r="J83" s="2">
        <v>110</v>
      </c>
      <c r="K83" s="2">
        <v>1</v>
      </c>
      <c r="O83" s="2">
        <v>1</v>
      </c>
      <c r="P83" s="2">
        <v>3</v>
      </c>
      <c r="W83" s="2">
        <v>10</v>
      </c>
      <c r="X83" s="2">
        <v>1</v>
      </c>
      <c r="Z83" s="2">
        <v>110</v>
      </c>
      <c r="AA83" s="3" t="s">
        <v>40</v>
      </c>
      <c r="AG83" s="2">
        <v>3</v>
      </c>
      <c r="AH83" s="3" t="s">
        <v>41</v>
      </c>
      <c r="AI83" s="4">
        <v>43627</v>
      </c>
      <c r="AJ83" s="3" t="s">
        <v>128</v>
      </c>
      <c r="AK83" s="3" t="s">
        <v>118</v>
      </c>
    </row>
    <row r="84" spans="1:37" hidden="1" x14ac:dyDescent="0.25">
      <c r="A84" t="str">
        <f t="shared" si="1"/>
        <v>2019_NSW_Greenethorpe_Mixed_DetailedTOS3VarietyHatTrickWaterTrtRainFed</v>
      </c>
      <c r="B84" s="2">
        <v>2019002</v>
      </c>
      <c r="C84" s="3" t="s">
        <v>36</v>
      </c>
      <c r="D84" s="3" t="s">
        <v>37</v>
      </c>
      <c r="E84" s="3" t="s">
        <v>118</v>
      </c>
      <c r="F84" s="3" t="s">
        <v>4178</v>
      </c>
      <c r="G84" s="3" t="s">
        <v>39</v>
      </c>
      <c r="I84" s="2">
        <v>111</v>
      </c>
      <c r="J84" s="2">
        <v>111</v>
      </c>
      <c r="K84" s="2">
        <v>1</v>
      </c>
      <c r="O84" s="2">
        <v>1</v>
      </c>
      <c r="P84" s="2">
        <v>3</v>
      </c>
      <c r="W84" s="2">
        <v>11</v>
      </c>
      <c r="X84" s="2">
        <v>1</v>
      </c>
      <c r="Z84" s="2">
        <v>111</v>
      </c>
      <c r="AA84" s="3" t="s">
        <v>40</v>
      </c>
      <c r="AG84" s="2">
        <v>3</v>
      </c>
      <c r="AH84" s="3" t="s">
        <v>41</v>
      </c>
      <c r="AI84" s="4">
        <v>43627</v>
      </c>
      <c r="AJ84" s="3" t="s">
        <v>129</v>
      </c>
      <c r="AK84" s="3" t="s">
        <v>118</v>
      </c>
    </row>
    <row r="85" spans="1:37" hidden="1" x14ac:dyDescent="0.25">
      <c r="A85" t="str">
        <f t="shared" si="1"/>
        <v>2019_NSW_Greenethorpe_Mixed_DetailedTOS3VarietySlasherWaterTrtRainFed</v>
      </c>
      <c r="B85" s="2">
        <v>2019002</v>
      </c>
      <c r="C85" s="3" t="s">
        <v>36</v>
      </c>
      <c r="D85" s="3" t="s">
        <v>37</v>
      </c>
      <c r="E85" s="3" t="s">
        <v>118</v>
      </c>
      <c r="F85" s="3" t="s">
        <v>4180</v>
      </c>
      <c r="G85" s="3" t="s">
        <v>39</v>
      </c>
      <c r="I85" s="2">
        <v>112</v>
      </c>
      <c r="J85" s="2">
        <v>112</v>
      </c>
      <c r="K85" s="2">
        <v>1</v>
      </c>
      <c r="O85" s="2">
        <v>1</v>
      </c>
      <c r="P85" s="2">
        <v>3</v>
      </c>
      <c r="W85" s="2">
        <v>12</v>
      </c>
      <c r="X85" s="2">
        <v>1</v>
      </c>
      <c r="Z85" s="2">
        <v>112</v>
      </c>
      <c r="AA85" s="3" t="s">
        <v>40</v>
      </c>
      <c r="AG85" s="2">
        <v>3</v>
      </c>
      <c r="AH85" s="3" t="s">
        <v>41</v>
      </c>
      <c r="AI85" s="4">
        <v>43627</v>
      </c>
      <c r="AJ85" s="3" t="s">
        <v>130</v>
      </c>
      <c r="AK85" s="3" t="s">
        <v>118</v>
      </c>
    </row>
    <row r="86" spans="1:37" hidden="1" x14ac:dyDescent="0.25">
      <c r="A86" t="str">
        <f t="shared" si="1"/>
        <v>2019_NSW_Greenethorpe_Mixed_DetailedTOS2VarietyHatTrickWaterTrtIrrigated</v>
      </c>
      <c r="B86" s="2">
        <v>2019002</v>
      </c>
      <c r="C86" s="3" t="s">
        <v>36</v>
      </c>
      <c r="D86" s="3" t="s">
        <v>37</v>
      </c>
      <c r="E86" s="3" t="s">
        <v>118</v>
      </c>
      <c r="F86" s="3" t="s">
        <v>4178</v>
      </c>
      <c r="G86" s="3" t="s">
        <v>39</v>
      </c>
      <c r="I86" s="2">
        <v>113</v>
      </c>
      <c r="J86" s="2">
        <v>113</v>
      </c>
      <c r="K86" s="2">
        <v>1</v>
      </c>
      <c r="O86" s="2">
        <v>2</v>
      </c>
      <c r="P86" s="2">
        <v>4</v>
      </c>
      <c r="W86" s="2">
        <v>1</v>
      </c>
      <c r="X86" s="2">
        <v>2</v>
      </c>
      <c r="Z86" s="2">
        <v>124</v>
      </c>
      <c r="AA86" s="3" t="s">
        <v>57</v>
      </c>
      <c r="AG86" s="2">
        <v>2</v>
      </c>
      <c r="AH86" s="3" t="s">
        <v>52</v>
      </c>
      <c r="AI86" s="4">
        <v>43606</v>
      </c>
      <c r="AJ86" s="3" t="s">
        <v>131</v>
      </c>
      <c r="AK86" s="3" t="s">
        <v>118</v>
      </c>
    </row>
    <row r="87" spans="1:37" hidden="1" x14ac:dyDescent="0.25">
      <c r="A87" t="str">
        <f t="shared" si="1"/>
        <v>2019_NSW_Greenethorpe_Mixed_DetailedTOS2VarietySlasherWaterTrtIrrigated</v>
      </c>
      <c r="B87" s="2">
        <v>2019002</v>
      </c>
      <c r="C87" s="3" t="s">
        <v>36</v>
      </c>
      <c r="D87" s="3" t="s">
        <v>37</v>
      </c>
      <c r="E87" s="3" t="s">
        <v>118</v>
      </c>
      <c r="F87" s="3" t="s">
        <v>4180</v>
      </c>
      <c r="G87" s="3" t="s">
        <v>39</v>
      </c>
      <c r="I87" s="2">
        <v>114</v>
      </c>
      <c r="J87" s="2">
        <v>114</v>
      </c>
      <c r="K87" s="2">
        <v>1</v>
      </c>
      <c r="O87" s="2">
        <v>2</v>
      </c>
      <c r="P87" s="2">
        <v>4</v>
      </c>
      <c r="W87" s="2">
        <v>2</v>
      </c>
      <c r="X87" s="2">
        <v>2</v>
      </c>
      <c r="Z87" s="2">
        <v>123</v>
      </c>
      <c r="AA87" s="3" t="s">
        <v>57</v>
      </c>
      <c r="AG87" s="2">
        <v>2</v>
      </c>
      <c r="AH87" s="3" t="s">
        <v>52</v>
      </c>
      <c r="AI87" s="4">
        <v>43606</v>
      </c>
      <c r="AJ87" s="3" t="s">
        <v>132</v>
      </c>
      <c r="AK87" s="3" t="s">
        <v>118</v>
      </c>
    </row>
    <row r="88" spans="1:37" hidden="1" x14ac:dyDescent="0.25">
      <c r="A88" t="str">
        <f t="shared" si="1"/>
        <v>2019_NSW_Greenethorpe_Mixed_DetailedTOS2VarietyHatTrickWaterTrtIrrigated</v>
      </c>
      <c r="B88" s="2">
        <v>2019002</v>
      </c>
      <c r="C88" s="3" t="s">
        <v>36</v>
      </c>
      <c r="D88" s="3" t="s">
        <v>37</v>
      </c>
      <c r="E88" s="3" t="s">
        <v>118</v>
      </c>
      <c r="F88" s="3" t="s">
        <v>4178</v>
      </c>
      <c r="G88" s="3" t="s">
        <v>39</v>
      </c>
      <c r="I88" s="2">
        <v>115</v>
      </c>
      <c r="J88" s="2">
        <v>115</v>
      </c>
      <c r="K88" s="2">
        <v>1</v>
      </c>
      <c r="O88" s="2">
        <v>2</v>
      </c>
      <c r="P88" s="2">
        <v>4</v>
      </c>
      <c r="W88" s="2">
        <v>3</v>
      </c>
      <c r="X88" s="2">
        <v>2</v>
      </c>
      <c r="Z88" s="2">
        <v>122</v>
      </c>
      <c r="AA88" s="3" t="s">
        <v>57</v>
      </c>
      <c r="AG88" s="2">
        <v>2</v>
      </c>
      <c r="AH88" s="3" t="s">
        <v>52</v>
      </c>
      <c r="AI88" s="4">
        <v>43606</v>
      </c>
      <c r="AJ88" s="3" t="s">
        <v>133</v>
      </c>
      <c r="AK88" s="3" t="s">
        <v>118</v>
      </c>
    </row>
    <row r="89" spans="1:37" hidden="1" x14ac:dyDescent="0.25">
      <c r="A89" t="str">
        <f t="shared" si="1"/>
        <v>2019_NSW_Greenethorpe_Mixed_DetailedTOS2VarietyStrikerWaterTrtIrrigated</v>
      </c>
      <c r="B89" s="2">
        <v>2019002</v>
      </c>
      <c r="C89" s="3" t="s">
        <v>36</v>
      </c>
      <c r="D89" s="3" t="s">
        <v>37</v>
      </c>
      <c r="E89" s="3" t="s">
        <v>118</v>
      </c>
      <c r="F89" s="3" t="s">
        <v>4179</v>
      </c>
      <c r="G89" s="3" t="s">
        <v>43</v>
      </c>
      <c r="I89" s="2">
        <v>116</v>
      </c>
      <c r="J89" s="2">
        <v>116</v>
      </c>
      <c r="K89" s="2">
        <v>1</v>
      </c>
      <c r="O89" s="2">
        <v>2</v>
      </c>
      <c r="P89" s="2">
        <v>4</v>
      </c>
      <c r="W89" s="2">
        <v>4</v>
      </c>
      <c r="X89" s="2">
        <v>2</v>
      </c>
      <c r="Z89" s="2">
        <v>121</v>
      </c>
      <c r="AA89" s="3" t="s">
        <v>57</v>
      </c>
      <c r="AG89" s="2">
        <v>2</v>
      </c>
      <c r="AH89" s="3" t="s">
        <v>52</v>
      </c>
      <c r="AI89" s="4">
        <v>43606</v>
      </c>
      <c r="AJ89" s="3" t="s">
        <v>134</v>
      </c>
      <c r="AK89" s="3" t="s">
        <v>118</v>
      </c>
    </row>
    <row r="90" spans="1:37" hidden="1" x14ac:dyDescent="0.25">
      <c r="A90" t="str">
        <f t="shared" si="1"/>
        <v>2019_NSW_Greenethorpe_Mixed_DetailedTOS3VarietyStrikerWaterTrtIrrigated</v>
      </c>
      <c r="B90" s="2">
        <v>2019002</v>
      </c>
      <c r="C90" s="3" t="s">
        <v>36</v>
      </c>
      <c r="D90" s="3" t="s">
        <v>37</v>
      </c>
      <c r="E90" s="3" t="s">
        <v>118</v>
      </c>
      <c r="F90" s="3" t="s">
        <v>4179</v>
      </c>
      <c r="G90" s="3" t="s">
        <v>43</v>
      </c>
      <c r="I90" s="2">
        <v>117</v>
      </c>
      <c r="J90" s="2">
        <v>117</v>
      </c>
      <c r="K90" s="2">
        <v>1</v>
      </c>
      <c r="O90" s="2">
        <v>2</v>
      </c>
      <c r="P90" s="2">
        <v>5</v>
      </c>
      <c r="W90" s="2">
        <v>5</v>
      </c>
      <c r="X90" s="2">
        <v>2</v>
      </c>
      <c r="Z90" s="2">
        <v>120</v>
      </c>
      <c r="AA90" s="3" t="s">
        <v>57</v>
      </c>
      <c r="AG90" s="2">
        <v>3</v>
      </c>
      <c r="AH90" s="3" t="s">
        <v>41</v>
      </c>
      <c r="AI90" s="4">
        <v>43627</v>
      </c>
      <c r="AJ90" s="3" t="s">
        <v>135</v>
      </c>
      <c r="AK90" s="3" t="s">
        <v>118</v>
      </c>
    </row>
    <row r="91" spans="1:37" hidden="1" x14ac:dyDescent="0.25">
      <c r="A91" t="str">
        <f t="shared" si="1"/>
        <v>2019_NSW_Greenethorpe_Mixed_DetailedTOS3VarietyHatTrickWaterTrtIrrigated</v>
      </c>
      <c r="B91" s="2">
        <v>2019002</v>
      </c>
      <c r="C91" s="3" t="s">
        <v>36</v>
      </c>
      <c r="D91" s="3" t="s">
        <v>37</v>
      </c>
      <c r="E91" s="3" t="s">
        <v>118</v>
      </c>
      <c r="F91" s="3" t="s">
        <v>4178</v>
      </c>
      <c r="G91" s="3" t="s">
        <v>39</v>
      </c>
      <c r="I91" s="2">
        <v>118</v>
      </c>
      <c r="J91" s="2">
        <v>118</v>
      </c>
      <c r="K91" s="2">
        <v>1</v>
      </c>
      <c r="O91" s="2">
        <v>2</v>
      </c>
      <c r="P91" s="2">
        <v>5</v>
      </c>
      <c r="W91" s="2">
        <v>6</v>
      </c>
      <c r="X91" s="2">
        <v>2</v>
      </c>
      <c r="Z91" s="2">
        <v>119</v>
      </c>
      <c r="AA91" s="3" t="s">
        <v>57</v>
      </c>
      <c r="AG91" s="2">
        <v>3</v>
      </c>
      <c r="AH91" s="3" t="s">
        <v>41</v>
      </c>
      <c r="AI91" s="4">
        <v>43627</v>
      </c>
      <c r="AJ91" s="3" t="s">
        <v>136</v>
      </c>
      <c r="AK91" s="3" t="s">
        <v>118</v>
      </c>
    </row>
    <row r="92" spans="1:37" hidden="1" x14ac:dyDescent="0.25">
      <c r="A92" t="str">
        <f t="shared" si="1"/>
        <v>2019_NSW_Greenethorpe_Mixed_DetailedTOS3VarietyHatTrickWaterTrtIrrigated</v>
      </c>
      <c r="B92" s="2">
        <v>2019002</v>
      </c>
      <c r="C92" s="3" t="s">
        <v>36</v>
      </c>
      <c r="D92" s="3" t="s">
        <v>37</v>
      </c>
      <c r="E92" s="3" t="s">
        <v>118</v>
      </c>
      <c r="F92" s="3" t="s">
        <v>4178</v>
      </c>
      <c r="G92" s="3" t="s">
        <v>39</v>
      </c>
      <c r="I92" s="2">
        <v>119</v>
      </c>
      <c r="J92" s="2">
        <v>119</v>
      </c>
      <c r="K92" s="2">
        <v>1</v>
      </c>
      <c r="O92" s="2">
        <v>2</v>
      </c>
      <c r="P92" s="2">
        <v>5</v>
      </c>
      <c r="W92" s="2">
        <v>7</v>
      </c>
      <c r="X92" s="2">
        <v>2</v>
      </c>
      <c r="Z92" s="2">
        <v>118</v>
      </c>
      <c r="AA92" s="3" t="s">
        <v>57</v>
      </c>
      <c r="AG92" s="2">
        <v>3</v>
      </c>
      <c r="AH92" s="3" t="s">
        <v>41</v>
      </c>
      <c r="AI92" s="4">
        <v>43627</v>
      </c>
      <c r="AJ92" s="3" t="s">
        <v>137</v>
      </c>
      <c r="AK92" s="3" t="s">
        <v>118</v>
      </c>
    </row>
    <row r="93" spans="1:37" hidden="1" x14ac:dyDescent="0.25">
      <c r="A93" t="str">
        <f t="shared" si="1"/>
        <v>2019_NSW_Greenethorpe_Mixed_DetailedTOS3VarietySlasherWaterTrtIrrigated</v>
      </c>
      <c r="B93" s="2">
        <v>2019002</v>
      </c>
      <c r="C93" s="3" t="s">
        <v>36</v>
      </c>
      <c r="D93" s="3" t="s">
        <v>37</v>
      </c>
      <c r="E93" s="3" t="s">
        <v>118</v>
      </c>
      <c r="F93" s="3" t="s">
        <v>4180</v>
      </c>
      <c r="G93" s="3" t="s">
        <v>39</v>
      </c>
      <c r="I93" s="2">
        <v>120</v>
      </c>
      <c r="J93" s="2">
        <v>120</v>
      </c>
      <c r="K93" s="2">
        <v>1</v>
      </c>
      <c r="O93" s="2">
        <v>2</v>
      </c>
      <c r="P93" s="2">
        <v>5</v>
      </c>
      <c r="W93" s="2">
        <v>8</v>
      </c>
      <c r="X93" s="2">
        <v>2</v>
      </c>
      <c r="Z93" s="2">
        <v>117</v>
      </c>
      <c r="AA93" s="3" t="s">
        <v>57</v>
      </c>
      <c r="AG93" s="2">
        <v>3</v>
      </c>
      <c r="AH93" s="3" t="s">
        <v>41</v>
      </c>
      <c r="AI93" s="4">
        <v>43627</v>
      </c>
      <c r="AJ93" s="3" t="s">
        <v>138</v>
      </c>
      <c r="AK93" s="3" t="s">
        <v>118</v>
      </c>
    </row>
    <row r="94" spans="1:37" hidden="1" x14ac:dyDescent="0.25">
      <c r="A94" t="str">
        <f t="shared" si="1"/>
        <v>2019_NSW_Greenethorpe_Mixed_DetailedTOS1VarietyHatTrickWaterTrtIrrigated</v>
      </c>
      <c r="B94" s="2">
        <v>2019002</v>
      </c>
      <c r="C94" s="3" t="s">
        <v>36</v>
      </c>
      <c r="D94" s="3" t="s">
        <v>37</v>
      </c>
      <c r="E94" s="3" t="s">
        <v>118</v>
      </c>
      <c r="F94" s="3" t="s">
        <v>4178</v>
      </c>
      <c r="G94" s="3" t="s">
        <v>39</v>
      </c>
      <c r="I94" s="2">
        <v>121</v>
      </c>
      <c r="J94" s="2">
        <v>121</v>
      </c>
      <c r="K94" s="2">
        <v>1</v>
      </c>
      <c r="O94" s="2">
        <v>2</v>
      </c>
      <c r="P94" s="2">
        <v>6</v>
      </c>
      <c r="W94" s="2">
        <v>9</v>
      </c>
      <c r="X94" s="2">
        <v>2</v>
      </c>
      <c r="Z94" s="2">
        <v>116</v>
      </c>
      <c r="AA94" s="3" t="s">
        <v>57</v>
      </c>
      <c r="AG94" s="2">
        <v>1</v>
      </c>
      <c r="AH94" s="3" t="s">
        <v>47</v>
      </c>
      <c r="AI94" s="4">
        <v>43585</v>
      </c>
      <c r="AJ94" s="3" t="s">
        <v>139</v>
      </c>
      <c r="AK94" s="3" t="s">
        <v>118</v>
      </c>
    </row>
    <row r="95" spans="1:37" hidden="1" x14ac:dyDescent="0.25">
      <c r="A95" t="str">
        <f t="shared" si="1"/>
        <v>2019_NSW_Greenethorpe_Mixed_DetailedTOS1VarietySlasherWaterTrtIrrigated</v>
      </c>
      <c r="B95" s="2">
        <v>2019002</v>
      </c>
      <c r="C95" s="3" t="s">
        <v>36</v>
      </c>
      <c r="D95" s="3" t="s">
        <v>37</v>
      </c>
      <c r="E95" s="3" t="s">
        <v>118</v>
      </c>
      <c r="F95" s="3" t="s">
        <v>4180</v>
      </c>
      <c r="G95" s="3" t="s">
        <v>39</v>
      </c>
      <c r="I95" s="2">
        <v>122</v>
      </c>
      <c r="J95" s="2">
        <v>122</v>
      </c>
      <c r="K95" s="2">
        <v>1</v>
      </c>
      <c r="O95" s="2">
        <v>2</v>
      </c>
      <c r="P95" s="2">
        <v>6</v>
      </c>
      <c r="W95" s="2">
        <v>10</v>
      </c>
      <c r="X95" s="2">
        <v>2</v>
      </c>
      <c r="Z95" s="2">
        <v>115</v>
      </c>
      <c r="AA95" s="3" t="s">
        <v>57</v>
      </c>
      <c r="AG95" s="2">
        <v>1</v>
      </c>
      <c r="AH95" s="3" t="s">
        <v>47</v>
      </c>
      <c r="AI95" s="4">
        <v>43585</v>
      </c>
      <c r="AJ95" s="3" t="s">
        <v>140</v>
      </c>
      <c r="AK95" s="3" t="s">
        <v>118</v>
      </c>
    </row>
    <row r="96" spans="1:37" hidden="1" x14ac:dyDescent="0.25">
      <c r="A96" t="str">
        <f t="shared" si="1"/>
        <v>2019_NSW_Greenethorpe_Mixed_DetailedTOS1VarietyStrikerWaterTrtIrrigated</v>
      </c>
      <c r="B96" s="2">
        <v>2019002</v>
      </c>
      <c r="C96" s="3" t="s">
        <v>36</v>
      </c>
      <c r="D96" s="3" t="s">
        <v>37</v>
      </c>
      <c r="E96" s="3" t="s">
        <v>118</v>
      </c>
      <c r="F96" s="3" t="s">
        <v>4179</v>
      </c>
      <c r="G96" s="3" t="s">
        <v>43</v>
      </c>
      <c r="I96" s="2">
        <v>123</v>
      </c>
      <c r="J96" s="2">
        <v>123</v>
      </c>
      <c r="K96" s="2">
        <v>1</v>
      </c>
      <c r="O96" s="2">
        <v>2</v>
      </c>
      <c r="P96" s="2">
        <v>6</v>
      </c>
      <c r="W96" s="2">
        <v>11</v>
      </c>
      <c r="X96" s="2">
        <v>2</v>
      </c>
      <c r="Z96" s="2">
        <v>114</v>
      </c>
      <c r="AA96" s="3" t="s">
        <v>57</v>
      </c>
      <c r="AG96" s="2">
        <v>1</v>
      </c>
      <c r="AH96" s="3" t="s">
        <v>47</v>
      </c>
      <c r="AI96" s="4">
        <v>43585</v>
      </c>
      <c r="AJ96" s="3" t="s">
        <v>141</v>
      </c>
      <c r="AK96" s="3" t="s">
        <v>118</v>
      </c>
    </row>
    <row r="97" spans="1:37" hidden="1" x14ac:dyDescent="0.25">
      <c r="A97" t="str">
        <f t="shared" si="1"/>
        <v>2019_NSW_Greenethorpe_Mixed_DetailedTOS1VarietyHatTrickWaterTrtIrrigated</v>
      </c>
      <c r="B97" s="2">
        <v>2019002</v>
      </c>
      <c r="C97" s="3" t="s">
        <v>36</v>
      </c>
      <c r="D97" s="3" t="s">
        <v>37</v>
      </c>
      <c r="E97" s="3" t="s">
        <v>118</v>
      </c>
      <c r="F97" s="3" t="s">
        <v>4178</v>
      </c>
      <c r="G97" s="3" t="s">
        <v>39</v>
      </c>
      <c r="I97" s="2">
        <v>124</v>
      </c>
      <c r="J97" s="2">
        <v>124</v>
      </c>
      <c r="K97" s="2">
        <v>1</v>
      </c>
      <c r="O97" s="2">
        <v>2</v>
      </c>
      <c r="P97" s="2">
        <v>6</v>
      </c>
      <c r="W97" s="2">
        <v>12</v>
      </c>
      <c r="X97" s="2">
        <v>2</v>
      </c>
      <c r="Z97" s="2">
        <v>113</v>
      </c>
      <c r="AA97" s="3" t="s">
        <v>57</v>
      </c>
      <c r="AG97" s="2">
        <v>1</v>
      </c>
      <c r="AH97" s="3" t="s">
        <v>47</v>
      </c>
      <c r="AI97" s="4">
        <v>43585</v>
      </c>
      <c r="AJ97" s="3" t="s">
        <v>142</v>
      </c>
      <c r="AK97" s="3" t="s">
        <v>118</v>
      </c>
    </row>
    <row r="98" spans="1:37" hidden="1" x14ac:dyDescent="0.25">
      <c r="A98" t="str">
        <f t="shared" si="1"/>
        <v>2019_NSW_Greenethorpe_Mixed_DetailedTOS3VarietySlasherWaterTrtRainFed</v>
      </c>
      <c r="B98" s="2">
        <v>2019002</v>
      </c>
      <c r="C98" s="3" t="s">
        <v>36</v>
      </c>
      <c r="D98" s="3" t="s">
        <v>37</v>
      </c>
      <c r="E98" s="3" t="s">
        <v>118</v>
      </c>
      <c r="F98" s="3" t="s">
        <v>4180</v>
      </c>
      <c r="G98" s="3" t="s">
        <v>39</v>
      </c>
      <c r="I98" s="2">
        <v>125</v>
      </c>
      <c r="J98" s="2">
        <v>125</v>
      </c>
      <c r="K98" s="2">
        <v>2</v>
      </c>
      <c r="O98" s="2">
        <v>3</v>
      </c>
      <c r="P98" s="2">
        <v>7</v>
      </c>
      <c r="W98" s="2">
        <v>1</v>
      </c>
      <c r="X98" s="2">
        <v>3</v>
      </c>
      <c r="Z98" s="2">
        <v>125</v>
      </c>
      <c r="AA98" s="3" t="s">
        <v>40</v>
      </c>
      <c r="AG98" s="2">
        <v>3</v>
      </c>
      <c r="AH98" s="3" t="s">
        <v>41</v>
      </c>
      <c r="AI98" s="4">
        <v>43627</v>
      </c>
      <c r="AJ98" s="3" t="s">
        <v>143</v>
      </c>
      <c r="AK98" s="3" t="s">
        <v>118</v>
      </c>
    </row>
    <row r="99" spans="1:37" hidden="1" x14ac:dyDescent="0.25">
      <c r="A99" t="str">
        <f t="shared" si="1"/>
        <v>2019_NSW_Greenethorpe_Mixed_DetailedTOS3VarietyHatTrickWaterTrtRainFed</v>
      </c>
      <c r="B99" s="2">
        <v>2019002</v>
      </c>
      <c r="C99" s="3" t="s">
        <v>36</v>
      </c>
      <c r="D99" s="3" t="s">
        <v>37</v>
      </c>
      <c r="E99" s="3" t="s">
        <v>118</v>
      </c>
      <c r="F99" s="3" t="s">
        <v>4178</v>
      </c>
      <c r="G99" s="3" t="s">
        <v>39</v>
      </c>
      <c r="I99" s="2">
        <v>126</v>
      </c>
      <c r="J99" s="2">
        <v>126</v>
      </c>
      <c r="K99" s="2">
        <v>2</v>
      </c>
      <c r="O99" s="2">
        <v>3</v>
      </c>
      <c r="P99" s="2">
        <v>7</v>
      </c>
      <c r="W99" s="2">
        <v>2</v>
      </c>
      <c r="X99" s="2">
        <v>3</v>
      </c>
      <c r="Z99" s="2">
        <v>126</v>
      </c>
      <c r="AA99" s="3" t="s">
        <v>40</v>
      </c>
      <c r="AG99" s="2">
        <v>3</v>
      </c>
      <c r="AH99" s="3" t="s">
        <v>41</v>
      </c>
      <c r="AI99" s="4">
        <v>43627</v>
      </c>
      <c r="AJ99" s="3" t="s">
        <v>144</v>
      </c>
      <c r="AK99" s="3" t="s">
        <v>118</v>
      </c>
    </row>
    <row r="100" spans="1:37" hidden="1" x14ac:dyDescent="0.25">
      <c r="A100" t="str">
        <f t="shared" si="1"/>
        <v>2019_NSW_Greenethorpe_Mixed_DetailedTOS3VarietyStrikerWaterTrtRainFed</v>
      </c>
      <c r="B100" s="2">
        <v>2019002</v>
      </c>
      <c r="C100" s="3" t="s">
        <v>36</v>
      </c>
      <c r="D100" s="3" t="s">
        <v>37</v>
      </c>
      <c r="E100" s="3" t="s">
        <v>118</v>
      </c>
      <c r="F100" s="3" t="s">
        <v>4179</v>
      </c>
      <c r="G100" s="3" t="s">
        <v>43</v>
      </c>
      <c r="I100" s="2">
        <v>127</v>
      </c>
      <c r="J100" s="2">
        <v>127</v>
      </c>
      <c r="K100" s="2">
        <v>2</v>
      </c>
      <c r="O100" s="2">
        <v>3</v>
      </c>
      <c r="P100" s="2">
        <v>7</v>
      </c>
      <c r="W100" s="2">
        <v>3</v>
      </c>
      <c r="X100" s="2">
        <v>3</v>
      </c>
      <c r="Z100" s="2">
        <v>127</v>
      </c>
      <c r="AA100" s="3" t="s">
        <v>40</v>
      </c>
      <c r="AG100" s="2">
        <v>3</v>
      </c>
      <c r="AH100" s="3" t="s">
        <v>41</v>
      </c>
      <c r="AI100" s="4">
        <v>43627</v>
      </c>
      <c r="AJ100" s="3" t="s">
        <v>145</v>
      </c>
      <c r="AK100" s="3" t="s">
        <v>118</v>
      </c>
    </row>
    <row r="101" spans="1:37" hidden="1" x14ac:dyDescent="0.25">
      <c r="A101" t="str">
        <f t="shared" si="1"/>
        <v>2019_NSW_Greenethorpe_Mixed_DetailedTOS3VarietyHatTrickWaterTrtRainFed</v>
      </c>
      <c r="B101" s="2">
        <v>2019002</v>
      </c>
      <c r="C101" s="3" t="s">
        <v>36</v>
      </c>
      <c r="D101" s="3" t="s">
        <v>37</v>
      </c>
      <c r="E101" s="3" t="s">
        <v>118</v>
      </c>
      <c r="F101" s="3" t="s">
        <v>4178</v>
      </c>
      <c r="G101" s="3" t="s">
        <v>39</v>
      </c>
      <c r="I101" s="2">
        <v>128</v>
      </c>
      <c r="J101" s="2">
        <v>128</v>
      </c>
      <c r="K101" s="2">
        <v>2</v>
      </c>
      <c r="O101" s="2">
        <v>3</v>
      </c>
      <c r="P101" s="2">
        <v>7</v>
      </c>
      <c r="W101" s="2">
        <v>4</v>
      </c>
      <c r="X101" s="2">
        <v>3</v>
      </c>
      <c r="Z101" s="2">
        <v>128</v>
      </c>
      <c r="AA101" s="3" t="s">
        <v>40</v>
      </c>
      <c r="AG101" s="2">
        <v>3</v>
      </c>
      <c r="AH101" s="3" t="s">
        <v>41</v>
      </c>
      <c r="AI101" s="4">
        <v>43627</v>
      </c>
      <c r="AJ101" s="3" t="s">
        <v>146</v>
      </c>
      <c r="AK101" s="3" t="s">
        <v>118</v>
      </c>
    </row>
    <row r="102" spans="1:37" hidden="1" x14ac:dyDescent="0.25">
      <c r="A102" t="str">
        <f t="shared" si="1"/>
        <v>2019_NSW_Greenethorpe_Mixed_DetailedTOS1VarietyHatTrickWaterTrtRainFed</v>
      </c>
      <c r="B102" s="2">
        <v>2019002</v>
      </c>
      <c r="C102" s="3" t="s">
        <v>36</v>
      </c>
      <c r="D102" s="3" t="s">
        <v>37</v>
      </c>
      <c r="E102" s="3" t="s">
        <v>118</v>
      </c>
      <c r="F102" s="3" t="s">
        <v>4178</v>
      </c>
      <c r="G102" s="3" t="s">
        <v>39</v>
      </c>
      <c r="I102" s="2">
        <v>129</v>
      </c>
      <c r="J102" s="2">
        <v>129</v>
      </c>
      <c r="K102" s="2">
        <v>2</v>
      </c>
      <c r="O102" s="2">
        <v>3</v>
      </c>
      <c r="P102" s="2">
        <v>8</v>
      </c>
      <c r="W102" s="2">
        <v>5</v>
      </c>
      <c r="X102" s="2">
        <v>3</v>
      </c>
      <c r="Z102" s="2">
        <v>129</v>
      </c>
      <c r="AA102" s="3" t="s">
        <v>40</v>
      </c>
      <c r="AG102" s="2">
        <v>1</v>
      </c>
      <c r="AH102" s="3" t="s">
        <v>47</v>
      </c>
      <c r="AI102" s="4">
        <v>43585</v>
      </c>
      <c r="AJ102" s="3" t="s">
        <v>147</v>
      </c>
      <c r="AK102" s="3" t="s">
        <v>118</v>
      </c>
    </row>
    <row r="103" spans="1:37" hidden="1" x14ac:dyDescent="0.25">
      <c r="A103" t="str">
        <f t="shared" si="1"/>
        <v>2019_NSW_Greenethorpe_Mixed_DetailedTOS1VarietySlasherWaterTrtRainFed</v>
      </c>
      <c r="B103" s="2">
        <v>2019002</v>
      </c>
      <c r="C103" s="3" t="s">
        <v>36</v>
      </c>
      <c r="D103" s="3" t="s">
        <v>37</v>
      </c>
      <c r="E103" s="3" t="s">
        <v>118</v>
      </c>
      <c r="F103" s="3" t="s">
        <v>4180</v>
      </c>
      <c r="G103" s="3" t="s">
        <v>39</v>
      </c>
      <c r="I103" s="2">
        <v>130</v>
      </c>
      <c r="J103" s="2">
        <v>130</v>
      </c>
      <c r="K103" s="2">
        <v>2</v>
      </c>
      <c r="O103" s="2">
        <v>3</v>
      </c>
      <c r="P103" s="2">
        <v>8</v>
      </c>
      <c r="W103" s="2">
        <v>6</v>
      </c>
      <c r="X103" s="2">
        <v>3</v>
      </c>
      <c r="Z103" s="2">
        <v>130</v>
      </c>
      <c r="AA103" s="3" t="s">
        <v>40</v>
      </c>
      <c r="AG103" s="2">
        <v>1</v>
      </c>
      <c r="AH103" s="3" t="s">
        <v>47</v>
      </c>
      <c r="AI103" s="4">
        <v>43585</v>
      </c>
      <c r="AJ103" s="3" t="s">
        <v>148</v>
      </c>
      <c r="AK103" s="3" t="s">
        <v>118</v>
      </c>
    </row>
    <row r="104" spans="1:37" hidden="1" x14ac:dyDescent="0.25">
      <c r="A104" t="str">
        <f t="shared" si="1"/>
        <v>2019_NSW_Greenethorpe_Mixed_DetailedTOS1VarietyStrikerWaterTrtRainFed</v>
      </c>
      <c r="B104" s="2">
        <v>2019002</v>
      </c>
      <c r="C104" s="3" t="s">
        <v>36</v>
      </c>
      <c r="D104" s="3" t="s">
        <v>37</v>
      </c>
      <c r="E104" s="3" t="s">
        <v>118</v>
      </c>
      <c r="F104" s="3" t="s">
        <v>4179</v>
      </c>
      <c r="G104" s="3" t="s">
        <v>43</v>
      </c>
      <c r="I104" s="2">
        <v>131</v>
      </c>
      <c r="J104" s="2">
        <v>131</v>
      </c>
      <c r="K104" s="2">
        <v>2</v>
      </c>
      <c r="O104" s="2">
        <v>3</v>
      </c>
      <c r="P104" s="2">
        <v>8</v>
      </c>
      <c r="W104" s="2">
        <v>7</v>
      </c>
      <c r="X104" s="2">
        <v>3</v>
      </c>
      <c r="Z104" s="2">
        <v>131</v>
      </c>
      <c r="AA104" s="3" t="s">
        <v>40</v>
      </c>
      <c r="AG104" s="2">
        <v>1</v>
      </c>
      <c r="AH104" s="3" t="s">
        <v>47</v>
      </c>
      <c r="AI104" s="4">
        <v>43585</v>
      </c>
      <c r="AJ104" s="3" t="s">
        <v>149</v>
      </c>
      <c r="AK104" s="3" t="s">
        <v>118</v>
      </c>
    </row>
    <row r="105" spans="1:37" hidden="1" x14ac:dyDescent="0.25">
      <c r="A105" t="str">
        <f t="shared" si="1"/>
        <v>2019_NSW_Greenethorpe_Mixed_DetailedTOS1VarietyHatTrickWaterTrtRainFed</v>
      </c>
      <c r="B105" s="2">
        <v>2019002</v>
      </c>
      <c r="C105" s="3" t="s">
        <v>36</v>
      </c>
      <c r="D105" s="3" t="s">
        <v>37</v>
      </c>
      <c r="E105" s="3" t="s">
        <v>118</v>
      </c>
      <c r="F105" s="3" t="s">
        <v>4178</v>
      </c>
      <c r="G105" s="3" t="s">
        <v>39</v>
      </c>
      <c r="I105" s="2">
        <v>132</v>
      </c>
      <c r="J105" s="2">
        <v>132</v>
      </c>
      <c r="K105" s="2">
        <v>2</v>
      </c>
      <c r="O105" s="2">
        <v>3</v>
      </c>
      <c r="P105" s="2">
        <v>8</v>
      </c>
      <c r="W105" s="2">
        <v>8</v>
      </c>
      <c r="X105" s="2">
        <v>3</v>
      </c>
      <c r="Z105" s="2">
        <v>132</v>
      </c>
      <c r="AA105" s="3" t="s">
        <v>40</v>
      </c>
      <c r="AG105" s="2">
        <v>1</v>
      </c>
      <c r="AH105" s="3" t="s">
        <v>47</v>
      </c>
      <c r="AI105" s="4">
        <v>43585</v>
      </c>
      <c r="AJ105" s="3" t="s">
        <v>150</v>
      </c>
      <c r="AK105" s="3" t="s">
        <v>118</v>
      </c>
    </row>
    <row r="106" spans="1:37" hidden="1" x14ac:dyDescent="0.25">
      <c r="A106" t="str">
        <f t="shared" si="1"/>
        <v>2019_NSW_Greenethorpe_Mixed_DetailedTOS2VarietySlasherWaterTrtRainFed</v>
      </c>
      <c r="B106" s="2">
        <v>2019002</v>
      </c>
      <c r="C106" s="3" t="s">
        <v>36</v>
      </c>
      <c r="D106" s="3" t="s">
        <v>37</v>
      </c>
      <c r="E106" s="3" t="s">
        <v>118</v>
      </c>
      <c r="F106" s="3" t="s">
        <v>4180</v>
      </c>
      <c r="G106" s="3" t="s">
        <v>39</v>
      </c>
      <c r="I106" s="2">
        <v>133</v>
      </c>
      <c r="J106" s="2">
        <v>133</v>
      </c>
      <c r="K106" s="2">
        <v>2</v>
      </c>
      <c r="O106" s="2">
        <v>3</v>
      </c>
      <c r="P106" s="2">
        <v>9</v>
      </c>
      <c r="W106" s="2">
        <v>9</v>
      </c>
      <c r="X106" s="2">
        <v>3</v>
      </c>
      <c r="Z106" s="2">
        <v>133</v>
      </c>
      <c r="AA106" s="3" t="s">
        <v>40</v>
      </c>
      <c r="AG106" s="2">
        <v>2</v>
      </c>
      <c r="AH106" s="3" t="s">
        <v>52</v>
      </c>
      <c r="AI106" s="4">
        <v>43606</v>
      </c>
      <c r="AJ106" s="3" t="s">
        <v>151</v>
      </c>
      <c r="AK106" s="3" t="s">
        <v>118</v>
      </c>
    </row>
    <row r="107" spans="1:37" hidden="1" x14ac:dyDescent="0.25">
      <c r="A107" t="str">
        <f t="shared" si="1"/>
        <v>2019_NSW_Greenethorpe_Mixed_DetailedTOS2VarietyHatTrickWaterTrtRainFed</v>
      </c>
      <c r="B107" s="2">
        <v>2019002</v>
      </c>
      <c r="C107" s="3" t="s">
        <v>36</v>
      </c>
      <c r="D107" s="3" t="s">
        <v>37</v>
      </c>
      <c r="E107" s="3" t="s">
        <v>118</v>
      </c>
      <c r="F107" s="3" t="s">
        <v>4178</v>
      </c>
      <c r="G107" s="3" t="s">
        <v>39</v>
      </c>
      <c r="I107" s="2">
        <v>134</v>
      </c>
      <c r="J107" s="2">
        <v>134</v>
      </c>
      <c r="K107" s="2">
        <v>2</v>
      </c>
      <c r="O107" s="2">
        <v>3</v>
      </c>
      <c r="P107" s="2">
        <v>9</v>
      </c>
      <c r="W107" s="2">
        <v>10</v>
      </c>
      <c r="X107" s="2">
        <v>3</v>
      </c>
      <c r="Z107" s="2">
        <v>134</v>
      </c>
      <c r="AA107" s="3" t="s">
        <v>40</v>
      </c>
      <c r="AG107" s="2">
        <v>2</v>
      </c>
      <c r="AH107" s="3" t="s">
        <v>52</v>
      </c>
      <c r="AI107" s="4">
        <v>43606</v>
      </c>
      <c r="AJ107" s="3" t="s">
        <v>152</v>
      </c>
      <c r="AK107" s="3" t="s">
        <v>118</v>
      </c>
    </row>
    <row r="108" spans="1:37" hidden="1" x14ac:dyDescent="0.25">
      <c r="A108" t="str">
        <f t="shared" si="1"/>
        <v>2019_NSW_Greenethorpe_Mixed_DetailedTOS2VarietyHatTrickWaterTrtRainFed</v>
      </c>
      <c r="B108" s="2">
        <v>2019002</v>
      </c>
      <c r="C108" s="3" t="s">
        <v>36</v>
      </c>
      <c r="D108" s="3" t="s">
        <v>37</v>
      </c>
      <c r="E108" s="3" t="s">
        <v>118</v>
      </c>
      <c r="F108" s="3" t="s">
        <v>4178</v>
      </c>
      <c r="G108" s="3" t="s">
        <v>39</v>
      </c>
      <c r="I108" s="2">
        <v>135</v>
      </c>
      <c r="J108" s="2">
        <v>135</v>
      </c>
      <c r="K108" s="2">
        <v>2</v>
      </c>
      <c r="O108" s="2">
        <v>3</v>
      </c>
      <c r="P108" s="2">
        <v>9</v>
      </c>
      <c r="W108" s="2">
        <v>11</v>
      </c>
      <c r="X108" s="2">
        <v>3</v>
      </c>
      <c r="Z108" s="2">
        <v>135</v>
      </c>
      <c r="AA108" s="3" t="s">
        <v>40</v>
      </c>
      <c r="AG108" s="2">
        <v>2</v>
      </c>
      <c r="AH108" s="3" t="s">
        <v>52</v>
      </c>
      <c r="AI108" s="4">
        <v>43606</v>
      </c>
      <c r="AJ108" s="3" t="s">
        <v>153</v>
      </c>
      <c r="AK108" s="3" t="s">
        <v>118</v>
      </c>
    </row>
    <row r="109" spans="1:37" hidden="1" x14ac:dyDescent="0.25">
      <c r="A109" t="str">
        <f t="shared" si="1"/>
        <v>2019_NSW_Greenethorpe_Mixed_DetailedTOS2VarietyStrikerWaterTrtRainFed</v>
      </c>
      <c r="B109" s="2">
        <v>2019002</v>
      </c>
      <c r="C109" s="3" t="s">
        <v>36</v>
      </c>
      <c r="D109" s="3" t="s">
        <v>37</v>
      </c>
      <c r="E109" s="3" t="s">
        <v>118</v>
      </c>
      <c r="F109" s="3" t="s">
        <v>4179</v>
      </c>
      <c r="G109" s="3" t="s">
        <v>43</v>
      </c>
      <c r="I109" s="2">
        <v>136</v>
      </c>
      <c r="J109" s="2">
        <v>136</v>
      </c>
      <c r="K109" s="2">
        <v>2</v>
      </c>
      <c r="O109" s="2">
        <v>3</v>
      </c>
      <c r="P109" s="2">
        <v>9</v>
      </c>
      <c r="W109" s="2">
        <v>12</v>
      </c>
      <c r="X109" s="2">
        <v>3</v>
      </c>
      <c r="Z109" s="2">
        <v>136</v>
      </c>
      <c r="AA109" s="3" t="s">
        <v>40</v>
      </c>
      <c r="AG109" s="2">
        <v>2</v>
      </c>
      <c r="AH109" s="3" t="s">
        <v>52</v>
      </c>
      <c r="AI109" s="4">
        <v>43606</v>
      </c>
      <c r="AJ109" s="3" t="s">
        <v>154</v>
      </c>
      <c r="AK109" s="3" t="s">
        <v>118</v>
      </c>
    </row>
    <row r="110" spans="1:37" hidden="1" x14ac:dyDescent="0.25">
      <c r="A110" t="str">
        <f t="shared" si="1"/>
        <v>2019_NSW_Greenethorpe_Mixed_DetailedTOS1VarietyStrikerWaterTrtIrrigated</v>
      </c>
      <c r="B110" s="2">
        <v>2019002</v>
      </c>
      <c r="C110" s="3" t="s">
        <v>36</v>
      </c>
      <c r="D110" s="3" t="s">
        <v>37</v>
      </c>
      <c r="E110" s="3" t="s">
        <v>118</v>
      </c>
      <c r="F110" s="3" t="s">
        <v>4179</v>
      </c>
      <c r="G110" s="3" t="s">
        <v>43</v>
      </c>
      <c r="I110" s="2">
        <v>137</v>
      </c>
      <c r="J110" s="2">
        <v>137</v>
      </c>
      <c r="K110" s="2">
        <v>2</v>
      </c>
      <c r="O110" s="2">
        <v>4</v>
      </c>
      <c r="P110" s="2">
        <v>10</v>
      </c>
      <c r="W110" s="2">
        <v>1</v>
      </c>
      <c r="X110" s="2">
        <v>4</v>
      </c>
      <c r="Z110" s="2">
        <v>148</v>
      </c>
      <c r="AA110" s="3" t="s">
        <v>57</v>
      </c>
      <c r="AG110" s="2">
        <v>1</v>
      </c>
      <c r="AH110" s="3" t="s">
        <v>47</v>
      </c>
      <c r="AI110" s="4">
        <v>43585</v>
      </c>
      <c r="AJ110" s="3" t="s">
        <v>155</v>
      </c>
      <c r="AK110" s="3" t="s">
        <v>118</v>
      </c>
    </row>
    <row r="111" spans="1:37" hidden="1" x14ac:dyDescent="0.25">
      <c r="A111" t="str">
        <f t="shared" si="1"/>
        <v>2019_NSW_Greenethorpe_Mixed_DetailedTOS1VarietyHatTrickWaterTrtIrrigated</v>
      </c>
      <c r="B111" s="2">
        <v>2019002</v>
      </c>
      <c r="C111" s="3" t="s">
        <v>36</v>
      </c>
      <c r="D111" s="3" t="s">
        <v>37</v>
      </c>
      <c r="E111" s="3" t="s">
        <v>118</v>
      </c>
      <c r="F111" s="3" t="s">
        <v>4178</v>
      </c>
      <c r="G111" s="3" t="s">
        <v>39</v>
      </c>
      <c r="I111" s="2">
        <v>138</v>
      </c>
      <c r="J111" s="2">
        <v>138</v>
      </c>
      <c r="K111" s="2">
        <v>2</v>
      </c>
      <c r="O111" s="2">
        <v>4</v>
      </c>
      <c r="P111" s="2">
        <v>10</v>
      </c>
      <c r="W111" s="2">
        <v>2</v>
      </c>
      <c r="X111" s="2">
        <v>4</v>
      </c>
      <c r="Z111" s="2">
        <v>147</v>
      </c>
      <c r="AA111" s="3" t="s">
        <v>57</v>
      </c>
      <c r="AG111" s="2">
        <v>1</v>
      </c>
      <c r="AH111" s="3" t="s">
        <v>47</v>
      </c>
      <c r="AI111" s="4">
        <v>43585</v>
      </c>
      <c r="AJ111" s="3" t="s">
        <v>156</v>
      </c>
      <c r="AK111" s="3" t="s">
        <v>118</v>
      </c>
    </row>
    <row r="112" spans="1:37" hidden="1" x14ac:dyDescent="0.25">
      <c r="A112" t="str">
        <f t="shared" si="1"/>
        <v>2019_NSW_Greenethorpe_Mixed_DetailedTOS1VarietySlasherWaterTrtIrrigated</v>
      </c>
      <c r="B112" s="2">
        <v>2019002</v>
      </c>
      <c r="C112" s="3" t="s">
        <v>36</v>
      </c>
      <c r="D112" s="3" t="s">
        <v>37</v>
      </c>
      <c r="E112" s="3" t="s">
        <v>118</v>
      </c>
      <c r="F112" s="3" t="s">
        <v>4180</v>
      </c>
      <c r="G112" s="3" t="s">
        <v>39</v>
      </c>
      <c r="I112" s="2">
        <v>139</v>
      </c>
      <c r="J112" s="2">
        <v>139</v>
      </c>
      <c r="K112" s="2">
        <v>2</v>
      </c>
      <c r="O112" s="2">
        <v>4</v>
      </c>
      <c r="P112" s="2">
        <v>10</v>
      </c>
      <c r="W112" s="2">
        <v>3</v>
      </c>
      <c r="X112" s="2">
        <v>4</v>
      </c>
      <c r="Z112" s="2">
        <v>146</v>
      </c>
      <c r="AA112" s="3" t="s">
        <v>57</v>
      </c>
      <c r="AG112" s="2">
        <v>1</v>
      </c>
      <c r="AH112" s="3" t="s">
        <v>47</v>
      </c>
      <c r="AI112" s="4">
        <v>43585</v>
      </c>
      <c r="AJ112" s="3" t="s">
        <v>157</v>
      </c>
      <c r="AK112" s="3" t="s">
        <v>118</v>
      </c>
    </row>
    <row r="113" spans="1:37" hidden="1" x14ac:dyDescent="0.25">
      <c r="A113" t="str">
        <f t="shared" si="1"/>
        <v>2019_NSW_Greenethorpe_Mixed_DetailedTOS1VarietyHatTrickWaterTrtIrrigated</v>
      </c>
      <c r="B113" s="2">
        <v>2019002</v>
      </c>
      <c r="C113" s="3" t="s">
        <v>36</v>
      </c>
      <c r="D113" s="3" t="s">
        <v>37</v>
      </c>
      <c r="E113" s="3" t="s">
        <v>118</v>
      </c>
      <c r="F113" s="3" t="s">
        <v>4178</v>
      </c>
      <c r="G113" s="3" t="s">
        <v>39</v>
      </c>
      <c r="I113" s="2">
        <v>140</v>
      </c>
      <c r="J113" s="2">
        <v>140</v>
      </c>
      <c r="K113" s="2">
        <v>2</v>
      </c>
      <c r="O113" s="2">
        <v>4</v>
      </c>
      <c r="P113" s="2">
        <v>10</v>
      </c>
      <c r="W113" s="2">
        <v>4</v>
      </c>
      <c r="X113" s="2">
        <v>4</v>
      </c>
      <c r="Z113" s="2">
        <v>145</v>
      </c>
      <c r="AA113" s="3" t="s">
        <v>57</v>
      </c>
      <c r="AG113" s="2">
        <v>1</v>
      </c>
      <c r="AH113" s="3" t="s">
        <v>47</v>
      </c>
      <c r="AI113" s="4">
        <v>43585</v>
      </c>
      <c r="AJ113" s="3" t="s">
        <v>158</v>
      </c>
      <c r="AK113" s="3" t="s">
        <v>118</v>
      </c>
    </row>
    <row r="114" spans="1:37" hidden="1" x14ac:dyDescent="0.25">
      <c r="A114" t="str">
        <f t="shared" si="1"/>
        <v>2019_NSW_Greenethorpe_Mixed_DetailedTOS3VarietySlasherWaterTrtIrrigated</v>
      </c>
      <c r="B114" s="2">
        <v>2019002</v>
      </c>
      <c r="C114" s="3" t="s">
        <v>36</v>
      </c>
      <c r="D114" s="3" t="s">
        <v>37</v>
      </c>
      <c r="E114" s="3" t="s">
        <v>118</v>
      </c>
      <c r="F114" s="3" t="s">
        <v>4180</v>
      </c>
      <c r="G114" s="3" t="s">
        <v>39</v>
      </c>
      <c r="I114" s="2">
        <v>141</v>
      </c>
      <c r="J114" s="2">
        <v>141</v>
      </c>
      <c r="K114" s="2">
        <v>2</v>
      </c>
      <c r="O114" s="2">
        <v>4</v>
      </c>
      <c r="P114" s="2">
        <v>11</v>
      </c>
      <c r="W114" s="2">
        <v>5</v>
      </c>
      <c r="X114" s="2">
        <v>4</v>
      </c>
      <c r="Z114" s="2">
        <v>144</v>
      </c>
      <c r="AA114" s="3" t="s">
        <v>57</v>
      </c>
      <c r="AG114" s="2">
        <v>3</v>
      </c>
      <c r="AH114" s="3" t="s">
        <v>41</v>
      </c>
      <c r="AI114" s="4">
        <v>43627</v>
      </c>
      <c r="AJ114" s="3" t="s">
        <v>159</v>
      </c>
      <c r="AK114" s="3" t="s">
        <v>118</v>
      </c>
    </row>
    <row r="115" spans="1:37" hidden="1" x14ac:dyDescent="0.25">
      <c r="A115" t="str">
        <f t="shared" si="1"/>
        <v>2019_NSW_Greenethorpe_Mixed_DetailedTOS3VarietyHatTrickWaterTrtIrrigated</v>
      </c>
      <c r="B115" s="2">
        <v>2019002</v>
      </c>
      <c r="C115" s="3" t="s">
        <v>36</v>
      </c>
      <c r="D115" s="3" t="s">
        <v>37</v>
      </c>
      <c r="E115" s="3" t="s">
        <v>118</v>
      </c>
      <c r="F115" s="3" t="s">
        <v>4178</v>
      </c>
      <c r="G115" s="3" t="s">
        <v>39</v>
      </c>
      <c r="I115" s="2">
        <v>142</v>
      </c>
      <c r="J115" s="2">
        <v>142</v>
      </c>
      <c r="K115" s="2">
        <v>2</v>
      </c>
      <c r="O115" s="2">
        <v>4</v>
      </c>
      <c r="P115" s="2">
        <v>11</v>
      </c>
      <c r="W115" s="2">
        <v>6</v>
      </c>
      <c r="X115" s="2">
        <v>4</v>
      </c>
      <c r="Z115" s="2">
        <v>143</v>
      </c>
      <c r="AA115" s="3" t="s">
        <v>57</v>
      </c>
      <c r="AG115" s="2">
        <v>3</v>
      </c>
      <c r="AH115" s="3" t="s">
        <v>41</v>
      </c>
      <c r="AI115" s="4">
        <v>43627</v>
      </c>
      <c r="AJ115" s="3" t="s">
        <v>160</v>
      </c>
      <c r="AK115" s="3" t="s">
        <v>118</v>
      </c>
    </row>
    <row r="116" spans="1:37" hidden="1" x14ac:dyDescent="0.25">
      <c r="A116" t="str">
        <f t="shared" si="1"/>
        <v>2019_NSW_Greenethorpe_Mixed_DetailedTOS3VarietyHatTrickWaterTrtIrrigated</v>
      </c>
      <c r="B116" s="2">
        <v>2019002</v>
      </c>
      <c r="C116" s="3" t="s">
        <v>36</v>
      </c>
      <c r="D116" s="3" t="s">
        <v>37</v>
      </c>
      <c r="E116" s="3" t="s">
        <v>118</v>
      </c>
      <c r="F116" s="3" t="s">
        <v>4178</v>
      </c>
      <c r="G116" s="3" t="s">
        <v>39</v>
      </c>
      <c r="I116" s="2">
        <v>143</v>
      </c>
      <c r="J116" s="2">
        <v>143</v>
      </c>
      <c r="K116" s="2">
        <v>2</v>
      </c>
      <c r="O116" s="2">
        <v>4</v>
      </c>
      <c r="P116" s="2">
        <v>11</v>
      </c>
      <c r="W116" s="2">
        <v>7</v>
      </c>
      <c r="X116" s="2">
        <v>4</v>
      </c>
      <c r="Z116" s="2">
        <v>142</v>
      </c>
      <c r="AA116" s="3" t="s">
        <v>57</v>
      </c>
      <c r="AG116" s="2">
        <v>3</v>
      </c>
      <c r="AH116" s="3" t="s">
        <v>41</v>
      </c>
      <c r="AI116" s="4">
        <v>43627</v>
      </c>
      <c r="AJ116" s="3" t="s">
        <v>161</v>
      </c>
      <c r="AK116" s="3" t="s">
        <v>118</v>
      </c>
    </row>
    <row r="117" spans="1:37" hidden="1" x14ac:dyDescent="0.25">
      <c r="A117" t="str">
        <f t="shared" si="1"/>
        <v>2019_NSW_Greenethorpe_Mixed_DetailedTOS3VarietyStrikerWaterTrtIrrigated</v>
      </c>
      <c r="B117" s="2">
        <v>2019002</v>
      </c>
      <c r="C117" s="3" t="s">
        <v>36</v>
      </c>
      <c r="D117" s="3" t="s">
        <v>37</v>
      </c>
      <c r="E117" s="3" t="s">
        <v>118</v>
      </c>
      <c r="F117" s="3" t="s">
        <v>4179</v>
      </c>
      <c r="G117" s="3" t="s">
        <v>43</v>
      </c>
      <c r="I117" s="2">
        <v>144</v>
      </c>
      <c r="J117" s="2">
        <v>144</v>
      </c>
      <c r="K117" s="2">
        <v>2</v>
      </c>
      <c r="O117" s="2">
        <v>4</v>
      </c>
      <c r="P117" s="2">
        <v>11</v>
      </c>
      <c r="W117" s="2">
        <v>8</v>
      </c>
      <c r="X117" s="2">
        <v>4</v>
      </c>
      <c r="Z117" s="2">
        <v>141</v>
      </c>
      <c r="AA117" s="3" t="s">
        <v>57</v>
      </c>
      <c r="AG117" s="2">
        <v>3</v>
      </c>
      <c r="AH117" s="3" t="s">
        <v>41</v>
      </c>
      <c r="AI117" s="4">
        <v>43627</v>
      </c>
      <c r="AJ117" s="3" t="s">
        <v>162</v>
      </c>
      <c r="AK117" s="3" t="s">
        <v>118</v>
      </c>
    </row>
    <row r="118" spans="1:37" hidden="1" x14ac:dyDescent="0.25">
      <c r="A118" t="str">
        <f t="shared" si="1"/>
        <v>2019_NSW_Greenethorpe_Mixed_DetailedTOS2VarietyHatTrickWaterTrtIrrigated</v>
      </c>
      <c r="B118" s="2">
        <v>2019002</v>
      </c>
      <c r="C118" s="3" t="s">
        <v>36</v>
      </c>
      <c r="D118" s="3" t="s">
        <v>37</v>
      </c>
      <c r="E118" s="3" t="s">
        <v>118</v>
      </c>
      <c r="F118" s="3" t="s">
        <v>4178</v>
      </c>
      <c r="G118" s="3" t="s">
        <v>39</v>
      </c>
      <c r="I118" s="2">
        <v>145</v>
      </c>
      <c r="J118" s="2">
        <v>145</v>
      </c>
      <c r="K118" s="2">
        <v>2</v>
      </c>
      <c r="O118" s="2">
        <v>4</v>
      </c>
      <c r="P118" s="2">
        <v>12</v>
      </c>
      <c r="W118" s="2">
        <v>9</v>
      </c>
      <c r="X118" s="2">
        <v>4</v>
      </c>
      <c r="Z118" s="2">
        <v>140</v>
      </c>
      <c r="AA118" s="3" t="s">
        <v>57</v>
      </c>
      <c r="AG118" s="2">
        <v>2</v>
      </c>
      <c r="AH118" s="3" t="s">
        <v>52</v>
      </c>
      <c r="AI118" s="4">
        <v>43606</v>
      </c>
      <c r="AJ118" s="3" t="s">
        <v>163</v>
      </c>
      <c r="AK118" s="3" t="s">
        <v>118</v>
      </c>
    </row>
    <row r="119" spans="1:37" hidden="1" x14ac:dyDescent="0.25">
      <c r="A119" t="str">
        <f t="shared" si="1"/>
        <v>2019_NSW_Greenethorpe_Mixed_DetailedTOS2VarietyStrikerWaterTrtIrrigated</v>
      </c>
      <c r="B119" s="2">
        <v>2019002</v>
      </c>
      <c r="C119" s="3" t="s">
        <v>36</v>
      </c>
      <c r="D119" s="3" t="s">
        <v>37</v>
      </c>
      <c r="E119" s="3" t="s">
        <v>118</v>
      </c>
      <c r="F119" s="3" t="s">
        <v>4179</v>
      </c>
      <c r="G119" s="3" t="s">
        <v>43</v>
      </c>
      <c r="I119" s="2">
        <v>146</v>
      </c>
      <c r="J119" s="2">
        <v>146</v>
      </c>
      <c r="K119" s="2">
        <v>2</v>
      </c>
      <c r="O119" s="2">
        <v>4</v>
      </c>
      <c r="P119" s="2">
        <v>12</v>
      </c>
      <c r="W119" s="2">
        <v>10</v>
      </c>
      <c r="X119" s="2">
        <v>4</v>
      </c>
      <c r="Z119" s="2">
        <v>139</v>
      </c>
      <c r="AA119" s="3" t="s">
        <v>57</v>
      </c>
      <c r="AG119" s="2">
        <v>2</v>
      </c>
      <c r="AH119" s="3" t="s">
        <v>52</v>
      </c>
      <c r="AI119" s="4">
        <v>43606</v>
      </c>
      <c r="AJ119" s="3" t="s">
        <v>164</v>
      </c>
      <c r="AK119" s="3" t="s">
        <v>118</v>
      </c>
    </row>
    <row r="120" spans="1:37" hidden="1" x14ac:dyDescent="0.25">
      <c r="A120" t="str">
        <f t="shared" si="1"/>
        <v>2019_NSW_Greenethorpe_Mixed_DetailedTOS2VarietySlasherWaterTrtIrrigated</v>
      </c>
      <c r="B120" s="2">
        <v>2019002</v>
      </c>
      <c r="C120" s="3" t="s">
        <v>36</v>
      </c>
      <c r="D120" s="3" t="s">
        <v>37</v>
      </c>
      <c r="E120" s="3" t="s">
        <v>118</v>
      </c>
      <c r="F120" s="3" t="s">
        <v>4180</v>
      </c>
      <c r="G120" s="3" t="s">
        <v>39</v>
      </c>
      <c r="I120" s="2">
        <v>147</v>
      </c>
      <c r="J120" s="2">
        <v>147</v>
      </c>
      <c r="K120" s="2">
        <v>2</v>
      </c>
      <c r="O120" s="2">
        <v>4</v>
      </c>
      <c r="P120" s="2">
        <v>12</v>
      </c>
      <c r="W120" s="2">
        <v>11</v>
      </c>
      <c r="X120" s="2">
        <v>4</v>
      </c>
      <c r="Z120" s="2">
        <v>138</v>
      </c>
      <c r="AA120" s="3" t="s">
        <v>57</v>
      </c>
      <c r="AG120" s="2">
        <v>2</v>
      </c>
      <c r="AH120" s="3" t="s">
        <v>52</v>
      </c>
      <c r="AI120" s="4">
        <v>43606</v>
      </c>
      <c r="AJ120" s="3" t="s">
        <v>165</v>
      </c>
      <c r="AK120" s="3" t="s">
        <v>118</v>
      </c>
    </row>
    <row r="121" spans="1:37" hidden="1" x14ac:dyDescent="0.25">
      <c r="A121" t="str">
        <f t="shared" si="1"/>
        <v>2019_NSW_Greenethorpe_Mixed_DetailedTOS2VarietyHatTrickWaterTrtIrrigated</v>
      </c>
      <c r="B121" s="2">
        <v>2019002</v>
      </c>
      <c r="C121" s="3" t="s">
        <v>36</v>
      </c>
      <c r="D121" s="3" t="s">
        <v>37</v>
      </c>
      <c r="E121" s="3" t="s">
        <v>118</v>
      </c>
      <c r="F121" s="3" t="s">
        <v>4178</v>
      </c>
      <c r="G121" s="3" t="s">
        <v>39</v>
      </c>
      <c r="I121" s="2">
        <v>148</v>
      </c>
      <c r="J121" s="2">
        <v>148</v>
      </c>
      <c r="K121" s="2">
        <v>2</v>
      </c>
      <c r="O121" s="2">
        <v>4</v>
      </c>
      <c r="P121" s="2">
        <v>12</v>
      </c>
      <c r="W121" s="2">
        <v>12</v>
      </c>
      <c r="X121" s="2">
        <v>4</v>
      </c>
      <c r="Z121" s="2">
        <v>137</v>
      </c>
      <c r="AA121" s="3" t="s">
        <v>57</v>
      </c>
      <c r="AG121" s="2">
        <v>2</v>
      </c>
      <c r="AH121" s="3" t="s">
        <v>52</v>
      </c>
      <c r="AI121" s="4">
        <v>43606</v>
      </c>
      <c r="AJ121" s="3" t="s">
        <v>166</v>
      </c>
      <c r="AK121" s="3" t="s">
        <v>118</v>
      </c>
    </row>
    <row r="122" spans="1:37" hidden="1" x14ac:dyDescent="0.25">
      <c r="A122" t="str">
        <f t="shared" si="1"/>
        <v>2019_NSW_Greenethorpe_Mixed_DetailedTOS2VarietySlasherWaterTrtIrrigated</v>
      </c>
      <c r="B122" s="2">
        <v>2019002</v>
      </c>
      <c r="C122" s="3" t="s">
        <v>36</v>
      </c>
      <c r="D122" s="3" t="s">
        <v>37</v>
      </c>
      <c r="E122" s="3" t="s">
        <v>118</v>
      </c>
      <c r="F122" s="3" t="s">
        <v>4180</v>
      </c>
      <c r="G122" s="3" t="s">
        <v>39</v>
      </c>
      <c r="I122" s="2">
        <v>149</v>
      </c>
      <c r="J122" s="2">
        <v>149</v>
      </c>
      <c r="K122" s="2">
        <v>3</v>
      </c>
      <c r="O122" s="2">
        <v>5</v>
      </c>
      <c r="P122" s="2">
        <v>13</v>
      </c>
      <c r="W122" s="2">
        <v>1</v>
      </c>
      <c r="X122" s="2">
        <v>5</v>
      </c>
      <c r="Z122" s="2">
        <v>149</v>
      </c>
      <c r="AA122" s="3" t="s">
        <v>57</v>
      </c>
      <c r="AG122" s="2">
        <v>2</v>
      </c>
      <c r="AH122" s="3" t="s">
        <v>52</v>
      </c>
      <c r="AI122" s="4">
        <v>43606</v>
      </c>
      <c r="AJ122" s="3" t="s">
        <v>167</v>
      </c>
      <c r="AK122" s="3" t="s">
        <v>118</v>
      </c>
    </row>
    <row r="123" spans="1:37" hidden="1" x14ac:dyDescent="0.25">
      <c r="A123" t="str">
        <f t="shared" si="1"/>
        <v>2019_NSW_Greenethorpe_Mixed_DetailedTOS2VarietyHatTrickWaterTrtIrrigated</v>
      </c>
      <c r="B123" s="2">
        <v>2019002</v>
      </c>
      <c r="C123" s="3" t="s">
        <v>36</v>
      </c>
      <c r="D123" s="3" t="s">
        <v>37</v>
      </c>
      <c r="E123" s="3" t="s">
        <v>118</v>
      </c>
      <c r="F123" s="3" t="s">
        <v>4178</v>
      </c>
      <c r="G123" s="3" t="s">
        <v>39</v>
      </c>
      <c r="I123" s="2">
        <v>150</v>
      </c>
      <c r="J123" s="2">
        <v>150</v>
      </c>
      <c r="K123" s="2">
        <v>3</v>
      </c>
      <c r="O123" s="2">
        <v>5</v>
      </c>
      <c r="P123" s="2">
        <v>13</v>
      </c>
      <c r="W123" s="2">
        <v>2</v>
      </c>
      <c r="X123" s="2">
        <v>5</v>
      </c>
      <c r="Z123" s="2">
        <v>150</v>
      </c>
      <c r="AA123" s="3" t="s">
        <v>57</v>
      </c>
      <c r="AG123" s="2">
        <v>2</v>
      </c>
      <c r="AH123" s="3" t="s">
        <v>52</v>
      </c>
      <c r="AI123" s="4">
        <v>43606</v>
      </c>
      <c r="AJ123" s="3" t="s">
        <v>168</v>
      </c>
      <c r="AK123" s="3" t="s">
        <v>118</v>
      </c>
    </row>
    <row r="124" spans="1:37" hidden="1" x14ac:dyDescent="0.25">
      <c r="A124" t="str">
        <f t="shared" si="1"/>
        <v>2019_NSW_Greenethorpe_Mixed_DetailedTOS2VarietyStrikerWaterTrtIrrigated</v>
      </c>
      <c r="B124" s="2">
        <v>2019002</v>
      </c>
      <c r="C124" s="3" t="s">
        <v>36</v>
      </c>
      <c r="D124" s="3" t="s">
        <v>37</v>
      </c>
      <c r="E124" s="3" t="s">
        <v>118</v>
      </c>
      <c r="F124" s="3" t="s">
        <v>4179</v>
      </c>
      <c r="G124" s="3" t="s">
        <v>43</v>
      </c>
      <c r="I124" s="2">
        <v>151</v>
      </c>
      <c r="J124" s="2">
        <v>151</v>
      </c>
      <c r="K124" s="2">
        <v>3</v>
      </c>
      <c r="O124" s="2">
        <v>5</v>
      </c>
      <c r="P124" s="2">
        <v>13</v>
      </c>
      <c r="W124" s="2">
        <v>3</v>
      </c>
      <c r="X124" s="2">
        <v>5</v>
      </c>
      <c r="Z124" s="2">
        <v>151</v>
      </c>
      <c r="AA124" s="3" t="s">
        <v>57</v>
      </c>
      <c r="AG124" s="2">
        <v>2</v>
      </c>
      <c r="AH124" s="3" t="s">
        <v>52</v>
      </c>
      <c r="AI124" s="4">
        <v>43606</v>
      </c>
      <c r="AJ124" s="3" t="s">
        <v>169</v>
      </c>
      <c r="AK124" s="3" t="s">
        <v>118</v>
      </c>
    </row>
    <row r="125" spans="1:37" hidden="1" x14ac:dyDescent="0.25">
      <c r="A125" t="str">
        <f t="shared" si="1"/>
        <v>2019_NSW_Greenethorpe_Mixed_DetailedTOS2VarietyHatTrickWaterTrtIrrigated</v>
      </c>
      <c r="B125" s="2">
        <v>2019002</v>
      </c>
      <c r="C125" s="3" t="s">
        <v>36</v>
      </c>
      <c r="D125" s="3" t="s">
        <v>37</v>
      </c>
      <c r="E125" s="3" t="s">
        <v>118</v>
      </c>
      <c r="F125" s="3" t="s">
        <v>4178</v>
      </c>
      <c r="G125" s="3" t="s">
        <v>39</v>
      </c>
      <c r="I125" s="2">
        <v>152</v>
      </c>
      <c r="J125" s="2">
        <v>152</v>
      </c>
      <c r="K125" s="2">
        <v>3</v>
      </c>
      <c r="O125" s="2">
        <v>5</v>
      </c>
      <c r="P125" s="2">
        <v>13</v>
      </c>
      <c r="W125" s="2">
        <v>4</v>
      </c>
      <c r="X125" s="2">
        <v>5</v>
      </c>
      <c r="Z125" s="2">
        <v>152</v>
      </c>
      <c r="AA125" s="3" t="s">
        <v>57</v>
      </c>
      <c r="AG125" s="2">
        <v>2</v>
      </c>
      <c r="AH125" s="3" t="s">
        <v>52</v>
      </c>
      <c r="AI125" s="4">
        <v>43606</v>
      </c>
      <c r="AJ125" s="3" t="s">
        <v>170</v>
      </c>
      <c r="AK125" s="3" t="s">
        <v>118</v>
      </c>
    </row>
    <row r="126" spans="1:37" hidden="1" x14ac:dyDescent="0.25">
      <c r="A126" t="str">
        <f t="shared" si="1"/>
        <v>2019_NSW_Greenethorpe_Mixed_DetailedTOS1VarietyHatTrickWaterTrtIrrigated</v>
      </c>
      <c r="B126" s="2">
        <v>2019002</v>
      </c>
      <c r="C126" s="3" t="s">
        <v>36</v>
      </c>
      <c r="D126" s="3" t="s">
        <v>37</v>
      </c>
      <c r="E126" s="3" t="s">
        <v>118</v>
      </c>
      <c r="F126" s="3" t="s">
        <v>4178</v>
      </c>
      <c r="G126" s="3" t="s">
        <v>39</v>
      </c>
      <c r="I126" s="2">
        <v>153</v>
      </c>
      <c r="J126" s="2">
        <v>153</v>
      </c>
      <c r="K126" s="2">
        <v>3</v>
      </c>
      <c r="O126" s="2">
        <v>5</v>
      </c>
      <c r="P126" s="2">
        <v>14</v>
      </c>
      <c r="W126" s="2">
        <v>5</v>
      </c>
      <c r="X126" s="2">
        <v>5</v>
      </c>
      <c r="Z126" s="2">
        <v>153</v>
      </c>
      <c r="AA126" s="3" t="s">
        <v>57</v>
      </c>
      <c r="AG126" s="2">
        <v>1</v>
      </c>
      <c r="AH126" s="3" t="s">
        <v>47</v>
      </c>
      <c r="AI126" s="4">
        <v>43585</v>
      </c>
      <c r="AJ126" s="3" t="s">
        <v>171</v>
      </c>
      <c r="AK126" s="3" t="s">
        <v>118</v>
      </c>
    </row>
    <row r="127" spans="1:37" hidden="1" x14ac:dyDescent="0.25">
      <c r="A127" t="str">
        <f t="shared" si="1"/>
        <v>2019_NSW_Greenethorpe_Mixed_DetailedTOS1VarietySlasherWaterTrtIrrigated</v>
      </c>
      <c r="B127" s="2">
        <v>2019002</v>
      </c>
      <c r="C127" s="3" t="s">
        <v>36</v>
      </c>
      <c r="D127" s="3" t="s">
        <v>37</v>
      </c>
      <c r="E127" s="3" t="s">
        <v>118</v>
      </c>
      <c r="F127" s="3" t="s">
        <v>4180</v>
      </c>
      <c r="G127" s="3" t="s">
        <v>39</v>
      </c>
      <c r="I127" s="2">
        <v>154</v>
      </c>
      <c r="J127" s="2">
        <v>154</v>
      </c>
      <c r="K127" s="2">
        <v>3</v>
      </c>
      <c r="O127" s="2">
        <v>5</v>
      </c>
      <c r="P127" s="2">
        <v>14</v>
      </c>
      <c r="W127" s="2">
        <v>6</v>
      </c>
      <c r="X127" s="2">
        <v>5</v>
      </c>
      <c r="Z127" s="2">
        <v>154</v>
      </c>
      <c r="AA127" s="3" t="s">
        <v>57</v>
      </c>
      <c r="AG127" s="2">
        <v>1</v>
      </c>
      <c r="AH127" s="3" t="s">
        <v>47</v>
      </c>
      <c r="AI127" s="4">
        <v>43585</v>
      </c>
      <c r="AJ127" s="3" t="s">
        <v>172</v>
      </c>
      <c r="AK127" s="3" t="s">
        <v>118</v>
      </c>
    </row>
    <row r="128" spans="1:37" hidden="1" x14ac:dyDescent="0.25">
      <c r="A128" t="str">
        <f t="shared" si="1"/>
        <v>2019_NSW_Greenethorpe_Mixed_DetailedTOS1VarietyHatTrickWaterTrtIrrigated</v>
      </c>
      <c r="B128" s="2">
        <v>2019002</v>
      </c>
      <c r="C128" s="3" t="s">
        <v>36</v>
      </c>
      <c r="D128" s="3" t="s">
        <v>37</v>
      </c>
      <c r="E128" s="3" t="s">
        <v>118</v>
      </c>
      <c r="F128" s="3" t="s">
        <v>4178</v>
      </c>
      <c r="G128" s="3" t="s">
        <v>39</v>
      </c>
      <c r="I128" s="2">
        <v>155</v>
      </c>
      <c r="J128" s="2">
        <v>155</v>
      </c>
      <c r="K128" s="2">
        <v>3</v>
      </c>
      <c r="O128" s="2">
        <v>5</v>
      </c>
      <c r="P128" s="2">
        <v>14</v>
      </c>
      <c r="W128" s="2">
        <v>7</v>
      </c>
      <c r="X128" s="2">
        <v>5</v>
      </c>
      <c r="Z128" s="2">
        <v>155</v>
      </c>
      <c r="AA128" s="3" t="s">
        <v>57</v>
      </c>
      <c r="AG128" s="2">
        <v>1</v>
      </c>
      <c r="AH128" s="3" t="s">
        <v>47</v>
      </c>
      <c r="AI128" s="4">
        <v>43585</v>
      </c>
      <c r="AJ128" s="3" t="s">
        <v>173</v>
      </c>
      <c r="AK128" s="3" t="s">
        <v>118</v>
      </c>
    </row>
    <row r="129" spans="1:37" hidden="1" x14ac:dyDescent="0.25">
      <c r="A129" t="str">
        <f t="shared" si="1"/>
        <v>2019_NSW_Greenethorpe_Mixed_DetailedTOS1VarietyStrikerWaterTrtIrrigated</v>
      </c>
      <c r="B129" s="2">
        <v>2019002</v>
      </c>
      <c r="C129" s="3" t="s">
        <v>36</v>
      </c>
      <c r="D129" s="3" t="s">
        <v>37</v>
      </c>
      <c r="E129" s="3" t="s">
        <v>118</v>
      </c>
      <c r="F129" s="3" t="s">
        <v>4179</v>
      </c>
      <c r="G129" s="3" t="s">
        <v>43</v>
      </c>
      <c r="I129" s="2">
        <v>156</v>
      </c>
      <c r="J129" s="2">
        <v>156</v>
      </c>
      <c r="K129" s="2">
        <v>3</v>
      </c>
      <c r="O129" s="2">
        <v>5</v>
      </c>
      <c r="P129" s="2">
        <v>14</v>
      </c>
      <c r="W129" s="2">
        <v>8</v>
      </c>
      <c r="X129" s="2">
        <v>5</v>
      </c>
      <c r="Z129" s="2">
        <v>156</v>
      </c>
      <c r="AA129" s="3" t="s">
        <v>57</v>
      </c>
      <c r="AG129" s="2">
        <v>1</v>
      </c>
      <c r="AH129" s="3" t="s">
        <v>47</v>
      </c>
      <c r="AI129" s="4">
        <v>43585</v>
      </c>
      <c r="AJ129" s="3" t="s">
        <v>174</v>
      </c>
      <c r="AK129" s="3" t="s">
        <v>118</v>
      </c>
    </row>
    <row r="130" spans="1:37" hidden="1" x14ac:dyDescent="0.25">
      <c r="A130" t="str">
        <f t="shared" si="1"/>
        <v>2019_NSW_Greenethorpe_Mixed_DetailedTOS3VarietyHatTrickWaterTrtIrrigated</v>
      </c>
      <c r="B130" s="2">
        <v>2019002</v>
      </c>
      <c r="C130" s="3" t="s">
        <v>36</v>
      </c>
      <c r="D130" s="3" t="s">
        <v>37</v>
      </c>
      <c r="E130" s="3" t="s">
        <v>118</v>
      </c>
      <c r="F130" s="3" t="s">
        <v>4178</v>
      </c>
      <c r="G130" s="3" t="s">
        <v>39</v>
      </c>
      <c r="I130" s="2">
        <v>157</v>
      </c>
      <c r="J130" s="2">
        <v>157</v>
      </c>
      <c r="K130" s="2">
        <v>3</v>
      </c>
      <c r="O130" s="2">
        <v>5</v>
      </c>
      <c r="P130" s="2">
        <v>15</v>
      </c>
      <c r="W130" s="2">
        <v>9</v>
      </c>
      <c r="X130" s="2">
        <v>5</v>
      </c>
      <c r="Z130" s="2">
        <v>157</v>
      </c>
      <c r="AA130" s="3" t="s">
        <v>57</v>
      </c>
      <c r="AG130" s="2">
        <v>3</v>
      </c>
      <c r="AH130" s="3" t="s">
        <v>41</v>
      </c>
      <c r="AI130" s="4">
        <v>43627</v>
      </c>
      <c r="AJ130" s="3" t="s">
        <v>175</v>
      </c>
      <c r="AK130" s="3" t="s">
        <v>118</v>
      </c>
    </row>
    <row r="131" spans="1:37" hidden="1" x14ac:dyDescent="0.25">
      <c r="A131" t="str">
        <f t="shared" ref="A131:A194" si="2">C131&amp;"TOS"&amp;AG131&amp;"Variety"&amp;F131&amp;"WaterTrt"&amp;AA131&amp;IF(AC131="","","Agronomy"&amp;AC131)</f>
        <v>2019_NSW_Greenethorpe_Mixed_DetailedTOS3VarietyStrikerWaterTrtIrrigated</v>
      </c>
      <c r="B131" s="2">
        <v>2019002</v>
      </c>
      <c r="C131" s="3" t="s">
        <v>36</v>
      </c>
      <c r="D131" s="3" t="s">
        <v>37</v>
      </c>
      <c r="E131" s="3" t="s">
        <v>118</v>
      </c>
      <c r="F131" s="3" t="s">
        <v>4179</v>
      </c>
      <c r="G131" s="3" t="s">
        <v>43</v>
      </c>
      <c r="I131" s="2">
        <v>158</v>
      </c>
      <c r="J131" s="2">
        <v>158</v>
      </c>
      <c r="K131" s="2">
        <v>3</v>
      </c>
      <c r="O131" s="2">
        <v>5</v>
      </c>
      <c r="P131" s="2">
        <v>15</v>
      </c>
      <c r="W131" s="2">
        <v>10</v>
      </c>
      <c r="X131" s="2">
        <v>5</v>
      </c>
      <c r="Z131" s="2">
        <v>158</v>
      </c>
      <c r="AA131" s="3" t="s">
        <v>57</v>
      </c>
      <c r="AG131" s="2">
        <v>3</v>
      </c>
      <c r="AH131" s="3" t="s">
        <v>41</v>
      </c>
      <c r="AI131" s="4">
        <v>43627</v>
      </c>
      <c r="AJ131" s="3" t="s">
        <v>176</v>
      </c>
      <c r="AK131" s="3" t="s">
        <v>118</v>
      </c>
    </row>
    <row r="132" spans="1:37" hidden="1" x14ac:dyDescent="0.25">
      <c r="A132" t="str">
        <f t="shared" si="2"/>
        <v>2019_NSW_Greenethorpe_Mixed_DetailedTOS3VarietyHatTrickWaterTrtIrrigated</v>
      </c>
      <c r="B132" s="2">
        <v>2019002</v>
      </c>
      <c r="C132" s="3" t="s">
        <v>36</v>
      </c>
      <c r="D132" s="3" t="s">
        <v>37</v>
      </c>
      <c r="E132" s="3" t="s">
        <v>118</v>
      </c>
      <c r="F132" s="3" t="s">
        <v>4178</v>
      </c>
      <c r="G132" s="3" t="s">
        <v>39</v>
      </c>
      <c r="I132" s="2">
        <v>159</v>
      </c>
      <c r="J132" s="2">
        <v>159</v>
      </c>
      <c r="K132" s="2">
        <v>3</v>
      </c>
      <c r="O132" s="2">
        <v>5</v>
      </c>
      <c r="P132" s="2">
        <v>15</v>
      </c>
      <c r="W132" s="2">
        <v>11</v>
      </c>
      <c r="X132" s="2">
        <v>5</v>
      </c>
      <c r="Z132" s="2">
        <v>159</v>
      </c>
      <c r="AA132" s="3" t="s">
        <v>57</v>
      </c>
      <c r="AG132" s="2">
        <v>3</v>
      </c>
      <c r="AH132" s="3" t="s">
        <v>41</v>
      </c>
      <c r="AI132" s="4">
        <v>43627</v>
      </c>
      <c r="AJ132" s="3" t="s">
        <v>177</v>
      </c>
      <c r="AK132" s="3" t="s">
        <v>118</v>
      </c>
    </row>
    <row r="133" spans="1:37" hidden="1" x14ac:dyDescent="0.25">
      <c r="A133" t="str">
        <f t="shared" si="2"/>
        <v>2019_NSW_Greenethorpe_Mixed_DetailedTOS3VarietySlasherWaterTrtIrrigated</v>
      </c>
      <c r="B133" s="2">
        <v>2019002</v>
      </c>
      <c r="C133" s="3" t="s">
        <v>36</v>
      </c>
      <c r="D133" s="3" t="s">
        <v>37</v>
      </c>
      <c r="E133" s="3" t="s">
        <v>118</v>
      </c>
      <c r="F133" s="3" t="s">
        <v>4180</v>
      </c>
      <c r="G133" s="3" t="s">
        <v>39</v>
      </c>
      <c r="I133" s="2">
        <v>160</v>
      </c>
      <c r="J133" s="2">
        <v>160</v>
      </c>
      <c r="K133" s="2">
        <v>3</v>
      </c>
      <c r="O133" s="2">
        <v>5</v>
      </c>
      <c r="P133" s="2">
        <v>15</v>
      </c>
      <c r="W133" s="2">
        <v>12</v>
      </c>
      <c r="X133" s="2">
        <v>5</v>
      </c>
      <c r="Z133" s="2">
        <v>160</v>
      </c>
      <c r="AA133" s="3" t="s">
        <v>57</v>
      </c>
      <c r="AG133" s="2">
        <v>3</v>
      </c>
      <c r="AH133" s="3" t="s">
        <v>41</v>
      </c>
      <c r="AI133" s="4">
        <v>43627</v>
      </c>
      <c r="AJ133" s="3" t="s">
        <v>178</v>
      </c>
      <c r="AK133" s="3" t="s">
        <v>118</v>
      </c>
    </row>
    <row r="134" spans="1:37" hidden="1" x14ac:dyDescent="0.25">
      <c r="A134" t="str">
        <f t="shared" si="2"/>
        <v>2019_NSW_Greenethorpe_Mixed_DetailedTOS3VarietyStrikerWaterTrtRainFed</v>
      </c>
      <c r="B134" s="2">
        <v>2019002</v>
      </c>
      <c r="C134" s="3" t="s">
        <v>36</v>
      </c>
      <c r="D134" s="3" t="s">
        <v>37</v>
      </c>
      <c r="E134" s="3" t="s">
        <v>118</v>
      </c>
      <c r="F134" s="3" t="s">
        <v>4179</v>
      </c>
      <c r="G134" s="3" t="s">
        <v>43</v>
      </c>
      <c r="I134" s="2">
        <v>161</v>
      </c>
      <c r="J134" s="2">
        <v>161</v>
      </c>
      <c r="K134" s="2">
        <v>3</v>
      </c>
      <c r="O134" s="2">
        <v>6</v>
      </c>
      <c r="P134" s="2">
        <v>16</v>
      </c>
      <c r="W134" s="2">
        <v>1</v>
      </c>
      <c r="X134" s="2">
        <v>6</v>
      </c>
      <c r="Z134" s="2">
        <v>172</v>
      </c>
      <c r="AA134" s="3" t="s">
        <v>40</v>
      </c>
      <c r="AG134" s="2">
        <v>3</v>
      </c>
      <c r="AH134" s="3" t="s">
        <v>41</v>
      </c>
      <c r="AI134" s="4">
        <v>43627</v>
      </c>
      <c r="AJ134" s="3" t="s">
        <v>179</v>
      </c>
      <c r="AK134" s="3" t="s">
        <v>118</v>
      </c>
    </row>
    <row r="135" spans="1:37" hidden="1" x14ac:dyDescent="0.25">
      <c r="A135" t="str">
        <f t="shared" si="2"/>
        <v>2019_NSW_Greenethorpe_Mixed_DetailedTOS3VarietyHatTrickWaterTrtRainFed</v>
      </c>
      <c r="B135" s="2">
        <v>2019002</v>
      </c>
      <c r="C135" s="3" t="s">
        <v>36</v>
      </c>
      <c r="D135" s="3" t="s">
        <v>37</v>
      </c>
      <c r="E135" s="3" t="s">
        <v>118</v>
      </c>
      <c r="F135" s="3" t="s">
        <v>4178</v>
      </c>
      <c r="G135" s="3" t="s">
        <v>39</v>
      </c>
      <c r="I135" s="2">
        <v>162</v>
      </c>
      <c r="J135" s="2">
        <v>162</v>
      </c>
      <c r="K135" s="2">
        <v>3</v>
      </c>
      <c r="O135" s="2">
        <v>6</v>
      </c>
      <c r="P135" s="2">
        <v>16</v>
      </c>
      <c r="W135" s="2">
        <v>2</v>
      </c>
      <c r="X135" s="2">
        <v>6</v>
      </c>
      <c r="Z135" s="2">
        <v>171</v>
      </c>
      <c r="AA135" s="3" t="s">
        <v>40</v>
      </c>
      <c r="AG135" s="2">
        <v>3</v>
      </c>
      <c r="AH135" s="3" t="s">
        <v>41</v>
      </c>
      <c r="AI135" s="4">
        <v>43627</v>
      </c>
      <c r="AJ135" s="3" t="s">
        <v>180</v>
      </c>
      <c r="AK135" s="3" t="s">
        <v>118</v>
      </c>
    </row>
    <row r="136" spans="1:37" hidden="1" x14ac:dyDescent="0.25">
      <c r="A136" t="str">
        <f t="shared" si="2"/>
        <v>2019_NSW_Greenethorpe_Mixed_DetailedTOS3VarietySlasherWaterTrtRainFed</v>
      </c>
      <c r="B136" s="2">
        <v>2019002</v>
      </c>
      <c r="C136" s="3" t="s">
        <v>36</v>
      </c>
      <c r="D136" s="3" t="s">
        <v>37</v>
      </c>
      <c r="E136" s="3" t="s">
        <v>118</v>
      </c>
      <c r="F136" s="3" t="s">
        <v>4180</v>
      </c>
      <c r="G136" s="3" t="s">
        <v>39</v>
      </c>
      <c r="I136" s="2">
        <v>163</v>
      </c>
      <c r="J136" s="2">
        <v>163</v>
      </c>
      <c r="K136" s="2">
        <v>3</v>
      </c>
      <c r="O136" s="2">
        <v>6</v>
      </c>
      <c r="P136" s="2">
        <v>16</v>
      </c>
      <c r="W136" s="2">
        <v>3</v>
      </c>
      <c r="X136" s="2">
        <v>6</v>
      </c>
      <c r="Z136" s="2">
        <v>170</v>
      </c>
      <c r="AA136" s="3" t="s">
        <v>40</v>
      </c>
      <c r="AG136" s="2">
        <v>3</v>
      </c>
      <c r="AH136" s="3" t="s">
        <v>41</v>
      </c>
      <c r="AI136" s="4">
        <v>43627</v>
      </c>
      <c r="AJ136" s="3" t="s">
        <v>181</v>
      </c>
      <c r="AK136" s="3" t="s">
        <v>118</v>
      </c>
    </row>
    <row r="137" spans="1:37" hidden="1" x14ac:dyDescent="0.25">
      <c r="A137" t="str">
        <f t="shared" si="2"/>
        <v>2019_NSW_Greenethorpe_Mixed_DetailedTOS3VarietyHatTrickWaterTrtRainFed</v>
      </c>
      <c r="B137" s="2">
        <v>2019002</v>
      </c>
      <c r="C137" s="3" t="s">
        <v>36</v>
      </c>
      <c r="D137" s="3" t="s">
        <v>37</v>
      </c>
      <c r="E137" s="3" t="s">
        <v>118</v>
      </c>
      <c r="F137" s="3" t="s">
        <v>4178</v>
      </c>
      <c r="G137" s="3" t="s">
        <v>39</v>
      </c>
      <c r="I137" s="2">
        <v>164</v>
      </c>
      <c r="J137" s="2">
        <v>164</v>
      </c>
      <c r="K137" s="2">
        <v>3</v>
      </c>
      <c r="O137" s="2">
        <v>6</v>
      </c>
      <c r="P137" s="2">
        <v>16</v>
      </c>
      <c r="W137" s="2">
        <v>4</v>
      </c>
      <c r="X137" s="2">
        <v>6</v>
      </c>
      <c r="Z137" s="2">
        <v>169</v>
      </c>
      <c r="AA137" s="3" t="s">
        <v>40</v>
      </c>
      <c r="AG137" s="2">
        <v>3</v>
      </c>
      <c r="AH137" s="3" t="s">
        <v>41</v>
      </c>
      <c r="AI137" s="4">
        <v>43627</v>
      </c>
      <c r="AJ137" s="3" t="s">
        <v>182</v>
      </c>
      <c r="AK137" s="3" t="s">
        <v>118</v>
      </c>
    </row>
    <row r="138" spans="1:37" hidden="1" x14ac:dyDescent="0.25">
      <c r="A138" t="str">
        <f t="shared" si="2"/>
        <v>2019_NSW_Greenethorpe_Mixed_DetailedTOS2VarietyHatTrickWaterTrtRainFed</v>
      </c>
      <c r="B138" s="2">
        <v>2019002</v>
      </c>
      <c r="C138" s="3" t="s">
        <v>36</v>
      </c>
      <c r="D138" s="3" t="s">
        <v>37</v>
      </c>
      <c r="E138" s="3" t="s">
        <v>118</v>
      </c>
      <c r="F138" s="3" t="s">
        <v>4178</v>
      </c>
      <c r="G138" s="3" t="s">
        <v>39</v>
      </c>
      <c r="I138" s="2">
        <v>165</v>
      </c>
      <c r="J138" s="2">
        <v>165</v>
      </c>
      <c r="K138" s="2">
        <v>3</v>
      </c>
      <c r="O138" s="2">
        <v>6</v>
      </c>
      <c r="P138" s="2">
        <v>17</v>
      </c>
      <c r="W138" s="2">
        <v>5</v>
      </c>
      <c r="X138" s="2">
        <v>6</v>
      </c>
      <c r="Z138" s="2">
        <v>168</v>
      </c>
      <c r="AA138" s="3" t="s">
        <v>40</v>
      </c>
      <c r="AG138" s="2">
        <v>2</v>
      </c>
      <c r="AH138" s="3" t="s">
        <v>52</v>
      </c>
      <c r="AI138" s="4">
        <v>43606</v>
      </c>
      <c r="AJ138" s="3" t="s">
        <v>183</v>
      </c>
      <c r="AK138" s="3" t="s">
        <v>118</v>
      </c>
    </row>
    <row r="139" spans="1:37" hidden="1" x14ac:dyDescent="0.25">
      <c r="A139" t="str">
        <f t="shared" si="2"/>
        <v>2019_NSW_Greenethorpe_Mixed_DetailedTOS2VarietyStrikerWaterTrtRainFed</v>
      </c>
      <c r="B139" s="2">
        <v>2019002</v>
      </c>
      <c r="C139" s="3" t="s">
        <v>36</v>
      </c>
      <c r="D139" s="3" t="s">
        <v>37</v>
      </c>
      <c r="E139" s="3" t="s">
        <v>118</v>
      </c>
      <c r="F139" s="3" t="s">
        <v>4179</v>
      </c>
      <c r="G139" s="3" t="s">
        <v>43</v>
      </c>
      <c r="I139" s="2">
        <v>166</v>
      </c>
      <c r="J139" s="2">
        <v>166</v>
      </c>
      <c r="K139" s="2">
        <v>3</v>
      </c>
      <c r="O139" s="2">
        <v>6</v>
      </c>
      <c r="P139" s="2">
        <v>17</v>
      </c>
      <c r="W139" s="2">
        <v>6</v>
      </c>
      <c r="X139" s="2">
        <v>6</v>
      </c>
      <c r="Z139" s="2">
        <v>167</v>
      </c>
      <c r="AA139" s="3" t="s">
        <v>40</v>
      </c>
      <c r="AG139" s="2">
        <v>2</v>
      </c>
      <c r="AH139" s="3" t="s">
        <v>52</v>
      </c>
      <c r="AI139" s="4">
        <v>43606</v>
      </c>
      <c r="AJ139" s="3" t="s">
        <v>184</v>
      </c>
      <c r="AK139" s="3" t="s">
        <v>118</v>
      </c>
    </row>
    <row r="140" spans="1:37" hidden="1" x14ac:dyDescent="0.25">
      <c r="A140" t="str">
        <f t="shared" si="2"/>
        <v>2019_NSW_Greenethorpe_Mixed_DetailedTOS2VarietyHatTrickWaterTrtRainFed</v>
      </c>
      <c r="B140" s="2">
        <v>2019002</v>
      </c>
      <c r="C140" s="3" t="s">
        <v>36</v>
      </c>
      <c r="D140" s="3" t="s">
        <v>37</v>
      </c>
      <c r="E140" s="3" t="s">
        <v>118</v>
      </c>
      <c r="F140" s="3" t="s">
        <v>4178</v>
      </c>
      <c r="G140" s="3" t="s">
        <v>39</v>
      </c>
      <c r="I140" s="2">
        <v>167</v>
      </c>
      <c r="J140" s="2">
        <v>167</v>
      </c>
      <c r="K140" s="2">
        <v>3</v>
      </c>
      <c r="O140" s="2">
        <v>6</v>
      </c>
      <c r="P140" s="2">
        <v>17</v>
      </c>
      <c r="W140" s="2">
        <v>7</v>
      </c>
      <c r="X140" s="2">
        <v>6</v>
      </c>
      <c r="Z140" s="2">
        <v>166</v>
      </c>
      <c r="AA140" s="3" t="s">
        <v>40</v>
      </c>
      <c r="AG140" s="2">
        <v>2</v>
      </c>
      <c r="AH140" s="3" t="s">
        <v>52</v>
      </c>
      <c r="AI140" s="4">
        <v>43606</v>
      </c>
      <c r="AJ140" s="3" t="s">
        <v>185</v>
      </c>
      <c r="AK140" s="3" t="s">
        <v>118</v>
      </c>
    </row>
    <row r="141" spans="1:37" hidden="1" x14ac:dyDescent="0.25">
      <c r="A141" t="str">
        <f t="shared" si="2"/>
        <v>2019_NSW_Greenethorpe_Mixed_DetailedTOS2VarietySlasherWaterTrtRainFed</v>
      </c>
      <c r="B141" s="2">
        <v>2019002</v>
      </c>
      <c r="C141" s="3" t="s">
        <v>36</v>
      </c>
      <c r="D141" s="3" t="s">
        <v>37</v>
      </c>
      <c r="E141" s="3" t="s">
        <v>118</v>
      </c>
      <c r="F141" s="3" t="s">
        <v>4180</v>
      </c>
      <c r="G141" s="3" t="s">
        <v>39</v>
      </c>
      <c r="I141" s="2">
        <v>168</v>
      </c>
      <c r="J141" s="2">
        <v>168</v>
      </c>
      <c r="K141" s="2">
        <v>3</v>
      </c>
      <c r="O141" s="2">
        <v>6</v>
      </c>
      <c r="P141" s="2">
        <v>17</v>
      </c>
      <c r="W141" s="2">
        <v>8</v>
      </c>
      <c r="X141" s="2">
        <v>6</v>
      </c>
      <c r="Z141" s="2">
        <v>165</v>
      </c>
      <c r="AA141" s="3" t="s">
        <v>40</v>
      </c>
      <c r="AG141" s="2">
        <v>2</v>
      </c>
      <c r="AH141" s="3" t="s">
        <v>52</v>
      </c>
      <c r="AI141" s="4">
        <v>43606</v>
      </c>
      <c r="AJ141" s="3" t="s">
        <v>186</v>
      </c>
      <c r="AK141" s="3" t="s">
        <v>118</v>
      </c>
    </row>
    <row r="142" spans="1:37" hidden="1" x14ac:dyDescent="0.25">
      <c r="A142" t="str">
        <f t="shared" si="2"/>
        <v>2019_NSW_Greenethorpe_Mixed_DetailedTOS1VarietyHatTrickWaterTrtRainFed</v>
      </c>
      <c r="B142" s="2">
        <v>2019002</v>
      </c>
      <c r="C142" s="3" t="s">
        <v>36</v>
      </c>
      <c r="D142" s="3" t="s">
        <v>37</v>
      </c>
      <c r="E142" s="3" t="s">
        <v>118</v>
      </c>
      <c r="F142" s="3" t="s">
        <v>4178</v>
      </c>
      <c r="G142" s="3" t="s">
        <v>39</v>
      </c>
      <c r="I142" s="2">
        <v>169</v>
      </c>
      <c r="J142" s="2">
        <v>169</v>
      </c>
      <c r="K142" s="2">
        <v>3</v>
      </c>
      <c r="O142" s="2">
        <v>6</v>
      </c>
      <c r="P142" s="2">
        <v>18</v>
      </c>
      <c r="W142" s="2">
        <v>9</v>
      </c>
      <c r="X142" s="2">
        <v>6</v>
      </c>
      <c r="Z142" s="2">
        <v>164</v>
      </c>
      <c r="AA142" s="3" t="s">
        <v>40</v>
      </c>
      <c r="AG142" s="2">
        <v>1</v>
      </c>
      <c r="AH142" s="3" t="s">
        <v>47</v>
      </c>
      <c r="AI142" s="4">
        <v>43585</v>
      </c>
      <c r="AJ142" s="3" t="s">
        <v>187</v>
      </c>
      <c r="AK142" s="3" t="s">
        <v>118</v>
      </c>
    </row>
    <row r="143" spans="1:37" hidden="1" x14ac:dyDescent="0.25">
      <c r="A143" t="str">
        <f t="shared" si="2"/>
        <v>2019_NSW_Greenethorpe_Mixed_DetailedTOS1VarietySlasherWaterTrtRainFed</v>
      </c>
      <c r="B143" s="2">
        <v>2019002</v>
      </c>
      <c r="C143" s="3" t="s">
        <v>36</v>
      </c>
      <c r="D143" s="3" t="s">
        <v>37</v>
      </c>
      <c r="E143" s="3" t="s">
        <v>118</v>
      </c>
      <c r="F143" s="3" t="s">
        <v>4180</v>
      </c>
      <c r="G143" s="3" t="s">
        <v>39</v>
      </c>
      <c r="I143" s="2">
        <v>170</v>
      </c>
      <c r="J143" s="2">
        <v>170</v>
      </c>
      <c r="K143" s="2">
        <v>3</v>
      </c>
      <c r="O143" s="2">
        <v>6</v>
      </c>
      <c r="P143" s="2">
        <v>18</v>
      </c>
      <c r="W143" s="2">
        <v>10</v>
      </c>
      <c r="X143" s="2">
        <v>6</v>
      </c>
      <c r="Z143" s="2">
        <v>163</v>
      </c>
      <c r="AA143" s="3" t="s">
        <v>40</v>
      </c>
      <c r="AG143" s="2">
        <v>1</v>
      </c>
      <c r="AH143" s="3" t="s">
        <v>47</v>
      </c>
      <c r="AI143" s="4">
        <v>43585</v>
      </c>
      <c r="AJ143" s="3" t="s">
        <v>188</v>
      </c>
      <c r="AK143" s="3" t="s">
        <v>118</v>
      </c>
    </row>
    <row r="144" spans="1:37" hidden="1" x14ac:dyDescent="0.25">
      <c r="A144" t="str">
        <f t="shared" si="2"/>
        <v>2019_NSW_Greenethorpe_Mixed_DetailedTOS1VarietyHatTrickWaterTrtRainFed</v>
      </c>
      <c r="B144" s="2">
        <v>2019002</v>
      </c>
      <c r="C144" s="3" t="s">
        <v>36</v>
      </c>
      <c r="D144" s="3" t="s">
        <v>37</v>
      </c>
      <c r="E144" s="3" t="s">
        <v>118</v>
      </c>
      <c r="F144" s="3" t="s">
        <v>4178</v>
      </c>
      <c r="G144" s="3" t="s">
        <v>39</v>
      </c>
      <c r="I144" s="2">
        <v>171</v>
      </c>
      <c r="J144" s="2">
        <v>171</v>
      </c>
      <c r="K144" s="2">
        <v>3</v>
      </c>
      <c r="O144" s="2">
        <v>6</v>
      </c>
      <c r="P144" s="2">
        <v>18</v>
      </c>
      <c r="W144" s="2">
        <v>11</v>
      </c>
      <c r="X144" s="2">
        <v>6</v>
      </c>
      <c r="Z144" s="2">
        <v>162</v>
      </c>
      <c r="AA144" s="3" t="s">
        <v>40</v>
      </c>
      <c r="AG144" s="2">
        <v>1</v>
      </c>
      <c r="AH144" s="3" t="s">
        <v>47</v>
      </c>
      <c r="AI144" s="4">
        <v>43585</v>
      </c>
      <c r="AJ144" s="3" t="s">
        <v>189</v>
      </c>
      <c r="AK144" s="3" t="s">
        <v>118</v>
      </c>
    </row>
    <row r="145" spans="1:37" hidden="1" x14ac:dyDescent="0.25">
      <c r="A145" t="str">
        <f t="shared" si="2"/>
        <v>2019_NSW_Greenethorpe_Mixed_DetailedTOS1VarietyStrikerWaterTrtRainFed</v>
      </c>
      <c r="B145" s="2">
        <v>2019002</v>
      </c>
      <c r="C145" s="3" t="s">
        <v>36</v>
      </c>
      <c r="D145" s="3" t="s">
        <v>37</v>
      </c>
      <c r="E145" s="3" t="s">
        <v>118</v>
      </c>
      <c r="F145" s="3" t="s">
        <v>4179</v>
      </c>
      <c r="G145" s="3" t="s">
        <v>43</v>
      </c>
      <c r="I145" s="2">
        <v>172</v>
      </c>
      <c r="J145" s="2">
        <v>172</v>
      </c>
      <c r="K145" s="2">
        <v>3</v>
      </c>
      <c r="O145" s="2">
        <v>6</v>
      </c>
      <c r="P145" s="2">
        <v>18</v>
      </c>
      <c r="W145" s="2">
        <v>12</v>
      </c>
      <c r="X145" s="2">
        <v>6</v>
      </c>
      <c r="Z145" s="2">
        <v>161</v>
      </c>
      <c r="AA145" s="3" t="s">
        <v>40</v>
      </c>
      <c r="AG145" s="2">
        <v>1</v>
      </c>
      <c r="AH145" s="3" t="s">
        <v>47</v>
      </c>
      <c r="AI145" s="4">
        <v>43585</v>
      </c>
      <c r="AJ145" s="3" t="s">
        <v>190</v>
      </c>
      <c r="AK145" s="3" t="s">
        <v>118</v>
      </c>
    </row>
    <row r="146" spans="1:37" hidden="1" x14ac:dyDescent="0.25">
      <c r="A146" t="str">
        <f t="shared" si="2"/>
        <v>2019_NSW_Greenethorpe_Mixed_DetailedTOS2VarietyGenesis_090WaterTrtRainFed</v>
      </c>
      <c r="B146" s="2">
        <v>2019002</v>
      </c>
      <c r="C146" s="3" t="s">
        <v>36</v>
      </c>
      <c r="D146" s="3" t="s">
        <v>37</v>
      </c>
      <c r="E146" s="3" t="s">
        <v>191</v>
      </c>
      <c r="F146" s="3" t="s">
        <v>192</v>
      </c>
      <c r="G146" s="3" t="s">
        <v>39</v>
      </c>
      <c r="I146" s="2">
        <v>201</v>
      </c>
      <c r="J146" s="2">
        <v>201</v>
      </c>
      <c r="K146" s="2">
        <v>1</v>
      </c>
      <c r="O146" s="2">
        <v>1</v>
      </c>
      <c r="P146" s="2">
        <v>1</v>
      </c>
      <c r="W146" s="2">
        <v>1</v>
      </c>
      <c r="X146" s="2">
        <v>1</v>
      </c>
      <c r="Z146" s="2">
        <v>201</v>
      </c>
      <c r="AA146" s="3" t="s">
        <v>40</v>
      </c>
      <c r="AG146" s="2">
        <v>2</v>
      </c>
      <c r="AH146" s="3" t="s">
        <v>52</v>
      </c>
      <c r="AI146" s="4">
        <v>43606</v>
      </c>
      <c r="AJ146" s="3" t="s">
        <v>193</v>
      </c>
      <c r="AK146" s="3" t="s">
        <v>191</v>
      </c>
    </row>
    <row r="147" spans="1:37" hidden="1" x14ac:dyDescent="0.25">
      <c r="A147" t="str">
        <f t="shared" si="2"/>
        <v>2019_NSW_Greenethorpe_Mixed_DetailedTOS2VarietyMonarchWaterTrtRainFed</v>
      </c>
      <c r="B147" s="2">
        <v>2019002</v>
      </c>
      <c r="C147" s="3" t="s">
        <v>36</v>
      </c>
      <c r="D147" s="3" t="s">
        <v>37</v>
      </c>
      <c r="E147" s="3" t="s">
        <v>191</v>
      </c>
      <c r="F147" s="3" t="s">
        <v>4181</v>
      </c>
      <c r="G147" s="3" t="s">
        <v>39</v>
      </c>
      <c r="I147" s="2">
        <v>202</v>
      </c>
      <c r="J147" s="2">
        <v>202</v>
      </c>
      <c r="K147" s="2">
        <v>1</v>
      </c>
      <c r="O147" s="2">
        <v>1</v>
      </c>
      <c r="P147" s="2">
        <v>1</v>
      </c>
      <c r="W147" s="2">
        <v>2</v>
      </c>
      <c r="X147" s="2">
        <v>1</v>
      </c>
      <c r="Z147" s="2">
        <v>202</v>
      </c>
      <c r="AA147" s="3" t="s">
        <v>40</v>
      </c>
      <c r="AG147" s="2">
        <v>2</v>
      </c>
      <c r="AH147" s="3" t="s">
        <v>52</v>
      </c>
      <c r="AI147" s="4">
        <v>43606</v>
      </c>
      <c r="AJ147" s="3" t="s">
        <v>194</v>
      </c>
      <c r="AK147" s="3" t="s">
        <v>191</v>
      </c>
    </row>
    <row r="148" spans="1:37" hidden="1" x14ac:dyDescent="0.25">
      <c r="A148" t="str">
        <f t="shared" si="2"/>
        <v>2019_NSW_Greenethorpe_Mixed_DetailedTOS2VarietyGenesis_090WaterTrtRainFed</v>
      </c>
      <c r="B148" s="2">
        <v>2019002</v>
      </c>
      <c r="C148" s="3" t="s">
        <v>36</v>
      </c>
      <c r="D148" s="3" t="s">
        <v>37</v>
      </c>
      <c r="E148" s="3" t="s">
        <v>191</v>
      </c>
      <c r="F148" s="3" t="s">
        <v>192</v>
      </c>
      <c r="G148" s="3" t="s">
        <v>39</v>
      </c>
      <c r="I148" s="2">
        <v>203</v>
      </c>
      <c r="J148" s="2">
        <v>203</v>
      </c>
      <c r="K148" s="2">
        <v>1</v>
      </c>
      <c r="O148" s="2">
        <v>1</v>
      </c>
      <c r="P148" s="2">
        <v>1</v>
      </c>
      <c r="W148" s="2">
        <v>3</v>
      </c>
      <c r="X148" s="2">
        <v>1</v>
      </c>
      <c r="Z148" s="2">
        <v>203</v>
      </c>
      <c r="AA148" s="3" t="s">
        <v>40</v>
      </c>
      <c r="AG148" s="2">
        <v>2</v>
      </c>
      <c r="AH148" s="3" t="s">
        <v>52</v>
      </c>
      <c r="AI148" s="4">
        <v>43606</v>
      </c>
      <c r="AJ148" s="3" t="s">
        <v>195</v>
      </c>
      <c r="AK148" s="3" t="s">
        <v>191</v>
      </c>
    </row>
    <row r="149" spans="1:37" hidden="1" x14ac:dyDescent="0.25">
      <c r="A149" t="str">
        <f t="shared" si="2"/>
        <v>2019_NSW_Greenethorpe_Mixed_DetailedTOS1VarietyGenesis_090WaterTrtRainFed</v>
      </c>
      <c r="B149" s="2">
        <v>2019002</v>
      </c>
      <c r="C149" s="3" t="s">
        <v>36</v>
      </c>
      <c r="D149" s="3" t="s">
        <v>37</v>
      </c>
      <c r="E149" s="3" t="s">
        <v>191</v>
      </c>
      <c r="F149" s="3" t="s">
        <v>192</v>
      </c>
      <c r="G149" s="3" t="s">
        <v>39</v>
      </c>
      <c r="I149" s="2">
        <v>204</v>
      </c>
      <c r="J149" s="2">
        <v>204</v>
      </c>
      <c r="K149" s="2">
        <v>1</v>
      </c>
      <c r="O149" s="2">
        <v>1</v>
      </c>
      <c r="P149" s="2">
        <v>2</v>
      </c>
      <c r="W149" s="2">
        <v>4</v>
      </c>
      <c r="X149" s="2">
        <v>1</v>
      </c>
      <c r="Z149" s="2">
        <v>204</v>
      </c>
      <c r="AA149" s="3" t="s">
        <v>40</v>
      </c>
      <c r="AG149" s="2">
        <v>1</v>
      </c>
      <c r="AH149" s="3" t="s">
        <v>47</v>
      </c>
      <c r="AI149" s="4">
        <v>43585</v>
      </c>
      <c r="AJ149" s="3" t="s">
        <v>196</v>
      </c>
      <c r="AK149" s="3" t="s">
        <v>191</v>
      </c>
    </row>
    <row r="150" spans="1:37" hidden="1" x14ac:dyDescent="0.25">
      <c r="A150" t="str">
        <f t="shared" si="2"/>
        <v>2019_NSW_Greenethorpe_Mixed_DetailedTOS1VarietyMonarchWaterTrtRainFed</v>
      </c>
      <c r="B150" s="2">
        <v>2019002</v>
      </c>
      <c r="C150" s="3" t="s">
        <v>36</v>
      </c>
      <c r="D150" s="3" t="s">
        <v>37</v>
      </c>
      <c r="E150" s="3" t="s">
        <v>191</v>
      </c>
      <c r="F150" s="3" t="s">
        <v>4181</v>
      </c>
      <c r="G150" s="3" t="s">
        <v>39</v>
      </c>
      <c r="I150" s="2">
        <v>205</v>
      </c>
      <c r="J150" s="2">
        <v>205</v>
      </c>
      <c r="K150" s="2">
        <v>1</v>
      </c>
      <c r="O150" s="2">
        <v>1</v>
      </c>
      <c r="P150" s="2">
        <v>2</v>
      </c>
      <c r="W150" s="2">
        <v>5</v>
      </c>
      <c r="X150" s="2">
        <v>1</v>
      </c>
      <c r="Z150" s="2">
        <v>205</v>
      </c>
      <c r="AA150" s="3" t="s">
        <v>40</v>
      </c>
      <c r="AG150" s="2">
        <v>1</v>
      </c>
      <c r="AH150" s="3" t="s">
        <v>47</v>
      </c>
      <c r="AI150" s="4">
        <v>43585</v>
      </c>
      <c r="AJ150" s="3" t="s">
        <v>197</v>
      </c>
      <c r="AK150" s="3" t="s">
        <v>191</v>
      </c>
    </row>
    <row r="151" spans="1:37" hidden="1" x14ac:dyDescent="0.25">
      <c r="A151" t="str">
        <f t="shared" si="2"/>
        <v>2019_NSW_Greenethorpe_Mixed_DetailedTOS1VarietyGenesis_090WaterTrtRainFed</v>
      </c>
      <c r="B151" s="2">
        <v>2019002</v>
      </c>
      <c r="C151" s="3" t="s">
        <v>36</v>
      </c>
      <c r="D151" s="3" t="s">
        <v>37</v>
      </c>
      <c r="E151" s="3" t="s">
        <v>191</v>
      </c>
      <c r="F151" s="3" t="s">
        <v>192</v>
      </c>
      <c r="G151" s="3" t="s">
        <v>39</v>
      </c>
      <c r="I151" s="2">
        <v>206</v>
      </c>
      <c r="J151" s="2">
        <v>206</v>
      </c>
      <c r="K151" s="2">
        <v>1</v>
      </c>
      <c r="O151" s="2">
        <v>1</v>
      </c>
      <c r="P151" s="2">
        <v>2</v>
      </c>
      <c r="W151" s="2">
        <v>6</v>
      </c>
      <c r="X151" s="2">
        <v>1</v>
      </c>
      <c r="Z151" s="2">
        <v>206</v>
      </c>
      <c r="AA151" s="3" t="s">
        <v>40</v>
      </c>
      <c r="AG151" s="2">
        <v>1</v>
      </c>
      <c r="AH151" s="3" t="s">
        <v>47</v>
      </c>
      <c r="AI151" s="4">
        <v>43585</v>
      </c>
      <c r="AJ151" s="3" t="s">
        <v>198</v>
      </c>
      <c r="AK151" s="3" t="s">
        <v>191</v>
      </c>
    </row>
    <row r="152" spans="1:37" hidden="1" x14ac:dyDescent="0.25">
      <c r="A152" t="str">
        <f t="shared" si="2"/>
        <v>2019_NSW_Greenethorpe_Mixed_DetailedTOS3VarietyMonarchWaterTrtRainFed</v>
      </c>
      <c r="B152" s="2">
        <v>2019002</v>
      </c>
      <c r="C152" s="3" t="s">
        <v>36</v>
      </c>
      <c r="D152" s="3" t="s">
        <v>37</v>
      </c>
      <c r="E152" s="3" t="s">
        <v>191</v>
      </c>
      <c r="F152" s="3" t="s">
        <v>4181</v>
      </c>
      <c r="G152" s="3" t="s">
        <v>39</v>
      </c>
      <c r="I152" s="2">
        <v>207</v>
      </c>
      <c r="J152" s="2">
        <v>207</v>
      </c>
      <c r="K152" s="2">
        <v>1</v>
      </c>
      <c r="O152" s="2">
        <v>1</v>
      </c>
      <c r="P152" s="2">
        <v>3</v>
      </c>
      <c r="W152" s="2">
        <v>7</v>
      </c>
      <c r="X152" s="2">
        <v>1</v>
      </c>
      <c r="Z152" s="2">
        <v>207</v>
      </c>
      <c r="AA152" s="3" t="s">
        <v>40</v>
      </c>
      <c r="AG152" s="2">
        <v>3</v>
      </c>
      <c r="AH152" s="3" t="s">
        <v>41</v>
      </c>
      <c r="AI152" s="4">
        <v>43627</v>
      </c>
      <c r="AJ152" s="3" t="s">
        <v>199</v>
      </c>
      <c r="AK152" s="3" t="s">
        <v>191</v>
      </c>
    </row>
    <row r="153" spans="1:37" hidden="1" x14ac:dyDescent="0.25">
      <c r="A153" t="str">
        <f t="shared" si="2"/>
        <v>2019_NSW_Greenethorpe_Mixed_DetailedTOS3VarietyGenesis_090WaterTrtRainFed</v>
      </c>
      <c r="B153" s="2">
        <v>2019002</v>
      </c>
      <c r="C153" s="3" t="s">
        <v>36</v>
      </c>
      <c r="D153" s="3" t="s">
        <v>37</v>
      </c>
      <c r="E153" s="3" t="s">
        <v>191</v>
      </c>
      <c r="F153" s="3" t="s">
        <v>192</v>
      </c>
      <c r="G153" s="3" t="s">
        <v>39</v>
      </c>
      <c r="I153" s="2">
        <v>208</v>
      </c>
      <c r="J153" s="2">
        <v>208</v>
      </c>
      <c r="K153" s="2">
        <v>1</v>
      </c>
      <c r="O153" s="2">
        <v>1</v>
      </c>
      <c r="P153" s="2">
        <v>3</v>
      </c>
      <c r="W153" s="2">
        <v>8</v>
      </c>
      <c r="X153" s="2">
        <v>1</v>
      </c>
      <c r="Z153" s="2">
        <v>208</v>
      </c>
      <c r="AA153" s="3" t="s">
        <v>40</v>
      </c>
      <c r="AG153" s="2">
        <v>3</v>
      </c>
      <c r="AH153" s="3" t="s">
        <v>41</v>
      </c>
      <c r="AI153" s="4">
        <v>43627</v>
      </c>
      <c r="AJ153" s="3" t="s">
        <v>200</v>
      </c>
      <c r="AK153" s="3" t="s">
        <v>191</v>
      </c>
    </row>
    <row r="154" spans="1:37" hidden="1" x14ac:dyDescent="0.25">
      <c r="A154" t="str">
        <f t="shared" si="2"/>
        <v>2019_NSW_Greenethorpe_Mixed_DetailedTOS3VarietyGenesis_090WaterTrtRainFed</v>
      </c>
      <c r="B154" s="2">
        <v>2019002</v>
      </c>
      <c r="C154" s="3" t="s">
        <v>36</v>
      </c>
      <c r="D154" s="3" t="s">
        <v>37</v>
      </c>
      <c r="E154" s="3" t="s">
        <v>191</v>
      </c>
      <c r="F154" s="3" t="s">
        <v>192</v>
      </c>
      <c r="G154" s="3" t="s">
        <v>39</v>
      </c>
      <c r="I154" s="2">
        <v>209</v>
      </c>
      <c r="J154" s="2">
        <v>209</v>
      </c>
      <c r="K154" s="2">
        <v>1</v>
      </c>
      <c r="O154" s="2">
        <v>1</v>
      </c>
      <c r="P154" s="2">
        <v>3</v>
      </c>
      <c r="W154" s="2">
        <v>9</v>
      </c>
      <c r="X154" s="2">
        <v>1</v>
      </c>
      <c r="Z154" s="2">
        <v>209</v>
      </c>
      <c r="AA154" s="3" t="s">
        <v>40</v>
      </c>
      <c r="AG154" s="2">
        <v>3</v>
      </c>
      <c r="AH154" s="3" t="s">
        <v>41</v>
      </c>
      <c r="AI154" s="4">
        <v>43627</v>
      </c>
      <c r="AJ154" s="3" t="s">
        <v>201</v>
      </c>
      <c r="AK154" s="3" t="s">
        <v>191</v>
      </c>
    </row>
    <row r="155" spans="1:37" hidden="1" x14ac:dyDescent="0.25">
      <c r="A155" t="str">
        <f t="shared" si="2"/>
        <v>2019_NSW_Greenethorpe_Mixed_DetailedTOS1VarietyGenesis_090WaterTrtIrrigated</v>
      </c>
      <c r="B155" s="2">
        <v>2019002</v>
      </c>
      <c r="C155" s="3" t="s">
        <v>36</v>
      </c>
      <c r="D155" s="3" t="s">
        <v>37</v>
      </c>
      <c r="E155" s="3" t="s">
        <v>191</v>
      </c>
      <c r="F155" s="3" t="s">
        <v>192</v>
      </c>
      <c r="G155" s="3" t="s">
        <v>39</v>
      </c>
      <c r="I155" s="2">
        <v>210</v>
      </c>
      <c r="J155" s="2">
        <v>210</v>
      </c>
      <c r="K155" s="2">
        <v>1</v>
      </c>
      <c r="O155" s="2">
        <v>2</v>
      </c>
      <c r="P155" s="2">
        <v>4</v>
      </c>
      <c r="W155" s="2">
        <v>1</v>
      </c>
      <c r="X155" s="2">
        <v>2</v>
      </c>
      <c r="Z155" s="2">
        <v>218</v>
      </c>
      <c r="AA155" s="3" t="s">
        <v>57</v>
      </c>
      <c r="AG155" s="2">
        <v>1</v>
      </c>
      <c r="AH155" s="3" t="s">
        <v>47</v>
      </c>
      <c r="AI155" s="4">
        <v>43585</v>
      </c>
      <c r="AJ155" s="3" t="s">
        <v>202</v>
      </c>
      <c r="AK155" s="3" t="s">
        <v>191</v>
      </c>
    </row>
    <row r="156" spans="1:37" hidden="1" x14ac:dyDescent="0.25">
      <c r="A156" t="str">
        <f t="shared" si="2"/>
        <v>2019_NSW_Greenethorpe_Mixed_DetailedTOS1VarietyGenesis_090WaterTrtIrrigated</v>
      </c>
      <c r="B156" s="2">
        <v>2019002</v>
      </c>
      <c r="C156" s="3" t="s">
        <v>36</v>
      </c>
      <c r="D156" s="3" t="s">
        <v>37</v>
      </c>
      <c r="E156" s="3" t="s">
        <v>191</v>
      </c>
      <c r="F156" s="3" t="s">
        <v>192</v>
      </c>
      <c r="G156" s="3" t="s">
        <v>39</v>
      </c>
      <c r="I156" s="2">
        <v>211</v>
      </c>
      <c r="J156" s="2">
        <v>211</v>
      </c>
      <c r="K156" s="2">
        <v>1</v>
      </c>
      <c r="O156" s="2">
        <v>2</v>
      </c>
      <c r="P156" s="2">
        <v>4</v>
      </c>
      <c r="W156" s="2">
        <v>2</v>
      </c>
      <c r="X156" s="2">
        <v>2</v>
      </c>
      <c r="Z156" s="2">
        <v>217</v>
      </c>
      <c r="AA156" s="3" t="s">
        <v>57</v>
      </c>
      <c r="AG156" s="2">
        <v>1</v>
      </c>
      <c r="AH156" s="3" t="s">
        <v>47</v>
      </c>
      <c r="AI156" s="4">
        <v>43585</v>
      </c>
      <c r="AJ156" s="3" t="s">
        <v>203</v>
      </c>
      <c r="AK156" s="3" t="s">
        <v>191</v>
      </c>
    </row>
    <row r="157" spans="1:37" hidden="1" x14ac:dyDescent="0.25">
      <c r="A157" t="str">
        <f t="shared" si="2"/>
        <v>2019_NSW_Greenethorpe_Mixed_DetailedTOS1VarietyMonarchWaterTrtIrrigated</v>
      </c>
      <c r="B157" s="2">
        <v>2019002</v>
      </c>
      <c r="C157" s="3" t="s">
        <v>36</v>
      </c>
      <c r="D157" s="3" t="s">
        <v>37</v>
      </c>
      <c r="E157" s="3" t="s">
        <v>191</v>
      </c>
      <c r="F157" s="3" t="s">
        <v>4181</v>
      </c>
      <c r="G157" s="3" t="s">
        <v>39</v>
      </c>
      <c r="I157" s="2">
        <v>212</v>
      </c>
      <c r="J157" s="2">
        <v>212</v>
      </c>
      <c r="K157" s="2">
        <v>1</v>
      </c>
      <c r="O157" s="2">
        <v>2</v>
      </c>
      <c r="P157" s="2">
        <v>4</v>
      </c>
      <c r="W157" s="2">
        <v>3</v>
      </c>
      <c r="X157" s="2">
        <v>2</v>
      </c>
      <c r="Z157" s="2">
        <v>216</v>
      </c>
      <c r="AA157" s="3" t="s">
        <v>57</v>
      </c>
      <c r="AG157" s="2">
        <v>1</v>
      </c>
      <c r="AH157" s="3" t="s">
        <v>47</v>
      </c>
      <c r="AI157" s="4">
        <v>43585</v>
      </c>
      <c r="AJ157" s="3" t="s">
        <v>204</v>
      </c>
      <c r="AK157" s="3" t="s">
        <v>191</v>
      </c>
    </row>
    <row r="158" spans="1:37" hidden="1" x14ac:dyDescent="0.25">
      <c r="A158" t="str">
        <f t="shared" si="2"/>
        <v>2019_NSW_Greenethorpe_Mixed_DetailedTOS3VarietyGenesis_090WaterTrtIrrigated</v>
      </c>
      <c r="B158" s="2">
        <v>2019002</v>
      </c>
      <c r="C158" s="3" t="s">
        <v>36</v>
      </c>
      <c r="D158" s="3" t="s">
        <v>37</v>
      </c>
      <c r="E158" s="3" t="s">
        <v>191</v>
      </c>
      <c r="F158" s="3" t="s">
        <v>192</v>
      </c>
      <c r="G158" s="3" t="s">
        <v>39</v>
      </c>
      <c r="I158" s="2">
        <v>213</v>
      </c>
      <c r="J158" s="2">
        <v>213</v>
      </c>
      <c r="K158" s="2">
        <v>1</v>
      </c>
      <c r="O158" s="2">
        <v>2</v>
      </c>
      <c r="P158" s="2">
        <v>5</v>
      </c>
      <c r="W158" s="2">
        <v>4</v>
      </c>
      <c r="X158" s="2">
        <v>2</v>
      </c>
      <c r="Z158" s="2">
        <v>215</v>
      </c>
      <c r="AA158" s="3" t="s">
        <v>57</v>
      </c>
      <c r="AG158" s="2">
        <v>3</v>
      </c>
      <c r="AH158" s="3" t="s">
        <v>41</v>
      </c>
      <c r="AI158" s="4">
        <v>43627</v>
      </c>
      <c r="AJ158" s="3" t="s">
        <v>205</v>
      </c>
      <c r="AK158" s="3" t="s">
        <v>191</v>
      </c>
    </row>
    <row r="159" spans="1:37" hidden="1" x14ac:dyDescent="0.25">
      <c r="A159" t="str">
        <f t="shared" si="2"/>
        <v>2019_NSW_Greenethorpe_Mixed_DetailedTOS3VarietyGenesis_090WaterTrtIrrigated</v>
      </c>
      <c r="B159" s="2">
        <v>2019002</v>
      </c>
      <c r="C159" s="3" t="s">
        <v>36</v>
      </c>
      <c r="D159" s="3" t="s">
        <v>37</v>
      </c>
      <c r="E159" s="3" t="s">
        <v>191</v>
      </c>
      <c r="F159" s="3" t="s">
        <v>192</v>
      </c>
      <c r="G159" s="3" t="s">
        <v>39</v>
      </c>
      <c r="I159" s="2">
        <v>214</v>
      </c>
      <c r="J159" s="2">
        <v>214</v>
      </c>
      <c r="K159" s="2">
        <v>1</v>
      </c>
      <c r="O159" s="2">
        <v>2</v>
      </c>
      <c r="P159" s="2">
        <v>5</v>
      </c>
      <c r="W159" s="2">
        <v>5</v>
      </c>
      <c r="X159" s="2">
        <v>2</v>
      </c>
      <c r="Z159" s="2">
        <v>214</v>
      </c>
      <c r="AA159" s="3" t="s">
        <v>57</v>
      </c>
      <c r="AG159" s="2">
        <v>3</v>
      </c>
      <c r="AH159" s="3" t="s">
        <v>41</v>
      </c>
      <c r="AI159" s="4">
        <v>43627</v>
      </c>
      <c r="AJ159" s="3" t="s">
        <v>206</v>
      </c>
      <c r="AK159" s="3" t="s">
        <v>191</v>
      </c>
    </row>
    <row r="160" spans="1:37" hidden="1" x14ac:dyDescent="0.25">
      <c r="A160" t="str">
        <f t="shared" si="2"/>
        <v>2019_NSW_Greenethorpe_Mixed_DetailedTOS3VarietyMonarchWaterTrtIrrigated</v>
      </c>
      <c r="B160" s="2">
        <v>2019002</v>
      </c>
      <c r="C160" s="3" t="s">
        <v>36</v>
      </c>
      <c r="D160" s="3" t="s">
        <v>37</v>
      </c>
      <c r="E160" s="3" t="s">
        <v>191</v>
      </c>
      <c r="F160" s="3" t="s">
        <v>4181</v>
      </c>
      <c r="G160" s="3" t="s">
        <v>39</v>
      </c>
      <c r="I160" s="2">
        <v>215</v>
      </c>
      <c r="J160" s="2">
        <v>215</v>
      </c>
      <c r="K160" s="2">
        <v>1</v>
      </c>
      <c r="O160" s="2">
        <v>2</v>
      </c>
      <c r="P160" s="2">
        <v>5</v>
      </c>
      <c r="W160" s="2">
        <v>6</v>
      </c>
      <c r="X160" s="2">
        <v>2</v>
      </c>
      <c r="Z160" s="2">
        <v>213</v>
      </c>
      <c r="AA160" s="3" t="s">
        <v>57</v>
      </c>
      <c r="AG160" s="2">
        <v>3</v>
      </c>
      <c r="AH160" s="3" t="s">
        <v>41</v>
      </c>
      <c r="AI160" s="4">
        <v>43627</v>
      </c>
      <c r="AJ160" s="3" t="s">
        <v>207</v>
      </c>
      <c r="AK160" s="3" t="s">
        <v>191</v>
      </c>
    </row>
    <row r="161" spans="1:37" hidden="1" x14ac:dyDescent="0.25">
      <c r="A161" t="str">
        <f t="shared" si="2"/>
        <v>2019_NSW_Greenethorpe_Mixed_DetailedTOS2VarietyGenesis_090WaterTrtIrrigated</v>
      </c>
      <c r="B161" s="2">
        <v>2019002</v>
      </c>
      <c r="C161" s="3" t="s">
        <v>36</v>
      </c>
      <c r="D161" s="3" t="s">
        <v>37</v>
      </c>
      <c r="E161" s="3" t="s">
        <v>191</v>
      </c>
      <c r="F161" s="3" t="s">
        <v>192</v>
      </c>
      <c r="G161" s="3" t="s">
        <v>39</v>
      </c>
      <c r="I161" s="2">
        <v>216</v>
      </c>
      <c r="J161" s="2">
        <v>216</v>
      </c>
      <c r="K161" s="2">
        <v>1</v>
      </c>
      <c r="O161" s="2">
        <v>2</v>
      </c>
      <c r="P161" s="2">
        <v>6</v>
      </c>
      <c r="W161" s="2">
        <v>7</v>
      </c>
      <c r="X161" s="2">
        <v>2</v>
      </c>
      <c r="Z161" s="2">
        <v>212</v>
      </c>
      <c r="AA161" s="3" t="s">
        <v>57</v>
      </c>
      <c r="AG161" s="2">
        <v>2</v>
      </c>
      <c r="AH161" s="3" t="s">
        <v>52</v>
      </c>
      <c r="AI161" s="4">
        <v>43606</v>
      </c>
      <c r="AJ161" s="3" t="s">
        <v>208</v>
      </c>
      <c r="AK161" s="3" t="s">
        <v>191</v>
      </c>
    </row>
    <row r="162" spans="1:37" hidden="1" x14ac:dyDescent="0.25">
      <c r="A162" t="str">
        <f t="shared" si="2"/>
        <v>2019_NSW_Greenethorpe_Mixed_DetailedTOS2VarietyGenesis_090WaterTrtIrrigated</v>
      </c>
      <c r="B162" s="2">
        <v>2019002</v>
      </c>
      <c r="C162" s="3" t="s">
        <v>36</v>
      </c>
      <c r="D162" s="3" t="s">
        <v>37</v>
      </c>
      <c r="E162" s="3" t="s">
        <v>191</v>
      </c>
      <c r="F162" s="3" t="s">
        <v>192</v>
      </c>
      <c r="G162" s="3" t="s">
        <v>39</v>
      </c>
      <c r="I162" s="2">
        <v>217</v>
      </c>
      <c r="J162" s="2">
        <v>217</v>
      </c>
      <c r="K162" s="2">
        <v>1</v>
      </c>
      <c r="O162" s="2">
        <v>2</v>
      </c>
      <c r="P162" s="2">
        <v>6</v>
      </c>
      <c r="W162" s="2">
        <v>8</v>
      </c>
      <c r="X162" s="2">
        <v>2</v>
      </c>
      <c r="Z162" s="2">
        <v>211</v>
      </c>
      <c r="AA162" s="3" t="s">
        <v>57</v>
      </c>
      <c r="AG162" s="2">
        <v>2</v>
      </c>
      <c r="AH162" s="3" t="s">
        <v>52</v>
      </c>
      <c r="AI162" s="4">
        <v>43606</v>
      </c>
      <c r="AJ162" s="3" t="s">
        <v>209</v>
      </c>
      <c r="AK162" s="3" t="s">
        <v>191</v>
      </c>
    </row>
    <row r="163" spans="1:37" hidden="1" x14ac:dyDescent="0.25">
      <c r="A163" t="str">
        <f t="shared" si="2"/>
        <v>2019_NSW_Greenethorpe_Mixed_DetailedTOS2VarietyMonarchWaterTrtIrrigated</v>
      </c>
      <c r="B163" s="2">
        <v>2019002</v>
      </c>
      <c r="C163" s="3" t="s">
        <v>36</v>
      </c>
      <c r="D163" s="3" t="s">
        <v>37</v>
      </c>
      <c r="E163" s="3" t="s">
        <v>191</v>
      </c>
      <c r="F163" s="3" t="s">
        <v>4181</v>
      </c>
      <c r="G163" s="3" t="s">
        <v>39</v>
      </c>
      <c r="I163" s="2">
        <v>218</v>
      </c>
      <c r="J163" s="2">
        <v>218</v>
      </c>
      <c r="K163" s="2">
        <v>1</v>
      </c>
      <c r="O163" s="2">
        <v>2</v>
      </c>
      <c r="P163" s="2">
        <v>6</v>
      </c>
      <c r="W163" s="2">
        <v>9</v>
      </c>
      <c r="X163" s="2">
        <v>2</v>
      </c>
      <c r="Z163" s="2">
        <v>210</v>
      </c>
      <c r="AA163" s="3" t="s">
        <v>57</v>
      </c>
      <c r="AG163" s="2">
        <v>2</v>
      </c>
      <c r="AH163" s="3" t="s">
        <v>52</v>
      </c>
      <c r="AI163" s="4">
        <v>43606</v>
      </c>
      <c r="AJ163" s="3" t="s">
        <v>210</v>
      </c>
      <c r="AK163" s="3" t="s">
        <v>191</v>
      </c>
    </row>
    <row r="164" spans="1:37" hidden="1" x14ac:dyDescent="0.25">
      <c r="A164" t="str">
        <f t="shared" si="2"/>
        <v>2019_NSW_Greenethorpe_Mixed_DetailedTOS3VarietyMonarchWaterTrtRainFed</v>
      </c>
      <c r="B164" s="2">
        <v>2019002</v>
      </c>
      <c r="C164" s="3" t="s">
        <v>36</v>
      </c>
      <c r="D164" s="3" t="s">
        <v>37</v>
      </c>
      <c r="E164" s="3" t="s">
        <v>191</v>
      </c>
      <c r="F164" s="3" t="s">
        <v>4181</v>
      </c>
      <c r="G164" s="3" t="s">
        <v>39</v>
      </c>
      <c r="I164" s="2">
        <v>219</v>
      </c>
      <c r="J164" s="2">
        <v>219</v>
      </c>
      <c r="K164" s="2">
        <v>2</v>
      </c>
      <c r="O164" s="2">
        <v>3</v>
      </c>
      <c r="P164" s="2">
        <v>7</v>
      </c>
      <c r="W164" s="2">
        <v>1</v>
      </c>
      <c r="X164" s="2">
        <v>3</v>
      </c>
      <c r="Z164" s="2">
        <v>219</v>
      </c>
      <c r="AA164" s="3" t="s">
        <v>40</v>
      </c>
      <c r="AG164" s="2">
        <v>3</v>
      </c>
      <c r="AH164" s="3" t="s">
        <v>41</v>
      </c>
      <c r="AI164" s="4">
        <v>43627</v>
      </c>
      <c r="AJ164" s="3" t="s">
        <v>211</v>
      </c>
      <c r="AK164" s="3" t="s">
        <v>191</v>
      </c>
    </row>
    <row r="165" spans="1:37" hidden="1" x14ac:dyDescent="0.25">
      <c r="A165" t="str">
        <f t="shared" si="2"/>
        <v>2019_NSW_Greenethorpe_Mixed_DetailedTOS3VarietyGenesis_090WaterTrtRainFed</v>
      </c>
      <c r="B165" s="2">
        <v>2019002</v>
      </c>
      <c r="C165" s="3" t="s">
        <v>36</v>
      </c>
      <c r="D165" s="3" t="s">
        <v>37</v>
      </c>
      <c r="E165" s="3" t="s">
        <v>191</v>
      </c>
      <c r="F165" s="3" t="s">
        <v>192</v>
      </c>
      <c r="G165" s="3" t="s">
        <v>39</v>
      </c>
      <c r="I165" s="2">
        <v>220</v>
      </c>
      <c r="J165" s="2">
        <v>220</v>
      </c>
      <c r="K165" s="2">
        <v>2</v>
      </c>
      <c r="O165" s="2">
        <v>3</v>
      </c>
      <c r="P165" s="2">
        <v>7</v>
      </c>
      <c r="W165" s="2">
        <v>2</v>
      </c>
      <c r="X165" s="2">
        <v>3</v>
      </c>
      <c r="Z165" s="2">
        <v>220</v>
      </c>
      <c r="AA165" s="3" t="s">
        <v>40</v>
      </c>
      <c r="AG165" s="2">
        <v>3</v>
      </c>
      <c r="AH165" s="3" t="s">
        <v>41</v>
      </c>
      <c r="AI165" s="4">
        <v>43627</v>
      </c>
      <c r="AJ165" s="3" t="s">
        <v>212</v>
      </c>
      <c r="AK165" s="3" t="s">
        <v>191</v>
      </c>
    </row>
    <row r="166" spans="1:37" hidden="1" x14ac:dyDescent="0.25">
      <c r="A166" t="str">
        <f t="shared" si="2"/>
        <v>2019_NSW_Greenethorpe_Mixed_DetailedTOS3VarietyGenesis_090WaterTrtRainFed</v>
      </c>
      <c r="B166" s="2">
        <v>2019002</v>
      </c>
      <c r="C166" s="3" t="s">
        <v>36</v>
      </c>
      <c r="D166" s="3" t="s">
        <v>37</v>
      </c>
      <c r="E166" s="3" t="s">
        <v>191</v>
      </c>
      <c r="F166" s="3" t="s">
        <v>192</v>
      </c>
      <c r="G166" s="3" t="s">
        <v>39</v>
      </c>
      <c r="I166" s="2">
        <v>221</v>
      </c>
      <c r="J166" s="2">
        <v>221</v>
      </c>
      <c r="K166" s="2">
        <v>2</v>
      </c>
      <c r="O166" s="2">
        <v>3</v>
      </c>
      <c r="P166" s="2">
        <v>7</v>
      </c>
      <c r="W166" s="2">
        <v>3</v>
      </c>
      <c r="X166" s="2">
        <v>3</v>
      </c>
      <c r="Z166" s="2">
        <v>221</v>
      </c>
      <c r="AA166" s="3" t="s">
        <v>40</v>
      </c>
      <c r="AG166" s="2">
        <v>3</v>
      </c>
      <c r="AH166" s="3" t="s">
        <v>41</v>
      </c>
      <c r="AI166" s="4">
        <v>43627</v>
      </c>
      <c r="AJ166" s="3" t="s">
        <v>213</v>
      </c>
      <c r="AK166" s="3" t="s">
        <v>191</v>
      </c>
    </row>
    <row r="167" spans="1:37" hidden="1" x14ac:dyDescent="0.25">
      <c r="A167" t="str">
        <f t="shared" si="2"/>
        <v>2019_NSW_Greenethorpe_Mixed_DetailedTOS2VarietyMonarchWaterTrtRainFed</v>
      </c>
      <c r="B167" s="2">
        <v>2019002</v>
      </c>
      <c r="C167" s="3" t="s">
        <v>36</v>
      </c>
      <c r="D167" s="3" t="s">
        <v>37</v>
      </c>
      <c r="E167" s="3" t="s">
        <v>191</v>
      </c>
      <c r="F167" s="3" t="s">
        <v>4181</v>
      </c>
      <c r="G167" s="3" t="s">
        <v>39</v>
      </c>
      <c r="I167" s="2">
        <v>222</v>
      </c>
      <c r="J167" s="2">
        <v>222</v>
      </c>
      <c r="K167" s="2">
        <v>2</v>
      </c>
      <c r="O167" s="2">
        <v>3</v>
      </c>
      <c r="P167" s="2">
        <v>8</v>
      </c>
      <c r="W167" s="2">
        <v>4</v>
      </c>
      <c r="X167" s="2">
        <v>3</v>
      </c>
      <c r="Z167" s="2">
        <v>222</v>
      </c>
      <c r="AA167" s="3" t="s">
        <v>40</v>
      </c>
      <c r="AG167" s="2">
        <v>2</v>
      </c>
      <c r="AH167" s="3" t="s">
        <v>52</v>
      </c>
      <c r="AI167" s="4">
        <v>43606</v>
      </c>
      <c r="AJ167" s="3" t="s">
        <v>214</v>
      </c>
      <c r="AK167" s="3" t="s">
        <v>191</v>
      </c>
    </row>
    <row r="168" spans="1:37" hidden="1" x14ac:dyDescent="0.25">
      <c r="A168" t="str">
        <f t="shared" si="2"/>
        <v>2019_NSW_Greenethorpe_Mixed_DetailedTOS2VarietyGenesis_090WaterTrtRainFed</v>
      </c>
      <c r="B168" s="2">
        <v>2019002</v>
      </c>
      <c r="C168" s="3" t="s">
        <v>36</v>
      </c>
      <c r="D168" s="3" t="s">
        <v>37</v>
      </c>
      <c r="E168" s="3" t="s">
        <v>191</v>
      </c>
      <c r="F168" s="3" t="s">
        <v>192</v>
      </c>
      <c r="G168" s="3" t="s">
        <v>39</v>
      </c>
      <c r="I168" s="2">
        <v>223</v>
      </c>
      <c r="J168" s="2">
        <v>223</v>
      </c>
      <c r="K168" s="2">
        <v>2</v>
      </c>
      <c r="O168" s="2">
        <v>3</v>
      </c>
      <c r="P168" s="2">
        <v>8</v>
      </c>
      <c r="W168" s="2">
        <v>5</v>
      </c>
      <c r="X168" s="2">
        <v>3</v>
      </c>
      <c r="Z168" s="2">
        <v>223</v>
      </c>
      <c r="AA168" s="3" t="s">
        <v>40</v>
      </c>
      <c r="AG168" s="2">
        <v>2</v>
      </c>
      <c r="AH168" s="3" t="s">
        <v>52</v>
      </c>
      <c r="AI168" s="4">
        <v>43606</v>
      </c>
      <c r="AJ168" s="3" t="s">
        <v>215</v>
      </c>
      <c r="AK168" s="3" t="s">
        <v>191</v>
      </c>
    </row>
    <row r="169" spans="1:37" hidden="1" x14ac:dyDescent="0.25">
      <c r="A169" t="str">
        <f t="shared" si="2"/>
        <v>2019_NSW_Greenethorpe_Mixed_DetailedTOS2VarietyGenesis_090WaterTrtRainFed</v>
      </c>
      <c r="B169" s="2">
        <v>2019002</v>
      </c>
      <c r="C169" s="3" t="s">
        <v>36</v>
      </c>
      <c r="D169" s="3" t="s">
        <v>37</v>
      </c>
      <c r="E169" s="3" t="s">
        <v>191</v>
      </c>
      <c r="F169" s="3" t="s">
        <v>192</v>
      </c>
      <c r="G169" s="3" t="s">
        <v>39</v>
      </c>
      <c r="I169" s="2">
        <v>224</v>
      </c>
      <c r="J169" s="2">
        <v>224</v>
      </c>
      <c r="K169" s="2">
        <v>2</v>
      </c>
      <c r="O169" s="2">
        <v>3</v>
      </c>
      <c r="P169" s="2">
        <v>8</v>
      </c>
      <c r="W169" s="2">
        <v>6</v>
      </c>
      <c r="X169" s="2">
        <v>3</v>
      </c>
      <c r="Z169" s="2">
        <v>224</v>
      </c>
      <c r="AA169" s="3" t="s">
        <v>40</v>
      </c>
      <c r="AG169" s="2">
        <v>2</v>
      </c>
      <c r="AH169" s="3" t="s">
        <v>52</v>
      </c>
      <c r="AI169" s="4">
        <v>43606</v>
      </c>
      <c r="AJ169" s="3" t="s">
        <v>216</v>
      </c>
      <c r="AK169" s="3" t="s">
        <v>191</v>
      </c>
    </row>
    <row r="170" spans="1:37" hidden="1" x14ac:dyDescent="0.25">
      <c r="A170" t="str">
        <f t="shared" si="2"/>
        <v>2019_NSW_Greenethorpe_Mixed_DetailedTOS1VarietyGenesis_090WaterTrtRainFed</v>
      </c>
      <c r="B170" s="2">
        <v>2019002</v>
      </c>
      <c r="C170" s="3" t="s">
        <v>36</v>
      </c>
      <c r="D170" s="3" t="s">
        <v>37</v>
      </c>
      <c r="E170" s="3" t="s">
        <v>191</v>
      </c>
      <c r="F170" s="3" t="s">
        <v>192</v>
      </c>
      <c r="G170" s="3" t="s">
        <v>39</v>
      </c>
      <c r="I170" s="2">
        <v>225</v>
      </c>
      <c r="J170" s="2">
        <v>225</v>
      </c>
      <c r="K170" s="2">
        <v>2</v>
      </c>
      <c r="O170" s="2">
        <v>3</v>
      </c>
      <c r="P170" s="2">
        <v>9</v>
      </c>
      <c r="W170" s="2">
        <v>7</v>
      </c>
      <c r="X170" s="2">
        <v>3</v>
      </c>
      <c r="Z170" s="2">
        <v>225</v>
      </c>
      <c r="AA170" s="3" t="s">
        <v>40</v>
      </c>
      <c r="AG170" s="2">
        <v>1</v>
      </c>
      <c r="AH170" s="3" t="s">
        <v>47</v>
      </c>
      <c r="AI170" s="4">
        <v>43585</v>
      </c>
      <c r="AJ170" s="3" t="s">
        <v>217</v>
      </c>
      <c r="AK170" s="3" t="s">
        <v>191</v>
      </c>
    </row>
    <row r="171" spans="1:37" hidden="1" x14ac:dyDescent="0.25">
      <c r="A171" t="str">
        <f t="shared" si="2"/>
        <v>2019_NSW_Greenethorpe_Mixed_DetailedTOS1VarietyMonarchWaterTrtRainFed</v>
      </c>
      <c r="B171" s="2">
        <v>2019002</v>
      </c>
      <c r="C171" s="3" t="s">
        <v>36</v>
      </c>
      <c r="D171" s="3" t="s">
        <v>37</v>
      </c>
      <c r="E171" s="3" t="s">
        <v>191</v>
      </c>
      <c r="F171" s="3" t="s">
        <v>4181</v>
      </c>
      <c r="G171" s="3" t="s">
        <v>39</v>
      </c>
      <c r="I171" s="2">
        <v>226</v>
      </c>
      <c r="J171" s="2">
        <v>226</v>
      </c>
      <c r="K171" s="2">
        <v>2</v>
      </c>
      <c r="O171" s="2">
        <v>3</v>
      </c>
      <c r="P171" s="2">
        <v>9</v>
      </c>
      <c r="W171" s="2">
        <v>8</v>
      </c>
      <c r="X171" s="2">
        <v>3</v>
      </c>
      <c r="Z171" s="2">
        <v>226</v>
      </c>
      <c r="AA171" s="3" t="s">
        <v>40</v>
      </c>
      <c r="AG171" s="2">
        <v>1</v>
      </c>
      <c r="AH171" s="3" t="s">
        <v>47</v>
      </c>
      <c r="AI171" s="4">
        <v>43585</v>
      </c>
      <c r="AJ171" s="3" t="s">
        <v>218</v>
      </c>
      <c r="AK171" s="3" t="s">
        <v>191</v>
      </c>
    </row>
    <row r="172" spans="1:37" hidden="1" x14ac:dyDescent="0.25">
      <c r="A172" t="str">
        <f t="shared" si="2"/>
        <v>2019_NSW_Greenethorpe_Mixed_DetailedTOS1VarietyGenesis_090WaterTrtRainFed</v>
      </c>
      <c r="B172" s="2">
        <v>2019002</v>
      </c>
      <c r="C172" s="3" t="s">
        <v>36</v>
      </c>
      <c r="D172" s="3" t="s">
        <v>37</v>
      </c>
      <c r="E172" s="3" t="s">
        <v>191</v>
      </c>
      <c r="F172" s="3" t="s">
        <v>192</v>
      </c>
      <c r="G172" s="3" t="s">
        <v>39</v>
      </c>
      <c r="I172" s="2">
        <v>227</v>
      </c>
      <c r="J172" s="2">
        <v>227</v>
      </c>
      <c r="K172" s="2">
        <v>2</v>
      </c>
      <c r="O172" s="2">
        <v>3</v>
      </c>
      <c r="P172" s="2">
        <v>9</v>
      </c>
      <c r="W172" s="2">
        <v>9</v>
      </c>
      <c r="X172" s="2">
        <v>3</v>
      </c>
      <c r="Z172" s="2">
        <v>227</v>
      </c>
      <c r="AA172" s="3" t="s">
        <v>40</v>
      </c>
      <c r="AG172" s="2">
        <v>1</v>
      </c>
      <c r="AH172" s="3" t="s">
        <v>47</v>
      </c>
      <c r="AI172" s="4">
        <v>43585</v>
      </c>
      <c r="AJ172" s="3" t="s">
        <v>219</v>
      </c>
      <c r="AK172" s="3" t="s">
        <v>191</v>
      </c>
    </row>
    <row r="173" spans="1:37" hidden="1" x14ac:dyDescent="0.25">
      <c r="A173" t="str">
        <f t="shared" si="2"/>
        <v>2019_NSW_Greenethorpe_Mixed_DetailedTOS2VarietyMonarchWaterTrtIrrigated</v>
      </c>
      <c r="B173" s="2">
        <v>2019002</v>
      </c>
      <c r="C173" s="3" t="s">
        <v>36</v>
      </c>
      <c r="D173" s="3" t="s">
        <v>37</v>
      </c>
      <c r="E173" s="3" t="s">
        <v>191</v>
      </c>
      <c r="F173" s="3" t="s">
        <v>4181</v>
      </c>
      <c r="G173" s="3" t="s">
        <v>39</v>
      </c>
      <c r="I173" s="2">
        <v>228</v>
      </c>
      <c r="J173" s="2">
        <v>228</v>
      </c>
      <c r="K173" s="2">
        <v>2</v>
      </c>
      <c r="O173" s="2">
        <v>4</v>
      </c>
      <c r="P173" s="2">
        <v>10</v>
      </c>
      <c r="W173" s="2">
        <v>1</v>
      </c>
      <c r="X173" s="2">
        <v>4</v>
      </c>
      <c r="Z173" s="2">
        <v>236</v>
      </c>
      <c r="AA173" s="3" t="s">
        <v>57</v>
      </c>
      <c r="AG173" s="2">
        <v>2</v>
      </c>
      <c r="AH173" s="3" t="s">
        <v>52</v>
      </c>
      <c r="AI173" s="4">
        <v>43606</v>
      </c>
      <c r="AJ173" s="3" t="s">
        <v>220</v>
      </c>
      <c r="AK173" s="3" t="s">
        <v>191</v>
      </c>
    </row>
    <row r="174" spans="1:37" hidden="1" x14ac:dyDescent="0.25">
      <c r="A174" t="str">
        <f t="shared" si="2"/>
        <v>2019_NSW_Greenethorpe_Mixed_DetailedTOS2VarietyGenesis_090WaterTrtIrrigated</v>
      </c>
      <c r="B174" s="2">
        <v>2019002</v>
      </c>
      <c r="C174" s="3" t="s">
        <v>36</v>
      </c>
      <c r="D174" s="3" t="s">
        <v>37</v>
      </c>
      <c r="E174" s="3" t="s">
        <v>191</v>
      </c>
      <c r="F174" s="3" t="s">
        <v>192</v>
      </c>
      <c r="G174" s="3" t="s">
        <v>39</v>
      </c>
      <c r="I174" s="2">
        <v>229</v>
      </c>
      <c r="J174" s="2">
        <v>229</v>
      </c>
      <c r="K174" s="2">
        <v>2</v>
      </c>
      <c r="O174" s="2">
        <v>4</v>
      </c>
      <c r="P174" s="2">
        <v>10</v>
      </c>
      <c r="W174" s="2">
        <v>2</v>
      </c>
      <c r="X174" s="2">
        <v>4</v>
      </c>
      <c r="Z174" s="2">
        <v>235</v>
      </c>
      <c r="AA174" s="3" t="s">
        <v>57</v>
      </c>
      <c r="AG174" s="2">
        <v>2</v>
      </c>
      <c r="AH174" s="3" t="s">
        <v>52</v>
      </c>
      <c r="AI174" s="4">
        <v>43606</v>
      </c>
      <c r="AJ174" s="3" t="s">
        <v>221</v>
      </c>
      <c r="AK174" s="3" t="s">
        <v>191</v>
      </c>
    </row>
    <row r="175" spans="1:37" hidden="1" x14ac:dyDescent="0.25">
      <c r="A175" t="str">
        <f t="shared" si="2"/>
        <v>2019_NSW_Greenethorpe_Mixed_DetailedTOS2VarietyGenesis_090WaterTrtIrrigated</v>
      </c>
      <c r="B175" s="2">
        <v>2019002</v>
      </c>
      <c r="C175" s="3" t="s">
        <v>36</v>
      </c>
      <c r="D175" s="3" t="s">
        <v>37</v>
      </c>
      <c r="E175" s="3" t="s">
        <v>191</v>
      </c>
      <c r="F175" s="3" t="s">
        <v>192</v>
      </c>
      <c r="G175" s="3" t="s">
        <v>39</v>
      </c>
      <c r="I175" s="2">
        <v>230</v>
      </c>
      <c r="J175" s="2">
        <v>230</v>
      </c>
      <c r="K175" s="2">
        <v>2</v>
      </c>
      <c r="O175" s="2">
        <v>4</v>
      </c>
      <c r="P175" s="2">
        <v>10</v>
      </c>
      <c r="W175" s="2">
        <v>3</v>
      </c>
      <c r="X175" s="2">
        <v>4</v>
      </c>
      <c r="Z175" s="2">
        <v>234</v>
      </c>
      <c r="AA175" s="3" t="s">
        <v>57</v>
      </c>
      <c r="AG175" s="2">
        <v>2</v>
      </c>
      <c r="AH175" s="3" t="s">
        <v>52</v>
      </c>
      <c r="AI175" s="4">
        <v>43606</v>
      </c>
      <c r="AJ175" s="3" t="s">
        <v>222</v>
      </c>
      <c r="AK175" s="3" t="s">
        <v>191</v>
      </c>
    </row>
    <row r="176" spans="1:37" hidden="1" x14ac:dyDescent="0.25">
      <c r="A176" t="str">
        <f t="shared" si="2"/>
        <v>2019_NSW_Greenethorpe_Mixed_DetailedTOS1VarietyGenesis_090WaterTrtIrrigated</v>
      </c>
      <c r="B176" s="2">
        <v>2019002</v>
      </c>
      <c r="C176" s="3" t="s">
        <v>36</v>
      </c>
      <c r="D176" s="3" t="s">
        <v>37</v>
      </c>
      <c r="E176" s="3" t="s">
        <v>191</v>
      </c>
      <c r="F176" s="3" t="s">
        <v>192</v>
      </c>
      <c r="G176" s="3" t="s">
        <v>39</v>
      </c>
      <c r="I176" s="2">
        <v>231</v>
      </c>
      <c r="J176" s="2">
        <v>231</v>
      </c>
      <c r="K176" s="2">
        <v>2</v>
      </c>
      <c r="O176" s="2">
        <v>4</v>
      </c>
      <c r="P176" s="2">
        <v>11</v>
      </c>
      <c r="W176" s="2">
        <v>4</v>
      </c>
      <c r="X176" s="2">
        <v>4</v>
      </c>
      <c r="Z176" s="2">
        <v>233</v>
      </c>
      <c r="AA176" s="3" t="s">
        <v>57</v>
      </c>
      <c r="AG176" s="2">
        <v>1</v>
      </c>
      <c r="AH176" s="3" t="s">
        <v>47</v>
      </c>
      <c r="AI176" s="4">
        <v>43585</v>
      </c>
      <c r="AJ176" s="3" t="s">
        <v>223</v>
      </c>
      <c r="AK176" s="3" t="s">
        <v>191</v>
      </c>
    </row>
    <row r="177" spans="1:37" hidden="1" x14ac:dyDescent="0.25">
      <c r="A177" t="str">
        <f t="shared" si="2"/>
        <v>2019_NSW_Greenethorpe_Mixed_DetailedTOS1VarietyMonarchWaterTrtIrrigated</v>
      </c>
      <c r="B177" s="2">
        <v>2019002</v>
      </c>
      <c r="C177" s="3" t="s">
        <v>36</v>
      </c>
      <c r="D177" s="3" t="s">
        <v>37</v>
      </c>
      <c r="E177" s="3" t="s">
        <v>191</v>
      </c>
      <c r="F177" s="3" t="s">
        <v>4181</v>
      </c>
      <c r="G177" s="3" t="s">
        <v>39</v>
      </c>
      <c r="I177" s="2">
        <v>232</v>
      </c>
      <c r="J177" s="2">
        <v>232</v>
      </c>
      <c r="K177" s="2">
        <v>2</v>
      </c>
      <c r="O177" s="2">
        <v>4</v>
      </c>
      <c r="P177" s="2">
        <v>11</v>
      </c>
      <c r="W177" s="2">
        <v>5</v>
      </c>
      <c r="X177" s="2">
        <v>4</v>
      </c>
      <c r="Z177" s="2">
        <v>232</v>
      </c>
      <c r="AA177" s="3" t="s">
        <v>57</v>
      </c>
      <c r="AG177" s="2">
        <v>1</v>
      </c>
      <c r="AH177" s="3" t="s">
        <v>47</v>
      </c>
      <c r="AI177" s="4">
        <v>43585</v>
      </c>
      <c r="AJ177" s="3" t="s">
        <v>224</v>
      </c>
      <c r="AK177" s="3" t="s">
        <v>191</v>
      </c>
    </row>
    <row r="178" spans="1:37" hidden="1" x14ac:dyDescent="0.25">
      <c r="A178" t="str">
        <f t="shared" si="2"/>
        <v>2019_NSW_Greenethorpe_Mixed_DetailedTOS1VarietyGenesis_090WaterTrtIrrigated</v>
      </c>
      <c r="B178" s="2">
        <v>2019002</v>
      </c>
      <c r="C178" s="3" t="s">
        <v>36</v>
      </c>
      <c r="D178" s="3" t="s">
        <v>37</v>
      </c>
      <c r="E178" s="3" t="s">
        <v>191</v>
      </c>
      <c r="F178" s="3" t="s">
        <v>192</v>
      </c>
      <c r="G178" s="3" t="s">
        <v>39</v>
      </c>
      <c r="I178" s="2">
        <v>233</v>
      </c>
      <c r="J178" s="2">
        <v>233</v>
      </c>
      <c r="K178" s="2">
        <v>2</v>
      </c>
      <c r="O178" s="2">
        <v>4</v>
      </c>
      <c r="P178" s="2">
        <v>11</v>
      </c>
      <c r="W178" s="2">
        <v>6</v>
      </c>
      <c r="X178" s="2">
        <v>4</v>
      </c>
      <c r="Z178" s="2">
        <v>231</v>
      </c>
      <c r="AA178" s="3" t="s">
        <v>57</v>
      </c>
      <c r="AG178" s="2">
        <v>1</v>
      </c>
      <c r="AH178" s="3" t="s">
        <v>47</v>
      </c>
      <c r="AI178" s="4">
        <v>43585</v>
      </c>
      <c r="AJ178" s="3" t="s">
        <v>225</v>
      </c>
      <c r="AK178" s="3" t="s">
        <v>191</v>
      </c>
    </row>
    <row r="179" spans="1:37" hidden="1" x14ac:dyDescent="0.25">
      <c r="A179" t="str">
        <f t="shared" si="2"/>
        <v>2019_NSW_Greenethorpe_Mixed_DetailedTOS3VarietyMonarchWaterTrtIrrigated</v>
      </c>
      <c r="B179" s="2">
        <v>2019002</v>
      </c>
      <c r="C179" s="3" t="s">
        <v>36</v>
      </c>
      <c r="D179" s="3" t="s">
        <v>37</v>
      </c>
      <c r="E179" s="3" t="s">
        <v>191</v>
      </c>
      <c r="F179" s="3" t="s">
        <v>4181</v>
      </c>
      <c r="G179" s="3" t="s">
        <v>39</v>
      </c>
      <c r="I179" s="2">
        <v>234</v>
      </c>
      <c r="J179" s="2">
        <v>234</v>
      </c>
      <c r="K179" s="2">
        <v>2</v>
      </c>
      <c r="O179" s="2">
        <v>4</v>
      </c>
      <c r="P179" s="2">
        <v>12</v>
      </c>
      <c r="W179" s="2">
        <v>7</v>
      </c>
      <c r="X179" s="2">
        <v>4</v>
      </c>
      <c r="Z179" s="2">
        <v>230</v>
      </c>
      <c r="AA179" s="3" t="s">
        <v>57</v>
      </c>
      <c r="AG179" s="2">
        <v>3</v>
      </c>
      <c r="AH179" s="3" t="s">
        <v>41</v>
      </c>
      <c r="AI179" s="4">
        <v>43627</v>
      </c>
      <c r="AJ179" s="3" t="s">
        <v>226</v>
      </c>
      <c r="AK179" s="3" t="s">
        <v>191</v>
      </c>
    </row>
    <row r="180" spans="1:37" hidden="1" x14ac:dyDescent="0.25">
      <c r="A180" t="str">
        <f t="shared" si="2"/>
        <v>2019_NSW_Greenethorpe_Mixed_DetailedTOS3VarietyGenesis_090WaterTrtIrrigated</v>
      </c>
      <c r="B180" s="2">
        <v>2019002</v>
      </c>
      <c r="C180" s="3" t="s">
        <v>36</v>
      </c>
      <c r="D180" s="3" t="s">
        <v>37</v>
      </c>
      <c r="E180" s="3" t="s">
        <v>191</v>
      </c>
      <c r="F180" s="3" t="s">
        <v>192</v>
      </c>
      <c r="G180" s="3" t="s">
        <v>39</v>
      </c>
      <c r="I180" s="2">
        <v>235</v>
      </c>
      <c r="J180" s="2">
        <v>235</v>
      </c>
      <c r="K180" s="2">
        <v>2</v>
      </c>
      <c r="O180" s="2">
        <v>4</v>
      </c>
      <c r="P180" s="2">
        <v>12</v>
      </c>
      <c r="W180" s="2">
        <v>8</v>
      </c>
      <c r="X180" s="2">
        <v>4</v>
      </c>
      <c r="Z180" s="2">
        <v>229</v>
      </c>
      <c r="AA180" s="3" t="s">
        <v>57</v>
      </c>
      <c r="AG180" s="2">
        <v>3</v>
      </c>
      <c r="AH180" s="3" t="s">
        <v>41</v>
      </c>
      <c r="AI180" s="4">
        <v>43627</v>
      </c>
      <c r="AJ180" s="3" t="s">
        <v>227</v>
      </c>
      <c r="AK180" s="3" t="s">
        <v>191</v>
      </c>
    </row>
    <row r="181" spans="1:37" hidden="1" x14ac:dyDescent="0.25">
      <c r="A181" t="str">
        <f t="shared" si="2"/>
        <v>2019_NSW_Greenethorpe_Mixed_DetailedTOS3VarietyGenesis_090WaterTrtIrrigated</v>
      </c>
      <c r="B181" s="2">
        <v>2019002</v>
      </c>
      <c r="C181" s="3" t="s">
        <v>36</v>
      </c>
      <c r="D181" s="3" t="s">
        <v>37</v>
      </c>
      <c r="E181" s="3" t="s">
        <v>191</v>
      </c>
      <c r="F181" s="3" t="s">
        <v>192</v>
      </c>
      <c r="G181" s="3" t="s">
        <v>39</v>
      </c>
      <c r="I181" s="2">
        <v>236</v>
      </c>
      <c r="J181" s="2">
        <v>236</v>
      </c>
      <c r="K181" s="2">
        <v>2</v>
      </c>
      <c r="O181" s="2">
        <v>4</v>
      </c>
      <c r="P181" s="2">
        <v>12</v>
      </c>
      <c r="W181" s="2">
        <v>9</v>
      </c>
      <c r="X181" s="2">
        <v>4</v>
      </c>
      <c r="Z181" s="2">
        <v>228</v>
      </c>
      <c r="AA181" s="3" t="s">
        <v>57</v>
      </c>
      <c r="AG181" s="2">
        <v>3</v>
      </c>
      <c r="AH181" s="3" t="s">
        <v>41</v>
      </c>
      <c r="AI181" s="4">
        <v>43627</v>
      </c>
      <c r="AJ181" s="3" t="s">
        <v>228</v>
      </c>
      <c r="AK181" s="3" t="s">
        <v>191</v>
      </c>
    </row>
    <row r="182" spans="1:37" hidden="1" x14ac:dyDescent="0.25">
      <c r="A182" t="str">
        <f t="shared" si="2"/>
        <v>2019_NSW_Greenethorpe_Mixed_DetailedTOS1VarietyGenesis_090WaterTrtIrrigated</v>
      </c>
      <c r="B182" s="2">
        <v>2019002</v>
      </c>
      <c r="C182" s="3" t="s">
        <v>36</v>
      </c>
      <c r="D182" s="3" t="s">
        <v>37</v>
      </c>
      <c r="E182" s="3" t="s">
        <v>191</v>
      </c>
      <c r="F182" s="3" t="s">
        <v>192</v>
      </c>
      <c r="G182" s="3" t="s">
        <v>39</v>
      </c>
      <c r="I182" s="2">
        <v>237</v>
      </c>
      <c r="J182" s="2">
        <v>237</v>
      </c>
      <c r="K182" s="2">
        <v>3</v>
      </c>
      <c r="O182" s="2">
        <v>5</v>
      </c>
      <c r="P182" s="2">
        <v>13</v>
      </c>
      <c r="W182" s="2">
        <v>1</v>
      </c>
      <c r="X182" s="2">
        <v>5</v>
      </c>
      <c r="Z182" s="2">
        <v>237</v>
      </c>
      <c r="AA182" s="3" t="s">
        <v>57</v>
      </c>
      <c r="AG182" s="2">
        <v>1</v>
      </c>
      <c r="AH182" s="3" t="s">
        <v>47</v>
      </c>
      <c r="AI182" s="4">
        <v>43585</v>
      </c>
      <c r="AJ182" s="3" t="s">
        <v>229</v>
      </c>
      <c r="AK182" s="3" t="s">
        <v>191</v>
      </c>
    </row>
    <row r="183" spans="1:37" hidden="1" x14ac:dyDescent="0.25">
      <c r="A183" t="str">
        <f t="shared" si="2"/>
        <v>2019_NSW_Greenethorpe_Mixed_DetailedTOS1VarietyMonarchWaterTrtIrrigated</v>
      </c>
      <c r="B183" s="2">
        <v>2019002</v>
      </c>
      <c r="C183" s="3" t="s">
        <v>36</v>
      </c>
      <c r="D183" s="3" t="s">
        <v>37</v>
      </c>
      <c r="E183" s="3" t="s">
        <v>191</v>
      </c>
      <c r="F183" s="3" t="s">
        <v>4181</v>
      </c>
      <c r="G183" s="3" t="s">
        <v>39</v>
      </c>
      <c r="I183" s="2">
        <v>238</v>
      </c>
      <c r="J183" s="2">
        <v>238</v>
      </c>
      <c r="K183" s="2">
        <v>3</v>
      </c>
      <c r="O183" s="2">
        <v>5</v>
      </c>
      <c r="P183" s="2">
        <v>13</v>
      </c>
      <c r="W183" s="2">
        <v>2</v>
      </c>
      <c r="X183" s="2">
        <v>5</v>
      </c>
      <c r="Z183" s="2">
        <v>238</v>
      </c>
      <c r="AA183" s="3" t="s">
        <v>57</v>
      </c>
      <c r="AG183" s="2">
        <v>1</v>
      </c>
      <c r="AH183" s="3" t="s">
        <v>47</v>
      </c>
      <c r="AI183" s="4">
        <v>43585</v>
      </c>
      <c r="AJ183" s="3" t="s">
        <v>230</v>
      </c>
      <c r="AK183" s="3" t="s">
        <v>191</v>
      </c>
    </row>
    <row r="184" spans="1:37" hidden="1" x14ac:dyDescent="0.25">
      <c r="A184" t="str">
        <f t="shared" si="2"/>
        <v>2019_NSW_Greenethorpe_Mixed_DetailedTOS1VarietyGenesis_090WaterTrtIrrigated</v>
      </c>
      <c r="B184" s="2">
        <v>2019002</v>
      </c>
      <c r="C184" s="3" t="s">
        <v>36</v>
      </c>
      <c r="D184" s="3" t="s">
        <v>37</v>
      </c>
      <c r="E184" s="3" t="s">
        <v>191</v>
      </c>
      <c r="F184" s="3" t="s">
        <v>192</v>
      </c>
      <c r="G184" s="3" t="s">
        <v>39</v>
      </c>
      <c r="I184" s="2">
        <v>239</v>
      </c>
      <c r="J184" s="2">
        <v>239</v>
      </c>
      <c r="K184" s="2">
        <v>3</v>
      </c>
      <c r="O184" s="2">
        <v>5</v>
      </c>
      <c r="P184" s="2">
        <v>13</v>
      </c>
      <c r="W184" s="2">
        <v>3</v>
      </c>
      <c r="X184" s="2">
        <v>5</v>
      </c>
      <c r="Z184" s="2">
        <v>239</v>
      </c>
      <c r="AA184" s="3" t="s">
        <v>57</v>
      </c>
      <c r="AG184" s="2">
        <v>1</v>
      </c>
      <c r="AH184" s="3" t="s">
        <v>47</v>
      </c>
      <c r="AI184" s="4">
        <v>43585</v>
      </c>
      <c r="AJ184" s="3" t="s">
        <v>231</v>
      </c>
      <c r="AK184" s="3" t="s">
        <v>191</v>
      </c>
    </row>
    <row r="185" spans="1:37" hidden="1" x14ac:dyDescent="0.25">
      <c r="A185" t="str">
        <f t="shared" si="2"/>
        <v>2019_NSW_Greenethorpe_Mixed_DetailedTOS3VarietyGenesis_090WaterTrtIrrigated</v>
      </c>
      <c r="B185" s="2">
        <v>2019002</v>
      </c>
      <c r="C185" s="3" t="s">
        <v>36</v>
      </c>
      <c r="D185" s="3" t="s">
        <v>37</v>
      </c>
      <c r="E185" s="3" t="s">
        <v>191</v>
      </c>
      <c r="F185" s="3" t="s">
        <v>192</v>
      </c>
      <c r="G185" s="3" t="s">
        <v>39</v>
      </c>
      <c r="I185" s="2">
        <v>240</v>
      </c>
      <c r="J185" s="2">
        <v>240</v>
      </c>
      <c r="K185" s="2">
        <v>3</v>
      </c>
      <c r="O185" s="2">
        <v>5</v>
      </c>
      <c r="P185" s="2">
        <v>14</v>
      </c>
      <c r="W185" s="2">
        <v>4</v>
      </c>
      <c r="X185" s="2">
        <v>5</v>
      </c>
      <c r="Z185" s="2">
        <v>240</v>
      </c>
      <c r="AA185" s="3" t="s">
        <v>57</v>
      </c>
      <c r="AG185" s="2">
        <v>3</v>
      </c>
      <c r="AH185" s="3" t="s">
        <v>41</v>
      </c>
      <c r="AI185" s="4">
        <v>43627</v>
      </c>
      <c r="AJ185" s="3" t="s">
        <v>232</v>
      </c>
      <c r="AK185" s="3" t="s">
        <v>191</v>
      </c>
    </row>
    <row r="186" spans="1:37" hidden="1" x14ac:dyDescent="0.25">
      <c r="A186" t="str">
        <f t="shared" si="2"/>
        <v>2019_NSW_Greenethorpe_Mixed_DetailedTOS3VarietyGenesis_090WaterTrtIrrigated</v>
      </c>
      <c r="B186" s="2">
        <v>2019002</v>
      </c>
      <c r="C186" s="3" t="s">
        <v>36</v>
      </c>
      <c r="D186" s="3" t="s">
        <v>37</v>
      </c>
      <c r="E186" s="3" t="s">
        <v>191</v>
      </c>
      <c r="F186" s="3" t="s">
        <v>192</v>
      </c>
      <c r="G186" s="3" t="s">
        <v>39</v>
      </c>
      <c r="I186" s="2">
        <v>241</v>
      </c>
      <c r="J186" s="2">
        <v>241</v>
      </c>
      <c r="K186" s="2">
        <v>3</v>
      </c>
      <c r="O186" s="2">
        <v>5</v>
      </c>
      <c r="P186" s="2">
        <v>14</v>
      </c>
      <c r="W186" s="2">
        <v>5</v>
      </c>
      <c r="X186" s="2">
        <v>5</v>
      </c>
      <c r="Z186" s="2">
        <v>241</v>
      </c>
      <c r="AA186" s="3" t="s">
        <v>57</v>
      </c>
      <c r="AG186" s="2">
        <v>3</v>
      </c>
      <c r="AH186" s="3" t="s">
        <v>41</v>
      </c>
      <c r="AI186" s="4">
        <v>43627</v>
      </c>
      <c r="AJ186" s="3" t="s">
        <v>233</v>
      </c>
      <c r="AK186" s="3" t="s">
        <v>191</v>
      </c>
    </row>
    <row r="187" spans="1:37" hidden="1" x14ac:dyDescent="0.25">
      <c r="A187" t="str">
        <f t="shared" si="2"/>
        <v>2019_NSW_Greenethorpe_Mixed_DetailedTOS3VarietyMonarchWaterTrtIrrigated</v>
      </c>
      <c r="B187" s="2">
        <v>2019002</v>
      </c>
      <c r="C187" s="3" t="s">
        <v>36</v>
      </c>
      <c r="D187" s="3" t="s">
        <v>37</v>
      </c>
      <c r="E187" s="3" t="s">
        <v>191</v>
      </c>
      <c r="F187" s="3" t="s">
        <v>4181</v>
      </c>
      <c r="G187" s="3" t="s">
        <v>39</v>
      </c>
      <c r="I187" s="2">
        <v>242</v>
      </c>
      <c r="J187" s="2">
        <v>242</v>
      </c>
      <c r="K187" s="2">
        <v>3</v>
      </c>
      <c r="O187" s="2">
        <v>5</v>
      </c>
      <c r="P187" s="2">
        <v>14</v>
      </c>
      <c r="W187" s="2">
        <v>6</v>
      </c>
      <c r="X187" s="2">
        <v>5</v>
      </c>
      <c r="Z187" s="2">
        <v>242</v>
      </c>
      <c r="AA187" s="3" t="s">
        <v>57</v>
      </c>
      <c r="AG187" s="2">
        <v>3</v>
      </c>
      <c r="AH187" s="3" t="s">
        <v>41</v>
      </c>
      <c r="AI187" s="4">
        <v>43627</v>
      </c>
      <c r="AJ187" s="3" t="s">
        <v>234</v>
      </c>
      <c r="AK187" s="3" t="s">
        <v>191</v>
      </c>
    </row>
    <row r="188" spans="1:37" hidden="1" x14ac:dyDescent="0.25">
      <c r="A188" t="str">
        <f t="shared" si="2"/>
        <v>2019_NSW_Greenethorpe_Mixed_DetailedTOS2VarietyGenesis_090WaterTrtIrrigated</v>
      </c>
      <c r="B188" s="2">
        <v>2019002</v>
      </c>
      <c r="C188" s="3" t="s">
        <v>36</v>
      </c>
      <c r="D188" s="3" t="s">
        <v>37</v>
      </c>
      <c r="E188" s="3" t="s">
        <v>191</v>
      </c>
      <c r="F188" s="3" t="s">
        <v>192</v>
      </c>
      <c r="G188" s="3" t="s">
        <v>39</v>
      </c>
      <c r="I188" s="2">
        <v>243</v>
      </c>
      <c r="J188" s="2">
        <v>243</v>
      </c>
      <c r="K188" s="2">
        <v>3</v>
      </c>
      <c r="O188" s="2">
        <v>5</v>
      </c>
      <c r="P188" s="2">
        <v>15</v>
      </c>
      <c r="W188" s="2">
        <v>7</v>
      </c>
      <c r="X188" s="2">
        <v>5</v>
      </c>
      <c r="Z188" s="2">
        <v>243</v>
      </c>
      <c r="AA188" s="3" t="s">
        <v>57</v>
      </c>
      <c r="AG188" s="2">
        <v>2</v>
      </c>
      <c r="AH188" s="3" t="s">
        <v>52</v>
      </c>
      <c r="AI188" s="4">
        <v>43606</v>
      </c>
      <c r="AJ188" s="3" t="s">
        <v>235</v>
      </c>
      <c r="AK188" s="3" t="s">
        <v>191</v>
      </c>
    </row>
    <row r="189" spans="1:37" hidden="1" x14ac:dyDescent="0.25">
      <c r="A189" t="str">
        <f t="shared" si="2"/>
        <v>2019_NSW_Greenethorpe_Mixed_DetailedTOS2VarietyGenesis_090WaterTrtIrrigated</v>
      </c>
      <c r="B189" s="2">
        <v>2019002</v>
      </c>
      <c r="C189" s="3" t="s">
        <v>36</v>
      </c>
      <c r="D189" s="3" t="s">
        <v>37</v>
      </c>
      <c r="E189" s="3" t="s">
        <v>191</v>
      </c>
      <c r="F189" s="3" t="s">
        <v>192</v>
      </c>
      <c r="G189" s="3" t="s">
        <v>39</v>
      </c>
      <c r="I189" s="2">
        <v>244</v>
      </c>
      <c r="J189" s="2">
        <v>244</v>
      </c>
      <c r="K189" s="2">
        <v>3</v>
      </c>
      <c r="O189" s="2">
        <v>5</v>
      </c>
      <c r="P189" s="2">
        <v>15</v>
      </c>
      <c r="W189" s="2">
        <v>8</v>
      </c>
      <c r="X189" s="2">
        <v>5</v>
      </c>
      <c r="Z189" s="2">
        <v>244</v>
      </c>
      <c r="AA189" s="3" t="s">
        <v>57</v>
      </c>
      <c r="AG189" s="2">
        <v>2</v>
      </c>
      <c r="AH189" s="3" t="s">
        <v>52</v>
      </c>
      <c r="AI189" s="4">
        <v>43606</v>
      </c>
      <c r="AJ189" s="3" t="s">
        <v>236</v>
      </c>
      <c r="AK189" s="3" t="s">
        <v>191</v>
      </c>
    </row>
    <row r="190" spans="1:37" hidden="1" x14ac:dyDescent="0.25">
      <c r="A190" t="str">
        <f t="shared" si="2"/>
        <v>2019_NSW_Greenethorpe_Mixed_DetailedTOS2VarietyMonarchWaterTrtIrrigated</v>
      </c>
      <c r="B190" s="2">
        <v>2019002</v>
      </c>
      <c r="C190" s="3" t="s">
        <v>36</v>
      </c>
      <c r="D190" s="3" t="s">
        <v>37</v>
      </c>
      <c r="E190" s="3" t="s">
        <v>191</v>
      </c>
      <c r="F190" s="3" t="s">
        <v>4181</v>
      </c>
      <c r="G190" s="3" t="s">
        <v>39</v>
      </c>
      <c r="I190" s="2">
        <v>245</v>
      </c>
      <c r="J190" s="2">
        <v>245</v>
      </c>
      <c r="K190" s="2">
        <v>3</v>
      </c>
      <c r="O190" s="2">
        <v>5</v>
      </c>
      <c r="P190" s="2">
        <v>15</v>
      </c>
      <c r="W190" s="2">
        <v>9</v>
      </c>
      <c r="X190" s="2">
        <v>5</v>
      </c>
      <c r="Z190" s="2">
        <v>245</v>
      </c>
      <c r="AA190" s="3" t="s">
        <v>57</v>
      </c>
      <c r="AG190" s="2">
        <v>2</v>
      </c>
      <c r="AH190" s="3" t="s">
        <v>52</v>
      </c>
      <c r="AI190" s="4">
        <v>43606</v>
      </c>
      <c r="AJ190" s="3" t="s">
        <v>237</v>
      </c>
      <c r="AK190" s="3" t="s">
        <v>191</v>
      </c>
    </row>
    <row r="191" spans="1:37" hidden="1" x14ac:dyDescent="0.25">
      <c r="A191" t="str">
        <f t="shared" si="2"/>
        <v>2019_NSW_Greenethorpe_Mixed_DetailedTOS3VarietyGenesis_090WaterTrtRainFed</v>
      </c>
      <c r="B191" s="2">
        <v>2019002</v>
      </c>
      <c r="C191" s="3" t="s">
        <v>36</v>
      </c>
      <c r="D191" s="3" t="s">
        <v>37</v>
      </c>
      <c r="E191" s="3" t="s">
        <v>191</v>
      </c>
      <c r="F191" s="3" t="s">
        <v>192</v>
      </c>
      <c r="G191" s="3" t="s">
        <v>39</v>
      </c>
      <c r="I191" s="2">
        <v>246</v>
      </c>
      <c r="J191" s="2">
        <v>246</v>
      </c>
      <c r="K191" s="2">
        <v>3</v>
      </c>
      <c r="O191" s="2">
        <v>6</v>
      </c>
      <c r="P191" s="2">
        <v>16</v>
      </c>
      <c r="W191" s="2">
        <v>1</v>
      </c>
      <c r="X191" s="2">
        <v>6</v>
      </c>
      <c r="Z191" s="2">
        <v>254</v>
      </c>
      <c r="AA191" s="3" t="s">
        <v>40</v>
      </c>
      <c r="AG191" s="2">
        <v>3</v>
      </c>
      <c r="AH191" s="3" t="s">
        <v>41</v>
      </c>
      <c r="AI191" s="4">
        <v>43627</v>
      </c>
      <c r="AJ191" s="3" t="s">
        <v>238</v>
      </c>
      <c r="AK191" s="3" t="s">
        <v>191</v>
      </c>
    </row>
    <row r="192" spans="1:37" hidden="1" x14ac:dyDescent="0.25">
      <c r="A192" t="str">
        <f t="shared" si="2"/>
        <v>2019_NSW_Greenethorpe_Mixed_DetailedTOS3VarietyGenesis_090WaterTrtRainFed</v>
      </c>
      <c r="B192" s="2">
        <v>2019002</v>
      </c>
      <c r="C192" s="3" t="s">
        <v>36</v>
      </c>
      <c r="D192" s="3" t="s">
        <v>37</v>
      </c>
      <c r="E192" s="3" t="s">
        <v>191</v>
      </c>
      <c r="F192" s="3" t="s">
        <v>192</v>
      </c>
      <c r="G192" s="3" t="s">
        <v>39</v>
      </c>
      <c r="I192" s="2">
        <v>247</v>
      </c>
      <c r="J192" s="2">
        <v>247</v>
      </c>
      <c r="K192" s="2">
        <v>3</v>
      </c>
      <c r="O192" s="2">
        <v>6</v>
      </c>
      <c r="P192" s="2">
        <v>16</v>
      </c>
      <c r="W192" s="2">
        <v>2</v>
      </c>
      <c r="X192" s="2">
        <v>6</v>
      </c>
      <c r="Z192" s="2">
        <v>253</v>
      </c>
      <c r="AA192" s="3" t="s">
        <v>40</v>
      </c>
      <c r="AG192" s="2">
        <v>3</v>
      </c>
      <c r="AH192" s="3" t="s">
        <v>41</v>
      </c>
      <c r="AI192" s="4">
        <v>43627</v>
      </c>
      <c r="AJ192" s="3" t="s">
        <v>239</v>
      </c>
      <c r="AK192" s="3" t="s">
        <v>191</v>
      </c>
    </row>
    <row r="193" spans="1:37" hidden="1" x14ac:dyDescent="0.25">
      <c r="A193" t="str">
        <f t="shared" si="2"/>
        <v>2019_NSW_Greenethorpe_Mixed_DetailedTOS3VarietyMonarchWaterTrtRainFed</v>
      </c>
      <c r="B193" s="2">
        <v>2019002</v>
      </c>
      <c r="C193" s="3" t="s">
        <v>36</v>
      </c>
      <c r="D193" s="3" t="s">
        <v>37</v>
      </c>
      <c r="E193" s="3" t="s">
        <v>191</v>
      </c>
      <c r="F193" s="3" t="s">
        <v>4181</v>
      </c>
      <c r="G193" s="3" t="s">
        <v>39</v>
      </c>
      <c r="I193" s="2">
        <v>248</v>
      </c>
      <c r="J193" s="2">
        <v>248</v>
      </c>
      <c r="K193" s="2">
        <v>3</v>
      </c>
      <c r="O193" s="2">
        <v>6</v>
      </c>
      <c r="P193" s="2">
        <v>16</v>
      </c>
      <c r="W193" s="2">
        <v>3</v>
      </c>
      <c r="X193" s="2">
        <v>6</v>
      </c>
      <c r="Z193" s="2">
        <v>252</v>
      </c>
      <c r="AA193" s="3" t="s">
        <v>40</v>
      </c>
      <c r="AG193" s="2">
        <v>3</v>
      </c>
      <c r="AH193" s="3" t="s">
        <v>41</v>
      </c>
      <c r="AI193" s="4">
        <v>43627</v>
      </c>
      <c r="AJ193" s="3" t="s">
        <v>240</v>
      </c>
      <c r="AK193" s="3" t="s">
        <v>191</v>
      </c>
    </row>
    <row r="194" spans="1:37" hidden="1" x14ac:dyDescent="0.25">
      <c r="A194" t="str">
        <f t="shared" si="2"/>
        <v>2019_NSW_Greenethorpe_Mixed_DetailedTOS2VarietyMonarchWaterTrtRainFed</v>
      </c>
      <c r="B194" s="2">
        <v>2019002</v>
      </c>
      <c r="C194" s="3" t="s">
        <v>36</v>
      </c>
      <c r="D194" s="3" t="s">
        <v>37</v>
      </c>
      <c r="E194" s="3" t="s">
        <v>191</v>
      </c>
      <c r="F194" s="3" t="s">
        <v>4181</v>
      </c>
      <c r="G194" s="3" t="s">
        <v>39</v>
      </c>
      <c r="I194" s="2">
        <v>249</v>
      </c>
      <c r="J194" s="2">
        <v>249</v>
      </c>
      <c r="K194" s="2">
        <v>3</v>
      </c>
      <c r="O194" s="2">
        <v>6</v>
      </c>
      <c r="P194" s="2">
        <v>17</v>
      </c>
      <c r="W194" s="2">
        <v>4</v>
      </c>
      <c r="X194" s="2">
        <v>6</v>
      </c>
      <c r="Z194" s="2">
        <v>251</v>
      </c>
      <c r="AA194" s="3" t="s">
        <v>40</v>
      </c>
      <c r="AG194" s="2">
        <v>2</v>
      </c>
      <c r="AH194" s="3" t="s">
        <v>52</v>
      </c>
      <c r="AI194" s="4">
        <v>43606</v>
      </c>
      <c r="AJ194" s="3" t="s">
        <v>241</v>
      </c>
      <c r="AK194" s="3" t="s">
        <v>191</v>
      </c>
    </row>
    <row r="195" spans="1:37" hidden="1" x14ac:dyDescent="0.25">
      <c r="A195" t="str">
        <f t="shared" ref="A195:A258" si="3">C195&amp;"TOS"&amp;AG195&amp;"Variety"&amp;F195&amp;"WaterTrt"&amp;AA195&amp;IF(AC195="","","Agronomy"&amp;AC195)</f>
        <v>2019_NSW_Greenethorpe_Mixed_DetailedTOS2VarietyGenesis_090WaterTrtRainFed</v>
      </c>
      <c r="B195" s="2">
        <v>2019002</v>
      </c>
      <c r="C195" s="3" t="s">
        <v>36</v>
      </c>
      <c r="D195" s="3" t="s">
        <v>37</v>
      </c>
      <c r="E195" s="3" t="s">
        <v>191</v>
      </c>
      <c r="F195" s="3" t="s">
        <v>192</v>
      </c>
      <c r="G195" s="3" t="s">
        <v>39</v>
      </c>
      <c r="I195" s="2">
        <v>250</v>
      </c>
      <c r="J195" s="2">
        <v>250</v>
      </c>
      <c r="K195" s="2">
        <v>3</v>
      </c>
      <c r="O195" s="2">
        <v>6</v>
      </c>
      <c r="P195" s="2">
        <v>17</v>
      </c>
      <c r="W195" s="2">
        <v>5</v>
      </c>
      <c r="X195" s="2">
        <v>6</v>
      </c>
      <c r="Z195" s="2">
        <v>250</v>
      </c>
      <c r="AA195" s="3" t="s">
        <v>40</v>
      </c>
      <c r="AG195" s="2">
        <v>2</v>
      </c>
      <c r="AH195" s="3" t="s">
        <v>52</v>
      </c>
      <c r="AI195" s="4">
        <v>43606</v>
      </c>
      <c r="AJ195" s="3" t="s">
        <v>242</v>
      </c>
      <c r="AK195" s="3" t="s">
        <v>191</v>
      </c>
    </row>
    <row r="196" spans="1:37" hidden="1" x14ac:dyDescent="0.25">
      <c r="A196" t="str">
        <f t="shared" si="3"/>
        <v>2019_NSW_Greenethorpe_Mixed_DetailedTOS2VarietyGenesis_090WaterTrtRainFed</v>
      </c>
      <c r="B196" s="2">
        <v>2019002</v>
      </c>
      <c r="C196" s="3" t="s">
        <v>36</v>
      </c>
      <c r="D196" s="3" t="s">
        <v>37</v>
      </c>
      <c r="E196" s="3" t="s">
        <v>191</v>
      </c>
      <c r="F196" s="3" t="s">
        <v>192</v>
      </c>
      <c r="G196" s="3" t="s">
        <v>39</v>
      </c>
      <c r="I196" s="2">
        <v>251</v>
      </c>
      <c r="J196" s="2">
        <v>251</v>
      </c>
      <c r="K196" s="2">
        <v>3</v>
      </c>
      <c r="O196" s="2">
        <v>6</v>
      </c>
      <c r="P196" s="2">
        <v>17</v>
      </c>
      <c r="W196" s="2">
        <v>6</v>
      </c>
      <c r="X196" s="2">
        <v>6</v>
      </c>
      <c r="Z196" s="2">
        <v>249</v>
      </c>
      <c r="AA196" s="3" t="s">
        <v>40</v>
      </c>
      <c r="AG196" s="2">
        <v>2</v>
      </c>
      <c r="AH196" s="3" t="s">
        <v>52</v>
      </c>
      <c r="AI196" s="4">
        <v>43606</v>
      </c>
      <c r="AJ196" s="3" t="s">
        <v>243</v>
      </c>
      <c r="AK196" s="3" t="s">
        <v>191</v>
      </c>
    </row>
    <row r="197" spans="1:37" hidden="1" x14ac:dyDescent="0.25">
      <c r="A197" t="str">
        <f t="shared" si="3"/>
        <v>2019_NSW_Greenethorpe_Mixed_DetailedTOS1VarietyGenesis_090WaterTrtRainFed</v>
      </c>
      <c r="B197" s="2">
        <v>2019002</v>
      </c>
      <c r="C197" s="3" t="s">
        <v>36</v>
      </c>
      <c r="D197" s="3" t="s">
        <v>37</v>
      </c>
      <c r="E197" s="3" t="s">
        <v>191</v>
      </c>
      <c r="F197" s="3" t="s">
        <v>192</v>
      </c>
      <c r="G197" s="3" t="s">
        <v>39</v>
      </c>
      <c r="I197" s="2">
        <v>252</v>
      </c>
      <c r="J197" s="2">
        <v>252</v>
      </c>
      <c r="K197" s="2">
        <v>3</v>
      </c>
      <c r="O197" s="2">
        <v>6</v>
      </c>
      <c r="P197" s="2">
        <v>18</v>
      </c>
      <c r="W197" s="2">
        <v>7</v>
      </c>
      <c r="X197" s="2">
        <v>6</v>
      </c>
      <c r="Z197" s="2">
        <v>248</v>
      </c>
      <c r="AA197" s="3" t="s">
        <v>40</v>
      </c>
      <c r="AG197" s="2">
        <v>1</v>
      </c>
      <c r="AH197" s="3" t="s">
        <v>47</v>
      </c>
      <c r="AI197" s="4">
        <v>43585</v>
      </c>
      <c r="AJ197" s="3" t="s">
        <v>244</v>
      </c>
      <c r="AK197" s="3" t="s">
        <v>191</v>
      </c>
    </row>
    <row r="198" spans="1:37" hidden="1" x14ac:dyDescent="0.25">
      <c r="A198" t="str">
        <f t="shared" si="3"/>
        <v>2019_NSW_Greenethorpe_Mixed_DetailedTOS1VarietyMonarchWaterTrtRainFed</v>
      </c>
      <c r="B198" s="2">
        <v>2019002</v>
      </c>
      <c r="C198" s="3" t="s">
        <v>36</v>
      </c>
      <c r="D198" s="3" t="s">
        <v>37</v>
      </c>
      <c r="E198" s="3" t="s">
        <v>191</v>
      </c>
      <c r="F198" s="3" t="s">
        <v>4181</v>
      </c>
      <c r="G198" s="3" t="s">
        <v>39</v>
      </c>
      <c r="I198" s="2">
        <v>253</v>
      </c>
      <c r="J198" s="2">
        <v>253</v>
      </c>
      <c r="K198" s="2">
        <v>3</v>
      </c>
      <c r="O198" s="2">
        <v>6</v>
      </c>
      <c r="P198" s="2">
        <v>18</v>
      </c>
      <c r="W198" s="2">
        <v>8</v>
      </c>
      <c r="X198" s="2">
        <v>6</v>
      </c>
      <c r="Z198" s="2">
        <v>247</v>
      </c>
      <c r="AA198" s="3" t="s">
        <v>40</v>
      </c>
      <c r="AG198" s="2">
        <v>1</v>
      </c>
      <c r="AH198" s="3" t="s">
        <v>47</v>
      </c>
      <c r="AI198" s="4">
        <v>43585</v>
      </c>
      <c r="AJ198" s="3" t="s">
        <v>245</v>
      </c>
      <c r="AK198" s="3" t="s">
        <v>191</v>
      </c>
    </row>
    <row r="199" spans="1:37" hidden="1" x14ac:dyDescent="0.25">
      <c r="A199" t="str">
        <f t="shared" si="3"/>
        <v>2019_NSW_Greenethorpe_Mixed_DetailedTOS1VarietyGenesis_090WaterTrtRainFed</v>
      </c>
      <c r="B199" s="2">
        <v>2019002</v>
      </c>
      <c r="C199" s="3" t="s">
        <v>36</v>
      </c>
      <c r="D199" s="3" t="s">
        <v>37</v>
      </c>
      <c r="E199" s="3" t="s">
        <v>191</v>
      </c>
      <c r="F199" s="3" t="s">
        <v>192</v>
      </c>
      <c r="G199" s="3" t="s">
        <v>39</v>
      </c>
      <c r="I199" s="2">
        <v>254</v>
      </c>
      <c r="J199" s="2">
        <v>254</v>
      </c>
      <c r="K199" s="2">
        <v>3</v>
      </c>
      <c r="O199" s="2">
        <v>6</v>
      </c>
      <c r="P199" s="2">
        <v>18</v>
      </c>
      <c r="W199" s="2">
        <v>9</v>
      </c>
      <c r="X199" s="2">
        <v>6</v>
      </c>
      <c r="Z199" s="2">
        <v>246</v>
      </c>
      <c r="AA199" s="3" t="s">
        <v>40</v>
      </c>
      <c r="AG199" s="2">
        <v>1</v>
      </c>
      <c r="AH199" s="3" t="s">
        <v>47</v>
      </c>
      <c r="AI199" s="4">
        <v>43585</v>
      </c>
      <c r="AJ199" s="3" t="s">
        <v>246</v>
      </c>
      <c r="AK199" s="3" t="s">
        <v>191</v>
      </c>
    </row>
    <row r="200" spans="1:37" hidden="1" x14ac:dyDescent="0.25">
      <c r="A200" t="str">
        <f t="shared" si="3"/>
        <v>2022_Qld_Gatton_Chickpea_DetailedTOS1VarietyCBA_CaptainWaterTrtRainFed</v>
      </c>
      <c r="B200" s="2">
        <v>2022001</v>
      </c>
      <c r="C200" s="3" t="s">
        <v>247</v>
      </c>
      <c r="D200" s="3" t="s">
        <v>248</v>
      </c>
      <c r="F200" s="3" t="s">
        <v>249</v>
      </c>
      <c r="G200" s="3" t="s">
        <v>43</v>
      </c>
      <c r="H200" s="3" t="s">
        <v>250</v>
      </c>
      <c r="I200" s="2">
        <v>1</v>
      </c>
      <c r="J200" s="2">
        <v>1</v>
      </c>
      <c r="K200" s="2">
        <v>1</v>
      </c>
      <c r="O200" s="2">
        <v>1</v>
      </c>
      <c r="U200" s="2">
        <v>2</v>
      </c>
      <c r="V200" s="2">
        <v>2</v>
      </c>
      <c r="W200" s="2">
        <v>1</v>
      </c>
      <c r="X200" s="2">
        <v>1</v>
      </c>
      <c r="Z200" s="2">
        <v>1</v>
      </c>
      <c r="AA200" s="3" t="s">
        <v>40</v>
      </c>
      <c r="AB200" s="2">
        <v>1</v>
      </c>
      <c r="AF200" s="2">
        <v>35</v>
      </c>
      <c r="AG200" s="2">
        <v>1</v>
      </c>
      <c r="AH200" s="3" t="s">
        <v>251</v>
      </c>
      <c r="AI200" s="4">
        <v>44725</v>
      </c>
      <c r="AJ200" s="3" t="s">
        <v>252</v>
      </c>
      <c r="AK200" s="3" t="s">
        <v>248</v>
      </c>
    </row>
    <row r="201" spans="1:37" hidden="1" x14ac:dyDescent="0.25">
      <c r="A201" t="str">
        <f t="shared" si="3"/>
        <v>2022_Qld_Gatton_Chickpea_DetailedTOS1VarietyCBA_CaptainWaterTrtRainFed</v>
      </c>
      <c r="B201" s="2">
        <v>2022001</v>
      </c>
      <c r="C201" s="3" t="s">
        <v>247</v>
      </c>
      <c r="D201" s="3" t="s">
        <v>248</v>
      </c>
      <c r="F201" s="3" t="s">
        <v>249</v>
      </c>
      <c r="G201" s="3" t="s">
        <v>43</v>
      </c>
      <c r="H201" s="3" t="s">
        <v>253</v>
      </c>
      <c r="I201" s="2">
        <v>2</v>
      </c>
      <c r="J201" s="2">
        <v>1</v>
      </c>
      <c r="K201" s="2">
        <v>1</v>
      </c>
      <c r="O201" s="2">
        <v>1</v>
      </c>
      <c r="U201" s="2">
        <v>2</v>
      </c>
      <c r="V201" s="2">
        <v>3</v>
      </c>
      <c r="W201" s="2">
        <v>1</v>
      </c>
      <c r="X201" s="2">
        <v>2</v>
      </c>
      <c r="AA201" s="3" t="s">
        <v>40</v>
      </c>
      <c r="AB201" s="2">
        <v>1</v>
      </c>
      <c r="AF201" s="2">
        <v>35</v>
      </c>
      <c r="AG201" s="2">
        <v>1</v>
      </c>
      <c r="AH201" s="3" t="s">
        <v>251</v>
      </c>
      <c r="AI201" s="4">
        <v>44725</v>
      </c>
      <c r="AJ201" s="3" t="s">
        <v>254</v>
      </c>
      <c r="AK201" s="3" t="s">
        <v>248</v>
      </c>
    </row>
    <row r="202" spans="1:37" hidden="1" x14ac:dyDescent="0.25">
      <c r="A202" t="str">
        <f t="shared" si="3"/>
        <v>2022_Qld_Gatton_Chickpea_DetailedTOS1VarietyHatTrickWaterTrtRainFed</v>
      </c>
      <c r="B202" s="2">
        <v>2022001</v>
      </c>
      <c r="C202" s="3" t="s">
        <v>247</v>
      </c>
      <c r="D202" s="3" t="s">
        <v>248</v>
      </c>
      <c r="F202" s="3" t="s">
        <v>4178</v>
      </c>
      <c r="G202" s="3" t="s">
        <v>39</v>
      </c>
      <c r="H202" s="3" t="s">
        <v>250</v>
      </c>
      <c r="I202" s="2">
        <v>3</v>
      </c>
      <c r="J202" s="2">
        <v>2</v>
      </c>
      <c r="K202" s="2">
        <v>1</v>
      </c>
      <c r="O202" s="2">
        <v>1</v>
      </c>
      <c r="U202" s="2">
        <v>3</v>
      </c>
      <c r="V202" s="2">
        <v>2</v>
      </c>
      <c r="W202" s="2">
        <v>2</v>
      </c>
      <c r="X202" s="2">
        <v>1</v>
      </c>
      <c r="Z202" s="2">
        <v>2</v>
      </c>
      <c r="AA202" s="3" t="s">
        <v>40</v>
      </c>
      <c r="AB202" s="2">
        <v>3</v>
      </c>
      <c r="AF202" s="2">
        <v>35</v>
      </c>
      <c r="AG202" s="2">
        <v>1</v>
      </c>
      <c r="AH202" s="3" t="s">
        <v>251</v>
      </c>
      <c r="AI202" s="4">
        <v>44725</v>
      </c>
      <c r="AJ202" s="3" t="s">
        <v>255</v>
      </c>
      <c r="AK202" s="3" t="s">
        <v>248</v>
      </c>
    </row>
    <row r="203" spans="1:37" hidden="1" x14ac:dyDescent="0.25">
      <c r="A203" t="str">
        <f t="shared" si="3"/>
        <v>2022_Qld_Gatton_Chickpea_DetailedTOS1VarietyHatTrickWaterTrtRainFed</v>
      </c>
      <c r="B203" s="2">
        <v>2022001</v>
      </c>
      <c r="C203" s="3" t="s">
        <v>247</v>
      </c>
      <c r="D203" s="3" t="s">
        <v>248</v>
      </c>
      <c r="F203" s="3" t="s">
        <v>4178</v>
      </c>
      <c r="G203" s="3" t="s">
        <v>39</v>
      </c>
      <c r="H203" s="3" t="s">
        <v>253</v>
      </c>
      <c r="I203" s="2">
        <v>4</v>
      </c>
      <c r="J203" s="2">
        <v>2</v>
      </c>
      <c r="K203" s="2">
        <v>1</v>
      </c>
      <c r="O203" s="2">
        <v>1</v>
      </c>
      <c r="U203" s="2">
        <v>3</v>
      </c>
      <c r="V203" s="2">
        <v>3</v>
      </c>
      <c r="W203" s="2">
        <v>2</v>
      </c>
      <c r="X203" s="2">
        <v>2</v>
      </c>
      <c r="AA203" s="3" t="s">
        <v>40</v>
      </c>
      <c r="AB203" s="2">
        <v>3</v>
      </c>
      <c r="AF203" s="2">
        <v>35</v>
      </c>
      <c r="AG203" s="2">
        <v>1</v>
      </c>
      <c r="AH203" s="3" t="s">
        <v>251</v>
      </c>
      <c r="AI203" s="4">
        <v>44725</v>
      </c>
      <c r="AJ203" s="3" t="s">
        <v>256</v>
      </c>
      <c r="AK203" s="3" t="s">
        <v>248</v>
      </c>
    </row>
    <row r="204" spans="1:37" hidden="1" x14ac:dyDescent="0.25">
      <c r="A204" t="str">
        <f t="shared" si="3"/>
        <v>2022_Qld_Gatton_Chickpea_DetailedTOS1VarietyDrummondWaterTrtRainFed</v>
      </c>
      <c r="B204" s="2">
        <v>2022001</v>
      </c>
      <c r="C204" s="3" t="s">
        <v>247</v>
      </c>
      <c r="D204" s="3" t="s">
        <v>248</v>
      </c>
      <c r="F204" s="3" t="s">
        <v>4182</v>
      </c>
      <c r="G204" s="3" t="s">
        <v>39</v>
      </c>
      <c r="H204" s="3" t="s">
        <v>250</v>
      </c>
      <c r="I204" s="2">
        <v>5</v>
      </c>
      <c r="J204" s="2">
        <v>3</v>
      </c>
      <c r="K204" s="2">
        <v>1</v>
      </c>
      <c r="O204" s="2">
        <v>1</v>
      </c>
      <c r="U204" s="2">
        <v>5</v>
      </c>
      <c r="V204" s="2">
        <v>2</v>
      </c>
      <c r="W204" s="2">
        <v>3</v>
      </c>
      <c r="X204" s="2">
        <v>1</v>
      </c>
      <c r="Z204" s="2">
        <v>3</v>
      </c>
      <c r="AA204" s="3" t="s">
        <v>40</v>
      </c>
      <c r="AB204" s="2">
        <v>2</v>
      </c>
      <c r="AF204" s="2">
        <v>35</v>
      </c>
      <c r="AG204" s="2">
        <v>1</v>
      </c>
      <c r="AH204" s="3" t="s">
        <v>251</v>
      </c>
      <c r="AI204" s="4">
        <v>44725</v>
      </c>
      <c r="AJ204" s="3" t="s">
        <v>257</v>
      </c>
      <c r="AK204" s="3" t="s">
        <v>248</v>
      </c>
    </row>
    <row r="205" spans="1:37" hidden="1" x14ac:dyDescent="0.25">
      <c r="A205" t="str">
        <f t="shared" si="3"/>
        <v>2022_Qld_Gatton_Chickpea_DetailedTOS1VarietyDrummondWaterTrtRainFed</v>
      </c>
      <c r="B205" s="2">
        <v>2022001</v>
      </c>
      <c r="C205" s="3" t="s">
        <v>247</v>
      </c>
      <c r="D205" s="3" t="s">
        <v>248</v>
      </c>
      <c r="F205" s="3" t="s">
        <v>4182</v>
      </c>
      <c r="G205" s="3" t="s">
        <v>39</v>
      </c>
      <c r="H205" s="3" t="s">
        <v>253</v>
      </c>
      <c r="I205" s="2">
        <v>6</v>
      </c>
      <c r="J205" s="2">
        <v>3</v>
      </c>
      <c r="K205" s="2">
        <v>1</v>
      </c>
      <c r="O205" s="2">
        <v>1</v>
      </c>
      <c r="U205" s="2">
        <v>5</v>
      </c>
      <c r="V205" s="2">
        <v>3</v>
      </c>
      <c r="W205" s="2">
        <v>3</v>
      </c>
      <c r="X205" s="2">
        <v>2</v>
      </c>
      <c r="AA205" s="3" t="s">
        <v>40</v>
      </c>
      <c r="AB205" s="2">
        <v>2</v>
      </c>
      <c r="AF205" s="2">
        <v>35</v>
      </c>
      <c r="AG205" s="2">
        <v>1</v>
      </c>
      <c r="AH205" s="3" t="s">
        <v>251</v>
      </c>
      <c r="AI205" s="4">
        <v>44725</v>
      </c>
      <c r="AJ205" s="3" t="s">
        <v>258</v>
      </c>
      <c r="AK205" s="3" t="s">
        <v>248</v>
      </c>
    </row>
    <row r="206" spans="1:37" hidden="1" x14ac:dyDescent="0.25">
      <c r="A206" t="str">
        <f t="shared" si="3"/>
        <v>2022_Qld_Gatton_Chickpea_DetailedTOS1VarietyStrikerWaterTrtRainFed</v>
      </c>
      <c r="B206" s="2">
        <v>2022001</v>
      </c>
      <c r="C206" s="3" t="s">
        <v>247</v>
      </c>
      <c r="D206" s="3" t="s">
        <v>248</v>
      </c>
      <c r="F206" s="3" t="s">
        <v>4179</v>
      </c>
      <c r="G206" s="3" t="s">
        <v>43</v>
      </c>
      <c r="H206" s="3" t="s">
        <v>250</v>
      </c>
      <c r="I206" s="2">
        <v>7</v>
      </c>
      <c r="J206" s="2">
        <v>4</v>
      </c>
      <c r="K206" s="2">
        <v>1</v>
      </c>
      <c r="O206" s="2">
        <v>1</v>
      </c>
      <c r="U206" s="2">
        <v>6</v>
      </c>
      <c r="V206" s="2">
        <v>2</v>
      </c>
      <c r="W206" s="2">
        <v>4</v>
      </c>
      <c r="X206" s="2">
        <v>1</v>
      </c>
      <c r="Z206" s="2">
        <v>4</v>
      </c>
      <c r="AA206" s="3" t="s">
        <v>40</v>
      </c>
      <c r="AB206" s="2">
        <v>4</v>
      </c>
      <c r="AF206" s="2">
        <v>35</v>
      </c>
      <c r="AG206" s="2">
        <v>1</v>
      </c>
      <c r="AH206" s="3" t="s">
        <v>251</v>
      </c>
      <c r="AI206" s="4">
        <v>44725</v>
      </c>
      <c r="AJ206" s="3" t="s">
        <v>259</v>
      </c>
      <c r="AK206" s="3" t="s">
        <v>248</v>
      </c>
    </row>
    <row r="207" spans="1:37" hidden="1" x14ac:dyDescent="0.25">
      <c r="A207" t="str">
        <f t="shared" si="3"/>
        <v>2022_Qld_Gatton_Chickpea_DetailedTOS1VarietyStrikerWaterTrtRainFed</v>
      </c>
      <c r="B207" s="2">
        <v>2022001</v>
      </c>
      <c r="C207" s="3" t="s">
        <v>247</v>
      </c>
      <c r="D207" s="3" t="s">
        <v>248</v>
      </c>
      <c r="F207" s="3" t="s">
        <v>4179</v>
      </c>
      <c r="G207" s="3" t="s">
        <v>43</v>
      </c>
      <c r="H207" s="3" t="s">
        <v>253</v>
      </c>
      <c r="I207" s="2">
        <v>8</v>
      </c>
      <c r="J207" s="2">
        <v>4</v>
      </c>
      <c r="K207" s="2">
        <v>1</v>
      </c>
      <c r="O207" s="2">
        <v>1</v>
      </c>
      <c r="U207" s="2">
        <v>6</v>
      </c>
      <c r="V207" s="2">
        <v>3</v>
      </c>
      <c r="W207" s="2">
        <v>4</v>
      </c>
      <c r="X207" s="2">
        <v>2</v>
      </c>
      <c r="AA207" s="3" t="s">
        <v>40</v>
      </c>
      <c r="AB207" s="2">
        <v>4</v>
      </c>
      <c r="AF207" s="2">
        <v>35</v>
      </c>
      <c r="AG207" s="2">
        <v>1</v>
      </c>
      <c r="AH207" s="3" t="s">
        <v>251</v>
      </c>
      <c r="AI207" s="4">
        <v>44725</v>
      </c>
      <c r="AJ207" s="3" t="s">
        <v>260</v>
      </c>
      <c r="AK207" s="3" t="s">
        <v>248</v>
      </c>
    </row>
    <row r="208" spans="1:37" hidden="1" x14ac:dyDescent="0.25">
      <c r="A208" t="str">
        <f t="shared" si="3"/>
        <v>2022_Qld_Gatton_Chickpea_DetailedTOS2VarietyHatTrickWaterTrtIrrigated</v>
      </c>
      <c r="B208" s="2">
        <v>2022001</v>
      </c>
      <c r="C208" s="3" t="s">
        <v>247</v>
      </c>
      <c r="D208" s="3" t="s">
        <v>248</v>
      </c>
      <c r="F208" s="3" t="s">
        <v>4178</v>
      </c>
      <c r="G208" s="3" t="s">
        <v>39</v>
      </c>
      <c r="H208" s="3" t="s">
        <v>250</v>
      </c>
      <c r="I208" s="2">
        <v>9</v>
      </c>
      <c r="J208" s="2">
        <v>5</v>
      </c>
      <c r="K208" s="2">
        <v>1</v>
      </c>
      <c r="O208" s="2">
        <v>2</v>
      </c>
      <c r="U208" s="2">
        <v>2</v>
      </c>
      <c r="V208" s="2">
        <v>6</v>
      </c>
      <c r="W208" s="2">
        <v>1</v>
      </c>
      <c r="X208" s="2">
        <v>3</v>
      </c>
      <c r="Z208" s="2">
        <v>8</v>
      </c>
      <c r="AA208" s="3" t="s">
        <v>57</v>
      </c>
      <c r="AB208" s="2">
        <v>3</v>
      </c>
      <c r="AF208" s="2">
        <v>35</v>
      </c>
      <c r="AG208" s="2">
        <v>2</v>
      </c>
      <c r="AH208" s="3" t="s">
        <v>261</v>
      </c>
      <c r="AI208" s="4">
        <v>44760</v>
      </c>
      <c r="AJ208" s="3" t="s">
        <v>262</v>
      </c>
      <c r="AK208" s="3" t="s">
        <v>248</v>
      </c>
    </row>
    <row r="209" spans="1:37" hidden="1" x14ac:dyDescent="0.25">
      <c r="A209" t="str">
        <f t="shared" si="3"/>
        <v>2022_Qld_Gatton_Chickpea_DetailedTOS2VarietyHatTrickWaterTrtIrrigated</v>
      </c>
      <c r="B209" s="2">
        <v>2022001</v>
      </c>
      <c r="C209" s="3" t="s">
        <v>247</v>
      </c>
      <c r="D209" s="3" t="s">
        <v>248</v>
      </c>
      <c r="F209" s="3" t="s">
        <v>4178</v>
      </c>
      <c r="G209" s="3" t="s">
        <v>39</v>
      </c>
      <c r="H209" s="3" t="s">
        <v>253</v>
      </c>
      <c r="I209" s="2">
        <v>10</v>
      </c>
      <c r="J209" s="2">
        <v>5</v>
      </c>
      <c r="K209" s="2">
        <v>1</v>
      </c>
      <c r="O209" s="2">
        <v>2</v>
      </c>
      <c r="U209" s="2">
        <v>2</v>
      </c>
      <c r="V209" s="2">
        <v>7</v>
      </c>
      <c r="W209" s="2">
        <v>1</v>
      </c>
      <c r="X209" s="2">
        <v>4</v>
      </c>
      <c r="AA209" s="3" t="s">
        <v>57</v>
      </c>
      <c r="AB209" s="2">
        <v>3</v>
      </c>
      <c r="AF209" s="2">
        <v>35</v>
      </c>
      <c r="AG209" s="2">
        <v>2</v>
      </c>
      <c r="AH209" s="3" t="s">
        <v>261</v>
      </c>
      <c r="AI209" s="4">
        <v>44760</v>
      </c>
      <c r="AJ209" s="3" t="s">
        <v>263</v>
      </c>
      <c r="AK209" s="3" t="s">
        <v>248</v>
      </c>
    </row>
    <row r="210" spans="1:37" hidden="1" x14ac:dyDescent="0.25">
      <c r="A210" t="str">
        <f t="shared" si="3"/>
        <v>2022_Qld_Gatton_Chickpea_DetailedTOS2VarietyCBA_CaptainWaterTrtIrrigated</v>
      </c>
      <c r="B210" s="2">
        <v>2022001</v>
      </c>
      <c r="C210" s="3" t="s">
        <v>247</v>
      </c>
      <c r="D210" s="3" t="s">
        <v>248</v>
      </c>
      <c r="F210" s="3" t="s">
        <v>249</v>
      </c>
      <c r="G210" s="3" t="s">
        <v>43</v>
      </c>
      <c r="H210" s="3" t="s">
        <v>250</v>
      </c>
      <c r="I210" s="2">
        <v>11</v>
      </c>
      <c r="J210" s="2">
        <v>6</v>
      </c>
      <c r="K210" s="2">
        <v>1</v>
      </c>
      <c r="O210" s="2">
        <v>2</v>
      </c>
      <c r="U210" s="2">
        <v>3</v>
      </c>
      <c r="V210" s="2">
        <v>6</v>
      </c>
      <c r="W210" s="2">
        <v>2</v>
      </c>
      <c r="X210" s="2">
        <v>3</v>
      </c>
      <c r="Z210" s="2">
        <v>7</v>
      </c>
      <c r="AA210" s="3" t="s">
        <v>57</v>
      </c>
      <c r="AB210" s="2">
        <v>1</v>
      </c>
      <c r="AF210" s="2">
        <v>35</v>
      </c>
      <c r="AG210" s="2">
        <v>2</v>
      </c>
      <c r="AH210" s="3" t="s">
        <v>261</v>
      </c>
      <c r="AI210" s="4">
        <v>44760</v>
      </c>
      <c r="AJ210" s="3" t="s">
        <v>264</v>
      </c>
      <c r="AK210" s="3" t="s">
        <v>248</v>
      </c>
    </row>
    <row r="211" spans="1:37" hidden="1" x14ac:dyDescent="0.25">
      <c r="A211" t="str">
        <f t="shared" si="3"/>
        <v>2022_Qld_Gatton_Chickpea_DetailedTOS2VarietyCBA_CaptainWaterTrtIrrigated</v>
      </c>
      <c r="B211" s="2">
        <v>2022001</v>
      </c>
      <c r="C211" s="3" t="s">
        <v>247</v>
      </c>
      <c r="D211" s="3" t="s">
        <v>248</v>
      </c>
      <c r="F211" s="3" t="s">
        <v>249</v>
      </c>
      <c r="G211" s="3" t="s">
        <v>43</v>
      </c>
      <c r="H211" s="3" t="s">
        <v>253</v>
      </c>
      <c r="I211" s="2">
        <v>12</v>
      </c>
      <c r="J211" s="2">
        <v>6</v>
      </c>
      <c r="K211" s="2">
        <v>1</v>
      </c>
      <c r="O211" s="2">
        <v>2</v>
      </c>
      <c r="U211" s="2">
        <v>3</v>
      </c>
      <c r="V211" s="2">
        <v>7</v>
      </c>
      <c r="W211" s="2">
        <v>2</v>
      </c>
      <c r="X211" s="2">
        <v>4</v>
      </c>
      <c r="AA211" s="3" t="s">
        <v>57</v>
      </c>
      <c r="AB211" s="2">
        <v>1</v>
      </c>
      <c r="AF211" s="2">
        <v>35</v>
      </c>
      <c r="AG211" s="2">
        <v>2</v>
      </c>
      <c r="AH211" s="3" t="s">
        <v>261</v>
      </c>
      <c r="AI211" s="4">
        <v>44760</v>
      </c>
      <c r="AJ211" s="3" t="s">
        <v>265</v>
      </c>
      <c r="AK211" s="3" t="s">
        <v>248</v>
      </c>
    </row>
    <row r="212" spans="1:37" hidden="1" x14ac:dyDescent="0.25">
      <c r="A212" t="str">
        <f t="shared" si="3"/>
        <v>2022_Qld_Gatton_Chickpea_DetailedTOS2VarietyStrikerWaterTrtIrrigated</v>
      </c>
      <c r="B212" s="2">
        <v>2022001</v>
      </c>
      <c r="C212" s="3" t="s">
        <v>247</v>
      </c>
      <c r="D212" s="3" t="s">
        <v>248</v>
      </c>
      <c r="F212" s="3" t="s">
        <v>4179</v>
      </c>
      <c r="G212" s="3" t="s">
        <v>43</v>
      </c>
      <c r="H212" s="3" t="s">
        <v>250</v>
      </c>
      <c r="I212" s="2">
        <v>13</v>
      </c>
      <c r="J212" s="2">
        <v>7</v>
      </c>
      <c r="K212" s="2">
        <v>1</v>
      </c>
      <c r="O212" s="2">
        <v>2</v>
      </c>
      <c r="U212" s="2">
        <v>5</v>
      </c>
      <c r="V212" s="2">
        <v>6</v>
      </c>
      <c r="W212" s="2">
        <v>3</v>
      </c>
      <c r="X212" s="2">
        <v>3</v>
      </c>
      <c r="Z212" s="2">
        <v>6</v>
      </c>
      <c r="AA212" s="3" t="s">
        <v>57</v>
      </c>
      <c r="AB212" s="2">
        <v>4</v>
      </c>
      <c r="AF212" s="2">
        <v>35</v>
      </c>
      <c r="AG212" s="2">
        <v>2</v>
      </c>
      <c r="AH212" s="3" t="s">
        <v>261</v>
      </c>
      <c r="AI212" s="4">
        <v>44760</v>
      </c>
      <c r="AJ212" s="3" t="s">
        <v>266</v>
      </c>
      <c r="AK212" s="3" t="s">
        <v>248</v>
      </c>
    </row>
    <row r="213" spans="1:37" hidden="1" x14ac:dyDescent="0.25">
      <c r="A213" t="str">
        <f t="shared" si="3"/>
        <v>2022_Qld_Gatton_Chickpea_DetailedTOS2VarietyStrikerWaterTrtIrrigated</v>
      </c>
      <c r="B213" s="2">
        <v>2022001</v>
      </c>
      <c r="C213" s="3" t="s">
        <v>247</v>
      </c>
      <c r="D213" s="3" t="s">
        <v>248</v>
      </c>
      <c r="F213" s="3" t="s">
        <v>4179</v>
      </c>
      <c r="G213" s="3" t="s">
        <v>43</v>
      </c>
      <c r="H213" s="3" t="s">
        <v>253</v>
      </c>
      <c r="I213" s="2">
        <v>14</v>
      </c>
      <c r="J213" s="2">
        <v>7</v>
      </c>
      <c r="K213" s="2">
        <v>1</v>
      </c>
      <c r="O213" s="2">
        <v>2</v>
      </c>
      <c r="U213" s="2">
        <v>5</v>
      </c>
      <c r="V213" s="2">
        <v>7</v>
      </c>
      <c r="W213" s="2">
        <v>3</v>
      </c>
      <c r="X213" s="2">
        <v>4</v>
      </c>
      <c r="AA213" s="3" t="s">
        <v>57</v>
      </c>
      <c r="AB213" s="2">
        <v>4</v>
      </c>
      <c r="AF213" s="2">
        <v>35</v>
      </c>
      <c r="AG213" s="2">
        <v>2</v>
      </c>
      <c r="AH213" s="3" t="s">
        <v>261</v>
      </c>
      <c r="AI213" s="4">
        <v>44760</v>
      </c>
      <c r="AJ213" s="3" t="s">
        <v>267</v>
      </c>
      <c r="AK213" s="3" t="s">
        <v>248</v>
      </c>
    </row>
    <row r="214" spans="1:37" hidden="1" x14ac:dyDescent="0.25">
      <c r="A214" t="str">
        <f t="shared" si="3"/>
        <v>2022_Qld_Gatton_Chickpea_DetailedTOS2VarietyDrummondWaterTrtIrrigated</v>
      </c>
      <c r="B214" s="2">
        <v>2022001</v>
      </c>
      <c r="C214" s="3" t="s">
        <v>247</v>
      </c>
      <c r="D214" s="3" t="s">
        <v>248</v>
      </c>
      <c r="F214" s="3" t="s">
        <v>4182</v>
      </c>
      <c r="G214" s="3" t="s">
        <v>39</v>
      </c>
      <c r="H214" s="3" t="s">
        <v>250</v>
      </c>
      <c r="I214" s="2">
        <v>15</v>
      </c>
      <c r="J214" s="2">
        <v>8</v>
      </c>
      <c r="K214" s="2">
        <v>1</v>
      </c>
      <c r="O214" s="2">
        <v>2</v>
      </c>
      <c r="U214" s="2">
        <v>6</v>
      </c>
      <c r="V214" s="2">
        <v>6</v>
      </c>
      <c r="W214" s="2">
        <v>4</v>
      </c>
      <c r="X214" s="2">
        <v>3</v>
      </c>
      <c r="Z214" s="2">
        <v>5</v>
      </c>
      <c r="AA214" s="3" t="s">
        <v>57</v>
      </c>
      <c r="AB214" s="2">
        <v>2</v>
      </c>
      <c r="AF214" s="2">
        <v>35</v>
      </c>
      <c r="AG214" s="2">
        <v>2</v>
      </c>
      <c r="AH214" s="3" t="s">
        <v>261</v>
      </c>
      <c r="AI214" s="4">
        <v>44760</v>
      </c>
      <c r="AJ214" s="3" t="s">
        <v>268</v>
      </c>
      <c r="AK214" s="3" t="s">
        <v>248</v>
      </c>
    </row>
    <row r="215" spans="1:37" hidden="1" x14ac:dyDescent="0.25">
      <c r="A215" t="str">
        <f t="shared" si="3"/>
        <v>2022_Qld_Gatton_Chickpea_DetailedTOS2VarietyDrummondWaterTrtIrrigated</v>
      </c>
      <c r="B215" s="2">
        <v>2022001</v>
      </c>
      <c r="C215" s="3" t="s">
        <v>247</v>
      </c>
      <c r="D215" s="3" t="s">
        <v>248</v>
      </c>
      <c r="F215" s="3" t="s">
        <v>4182</v>
      </c>
      <c r="G215" s="3" t="s">
        <v>39</v>
      </c>
      <c r="H215" s="3" t="s">
        <v>253</v>
      </c>
      <c r="I215" s="2">
        <v>16</v>
      </c>
      <c r="J215" s="2">
        <v>8</v>
      </c>
      <c r="K215" s="2">
        <v>1</v>
      </c>
      <c r="O215" s="2">
        <v>2</v>
      </c>
      <c r="U215" s="2">
        <v>6</v>
      </c>
      <c r="V215" s="2">
        <v>7</v>
      </c>
      <c r="W215" s="2">
        <v>4</v>
      </c>
      <c r="X215" s="2">
        <v>4</v>
      </c>
      <c r="AA215" s="3" t="s">
        <v>57</v>
      </c>
      <c r="AB215" s="2">
        <v>2</v>
      </c>
      <c r="AF215" s="2">
        <v>35</v>
      </c>
      <c r="AG215" s="2">
        <v>2</v>
      </c>
      <c r="AH215" s="3" t="s">
        <v>261</v>
      </c>
      <c r="AI215" s="4">
        <v>44760</v>
      </c>
      <c r="AJ215" s="3" t="s">
        <v>269</v>
      </c>
      <c r="AK215" s="3" t="s">
        <v>248</v>
      </c>
    </row>
    <row r="216" spans="1:37" hidden="1" x14ac:dyDescent="0.25">
      <c r="A216" t="str">
        <f t="shared" si="3"/>
        <v>2022_Qld_Gatton_Chickpea_DetailedTOS2VarietyStrikerWaterTrtRainFed</v>
      </c>
      <c r="B216" s="2">
        <v>2022001</v>
      </c>
      <c r="C216" s="3" t="s">
        <v>247</v>
      </c>
      <c r="D216" s="3" t="s">
        <v>248</v>
      </c>
      <c r="F216" s="3" t="s">
        <v>4179</v>
      </c>
      <c r="G216" s="3" t="s">
        <v>43</v>
      </c>
      <c r="H216" s="3" t="s">
        <v>250</v>
      </c>
      <c r="I216" s="2">
        <v>17</v>
      </c>
      <c r="J216" s="2">
        <v>9</v>
      </c>
      <c r="K216" s="2">
        <v>1</v>
      </c>
      <c r="O216" s="2">
        <v>3</v>
      </c>
      <c r="U216" s="2">
        <v>2</v>
      </c>
      <c r="V216" s="2">
        <v>9</v>
      </c>
      <c r="W216" s="2">
        <v>1</v>
      </c>
      <c r="X216" s="2">
        <v>5</v>
      </c>
      <c r="Z216" s="2">
        <v>9</v>
      </c>
      <c r="AA216" s="3" t="s">
        <v>40</v>
      </c>
      <c r="AB216" s="2">
        <v>4</v>
      </c>
      <c r="AF216" s="2">
        <v>35</v>
      </c>
      <c r="AG216" s="2">
        <v>2</v>
      </c>
      <c r="AH216" s="3" t="s">
        <v>261</v>
      </c>
      <c r="AI216" s="4">
        <v>44760</v>
      </c>
      <c r="AJ216" s="3" t="s">
        <v>270</v>
      </c>
      <c r="AK216" s="3" t="s">
        <v>248</v>
      </c>
    </row>
    <row r="217" spans="1:37" hidden="1" x14ac:dyDescent="0.25">
      <c r="A217" t="str">
        <f t="shared" si="3"/>
        <v>2022_Qld_Gatton_Chickpea_DetailedTOS2VarietyStrikerWaterTrtRainFed</v>
      </c>
      <c r="B217" s="2">
        <v>2022001</v>
      </c>
      <c r="C217" s="3" t="s">
        <v>247</v>
      </c>
      <c r="D217" s="3" t="s">
        <v>248</v>
      </c>
      <c r="F217" s="3" t="s">
        <v>4179</v>
      </c>
      <c r="G217" s="3" t="s">
        <v>43</v>
      </c>
      <c r="H217" s="3" t="s">
        <v>253</v>
      </c>
      <c r="I217" s="2">
        <v>18</v>
      </c>
      <c r="J217" s="2">
        <v>9</v>
      </c>
      <c r="K217" s="2">
        <v>1</v>
      </c>
      <c r="O217" s="2">
        <v>3</v>
      </c>
      <c r="U217" s="2">
        <v>2</v>
      </c>
      <c r="V217" s="2">
        <v>10</v>
      </c>
      <c r="W217" s="2">
        <v>1</v>
      </c>
      <c r="X217" s="2">
        <v>6</v>
      </c>
      <c r="AA217" s="3" t="s">
        <v>40</v>
      </c>
      <c r="AB217" s="2">
        <v>4</v>
      </c>
      <c r="AF217" s="2">
        <v>35</v>
      </c>
      <c r="AG217" s="2">
        <v>2</v>
      </c>
      <c r="AH217" s="3" t="s">
        <v>261</v>
      </c>
      <c r="AI217" s="4">
        <v>44760</v>
      </c>
      <c r="AJ217" s="3" t="s">
        <v>271</v>
      </c>
      <c r="AK217" s="3" t="s">
        <v>248</v>
      </c>
    </row>
    <row r="218" spans="1:37" hidden="1" x14ac:dyDescent="0.25">
      <c r="A218" t="str">
        <f t="shared" si="3"/>
        <v>2022_Qld_Gatton_Chickpea_DetailedTOS2VarietyDrummondWaterTrtRainFed</v>
      </c>
      <c r="B218" s="2">
        <v>2022001</v>
      </c>
      <c r="C218" s="3" t="s">
        <v>247</v>
      </c>
      <c r="D218" s="3" t="s">
        <v>248</v>
      </c>
      <c r="F218" s="3" t="s">
        <v>4182</v>
      </c>
      <c r="G218" s="3" t="s">
        <v>39</v>
      </c>
      <c r="H218" s="3" t="s">
        <v>250</v>
      </c>
      <c r="I218" s="2">
        <v>19</v>
      </c>
      <c r="J218" s="2">
        <v>10</v>
      </c>
      <c r="K218" s="2">
        <v>1</v>
      </c>
      <c r="O218" s="2">
        <v>3</v>
      </c>
      <c r="U218" s="2">
        <v>3</v>
      </c>
      <c r="V218" s="2">
        <v>9</v>
      </c>
      <c r="W218" s="2">
        <v>2</v>
      </c>
      <c r="X218" s="2">
        <v>5</v>
      </c>
      <c r="Z218" s="2">
        <v>10</v>
      </c>
      <c r="AA218" s="3" t="s">
        <v>40</v>
      </c>
      <c r="AB218" s="2">
        <v>2</v>
      </c>
      <c r="AF218" s="2">
        <v>35</v>
      </c>
      <c r="AG218" s="2">
        <v>2</v>
      </c>
      <c r="AH218" s="3" t="s">
        <v>261</v>
      </c>
      <c r="AI218" s="4">
        <v>44760</v>
      </c>
      <c r="AJ218" s="3" t="s">
        <v>272</v>
      </c>
      <c r="AK218" s="3" t="s">
        <v>248</v>
      </c>
    </row>
    <row r="219" spans="1:37" hidden="1" x14ac:dyDescent="0.25">
      <c r="A219" t="str">
        <f t="shared" si="3"/>
        <v>2022_Qld_Gatton_Chickpea_DetailedTOS2VarietyDrummondWaterTrtRainFed</v>
      </c>
      <c r="B219" s="2">
        <v>2022001</v>
      </c>
      <c r="C219" s="3" t="s">
        <v>247</v>
      </c>
      <c r="D219" s="3" t="s">
        <v>248</v>
      </c>
      <c r="F219" s="3" t="s">
        <v>4182</v>
      </c>
      <c r="G219" s="3" t="s">
        <v>39</v>
      </c>
      <c r="H219" s="3" t="s">
        <v>253</v>
      </c>
      <c r="I219" s="2">
        <v>20</v>
      </c>
      <c r="J219" s="2">
        <v>10</v>
      </c>
      <c r="K219" s="2">
        <v>1</v>
      </c>
      <c r="O219" s="2">
        <v>3</v>
      </c>
      <c r="U219" s="2">
        <v>3</v>
      </c>
      <c r="V219" s="2">
        <v>10</v>
      </c>
      <c r="W219" s="2">
        <v>2</v>
      </c>
      <c r="X219" s="2">
        <v>6</v>
      </c>
      <c r="AA219" s="3" t="s">
        <v>40</v>
      </c>
      <c r="AB219" s="2">
        <v>2</v>
      </c>
      <c r="AF219" s="2">
        <v>35</v>
      </c>
      <c r="AG219" s="2">
        <v>2</v>
      </c>
      <c r="AH219" s="3" t="s">
        <v>261</v>
      </c>
      <c r="AI219" s="4">
        <v>44760</v>
      </c>
      <c r="AJ219" s="3" t="s">
        <v>273</v>
      </c>
      <c r="AK219" s="3" t="s">
        <v>248</v>
      </c>
    </row>
    <row r="220" spans="1:37" hidden="1" x14ac:dyDescent="0.25">
      <c r="A220" t="str">
        <f t="shared" si="3"/>
        <v>2022_Qld_Gatton_Chickpea_DetailedTOS2VarietyCBA_CaptainWaterTrtRainFed</v>
      </c>
      <c r="B220" s="2">
        <v>2022001</v>
      </c>
      <c r="C220" s="3" t="s">
        <v>247</v>
      </c>
      <c r="D220" s="3" t="s">
        <v>248</v>
      </c>
      <c r="F220" s="3" t="s">
        <v>249</v>
      </c>
      <c r="G220" s="3" t="s">
        <v>43</v>
      </c>
      <c r="H220" s="3" t="s">
        <v>250</v>
      </c>
      <c r="I220" s="2">
        <v>21</v>
      </c>
      <c r="J220" s="2">
        <v>11</v>
      </c>
      <c r="K220" s="2">
        <v>1</v>
      </c>
      <c r="O220" s="2">
        <v>3</v>
      </c>
      <c r="U220" s="2">
        <v>5</v>
      </c>
      <c r="V220" s="2">
        <v>9</v>
      </c>
      <c r="W220" s="2">
        <v>3</v>
      </c>
      <c r="X220" s="2">
        <v>5</v>
      </c>
      <c r="Z220" s="2">
        <v>11</v>
      </c>
      <c r="AA220" s="3" t="s">
        <v>40</v>
      </c>
      <c r="AB220" s="2">
        <v>1</v>
      </c>
      <c r="AF220" s="2">
        <v>35</v>
      </c>
      <c r="AG220" s="2">
        <v>2</v>
      </c>
      <c r="AH220" s="3" t="s">
        <v>261</v>
      </c>
      <c r="AI220" s="4">
        <v>44760</v>
      </c>
      <c r="AJ220" s="3" t="s">
        <v>274</v>
      </c>
      <c r="AK220" s="3" t="s">
        <v>248</v>
      </c>
    </row>
    <row r="221" spans="1:37" hidden="1" x14ac:dyDescent="0.25">
      <c r="A221" t="str">
        <f t="shared" si="3"/>
        <v>2022_Qld_Gatton_Chickpea_DetailedTOS2VarietyCBA_CaptainWaterTrtRainFed</v>
      </c>
      <c r="B221" s="2">
        <v>2022001</v>
      </c>
      <c r="C221" s="3" t="s">
        <v>247</v>
      </c>
      <c r="D221" s="3" t="s">
        <v>248</v>
      </c>
      <c r="F221" s="3" t="s">
        <v>249</v>
      </c>
      <c r="G221" s="3" t="s">
        <v>43</v>
      </c>
      <c r="H221" s="3" t="s">
        <v>253</v>
      </c>
      <c r="I221" s="2">
        <v>22</v>
      </c>
      <c r="J221" s="2">
        <v>11</v>
      </c>
      <c r="K221" s="2">
        <v>1</v>
      </c>
      <c r="O221" s="2">
        <v>3</v>
      </c>
      <c r="U221" s="2">
        <v>5</v>
      </c>
      <c r="V221" s="2">
        <v>10</v>
      </c>
      <c r="W221" s="2">
        <v>3</v>
      </c>
      <c r="X221" s="2">
        <v>6</v>
      </c>
      <c r="AA221" s="3" t="s">
        <v>40</v>
      </c>
      <c r="AB221" s="2">
        <v>1</v>
      </c>
      <c r="AF221" s="2">
        <v>35</v>
      </c>
      <c r="AG221" s="2">
        <v>2</v>
      </c>
      <c r="AH221" s="3" t="s">
        <v>261</v>
      </c>
      <c r="AI221" s="4">
        <v>44760</v>
      </c>
      <c r="AJ221" s="3" t="s">
        <v>275</v>
      </c>
      <c r="AK221" s="3" t="s">
        <v>248</v>
      </c>
    </row>
    <row r="222" spans="1:37" hidden="1" x14ac:dyDescent="0.25">
      <c r="A222" t="str">
        <f t="shared" si="3"/>
        <v>2022_Qld_Gatton_Chickpea_DetailedTOS2VarietyHatTrickWaterTrtRainFed</v>
      </c>
      <c r="B222" s="2">
        <v>2022001</v>
      </c>
      <c r="C222" s="3" t="s">
        <v>247</v>
      </c>
      <c r="D222" s="3" t="s">
        <v>248</v>
      </c>
      <c r="F222" s="3" t="s">
        <v>4178</v>
      </c>
      <c r="G222" s="3" t="s">
        <v>39</v>
      </c>
      <c r="H222" s="3" t="s">
        <v>250</v>
      </c>
      <c r="I222" s="2">
        <v>23</v>
      </c>
      <c r="J222" s="2">
        <v>12</v>
      </c>
      <c r="K222" s="2">
        <v>1</v>
      </c>
      <c r="O222" s="2">
        <v>3</v>
      </c>
      <c r="U222" s="2">
        <v>6</v>
      </c>
      <c r="V222" s="2">
        <v>9</v>
      </c>
      <c r="W222" s="2">
        <v>4</v>
      </c>
      <c r="X222" s="2">
        <v>5</v>
      </c>
      <c r="Z222" s="2">
        <v>12</v>
      </c>
      <c r="AA222" s="3" t="s">
        <v>40</v>
      </c>
      <c r="AB222" s="2">
        <v>3</v>
      </c>
      <c r="AF222" s="2">
        <v>35</v>
      </c>
      <c r="AG222" s="2">
        <v>2</v>
      </c>
      <c r="AH222" s="3" t="s">
        <v>261</v>
      </c>
      <c r="AI222" s="4">
        <v>44760</v>
      </c>
      <c r="AJ222" s="3" t="s">
        <v>276</v>
      </c>
      <c r="AK222" s="3" t="s">
        <v>248</v>
      </c>
    </row>
    <row r="223" spans="1:37" hidden="1" x14ac:dyDescent="0.25">
      <c r="A223" t="str">
        <f t="shared" si="3"/>
        <v>2022_Qld_Gatton_Chickpea_DetailedTOS2VarietyHatTrickWaterTrtRainFed</v>
      </c>
      <c r="B223" s="2">
        <v>2022001</v>
      </c>
      <c r="C223" s="3" t="s">
        <v>247</v>
      </c>
      <c r="D223" s="3" t="s">
        <v>248</v>
      </c>
      <c r="F223" s="3" t="s">
        <v>4178</v>
      </c>
      <c r="G223" s="3" t="s">
        <v>39</v>
      </c>
      <c r="H223" s="3" t="s">
        <v>253</v>
      </c>
      <c r="I223" s="2">
        <v>24</v>
      </c>
      <c r="J223" s="2">
        <v>12</v>
      </c>
      <c r="K223" s="2">
        <v>1</v>
      </c>
      <c r="O223" s="2">
        <v>3</v>
      </c>
      <c r="U223" s="2">
        <v>6</v>
      </c>
      <c r="V223" s="2">
        <v>10</v>
      </c>
      <c r="W223" s="2">
        <v>4</v>
      </c>
      <c r="X223" s="2">
        <v>6</v>
      </c>
      <c r="AA223" s="3" t="s">
        <v>40</v>
      </c>
      <c r="AB223" s="2">
        <v>3</v>
      </c>
      <c r="AF223" s="2">
        <v>35</v>
      </c>
      <c r="AG223" s="2">
        <v>2</v>
      </c>
      <c r="AH223" s="3" t="s">
        <v>261</v>
      </c>
      <c r="AI223" s="4">
        <v>44760</v>
      </c>
      <c r="AJ223" s="3" t="s">
        <v>277</v>
      </c>
      <c r="AK223" s="3" t="s">
        <v>248</v>
      </c>
    </row>
    <row r="224" spans="1:37" hidden="1" x14ac:dyDescent="0.25">
      <c r="A224" t="str">
        <f t="shared" si="3"/>
        <v>2022_Qld_Gatton_Chickpea_DetailedTOS1VarietyDrummondWaterTrtIrrigated</v>
      </c>
      <c r="B224" s="2">
        <v>2022001</v>
      </c>
      <c r="C224" s="3" t="s">
        <v>247</v>
      </c>
      <c r="D224" s="3" t="s">
        <v>248</v>
      </c>
      <c r="F224" s="3" t="s">
        <v>4182</v>
      </c>
      <c r="G224" s="3" t="s">
        <v>39</v>
      </c>
      <c r="H224" s="3" t="s">
        <v>250</v>
      </c>
      <c r="I224" s="2">
        <v>25</v>
      </c>
      <c r="J224" s="2">
        <v>13</v>
      </c>
      <c r="K224" s="2">
        <v>1</v>
      </c>
      <c r="O224" s="2">
        <v>4</v>
      </c>
      <c r="U224" s="2">
        <v>2</v>
      </c>
      <c r="V224" s="2">
        <v>13</v>
      </c>
      <c r="W224" s="2">
        <v>1</v>
      </c>
      <c r="X224" s="2">
        <v>7</v>
      </c>
      <c r="Z224" s="2">
        <v>16</v>
      </c>
      <c r="AA224" s="3" t="s">
        <v>57</v>
      </c>
      <c r="AB224" s="2">
        <v>2</v>
      </c>
      <c r="AF224" s="2">
        <v>35</v>
      </c>
      <c r="AG224" s="2">
        <v>1</v>
      </c>
      <c r="AH224" s="3" t="s">
        <v>251</v>
      </c>
      <c r="AI224" s="4">
        <v>44725</v>
      </c>
      <c r="AJ224" s="3" t="s">
        <v>278</v>
      </c>
      <c r="AK224" s="3" t="s">
        <v>248</v>
      </c>
    </row>
    <row r="225" spans="1:37" hidden="1" x14ac:dyDescent="0.25">
      <c r="A225" t="str">
        <f t="shared" si="3"/>
        <v>2022_Qld_Gatton_Chickpea_DetailedTOS1VarietyDrummondWaterTrtIrrigated</v>
      </c>
      <c r="B225" s="2">
        <v>2022001</v>
      </c>
      <c r="C225" s="3" t="s">
        <v>247</v>
      </c>
      <c r="D225" s="3" t="s">
        <v>248</v>
      </c>
      <c r="F225" s="3" t="s">
        <v>4182</v>
      </c>
      <c r="G225" s="3" t="s">
        <v>39</v>
      </c>
      <c r="H225" s="3" t="s">
        <v>253</v>
      </c>
      <c r="I225" s="2">
        <v>26</v>
      </c>
      <c r="J225" s="2">
        <v>13</v>
      </c>
      <c r="K225" s="2">
        <v>1</v>
      </c>
      <c r="O225" s="2">
        <v>4</v>
      </c>
      <c r="U225" s="2">
        <v>2</v>
      </c>
      <c r="V225" s="2">
        <v>14</v>
      </c>
      <c r="W225" s="2">
        <v>1</v>
      </c>
      <c r="X225" s="2">
        <v>8</v>
      </c>
      <c r="AA225" s="3" t="s">
        <v>57</v>
      </c>
      <c r="AB225" s="2">
        <v>2</v>
      </c>
      <c r="AF225" s="2">
        <v>35</v>
      </c>
      <c r="AG225" s="2">
        <v>1</v>
      </c>
      <c r="AH225" s="3" t="s">
        <v>251</v>
      </c>
      <c r="AI225" s="4">
        <v>44725</v>
      </c>
      <c r="AJ225" s="3" t="s">
        <v>279</v>
      </c>
      <c r="AK225" s="3" t="s">
        <v>248</v>
      </c>
    </row>
    <row r="226" spans="1:37" hidden="1" x14ac:dyDescent="0.25">
      <c r="A226" t="str">
        <f t="shared" si="3"/>
        <v>2022_Qld_Gatton_Chickpea_DetailedTOS1VarietyStrikerWaterTrtIrrigated</v>
      </c>
      <c r="B226" s="2">
        <v>2022001</v>
      </c>
      <c r="C226" s="3" t="s">
        <v>247</v>
      </c>
      <c r="D226" s="3" t="s">
        <v>248</v>
      </c>
      <c r="F226" s="3" t="s">
        <v>4179</v>
      </c>
      <c r="G226" s="3" t="s">
        <v>43</v>
      </c>
      <c r="H226" s="3" t="s">
        <v>250</v>
      </c>
      <c r="I226" s="2">
        <v>27</v>
      </c>
      <c r="J226" s="2">
        <v>14</v>
      </c>
      <c r="K226" s="2">
        <v>1</v>
      </c>
      <c r="O226" s="2">
        <v>4</v>
      </c>
      <c r="U226" s="2">
        <v>3</v>
      </c>
      <c r="V226" s="2">
        <v>13</v>
      </c>
      <c r="W226" s="2">
        <v>2</v>
      </c>
      <c r="X226" s="2">
        <v>7</v>
      </c>
      <c r="Z226" s="2">
        <v>15</v>
      </c>
      <c r="AA226" s="3" t="s">
        <v>57</v>
      </c>
      <c r="AB226" s="2">
        <v>4</v>
      </c>
      <c r="AF226" s="2">
        <v>35</v>
      </c>
      <c r="AG226" s="2">
        <v>1</v>
      </c>
      <c r="AH226" s="3" t="s">
        <v>251</v>
      </c>
      <c r="AI226" s="4">
        <v>44725</v>
      </c>
      <c r="AJ226" s="3" t="s">
        <v>280</v>
      </c>
      <c r="AK226" s="3" t="s">
        <v>248</v>
      </c>
    </row>
    <row r="227" spans="1:37" hidden="1" x14ac:dyDescent="0.25">
      <c r="A227" t="str">
        <f t="shared" si="3"/>
        <v>2022_Qld_Gatton_Chickpea_DetailedTOS1VarietyStrikerWaterTrtIrrigated</v>
      </c>
      <c r="B227" s="2">
        <v>2022001</v>
      </c>
      <c r="C227" s="3" t="s">
        <v>247</v>
      </c>
      <c r="D227" s="3" t="s">
        <v>248</v>
      </c>
      <c r="F227" s="3" t="s">
        <v>4179</v>
      </c>
      <c r="G227" s="3" t="s">
        <v>43</v>
      </c>
      <c r="H227" s="3" t="s">
        <v>253</v>
      </c>
      <c r="I227" s="2">
        <v>28</v>
      </c>
      <c r="J227" s="2">
        <v>14</v>
      </c>
      <c r="K227" s="2">
        <v>1</v>
      </c>
      <c r="O227" s="2">
        <v>4</v>
      </c>
      <c r="U227" s="2">
        <v>3</v>
      </c>
      <c r="V227" s="2">
        <v>14</v>
      </c>
      <c r="W227" s="2">
        <v>2</v>
      </c>
      <c r="X227" s="2">
        <v>8</v>
      </c>
      <c r="AA227" s="3" t="s">
        <v>57</v>
      </c>
      <c r="AB227" s="2">
        <v>4</v>
      </c>
      <c r="AF227" s="2">
        <v>35</v>
      </c>
      <c r="AG227" s="2">
        <v>1</v>
      </c>
      <c r="AH227" s="3" t="s">
        <v>251</v>
      </c>
      <c r="AI227" s="4">
        <v>44725</v>
      </c>
      <c r="AJ227" s="3" t="s">
        <v>281</v>
      </c>
      <c r="AK227" s="3" t="s">
        <v>248</v>
      </c>
    </row>
    <row r="228" spans="1:37" hidden="1" x14ac:dyDescent="0.25">
      <c r="A228" t="str">
        <f t="shared" si="3"/>
        <v>2022_Qld_Gatton_Chickpea_DetailedTOS1VarietyHatTrickWaterTrtIrrigated</v>
      </c>
      <c r="B228" s="2">
        <v>2022001</v>
      </c>
      <c r="C228" s="3" t="s">
        <v>247</v>
      </c>
      <c r="D228" s="3" t="s">
        <v>248</v>
      </c>
      <c r="F228" s="3" t="s">
        <v>4178</v>
      </c>
      <c r="G228" s="3" t="s">
        <v>39</v>
      </c>
      <c r="H228" s="3" t="s">
        <v>250</v>
      </c>
      <c r="I228" s="2">
        <v>29</v>
      </c>
      <c r="J228" s="2">
        <v>15</v>
      </c>
      <c r="K228" s="2">
        <v>1</v>
      </c>
      <c r="O228" s="2">
        <v>4</v>
      </c>
      <c r="U228" s="2">
        <v>5</v>
      </c>
      <c r="V228" s="2">
        <v>13</v>
      </c>
      <c r="W228" s="2">
        <v>3</v>
      </c>
      <c r="X228" s="2">
        <v>7</v>
      </c>
      <c r="Z228" s="2">
        <v>14</v>
      </c>
      <c r="AA228" s="3" t="s">
        <v>57</v>
      </c>
      <c r="AB228" s="2">
        <v>3</v>
      </c>
      <c r="AF228" s="2">
        <v>35</v>
      </c>
      <c r="AG228" s="2">
        <v>1</v>
      </c>
      <c r="AH228" s="3" t="s">
        <v>251</v>
      </c>
      <c r="AI228" s="4">
        <v>44725</v>
      </c>
      <c r="AJ228" s="3" t="s">
        <v>282</v>
      </c>
      <c r="AK228" s="3" t="s">
        <v>248</v>
      </c>
    </row>
    <row r="229" spans="1:37" hidden="1" x14ac:dyDescent="0.25">
      <c r="A229" t="str">
        <f t="shared" si="3"/>
        <v>2022_Qld_Gatton_Chickpea_DetailedTOS1VarietyHatTrickWaterTrtIrrigated</v>
      </c>
      <c r="B229" s="2">
        <v>2022001</v>
      </c>
      <c r="C229" s="3" t="s">
        <v>247</v>
      </c>
      <c r="D229" s="3" t="s">
        <v>248</v>
      </c>
      <c r="F229" s="3" t="s">
        <v>4178</v>
      </c>
      <c r="G229" s="3" t="s">
        <v>39</v>
      </c>
      <c r="H229" s="3" t="s">
        <v>253</v>
      </c>
      <c r="I229" s="2">
        <v>30</v>
      </c>
      <c r="J229" s="2">
        <v>15</v>
      </c>
      <c r="K229" s="2">
        <v>1</v>
      </c>
      <c r="O229" s="2">
        <v>4</v>
      </c>
      <c r="U229" s="2">
        <v>5</v>
      </c>
      <c r="V229" s="2">
        <v>14</v>
      </c>
      <c r="W229" s="2">
        <v>3</v>
      </c>
      <c r="X229" s="2">
        <v>8</v>
      </c>
      <c r="AA229" s="3" t="s">
        <v>57</v>
      </c>
      <c r="AB229" s="2">
        <v>3</v>
      </c>
      <c r="AF229" s="2">
        <v>35</v>
      </c>
      <c r="AG229" s="2">
        <v>1</v>
      </c>
      <c r="AH229" s="3" t="s">
        <v>251</v>
      </c>
      <c r="AI229" s="4">
        <v>44725</v>
      </c>
      <c r="AJ229" s="3" t="s">
        <v>283</v>
      </c>
      <c r="AK229" s="3" t="s">
        <v>248</v>
      </c>
    </row>
    <row r="230" spans="1:37" hidden="1" x14ac:dyDescent="0.25">
      <c r="A230" t="str">
        <f t="shared" si="3"/>
        <v>2022_Qld_Gatton_Chickpea_DetailedTOS1VarietyCBA_CaptainWaterTrtIrrigated</v>
      </c>
      <c r="B230" s="2">
        <v>2022001</v>
      </c>
      <c r="C230" s="3" t="s">
        <v>247</v>
      </c>
      <c r="D230" s="3" t="s">
        <v>248</v>
      </c>
      <c r="F230" s="3" t="s">
        <v>249</v>
      </c>
      <c r="G230" s="3" t="s">
        <v>43</v>
      </c>
      <c r="H230" s="3" t="s">
        <v>250</v>
      </c>
      <c r="I230" s="2">
        <v>31</v>
      </c>
      <c r="J230" s="2">
        <v>16</v>
      </c>
      <c r="K230" s="2">
        <v>1</v>
      </c>
      <c r="O230" s="2">
        <v>4</v>
      </c>
      <c r="U230" s="2">
        <v>6</v>
      </c>
      <c r="V230" s="2">
        <v>13</v>
      </c>
      <c r="W230" s="2">
        <v>4</v>
      </c>
      <c r="X230" s="2">
        <v>7</v>
      </c>
      <c r="Z230" s="2">
        <v>13</v>
      </c>
      <c r="AA230" s="3" t="s">
        <v>57</v>
      </c>
      <c r="AB230" s="2">
        <v>1</v>
      </c>
      <c r="AF230" s="2">
        <v>35</v>
      </c>
      <c r="AG230" s="2">
        <v>1</v>
      </c>
      <c r="AH230" s="3" t="s">
        <v>251</v>
      </c>
      <c r="AI230" s="4">
        <v>44725</v>
      </c>
      <c r="AJ230" s="3" t="s">
        <v>284</v>
      </c>
      <c r="AK230" s="3" t="s">
        <v>248</v>
      </c>
    </row>
    <row r="231" spans="1:37" hidden="1" x14ac:dyDescent="0.25">
      <c r="A231" t="str">
        <f t="shared" si="3"/>
        <v>2022_Qld_Gatton_Chickpea_DetailedTOS1VarietyCBA_CaptainWaterTrtIrrigated</v>
      </c>
      <c r="B231" s="2">
        <v>2022001</v>
      </c>
      <c r="C231" s="3" t="s">
        <v>247</v>
      </c>
      <c r="D231" s="3" t="s">
        <v>248</v>
      </c>
      <c r="F231" s="3" t="s">
        <v>249</v>
      </c>
      <c r="G231" s="3" t="s">
        <v>43</v>
      </c>
      <c r="H231" s="3" t="s">
        <v>253</v>
      </c>
      <c r="I231" s="2">
        <v>32</v>
      </c>
      <c r="J231" s="2">
        <v>16</v>
      </c>
      <c r="K231" s="2">
        <v>1</v>
      </c>
      <c r="O231" s="2">
        <v>4</v>
      </c>
      <c r="U231" s="2">
        <v>6</v>
      </c>
      <c r="V231" s="2">
        <v>14</v>
      </c>
      <c r="W231" s="2">
        <v>4</v>
      </c>
      <c r="X231" s="2">
        <v>8</v>
      </c>
      <c r="AA231" s="3" t="s">
        <v>57</v>
      </c>
      <c r="AB231" s="2">
        <v>1</v>
      </c>
      <c r="AF231" s="2">
        <v>35</v>
      </c>
      <c r="AG231" s="2">
        <v>1</v>
      </c>
      <c r="AH231" s="3" t="s">
        <v>251</v>
      </c>
      <c r="AI231" s="4">
        <v>44725</v>
      </c>
      <c r="AJ231" s="3" t="s">
        <v>285</v>
      </c>
      <c r="AK231" s="3" t="s">
        <v>248</v>
      </c>
    </row>
    <row r="232" spans="1:37" hidden="1" x14ac:dyDescent="0.25">
      <c r="A232" t="str">
        <f t="shared" si="3"/>
        <v>2022_Qld_Gatton_Chickpea_DetailedTOS1VarietyHatTrickWaterTrtIrrigated</v>
      </c>
      <c r="B232" s="2">
        <v>2022001</v>
      </c>
      <c r="C232" s="3" t="s">
        <v>247</v>
      </c>
      <c r="D232" s="3" t="s">
        <v>248</v>
      </c>
      <c r="F232" s="3" t="s">
        <v>4178</v>
      </c>
      <c r="G232" s="3" t="s">
        <v>39</v>
      </c>
      <c r="H232" s="3" t="s">
        <v>253</v>
      </c>
      <c r="I232" s="2">
        <v>33</v>
      </c>
      <c r="J232" s="2">
        <v>17</v>
      </c>
      <c r="K232" s="2">
        <v>2</v>
      </c>
      <c r="O232" s="2">
        <v>5</v>
      </c>
      <c r="U232" s="2">
        <v>2</v>
      </c>
      <c r="V232" s="2">
        <v>16</v>
      </c>
      <c r="W232" s="2">
        <v>1</v>
      </c>
      <c r="X232" s="2">
        <v>9</v>
      </c>
      <c r="AA232" s="3" t="s">
        <v>57</v>
      </c>
      <c r="AB232" s="2">
        <v>3</v>
      </c>
      <c r="AF232" s="2">
        <v>35</v>
      </c>
      <c r="AG232" s="2">
        <v>1</v>
      </c>
      <c r="AH232" s="3" t="s">
        <v>251</v>
      </c>
      <c r="AI232" s="4">
        <v>44725</v>
      </c>
      <c r="AJ232" s="3" t="s">
        <v>286</v>
      </c>
      <c r="AK232" s="3" t="s">
        <v>248</v>
      </c>
    </row>
    <row r="233" spans="1:37" hidden="1" x14ac:dyDescent="0.25">
      <c r="A233" t="str">
        <f t="shared" si="3"/>
        <v>2022_Qld_Gatton_Chickpea_DetailedTOS1VarietyHatTrickWaterTrtIrrigated</v>
      </c>
      <c r="B233" s="2">
        <v>2022001</v>
      </c>
      <c r="C233" s="3" t="s">
        <v>247</v>
      </c>
      <c r="D233" s="3" t="s">
        <v>248</v>
      </c>
      <c r="F233" s="3" t="s">
        <v>4178</v>
      </c>
      <c r="G233" s="3" t="s">
        <v>39</v>
      </c>
      <c r="H233" s="3" t="s">
        <v>250</v>
      </c>
      <c r="I233" s="2">
        <v>34</v>
      </c>
      <c r="J233" s="2">
        <v>17</v>
      </c>
      <c r="K233" s="2">
        <v>2</v>
      </c>
      <c r="O233" s="2">
        <v>5</v>
      </c>
      <c r="U233" s="2">
        <v>2</v>
      </c>
      <c r="V233" s="2">
        <v>17</v>
      </c>
      <c r="W233" s="2">
        <v>1</v>
      </c>
      <c r="X233" s="2">
        <v>10</v>
      </c>
      <c r="Z233" s="2">
        <v>17</v>
      </c>
      <c r="AA233" s="3" t="s">
        <v>57</v>
      </c>
      <c r="AB233" s="2">
        <v>3</v>
      </c>
      <c r="AF233" s="2">
        <v>35</v>
      </c>
      <c r="AG233" s="2">
        <v>1</v>
      </c>
      <c r="AH233" s="3" t="s">
        <v>251</v>
      </c>
      <c r="AI233" s="4">
        <v>44725</v>
      </c>
      <c r="AJ233" s="3" t="s">
        <v>287</v>
      </c>
      <c r="AK233" s="3" t="s">
        <v>248</v>
      </c>
    </row>
    <row r="234" spans="1:37" hidden="1" x14ac:dyDescent="0.25">
      <c r="A234" t="str">
        <f t="shared" si="3"/>
        <v>2022_Qld_Gatton_Chickpea_DetailedTOS1VarietyDrummondWaterTrtIrrigated</v>
      </c>
      <c r="B234" s="2">
        <v>2022001</v>
      </c>
      <c r="C234" s="3" t="s">
        <v>247</v>
      </c>
      <c r="D234" s="3" t="s">
        <v>248</v>
      </c>
      <c r="F234" s="3" t="s">
        <v>4182</v>
      </c>
      <c r="G234" s="3" t="s">
        <v>39</v>
      </c>
      <c r="H234" s="3" t="s">
        <v>253</v>
      </c>
      <c r="I234" s="2">
        <v>35</v>
      </c>
      <c r="J234" s="2">
        <v>18</v>
      </c>
      <c r="K234" s="2">
        <v>2</v>
      </c>
      <c r="O234" s="2">
        <v>5</v>
      </c>
      <c r="U234" s="2">
        <v>3</v>
      </c>
      <c r="V234" s="2">
        <v>16</v>
      </c>
      <c r="W234" s="2">
        <v>2</v>
      </c>
      <c r="X234" s="2">
        <v>9</v>
      </c>
      <c r="AA234" s="3" t="s">
        <v>57</v>
      </c>
      <c r="AB234" s="2">
        <v>2</v>
      </c>
      <c r="AF234" s="2">
        <v>35</v>
      </c>
      <c r="AG234" s="2">
        <v>1</v>
      </c>
      <c r="AH234" s="3" t="s">
        <v>251</v>
      </c>
      <c r="AI234" s="4">
        <v>44725</v>
      </c>
      <c r="AJ234" s="3" t="s">
        <v>288</v>
      </c>
      <c r="AK234" s="3" t="s">
        <v>248</v>
      </c>
    </row>
    <row r="235" spans="1:37" hidden="1" x14ac:dyDescent="0.25">
      <c r="A235" t="str">
        <f t="shared" si="3"/>
        <v>2022_Qld_Gatton_Chickpea_DetailedTOS1VarietyDrummondWaterTrtIrrigated</v>
      </c>
      <c r="B235" s="2">
        <v>2022001</v>
      </c>
      <c r="C235" s="3" t="s">
        <v>247</v>
      </c>
      <c r="D235" s="3" t="s">
        <v>248</v>
      </c>
      <c r="F235" s="3" t="s">
        <v>4182</v>
      </c>
      <c r="G235" s="3" t="s">
        <v>39</v>
      </c>
      <c r="H235" s="3" t="s">
        <v>250</v>
      </c>
      <c r="I235" s="2">
        <v>36</v>
      </c>
      <c r="J235" s="2">
        <v>18</v>
      </c>
      <c r="K235" s="2">
        <v>2</v>
      </c>
      <c r="O235" s="2">
        <v>5</v>
      </c>
      <c r="U235" s="2">
        <v>3</v>
      </c>
      <c r="V235" s="2">
        <v>17</v>
      </c>
      <c r="W235" s="2">
        <v>2</v>
      </c>
      <c r="X235" s="2">
        <v>10</v>
      </c>
      <c r="Z235" s="2">
        <v>18</v>
      </c>
      <c r="AA235" s="3" t="s">
        <v>57</v>
      </c>
      <c r="AB235" s="2">
        <v>2</v>
      </c>
      <c r="AF235" s="2">
        <v>35</v>
      </c>
      <c r="AG235" s="2">
        <v>1</v>
      </c>
      <c r="AH235" s="3" t="s">
        <v>251</v>
      </c>
      <c r="AI235" s="4">
        <v>44725</v>
      </c>
      <c r="AJ235" s="3" t="s">
        <v>289</v>
      </c>
      <c r="AK235" s="3" t="s">
        <v>248</v>
      </c>
    </row>
    <row r="236" spans="1:37" hidden="1" x14ac:dyDescent="0.25">
      <c r="A236" t="str">
        <f t="shared" si="3"/>
        <v>2022_Qld_Gatton_Chickpea_DetailedTOS1VarietyCBA_CaptainWaterTrtIrrigated</v>
      </c>
      <c r="B236" s="2">
        <v>2022001</v>
      </c>
      <c r="C236" s="3" t="s">
        <v>247</v>
      </c>
      <c r="D236" s="3" t="s">
        <v>248</v>
      </c>
      <c r="F236" s="3" t="s">
        <v>249</v>
      </c>
      <c r="G236" s="3" t="s">
        <v>43</v>
      </c>
      <c r="H236" s="3" t="s">
        <v>253</v>
      </c>
      <c r="I236" s="2">
        <v>37</v>
      </c>
      <c r="J236" s="2">
        <v>19</v>
      </c>
      <c r="K236" s="2">
        <v>2</v>
      </c>
      <c r="O236" s="2">
        <v>5</v>
      </c>
      <c r="U236" s="2">
        <v>5</v>
      </c>
      <c r="V236" s="2">
        <v>16</v>
      </c>
      <c r="W236" s="2">
        <v>3</v>
      </c>
      <c r="X236" s="2">
        <v>9</v>
      </c>
      <c r="AA236" s="3" t="s">
        <v>57</v>
      </c>
      <c r="AB236" s="2">
        <v>1</v>
      </c>
      <c r="AF236" s="2">
        <v>35</v>
      </c>
      <c r="AG236" s="2">
        <v>1</v>
      </c>
      <c r="AH236" s="3" t="s">
        <v>251</v>
      </c>
      <c r="AI236" s="4">
        <v>44725</v>
      </c>
      <c r="AJ236" s="3" t="s">
        <v>290</v>
      </c>
      <c r="AK236" s="3" t="s">
        <v>248</v>
      </c>
    </row>
    <row r="237" spans="1:37" hidden="1" x14ac:dyDescent="0.25">
      <c r="A237" t="str">
        <f t="shared" si="3"/>
        <v>2022_Qld_Gatton_Chickpea_DetailedTOS1VarietyCBA_CaptainWaterTrtIrrigated</v>
      </c>
      <c r="B237" s="2">
        <v>2022001</v>
      </c>
      <c r="C237" s="3" t="s">
        <v>247</v>
      </c>
      <c r="D237" s="3" t="s">
        <v>248</v>
      </c>
      <c r="F237" s="3" t="s">
        <v>249</v>
      </c>
      <c r="G237" s="3" t="s">
        <v>43</v>
      </c>
      <c r="H237" s="3" t="s">
        <v>250</v>
      </c>
      <c r="I237" s="2">
        <v>38</v>
      </c>
      <c r="J237" s="2">
        <v>19</v>
      </c>
      <c r="K237" s="2">
        <v>2</v>
      </c>
      <c r="O237" s="2">
        <v>5</v>
      </c>
      <c r="U237" s="2">
        <v>5</v>
      </c>
      <c r="V237" s="2">
        <v>17</v>
      </c>
      <c r="W237" s="2">
        <v>3</v>
      </c>
      <c r="X237" s="2">
        <v>10</v>
      </c>
      <c r="Z237" s="2">
        <v>19</v>
      </c>
      <c r="AA237" s="3" t="s">
        <v>57</v>
      </c>
      <c r="AB237" s="2">
        <v>1</v>
      </c>
      <c r="AF237" s="2">
        <v>35</v>
      </c>
      <c r="AG237" s="2">
        <v>1</v>
      </c>
      <c r="AH237" s="3" t="s">
        <v>251</v>
      </c>
      <c r="AI237" s="4">
        <v>44725</v>
      </c>
      <c r="AJ237" s="3" t="s">
        <v>291</v>
      </c>
      <c r="AK237" s="3" t="s">
        <v>248</v>
      </c>
    </row>
    <row r="238" spans="1:37" hidden="1" x14ac:dyDescent="0.25">
      <c r="A238" t="str">
        <f t="shared" si="3"/>
        <v>2022_Qld_Gatton_Chickpea_DetailedTOS1VarietyStrikerWaterTrtIrrigated</v>
      </c>
      <c r="B238" s="2">
        <v>2022001</v>
      </c>
      <c r="C238" s="3" t="s">
        <v>247</v>
      </c>
      <c r="D238" s="3" t="s">
        <v>248</v>
      </c>
      <c r="F238" s="3" t="s">
        <v>4179</v>
      </c>
      <c r="G238" s="3" t="s">
        <v>43</v>
      </c>
      <c r="H238" s="3" t="s">
        <v>253</v>
      </c>
      <c r="I238" s="2">
        <v>39</v>
      </c>
      <c r="J238" s="2">
        <v>20</v>
      </c>
      <c r="K238" s="2">
        <v>2</v>
      </c>
      <c r="O238" s="2">
        <v>5</v>
      </c>
      <c r="U238" s="2">
        <v>6</v>
      </c>
      <c r="V238" s="2">
        <v>16</v>
      </c>
      <c r="W238" s="2">
        <v>4</v>
      </c>
      <c r="X238" s="2">
        <v>9</v>
      </c>
      <c r="AA238" s="3" t="s">
        <v>57</v>
      </c>
      <c r="AB238" s="2">
        <v>4</v>
      </c>
      <c r="AF238" s="2">
        <v>35</v>
      </c>
      <c r="AG238" s="2">
        <v>1</v>
      </c>
      <c r="AH238" s="3" t="s">
        <v>251</v>
      </c>
      <c r="AI238" s="4">
        <v>44725</v>
      </c>
      <c r="AJ238" s="3" t="s">
        <v>292</v>
      </c>
      <c r="AK238" s="3" t="s">
        <v>248</v>
      </c>
    </row>
    <row r="239" spans="1:37" hidden="1" x14ac:dyDescent="0.25">
      <c r="A239" t="str">
        <f t="shared" si="3"/>
        <v>2022_Qld_Gatton_Chickpea_DetailedTOS1VarietyStrikerWaterTrtIrrigated</v>
      </c>
      <c r="B239" s="2">
        <v>2022001</v>
      </c>
      <c r="C239" s="3" t="s">
        <v>247</v>
      </c>
      <c r="D239" s="3" t="s">
        <v>248</v>
      </c>
      <c r="F239" s="3" t="s">
        <v>4179</v>
      </c>
      <c r="G239" s="3" t="s">
        <v>43</v>
      </c>
      <c r="H239" s="3" t="s">
        <v>250</v>
      </c>
      <c r="I239" s="2">
        <v>40</v>
      </c>
      <c r="J239" s="2">
        <v>20</v>
      </c>
      <c r="K239" s="2">
        <v>2</v>
      </c>
      <c r="O239" s="2">
        <v>5</v>
      </c>
      <c r="U239" s="2">
        <v>6</v>
      </c>
      <c r="V239" s="2">
        <v>17</v>
      </c>
      <c r="W239" s="2">
        <v>4</v>
      </c>
      <c r="X239" s="2">
        <v>10</v>
      </c>
      <c r="Z239" s="2">
        <v>20</v>
      </c>
      <c r="AA239" s="3" t="s">
        <v>57</v>
      </c>
      <c r="AB239" s="2">
        <v>4</v>
      </c>
      <c r="AF239" s="2">
        <v>35</v>
      </c>
      <c r="AG239" s="2">
        <v>1</v>
      </c>
      <c r="AH239" s="3" t="s">
        <v>251</v>
      </c>
      <c r="AI239" s="4">
        <v>44725</v>
      </c>
      <c r="AJ239" s="3" t="s">
        <v>293</v>
      </c>
      <c r="AK239" s="3" t="s">
        <v>248</v>
      </c>
    </row>
    <row r="240" spans="1:37" hidden="1" x14ac:dyDescent="0.25">
      <c r="A240" t="str">
        <f t="shared" si="3"/>
        <v>2022_Qld_Gatton_Chickpea_DetailedTOS1VarietyStrikerWaterTrtRainFed</v>
      </c>
      <c r="B240" s="2">
        <v>2022001</v>
      </c>
      <c r="C240" s="3" t="s">
        <v>247</v>
      </c>
      <c r="D240" s="3" t="s">
        <v>248</v>
      </c>
      <c r="F240" s="3" t="s">
        <v>4179</v>
      </c>
      <c r="G240" s="3" t="s">
        <v>43</v>
      </c>
      <c r="H240" s="3" t="s">
        <v>250</v>
      </c>
      <c r="I240" s="2">
        <v>41</v>
      </c>
      <c r="J240" s="2">
        <v>21</v>
      </c>
      <c r="K240" s="2">
        <v>2</v>
      </c>
      <c r="O240" s="2">
        <v>6</v>
      </c>
      <c r="U240" s="2">
        <v>2</v>
      </c>
      <c r="V240" s="2">
        <v>19</v>
      </c>
      <c r="W240" s="2">
        <v>1</v>
      </c>
      <c r="X240" s="2">
        <v>11</v>
      </c>
      <c r="Z240" s="2">
        <v>24</v>
      </c>
      <c r="AA240" s="3" t="s">
        <v>40</v>
      </c>
      <c r="AB240" s="2">
        <v>4</v>
      </c>
      <c r="AF240" s="2">
        <v>35</v>
      </c>
      <c r="AG240" s="2">
        <v>1</v>
      </c>
      <c r="AH240" s="3" t="s">
        <v>251</v>
      </c>
      <c r="AI240" s="4">
        <v>44725</v>
      </c>
      <c r="AJ240" s="3" t="s">
        <v>294</v>
      </c>
      <c r="AK240" s="3" t="s">
        <v>248</v>
      </c>
    </row>
    <row r="241" spans="1:37" hidden="1" x14ac:dyDescent="0.25">
      <c r="A241" t="str">
        <f t="shared" si="3"/>
        <v>2022_Qld_Gatton_Chickpea_DetailedTOS1VarietyStrikerWaterTrtRainFed</v>
      </c>
      <c r="B241" s="2">
        <v>2022001</v>
      </c>
      <c r="C241" s="3" t="s">
        <v>247</v>
      </c>
      <c r="D241" s="3" t="s">
        <v>248</v>
      </c>
      <c r="F241" s="3" t="s">
        <v>4179</v>
      </c>
      <c r="G241" s="3" t="s">
        <v>43</v>
      </c>
      <c r="H241" s="3" t="s">
        <v>253</v>
      </c>
      <c r="I241" s="2">
        <v>42</v>
      </c>
      <c r="J241" s="2">
        <v>21</v>
      </c>
      <c r="K241" s="2">
        <v>2</v>
      </c>
      <c r="O241" s="2">
        <v>6</v>
      </c>
      <c r="U241" s="2">
        <v>2</v>
      </c>
      <c r="V241" s="2">
        <v>20</v>
      </c>
      <c r="W241" s="2">
        <v>1</v>
      </c>
      <c r="X241" s="2">
        <v>12</v>
      </c>
      <c r="AA241" s="3" t="s">
        <v>40</v>
      </c>
      <c r="AB241" s="2">
        <v>4</v>
      </c>
      <c r="AF241" s="2">
        <v>35</v>
      </c>
      <c r="AG241" s="2">
        <v>1</v>
      </c>
      <c r="AH241" s="3" t="s">
        <v>251</v>
      </c>
      <c r="AI241" s="4">
        <v>44725</v>
      </c>
      <c r="AJ241" s="3" t="s">
        <v>295</v>
      </c>
      <c r="AK241" s="3" t="s">
        <v>248</v>
      </c>
    </row>
    <row r="242" spans="1:37" hidden="1" x14ac:dyDescent="0.25">
      <c r="A242" t="str">
        <f t="shared" si="3"/>
        <v>2022_Qld_Gatton_Chickpea_DetailedTOS1VarietyCBA_CaptainWaterTrtRainFed</v>
      </c>
      <c r="B242" s="2">
        <v>2022001</v>
      </c>
      <c r="C242" s="3" t="s">
        <v>247</v>
      </c>
      <c r="D242" s="3" t="s">
        <v>248</v>
      </c>
      <c r="F242" s="3" t="s">
        <v>249</v>
      </c>
      <c r="G242" s="3" t="s">
        <v>43</v>
      </c>
      <c r="H242" s="3" t="s">
        <v>250</v>
      </c>
      <c r="I242" s="2">
        <v>43</v>
      </c>
      <c r="J242" s="2">
        <v>22</v>
      </c>
      <c r="K242" s="2">
        <v>2</v>
      </c>
      <c r="O242" s="2">
        <v>6</v>
      </c>
      <c r="U242" s="2">
        <v>3</v>
      </c>
      <c r="V242" s="2">
        <v>19</v>
      </c>
      <c r="W242" s="2">
        <v>2</v>
      </c>
      <c r="X242" s="2">
        <v>11</v>
      </c>
      <c r="Z242" s="2">
        <v>23</v>
      </c>
      <c r="AA242" s="3" t="s">
        <v>40</v>
      </c>
      <c r="AB242" s="2">
        <v>1</v>
      </c>
      <c r="AF242" s="2">
        <v>35</v>
      </c>
      <c r="AG242" s="2">
        <v>1</v>
      </c>
      <c r="AH242" s="3" t="s">
        <v>251</v>
      </c>
      <c r="AI242" s="4">
        <v>44725</v>
      </c>
      <c r="AJ242" s="3" t="s">
        <v>296</v>
      </c>
      <c r="AK242" s="3" t="s">
        <v>248</v>
      </c>
    </row>
    <row r="243" spans="1:37" hidden="1" x14ac:dyDescent="0.25">
      <c r="A243" t="str">
        <f t="shared" si="3"/>
        <v>2022_Qld_Gatton_Chickpea_DetailedTOS1VarietyCBA_CaptainWaterTrtRainFed</v>
      </c>
      <c r="B243" s="2">
        <v>2022001</v>
      </c>
      <c r="C243" s="3" t="s">
        <v>247</v>
      </c>
      <c r="D243" s="3" t="s">
        <v>248</v>
      </c>
      <c r="F243" s="3" t="s">
        <v>249</v>
      </c>
      <c r="G243" s="3" t="s">
        <v>43</v>
      </c>
      <c r="H243" s="3" t="s">
        <v>253</v>
      </c>
      <c r="I243" s="2">
        <v>44</v>
      </c>
      <c r="J243" s="2">
        <v>22</v>
      </c>
      <c r="K243" s="2">
        <v>2</v>
      </c>
      <c r="O243" s="2">
        <v>6</v>
      </c>
      <c r="U243" s="2">
        <v>3</v>
      </c>
      <c r="V243" s="2">
        <v>20</v>
      </c>
      <c r="W243" s="2">
        <v>2</v>
      </c>
      <c r="X243" s="2">
        <v>12</v>
      </c>
      <c r="AA243" s="3" t="s">
        <v>40</v>
      </c>
      <c r="AB243" s="2">
        <v>1</v>
      </c>
      <c r="AF243" s="2">
        <v>35</v>
      </c>
      <c r="AG243" s="2">
        <v>1</v>
      </c>
      <c r="AH243" s="3" t="s">
        <v>251</v>
      </c>
      <c r="AI243" s="4">
        <v>44725</v>
      </c>
      <c r="AJ243" s="3" t="s">
        <v>297</v>
      </c>
      <c r="AK243" s="3" t="s">
        <v>248</v>
      </c>
    </row>
    <row r="244" spans="1:37" hidden="1" x14ac:dyDescent="0.25">
      <c r="A244" t="str">
        <f t="shared" si="3"/>
        <v>2022_Qld_Gatton_Chickpea_DetailedTOS1VarietyHatTrickWaterTrtRainFed</v>
      </c>
      <c r="B244" s="2">
        <v>2022001</v>
      </c>
      <c r="C244" s="3" t="s">
        <v>247</v>
      </c>
      <c r="D244" s="3" t="s">
        <v>248</v>
      </c>
      <c r="F244" s="3" t="s">
        <v>4178</v>
      </c>
      <c r="G244" s="3" t="s">
        <v>39</v>
      </c>
      <c r="H244" s="3" t="s">
        <v>250</v>
      </c>
      <c r="I244" s="2">
        <v>45</v>
      </c>
      <c r="J244" s="2">
        <v>23</v>
      </c>
      <c r="K244" s="2">
        <v>2</v>
      </c>
      <c r="O244" s="2">
        <v>6</v>
      </c>
      <c r="U244" s="2">
        <v>5</v>
      </c>
      <c r="V244" s="2">
        <v>19</v>
      </c>
      <c r="W244" s="2">
        <v>3</v>
      </c>
      <c r="X244" s="2">
        <v>11</v>
      </c>
      <c r="Z244" s="2">
        <v>22</v>
      </c>
      <c r="AA244" s="3" t="s">
        <v>40</v>
      </c>
      <c r="AB244" s="2">
        <v>3</v>
      </c>
      <c r="AF244" s="2">
        <v>35</v>
      </c>
      <c r="AG244" s="2">
        <v>1</v>
      </c>
      <c r="AH244" s="3" t="s">
        <v>251</v>
      </c>
      <c r="AI244" s="4">
        <v>44725</v>
      </c>
      <c r="AJ244" s="3" t="s">
        <v>298</v>
      </c>
      <c r="AK244" s="3" t="s">
        <v>248</v>
      </c>
    </row>
    <row r="245" spans="1:37" hidden="1" x14ac:dyDescent="0.25">
      <c r="A245" t="str">
        <f t="shared" si="3"/>
        <v>2022_Qld_Gatton_Chickpea_DetailedTOS1VarietyHatTrickWaterTrtRainFed</v>
      </c>
      <c r="B245" s="2">
        <v>2022001</v>
      </c>
      <c r="C245" s="3" t="s">
        <v>247</v>
      </c>
      <c r="D245" s="3" t="s">
        <v>248</v>
      </c>
      <c r="F245" s="3" t="s">
        <v>4178</v>
      </c>
      <c r="G245" s="3" t="s">
        <v>39</v>
      </c>
      <c r="H245" s="3" t="s">
        <v>253</v>
      </c>
      <c r="I245" s="2">
        <v>46</v>
      </c>
      <c r="J245" s="2">
        <v>23</v>
      </c>
      <c r="K245" s="2">
        <v>2</v>
      </c>
      <c r="O245" s="2">
        <v>6</v>
      </c>
      <c r="U245" s="2">
        <v>5</v>
      </c>
      <c r="V245" s="2">
        <v>20</v>
      </c>
      <c r="W245" s="2">
        <v>3</v>
      </c>
      <c r="X245" s="2">
        <v>12</v>
      </c>
      <c r="AA245" s="3" t="s">
        <v>40</v>
      </c>
      <c r="AB245" s="2">
        <v>3</v>
      </c>
      <c r="AF245" s="2">
        <v>35</v>
      </c>
      <c r="AG245" s="2">
        <v>1</v>
      </c>
      <c r="AH245" s="3" t="s">
        <v>251</v>
      </c>
      <c r="AI245" s="4">
        <v>44725</v>
      </c>
      <c r="AJ245" s="3" t="s">
        <v>299</v>
      </c>
      <c r="AK245" s="3" t="s">
        <v>248</v>
      </c>
    </row>
    <row r="246" spans="1:37" hidden="1" x14ac:dyDescent="0.25">
      <c r="A246" t="str">
        <f t="shared" si="3"/>
        <v>2022_Qld_Gatton_Chickpea_DetailedTOS1VarietyDrummondWaterTrtRainFed</v>
      </c>
      <c r="B246" s="2">
        <v>2022001</v>
      </c>
      <c r="C246" s="3" t="s">
        <v>247</v>
      </c>
      <c r="D246" s="3" t="s">
        <v>248</v>
      </c>
      <c r="F246" s="3" t="s">
        <v>4182</v>
      </c>
      <c r="G246" s="3" t="s">
        <v>39</v>
      </c>
      <c r="H246" s="3" t="s">
        <v>250</v>
      </c>
      <c r="I246" s="2">
        <v>47</v>
      </c>
      <c r="J246" s="2">
        <v>24</v>
      </c>
      <c r="K246" s="2">
        <v>2</v>
      </c>
      <c r="O246" s="2">
        <v>6</v>
      </c>
      <c r="U246" s="2">
        <v>6</v>
      </c>
      <c r="V246" s="2">
        <v>19</v>
      </c>
      <c r="W246" s="2">
        <v>4</v>
      </c>
      <c r="X246" s="2">
        <v>11</v>
      </c>
      <c r="Z246" s="2">
        <v>21</v>
      </c>
      <c r="AA246" s="3" t="s">
        <v>40</v>
      </c>
      <c r="AB246" s="2">
        <v>2</v>
      </c>
      <c r="AF246" s="2">
        <v>35</v>
      </c>
      <c r="AG246" s="2">
        <v>1</v>
      </c>
      <c r="AH246" s="3" t="s">
        <v>251</v>
      </c>
      <c r="AI246" s="4">
        <v>44725</v>
      </c>
      <c r="AJ246" s="3" t="s">
        <v>300</v>
      </c>
      <c r="AK246" s="3" t="s">
        <v>248</v>
      </c>
    </row>
    <row r="247" spans="1:37" hidden="1" x14ac:dyDescent="0.25">
      <c r="A247" t="str">
        <f t="shared" si="3"/>
        <v>2022_Qld_Gatton_Chickpea_DetailedTOS1VarietyDrummondWaterTrtRainFed</v>
      </c>
      <c r="B247" s="2">
        <v>2022001</v>
      </c>
      <c r="C247" s="3" t="s">
        <v>247</v>
      </c>
      <c r="D247" s="3" t="s">
        <v>248</v>
      </c>
      <c r="F247" s="3" t="s">
        <v>4182</v>
      </c>
      <c r="G247" s="3" t="s">
        <v>39</v>
      </c>
      <c r="H247" s="3" t="s">
        <v>253</v>
      </c>
      <c r="I247" s="2">
        <v>48</v>
      </c>
      <c r="J247" s="2">
        <v>24</v>
      </c>
      <c r="K247" s="2">
        <v>2</v>
      </c>
      <c r="O247" s="2">
        <v>6</v>
      </c>
      <c r="U247" s="2">
        <v>6</v>
      </c>
      <c r="V247" s="2">
        <v>20</v>
      </c>
      <c r="W247" s="2">
        <v>4</v>
      </c>
      <c r="X247" s="2">
        <v>12</v>
      </c>
      <c r="AA247" s="3" t="s">
        <v>40</v>
      </c>
      <c r="AB247" s="2">
        <v>2</v>
      </c>
      <c r="AF247" s="2">
        <v>35</v>
      </c>
      <c r="AG247" s="2">
        <v>1</v>
      </c>
      <c r="AH247" s="3" t="s">
        <v>251</v>
      </c>
      <c r="AI247" s="4">
        <v>44725</v>
      </c>
      <c r="AJ247" s="3" t="s">
        <v>301</v>
      </c>
      <c r="AK247" s="3" t="s">
        <v>248</v>
      </c>
    </row>
    <row r="248" spans="1:37" hidden="1" x14ac:dyDescent="0.25">
      <c r="A248" t="str">
        <f t="shared" si="3"/>
        <v>2022_Qld_Gatton_Chickpea_DetailedTOS2VarietyDrummondWaterTrtIrrigated</v>
      </c>
      <c r="B248" s="2">
        <v>2022001</v>
      </c>
      <c r="C248" s="3" t="s">
        <v>247</v>
      </c>
      <c r="D248" s="3" t="s">
        <v>248</v>
      </c>
      <c r="F248" s="3" t="s">
        <v>4182</v>
      </c>
      <c r="G248" s="3" t="s">
        <v>39</v>
      </c>
      <c r="H248" s="3" t="s">
        <v>253</v>
      </c>
      <c r="I248" s="2">
        <v>49</v>
      </c>
      <c r="J248" s="2">
        <v>25</v>
      </c>
      <c r="K248" s="2">
        <v>2</v>
      </c>
      <c r="O248" s="2">
        <v>7</v>
      </c>
      <c r="U248" s="2">
        <v>2</v>
      </c>
      <c r="V248" s="2">
        <v>23</v>
      </c>
      <c r="W248" s="2">
        <v>1</v>
      </c>
      <c r="X248" s="2">
        <v>13</v>
      </c>
      <c r="AA248" s="3" t="s">
        <v>57</v>
      </c>
      <c r="AB248" s="2">
        <v>2</v>
      </c>
      <c r="AF248" s="2">
        <v>35</v>
      </c>
      <c r="AG248" s="2">
        <v>2</v>
      </c>
      <c r="AH248" s="3" t="s">
        <v>261</v>
      </c>
      <c r="AI248" s="4">
        <v>44760</v>
      </c>
      <c r="AJ248" s="3" t="s">
        <v>302</v>
      </c>
      <c r="AK248" s="3" t="s">
        <v>248</v>
      </c>
    </row>
    <row r="249" spans="1:37" hidden="1" x14ac:dyDescent="0.25">
      <c r="A249" t="str">
        <f t="shared" si="3"/>
        <v>2022_Qld_Gatton_Chickpea_DetailedTOS2VarietyDrummondWaterTrtIrrigated</v>
      </c>
      <c r="B249" s="2">
        <v>2022001</v>
      </c>
      <c r="C249" s="3" t="s">
        <v>247</v>
      </c>
      <c r="D249" s="3" t="s">
        <v>248</v>
      </c>
      <c r="F249" s="3" t="s">
        <v>4182</v>
      </c>
      <c r="G249" s="3" t="s">
        <v>39</v>
      </c>
      <c r="H249" s="3" t="s">
        <v>250</v>
      </c>
      <c r="I249" s="2">
        <v>50</v>
      </c>
      <c r="J249" s="2">
        <v>25</v>
      </c>
      <c r="K249" s="2">
        <v>2</v>
      </c>
      <c r="O249" s="2">
        <v>7</v>
      </c>
      <c r="U249" s="2">
        <v>2</v>
      </c>
      <c r="V249" s="2">
        <v>24</v>
      </c>
      <c r="W249" s="2">
        <v>1</v>
      </c>
      <c r="X249" s="2">
        <v>14</v>
      </c>
      <c r="Z249" s="2">
        <v>25</v>
      </c>
      <c r="AA249" s="3" t="s">
        <v>57</v>
      </c>
      <c r="AB249" s="2">
        <v>2</v>
      </c>
      <c r="AF249" s="2">
        <v>35</v>
      </c>
      <c r="AG249" s="2">
        <v>2</v>
      </c>
      <c r="AH249" s="3" t="s">
        <v>261</v>
      </c>
      <c r="AI249" s="4">
        <v>44760</v>
      </c>
      <c r="AJ249" s="3" t="s">
        <v>303</v>
      </c>
      <c r="AK249" s="3" t="s">
        <v>248</v>
      </c>
    </row>
    <row r="250" spans="1:37" hidden="1" x14ac:dyDescent="0.25">
      <c r="A250" t="str">
        <f t="shared" si="3"/>
        <v>2022_Qld_Gatton_Chickpea_DetailedTOS2VarietyHatTrickWaterTrtIrrigated</v>
      </c>
      <c r="B250" s="2">
        <v>2022001</v>
      </c>
      <c r="C250" s="3" t="s">
        <v>247</v>
      </c>
      <c r="D250" s="3" t="s">
        <v>248</v>
      </c>
      <c r="F250" s="3" t="s">
        <v>4178</v>
      </c>
      <c r="G250" s="3" t="s">
        <v>39</v>
      </c>
      <c r="H250" s="3" t="s">
        <v>253</v>
      </c>
      <c r="I250" s="2">
        <v>51</v>
      </c>
      <c r="J250" s="2">
        <v>26</v>
      </c>
      <c r="K250" s="2">
        <v>2</v>
      </c>
      <c r="O250" s="2">
        <v>7</v>
      </c>
      <c r="U250" s="2">
        <v>3</v>
      </c>
      <c r="V250" s="2">
        <v>23</v>
      </c>
      <c r="W250" s="2">
        <v>2</v>
      </c>
      <c r="X250" s="2">
        <v>13</v>
      </c>
      <c r="AA250" s="3" t="s">
        <v>57</v>
      </c>
      <c r="AB250" s="2">
        <v>3</v>
      </c>
      <c r="AF250" s="2">
        <v>35</v>
      </c>
      <c r="AG250" s="2">
        <v>2</v>
      </c>
      <c r="AH250" s="3" t="s">
        <v>261</v>
      </c>
      <c r="AI250" s="4">
        <v>44760</v>
      </c>
      <c r="AJ250" s="3" t="s">
        <v>304</v>
      </c>
      <c r="AK250" s="3" t="s">
        <v>248</v>
      </c>
    </row>
    <row r="251" spans="1:37" hidden="1" x14ac:dyDescent="0.25">
      <c r="A251" t="str">
        <f t="shared" si="3"/>
        <v>2022_Qld_Gatton_Chickpea_DetailedTOS2VarietyHatTrickWaterTrtIrrigated</v>
      </c>
      <c r="B251" s="2">
        <v>2022001</v>
      </c>
      <c r="C251" s="3" t="s">
        <v>247</v>
      </c>
      <c r="D251" s="3" t="s">
        <v>248</v>
      </c>
      <c r="F251" s="3" t="s">
        <v>4178</v>
      </c>
      <c r="G251" s="3" t="s">
        <v>39</v>
      </c>
      <c r="H251" s="3" t="s">
        <v>250</v>
      </c>
      <c r="I251" s="2">
        <v>52</v>
      </c>
      <c r="J251" s="2">
        <v>26</v>
      </c>
      <c r="K251" s="2">
        <v>2</v>
      </c>
      <c r="O251" s="2">
        <v>7</v>
      </c>
      <c r="U251" s="2">
        <v>3</v>
      </c>
      <c r="V251" s="2">
        <v>24</v>
      </c>
      <c r="W251" s="2">
        <v>2</v>
      </c>
      <c r="X251" s="2">
        <v>14</v>
      </c>
      <c r="Z251" s="2">
        <v>26</v>
      </c>
      <c r="AA251" s="3" t="s">
        <v>57</v>
      </c>
      <c r="AB251" s="2">
        <v>3</v>
      </c>
      <c r="AF251" s="2">
        <v>35</v>
      </c>
      <c r="AG251" s="2">
        <v>2</v>
      </c>
      <c r="AH251" s="3" t="s">
        <v>261</v>
      </c>
      <c r="AI251" s="4">
        <v>44760</v>
      </c>
      <c r="AJ251" s="3" t="s">
        <v>305</v>
      </c>
      <c r="AK251" s="3" t="s">
        <v>248</v>
      </c>
    </row>
    <row r="252" spans="1:37" hidden="1" x14ac:dyDescent="0.25">
      <c r="A252" t="str">
        <f t="shared" si="3"/>
        <v>2022_Qld_Gatton_Chickpea_DetailedTOS2VarietyStrikerWaterTrtIrrigated</v>
      </c>
      <c r="B252" s="2">
        <v>2022001</v>
      </c>
      <c r="C252" s="3" t="s">
        <v>247</v>
      </c>
      <c r="D252" s="3" t="s">
        <v>248</v>
      </c>
      <c r="F252" s="3" t="s">
        <v>4179</v>
      </c>
      <c r="G252" s="3" t="s">
        <v>43</v>
      </c>
      <c r="H252" s="3" t="s">
        <v>253</v>
      </c>
      <c r="I252" s="2">
        <v>53</v>
      </c>
      <c r="J252" s="2">
        <v>27</v>
      </c>
      <c r="K252" s="2">
        <v>2</v>
      </c>
      <c r="O252" s="2">
        <v>7</v>
      </c>
      <c r="U252" s="2">
        <v>5</v>
      </c>
      <c r="V252" s="2">
        <v>23</v>
      </c>
      <c r="W252" s="2">
        <v>3</v>
      </c>
      <c r="X252" s="2">
        <v>13</v>
      </c>
      <c r="AA252" s="3" t="s">
        <v>57</v>
      </c>
      <c r="AB252" s="2">
        <v>4</v>
      </c>
      <c r="AF252" s="2">
        <v>35</v>
      </c>
      <c r="AG252" s="2">
        <v>2</v>
      </c>
      <c r="AH252" s="3" t="s">
        <v>261</v>
      </c>
      <c r="AI252" s="4">
        <v>44760</v>
      </c>
      <c r="AJ252" s="3" t="s">
        <v>306</v>
      </c>
      <c r="AK252" s="3" t="s">
        <v>248</v>
      </c>
    </row>
    <row r="253" spans="1:37" hidden="1" x14ac:dyDescent="0.25">
      <c r="A253" t="str">
        <f t="shared" si="3"/>
        <v>2022_Qld_Gatton_Chickpea_DetailedTOS2VarietyStrikerWaterTrtIrrigated</v>
      </c>
      <c r="B253" s="2">
        <v>2022001</v>
      </c>
      <c r="C253" s="3" t="s">
        <v>247</v>
      </c>
      <c r="D253" s="3" t="s">
        <v>248</v>
      </c>
      <c r="F253" s="3" t="s">
        <v>4179</v>
      </c>
      <c r="G253" s="3" t="s">
        <v>43</v>
      </c>
      <c r="H253" s="3" t="s">
        <v>250</v>
      </c>
      <c r="I253" s="2">
        <v>54</v>
      </c>
      <c r="J253" s="2">
        <v>27</v>
      </c>
      <c r="K253" s="2">
        <v>2</v>
      </c>
      <c r="O253" s="2">
        <v>7</v>
      </c>
      <c r="U253" s="2">
        <v>5</v>
      </c>
      <c r="V253" s="2">
        <v>24</v>
      </c>
      <c r="W253" s="2">
        <v>3</v>
      </c>
      <c r="X253" s="2">
        <v>14</v>
      </c>
      <c r="Z253" s="2">
        <v>27</v>
      </c>
      <c r="AA253" s="3" t="s">
        <v>57</v>
      </c>
      <c r="AB253" s="2">
        <v>4</v>
      </c>
      <c r="AF253" s="2">
        <v>35</v>
      </c>
      <c r="AG253" s="2">
        <v>2</v>
      </c>
      <c r="AH253" s="3" t="s">
        <v>261</v>
      </c>
      <c r="AI253" s="4">
        <v>44760</v>
      </c>
      <c r="AJ253" s="3" t="s">
        <v>307</v>
      </c>
      <c r="AK253" s="3" t="s">
        <v>248</v>
      </c>
    </row>
    <row r="254" spans="1:37" hidden="1" x14ac:dyDescent="0.25">
      <c r="A254" t="str">
        <f t="shared" si="3"/>
        <v>2022_Qld_Gatton_Chickpea_DetailedTOS2VarietyCBA_CaptainWaterTrtIrrigated</v>
      </c>
      <c r="B254" s="2">
        <v>2022001</v>
      </c>
      <c r="C254" s="3" t="s">
        <v>247</v>
      </c>
      <c r="D254" s="3" t="s">
        <v>248</v>
      </c>
      <c r="F254" s="3" t="s">
        <v>249</v>
      </c>
      <c r="G254" s="3" t="s">
        <v>43</v>
      </c>
      <c r="H254" s="3" t="s">
        <v>253</v>
      </c>
      <c r="I254" s="2">
        <v>55</v>
      </c>
      <c r="J254" s="2">
        <v>28</v>
      </c>
      <c r="K254" s="2">
        <v>2</v>
      </c>
      <c r="O254" s="2">
        <v>7</v>
      </c>
      <c r="U254" s="2">
        <v>6</v>
      </c>
      <c r="V254" s="2">
        <v>23</v>
      </c>
      <c r="W254" s="2">
        <v>4</v>
      </c>
      <c r="X254" s="2">
        <v>13</v>
      </c>
      <c r="AA254" s="3" t="s">
        <v>57</v>
      </c>
      <c r="AB254" s="2">
        <v>1</v>
      </c>
      <c r="AF254" s="2">
        <v>35</v>
      </c>
      <c r="AG254" s="2">
        <v>2</v>
      </c>
      <c r="AH254" s="3" t="s">
        <v>261</v>
      </c>
      <c r="AI254" s="4">
        <v>44760</v>
      </c>
      <c r="AJ254" s="3" t="s">
        <v>308</v>
      </c>
      <c r="AK254" s="3" t="s">
        <v>248</v>
      </c>
    </row>
    <row r="255" spans="1:37" hidden="1" x14ac:dyDescent="0.25">
      <c r="A255" t="str">
        <f t="shared" si="3"/>
        <v>2022_Qld_Gatton_Chickpea_DetailedTOS2VarietyCBA_CaptainWaterTrtIrrigated</v>
      </c>
      <c r="B255" s="2">
        <v>2022001</v>
      </c>
      <c r="C255" s="3" t="s">
        <v>247</v>
      </c>
      <c r="D255" s="3" t="s">
        <v>248</v>
      </c>
      <c r="F255" s="3" t="s">
        <v>249</v>
      </c>
      <c r="G255" s="3" t="s">
        <v>43</v>
      </c>
      <c r="H255" s="3" t="s">
        <v>250</v>
      </c>
      <c r="I255" s="2">
        <v>56</v>
      </c>
      <c r="J255" s="2">
        <v>28</v>
      </c>
      <c r="K255" s="2">
        <v>2</v>
      </c>
      <c r="O255" s="2">
        <v>7</v>
      </c>
      <c r="U255" s="2">
        <v>6</v>
      </c>
      <c r="V255" s="2">
        <v>24</v>
      </c>
      <c r="W255" s="2">
        <v>4</v>
      </c>
      <c r="X255" s="2">
        <v>14</v>
      </c>
      <c r="Z255" s="2">
        <v>28</v>
      </c>
      <c r="AA255" s="3" t="s">
        <v>57</v>
      </c>
      <c r="AB255" s="2">
        <v>1</v>
      </c>
      <c r="AF255" s="2">
        <v>35</v>
      </c>
      <c r="AG255" s="2">
        <v>2</v>
      </c>
      <c r="AH255" s="3" t="s">
        <v>261</v>
      </c>
      <c r="AI255" s="4">
        <v>44760</v>
      </c>
      <c r="AJ255" s="3" t="s">
        <v>309</v>
      </c>
      <c r="AK255" s="3" t="s">
        <v>248</v>
      </c>
    </row>
    <row r="256" spans="1:37" hidden="1" x14ac:dyDescent="0.25">
      <c r="A256" t="str">
        <f t="shared" si="3"/>
        <v>2022_Qld_Gatton_Chickpea_DetailedTOS2VarietyCBA_CaptainWaterTrtRainFed</v>
      </c>
      <c r="B256" s="2">
        <v>2022001</v>
      </c>
      <c r="C256" s="3" t="s">
        <v>247</v>
      </c>
      <c r="D256" s="3" t="s">
        <v>248</v>
      </c>
      <c r="F256" s="3" t="s">
        <v>249</v>
      </c>
      <c r="G256" s="3" t="s">
        <v>43</v>
      </c>
      <c r="H256" s="3" t="s">
        <v>250</v>
      </c>
      <c r="I256" s="2">
        <v>57</v>
      </c>
      <c r="J256" s="2">
        <v>29</v>
      </c>
      <c r="K256" s="2">
        <v>2</v>
      </c>
      <c r="O256" s="2">
        <v>8</v>
      </c>
      <c r="U256" s="2">
        <v>2</v>
      </c>
      <c r="V256" s="2">
        <v>26</v>
      </c>
      <c r="W256" s="2">
        <v>1</v>
      </c>
      <c r="X256" s="2">
        <v>15</v>
      </c>
      <c r="Z256" s="2">
        <v>32</v>
      </c>
      <c r="AA256" s="3" t="s">
        <v>40</v>
      </c>
      <c r="AB256" s="2">
        <v>1</v>
      </c>
      <c r="AF256" s="2">
        <v>35</v>
      </c>
      <c r="AG256" s="2">
        <v>2</v>
      </c>
      <c r="AH256" s="3" t="s">
        <v>261</v>
      </c>
      <c r="AI256" s="4">
        <v>44760</v>
      </c>
      <c r="AJ256" s="3" t="s">
        <v>310</v>
      </c>
      <c r="AK256" s="3" t="s">
        <v>248</v>
      </c>
    </row>
    <row r="257" spans="1:37" hidden="1" x14ac:dyDescent="0.25">
      <c r="A257" t="str">
        <f t="shared" si="3"/>
        <v>2022_Qld_Gatton_Chickpea_DetailedTOS2VarietyCBA_CaptainWaterTrtRainFed</v>
      </c>
      <c r="B257" s="2">
        <v>2022001</v>
      </c>
      <c r="C257" s="3" t="s">
        <v>247</v>
      </c>
      <c r="D257" s="3" t="s">
        <v>248</v>
      </c>
      <c r="F257" s="3" t="s">
        <v>249</v>
      </c>
      <c r="G257" s="3" t="s">
        <v>43</v>
      </c>
      <c r="H257" s="3" t="s">
        <v>253</v>
      </c>
      <c r="I257" s="2">
        <v>58</v>
      </c>
      <c r="J257" s="2">
        <v>29</v>
      </c>
      <c r="K257" s="2">
        <v>2</v>
      </c>
      <c r="O257" s="2">
        <v>8</v>
      </c>
      <c r="U257" s="2">
        <v>2</v>
      </c>
      <c r="V257" s="2">
        <v>27</v>
      </c>
      <c r="W257" s="2">
        <v>1</v>
      </c>
      <c r="X257" s="2">
        <v>16</v>
      </c>
      <c r="AA257" s="3" t="s">
        <v>40</v>
      </c>
      <c r="AB257" s="2">
        <v>1</v>
      </c>
      <c r="AF257" s="2">
        <v>35</v>
      </c>
      <c r="AG257" s="2">
        <v>2</v>
      </c>
      <c r="AH257" s="3" t="s">
        <v>261</v>
      </c>
      <c r="AI257" s="4">
        <v>44760</v>
      </c>
      <c r="AJ257" s="3" t="s">
        <v>311</v>
      </c>
      <c r="AK257" s="3" t="s">
        <v>248</v>
      </c>
    </row>
    <row r="258" spans="1:37" hidden="1" x14ac:dyDescent="0.25">
      <c r="A258" t="str">
        <f t="shared" si="3"/>
        <v>2022_Qld_Gatton_Chickpea_DetailedTOS2VarietyStrikerWaterTrtRainFed</v>
      </c>
      <c r="B258" s="2">
        <v>2022001</v>
      </c>
      <c r="C258" s="3" t="s">
        <v>247</v>
      </c>
      <c r="D258" s="3" t="s">
        <v>248</v>
      </c>
      <c r="F258" s="3" t="s">
        <v>4179</v>
      </c>
      <c r="G258" s="3" t="s">
        <v>43</v>
      </c>
      <c r="H258" s="3" t="s">
        <v>250</v>
      </c>
      <c r="I258" s="2">
        <v>59</v>
      </c>
      <c r="J258" s="2">
        <v>30</v>
      </c>
      <c r="K258" s="2">
        <v>2</v>
      </c>
      <c r="O258" s="2">
        <v>8</v>
      </c>
      <c r="U258" s="2">
        <v>3</v>
      </c>
      <c r="V258" s="2">
        <v>26</v>
      </c>
      <c r="W258" s="2">
        <v>2</v>
      </c>
      <c r="X258" s="2">
        <v>15</v>
      </c>
      <c r="Z258" s="2">
        <v>31</v>
      </c>
      <c r="AA258" s="3" t="s">
        <v>40</v>
      </c>
      <c r="AB258" s="2">
        <v>4</v>
      </c>
      <c r="AF258" s="2">
        <v>35</v>
      </c>
      <c r="AG258" s="2">
        <v>2</v>
      </c>
      <c r="AH258" s="3" t="s">
        <v>261</v>
      </c>
      <c r="AI258" s="4">
        <v>44760</v>
      </c>
      <c r="AJ258" s="3" t="s">
        <v>312</v>
      </c>
      <c r="AK258" s="3" t="s">
        <v>248</v>
      </c>
    </row>
    <row r="259" spans="1:37" hidden="1" x14ac:dyDescent="0.25">
      <c r="A259" t="str">
        <f t="shared" ref="A259:A322" si="4">C259&amp;"TOS"&amp;AG259&amp;"Variety"&amp;F259&amp;"WaterTrt"&amp;AA259&amp;IF(AC259="","","Agronomy"&amp;AC259)</f>
        <v>2022_Qld_Gatton_Chickpea_DetailedTOS2VarietyStrikerWaterTrtRainFed</v>
      </c>
      <c r="B259" s="2">
        <v>2022001</v>
      </c>
      <c r="C259" s="3" t="s">
        <v>247</v>
      </c>
      <c r="D259" s="3" t="s">
        <v>248</v>
      </c>
      <c r="F259" s="3" t="s">
        <v>4179</v>
      </c>
      <c r="G259" s="3" t="s">
        <v>43</v>
      </c>
      <c r="H259" s="3" t="s">
        <v>253</v>
      </c>
      <c r="I259" s="2">
        <v>60</v>
      </c>
      <c r="J259" s="2">
        <v>30</v>
      </c>
      <c r="K259" s="2">
        <v>2</v>
      </c>
      <c r="O259" s="2">
        <v>8</v>
      </c>
      <c r="U259" s="2">
        <v>3</v>
      </c>
      <c r="V259" s="2">
        <v>27</v>
      </c>
      <c r="W259" s="2">
        <v>2</v>
      </c>
      <c r="X259" s="2">
        <v>16</v>
      </c>
      <c r="AA259" s="3" t="s">
        <v>40</v>
      </c>
      <c r="AB259" s="2">
        <v>4</v>
      </c>
      <c r="AF259" s="2">
        <v>35</v>
      </c>
      <c r="AG259" s="2">
        <v>2</v>
      </c>
      <c r="AH259" s="3" t="s">
        <v>261</v>
      </c>
      <c r="AI259" s="4">
        <v>44760</v>
      </c>
      <c r="AJ259" s="3" t="s">
        <v>313</v>
      </c>
      <c r="AK259" s="3" t="s">
        <v>248</v>
      </c>
    </row>
    <row r="260" spans="1:37" hidden="1" x14ac:dyDescent="0.25">
      <c r="A260" t="str">
        <f t="shared" si="4"/>
        <v>2022_Qld_Gatton_Chickpea_DetailedTOS2VarietyDrummondWaterTrtRainFed</v>
      </c>
      <c r="B260" s="2">
        <v>2022001</v>
      </c>
      <c r="C260" s="3" t="s">
        <v>247</v>
      </c>
      <c r="D260" s="3" t="s">
        <v>248</v>
      </c>
      <c r="F260" s="3" t="s">
        <v>4182</v>
      </c>
      <c r="G260" s="3" t="s">
        <v>39</v>
      </c>
      <c r="H260" s="3" t="s">
        <v>250</v>
      </c>
      <c r="I260" s="2">
        <v>61</v>
      </c>
      <c r="J260" s="2">
        <v>31</v>
      </c>
      <c r="K260" s="2">
        <v>2</v>
      </c>
      <c r="O260" s="2">
        <v>8</v>
      </c>
      <c r="U260" s="2">
        <v>5</v>
      </c>
      <c r="V260" s="2">
        <v>26</v>
      </c>
      <c r="W260" s="2">
        <v>3</v>
      </c>
      <c r="X260" s="2">
        <v>15</v>
      </c>
      <c r="Z260" s="2">
        <v>30</v>
      </c>
      <c r="AA260" s="3" t="s">
        <v>40</v>
      </c>
      <c r="AB260" s="2">
        <v>2</v>
      </c>
      <c r="AF260" s="2">
        <v>35</v>
      </c>
      <c r="AG260" s="2">
        <v>2</v>
      </c>
      <c r="AH260" s="3" t="s">
        <v>261</v>
      </c>
      <c r="AI260" s="4">
        <v>44760</v>
      </c>
      <c r="AJ260" s="3" t="s">
        <v>314</v>
      </c>
      <c r="AK260" s="3" t="s">
        <v>248</v>
      </c>
    </row>
    <row r="261" spans="1:37" hidden="1" x14ac:dyDescent="0.25">
      <c r="A261" t="str">
        <f t="shared" si="4"/>
        <v>2022_Qld_Gatton_Chickpea_DetailedTOS2VarietyDrummondWaterTrtRainFed</v>
      </c>
      <c r="B261" s="2">
        <v>2022001</v>
      </c>
      <c r="C261" s="3" t="s">
        <v>247</v>
      </c>
      <c r="D261" s="3" t="s">
        <v>248</v>
      </c>
      <c r="F261" s="3" t="s">
        <v>4182</v>
      </c>
      <c r="G261" s="3" t="s">
        <v>39</v>
      </c>
      <c r="H261" s="3" t="s">
        <v>253</v>
      </c>
      <c r="I261" s="2">
        <v>62</v>
      </c>
      <c r="J261" s="2">
        <v>31</v>
      </c>
      <c r="K261" s="2">
        <v>2</v>
      </c>
      <c r="O261" s="2">
        <v>8</v>
      </c>
      <c r="U261" s="2">
        <v>5</v>
      </c>
      <c r="V261" s="2">
        <v>27</v>
      </c>
      <c r="W261" s="2">
        <v>3</v>
      </c>
      <c r="X261" s="2">
        <v>16</v>
      </c>
      <c r="AA261" s="3" t="s">
        <v>40</v>
      </c>
      <c r="AB261" s="2">
        <v>2</v>
      </c>
      <c r="AF261" s="2">
        <v>35</v>
      </c>
      <c r="AG261" s="2">
        <v>2</v>
      </c>
      <c r="AH261" s="3" t="s">
        <v>261</v>
      </c>
      <c r="AI261" s="4">
        <v>44760</v>
      </c>
      <c r="AJ261" s="3" t="s">
        <v>315</v>
      </c>
      <c r="AK261" s="3" t="s">
        <v>248</v>
      </c>
    </row>
    <row r="262" spans="1:37" hidden="1" x14ac:dyDescent="0.25">
      <c r="A262" t="str">
        <f t="shared" si="4"/>
        <v>2022_Qld_Gatton_Chickpea_DetailedTOS2VarietyHatTrickWaterTrtRainFed</v>
      </c>
      <c r="B262" s="2">
        <v>2022001</v>
      </c>
      <c r="C262" s="3" t="s">
        <v>247</v>
      </c>
      <c r="D262" s="3" t="s">
        <v>248</v>
      </c>
      <c r="F262" s="3" t="s">
        <v>4178</v>
      </c>
      <c r="G262" s="3" t="s">
        <v>39</v>
      </c>
      <c r="H262" s="3" t="s">
        <v>250</v>
      </c>
      <c r="I262" s="2">
        <v>63</v>
      </c>
      <c r="J262" s="2">
        <v>32</v>
      </c>
      <c r="K262" s="2">
        <v>2</v>
      </c>
      <c r="O262" s="2">
        <v>8</v>
      </c>
      <c r="U262" s="2">
        <v>6</v>
      </c>
      <c r="V262" s="2">
        <v>26</v>
      </c>
      <c r="W262" s="2">
        <v>4</v>
      </c>
      <c r="X262" s="2">
        <v>15</v>
      </c>
      <c r="Z262" s="2">
        <v>29</v>
      </c>
      <c r="AA262" s="3" t="s">
        <v>40</v>
      </c>
      <c r="AB262" s="2">
        <v>3</v>
      </c>
      <c r="AF262" s="2">
        <v>35</v>
      </c>
      <c r="AG262" s="2">
        <v>2</v>
      </c>
      <c r="AH262" s="3" t="s">
        <v>261</v>
      </c>
      <c r="AI262" s="4">
        <v>44760</v>
      </c>
      <c r="AJ262" s="3" t="s">
        <v>316</v>
      </c>
      <c r="AK262" s="3" t="s">
        <v>248</v>
      </c>
    </row>
    <row r="263" spans="1:37" hidden="1" x14ac:dyDescent="0.25">
      <c r="A263" t="str">
        <f t="shared" si="4"/>
        <v>2022_Qld_Gatton_Chickpea_DetailedTOS2VarietyHatTrickWaterTrtRainFed</v>
      </c>
      <c r="B263" s="2">
        <v>2022001</v>
      </c>
      <c r="C263" s="3" t="s">
        <v>247</v>
      </c>
      <c r="D263" s="3" t="s">
        <v>248</v>
      </c>
      <c r="F263" s="3" t="s">
        <v>4178</v>
      </c>
      <c r="G263" s="3" t="s">
        <v>39</v>
      </c>
      <c r="H263" s="3" t="s">
        <v>253</v>
      </c>
      <c r="I263" s="2">
        <v>64</v>
      </c>
      <c r="J263" s="2">
        <v>32</v>
      </c>
      <c r="K263" s="2">
        <v>2</v>
      </c>
      <c r="O263" s="2">
        <v>8</v>
      </c>
      <c r="U263" s="2">
        <v>6</v>
      </c>
      <c r="V263" s="2">
        <v>27</v>
      </c>
      <c r="W263" s="2">
        <v>4</v>
      </c>
      <c r="X263" s="2">
        <v>16</v>
      </c>
      <c r="AA263" s="3" t="s">
        <v>40</v>
      </c>
      <c r="AB263" s="2">
        <v>3</v>
      </c>
      <c r="AF263" s="2">
        <v>35</v>
      </c>
      <c r="AG263" s="2">
        <v>2</v>
      </c>
      <c r="AH263" s="3" t="s">
        <v>261</v>
      </c>
      <c r="AI263" s="4">
        <v>44760</v>
      </c>
      <c r="AJ263" s="3" t="s">
        <v>317</v>
      </c>
      <c r="AK263" s="3" t="s">
        <v>248</v>
      </c>
    </row>
    <row r="264" spans="1:37" hidden="1" x14ac:dyDescent="0.25">
      <c r="A264" t="str">
        <f t="shared" si="4"/>
        <v>2022_Qld_Gatton_Chickpea_DetailedTOS2VarietyStrikerWaterTrtIrrigated</v>
      </c>
      <c r="B264" s="2">
        <v>2022001</v>
      </c>
      <c r="C264" s="3" t="s">
        <v>247</v>
      </c>
      <c r="D264" s="3" t="s">
        <v>248</v>
      </c>
      <c r="F264" s="3" t="s">
        <v>4179</v>
      </c>
      <c r="G264" s="3" t="s">
        <v>43</v>
      </c>
      <c r="H264" s="3" t="s">
        <v>253</v>
      </c>
      <c r="I264" s="2">
        <v>65</v>
      </c>
      <c r="J264" s="2">
        <v>33</v>
      </c>
      <c r="K264" s="2">
        <v>3</v>
      </c>
      <c r="O264" s="2">
        <v>9</v>
      </c>
      <c r="U264" s="2">
        <v>2</v>
      </c>
      <c r="V264" s="2">
        <v>29</v>
      </c>
      <c r="W264" s="2">
        <v>1</v>
      </c>
      <c r="X264" s="2">
        <v>17</v>
      </c>
      <c r="AA264" s="3" t="s">
        <v>57</v>
      </c>
      <c r="AB264" s="2">
        <v>4</v>
      </c>
      <c r="AF264" s="2">
        <v>35</v>
      </c>
      <c r="AG264" s="2">
        <v>2</v>
      </c>
      <c r="AH264" s="3" t="s">
        <v>261</v>
      </c>
      <c r="AI264" s="4">
        <v>44760</v>
      </c>
      <c r="AJ264" s="3" t="s">
        <v>318</v>
      </c>
      <c r="AK264" s="3" t="s">
        <v>248</v>
      </c>
    </row>
    <row r="265" spans="1:37" hidden="1" x14ac:dyDescent="0.25">
      <c r="A265" t="str">
        <f t="shared" si="4"/>
        <v>2022_Qld_Gatton_Chickpea_DetailedTOS2VarietyStrikerWaterTrtIrrigated</v>
      </c>
      <c r="B265" s="2">
        <v>2022001</v>
      </c>
      <c r="C265" s="3" t="s">
        <v>247</v>
      </c>
      <c r="D265" s="3" t="s">
        <v>248</v>
      </c>
      <c r="F265" s="3" t="s">
        <v>4179</v>
      </c>
      <c r="G265" s="3" t="s">
        <v>43</v>
      </c>
      <c r="H265" s="3" t="s">
        <v>250</v>
      </c>
      <c r="I265" s="2">
        <v>66</v>
      </c>
      <c r="J265" s="2">
        <v>33</v>
      </c>
      <c r="K265" s="2">
        <v>3</v>
      </c>
      <c r="O265" s="2">
        <v>9</v>
      </c>
      <c r="U265" s="2">
        <v>2</v>
      </c>
      <c r="V265" s="2">
        <v>30</v>
      </c>
      <c r="W265" s="2">
        <v>1</v>
      </c>
      <c r="X265" s="2">
        <v>18</v>
      </c>
      <c r="Z265" s="2">
        <v>33</v>
      </c>
      <c r="AA265" s="3" t="s">
        <v>57</v>
      </c>
      <c r="AB265" s="2">
        <v>4</v>
      </c>
      <c r="AF265" s="2">
        <v>35</v>
      </c>
      <c r="AG265" s="2">
        <v>2</v>
      </c>
      <c r="AH265" s="3" t="s">
        <v>261</v>
      </c>
      <c r="AI265" s="4">
        <v>44760</v>
      </c>
      <c r="AJ265" s="3" t="s">
        <v>319</v>
      </c>
      <c r="AK265" s="3" t="s">
        <v>248</v>
      </c>
    </row>
    <row r="266" spans="1:37" hidden="1" x14ac:dyDescent="0.25">
      <c r="A266" t="str">
        <f t="shared" si="4"/>
        <v>2022_Qld_Gatton_Chickpea_DetailedTOS2VarietyCBA_CaptainWaterTrtIrrigated</v>
      </c>
      <c r="B266" s="2">
        <v>2022001</v>
      </c>
      <c r="C266" s="3" t="s">
        <v>247</v>
      </c>
      <c r="D266" s="3" t="s">
        <v>248</v>
      </c>
      <c r="F266" s="3" t="s">
        <v>249</v>
      </c>
      <c r="G266" s="3" t="s">
        <v>43</v>
      </c>
      <c r="H266" s="3" t="s">
        <v>253</v>
      </c>
      <c r="I266" s="2">
        <v>67</v>
      </c>
      <c r="J266" s="2">
        <v>34</v>
      </c>
      <c r="K266" s="2">
        <v>3</v>
      </c>
      <c r="O266" s="2">
        <v>9</v>
      </c>
      <c r="U266" s="2">
        <v>3</v>
      </c>
      <c r="V266" s="2">
        <v>29</v>
      </c>
      <c r="W266" s="2">
        <v>2</v>
      </c>
      <c r="X266" s="2">
        <v>17</v>
      </c>
      <c r="AA266" s="3" t="s">
        <v>57</v>
      </c>
      <c r="AB266" s="2">
        <v>1</v>
      </c>
      <c r="AF266" s="2">
        <v>35</v>
      </c>
      <c r="AG266" s="2">
        <v>2</v>
      </c>
      <c r="AH266" s="3" t="s">
        <v>261</v>
      </c>
      <c r="AI266" s="4">
        <v>44760</v>
      </c>
      <c r="AJ266" s="3" t="s">
        <v>320</v>
      </c>
      <c r="AK266" s="3" t="s">
        <v>248</v>
      </c>
    </row>
    <row r="267" spans="1:37" hidden="1" x14ac:dyDescent="0.25">
      <c r="A267" t="str">
        <f t="shared" si="4"/>
        <v>2022_Qld_Gatton_Chickpea_DetailedTOS2VarietyCBA_CaptainWaterTrtIrrigated</v>
      </c>
      <c r="B267" s="2">
        <v>2022001</v>
      </c>
      <c r="C267" s="3" t="s">
        <v>247</v>
      </c>
      <c r="D267" s="3" t="s">
        <v>248</v>
      </c>
      <c r="F267" s="3" t="s">
        <v>249</v>
      </c>
      <c r="G267" s="3" t="s">
        <v>43</v>
      </c>
      <c r="H267" s="3" t="s">
        <v>250</v>
      </c>
      <c r="I267" s="2">
        <v>68</v>
      </c>
      <c r="J267" s="2">
        <v>34</v>
      </c>
      <c r="K267" s="2">
        <v>3</v>
      </c>
      <c r="O267" s="2">
        <v>9</v>
      </c>
      <c r="U267" s="2">
        <v>3</v>
      </c>
      <c r="V267" s="2">
        <v>30</v>
      </c>
      <c r="W267" s="2">
        <v>2</v>
      </c>
      <c r="X267" s="2">
        <v>18</v>
      </c>
      <c r="Z267" s="2">
        <v>34</v>
      </c>
      <c r="AA267" s="3" t="s">
        <v>57</v>
      </c>
      <c r="AB267" s="2">
        <v>1</v>
      </c>
      <c r="AF267" s="2">
        <v>35</v>
      </c>
      <c r="AG267" s="2">
        <v>2</v>
      </c>
      <c r="AH267" s="3" t="s">
        <v>261</v>
      </c>
      <c r="AI267" s="4">
        <v>44760</v>
      </c>
      <c r="AJ267" s="3" t="s">
        <v>321</v>
      </c>
      <c r="AK267" s="3" t="s">
        <v>248</v>
      </c>
    </row>
    <row r="268" spans="1:37" hidden="1" x14ac:dyDescent="0.25">
      <c r="A268" t="str">
        <f t="shared" si="4"/>
        <v>2022_Qld_Gatton_Chickpea_DetailedTOS2VarietyHatTrickWaterTrtIrrigated</v>
      </c>
      <c r="B268" s="2">
        <v>2022001</v>
      </c>
      <c r="C268" s="3" t="s">
        <v>247</v>
      </c>
      <c r="D268" s="3" t="s">
        <v>248</v>
      </c>
      <c r="F268" s="3" t="s">
        <v>4178</v>
      </c>
      <c r="G268" s="3" t="s">
        <v>39</v>
      </c>
      <c r="H268" s="3" t="s">
        <v>253</v>
      </c>
      <c r="I268" s="2">
        <v>69</v>
      </c>
      <c r="J268" s="2">
        <v>35</v>
      </c>
      <c r="K268" s="2">
        <v>3</v>
      </c>
      <c r="O268" s="2">
        <v>9</v>
      </c>
      <c r="U268" s="2">
        <v>5</v>
      </c>
      <c r="V268" s="2">
        <v>29</v>
      </c>
      <c r="W268" s="2">
        <v>3</v>
      </c>
      <c r="X268" s="2">
        <v>17</v>
      </c>
      <c r="AA268" s="3" t="s">
        <v>57</v>
      </c>
      <c r="AB268" s="2">
        <v>3</v>
      </c>
      <c r="AF268" s="2">
        <v>35</v>
      </c>
      <c r="AG268" s="2">
        <v>2</v>
      </c>
      <c r="AH268" s="3" t="s">
        <v>261</v>
      </c>
      <c r="AI268" s="4">
        <v>44760</v>
      </c>
      <c r="AJ268" s="3" t="s">
        <v>322</v>
      </c>
      <c r="AK268" s="3" t="s">
        <v>248</v>
      </c>
    </row>
    <row r="269" spans="1:37" hidden="1" x14ac:dyDescent="0.25">
      <c r="A269" t="str">
        <f t="shared" si="4"/>
        <v>2022_Qld_Gatton_Chickpea_DetailedTOS2VarietyHatTrickWaterTrtIrrigated</v>
      </c>
      <c r="B269" s="2">
        <v>2022001</v>
      </c>
      <c r="C269" s="3" t="s">
        <v>247</v>
      </c>
      <c r="D269" s="3" t="s">
        <v>248</v>
      </c>
      <c r="F269" s="3" t="s">
        <v>4178</v>
      </c>
      <c r="G269" s="3" t="s">
        <v>39</v>
      </c>
      <c r="H269" s="3" t="s">
        <v>250</v>
      </c>
      <c r="I269" s="2">
        <v>70</v>
      </c>
      <c r="J269" s="2">
        <v>35</v>
      </c>
      <c r="K269" s="2">
        <v>3</v>
      </c>
      <c r="O269" s="2">
        <v>9</v>
      </c>
      <c r="U269" s="2">
        <v>5</v>
      </c>
      <c r="V269" s="2">
        <v>30</v>
      </c>
      <c r="W269" s="2">
        <v>3</v>
      </c>
      <c r="X269" s="2">
        <v>18</v>
      </c>
      <c r="Z269" s="2">
        <v>35</v>
      </c>
      <c r="AA269" s="3" t="s">
        <v>57</v>
      </c>
      <c r="AB269" s="2">
        <v>3</v>
      </c>
      <c r="AF269" s="2">
        <v>35</v>
      </c>
      <c r="AG269" s="2">
        <v>2</v>
      </c>
      <c r="AH269" s="3" t="s">
        <v>261</v>
      </c>
      <c r="AI269" s="4">
        <v>44760</v>
      </c>
      <c r="AJ269" s="3" t="s">
        <v>323</v>
      </c>
      <c r="AK269" s="3" t="s">
        <v>248</v>
      </c>
    </row>
    <row r="270" spans="1:37" hidden="1" x14ac:dyDescent="0.25">
      <c r="A270" t="str">
        <f t="shared" si="4"/>
        <v>2022_Qld_Gatton_Chickpea_DetailedTOS2VarietyDrummondWaterTrtIrrigated</v>
      </c>
      <c r="B270" s="2">
        <v>2022001</v>
      </c>
      <c r="C270" s="3" t="s">
        <v>247</v>
      </c>
      <c r="D270" s="3" t="s">
        <v>248</v>
      </c>
      <c r="F270" s="3" t="s">
        <v>4182</v>
      </c>
      <c r="G270" s="3" t="s">
        <v>39</v>
      </c>
      <c r="H270" s="3" t="s">
        <v>253</v>
      </c>
      <c r="I270" s="2">
        <v>71</v>
      </c>
      <c r="J270" s="2">
        <v>36</v>
      </c>
      <c r="K270" s="2">
        <v>3</v>
      </c>
      <c r="O270" s="2">
        <v>9</v>
      </c>
      <c r="U270" s="2">
        <v>6</v>
      </c>
      <c r="V270" s="2">
        <v>29</v>
      </c>
      <c r="W270" s="2">
        <v>4</v>
      </c>
      <c r="X270" s="2">
        <v>17</v>
      </c>
      <c r="AA270" s="3" t="s">
        <v>57</v>
      </c>
      <c r="AB270" s="2">
        <v>2</v>
      </c>
      <c r="AF270" s="2">
        <v>35</v>
      </c>
      <c r="AG270" s="2">
        <v>2</v>
      </c>
      <c r="AH270" s="3" t="s">
        <v>261</v>
      </c>
      <c r="AI270" s="4">
        <v>44760</v>
      </c>
      <c r="AJ270" s="3" t="s">
        <v>324</v>
      </c>
      <c r="AK270" s="3" t="s">
        <v>248</v>
      </c>
    </row>
    <row r="271" spans="1:37" hidden="1" x14ac:dyDescent="0.25">
      <c r="A271" t="str">
        <f t="shared" si="4"/>
        <v>2022_Qld_Gatton_Chickpea_DetailedTOS2VarietyDrummondWaterTrtIrrigated</v>
      </c>
      <c r="B271" s="2">
        <v>2022001</v>
      </c>
      <c r="C271" s="3" t="s">
        <v>247</v>
      </c>
      <c r="D271" s="3" t="s">
        <v>248</v>
      </c>
      <c r="F271" s="3" t="s">
        <v>4182</v>
      </c>
      <c r="G271" s="3" t="s">
        <v>39</v>
      </c>
      <c r="H271" s="3" t="s">
        <v>250</v>
      </c>
      <c r="I271" s="2">
        <v>72</v>
      </c>
      <c r="J271" s="2">
        <v>36</v>
      </c>
      <c r="K271" s="2">
        <v>3</v>
      </c>
      <c r="O271" s="2">
        <v>9</v>
      </c>
      <c r="U271" s="2">
        <v>6</v>
      </c>
      <c r="V271" s="2">
        <v>30</v>
      </c>
      <c r="W271" s="2">
        <v>4</v>
      </c>
      <c r="X271" s="2">
        <v>18</v>
      </c>
      <c r="Z271" s="2">
        <v>36</v>
      </c>
      <c r="AA271" s="3" t="s">
        <v>57</v>
      </c>
      <c r="AB271" s="2">
        <v>2</v>
      </c>
      <c r="AF271" s="2">
        <v>35</v>
      </c>
      <c r="AG271" s="2">
        <v>2</v>
      </c>
      <c r="AH271" s="3" t="s">
        <v>261</v>
      </c>
      <c r="AI271" s="4">
        <v>44760</v>
      </c>
      <c r="AJ271" s="3" t="s">
        <v>325</v>
      </c>
      <c r="AK271" s="3" t="s">
        <v>248</v>
      </c>
    </row>
    <row r="272" spans="1:37" hidden="1" x14ac:dyDescent="0.25">
      <c r="A272" t="str">
        <f t="shared" si="4"/>
        <v>2022_Qld_Gatton_Chickpea_DetailedTOS2VarietyDrummondWaterTrtRainFed</v>
      </c>
      <c r="B272" s="2">
        <v>2022001</v>
      </c>
      <c r="C272" s="3" t="s">
        <v>247</v>
      </c>
      <c r="D272" s="3" t="s">
        <v>248</v>
      </c>
      <c r="F272" s="3" t="s">
        <v>4182</v>
      </c>
      <c r="G272" s="3" t="s">
        <v>39</v>
      </c>
      <c r="H272" s="3" t="s">
        <v>250</v>
      </c>
      <c r="I272" s="2">
        <v>73</v>
      </c>
      <c r="J272" s="2">
        <v>37</v>
      </c>
      <c r="K272" s="2">
        <v>3</v>
      </c>
      <c r="O272" s="2">
        <v>10</v>
      </c>
      <c r="U272" s="2">
        <v>2</v>
      </c>
      <c r="V272" s="2">
        <v>32</v>
      </c>
      <c r="W272" s="2">
        <v>1</v>
      </c>
      <c r="X272" s="2">
        <v>19</v>
      </c>
      <c r="Z272" s="2">
        <v>40</v>
      </c>
      <c r="AA272" s="3" t="s">
        <v>40</v>
      </c>
      <c r="AB272" s="2">
        <v>2</v>
      </c>
      <c r="AF272" s="2">
        <v>35</v>
      </c>
      <c r="AG272" s="2">
        <v>2</v>
      </c>
      <c r="AH272" s="3" t="s">
        <v>261</v>
      </c>
      <c r="AI272" s="4">
        <v>44760</v>
      </c>
      <c r="AJ272" s="3" t="s">
        <v>326</v>
      </c>
      <c r="AK272" s="3" t="s">
        <v>248</v>
      </c>
    </row>
    <row r="273" spans="1:37" hidden="1" x14ac:dyDescent="0.25">
      <c r="A273" t="str">
        <f t="shared" si="4"/>
        <v>2022_Qld_Gatton_Chickpea_DetailedTOS2VarietyDrummondWaterTrtRainFed</v>
      </c>
      <c r="B273" s="2">
        <v>2022001</v>
      </c>
      <c r="C273" s="3" t="s">
        <v>247</v>
      </c>
      <c r="D273" s="3" t="s">
        <v>248</v>
      </c>
      <c r="F273" s="3" t="s">
        <v>4182</v>
      </c>
      <c r="G273" s="3" t="s">
        <v>39</v>
      </c>
      <c r="H273" s="3" t="s">
        <v>253</v>
      </c>
      <c r="I273" s="2">
        <v>74</v>
      </c>
      <c r="J273" s="2">
        <v>37</v>
      </c>
      <c r="K273" s="2">
        <v>3</v>
      </c>
      <c r="O273" s="2">
        <v>10</v>
      </c>
      <c r="U273" s="2">
        <v>2</v>
      </c>
      <c r="V273" s="2">
        <v>33</v>
      </c>
      <c r="W273" s="2">
        <v>1</v>
      </c>
      <c r="X273" s="2">
        <v>20</v>
      </c>
      <c r="AA273" s="3" t="s">
        <v>40</v>
      </c>
      <c r="AB273" s="2">
        <v>2</v>
      </c>
      <c r="AF273" s="2">
        <v>35</v>
      </c>
      <c r="AG273" s="2">
        <v>2</v>
      </c>
      <c r="AH273" s="3" t="s">
        <v>261</v>
      </c>
      <c r="AI273" s="4">
        <v>44760</v>
      </c>
      <c r="AJ273" s="3" t="s">
        <v>327</v>
      </c>
      <c r="AK273" s="3" t="s">
        <v>248</v>
      </c>
    </row>
    <row r="274" spans="1:37" hidden="1" x14ac:dyDescent="0.25">
      <c r="A274" t="str">
        <f t="shared" si="4"/>
        <v>2022_Qld_Gatton_Chickpea_DetailedTOS2VarietyHatTrickWaterTrtRainFed</v>
      </c>
      <c r="B274" s="2">
        <v>2022001</v>
      </c>
      <c r="C274" s="3" t="s">
        <v>247</v>
      </c>
      <c r="D274" s="3" t="s">
        <v>248</v>
      </c>
      <c r="F274" s="3" t="s">
        <v>4178</v>
      </c>
      <c r="G274" s="3" t="s">
        <v>39</v>
      </c>
      <c r="H274" s="3" t="s">
        <v>250</v>
      </c>
      <c r="I274" s="2">
        <v>75</v>
      </c>
      <c r="J274" s="2">
        <v>38</v>
      </c>
      <c r="K274" s="2">
        <v>3</v>
      </c>
      <c r="O274" s="2">
        <v>10</v>
      </c>
      <c r="U274" s="2">
        <v>3</v>
      </c>
      <c r="V274" s="2">
        <v>32</v>
      </c>
      <c r="W274" s="2">
        <v>2</v>
      </c>
      <c r="X274" s="2">
        <v>19</v>
      </c>
      <c r="Z274" s="2">
        <v>39</v>
      </c>
      <c r="AA274" s="3" t="s">
        <v>40</v>
      </c>
      <c r="AB274" s="2">
        <v>3</v>
      </c>
      <c r="AF274" s="2">
        <v>35</v>
      </c>
      <c r="AG274" s="2">
        <v>2</v>
      </c>
      <c r="AH274" s="3" t="s">
        <v>261</v>
      </c>
      <c r="AI274" s="4">
        <v>44760</v>
      </c>
      <c r="AJ274" s="3" t="s">
        <v>328</v>
      </c>
      <c r="AK274" s="3" t="s">
        <v>248</v>
      </c>
    </row>
    <row r="275" spans="1:37" hidden="1" x14ac:dyDescent="0.25">
      <c r="A275" t="str">
        <f t="shared" si="4"/>
        <v>2022_Qld_Gatton_Chickpea_DetailedTOS2VarietyHatTrickWaterTrtRainFed</v>
      </c>
      <c r="B275" s="2">
        <v>2022001</v>
      </c>
      <c r="C275" s="3" t="s">
        <v>247</v>
      </c>
      <c r="D275" s="3" t="s">
        <v>248</v>
      </c>
      <c r="F275" s="3" t="s">
        <v>4178</v>
      </c>
      <c r="G275" s="3" t="s">
        <v>39</v>
      </c>
      <c r="H275" s="3" t="s">
        <v>253</v>
      </c>
      <c r="I275" s="2">
        <v>76</v>
      </c>
      <c r="J275" s="2">
        <v>38</v>
      </c>
      <c r="K275" s="2">
        <v>3</v>
      </c>
      <c r="O275" s="2">
        <v>10</v>
      </c>
      <c r="U275" s="2">
        <v>3</v>
      </c>
      <c r="V275" s="2">
        <v>33</v>
      </c>
      <c r="W275" s="2">
        <v>2</v>
      </c>
      <c r="X275" s="2">
        <v>20</v>
      </c>
      <c r="AA275" s="3" t="s">
        <v>40</v>
      </c>
      <c r="AB275" s="2">
        <v>3</v>
      </c>
      <c r="AF275" s="2">
        <v>35</v>
      </c>
      <c r="AG275" s="2">
        <v>2</v>
      </c>
      <c r="AH275" s="3" t="s">
        <v>261</v>
      </c>
      <c r="AI275" s="4">
        <v>44760</v>
      </c>
      <c r="AJ275" s="3" t="s">
        <v>329</v>
      </c>
      <c r="AK275" s="3" t="s">
        <v>248</v>
      </c>
    </row>
    <row r="276" spans="1:37" hidden="1" x14ac:dyDescent="0.25">
      <c r="A276" t="str">
        <f t="shared" si="4"/>
        <v>2022_Qld_Gatton_Chickpea_DetailedTOS2VarietyCBA_CaptainWaterTrtRainFed</v>
      </c>
      <c r="B276" s="2">
        <v>2022001</v>
      </c>
      <c r="C276" s="3" t="s">
        <v>247</v>
      </c>
      <c r="D276" s="3" t="s">
        <v>248</v>
      </c>
      <c r="F276" s="3" t="s">
        <v>249</v>
      </c>
      <c r="G276" s="3" t="s">
        <v>43</v>
      </c>
      <c r="H276" s="3" t="s">
        <v>250</v>
      </c>
      <c r="I276" s="2">
        <v>77</v>
      </c>
      <c r="J276" s="2">
        <v>39</v>
      </c>
      <c r="K276" s="2">
        <v>3</v>
      </c>
      <c r="O276" s="2">
        <v>10</v>
      </c>
      <c r="U276" s="2">
        <v>5</v>
      </c>
      <c r="V276" s="2">
        <v>32</v>
      </c>
      <c r="W276" s="2">
        <v>3</v>
      </c>
      <c r="X276" s="2">
        <v>19</v>
      </c>
      <c r="Z276" s="2">
        <v>38</v>
      </c>
      <c r="AA276" s="3" t="s">
        <v>40</v>
      </c>
      <c r="AB276" s="2">
        <v>1</v>
      </c>
      <c r="AF276" s="2">
        <v>35</v>
      </c>
      <c r="AG276" s="2">
        <v>2</v>
      </c>
      <c r="AH276" s="3" t="s">
        <v>261</v>
      </c>
      <c r="AI276" s="4">
        <v>44760</v>
      </c>
      <c r="AJ276" s="3" t="s">
        <v>330</v>
      </c>
      <c r="AK276" s="3" t="s">
        <v>248</v>
      </c>
    </row>
    <row r="277" spans="1:37" hidden="1" x14ac:dyDescent="0.25">
      <c r="A277" t="str">
        <f t="shared" si="4"/>
        <v>2022_Qld_Gatton_Chickpea_DetailedTOS2VarietyCBA_CaptainWaterTrtRainFed</v>
      </c>
      <c r="B277" s="2">
        <v>2022001</v>
      </c>
      <c r="C277" s="3" t="s">
        <v>247</v>
      </c>
      <c r="D277" s="3" t="s">
        <v>248</v>
      </c>
      <c r="F277" s="3" t="s">
        <v>249</v>
      </c>
      <c r="G277" s="3" t="s">
        <v>43</v>
      </c>
      <c r="H277" s="3" t="s">
        <v>253</v>
      </c>
      <c r="I277" s="2">
        <v>78</v>
      </c>
      <c r="J277" s="2">
        <v>39</v>
      </c>
      <c r="K277" s="2">
        <v>3</v>
      </c>
      <c r="O277" s="2">
        <v>10</v>
      </c>
      <c r="U277" s="2">
        <v>5</v>
      </c>
      <c r="V277" s="2">
        <v>33</v>
      </c>
      <c r="W277" s="2">
        <v>3</v>
      </c>
      <c r="X277" s="2">
        <v>20</v>
      </c>
      <c r="AA277" s="3" t="s">
        <v>40</v>
      </c>
      <c r="AB277" s="2">
        <v>1</v>
      </c>
      <c r="AF277" s="2">
        <v>35</v>
      </c>
      <c r="AG277" s="2">
        <v>2</v>
      </c>
      <c r="AH277" s="3" t="s">
        <v>261</v>
      </c>
      <c r="AI277" s="4">
        <v>44760</v>
      </c>
      <c r="AJ277" s="3" t="s">
        <v>331</v>
      </c>
      <c r="AK277" s="3" t="s">
        <v>248</v>
      </c>
    </row>
    <row r="278" spans="1:37" hidden="1" x14ac:dyDescent="0.25">
      <c r="A278" t="str">
        <f t="shared" si="4"/>
        <v>2022_Qld_Gatton_Chickpea_DetailedTOS2VarietyStrikerWaterTrtRainFed</v>
      </c>
      <c r="B278" s="2">
        <v>2022001</v>
      </c>
      <c r="C278" s="3" t="s">
        <v>247</v>
      </c>
      <c r="D278" s="3" t="s">
        <v>248</v>
      </c>
      <c r="F278" s="3" t="s">
        <v>4179</v>
      </c>
      <c r="G278" s="3" t="s">
        <v>43</v>
      </c>
      <c r="H278" s="3" t="s">
        <v>250</v>
      </c>
      <c r="I278" s="2">
        <v>79</v>
      </c>
      <c r="J278" s="2">
        <v>40</v>
      </c>
      <c r="K278" s="2">
        <v>3</v>
      </c>
      <c r="O278" s="2">
        <v>10</v>
      </c>
      <c r="U278" s="2">
        <v>6</v>
      </c>
      <c r="V278" s="2">
        <v>32</v>
      </c>
      <c r="W278" s="2">
        <v>4</v>
      </c>
      <c r="X278" s="2">
        <v>19</v>
      </c>
      <c r="Z278" s="2">
        <v>37</v>
      </c>
      <c r="AA278" s="3" t="s">
        <v>40</v>
      </c>
      <c r="AB278" s="2">
        <v>4</v>
      </c>
      <c r="AF278" s="2">
        <v>35</v>
      </c>
      <c r="AG278" s="2">
        <v>2</v>
      </c>
      <c r="AH278" s="3" t="s">
        <v>261</v>
      </c>
      <c r="AI278" s="4">
        <v>44760</v>
      </c>
      <c r="AJ278" s="3" t="s">
        <v>332</v>
      </c>
      <c r="AK278" s="3" t="s">
        <v>248</v>
      </c>
    </row>
    <row r="279" spans="1:37" hidden="1" x14ac:dyDescent="0.25">
      <c r="A279" t="str">
        <f t="shared" si="4"/>
        <v>2022_Qld_Gatton_Chickpea_DetailedTOS2VarietyStrikerWaterTrtRainFed</v>
      </c>
      <c r="B279" s="2">
        <v>2022001</v>
      </c>
      <c r="C279" s="3" t="s">
        <v>247</v>
      </c>
      <c r="D279" s="3" t="s">
        <v>248</v>
      </c>
      <c r="F279" s="3" t="s">
        <v>4179</v>
      </c>
      <c r="G279" s="3" t="s">
        <v>43</v>
      </c>
      <c r="H279" s="3" t="s">
        <v>253</v>
      </c>
      <c r="I279" s="2">
        <v>80</v>
      </c>
      <c r="J279" s="2">
        <v>40</v>
      </c>
      <c r="K279" s="2">
        <v>3</v>
      </c>
      <c r="O279" s="2">
        <v>10</v>
      </c>
      <c r="U279" s="2">
        <v>6</v>
      </c>
      <c r="V279" s="2">
        <v>33</v>
      </c>
      <c r="W279" s="2">
        <v>4</v>
      </c>
      <c r="X279" s="2">
        <v>20</v>
      </c>
      <c r="AA279" s="3" t="s">
        <v>40</v>
      </c>
      <c r="AB279" s="2">
        <v>4</v>
      </c>
      <c r="AF279" s="2">
        <v>35</v>
      </c>
      <c r="AG279" s="2">
        <v>2</v>
      </c>
      <c r="AH279" s="3" t="s">
        <v>261</v>
      </c>
      <c r="AI279" s="4">
        <v>44760</v>
      </c>
      <c r="AJ279" s="3" t="s">
        <v>333</v>
      </c>
      <c r="AK279" s="3" t="s">
        <v>248</v>
      </c>
    </row>
    <row r="280" spans="1:37" hidden="1" x14ac:dyDescent="0.25">
      <c r="A280" t="str">
        <f t="shared" si="4"/>
        <v>2022_Qld_Gatton_Chickpea_DetailedTOS1VarietyCBA_CaptainWaterTrtIrrigated</v>
      </c>
      <c r="B280" s="2">
        <v>2022001</v>
      </c>
      <c r="C280" s="3" t="s">
        <v>247</v>
      </c>
      <c r="D280" s="3" t="s">
        <v>248</v>
      </c>
      <c r="F280" s="3" t="s">
        <v>249</v>
      </c>
      <c r="G280" s="3" t="s">
        <v>43</v>
      </c>
      <c r="H280" s="3" t="s">
        <v>253</v>
      </c>
      <c r="I280" s="2">
        <v>81</v>
      </c>
      <c r="J280" s="2">
        <v>41</v>
      </c>
      <c r="K280" s="2">
        <v>3</v>
      </c>
      <c r="O280" s="2">
        <v>11</v>
      </c>
      <c r="U280" s="2">
        <v>2</v>
      </c>
      <c r="V280" s="2">
        <v>36</v>
      </c>
      <c r="W280" s="2">
        <v>1</v>
      </c>
      <c r="X280" s="2">
        <v>21</v>
      </c>
      <c r="AA280" s="3" t="s">
        <v>57</v>
      </c>
      <c r="AB280" s="2">
        <v>1</v>
      </c>
      <c r="AF280" s="2">
        <v>35</v>
      </c>
      <c r="AG280" s="2">
        <v>1</v>
      </c>
      <c r="AH280" s="3" t="s">
        <v>251</v>
      </c>
      <c r="AI280" s="4">
        <v>44725</v>
      </c>
      <c r="AJ280" s="3" t="s">
        <v>334</v>
      </c>
      <c r="AK280" s="3" t="s">
        <v>248</v>
      </c>
    </row>
    <row r="281" spans="1:37" hidden="1" x14ac:dyDescent="0.25">
      <c r="A281" t="str">
        <f t="shared" si="4"/>
        <v>2022_Qld_Gatton_Chickpea_DetailedTOS1VarietyCBA_CaptainWaterTrtIrrigated</v>
      </c>
      <c r="B281" s="2">
        <v>2022001</v>
      </c>
      <c r="C281" s="3" t="s">
        <v>247</v>
      </c>
      <c r="D281" s="3" t="s">
        <v>248</v>
      </c>
      <c r="F281" s="3" t="s">
        <v>249</v>
      </c>
      <c r="G281" s="3" t="s">
        <v>43</v>
      </c>
      <c r="H281" s="3" t="s">
        <v>250</v>
      </c>
      <c r="I281" s="2">
        <v>82</v>
      </c>
      <c r="J281" s="2">
        <v>41</v>
      </c>
      <c r="K281" s="2">
        <v>3</v>
      </c>
      <c r="O281" s="2">
        <v>11</v>
      </c>
      <c r="U281" s="2">
        <v>2</v>
      </c>
      <c r="V281" s="2">
        <v>37</v>
      </c>
      <c r="W281" s="2">
        <v>1</v>
      </c>
      <c r="X281" s="2">
        <v>22</v>
      </c>
      <c r="Z281" s="2">
        <v>41</v>
      </c>
      <c r="AA281" s="3" t="s">
        <v>57</v>
      </c>
      <c r="AB281" s="2">
        <v>1</v>
      </c>
      <c r="AF281" s="2">
        <v>35</v>
      </c>
      <c r="AG281" s="2">
        <v>1</v>
      </c>
      <c r="AH281" s="3" t="s">
        <v>251</v>
      </c>
      <c r="AI281" s="4">
        <v>44725</v>
      </c>
      <c r="AJ281" s="3" t="s">
        <v>335</v>
      </c>
      <c r="AK281" s="3" t="s">
        <v>248</v>
      </c>
    </row>
    <row r="282" spans="1:37" hidden="1" x14ac:dyDescent="0.25">
      <c r="A282" t="str">
        <f t="shared" si="4"/>
        <v>2022_Qld_Gatton_Chickpea_DetailedTOS1VarietyStrikerWaterTrtIrrigated</v>
      </c>
      <c r="B282" s="2">
        <v>2022001</v>
      </c>
      <c r="C282" s="3" t="s">
        <v>247</v>
      </c>
      <c r="D282" s="3" t="s">
        <v>248</v>
      </c>
      <c r="F282" s="3" t="s">
        <v>4179</v>
      </c>
      <c r="G282" s="3" t="s">
        <v>43</v>
      </c>
      <c r="H282" s="3" t="s">
        <v>253</v>
      </c>
      <c r="I282" s="2">
        <v>83</v>
      </c>
      <c r="J282" s="2">
        <v>42</v>
      </c>
      <c r="K282" s="2">
        <v>3</v>
      </c>
      <c r="O282" s="2">
        <v>11</v>
      </c>
      <c r="U282" s="2">
        <v>3</v>
      </c>
      <c r="V282" s="2">
        <v>36</v>
      </c>
      <c r="W282" s="2">
        <v>2</v>
      </c>
      <c r="X282" s="2">
        <v>21</v>
      </c>
      <c r="AA282" s="3" t="s">
        <v>57</v>
      </c>
      <c r="AB282" s="2">
        <v>4</v>
      </c>
      <c r="AF282" s="2">
        <v>35</v>
      </c>
      <c r="AG282" s="2">
        <v>1</v>
      </c>
      <c r="AH282" s="3" t="s">
        <v>251</v>
      </c>
      <c r="AI282" s="4">
        <v>44725</v>
      </c>
      <c r="AJ282" s="3" t="s">
        <v>336</v>
      </c>
      <c r="AK282" s="3" t="s">
        <v>248</v>
      </c>
    </row>
    <row r="283" spans="1:37" hidden="1" x14ac:dyDescent="0.25">
      <c r="A283" t="str">
        <f t="shared" si="4"/>
        <v>2022_Qld_Gatton_Chickpea_DetailedTOS1VarietyStrikerWaterTrtIrrigated</v>
      </c>
      <c r="B283" s="2">
        <v>2022001</v>
      </c>
      <c r="C283" s="3" t="s">
        <v>247</v>
      </c>
      <c r="D283" s="3" t="s">
        <v>248</v>
      </c>
      <c r="F283" s="3" t="s">
        <v>4179</v>
      </c>
      <c r="G283" s="3" t="s">
        <v>43</v>
      </c>
      <c r="H283" s="3" t="s">
        <v>250</v>
      </c>
      <c r="I283" s="2">
        <v>84</v>
      </c>
      <c r="J283" s="2">
        <v>42</v>
      </c>
      <c r="K283" s="2">
        <v>3</v>
      </c>
      <c r="O283" s="2">
        <v>11</v>
      </c>
      <c r="U283" s="2">
        <v>3</v>
      </c>
      <c r="V283" s="2">
        <v>37</v>
      </c>
      <c r="W283" s="2">
        <v>2</v>
      </c>
      <c r="X283" s="2">
        <v>22</v>
      </c>
      <c r="Z283" s="2">
        <v>42</v>
      </c>
      <c r="AA283" s="3" t="s">
        <v>57</v>
      </c>
      <c r="AB283" s="2">
        <v>4</v>
      </c>
      <c r="AF283" s="2">
        <v>35</v>
      </c>
      <c r="AG283" s="2">
        <v>1</v>
      </c>
      <c r="AH283" s="3" t="s">
        <v>251</v>
      </c>
      <c r="AI283" s="4">
        <v>44725</v>
      </c>
      <c r="AJ283" s="3" t="s">
        <v>337</v>
      </c>
      <c r="AK283" s="3" t="s">
        <v>248</v>
      </c>
    </row>
    <row r="284" spans="1:37" hidden="1" x14ac:dyDescent="0.25">
      <c r="A284" t="str">
        <f t="shared" si="4"/>
        <v>2022_Qld_Gatton_Chickpea_DetailedTOS1VarietyDrummondWaterTrtIrrigated</v>
      </c>
      <c r="B284" s="2">
        <v>2022001</v>
      </c>
      <c r="C284" s="3" t="s">
        <v>247</v>
      </c>
      <c r="D284" s="3" t="s">
        <v>248</v>
      </c>
      <c r="F284" s="3" t="s">
        <v>4182</v>
      </c>
      <c r="G284" s="3" t="s">
        <v>39</v>
      </c>
      <c r="H284" s="3" t="s">
        <v>253</v>
      </c>
      <c r="I284" s="2">
        <v>85</v>
      </c>
      <c r="J284" s="2">
        <v>43</v>
      </c>
      <c r="K284" s="2">
        <v>3</v>
      </c>
      <c r="O284" s="2">
        <v>11</v>
      </c>
      <c r="U284" s="2">
        <v>5</v>
      </c>
      <c r="V284" s="2">
        <v>36</v>
      </c>
      <c r="W284" s="2">
        <v>3</v>
      </c>
      <c r="X284" s="2">
        <v>21</v>
      </c>
      <c r="AA284" s="3" t="s">
        <v>57</v>
      </c>
      <c r="AB284" s="2">
        <v>2</v>
      </c>
      <c r="AF284" s="2">
        <v>35</v>
      </c>
      <c r="AG284" s="2">
        <v>1</v>
      </c>
      <c r="AH284" s="3" t="s">
        <v>251</v>
      </c>
      <c r="AI284" s="4">
        <v>44725</v>
      </c>
      <c r="AJ284" s="3" t="s">
        <v>338</v>
      </c>
      <c r="AK284" s="3" t="s">
        <v>248</v>
      </c>
    </row>
    <row r="285" spans="1:37" hidden="1" x14ac:dyDescent="0.25">
      <c r="A285" t="str">
        <f t="shared" si="4"/>
        <v>2022_Qld_Gatton_Chickpea_DetailedTOS1VarietyDrummondWaterTrtIrrigated</v>
      </c>
      <c r="B285" s="2">
        <v>2022001</v>
      </c>
      <c r="C285" s="3" t="s">
        <v>247</v>
      </c>
      <c r="D285" s="3" t="s">
        <v>248</v>
      </c>
      <c r="F285" s="3" t="s">
        <v>4182</v>
      </c>
      <c r="G285" s="3" t="s">
        <v>39</v>
      </c>
      <c r="H285" s="3" t="s">
        <v>250</v>
      </c>
      <c r="I285" s="2">
        <v>86</v>
      </c>
      <c r="J285" s="2">
        <v>43</v>
      </c>
      <c r="K285" s="2">
        <v>3</v>
      </c>
      <c r="O285" s="2">
        <v>11</v>
      </c>
      <c r="U285" s="2">
        <v>5</v>
      </c>
      <c r="V285" s="2">
        <v>37</v>
      </c>
      <c r="W285" s="2">
        <v>3</v>
      </c>
      <c r="X285" s="2">
        <v>22</v>
      </c>
      <c r="Z285" s="2">
        <v>43</v>
      </c>
      <c r="AA285" s="3" t="s">
        <v>57</v>
      </c>
      <c r="AB285" s="2">
        <v>2</v>
      </c>
      <c r="AF285" s="2">
        <v>35</v>
      </c>
      <c r="AG285" s="2">
        <v>1</v>
      </c>
      <c r="AH285" s="3" t="s">
        <v>251</v>
      </c>
      <c r="AI285" s="4">
        <v>44725</v>
      </c>
      <c r="AJ285" s="3" t="s">
        <v>339</v>
      </c>
      <c r="AK285" s="3" t="s">
        <v>248</v>
      </c>
    </row>
    <row r="286" spans="1:37" hidden="1" x14ac:dyDescent="0.25">
      <c r="A286" t="str">
        <f t="shared" si="4"/>
        <v>2022_Qld_Gatton_Chickpea_DetailedTOS1VarietyHatTrickWaterTrtIrrigated</v>
      </c>
      <c r="B286" s="2">
        <v>2022001</v>
      </c>
      <c r="C286" s="3" t="s">
        <v>247</v>
      </c>
      <c r="D286" s="3" t="s">
        <v>248</v>
      </c>
      <c r="F286" s="3" t="s">
        <v>4178</v>
      </c>
      <c r="G286" s="3" t="s">
        <v>39</v>
      </c>
      <c r="H286" s="3" t="s">
        <v>253</v>
      </c>
      <c r="I286" s="2">
        <v>87</v>
      </c>
      <c r="J286" s="2">
        <v>44</v>
      </c>
      <c r="K286" s="2">
        <v>3</v>
      </c>
      <c r="O286" s="2">
        <v>11</v>
      </c>
      <c r="U286" s="2">
        <v>6</v>
      </c>
      <c r="V286" s="2">
        <v>36</v>
      </c>
      <c r="W286" s="2">
        <v>4</v>
      </c>
      <c r="X286" s="2">
        <v>21</v>
      </c>
      <c r="AA286" s="3" t="s">
        <v>57</v>
      </c>
      <c r="AB286" s="2">
        <v>3</v>
      </c>
      <c r="AF286" s="2">
        <v>35</v>
      </c>
      <c r="AG286" s="2">
        <v>1</v>
      </c>
      <c r="AH286" s="3" t="s">
        <v>251</v>
      </c>
      <c r="AI286" s="4">
        <v>44725</v>
      </c>
      <c r="AJ286" s="3" t="s">
        <v>340</v>
      </c>
      <c r="AK286" s="3" t="s">
        <v>248</v>
      </c>
    </row>
    <row r="287" spans="1:37" hidden="1" x14ac:dyDescent="0.25">
      <c r="A287" t="str">
        <f t="shared" si="4"/>
        <v>2022_Qld_Gatton_Chickpea_DetailedTOS1VarietyHatTrickWaterTrtIrrigated</v>
      </c>
      <c r="B287" s="2">
        <v>2022001</v>
      </c>
      <c r="C287" s="3" t="s">
        <v>247</v>
      </c>
      <c r="D287" s="3" t="s">
        <v>248</v>
      </c>
      <c r="F287" s="3" t="s">
        <v>4178</v>
      </c>
      <c r="G287" s="3" t="s">
        <v>39</v>
      </c>
      <c r="H287" s="3" t="s">
        <v>250</v>
      </c>
      <c r="I287" s="2">
        <v>88</v>
      </c>
      <c r="J287" s="2">
        <v>44</v>
      </c>
      <c r="K287" s="2">
        <v>3</v>
      </c>
      <c r="O287" s="2">
        <v>11</v>
      </c>
      <c r="U287" s="2">
        <v>6</v>
      </c>
      <c r="V287" s="2">
        <v>37</v>
      </c>
      <c r="W287" s="2">
        <v>4</v>
      </c>
      <c r="X287" s="2">
        <v>22</v>
      </c>
      <c r="Z287" s="2">
        <v>44</v>
      </c>
      <c r="AA287" s="3" t="s">
        <v>57</v>
      </c>
      <c r="AB287" s="2">
        <v>3</v>
      </c>
      <c r="AF287" s="2">
        <v>35</v>
      </c>
      <c r="AG287" s="2">
        <v>1</v>
      </c>
      <c r="AH287" s="3" t="s">
        <v>251</v>
      </c>
      <c r="AI287" s="4">
        <v>44725</v>
      </c>
      <c r="AJ287" s="3" t="s">
        <v>341</v>
      </c>
      <c r="AK287" s="3" t="s">
        <v>248</v>
      </c>
    </row>
    <row r="288" spans="1:37" hidden="1" x14ac:dyDescent="0.25">
      <c r="A288" t="str">
        <f t="shared" si="4"/>
        <v>2022_Qld_Gatton_Chickpea_DetailedTOS1VarietyHatTrickWaterTrtRainFed</v>
      </c>
      <c r="B288" s="2">
        <v>2022001</v>
      </c>
      <c r="C288" s="3" t="s">
        <v>247</v>
      </c>
      <c r="D288" s="3" t="s">
        <v>248</v>
      </c>
      <c r="F288" s="3" t="s">
        <v>4178</v>
      </c>
      <c r="G288" s="3" t="s">
        <v>39</v>
      </c>
      <c r="H288" s="3" t="s">
        <v>250</v>
      </c>
      <c r="I288" s="2">
        <v>89</v>
      </c>
      <c r="J288" s="2">
        <v>45</v>
      </c>
      <c r="K288" s="2">
        <v>3</v>
      </c>
      <c r="O288" s="2">
        <v>12</v>
      </c>
      <c r="U288" s="2">
        <v>2</v>
      </c>
      <c r="V288" s="2">
        <v>39</v>
      </c>
      <c r="W288" s="2">
        <v>1</v>
      </c>
      <c r="X288" s="2">
        <v>23</v>
      </c>
      <c r="Z288" s="2">
        <v>48</v>
      </c>
      <c r="AA288" s="3" t="s">
        <v>40</v>
      </c>
      <c r="AB288" s="2">
        <v>3</v>
      </c>
      <c r="AF288" s="2">
        <v>35</v>
      </c>
      <c r="AG288" s="2">
        <v>1</v>
      </c>
      <c r="AH288" s="3" t="s">
        <v>251</v>
      </c>
      <c r="AI288" s="4">
        <v>44725</v>
      </c>
      <c r="AJ288" s="3" t="s">
        <v>342</v>
      </c>
      <c r="AK288" s="3" t="s">
        <v>248</v>
      </c>
    </row>
    <row r="289" spans="1:37" hidden="1" x14ac:dyDescent="0.25">
      <c r="A289" t="str">
        <f t="shared" si="4"/>
        <v>2022_Qld_Gatton_Chickpea_DetailedTOS1VarietyHatTrickWaterTrtRainFed</v>
      </c>
      <c r="B289" s="2">
        <v>2022001</v>
      </c>
      <c r="C289" s="3" t="s">
        <v>247</v>
      </c>
      <c r="D289" s="3" t="s">
        <v>248</v>
      </c>
      <c r="F289" s="3" t="s">
        <v>4178</v>
      </c>
      <c r="G289" s="3" t="s">
        <v>39</v>
      </c>
      <c r="H289" s="3" t="s">
        <v>253</v>
      </c>
      <c r="I289" s="2">
        <v>90</v>
      </c>
      <c r="J289" s="2">
        <v>45</v>
      </c>
      <c r="K289" s="2">
        <v>3</v>
      </c>
      <c r="O289" s="2">
        <v>12</v>
      </c>
      <c r="U289" s="2">
        <v>2</v>
      </c>
      <c r="V289" s="2">
        <v>40</v>
      </c>
      <c r="W289" s="2">
        <v>1</v>
      </c>
      <c r="X289" s="2">
        <v>24</v>
      </c>
      <c r="AA289" s="3" t="s">
        <v>40</v>
      </c>
      <c r="AB289" s="2">
        <v>3</v>
      </c>
      <c r="AF289" s="2">
        <v>35</v>
      </c>
      <c r="AG289" s="2">
        <v>1</v>
      </c>
      <c r="AH289" s="3" t="s">
        <v>251</v>
      </c>
      <c r="AI289" s="4">
        <v>44725</v>
      </c>
      <c r="AJ289" s="3" t="s">
        <v>343</v>
      </c>
      <c r="AK289" s="3" t="s">
        <v>248</v>
      </c>
    </row>
    <row r="290" spans="1:37" hidden="1" x14ac:dyDescent="0.25">
      <c r="A290" t="str">
        <f t="shared" si="4"/>
        <v>2022_Qld_Gatton_Chickpea_DetailedTOS1VarietyDrummondWaterTrtRainFed</v>
      </c>
      <c r="B290" s="2">
        <v>2022001</v>
      </c>
      <c r="C290" s="3" t="s">
        <v>247</v>
      </c>
      <c r="D290" s="3" t="s">
        <v>248</v>
      </c>
      <c r="F290" s="3" t="s">
        <v>4182</v>
      </c>
      <c r="G290" s="3" t="s">
        <v>39</v>
      </c>
      <c r="H290" s="3" t="s">
        <v>250</v>
      </c>
      <c r="I290" s="2">
        <v>91</v>
      </c>
      <c r="J290" s="2">
        <v>46</v>
      </c>
      <c r="K290" s="2">
        <v>3</v>
      </c>
      <c r="O290" s="2">
        <v>12</v>
      </c>
      <c r="U290" s="2">
        <v>3</v>
      </c>
      <c r="V290" s="2">
        <v>39</v>
      </c>
      <c r="W290" s="2">
        <v>2</v>
      </c>
      <c r="X290" s="2">
        <v>23</v>
      </c>
      <c r="Z290" s="2">
        <v>47</v>
      </c>
      <c r="AA290" s="3" t="s">
        <v>40</v>
      </c>
      <c r="AB290" s="2">
        <v>2</v>
      </c>
      <c r="AF290" s="2">
        <v>35</v>
      </c>
      <c r="AG290" s="2">
        <v>1</v>
      </c>
      <c r="AH290" s="3" t="s">
        <v>251</v>
      </c>
      <c r="AI290" s="4">
        <v>44725</v>
      </c>
      <c r="AJ290" s="3" t="s">
        <v>344</v>
      </c>
      <c r="AK290" s="3" t="s">
        <v>248</v>
      </c>
    </row>
    <row r="291" spans="1:37" hidden="1" x14ac:dyDescent="0.25">
      <c r="A291" t="str">
        <f t="shared" si="4"/>
        <v>2022_Qld_Gatton_Chickpea_DetailedTOS1VarietyDrummondWaterTrtRainFed</v>
      </c>
      <c r="B291" s="2">
        <v>2022001</v>
      </c>
      <c r="C291" s="3" t="s">
        <v>247</v>
      </c>
      <c r="D291" s="3" t="s">
        <v>248</v>
      </c>
      <c r="F291" s="3" t="s">
        <v>4182</v>
      </c>
      <c r="G291" s="3" t="s">
        <v>39</v>
      </c>
      <c r="H291" s="3" t="s">
        <v>253</v>
      </c>
      <c r="I291" s="2">
        <v>92</v>
      </c>
      <c r="J291" s="2">
        <v>46</v>
      </c>
      <c r="K291" s="2">
        <v>3</v>
      </c>
      <c r="O291" s="2">
        <v>12</v>
      </c>
      <c r="U291" s="2">
        <v>3</v>
      </c>
      <c r="V291" s="2">
        <v>40</v>
      </c>
      <c r="W291" s="2">
        <v>2</v>
      </c>
      <c r="X291" s="2">
        <v>24</v>
      </c>
      <c r="AA291" s="3" t="s">
        <v>40</v>
      </c>
      <c r="AB291" s="2">
        <v>2</v>
      </c>
      <c r="AF291" s="2">
        <v>35</v>
      </c>
      <c r="AG291" s="2">
        <v>1</v>
      </c>
      <c r="AH291" s="3" t="s">
        <v>251</v>
      </c>
      <c r="AI291" s="4">
        <v>44725</v>
      </c>
      <c r="AJ291" s="3" t="s">
        <v>345</v>
      </c>
      <c r="AK291" s="3" t="s">
        <v>248</v>
      </c>
    </row>
    <row r="292" spans="1:37" hidden="1" x14ac:dyDescent="0.25">
      <c r="A292" t="str">
        <f t="shared" si="4"/>
        <v>2022_Qld_Gatton_Chickpea_DetailedTOS1VarietyStrikerWaterTrtRainFed</v>
      </c>
      <c r="B292" s="2">
        <v>2022001</v>
      </c>
      <c r="C292" s="3" t="s">
        <v>247</v>
      </c>
      <c r="D292" s="3" t="s">
        <v>248</v>
      </c>
      <c r="F292" s="3" t="s">
        <v>4179</v>
      </c>
      <c r="G292" s="3" t="s">
        <v>43</v>
      </c>
      <c r="H292" s="3" t="s">
        <v>250</v>
      </c>
      <c r="I292" s="2">
        <v>93</v>
      </c>
      <c r="J292" s="2">
        <v>47</v>
      </c>
      <c r="K292" s="2">
        <v>3</v>
      </c>
      <c r="O292" s="2">
        <v>12</v>
      </c>
      <c r="U292" s="2">
        <v>5</v>
      </c>
      <c r="V292" s="2">
        <v>39</v>
      </c>
      <c r="W292" s="2">
        <v>3</v>
      </c>
      <c r="X292" s="2">
        <v>23</v>
      </c>
      <c r="Z292" s="2">
        <v>46</v>
      </c>
      <c r="AA292" s="3" t="s">
        <v>40</v>
      </c>
      <c r="AB292" s="2">
        <v>4</v>
      </c>
      <c r="AF292" s="2">
        <v>35</v>
      </c>
      <c r="AG292" s="2">
        <v>1</v>
      </c>
      <c r="AH292" s="3" t="s">
        <v>251</v>
      </c>
      <c r="AI292" s="4">
        <v>44725</v>
      </c>
      <c r="AJ292" s="3" t="s">
        <v>346</v>
      </c>
      <c r="AK292" s="3" t="s">
        <v>248</v>
      </c>
    </row>
    <row r="293" spans="1:37" hidden="1" x14ac:dyDescent="0.25">
      <c r="A293" t="str">
        <f t="shared" si="4"/>
        <v>2022_Qld_Gatton_Chickpea_DetailedTOS1VarietyStrikerWaterTrtRainFed</v>
      </c>
      <c r="B293" s="2">
        <v>2022001</v>
      </c>
      <c r="C293" s="3" t="s">
        <v>247</v>
      </c>
      <c r="D293" s="3" t="s">
        <v>248</v>
      </c>
      <c r="F293" s="3" t="s">
        <v>4179</v>
      </c>
      <c r="G293" s="3" t="s">
        <v>43</v>
      </c>
      <c r="H293" s="3" t="s">
        <v>253</v>
      </c>
      <c r="I293" s="2">
        <v>94</v>
      </c>
      <c r="J293" s="2">
        <v>47</v>
      </c>
      <c r="K293" s="2">
        <v>3</v>
      </c>
      <c r="O293" s="2">
        <v>12</v>
      </c>
      <c r="U293" s="2">
        <v>5</v>
      </c>
      <c r="V293" s="2">
        <v>40</v>
      </c>
      <c r="W293" s="2">
        <v>3</v>
      </c>
      <c r="X293" s="2">
        <v>24</v>
      </c>
      <c r="AA293" s="3" t="s">
        <v>40</v>
      </c>
      <c r="AB293" s="2">
        <v>4</v>
      </c>
      <c r="AF293" s="2">
        <v>35</v>
      </c>
      <c r="AG293" s="2">
        <v>1</v>
      </c>
      <c r="AH293" s="3" t="s">
        <v>251</v>
      </c>
      <c r="AI293" s="4">
        <v>44725</v>
      </c>
      <c r="AJ293" s="3" t="s">
        <v>347</v>
      </c>
      <c r="AK293" s="3" t="s">
        <v>248</v>
      </c>
    </row>
    <row r="294" spans="1:37" hidden="1" x14ac:dyDescent="0.25">
      <c r="A294" t="str">
        <f t="shared" si="4"/>
        <v>2022_Qld_Gatton_Chickpea_DetailedTOS1VarietyCBA_CaptainWaterTrtRainFed</v>
      </c>
      <c r="B294" s="2">
        <v>2022001</v>
      </c>
      <c r="C294" s="3" t="s">
        <v>247</v>
      </c>
      <c r="D294" s="3" t="s">
        <v>248</v>
      </c>
      <c r="F294" s="3" t="s">
        <v>249</v>
      </c>
      <c r="G294" s="3" t="s">
        <v>43</v>
      </c>
      <c r="H294" s="3" t="s">
        <v>250</v>
      </c>
      <c r="I294" s="2">
        <v>95</v>
      </c>
      <c r="J294" s="2">
        <v>48</v>
      </c>
      <c r="K294" s="2">
        <v>3</v>
      </c>
      <c r="O294" s="2">
        <v>12</v>
      </c>
      <c r="U294" s="2">
        <v>6</v>
      </c>
      <c r="V294" s="2">
        <v>39</v>
      </c>
      <c r="W294" s="2">
        <v>4</v>
      </c>
      <c r="X294" s="2">
        <v>23</v>
      </c>
      <c r="Z294" s="2">
        <v>45</v>
      </c>
      <c r="AA294" s="3" t="s">
        <v>40</v>
      </c>
      <c r="AB294" s="2">
        <v>1</v>
      </c>
      <c r="AF294" s="2">
        <v>35</v>
      </c>
      <c r="AG294" s="2">
        <v>1</v>
      </c>
      <c r="AH294" s="3" t="s">
        <v>251</v>
      </c>
      <c r="AI294" s="4">
        <v>44725</v>
      </c>
      <c r="AJ294" s="3" t="s">
        <v>348</v>
      </c>
      <c r="AK294" s="3" t="s">
        <v>248</v>
      </c>
    </row>
    <row r="295" spans="1:37" hidden="1" x14ac:dyDescent="0.25">
      <c r="A295" t="str">
        <f t="shared" si="4"/>
        <v>2022_Qld_Gatton_Chickpea_DetailedTOS1VarietyCBA_CaptainWaterTrtRainFed</v>
      </c>
      <c r="B295" s="2">
        <v>2022001</v>
      </c>
      <c r="C295" s="3" t="s">
        <v>247</v>
      </c>
      <c r="D295" s="3" t="s">
        <v>248</v>
      </c>
      <c r="F295" s="3" t="s">
        <v>249</v>
      </c>
      <c r="G295" s="3" t="s">
        <v>43</v>
      </c>
      <c r="H295" s="3" t="s">
        <v>253</v>
      </c>
      <c r="I295" s="2">
        <v>96</v>
      </c>
      <c r="J295" s="2">
        <v>48</v>
      </c>
      <c r="K295" s="2">
        <v>3</v>
      </c>
      <c r="O295" s="2">
        <v>12</v>
      </c>
      <c r="U295" s="2">
        <v>6</v>
      </c>
      <c r="V295" s="2">
        <v>40</v>
      </c>
      <c r="W295" s="2">
        <v>4</v>
      </c>
      <c r="X295" s="2">
        <v>24</v>
      </c>
      <c r="AA295" s="3" t="s">
        <v>40</v>
      </c>
      <c r="AB295" s="2">
        <v>1</v>
      </c>
      <c r="AF295" s="2">
        <v>35</v>
      </c>
      <c r="AG295" s="2">
        <v>1</v>
      </c>
      <c r="AH295" s="3" t="s">
        <v>251</v>
      </c>
      <c r="AI295" s="4">
        <v>44725</v>
      </c>
      <c r="AJ295" s="3" t="s">
        <v>349</v>
      </c>
      <c r="AK295" s="3" t="s">
        <v>248</v>
      </c>
    </row>
    <row r="296" spans="1:37" hidden="1" x14ac:dyDescent="0.25">
      <c r="A296" t="str">
        <f t="shared" si="4"/>
        <v>2022_Qld_Gatton_Chickpea_DetailedTOS2VarietyHatTrickWaterTrtRainFed</v>
      </c>
      <c r="B296" s="2">
        <v>2022001</v>
      </c>
      <c r="C296" s="3" t="s">
        <v>247</v>
      </c>
      <c r="D296" s="3" t="s">
        <v>248</v>
      </c>
      <c r="F296" s="3" t="s">
        <v>4178</v>
      </c>
      <c r="G296" s="3" t="s">
        <v>39</v>
      </c>
      <c r="H296" s="3" t="s">
        <v>250</v>
      </c>
      <c r="I296" s="2">
        <v>97</v>
      </c>
      <c r="J296" s="2">
        <v>49</v>
      </c>
      <c r="K296" s="2">
        <v>4</v>
      </c>
      <c r="O296" s="2">
        <v>13</v>
      </c>
      <c r="U296" s="2">
        <v>2</v>
      </c>
      <c r="V296" s="2">
        <v>43</v>
      </c>
      <c r="W296" s="2">
        <v>1</v>
      </c>
      <c r="X296" s="2">
        <v>25</v>
      </c>
      <c r="Z296" s="2">
        <v>49</v>
      </c>
      <c r="AA296" s="3" t="s">
        <v>40</v>
      </c>
      <c r="AB296" s="2">
        <v>3</v>
      </c>
      <c r="AF296" s="2">
        <v>35</v>
      </c>
      <c r="AG296" s="2">
        <v>2</v>
      </c>
      <c r="AH296" s="3" t="s">
        <v>261</v>
      </c>
      <c r="AI296" s="4">
        <v>44760</v>
      </c>
      <c r="AJ296" s="3" t="s">
        <v>350</v>
      </c>
      <c r="AK296" s="3" t="s">
        <v>248</v>
      </c>
    </row>
    <row r="297" spans="1:37" hidden="1" x14ac:dyDescent="0.25">
      <c r="A297" t="str">
        <f t="shared" si="4"/>
        <v>2022_Qld_Gatton_Chickpea_DetailedTOS2VarietyHatTrickWaterTrtRainFed</v>
      </c>
      <c r="B297" s="2">
        <v>2022001</v>
      </c>
      <c r="C297" s="3" t="s">
        <v>247</v>
      </c>
      <c r="D297" s="3" t="s">
        <v>248</v>
      </c>
      <c r="F297" s="3" t="s">
        <v>4178</v>
      </c>
      <c r="G297" s="3" t="s">
        <v>39</v>
      </c>
      <c r="H297" s="3" t="s">
        <v>253</v>
      </c>
      <c r="I297" s="2">
        <v>98</v>
      </c>
      <c r="J297" s="2">
        <v>49</v>
      </c>
      <c r="K297" s="2">
        <v>4</v>
      </c>
      <c r="O297" s="2">
        <v>13</v>
      </c>
      <c r="U297" s="2">
        <v>2</v>
      </c>
      <c r="V297" s="2">
        <v>44</v>
      </c>
      <c r="W297" s="2">
        <v>1</v>
      </c>
      <c r="X297" s="2">
        <v>26</v>
      </c>
      <c r="AA297" s="3" t="s">
        <v>40</v>
      </c>
      <c r="AB297" s="2">
        <v>3</v>
      </c>
      <c r="AF297" s="2">
        <v>35</v>
      </c>
      <c r="AG297" s="2">
        <v>2</v>
      </c>
      <c r="AH297" s="3" t="s">
        <v>261</v>
      </c>
      <c r="AI297" s="4">
        <v>44760</v>
      </c>
      <c r="AJ297" s="3" t="s">
        <v>351</v>
      </c>
      <c r="AK297" s="3" t="s">
        <v>248</v>
      </c>
    </row>
    <row r="298" spans="1:37" hidden="1" x14ac:dyDescent="0.25">
      <c r="A298" t="str">
        <f t="shared" si="4"/>
        <v>2022_Qld_Gatton_Chickpea_DetailedTOS2VarietyStrikerWaterTrtRainFed</v>
      </c>
      <c r="B298" s="2">
        <v>2022001</v>
      </c>
      <c r="C298" s="3" t="s">
        <v>247</v>
      </c>
      <c r="D298" s="3" t="s">
        <v>248</v>
      </c>
      <c r="F298" s="3" t="s">
        <v>4179</v>
      </c>
      <c r="G298" s="3" t="s">
        <v>43</v>
      </c>
      <c r="H298" s="3" t="s">
        <v>250</v>
      </c>
      <c r="I298" s="2">
        <v>99</v>
      </c>
      <c r="J298" s="2">
        <v>50</v>
      </c>
      <c r="K298" s="2">
        <v>4</v>
      </c>
      <c r="O298" s="2">
        <v>13</v>
      </c>
      <c r="U298" s="2">
        <v>3</v>
      </c>
      <c r="V298" s="2">
        <v>43</v>
      </c>
      <c r="W298" s="2">
        <v>2</v>
      </c>
      <c r="X298" s="2">
        <v>25</v>
      </c>
      <c r="Z298" s="2">
        <v>50</v>
      </c>
      <c r="AA298" s="3" t="s">
        <v>40</v>
      </c>
      <c r="AB298" s="2">
        <v>4</v>
      </c>
      <c r="AF298" s="2">
        <v>35</v>
      </c>
      <c r="AG298" s="2">
        <v>2</v>
      </c>
      <c r="AH298" s="3" t="s">
        <v>261</v>
      </c>
      <c r="AI298" s="4">
        <v>44760</v>
      </c>
      <c r="AJ298" s="3" t="s">
        <v>352</v>
      </c>
      <c r="AK298" s="3" t="s">
        <v>248</v>
      </c>
    </row>
    <row r="299" spans="1:37" hidden="1" x14ac:dyDescent="0.25">
      <c r="A299" t="str">
        <f t="shared" si="4"/>
        <v>2022_Qld_Gatton_Chickpea_DetailedTOS2VarietyStrikerWaterTrtRainFed</v>
      </c>
      <c r="B299" s="2">
        <v>2022001</v>
      </c>
      <c r="C299" s="3" t="s">
        <v>247</v>
      </c>
      <c r="D299" s="3" t="s">
        <v>248</v>
      </c>
      <c r="F299" s="3" t="s">
        <v>4179</v>
      </c>
      <c r="G299" s="3" t="s">
        <v>43</v>
      </c>
      <c r="H299" s="3" t="s">
        <v>253</v>
      </c>
      <c r="I299" s="2">
        <v>100</v>
      </c>
      <c r="J299" s="2">
        <v>50</v>
      </c>
      <c r="K299" s="2">
        <v>4</v>
      </c>
      <c r="O299" s="2">
        <v>13</v>
      </c>
      <c r="U299" s="2">
        <v>3</v>
      </c>
      <c r="V299" s="2">
        <v>44</v>
      </c>
      <c r="W299" s="2">
        <v>2</v>
      </c>
      <c r="X299" s="2">
        <v>26</v>
      </c>
      <c r="AA299" s="3" t="s">
        <v>40</v>
      </c>
      <c r="AB299" s="2">
        <v>4</v>
      </c>
      <c r="AF299" s="2">
        <v>35</v>
      </c>
      <c r="AG299" s="2">
        <v>2</v>
      </c>
      <c r="AH299" s="3" t="s">
        <v>261</v>
      </c>
      <c r="AI299" s="4">
        <v>44760</v>
      </c>
      <c r="AJ299" s="3" t="s">
        <v>353</v>
      </c>
      <c r="AK299" s="3" t="s">
        <v>248</v>
      </c>
    </row>
    <row r="300" spans="1:37" hidden="1" x14ac:dyDescent="0.25">
      <c r="A300" t="str">
        <f t="shared" si="4"/>
        <v>2022_Qld_Gatton_Chickpea_DetailedTOS2VarietyDrummondWaterTrtRainFed</v>
      </c>
      <c r="B300" s="2">
        <v>2022001</v>
      </c>
      <c r="C300" s="3" t="s">
        <v>247</v>
      </c>
      <c r="D300" s="3" t="s">
        <v>248</v>
      </c>
      <c r="F300" s="3" t="s">
        <v>4182</v>
      </c>
      <c r="G300" s="3" t="s">
        <v>39</v>
      </c>
      <c r="H300" s="3" t="s">
        <v>250</v>
      </c>
      <c r="I300" s="2">
        <v>101</v>
      </c>
      <c r="J300" s="2">
        <v>51</v>
      </c>
      <c r="K300" s="2">
        <v>4</v>
      </c>
      <c r="O300" s="2">
        <v>13</v>
      </c>
      <c r="U300" s="2">
        <v>5</v>
      </c>
      <c r="V300" s="2">
        <v>43</v>
      </c>
      <c r="W300" s="2">
        <v>3</v>
      </c>
      <c r="X300" s="2">
        <v>25</v>
      </c>
      <c r="Z300" s="2">
        <v>51</v>
      </c>
      <c r="AA300" s="3" t="s">
        <v>40</v>
      </c>
      <c r="AB300" s="2">
        <v>2</v>
      </c>
      <c r="AF300" s="2">
        <v>35</v>
      </c>
      <c r="AG300" s="2">
        <v>2</v>
      </c>
      <c r="AH300" s="3" t="s">
        <v>261</v>
      </c>
      <c r="AI300" s="4">
        <v>44760</v>
      </c>
      <c r="AJ300" s="3" t="s">
        <v>354</v>
      </c>
      <c r="AK300" s="3" t="s">
        <v>248</v>
      </c>
    </row>
    <row r="301" spans="1:37" hidden="1" x14ac:dyDescent="0.25">
      <c r="A301" t="str">
        <f t="shared" si="4"/>
        <v>2022_Qld_Gatton_Chickpea_DetailedTOS2VarietyDrummondWaterTrtRainFed</v>
      </c>
      <c r="B301" s="2">
        <v>2022001</v>
      </c>
      <c r="C301" s="3" t="s">
        <v>247</v>
      </c>
      <c r="D301" s="3" t="s">
        <v>248</v>
      </c>
      <c r="F301" s="3" t="s">
        <v>4182</v>
      </c>
      <c r="G301" s="3" t="s">
        <v>39</v>
      </c>
      <c r="H301" s="3" t="s">
        <v>253</v>
      </c>
      <c r="I301" s="2">
        <v>102</v>
      </c>
      <c r="J301" s="2">
        <v>51</v>
      </c>
      <c r="K301" s="2">
        <v>4</v>
      </c>
      <c r="O301" s="2">
        <v>13</v>
      </c>
      <c r="U301" s="2">
        <v>5</v>
      </c>
      <c r="V301" s="2">
        <v>44</v>
      </c>
      <c r="W301" s="2">
        <v>3</v>
      </c>
      <c r="X301" s="2">
        <v>26</v>
      </c>
      <c r="AA301" s="3" t="s">
        <v>40</v>
      </c>
      <c r="AB301" s="2">
        <v>2</v>
      </c>
      <c r="AF301" s="2">
        <v>35</v>
      </c>
      <c r="AG301" s="2">
        <v>2</v>
      </c>
      <c r="AH301" s="3" t="s">
        <v>261</v>
      </c>
      <c r="AI301" s="4">
        <v>44760</v>
      </c>
      <c r="AJ301" s="3" t="s">
        <v>355</v>
      </c>
      <c r="AK301" s="3" t="s">
        <v>248</v>
      </c>
    </row>
    <row r="302" spans="1:37" hidden="1" x14ac:dyDescent="0.25">
      <c r="A302" t="str">
        <f t="shared" si="4"/>
        <v>2022_Qld_Gatton_Chickpea_DetailedTOS2VarietyCBA_CaptainWaterTrtRainFed</v>
      </c>
      <c r="B302" s="2">
        <v>2022001</v>
      </c>
      <c r="C302" s="3" t="s">
        <v>247</v>
      </c>
      <c r="D302" s="3" t="s">
        <v>248</v>
      </c>
      <c r="F302" s="3" t="s">
        <v>249</v>
      </c>
      <c r="G302" s="3" t="s">
        <v>43</v>
      </c>
      <c r="H302" s="3" t="s">
        <v>250</v>
      </c>
      <c r="I302" s="2">
        <v>103</v>
      </c>
      <c r="J302" s="2">
        <v>52</v>
      </c>
      <c r="K302" s="2">
        <v>4</v>
      </c>
      <c r="O302" s="2">
        <v>13</v>
      </c>
      <c r="U302" s="2">
        <v>6</v>
      </c>
      <c r="V302" s="2">
        <v>43</v>
      </c>
      <c r="W302" s="2">
        <v>4</v>
      </c>
      <c r="X302" s="2">
        <v>25</v>
      </c>
      <c r="Z302" s="2">
        <v>52</v>
      </c>
      <c r="AA302" s="3" t="s">
        <v>40</v>
      </c>
      <c r="AB302" s="2">
        <v>1</v>
      </c>
      <c r="AF302" s="2">
        <v>35</v>
      </c>
      <c r="AG302" s="2">
        <v>2</v>
      </c>
      <c r="AH302" s="3" t="s">
        <v>261</v>
      </c>
      <c r="AI302" s="4">
        <v>44760</v>
      </c>
      <c r="AJ302" s="3" t="s">
        <v>356</v>
      </c>
      <c r="AK302" s="3" t="s">
        <v>248</v>
      </c>
    </row>
    <row r="303" spans="1:37" hidden="1" x14ac:dyDescent="0.25">
      <c r="A303" t="str">
        <f t="shared" si="4"/>
        <v>2022_Qld_Gatton_Chickpea_DetailedTOS2VarietyCBA_CaptainWaterTrtRainFed</v>
      </c>
      <c r="B303" s="2">
        <v>2022001</v>
      </c>
      <c r="C303" s="3" t="s">
        <v>247</v>
      </c>
      <c r="D303" s="3" t="s">
        <v>248</v>
      </c>
      <c r="F303" s="3" t="s">
        <v>249</v>
      </c>
      <c r="G303" s="3" t="s">
        <v>43</v>
      </c>
      <c r="H303" s="3" t="s">
        <v>253</v>
      </c>
      <c r="I303" s="2">
        <v>104</v>
      </c>
      <c r="J303" s="2">
        <v>52</v>
      </c>
      <c r="K303" s="2">
        <v>4</v>
      </c>
      <c r="O303" s="2">
        <v>13</v>
      </c>
      <c r="U303" s="2">
        <v>6</v>
      </c>
      <c r="V303" s="2">
        <v>44</v>
      </c>
      <c r="W303" s="2">
        <v>4</v>
      </c>
      <c r="X303" s="2">
        <v>26</v>
      </c>
      <c r="AA303" s="3" t="s">
        <v>40</v>
      </c>
      <c r="AB303" s="2">
        <v>1</v>
      </c>
      <c r="AF303" s="2">
        <v>35</v>
      </c>
      <c r="AG303" s="2">
        <v>2</v>
      </c>
      <c r="AH303" s="3" t="s">
        <v>261</v>
      </c>
      <c r="AI303" s="4">
        <v>44760</v>
      </c>
      <c r="AJ303" s="3" t="s">
        <v>357</v>
      </c>
      <c r="AK303" s="3" t="s">
        <v>248</v>
      </c>
    </row>
    <row r="304" spans="1:37" hidden="1" x14ac:dyDescent="0.25">
      <c r="A304" t="str">
        <f t="shared" si="4"/>
        <v>2022_Qld_Gatton_Chickpea_DetailedTOS1VarietyStrikerWaterTrtIrrigated</v>
      </c>
      <c r="B304" s="2">
        <v>2022001</v>
      </c>
      <c r="C304" s="3" t="s">
        <v>247</v>
      </c>
      <c r="D304" s="3" t="s">
        <v>248</v>
      </c>
      <c r="F304" s="3" t="s">
        <v>4179</v>
      </c>
      <c r="G304" s="3" t="s">
        <v>43</v>
      </c>
      <c r="H304" s="3" t="s">
        <v>250</v>
      </c>
      <c r="I304" s="2">
        <v>105</v>
      </c>
      <c r="J304" s="2">
        <v>53</v>
      </c>
      <c r="K304" s="2">
        <v>4</v>
      </c>
      <c r="O304" s="2">
        <v>14</v>
      </c>
      <c r="U304" s="2">
        <v>2</v>
      </c>
      <c r="V304" s="2">
        <v>47</v>
      </c>
      <c r="W304" s="2">
        <v>1</v>
      </c>
      <c r="X304" s="2">
        <v>27</v>
      </c>
      <c r="Z304" s="2">
        <v>56</v>
      </c>
      <c r="AA304" s="3" t="s">
        <v>57</v>
      </c>
      <c r="AB304" s="2">
        <v>4</v>
      </c>
      <c r="AF304" s="2">
        <v>35</v>
      </c>
      <c r="AG304" s="2">
        <v>1</v>
      </c>
      <c r="AH304" s="3" t="s">
        <v>251</v>
      </c>
      <c r="AI304" s="4">
        <v>44725</v>
      </c>
      <c r="AJ304" s="3" t="s">
        <v>358</v>
      </c>
      <c r="AK304" s="3" t="s">
        <v>248</v>
      </c>
    </row>
    <row r="305" spans="1:37" hidden="1" x14ac:dyDescent="0.25">
      <c r="A305" t="str">
        <f t="shared" si="4"/>
        <v>2022_Qld_Gatton_Chickpea_DetailedTOS1VarietyStrikerWaterTrtIrrigated</v>
      </c>
      <c r="B305" s="2">
        <v>2022001</v>
      </c>
      <c r="C305" s="3" t="s">
        <v>247</v>
      </c>
      <c r="D305" s="3" t="s">
        <v>248</v>
      </c>
      <c r="F305" s="3" t="s">
        <v>4179</v>
      </c>
      <c r="G305" s="3" t="s">
        <v>43</v>
      </c>
      <c r="H305" s="3" t="s">
        <v>253</v>
      </c>
      <c r="I305" s="2">
        <v>106</v>
      </c>
      <c r="J305" s="2">
        <v>53</v>
      </c>
      <c r="K305" s="2">
        <v>4</v>
      </c>
      <c r="O305" s="2">
        <v>14</v>
      </c>
      <c r="U305" s="2">
        <v>2</v>
      </c>
      <c r="V305" s="2">
        <v>48</v>
      </c>
      <c r="W305" s="2">
        <v>1</v>
      </c>
      <c r="X305" s="2">
        <v>28</v>
      </c>
      <c r="AA305" s="3" t="s">
        <v>57</v>
      </c>
      <c r="AB305" s="2">
        <v>4</v>
      </c>
      <c r="AF305" s="2">
        <v>35</v>
      </c>
      <c r="AG305" s="2">
        <v>1</v>
      </c>
      <c r="AH305" s="3" t="s">
        <v>251</v>
      </c>
      <c r="AI305" s="4">
        <v>44725</v>
      </c>
      <c r="AJ305" s="3" t="s">
        <v>359</v>
      </c>
      <c r="AK305" s="3" t="s">
        <v>248</v>
      </c>
    </row>
    <row r="306" spans="1:37" hidden="1" x14ac:dyDescent="0.25">
      <c r="A306" t="str">
        <f t="shared" si="4"/>
        <v>2022_Qld_Gatton_Chickpea_DetailedTOS1VarietyHatTrickWaterTrtIrrigated</v>
      </c>
      <c r="B306" s="2">
        <v>2022001</v>
      </c>
      <c r="C306" s="3" t="s">
        <v>247</v>
      </c>
      <c r="D306" s="3" t="s">
        <v>248</v>
      </c>
      <c r="F306" s="3" t="s">
        <v>4178</v>
      </c>
      <c r="G306" s="3" t="s">
        <v>39</v>
      </c>
      <c r="H306" s="3" t="s">
        <v>250</v>
      </c>
      <c r="I306" s="2">
        <v>107</v>
      </c>
      <c r="J306" s="2">
        <v>54</v>
      </c>
      <c r="K306" s="2">
        <v>4</v>
      </c>
      <c r="O306" s="2">
        <v>14</v>
      </c>
      <c r="U306" s="2">
        <v>3</v>
      </c>
      <c r="V306" s="2">
        <v>47</v>
      </c>
      <c r="W306" s="2">
        <v>2</v>
      </c>
      <c r="X306" s="2">
        <v>27</v>
      </c>
      <c r="Z306" s="2">
        <v>55</v>
      </c>
      <c r="AA306" s="3" t="s">
        <v>57</v>
      </c>
      <c r="AB306" s="2">
        <v>3</v>
      </c>
      <c r="AF306" s="2">
        <v>35</v>
      </c>
      <c r="AG306" s="2">
        <v>1</v>
      </c>
      <c r="AH306" s="3" t="s">
        <v>251</v>
      </c>
      <c r="AI306" s="4">
        <v>44725</v>
      </c>
      <c r="AJ306" s="3" t="s">
        <v>360</v>
      </c>
      <c r="AK306" s="3" t="s">
        <v>248</v>
      </c>
    </row>
    <row r="307" spans="1:37" hidden="1" x14ac:dyDescent="0.25">
      <c r="A307" t="str">
        <f t="shared" si="4"/>
        <v>2022_Qld_Gatton_Chickpea_DetailedTOS1VarietyHatTrickWaterTrtIrrigated</v>
      </c>
      <c r="B307" s="2">
        <v>2022001</v>
      </c>
      <c r="C307" s="3" t="s">
        <v>247</v>
      </c>
      <c r="D307" s="3" t="s">
        <v>248</v>
      </c>
      <c r="F307" s="3" t="s">
        <v>4178</v>
      </c>
      <c r="G307" s="3" t="s">
        <v>39</v>
      </c>
      <c r="H307" s="3" t="s">
        <v>253</v>
      </c>
      <c r="I307" s="2">
        <v>108</v>
      </c>
      <c r="J307" s="2">
        <v>54</v>
      </c>
      <c r="K307" s="2">
        <v>4</v>
      </c>
      <c r="O307" s="2">
        <v>14</v>
      </c>
      <c r="U307" s="2">
        <v>3</v>
      </c>
      <c r="V307" s="2">
        <v>48</v>
      </c>
      <c r="W307" s="2">
        <v>2</v>
      </c>
      <c r="X307" s="2">
        <v>28</v>
      </c>
      <c r="AA307" s="3" t="s">
        <v>57</v>
      </c>
      <c r="AB307" s="2">
        <v>3</v>
      </c>
      <c r="AF307" s="2">
        <v>35</v>
      </c>
      <c r="AG307" s="2">
        <v>1</v>
      </c>
      <c r="AH307" s="3" t="s">
        <v>251</v>
      </c>
      <c r="AI307" s="4">
        <v>44725</v>
      </c>
      <c r="AJ307" s="3" t="s">
        <v>361</v>
      </c>
      <c r="AK307" s="3" t="s">
        <v>248</v>
      </c>
    </row>
    <row r="308" spans="1:37" hidden="1" x14ac:dyDescent="0.25">
      <c r="A308" t="str">
        <f t="shared" si="4"/>
        <v>2022_Qld_Gatton_Chickpea_DetailedTOS1VarietyCBA_CaptainWaterTrtIrrigated</v>
      </c>
      <c r="B308" s="2">
        <v>2022001</v>
      </c>
      <c r="C308" s="3" t="s">
        <v>247</v>
      </c>
      <c r="D308" s="3" t="s">
        <v>248</v>
      </c>
      <c r="F308" s="3" t="s">
        <v>249</v>
      </c>
      <c r="G308" s="3" t="s">
        <v>43</v>
      </c>
      <c r="H308" s="3" t="s">
        <v>250</v>
      </c>
      <c r="I308" s="2">
        <v>109</v>
      </c>
      <c r="J308" s="2">
        <v>55</v>
      </c>
      <c r="K308" s="2">
        <v>4</v>
      </c>
      <c r="O308" s="2">
        <v>14</v>
      </c>
      <c r="U308" s="2">
        <v>5</v>
      </c>
      <c r="V308" s="2">
        <v>47</v>
      </c>
      <c r="W308" s="2">
        <v>3</v>
      </c>
      <c r="X308" s="2">
        <v>27</v>
      </c>
      <c r="Z308" s="2">
        <v>54</v>
      </c>
      <c r="AA308" s="3" t="s">
        <v>57</v>
      </c>
      <c r="AB308" s="2">
        <v>1</v>
      </c>
      <c r="AF308" s="2">
        <v>35</v>
      </c>
      <c r="AG308" s="2">
        <v>1</v>
      </c>
      <c r="AH308" s="3" t="s">
        <v>251</v>
      </c>
      <c r="AI308" s="4">
        <v>44725</v>
      </c>
      <c r="AJ308" s="3" t="s">
        <v>362</v>
      </c>
      <c r="AK308" s="3" t="s">
        <v>248</v>
      </c>
    </row>
    <row r="309" spans="1:37" hidden="1" x14ac:dyDescent="0.25">
      <c r="A309" t="str">
        <f t="shared" si="4"/>
        <v>2022_Qld_Gatton_Chickpea_DetailedTOS1VarietyCBA_CaptainWaterTrtIrrigated</v>
      </c>
      <c r="B309" s="2">
        <v>2022001</v>
      </c>
      <c r="C309" s="3" t="s">
        <v>247</v>
      </c>
      <c r="D309" s="3" t="s">
        <v>248</v>
      </c>
      <c r="F309" s="3" t="s">
        <v>249</v>
      </c>
      <c r="G309" s="3" t="s">
        <v>43</v>
      </c>
      <c r="H309" s="3" t="s">
        <v>253</v>
      </c>
      <c r="I309" s="2">
        <v>110</v>
      </c>
      <c r="J309" s="2">
        <v>55</v>
      </c>
      <c r="K309" s="2">
        <v>4</v>
      </c>
      <c r="O309" s="2">
        <v>14</v>
      </c>
      <c r="U309" s="2">
        <v>5</v>
      </c>
      <c r="V309" s="2">
        <v>48</v>
      </c>
      <c r="W309" s="2">
        <v>3</v>
      </c>
      <c r="X309" s="2">
        <v>28</v>
      </c>
      <c r="AA309" s="3" t="s">
        <v>57</v>
      </c>
      <c r="AB309" s="2">
        <v>1</v>
      </c>
      <c r="AF309" s="2">
        <v>35</v>
      </c>
      <c r="AG309" s="2">
        <v>1</v>
      </c>
      <c r="AH309" s="3" t="s">
        <v>251</v>
      </c>
      <c r="AI309" s="4">
        <v>44725</v>
      </c>
      <c r="AJ309" s="3" t="s">
        <v>363</v>
      </c>
      <c r="AK309" s="3" t="s">
        <v>248</v>
      </c>
    </row>
    <row r="310" spans="1:37" hidden="1" x14ac:dyDescent="0.25">
      <c r="A310" t="str">
        <f t="shared" si="4"/>
        <v>2022_Qld_Gatton_Chickpea_DetailedTOS1VarietyDrummondWaterTrtIrrigated</v>
      </c>
      <c r="B310" s="2">
        <v>2022001</v>
      </c>
      <c r="C310" s="3" t="s">
        <v>247</v>
      </c>
      <c r="D310" s="3" t="s">
        <v>248</v>
      </c>
      <c r="F310" s="3" t="s">
        <v>4182</v>
      </c>
      <c r="G310" s="3" t="s">
        <v>39</v>
      </c>
      <c r="H310" s="3" t="s">
        <v>250</v>
      </c>
      <c r="I310" s="2">
        <v>111</v>
      </c>
      <c r="J310" s="2">
        <v>56</v>
      </c>
      <c r="K310" s="2">
        <v>4</v>
      </c>
      <c r="O310" s="2">
        <v>14</v>
      </c>
      <c r="U310" s="2">
        <v>6</v>
      </c>
      <c r="V310" s="2">
        <v>47</v>
      </c>
      <c r="W310" s="2">
        <v>4</v>
      </c>
      <c r="X310" s="2">
        <v>27</v>
      </c>
      <c r="Z310" s="2">
        <v>53</v>
      </c>
      <c r="AA310" s="3" t="s">
        <v>57</v>
      </c>
      <c r="AB310" s="2">
        <v>2</v>
      </c>
      <c r="AF310" s="2">
        <v>35</v>
      </c>
      <c r="AG310" s="2">
        <v>1</v>
      </c>
      <c r="AH310" s="3" t="s">
        <v>251</v>
      </c>
      <c r="AI310" s="4">
        <v>44725</v>
      </c>
      <c r="AJ310" s="3" t="s">
        <v>364</v>
      </c>
      <c r="AK310" s="3" t="s">
        <v>248</v>
      </c>
    </row>
    <row r="311" spans="1:37" hidden="1" x14ac:dyDescent="0.25">
      <c r="A311" t="str">
        <f t="shared" si="4"/>
        <v>2022_Qld_Gatton_Chickpea_DetailedTOS1VarietyDrummondWaterTrtIrrigated</v>
      </c>
      <c r="B311" s="2">
        <v>2022001</v>
      </c>
      <c r="C311" s="3" t="s">
        <v>247</v>
      </c>
      <c r="D311" s="3" t="s">
        <v>248</v>
      </c>
      <c r="F311" s="3" t="s">
        <v>4182</v>
      </c>
      <c r="G311" s="3" t="s">
        <v>39</v>
      </c>
      <c r="H311" s="3" t="s">
        <v>253</v>
      </c>
      <c r="I311" s="2">
        <v>112</v>
      </c>
      <c r="J311" s="2">
        <v>56</v>
      </c>
      <c r="K311" s="2">
        <v>4</v>
      </c>
      <c r="O311" s="2">
        <v>14</v>
      </c>
      <c r="U311" s="2">
        <v>6</v>
      </c>
      <c r="V311" s="2">
        <v>48</v>
      </c>
      <c r="W311" s="2">
        <v>4</v>
      </c>
      <c r="X311" s="2">
        <v>28</v>
      </c>
      <c r="AA311" s="3" t="s">
        <v>57</v>
      </c>
      <c r="AB311" s="2">
        <v>2</v>
      </c>
      <c r="AF311" s="2">
        <v>35</v>
      </c>
      <c r="AG311" s="2">
        <v>1</v>
      </c>
      <c r="AH311" s="3" t="s">
        <v>251</v>
      </c>
      <c r="AI311" s="4">
        <v>44725</v>
      </c>
      <c r="AJ311" s="3" t="s">
        <v>365</v>
      </c>
      <c r="AK311" s="3" t="s">
        <v>248</v>
      </c>
    </row>
    <row r="312" spans="1:37" hidden="1" x14ac:dyDescent="0.25">
      <c r="A312" t="str">
        <f t="shared" si="4"/>
        <v>2022_Qld_Gatton_Chickpea_DetailedTOS1VarietyDrummondWaterTrtRainFed</v>
      </c>
      <c r="B312" s="2">
        <v>2022001</v>
      </c>
      <c r="C312" s="3" t="s">
        <v>247</v>
      </c>
      <c r="D312" s="3" t="s">
        <v>248</v>
      </c>
      <c r="F312" s="3" t="s">
        <v>4182</v>
      </c>
      <c r="G312" s="3" t="s">
        <v>39</v>
      </c>
      <c r="H312" s="3" t="s">
        <v>250</v>
      </c>
      <c r="I312" s="2">
        <v>113</v>
      </c>
      <c r="J312" s="2">
        <v>57</v>
      </c>
      <c r="K312" s="2">
        <v>4</v>
      </c>
      <c r="O312" s="2">
        <v>15</v>
      </c>
      <c r="U312" s="2">
        <v>2</v>
      </c>
      <c r="V312" s="2">
        <v>50</v>
      </c>
      <c r="W312" s="2">
        <v>1</v>
      </c>
      <c r="X312" s="2">
        <v>29</v>
      </c>
      <c r="Z312" s="2">
        <v>57</v>
      </c>
      <c r="AA312" s="3" t="s">
        <v>40</v>
      </c>
      <c r="AB312" s="2">
        <v>2</v>
      </c>
      <c r="AF312" s="2">
        <v>35</v>
      </c>
      <c r="AG312" s="2">
        <v>1</v>
      </c>
      <c r="AH312" s="3" t="s">
        <v>251</v>
      </c>
      <c r="AI312" s="4">
        <v>44725</v>
      </c>
      <c r="AJ312" s="3" t="s">
        <v>366</v>
      </c>
      <c r="AK312" s="3" t="s">
        <v>248</v>
      </c>
    </row>
    <row r="313" spans="1:37" hidden="1" x14ac:dyDescent="0.25">
      <c r="A313" t="str">
        <f t="shared" si="4"/>
        <v>2022_Qld_Gatton_Chickpea_DetailedTOS1VarietyDrummondWaterTrtRainFed</v>
      </c>
      <c r="B313" s="2">
        <v>2022001</v>
      </c>
      <c r="C313" s="3" t="s">
        <v>247</v>
      </c>
      <c r="D313" s="3" t="s">
        <v>248</v>
      </c>
      <c r="F313" s="3" t="s">
        <v>4182</v>
      </c>
      <c r="G313" s="3" t="s">
        <v>39</v>
      </c>
      <c r="H313" s="3" t="s">
        <v>253</v>
      </c>
      <c r="I313" s="2">
        <v>114</v>
      </c>
      <c r="J313" s="2">
        <v>57</v>
      </c>
      <c r="K313" s="2">
        <v>4</v>
      </c>
      <c r="O313" s="2">
        <v>15</v>
      </c>
      <c r="U313" s="2">
        <v>2</v>
      </c>
      <c r="V313" s="2">
        <v>51</v>
      </c>
      <c r="W313" s="2">
        <v>1</v>
      </c>
      <c r="X313" s="2">
        <v>30</v>
      </c>
      <c r="AA313" s="3" t="s">
        <v>40</v>
      </c>
      <c r="AB313" s="2">
        <v>2</v>
      </c>
      <c r="AF313" s="2">
        <v>35</v>
      </c>
      <c r="AG313" s="2">
        <v>1</v>
      </c>
      <c r="AH313" s="3" t="s">
        <v>251</v>
      </c>
      <c r="AI313" s="4">
        <v>44725</v>
      </c>
      <c r="AJ313" s="3" t="s">
        <v>367</v>
      </c>
      <c r="AK313" s="3" t="s">
        <v>248</v>
      </c>
    </row>
    <row r="314" spans="1:37" hidden="1" x14ac:dyDescent="0.25">
      <c r="A314" t="str">
        <f t="shared" si="4"/>
        <v>2022_Qld_Gatton_Chickpea_DetailedTOS1VarietyCBA_CaptainWaterTrtRainFed</v>
      </c>
      <c r="B314" s="2">
        <v>2022001</v>
      </c>
      <c r="C314" s="3" t="s">
        <v>247</v>
      </c>
      <c r="D314" s="3" t="s">
        <v>248</v>
      </c>
      <c r="F314" s="3" t="s">
        <v>249</v>
      </c>
      <c r="G314" s="3" t="s">
        <v>43</v>
      </c>
      <c r="H314" s="3" t="s">
        <v>250</v>
      </c>
      <c r="I314" s="2">
        <v>115</v>
      </c>
      <c r="J314" s="2">
        <v>58</v>
      </c>
      <c r="K314" s="2">
        <v>4</v>
      </c>
      <c r="O314" s="2">
        <v>15</v>
      </c>
      <c r="U314" s="2">
        <v>3</v>
      </c>
      <c r="V314" s="2">
        <v>50</v>
      </c>
      <c r="W314" s="2">
        <v>2</v>
      </c>
      <c r="X314" s="2">
        <v>29</v>
      </c>
      <c r="Z314" s="2">
        <v>58</v>
      </c>
      <c r="AA314" s="3" t="s">
        <v>40</v>
      </c>
      <c r="AB314" s="2">
        <v>1</v>
      </c>
      <c r="AF314" s="2">
        <v>35</v>
      </c>
      <c r="AG314" s="2">
        <v>1</v>
      </c>
      <c r="AH314" s="3" t="s">
        <v>251</v>
      </c>
      <c r="AI314" s="4">
        <v>44725</v>
      </c>
      <c r="AJ314" s="3" t="s">
        <v>368</v>
      </c>
      <c r="AK314" s="3" t="s">
        <v>248</v>
      </c>
    </row>
    <row r="315" spans="1:37" hidden="1" x14ac:dyDescent="0.25">
      <c r="A315" t="str">
        <f t="shared" si="4"/>
        <v>2022_Qld_Gatton_Chickpea_DetailedTOS1VarietyCBA_CaptainWaterTrtRainFed</v>
      </c>
      <c r="B315" s="2">
        <v>2022001</v>
      </c>
      <c r="C315" s="3" t="s">
        <v>247</v>
      </c>
      <c r="D315" s="3" t="s">
        <v>248</v>
      </c>
      <c r="F315" s="3" t="s">
        <v>249</v>
      </c>
      <c r="G315" s="3" t="s">
        <v>43</v>
      </c>
      <c r="H315" s="3" t="s">
        <v>253</v>
      </c>
      <c r="I315" s="2">
        <v>116</v>
      </c>
      <c r="J315" s="2">
        <v>58</v>
      </c>
      <c r="K315" s="2">
        <v>4</v>
      </c>
      <c r="O315" s="2">
        <v>15</v>
      </c>
      <c r="U315" s="2">
        <v>3</v>
      </c>
      <c r="V315" s="2">
        <v>51</v>
      </c>
      <c r="W315" s="2">
        <v>2</v>
      </c>
      <c r="X315" s="2">
        <v>30</v>
      </c>
      <c r="AA315" s="3" t="s">
        <v>40</v>
      </c>
      <c r="AB315" s="2">
        <v>1</v>
      </c>
      <c r="AF315" s="2">
        <v>35</v>
      </c>
      <c r="AG315" s="2">
        <v>1</v>
      </c>
      <c r="AH315" s="3" t="s">
        <v>251</v>
      </c>
      <c r="AI315" s="4">
        <v>44725</v>
      </c>
      <c r="AJ315" s="3" t="s">
        <v>369</v>
      </c>
      <c r="AK315" s="3" t="s">
        <v>248</v>
      </c>
    </row>
    <row r="316" spans="1:37" hidden="1" x14ac:dyDescent="0.25">
      <c r="A316" t="str">
        <f t="shared" si="4"/>
        <v>2022_Qld_Gatton_Chickpea_DetailedTOS1VarietyStrikerWaterTrtRainFed</v>
      </c>
      <c r="B316" s="2">
        <v>2022001</v>
      </c>
      <c r="C316" s="3" t="s">
        <v>247</v>
      </c>
      <c r="D316" s="3" t="s">
        <v>248</v>
      </c>
      <c r="F316" s="3" t="s">
        <v>4179</v>
      </c>
      <c r="G316" s="3" t="s">
        <v>43</v>
      </c>
      <c r="H316" s="3" t="s">
        <v>250</v>
      </c>
      <c r="I316" s="2">
        <v>117</v>
      </c>
      <c r="J316" s="2">
        <v>59</v>
      </c>
      <c r="K316" s="2">
        <v>4</v>
      </c>
      <c r="O316" s="2">
        <v>15</v>
      </c>
      <c r="U316" s="2">
        <v>5</v>
      </c>
      <c r="V316" s="2">
        <v>50</v>
      </c>
      <c r="W316" s="2">
        <v>3</v>
      </c>
      <c r="X316" s="2">
        <v>29</v>
      </c>
      <c r="Z316" s="2">
        <v>59</v>
      </c>
      <c r="AA316" s="3" t="s">
        <v>40</v>
      </c>
      <c r="AB316" s="2">
        <v>4</v>
      </c>
      <c r="AF316" s="2">
        <v>35</v>
      </c>
      <c r="AG316" s="2">
        <v>1</v>
      </c>
      <c r="AH316" s="3" t="s">
        <v>251</v>
      </c>
      <c r="AI316" s="4">
        <v>44725</v>
      </c>
      <c r="AJ316" s="3" t="s">
        <v>370</v>
      </c>
      <c r="AK316" s="3" t="s">
        <v>248</v>
      </c>
    </row>
    <row r="317" spans="1:37" hidden="1" x14ac:dyDescent="0.25">
      <c r="A317" t="str">
        <f t="shared" si="4"/>
        <v>2022_Qld_Gatton_Chickpea_DetailedTOS1VarietyStrikerWaterTrtRainFed</v>
      </c>
      <c r="B317" s="2">
        <v>2022001</v>
      </c>
      <c r="C317" s="3" t="s">
        <v>247</v>
      </c>
      <c r="D317" s="3" t="s">
        <v>248</v>
      </c>
      <c r="F317" s="3" t="s">
        <v>4179</v>
      </c>
      <c r="G317" s="3" t="s">
        <v>43</v>
      </c>
      <c r="H317" s="3" t="s">
        <v>253</v>
      </c>
      <c r="I317" s="2">
        <v>118</v>
      </c>
      <c r="J317" s="2">
        <v>59</v>
      </c>
      <c r="K317" s="2">
        <v>4</v>
      </c>
      <c r="O317" s="2">
        <v>15</v>
      </c>
      <c r="U317" s="2">
        <v>5</v>
      </c>
      <c r="V317" s="2">
        <v>51</v>
      </c>
      <c r="W317" s="2">
        <v>3</v>
      </c>
      <c r="X317" s="2">
        <v>30</v>
      </c>
      <c r="AA317" s="3" t="s">
        <v>40</v>
      </c>
      <c r="AB317" s="2">
        <v>4</v>
      </c>
      <c r="AF317" s="2">
        <v>35</v>
      </c>
      <c r="AG317" s="2">
        <v>1</v>
      </c>
      <c r="AH317" s="3" t="s">
        <v>251</v>
      </c>
      <c r="AI317" s="4">
        <v>44725</v>
      </c>
      <c r="AJ317" s="3" t="s">
        <v>371</v>
      </c>
      <c r="AK317" s="3" t="s">
        <v>248</v>
      </c>
    </row>
    <row r="318" spans="1:37" hidden="1" x14ac:dyDescent="0.25">
      <c r="A318" t="str">
        <f t="shared" si="4"/>
        <v>2022_Qld_Gatton_Chickpea_DetailedTOS1VarietyHatTrickWaterTrtRainFed</v>
      </c>
      <c r="B318" s="2">
        <v>2022001</v>
      </c>
      <c r="C318" s="3" t="s">
        <v>247</v>
      </c>
      <c r="D318" s="3" t="s">
        <v>248</v>
      </c>
      <c r="F318" s="3" t="s">
        <v>4178</v>
      </c>
      <c r="G318" s="3" t="s">
        <v>39</v>
      </c>
      <c r="H318" s="3" t="s">
        <v>250</v>
      </c>
      <c r="I318" s="2">
        <v>119</v>
      </c>
      <c r="J318" s="2">
        <v>60</v>
      </c>
      <c r="K318" s="2">
        <v>4</v>
      </c>
      <c r="O318" s="2">
        <v>15</v>
      </c>
      <c r="U318" s="2">
        <v>6</v>
      </c>
      <c r="V318" s="2">
        <v>50</v>
      </c>
      <c r="W318" s="2">
        <v>4</v>
      </c>
      <c r="X318" s="2">
        <v>29</v>
      </c>
      <c r="Z318" s="2">
        <v>60</v>
      </c>
      <c r="AA318" s="3" t="s">
        <v>40</v>
      </c>
      <c r="AB318" s="2">
        <v>3</v>
      </c>
      <c r="AF318" s="2">
        <v>35</v>
      </c>
      <c r="AG318" s="2">
        <v>1</v>
      </c>
      <c r="AH318" s="3" t="s">
        <v>251</v>
      </c>
      <c r="AI318" s="4">
        <v>44725</v>
      </c>
      <c r="AJ318" s="3" t="s">
        <v>372</v>
      </c>
      <c r="AK318" s="3" t="s">
        <v>248</v>
      </c>
    </row>
    <row r="319" spans="1:37" hidden="1" x14ac:dyDescent="0.25">
      <c r="A319" t="str">
        <f t="shared" si="4"/>
        <v>2022_Qld_Gatton_Chickpea_DetailedTOS1VarietyHatTrickWaterTrtRainFed</v>
      </c>
      <c r="B319" s="2">
        <v>2022001</v>
      </c>
      <c r="C319" s="3" t="s">
        <v>247</v>
      </c>
      <c r="D319" s="3" t="s">
        <v>248</v>
      </c>
      <c r="F319" s="3" t="s">
        <v>4178</v>
      </c>
      <c r="G319" s="3" t="s">
        <v>39</v>
      </c>
      <c r="H319" s="3" t="s">
        <v>253</v>
      </c>
      <c r="I319" s="2">
        <v>120</v>
      </c>
      <c r="J319" s="2">
        <v>60</v>
      </c>
      <c r="K319" s="2">
        <v>4</v>
      </c>
      <c r="O319" s="2">
        <v>15</v>
      </c>
      <c r="U319" s="2">
        <v>6</v>
      </c>
      <c r="V319" s="2">
        <v>51</v>
      </c>
      <c r="W319" s="2">
        <v>4</v>
      </c>
      <c r="X319" s="2">
        <v>30</v>
      </c>
      <c r="AA319" s="3" t="s">
        <v>40</v>
      </c>
      <c r="AB319" s="2">
        <v>3</v>
      </c>
      <c r="AF319" s="2">
        <v>35</v>
      </c>
      <c r="AG319" s="2">
        <v>1</v>
      </c>
      <c r="AH319" s="3" t="s">
        <v>251</v>
      </c>
      <c r="AI319" s="4">
        <v>44725</v>
      </c>
      <c r="AJ319" s="3" t="s">
        <v>373</v>
      </c>
      <c r="AK319" s="3" t="s">
        <v>248</v>
      </c>
    </row>
    <row r="320" spans="1:37" hidden="1" x14ac:dyDescent="0.25">
      <c r="A320" t="str">
        <f t="shared" si="4"/>
        <v>2022_Qld_Gatton_Chickpea_DetailedTOS2VarietyCBA_CaptainWaterTrtIrrigated</v>
      </c>
      <c r="B320" s="2">
        <v>2022001</v>
      </c>
      <c r="C320" s="3" t="s">
        <v>247</v>
      </c>
      <c r="D320" s="3" t="s">
        <v>248</v>
      </c>
      <c r="F320" s="3" t="s">
        <v>249</v>
      </c>
      <c r="G320" s="3" t="s">
        <v>43</v>
      </c>
      <c r="H320" s="3" t="s">
        <v>250</v>
      </c>
      <c r="I320" s="2">
        <v>121</v>
      </c>
      <c r="J320" s="2">
        <v>61</v>
      </c>
      <c r="K320" s="2">
        <v>4</v>
      </c>
      <c r="O320" s="2">
        <v>16</v>
      </c>
      <c r="U320" s="2">
        <v>2</v>
      </c>
      <c r="V320" s="2">
        <v>54</v>
      </c>
      <c r="W320" s="2">
        <v>1</v>
      </c>
      <c r="X320" s="2">
        <v>31</v>
      </c>
      <c r="Z320" s="2">
        <v>64</v>
      </c>
      <c r="AA320" s="3" t="s">
        <v>57</v>
      </c>
      <c r="AB320" s="2">
        <v>1</v>
      </c>
      <c r="AF320" s="2">
        <v>35</v>
      </c>
      <c r="AG320" s="2">
        <v>2</v>
      </c>
      <c r="AH320" s="3" t="s">
        <v>261</v>
      </c>
      <c r="AI320" s="4">
        <v>44760</v>
      </c>
      <c r="AJ320" s="3" t="s">
        <v>374</v>
      </c>
      <c r="AK320" s="3" t="s">
        <v>248</v>
      </c>
    </row>
    <row r="321" spans="1:37" hidden="1" x14ac:dyDescent="0.25">
      <c r="A321" t="str">
        <f t="shared" si="4"/>
        <v>2022_Qld_Gatton_Chickpea_DetailedTOS2VarietyCBA_CaptainWaterTrtIrrigated</v>
      </c>
      <c r="B321" s="2">
        <v>2022001</v>
      </c>
      <c r="C321" s="3" t="s">
        <v>247</v>
      </c>
      <c r="D321" s="3" t="s">
        <v>248</v>
      </c>
      <c r="F321" s="3" t="s">
        <v>249</v>
      </c>
      <c r="G321" s="3" t="s">
        <v>43</v>
      </c>
      <c r="H321" s="3" t="s">
        <v>253</v>
      </c>
      <c r="I321" s="2">
        <v>122</v>
      </c>
      <c r="J321" s="2">
        <v>61</v>
      </c>
      <c r="K321" s="2">
        <v>4</v>
      </c>
      <c r="O321" s="2">
        <v>16</v>
      </c>
      <c r="U321" s="2">
        <v>2</v>
      </c>
      <c r="V321" s="2">
        <v>55</v>
      </c>
      <c r="W321" s="2">
        <v>1</v>
      </c>
      <c r="X321" s="2">
        <v>32</v>
      </c>
      <c r="AA321" s="3" t="s">
        <v>57</v>
      </c>
      <c r="AB321" s="2">
        <v>1</v>
      </c>
      <c r="AF321" s="2">
        <v>35</v>
      </c>
      <c r="AG321" s="2">
        <v>2</v>
      </c>
      <c r="AH321" s="3" t="s">
        <v>261</v>
      </c>
      <c r="AI321" s="4">
        <v>44760</v>
      </c>
      <c r="AJ321" s="3" t="s">
        <v>375</v>
      </c>
      <c r="AK321" s="3" t="s">
        <v>248</v>
      </c>
    </row>
    <row r="322" spans="1:37" hidden="1" x14ac:dyDescent="0.25">
      <c r="A322" t="str">
        <f t="shared" si="4"/>
        <v>2022_Qld_Gatton_Chickpea_DetailedTOS2VarietyDrummondWaterTrtIrrigated</v>
      </c>
      <c r="B322" s="2">
        <v>2022001</v>
      </c>
      <c r="C322" s="3" t="s">
        <v>247</v>
      </c>
      <c r="D322" s="3" t="s">
        <v>248</v>
      </c>
      <c r="F322" s="3" t="s">
        <v>4182</v>
      </c>
      <c r="G322" s="3" t="s">
        <v>39</v>
      </c>
      <c r="H322" s="3" t="s">
        <v>250</v>
      </c>
      <c r="I322" s="2">
        <v>123</v>
      </c>
      <c r="J322" s="2">
        <v>62</v>
      </c>
      <c r="K322" s="2">
        <v>4</v>
      </c>
      <c r="O322" s="2">
        <v>16</v>
      </c>
      <c r="U322" s="2">
        <v>3</v>
      </c>
      <c r="V322" s="2">
        <v>54</v>
      </c>
      <c r="W322" s="2">
        <v>2</v>
      </c>
      <c r="X322" s="2">
        <v>31</v>
      </c>
      <c r="Z322" s="2">
        <v>63</v>
      </c>
      <c r="AA322" s="3" t="s">
        <v>57</v>
      </c>
      <c r="AB322" s="2">
        <v>2</v>
      </c>
      <c r="AF322" s="2">
        <v>35</v>
      </c>
      <c r="AG322" s="2">
        <v>2</v>
      </c>
      <c r="AH322" s="3" t="s">
        <v>261</v>
      </c>
      <c r="AI322" s="4">
        <v>44760</v>
      </c>
      <c r="AJ322" s="3" t="s">
        <v>376</v>
      </c>
      <c r="AK322" s="3" t="s">
        <v>248</v>
      </c>
    </row>
    <row r="323" spans="1:37" hidden="1" x14ac:dyDescent="0.25">
      <c r="A323" t="str">
        <f t="shared" ref="A323:A386" si="5">C323&amp;"TOS"&amp;AG323&amp;"Variety"&amp;F323&amp;"WaterTrt"&amp;AA323&amp;IF(AC323="","","Agronomy"&amp;AC323)</f>
        <v>2022_Qld_Gatton_Chickpea_DetailedTOS2VarietyDrummondWaterTrtIrrigated</v>
      </c>
      <c r="B323" s="2">
        <v>2022001</v>
      </c>
      <c r="C323" s="3" t="s">
        <v>247</v>
      </c>
      <c r="D323" s="3" t="s">
        <v>248</v>
      </c>
      <c r="F323" s="3" t="s">
        <v>4182</v>
      </c>
      <c r="G323" s="3" t="s">
        <v>39</v>
      </c>
      <c r="H323" s="3" t="s">
        <v>253</v>
      </c>
      <c r="I323" s="2">
        <v>124</v>
      </c>
      <c r="J323" s="2">
        <v>62</v>
      </c>
      <c r="K323" s="2">
        <v>4</v>
      </c>
      <c r="O323" s="2">
        <v>16</v>
      </c>
      <c r="U323" s="2">
        <v>3</v>
      </c>
      <c r="V323" s="2">
        <v>55</v>
      </c>
      <c r="W323" s="2">
        <v>2</v>
      </c>
      <c r="X323" s="2">
        <v>32</v>
      </c>
      <c r="AA323" s="3" t="s">
        <v>57</v>
      </c>
      <c r="AB323" s="2">
        <v>2</v>
      </c>
      <c r="AF323" s="2">
        <v>35</v>
      </c>
      <c r="AG323" s="2">
        <v>2</v>
      </c>
      <c r="AH323" s="3" t="s">
        <v>261</v>
      </c>
      <c r="AI323" s="4">
        <v>44760</v>
      </c>
      <c r="AJ323" s="3" t="s">
        <v>377</v>
      </c>
      <c r="AK323" s="3" t="s">
        <v>248</v>
      </c>
    </row>
    <row r="324" spans="1:37" hidden="1" x14ac:dyDescent="0.25">
      <c r="A324" t="str">
        <f t="shared" si="5"/>
        <v>2022_Qld_Gatton_Chickpea_DetailedTOS2VarietyHatTrickWaterTrtIrrigated</v>
      </c>
      <c r="B324" s="2">
        <v>2022001</v>
      </c>
      <c r="C324" s="3" t="s">
        <v>247</v>
      </c>
      <c r="D324" s="3" t="s">
        <v>248</v>
      </c>
      <c r="F324" s="3" t="s">
        <v>4178</v>
      </c>
      <c r="G324" s="3" t="s">
        <v>39</v>
      </c>
      <c r="H324" s="3" t="s">
        <v>250</v>
      </c>
      <c r="I324" s="2">
        <v>125</v>
      </c>
      <c r="J324" s="2">
        <v>63</v>
      </c>
      <c r="K324" s="2">
        <v>4</v>
      </c>
      <c r="O324" s="2">
        <v>16</v>
      </c>
      <c r="U324" s="2">
        <v>5</v>
      </c>
      <c r="V324" s="2">
        <v>54</v>
      </c>
      <c r="W324" s="2">
        <v>3</v>
      </c>
      <c r="X324" s="2">
        <v>31</v>
      </c>
      <c r="Z324" s="2">
        <v>62</v>
      </c>
      <c r="AA324" s="3" t="s">
        <v>57</v>
      </c>
      <c r="AB324" s="2">
        <v>3</v>
      </c>
      <c r="AF324" s="2">
        <v>35</v>
      </c>
      <c r="AG324" s="2">
        <v>2</v>
      </c>
      <c r="AH324" s="3" t="s">
        <v>261</v>
      </c>
      <c r="AI324" s="4">
        <v>44760</v>
      </c>
      <c r="AJ324" s="3" t="s">
        <v>378</v>
      </c>
      <c r="AK324" s="3" t="s">
        <v>248</v>
      </c>
    </row>
    <row r="325" spans="1:37" hidden="1" x14ac:dyDescent="0.25">
      <c r="A325" t="str">
        <f t="shared" si="5"/>
        <v>2022_Qld_Gatton_Chickpea_DetailedTOS2VarietyHatTrickWaterTrtIrrigated</v>
      </c>
      <c r="B325" s="2">
        <v>2022001</v>
      </c>
      <c r="C325" s="3" t="s">
        <v>247</v>
      </c>
      <c r="D325" s="3" t="s">
        <v>248</v>
      </c>
      <c r="F325" s="3" t="s">
        <v>4178</v>
      </c>
      <c r="G325" s="3" t="s">
        <v>39</v>
      </c>
      <c r="H325" s="3" t="s">
        <v>253</v>
      </c>
      <c r="I325" s="2">
        <v>126</v>
      </c>
      <c r="J325" s="2">
        <v>63</v>
      </c>
      <c r="K325" s="2">
        <v>4</v>
      </c>
      <c r="O325" s="2">
        <v>16</v>
      </c>
      <c r="U325" s="2">
        <v>5</v>
      </c>
      <c r="V325" s="2">
        <v>55</v>
      </c>
      <c r="W325" s="2">
        <v>3</v>
      </c>
      <c r="X325" s="2">
        <v>32</v>
      </c>
      <c r="AA325" s="3" t="s">
        <v>57</v>
      </c>
      <c r="AB325" s="2">
        <v>3</v>
      </c>
      <c r="AF325" s="2">
        <v>35</v>
      </c>
      <c r="AG325" s="2">
        <v>2</v>
      </c>
      <c r="AH325" s="3" t="s">
        <v>261</v>
      </c>
      <c r="AI325" s="4">
        <v>44760</v>
      </c>
      <c r="AJ325" s="3" t="s">
        <v>379</v>
      </c>
      <c r="AK325" s="3" t="s">
        <v>248</v>
      </c>
    </row>
    <row r="326" spans="1:37" hidden="1" x14ac:dyDescent="0.25">
      <c r="A326" t="str">
        <f t="shared" si="5"/>
        <v>2022_Qld_Gatton_Chickpea_DetailedTOS2VarietyStrikerWaterTrtIrrigated</v>
      </c>
      <c r="B326" s="2">
        <v>2022001</v>
      </c>
      <c r="C326" s="3" t="s">
        <v>247</v>
      </c>
      <c r="D326" s="3" t="s">
        <v>248</v>
      </c>
      <c r="F326" s="3" t="s">
        <v>4179</v>
      </c>
      <c r="G326" s="3" t="s">
        <v>43</v>
      </c>
      <c r="H326" s="3" t="s">
        <v>250</v>
      </c>
      <c r="I326" s="2">
        <v>127</v>
      </c>
      <c r="J326" s="2">
        <v>64</v>
      </c>
      <c r="K326" s="2">
        <v>4</v>
      </c>
      <c r="O326" s="2">
        <v>16</v>
      </c>
      <c r="U326" s="2">
        <v>6</v>
      </c>
      <c r="V326" s="2">
        <v>54</v>
      </c>
      <c r="W326" s="2">
        <v>4</v>
      </c>
      <c r="X326" s="2">
        <v>31</v>
      </c>
      <c r="Z326" s="2">
        <v>61</v>
      </c>
      <c r="AA326" s="3" t="s">
        <v>57</v>
      </c>
      <c r="AB326" s="2">
        <v>4</v>
      </c>
      <c r="AF326" s="2">
        <v>35</v>
      </c>
      <c r="AG326" s="2">
        <v>2</v>
      </c>
      <c r="AH326" s="3" t="s">
        <v>261</v>
      </c>
      <c r="AI326" s="4">
        <v>44760</v>
      </c>
      <c r="AJ326" s="3" t="s">
        <v>380</v>
      </c>
      <c r="AK326" s="3" t="s">
        <v>248</v>
      </c>
    </row>
    <row r="327" spans="1:37" hidden="1" x14ac:dyDescent="0.25">
      <c r="A327" t="str">
        <f t="shared" si="5"/>
        <v>2022_Qld_Gatton_Chickpea_DetailedTOS2VarietyStrikerWaterTrtIrrigated</v>
      </c>
      <c r="B327" s="2">
        <v>2022001</v>
      </c>
      <c r="C327" s="3" t="s">
        <v>247</v>
      </c>
      <c r="D327" s="3" t="s">
        <v>248</v>
      </c>
      <c r="F327" s="3" t="s">
        <v>4179</v>
      </c>
      <c r="G327" s="3" t="s">
        <v>43</v>
      </c>
      <c r="H327" s="3" t="s">
        <v>253</v>
      </c>
      <c r="I327" s="2">
        <v>128</v>
      </c>
      <c r="J327" s="2">
        <v>64</v>
      </c>
      <c r="K327" s="2">
        <v>4</v>
      </c>
      <c r="O327" s="2">
        <v>16</v>
      </c>
      <c r="U327" s="2">
        <v>6</v>
      </c>
      <c r="V327" s="2">
        <v>55</v>
      </c>
      <c r="W327" s="2">
        <v>4</v>
      </c>
      <c r="X327" s="2">
        <v>32</v>
      </c>
      <c r="AA327" s="3" t="s">
        <v>57</v>
      </c>
      <c r="AB327" s="2">
        <v>4</v>
      </c>
      <c r="AF327" s="2">
        <v>35</v>
      </c>
      <c r="AG327" s="2">
        <v>2</v>
      </c>
      <c r="AH327" s="3" t="s">
        <v>261</v>
      </c>
      <c r="AI327" s="4">
        <v>44760</v>
      </c>
      <c r="AJ327" s="3" t="s">
        <v>381</v>
      </c>
      <c r="AK327" s="3" t="s">
        <v>248</v>
      </c>
    </row>
    <row r="328" spans="1:37" hidden="1" x14ac:dyDescent="0.25">
      <c r="A328" t="str">
        <f t="shared" si="5"/>
        <v>2022_Vic_Kalkee_Chickpea_DetailedTOS2VarietyDrummondWaterTrtRainFed</v>
      </c>
      <c r="B328" s="2">
        <v>2022002</v>
      </c>
      <c r="C328" s="3" t="s">
        <v>382</v>
      </c>
      <c r="D328" s="3" t="s">
        <v>248</v>
      </c>
      <c r="F328" s="3" t="s">
        <v>4182</v>
      </c>
      <c r="G328" s="3" t="s">
        <v>39</v>
      </c>
      <c r="H328" s="3" t="s">
        <v>253</v>
      </c>
      <c r="I328" s="2">
        <v>1</v>
      </c>
      <c r="J328" s="2">
        <v>1</v>
      </c>
      <c r="K328" s="2">
        <v>1</v>
      </c>
      <c r="O328" s="2">
        <v>1</v>
      </c>
      <c r="P328" s="2">
        <v>1</v>
      </c>
      <c r="U328" s="2">
        <v>1</v>
      </c>
      <c r="V328" s="2">
        <v>2</v>
      </c>
      <c r="W328" s="2">
        <v>1</v>
      </c>
      <c r="X328" s="2">
        <v>1</v>
      </c>
      <c r="AA328" s="3" t="s">
        <v>40</v>
      </c>
      <c r="AB328" s="2">
        <v>2</v>
      </c>
      <c r="AF328" s="2">
        <v>30.5</v>
      </c>
      <c r="AG328" s="2">
        <v>2</v>
      </c>
      <c r="AH328" s="3" t="s">
        <v>383</v>
      </c>
      <c r="AI328" s="4">
        <v>44740</v>
      </c>
      <c r="AJ328" s="3" t="s">
        <v>384</v>
      </c>
      <c r="AK328" s="3" t="s">
        <v>248</v>
      </c>
    </row>
    <row r="329" spans="1:37" hidden="1" x14ac:dyDescent="0.25">
      <c r="A329" t="str">
        <f t="shared" si="5"/>
        <v>2022_Vic_Kalkee_Chickpea_DetailedTOS2VarietyDrummondWaterTrtRainFed</v>
      </c>
      <c r="B329" s="2">
        <v>2022002</v>
      </c>
      <c r="C329" s="3" t="s">
        <v>382</v>
      </c>
      <c r="D329" s="3" t="s">
        <v>248</v>
      </c>
      <c r="F329" s="3" t="s">
        <v>4182</v>
      </c>
      <c r="G329" s="3" t="s">
        <v>39</v>
      </c>
      <c r="H329" s="3" t="s">
        <v>250</v>
      </c>
      <c r="I329" s="2">
        <v>2</v>
      </c>
      <c r="J329" s="2">
        <v>1</v>
      </c>
      <c r="K329" s="2">
        <v>1</v>
      </c>
      <c r="O329" s="2">
        <v>1</v>
      </c>
      <c r="P329" s="2">
        <v>1</v>
      </c>
      <c r="U329" s="2">
        <v>1</v>
      </c>
      <c r="V329" s="2">
        <v>3</v>
      </c>
      <c r="W329" s="2">
        <v>1</v>
      </c>
      <c r="X329" s="2">
        <v>2</v>
      </c>
      <c r="Z329" s="2">
        <v>1</v>
      </c>
      <c r="AA329" s="3" t="s">
        <v>40</v>
      </c>
      <c r="AB329" s="2">
        <v>2</v>
      </c>
      <c r="AF329" s="2">
        <v>30.5</v>
      </c>
      <c r="AG329" s="2">
        <v>2</v>
      </c>
      <c r="AH329" s="3" t="s">
        <v>383</v>
      </c>
      <c r="AI329" s="4">
        <v>44740</v>
      </c>
      <c r="AJ329" s="3" t="s">
        <v>385</v>
      </c>
      <c r="AK329" s="3" t="s">
        <v>248</v>
      </c>
    </row>
    <row r="330" spans="1:37" hidden="1" x14ac:dyDescent="0.25">
      <c r="A330" t="str">
        <f t="shared" si="5"/>
        <v>2022_Vic_Kalkee_Chickpea_DetailedTOS2VarietyHatTrickWaterTrtRainFed</v>
      </c>
      <c r="B330" s="2">
        <v>2022002</v>
      </c>
      <c r="C330" s="3" t="s">
        <v>382</v>
      </c>
      <c r="D330" s="3" t="s">
        <v>248</v>
      </c>
      <c r="F330" s="3" t="s">
        <v>4178</v>
      </c>
      <c r="G330" s="3" t="s">
        <v>39</v>
      </c>
      <c r="H330" s="3" t="s">
        <v>253</v>
      </c>
      <c r="I330" s="2">
        <v>3</v>
      </c>
      <c r="J330" s="2">
        <v>2</v>
      </c>
      <c r="K330" s="2">
        <v>1</v>
      </c>
      <c r="O330" s="2">
        <v>1</v>
      </c>
      <c r="P330" s="2">
        <v>1</v>
      </c>
      <c r="U330" s="2">
        <v>2</v>
      </c>
      <c r="V330" s="2">
        <v>2</v>
      </c>
      <c r="W330" s="2">
        <v>2</v>
      </c>
      <c r="X330" s="2">
        <v>1</v>
      </c>
      <c r="AA330" s="3" t="s">
        <v>40</v>
      </c>
      <c r="AB330" s="2">
        <v>3</v>
      </c>
      <c r="AF330" s="2">
        <v>30.5</v>
      </c>
      <c r="AG330" s="2">
        <v>2</v>
      </c>
      <c r="AH330" s="3" t="s">
        <v>383</v>
      </c>
      <c r="AI330" s="4">
        <v>44740</v>
      </c>
      <c r="AJ330" s="3" t="s">
        <v>386</v>
      </c>
      <c r="AK330" s="3" t="s">
        <v>248</v>
      </c>
    </row>
    <row r="331" spans="1:37" hidden="1" x14ac:dyDescent="0.25">
      <c r="A331" t="str">
        <f t="shared" si="5"/>
        <v>2022_Vic_Kalkee_Chickpea_DetailedTOS2VarietyHatTrickWaterTrtRainFed</v>
      </c>
      <c r="B331" s="2">
        <v>2022002</v>
      </c>
      <c r="C331" s="3" t="s">
        <v>382</v>
      </c>
      <c r="D331" s="3" t="s">
        <v>248</v>
      </c>
      <c r="F331" s="3" t="s">
        <v>4178</v>
      </c>
      <c r="G331" s="3" t="s">
        <v>39</v>
      </c>
      <c r="H331" s="3" t="s">
        <v>250</v>
      </c>
      <c r="I331" s="2">
        <v>4</v>
      </c>
      <c r="J331" s="2">
        <v>2</v>
      </c>
      <c r="K331" s="2">
        <v>1</v>
      </c>
      <c r="O331" s="2">
        <v>1</v>
      </c>
      <c r="P331" s="2">
        <v>1</v>
      </c>
      <c r="U331" s="2">
        <v>2</v>
      </c>
      <c r="V331" s="2">
        <v>3</v>
      </c>
      <c r="W331" s="2">
        <v>2</v>
      </c>
      <c r="X331" s="2">
        <v>2</v>
      </c>
      <c r="Z331" s="2">
        <v>2</v>
      </c>
      <c r="AA331" s="3" t="s">
        <v>40</v>
      </c>
      <c r="AB331" s="2">
        <v>3</v>
      </c>
      <c r="AF331" s="2">
        <v>30.5</v>
      </c>
      <c r="AG331" s="2">
        <v>2</v>
      </c>
      <c r="AH331" s="3" t="s">
        <v>383</v>
      </c>
      <c r="AI331" s="4">
        <v>44740</v>
      </c>
      <c r="AJ331" s="3" t="s">
        <v>387</v>
      </c>
      <c r="AK331" s="3" t="s">
        <v>248</v>
      </c>
    </row>
    <row r="332" spans="1:37" hidden="1" x14ac:dyDescent="0.25">
      <c r="A332" t="str">
        <f t="shared" si="5"/>
        <v>2022_Vic_Kalkee_Chickpea_DetailedTOS2VarietyCBA_CaptainWaterTrtRainFed</v>
      </c>
      <c r="B332" s="2">
        <v>2022002</v>
      </c>
      <c r="C332" s="3" t="s">
        <v>382</v>
      </c>
      <c r="D332" s="3" t="s">
        <v>248</v>
      </c>
      <c r="F332" s="3" t="s">
        <v>249</v>
      </c>
      <c r="G332" s="3" t="s">
        <v>43</v>
      </c>
      <c r="H332" s="3" t="s">
        <v>253</v>
      </c>
      <c r="I332" s="2">
        <v>5</v>
      </c>
      <c r="J332" s="2">
        <v>3</v>
      </c>
      <c r="K332" s="2">
        <v>1</v>
      </c>
      <c r="O332" s="2">
        <v>1</v>
      </c>
      <c r="P332" s="2">
        <v>1</v>
      </c>
      <c r="U332" s="2">
        <v>3</v>
      </c>
      <c r="V332" s="2">
        <v>2</v>
      </c>
      <c r="W332" s="2">
        <v>3</v>
      </c>
      <c r="X332" s="2">
        <v>1</v>
      </c>
      <c r="AA332" s="3" t="s">
        <v>40</v>
      </c>
      <c r="AB332" s="2">
        <v>1</v>
      </c>
      <c r="AF332" s="2">
        <v>30.5</v>
      </c>
      <c r="AG332" s="2">
        <v>2</v>
      </c>
      <c r="AH332" s="3" t="s">
        <v>383</v>
      </c>
      <c r="AI332" s="4">
        <v>44740</v>
      </c>
      <c r="AJ332" s="3" t="s">
        <v>388</v>
      </c>
      <c r="AK332" s="3" t="s">
        <v>248</v>
      </c>
    </row>
    <row r="333" spans="1:37" hidden="1" x14ac:dyDescent="0.25">
      <c r="A333" t="str">
        <f t="shared" si="5"/>
        <v>2022_Vic_Kalkee_Chickpea_DetailedTOS2VarietyCBA_CaptainWaterTrtRainFed</v>
      </c>
      <c r="B333" s="2">
        <v>2022002</v>
      </c>
      <c r="C333" s="3" t="s">
        <v>382</v>
      </c>
      <c r="D333" s="3" t="s">
        <v>248</v>
      </c>
      <c r="F333" s="3" t="s">
        <v>249</v>
      </c>
      <c r="G333" s="3" t="s">
        <v>43</v>
      </c>
      <c r="H333" s="3" t="s">
        <v>250</v>
      </c>
      <c r="I333" s="2">
        <v>6</v>
      </c>
      <c r="J333" s="2">
        <v>3</v>
      </c>
      <c r="K333" s="2">
        <v>1</v>
      </c>
      <c r="O333" s="2">
        <v>1</v>
      </c>
      <c r="P333" s="2">
        <v>1</v>
      </c>
      <c r="U333" s="2">
        <v>3</v>
      </c>
      <c r="V333" s="2">
        <v>3</v>
      </c>
      <c r="W333" s="2">
        <v>3</v>
      </c>
      <c r="X333" s="2">
        <v>2</v>
      </c>
      <c r="Z333" s="2">
        <v>3</v>
      </c>
      <c r="AA333" s="3" t="s">
        <v>40</v>
      </c>
      <c r="AB333" s="2">
        <v>1</v>
      </c>
      <c r="AF333" s="2">
        <v>30.5</v>
      </c>
      <c r="AG333" s="2">
        <v>2</v>
      </c>
      <c r="AH333" s="3" t="s">
        <v>383</v>
      </c>
      <c r="AI333" s="4">
        <v>44740</v>
      </c>
      <c r="AJ333" s="3" t="s">
        <v>389</v>
      </c>
      <c r="AK333" s="3" t="s">
        <v>248</v>
      </c>
    </row>
    <row r="334" spans="1:37" hidden="1" x14ac:dyDescent="0.25">
      <c r="A334" t="str">
        <f t="shared" si="5"/>
        <v>2022_Vic_Kalkee_Chickpea_DetailedTOS2VarietyStrikerWaterTrtRainFed</v>
      </c>
      <c r="B334" s="2">
        <v>2022002</v>
      </c>
      <c r="C334" s="3" t="s">
        <v>382</v>
      </c>
      <c r="D334" s="3" t="s">
        <v>248</v>
      </c>
      <c r="F334" s="3" t="s">
        <v>4179</v>
      </c>
      <c r="G334" s="3" t="s">
        <v>43</v>
      </c>
      <c r="H334" s="3" t="s">
        <v>253</v>
      </c>
      <c r="I334" s="2">
        <v>7</v>
      </c>
      <c r="J334" s="2">
        <v>4</v>
      </c>
      <c r="K334" s="2">
        <v>1</v>
      </c>
      <c r="O334" s="2">
        <v>1</v>
      </c>
      <c r="P334" s="2">
        <v>1</v>
      </c>
      <c r="U334" s="2">
        <v>4</v>
      </c>
      <c r="V334" s="2">
        <v>2</v>
      </c>
      <c r="W334" s="2">
        <v>4</v>
      </c>
      <c r="X334" s="2">
        <v>1</v>
      </c>
      <c r="AA334" s="3" t="s">
        <v>40</v>
      </c>
      <c r="AB334" s="2">
        <v>4</v>
      </c>
      <c r="AF334" s="2">
        <v>30.5</v>
      </c>
      <c r="AG334" s="2">
        <v>2</v>
      </c>
      <c r="AH334" s="3" t="s">
        <v>383</v>
      </c>
      <c r="AI334" s="4">
        <v>44740</v>
      </c>
      <c r="AJ334" s="3" t="s">
        <v>390</v>
      </c>
      <c r="AK334" s="3" t="s">
        <v>248</v>
      </c>
    </row>
    <row r="335" spans="1:37" hidden="1" x14ac:dyDescent="0.25">
      <c r="A335" t="str">
        <f t="shared" si="5"/>
        <v>2022_Vic_Kalkee_Chickpea_DetailedTOS2VarietyStrikerWaterTrtRainFed</v>
      </c>
      <c r="B335" s="2">
        <v>2022002</v>
      </c>
      <c r="C335" s="3" t="s">
        <v>382</v>
      </c>
      <c r="D335" s="3" t="s">
        <v>248</v>
      </c>
      <c r="F335" s="3" t="s">
        <v>4179</v>
      </c>
      <c r="G335" s="3" t="s">
        <v>43</v>
      </c>
      <c r="H335" s="3" t="s">
        <v>250</v>
      </c>
      <c r="I335" s="2">
        <v>8</v>
      </c>
      <c r="J335" s="2">
        <v>4</v>
      </c>
      <c r="K335" s="2">
        <v>1</v>
      </c>
      <c r="O335" s="2">
        <v>1</v>
      </c>
      <c r="P335" s="2">
        <v>1</v>
      </c>
      <c r="U335" s="2">
        <v>4</v>
      </c>
      <c r="V335" s="2">
        <v>3</v>
      </c>
      <c r="W335" s="2">
        <v>4</v>
      </c>
      <c r="X335" s="2">
        <v>2</v>
      </c>
      <c r="Z335" s="2">
        <v>4</v>
      </c>
      <c r="AA335" s="3" t="s">
        <v>40</v>
      </c>
      <c r="AB335" s="2">
        <v>4</v>
      </c>
      <c r="AF335" s="2">
        <v>30.5</v>
      </c>
      <c r="AG335" s="2">
        <v>2</v>
      </c>
      <c r="AH335" s="3" t="s">
        <v>383</v>
      </c>
      <c r="AI335" s="4">
        <v>44740</v>
      </c>
      <c r="AJ335" s="3" t="s">
        <v>391</v>
      </c>
      <c r="AK335" s="3" t="s">
        <v>248</v>
      </c>
    </row>
    <row r="336" spans="1:37" hidden="1" x14ac:dyDescent="0.25">
      <c r="A336" t="str">
        <f t="shared" si="5"/>
        <v>2022_Vic_Kalkee_Chickpea_DetailedTOS2VarietyCBA_CaptainWaterTrtIrrigated</v>
      </c>
      <c r="B336" s="2">
        <v>2022002</v>
      </c>
      <c r="C336" s="3" t="s">
        <v>382</v>
      </c>
      <c r="D336" s="3" t="s">
        <v>248</v>
      </c>
      <c r="F336" s="3" t="s">
        <v>249</v>
      </c>
      <c r="G336" s="3" t="s">
        <v>43</v>
      </c>
      <c r="H336" s="3" t="s">
        <v>253</v>
      </c>
      <c r="I336" s="2">
        <v>9</v>
      </c>
      <c r="J336" s="2">
        <v>5</v>
      </c>
      <c r="K336" s="2">
        <v>1</v>
      </c>
      <c r="O336" s="2">
        <v>1</v>
      </c>
      <c r="P336" s="2">
        <v>2</v>
      </c>
      <c r="U336" s="2">
        <v>1</v>
      </c>
      <c r="V336" s="2">
        <v>5</v>
      </c>
      <c r="W336" s="2">
        <v>1</v>
      </c>
      <c r="X336" s="2">
        <v>3</v>
      </c>
      <c r="AA336" s="3" t="s">
        <v>57</v>
      </c>
      <c r="AB336" s="2">
        <v>1</v>
      </c>
      <c r="AF336" s="2">
        <v>30.5</v>
      </c>
      <c r="AG336" s="2">
        <v>2</v>
      </c>
      <c r="AH336" s="3" t="s">
        <v>383</v>
      </c>
      <c r="AI336" s="4">
        <v>44740</v>
      </c>
      <c r="AJ336" s="3" t="s">
        <v>392</v>
      </c>
      <c r="AK336" s="3" t="s">
        <v>248</v>
      </c>
    </row>
    <row r="337" spans="1:37" hidden="1" x14ac:dyDescent="0.25">
      <c r="A337" t="str">
        <f t="shared" si="5"/>
        <v>2022_Vic_Kalkee_Chickpea_DetailedTOS2VarietyCBA_CaptainWaterTrtIrrigated</v>
      </c>
      <c r="B337" s="2">
        <v>2022002</v>
      </c>
      <c r="C337" s="3" t="s">
        <v>382</v>
      </c>
      <c r="D337" s="3" t="s">
        <v>248</v>
      </c>
      <c r="F337" s="3" t="s">
        <v>249</v>
      </c>
      <c r="G337" s="3" t="s">
        <v>43</v>
      </c>
      <c r="H337" s="3" t="s">
        <v>250</v>
      </c>
      <c r="I337" s="2">
        <v>10</v>
      </c>
      <c r="J337" s="2">
        <v>5</v>
      </c>
      <c r="K337" s="2">
        <v>1</v>
      </c>
      <c r="O337" s="2">
        <v>1</v>
      </c>
      <c r="P337" s="2">
        <v>2</v>
      </c>
      <c r="U337" s="2">
        <v>1</v>
      </c>
      <c r="V337" s="2">
        <v>6</v>
      </c>
      <c r="W337" s="2">
        <v>1</v>
      </c>
      <c r="X337" s="2">
        <v>4</v>
      </c>
      <c r="Z337" s="2">
        <v>8</v>
      </c>
      <c r="AA337" s="3" t="s">
        <v>57</v>
      </c>
      <c r="AB337" s="2">
        <v>1</v>
      </c>
      <c r="AF337" s="2">
        <v>30.5</v>
      </c>
      <c r="AG337" s="2">
        <v>2</v>
      </c>
      <c r="AH337" s="3" t="s">
        <v>383</v>
      </c>
      <c r="AI337" s="4">
        <v>44740</v>
      </c>
      <c r="AJ337" s="3" t="s">
        <v>393</v>
      </c>
      <c r="AK337" s="3" t="s">
        <v>248</v>
      </c>
    </row>
    <row r="338" spans="1:37" hidden="1" x14ac:dyDescent="0.25">
      <c r="A338" t="str">
        <f t="shared" si="5"/>
        <v>2022_Vic_Kalkee_Chickpea_DetailedTOS2VarietyStrikerWaterTrtIrrigated</v>
      </c>
      <c r="B338" s="2">
        <v>2022002</v>
      </c>
      <c r="C338" s="3" t="s">
        <v>382</v>
      </c>
      <c r="D338" s="3" t="s">
        <v>248</v>
      </c>
      <c r="F338" s="3" t="s">
        <v>4179</v>
      </c>
      <c r="G338" s="3" t="s">
        <v>43</v>
      </c>
      <c r="H338" s="3" t="s">
        <v>253</v>
      </c>
      <c r="I338" s="2">
        <v>11</v>
      </c>
      <c r="J338" s="2">
        <v>6</v>
      </c>
      <c r="K338" s="2">
        <v>1</v>
      </c>
      <c r="O338" s="2">
        <v>1</v>
      </c>
      <c r="P338" s="2">
        <v>2</v>
      </c>
      <c r="U338" s="2">
        <v>2</v>
      </c>
      <c r="V338" s="2">
        <v>5</v>
      </c>
      <c r="W338" s="2">
        <v>2</v>
      </c>
      <c r="X338" s="2">
        <v>3</v>
      </c>
      <c r="AA338" s="3" t="s">
        <v>57</v>
      </c>
      <c r="AB338" s="2">
        <v>4</v>
      </c>
      <c r="AF338" s="2">
        <v>30.5</v>
      </c>
      <c r="AG338" s="2">
        <v>2</v>
      </c>
      <c r="AH338" s="3" t="s">
        <v>383</v>
      </c>
      <c r="AI338" s="4">
        <v>44740</v>
      </c>
      <c r="AJ338" s="3" t="s">
        <v>394</v>
      </c>
      <c r="AK338" s="3" t="s">
        <v>248</v>
      </c>
    </row>
    <row r="339" spans="1:37" hidden="1" x14ac:dyDescent="0.25">
      <c r="A339" t="str">
        <f t="shared" si="5"/>
        <v>2022_Vic_Kalkee_Chickpea_DetailedTOS2VarietyStrikerWaterTrtIrrigated</v>
      </c>
      <c r="B339" s="2">
        <v>2022002</v>
      </c>
      <c r="C339" s="3" t="s">
        <v>382</v>
      </c>
      <c r="D339" s="3" t="s">
        <v>248</v>
      </c>
      <c r="F339" s="3" t="s">
        <v>4179</v>
      </c>
      <c r="G339" s="3" t="s">
        <v>43</v>
      </c>
      <c r="H339" s="3" t="s">
        <v>250</v>
      </c>
      <c r="I339" s="2">
        <v>12</v>
      </c>
      <c r="J339" s="2">
        <v>6</v>
      </c>
      <c r="K339" s="2">
        <v>1</v>
      </c>
      <c r="O339" s="2">
        <v>1</v>
      </c>
      <c r="P339" s="2">
        <v>2</v>
      </c>
      <c r="U339" s="2">
        <v>2</v>
      </c>
      <c r="V339" s="2">
        <v>6</v>
      </c>
      <c r="W339" s="2">
        <v>2</v>
      </c>
      <c r="X339" s="2">
        <v>4</v>
      </c>
      <c r="Z339" s="2">
        <v>7</v>
      </c>
      <c r="AA339" s="3" t="s">
        <v>57</v>
      </c>
      <c r="AB339" s="2">
        <v>4</v>
      </c>
      <c r="AF339" s="2">
        <v>30.5</v>
      </c>
      <c r="AG339" s="2">
        <v>2</v>
      </c>
      <c r="AH339" s="3" t="s">
        <v>383</v>
      </c>
      <c r="AI339" s="4">
        <v>44740</v>
      </c>
      <c r="AJ339" s="3" t="s">
        <v>395</v>
      </c>
      <c r="AK339" s="3" t="s">
        <v>248</v>
      </c>
    </row>
    <row r="340" spans="1:37" hidden="1" x14ac:dyDescent="0.25">
      <c r="A340" t="str">
        <f t="shared" si="5"/>
        <v>2022_Vic_Kalkee_Chickpea_DetailedTOS2VarietyDrummondWaterTrtIrrigated</v>
      </c>
      <c r="B340" s="2">
        <v>2022002</v>
      </c>
      <c r="C340" s="3" t="s">
        <v>382</v>
      </c>
      <c r="D340" s="3" t="s">
        <v>248</v>
      </c>
      <c r="F340" s="3" t="s">
        <v>4182</v>
      </c>
      <c r="G340" s="3" t="s">
        <v>39</v>
      </c>
      <c r="H340" s="3" t="s">
        <v>253</v>
      </c>
      <c r="I340" s="2">
        <v>13</v>
      </c>
      <c r="J340" s="2">
        <v>7</v>
      </c>
      <c r="K340" s="2">
        <v>1</v>
      </c>
      <c r="O340" s="2">
        <v>1</v>
      </c>
      <c r="P340" s="2">
        <v>2</v>
      </c>
      <c r="U340" s="2">
        <v>3</v>
      </c>
      <c r="V340" s="2">
        <v>5</v>
      </c>
      <c r="W340" s="2">
        <v>3</v>
      </c>
      <c r="X340" s="2">
        <v>3</v>
      </c>
      <c r="AA340" s="3" t="s">
        <v>57</v>
      </c>
      <c r="AB340" s="2">
        <v>2</v>
      </c>
      <c r="AF340" s="2">
        <v>30.5</v>
      </c>
      <c r="AG340" s="2">
        <v>2</v>
      </c>
      <c r="AH340" s="3" t="s">
        <v>383</v>
      </c>
      <c r="AI340" s="4">
        <v>44740</v>
      </c>
      <c r="AJ340" s="3" t="s">
        <v>396</v>
      </c>
      <c r="AK340" s="3" t="s">
        <v>248</v>
      </c>
    </row>
    <row r="341" spans="1:37" hidden="1" x14ac:dyDescent="0.25">
      <c r="A341" t="str">
        <f t="shared" si="5"/>
        <v>2022_Vic_Kalkee_Chickpea_DetailedTOS2VarietyDrummondWaterTrtIrrigated</v>
      </c>
      <c r="B341" s="2">
        <v>2022002</v>
      </c>
      <c r="C341" s="3" t="s">
        <v>382</v>
      </c>
      <c r="D341" s="3" t="s">
        <v>248</v>
      </c>
      <c r="F341" s="3" t="s">
        <v>4182</v>
      </c>
      <c r="G341" s="3" t="s">
        <v>39</v>
      </c>
      <c r="H341" s="3" t="s">
        <v>250</v>
      </c>
      <c r="I341" s="2">
        <v>14</v>
      </c>
      <c r="J341" s="2">
        <v>7</v>
      </c>
      <c r="K341" s="2">
        <v>1</v>
      </c>
      <c r="O341" s="2">
        <v>1</v>
      </c>
      <c r="P341" s="2">
        <v>2</v>
      </c>
      <c r="U341" s="2">
        <v>3</v>
      </c>
      <c r="V341" s="2">
        <v>6</v>
      </c>
      <c r="W341" s="2">
        <v>3</v>
      </c>
      <c r="X341" s="2">
        <v>4</v>
      </c>
      <c r="Z341" s="2">
        <v>6</v>
      </c>
      <c r="AA341" s="3" t="s">
        <v>57</v>
      </c>
      <c r="AB341" s="2">
        <v>2</v>
      </c>
      <c r="AF341" s="2">
        <v>30.5</v>
      </c>
      <c r="AG341" s="2">
        <v>2</v>
      </c>
      <c r="AH341" s="3" t="s">
        <v>383</v>
      </c>
      <c r="AI341" s="4">
        <v>44740</v>
      </c>
      <c r="AJ341" s="3" t="s">
        <v>397</v>
      </c>
      <c r="AK341" s="3" t="s">
        <v>248</v>
      </c>
    </row>
    <row r="342" spans="1:37" hidden="1" x14ac:dyDescent="0.25">
      <c r="A342" t="str">
        <f t="shared" si="5"/>
        <v>2022_Vic_Kalkee_Chickpea_DetailedTOS2VarietyHatTrickWaterTrtIrrigated</v>
      </c>
      <c r="B342" s="2">
        <v>2022002</v>
      </c>
      <c r="C342" s="3" t="s">
        <v>382</v>
      </c>
      <c r="D342" s="3" t="s">
        <v>248</v>
      </c>
      <c r="F342" s="3" t="s">
        <v>4178</v>
      </c>
      <c r="G342" s="3" t="s">
        <v>39</v>
      </c>
      <c r="H342" s="3" t="s">
        <v>253</v>
      </c>
      <c r="I342" s="2">
        <v>15</v>
      </c>
      <c r="J342" s="2">
        <v>8</v>
      </c>
      <c r="K342" s="2">
        <v>1</v>
      </c>
      <c r="O342" s="2">
        <v>1</v>
      </c>
      <c r="P342" s="2">
        <v>2</v>
      </c>
      <c r="U342" s="2">
        <v>4</v>
      </c>
      <c r="V342" s="2">
        <v>5</v>
      </c>
      <c r="W342" s="2">
        <v>4</v>
      </c>
      <c r="X342" s="2">
        <v>3</v>
      </c>
      <c r="AA342" s="3" t="s">
        <v>57</v>
      </c>
      <c r="AB342" s="2">
        <v>3</v>
      </c>
      <c r="AF342" s="2">
        <v>30.5</v>
      </c>
      <c r="AG342" s="2">
        <v>2</v>
      </c>
      <c r="AH342" s="3" t="s">
        <v>383</v>
      </c>
      <c r="AI342" s="4">
        <v>44740</v>
      </c>
      <c r="AJ342" s="3" t="s">
        <v>398</v>
      </c>
      <c r="AK342" s="3" t="s">
        <v>248</v>
      </c>
    </row>
    <row r="343" spans="1:37" hidden="1" x14ac:dyDescent="0.25">
      <c r="A343" t="str">
        <f t="shared" si="5"/>
        <v>2022_Vic_Kalkee_Chickpea_DetailedTOS2VarietyHatTrickWaterTrtIrrigated</v>
      </c>
      <c r="B343" s="2">
        <v>2022002</v>
      </c>
      <c r="C343" s="3" t="s">
        <v>382</v>
      </c>
      <c r="D343" s="3" t="s">
        <v>248</v>
      </c>
      <c r="F343" s="3" t="s">
        <v>4178</v>
      </c>
      <c r="G343" s="3" t="s">
        <v>39</v>
      </c>
      <c r="H343" s="3" t="s">
        <v>250</v>
      </c>
      <c r="I343" s="2">
        <v>16</v>
      </c>
      <c r="J343" s="2">
        <v>8</v>
      </c>
      <c r="K343" s="2">
        <v>1</v>
      </c>
      <c r="O343" s="2">
        <v>1</v>
      </c>
      <c r="P343" s="2">
        <v>2</v>
      </c>
      <c r="U343" s="2">
        <v>4</v>
      </c>
      <c r="V343" s="2">
        <v>6</v>
      </c>
      <c r="W343" s="2">
        <v>4</v>
      </c>
      <c r="X343" s="2">
        <v>4</v>
      </c>
      <c r="Z343" s="2">
        <v>5</v>
      </c>
      <c r="AA343" s="3" t="s">
        <v>57</v>
      </c>
      <c r="AB343" s="2">
        <v>3</v>
      </c>
      <c r="AF343" s="2">
        <v>30.5</v>
      </c>
      <c r="AG343" s="2">
        <v>2</v>
      </c>
      <c r="AH343" s="3" t="s">
        <v>383</v>
      </c>
      <c r="AI343" s="4">
        <v>44740</v>
      </c>
      <c r="AJ343" s="3" t="s">
        <v>399</v>
      </c>
      <c r="AK343" s="3" t="s">
        <v>248</v>
      </c>
    </row>
    <row r="344" spans="1:37" hidden="1" x14ac:dyDescent="0.25">
      <c r="A344" t="str">
        <f t="shared" si="5"/>
        <v>2022_Vic_Kalkee_Chickpea_DetailedTOS1VarietyStrikerWaterTrtIrrigated</v>
      </c>
      <c r="B344" s="2">
        <v>2022002</v>
      </c>
      <c r="C344" s="3" t="s">
        <v>382</v>
      </c>
      <c r="D344" s="3" t="s">
        <v>248</v>
      </c>
      <c r="F344" s="3" t="s">
        <v>4179</v>
      </c>
      <c r="G344" s="3" t="s">
        <v>43</v>
      </c>
      <c r="H344" s="3" t="s">
        <v>253</v>
      </c>
      <c r="I344" s="2">
        <v>17</v>
      </c>
      <c r="J344" s="2">
        <v>9</v>
      </c>
      <c r="K344" s="2">
        <v>1</v>
      </c>
      <c r="O344" s="2">
        <v>2</v>
      </c>
      <c r="P344" s="2">
        <v>3</v>
      </c>
      <c r="U344" s="2">
        <v>1</v>
      </c>
      <c r="V344" s="2">
        <v>8</v>
      </c>
      <c r="W344" s="2">
        <v>1</v>
      </c>
      <c r="X344" s="2">
        <v>5</v>
      </c>
      <c r="AA344" s="3" t="s">
        <v>57</v>
      </c>
      <c r="AB344" s="2">
        <v>4</v>
      </c>
      <c r="AF344" s="2">
        <v>30.5</v>
      </c>
      <c r="AG344" s="2">
        <v>1</v>
      </c>
      <c r="AH344" s="3" t="s">
        <v>400</v>
      </c>
      <c r="AI344" s="4">
        <v>44704</v>
      </c>
      <c r="AJ344" s="3" t="s">
        <v>401</v>
      </c>
      <c r="AK344" s="3" t="s">
        <v>248</v>
      </c>
    </row>
    <row r="345" spans="1:37" hidden="1" x14ac:dyDescent="0.25">
      <c r="A345" t="str">
        <f t="shared" si="5"/>
        <v>2022_Vic_Kalkee_Chickpea_DetailedTOS1VarietyStrikerWaterTrtIrrigated</v>
      </c>
      <c r="B345" s="2">
        <v>2022002</v>
      </c>
      <c r="C345" s="3" t="s">
        <v>382</v>
      </c>
      <c r="D345" s="3" t="s">
        <v>248</v>
      </c>
      <c r="F345" s="3" t="s">
        <v>4179</v>
      </c>
      <c r="G345" s="3" t="s">
        <v>43</v>
      </c>
      <c r="H345" s="3" t="s">
        <v>250</v>
      </c>
      <c r="I345" s="2">
        <v>18</v>
      </c>
      <c r="J345" s="2">
        <v>9</v>
      </c>
      <c r="K345" s="2">
        <v>1</v>
      </c>
      <c r="O345" s="2">
        <v>2</v>
      </c>
      <c r="P345" s="2">
        <v>3</v>
      </c>
      <c r="U345" s="2">
        <v>1</v>
      </c>
      <c r="V345" s="2">
        <v>9</v>
      </c>
      <c r="W345" s="2">
        <v>1</v>
      </c>
      <c r="X345" s="2">
        <v>6</v>
      </c>
      <c r="Z345" s="2">
        <v>9</v>
      </c>
      <c r="AA345" s="3" t="s">
        <v>57</v>
      </c>
      <c r="AB345" s="2">
        <v>4</v>
      </c>
      <c r="AF345" s="2">
        <v>30.5</v>
      </c>
      <c r="AG345" s="2">
        <v>1</v>
      </c>
      <c r="AH345" s="3" t="s">
        <v>400</v>
      </c>
      <c r="AI345" s="4">
        <v>44704</v>
      </c>
      <c r="AJ345" s="3" t="s">
        <v>402</v>
      </c>
      <c r="AK345" s="3" t="s">
        <v>248</v>
      </c>
    </row>
    <row r="346" spans="1:37" hidden="1" x14ac:dyDescent="0.25">
      <c r="A346" t="str">
        <f t="shared" si="5"/>
        <v>2022_Vic_Kalkee_Chickpea_DetailedTOS1VarietyDrummondWaterTrtIrrigated</v>
      </c>
      <c r="B346" s="2">
        <v>2022002</v>
      </c>
      <c r="C346" s="3" t="s">
        <v>382</v>
      </c>
      <c r="D346" s="3" t="s">
        <v>248</v>
      </c>
      <c r="F346" s="3" t="s">
        <v>4182</v>
      </c>
      <c r="G346" s="3" t="s">
        <v>39</v>
      </c>
      <c r="H346" s="3" t="s">
        <v>253</v>
      </c>
      <c r="I346" s="2">
        <v>19</v>
      </c>
      <c r="J346" s="2">
        <v>10</v>
      </c>
      <c r="K346" s="2">
        <v>1</v>
      </c>
      <c r="O346" s="2">
        <v>2</v>
      </c>
      <c r="P346" s="2">
        <v>3</v>
      </c>
      <c r="U346" s="2">
        <v>2</v>
      </c>
      <c r="V346" s="2">
        <v>8</v>
      </c>
      <c r="W346" s="2">
        <v>2</v>
      </c>
      <c r="X346" s="2">
        <v>5</v>
      </c>
      <c r="AA346" s="3" t="s">
        <v>57</v>
      </c>
      <c r="AB346" s="2">
        <v>2</v>
      </c>
      <c r="AF346" s="2">
        <v>30.5</v>
      </c>
      <c r="AG346" s="2">
        <v>1</v>
      </c>
      <c r="AH346" s="3" t="s">
        <v>400</v>
      </c>
      <c r="AI346" s="4">
        <v>44704</v>
      </c>
      <c r="AJ346" s="3" t="s">
        <v>403</v>
      </c>
      <c r="AK346" s="3" t="s">
        <v>248</v>
      </c>
    </row>
    <row r="347" spans="1:37" hidden="1" x14ac:dyDescent="0.25">
      <c r="A347" t="str">
        <f t="shared" si="5"/>
        <v>2022_Vic_Kalkee_Chickpea_DetailedTOS1VarietyDrummondWaterTrtIrrigated</v>
      </c>
      <c r="B347" s="2">
        <v>2022002</v>
      </c>
      <c r="C347" s="3" t="s">
        <v>382</v>
      </c>
      <c r="D347" s="3" t="s">
        <v>248</v>
      </c>
      <c r="F347" s="3" t="s">
        <v>4182</v>
      </c>
      <c r="G347" s="3" t="s">
        <v>39</v>
      </c>
      <c r="H347" s="3" t="s">
        <v>250</v>
      </c>
      <c r="I347" s="2">
        <v>20</v>
      </c>
      <c r="J347" s="2">
        <v>10</v>
      </c>
      <c r="K347" s="2">
        <v>1</v>
      </c>
      <c r="O347" s="2">
        <v>2</v>
      </c>
      <c r="P347" s="2">
        <v>3</v>
      </c>
      <c r="U347" s="2">
        <v>2</v>
      </c>
      <c r="V347" s="2">
        <v>9</v>
      </c>
      <c r="W347" s="2">
        <v>2</v>
      </c>
      <c r="X347" s="2">
        <v>6</v>
      </c>
      <c r="Z347" s="2">
        <v>10</v>
      </c>
      <c r="AA347" s="3" t="s">
        <v>57</v>
      </c>
      <c r="AB347" s="2">
        <v>2</v>
      </c>
      <c r="AF347" s="2">
        <v>30.5</v>
      </c>
      <c r="AG347" s="2">
        <v>1</v>
      </c>
      <c r="AH347" s="3" t="s">
        <v>400</v>
      </c>
      <c r="AI347" s="4">
        <v>44704</v>
      </c>
      <c r="AJ347" s="3" t="s">
        <v>404</v>
      </c>
      <c r="AK347" s="3" t="s">
        <v>248</v>
      </c>
    </row>
    <row r="348" spans="1:37" hidden="1" x14ac:dyDescent="0.25">
      <c r="A348" t="str">
        <f t="shared" si="5"/>
        <v>2022_Vic_Kalkee_Chickpea_DetailedTOS1VarietyHatTrickWaterTrtIrrigated</v>
      </c>
      <c r="B348" s="2">
        <v>2022002</v>
      </c>
      <c r="C348" s="3" t="s">
        <v>382</v>
      </c>
      <c r="D348" s="3" t="s">
        <v>248</v>
      </c>
      <c r="F348" s="3" t="s">
        <v>4178</v>
      </c>
      <c r="G348" s="3" t="s">
        <v>39</v>
      </c>
      <c r="H348" s="3" t="s">
        <v>253</v>
      </c>
      <c r="I348" s="2">
        <v>21</v>
      </c>
      <c r="J348" s="2">
        <v>11</v>
      </c>
      <c r="K348" s="2">
        <v>1</v>
      </c>
      <c r="O348" s="2">
        <v>2</v>
      </c>
      <c r="P348" s="2">
        <v>3</v>
      </c>
      <c r="U348" s="2">
        <v>3</v>
      </c>
      <c r="V348" s="2">
        <v>8</v>
      </c>
      <c r="W348" s="2">
        <v>3</v>
      </c>
      <c r="X348" s="2">
        <v>5</v>
      </c>
      <c r="AA348" s="3" t="s">
        <v>57</v>
      </c>
      <c r="AB348" s="2">
        <v>3</v>
      </c>
      <c r="AF348" s="2">
        <v>30.5</v>
      </c>
      <c r="AG348" s="2">
        <v>1</v>
      </c>
      <c r="AH348" s="3" t="s">
        <v>400</v>
      </c>
      <c r="AI348" s="4">
        <v>44704</v>
      </c>
      <c r="AJ348" s="3" t="s">
        <v>405</v>
      </c>
      <c r="AK348" s="3" t="s">
        <v>248</v>
      </c>
    </row>
    <row r="349" spans="1:37" hidden="1" x14ac:dyDescent="0.25">
      <c r="A349" t="str">
        <f t="shared" si="5"/>
        <v>2022_Vic_Kalkee_Chickpea_DetailedTOS1VarietyHatTrickWaterTrtIrrigated</v>
      </c>
      <c r="B349" s="2">
        <v>2022002</v>
      </c>
      <c r="C349" s="3" t="s">
        <v>382</v>
      </c>
      <c r="D349" s="3" t="s">
        <v>248</v>
      </c>
      <c r="F349" s="3" t="s">
        <v>4178</v>
      </c>
      <c r="G349" s="3" t="s">
        <v>39</v>
      </c>
      <c r="H349" s="3" t="s">
        <v>250</v>
      </c>
      <c r="I349" s="2">
        <v>22</v>
      </c>
      <c r="J349" s="2">
        <v>11</v>
      </c>
      <c r="K349" s="2">
        <v>1</v>
      </c>
      <c r="O349" s="2">
        <v>2</v>
      </c>
      <c r="P349" s="2">
        <v>3</v>
      </c>
      <c r="U349" s="2">
        <v>3</v>
      </c>
      <c r="V349" s="2">
        <v>9</v>
      </c>
      <c r="W349" s="2">
        <v>3</v>
      </c>
      <c r="X349" s="2">
        <v>6</v>
      </c>
      <c r="Z349" s="2">
        <v>11</v>
      </c>
      <c r="AA349" s="3" t="s">
        <v>57</v>
      </c>
      <c r="AB349" s="2">
        <v>3</v>
      </c>
      <c r="AF349" s="2">
        <v>30.5</v>
      </c>
      <c r="AG349" s="2">
        <v>1</v>
      </c>
      <c r="AH349" s="3" t="s">
        <v>400</v>
      </c>
      <c r="AI349" s="4">
        <v>44704</v>
      </c>
      <c r="AJ349" s="3" t="s">
        <v>406</v>
      </c>
      <c r="AK349" s="3" t="s">
        <v>248</v>
      </c>
    </row>
    <row r="350" spans="1:37" hidden="1" x14ac:dyDescent="0.25">
      <c r="A350" t="str">
        <f t="shared" si="5"/>
        <v>2022_Vic_Kalkee_Chickpea_DetailedTOS1VarietyCBA_CaptainWaterTrtIrrigated</v>
      </c>
      <c r="B350" s="2">
        <v>2022002</v>
      </c>
      <c r="C350" s="3" t="s">
        <v>382</v>
      </c>
      <c r="D350" s="3" t="s">
        <v>248</v>
      </c>
      <c r="F350" s="3" t="s">
        <v>249</v>
      </c>
      <c r="G350" s="3" t="s">
        <v>43</v>
      </c>
      <c r="H350" s="3" t="s">
        <v>253</v>
      </c>
      <c r="I350" s="2">
        <v>23</v>
      </c>
      <c r="J350" s="2">
        <v>12</v>
      </c>
      <c r="K350" s="2">
        <v>1</v>
      </c>
      <c r="O350" s="2">
        <v>2</v>
      </c>
      <c r="P350" s="2">
        <v>3</v>
      </c>
      <c r="U350" s="2">
        <v>4</v>
      </c>
      <c r="V350" s="2">
        <v>8</v>
      </c>
      <c r="W350" s="2">
        <v>4</v>
      </c>
      <c r="X350" s="2">
        <v>5</v>
      </c>
      <c r="AA350" s="3" t="s">
        <v>57</v>
      </c>
      <c r="AB350" s="2">
        <v>1</v>
      </c>
      <c r="AF350" s="2">
        <v>30.5</v>
      </c>
      <c r="AG350" s="2">
        <v>1</v>
      </c>
      <c r="AH350" s="3" t="s">
        <v>400</v>
      </c>
      <c r="AI350" s="4">
        <v>44704</v>
      </c>
      <c r="AJ350" s="3" t="s">
        <v>407</v>
      </c>
      <c r="AK350" s="3" t="s">
        <v>248</v>
      </c>
    </row>
    <row r="351" spans="1:37" hidden="1" x14ac:dyDescent="0.25">
      <c r="A351" t="str">
        <f t="shared" si="5"/>
        <v>2022_Vic_Kalkee_Chickpea_DetailedTOS1VarietyCBA_CaptainWaterTrtIrrigated</v>
      </c>
      <c r="B351" s="2">
        <v>2022002</v>
      </c>
      <c r="C351" s="3" t="s">
        <v>382</v>
      </c>
      <c r="D351" s="3" t="s">
        <v>248</v>
      </c>
      <c r="F351" s="3" t="s">
        <v>249</v>
      </c>
      <c r="G351" s="3" t="s">
        <v>43</v>
      </c>
      <c r="H351" s="3" t="s">
        <v>250</v>
      </c>
      <c r="I351" s="2">
        <v>24</v>
      </c>
      <c r="J351" s="2">
        <v>12</v>
      </c>
      <c r="K351" s="2">
        <v>1</v>
      </c>
      <c r="O351" s="2">
        <v>2</v>
      </c>
      <c r="P351" s="2">
        <v>3</v>
      </c>
      <c r="U351" s="2">
        <v>4</v>
      </c>
      <c r="V351" s="2">
        <v>9</v>
      </c>
      <c r="W351" s="2">
        <v>4</v>
      </c>
      <c r="X351" s="2">
        <v>6</v>
      </c>
      <c r="Z351" s="2">
        <v>12</v>
      </c>
      <c r="AA351" s="3" t="s">
        <v>57</v>
      </c>
      <c r="AB351" s="2">
        <v>1</v>
      </c>
      <c r="AF351" s="2">
        <v>30.5</v>
      </c>
      <c r="AG351" s="2">
        <v>1</v>
      </c>
      <c r="AH351" s="3" t="s">
        <v>400</v>
      </c>
      <c r="AI351" s="4">
        <v>44704</v>
      </c>
      <c r="AJ351" s="3" t="s">
        <v>408</v>
      </c>
      <c r="AK351" s="3" t="s">
        <v>248</v>
      </c>
    </row>
    <row r="352" spans="1:37" hidden="1" x14ac:dyDescent="0.25">
      <c r="A352" t="str">
        <f t="shared" si="5"/>
        <v>2022_Vic_Kalkee_Chickpea_DetailedTOS1VarietyHatTrickWaterTrtRainFed</v>
      </c>
      <c r="B352" s="2">
        <v>2022002</v>
      </c>
      <c r="C352" s="3" t="s">
        <v>382</v>
      </c>
      <c r="D352" s="3" t="s">
        <v>248</v>
      </c>
      <c r="F352" s="3" t="s">
        <v>4178</v>
      </c>
      <c r="G352" s="3" t="s">
        <v>39</v>
      </c>
      <c r="H352" s="3" t="s">
        <v>253</v>
      </c>
      <c r="I352" s="2">
        <v>25</v>
      </c>
      <c r="J352" s="2">
        <v>13</v>
      </c>
      <c r="K352" s="2">
        <v>1</v>
      </c>
      <c r="O352" s="2">
        <v>2</v>
      </c>
      <c r="P352" s="2">
        <v>4</v>
      </c>
      <c r="U352" s="2">
        <v>1</v>
      </c>
      <c r="V352" s="2">
        <v>11</v>
      </c>
      <c r="W352" s="2">
        <v>1</v>
      </c>
      <c r="X352" s="2">
        <v>7</v>
      </c>
      <c r="AA352" s="3" t="s">
        <v>40</v>
      </c>
      <c r="AB352" s="2">
        <v>3</v>
      </c>
      <c r="AF352" s="2">
        <v>30.5</v>
      </c>
      <c r="AG352" s="2">
        <v>1</v>
      </c>
      <c r="AH352" s="3" t="s">
        <v>400</v>
      </c>
      <c r="AI352" s="4">
        <v>44704</v>
      </c>
      <c r="AJ352" s="3" t="s">
        <v>409</v>
      </c>
      <c r="AK352" s="3" t="s">
        <v>248</v>
      </c>
    </row>
    <row r="353" spans="1:37" hidden="1" x14ac:dyDescent="0.25">
      <c r="A353" t="str">
        <f t="shared" si="5"/>
        <v>2022_Vic_Kalkee_Chickpea_DetailedTOS1VarietyHatTrickWaterTrtRainFed</v>
      </c>
      <c r="B353" s="2">
        <v>2022002</v>
      </c>
      <c r="C353" s="3" t="s">
        <v>382</v>
      </c>
      <c r="D353" s="3" t="s">
        <v>248</v>
      </c>
      <c r="F353" s="3" t="s">
        <v>4178</v>
      </c>
      <c r="G353" s="3" t="s">
        <v>39</v>
      </c>
      <c r="H353" s="3" t="s">
        <v>250</v>
      </c>
      <c r="I353" s="2">
        <v>26</v>
      </c>
      <c r="J353" s="2">
        <v>13</v>
      </c>
      <c r="K353" s="2">
        <v>1</v>
      </c>
      <c r="O353" s="2">
        <v>2</v>
      </c>
      <c r="P353" s="2">
        <v>4</v>
      </c>
      <c r="U353" s="2">
        <v>1</v>
      </c>
      <c r="V353" s="2">
        <v>12</v>
      </c>
      <c r="W353" s="2">
        <v>1</v>
      </c>
      <c r="X353" s="2">
        <v>8</v>
      </c>
      <c r="Z353" s="2">
        <v>16</v>
      </c>
      <c r="AA353" s="3" t="s">
        <v>40</v>
      </c>
      <c r="AB353" s="2">
        <v>3</v>
      </c>
      <c r="AF353" s="2">
        <v>30.5</v>
      </c>
      <c r="AG353" s="2">
        <v>1</v>
      </c>
      <c r="AH353" s="3" t="s">
        <v>400</v>
      </c>
      <c r="AI353" s="4">
        <v>44704</v>
      </c>
      <c r="AJ353" s="3" t="s">
        <v>410</v>
      </c>
      <c r="AK353" s="3" t="s">
        <v>248</v>
      </c>
    </row>
    <row r="354" spans="1:37" hidden="1" x14ac:dyDescent="0.25">
      <c r="A354" t="str">
        <f t="shared" si="5"/>
        <v>2022_Vic_Kalkee_Chickpea_DetailedTOS1VarietyCBA_CaptainWaterTrtRainFed</v>
      </c>
      <c r="B354" s="2">
        <v>2022002</v>
      </c>
      <c r="C354" s="3" t="s">
        <v>382</v>
      </c>
      <c r="D354" s="3" t="s">
        <v>248</v>
      </c>
      <c r="F354" s="3" t="s">
        <v>249</v>
      </c>
      <c r="G354" s="3" t="s">
        <v>43</v>
      </c>
      <c r="H354" s="3" t="s">
        <v>253</v>
      </c>
      <c r="I354" s="2">
        <v>27</v>
      </c>
      <c r="J354" s="2">
        <v>14</v>
      </c>
      <c r="K354" s="2">
        <v>1</v>
      </c>
      <c r="O354" s="2">
        <v>2</v>
      </c>
      <c r="P354" s="2">
        <v>4</v>
      </c>
      <c r="U354" s="2">
        <v>2</v>
      </c>
      <c r="V354" s="2">
        <v>11</v>
      </c>
      <c r="W354" s="2">
        <v>2</v>
      </c>
      <c r="X354" s="2">
        <v>7</v>
      </c>
      <c r="AA354" s="3" t="s">
        <v>40</v>
      </c>
      <c r="AB354" s="2">
        <v>1</v>
      </c>
      <c r="AF354" s="2">
        <v>30.5</v>
      </c>
      <c r="AG354" s="2">
        <v>1</v>
      </c>
      <c r="AH354" s="3" t="s">
        <v>400</v>
      </c>
      <c r="AI354" s="4">
        <v>44704</v>
      </c>
      <c r="AJ354" s="3" t="s">
        <v>411</v>
      </c>
      <c r="AK354" s="3" t="s">
        <v>248</v>
      </c>
    </row>
    <row r="355" spans="1:37" hidden="1" x14ac:dyDescent="0.25">
      <c r="A355" t="str">
        <f t="shared" si="5"/>
        <v>2022_Vic_Kalkee_Chickpea_DetailedTOS1VarietyCBA_CaptainWaterTrtRainFed</v>
      </c>
      <c r="B355" s="2">
        <v>2022002</v>
      </c>
      <c r="C355" s="3" t="s">
        <v>382</v>
      </c>
      <c r="D355" s="3" t="s">
        <v>248</v>
      </c>
      <c r="F355" s="3" t="s">
        <v>249</v>
      </c>
      <c r="G355" s="3" t="s">
        <v>43</v>
      </c>
      <c r="H355" s="3" t="s">
        <v>250</v>
      </c>
      <c r="I355" s="2">
        <v>28</v>
      </c>
      <c r="J355" s="2">
        <v>14</v>
      </c>
      <c r="K355" s="2">
        <v>1</v>
      </c>
      <c r="O355" s="2">
        <v>2</v>
      </c>
      <c r="P355" s="2">
        <v>4</v>
      </c>
      <c r="U355" s="2">
        <v>2</v>
      </c>
      <c r="V355" s="2">
        <v>12</v>
      </c>
      <c r="W355" s="2">
        <v>2</v>
      </c>
      <c r="X355" s="2">
        <v>8</v>
      </c>
      <c r="Z355" s="2">
        <v>15</v>
      </c>
      <c r="AA355" s="3" t="s">
        <v>40</v>
      </c>
      <c r="AB355" s="2">
        <v>1</v>
      </c>
      <c r="AF355" s="2">
        <v>30.5</v>
      </c>
      <c r="AG355" s="2">
        <v>1</v>
      </c>
      <c r="AH355" s="3" t="s">
        <v>400</v>
      </c>
      <c r="AI355" s="4">
        <v>44704</v>
      </c>
      <c r="AJ355" s="3" t="s">
        <v>412</v>
      </c>
      <c r="AK355" s="3" t="s">
        <v>248</v>
      </c>
    </row>
    <row r="356" spans="1:37" hidden="1" x14ac:dyDescent="0.25">
      <c r="A356" t="str">
        <f t="shared" si="5"/>
        <v>2022_Vic_Kalkee_Chickpea_DetailedTOS1VarietyStrikerWaterTrtRainFed</v>
      </c>
      <c r="B356" s="2">
        <v>2022002</v>
      </c>
      <c r="C356" s="3" t="s">
        <v>382</v>
      </c>
      <c r="D356" s="3" t="s">
        <v>248</v>
      </c>
      <c r="F356" s="3" t="s">
        <v>4179</v>
      </c>
      <c r="G356" s="3" t="s">
        <v>43</v>
      </c>
      <c r="H356" s="3" t="s">
        <v>253</v>
      </c>
      <c r="I356" s="2">
        <v>29</v>
      </c>
      <c r="J356" s="2">
        <v>15</v>
      </c>
      <c r="K356" s="2">
        <v>1</v>
      </c>
      <c r="O356" s="2">
        <v>2</v>
      </c>
      <c r="P356" s="2">
        <v>4</v>
      </c>
      <c r="U356" s="2">
        <v>3</v>
      </c>
      <c r="V356" s="2">
        <v>11</v>
      </c>
      <c r="W356" s="2">
        <v>3</v>
      </c>
      <c r="X356" s="2">
        <v>7</v>
      </c>
      <c r="AA356" s="3" t="s">
        <v>40</v>
      </c>
      <c r="AB356" s="2">
        <v>4</v>
      </c>
      <c r="AF356" s="2">
        <v>30.5</v>
      </c>
      <c r="AG356" s="2">
        <v>1</v>
      </c>
      <c r="AH356" s="3" t="s">
        <v>400</v>
      </c>
      <c r="AI356" s="4">
        <v>44704</v>
      </c>
      <c r="AJ356" s="3" t="s">
        <v>413</v>
      </c>
      <c r="AK356" s="3" t="s">
        <v>248</v>
      </c>
    </row>
    <row r="357" spans="1:37" hidden="1" x14ac:dyDescent="0.25">
      <c r="A357" t="str">
        <f t="shared" si="5"/>
        <v>2022_Vic_Kalkee_Chickpea_DetailedTOS1VarietyStrikerWaterTrtRainFed</v>
      </c>
      <c r="B357" s="2">
        <v>2022002</v>
      </c>
      <c r="C357" s="3" t="s">
        <v>382</v>
      </c>
      <c r="D357" s="3" t="s">
        <v>248</v>
      </c>
      <c r="F357" s="3" t="s">
        <v>4179</v>
      </c>
      <c r="G357" s="3" t="s">
        <v>43</v>
      </c>
      <c r="H357" s="3" t="s">
        <v>250</v>
      </c>
      <c r="I357" s="2">
        <v>30</v>
      </c>
      <c r="J357" s="2">
        <v>15</v>
      </c>
      <c r="K357" s="2">
        <v>1</v>
      </c>
      <c r="O357" s="2">
        <v>2</v>
      </c>
      <c r="P357" s="2">
        <v>4</v>
      </c>
      <c r="U357" s="2">
        <v>3</v>
      </c>
      <c r="V357" s="2">
        <v>12</v>
      </c>
      <c r="W357" s="2">
        <v>3</v>
      </c>
      <c r="X357" s="2">
        <v>8</v>
      </c>
      <c r="Z357" s="2">
        <v>14</v>
      </c>
      <c r="AA357" s="3" t="s">
        <v>40</v>
      </c>
      <c r="AB357" s="2">
        <v>4</v>
      </c>
      <c r="AF357" s="2">
        <v>30.5</v>
      </c>
      <c r="AG357" s="2">
        <v>1</v>
      </c>
      <c r="AH357" s="3" t="s">
        <v>400</v>
      </c>
      <c r="AI357" s="4">
        <v>44704</v>
      </c>
      <c r="AJ357" s="3" t="s">
        <v>414</v>
      </c>
      <c r="AK357" s="3" t="s">
        <v>248</v>
      </c>
    </row>
    <row r="358" spans="1:37" hidden="1" x14ac:dyDescent="0.25">
      <c r="A358" t="str">
        <f t="shared" si="5"/>
        <v>2022_Vic_Kalkee_Chickpea_DetailedTOS1VarietyDrummondWaterTrtRainFed</v>
      </c>
      <c r="B358" s="2">
        <v>2022002</v>
      </c>
      <c r="C358" s="3" t="s">
        <v>382</v>
      </c>
      <c r="D358" s="3" t="s">
        <v>248</v>
      </c>
      <c r="F358" s="3" t="s">
        <v>4182</v>
      </c>
      <c r="G358" s="3" t="s">
        <v>39</v>
      </c>
      <c r="H358" s="3" t="s">
        <v>253</v>
      </c>
      <c r="I358" s="2">
        <v>31</v>
      </c>
      <c r="J358" s="2">
        <v>16</v>
      </c>
      <c r="K358" s="2">
        <v>1</v>
      </c>
      <c r="O358" s="2">
        <v>2</v>
      </c>
      <c r="P358" s="2">
        <v>4</v>
      </c>
      <c r="U358" s="2">
        <v>4</v>
      </c>
      <c r="V358" s="2">
        <v>11</v>
      </c>
      <c r="W358" s="2">
        <v>4</v>
      </c>
      <c r="X358" s="2">
        <v>7</v>
      </c>
      <c r="AA358" s="3" t="s">
        <v>40</v>
      </c>
      <c r="AB358" s="2">
        <v>2</v>
      </c>
      <c r="AF358" s="2">
        <v>30.5</v>
      </c>
      <c r="AG358" s="2">
        <v>1</v>
      </c>
      <c r="AH358" s="3" t="s">
        <v>400</v>
      </c>
      <c r="AI358" s="4">
        <v>44704</v>
      </c>
      <c r="AJ358" s="3" t="s">
        <v>415</v>
      </c>
      <c r="AK358" s="3" t="s">
        <v>248</v>
      </c>
    </row>
    <row r="359" spans="1:37" hidden="1" x14ac:dyDescent="0.25">
      <c r="A359" t="str">
        <f t="shared" si="5"/>
        <v>2022_Vic_Kalkee_Chickpea_DetailedTOS1VarietyDrummondWaterTrtRainFed</v>
      </c>
      <c r="B359" s="2">
        <v>2022002</v>
      </c>
      <c r="C359" s="3" t="s">
        <v>382</v>
      </c>
      <c r="D359" s="3" t="s">
        <v>248</v>
      </c>
      <c r="F359" s="3" t="s">
        <v>4182</v>
      </c>
      <c r="G359" s="3" t="s">
        <v>39</v>
      </c>
      <c r="H359" s="3" t="s">
        <v>250</v>
      </c>
      <c r="I359" s="2">
        <v>32</v>
      </c>
      <c r="J359" s="2">
        <v>16</v>
      </c>
      <c r="K359" s="2">
        <v>1</v>
      </c>
      <c r="O359" s="2">
        <v>2</v>
      </c>
      <c r="P359" s="2">
        <v>4</v>
      </c>
      <c r="U359" s="2">
        <v>4</v>
      </c>
      <c r="V359" s="2">
        <v>12</v>
      </c>
      <c r="W359" s="2">
        <v>4</v>
      </c>
      <c r="X359" s="2">
        <v>8</v>
      </c>
      <c r="Z359" s="2">
        <v>13</v>
      </c>
      <c r="AA359" s="3" t="s">
        <v>40</v>
      </c>
      <c r="AB359" s="2">
        <v>2</v>
      </c>
      <c r="AF359" s="2">
        <v>30.5</v>
      </c>
      <c r="AG359" s="2">
        <v>1</v>
      </c>
      <c r="AH359" s="3" t="s">
        <v>400</v>
      </c>
      <c r="AI359" s="4">
        <v>44704</v>
      </c>
      <c r="AJ359" s="3" t="s">
        <v>416</v>
      </c>
      <c r="AK359" s="3" t="s">
        <v>248</v>
      </c>
    </row>
    <row r="360" spans="1:37" hidden="1" x14ac:dyDescent="0.25">
      <c r="A360" t="str">
        <f t="shared" si="5"/>
        <v>2022_Vic_Kalkee_Chickpea_DetailedTOS1VarietyCBA_CaptainWaterTrtIrrigated</v>
      </c>
      <c r="B360" s="2">
        <v>2022002</v>
      </c>
      <c r="C360" s="3" t="s">
        <v>382</v>
      </c>
      <c r="D360" s="3" t="s">
        <v>248</v>
      </c>
      <c r="F360" s="3" t="s">
        <v>249</v>
      </c>
      <c r="G360" s="3" t="s">
        <v>43</v>
      </c>
      <c r="H360" s="3" t="s">
        <v>253</v>
      </c>
      <c r="I360" s="2">
        <v>33</v>
      </c>
      <c r="J360" s="2">
        <v>17</v>
      </c>
      <c r="K360" s="2">
        <v>2</v>
      </c>
      <c r="O360" s="2">
        <v>3</v>
      </c>
      <c r="P360" s="2">
        <v>5</v>
      </c>
      <c r="U360" s="2">
        <v>1</v>
      </c>
      <c r="V360" s="2">
        <v>14</v>
      </c>
      <c r="W360" s="2">
        <v>1</v>
      </c>
      <c r="X360" s="2">
        <v>9</v>
      </c>
      <c r="AA360" s="3" t="s">
        <v>57</v>
      </c>
      <c r="AB360" s="2">
        <v>1</v>
      </c>
      <c r="AF360" s="2">
        <v>30.5</v>
      </c>
      <c r="AG360" s="2">
        <v>1</v>
      </c>
      <c r="AH360" s="3" t="s">
        <v>400</v>
      </c>
      <c r="AI360" s="4">
        <v>44704</v>
      </c>
      <c r="AJ360" s="3" t="s">
        <v>417</v>
      </c>
      <c r="AK360" s="3" t="s">
        <v>248</v>
      </c>
    </row>
    <row r="361" spans="1:37" hidden="1" x14ac:dyDescent="0.25">
      <c r="A361" t="str">
        <f t="shared" si="5"/>
        <v>2022_Vic_Kalkee_Chickpea_DetailedTOS1VarietyCBA_CaptainWaterTrtIrrigated</v>
      </c>
      <c r="B361" s="2">
        <v>2022002</v>
      </c>
      <c r="C361" s="3" t="s">
        <v>382</v>
      </c>
      <c r="D361" s="3" t="s">
        <v>248</v>
      </c>
      <c r="F361" s="3" t="s">
        <v>249</v>
      </c>
      <c r="G361" s="3" t="s">
        <v>43</v>
      </c>
      <c r="H361" s="3" t="s">
        <v>250</v>
      </c>
      <c r="I361" s="2">
        <v>34</v>
      </c>
      <c r="J361" s="2">
        <v>17</v>
      </c>
      <c r="K361" s="2">
        <v>2</v>
      </c>
      <c r="O361" s="2">
        <v>3</v>
      </c>
      <c r="P361" s="2">
        <v>5</v>
      </c>
      <c r="U361" s="2">
        <v>1</v>
      </c>
      <c r="V361" s="2">
        <v>15</v>
      </c>
      <c r="W361" s="2">
        <v>1</v>
      </c>
      <c r="X361" s="2">
        <v>10</v>
      </c>
      <c r="Z361" s="2">
        <v>17</v>
      </c>
      <c r="AA361" s="3" t="s">
        <v>57</v>
      </c>
      <c r="AB361" s="2">
        <v>1</v>
      </c>
      <c r="AF361" s="2">
        <v>30.5</v>
      </c>
      <c r="AG361" s="2">
        <v>1</v>
      </c>
      <c r="AH361" s="3" t="s">
        <v>400</v>
      </c>
      <c r="AI361" s="4">
        <v>44704</v>
      </c>
      <c r="AJ361" s="3" t="s">
        <v>418</v>
      </c>
      <c r="AK361" s="3" t="s">
        <v>248</v>
      </c>
    </row>
    <row r="362" spans="1:37" hidden="1" x14ac:dyDescent="0.25">
      <c r="A362" t="str">
        <f t="shared" si="5"/>
        <v>2022_Vic_Kalkee_Chickpea_DetailedTOS1VarietyStrikerWaterTrtIrrigated</v>
      </c>
      <c r="B362" s="2">
        <v>2022002</v>
      </c>
      <c r="C362" s="3" t="s">
        <v>382</v>
      </c>
      <c r="D362" s="3" t="s">
        <v>248</v>
      </c>
      <c r="F362" s="3" t="s">
        <v>4179</v>
      </c>
      <c r="G362" s="3" t="s">
        <v>43</v>
      </c>
      <c r="H362" s="3" t="s">
        <v>253</v>
      </c>
      <c r="I362" s="2">
        <v>35</v>
      </c>
      <c r="J362" s="2">
        <v>18</v>
      </c>
      <c r="K362" s="2">
        <v>2</v>
      </c>
      <c r="O362" s="2">
        <v>3</v>
      </c>
      <c r="P362" s="2">
        <v>5</v>
      </c>
      <c r="U362" s="2">
        <v>2</v>
      </c>
      <c r="V362" s="2">
        <v>14</v>
      </c>
      <c r="W362" s="2">
        <v>2</v>
      </c>
      <c r="X362" s="2">
        <v>9</v>
      </c>
      <c r="AA362" s="3" t="s">
        <v>57</v>
      </c>
      <c r="AB362" s="2">
        <v>4</v>
      </c>
      <c r="AF362" s="2">
        <v>30.5</v>
      </c>
      <c r="AG362" s="2">
        <v>1</v>
      </c>
      <c r="AH362" s="3" t="s">
        <v>400</v>
      </c>
      <c r="AI362" s="4">
        <v>44704</v>
      </c>
      <c r="AJ362" s="3" t="s">
        <v>419</v>
      </c>
      <c r="AK362" s="3" t="s">
        <v>248</v>
      </c>
    </row>
    <row r="363" spans="1:37" hidden="1" x14ac:dyDescent="0.25">
      <c r="A363" t="str">
        <f t="shared" si="5"/>
        <v>2022_Vic_Kalkee_Chickpea_DetailedTOS1VarietyStrikerWaterTrtIrrigated</v>
      </c>
      <c r="B363" s="2">
        <v>2022002</v>
      </c>
      <c r="C363" s="3" t="s">
        <v>382</v>
      </c>
      <c r="D363" s="3" t="s">
        <v>248</v>
      </c>
      <c r="F363" s="3" t="s">
        <v>4179</v>
      </c>
      <c r="G363" s="3" t="s">
        <v>43</v>
      </c>
      <c r="H363" s="3" t="s">
        <v>250</v>
      </c>
      <c r="I363" s="2">
        <v>36</v>
      </c>
      <c r="J363" s="2">
        <v>18</v>
      </c>
      <c r="K363" s="2">
        <v>2</v>
      </c>
      <c r="O363" s="2">
        <v>3</v>
      </c>
      <c r="P363" s="2">
        <v>5</v>
      </c>
      <c r="U363" s="2">
        <v>2</v>
      </c>
      <c r="V363" s="2">
        <v>15</v>
      </c>
      <c r="W363" s="2">
        <v>2</v>
      </c>
      <c r="X363" s="2">
        <v>10</v>
      </c>
      <c r="Z363" s="2">
        <v>18</v>
      </c>
      <c r="AA363" s="3" t="s">
        <v>57</v>
      </c>
      <c r="AB363" s="2">
        <v>4</v>
      </c>
      <c r="AF363" s="2">
        <v>30.5</v>
      </c>
      <c r="AG363" s="2">
        <v>1</v>
      </c>
      <c r="AH363" s="3" t="s">
        <v>400</v>
      </c>
      <c r="AI363" s="4">
        <v>44704</v>
      </c>
      <c r="AJ363" s="3" t="s">
        <v>420</v>
      </c>
      <c r="AK363" s="3" t="s">
        <v>248</v>
      </c>
    </row>
    <row r="364" spans="1:37" hidden="1" x14ac:dyDescent="0.25">
      <c r="A364" t="str">
        <f t="shared" si="5"/>
        <v>2022_Vic_Kalkee_Chickpea_DetailedTOS1VarietyHatTrickWaterTrtIrrigated</v>
      </c>
      <c r="B364" s="2">
        <v>2022002</v>
      </c>
      <c r="C364" s="3" t="s">
        <v>382</v>
      </c>
      <c r="D364" s="3" t="s">
        <v>248</v>
      </c>
      <c r="F364" s="3" t="s">
        <v>4178</v>
      </c>
      <c r="G364" s="3" t="s">
        <v>39</v>
      </c>
      <c r="H364" s="3" t="s">
        <v>253</v>
      </c>
      <c r="I364" s="2">
        <v>37</v>
      </c>
      <c r="J364" s="2">
        <v>19</v>
      </c>
      <c r="K364" s="2">
        <v>2</v>
      </c>
      <c r="O364" s="2">
        <v>3</v>
      </c>
      <c r="P364" s="2">
        <v>5</v>
      </c>
      <c r="U364" s="2">
        <v>3</v>
      </c>
      <c r="V364" s="2">
        <v>14</v>
      </c>
      <c r="W364" s="2">
        <v>3</v>
      </c>
      <c r="X364" s="2">
        <v>9</v>
      </c>
      <c r="AA364" s="3" t="s">
        <v>57</v>
      </c>
      <c r="AB364" s="2">
        <v>3</v>
      </c>
      <c r="AF364" s="2">
        <v>30.5</v>
      </c>
      <c r="AG364" s="2">
        <v>1</v>
      </c>
      <c r="AH364" s="3" t="s">
        <v>400</v>
      </c>
      <c r="AI364" s="4">
        <v>44704</v>
      </c>
      <c r="AJ364" s="3" t="s">
        <v>421</v>
      </c>
      <c r="AK364" s="3" t="s">
        <v>248</v>
      </c>
    </row>
    <row r="365" spans="1:37" hidden="1" x14ac:dyDescent="0.25">
      <c r="A365" t="str">
        <f t="shared" si="5"/>
        <v>2022_Vic_Kalkee_Chickpea_DetailedTOS1VarietyHatTrickWaterTrtIrrigated</v>
      </c>
      <c r="B365" s="2">
        <v>2022002</v>
      </c>
      <c r="C365" s="3" t="s">
        <v>382</v>
      </c>
      <c r="D365" s="3" t="s">
        <v>248</v>
      </c>
      <c r="F365" s="3" t="s">
        <v>4178</v>
      </c>
      <c r="G365" s="3" t="s">
        <v>39</v>
      </c>
      <c r="H365" s="3" t="s">
        <v>250</v>
      </c>
      <c r="I365" s="2">
        <v>38</v>
      </c>
      <c r="J365" s="2">
        <v>19</v>
      </c>
      <c r="K365" s="2">
        <v>2</v>
      </c>
      <c r="O365" s="2">
        <v>3</v>
      </c>
      <c r="P365" s="2">
        <v>5</v>
      </c>
      <c r="U365" s="2">
        <v>3</v>
      </c>
      <c r="V365" s="2">
        <v>15</v>
      </c>
      <c r="W365" s="2">
        <v>3</v>
      </c>
      <c r="X365" s="2">
        <v>10</v>
      </c>
      <c r="Z365" s="2">
        <v>19</v>
      </c>
      <c r="AA365" s="3" t="s">
        <v>57</v>
      </c>
      <c r="AB365" s="2">
        <v>3</v>
      </c>
      <c r="AF365" s="2">
        <v>30.5</v>
      </c>
      <c r="AG365" s="2">
        <v>1</v>
      </c>
      <c r="AH365" s="3" t="s">
        <v>400</v>
      </c>
      <c r="AI365" s="4">
        <v>44704</v>
      </c>
      <c r="AJ365" s="3" t="s">
        <v>422</v>
      </c>
      <c r="AK365" s="3" t="s">
        <v>248</v>
      </c>
    </row>
    <row r="366" spans="1:37" hidden="1" x14ac:dyDescent="0.25">
      <c r="A366" t="str">
        <f t="shared" si="5"/>
        <v>2022_Vic_Kalkee_Chickpea_DetailedTOS1VarietyDrummondWaterTrtIrrigated</v>
      </c>
      <c r="B366" s="2">
        <v>2022002</v>
      </c>
      <c r="C366" s="3" t="s">
        <v>382</v>
      </c>
      <c r="D366" s="3" t="s">
        <v>248</v>
      </c>
      <c r="F366" s="3" t="s">
        <v>4182</v>
      </c>
      <c r="G366" s="3" t="s">
        <v>39</v>
      </c>
      <c r="H366" s="3" t="s">
        <v>253</v>
      </c>
      <c r="I366" s="2">
        <v>39</v>
      </c>
      <c r="J366" s="2">
        <v>20</v>
      </c>
      <c r="K366" s="2">
        <v>2</v>
      </c>
      <c r="O366" s="2">
        <v>3</v>
      </c>
      <c r="P366" s="2">
        <v>5</v>
      </c>
      <c r="U366" s="2">
        <v>4</v>
      </c>
      <c r="V366" s="2">
        <v>14</v>
      </c>
      <c r="W366" s="2">
        <v>4</v>
      </c>
      <c r="X366" s="2">
        <v>9</v>
      </c>
      <c r="AA366" s="3" t="s">
        <v>57</v>
      </c>
      <c r="AB366" s="2">
        <v>2</v>
      </c>
      <c r="AF366" s="2">
        <v>30.5</v>
      </c>
      <c r="AG366" s="2">
        <v>1</v>
      </c>
      <c r="AH366" s="3" t="s">
        <v>400</v>
      </c>
      <c r="AI366" s="4">
        <v>44704</v>
      </c>
      <c r="AJ366" s="3" t="s">
        <v>423</v>
      </c>
      <c r="AK366" s="3" t="s">
        <v>248</v>
      </c>
    </row>
    <row r="367" spans="1:37" hidden="1" x14ac:dyDescent="0.25">
      <c r="A367" t="str">
        <f t="shared" si="5"/>
        <v>2022_Vic_Kalkee_Chickpea_DetailedTOS1VarietyDrummondWaterTrtIrrigated</v>
      </c>
      <c r="B367" s="2">
        <v>2022002</v>
      </c>
      <c r="C367" s="3" t="s">
        <v>382</v>
      </c>
      <c r="D367" s="3" t="s">
        <v>248</v>
      </c>
      <c r="F367" s="3" t="s">
        <v>4182</v>
      </c>
      <c r="G367" s="3" t="s">
        <v>39</v>
      </c>
      <c r="H367" s="3" t="s">
        <v>250</v>
      </c>
      <c r="I367" s="2">
        <v>40</v>
      </c>
      <c r="J367" s="2">
        <v>20</v>
      </c>
      <c r="K367" s="2">
        <v>2</v>
      </c>
      <c r="O367" s="2">
        <v>3</v>
      </c>
      <c r="P367" s="2">
        <v>5</v>
      </c>
      <c r="U367" s="2">
        <v>4</v>
      </c>
      <c r="V367" s="2">
        <v>15</v>
      </c>
      <c r="W367" s="2">
        <v>4</v>
      </c>
      <c r="X367" s="2">
        <v>10</v>
      </c>
      <c r="Z367" s="2">
        <v>20</v>
      </c>
      <c r="AA367" s="3" t="s">
        <v>57</v>
      </c>
      <c r="AB367" s="2">
        <v>2</v>
      </c>
      <c r="AF367" s="2">
        <v>30.5</v>
      </c>
      <c r="AG367" s="2">
        <v>1</v>
      </c>
      <c r="AH367" s="3" t="s">
        <v>400</v>
      </c>
      <c r="AI367" s="4">
        <v>44704</v>
      </c>
      <c r="AJ367" s="3" t="s">
        <v>424</v>
      </c>
      <c r="AK367" s="3" t="s">
        <v>248</v>
      </c>
    </row>
    <row r="368" spans="1:37" hidden="1" x14ac:dyDescent="0.25">
      <c r="A368" t="str">
        <f t="shared" si="5"/>
        <v>2022_Vic_Kalkee_Chickpea_DetailedTOS1VarietyDrummondWaterTrtRainFed</v>
      </c>
      <c r="B368" s="2">
        <v>2022002</v>
      </c>
      <c r="C368" s="3" t="s">
        <v>382</v>
      </c>
      <c r="D368" s="3" t="s">
        <v>248</v>
      </c>
      <c r="F368" s="3" t="s">
        <v>4182</v>
      </c>
      <c r="G368" s="3" t="s">
        <v>39</v>
      </c>
      <c r="H368" s="3" t="s">
        <v>253</v>
      </c>
      <c r="I368" s="2">
        <v>41</v>
      </c>
      <c r="J368" s="2">
        <v>21</v>
      </c>
      <c r="K368" s="2">
        <v>2</v>
      </c>
      <c r="O368" s="2">
        <v>3</v>
      </c>
      <c r="P368" s="2">
        <v>6</v>
      </c>
      <c r="U368" s="2">
        <v>1</v>
      </c>
      <c r="V368" s="2">
        <v>17</v>
      </c>
      <c r="W368" s="2">
        <v>1</v>
      </c>
      <c r="X368" s="2">
        <v>11</v>
      </c>
      <c r="AA368" s="3" t="s">
        <v>40</v>
      </c>
      <c r="AB368" s="2">
        <v>2</v>
      </c>
      <c r="AF368" s="2">
        <v>30.5</v>
      </c>
      <c r="AG368" s="2">
        <v>1</v>
      </c>
      <c r="AH368" s="3" t="s">
        <v>400</v>
      </c>
      <c r="AI368" s="4">
        <v>44704</v>
      </c>
      <c r="AJ368" s="3" t="s">
        <v>425</v>
      </c>
      <c r="AK368" s="3" t="s">
        <v>248</v>
      </c>
    </row>
    <row r="369" spans="1:37" hidden="1" x14ac:dyDescent="0.25">
      <c r="A369" t="str">
        <f t="shared" si="5"/>
        <v>2022_Vic_Kalkee_Chickpea_DetailedTOS1VarietyDrummondWaterTrtRainFed</v>
      </c>
      <c r="B369" s="2">
        <v>2022002</v>
      </c>
      <c r="C369" s="3" t="s">
        <v>382</v>
      </c>
      <c r="D369" s="3" t="s">
        <v>248</v>
      </c>
      <c r="F369" s="3" t="s">
        <v>4182</v>
      </c>
      <c r="G369" s="3" t="s">
        <v>39</v>
      </c>
      <c r="H369" s="3" t="s">
        <v>250</v>
      </c>
      <c r="I369" s="2">
        <v>42</v>
      </c>
      <c r="J369" s="2">
        <v>21</v>
      </c>
      <c r="K369" s="2">
        <v>2</v>
      </c>
      <c r="O369" s="2">
        <v>3</v>
      </c>
      <c r="P369" s="2">
        <v>6</v>
      </c>
      <c r="U369" s="2">
        <v>1</v>
      </c>
      <c r="V369" s="2">
        <v>18</v>
      </c>
      <c r="W369" s="2">
        <v>1</v>
      </c>
      <c r="X369" s="2">
        <v>12</v>
      </c>
      <c r="Z369" s="2">
        <v>24</v>
      </c>
      <c r="AA369" s="3" t="s">
        <v>40</v>
      </c>
      <c r="AB369" s="2">
        <v>2</v>
      </c>
      <c r="AF369" s="2">
        <v>30.5</v>
      </c>
      <c r="AG369" s="2">
        <v>1</v>
      </c>
      <c r="AH369" s="3" t="s">
        <v>400</v>
      </c>
      <c r="AI369" s="4">
        <v>44704</v>
      </c>
      <c r="AJ369" s="3" t="s">
        <v>426</v>
      </c>
      <c r="AK369" s="3" t="s">
        <v>248</v>
      </c>
    </row>
    <row r="370" spans="1:37" hidden="1" x14ac:dyDescent="0.25">
      <c r="A370" t="str">
        <f t="shared" si="5"/>
        <v>2022_Vic_Kalkee_Chickpea_DetailedTOS1VarietyHatTrickWaterTrtRainFed</v>
      </c>
      <c r="B370" s="2">
        <v>2022002</v>
      </c>
      <c r="C370" s="3" t="s">
        <v>382</v>
      </c>
      <c r="D370" s="3" t="s">
        <v>248</v>
      </c>
      <c r="F370" s="3" t="s">
        <v>4178</v>
      </c>
      <c r="G370" s="3" t="s">
        <v>39</v>
      </c>
      <c r="H370" s="3" t="s">
        <v>253</v>
      </c>
      <c r="I370" s="2">
        <v>43</v>
      </c>
      <c r="J370" s="2">
        <v>22</v>
      </c>
      <c r="K370" s="2">
        <v>2</v>
      </c>
      <c r="O370" s="2">
        <v>3</v>
      </c>
      <c r="P370" s="2">
        <v>6</v>
      </c>
      <c r="U370" s="2">
        <v>2</v>
      </c>
      <c r="V370" s="2">
        <v>17</v>
      </c>
      <c r="W370" s="2">
        <v>2</v>
      </c>
      <c r="X370" s="2">
        <v>11</v>
      </c>
      <c r="AA370" s="3" t="s">
        <v>40</v>
      </c>
      <c r="AB370" s="2">
        <v>3</v>
      </c>
      <c r="AF370" s="2">
        <v>30.5</v>
      </c>
      <c r="AG370" s="2">
        <v>1</v>
      </c>
      <c r="AH370" s="3" t="s">
        <v>400</v>
      </c>
      <c r="AI370" s="4">
        <v>44704</v>
      </c>
      <c r="AJ370" s="3" t="s">
        <v>427</v>
      </c>
      <c r="AK370" s="3" t="s">
        <v>248</v>
      </c>
    </row>
    <row r="371" spans="1:37" hidden="1" x14ac:dyDescent="0.25">
      <c r="A371" t="str">
        <f t="shared" si="5"/>
        <v>2022_Vic_Kalkee_Chickpea_DetailedTOS1VarietyHatTrickWaterTrtRainFed</v>
      </c>
      <c r="B371" s="2">
        <v>2022002</v>
      </c>
      <c r="C371" s="3" t="s">
        <v>382</v>
      </c>
      <c r="D371" s="3" t="s">
        <v>248</v>
      </c>
      <c r="F371" s="3" t="s">
        <v>4178</v>
      </c>
      <c r="G371" s="3" t="s">
        <v>39</v>
      </c>
      <c r="H371" s="3" t="s">
        <v>250</v>
      </c>
      <c r="I371" s="2">
        <v>44</v>
      </c>
      <c r="J371" s="2">
        <v>22</v>
      </c>
      <c r="K371" s="2">
        <v>2</v>
      </c>
      <c r="O371" s="2">
        <v>3</v>
      </c>
      <c r="P371" s="2">
        <v>6</v>
      </c>
      <c r="U371" s="2">
        <v>2</v>
      </c>
      <c r="V371" s="2">
        <v>18</v>
      </c>
      <c r="W371" s="2">
        <v>2</v>
      </c>
      <c r="X371" s="2">
        <v>12</v>
      </c>
      <c r="Z371" s="2">
        <v>23</v>
      </c>
      <c r="AA371" s="3" t="s">
        <v>40</v>
      </c>
      <c r="AB371" s="2">
        <v>3</v>
      </c>
      <c r="AF371" s="2">
        <v>30.5</v>
      </c>
      <c r="AG371" s="2">
        <v>1</v>
      </c>
      <c r="AH371" s="3" t="s">
        <v>400</v>
      </c>
      <c r="AI371" s="4">
        <v>44704</v>
      </c>
      <c r="AJ371" s="3" t="s">
        <v>428</v>
      </c>
      <c r="AK371" s="3" t="s">
        <v>248</v>
      </c>
    </row>
    <row r="372" spans="1:37" hidden="1" x14ac:dyDescent="0.25">
      <c r="A372" t="str">
        <f t="shared" si="5"/>
        <v>2022_Vic_Kalkee_Chickpea_DetailedTOS1VarietyCBA_CaptainWaterTrtRainFed</v>
      </c>
      <c r="B372" s="2">
        <v>2022002</v>
      </c>
      <c r="C372" s="3" t="s">
        <v>382</v>
      </c>
      <c r="D372" s="3" t="s">
        <v>248</v>
      </c>
      <c r="F372" s="3" t="s">
        <v>249</v>
      </c>
      <c r="G372" s="3" t="s">
        <v>43</v>
      </c>
      <c r="H372" s="3" t="s">
        <v>253</v>
      </c>
      <c r="I372" s="2">
        <v>45</v>
      </c>
      <c r="J372" s="2">
        <v>23</v>
      </c>
      <c r="K372" s="2">
        <v>2</v>
      </c>
      <c r="O372" s="2">
        <v>3</v>
      </c>
      <c r="P372" s="2">
        <v>6</v>
      </c>
      <c r="U372" s="2">
        <v>3</v>
      </c>
      <c r="V372" s="2">
        <v>17</v>
      </c>
      <c r="W372" s="2">
        <v>3</v>
      </c>
      <c r="X372" s="2">
        <v>11</v>
      </c>
      <c r="AA372" s="3" t="s">
        <v>40</v>
      </c>
      <c r="AB372" s="2">
        <v>1</v>
      </c>
      <c r="AF372" s="2">
        <v>30.5</v>
      </c>
      <c r="AG372" s="2">
        <v>1</v>
      </c>
      <c r="AH372" s="3" t="s">
        <v>400</v>
      </c>
      <c r="AI372" s="4">
        <v>44704</v>
      </c>
      <c r="AJ372" s="3" t="s">
        <v>429</v>
      </c>
      <c r="AK372" s="3" t="s">
        <v>248</v>
      </c>
    </row>
    <row r="373" spans="1:37" hidden="1" x14ac:dyDescent="0.25">
      <c r="A373" t="str">
        <f t="shared" si="5"/>
        <v>2022_Vic_Kalkee_Chickpea_DetailedTOS1VarietyCBA_CaptainWaterTrtRainFed</v>
      </c>
      <c r="B373" s="2">
        <v>2022002</v>
      </c>
      <c r="C373" s="3" t="s">
        <v>382</v>
      </c>
      <c r="D373" s="3" t="s">
        <v>248</v>
      </c>
      <c r="F373" s="3" t="s">
        <v>249</v>
      </c>
      <c r="G373" s="3" t="s">
        <v>43</v>
      </c>
      <c r="H373" s="3" t="s">
        <v>250</v>
      </c>
      <c r="I373" s="2">
        <v>46</v>
      </c>
      <c r="J373" s="2">
        <v>23</v>
      </c>
      <c r="K373" s="2">
        <v>2</v>
      </c>
      <c r="O373" s="2">
        <v>3</v>
      </c>
      <c r="P373" s="2">
        <v>6</v>
      </c>
      <c r="U373" s="2">
        <v>3</v>
      </c>
      <c r="V373" s="2">
        <v>18</v>
      </c>
      <c r="W373" s="2">
        <v>3</v>
      </c>
      <c r="X373" s="2">
        <v>12</v>
      </c>
      <c r="Z373" s="2">
        <v>22</v>
      </c>
      <c r="AA373" s="3" t="s">
        <v>40</v>
      </c>
      <c r="AB373" s="2">
        <v>1</v>
      </c>
      <c r="AF373" s="2">
        <v>30.5</v>
      </c>
      <c r="AG373" s="2">
        <v>1</v>
      </c>
      <c r="AH373" s="3" t="s">
        <v>400</v>
      </c>
      <c r="AI373" s="4">
        <v>44704</v>
      </c>
      <c r="AJ373" s="3" t="s">
        <v>430</v>
      </c>
      <c r="AK373" s="3" t="s">
        <v>248</v>
      </c>
    </row>
    <row r="374" spans="1:37" hidden="1" x14ac:dyDescent="0.25">
      <c r="A374" t="str">
        <f t="shared" si="5"/>
        <v>2022_Vic_Kalkee_Chickpea_DetailedTOS1VarietyStrikerWaterTrtRainFed</v>
      </c>
      <c r="B374" s="2">
        <v>2022002</v>
      </c>
      <c r="C374" s="3" t="s">
        <v>382</v>
      </c>
      <c r="D374" s="3" t="s">
        <v>248</v>
      </c>
      <c r="F374" s="3" t="s">
        <v>4179</v>
      </c>
      <c r="G374" s="3" t="s">
        <v>43</v>
      </c>
      <c r="H374" s="3" t="s">
        <v>253</v>
      </c>
      <c r="I374" s="2">
        <v>47</v>
      </c>
      <c r="J374" s="2">
        <v>24</v>
      </c>
      <c r="K374" s="2">
        <v>2</v>
      </c>
      <c r="O374" s="2">
        <v>3</v>
      </c>
      <c r="P374" s="2">
        <v>6</v>
      </c>
      <c r="U374" s="2">
        <v>4</v>
      </c>
      <c r="V374" s="2">
        <v>17</v>
      </c>
      <c r="W374" s="2">
        <v>4</v>
      </c>
      <c r="X374" s="2">
        <v>11</v>
      </c>
      <c r="AA374" s="3" t="s">
        <v>40</v>
      </c>
      <c r="AB374" s="2">
        <v>4</v>
      </c>
      <c r="AF374" s="2">
        <v>30.5</v>
      </c>
      <c r="AG374" s="2">
        <v>1</v>
      </c>
      <c r="AH374" s="3" t="s">
        <v>400</v>
      </c>
      <c r="AI374" s="4">
        <v>44704</v>
      </c>
      <c r="AJ374" s="3" t="s">
        <v>431</v>
      </c>
      <c r="AK374" s="3" t="s">
        <v>248</v>
      </c>
    </row>
    <row r="375" spans="1:37" hidden="1" x14ac:dyDescent="0.25">
      <c r="A375" t="str">
        <f t="shared" si="5"/>
        <v>2022_Vic_Kalkee_Chickpea_DetailedTOS1VarietyStrikerWaterTrtRainFed</v>
      </c>
      <c r="B375" s="2">
        <v>2022002</v>
      </c>
      <c r="C375" s="3" t="s">
        <v>382</v>
      </c>
      <c r="D375" s="3" t="s">
        <v>248</v>
      </c>
      <c r="F375" s="3" t="s">
        <v>4179</v>
      </c>
      <c r="G375" s="3" t="s">
        <v>43</v>
      </c>
      <c r="H375" s="3" t="s">
        <v>250</v>
      </c>
      <c r="I375" s="2">
        <v>48</v>
      </c>
      <c r="J375" s="2">
        <v>24</v>
      </c>
      <c r="K375" s="2">
        <v>2</v>
      </c>
      <c r="O375" s="2">
        <v>3</v>
      </c>
      <c r="P375" s="2">
        <v>6</v>
      </c>
      <c r="U375" s="2">
        <v>4</v>
      </c>
      <c r="V375" s="2">
        <v>18</v>
      </c>
      <c r="W375" s="2">
        <v>4</v>
      </c>
      <c r="X375" s="2">
        <v>12</v>
      </c>
      <c r="Z375" s="2">
        <v>21</v>
      </c>
      <c r="AA375" s="3" t="s">
        <v>40</v>
      </c>
      <c r="AB375" s="2">
        <v>4</v>
      </c>
      <c r="AF375" s="2">
        <v>30.5</v>
      </c>
      <c r="AG375" s="2">
        <v>1</v>
      </c>
      <c r="AH375" s="3" t="s">
        <v>400</v>
      </c>
      <c r="AI375" s="4">
        <v>44704</v>
      </c>
      <c r="AJ375" s="3" t="s">
        <v>432</v>
      </c>
      <c r="AK375" s="3" t="s">
        <v>248</v>
      </c>
    </row>
    <row r="376" spans="1:37" hidden="1" x14ac:dyDescent="0.25">
      <c r="A376" t="str">
        <f t="shared" si="5"/>
        <v>2022_Vic_Kalkee_Chickpea_DetailedTOS2VarietyStrikerWaterTrtRainFed</v>
      </c>
      <c r="B376" s="2">
        <v>2022002</v>
      </c>
      <c r="C376" s="3" t="s">
        <v>382</v>
      </c>
      <c r="D376" s="3" t="s">
        <v>248</v>
      </c>
      <c r="F376" s="3" t="s">
        <v>4179</v>
      </c>
      <c r="G376" s="3" t="s">
        <v>43</v>
      </c>
      <c r="H376" s="3" t="s">
        <v>253</v>
      </c>
      <c r="I376" s="2">
        <v>49</v>
      </c>
      <c r="J376" s="2">
        <v>25</v>
      </c>
      <c r="K376" s="2">
        <v>2</v>
      </c>
      <c r="O376" s="2">
        <v>4</v>
      </c>
      <c r="P376" s="2">
        <v>7</v>
      </c>
      <c r="U376" s="2">
        <v>1</v>
      </c>
      <c r="V376" s="2">
        <v>20</v>
      </c>
      <c r="W376" s="2">
        <v>1</v>
      </c>
      <c r="X376" s="2">
        <v>13</v>
      </c>
      <c r="AA376" s="3" t="s">
        <v>40</v>
      </c>
      <c r="AB376" s="2">
        <v>4</v>
      </c>
      <c r="AF376" s="2">
        <v>30.5</v>
      </c>
      <c r="AG376" s="2">
        <v>2</v>
      </c>
      <c r="AH376" s="3" t="s">
        <v>383</v>
      </c>
      <c r="AI376" s="4">
        <v>44740</v>
      </c>
      <c r="AJ376" s="3" t="s">
        <v>433</v>
      </c>
      <c r="AK376" s="3" t="s">
        <v>248</v>
      </c>
    </row>
    <row r="377" spans="1:37" hidden="1" x14ac:dyDescent="0.25">
      <c r="A377" t="str">
        <f t="shared" si="5"/>
        <v>2022_Vic_Kalkee_Chickpea_DetailedTOS2VarietyStrikerWaterTrtRainFed</v>
      </c>
      <c r="B377" s="2">
        <v>2022002</v>
      </c>
      <c r="C377" s="3" t="s">
        <v>382</v>
      </c>
      <c r="D377" s="3" t="s">
        <v>248</v>
      </c>
      <c r="F377" s="3" t="s">
        <v>4179</v>
      </c>
      <c r="G377" s="3" t="s">
        <v>43</v>
      </c>
      <c r="H377" s="3" t="s">
        <v>250</v>
      </c>
      <c r="I377" s="2">
        <v>50</v>
      </c>
      <c r="J377" s="2">
        <v>25</v>
      </c>
      <c r="K377" s="2">
        <v>2</v>
      </c>
      <c r="O377" s="2">
        <v>4</v>
      </c>
      <c r="P377" s="2">
        <v>7</v>
      </c>
      <c r="U377" s="2">
        <v>1</v>
      </c>
      <c r="V377" s="2">
        <v>21</v>
      </c>
      <c r="W377" s="2">
        <v>1</v>
      </c>
      <c r="X377" s="2">
        <v>14</v>
      </c>
      <c r="Z377" s="2">
        <v>25</v>
      </c>
      <c r="AA377" s="3" t="s">
        <v>40</v>
      </c>
      <c r="AB377" s="2">
        <v>4</v>
      </c>
      <c r="AF377" s="2">
        <v>30.5</v>
      </c>
      <c r="AG377" s="2">
        <v>2</v>
      </c>
      <c r="AH377" s="3" t="s">
        <v>383</v>
      </c>
      <c r="AI377" s="4">
        <v>44740</v>
      </c>
      <c r="AJ377" s="3" t="s">
        <v>434</v>
      </c>
      <c r="AK377" s="3" t="s">
        <v>248</v>
      </c>
    </row>
    <row r="378" spans="1:37" hidden="1" x14ac:dyDescent="0.25">
      <c r="A378" t="str">
        <f t="shared" si="5"/>
        <v>2022_Vic_Kalkee_Chickpea_DetailedTOS2VarietyCBA_CaptainWaterTrtRainFed</v>
      </c>
      <c r="B378" s="2">
        <v>2022002</v>
      </c>
      <c r="C378" s="3" t="s">
        <v>382</v>
      </c>
      <c r="D378" s="3" t="s">
        <v>248</v>
      </c>
      <c r="F378" s="3" t="s">
        <v>249</v>
      </c>
      <c r="G378" s="3" t="s">
        <v>43</v>
      </c>
      <c r="H378" s="3" t="s">
        <v>253</v>
      </c>
      <c r="I378" s="2">
        <v>51</v>
      </c>
      <c r="J378" s="2">
        <v>26</v>
      </c>
      <c r="K378" s="2">
        <v>2</v>
      </c>
      <c r="O378" s="2">
        <v>4</v>
      </c>
      <c r="P378" s="2">
        <v>7</v>
      </c>
      <c r="U378" s="2">
        <v>2</v>
      </c>
      <c r="V378" s="2">
        <v>20</v>
      </c>
      <c r="W378" s="2">
        <v>2</v>
      </c>
      <c r="X378" s="2">
        <v>13</v>
      </c>
      <c r="AA378" s="3" t="s">
        <v>40</v>
      </c>
      <c r="AB378" s="2">
        <v>1</v>
      </c>
      <c r="AF378" s="2">
        <v>30.5</v>
      </c>
      <c r="AG378" s="2">
        <v>2</v>
      </c>
      <c r="AH378" s="3" t="s">
        <v>383</v>
      </c>
      <c r="AI378" s="4">
        <v>44740</v>
      </c>
      <c r="AJ378" s="3" t="s">
        <v>435</v>
      </c>
      <c r="AK378" s="3" t="s">
        <v>248</v>
      </c>
    </row>
    <row r="379" spans="1:37" hidden="1" x14ac:dyDescent="0.25">
      <c r="A379" t="str">
        <f t="shared" si="5"/>
        <v>2022_Vic_Kalkee_Chickpea_DetailedTOS2VarietyCBA_CaptainWaterTrtRainFed</v>
      </c>
      <c r="B379" s="2">
        <v>2022002</v>
      </c>
      <c r="C379" s="3" t="s">
        <v>382</v>
      </c>
      <c r="D379" s="3" t="s">
        <v>248</v>
      </c>
      <c r="F379" s="3" t="s">
        <v>249</v>
      </c>
      <c r="G379" s="3" t="s">
        <v>43</v>
      </c>
      <c r="H379" s="3" t="s">
        <v>250</v>
      </c>
      <c r="I379" s="2">
        <v>52</v>
      </c>
      <c r="J379" s="2">
        <v>26</v>
      </c>
      <c r="K379" s="2">
        <v>2</v>
      </c>
      <c r="O379" s="2">
        <v>4</v>
      </c>
      <c r="P379" s="2">
        <v>7</v>
      </c>
      <c r="U379" s="2">
        <v>2</v>
      </c>
      <c r="V379" s="2">
        <v>21</v>
      </c>
      <c r="W379" s="2">
        <v>2</v>
      </c>
      <c r="X379" s="2">
        <v>14</v>
      </c>
      <c r="Z379" s="2">
        <v>26</v>
      </c>
      <c r="AA379" s="3" t="s">
        <v>40</v>
      </c>
      <c r="AB379" s="2">
        <v>1</v>
      </c>
      <c r="AF379" s="2">
        <v>30.5</v>
      </c>
      <c r="AG379" s="2">
        <v>2</v>
      </c>
      <c r="AH379" s="3" t="s">
        <v>383</v>
      </c>
      <c r="AI379" s="4">
        <v>44740</v>
      </c>
      <c r="AJ379" s="3" t="s">
        <v>436</v>
      </c>
      <c r="AK379" s="3" t="s">
        <v>248</v>
      </c>
    </row>
    <row r="380" spans="1:37" hidden="1" x14ac:dyDescent="0.25">
      <c r="A380" t="str">
        <f t="shared" si="5"/>
        <v>2022_Vic_Kalkee_Chickpea_DetailedTOS2VarietyDrummondWaterTrtRainFed</v>
      </c>
      <c r="B380" s="2">
        <v>2022002</v>
      </c>
      <c r="C380" s="3" t="s">
        <v>382</v>
      </c>
      <c r="D380" s="3" t="s">
        <v>248</v>
      </c>
      <c r="F380" s="3" t="s">
        <v>4182</v>
      </c>
      <c r="G380" s="3" t="s">
        <v>39</v>
      </c>
      <c r="H380" s="3" t="s">
        <v>253</v>
      </c>
      <c r="I380" s="2">
        <v>53</v>
      </c>
      <c r="J380" s="2">
        <v>27</v>
      </c>
      <c r="K380" s="2">
        <v>2</v>
      </c>
      <c r="O380" s="2">
        <v>4</v>
      </c>
      <c r="P380" s="2">
        <v>7</v>
      </c>
      <c r="U380" s="2">
        <v>3</v>
      </c>
      <c r="V380" s="2">
        <v>20</v>
      </c>
      <c r="W380" s="2">
        <v>3</v>
      </c>
      <c r="X380" s="2">
        <v>13</v>
      </c>
      <c r="AA380" s="3" t="s">
        <v>40</v>
      </c>
      <c r="AB380" s="2">
        <v>2</v>
      </c>
      <c r="AF380" s="2">
        <v>30.5</v>
      </c>
      <c r="AG380" s="2">
        <v>2</v>
      </c>
      <c r="AH380" s="3" t="s">
        <v>383</v>
      </c>
      <c r="AI380" s="4">
        <v>44740</v>
      </c>
      <c r="AJ380" s="3" t="s">
        <v>437</v>
      </c>
      <c r="AK380" s="3" t="s">
        <v>248</v>
      </c>
    </row>
    <row r="381" spans="1:37" hidden="1" x14ac:dyDescent="0.25">
      <c r="A381" t="str">
        <f t="shared" si="5"/>
        <v>2022_Vic_Kalkee_Chickpea_DetailedTOS2VarietyDrummondWaterTrtRainFed</v>
      </c>
      <c r="B381" s="2">
        <v>2022002</v>
      </c>
      <c r="C381" s="3" t="s">
        <v>382</v>
      </c>
      <c r="D381" s="3" t="s">
        <v>248</v>
      </c>
      <c r="F381" s="3" t="s">
        <v>4182</v>
      </c>
      <c r="G381" s="3" t="s">
        <v>39</v>
      </c>
      <c r="H381" s="3" t="s">
        <v>250</v>
      </c>
      <c r="I381" s="2">
        <v>54</v>
      </c>
      <c r="J381" s="2">
        <v>27</v>
      </c>
      <c r="K381" s="2">
        <v>2</v>
      </c>
      <c r="O381" s="2">
        <v>4</v>
      </c>
      <c r="P381" s="2">
        <v>7</v>
      </c>
      <c r="U381" s="2">
        <v>3</v>
      </c>
      <c r="V381" s="2">
        <v>21</v>
      </c>
      <c r="W381" s="2">
        <v>3</v>
      </c>
      <c r="X381" s="2">
        <v>14</v>
      </c>
      <c r="Z381" s="2">
        <v>27</v>
      </c>
      <c r="AA381" s="3" t="s">
        <v>40</v>
      </c>
      <c r="AB381" s="2">
        <v>2</v>
      </c>
      <c r="AF381" s="2">
        <v>30.5</v>
      </c>
      <c r="AG381" s="2">
        <v>2</v>
      </c>
      <c r="AH381" s="3" t="s">
        <v>383</v>
      </c>
      <c r="AI381" s="4">
        <v>44740</v>
      </c>
      <c r="AJ381" s="3" t="s">
        <v>438</v>
      </c>
      <c r="AK381" s="3" t="s">
        <v>248</v>
      </c>
    </row>
    <row r="382" spans="1:37" hidden="1" x14ac:dyDescent="0.25">
      <c r="A382" t="str">
        <f t="shared" si="5"/>
        <v>2022_Vic_Kalkee_Chickpea_DetailedTOS2VarietyHatTrickWaterTrtRainFed</v>
      </c>
      <c r="B382" s="2">
        <v>2022002</v>
      </c>
      <c r="C382" s="3" t="s">
        <v>382</v>
      </c>
      <c r="D382" s="3" t="s">
        <v>248</v>
      </c>
      <c r="F382" s="3" t="s">
        <v>4178</v>
      </c>
      <c r="G382" s="3" t="s">
        <v>39</v>
      </c>
      <c r="H382" s="3" t="s">
        <v>253</v>
      </c>
      <c r="I382" s="2">
        <v>55</v>
      </c>
      <c r="J382" s="2">
        <v>28</v>
      </c>
      <c r="K382" s="2">
        <v>2</v>
      </c>
      <c r="O382" s="2">
        <v>4</v>
      </c>
      <c r="P382" s="2">
        <v>7</v>
      </c>
      <c r="U382" s="2">
        <v>4</v>
      </c>
      <c r="V382" s="2">
        <v>20</v>
      </c>
      <c r="W382" s="2">
        <v>4</v>
      </c>
      <c r="X382" s="2">
        <v>13</v>
      </c>
      <c r="AA382" s="3" t="s">
        <v>40</v>
      </c>
      <c r="AB382" s="2">
        <v>3</v>
      </c>
      <c r="AF382" s="2">
        <v>30.5</v>
      </c>
      <c r="AG382" s="2">
        <v>2</v>
      </c>
      <c r="AH382" s="3" t="s">
        <v>383</v>
      </c>
      <c r="AI382" s="4">
        <v>44740</v>
      </c>
      <c r="AJ382" s="3" t="s">
        <v>439</v>
      </c>
      <c r="AK382" s="3" t="s">
        <v>248</v>
      </c>
    </row>
    <row r="383" spans="1:37" hidden="1" x14ac:dyDescent="0.25">
      <c r="A383" t="str">
        <f t="shared" si="5"/>
        <v>2022_Vic_Kalkee_Chickpea_DetailedTOS2VarietyHatTrickWaterTrtRainFed</v>
      </c>
      <c r="B383" s="2">
        <v>2022002</v>
      </c>
      <c r="C383" s="3" t="s">
        <v>382</v>
      </c>
      <c r="D383" s="3" t="s">
        <v>248</v>
      </c>
      <c r="F383" s="3" t="s">
        <v>4178</v>
      </c>
      <c r="G383" s="3" t="s">
        <v>39</v>
      </c>
      <c r="H383" s="3" t="s">
        <v>250</v>
      </c>
      <c r="I383" s="2">
        <v>56</v>
      </c>
      <c r="J383" s="2">
        <v>28</v>
      </c>
      <c r="K383" s="2">
        <v>2</v>
      </c>
      <c r="O383" s="2">
        <v>4</v>
      </c>
      <c r="P383" s="2">
        <v>7</v>
      </c>
      <c r="U383" s="2">
        <v>4</v>
      </c>
      <c r="V383" s="2">
        <v>21</v>
      </c>
      <c r="W383" s="2">
        <v>4</v>
      </c>
      <c r="X383" s="2">
        <v>14</v>
      </c>
      <c r="Z383" s="2">
        <v>28</v>
      </c>
      <c r="AA383" s="3" t="s">
        <v>40</v>
      </c>
      <c r="AB383" s="2">
        <v>3</v>
      </c>
      <c r="AF383" s="2">
        <v>30.5</v>
      </c>
      <c r="AG383" s="2">
        <v>2</v>
      </c>
      <c r="AH383" s="3" t="s">
        <v>383</v>
      </c>
      <c r="AI383" s="4">
        <v>44740</v>
      </c>
      <c r="AJ383" s="3" t="s">
        <v>440</v>
      </c>
      <c r="AK383" s="3" t="s">
        <v>248</v>
      </c>
    </row>
    <row r="384" spans="1:37" hidden="1" x14ac:dyDescent="0.25">
      <c r="A384" t="str">
        <f t="shared" si="5"/>
        <v>2022_Vic_Kalkee_Chickpea_DetailedTOS2VarietyHatTrickWaterTrtIrrigated</v>
      </c>
      <c r="B384" s="2">
        <v>2022002</v>
      </c>
      <c r="C384" s="3" t="s">
        <v>382</v>
      </c>
      <c r="D384" s="3" t="s">
        <v>248</v>
      </c>
      <c r="F384" s="3" t="s">
        <v>4178</v>
      </c>
      <c r="G384" s="3" t="s">
        <v>39</v>
      </c>
      <c r="H384" s="3" t="s">
        <v>253</v>
      </c>
      <c r="I384" s="2">
        <v>57</v>
      </c>
      <c r="J384" s="2">
        <v>29</v>
      </c>
      <c r="K384" s="2">
        <v>2</v>
      </c>
      <c r="O384" s="2">
        <v>4</v>
      </c>
      <c r="P384" s="2">
        <v>8</v>
      </c>
      <c r="U384" s="2">
        <v>1</v>
      </c>
      <c r="V384" s="2">
        <v>23</v>
      </c>
      <c r="W384" s="2">
        <v>1</v>
      </c>
      <c r="X384" s="2">
        <v>15</v>
      </c>
      <c r="AA384" s="3" t="s">
        <v>57</v>
      </c>
      <c r="AB384" s="2">
        <v>3</v>
      </c>
      <c r="AF384" s="2">
        <v>30.5</v>
      </c>
      <c r="AG384" s="2">
        <v>2</v>
      </c>
      <c r="AH384" s="3" t="s">
        <v>383</v>
      </c>
      <c r="AI384" s="4">
        <v>44740</v>
      </c>
      <c r="AJ384" s="3" t="s">
        <v>441</v>
      </c>
      <c r="AK384" s="3" t="s">
        <v>248</v>
      </c>
    </row>
    <row r="385" spans="1:37" hidden="1" x14ac:dyDescent="0.25">
      <c r="A385" t="str">
        <f t="shared" si="5"/>
        <v>2022_Vic_Kalkee_Chickpea_DetailedTOS2VarietyHatTrickWaterTrtIrrigated</v>
      </c>
      <c r="B385" s="2">
        <v>2022002</v>
      </c>
      <c r="C385" s="3" t="s">
        <v>382</v>
      </c>
      <c r="D385" s="3" t="s">
        <v>248</v>
      </c>
      <c r="F385" s="3" t="s">
        <v>4178</v>
      </c>
      <c r="G385" s="3" t="s">
        <v>39</v>
      </c>
      <c r="H385" s="3" t="s">
        <v>250</v>
      </c>
      <c r="I385" s="2">
        <v>58</v>
      </c>
      <c r="J385" s="2">
        <v>29</v>
      </c>
      <c r="K385" s="2">
        <v>2</v>
      </c>
      <c r="O385" s="2">
        <v>4</v>
      </c>
      <c r="P385" s="2">
        <v>8</v>
      </c>
      <c r="U385" s="2">
        <v>1</v>
      </c>
      <c r="V385" s="2">
        <v>24</v>
      </c>
      <c r="W385" s="2">
        <v>1</v>
      </c>
      <c r="X385" s="2">
        <v>16</v>
      </c>
      <c r="Z385" s="2">
        <v>32</v>
      </c>
      <c r="AA385" s="3" t="s">
        <v>57</v>
      </c>
      <c r="AB385" s="2">
        <v>3</v>
      </c>
      <c r="AF385" s="2">
        <v>30.5</v>
      </c>
      <c r="AG385" s="2">
        <v>2</v>
      </c>
      <c r="AH385" s="3" t="s">
        <v>383</v>
      </c>
      <c r="AI385" s="4">
        <v>44740</v>
      </c>
      <c r="AJ385" s="3" t="s">
        <v>442</v>
      </c>
      <c r="AK385" s="3" t="s">
        <v>248</v>
      </c>
    </row>
    <row r="386" spans="1:37" hidden="1" x14ac:dyDescent="0.25">
      <c r="A386" t="str">
        <f t="shared" si="5"/>
        <v>2022_Vic_Kalkee_Chickpea_DetailedTOS2VarietyDrummondWaterTrtIrrigated</v>
      </c>
      <c r="B386" s="2">
        <v>2022002</v>
      </c>
      <c r="C386" s="3" t="s">
        <v>382</v>
      </c>
      <c r="D386" s="3" t="s">
        <v>248</v>
      </c>
      <c r="F386" s="3" t="s">
        <v>4182</v>
      </c>
      <c r="G386" s="3" t="s">
        <v>39</v>
      </c>
      <c r="H386" s="3" t="s">
        <v>253</v>
      </c>
      <c r="I386" s="2">
        <v>59</v>
      </c>
      <c r="J386" s="2">
        <v>30</v>
      </c>
      <c r="K386" s="2">
        <v>2</v>
      </c>
      <c r="O386" s="2">
        <v>4</v>
      </c>
      <c r="P386" s="2">
        <v>8</v>
      </c>
      <c r="U386" s="2">
        <v>2</v>
      </c>
      <c r="V386" s="2">
        <v>23</v>
      </c>
      <c r="W386" s="2">
        <v>2</v>
      </c>
      <c r="X386" s="2">
        <v>15</v>
      </c>
      <c r="AA386" s="3" t="s">
        <v>57</v>
      </c>
      <c r="AB386" s="2">
        <v>2</v>
      </c>
      <c r="AF386" s="2">
        <v>30.5</v>
      </c>
      <c r="AG386" s="2">
        <v>2</v>
      </c>
      <c r="AH386" s="3" t="s">
        <v>383</v>
      </c>
      <c r="AI386" s="4">
        <v>44740</v>
      </c>
      <c r="AJ386" s="3" t="s">
        <v>443</v>
      </c>
      <c r="AK386" s="3" t="s">
        <v>248</v>
      </c>
    </row>
    <row r="387" spans="1:37" hidden="1" x14ac:dyDescent="0.25">
      <c r="A387" t="str">
        <f t="shared" ref="A387:A450" si="6">C387&amp;"TOS"&amp;AG387&amp;"Variety"&amp;F387&amp;"WaterTrt"&amp;AA387&amp;IF(AC387="","","Agronomy"&amp;AC387)</f>
        <v>2022_Vic_Kalkee_Chickpea_DetailedTOS2VarietyDrummondWaterTrtIrrigated</v>
      </c>
      <c r="B387" s="2">
        <v>2022002</v>
      </c>
      <c r="C387" s="3" t="s">
        <v>382</v>
      </c>
      <c r="D387" s="3" t="s">
        <v>248</v>
      </c>
      <c r="F387" s="3" t="s">
        <v>4182</v>
      </c>
      <c r="G387" s="3" t="s">
        <v>39</v>
      </c>
      <c r="H387" s="3" t="s">
        <v>250</v>
      </c>
      <c r="I387" s="2">
        <v>60</v>
      </c>
      <c r="J387" s="2">
        <v>30</v>
      </c>
      <c r="K387" s="2">
        <v>2</v>
      </c>
      <c r="O387" s="2">
        <v>4</v>
      </c>
      <c r="P387" s="2">
        <v>8</v>
      </c>
      <c r="U387" s="2">
        <v>2</v>
      </c>
      <c r="V387" s="2">
        <v>24</v>
      </c>
      <c r="W387" s="2">
        <v>2</v>
      </c>
      <c r="X387" s="2">
        <v>16</v>
      </c>
      <c r="Z387" s="2">
        <v>31</v>
      </c>
      <c r="AA387" s="3" t="s">
        <v>57</v>
      </c>
      <c r="AB387" s="2">
        <v>2</v>
      </c>
      <c r="AF387" s="2">
        <v>30.5</v>
      </c>
      <c r="AG387" s="2">
        <v>2</v>
      </c>
      <c r="AH387" s="3" t="s">
        <v>383</v>
      </c>
      <c r="AI387" s="4">
        <v>44740</v>
      </c>
      <c r="AJ387" s="3" t="s">
        <v>444</v>
      </c>
      <c r="AK387" s="3" t="s">
        <v>248</v>
      </c>
    </row>
    <row r="388" spans="1:37" hidden="1" x14ac:dyDescent="0.25">
      <c r="A388" t="str">
        <f t="shared" si="6"/>
        <v>2022_Vic_Kalkee_Chickpea_DetailedTOS2VarietyCBA_CaptainWaterTrtIrrigated</v>
      </c>
      <c r="B388" s="2">
        <v>2022002</v>
      </c>
      <c r="C388" s="3" t="s">
        <v>382</v>
      </c>
      <c r="D388" s="3" t="s">
        <v>248</v>
      </c>
      <c r="F388" s="3" t="s">
        <v>249</v>
      </c>
      <c r="G388" s="3" t="s">
        <v>43</v>
      </c>
      <c r="H388" s="3" t="s">
        <v>253</v>
      </c>
      <c r="I388" s="2">
        <v>61</v>
      </c>
      <c r="J388" s="2">
        <v>31</v>
      </c>
      <c r="K388" s="2">
        <v>2</v>
      </c>
      <c r="O388" s="2">
        <v>4</v>
      </c>
      <c r="P388" s="2">
        <v>8</v>
      </c>
      <c r="U388" s="2">
        <v>3</v>
      </c>
      <c r="V388" s="2">
        <v>23</v>
      </c>
      <c r="W388" s="2">
        <v>3</v>
      </c>
      <c r="X388" s="2">
        <v>15</v>
      </c>
      <c r="AA388" s="3" t="s">
        <v>57</v>
      </c>
      <c r="AB388" s="2">
        <v>1</v>
      </c>
      <c r="AF388" s="2">
        <v>30.5</v>
      </c>
      <c r="AG388" s="2">
        <v>2</v>
      </c>
      <c r="AH388" s="3" t="s">
        <v>383</v>
      </c>
      <c r="AI388" s="4">
        <v>44740</v>
      </c>
      <c r="AJ388" s="3" t="s">
        <v>445</v>
      </c>
      <c r="AK388" s="3" t="s">
        <v>248</v>
      </c>
    </row>
    <row r="389" spans="1:37" hidden="1" x14ac:dyDescent="0.25">
      <c r="A389" t="str">
        <f t="shared" si="6"/>
        <v>2022_Vic_Kalkee_Chickpea_DetailedTOS2VarietyCBA_CaptainWaterTrtIrrigated</v>
      </c>
      <c r="B389" s="2">
        <v>2022002</v>
      </c>
      <c r="C389" s="3" t="s">
        <v>382</v>
      </c>
      <c r="D389" s="3" t="s">
        <v>248</v>
      </c>
      <c r="F389" s="3" t="s">
        <v>249</v>
      </c>
      <c r="G389" s="3" t="s">
        <v>43</v>
      </c>
      <c r="H389" s="3" t="s">
        <v>250</v>
      </c>
      <c r="I389" s="2">
        <v>62</v>
      </c>
      <c r="J389" s="2">
        <v>31</v>
      </c>
      <c r="K389" s="2">
        <v>2</v>
      </c>
      <c r="O389" s="2">
        <v>4</v>
      </c>
      <c r="P389" s="2">
        <v>8</v>
      </c>
      <c r="U389" s="2">
        <v>3</v>
      </c>
      <c r="V389" s="2">
        <v>24</v>
      </c>
      <c r="W389" s="2">
        <v>3</v>
      </c>
      <c r="X389" s="2">
        <v>16</v>
      </c>
      <c r="Z389" s="2">
        <v>30</v>
      </c>
      <c r="AA389" s="3" t="s">
        <v>57</v>
      </c>
      <c r="AB389" s="2">
        <v>1</v>
      </c>
      <c r="AF389" s="2">
        <v>30.5</v>
      </c>
      <c r="AG389" s="2">
        <v>2</v>
      </c>
      <c r="AH389" s="3" t="s">
        <v>383</v>
      </c>
      <c r="AI389" s="4">
        <v>44740</v>
      </c>
      <c r="AJ389" s="3" t="s">
        <v>446</v>
      </c>
      <c r="AK389" s="3" t="s">
        <v>248</v>
      </c>
    </row>
    <row r="390" spans="1:37" hidden="1" x14ac:dyDescent="0.25">
      <c r="A390" t="str">
        <f t="shared" si="6"/>
        <v>2022_Vic_Kalkee_Chickpea_DetailedTOS2VarietyStrikerWaterTrtIrrigated</v>
      </c>
      <c r="B390" s="2">
        <v>2022002</v>
      </c>
      <c r="C390" s="3" t="s">
        <v>382</v>
      </c>
      <c r="D390" s="3" t="s">
        <v>248</v>
      </c>
      <c r="F390" s="3" t="s">
        <v>4179</v>
      </c>
      <c r="G390" s="3" t="s">
        <v>43</v>
      </c>
      <c r="H390" s="3" t="s">
        <v>253</v>
      </c>
      <c r="I390" s="2">
        <v>63</v>
      </c>
      <c r="J390" s="2">
        <v>32</v>
      </c>
      <c r="K390" s="2">
        <v>2</v>
      </c>
      <c r="O390" s="2">
        <v>4</v>
      </c>
      <c r="P390" s="2">
        <v>8</v>
      </c>
      <c r="U390" s="2">
        <v>4</v>
      </c>
      <c r="V390" s="2">
        <v>23</v>
      </c>
      <c r="W390" s="2">
        <v>4</v>
      </c>
      <c r="X390" s="2">
        <v>15</v>
      </c>
      <c r="AA390" s="3" t="s">
        <v>57</v>
      </c>
      <c r="AB390" s="2">
        <v>4</v>
      </c>
      <c r="AF390" s="2">
        <v>30.5</v>
      </c>
      <c r="AG390" s="2">
        <v>2</v>
      </c>
      <c r="AH390" s="3" t="s">
        <v>383</v>
      </c>
      <c r="AI390" s="4">
        <v>44740</v>
      </c>
      <c r="AJ390" s="3" t="s">
        <v>447</v>
      </c>
      <c r="AK390" s="3" t="s">
        <v>248</v>
      </c>
    </row>
    <row r="391" spans="1:37" hidden="1" x14ac:dyDescent="0.25">
      <c r="A391" t="str">
        <f t="shared" si="6"/>
        <v>2022_Vic_Kalkee_Chickpea_DetailedTOS2VarietyStrikerWaterTrtIrrigated</v>
      </c>
      <c r="B391" s="2">
        <v>2022002</v>
      </c>
      <c r="C391" s="3" t="s">
        <v>382</v>
      </c>
      <c r="D391" s="3" t="s">
        <v>248</v>
      </c>
      <c r="F391" s="3" t="s">
        <v>4179</v>
      </c>
      <c r="G391" s="3" t="s">
        <v>43</v>
      </c>
      <c r="H391" s="3" t="s">
        <v>250</v>
      </c>
      <c r="I391" s="2">
        <v>64</v>
      </c>
      <c r="J391" s="2">
        <v>32</v>
      </c>
      <c r="K391" s="2">
        <v>2</v>
      </c>
      <c r="O391" s="2">
        <v>4</v>
      </c>
      <c r="P391" s="2">
        <v>8</v>
      </c>
      <c r="U391" s="2">
        <v>4</v>
      </c>
      <c r="V391" s="2">
        <v>24</v>
      </c>
      <c r="W391" s="2">
        <v>4</v>
      </c>
      <c r="X391" s="2">
        <v>16</v>
      </c>
      <c r="Z391" s="2">
        <v>29</v>
      </c>
      <c r="AA391" s="3" t="s">
        <v>57</v>
      </c>
      <c r="AB391" s="2">
        <v>4</v>
      </c>
      <c r="AF391" s="2">
        <v>30.5</v>
      </c>
      <c r="AG391" s="2">
        <v>2</v>
      </c>
      <c r="AH391" s="3" t="s">
        <v>383</v>
      </c>
      <c r="AI391" s="4">
        <v>44740</v>
      </c>
      <c r="AJ391" s="3" t="s">
        <v>448</v>
      </c>
      <c r="AK391" s="3" t="s">
        <v>248</v>
      </c>
    </row>
    <row r="392" spans="1:37" hidden="1" x14ac:dyDescent="0.25">
      <c r="A392" t="str">
        <f t="shared" si="6"/>
        <v>2022_Vic_Kalkee_Chickpea_DetailedTOS1VarietyStrikerWaterTrtRainFed</v>
      </c>
      <c r="B392" s="2">
        <v>2022002</v>
      </c>
      <c r="C392" s="3" t="s">
        <v>382</v>
      </c>
      <c r="D392" s="3" t="s">
        <v>248</v>
      </c>
      <c r="F392" s="3" t="s">
        <v>4179</v>
      </c>
      <c r="G392" s="3" t="s">
        <v>43</v>
      </c>
      <c r="H392" s="3" t="s">
        <v>253</v>
      </c>
      <c r="I392" s="2">
        <v>65</v>
      </c>
      <c r="J392" s="2">
        <v>33</v>
      </c>
      <c r="K392" s="2">
        <v>3</v>
      </c>
      <c r="O392" s="2">
        <v>5</v>
      </c>
      <c r="P392" s="2">
        <v>9</v>
      </c>
      <c r="U392" s="2">
        <v>1</v>
      </c>
      <c r="V392" s="2">
        <v>26</v>
      </c>
      <c r="W392" s="2">
        <v>1</v>
      </c>
      <c r="X392" s="2">
        <v>17</v>
      </c>
      <c r="AA392" s="3" t="s">
        <v>40</v>
      </c>
      <c r="AB392" s="2">
        <v>4</v>
      </c>
      <c r="AF392" s="2">
        <v>30.5</v>
      </c>
      <c r="AG392" s="2">
        <v>1</v>
      </c>
      <c r="AH392" s="3" t="s">
        <v>400</v>
      </c>
      <c r="AI392" s="4">
        <v>44704</v>
      </c>
      <c r="AJ392" s="3" t="s">
        <v>449</v>
      </c>
      <c r="AK392" s="3" t="s">
        <v>248</v>
      </c>
    </row>
    <row r="393" spans="1:37" hidden="1" x14ac:dyDescent="0.25">
      <c r="A393" t="str">
        <f t="shared" si="6"/>
        <v>2022_Vic_Kalkee_Chickpea_DetailedTOS1VarietyStrikerWaterTrtRainFed</v>
      </c>
      <c r="B393" s="2">
        <v>2022002</v>
      </c>
      <c r="C393" s="3" t="s">
        <v>382</v>
      </c>
      <c r="D393" s="3" t="s">
        <v>248</v>
      </c>
      <c r="F393" s="3" t="s">
        <v>4179</v>
      </c>
      <c r="G393" s="3" t="s">
        <v>43</v>
      </c>
      <c r="H393" s="3" t="s">
        <v>250</v>
      </c>
      <c r="I393" s="2">
        <v>66</v>
      </c>
      <c r="J393" s="2">
        <v>33</v>
      </c>
      <c r="K393" s="2">
        <v>3</v>
      </c>
      <c r="O393" s="2">
        <v>5</v>
      </c>
      <c r="P393" s="2">
        <v>9</v>
      </c>
      <c r="U393" s="2">
        <v>1</v>
      </c>
      <c r="V393" s="2">
        <v>27</v>
      </c>
      <c r="W393" s="2">
        <v>1</v>
      </c>
      <c r="X393" s="2">
        <v>18</v>
      </c>
      <c r="Z393" s="2">
        <v>33</v>
      </c>
      <c r="AA393" s="3" t="s">
        <v>40</v>
      </c>
      <c r="AB393" s="2">
        <v>4</v>
      </c>
      <c r="AF393" s="2">
        <v>30.5</v>
      </c>
      <c r="AG393" s="2">
        <v>1</v>
      </c>
      <c r="AH393" s="3" t="s">
        <v>400</v>
      </c>
      <c r="AI393" s="4">
        <v>44704</v>
      </c>
      <c r="AJ393" s="3" t="s">
        <v>450</v>
      </c>
      <c r="AK393" s="3" t="s">
        <v>248</v>
      </c>
    </row>
    <row r="394" spans="1:37" hidden="1" x14ac:dyDescent="0.25">
      <c r="A394" t="str">
        <f t="shared" si="6"/>
        <v>2022_Vic_Kalkee_Chickpea_DetailedTOS1VarietyHatTrickWaterTrtRainFed</v>
      </c>
      <c r="B394" s="2">
        <v>2022002</v>
      </c>
      <c r="C394" s="3" t="s">
        <v>382</v>
      </c>
      <c r="D394" s="3" t="s">
        <v>248</v>
      </c>
      <c r="F394" s="3" t="s">
        <v>4178</v>
      </c>
      <c r="G394" s="3" t="s">
        <v>39</v>
      </c>
      <c r="H394" s="3" t="s">
        <v>253</v>
      </c>
      <c r="I394" s="2">
        <v>67</v>
      </c>
      <c r="J394" s="2">
        <v>34</v>
      </c>
      <c r="K394" s="2">
        <v>3</v>
      </c>
      <c r="O394" s="2">
        <v>5</v>
      </c>
      <c r="P394" s="2">
        <v>9</v>
      </c>
      <c r="U394" s="2">
        <v>2</v>
      </c>
      <c r="V394" s="2">
        <v>26</v>
      </c>
      <c r="W394" s="2">
        <v>2</v>
      </c>
      <c r="X394" s="2">
        <v>17</v>
      </c>
      <c r="AA394" s="3" t="s">
        <v>40</v>
      </c>
      <c r="AB394" s="2">
        <v>3</v>
      </c>
      <c r="AF394" s="2">
        <v>30.5</v>
      </c>
      <c r="AG394" s="2">
        <v>1</v>
      </c>
      <c r="AH394" s="3" t="s">
        <v>400</v>
      </c>
      <c r="AI394" s="4">
        <v>44704</v>
      </c>
      <c r="AJ394" s="3" t="s">
        <v>451</v>
      </c>
      <c r="AK394" s="3" t="s">
        <v>248</v>
      </c>
    </row>
    <row r="395" spans="1:37" hidden="1" x14ac:dyDescent="0.25">
      <c r="A395" t="str">
        <f t="shared" si="6"/>
        <v>2022_Vic_Kalkee_Chickpea_DetailedTOS1VarietyHatTrickWaterTrtRainFed</v>
      </c>
      <c r="B395" s="2">
        <v>2022002</v>
      </c>
      <c r="C395" s="3" t="s">
        <v>382</v>
      </c>
      <c r="D395" s="3" t="s">
        <v>248</v>
      </c>
      <c r="F395" s="3" t="s">
        <v>4178</v>
      </c>
      <c r="G395" s="3" t="s">
        <v>39</v>
      </c>
      <c r="H395" s="3" t="s">
        <v>250</v>
      </c>
      <c r="I395" s="2">
        <v>68</v>
      </c>
      <c r="J395" s="2">
        <v>34</v>
      </c>
      <c r="K395" s="2">
        <v>3</v>
      </c>
      <c r="O395" s="2">
        <v>5</v>
      </c>
      <c r="P395" s="2">
        <v>9</v>
      </c>
      <c r="U395" s="2">
        <v>2</v>
      </c>
      <c r="V395" s="2">
        <v>27</v>
      </c>
      <c r="W395" s="2">
        <v>2</v>
      </c>
      <c r="X395" s="2">
        <v>18</v>
      </c>
      <c r="Z395" s="2">
        <v>34</v>
      </c>
      <c r="AA395" s="3" t="s">
        <v>40</v>
      </c>
      <c r="AB395" s="2">
        <v>3</v>
      </c>
      <c r="AF395" s="2">
        <v>30.5</v>
      </c>
      <c r="AG395" s="2">
        <v>1</v>
      </c>
      <c r="AH395" s="3" t="s">
        <v>400</v>
      </c>
      <c r="AI395" s="4">
        <v>44704</v>
      </c>
      <c r="AJ395" s="3" t="s">
        <v>452</v>
      </c>
      <c r="AK395" s="3" t="s">
        <v>248</v>
      </c>
    </row>
    <row r="396" spans="1:37" hidden="1" x14ac:dyDescent="0.25">
      <c r="A396" t="str">
        <f t="shared" si="6"/>
        <v>2022_Vic_Kalkee_Chickpea_DetailedTOS1VarietyDrummondWaterTrtRainFed</v>
      </c>
      <c r="B396" s="2">
        <v>2022002</v>
      </c>
      <c r="C396" s="3" t="s">
        <v>382</v>
      </c>
      <c r="D396" s="3" t="s">
        <v>248</v>
      </c>
      <c r="F396" s="3" t="s">
        <v>4182</v>
      </c>
      <c r="G396" s="3" t="s">
        <v>39</v>
      </c>
      <c r="H396" s="3" t="s">
        <v>253</v>
      </c>
      <c r="I396" s="2">
        <v>69</v>
      </c>
      <c r="J396" s="2">
        <v>35</v>
      </c>
      <c r="K396" s="2">
        <v>3</v>
      </c>
      <c r="O396" s="2">
        <v>5</v>
      </c>
      <c r="P396" s="2">
        <v>9</v>
      </c>
      <c r="U396" s="2">
        <v>3</v>
      </c>
      <c r="V396" s="2">
        <v>26</v>
      </c>
      <c r="W396" s="2">
        <v>3</v>
      </c>
      <c r="X396" s="2">
        <v>17</v>
      </c>
      <c r="AA396" s="3" t="s">
        <v>40</v>
      </c>
      <c r="AB396" s="2">
        <v>2</v>
      </c>
      <c r="AF396" s="2">
        <v>30.5</v>
      </c>
      <c r="AG396" s="2">
        <v>1</v>
      </c>
      <c r="AH396" s="3" t="s">
        <v>400</v>
      </c>
      <c r="AI396" s="4">
        <v>44704</v>
      </c>
      <c r="AJ396" s="3" t="s">
        <v>453</v>
      </c>
      <c r="AK396" s="3" t="s">
        <v>248</v>
      </c>
    </row>
    <row r="397" spans="1:37" hidden="1" x14ac:dyDescent="0.25">
      <c r="A397" t="str">
        <f t="shared" si="6"/>
        <v>2022_Vic_Kalkee_Chickpea_DetailedTOS1VarietyDrummondWaterTrtRainFed</v>
      </c>
      <c r="B397" s="2">
        <v>2022002</v>
      </c>
      <c r="C397" s="3" t="s">
        <v>382</v>
      </c>
      <c r="D397" s="3" t="s">
        <v>248</v>
      </c>
      <c r="F397" s="3" t="s">
        <v>4182</v>
      </c>
      <c r="G397" s="3" t="s">
        <v>39</v>
      </c>
      <c r="H397" s="3" t="s">
        <v>250</v>
      </c>
      <c r="I397" s="2">
        <v>70</v>
      </c>
      <c r="J397" s="2">
        <v>35</v>
      </c>
      <c r="K397" s="2">
        <v>3</v>
      </c>
      <c r="O397" s="2">
        <v>5</v>
      </c>
      <c r="P397" s="2">
        <v>9</v>
      </c>
      <c r="U397" s="2">
        <v>3</v>
      </c>
      <c r="V397" s="2">
        <v>27</v>
      </c>
      <c r="W397" s="2">
        <v>3</v>
      </c>
      <c r="X397" s="2">
        <v>18</v>
      </c>
      <c r="Z397" s="2">
        <v>35</v>
      </c>
      <c r="AA397" s="3" t="s">
        <v>40</v>
      </c>
      <c r="AB397" s="2">
        <v>2</v>
      </c>
      <c r="AF397" s="2">
        <v>30.5</v>
      </c>
      <c r="AG397" s="2">
        <v>1</v>
      </c>
      <c r="AH397" s="3" t="s">
        <v>400</v>
      </c>
      <c r="AI397" s="4">
        <v>44704</v>
      </c>
      <c r="AJ397" s="3" t="s">
        <v>454</v>
      </c>
      <c r="AK397" s="3" t="s">
        <v>248</v>
      </c>
    </row>
    <row r="398" spans="1:37" hidden="1" x14ac:dyDescent="0.25">
      <c r="A398" t="str">
        <f t="shared" si="6"/>
        <v>2022_Vic_Kalkee_Chickpea_DetailedTOS1VarietyCBA_CaptainWaterTrtRainFed</v>
      </c>
      <c r="B398" s="2">
        <v>2022002</v>
      </c>
      <c r="C398" s="3" t="s">
        <v>382</v>
      </c>
      <c r="D398" s="3" t="s">
        <v>248</v>
      </c>
      <c r="F398" s="3" t="s">
        <v>249</v>
      </c>
      <c r="G398" s="3" t="s">
        <v>43</v>
      </c>
      <c r="H398" s="3" t="s">
        <v>253</v>
      </c>
      <c r="I398" s="2">
        <v>71</v>
      </c>
      <c r="J398" s="2">
        <v>36</v>
      </c>
      <c r="K398" s="2">
        <v>3</v>
      </c>
      <c r="O398" s="2">
        <v>5</v>
      </c>
      <c r="P398" s="2">
        <v>9</v>
      </c>
      <c r="U398" s="2">
        <v>4</v>
      </c>
      <c r="V398" s="2">
        <v>26</v>
      </c>
      <c r="W398" s="2">
        <v>4</v>
      </c>
      <c r="X398" s="2">
        <v>17</v>
      </c>
      <c r="AA398" s="3" t="s">
        <v>40</v>
      </c>
      <c r="AB398" s="2">
        <v>1</v>
      </c>
      <c r="AF398" s="2">
        <v>30.5</v>
      </c>
      <c r="AG398" s="2">
        <v>1</v>
      </c>
      <c r="AH398" s="3" t="s">
        <v>400</v>
      </c>
      <c r="AI398" s="4">
        <v>44704</v>
      </c>
      <c r="AJ398" s="3" t="s">
        <v>455</v>
      </c>
      <c r="AK398" s="3" t="s">
        <v>248</v>
      </c>
    </row>
    <row r="399" spans="1:37" hidden="1" x14ac:dyDescent="0.25">
      <c r="A399" t="str">
        <f t="shared" si="6"/>
        <v>2022_Vic_Kalkee_Chickpea_DetailedTOS1VarietyCBA_CaptainWaterTrtRainFed</v>
      </c>
      <c r="B399" s="2">
        <v>2022002</v>
      </c>
      <c r="C399" s="3" t="s">
        <v>382</v>
      </c>
      <c r="D399" s="3" t="s">
        <v>248</v>
      </c>
      <c r="F399" s="3" t="s">
        <v>249</v>
      </c>
      <c r="G399" s="3" t="s">
        <v>43</v>
      </c>
      <c r="H399" s="3" t="s">
        <v>250</v>
      </c>
      <c r="I399" s="2">
        <v>72</v>
      </c>
      <c r="J399" s="2">
        <v>36</v>
      </c>
      <c r="K399" s="2">
        <v>3</v>
      </c>
      <c r="O399" s="2">
        <v>5</v>
      </c>
      <c r="P399" s="2">
        <v>9</v>
      </c>
      <c r="U399" s="2">
        <v>4</v>
      </c>
      <c r="V399" s="2">
        <v>27</v>
      </c>
      <c r="W399" s="2">
        <v>4</v>
      </c>
      <c r="X399" s="2">
        <v>18</v>
      </c>
      <c r="Z399" s="2">
        <v>36</v>
      </c>
      <c r="AA399" s="3" t="s">
        <v>40</v>
      </c>
      <c r="AB399" s="2">
        <v>1</v>
      </c>
      <c r="AF399" s="2">
        <v>30.5</v>
      </c>
      <c r="AG399" s="2">
        <v>1</v>
      </c>
      <c r="AH399" s="3" t="s">
        <v>400</v>
      </c>
      <c r="AI399" s="4">
        <v>44704</v>
      </c>
      <c r="AJ399" s="3" t="s">
        <v>456</v>
      </c>
      <c r="AK399" s="3" t="s">
        <v>248</v>
      </c>
    </row>
    <row r="400" spans="1:37" hidden="1" x14ac:dyDescent="0.25">
      <c r="A400" t="str">
        <f t="shared" si="6"/>
        <v>2022_Vic_Kalkee_Chickpea_DetailedTOS1VarietyDrummondWaterTrtIrrigated</v>
      </c>
      <c r="B400" s="2">
        <v>2022002</v>
      </c>
      <c r="C400" s="3" t="s">
        <v>382</v>
      </c>
      <c r="D400" s="3" t="s">
        <v>248</v>
      </c>
      <c r="F400" s="3" t="s">
        <v>4182</v>
      </c>
      <c r="G400" s="3" t="s">
        <v>39</v>
      </c>
      <c r="H400" s="3" t="s">
        <v>253</v>
      </c>
      <c r="I400" s="2">
        <v>73</v>
      </c>
      <c r="J400" s="2">
        <v>37</v>
      </c>
      <c r="K400" s="2">
        <v>3</v>
      </c>
      <c r="O400" s="2">
        <v>5</v>
      </c>
      <c r="P400" s="2">
        <v>10</v>
      </c>
      <c r="U400" s="2">
        <v>1</v>
      </c>
      <c r="V400" s="2">
        <v>29</v>
      </c>
      <c r="W400" s="2">
        <v>1</v>
      </c>
      <c r="X400" s="2">
        <v>19</v>
      </c>
      <c r="AA400" s="3" t="s">
        <v>57</v>
      </c>
      <c r="AB400" s="2">
        <v>2</v>
      </c>
      <c r="AF400" s="2">
        <v>30.5</v>
      </c>
      <c r="AG400" s="2">
        <v>1</v>
      </c>
      <c r="AH400" s="3" t="s">
        <v>400</v>
      </c>
      <c r="AI400" s="4">
        <v>44704</v>
      </c>
      <c r="AJ400" s="3" t="s">
        <v>457</v>
      </c>
      <c r="AK400" s="3" t="s">
        <v>248</v>
      </c>
    </row>
    <row r="401" spans="1:37" hidden="1" x14ac:dyDescent="0.25">
      <c r="A401" t="str">
        <f t="shared" si="6"/>
        <v>2022_Vic_Kalkee_Chickpea_DetailedTOS1VarietyDrummondWaterTrtIrrigated</v>
      </c>
      <c r="B401" s="2">
        <v>2022002</v>
      </c>
      <c r="C401" s="3" t="s">
        <v>382</v>
      </c>
      <c r="D401" s="3" t="s">
        <v>248</v>
      </c>
      <c r="F401" s="3" t="s">
        <v>4182</v>
      </c>
      <c r="G401" s="3" t="s">
        <v>39</v>
      </c>
      <c r="H401" s="3" t="s">
        <v>250</v>
      </c>
      <c r="I401" s="2">
        <v>74</v>
      </c>
      <c r="J401" s="2">
        <v>37</v>
      </c>
      <c r="K401" s="2">
        <v>3</v>
      </c>
      <c r="O401" s="2">
        <v>5</v>
      </c>
      <c r="P401" s="2">
        <v>10</v>
      </c>
      <c r="U401" s="2">
        <v>1</v>
      </c>
      <c r="V401" s="2">
        <v>30</v>
      </c>
      <c r="W401" s="2">
        <v>1</v>
      </c>
      <c r="X401" s="2">
        <v>20</v>
      </c>
      <c r="Z401" s="2">
        <v>40</v>
      </c>
      <c r="AA401" s="3" t="s">
        <v>57</v>
      </c>
      <c r="AB401" s="2">
        <v>2</v>
      </c>
      <c r="AF401" s="2">
        <v>30.5</v>
      </c>
      <c r="AG401" s="2">
        <v>1</v>
      </c>
      <c r="AH401" s="3" t="s">
        <v>400</v>
      </c>
      <c r="AI401" s="4">
        <v>44704</v>
      </c>
      <c r="AJ401" s="3" t="s">
        <v>458</v>
      </c>
      <c r="AK401" s="3" t="s">
        <v>248</v>
      </c>
    </row>
    <row r="402" spans="1:37" hidden="1" x14ac:dyDescent="0.25">
      <c r="A402" t="str">
        <f t="shared" si="6"/>
        <v>2022_Vic_Kalkee_Chickpea_DetailedTOS1VarietyCBA_CaptainWaterTrtIrrigated</v>
      </c>
      <c r="B402" s="2">
        <v>2022002</v>
      </c>
      <c r="C402" s="3" t="s">
        <v>382</v>
      </c>
      <c r="D402" s="3" t="s">
        <v>248</v>
      </c>
      <c r="F402" s="3" t="s">
        <v>249</v>
      </c>
      <c r="G402" s="3" t="s">
        <v>43</v>
      </c>
      <c r="H402" s="3" t="s">
        <v>253</v>
      </c>
      <c r="I402" s="2">
        <v>75</v>
      </c>
      <c r="J402" s="2">
        <v>38</v>
      </c>
      <c r="K402" s="2">
        <v>3</v>
      </c>
      <c r="O402" s="2">
        <v>5</v>
      </c>
      <c r="P402" s="2">
        <v>10</v>
      </c>
      <c r="U402" s="2">
        <v>2</v>
      </c>
      <c r="V402" s="2">
        <v>29</v>
      </c>
      <c r="W402" s="2">
        <v>2</v>
      </c>
      <c r="X402" s="2">
        <v>19</v>
      </c>
      <c r="AA402" s="3" t="s">
        <v>57</v>
      </c>
      <c r="AB402" s="2">
        <v>1</v>
      </c>
      <c r="AF402" s="2">
        <v>30.5</v>
      </c>
      <c r="AG402" s="2">
        <v>1</v>
      </c>
      <c r="AH402" s="3" t="s">
        <v>400</v>
      </c>
      <c r="AI402" s="4">
        <v>44704</v>
      </c>
      <c r="AJ402" s="3" t="s">
        <v>459</v>
      </c>
      <c r="AK402" s="3" t="s">
        <v>248</v>
      </c>
    </row>
    <row r="403" spans="1:37" hidden="1" x14ac:dyDescent="0.25">
      <c r="A403" t="str">
        <f t="shared" si="6"/>
        <v>2022_Vic_Kalkee_Chickpea_DetailedTOS1VarietyCBA_CaptainWaterTrtIrrigated</v>
      </c>
      <c r="B403" s="2">
        <v>2022002</v>
      </c>
      <c r="C403" s="3" t="s">
        <v>382</v>
      </c>
      <c r="D403" s="3" t="s">
        <v>248</v>
      </c>
      <c r="F403" s="3" t="s">
        <v>249</v>
      </c>
      <c r="G403" s="3" t="s">
        <v>43</v>
      </c>
      <c r="H403" s="3" t="s">
        <v>250</v>
      </c>
      <c r="I403" s="2">
        <v>76</v>
      </c>
      <c r="J403" s="2">
        <v>38</v>
      </c>
      <c r="K403" s="2">
        <v>3</v>
      </c>
      <c r="O403" s="2">
        <v>5</v>
      </c>
      <c r="P403" s="2">
        <v>10</v>
      </c>
      <c r="U403" s="2">
        <v>2</v>
      </c>
      <c r="V403" s="2">
        <v>30</v>
      </c>
      <c r="W403" s="2">
        <v>2</v>
      </c>
      <c r="X403" s="2">
        <v>20</v>
      </c>
      <c r="Z403" s="2">
        <v>39</v>
      </c>
      <c r="AA403" s="3" t="s">
        <v>57</v>
      </c>
      <c r="AB403" s="2">
        <v>1</v>
      </c>
      <c r="AF403" s="2">
        <v>30.5</v>
      </c>
      <c r="AG403" s="2">
        <v>1</v>
      </c>
      <c r="AH403" s="3" t="s">
        <v>400</v>
      </c>
      <c r="AI403" s="4">
        <v>44704</v>
      </c>
      <c r="AJ403" s="3" t="s">
        <v>460</v>
      </c>
      <c r="AK403" s="3" t="s">
        <v>248</v>
      </c>
    </row>
    <row r="404" spans="1:37" hidden="1" x14ac:dyDescent="0.25">
      <c r="A404" t="str">
        <f t="shared" si="6"/>
        <v>2022_Vic_Kalkee_Chickpea_DetailedTOS1VarietyStrikerWaterTrtIrrigated</v>
      </c>
      <c r="B404" s="2">
        <v>2022002</v>
      </c>
      <c r="C404" s="3" t="s">
        <v>382</v>
      </c>
      <c r="D404" s="3" t="s">
        <v>248</v>
      </c>
      <c r="F404" s="3" t="s">
        <v>4179</v>
      </c>
      <c r="G404" s="3" t="s">
        <v>43</v>
      </c>
      <c r="H404" s="3" t="s">
        <v>253</v>
      </c>
      <c r="I404" s="2">
        <v>77</v>
      </c>
      <c r="J404" s="2">
        <v>39</v>
      </c>
      <c r="K404" s="2">
        <v>3</v>
      </c>
      <c r="O404" s="2">
        <v>5</v>
      </c>
      <c r="P404" s="2">
        <v>10</v>
      </c>
      <c r="U404" s="2">
        <v>3</v>
      </c>
      <c r="V404" s="2">
        <v>29</v>
      </c>
      <c r="W404" s="2">
        <v>3</v>
      </c>
      <c r="X404" s="2">
        <v>19</v>
      </c>
      <c r="AA404" s="3" t="s">
        <v>57</v>
      </c>
      <c r="AB404" s="2">
        <v>4</v>
      </c>
      <c r="AF404" s="2">
        <v>30.5</v>
      </c>
      <c r="AG404" s="2">
        <v>1</v>
      </c>
      <c r="AH404" s="3" t="s">
        <v>400</v>
      </c>
      <c r="AI404" s="4">
        <v>44704</v>
      </c>
      <c r="AJ404" s="3" t="s">
        <v>461</v>
      </c>
      <c r="AK404" s="3" t="s">
        <v>248</v>
      </c>
    </row>
    <row r="405" spans="1:37" hidden="1" x14ac:dyDescent="0.25">
      <c r="A405" t="str">
        <f t="shared" si="6"/>
        <v>2022_Vic_Kalkee_Chickpea_DetailedTOS1VarietyStrikerWaterTrtIrrigated</v>
      </c>
      <c r="B405" s="2">
        <v>2022002</v>
      </c>
      <c r="C405" s="3" t="s">
        <v>382</v>
      </c>
      <c r="D405" s="3" t="s">
        <v>248</v>
      </c>
      <c r="F405" s="3" t="s">
        <v>4179</v>
      </c>
      <c r="G405" s="3" t="s">
        <v>43</v>
      </c>
      <c r="H405" s="3" t="s">
        <v>250</v>
      </c>
      <c r="I405" s="2">
        <v>78</v>
      </c>
      <c r="J405" s="2">
        <v>39</v>
      </c>
      <c r="K405" s="2">
        <v>3</v>
      </c>
      <c r="O405" s="2">
        <v>5</v>
      </c>
      <c r="P405" s="2">
        <v>10</v>
      </c>
      <c r="U405" s="2">
        <v>3</v>
      </c>
      <c r="V405" s="2">
        <v>30</v>
      </c>
      <c r="W405" s="2">
        <v>3</v>
      </c>
      <c r="X405" s="2">
        <v>20</v>
      </c>
      <c r="Z405" s="2">
        <v>38</v>
      </c>
      <c r="AA405" s="3" t="s">
        <v>57</v>
      </c>
      <c r="AB405" s="2">
        <v>4</v>
      </c>
      <c r="AF405" s="2">
        <v>30.5</v>
      </c>
      <c r="AG405" s="2">
        <v>1</v>
      </c>
      <c r="AH405" s="3" t="s">
        <v>400</v>
      </c>
      <c r="AI405" s="4">
        <v>44704</v>
      </c>
      <c r="AJ405" s="3" t="s">
        <v>462</v>
      </c>
      <c r="AK405" s="3" t="s">
        <v>248</v>
      </c>
    </row>
    <row r="406" spans="1:37" hidden="1" x14ac:dyDescent="0.25">
      <c r="A406" t="str">
        <f t="shared" si="6"/>
        <v>2022_Vic_Kalkee_Chickpea_DetailedTOS1VarietyHatTrickWaterTrtIrrigated</v>
      </c>
      <c r="B406" s="2">
        <v>2022002</v>
      </c>
      <c r="C406" s="3" t="s">
        <v>382</v>
      </c>
      <c r="D406" s="3" t="s">
        <v>248</v>
      </c>
      <c r="F406" s="3" t="s">
        <v>4178</v>
      </c>
      <c r="G406" s="3" t="s">
        <v>39</v>
      </c>
      <c r="H406" s="3" t="s">
        <v>253</v>
      </c>
      <c r="I406" s="2">
        <v>79</v>
      </c>
      <c r="J406" s="2">
        <v>40</v>
      </c>
      <c r="K406" s="2">
        <v>3</v>
      </c>
      <c r="O406" s="2">
        <v>5</v>
      </c>
      <c r="P406" s="2">
        <v>10</v>
      </c>
      <c r="U406" s="2">
        <v>4</v>
      </c>
      <c r="V406" s="2">
        <v>29</v>
      </c>
      <c r="W406" s="2">
        <v>4</v>
      </c>
      <c r="X406" s="2">
        <v>19</v>
      </c>
      <c r="AA406" s="3" t="s">
        <v>57</v>
      </c>
      <c r="AB406" s="2">
        <v>3</v>
      </c>
      <c r="AF406" s="2">
        <v>30.5</v>
      </c>
      <c r="AG406" s="2">
        <v>1</v>
      </c>
      <c r="AH406" s="3" t="s">
        <v>400</v>
      </c>
      <c r="AI406" s="4">
        <v>44704</v>
      </c>
      <c r="AJ406" s="3" t="s">
        <v>463</v>
      </c>
      <c r="AK406" s="3" t="s">
        <v>248</v>
      </c>
    </row>
    <row r="407" spans="1:37" hidden="1" x14ac:dyDescent="0.25">
      <c r="A407" t="str">
        <f t="shared" si="6"/>
        <v>2022_Vic_Kalkee_Chickpea_DetailedTOS1VarietyHatTrickWaterTrtIrrigated</v>
      </c>
      <c r="B407" s="2">
        <v>2022002</v>
      </c>
      <c r="C407" s="3" t="s">
        <v>382</v>
      </c>
      <c r="D407" s="3" t="s">
        <v>248</v>
      </c>
      <c r="F407" s="3" t="s">
        <v>4178</v>
      </c>
      <c r="G407" s="3" t="s">
        <v>39</v>
      </c>
      <c r="H407" s="3" t="s">
        <v>250</v>
      </c>
      <c r="I407" s="2">
        <v>80</v>
      </c>
      <c r="J407" s="2">
        <v>40</v>
      </c>
      <c r="K407" s="2">
        <v>3</v>
      </c>
      <c r="O407" s="2">
        <v>5</v>
      </c>
      <c r="P407" s="2">
        <v>10</v>
      </c>
      <c r="U407" s="2">
        <v>4</v>
      </c>
      <c r="V407" s="2">
        <v>30</v>
      </c>
      <c r="W407" s="2">
        <v>4</v>
      </c>
      <c r="X407" s="2">
        <v>20</v>
      </c>
      <c r="Z407" s="2">
        <v>37</v>
      </c>
      <c r="AA407" s="3" t="s">
        <v>57</v>
      </c>
      <c r="AB407" s="2">
        <v>3</v>
      </c>
      <c r="AF407" s="2">
        <v>30.5</v>
      </c>
      <c r="AG407" s="2">
        <v>1</v>
      </c>
      <c r="AH407" s="3" t="s">
        <v>400</v>
      </c>
      <c r="AI407" s="4">
        <v>44704</v>
      </c>
      <c r="AJ407" s="3" t="s">
        <v>464</v>
      </c>
      <c r="AK407" s="3" t="s">
        <v>248</v>
      </c>
    </row>
    <row r="408" spans="1:37" hidden="1" x14ac:dyDescent="0.25">
      <c r="A408" t="str">
        <f t="shared" si="6"/>
        <v>2022_Vic_Kalkee_Chickpea_DetailedTOS2VarietyCBA_CaptainWaterTrtRainFed</v>
      </c>
      <c r="B408" s="2">
        <v>2022002</v>
      </c>
      <c r="C408" s="3" t="s">
        <v>382</v>
      </c>
      <c r="D408" s="3" t="s">
        <v>248</v>
      </c>
      <c r="F408" s="3" t="s">
        <v>249</v>
      </c>
      <c r="G408" s="3" t="s">
        <v>43</v>
      </c>
      <c r="H408" s="3" t="s">
        <v>253</v>
      </c>
      <c r="I408" s="2">
        <v>81</v>
      </c>
      <c r="J408" s="2">
        <v>41</v>
      </c>
      <c r="K408" s="2">
        <v>3</v>
      </c>
      <c r="O408" s="2">
        <v>6</v>
      </c>
      <c r="P408" s="2">
        <v>11</v>
      </c>
      <c r="U408" s="2">
        <v>1</v>
      </c>
      <c r="V408" s="2">
        <v>32</v>
      </c>
      <c r="W408" s="2">
        <v>1</v>
      </c>
      <c r="X408" s="2">
        <v>21</v>
      </c>
      <c r="AA408" s="3" t="s">
        <v>40</v>
      </c>
      <c r="AB408" s="2">
        <v>1</v>
      </c>
      <c r="AF408" s="2">
        <v>30.5</v>
      </c>
      <c r="AG408" s="2">
        <v>2</v>
      </c>
      <c r="AH408" s="3" t="s">
        <v>383</v>
      </c>
      <c r="AI408" s="4">
        <v>44740</v>
      </c>
      <c r="AJ408" s="3" t="s">
        <v>465</v>
      </c>
      <c r="AK408" s="3" t="s">
        <v>248</v>
      </c>
    </row>
    <row r="409" spans="1:37" hidden="1" x14ac:dyDescent="0.25">
      <c r="A409" t="str">
        <f t="shared" si="6"/>
        <v>2022_Vic_Kalkee_Chickpea_DetailedTOS2VarietyCBA_CaptainWaterTrtRainFed</v>
      </c>
      <c r="B409" s="2">
        <v>2022002</v>
      </c>
      <c r="C409" s="3" t="s">
        <v>382</v>
      </c>
      <c r="D409" s="3" t="s">
        <v>248</v>
      </c>
      <c r="F409" s="3" t="s">
        <v>249</v>
      </c>
      <c r="G409" s="3" t="s">
        <v>43</v>
      </c>
      <c r="H409" s="3" t="s">
        <v>250</v>
      </c>
      <c r="I409" s="2">
        <v>82</v>
      </c>
      <c r="J409" s="2">
        <v>41</v>
      </c>
      <c r="K409" s="2">
        <v>3</v>
      </c>
      <c r="O409" s="2">
        <v>6</v>
      </c>
      <c r="P409" s="2">
        <v>11</v>
      </c>
      <c r="U409" s="2">
        <v>1</v>
      </c>
      <c r="V409" s="2">
        <v>33</v>
      </c>
      <c r="W409" s="2">
        <v>1</v>
      </c>
      <c r="X409" s="2">
        <v>22</v>
      </c>
      <c r="Z409" s="2">
        <v>41</v>
      </c>
      <c r="AA409" s="3" t="s">
        <v>40</v>
      </c>
      <c r="AB409" s="2">
        <v>1</v>
      </c>
      <c r="AF409" s="2">
        <v>30.5</v>
      </c>
      <c r="AG409" s="2">
        <v>2</v>
      </c>
      <c r="AH409" s="3" t="s">
        <v>383</v>
      </c>
      <c r="AI409" s="4">
        <v>44740</v>
      </c>
      <c r="AJ409" s="3" t="s">
        <v>466</v>
      </c>
      <c r="AK409" s="3" t="s">
        <v>248</v>
      </c>
    </row>
    <row r="410" spans="1:37" hidden="1" x14ac:dyDescent="0.25">
      <c r="A410" t="str">
        <f t="shared" si="6"/>
        <v>2022_Vic_Kalkee_Chickpea_DetailedTOS2VarietyStrikerWaterTrtRainFed</v>
      </c>
      <c r="B410" s="2">
        <v>2022002</v>
      </c>
      <c r="C410" s="3" t="s">
        <v>382</v>
      </c>
      <c r="D410" s="3" t="s">
        <v>248</v>
      </c>
      <c r="F410" s="3" t="s">
        <v>4179</v>
      </c>
      <c r="G410" s="3" t="s">
        <v>43</v>
      </c>
      <c r="H410" s="3" t="s">
        <v>253</v>
      </c>
      <c r="I410" s="2">
        <v>83</v>
      </c>
      <c r="J410" s="2">
        <v>42</v>
      </c>
      <c r="K410" s="2">
        <v>3</v>
      </c>
      <c r="O410" s="2">
        <v>6</v>
      </c>
      <c r="P410" s="2">
        <v>11</v>
      </c>
      <c r="U410" s="2">
        <v>2</v>
      </c>
      <c r="V410" s="2">
        <v>32</v>
      </c>
      <c r="W410" s="2">
        <v>2</v>
      </c>
      <c r="X410" s="2">
        <v>21</v>
      </c>
      <c r="AA410" s="3" t="s">
        <v>40</v>
      </c>
      <c r="AB410" s="2">
        <v>4</v>
      </c>
      <c r="AF410" s="2">
        <v>30.5</v>
      </c>
      <c r="AG410" s="2">
        <v>2</v>
      </c>
      <c r="AH410" s="3" t="s">
        <v>383</v>
      </c>
      <c r="AI410" s="4">
        <v>44740</v>
      </c>
      <c r="AJ410" s="3" t="s">
        <v>467</v>
      </c>
      <c r="AK410" s="3" t="s">
        <v>248</v>
      </c>
    </row>
    <row r="411" spans="1:37" hidden="1" x14ac:dyDescent="0.25">
      <c r="A411" t="str">
        <f t="shared" si="6"/>
        <v>2022_Vic_Kalkee_Chickpea_DetailedTOS2VarietyStrikerWaterTrtRainFed</v>
      </c>
      <c r="B411" s="2">
        <v>2022002</v>
      </c>
      <c r="C411" s="3" t="s">
        <v>382</v>
      </c>
      <c r="D411" s="3" t="s">
        <v>248</v>
      </c>
      <c r="F411" s="3" t="s">
        <v>4179</v>
      </c>
      <c r="G411" s="3" t="s">
        <v>43</v>
      </c>
      <c r="H411" s="3" t="s">
        <v>250</v>
      </c>
      <c r="I411" s="2">
        <v>84</v>
      </c>
      <c r="J411" s="2">
        <v>42</v>
      </c>
      <c r="K411" s="2">
        <v>3</v>
      </c>
      <c r="O411" s="2">
        <v>6</v>
      </c>
      <c r="P411" s="2">
        <v>11</v>
      </c>
      <c r="U411" s="2">
        <v>2</v>
      </c>
      <c r="V411" s="2">
        <v>33</v>
      </c>
      <c r="W411" s="2">
        <v>2</v>
      </c>
      <c r="X411" s="2">
        <v>22</v>
      </c>
      <c r="Z411" s="2">
        <v>42</v>
      </c>
      <c r="AA411" s="3" t="s">
        <v>40</v>
      </c>
      <c r="AB411" s="2">
        <v>4</v>
      </c>
      <c r="AF411" s="2">
        <v>30.5</v>
      </c>
      <c r="AG411" s="2">
        <v>2</v>
      </c>
      <c r="AH411" s="3" t="s">
        <v>383</v>
      </c>
      <c r="AI411" s="4">
        <v>44740</v>
      </c>
      <c r="AJ411" s="3" t="s">
        <v>468</v>
      </c>
      <c r="AK411" s="3" t="s">
        <v>248</v>
      </c>
    </row>
    <row r="412" spans="1:37" hidden="1" x14ac:dyDescent="0.25">
      <c r="A412" t="str">
        <f t="shared" si="6"/>
        <v>2022_Vic_Kalkee_Chickpea_DetailedTOS2VarietyHatTrickWaterTrtRainFed</v>
      </c>
      <c r="B412" s="2">
        <v>2022002</v>
      </c>
      <c r="C412" s="3" t="s">
        <v>382</v>
      </c>
      <c r="D412" s="3" t="s">
        <v>248</v>
      </c>
      <c r="F412" s="3" t="s">
        <v>4178</v>
      </c>
      <c r="G412" s="3" t="s">
        <v>39</v>
      </c>
      <c r="H412" s="3" t="s">
        <v>253</v>
      </c>
      <c r="I412" s="2">
        <v>85</v>
      </c>
      <c r="J412" s="2">
        <v>43</v>
      </c>
      <c r="K412" s="2">
        <v>3</v>
      </c>
      <c r="O412" s="2">
        <v>6</v>
      </c>
      <c r="P412" s="2">
        <v>11</v>
      </c>
      <c r="U412" s="2">
        <v>3</v>
      </c>
      <c r="V412" s="2">
        <v>32</v>
      </c>
      <c r="W412" s="2">
        <v>3</v>
      </c>
      <c r="X412" s="2">
        <v>21</v>
      </c>
      <c r="AA412" s="3" t="s">
        <v>40</v>
      </c>
      <c r="AB412" s="2">
        <v>3</v>
      </c>
      <c r="AF412" s="2">
        <v>30.5</v>
      </c>
      <c r="AG412" s="2">
        <v>2</v>
      </c>
      <c r="AH412" s="3" t="s">
        <v>383</v>
      </c>
      <c r="AI412" s="4">
        <v>44740</v>
      </c>
      <c r="AJ412" s="3" t="s">
        <v>469</v>
      </c>
      <c r="AK412" s="3" t="s">
        <v>248</v>
      </c>
    </row>
    <row r="413" spans="1:37" hidden="1" x14ac:dyDescent="0.25">
      <c r="A413" t="str">
        <f t="shared" si="6"/>
        <v>2022_Vic_Kalkee_Chickpea_DetailedTOS2VarietyHatTrickWaterTrtRainFed</v>
      </c>
      <c r="B413" s="2">
        <v>2022002</v>
      </c>
      <c r="C413" s="3" t="s">
        <v>382</v>
      </c>
      <c r="D413" s="3" t="s">
        <v>248</v>
      </c>
      <c r="F413" s="3" t="s">
        <v>4178</v>
      </c>
      <c r="G413" s="3" t="s">
        <v>39</v>
      </c>
      <c r="H413" s="3" t="s">
        <v>250</v>
      </c>
      <c r="I413" s="2">
        <v>86</v>
      </c>
      <c r="J413" s="2">
        <v>43</v>
      </c>
      <c r="K413" s="2">
        <v>3</v>
      </c>
      <c r="O413" s="2">
        <v>6</v>
      </c>
      <c r="P413" s="2">
        <v>11</v>
      </c>
      <c r="U413" s="2">
        <v>3</v>
      </c>
      <c r="V413" s="2">
        <v>33</v>
      </c>
      <c r="W413" s="2">
        <v>3</v>
      </c>
      <c r="X413" s="2">
        <v>22</v>
      </c>
      <c r="Z413" s="2">
        <v>43</v>
      </c>
      <c r="AA413" s="3" t="s">
        <v>40</v>
      </c>
      <c r="AB413" s="2">
        <v>3</v>
      </c>
      <c r="AF413" s="2">
        <v>30.5</v>
      </c>
      <c r="AG413" s="2">
        <v>2</v>
      </c>
      <c r="AH413" s="3" t="s">
        <v>383</v>
      </c>
      <c r="AI413" s="4">
        <v>44740</v>
      </c>
      <c r="AJ413" s="3" t="s">
        <v>470</v>
      </c>
      <c r="AK413" s="3" t="s">
        <v>248</v>
      </c>
    </row>
    <row r="414" spans="1:37" hidden="1" x14ac:dyDescent="0.25">
      <c r="A414" t="str">
        <f t="shared" si="6"/>
        <v>2022_Vic_Kalkee_Chickpea_DetailedTOS2VarietyDrummondWaterTrtRainFed</v>
      </c>
      <c r="B414" s="2">
        <v>2022002</v>
      </c>
      <c r="C414" s="3" t="s">
        <v>382</v>
      </c>
      <c r="D414" s="3" t="s">
        <v>248</v>
      </c>
      <c r="F414" s="3" t="s">
        <v>4182</v>
      </c>
      <c r="G414" s="3" t="s">
        <v>39</v>
      </c>
      <c r="H414" s="3" t="s">
        <v>253</v>
      </c>
      <c r="I414" s="2">
        <v>87</v>
      </c>
      <c r="J414" s="2">
        <v>44</v>
      </c>
      <c r="K414" s="2">
        <v>3</v>
      </c>
      <c r="O414" s="2">
        <v>6</v>
      </c>
      <c r="P414" s="2">
        <v>11</v>
      </c>
      <c r="U414" s="2">
        <v>4</v>
      </c>
      <c r="V414" s="2">
        <v>32</v>
      </c>
      <c r="W414" s="2">
        <v>4</v>
      </c>
      <c r="X414" s="2">
        <v>21</v>
      </c>
      <c r="AA414" s="3" t="s">
        <v>40</v>
      </c>
      <c r="AB414" s="2">
        <v>2</v>
      </c>
      <c r="AF414" s="2">
        <v>30.5</v>
      </c>
      <c r="AG414" s="2">
        <v>2</v>
      </c>
      <c r="AH414" s="3" t="s">
        <v>383</v>
      </c>
      <c r="AI414" s="4">
        <v>44740</v>
      </c>
      <c r="AJ414" s="3" t="s">
        <v>471</v>
      </c>
      <c r="AK414" s="3" t="s">
        <v>248</v>
      </c>
    </row>
    <row r="415" spans="1:37" hidden="1" x14ac:dyDescent="0.25">
      <c r="A415" t="str">
        <f t="shared" si="6"/>
        <v>2022_Vic_Kalkee_Chickpea_DetailedTOS2VarietyDrummondWaterTrtRainFed</v>
      </c>
      <c r="B415" s="2">
        <v>2022002</v>
      </c>
      <c r="C415" s="3" t="s">
        <v>382</v>
      </c>
      <c r="D415" s="3" t="s">
        <v>248</v>
      </c>
      <c r="F415" s="3" t="s">
        <v>4182</v>
      </c>
      <c r="G415" s="3" t="s">
        <v>39</v>
      </c>
      <c r="H415" s="3" t="s">
        <v>250</v>
      </c>
      <c r="I415" s="2">
        <v>88</v>
      </c>
      <c r="J415" s="2">
        <v>44</v>
      </c>
      <c r="K415" s="2">
        <v>3</v>
      </c>
      <c r="O415" s="2">
        <v>6</v>
      </c>
      <c r="P415" s="2">
        <v>11</v>
      </c>
      <c r="U415" s="2">
        <v>4</v>
      </c>
      <c r="V415" s="2">
        <v>33</v>
      </c>
      <c r="W415" s="2">
        <v>4</v>
      </c>
      <c r="X415" s="2">
        <v>22</v>
      </c>
      <c r="Z415" s="2">
        <v>44</v>
      </c>
      <c r="AA415" s="3" t="s">
        <v>40</v>
      </c>
      <c r="AB415" s="2">
        <v>2</v>
      </c>
      <c r="AF415" s="2">
        <v>30.5</v>
      </c>
      <c r="AG415" s="2">
        <v>2</v>
      </c>
      <c r="AH415" s="3" t="s">
        <v>383</v>
      </c>
      <c r="AI415" s="4">
        <v>44740</v>
      </c>
      <c r="AJ415" s="3" t="s">
        <v>472</v>
      </c>
      <c r="AK415" s="3" t="s">
        <v>248</v>
      </c>
    </row>
    <row r="416" spans="1:37" hidden="1" x14ac:dyDescent="0.25">
      <c r="A416" t="str">
        <f t="shared" si="6"/>
        <v>2022_Vic_Kalkee_Chickpea_DetailedTOS2VarietyHatTrickWaterTrtIrrigated</v>
      </c>
      <c r="B416" s="2">
        <v>2022002</v>
      </c>
      <c r="C416" s="3" t="s">
        <v>382</v>
      </c>
      <c r="D416" s="3" t="s">
        <v>248</v>
      </c>
      <c r="F416" s="3" t="s">
        <v>4178</v>
      </c>
      <c r="G416" s="3" t="s">
        <v>39</v>
      </c>
      <c r="H416" s="3" t="s">
        <v>253</v>
      </c>
      <c r="I416" s="2">
        <v>89</v>
      </c>
      <c r="J416" s="2">
        <v>45</v>
      </c>
      <c r="K416" s="2">
        <v>3</v>
      </c>
      <c r="O416" s="2">
        <v>6</v>
      </c>
      <c r="P416" s="2">
        <v>12</v>
      </c>
      <c r="U416" s="2">
        <v>1</v>
      </c>
      <c r="V416" s="2">
        <v>35</v>
      </c>
      <c r="W416" s="2">
        <v>1</v>
      </c>
      <c r="X416" s="2">
        <v>23</v>
      </c>
      <c r="AA416" s="3" t="s">
        <v>57</v>
      </c>
      <c r="AB416" s="2">
        <v>3</v>
      </c>
      <c r="AF416" s="2">
        <v>30.5</v>
      </c>
      <c r="AG416" s="2">
        <v>2</v>
      </c>
      <c r="AH416" s="3" t="s">
        <v>383</v>
      </c>
      <c r="AI416" s="4">
        <v>44740</v>
      </c>
      <c r="AJ416" s="3" t="s">
        <v>473</v>
      </c>
      <c r="AK416" s="3" t="s">
        <v>248</v>
      </c>
    </row>
    <row r="417" spans="1:37" hidden="1" x14ac:dyDescent="0.25">
      <c r="A417" t="str">
        <f t="shared" si="6"/>
        <v>2022_Vic_Kalkee_Chickpea_DetailedTOS2VarietyHatTrickWaterTrtIrrigated</v>
      </c>
      <c r="B417" s="2">
        <v>2022002</v>
      </c>
      <c r="C417" s="3" t="s">
        <v>382</v>
      </c>
      <c r="D417" s="3" t="s">
        <v>248</v>
      </c>
      <c r="F417" s="3" t="s">
        <v>4178</v>
      </c>
      <c r="G417" s="3" t="s">
        <v>39</v>
      </c>
      <c r="H417" s="3" t="s">
        <v>250</v>
      </c>
      <c r="I417" s="2">
        <v>90</v>
      </c>
      <c r="J417" s="2">
        <v>45</v>
      </c>
      <c r="K417" s="2">
        <v>3</v>
      </c>
      <c r="O417" s="2">
        <v>6</v>
      </c>
      <c r="P417" s="2">
        <v>12</v>
      </c>
      <c r="U417" s="2">
        <v>1</v>
      </c>
      <c r="V417" s="2">
        <v>36</v>
      </c>
      <c r="W417" s="2">
        <v>1</v>
      </c>
      <c r="X417" s="2">
        <v>24</v>
      </c>
      <c r="Z417" s="2">
        <v>48</v>
      </c>
      <c r="AA417" s="3" t="s">
        <v>57</v>
      </c>
      <c r="AB417" s="2">
        <v>3</v>
      </c>
      <c r="AF417" s="2">
        <v>30.5</v>
      </c>
      <c r="AG417" s="2">
        <v>2</v>
      </c>
      <c r="AH417" s="3" t="s">
        <v>383</v>
      </c>
      <c r="AI417" s="4">
        <v>44740</v>
      </c>
      <c r="AJ417" s="3" t="s">
        <v>474</v>
      </c>
      <c r="AK417" s="3" t="s">
        <v>248</v>
      </c>
    </row>
    <row r="418" spans="1:37" hidden="1" x14ac:dyDescent="0.25">
      <c r="A418" t="str">
        <f t="shared" si="6"/>
        <v>2022_Vic_Kalkee_Chickpea_DetailedTOS2VarietyDrummondWaterTrtIrrigated</v>
      </c>
      <c r="B418" s="2">
        <v>2022002</v>
      </c>
      <c r="C418" s="3" t="s">
        <v>382</v>
      </c>
      <c r="D418" s="3" t="s">
        <v>248</v>
      </c>
      <c r="F418" s="3" t="s">
        <v>4182</v>
      </c>
      <c r="G418" s="3" t="s">
        <v>39</v>
      </c>
      <c r="H418" s="3" t="s">
        <v>253</v>
      </c>
      <c r="I418" s="2">
        <v>91</v>
      </c>
      <c r="J418" s="2">
        <v>46</v>
      </c>
      <c r="K418" s="2">
        <v>3</v>
      </c>
      <c r="O418" s="2">
        <v>6</v>
      </c>
      <c r="P418" s="2">
        <v>12</v>
      </c>
      <c r="U418" s="2">
        <v>2</v>
      </c>
      <c r="V418" s="2">
        <v>35</v>
      </c>
      <c r="W418" s="2">
        <v>2</v>
      </c>
      <c r="X418" s="2">
        <v>23</v>
      </c>
      <c r="AA418" s="3" t="s">
        <v>57</v>
      </c>
      <c r="AB418" s="2">
        <v>2</v>
      </c>
      <c r="AF418" s="2">
        <v>30.5</v>
      </c>
      <c r="AG418" s="2">
        <v>2</v>
      </c>
      <c r="AH418" s="3" t="s">
        <v>383</v>
      </c>
      <c r="AI418" s="4">
        <v>44740</v>
      </c>
      <c r="AJ418" s="3" t="s">
        <v>475</v>
      </c>
      <c r="AK418" s="3" t="s">
        <v>248</v>
      </c>
    </row>
    <row r="419" spans="1:37" hidden="1" x14ac:dyDescent="0.25">
      <c r="A419" t="str">
        <f t="shared" si="6"/>
        <v>2022_Vic_Kalkee_Chickpea_DetailedTOS2VarietyDrummondWaterTrtIrrigated</v>
      </c>
      <c r="B419" s="2">
        <v>2022002</v>
      </c>
      <c r="C419" s="3" t="s">
        <v>382</v>
      </c>
      <c r="D419" s="3" t="s">
        <v>248</v>
      </c>
      <c r="F419" s="3" t="s">
        <v>4182</v>
      </c>
      <c r="G419" s="3" t="s">
        <v>39</v>
      </c>
      <c r="H419" s="3" t="s">
        <v>250</v>
      </c>
      <c r="I419" s="2">
        <v>92</v>
      </c>
      <c r="J419" s="2">
        <v>46</v>
      </c>
      <c r="K419" s="2">
        <v>3</v>
      </c>
      <c r="O419" s="2">
        <v>6</v>
      </c>
      <c r="P419" s="2">
        <v>12</v>
      </c>
      <c r="U419" s="2">
        <v>2</v>
      </c>
      <c r="V419" s="2">
        <v>36</v>
      </c>
      <c r="W419" s="2">
        <v>2</v>
      </c>
      <c r="X419" s="2">
        <v>24</v>
      </c>
      <c r="Z419" s="2">
        <v>47</v>
      </c>
      <c r="AA419" s="3" t="s">
        <v>57</v>
      </c>
      <c r="AB419" s="2">
        <v>2</v>
      </c>
      <c r="AF419" s="2">
        <v>30.5</v>
      </c>
      <c r="AG419" s="2">
        <v>2</v>
      </c>
      <c r="AH419" s="3" t="s">
        <v>383</v>
      </c>
      <c r="AI419" s="4">
        <v>44740</v>
      </c>
      <c r="AJ419" s="3" t="s">
        <v>476</v>
      </c>
      <c r="AK419" s="3" t="s">
        <v>248</v>
      </c>
    </row>
    <row r="420" spans="1:37" hidden="1" x14ac:dyDescent="0.25">
      <c r="A420" t="str">
        <f t="shared" si="6"/>
        <v>2022_Vic_Kalkee_Chickpea_DetailedTOS2VarietyStrikerWaterTrtIrrigated</v>
      </c>
      <c r="B420" s="2">
        <v>2022002</v>
      </c>
      <c r="C420" s="3" t="s">
        <v>382</v>
      </c>
      <c r="D420" s="3" t="s">
        <v>248</v>
      </c>
      <c r="F420" s="3" t="s">
        <v>4179</v>
      </c>
      <c r="G420" s="3" t="s">
        <v>43</v>
      </c>
      <c r="H420" s="3" t="s">
        <v>253</v>
      </c>
      <c r="I420" s="2">
        <v>93</v>
      </c>
      <c r="J420" s="2">
        <v>47</v>
      </c>
      <c r="K420" s="2">
        <v>3</v>
      </c>
      <c r="O420" s="2">
        <v>6</v>
      </c>
      <c r="P420" s="2">
        <v>12</v>
      </c>
      <c r="U420" s="2">
        <v>3</v>
      </c>
      <c r="V420" s="2">
        <v>35</v>
      </c>
      <c r="W420" s="2">
        <v>3</v>
      </c>
      <c r="X420" s="2">
        <v>23</v>
      </c>
      <c r="AA420" s="3" t="s">
        <v>57</v>
      </c>
      <c r="AB420" s="2">
        <v>4</v>
      </c>
      <c r="AF420" s="2">
        <v>30.5</v>
      </c>
      <c r="AG420" s="2">
        <v>2</v>
      </c>
      <c r="AH420" s="3" t="s">
        <v>383</v>
      </c>
      <c r="AI420" s="4">
        <v>44740</v>
      </c>
      <c r="AJ420" s="3" t="s">
        <v>477</v>
      </c>
      <c r="AK420" s="3" t="s">
        <v>248</v>
      </c>
    </row>
    <row r="421" spans="1:37" hidden="1" x14ac:dyDescent="0.25">
      <c r="A421" t="str">
        <f t="shared" si="6"/>
        <v>2022_Vic_Kalkee_Chickpea_DetailedTOS2VarietyStrikerWaterTrtIrrigated</v>
      </c>
      <c r="B421" s="2">
        <v>2022002</v>
      </c>
      <c r="C421" s="3" t="s">
        <v>382</v>
      </c>
      <c r="D421" s="3" t="s">
        <v>248</v>
      </c>
      <c r="F421" s="3" t="s">
        <v>4179</v>
      </c>
      <c r="G421" s="3" t="s">
        <v>43</v>
      </c>
      <c r="H421" s="3" t="s">
        <v>250</v>
      </c>
      <c r="I421" s="2">
        <v>94</v>
      </c>
      <c r="J421" s="2">
        <v>47</v>
      </c>
      <c r="K421" s="2">
        <v>3</v>
      </c>
      <c r="O421" s="2">
        <v>6</v>
      </c>
      <c r="P421" s="2">
        <v>12</v>
      </c>
      <c r="U421" s="2">
        <v>3</v>
      </c>
      <c r="V421" s="2">
        <v>36</v>
      </c>
      <c r="W421" s="2">
        <v>3</v>
      </c>
      <c r="X421" s="2">
        <v>24</v>
      </c>
      <c r="Z421" s="2">
        <v>46</v>
      </c>
      <c r="AA421" s="3" t="s">
        <v>57</v>
      </c>
      <c r="AB421" s="2">
        <v>4</v>
      </c>
      <c r="AF421" s="2">
        <v>30.5</v>
      </c>
      <c r="AG421" s="2">
        <v>2</v>
      </c>
      <c r="AH421" s="3" t="s">
        <v>383</v>
      </c>
      <c r="AI421" s="4">
        <v>44740</v>
      </c>
      <c r="AJ421" s="3" t="s">
        <v>478</v>
      </c>
      <c r="AK421" s="3" t="s">
        <v>248</v>
      </c>
    </row>
    <row r="422" spans="1:37" hidden="1" x14ac:dyDescent="0.25">
      <c r="A422" t="str">
        <f t="shared" si="6"/>
        <v>2022_Vic_Kalkee_Chickpea_DetailedTOS2VarietyCBA_CaptainWaterTrtIrrigated</v>
      </c>
      <c r="B422" s="2">
        <v>2022002</v>
      </c>
      <c r="C422" s="3" t="s">
        <v>382</v>
      </c>
      <c r="D422" s="3" t="s">
        <v>248</v>
      </c>
      <c r="F422" s="3" t="s">
        <v>249</v>
      </c>
      <c r="G422" s="3" t="s">
        <v>43</v>
      </c>
      <c r="H422" s="3" t="s">
        <v>253</v>
      </c>
      <c r="I422" s="2">
        <v>95</v>
      </c>
      <c r="J422" s="2">
        <v>48</v>
      </c>
      <c r="K422" s="2">
        <v>3</v>
      </c>
      <c r="O422" s="2">
        <v>6</v>
      </c>
      <c r="P422" s="2">
        <v>12</v>
      </c>
      <c r="U422" s="2">
        <v>4</v>
      </c>
      <c r="V422" s="2">
        <v>35</v>
      </c>
      <c r="W422" s="2">
        <v>4</v>
      </c>
      <c r="X422" s="2">
        <v>23</v>
      </c>
      <c r="AA422" s="3" t="s">
        <v>57</v>
      </c>
      <c r="AB422" s="2">
        <v>1</v>
      </c>
      <c r="AF422" s="2">
        <v>30.5</v>
      </c>
      <c r="AG422" s="2">
        <v>2</v>
      </c>
      <c r="AH422" s="3" t="s">
        <v>383</v>
      </c>
      <c r="AI422" s="4">
        <v>44740</v>
      </c>
      <c r="AJ422" s="3" t="s">
        <v>479</v>
      </c>
      <c r="AK422" s="3" t="s">
        <v>248</v>
      </c>
    </row>
    <row r="423" spans="1:37" hidden="1" x14ac:dyDescent="0.25">
      <c r="A423" t="str">
        <f t="shared" si="6"/>
        <v>2022_Vic_Kalkee_Chickpea_DetailedTOS2VarietyCBA_CaptainWaterTrtIrrigated</v>
      </c>
      <c r="B423" s="2">
        <v>2022002</v>
      </c>
      <c r="C423" s="3" t="s">
        <v>382</v>
      </c>
      <c r="D423" s="3" t="s">
        <v>248</v>
      </c>
      <c r="F423" s="3" t="s">
        <v>249</v>
      </c>
      <c r="G423" s="3" t="s">
        <v>43</v>
      </c>
      <c r="H423" s="3" t="s">
        <v>250</v>
      </c>
      <c r="I423" s="2">
        <v>96</v>
      </c>
      <c r="J423" s="2">
        <v>48</v>
      </c>
      <c r="K423" s="2">
        <v>3</v>
      </c>
      <c r="O423" s="2">
        <v>6</v>
      </c>
      <c r="P423" s="2">
        <v>12</v>
      </c>
      <c r="U423" s="2">
        <v>4</v>
      </c>
      <c r="V423" s="2">
        <v>36</v>
      </c>
      <c r="W423" s="2">
        <v>4</v>
      </c>
      <c r="X423" s="2">
        <v>24</v>
      </c>
      <c r="Z423" s="2">
        <v>45</v>
      </c>
      <c r="AA423" s="3" t="s">
        <v>57</v>
      </c>
      <c r="AB423" s="2">
        <v>1</v>
      </c>
      <c r="AF423" s="2">
        <v>30.5</v>
      </c>
      <c r="AG423" s="2">
        <v>2</v>
      </c>
      <c r="AH423" s="3" t="s">
        <v>383</v>
      </c>
      <c r="AI423" s="4">
        <v>44740</v>
      </c>
      <c r="AJ423" s="3" t="s">
        <v>480</v>
      </c>
      <c r="AK423" s="3" t="s">
        <v>248</v>
      </c>
    </row>
    <row r="424" spans="1:37" hidden="1" x14ac:dyDescent="0.25">
      <c r="A424" t="str">
        <f t="shared" si="6"/>
        <v>2022_Vic_Kalkee_Chickpea_DetailedTOS2VarietyStrikerWaterTrtIrrigated</v>
      </c>
      <c r="B424" s="2">
        <v>2022002</v>
      </c>
      <c r="C424" s="3" t="s">
        <v>382</v>
      </c>
      <c r="D424" s="3" t="s">
        <v>248</v>
      </c>
      <c r="F424" s="3" t="s">
        <v>4179</v>
      </c>
      <c r="G424" s="3" t="s">
        <v>43</v>
      </c>
      <c r="H424" s="3" t="s">
        <v>253</v>
      </c>
      <c r="I424" s="2">
        <v>97</v>
      </c>
      <c r="J424" s="2">
        <v>49</v>
      </c>
      <c r="K424" s="2">
        <v>4</v>
      </c>
      <c r="O424" s="2">
        <v>7</v>
      </c>
      <c r="P424" s="2">
        <v>13</v>
      </c>
      <c r="U424" s="2">
        <v>1</v>
      </c>
      <c r="V424" s="2">
        <v>38</v>
      </c>
      <c r="W424" s="2">
        <v>1</v>
      </c>
      <c r="X424" s="2">
        <v>25</v>
      </c>
      <c r="AA424" s="3" t="s">
        <v>57</v>
      </c>
      <c r="AB424" s="2">
        <v>4</v>
      </c>
      <c r="AF424" s="2">
        <v>30.5</v>
      </c>
      <c r="AG424" s="2">
        <v>2</v>
      </c>
      <c r="AH424" s="3" t="s">
        <v>383</v>
      </c>
      <c r="AI424" s="4">
        <v>44740</v>
      </c>
      <c r="AJ424" s="3" t="s">
        <v>481</v>
      </c>
      <c r="AK424" s="3" t="s">
        <v>248</v>
      </c>
    </row>
    <row r="425" spans="1:37" hidden="1" x14ac:dyDescent="0.25">
      <c r="A425" t="str">
        <f t="shared" si="6"/>
        <v>2022_Vic_Kalkee_Chickpea_DetailedTOS2VarietyStrikerWaterTrtIrrigated</v>
      </c>
      <c r="B425" s="2">
        <v>2022002</v>
      </c>
      <c r="C425" s="3" t="s">
        <v>382</v>
      </c>
      <c r="D425" s="3" t="s">
        <v>248</v>
      </c>
      <c r="F425" s="3" t="s">
        <v>4179</v>
      </c>
      <c r="G425" s="3" t="s">
        <v>43</v>
      </c>
      <c r="H425" s="3" t="s">
        <v>250</v>
      </c>
      <c r="I425" s="2">
        <v>98</v>
      </c>
      <c r="J425" s="2">
        <v>49</v>
      </c>
      <c r="K425" s="2">
        <v>4</v>
      </c>
      <c r="O425" s="2">
        <v>7</v>
      </c>
      <c r="P425" s="2">
        <v>13</v>
      </c>
      <c r="U425" s="2">
        <v>1</v>
      </c>
      <c r="V425" s="2">
        <v>39</v>
      </c>
      <c r="W425" s="2">
        <v>1</v>
      </c>
      <c r="X425" s="2">
        <v>26</v>
      </c>
      <c r="Z425" s="2">
        <v>49</v>
      </c>
      <c r="AA425" s="3" t="s">
        <v>57</v>
      </c>
      <c r="AB425" s="2">
        <v>4</v>
      </c>
      <c r="AF425" s="2">
        <v>30.5</v>
      </c>
      <c r="AG425" s="2">
        <v>2</v>
      </c>
      <c r="AH425" s="3" t="s">
        <v>383</v>
      </c>
      <c r="AI425" s="4">
        <v>44740</v>
      </c>
      <c r="AJ425" s="3" t="s">
        <v>482</v>
      </c>
      <c r="AK425" s="3" t="s">
        <v>248</v>
      </c>
    </row>
    <row r="426" spans="1:37" hidden="1" x14ac:dyDescent="0.25">
      <c r="A426" t="str">
        <f t="shared" si="6"/>
        <v>2022_Vic_Kalkee_Chickpea_DetailedTOS2VarietyCBA_CaptainWaterTrtIrrigated</v>
      </c>
      <c r="B426" s="2">
        <v>2022002</v>
      </c>
      <c r="C426" s="3" t="s">
        <v>382</v>
      </c>
      <c r="D426" s="3" t="s">
        <v>248</v>
      </c>
      <c r="F426" s="3" t="s">
        <v>249</v>
      </c>
      <c r="G426" s="3" t="s">
        <v>43</v>
      </c>
      <c r="H426" s="3" t="s">
        <v>253</v>
      </c>
      <c r="I426" s="2">
        <v>99</v>
      </c>
      <c r="J426" s="2">
        <v>50</v>
      </c>
      <c r="K426" s="2">
        <v>4</v>
      </c>
      <c r="O426" s="2">
        <v>7</v>
      </c>
      <c r="P426" s="2">
        <v>13</v>
      </c>
      <c r="U426" s="2">
        <v>2</v>
      </c>
      <c r="V426" s="2">
        <v>38</v>
      </c>
      <c r="W426" s="2">
        <v>2</v>
      </c>
      <c r="X426" s="2">
        <v>25</v>
      </c>
      <c r="AA426" s="3" t="s">
        <v>57</v>
      </c>
      <c r="AB426" s="2">
        <v>1</v>
      </c>
      <c r="AF426" s="2">
        <v>30.5</v>
      </c>
      <c r="AG426" s="2">
        <v>2</v>
      </c>
      <c r="AH426" s="3" t="s">
        <v>383</v>
      </c>
      <c r="AI426" s="4">
        <v>44740</v>
      </c>
      <c r="AJ426" s="3" t="s">
        <v>483</v>
      </c>
      <c r="AK426" s="3" t="s">
        <v>248</v>
      </c>
    </row>
    <row r="427" spans="1:37" hidden="1" x14ac:dyDescent="0.25">
      <c r="A427" t="str">
        <f t="shared" si="6"/>
        <v>2022_Vic_Kalkee_Chickpea_DetailedTOS2VarietyCBA_CaptainWaterTrtIrrigated</v>
      </c>
      <c r="B427" s="2">
        <v>2022002</v>
      </c>
      <c r="C427" s="3" t="s">
        <v>382</v>
      </c>
      <c r="D427" s="3" t="s">
        <v>248</v>
      </c>
      <c r="F427" s="3" t="s">
        <v>249</v>
      </c>
      <c r="G427" s="3" t="s">
        <v>43</v>
      </c>
      <c r="H427" s="3" t="s">
        <v>250</v>
      </c>
      <c r="I427" s="2">
        <v>100</v>
      </c>
      <c r="J427" s="2">
        <v>50</v>
      </c>
      <c r="K427" s="2">
        <v>4</v>
      </c>
      <c r="O427" s="2">
        <v>7</v>
      </c>
      <c r="P427" s="2">
        <v>13</v>
      </c>
      <c r="U427" s="2">
        <v>2</v>
      </c>
      <c r="V427" s="2">
        <v>39</v>
      </c>
      <c r="W427" s="2">
        <v>2</v>
      </c>
      <c r="X427" s="2">
        <v>26</v>
      </c>
      <c r="Z427" s="2">
        <v>50</v>
      </c>
      <c r="AA427" s="3" t="s">
        <v>57</v>
      </c>
      <c r="AB427" s="2">
        <v>1</v>
      </c>
      <c r="AF427" s="2">
        <v>30.5</v>
      </c>
      <c r="AG427" s="2">
        <v>2</v>
      </c>
      <c r="AH427" s="3" t="s">
        <v>383</v>
      </c>
      <c r="AI427" s="4">
        <v>44740</v>
      </c>
      <c r="AJ427" s="3" t="s">
        <v>484</v>
      </c>
      <c r="AK427" s="3" t="s">
        <v>248</v>
      </c>
    </row>
    <row r="428" spans="1:37" hidden="1" x14ac:dyDescent="0.25">
      <c r="A428" t="str">
        <f t="shared" si="6"/>
        <v>2022_Vic_Kalkee_Chickpea_DetailedTOS2VarietyHatTrickWaterTrtIrrigated</v>
      </c>
      <c r="B428" s="2">
        <v>2022002</v>
      </c>
      <c r="C428" s="3" t="s">
        <v>382</v>
      </c>
      <c r="D428" s="3" t="s">
        <v>248</v>
      </c>
      <c r="F428" s="3" t="s">
        <v>4178</v>
      </c>
      <c r="G428" s="3" t="s">
        <v>39</v>
      </c>
      <c r="H428" s="3" t="s">
        <v>253</v>
      </c>
      <c r="I428" s="2">
        <v>101</v>
      </c>
      <c r="J428" s="2">
        <v>51</v>
      </c>
      <c r="K428" s="2">
        <v>4</v>
      </c>
      <c r="O428" s="2">
        <v>7</v>
      </c>
      <c r="P428" s="2">
        <v>13</v>
      </c>
      <c r="U428" s="2">
        <v>3</v>
      </c>
      <c r="V428" s="2">
        <v>38</v>
      </c>
      <c r="W428" s="2">
        <v>3</v>
      </c>
      <c r="X428" s="2">
        <v>25</v>
      </c>
      <c r="AA428" s="3" t="s">
        <v>57</v>
      </c>
      <c r="AB428" s="2">
        <v>3</v>
      </c>
      <c r="AF428" s="2">
        <v>30.5</v>
      </c>
      <c r="AG428" s="2">
        <v>2</v>
      </c>
      <c r="AH428" s="3" t="s">
        <v>383</v>
      </c>
      <c r="AI428" s="4">
        <v>44740</v>
      </c>
      <c r="AJ428" s="3" t="s">
        <v>485</v>
      </c>
      <c r="AK428" s="3" t="s">
        <v>248</v>
      </c>
    </row>
    <row r="429" spans="1:37" hidden="1" x14ac:dyDescent="0.25">
      <c r="A429" t="str">
        <f t="shared" si="6"/>
        <v>2022_Vic_Kalkee_Chickpea_DetailedTOS2VarietyHatTrickWaterTrtIrrigated</v>
      </c>
      <c r="B429" s="2">
        <v>2022002</v>
      </c>
      <c r="C429" s="3" t="s">
        <v>382</v>
      </c>
      <c r="D429" s="3" t="s">
        <v>248</v>
      </c>
      <c r="F429" s="3" t="s">
        <v>4178</v>
      </c>
      <c r="G429" s="3" t="s">
        <v>39</v>
      </c>
      <c r="H429" s="3" t="s">
        <v>250</v>
      </c>
      <c r="I429" s="2">
        <v>102</v>
      </c>
      <c r="J429" s="2">
        <v>51</v>
      </c>
      <c r="K429" s="2">
        <v>4</v>
      </c>
      <c r="O429" s="2">
        <v>7</v>
      </c>
      <c r="P429" s="2">
        <v>13</v>
      </c>
      <c r="U429" s="2">
        <v>3</v>
      </c>
      <c r="V429" s="2">
        <v>39</v>
      </c>
      <c r="W429" s="2">
        <v>3</v>
      </c>
      <c r="X429" s="2">
        <v>26</v>
      </c>
      <c r="Z429" s="2">
        <v>51</v>
      </c>
      <c r="AA429" s="3" t="s">
        <v>57</v>
      </c>
      <c r="AB429" s="2">
        <v>3</v>
      </c>
      <c r="AF429" s="2">
        <v>30.5</v>
      </c>
      <c r="AG429" s="2">
        <v>2</v>
      </c>
      <c r="AH429" s="3" t="s">
        <v>383</v>
      </c>
      <c r="AI429" s="4">
        <v>44740</v>
      </c>
      <c r="AJ429" s="3" t="s">
        <v>486</v>
      </c>
      <c r="AK429" s="3" t="s">
        <v>248</v>
      </c>
    </row>
    <row r="430" spans="1:37" hidden="1" x14ac:dyDescent="0.25">
      <c r="A430" t="str">
        <f t="shared" si="6"/>
        <v>2022_Vic_Kalkee_Chickpea_DetailedTOS2VarietyDrummondWaterTrtIrrigated</v>
      </c>
      <c r="B430" s="2">
        <v>2022002</v>
      </c>
      <c r="C430" s="3" t="s">
        <v>382</v>
      </c>
      <c r="D430" s="3" t="s">
        <v>248</v>
      </c>
      <c r="F430" s="3" t="s">
        <v>4182</v>
      </c>
      <c r="G430" s="3" t="s">
        <v>39</v>
      </c>
      <c r="H430" s="3" t="s">
        <v>253</v>
      </c>
      <c r="I430" s="2">
        <v>103</v>
      </c>
      <c r="J430" s="2">
        <v>52</v>
      </c>
      <c r="K430" s="2">
        <v>4</v>
      </c>
      <c r="O430" s="2">
        <v>7</v>
      </c>
      <c r="P430" s="2">
        <v>13</v>
      </c>
      <c r="U430" s="2">
        <v>4</v>
      </c>
      <c r="V430" s="2">
        <v>38</v>
      </c>
      <c r="W430" s="2">
        <v>4</v>
      </c>
      <c r="X430" s="2">
        <v>25</v>
      </c>
      <c r="AA430" s="3" t="s">
        <v>57</v>
      </c>
      <c r="AB430" s="2">
        <v>2</v>
      </c>
      <c r="AF430" s="2">
        <v>30.5</v>
      </c>
      <c r="AG430" s="2">
        <v>2</v>
      </c>
      <c r="AH430" s="3" t="s">
        <v>383</v>
      </c>
      <c r="AI430" s="4">
        <v>44740</v>
      </c>
      <c r="AJ430" s="3" t="s">
        <v>487</v>
      </c>
      <c r="AK430" s="3" t="s">
        <v>248</v>
      </c>
    </row>
    <row r="431" spans="1:37" hidden="1" x14ac:dyDescent="0.25">
      <c r="A431" t="str">
        <f t="shared" si="6"/>
        <v>2022_Vic_Kalkee_Chickpea_DetailedTOS2VarietyDrummondWaterTrtIrrigated</v>
      </c>
      <c r="B431" s="2">
        <v>2022002</v>
      </c>
      <c r="C431" s="3" t="s">
        <v>382</v>
      </c>
      <c r="D431" s="3" t="s">
        <v>248</v>
      </c>
      <c r="F431" s="3" t="s">
        <v>4182</v>
      </c>
      <c r="G431" s="3" t="s">
        <v>39</v>
      </c>
      <c r="H431" s="3" t="s">
        <v>250</v>
      </c>
      <c r="I431" s="2">
        <v>104</v>
      </c>
      <c r="J431" s="2">
        <v>52</v>
      </c>
      <c r="K431" s="2">
        <v>4</v>
      </c>
      <c r="O431" s="2">
        <v>7</v>
      </c>
      <c r="P431" s="2">
        <v>13</v>
      </c>
      <c r="U431" s="2">
        <v>4</v>
      </c>
      <c r="V431" s="2">
        <v>39</v>
      </c>
      <c r="W431" s="2">
        <v>4</v>
      </c>
      <c r="X431" s="2">
        <v>26</v>
      </c>
      <c r="Z431" s="2">
        <v>52</v>
      </c>
      <c r="AA431" s="3" t="s">
        <v>57</v>
      </c>
      <c r="AB431" s="2">
        <v>2</v>
      </c>
      <c r="AF431" s="2">
        <v>30.5</v>
      </c>
      <c r="AG431" s="2">
        <v>2</v>
      </c>
      <c r="AH431" s="3" t="s">
        <v>383</v>
      </c>
      <c r="AI431" s="4">
        <v>44740</v>
      </c>
      <c r="AJ431" s="3" t="s">
        <v>488</v>
      </c>
      <c r="AK431" s="3" t="s">
        <v>248</v>
      </c>
    </row>
    <row r="432" spans="1:37" hidden="1" x14ac:dyDescent="0.25">
      <c r="A432" t="str">
        <f t="shared" si="6"/>
        <v>2022_Vic_Kalkee_Chickpea_DetailedTOS2VarietyHatTrickWaterTrtRainFed</v>
      </c>
      <c r="B432" s="2">
        <v>2022002</v>
      </c>
      <c r="C432" s="3" t="s">
        <v>382</v>
      </c>
      <c r="D432" s="3" t="s">
        <v>248</v>
      </c>
      <c r="F432" s="3" t="s">
        <v>4178</v>
      </c>
      <c r="G432" s="3" t="s">
        <v>39</v>
      </c>
      <c r="H432" s="3" t="s">
        <v>253</v>
      </c>
      <c r="I432" s="2">
        <v>105</v>
      </c>
      <c r="J432" s="2">
        <v>53</v>
      </c>
      <c r="K432" s="2">
        <v>4</v>
      </c>
      <c r="O432" s="2">
        <v>7</v>
      </c>
      <c r="P432" s="2">
        <v>14</v>
      </c>
      <c r="U432" s="2">
        <v>1</v>
      </c>
      <c r="V432" s="2">
        <v>41</v>
      </c>
      <c r="W432" s="2">
        <v>1</v>
      </c>
      <c r="X432" s="2">
        <v>27</v>
      </c>
      <c r="AA432" s="3" t="s">
        <v>40</v>
      </c>
      <c r="AB432" s="2">
        <v>3</v>
      </c>
      <c r="AF432" s="2">
        <v>30.5</v>
      </c>
      <c r="AG432" s="2">
        <v>2</v>
      </c>
      <c r="AH432" s="3" t="s">
        <v>383</v>
      </c>
      <c r="AI432" s="4">
        <v>44740</v>
      </c>
      <c r="AJ432" s="3" t="s">
        <v>489</v>
      </c>
      <c r="AK432" s="3" t="s">
        <v>248</v>
      </c>
    </row>
    <row r="433" spans="1:37" hidden="1" x14ac:dyDescent="0.25">
      <c r="A433" t="str">
        <f t="shared" si="6"/>
        <v>2022_Vic_Kalkee_Chickpea_DetailedTOS2VarietyHatTrickWaterTrtRainFed</v>
      </c>
      <c r="B433" s="2">
        <v>2022002</v>
      </c>
      <c r="C433" s="3" t="s">
        <v>382</v>
      </c>
      <c r="D433" s="3" t="s">
        <v>248</v>
      </c>
      <c r="F433" s="3" t="s">
        <v>4178</v>
      </c>
      <c r="G433" s="3" t="s">
        <v>39</v>
      </c>
      <c r="H433" s="3" t="s">
        <v>250</v>
      </c>
      <c r="I433" s="2">
        <v>106</v>
      </c>
      <c r="J433" s="2">
        <v>53</v>
      </c>
      <c r="K433" s="2">
        <v>4</v>
      </c>
      <c r="O433" s="2">
        <v>7</v>
      </c>
      <c r="P433" s="2">
        <v>14</v>
      </c>
      <c r="U433" s="2">
        <v>1</v>
      </c>
      <c r="V433" s="2">
        <v>42</v>
      </c>
      <c r="W433" s="2">
        <v>1</v>
      </c>
      <c r="X433" s="2">
        <v>28</v>
      </c>
      <c r="Z433" s="2">
        <v>56</v>
      </c>
      <c r="AA433" s="3" t="s">
        <v>40</v>
      </c>
      <c r="AB433" s="2">
        <v>3</v>
      </c>
      <c r="AF433" s="2">
        <v>30.5</v>
      </c>
      <c r="AG433" s="2">
        <v>2</v>
      </c>
      <c r="AH433" s="3" t="s">
        <v>383</v>
      </c>
      <c r="AI433" s="4">
        <v>44740</v>
      </c>
      <c r="AJ433" s="3" t="s">
        <v>490</v>
      </c>
      <c r="AK433" s="3" t="s">
        <v>248</v>
      </c>
    </row>
    <row r="434" spans="1:37" hidden="1" x14ac:dyDescent="0.25">
      <c r="A434" t="str">
        <f t="shared" si="6"/>
        <v>2022_Vic_Kalkee_Chickpea_DetailedTOS2VarietyDrummondWaterTrtRainFed</v>
      </c>
      <c r="B434" s="2">
        <v>2022002</v>
      </c>
      <c r="C434" s="3" t="s">
        <v>382</v>
      </c>
      <c r="D434" s="3" t="s">
        <v>248</v>
      </c>
      <c r="F434" s="3" t="s">
        <v>4182</v>
      </c>
      <c r="G434" s="3" t="s">
        <v>39</v>
      </c>
      <c r="H434" s="3" t="s">
        <v>253</v>
      </c>
      <c r="I434" s="2">
        <v>107</v>
      </c>
      <c r="J434" s="2">
        <v>54</v>
      </c>
      <c r="K434" s="2">
        <v>4</v>
      </c>
      <c r="O434" s="2">
        <v>7</v>
      </c>
      <c r="P434" s="2">
        <v>14</v>
      </c>
      <c r="U434" s="2">
        <v>2</v>
      </c>
      <c r="V434" s="2">
        <v>41</v>
      </c>
      <c r="W434" s="2">
        <v>2</v>
      </c>
      <c r="X434" s="2">
        <v>27</v>
      </c>
      <c r="AA434" s="3" t="s">
        <v>40</v>
      </c>
      <c r="AB434" s="2">
        <v>2</v>
      </c>
      <c r="AF434" s="2">
        <v>30.5</v>
      </c>
      <c r="AG434" s="2">
        <v>2</v>
      </c>
      <c r="AH434" s="3" t="s">
        <v>383</v>
      </c>
      <c r="AI434" s="4">
        <v>44740</v>
      </c>
      <c r="AJ434" s="3" t="s">
        <v>491</v>
      </c>
      <c r="AK434" s="3" t="s">
        <v>248</v>
      </c>
    </row>
    <row r="435" spans="1:37" hidden="1" x14ac:dyDescent="0.25">
      <c r="A435" t="str">
        <f t="shared" si="6"/>
        <v>2022_Vic_Kalkee_Chickpea_DetailedTOS2VarietyDrummondWaterTrtRainFed</v>
      </c>
      <c r="B435" s="2">
        <v>2022002</v>
      </c>
      <c r="C435" s="3" t="s">
        <v>382</v>
      </c>
      <c r="D435" s="3" t="s">
        <v>248</v>
      </c>
      <c r="F435" s="3" t="s">
        <v>4182</v>
      </c>
      <c r="G435" s="3" t="s">
        <v>39</v>
      </c>
      <c r="H435" s="3" t="s">
        <v>250</v>
      </c>
      <c r="I435" s="2">
        <v>108</v>
      </c>
      <c r="J435" s="2">
        <v>54</v>
      </c>
      <c r="K435" s="2">
        <v>4</v>
      </c>
      <c r="O435" s="2">
        <v>7</v>
      </c>
      <c r="P435" s="2">
        <v>14</v>
      </c>
      <c r="U435" s="2">
        <v>2</v>
      </c>
      <c r="V435" s="2">
        <v>42</v>
      </c>
      <c r="W435" s="2">
        <v>2</v>
      </c>
      <c r="X435" s="2">
        <v>28</v>
      </c>
      <c r="Z435" s="2">
        <v>55</v>
      </c>
      <c r="AA435" s="3" t="s">
        <v>40</v>
      </c>
      <c r="AB435" s="2">
        <v>2</v>
      </c>
      <c r="AF435" s="2">
        <v>30.5</v>
      </c>
      <c r="AG435" s="2">
        <v>2</v>
      </c>
      <c r="AH435" s="3" t="s">
        <v>383</v>
      </c>
      <c r="AI435" s="4">
        <v>44740</v>
      </c>
      <c r="AJ435" s="3" t="s">
        <v>492</v>
      </c>
      <c r="AK435" s="3" t="s">
        <v>248</v>
      </c>
    </row>
    <row r="436" spans="1:37" hidden="1" x14ac:dyDescent="0.25">
      <c r="A436" t="str">
        <f t="shared" si="6"/>
        <v>2022_Vic_Kalkee_Chickpea_DetailedTOS2VarietyStrikerWaterTrtRainFed</v>
      </c>
      <c r="B436" s="2">
        <v>2022002</v>
      </c>
      <c r="C436" s="3" t="s">
        <v>382</v>
      </c>
      <c r="D436" s="3" t="s">
        <v>248</v>
      </c>
      <c r="F436" s="3" t="s">
        <v>4179</v>
      </c>
      <c r="G436" s="3" t="s">
        <v>43</v>
      </c>
      <c r="H436" s="3" t="s">
        <v>253</v>
      </c>
      <c r="I436" s="2">
        <v>109</v>
      </c>
      <c r="J436" s="2">
        <v>55</v>
      </c>
      <c r="K436" s="2">
        <v>4</v>
      </c>
      <c r="O436" s="2">
        <v>7</v>
      </c>
      <c r="P436" s="2">
        <v>14</v>
      </c>
      <c r="U436" s="2">
        <v>3</v>
      </c>
      <c r="V436" s="2">
        <v>41</v>
      </c>
      <c r="W436" s="2">
        <v>3</v>
      </c>
      <c r="X436" s="2">
        <v>27</v>
      </c>
      <c r="AA436" s="3" t="s">
        <v>40</v>
      </c>
      <c r="AB436" s="2">
        <v>4</v>
      </c>
      <c r="AF436" s="2">
        <v>30.5</v>
      </c>
      <c r="AG436" s="2">
        <v>2</v>
      </c>
      <c r="AH436" s="3" t="s">
        <v>383</v>
      </c>
      <c r="AI436" s="4">
        <v>44740</v>
      </c>
      <c r="AJ436" s="3" t="s">
        <v>493</v>
      </c>
      <c r="AK436" s="3" t="s">
        <v>248</v>
      </c>
    </row>
    <row r="437" spans="1:37" hidden="1" x14ac:dyDescent="0.25">
      <c r="A437" t="str">
        <f t="shared" si="6"/>
        <v>2022_Vic_Kalkee_Chickpea_DetailedTOS2VarietyStrikerWaterTrtRainFed</v>
      </c>
      <c r="B437" s="2">
        <v>2022002</v>
      </c>
      <c r="C437" s="3" t="s">
        <v>382</v>
      </c>
      <c r="D437" s="3" t="s">
        <v>248</v>
      </c>
      <c r="F437" s="3" t="s">
        <v>4179</v>
      </c>
      <c r="G437" s="3" t="s">
        <v>43</v>
      </c>
      <c r="H437" s="3" t="s">
        <v>250</v>
      </c>
      <c r="I437" s="2">
        <v>110</v>
      </c>
      <c r="J437" s="2">
        <v>55</v>
      </c>
      <c r="K437" s="2">
        <v>4</v>
      </c>
      <c r="O437" s="2">
        <v>7</v>
      </c>
      <c r="P437" s="2">
        <v>14</v>
      </c>
      <c r="U437" s="2">
        <v>3</v>
      </c>
      <c r="V437" s="2">
        <v>42</v>
      </c>
      <c r="W437" s="2">
        <v>3</v>
      </c>
      <c r="X437" s="2">
        <v>28</v>
      </c>
      <c r="Z437" s="2">
        <v>54</v>
      </c>
      <c r="AA437" s="3" t="s">
        <v>40</v>
      </c>
      <c r="AB437" s="2">
        <v>4</v>
      </c>
      <c r="AF437" s="2">
        <v>30.5</v>
      </c>
      <c r="AG437" s="2">
        <v>2</v>
      </c>
      <c r="AH437" s="3" t="s">
        <v>383</v>
      </c>
      <c r="AI437" s="4">
        <v>44740</v>
      </c>
      <c r="AJ437" s="3" t="s">
        <v>494</v>
      </c>
      <c r="AK437" s="3" t="s">
        <v>248</v>
      </c>
    </row>
    <row r="438" spans="1:37" hidden="1" x14ac:dyDescent="0.25">
      <c r="A438" t="str">
        <f t="shared" si="6"/>
        <v>2022_Vic_Kalkee_Chickpea_DetailedTOS2VarietyCBA_CaptainWaterTrtRainFed</v>
      </c>
      <c r="B438" s="2">
        <v>2022002</v>
      </c>
      <c r="C438" s="3" t="s">
        <v>382</v>
      </c>
      <c r="D438" s="3" t="s">
        <v>248</v>
      </c>
      <c r="F438" s="3" t="s">
        <v>249</v>
      </c>
      <c r="G438" s="3" t="s">
        <v>43</v>
      </c>
      <c r="H438" s="3" t="s">
        <v>253</v>
      </c>
      <c r="I438" s="2">
        <v>111</v>
      </c>
      <c r="J438" s="2">
        <v>56</v>
      </c>
      <c r="K438" s="2">
        <v>4</v>
      </c>
      <c r="O438" s="2">
        <v>7</v>
      </c>
      <c r="P438" s="2">
        <v>14</v>
      </c>
      <c r="U438" s="2">
        <v>4</v>
      </c>
      <c r="V438" s="2">
        <v>41</v>
      </c>
      <c r="W438" s="2">
        <v>4</v>
      </c>
      <c r="X438" s="2">
        <v>27</v>
      </c>
      <c r="AA438" s="3" t="s">
        <v>40</v>
      </c>
      <c r="AB438" s="2">
        <v>1</v>
      </c>
      <c r="AF438" s="2">
        <v>30.5</v>
      </c>
      <c r="AG438" s="2">
        <v>2</v>
      </c>
      <c r="AH438" s="3" t="s">
        <v>383</v>
      </c>
      <c r="AI438" s="4">
        <v>44740</v>
      </c>
      <c r="AJ438" s="3" t="s">
        <v>495</v>
      </c>
      <c r="AK438" s="3" t="s">
        <v>248</v>
      </c>
    </row>
    <row r="439" spans="1:37" hidden="1" x14ac:dyDescent="0.25">
      <c r="A439" t="str">
        <f t="shared" si="6"/>
        <v>2022_Vic_Kalkee_Chickpea_DetailedTOS2VarietyCBA_CaptainWaterTrtRainFed</v>
      </c>
      <c r="B439" s="2">
        <v>2022002</v>
      </c>
      <c r="C439" s="3" t="s">
        <v>382</v>
      </c>
      <c r="D439" s="3" t="s">
        <v>248</v>
      </c>
      <c r="F439" s="3" t="s">
        <v>249</v>
      </c>
      <c r="G439" s="3" t="s">
        <v>43</v>
      </c>
      <c r="H439" s="3" t="s">
        <v>250</v>
      </c>
      <c r="I439" s="2">
        <v>112</v>
      </c>
      <c r="J439" s="2">
        <v>56</v>
      </c>
      <c r="K439" s="2">
        <v>4</v>
      </c>
      <c r="O439" s="2">
        <v>7</v>
      </c>
      <c r="P439" s="2">
        <v>14</v>
      </c>
      <c r="U439" s="2">
        <v>4</v>
      </c>
      <c r="V439" s="2">
        <v>42</v>
      </c>
      <c r="W439" s="2">
        <v>4</v>
      </c>
      <c r="X439" s="2">
        <v>28</v>
      </c>
      <c r="Z439" s="2">
        <v>53</v>
      </c>
      <c r="AA439" s="3" t="s">
        <v>40</v>
      </c>
      <c r="AB439" s="2">
        <v>1</v>
      </c>
      <c r="AF439" s="2">
        <v>30.5</v>
      </c>
      <c r="AG439" s="2">
        <v>2</v>
      </c>
      <c r="AH439" s="3" t="s">
        <v>383</v>
      </c>
      <c r="AI439" s="4">
        <v>44740</v>
      </c>
      <c r="AJ439" s="3" t="s">
        <v>496</v>
      </c>
      <c r="AK439" s="3" t="s">
        <v>248</v>
      </c>
    </row>
    <row r="440" spans="1:37" hidden="1" x14ac:dyDescent="0.25">
      <c r="A440" t="str">
        <f t="shared" si="6"/>
        <v>2022_Vic_Kalkee_Chickpea_DetailedTOS1VarietyDrummondWaterTrtIrrigated</v>
      </c>
      <c r="B440" s="2">
        <v>2022002</v>
      </c>
      <c r="C440" s="3" t="s">
        <v>382</v>
      </c>
      <c r="D440" s="3" t="s">
        <v>248</v>
      </c>
      <c r="F440" s="3" t="s">
        <v>4182</v>
      </c>
      <c r="G440" s="3" t="s">
        <v>39</v>
      </c>
      <c r="H440" s="3" t="s">
        <v>253</v>
      </c>
      <c r="I440" s="2">
        <v>113</v>
      </c>
      <c r="J440" s="2">
        <v>57</v>
      </c>
      <c r="K440" s="2">
        <v>4</v>
      </c>
      <c r="O440" s="2">
        <v>8</v>
      </c>
      <c r="P440" s="2">
        <v>15</v>
      </c>
      <c r="U440" s="2">
        <v>1</v>
      </c>
      <c r="V440" s="2">
        <v>44</v>
      </c>
      <c r="W440" s="2">
        <v>1</v>
      </c>
      <c r="X440" s="2">
        <v>29</v>
      </c>
      <c r="AA440" s="3" t="s">
        <v>57</v>
      </c>
      <c r="AB440" s="2">
        <v>2</v>
      </c>
      <c r="AF440" s="2">
        <v>30.5</v>
      </c>
      <c r="AG440" s="2">
        <v>1</v>
      </c>
      <c r="AH440" s="3" t="s">
        <v>400</v>
      </c>
      <c r="AI440" s="4">
        <v>44704</v>
      </c>
      <c r="AJ440" s="3" t="s">
        <v>497</v>
      </c>
      <c r="AK440" s="3" t="s">
        <v>248</v>
      </c>
    </row>
    <row r="441" spans="1:37" hidden="1" x14ac:dyDescent="0.25">
      <c r="A441" t="str">
        <f t="shared" si="6"/>
        <v>2022_Vic_Kalkee_Chickpea_DetailedTOS1VarietyDrummondWaterTrtIrrigated</v>
      </c>
      <c r="B441" s="2">
        <v>2022002</v>
      </c>
      <c r="C441" s="3" t="s">
        <v>382</v>
      </c>
      <c r="D441" s="3" t="s">
        <v>248</v>
      </c>
      <c r="F441" s="3" t="s">
        <v>4182</v>
      </c>
      <c r="G441" s="3" t="s">
        <v>39</v>
      </c>
      <c r="H441" s="3" t="s">
        <v>250</v>
      </c>
      <c r="I441" s="2">
        <v>114</v>
      </c>
      <c r="J441" s="2">
        <v>57</v>
      </c>
      <c r="K441" s="2">
        <v>4</v>
      </c>
      <c r="O441" s="2">
        <v>8</v>
      </c>
      <c r="P441" s="2">
        <v>15</v>
      </c>
      <c r="U441" s="2">
        <v>1</v>
      </c>
      <c r="V441" s="2">
        <v>45</v>
      </c>
      <c r="W441" s="2">
        <v>1</v>
      </c>
      <c r="X441" s="2">
        <v>30</v>
      </c>
      <c r="Z441" s="2">
        <v>57</v>
      </c>
      <c r="AA441" s="3" t="s">
        <v>57</v>
      </c>
      <c r="AB441" s="2">
        <v>2</v>
      </c>
      <c r="AF441" s="2">
        <v>30.5</v>
      </c>
      <c r="AG441" s="2">
        <v>1</v>
      </c>
      <c r="AH441" s="3" t="s">
        <v>400</v>
      </c>
      <c r="AI441" s="4">
        <v>44704</v>
      </c>
      <c r="AJ441" s="3" t="s">
        <v>498</v>
      </c>
      <c r="AK441" s="3" t="s">
        <v>248</v>
      </c>
    </row>
    <row r="442" spans="1:37" hidden="1" x14ac:dyDescent="0.25">
      <c r="A442" t="str">
        <f t="shared" si="6"/>
        <v>2022_Vic_Kalkee_Chickpea_DetailedTOS1VarietyHatTrickWaterTrtIrrigated</v>
      </c>
      <c r="B442" s="2">
        <v>2022002</v>
      </c>
      <c r="C442" s="3" t="s">
        <v>382</v>
      </c>
      <c r="D442" s="3" t="s">
        <v>248</v>
      </c>
      <c r="F442" s="3" t="s">
        <v>4178</v>
      </c>
      <c r="G442" s="3" t="s">
        <v>39</v>
      </c>
      <c r="H442" s="3" t="s">
        <v>253</v>
      </c>
      <c r="I442" s="2">
        <v>115</v>
      </c>
      <c r="J442" s="2">
        <v>58</v>
      </c>
      <c r="K442" s="2">
        <v>4</v>
      </c>
      <c r="O442" s="2">
        <v>8</v>
      </c>
      <c r="P442" s="2">
        <v>15</v>
      </c>
      <c r="U442" s="2">
        <v>2</v>
      </c>
      <c r="V442" s="2">
        <v>44</v>
      </c>
      <c r="W442" s="2">
        <v>2</v>
      </c>
      <c r="X442" s="2">
        <v>29</v>
      </c>
      <c r="AA442" s="3" t="s">
        <v>57</v>
      </c>
      <c r="AB442" s="2">
        <v>3</v>
      </c>
      <c r="AF442" s="2">
        <v>30.5</v>
      </c>
      <c r="AG442" s="2">
        <v>1</v>
      </c>
      <c r="AH442" s="3" t="s">
        <v>400</v>
      </c>
      <c r="AI442" s="4">
        <v>44704</v>
      </c>
      <c r="AJ442" s="3" t="s">
        <v>499</v>
      </c>
      <c r="AK442" s="3" t="s">
        <v>248</v>
      </c>
    </row>
    <row r="443" spans="1:37" hidden="1" x14ac:dyDescent="0.25">
      <c r="A443" t="str">
        <f t="shared" si="6"/>
        <v>2022_Vic_Kalkee_Chickpea_DetailedTOS1VarietyHatTrickWaterTrtIrrigated</v>
      </c>
      <c r="B443" s="2">
        <v>2022002</v>
      </c>
      <c r="C443" s="3" t="s">
        <v>382</v>
      </c>
      <c r="D443" s="3" t="s">
        <v>248</v>
      </c>
      <c r="F443" s="3" t="s">
        <v>4178</v>
      </c>
      <c r="G443" s="3" t="s">
        <v>39</v>
      </c>
      <c r="H443" s="3" t="s">
        <v>250</v>
      </c>
      <c r="I443" s="2">
        <v>116</v>
      </c>
      <c r="J443" s="2">
        <v>58</v>
      </c>
      <c r="K443" s="2">
        <v>4</v>
      </c>
      <c r="O443" s="2">
        <v>8</v>
      </c>
      <c r="P443" s="2">
        <v>15</v>
      </c>
      <c r="U443" s="2">
        <v>2</v>
      </c>
      <c r="V443" s="2">
        <v>45</v>
      </c>
      <c r="W443" s="2">
        <v>2</v>
      </c>
      <c r="X443" s="2">
        <v>30</v>
      </c>
      <c r="Z443" s="2">
        <v>58</v>
      </c>
      <c r="AA443" s="3" t="s">
        <v>57</v>
      </c>
      <c r="AB443" s="2">
        <v>3</v>
      </c>
      <c r="AF443" s="2">
        <v>30.5</v>
      </c>
      <c r="AG443" s="2">
        <v>1</v>
      </c>
      <c r="AH443" s="3" t="s">
        <v>400</v>
      </c>
      <c r="AI443" s="4">
        <v>44704</v>
      </c>
      <c r="AJ443" s="3" t="s">
        <v>500</v>
      </c>
      <c r="AK443" s="3" t="s">
        <v>248</v>
      </c>
    </row>
    <row r="444" spans="1:37" hidden="1" x14ac:dyDescent="0.25">
      <c r="A444" t="str">
        <f t="shared" si="6"/>
        <v>2022_Vic_Kalkee_Chickpea_DetailedTOS1VarietyCBA_CaptainWaterTrtIrrigated</v>
      </c>
      <c r="B444" s="2">
        <v>2022002</v>
      </c>
      <c r="C444" s="3" t="s">
        <v>382</v>
      </c>
      <c r="D444" s="3" t="s">
        <v>248</v>
      </c>
      <c r="F444" s="3" t="s">
        <v>249</v>
      </c>
      <c r="G444" s="3" t="s">
        <v>43</v>
      </c>
      <c r="H444" s="3" t="s">
        <v>253</v>
      </c>
      <c r="I444" s="2">
        <v>117</v>
      </c>
      <c r="J444" s="2">
        <v>59</v>
      </c>
      <c r="K444" s="2">
        <v>4</v>
      </c>
      <c r="O444" s="2">
        <v>8</v>
      </c>
      <c r="P444" s="2">
        <v>15</v>
      </c>
      <c r="U444" s="2">
        <v>3</v>
      </c>
      <c r="V444" s="2">
        <v>44</v>
      </c>
      <c r="W444" s="2">
        <v>3</v>
      </c>
      <c r="X444" s="2">
        <v>29</v>
      </c>
      <c r="AA444" s="3" t="s">
        <v>57</v>
      </c>
      <c r="AB444" s="2">
        <v>1</v>
      </c>
      <c r="AF444" s="2">
        <v>30.5</v>
      </c>
      <c r="AG444" s="2">
        <v>1</v>
      </c>
      <c r="AH444" s="3" t="s">
        <v>400</v>
      </c>
      <c r="AI444" s="4">
        <v>44704</v>
      </c>
      <c r="AJ444" s="3" t="s">
        <v>501</v>
      </c>
      <c r="AK444" s="3" t="s">
        <v>248</v>
      </c>
    </row>
    <row r="445" spans="1:37" hidden="1" x14ac:dyDescent="0.25">
      <c r="A445" t="str">
        <f t="shared" si="6"/>
        <v>2022_Vic_Kalkee_Chickpea_DetailedTOS1VarietyCBA_CaptainWaterTrtIrrigated</v>
      </c>
      <c r="B445" s="2">
        <v>2022002</v>
      </c>
      <c r="C445" s="3" t="s">
        <v>382</v>
      </c>
      <c r="D445" s="3" t="s">
        <v>248</v>
      </c>
      <c r="F445" s="3" t="s">
        <v>249</v>
      </c>
      <c r="G445" s="3" t="s">
        <v>43</v>
      </c>
      <c r="H445" s="3" t="s">
        <v>250</v>
      </c>
      <c r="I445" s="2">
        <v>118</v>
      </c>
      <c r="J445" s="2">
        <v>59</v>
      </c>
      <c r="K445" s="2">
        <v>4</v>
      </c>
      <c r="O445" s="2">
        <v>8</v>
      </c>
      <c r="P445" s="2">
        <v>15</v>
      </c>
      <c r="U445" s="2">
        <v>3</v>
      </c>
      <c r="V445" s="2">
        <v>45</v>
      </c>
      <c r="W445" s="2">
        <v>3</v>
      </c>
      <c r="X445" s="2">
        <v>30</v>
      </c>
      <c r="Z445" s="2">
        <v>59</v>
      </c>
      <c r="AA445" s="3" t="s">
        <v>57</v>
      </c>
      <c r="AB445" s="2">
        <v>1</v>
      </c>
      <c r="AF445" s="2">
        <v>30.5</v>
      </c>
      <c r="AG445" s="2">
        <v>1</v>
      </c>
      <c r="AH445" s="3" t="s">
        <v>400</v>
      </c>
      <c r="AI445" s="4">
        <v>44704</v>
      </c>
      <c r="AJ445" s="3" t="s">
        <v>502</v>
      </c>
      <c r="AK445" s="3" t="s">
        <v>248</v>
      </c>
    </row>
    <row r="446" spans="1:37" hidden="1" x14ac:dyDescent="0.25">
      <c r="A446" t="str">
        <f t="shared" si="6"/>
        <v>2022_Vic_Kalkee_Chickpea_DetailedTOS1VarietyStrikerWaterTrtIrrigated</v>
      </c>
      <c r="B446" s="2">
        <v>2022002</v>
      </c>
      <c r="C446" s="3" t="s">
        <v>382</v>
      </c>
      <c r="D446" s="3" t="s">
        <v>248</v>
      </c>
      <c r="F446" s="3" t="s">
        <v>4179</v>
      </c>
      <c r="G446" s="3" t="s">
        <v>43</v>
      </c>
      <c r="H446" s="3" t="s">
        <v>253</v>
      </c>
      <c r="I446" s="2">
        <v>119</v>
      </c>
      <c r="J446" s="2">
        <v>60</v>
      </c>
      <c r="K446" s="2">
        <v>4</v>
      </c>
      <c r="O446" s="2">
        <v>8</v>
      </c>
      <c r="P446" s="2">
        <v>15</v>
      </c>
      <c r="U446" s="2">
        <v>4</v>
      </c>
      <c r="V446" s="2">
        <v>44</v>
      </c>
      <c r="W446" s="2">
        <v>4</v>
      </c>
      <c r="X446" s="2">
        <v>29</v>
      </c>
      <c r="AA446" s="3" t="s">
        <v>57</v>
      </c>
      <c r="AB446" s="2">
        <v>4</v>
      </c>
      <c r="AF446" s="2">
        <v>30.5</v>
      </c>
      <c r="AG446" s="2">
        <v>1</v>
      </c>
      <c r="AH446" s="3" t="s">
        <v>400</v>
      </c>
      <c r="AI446" s="4">
        <v>44704</v>
      </c>
      <c r="AJ446" s="3" t="s">
        <v>503</v>
      </c>
      <c r="AK446" s="3" t="s">
        <v>248</v>
      </c>
    </row>
    <row r="447" spans="1:37" hidden="1" x14ac:dyDescent="0.25">
      <c r="A447" t="str">
        <f t="shared" si="6"/>
        <v>2022_Vic_Kalkee_Chickpea_DetailedTOS1VarietyStrikerWaterTrtIrrigated</v>
      </c>
      <c r="B447" s="2">
        <v>2022002</v>
      </c>
      <c r="C447" s="3" t="s">
        <v>382</v>
      </c>
      <c r="D447" s="3" t="s">
        <v>248</v>
      </c>
      <c r="F447" s="3" t="s">
        <v>4179</v>
      </c>
      <c r="G447" s="3" t="s">
        <v>43</v>
      </c>
      <c r="H447" s="3" t="s">
        <v>250</v>
      </c>
      <c r="I447" s="2">
        <v>120</v>
      </c>
      <c r="J447" s="2">
        <v>60</v>
      </c>
      <c r="K447" s="2">
        <v>4</v>
      </c>
      <c r="O447" s="2">
        <v>8</v>
      </c>
      <c r="P447" s="2">
        <v>15</v>
      </c>
      <c r="U447" s="2">
        <v>4</v>
      </c>
      <c r="V447" s="2">
        <v>45</v>
      </c>
      <c r="W447" s="2">
        <v>4</v>
      </c>
      <c r="X447" s="2">
        <v>30</v>
      </c>
      <c r="Z447" s="2">
        <v>60</v>
      </c>
      <c r="AA447" s="3" t="s">
        <v>57</v>
      </c>
      <c r="AB447" s="2">
        <v>4</v>
      </c>
      <c r="AF447" s="2">
        <v>30.5</v>
      </c>
      <c r="AG447" s="2">
        <v>1</v>
      </c>
      <c r="AH447" s="3" t="s">
        <v>400</v>
      </c>
      <c r="AI447" s="4">
        <v>44704</v>
      </c>
      <c r="AJ447" s="3" t="s">
        <v>504</v>
      </c>
      <c r="AK447" s="3" t="s">
        <v>248</v>
      </c>
    </row>
    <row r="448" spans="1:37" hidden="1" x14ac:dyDescent="0.25">
      <c r="A448" t="str">
        <f t="shared" si="6"/>
        <v>2022_Vic_Kalkee_Chickpea_DetailedTOS1VarietyCBA_CaptainWaterTrtRainFed</v>
      </c>
      <c r="B448" s="2">
        <v>2022002</v>
      </c>
      <c r="C448" s="3" t="s">
        <v>382</v>
      </c>
      <c r="D448" s="3" t="s">
        <v>248</v>
      </c>
      <c r="F448" s="3" t="s">
        <v>249</v>
      </c>
      <c r="G448" s="3" t="s">
        <v>43</v>
      </c>
      <c r="H448" s="3" t="s">
        <v>253</v>
      </c>
      <c r="I448" s="2">
        <v>121</v>
      </c>
      <c r="J448" s="2">
        <v>61</v>
      </c>
      <c r="K448" s="2">
        <v>4</v>
      </c>
      <c r="O448" s="2">
        <v>8</v>
      </c>
      <c r="P448" s="2">
        <v>16</v>
      </c>
      <c r="U448" s="2">
        <v>1</v>
      </c>
      <c r="V448" s="2">
        <v>47</v>
      </c>
      <c r="W448" s="2">
        <v>1</v>
      </c>
      <c r="X448" s="2">
        <v>31</v>
      </c>
      <c r="AA448" s="3" t="s">
        <v>40</v>
      </c>
      <c r="AB448" s="2">
        <v>1</v>
      </c>
      <c r="AF448" s="2">
        <v>30.5</v>
      </c>
      <c r="AG448" s="2">
        <v>1</v>
      </c>
      <c r="AH448" s="3" t="s">
        <v>400</v>
      </c>
      <c r="AI448" s="4">
        <v>44704</v>
      </c>
      <c r="AJ448" s="3" t="s">
        <v>505</v>
      </c>
      <c r="AK448" s="3" t="s">
        <v>248</v>
      </c>
    </row>
    <row r="449" spans="1:37" hidden="1" x14ac:dyDescent="0.25">
      <c r="A449" t="str">
        <f t="shared" si="6"/>
        <v>2022_Vic_Kalkee_Chickpea_DetailedTOS1VarietyCBA_CaptainWaterTrtRainFed</v>
      </c>
      <c r="B449" s="2">
        <v>2022002</v>
      </c>
      <c r="C449" s="3" t="s">
        <v>382</v>
      </c>
      <c r="D449" s="3" t="s">
        <v>248</v>
      </c>
      <c r="F449" s="3" t="s">
        <v>249</v>
      </c>
      <c r="G449" s="3" t="s">
        <v>43</v>
      </c>
      <c r="H449" s="3" t="s">
        <v>250</v>
      </c>
      <c r="I449" s="2">
        <v>122</v>
      </c>
      <c r="J449" s="2">
        <v>61</v>
      </c>
      <c r="K449" s="2">
        <v>4</v>
      </c>
      <c r="O449" s="2">
        <v>8</v>
      </c>
      <c r="P449" s="2">
        <v>16</v>
      </c>
      <c r="U449" s="2">
        <v>1</v>
      </c>
      <c r="V449" s="2">
        <v>48</v>
      </c>
      <c r="W449" s="2">
        <v>1</v>
      </c>
      <c r="X449" s="2">
        <v>32</v>
      </c>
      <c r="Z449" s="2">
        <v>64</v>
      </c>
      <c r="AA449" s="3" t="s">
        <v>40</v>
      </c>
      <c r="AB449" s="2">
        <v>1</v>
      </c>
      <c r="AF449" s="2">
        <v>30.5</v>
      </c>
      <c r="AG449" s="2">
        <v>1</v>
      </c>
      <c r="AH449" s="3" t="s">
        <v>400</v>
      </c>
      <c r="AI449" s="4">
        <v>44704</v>
      </c>
      <c r="AJ449" s="3" t="s">
        <v>506</v>
      </c>
      <c r="AK449" s="3" t="s">
        <v>248</v>
      </c>
    </row>
    <row r="450" spans="1:37" hidden="1" x14ac:dyDescent="0.25">
      <c r="A450" t="str">
        <f t="shared" si="6"/>
        <v>2022_Vic_Kalkee_Chickpea_DetailedTOS1VarietyStrikerWaterTrtRainFed</v>
      </c>
      <c r="B450" s="2">
        <v>2022002</v>
      </c>
      <c r="C450" s="3" t="s">
        <v>382</v>
      </c>
      <c r="D450" s="3" t="s">
        <v>248</v>
      </c>
      <c r="F450" s="3" t="s">
        <v>4179</v>
      </c>
      <c r="G450" s="3" t="s">
        <v>43</v>
      </c>
      <c r="H450" s="3" t="s">
        <v>253</v>
      </c>
      <c r="I450" s="2">
        <v>123</v>
      </c>
      <c r="J450" s="2">
        <v>62</v>
      </c>
      <c r="K450" s="2">
        <v>4</v>
      </c>
      <c r="O450" s="2">
        <v>8</v>
      </c>
      <c r="P450" s="2">
        <v>16</v>
      </c>
      <c r="U450" s="2">
        <v>2</v>
      </c>
      <c r="V450" s="2">
        <v>47</v>
      </c>
      <c r="W450" s="2">
        <v>2</v>
      </c>
      <c r="X450" s="2">
        <v>31</v>
      </c>
      <c r="AA450" s="3" t="s">
        <v>40</v>
      </c>
      <c r="AB450" s="2">
        <v>4</v>
      </c>
      <c r="AF450" s="2">
        <v>30.5</v>
      </c>
      <c r="AG450" s="2">
        <v>1</v>
      </c>
      <c r="AH450" s="3" t="s">
        <v>400</v>
      </c>
      <c r="AI450" s="4">
        <v>44704</v>
      </c>
      <c r="AJ450" s="3" t="s">
        <v>507</v>
      </c>
      <c r="AK450" s="3" t="s">
        <v>248</v>
      </c>
    </row>
    <row r="451" spans="1:37" hidden="1" x14ac:dyDescent="0.25">
      <c r="A451" t="str">
        <f t="shared" ref="A451:A514" si="7">C451&amp;"TOS"&amp;AG451&amp;"Variety"&amp;F451&amp;"WaterTrt"&amp;AA451&amp;IF(AC451="","","Agronomy"&amp;AC451)</f>
        <v>2022_Vic_Kalkee_Chickpea_DetailedTOS1VarietyStrikerWaterTrtRainFed</v>
      </c>
      <c r="B451" s="2">
        <v>2022002</v>
      </c>
      <c r="C451" s="3" t="s">
        <v>382</v>
      </c>
      <c r="D451" s="3" t="s">
        <v>248</v>
      </c>
      <c r="F451" s="3" t="s">
        <v>4179</v>
      </c>
      <c r="G451" s="3" t="s">
        <v>43</v>
      </c>
      <c r="H451" s="3" t="s">
        <v>250</v>
      </c>
      <c r="I451" s="2">
        <v>124</v>
      </c>
      <c r="J451" s="2">
        <v>62</v>
      </c>
      <c r="K451" s="2">
        <v>4</v>
      </c>
      <c r="O451" s="2">
        <v>8</v>
      </c>
      <c r="P451" s="2">
        <v>16</v>
      </c>
      <c r="U451" s="2">
        <v>2</v>
      </c>
      <c r="V451" s="2">
        <v>48</v>
      </c>
      <c r="W451" s="2">
        <v>2</v>
      </c>
      <c r="X451" s="2">
        <v>32</v>
      </c>
      <c r="Z451" s="2">
        <v>63</v>
      </c>
      <c r="AA451" s="3" t="s">
        <v>40</v>
      </c>
      <c r="AB451" s="2">
        <v>4</v>
      </c>
      <c r="AF451" s="2">
        <v>30.5</v>
      </c>
      <c r="AG451" s="2">
        <v>1</v>
      </c>
      <c r="AH451" s="3" t="s">
        <v>400</v>
      </c>
      <c r="AI451" s="4">
        <v>44704</v>
      </c>
      <c r="AJ451" s="3" t="s">
        <v>508</v>
      </c>
      <c r="AK451" s="3" t="s">
        <v>248</v>
      </c>
    </row>
    <row r="452" spans="1:37" hidden="1" x14ac:dyDescent="0.25">
      <c r="A452" t="str">
        <f t="shared" si="7"/>
        <v>2022_Vic_Kalkee_Chickpea_DetailedTOS1VarietyDrummondWaterTrtRainFed</v>
      </c>
      <c r="B452" s="2">
        <v>2022002</v>
      </c>
      <c r="C452" s="3" t="s">
        <v>382</v>
      </c>
      <c r="D452" s="3" t="s">
        <v>248</v>
      </c>
      <c r="F452" s="3" t="s">
        <v>4182</v>
      </c>
      <c r="G452" s="3" t="s">
        <v>39</v>
      </c>
      <c r="H452" s="3" t="s">
        <v>253</v>
      </c>
      <c r="I452" s="2">
        <v>125</v>
      </c>
      <c r="J452" s="2">
        <v>63</v>
      </c>
      <c r="K452" s="2">
        <v>4</v>
      </c>
      <c r="O452" s="2">
        <v>8</v>
      </c>
      <c r="P452" s="2">
        <v>16</v>
      </c>
      <c r="U452" s="2">
        <v>3</v>
      </c>
      <c r="V452" s="2">
        <v>47</v>
      </c>
      <c r="W452" s="2">
        <v>3</v>
      </c>
      <c r="X452" s="2">
        <v>31</v>
      </c>
      <c r="AA452" s="3" t="s">
        <v>40</v>
      </c>
      <c r="AB452" s="2">
        <v>2</v>
      </c>
      <c r="AF452" s="2">
        <v>30.5</v>
      </c>
      <c r="AG452" s="2">
        <v>1</v>
      </c>
      <c r="AH452" s="3" t="s">
        <v>400</v>
      </c>
      <c r="AI452" s="4">
        <v>44704</v>
      </c>
      <c r="AJ452" s="3" t="s">
        <v>509</v>
      </c>
      <c r="AK452" s="3" t="s">
        <v>248</v>
      </c>
    </row>
    <row r="453" spans="1:37" hidden="1" x14ac:dyDescent="0.25">
      <c r="A453" t="str">
        <f t="shared" si="7"/>
        <v>2022_Vic_Kalkee_Chickpea_DetailedTOS1VarietyDrummondWaterTrtRainFed</v>
      </c>
      <c r="B453" s="2">
        <v>2022002</v>
      </c>
      <c r="C453" s="3" t="s">
        <v>382</v>
      </c>
      <c r="D453" s="3" t="s">
        <v>248</v>
      </c>
      <c r="F453" s="3" t="s">
        <v>4182</v>
      </c>
      <c r="G453" s="3" t="s">
        <v>39</v>
      </c>
      <c r="H453" s="3" t="s">
        <v>250</v>
      </c>
      <c r="I453" s="2">
        <v>126</v>
      </c>
      <c r="J453" s="2">
        <v>63</v>
      </c>
      <c r="K453" s="2">
        <v>4</v>
      </c>
      <c r="O453" s="2">
        <v>8</v>
      </c>
      <c r="P453" s="2">
        <v>16</v>
      </c>
      <c r="U453" s="2">
        <v>3</v>
      </c>
      <c r="V453" s="2">
        <v>48</v>
      </c>
      <c r="W453" s="2">
        <v>3</v>
      </c>
      <c r="X453" s="2">
        <v>32</v>
      </c>
      <c r="Z453" s="2">
        <v>62</v>
      </c>
      <c r="AA453" s="3" t="s">
        <v>40</v>
      </c>
      <c r="AB453" s="2">
        <v>2</v>
      </c>
      <c r="AF453" s="2">
        <v>30.5</v>
      </c>
      <c r="AG453" s="2">
        <v>1</v>
      </c>
      <c r="AH453" s="3" t="s">
        <v>400</v>
      </c>
      <c r="AI453" s="4">
        <v>44704</v>
      </c>
      <c r="AJ453" s="3" t="s">
        <v>510</v>
      </c>
      <c r="AK453" s="3" t="s">
        <v>248</v>
      </c>
    </row>
    <row r="454" spans="1:37" hidden="1" x14ac:dyDescent="0.25">
      <c r="A454" t="str">
        <f t="shared" si="7"/>
        <v>2022_Vic_Kalkee_Chickpea_DetailedTOS1VarietyHatTrickWaterTrtRainFed</v>
      </c>
      <c r="B454" s="2">
        <v>2022002</v>
      </c>
      <c r="C454" s="3" t="s">
        <v>382</v>
      </c>
      <c r="D454" s="3" t="s">
        <v>248</v>
      </c>
      <c r="F454" s="3" t="s">
        <v>4178</v>
      </c>
      <c r="G454" s="3" t="s">
        <v>39</v>
      </c>
      <c r="H454" s="3" t="s">
        <v>253</v>
      </c>
      <c r="I454" s="2">
        <v>127</v>
      </c>
      <c r="J454" s="2">
        <v>64</v>
      </c>
      <c r="K454" s="2">
        <v>4</v>
      </c>
      <c r="O454" s="2">
        <v>8</v>
      </c>
      <c r="P454" s="2">
        <v>16</v>
      </c>
      <c r="U454" s="2">
        <v>4</v>
      </c>
      <c r="V454" s="2">
        <v>47</v>
      </c>
      <c r="W454" s="2">
        <v>4</v>
      </c>
      <c r="X454" s="2">
        <v>31</v>
      </c>
      <c r="AA454" s="3" t="s">
        <v>40</v>
      </c>
      <c r="AB454" s="2">
        <v>3</v>
      </c>
      <c r="AF454" s="2">
        <v>30.5</v>
      </c>
      <c r="AG454" s="2">
        <v>1</v>
      </c>
      <c r="AH454" s="3" t="s">
        <v>400</v>
      </c>
      <c r="AI454" s="4">
        <v>44704</v>
      </c>
      <c r="AJ454" s="3" t="s">
        <v>511</v>
      </c>
      <c r="AK454" s="3" t="s">
        <v>248</v>
      </c>
    </row>
    <row r="455" spans="1:37" hidden="1" x14ac:dyDescent="0.25">
      <c r="A455" t="str">
        <f t="shared" si="7"/>
        <v>2022_Vic_Kalkee_Chickpea_DetailedTOS1VarietyHatTrickWaterTrtRainFed</v>
      </c>
      <c r="B455" s="2">
        <v>2022002</v>
      </c>
      <c r="C455" s="3" t="s">
        <v>382</v>
      </c>
      <c r="D455" s="3" t="s">
        <v>248</v>
      </c>
      <c r="F455" s="3" t="s">
        <v>4178</v>
      </c>
      <c r="G455" s="3" t="s">
        <v>39</v>
      </c>
      <c r="H455" s="3" t="s">
        <v>250</v>
      </c>
      <c r="I455" s="2">
        <v>128</v>
      </c>
      <c r="J455" s="2">
        <v>64</v>
      </c>
      <c r="K455" s="2">
        <v>4</v>
      </c>
      <c r="O455" s="2">
        <v>8</v>
      </c>
      <c r="P455" s="2">
        <v>16</v>
      </c>
      <c r="U455" s="2">
        <v>4</v>
      </c>
      <c r="V455" s="2">
        <v>48</v>
      </c>
      <c r="W455" s="2">
        <v>4</v>
      </c>
      <c r="X455" s="2">
        <v>32</v>
      </c>
      <c r="Z455" s="2">
        <v>61</v>
      </c>
      <c r="AA455" s="3" t="s">
        <v>40</v>
      </c>
      <c r="AB455" s="2">
        <v>3</v>
      </c>
      <c r="AF455" s="2">
        <v>30.5</v>
      </c>
      <c r="AG455" s="2">
        <v>1</v>
      </c>
      <c r="AH455" s="3" t="s">
        <v>400</v>
      </c>
      <c r="AI455" s="4">
        <v>44704</v>
      </c>
      <c r="AJ455" s="3" t="s">
        <v>512</v>
      </c>
      <c r="AK455" s="3" t="s">
        <v>248</v>
      </c>
    </row>
    <row r="456" spans="1:37" hidden="1" x14ac:dyDescent="0.25">
      <c r="A456" t="str">
        <f t="shared" si="7"/>
        <v>2022_NSW_WaggaWagga_Chickpea_DetailedTOS2VarietyCBA_CaptainWaterTrtIrrigated</v>
      </c>
      <c r="B456" s="2">
        <v>2022003</v>
      </c>
      <c r="C456" s="3" t="s">
        <v>513</v>
      </c>
      <c r="D456" s="3" t="s">
        <v>248</v>
      </c>
      <c r="F456" s="3" t="s">
        <v>249</v>
      </c>
      <c r="G456" s="3" t="s">
        <v>43</v>
      </c>
      <c r="H456" s="3" t="s">
        <v>253</v>
      </c>
      <c r="I456" s="2">
        <v>1</v>
      </c>
      <c r="J456" s="2">
        <v>1</v>
      </c>
      <c r="K456" s="2">
        <v>1</v>
      </c>
      <c r="O456" s="2">
        <v>1</v>
      </c>
      <c r="U456" s="2">
        <v>1</v>
      </c>
      <c r="V456" s="2">
        <v>2</v>
      </c>
      <c r="W456" s="2">
        <v>1</v>
      </c>
      <c r="X456" s="2">
        <v>1</v>
      </c>
      <c r="AA456" s="3" t="s">
        <v>57</v>
      </c>
      <c r="AB456" s="2">
        <v>1</v>
      </c>
      <c r="AF456" s="2">
        <v>30</v>
      </c>
      <c r="AG456" s="2">
        <v>2</v>
      </c>
      <c r="AH456" s="3" t="s">
        <v>514</v>
      </c>
      <c r="AI456" s="4">
        <v>44727</v>
      </c>
      <c r="AJ456" s="3" t="s">
        <v>515</v>
      </c>
      <c r="AK456" s="3" t="s">
        <v>248</v>
      </c>
    </row>
    <row r="457" spans="1:37" hidden="1" x14ac:dyDescent="0.25">
      <c r="A457" t="str">
        <f t="shared" si="7"/>
        <v>2022_NSW_WaggaWagga_Chickpea_DetailedTOS2VarietyCBA_CaptainWaterTrtIrrigated</v>
      </c>
      <c r="B457" s="2">
        <v>2022003</v>
      </c>
      <c r="C457" s="3" t="s">
        <v>513</v>
      </c>
      <c r="D457" s="3" t="s">
        <v>248</v>
      </c>
      <c r="F457" s="3" t="s">
        <v>249</v>
      </c>
      <c r="G457" s="3" t="s">
        <v>43</v>
      </c>
      <c r="H457" s="3" t="s">
        <v>250</v>
      </c>
      <c r="I457" s="2">
        <v>2</v>
      </c>
      <c r="J457" s="2">
        <v>1</v>
      </c>
      <c r="K457" s="2">
        <v>1</v>
      </c>
      <c r="O457" s="2">
        <v>1</v>
      </c>
      <c r="U457" s="2">
        <v>1</v>
      </c>
      <c r="V457" s="2">
        <v>3</v>
      </c>
      <c r="W457" s="2">
        <v>1</v>
      </c>
      <c r="X457" s="2">
        <v>2</v>
      </c>
      <c r="Z457" s="2">
        <v>1</v>
      </c>
      <c r="AA457" s="3" t="s">
        <v>57</v>
      </c>
      <c r="AB457" s="2">
        <v>1</v>
      </c>
      <c r="AF457" s="2">
        <v>30</v>
      </c>
      <c r="AG457" s="2">
        <v>2</v>
      </c>
      <c r="AH457" s="3" t="s">
        <v>514</v>
      </c>
      <c r="AI457" s="4">
        <v>44727</v>
      </c>
      <c r="AJ457" s="3" t="s">
        <v>516</v>
      </c>
      <c r="AK457" s="3" t="s">
        <v>248</v>
      </c>
    </row>
    <row r="458" spans="1:37" hidden="1" x14ac:dyDescent="0.25">
      <c r="A458" t="str">
        <f t="shared" si="7"/>
        <v>2022_NSW_WaggaWagga_Chickpea_DetailedTOS2VarietyDrummondWaterTrtIrrigated</v>
      </c>
      <c r="B458" s="2">
        <v>2022003</v>
      </c>
      <c r="C458" s="3" t="s">
        <v>513</v>
      </c>
      <c r="D458" s="3" t="s">
        <v>248</v>
      </c>
      <c r="F458" s="3" t="s">
        <v>4182</v>
      </c>
      <c r="G458" s="3" t="s">
        <v>39</v>
      </c>
      <c r="H458" s="3" t="s">
        <v>253</v>
      </c>
      <c r="I458" s="2">
        <v>3</v>
      </c>
      <c r="J458" s="2">
        <v>2</v>
      </c>
      <c r="K458" s="2">
        <v>1</v>
      </c>
      <c r="O458" s="2">
        <v>1</v>
      </c>
      <c r="U458" s="2">
        <v>2</v>
      </c>
      <c r="V458" s="2">
        <v>2</v>
      </c>
      <c r="W458" s="2">
        <v>2</v>
      </c>
      <c r="X458" s="2">
        <v>1</v>
      </c>
      <c r="AA458" s="3" t="s">
        <v>57</v>
      </c>
      <c r="AB458" s="2">
        <v>2</v>
      </c>
      <c r="AF458" s="2">
        <v>30</v>
      </c>
      <c r="AG458" s="2">
        <v>2</v>
      </c>
      <c r="AH458" s="3" t="s">
        <v>514</v>
      </c>
      <c r="AI458" s="4">
        <v>44727</v>
      </c>
      <c r="AJ458" s="3" t="s">
        <v>517</v>
      </c>
      <c r="AK458" s="3" t="s">
        <v>248</v>
      </c>
    </row>
    <row r="459" spans="1:37" hidden="1" x14ac:dyDescent="0.25">
      <c r="A459" t="str">
        <f t="shared" si="7"/>
        <v>2022_NSW_WaggaWagga_Chickpea_DetailedTOS2VarietyDrummondWaterTrtIrrigated</v>
      </c>
      <c r="B459" s="2">
        <v>2022003</v>
      </c>
      <c r="C459" s="3" t="s">
        <v>513</v>
      </c>
      <c r="D459" s="3" t="s">
        <v>248</v>
      </c>
      <c r="F459" s="3" t="s">
        <v>4182</v>
      </c>
      <c r="G459" s="3" t="s">
        <v>39</v>
      </c>
      <c r="H459" s="3" t="s">
        <v>250</v>
      </c>
      <c r="I459" s="2">
        <v>4</v>
      </c>
      <c r="J459" s="2">
        <v>2</v>
      </c>
      <c r="K459" s="2">
        <v>1</v>
      </c>
      <c r="O459" s="2">
        <v>1</v>
      </c>
      <c r="U459" s="2">
        <v>2</v>
      </c>
      <c r="V459" s="2">
        <v>3</v>
      </c>
      <c r="W459" s="2">
        <v>2</v>
      </c>
      <c r="X459" s="2">
        <v>2</v>
      </c>
      <c r="Z459" s="2">
        <v>2</v>
      </c>
      <c r="AA459" s="3" t="s">
        <v>57</v>
      </c>
      <c r="AB459" s="2">
        <v>2</v>
      </c>
      <c r="AF459" s="2">
        <v>30</v>
      </c>
      <c r="AG459" s="2">
        <v>2</v>
      </c>
      <c r="AH459" s="3" t="s">
        <v>514</v>
      </c>
      <c r="AI459" s="4">
        <v>44727</v>
      </c>
      <c r="AJ459" s="3" t="s">
        <v>518</v>
      </c>
      <c r="AK459" s="3" t="s">
        <v>248</v>
      </c>
    </row>
    <row r="460" spans="1:37" hidden="1" x14ac:dyDescent="0.25">
      <c r="A460" t="str">
        <f t="shared" si="7"/>
        <v>2022_NSW_WaggaWagga_Chickpea_DetailedTOS2VarietyStrikerWaterTrtIrrigated</v>
      </c>
      <c r="B460" s="2">
        <v>2022003</v>
      </c>
      <c r="C460" s="3" t="s">
        <v>513</v>
      </c>
      <c r="D460" s="3" t="s">
        <v>248</v>
      </c>
      <c r="F460" s="3" t="s">
        <v>4179</v>
      </c>
      <c r="G460" s="3" t="s">
        <v>43</v>
      </c>
      <c r="H460" s="3" t="s">
        <v>253</v>
      </c>
      <c r="I460" s="2">
        <v>5</v>
      </c>
      <c r="J460" s="2">
        <v>3</v>
      </c>
      <c r="K460" s="2">
        <v>1</v>
      </c>
      <c r="O460" s="2">
        <v>1</v>
      </c>
      <c r="U460" s="2">
        <v>3</v>
      </c>
      <c r="V460" s="2">
        <v>2</v>
      </c>
      <c r="W460" s="2">
        <v>3</v>
      </c>
      <c r="X460" s="2">
        <v>1</v>
      </c>
      <c r="AA460" s="3" t="s">
        <v>57</v>
      </c>
      <c r="AB460" s="2">
        <v>4</v>
      </c>
      <c r="AF460" s="2">
        <v>30</v>
      </c>
      <c r="AG460" s="2">
        <v>2</v>
      </c>
      <c r="AH460" s="3" t="s">
        <v>514</v>
      </c>
      <c r="AI460" s="4">
        <v>44727</v>
      </c>
      <c r="AJ460" s="3" t="s">
        <v>519</v>
      </c>
      <c r="AK460" s="3" t="s">
        <v>248</v>
      </c>
    </row>
    <row r="461" spans="1:37" hidden="1" x14ac:dyDescent="0.25">
      <c r="A461" t="str">
        <f t="shared" si="7"/>
        <v>2022_NSW_WaggaWagga_Chickpea_DetailedTOS2VarietyStrikerWaterTrtIrrigated</v>
      </c>
      <c r="B461" s="2">
        <v>2022003</v>
      </c>
      <c r="C461" s="3" t="s">
        <v>513</v>
      </c>
      <c r="D461" s="3" t="s">
        <v>248</v>
      </c>
      <c r="F461" s="3" t="s">
        <v>4179</v>
      </c>
      <c r="G461" s="3" t="s">
        <v>43</v>
      </c>
      <c r="H461" s="3" t="s">
        <v>250</v>
      </c>
      <c r="I461" s="2">
        <v>6</v>
      </c>
      <c r="J461" s="2">
        <v>3</v>
      </c>
      <c r="K461" s="2">
        <v>1</v>
      </c>
      <c r="O461" s="2">
        <v>1</v>
      </c>
      <c r="U461" s="2">
        <v>3</v>
      </c>
      <c r="V461" s="2">
        <v>3</v>
      </c>
      <c r="W461" s="2">
        <v>3</v>
      </c>
      <c r="X461" s="2">
        <v>2</v>
      </c>
      <c r="Z461" s="2">
        <v>3</v>
      </c>
      <c r="AA461" s="3" t="s">
        <v>57</v>
      </c>
      <c r="AB461" s="2">
        <v>4</v>
      </c>
      <c r="AF461" s="2">
        <v>30</v>
      </c>
      <c r="AG461" s="2">
        <v>2</v>
      </c>
      <c r="AH461" s="3" t="s">
        <v>514</v>
      </c>
      <c r="AI461" s="4">
        <v>44727</v>
      </c>
      <c r="AJ461" s="3" t="s">
        <v>520</v>
      </c>
      <c r="AK461" s="3" t="s">
        <v>248</v>
      </c>
    </row>
    <row r="462" spans="1:37" hidden="1" x14ac:dyDescent="0.25">
      <c r="A462" t="str">
        <f t="shared" si="7"/>
        <v>2022_NSW_WaggaWagga_Chickpea_DetailedTOS2VarietyHatTrickWaterTrtIrrigated</v>
      </c>
      <c r="B462" s="2">
        <v>2022003</v>
      </c>
      <c r="C462" s="3" t="s">
        <v>513</v>
      </c>
      <c r="D462" s="3" t="s">
        <v>248</v>
      </c>
      <c r="F462" s="3" t="s">
        <v>4178</v>
      </c>
      <c r="G462" s="3" t="s">
        <v>39</v>
      </c>
      <c r="H462" s="3" t="s">
        <v>253</v>
      </c>
      <c r="I462" s="2">
        <v>7</v>
      </c>
      <c r="J462" s="2">
        <v>4</v>
      </c>
      <c r="K462" s="2">
        <v>1</v>
      </c>
      <c r="O462" s="2">
        <v>1</v>
      </c>
      <c r="U462" s="2">
        <v>4</v>
      </c>
      <c r="V462" s="2">
        <v>2</v>
      </c>
      <c r="W462" s="2">
        <v>4</v>
      </c>
      <c r="X462" s="2">
        <v>1</v>
      </c>
      <c r="AA462" s="3" t="s">
        <v>57</v>
      </c>
      <c r="AB462" s="2">
        <v>3</v>
      </c>
      <c r="AF462" s="2">
        <v>30</v>
      </c>
      <c r="AG462" s="2">
        <v>2</v>
      </c>
      <c r="AH462" s="3" t="s">
        <v>514</v>
      </c>
      <c r="AI462" s="4">
        <v>44727</v>
      </c>
      <c r="AJ462" s="3" t="s">
        <v>521</v>
      </c>
      <c r="AK462" s="3" t="s">
        <v>248</v>
      </c>
    </row>
    <row r="463" spans="1:37" hidden="1" x14ac:dyDescent="0.25">
      <c r="A463" t="str">
        <f t="shared" si="7"/>
        <v>2022_NSW_WaggaWagga_Chickpea_DetailedTOS2VarietyHatTrickWaterTrtIrrigated</v>
      </c>
      <c r="B463" s="2">
        <v>2022003</v>
      </c>
      <c r="C463" s="3" t="s">
        <v>513</v>
      </c>
      <c r="D463" s="3" t="s">
        <v>248</v>
      </c>
      <c r="F463" s="3" t="s">
        <v>4178</v>
      </c>
      <c r="G463" s="3" t="s">
        <v>39</v>
      </c>
      <c r="H463" s="3" t="s">
        <v>250</v>
      </c>
      <c r="I463" s="2">
        <v>8</v>
      </c>
      <c r="J463" s="2">
        <v>4</v>
      </c>
      <c r="K463" s="2">
        <v>1</v>
      </c>
      <c r="O463" s="2">
        <v>1</v>
      </c>
      <c r="U463" s="2">
        <v>4</v>
      </c>
      <c r="V463" s="2">
        <v>3</v>
      </c>
      <c r="W463" s="2">
        <v>4</v>
      </c>
      <c r="X463" s="2">
        <v>2</v>
      </c>
      <c r="Z463" s="2">
        <v>4</v>
      </c>
      <c r="AA463" s="3" t="s">
        <v>57</v>
      </c>
      <c r="AB463" s="2">
        <v>3</v>
      </c>
      <c r="AF463" s="2">
        <v>30</v>
      </c>
      <c r="AG463" s="2">
        <v>2</v>
      </c>
      <c r="AH463" s="3" t="s">
        <v>514</v>
      </c>
      <c r="AI463" s="4">
        <v>44727</v>
      </c>
      <c r="AJ463" s="3" t="s">
        <v>522</v>
      </c>
      <c r="AK463" s="3" t="s">
        <v>248</v>
      </c>
    </row>
    <row r="464" spans="1:37" hidden="1" x14ac:dyDescent="0.25">
      <c r="A464" t="str">
        <f t="shared" si="7"/>
        <v>2022_NSW_WaggaWagga_Chickpea_DetailedTOS1VarietyHatTrickWaterTrtIrrigated</v>
      </c>
      <c r="B464" s="2">
        <v>2022003</v>
      </c>
      <c r="C464" s="3" t="s">
        <v>513</v>
      </c>
      <c r="D464" s="3" t="s">
        <v>248</v>
      </c>
      <c r="F464" s="3" t="s">
        <v>4178</v>
      </c>
      <c r="G464" s="3" t="s">
        <v>39</v>
      </c>
      <c r="H464" s="3" t="s">
        <v>253</v>
      </c>
      <c r="I464" s="2">
        <v>9</v>
      </c>
      <c r="J464" s="2">
        <v>5</v>
      </c>
      <c r="K464" s="2">
        <v>1</v>
      </c>
      <c r="O464" s="2">
        <v>2</v>
      </c>
      <c r="U464" s="2">
        <v>1</v>
      </c>
      <c r="V464" s="2">
        <v>6</v>
      </c>
      <c r="W464" s="2">
        <v>1</v>
      </c>
      <c r="X464" s="2">
        <v>3</v>
      </c>
      <c r="AA464" s="3" t="s">
        <v>57</v>
      </c>
      <c r="AB464" s="2">
        <v>3</v>
      </c>
      <c r="AF464" s="2">
        <v>30</v>
      </c>
      <c r="AG464" s="2">
        <v>1</v>
      </c>
      <c r="AH464" s="3" t="s">
        <v>523</v>
      </c>
      <c r="AI464" s="4">
        <v>44692</v>
      </c>
      <c r="AJ464" s="3" t="s">
        <v>524</v>
      </c>
      <c r="AK464" s="3" t="s">
        <v>248</v>
      </c>
    </row>
    <row r="465" spans="1:37" hidden="1" x14ac:dyDescent="0.25">
      <c r="A465" t="str">
        <f t="shared" si="7"/>
        <v>2022_NSW_WaggaWagga_Chickpea_DetailedTOS1VarietyHatTrickWaterTrtIrrigated</v>
      </c>
      <c r="B465" s="2">
        <v>2022003</v>
      </c>
      <c r="C465" s="3" t="s">
        <v>513</v>
      </c>
      <c r="D465" s="3" t="s">
        <v>248</v>
      </c>
      <c r="F465" s="3" t="s">
        <v>4178</v>
      </c>
      <c r="G465" s="3" t="s">
        <v>39</v>
      </c>
      <c r="H465" s="3" t="s">
        <v>250</v>
      </c>
      <c r="I465" s="2">
        <v>10</v>
      </c>
      <c r="J465" s="2">
        <v>5</v>
      </c>
      <c r="K465" s="2">
        <v>1</v>
      </c>
      <c r="O465" s="2">
        <v>2</v>
      </c>
      <c r="U465" s="2">
        <v>1</v>
      </c>
      <c r="V465" s="2">
        <v>7</v>
      </c>
      <c r="W465" s="2">
        <v>1</v>
      </c>
      <c r="X465" s="2">
        <v>4</v>
      </c>
      <c r="Z465" s="2">
        <v>16</v>
      </c>
      <c r="AA465" s="3" t="s">
        <v>57</v>
      </c>
      <c r="AB465" s="2">
        <v>3</v>
      </c>
      <c r="AF465" s="2">
        <v>30</v>
      </c>
      <c r="AG465" s="2">
        <v>1</v>
      </c>
      <c r="AH465" s="3" t="s">
        <v>523</v>
      </c>
      <c r="AI465" s="4">
        <v>44692</v>
      </c>
      <c r="AJ465" s="3" t="s">
        <v>525</v>
      </c>
      <c r="AK465" s="3" t="s">
        <v>248</v>
      </c>
    </row>
    <row r="466" spans="1:37" hidden="1" x14ac:dyDescent="0.25">
      <c r="A466" t="str">
        <f t="shared" si="7"/>
        <v>2022_NSW_WaggaWagga_Chickpea_DetailedTOS1VarietyStrikerWaterTrtIrrigated</v>
      </c>
      <c r="B466" s="2">
        <v>2022003</v>
      </c>
      <c r="C466" s="3" t="s">
        <v>513</v>
      </c>
      <c r="D466" s="3" t="s">
        <v>248</v>
      </c>
      <c r="F466" s="3" t="s">
        <v>4179</v>
      </c>
      <c r="G466" s="3" t="s">
        <v>43</v>
      </c>
      <c r="H466" s="3" t="s">
        <v>253</v>
      </c>
      <c r="I466" s="2">
        <v>11</v>
      </c>
      <c r="J466" s="2">
        <v>6</v>
      </c>
      <c r="K466" s="2">
        <v>1</v>
      </c>
      <c r="O466" s="2">
        <v>2</v>
      </c>
      <c r="U466" s="2">
        <v>2</v>
      </c>
      <c r="V466" s="2">
        <v>6</v>
      </c>
      <c r="W466" s="2">
        <v>2</v>
      </c>
      <c r="X466" s="2">
        <v>3</v>
      </c>
      <c r="AA466" s="3" t="s">
        <v>57</v>
      </c>
      <c r="AB466" s="2">
        <v>4</v>
      </c>
      <c r="AF466" s="2">
        <v>30</v>
      </c>
      <c r="AG466" s="2">
        <v>1</v>
      </c>
      <c r="AH466" s="3" t="s">
        <v>523</v>
      </c>
      <c r="AI466" s="4">
        <v>44692</v>
      </c>
      <c r="AJ466" s="3" t="s">
        <v>526</v>
      </c>
      <c r="AK466" s="3" t="s">
        <v>248</v>
      </c>
    </row>
    <row r="467" spans="1:37" hidden="1" x14ac:dyDescent="0.25">
      <c r="A467" t="str">
        <f t="shared" si="7"/>
        <v>2022_NSW_WaggaWagga_Chickpea_DetailedTOS1VarietyStrikerWaterTrtIrrigated</v>
      </c>
      <c r="B467" s="2">
        <v>2022003</v>
      </c>
      <c r="C467" s="3" t="s">
        <v>513</v>
      </c>
      <c r="D467" s="3" t="s">
        <v>248</v>
      </c>
      <c r="F467" s="3" t="s">
        <v>4179</v>
      </c>
      <c r="G467" s="3" t="s">
        <v>43</v>
      </c>
      <c r="H467" s="3" t="s">
        <v>250</v>
      </c>
      <c r="I467" s="2">
        <v>12</v>
      </c>
      <c r="J467" s="2">
        <v>6</v>
      </c>
      <c r="K467" s="2">
        <v>1</v>
      </c>
      <c r="O467" s="2">
        <v>2</v>
      </c>
      <c r="U467" s="2">
        <v>2</v>
      </c>
      <c r="V467" s="2">
        <v>7</v>
      </c>
      <c r="W467" s="2">
        <v>2</v>
      </c>
      <c r="X467" s="2">
        <v>4</v>
      </c>
      <c r="Z467" s="2">
        <v>15</v>
      </c>
      <c r="AA467" s="3" t="s">
        <v>57</v>
      </c>
      <c r="AB467" s="2">
        <v>4</v>
      </c>
      <c r="AF467" s="2">
        <v>30</v>
      </c>
      <c r="AG467" s="2">
        <v>1</v>
      </c>
      <c r="AH467" s="3" t="s">
        <v>523</v>
      </c>
      <c r="AI467" s="4">
        <v>44692</v>
      </c>
      <c r="AJ467" s="3" t="s">
        <v>527</v>
      </c>
      <c r="AK467" s="3" t="s">
        <v>248</v>
      </c>
    </row>
    <row r="468" spans="1:37" hidden="1" x14ac:dyDescent="0.25">
      <c r="A468" t="str">
        <f t="shared" si="7"/>
        <v>2022_NSW_WaggaWagga_Chickpea_DetailedTOS1VarietyCBA_CaptainWaterTrtIrrigated</v>
      </c>
      <c r="B468" s="2">
        <v>2022003</v>
      </c>
      <c r="C468" s="3" t="s">
        <v>513</v>
      </c>
      <c r="D468" s="3" t="s">
        <v>248</v>
      </c>
      <c r="F468" s="3" t="s">
        <v>249</v>
      </c>
      <c r="G468" s="3" t="s">
        <v>43</v>
      </c>
      <c r="H468" s="3" t="s">
        <v>253</v>
      </c>
      <c r="I468" s="2">
        <v>13</v>
      </c>
      <c r="J468" s="2">
        <v>7</v>
      </c>
      <c r="K468" s="2">
        <v>1</v>
      </c>
      <c r="O468" s="2">
        <v>2</v>
      </c>
      <c r="U468" s="2">
        <v>3</v>
      </c>
      <c r="V468" s="2">
        <v>6</v>
      </c>
      <c r="W468" s="2">
        <v>3</v>
      </c>
      <c r="X468" s="2">
        <v>3</v>
      </c>
      <c r="AA468" s="3" t="s">
        <v>57</v>
      </c>
      <c r="AB468" s="2">
        <v>1</v>
      </c>
      <c r="AF468" s="2">
        <v>30</v>
      </c>
      <c r="AG468" s="2">
        <v>1</v>
      </c>
      <c r="AH468" s="3" t="s">
        <v>523</v>
      </c>
      <c r="AI468" s="4">
        <v>44692</v>
      </c>
      <c r="AJ468" s="3" t="s">
        <v>528</v>
      </c>
      <c r="AK468" s="3" t="s">
        <v>248</v>
      </c>
    </row>
    <row r="469" spans="1:37" hidden="1" x14ac:dyDescent="0.25">
      <c r="A469" t="str">
        <f t="shared" si="7"/>
        <v>2022_NSW_WaggaWagga_Chickpea_DetailedTOS1VarietyCBA_CaptainWaterTrtIrrigated</v>
      </c>
      <c r="B469" s="2">
        <v>2022003</v>
      </c>
      <c r="C469" s="3" t="s">
        <v>513</v>
      </c>
      <c r="D469" s="3" t="s">
        <v>248</v>
      </c>
      <c r="F469" s="3" t="s">
        <v>249</v>
      </c>
      <c r="G469" s="3" t="s">
        <v>43</v>
      </c>
      <c r="H469" s="3" t="s">
        <v>250</v>
      </c>
      <c r="I469" s="2">
        <v>14</v>
      </c>
      <c r="J469" s="2">
        <v>7</v>
      </c>
      <c r="K469" s="2">
        <v>1</v>
      </c>
      <c r="O469" s="2">
        <v>2</v>
      </c>
      <c r="U469" s="2">
        <v>3</v>
      </c>
      <c r="V469" s="2">
        <v>7</v>
      </c>
      <c r="W469" s="2">
        <v>3</v>
      </c>
      <c r="X469" s="2">
        <v>4</v>
      </c>
      <c r="Z469" s="2">
        <v>14</v>
      </c>
      <c r="AA469" s="3" t="s">
        <v>57</v>
      </c>
      <c r="AB469" s="2">
        <v>1</v>
      </c>
      <c r="AF469" s="2">
        <v>30</v>
      </c>
      <c r="AG469" s="2">
        <v>1</v>
      </c>
      <c r="AH469" s="3" t="s">
        <v>523</v>
      </c>
      <c r="AI469" s="4">
        <v>44692</v>
      </c>
      <c r="AJ469" s="3" t="s">
        <v>529</v>
      </c>
      <c r="AK469" s="3" t="s">
        <v>248</v>
      </c>
    </row>
    <row r="470" spans="1:37" hidden="1" x14ac:dyDescent="0.25">
      <c r="A470" t="str">
        <f t="shared" si="7"/>
        <v>2022_NSW_WaggaWagga_Chickpea_DetailedTOS1VarietyDrummondWaterTrtIrrigated</v>
      </c>
      <c r="B470" s="2">
        <v>2022003</v>
      </c>
      <c r="C470" s="3" t="s">
        <v>513</v>
      </c>
      <c r="D470" s="3" t="s">
        <v>248</v>
      </c>
      <c r="F470" s="3" t="s">
        <v>4182</v>
      </c>
      <c r="G470" s="3" t="s">
        <v>39</v>
      </c>
      <c r="H470" s="3" t="s">
        <v>253</v>
      </c>
      <c r="I470" s="2">
        <v>15</v>
      </c>
      <c r="J470" s="2">
        <v>8</v>
      </c>
      <c r="K470" s="2">
        <v>1</v>
      </c>
      <c r="O470" s="2">
        <v>2</v>
      </c>
      <c r="U470" s="2">
        <v>4</v>
      </c>
      <c r="V470" s="2">
        <v>6</v>
      </c>
      <c r="W470" s="2">
        <v>4</v>
      </c>
      <c r="X470" s="2">
        <v>3</v>
      </c>
      <c r="AA470" s="3" t="s">
        <v>57</v>
      </c>
      <c r="AB470" s="2">
        <v>2</v>
      </c>
      <c r="AF470" s="2">
        <v>30</v>
      </c>
      <c r="AG470" s="2">
        <v>1</v>
      </c>
      <c r="AH470" s="3" t="s">
        <v>523</v>
      </c>
      <c r="AI470" s="4">
        <v>44692</v>
      </c>
      <c r="AJ470" s="3" t="s">
        <v>530</v>
      </c>
      <c r="AK470" s="3" t="s">
        <v>248</v>
      </c>
    </row>
    <row r="471" spans="1:37" hidden="1" x14ac:dyDescent="0.25">
      <c r="A471" t="str">
        <f t="shared" si="7"/>
        <v>2022_NSW_WaggaWagga_Chickpea_DetailedTOS1VarietyDrummondWaterTrtIrrigated</v>
      </c>
      <c r="B471" s="2">
        <v>2022003</v>
      </c>
      <c r="C471" s="3" t="s">
        <v>513</v>
      </c>
      <c r="D471" s="3" t="s">
        <v>248</v>
      </c>
      <c r="F471" s="3" t="s">
        <v>4182</v>
      </c>
      <c r="G471" s="3" t="s">
        <v>39</v>
      </c>
      <c r="H471" s="3" t="s">
        <v>250</v>
      </c>
      <c r="I471" s="2">
        <v>16</v>
      </c>
      <c r="J471" s="2">
        <v>8</v>
      </c>
      <c r="K471" s="2">
        <v>1</v>
      </c>
      <c r="O471" s="2">
        <v>2</v>
      </c>
      <c r="U471" s="2">
        <v>4</v>
      </c>
      <c r="V471" s="2">
        <v>7</v>
      </c>
      <c r="W471" s="2">
        <v>4</v>
      </c>
      <c r="X471" s="2">
        <v>4</v>
      </c>
      <c r="Z471" s="2">
        <v>13</v>
      </c>
      <c r="AA471" s="3" t="s">
        <v>57</v>
      </c>
      <c r="AB471" s="2">
        <v>2</v>
      </c>
      <c r="AF471" s="2">
        <v>30</v>
      </c>
      <c r="AG471" s="2">
        <v>1</v>
      </c>
      <c r="AH471" s="3" t="s">
        <v>523</v>
      </c>
      <c r="AI471" s="4">
        <v>44692</v>
      </c>
      <c r="AJ471" s="3" t="s">
        <v>531</v>
      </c>
      <c r="AK471" s="3" t="s">
        <v>248</v>
      </c>
    </row>
    <row r="472" spans="1:37" hidden="1" x14ac:dyDescent="0.25">
      <c r="A472" t="str">
        <f t="shared" si="7"/>
        <v>2022_NSW_WaggaWagga_Chickpea_DetailedTOS1VarietyStrikerWaterTrtIrrigated</v>
      </c>
      <c r="B472" s="2">
        <v>2022003</v>
      </c>
      <c r="C472" s="3" t="s">
        <v>513</v>
      </c>
      <c r="D472" s="3" t="s">
        <v>248</v>
      </c>
      <c r="F472" s="3" t="s">
        <v>4179</v>
      </c>
      <c r="G472" s="3" t="s">
        <v>43</v>
      </c>
      <c r="H472" s="3" t="s">
        <v>253</v>
      </c>
      <c r="I472" s="2">
        <v>17</v>
      </c>
      <c r="J472" s="2">
        <v>9</v>
      </c>
      <c r="K472" s="2">
        <v>2</v>
      </c>
      <c r="O472" s="2">
        <v>3</v>
      </c>
      <c r="U472" s="2">
        <v>1</v>
      </c>
      <c r="V472" s="2">
        <v>10</v>
      </c>
      <c r="W472" s="2">
        <v>1</v>
      </c>
      <c r="X472" s="2">
        <v>5</v>
      </c>
      <c r="AA472" s="3" t="s">
        <v>57</v>
      </c>
      <c r="AB472" s="2">
        <v>4</v>
      </c>
      <c r="AF472" s="2">
        <v>30</v>
      </c>
      <c r="AG472" s="2">
        <v>1</v>
      </c>
      <c r="AH472" s="3" t="s">
        <v>523</v>
      </c>
      <c r="AI472" s="4">
        <v>44692</v>
      </c>
      <c r="AJ472" s="3" t="s">
        <v>532</v>
      </c>
      <c r="AK472" s="3" t="s">
        <v>248</v>
      </c>
    </row>
    <row r="473" spans="1:37" hidden="1" x14ac:dyDescent="0.25">
      <c r="A473" t="str">
        <f t="shared" si="7"/>
        <v>2022_NSW_WaggaWagga_Chickpea_DetailedTOS1VarietyStrikerWaterTrtIrrigated</v>
      </c>
      <c r="B473" s="2">
        <v>2022003</v>
      </c>
      <c r="C473" s="3" t="s">
        <v>513</v>
      </c>
      <c r="D473" s="3" t="s">
        <v>248</v>
      </c>
      <c r="F473" s="3" t="s">
        <v>4179</v>
      </c>
      <c r="G473" s="3" t="s">
        <v>43</v>
      </c>
      <c r="H473" s="3" t="s">
        <v>250</v>
      </c>
      <c r="I473" s="2">
        <v>18</v>
      </c>
      <c r="J473" s="2">
        <v>9</v>
      </c>
      <c r="K473" s="2">
        <v>2</v>
      </c>
      <c r="O473" s="2">
        <v>3</v>
      </c>
      <c r="U473" s="2">
        <v>1</v>
      </c>
      <c r="V473" s="2">
        <v>11</v>
      </c>
      <c r="W473" s="2">
        <v>1</v>
      </c>
      <c r="X473" s="2">
        <v>6</v>
      </c>
      <c r="Z473" s="2">
        <v>17</v>
      </c>
      <c r="AA473" s="3" t="s">
        <v>57</v>
      </c>
      <c r="AB473" s="2">
        <v>4</v>
      </c>
      <c r="AF473" s="2">
        <v>30</v>
      </c>
      <c r="AG473" s="2">
        <v>1</v>
      </c>
      <c r="AH473" s="3" t="s">
        <v>523</v>
      </c>
      <c r="AI473" s="4">
        <v>44692</v>
      </c>
      <c r="AJ473" s="3" t="s">
        <v>533</v>
      </c>
      <c r="AK473" s="3" t="s">
        <v>248</v>
      </c>
    </row>
    <row r="474" spans="1:37" hidden="1" x14ac:dyDescent="0.25">
      <c r="A474" t="str">
        <f t="shared" si="7"/>
        <v>2022_NSW_WaggaWagga_Chickpea_DetailedTOS1VarietyDrummondWaterTrtIrrigated</v>
      </c>
      <c r="B474" s="2">
        <v>2022003</v>
      </c>
      <c r="C474" s="3" t="s">
        <v>513</v>
      </c>
      <c r="D474" s="3" t="s">
        <v>248</v>
      </c>
      <c r="F474" s="3" t="s">
        <v>4182</v>
      </c>
      <c r="G474" s="3" t="s">
        <v>39</v>
      </c>
      <c r="H474" s="3" t="s">
        <v>253</v>
      </c>
      <c r="I474" s="2">
        <v>19</v>
      </c>
      <c r="J474" s="2">
        <v>10</v>
      </c>
      <c r="K474" s="2">
        <v>2</v>
      </c>
      <c r="O474" s="2">
        <v>3</v>
      </c>
      <c r="U474" s="2">
        <v>2</v>
      </c>
      <c r="V474" s="2">
        <v>10</v>
      </c>
      <c r="W474" s="2">
        <v>2</v>
      </c>
      <c r="X474" s="2">
        <v>5</v>
      </c>
      <c r="AA474" s="3" t="s">
        <v>57</v>
      </c>
      <c r="AB474" s="2">
        <v>2</v>
      </c>
      <c r="AF474" s="2">
        <v>30</v>
      </c>
      <c r="AG474" s="2">
        <v>1</v>
      </c>
      <c r="AH474" s="3" t="s">
        <v>523</v>
      </c>
      <c r="AI474" s="4">
        <v>44692</v>
      </c>
      <c r="AJ474" s="3" t="s">
        <v>534</v>
      </c>
      <c r="AK474" s="3" t="s">
        <v>248</v>
      </c>
    </row>
    <row r="475" spans="1:37" hidden="1" x14ac:dyDescent="0.25">
      <c r="A475" t="str">
        <f t="shared" si="7"/>
        <v>2022_NSW_WaggaWagga_Chickpea_DetailedTOS1VarietyDrummondWaterTrtIrrigated</v>
      </c>
      <c r="B475" s="2">
        <v>2022003</v>
      </c>
      <c r="C475" s="3" t="s">
        <v>513</v>
      </c>
      <c r="D475" s="3" t="s">
        <v>248</v>
      </c>
      <c r="F475" s="3" t="s">
        <v>4182</v>
      </c>
      <c r="G475" s="3" t="s">
        <v>39</v>
      </c>
      <c r="H475" s="3" t="s">
        <v>250</v>
      </c>
      <c r="I475" s="2">
        <v>20</v>
      </c>
      <c r="J475" s="2">
        <v>10</v>
      </c>
      <c r="K475" s="2">
        <v>2</v>
      </c>
      <c r="O475" s="2">
        <v>3</v>
      </c>
      <c r="U475" s="2">
        <v>2</v>
      </c>
      <c r="V475" s="2">
        <v>11</v>
      </c>
      <c r="W475" s="2">
        <v>2</v>
      </c>
      <c r="X475" s="2">
        <v>6</v>
      </c>
      <c r="Z475" s="2">
        <v>18</v>
      </c>
      <c r="AA475" s="3" t="s">
        <v>57</v>
      </c>
      <c r="AB475" s="2">
        <v>2</v>
      </c>
      <c r="AF475" s="2">
        <v>30</v>
      </c>
      <c r="AG475" s="2">
        <v>1</v>
      </c>
      <c r="AH475" s="3" t="s">
        <v>523</v>
      </c>
      <c r="AI475" s="4">
        <v>44692</v>
      </c>
      <c r="AJ475" s="3" t="s">
        <v>535</v>
      </c>
      <c r="AK475" s="3" t="s">
        <v>248</v>
      </c>
    </row>
    <row r="476" spans="1:37" hidden="1" x14ac:dyDescent="0.25">
      <c r="A476" t="str">
        <f t="shared" si="7"/>
        <v>2022_NSW_WaggaWagga_Chickpea_DetailedTOS1VarietyHatTrickWaterTrtIrrigated</v>
      </c>
      <c r="B476" s="2">
        <v>2022003</v>
      </c>
      <c r="C476" s="3" t="s">
        <v>513</v>
      </c>
      <c r="D476" s="3" t="s">
        <v>248</v>
      </c>
      <c r="F476" s="3" t="s">
        <v>4178</v>
      </c>
      <c r="G476" s="3" t="s">
        <v>39</v>
      </c>
      <c r="H476" s="3" t="s">
        <v>253</v>
      </c>
      <c r="I476" s="2">
        <v>21</v>
      </c>
      <c r="J476" s="2">
        <v>11</v>
      </c>
      <c r="K476" s="2">
        <v>2</v>
      </c>
      <c r="O476" s="2">
        <v>3</v>
      </c>
      <c r="U476" s="2">
        <v>3</v>
      </c>
      <c r="V476" s="2">
        <v>10</v>
      </c>
      <c r="W476" s="2">
        <v>3</v>
      </c>
      <c r="X476" s="2">
        <v>5</v>
      </c>
      <c r="AA476" s="3" t="s">
        <v>57</v>
      </c>
      <c r="AB476" s="2">
        <v>3</v>
      </c>
      <c r="AF476" s="2">
        <v>30</v>
      </c>
      <c r="AG476" s="2">
        <v>1</v>
      </c>
      <c r="AH476" s="3" t="s">
        <v>523</v>
      </c>
      <c r="AI476" s="4">
        <v>44692</v>
      </c>
      <c r="AJ476" s="3" t="s">
        <v>536</v>
      </c>
      <c r="AK476" s="3" t="s">
        <v>248</v>
      </c>
    </row>
    <row r="477" spans="1:37" hidden="1" x14ac:dyDescent="0.25">
      <c r="A477" t="str">
        <f t="shared" si="7"/>
        <v>2022_NSW_WaggaWagga_Chickpea_DetailedTOS1VarietyHatTrickWaterTrtIrrigated</v>
      </c>
      <c r="B477" s="2">
        <v>2022003</v>
      </c>
      <c r="C477" s="3" t="s">
        <v>513</v>
      </c>
      <c r="D477" s="3" t="s">
        <v>248</v>
      </c>
      <c r="F477" s="3" t="s">
        <v>4178</v>
      </c>
      <c r="G477" s="3" t="s">
        <v>39</v>
      </c>
      <c r="H477" s="3" t="s">
        <v>250</v>
      </c>
      <c r="I477" s="2">
        <v>22</v>
      </c>
      <c r="J477" s="2">
        <v>11</v>
      </c>
      <c r="K477" s="2">
        <v>2</v>
      </c>
      <c r="O477" s="2">
        <v>3</v>
      </c>
      <c r="U477" s="2">
        <v>3</v>
      </c>
      <c r="V477" s="2">
        <v>11</v>
      </c>
      <c r="W477" s="2">
        <v>3</v>
      </c>
      <c r="X477" s="2">
        <v>6</v>
      </c>
      <c r="Z477" s="2">
        <v>19</v>
      </c>
      <c r="AA477" s="3" t="s">
        <v>57</v>
      </c>
      <c r="AB477" s="2">
        <v>3</v>
      </c>
      <c r="AF477" s="2">
        <v>30</v>
      </c>
      <c r="AG477" s="2">
        <v>1</v>
      </c>
      <c r="AH477" s="3" t="s">
        <v>523</v>
      </c>
      <c r="AI477" s="4">
        <v>44692</v>
      </c>
      <c r="AJ477" s="3" t="s">
        <v>537</v>
      </c>
      <c r="AK477" s="3" t="s">
        <v>248</v>
      </c>
    </row>
    <row r="478" spans="1:37" hidden="1" x14ac:dyDescent="0.25">
      <c r="A478" t="str">
        <f t="shared" si="7"/>
        <v>2022_NSW_WaggaWagga_Chickpea_DetailedTOS1VarietyCBA_CaptainWaterTrtIrrigated</v>
      </c>
      <c r="B478" s="2">
        <v>2022003</v>
      </c>
      <c r="C478" s="3" t="s">
        <v>513</v>
      </c>
      <c r="D478" s="3" t="s">
        <v>248</v>
      </c>
      <c r="F478" s="3" t="s">
        <v>249</v>
      </c>
      <c r="G478" s="3" t="s">
        <v>43</v>
      </c>
      <c r="H478" s="3" t="s">
        <v>253</v>
      </c>
      <c r="I478" s="2">
        <v>23</v>
      </c>
      <c r="J478" s="2">
        <v>12</v>
      </c>
      <c r="K478" s="2">
        <v>2</v>
      </c>
      <c r="O478" s="2">
        <v>3</v>
      </c>
      <c r="U478" s="2">
        <v>4</v>
      </c>
      <c r="V478" s="2">
        <v>10</v>
      </c>
      <c r="W478" s="2">
        <v>4</v>
      </c>
      <c r="X478" s="2">
        <v>5</v>
      </c>
      <c r="AA478" s="3" t="s">
        <v>57</v>
      </c>
      <c r="AB478" s="2">
        <v>1</v>
      </c>
      <c r="AF478" s="2">
        <v>30</v>
      </c>
      <c r="AG478" s="2">
        <v>1</v>
      </c>
      <c r="AH478" s="3" t="s">
        <v>523</v>
      </c>
      <c r="AI478" s="4">
        <v>44692</v>
      </c>
      <c r="AJ478" s="3" t="s">
        <v>538</v>
      </c>
      <c r="AK478" s="3" t="s">
        <v>248</v>
      </c>
    </row>
    <row r="479" spans="1:37" hidden="1" x14ac:dyDescent="0.25">
      <c r="A479" t="str">
        <f t="shared" si="7"/>
        <v>2022_NSW_WaggaWagga_Chickpea_DetailedTOS1VarietyCBA_CaptainWaterTrtIrrigated</v>
      </c>
      <c r="B479" s="2">
        <v>2022003</v>
      </c>
      <c r="C479" s="3" t="s">
        <v>513</v>
      </c>
      <c r="D479" s="3" t="s">
        <v>248</v>
      </c>
      <c r="F479" s="3" t="s">
        <v>249</v>
      </c>
      <c r="G479" s="3" t="s">
        <v>43</v>
      </c>
      <c r="H479" s="3" t="s">
        <v>250</v>
      </c>
      <c r="I479" s="2">
        <v>24</v>
      </c>
      <c r="J479" s="2">
        <v>12</v>
      </c>
      <c r="K479" s="2">
        <v>2</v>
      </c>
      <c r="O479" s="2">
        <v>3</v>
      </c>
      <c r="U479" s="2">
        <v>4</v>
      </c>
      <c r="V479" s="2">
        <v>11</v>
      </c>
      <c r="W479" s="2">
        <v>4</v>
      </c>
      <c r="X479" s="2">
        <v>6</v>
      </c>
      <c r="Z479" s="2">
        <v>20</v>
      </c>
      <c r="AA479" s="3" t="s">
        <v>57</v>
      </c>
      <c r="AB479" s="2">
        <v>1</v>
      </c>
      <c r="AF479" s="2">
        <v>30</v>
      </c>
      <c r="AG479" s="2">
        <v>1</v>
      </c>
      <c r="AH479" s="3" t="s">
        <v>523</v>
      </c>
      <c r="AI479" s="4">
        <v>44692</v>
      </c>
      <c r="AJ479" s="3" t="s">
        <v>539</v>
      </c>
      <c r="AK479" s="3" t="s">
        <v>248</v>
      </c>
    </row>
    <row r="480" spans="1:37" hidden="1" x14ac:dyDescent="0.25">
      <c r="A480" t="str">
        <f t="shared" si="7"/>
        <v>2022_NSW_WaggaWagga_Chickpea_DetailedTOS2VarietyDrummondWaterTrtIrrigated</v>
      </c>
      <c r="B480" s="2">
        <v>2022003</v>
      </c>
      <c r="C480" s="3" t="s">
        <v>513</v>
      </c>
      <c r="D480" s="3" t="s">
        <v>248</v>
      </c>
      <c r="F480" s="3" t="s">
        <v>4182</v>
      </c>
      <c r="G480" s="3" t="s">
        <v>39</v>
      </c>
      <c r="H480" s="3" t="s">
        <v>253</v>
      </c>
      <c r="I480" s="2">
        <v>25</v>
      </c>
      <c r="J480" s="2">
        <v>13</v>
      </c>
      <c r="K480" s="2">
        <v>2</v>
      </c>
      <c r="O480" s="2">
        <v>4</v>
      </c>
      <c r="U480" s="2">
        <v>1</v>
      </c>
      <c r="V480" s="2">
        <v>14</v>
      </c>
      <c r="W480" s="2">
        <v>1</v>
      </c>
      <c r="X480" s="2">
        <v>7</v>
      </c>
      <c r="AA480" s="3" t="s">
        <v>57</v>
      </c>
      <c r="AB480" s="2">
        <v>2</v>
      </c>
      <c r="AF480" s="2">
        <v>30</v>
      </c>
      <c r="AG480" s="2">
        <v>2</v>
      </c>
      <c r="AH480" s="3" t="s">
        <v>514</v>
      </c>
      <c r="AI480" s="4">
        <v>44727</v>
      </c>
      <c r="AJ480" s="3" t="s">
        <v>540</v>
      </c>
      <c r="AK480" s="3" t="s">
        <v>248</v>
      </c>
    </row>
    <row r="481" spans="1:37" hidden="1" x14ac:dyDescent="0.25">
      <c r="A481" t="str">
        <f t="shared" si="7"/>
        <v>2022_NSW_WaggaWagga_Chickpea_DetailedTOS2VarietyDrummondWaterTrtIrrigated</v>
      </c>
      <c r="B481" s="2">
        <v>2022003</v>
      </c>
      <c r="C481" s="3" t="s">
        <v>513</v>
      </c>
      <c r="D481" s="3" t="s">
        <v>248</v>
      </c>
      <c r="F481" s="3" t="s">
        <v>4182</v>
      </c>
      <c r="G481" s="3" t="s">
        <v>39</v>
      </c>
      <c r="H481" s="3" t="s">
        <v>250</v>
      </c>
      <c r="I481" s="2">
        <v>26</v>
      </c>
      <c r="J481" s="2">
        <v>13</v>
      </c>
      <c r="K481" s="2">
        <v>2</v>
      </c>
      <c r="O481" s="2">
        <v>4</v>
      </c>
      <c r="U481" s="2">
        <v>1</v>
      </c>
      <c r="V481" s="2">
        <v>15</v>
      </c>
      <c r="W481" s="2">
        <v>1</v>
      </c>
      <c r="X481" s="2">
        <v>8</v>
      </c>
      <c r="Z481" s="2">
        <v>32</v>
      </c>
      <c r="AA481" s="3" t="s">
        <v>57</v>
      </c>
      <c r="AB481" s="2">
        <v>2</v>
      </c>
      <c r="AF481" s="2">
        <v>30</v>
      </c>
      <c r="AG481" s="2">
        <v>2</v>
      </c>
      <c r="AH481" s="3" t="s">
        <v>514</v>
      </c>
      <c r="AI481" s="4">
        <v>44727</v>
      </c>
      <c r="AJ481" s="3" t="s">
        <v>541</v>
      </c>
      <c r="AK481" s="3" t="s">
        <v>248</v>
      </c>
    </row>
    <row r="482" spans="1:37" hidden="1" x14ac:dyDescent="0.25">
      <c r="A482" t="str">
        <f t="shared" si="7"/>
        <v>2022_NSW_WaggaWagga_Chickpea_DetailedTOS2VarietyHatTrickWaterTrtIrrigated</v>
      </c>
      <c r="B482" s="2">
        <v>2022003</v>
      </c>
      <c r="C482" s="3" t="s">
        <v>513</v>
      </c>
      <c r="D482" s="3" t="s">
        <v>248</v>
      </c>
      <c r="F482" s="3" t="s">
        <v>4178</v>
      </c>
      <c r="G482" s="3" t="s">
        <v>39</v>
      </c>
      <c r="H482" s="3" t="s">
        <v>253</v>
      </c>
      <c r="I482" s="2">
        <v>27</v>
      </c>
      <c r="J482" s="2">
        <v>14</v>
      </c>
      <c r="K482" s="2">
        <v>2</v>
      </c>
      <c r="O482" s="2">
        <v>4</v>
      </c>
      <c r="U482" s="2">
        <v>2</v>
      </c>
      <c r="V482" s="2">
        <v>14</v>
      </c>
      <c r="W482" s="2">
        <v>2</v>
      </c>
      <c r="X482" s="2">
        <v>7</v>
      </c>
      <c r="AA482" s="3" t="s">
        <v>57</v>
      </c>
      <c r="AB482" s="2">
        <v>3</v>
      </c>
      <c r="AF482" s="2">
        <v>30</v>
      </c>
      <c r="AG482" s="2">
        <v>2</v>
      </c>
      <c r="AH482" s="3" t="s">
        <v>514</v>
      </c>
      <c r="AI482" s="4">
        <v>44727</v>
      </c>
      <c r="AJ482" s="3" t="s">
        <v>542</v>
      </c>
      <c r="AK482" s="3" t="s">
        <v>248</v>
      </c>
    </row>
    <row r="483" spans="1:37" hidden="1" x14ac:dyDescent="0.25">
      <c r="A483" t="str">
        <f t="shared" si="7"/>
        <v>2022_NSW_WaggaWagga_Chickpea_DetailedTOS2VarietyHatTrickWaterTrtIrrigated</v>
      </c>
      <c r="B483" s="2">
        <v>2022003</v>
      </c>
      <c r="C483" s="3" t="s">
        <v>513</v>
      </c>
      <c r="D483" s="3" t="s">
        <v>248</v>
      </c>
      <c r="F483" s="3" t="s">
        <v>4178</v>
      </c>
      <c r="G483" s="3" t="s">
        <v>39</v>
      </c>
      <c r="H483" s="3" t="s">
        <v>250</v>
      </c>
      <c r="I483" s="2">
        <v>28</v>
      </c>
      <c r="J483" s="2">
        <v>14</v>
      </c>
      <c r="K483" s="2">
        <v>2</v>
      </c>
      <c r="O483" s="2">
        <v>4</v>
      </c>
      <c r="U483" s="2">
        <v>2</v>
      </c>
      <c r="V483" s="2">
        <v>15</v>
      </c>
      <c r="W483" s="2">
        <v>2</v>
      </c>
      <c r="X483" s="2">
        <v>8</v>
      </c>
      <c r="Z483" s="2">
        <v>31</v>
      </c>
      <c r="AA483" s="3" t="s">
        <v>57</v>
      </c>
      <c r="AB483" s="2">
        <v>3</v>
      </c>
      <c r="AF483" s="2">
        <v>30</v>
      </c>
      <c r="AG483" s="2">
        <v>2</v>
      </c>
      <c r="AH483" s="3" t="s">
        <v>514</v>
      </c>
      <c r="AI483" s="4">
        <v>44727</v>
      </c>
      <c r="AJ483" s="3" t="s">
        <v>543</v>
      </c>
      <c r="AK483" s="3" t="s">
        <v>248</v>
      </c>
    </row>
    <row r="484" spans="1:37" hidden="1" x14ac:dyDescent="0.25">
      <c r="A484" t="str">
        <f t="shared" si="7"/>
        <v>2022_NSW_WaggaWagga_Chickpea_DetailedTOS2VarietyCBA_CaptainWaterTrtIrrigated</v>
      </c>
      <c r="B484" s="2">
        <v>2022003</v>
      </c>
      <c r="C484" s="3" t="s">
        <v>513</v>
      </c>
      <c r="D484" s="3" t="s">
        <v>248</v>
      </c>
      <c r="F484" s="3" t="s">
        <v>249</v>
      </c>
      <c r="G484" s="3" t="s">
        <v>43</v>
      </c>
      <c r="H484" s="3" t="s">
        <v>253</v>
      </c>
      <c r="I484" s="2">
        <v>29</v>
      </c>
      <c r="J484" s="2">
        <v>15</v>
      </c>
      <c r="K484" s="2">
        <v>2</v>
      </c>
      <c r="O484" s="2">
        <v>4</v>
      </c>
      <c r="U484" s="2">
        <v>3</v>
      </c>
      <c r="V484" s="2">
        <v>14</v>
      </c>
      <c r="W484" s="2">
        <v>3</v>
      </c>
      <c r="X484" s="2">
        <v>7</v>
      </c>
      <c r="AA484" s="3" t="s">
        <v>57</v>
      </c>
      <c r="AB484" s="2">
        <v>1</v>
      </c>
      <c r="AF484" s="2">
        <v>30</v>
      </c>
      <c r="AG484" s="2">
        <v>2</v>
      </c>
      <c r="AH484" s="3" t="s">
        <v>514</v>
      </c>
      <c r="AI484" s="4">
        <v>44727</v>
      </c>
      <c r="AJ484" s="3" t="s">
        <v>544</v>
      </c>
      <c r="AK484" s="3" t="s">
        <v>248</v>
      </c>
    </row>
    <row r="485" spans="1:37" hidden="1" x14ac:dyDescent="0.25">
      <c r="A485" t="str">
        <f t="shared" si="7"/>
        <v>2022_NSW_WaggaWagga_Chickpea_DetailedTOS2VarietyCBA_CaptainWaterTrtIrrigated</v>
      </c>
      <c r="B485" s="2">
        <v>2022003</v>
      </c>
      <c r="C485" s="3" t="s">
        <v>513</v>
      </c>
      <c r="D485" s="3" t="s">
        <v>248</v>
      </c>
      <c r="F485" s="3" t="s">
        <v>249</v>
      </c>
      <c r="G485" s="3" t="s">
        <v>43</v>
      </c>
      <c r="H485" s="3" t="s">
        <v>250</v>
      </c>
      <c r="I485" s="2">
        <v>30</v>
      </c>
      <c r="J485" s="2">
        <v>15</v>
      </c>
      <c r="K485" s="2">
        <v>2</v>
      </c>
      <c r="O485" s="2">
        <v>4</v>
      </c>
      <c r="U485" s="2">
        <v>3</v>
      </c>
      <c r="V485" s="2">
        <v>15</v>
      </c>
      <c r="W485" s="2">
        <v>3</v>
      </c>
      <c r="X485" s="2">
        <v>8</v>
      </c>
      <c r="Z485" s="2">
        <v>30</v>
      </c>
      <c r="AA485" s="3" t="s">
        <v>57</v>
      </c>
      <c r="AB485" s="2">
        <v>1</v>
      </c>
      <c r="AF485" s="2">
        <v>30</v>
      </c>
      <c r="AG485" s="2">
        <v>2</v>
      </c>
      <c r="AH485" s="3" t="s">
        <v>514</v>
      </c>
      <c r="AI485" s="4">
        <v>44727</v>
      </c>
      <c r="AJ485" s="3" t="s">
        <v>545</v>
      </c>
      <c r="AK485" s="3" t="s">
        <v>248</v>
      </c>
    </row>
    <row r="486" spans="1:37" hidden="1" x14ac:dyDescent="0.25">
      <c r="A486" t="str">
        <f t="shared" si="7"/>
        <v>2022_NSW_WaggaWagga_Chickpea_DetailedTOS2VarietyStrikerWaterTrtIrrigated</v>
      </c>
      <c r="B486" s="2">
        <v>2022003</v>
      </c>
      <c r="C486" s="3" t="s">
        <v>513</v>
      </c>
      <c r="D486" s="3" t="s">
        <v>248</v>
      </c>
      <c r="F486" s="3" t="s">
        <v>4179</v>
      </c>
      <c r="G486" s="3" t="s">
        <v>43</v>
      </c>
      <c r="H486" s="3" t="s">
        <v>253</v>
      </c>
      <c r="I486" s="2">
        <v>31</v>
      </c>
      <c r="J486" s="2">
        <v>16</v>
      </c>
      <c r="K486" s="2">
        <v>2</v>
      </c>
      <c r="O486" s="2">
        <v>4</v>
      </c>
      <c r="U486" s="2">
        <v>4</v>
      </c>
      <c r="V486" s="2">
        <v>14</v>
      </c>
      <c r="W486" s="2">
        <v>4</v>
      </c>
      <c r="X486" s="2">
        <v>7</v>
      </c>
      <c r="AA486" s="3" t="s">
        <v>57</v>
      </c>
      <c r="AB486" s="2">
        <v>4</v>
      </c>
      <c r="AF486" s="2">
        <v>30</v>
      </c>
      <c r="AG486" s="2">
        <v>2</v>
      </c>
      <c r="AH486" s="3" t="s">
        <v>514</v>
      </c>
      <c r="AI486" s="4">
        <v>44727</v>
      </c>
      <c r="AJ486" s="3" t="s">
        <v>546</v>
      </c>
      <c r="AK486" s="3" t="s">
        <v>248</v>
      </c>
    </row>
    <row r="487" spans="1:37" hidden="1" x14ac:dyDescent="0.25">
      <c r="A487" t="str">
        <f t="shared" si="7"/>
        <v>2022_NSW_WaggaWagga_Chickpea_DetailedTOS2VarietyStrikerWaterTrtIrrigated</v>
      </c>
      <c r="B487" s="2">
        <v>2022003</v>
      </c>
      <c r="C487" s="3" t="s">
        <v>513</v>
      </c>
      <c r="D487" s="3" t="s">
        <v>248</v>
      </c>
      <c r="F487" s="3" t="s">
        <v>4179</v>
      </c>
      <c r="G487" s="3" t="s">
        <v>43</v>
      </c>
      <c r="H487" s="3" t="s">
        <v>250</v>
      </c>
      <c r="I487" s="2">
        <v>32</v>
      </c>
      <c r="J487" s="2">
        <v>16</v>
      </c>
      <c r="K487" s="2">
        <v>2</v>
      </c>
      <c r="O487" s="2">
        <v>4</v>
      </c>
      <c r="U487" s="2">
        <v>4</v>
      </c>
      <c r="V487" s="2">
        <v>15</v>
      </c>
      <c r="W487" s="2">
        <v>4</v>
      </c>
      <c r="X487" s="2">
        <v>8</v>
      </c>
      <c r="Z487" s="2">
        <v>29</v>
      </c>
      <c r="AA487" s="3" t="s">
        <v>57</v>
      </c>
      <c r="AB487" s="2">
        <v>4</v>
      </c>
      <c r="AF487" s="2">
        <v>30</v>
      </c>
      <c r="AG487" s="2">
        <v>2</v>
      </c>
      <c r="AH487" s="3" t="s">
        <v>514</v>
      </c>
      <c r="AI487" s="4">
        <v>44727</v>
      </c>
      <c r="AJ487" s="3" t="s">
        <v>547</v>
      </c>
      <c r="AK487" s="3" t="s">
        <v>248</v>
      </c>
    </row>
    <row r="488" spans="1:37" hidden="1" x14ac:dyDescent="0.25">
      <c r="A488" t="str">
        <f t="shared" si="7"/>
        <v>2022_NSW_WaggaWagga_Chickpea_DetailedTOS1VarietyDrummondWaterTrtIrrigated</v>
      </c>
      <c r="B488" s="2">
        <v>2022003</v>
      </c>
      <c r="C488" s="3" t="s">
        <v>513</v>
      </c>
      <c r="D488" s="3" t="s">
        <v>248</v>
      </c>
      <c r="F488" s="3" t="s">
        <v>4182</v>
      </c>
      <c r="G488" s="3" t="s">
        <v>39</v>
      </c>
      <c r="H488" s="3" t="s">
        <v>253</v>
      </c>
      <c r="I488" s="2">
        <v>33</v>
      </c>
      <c r="J488" s="2">
        <v>17</v>
      </c>
      <c r="K488" s="2">
        <v>3</v>
      </c>
      <c r="O488" s="2">
        <v>5</v>
      </c>
      <c r="U488" s="2">
        <v>1</v>
      </c>
      <c r="V488" s="2">
        <v>18</v>
      </c>
      <c r="W488" s="2">
        <v>1</v>
      </c>
      <c r="X488" s="2">
        <v>9</v>
      </c>
      <c r="AA488" s="3" t="s">
        <v>57</v>
      </c>
      <c r="AB488" s="2">
        <v>2</v>
      </c>
      <c r="AF488" s="2">
        <v>30</v>
      </c>
      <c r="AG488" s="2">
        <v>1</v>
      </c>
      <c r="AH488" s="3" t="s">
        <v>523</v>
      </c>
      <c r="AI488" s="4">
        <v>44692</v>
      </c>
      <c r="AJ488" s="3" t="s">
        <v>548</v>
      </c>
      <c r="AK488" s="3" t="s">
        <v>248</v>
      </c>
    </row>
    <row r="489" spans="1:37" hidden="1" x14ac:dyDescent="0.25">
      <c r="A489" t="str">
        <f t="shared" si="7"/>
        <v>2022_NSW_WaggaWagga_Chickpea_DetailedTOS1VarietyDrummondWaterTrtIrrigated</v>
      </c>
      <c r="B489" s="2">
        <v>2022003</v>
      </c>
      <c r="C489" s="3" t="s">
        <v>513</v>
      </c>
      <c r="D489" s="3" t="s">
        <v>248</v>
      </c>
      <c r="F489" s="3" t="s">
        <v>4182</v>
      </c>
      <c r="G489" s="3" t="s">
        <v>39</v>
      </c>
      <c r="H489" s="3" t="s">
        <v>250</v>
      </c>
      <c r="I489" s="2">
        <v>34</v>
      </c>
      <c r="J489" s="2">
        <v>17</v>
      </c>
      <c r="K489" s="2">
        <v>3</v>
      </c>
      <c r="O489" s="2">
        <v>5</v>
      </c>
      <c r="U489" s="2">
        <v>1</v>
      </c>
      <c r="V489" s="2">
        <v>19</v>
      </c>
      <c r="W489" s="2">
        <v>1</v>
      </c>
      <c r="X489" s="2">
        <v>10</v>
      </c>
      <c r="Z489" s="2">
        <v>33</v>
      </c>
      <c r="AA489" s="3" t="s">
        <v>57</v>
      </c>
      <c r="AB489" s="2">
        <v>2</v>
      </c>
      <c r="AF489" s="2">
        <v>30</v>
      </c>
      <c r="AG489" s="2">
        <v>1</v>
      </c>
      <c r="AH489" s="3" t="s">
        <v>523</v>
      </c>
      <c r="AI489" s="4">
        <v>44692</v>
      </c>
      <c r="AJ489" s="3" t="s">
        <v>549</v>
      </c>
      <c r="AK489" s="3" t="s">
        <v>248</v>
      </c>
    </row>
    <row r="490" spans="1:37" hidden="1" x14ac:dyDescent="0.25">
      <c r="A490" t="str">
        <f t="shared" si="7"/>
        <v>2022_NSW_WaggaWagga_Chickpea_DetailedTOS1VarietyCBA_CaptainWaterTrtIrrigated</v>
      </c>
      <c r="B490" s="2">
        <v>2022003</v>
      </c>
      <c r="C490" s="3" t="s">
        <v>513</v>
      </c>
      <c r="D490" s="3" t="s">
        <v>248</v>
      </c>
      <c r="F490" s="3" t="s">
        <v>249</v>
      </c>
      <c r="G490" s="3" t="s">
        <v>43</v>
      </c>
      <c r="H490" s="3" t="s">
        <v>253</v>
      </c>
      <c r="I490" s="2">
        <v>35</v>
      </c>
      <c r="J490" s="2">
        <v>18</v>
      </c>
      <c r="K490" s="2">
        <v>3</v>
      </c>
      <c r="O490" s="2">
        <v>5</v>
      </c>
      <c r="U490" s="2">
        <v>2</v>
      </c>
      <c r="V490" s="2">
        <v>18</v>
      </c>
      <c r="W490" s="2">
        <v>2</v>
      </c>
      <c r="X490" s="2">
        <v>9</v>
      </c>
      <c r="AA490" s="3" t="s">
        <v>57</v>
      </c>
      <c r="AB490" s="2">
        <v>1</v>
      </c>
      <c r="AF490" s="2">
        <v>30</v>
      </c>
      <c r="AG490" s="2">
        <v>1</v>
      </c>
      <c r="AH490" s="3" t="s">
        <v>523</v>
      </c>
      <c r="AI490" s="4">
        <v>44692</v>
      </c>
      <c r="AJ490" s="3" t="s">
        <v>550</v>
      </c>
      <c r="AK490" s="3" t="s">
        <v>248</v>
      </c>
    </row>
    <row r="491" spans="1:37" hidden="1" x14ac:dyDescent="0.25">
      <c r="A491" t="str">
        <f t="shared" si="7"/>
        <v>2022_NSW_WaggaWagga_Chickpea_DetailedTOS1VarietyCBA_CaptainWaterTrtIrrigated</v>
      </c>
      <c r="B491" s="2">
        <v>2022003</v>
      </c>
      <c r="C491" s="3" t="s">
        <v>513</v>
      </c>
      <c r="D491" s="3" t="s">
        <v>248</v>
      </c>
      <c r="F491" s="3" t="s">
        <v>249</v>
      </c>
      <c r="G491" s="3" t="s">
        <v>43</v>
      </c>
      <c r="H491" s="3" t="s">
        <v>250</v>
      </c>
      <c r="I491" s="2">
        <v>36</v>
      </c>
      <c r="J491" s="2">
        <v>18</v>
      </c>
      <c r="K491" s="2">
        <v>3</v>
      </c>
      <c r="O491" s="2">
        <v>5</v>
      </c>
      <c r="U491" s="2">
        <v>2</v>
      </c>
      <c r="V491" s="2">
        <v>19</v>
      </c>
      <c r="W491" s="2">
        <v>2</v>
      </c>
      <c r="X491" s="2">
        <v>10</v>
      </c>
      <c r="Z491" s="2">
        <v>34</v>
      </c>
      <c r="AA491" s="3" t="s">
        <v>57</v>
      </c>
      <c r="AB491" s="2">
        <v>1</v>
      </c>
      <c r="AF491" s="2">
        <v>30</v>
      </c>
      <c r="AG491" s="2">
        <v>1</v>
      </c>
      <c r="AH491" s="3" t="s">
        <v>523</v>
      </c>
      <c r="AI491" s="4">
        <v>44692</v>
      </c>
      <c r="AJ491" s="3" t="s">
        <v>551</v>
      </c>
      <c r="AK491" s="3" t="s">
        <v>248</v>
      </c>
    </row>
    <row r="492" spans="1:37" hidden="1" x14ac:dyDescent="0.25">
      <c r="A492" t="str">
        <f t="shared" si="7"/>
        <v>2022_NSW_WaggaWagga_Chickpea_DetailedTOS1VarietyStrikerWaterTrtIrrigated</v>
      </c>
      <c r="B492" s="2">
        <v>2022003</v>
      </c>
      <c r="C492" s="3" t="s">
        <v>513</v>
      </c>
      <c r="D492" s="3" t="s">
        <v>248</v>
      </c>
      <c r="F492" s="3" t="s">
        <v>4179</v>
      </c>
      <c r="G492" s="3" t="s">
        <v>43</v>
      </c>
      <c r="H492" s="3" t="s">
        <v>253</v>
      </c>
      <c r="I492" s="2">
        <v>37</v>
      </c>
      <c r="J492" s="2">
        <v>19</v>
      </c>
      <c r="K492" s="2">
        <v>3</v>
      </c>
      <c r="O492" s="2">
        <v>5</v>
      </c>
      <c r="U492" s="2">
        <v>3</v>
      </c>
      <c r="V492" s="2">
        <v>18</v>
      </c>
      <c r="W492" s="2">
        <v>3</v>
      </c>
      <c r="X492" s="2">
        <v>9</v>
      </c>
      <c r="AA492" s="3" t="s">
        <v>57</v>
      </c>
      <c r="AB492" s="2">
        <v>4</v>
      </c>
      <c r="AF492" s="2">
        <v>30</v>
      </c>
      <c r="AG492" s="2">
        <v>1</v>
      </c>
      <c r="AH492" s="3" t="s">
        <v>523</v>
      </c>
      <c r="AI492" s="4">
        <v>44692</v>
      </c>
      <c r="AJ492" s="3" t="s">
        <v>552</v>
      </c>
      <c r="AK492" s="3" t="s">
        <v>248</v>
      </c>
    </row>
    <row r="493" spans="1:37" hidden="1" x14ac:dyDescent="0.25">
      <c r="A493" t="str">
        <f t="shared" si="7"/>
        <v>2022_NSW_WaggaWagga_Chickpea_DetailedTOS1VarietyStrikerWaterTrtIrrigated</v>
      </c>
      <c r="B493" s="2">
        <v>2022003</v>
      </c>
      <c r="C493" s="3" t="s">
        <v>513</v>
      </c>
      <c r="D493" s="3" t="s">
        <v>248</v>
      </c>
      <c r="F493" s="3" t="s">
        <v>4179</v>
      </c>
      <c r="G493" s="3" t="s">
        <v>43</v>
      </c>
      <c r="H493" s="3" t="s">
        <v>250</v>
      </c>
      <c r="I493" s="2">
        <v>38</v>
      </c>
      <c r="J493" s="2">
        <v>19</v>
      </c>
      <c r="K493" s="2">
        <v>3</v>
      </c>
      <c r="O493" s="2">
        <v>5</v>
      </c>
      <c r="U493" s="2">
        <v>3</v>
      </c>
      <c r="V493" s="2">
        <v>19</v>
      </c>
      <c r="W493" s="2">
        <v>3</v>
      </c>
      <c r="X493" s="2">
        <v>10</v>
      </c>
      <c r="Z493" s="2">
        <v>35</v>
      </c>
      <c r="AA493" s="3" t="s">
        <v>57</v>
      </c>
      <c r="AB493" s="2">
        <v>4</v>
      </c>
      <c r="AF493" s="2">
        <v>30</v>
      </c>
      <c r="AG493" s="2">
        <v>1</v>
      </c>
      <c r="AH493" s="3" t="s">
        <v>523</v>
      </c>
      <c r="AI493" s="4">
        <v>44692</v>
      </c>
      <c r="AJ493" s="3" t="s">
        <v>553</v>
      </c>
      <c r="AK493" s="3" t="s">
        <v>248</v>
      </c>
    </row>
    <row r="494" spans="1:37" hidden="1" x14ac:dyDescent="0.25">
      <c r="A494" t="str">
        <f t="shared" si="7"/>
        <v>2022_NSW_WaggaWagga_Chickpea_DetailedTOS1VarietyHatTrickWaterTrtIrrigated</v>
      </c>
      <c r="B494" s="2">
        <v>2022003</v>
      </c>
      <c r="C494" s="3" t="s">
        <v>513</v>
      </c>
      <c r="D494" s="3" t="s">
        <v>248</v>
      </c>
      <c r="F494" s="3" t="s">
        <v>4178</v>
      </c>
      <c r="G494" s="3" t="s">
        <v>39</v>
      </c>
      <c r="H494" s="3" t="s">
        <v>253</v>
      </c>
      <c r="I494" s="2">
        <v>39</v>
      </c>
      <c r="J494" s="2">
        <v>20</v>
      </c>
      <c r="K494" s="2">
        <v>3</v>
      </c>
      <c r="O494" s="2">
        <v>5</v>
      </c>
      <c r="U494" s="2">
        <v>4</v>
      </c>
      <c r="V494" s="2">
        <v>18</v>
      </c>
      <c r="W494" s="2">
        <v>4</v>
      </c>
      <c r="X494" s="2">
        <v>9</v>
      </c>
      <c r="AA494" s="3" t="s">
        <v>57</v>
      </c>
      <c r="AB494" s="2">
        <v>3</v>
      </c>
      <c r="AF494" s="2">
        <v>30</v>
      </c>
      <c r="AG494" s="2">
        <v>1</v>
      </c>
      <c r="AH494" s="3" t="s">
        <v>523</v>
      </c>
      <c r="AI494" s="4">
        <v>44692</v>
      </c>
      <c r="AJ494" s="3" t="s">
        <v>554</v>
      </c>
      <c r="AK494" s="3" t="s">
        <v>248</v>
      </c>
    </row>
    <row r="495" spans="1:37" hidden="1" x14ac:dyDescent="0.25">
      <c r="A495" t="str">
        <f t="shared" si="7"/>
        <v>2022_NSW_WaggaWagga_Chickpea_DetailedTOS1VarietyHatTrickWaterTrtIrrigated</v>
      </c>
      <c r="B495" s="2">
        <v>2022003</v>
      </c>
      <c r="C495" s="3" t="s">
        <v>513</v>
      </c>
      <c r="D495" s="3" t="s">
        <v>248</v>
      </c>
      <c r="F495" s="3" t="s">
        <v>4178</v>
      </c>
      <c r="G495" s="3" t="s">
        <v>39</v>
      </c>
      <c r="H495" s="3" t="s">
        <v>250</v>
      </c>
      <c r="I495" s="2">
        <v>40</v>
      </c>
      <c r="J495" s="2">
        <v>20</v>
      </c>
      <c r="K495" s="2">
        <v>3</v>
      </c>
      <c r="O495" s="2">
        <v>5</v>
      </c>
      <c r="U495" s="2">
        <v>4</v>
      </c>
      <c r="V495" s="2">
        <v>19</v>
      </c>
      <c r="W495" s="2">
        <v>4</v>
      </c>
      <c r="X495" s="2">
        <v>10</v>
      </c>
      <c r="Z495" s="2">
        <v>36</v>
      </c>
      <c r="AA495" s="3" t="s">
        <v>57</v>
      </c>
      <c r="AB495" s="2">
        <v>3</v>
      </c>
      <c r="AF495" s="2">
        <v>30</v>
      </c>
      <c r="AG495" s="2">
        <v>1</v>
      </c>
      <c r="AH495" s="3" t="s">
        <v>523</v>
      </c>
      <c r="AI495" s="4">
        <v>44692</v>
      </c>
      <c r="AJ495" s="3" t="s">
        <v>555</v>
      </c>
      <c r="AK495" s="3" t="s">
        <v>248</v>
      </c>
    </row>
    <row r="496" spans="1:37" hidden="1" x14ac:dyDescent="0.25">
      <c r="A496" t="str">
        <f t="shared" si="7"/>
        <v>2022_NSW_WaggaWagga_Chickpea_DetailedTOS2VarietyHatTrickWaterTrtIrrigated</v>
      </c>
      <c r="B496" s="2">
        <v>2022003</v>
      </c>
      <c r="C496" s="3" t="s">
        <v>513</v>
      </c>
      <c r="D496" s="3" t="s">
        <v>248</v>
      </c>
      <c r="F496" s="3" t="s">
        <v>4178</v>
      </c>
      <c r="G496" s="3" t="s">
        <v>39</v>
      </c>
      <c r="H496" s="3" t="s">
        <v>253</v>
      </c>
      <c r="I496" s="2">
        <v>41</v>
      </c>
      <c r="J496" s="2">
        <v>21</v>
      </c>
      <c r="K496" s="2">
        <v>3</v>
      </c>
      <c r="O496" s="2">
        <v>6</v>
      </c>
      <c r="U496" s="2">
        <v>1</v>
      </c>
      <c r="V496" s="2">
        <v>22</v>
      </c>
      <c r="W496" s="2">
        <v>1</v>
      </c>
      <c r="X496" s="2">
        <v>11</v>
      </c>
      <c r="AA496" s="3" t="s">
        <v>57</v>
      </c>
      <c r="AB496" s="2">
        <v>3</v>
      </c>
      <c r="AF496" s="2">
        <v>30</v>
      </c>
      <c r="AG496" s="2">
        <v>2</v>
      </c>
      <c r="AH496" s="3" t="s">
        <v>514</v>
      </c>
      <c r="AI496" s="4">
        <v>44727</v>
      </c>
      <c r="AJ496" s="3" t="s">
        <v>556</v>
      </c>
      <c r="AK496" s="3" t="s">
        <v>248</v>
      </c>
    </row>
    <row r="497" spans="1:37" hidden="1" x14ac:dyDescent="0.25">
      <c r="A497" t="str">
        <f t="shared" si="7"/>
        <v>2022_NSW_WaggaWagga_Chickpea_DetailedTOS2VarietyHatTrickWaterTrtIrrigated</v>
      </c>
      <c r="B497" s="2">
        <v>2022003</v>
      </c>
      <c r="C497" s="3" t="s">
        <v>513</v>
      </c>
      <c r="D497" s="3" t="s">
        <v>248</v>
      </c>
      <c r="F497" s="3" t="s">
        <v>4178</v>
      </c>
      <c r="G497" s="3" t="s">
        <v>39</v>
      </c>
      <c r="H497" s="3" t="s">
        <v>250</v>
      </c>
      <c r="I497" s="2">
        <v>42</v>
      </c>
      <c r="J497" s="2">
        <v>21</v>
      </c>
      <c r="K497" s="2">
        <v>3</v>
      </c>
      <c r="O497" s="2">
        <v>6</v>
      </c>
      <c r="U497" s="2">
        <v>1</v>
      </c>
      <c r="V497" s="2">
        <v>23</v>
      </c>
      <c r="W497" s="2">
        <v>1</v>
      </c>
      <c r="X497" s="2">
        <v>12</v>
      </c>
      <c r="Z497" s="2">
        <v>48</v>
      </c>
      <c r="AA497" s="3" t="s">
        <v>57</v>
      </c>
      <c r="AB497" s="2">
        <v>3</v>
      </c>
      <c r="AF497" s="2">
        <v>30</v>
      </c>
      <c r="AG497" s="2">
        <v>2</v>
      </c>
      <c r="AH497" s="3" t="s">
        <v>514</v>
      </c>
      <c r="AI497" s="4">
        <v>44727</v>
      </c>
      <c r="AJ497" s="3" t="s">
        <v>557</v>
      </c>
      <c r="AK497" s="3" t="s">
        <v>248</v>
      </c>
    </row>
    <row r="498" spans="1:37" hidden="1" x14ac:dyDescent="0.25">
      <c r="A498" t="str">
        <f t="shared" si="7"/>
        <v>2022_NSW_WaggaWagga_Chickpea_DetailedTOS2VarietyStrikerWaterTrtIrrigated</v>
      </c>
      <c r="B498" s="2">
        <v>2022003</v>
      </c>
      <c r="C498" s="3" t="s">
        <v>513</v>
      </c>
      <c r="D498" s="3" t="s">
        <v>248</v>
      </c>
      <c r="F498" s="3" t="s">
        <v>4179</v>
      </c>
      <c r="G498" s="3" t="s">
        <v>43</v>
      </c>
      <c r="H498" s="3" t="s">
        <v>253</v>
      </c>
      <c r="I498" s="2">
        <v>43</v>
      </c>
      <c r="J498" s="2">
        <v>22</v>
      </c>
      <c r="K498" s="2">
        <v>3</v>
      </c>
      <c r="O498" s="2">
        <v>6</v>
      </c>
      <c r="U498" s="2">
        <v>2</v>
      </c>
      <c r="V498" s="2">
        <v>22</v>
      </c>
      <c r="W498" s="2">
        <v>2</v>
      </c>
      <c r="X498" s="2">
        <v>11</v>
      </c>
      <c r="AA498" s="3" t="s">
        <v>57</v>
      </c>
      <c r="AB498" s="2">
        <v>4</v>
      </c>
      <c r="AF498" s="2">
        <v>30</v>
      </c>
      <c r="AG498" s="2">
        <v>2</v>
      </c>
      <c r="AH498" s="3" t="s">
        <v>514</v>
      </c>
      <c r="AI498" s="4">
        <v>44727</v>
      </c>
      <c r="AJ498" s="3" t="s">
        <v>558</v>
      </c>
      <c r="AK498" s="3" t="s">
        <v>248</v>
      </c>
    </row>
    <row r="499" spans="1:37" hidden="1" x14ac:dyDescent="0.25">
      <c r="A499" t="str">
        <f t="shared" si="7"/>
        <v>2022_NSW_WaggaWagga_Chickpea_DetailedTOS2VarietyStrikerWaterTrtIrrigated</v>
      </c>
      <c r="B499" s="2">
        <v>2022003</v>
      </c>
      <c r="C499" s="3" t="s">
        <v>513</v>
      </c>
      <c r="D499" s="3" t="s">
        <v>248</v>
      </c>
      <c r="F499" s="3" t="s">
        <v>4179</v>
      </c>
      <c r="G499" s="3" t="s">
        <v>43</v>
      </c>
      <c r="H499" s="3" t="s">
        <v>250</v>
      </c>
      <c r="I499" s="2">
        <v>44</v>
      </c>
      <c r="J499" s="2">
        <v>22</v>
      </c>
      <c r="K499" s="2">
        <v>3</v>
      </c>
      <c r="O499" s="2">
        <v>6</v>
      </c>
      <c r="U499" s="2">
        <v>2</v>
      </c>
      <c r="V499" s="2">
        <v>23</v>
      </c>
      <c r="W499" s="2">
        <v>2</v>
      </c>
      <c r="X499" s="2">
        <v>12</v>
      </c>
      <c r="Z499" s="2">
        <v>47</v>
      </c>
      <c r="AA499" s="3" t="s">
        <v>57</v>
      </c>
      <c r="AB499" s="2">
        <v>4</v>
      </c>
      <c r="AF499" s="2">
        <v>30</v>
      </c>
      <c r="AG499" s="2">
        <v>2</v>
      </c>
      <c r="AH499" s="3" t="s">
        <v>514</v>
      </c>
      <c r="AI499" s="4">
        <v>44727</v>
      </c>
      <c r="AJ499" s="3" t="s">
        <v>559</v>
      </c>
      <c r="AK499" s="3" t="s">
        <v>248</v>
      </c>
    </row>
    <row r="500" spans="1:37" hidden="1" x14ac:dyDescent="0.25">
      <c r="A500" t="str">
        <f t="shared" si="7"/>
        <v>2022_NSW_WaggaWagga_Chickpea_DetailedTOS2VarietyDrummondWaterTrtIrrigated</v>
      </c>
      <c r="B500" s="2">
        <v>2022003</v>
      </c>
      <c r="C500" s="3" t="s">
        <v>513</v>
      </c>
      <c r="D500" s="3" t="s">
        <v>248</v>
      </c>
      <c r="F500" s="3" t="s">
        <v>4182</v>
      </c>
      <c r="G500" s="3" t="s">
        <v>39</v>
      </c>
      <c r="H500" s="3" t="s">
        <v>253</v>
      </c>
      <c r="I500" s="2">
        <v>45</v>
      </c>
      <c r="J500" s="2">
        <v>23</v>
      </c>
      <c r="K500" s="2">
        <v>3</v>
      </c>
      <c r="O500" s="2">
        <v>6</v>
      </c>
      <c r="U500" s="2">
        <v>3</v>
      </c>
      <c r="V500" s="2">
        <v>22</v>
      </c>
      <c r="W500" s="2">
        <v>3</v>
      </c>
      <c r="X500" s="2">
        <v>11</v>
      </c>
      <c r="AA500" s="3" t="s">
        <v>57</v>
      </c>
      <c r="AB500" s="2">
        <v>2</v>
      </c>
      <c r="AF500" s="2">
        <v>30</v>
      </c>
      <c r="AG500" s="2">
        <v>2</v>
      </c>
      <c r="AH500" s="3" t="s">
        <v>514</v>
      </c>
      <c r="AI500" s="4">
        <v>44727</v>
      </c>
      <c r="AJ500" s="3" t="s">
        <v>560</v>
      </c>
      <c r="AK500" s="3" t="s">
        <v>248</v>
      </c>
    </row>
    <row r="501" spans="1:37" hidden="1" x14ac:dyDescent="0.25">
      <c r="A501" t="str">
        <f t="shared" si="7"/>
        <v>2022_NSW_WaggaWagga_Chickpea_DetailedTOS2VarietyDrummondWaterTrtIrrigated</v>
      </c>
      <c r="B501" s="2">
        <v>2022003</v>
      </c>
      <c r="C501" s="3" t="s">
        <v>513</v>
      </c>
      <c r="D501" s="3" t="s">
        <v>248</v>
      </c>
      <c r="F501" s="3" t="s">
        <v>4182</v>
      </c>
      <c r="G501" s="3" t="s">
        <v>39</v>
      </c>
      <c r="H501" s="3" t="s">
        <v>250</v>
      </c>
      <c r="I501" s="2">
        <v>46</v>
      </c>
      <c r="J501" s="2">
        <v>23</v>
      </c>
      <c r="K501" s="2">
        <v>3</v>
      </c>
      <c r="O501" s="2">
        <v>6</v>
      </c>
      <c r="U501" s="2">
        <v>3</v>
      </c>
      <c r="V501" s="2">
        <v>23</v>
      </c>
      <c r="W501" s="2">
        <v>3</v>
      </c>
      <c r="X501" s="2">
        <v>12</v>
      </c>
      <c r="Z501" s="2">
        <v>46</v>
      </c>
      <c r="AA501" s="3" t="s">
        <v>57</v>
      </c>
      <c r="AB501" s="2">
        <v>2</v>
      </c>
      <c r="AF501" s="2">
        <v>30</v>
      </c>
      <c r="AG501" s="2">
        <v>2</v>
      </c>
      <c r="AH501" s="3" t="s">
        <v>514</v>
      </c>
      <c r="AI501" s="4">
        <v>44727</v>
      </c>
      <c r="AJ501" s="3" t="s">
        <v>561</v>
      </c>
      <c r="AK501" s="3" t="s">
        <v>248</v>
      </c>
    </row>
    <row r="502" spans="1:37" hidden="1" x14ac:dyDescent="0.25">
      <c r="A502" t="str">
        <f t="shared" si="7"/>
        <v>2022_NSW_WaggaWagga_Chickpea_DetailedTOS2VarietyCBA_CaptainWaterTrtIrrigated</v>
      </c>
      <c r="B502" s="2">
        <v>2022003</v>
      </c>
      <c r="C502" s="3" t="s">
        <v>513</v>
      </c>
      <c r="D502" s="3" t="s">
        <v>248</v>
      </c>
      <c r="F502" s="3" t="s">
        <v>249</v>
      </c>
      <c r="G502" s="3" t="s">
        <v>43</v>
      </c>
      <c r="H502" s="3" t="s">
        <v>253</v>
      </c>
      <c r="I502" s="2">
        <v>47</v>
      </c>
      <c r="J502" s="2">
        <v>24</v>
      </c>
      <c r="K502" s="2">
        <v>3</v>
      </c>
      <c r="O502" s="2">
        <v>6</v>
      </c>
      <c r="U502" s="2">
        <v>4</v>
      </c>
      <c r="V502" s="2">
        <v>22</v>
      </c>
      <c r="W502" s="2">
        <v>4</v>
      </c>
      <c r="X502" s="2">
        <v>11</v>
      </c>
      <c r="AA502" s="3" t="s">
        <v>57</v>
      </c>
      <c r="AB502" s="2">
        <v>1</v>
      </c>
      <c r="AF502" s="2">
        <v>30</v>
      </c>
      <c r="AG502" s="2">
        <v>2</v>
      </c>
      <c r="AH502" s="3" t="s">
        <v>514</v>
      </c>
      <c r="AI502" s="4">
        <v>44727</v>
      </c>
      <c r="AJ502" s="3" t="s">
        <v>562</v>
      </c>
      <c r="AK502" s="3" t="s">
        <v>248</v>
      </c>
    </row>
    <row r="503" spans="1:37" hidden="1" x14ac:dyDescent="0.25">
      <c r="A503" t="str">
        <f t="shared" si="7"/>
        <v>2022_NSW_WaggaWagga_Chickpea_DetailedTOS2VarietyCBA_CaptainWaterTrtIrrigated</v>
      </c>
      <c r="B503" s="2">
        <v>2022003</v>
      </c>
      <c r="C503" s="3" t="s">
        <v>513</v>
      </c>
      <c r="D503" s="3" t="s">
        <v>248</v>
      </c>
      <c r="F503" s="3" t="s">
        <v>249</v>
      </c>
      <c r="G503" s="3" t="s">
        <v>43</v>
      </c>
      <c r="H503" s="3" t="s">
        <v>250</v>
      </c>
      <c r="I503" s="2">
        <v>48</v>
      </c>
      <c r="J503" s="2">
        <v>24</v>
      </c>
      <c r="K503" s="2">
        <v>3</v>
      </c>
      <c r="O503" s="2">
        <v>6</v>
      </c>
      <c r="U503" s="2">
        <v>4</v>
      </c>
      <c r="V503" s="2">
        <v>23</v>
      </c>
      <c r="W503" s="2">
        <v>4</v>
      </c>
      <c r="X503" s="2">
        <v>12</v>
      </c>
      <c r="Z503" s="2">
        <v>45</v>
      </c>
      <c r="AA503" s="3" t="s">
        <v>57</v>
      </c>
      <c r="AB503" s="2">
        <v>1</v>
      </c>
      <c r="AF503" s="2">
        <v>30</v>
      </c>
      <c r="AG503" s="2">
        <v>2</v>
      </c>
      <c r="AH503" s="3" t="s">
        <v>514</v>
      </c>
      <c r="AI503" s="4">
        <v>44727</v>
      </c>
      <c r="AJ503" s="3" t="s">
        <v>563</v>
      </c>
      <c r="AK503" s="3" t="s">
        <v>248</v>
      </c>
    </row>
    <row r="504" spans="1:37" hidden="1" x14ac:dyDescent="0.25">
      <c r="A504" t="str">
        <f t="shared" si="7"/>
        <v>2022_NSW_WaggaWagga_Chickpea_DetailedTOS2VarietyStrikerWaterTrtIrrigated</v>
      </c>
      <c r="B504" s="2">
        <v>2022003</v>
      </c>
      <c r="C504" s="3" t="s">
        <v>513</v>
      </c>
      <c r="D504" s="3" t="s">
        <v>248</v>
      </c>
      <c r="F504" s="3" t="s">
        <v>4179</v>
      </c>
      <c r="G504" s="3" t="s">
        <v>43</v>
      </c>
      <c r="H504" s="3" t="s">
        <v>253</v>
      </c>
      <c r="I504" s="2">
        <v>49</v>
      </c>
      <c r="J504" s="2">
        <v>25</v>
      </c>
      <c r="K504" s="2">
        <v>4</v>
      </c>
      <c r="O504" s="2">
        <v>7</v>
      </c>
      <c r="U504" s="2">
        <v>1</v>
      </c>
      <c r="V504" s="2">
        <v>26</v>
      </c>
      <c r="W504" s="2">
        <v>1</v>
      </c>
      <c r="X504" s="2">
        <v>13</v>
      </c>
      <c r="AA504" s="3" t="s">
        <v>57</v>
      </c>
      <c r="AB504" s="2">
        <v>4</v>
      </c>
      <c r="AF504" s="2">
        <v>30</v>
      </c>
      <c r="AG504" s="2">
        <v>2</v>
      </c>
      <c r="AH504" s="3" t="s">
        <v>514</v>
      </c>
      <c r="AI504" s="4">
        <v>44727</v>
      </c>
      <c r="AJ504" s="3" t="s">
        <v>564</v>
      </c>
      <c r="AK504" s="3" t="s">
        <v>248</v>
      </c>
    </row>
    <row r="505" spans="1:37" hidden="1" x14ac:dyDescent="0.25">
      <c r="A505" t="str">
        <f t="shared" si="7"/>
        <v>2022_NSW_WaggaWagga_Chickpea_DetailedTOS2VarietyStrikerWaterTrtIrrigated</v>
      </c>
      <c r="B505" s="2">
        <v>2022003</v>
      </c>
      <c r="C505" s="3" t="s">
        <v>513</v>
      </c>
      <c r="D505" s="3" t="s">
        <v>248</v>
      </c>
      <c r="F505" s="3" t="s">
        <v>4179</v>
      </c>
      <c r="G505" s="3" t="s">
        <v>43</v>
      </c>
      <c r="H505" s="3" t="s">
        <v>250</v>
      </c>
      <c r="I505" s="2">
        <v>50</v>
      </c>
      <c r="J505" s="2">
        <v>25</v>
      </c>
      <c r="K505" s="2">
        <v>4</v>
      </c>
      <c r="O505" s="2">
        <v>7</v>
      </c>
      <c r="U505" s="2">
        <v>1</v>
      </c>
      <c r="V505" s="2">
        <v>27</v>
      </c>
      <c r="W505" s="2">
        <v>1</v>
      </c>
      <c r="X505" s="2">
        <v>14</v>
      </c>
      <c r="Z505" s="2">
        <v>49</v>
      </c>
      <c r="AA505" s="3" t="s">
        <v>57</v>
      </c>
      <c r="AB505" s="2">
        <v>4</v>
      </c>
      <c r="AF505" s="2">
        <v>30</v>
      </c>
      <c r="AG505" s="2">
        <v>2</v>
      </c>
      <c r="AH505" s="3" t="s">
        <v>514</v>
      </c>
      <c r="AI505" s="4">
        <v>44727</v>
      </c>
      <c r="AJ505" s="3" t="s">
        <v>565</v>
      </c>
      <c r="AK505" s="3" t="s">
        <v>248</v>
      </c>
    </row>
    <row r="506" spans="1:37" hidden="1" x14ac:dyDescent="0.25">
      <c r="A506" t="str">
        <f t="shared" si="7"/>
        <v>2022_NSW_WaggaWagga_Chickpea_DetailedTOS2VarietyCBA_CaptainWaterTrtIrrigated</v>
      </c>
      <c r="B506" s="2">
        <v>2022003</v>
      </c>
      <c r="C506" s="3" t="s">
        <v>513</v>
      </c>
      <c r="D506" s="3" t="s">
        <v>248</v>
      </c>
      <c r="F506" s="3" t="s">
        <v>249</v>
      </c>
      <c r="G506" s="3" t="s">
        <v>43</v>
      </c>
      <c r="H506" s="3" t="s">
        <v>253</v>
      </c>
      <c r="I506" s="2">
        <v>51</v>
      </c>
      <c r="J506" s="2">
        <v>26</v>
      </c>
      <c r="K506" s="2">
        <v>4</v>
      </c>
      <c r="O506" s="2">
        <v>7</v>
      </c>
      <c r="U506" s="2">
        <v>2</v>
      </c>
      <c r="V506" s="2">
        <v>26</v>
      </c>
      <c r="W506" s="2">
        <v>2</v>
      </c>
      <c r="X506" s="2">
        <v>13</v>
      </c>
      <c r="AA506" s="3" t="s">
        <v>57</v>
      </c>
      <c r="AB506" s="2">
        <v>1</v>
      </c>
      <c r="AF506" s="2">
        <v>30</v>
      </c>
      <c r="AG506" s="2">
        <v>2</v>
      </c>
      <c r="AH506" s="3" t="s">
        <v>514</v>
      </c>
      <c r="AI506" s="4">
        <v>44727</v>
      </c>
      <c r="AJ506" s="3" t="s">
        <v>566</v>
      </c>
      <c r="AK506" s="3" t="s">
        <v>248</v>
      </c>
    </row>
    <row r="507" spans="1:37" hidden="1" x14ac:dyDescent="0.25">
      <c r="A507" t="str">
        <f t="shared" si="7"/>
        <v>2022_NSW_WaggaWagga_Chickpea_DetailedTOS2VarietyCBA_CaptainWaterTrtIrrigated</v>
      </c>
      <c r="B507" s="2">
        <v>2022003</v>
      </c>
      <c r="C507" s="3" t="s">
        <v>513</v>
      </c>
      <c r="D507" s="3" t="s">
        <v>248</v>
      </c>
      <c r="F507" s="3" t="s">
        <v>249</v>
      </c>
      <c r="G507" s="3" t="s">
        <v>43</v>
      </c>
      <c r="H507" s="3" t="s">
        <v>250</v>
      </c>
      <c r="I507" s="2">
        <v>52</v>
      </c>
      <c r="J507" s="2">
        <v>26</v>
      </c>
      <c r="K507" s="2">
        <v>4</v>
      </c>
      <c r="O507" s="2">
        <v>7</v>
      </c>
      <c r="U507" s="2">
        <v>2</v>
      </c>
      <c r="V507" s="2">
        <v>27</v>
      </c>
      <c r="W507" s="2">
        <v>2</v>
      </c>
      <c r="X507" s="2">
        <v>14</v>
      </c>
      <c r="Z507" s="2">
        <v>50</v>
      </c>
      <c r="AA507" s="3" t="s">
        <v>57</v>
      </c>
      <c r="AB507" s="2">
        <v>1</v>
      </c>
      <c r="AF507" s="2">
        <v>30</v>
      </c>
      <c r="AG507" s="2">
        <v>2</v>
      </c>
      <c r="AH507" s="3" t="s">
        <v>514</v>
      </c>
      <c r="AI507" s="4">
        <v>44727</v>
      </c>
      <c r="AJ507" s="3" t="s">
        <v>567</v>
      </c>
      <c r="AK507" s="3" t="s">
        <v>248</v>
      </c>
    </row>
    <row r="508" spans="1:37" hidden="1" x14ac:dyDescent="0.25">
      <c r="A508" t="str">
        <f t="shared" si="7"/>
        <v>2022_NSW_WaggaWagga_Chickpea_DetailedTOS2VarietyHatTrickWaterTrtIrrigated</v>
      </c>
      <c r="B508" s="2">
        <v>2022003</v>
      </c>
      <c r="C508" s="3" t="s">
        <v>513</v>
      </c>
      <c r="D508" s="3" t="s">
        <v>248</v>
      </c>
      <c r="F508" s="3" t="s">
        <v>4178</v>
      </c>
      <c r="G508" s="3" t="s">
        <v>39</v>
      </c>
      <c r="H508" s="3" t="s">
        <v>253</v>
      </c>
      <c r="I508" s="2">
        <v>53</v>
      </c>
      <c r="J508" s="2">
        <v>27</v>
      </c>
      <c r="K508" s="2">
        <v>4</v>
      </c>
      <c r="O508" s="2">
        <v>7</v>
      </c>
      <c r="U508" s="2">
        <v>3</v>
      </c>
      <c r="V508" s="2">
        <v>26</v>
      </c>
      <c r="W508" s="2">
        <v>3</v>
      </c>
      <c r="X508" s="2">
        <v>13</v>
      </c>
      <c r="AA508" s="3" t="s">
        <v>57</v>
      </c>
      <c r="AB508" s="2">
        <v>3</v>
      </c>
      <c r="AF508" s="2">
        <v>30</v>
      </c>
      <c r="AG508" s="2">
        <v>2</v>
      </c>
      <c r="AH508" s="3" t="s">
        <v>514</v>
      </c>
      <c r="AI508" s="4">
        <v>44727</v>
      </c>
      <c r="AJ508" s="3" t="s">
        <v>568</v>
      </c>
      <c r="AK508" s="3" t="s">
        <v>248</v>
      </c>
    </row>
    <row r="509" spans="1:37" hidden="1" x14ac:dyDescent="0.25">
      <c r="A509" t="str">
        <f t="shared" si="7"/>
        <v>2022_NSW_WaggaWagga_Chickpea_DetailedTOS2VarietyHatTrickWaterTrtIrrigated</v>
      </c>
      <c r="B509" s="2">
        <v>2022003</v>
      </c>
      <c r="C509" s="3" t="s">
        <v>513</v>
      </c>
      <c r="D509" s="3" t="s">
        <v>248</v>
      </c>
      <c r="F509" s="3" t="s">
        <v>4178</v>
      </c>
      <c r="G509" s="3" t="s">
        <v>39</v>
      </c>
      <c r="H509" s="3" t="s">
        <v>250</v>
      </c>
      <c r="I509" s="2">
        <v>54</v>
      </c>
      <c r="J509" s="2">
        <v>27</v>
      </c>
      <c r="K509" s="2">
        <v>4</v>
      </c>
      <c r="O509" s="2">
        <v>7</v>
      </c>
      <c r="U509" s="2">
        <v>3</v>
      </c>
      <c r="V509" s="2">
        <v>27</v>
      </c>
      <c r="W509" s="2">
        <v>3</v>
      </c>
      <c r="X509" s="2">
        <v>14</v>
      </c>
      <c r="Z509" s="2">
        <v>51</v>
      </c>
      <c r="AA509" s="3" t="s">
        <v>57</v>
      </c>
      <c r="AB509" s="2">
        <v>3</v>
      </c>
      <c r="AF509" s="2">
        <v>30</v>
      </c>
      <c r="AG509" s="2">
        <v>2</v>
      </c>
      <c r="AH509" s="3" t="s">
        <v>514</v>
      </c>
      <c r="AI509" s="4">
        <v>44727</v>
      </c>
      <c r="AJ509" s="3" t="s">
        <v>569</v>
      </c>
      <c r="AK509" s="3" t="s">
        <v>248</v>
      </c>
    </row>
    <row r="510" spans="1:37" hidden="1" x14ac:dyDescent="0.25">
      <c r="A510" t="str">
        <f t="shared" si="7"/>
        <v>2022_NSW_WaggaWagga_Chickpea_DetailedTOS2VarietyDrummondWaterTrtIrrigated</v>
      </c>
      <c r="B510" s="2">
        <v>2022003</v>
      </c>
      <c r="C510" s="3" t="s">
        <v>513</v>
      </c>
      <c r="D510" s="3" t="s">
        <v>248</v>
      </c>
      <c r="F510" s="3" t="s">
        <v>4182</v>
      </c>
      <c r="G510" s="3" t="s">
        <v>39</v>
      </c>
      <c r="H510" s="3" t="s">
        <v>253</v>
      </c>
      <c r="I510" s="2">
        <v>55</v>
      </c>
      <c r="J510" s="2">
        <v>28</v>
      </c>
      <c r="K510" s="2">
        <v>4</v>
      </c>
      <c r="O510" s="2">
        <v>7</v>
      </c>
      <c r="U510" s="2">
        <v>4</v>
      </c>
      <c r="V510" s="2">
        <v>26</v>
      </c>
      <c r="W510" s="2">
        <v>4</v>
      </c>
      <c r="X510" s="2">
        <v>13</v>
      </c>
      <c r="AA510" s="3" t="s">
        <v>57</v>
      </c>
      <c r="AB510" s="2">
        <v>2</v>
      </c>
      <c r="AF510" s="2">
        <v>30</v>
      </c>
      <c r="AG510" s="2">
        <v>2</v>
      </c>
      <c r="AH510" s="3" t="s">
        <v>514</v>
      </c>
      <c r="AI510" s="4">
        <v>44727</v>
      </c>
      <c r="AJ510" s="3" t="s">
        <v>570</v>
      </c>
      <c r="AK510" s="3" t="s">
        <v>248</v>
      </c>
    </row>
    <row r="511" spans="1:37" hidden="1" x14ac:dyDescent="0.25">
      <c r="A511" t="str">
        <f t="shared" si="7"/>
        <v>2022_NSW_WaggaWagga_Chickpea_DetailedTOS2VarietyDrummondWaterTrtIrrigated</v>
      </c>
      <c r="B511" s="2">
        <v>2022003</v>
      </c>
      <c r="C511" s="3" t="s">
        <v>513</v>
      </c>
      <c r="D511" s="3" t="s">
        <v>248</v>
      </c>
      <c r="F511" s="3" t="s">
        <v>4182</v>
      </c>
      <c r="G511" s="3" t="s">
        <v>39</v>
      </c>
      <c r="H511" s="3" t="s">
        <v>250</v>
      </c>
      <c r="I511" s="2">
        <v>56</v>
      </c>
      <c r="J511" s="2">
        <v>28</v>
      </c>
      <c r="K511" s="2">
        <v>4</v>
      </c>
      <c r="O511" s="2">
        <v>7</v>
      </c>
      <c r="U511" s="2">
        <v>4</v>
      </c>
      <c r="V511" s="2">
        <v>27</v>
      </c>
      <c r="W511" s="2">
        <v>4</v>
      </c>
      <c r="X511" s="2">
        <v>14</v>
      </c>
      <c r="Z511" s="2">
        <v>52</v>
      </c>
      <c r="AA511" s="3" t="s">
        <v>57</v>
      </c>
      <c r="AB511" s="2">
        <v>2</v>
      </c>
      <c r="AF511" s="2">
        <v>30</v>
      </c>
      <c r="AG511" s="2">
        <v>2</v>
      </c>
      <c r="AH511" s="3" t="s">
        <v>514</v>
      </c>
      <c r="AI511" s="4">
        <v>44727</v>
      </c>
      <c r="AJ511" s="3" t="s">
        <v>571</v>
      </c>
      <c r="AK511" s="3" t="s">
        <v>248</v>
      </c>
    </row>
    <row r="512" spans="1:37" hidden="1" x14ac:dyDescent="0.25">
      <c r="A512" t="str">
        <f t="shared" si="7"/>
        <v>2022_NSW_WaggaWagga_Chickpea_DetailedTOS1VarietyCBA_CaptainWaterTrtIrrigated</v>
      </c>
      <c r="B512" s="2">
        <v>2022003</v>
      </c>
      <c r="C512" s="3" t="s">
        <v>513</v>
      </c>
      <c r="D512" s="3" t="s">
        <v>248</v>
      </c>
      <c r="F512" s="3" t="s">
        <v>249</v>
      </c>
      <c r="G512" s="3" t="s">
        <v>43</v>
      </c>
      <c r="H512" s="3" t="s">
        <v>253</v>
      </c>
      <c r="I512" s="2">
        <v>57</v>
      </c>
      <c r="J512" s="2">
        <v>29</v>
      </c>
      <c r="K512" s="2">
        <v>4</v>
      </c>
      <c r="O512" s="2">
        <v>8</v>
      </c>
      <c r="U512" s="2">
        <v>1</v>
      </c>
      <c r="V512" s="2">
        <v>30</v>
      </c>
      <c r="W512" s="2">
        <v>1</v>
      </c>
      <c r="X512" s="2">
        <v>15</v>
      </c>
      <c r="AA512" s="3" t="s">
        <v>57</v>
      </c>
      <c r="AB512" s="2">
        <v>1</v>
      </c>
      <c r="AF512" s="2">
        <v>30</v>
      </c>
      <c r="AG512" s="2">
        <v>1</v>
      </c>
      <c r="AH512" s="3" t="s">
        <v>523</v>
      </c>
      <c r="AI512" s="4">
        <v>44692</v>
      </c>
      <c r="AJ512" s="3" t="s">
        <v>572</v>
      </c>
      <c r="AK512" s="3" t="s">
        <v>248</v>
      </c>
    </row>
    <row r="513" spans="1:37" hidden="1" x14ac:dyDescent="0.25">
      <c r="A513" t="str">
        <f t="shared" si="7"/>
        <v>2022_NSW_WaggaWagga_Chickpea_DetailedTOS1VarietyCBA_CaptainWaterTrtIrrigated</v>
      </c>
      <c r="B513" s="2">
        <v>2022003</v>
      </c>
      <c r="C513" s="3" t="s">
        <v>513</v>
      </c>
      <c r="D513" s="3" t="s">
        <v>248</v>
      </c>
      <c r="F513" s="3" t="s">
        <v>249</v>
      </c>
      <c r="G513" s="3" t="s">
        <v>43</v>
      </c>
      <c r="H513" s="3" t="s">
        <v>250</v>
      </c>
      <c r="I513" s="2">
        <v>58</v>
      </c>
      <c r="J513" s="2">
        <v>29</v>
      </c>
      <c r="K513" s="2">
        <v>4</v>
      </c>
      <c r="O513" s="2">
        <v>8</v>
      </c>
      <c r="U513" s="2">
        <v>1</v>
      </c>
      <c r="V513" s="2">
        <v>31</v>
      </c>
      <c r="W513" s="2">
        <v>1</v>
      </c>
      <c r="X513" s="2">
        <v>16</v>
      </c>
      <c r="Z513" s="2">
        <v>64</v>
      </c>
      <c r="AA513" s="3" t="s">
        <v>57</v>
      </c>
      <c r="AB513" s="2">
        <v>1</v>
      </c>
      <c r="AF513" s="2">
        <v>30</v>
      </c>
      <c r="AG513" s="2">
        <v>1</v>
      </c>
      <c r="AH513" s="3" t="s">
        <v>523</v>
      </c>
      <c r="AI513" s="4">
        <v>44692</v>
      </c>
      <c r="AJ513" s="3" t="s">
        <v>573</v>
      </c>
      <c r="AK513" s="3" t="s">
        <v>248</v>
      </c>
    </row>
    <row r="514" spans="1:37" hidden="1" x14ac:dyDescent="0.25">
      <c r="A514" t="str">
        <f t="shared" si="7"/>
        <v>2022_NSW_WaggaWagga_Chickpea_DetailedTOS1VarietyHatTrickWaterTrtIrrigated</v>
      </c>
      <c r="B514" s="2">
        <v>2022003</v>
      </c>
      <c r="C514" s="3" t="s">
        <v>513</v>
      </c>
      <c r="D514" s="3" t="s">
        <v>248</v>
      </c>
      <c r="F514" s="3" t="s">
        <v>4178</v>
      </c>
      <c r="G514" s="3" t="s">
        <v>39</v>
      </c>
      <c r="H514" s="3" t="s">
        <v>253</v>
      </c>
      <c r="I514" s="2">
        <v>59</v>
      </c>
      <c r="J514" s="2">
        <v>30</v>
      </c>
      <c r="K514" s="2">
        <v>4</v>
      </c>
      <c r="O514" s="2">
        <v>8</v>
      </c>
      <c r="U514" s="2">
        <v>2</v>
      </c>
      <c r="V514" s="2">
        <v>30</v>
      </c>
      <c r="W514" s="2">
        <v>2</v>
      </c>
      <c r="X514" s="2">
        <v>15</v>
      </c>
      <c r="AA514" s="3" t="s">
        <v>57</v>
      </c>
      <c r="AB514" s="2">
        <v>3</v>
      </c>
      <c r="AF514" s="2">
        <v>30</v>
      </c>
      <c r="AG514" s="2">
        <v>1</v>
      </c>
      <c r="AH514" s="3" t="s">
        <v>523</v>
      </c>
      <c r="AI514" s="4">
        <v>44692</v>
      </c>
      <c r="AJ514" s="3" t="s">
        <v>574</v>
      </c>
      <c r="AK514" s="3" t="s">
        <v>248</v>
      </c>
    </row>
    <row r="515" spans="1:37" hidden="1" x14ac:dyDescent="0.25">
      <c r="A515" t="str">
        <f t="shared" ref="A515:A578" si="8">C515&amp;"TOS"&amp;AG515&amp;"Variety"&amp;F515&amp;"WaterTrt"&amp;AA515&amp;IF(AC515="","","Agronomy"&amp;AC515)</f>
        <v>2022_NSW_WaggaWagga_Chickpea_DetailedTOS1VarietyHatTrickWaterTrtIrrigated</v>
      </c>
      <c r="B515" s="2">
        <v>2022003</v>
      </c>
      <c r="C515" s="3" t="s">
        <v>513</v>
      </c>
      <c r="D515" s="3" t="s">
        <v>248</v>
      </c>
      <c r="F515" s="3" t="s">
        <v>4178</v>
      </c>
      <c r="G515" s="3" t="s">
        <v>39</v>
      </c>
      <c r="H515" s="3" t="s">
        <v>250</v>
      </c>
      <c r="I515" s="2">
        <v>60</v>
      </c>
      <c r="J515" s="2">
        <v>30</v>
      </c>
      <c r="K515" s="2">
        <v>4</v>
      </c>
      <c r="O515" s="2">
        <v>8</v>
      </c>
      <c r="U515" s="2">
        <v>2</v>
      </c>
      <c r="V515" s="2">
        <v>31</v>
      </c>
      <c r="W515" s="2">
        <v>2</v>
      </c>
      <c r="X515" s="2">
        <v>16</v>
      </c>
      <c r="Z515" s="2">
        <v>63</v>
      </c>
      <c r="AA515" s="3" t="s">
        <v>57</v>
      </c>
      <c r="AB515" s="2">
        <v>3</v>
      </c>
      <c r="AF515" s="2">
        <v>30</v>
      </c>
      <c r="AG515" s="2">
        <v>1</v>
      </c>
      <c r="AH515" s="3" t="s">
        <v>523</v>
      </c>
      <c r="AI515" s="4">
        <v>44692</v>
      </c>
      <c r="AJ515" s="3" t="s">
        <v>575</v>
      </c>
      <c r="AK515" s="3" t="s">
        <v>248</v>
      </c>
    </row>
    <row r="516" spans="1:37" hidden="1" x14ac:dyDescent="0.25">
      <c r="A516" t="str">
        <f t="shared" si="8"/>
        <v>2022_NSW_WaggaWagga_Chickpea_DetailedTOS1VarietyDrummondWaterTrtIrrigated</v>
      </c>
      <c r="B516" s="2">
        <v>2022003</v>
      </c>
      <c r="C516" s="3" t="s">
        <v>513</v>
      </c>
      <c r="D516" s="3" t="s">
        <v>248</v>
      </c>
      <c r="F516" s="3" t="s">
        <v>4182</v>
      </c>
      <c r="G516" s="3" t="s">
        <v>39</v>
      </c>
      <c r="H516" s="3" t="s">
        <v>253</v>
      </c>
      <c r="I516" s="2">
        <v>61</v>
      </c>
      <c r="J516" s="2">
        <v>31</v>
      </c>
      <c r="K516" s="2">
        <v>4</v>
      </c>
      <c r="O516" s="2">
        <v>8</v>
      </c>
      <c r="U516" s="2">
        <v>3</v>
      </c>
      <c r="V516" s="2">
        <v>30</v>
      </c>
      <c r="W516" s="2">
        <v>3</v>
      </c>
      <c r="X516" s="2">
        <v>15</v>
      </c>
      <c r="AA516" s="3" t="s">
        <v>57</v>
      </c>
      <c r="AB516" s="2">
        <v>2</v>
      </c>
      <c r="AF516" s="2">
        <v>30</v>
      </c>
      <c r="AG516" s="2">
        <v>1</v>
      </c>
      <c r="AH516" s="3" t="s">
        <v>523</v>
      </c>
      <c r="AI516" s="4">
        <v>44692</v>
      </c>
      <c r="AJ516" s="3" t="s">
        <v>576</v>
      </c>
      <c r="AK516" s="3" t="s">
        <v>248</v>
      </c>
    </row>
    <row r="517" spans="1:37" hidden="1" x14ac:dyDescent="0.25">
      <c r="A517" t="str">
        <f t="shared" si="8"/>
        <v>2022_NSW_WaggaWagga_Chickpea_DetailedTOS1VarietyDrummondWaterTrtIrrigated</v>
      </c>
      <c r="B517" s="2">
        <v>2022003</v>
      </c>
      <c r="C517" s="3" t="s">
        <v>513</v>
      </c>
      <c r="D517" s="3" t="s">
        <v>248</v>
      </c>
      <c r="F517" s="3" t="s">
        <v>4182</v>
      </c>
      <c r="G517" s="3" t="s">
        <v>39</v>
      </c>
      <c r="H517" s="3" t="s">
        <v>250</v>
      </c>
      <c r="I517" s="2">
        <v>62</v>
      </c>
      <c r="J517" s="2">
        <v>31</v>
      </c>
      <c r="K517" s="2">
        <v>4</v>
      </c>
      <c r="O517" s="2">
        <v>8</v>
      </c>
      <c r="U517" s="2">
        <v>3</v>
      </c>
      <c r="V517" s="2">
        <v>31</v>
      </c>
      <c r="W517" s="2">
        <v>3</v>
      </c>
      <c r="X517" s="2">
        <v>16</v>
      </c>
      <c r="Z517" s="2">
        <v>62</v>
      </c>
      <c r="AA517" s="3" t="s">
        <v>57</v>
      </c>
      <c r="AB517" s="2">
        <v>2</v>
      </c>
      <c r="AF517" s="2">
        <v>30</v>
      </c>
      <c r="AG517" s="2">
        <v>1</v>
      </c>
      <c r="AH517" s="3" t="s">
        <v>523</v>
      </c>
      <c r="AI517" s="4">
        <v>44692</v>
      </c>
      <c r="AJ517" s="3" t="s">
        <v>577</v>
      </c>
      <c r="AK517" s="3" t="s">
        <v>248</v>
      </c>
    </row>
    <row r="518" spans="1:37" hidden="1" x14ac:dyDescent="0.25">
      <c r="A518" t="str">
        <f t="shared" si="8"/>
        <v>2022_NSW_WaggaWagga_Chickpea_DetailedTOS1VarietyStrikerWaterTrtIrrigated</v>
      </c>
      <c r="B518" s="2">
        <v>2022003</v>
      </c>
      <c r="C518" s="3" t="s">
        <v>513</v>
      </c>
      <c r="D518" s="3" t="s">
        <v>248</v>
      </c>
      <c r="F518" s="3" t="s">
        <v>4179</v>
      </c>
      <c r="G518" s="3" t="s">
        <v>43</v>
      </c>
      <c r="H518" s="3" t="s">
        <v>253</v>
      </c>
      <c r="I518" s="2">
        <v>63</v>
      </c>
      <c r="J518" s="2">
        <v>32</v>
      </c>
      <c r="K518" s="2">
        <v>4</v>
      </c>
      <c r="O518" s="2">
        <v>8</v>
      </c>
      <c r="U518" s="2">
        <v>4</v>
      </c>
      <c r="V518" s="2">
        <v>30</v>
      </c>
      <c r="W518" s="2">
        <v>4</v>
      </c>
      <c r="X518" s="2">
        <v>15</v>
      </c>
      <c r="AA518" s="3" t="s">
        <v>57</v>
      </c>
      <c r="AB518" s="2">
        <v>4</v>
      </c>
      <c r="AF518" s="2">
        <v>30</v>
      </c>
      <c r="AG518" s="2">
        <v>1</v>
      </c>
      <c r="AH518" s="3" t="s">
        <v>523</v>
      </c>
      <c r="AI518" s="4">
        <v>44692</v>
      </c>
      <c r="AJ518" s="3" t="s">
        <v>578</v>
      </c>
      <c r="AK518" s="3" t="s">
        <v>248</v>
      </c>
    </row>
    <row r="519" spans="1:37" hidden="1" x14ac:dyDescent="0.25">
      <c r="A519" t="str">
        <f t="shared" si="8"/>
        <v>2022_NSW_WaggaWagga_Chickpea_DetailedTOS1VarietyStrikerWaterTrtIrrigated</v>
      </c>
      <c r="B519" s="2">
        <v>2022003</v>
      </c>
      <c r="C519" s="3" t="s">
        <v>513</v>
      </c>
      <c r="D519" s="3" t="s">
        <v>248</v>
      </c>
      <c r="F519" s="3" t="s">
        <v>4179</v>
      </c>
      <c r="G519" s="3" t="s">
        <v>43</v>
      </c>
      <c r="H519" s="3" t="s">
        <v>250</v>
      </c>
      <c r="I519" s="2">
        <v>64</v>
      </c>
      <c r="J519" s="2">
        <v>32</v>
      </c>
      <c r="K519" s="2">
        <v>4</v>
      </c>
      <c r="O519" s="2">
        <v>8</v>
      </c>
      <c r="U519" s="2">
        <v>4</v>
      </c>
      <c r="V519" s="2">
        <v>31</v>
      </c>
      <c r="W519" s="2">
        <v>4</v>
      </c>
      <c r="X519" s="2">
        <v>16</v>
      </c>
      <c r="Z519" s="2">
        <v>61</v>
      </c>
      <c r="AA519" s="3" t="s">
        <v>57</v>
      </c>
      <c r="AB519" s="2">
        <v>4</v>
      </c>
      <c r="AF519" s="2">
        <v>30</v>
      </c>
      <c r="AG519" s="2">
        <v>1</v>
      </c>
      <c r="AH519" s="3" t="s">
        <v>523</v>
      </c>
      <c r="AI519" s="4">
        <v>44692</v>
      </c>
      <c r="AJ519" s="3" t="s">
        <v>579</v>
      </c>
      <c r="AK519" s="3" t="s">
        <v>248</v>
      </c>
    </row>
    <row r="520" spans="1:37" hidden="1" x14ac:dyDescent="0.25">
      <c r="A520" t="str">
        <f t="shared" si="8"/>
        <v>2022_NSW_WaggaWagga_Chickpea_DetailedTOS1VarietyDrummondWaterTrtRainFed</v>
      </c>
      <c r="B520" s="2">
        <v>2022003</v>
      </c>
      <c r="C520" s="3" t="s">
        <v>513</v>
      </c>
      <c r="D520" s="3" t="s">
        <v>248</v>
      </c>
      <c r="F520" s="3" t="s">
        <v>4182</v>
      </c>
      <c r="G520" s="3" t="s">
        <v>39</v>
      </c>
      <c r="H520" s="3" t="s">
        <v>253</v>
      </c>
      <c r="I520" s="2">
        <v>65</v>
      </c>
      <c r="J520" s="2">
        <v>33</v>
      </c>
      <c r="K520" s="2">
        <v>1</v>
      </c>
      <c r="O520" s="2">
        <v>1</v>
      </c>
      <c r="U520" s="2">
        <v>6</v>
      </c>
      <c r="V520" s="2">
        <v>2</v>
      </c>
      <c r="W520" s="2">
        <v>5</v>
      </c>
      <c r="X520" s="2">
        <v>1</v>
      </c>
      <c r="AA520" s="3" t="s">
        <v>40</v>
      </c>
      <c r="AB520" s="2">
        <v>2</v>
      </c>
      <c r="AF520" s="2">
        <v>30</v>
      </c>
      <c r="AG520" s="2">
        <v>1</v>
      </c>
      <c r="AH520" s="3" t="s">
        <v>523</v>
      </c>
      <c r="AI520" s="4">
        <v>44692</v>
      </c>
      <c r="AJ520" s="3" t="s">
        <v>580</v>
      </c>
      <c r="AK520" s="3" t="s">
        <v>248</v>
      </c>
    </row>
    <row r="521" spans="1:37" hidden="1" x14ac:dyDescent="0.25">
      <c r="A521" t="str">
        <f t="shared" si="8"/>
        <v>2022_NSW_WaggaWagga_Chickpea_DetailedTOS1VarietyDrummondWaterTrtRainFed</v>
      </c>
      <c r="B521" s="2">
        <v>2022003</v>
      </c>
      <c r="C521" s="3" t="s">
        <v>513</v>
      </c>
      <c r="D521" s="3" t="s">
        <v>248</v>
      </c>
      <c r="F521" s="3" t="s">
        <v>4182</v>
      </c>
      <c r="G521" s="3" t="s">
        <v>39</v>
      </c>
      <c r="H521" s="3" t="s">
        <v>250</v>
      </c>
      <c r="I521" s="2">
        <v>66</v>
      </c>
      <c r="J521" s="2">
        <v>33</v>
      </c>
      <c r="K521" s="2">
        <v>1</v>
      </c>
      <c r="O521" s="2">
        <v>1</v>
      </c>
      <c r="U521" s="2">
        <v>6</v>
      </c>
      <c r="V521" s="2">
        <v>3</v>
      </c>
      <c r="W521" s="2">
        <v>5</v>
      </c>
      <c r="X521" s="2">
        <v>2</v>
      </c>
      <c r="Z521" s="2">
        <v>5</v>
      </c>
      <c r="AA521" s="3" t="s">
        <v>40</v>
      </c>
      <c r="AB521" s="2">
        <v>2</v>
      </c>
      <c r="AF521" s="2">
        <v>30</v>
      </c>
      <c r="AG521" s="2">
        <v>1</v>
      </c>
      <c r="AH521" s="3" t="s">
        <v>523</v>
      </c>
      <c r="AI521" s="4">
        <v>44692</v>
      </c>
      <c r="AJ521" s="3" t="s">
        <v>581</v>
      </c>
      <c r="AK521" s="3" t="s">
        <v>248</v>
      </c>
    </row>
    <row r="522" spans="1:37" hidden="1" x14ac:dyDescent="0.25">
      <c r="A522" t="str">
        <f t="shared" si="8"/>
        <v>2022_NSW_WaggaWagga_Chickpea_DetailedTOS1VarietyCBA_CaptainWaterTrtRainFed</v>
      </c>
      <c r="B522" s="2">
        <v>2022003</v>
      </c>
      <c r="C522" s="3" t="s">
        <v>513</v>
      </c>
      <c r="D522" s="3" t="s">
        <v>248</v>
      </c>
      <c r="F522" s="3" t="s">
        <v>249</v>
      </c>
      <c r="G522" s="3" t="s">
        <v>43</v>
      </c>
      <c r="H522" s="3" t="s">
        <v>253</v>
      </c>
      <c r="I522" s="2">
        <v>67</v>
      </c>
      <c r="J522" s="2">
        <v>34</v>
      </c>
      <c r="K522" s="2">
        <v>1</v>
      </c>
      <c r="O522" s="2">
        <v>1</v>
      </c>
      <c r="U522" s="2">
        <v>7</v>
      </c>
      <c r="V522" s="2">
        <v>2</v>
      </c>
      <c r="W522" s="2">
        <v>6</v>
      </c>
      <c r="X522" s="2">
        <v>1</v>
      </c>
      <c r="AA522" s="3" t="s">
        <v>40</v>
      </c>
      <c r="AB522" s="2">
        <v>1</v>
      </c>
      <c r="AF522" s="2">
        <v>30</v>
      </c>
      <c r="AG522" s="2">
        <v>1</v>
      </c>
      <c r="AH522" s="3" t="s">
        <v>523</v>
      </c>
      <c r="AI522" s="4">
        <v>44692</v>
      </c>
      <c r="AJ522" s="3" t="s">
        <v>582</v>
      </c>
      <c r="AK522" s="3" t="s">
        <v>248</v>
      </c>
    </row>
    <row r="523" spans="1:37" hidden="1" x14ac:dyDescent="0.25">
      <c r="A523" t="str">
        <f t="shared" si="8"/>
        <v>2022_NSW_WaggaWagga_Chickpea_DetailedTOS1VarietyCBA_CaptainWaterTrtRainFed</v>
      </c>
      <c r="B523" s="2">
        <v>2022003</v>
      </c>
      <c r="C523" s="3" t="s">
        <v>513</v>
      </c>
      <c r="D523" s="3" t="s">
        <v>248</v>
      </c>
      <c r="F523" s="3" t="s">
        <v>249</v>
      </c>
      <c r="G523" s="3" t="s">
        <v>43</v>
      </c>
      <c r="H523" s="3" t="s">
        <v>250</v>
      </c>
      <c r="I523" s="2">
        <v>68</v>
      </c>
      <c r="J523" s="2">
        <v>34</v>
      </c>
      <c r="K523" s="2">
        <v>1</v>
      </c>
      <c r="O523" s="2">
        <v>1</v>
      </c>
      <c r="U523" s="2">
        <v>7</v>
      </c>
      <c r="V523" s="2">
        <v>3</v>
      </c>
      <c r="W523" s="2">
        <v>6</v>
      </c>
      <c r="X523" s="2">
        <v>2</v>
      </c>
      <c r="Z523" s="2">
        <v>6</v>
      </c>
      <c r="AA523" s="3" t="s">
        <v>40</v>
      </c>
      <c r="AB523" s="2">
        <v>1</v>
      </c>
      <c r="AF523" s="2">
        <v>30</v>
      </c>
      <c r="AG523" s="2">
        <v>1</v>
      </c>
      <c r="AH523" s="3" t="s">
        <v>523</v>
      </c>
      <c r="AI523" s="4">
        <v>44692</v>
      </c>
      <c r="AJ523" s="3" t="s">
        <v>583</v>
      </c>
      <c r="AK523" s="3" t="s">
        <v>248</v>
      </c>
    </row>
    <row r="524" spans="1:37" hidden="1" x14ac:dyDescent="0.25">
      <c r="A524" t="str">
        <f t="shared" si="8"/>
        <v>2022_NSW_WaggaWagga_Chickpea_DetailedTOS1VarietyHatTrickWaterTrtRainFed</v>
      </c>
      <c r="B524" s="2">
        <v>2022003</v>
      </c>
      <c r="C524" s="3" t="s">
        <v>513</v>
      </c>
      <c r="D524" s="3" t="s">
        <v>248</v>
      </c>
      <c r="F524" s="3" t="s">
        <v>4178</v>
      </c>
      <c r="G524" s="3" t="s">
        <v>39</v>
      </c>
      <c r="H524" s="3" t="s">
        <v>253</v>
      </c>
      <c r="I524" s="2">
        <v>69</v>
      </c>
      <c r="J524" s="2">
        <v>35</v>
      </c>
      <c r="K524" s="2">
        <v>1</v>
      </c>
      <c r="O524" s="2">
        <v>1</v>
      </c>
      <c r="U524" s="2">
        <v>8</v>
      </c>
      <c r="V524" s="2">
        <v>2</v>
      </c>
      <c r="W524" s="2">
        <v>7</v>
      </c>
      <c r="X524" s="2">
        <v>1</v>
      </c>
      <c r="AA524" s="3" t="s">
        <v>40</v>
      </c>
      <c r="AB524" s="2">
        <v>3</v>
      </c>
      <c r="AF524" s="2">
        <v>30</v>
      </c>
      <c r="AG524" s="2">
        <v>1</v>
      </c>
      <c r="AH524" s="3" t="s">
        <v>523</v>
      </c>
      <c r="AI524" s="4">
        <v>44692</v>
      </c>
      <c r="AJ524" s="3" t="s">
        <v>584</v>
      </c>
      <c r="AK524" s="3" t="s">
        <v>248</v>
      </c>
    </row>
    <row r="525" spans="1:37" hidden="1" x14ac:dyDescent="0.25">
      <c r="A525" t="str">
        <f t="shared" si="8"/>
        <v>2022_NSW_WaggaWagga_Chickpea_DetailedTOS1VarietyHatTrickWaterTrtRainFed</v>
      </c>
      <c r="B525" s="2">
        <v>2022003</v>
      </c>
      <c r="C525" s="3" t="s">
        <v>513</v>
      </c>
      <c r="D525" s="3" t="s">
        <v>248</v>
      </c>
      <c r="F525" s="3" t="s">
        <v>4178</v>
      </c>
      <c r="G525" s="3" t="s">
        <v>39</v>
      </c>
      <c r="H525" s="3" t="s">
        <v>250</v>
      </c>
      <c r="I525" s="2">
        <v>70</v>
      </c>
      <c r="J525" s="2">
        <v>35</v>
      </c>
      <c r="K525" s="2">
        <v>1</v>
      </c>
      <c r="O525" s="2">
        <v>1</v>
      </c>
      <c r="U525" s="2">
        <v>8</v>
      </c>
      <c r="V525" s="2">
        <v>3</v>
      </c>
      <c r="W525" s="2">
        <v>7</v>
      </c>
      <c r="X525" s="2">
        <v>2</v>
      </c>
      <c r="Z525" s="2">
        <v>7</v>
      </c>
      <c r="AA525" s="3" t="s">
        <v>40</v>
      </c>
      <c r="AB525" s="2">
        <v>3</v>
      </c>
      <c r="AF525" s="2">
        <v>30</v>
      </c>
      <c r="AG525" s="2">
        <v>1</v>
      </c>
      <c r="AH525" s="3" t="s">
        <v>523</v>
      </c>
      <c r="AI525" s="4">
        <v>44692</v>
      </c>
      <c r="AJ525" s="3" t="s">
        <v>585</v>
      </c>
      <c r="AK525" s="3" t="s">
        <v>248</v>
      </c>
    </row>
    <row r="526" spans="1:37" hidden="1" x14ac:dyDescent="0.25">
      <c r="A526" t="str">
        <f t="shared" si="8"/>
        <v>2022_NSW_WaggaWagga_Chickpea_DetailedTOS1VarietyStrikerWaterTrtRainFed</v>
      </c>
      <c r="B526" s="2">
        <v>2022003</v>
      </c>
      <c r="C526" s="3" t="s">
        <v>513</v>
      </c>
      <c r="D526" s="3" t="s">
        <v>248</v>
      </c>
      <c r="F526" s="3" t="s">
        <v>4179</v>
      </c>
      <c r="G526" s="3" t="s">
        <v>43</v>
      </c>
      <c r="H526" s="3" t="s">
        <v>253</v>
      </c>
      <c r="I526" s="2">
        <v>71</v>
      </c>
      <c r="J526" s="2">
        <v>36</v>
      </c>
      <c r="K526" s="2">
        <v>1</v>
      </c>
      <c r="O526" s="2">
        <v>1</v>
      </c>
      <c r="U526" s="2">
        <v>9</v>
      </c>
      <c r="V526" s="2">
        <v>2</v>
      </c>
      <c r="W526" s="2">
        <v>8</v>
      </c>
      <c r="X526" s="2">
        <v>1</v>
      </c>
      <c r="AA526" s="3" t="s">
        <v>40</v>
      </c>
      <c r="AB526" s="2">
        <v>4</v>
      </c>
      <c r="AF526" s="2">
        <v>30</v>
      </c>
      <c r="AG526" s="2">
        <v>1</v>
      </c>
      <c r="AH526" s="3" t="s">
        <v>523</v>
      </c>
      <c r="AI526" s="4">
        <v>44692</v>
      </c>
      <c r="AJ526" s="3" t="s">
        <v>586</v>
      </c>
      <c r="AK526" s="3" t="s">
        <v>248</v>
      </c>
    </row>
    <row r="527" spans="1:37" hidden="1" x14ac:dyDescent="0.25">
      <c r="A527" t="str">
        <f t="shared" si="8"/>
        <v>2022_NSW_WaggaWagga_Chickpea_DetailedTOS1VarietyStrikerWaterTrtRainFed</v>
      </c>
      <c r="B527" s="2">
        <v>2022003</v>
      </c>
      <c r="C527" s="3" t="s">
        <v>513</v>
      </c>
      <c r="D527" s="3" t="s">
        <v>248</v>
      </c>
      <c r="F527" s="3" t="s">
        <v>4179</v>
      </c>
      <c r="G527" s="3" t="s">
        <v>43</v>
      </c>
      <c r="H527" s="3" t="s">
        <v>250</v>
      </c>
      <c r="I527" s="2">
        <v>72</v>
      </c>
      <c r="J527" s="2">
        <v>36</v>
      </c>
      <c r="K527" s="2">
        <v>1</v>
      </c>
      <c r="O527" s="2">
        <v>1</v>
      </c>
      <c r="U527" s="2">
        <v>9</v>
      </c>
      <c r="V527" s="2">
        <v>3</v>
      </c>
      <c r="W527" s="2">
        <v>8</v>
      </c>
      <c r="X527" s="2">
        <v>2</v>
      </c>
      <c r="Z527" s="2">
        <v>8</v>
      </c>
      <c r="AA527" s="3" t="s">
        <v>40</v>
      </c>
      <c r="AB527" s="2">
        <v>4</v>
      </c>
      <c r="AF527" s="2">
        <v>30</v>
      </c>
      <c r="AG527" s="2">
        <v>1</v>
      </c>
      <c r="AH527" s="3" t="s">
        <v>523</v>
      </c>
      <c r="AI527" s="4">
        <v>44692</v>
      </c>
      <c r="AJ527" s="3" t="s">
        <v>587</v>
      </c>
      <c r="AK527" s="3" t="s">
        <v>248</v>
      </c>
    </row>
    <row r="528" spans="1:37" hidden="1" x14ac:dyDescent="0.25">
      <c r="A528" t="str">
        <f t="shared" si="8"/>
        <v>2022_NSW_WaggaWagga_Chickpea_DetailedTOS2VarietyHatTrickWaterTrtRainFed</v>
      </c>
      <c r="B528" s="2">
        <v>2022003</v>
      </c>
      <c r="C528" s="3" t="s">
        <v>513</v>
      </c>
      <c r="D528" s="3" t="s">
        <v>248</v>
      </c>
      <c r="F528" s="3" t="s">
        <v>4178</v>
      </c>
      <c r="G528" s="3" t="s">
        <v>39</v>
      </c>
      <c r="H528" s="3" t="s">
        <v>253</v>
      </c>
      <c r="I528" s="2">
        <v>73</v>
      </c>
      <c r="J528" s="2">
        <v>37</v>
      </c>
      <c r="K528" s="2">
        <v>1</v>
      </c>
      <c r="O528" s="2">
        <v>2</v>
      </c>
      <c r="U528" s="2">
        <v>6</v>
      </c>
      <c r="V528" s="2">
        <v>6</v>
      </c>
      <c r="W528" s="2">
        <v>5</v>
      </c>
      <c r="X528" s="2">
        <v>3</v>
      </c>
      <c r="AA528" s="3" t="s">
        <v>40</v>
      </c>
      <c r="AB528" s="2">
        <v>3</v>
      </c>
      <c r="AF528" s="2">
        <v>30</v>
      </c>
      <c r="AG528" s="2">
        <v>2</v>
      </c>
      <c r="AH528" s="3" t="s">
        <v>514</v>
      </c>
      <c r="AI528" s="4">
        <v>44727</v>
      </c>
      <c r="AJ528" s="3" t="s">
        <v>588</v>
      </c>
      <c r="AK528" s="3" t="s">
        <v>248</v>
      </c>
    </row>
    <row r="529" spans="1:37" hidden="1" x14ac:dyDescent="0.25">
      <c r="A529" t="str">
        <f t="shared" si="8"/>
        <v>2022_NSW_WaggaWagga_Chickpea_DetailedTOS2VarietyHatTrickWaterTrtRainFed</v>
      </c>
      <c r="B529" s="2">
        <v>2022003</v>
      </c>
      <c r="C529" s="3" t="s">
        <v>513</v>
      </c>
      <c r="D529" s="3" t="s">
        <v>248</v>
      </c>
      <c r="F529" s="3" t="s">
        <v>4178</v>
      </c>
      <c r="G529" s="3" t="s">
        <v>39</v>
      </c>
      <c r="H529" s="3" t="s">
        <v>250</v>
      </c>
      <c r="I529" s="2">
        <v>74</v>
      </c>
      <c r="J529" s="2">
        <v>37</v>
      </c>
      <c r="K529" s="2">
        <v>1</v>
      </c>
      <c r="O529" s="2">
        <v>2</v>
      </c>
      <c r="U529" s="2">
        <v>6</v>
      </c>
      <c r="V529" s="2">
        <v>7</v>
      </c>
      <c r="W529" s="2">
        <v>5</v>
      </c>
      <c r="X529" s="2">
        <v>4</v>
      </c>
      <c r="Z529" s="2">
        <v>12</v>
      </c>
      <c r="AA529" s="3" t="s">
        <v>40</v>
      </c>
      <c r="AB529" s="2">
        <v>3</v>
      </c>
      <c r="AF529" s="2">
        <v>30</v>
      </c>
      <c r="AG529" s="2">
        <v>2</v>
      </c>
      <c r="AH529" s="3" t="s">
        <v>514</v>
      </c>
      <c r="AI529" s="4">
        <v>44727</v>
      </c>
      <c r="AJ529" s="3" t="s">
        <v>589</v>
      </c>
      <c r="AK529" s="3" t="s">
        <v>248</v>
      </c>
    </row>
    <row r="530" spans="1:37" hidden="1" x14ac:dyDescent="0.25">
      <c r="A530" t="str">
        <f t="shared" si="8"/>
        <v>2022_NSW_WaggaWagga_Chickpea_DetailedTOS2VarietyStrikerWaterTrtRainFed</v>
      </c>
      <c r="B530" s="2">
        <v>2022003</v>
      </c>
      <c r="C530" s="3" t="s">
        <v>513</v>
      </c>
      <c r="D530" s="3" t="s">
        <v>248</v>
      </c>
      <c r="F530" s="3" t="s">
        <v>4179</v>
      </c>
      <c r="G530" s="3" t="s">
        <v>43</v>
      </c>
      <c r="H530" s="3" t="s">
        <v>253</v>
      </c>
      <c r="I530" s="2">
        <v>75</v>
      </c>
      <c r="J530" s="2">
        <v>38</v>
      </c>
      <c r="K530" s="2">
        <v>1</v>
      </c>
      <c r="O530" s="2">
        <v>2</v>
      </c>
      <c r="U530" s="2">
        <v>7</v>
      </c>
      <c r="V530" s="2">
        <v>6</v>
      </c>
      <c r="W530" s="2">
        <v>6</v>
      </c>
      <c r="X530" s="2">
        <v>3</v>
      </c>
      <c r="AA530" s="3" t="s">
        <v>40</v>
      </c>
      <c r="AB530" s="2">
        <v>4</v>
      </c>
      <c r="AF530" s="2">
        <v>30</v>
      </c>
      <c r="AG530" s="2">
        <v>2</v>
      </c>
      <c r="AH530" s="3" t="s">
        <v>514</v>
      </c>
      <c r="AI530" s="4">
        <v>44727</v>
      </c>
      <c r="AJ530" s="3" t="s">
        <v>590</v>
      </c>
      <c r="AK530" s="3" t="s">
        <v>248</v>
      </c>
    </row>
    <row r="531" spans="1:37" hidden="1" x14ac:dyDescent="0.25">
      <c r="A531" t="str">
        <f t="shared" si="8"/>
        <v>2022_NSW_WaggaWagga_Chickpea_DetailedTOS2VarietyStrikerWaterTrtRainFed</v>
      </c>
      <c r="B531" s="2">
        <v>2022003</v>
      </c>
      <c r="C531" s="3" t="s">
        <v>513</v>
      </c>
      <c r="D531" s="3" t="s">
        <v>248</v>
      </c>
      <c r="F531" s="3" t="s">
        <v>4179</v>
      </c>
      <c r="G531" s="3" t="s">
        <v>43</v>
      </c>
      <c r="H531" s="3" t="s">
        <v>250</v>
      </c>
      <c r="I531" s="2">
        <v>76</v>
      </c>
      <c r="J531" s="2">
        <v>38</v>
      </c>
      <c r="K531" s="2">
        <v>1</v>
      </c>
      <c r="O531" s="2">
        <v>2</v>
      </c>
      <c r="U531" s="2">
        <v>7</v>
      </c>
      <c r="V531" s="2">
        <v>7</v>
      </c>
      <c r="W531" s="2">
        <v>6</v>
      </c>
      <c r="X531" s="2">
        <v>4</v>
      </c>
      <c r="Z531" s="2">
        <v>11</v>
      </c>
      <c r="AA531" s="3" t="s">
        <v>40</v>
      </c>
      <c r="AB531" s="2">
        <v>4</v>
      </c>
      <c r="AF531" s="2">
        <v>30</v>
      </c>
      <c r="AG531" s="2">
        <v>2</v>
      </c>
      <c r="AH531" s="3" t="s">
        <v>514</v>
      </c>
      <c r="AI531" s="4">
        <v>44727</v>
      </c>
      <c r="AJ531" s="3" t="s">
        <v>591</v>
      </c>
      <c r="AK531" s="3" t="s">
        <v>248</v>
      </c>
    </row>
    <row r="532" spans="1:37" hidden="1" x14ac:dyDescent="0.25">
      <c r="A532" t="str">
        <f t="shared" si="8"/>
        <v>2022_NSW_WaggaWagga_Chickpea_DetailedTOS2VarietyDrummondWaterTrtRainFed</v>
      </c>
      <c r="B532" s="2">
        <v>2022003</v>
      </c>
      <c r="C532" s="3" t="s">
        <v>513</v>
      </c>
      <c r="D532" s="3" t="s">
        <v>248</v>
      </c>
      <c r="F532" s="3" t="s">
        <v>4182</v>
      </c>
      <c r="G532" s="3" t="s">
        <v>39</v>
      </c>
      <c r="H532" s="3" t="s">
        <v>253</v>
      </c>
      <c r="I532" s="2">
        <v>77</v>
      </c>
      <c r="J532" s="2">
        <v>39</v>
      </c>
      <c r="K532" s="2">
        <v>1</v>
      </c>
      <c r="O532" s="2">
        <v>2</v>
      </c>
      <c r="U532" s="2">
        <v>8</v>
      </c>
      <c r="V532" s="2">
        <v>6</v>
      </c>
      <c r="W532" s="2">
        <v>7</v>
      </c>
      <c r="X532" s="2">
        <v>3</v>
      </c>
      <c r="AA532" s="3" t="s">
        <v>40</v>
      </c>
      <c r="AB532" s="2">
        <v>2</v>
      </c>
      <c r="AF532" s="2">
        <v>30</v>
      </c>
      <c r="AG532" s="2">
        <v>2</v>
      </c>
      <c r="AH532" s="3" t="s">
        <v>514</v>
      </c>
      <c r="AI532" s="4">
        <v>44727</v>
      </c>
      <c r="AJ532" s="3" t="s">
        <v>592</v>
      </c>
      <c r="AK532" s="3" t="s">
        <v>248</v>
      </c>
    </row>
    <row r="533" spans="1:37" hidden="1" x14ac:dyDescent="0.25">
      <c r="A533" t="str">
        <f t="shared" si="8"/>
        <v>2022_NSW_WaggaWagga_Chickpea_DetailedTOS2VarietyDrummondWaterTrtRainFed</v>
      </c>
      <c r="B533" s="2">
        <v>2022003</v>
      </c>
      <c r="C533" s="3" t="s">
        <v>513</v>
      </c>
      <c r="D533" s="3" t="s">
        <v>248</v>
      </c>
      <c r="F533" s="3" t="s">
        <v>4182</v>
      </c>
      <c r="G533" s="3" t="s">
        <v>39</v>
      </c>
      <c r="H533" s="3" t="s">
        <v>250</v>
      </c>
      <c r="I533" s="2">
        <v>78</v>
      </c>
      <c r="J533" s="2">
        <v>39</v>
      </c>
      <c r="K533" s="2">
        <v>1</v>
      </c>
      <c r="O533" s="2">
        <v>2</v>
      </c>
      <c r="U533" s="2">
        <v>8</v>
      </c>
      <c r="V533" s="2">
        <v>7</v>
      </c>
      <c r="W533" s="2">
        <v>7</v>
      </c>
      <c r="X533" s="2">
        <v>4</v>
      </c>
      <c r="Z533" s="2">
        <v>10</v>
      </c>
      <c r="AA533" s="3" t="s">
        <v>40</v>
      </c>
      <c r="AB533" s="2">
        <v>2</v>
      </c>
      <c r="AF533" s="2">
        <v>30</v>
      </c>
      <c r="AG533" s="2">
        <v>2</v>
      </c>
      <c r="AH533" s="3" t="s">
        <v>514</v>
      </c>
      <c r="AI533" s="4">
        <v>44727</v>
      </c>
      <c r="AJ533" s="3" t="s">
        <v>593</v>
      </c>
      <c r="AK533" s="3" t="s">
        <v>248</v>
      </c>
    </row>
    <row r="534" spans="1:37" hidden="1" x14ac:dyDescent="0.25">
      <c r="A534" t="str">
        <f t="shared" si="8"/>
        <v>2022_NSW_WaggaWagga_Chickpea_DetailedTOS2VarietyCBA_CaptainWaterTrtRainFed</v>
      </c>
      <c r="B534" s="2">
        <v>2022003</v>
      </c>
      <c r="C534" s="3" t="s">
        <v>513</v>
      </c>
      <c r="D534" s="3" t="s">
        <v>248</v>
      </c>
      <c r="F534" s="3" t="s">
        <v>249</v>
      </c>
      <c r="G534" s="3" t="s">
        <v>43</v>
      </c>
      <c r="H534" s="3" t="s">
        <v>253</v>
      </c>
      <c r="I534" s="2">
        <v>79</v>
      </c>
      <c r="J534" s="2">
        <v>40</v>
      </c>
      <c r="K534" s="2">
        <v>1</v>
      </c>
      <c r="O534" s="2">
        <v>2</v>
      </c>
      <c r="U534" s="2">
        <v>9</v>
      </c>
      <c r="V534" s="2">
        <v>6</v>
      </c>
      <c r="W534" s="2">
        <v>8</v>
      </c>
      <c r="X534" s="2">
        <v>3</v>
      </c>
      <c r="AA534" s="3" t="s">
        <v>40</v>
      </c>
      <c r="AB534" s="2">
        <v>1</v>
      </c>
      <c r="AF534" s="2">
        <v>30</v>
      </c>
      <c r="AG534" s="2">
        <v>2</v>
      </c>
      <c r="AH534" s="3" t="s">
        <v>514</v>
      </c>
      <c r="AI534" s="4">
        <v>44727</v>
      </c>
      <c r="AJ534" s="3" t="s">
        <v>594</v>
      </c>
      <c r="AK534" s="3" t="s">
        <v>248</v>
      </c>
    </row>
    <row r="535" spans="1:37" hidden="1" x14ac:dyDescent="0.25">
      <c r="A535" t="str">
        <f t="shared" si="8"/>
        <v>2022_NSW_WaggaWagga_Chickpea_DetailedTOS2VarietyCBA_CaptainWaterTrtRainFed</v>
      </c>
      <c r="B535" s="2">
        <v>2022003</v>
      </c>
      <c r="C535" s="3" t="s">
        <v>513</v>
      </c>
      <c r="D535" s="3" t="s">
        <v>248</v>
      </c>
      <c r="F535" s="3" t="s">
        <v>249</v>
      </c>
      <c r="G535" s="3" t="s">
        <v>43</v>
      </c>
      <c r="H535" s="3" t="s">
        <v>250</v>
      </c>
      <c r="I535" s="2">
        <v>80</v>
      </c>
      <c r="J535" s="2">
        <v>40</v>
      </c>
      <c r="K535" s="2">
        <v>1</v>
      </c>
      <c r="O535" s="2">
        <v>2</v>
      </c>
      <c r="U535" s="2">
        <v>9</v>
      </c>
      <c r="V535" s="2">
        <v>7</v>
      </c>
      <c r="W535" s="2">
        <v>8</v>
      </c>
      <c r="X535" s="2">
        <v>4</v>
      </c>
      <c r="Z535" s="2">
        <v>9</v>
      </c>
      <c r="AA535" s="3" t="s">
        <v>40</v>
      </c>
      <c r="AB535" s="2">
        <v>1</v>
      </c>
      <c r="AF535" s="2">
        <v>30</v>
      </c>
      <c r="AG535" s="2">
        <v>2</v>
      </c>
      <c r="AH535" s="3" t="s">
        <v>514</v>
      </c>
      <c r="AI535" s="4">
        <v>44727</v>
      </c>
      <c r="AJ535" s="3" t="s">
        <v>595</v>
      </c>
      <c r="AK535" s="3" t="s">
        <v>248</v>
      </c>
    </row>
    <row r="536" spans="1:37" hidden="1" x14ac:dyDescent="0.25">
      <c r="A536" t="str">
        <f t="shared" si="8"/>
        <v>2022_NSW_WaggaWagga_Chickpea_DetailedTOS2VarietyHatTrickWaterTrtRainFed</v>
      </c>
      <c r="B536" s="2">
        <v>2022003</v>
      </c>
      <c r="C536" s="3" t="s">
        <v>513</v>
      </c>
      <c r="D536" s="3" t="s">
        <v>248</v>
      </c>
      <c r="F536" s="3" t="s">
        <v>4178</v>
      </c>
      <c r="G536" s="3" t="s">
        <v>39</v>
      </c>
      <c r="H536" s="3" t="s">
        <v>253</v>
      </c>
      <c r="I536" s="2">
        <v>81</v>
      </c>
      <c r="J536" s="2">
        <v>41</v>
      </c>
      <c r="K536" s="2">
        <v>2</v>
      </c>
      <c r="O536" s="2">
        <v>3</v>
      </c>
      <c r="U536" s="2">
        <v>6</v>
      </c>
      <c r="V536" s="2">
        <v>10</v>
      </c>
      <c r="W536" s="2">
        <v>5</v>
      </c>
      <c r="X536" s="2">
        <v>5</v>
      </c>
      <c r="AA536" s="3" t="s">
        <v>40</v>
      </c>
      <c r="AB536" s="2">
        <v>3</v>
      </c>
      <c r="AF536" s="2">
        <v>30</v>
      </c>
      <c r="AG536" s="2">
        <v>2</v>
      </c>
      <c r="AH536" s="3" t="s">
        <v>514</v>
      </c>
      <c r="AI536" s="4">
        <v>44727</v>
      </c>
      <c r="AJ536" s="3" t="s">
        <v>596</v>
      </c>
      <c r="AK536" s="3" t="s">
        <v>248</v>
      </c>
    </row>
    <row r="537" spans="1:37" hidden="1" x14ac:dyDescent="0.25">
      <c r="A537" t="str">
        <f t="shared" si="8"/>
        <v>2022_NSW_WaggaWagga_Chickpea_DetailedTOS2VarietyHatTrickWaterTrtRainFed</v>
      </c>
      <c r="B537" s="2">
        <v>2022003</v>
      </c>
      <c r="C537" s="3" t="s">
        <v>513</v>
      </c>
      <c r="D537" s="3" t="s">
        <v>248</v>
      </c>
      <c r="F537" s="3" t="s">
        <v>4178</v>
      </c>
      <c r="G537" s="3" t="s">
        <v>39</v>
      </c>
      <c r="H537" s="3" t="s">
        <v>250</v>
      </c>
      <c r="I537" s="2">
        <v>82</v>
      </c>
      <c r="J537" s="2">
        <v>41</v>
      </c>
      <c r="K537" s="2">
        <v>2</v>
      </c>
      <c r="O537" s="2">
        <v>3</v>
      </c>
      <c r="U537" s="2">
        <v>6</v>
      </c>
      <c r="V537" s="2">
        <v>11</v>
      </c>
      <c r="W537" s="2">
        <v>5</v>
      </c>
      <c r="X537" s="2">
        <v>6</v>
      </c>
      <c r="Z537" s="2">
        <v>21</v>
      </c>
      <c r="AA537" s="3" t="s">
        <v>40</v>
      </c>
      <c r="AB537" s="2">
        <v>3</v>
      </c>
      <c r="AF537" s="2">
        <v>30</v>
      </c>
      <c r="AG537" s="2">
        <v>2</v>
      </c>
      <c r="AH537" s="3" t="s">
        <v>514</v>
      </c>
      <c r="AI537" s="4">
        <v>44727</v>
      </c>
      <c r="AJ537" s="3" t="s">
        <v>597</v>
      </c>
      <c r="AK537" s="3" t="s">
        <v>248</v>
      </c>
    </row>
    <row r="538" spans="1:37" hidden="1" x14ac:dyDescent="0.25">
      <c r="A538" t="str">
        <f t="shared" si="8"/>
        <v>2022_NSW_WaggaWagga_Chickpea_DetailedTOS2VarietyCBA_CaptainWaterTrtRainFed</v>
      </c>
      <c r="B538" s="2">
        <v>2022003</v>
      </c>
      <c r="C538" s="3" t="s">
        <v>513</v>
      </c>
      <c r="D538" s="3" t="s">
        <v>248</v>
      </c>
      <c r="F538" s="3" t="s">
        <v>249</v>
      </c>
      <c r="G538" s="3" t="s">
        <v>43</v>
      </c>
      <c r="H538" s="3" t="s">
        <v>253</v>
      </c>
      <c r="I538" s="2">
        <v>83</v>
      </c>
      <c r="J538" s="2">
        <v>42</v>
      </c>
      <c r="K538" s="2">
        <v>2</v>
      </c>
      <c r="O538" s="2">
        <v>3</v>
      </c>
      <c r="U538" s="2">
        <v>7</v>
      </c>
      <c r="V538" s="2">
        <v>10</v>
      </c>
      <c r="W538" s="2">
        <v>6</v>
      </c>
      <c r="X538" s="2">
        <v>5</v>
      </c>
      <c r="AA538" s="3" t="s">
        <v>40</v>
      </c>
      <c r="AB538" s="2">
        <v>1</v>
      </c>
      <c r="AF538" s="2">
        <v>30</v>
      </c>
      <c r="AG538" s="2">
        <v>2</v>
      </c>
      <c r="AH538" s="3" t="s">
        <v>514</v>
      </c>
      <c r="AI538" s="4">
        <v>44727</v>
      </c>
      <c r="AJ538" s="3" t="s">
        <v>598</v>
      </c>
      <c r="AK538" s="3" t="s">
        <v>248</v>
      </c>
    </row>
    <row r="539" spans="1:37" hidden="1" x14ac:dyDescent="0.25">
      <c r="A539" t="str">
        <f t="shared" si="8"/>
        <v>2022_NSW_WaggaWagga_Chickpea_DetailedTOS2VarietyCBA_CaptainWaterTrtRainFed</v>
      </c>
      <c r="B539" s="2">
        <v>2022003</v>
      </c>
      <c r="C539" s="3" t="s">
        <v>513</v>
      </c>
      <c r="D539" s="3" t="s">
        <v>248</v>
      </c>
      <c r="F539" s="3" t="s">
        <v>249</v>
      </c>
      <c r="G539" s="3" t="s">
        <v>43</v>
      </c>
      <c r="H539" s="3" t="s">
        <v>250</v>
      </c>
      <c r="I539" s="2">
        <v>84</v>
      </c>
      <c r="J539" s="2">
        <v>42</v>
      </c>
      <c r="K539" s="2">
        <v>2</v>
      </c>
      <c r="O539" s="2">
        <v>3</v>
      </c>
      <c r="U539" s="2">
        <v>7</v>
      </c>
      <c r="V539" s="2">
        <v>11</v>
      </c>
      <c r="W539" s="2">
        <v>6</v>
      </c>
      <c r="X539" s="2">
        <v>6</v>
      </c>
      <c r="Z539" s="2">
        <v>22</v>
      </c>
      <c r="AA539" s="3" t="s">
        <v>40</v>
      </c>
      <c r="AB539" s="2">
        <v>1</v>
      </c>
      <c r="AF539" s="2">
        <v>30</v>
      </c>
      <c r="AG539" s="2">
        <v>2</v>
      </c>
      <c r="AH539" s="3" t="s">
        <v>514</v>
      </c>
      <c r="AI539" s="4">
        <v>44727</v>
      </c>
      <c r="AJ539" s="3" t="s">
        <v>599</v>
      </c>
      <c r="AK539" s="3" t="s">
        <v>248</v>
      </c>
    </row>
    <row r="540" spans="1:37" hidden="1" x14ac:dyDescent="0.25">
      <c r="A540" t="str">
        <f t="shared" si="8"/>
        <v>2022_NSW_WaggaWagga_Chickpea_DetailedTOS2VarietyStrikerWaterTrtRainFed</v>
      </c>
      <c r="B540" s="2">
        <v>2022003</v>
      </c>
      <c r="C540" s="3" t="s">
        <v>513</v>
      </c>
      <c r="D540" s="3" t="s">
        <v>248</v>
      </c>
      <c r="F540" s="3" t="s">
        <v>4179</v>
      </c>
      <c r="G540" s="3" t="s">
        <v>43</v>
      </c>
      <c r="H540" s="3" t="s">
        <v>253</v>
      </c>
      <c r="I540" s="2">
        <v>85</v>
      </c>
      <c r="J540" s="2">
        <v>43</v>
      </c>
      <c r="K540" s="2">
        <v>2</v>
      </c>
      <c r="O540" s="2">
        <v>3</v>
      </c>
      <c r="U540" s="2">
        <v>8</v>
      </c>
      <c r="V540" s="2">
        <v>10</v>
      </c>
      <c r="W540" s="2">
        <v>7</v>
      </c>
      <c r="X540" s="2">
        <v>5</v>
      </c>
      <c r="AA540" s="3" t="s">
        <v>40</v>
      </c>
      <c r="AB540" s="2">
        <v>4</v>
      </c>
      <c r="AF540" s="2">
        <v>30</v>
      </c>
      <c r="AG540" s="2">
        <v>2</v>
      </c>
      <c r="AH540" s="3" t="s">
        <v>514</v>
      </c>
      <c r="AI540" s="4">
        <v>44727</v>
      </c>
      <c r="AJ540" s="3" t="s">
        <v>600</v>
      </c>
      <c r="AK540" s="3" t="s">
        <v>248</v>
      </c>
    </row>
    <row r="541" spans="1:37" hidden="1" x14ac:dyDescent="0.25">
      <c r="A541" t="str">
        <f t="shared" si="8"/>
        <v>2022_NSW_WaggaWagga_Chickpea_DetailedTOS2VarietyStrikerWaterTrtRainFed</v>
      </c>
      <c r="B541" s="2">
        <v>2022003</v>
      </c>
      <c r="C541" s="3" t="s">
        <v>513</v>
      </c>
      <c r="D541" s="3" t="s">
        <v>248</v>
      </c>
      <c r="F541" s="3" t="s">
        <v>4179</v>
      </c>
      <c r="G541" s="3" t="s">
        <v>43</v>
      </c>
      <c r="H541" s="3" t="s">
        <v>250</v>
      </c>
      <c r="I541" s="2">
        <v>86</v>
      </c>
      <c r="J541" s="2">
        <v>43</v>
      </c>
      <c r="K541" s="2">
        <v>2</v>
      </c>
      <c r="O541" s="2">
        <v>3</v>
      </c>
      <c r="U541" s="2">
        <v>8</v>
      </c>
      <c r="V541" s="2">
        <v>11</v>
      </c>
      <c r="W541" s="2">
        <v>7</v>
      </c>
      <c r="X541" s="2">
        <v>6</v>
      </c>
      <c r="Z541" s="2">
        <v>23</v>
      </c>
      <c r="AA541" s="3" t="s">
        <v>40</v>
      </c>
      <c r="AB541" s="2">
        <v>4</v>
      </c>
      <c r="AF541" s="2">
        <v>30</v>
      </c>
      <c r="AG541" s="2">
        <v>2</v>
      </c>
      <c r="AH541" s="3" t="s">
        <v>514</v>
      </c>
      <c r="AI541" s="4">
        <v>44727</v>
      </c>
      <c r="AJ541" s="3" t="s">
        <v>601</v>
      </c>
      <c r="AK541" s="3" t="s">
        <v>248</v>
      </c>
    </row>
    <row r="542" spans="1:37" hidden="1" x14ac:dyDescent="0.25">
      <c r="A542" t="str">
        <f t="shared" si="8"/>
        <v>2022_NSW_WaggaWagga_Chickpea_DetailedTOS2VarietyDrummondWaterTrtRainFed</v>
      </c>
      <c r="B542" s="2">
        <v>2022003</v>
      </c>
      <c r="C542" s="3" t="s">
        <v>513</v>
      </c>
      <c r="D542" s="3" t="s">
        <v>248</v>
      </c>
      <c r="F542" s="3" t="s">
        <v>4182</v>
      </c>
      <c r="G542" s="3" t="s">
        <v>39</v>
      </c>
      <c r="H542" s="3" t="s">
        <v>253</v>
      </c>
      <c r="I542" s="2">
        <v>87</v>
      </c>
      <c r="J542" s="2">
        <v>44</v>
      </c>
      <c r="K542" s="2">
        <v>2</v>
      </c>
      <c r="O542" s="2">
        <v>3</v>
      </c>
      <c r="U542" s="2">
        <v>9</v>
      </c>
      <c r="V542" s="2">
        <v>10</v>
      </c>
      <c r="W542" s="2">
        <v>8</v>
      </c>
      <c r="X542" s="2">
        <v>5</v>
      </c>
      <c r="AA542" s="3" t="s">
        <v>40</v>
      </c>
      <c r="AB542" s="2">
        <v>2</v>
      </c>
      <c r="AF542" s="2">
        <v>30</v>
      </c>
      <c r="AG542" s="2">
        <v>2</v>
      </c>
      <c r="AH542" s="3" t="s">
        <v>514</v>
      </c>
      <c r="AI542" s="4">
        <v>44727</v>
      </c>
      <c r="AJ542" s="3" t="s">
        <v>602</v>
      </c>
      <c r="AK542" s="3" t="s">
        <v>248</v>
      </c>
    </row>
    <row r="543" spans="1:37" hidden="1" x14ac:dyDescent="0.25">
      <c r="A543" t="str">
        <f t="shared" si="8"/>
        <v>2022_NSW_WaggaWagga_Chickpea_DetailedTOS2VarietyDrummondWaterTrtRainFed</v>
      </c>
      <c r="B543" s="2">
        <v>2022003</v>
      </c>
      <c r="C543" s="3" t="s">
        <v>513</v>
      </c>
      <c r="D543" s="3" t="s">
        <v>248</v>
      </c>
      <c r="F543" s="3" t="s">
        <v>4182</v>
      </c>
      <c r="G543" s="3" t="s">
        <v>39</v>
      </c>
      <c r="H543" s="3" t="s">
        <v>250</v>
      </c>
      <c r="I543" s="2">
        <v>88</v>
      </c>
      <c r="J543" s="2">
        <v>44</v>
      </c>
      <c r="K543" s="2">
        <v>2</v>
      </c>
      <c r="O543" s="2">
        <v>3</v>
      </c>
      <c r="U543" s="2">
        <v>9</v>
      </c>
      <c r="V543" s="2">
        <v>11</v>
      </c>
      <c r="W543" s="2">
        <v>8</v>
      </c>
      <c r="X543" s="2">
        <v>6</v>
      </c>
      <c r="Z543" s="2">
        <v>24</v>
      </c>
      <c r="AA543" s="3" t="s">
        <v>40</v>
      </c>
      <c r="AB543" s="2">
        <v>2</v>
      </c>
      <c r="AF543" s="2">
        <v>30</v>
      </c>
      <c r="AG543" s="2">
        <v>2</v>
      </c>
      <c r="AH543" s="3" t="s">
        <v>514</v>
      </c>
      <c r="AI543" s="4">
        <v>44727</v>
      </c>
      <c r="AJ543" s="3" t="s">
        <v>603</v>
      </c>
      <c r="AK543" s="3" t="s">
        <v>248</v>
      </c>
    </row>
    <row r="544" spans="1:37" hidden="1" x14ac:dyDescent="0.25">
      <c r="A544" t="str">
        <f t="shared" si="8"/>
        <v>2022_NSW_WaggaWagga_Chickpea_DetailedTOS1VarietyStrikerWaterTrtRainFed</v>
      </c>
      <c r="B544" s="2">
        <v>2022003</v>
      </c>
      <c r="C544" s="3" t="s">
        <v>513</v>
      </c>
      <c r="D544" s="3" t="s">
        <v>248</v>
      </c>
      <c r="F544" s="3" t="s">
        <v>4179</v>
      </c>
      <c r="G544" s="3" t="s">
        <v>43</v>
      </c>
      <c r="H544" s="3" t="s">
        <v>253</v>
      </c>
      <c r="I544" s="2">
        <v>89</v>
      </c>
      <c r="J544" s="2">
        <v>45</v>
      </c>
      <c r="K544" s="2">
        <v>2</v>
      </c>
      <c r="O544" s="2">
        <v>4</v>
      </c>
      <c r="U544" s="2">
        <v>6</v>
      </c>
      <c r="V544" s="2">
        <v>14</v>
      </c>
      <c r="W544" s="2">
        <v>5</v>
      </c>
      <c r="X544" s="2">
        <v>7</v>
      </c>
      <c r="AA544" s="3" t="s">
        <v>40</v>
      </c>
      <c r="AB544" s="2">
        <v>4</v>
      </c>
      <c r="AF544" s="2">
        <v>30</v>
      </c>
      <c r="AG544" s="2">
        <v>1</v>
      </c>
      <c r="AH544" s="3" t="s">
        <v>523</v>
      </c>
      <c r="AI544" s="4">
        <v>44692</v>
      </c>
      <c r="AJ544" s="3" t="s">
        <v>604</v>
      </c>
      <c r="AK544" s="3" t="s">
        <v>248</v>
      </c>
    </row>
    <row r="545" spans="1:37" hidden="1" x14ac:dyDescent="0.25">
      <c r="A545" t="str">
        <f t="shared" si="8"/>
        <v>2022_NSW_WaggaWagga_Chickpea_DetailedTOS1VarietyStrikerWaterTrtRainFed</v>
      </c>
      <c r="B545" s="2">
        <v>2022003</v>
      </c>
      <c r="C545" s="3" t="s">
        <v>513</v>
      </c>
      <c r="D545" s="3" t="s">
        <v>248</v>
      </c>
      <c r="F545" s="3" t="s">
        <v>4179</v>
      </c>
      <c r="G545" s="3" t="s">
        <v>43</v>
      </c>
      <c r="H545" s="3" t="s">
        <v>250</v>
      </c>
      <c r="I545" s="2">
        <v>90</v>
      </c>
      <c r="J545" s="2">
        <v>45</v>
      </c>
      <c r="K545" s="2">
        <v>2</v>
      </c>
      <c r="O545" s="2">
        <v>4</v>
      </c>
      <c r="U545" s="2">
        <v>6</v>
      </c>
      <c r="V545" s="2">
        <v>15</v>
      </c>
      <c r="W545" s="2">
        <v>5</v>
      </c>
      <c r="X545" s="2">
        <v>8</v>
      </c>
      <c r="Z545" s="2">
        <v>28</v>
      </c>
      <c r="AA545" s="3" t="s">
        <v>40</v>
      </c>
      <c r="AB545" s="2">
        <v>4</v>
      </c>
      <c r="AF545" s="2">
        <v>30</v>
      </c>
      <c r="AG545" s="2">
        <v>1</v>
      </c>
      <c r="AH545" s="3" t="s">
        <v>523</v>
      </c>
      <c r="AI545" s="4">
        <v>44692</v>
      </c>
      <c r="AJ545" s="3" t="s">
        <v>605</v>
      </c>
      <c r="AK545" s="3" t="s">
        <v>248</v>
      </c>
    </row>
    <row r="546" spans="1:37" hidden="1" x14ac:dyDescent="0.25">
      <c r="A546" t="str">
        <f t="shared" si="8"/>
        <v>2022_NSW_WaggaWagga_Chickpea_DetailedTOS1VarietyHatTrickWaterTrtRainFed</v>
      </c>
      <c r="B546" s="2">
        <v>2022003</v>
      </c>
      <c r="C546" s="3" t="s">
        <v>513</v>
      </c>
      <c r="D546" s="3" t="s">
        <v>248</v>
      </c>
      <c r="F546" s="3" t="s">
        <v>4178</v>
      </c>
      <c r="G546" s="3" t="s">
        <v>39</v>
      </c>
      <c r="H546" s="3" t="s">
        <v>253</v>
      </c>
      <c r="I546" s="2">
        <v>91</v>
      </c>
      <c r="J546" s="2">
        <v>46</v>
      </c>
      <c r="K546" s="2">
        <v>2</v>
      </c>
      <c r="O546" s="2">
        <v>4</v>
      </c>
      <c r="U546" s="2">
        <v>7</v>
      </c>
      <c r="V546" s="2">
        <v>14</v>
      </c>
      <c r="W546" s="2">
        <v>6</v>
      </c>
      <c r="X546" s="2">
        <v>7</v>
      </c>
      <c r="AA546" s="3" t="s">
        <v>40</v>
      </c>
      <c r="AB546" s="2">
        <v>3</v>
      </c>
      <c r="AF546" s="2">
        <v>30</v>
      </c>
      <c r="AG546" s="2">
        <v>1</v>
      </c>
      <c r="AH546" s="3" t="s">
        <v>523</v>
      </c>
      <c r="AI546" s="4">
        <v>44692</v>
      </c>
      <c r="AJ546" s="3" t="s">
        <v>606</v>
      </c>
      <c r="AK546" s="3" t="s">
        <v>248</v>
      </c>
    </row>
    <row r="547" spans="1:37" hidden="1" x14ac:dyDescent="0.25">
      <c r="A547" t="str">
        <f t="shared" si="8"/>
        <v>2022_NSW_WaggaWagga_Chickpea_DetailedTOS1VarietyHatTrickWaterTrtRainFed</v>
      </c>
      <c r="B547" s="2">
        <v>2022003</v>
      </c>
      <c r="C547" s="3" t="s">
        <v>513</v>
      </c>
      <c r="D547" s="3" t="s">
        <v>248</v>
      </c>
      <c r="F547" s="3" t="s">
        <v>4178</v>
      </c>
      <c r="G547" s="3" t="s">
        <v>39</v>
      </c>
      <c r="H547" s="3" t="s">
        <v>250</v>
      </c>
      <c r="I547" s="2">
        <v>92</v>
      </c>
      <c r="J547" s="2">
        <v>46</v>
      </c>
      <c r="K547" s="2">
        <v>2</v>
      </c>
      <c r="O547" s="2">
        <v>4</v>
      </c>
      <c r="U547" s="2">
        <v>7</v>
      </c>
      <c r="V547" s="2">
        <v>15</v>
      </c>
      <c r="W547" s="2">
        <v>6</v>
      </c>
      <c r="X547" s="2">
        <v>8</v>
      </c>
      <c r="Z547" s="2">
        <v>27</v>
      </c>
      <c r="AA547" s="3" t="s">
        <v>40</v>
      </c>
      <c r="AB547" s="2">
        <v>3</v>
      </c>
      <c r="AF547" s="2">
        <v>30</v>
      </c>
      <c r="AG547" s="2">
        <v>1</v>
      </c>
      <c r="AH547" s="3" t="s">
        <v>523</v>
      </c>
      <c r="AI547" s="4">
        <v>44692</v>
      </c>
      <c r="AJ547" s="3" t="s">
        <v>607</v>
      </c>
      <c r="AK547" s="3" t="s">
        <v>248</v>
      </c>
    </row>
    <row r="548" spans="1:37" hidden="1" x14ac:dyDescent="0.25">
      <c r="A548" t="str">
        <f t="shared" si="8"/>
        <v>2022_NSW_WaggaWagga_Chickpea_DetailedTOS1VarietyDrummondWaterTrtRainFed</v>
      </c>
      <c r="B548" s="2">
        <v>2022003</v>
      </c>
      <c r="C548" s="3" t="s">
        <v>513</v>
      </c>
      <c r="D548" s="3" t="s">
        <v>248</v>
      </c>
      <c r="F548" s="3" t="s">
        <v>4182</v>
      </c>
      <c r="G548" s="3" t="s">
        <v>39</v>
      </c>
      <c r="H548" s="3" t="s">
        <v>253</v>
      </c>
      <c r="I548" s="2">
        <v>93</v>
      </c>
      <c r="J548" s="2">
        <v>47</v>
      </c>
      <c r="K548" s="2">
        <v>2</v>
      </c>
      <c r="O548" s="2">
        <v>4</v>
      </c>
      <c r="U548" s="2">
        <v>8</v>
      </c>
      <c r="V548" s="2">
        <v>14</v>
      </c>
      <c r="W548" s="2">
        <v>7</v>
      </c>
      <c r="X548" s="2">
        <v>7</v>
      </c>
      <c r="AA548" s="3" t="s">
        <v>40</v>
      </c>
      <c r="AB548" s="2">
        <v>2</v>
      </c>
      <c r="AF548" s="2">
        <v>30</v>
      </c>
      <c r="AG548" s="2">
        <v>1</v>
      </c>
      <c r="AH548" s="3" t="s">
        <v>523</v>
      </c>
      <c r="AI548" s="4">
        <v>44692</v>
      </c>
      <c r="AJ548" s="3" t="s">
        <v>608</v>
      </c>
      <c r="AK548" s="3" t="s">
        <v>248</v>
      </c>
    </row>
    <row r="549" spans="1:37" hidden="1" x14ac:dyDescent="0.25">
      <c r="A549" t="str">
        <f t="shared" si="8"/>
        <v>2022_NSW_WaggaWagga_Chickpea_DetailedTOS1VarietyDrummondWaterTrtRainFed</v>
      </c>
      <c r="B549" s="2">
        <v>2022003</v>
      </c>
      <c r="C549" s="3" t="s">
        <v>513</v>
      </c>
      <c r="D549" s="3" t="s">
        <v>248</v>
      </c>
      <c r="F549" s="3" t="s">
        <v>4182</v>
      </c>
      <c r="G549" s="3" t="s">
        <v>39</v>
      </c>
      <c r="H549" s="3" t="s">
        <v>250</v>
      </c>
      <c r="I549" s="2">
        <v>94</v>
      </c>
      <c r="J549" s="2">
        <v>47</v>
      </c>
      <c r="K549" s="2">
        <v>2</v>
      </c>
      <c r="O549" s="2">
        <v>4</v>
      </c>
      <c r="U549" s="2">
        <v>8</v>
      </c>
      <c r="V549" s="2">
        <v>15</v>
      </c>
      <c r="W549" s="2">
        <v>7</v>
      </c>
      <c r="X549" s="2">
        <v>8</v>
      </c>
      <c r="Z549" s="2">
        <v>26</v>
      </c>
      <c r="AA549" s="3" t="s">
        <v>40</v>
      </c>
      <c r="AB549" s="2">
        <v>2</v>
      </c>
      <c r="AF549" s="2">
        <v>30</v>
      </c>
      <c r="AG549" s="2">
        <v>1</v>
      </c>
      <c r="AH549" s="3" t="s">
        <v>523</v>
      </c>
      <c r="AI549" s="4">
        <v>44692</v>
      </c>
      <c r="AJ549" s="3" t="s">
        <v>609</v>
      </c>
      <c r="AK549" s="3" t="s">
        <v>248</v>
      </c>
    </row>
    <row r="550" spans="1:37" hidden="1" x14ac:dyDescent="0.25">
      <c r="A550" t="str">
        <f t="shared" si="8"/>
        <v>2022_NSW_WaggaWagga_Chickpea_DetailedTOS1VarietyCBA_CaptainWaterTrtRainFed</v>
      </c>
      <c r="B550" s="2">
        <v>2022003</v>
      </c>
      <c r="C550" s="3" t="s">
        <v>513</v>
      </c>
      <c r="D550" s="3" t="s">
        <v>248</v>
      </c>
      <c r="F550" s="3" t="s">
        <v>249</v>
      </c>
      <c r="G550" s="3" t="s">
        <v>43</v>
      </c>
      <c r="H550" s="3" t="s">
        <v>253</v>
      </c>
      <c r="I550" s="2">
        <v>95</v>
      </c>
      <c r="J550" s="2">
        <v>48</v>
      </c>
      <c r="K550" s="2">
        <v>2</v>
      </c>
      <c r="O550" s="2">
        <v>4</v>
      </c>
      <c r="U550" s="2">
        <v>9</v>
      </c>
      <c r="V550" s="2">
        <v>14</v>
      </c>
      <c r="W550" s="2">
        <v>8</v>
      </c>
      <c r="X550" s="2">
        <v>7</v>
      </c>
      <c r="AA550" s="3" t="s">
        <v>40</v>
      </c>
      <c r="AB550" s="2">
        <v>1</v>
      </c>
      <c r="AF550" s="2">
        <v>30</v>
      </c>
      <c r="AG550" s="2">
        <v>1</v>
      </c>
      <c r="AH550" s="3" t="s">
        <v>523</v>
      </c>
      <c r="AI550" s="4">
        <v>44692</v>
      </c>
      <c r="AJ550" s="3" t="s">
        <v>610</v>
      </c>
      <c r="AK550" s="3" t="s">
        <v>248</v>
      </c>
    </row>
    <row r="551" spans="1:37" hidden="1" x14ac:dyDescent="0.25">
      <c r="A551" t="str">
        <f t="shared" si="8"/>
        <v>2022_NSW_WaggaWagga_Chickpea_DetailedTOS1VarietyCBA_CaptainWaterTrtRainFed</v>
      </c>
      <c r="B551" s="2">
        <v>2022003</v>
      </c>
      <c r="C551" s="3" t="s">
        <v>513</v>
      </c>
      <c r="D551" s="3" t="s">
        <v>248</v>
      </c>
      <c r="F551" s="3" t="s">
        <v>249</v>
      </c>
      <c r="G551" s="3" t="s">
        <v>43</v>
      </c>
      <c r="H551" s="3" t="s">
        <v>250</v>
      </c>
      <c r="I551" s="2">
        <v>96</v>
      </c>
      <c r="J551" s="2">
        <v>48</v>
      </c>
      <c r="K551" s="2">
        <v>2</v>
      </c>
      <c r="O551" s="2">
        <v>4</v>
      </c>
      <c r="U551" s="2">
        <v>9</v>
      </c>
      <c r="V551" s="2">
        <v>15</v>
      </c>
      <c r="W551" s="2">
        <v>8</v>
      </c>
      <c r="X551" s="2">
        <v>8</v>
      </c>
      <c r="Z551" s="2">
        <v>25</v>
      </c>
      <c r="AA551" s="3" t="s">
        <v>40</v>
      </c>
      <c r="AB551" s="2">
        <v>1</v>
      </c>
      <c r="AF551" s="2">
        <v>30</v>
      </c>
      <c r="AG551" s="2">
        <v>1</v>
      </c>
      <c r="AH551" s="3" t="s">
        <v>523</v>
      </c>
      <c r="AI551" s="4">
        <v>44692</v>
      </c>
      <c r="AJ551" s="3" t="s">
        <v>611</v>
      </c>
      <c r="AK551" s="3" t="s">
        <v>248</v>
      </c>
    </row>
    <row r="552" spans="1:37" hidden="1" x14ac:dyDescent="0.25">
      <c r="A552" t="str">
        <f t="shared" si="8"/>
        <v>2022_NSW_WaggaWagga_Chickpea_DetailedTOS1VarietyCBA_CaptainWaterTrtRainFed</v>
      </c>
      <c r="B552" s="2">
        <v>2022003</v>
      </c>
      <c r="C552" s="3" t="s">
        <v>513</v>
      </c>
      <c r="D552" s="3" t="s">
        <v>248</v>
      </c>
      <c r="F552" s="3" t="s">
        <v>249</v>
      </c>
      <c r="G552" s="3" t="s">
        <v>43</v>
      </c>
      <c r="H552" s="3" t="s">
        <v>253</v>
      </c>
      <c r="I552" s="2">
        <v>97</v>
      </c>
      <c r="J552" s="2">
        <v>49</v>
      </c>
      <c r="K552" s="2">
        <v>3</v>
      </c>
      <c r="O552" s="2">
        <v>5</v>
      </c>
      <c r="U552" s="2">
        <v>6</v>
      </c>
      <c r="V552" s="2">
        <v>18</v>
      </c>
      <c r="W552" s="2">
        <v>5</v>
      </c>
      <c r="X552" s="2">
        <v>9</v>
      </c>
      <c r="AA552" s="3" t="s">
        <v>40</v>
      </c>
      <c r="AB552" s="2">
        <v>1</v>
      </c>
      <c r="AF552" s="2">
        <v>30</v>
      </c>
      <c r="AG552" s="2">
        <v>1</v>
      </c>
      <c r="AH552" s="3" t="s">
        <v>523</v>
      </c>
      <c r="AI552" s="4">
        <v>44692</v>
      </c>
      <c r="AJ552" s="3" t="s">
        <v>612</v>
      </c>
      <c r="AK552" s="3" t="s">
        <v>248</v>
      </c>
    </row>
    <row r="553" spans="1:37" hidden="1" x14ac:dyDescent="0.25">
      <c r="A553" t="str">
        <f t="shared" si="8"/>
        <v>2022_NSW_WaggaWagga_Chickpea_DetailedTOS1VarietyCBA_CaptainWaterTrtRainFed</v>
      </c>
      <c r="B553" s="2">
        <v>2022003</v>
      </c>
      <c r="C553" s="3" t="s">
        <v>513</v>
      </c>
      <c r="D553" s="3" t="s">
        <v>248</v>
      </c>
      <c r="F553" s="3" t="s">
        <v>249</v>
      </c>
      <c r="G553" s="3" t="s">
        <v>43</v>
      </c>
      <c r="H553" s="3" t="s">
        <v>250</v>
      </c>
      <c r="I553" s="2">
        <v>98</v>
      </c>
      <c r="J553" s="2">
        <v>49</v>
      </c>
      <c r="K553" s="2">
        <v>3</v>
      </c>
      <c r="O553" s="2">
        <v>5</v>
      </c>
      <c r="U553" s="2">
        <v>6</v>
      </c>
      <c r="V553" s="2">
        <v>19</v>
      </c>
      <c r="W553" s="2">
        <v>5</v>
      </c>
      <c r="X553" s="2">
        <v>10</v>
      </c>
      <c r="Z553" s="2">
        <v>37</v>
      </c>
      <c r="AA553" s="3" t="s">
        <v>40</v>
      </c>
      <c r="AB553" s="2">
        <v>1</v>
      </c>
      <c r="AF553" s="2">
        <v>30</v>
      </c>
      <c r="AG553" s="2">
        <v>1</v>
      </c>
      <c r="AH553" s="3" t="s">
        <v>523</v>
      </c>
      <c r="AI553" s="4">
        <v>44692</v>
      </c>
      <c r="AJ553" s="3" t="s">
        <v>613</v>
      </c>
      <c r="AK553" s="3" t="s">
        <v>248</v>
      </c>
    </row>
    <row r="554" spans="1:37" hidden="1" x14ac:dyDescent="0.25">
      <c r="A554" t="str">
        <f t="shared" si="8"/>
        <v>2022_NSW_WaggaWagga_Chickpea_DetailedTOS1VarietyHatTrickWaterTrtRainFed</v>
      </c>
      <c r="B554" s="2">
        <v>2022003</v>
      </c>
      <c r="C554" s="3" t="s">
        <v>513</v>
      </c>
      <c r="D554" s="3" t="s">
        <v>248</v>
      </c>
      <c r="F554" s="3" t="s">
        <v>4178</v>
      </c>
      <c r="G554" s="3" t="s">
        <v>39</v>
      </c>
      <c r="H554" s="3" t="s">
        <v>253</v>
      </c>
      <c r="I554" s="2">
        <v>99</v>
      </c>
      <c r="J554" s="2">
        <v>50</v>
      </c>
      <c r="K554" s="2">
        <v>3</v>
      </c>
      <c r="O554" s="2">
        <v>5</v>
      </c>
      <c r="U554" s="2">
        <v>7</v>
      </c>
      <c r="V554" s="2">
        <v>18</v>
      </c>
      <c r="W554" s="2">
        <v>6</v>
      </c>
      <c r="X554" s="2">
        <v>9</v>
      </c>
      <c r="AA554" s="3" t="s">
        <v>40</v>
      </c>
      <c r="AB554" s="2">
        <v>3</v>
      </c>
      <c r="AF554" s="2">
        <v>30</v>
      </c>
      <c r="AG554" s="2">
        <v>1</v>
      </c>
      <c r="AH554" s="3" t="s">
        <v>523</v>
      </c>
      <c r="AI554" s="4">
        <v>44692</v>
      </c>
      <c r="AJ554" s="3" t="s">
        <v>614</v>
      </c>
      <c r="AK554" s="3" t="s">
        <v>248</v>
      </c>
    </row>
    <row r="555" spans="1:37" hidden="1" x14ac:dyDescent="0.25">
      <c r="A555" t="str">
        <f t="shared" si="8"/>
        <v>2022_NSW_WaggaWagga_Chickpea_DetailedTOS1VarietyHatTrickWaterTrtRainFed</v>
      </c>
      <c r="B555" s="2">
        <v>2022003</v>
      </c>
      <c r="C555" s="3" t="s">
        <v>513</v>
      </c>
      <c r="D555" s="3" t="s">
        <v>248</v>
      </c>
      <c r="F555" s="3" t="s">
        <v>4178</v>
      </c>
      <c r="G555" s="3" t="s">
        <v>39</v>
      </c>
      <c r="H555" s="3" t="s">
        <v>250</v>
      </c>
      <c r="I555" s="2">
        <v>100</v>
      </c>
      <c r="J555" s="2">
        <v>50</v>
      </c>
      <c r="K555" s="2">
        <v>3</v>
      </c>
      <c r="O555" s="2">
        <v>5</v>
      </c>
      <c r="U555" s="2">
        <v>7</v>
      </c>
      <c r="V555" s="2">
        <v>19</v>
      </c>
      <c r="W555" s="2">
        <v>6</v>
      </c>
      <c r="X555" s="2">
        <v>10</v>
      </c>
      <c r="Z555" s="2">
        <v>38</v>
      </c>
      <c r="AA555" s="3" t="s">
        <v>40</v>
      </c>
      <c r="AB555" s="2">
        <v>3</v>
      </c>
      <c r="AF555" s="2">
        <v>30</v>
      </c>
      <c r="AG555" s="2">
        <v>1</v>
      </c>
      <c r="AH555" s="3" t="s">
        <v>523</v>
      </c>
      <c r="AI555" s="4">
        <v>44692</v>
      </c>
      <c r="AJ555" s="3" t="s">
        <v>615</v>
      </c>
      <c r="AK555" s="3" t="s">
        <v>248</v>
      </c>
    </row>
    <row r="556" spans="1:37" hidden="1" x14ac:dyDescent="0.25">
      <c r="A556" t="str">
        <f t="shared" si="8"/>
        <v>2022_NSW_WaggaWagga_Chickpea_DetailedTOS1VarietyStrikerWaterTrtRainFed</v>
      </c>
      <c r="B556" s="2">
        <v>2022003</v>
      </c>
      <c r="C556" s="3" t="s">
        <v>513</v>
      </c>
      <c r="D556" s="3" t="s">
        <v>248</v>
      </c>
      <c r="F556" s="3" t="s">
        <v>4179</v>
      </c>
      <c r="G556" s="3" t="s">
        <v>43</v>
      </c>
      <c r="H556" s="3" t="s">
        <v>253</v>
      </c>
      <c r="I556" s="2">
        <v>101</v>
      </c>
      <c r="J556" s="2">
        <v>51</v>
      </c>
      <c r="K556" s="2">
        <v>3</v>
      </c>
      <c r="O556" s="2">
        <v>5</v>
      </c>
      <c r="U556" s="2">
        <v>8</v>
      </c>
      <c r="V556" s="2">
        <v>18</v>
      </c>
      <c r="W556" s="2">
        <v>7</v>
      </c>
      <c r="X556" s="2">
        <v>9</v>
      </c>
      <c r="AA556" s="3" t="s">
        <v>40</v>
      </c>
      <c r="AB556" s="2">
        <v>4</v>
      </c>
      <c r="AF556" s="2">
        <v>30</v>
      </c>
      <c r="AG556" s="2">
        <v>1</v>
      </c>
      <c r="AH556" s="3" t="s">
        <v>523</v>
      </c>
      <c r="AI556" s="4">
        <v>44692</v>
      </c>
      <c r="AJ556" s="3" t="s">
        <v>616</v>
      </c>
      <c r="AK556" s="3" t="s">
        <v>248</v>
      </c>
    </row>
    <row r="557" spans="1:37" hidden="1" x14ac:dyDescent="0.25">
      <c r="A557" t="str">
        <f t="shared" si="8"/>
        <v>2022_NSW_WaggaWagga_Chickpea_DetailedTOS1VarietyStrikerWaterTrtRainFed</v>
      </c>
      <c r="B557" s="2">
        <v>2022003</v>
      </c>
      <c r="C557" s="3" t="s">
        <v>513</v>
      </c>
      <c r="D557" s="3" t="s">
        <v>248</v>
      </c>
      <c r="F557" s="3" t="s">
        <v>4179</v>
      </c>
      <c r="G557" s="3" t="s">
        <v>43</v>
      </c>
      <c r="H557" s="3" t="s">
        <v>250</v>
      </c>
      <c r="I557" s="2">
        <v>102</v>
      </c>
      <c r="J557" s="2">
        <v>51</v>
      </c>
      <c r="K557" s="2">
        <v>3</v>
      </c>
      <c r="O557" s="2">
        <v>5</v>
      </c>
      <c r="U557" s="2">
        <v>8</v>
      </c>
      <c r="V557" s="2">
        <v>19</v>
      </c>
      <c r="W557" s="2">
        <v>7</v>
      </c>
      <c r="X557" s="2">
        <v>10</v>
      </c>
      <c r="Z557" s="2">
        <v>39</v>
      </c>
      <c r="AA557" s="3" t="s">
        <v>40</v>
      </c>
      <c r="AB557" s="2">
        <v>4</v>
      </c>
      <c r="AF557" s="2">
        <v>30</v>
      </c>
      <c r="AG557" s="2">
        <v>1</v>
      </c>
      <c r="AH557" s="3" t="s">
        <v>523</v>
      </c>
      <c r="AI557" s="4">
        <v>44692</v>
      </c>
      <c r="AJ557" s="3" t="s">
        <v>617</v>
      </c>
      <c r="AK557" s="3" t="s">
        <v>248</v>
      </c>
    </row>
    <row r="558" spans="1:37" hidden="1" x14ac:dyDescent="0.25">
      <c r="A558" t="str">
        <f t="shared" si="8"/>
        <v>2022_NSW_WaggaWagga_Chickpea_DetailedTOS1VarietyDrummondWaterTrtRainFed</v>
      </c>
      <c r="B558" s="2">
        <v>2022003</v>
      </c>
      <c r="C558" s="3" t="s">
        <v>513</v>
      </c>
      <c r="D558" s="3" t="s">
        <v>248</v>
      </c>
      <c r="F558" s="3" t="s">
        <v>4182</v>
      </c>
      <c r="G558" s="3" t="s">
        <v>39</v>
      </c>
      <c r="H558" s="3" t="s">
        <v>253</v>
      </c>
      <c r="I558" s="2">
        <v>103</v>
      </c>
      <c r="J558" s="2">
        <v>52</v>
      </c>
      <c r="K558" s="2">
        <v>3</v>
      </c>
      <c r="O558" s="2">
        <v>5</v>
      </c>
      <c r="U558" s="2">
        <v>9</v>
      </c>
      <c r="V558" s="2">
        <v>18</v>
      </c>
      <c r="W558" s="2">
        <v>8</v>
      </c>
      <c r="X558" s="2">
        <v>9</v>
      </c>
      <c r="AA558" s="3" t="s">
        <v>40</v>
      </c>
      <c r="AB558" s="2">
        <v>2</v>
      </c>
      <c r="AF558" s="2">
        <v>30</v>
      </c>
      <c r="AG558" s="2">
        <v>1</v>
      </c>
      <c r="AH558" s="3" t="s">
        <v>523</v>
      </c>
      <c r="AI558" s="4">
        <v>44692</v>
      </c>
      <c r="AJ558" s="3" t="s">
        <v>618</v>
      </c>
      <c r="AK558" s="3" t="s">
        <v>248</v>
      </c>
    </row>
    <row r="559" spans="1:37" hidden="1" x14ac:dyDescent="0.25">
      <c r="A559" t="str">
        <f t="shared" si="8"/>
        <v>2022_NSW_WaggaWagga_Chickpea_DetailedTOS1VarietyDrummondWaterTrtRainFed</v>
      </c>
      <c r="B559" s="2">
        <v>2022003</v>
      </c>
      <c r="C559" s="3" t="s">
        <v>513</v>
      </c>
      <c r="D559" s="3" t="s">
        <v>248</v>
      </c>
      <c r="F559" s="3" t="s">
        <v>4182</v>
      </c>
      <c r="G559" s="3" t="s">
        <v>39</v>
      </c>
      <c r="H559" s="3" t="s">
        <v>250</v>
      </c>
      <c r="I559" s="2">
        <v>104</v>
      </c>
      <c r="J559" s="2">
        <v>52</v>
      </c>
      <c r="K559" s="2">
        <v>3</v>
      </c>
      <c r="O559" s="2">
        <v>5</v>
      </c>
      <c r="U559" s="2">
        <v>9</v>
      </c>
      <c r="V559" s="2">
        <v>19</v>
      </c>
      <c r="W559" s="2">
        <v>8</v>
      </c>
      <c r="X559" s="2">
        <v>10</v>
      </c>
      <c r="Z559" s="2">
        <v>40</v>
      </c>
      <c r="AA559" s="3" t="s">
        <v>40</v>
      </c>
      <c r="AB559" s="2">
        <v>2</v>
      </c>
      <c r="AF559" s="2">
        <v>30</v>
      </c>
      <c r="AG559" s="2">
        <v>1</v>
      </c>
      <c r="AH559" s="3" t="s">
        <v>523</v>
      </c>
      <c r="AI559" s="4">
        <v>44692</v>
      </c>
      <c r="AJ559" s="3" t="s">
        <v>619</v>
      </c>
      <c r="AK559" s="3" t="s">
        <v>248</v>
      </c>
    </row>
    <row r="560" spans="1:37" hidden="1" x14ac:dyDescent="0.25">
      <c r="A560" t="str">
        <f t="shared" si="8"/>
        <v>2022_NSW_WaggaWagga_Chickpea_DetailedTOS2VarietyStrikerWaterTrtRainFed</v>
      </c>
      <c r="B560" s="2">
        <v>2022003</v>
      </c>
      <c r="C560" s="3" t="s">
        <v>513</v>
      </c>
      <c r="D560" s="3" t="s">
        <v>248</v>
      </c>
      <c r="F560" s="3" t="s">
        <v>4179</v>
      </c>
      <c r="G560" s="3" t="s">
        <v>43</v>
      </c>
      <c r="H560" s="3" t="s">
        <v>253</v>
      </c>
      <c r="I560" s="2">
        <v>105</v>
      </c>
      <c r="J560" s="2">
        <v>53</v>
      </c>
      <c r="K560" s="2">
        <v>3</v>
      </c>
      <c r="O560" s="2">
        <v>6</v>
      </c>
      <c r="U560" s="2">
        <v>6</v>
      </c>
      <c r="V560" s="2">
        <v>22</v>
      </c>
      <c r="W560" s="2">
        <v>5</v>
      </c>
      <c r="X560" s="2">
        <v>11</v>
      </c>
      <c r="AA560" s="3" t="s">
        <v>40</v>
      </c>
      <c r="AB560" s="2">
        <v>4</v>
      </c>
      <c r="AF560" s="2">
        <v>30</v>
      </c>
      <c r="AG560" s="2">
        <v>2</v>
      </c>
      <c r="AH560" s="3" t="s">
        <v>514</v>
      </c>
      <c r="AI560" s="4">
        <v>44727</v>
      </c>
      <c r="AJ560" s="3" t="s">
        <v>620</v>
      </c>
      <c r="AK560" s="3" t="s">
        <v>248</v>
      </c>
    </row>
    <row r="561" spans="1:37" hidden="1" x14ac:dyDescent="0.25">
      <c r="A561" t="str">
        <f t="shared" si="8"/>
        <v>2022_NSW_WaggaWagga_Chickpea_DetailedTOS2VarietyStrikerWaterTrtRainFed</v>
      </c>
      <c r="B561" s="2">
        <v>2022003</v>
      </c>
      <c r="C561" s="3" t="s">
        <v>513</v>
      </c>
      <c r="D561" s="3" t="s">
        <v>248</v>
      </c>
      <c r="F561" s="3" t="s">
        <v>4179</v>
      </c>
      <c r="G561" s="3" t="s">
        <v>43</v>
      </c>
      <c r="H561" s="3" t="s">
        <v>250</v>
      </c>
      <c r="I561" s="2">
        <v>106</v>
      </c>
      <c r="J561" s="2">
        <v>53</v>
      </c>
      <c r="K561" s="2">
        <v>3</v>
      </c>
      <c r="O561" s="2">
        <v>6</v>
      </c>
      <c r="U561" s="2">
        <v>6</v>
      </c>
      <c r="V561" s="2">
        <v>23</v>
      </c>
      <c r="W561" s="2">
        <v>5</v>
      </c>
      <c r="X561" s="2">
        <v>12</v>
      </c>
      <c r="Z561" s="2">
        <v>44</v>
      </c>
      <c r="AA561" s="3" t="s">
        <v>40</v>
      </c>
      <c r="AB561" s="2">
        <v>4</v>
      </c>
      <c r="AF561" s="2">
        <v>30</v>
      </c>
      <c r="AG561" s="2">
        <v>2</v>
      </c>
      <c r="AH561" s="3" t="s">
        <v>514</v>
      </c>
      <c r="AI561" s="4">
        <v>44727</v>
      </c>
      <c r="AJ561" s="3" t="s">
        <v>621</v>
      </c>
      <c r="AK561" s="3" t="s">
        <v>248</v>
      </c>
    </row>
    <row r="562" spans="1:37" hidden="1" x14ac:dyDescent="0.25">
      <c r="A562" t="str">
        <f t="shared" si="8"/>
        <v>2022_NSW_WaggaWagga_Chickpea_DetailedTOS2VarietyDrummondWaterTrtRainFed</v>
      </c>
      <c r="B562" s="2">
        <v>2022003</v>
      </c>
      <c r="C562" s="3" t="s">
        <v>513</v>
      </c>
      <c r="D562" s="3" t="s">
        <v>248</v>
      </c>
      <c r="F562" s="3" t="s">
        <v>4182</v>
      </c>
      <c r="G562" s="3" t="s">
        <v>39</v>
      </c>
      <c r="H562" s="3" t="s">
        <v>253</v>
      </c>
      <c r="I562" s="2">
        <v>107</v>
      </c>
      <c r="J562" s="2">
        <v>54</v>
      </c>
      <c r="K562" s="2">
        <v>3</v>
      </c>
      <c r="O562" s="2">
        <v>6</v>
      </c>
      <c r="U562" s="2">
        <v>7</v>
      </c>
      <c r="V562" s="2">
        <v>22</v>
      </c>
      <c r="W562" s="2">
        <v>6</v>
      </c>
      <c r="X562" s="2">
        <v>11</v>
      </c>
      <c r="AA562" s="3" t="s">
        <v>40</v>
      </c>
      <c r="AB562" s="2">
        <v>2</v>
      </c>
      <c r="AF562" s="2">
        <v>30</v>
      </c>
      <c r="AG562" s="2">
        <v>2</v>
      </c>
      <c r="AH562" s="3" t="s">
        <v>514</v>
      </c>
      <c r="AI562" s="4">
        <v>44727</v>
      </c>
      <c r="AJ562" s="3" t="s">
        <v>622</v>
      </c>
      <c r="AK562" s="3" t="s">
        <v>248</v>
      </c>
    </row>
    <row r="563" spans="1:37" hidden="1" x14ac:dyDescent="0.25">
      <c r="A563" t="str">
        <f t="shared" si="8"/>
        <v>2022_NSW_WaggaWagga_Chickpea_DetailedTOS2VarietyDrummondWaterTrtRainFed</v>
      </c>
      <c r="B563" s="2">
        <v>2022003</v>
      </c>
      <c r="C563" s="3" t="s">
        <v>513</v>
      </c>
      <c r="D563" s="3" t="s">
        <v>248</v>
      </c>
      <c r="F563" s="3" t="s">
        <v>4182</v>
      </c>
      <c r="G563" s="3" t="s">
        <v>39</v>
      </c>
      <c r="H563" s="3" t="s">
        <v>250</v>
      </c>
      <c r="I563" s="2">
        <v>108</v>
      </c>
      <c r="J563" s="2">
        <v>54</v>
      </c>
      <c r="K563" s="2">
        <v>3</v>
      </c>
      <c r="O563" s="2">
        <v>6</v>
      </c>
      <c r="U563" s="2">
        <v>7</v>
      </c>
      <c r="V563" s="2">
        <v>23</v>
      </c>
      <c r="W563" s="2">
        <v>6</v>
      </c>
      <c r="X563" s="2">
        <v>12</v>
      </c>
      <c r="Z563" s="2">
        <v>43</v>
      </c>
      <c r="AA563" s="3" t="s">
        <v>40</v>
      </c>
      <c r="AB563" s="2">
        <v>2</v>
      </c>
      <c r="AF563" s="2">
        <v>30</v>
      </c>
      <c r="AG563" s="2">
        <v>2</v>
      </c>
      <c r="AH563" s="3" t="s">
        <v>514</v>
      </c>
      <c r="AI563" s="4">
        <v>44727</v>
      </c>
      <c r="AJ563" s="3" t="s">
        <v>623</v>
      </c>
      <c r="AK563" s="3" t="s">
        <v>248</v>
      </c>
    </row>
    <row r="564" spans="1:37" hidden="1" x14ac:dyDescent="0.25">
      <c r="A564" t="str">
        <f t="shared" si="8"/>
        <v>2022_NSW_WaggaWagga_Chickpea_DetailedTOS2VarietyCBA_CaptainWaterTrtRainFed</v>
      </c>
      <c r="B564" s="2">
        <v>2022003</v>
      </c>
      <c r="C564" s="3" t="s">
        <v>513</v>
      </c>
      <c r="D564" s="3" t="s">
        <v>248</v>
      </c>
      <c r="F564" s="3" t="s">
        <v>249</v>
      </c>
      <c r="G564" s="3" t="s">
        <v>43</v>
      </c>
      <c r="H564" s="3" t="s">
        <v>253</v>
      </c>
      <c r="I564" s="2">
        <v>109</v>
      </c>
      <c r="J564" s="2">
        <v>55</v>
      </c>
      <c r="K564" s="2">
        <v>3</v>
      </c>
      <c r="O564" s="2">
        <v>6</v>
      </c>
      <c r="U564" s="2">
        <v>8</v>
      </c>
      <c r="V564" s="2">
        <v>22</v>
      </c>
      <c r="W564" s="2">
        <v>7</v>
      </c>
      <c r="X564" s="2">
        <v>11</v>
      </c>
      <c r="AA564" s="3" t="s">
        <v>40</v>
      </c>
      <c r="AB564" s="2">
        <v>1</v>
      </c>
      <c r="AF564" s="2">
        <v>30</v>
      </c>
      <c r="AG564" s="2">
        <v>2</v>
      </c>
      <c r="AH564" s="3" t="s">
        <v>514</v>
      </c>
      <c r="AI564" s="4">
        <v>44727</v>
      </c>
      <c r="AJ564" s="3" t="s">
        <v>624</v>
      </c>
      <c r="AK564" s="3" t="s">
        <v>248</v>
      </c>
    </row>
    <row r="565" spans="1:37" hidden="1" x14ac:dyDescent="0.25">
      <c r="A565" t="str">
        <f t="shared" si="8"/>
        <v>2022_NSW_WaggaWagga_Chickpea_DetailedTOS2VarietyCBA_CaptainWaterTrtRainFed</v>
      </c>
      <c r="B565" s="2">
        <v>2022003</v>
      </c>
      <c r="C565" s="3" t="s">
        <v>513</v>
      </c>
      <c r="D565" s="3" t="s">
        <v>248</v>
      </c>
      <c r="F565" s="3" t="s">
        <v>249</v>
      </c>
      <c r="G565" s="3" t="s">
        <v>43</v>
      </c>
      <c r="H565" s="3" t="s">
        <v>250</v>
      </c>
      <c r="I565" s="2">
        <v>110</v>
      </c>
      <c r="J565" s="2">
        <v>55</v>
      </c>
      <c r="K565" s="2">
        <v>3</v>
      </c>
      <c r="O565" s="2">
        <v>6</v>
      </c>
      <c r="U565" s="2">
        <v>8</v>
      </c>
      <c r="V565" s="2">
        <v>23</v>
      </c>
      <c r="W565" s="2">
        <v>7</v>
      </c>
      <c r="X565" s="2">
        <v>12</v>
      </c>
      <c r="Z565" s="2">
        <v>42</v>
      </c>
      <c r="AA565" s="3" t="s">
        <v>40</v>
      </c>
      <c r="AB565" s="2">
        <v>1</v>
      </c>
      <c r="AF565" s="2">
        <v>30</v>
      </c>
      <c r="AG565" s="2">
        <v>2</v>
      </c>
      <c r="AH565" s="3" t="s">
        <v>514</v>
      </c>
      <c r="AI565" s="4">
        <v>44727</v>
      </c>
      <c r="AJ565" s="3" t="s">
        <v>625</v>
      </c>
      <c r="AK565" s="3" t="s">
        <v>248</v>
      </c>
    </row>
    <row r="566" spans="1:37" hidden="1" x14ac:dyDescent="0.25">
      <c r="A566" t="str">
        <f t="shared" si="8"/>
        <v>2022_NSW_WaggaWagga_Chickpea_DetailedTOS2VarietyHatTrickWaterTrtRainFed</v>
      </c>
      <c r="B566" s="2">
        <v>2022003</v>
      </c>
      <c r="C566" s="3" t="s">
        <v>513</v>
      </c>
      <c r="D566" s="3" t="s">
        <v>248</v>
      </c>
      <c r="F566" s="3" t="s">
        <v>4178</v>
      </c>
      <c r="G566" s="3" t="s">
        <v>39</v>
      </c>
      <c r="H566" s="3" t="s">
        <v>253</v>
      </c>
      <c r="I566" s="2">
        <v>111</v>
      </c>
      <c r="J566" s="2">
        <v>56</v>
      </c>
      <c r="K566" s="2">
        <v>3</v>
      </c>
      <c r="O566" s="2">
        <v>6</v>
      </c>
      <c r="U566" s="2">
        <v>9</v>
      </c>
      <c r="V566" s="2">
        <v>22</v>
      </c>
      <c r="W566" s="2">
        <v>8</v>
      </c>
      <c r="X566" s="2">
        <v>11</v>
      </c>
      <c r="AA566" s="3" t="s">
        <v>40</v>
      </c>
      <c r="AB566" s="2">
        <v>3</v>
      </c>
      <c r="AF566" s="2">
        <v>30</v>
      </c>
      <c r="AG566" s="2">
        <v>2</v>
      </c>
      <c r="AH566" s="3" t="s">
        <v>514</v>
      </c>
      <c r="AI566" s="4">
        <v>44727</v>
      </c>
      <c r="AJ566" s="3" t="s">
        <v>626</v>
      </c>
      <c r="AK566" s="3" t="s">
        <v>248</v>
      </c>
    </row>
    <row r="567" spans="1:37" hidden="1" x14ac:dyDescent="0.25">
      <c r="A567" t="str">
        <f t="shared" si="8"/>
        <v>2022_NSW_WaggaWagga_Chickpea_DetailedTOS2VarietyHatTrickWaterTrtRainFed</v>
      </c>
      <c r="B567" s="2">
        <v>2022003</v>
      </c>
      <c r="C567" s="3" t="s">
        <v>513</v>
      </c>
      <c r="D567" s="3" t="s">
        <v>248</v>
      </c>
      <c r="F567" s="3" t="s">
        <v>4178</v>
      </c>
      <c r="G567" s="3" t="s">
        <v>39</v>
      </c>
      <c r="H567" s="3" t="s">
        <v>250</v>
      </c>
      <c r="I567" s="2">
        <v>112</v>
      </c>
      <c r="J567" s="2">
        <v>56</v>
      </c>
      <c r="K567" s="2">
        <v>3</v>
      </c>
      <c r="O567" s="2">
        <v>6</v>
      </c>
      <c r="U567" s="2">
        <v>9</v>
      </c>
      <c r="V567" s="2">
        <v>23</v>
      </c>
      <c r="W567" s="2">
        <v>8</v>
      </c>
      <c r="X567" s="2">
        <v>12</v>
      </c>
      <c r="Z567" s="2">
        <v>41</v>
      </c>
      <c r="AA567" s="3" t="s">
        <v>40</v>
      </c>
      <c r="AB567" s="2">
        <v>3</v>
      </c>
      <c r="AF567" s="2">
        <v>30</v>
      </c>
      <c r="AG567" s="2">
        <v>2</v>
      </c>
      <c r="AH567" s="3" t="s">
        <v>514</v>
      </c>
      <c r="AI567" s="4">
        <v>44727</v>
      </c>
      <c r="AJ567" s="3" t="s">
        <v>627</v>
      </c>
      <c r="AK567" s="3" t="s">
        <v>248</v>
      </c>
    </row>
    <row r="568" spans="1:37" hidden="1" x14ac:dyDescent="0.25">
      <c r="A568" t="str">
        <f t="shared" si="8"/>
        <v>2022_NSW_WaggaWagga_Chickpea_DetailedTOS2VarietyCBA_CaptainWaterTrtRainFed</v>
      </c>
      <c r="B568" s="2">
        <v>2022003</v>
      </c>
      <c r="C568" s="3" t="s">
        <v>513</v>
      </c>
      <c r="D568" s="3" t="s">
        <v>248</v>
      </c>
      <c r="F568" s="3" t="s">
        <v>249</v>
      </c>
      <c r="G568" s="3" t="s">
        <v>43</v>
      </c>
      <c r="H568" s="3" t="s">
        <v>253</v>
      </c>
      <c r="I568" s="2">
        <v>113</v>
      </c>
      <c r="J568" s="2">
        <v>57</v>
      </c>
      <c r="K568" s="2">
        <v>4</v>
      </c>
      <c r="O568" s="2">
        <v>7</v>
      </c>
      <c r="U568" s="2">
        <v>6</v>
      </c>
      <c r="V568" s="2">
        <v>26</v>
      </c>
      <c r="W568" s="2">
        <v>5</v>
      </c>
      <c r="X568" s="2">
        <v>13</v>
      </c>
      <c r="AA568" s="3" t="s">
        <v>40</v>
      </c>
      <c r="AB568" s="2">
        <v>1</v>
      </c>
      <c r="AF568" s="2">
        <v>30</v>
      </c>
      <c r="AG568" s="2">
        <v>2</v>
      </c>
      <c r="AH568" s="3" t="s">
        <v>514</v>
      </c>
      <c r="AI568" s="4">
        <v>44727</v>
      </c>
      <c r="AJ568" s="3" t="s">
        <v>628</v>
      </c>
      <c r="AK568" s="3" t="s">
        <v>248</v>
      </c>
    </row>
    <row r="569" spans="1:37" hidden="1" x14ac:dyDescent="0.25">
      <c r="A569" t="str">
        <f t="shared" si="8"/>
        <v>2022_NSW_WaggaWagga_Chickpea_DetailedTOS2VarietyCBA_CaptainWaterTrtRainFed</v>
      </c>
      <c r="B569" s="2">
        <v>2022003</v>
      </c>
      <c r="C569" s="3" t="s">
        <v>513</v>
      </c>
      <c r="D569" s="3" t="s">
        <v>248</v>
      </c>
      <c r="F569" s="3" t="s">
        <v>249</v>
      </c>
      <c r="G569" s="3" t="s">
        <v>43</v>
      </c>
      <c r="H569" s="3" t="s">
        <v>250</v>
      </c>
      <c r="I569" s="2">
        <v>114</v>
      </c>
      <c r="J569" s="2">
        <v>57</v>
      </c>
      <c r="K569" s="2">
        <v>4</v>
      </c>
      <c r="O569" s="2">
        <v>7</v>
      </c>
      <c r="U569" s="2">
        <v>6</v>
      </c>
      <c r="V569" s="2">
        <v>27</v>
      </c>
      <c r="W569" s="2">
        <v>5</v>
      </c>
      <c r="X569" s="2">
        <v>14</v>
      </c>
      <c r="Z569" s="2">
        <v>53</v>
      </c>
      <c r="AA569" s="3" t="s">
        <v>40</v>
      </c>
      <c r="AB569" s="2">
        <v>1</v>
      </c>
      <c r="AF569" s="2">
        <v>30</v>
      </c>
      <c r="AG569" s="2">
        <v>2</v>
      </c>
      <c r="AH569" s="3" t="s">
        <v>514</v>
      </c>
      <c r="AI569" s="4">
        <v>44727</v>
      </c>
      <c r="AJ569" s="3" t="s">
        <v>629</v>
      </c>
      <c r="AK569" s="3" t="s">
        <v>248</v>
      </c>
    </row>
    <row r="570" spans="1:37" hidden="1" x14ac:dyDescent="0.25">
      <c r="A570" t="str">
        <f t="shared" si="8"/>
        <v>2022_NSW_WaggaWagga_Chickpea_DetailedTOS2VarietyDrummondWaterTrtRainFed</v>
      </c>
      <c r="B570" s="2">
        <v>2022003</v>
      </c>
      <c r="C570" s="3" t="s">
        <v>513</v>
      </c>
      <c r="D570" s="3" t="s">
        <v>248</v>
      </c>
      <c r="F570" s="3" t="s">
        <v>4182</v>
      </c>
      <c r="G570" s="3" t="s">
        <v>39</v>
      </c>
      <c r="H570" s="3" t="s">
        <v>253</v>
      </c>
      <c r="I570" s="2">
        <v>115</v>
      </c>
      <c r="J570" s="2">
        <v>58</v>
      </c>
      <c r="K570" s="2">
        <v>4</v>
      </c>
      <c r="O570" s="2">
        <v>7</v>
      </c>
      <c r="U570" s="2">
        <v>7</v>
      </c>
      <c r="V570" s="2">
        <v>26</v>
      </c>
      <c r="W570" s="2">
        <v>6</v>
      </c>
      <c r="X570" s="2">
        <v>13</v>
      </c>
      <c r="AA570" s="3" t="s">
        <v>40</v>
      </c>
      <c r="AB570" s="2">
        <v>2</v>
      </c>
      <c r="AF570" s="2">
        <v>30</v>
      </c>
      <c r="AG570" s="2">
        <v>2</v>
      </c>
      <c r="AH570" s="3" t="s">
        <v>514</v>
      </c>
      <c r="AI570" s="4">
        <v>44727</v>
      </c>
      <c r="AJ570" s="3" t="s">
        <v>630</v>
      </c>
      <c r="AK570" s="3" t="s">
        <v>248</v>
      </c>
    </row>
    <row r="571" spans="1:37" hidden="1" x14ac:dyDescent="0.25">
      <c r="A571" t="str">
        <f t="shared" si="8"/>
        <v>2022_NSW_WaggaWagga_Chickpea_DetailedTOS2VarietyDrummondWaterTrtRainFed</v>
      </c>
      <c r="B571" s="2">
        <v>2022003</v>
      </c>
      <c r="C571" s="3" t="s">
        <v>513</v>
      </c>
      <c r="D571" s="3" t="s">
        <v>248</v>
      </c>
      <c r="F571" s="3" t="s">
        <v>4182</v>
      </c>
      <c r="G571" s="3" t="s">
        <v>39</v>
      </c>
      <c r="H571" s="3" t="s">
        <v>250</v>
      </c>
      <c r="I571" s="2">
        <v>116</v>
      </c>
      <c r="J571" s="2">
        <v>58</v>
      </c>
      <c r="K571" s="2">
        <v>4</v>
      </c>
      <c r="O571" s="2">
        <v>7</v>
      </c>
      <c r="U571" s="2">
        <v>7</v>
      </c>
      <c r="V571" s="2">
        <v>27</v>
      </c>
      <c r="W571" s="2">
        <v>6</v>
      </c>
      <c r="X571" s="2">
        <v>14</v>
      </c>
      <c r="Z571" s="2">
        <v>54</v>
      </c>
      <c r="AA571" s="3" t="s">
        <v>40</v>
      </c>
      <c r="AB571" s="2">
        <v>2</v>
      </c>
      <c r="AF571" s="2">
        <v>30</v>
      </c>
      <c r="AG571" s="2">
        <v>2</v>
      </c>
      <c r="AH571" s="3" t="s">
        <v>514</v>
      </c>
      <c r="AI571" s="4">
        <v>44727</v>
      </c>
      <c r="AJ571" s="3" t="s">
        <v>631</v>
      </c>
      <c r="AK571" s="3" t="s">
        <v>248</v>
      </c>
    </row>
    <row r="572" spans="1:37" hidden="1" x14ac:dyDescent="0.25">
      <c r="A572" t="str">
        <f t="shared" si="8"/>
        <v>2022_NSW_WaggaWagga_Chickpea_DetailedTOS2VarietyHatTrickWaterTrtRainFed</v>
      </c>
      <c r="B572" s="2">
        <v>2022003</v>
      </c>
      <c r="C572" s="3" t="s">
        <v>513</v>
      </c>
      <c r="D572" s="3" t="s">
        <v>248</v>
      </c>
      <c r="F572" s="3" t="s">
        <v>4178</v>
      </c>
      <c r="G572" s="3" t="s">
        <v>39</v>
      </c>
      <c r="H572" s="3" t="s">
        <v>253</v>
      </c>
      <c r="I572" s="2">
        <v>117</v>
      </c>
      <c r="J572" s="2">
        <v>59</v>
      </c>
      <c r="K572" s="2">
        <v>4</v>
      </c>
      <c r="O572" s="2">
        <v>7</v>
      </c>
      <c r="U572" s="2">
        <v>8</v>
      </c>
      <c r="V572" s="2">
        <v>26</v>
      </c>
      <c r="W572" s="2">
        <v>7</v>
      </c>
      <c r="X572" s="2">
        <v>13</v>
      </c>
      <c r="AA572" s="3" t="s">
        <v>40</v>
      </c>
      <c r="AB572" s="2">
        <v>3</v>
      </c>
      <c r="AF572" s="2">
        <v>30</v>
      </c>
      <c r="AG572" s="2">
        <v>2</v>
      </c>
      <c r="AH572" s="3" t="s">
        <v>514</v>
      </c>
      <c r="AI572" s="4">
        <v>44727</v>
      </c>
      <c r="AJ572" s="3" t="s">
        <v>632</v>
      </c>
      <c r="AK572" s="3" t="s">
        <v>248</v>
      </c>
    </row>
    <row r="573" spans="1:37" hidden="1" x14ac:dyDescent="0.25">
      <c r="A573" t="str">
        <f t="shared" si="8"/>
        <v>2022_NSW_WaggaWagga_Chickpea_DetailedTOS2VarietyHatTrickWaterTrtRainFed</v>
      </c>
      <c r="B573" s="2">
        <v>2022003</v>
      </c>
      <c r="C573" s="3" t="s">
        <v>513</v>
      </c>
      <c r="D573" s="3" t="s">
        <v>248</v>
      </c>
      <c r="F573" s="3" t="s">
        <v>4178</v>
      </c>
      <c r="G573" s="3" t="s">
        <v>39</v>
      </c>
      <c r="H573" s="3" t="s">
        <v>250</v>
      </c>
      <c r="I573" s="2">
        <v>118</v>
      </c>
      <c r="J573" s="2">
        <v>59</v>
      </c>
      <c r="K573" s="2">
        <v>4</v>
      </c>
      <c r="O573" s="2">
        <v>7</v>
      </c>
      <c r="U573" s="2">
        <v>8</v>
      </c>
      <c r="V573" s="2">
        <v>27</v>
      </c>
      <c r="W573" s="2">
        <v>7</v>
      </c>
      <c r="X573" s="2">
        <v>14</v>
      </c>
      <c r="Z573" s="2">
        <v>55</v>
      </c>
      <c r="AA573" s="3" t="s">
        <v>40</v>
      </c>
      <c r="AB573" s="2">
        <v>3</v>
      </c>
      <c r="AF573" s="2">
        <v>30</v>
      </c>
      <c r="AG573" s="2">
        <v>2</v>
      </c>
      <c r="AH573" s="3" t="s">
        <v>514</v>
      </c>
      <c r="AI573" s="4">
        <v>44727</v>
      </c>
      <c r="AJ573" s="3" t="s">
        <v>633</v>
      </c>
      <c r="AK573" s="3" t="s">
        <v>248</v>
      </c>
    </row>
    <row r="574" spans="1:37" hidden="1" x14ac:dyDescent="0.25">
      <c r="A574" t="str">
        <f t="shared" si="8"/>
        <v>2022_NSW_WaggaWagga_Chickpea_DetailedTOS2VarietyStrikerWaterTrtRainFed</v>
      </c>
      <c r="B574" s="2">
        <v>2022003</v>
      </c>
      <c r="C574" s="3" t="s">
        <v>513</v>
      </c>
      <c r="D574" s="3" t="s">
        <v>248</v>
      </c>
      <c r="F574" s="3" t="s">
        <v>4179</v>
      </c>
      <c r="G574" s="3" t="s">
        <v>43</v>
      </c>
      <c r="H574" s="3" t="s">
        <v>253</v>
      </c>
      <c r="I574" s="2">
        <v>119</v>
      </c>
      <c r="J574" s="2">
        <v>60</v>
      </c>
      <c r="K574" s="2">
        <v>4</v>
      </c>
      <c r="O574" s="2">
        <v>7</v>
      </c>
      <c r="U574" s="2">
        <v>9</v>
      </c>
      <c r="V574" s="2">
        <v>26</v>
      </c>
      <c r="W574" s="2">
        <v>8</v>
      </c>
      <c r="X574" s="2">
        <v>13</v>
      </c>
      <c r="AA574" s="3" t="s">
        <v>40</v>
      </c>
      <c r="AB574" s="2">
        <v>4</v>
      </c>
      <c r="AF574" s="2">
        <v>30</v>
      </c>
      <c r="AG574" s="2">
        <v>2</v>
      </c>
      <c r="AH574" s="3" t="s">
        <v>514</v>
      </c>
      <c r="AI574" s="4">
        <v>44727</v>
      </c>
      <c r="AJ574" s="3" t="s">
        <v>634</v>
      </c>
      <c r="AK574" s="3" t="s">
        <v>248</v>
      </c>
    </row>
    <row r="575" spans="1:37" hidden="1" x14ac:dyDescent="0.25">
      <c r="A575" t="str">
        <f t="shared" si="8"/>
        <v>2022_NSW_WaggaWagga_Chickpea_DetailedTOS2VarietyStrikerWaterTrtRainFed</v>
      </c>
      <c r="B575" s="2">
        <v>2022003</v>
      </c>
      <c r="C575" s="3" t="s">
        <v>513</v>
      </c>
      <c r="D575" s="3" t="s">
        <v>248</v>
      </c>
      <c r="F575" s="3" t="s">
        <v>4179</v>
      </c>
      <c r="G575" s="3" t="s">
        <v>43</v>
      </c>
      <c r="H575" s="3" t="s">
        <v>250</v>
      </c>
      <c r="I575" s="2">
        <v>120</v>
      </c>
      <c r="J575" s="2">
        <v>60</v>
      </c>
      <c r="K575" s="2">
        <v>4</v>
      </c>
      <c r="O575" s="2">
        <v>7</v>
      </c>
      <c r="U575" s="2">
        <v>9</v>
      </c>
      <c r="V575" s="2">
        <v>27</v>
      </c>
      <c r="W575" s="2">
        <v>8</v>
      </c>
      <c r="X575" s="2">
        <v>14</v>
      </c>
      <c r="Z575" s="2">
        <v>56</v>
      </c>
      <c r="AA575" s="3" t="s">
        <v>40</v>
      </c>
      <c r="AB575" s="2">
        <v>4</v>
      </c>
      <c r="AF575" s="2">
        <v>30</v>
      </c>
      <c r="AG575" s="2">
        <v>2</v>
      </c>
      <c r="AH575" s="3" t="s">
        <v>514</v>
      </c>
      <c r="AI575" s="4">
        <v>44727</v>
      </c>
      <c r="AJ575" s="3" t="s">
        <v>635</v>
      </c>
      <c r="AK575" s="3" t="s">
        <v>248</v>
      </c>
    </row>
    <row r="576" spans="1:37" hidden="1" x14ac:dyDescent="0.25">
      <c r="A576" t="str">
        <f t="shared" si="8"/>
        <v>2022_NSW_WaggaWagga_Chickpea_DetailedTOS1VarietyDrummondWaterTrtRainFed</v>
      </c>
      <c r="B576" s="2">
        <v>2022003</v>
      </c>
      <c r="C576" s="3" t="s">
        <v>513</v>
      </c>
      <c r="D576" s="3" t="s">
        <v>248</v>
      </c>
      <c r="F576" s="3" t="s">
        <v>4182</v>
      </c>
      <c r="G576" s="3" t="s">
        <v>39</v>
      </c>
      <c r="H576" s="3" t="s">
        <v>253</v>
      </c>
      <c r="I576" s="2">
        <v>121</v>
      </c>
      <c r="J576" s="2">
        <v>61</v>
      </c>
      <c r="K576" s="2">
        <v>4</v>
      </c>
      <c r="O576" s="2">
        <v>8</v>
      </c>
      <c r="U576" s="2">
        <v>6</v>
      </c>
      <c r="V576" s="2">
        <v>30</v>
      </c>
      <c r="W576" s="2">
        <v>5</v>
      </c>
      <c r="X576" s="2">
        <v>15</v>
      </c>
      <c r="AA576" s="3" t="s">
        <v>40</v>
      </c>
      <c r="AB576" s="2">
        <v>2</v>
      </c>
      <c r="AF576" s="2">
        <v>30</v>
      </c>
      <c r="AG576" s="2">
        <v>1</v>
      </c>
      <c r="AH576" s="3" t="s">
        <v>523</v>
      </c>
      <c r="AI576" s="4">
        <v>44692</v>
      </c>
      <c r="AJ576" s="3" t="s">
        <v>636</v>
      </c>
      <c r="AK576" s="3" t="s">
        <v>248</v>
      </c>
    </row>
    <row r="577" spans="1:37" hidden="1" x14ac:dyDescent="0.25">
      <c r="A577" t="str">
        <f t="shared" si="8"/>
        <v>2022_NSW_WaggaWagga_Chickpea_DetailedTOS1VarietyDrummondWaterTrtRainFed</v>
      </c>
      <c r="B577" s="2">
        <v>2022003</v>
      </c>
      <c r="C577" s="3" t="s">
        <v>513</v>
      </c>
      <c r="D577" s="3" t="s">
        <v>248</v>
      </c>
      <c r="F577" s="3" t="s">
        <v>4182</v>
      </c>
      <c r="G577" s="3" t="s">
        <v>39</v>
      </c>
      <c r="H577" s="3" t="s">
        <v>250</v>
      </c>
      <c r="I577" s="2">
        <v>122</v>
      </c>
      <c r="J577" s="2">
        <v>61</v>
      </c>
      <c r="K577" s="2">
        <v>4</v>
      </c>
      <c r="O577" s="2">
        <v>8</v>
      </c>
      <c r="U577" s="2">
        <v>6</v>
      </c>
      <c r="V577" s="2">
        <v>31</v>
      </c>
      <c r="W577" s="2">
        <v>5</v>
      </c>
      <c r="X577" s="2">
        <v>16</v>
      </c>
      <c r="Z577" s="2">
        <v>60</v>
      </c>
      <c r="AA577" s="3" t="s">
        <v>40</v>
      </c>
      <c r="AB577" s="2">
        <v>2</v>
      </c>
      <c r="AF577" s="2">
        <v>30</v>
      </c>
      <c r="AG577" s="2">
        <v>1</v>
      </c>
      <c r="AH577" s="3" t="s">
        <v>523</v>
      </c>
      <c r="AI577" s="4">
        <v>44692</v>
      </c>
      <c r="AJ577" s="3" t="s">
        <v>637</v>
      </c>
      <c r="AK577" s="3" t="s">
        <v>248</v>
      </c>
    </row>
    <row r="578" spans="1:37" hidden="1" x14ac:dyDescent="0.25">
      <c r="A578" t="str">
        <f t="shared" si="8"/>
        <v>2022_NSW_WaggaWagga_Chickpea_DetailedTOS1VarietyStrikerWaterTrtRainFed</v>
      </c>
      <c r="B578" s="2">
        <v>2022003</v>
      </c>
      <c r="C578" s="3" t="s">
        <v>513</v>
      </c>
      <c r="D578" s="3" t="s">
        <v>248</v>
      </c>
      <c r="F578" s="3" t="s">
        <v>4179</v>
      </c>
      <c r="G578" s="3" t="s">
        <v>43</v>
      </c>
      <c r="H578" s="3" t="s">
        <v>253</v>
      </c>
      <c r="I578" s="2">
        <v>123</v>
      </c>
      <c r="J578" s="2">
        <v>62</v>
      </c>
      <c r="K578" s="2">
        <v>4</v>
      </c>
      <c r="O578" s="2">
        <v>8</v>
      </c>
      <c r="U578" s="2">
        <v>7</v>
      </c>
      <c r="V578" s="2">
        <v>30</v>
      </c>
      <c r="W578" s="2">
        <v>6</v>
      </c>
      <c r="X578" s="2">
        <v>15</v>
      </c>
      <c r="AA578" s="3" t="s">
        <v>40</v>
      </c>
      <c r="AB578" s="2">
        <v>4</v>
      </c>
      <c r="AF578" s="2">
        <v>30</v>
      </c>
      <c r="AG578" s="2">
        <v>1</v>
      </c>
      <c r="AH578" s="3" t="s">
        <v>523</v>
      </c>
      <c r="AI578" s="4">
        <v>44692</v>
      </c>
      <c r="AJ578" s="3" t="s">
        <v>638</v>
      </c>
      <c r="AK578" s="3" t="s">
        <v>248</v>
      </c>
    </row>
    <row r="579" spans="1:37" hidden="1" x14ac:dyDescent="0.25">
      <c r="A579" t="str">
        <f t="shared" ref="A579:A642" si="9">C579&amp;"TOS"&amp;AG579&amp;"Variety"&amp;F579&amp;"WaterTrt"&amp;AA579&amp;IF(AC579="","","Agronomy"&amp;AC579)</f>
        <v>2022_NSW_WaggaWagga_Chickpea_DetailedTOS1VarietyStrikerWaterTrtRainFed</v>
      </c>
      <c r="B579" s="2">
        <v>2022003</v>
      </c>
      <c r="C579" s="3" t="s">
        <v>513</v>
      </c>
      <c r="D579" s="3" t="s">
        <v>248</v>
      </c>
      <c r="F579" s="3" t="s">
        <v>4179</v>
      </c>
      <c r="G579" s="3" t="s">
        <v>43</v>
      </c>
      <c r="H579" s="3" t="s">
        <v>250</v>
      </c>
      <c r="I579" s="2">
        <v>124</v>
      </c>
      <c r="J579" s="2">
        <v>62</v>
      </c>
      <c r="K579" s="2">
        <v>4</v>
      </c>
      <c r="O579" s="2">
        <v>8</v>
      </c>
      <c r="U579" s="2">
        <v>7</v>
      </c>
      <c r="V579" s="2">
        <v>31</v>
      </c>
      <c r="W579" s="2">
        <v>6</v>
      </c>
      <c r="X579" s="2">
        <v>16</v>
      </c>
      <c r="Z579" s="2">
        <v>59</v>
      </c>
      <c r="AA579" s="3" t="s">
        <v>40</v>
      </c>
      <c r="AB579" s="2">
        <v>4</v>
      </c>
      <c r="AF579" s="2">
        <v>30</v>
      </c>
      <c r="AG579" s="2">
        <v>1</v>
      </c>
      <c r="AH579" s="3" t="s">
        <v>523</v>
      </c>
      <c r="AI579" s="4">
        <v>44692</v>
      </c>
      <c r="AJ579" s="3" t="s">
        <v>639</v>
      </c>
      <c r="AK579" s="3" t="s">
        <v>248</v>
      </c>
    </row>
    <row r="580" spans="1:37" hidden="1" x14ac:dyDescent="0.25">
      <c r="A580" t="str">
        <f t="shared" si="9"/>
        <v>2022_NSW_WaggaWagga_Chickpea_DetailedTOS1VarietyCBA_CaptainWaterTrtRainFed</v>
      </c>
      <c r="B580" s="2">
        <v>2022003</v>
      </c>
      <c r="C580" s="3" t="s">
        <v>513</v>
      </c>
      <c r="D580" s="3" t="s">
        <v>248</v>
      </c>
      <c r="F580" s="3" t="s">
        <v>249</v>
      </c>
      <c r="G580" s="3" t="s">
        <v>43</v>
      </c>
      <c r="H580" s="3" t="s">
        <v>253</v>
      </c>
      <c r="I580" s="2">
        <v>125</v>
      </c>
      <c r="J580" s="2">
        <v>63</v>
      </c>
      <c r="K580" s="2">
        <v>4</v>
      </c>
      <c r="O580" s="2">
        <v>8</v>
      </c>
      <c r="U580" s="2">
        <v>8</v>
      </c>
      <c r="V580" s="2">
        <v>30</v>
      </c>
      <c r="W580" s="2">
        <v>7</v>
      </c>
      <c r="X580" s="2">
        <v>15</v>
      </c>
      <c r="AA580" s="3" t="s">
        <v>40</v>
      </c>
      <c r="AB580" s="2">
        <v>1</v>
      </c>
      <c r="AF580" s="2">
        <v>30</v>
      </c>
      <c r="AG580" s="2">
        <v>1</v>
      </c>
      <c r="AH580" s="3" t="s">
        <v>523</v>
      </c>
      <c r="AI580" s="4">
        <v>44692</v>
      </c>
      <c r="AJ580" s="3" t="s">
        <v>640</v>
      </c>
      <c r="AK580" s="3" t="s">
        <v>248</v>
      </c>
    </row>
    <row r="581" spans="1:37" hidden="1" x14ac:dyDescent="0.25">
      <c r="A581" t="str">
        <f t="shared" si="9"/>
        <v>2022_NSW_WaggaWagga_Chickpea_DetailedTOS1VarietyCBA_CaptainWaterTrtRainFed</v>
      </c>
      <c r="B581" s="2">
        <v>2022003</v>
      </c>
      <c r="C581" s="3" t="s">
        <v>513</v>
      </c>
      <c r="D581" s="3" t="s">
        <v>248</v>
      </c>
      <c r="F581" s="3" t="s">
        <v>249</v>
      </c>
      <c r="G581" s="3" t="s">
        <v>43</v>
      </c>
      <c r="H581" s="3" t="s">
        <v>250</v>
      </c>
      <c r="I581" s="2">
        <v>126</v>
      </c>
      <c r="J581" s="2">
        <v>63</v>
      </c>
      <c r="K581" s="2">
        <v>4</v>
      </c>
      <c r="O581" s="2">
        <v>8</v>
      </c>
      <c r="U581" s="2">
        <v>8</v>
      </c>
      <c r="V581" s="2">
        <v>31</v>
      </c>
      <c r="W581" s="2">
        <v>7</v>
      </c>
      <c r="X581" s="2">
        <v>16</v>
      </c>
      <c r="Z581" s="2">
        <v>58</v>
      </c>
      <c r="AA581" s="3" t="s">
        <v>40</v>
      </c>
      <c r="AB581" s="2">
        <v>1</v>
      </c>
      <c r="AF581" s="2">
        <v>30</v>
      </c>
      <c r="AG581" s="2">
        <v>1</v>
      </c>
      <c r="AH581" s="3" t="s">
        <v>523</v>
      </c>
      <c r="AI581" s="4">
        <v>44692</v>
      </c>
      <c r="AJ581" s="3" t="s">
        <v>641</v>
      </c>
      <c r="AK581" s="3" t="s">
        <v>248</v>
      </c>
    </row>
    <row r="582" spans="1:37" hidden="1" x14ac:dyDescent="0.25">
      <c r="A582" t="str">
        <f t="shared" si="9"/>
        <v>2022_NSW_WaggaWagga_Chickpea_DetailedTOS1VarietyHatTrickWaterTrtRainFed</v>
      </c>
      <c r="B582" s="2">
        <v>2022003</v>
      </c>
      <c r="C582" s="3" t="s">
        <v>513</v>
      </c>
      <c r="D582" s="3" t="s">
        <v>248</v>
      </c>
      <c r="F582" s="3" t="s">
        <v>4178</v>
      </c>
      <c r="G582" s="3" t="s">
        <v>39</v>
      </c>
      <c r="H582" s="3" t="s">
        <v>253</v>
      </c>
      <c r="I582" s="2">
        <v>127</v>
      </c>
      <c r="J582" s="2">
        <v>64</v>
      </c>
      <c r="K582" s="2">
        <v>4</v>
      </c>
      <c r="O582" s="2">
        <v>8</v>
      </c>
      <c r="U582" s="2">
        <v>9</v>
      </c>
      <c r="V582" s="2">
        <v>30</v>
      </c>
      <c r="W582" s="2">
        <v>8</v>
      </c>
      <c r="X582" s="2">
        <v>15</v>
      </c>
      <c r="AA582" s="3" t="s">
        <v>40</v>
      </c>
      <c r="AB582" s="2">
        <v>3</v>
      </c>
      <c r="AF582" s="2">
        <v>30</v>
      </c>
      <c r="AG582" s="2">
        <v>1</v>
      </c>
      <c r="AH582" s="3" t="s">
        <v>523</v>
      </c>
      <c r="AI582" s="4">
        <v>44692</v>
      </c>
      <c r="AJ582" s="3" t="s">
        <v>642</v>
      </c>
      <c r="AK582" s="3" t="s">
        <v>248</v>
      </c>
    </row>
    <row r="583" spans="1:37" hidden="1" x14ac:dyDescent="0.25">
      <c r="A583" t="str">
        <f t="shared" si="9"/>
        <v>2022_NSW_WaggaWagga_Chickpea_DetailedTOS1VarietyHatTrickWaterTrtRainFed</v>
      </c>
      <c r="B583" s="2">
        <v>2022003</v>
      </c>
      <c r="C583" s="3" t="s">
        <v>513</v>
      </c>
      <c r="D583" s="3" t="s">
        <v>248</v>
      </c>
      <c r="F583" s="3" t="s">
        <v>4178</v>
      </c>
      <c r="G583" s="3" t="s">
        <v>39</v>
      </c>
      <c r="H583" s="3" t="s">
        <v>250</v>
      </c>
      <c r="I583" s="2">
        <v>128</v>
      </c>
      <c r="J583" s="2">
        <v>64</v>
      </c>
      <c r="K583" s="2">
        <v>4</v>
      </c>
      <c r="O583" s="2">
        <v>8</v>
      </c>
      <c r="U583" s="2">
        <v>9</v>
      </c>
      <c r="V583" s="2">
        <v>31</v>
      </c>
      <c r="W583" s="2">
        <v>8</v>
      </c>
      <c r="X583" s="2">
        <v>16</v>
      </c>
      <c r="Z583" s="2">
        <v>57</v>
      </c>
      <c r="AA583" s="3" t="s">
        <v>40</v>
      </c>
      <c r="AB583" s="2">
        <v>3</v>
      </c>
      <c r="AF583" s="2">
        <v>30</v>
      </c>
      <c r="AG583" s="2">
        <v>1</v>
      </c>
      <c r="AH583" s="3" t="s">
        <v>523</v>
      </c>
      <c r="AI583" s="4">
        <v>44692</v>
      </c>
      <c r="AJ583" s="3" t="s">
        <v>643</v>
      </c>
      <c r="AK583" s="3" t="s">
        <v>248</v>
      </c>
    </row>
    <row r="584" spans="1:37" hidden="1" x14ac:dyDescent="0.25">
      <c r="A584" t="str">
        <f t="shared" si="9"/>
        <v>2022_SA_Riverton_Fababean_DetailedTOS2VarietySamiraWaterTrtIrrigated</v>
      </c>
      <c r="B584" s="2">
        <v>2022004</v>
      </c>
      <c r="C584" s="3" t="s">
        <v>644</v>
      </c>
      <c r="D584" s="3" t="s">
        <v>645</v>
      </c>
      <c r="F584" s="3" t="s">
        <v>4183</v>
      </c>
      <c r="G584" s="3" t="s">
        <v>43</v>
      </c>
      <c r="H584" s="3" t="s">
        <v>253</v>
      </c>
      <c r="I584" s="2">
        <v>1</v>
      </c>
      <c r="J584" s="2">
        <v>1</v>
      </c>
      <c r="K584" s="2">
        <v>1</v>
      </c>
      <c r="O584" s="2">
        <v>1</v>
      </c>
      <c r="U584" s="2">
        <v>1</v>
      </c>
      <c r="V584" s="2">
        <v>2</v>
      </c>
      <c r="W584" s="2">
        <v>1</v>
      </c>
      <c r="X584" s="2">
        <v>1</v>
      </c>
      <c r="AA584" s="3" t="s">
        <v>57</v>
      </c>
      <c r="AB584" s="2">
        <v>4</v>
      </c>
      <c r="AF584" s="2">
        <v>23</v>
      </c>
      <c r="AG584" s="2">
        <v>2</v>
      </c>
      <c r="AH584" s="3" t="s">
        <v>646</v>
      </c>
      <c r="AI584" s="4">
        <v>44756</v>
      </c>
      <c r="AJ584" s="3" t="s">
        <v>647</v>
      </c>
      <c r="AK584" s="3" t="s">
        <v>645</v>
      </c>
    </row>
    <row r="585" spans="1:37" hidden="1" x14ac:dyDescent="0.25">
      <c r="A585" t="str">
        <f t="shared" si="9"/>
        <v>2022_SA_Riverton_Fababean_DetailedTOS2VarietySamiraWaterTrtIrrigated</v>
      </c>
      <c r="B585" s="2">
        <v>2022004</v>
      </c>
      <c r="C585" s="3" t="s">
        <v>644</v>
      </c>
      <c r="D585" s="3" t="s">
        <v>645</v>
      </c>
      <c r="F585" s="3" t="s">
        <v>4183</v>
      </c>
      <c r="G585" s="3" t="s">
        <v>43</v>
      </c>
      <c r="H585" s="3" t="s">
        <v>250</v>
      </c>
      <c r="I585" s="2">
        <v>2</v>
      </c>
      <c r="J585" s="2">
        <v>1</v>
      </c>
      <c r="K585" s="2">
        <v>1</v>
      </c>
      <c r="O585" s="2">
        <v>1</v>
      </c>
      <c r="U585" s="2">
        <v>2</v>
      </c>
      <c r="V585" s="2">
        <v>2</v>
      </c>
      <c r="W585" s="2">
        <v>2</v>
      </c>
      <c r="X585" s="2">
        <v>1</v>
      </c>
      <c r="Z585" s="2">
        <v>2</v>
      </c>
      <c r="AA585" s="3" t="s">
        <v>57</v>
      </c>
      <c r="AB585" s="2">
        <v>4</v>
      </c>
      <c r="AF585" s="2">
        <v>23</v>
      </c>
      <c r="AG585" s="2">
        <v>2</v>
      </c>
      <c r="AH585" s="3" t="s">
        <v>646</v>
      </c>
      <c r="AI585" s="4">
        <v>44756</v>
      </c>
      <c r="AJ585" s="3" t="s">
        <v>648</v>
      </c>
      <c r="AK585" s="3" t="s">
        <v>645</v>
      </c>
    </row>
    <row r="586" spans="1:37" hidden="1" x14ac:dyDescent="0.25">
      <c r="A586" t="str">
        <f t="shared" si="9"/>
        <v>2022_SA_Riverton_Fababean_DetailedTOS2VarietyMarneWaterTrtIrrigated</v>
      </c>
      <c r="B586" s="2">
        <v>2022004</v>
      </c>
      <c r="C586" s="3" t="s">
        <v>644</v>
      </c>
      <c r="D586" s="3" t="s">
        <v>645</v>
      </c>
      <c r="F586" s="3" t="s">
        <v>4184</v>
      </c>
      <c r="G586" s="3" t="s">
        <v>39</v>
      </c>
      <c r="H586" s="3" t="s">
        <v>253</v>
      </c>
      <c r="I586" s="2">
        <v>3</v>
      </c>
      <c r="J586" s="2">
        <v>2</v>
      </c>
      <c r="K586" s="2">
        <v>1</v>
      </c>
      <c r="O586" s="2">
        <v>1</v>
      </c>
      <c r="U586" s="2">
        <v>3</v>
      </c>
      <c r="V586" s="2">
        <v>2</v>
      </c>
      <c r="W586" s="2">
        <v>3</v>
      </c>
      <c r="X586" s="2">
        <v>1</v>
      </c>
      <c r="AA586" s="3" t="s">
        <v>57</v>
      </c>
      <c r="AB586" s="2">
        <v>2</v>
      </c>
      <c r="AF586" s="2">
        <v>23</v>
      </c>
      <c r="AG586" s="2">
        <v>2</v>
      </c>
      <c r="AH586" s="3" t="s">
        <v>646</v>
      </c>
      <c r="AI586" s="4">
        <v>44756</v>
      </c>
      <c r="AJ586" s="3" t="s">
        <v>649</v>
      </c>
      <c r="AK586" s="3" t="s">
        <v>645</v>
      </c>
    </row>
    <row r="587" spans="1:37" hidden="1" x14ac:dyDescent="0.25">
      <c r="A587" t="str">
        <f t="shared" si="9"/>
        <v>2022_SA_Riverton_Fababean_DetailedTOS2VarietyMarneWaterTrtIrrigated</v>
      </c>
      <c r="B587" s="2">
        <v>2022004</v>
      </c>
      <c r="C587" s="3" t="s">
        <v>644</v>
      </c>
      <c r="D587" s="3" t="s">
        <v>645</v>
      </c>
      <c r="F587" s="3" t="s">
        <v>4184</v>
      </c>
      <c r="G587" s="3" t="s">
        <v>39</v>
      </c>
      <c r="H587" s="3" t="s">
        <v>250</v>
      </c>
      <c r="I587" s="2">
        <v>4</v>
      </c>
      <c r="J587" s="2">
        <v>2</v>
      </c>
      <c r="K587" s="2">
        <v>1</v>
      </c>
      <c r="O587" s="2">
        <v>1</v>
      </c>
      <c r="U587" s="2">
        <v>4</v>
      </c>
      <c r="V587" s="2">
        <v>2</v>
      </c>
      <c r="W587" s="2">
        <v>4</v>
      </c>
      <c r="X587" s="2">
        <v>1</v>
      </c>
      <c r="Z587" s="2">
        <v>4</v>
      </c>
      <c r="AA587" s="3" t="s">
        <v>57</v>
      </c>
      <c r="AB587" s="2">
        <v>2</v>
      </c>
      <c r="AF587" s="2">
        <v>23</v>
      </c>
      <c r="AG587" s="2">
        <v>2</v>
      </c>
      <c r="AH587" s="3" t="s">
        <v>646</v>
      </c>
      <c r="AI587" s="4">
        <v>44756</v>
      </c>
      <c r="AJ587" s="3" t="s">
        <v>650</v>
      </c>
      <c r="AK587" s="3" t="s">
        <v>645</v>
      </c>
    </row>
    <row r="588" spans="1:37" hidden="1" x14ac:dyDescent="0.25">
      <c r="A588" t="str">
        <f t="shared" si="9"/>
        <v>2022_SA_Riverton_Fababean_DetailedTOS2VarietyAmberleyWaterTrtIrrigated</v>
      </c>
      <c r="B588" s="2">
        <v>2022004</v>
      </c>
      <c r="C588" s="3" t="s">
        <v>644</v>
      </c>
      <c r="D588" s="3" t="s">
        <v>645</v>
      </c>
      <c r="F588" s="3" t="s">
        <v>4185</v>
      </c>
      <c r="G588" s="3" t="s">
        <v>39</v>
      </c>
      <c r="H588" s="3" t="s">
        <v>253</v>
      </c>
      <c r="I588" s="2">
        <v>5</v>
      </c>
      <c r="J588" s="2">
        <v>3</v>
      </c>
      <c r="K588" s="2">
        <v>1</v>
      </c>
      <c r="O588" s="2">
        <v>1</v>
      </c>
      <c r="U588" s="2">
        <v>1</v>
      </c>
      <c r="V588" s="2">
        <v>3</v>
      </c>
      <c r="W588" s="2">
        <v>1</v>
      </c>
      <c r="X588" s="2">
        <v>2</v>
      </c>
      <c r="AA588" s="3" t="s">
        <v>57</v>
      </c>
      <c r="AB588" s="2">
        <v>1</v>
      </c>
      <c r="AF588" s="2">
        <v>23</v>
      </c>
      <c r="AG588" s="2">
        <v>2</v>
      </c>
      <c r="AH588" s="3" t="s">
        <v>646</v>
      </c>
      <c r="AI588" s="4">
        <v>44756</v>
      </c>
      <c r="AJ588" s="3" t="s">
        <v>651</v>
      </c>
      <c r="AK588" s="3" t="s">
        <v>645</v>
      </c>
    </row>
    <row r="589" spans="1:37" hidden="1" x14ac:dyDescent="0.25">
      <c r="A589" t="str">
        <f t="shared" si="9"/>
        <v>2022_SA_Riverton_Fababean_DetailedTOS2VarietyAmberleyWaterTrtIrrigated</v>
      </c>
      <c r="B589" s="2">
        <v>2022004</v>
      </c>
      <c r="C589" s="3" t="s">
        <v>644</v>
      </c>
      <c r="D589" s="3" t="s">
        <v>645</v>
      </c>
      <c r="F589" s="3" t="s">
        <v>4185</v>
      </c>
      <c r="G589" s="3" t="s">
        <v>39</v>
      </c>
      <c r="H589" s="3" t="s">
        <v>250</v>
      </c>
      <c r="I589" s="2">
        <v>6</v>
      </c>
      <c r="J589" s="2">
        <v>3</v>
      </c>
      <c r="K589" s="2">
        <v>1</v>
      </c>
      <c r="O589" s="2">
        <v>1</v>
      </c>
      <c r="U589" s="2">
        <v>2</v>
      </c>
      <c r="V589" s="2">
        <v>3</v>
      </c>
      <c r="W589" s="2">
        <v>2</v>
      </c>
      <c r="X589" s="2">
        <v>2</v>
      </c>
      <c r="Z589" s="2">
        <v>7</v>
      </c>
      <c r="AA589" s="3" t="s">
        <v>57</v>
      </c>
      <c r="AB589" s="2">
        <v>1</v>
      </c>
      <c r="AF589" s="2">
        <v>23</v>
      </c>
      <c r="AG589" s="2">
        <v>2</v>
      </c>
      <c r="AH589" s="3" t="s">
        <v>646</v>
      </c>
      <c r="AI589" s="4">
        <v>44756</v>
      </c>
      <c r="AJ589" s="3" t="s">
        <v>652</v>
      </c>
      <c r="AK589" s="3" t="s">
        <v>645</v>
      </c>
    </row>
    <row r="590" spans="1:37" hidden="1" x14ac:dyDescent="0.25">
      <c r="A590" t="str">
        <f t="shared" si="9"/>
        <v>2022_SA_Riverton_Fababean_DetailedTOS2VarietyNasmaWaterTrtIrrigated</v>
      </c>
      <c r="B590" s="2">
        <v>2022004</v>
      </c>
      <c r="C590" s="3" t="s">
        <v>644</v>
      </c>
      <c r="D590" s="3" t="s">
        <v>645</v>
      </c>
      <c r="F590" s="3" t="s">
        <v>4186</v>
      </c>
      <c r="G590" s="3" t="s">
        <v>43</v>
      </c>
      <c r="H590" s="3" t="s">
        <v>253</v>
      </c>
      <c r="I590" s="2">
        <v>7</v>
      </c>
      <c r="J590" s="2">
        <v>4</v>
      </c>
      <c r="K590" s="2">
        <v>1</v>
      </c>
      <c r="O590" s="2">
        <v>1</v>
      </c>
      <c r="U590" s="2">
        <v>3</v>
      </c>
      <c r="V590" s="2">
        <v>3</v>
      </c>
      <c r="W590" s="2">
        <v>3</v>
      </c>
      <c r="X590" s="2">
        <v>2</v>
      </c>
      <c r="AA590" s="3" t="s">
        <v>57</v>
      </c>
      <c r="AB590" s="2">
        <v>3</v>
      </c>
      <c r="AF590" s="2">
        <v>23</v>
      </c>
      <c r="AG590" s="2">
        <v>2</v>
      </c>
      <c r="AH590" s="3" t="s">
        <v>646</v>
      </c>
      <c r="AI590" s="4">
        <v>44756</v>
      </c>
      <c r="AJ590" s="3" t="s">
        <v>653</v>
      </c>
      <c r="AK590" s="3" t="s">
        <v>645</v>
      </c>
    </row>
    <row r="591" spans="1:37" hidden="1" x14ac:dyDescent="0.25">
      <c r="A591" t="str">
        <f t="shared" si="9"/>
        <v>2022_SA_Riverton_Fababean_DetailedTOS2VarietyNasmaWaterTrtIrrigated</v>
      </c>
      <c r="B591" s="2">
        <v>2022004</v>
      </c>
      <c r="C591" s="3" t="s">
        <v>644</v>
      </c>
      <c r="D591" s="3" t="s">
        <v>645</v>
      </c>
      <c r="F591" s="3" t="s">
        <v>4186</v>
      </c>
      <c r="G591" s="3" t="s">
        <v>43</v>
      </c>
      <c r="H591" s="3" t="s">
        <v>250</v>
      </c>
      <c r="I591" s="2">
        <v>8</v>
      </c>
      <c r="J591" s="2">
        <v>4</v>
      </c>
      <c r="K591" s="2">
        <v>1</v>
      </c>
      <c r="O591" s="2">
        <v>1</v>
      </c>
      <c r="U591" s="2">
        <v>4</v>
      </c>
      <c r="V591" s="2">
        <v>3</v>
      </c>
      <c r="W591" s="2">
        <v>4</v>
      </c>
      <c r="X591" s="2">
        <v>2</v>
      </c>
      <c r="Z591" s="2">
        <v>5</v>
      </c>
      <c r="AA591" s="3" t="s">
        <v>57</v>
      </c>
      <c r="AB591" s="2">
        <v>3</v>
      </c>
      <c r="AF591" s="2">
        <v>23</v>
      </c>
      <c r="AG591" s="2">
        <v>2</v>
      </c>
      <c r="AH591" s="3" t="s">
        <v>646</v>
      </c>
      <c r="AI591" s="4">
        <v>44756</v>
      </c>
      <c r="AJ591" s="3" t="s">
        <v>654</v>
      </c>
      <c r="AK591" s="3" t="s">
        <v>645</v>
      </c>
    </row>
    <row r="592" spans="1:37" hidden="1" x14ac:dyDescent="0.25">
      <c r="A592" t="str">
        <f t="shared" si="9"/>
        <v>2022_SA_Riverton_Fababean_DetailedTOS1VarietyNasmaWaterTrtIrrigated</v>
      </c>
      <c r="B592" s="2">
        <v>2022004</v>
      </c>
      <c r="C592" s="3" t="s">
        <v>644</v>
      </c>
      <c r="D592" s="3" t="s">
        <v>645</v>
      </c>
      <c r="F592" s="3" t="s">
        <v>4186</v>
      </c>
      <c r="G592" s="3" t="s">
        <v>43</v>
      </c>
      <c r="H592" s="3" t="s">
        <v>253</v>
      </c>
      <c r="I592" s="2">
        <v>9</v>
      </c>
      <c r="J592" s="2">
        <v>5</v>
      </c>
      <c r="K592" s="2">
        <v>1</v>
      </c>
      <c r="O592" s="2">
        <v>2</v>
      </c>
      <c r="U592" s="2">
        <v>1</v>
      </c>
      <c r="V592" s="2">
        <v>6</v>
      </c>
      <c r="W592" s="2">
        <v>1</v>
      </c>
      <c r="X592" s="2">
        <v>3</v>
      </c>
      <c r="AA592" s="3" t="s">
        <v>57</v>
      </c>
      <c r="AB592" s="2">
        <v>3</v>
      </c>
      <c r="AF592" s="2">
        <v>23</v>
      </c>
      <c r="AG592" s="2">
        <v>1</v>
      </c>
      <c r="AH592" s="3" t="s">
        <v>655</v>
      </c>
      <c r="AI592" s="4">
        <v>44730</v>
      </c>
      <c r="AJ592" s="3" t="s">
        <v>656</v>
      </c>
      <c r="AK592" s="3" t="s">
        <v>645</v>
      </c>
    </row>
    <row r="593" spans="1:37" hidden="1" x14ac:dyDescent="0.25">
      <c r="A593" t="str">
        <f t="shared" si="9"/>
        <v>2022_SA_Riverton_Fababean_DetailedTOS1VarietyNasmaWaterTrtIrrigated</v>
      </c>
      <c r="B593" s="2">
        <v>2022004</v>
      </c>
      <c r="C593" s="3" t="s">
        <v>644</v>
      </c>
      <c r="D593" s="3" t="s">
        <v>645</v>
      </c>
      <c r="F593" s="3" t="s">
        <v>4186</v>
      </c>
      <c r="G593" s="3" t="s">
        <v>43</v>
      </c>
      <c r="H593" s="3" t="s">
        <v>250</v>
      </c>
      <c r="I593" s="2">
        <v>10</v>
      </c>
      <c r="J593" s="2">
        <v>5</v>
      </c>
      <c r="K593" s="2">
        <v>1</v>
      </c>
      <c r="O593" s="2">
        <v>2</v>
      </c>
      <c r="U593" s="2">
        <v>2</v>
      </c>
      <c r="V593" s="2">
        <v>6</v>
      </c>
      <c r="W593" s="2">
        <v>2</v>
      </c>
      <c r="X593" s="2">
        <v>3</v>
      </c>
      <c r="Z593" s="2">
        <v>10</v>
      </c>
      <c r="AA593" s="3" t="s">
        <v>57</v>
      </c>
      <c r="AB593" s="2">
        <v>3</v>
      </c>
      <c r="AF593" s="2">
        <v>23</v>
      </c>
      <c r="AG593" s="2">
        <v>1</v>
      </c>
      <c r="AH593" s="3" t="s">
        <v>655</v>
      </c>
      <c r="AI593" s="4">
        <v>44730</v>
      </c>
      <c r="AJ593" s="3" t="s">
        <v>657</v>
      </c>
      <c r="AK593" s="3" t="s">
        <v>645</v>
      </c>
    </row>
    <row r="594" spans="1:37" hidden="1" x14ac:dyDescent="0.25">
      <c r="A594" t="str">
        <f t="shared" si="9"/>
        <v>2022_SA_Riverton_Fababean_DetailedTOS1VarietyAmberleyWaterTrtIrrigated</v>
      </c>
      <c r="B594" s="2">
        <v>2022004</v>
      </c>
      <c r="C594" s="3" t="s">
        <v>644</v>
      </c>
      <c r="D594" s="3" t="s">
        <v>645</v>
      </c>
      <c r="F594" s="3" t="s">
        <v>4185</v>
      </c>
      <c r="G594" s="3" t="s">
        <v>39</v>
      </c>
      <c r="H594" s="3" t="s">
        <v>253</v>
      </c>
      <c r="I594" s="2">
        <v>11</v>
      </c>
      <c r="J594" s="2">
        <v>6</v>
      </c>
      <c r="K594" s="2">
        <v>1</v>
      </c>
      <c r="O594" s="2">
        <v>2</v>
      </c>
      <c r="U594" s="2">
        <v>3</v>
      </c>
      <c r="V594" s="2">
        <v>6</v>
      </c>
      <c r="W594" s="2">
        <v>3</v>
      </c>
      <c r="X594" s="2">
        <v>3</v>
      </c>
      <c r="AA594" s="3" t="s">
        <v>57</v>
      </c>
      <c r="AB594" s="2">
        <v>1</v>
      </c>
      <c r="AF594" s="2">
        <v>23</v>
      </c>
      <c r="AG594" s="2">
        <v>1</v>
      </c>
      <c r="AH594" s="3" t="s">
        <v>655</v>
      </c>
      <c r="AI594" s="4">
        <v>44730</v>
      </c>
      <c r="AJ594" s="3" t="s">
        <v>658</v>
      </c>
      <c r="AK594" s="3" t="s">
        <v>645</v>
      </c>
    </row>
    <row r="595" spans="1:37" hidden="1" x14ac:dyDescent="0.25">
      <c r="A595" t="str">
        <f t="shared" si="9"/>
        <v>2022_SA_Riverton_Fababean_DetailedTOS1VarietyAmberleyWaterTrtIrrigated</v>
      </c>
      <c r="B595" s="2">
        <v>2022004</v>
      </c>
      <c r="C595" s="3" t="s">
        <v>644</v>
      </c>
      <c r="D595" s="3" t="s">
        <v>645</v>
      </c>
      <c r="F595" s="3" t="s">
        <v>4185</v>
      </c>
      <c r="G595" s="3" t="s">
        <v>39</v>
      </c>
      <c r="H595" s="3" t="s">
        <v>250</v>
      </c>
      <c r="I595" s="2">
        <v>12</v>
      </c>
      <c r="J595" s="2">
        <v>6</v>
      </c>
      <c r="K595" s="2">
        <v>1</v>
      </c>
      <c r="O595" s="2">
        <v>2</v>
      </c>
      <c r="U595" s="2">
        <v>4</v>
      </c>
      <c r="V595" s="2">
        <v>6</v>
      </c>
      <c r="W595" s="2">
        <v>4</v>
      </c>
      <c r="X595" s="2">
        <v>3</v>
      </c>
      <c r="Z595" s="2">
        <v>12</v>
      </c>
      <c r="AA595" s="3" t="s">
        <v>57</v>
      </c>
      <c r="AB595" s="2">
        <v>1</v>
      </c>
      <c r="AF595" s="2">
        <v>23</v>
      </c>
      <c r="AG595" s="2">
        <v>1</v>
      </c>
      <c r="AH595" s="3" t="s">
        <v>655</v>
      </c>
      <c r="AI595" s="4">
        <v>44730</v>
      </c>
      <c r="AJ595" s="3" t="s">
        <v>659</v>
      </c>
      <c r="AK595" s="3" t="s">
        <v>645</v>
      </c>
    </row>
    <row r="596" spans="1:37" hidden="1" x14ac:dyDescent="0.25">
      <c r="A596" t="str">
        <f t="shared" si="9"/>
        <v>2022_SA_Riverton_Fababean_DetailedTOS1VarietyMarneWaterTrtIrrigated</v>
      </c>
      <c r="B596" s="2">
        <v>2022004</v>
      </c>
      <c r="C596" s="3" t="s">
        <v>644</v>
      </c>
      <c r="D596" s="3" t="s">
        <v>645</v>
      </c>
      <c r="F596" s="3" t="s">
        <v>4184</v>
      </c>
      <c r="G596" s="3" t="s">
        <v>39</v>
      </c>
      <c r="H596" s="3" t="s">
        <v>253</v>
      </c>
      <c r="I596" s="2">
        <v>13</v>
      </c>
      <c r="J596" s="2">
        <v>7</v>
      </c>
      <c r="K596" s="2">
        <v>1</v>
      </c>
      <c r="O596" s="2">
        <v>2</v>
      </c>
      <c r="U596" s="2">
        <v>1</v>
      </c>
      <c r="V596" s="2">
        <v>7</v>
      </c>
      <c r="W596" s="2">
        <v>1</v>
      </c>
      <c r="X596" s="2">
        <v>4</v>
      </c>
      <c r="AA596" s="3" t="s">
        <v>57</v>
      </c>
      <c r="AB596" s="2">
        <v>2</v>
      </c>
      <c r="AF596" s="2">
        <v>23</v>
      </c>
      <c r="AG596" s="2">
        <v>1</v>
      </c>
      <c r="AH596" s="3" t="s">
        <v>655</v>
      </c>
      <c r="AI596" s="4">
        <v>44730</v>
      </c>
      <c r="AJ596" s="3" t="s">
        <v>660</v>
      </c>
      <c r="AK596" s="3" t="s">
        <v>645</v>
      </c>
    </row>
    <row r="597" spans="1:37" hidden="1" x14ac:dyDescent="0.25">
      <c r="A597" t="str">
        <f t="shared" si="9"/>
        <v>2022_SA_Riverton_Fababean_DetailedTOS1VarietyMarneWaterTrtIrrigated</v>
      </c>
      <c r="B597" s="2">
        <v>2022004</v>
      </c>
      <c r="C597" s="3" t="s">
        <v>644</v>
      </c>
      <c r="D597" s="3" t="s">
        <v>645</v>
      </c>
      <c r="F597" s="3" t="s">
        <v>4184</v>
      </c>
      <c r="G597" s="3" t="s">
        <v>39</v>
      </c>
      <c r="H597" s="3" t="s">
        <v>250</v>
      </c>
      <c r="I597" s="2">
        <v>14</v>
      </c>
      <c r="J597" s="2">
        <v>7</v>
      </c>
      <c r="K597" s="2">
        <v>1</v>
      </c>
      <c r="O597" s="2">
        <v>2</v>
      </c>
      <c r="U597" s="2">
        <v>2</v>
      </c>
      <c r="V597" s="2">
        <v>7</v>
      </c>
      <c r="W597" s="2">
        <v>2</v>
      </c>
      <c r="X597" s="2">
        <v>4</v>
      </c>
      <c r="Z597" s="2">
        <v>15</v>
      </c>
      <c r="AA597" s="3" t="s">
        <v>57</v>
      </c>
      <c r="AB597" s="2">
        <v>2</v>
      </c>
      <c r="AF597" s="2">
        <v>23</v>
      </c>
      <c r="AG597" s="2">
        <v>1</v>
      </c>
      <c r="AH597" s="3" t="s">
        <v>655</v>
      </c>
      <c r="AI597" s="4">
        <v>44730</v>
      </c>
      <c r="AJ597" s="3" t="s">
        <v>661</v>
      </c>
      <c r="AK597" s="3" t="s">
        <v>645</v>
      </c>
    </row>
    <row r="598" spans="1:37" hidden="1" x14ac:dyDescent="0.25">
      <c r="A598" t="str">
        <f t="shared" si="9"/>
        <v>2022_SA_Riverton_Fababean_DetailedTOS1VarietySamiraWaterTrtIrrigated</v>
      </c>
      <c r="B598" s="2">
        <v>2022004</v>
      </c>
      <c r="C598" s="3" t="s">
        <v>644</v>
      </c>
      <c r="D598" s="3" t="s">
        <v>645</v>
      </c>
      <c r="F598" s="3" t="s">
        <v>4183</v>
      </c>
      <c r="G598" s="3" t="s">
        <v>43</v>
      </c>
      <c r="H598" s="3" t="s">
        <v>253</v>
      </c>
      <c r="I598" s="2">
        <v>15</v>
      </c>
      <c r="J598" s="2">
        <v>8</v>
      </c>
      <c r="K598" s="2">
        <v>1</v>
      </c>
      <c r="O598" s="2">
        <v>2</v>
      </c>
      <c r="U598" s="2">
        <v>3</v>
      </c>
      <c r="V598" s="2">
        <v>7</v>
      </c>
      <c r="W598" s="2">
        <v>3</v>
      </c>
      <c r="X598" s="2">
        <v>4</v>
      </c>
      <c r="AA598" s="3" t="s">
        <v>57</v>
      </c>
      <c r="AB598" s="2">
        <v>4</v>
      </c>
      <c r="AF598" s="2">
        <v>23</v>
      </c>
      <c r="AG598" s="2">
        <v>1</v>
      </c>
      <c r="AH598" s="3" t="s">
        <v>655</v>
      </c>
      <c r="AI598" s="4">
        <v>44730</v>
      </c>
      <c r="AJ598" s="3" t="s">
        <v>662</v>
      </c>
      <c r="AK598" s="3" t="s">
        <v>645</v>
      </c>
    </row>
    <row r="599" spans="1:37" hidden="1" x14ac:dyDescent="0.25">
      <c r="A599" t="str">
        <f t="shared" si="9"/>
        <v>2022_SA_Riverton_Fababean_DetailedTOS1VarietySamiraWaterTrtIrrigated</v>
      </c>
      <c r="B599" s="2">
        <v>2022004</v>
      </c>
      <c r="C599" s="3" t="s">
        <v>644</v>
      </c>
      <c r="D599" s="3" t="s">
        <v>645</v>
      </c>
      <c r="F599" s="3" t="s">
        <v>4183</v>
      </c>
      <c r="G599" s="3" t="s">
        <v>43</v>
      </c>
      <c r="H599" s="3" t="s">
        <v>250</v>
      </c>
      <c r="I599" s="2">
        <v>16</v>
      </c>
      <c r="J599" s="2">
        <v>8</v>
      </c>
      <c r="K599" s="2">
        <v>1</v>
      </c>
      <c r="O599" s="2">
        <v>2</v>
      </c>
      <c r="U599" s="2">
        <v>4</v>
      </c>
      <c r="V599" s="2">
        <v>7</v>
      </c>
      <c r="W599" s="2">
        <v>4</v>
      </c>
      <c r="X599" s="2">
        <v>4</v>
      </c>
      <c r="Z599" s="2">
        <v>13</v>
      </c>
      <c r="AA599" s="3" t="s">
        <v>57</v>
      </c>
      <c r="AB599" s="2">
        <v>4</v>
      </c>
      <c r="AF599" s="2">
        <v>23</v>
      </c>
      <c r="AG599" s="2">
        <v>1</v>
      </c>
      <c r="AH599" s="3" t="s">
        <v>655</v>
      </c>
      <c r="AI599" s="4">
        <v>44730</v>
      </c>
      <c r="AJ599" s="3" t="s">
        <v>663</v>
      </c>
      <c r="AK599" s="3" t="s">
        <v>645</v>
      </c>
    </row>
    <row r="600" spans="1:37" hidden="1" x14ac:dyDescent="0.25">
      <c r="A600" t="str">
        <f t="shared" si="9"/>
        <v>2022_SA_Riverton_Fababean_DetailedTOS1VarietyAmberleyWaterTrtRainFed</v>
      </c>
      <c r="B600" s="2">
        <v>2022004</v>
      </c>
      <c r="C600" s="3" t="s">
        <v>644</v>
      </c>
      <c r="D600" s="3" t="s">
        <v>645</v>
      </c>
      <c r="F600" s="3" t="s">
        <v>4185</v>
      </c>
      <c r="G600" s="3" t="s">
        <v>39</v>
      </c>
      <c r="H600" s="3" t="s">
        <v>253</v>
      </c>
      <c r="I600" s="2">
        <v>17</v>
      </c>
      <c r="J600" s="2">
        <v>9</v>
      </c>
      <c r="K600" s="2">
        <v>1</v>
      </c>
      <c r="O600" s="2">
        <v>3</v>
      </c>
      <c r="U600" s="2">
        <v>1</v>
      </c>
      <c r="V600" s="2">
        <v>10</v>
      </c>
      <c r="W600" s="2">
        <v>1</v>
      </c>
      <c r="X600" s="2">
        <v>5</v>
      </c>
      <c r="AA600" s="3" t="s">
        <v>40</v>
      </c>
      <c r="AB600" s="2">
        <v>1</v>
      </c>
      <c r="AF600" s="2">
        <v>23</v>
      </c>
      <c r="AG600" s="2">
        <v>1</v>
      </c>
      <c r="AH600" s="3" t="s">
        <v>655</v>
      </c>
      <c r="AI600" s="4">
        <v>44730</v>
      </c>
      <c r="AJ600" s="3" t="s">
        <v>664</v>
      </c>
      <c r="AK600" s="3" t="s">
        <v>645</v>
      </c>
    </row>
    <row r="601" spans="1:37" hidden="1" x14ac:dyDescent="0.25">
      <c r="A601" t="str">
        <f t="shared" si="9"/>
        <v>2022_SA_Riverton_Fababean_DetailedTOS1VarietyAmberleyWaterTrtRainFed</v>
      </c>
      <c r="B601" s="2">
        <v>2022004</v>
      </c>
      <c r="C601" s="3" t="s">
        <v>644</v>
      </c>
      <c r="D601" s="3" t="s">
        <v>645</v>
      </c>
      <c r="F601" s="3" t="s">
        <v>4185</v>
      </c>
      <c r="G601" s="3" t="s">
        <v>39</v>
      </c>
      <c r="H601" s="3" t="s">
        <v>250</v>
      </c>
      <c r="I601" s="2">
        <v>18</v>
      </c>
      <c r="J601" s="2">
        <v>9</v>
      </c>
      <c r="K601" s="2">
        <v>1</v>
      </c>
      <c r="O601" s="2">
        <v>3</v>
      </c>
      <c r="U601" s="2">
        <v>2</v>
      </c>
      <c r="V601" s="2">
        <v>10</v>
      </c>
      <c r="W601" s="2">
        <v>2</v>
      </c>
      <c r="X601" s="2">
        <v>5</v>
      </c>
      <c r="Z601" s="2">
        <v>18</v>
      </c>
      <c r="AA601" s="3" t="s">
        <v>40</v>
      </c>
      <c r="AB601" s="2">
        <v>1</v>
      </c>
      <c r="AF601" s="2">
        <v>23</v>
      </c>
      <c r="AG601" s="2">
        <v>1</v>
      </c>
      <c r="AH601" s="3" t="s">
        <v>655</v>
      </c>
      <c r="AI601" s="4">
        <v>44730</v>
      </c>
      <c r="AJ601" s="3" t="s">
        <v>665</v>
      </c>
      <c r="AK601" s="3" t="s">
        <v>645</v>
      </c>
    </row>
    <row r="602" spans="1:37" hidden="1" x14ac:dyDescent="0.25">
      <c r="A602" t="str">
        <f t="shared" si="9"/>
        <v>2022_SA_Riverton_Fababean_DetailedTOS1VarietySamiraWaterTrtRainFed</v>
      </c>
      <c r="B602" s="2">
        <v>2022004</v>
      </c>
      <c r="C602" s="3" t="s">
        <v>644</v>
      </c>
      <c r="D602" s="3" t="s">
        <v>645</v>
      </c>
      <c r="F602" s="3" t="s">
        <v>4183</v>
      </c>
      <c r="G602" s="3" t="s">
        <v>43</v>
      </c>
      <c r="H602" s="3" t="s">
        <v>253</v>
      </c>
      <c r="I602" s="2">
        <v>19</v>
      </c>
      <c r="J602" s="2">
        <v>10</v>
      </c>
      <c r="K602" s="2">
        <v>1</v>
      </c>
      <c r="O602" s="2">
        <v>3</v>
      </c>
      <c r="U602" s="2">
        <v>3</v>
      </c>
      <c r="V602" s="2">
        <v>10</v>
      </c>
      <c r="W602" s="2">
        <v>3</v>
      </c>
      <c r="X602" s="2">
        <v>5</v>
      </c>
      <c r="AA602" s="3" t="s">
        <v>40</v>
      </c>
      <c r="AB602" s="2">
        <v>4</v>
      </c>
      <c r="AF602" s="2">
        <v>23</v>
      </c>
      <c r="AG602" s="2">
        <v>1</v>
      </c>
      <c r="AH602" s="3" t="s">
        <v>655</v>
      </c>
      <c r="AI602" s="4">
        <v>44730</v>
      </c>
      <c r="AJ602" s="3" t="s">
        <v>666</v>
      </c>
      <c r="AK602" s="3" t="s">
        <v>645</v>
      </c>
    </row>
    <row r="603" spans="1:37" hidden="1" x14ac:dyDescent="0.25">
      <c r="A603" t="str">
        <f t="shared" si="9"/>
        <v>2022_SA_Riverton_Fababean_DetailedTOS1VarietySamiraWaterTrtRainFed</v>
      </c>
      <c r="B603" s="2">
        <v>2022004</v>
      </c>
      <c r="C603" s="3" t="s">
        <v>644</v>
      </c>
      <c r="D603" s="3" t="s">
        <v>645</v>
      </c>
      <c r="F603" s="3" t="s">
        <v>4183</v>
      </c>
      <c r="G603" s="3" t="s">
        <v>43</v>
      </c>
      <c r="H603" s="3" t="s">
        <v>250</v>
      </c>
      <c r="I603" s="2">
        <v>20</v>
      </c>
      <c r="J603" s="2">
        <v>10</v>
      </c>
      <c r="K603" s="2">
        <v>1</v>
      </c>
      <c r="O603" s="2">
        <v>3</v>
      </c>
      <c r="U603" s="2">
        <v>4</v>
      </c>
      <c r="V603" s="2">
        <v>10</v>
      </c>
      <c r="W603" s="2">
        <v>4</v>
      </c>
      <c r="X603" s="2">
        <v>5</v>
      </c>
      <c r="Z603" s="2">
        <v>20</v>
      </c>
      <c r="AA603" s="3" t="s">
        <v>40</v>
      </c>
      <c r="AB603" s="2">
        <v>4</v>
      </c>
      <c r="AF603" s="2">
        <v>23</v>
      </c>
      <c r="AG603" s="2">
        <v>1</v>
      </c>
      <c r="AH603" s="3" t="s">
        <v>655</v>
      </c>
      <c r="AI603" s="4">
        <v>44730</v>
      </c>
      <c r="AJ603" s="3" t="s">
        <v>667</v>
      </c>
      <c r="AK603" s="3" t="s">
        <v>645</v>
      </c>
    </row>
    <row r="604" spans="1:37" hidden="1" x14ac:dyDescent="0.25">
      <c r="A604" t="str">
        <f t="shared" si="9"/>
        <v>2022_SA_Riverton_Fababean_DetailedTOS1VarietyNasmaWaterTrtRainFed</v>
      </c>
      <c r="B604" s="2">
        <v>2022004</v>
      </c>
      <c r="C604" s="3" t="s">
        <v>644</v>
      </c>
      <c r="D604" s="3" t="s">
        <v>645</v>
      </c>
      <c r="F604" s="3" t="s">
        <v>4186</v>
      </c>
      <c r="G604" s="3" t="s">
        <v>43</v>
      </c>
      <c r="H604" s="3" t="s">
        <v>253</v>
      </c>
      <c r="I604" s="2">
        <v>21</v>
      </c>
      <c r="J604" s="2">
        <v>11</v>
      </c>
      <c r="K604" s="2">
        <v>1</v>
      </c>
      <c r="O604" s="2">
        <v>3</v>
      </c>
      <c r="U604" s="2">
        <v>1</v>
      </c>
      <c r="V604" s="2">
        <v>11</v>
      </c>
      <c r="W604" s="2">
        <v>1</v>
      </c>
      <c r="X604" s="2">
        <v>6</v>
      </c>
      <c r="AA604" s="3" t="s">
        <v>40</v>
      </c>
      <c r="AB604" s="2">
        <v>3</v>
      </c>
      <c r="AF604" s="2">
        <v>23</v>
      </c>
      <c r="AG604" s="2">
        <v>1</v>
      </c>
      <c r="AH604" s="3" t="s">
        <v>655</v>
      </c>
      <c r="AI604" s="4">
        <v>44730</v>
      </c>
      <c r="AJ604" s="3" t="s">
        <v>668</v>
      </c>
      <c r="AK604" s="3" t="s">
        <v>645</v>
      </c>
    </row>
    <row r="605" spans="1:37" hidden="1" x14ac:dyDescent="0.25">
      <c r="A605" t="str">
        <f t="shared" si="9"/>
        <v>2022_SA_Riverton_Fababean_DetailedTOS1VarietyNasmaWaterTrtRainFed</v>
      </c>
      <c r="B605" s="2">
        <v>2022004</v>
      </c>
      <c r="C605" s="3" t="s">
        <v>644</v>
      </c>
      <c r="D605" s="3" t="s">
        <v>645</v>
      </c>
      <c r="F605" s="3" t="s">
        <v>4186</v>
      </c>
      <c r="G605" s="3" t="s">
        <v>43</v>
      </c>
      <c r="H605" s="3" t="s">
        <v>250</v>
      </c>
      <c r="I605" s="2">
        <v>22</v>
      </c>
      <c r="J605" s="2">
        <v>11</v>
      </c>
      <c r="K605" s="2">
        <v>1</v>
      </c>
      <c r="O605" s="2">
        <v>3</v>
      </c>
      <c r="U605" s="2">
        <v>2</v>
      </c>
      <c r="V605" s="2">
        <v>11</v>
      </c>
      <c r="W605" s="2">
        <v>2</v>
      </c>
      <c r="X605" s="2">
        <v>6</v>
      </c>
      <c r="Z605" s="2">
        <v>23</v>
      </c>
      <c r="AA605" s="3" t="s">
        <v>40</v>
      </c>
      <c r="AB605" s="2">
        <v>3</v>
      </c>
      <c r="AF605" s="2">
        <v>23</v>
      </c>
      <c r="AG605" s="2">
        <v>1</v>
      </c>
      <c r="AH605" s="3" t="s">
        <v>655</v>
      </c>
      <c r="AI605" s="4">
        <v>44730</v>
      </c>
      <c r="AJ605" s="3" t="s">
        <v>669</v>
      </c>
      <c r="AK605" s="3" t="s">
        <v>645</v>
      </c>
    </row>
    <row r="606" spans="1:37" hidden="1" x14ac:dyDescent="0.25">
      <c r="A606" t="str">
        <f t="shared" si="9"/>
        <v>2022_SA_Riverton_Fababean_DetailedTOS1VarietyMarneWaterTrtRainFed</v>
      </c>
      <c r="B606" s="2">
        <v>2022004</v>
      </c>
      <c r="C606" s="3" t="s">
        <v>644</v>
      </c>
      <c r="D606" s="3" t="s">
        <v>645</v>
      </c>
      <c r="F606" s="3" t="s">
        <v>4184</v>
      </c>
      <c r="G606" s="3" t="s">
        <v>39</v>
      </c>
      <c r="H606" s="3" t="s">
        <v>253</v>
      </c>
      <c r="I606" s="2">
        <v>23</v>
      </c>
      <c r="J606" s="2">
        <v>12</v>
      </c>
      <c r="K606" s="2">
        <v>1</v>
      </c>
      <c r="O606" s="2">
        <v>3</v>
      </c>
      <c r="U606" s="2">
        <v>3</v>
      </c>
      <c r="V606" s="2">
        <v>11</v>
      </c>
      <c r="W606" s="2">
        <v>3</v>
      </c>
      <c r="X606" s="2">
        <v>6</v>
      </c>
      <c r="AA606" s="3" t="s">
        <v>40</v>
      </c>
      <c r="AB606" s="2">
        <v>2</v>
      </c>
      <c r="AF606" s="2">
        <v>23</v>
      </c>
      <c r="AG606" s="2">
        <v>1</v>
      </c>
      <c r="AH606" s="3" t="s">
        <v>655</v>
      </c>
      <c r="AI606" s="4">
        <v>44730</v>
      </c>
      <c r="AJ606" s="3" t="s">
        <v>670</v>
      </c>
      <c r="AK606" s="3" t="s">
        <v>645</v>
      </c>
    </row>
    <row r="607" spans="1:37" hidden="1" x14ac:dyDescent="0.25">
      <c r="A607" t="str">
        <f t="shared" si="9"/>
        <v>2022_SA_Riverton_Fababean_DetailedTOS1VarietyMarneWaterTrtRainFed</v>
      </c>
      <c r="B607" s="2">
        <v>2022004</v>
      </c>
      <c r="C607" s="3" t="s">
        <v>644</v>
      </c>
      <c r="D607" s="3" t="s">
        <v>645</v>
      </c>
      <c r="F607" s="3" t="s">
        <v>4184</v>
      </c>
      <c r="G607" s="3" t="s">
        <v>39</v>
      </c>
      <c r="H607" s="3" t="s">
        <v>250</v>
      </c>
      <c r="I607" s="2">
        <v>24</v>
      </c>
      <c r="J607" s="2">
        <v>12</v>
      </c>
      <c r="K607" s="2">
        <v>1</v>
      </c>
      <c r="O607" s="2">
        <v>3</v>
      </c>
      <c r="U607" s="2">
        <v>4</v>
      </c>
      <c r="V607" s="2">
        <v>11</v>
      </c>
      <c r="W607" s="2">
        <v>4</v>
      </c>
      <c r="X607" s="2">
        <v>6</v>
      </c>
      <c r="Z607" s="2">
        <v>21</v>
      </c>
      <c r="AA607" s="3" t="s">
        <v>40</v>
      </c>
      <c r="AB607" s="2">
        <v>2</v>
      </c>
      <c r="AF607" s="2">
        <v>23</v>
      </c>
      <c r="AG607" s="2">
        <v>1</v>
      </c>
      <c r="AH607" s="3" t="s">
        <v>655</v>
      </c>
      <c r="AI607" s="4">
        <v>44730</v>
      </c>
      <c r="AJ607" s="3" t="s">
        <v>671</v>
      </c>
      <c r="AK607" s="3" t="s">
        <v>645</v>
      </c>
    </row>
    <row r="608" spans="1:37" hidden="1" x14ac:dyDescent="0.25">
      <c r="A608" t="str">
        <f t="shared" si="9"/>
        <v>2022_SA_Riverton_Fababean_DetailedTOS2VarietyMarneWaterTrtRainFed</v>
      </c>
      <c r="B608" s="2">
        <v>2022004</v>
      </c>
      <c r="C608" s="3" t="s">
        <v>644</v>
      </c>
      <c r="D608" s="3" t="s">
        <v>645</v>
      </c>
      <c r="F608" s="3" t="s">
        <v>4184</v>
      </c>
      <c r="G608" s="3" t="s">
        <v>39</v>
      </c>
      <c r="H608" s="3" t="s">
        <v>253</v>
      </c>
      <c r="I608" s="2">
        <v>25</v>
      </c>
      <c r="J608" s="2">
        <v>13</v>
      </c>
      <c r="K608" s="2">
        <v>1</v>
      </c>
      <c r="O608" s="2">
        <v>4</v>
      </c>
      <c r="U608" s="2">
        <v>1</v>
      </c>
      <c r="V608" s="2">
        <v>14</v>
      </c>
      <c r="W608" s="2">
        <v>1</v>
      </c>
      <c r="X608" s="2">
        <v>7</v>
      </c>
      <c r="AA608" s="3" t="s">
        <v>40</v>
      </c>
      <c r="AB608" s="2">
        <v>2</v>
      </c>
      <c r="AF608" s="2">
        <v>23</v>
      </c>
      <c r="AG608" s="2">
        <v>2</v>
      </c>
      <c r="AH608" s="3" t="s">
        <v>646</v>
      </c>
      <c r="AI608" s="4">
        <v>44756</v>
      </c>
      <c r="AJ608" s="3" t="s">
        <v>672</v>
      </c>
      <c r="AK608" s="3" t="s">
        <v>645</v>
      </c>
    </row>
    <row r="609" spans="1:37" hidden="1" x14ac:dyDescent="0.25">
      <c r="A609" t="str">
        <f t="shared" si="9"/>
        <v>2022_SA_Riverton_Fababean_DetailedTOS2VarietyMarneWaterTrtRainFed</v>
      </c>
      <c r="B609" s="2">
        <v>2022004</v>
      </c>
      <c r="C609" s="3" t="s">
        <v>644</v>
      </c>
      <c r="D609" s="3" t="s">
        <v>645</v>
      </c>
      <c r="F609" s="3" t="s">
        <v>4184</v>
      </c>
      <c r="G609" s="3" t="s">
        <v>39</v>
      </c>
      <c r="H609" s="3" t="s">
        <v>250</v>
      </c>
      <c r="I609" s="2">
        <v>26</v>
      </c>
      <c r="J609" s="2">
        <v>13</v>
      </c>
      <c r="K609" s="2">
        <v>1</v>
      </c>
      <c r="O609" s="2">
        <v>4</v>
      </c>
      <c r="U609" s="2">
        <v>2</v>
      </c>
      <c r="V609" s="2">
        <v>14</v>
      </c>
      <c r="W609" s="2">
        <v>2</v>
      </c>
      <c r="X609" s="2">
        <v>7</v>
      </c>
      <c r="Z609" s="2">
        <v>26</v>
      </c>
      <c r="AA609" s="3" t="s">
        <v>40</v>
      </c>
      <c r="AB609" s="2">
        <v>2</v>
      </c>
      <c r="AF609" s="2">
        <v>23</v>
      </c>
      <c r="AG609" s="2">
        <v>2</v>
      </c>
      <c r="AH609" s="3" t="s">
        <v>646</v>
      </c>
      <c r="AI609" s="4">
        <v>44756</v>
      </c>
      <c r="AJ609" s="3" t="s">
        <v>673</v>
      </c>
      <c r="AK609" s="3" t="s">
        <v>645</v>
      </c>
    </row>
    <row r="610" spans="1:37" hidden="1" x14ac:dyDescent="0.25">
      <c r="A610" t="str">
        <f t="shared" si="9"/>
        <v>2022_SA_Riverton_Fababean_DetailedTOS2VarietyNasmaWaterTrtRainFed</v>
      </c>
      <c r="B610" s="2">
        <v>2022004</v>
      </c>
      <c r="C610" s="3" t="s">
        <v>644</v>
      </c>
      <c r="D610" s="3" t="s">
        <v>645</v>
      </c>
      <c r="F610" s="3" t="s">
        <v>4186</v>
      </c>
      <c r="G610" s="3" t="s">
        <v>43</v>
      </c>
      <c r="H610" s="3" t="s">
        <v>253</v>
      </c>
      <c r="I610" s="2">
        <v>27</v>
      </c>
      <c r="J610" s="2">
        <v>14</v>
      </c>
      <c r="K610" s="2">
        <v>1</v>
      </c>
      <c r="O610" s="2">
        <v>4</v>
      </c>
      <c r="U610" s="2">
        <v>3</v>
      </c>
      <c r="V610" s="2">
        <v>14</v>
      </c>
      <c r="W610" s="2">
        <v>3</v>
      </c>
      <c r="X610" s="2">
        <v>7</v>
      </c>
      <c r="AA610" s="3" t="s">
        <v>40</v>
      </c>
      <c r="AB610" s="2">
        <v>3</v>
      </c>
      <c r="AF610" s="2">
        <v>23</v>
      </c>
      <c r="AG610" s="2">
        <v>2</v>
      </c>
      <c r="AH610" s="3" t="s">
        <v>646</v>
      </c>
      <c r="AI610" s="4">
        <v>44756</v>
      </c>
      <c r="AJ610" s="3" t="s">
        <v>674</v>
      </c>
      <c r="AK610" s="3" t="s">
        <v>645</v>
      </c>
    </row>
    <row r="611" spans="1:37" hidden="1" x14ac:dyDescent="0.25">
      <c r="A611" t="str">
        <f t="shared" si="9"/>
        <v>2022_SA_Riverton_Fababean_DetailedTOS2VarietyNasmaWaterTrtRainFed</v>
      </c>
      <c r="B611" s="2">
        <v>2022004</v>
      </c>
      <c r="C611" s="3" t="s">
        <v>644</v>
      </c>
      <c r="D611" s="3" t="s">
        <v>645</v>
      </c>
      <c r="F611" s="3" t="s">
        <v>4186</v>
      </c>
      <c r="G611" s="3" t="s">
        <v>43</v>
      </c>
      <c r="H611" s="3" t="s">
        <v>250</v>
      </c>
      <c r="I611" s="2">
        <v>28</v>
      </c>
      <c r="J611" s="2">
        <v>14</v>
      </c>
      <c r="K611" s="2">
        <v>1</v>
      </c>
      <c r="O611" s="2">
        <v>4</v>
      </c>
      <c r="U611" s="2">
        <v>4</v>
      </c>
      <c r="V611" s="2">
        <v>14</v>
      </c>
      <c r="W611" s="2">
        <v>4</v>
      </c>
      <c r="X611" s="2">
        <v>7</v>
      </c>
      <c r="Z611" s="2">
        <v>28</v>
      </c>
      <c r="AA611" s="3" t="s">
        <v>40</v>
      </c>
      <c r="AB611" s="2">
        <v>3</v>
      </c>
      <c r="AF611" s="2">
        <v>23</v>
      </c>
      <c r="AG611" s="2">
        <v>2</v>
      </c>
      <c r="AH611" s="3" t="s">
        <v>646</v>
      </c>
      <c r="AI611" s="4">
        <v>44756</v>
      </c>
      <c r="AJ611" s="3" t="s">
        <v>675</v>
      </c>
      <c r="AK611" s="3" t="s">
        <v>645</v>
      </c>
    </row>
    <row r="612" spans="1:37" hidden="1" x14ac:dyDescent="0.25">
      <c r="A612" t="str">
        <f t="shared" si="9"/>
        <v>2022_SA_Riverton_Fababean_DetailedTOS2VarietySamiraWaterTrtRainFed</v>
      </c>
      <c r="B612" s="2">
        <v>2022004</v>
      </c>
      <c r="C612" s="3" t="s">
        <v>644</v>
      </c>
      <c r="D612" s="3" t="s">
        <v>645</v>
      </c>
      <c r="F612" s="3" t="s">
        <v>4183</v>
      </c>
      <c r="G612" s="3" t="s">
        <v>43</v>
      </c>
      <c r="H612" s="3" t="s">
        <v>253</v>
      </c>
      <c r="I612" s="2">
        <v>29</v>
      </c>
      <c r="J612" s="2">
        <v>15</v>
      </c>
      <c r="K612" s="2">
        <v>1</v>
      </c>
      <c r="O612" s="2">
        <v>4</v>
      </c>
      <c r="U612" s="2">
        <v>1</v>
      </c>
      <c r="V612" s="2">
        <v>15</v>
      </c>
      <c r="W612" s="2">
        <v>1</v>
      </c>
      <c r="X612" s="2">
        <v>8</v>
      </c>
      <c r="AA612" s="3" t="s">
        <v>40</v>
      </c>
      <c r="AB612" s="2">
        <v>4</v>
      </c>
      <c r="AF612" s="2">
        <v>23</v>
      </c>
      <c r="AG612" s="2">
        <v>2</v>
      </c>
      <c r="AH612" s="3" t="s">
        <v>646</v>
      </c>
      <c r="AI612" s="4">
        <v>44756</v>
      </c>
      <c r="AJ612" s="3" t="s">
        <v>676</v>
      </c>
      <c r="AK612" s="3" t="s">
        <v>645</v>
      </c>
    </row>
    <row r="613" spans="1:37" hidden="1" x14ac:dyDescent="0.25">
      <c r="A613" t="str">
        <f t="shared" si="9"/>
        <v>2022_SA_Riverton_Fababean_DetailedTOS2VarietySamiraWaterTrtRainFed</v>
      </c>
      <c r="B613" s="2">
        <v>2022004</v>
      </c>
      <c r="C613" s="3" t="s">
        <v>644</v>
      </c>
      <c r="D613" s="3" t="s">
        <v>645</v>
      </c>
      <c r="F613" s="3" t="s">
        <v>4183</v>
      </c>
      <c r="G613" s="3" t="s">
        <v>43</v>
      </c>
      <c r="H613" s="3" t="s">
        <v>250</v>
      </c>
      <c r="I613" s="2">
        <v>30</v>
      </c>
      <c r="J613" s="2">
        <v>15</v>
      </c>
      <c r="K613" s="2">
        <v>1</v>
      </c>
      <c r="O613" s="2">
        <v>4</v>
      </c>
      <c r="U613" s="2">
        <v>2</v>
      </c>
      <c r="V613" s="2">
        <v>15</v>
      </c>
      <c r="W613" s="2">
        <v>2</v>
      </c>
      <c r="X613" s="2">
        <v>8</v>
      </c>
      <c r="Z613" s="2">
        <v>31</v>
      </c>
      <c r="AA613" s="3" t="s">
        <v>40</v>
      </c>
      <c r="AB613" s="2">
        <v>4</v>
      </c>
      <c r="AF613" s="2">
        <v>23</v>
      </c>
      <c r="AG613" s="2">
        <v>2</v>
      </c>
      <c r="AH613" s="3" t="s">
        <v>646</v>
      </c>
      <c r="AI613" s="4">
        <v>44756</v>
      </c>
      <c r="AJ613" s="3" t="s">
        <v>677</v>
      </c>
      <c r="AK613" s="3" t="s">
        <v>645</v>
      </c>
    </row>
    <row r="614" spans="1:37" hidden="1" x14ac:dyDescent="0.25">
      <c r="A614" t="str">
        <f t="shared" si="9"/>
        <v>2022_SA_Riverton_Fababean_DetailedTOS2VarietyAmberleyWaterTrtRainFed</v>
      </c>
      <c r="B614" s="2">
        <v>2022004</v>
      </c>
      <c r="C614" s="3" t="s">
        <v>644</v>
      </c>
      <c r="D614" s="3" t="s">
        <v>645</v>
      </c>
      <c r="F614" s="3" t="s">
        <v>4185</v>
      </c>
      <c r="G614" s="3" t="s">
        <v>39</v>
      </c>
      <c r="H614" s="3" t="s">
        <v>253</v>
      </c>
      <c r="I614" s="2">
        <v>31</v>
      </c>
      <c r="J614" s="2">
        <v>16</v>
      </c>
      <c r="K614" s="2">
        <v>1</v>
      </c>
      <c r="O614" s="2">
        <v>4</v>
      </c>
      <c r="U614" s="2">
        <v>3</v>
      </c>
      <c r="V614" s="2">
        <v>15</v>
      </c>
      <c r="W614" s="2">
        <v>3</v>
      </c>
      <c r="X614" s="2">
        <v>8</v>
      </c>
      <c r="AA614" s="3" t="s">
        <v>40</v>
      </c>
      <c r="AB614" s="2">
        <v>1</v>
      </c>
      <c r="AF614" s="2">
        <v>23</v>
      </c>
      <c r="AG614" s="2">
        <v>2</v>
      </c>
      <c r="AH614" s="3" t="s">
        <v>646</v>
      </c>
      <c r="AI614" s="4">
        <v>44756</v>
      </c>
      <c r="AJ614" s="3" t="s">
        <v>678</v>
      </c>
      <c r="AK614" s="3" t="s">
        <v>645</v>
      </c>
    </row>
    <row r="615" spans="1:37" hidden="1" x14ac:dyDescent="0.25">
      <c r="A615" t="str">
        <f t="shared" si="9"/>
        <v>2022_SA_Riverton_Fababean_DetailedTOS2VarietyAmberleyWaterTrtRainFed</v>
      </c>
      <c r="B615" s="2">
        <v>2022004</v>
      </c>
      <c r="C615" s="3" t="s">
        <v>644</v>
      </c>
      <c r="D615" s="3" t="s">
        <v>645</v>
      </c>
      <c r="F615" s="3" t="s">
        <v>4185</v>
      </c>
      <c r="G615" s="3" t="s">
        <v>39</v>
      </c>
      <c r="H615" s="3" t="s">
        <v>250</v>
      </c>
      <c r="I615" s="2">
        <v>32</v>
      </c>
      <c r="J615" s="2">
        <v>16</v>
      </c>
      <c r="K615" s="2">
        <v>1</v>
      </c>
      <c r="O615" s="2">
        <v>4</v>
      </c>
      <c r="U615" s="2">
        <v>4</v>
      </c>
      <c r="V615" s="2">
        <v>15</v>
      </c>
      <c r="W615" s="2">
        <v>4</v>
      </c>
      <c r="X615" s="2">
        <v>8</v>
      </c>
      <c r="Z615" s="2">
        <v>29</v>
      </c>
      <c r="AA615" s="3" t="s">
        <v>40</v>
      </c>
      <c r="AB615" s="2">
        <v>1</v>
      </c>
      <c r="AF615" s="2">
        <v>23</v>
      </c>
      <c r="AG615" s="2">
        <v>2</v>
      </c>
      <c r="AH615" s="3" t="s">
        <v>646</v>
      </c>
      <c r="AI615" s="4">
        <v>44756</v>
      </c>
      <c r="AJ615" s="3" t="s">
        <v>679</v>
      </c>
      <c r="AK615" s="3" t="s">
        <v>645</v>
      </c>
    </row>
    <row r="616" spans="1:37" hidden="1" x14ac:dyDescent="0.25">
      <c r="A616" t="str">
        <f t="shared" si="9"/>
        <v>2022_SA_Riverton_Fababean_DetailedTOS2VarietyMarneWaterTrtRainFed</v>
      </c>
      <c r="B616" s="2">
        <v>2022004</v>
      </c>
      <c r="C616" s="3" t="s">
        <v>644</v>
      </c>
      <c r="D616" s="3" t="s">
        <v>645</v>
      </c>
      <c r="F616" s="3" t="s">
        <v>4184</v>
      </c>
      <c r="G616" s="3" t="s">
        <v>39</v>
      </c>
      <c r="H616" s="3" t="s">
        <v>253</v>
      </c>
      <c r="I616" s="2">
        <v>33</v>
      </c>
      <c r="J616" s="2">
        <v>17</v>
      </c>
      <c r="K616" s="2">
        <v>2</v>
      </c>
      <c r="O616" s="2">
        <v>5</v>
      </c>
      <c r="U616" s="2">
        <v>1</v>
      </c>
      <c r="V616" s="2">
        <v>18</v>
      </c>
      <c r="W616" s="2">
        <v>1</v>
      </c>
      <c r="X616" s="2">
        <v>9</v>
      </c>
      <c r="AA616" s="3" t="s">
        <v>40</v>
      </c>
      <c r="AB616" s="2">
        <v>2</v>
      </c>
      <c r="AF616" s="2">
        <v>23</v>
      </c>
      <c r="AG616" s="2">
        <v>2</v>
      </c>
      <c r="AH616" s="3" t="s">
        <v>646</v>
      </c>
      <c r="AI616" s="4">
        <v>44756</v>
      </c>
      <c r="AJ616" s="3" t="s">
        <v>680</v>
      </c>
      <c r="AK616" s="3" t="s">
        <v>645</v>
      </c>
    </row>
    <row r="617" spans="1:37" hidden="1" x14ac:dyDescent="0.25">
      <c r="A617" t="str">
        <f t="shared" si="9"/>
        <v>2022_SA_Riverton_Fababean_DetailedTOS2VarietyMarneWaterTrtRainFed</v>
      </c>
      <c r="B617" s="2">
        <v>2022004</v>
      </c>
      <c r="C617" s="3" t="s">
        <v>644</v>
      </c>
      <c r="D617" s="3" t="s">
        <v>645</v>
      </c>
      <c r="F617" s="3" t="s">
        <v>4184</v>
      </c>
      <c r="G617" s="3" t="s">
        <v>39</v>
      </c>
      <c r="H617" s="3" t="s">
        <v>250</v>
      </c>
      <c r="I617" s="2">
        <v>34</v>
      </c>
      <c r="J617" s="2">
        <v>17</v>
      </c>
      <c r="K617" s="2">
        <v>2</v>
      </c>
      <c r="O617" s="2">
        <v>5</v>
      </c>
      <c r="U617" s="2">
        <v>2</v>
      </c>
      <c r="V617" s="2">
        <v>18</v>
      </c>
      <c r="W617" s="2">
        <v>2</v>
      </c>
      <c r="X617" s="2">
        <v>9</v>
      </c>
      <c r="Z617" s="2">
        <v>34</v>
      </c>
      <c r="AA617" s="3" t="s">
        <v>40</v>
      </c>
      <c r="AB617" s="2">
        <v>2</v>
      </c>
      <c r="AF617" s="2">
        <v>23</v>
      </c>
      <c r="AG617" s="2">
        <v>2</v>
      </c>
      <c r="AH617" s="3" t="s">
        <v>646</v>
      </c>
      <c r="AI617" s="4">
        <v>44756</v>
      </c>
      <c r="AJ617" s="3" t="s">
        <v>681</v>
      </c>
      <c r="AK617" s="3" t="s">
        <v>645</v>
      </c>
    </row>
    <row r="618" spans="1:37" hidden="1" x14ac:dyDescent="0.25">
      <c r="A618" t="str">
        <f t="shared" si="9"/>
        <v>2022_SA_Riverton_Fababean_DetailedTOS2VarietyAmberleyWaterTrtRainFed</v>
      </c>
      <c r="B618" s="2">
        <v>2022004</v>
      </c>
      <c r="C618" s="3" t="s">
        <v>644</v>
      </c>
      <c r="D618" s="3" t="s">
        <v>645</v>
      </c>
      <c r="F618" s="3" t="s">
        <v>4185</v>
      </c>
      <c r="G618" s="3" t="s">
        <v>39</v>
      </c>
      <c r="H618" s="3" t="s">
        <v>253</v>
      </c>
      <c r="I618" s="2">
        <v>35</v>
      </c>
      <c r="J618" s="2">
        <v>18</v>
      </c>
      <c r="K618" s="2">
        <v>2</v>
      </c>
      <c r="O618" s="2">
        <v>5</v>
      </c>
      <c r="U618" s="2">
        <v>3</v>
      </c>
      <c r="V618" s="2">
        <v>18</v>
      </c>
      <c r="W618" s="2">
        <v>3</v>
      </c>
      <c r="X618" s="2">
        <v>9</v>
      </c>
      <c r="AA618" s="3" t="s">
        <v>40</v>
      </c>
      <c r="AB618" s="2">
        <v>1</v>
      </c>
      <c r="AF618" s="2">
        <v>23</v>
      </c>
      <c r="AG618" s="2">
        <v>2</v>
      </c>
      <c r="AH618" s="3" t="s">
        <v>646</v>
      </c>
      <c r="AI618" s="4">
        <v>44756</v>
      </c>
      <c r="AJ618" s="3" t="s">
        <v>682</v>
      </c>
      <c r="AK618" s="3" t="s">
        <v>645</v>
      </c>
    </row>
    <row r="619" spans="1:37" hidden="1" x14ac:dyDescent="0.25">
      <c r="A619" t="str">
        <f t="shared" si="9"/>
        <v>2022_SA_Riverton_Fababean_DetailedTOS2VarietyAmberleyWaterTrtRainFed</v>
      </c>
      <c r="B619" s="2">
        <v>2022004</v>
      </c>
      <c r="C619" s="3" t="s">
        <v>644</v>
      </c>
      <c r="D619" s="3" t="s">
        <v>645</v>
      </c>
      <c r="F619" s="3" t="s">
        <v>4185</v>
      </c>
      <c r="G619" s="3" t="s">
        <v>39</v>
      </c>
      <c r="H619" s="3" t="s">
        <v>250</v>
      </c>
      <c r="I619" s="2">
        <v>36</v>
      </c>
      <c r="J619" s="2">
        <v>18</v>
      </c>
      <c r="K619" s="2">
        <v>2</v>
      </c>
      <c r="O619" s="2">
        <v>5</v>
      </c>
      <c r="U619" s="2">
        <v>4</v>
      </c>
      <c r="V619" s="2">
        <v>18</v>
      </c>
      <c r="W619" s="2">
        <v>4</v>
      </c>
      <c r="X619" s="2">
        <v>9</v>
      </c>
      <c r="Z619" s="2">
        <v>36</v>
      </c>
      <c r="AA619" s="3" t="s">
        <v>40</v>
      </c>
      <c r="AB619" s="2">
        <v>1</v>
      </c>
      <c r="AF619" s="2">
        <v>23</v>
      </c>
      <c r="AG619" s="2">
        <v>2</v>
      </c>
      <c r="AH619" s="3" t="s">
        <v>646</v>
      </c>
      <c r="AI619" s="4">
        <v>44756</v>
      </c>
      <c r="AJ619" s="3" t="s">
        <v>683</v>
      </c>
      <c r="AK619" s="3" t="s">
        <v>645</v>
      </c>
    </row>
    <row r="620" spans="1:37" hidden="1" x14ac:dyDescent="0.25">
      <c r="A620" t="str">
        <f t="shared" si="9"/>
        <v>2022_SA_Riverton_Fababean_DetailedTOS2VarietyNasmaWaterTrtRainFed</v>
      </c>
      <c r="B620" s="2">
        <v>2022004</v>
      </c>
      <c r="C620" s="3" t="s">
        <v>644</v>
      </c>
      <c r="D620" s="3" t="s">
        <v>645</v>
      </c>
      <c r="F620" s="3" t="s">
        <v>4186</v>
      </c>
      <c r="G620" s="3" t="s">
        <v>43</v>
      </c>
      <c r="H620" s="3" t="s">
        <v>253</v>
      </c>
      <c r="I620" s="2">
        <v>37</v>
      </c>
      <c r="J620" s="2">
        <v>19</v>
      </c>
      <c r="K620" s="2">
        <v>2</v>
      </c>
      <c r="O620" s="2">
        <v>5</v>
      </c>
      <c r="U620" s="2">
        <v>1</v>
      </c>
      <c r="V620" s="2">
        <v>19</v>
      </c>
      <c r="W620" s="2">
        <v>1</v>
      </c>
      <c r="X620" s="2">
        <v>10</v>
      </c>
      <c r="AA620" s="3" t="s">
        <v>40</v>
      </c>
      <c r="AB620" s="2">
        <v>3</v>
      </c>
      <c r="AF620" s="2">
        <v>23</v>
      </c>
      <c r="AG620" s="2">
        <v>2</v>
      </c>
      <c r="AH620" s="3" t="s">
        <v>646</v>
      </c>
      <c r="AI620" s="4">
        <v>44756</v>
      </c>
      <c r="AJ620" s="3" t="s">
        <v>684</v>
      </c>
      <c r="AK620" s="3" t="s">
        <v>645</v>
      </c>
    </row>
    <row r="621" spans="1:37" hidden="1" x14ac:dyDescent="0.25">
      <c r="A621" t="str">
        <f t="shared" si="9"/>
        <v>2022_SA_Riverton_Fababean_DetailedTOS2VarietyNasmaWaterTrtRainFed</v>
      </c>
      <c r="B621" s="2">
        <v>2022004</v>
      </c>
      <c r="C621" s="3" t="s">
        <v>644</v>
      </c>
      <c r="D621" s="3" t="s">
        <v>645</v>
      </c>
      <c r="F621" s="3" t="s">
        <v>4186</v>
      </c>
      <c r="G621" s="3" t="s">
        <v>43</v>
      </c>
      <c r="H621" s="3" t="s">
        <v>250</v>
      </c>
      <c r="I621" s="2">
        <v>38</v>
      </c>
      <c r="J621" s="2">
        <v>19</v>
      </c>
      <c r="K621" s="2">
        <v>2</v>
      </c>
      <c r="O621" s="2">
        <v>5</v>
      </c>
      <c r="U621" s="2">
        <v>2</v>
      </c>
      <c r="V621" s="2">
        <v>19</v>
      </c>
      <c r="W621" s="2">
        <v>2</v>
      </c>
      <c r="X621" s="2">
        <v>10</v>
      </c>
      <c r="Z621" s="2">
        <v>39</v>
      </c>
      <c r="AA621" s="3" t="s">
        <v>40</v>
      </c>
      <c r="AB621" s="2">
        <v>3</v>
      </c>
      <c r="AF621" s="2">
        <v>23</v>
      </c>
      <c r="AG621" s="2">
        <v>2</v>
      </c>
      <c r="AH621" s="3" t="s">
        <v>646</v>
      </c>
      <c r="AI621" s="4">
        <v>44756</v>
      </c>
      <c r="AJ621" s="3" t="s">
        <v>685</v>
      </c>
      <c r="AK621" s="3" t="s">
        <v>645</v>
      </c>
    </row>
    <row r="622" spans="1:37" hidden="1" x14ac:dyDescent="0.25">
      <c r="A622" t="str">
        <f t="shared" si="9"/>
        <v>2022_SA_Riverton_Fababean_DetailedTOS2VarietySamiraWaterTrtRainFed</v>
      </c>
      <c r="B622" s="2">
        <v>2022004</v>
      </c>
      <c r="C622" s="3" t="s">
        <v>644</v>
      </c>
      <c r="D622" s="3" t="s">
        <v>645</v>
      </c>
      <c r="F622" s="3" t="s">
        <v>4183</v>
      </c>
      <c r="G622" s="3" t="s">
        <v>43</v>
      </c>
      <c r="H622" s="3" t="s">
        <v>253</v>
      </c>
      <c r="I622" s="2">
        <v>39</v>
      </c>
      <c r="J622" s="2">
        <v>20</v>
      </c>
      <c r="K622" s="2">
        <v>2</v>
      </c>
      <c r="O622" s="2">
        <v>5</v>
      </c>
      <c r="U622" s="2">
        <v>3</v>
      </c>
      <c r="V622" s="2">
        <v>19</v>
      </c>
      <c r="W622" s="2">
        <v>3</v>
      </c>
      <c r="X622" s="2">
        <v>10</v>
      </c>
      <c r="AA622" s="3" t="s">
        <v>40</v>
      </c>
      <c r="AB622" s="2">
        <v>4</v>
      </c>
      <c r="AF622" s="2">
        <v>23</v>
      </c>
      <c r="AG622" s="2">
        <v>2</v>
      </c>
      <c r="AH622" s="3" t="s">
        <v>646</v>
      </c>
      <c r="AI622" s="4">
        <v>44756</v>
      </c>
      <c r="AJ622" s="3" t="s">
        <v>686</v>
      </c>
      <c r="AK622" s="3" t="s">
        <v>645</v>
      </c>
    </row>
    <row r="623" spans="1:37" hidden="1" x14ac:dyDescent="0.25">
      <c r="A623" t="str">
        <f t="shared" si="9"/>
        <v>2022_SA_Riverton_Fababean_DetailedTOS2VarietySamiraWaterTrtRainFed</v>
      </c>
      <c r="B623" s="2">
        <v>2022004</v>
      </c>
      <c r="C623" s="3" t="s">
        <v>644</v>
      </c>
      <c r="D623" s="3" t="s">
        <v>645</v>
      </c>
      <c r="F623" s="3" t="s">
        <v>4183</v>
      </c>
      <c r="G623" s="3" t="s">
        <v>43</v>
      </c>
      <c r="H623" s="3" t="s">
        <v>250</v>
      </c>
      <c r="I623" s="2">
        <v>40</v>
      </c>
      <c r="J623" s="2">
        <v>20</v>
      </c>
      <c r="K623" s="2">
        <v>2</v>
      </c>
      <c r="O623" s="2">
        <v>5</v>
      </c>
      <c r="U623" s="2">
        <v>4</v>
      </c>
      <c r="V623" s="2">
        <v>19</v>
      </c>
      <c r="W623" s="2">
        <v>4</v>
      </c>
      <c r="X623" s="2">
        <v>10</v>
      </c>
      <c r="Z623" s="2">
        <v>37</v>
      </c>
      <c r="AA623" s="3" t="s">
        <v>40</v>
      </c>
      <c r="AB623" s="2">
        <v>4</v>
      </c>
      <c r="AF623" s="2">
        <v>23</v>
      </c>
      <c r="AG623" s="2">
        <v>2</v>
      </c>
      <c r="AH623" s="3" t="s">
        <v>646</v>
      </c>
      <c r="AI623" s="4">
        <v>44756</v>
      </c>
      <c r="AJ623" s="3" t="s">
        <v>687</v>
      </c>
      <c r="AK623" s="3" t="s">
        <v>645</v>
      </c>
    </row>
    <row r="624" spans="1:37" hidden="1" x14ac:dyDescent="0.25">
      <c r="A624" t="str">
        <f t="shared" si="9"/>
        <v>2022_SA_Riverton_Fababean_DetailedTOS1VarietyNasmaWaterTrtRainFed</v>
      </c>
      <c r="B624" s="2">
        <v>2022004</v>
      </c>
      <c r="C624" s="3" t="s">
        <v>644</v>
      </c>
      <c r="D624" s="3" t="s">
        <v>645</v>
      </c>
      <c r="F624" s="3" t="s">
        <v>4186</v>
      </c>
      <c r="G624" s="3" t="s">
        <v>43</v>
      </c>
      <c r="H624" s="3" t="s">
        <v>253</v>
      </c>
      <c r="I624" s="2">
        <v>41</v>
      </c>
      <c r="J624" s="2">
        <v>21</v>
      </c>
      <c r="K624" s="2">
        <v>2</v>
      </c>
      <c r="O624" s="2">
        <v>6</v>
      </c>
      <c r="U624" s="2">
        <v>1</v>
      </c>
      <c r="V624" s="2">
        <v>22</v>
      </c>
      <c r="W624" s="2">
        <v>1</v>
      </c>
      <c r="X624" s="2">
        <v>11</v>
      </c>
      <c r="AA624" s="3" t="s">
        <v>40</v>
      </c>
      <c r="AB624" s="2">
        <v>3</v>
      </c>
      <c r="AF624" s="2">
        <v>23</v>
      </c>
      <c r="AG624" s="2">
        <v>1</v>
      </c>
      <c r="AH624" s="3" t="s">
        <v>655</v>
      </c>
      <c r="AI624" s="4">
        <v>44730</v>
      </c>
      <c r="AJ624" s="3" t="s">
        <v>688</v>
      </c>
      <c r="AK624" s="3" t="s">
        <v>645</v>
      </c>
    </row>
    <row r="625" spans="1:37" hidden="1" x14ac:dyDescent="0.25">
      <c r="A625" t="str">
        <f t="shared" si="9"/>
        <v>2022_SA_Riverton_Fababean_DetailedTOS1VarietyNasmaWaterTrtRainFed</v>
      </c>
      <c r="B625" s="2">
        <v>2022004</v>
      </c>
      <c r="C625" s="3" t="s">
        <v>644</v>
      </c>
      <c r="D625" s="3" t="s">
        <v>645</v>
      </c>
      <c r="F625" s="3" t="s">
        <v>4186</v>
      </c>
      <c r="G625" s="3" t="s">
        <v>43</v>
      </c>
      <c r="H625" s="3" t="s">
        <v>250</v>
      </c>
      <c r="I625" s="2">
        <v>42</v>
      </c>
      <c r="J625" s="2">
        <v>21</v>
      </c>
      <c r="K625" s="2">
        <v>2</v>
      </c>
      <c r="O625" s="2">
        <v>6</v>
      </c>
      <c r="U625" s="2">
        <v>2</v>
      </c>
      <c r="V625" s="2">
        <v>22</v>
      </c>
      <c r="W625" s="2">
        <v>2</v>
      </c>
      <c r="X625" s="2">
        <v>11</v>
      </c>
      <c r="Z625" s="2">
        <v>42</v>
      </c>
      <c r="AA625" s="3" t="s">
        <v>40</v>
      </c>
      <c r="AB625" s="2">
        <v>3</v>
      </c>
      <c r="AF625" s="2">
        <v>23</v>
      </c>
      <c r="AG625" s="2">
        <v>1</v>
      </c>
      <c r="AH625" s="3" t="s">
        <v>655</v>
      </c>
      <c r="AI625" s="4">
        <v>44730</v>
      </c>
      <c r="AJ625" s="3" t="s">
        <v>689</v>
      </c>
      <c r="AK625" s="3" t="s">
        <v>645</v>
      </c>
    </row>
    <row r="626" spans="1:37" hidden="1" x14ac:dyDescent="0.25">
      <c r="A626" t="str">
        <f t="shared" si="9"/>
        <v>2022_SA_Riverton_Fababean_DetailedTOS1VarietyMarneWaterTrtRainFed</v>
      </c>
      <c r="B626" s="2">
        <v>2022004</v>
      </c>
      <c r="C626" s="3" t="s">
        <v>644</v>
      </c>
      <c r="D626" s="3" t="s">
        <v>645</v>
      </c>
      <c r="F626" s="3" t="s">
        <v>4184</v>
      </c>
      <c r="G626" s="3" t="s">
        <v>39</v>
      </c>
      <c r="H626" s="3" t="s">
        <v>253</v>
      </c>
      <c r="I626" s="2">
        <v>43</v>
      </c>
      <c r="J626" s="2">
        <v>22</v>
      </c>
      <c r="K626" s="2">
        <v>2</v>
      </c>
      <c r="O626" s="2">
        <v>6</v>
      </c>
      <c r="U626" s="2">
        <v>3</v>
      </c>
      <c r="V626" s="2">
        <v>22</v>
      </c>
      <c r="W626" s="2">
        <v>3</v>
      </c>
      <c r="X626" s="2">
        <v>11</v>
      </c>
      <c r="AA626" s="3" t="s">
        <v>40</v>
      </c>
      <c r="AB626" s="2">
        <v>2</v>
      </c>
      <c r="AF626" s="2">
        <v>23</v>
      </c>
      <c r="AG626" s="2">
        <v>1</v>
      </c>
      <c r="AH626" s="3" t="s">
        <v>655</v>
      </c>
      <c r="AI626" s="4">
        <v>44730</v>
      </c>
      <c r="AJ626" s="3" t="s">
        <v>690</v>
      </c>
      <c r="AK626" s="3" t="s">
        <v>645</v>
      </c>
    </row>
    <row r="627" spans="1:37" hidden="1" x14ac:dyDescent="0.25">
      <c r="A627" t="str">
        <f t="shared" si="9"/>
        <v>2022_SA_Riverton_Fababean_DetailedTOS1VarietyMarneWaterTrtRainFed</v>
      </c>
      <c r="B627" s="2">
        <v>2022004</v>
      </c>
      <c r="C627" s="3" t="s">
        <v>644</v>
      </c>
      <c r="D627" s="3" t="s">
        <v>645</v>
      </c>
      <c r="F627" s="3" t="s">
        <v>4184</v>
      </c>
      <c r="G627" s="3" t="s">
        <v>39</v>
      </c>
      <c r="H627" s="3" t="s">
        <v>250</v>
      </c>
      <c r="I627" s="2">
        <v>44</v>
      </c>
      <c r="J627" s="2">
        <v>22</v>
      </c>
      <c r="K627" s="2">
        <v>2</v>
      </c>
      <c r="O627" s="2">
        <v>6</v>
      </c>
      <c r="U627" s="2">
        <v>4</v>
      </c>
      <c r="V627" s="2">
        <v>22</v>
      </c>
      <c r="W627" s="2">
        <v>4</v>
      </c>
      <c r="X627" s="2">
        <v>11</v>
      </c>
      <c r="Z627" s="2">
        <v>44</v>
      </c>
      <c r="AA627" s="3" t="s">
        <v>40</v>
      </c>
      <c r="AB627" s="2">
        <v>2</v>
      </c>
      <c r="AF627" s="2">
        <v>23</v>
      </c>
      <c r="AG627" s="2">
        <v>1</v>
      </c>
      <c r="AH627" s="3" t="s">
        <v>655</v>
      </c>
      <c r="AI627" s="4">
        <v>44730</v>
      </c>
      <c r="AJ627" s="3" t="s">
        <v>691</v>
      </c>
      <c r="AK627" s="3" t="s">
        <v>645</v>
      </c>
    </row>
    <row r="628" spans="1:37" hidden="1" x14ac:dyDescent="0.25">
      <c r="A628" t="str">
        <f t="shared" si="9"/>
        <v>2022_SA_Riverton_Fababean_DetailedTOS1VarietySamiraWaterTrtRainFed</v>
      </c>
      <c r="B628" s="2">
        <v>2022004</v>
      </c>
      <c r="C628" s="3" t="s">
        <v>644</v>
      </c>
      <c r="D628" s="3" t="s">
        <v>645</v>
      </c>
      <c r="F628" s="3" t="s">
        <v>4183</v>
      </c>
      <c r="G628" s="3" t="s">
        <v>43</v>
      </c>
      <c r="H628" s="3" t="s">
        <v>253</v>
      </c>
      <c r="I628" s="2">
        <v>45</v>
      </c>
      <c r="J628" s="2">
        <v>23</v>
      </c>
      <c r="K628" s="2">
        <v>2</v>
      </c>
      <c r="O628" s="2">
        <v>6</v>
      </c>
      <c r="U628" s="2">
        <v>1</v>
      </c>
      <c r="V628" s="2">
        <v>23</v>
      </c>
      <c r="W628" s="2">
        <v>1</v>
      </c>
      <c r="X628" s="2">
        <v>12</v>
      </c>
      <c r="AA628" s="3" t="s">
        <v>40</v>
      </c>
      <c r="AB628" s="2">
        <v>4</v>
      </c>
      <c r="AF628" s="2">
        <v>23</v>
      </c>
      <c r="AG628" s="2">
        <v>1</v>
      </c>
      <c r="AH628" s="3" t="s">
        <v>655</v>
      </c>
      <c r="AI628" s="4">
        <v>44730</v>
      </c>
      <c r="AJ628" s="3" t="s">
        <v>692</v>
      </c>
      <c r="AK628" s="3" t="s">
        <v>645</v>
      </c>
    </row>
    <row r="629" spans="1:37" hidden="1" x14ac:dyDescent="0.25">
      <c r="A629" t="str">
        <f t="shared" si="9"/>
        <v>2022_SA_Riverton_Fababean_DetailedTOS1VarietySamiraWaterTrtRainFed</v>
      </c>
      <c r="B629" s="2">
        <v>2022004</v>
      </c>
      <c r="C629" s="3" t="s">
        <v>644</v>
      </c>
      <c r="D629" s="3" t="s">
        <v>645</v>
      </c>
      <c r="F629" s="3" t="s">
        <v>4183</v>
      </c>
      <c r="G629" s="3" t="s">
        <v>43</v>
      </c>
      <c r="H629" s="3" t="s">
        <v>250</v>
      </c>
      <c r="I629" s="2">
        <v>46</v>
      </c>
      <c r="J629" s="2">
        <v>23</v>
      </c>
      <c r="K629" s="2">
        <v>2</v>
      </c>
      <c r="O629" s="2">
        <v>6</v>
      </c>
      <c r="U629" s="2">
        <v>2</v>
      </c>
      <c r="V629" s="2">
        <v>23</v>
      </c>
      <c r="W629" s="2">
        <v>2</v>
      </c>
      <c r="X629" s="2">
        <v>12</v>
      </c>
      <c r="Z629" s="2">
        <v>47</v>
      </c>
      <c r="AA629" s="3" t="s">
        <v>40</v>
      </c>
      <c r="AB629" s="2">
        <v>4</v>
      </c>
      <c r="AF629" s="2">
        <v>23</v>
      </c>
      <c r="AG629" s="2">
        <v>1</v>
      </c>
      <c r="AH629" s="3" t="s">
        <v>655</v>
      </c>
      <c r="AI629" s="4">
        <v>44730</v>
      </c>
      <c r="AJ629" s="3" t="s">
        <v>693</v>
      </c>
      <c r="AK629" s="3" t="s">
        <v>645</v>
      </c>
    </row>
    <row r="630" spans="1:37" hidden="1" x14ac:dyDescent="0.25">
      <c r="A630" t="str">
        <f t="shared" si="9"/>
        <v>2022_SA_Riverton_Fababean_DetailedTOS1VarietyAmberleyWaterTrtRainFed</v>
      </c>
      <c r="B630" s="2">
        <v>2022004</v>
      </c>
      <c r="C630" s="3" t="s">
        <v>644</v>
      </c>
      <c r="D630" s="3" t="s">
        <v>645</v>
      </c>
      <c r="F630" s="3" t="s">
        <v>4185</v>
      </c>
      <c r="G630" s="3" t="s">
        <v>39</v>
      </c>
      <c r="H630" s="3" t="s">
        <v>253</v>
      </c>
      <c r="I630" s="2">
        <v>47</v>
      </c>
      <c r="J630" s="2">
        <v>24</v>
      </c>
      <c r="K630" s="2">
        <v>2</v>
      </c>
      <c r="O630" s="2">
        <v>6</v>
      </c>
      <c r="U630" s="2">
        <v>3</v>
      </c>
      <c r="V630" s="2">
        <v>23</v>
      </c>
      <c r="W630" s="2">
        <v>3</v>
      </c>
      <c r="X630" s="2">
        <v>12</v>
      </c>
      <c r="AA630" s="3" t="s">
        <v>40</v>
      </c>
      <c r="AB630" s="2">
        <v>1</v>
      </c>
      <c r="AF630" s="2">
        <v>23</v>
      </c>
      <c r="AG630" s="2">
        <v>1</v>
      </c>
      <c r="AH630" s="3" t="s">
        <v>655</v>
      </c>
      <c r="AI630" s="4">
        <v>44730</v>
      </c>
      <c r="AJ630" s="3" t="s">
        <v>694</v>
      </c>
      <c r="AK630" s="3" t="s">
        <v>645</v>
      </c>
    </row>
    <row r="631" spans="1:37" hidden="1" x14ac:dyDescent="0.25">
      <c r="A631" t="str">
        <f t="shared" si="9"/>
        <v>2022_SA_Riverton_Fababean_DetailedTOS1VarietyAmberleyWaterTrtRainFed</v>
      </c>
      <c r="B631" s="2">
        <v>2022004</v>
      </c>
      <c r="C631" s="3" t="s">
        <v>644</v>
      </c>
      <c r="D631" s="3" t="s">
        <v>645</v>
      </c>
      <c r="F631" s="3" t="s">
        <v>4185</v>
      </c>
      <c r="G631" s="3" t="s">
        <v>39</v>
      </c>
      <c r="H631" s="3" t="s">
        <v>250</v>
      </c>
      <c r="I631" s="2">
        <v>48</v>
      </c>
      <c r="J631" s="2">
        <v>24</v>
      </c>
      <c r="K631" s="2">
        <v>2</v>
      </c>
      <c r="O631" s="2">
        <v>6</v>
      </c>
      <c r="U631" s="2">
        <v>4</v>
      </c>
      <c r="V631" s="2">
        <v>23</v>
      </c>
      <c r="W631" s="2">
        <v>4</v>
      </c>
      <c r="X631" s="2">
        <v>12</v>
      </c>
      <c r="Z631" s="2">
        <v>45</v>
      </c>
      <c r="AA631" s="3" t="s">
        <v>40</v>
      </c>
      <c r="AB631" s="2">
        <v>1</v>
      </c>
      <c r="AF631" s="2">
        <v>23</v>
      </c>
      <c r="AG631" s="2">
        <v>1</v>
      </c>
      <c r="AH631" s="3" t="s">
        <v>655</v>
      </c>
      <c r="AI631" s="4">
        <v>44730</v>
      </c>
      <c r="AJ631" s="3" t="s">
        <v>695</v>
      </c>
      <c r="AK631" s="3" t="s">
        <v>645</v>
      </c>
    </row>
    <row r="632" spans="1:37" hidden="1" x14ac:dyDescent="0.25">
      <c r="A632" t="str">
        <f t="shared" si="9"/>
        <v>2022_SA_Riverton_Fababean_DetailedTOS1VarietyAmberleyWaterTrtIrrigated</v>
      </c>
      <c r="B632" s="2">
        <v>2022004</v>
      </c>
      <c r="C632" s="3" t="s">
        <v>644</v>
      </c>
      <c r="D632" s="3" t="s">
        <v>645</v>
      </c>
      <c r="F632" s="3" t="s">
        <v>4185</v>
      </c>
      <c r="G632" s="3" t="s">
        <v>39</v>
      </c>
      <c r="H632" s="3" t="s">
        <v>253</v>
      </c>
      <c r="I632" s="2">
        <v>49</v>
      </c>
      <c r="J632" s="2">
        <v>25</v>
      </c>
      <c r="K632" s="2">
        <v>2</v>
      </c>
      <c r="O632" s="2">
        <v>7</v>
      </c>
      <c r="U632" s="2">
        <v>1</v>
      </c>
      <c r="V632" s="2">
        <v>26</v>
      </c>
      <c r="W632" s="2">
        <v>1</v>
      </c>
      <c r="X632" s="2">
        <v>13</v>
      </c>
      <c r="AA632" s="3" t="s">
        <v>57</v>
      </c>
      <c r="AB632" s="2">
        <v>1</v>
      </c>
      <c r="AF632" s="2">
        <v>23</v>
      </c>
      <c r="AG632" s="2">
        <v>1</v>
      </c>
      <c r="AH632" s="3" t="s">
        <v>655</v>
      </c>
      <c r="AI632" s="4">
        <v>44730</v>
      </c>
      <c r="AJ632" s="3" t="s">
        <v>696</v>
      </c>
      <c r="AK632" s="3" t="s">
        <v>645</v>
      </c>
    </row>
    <row r="633" spans="1:37" hidden="1" x14ac:dyDescent="0.25">
      <c r="A633" t="str">
        <f t="shared" si="9"/>
        <v>2022_SA_Riverton_Fababean_DetailedTOS1VarietyAmberleyWaterTrtIrrigated</v>
      </c>
      <c r="B633" s="2">
        <v>2022004</v>
      </c>
      <c r="C633" s="3" t="s">
        <v>644</v>
      </c>
      <c r="D633" s="3" t="s">
        <v>645</v>
      </c>
      <c r="F633" s="3" t="s">
        <v>4185</v>
      </c>
      <c r="G633" s="3" t="s">
        <v>39</v>
      </c>
      <c r="H633" s="3" t="s">
        <v>250</v>
      </c>
      <c r="I633" s="2">
        <v>50</v>
      </c>
      <c r="J633" s="2">
        <v>25</v>
      </c>
      <c r="K633" s="2">
        <v>2</v>
      </c>
      <c r="O633" s="2">
        <v>7</v>
      </c>
      <c r="U633" s="2">
        <v>2</v>
      </c>
      <c r="V633" s="2">
        <v>26</v>
      </c>
      <c r="W633" s="2">
        <v>2</v>
      </c>
      <c r="X633" s="2">
        <v>13</v>
      </c>
      <c r="Z633" s="2">
        <v>50</v>
      </c>
      <c r="AA633" s="3" t="s">
        <v>57</v>
      </c>
      <c r="AB633" s="2">
        <v>1</v>
      </c>
      <c r="AF633" s="2">
        <v>23</v>
      </c>
      <c r="AG633" s="2">
        <v>1</v>
      </c>
      <c r="AH633" s="3" t="s">
        <v>655</v>
      </c>
      <c r="AI633" s="4">
        <v>44730</v>
      </c>
      <c r="AJ633" s="3" t="s">
        <v>697</v>
      </c>
      <c r="AK633" s="3" t="s">
        <v>645</v>
      </c>
    </row>
    <row r="634" spans="1:37" hidden="1" x14ac:dyDescent="0.25">
      <c r="A634" t="str">
        <f t="shared" si="9"/>
        <v>2022_SA_Riverton_Fababean_DetailedTOS1VarietySamiraWaterTrtIrrigated</v>
      </c>
      <c r="B634" s="2">
        <v>2022004</v>
      </c>
      <c r="C634" s="3" t="s">
        <v>644</v>
      </c>
      <c r="D634" s="3" t="s">
        <v>645</v>
      </c>
      <c r="F634" s="3" t="s">
        <v>4183</v>
      </c>
      <c r="G634" s="3" t="s">
        <v>43</v>
      </c>
      <c r="H634" s="3" t="s">
        <v>253</v>
      </c>
      <c r="I634" s="2">
        <v>51</v>
      </c>
      <c r="J634" s="2">
        <v>26</v>
      </c>
      <c r="K634" s="2">
        <v>2</v>
      </c>
      <c r="O634" s="2">
        <v>7</v>
      </c>
      <c r="U634" s="2">
        <v>3</v>
      </c>
      <c r="V634" s="2">
        <v>26</v>
      </c>
      <c r="W634" s="2">
        <v>3</v>
      </c>
      <c r="X634" s="2">
        <v>13</v>
      </c>
      <c r="AA634" s="3" t="s">
        <v>57</v>
      </c>
      <c r="AB634" s="2">
        <v>4</v>
      </c>
      <c r="AF634" s="2">
        <v>23</v>
      </c>
      <c r="AG634" s="2">
        <v>1</v>
      </c>
      <c r="AH634" s="3" t="s">
        <v>655</v>
      </c>
      <c r="AI634" s="4">
        <v>44730</v>
      </c>
      <c r="AJ634" s="3" t="s">
        <v>698</v>
      </c>
      <c r="AK634" s="3" t="s">
        <v>645</v>
      </c>
    </row>
    <row r="635" spans="1:37" hidden="1" x14ac:dyDescent="0.25">
      <c r="A635" t="str">
        <f t="shared" si="9"/>
        <v>2022_SA_Riverton_Fababean_DetailedTOS1VarietySamiraWaterTrtIrrigated</v>
      </c>
      <c r="B635" s="2">
        <v>2022004</v>
      </c>
      <c r="C635" s="3" t="s">
        <v>644</v>
      </c>
      <c r="D635" s="3" t="s">
        <v>645</v>
      </c>
      <c r="F635" s="3" t="s">
        <v>4183</v>
      </c>
      <c r="G635" s="3" t="s">
        <v>43</v>
      </c>
      <c r="H635" s="3" t="s">
        <v>250</v>
      </c>
      <c r="I635" s="2">
        <v>52</v>
      </c>
      <c r="J635" s="2">
        <v>26</v>
      </c>
      <c r="K635" s="2">
        <v>2</v>
      </c>
      <c r="O635" s="2">
        <v>7</v>
      </c>
      <c r="U635" s="2">
        <v>4</v>
      </c>
      <c r="V635" s="2">
        <v>26</v>
      </c>
      <c r="W635" s="2">
        <v>4</v>
      </c>
      <c r="X635" s="2">
        <v>13</v>
      </c>
      <c r="Z635" s="2">
        <v>52</v>
      </c>
      <c r="AA635" s="3" t="s">
        <v>57</v>
      </c>
      <c r="AB635" s="2">
        <v>4</v>
      </c>
      <c r="AF635" s="2">
        <v>23</v>
      </c>
      <c r="AG635" s="2">
        <v>1</v>
      </c>
      <c r="AH635" s="3" t="s">
        <v>655</v>
      </c>
      <c r="AI635" s="4">
        <v>44730</v>
      </c>
      <c r="AJ635" s="3" t="s">
        <v>699</v>
      </c>
      <c r="AK635" s="3" t="s">
        <v>645</v>
      </c>
    </row>
    <row r="636" spans="1:37" hidden="1" x14ac:dyDescent="0.25">
      <c r="A636" t="str">
        <f t="shared" si="9"/>
        <v>2022_SA_Riverton_Fababean_DetailedTOS1VarietyMarneWaterTrtIrrigated</v>
      </c>
      <c r="B636" s="2">
        <v>2022004</v>
      </c>
      <c r="C636" s="3" t="s">
        <v>644</v>
      </c>
      <c r="D636" s="3" t="s">
        <v>645</v>
      </c>
      <c r="F636" s="3" t="s">
        <v>4184</v>
      </c>
      <c r="G636" s="3" t="s">
        <v>39</v>
      </c>
      <c r="H636" s="3" t="s">
        <v>253</v>
      </c>
      <c r="I636" s="2">
        <v>53</v>
      </c>
      <c r="J636" s="2">
        <v>27</v>
      </c>
      <c r="K636" s="2">
        <v>2</v>
      </c>
      <c r="O636" s="2">
        <v>7</v>
      </c>
      <c r="U636" s="2">
        <v>1</v>
      </c>
      <c r="V636" s="2">
        <v>27</v>
      </c>
      <c r="W636" s="2">
        <v>1</v>
      </c>
      <c r="X636" s="2">
        <v>14</v>
      </c>
      <c r="AA636" s="3" t="s">
        <v>57</v>
      </c>
      <c r="AB636" s="2">
        <v>2</v>
      </c>
      <c r="AF636" s="2">
        <v>23</v>
      </c>
      <c r="AG636" s="2">
        <v>1</v>
      </c>
      <c r="AH636" s="3" t="s">
        <v>655</v>
      </c>
      <c r="AI636" s="4">
        <v>44730</v>
      </c>
      <c r="AJ636" s="3" t="s">
        <v>700</v>
      </c>
      <c r="AK636" s="3" t="s">
        <v>645</v>
      </c>
    </row>
    <row r="637" spans="1:37" hidden="1" x14ac:dyDescent="0.25">
      <c r="A637" t="str">
        <f t="shared" si="9"/>
        <v>2022_SA_Riverton_Fababean_DetailedTOS1VarietyMarneWaterTrtIrrigated</v>
      </c>
      <c r="B637" s="2">
        <v>2022004</v>
      </c>
      <c r="C637" s="3" t="s">
        <v>644</v>
      </c>
      <c r="D637" s="3" t="s">
        <v>645</v>
      </c>
      <c r="F637" s="3" t="s">
        <v>4184</v>
      </c>
      <c r="G637" s="3" t="s">
        <v>39</v>
      </c>
      <c r="H637" s="3" t="s">
        <v>250</v>
      </c>
      <c r="I637" s="2">
        <v>54</v>
      </c>
      <c r="J637" s="2">
        <v>27</v>
      </c>
      <c r="K637" s="2">
        <v>2</v>
      </c>
      <c r="O637" s="2">
        <v>7</v>
      </c>
      <c r="U637" s="2">
        <v>2</v>
      </c>
      <c r="V637" s="2">
        <v>27</v>
      </c>
      <c r="W637" s="2">
        <v>2</v>
      </c>
      <c r="X637" s="2">
        <v>14</v>
      </c>
      <c r="Z637" s="2">
        <v>55</v>
      </c>
      <c r="AA637" s="3" t="s">
        <v>57</v>
      </c>
      <c r="AB637" s="2">
        <v>2</v>
      </c>
      <c r="AF637" s="2">
        <v>23</v>
      </c>
      <c r="AG637" s="2">
        <v>1</v>
      </c>
      <c r="AH637" s="3" t="s">
        <v>655</v>
      </c>
      <c r="AI637" s="4">
        <v>44730</v>
      </c>
      <c r="AJ637" s="3" t="s">
        <v>701</v>
      </c>
      <c r="AK637" s="3" t="s">
        <v>645</v>
      </c>
    </row>
    <row r="638" spans="1:37" hidden="1" x14ac:dyDescent="0.25">
      <c r="A638" t="str">
        <f t="shared" si="9"/>
        <v>2022_SA_Riverton_Fababean_DetailedTOS1VarietyNasmaWaterTrtIrrigated</v>
      </c>
      <c r="B638" s="2">
        <v>2022004</v>
      </c>
      <c r="C638" s="3" t="s">
        <v>644</v>
      </c>
      <c r="D638" s="3" t="s">
        <v>645</v>
      </c>
      <c r="F638" s="3" t="s">
        <v>4186</v>
      </c>
      <c r="G638" s="3" t="s">
        <v>43</v>
      </c>
      <c r="H638" s="3" t="s">
        <v>253</v>
      </c>
      <c r="I638" s="2">
        <v>55</v>
      </c>
      <c r="J638" s="2">
        <v>28</v>
      </c>
      <c r="K638" s="2">
        <v>2</v>
      </c>
      <c r="O638" s="2">
        <v>7</v>
      </c>
      <c r="U638" s="2">
        <v>3</v>
      </c>
      <c r="V638" s="2">
        <v>27</v>
      </c>
      <c r="W638" s="2">
        <v>3</v>
      </c>
      <c r="X638" s="2">
        <v>14</v>
      </c>
      <c r="AA638" s="3" t="s">
        <v>57</v>
      </c>
      <c r="AB638" s="2">
        <v>3</v>
      </c>
      <c r="AF638" s="2">
        <v>23</v>
      </c>
      <c r="AG638" s="2">
        <v>1</v>
      </c>
      <c r="AH638" s="3" t="s">
        <v>655</v>
      </c>
      <c r="AI638" s="4">
        <v>44730</v>
      </c>
      <c r="AJ638" s="3" t="s">
        <v>702</v>
      </c>
      <c r="AK638" s="3" t="s">
        <v>645</v>
      </c>
    </row>
    <row r="639" spans="1:37" hidden="1" x14ac:dyDescent="0.25">
      <c r="A639" t="str">
        <f t="shared" si="9"/>
        <v>2022_SA_Riverton_Fababean_DetailedTOS1VarietyNasmaWaterTrtIrrigated</v>
      </c>
      <c r="B639" s="2">
        <v>2022004</v>
      </c>
      <c r="C639" s="3" t="s">
        <v>644</v>
      </c>
      <c r="D639" s="3" t="s">
        <v>645</v>
      </c>
      <c r="F639" s="3" t="s">
        <v>4186</v>
      </c>
      <c r="G639" s="3" t="s">
        <v>43</v>
      </c>
      <c r="H639" s="3" t="s">
        <v>250</v>
      </c>
      <c r="I639" s="2">
        <v>56</v>
      </c>
      <c r="J639" s="2">
        <v>28</v>
      </c>
      <c r="K639" s="2">
        <v>2</v>
      </c>
      <c r="O639" s="2">
        <v>7</v>
      </c>
      <c r="U639" s="2">
        <v>4</v>
      </c>
      <c r="V639" s="2">
        <v>27</v>
      </c>
      <c r="W639" s="2">
        <v>4</v>
      </c>
      <c r="X639" s="2">
        <v>14</v>
      </c>
      <c r="Z639" s="2">
        <v>53</v>
      </c>
      <c r="AA639" s="3" t="s">
        <v>57</v>
      </c>
      <c r="AB639" s="2">
        <v>3</v>
      </c>
      <c r="AF639" s="2">
        <v>23</v>
      </c>
      <c r="AG639" s="2">
        <v>1</v>
      </c>
      <c r="AH639" s="3" t="s">
        <v>655</v>
      </c>
      <c r="AI639" s="4">
        <v>44730</v>
      </c>
      <c r="AJ639" s="3" t="s">
        <v>703</v>
      </c>
      <c r="AK639" s="3" t="s">
        <v>645</v>
      </c>
    </row>
    <row r="640" spans="1:37" hidden="1" x14ac:dyDescent="0.25">
      <c r="A640" t="str">
        <f t="shared" si="9"/>
        <v>2022_SA_Riverton_Fababean_DetailedTOS2VarietySamiraWaterTrtIrrigated</v>
      </c>
      <c r="B640" s="2">
        <v>2022004</v>
      </c>
      <c r="C640" s="3" t="s">
        <v>644</v>
      </c>
      <c r="D640" s="3" t="s">
        <v>645</v>
      </c>
      <c r="F640" s="3" t="s">
        <v>4183</v>
      </c>
      <c r="G640" s="3" t="s">
        <v>43</v>
      </c>
      <c r="H640" s="3" t="s">
        <v>253</v>
      </c>
      <c r="I640" s="2">
        <v>57</v>
      </c>
      <c r="J640" s="2">
        <v>29</v>
      </c>
      <c r="K640" s="2">
        <v>2</v>
      </c>
      <c r="O640" s="2">
        <v>8</v>
      </c>
      <c r="U640" s="2">
        <v>1</v>
      </c>
      <c r="V640" s="2">
        <v>30</v>
      </c>
      <c r="W640" s="2">
        <v>1</v>
      </c>
      <c r="X640" s="2">
        <v>15</v>
      </c>
      <c r="AA640" s="3" t="s">
        <v>57</v>
      </c>
      <c r="AB640" s="2">
        <v>4</v>
      </c>
      <c r="AF640" s="2">
        <v>23</v>
      </c>
      <c r="AG640" s="2">
        <v>2</v>
      </c>
      <c r="AH640" s="3" t="s">
        <v>646</v>
      </c>
      <c r="AI640" s="4">
        <v>44756</v>
      </c>
      <c r="AJ640" s="3" t="s">
        <v>704</v>
      </c>
      <c r="AK640" s="3" t="s">
        <v>645</v>
      </c>
    </row>
    <row r="641" spans="1:37" hidden="1" x14ac:dyDescent="0.25">
      <c r="A641" t="str">
        <f t="shared" si="9"/>
        <v>2022_SA_Riverton_Fababean_DetailedTOS2VarietySamiraWaterTrtIrrigated</v>
      </c>
      <c r="B641" s="2">
        <v>2022004</v>
      </c>
      <c r="C641" s="3" t="s">
        <v>644</v>
      </c>
      <c r="D641" s="3" t="s">
        <v>645</v>
      </c>
      <c r="F641" s="3" t="s">
        <v>4183</v>
      </c>
      <c r="G641" s="3" t="s">
        <v>43</v>
      </c>
      <c r="H641" s="3" t="s">
        <v>250</v>
      </c>
      <c r="I641" s="2">
        <v>58</v>
      </c>
      <c r="J641" s="2">
        <v>29</v>
      </c>
      <c r="K641" s="2">
        <v>2</v>
      </c>
      <c r="O641" s="2">
        <v>8</v>
      </c>
      <c r="U641" s="2">
        <v>2</v>
      </c>
      <c r="V641" s="2">
        <v>30</v>
      </c>
      <c r="W641" s="2">
        <v>2</v>
      </c>
      <c r="X641" s="2">
        <v>15</v>
      </c>
      <c r="Z641" s="2">
        <v>58</v>
      </c>
      <c r="AA641" s="3" t="s">
        <v>57</v>
      </c>
      <c r="AB641" s="2">
        <v>4</v>
      </c>
      <c r="AF641" s="2">
        <v>23</v>
      </c>
      <c r="AG641" s="2">
        <v>2</v>
      </c>
      <c r="AH641" s="3" t="s">
        <v>646</v>
      </c>
      <c r="AI641" s="4">
        <v>44756</v>
      </c>
      <c r="AJ641" s="3" t="s">
        <v>705</v>
      </c>
      <c r="AK641" s="3" t="s">
        <v>645</v>
      </c>
    </row>
    <row r="642" spans="1:37" hidden="1" x14ac:dyDescent="0.25">
      <c r="A642" t="str">
        <f t="shared" si="9"/>
        <v>2022_SA_Riverton_Fababean_DetailedTOS2VarietyNasmaWaterTrtIrrigated</v>
      </c>
      <c r="B642" s="2">
        <v>2022004</v>
      </c>
      <c r="C642" s="3" t="s">
        <v>644</v>
      </c>
      <c r="D642" s="3" t="s">
        <v>645</v>
      </c>
      <c r="F642" s="3" t="s">
        <v>4186</v>
      </c>
      <c r="G642" s="3" t="s">
        <v>43</v>
      </c>
      <c r="H642" s="3" t="s">
        <v>253</v>
      </c>
      <c r="I642" s="2">
        <v>59</v>
      </c>
      <c r="J642" s="2">
        <v>30</v>
      </c>
      <c r="K642" s="2">
        <v>2</v>
      </c>
      <c r="O642" s="2">
        <v>8</v>
      </c>
      <c r="U642" s="2">
        <v>3</v>
      </c>
      <c r="V642" s="2">
        <v>30</v>
      </c>
      <c r="W642" s="2">
        <v>3</v>
      </c>
      <c r="X642" s="2">
        <v>15</v>
      </c>
      <c r="AA642" s="3" t="s">
        <v>57</v>
      </c>
      <c r="AB642" s="2">
        <v>3</v>
      </c>
      <c r="AF642" s="2">
        <v>23</v>
      </c>
      <c r="AG642" s="2">
        <v>2</v>
      </c>
      <c r="AH642" s="3" t="s">
        <v>646</v>
      </c>
      <c r="AI642" s="4">
        <v>44756</v>
      </c>
      <c r="AJ642" s="3" t="s">
        <v>706</v>
      </c>
      <c r="AK642" s="3" t="s">
        <v>645</v>
      </c>
    </row>
    <row r="643" spans="1:37" hidden="1" x14ac:dyDescent="0.25">
      <c r="A643" t="str">
        <f t="shared" ref="A643:A706" si="10">C643&amp;"TOS"&amp;AG643&amp;"Variety"&amp;F643&amp;"WaterTrt"&amp;AA643&amp;IF(AC643="","","Agronomy"&amp;AC643)</f>
        <v>2022_SA_Riverton_Fababean_DetailedTOS2VarietyNasmaWaterTrtIrrigated</v>
      </c>
      <c r="B643" s="2">
        <v>2022004</v>
      </c>
      <c r="C643" s="3" t="s">
        <v>644</v>
      </c>
      <c r="D643" s="3" t="s">
        <v>645</v>
      </c>
      <c r="F643" s="3" t="s">
        <v>4186</v>
      </c>
      <c r="G643" s="3" t="s">
        <v>43</v>
      </c>
      <c r="H643" s="3" t="s">
        <v>250</v>
      </c>
      <c r="I643" s="2">
        <v>60</v>
      </c>
      <c r="J643" s="2">
        <v>30</v>
      </c>
      <c r="K643" s="2">
        <v>2</v>
      </c>
      <c r="O643" s="2">
        <v>8</v>
      </c>
      <c r="U643" s="2">
        <v>4</v>
      </c>
      <c r="V643" s="2">
        <v>30</v>
      </c>
      <c r="W643" s="2">
        <v>4</v>
      </c>
      <c r="X643" s="2">
        <v>15</v>
      </c>
      <c r="Z643" s="2">
        <v>60</v>
      </c>
      <c r="AA643" s="3" t="s">
        <v>57</v>
      </c>
      <c r="AB643" s="2">
        <v>3</v>
      </c>
      <c r="AF643" s="2">
        <v>23</v>
      </c>
      <c r="AG643" s="2">
        <v>2</v>
      </c>
      <c r="AH643" s="3" t="s">
        <v>646</v>
      </c>
      <c r="AI643" s="4">
        <v>44756</v>
      </c>
      <c r="AJ643" s="3" t="s">
        <v>707</v>
      </c>
      <c r="AK643" s="3" t="s">
        <v>645</v>
      </c>
    </row>
    <row r="644" spans="1:37" hidden="1" x14ac:dyDescent="0.25">
      <c r="A644" t="str">
        <f t="shared" si="10"/>
        <v>2022_SA_Riverton_Fababean_DetailedTOS2VarietyAmberleyWaterTrtIrrigated</v>
      </c>
      <c r="B644" s="2">
        <v>2022004</v>
      </c>
      <c r="C644" s="3" t="s">
        <v>644</v>
      </c>
      <c r="D644" s="3" t="s">
        <v>645</v>
      </c>
      <c r="F644" s="3" t="s">
        <v>4185</v>
      </c>
      <c r="G644" s="3" t="s">
        <v>39</v>
      </c>
      <c r="H644" s="3" t="s">
        <v>253</v>
      </c>
      <c r="I644" s="2">
        <v>61</v>
      </c>
      <c r="J644" s="2">
        <v>31</v>
      </c>
      <c r="K644" s="2">
        <v>2</v>
      </c>
      <c r="O644" s="2">
        <v>8</v>
      </c>
      <c r="U644" s="2">
        <v>1</v>
      </c>
      <c r="V644" s="2">
        <v>31</v>
      </c>
      <c r="W644" s="2">
        <v>1</v>
      </c>
      <c r="X644" s="2">
        <v>16</v>
      </c>
      <c r="AA644" s="3" t="s">
        <v>57</v>
      </c>
      <c r="AB644" s="2">
        <v>1</v>
      </c>
      <c r="AF644" s="2">
        <v>23</v>
      </c>
      <c r="AG644" s="2">
        <v>2</v>
      </c>
      <c r="AH644" s="3" t="s">
        <v>646</v>
      </c>
      <c r="AI644" s="4">
        <v>44756</v>
      </c>
      <c r="AJ644" s="3" t="s">
        <v>708</v>
      </c>
      <c r="AK644" s="3" t="s">
        <v>645</v>
      </c>
    </row>
    <row r="645" spans="1:37" hidden="1" x14ac:dyDescent="0.25">
      <c r="A645" t="str">
        <f t="shared" si="10"/>
        <v>2022_SA_Riverton_Fababean_DetailedTOS2VarietyAmberleyWaterTrtIrrigated</v>
      </c>
      <c r="B645" s="2">
        <v>2022004</v>
      </c>
      <c r="C645" s="3" t="s">
        <v>644</v>
      </c>
      <c r="D645" s="3" t="s">
        <v>645</v>
      </c>
      <c r="F645" s="3" t="s">
        <v>4185</v>
      </c>
      <c r="G645" s="3" t="s">
        <v>39</v>
      </c>
      <c r="H645" s="3" t="s">
        <v>250</v>
      </c>
      <c r="I645" s="2">
        <v>62</v>
      </c>
      <c r="J645" s="2">
        <v>31</v>
      </c>
      <c r="K645" s="2">
        <v>2</v>
      </c>
      <c r="O645" s="2">
        <v>8</v>
      </c>
      <c r="U645" s="2">
        <v>2</v>
      </c>
      <c r="V645" s="2">
        <v>31</v>
      </c>
      <c r="W645" s="2">
        <v>2</v>
      </c>
      <c r="X645" s="2">
        <v>16</v>
      </c>
      <c r="Z645" s="2">
        <v>63</v>
      </c>
      <c r="AA645" s="3" t="s">
        <v>57</v>
      </c>
      <c r="AB645" s="2">
        <v>1</v>
      </c>
      <c r="AF645" s="2">
        <v>23</v>
      </c>
      <c r="AG645" s="2">
        <v>2</v>
      </c>
      <c r="AH645" s="3" t="s">
        <v>646</v>
      </c>
      <c r="AI645" s="4">
        <v>44756</v>
      </c>
      <c r="AJ645" s="3" t="s">
        <v>709</v>
      </c>
      <c r="AK645" s="3" t="s">
        <v>645</v>
      </c>
    </row>
    <row r="646" spans="1:37" hidden="1" x14ac:dyDescent="0.25">
      <c r="A646" t="str">
        <f t="shared" si="10"/>
        <v>2022_SA_Riverton_Fababean_DetailedTOS2VarietyMarneWaterTrtIrrigated</v>
      </c>
      <c r="B646" s="2">
        <v>2022004</v>
      </c>
      <c r="C646" s="3" t="s">
        <v>644</v>
      </c>
      <c r="D646" s="3" t="s">
        <v>645</v>
      </c>
      <c r="F646" s="3" t="s">
        <v>4184</v>
      </c>
      <c r="G646" s="3" t="s">
        <v>39</v>
      </c>
      <c r="H646" s="3" t="s">
        <v>253</v>
      </c>
      <c r="I646" s="2">
        <v>63</v>
      </c>
      <c r="J646" s="2">
        <v>32</v>
      </c>
      <c r="K646" s="2">
        <v>2</v>
      </c>
      <c r="O646" s="2">
        <v>8</v>
      </c>
      <c r="U646" s="2">
        <v>3</v>
      </c>
      <c r="V646" s="2">
        <v>31</v>
      </c>
      <c r="W646" s="2">
        <v>3</v>
      </c>
      <c r="X646" s="2">
        <v>16</v>
      </c>
      <c r="AA646" s="3" t="s">
        <v>57</v>
      </c>
      <c r="AB646" s="2">
        <v>2</v>
      </c>
      <c r="AF646" s="2">
        <v>23</v>
      </c>
      <c r="AG646" s="2">
        <v>2</v>
      </c>
      <c r="AH646" s="3" t="s">
        <v>646</v>
      </c>
      <c r="AI646" s="4">
        <v>44756</v>
      </c>
      <c r="AJ646" s="3" t="s">
        <v>710</v>
      </c>
      <c r="AK646" s="3" t="s">
        <v>645</v>
      </c>
    </row>
    <row r="647" spans="1:37" hidden="1" x14ac:dyDescent="0.25">
      <c r="A647" t="str">
        <f t="shared" si="10"/>
        <v>2022_SA_Riverton_Fababean_DetailedTOS2VarietyMarneWaterTrtIrrigated</v>
      </c>
      <c r="B647" s="2">
        <v>2022004</v>
      </c>
      <c r="C647" s="3" t="s">
        <v>644</v>
      </c>
      <c r="D647" s="3" t="s">
        <v>645</v>
      </c>
      <c r="F647" s="3" t="s">
        <v>4184</v>
      </c>
      <c r="G647" s="3" t="s">
        <v>39</v>
      </c>
      <c r="H647" s="3" t="s">
        <v>250</v>
      </c>
      <c r="I647" s="2">
        <v>64</v>
      </c>
      <c r="J647" s="2">
        <v>32</v>
      </c>
      <c r="K647" s="2">
        <v>2</v>
      </c>
      <c r="O647" s="2">
        <v>8</v>
      </c>
      <c r="U647" s="2">
        <v>4</v>
      </c>
      <c r="V647" s="2">
        <v>31</v>
      </c>
      <c r="W647" s="2">
        <v>4</v>
      </c>
      <c r="X647" s="2">
        <v>16</v>
      </c>
      <c r="Z647" s="2">
        <v>61</v>
      </c>
      <c r="AA647" s="3" t="s">
        <v>57</v>
      </c>
      <c r="AB647" s="2">
        <v>2</v>
      </c>
      <c r="AF647" s="2">
        <v>23</v>
      </c>
      <c r="AG647" s="2">
        <v>2</v>
      </c>
      <c r="AH647" s="3" t="s">
        <v>646</v>
      </c>
      <c r="AI647" s="4">
        <v>44756</v>
      </c>
      <c r="AJ647" s="3" t="s">
        <v>711</v>
      </c>
      <c r="AK647" s="3" t="s">
        <v>645</v>
      </c>
    </row>
    <row r="648" spans="1:37" hidden="1" x14ac:dyDescent="0.25">
      <c r="A648" t="str">
        <f t="shared" si="10"/>
        <v>2022_SA_Riverton_Fababean_DetailedTOS1VarietyNasmaWaterTrtIrrigated</v>
      </c>
      <c r="B648" s="2">
        <v>2022004</v>
      </c>
      <c r="C648" s="3" t="s">
        <v>644</v>
      </c>
      <c r="D648" s="3" t="s">
        <v>645</v>
      </c>
      <c r="F648" s="3" t="s">
        <v>4186</v>
      </c>
      <c r="G648" s="3" t="s">
        <v>43</v>
      </c>
      <c r="H648" s="3" t="s">
        <v>253</v>
      </c>
      <c r="I648" s="2">
        <v>65</v>
      </c>
      <c r="J648" s="2">
        <v>33</v>
      </c>
      <c r="K648" s="2">
        <v>3</v>
      </c>
      <c r="O648" s="2">
        <v>9</v>
      </c>
      <c r="U648" s="2">
        <v>1</v>
      </c>
      <c r="V648" s="2">
        <v>34</v>
      </c>
      <c r="W648" s="2">
        <v>1</v>
      </c>
      <c r="X648" s="2">
        <v>17</v>
      </c>
      <c r="AA648" s="3" t="s">
        <v>57</v>
      </c>
      <c r="AB648" s="2">
        <v>3</v>
      </c>
      <c r="AF648" s="2">
        <v>23</v>
      </c>
      <c r="AG648" s="2">
        <v>1</v>
      </c>
      <c r="AH648" s="3" t="s">
        <v>655</v>
      </c>
      <c r="AI648" s="4">
        <v>44730</v>
      </c>
      <c r="AJ648" s="3" t="s">
        <v>712</v>
      </c>
      <c r="AK648" s="3" t="s">
        <v>645</v>
      </c>
    </row>
    <row r="649" spans="1:37" hidden="1" x14ac:dyDescent="0.25">
      <c r="A649" t="str">
        <f t="shared" si="10"/>
        <v>2022_SA_Riverton_Fababean_DetailedTOS1VarietyNasmaWaterTrtIrrigated</v>
      </c>
      <c r="B649" s="2">
        <v>2022004</v>
      </c>
      <c r="C649" s="3" t="s">
        <v>644</v>
      </c>
      <c r="D649" s="3" t="s">
        <v>645</v>
      </c>
      <c r="F649" s="3" t="s">
        <v>4186</v>
      </c>
      <c r="G649" s="3" t="s">
        <v>43</v>
      </c>
      <c r="H649" s="3" t="s">
        <v>250</v>
      </c>
      <c r="I649" s="2">
        <v>66</v>
      </c>
      <c r="J649" s="2">
        <v>33</v>
      </c>
      <c r="K649" s="2">
        <v>3</v>
      </c>
      <c r="O649" s="2">
        <v>9</v>
      </c>
      <c r="U649" s="2">
        <v>2</v>
      </c>
      <c r="V649" s="2">
        <v>34</v>
      </c>
      <c r="W649" s="2">
        <v>2</v>
      </c>
      <c r="X649" s="2">
        <v>17</v>
      </c>
      <c r="Z649" s="2">
        <v>66</v>
      </c>
      <c r="AA649" s="3" t="s">
        <v>57</v>
      </c>
      <c r="AB649" s="2">
        <v>3</v>
      </c>
      <c r="AF649" s="2">
        <v>23</v>
      </c>
      <c r="AG649" s="2">
        <v>1</v>
      </c>
      <c r="AH649" s="3" t="s">
        <v>655</v>
      </c>
      <c r="AI649" s="4">
        <v>44730</v>
      </c>
      <c r="AJ649" s="3" t="s">
        <v>713</v>
      </c>
      <c r="AK649" s="3" t="s">
        <v>645</v>
      </c>
    </row>
    <row r="650" spans="1:37" hidden="1" x14ac:dyDescent="0.25">
      <c r="A650" t="str">
        <f t="shared" si="10"/>
        <v>2022_SA_Riverton_Fababean_DetailedTOS1VarietyAmberleyWaterTrtIrrigated</v>
      </c>
      <c r="B650" s="2">
        <v>2022004</v>
      </c>
      <c r="C650" s="3" t="s">
        <v>644</v>
      </c>
      <c r="D650" s="3" t="s">
        <v>645</v>
      </c>
      <c r="F650" s="3" t="s">
        <v>4185</v>
      </c>
      <c r="G650" s="3" t="s">
        <v>39</v>
      </c>
      <c r="H650" s="3" t="s">
        <v>253</v>
      </c>
      <c r="I650" s="2">
        <v>67</v>
      </c>
      <c r="J650" s="2">
        <v>34</v>
      </c>
      <c r="K650" s="2">
        <v>3</v>
      </c>
      <c r="O650" s="2">
        <v>9</v>
      </c>
      <c r="U650" s="2">
        <v>3</v>
      </c>
      <c r="V650" s="2">
        <v>34</v>
      </c>
      <c r="W650" s="2">
        <v>3</v>
      </c>
      <c r="X650" s="2">
        <v>17</v>
      </c>
      <c r="AA650" s="3" t="s">
        <v>57</v>
      </c>
      <c r="AB650" s="2">
        <v>1</v>
      </c>
      <c r="AF650" s="2">
        <v>23</v>
      </c>
      <c r="AG650" s="2">
        <v>1</v>
      </c>
      <c r="AH650" s="3" t="s">
        <v>655</v>
      </c>
      <c r="AI650" s="4">
        <v>44730</v>
      </c>
      <c r="AJ650" s="3" t="s">
        <v>714</v>
      </c>
      <c r="AK650" s="3" t="s">
        <v>645</v>
      </c>
    </row>
    <row r="651" spans="1:37" hidden="1" x14ac:dyDescent="0.25">
      <c r="A651" t="str">
        <f t="shared" si="10"/>
        <v>2022_SA_Riverton_Fababean_DetailedTOS1VarietyAmberleyWaterTrtIrrigated</v>
      </c>
      <c r="B651" s="2">
        <v>2022004</v>
      </c>
      <c r="C651" s="3" t="s">
        <v>644</v>
      </c>
      <c r="D651" s="3" t="s">
        <v>645</v>
      </c>
      <c r="F651" s="3" t="s">
        <v>4185</v>
      </c>
      <c r="G651" s="3" t="s">
        <v>39</v>
      </c>
      <c r="H651" s="3" t="s">
        <v>250</v>
      </c>
      <c r="I651" s="2">
        <v>68</v>
      </c>
      <c r="J651" s="2">
        <v>34</v>
      </c>
      <c r="K651" s="2">
        <v>3</v>
      </c>
      <c r="O651" s="2">
        <v>9</v>
      </c>
      <c r="U651" s="2">
        <v>4</v>
      </c>
      <c r="V651" s="2">
        <v>34</v>
      </c>
      <c r="W651" s="2">
        <v>4</v>
      </c>
      <c r="X651" s="2">
        <v>17</v>
      </c>
      <c r="Z651" s="2">
        <v>68</v>
      </c>
      <c r="AA651" s="3" t="s">
        <v>57</v>
      </c>
      <c r="AB651" s="2">
        <v>1</v>
      </c>
      <c r="AF651" s="2">
        <v>23</v>
      </c>
      <c r="AG651" s="2">
        <v>1</v>
      </c>
      <c r="AH651" s="3" t="s">
        <v>655</v>
      </c>
      <c r="AI651" s="4">
        <v>44730</v>
      </c>
      <c r="AJ651" s="3" t="s">
        <v>715</v>
      </c>
      <c r="AK651" s="3" t="s">
        <v>645</v>
      </c>
    </row>
    <row r="652" spans="1:37" hidden="1" x14ac:dyDescent="0.25">
      <c r="A652" t="str">
        <f t="shared" si="10"/>
        <v>2022_SA_Riverton_Fababean_DetailedTOS1VarietySamiraWaterTrtIrrigated</v>
      </c>
      <c r="B652" s="2">
        <v>2022004</v>
      </c>
      <c r="C652" s="3" t="s">
        <v>644</v>
      </c>
      <c r="D652" s="3" t="s">
        <v>645</v>
      </c>
      <c r="F652" s="3" t="s">
        <v>4183</v>
      </c>
      <c r="G652" s="3" t="s">
        <v>43</v>
      </c>
      <c r="H652" s="3" t="s">
        <v>253</v>
      </c>
      <c r="I652" s="2">
        <v>69</v>
      </c>
      <c r="J652" s="2">
        <v>35</v>
      </c>
      <c r="K652" s="2">
        <v>3</v>
      </c>
      <c r="O652" s="2">
        <v>9</v>
      </c>
      <c r="U652" s="2">
        <v>1</v>
      </c>
      <c r="V652" s="2">
        <v>35</v>
      </c>
      <c r="W652" s="2">
        <v>1</v>
      </c>
      <c r="X652" s="2">
        <v>18</v>
      </c>
      <c r="AA652" s="3" t="s">
        <v>57</v>
      </c>
      <c r="AB652" s="2">
        <v>4</v>
      </c>
      <c r="AF652" s="2">
        <v>23</v>
      </c>
      <c r="AG652" s="2">
        <v>1</v>
      </c>
      <c r="AH652" s="3" t="s">
        <v>655</v>
      </c>
      <c r="AI652" s="4">
        <v>44730</v>
      </c>
      <c r="AJ652" s="3" t="s">
        <v>716</v>
      </c>
      <c r="AK652" s="3" t="s">
        <v>645</v>
      </c>
    </row>
    <row r="653" spans="1:37" hidden="1" x14ac:dyDescent="0.25">
      <c r="A653" t="str">
        <f t="shared" si="10"/>
        <v>2022_SA_Riverton_Fababean_DetailedTOS1VarietySamiraWaterTrtIrrigated</v>
      </c>
      <c r="B653" s="2">
        <v>2022004</v>
      </c>
      <c r="C653" s="3" t="s">
        <v>644</v>
      </c>
      <c r="D653" s="3" t="s">
        <v>645</v>
      </c>
      <c r="F653" s="3" t="s">
        <v>4183</v>
      </c>
      <c r="G653" s="3" t="s">
        <v>43</v>
      </c>
      <c r="H653" s="3" t="s">
        <v>250</v>
      </c>
      <c r="I653" s="2">
        <v>70</v>
      </c>
      <c r="J653" s="2">
        <v>35</v>
      </c>
      <c r="K653" s="2">
        <v>3</v>
      </c>
      <c r="O653" s="2">
        <v>9</v>
      </c>
      <c r="U653" s="2">
        <v>2</v>
      </c>
      <c r="V653" s="2">
        <v>35</v>
      </c>
      <c r="W653" s="2">
        <v>2</v>
      </c>
      <c r="X653" s="2">
        <v>18</v>
      </c>
      <c r="Z653" s="2">
        <v>71</v>
      </c>
      <c r="AA653" s="3" t="s">
        <v>57</v>
      </c>
      <c r="AB653" s="2">
        <v>4</v>
      </c>
      <c r="AF653" s="2">
        <v>23</v>
      </c>
      <c r="AG653" s="2">
        <v>1</v>
      </c>
      <c r="AH653" s="3" t="s">
        <v>655</v>
      </c>
      <c r="AI653" s="4">
        <v>44730</v>
      </c>
      <c r="AJ653" s="3" t="s">
        <v>717</v>
      </c>
      <c r="AK653" s="3" t="s">
        <v>645</v>
      </c>
    </row>
    <row r="654" spans="1:37" hidden="1" x14ac:dyDescent="0.25">
      <c r="A654" t="str">
        <f t="shared" si="10"/>
        <v>2022_SA_Riverton_Fababean_DetailedTOS1VarietyMarneWaterTrtIrrigated</v>
      </c>
      <c r="B654" s="2">
        <v>2022004</v>
      </c>
      <c r="C654" s="3" t="s">
        <v>644</v>
      </c>
      <c r="D654" s="3" t="s">
        <v>645</v>
      </c>
      <c r="F654" s="3" t="s">
        <v>4184</v>
      </c>
      <c r="G654" s="3" t="s">
        <v>39</v>
      </c>
      <c r="H654" s="3" t="s">
        <v>253</v>
      </c>
      <c r="I654" s="2">
        <v>71</v>
      </c>
      <c r="J654" s="2">
        <v>36</v>
      </c>
      <c r="K654" s="2">
        <v>3</v>
      </c>
      <c r="O654" s="2">
        <v>9</v>
      </c>
      <c r="U654" s="2">
        <v>3</v>
      </c>
      <c r="V654" s="2">
        <v>35</v>
      </c>
      <c r="W654" s="2">
        <v>3</v>
      </c>
      <c r="X654" s="2">
        <v>18</v>
      </c>
      <c r="AA654" s="3" t="s">
        <v>57</v>
      </c>
      <c r="AB654" s="2">
        <v>2</v>
      </c>
      <c r="AF654" s="2">
        <v>23</v>
      </c>
      <c r="AG654" s="2">
        <v>1</v>
      </c>
      <c r="AH654" s="3" t="s">
        <v>655</v>
      </c>
      <c r="AI654" s="4">
        <v>44730</v>
      </c>
      <c r="AJ654" s="3" t="s">
        <v>718</v>
      </c>
      <c r="AK654" s="3" t="s">
        <v>645</v>
      </c>
    </row>
    <row r="655" spans="1:37" hidden="1" x14ac:dyDescent="0.25">
      <c r="A655" t="str">
        <f t="shared" si="10"/>
        <v>2022_SA_Riverton_Fababean_DetailedTOS1VarietyMarneWaterTrtIrrigated</v>
      </c>
      <c r="B655" s="2">
        <v>2022004</v>
      </c>
      <c r="C655" s="3" t="s">
        <v>644</v>
      </c>
      <c r="D655" s="3" t="s">
        <v>645</v>
      </c>
      <c r="F655" s="3" t="s">
        <v>4184</v>
      </c>
      <c r="G655" s="3" t="s">
        <v>39</v>
      </c>
      <c r="H655" s="3" t="s">
        <v>250</v>
      </c>
      <c r="I655" s="2">
        <v>72</v>
      </c>
      <c r="J655" s="2">
        <v>36</v>
      </c>
      <c r="K655" s="2">
        <v>3</v>
      </c>
      <c r="O655" s="2">
        <v>9</v>
      </c>
      <c r="U655" s="2">
        <v>4</v>
      </c>
      <c r="V655" s="2">
        <v>35</v>
      </c>
      <c r="W655" s="2">
        <v>4</v>
      </c>
      <c r="X655" s="2">
        <v>18</v>
      </c>
      <c r="Z655" s="2">
        <v>69</v>
      </c>
      <c r="AA655" s="3" t="s">
        <v>57</v>
      </c>
      <c r="AB655" s="2">
        <v>2</v>
      </c>
      <c r="AF655" s="2">
        <v>23</v>
      </c>
      <c r="AG655" s="2">
        <v>1</v>
      </c>
      <c r="AH655" s="3" t="s">
        <v>655</v>
      </c>
      <c r="AI655" s="4">
        <v>44730</v>
      </c>
      <c r="AJ655" s="3" t="s">
        <v>719</v>
      </c>
      <c r="AK655" s="3" t="s">
        <v>645</v>
      </c>
    </row>
    <row r="656" spans="1:37" hidden="1" x14ac:dyDescent="0.25">
      <c r="A656" t="str">
        <f t="shared" si="10"/>
        <v>2022_SA_Riverton_Fababean_DetailedTOS2VarietyAmberleyWaterTrtRainFed</v>
      </c>
      <c r="B656" s="2">
        <v>2022004</v>
      </c>
      <c r="C656" s="3" t="s">
        <v>644</v>
      </c>
      <c r="D656" s="3" t="s">
        <v>645</v>
      </c>
      <c r="F656" s="3" t="s">
        <v>4185</v>
      </c>
      <c r="G656" s="3" t="s">
        <v>39</v>
      </c>
      <c r="H656" s="3" t="s">
        <v>253</v>
      </c>
      <c r="I656" s="2">
        <v>73</v>
      </c>
      <c r="J656" s="2">
        <v>37</v>
      </c>
      <c r="K656" s="2">
        <v>3</v>
      </c>
      <c r="O656" s="2">
        <v>10</v>
      </c>
      <c r="U656" s="2">
        <v>1</v>
      </c>
      <c r="V656" s="2">
        <v>38</v>
      </c>
      <c r="W656" s="2">
        <v>1</v>
      </c>
      <c r="X656" s="2">
        <v>19</v>
      </c>
      <c r="AA656" s="3" t="s">
        <v>40</v>
      </c>
      <c r="AB656" s="2">
        <v>1</v>
      </c>
      <c r="AF656" s="2">
        <v>23</v>
      </c>
      <c r="AG656" s="2">
        <v>2</v>
      </c>
      <c r="AH656" s="3" t="s">
        <v>646</v>
      </c>
      <c r="AI656" s="4">
        <v>44756</v>
      </c>
      <c r="AJ656" s="3" t="s">
        <v>720</v>
      </c>
      <c r="AK656" s="3" t="s">
        <v>645</v>
      </c>
    </row>
    <row r="657" spans="1:37" hidden="1" x14ac:dyDescent="0.25">
      <c r="A657" t="str">
        <f t="shared" si="10"/>
        <v>2022_SA_Riverton_Fababean_DetailedTOS2VarietyAmberleyWaterTrtRainFed</v>
      </c>
      <c r="B657" s="2">
        <v>2022004</v>
      </c>
      <c r="C657" s="3" t="s">
        <v>644</v>
      </c>
      <c r="D657" s="3" t="s">
        <v>645</v>
      </c>
      <c r="F657" s="3" t="s">
        <v>4185</v>
      </c>
      <c r="G657" s="3" t="s">
        <v>39</v>
      </c>
      <c r="H657" s="3" t="s">
        <v>250</v>
      </c>
      <c r="I657" s="2">
        <v>74</v>
      </c>
      <c r="J657" s="2">
        <v>37</v>
      </c>
      <c r="K657" s="2">
        <v>3</v>
      </c>
      <c r="O657" s="2">
        <v>10</v>
      </c>
      <c r="U657" s="2">
        <v>2</v>
      </c>
      <c r="V657" s="2">
        <v>38</v>
      </c>
      <c r="W657" s="2">
        <v>2</v>
      </c>
      <c r="X657" s="2">
        <v>19</v>
      </c>
      <c r="Z657" s="2">
        <v>74</v>
      </c>
      <c r="AA657" s="3" t="s">
        <v>40</v>
      </c>
      <c r="AB657" s="2">
        <v>1</v>
      </c>
      <c r="AF657" s="2">
        <v>23</v>
      </c>
      <c r="AG657" s="2">
        <v>2</v>
      </c>
      <c r="AH657" s="3" t="s">
        <v>646</v>
      </c>
      <c r="AI657" s="4">
        <v>44756</v>
      </c>
      <c r="AJ657" s="3" t="s">
        <v>721</v>
      </c>
      <c r="AK657" s="3" t="s">
        <v>645</v>
      </c>
    </row>
    <row r="658" spans="1:37" hidden="1" x14ac:dyDescent="0.25">
      <c r="A658" t="str">
        <f t="shared" si="10"/>
        <v>2022_SA_Riverton_Fababean_DetailedTOS2VarietyMarneWaterTrtRainFed</v>
      </c>
      <c r="B658" s="2">
        <v>2022004</v>
      </c>
      <c r="C658" s="3" t="s">
        <v>644</v>
      </c>
      <c r="D658" s="3" t="s">
        <v>645</v>
      </c>
      <c r="F658" s="3" t="s">
        <v>4184</v>
      </c>
      <c r="G658" s="3" t="s">
        <v>39</v>
      </c>
      <c r="H658" s="3" t="s">
        <v>253</v>
      </c>
      <c r="I658" s="2">
        <v>75</v>
      </c>
      <c r="J658" s="2">
        <v>38</v>
      </c>
      <c r="K658" s="2">
        <v>3</v>
      </c>
      <c r="O658" s="2">
        <v>10</v>
      </c>
      <c r="U658" s="2">
        <v>3</v>
      </c>
      <c r="V658" s="2">
        <v>38</v>
      </c>
      <c r="W658" s="2">
        <v>3</v>
      </c>
      <c r="X658" s="2">
        <v>19</v>
      </c>
      <c r="AA658" s="3" t="s">
        <v>40</v>
      </c>
      <c r="AB658" s="2">
        <v>2</v>
      </c>
      <c r="AF658" s="2">
        <v>23</v>
      </c>
      <c r="AG658" s="2">
        <v>2</v>
      </c>
      <c r="AH658" s="3" t="s">
        <v>646</v>
      </c>
      <c r="AI658" s="4">
        <v>44756</v>
      </c>
      <c r="AJ658" s="3" t="s">
        <v>722</v>
      </c>
      <c r="AK658" s="3" t="s">
        <v>645</v>
      </c>
    </row>
    <row r="659" spans="1:37" hidden="1" x14ac:dyDescent="0.25">
      <c r="A659" t="str">
        <f t="shared" si="10"/>
        <v>2022_SA_Riverton_Fababean_DetailedTOS2VarietyMarneWaterTrtRainFed</v>
      </c>
      <c r="B659" s="2">
        <v>2022004</v>
      </c>
      <c r="C659" s="3" t="s">
        <v>644</v>
      </c>
      <c r="D659" s="3" t="s">
        <v>645</v>
      </c>
      <c r="F659" s="3" t="s">
        <v>4184</v>
      </c>
      <c r="G659" s="3" t="s">
        <v>39</v>
      </c>
      <c r="H659" s="3" t="s">
        <v>250</v>
      </c>
      <c r="I659" s="2">
        <v>76</v>
      </c>
      <c r="J659" s="2">
        <v>38</v>
      </c>
      <c r="K659" s="2">
        <v>3</v>
      </c>
      <c r="O659" s="2">
        <v>10</v>
      </c>
      <c r="U659" s="2">
        <v>4</v>
      </c>
      <c r="V659" s="2">
        <v>38</v>
      </c>
      <c r="W659" s="2">
        <v>4</v>
      </c>
      <c r="X659" s="2">
        <v>19</v>
      </c>
      <c r="Z659" s="2">
        <v>76</v>
      </c>
      <c r="AA659" s="3" t="s">
        <v>40</v>
      </c>
      <c r="AB659" s="2">
        <v>2</v>
      </c>
      <c r="AF659" s="2">
        <v>23</v>
      </c>
      <c r="AG659" s="2">
        <v>2</v>
      </c>
      <c r="AH659" s="3" t="s">
        <v>646</v>
      </c>
      <c r="AI659" s="4">
        <v>44756</v>
      </c>
      <c r="AJ659" s="3" t="s">
        <v>723</v>
      </c>
      <c r="AK659" s="3" t="s">
        <v>645</v>
      </c>
    </row>
    <row r="660" spans="1:37" hidden="1" x14ac:dyDescent="0.25">
      <c r="A660" t="str">
        <f t="shared" si="10"/>
        <v>2022_SA_Riverton_Fababean_DetailedTOS2VarietyNasmaWaterTrtRainFed</v>
      </c>
      <c r="B660" s="2">
        <v>2022004</v>
      </c>
      <c r="C660" s="3" t="s">
        <v>644</v>
      </c>
      <c r="D660" s="3" t="s">
        <v>645</v>
      </c>
      <c r="F660" s="3" t="s">
        <v>4186</v>
      </c>
      <c r="G660" s="3" t="s">
        <v>43</v>
      </c>
      <c r="H660" s="3" t="s">
        <v>253</v>
      </c>
      <c r="I660" s="2">
        <v>77</v>
      </c>
      <c r="J660" s="2">
        <v>39</v>
      </c>
      <c r="K660" s="2">
        <v>3</v>
      </c>
      <c r="O660" s="2">
        <v>10</v>
      </c>
      <c r="U660" s="2">
        <v>1</v>
      </c>
      <c r="V660" s="2">
        <v>39</v>
      </c>
      <c r="W660" s="2">
        <v>1</v>
      </c>
      <c r="X660" s="2">
        <v>20</v>
      </c>
      <c r="AA660" s="3" t="s">
        <v>40</v>
      </c>
      <c r="AB660" s="2">
        <v>3</v>
      </c>
      <c r="AF660" s="2">
        <v>23</v>
      </c>
      <c r="AG660" s="2">
        <v>2</v>
      </c>
      <c r="AH660" s="3" t="s">
        <v>646</v>
      </c>
      <c r="AI660" s="4">
        <v>44756</v>
      </c>
      <c r="AJ660" s="3" t="s">
        <v>724</v>
      </c>
      <c r="AK660" s="3" t="s">
        <v>645</v>
      </c>
    </row>
    <row r="661" spans="1:37" hidden="1" x14ac:dyDescent="0.25">
      <c r="A661" t="str">
        <f t="shared" si="10"/>
        <v>2022_SA_Riverton_Fababean_DetailedTOS2VarietyNasmaWaterTrtRainFed</v>
      </c>
      <c r="B661" s="2">
        <v>2022004</v>
      </c>
      <c r="C661" s="3" t="s">
        <v>644</v>
      </c>
      <c r="D661" s="3" t="s">
        <v>645</v>
      </c>
      <c r="F661" s="3" t="s">
        <v>4186</v>
      </c>
      <c r="G661" s="3" t="s">
        <v>43</v>
      </c>
      <c r="H661" s="3" t="s">
        <v>250</v>
      </c>
      <c r="I661" s="2">
        <v>78</v>
      </c>
      <c r="J661" s="2">
        <v>39</v>
      </c>
      <c r="K661" s="2">
        <v>3</v>
      </c>
      <c r="O661" s="2">
        <v>10</v>
      </c>
      <c r="U661" s="2">
        <v>2</v>
      </c>
      <c r="V661" s="2">
        <v>39</v>
      </c>
      <c r="W661" s="2">
        <v>2</v>
      </c>
      <c r="X661" s="2">
        <v>20</v>
      </c>
      <c r="Z661" s="2">
        <v>79</v>
      </c>
      <c r="AA661" s="3" t="s">
        <v>40</v>
      </c>
      <c r="AB661" s="2">
        <v>3</v>
      </c>
      <c r="AF661" s="2">
        <v>23</v>
      </c>
      <c r="AG661" s="2">
        <v>2</v>
      </c>
      <c r="AH661" s="3" t="s">
        <v>646</v>
      </c>
      <c r="AI661" s="4">
        <v>44756</v>
      </c>
      <c r="AJ661" s="3" t="s">
        <v>725</v>
      </c>
      <c r="AK661" s="3" t="s">
        <v>645</v>
      </c>
    </row>
    <row r="662" spans="1:37" hidden="1" x14ac:dyDescent="0.25">
      <c r="A662" t="str">
        <f t="shared" si="10"/>
        <v>2022_SA_Riverton_Fababean_DetailedTOS2VarietySamiraWaterTrtRainFed</v>
      </c>
      <c r="B662" s="2">
        <v>2022004</v>
      </c>
      <c r="C662" s="3" t="s">
        <v>644</v>
      </c>
      <c r="D662" s="3" t="s">
        <v>645</v>
      </c>
      <c r="F662" s="3" t="s">
        <v>4183</v>
      </c>
      <c r="G662" s="3" t="s">
        <v>43</v>
      </c>
      <c r="H662" s="3" t="s">
        <v>253</v>
      </c>
      <c r="I662" s="2">
        <v>79</v>
      </c>
      <c r="J662" s="2">
        <v>40</v>
      </c>
      <c r="K662" s="2">
        <v>3</v>
      </c>
      <c r="O662" s="2">
        <v>10</v>
      </c>
      <c r="U662" s="2">
        <v>3</v>
      </c>
      <c r="V662" s="2">
        <v>39</v>
      </c>
      <c r="W662" s="2">
        <v>3</v>
      </c>
      <c r="X662" s="2">
        <v>20</v>
      </c>
      <c r="AA662" s="3" t="s">
        <v>40</v>
      </c>
      <c r="AB662" s="2">
        <v>4</v>
      </c>
      <c r="AF662" s="2">
        <v>23</v>
      </c>
      <c r="AG662" s="2">
        <v>2</v>
      </c>
      <c r="AH662" s="3" t="s">
        <v>646</v>
      </c>
      <c r="AI662" s="4">
        <v>44756</v>
      </c>
      <c r="AJ662" s="3" t="s">
        <v>726</v>
      </c>
      <c r="AK662" s="3" t="s">
        <v>645</v>
      </c>
    </row>
    <row r="663" spans="1:37" hidden="1" x14ac:dyDescent="0.25">
      <c r="A663" t="str">
        <f t="shared" si="10"/>
        <v>2022_SA_Riverton_Fababean_DetailedTOS2VarietySamiraWaterTrtRainFed</v>
      </c>
      <c r="B663" s="2">
        <v>2022004</v>
      </c>
      <c r="C663" s="3" t="s">
        <v>644</v>
      </c>
      <c r="D663" s="3" t="s">
        <v>645</v>
      </c>
      <c r="F663" s="3" t="s">
        <v>4183</v>
      </c>
      <c r="G663" s="3" t="s">
        <v>43</v>
      </c>
      <c r="H663" s="3" t="s">
        <v>250</v>
      </c>
      <c r="I663" s="2">
        <v>80</v>
      </c>
      <c r="J663" s="2">
        <v>40</v>
      </c>
      <c r="K663" s="2">
        <v>3</v>
      </c>
      <c r="O663" s="2">
        <v>10</v>
      </c>
      <c r="U663" s="2">
        <v>4</v>
      </c>
      <c r="V663" s="2">
        <v>39</v>
      </c>
      <c r="W663" s="2">
        <v>4</v>
      </c>
      <c r="X663" s="2">
        <v>20</v>
      </c>
      <c r="Z663" s="2">
        <v>77</v>
      </c>
      <c r="AA663" s="3" t="s">
        <v>40</v>
      </c>
      <c r="AB663" s="2">
        <v>4</v>
      </c>
      <c r="AF663" s="2">
        <v>23</v>
      </c>
      <c r="AG663" s="2">
        <v>2</v>
      </c>
      <c r="AH663" s="3" t="s">
        <v>646</v>
      </c>
      <c r="AI663" s="4">
        <v>44756</v>
      </c>
      <c r="AJ663" s="3" t="s">
        <v>727</v>
      </c>
      <c r="AK663" s="3" t="s">
        <v>645</v>
      </c>
    </row>
    <row r="664" spans="1:37" hidden="1" x14ac:dyDescent="0.25">
      <c r="A664" t="str">
        <f t="shared" si="10"/>
        <v>2022_SA_Riverton_Fababean_DetailedTOS2VarietySamiraWaterTrtIrrigated</v>
      </c>
      <c r="B664" s="2">
        <v>2022004</v>
      </c>
      <c r="C664" s="3" t="s">
        <v>644</v>
      </c>
      <c r="D664" s="3" t="s">
        <v>645</v>
      </c>
      <c r="F664" s="3" t="s">
        <v>4183</v>
      </c>
      <c r="G664" s="3" t="s">
        <v>43</v>
      </c>
      <c r="H664" s="3" t="s">
        <v>253</v>
      </c>
      <c r="I664" s="2">
        <v>81</v>
      </c>
      <c r="J664" s="2">
        <v>41</v>
      </c>
      <c r="K664" s="2">
        <v>3</v>
      </c>
      <c r="O664" s="2">
        <v>11</v>
      </c>
      <c r="U664" s="2">
        <v>1</v>
      </c>
      <c r="V664" s="2">
        <v>42</v>
      </c>
      <c r="W664" s="2">
        <v>1</v>
      </c>
      <c r="X664" s="2">
        <v>21</v>
      </c>
      <c r="AA664" s="3" t="s">
        <v>57</v>
      </c>
      <c r="AB664" s="2">
        <v>4</v>
      </c>
      <c r="AF664" s="2">
        <v>23</v>
      </c>
      <c r="AG664" s="2">
        <v>2</v>
      </c>
      <c r="AH664" s="3" t="s">
        <v>646</v>
      </c>
      <c r="AI664" s="4">
        <v>44756</v>
      </c>
      <c r="AJ664" s="3" t="s">
        <v>728</v>
      </c>
      <c r="AK664" s="3" t="s">
        <v>645</v>
      </c>
    </row>
    <row r="665" spans="1:37" hidden="1" x14ac:dyDescent="0.25">
      <c r="A665" t="str">
        <f t="shared" si="10"/>
        <v>2022_SA_Riverton_Fababean_DetailedTOS2VarietySamiraWaterTrtIrrigated</v>
      </c>
      <c r="B665" s="2">
        <v>2022004</v>
      </c>
      <c r="C665" s="3" t="s">
        <v>644</v>
      </c>
      <c r="D665" s="3" t="s">
        <v>645</v>
      </c>
      <c r="F665" s="3" t="s">
        <v>4183</v>
      </c>
      <c r="G665" s="3" t="s">
        <v>43</v>
      </c>
      <c r="H665" s="3" t="s">
        <v>250</v>
      </c>
      <c r="I665" s="2">
        <v>82</v>
      </c>
      <c r="J665" s="2">
        <v>41</v>
      </c>
      <c r="K665" s="2">
        <v>3</v>
      </c>
      <c r="O665" s="2">
        <v>11</v>
      </c>
      <c r="U665" s="2">
        <v>2</v>
      </c>
      <c r="V665" s="2">
        <v>42</v>
      </c>
      <c r="W665" s="2">
        <v>2</v>
      </c>
      <c r="X665" s="2">
        <v>21</v>
      </c>
      <c r="Z665" s="2">
        <v>82</v>
      </c>
      <c r="AA665" s="3" t="s">
        <v>57</v>
      </c>
      <c r="AB665" s="2">
        <v>4</v>
      </c>
      <c r="AF665" s="2">
        <v>23</v>
      </c>
      <c r="AG665" s="2">
        <v>2</v>
      </c>
      <c r="AH665" s="3" t="s">
        <v>646</v>
      </c>
      <c r="AI665" s="4">
        <v>44756</v>
      </c>
      <c r="AJ665" s="3" t="s">
        <v>729</v>
      </c>
      <c r="AK665" s="3" t="s">
        <v>645</v>
      </c>
    </row>
    <row r="666" spans="1:37" hidden="1" x14ac:dyDescent="0.25">
      <c r="A666" t="str">
        <f t="shared" si="10"/>
        <v>2022_SA_Riverton_Fababean_DetailedTOS2VarietyNasmaWaterTrtIrrigated</v>
      </c>
      <c r="B666" s="2">
        <v>2022004</v>
      </c>
      <c r="C666" s="3" t="s">
        <v>644</v>
      </c>
      <c r="D666" s="3" t="s">
        <v>645</v>
      </c>
      <c r="F666" s="3" t="s">
        <v>4186</v>
      </c>
      <c r="G666" s="3" t="s">
        <v>43</v>
      </c>
      <c r="H666" s="3" t="s">
        <v>253</v>
      </c>
      <c r="I666" s="2">
        <v>83</v>
      </c>
      <c r="J666" s="2">
        <v>42</v>
      </c>
      <c r="K666" s="2">
        <v>3</v>
      </c>
      <c r="O666" s="2">
        <v>11</v>
      </c>
      <c r="U666" s="2">
        <v>3</v>
      </c>
      <c r="V666" s="2">
        <v>42</v>
      </c>
      <c r="W666" s="2">
        <v>3</v>
      </c>
      <c r="X666" s="2">
        <v>21</v>
      </c>
      <c r="AA666" s="3" t="s">
        <v>57</v>
      </c>
      <c r="AB666" s="2">
        <v>3</v>
      </c>
      <c r="AF666" s="2">
        <v>23</v>
      </c>
      <c r="AG666" s="2">
        <v>2</v>
      </c>
      <c r="AH666" s="3" t="s">
        <v>646</v>
      </c>
      <c r="AI666" s="4">
        <v>44756</v>
      </c>
      <c r="AJ666" s="3" t="s">
        <v>730</v>
      </c>
      <c r="AK666" s="3" t="s">
        <v>645</v>
      </c>
    </row>
    <row r="667" spans="1:37" hidden="1" x14ac:dyDescent="0.25">
      <c r="A667" t="str">
        <f t="shared" si="10"/>
        <v>2022_SA_Riverton_Fababean_DetailedTOS2VarietyNasmaWaterTrtIrrigated</v>
      </c>
      <c r="B667" s="2">
        <v>2022004</v>
      </c>
      <c r="C667" s="3" t="s">
        <v>644</v>
      </c>
      <c r="D667" s="3" t="s">
        <v>645</v>
      </c>
      <c r="F667" s="3" t="s">
        <v>4186</v>
      </c>
      <c r="G667" s="3" t="s">
        <v>43</v>
      </c>
      <c r="H667" s="3" t="s">
        <v>250</v>
      </c>
      <c r="I667" s="2">
        <v>84</v>
      </c>
      <c r="J667" s="2">
        <v>42</v>
      </c>
      <c r="K667" s="2">
        <v>3</v>
      </c>
      <c r="O667" s="2">
        <v>11</v>
      </c>
      <c r="U667" s="2">
        <v>4</v>
      </c>
      <c r="V667" s="2">
        <v>42</v>
      </c>
      <c r="W667" s="2">
        <v>4</v>
      </c>
      <c r="X667" s="2">
        <v>21</v>
      </c>
      <c r="Z667" s="2">
        <v>84</v>
      </c>
      <c r="AA667" s="3" t="s">
        <v>57</v>
      </c>
      <c r="AB667" s="2">
        <v>3</v>
      </c>
      <c r="AF667" s="2">
        <v>23</v>
      </c>
      <c r="AG667" s="2">
        <v>2</v>
      </c>
      <c r="AH667" s="3" t="s">
        <v>646</v>
      </c>
      <c r="AI667" s="4">
        <v>44756</v>
      </c>
      <c r="AJ667" s="3" t="s">
        <v>731</v>
      </c>
      <c r="AK667" s="3" t="s">
        <v>645</v>
      </c>
    </row>
    <row r="668" spans="1:37" hidden="1" x14ac:dyDescent="0.25">
      <c r="A668" t="str">
        <f t="shared" si="10"/>
        <v>2022_SA_Riverton_Fababean_DetailedTOS2VarietyMarneWaterTrtIrrigated</v>
      </c>
      <c r="B668" s="2">
        <v>2022004</v>
      </c>
      <c r="C668" s="3" t="s">
        <v>644</v>
      </c>
      <c r="D668" s="3" t="s">
        <v>645</v>
      </c>
      <c r="F668" s="3" t="s">
        <v>4184</v>
      </c>
      <c r="G668" s="3" t="s">
        <v>39</v>
      </c>
      <c r="H668" s="3" t="s">
        <v>253</v>
      </c>
      <c r="I668" s="2">
        <v>85</v>
      </c>
      <c r="J668" s="2">
        <v>43</v>
      </c>
      <c r="K668" s="2">
        <v>3</v>
      </c>
      <c r="O668" s="2">
        <v>11</v>
      </c>
      <c r="U668" s="2">
        <v>1</v>
      </c>
      <c r="V668" s="2">
        <v>43</v>
      </c>
      <c r="W668" s="2">
        <v>1</v>
      </c>
      <c r="X668" s="2">
        <v>22</v>
      </c>
      <c r="AA668" s="3" t="s">
        <v>57</v>
      </c>
      <c r="AB668" s="2">
        <v>2</v>
      </c>
      <c r="AF668" s="2">
        <v>23</v>
      </c>
      <c r="AG668" s="2">
        <v>2</v>
      </c>
      <c r="AH668" s="3" t="s">
        <v>646</v>
      </c>
      <c r="AI668" s="4">
        <v>44756</v>
      </c>
      <c r="AJ668" s="3" t="s">
        <v>732</v>
      </c>
      <c r="AK668" s="3" t="s">
        <v>645</v>
      </c>
    </row>
    <row r="669" spans="1:37" hidden="1" x14ac:dyDescent="0.25">
      <c r="A669" t="str">
        <f t="shared" si="10"/>
        <v>2022_SA_Riverton_Fababean_DetailedTOS2VarietyMarneWaterTrtIrrigated</v>
      </c>
      <c r="B669" s="2">
        <v>2022004</v>
      </c>
      <c r="C669" s="3" t="s">
        <v>644</v>
      </c>
      <c r="D669" s="3" t="s">
        <v>645</v>
      </c>
      <c r="F669" s="3" t="s">
        <v>4184</v>
      </c>
      <c r="G669" s="3" t="s">
        <v>39</v>
      </c>
      <c r="H669" s="3" t="s">
        <v>250</v>
      </c>
      <c r="I669" s="2">
        <v>86</v>
      </c>
      <c r="J669" s="2">
        <v>43</v>
      </c>
      <c r="K669" s="2">
        <v>3</v>
      </c>
      <c r="O669" s="2">
        <v>11</v>
      </c>
      <c r="U669" s="2">
        <v>2</v>
      </c>
      <c r="V669" s="2">
        <v>43</v>
      </c>
      <c r="W669" s="2">
        <v>2</v>
      </c>
      <c r="X669" s="2">
        <v>22</v>
      </c>
      <c r="Z669" s="2">
        <v>87</v>
      </c>
      <c r="AA669" s="3" t="s">
        <v>57</v>
      </c>
      <c r="AB669" s="2">
        <v>2</v>
      </c>
      <c r="AF669" s="2">
        <v>23</v>
      </c>
      <c r="AG669" s="2">
        <v>2</v>
      </c>
      <c r="AH669" s="3" t="s">
        <v>646</v>
      </c>
      <c r="AI669" s="4">
        <v>44756</v>
      </c>
      <c r="AJ669" s="3" t="s">
        <v>733</v>
      </c>
      <c r="AK669" s="3" t="s">
        <v>645</v>
      </c>
    </row>
    <row r="670" spans="1:37" hidden="1" x14ac:dyDescent="0.25">
      <c r="A670" t="str">
        <f t="shared" si="10"/>
        <v>2022_SA_Riverton_Fababean_DetailedTOS2VarietyAmberleyWaterTrtIrrigated</v>
      </c>
      <c r="B670" s="2">
        <v>2022004</v>
      </c>
      <c r="C670" s="3" t="s">
        <v>644</v>
      </c>
      <c r="D670" s="3" t="s">
        <v>645</v>
      </c>
      <c r="F670" s="3" t="s">
        <v>4185</v>
      </c>
      <c r="G670" s="3" t="s">
        <v>39</v>
      </c>
      <c r="H670" s="3" t="s">
        <v>253</v>
      </c>
      <c r="I670" s="2">
        <v>87</v>
      </c>
      <c r="J670" s="2">
        <v>44</v>
      </c>
      <c r="K670" s="2">
        <v>3</v>
      </c>
      <c r="O670" s="2">
        <v>11</v>
      </c>
      <c r="U670" s="2">
        <v>3</v>
      </c>
      <c r="V670" s="2">
        <v>43</v>
      </c>
      <c r="W670" s="2">
        <v>3</v>
      </c>
      <c r="X670" s="2">
        <v>22</v>
      </c>
      <c r="AA670" s="3" t="s">
        <v>57</v>
      </c>
      <c r="AB670" s="2">
        <v>1</v>
      </c>
      <c r="AF670" s="2">
        <v>23</v>
      </c>
      <c r="AG670" s="2">
        <v>2</v>
      </c>
      <c r="AH670" s="3" t="s">
        <v>646</v>
      </c>
      <c r="AI670" s="4">
        <v>44756</v>
      </c>
      <c r="AJ670" s="3" t="s">
        <v>734</v>
      </c>
      <c r="AK670" s="3" t="s">
        <v>645</v>
      </c>
    </row>
    <row r="671" spans="1:37" hidden="1" x14ac:dyDescent="0.25">
      <c r="A671" t="str">
        <f t="shared" si="10"/>
        <v>2022_SA_Riverton_Fababean_DetailedTOS2VarietyAmberleyWaterTrtIrrigated</v>
      </c>
      <c r="B671" s="2">
        <v>2022004</v>
      </c>
      <c r="C671" s="3" t="s">
        <v>644</v>
      </c>
      <c r="D671" s="3" t="s">
        <v>645</v>
      </c>
      <c r="F671" s="3" t="s">
        <v>4185</v>
      </c>
      <c r="G671" s="3" t="s">
        <v>39</v>
      </c>
      <c r="H671" s="3" t="s">
        <v>250</v>
      </c>
      <c r="I671" s="2">
        <v>88</v>
      </c>
      <c r="J671" s="2">
        <v>44</v>
      </c>
      <c r="K671" s="2">
        <v>3</v>
      </c>
      <c r="O671" s="2">
        <v>11</v>
      </c>
      <c r="U671" s="2">
        <v>4</v>
      </c>
      <c r="V671" s="2">
        <v>43</v>
      </c>
      <c r="W671" s="2">
        <v>4</v>
      </c>
      <c r="X671" s="2">
        <v>22</v>
      </c>
      <c r="Z671" s="2">
        <v>85</v>
      </c>
      <c r="AA671" s="3" t="s">
        <v>57</v>
      </c>
      <c r="AB671" s="2">
        <v>1</v>
      </c>
      <c r="AF671" s="2">
        <v>23</v>
      </c>
      <c r="AG671" s="2">
        <v>2</v>
      </c>
      <c r="AH671" s="3" t="s">
        <v>646</v>
      </c>
      <c r="AI671" s="4">
        <v>44756</v>
      </c>
      <c r="AJ671" s="3" t="s">
        <v>735</v>
      </c>
      <c r="AK671" s="3" t="s">
        <v>645</v>
      </c>
    </row>
    <row r="672" spans="1:37" hidden="1" x14ac:dyDescent="0.25">
      <c r="A672" t="str">
        <f t="shared" si="10"/>
        <v>2022_SA_Riverton_Fababean_DetailedTOS1VarietyMarneWaterTrtRainFed</v>
      </c>
      <c r="B672" s="2">
        <v>2022004</v>
      </c>
      <c r="C672" s="3" t="s">
        <v>644</v>
      </c>
      <c r="D672" s="3" t="s">
        <v>645</v>
      </c>
      <c r="F672" s="3" t="s">
        <v>4184</v>
      </c>
      <c r="G672" s="3" t="s">
        <v>39</v>
      </c>
      <c r="H672" s="3" t="s">
        <v>253</v>
      </c>
      <c r="I672" s="2">
        <v>89</v>
      </c>
      <c r="J672" s="2">
        <v>45</v>
      </c>
      <c r="K672" s="2">
        <v>3</v>
      </c>
      <c r="O672" s="2">
        <v>12</v>
      </c>
      <c r="U672" s="2">
        <v>1</v>
      </c>
      <c r="V672" s="2">
        <v>46</v>
      </c>
      <c r="W672" s="2">
        <v>1</v>
      </c>
      <c r="X672" s="2">
        <v>23</v>
      </c>
      <c r="AA672" s="3" t="s">
        <v>40</v>
      </c>
      <c r="AB672" s="2">
        <v>2</v>
      </c>
      <c r="AF672" s="2">
        <v>23</v>
      </c>
      <c r="AG672" s="2">
        <v>1</v>
      </c>
      <c r="AH672" s="3" t="s">
        <v>655</v>
      </c>
      <c r="AI672" s="4">
        <v>44730</v>
      </c>
      <c r="AJ672" s="3" t="s">
        <v>736</v>
      </c>
      <c r="AK672" s="3" t="s">
        <v>645</v>
      </c>
    </row>
    <row r="673" spans="1:37" hidden="1" x14ac:dyDescent="0.25">
      <c r="A673" t="str">
        <f t="shared" si="10"/>
        <v>2022_SA_Riverton_Fababean_DetailedTOS1VarietyMarneWaterTrtRainFed</v>
      </c>
      <c r="B673" s="2">
        <v>2022004</v>
      </c>
      <c r="C673" s="3" t="s">
        <v>644</v>
      </c>
      <c r="D673" s="3" t="s">
        <v>645</v>
      </c>
      <c r="F673" s="3" t="s">
        <v>4184</v>
      </c>
      <c r="G673" s="3" t="s">
        <v>39</v>
      </c>
      <c r="H673" s="3" t="s">
        <v>250</v>
      </c>
      <c r="I673" s="2">
        <v>90</v>
      </c>
      <c r="J673" s="2">
        <v>45</v>
      </c>
      <c r="K673" s="2">
        <v>3</v>
      </c>
      <c r="O673" s="2">
        <v>12</v>
      </c>
      <c r="U673" s="2">
        <v>2</v>
      </c>
      <c r="V673" s="2">
        <v>46</v>
      </c>
      <c r="W673" s="2">
        <v>2</v>
      </c>
      <c r="X673" s="2">
        <v>23</v>
      </c>
      <c r="Z673" s="2">
        <v>90</v>
      </c>
      <c r="AA673" s="3" t="s">
        <v>40</v>
      </c>
      <c r="AB673" s="2">
        <v>2</v>
      </c>
      <c r="AF673" s="2">
        <v>23</v>
      </c>
      <c r="AG673" s="2">
        <v>1</v>
      </c>
      <c r="AH673" s="3" t="s">
        <v>655</v>
      </c>
      <c r="AI673" s="4">
        <v>44730</v>
      </c>
      <c r="AJ673" s="3" t="s">
        <v>737</v>
      </c>
      <c r="AK673" s="3" t="s">
        <v>645</v>
      </c>
    </row>
    <row r="674" spans="1:37" hidden="1" x14ac:dyDescent="0.25">
      <c r="A674" t="str">
        <f t="shared" si="10"/>
        <v>2022_SA_Riverton_Fababean_DetailedTOS1VarietySamiraWaterTrtRainFed</v>
      </c>
      <c r="B674" s="2">
        <v>2022004</v>
      </c>
      <c r="C674" s="3" t="s">
        <v>644</v>
      </c>
      <c r="D674" s="3" t="s">
        <v>645</v>
      </c>
      <c r="F674" s="3" t="s">
        <v>4183</v>
      </c>
      <c r="G674" s="3" t="s">
        <v>43</v>
      </c>
      <c r="H674" s="3" t="s">
        <v>253</v>
      </c>
      <c r="I674" s="2">
        <v>91</v>
      </c>
      <c r="J674" s="2">
        <v>46</v>
      </c>
      <c r="K674" s="2">
        <v>3</v>
      </c>
      <c r="O674" s="2">
        <v>12</v>
      </c>
      <c r="U674" s="2">
        <v>3</v>
      </c>
      <c r="V674" s="2">
        <v>46</v>
      </c>
      <c r="W674" s="2">
        <v>3</v>
      </c>
      <c r="X674" s="2">
        <v>23</v>
      </c>
      <c r="AA674" s="3" t="s">
        <v>40</v>
      </c>
      <c r="AB674" s="2">
        <v>4</v>
      </c>
      <c r="AF674" s="2">
        <v>23</v>
      </c>
      <c r="AG674" s="2">
        <v>1</v>
      </c>
      <c r="AH674" s="3" t="s">
        <v>655</v>
      </c>
      <c r="AI674" s="4">
        <v>44730</v>
      </c>
      <c r="AJ674" s="3" t="s">
        <v>738</v>
      </c>
      <c r="AK674" s="3" t="s">
        <v>645</v>
      </c>
    </row>
    <row r="675" spans="1:37" hidden="1" x14ac:dyDescent="0.25">
      <c r="A675" t="str">
        <f t="shared" si="10"/>
        <v>2022_SA_Riverton_Fababean_DetailedTOS1VarietySamiraWaterTrtRainFed</v>
      </c>
      <c r="B675" s="2">
        <v>2022004</v>
      </c>
      <c r="C675" s="3" t="s">
        <v>644</v>
      </c>
      <c r="D675" s="3" t="s">
        <v>645</v>
      </c>
      <c r="F675" s="3" t="s">
        <v>4183</v>
      </c>
      <c r="G675" s="3" t="s">
        <v>43</v>
      </c>
      <c r="H675" s="3" t="s">
        <v>250</v>
      </c>
      <c r="I675" s="2">
        <v>92</v>
      </c>
      <c r="J675" s="2">
        <v>46</v>
      </c>
      <c r="K675" s="2">
        <v>3</v>
      </c>
      <c r="O675" s="2">
        <v>12</v>
      </c>
      <c r="U675" s="2">
        <v>4</v>
      </c>
      <c r="V675" s="2">
        <v>46</v>
      </c>
      <c r="W675" s="2">
        <v>4</v>
      </c>
      <c r="X675" s="2">
        <v>23</v>
      </c>
      <c r="Z675" s="2">
        <v>92</v>
      </c>
      <c r="AA675" s="3" t="s">
        <v>40</v>
      </c>
      <c r="AB675" s="2">
        <v>4</v>
      </c>
      <c r="AF675" s="2">
        <v>23</v>
      </c>
      <c r="AG675" s="2">
        <v>1</v>
      </c>
      <c r="AH675" s="3" t="s">
        <v>655</v>
      </c>
      <c r="AI675" s="4">
        <v>44730</v>
      </c>
      <c r="AJ675" s="3" t="s">
        <v>739</v>
      </c>
      <c r="AK675" s="3" t="s">
        <v>645</v>
      </c>
    </row>
    <row r="676" spans="1:37" hidden="1" x14ac:dyDescent="0.25">
      <c r="A676" t="str">
        <f t="shared" si="10"/>
        <v>2022_SA_Riverton_Fababean_DetailedTOS1VarietyAmberleyWaterTrtRainFed</v>
      </c>
      <c r="B676" s="2">
        <v>2022004</v>
      </c>
      <c r="C676" s="3" t="s">
        <v>644</v>
      </c>
      <c r="D676" s="3" t="s">
        <v>645</v>
      </c>
      <c r="F676" s="3" t="s">
        <v>4185</v>
      </c>
      <c r="G676" s="3" t="s">
        <v>39</v>
      </c>
      <c r="H676" s="3" t="s">
        <v>253</v>
      </c>
      <c r="I676" s="2">
        <v>93</v>
      </c>
      <c r="J676" s="2">
        <v>47</v>
      </c>
      <c r="K676" s="2">
        <v>3</v>
      </c>
      <c r="O676" s="2">
        <v>12</v>
      </c>
      <c r="U676" s="2">
        <v>1</v>
      </c>
      <c r="V676" s="2">
        <v>47</v>
      </c>
      <c r="W676" s="2">
        <v>1</v>
      </c>
      <c r="X676" s="2">
        <v>24</v>
      </c>
      <c r="AA676" s="3" t="s">
        <v>40</v>
      </c>
      <c r="AB676" s="2">
        <v>1</v>
      </c>
      <c r="AF676" s="2">
        <v>23</v>
      </c>
      <c r="AG676" s="2">
        <v>1</v>
      </c>
      <c r="AH676" s="3" t="s">
        <v>655</v>
      </c>
      <c r="AI676" s="4">
        <v>44730</v>
      </c>
      <c r="AJ676" s="3" t="s">
        <v>740</v>
      </c>
      <c r="AK676" s="3" t="s">
        <v>645</v>
      </c>
    </row>
    <row r="677" spans="1:37" hidden="1" x14ac:dyDescent="0.25">
      <c r="A677" t="str">
        <f t="shared" si="10"/>
        <v>2022_SA_Riverton_Fababean_DetailedTOS1VarietyAmberleyWaterTrtRainFed</v>
      </c>
      <c r="B677" s="2">
        <v>2022004</v>
      </c>
      <c r="C677" s="3" t="s">
        <v>644</v>
      </c>
      <c r="D677" s="3" t="s">
        <v>645</v>
      </c>
      <c r="F677" s="3" t="s">
        <v>4185</v>
      </c>
      <c r="G677" s="3" t="s">
        <v>39</v>
      </c>
      <c r="H677" s="3" t="s">
        <v>250</v>
      </c>
      <c r="I677" s="2">
        <v>94</v>
      </c>
      <c r="J677" s="2">
        <v>47</v>
      </c>
      <c r="K677" s="2">
        <v>3</v>
      </c>
      <c r="O677" s="2">
        <v>12</v>
      </c>
      <c r="U677" s="2">
        <v>2</v>
      </c>
      <c r="V677" s="2">
        <v>47</v>
      </c>
      <c r="W677" s="2">
        <v>2</v>
      </c>
      <c r="X677" s="2">
        <v>24</v>
      </c>
      <c r="Z677" s="2">
        <v>95</v>
      </c>
      <c r="AA677" s="3" t="s">
        <v>40</v>
      </c>
      <c r="AB677" s="2">
        <v>1</v>
      </c>
      <c r="AF677" s="2">
        <v>23</v>
      </c>
      <c r="AG677" s="2">
        <v>1</v>
      </c>
      <c r="AH677" s="3" t="s">
        <v>655</v>
      </c>
      <c r="AI677" s="4">
        <v>44730</v>
      </c>
      <c r="AJ677" s="3" t="s">
        <v>741</v>
      </c>
      <c r="AK677" s="3" t="s">
        <v>645</v>
      </c>
    </row>
    <row r="678" spans="1:37" hidden="1" x14ac:dyDescent="0.25">
      <c r="A678" t="str">
        <f t="shared" si="10"/>
        <v>2022_SA_Riverton_Fababean_DetailedTOS1VarietyNasmaWaterTrtRainFed</v>
      </c>
      <c r="B678" s="2">
        <v>2022004</v>
      </c>
      <c r="C678" s="3" t="s">
        <v>644</v>
      </c>
      <c r="D678" s="3" t="s">
        <v>645</v>
      </c>
      <c r="F678" s="3" t="s">
        <v>4186</v>
      </c>
      <c r="G678" s="3" t="s">
        <v>43</v>
      </c>
      <c r="H678" s="3" t="s">
        <v>253</v>
      </c>
      <c r="I678" s="2">
        <v>95</v>
      </c>
      <c r="J678" s="2">
        <v>48</v>
      </c>
      <c r="K678" s="2">
        <v>3</v>
      </c>
      <c r="O678" s="2">
        <v>12</v>
      </c>
      <c r="U678" s="2">
        <v>3</v>
      </c>
      <c r="V678" s="2">
        <v>47</v>
      </c>
      <c r="W678" s="2">
        <v>3</v>
      </c>
      <c r="X678" s="2">
        <v>24</v>
      </c>
      <c r="AA678" s="3" t="s">
        <v>40</v>
      </c>
      <c r="AB678" s="2">
        <v>3</v>
      </c>
      <c r="AF678" s="2">
        <v>23</v>
      </c>
      <c r="AG678" s="2">
        <v>1</v>
      </c>
      <c r="AH678" s="3" t="s">
        <v>655</v>
      </c>
      <c r="AI678" s="4">
        <v>44730</v>
      </c>
      <c r="AJ678" s="3" t="s">
        <v>742</v>
      </c>
      <c r="AK678" s="3" t="s">
        <v>645</v>
      </c>
    </row>
    <row r="679" spans="1:37" hidden="1" x14ac:dyDescent="0.25">
      <c r="A679" t="str">
        <f t="shared" si="10"/>
        <v>2022_SA_Riverton_Fababean_DetailedTOS1VarietyNasmaWaterTrtRainFed</v>
      </c>
      <c r="B679" s="2">
        <v>2022004</v>
      </c>
      <c r="C679" s="3" t="s">
        <v>644</v>
      </c>
      <c r="D679" s="3" t="s">
        <v>645</v>
      </c>
      <c r="F679" s="3" t="s">
        <v>4186</v>
      </c>
      <c r="G679" s="3" t="s">
        <v>43</v>
      </c>
      <c r="H679" s="3" t="s">
        <v>250</v>
      </c>
      <c r="I679" s="2">
        <v>96</v>
      </c>
      <c r="J679" s="2">
        <v>48</v>
      </c>
      <c r="K679" s="2">
        <v>3</v>
      </c>
      <c r="O679" s="2">
        <v>12</v>
      </c>
      <c r="U679" s="2">
        <v>4</v>
      </c>
      <c r="V679" s="2">
        <v>47</v>
      </c>
      <c r="W679" s="2">
        <v>4</v>
      </c>
      <c r="X679" s="2">
        <v>24</v>
      </c>
      <c r="Z679" s="2">
        <v>93</v>
      </c>
      <c r="AA679" s="3" t="s">
        <v>40</v>
      </c>
      <c r="AB679" s="2">
        <v>3</v>
      </c>
      <c r="AF679" s="2">
        <v>23</v>
      </c>
      <c r="AG679" s="2">
        <v>1</v>
      </c>
      <c r="AH679" s="3" t="s">
        <v>655</v>
      </c>
      <c r="AI679" s="4">
        <v>44730</v>
      </c>
      <c r="AJ679" s="3" t="s">
        <v>743</v>
      </c>
      <c r="AK679" s="3" t="s">
        <v>645</v>
      </c>
    </row>
    <row r="680" spans="1:37" hidden="1" x14ac:dyDescent="0.25">
      <c r="A680" t="str">
        <f t="shared" si="10"/>
        <v>2022_SA_Riverton_Fababean_DetailedTOS1VarietyAmberleyWaterTrtRainFed</v>
      </c>
      <c r="B680" s="2">
        <v>2022004</v>
      </c>
      <c r="C680" s="3" t="s">
        <v>644</v>
      </c>
      <c r="D680" s="3" t="s">
        <v>645</v>
      </c>
      <c r="F680" s="3" t="s">
        <v>4185</v>
      </c>
      <c r="G680" s="3" t="s">
        <v>39</v>
      </c>
      <c r="H680" s="3" t="s">
        <v>253</v>
      </c>
      <c r="I680" s="2">
        <v>97</v>
      </c>
      <c r="J680" s="2">
        <v>49</v>
      </c>
      <c r="K680" s="2">
        <v>4</v>
      </c>
      <c r="O680" s="2">
        <v>13</v>
      </c>
      <c r="U680" s="2">
        <v>1</v>
      </c>
      <c r="V680" s="2">
        <v>50</v>
      </c>
      <c r="W680" s="2">
        <v>1</v>
      </c>
      <c r="X680" s="2">
        <v>25</v>
      </c>
      <c r="AA680" s="3" t="s">
        <v>40</v>
      </c>
      <c r="AB680" s="2">
        <v>1</v>
      </c>
      <c r="AF680" s="2">
        <v>23</v>
      </c>
      <c r="AG680" s="2">
        <v>1</v>
      </c>
      <c r="AH680" s="3" t="s">
        <v>655</v>
      </c>
      <c r="AI680" s="4">
        <v>44730</v>
      </c>
      <c r="AJ680" s="3" t="s">
        <v>744</v>
      </c>
      <c r="AK680" s="3" t="s">
        <v>645</v>
      </c>
    </row>
    <row r="681" spans="1:37" hidden="1" x14ac:dyDescent="0.25">
      <c r="A681" t="str">
        <f t="shared" si="10"/>
        <v>2022_SA_Riverton_Fababean_DetailedTOS1VarietyAmberleyWaterTrtRainFed</v>
      </c>
      <c r="B681" s="2">
        <v>2022004</v>
      </c>
      <c r="C681" s="3" t="s">
        <v>644</v>
      </c>
      <c r="D681" s="3" t="s">
        <v>645</v>
      </c>
      <c r="F681" s="3" t="s">
        <v>4185</v>
      </c>
      <c r="G681" s="3" t="s">
        <v>39</v>
      </c>
      <c r="H681" s="3" t="s">
        <v>250</v>
      </c>
      <c r="I681" s="2">
        <v>98</v>
      </c>
      <c r="J681" s="2">
        <v>49</v>
      </c>
      <c r="K681" s="2">
        <v>4</v>
      </c>
      <c r="O681" s="2">
        <v>13</v>
      </c>
      <c r="U681" s="2">
        <v>2</v>
      </c>
      <c r="V681" s="2">
        <v>50</v>
      </c>
      <c r="W681" s="2">
        <v>2</v>
      </c>
      <c r="X681" s="2">
        <v>25</v>
      </c>
      <c r="Z681" s="2">
        <v>98</v>
      </c>
      <c r="AA681" s="3" t="s">
        <v>40</v>
      </c>
      <c r="AB681" s="2">
        <v>1</v>
      </c>
      <c r="AF681" s="2">
        <v>23</v>
      </c>
      <c r="AG681" s="2">
        <v>1</v>
      </c>
      <c r="AH681" s="3" t="s">
        <v>655</v>
      </c>
      <c r="AI681" s="4">
        <v>44730</v>
      </c>
      <c r="AJ681" s="3" t="s">
        <v>745</v>
      </c>
      <c r="AK681" s="3" t="s">
        <v>645</v>
      </c>
    </row>
    <row r="682" spans="1:37" hidden="1" x14ac:dyDescent="0.25">
      <c r="A682" t="str">
        <f t="shared" si="10"/>
        <v>2022_SA_Riverton_Fababean_DetailedTOS1VarietyNasmaWaterTrtRainFed</v>
      </c>
      <c r="B682" s="2">
        <v>2022004</v>
      </c>
      <c r="C682" s="3" t="s">
        <v>644</v>
      </c>
      <c r="D682" s="3" t="s">
        <v>645</v>
      </c>
      <c r="F682" s="3" t="s">
        <v>4186</v>
      </c>
      <c r="G682" s="3" t="s">
        <v>43</v>
      </c>
      <c r="H682" s="3" t="s">
        <v>253</v>
      </c>
      <c r="I682" s="2">
        <v>99</v>
      </c>
      <c r="J682" s="2">
        <v>50</v>
      </c>
      <c r="K682" s="2">
        <v>4</v>
      </c>
      <c r="O682" s="2">
        <v>13</v>
      </c>
      <c r="U682" s="2">
        <v>3</v>
      </c>
      <c r="V682" s="2">
        <v>50</v>
      </c>
      <c r="W682" s="2">
        <v>3</v>
      </c>
      <c r="X682" s="2">
        <v>25</v>
      </c>
      <c r="AA682" s="3" t="s">
        <v>40</v>
      </c>
      <c r="AB682" s="2">
        <v>3</v>
      </c>
      <c r="AF682" s="2">
        <v>23</v>
      </c>
      <c r="AG682" s="2">
        <v>1</v>
      </c>
      <c r="AH682" s="3" t="s">
        <v>655</v>
      </c>
      <c r="AI682" s="4">
        <v>44730</v>
      </c>
      <c r="AJ682" s="3" t="s">
        <v>746</v>
      </c>
      <c r="AK682" s="3" t="s">
        <v>645</v>
      </c>
    </row>
    <row r="683" spans="1:37" hidden="1" x14ac:dyDescent="0.25">
      <c r="A683" t="str">
        <f t="shared" si="10"/>
        <v>2022_SA_Riverton_Fababean_DetailedTOS1VarietyNasmaWaterTrtRainFed</v>
      </c>
      <c r="B683" s="2">
        <v>2022004</v>
      </c>
      <c r="C683" s="3" t="s">
        <v>644</v>
      </c>
      <c r="D683" s="3" t="s">
        <v>645</v>
      </c>
      <c r="F683" s="3" t="s">
        <v>4186</v>
      </c>
      <c r="G683" s="3" t="s">
        <v>43</v>
      </c>
      <c r="H683" s="3" t="s">
        <v>250</v>
      </c>
      <c r="I683" s="2">
        <v>100</v>
      </c>
      <c r="J683" s="2">
        <v>50</v>
      </c>
      <c r="K683" s="2">
        <v>4</v>
      </c>
      <c r="O683" s="2">
        <v>13</v>
      </c>
      <c r="U683" s="2">
        <v>4</v>
      </c>
      <c r="V683" s="2">
        <v>50</v>
      </c>
      <c r="W683" s="2">
        <v>4</v>
      </c>
      <c r="X683" s="2">
        <v>25</v>
      </c>
      <c r="Z683" s="2">
        <v>100</v>
      </c>
      <c r="AA683" s="3" t="s">
        <v>40</v>
      </c>
      <c r="AB683" s="2">
        <v>3</v>
      </c>
      <c r="AF683" s="2">
        <v>23</v>
      </c>
      <c r="AG683" s="2">
        <v>1</v>
      </c>
      <c r="AH683" s="3" t="s">
        <v>655</v>
      </c>
      <c r="AI683" s="4">
        <v>44730</v>
      </c>
      <c r="AJ683" s="3" t="s">
        <v>747</v>
      </c>
      <c r="AK683" s="3" t="s">
        <v>645</v>
      </c>
    </row>
    <row r="684" spans="1:37" hidden="1" x14ac:dyDescent="0.25">
      <c r="A684" t="str">
        <f t="shared" si="10"/>
        <v>2022_SA_Riverton_Fababean_DetailedTOS1VarietySamiraWaterTrtRainFed</v>
      </c>
      <c r="B684" s="2">
        <v>2022004</v>
      </c>
      <c r="C684" s="3" t="s">
        <v>644</v>
      </c>
      <c r="D684" s="3" t="s">
        <v>645</v>
      </c>
      <c r="F684" s="3" t="s">
        <v>4183</v>
      </c>
      <c r="G684" s="3" t="s">
        <v>43</v>
      </c>
      <c r="H684" s="3" t="s">
        <v>253</v>
      </c>
      <c r="I684" s="2">
        <v>101</v>
      </c>
      <c r="J684" s="2">
        <v>51</v>
      </c>
      <c r="K684" s="2">
        <v>4</v>
      </c>
      <c r="O684" s="2">
        <v>13</v>
      </c>
      <c r="U684" s="2">
        <v>1</v>
      </c>
      <c r="V684" s="2">
        <v>51</v>
      </c>
      <c r="W684" s="2">
        <v>1</v>
      </c>
      <c r="X684" s="2">
        <v>26</v>
      </c>
      <c r="AA684" s="3" t="s">
        <v>40</v>
      </c>
      <c r="AB684" s="2">
        <v>4</v>
      </c>
      <c r="AF684" s="2">
        <v>23</v>
      </c>
      <c r="AG684" s="2">
        <v>1</v>
      </c>
      <c r="AH684" s="3" t="s">
        <v>655</v>
      </c>
      <c r="AI684" s="4">
        <v>44730</v>
      </c>
      <c r="AJ684" s="3" t="s">
        <v>748</v>
      </c>
      <c r="AK684" s="3" t="s">
        <v>645</v>
      </c>
    </row>
    <row r="685" spans="1:37" hidden="1" x14ac:dyDescent="0.25">
      <c r="A685" t="str">
        <f t="shared" si="10"/>
        <v>2022_SA_Riverton_Fababean_DetailedTOS1VarietySamiraWaterTrtRainFed</v>
      </c>
      <c r="B685" s="2">
        <v>2022004</v>
      </c>
      <c r="C685" s="3" t="s">
        <v>644</v>
      </c>
      <c r="D685" s="3" t="s">
        <v>645</v>
      </c>
      <c r="F685" s="3" t="s">
        <v>4183</v>
      </c>
      <c r="G685" s="3" t="s">
        <v>43</v>
      </c>
      <c r="H685" s="3" t="s">
        <v>250</v>
      </c>
      <c r="I685" s="2">
        <v>102</v>
      </c>
      <c r="J685" s="2">
        <v>51</v>
      </c>
      <c r="K685" s="2">
        <v>4</v>
      </c>
      <c r="O685" s="2">
        <v>13</v>
      </c>
      <c r="U685" s="2">
        <v>2</v>
      </c>
      <c r="V685" s="2">
        <v>51</v>
      </c>
      <c r="W685" s="2">
        <v>2</v>
      </c>
      <c r="X685" s="2">
        <v>26</v>
      </c>
      <c r="Z685" s="2">
        <v>103</v>
      </c>
      <c r="AA685" s="3" t="s">
        <v>40</v>
      </c>
      <c r="AB685" s="2">
        <v>4</v>
      </c>
      <c r="AF685" s="2">
        <v>23</v>
      </c>
      <c r="AG685" s="2">
        <v>1</v>
      </c>
      <c r="AH685" s="3" t="s">
        <v>655</v>
      </c>
      <c r="AI685" s="4">
        <v>44730</v>
      </c>
      <c r="AJ685" s="3" t="s">
        <v>749</v>
      </c>
      <c r="AK685" s="3" t="s">
        <v>645</v>
      </c>
    </row>
    <row r="686" spans="1:37" hidden="1" x14ac:dyDescent="0.25">
      <c r="A686" t="str">
        <f t="shared" si="10"/>
        <v>2022_SA_Riverton_Fababean_DetailedTOS1VarietyMarneWaterTrtRainFed</v>
      </c>
      <c r="B686" s="2">
        <v>2022004</v>
      </c>
      <c r="C686" s="3" t="s">
        <v>644</v>
      </c>
      <c r="D686" s="3" t="s">
        <v>645</v>
      </c>
      <c r="F686" s="3" t="s">
        <v>4184</v>
      </c>
      <c r="G686" s="3" t="s">
        <v>39</v>
      </c>
      <c r="H686" s="3" t="s">
        <v>253</v>
      </c>
      <c r="I686" s="2">
        <v>103</v>
      </c>
      <c r="J686" s="2">
        <v>52</v>
      </c>
      <c r="K686" s="2">
        <v>4</v>
      </c>
      <c r="O686" s="2">
        <v>13</v>
      </c>
      <c r="U686" s="2">
        <v>3</v>
      </c>
      <c r="V686" s="2">
        <v>51</v>
      </c>
      <c r="W686" s="2">
        <v>3</v>
      </c>
      <c r="X686" s="2">
        <v>26</v>
      </c>
      <c r="AA686" s="3" t="s">
        <v>40</v>
      </c>
      <c r="AB686" s="2">
        <v>2</v>
      </c>
      <c r="AF686" s="2">
        <v>23</v>
      </c>
      <c r="AG686" s="2">
        <v>1</v>
      </c>
      <c r="AH686" s="3" t="s">
        <v>655</v>
      </c>
      <c r="AI686" s="4">
        <v>44730</v>
      </c>
      <c r="AJ686" s="3" t="s">
        <v>750</v>
      </c>
      <c r="AK686" s="3" t="s">
        <v>645</v>
      </c>
    </row>
    <row r="687" spans="1:37" hidden="1" x14ac:dyDescent="0.25">
      <c r="A687" t="str">
        <f t="shared" si="10"/>
        <v>2022_SA_Riverton_Fababean_DetailedTOS1VarietyMarneWaterTrtRainFed</v>
      </c>
      <c r="B687" s="2">
        <v>2022004</v>
      </c>
      <c r="C687" s="3" t="s">
        <v>644</v>
      </c>
      <c r="D687" s="3" t="s">
        <v>645</v>
      </c>
      <c r="F687" s="3" t="s">
        <v>4184</v>
      </c>
      <c r="G687" s="3" t="s">
        <v>39</v>
      </c>
      <c r="H687" s="3" t="s">
        <v>250</v>
      </c>
      <c r="I687" s="2">
        <v>104</v>
      </c>
      <c r="J687" s="2">
        <v>52</v>
      </c>
      <c r="K687" s="2">
        <v>4</v>
      </c>
      <c r="O687" s="2">
        <v>13</v>
      </c>
      <c r="U687" s="2">
        <v>4</v>
      </c>
      <c r="V687" s="2">
        <v>51</v>
      </c>
      <c r="W687" s="2">
        <v>4</v>
      </c>
      <c r="X687" s="2">
        <v>26</v>
      </c>
      <c r="Z687" s="2">
        <v>101</v>
      </c>
      <c r="AA687" s="3" t="s">
        <v>40</v>
      </c>
      <c r="AB687" s="2">
        <v>2</v>
      </c>
      <c r="AF687" s="2">
        <v>23</v>
      </c>
      <c r="AG687" s="2">
        <v>1</v>
      </c>
      <c r="AH687" s="3" t="s">
        <v>655</v>
      </c>
      <c r="AI687" s="4">
        <v>44730</v>
      </c>
      <c r="AJ687" s="3" t="s">
        <v>751</v>
      </c>
      <c r="AK687" s="3" t="s">
        <v>645</v>
      </c>
    </row>
    <row r="688" spans="1:37" hidden="1" x14ac:dyDescent="0.25">
      <c r="A688" t="str">
        <f t="shared" si="10"/>
        <v>2022_SA_Riverton_Fababean_DetailedTOS2VarietyNasmaWaterTrtIrrigated</v>
      </c>
      <c r="B688" s="2">
        <v>2022004</v>
      </c>
      <c r="C688" s="3" t="s">
        <v>644</v>
      </c>
      <c r="D688" s="3" t="s">
        <v>645</v>
      </c>
      <c r="F688" s="3" t="s">
        <v>4186</v>
      </c>
      <c r="G688" s="3" t="s">
        <v>43</v>
      </c>
      <c r="H688" s="3" t="s">
        <v>253</v>
      </c>
      <c r="I688" s="2">
        <v>105</v>
      </c>
      <c r="J688" s="2">
        <v>53</v>
      </c>
      <c r="K688" s="2">
        <v>4</v>
      </c>
      <c r="O688" s="2">
        <v>14</v>
      </c>
      <c r="U688" s="2">
        <v>1</v>
      </c>
      <c r="V688" s="2">
        <v>54</v>
      </c>
      <c r="W688" s="2">
        <v>1</v>
      </c>
      <c r="X688" s="2">
        <v>27</v>
      </c>
      <c r="AA688" s="3" t="s">
        <v>57</v>
      </c>
      <c r="AB688" s="2">
        <v>3</v>
      </c>
      <c r="AF688" s="2">
        <v>23</v>
      </c>
      <c r="AG688" s="2">
        <v>2</v>
      </c>
      <c r="AH688" s="3" t="s">
        <v>646</v>
      </c>
      <c r="AI688" s="4">
        <v>44756</v>
      </c>
      <c r="AJ688" s="3" t="s">
        <v>752</v>
      </c>
      <c r="AK688" s="3" t="s">
        <v>645</v>
      </c>
    </row>
    <row r="689" spans="1:37" hidden="1" x14ac:dyDescent="0.25">
      <c r="A689" t="str">
        <f t="shared" si="10"/>
        <v>2022_SA_Riverton_Fababean_DetailedTOS2VarietyNasmaWaterTrtIrrigated</v>
      </c>
      <c r="B689" s="2">
        <v>2022004</v>
      </c>
      <c r="C689" s="3" t="s">
        <v>644</v>
      </c>
      <c r="D689" s="3" t="s">
        <v>645</v>
      </c>
      <c r="F689" s="3" t="s">
        <v>4186</v>
      </c>
      <c r="G689" s="3" t="s">
        <v>43</v>
      </c>
      <c r="H689" s="3" t="s">
        <v>250</v>
      </c>
      <c r="I689" s="2">
        <v>106</v>
      </c>
      <c r="J689" s="2">
        <v>53</v>
      </c>
      <c r="K689" s="2">
        <v>4</v>
      </c>
      <c r="O689" s="2">
        <v>14</v>
      </c>
      <c r="U689" s="2">
        <v>2</v>
      </c>
      <c r="V689" s="2">
        <v>54</v>
      </c>
      <c r="W689" s="2">
        <v>2</v>
      </c>
      <c r="X689" s="2">
        <v>27</v>
      </c>
      <c r="Z689" s="2">
        <v>106</v>
      </c>
      <c r="AA689" s="3" t="s">
        <v>57</v>
      </c>
      <c r="AB689" s="2">
        <v>3</v>
      </c>
      <c r="AF689" s="2">
        <v>23</v>
      </c>
      <c r="AG689" s="2">
        <v>2</v>
      </c>
      <c r="AH689" s="3" t="s">
        <v>646</v>
      </c>
      <c r="AI689" s="4">
        <v>44756</v>
      </c>
      <c r="AJ689" s="3" t="s">
        <v>753</v>
      </c>
      <c r="AK689" s="3" t="s">
        <v>645</v>
      </c>
    </row>
    <row r="690" spans="1:37" hidden="1" x14ac:dyDescent="0.25">
      <c r="A690" t="str">
        <f t="shared" si="10"/>
        <v>2022_SA_Riverton_Fababean_DetailedTOS2VarietyMarneWaterTrtIrrigated</v>
      </c>
      <c r="B690" s="2">
        <v>2022004</v>
      </c>
      <c r="C690" s="3" t="s">
        <v>644</v>
      </c>
      <c r="D690" s="3" t="s">
        <v>645</v>
      </c>
      <c r="F690" s="3" t="s">
        <v>4184</v>
      </c>
      <c r="G690" s="3" t="s">
        <v>39</v>
      </c>
      <c r="H690" s="3" t="s">
        <v>253</v>
      </c>
      <c r="I690" s="2">
        <v>107</v>
      </c>
      <c r="J690" s="2">
        <v>54</v>
      </c>
      <c r="K690" s="2">
        <v>4</v>
      </c>
      <c r="O690" s="2">
        <v>14</v>
      </c>
      <c r="U690" s="2">
        <v>3</v>
      </c>
      <c r="V690" s="2">
        <v>54</v>
      </c>
      <c r="W690" s="2">
        <v>3</v>
      </c>
      <c r="X690" s="2">
        <v>27</v>
      </c>
      <c r="AA690" s="3" t="s">
        <v>57</v>
      </c>
      <c r="AB690" s="2">
        <v>2</v>
      </c>
      <c r="AF690" s="2">
        <v>23</v>
      </c>
      <c r="AG690" s="2">
        <v>2</v>
      </c>
      <c r="AH690" s="3" t="s">
        <v>646</v>
      </c>
      <c r="AI690" s="4">
        <v>44756</v>
      </c>
      <c r="AJ690" s="3" t="s">
        <v>754</v>
      </c>
      <c r="AK690" s="3" t="s">
        <v>645</v>
      </c>
    </row>
    <row r="691" spans="1:37" hidden="1" x14ac:dyDescent="0.25">
      <c r="A691" t="str">
        <f t="shared" si="10"/>
        <v>2022_SA_Riverton_Fababean_DetailedTOS2VarietyMarneWaterTrtIrrigated</v>
      </c>
      <c r="B691" s="2">
        <v>2022004</v>
      </c>
      <c r="C691" s="3" t="s">
        <v>644</v>
      </c>
      <c r="D691" s="3" t="s">
        <v>645</v>
      </c>
      <c r="F691" s="3" t="s">
        <v>4184</v>
      </c>
      <c r="G691" s="3" t="s">
        <v>39</v>
      </c>
      <c r="H691" s="3" t="s">
        <v>250</v>
      </c>
      <c r="I691" s="2">
        <v>108</v>
      </c>
      <c r="J691" s="2">
        <v>54</v>
      </c>
      <c r="K691" s="2">
        <v>4</v>
      </c>
      <c r="O691" s="2">
        <v>14</v>
      </c>
      <c r="U691" s="2">
        <v>4</v>
      </c>
      <c r="V691" s="2">
        <v>54</v>
      </c>
      <c r="W691" s="2">
        <v>4</v>
      </c>
      <c r="X691" s="2">
        <v>27</v>
      </c>
      <c r="Z691" s="2">
        <v>108</v>
      </c>
      <c r="AA691" s="3" t="s">
        <v>57</v>
      </c>
      <c r="AB691" s="2">
        <v>2</v>
      </c>
      <c r="AF691" s="2">
        <v>23</v>
      </c>
      <c r="AG691" s="2">
        <v>2</v>
      </c>
      <c r="AH691" s="3" t="s">
        <v>646</v>
      </c>
      <c r="AI691" s="4">
        <v>44756</v>
      </c>
      <c r="AJ691" s="3" t="s">
        <v>755</v>
      </c>
      <c r="AK691" s="3" t="s">
        <v>645</v>
      </c>
    </row>
    <row r="692" spans="1:37" hidden="1" x14ac:dyDescent="0.25">
      <c r="A692" t="str">
        <f t="shared" si="10"/>
        <v>2022_SA_Riverton_Fababean_DetailedTOS2VarietyAmberleyWaterTrtIrrigated</v>
      </c>
      <c r="B692" s="2">
        <v>2022004</v>
      </c>
      <c r="C692" s="3" t="s">
        <v>644</v>
      </c>
      <c r="D692" s="3" t="s">
        <v>645</v>
      </c>
      <c r="F692" s="3" t="s">
        <v>4185</v>
      </c>
      <c r="G692" s="3" t="s">
        <v>39</v>
      </c>
      <c r="H692" s="3" t="s">
        <v>253</v>
      </c>
      <c r="I692" s="2">
        <v>109</v>
      </c>
      <c r="J692" s="2">
        <v>55</v>
      </c>
      <c r="K692" s="2">
        <v>4</v>
      </c>
      <c r="O692" s="2">
        <v>14</v>
      </c>
      <c r="U692" s="2">
        <v>1</v>
      </c>
      <c r="V692" s="2">
        <v>55</v>
      </c>
      <c r="W692" s="2">
        <v>1</v>
      </c>
      <c r="X692" s="2">
        <v>28</v>
      </c>
      <c r="AA692" s="3" t="s">
        <v>57</v>
      </c>
      <c r="AB692" s="2">
        <v>1</v>
      </c>
      <c r="AF692" s="2">
        <v>23</v>
      </c>
      <c r="AG692" s="2">
        <v>2</v>
      </c>
      <c r="AH692" s="3" t="s">
        <v>646</v>
      </c>
      <c r="AI692" s="4">
        <v>44756</v>
      </c>
      <c r="AJ692" s="3" t="s">
        <v>756</v>
      </c>
      <c r="AK692" s="3" t="s">
        <v>645</v>
      </c>
    </row>
    <row r="693" spans="1:37" hidden="1" x14ac:dyDescent="0.25">
      <c r="A693" t="str">
        <f t="shared" si="10"/>
        <v>2022_SA_Riverton_Fababean_DetailedTOS2VarietyAmberleyWaterTrtIrrigated</v>
      </c>
      <c r="B693" s="2">
        <v>2022004</v>
      </c>
      <c r="C693" s="3" t="s">
        <v>644</v>
      </c>
      <c r="D693" s="3" t="s">
        <v>645</v>
      </c>
      <c r="F693" s="3" t="s">
        <v>4185</v>
      </c>
      <c r="G693" s="3" t="s">
        <v>39</v>
      </c>
      <c r="H693" s="3" t="s">
        <v>250</v>
      </c>
      <c r="I693" s="2">
        <v>110</v>
      </c>
      <c r="J693" s="2">
        <v>55</v>
      </c>
      <c r="K693" s="2">
        <v>4</v>
      </c>
      <c r="O693" s="2">
        <v>14</v>
      </c>
      <c r="U693" s="2">
        <v>2</v>
      </c>
      <c r="V693" s="2">
        <v>55</v>
      </c>
      <c r="W693" s="2">
        <v>2</v>
      </c>
      <c r="X693" s="2">
        <v>28</v>
      </c>
      <c r="Z693" s="2">
        <v>111</v>
      </c>
      <c r="AA693" s="3" t="s">
        <v>57</v>
      </c>
      <c r="AB693" s="2">
        <v>1</v>
      </c>
      <c r="AF693" s="2">
        <v>23</v>
      </c>
      <c r="AG693" s="2">
        <v>2</v>
      </c>
      <c r="AH693" s="3" t="s">
        <v>646</v>
      </c>
      <c r="AI693" s="4">
        <v>44756</v>
      </c>
      <c r="AJ693" s="3" t="s">
        <v>757</v>
      </c>
      <c r="AK693" s="3" t="s">
        <v>645</v>
      </c>
    </row>
    <row r="694" spans="1:37" hidden="1" x14ac:dyDescent="0.25">
      <c r="A694" t="str">
        <f t="shared" si="10"/>
        <v>2022_SA_Riverton_Fababean_DetailedTOS2VarietySamiraWaterTrtIrrigated</v>
      </c>
      <c r="B694" s="2">
        <v>2022004</v>
      </c>
      <c r="C694" s="3" t="s">
        <v>644</v>
      </c>
      <c r="D694" s="3" t="s">
        <v>645</v>
      </c>
      <c r="F694" s="3" t="s">
        <v>4183</v>
      </c>
      <c r="G694" s="3" t="s">
        <v>43</v>
      </c>
      <c r="H694" s="3" t="s">
        <v>253</v>
      </c>
      <c r="I694" s="2">
        <v>111</v>
      </c>
      <c r="J694" s="2">
        <v>56</v>
      </c>
      <c r="K694" s="2">
        <v>4</v>
      </c>
      <c r="O694" s="2">
        <v>14</v>
      </c>
      <c r="U694" s="2">
        <v>3</v>
      </c>
      <c r="V694" s="2">
        <v>55</v>
      </c>
      <c r="W694" s="2">
        <v>3</v>
      </c>
      <c r="X694" s="2">
        <v>28</v>
      </c>
      <c r="AA694" s="3" t="s">
        <v>57</v>
      </c>
      <c r="AB694" s="2">
        <v>4</v>
      </c>
      <c r="AF694" s="2">
        <v>23</v>
      </c>
      <c r="AG694" s="2">
        <v>2</v>
      </c>
      <c r="AH694" s="3" t="s">
        <v>646</v>
      </c>
      <c r="AI694" s="4">
        <v>44756</v>
      </c>
      <c r="AJ694" s="3" t="s">
        <v>758</v>
      </c>
      <c r="AK694" s="3" t="s">
        <v>645</v>
      </c>
    </row>
    <row r="695" spans="1:37" hidden="1" x14ac:dyDescent="0.25">
      <c r="A695" t="str">
        <f t="shared" si="10"/>
        <v>2022_SA_Riverton_Fababean_DetailedTOS2VarietySamiraWaterTrtIrrigated</v>
      </c>
      <c r="B695" s="2">
        <v>2022004</v>
      </c>
      <c r="C695" s="3" t="s">
        <v>644</v>
      </c>
      <c r="D695" s="3" t="s">
        <v>645</v>
      </c>
      <c r="F695" s="3" t="s">
        <v>4183</v>
      </c>
      <c r="G695" s="3" t="s">
        <v>43</v>
      </c>
      <c r="H695" s="3" t="s">
        <v>250</v>
      </c>
      <c r="I695" s="2">
        <v>112</v>
      </c>
      <c r="J695" s="2">
        <v>56</v>
      </c>
      <c r="K695" s="2">
        <v>4</v>
      </c>
      <c r="O695" s="2">
        <v>14</v>
      </c>
      <c r="U695" s="2">
        <v>4</v>
      </c>
      <c r="V695" s="2">
        <v>55</v>
      </c>
      <c r="W695" s="2">
        <v>4</v>
      </c>
      <c r="X695" s="2">
        <v>28</v>
      </c>
      <c r="Z695" s="2">
        <v>109</v>
      </c>
      <c r="AA695" s="3" t="s">
        <v>57</v>
      </c>
      <c r="AB695" s="2">
        <v>4</v>
      </c>
      <c r="AF695" s="2">
        <v>23</v>
      </c>
      <c r="AG695" s="2">
        <v>2</v>
      </c>
      <c r="AH695" s="3" t="s">
        <v>646</v>
      </c>
      <c r="AI695" s="4">
        <v>44756</v>
      </c>
      <c r="AJ695" s="3" t="s">
        <v>759</v>
      </c>
      <c r="AK695" s="3" t="s">
        <v>645</v>
      </c>
    </row>
    <row r="696" spans="1:37" hidden="1" x14ac:dyDescent="0.25">
      <c r="A696" t="str">
        <f t="shared" si="10"/>
        <v>2022_SA_Riverton_Fababean_DetailedTOS2VarietySamiraWaterTrtRainFed</v>
      </c>
      <c r="B696" s="2">
        <v>2022004</v>
      </c>
      <c r="C696" s="3" t="s">
        <v>644</v>
      </c>
      <c r="D696" s="3" t="s">
        <v>645</v>
      </c>
      <c r="F696" s="3" t="s">
        <v>4183</v>
      </c>
      <c r="G696" s="3" t="s">
        <v>43</v>
      </c>
      <c r="H696" s="3" t="s">
        <v>253</v>
      </c>
      <c r="I696" s="2">
        <v>113</v>
      </c>
      <c r="J696" s="2">
        <v>57</v>
      </c>
      <c r="K696" s="2">
        <v>4</v>
      </c>
      <c r="O696" s="2">
        <v>15</v>
      </c>
      <c r="U696" s="2">
        <v>1</v>
      </c>
      <c r="V696" s="2">
        <v>58</v>
      </c>
      <c r="W696" s="2">
        <v>1</v>
      </c>
      <c r="X696" s="2">
        <v>29</v>
      </c>
      <c r="AA696" s="3" t="s">
        <v>40</v>
      </c>
      <c r="AB696" s="2">
        <v>4</v>
      </c>
      <c r="AF696" s="2">
        <v>23</v>
      </c>
      <c r="AG696" s="2">
        <v>2</v>
      </c>
      <c r="AH696" s="3" t="s">
        <v>646</v>
      </c>
      <c r="AI696" s="4">
        <v>44756</v>
      </c>
      <c r="AJ696" s="3" t="s">
        <v>760</v>
      </c>
      <c r="AK696" s="3" t="s">
        <v>645</v>
      </c>
    </row>
    <row r="697" spans="1:37" hidden="1" x14ac:dyDescent="0.25">
      <c r="A697" t="str">
        <f t="shared" si="10"/>
        <v>2022_SA_Riverton_Fababean_DetailedTOS2VarietySamiraWaterTrtRainFed</v>
      </c>
      <c r="B697" s="2">
        <v>2022004</v>
      </c>
      <c r="C697" s="3" t="s">
        <v>644</v>
      </c>
      <c r="D697" s="3" t="s">
        <v>645</v>
      </c>
      <c r="F697" s="3" t="s">
        <v>4183</v>
      </c>
      <c r="G697" s="3" t="s">
        <v>43</v>
      </c>
      <c r="H697" s="3" t="s">
        <v>250</v>
      </c>
      <c r="I697" s="2">
        <v>114</v>
      </c>
      <c r="J697" s="2">
        <v>57</v>
      </c>
      <c r="K697" s="2">
        <v>4</v>
      </c>
      <c r="O697" s="2">
        <v>15</v>
      </c>
      <c r="U697" s="2">
        <v>2</v>
      </c>
      <c r="V697" s="2">
        <v>58</v>
      </c>
      <c r="W697" s="2">
        <v>2</v>
      </c>
      <c r="X697" s="2">
        <v>29</v>
      </c>
      <c r="Z697" s="2">
        <v>114</v>
      </c>
      <c r="AA697" s="3" t="s">
        <v>40</v>
      </c>
      <c r="AB697" s="2">
        <v>4</v>
      </c>
      <c r="AF697" s="2">
        <v>23</v>
      </c>
      <c r="AG697" s="2">
        <v>2</v>
      </c>
      <c r="AH697" s="3" t="s">
        <v>646</v>
      </c>
      <c r="AI697" s="4">
        <v>44756</v>
      </c>
      <c r="AJ697" s="3" t="s">
        <v>761</v>
      </c>
      <c r="AK697" s="3" t="s">
        <v>645</v>
      </c>
    </row>
    <row r="698" spans="1:37" hidden="1" x14ac:dyDescent="0.25">
      <c r="A698" t="str">
        <f t="shared" si="10"/>
        <v>2022_SA_Riverton_Fababean_DetailedTOS2VarietyAmberleyWaterTrtRainFed</v>
      </c>
      <c r="B698" s="2">
        <v>2022004</v>
      </c>
      <c r="C698" s="3" t="s">
        <v>644</v>
      </c>
      <c r="D698" s="3" t="s">
        <v>645</v>
      </c>
      <c r="F698" s="3" t="s">
        <v>4185</v>
      </c>
      <c r="G698" s="3" t="s">
        <v>39</v>
      </c>
      <c r="H698" s="3" t="s">
        <v>253</v>
      </c>
      <c r="I698" s="2">
        <v>115</v>
      </c>
      <c r="J698" s="2">
        <v>58</v>
      </c>
      <c r="K698" s="2">
        <v>4</v>
      </c>
      <c r="O698" s="2">
        <v>15</v>
      </c>
      <c r="U698" s="2">
        <v>3</v>
      </c>
      <c r="V698" s="2">
        <v>58</v>
      </c>
      <c r="W698" s="2">
        <v>3</v>
      </c>
      <c r="X698" s="2">
        <v>29</v>
      </c>
      <c r="AA698" s="3" t="s">
        <v>40</v>
      </c>
      <c r="AB698" s="2">
        <v>1</v>
      </c>
      <c r="AF698" s="2">
        <v>23</v>
      </c>
      <c r="AG698" s="2">
        <v>2</v>
      </c>
      <c r="AH698" s="3" t="s">
        <v>646</v>
      </c>
      <c r="AI698" s="4">
        <v>44756</v>
      </c>
      <c r="AJ698" s="3" t="s">
        <v>762</v>
      </c>
      <c r="AK698" s="3" t="s">
        <v>645</v>
      </c>
    </row>
    <row r="699" spans="1:37" hidden="1" x14ac:dyDescent="0.25">
      <c r="A699" t="str">
        <f t="shared" si="10"/>
        <v>2022_SA_Riverton_Fababean_DetailedTOS2VarietyAmberleyWaterTrtRainFed</v>
      </c>
      <c r="B699" s="2">
        <v>2022004</v>
      </c>
      <c r="C699" s="3" t="s">
        <v>644</v>
      </c>
      <c r="D699" s="3" t="s">
        <v>645</v>
      </c>
      <c r="F699" s="3" t="s">
        <v>4185</v>
      </c>
      <c r="G699" s="3" t="s">
        <v>39</v>
      </c>
      <c r="H699" s="3" t="s">
        <v>250</v>
      </c>
      <c r="I699" s="2">
        <v>116</v>
      </c>
      <c r="J699" s="2">
        <v>58</v>
      </c>
      <c r="K699" s="2">
        <v>4</v>
      </c>
      <c r="O699" s="2">
        <v>15</v>
      </c>
      <c r="U699" s="2">
        <v>4</v>
      </c>
      <c r="V699" s="2">
        <v>58</v>
      </c>
      <c r="W699" s="2">
        <v>4</v>
      </c>
      <c r="X699" s="2">
        <v>29</v>
      </c>
      <c r="Z699" s="2">
        <v>116</v>
      </c>
      <c r="AA699" s="3" t="s">
        <v>40</v>
      </c>
      <c r="AB699" s="2">
        <v>1</v>
      </c>
      <c r="AF699" s="2">
        <v>23</v>
      </c>
      <c r="AG699" s="2">
        <v>2</v>
      </c>
      <c r="AH699" s="3" t="s">
        <v>646</v>
      </c>
      <c r="AI699" s="4">
        <v>44756</v>
      </c>
      <c r="AJ699" s="3" t="s">
        <v>763</v>
      </c>
      <c r="AK699" s="3" t="s">
        <v>645</v>
      </c>
    </row>
    <row r="700" spans="1:37" hidden="1" x14ac:dyDescent="0.25">
      <c r="A700" t="str">
        <f t="shared" si="10"/>
        <v>2022_SA_Riverton_Fababean_DetailedTOS2VarietyMarneWaterTrtRainFed</v>
      </c>
      <c r="B700" s="2">
        <v>2022004</v>
      </c>
      <c r="C700" s="3" t="s">
        <v>644</v>
      </c>
      <c r="D700" s="3" t="s">
        <v>645</v>
      </c>
      <c r="F700" s="3" t="s">
        <v>4184</v>
      </c>
      <c r="G700" s="3" t="s">
        <v>39</v>
      </c>
      <c r="H700" s="3" t="s">
        <v>253</v>
      </c>
      <c r="I700" s="2">
        <v>117</v>
      </c>
      <c r="J700" s="2">
        <v>59</v>
      </c>
      <c r="K700" s="2">
        <v>4</v>
      </c>
      <c r="O700" s="2">
        <v>15</v>
      </c>
      <c r="U700" s="2">
        <v>1</v>
      </c>
      <c r="V700" s="2">
        <v>59</v>
      </c>
      <c r="W700" s="2">
        <v>1</v>
      </c>
      <c r="X700" s="2">
        <v>30</v>
      </c>
      <c r="AA700" s="3" t="s">
        <v>40</v>
      </c>
      <c r="AB700" s="2">
        <v>2</v>
      </c>
      <c r="AF700" s="2">
        <v>23</v>
      </c>
      <c r="AG700" s="2">
        <v>2</v>
      </c>
      <c r="AH700" s="3" t="s">
        <v>646</v>
      </c>
      <c r="AI700" s="4">
        <v>44756</v>
      </c>
      <c r="AJ700" s="3" t="s">
        <v>764</v>
      </c>
      <c r="AK700" s="3" t="s">
        <v>645</v>
      </c>
    </row>
    <row r="701" spans="1:37" hidden="1" x14ac:dyDescent="0.25">
      <c r="A701" t="str">
        <f t="shared" si="10"/>
        <v>2022_SA_Riverton_Fababean_DetailedTOS2VarietyMarneWaterTrtRainFed</v>
      </c>
      <c r="B701" s="2">
        <v>2022004</v>
      </c>
      <c r="C701" s="3" t="s">
        <v>644</v>
      </c>
      <c r="D701" s="3" t="s">
        <v>645</v>
      </c>
      <c r="F701" s="3" t="s">
        <v>4184</v>
      </c>
      <c r="G701" s="3" t="s">
        <v>39</v>
      </c>
      <c r="H701" s="3" t="s">
        <v>250</v>
      </c>
      <c r="I701" s="2">
        <v>118</v>
      </c>
      <c r="J701" s="2">
        <v>59</v>
      </c>
      <c r="K701" s="2">
        <v>4</v>
      </c>
      <c r="O701" s="2">
        <v>15</v>
      </c>
      <c r="U701" s="2">
        <v>2</v>
      </c>
      <c r="V701" s="2">
        <v>59</v>
      </c>
      <c r="W701" s="2">
        <v>2</v>
      </c>
      <c r="X701" s="2">
        <v>30</v>
      </c>
      <c r="Z701" s="2">
        <v>119</v>
      </c>
      <c r="AA701" s="3" t="s">
        <v>40</v>
      </c>
      <c r="AB701" s="2">
        <v>2</v>
      </c>
      <c r="AF701" s="2">
        <v>23</v>
      </c>
      <c r="AG701" s="2">
        <v>2</v>
      </c>
      <c r="AH701" s="3" t="s">
        <v>646</v>
      </c>
      <c r="AI701" s="4">
        <v>44756</v>
      </c>
      <c r="AJ701" s="3" t="s">
        <v>765</v>
      </c>
      <c r="AK701" s="3" t="s">
        <v>645</v>
      </c>
    </row>
    <row r="702" spans="1:37" hidden="1" x14ac:dyDescent="0.25">
      <c r="A702" t="str">
        <f t="shared" si="10"/>
        <v>2022_SA_Riverton_Fababean_DetailedTOS2VarietyNasmaWaterTrtRainFed</v>
      </c>
      <c r="B702" s="2">
        <v>2022004</v>
      </c>
      <c r="C702" s="3" t="s">
        <v>644</v>
      </c>
      <c r="D702" s="3" t="s">
        <v>645</v>
      </c>
      <c r="F702" s="3" t="s">
        <v>4186</v>
      </c>
      <c r="G702" s="3" t="s">
        <v>43</v>
      </c>
      <c r="H702" s="3" t="s">
        <v>253</v>
      </c>
      <c r="I702" s="2">
        <v>119</v>
      </c>
      <c r="J702" s="2">
        <v>60</v>
      </c>
      <c r="K702" s="2">
        <v>4</v>
      </c>
      <c r="O702" s="2">
        <v>15</v>
      </c>
      <c r="U702" s="2">
        <v>3</v>
      </c>
      <c r="V702" s="2">
        <v>59</v>
      </c>
      <c r="W702" s="2">
        <v>3</v>
      </c>
      <c r="X702" s="2">
        <v>30</v>
      </c>
      <c r="AA702" s="3" t="s">
        <v>40</v>
      </c>
      <c r="AB702" s="2">
        <v>3</v>
      </c>
      <c r="AF702" s="2">
        <v>23</v>
      </c>
      <c r="AG702" s="2">
        <v>2</v>
      </c>
      <c r="AH702" s="3" t="s">
        <v>646</v>
      </c>
      <c r="AI702" s="4">
        <v>44756</v>
      </c>
      <c r="AJ702" s="3" t="s">
        <v>766</v>
      </c>
      <c r="AK702" s="3" t="s">
        <v>645</v>
      </c>
    </row>
    <row r="703" spans="1:37" hidden="1" x14ac:dyDescent="0.25">
      <c r="A703" t="str">
        <f t="shared" si="10"/>
        <v>2022_SA_Riverton_Fababean_DetailedTOS2VarietyNasmaWaterTrtRainFed</v>
      </c>
      <c r="B703" s="2">
        <v>2022004</v>
      </c>
      <c r="C703" s="3" t="s">
        <v>644</v>
      </c>
      <c r="D703" s="3" t="s">
        <v>645</v>
      </c>
      <c r="F703" s="3" t="s">
        <v>4186</v>
      </c>
      <c r="G703" s="3" t="s">
        <v>43</v>
      </c>
      <c r="H703" s="3" t="s">
        <v>250</v>
      </c>
      <c r="I703" s="2">
        <v>120</v>
      </c>
      <c r="J703" s="2">
        <v>60</v>
      </c>
      <c r="K703" s="2">
        <v>4</v>
      </c>
      <c r="O703" s="2">
        <v>15</v>
      </c>
      <c r="U703" s="2">
        <v>4</v>
      </c>
      <c r="V703" s="2">
        <v>59</v>
      </c>
      <c r="W703" s="2">
        <v>4</v>
      </c>
      <c r="X703" s="2">
        <v>30</v>
      </c>
      <c r="Z703" s="2">
        <v>117</v>
      </c>
      <c r="AA703" s="3" t="s">
        <v>40</v>
      </c>
      <c r="AB703" s="2">
        <v>3</v>
      </c>
      <c r="AF703" s="2">
        <v>23</v>
      </c>
      <c r="AG703" s="2">
        <v>2</v>
      </c>
      <c r="AH703" s="3" t="s">
        <v>646</v>
      </c>
      <c r="AI703" s="4">
        <v>44756</v>
      </c>
      <c r="AJ703" s="3" t="s">
        <v>767</v>
      </c>
      <c r="AK703" s="3" t="s">
        <v>645</v>
      </c>
    </row>
    <row r="704" spans="1:37" hidden="1" x14ac:dyDescent="0.25">
      <c r="A704" t="str">
        <f t="shared" si="10"/>
        <v>2022_SA_Riverton_Fababean_DetailedTOS1VarietyMarneWaterTrtIrrigated</v>
      </c>
      <c r="B704" s="2">
        <v>2022004</v>
      </c>
      <c r="C704" s="3" t="s">
        <v>644</v>
      </c>
      <c r="D704" s="3" t="s">
        <v>645</v>
      </c>
      <c r="F704" s="3" t="s">
        <v>4184</v>
      </c>
      <c r="G704" s="3" t="s">
        <v>39</v>
      </c>
      <c r="H704" s="3" t="s">
        <v>253</v>
      </c>
      <c r="I704" s="2">
        <v>121</v>
      </c>
      <c r="J704" s="2">
        <v>61</v>
      </c>
      <c r="K704" s="2">
        <v>4</v>
      </c>
      <c r="O704" s="2">
        <v>16</v>
      </c>
      <c r="U704" s="2">
        <v>1</v>
      </c>
      <c r="V704" s="2">
        <v>62</v>
      </c>
      <c r="W704" s="2">
        <v>1</v>
      </c>
      <c r="X704" s="2">
        <v>31</v>
      </c>
      <c r="AA704" s="3" t="s">
        <v>57</v>
      </c>
      <c r="AB704" s="2">
        <v>2</v>
      </c>
      <c r="AF704" s="2">
        <v>23</v>
      </c>
      <c r="AG704" s="2">
        <v>1</v>
      </c>
      <c r="AH704" s="3" t="s">
        <v>655</v>
      </c>
      <c r="AI704" s="4">
        <v>44730</v>
      </c>
      <c r="AJ704" s="3" t="s">
        <v>768</v>
      </c>
      <c r="AK704" s="3" t="s">
        <v>645</v>
      </c>
    </row>
    <row r="705" spans="1:37" hidden="1" x14ac:dyDescent="0.25">
      <c r="A705" t="str">
        <f t="shared" si="10"/>
        <v>2022_SA_Riverton_Fababean_DetailedTOS1VarietyMarneWaterTrtIrrigated</v>
      </c>
      <c r="B705" s="2">
        <v>2022004</v>
      </c>
      <c r="C705" s="3" t="s">
        <v>644</v>
      </c>
      <c r="D705" s="3" t="s">
        <v>645</v>
      </c>
      <c r="F705" s="3" t="s">
        <v>4184</v>
      </c>
      <c r="G705" s="3" t="s">
        <v>39</v>
      </c>
      <c r="H705" s="3" t="s">
        <v>250</v>
      </c>
      <c r="I705" s="2">
        <v>122</v>
      </c>
      <c r="J705" s="2">
        <v>61</v>
      </c>
      <c r="K705" s="2">
        <v>4</v>
      </c>
      <c r="O705" s="2">
        <v>16</v>
      </c>
      <c r="U705" s="2">
        <v>2</v>
      </c>
      <c r="V705" s="2">
        <v>62</v>
      </c>
      <c r="W705" s="2">
        <v>2</v>
      </c>
      <c r="X705" s="2">
        <v>31</v>
      </c>
      <c r="Z705" s="2">
        <v>122</v>
      </c>
      <c r="AA705" s="3" t="s">
        <v>57</v>
      </c>
      <c r="AB705" s="2">
        <v>2</v>
      </c>
      <c r="AF705" s="2">
        <v>23</v>
      </c>
      <c r="AG705" s="2">
        <v>1</v>
      </c>
      <c r="AH705" s="3" t="s">
        <v>655</v>
      </c>
      <c r="AI705" s="4">
        <v>44730</v>
      </c>
      <c r="AJ705" s="3" t="s">
        <v>769</v>
      </c>
      <c r="AK705" s="3" t="s">
        <v>645</v>
      </c>
    </row>
    <row r="706" spans="1:37" hidden="1" x14ac:dyDescent="0.25">
      <c r="A706" t="str">
        <f t="shared" si="10"/>
        <v>2022_SA_Riverton_Fababean_DetailedTOS1VarietySamiraWaterTrtIrrigated</v>
      </c>
      <c r="B706" s="2">
        <v>2022004</v>
      </c>
      <c r="C706" s="3" t="s">
        <v>644</v>
      </c>
      <c r="D706" s="3" t="s">
        <v>645</v>
      </c>
      <c r="F706" s="3" t="s">
        <v>4183</v>
      </c>
      <c r="G706" s="3" t="s">
        <v>43</v>
      </c>
      <c r="H706" s="3" t="s">
        <v>253</v>
      </c>
      <c r="I706" s="2">
        <v>123</v>
      </c>
      <c r="J706" s="2">
        <v>62</v>
      </c>
      <c r="K706" s="2">
        <v>4</v>
      </c>
      <c r="O706" s="2">
        <v>16</v>
      </c>
      <c r="U706" s="2">
        <v>3</v>
      </c>
      <c r="V706" s="2">
        <v>62</v>
      </c>
      <c r="W706" s="2">
        <v>3</v>
      </c>
      <c r="X706" s="2">
        <v>31</v>
      </c>
      <c r="AA706" s="3" t="s">
        <v>57</v>
      </c>
      <c r="AB706" s="2">
        <v>4</v>
      </c>
      <c r="AF706" s="2">
        <v>23</v>
      </c>
      <c r="AG706" s="2">
        <v>1</v>
      </c>
      <c r="AH706" s="3" t="s">
        <v>655</v>
      </c>
      <c r="AI706" s="4">
        <v>44730</v>
      </c>
      <c r="AJ706" s="3" t="s">
        <v>770</v>
      </c>
      <c r="AK706" s="3" t="s">
        <v>645</v>
      </c>
    </row>
    <row r="707" spans="1:37" hidden="1" x14ac:dyDescent="0.25">
      <c r="A707" t="str">
        <f t="shared" ref="A707:A770" si="11">C707&amp;"TOS"&amp;AG707&amp;"Variety"&amp;F707&amp;"WaterTrt"&amp;AA707&amp;IF(AC707="","","Agronomy"&amp;AC707)</f>
        <v>2022_SA_Riverton_Fababean_DetailedTOS1VarietySamiraWaterTrtIrrigated</v>
      </c>
      <c r="B707" s="2">
        <v>2022004</v>
      </c>
      <c r="C707" s="3" t="s">
        <v>644</v>
      </c>
      <c r="D707" s="3" t="s">
        <v>645</v>
      </c>
      <c r="F707" s="3" t="s">
        <v>4183</v>
      </c>
      <c r="G707" s="3" t="s">
        <v>43</v>
      </c>
      <c r="H707" s="3" t="s">
        <v>250</v>
      </c>
      <c r="I707" s="2">
        <v>124</v>
      </c>
      <c r="J707" s="2">
        <v>62</v>
      </c>
      <c r="K707" s="2">
        <v>4</v>
      </c>
      <c r="O707" s="2">
        <v>16</v>
      </c>
      <c r="U707" s="2">
        <v>4</v>
      </c>
      <c r="V707" s="2">
        <v>62</v>
      </c>
      <c r="W707" s="2">
        <v>4</v>
      </c>
      <c r="X707" s="2">
        <v>31</v>
      </c>
      <c r="Z707" s="2">
        <v>124</v>
      </c>
      <c r="AA707" s="3" t="s">
        <v>57</v>
      </c>
      <c r="AB707" s="2">
        <v>4</v>
      </c>
      <c r="AF707" s="2">
        <v>23</v>
      </c>
      <c r="AG707" s="2">
        <v>1</v>
      </c>
      <c r="AH707" s="3" t="s">
        <v>655</v>
      </c>
      <c r="AI707" s="4">
        <v>44730</v>
      </c>
      <c r="AJ707" s="3" t="s">
        <v>771</v>
      </c>
      <c r="AK707" s="3" t="s">
        <v>645</v>
      </c>
    </row>
    <row r="708" spans="1:37" hidden="1" x14ac:dyDescent="0.25">
      <c r="A708" t="str">
        <f t="shared" si="11"/>
        <v>2022_SA_Riverton_Fababean_DetailedTOS1VarietyNasmaWaterTrtIrrigated</v>
      </c>
      <c r="B708" s="2">
        <v>2022004</v>
      </c>
      <c r="C708" s="3" t="s">
        <v>644</v>
      </c>
      <c r="D708" s="3" t="s">
        <v>645</v>
      </c>
      <c r="F708" s="3" t="s">
        <v>4186</v>
      </c>
      <c r="G708" s="3" t="s">
        <v>43</v>
      </c>
      <c r="H708" s="3" t="s">
        <v>253</v>
      </c>
      <c r="I708" s="2">
        <v>125</v>
      </c>
      <c r="J708" s="2">
        <v>63</v>
      </c>
      <c r="K708" s="2">
        <v>4</v>
      </c>
      <c r="O708" s="2">
        <v>16</v>
      </c>
      <c r="U708" s="2">
        <v>1</v>
      </c>
      <c r="V708" s="2">
        <v>63</v>
      </c>
      <c r="W708" s="2">
        <v>1</v>
      </c>
      <c r="X708" s="2">
        <v>32</v>
      </c>
      <c r="AA708" s="3" t="s">
        <v>57</v>
      </c>
      <c r="AB708" s="2">
        <v>3</v>
      </c>
      <c r="AF708" s="2">
        <v>23</v>
      </c>
      <c r="AG708" s="2">
        <v>1</v>
      </c>
      <c r="AH708" s="3" t="s">
        <v>655</v>
      </c>
      <c r="AI708" s="4">
        <v>44730</v>
      </c>
      <c r="AJ708" s="3" t="s">
        <v>772</v>
      </c>
      <c r="AK708" s="3" t="s">
        <v>645</v>
      </c>
    </row>
    <row r="709" spans="1:37" hidden="1" x14ac:dyDescent="0.25">
      <c r="A709" t="str">
        <f t="shared" si="11"/>
        <v>2022_SA_Riverton_Fababean_DetailedTOS1VarietyNasmaWaterTrtIrrigated</v>
      </c>
      <c r="B709" s="2">
        <v>2022004</v>
      </c>
      <c r="C709" s="3" t="s">
        <v>644</v>
      </c>
      <c r="D709" s="3" t="s">
        <v>645</v>
      </c>
      <c r="F709" s="3" t="s">
        <v>4186</v>
      </c>
      <c r="G709" s="3" t="s">
        <v>43</v>
      </c>
      <c r="H709" s="3" t="s">
        <v>250</v>
      </c>
      <c r="I709" s="2">
        <v>126</v>
      </c>
      <c r="J709" s="2">
        <v>63</v>
      </c>
      <c r="K709" s="2">
        <v>4</v>
      </c>
      <c r="O709" s="2">
        <v>16</v>
      </c>
      <c r="U709" s="2">
        <v>2</v>
      </c>
      <c r="V709" s="2">
        <v>63</v>
      </c>
      <c r="W709" s="2">
        <v>2</v>
      </c>
      <c r="X709" s="2">
        <v>32</v>
      </c>
      <c r="Z709" s="2">
        <v>127</v>
      </c>
      <c r="AA709" s="3" t="s">
        <v>57</v>
      </c>
      <c r="AB709" s="2">
        <v>3</v>
      </c>
      <c r="AF709" s="2">
        <v>23</v>
      </c>
      <c r="AG709" s="2">
        <v>1</v>
      </c>
      <c r="AH709" s="3" t="s">
        <v>655</v>
      </c>
      <c r="AI709" s="4">
        <v>44730</v>
      </c>
      <c r="AJ709" s="3" t="s">
        <v>773</v>
      </c>
      <c r="AK709" s="3" t="s">
        <v>645</v>
      </c>
    </row>
    <row r="710" spans="1:37" hidden="1" x14ac:dyDescent="0.25">
      <c r="A710" t="str">
        <f t="shared" si="11"/>
        <v>2022_SA_Riverton_Fababean_DetailedTOS1VarietyAmberleyWaterTrtIrrigated</v>
      </c>
      <c r="B710" s="2">
        <v>2022004</v>
      </c>
      <c r="C710" s="3" t="s">
        <v>644</v>
      </c>
      <c r="D710" s="3" t="s">
        <v>645</v>
      </c>
      <c r="F710" s="3" t="s">
        <v>4185</v>
      </c>
      <c r="G710" s="3" t="s">
        <v>39</v>
      </c>
      <c r="H710" s="3" t="s">
        <v>253</v>
      </c>
      <c r="I710" s="2">
        <v>127</v>
      </c>
      <c r="J710" s="2">
        <v>64</v>
      </c>
      <c r="K710" s="2">
        <v>4</v>
      </c>
      <c r="O710" s="2">
        <v>16</v>
      </c>
      <c r="U710" s="2">
        <v>3</v>
      </c>
      <c r="V710" s="2">
        <v>63</v>
      </c>
      <c r="W710" s="2">
        <v>3</v>
      </c>
      <c r="X710" s="2">
        <v>32</v>
      </c>
      <c r="AA710" s="3" t="s">
        <v>57</v>
      </c>
      <c r="AB710" s="2">
        <v>1</v>
      </c>
      <c r="AF710" s="2">
        <v>23</v>
      </c>
      <c r="AG710" s="2">
        <v>1</v>
      </c>
      <c r="AH710" s="3" t="s">
        <v>655</v>
      </c>
      <c r="AI710" s="4">
        <v>44730</v>
      </c>
      <c r="AJ710" s="3" t="s">
        <v>774</v>
      </c>
      <c r="AK710" s="3" t="s">
        <v>645</v>
      </c>
    </row>
    <row r="711" spans="1:37" hidden="1" x14ac:dyDescent="0.25">
      <c r="A711" t="str">
        <f t="shared" si="11"/>
        <v>2022_SA_Riverton_Fababean_DetailedTOS1VarietyAmberleyWaterTrtIrrigated</v>
      </c>
      <c r="B711" s="2">
        <v>2022004</v>
      </c>
      <c r="C711" s="3" t="s">
        <v>644</v>
      </c>
      <c r="D711" s="3" t="s">
        <v>645</v>
      </c>
      <c r="F711" s="3" t="s">
        <v>4185</v>
      </c>
      <c r="G711" s="3" t="s">
        <v>39</v>
      </c>
      <c r="H711" s="3" t="s">
        <v>250</v>
      </c>
      <c r="I711" s="2">
        <v>128</v>
      </c>
      <c r="J711" s="2">
        <v>64</v>
      </c>
      <c r="K711" s="2">
        <v>4</v>
      </c>
      <c r="O711" s="2">
        <v>16</v>
      </c>
      <c r="U711" s="2">
        <v>4</v>
      </c>
      <c r="V711" s="2">
        <v>63</v>
      </c>
      <c r="W711" s="2">
        <v>4</v>
      </c>
      <c r="X711" s="2">
        <v>32</v>
      </c>
      <c r="Z711" s="2">
        <v>125</v>
      </c>
      <c r="AA711" s="3" t="s">
        <v>57</v>
      </c>
      <c r="AB711" s="2">
        <v>1</v>
      </c>
      <c r="AF711" s="2">
        <v>23</v>
      </c>
      <c r="AG711" s="2">
        <v>1</v>
      </c>
      <c r="AH711" s="3" t="s">
        <v>655</v>
      </c>
      <c r="AI711" s="4">
        <v>44730</v>
      </c>
      <c r="AJ711" s="3" t="s">
        <v>775</v>
      </c>
      <c r="AK711" s="3" t="s">
        <v>645</v>
      </c>
    </row>
    <row r="712" spans="1:37" hidden="1" x14ac:dyDescent="0.25">
      <c r="A712" t="str">
        <f t="shared" si="11"/>
        <v>2022_Vic_Kalkee_Lentil_DetailedTOS2VarietyJumbo2WaterTrtRainFed</v>
      </c>
      <c r="B712" s="2">
        <v>2022005</v>
      </c>
      <c r="C712" s="3" t="s">
        <v>776</v>
      </c>
      <c r="D712" s="3" t="s">
        <v>38</v>
      </c>
      <c r="F712" s="3" t="s">
        <v>4176</v>
      </c>
      <c r="G712" s="3" t="s">
        <v>43</v>
      </c>
      <c r="H712" s="3" t="s">
        <v>253</v>
      </c>
      <c r="I712" s="2">
        <v>1</v>
      </c>
      <c r="J712" s="2">
        <v>1</v>
      </c>
      <c r="K712" s="2">
        <v>1</v>
      </c>
      <c r="O712" s="2">
        <v>1</v>
      </c>
      <c r="P712" s="2">
        <v>1</v>
      </c>
      <c r="U712" s="2">
        <v>1</v>
      </c>
      <c r="V712" s="2">
        <v>2</v>
      </c>
      <c r="W712" s="2">
        <v>1</v>
      </c>
      <c r="X712" s="2">
        <v>1</v>
      </c>
      <c r="AA712" s="3" t="s">
        <v>40</v>
      </c>
      <c r="AB712" s="2">
        <v>3</v>
      </c>
      <c r="AF712" s="2">
        <v>30.5</v>
      </c>
      <c r="AG712" s="2">
        <v>2</v>
      </c>
      <c r="AH712" s="3" t="s">
        <v>383</v>
      </c>
      <c r="AI712" s="4">
        <v>44740</v>
      </c>
      <c r="AJ712" s="3" t="s">
        <v>777</v>
      </c>
      <c r="AK712" s="3" t="s">
        <v>38</v>
      </c>
    </row>
    <row r="713" spans="1:37" hidden="1" x14ac:dyDescent="0.25">
      <c r="A713" t="str">
        <f t="shared" si="11"/>
        <v>2022_Vic_Kalkee_Lentil_DetailedTOS2VarietyJumbo2WaterTrtRainFed</v>
      </c>
      <c r="B713" s="2">
        <v>2022005</v>
      </c>
      <c r="C713" s="3" t="s">
        <v>776</v>
      </c>
      <c r="D713" s="3" t="s">
        <v>38</v>
      </c>
      <c r="F713" s="3" t="s">
        <v>4176</v>
      </c>
      <c r="G713" s="3" t="s">
        <v>43</v>
      </c>
      <c r="H713" s="3" t="s">
        <v>250</v>
      </c>
      <c r="I713" s="2">
        <v>2</v>
      </c>
      <c r="J713" s="2">
        <v>1</v>
      </c>
      <c r="K713" s="2">
        <v>1</v>
      </c>
      <c r="O713" s="2">
        <v>1</v>
      </c>
      <c r="P713" s="2">
        <v>1</v>
      </c>
      <c r="U713" s="2">
        <v>1</v>
      </c>
      <c r="V713" s="2">
        <v>3</v>
      </c>
      <c r="W713" s="2">
        <v>1</v>
      </c>
      <c r="X713" s="2">
        <v>2</v>
      </c>
      <c r="Z713" s="2">
        <v>1</v>
      </c>
      <c r="AA713" s="3" t="s">
        <v>40</v>
      </c>
      <c r="AB713" s="2">
        <v>3</v>
      </c>
      <c r="AF713" s="2">
        <v>30.5</v>
      </c>
      <c r="AG713" s="2">
        <v>2</v>
      </c>
      <c r="AH713" s="3" t="s">
        <v>383</v>
      </c>
      <c r="AI713" s="4">
        <v>44740</v>
      </c>
      <c r="AJ713" s="3" t="s">
        <v>778</v>
      </c>
      <c r="AK713" s="3" t="s">
        <v>38</v>
      </c>
    </row>
    <row r="714" spans="1:37" hidden="1" x14ac:dyDescent="0.25">
      <c r="A714" t="str">
        <f t="shared" si="11"/>
        <v>2022_Vic_Kalkee_Lentil_DetailedTOS2VarietyBoltWaterTrtRainFed</v>
      </c>
      <c r="B714" s="2">
        <v>2022005</v>
      </c>
      <c r="C714" s="3" t="s">
        <v>776</v>
      </c>
      <c r="D714" s="3" t="s">
        <v>38</v>
      </c>
      <c r="F714" s="3" t="s">
        <v>4187</v>
      </c>
      <c r="G714" s="3" t="s">
        <v>39</v>
      </c>
      <c r="H714" s="3" t="s">
        <v>253</v>
      </c>
      <c r="I714" s="2">
        <v>3</v>
      </c>
      <c r="J714" s="2">
        <v>2</v>
      </c>
      <c r="K714" s="2">
        <v>1</v>
      </c>
      <c r="O714" s="2">
        <v>1</v>
      </c>
      <c r="P714" s="2">
        <v>1</v>
      </c>
      <c r="U714" s="2">
        <v>2</v>
      </c>
      <c r="V714" s="2">
        <v>2</v>
      </c>
      <c r="W714" s="2">
        <v>2</v>
      </c>
      <c r="X714" s="2">
        <v>1</v>
      </c>
      <c r="AA714" s="3" t="s">
        <v>40</v>
      </c>
      <c r="AB714" s="2">
        <v>1</v>
      </c>
      <c r="AF714" s="2">
        <v>30.5</v>
      </c>
      <c r="AG714" s="2">
        <v>2</v>
      </c>
      <c r="AH714" s="3" t="s">
        <v>383</v>
      </c>
      <c r="AI714" s="4">
        <v>44740</v>
      </c>
      <c r="AJ714" s="3" t="s">
        <v>779</v>
      </c>
      <c r="AK714" s="3" t="s">
        <v>38</v>
      </c>
    </row>
    <row r="715" spans="1:37" hidden="1" x14ac:dyDescent="0.25">
      <c r="A715" t="str">
        <f t="shared" si="11"/>
        <v>2022_Vic_Kalkee_Lentil_DetailedTOS2VarietyBoltWaterTrtRainFed</v>
      </c>
      <c r="B715" s="2">
        <v>2022005</v>
      </c>
      <c r="C715" s="3" t="s">
        <v>776</v>
      </c>
      <c r="D715" s="3" t="s">
        <v>38</v>
      </c>
      <c r="F715" s="3" t="s">
        <v>4187</v>
      </c>
      <c r="G715" s="3" t="s">
        <v>39</v>
      </c>
      <c r="H715" s="3" t="s">
        <v>250</v>
      </c>
      <c r="I715" s="2">
        <v>4</v>
      </c>
      <c r="J715" s="2">
        <v>2</v>
      </c>
      <c r="K715" s="2">
        <v>1</v>
      </c>
      <c r="O715" s="2">
        <v>1</v>
      </c>
      <c r="P715" s="2">
        <v>1</v>
      </c>
      <c r="U715" s="2">
        <v>2</v>
      </c>
      <c r="V715" s="2">
        <v>3</v>
      </c>
      <c r="W715" s="2">
        <v>2</v>
      </c>
      <c r="X715" s="2">
        <v>2</v>
      </c>
      <c r="Z715" s="2">
        <v>2</v>
      </c>
      <c r="AA715" s="3" t="s">
        <v>40</v>
      </c>
      <c r="AB715" s="2">
        <v>1</v>
      </c>
      <c r="AF715" s="2">
        <v>30.5</v>
      </c>
      <c r="AG715" s="2">
        <v>2</v>
      </c>
      <c r="AH715" s="3" t="s">
        <v>383</v>
      </c>
      <c r="AI715" s="4">
        <v>44740</v>
      </c>
      <c r="AJ715" s="3" t="s">
        <v>780</v>
      </c>
      <c r="AK715" s="3" t="s">
        <v>38</v>
      </c>
    </row>
    <row r="716" spans="1:37" hidden="1" x14ac:dyDescent="0.25">
      <c r="A716" t="str">
        <f t="shared" si="11"/>
        <v>2022_Vic_Kalkee_Lentil_DetailedTOS2VarietyKelpieXTWaterTrtRainFed</v>
      </c>
      <c r="B716" s="2">
        <v>2022005</v>
      </c>
      <c r="C716" s="3" t="s">
        <v>776</v>
      </c>
      <c r="D716" s="3" t="s">
        <v>38</v>
      </c>
      <c r="F716" s="3" t="s">
        <v>4188</v>
      </c>
      <c r="G716" s="3" t="s">
        <v>43</v>
      </c>
      <c r="H716" s="3" t="s">
        <v>253</v>
      </c>
      <c r="I716" s="2">
        <v>5</v>
      </c>
      <c r="J716" s="2">
        <v>3</v>
      </c>
      <c r="K716" s="2">
        <v>1</v>
      </c>
      <c r="O716" s="2">
        <v>1</v>
      </c>
      <c r="P716" s="2">
        <v>1</v>
      </c>
      <c r="U716" s="2">
        <v>3</v>
      </c>
      <c r="V716" s="2">
        <v>2</v>
      </c>
      <c r="W716" s="2">
        <v>3</v>
      </c>
      <c r="X716" s="2">
        <v>1</v>
      </c>
      <c r="AA716" s="3" t="s">
        <v>40</v>
      </c>
      <c r="AB716" s="2">
        <v>4</v>
      </c>
      <c r="AF716" s="2">
        <v>30.5</v>
      </c>
      <c r="AG716" s="2">
        <v>2</v>
      </c>
      <c r="AH716" s="3" t="s">
        <v>383</v>
      </c>
      <c r="AI716" s="4">
        <v>44740</v>
      </c>
      <c r="AJ716" s="3" t="s">
        <v>781</v>
      </c>
      <c r="AK716" s="3" t="s">
        <v>38</v>
      </c>
    </row>
    <row r="717" spans="1:37" hidden="1" x14ac:dyDescent="0.25">
      <c r="A717" t="str">
        <f t="shared" si="11"/>
        <v>2022_Vic_Kalkee_Lentil_DetailedTOS2VarietyKelpieXTWaterTrtRainFed</v>
      </c>
      <c r="B717" s="2">
        <v>2022005</v>
      </c>
      <c r="C717" s="3" t="s">
        <v>776</v>
      </c>
      <c r="D717" s="3" t="s">
        <v>38</v>
      </c>
      <c r="F717" s="3" t="s">
        <v>4188</v>
      </c>
      <c r="G717" s="3" t="s">
        <v>43</v>
      </c>
      <c r="H717" s="3" t="s">
        <v>250</v>
      </c>
      <c r="I717" s="2">
        <v>6</v>
      </c>
      <c r="J717" s="2">
        <v>3</v>
      </c>
      <c r="K717" s="2">
        <v>1</v>
      </c>
      <c r="O717" s="2">
        <v>1</v>
      </c>
      <c r="P717" s="2">
        <v>1</v>
      </c>
      <c r="U717" s="2">
        <v>3</v>
      </c>
      <c r="V717" s="2">
        <v>3</v>
      </c>
      <c r="W717" s="2">
        <v>3</v>
      </c>
      <c r="X717" s="2">
        <v>2</v>
      </c>
      <c r="Z717" s="2">
        <v>3</v>
      </c>
      <c r="AA717" s="3" t="s">
        <v>40</v>
      </c>
      <c r="AB717" s="2">
        <v>4</v>
      </c>
      <c r="AF717" s="2">
        <v>30.5</v>
      </c>
      <c r="AG717" s="2">
        <v>2</v>
      </c>
      <c r="AH717" s="3" t="s">
        <v>383</v>
      </c>
      <c r="AI717" s="4">
        <v>44740</v>
      </c>
      <c r="AJ717" s="3" t="s">
        <v>782</v>
      </c>
      <c r="AK717" s="3" t="s">
        <v>38</v>
      </c>
    </row>
    <row r="718" spans="1:37" hidden="1" x14ac:dyDescent="0.25">
      <c r="A718" t="str">
        <f t="shared" si="11"/>
        <v>2022_Vic_Kalkee_Lentil_DetailedTOS2VarietyHallmarkXTWaterTrtRainFed</v>
      </c>
      <c r="B718" s="2">
        <v>2022005</v>
      </c>
      <c r="C718" s="3" t="s">
        <v>776</v>
      </c>
      <c r="D718" s="3" t="s">
        <v>38</v>
      </c>
      <c r="F718" s="3" t="s">
        <v>4189</v>
      </c>
      <c r="G718" s="3" t="s">
        <v>39</v>
      </c>
      <c r="H718" s="3" t="s">
        <v>253</v>
      </c>
      <c r="I718" s="2">
        <v>7</v>
      </c>
      <c r="J718" s="2">
        <v>4</v>
      </c>
      <c r="K718" s="2">
        <v>1</v>
      </c>
      <c r="O718" s="2">
        <v>1</v>
      </c>
      <c r="P718" s="2">
        <v>1</v>
      </c>
      <c r="U718" s="2">
        <v>4</v>
      </c>
      <c r="V718" s="2">
        <v>2</v>
      </c>
      <c r="W718" s="2">
        <v>4</v>
      </c>
      <c r="X718" s="2">
        <v>1</v>
      </c>
      <c r="AA718" s="3" t="s">
        <v>40</v>
      </c>
      <c r="AB718" s="2">
        <v>2</v>
      </c>
      <c r="AF718" s="2">
        <v>30.5</v>
      </c>
      <c r="AG718" s="2">
        <v>2</v>
      </c>
      <c r="AH718" s="3" t="s">
        <v>383</v>
      </c>
      <c r="AI718" s="4">
        <v>44740</v>
      </c>
      <c r="AJ718" s="3" t="s">
        <v>783</v>
      </c>
      <c r="AK718" s="3" t="s">
        <v>38</v>
      </c>
    </row>
    <row r="719" spans="1:37" hidden="1" x14ac:dyDescent="0.25">
      <c r="A719" t="str">
        <f t="shared" si="11"/>
        <v>2022_Vic_Kalkee_Lentil_DetailedTOS2VarietyHallmarkXTWaterTrtRainFed</v>
      </c>
      <c r="B719" s="2">
        <v>2022005</v>
      </c>
      <c r="C719" s="3" t="s">
        <v>776</v>
      </c>
      <c r="D719" s="3" t="s">
        <v>38</v>
      </c>
      <c r="F719" s="3" t="s">
        <v>4189</v>
      </c>
      <c r="G719" s="3" t="s">
        <v>39</v>
      </c>
      <c r="H719" s="3" t="s">
        <v>250</v>
      </c>
      <c r="I719" s="2">
        <v>8</v>
      </c>
      <c r="J719" s="2">
        <v>4</v>
      </c>
      <c r="K719" s="2">
        <v>1</v>
      </c>
      <c r="O719" s="2">
        <v>1</v>
      </c>
      <c r="P719" s="2">
        <v>1</v>
      </c>
      <c r="U719" s="2">
        <v>4</v>
      </c>
      <c r="V719" s="2">
        <v>3</v>
      </c>
      <c r="W719" s="2">
        <v>4</v>
      </c>
      <c r="X719" s="2">
        <v>2</v>
      </c>
      <c r="Z719" s="2">
        <v>4</v>
      </c>
      <c r="AA719" s="3" t="s">
        <v>40</v>
      </c>
      <c r="AB719" s="2">
        <v>2</v>
      </c>
      <c r="AF719" s="2">
        <v>30.5</v>
      </c>
      <c r="AG719" s="2">
        <v>2</v>
      </c>
      <c r="AH719" s="3" t="s">
        <v>383</v>
      </c>
      <c r="AI719" s="4">
        <v>44740</v>
      </c>
      <c r="AJ719" s="3" t="s">
        <v>784</v>
      </c>
      <c r="AK719" s="3" t="s">
        <v>38</v>
      </c>
    </row>
    <row r="720" spans="1:37" hidden="1" x14ac:dyDescent="0.25">
      <c r="A720" t="str">
        <f t="shared" si="11"/>
        <v>2022_Vic_Kalkee_Lentil_DetailedTOS2VarietyBoltWaterTrtIrrigated</v>
      </c>
      <c r="B720" s="2">
        <v>2022005</v>
      </c>
      <c r="C720" s="3" t="s">
        <v>776</v>
      </c>
      <c r="D720" s="3" t="s">
        <v>38</v>
      </c>
      <c r="F720" s="3" t="s">
        <v>4187</v>
      </c>
      <c r="G720" s="3" t="s">
        <v>39</v>
      </c>
      <c r="H720" s="3" t="s">
        <v>253</v>
      </c>
      <c r="I720" s="2">
        <v>9</v>
      </c>
      <c r="J720" s="2">
        <v>5</v>
      </c>
      <c r="K720" s="2">
        <v>1</v>
      </c>
      <c r="O720" s="2">
        <v>1</v>
      </c>
      <c r="P720" s="2">
        <v>2</v>
      </c>
      <c r="U720" s="2">
        <v>1</v>
      </c>
      <c r="V720" s="2">
        <v>5</v>
      </c>
      <c r="W720" s="2">
        <v>1</v>
      </c>
      <c r="X720" s="2">
        <v>3</v>
      </c>
      <c r="AA720" s="3" t="s">
        <v>57</v>
      </c>
      <c r="AB720" s="2">
        <v>1</v>
      </c>
      <c r="AF720" s="2">
        <v>30.5</v>
      </c>
      <c r="AG720" s="2">
        <v>2</v>
      </c>
      <c r="AH720" s="3" t="s">
        <v>383</v>
      </c>
      <c r="AI720" s="4">
        <v>44740</v>
      </c>
      <c r="AJ720" s="3" t="s">
        <v>785</v>
      </c>
      <c r="AK720" s="3" t="s">
        <v>38</v>
      </c>
    </row>
    <row r="721" spans="1:37" hidden="1" x14ac:dyDescent="0.25">
      <c r="A721" t="str">
        <f t="shared" si="11"/>
        <v>2022_Vic_Kalkee_Lentil_DetailedTOS2VarietyBoltWaterTrtIrrigated</v>
      </c>
      <c r="B721" s="2">
        <v>2022005</v>
      </c>
      <c r="C721" s="3" t="s">
        <v>776</v>
      </c>
      <c r="D721" s="3" t="s">
        <v>38</v>
      </c>
      <c r="F721" s="3" t="s">
        <v>4187</v>
      </c>
      <c r="G721" s="3" t="s">
        <v>39</v>
      </c>
      <c r="H721" s="3" t="s">
        <v>250</v>
      </c>
      <c r="I721" s="2">
        <v>10</v>
      </c>
      <c r="J721" s="2">
        <v>5</v>
      </c>
      <c r="K721" s="2">
        <v>1</v>
      </c>
      <c r="O721" s="2">
        <v>1</v>
      </c>
      <c r="P721" s="2">
        <v>2</v>
      </c>
      <c r="U721" s="2">
        <v>1</v>
      </c>
      <c r="V721" s="2">
        <v>6</v>
      </c>
      <c r="W721" s="2">
        <v>1</v>
      </c>
      <c r="X721" s="2">
        <v>4</v>
      </c>
      <c r="Z721" s="2">
        <v>8</v>
      </c>
      <c r="AA721" s="3" t="s">
        <v>57</v>
      </c>
      <c r="AB721" s="2">
        <v>1</v>
      </c>
      <c r="AF721" s="2">
        <v>30.5</v>
      </c>
      <c r="AG721" s="2">
        <v>2</v>
      </c>
      <c r="AH721" s="3" t="s">
        <v>383</v>
      </c>
      <c r="AI721" s="4">
        <v>44740</v>
      </c>
      <c r="AJ721" s="3" t="s">
        <v>786</v>
      </c>
      <c r="AK721" s="3" t="s">
        <v>38</v>
      </c>
    </row>
    <row r="722" spans="1:37" hidden="1" x14ac:dyDescent="0.25">
      <c r="A722" t="str">
        <f t="shared" si="11"/>
        <v>2022_Vic_Kalkee_Lentil_DetailedTOS2VarietyKelpieXTWaterTrtIrrigated</v>
      </c>
      <c r="B722" s="2">
        <v>2022005</v>
      </c>
      <c r="C722" s="3" t="s">
        <v>776</v>
      </c>
      <c r="D722" s="3" t="s">
        <v>38</v>
      </c>
      <c r="F722" s="3" t="s">
        <v>4188</v>
      </c>
      <c r="G722" s="3" t="s">
        <v>43</v>
      </c>
      <c r="H722" s="3" t="s">
        <v>253</v>
      </c>
      <c r="I722" s="2">
        <v>11</v>
      </c>
      <c r="J722" s="2">
        <v>6</v>
      </c>
      <c r="K722" s="2">
        <v>1</v>
      </c>
      <c r="O722" s="2">
        <v>1</v>
      </c>
      <c r="P722" s="2">
        <v>2</v>
      </c>
      <c r="U722" s="2">
        <v>2</v>
      </c>
      <c r="V722" s="2">
        <v>5</v>
      </c>
      <c r="W722" s="2">
        <v>2</v>
      </c>
      <c r="X722" s="2">
        <v>3</v>
      </c>
      <c r="AA722" s="3" t="s">
        <v>57</v>
      </c>
      <c r="AB722" s="2">
        <v>4</v>
      </c>
      <c r="AF722" s="2">
        <v>30.5</v>
      </c>
      <c r="AG722" s="2">
        <v>2</v>
      </c>
      <c r="AH722" s="3" t="s">
        <v>383</v>
      </c>
      <c r="AI722" s="4">
        <v>44740</v>
      </c>
      <c r="AJ722" s="3" t="s">
        <v>787</v>
      </c>
      <c r="AK722" s="3" t="s">
        <v>38</v>
      </c>
    </row>
    <row r="723" spans="1:37" hidden="1" x14ac:dyDescent="0.25">
      <c r="A723" t="str">
        <f t="shared" si="11"/>
        <v>2022_Vic_Kalkee_Lentil_DetailedTOS2VarietyKelpieXTWaterTrtIrrigated</v>
      </c>
      <c r="B723" s="2">
        <v>2022005</v>
      </c>
      <c r="C723" s="3" t="s">
        <v>776</v>
      </c>
      <c r="D723" s="3" t="s">
        <v>38</v>
      </c>
      <c r="F723" s="3" t="s">
        <v>4188</v>
      </c>
      <c r="G723" s="3" t="s">
        <v>43</v>
      </c>
      <c r="H723" s="3" t="s">
        <v>250</v>
      </c>
      <c r="I723" s="2">
        <v>12</v>
      </c>
      <c r="J723" s="2">
        <v>6</v>
      </c>
      <c r="K723" s="2">
        <v>1</v>
      </c>
      <c r="O723" s="2">
        <v>1</v>
      </c>
      <c r="P723" s="2">
        <v>2</v>
      </c>
      <c r="U723" s="2">
        <v>2</v>
      </c>
      <c r="V723" s="2">
        <v>6</v>
      </c>
      <c r="W723" s="2">
        <v>2</v>
      </c>
      <c r="X723" s="2">
        <v>4</v>
      </c>
      <c r="Z723" s="2">
        <v>7</v>
      </c>
      <c r="AA723" s="3" t="s">
        <v>57</v>
      </c>
      <c r="AB723" s="2">
        <v>4</v>
      </c>
      <c r="AF723" s="2">
        <v>30.5</v>
      </c>
      <c r="AG723" s="2">
        <v>2</v>
      </c>
      <c r="AH723" s="3" t="s">
        <v>383</v>
      </c>
      <c r="AI723" s="4">
        <v>44740</v>
      </c>
      <c r="AJ723" s="3" t="s">
        <v>788</v>
      </c>
      <c r="AK723" s="3" t="s">
        <v>38</v>
      </c>
    </row>
    <row r="724" spans="1:37" hidden="1" x14ac:dyDescent="0.25">
      <c r="A724" t="str">
        <f t="shared" si="11"/>
        <v>2022_Vic_Kalkee_Lentil_DetailedTOS2VarietyHallmarkXTWaterTrtIrrigated</v>
      </c>
      <c r="B724" s="2">
        <v>2022005</v>
      </c>
      <c r="C724" s="3" t="s">
        <v>776</v>
      </c>
      <c r="D724" s="3" t="s">
        <v>38</v>
      </c>
      <c r="F724" s="3" t="s">
        <v>4189</v>
      </c>
      <c r="G724" s="3" t="s">
        <v>39</v>
      </c>
      <c r="H724" s="3" t="s">
        <v>253</v>
      </c>
      <c r="I724" s="2">
        <v>13</v>
      </c>
      <c r="J724" s="2">
        <v>7</v>
      </c>
      <c r="K724" s="2">
        <v>1</v>
      </c>
      <c r="O724" s="2">
        <v>1</v>
      </c>
      <c r="P724" s="2">
        <v>2</v>
      </c>
      <c r="U724" s="2">
        <v>3</v>
      </c>
      <c r="V724" s="2">
        <v>5</v>
      </c>
      <c r="W724" s="2">
        <v>3</v>
      </c>
      <c r="X724" s="2">
        <v>3</v>
      </c>
      <c r="AA724" s="3" t="s">
        <v>57</v>
      </c>
      <c r="AB724" s="2">
        <v>2</v>
      </c>
      <c r="AF724" s="2">
        <v>30.5</v>
      </c>
      <c r="AG724" s="2">
        <v>2</v>
      </c>
      <c r="AH724" s="3" t="s">
        <v>383</v>
      </c>
      <c r="AI724" s="4">
        <v>44740</v>
      </c>
      <c r="AJ724" s="3" t="s">
        <v>789</v>
      </c>
      <c r="AK724" s="3" t="s">
        <v>38</v>
      </c>
    </row>
    <row r="725" spans="1:37" hidden="1" x14ac:dyDescent="0.25">
      <c r="A725" t="str">
        <f t="shared" si="11"/>
        <v>2022_Vic_Kalkee_Lentil_DetailedTOS2VarietyHallmarkXTWaterTrtIrrigated</v>
      </c>
      <c r="B725" s="2">
        <v>2022005</v>
      </c>
      <c r="C725" s="3" t="s">
        <v>776</v>
      </c>
      <c r="D725" s="3" t="s">
        <v>38</v>
      </c>
      <c r="F725" s="3" t="s">
        <v>4189</v>
      </c>
      <c r="G725" s="3" t="s">
        <v>39</v>
      </c>
      <c r="H725" s="3" t="s">
        <v>250</v>
      </c>
      <c r="I725" s="2">
        <v>14</v>
      </c>
      <c r="J725" s="2">
        <v>7</v>
      </c>
      <c r="K725" s="2">
        <v>1</v>
      </c>
      <c r="O725" s="2">
        <v>1</v>
      </c>
      <c r="P725" s="2">
        <v>2</v>
      </c>
      <c r="U725" s="2">
        <v>3</v>
      </c>
      <c r="V725" s="2">
        <v>6</v>
      </c>
      <c r="W725" s="2">
        <v>3</v>
      </c>
      <c r="X725" s="2">
        <v>4</v>
      </c>
      <c r="Z725" s="2">
        <v>6</v>
      </c>
      <c r="AA725" s="3" t="s">
        <v>57</v>
      </c>
      <c r="AB725" s="2">
        <v>2</v>
      </c>
      <c r="AF725" s="2">
        <v>30.5</v>
      </c>
      <c r="AG725" s="2">
        <v>2</v>
      </c>
      <c r="AH725" s="3" t="s">
        <v>383</v>
      </c>
      <c r="AI725" s="4">
        <v>44740</v>
      </c>
      <c r="AJ725" s="3" t="s">
        <v>790</v>
      </c>
      <c r="AK725" s="3" t="s">
        <v>38</v>
      </c>
    </row>
    <row r="726" spans="1:37" hidden="1" x14ac:dyDescent="0.25">
      <c r="A726" t="str">
        <f t="shared" si="11"/>
        <v>2022_Vic_Kalkee_Lentil_DetailedTOS2VarietyJumbo2WaterTrtIrrigated</v>
      </c>
      <c r="B726" s="2">
        <v>2022005</v>
      </c>
      <c r="C726" s="3" t="s">
        <v>776</v>
      </c>
      <c r="D726" s="3" t="s">
        <v>38</v>
      </c>
      <c r="F726" s="3" t="s">
        <v>4176</v>
      </c>
      <c r="G726" s="3" t="s">
        <v>43</v>
      </c>
      <c r="H726" s="3" t="s">
        <v>253</v>
      </c>
      <c r="I726" s="2">
        <v>15</v>
      </c>
      <c r="J726" s="2">
        <v>8</v>
      </c>
      <c r="K726" s="2">
        <v>1</v>
      </c>
      <c r="O726" s="2">
        <v>1</v>
      </c>
      <c r="P726" s="2">
        <v>2</v>
      </c>
      <c r="U726" s="2">
        <v>4</v>
      </c>
      <c r="V726" s="2">
        <v>5</v>
      </c>
      <c r="W726" s="2">
        <v>4</v>
      </c>
      <c r="X726" s="2">
        <v>3</v>
      </c>
      <c r="AA726" s="3" t="s">
        <v>57</v>
      </c>
      <c r="AB726" s="2">
        <v>3</v>
      </c>
      <c r="AF726" s="2">
        <v>30.5</v>
      </c>
      <c r="AG726" s="2">
        <v>2</v>
      </c>
      <c r="AH726" s="3" t="s">
        <v>383</v>
      </c>
      <c r="AI726" s="4">
        <v>44740</v>
      </c>
      <c r="AJ726" s="3" t="s">
        <v>791</v>
      </c>
      <c r="AK726" s="3" t="s">
        <v>38</v>
      </c>
    </row>
    <row r="727" spans="1:37" hidden="1" x14ac:dyDescent="0.25">
      <c r="A727" t="str">
        <f t="shared" si="11"/>
        <v>2022_Vic_Kalkee_Lentil_DetailedTOS2VarietyJumbo2WaterTrtIrrigated</v>
      </c>
      <c r="B727" s="2">
        <v>2022005</v>
      </c>
      <c r="C727" s="3" t="s">
        <v>776</v>
      </c>
      <c r="D727" s="3" t="s">
        <v>38</v>
      </c>
      <c r="F727" s="3" t="s">
        <v>4176</v>
      </c>
      <c r="G727" s="3" t="s">
        <v>43</v>
      </c>
      <c r="H727" s="3" t="s">
        <v>250</v>
      </c>
      <c r="I727" s="2">
        <v>16</v>
      </c>
      <c r="J727" s="2">
        <v>8</v>
      </c>
      <c r="K727" s="2">
        <v>1</v>
      </c>
      <c r="O727" s="2">
        <v>1</v>
      </c>
      <c r="P727" s="2">
        <v>2</v>
      </c>
      <c r="U727" s="2">
        <v>4</v>
      </c>
      <c r="V727" s="2">
        <v>6</v>
      </c>
      <c r="W727" s="2">
        <v>4</v>
      </c>
      <c r="X727" s="2">
        <v>4</v>
      </c>
      <c r="Z727" s="2">
        <v>5</v>
      </c>
      <c r="AA727" s="3" t="s">
        <v>57</v>
      </c>
      <c r="AB727" s="2">
        <v>3</v>
      </c>
      <c r="AF727" s="2">
        <v>30.5</v>
      </c>
      <c r="AG727" s="2">
        <v>2</v>
      </c>
      <c r="AH727" s="3" t="s">
        <v>383</v>
      </c>
      <c r="AI727" s="4">
        <v>44740</v>
      </c>
      <c r="AJ727" s="3" t="s">
        <v>792</v>
      </c>
      <c r="AK727" s="3" t="s">
        <v>38</v>
      </c>
    </row>
    <row r="728" spans="1:37" hidden="1" x14ac:dyDescent="0.25">
      <c r="A728" t="str">
        <f t="shared" si="11"/>
        <v>2022_Vic_Kalkee_Lentil_DetailedTOS1VarietyHallmarkXTWaterTrtIrrigated</v>
      </c>
      <c r="B728" s="2">
        <v>2022005</v>
      </c>
      <c r="C728" s="3" t="s">
        <v>776</v>
      </c>
      <c r="D728" s="3" t="s">
        <v>38</v>
      </c>
      <c r="F728" s="3" t="s">
        <v>4189</v>
      </c>
      <c r="G728" s="3" t="s">
        <v>39</v>
      </c>
      <c r="H728" s="3" t="s">
        <v>253</v>
      </c>
      <c r="I728" s="2">
        <v>17</v>
      </c>
      <c r="J728" s="2">
        <v>9</v>
      </c>
      <c r="K728" s="2">
        <v>1</v>
      </c>
      <c r="O728" s="2">
        <v>2</v>
      </c>
      <c r="P728" s="2">
        <v>3</v>
      </c>
      <c r="U728" s="2">
        <v>1</v>
      </c>
      <c r="V728" s="2">
        <v>8</v>
      </c>
      <c r="W728" s="2">
        <v>1</v>
      </c>
      <c r="X728" s="2">
        <v>5</v>
      </c>
      <c r="AA728" s="3" t="s">
        <v>57</v>
      </c>
      <c r="AB728" s="2">
        <v>2</v>
      </c>
      <c r="AF728" s="2">
        <v>30.5</v>
      </c>
      <c r="AG728" s="2">
        <v>1</v>
      </c>
      <c r="AH728" s="3" t="s">
        <v>400</v>
      </c>
      <c r="AI728" s="4">
        <v>44704</v>
      </c>
      <c r="AJ728" s="3" t="s">
        <v>793</v>
      </c>
      <c r="AK728" s="3" t="s">
        <v>38</v>
      </c>
    </row>
    <row r="729" spans="1:37" hidden="1" x14ac:dyDescent="0.25">
      <c r="A729" t="str">
        <f t="shared" si="11"/>
        <v>2022_Vic_Kalkee_Lentil_DetailedTOS1VarietyHallmarkXTWaterTrtIrrigated</v>
      </c>
      <c r="B729" s="2">
        <v>2022005</v>
      </c>
      <c r="C729" s="3" t="s">
        <v>776</v>
      </c>
      <c r="D729" s="3" t="s">
        <v>38</v>
      </c>
      <c r="F729" s="3" t="s">
        <v>4189</v>
      </c>
      <c r="G729" s="3" t="s">
        <v>39</v>
      </c>
      <c r="H729" s="3" t="s">
        <v>250</v>
      </c>
      <c r="I729" s="2">
        <v>18</v>
      </c>
      <c r="J729" s="2">
        <v>9</v>
      </c>
      <c r="K729" s="2">
        <v>1</v>
      </c>
      <c r="O729" s="2">
        <v>2</v>
      </c>
      <c r="P729" s="2">
        <v>3</v>
      </c>
      <c r="U729" s="2">
        <v>1</v>
      </c>
      <c r="V729" s="2">
        <v>9</v>
      </c>
      <c r="W729" s="2">
        <v>1</v>
      </c>
      <c r="X729" s="2">
        <v>6</v>
      </c>
      <c r="Z729" s="2">
        <v>9</v>
      </c>
      <c r="AA729" s="3" t="s">
        <v>57</v>
      </c>
      <c r="AB729" s="2">
        <v>2</v>
      </c>
      <c r="AF729" s="2">
        <v>30.5</v>
      </c>
      <c r="AG729" s="2">
        <v>1</v>
      </c>
      <c r="AH729" s="3" t="s">
        <v>400</v>
      </c>
      <c r="AI729" s="4">
        <v>44704</v>
      </c>
      <c r="AJ729" s="3" t="s">
        <v>794</v>
      </c>
      <c r="AK729" s="3" t="s">
        <v>38</v>
      </c>
    </row>
    <row r="730" spans="1:37" hidden="1" x14ac:dyDescent="0.25">
      <c r="A730" t="str">
        <f t="shared" si="11"/>
        <v>2022_Vic_Kalkee_Lentil_DetailedTOS1VarietyJumbo2WaterTrtIrrigated</v>
      </c>
      <c r="B730" s="2">
        <v>2022005</v>
      </c>
      <c r="C730" s="3" t="s">
        <v>776</v>
      </c>
      <c r="D730" s="3" t="s">
        <v>38</v>
      </c>
      <c r="F730" s="3" t="s">
        <v>4176</v>
      </c>
      <c r="G730" s="3" t="s">
        <v>43</v>
      </c>
      <c r="H730" s="3" t="s">
        <v>253</v>
      </c>
      <c r="I730" s="2">
        <v>19</v>
      </c>
      <c r="J730" s="2">
        <v>10</v>
      </c>
      <c r="K730" s="2">
        <v>1</v>
      </c>
      <c r="O730" s="2">
        <v>2</v>
      </c>
      <c r="P730" s="2">
        <v>3</v>
      </c>
      <c r="U730" s="2">
        <v>2</v>
      </c>
      <c r="V730" s="2">
        <v>8</v>
      </c>
      <c r="W730" s="2">
        <v>2</v>
      </c>
      <c r="X730" s="2">
        <v>5</v>
      </c>
      <c r="AA730" s="3" t="s">
        <v>57</v>
      </c>
      <c r="AB730" s="2">
        <v>3</v>
      </c>
      <c r="AF730" s="2">
        <v>30.5</v>
      </c>
      <c r="AG730" s="2">
        <v>1</v>
      </c>
      <c r="AH730" s="3" t="s">
        <v>400</v>
      </c>
      <c r="AI730" s="4">
        <v>44704</v>
      </c>
      <c r="AJ730" s="3" t="s">
        <v>795</v>
      </c>
      <c r="AK730" s="3" t="s">
        <v>38</v>
      </c>
    </row>
    <row r="731" spans="1:37" hidden="1" x14ac:dyDescent="0.25">
      <c r="A731" t="str">
        <f t="shared" si="11"/>
        <v>2022_Vic_Kalkee_Lentil_DetailedTOS1VarietyJumbo2WaterTrtIrrigated</v>
      </c>
      <c r="B731" s="2">
        <v>2022005</v>
      </c>
      <c r="C731" s="3" t="s">
        <v>776</v>
      </c>
      <c r="D731" s="3" t="s">
        <v>38</v>
      </c>
      <c r="F731" s="3" t="s">
        <v>4176</v>
      </c>
      <c r="G731" s="3" t="s">
        <v>43</v>
      </c>
      <c r="H731" s="3" t="s">
        <v>250</v>
      </c>
      <c r="I731" s="2">
        <v>20</v>
      </c>
      <c r="J731" s="2">
        <v>10</v>
      </c>
      <c r="K731" s="2">
        <v>1</v>
      </c>
      <c r="O731" s="2">
        <v>2</v>
      </c>
      <c r="P731" s="2">
        <v>3</v>
      </c>
      <c r="U731" s="2">
        <v>2</v>
      </c>
      <c r="V731" s="2">
        <v>9</v>
      </c>
      <c r="W731" s="2">
        <v>2</v>
      </c>
      <c r="X731" s="2">
        <v>6</v>
      </c>
      <c r="Z731" s="2">
        <v>10</v>
      </c>
      <c r="AA731" s="3" t="s">
        <v>57</v>
      </c>
      <c r="AB731" s="2">
        <v>3</v>
      </c>
      <c r="AF731" s="2">
        <v>30.5</v>
      </c>
      <c r="AG731" s="2">
        <v>1</v>
      </c>
      <c r="AH731" s="3" t="s">
        <v>400</v>
      </c>
      <c r="AI731" s="4">
        <v>44704</v>
      </c>
      <c r="AJ731" s="3" t="s">
        <v>796</v>
      </c>
      <c r="AK731" s="3" t="s">
        <v>38</v>
      </c>
    </row>
    <row r="732" spans="1:37" hidden="1" x14ac:dyDescent="0.25">
      <c r="A732" t="str">
        <f t="shared" si="11"/>
        <v>2022_Vic_Kalkee_Lentil_DetailedTOS1VarietyBoltWaterTrtIrrigated</v>
      </c>
      <c r="B732" s="2">
        <v>2022005</v>
      </c>
      <c r="C732" s="3" t="s">
        <v>776</v>
      </c>
      <c r="D732" s="3" t="s">
        <v>38</v>
      </c>
      <c r="F732" s="3" t="s">
        <v>4187</v>
      </c>
      <c r="G732" s="3" t="s">
        <v>39</v>
      </c>
      <c r="H732" s="3" t="s">
        <v>253</v>
      </c>
      <c r="I732" s="2">
        <v>21</v>
      </c>
      <c r="J732" s="2">
        <v>11</v>
      </c>
      <c r="K732" s="2">
        <v>1</v>
      </c>
      <c r="O732" s="2">
        <v>2</v>
      </c>
      <c r="P732" s="2">
        <v>3</v>
      </c>
      <c r="U732" s="2">
        <v>3</v>
      </c>
      <c r="V732" s="2">
        <v>8</v>
      </c>
      <c r="W732" s="2">
        <v>3</v>
      </c>
      <c r="X732" s="2">
        <v>5</v>
      </c>
      <c r="AA732" s="3" t="s">
        <v>57</v>
      </c>
      <c r="AB732" s="2">
        <v>1</v>
      </c>
      <c r="AF732" s="2">
        <v>30.5</v>
      </c>
      <c r="AG732" s="2">
        <v>1</v>
      </c>
      <c r="AH732" s="3" t="s">
        <v>400</v>
      </c>
      <c r="AI732" s="4">
        <v>44704</v>
      </c>
      <c r="AJ732" s="3" t="s">
        <v>797</v>
      </c>
      <c r="AK732" s="3" t="s">
        <v>38</v>
      </c>
    </row>
    <row r="733" spans="1:37" hidden="1" x14ac:dyDescent="0.25">
      <c r="A733" t="str">
        <f t="shared" si="11"/>
        <v>2022_Vic_Kalkee_Lentil_DetailedTOS1VarietyBoltWaterTrtIrrigated</v>
      </c>
      <c r="B733" s="2">
        <v>2022005</v>
      </c>
      <c r="C733" s="3" t="s">
        <v>776</v>
      </c>
      <c r="D733" s="3" t="s">
        <v>38</v>
      </c>
      <c r="F733" s="3" t="s">
        <v>4187</v>
      </c>
      <c r="G733" s="3" t="s">
        <v>39</v>
      </c>
      <c r="H733" s="3" t="s">
        <v>250</v>
      </c>
      <c r="I733" s="2">
        <v>22</v>
      </c>
      <c r="J733" s="2">
        <v>11</v>
      </c>
      <c r="K733" s="2">
        <v>1</v>
      </c>
      <c r="O733" s="2">
        <v>2</v>
      </c>
      <c r="P733" s="2">
        <v>3</v>
      </c>
      <c r="U733" s="2">
        <v>3</v>
      </c>
      <c r="V733" s="2">
        <v>9</v>
      </c>
      <c r="W733" s="2">
        <v>3</v>
      </c>
      <c r="X733" s="2">
        <v>6</v>
      </c>
      <c r="Z733" s="2">
        <v>11</v>
      </c>
      <c r="AA733" s="3" t="s">
        <v>57</v>
      </c>
      <c r="AB733" s="2">
        <v>1</v>
      </c>
      <c r="AF733" s="2">
        <v>30.5</v>
      </c>
      <c r="AG733" s="2">
        <v>1</v>
      </c>
      <c r="AH733" s="3" t="s">
        <v>400</v>
      </c>
      <c r="AI733" s="4">
        <v>44704</v>
      </c>
      <c r="AJ733" s="3" t="s">
        <v>798</v>
      </c>
      <c r="AK733" s="3" t="s">
        <v>38</v>
      </c>
    </row>
    <row r="734" spans="1:37" hidden="1" x14ac:dyDescent="0.25">
      <c r="A734" t="str">
        <f t="shared" si="11"/>
        <v>2022_Vic_Kalkee_Lentil_DetailedTOS1VarietyKelpieXTWaterTrtIrrigated</v>
      </c>
      <c r="B734" s="2">
        <v>2022005</v>
      </c>
      <c r="C734" s="3" t="s">
        <v>776</v>
      </c>
      <c r="D734" s="3" t="s">
        <v>38</v>
      </c>
      <c r="F734" s="3" t="s">
        <v>4188</v>
      </c>
      <c r="G734" s="3" t="s">
        <v>43</v>
      </c>
      <c r="H734" s="3" t="s">
        <v>253</v>
      </c>
      <c r="I734" s="2">
        <v>23</v>
      </c>
      <c r="J734" s="2">
        <v>12</v>
      </c>
      <c r="K734" s="2">
        <v>1</v>
      </c>
      <c r="O734" s="2">
        <v>2</v>
      </c>
      <c r="P734" s="2">
        <v>3</v>
      </c>
      <c r="U734" s="2">
        <v>4</v>
      </c>
      <c r="V734" s="2">
        <v>8</v>
      </c>
      <c r="W734" s="2">
        <v>4</v>
      </c>
      <c r="X734" s="2">
        <v>5</v>
      </c>
      <c r="AA734" s="3" t="s">
        <v>57</v>
      </c>
      <c r="AB734" s="2">
        <v>4</v>
      </c>
      <c r="AF734" s="2">
        <v>30.5</v>
      </c>
      <c r="AG734" s="2">
        <v>1</v>
      </c>
      <c r="AH734" s="3" t="s">
        <v>400</v>
      </c>
      <c r="AI734" s="4">
        <v>44704</v>
      </c>
      <c r="AJ734" s="3" t="s">
        <v>799</v>
      </c>
      <c r="AK734" s="3" t="s">
        <v>38</v>
      </c>
    </row>
    <row r="735" spans="1:37" hidden="1" x14ac:dyDescent="0.25">
      <c r="A735" t="str">
        <f t="shared" si="11"/>
        <v>2022_Vic_Kalkee_Lentil_DetailedTOS1VarietyKelpieXTWaterTrtIrrigated</v>
      </c>
      <c r="B735" s="2">
        <v>2022005</v>
      </c>
      <c r="C735" s="3" t="s">
        <v>776</v>
      </c>
      <c r="D735" s="3" t="s">
        <v>38</v>
      </c>
      <c r="F735" s="3" t="s">
        <v>4188</v>
      </c>
      <c r="G735" s="3" t="s">
        <v>43</v>
      </c>
      <c r="H735" s="3" t="s">
        <v>250</v>
      </c>
      <c r="I735" s="2">
        <v>24</v>
      </c>
      <c r="J735" s="2">
        <v>12</v>
      </c>
      <c r="K735" s="2">
        <v>1</v>
      </c>
      <c r="O735" s="2">
        <v>2</v>
      </c>
      <c r="P735" s="2">
        <v>3</v>
      </c>
      <c r="U735" s="2">
        <v>4</v>
      </c>
      <c r="V735" s="2">
        <v>9</v>
      </c>
      <c r="W735" s="2">
        <v>4</v>
      </c>
      <c r="X735" s="2">
        <v>6</v>
      </c>
      <c r="Z735" s="2">
        <v>12</v>
      </c>
      <c r="AA735" s="3" t="s">
        <v>57</v>
      </c>
      <c r="AB735" s="2">
        <v>4</v>
      </c>
      <c r="AF735" s="2">
        <v>30.5</v>
      </c>
      <c r="AG735" s="2">
        <v>1</v>
      </c>
      <c r="AH735" s="3" t="s">
        <v>400</v>
      </c>
      <c r="AI735" s="4">
        <v>44704</v>
      </c>
      <c r="AJ735" s="3" t="s">
        <v>800</v>
      </c>
      <c r="AK735" s="3" t="s">
        <v>38</v>
      </c>
    </row>
    <row r="736" spans="1:37" hidden="1" x14ac:dyDescent="0.25">
      <c r="A736" t="str">
        <f t="shared" si="11"/>
        <v>2022_Vic_Kalkee_Lentil_DetailedTOS1VarietyKelpieXTWaterTrtRainFed</v>
      </c>
      <c r="B736" s="2">
        <v>2022005</v>
      </c>
      <c r="C736" s="3" t="s">
        <v>776</v>
      </c>
      <c r="D736" s="3" t="s">
        <v>38</v>
      </c>
      <c r="F736" s="3" t="s">
        <v>4188</v>
      </c>
      <c r="G736" s="3" t="s">
        <v>43</v>
      </c>
      <c r="H736" s="3" t="s">
        <v>253</v>
      </c>
      <c r="I736" s="2">
        <v>25</v>
      </c>
      <c r="J736" s="2">
        <v>13</v>
      </c>
      <c r="K736" s="2">
        <v>1</v>
      </c>
      <c r="O736" s="2">
        <v>2</v>
      </c>
      <c r="P736" s="2">
        <v>4</v>
      </c>
      <c r="U736" s="2">
        <v>1</v>
      </c>
      <c r="V736" s="2">
        <v>11</v>
      </c>
      <c r="W736" s="2">
        <v>1</v>
      </c>
      <c r="X736" s="2">
        <v>7</v>
      </c>
      <c r="AA736" s="3" t="s">
        <v>40</v>
      </c>
      <c r="AB736" s="2">
        <v>4</v>
      </c>
      <c r="AF736" s="2">
        <v>30.5</v>
      </c>
      <c r="AG736" s="2">
        <v>1</v>
      </c>
      <c r="AH736" s="3" t="s">
        <v>400</v>
      </c>
      <c r="AI736" s="4">
        <v>44704</v>
      </c>
      <c r="AJ736" s="3" t="s">
        <v>801</v>
      </c>
      <c r="AK736" s="3" t="s">
        <v>38</v>
      </c>
    </row>
    <row r="737" spans="1:37" hidden="1" x14ac:dyDescent="0.25">
      <c r="A737" t="str">
        <f t="shared" si="11"/>
        <v>2022_Vic_Kalkee_Lentil_DetailedTOS1VarietyKelpieXTWaterTrtRainFed</v>
      </c>
      <c r="B737" s="2">
        <v>2022005</v>
      </c>
      <c r="C737" s="3" t="s">
        <v>776</v>
      </c>
      <c r="D737" s="3" t="s">
        <v>38</v>
      </c>
      <c r="F737" s="3" t="s">
        <v>4188</v>
      </c>
      <c r="G737" s="3" t="s">
        <v>43</v>
      </c>
      <c r="H737" s="3" t="s">
        <v>250</v>
      </c>
      <c r="I737" s="2">
        <v>26</v>
      </c>
      <c r="J737" s="2">
        <v>13</v>
      </c>
      <c r="K737" s="2">
        <v>1</v>
      </c>
      <c r="O737" s="2">
        <v>2</v>
      </c>
      <c r="P737" s="2">
        <v>4</v>
      </c>
      <c r="U737" s="2">
        <v>1</v>
      </c>
      <c r="V737" s="2">
        <v>12</v>
      </c>
      <c r="W737" s="2">
        <v>1</v>
      </c>
      <c r="X737" s="2">
        <v>8</v>
      </c>
      <c r="Z737" s="2">
        <v>16</v>
      </c>
      <c r="AA737" s="3" t="s">
        <v>40</v>
      </c>
      <c r="AB737" s="2">
        <v>4</v>
      </c>
      <c r="AF737" s="2">
        <v>30.5</v>
      </c>
      <c r="AG737" s="2">
        <v>1</v>
      </c>
      <c r="AH737" s="3" t="s">
        <v>400</v>
      </c>
      <c r="AI737" s="4">
        <v>44704</v>
      </c>
      <c r="AJ737" s="3" t="s">
        <v>802</v>
      </c>
      <c r="AK737" s="3" t="s">
        <v>38</v>
      </c>
    </row>
    <row r="738" spans="1:37" hidden="1" x14ac:dyDescent="0.25">
      <c r="A738" t="str">
        <f t="shared" si="11"/>
        <v>2022_Vic_Kalkee_Lentil_DetailedTOS1VarietyHallmarkXTWaterTrtRainFed</v>
      </c>
      <c r="B738" s="2">
        <v>2022005</v>
      </c>
      <c r="C738" s="3" t="s">
        <v>776</v>
      </c>
      <c r="D738" s="3" t="s">
        <v>38</v>
      </c>
      <c r="F738" s="3" t="s">
        <v>4189</v>
      </c>
      <c r="G738" s="3" t="s">
        <v>39</v>
      </c>
      <c r="H738" s="3" t="s">
        <v>253</v>
      </c>
      <c r="I738" s="2">
        <v>27</v>
      </c>
      <c r="J738" s="2">
        <v>14</v>
      </c>
      <c r="K738" s="2">
        <v>1</v>
      </c>
      <c r="O738" s="2">
        <v>2</v>
      </c>
      <c r="P738" s="2">
        <v>4</v>
      </c>
      <c r="U738" s="2">
        <v>2</v>
      </c>
      <c r="V738" s="2">
        <v>11</v>
      </c>
      <c r="W738" s="2">
        <v>2</v>
      </c>
      <c r="X738" s="2">
        <v>7</v>
      </c>
      <c r="AA738" s="3" t="s">
        <v>40</v>
      </c>
      <c r="AB738" s="2">
        <v>2</v>
      </c>
      <c r="AF738" s="2">
        <v>30.5</v>
      </c>
      <c r="AG738" s="2">
        <v>1</v>
      </c>
      <c r="AH738" s="3" t="s">
        <v>400</v>
      </c>
      <c r="AI738" s="4">
        <v>44704</v>
      </c>
      <c r="AJ738" s="3" t="s">
        <v>803</v>
      </c>
      <c r="AK738" s="3" t="s">
        <v>38</v>
      </c>
    </row>
    <row r="739" spans="1:37" hidden="1" x14ac:dyDescent="0.25">
      <c r="A739" t="str">
        <f t="shared" si="11"/>
        <v>2022_Vic_Kalkee_Lentil_DetailedTOS1VarietyHallmarkXTWaterTrtRainFed</v>
      </c>
      <c r="B739" s="2">
        <v>2022005</v>
      </c>
      <c r="C739" s="3" t="s">
        <v>776</v>
      </c>
      <c r="D739" s="3" t="s">
        <v>38</v>
      </c>
      <c r="F739" s="3" t="s">
        <v>4189</v>
      </c>
      <c r="G739" s="3" t="s">
        <v>39</v>
      </c>
      <c r="H739" s="3" t="s">
        <v>250</v>
      </c>
      <c r="I739" s="2">
        <v>28</v>
      </c>
      <c r="J739" s="2">
        <v>14</v>
      </c>
      <c r="K739" s="2">
        <v>1</v>
      </c>
      <c r="O739" s="2">
        <v>2</v>
      </c>
      <c r="P739" s="2">
        <v>4</v>
      </c>
      <c r="U739" s="2">
        <v>2</v>
      </c>
      <c r="V739" s="2">
        <v>12</v>
      </c>
      <c r="W739" s="2">
        <v>2</v>
      </c>
      <c r="X739" s="2">
        <v>8</v>
      </c>
      <c r="Z739" s="2">
        <v>15</v>
      </c>
      <c r="AA739" s="3" t="s">
        <v>40</v>
      </c>
      <c r="AB739" s="2">
        <v>2</v>
      </c>
      <c r="AF739" s="2">
        <v>30.5</v>
      </c>
      <c r="AG739" s="2">
        <v>1</v>
      </c>
      <c r="AH739" s="3" t="s">
        <v>400</v>
      </c>
      <c r="AI739" s="4">
        <v>44704</v>
      </c>
      <c r="AJ739" s="3" t="s">
        <v>804</v>
      </c>
      <c r="AK739" s="3" t="s">
        <v>38</v>
      </c>
    </row>
    <row r="740" spans="1:37" hidden="1" x14ac:dyDescent="0.25">
      <c r="A740" t="str">
        <f t="shared" si="11"/>
        <v>2022_Vic_Kalkee_Lentil_DetailedTOS1VarietyJumbo2WaterTrtRainFed</v>
      </c>
      <c r="B740" s="2">
        <v>2022005</v>
      </c>
      <c r="C740" s="3" t="s">
        <v>776</v>
      </c>
      <c r="D740" s="3" t="s">
        <v>38</v>
      </c>
      <c r="F740" s="3" t="s">
        <v>4176</v>
      </c>
      <c r="G740" s="3" t="s">
        <v>43</v>
      </c>
      <c r="H740" s="3" t="s">
        <v>253</v>
      </c>
      <c r="I740" s="2">
        <v>29</v>
      </c>
      <c r="J740" s="2">
        <v>15</v>
      </c>
      <c r="K740" s="2">
        <v>1</v>
      </c>
      <c r="O740" s="2">
        <v>2</v>
      </c>
      <c r="P740" s="2">
        <v>4</v>
      </c>
      <c r="U740" s="2">
        <v>3</v>
      </c>
      <c r="V740" s="2">
        <v>11</v>
      </c>
      <c r="W740" s="2">
        <v>3</v>
      </c>
      <c r="X740" s="2">
        <v>7</v>
      </c>
      <c r="AA740" s="3" t="s">
        <v>40</v>
      </c>
      <c r="AB740" s="2">
        <v>3</v>
      </c>
      <c r="AF740" s="2">
        <v>30.5</v>
      </c>
      <c r="AG740" s="2">
        <v>1</v>
      </c>
      <c r="AH740" s="3" t="s">
        <v>400</v>
      </c>
      <c r="AI740" s="4">
        <v>44704</v>
      </c>
      <c r="AJ740" s="3" t="s">
        <v>805</v>
      </c>
      <c r="AK740" s="3" t="s">
        <v>38</v>
      </c>
    </row>
    <row r="741" spans="1:37" hidden="1" x14ac:dyDescent="0.25">
      <c r="A741" t="str">
        <f t="shared" si="11"/>
        <v>2022_Vic_Kalkee_Lentil_DetailedTOS1VarietyJumbo2WaterTrtRainFed</v>
      </c>
      <c r="B741" s="2">
        <v>2022005</v>
      </c>
      <c r="C741" s="3" t="s">
        <v>776</v>
      </c>
      <c r="D741" s="3" t="s">
        <v>38</v>
      </c>
      <c r="F741" s="3" t="s">
        <v>4176</v>
      </c>
      <c r="G741" s="3" t="s">
        <v>43</v>
      </c>
      <c r="H741" s="3" t="s">
        <v>250</v>
      </c>
      <c r="I741" s="2">
        <v>30</v>
      </c>
      <c r="J741" s="2">
        <v>15</v>
      </c>
      <c r="K741" s="2">
        <v>1</v>
      </c>
      <c r="O741" s="2">
        <v>2</v>
      </c>
      <c r="P741" s="2">
        <v>4</v>
      </c>
      <c r="U741" s="2">
        <v>3</v>
      </c>
      <c r="V741" s="2">
        <v>12</v>
      </c>
      <c r="W741" s="2">
        <v>3</v>
      </c>
      <c r="X741" s="2">
        <v>8</v>
      </c>
      <c r="Z741" s="2">
        <v>14</v>
      </c>
      <c r="AA741" s="3" t="s">
        <v>40</v>
      </c>
      <c r="AB741" s="2">
        <v>3</v>
      </c>
      <c r="AF741" s="2">
        <v>30.5</v>
      </c>
      <c r="AG741" s="2">
        <v>1</v>
      </c>
      <c r="AH741" s="3" t="s">
        <v>400</v>
      </c>
      <c r="AI741" s="4">
        <v>44704</v>
      </c>
      <c r="AJ741" s="3" t="s">
        <v>806</v>
      </c>
      <c r="AK741" s="3" t="s">
        <v>38</v>
      </c>
    </row>
    <row r="742" spans="1:37" hidden="1" x14ac:dyDescent="0.25">
      <c r="A742" t="str">
        <f t="shared" si="11"/>
        <v>2022_Vic_Kalkee_Lentil_DetailedTOS1VarietyBoltWaterTrtRainFed</v>
      </c>
      <c r="B742" s="2">
        <v>2022005</v>
      </c>
      <c r="C742" s="3" t="s">
        <v>776</v>
      </c>
      <c r="D742" s="3" t="s">
        <v>38</v>
      </c>
      <c r="F742" s="3" t="s">
        <v>4187</v>
      </c>
      <c r="G742" s="3" t="s">
        <v>39</v>
      </c>
      <c r="H742" s="3" t="s">
        <v>253</v>
      </c>
      <c r="I742" s="2">
        <v>31</v>
      </c>
      <c r="J742" s="2">
        <v>16</v>
      </c>
      <c r="K742" s="2">
        <v>1</v>
      </c>
      <c r="O742" s="2">
        <v>2</v>
      </c>
      <c r="P742" s="2">
        <v>4</v>
      </c>
      <c r="U742" s="2">
        <v>4</v>
      </c>
      <c r="V742" s="2">
        <v>11</v>
      </c>
      <c r="W742" s="2">
        <v>4</v>
      </c>
      <c r="X742" s="2">
        <v>7</v>
      </c>
      <c r="AA742" s="3" t="s">
        <v>40</v>
      </c>
      <c r="AB742" s="2">
        <v>1</v>
      </c>
      <c r="AF742" s="2">
        <v>30.5</v>
      </c>
      <c r="AG742" s="2">
        <v>1</v>
      </c>
      <c r="AH742" s="3" t="s">
        <v>400</v>
      </c>
      <c r="AI742" s="4">
        <v>44704</v>
      </c>
      <c r="AJ742" s="3" t="s">
        <v>807</v>
      </c>
      <c r="AK742" s="3" t="s">
        <v>38</v>
      </c>
    </row>
    <row r="743" spans="1:37" hidden="1" x14ac:dyDescent="0.25">
      <c r="A743" t="str">
        <f t="shared" si="11"/>
        <v>2022_Vic_Kalkee_Lentil_DetailedTOS1VarietyBoltWaterTrtRainFed</v>
      </c>
      <c r="B743" s="2">
        <v>2022005</v>
      </c>
      <c r="C743" s="3" t="s">
        <v>776</v>
      </c>
      <c r="D743" s="3" t="s">
        <v>38</v>
      </c>
      <c r="F743" s="3" t="s">
        <v>4187</v>
      </c>
      <c r="G743" s="3" t="s">
        <v>39</v>
      </c>
      <c r="H743" s="3" t="s">
        <v>250</v>
      </c>
      <c r="I743" s="2">
        <v>32</v>
      </c>
      <c r="J743" s="2">
        <v>16</v>
      </c>
      <c r="K743" s="2">
        <v>1</v>
      </c>
      <c r="O743" s="2">
        <v>2</v>
      </c>
      <c r="P743" s="2">
        <v>4</v>
      </c>
      <c r="U743" s="2">
        <v>4</v>
      </c>
      <c r="V743" s="2">
        <v>12</v>
      </c>
      <c r="W743" s="2">
        <v>4</v>
      </c>
      <c r="X743" s="2">
        <v>8</v>
      </c>
      <c r="Z743" s="2">
        <v>13</v>
      </c>
      <c r="AA743" s="3" t="s">
        <v>40</v>
      </c>
      <c r="AB743" s="2">
        <v>1</v>
      </c>
      <c r="AF743" s="2">
        <v>30.5</v>
      </c>
      <c r="AG743" s="2">
        <v>1</v>
      </c>
      <c r="AH743" s="3" t="s">
        <v>400</v>
      </c>
      <c r="AI743" s="4">
        <v>44704</v>
      </c>
      <c r="AJ743" s="3" t="s">
        <v>808</v>
      </c>
      <c r="AK743" s="3" t="s">
        <v>38</v>
      </c>
    </row>
    <row r="744" spans="1:37" hidden="1" x14ac:dyDescent="0.25">
      <c r="A744" t="str">
        <f t="shared" si="11"/>
        <v>2022_Vic_Kalkee_Lentil_DetailedTOS1VarietyJumbo2WaterTrtIrrigated</v>
      </c>
      <c r="B744" s="2">
        <v>2022005</v>
      </c>
      <c r="C744" s="3" t="s">
        <v>776</v>
      </c>
      <c r="D744" s="3" t="s">
        <v>38</v>
      </c>
      <c r="F744" s="3" t="s">
        <v>4176</v>
      </c>
      <c r="G744" s="3" t="s">
        <v>43</v>
      </c>
      <c r="H744" s="3" t="s">
        <v>253</v>
      </c>
      <c r="I744" s="2">
        <v>33</v>
      </c>
      <c r="J744" s="2">
        <v>17</v>
      </c>
      <c r="K744" s="2">
        <v>2</v>
      </c>
      <c r="O744" s="2">
        <v>3</v>
      </c>
      <c r="P744" s="2">
        <v>5</v>
      </c>
      <c r="U744" s="2">
        <v>1</v>
      </c>
      <c r="V744" s="2">
        <v>14</v>
      </c>
      <c r="W744" s="2">
        <v>1</v>
      </c>
      <c r="X744" s="2">
        <v>9</v>
      </c>
      <c r="AA744" s="3" t="s">
        <v>57</v>
      </c>
      <c r="AB744" s="2">
        <v>3</v>
      </c>
      <c r="AF744" s="2">
        <v>30.5</v>
      </c>
      <c r="AG744" s="2">
        <v>1</v>
      </c>
      <c r="AH744" s="3" t="s">
        <v>400</v>
      </c>
      <c r="AI744" s="4">
        <v>44704</v>
      </c>
      <c r="AJ744" s="3" t="s">
        <v>809</v>
      </c>
      <c r="AK744" s="3" t="s">
        <v>38</v>
      </c>
    </row>
    <row r="745" spans="1:37" hidden="1" x14ac:dyDescent="0.25">
      <c r="A745" t="str">
        <f t="shared" si="11"/>
        <v>2022_Vic_Kalkee_Lentil_DetailedTOS1VarietyJumbo2WaterTrtIrrigated</v>
      </c>
      <c r="B745" s="2">
        <v>2022005</v>
      </c>
      <c r="C745" s="3" t="s">
        <v>776</v>
      </c>
      <c r="D745" s="3" t="s">
        <v>38</v>
      </c>
      <c r="F745" s="3" t="s">
        <v>4176</v>
      </c>
      <c r="G745" s="3" t="s">
        <v>43</v>
      </c>
      <c r="H745" s="3" t="s">
        <v>250</v>
      </c>
      <c r="I745" s="2">
        <v>34</v>
      </c>
      <c r="J745" s="2">
        <v>17</v>
      </c>
      <c r="K745" s="2">
        <v>2</v>
      </c>
      <c r="O745" s="2">
        <v>3</v>
      </c>
      <c r="P745" s="2">
        <v>5</v>
      </c>
      <c r="U745" s="2">
        <v>1</v>
      </c>
      <c r="V745" s="2">
        <v>15</v>
      </c>
      <c r="W745" s="2">
        <v>1</v>
      </c>
      <c r="X745" s="2">
        <v>10</v>
      </c>
      <c r="Z745" s="2">
        <v>17</v>
      </c>
      <c r="AA745" s="3" t="s">
        <v>57</v>
      </c>
      <c r="AB745" s="2">
        <v>3</v>
      </c>
      <c r="AF745" s="2">
        <v>30.5</v>
      </c>
      <c r="AG745" s="2">
        <v>1</v>
      </c>
      <c r="AH745" s="3" t="s">
        <v>400</v>
      </c>
      <c r="AI745" s="4">
        <v>44704</v>
      </c>
      <c r="AJ745" s="3" t="s">
        <v>810</v>
      </c>
      <c r="AK745" s="3" t="s">
        <v>38</v>
      </c>
    </row>
    <row r="746" spans="1:37" hidden="1" x14ac:dyDescent="0.25">
      <c r="A746" t="str">
        <f t="shared" si="11"/>
        <v>2022_Vic_Kalkee_Lentil_DetailedTOS1VarietyHallmarkXTWaterTrtIrrigated</v>
      </c>
      <c r="B746" s="2">
        <v>2022005</v>
      </c>
      <c r="C746" s="3" t="s">
        <v>776</v>
      </c>
      <c r="D746" s="3" t="s">
        <v>38</v>
      </c>
      <c r="F746" s="3" t="s">
        <v>4189</v>
      </c>
      <c r="G746" s="3" t="s">
        <v>39</v>
      </c>
      <c r="H746" s="3" t="s">
        <v>253</v>
      </c>
      <c r="I746" s="2">
        <v>35</v>
      </c>
      <c r="J746" s="2">
        <v>18</v>
      </c>
      <c r="K746" s="2">
        <v>2</v>
      </c>
      <c r="O746" s="2">
        <v>3</v>
      </c>
      <c r="P746" s="2">
        <v>5</v>
      </c>
      <c r="U746" s="2">
        <v>2</v>
      </c>
      <c r="V746" s="2">
        <v>14</v>
      </c>
      <c r="W746" s="2">
        <v>2</v>
      </c>
      <c r="X746" s="2">
        <v>9</v>
      </c>
      <c r="AA746" s="3" t="s">
        <v>57</v>
      </c>
      <c r="AB746" s="2">
        <v>2</v>
      </c>
      <c r="AF746" s="2">
        <v>30.5</v>
      </c>
      <c r="AG746" s="2">
        <v>1</v>
      </c>
      <c r="AH746" s="3" t="s">
        <v>400</v>
      </c>
      <c r="AI746" s="4">
        <v>44704</v>
      </c>
      <c r="AJ746" s="3" t="s">
        <v>811</v>
      </c>
      <c r="AK746" s="3" t="s">
        <v>38</v>
      </c>
    </row>
    <row r="747" spans="1:37" hidden="1" x14ac:dyDescent="0.25">
      <c r="A747" t="str">
        <f t="shared" si="11"/>
        <v>2022_Vic_Kalkee_Lentil_DetailedTOS1VarietyHallmarkXTWaterTrtIrrigated</v>
      </c>
      <c r="B747" s="2">
        <v>2022005</v>
      </c>
      <c r="C747" s="3" t="s">
        <v>776</v>
      </c>
      <c r="D747" s="3" t="s">
        <v>38</v>
      </c>
      <c r="F747" s="3" t="s">
        <v>4189</v>
      </c>
      <c r="G747" s="3" t="s">
        <v>39</v>
      </c>
      <c r="H747" s="3" t="s">
        <v>250</v>
      </c>
      <c r="I747" s="2">
        <v>36</v>
      </c>
      <c r="J747" s="2">
        <v>18</v>
      </c>
      <c r="K747" s="2">
        <v>2</v>
      </c>
      <c r="O747" s="2">
        <v>3</v>
      </c>
      <c r="P747" s="2">
        <v>5</v>
      </c>
      <c r="U747" s="2">
        <v>2</v>
      </c>
      <c r="V747" s="2">
        <v>15</v>
      </c>
      <c r="W747" s="2">
        <v>2</v>
      </c>
      <c r="X747" s="2">
        <v>10</v>
      </c>
      <c r="Z747" s="2">
        <v>18</v>
      </c>
      <c r="AA747" s="3" t="s">
        <v>57</v>
      </c>
      <c r="AB747" s="2">
        <v>2</v>
      </c>
      <c r="AF747" s="2">
        <v>30.5</v>
      </c>
      <c r="AG747" s="2">
        <v>1</v>
      </c>
      <c r="AH747" s="3" t="s">
        <v>400</v>
      </c>
      <c r="AI747" s="4">
        <v>44704</v>
      </c>
      <c r="AJ747" s="3" t="s">
        <v>812</v>
      </c>
      <c r="AK747" s="3" t="s">
        <v>38</v>
      </c>
    </row>
    <row r="748" spans="1:37" hidden="1" x14ac:dyDescent="0.25">
      <c r="A748" t="str">
        <f t="shared" si="11"/>
        <v>2022_Vic_Kalkee_Lentil_DetailedTOS1VarietyBoltWaterTrtIrrigated</v>
      </c>
      <c r="B748" s="2">
        <v>2022005</v>
      </c>
      <c r="C748" s="3" t="s">
        <v>776</v>
      </c>
      <c r="D748" s="3" t="s">
        <v>38</v>
      </c>
      <c r="F748" s="3" t="s">
        <v>4187</v>
      </c>
      <c r="G748" s="3" t="s">
        <v>39</v>
      </c>
      <c r="H748" s="3" t="s">
        <v>253</v>
      </c>
      <c r="I748" s="2">
        <v>37</v>
      </c>
      <c r="J748" s="2">
        <v>19</v>
      </c>
      <c r="K748" s="2">
        <v>2</v>
      </c>
      <c r="O748" s="2">
        <v>3</v>
      </c>
      <c r="P748" s="2">
        <v>5</v>
      </c>
      <c r="U748" s="2">
        <v>3</v>
      </c>
      <c r="V748" s="2">
        <v>14</v>
      </c>
      <c r="W748" s="2">
        <v>3</v>
      </c>
      <c r="X748" s="2">
        <v>9</v>
      </c>
      <c r="AA748" s="3" t="s">
        <v>57</v>
      </c>
      <c r="AB748" s="2">
        <v>1</v>
      </c>
      <c r="AF748" s="2">
        <v>30.5</v>
      </c>
      <c r="AG748" s="2">
        <v>1</v>
      </c>
      <c r="AH748" s="3" t="s">
        <v>400</v>
      </c>
      <c r="AI748" s="4">
        <v>44704</v>
      </c>
      <c r="AJ748" s="3" t="s">
        <v>813</v>
      </c>
      <c r="AK748" s="3" t="s">
        <v>38</v>
      </c>
    </row>
    <row r="749" spans="1:37" hidden="1" x14ac:dyDescent="0.25">
      <c r="A749" t="str">
        <f t="shared" si="11"/>
        <v>2022_Vic_Kalkee_Lentil_DetailedTOS1VarietyBoltWaterTrtIrrigated</v>
      </c>
      <c r="B749" s="2">
        <v>2022005</v>
      </c>
      <c r="C749" s="3" t="s">
        <v>776</v>
      </c>
      <c r="D749" s="3" t="s">
        <v>38</v>
      </c>
      <c r="F749" s="3" t="s">
        <v>4187</v>
      </c>
      <c r="G749" s="3" t="s">
        <v>39</v>
      </c>
      <c r="H749" s="3" t="s">
        <v>250</v>
      </c>
      <c r="I749" s="2">
        <v>38</v>
      </c>
      <c r="J749" s="2">
        <v>19</v>
      </c>
      <c r="K749" s="2">
        <v>2</v>
      </c>
      <c r="O749" s="2">
        <v>3</v>
      </c>
      <c r="P749" s="2">
        <v>5</v>
      </c>
      <c r="U749" s="2">
        <v>3</v>
      </c>
      <c r="V749" s="2">
        <v>15</v>
      </c>
      <c r="W749" s="2">
        <v>3</v>
      </c>
      <c r="X749" s="2">
        <v>10</v>
      </c>
      <c r="Z749" s="2">
        <v>19</v>
      </c>
      <c r="AA749" s="3" t="s">
        <v>57</v>
      </c>
      <c r="AB749" s="2">
        <v>1</v>
      </c>
      <c r="AF749" s="2">
        <v>30.5</v>
      </c>
      <c r="AG749" s="2">
        <v>1</v>
      </c>
      <c r="AH749" s="3" t="s">
        <v>400</v>
      </c>
      <c r="AI749" s="4">
        <v>44704</v>
      </c>
      <c r="AJ749" s="3" t="s">
        <v>814</v>
      </c>
      <c r="AK749" s="3" t="s">
        <v>38</v>
      </c>
    </row>
    <row r="750" spans="1:37" hidden="1" x14ac:dyDescent="0.25">
      <c r="A750" t="str">
        <f t="shared" si="11"/>
        <v>2022_Vic_Kalkee_Lentil_DetailedTOS1VarietyKelpieXTWaterTrtIrrigated</v>
      </c>
      <c r="B750" s="2">
        <v>2022005</v>
      </c>
      <c r="C750" s="3" t="s">
        <v>776</v>
      </c>
      <c r="D750" s="3" t="s">
        <v>38</v>
      </c>
      <c r="F750" s="3" t="s">
        <v>4188</v>
      </c>
      <c r="G750" s="3" t="s">
        <v>43</v>
      </c>
      <c r="H750" s="3" t="s">
        <v>253</v>
      </c>
      <c r="I750" s="2">
        <v>39</v>
      </c>
      <c r="J750" s="2">
        <v>20</v>
      </c>
      <c r="K750" s="2">
        <v>2</v>
      </c>
      <c r="O750" s="2">
        <v>3</v>
      </c>
      <c r="P750" s="2">
        <v>5</v>
      </c>
      <c r="U750" s="2">
        <v>4</v>
      </c>
      <c r="V750" s="2">
        <v>14</v>
      </c>
      <c r="W750" s="2">
        <v>4</v>
      </c>
      <c r="X750" s="2">
        <v>9</v>
      </c>
      <c r="AA750" s="3" t="s">
        <v>57</v>
      </c>
      <c r="AB750" s="2">
        <v>4</v>
      </c>
      <c r="AF750" s="2">
        <v>30.5</v>
      </c>
      <c r="AG750" s="2">
        <v>1</v>
      </c>
      <c r="AH750" s="3" t="s">
        <v>400</v>
      </c>
      <c r="AI750" s="4">
        <v>44704</v>
      </c>
      <c r="AJ750" s="3" t="s">
        <v>815</v>
      </c>
      <c r="AK750" s="3" t="s">
        <v>38</v>
      </c>
    </row>
    <row r="751" spans="1:37" hidden="1" x14ac:dyDescent="0.25">
      <c r="A751" t="str">
        <f t="shared" si="11"/>
        <v>2022_Vic_Kalkee_Lentil_DetailedTOS1VarietyKelpieXTWaterTrtIrrigated</v>
      </c>
      <c r="B751" s="2">
        <v>2022005</v>
      </c>
      <c r="C751" s="3" t="s">
        <v>776</v>
      </c>
      <c r="D751" s="3" t="s">
        <v>38</v>
      </c>
      <c r="F751" s="3" t="s">
        <v>4188</v>
      </c>
      <c r="G751" s="3" t="s">
        <v>43</v>
      </c>
      <c r="H751" s="3" t="s">
        <v>250</v>
      </c>
      <c r="I751" s="2">
        <v>40</v>
      </c>
      <c r="J751" s="2">
        <v>20</v>
      </c>
      <c r="K751" s="2">
        <v>2</v>
      </c>
      <c r="O751" s="2">
        <v>3</v>
      </c>
      <c r="P751" s="2">
        <v>5</v>
      </c>
      <c r="U751" s="2">
        <v>4</v>
      </c>
      <c r="V751" s="2">
        <v>15</v>
      </c>
      <c r="W751" s="2">
        <v>4</v>
      </c>
      <c r="X751" s="2">
        <v>10</v>
      </c>
      <c r="Z751" s="2">
        <v>20</v>
      </c>
      <c r="AA751" s="3" t="s">
        <v>57</v>
      </c>
      <c r="AB751" s="2">
        <v>4</v>
      </c>
      <c r="AF751" s="2">
        <v>30.5</v>
      </c>
      <c r="AG751" s="2">
        <v>1</v>
      </c>
      <c r="AH751" s="3" t="s">
        <v>400</v>
      </c>
      <c r="AI751" s="4">
        <v>44704</v>
      </c>
      <c r="AJ751" s="3" t="s">
        <v>816</v>
      </c>
      <c r="AK751" s="3" t="s">
        <v>38</v>
      </c>
    </row>
    <row r="752" spans="1:37" hidden="1" x14ac:dyDescent="0.25">
      <c r="A752" t="str">
        <f t="shared" si="11"/>
        <v>2022_Vic_Kalkee_Lentil_DetailedTOS1VarietyBoltWaterTrtRainFed</v>
      </c>
      <c r="B752" s="2">
        <v>2022005</v>
      </c>
      <c r="C752" s="3" t="s">
        <v>776</v>
      </c>
      <c r="D752" s="3" t="s">
        <v>38</v>
      </c>
      <c r="F752" s="3" t="s">
        <v>4187</v>
      </c>
      <c r="G752" s="3" t="s">
        <v>39</v>
      </c>
      <c r="H752" s="3" t="s">
        <v>253</v>
      </c>
      <c r="I752" s="2">
        <v>41</v>
      </c>
      <c r="J752" s="2">
        <v>21</v>
      </c>
      <c r="K752" s="2">
        <v>2</v>
      </c>
      <c r="O752" s="2">
        <v>3</v>
      </c>
      <c r="P752" s="2">
        <v>6</v>
      </c>
      <c r="U752" s="2">
        <v>1</v>
      </c>
      <c r="V752" s="2">
        <v>17</v>
      </c>
      <c r="W752" s="2">
        <v>1</v>
      </c>
      <c r="X752" s="2">
        <v>11</v>
      </c>
      <c r="AA752" s="3" t="s">
        <v>40</v>
      </c>
      <c r="AB752" s="2">
        <v>1</v>
      </c>
      <c r="AF752" s="2">
        <v>30.5</v>
      </c>
      <c r="AG752" s="2">
        <v>1</v>
      </c>
      <c r="AH752" s="3" t="s">
        <v>400</v>
      </c>
      <c r="AI752" s="4">
        <v>44704</v>
      </c>
      <c r="AJ752" s="3" t="s">
        <v>817</v>
      </c>
      <c r="AK752" s="3" t="s">
        <v>38</v>
      </c>
    </row>
    <row r="753" spans="1:37" hidden="1" x14ac:dyDescent="0.25">
      <c r="A753" t="str">
        <f t="shared" si="11"/>
        <v>2022_Vic_Kalkee_Lentil_DetailedTOS1VarietyBoltWaterTrtRainFed</v>
      </c>
      <c r="B753" s="2">
        <v>2022005</v>
      </c>
      <c r="C753" s="3" t="s">
        <v>776</v>
      </c>
      <c r="D753" s="3" t="s">
        <v>38</v>
      </c>
      <c r="F753" s="3" t="s">
        <v>4187</v>
      </c>
      <c r="G753" s="3" t="s">
        <v>39</v>
      </c>
      <c r="H753" s="3" t="s">
        <v>250</v>
      </c>
      <c r="I753" s="2">
        <v>42</v>
      </c>
      <c r="J753" s="2">
        <v>21</v>
      </c>
      <c r="K753" s="2">
        <v>2</v>
      </c>
      <c r="O753" s="2">
        <v>3</v>
      </c>
      <c r="P753" s="2">
        <v>6</v>
      </c>
      <c r="U753" s="2">
        <v>1</v>
      </c>
      <c r="V753" s="2">
        <v>18</v>
      </c>
      <c r="W753" s="2">
        <v>1</v>
      </c>
      <c r="X753" s="2">
        <v>12</v>
      </c>
      <c r="Z753" s="2">
        <v>24</v>
      </c>
      <c r="AA753" s="3" t="s">
        <v>40</v>
      </c>
      <c r="AB753" s="2">
        <v>1</v>
      </c>
      <c r="AF753" s="2">
        <v>30.5</v>
      </c>
      <c r="AG753" s="2">
        <v>1</v>
      </c>
      <c r="AH753" s="3" t="s">
        <v>400</v>
      </c>
      <c r="AI753" s="4">
        <v>44704</v>
      </c>
      <c r="AJ753" s="3" t="s">
        <v>818</v>
      </c>
      <c r="AK753" s="3" t="s">
        <v>38</v>
      </c>
    </row>
    <row r="754" spans="1:37" hidden="1" x14ac:dyDescent="0.25">
      <c r="A754" t="str">
        <f t="shared" si="11"/>
        <v>2022_Vic_Kalkee_Lentil_DetailedTOS1VarietyKelpieXTWaterTrtRainFed</v>
      </c>
      <c r="B754" s="2">
        <v>2022005</v>
      </c>
      <c r="C754" s="3" t="s">
        <v>776</v>
      </c>
      <c r="D754" s="3" t="s">
        <v>38</v>
      </c>
      <c r="F754" s="3" t="s">
        <v>4188</v>
      </c>
      <c r="G754" s="3" t="s">
        <v>43</v>
      </c>
      <c r="H754" s="3" t="s">
        <v>253</v>
      </c>
      <c r="I754" s="2">
        <v>43</v>
      </c>
      <c r="J754" s="2">
        <v>22</v>
      </c>
      <c r="K754" s="2">
        <v>2</v>
      </c>
      <c r="O754" s="2">
        <v>3</v>
      </c>
      <c r="P754" s="2">
        <v>6</v>
      </c>
      <c r="U754" s="2">
        <v>2</v>
      </c>
      <c r="V754" s="2">
        <v>17</v>
      </c>
      <c r="W754" s="2">
        <v>2</v>
      </c>
      <c r="X754" s="2">
        <v>11</v>
      </c>
      <c r="AA754" s="3" t="s">
        <v>40</v>
      </c>
      <c r="AB754" s="2">
        <v>4</v>
      </c>
      <c r="AF754" s="2">
        <v>30.5</v>
      </c>
      <c r="AG754" s="2">
        <v>1</v>
      </c>
      <c r="AH754" s="3" t="s">
        <v>400</v>
      </c>
      <c r="AI754" s="4">
        <v>44704</v>
      </c>
      <c r="AJ754" s="3" t="s">
        <v>819</v>
      </c>
      <c r="AK754" s="3" t="s">
        <v>38</v>
      </c>
    </row>
    <row r="755" spans="1:37" hidden="1" x14ac:dyDescent="0.25">
      <c r="A755" t="str">
        <f t="shared" si="11"/>
        <v>2022_Vic_Kalkee_Lentil_DetailedTOS1VarietyKelpieXTWaterTrtRainFed</v>
      </c>
      <c r="B755" s="2">
        <v>2022005</v>
      </c>
      <c r="C755" s="3" t="s">
        <v>776</v>
      </c>
      <c r="D755" s="3" t="s">
        <v>38</v>
      </c>
      <c r="F755" s="3" t="s">
        <v>4188</v>
      </c>
      <c r="G755" s="3" t="s">
        <v>43</v>
      </c>
      <c r="H755" s="3" t="s">
        <v>250</v>
      </c>
      <c r="I755" s="2">
        <v>44</v>
      </c>
      <c r="J755" s="2">
        <v>22</v>
      </c>
      <c r="K755" s="2">
        <v>2</v>
      </c>
      <c r="O755" s="2">
        <v>3</v>
      </c>
      <c r="P755" s="2">
        <v>6</v>
      </c>
      <c r="U755" s="2">
        <v>2</v>
      </c>
      <c r="V755" s="2">
        <v>18</v>
      </c>
      <c r="W755" s="2">
        <v>2</v>
      </c>
      <c r="X755" s="2">
        <v>12</v>
      </c>
      <c r="Z755" s="2">
        <v>23</v>
      </c>
      <c r="AA755" s="3" t="s">
        <v>40</v>
      </c>
      <c r="AB755" s="2">
        <v>4</v>
      </c>
      <c r="AF755" s="2">
        <v>30.5</v>
      </c>
      <c r="AG755" s="2">
        <v>1</v>
      </c>
      <c r="AH755" s="3" t="s">
        <v>400</v>
      </c>
      <c r="AI755" s="4">
        <v>44704</v>
      </c>
      <c r="AJ755" s="3" t="s">
        <v>820</v>
      </c>
      <c r="AK755" s="3" t="s">
        <v>38</v>
      </c>
    </row>
    <row r="756" spans="1:37" hidden="1" x14ac:dyDescent="0.25">
      <c r="A756" t="str">
        <f t="shared" si="11"/>
        <v>2022_Vic_Kalkee_Lentil_DetailedTOS1VarietyJumbo2WaterTrtRainFed</v>
      </c>
      <c r="B756" s="2">
        <v>2022005</v>
      </c>
      <c r="C756" s="3" t="s">
        <v>776</v>
      </c>
      <c r="D756" s="3" t="s">
        <v>38</v>
      </c>
      <c r="F756" s="3" t="s">
        <v>4176</v>
      </c>
      <c r="G756" s="3" t="s">
        <v>43</v>
      </c>
      <c r="H756" s="3" t="s">
        <v>253</v>
      </c>
      <c r="I756" s="2">
        <v>45</v>
      </c>
      <c r="J756" s="2">
        <v>23</v>
      </c>
      <c r="K756" s="2">
        <v>2</v>
      </c>
      <c r="O756" s="2">
        <v>3</v>
      </c>
      <c r="P756" s="2">
        <v>6</v>
      </c>
      <c r="U756" s="2">
        <v>3</v>
      </c>
      <c r="V756" s="2">
        <v>17</v>
      </c>
      <c r="W756" s="2">
        <v>3</v>
      </c>
      <c r="X756" s="2">
        <v>11</v>
      </c>
      <c r="AA756" s="3" t="s">
        <v>40</v>
      </c>
      <c r="AB756" s="2">
        <v>3</v>
      </c>
      <c r="AF756" s="2">
        <v>30.5</v>
      </c>
      <c r="AG756" s="2">
        <v>1</v>
      </c>
      <c r="AH756" s="3" t="s">
        <v>400</v>
      </c>
      <c r="AI756" s="4">
        <v>44704</v>
      </c>
      <c r="AJ756" s="3" t="s">
        <v>821</v>
      </c>
      <c r="AK756" s="3" t="s">
        <v>38</v>
      </c>
    </row>
    <row r="757" spans="1:37" hidden="1" x14ac:dyDescent="0.25">
      <c r="A757" t="str">
        <f t="shared" si="11"/>
        <v>2022_Vic_Kalkee_Lentil_DetailedTOS1VarietyJumbo2WaterTrtRainFed</v>
      </c>
      <c r="B757" s="2">
        <v>2022005</v>
      </c>
      <c r="C757" s="3" t="s">
        <v>776</v>
      </c>
      <c r="D757" s="3" t="s">
        <v>38</v>
      </c>
      <c r="F757" s="3" t="s">
        <v>4176</v>
      </c>
      <c r="G757" s="3" t="s">
        <v>43</v>
      </c>
      <c r="H757" s="3" t="s">
        <v>250</v>
      </c>
      <c r="I757" s="2">
        <v>46</v>
      </c>
      <c r="J757" s="2">
        <v>23</v>
      </c>
      <c r="K757" s="2">
        <v>2</v>
      </c>
      <c r="O757" s="2">
        <v>3</v>
      </c>
      <c r="P757" s="2">
        <v>6</v>
      </c>
      <c r="U757" s="2">
        <v>3</v>
      </c>
      <c r="V757" s="2">
        <v>18</v>
      </c>
      <c r="W757" s="2">
        <v>3</v>
      </c>
      <c r="X757" s="2">
        <v>12</v>
      </c>
      <c r="Z757" s="2">
        <v>22</v>
      </c>
      <c r="AA757" s="3" t="s">
        <v>40</v>
      </c>
      <c r="AB757" s="2">
        <v>3</v>
      </c>
      <c r="AF757" s="2">
        <v>30.5</v>
      </c>
      <c r="AG757" s="2">
        <v>1</v>
      </c>
      <c r="AH757" s="3" t="s">
        <v>400</v>
      </c>
      <c r="AI757" s="4">
        <v>44704</v>
      </c>
      <c r="AJ757" s="3" t="s">
        <v>822</v>
      </c>
      <c r="AK757" s="3" t="s">
        <v>38</v>
      </c>
    </row>
    <row r="758" spans="1:37" hidden="1" x14ac:dyDescent="0.25">
      <c r="A758" t="str">
        <f t="shared" si="11"/>
        <v>2022_Vic_Kalkee_Lentil_DetailedTOS1VarietyHallmarkXTWaterTrtRainFed</v>
      </c>
      <c r="B758" s="2">
        <v>2022005</v>
      </c>
      <c r="C758" s="3" t="s">
        <v>776</v>
      </c>
      <c r="D758" s="3" t="s">
        <v>38</v>
      </c>
      <c r="F758" s="3" t="s">
        <v>4189</v>
      </c>
      <c r="G758" s="3" t="s">
        <v>39</v>
      </c>
      <c r="H758" s="3" t="s">
        <v>253</v>
      </c>
      <c r="I758" s="2">
        <v>47</v>
      </c>
      <c r="J758" s="2">
        <v>24</v>
      </c>
      <c r="K758" s="2">
        <v>2</v>
      </c>
      <c r="O758" s="2">
        <v>3</v>
      </c>
      <c r="P758" s="2">
        <v>6</v>
      </c>
      <c r="U758" s="2">
        <v>4</v>
      </c>
      <c r="V758" s="2">
        <v>17</v>
      </c>
      <c r="W758" s="2">
        <v>4</v>
      </c>
      <c r="X758" s="2">
        <v>11</v>
      </c>
      <c r="AA758" s="3" t="s">
        <v>40</v>
      </c>
      <c r="AB758" s="2">
        <v>2</v>
      </c>
      <c r="AF758" s="2">
        <v>30.5</v>
      </c>
      <c r="AG758" s="2">
        <v>1</v>
      </c>
      <c r="AH758" s="3" t="s">
        <v>400</v>
      </c>
      <c r="AI758" s="4">
        <v>44704</v>
      </c>
      <c r="AJ758" s="3" t="s">
        <v>823</v>
      </c>
      <c r="AK758" s="3" t="s">
        <v>38</v>
      </c>
    </row>
    <row r="759" spans="1:37" hidden="1" x14ac:dyDescent="0.25">
      <c r="A759" t="str">
        <f t="shared" si="11"/>
        <v>2022_Vic_Kalkee_Lentil_DetailedTOS1VarietyHallmarkXTWaterTrtRainFed</v>
      </c>
      <c r="B759" s="2">
        <v>2022005</v>
      </c>
      <c r="C759" s="3" t="s">
        <v>776</v>
      </c>
      <c r="D759" s="3" t="s">
        <v>38</v>
      </c>
      <c r="F759" s="3" t="s">
        <v>4189</v>
      </c>
      <c r="G759" s="3" t="s">
        <v>39</v>
      </c>
      <c r="H759" s="3" t="s">
        <v>250</v>
      </c>
      <c r="I759" s="2">
        <v>48</v>
      </c>
      <c r="J759" s="2">
        <v>24</v>
      </c>
      <c r="K759" s="2">
        <v>2</v>
      </c>
      <c r="O759" s="2">
        <v>3</v>
      </c>
      <c r="P759" s="2">
        <v>6</v>
      </c>
      <c r="U759" s="2">
        <v>4</v>
      </c>
      <c r="V759" s="2">
        <v>18</v>
      </c>
      <c r="W759" s="2">
        <v>4</v>
      </c>
      <c r="X759" s="2">
        <v>12</v>
      </c>
      <c r="Z759" s="2">
        <v>21</v>
      </c>
      <c r="AA759" s="3" t="s">
        <v>40</v>
      </c>
      <c r="AB759" s="2">
        <v>2</v>
      </c>
      <c r="AF759" s="2">
        <v>30.5</v>
      </c>
      <c r="AG759" s="2">
        <v>1</v>
      </c>
      <c r="AH759" s="3" t="s">
        <v>400</v>
      </c>
      <c r="AI759" s="4">
        <v>44704</v>
      </c>
      <c r="AJ759" s="3" t="s">
        <v>824</v>
      </c>
      <c r="AK759" s="3" t="s">
        <v>38</v>
      </c>
    </row>
    <row r="760" spans="1:37" hidden="1" x14ac:dyDescent="0.25">
      <c r="A760" t="str">
        <f t="shared" si="11"/>
        <v>2022_Vic_Kalkee_Lentil_DetailedTOS2VarietyKelpieXTWaterTrtRainFed</v>
      </c>
      <c r="B760" s="2">
        <v>2022005</v>
      </c>
      <c r="C760" s="3" t="s">
        <v>776</v>
      </c>
      <c r="D760" s="3" t="s">
        <v>38</v>
      </c>
      <c r="F760" s="3" t="s">
        <v>4188</v>
      </c>
      <c r="G760" s="3" t="s">
        <v>43</v>
      </c>
      <c r="H760" s="3" t="s">
        <v>253</v>
      </c>
      <c r="I760" s="2">
        <v>49</v>
      </c>
      <c r="J760" s="2">
        <v>25</v>
      </c>
      <c r="K760" s="2">
        <v>2</v>
      </c>
      <c r="O760" s="2">
        <v>4</v>
      </c>
      <c r="P760" s="2">
        <v>7</v>
      </c>
      <c r="U760" s="2">
        <v>1</v>
      </c>
      <c r="V760" s="2">
        <v>20</v>
      </c>
      <c r="W760" s="2">
        <v>1</v>
      </c>
      <c r="X760" s="2">
        <v>13</v>
      </c>
      <c r="AA760" s="3" t="s">
        <v>40</v>
      </c>
      <c r="AB760" s="2">
        <v>4</v>
      </c>
      <c r="AF760" s="2">
        <v>30.5</v>
      </c>
      <c r="AG760" s="2">
        <v>2</v>
      </c>
      <c r="AH760" s="3" t="s">
        <v>383</v>
      </c>
      <c r="AI760" s="4">
        <v>44740</v>
      </c>
      <c r="AJ760" s="3" t="s">
        <v>825</v>
      </c>
      <c r="AK760" s="3" t="s">
        <v>38</v>
      </c>
    </row>
    <row r="761" spans="1:37" hidden="1" x14ac:dyDescent="0.25">
      <c r="A761" t="str">
        <f t="shared" si="11"/>
        <v>2022_Vic_Kalkee_Lentil_DetailedTOS2VarietyKelpieXTWaterTrtRainFed</v>
      </c>
      <c r="B761" s="2">
        <v>2022005</v>
      </c>
      <c r="C761" s="3" t="s">
        <v>776</v>
      </c>
      <c r="D761" s="3" t="s">
        <v>38</v>
      </c>
      <c r="F761" s="3" t="s">
        <v>4188</v>
      </c>
      <c r="G761" s="3" t="s">
        <v>43</v>
      </c>
      <c r="H761" s="3" t="s">
        <v>250</v>
      </c>
      <c r="I761" s="2">
        <v>50</v>
      </c>
      <c r="J761" s="2">
        <v>25</v>
      </c>
      <c r="K761" s="2">
        <v>2</v>
      </c>
      <c r="O761" s="2">
        <v>4</v>
      </c>
      <c r="P761" s="2">
        <v>7</v>
      </c>
      <c r="U761" s="2">
        <v>1</v>
      </c>
      <c r="V761" s="2">
        <v>21</v>
      </c>
      <c r="W761" s="2">
        <v>1</v>
      </c>
      <c r="X761" s="2">
        <v>14</v>
      </c>
      <c r="Z761" s="2">
        <v>25</v>
      </c>
      <c r="AA761" s="3" t="s">
        <v>40</v>
      </c>
      <c r="AB761" s="2">
        <v>4</v>
      </c>
      <c r="AF761" s="2">
        <v>30.5</v>
      </c>
      <c r="AG761" s="2">
        <v>2</v>
      </c>
      <c r="AH761" s="3" t="s">
        <v>383</v>
      </c>
      <c r="AI761" s="4">
        <v>44740</v>
      </c>
      <c r="AJ761" s="3" t="s">
        <v>826</v>
      </c>
      <c r="AK761" s="3" t="s">
        <v>38</v>
      </c>
    </row>
    <row r="762" spans="1:37" hidden="1" x14ac:dyDescent="0.25">
      <c r="A762" t="str">
        <f t="shared" si="11"/>
        <v>2022_Vic_Kalkee_Lentil_DetailedTOS2VarietyJumbo2WaterTrtRainFed</v>
      </c>
      <c r="B762" s="2">
        <v>2022005</v>
      </c>
      <c r="C762" s="3" t="s">
        <v>776</v>
      </c>
      <c r="D762" s="3" t="s">
        <v>38</v>
      </c>
      <c r="F762" s="3" t="s">
        <v>4176</v>
      </c>
      <c r="G762" s="3" t="s">
        <v>43</v>
      </c>
      <c r="H762" s="3" t="s">
        <v>253</v>
      </c>
      <c r="I762" s="2">
        <v>51</v>
      </c>
      <c r="J762" s="2">
        <v>26</v>
      </c>
      <c r="K762" s="2">
        <v>2</v>
      </c>
      <c r="O762" s="2">
        <v>4</v>
      </c>
      <c r="P762" s="2">
        <v>7</v>
      </c>
      <c r="U762" s="2">
        <v>2</v>
      </c>
      <c r="V762" s="2">
        <v>20</v>
      </c>
      <c r="W762" s="2">
        <v>2</v>
      </c>
      <c r="X762" s="2">
        <v>13</v>
      </c>
      <c r="AA762" s="3" t="s">
        <v>40</v>
      </c>
      <c r="AB762" s="2">
        <v>3</v>
      </c>
      <c r="AF762" s="2">
        <v>30.5</v>
      </c>
      <c r="AG762" s="2">
        <v>2</v>
      </c>
      <c r="AH762" s="3" t="s">
        <v>383</v>
      </c>
      <c r="AI762" s="4">
        <v>44740</v>
      </c>
      <c r="AJ762" s="3" t="s">
        <v>827</v>
      </c>
      <c r="AK762" s="3" t="s">
        <v>38</v>
      </c>
    </row>
    <row r="763" spans="1:37" hidden="1" x14ac:dyDescent="0.25">
      <c r="A763" t="str">
        <f t="shared" si="11"/>
        <v>2022_Vic_Kalkee_Lentil_DetailedTOS2VarietyJumbo2WaterTrtRainFed</v>
      </c>
      <c r="B763" s="2">
        <v>2022005</v>
      </c>
      <c r="C763" s="3" t="s">
        <v>776</v>
      </c>
      <c r="D763" s="3" t="s">
        <v>38</v>
      </c>
      <c r="F763" s="3" t="s">
        <v>4176</v>
      </c>
      <c r="G763" s="3" t="s">
        <v>43</v>
      </c>
      <c r="H763" s="3" t="s">
        <v>250</v>
      </c>
      <c r="I763" s="2">
        <v>52</v>
      </c>
      <c r="J763" s="2">
        <v>26</v>
      </c>
      <c r="K763" s="2">
        <v>2</v>
      </c>
      <c r="O763" s="2">
        <v>4</v>
      </c>
      <c r="P763" s="2">
        <v>7</v>
      </c>
      <c r="U763" s="2">
        <v>2</v>
      </c>
      <c r="V763" s="2">
        <v>21</v>
      </c>
      <c r="W763" s="2">
        <v>2</v>
      </c>
      <c r="X763" s="2">
        <v>14</v>
      </c>
      <c r="Z763" s="2">
        <v>26</v>
      </c>
      <c r="AA763" s="3" t="s">
        <v>40</v>
      </c>
      <c r="AB763" s="2">
        <v>3</v>
      </c>
      <c r="AF763" s="2">
        <v>30.5</v>
      </c>
      <c r="AG763" s="2">
        <v>2</v>
      </c>
      <c r="AH763" s="3" t="s">
        <v>383</v>
      </c>
      <c r="AI763" s="4">
        <v>44740</v>
      </c>
      <c r="AJ763" s="3" t="s">
        <v>828</v>
      </c>
      <c r="AK763" s="3" t="s">
        <v>38</v>
      </c>
    </row>
    <row r="764" spans="1:37" hidden="1" x14ac:dyDescent="0.25">
      <c r="A764" t="str">
        <f t="shared" si="11"/>
        <v>2022_Vic_Kalkee_Lentil_DetailedTOS2VarietyHallmarkXTWaterTrtRainFed</v>
      </c>
      <c r="B764" s="2">
        <v>2022005</v>
      </c>
      <c r="C764" s="3" t="s">
        <v>776</v>
      </c>
      <c r="D764" s="3" t="s">
        <v>38</v>
      </c>
      <c r="F764" s="3" t="s">
        <v>4189</v>
      </c>
      <c r="G764" s="3" t="s">
        <v>39</v>
      </c>
      <c r="H764" s="3" t="s">
        <v>253</v>
      </c>
      <c r="I764" s="2">
        <v>53</v>
      </c>
      <c r="J764" s="2">
        <v>27</v>
      </c>
      <c r="K764" s="2">
        <v>2</v>
      </c>
      <c r="O764" s="2">
        <v>4</v>
      </c>
      <c r="P764" s="2">
        <v>7</v>
      </c>
      <c r="U764" s="2">
        <v>3</v>
      </c>
      <c r="V764" s="2">
        <v>20</v>
      </c>
      <c r="W764" s="2">
        <v>3</v>
      </c>
      <c r="X764" s="2">
        <v>13</v>
      </c>
      <c r="AA764" s="3" t="s">
        <v>40</v>
      </c>
      <c r="AB764" s="2">
        <v>2</v>
      </c>
      <c r="AF764" s="2">
        <v>30.5</v>
      </c>
      <c r="AG764" s="2">
        <v>2</v>
      </c>
      <c r="AH764" s="3" t="s">
        <v>383</v>
      </c>
      <c r="AI764" s="4">
        <v>44740</v>
      </c>
      <c r="AJ764" s="3" t="s">
        <v>829</v>
      </c>
      <c r="AK764" s="3" t="s">
        <v>38</v>
      </c>
    </row>
    <row r="765" spans="1:37" hidden="1" x14ac:dyDescent="0.25">
      <c r="A765" t="str">
        <f t="shared" si="11"/>
        <v>2022_Vic_Kalkee_Lentil_DetailedTOS2VarietyHallmarkXTWaterTrtRainFed</v>
      </c>
      <c r="B765" s="2">
        <v>2022005</v>
      </c>
      <c r="C765" s="3" t="s">
        <v>776</v>
      </c>
      <c r="D765" s="3" t="s">
        <v>38</v>
      </c>
      <c r="F765" s="3" t="s">
        <v>4189</v>
      </c>
      <c r="G765" s="3" t="s">
        <v>39</v>
      </c>
      <c r="H765" s="3" t="s">
        <v>250</v>
      </c>
      <c r="I765" s="2">
        <v>54</v>
      </c>
      <c r="J765" s="2">
        <v>27</v>
      </c>
      <c r="K765" s="2">
        <v>2</v>
      </c>
      <c r="O765" s="2">
        <v>4</v>
      </c>
      <c r="P765" s="2">
        <v>7</v>
      </c>
      <c r="U765" s="2">
        <v>3</v>
      </c>
      <c r="V765" s="2">
        <v>21</v>
      </c>
      <c r="W765" s="2">
        <v>3</v>
      </c>
      <c r="X765" s="2">
        <v>14</v>
      </c>
      <c r="Z765" s="2">
        <v>27</v>
      </c>
      <c r="AA765" s="3" t="s">
        <v>40</v>
      </c>
      <c r="AB765" s="2">
        <v>2</v>
      </c>
      <c r="AF765" s="2">
        <v>30.5</v>
      </c>
      <c r="AG765" s="2">
        <v>2</v>
      </c>
      <c r="AH765" s="3" t="s">
        <v>383</v>
      </c>
      <c r="AI765" s="4">
        <v>44740</v>
      </c>
      <c r="AJ765" s="3" t="s">
        <v>830</v>
      </c>
      <c r="AK765" s="3" t="s">
        <v>38</v>
      </c>
    </row>
    <row r="766" spans="1:37" hidden="1" x14ac:dyDescent="0.25">
      <c r="A766" t="str">
        <f t="shared" si="11"/>
        <v>2022_Vic_Kalkee_Lentil_DetailedTOS2VarietyBoltWaterTrtRainFed</v>
      </c>
      <c r="B766" s="2">
        <v>2022005</v>
      </c>
      <c r="C766" s="3" t="s">
        <v>776</v>
      </c>
      <c r="D766" s="3" t="s">
        <v>38</v>
      </c>
      <c r="F766" s="3" t="s">
        <v>4187</v>
      </c>
      <c r="G766" s="3" t="s">
        <v>39</v>
      </c>
      <c r="H766" s="3" t="s">
        <v>253</v>
      </c>
      <c r="I766" s="2">
        <v>55</v>
      </c>
      <c r="J766" s="2">
        <v>28</v>
      </c>
      <c r="K766" s="2">
        <v>2</v>
      </c>
      <c r="O766" s="2">
        <v>4</v>
      </c>
      <c r="P766" s="2">
        <v>7</v>
      </c>
      <c r="U766" s="2">
        <v>4</v>
      </c>
      <c r="V766" s="2">
        <v>20</v>
      </c>
      <c r="W766" s="2">
        <v>4</v>
      </c>
      <c r="X766" s="2">
        <v>13</v>
      </c>
      <c r="AA766" s="3" t="s">
        <v>40</v>
      </c>
      <c r="AB766" s="2">
        <v>1</v>
      </c>
      <c r="AF766" s="2">
        <v>30.5</v>
      </c>
      <c r="AG766" s="2">
        <v>2</v>
      </c>
      <c r="AH766" s="3" t="s">
        <v>383</v>
      </c>
      <c r="AI766" s="4">
        <v>44740</v>
      </c>
      <c r="AJ766" s="3" t="s">
        <v>831</v>
      </c>
      <c r="AK766" s="3" t="s">
        <v>38</v>
      </c>
    </row>
    <row r="767" spans="1:37" hidden="1" x14ac:dyDescent="0.25">
      <c r="A767" t="str">
        <f t="shared" si="11"/>
        <v>2022_Vic_Kalkee_Lentil_DetailedTOS2VarietyBoltWaterTrtRainFed</v>
      </c>
      <c r="B767" s="2">
        <v>2022005</v>
      </c>
      <c r="C767" s="3" t="s">
        <v>776</v>
      </c>
      <c r="D767" s="3" t="s">
        <v>38</v>
      </c>
      <c r="F767" s="3" t="s">
        <v>4187</v>
      </c>
      <c r="G767" s="3" t="s">
        <v>39</v>
      </c>
      <c r="H767" s="3" t="s">
        <v>250</v>
      </c>
      <c r="I767" s="2">
        <v>56</v>
      </c>
      <c r="J767" s="2">
        <v>28</v>
      </c>
      <c r="K767" s="2">
        <v>2</v>
      </c>
      <c r="O767" s="2">
        <v>4</v>
      </c>
      <c r="P767" s="2">
        <v>7</v>
      </c>
      <c r="U767" s="2">
        <v>4</v>
      </c>
      <c r="V767" s="2">
        <v>21</v>
      </c>
      <c r="W767" s="2">
        <v>4</v>
      </c>
      <c r="X767" s="2">
        <v>14</v>
      </c>
      <c r="Z767" s="2">
        <v>28</v>
      </c>
      <c r="AA767" s="3" t="s">
        <v>40</v>
      </c>
      <c r="AB767" s="2">
        <v>1</v>
      </c>
      <c r="AF767" s="2">
        <v>30.5</v>
      </c>
      <c r="AG767" s="2">
        <v>2</v>
      </c>
      <c r="AH767" s="3" t="s">
        <v>383</v>
      </c>
      <c r="AI767" s="4">
        <v>44740</v>
      </c>
      <c r="AJ767" s="3" t="s">
        <v>832</v>
      </c>
      <c r="AK767" s="3" t="s">
        <v>38</v>
      </c>
    </row>
    <row r="768" spans="1:37" hidden="1" x14ac:dyDescent="0.25">
      <c r="A768" t="str">
        <f t="shared" si="11"/>
        <v>2022_Vic_Kalkee_Lentil_DetailedTOS2VarietyHallmarkXTWaterTrtIrrigated</v>
      </c>
      <c r="B768" s="2">
        <v>2022005</v>
      </c>
      <c r="C768" s="3" t="s">
        <v>776</v>
      </c>
      <c r="D768" s="3" t="s">
        <v>38</v>
      </c>
      <c r="F768" s="3" t="s">
        <v>4189</v>
      </c>
      <c r="G768" s="3" t="s">
        <v>39</v>
      </c>
      <c r="H768" s="3" t="s">
        <v>253</v>
      </c>
      <c r="I768" s="2">
        <v>57</v>
      </c>
      <c r="J768" s="2">
        <v>29</v>
      </c>
      <c r="K768" s="2">
        <v>2</v>
      </c>
      <c r="O768" s="2">
        <v>4</v>
      </c>
      <c r="P768" s="2">
        <v>8</v>
      </c>
      <c r="U768" s="2">
        <v>1</v>
      </c>
      <c r="V768" s="2">
        <v>23</v>
      </c>
      <c r="W768" s="2">
        <v>1</v>
      </c>
      <c r="X768" s="2">
        <v>15</v>
      </c>
      <c r="AA768" s="3" t="s">
        <v>57</v>
      </c>
      <c r="AB768" s="2">
        <v>2</v>
      </c>
      <c r="AF768" s="2">
        <v>30.5</v>
      </c>
      <c r="AG768" s="2">
        <v>2</v>
      </c>
      <c r="AH768" s="3" t="s">
        <v>383</v>
      </c>
      <c r="AI768" s="4">
        <v>44740</v>
      </c>
      <c r="AJ768" s="3" t="s">
        <v>833</v>
      </c>
      <c r="AK768" s="3" t="s">
        <v>38</v>
      </c>
    </row>
    <row r="769" spans="1:37" hidden="1" x14ac:dyDescent="0.25">
      <c r="A769" t="str">
        <f t="shared" si="11"/>
        <v>2022_Vic_Kalkee_Lentil_DetailedTOS2VarietyHallmarkXTWaterTrtIrrigated</v>
      </c>
      <c r="B769" s="2">
        <v>2022005</v>
      </c>
      <c r="C769" s="3" t="s">
        <v>776</v>
      </c>
      <c r="D769" s="3" t="s">
        <v>38</v>
      </c>
      <c r="F769" s="3" t="s">
        <v>4189</v>
      </c>
      <c r="G769" s="3" t="s">
        <v>39</v>
      </c>
      <c r="H769" s="3" t="s">
        <v>250</v>
      </c>
      <c r="I769" s="2">
        <v>58</v>
      </c>
      <c r="J769" s="2">
        <v>29</v>
      </c>
      <c r="K769" s="2">
        <v>2</v>
      </c>
      <c r="O769" s="2">
        <v>4</v>
      </c>
      <c r="P769" s="2">
        <v>8</v>
      </c>
      <c r="U769" s="2">
        <v>1</v>
      </c>
      <c r="V769" s="2">
        <v>24</v>
      </c>
      <c r="W769" s="2">
        <v>1</v>
      </c>
      <c r="X769" s="2">
        <v>16</v>
      </c>
      <c r="Z769" s="2">
        <v>32</v>
      </c>
      <c r="AA769" s="3" t="s">
        <v>57</v>
      </c>
      <c r="AB769" s="2">
        <v>2</v>
      </c>
      <c r="AF769" s="2">
        <v>30.5</v>
      </c>
      <c r="AG769" s="2">
        <v>2</v>
      </c>
      <c r="AH769" s="3" t="s">
        <v>383</v>
      </c>
      <c r="AI769" s="4">
        <v>44740</v>
      </c>
      <c r="AJ769" s="3" t="s">
        <v>834</v>
      </c>
      <c r="AK769" s="3" t="s">
        <v>38</v>
      </c>
    </row>
    <row r="770" spans="1:37" hidden="1" x14ac:dyDescent="0.25">
      <c r="A770" t="str">
        <f t="shared" si="11"/>
        <v>2022_Vic_Kalkee_Lentil_DetailedTOS2VarietyBoltWaterTrtIrrigated</v>
      </c>
      <c r="B770" s="2">
        <v>2022005</v>
      </c>
      <c r="C770" s="3" t="s">
        <v>776</v>
      </c>
      <c r="D770" s="3" t="s">
        <v>38</v>
      </c>
      <c r="F770" s="3" t="s">
        <v>4187</v>
      </c>
      <c r="G770" s="3" t="s">
        <v>39</v>
      </c>
      <c r="H770" s="3" t="s">
        <v>253</v>
      </c>
      <c r="I770" s="2">
        <v>59</v>
      </c>
      <c r="J770" s="2">
        <v>30</v>
      </c>
      <c r="K770" s="2">
        <v>2</v>
      </c>
      <c r="O770" s="2">
        <v>4</v>
      </c>
      <c r="P770" s="2">
        <v>8</v>
      </c>
      <c r="U770" s="2">
        <v>2</v>
      </c>
      <c r="V770" s="2">
        <v>23</v>
      </c>
      <c r="W770" s="2">
        <v>2</v>
      </c>
      <c r="X770" s="2">
        <v>15</v>
      </c>
      <c r="AA770" s="3" t="s">
        <v>57</v>
      </c>
      <c r="AB770" s="2">
        <v>1</v>
      </c>
      <c r="AF770" s="2">
        <v>30.5</v>
      </c>
      <c r="AG770" s="2">
        <v>2</v>
      </c>
      <c r="AH770" s="3" t="s">
        <v>383</v>
      </c>
      <c r="AI770" s="4">
        <v>44740</v>
      </c>
      <c r="AJ770" s="3" t="s">
        <v>835</v>
      </c>
      <c r="AK770" s="3" t="s">
        <v>38</v>
      </c>
    </row>
    <row r="771" spans="1:37" hidden="1" x14ac:dyDescent="0.25">
      <c r="A771" t="str">
        <f t="shared" ref="A771:A834" si="12">C771&amp;"TOS"&amp;AG771&amp;"Variety"&amp;F771&amp;"WaterTrt"&amp;AA771&amp;IF(AC771="","","Agronomy"&amp;AC771)</f>
        <v>2022_Vic_Kalkee_Lentil_DetailedTOS2VarietyBoltWaterTrtIrrigated</v>
      </c>
      <c r="B771" s="2">
        <v>2022005</v>
      </c>
      <c r="C771" s="3" t="s">
        <v>776</v>
      </c>
      <c r="D771" s="3" t="s">
        <v>38</v>
      </c>
      <c r="F771" s="3" t="s">
        <v>4187</v>
      </c>
      <c r="G771" s="3" t="s">
        <v>39</v>
      </c>
      <c r="H771" s="3" t="s">
        <v>250</v>
      </c>
      <c r="I771" s="2">
        <v>60</v>
      </c>
      <c r="J771" s="2">
        <v>30</v>
      </c>
      <c r="K771" s="2">
        <v>2</v>
      </c>
      <c r="O771" s="2">
        <v>4</v>
      </c>
      <c r="P771" s="2">
        <v>8</v>
      </c>
      <c r="U771" s="2">
        <v>2</v>
      </c>
      <c r="V771" s="2">
        <v>24</v>
      </c>
      <c r="W771" s="2">
        <v>2</v>
      </c>
      <c r="X771" s="2">
        <v>16</v>
      </c>
      <c r="Z771" s="2">
        <v>31</v>
      </c>
      <c r="AA771" s="3" t="s">
        <v>57</v>
      </c>
      <c r="AB771" s="2">
        <v>1</v>
      </c>
      <c r="AF771" s="2">
        <v>30.5</v>
      </c>
      <c r="AG771" s="2">
        <v>2</v>
      </c>
      <c r="AH771" s="3" t="s">
        <v>383</v>
      </c>
      <c r="AI771" s="4">
        <v>44740</v>
      </c>
      <c r="AJ771" s="3" t="s">
        <v>836</v>
      </c>
      <c r="AK771" s="3" t="s">
        <v>38</v>
      </c>
    </row>
    <row r="772" spans="1:37" hidden="1" x14ac:dyDescent="0.25">
      <c r="A772" t="str">
        <f t="shared" si="12"/>
        <v>2022_Vic_Kalkee_Lentil_DetailedTOS2VarietyKelpieXTWaterTrtIrrigated</v>
      </c>
      <c r="B772" s="2">
        <v>2022005</v>
      </c>
      <c r="C772" s="3" t="s">
        <v>776</v>
      </c>
      <c r="D772" s="3" t="s">
        <v>38</v>
      </c>
      <c r="F772" s="3" t="s">
        <v>4188</v>
      </c>
      <c r="G772" s="3" t="s">
        <v>43</v>
      </c>
      <c r="H772" s="3" t="s">
        <v>253</v>
      </c>
      <c r="I772" s="2">
        <v>61</v>
      </c>
      <c r="J772" s="2">
        <v>31</v>
      </c>
      <c r="K772" s="2">
        <v>2</v>
      </c>
      <c r="O772" s="2">
        <v>4</v>
      </c>
      <c r="P772" s="2">
        <v>8</v>
      </c>
      <c r="U772" s="2">
        <v>3</v>
      </c>
      <c r="V772" s="2">
        <v>23</v>
      </c>
      <c r="W772" s="2">
        <v>3</v>
      </c>
      <c r="X772" s="2">
        <v>15</v>
      </c>
      <c r="AA772" s="3" t="s">
        <v>57</v>
      </c>
      <c r="AB772" s="2">
        <v>4</v>
      </c>
      <c r="AF772" s="2">
        <v>30.5</v>
      </c>
      <c r="AG772" s="2">
        <v>2</v>
      </c>
      <c r="AH772" s="3" t="s">
        <v>383</v>
      </c>
      <c r="AI772" s="4">
        <v>44740</v>
      </c>
      <c r="AJ772" s="3" t="s">
        <v>837</v>
      </c>
      <c r="AK772" s="3" t="s">
        <v>38</v>
      </c>
    </row>
    <row r="773" spans="1:37" hidden="1" x14ac:dyDescent="0.25">
      <c r="A773" t="str">
        <f t="shared" si="12"/>
        <v>2022_Vic_Kalkee_Lentil_DetailedTOS2VarietyKelpieXTWaterTrtIrrigated</v>
      </c>
      <c r="B773" s="2">
        <v>2022005</v>
      </c>
      <c r="C773" s="3" t="s">
        <v>776</v>
      </c>
      <c r="D773" s="3" t="s">
        <v>38</v>
      </c>
      <c r="F773" s="3" t="s">
        <v>4188</v>
      </c>
      <c r="G773" s="3" t="s">
        <v>43</v>
      </c>
      <c r="H773" s="3" t="s">
        <v>250</v>
      </c>
      <c r="I773" s="2">
        <v>62</v>
      </c>
      <c r="J773" s="2">
        <v>31</v>
      </c>
      <c r="K773" s="2">
        <v>2</v>
      </c>
      <c r="O773" s="2">
        <v>4</v>
      </c>
      <c r="P773" s="2">
        <v>8</v>
      </c>
      <c r="U773" s="2">
        <v>3</v>
      </c>
      <c r="V773" s="2">
        <v>24</v>
      </c>
      <c r="W773" s="2">
        <v>3</v>
      </c>
      <c r="X773" s="2">
        <v>16</v>
      </c>
      <c r="Z773" s="2">
        <v>30</v>
      </c>
      <c r="AA773" s="3" t="s">
        <v>57</v>
      </c>
      <c r="AB773" s="2">
        <v>4</v>
      </c>
      <c r="AF773" s="2">
        <v>30.5</v>
      </c>
      <c r="AG773" s="2">
        <v>2</v>
      </c>
      <c r="AH773" s="3" t="s">
        <v>383</v>
      </c>
      <c r="AI773" s="4">
        <v>44740</v>
      </c>
      <c r="AJ773" s="3" t="s">
        <v>838</v>
      </c>
      <c r="AK773" s="3" t="s">
        <v>38</v>
      </c>
    </row>
    <row r="774" spans="1:37" hidden="1" x14ac:dyDescent="0.25">
      <c r="A774" t="str">
        <f t="shared" si="12"/>
        <v>2022_Vic_Kalkee_Lentil_DetailedTOS2VarietyJumbo2WaterTrtIrrigated</v>
      </c>
      <c r="B774" s="2">
        <v>2022005</v>
      </c>
      <c r="C774" s="3" t="s">
        <v>776</v>
      </c>
      <c r="D774" s="3" t="s">
        <v>38</v>
      </c>
      <c r="F774" s="3" t="s">
        <v>4176</v>
      </c>
      <c r="G774" s="3" t="s">
        <v>43</v>
      </c>
      <c r="H774" s="3" t="s">
        <v>253</v>
      </c>
      <c r="I774" s="2">
        <v>63</v>
      </c>
      <c r="J774" s="2">
        <v>32</v>
      </c>
      <c r="K774" s="2">
        <v>2</v>
      </c>
      <c r="O774" s="2">
        <v>4</v>
      </c>
      <c r="P774" s="2">
        <v>8</v>
      </c>
      <c r="U774" s="2">
        <v>4</v>
      </c>
      <c r="V774" s="2">
        <v>23</v>
      </c>
      <c r="W774" s="2">
        <v>4</v>
      </c>
      <c r="X774" s="2">
        <v>15</v>
      </c>
      <c r="AA774" s="3" t="s">
        <v>57</v>
      </c>
      <c r="AB774" s="2">
        <v>3</v>
      </c>
      <c r="AF774" s="2">
        <v>30.5</v>
      </c>
      <c r="AG774" s="2">
        <v>2</v>
      </c>
      <c r="AH774" s="3" t="s">
        <v>383</v>
      </c>
      <c r="AI774" s="4">
        <v>44740</v>
      </c>
      <c r="AJ774" s="3" t="s">
        <v>839</v>
      </c>
      <c r="AK774" s="3" t="s">
        <v>38</v>
      </c>
    </row>
    <row r="775" spans="1:37" hidden="1" x14ac:dyDescent="0.25">
      <c r="A775" t="str">
        <f t="shared" si="12"/>
        <v>2022_Vic_Kalkee_Lentil_DetailedTOS2VarietyJumbo2WaterTrtIrrigated</v>
      </c>
      <c r="B775" s="2">
        <v>2022005</v>
      </c>
      <c r="C775" s="3" t="s">
        <v>776</v>
      </c>
      <c r="D775" s="3" t="s">
        <v>38</v>
      </c>
      <c r="F775" s="3" t="s">
        <v>4176</v>
      </c>
      <c r="G775" s="3" t="s">
        <v>43</v>
      </c>
      <c r="H775" s="3" t="s">
        <v>250</v>
      </c>
      <c r="I775" s="2">
        <v>64</v>
      </c>
      <c r="J775" s="2">
        <v>32</v>
      </c>
      <c r="K775" s="2">
        <v>2</v>
      </c>
      <c r="O775" s="2">
        <v>4</v>
      </c>
      <c r="P775" s="2">
        <v>8</v>
      </c>
      <c r="U775" s="2">
        <v>4</v>
      </c>
      <c r="V775" s="2">
        <v>24</v>
      </c>
      <c r="W775" s="2">
        <v>4</v>
      </c>
      <c r="X775" s="2">
        <v>16</v>
      </c>
      <c r="Z775" s="2">
        <v>29</v>
      </c>
      <c r="AA775" s="3" t="s">
        <v>57</v>
      </c>
      <c r="AB775" s="2">
        <v>3</v>
      </c>
      <c r="AF775" s="2">
        <v>30.5</v>
      </c>
      <c r="AG775" s="2">
        <v>2</v>
      </c>
      <c r="AH775" s="3" t="s">
        <v>383</v>
      </c>
      <c r="AI775" s="4">
        <v>44740</v>
      </c>
      <c r="AJ775" s="3" t="s">
        <v>840</v>
      </c>
      <c r="AK775" s="3" t="s">
        <v>38</v>
      </c>
    </row>
    <row r="776" spans="1:37" hidden="1" x14ac:dyDescent="0.25">
      <c r="A776" t="str">
        <f t="shared" si="12"/>
        <v>2022_Vic_Kalkee_Lentil_DetailedTOS1VarietyJumbo2WaterTrtRainFed</v>
      </c>
      <c r="B776" s="2">
        <v>2022005</v>
      </c>
      <c r="C776" s="3" t="s">
        <v>776</v>
      </c>
      <c r="D776" s="3" t="s">
        <v>38</v>
      </c>
      <c r="F776" s="3" t="s">
        <v>4176</v>
      </c>
      <c r="G776" s="3" t="s">
        <v>43</v>
      </c>
      <c r="H776" s="3" t="s">
        <v>253</v>
      </c>
      <c r="I776" s="2">
        <v>65</v>
      </c>
      <c r="J776" s="2">
        <v>33</v>
      </c>
      <c r="K776" s="2">
        <v>3</v>
      </c>
      <c r="O776" s="2">
        <v>5</v>
      </c>
      <c r="P776" s="2">
        <v>9</v>
      </c>
      <c r="U776" s="2">
        <v>1</v>
      </c>
      <c r="V776" s="2">
        <v>26</v>
      </c>
      <c r="W776" s="2">
        <v>1</v>
      </c>
      <c r="X776" s="2">
        <v>17</v>
      </c>
      <c r="AA776" s="3" t="s">
        <v>40</v>
      </c>
      <c r="AB776" s="2">
        <v>3</v>
      </c>
      <c r="AF776" s="2">
        <v>30.5</v>
      </c>
      <c r="AG776" s="2">
        <v>1</v>
      </c>
      <c r="AH776" s="3" t="s">
        <v>400</v>
      </c>
      <c r="AI776" s="4">
        <v>44704</v>
      </c>
      <c r="AJ776" s="3" t="s">
        <v>841</v>
      </c>
      <c r="AK776" s="3" t="s">
        <v>38</v>
      </c>
    </row>
    <row r="777" spans="1:37" hidden="1" x14ac:dyDescent="0.25">
      <c r="A777" t="str">
        <f t="shared" si="12"/>
        <v>2022_Vic_Kalkee_Lentil_DetailedTOS1VarietyJumbo2WaterTrtRainFed</v>
      </c>
      <c r="B777" s="2">
        <v>2022005</v>
      </c>
      <c r="C777" s="3" t="s">
        <v>776</v>
      </c>
      <c r="D777" s="3" t="s">
        <v>38</v>
      </c>
      <c r="F777" s="3" t="s">
        <v>4176</v>
      </c>
      <c r="G777" s="3" t="s">
        <v>43</v>
      </c>
      <c r="H777" s="3" t="s">
        <v>250</v>
      </c>
      <c r="I777" s="2">
        <v>66</v>
      </c>
      <c r="J777" s="2">
        <v>33</v>
      </c>
      <c r="K777" s="2">
        <v>3</v>
      </c>
      <c r="O777" s="2">
        <v>5</v>
      </c>
      <c r="P777" s="2">
        <v>9</v>
      </c>
      <c r="U777" s="2">
        <v>1</v>
      </c>
      <c r="V777" s="2">
        <v>27</v>
      </c>
      <c r="W777" s="2">
        <v>1</v>
      </c>
      <c r="X777" s="2">
        <v>18</v>
      </c>
      <c r="Z777" s="2">
        <v>33</v>
      </c>
      <c r="AA777" s="3" t="s">
        <v>40</v>
      </c>
      <c r="AB777" s="2">
        <v>3</v>
      </c>
      <c r="AF777" s="2">
        <v>30.5</v>
      </c>
      <c r="AG777" s="2">
        <v>1</v>
      </c>
      <c r="AH777" s="3" t="s">
        <v>400</v>
      </c>
      <c r="AI777" s="4">
        <v>44704</v>
      </c>
      <c r="AJ777" s="3" t="s">
        <v>842</v>
      </c>
      <c r="AK777" s="3" t="s">
        <v>38</v>
      </c>
    </row>
    <row r="778" spans="1:37" hidden="1" x14ac:dyDescent="0.25">
      <c r="A778" t="str">
        <f t="shared" si="12"/>
        <v>2022_Vic_Kalkee_Lentil_DetailedTOS1VarietyKelpieXTWaterTrtRainFed</v>
      </c>
      <c r="B778" s="2">
        <v>2022005</v>
      </c>
      <c r="C778" s="3" t="s">
        <v>776</v>
      </c>
      <c r="D778" s="3" t="s">
        <v>38</v>
      </c>
      <c r="F778" s="3" t="s">
        <v>4188</v>
      </c>
      <c r="G778" s="3" t="s">
        <v>43</v>
      </c>
      <c r="H778" s="3" t="s">
        <v>253</v>
      </c>
      <c r="I778" s="2">
        <v>67</v>
      </c>
      <c r="J778" s="2">
        <v>34</v>
      </c>
      <c r="K778" s="2">
        <v>3</v>
      </c>
      <c r="O778" s="2">
        <v>5</v>
      </c>
      <c r="P778" s="2">
        <v>9</v>
      </c>
      <c r="U778" s="2">
        <v>2</v>
      </c>
      <c r="V778" s="2">
        <v>26</v>
      </c>
      <c r="W778" s="2">
        <v>2</v>
      </c>
      <c r="X778" s="2">
        <v>17</v>
      </c>
      <c r="AA778" s="3" t="s">
        <v>40</v>
      </c>
      <c r="AB778" s="2">
        <v>4</v>
      </c>
      <c r="AF778" s="2">
        <v>30.5</v>
      </c>
      <c r="AG778" s="2">
        <v>1</v>
      </c>
      <c r="AH778" s="3" t="s">
        <v>400</v>
      </c>
      <c r="AI778" s="4">
        <v>44704</v>
      </c>
      <c r="AJ778" s="3" t="s">
        <v>843</v>
      </c>
      <c r="AK778" s="3" t="s">
        <v>38</v>
      </c>
    </row>
    <row r="779" spans="1:37" hidden="1" x14ac:dyDescent="0.25">
      <c r="A779" t="str">
        <f t="shared" si="12"/>
        <v>2022_Vic_Kalkee_Lentil_DetailedTOS1VarietyKelpieXTWaterTrtRainFed</v>
      </c>
      <c r="B779" s="2">
        <v>2022005</v>
      </c>
      <c r="C779" s="3" t="s">
        <v>776</v>
      </c>
      <c r="D779" s="3" t="s">
        <v>38</v>
      </c>
      <c r="F779" s="3" t="s">
        <v>4188</v>
      </c>
      <c r="G779" s="3" t="s">
        <v>43</v>
      </c>
      <c r="H779" s="3" t="s">
        <v>250</v>
      </c>
      <c r="I779" s="2">
        <v>68</v>
      </c>
      <c r="J779" s="2">
        <v>34</v>
      </c>
      <c r="K779" s="2">
        <v>3</v>
      </c>
      <c r="O779" s="2">
        <v>5</v>
      </c>
      <c r="P779" s="2">
        <v>9</v>
      </c>
      <c r="U779" s="2">
        <v>2</v>
      </c>
      <c r="V779" s="2">
        <v>27</v>
      </c>
      <c r="W779" s="2">
        <v>2</v>
      </c>
      <c r="X779" s="2">
        <v>18</v>
      </c>
      <c r="Z779" s="2">
        <v>34</v>
      </c>
      <c r="AA779" s="3" t="s">
        <v>40</v>
      </c>
      <c r="AB779" s="2">
        <v>4</v>
      </c>
      <c r="AF779" s="2">
        <v>30.5</v>
      </c>
      <c r="AG779" s="2">
        <v>1</v>
      </c>
      <c r="AH779" s="3" t="s">
        <v>400</v>
      </c>
      <c r="AI779" s="4">
        <v>44704</v>
      </c>
      <c r="AJ779" s="3" t="s">
        <v>844</v>
      </c>
      <c r="AK779" s="3" t="s">
        <v>38</v>
      </c>
    </row>
    <row r="780" spans="1:37" hidden="1" x14ac:dyDescent="0.25">
      <c r="A780" t="str">
        <f t="shared" si="12"/>
        <v>2022_Vic_Kalkee_Lentil_DetailedTOS1VarietyBoltWaterTrtRainFed</v>
      </c>
      <c r="B780" s="2">
        <v>2022005</v>
      </c>
      <c r="C780" s="3" t="s">
        <v>776</v>
      </c>
      <c r="D780" s="3" t="s">
        <v>38</v>
      </c>
      <c r="F780" s="3" t="s">
        <v>4187</v>
      </c>
      <c r="G780" s="3" t="s">
        <v>39</v>
      </c>
      <c r="H780" s="3" t="s">
        <v>253</v>
      </c>
      <c r="I780" s="2">
        <v>69</v>
      </c>
      <c r="J780" s="2">
        <v>35</v>
      </c>
      <c r="K780" s="2">
        <v>3</v>
      </c>
      <c r="O780" s="2">
        <v>5</v>
      </c>
      <c r="P780" s="2">
        <v>9</v>
      </c>
      <c r="U780" s="2">
        <v>3</v>
      </c>
      <c r="V780" s="2">
        <v>26</v>
      </c>
      <c r="W780" s="2">
        <v>3</v>
      </c>
      <c r="X780" s="2">
        <v>17</v>
      </c>
      <c r="AA780" s="3" t="s">
        <v>40</v>
      </c>
      <c r="AB780" s="2">
        <v>1</v>
      </c>
      <c r="AF780" s="2">
        <v>30.5</v>
      </c>
      <c r="AG780" s="2">
        <v>1</v>
      </c>
      <c r="AH780" s="3" t="s">
        <v>400</v>
      </c>
      <c r="AI780" s="4">
        <v>44704</v>
      </c>
      <c r="AJ780" s="3" t="s">
        <v>845</v>
      </c>
      <c r="AK780" s="3" t="s">
        <v>38</v>
      </c>
    </row>
    <row r="781" spans="1:37" hidden="1" x14ac:dyDescent="0.25">
      <c r="A781" t="str">
        <f t="shared" si="12"/>
        <v>2022_Vic_Kalkee_Lentil_DetailedTOS1VarietyBoltWaterTrtRainFed</v>
      </c>
      <c r="B781" s="2">
        <v>2022005</v>
      </c>
      <c r="C781" s="3" t="s">
        <v>776</v>
      </c>
      <c r="D781" s="3" t="s">
        <v>38</v>
      </c>
      <c r="F781" s="3" t="s">
        <v>4187</v>
      </c>
      <c r="G781" s="3" t="s">
        <v>39</v>
      </c>
      <c r="H781" s="3" t="s">
        <v>250</v>
      </c>
      <c r="I781" s="2">
        <v>70</v>
      </c>
      <c r="J781" s="2">
        <v>35</v>
      </c>
      <c r="K781" s="2">
        <v>3</v>
      </c>
      <c r="O781" s="2">
        <v>5</v>
      </c>
      <c r="P781" s="2">
        <v>9</v>
      </c>
      <c r="U781" s="2">
        <v>3</v>
      </c>
      <c r="V781" s="2">
        <v>27</v>
      </c>
      <c r="W781" s="2">
        <v>3</v>
      </c>
      <c r="X781" s="2">
        <v>18</v>
      </c>
      <c r="Z781" s="2">
        <v>35</v>
      </c>
      <c r="AA781" s="3" t="s">
        <v>40</v>
      </c>
      <c r="AB781" s="2">
        <v>1</v>
      </c>
      <c r="AF781" s="2">
        <v>30.5</v>
      </c>
      <c r="AG781" s="2">
        <v>1</v>
      </c>
      <c r="AH781" s="3" t="s">
        <v>400</v>
      </c>
      <c r="AI781" s="4">
        <v>44704</v>
      </c>
      <c r="AJ781" s="3" t="s">
        <v>846</v>
      </c>
      <c r="AK781" s="3" t="s">
        <v>38</v>
      </c>
    </row>
    <row r="782" spans="1:37" hidden="1" x14ac:dyDescent="0.25">
      <c r="A782" t="str">
        <f t="shared" si="12"/>
        <v>2022_Vic_Kalkee_Lentil_DetailedTOS1VarietyHallmarkXTWaterTrtRainFed</v>
      </c>
      <c r="B782" s="2">
        <v>2022005</v>
      </c>
      <c r="C782" s="3" t="s">
        <v>776</v>
      </c>
      <c r="D782" s="3" t="s">
        <v>38</v>
      </c>
      <c r="F782" s="3" t="s">
        <v>4189</v>
      </c>
      <c r="G782" s="3" t="s">
        <v>39</v>
      </c>
      <c r="H782" s="3" t="s">
        <v>253</v>
      </c>
      <c r="I782" s="2">
        <v>71</v>
      </c>
      <c r="J782" s="2">
        <v>36</v>
      </c>
      <c r="K782" s="2">
        <v>3</v>
      </c>
      <c r="O782" s="2">
        <v>5</v>
      </c>
      <c r="P782" s="2">
        <v>9</v>
      </c>
      <c r="U782" s="2">
        <v>4</v>
      </c>
      <c r="V782" s="2">
        <v>26</v>
      </c>
      <c r="W782" s="2">
        <v>4</v>
      </c>
      <c r="X782" s="2">
        <v>17</v>
      </c>
      <c r="AA782" s="3" t="s">
        <v>40</v>
      </c>
      <c r="AB782" s="2">
        <v>2</v>
      </c>
      <c r="AF782" s="2">
        <v>30.5</v>
      </c>
      <c r="AG782" s="2">
        <v>1</v>
      </c>
      <c r="AH782" s="3" t="s">
        <v>400</v>
      </c>
      <c r="AI782" s="4">
        <v>44704</v>
      </c>
      <c r="AJ782" s="3" t="s">
        <v>847</v>
      </c>
      <c r="AK782" s="3" t="s">
        <v>38</v>
      </c>
    </row>
    <row r="783" spans="1:37" hidden="1" x14ac:dyDescent="0.25">
      <c r="A783" t="str">
        <f t="shared" si="12"/>
        <v>2022_Vic_Kalkee_Lentil_DetailedTOS1VarietyHallmarkXTWaterTrtRainFed</v>
      </c>
      <c r="B783" s="2">
        <v>2022005</v>
      </c>
      <c r="C783" s="3" t="s">
        <v>776</v>
      </c>
      <c r="D783" s="3" t="s">
        <v>38</v>
      </c>
      <c r="F783" s="3" t="s">
        <v>4189</v>
      </c>
      <c r="G783" s="3" t="s">
        <v>39</v>
      </c>
      <c r="H783" s="3" t="s">
        <v>250</v>
      </c>
      <c r="I783" s="2">
        <v>72</v>
      </c>
      <c r="J783" s="2">
        <v>36</v>
      </c>
      <c r="K783" s="2">
        <v>3</v>
      </c>
      <c r="O783" s="2">
        <v>5</v>
      </c>
      <c r="P783" s="2">
        <v>9</v>
      </c>
      <c r="U783" s="2">
        <v>4</v>
      </c>
      <c r="V783" s="2">
        <v>27</v>
      </c>
      <c r="W783" s="2">
        <v>4</v>
      </c>
      <c r="X783" s="2">
        <v>18</v>
      </c>
      <c r="Z783" s="2">
        <v>36</v>
      </c>
      <c r="AA783" s="3" t="s">
        <v>40</v>
      </c>
      <c r="AB783" s="2">
        <v>2</v>
      </c>
      <c r="AF783" s="2">
        <v>30.5</v>
      </c>
      <c r="AG783" s="2">
        <v>1</v>
      </c>
      <c r="AH783" s="3" t="s">
        <v>400</v>
      </c>
      <c r="AI783" s="4">
        <v>44704</v>
      </c>
      <c r="AJ783" s="3" t="s">
        <v>848</v>
      </c>
      <c r="AK783" s="3" t="s">
        <v>38</v>
      </c>
    </row>
    <row r="784" spans="1:37" hidden="1" x14ac:dyDescent="0.25">
      <c r="A784" t="str">
        <f t="shared" si="12"/>
        <v>2022_Vic_Kalkee_Lentil_DetailedTOS1VarietyHallmarkXTWaterTrtIrrigated</v>
      </c>
      <c r="B784" s="2">
        <v>2022005</v>
      </c>
      <c r="C784" s="3" t="s">
        <v>776</v>
      </c>
      <c r="D784" s="3" t="s">
        <v>38</v>
      </c>
      <c r="F784" s="3" t="s">
        <v>4189</v>
      </c>
      <c r="G784" s="3" t="s">
        <v>39</v>
      </c>
      <c r="H784" s="3" t="s">
        <v>253</v>
      </c>
      <c r="I784" s="2">
        <v>73</v>
      </c>
      <c r="J784" s="2">
        <v>37</v>
      </c>
      <c r="K784" s="2">
        <v>3</v>
      </c>
      <c r="O784" s="2">
        <v>5</v>
      </c>
      <c r="P784" s="2">
        <v>10</v>
      </c>
      <c r="U784" s="2">
        <v>1</v>
      </c>
      <c r="V784" s="2">
        <v>29</v>
      </c>
      <c r="W784" s="2">
        <v>1</v>
      </c>
      <c r="X784" s="2">
        <v>19</v>
      </c>
      <c r="AA784" s="3" t="s">
        <v>57</v>
      </c>
      <c r="AB784" s="2">
        <v>2</v>
      </c>
      <c r="AF784" s="2">
        <v>30.5</v>
      </c>
      <c r="AG784" s="2">
        <v>1</v>
      </c>
      <c r="AH784" s="3" t="s">
        <v>400</v>
      </c>
      <c r="AI784" s="4">
        <v>44704</v>
      </c>
      <c r="AJ784" s="3" t="s">
        <v>849</v>
      </c>
      <c r="AK784" s="3" t="s">
        <v>38</v>
      </c>
    </row>
    <row r="785" spans="1:37" hidden="1" x14ac:dyDescent="0.25">
      <c r="A785" t="str">
        <f t="shared" si="12"/>
        <v>2022_Vic_Kalkee_Lentil_DetailedTOS1VarietyHallmarkXTWaterTrtIrrigated</v>
      </c>
      <c r="B785" s="2">
        <v>2022005</v>
      </c>
      <c r="C785" s="3" t="s">
        <v>776</v>
      </c>
      <c r="D785" s="3" t="s">
        <v>38</v>
      </c>
      <c r="F785" s="3" t="s">
        <v>4189</v>
      </c>
      <c r="G785" s="3" t="s">
        <v>39</v>
      </c>
      <c r="H785" s="3" t="s">
        <v>250</v>
      </c>
      <c r="I785" s="2">
        <v>74</v>
      </c>
      <c r="J785" s="2">
        <v>37</v>
      </c>
      <c r="K785" s="2">
        <v>3</v>
      </c>
      <c r="O785" s="2">
        <v>5</v>
      </c>
      <c r="P785" s="2">
        <v>10</v>
      </c>
      <c r="U785" s="2">
        <v>1</v>
      </c>
      <c r="V785" s="2">
        <v>30</v>
      </c>
      <c r="W785" s="2">
        <v>1</v>
      </c>
      <c r="X785" s="2">
        <v>20</v>
      </c>
      <c r="Z785" s="2">
        <v>40</v>
      </c>
      <c r="AA785" s="3" t="s">
        <v>57</v>
      </c>
      <c r="AB785" s="2">
        <v>2</v>
      </c>
      <c r="AF785" s="2">
        <v>30.5</v>
      </c>
      <c r="AG785" s="2">
        <v>1</v>
      </c>
      <c r="AH785" s="3" t="s">
        <v>400</v>
      </c>
      <c r="AI785" s="4">
        <v>44704</v>
      </c>
      <c r="AJ785" s="3" t="s">
        <v>850</v>
      </c>
      <c r="AK785" s="3" t="s">
        <v>38</v>
      </c>
    </row>
    <row r="786" spans="1:37" hidden="1" x14ac:dyDescent="0.25">
      <c r="A786" t="str">
        <f t="shared" si="12"/>
        <v>2022_Vic_Kalkee_Lentil_DetailedTOS1VarietyBoltWaterTrtIrrigated</v>
      </c>
      <c r="B786" s="2">
        <v>2022005</v>
      </c>
      <c r="C786" s="3" t="s">
        <v>776</v>
      </c>
      <c r="D786" s="3" t="s">
        <v>38</v>
      </c>
      <c r="F786" s="3" t="s">
        <v>4187</v>
      </c>
      <c r="G786" s="3" t="s">
        <v>39</v>
      </c>
      <c r="H786" s="3" t="s">
        <v>253</v>
      </c>
      <c r="I786" s="2">
        <v>75</v>
      </c>
      <c r="J786" s="2">
        <v>38</v>
      </c>
      <c r="K786" s="2">
        <v>3</v>
      </c>
      <c r="O786" s="2">
        <v>5</v>
      </c>
      <c r="P786" s="2">
        <v>10</v>
      </c>
      <c r="U786" s="2">
        <v>2</v>
      </c>
      <c r="V786" s="2">
        <v>29</v>
      </c>
      <c r="W786" s="2">
        <v>2</v>
      </c>
      <c r="X786" s="2">
        <v>19</v>
      </c>
      <c r="AA786" s="3" t="s">
        <v>57</v>
      </c>
      <c r="AB786" s="2">
        <v>1</v>
      </c>
      <c r="AF786" s="2">
        <v>30.5</v>
      </c>
      <c r="AG786" s="2">
        <v>1</v>
      </c>
      <c r="AH786" s="3" t="s">
        <v>400</v>
      </c>
      <c r="AI786" s="4">
        <v>44704</v>
      </c>
      <c r="AJ786" s="3" t="s">
        <v>851</v>
      </c>
      <c r="AK786" s="3" t="s">
        <v>38</v>
      </c>
    </row>
    <row r="787" spans="1:37" hidden="1" x14ac:dyDescent="0.25">
      <c r="A787" t="str">
        <f t="shared" si="12"/>
        <v>2022_Vic_Kalkee_Lentil_DetailedTOS1VarietyBoltWaterTrtIrrigated</v>
      </c>
      <c r="B787" s="2">
        <v>2022005</v>
      </c>
      <c r="C787" s="3" t="s">
        <v>776</v>
      </c>
      <c r="D787" s="3" t="s">
        <v>38</v>
      </c>
      <c r="F787" s="3" t="s">
        <v>4187</v>
      </c>
      <c r="G787" s="3" t="s">
        <v>39</v>
      </c>
      <c r="H787" s="3" t="s">
        <v>250</v>
      </c>
      <c r="I787" s="2">
        <v>76</v>
      </c>
      <c r="J787" s="2">
        <v>38</v>
      </c>
      <c r="K787" s="2">
        <v>3</v>
      </c>
      <c r="O787" s="2">
        <v>5</v>
      </c>
      <c r="P787" s="2">
        <v>10</v>
      </c>
      <c r="U787" s="2">
        <v>2</v>
      </c>
      <c r="V787" s="2">
        <v>30</v>
      </c>
      <c r="W787" s="2">
        <v>2</v>
      </c>
      <c r="X787" s="2">
        <v>20</v>
      </c>
      <c r="Z787" s="2">
        <v>39</v>
      </c>
      <c r="AA787" s="3" t="s">
        <v>57</v>
      </c>
      <c r="AB787" s="2">
        <v>1</v>
      </c>
      <c r="AF787" s="2">
        <v>30.5</v>
      </c>
      <c r="AG787" s="2">
        <v>1</v>
      </c>
      <c r="AH787" s="3" t="s">
        <v>400</v>
      </c>
      <c r="AI787" s="4">
        <v>44704</v>
      </c>
      <c r="AJ787" s="3" t="s">
        <v>852</v>
      </c>
      <c r="AK787" s="3" t="s">
        <v>38</v>
      </c>
    </row>
    <row r="788" spans="1:37" hidden="1" x14ac:dyDescent="0.25">
      <c r="A788" t="str">
        <f t="shared" si="12"/>
        <v>2022_Vic_Kalkee_Lentil_DetailedTOS1VarietyKelpieXTWaterTrtIrrigated</v>
      </c>
      <c r="B788" s="2">
        <v>2022005</v>
      </c>
      <c r="C788" s="3" t="s">
        <v>776</v>
      </c>
      <c r="D788" s="3" t="s">
        <v>38</v>
      </c>
      <c r="F788" s="3" t="s">
        <v>4188</v>
      </c>
      <c r="G788" s="3" t="s">
        <v>43</v>
      </c>
      <c r="H788" s="3" t="s">
        <v>253</v>
      </c>
      <c r="I788" s="2">
        <v>77</v>
      </c>
      <c r="J788" s="2">
        <v>39</v>
      </c>
      <c r="K788" s="2">
        <v>3</v>
      </c>
      <c r="O788" s="2">
        <v>5</v>
      </c>
      <c r="P788" s="2">
        <v>10</v>
      </c>
      <c r="U788" s="2">
        <v>3</v>
      </c>
      <c r="V788" s="2">
        <v>29</v>
      </c>
      <c r="W788" s="2">
        <v>3</v>
      </c>
      <c r="X788" s="2">
        <v>19</v>
      </c>
      <c r="AA788" s="3" t="s">
        <v>57</v>
      </c>
      <c r="AB788" s="2">
        <v>4</v>
      </c>
      <c r="AF788" s="2">
        <v>30.5</v>
      </c>
      <c r="AG788" s="2">
        <v>1</v>
      </c>
      <c r="AH788" s="3" t="s">
        <v>400</v>
      </c>
      <c r="AI788" s="4">
        <v>44704</v>
      </c>
      <c r="AJ788" s="3" t="s">
        <v>853</v>
      </c>
      <c r="AK788" s="3" t="s">
        <v>38</v>
      </c>
    </row>
    <row r="789" spans="1:37" hidden="1" x14ac:dyDescent="0.25">
      <c r="A789" t="str">
        <f t="shared" si="12"/>
        <v>2022_Vic_Kalkee_Lentil_DetailedTOS1VarietyKelpieXTWaterTrtIrrigated</v>
      </c>
      <c r="B789" s="2">
        <v>2022005</v>
      </c>
      <c r="C789" s="3" t="s">
        <v>776</v>
      </c>
      <c r="D789" s="3" t="s">
        <v>38</v>
      </c>
      <c r="F789" s="3" t="s">
        <v>4188</v>
      </c>
      <c r="G789" s="3" t="s">
        <v>43</v>
      </c>
      <c r="H789" s="3" t="s">
        <v>250</v>
      </c>
      <c r="I789" s="2">
        <v>78</v>
      </c>
      <c r="J789" s="2">
        <v>39</v>
      </c>
      <c r="K789" s="2">
        <v>3</v>
      </c>
      <c r="O789" s="2">
        <v>5</v>
      </c>
      <c r="P789" s="2">
        <v>10</v>
      </c>
      <c r="U789" s="2">
        <v>3</v>
      </c>
      <c r="V789" s="2">
        <v>30</v>
      </c>
      <c r="W789" s="2">
        <v>3</v>
      </c>
      <c r="X789" s="2">
        <v>20</v>
      </c>
      <c r="Z789" s="2">
        <v>38</v>
      </c>
      <c r="AA789" s="3" t="s">
        <v>57</v>
      </c>
      <c r="AB789" s="2">
        <v>4</v>
      </c>
      <c r="AF789" s="2">
        <v>30.5</v>
      </c>
      <c r="AG789" s="2">
        <v>1</v>
      </c>
      <c r="AH789" s="3" t="s">
        <v>400</v>
      </c>
      <c r="AI789" s="4">
        <v>44704</v>
      </c>
      <c r="AJ789" s="3" t="s">
        <v>854</v>
      </c>
      <c r="AK789" s="3" t="s">
        <v>38</v>
      </c>
    </row>
    <row r="790" spans="1:37" hidden="1" x14ac:dyDescent="0.25">
      <c r="A790" t="str">
        <f t="shared" si="12"/>
        <v>2022_Vic_Kalkee_Lentil_DetailedTOS1VarietyJumbo2WaterTrtIrrigated</v>
      </c>
      <c r="B790" s="2">
        <v>2022005</v>
      </c>
      <c r="C790" s="3" t="s">
        <v>776</v>
      </c>
      <c r="D790" s="3" t="s">
        <v>38</v>
      </c>
      <c r="F790" s="3" t="s">
        <v>4176</v>
      </c>
      <c r="G790" s="3" t="s">
        <v>43</v>
      </c>
      <c r="H790" s="3" t="s">
        <v>253</v>
      </c>
      <c r="I790" s="2">
        <v>79</v>
      </c>
      <c r="J790" s="2">
        <v>40</v>
      </c>
      <c r="K790" s="2">
        <v>3</v>
      </c>
      <c r="O790" s="2">
        <v>5</v>
      </c>
      <c r="P790" s="2">
        <v>10</v>
      </c>
      <c r="U790" s="2">
        <v>4</v>
      </c>
      <c r="V790" s="2">
        <v>29</v>
      </c>
      <c r="W790" s="2">
        <v>4</v>
      </c>
      <c r="X790" s="2">
        <v>19</v>
      </c>
      <c r="AA790" s="3" t="s">
        <v>57</v>
      </c>
      <c r="AB790" s="2">
        <v>3</v>
      </c>
      <c r="AF790" s="2">
        <v>30.5</v>
      </c>
      <c r="AG790" s="2">
        <v>1</v>
      </c>
      <c r="AH790" s="3" t="s">
        <v>400</v>
      </c>
      <c r="AI790" s="4">
        <v>44704</v>
      </c>
      <c r="AJ790" s="3" t="s">
        <v>855</v>
      </c>
      <c r="AK790" s="3" t="s">
        <v>38</v>
      </c>
    </row>
    <row r="791" spans="1:37" hidden="1" x14ac:dyDescent="0.25">
      <c r="A791" t="str">
        <f t="shared" si="12"/>
        <v>2022_Vic_Kalkee_Lentil_DetailedTOS1VarietyJumbo2WaterTrtIrrigated</v>
      </c>
      <c r="B791" s="2">
        <v>2022005</v>
      </c>
      <c r="C791" s="3" t="s">
        <v>776</v>
      </c>
      <c r="D791" s="3" t="s">
        <v>38</v>
      </c>
      <c r="F791" s="3" t="s">
        <v>4176</v>
      </c>
      <c r="G791" s="3" t="s">
        <v>43</v>
      </c>
      <c r="H791" s="3" t="s">
        <v>250</v>
      </c>
      <c r="I791" s="2">
        <v>80</v>
      </c>
      <c r="J791" s="2">
        <v>40</v>
      </c>
      <c r="K791" s="2">
        <v>3</v>
      </c>
      <c r="O791" s="2">
        <v>5</v>
      </c>
      <c r="P791" s="2">
        <v>10</v>
      </c>
      <c r="U791" s="2">
        <v>4</v>
      </c>
      <c r="V791" s="2">
        <v>30</v>
      </c>
      <c r="W791" s="2">
        <v>4</v>
      </c>
      <c r="X791" s="2">
        <v>20</v>
      </c>
      <c r="Z791" s="2">
        <v>37</v>
      </c>
      <c r="AA791" s="3" t="s">
        <v>57</v>
      </c>
      <c r="AB791" s="2">
        <v>3</v>
      </c>
      <c r="AF791" s="2">
        <v>30.5</v>
      </c>
      <c r="AG791" s="2">
        <v>1</v>
      </c>
      <c r="AH791" s="3" t="s">
        <v>400</v>
      </c>
      <c r="AI791" s="4">
        <v>44704</v>
      </c>
      <c r="AJ791" s="3" t="s">
        <v>856</v>
      </c>
      <c r="AK791" s="3" t="s">
        <v>38</v>
      </c>
    </row>
    <row r="792" spans="1:37" hidden="1" x14ac:dyDescent="0.25">
      <c r="A792" t="str">
        <f t="shared" si="12"/>
        <v>2022_Vic_Kalkee_Lentil_DetailedTOS2VarietyBoltWaterTrtRainFed</v>
      </c>
      <c r="B792" s="2">
        <v>2022005</v>
      </c>
      <c r="C792" s="3" t="s">
        <v>776</v>
      </c>
      <c r="D792" s="3" t="s">
        <v>38</v>
      </c>
      <c r="F792" s="3" t="s">
        <v>4187</v>
      </c>
      <c r="G792" s="3" t="s">
        <v>39</v>
      </c>
      <c r="H792" s="3" t="s">
        <v>253</v>
      </c>
      <c r="I792" s="2">
        <v>81</v>
      </c>
      <c r="J792" s="2">
        <v>41</v>
      </c>
      <c r="K792" s="2">
        <v>3</v>
      </c>
      <c r="O792" s="2">
        <v>6</v>
      </c>
      <c r="P792" s="2">
        <v>11</v>
      </c>
      <c r="U792" s="2">
        <v>1</v>
      </c>
      <c r="V792" s="2">
        <v>32</v>
      </c>
      <c r="W792" s="2">
        <v>1</v>
      </c>
      <c r="X792" s="2">
        <v>21</v>
      </c>
      <c r="AA792" s="3" t="s">
        <v>40</v>
      </c>
      <c r="AB792" s="2">
        <v>1</v>
      </c>
      <c r="AF792" s="2">
        <v>30.5</v>
      </c>
      <c r="AG792" s="2">
        <v>2</v>
      </c>
      <c r="AH792" s="3" t="s">
        <v>383</v>
      </c>
      <c r="AI792" s="4">
        <v>44740</v>
      </c>
      <c r="AJ792" s="3" t="s">
        <v>857</v>
      </c>
      <c r="AK792" s="3" t="s">
        <v>38</v>
      </c>
    </row>
    <row r="793" spans="1:37" hidden="1" x14ac:dyDescent="0.25">
      <c r="A793" t="str">
        <f t="shared" si="12"/>
        <v>2022_Vic_Kalkee_Lentil_DetailedTOS2VarietyBoltWaterTrtRainFed</v>
      </c>
      <c r="B793" s="2">
        <v>2022005</v>
      </c>
      <c r="C793" s="3" t="s">
        <v>776</v>
      </c>
      <c r="D793" s="3" t="s">
        <v>38</v>
      </c>
      <c r="F793" s="3" t="s">
        <v>4187</v>
      </c>
      <c r="G793" s="3" t="s">
        <v>39</v>
      </c>
      <c r="H793" s="3" t="s">
        <v>250</v>
      </c>
      <c r="I793" s="2">
        <v>82</v>
      </c>
      <c r="J793" s="2">
        <v>41</v>
      </c>
      <c r="K793" s="2">
        <v>3</v>
      </c>
      <c r="O793" s="2">
        <v>6</v>
      </c>
      <c r="P793" s="2">
        <v>11</v>
      </c>
      <c r="U793" s="2">
        <v>1</v>
      </c>
      <c r="V793" s="2">
        <v>33</v>
      </c>
      <c r="W793" s="2">
        <v>1</v>
      </c>
      <c r="X793" s="2">
        <v>22</v>
      </c>
      <c r="Z793" s="2">
        <v>41</v>
      </c>
      <c r="AA793" s="3" t="s">
        <v>40</v>
      </c>
      <c r="AB793" s="2">
        <v>1</v>
      </c>
      <c r="AF793" s="2">
        <v>30.5</v>
      </c>
      <c r="AG793" s="2">
        <v>2</v>
      </c>
      <c r="AH793" s="3" t="s">
        <v>383</v>
      </c>
      <c r="AI793" s="4">
        <v>44740</v>
      </c>
      <c r="AJ793" s="3" t="s">
        <v>858</v>
      </c>
      <c r="AK793" s="3" t="s">
        <v>38</v>
      </c>
    </row>
    <row r="794" spans="1:37" hidden="1" x14ac:dyDescent="0.25">
      <c r="A794" t="str">
        <f t="shared" si="12"/>
        <v>2022_Vic_Kalkee_Lentil_DetailedTOS2VarietyJumbo2WaterTrtRainFed</v>
      </c>
      <c r="B794" s="2">
        <v>2022005</v>
      </c>
      <c r="C794" s="3" t="s">
        <v>776</v>
      </c>
      <c r="D794" s="3" t="s">
        <v>38</v>
      </c>
      <c r="F794" s="3" t="s">
        <v>4176</v>
      </c>
      <c r="G794" s="3" t="s">
        <v>43</v>
      </c>
      <c r="H794" s="3" t="s">
        <v>253</v>
      </c>
      <c r="I794" s="2">
        <v>83</v>
      </c>
      <c r="J794" s="2">
        <v>42</v>
      </c>
      <c r="K794" s="2">
        <v>3</v>
      </c>
      <c r="O794" s="2">
        <v>6</v>
      </c>
      <c r="P794" s="2">
        <v>11</v>
      </c>
      <c r="U794" s="2">
        <v>2</v>
      </c>
      <c r="V794" s="2">
        <v>32</v>
      </c>
      <c r="W794" s="2">
        <v>2</v>
      </c>
      <c r="X794" s="2">
        <v>21</v>
      </c>
      <c r="AA794" s="3" t="s">
        <v>40</v>
      </c>
      <c r="AB794" s="2">
        <v>3</v>
      </c>
      <c r="AF794" s="2">
        <v>30.5</v>
      </c>
      <c r="AG794" s="2">
        <v>2</v>
      </c>
      <c r="AH794" s="3" t="s">
        <v>383</v>
      </c>
      <c r="AI794" s="4">
        <v>44740</v>
      </c>
      <c r="AJ794" s="3" t="s">
        <v>859</v>
      </c>
      <c r="AK794" s="3" t="s">
        <v>38</v>
      </c>
    </row>
    <row r="795" spans="1:37" hidden="1" x14ac:dyDescent="0.25">
      <c r="A795" t="str">
        <f t="shared" si="12"/>
        <v>2022_Vic_Kalkee_Lentil_DetailedTOS2VarietyJumbo2WaterTrtRainFed</v>
      </c>
      <c r="B795" s="2">
        <v>2022005</v>
      </c>
      <c r="C795" s="3" t="s">
        <v>776</v>
      </c>
      <c r="D795" s="3" t="s">
        <v>38</v>
      </c>
      <c r="F795" s="3" t="s">
        <v>4176</v>
      </c>
      <c r="G795" s="3" t="s">
        <v>43</v>
      </c>
      <c r="H795" s="3" t="s">
        <v>250</v>
      </c>
      <c r="I795" s="2">
        <v>84</v>
      </c>
      <c r="J795" s="2">
        <v>42</v>
      </c>
      <c r="K795" s="2">
        <v>3</v>
      </c>
      <c r="O795" s="2">
        <v>6</v>
      </c>
      <c r="P795" s="2">
        <v>11</v>
      </c>
      <c r="U795" s="2">
        <v>2</v>
      </c>
      <c r="V795" s="2">
        <v>33</v>
      </c>
      <c r="W795" s="2">
        <v>2</v>
      </c>
      <c r="X795" s="2">
        <v>22</v>
      </c>
      <c r="Z795" s="2">
        <v>42</v>
      </c>
      <c r="AA795" s="3" t="s">
        <v>40</v>
      </c>
      <c r="AB795" s="2">
        <v>3</v>
      </c>
      <c r="AF795" s="2">
        <v>30.5</v>
      </c>
      <c r="AG795" s="2">
        <v>2</v>
      </c>
      <c r="AH795" s="3" t="s">
        <v>383</v>
      </c>
      <c r="AI795" s="4">
        <v>44740</v>
      </c>
      <c r="AJ795" s="3" t="s">
        <v>860</v>
      </c>
      <c r="AK795" s="3" t="s">
        <v>38</v>
      </c>
    </row>
    <row r="796" spans="1:37" hidden="1" x14ac:dyDescent="0.25">
      <c r="A796" t="str">
        <f t="shared" si="12"/>
        <v>2022_Vic_Kalkee_Lentil_DetailedTOS2VarietyHallmarkXTWaterTrtRainFed</v>
      </c>
      <c r="B796" s="2">
        <v>2022005</v>
      </c>
      <c r="C796" s="3" t="s">
        <v>776</v>
      </c>
      <c r="D796" s="3" t="s">
        <v>38</v>
      </c>
      <c r="F796" s="3" t="s">
        <v>4189</v>
      </c>
      <c r="G796" s="3" t="s">
        <v>39</v>
      </c>
      <c r="H796" s="3" t="s">
        <v>253</v>
      </c>
      <c r="I796" s="2">
        <v>85</v>
      </c>
      <c r="J796" s="2">
        <v>43</v>
      </c>
      <c r="K796" s="2">
        <v>3</v>
      </c>
      <c r="O796" s="2">
        <v>6</v>
      </c>
      <c r="P796" s="2">
        <v>11</v>
      </c>
      <c r="U796" s="2">
        <v>3</v>
      </c>
      <c r="V796" s="2">
        <v>32</v>
      </c>
      <c r="W796" s="2">
        <v>3</v>
      </c>
      <c r="X796" s="2">
        <v>21</v>
      </c>
      <c r="AA796" s="3" t="s">
        <v>40</v>
      </c>
      <c r="AB796" s="2">
        <v>2</v>
      </c>
      <c r="AF796" s="2">
        <v>30.5</v>
      </c>
      <c r="AG796" s="2">
        <v>2</v>
      </c>
      <c r="AH796" s="3" t="s">
        <v>383</v>
      </c>
      <c r="AI796" s="4">
        <v>44740</v>
      </c>
      <c r="AJ796" s="3" t="s">
        <v>861</v>
      </c>
      <c r="AK796" s="3" t="s">
        <v>38</v>
      </c>
    </row>
    <row r="797" spans="1:37" hidden="1" x14ac:dyDescent="0.25">
      <c r="A797" t="str">
        <f t="shared" si="12"/>
        <v>2022_Vic_Kalkee_Lentil_DetailedTOS2VarietyHallmarkXTWaterTrtRainFed</v>
      </c>
      <c r="B797" s="2">
        <v>2022005</v>
      </c>
      <c r="C797" s="3" t="s">
        <v>776</v>
      </c>
      <c r="D797" s="3" t="s">
        <v>38</v>
      </c>
      <c r="F797" s="3" t="s">
        <v>4189</v>
      </c>
      <c r="G797" s="3" t="s">
        <v>39</v>
      </c>
      <c r="H797" s="3" t="s">
        <v>250</v>
      </c>
      <c r="I797" s="2">
        <v>86</v>
      </c>
      <c r="J797" s="2">
        <v>43</v>
      </c>
      <c r="K797" s="2">
        <v>3</v>
      </c>
      <c r="O797" s="2">
        <v>6</v>
      </c>
      <c r="P797" s="2">
        <v>11</v>
      </c>
      <c r="U797" s="2">
        <v>3</v>
      </c>
      <c r="V797" s="2">
        <v>33</v>
      </c>
      <c r="W797" s="2">
        <v>3</v>
      </c>
      <c r="X797" s="2">
        <v>22</v>
      </c>
      <c r="Z797" s="2">
        <v>43</v>
      </c>
      <c r="AA797" s="3" t="s">
        <v>40</v>
      </c>
      <c r="AB797" s="2">
        <v>2</v>
      </c>
      <c r="AF797" s="2">
        <v>30.5</v>
      </c>
      <c r="AG797" s="2">
        <v>2</v>
      </c>
      <c r="AH797" s="3" t="s">
        <v>383</v>
      </c>
      <c r="AI797" s="4">
        <v>44740</v>
      </c>
      <c r="AJ797" s="3" t="s">
        <v>862</v>
      </c>
      <c r="AK797" s="3" t="s">
        <v>38</v>
      </c>
    </row>
    <row r="798" spans="1:37" hidden="1" x14ac:dyDescent="0.25">
      <c r="A798" t="str">
        <f t="shared" si="12"/>
        <v>2022_Vic_Kalkee_Lentil_DetailedTOS2VarietyKelpieXTWaterTrtRainFed</v>
      </c>
      <c r="B798" s="2">
        <v>2022005</v>
      </c>
      <c r="C798" s="3" t="s">
        <v>776</v>
      </c>
      <c r="D798" s="3" t="s">
        <v>38</v>
      </c>
      <c r="F798" s="3" t="s">
        <v>4188</v>
      </c>
      <c r="G798" s="3" t="s">
        <v>43</v>
      </c>
      <c r="H798" s="3" t="s">
        <v>253</v>
      </c>
      <c r="I798" s="2">
        <v>87</v>
      </c>
      <c r="J798" s="2">
        <v>44</v>
      </c>
      <c r="K798" s="2">
        <v>3</v>
      </c>
      <c r="O798" s="2">
        <v>6</v>
      </c>
      <c r="P798" s="2">
        <v>11</v>
      </c>
      <c r="U798" s="2">
        <v>4</v>
      </c>
      <c r="V798" s="2">
        <v>32</v>
      </c>
      <c r="W798" s="2">
        <v>4</v>
      </c>
      <c r="X798" s="2">
        <v>21</v>
      </c>
      <c r="AA798" s="3" t="s">
        <v>40</v>
      </c>
      <c r="AB798" s="2">
        <v>4</v>
      </c>
      <c r="AF798" s="2">
        <v>30.5</v>
      </c>
      <c r="AG798" s="2">
        <v>2</v>
      </c>
      <c r="AH798" s="3" t="s">
        <v>383</v>
      </c>
      <c r="AI798" s="4">
        <v>44740</v>
      </c>
      <c r="AJ798" s="3" t="s">
        <v>863</v>
      </c>
      <c r="AK798" s="3" t="s">
        <v>38</v>
      </c>
    </row>
    <row r="799" spans="1:37" hidden="1" x14ac:dyDescent="0.25">
      <c r="A799" t="str">
        <f t="shared" si="12"/>
        <v>2022_Vic_Kalkee_Lentil_DetailedTOS2VarietyKelpieXTWaterTrtRainFed</v>
      </c>
      <c r="B799" s="2">
        <v>2022005</v>
      </c>
      <c r="C799" s="3" t="s">
        <v>776</v>
      </c>
      <c r="D799" s="3" t="s">
        <v>38</v>
      </c>
      <c r="F799" s="3" t="s">
        <v>4188</v>
      </c>
      <c r="G799" s="3" t="s">
        <v>43</v>
      </c>
      <c r="H799" s="3" t="s">
        <v>250</v>
      </c>
      <c r="I799" s="2">
        <v>88</v>
      </c>
      <c r="J799" s="2">
        <v>44</v>
      </c>
      <c r="K799" s="2">
        <v>3</v>
      </c>
      <c r="O799" s="2">
        <v>6</v>
      </c>
      <c r="P799" s="2">
        <v>11</v>
      </c>
      <c r="U799" s="2">
        <v>4</v>
      </c>
      <c r="V799" s="2">
        <v>33</v>
      </c>
      <c r="W799" s="2">
        <v>4</v>
      </c>
      <c r="X799" s="2">
        <v>22</v>
      </c>
      <c r="Z799" s="2">
        <v>44</v>
      </c>
      <c r="AA799" s="3" t="s">
        <v>40</v>
      </c>
      <c r="AB799" s="2">
        <v>4</v>
      </c>
      <c r="AF799" s="2">
        <v>30.5</v>
      </c>
      <c r="AG799" s="2">
        <v>2</v>
      </c>
      <c r="AH799" s="3" t="s">
        <v>383</v>
      </c>
      <c r="AI799" s="4">
        <v>44740</v>
      </c>
      <c r="AJ799" s="3" t="s">
        <v>864</v>
      </c>
      <c r="AK799" s="3" t="s">
        <v>38</v>
      </c>
    </row>
    <row r="800" spans="1:37" hidden="1" x14ac:dyDescent="0.25">
      <c r="A800" t="str">
        <f t="shared" si="12"/>
        <v>2022_Vic_Kalkee_Lentil_DetailedTOS2VarietyKelpieXTWaterTrtIrrigated</v>
      </c>
      <c r="B800" s="2">
        <v>2022005</v>
      </c>
      <c r="C800" s="3" t="s">
        <v>776</v>
      </c>
      <c r="D800" s="3" t="s">
        <v>38</v>
      </c>
      <c r="F800" s="3" t="s">
        <v>4188</v>
      </c>
      <c r="G800" s="3" t="s">
        <v>43</v>
      </c>
      <c r="H800" s="3" t="s">
        <v>253</v>
      </c>
      <c r="I800" s="2">
        <v>89</v>
      </c>
      <c r="J800" s="2">
        <v>45</v>
      </c>
      <c r="K800" s="2">
        <v>3</v>
      </c>
      <c r="O800" s="2">
        <v>6</v>
      </c>
      <c r="P800" s="2">
        <v>12</v>
      </c>
      <c r="U800" s="2">
        <v>1</v>
      </c>
      <c r="V800" s="2">
        <v>35</v>
      </c>
      <c r="W800" s="2">
        <v>1</v>
      </c>
      <c r="X800" s="2">
        <v>23</v>
      </c>
      <c r="AA800" s="3" t="s">
        <v>57</v>
      </c>
      <c r="AB800" s="2">
        <v>4</v>
      </c>
      <c r="AF800" s="2">
        <v>30.5</v>
      </c>
      <c r="AG800" s="2">
        <v>2</v>
      </c>
      <c r="AH800" s="3" t="s">
        <v>383</v>
      </c>
      <c r="AI800" s="4">
        <v>44740</v>
      </c>
      <c r="AJ800" s="3" t="s">
        <v>865</v>
      </c>
      <c r="AK800" s="3" t="s">
        <v>38</v>
      </c>
    </row>
    <row r="801" spans="1:37" hidden="1" x14ac:dyDescent="0.25">
      <c r="A801" t="str">
        <f t="shared" si="12"/>
        <v>2022_Vic_Kalkee_Lentil_DetailedTOS2VarietyKelpieXTWaterTrtIrrigated</v>
      </c>
      <c r="B801" s="2">
        <v>2022005</v>
      </c>
      <c r="C801" s="3" t="s">
        <v>776</v>
      </c>
      <c r="D801" s="3" t="s">
        <v>38</v>
      </c>
      <c r="F801" s="3" t="s">
        <v>4188</v>
      </c>
      <c r="G801" s="3" t="s">
        <v>43</v>
      </c>
      <c r="H801" s="3" t="s">
        <v>250</v>
      </c>
      <c r="I801" s="2">
        <v>90</v>
      </c>
      <c r="J801" s="2">
        <v>45</v>
      </c>
      <c r="K801" s="2">
        <v>3</v>
      </c>
      <c r="O801" s="2">
        <v>6</v>
      </c>
      <c r="P801" s="2">
        <v>12</v>
      </c>
      <c r="U801" s="2">
        <v>1</v>
      </c>
      <c r="V801" s="2">
        <v>36</v>
      </c>
      <c r="W801" s="2">
        <v>1</v>
      </c>
      <c r="X801" s="2">
        <v>24</v>
      </c>
      <c r="Z801" s="2">
        <v>48</v>
      </c>
      <c r="AA801" s="3" t="s">
        <v>57</v>
      </c>
      <c r="AB801" s="2">
        <v>4</v>
      </c>
      <c r="AF801" s="2">
        <v>30.5</v>
      </c>
      <c r="AG801" s="2">
        <v>2</v>
      </c>
      <c r="AH801" s="3" t="s">
        <v>383</v>
      </c>
      <c r="AI801" s="4">
        <v>44740</v>
      </c>
      <c r="AJ801" s="3" t="s">
        <v>866</v>
      </c>
      <c r="AK801" s="3" t="s">
        <v>38</v>
      </c>
    </row>
    <row r="802" spans="1:37" hidden="1" x14ac:dyDescent="0.25">
      <c r="A802" t="str">
        <f t="shared" si="12"/>
        <v>2022_Vic_Kalkee_Lentil_DetailedTOS2VarietyHallmarkXTWaterTrtIrrigated</v>
      </c>
      <c r="B802" s="2">
        <v>2022005</v>
      </c>
      <c r="C802" s="3" t="s">
        <v>776</v>
      </c>
      <c r="D802" s="3" t="s">
        <v>38</v>
      </c>
      <c r="F802" s="3" t="s">
        <v>4189</v>
      </c>
      <c r="G802" s="3" t="s">
        <v>39</v>
      </c>
      <c r="H802" s="3" t="s">
        <v>253</v>
      </c>
      <c r="I802" s="2">
        <v>91</v>
      </c>
      <c r="J802" s="2">
        <v>46</v>
      </c>
      <c r="K802" s="2">
        <v>3</v>
      </c>
      <c r="O802" s="2">
        <v>6</v>
      </c>
      <c r="P802" s="2">
        <v>12</v>
      </c>
      <c r="U802" s="2">
        <v>2</v>
      </c>
      <c r="V802" s="2">
        <v>35</v>
      </c>
      <c r="W802" s="2">
        <v>2</v>
      </c>
      <c r="X802" s="2">
        <v>23</v>
      </c>
      <c r="AA802" s="3" t="s">
        <v>57</v>
      </c>
      <c r="AB802" s="2">
        <v>2</v>
      </c>
      <c r="AF802" s="2">
        <v>30.5</v>
      </c>
      <c r="AG802" s="2">
        <v>2</v>
      </c>
      <c r="AH802" s="3" t="s">
        <v>383</v>
      </c>
      <c r="AI802" s="4">
        <v>44740</v>
      </c>
      <c r="AJ802" s="3" t="s">
        <v>867</v>
      </c>
      <c r="AK802" s="3" t="s">
        <v>38</v>
      </c>
    </row>
    <row r="803" spans="1:37" hidden="1" x14ac:dyDescent="0.25">
      <c r="A803" t="str">
        <f t="shared" si="12"/>
        <v>2022_Vic_Kalkee_Lentil_DetailedTOS2VarietyHallmarkXTWaterTrtIrrigated</v>
      </c>
      <c r="B803" s="2">
        <v>2022005</v>
      </c>
      <c r="C803" s="3" t="s">
        <v>776</v>
      </c>
      <c r="D803" s="3" t="s">
        <v>38</v>
      </c>
      <c r="F803" s="3" t="s">
        <v>4189</v>
      </c>
      <c r="G803" s="3" t="s">
        <v>39</v>
      </c>
      <c r="H803" s="3" t="s">
        <v>250</v>
      </c>
      <c r="I803" s="2">
        <v>92</v>
      </c>
      <c r="J803" s="2">
        <v>46</v>
      </c>
      <c r="K803" s="2">
        <v>3</v>
      </c>
      <c r="O803" s="2">
        <v>6</v>
      </c>
      <c r="P803" s="2">
        <v>12</v>
      </c>
      <c r="U803" s="2">
        <v>2</v>
      </c>
      <c r="V803" s="2">
        <v>36</v>
      </c>
      <c r="W803" s="2">
        <v>2</v>
      </c>
      <c r="X803" s="2">
        <v>24</v>
      </c>
      <c r="Z803" s="2">
        <v>47</v>
      </c>
      <c r="AA803" s="3" t="s">
        <v>57</v>
      </c>
      <c r="AB803" s="2">
        <v>2</v>
      </c>
      <c r="AF803" s="2">
        <v>30.5</v>
      </c>
      <c r="AG803" s="2">
        <v>2</v>
      </c>
      <c r="AH803" s="3" t="s">
        <v>383</v>
      </c>
      <c r="AI803" s="4">
        <v>44740</v>
      </c>
      <c r="AJ803" s="3" t="s">
        <v>868</v>
      </c>
      <c r="AK803" s="3" t="s">
        <v>38</v>
      </c>
    </row>
    <row r="804" spans="1:37" hidden="1" x14ac:dyDescent="0.25">
      <c r="A804" t="str">
        <f t="shared" si="12"/>
        <v>2022_Vic_Kalkee_Lentil_DetailedTOS2VarietyJumbo2WaterTrtIrrigated</v>
      </c>
      <c r="B804" s="2">
        <v>2022005</v>
      </c>
      <c r="C804" s="3" t="s">
        <v>776</v>
      </c>
      <c r="D804" s="3" t="s">
        <v>38</v>
      </c>
      <c r="F804" s="3" t="s">
        <v>4176</v>
      </c>
      <c r="G804" s="3" t="s">
        <v>43</v>
      </c>
      <c r="H804" s="3" t="s">
        <v>253</v>
      </c>
      <c r="I804" s="2">
        <v>93</v>
      </c>
      <c r="J804" s="2">
        <v>47</v>
      </c>
      <c r="K804" s="2">
        <v>3</v>
      </c>
      <c r="O804" s="2">
        <v>6</v>
      </c>
      <c r="P804" s="2">
        <v>12</v>
      </c>
      <c r="U804" s="2">
        <v>3</v>
      </c>
      <c r="V804" s="2">
        <v>35</v>
      </c>
      <c r="W804" s="2">
        <v>3</v>
      </c>
      <c r="X804" s="2">
        <v>23</v>
      </c>
      <c r="AA804" s="3" t="s">
        <v>57</v>
      </c>
      <c r="AB804" s="2">
        <v>3</v>
      </c>
      <c r="AF804" s="2">
        <v>30.5</v>
      </c>
      <c r="AG804" s="2">
        <v>2</v>
      </c>
      <c r="AH804" s="3" t="s">
        <v>383</v>
      </c>
      <c r="AI804" s="4">
        <v>44740</v>
      </c>
      <c r="AJ804" s="3" t="s">
        <v>869</v>
      </c>
      <c r="AK804" s="3" t="s">
        <v>38</v>
      </c>
    </row>
    <row r="805" spans="1:37" hidden="1" x14ac:dyDescent="0.25">
      <c r="A805" t="str">
        <f t="shared" si="12"/>
        <v>2022_Vic_Kalkee_Lentil_DetailedTOS2VarietyJumbo2WaterTrtIrrigated</v>
      </c>
      <c r="B805" s="2">
        <v>2022005</v>
      </c>
      <c r="C805" s="3" t="s">
        <v>776</v>
      </c>
      <c r="D805" s="3" t="s">
        <v>38</v>
      </c>
      <c r="F805" s="3" t="s">
        <v>4176</v>
      </c>
      <c r="G805" s="3" t="s">
        <v>43</v>
      </c>
      <c r="H805" s="3" t="s">
        <v>250</v>
      </c>
      <c r="I805" s="2">
        <v>94</v>
      </c>
      <c r="J805" s="2">
        <v>47</v>
      </c>
      <c r="K805" s="2">
        <v>3</v>
      </c>
      <c r="O805" s="2">
        <v>6</v>
      </c>
      <c r="P805" s="2">
        <v>12</v>
      </c>
      <c r="U805" s="2">
        <v>3</v>
      </c>
      <c r="V805" s="2">
        <v>36</v>
      </c>
      <c r="W805" s="2">
        <v>3</v>
      </c>
      <c r="X805" s="2">
        <v>24</v>
      </c>
      <c r="Z805" s="2">
        <v>46</v>
      </c>
      <c r="AA805" s="3" t="s">
        <v>57</v>
      </c>
      <c r="AB805" s="2">
        <v>3</v>
      </c>
      <c r="AF805" s="2">
        <v>30.5</v>
      </c>
      <c r="AG805" s="2">
        <v>2</v>
      </c>
      <c r="AH805" s="3" t="s">
        <v>383</v>
      </c>
      <c r="AI805" s="4">
        <v>44740</v>
      </c>
      <c r="AJ805" s="3" t="s">
        <v>870</v>
      </c>
      <c r="AK805" s="3" t="s">
        <v>38</v>
      </c>
    </row>
    <row r="806" spans="1:37" hidden="1" x14ac:dyDescent="0.25">
      <c r="A806" t="str">
        <f t="shared" si="12"/>
        <v>2022_Vic_Kalkee_Lentil_DetailedTOS2VarietyBoltWaterTrtIrrigated</v>
      </c>
      <c r="B806" s="2">
        <v>2022005</v>
      </c>
      <c r="C806" s="3" t="s">
        <v>776</v>
      </c>
      <c r="D806" s="3" t="s">
        <v>38</v>
      </c>
      <c r="F806" s="3" t="s">
        <v>4187</v>
      </c>
      <c r="G806" s="3" t="s">
        <v>39</v>
      </c>
      <c r="H806" s="3" t="s">
        <v>253</v>
      </c>
      <c r="I806" s="2">
        <v>95</v>
      </c>
      <c r="J806" s="2">
        <v>48</v>
      </c>
      <c r="K806" s="2">
        <v>3</v>
      </c>
      <c r="O806" s="2">
        <v>6</v>
      </c>
      <c r="P806" s="2">
        <v>12</v>
      </c>
      <c r="U806" s="2">
        <v>4</v>
      </c>
      <c r="V806" s="2">
        <v>35</v>
      </c>
      <c r="W806" s="2">
        <v>4</v>
      </c>
      <c r="X806" s="2">
        <v>23</v>
      </c>
      <c r="AA806" s="3" t="s">
        <v>57</v>
      </c>
      <c r="AB806" s="2">
        <v>1</v>
      </c>
      <c r="AF806" s="2">
        <v>30.5</v>
      </c>
      <c r="AG806" s="2">
        <v>2</v>
      </c>
      <c r="AH806" s="3" t="s">
        <v>383</v>
      </c>
      <c r="AI806" s="4">
        <v>44740</v>
      </c>
      <c r="AJ806" s="3" t="s">
        <v>871</v>
      </c>
      <c r="AK806" s="3" t="s">
        <v>38</v>
      </c>
    </row>
    <row r="807" spans="1:37" hidden="1" x14ac:dyDescent="0.25">
      <c r="A807" t="str">
        <f t="shared" si="12"/>
        <v>2022_Vic_Kalkee_Lentil_DetailedTOS2VarietyBoltWaterTrtIrrigated</v>
      </c>
      <c r="B807" s="2">
        <v>2022005</v>
      </c>
      <c r="C807" s="3" t="s">
        <v>776</v>
      </c>
      <c r="D807" s="3" t="s">
        <v>38</v>
      </c>
      <c r="F807" s="3" t="s">
        <v>4187</v>
      </c>
      <c r="G807" s="3" t="s">
        <v>39</v>
      </c>
      <c r="H807" s="3" t="s">
        <v>250</v>
      </c>
      <c r="I807" s="2">
        <v>96</v>
      </c>
      <c r="J807" s="2">
        <v>48</v>
      </c>
      <c r="K807" s="2">
        <v>3</v>
      </c>
      <c r="O807" s="2">
        <v>6</v>
      </c>
      <c r="P807" s="2">
        <v>12</v>
      </c>
      <c r="U807" s="2">
        <v>4</v>
      </c>
      <c r="V807" s="2">
        <v>36</v>
      </c>
      <c r="W807" s="2">
        <v>4</v>
      </c>
      <c r="X807" s="2">
        <v>24</v>
      </c>
      <c r="Z807" s="2">
        <v>45</v>
      </c>
      <c r="AA807" s="3" t="s">
        <v>57</v>
      </c>
      <c r="AB807" s="2">
        <v>1</v>
      </c>
      <c r="AF807" s="2">
        <v>30.5</v>
      </c>
      <c r="AG807" s="2">
        <v>2</v>
      </c>
      <c r="AH807" s="3" t="s">
        <v>383</v>
      </c>
      <c r="AI807" s="4">
        <v>44740</v>
      </c>
      <c r="AJ807" s="3" t="s">
        <v>872</v>
      </c>
      <c r="AK807" s="3" t="s">
        <v>38</v>
      </c>
    </row>
    <row r="808" spans="1:37" hidden="1" x14ac:dyDescent="0.25">
      <c r="A808" t="str">
        <f t="shared" si="12"/>
        <v>2022_Vic_Kalkee_Lentil_DetailedTOS2VarietyBoltWaterTrtIrrigated</v>
      </c>
      <c r="B808" s="2">
        <v>2022005</v>
      </c>
      <c r="C808" s="3" t="s">
        <v>776</v>
      </c>
      <c r="D808" s="3" t="s">
        <v>38</v>
      </c>
      <c r="F808" s="3" t="s">
        <v>4187</v>
      </c>
      <c r="G808" s="3" t="s">
        <v>39</v>
      </c>
      <c r="H808" s="3" t="s">
        <v>253</v>
      </c>
      <c r="I808" s="2">
        <v>97</v>
      </c>
      <c r="J808" s="2">
        <v>49</v>
      </c>
      <c r="K808" s="2">
        <v>4</v>
      </c>
      <c r="O808" s="2">
        <v>7</v>
      </c>
      <c r="P808" s="2">
        <v>13</v>
      </c>
      <c r="U808" s="2">
        <v>1</v>
      </c>
      <c r="V808" s="2">
        <v>38</v>
      </c>
      <c r="W808" s="2">
        <v>1</v>
      </c>
      <c r="X808" s="2">
        <v>25</v>
      </c>
      <c r="AA808" s="3" t="s">
        <v>57</v>
      </c>
      <c r="AB808" s="2">
        <v>1</v>
      </c>
      <c r="AF808" s="2">
        <v>30.5</v>
      </c>
      <c r="AG808" s="2">
        <v>2</v>
      </c>
      <c r="AH808" s="3" t="s">
        <v>383</v>
      </c>
      <c r="AI808" s="4">
        <v>44740</v>
      </c>
      <c r="AJ808" s="3" t="s">
        <v>873</v>
      </c>
      <c r="AK808" s="3" t="s">
        <v>38</v>
      </c>
    </row>
    <row r="809" spans="1:37" hidden="1" x14ac:dyDescent="0.25">
      <c r="A809" t="str">
        <f t="shared" si="12"/>
        <v>2022_Vic_Kalkee_Lentil_DetailedTOS2VarietyBoltWaterTrtIrrigated</v>
      </c>
      <c r="B809" s="2">
        <v>2022005</v>
      </c>
      <c r="C809" s="3" t="s">
        <v>776</v>
      </c>
      <c r="D809" s="3" t="s">
        <v>38</v>
      </c>
      <c r="F809" s="3" t="s">
        <v>4187</v>
      </c>
      <c r="G809" s="3" t="s">
        <v>39</v>
      </c>
      <c r="H809" s="3" t="s">
        <v>250</v>
      </c>
      <c r="I809" s="2">
        <v>98</v>
      </c>
      <c r="J809" s="2">
        <v>49</v>
      </c>
      <c r="K809" s="2">
        <v>4</v>
      </c>
      <c r="O809" s="2">
        <v>7</v>
      </c>
      <c r="P809" s="2">
        <v>13</v>
      </c>
      <c r="U809" s="2">
        <v>1</v>
      </c>
      <c r="V809" s="2">
        <v>39</v>
      </c>
      <c r="W809" s="2">
        <v>1</v>
      </c>
      <c r="X809" s="2">
        <v>26</v>
      </c>
      <c r="Z809" s="2">
        <v>49</v>
      </c>
      <c r="AA809" s="3" t="s">
        <v>57</v>
      </c>
      <c r="AB809" s="2">
        <v>1</v>
      </c>
      <c r="AF809" s="2">
        <v>30.5</v>
      </c>
      <c r="AG809" s="2">
        <v>2</v>
      </c>
      <c r="AH809" s="3" t="s">
        <v>383</v>
      </c>
      <c r="AI809" s="4">
        <v>44740</v>
      </c>
      <c r="AJ809" s="3" t="s">
        <v>874</v>
      </c>
      <c r="AK809" s="3" t="s">
        <v>38</v>
      </c>
    </row>
    <row r="810" spans="1:37" hidden="1" x14ac:dyDescent="0.25">
      <c r="A810" t="str">
        <f t="shared" si="12"/>
        <v>2022_Vic_Kalkee_Lentil_DetailedTOS2VarietyKelpieXTWaterTrtIrrigated</v>
      </c>
      <c r="B810" s="2">
        <v>2022005</v>
      </c>
      <c r="C810" s="3" t="s">
        <v>776</v>
      </c>
      <c r="D810" s="3" t="s">
        <v>38</v>
      </c>
      <c r="F810" s="3" t="s">
        <v>4188</v>
      </c>
      <c r="G810" s="3" t="s">
        <v>43</v>
      </c>
      <c r="H810" s="3" t="s">
        <v>253</v>
      </c>
      <c r="I810" s="2">
        <v>99</v>
      </c>
      <c r="J810" s="2">
        <v>50</v>
      </c>
      <c r="K810" s="2">
        <v>4</v>
      </c>
      <c r="O810" s="2">
        <v>7</v>
      </c>
      <c r="P810" s="2">
        <v>13</v>
      </c>
      <c r="U810" s="2">
        <v>2</v>
      </c>
      <c r="V810" s="2">
        <v>38</v>
      </c>
      <c r="W810" s="2">
        <v>2</v>
      </c>
      <c r="X810" s="2">
        <v>25</v>
      </c>
      <c r="AA810" s="3" t="s">
        <v>57</v>
      </c>
      <c r="AB810" s="2">
        <v>4</v>
      </c>
      <c r="AF810" s="2">
        <v>30.5</v>
      </c>
      <c r="AG810" s="2">
        <v>2</v>
      </c>
      <c r="AH810" s="3" t="s">
        <v>383</v>
      </c>
      <c r="AI810" s="4">
        <v>44740</v>
      </c>
      <c r="AJ810" s="3" t="s">
        <v>875</v>
      </c>
      <c r="AK810" s="3" t="s">
        <v>38</v>
      </c>
    </row>
    <row r="811" spans="1:37" hidden="1" x14ac:dyDescent="0.25">
      <c r="A811" t="str">
        <f t="shared" si="12"/>
        <v>2022_Vic_Kalkee_Lentil_DetailedTOS2VarietyKelpieXTWaterTrtIrrigated</v>
      </c>
      <c r="B811" s="2">
        <v>2022005</v>
      </c>
      <c r="C811" s="3" t="s">
        <v>776</v>
      </c>
      <c r="D811" s="3" t="s">
        <v>38</v>
      </c>
      <c r="F811" s="3" t="s">
        <v>4188</v>
      </c>
      <c r="G811" s="3" t="s">
        <v>43</v>
      </c>
      <c r="H811" s="3" t="s">
        <v>250</v>
      </c>
      <c r="I811" s="2">
        <v>100</v>
      </c>
      <c r="J811" s="2">
        <v>50</v>
      </c>
      <c r="K811" s="2">
        <v>4</v>
      </c>
      <c r="O811" s="2">
        <v>7</v>
      </c>
      <c r="P811" s="2">
        <v>13</v>
      </c>
      <c r="U811" s="2">
        <v>2</v>
      </c>
      <c r="V811" s="2">
        <v>39</v>
      </c>
      <c r="W811" s="2">
        <v>2</v>
      </c>
      <c r="X811" s="2">
        <v>26</v>
      </c>
      <c r="Z811" s="2">
        <v>50</v>
      </c>
      <c r="AA811" s="3" t="s">
        <v>57</v>
      </c>
      <c r="AB811" s="2">
        <v>4</v>
      </c>
      <c r="AF811" s="2">
        <v>30.5</v>
      </c>
      <c r="AG811" s="2">
        <v>2</v>
      </c>
      <c r="AH811" s="3" t="s">
        <v>383</v>
      </c>
      <c r="AI811" s="4">
        <v>44740</v>
      </c>
      <c r="AJ811" s="3" t="s">
        <v>876</v>
      </c>
      <c r="AK811" s="3" t="s">
        <v>38</v>
      </c>
    </row>
    <row r="812" spans="1:37" hidden="1" x14ac:dyDescent="0.25">
      <c r="A812" t="str">
        <f t="shared" si="12"/>
        <v>2022_Vic_Kalkee_Lentil_DetailedTOS2VarietyJumbo2WaterTrtIrrigated</v>
      </c>
      <c r="B812" s="2">
        <v>2022005</v>
      </c>
      <c r="C812" s="3" t="s">
        <v>776</v>
      </c>
      <c r="D812" s="3" t="s">
        <v>38</v>
      </c>
      <c r="F812" s="3" t="s">
        <v>4176</v>
      </c>
      <c r="G812" s="3" t="s">
        <v>43</v>
      </c>
      <c r="H812" s="3" t="s">
        <v>253</v>
      </c>
      <c r="I812" s="2">
        <v>101</v>
      </c>
      <c r="J812" s="2">
        <v>51</v>
      </c>
      <c r="K812" s="2">
        <v>4</v>
      </c>
      <c r="O812" s="2">
        <v>7</v>
      </c>
      <c r="P812" s="2">
        <v>13</v>
      </c>
      <c r="U812" s="2">
        <v>3</v>
      </c>
      <c r="V812" s="2">
        <v>38</v>
      </c>
      <c r="W812" s="2">
        <v>3</v>
      </c>
      <c r="X812" s="2">
        <v>25</v>
      </c>
      <c r="AA812" s="3" t="s">
        <v>57</v>
      </c>
      <c r="AB812" s="2">
        <v>3</v>
      </c>
      <c r="AF812" s="2">
        <v>30.5</v>
      </c>
      <c r="AG812" s="2">
        <v>2</v>
      </c>
      <c r="AH812" s="3" t="s">
        <v>383</v>
      </c>
      <c r="AI812" s="4">
        <v>44740</v>
      </c>
      <c r="AJ812" s="3" t="s">
        <v>877</v>
      </c>
      <c r="AK812" s="3" t="s">
        <v>38</v>
      </c>
    </row>
    <row r="813" spans="1:37" hidden="1" x14ac:dyDescent="0.25">
      <c r="A813" t="str">
        <f t="shared" si="12"/>
        <v>2022_Vic_Kalkee_Lentil_DetailedTOS2VarietyJumbo2WaterTrtIrrigated</v>
      </c>
      <c r="B813" s="2">
        <v>2022005</v>
      </c>
      <c r="C813" s="3" t="s">
        <v>776</v>
      </c>
      <c r="D813" s="3" t="s">
        <v>38</v>
      </c>
      <c r="F813" s="3" t="s">
        <v>4176</v>
      </c>
      <c r="G813" s="3" t="s">
        <v>43</v>
      </c>
      <c r="H813" s="3" t="s">
        <v>250</v>
      </c>
      <c r="I813" s="2">
        <v>102</v>
      </c>
      <c r="J813" s="2">
        <v>51</v>
      </c>
      <c r="K813" s="2">
        <v>4</v>
      </c>
      <c r="O813" s="2">
        <v>7</v>
      </c>
      <c r="P813" s="2">
        <v>13</v>
      </c>
      <c r="U813" s="2">
        <v>3</v>
      </c>
      <c r="V813" s="2">
        <v>39</v>
      </c>
      <c r="W813" s="2">
        <v>3</v>
      </c>
      <c r="X813" s="2">
        <v>26</v>
      </c>
      <c r="Z813" s="2">
        <v>51</v>
      </c>
      <c r="AA813" s="3" t="s">
        <v>57</v>
      </c>
      <c r="AB813" s="2">
        <v>3</v>
      </c>
      <c r="AF813" s="2">
        <v>30.5</v>
      </c>
      <c r="AG813" s="2">
        <v>2</v>
      </c>
      <c r="AH813" s="3" t="s">
        <v>383</v>
      </c>
      <c r="AI813" s="4">
        <v>44740</v>
      </c>
      <c r="AJ813" s="3" t="s">
        <v>878</v>
      </c>
      <c r="AK813" s="3" t="s">
        <v>38</v>
      </c>
    </row>
    <row r="814" spans="1:37" hidden="1" x14ac:dyDescent="0.25">
      <c r="A814" t="str">
        <f t="shared" si="12"/>
        <v>2022_Vic_Kalkee_Lentil_DetailedTOS2VarietyHallmarkXTWaterTrtIrrigated</v>
      </c>
      <c r="B814" s="2">
        <v>2022005</v>
      </c>
      <c r="C814" s="3" t="s">
        <v>776</v>
      </c>
      <c r="D814" s="3" t="s">
        <v>38</v>
      </c>
      <c r="F814" s="3" t="s">
        <v>4189</v>
      </c>
      <c r="G814" s="3" t="s">
        <v>39</v>
      </c>
      <c r="H814" s="3" t="s">
        <v>253</v>
      </c>
      <c r="I814" s="2">
        <v>103</v>
      </c>
      <c r="J814" s="2">
        <v>52</v>
      </c>
      <c r="K814" s="2">
        <v>4</v>
      </c>
      <c r="O814" s="2">
        <v>7</v>
      </c>
      <c r="P814" s="2">
        <v>13</v>
      </c>
      <c r="U814" s="2">
        <v>4</v>
      </c>
      <c r="V814" s="2">
        <v>38</v>
      </c>
      <c r="W814" s="2">
        <v>4</v>
      </c>
      <c r="X814" s="2">
        <v>25</v>
      </c>
      <c r="AA814" s="3" t="s">
        <v>57</v>
      </c>
      <c r="AB814" s="2">
        <v>2</v>
      </c>
      <c r="AF814" s="2">
        <v>30.5</v>
      </c>
      <c r="AG814" s="2">
        <v>2</v>
      </c>
      <c r="AH814" s="3" t="s">
        <v>383</v>
      </c>
      <c r="AI814" s="4">
        <v>44740</v>
      </c>
      <c r="AJ814" s="3" t="s">
        <v>879</v>
      </c>
      <c r="AK814" s="3" t="s">
        <v>38</v>
      </c>
    </row>
    <row r="815" spans="1:37" hidden="1" x14ac:dyDescent="0.25">
      <c r="A815" t="str">
        <f t="shared" si="12"/>
        <v>2022_Vic_Kalkee_Lentil_DetailedTOS2VarietyHallmarkXTWaterTrtIrrigated</v>
      </c>
      <c r="B815" s="2">
        <v>2022005</v>
      </c>
      <c r="C815" s="3" t="s">
        <v>776</v>
      </c>
      <c r="D815" s="3" t="s">
        <v>38</v>
      </c>
      <c r="F815" s="3" t="s">
        <v>4189</v>
      </c>
      <c r="G815" s="3" t="s">
        <v>39</v>
      </c>
      <c r="H815" s="3" t="s">
        <v>250</v>
      </c>
      <c r="I815" s="2">
        <v>104</v>
      </c>
      <c r="J815" s="2">
        <v>52</v>
      </c>
      <c r="K815" s="2">
        <v>4</v>
      </c>
      <c r="O815" s="2">
        <v>7</v>
      </c>
      <c r="P815" s="2">
        <v>13</v>
      </c>
      <c r="U815" s="2">
        <v>4</v>
      </c>
      <c r="V815" s="2">
        <v>39</v>
      </c>
      <c r="W815" s="2">
        <v>4</v>
      </c>
      <c r="X815" s="2">
        <v>26</v>
      </c>
      <c r="Z815" s="2">
        <v>52</v>
      </c>
      <c r="AA815" s="3" t="s">
        <v>57</v>
      </c>
      <c r="AB815" s="2">
        <v>2</v>
      </c>
      <c r="AF815" s="2">
        <v>30.5</v>
      </c>
      <c r="AG815" s="2">
        <v>2</v>
      </c>
      <c r="AH815" s="3" t="s">
        <v>383</v>
      </c>
      <c r="AI815" s="4">
        <v>44740</v>
      </c>
      <c r="AJ815" s="3" t="s">
        <v>880</v>
      </c>
      <c r="AK815" s="3" t="s">
        <v>38</v>
      </c>
    </row>
    <row r="816" spans="1:37" hidden="1" x14ac:dyDescent="0.25">
      <c r="A816" t="str">
        <f t="shared" si="12"/>
        <v>2022_Vic_Kalkee_Lentil_DetailedTOS2VarietyJumbo2WaterTrtRainFed</v>
      </c>
      <c r="B816" s="2">
        <v>2022005</v>
      </c>
      <c r="C816" s="3" t="s">
        <v>776</v>
      </c>
      <c r="D816" s="3" t="s">
        <v>38</v>
      </c>
      <c r="F816" s="3" t="s">
        <v>4176</v>
      </c>
      <c r="G816" s="3" t="s">
        <v>43</v>
      </c>
      <c r="H816" s="3" t="s">
        <v>253</v>
      </c>
      <c r="I816" s="2">
        <v>105</v>
      </c>
      <c r="J816" s="2">
        <v>53</v>
      </c>
      <c r="K816" s="2">
        <v>4</v>
      </c>
      <c r="O816" s="2">
        <v>7</v>
      </c>
      <c r="P816" s="2">
        <v>14</v>
      </c>
      <c r="U816" s="2">
        <v>1</v>
      </c>
      <c r="V816" s="2">
        <v>41</v>
      </c>
      <c r="W816" s="2">
        <v>1</v>
      </c>
      <c r="X816" s="2">
        <v>27</v>
      </c>
      <c r="AA816" s="3" t="s">
        <v>40</v>
      </c>
      <c r="AB816" s="2">
        <v>3</v>
      </c>
      <c r="AF816" s="2">
        <v>30.5</v>
      </c>
      <c r="AG816" s="2">
        <v>2</v>
      </c>
      <c r="AH816" s="3" t="s">
        <v>383</v>
      </c>
      <c r="AI816" s="4">
        <v>44740</v>
      </c>
      <c r="AJ816" s="3" t="s">
        <v>881</v>
      </c>
      <c r="AK816" s="3" t="s">
        <v>38</v>
      </c>
    </row>
    <row r="817" spans="1:37" hidden="1" x14ac:dyDescent="0.25">
      <c r="A817" t="str">
        <f t="shared" si="12"/>
        <v>2022_Vic_Kalkee_Lentil_DetailedTOS2VarietyJumbo2WaterTrtRainFed</v>
      </c>
      <c r="B817" s="2">
        <v>2022005</v>
      </c>
      <c r="C817" s="3" t="s">
        <v>776</v>
      </c>
      <c r="D817" s="3" t="s">
        <v>38</v>
      </c>
      <c r="F817" s="3" t="s">
        <v>4176</v>
      </c>
      <c r="G817" s="3" t="s">
        <v>43</v>
      </c>
      <c r="H817" s="3" t="s">
        <v>250</v>
      </c>
      <c r="I817" s="2">
        <v>106</v>
      </c>
      <c r="J817" s="2">
        <v>53</v>
      </c>
      <c r="K817" s="2">
        <v>4</v>
      </c>
      <c r="O817" s="2">
        <v>7</v>
      </c>
      <c r="P817" s="2">
        <v>14</v>
      </c>
      <c r="U817" s="2">
        <v>1</v>
      </c>
      <c r="V817" s="2">
        <v>42</v>
      </c>
      <c r="W817" s="2">
        <v>1</v>
      </c>
      <c r="X817" s="2">
        <v>28</v>
      </c>
      <c r="Z817" s="2">
        <v>56</v>
      </c>
      <c r="AA817" s="3" t="s">
        <v>40</v>
      </c>
      <c r="AB817" s="2">
        <v>3</v>
      </c>
      <c r="AF817" s="2">
        <v>30.5</v>
      </c>
      <c r="AG817" s="2">
        <v>2</v>
      </c>
      <c r="AH817" s="3" t="s">
        <v>383</v>
      </c>
      <c r="AI817" s="4">
        <v>44740</v>
      </c>
      <c r="AJ817" s="3" t="s">
        <v>882</v>
      </c>
      <c r="AK817" s="3" t="s">
        <v>38</v>
      </c>
    </row>
    <row r="818" spans="1:37" hidden="1" x14ac:dyDescent="0.25">
      <c r="A818" t="str">
        <f t="shared" si="12"/>
        <v>2022_Vic_Kalkee_Lentil_DetailedTOS2VarietyHallmarkXTWaterTrtRainFed</v>
      </c>
      <c r="B818" s="2">
        <v>2022005</v>
      </c>
      <c r="C818" s="3" t="s">
        <v>776</v>
      </c>
      <c r="D818" s="3" t="s">
        <v>38</v>
      </c>
      <c r="F818" s="3" t="s">
        <v>4189</v>
      </c>
      <c r="G818" s="3" t="s">
        <v>39</v>
      </c>
      <c r="H818" s="3" t="s">
        <v>253</v>
      </c>
      <c r="I818" s="2">
        <v>107</v>
      </c>
      <c r="J818" s="2">
        <v>54</v>
      </c>
      <c r="K818" s="2">
        <v>4</v>
      </c>
      <c r="O818" s="2">
        <v>7</v>
      </c>
      <c r="P818" s="2">
        <v>14</v>
      </c>
      <c r="U818" s="2">
        <v>2</v>
      </c>
      <c r="V818" s="2">
        <v>41</v>
      </c>
      <c r="W818" s="2">
        <v>2</v>
      </c>
      <c r="X818" s="2">
        <v>27</v>
      </c>
      <c r="AA818" s="3" t="s">
        <v>40</v>
      </c>
      <c r="AB818" s="2">
        <v>2</v>
      </c>
      <c r="AF818" s="2">
        <v>30.5</v>
      </c>
      <c r="AG818" s="2">
        <v>2</v>
      </c>
      <c r="AH818" s="3" t="s">
        <v>383</v>
      </c>
      <c r="AI818" s="4">
        <v>44740</v>
      </c>
      <c r="AJ818" s="3" t="s">
        <v>883</v>
      </c>
      <c r="AK818" s="3" t="s">
        <v>38</v>
      </c>
    </row>
    <row r="819" spans="1:37" hidden="1" x14ac:dyDescent="0.25">
      <c r="A819" t="str">
        <f t="shared" si="12"/>
        <v>2022_Vic_Kalkee_Lentil_DetailedTOS2VarietyHallmarkXTWaterTrtRainFed</v>
      </c>
      <c r="B819" s="2">
        <v>2022005</v>
      </c>
      <c r="C819" s="3" t="s">
        <v>776</v>
      </c>
      <c r="D819" s="3" t="s">
        <v>38</v>
      </c>
      <c r="F819" s="3" t="s">
        <v>4189</v>
      </c>
      <c r="G819" s="3" t="s">
        <v>39</v>
      </c>
      <c r="H819" s="3" t="s">
        <v>250</v>
      </c>
      <c r="I819" s="2">
        <v>108</v>
      </c>
      <c r="J819" s="2">
        <v>54</v>
      </c>
      <c r="K819" s="2">
        <v>4</v>
      </c>
      <c r="O819" s="2">
        <v>7</v>
      </c>
      <c r="P819" s="2">
        <v>14</v>
      </c>
      <c r="U819" s="2">
        <v>2</v>
      </c>
      <c r="V819" s="2">
        <v>42</v>
      </c>
      <c r="W819" s="2">
        <v>2</v>
      </c>
      <c r="X819" s="2">
        <v>28</v>
      </c>
      <c r="Z819" s="2">
        <v>55</v>
      </c>
      <c r="AA819" s="3" t="s">
        <v>40</v>
      </c>
      <c r="AB819" s="2">
        <v>2</v>
      </c>
      <c r="AF819" s="2">
        <v>30.5</v>
      </c>
      <c r="AG819" s="2">
        <v>2</v>
      </c>
      <c r="AH819" s="3" t="s">
        <v>383</v>
      </c>
      <c r="AI819" s="4">
        <v>44740</v>
      </c>
      <c r="AJ819" s="3" t="s">
        <v>884</v>
      </c>
      <c r="AK819" s="3" t="s">
        <v>38</v>
      </c>
    </row>
    <row r="820" spans="1:37" hidden="1" x14ac:dyDescent="0.25">
      <c r="A820" t="str">
        <f t="shared" si="12"/>
        <v>2022_Vic_Kalkee_Lentil_DetailedTOS2VarietyBoltWaterTrtRainFed</v>
      </c>
      <c r="B820" s="2">
        <v>2022005</v>
      </c>
      <c r="C820" s="3" t="s">
        <v>776</v>
      </c>
      <c r="D820" s="3" t="s">
        <v>38</v>
      </c>
      <c r="F820" s="3" t="s">
        <v>4187</v>
      </c>
      <c r="G820" s="3" t="s">
        <v>39</v>
      </c>
      <c r="H820" s="3" t="s">
        <v>253</v>
      </c>
      <c r="I820" s="2">
        <v>109</v>
      </c>
      <c r="J820" s="2">
        <v>55</v>
      </c>
      <c r="K820" s="2">
        <v>4</v>
      </c>
      <c r="O820" s="2">
        <v>7</v>
      </c>
      <c r="P820" s="2">
        <v>14</v>
      </c>
      <c r="U820" s="2">
        <v>3</v>
      </c>
      <c r="V820" s="2">
        <v>41</v>
      </c>
      <c r="W820" s="2">
        <v>3</v>
      </c>
      <c r="X820" s="2">
        <v>27</v>
      </c>
      <c r="AA820" s="3" t="s">
        <v>40</v>
      </c>
      <c r="AB820" s="2">
        <v>1</v>
      </c>
      <c r="AF820" s="2">
        <v>30.5</v>
      </c>
      <c r="AG820" s="2">
        <v>2</v>
      </c>
      <c r="AH820" s="3" t="s">
        <v>383</v>
      </c>
      <c r="AI820" s="4">
        <v>44740</v>
      </c>
      <c r="AJ820" s="3" t="s">
        <v>885</v>
      </c>
      <c r="AK820" s="3" t="s">
        <v>38</v>
      </c>
    </row>
    <row r="821" spans="1:37" hidden="1" x14ac:dyDescent="0.25">
      <c r="A821" t="str">
        <f t="shared" si="12"/>
        <v>2022_Vic_Kalkee_Lentil_DetailedTOS2VarietyBoltWaterTrtRainFed</v>
      </c>
      <c r="B821" s="2">
        <v>2022005</v>
      </c>
      <c r="C821" s="3" t="s">
        <v>776</v>
      </c>
      <c r="D821" s="3" t="s">
        <v>38</v>
      </c>
      <c r="F821" s="3" t="s">
        <v>4187</v>
      </c>
      <c r="G821" s="3" t="s">
        <v>39</v>
      </c>
      <c r="H821" s="3" t="s">
        <v>250</v>
      </c>
      <c r="I821" s="2">
        <v>110</v>
      </c>
      <c r="J821" s="2">
        <v>55</v>
      </c>
      <c r="K821" s="2">
        <v>4</v>
      </c>
      <c r="O821" s="2">
        <v>7</v>
      </c>
      <c r="P821" s="2">
        <v>14</v>
      </c>
      <c r="U821" s="2">
        <v>3</v>
      </c>
      <c r="V821" s="2">
        <v>42</v>
      </c>
      <c r="W821" s="2">
        <v>3</v>
      </c>
      <c r="X821" s="2">
        <v>28</v>
      </c>
      <c r="Z821" s="2">
        <v>54</v>
      </c>
      <c r="AA821" s="3" t="s">
        <v>40</v>
      </c>
      <c r="AB821" s="2">
        <v>1</v>
      </c>
      <c r="AF821" s="2">
        <v>30.5</v>
      </c>
      <c r="AG821" s="2">
        <v>2</v>
      </c>
      <c r="AH821" s="3" t="s">
        <v>383</v>
      </c>
      <c r="AI821" s="4">
        <v>44740</v>
      </c>
      <c r="AJ821" s="3" t="s">
        <v>886</v>
      </c>
      <c r="AK821" s="3" t="s">
        <v>38</v>
      </c>
    </row>
    <row r="822" spans="1:37" hidden="1" x14ac:dyDescent="0.25">
      <c r="A822" t="str">
        <f t="shared" si="12"/>
        <v>2022_Vic_Kalkee_Lentil_DetailedTOS2VarietyKelpieXTWaterTrtRainFed</v>
      </c>
      <c r="B822" s="2">
        <v>2022005</v>
      </c>
      <c r="C822" s="3" t="s">
        <v>776</v>
      </c>
      <c r="D822" s="3" t="s">
        <v>38</v>
      </c>
      <c r="F822" s="3" t="s">
        <v>4188</v>
      </c>
      <c r="G822" s="3" t="s">
        <v>43</v>
      </c>
      <c r="H822" s="3" t="s">
        <v>253</v>
      </c>
      <c r="I822" s="2">
        <v>111</v>
      </c>
      <c r="J822" s="2">
        <v>56</v>
      </c>
      <c r="K822" s="2">
        <v>4</v>
      </c>
      <c r="O822" s="2">
        <v>7</v>
      </c>
      <c r="P822" s="2">
        <v>14</v>
      </c>
      <c r="U822" s="2">
        <v>4</v>
      </c>
      <c r="V822" s="2">
        <v>41</v>
      </c>
      <c r="W822" s="2">
        <v>4</v>
      </c>
      <c r="X822" s="2">
        <v>27</v>
      </c>
      <c r="AA822" s="3" t="s">
        <v>40</v>
      </c>
      <c r="AB822" s="2">
        <v>4</v>
      </c>
      <c r="AF822" s="2">
        <v>30.5</v>
      </c>
      <c r="AG822" s="2">
        <v>2</v>
      </c>
      <c r="AH822" s="3" t="s">
        <v>383</v>
      </c>
      <c r="AI822" s="4">
        <v>44740</v>
      </c>
      <c r="AJ822" s="3" t="s">
        <v>887</v>
      </c>
      <c r="AK822" s="3" t="s">
        <v>38</v>
      </c>
    </row>
    <row r="823" spans="1:37" hidden="1" x14ac:dyDescent="0.25">
      <c r="A823" t="str">
        <f t="shared" si="12"/>
        <v>2022_Vic_Kalkee_Lentil_DetailedTOS2VarietyKelpieXTWaterTrtRainFed</v>
      </c>
      <c r="B823" s="2">
        <v>2022005</v>
      </c>
      <c r="C823" s="3" t="s">
        <v>776</v>
      </c>
      <c r="D823" s="3" t="s">
        <v>38</v>
      </c>
      <c r="F823" s="3" t="s">
        <v>4188</v>
      </c>
      <c r="G823" s="3" t="s">
        <v>43</v>
      </c>
      <c r="H823" s="3" t="s">
        <v>250</v>
      </c>
      <c r="I823" s="2">
        <v>112</v>
      </c>
      <c r="J823" s="2">
        <v>56</v>
      </c>
      <c r="K823" s="2">
        <v>4</v>
      </c>
      <c r="O823" s="2">
        <v>7</v>
      </c>
      <c r="P823" s="2">
        <v>14</v>
      </c>
      <c r="U823" s="2">
        <v>4</v>
      </c>
      <c r="V823" s="2">
        <v>42</v>
      </c>
      <c r="W823" s="2">
        <v>4</v>
      </c>
      <c r="X823" s="2">
        <v>28</v>
      </c>
      <c r="Z823" s="2">
        <v>53</v>
      </c>
      <c r="AA823" s="3" t="s">
        <v>40</v>
      </c>
      <c r="AB823" s="2">
        <v>4</v>
      </c>
      <c r="AF823" s="2">
        <v>30.5</v>
      </c>
      <c r="AG823" s="2">
        <v>2</v>
      </c>
      <c r="AH823" s="3" t="s">
        <v>383</v>
      </c>
      <c r="AI823" s="4">
        <v>44740</v>
      </c>
      <c r="AJ823" s="3" t="s">
        <v>888</v>
      </c>
      <c r="AK823" s="3" t="s">
        <v>38</v>
      </c>
    </row>
    <row r="824" spans="1:37" hidden="1" x14ac:dyDescent="0.25">
      <c r="A824" t="str">
        <f t="shared" si="12"/>
        <v>2022_Vic_Kalkee_Lentil_DetailedTOS1VarietyKelpieXTWaterTrtIrrigated</v>
      </c>
      <c r="B824" s="2">
        <v>2022005</v>
      </c>
      <c r="C824" s="3" t="s">
        <v>776</v>
      </c>
      <c r="D824" s="3" t="s">
        <v>38</v>
      </c>
      <c r="F824" s="3" t="s">
        <v>4188</v>
      </c>
      <c r="G824" s="3" t="s">
        <v>43</v>
      </c>
      <c r="H824" s="3" t="s">
        <v>253</v>
      </c>
      <c r="I824" s="2">
        <v>113</v>
      </c>
      <c r="J824" s="2">
        <v>57</v>
      </c>
      <c r="K824" s="2">
        <v>4</v>
      </c>
      <c r="O824" s="2">
        <v>8</v>
      </c>
      <c r="P824" s="2">
        <v>15</v>
      </c>
      <c r="U824" s="2">
        <v>1</v>
      </c>
      <c r="V824" s="2">
        <v>44</v>
      </c>
      <c r="W824" s="2">
        <v>1</v>
      </c>
      <c r="X824" s="2">
        <v>29</v>
      </c>
      <c r="AA824" s="3" t="s">
        <v>57</v>
      </c>
      <c r="AB824" s="2">
        <v>4</v>
      </c>
      <c r="AF824" s="2">
        <v>30.5</v>
      </c>
      <c r="AG824" s="2">
        <v>1</v>
      </c>
      <c r="AH824" s="3" t="s">
        <v>400</v>
      </c>
      <c r="AI824" s="4">
        <v>44704</v>
      </c>
      <c r="AJ824" s="3" t="s">
        <v>889</v>
      </c>
      <c r="AK824" s="3" t="s">
        <v>38</v>
      </c>
    </row>
    <row r="825" spans="1:37" hidden="1" x14ac:dyDescent="0.25">
      <c r="A825" t="str">
        <f t="shared" si="12"/>
        <v>2022_Vic_Kalkee_Lentil_DetailedTOS1VarietyKelpieXTWaterTrtIrrigated</v>
      </c>
      <c r="B825" s="2">
        <v>2022005</v>
      </c>
      <c r="C825" s="3" t="s">
        <v>776</v>
      </c>
      <c r="D825" s="3" t="s">
        <v>38</v>
      </c>
      <c r="F825" s="3" t="s">
        <v>4188</v>
      </c>
      <c r="G825" s="3" t="s">
        <v>43</v>
      </c>
      <c r="H825" s="3" t="s">
        <v>250</v>
      </c>
      <c r="I825" s="2">
        <v>114</v>
      </c>
      <c r="J825" s="2">
        <v>57</v>
      </c>
      <c r="K825" s="2">
        <v>4</v>
      </c>
      <c r="O825" s="2">
        <v>8</v>
      </c>
      <c r="P825" s="2">
        <v>15</v>
      </c>
      <c r="U825" s="2">
        <v>1</v>
      </c>
      <c r="V825" s="2">
        <v>45</v>
      </c>
      <c r="W825" s="2">
        <v>1</v>
      </c>
      <c r="X825" s="2">
        <v>30</v>
      </c>
      <c r="Z825" s="2">
        <v>57</v>
      </c>
      <c r="AA825" s="3" t="s">
        <v>57</v>
      </c>
      <c r="AB825" s="2">
        <v>4</v>
      </c>
      <c r="AF825" s="2">
        <v>30.5</v>
      </c>
      <c r="AG825" s="2">
        <v>1</v>
      </c>
      <c r="AH825" s="3" t="s">
        <v>400</v>
      </c>
      <c r="AI825" s="4">
        <v>44704</v>
      </c>
      <c r="AJ825" s="3" t="s">
        <v>890</v>
      </c>
      <c r="AK825" s="3" t="s">
        <v>38</v>
      </c>
    </row>
    <row r="826" spans="1:37" hidden="1" x14ac:dyDescent="0.25">
      <c r="A826" t="str">
        <f t="shared" si="12"/>
        <v>2022_Vic_Kalkee_Lentil_DetailedTOS1VarietyJumbo2WaterTrtIrrigated</v>
      </c>
      <c r="B826" s="2">
        <v>2022005</v>
      </c>
      <c r="C826" s="3" t="s">
        <v>776</v>
      </c>
      <c r="D826" s="3" t="s">
        <v>38</v>
      </c>
      <c r="F826" s="3" t="s">
        <v>4176</v>
      </c>
      <c r="G826" s="3" t="s">
        <v>43</v>
      </c>
      <c r="H826" s="3" t="s">
        <v>253</v>
      </c>
      <c r="I826" s="2">
        <v>115</v>
      </c>
      <c r="J826" s="2">
        <v>58</v>
      </c>
      <c r="K826" s="2">
        <v>4</v>
      </c>
      <c r="O826" s="2">
        <v>8</v>
      </c>
      <c r="P826" s="2">
        <v>15</v>
      </c>
      <c r="U826" s="2">
        <v>2</v>
      </c>
      <c r="V826" s="2">
        <v>44</v>
      </c>
      <c r="W826" s="2">
        <v>2</v>
      </c>
      <c r="X826" s="2">
        <v>29</v>
      </c>
      <c r="AA826" s="3" t="s">
        <v>57</v>
      </c>
      <c r="AB826" s="2">
        <v>3</v>
      </c>
      <c r="AF826" s="2">
        <v>30.5</v>
      </c>
      <c r="AG826" s="2">
        <v>1</v>
      </c>
      <c r="AH826" s="3" t="s">
        <v>400</v>
      </c>
      <c r="AI826" s="4">
        <v>44704</v>
      </c>
      <c r="AJ826" s="3" t="s">
        <v>891</v>
      </c>
      <c r="AK826" s="3" t="s">
        <v>38</v>
      </c>
    </row>
    <row r="827" spans="1:37" hidden="1" x14ac:dyDescent="0.25">
      <c r="A827" t="str">
        <f t="shared" si="12"/>
        <v>2022_Vic_Kalkee_Lentil_DetailedTOS1VarietyJumbo2WaterTrtIrrigated</v>
      </c>
      <c r="B827" s="2">
        <v>2022005</v>
      </c>
      <c r="C827" s="3" t="s">
        <v>776</v>
      </c>
      <c r="D827" s="3" t="s">
        <v>38</v>
      </c>
      <c r="F827" s="3" t="s">
        <v>4176</v>
      </c>
      <c r="G827" s="3" t="s">
        <v>43</v>
      </c>
      <c r="H827" s="3" t="s">
        <v>250</v>
      </c>
      <c r="I827" s="2">
        <v>116</v>
      </c>
      <c r="J827" s="2">
        <v>58</v>
      </c>
      <c r="K827" s="2">
        <v>4</v>
      </c>
      <c r="O827" s="2">
        <v>8</v>
      </c>
      <c r="P827" s="2">
        <v>15</v>
      </c>
      <c r="U827" s="2">
        <v>2</v>
      </c>
      <c r="V827" s="2">
        <v>45</v>
      </c>
      <c r="W827" s="2">
        <v>2</v>
      </c>
      <c r="X827" s="2">
        <v>30</v>
      </c>
      <c r="Z827" s="2">
        <v>58</v>
      </c>
      <c r="AA827" s="3" t="s">
        <v>57</v>
      </c>
      <c r="AB827" s="2">
        <v>3</v>
      </c>
      <c r="AF827" s="2">
        <v>30.5</v>
      </c>
      <c r="AG827" s="2">
        <v>1</v>
      </c>
      <c r="AH827" s="3" t="s">
        <v>400</v>
      </c>
      <c r="AI827" s="4">
        <v>44704</v>
      </c>
      <c r="AJ827" s="3" t="s">
        <v>892</v>
      </c>
      <c r="AK827" s="3" t="s">
        <v>38</v>
      </c>
    </row>
    <row r="828" spans="1:37" hidden="1" x14ac:dyDescent="0.25">
      <c r="A828" t="str">
        <f t="shared" si="12"/>
        <v>2022_Vic_Kalkee_Lentil_DetailedTOS1VarietyHallmarkXTWaterTrtIrrigated</v>
      </c>
      <c r="B828" s="2">
        <v>2022005</v>
      </c>
      <c r="C828" s="3" t="s">
        <v>776</v>
      </c>
      <c r="D828" s="3" t="s">
        <v>38</v>
      </c>
      <c r="F828" s="3" t="s">
        <v>4189</v>
      </c>
      <c r="G828" s="3" t="s">
        <v>39</v>
      </c>
      <c r="H828" s="3" t="s">
        <v>253</v>
      </c>
      <c r="I828" s="2">
        <v>117</v>
      </c>
      <c r="J828" s="2">
        <v>59</v>
      </c>
      <c r="K828" s="2">
        <v>4</v>
      </c>
      <c r="O828" s="2">
        <v>8</v>
      </c>
      <c r="P828" s="2">
        <v>15</v>
      </c>
      <c r="U828" s="2">
        <v>3</v>
      </c>
      <c r="V828" s="2">
        <v>44</v>
      </c>
      <c r="W828" s="2">
        <v>3</v>
      </c>
      <c r="X828" s="2">
        <v>29</v>
      </c>
      <c r="AA828" s="3" t="s">
        <v>57</v>
      </c>
      <c r="AB828" s="2">
        <v>2</v>
      </c>
      <c r="AF828" s="2">
        <v>30.5</v>
      </c>
      <c r="AG828" s="2">
        <v>1</v>
      </c>
      <c r="AH828" s="3" t="s">
        <v>400</v>
      </c>
      <c r="AI828" s="4">
        <v>44704</v>
      </c>
      <c r="AJ828" s="3" t="s">
        <v>893</v>
      </c>
      <c r="AK828" s="3" t="s">
        <v>38</v>
      </c>
    </row>
    <row r="829" spans="1:37" hidden="1" x14ac:dyDescent="0.25">
      <c r="A829" t="str">
        <f t="shared" si="12"/>
        <v>2022_Vic_Kalkee_Lentil_DetailedTOS1VarietyHallmarkXTWaterTrtIrrigated</v>
      </c>
      <c r="B829" s="2">
        <v>2022005</v>
      </c>
      <c r="C829" s="3" t="s">
        <v>776</v>
      </c>
      <c r="D829" s="3" t="s">
        <v>38</v>
      </c>
      <c r="F829" s="3" t="s">
        <v>4189</v>
      </c>
      <c r="G829" s="3" t="s">
        <v>39</v>
      </c>
      <c r="H829" s="3" t="s">
        <v>250</v>
      </c>
      <c r="I829" s="2">
        <v>118</v>
      </c>
      <c r="J829" s="2">
        <v>59</v>
      </c>
      <c r="K829" s="2">
        <v>4</v>
      </c>
      <c r="O829" s="2">
        <v>8</v>
      </c>
      <c r="P829" s="2">
        <v>15</v>
      </c>
      <c r="U829" s="2">
        <v>3</v>
      </c>
      <c r="V829" s="2">
        <v>45</v>
      </c>
      <c r="W829" s="2">
        <v>3</v>
      </c>
      <c r="X829" s="2">
        <v>30</v>
      </c>
      <c r="Z829" s="2">
        <v>59</v>
      </c>
      <c r="AA829" s="3" t="s">
        <v>57</v>
      </c>
      <c r="AB829" s="2">
        <v>2</v>
      </c>
      <c r="AF829" s="2">
        <v>30.5</v>
      </c>
      <c r="AG829" s="2">
        <v>1</v>
      </c>
      <c r="AH829" s="3" t="s">
        <v>400</v>
      </c>
      <c r="AI829" s="4">
        <v>44704</v>
      </c>
      <c r="AJ829" s="3" t="s">
        <v>894</v>
      </c>
      <c r="AK829" s="3" t="s">
        <v>38</v>
      </c>
    </row>
    <row r="830" spans="1:37" hidden="1" x14ac:dyDescent="0.25">
      <c r="A830" t="str">
        <f t="shared" si="12"/>
        <v>2022_Vic_Kalkee_Lentil_DetailedTOS1VarietyBoltWaterTrtIrrigated</v>
      </c>
      <c r="B830" s="2">
        <v>2022005</v>
      </c>
      <c r="C830" s="3" t="s">
        <v>776</v>
      </c>
      <c r="D830" s="3" t="s">
        <v>38</v>
      </c>
      <c r="F830" s="3" t="s">
        <v>4187</v>
      </c>
      <c r="G830" s="3" t="s">
        <v>39</v>
      </c>
      <c r="H830" s="3" t="s">
        <v>253</v>
      </c>
      <c r="I830" s="2">
        <v>119</v>
      </c>
      <c r="J830" s="2">
        <v>60</v>
      </c>
      <c r="K830" s="2">
        <v>4</v>
      </c>
      <c r="O830" s="2">
        <v>8</v>
      </c>
      <c r="P830" s="2">
        <v>15</v>
      </c>
      <c r="U830" s="2">
        <v>4</v>
      </c>
      <c r="V830" s="2">
        <v>44</v>
      </c>
      <c r="W830" s="2">
        <v>4</v>
      </c>
      <c r="X830" s="2">
        <v>29</v>
      </c>
      <c r="AA830" s="3" t="s">
        <v>57</v>
      </c>
      <c r="AB830" s="2">
        <v>1</v>
      </c>
      <c r="AF830" s="2">
        <v>30.5</v>
      </c>
      <c r="AG830" s="2">
        <v>1</v>
      </c>
      <c r="AH830" s="3" t="s">
        <v>400</v>
      </c>
      <c r="AI830" s="4">
        <v>44704</v>
      </c>
      <c r="AJ830" s="3" t="s">
        <v>895</v>
      </c>
      <c r="AK830" s="3" t="s">
        <v>38</v>
      </c>
    </row>
    <row r="831" spans="1:37" hidden="1" x14ac:dyDescent="0.25">
      <c r="A831" t="str">
        <f t="shared" si="12"/>
        <v>2022_Vic_Kalkee_Lentil_DetailedTOS1VarietyBoltWaterTrtIrrigated</v>
      </c>
      <c r="B831" s="2">
        <v>2022005</v>
      </c>
      <c r="C831" s="3" t="s">
        <v>776</v>
      </c>
      <c r="D831" s="3" t="s">
        <v>38</v>
      </c>
      <c r="F831" s="3" t="s">
        <v>4187</v>
      </c>
      <c r="G831" s="3" t="s">
        <v>39</v>
      </c>
      <c r="H831" s="3" t="s">
        <v>250</v>
      </c>
      <c r="I831" s="2">
        <v>120</v>
      </c>
      <c r="J831" s="2">
        <v>60</v>
      </c>
      <c r="K831" s="2">
        <v>4</v>
      </c>
      <c r="O831" s="2">
        <v>8</v>
      </c>
      <c r="P831" s="2">
        <v>15</v>
      </c>
      <c r="U831" s="2">
        <v>4</v>
      </c>
      <c r="V831" s="2">
        <v>45</v>
      </c>
      <c r="W831" s="2">
        <v>4</v>
      </c>
      <c r="X831" s="2">
        <v>30</v>
      </c>
      <c r="Z831" s="2">
        <v>60</v>
      </c>
      <c r="AA831" s="3" t="s">
        <v>57</v>
      </c>
      <c r="AB831" s="2">
        <v>1</v>
      </c>
      <c r="AF831" s="2">
        <v>30.5</v>
      </c>
      <c r="AG831" s="2">
        <v>1</v>
      </c>
      <c r="AH831" s="3" t="s">
        <v>400</v>
      </c>
      <c r="AI831" s="4">
        <v>44704</v>
      </c>
      <c r="AJ831" s="3" t="s">
        <v>896</v>
      </c>
      <c r="AK831" s="3" t="s">
        <v>38</v>
      </c>
    </row>
    <row r="832" spans="1:37" hidden="1" x14ac:dyDescent="0.25">
      <c r="A832" t="str">
        <f t="shared" si="12"/>
        <v>2022_Vic_Kalkee_Lentil_DetailedTOS1VarietyHallmarkXTWaterTrtRainFed</v>
      </c>
      <c r="B832" s="2">
        <v>2022005</v>
      </c>
      <c r="C832" s="3" t="s">
        <v>776</v>
      </c>
      <c r="D832" s="3" t="s">
        <v>38</v>
      </c>
      <c r="F832" s="3" t="s">
        <v>4189</v>
      </c>
      <c r="G832" s="3" t="s">
        <v>39</v>
      </c>
      <c r="H832" s="3" t="s">
        <v>253</v>
      </c>
      <c r="I832" s="2">
        <v>121</v>
      </c>
      <c r="J832" s="2">
        <v>61</v>
      </c>
      <c r="K832" s="2">
        <v>4</v>
      </c>
      <c r="O832" s="2">
        <v>8</v>
      </c>
      <c r="P832" s="2">
        <v>16</v>
      </c>
      <c r="U832" s="2">
        <v>1</v>
      </c>
      <c r="V832" s="2">
        <v>47</v>
      </c>
      <c r="W832" s="2">
        <v>1</v>
      </c>
      <c r="X832" s="2">
        <v>31</v>
      </c>
      <c r="AA832" s="3" t="s">
        <v>40</v>
      </c>
      <c r="AB832" s="2">
        <v>2</v>
      </c>
      <c r="AF832" s="2">
        <v>30.5</v>
      </c>
      <c r="AG832" s="2">
        <v>1</v>
      </c>
      <c r="AH832" s="3" t="s">
        <v>400</v>
      </c>
      <c r="AI832" s="4">
        <v>44704</v>
      </c>
      <c r="AJ832" s="3" t="s">
        <v>897</v>
      </c>
      <c r="AK832" s="3" t="s">
        <v>38</v>
      </c>
    </row>
    <row r="833" spans="1:37" hidden="1" x14ac:dyDescent="0.25">
      <c r="A833" t="str">
        <f t="shared" si="12"/>
        <v>2022_Vic_Kalkee_Lentil_DetailedTOS1VarietyHallmarkXTWaterTrtRainFed</v>
      </c>
      <c r="B833" s="2">
        <v>2022005</v>
      </c>
      <c r="C833" s="3" t="s">
        <v>776</v>
      </c>
      <c r="D833" s="3" t="s">
        <v>38</v>
      </c>
      <c r="F833" s="3" t="s">
        <v>4189</v>
      </c>
      <c r="G833" s="3" t="s">
        <v>39</v>
      </c>
      <c r="H833" s="3" t="s">
        <v>250</v>
      </c>
      <c r="I833" s="2">
        <v>122</v>
      </c>
      <c r="J833" s="2">
        <v>61</v>
      </c>
      <c r="K833" s="2">
        <v>4</v>
      </c>
      <c r="O833" s="2">
        <v>8</v>
      </c>
      <c r="P833" s="2">
        <v>16</v>
      </c>
      <c r="U833" s="2">
        <v>1</v>
      </c>
      <c r="V833" s="2">
        <v>48</v>
      </c>
      <c r="W833" s="2">
        <v>1</v>
      </c>
      <c r="X833" s="2">
        <v>32</v>
      </c>
      <c r="Z833" s="2">
        <v>64</v>
      </c>
      <c r="AA833" s="3" t="s">
        <v>40</v>
      </c>
      <c r="AB833" s="2">
        <v>2</v>
      </c>
      <c r="AF833" s="2">
        <v>30.5</v>
      </c>
      <c r="AG833" s="2">
        <v>1</v>
      </c>
      <c r="AH833" s="3" t="s">
        <v>400</v>
      </c>
      <c r="AI833" s="4">
        <v>44704</v>
      </c>
      <c r="AJ833" s="3" t="s">
        <v>898</v>
      </c>
      <c r="AK833" s="3" t="s">
        <v>38</v>
      </c>
    </row>
    <row r="834" spans="1:37" hidden="1" x14ac:dyDescent="0.25">
      <c r="A834" t="str">
        <f t="shared" si="12"/>
        <v>2022_Vic_Kalkee_Lentil_DetailedTOS1VarietyBoltWaterTrtRainFed</v>
      </c>
      <c r="B834" s="2">
        <v>2022005</v>
      </c>
      <c r="C834" s="3" t="s">
        <v>776</v>
      </c>
      <c r="D834" s="3" t="s">
        <v>38</v>
      </c>
      <c r="F834" s="3" t="s">
        <v>4187</v>
      </c>
      <c r="G834" s="3" t="s">
        <v>39</v>
      </c>
      <c r="H834" s="3" t="s">
        <v>253</v>
      </c>
      <c r="I834" s="2">
        <v>123</v>
      </c>
      <c r="J834" s="2">
        <v>62</v>
      </c>
      <c r="K834" s="2">
        <v>4</v>
      </c>
      <c r="O834" s="2">
        <v>8</v>
      </c>
      <c r="P834" s="2">
        <v>16</v>
      </c>
      <c r="U834" s="2">
        <v>2</v>
      </c>
      <c r="V834" s="2">
        <v>47</v>
      </c>
      <c r="W834" s="2">
        <v>2</v>
      </c>
      <c r="X834" s="2">
        <v>31</v>
      </c>
      <c r="AA834" s="3" t="s">
        <v>40</v>
      </c>
      <c r="AB834" s="2">
        <v>1</v>
      </c>
      <c r="AF834" s="2">
        <v>30.5</v>
      </c>
      <c r="AG834" s="2">
        <v>1</v>
      </c>
      <c r="AH834" s="3" t="s">
        <v>400</v>
      </c>
      <c r="AI834" s="4">
        <v>44704</v>
      </c>
      <c r="AJ834" s="3" t="s">
        <v>899</v>
      </c>
      <c r="AK834" s="3" t="s">
        <v>38</v>
      </c>
    </row>
    <row r="835" spans="1:37" hidden="1" x14ac:dyDescent="0.25">
      <c r="A835" t="str">
        <f t="shared" ref="A835:A898" si="13">C835&amp;"TOS"&amp;AG835&amp;"Variety"&amp;F835&amp;"WaterTrt"&amp;AA835&amp;IF(AC835="","","Agronomy"&amp;AC835)</f>
        <v>2022_Vic_Kalkee_Lentil_DetailedTOS1VarietyBoltWaterTrtRainFed</v>
      </c>
      <c r="B835" s="2">
        <v>2022005</v>
      </c>
      <c r="C835" s="3" t="s">
        <v>776</v>
      </c>
      <c r="D835" s="3" t="s">
        <v>38</v>
      </c>
      <c r="F835" s="3" t="s">
        <v>4187</v>
      </c>
      <c r="G835" s="3" t="s">
        <v>39</v>
      </c>
      <c r="H835" s="3" t="s">
        <v>250</v>
      </c>
      <c r="I835" s="2">
        <v>124</v>
      </c>
      <c r="J835" s="2">
        <v>62</v>
      </c>
      <c r="K835" s="2">
        <v>4</v>
      </c>
      <c r="O835" s="2">
        <v>8</v>
      </c>
      <c r="P835" s="2">
        <v>16</v>
      </c>
      <c r="U835" s="2">
        <v>2</v>
      </c>
      <c r="V835" s="2">
        <v>48</v>
      </c>
      <c r="W835" s="2">
        <v>2</v>
      </c>
      <c r="X835" s="2">
        <v>32</v>
      </c>
      <c r="Z835" s="2">
        <v>63</v>
      </c>
      <c r="AA835" s="3" t="s">
        <v>40</v>
      </c>
      <c r="AB835" s="2">
        <v>1</v>
      </c>
      <c r="AF835" s="2">
        <v>30.5</v>
      </c>
      <c r="AG835" s="2">
        <v>1</v>
      </c>
      <c r="AH835" s="3" t="s">
        <v>400</v>
      </c>
      <c r="AI835" s="4">
        <v>44704</v>
      </c>
      <c r="AJ835" s="3" t="s">
        <v>900</v>
      </c>
      <c r="AK835" s="3" t="s">
        <v>38</v>
      </c>
    </row>
    <row r="836" spans="1:37" hidden="1" x14ac:dyDescent="0.25">
      <c r="A836" t="str">
        <f t="shared" si="13"/>
        <v>2022_Vic_Kalkee_Lentil_DetailedTOS1VarietyKelpieXTWaterTrtRainFed</v>
      </c>
      <c r="B836" s="2">
        <v>2022005</v>
      </c>
      <c r="C836" s="3" t="s">
        <v>776</v>
      </c>
      <c r="D836" s="3" t="s">
        <v>38</v>
      </c>
      <c r="F836" s="3" t="s">
        <v>4188</v>
      </c>
      <c r="G836" s="3" t="s">
        <v>43</v>
      </c>
      <c r="H836" s="3" t="s">
        <v>253</v>
      </c>
      <c r="I836" s="2">
        <v>125</v>
      </c>
      <c r="J836" s="2">
        <v>63</v>
      </c>
      <c r="K836" s="2">
        <v>4</v>
      </c>
      <c r="O836" s="2">
        <v>8</v>
      </c>
      <c r="P836" s="2">
        <v>16</v>
      </c>
      <c r="U836" s="2">
        <v>3</v>
      </c>
      <c r="V836" s="2">
        <v>47</v>
      </c>
      <c r="W836" s="2">
        <v>3</v>
      </c>
      <c r="X836" s="2">
        <v>31</v>
      </c>
      <c r="AA836" s="3" t="s">
        <v>40</v>
      </c>
      <c r="AB836" s="2">
        <v>4</v>
      </c>
      <c r="AF836" s="2">
        <v>30.5</v>
      </c>
      <c r="AG836" s="2">
        <v>1</v>
      </c>
      <c r="AH836" s="3" t="s">
        <v>400</v>
      </c>
      <c r="AI836" s="4">
        <v>44704</v>
      </c>
      <c r="AJ836" s="3" t="s">
        <v>901</v>
      </c>
      <c r="AK836" s="3" t="s">
        <v>38</v>
      </c>
    </row>
    <row r="837" spans="1:37" hidden="1" x14ac:dyDescent="0.25">
      <c r="A837" t="str">
        <f t="shared" si="13"/>
        <v>2022_Vic_Kalkee_Lentil_DetailedTOS1VarietyKelpieXTWaterTrtRainFed</v>
      </c>
      <c r="B837" s="2">
        <v>2022005</v>
      </c>
      <c r="C837" s="3" t="s">
        <v>776</v>
      </c>
      <c r="D837" s="3" t="s">
        <v>38</v>
      </c>
      <c r="F837" s="3" t="s">
        <v>4188</v>
      </c>
      <c r="G837" s="3" t="s">
        <v>43</v>
      </c>
      <c r="H837" s="3" t="s">
        <v>250</v>
      </c>
      <c r="I837" s="2">
        <v>126</v>
      </c>
      <c r="J837" s="2">
        <v>63</v>
      </c>
      <c r="K837" s="2">
        <v>4</v>
      </c>
      <c r="O837" s="2">
        <v>8</v>
      </c>
      <c r="P837" s="2">
        <v>16</v>
      </c>
      <c r="U837" s="2">
        <v>3</v>
      </c>
      <c r="V837" s="2">
        <v>48</v>
      </c>
      <c r="W837" s="2">
        <v>3</v>
      </c>
      <c r="X837" s="2">
        <v>32</v>
      </c>
      <c r="Z837" s="2">
        <v>62</v>
      </c>
      <c r="AA837" s="3" t="s">
        <v>40</v>
      </c>
      <c r="AB837" s="2">
        <v>4</v>
      </c>
      <c r="AF837" s="2">
        <v>30.5</v>
      </c>
      <c r="AG837" s="2">
        <v>1</v>
      </c>
      <c r="AH837" s="3" t="s">
        <v>400</v>
      </c>
      <c r="AI837" s="4">
        <v>44704</v>
      </c>
      <c r="AJ837" s="3" t="s">
        <v>902</v>
      </c>
      <c r="AK837" s="3" t="s">
        <v>38</v>
      </c>
    </row>
    <row r="838" spans="1:37" hidden="1" x14ac:dyDescent="0.25">
      <c r="A838" t="str">
        <f t="shared" si="13"/>
        <v>2022_Vic_Kalkee_Lentil_DetailedTOS1VarietyJumbo2WaterTrtRainFed</v>
      </c>
      <c r="B838" s="2">
        <v>2022005</v>
      </c>
      <c r="C838" s="3" t="s">
        <v>776</v>
      </c>
      <c r="D838" s="3" t="s">
        <v>38</v>
      </c>
      <c r="F838" s="3" t="s">
        <v>4176</v>
      </c>
      <c r="G838" s="3" t="s">
        <v>43</v>
      </c>
      <c r="H838" s="3" t="s">
        <v>253</v>
      </c>
      <c r="I838" s="2">
        <v>127</v>
      </c>
      <c r="J838" s="2">
        <v>64</v>
      </c>
      <c r="K838" s="2">
        <v>4</v>
      </c>
      <c r="O838" s="2">
        <v>8</v>
      </c>
      <c r="P838" s="2">
        <v>16</v>
      </c>
      <c r="U838" s="2">
        <v>4</v>
      </c>
      <c r="V838" s="2">
        <v>47</v>
      </c>
      <c r="W838" s="2">
        <v>4</v>
      </c>
      <c r="X838" s="2">
        <v>31</v>
      </c>
      <c r="AA838" s="3" t="s">
        <v>40</v>
      </c>
      <c r="AB838" s="2">
        <v>3</v>
      </c>
      <c r="AF838" s="2">
        <v>30.5</v>
      </c>
      <c r="AG838" s="2">
        <v>1</v>
      </c>
      <c r="AH838" s="3" t="s">
        <v>400</v>
      </c>
      <c r="AI838" s="4">
        <v>44704</v>
      </c>
      <c r="AJ838" s="3" t="s">
        <v>903</v>
      </c>
      <c r="AK838" s="3" t="s">
        <v>38</v>
      </c>
    </row>
    <row r="839" spans="1:37" hidden="1" x14ac:dyDescent="0.25">
      <c r="A839" t="str">
        <f t="shared" si="13"/>
        <v>2022_Vic_Kalkee_Lentil_DetailedTOS1VarietyJumbo2WaterTrtRainFed</v>
      </c>
      <c r="B839" s="2">
        <v>2022005</v>
      </c>
      <c r="C839" s="3" t="s">
        <v>776</v>
      </c>
      <c r="D839" s="3" t="s">
        <v>38</v>
      </c>
      <c r="F839" s="3" t="s">
        <v>4176</v>
      </c>
      <c r="G839" s="3" t="s">
        <v>43</v>
      </c>
      <c r="H839" s="3" t="s">
        <v>250</v>
      </c>
      <c r="I839" s="2">
        <v>128</v>
      </c>
      <c r="J839" s="2">
        <v>64</v>
      </c>
      <c r="K839" s="2">
        <v>4</v>
      </c>
      <c r="O839" s="2">
        <v>8</v>
      </c>
      <c r="P839" s="2">
        <v>16</v>
      </c>
      <c r="U839" s="2">
        <v>4</v>
      </c>
      <c r="V839" s="2">
        <v>48</v>
      </c>
      <c r="W839" s="2">
        <v>4</v>
      </c>
      <c r="X839" s="2">
        <v>32</v>
      </c>
      <c r="Z839" s="2">
        <v>61</v>
      </c>
      <c r="AA839" s="3" t="s">
        <v>40</v>
      </c>
      <c r="AB839" s="2">
        <v>3</v>
      </c>
      <c r="AF839" s="2">
        <v>30.5</v>
      </c>
      <c r="AG839" s="2">
        <v>1</v>
      </c>
      <c r="AH839" s="3" t="s">
        <v>400</v>
      </c>
      <c r="AI839" s="4">
        <v>44704</v>
      </c>
      <c r="AJ839" s="3" t="s">
        <v>904</v>
      </c>
      <c r="AK839" s="3" t="s">
        <v>38</v>
      </c>
    </row>
    <row r="840" spans="1:37" hidden="1" x14ac:dyDescent="0.25">
      <c r="A840" t="str">
        <f t="shared" si="13"/>
        <v>2022_SA_Riverton_Lentil_DetailedTOS1VarietyBoltWaterTrtRainFed</v>
      </c>
      <c r="B840" s="2">
        <v>2022006</v>
      </c>
      <c r="C840" s="3" t="s">
        <v>905</v>
      </c>
      <c r="D840" s="3" t="s">
        <v>38</v>
      </c>
      <c r="F840" s="3" t="s">
        <v>4187</v>
      </c>
      <c r="G840" s="3" t="s">
        <v>39</v>
      </c>
      <c r="H840" s="3" t="s">
        <v>253</v>
      </c>
      <c r="I840" s="2">
        <v>1</v>
      </c>
      <c r="J840" s="2">
        <v>1</v>
      </c>
      <c r="K840" s="2">
        <v>1</v>
      </c>
      <c r="O840" s="2">
        <v>1</v>
      </c>
      <c r="U840" s="2">
        <v>1</v>
      </c>
      <c r="V840" s="2">
        <v>2</v>
      </c>
      <c r="W840" s="2">
        <v>1</v>
      </c>
      <c r="X840" s="2">
        <v>1</v>
      </c>
      <c r="AA840" s="3" t="s">
        <v>40</v>
      </c>
      <c r="AB840" s="2">
        <v>1</v>
      </c>
      <c r="AF840" s="2">
        <v>23</v>
      </c>
      <c r="AG840" s="2">
        <v>1</v>
      </c>
      <c r="AH840" s="3" t="s">
        <v>655</v>
      </c>
      <c r="AI840" s="4">
        <v>44730</v>
      </c>
      <c r="AJ840" s="3" t="s">
        <v>906</v>
      </c>
      <c r="AK840" s="3" t="s">
        <v>38</v>
      </c>
    </row>
    <row r="841" spans="1:37" hidden="1" x14ac:dyDescent="0.25">
      <c r="A841" t="str">
        <f t="shared" si="13"/>
        <v>2022_SA_Riverton_Lentil_DetailedTOS1VarietyBoltWaterTrtRainFed</v>
      </c>
      <c r="B841" s="2">
        <v>2022006</v>
      </c>
      <c r="C841" s="3" t="s">
        <v>905</v>
      </c>
      <c r="D841" s="3" t="s">
        <v>38</v>
      </c>
      <c r="F841" s="3" t="s">
        <v>4187</v>
      </c>
      <c r="G841" s="3" t="s">
        <v>39</v>
      </c>
      <c r="H841" s="3" t="s">
        <v>250</v>
      </c>
      <c r="I841" s="2">
        <v>2</v>
      </c>
      <c r="J841" s="2">
        <v>1</v>
      </c>
      <c r="K841" s="2">
        <v>1</v>
      </c>
      <c r="O841" s="2">
        <v>1</v>
      </c>
      <c r="U841" s="2">
        <v>2</v>
      </c>
      <c r="V841" s="2">
        <v>2</v>
      </c>
      <c r="W841" s="2">
        <v>2</v>
      </c>
      <c r="X841" s="2">
        <v>1</v>
      </c>
      <c r="Z841" s="2">
        <v>2</v>
      </c>
      <c r="AA841" s="3" t="s">
        <v>40</v>
      </c>
      <c r="AB841" s="2">
        <v>1</v>
      </c>
      <c r="AF841" s="2">
        <v>23</v>
      </c>
      <c r="AG841" s="2">
        <v>1</v>
      </c>
      <c r="AH841" s="3" t="s">
        <v>655</v>
      </c>
      <c r="AI841" s="4">
        <v>44730</v>
      </c>
      <c r="AJ841" s="3" t="s">
        <v>907</v>
      </c>
      <c r="AK841" s="3" t="s">
        <v>38</v>
      </c>
    </row>
    <row r="842" spans="1:37" hidden="1" x14ac:dyDescent="0.25">
      <c r="A842" t="str">
        <f t="shared" si="13"/>
        <v>2022_SA_Riverton_Lentil_DetailedTOS1VarietyHallmarkXTWaterTrtRainFed</v>
      </c>
      <c r="B842" s="2">
        <v>2022006</v>
      </c>
      <c r="C842" s="3" t="s">
        <v>905</v>
      </c>
      <c r="D842" s="3" t="s">
        <v>38</v>
      </c>
      <c r="F842" s="3" t="s">
        <v>4189</v>
      </c>
      <c r="G842" s="3" t="s">
        <v>39</v>
      </c>
      <c r="H842" s="3" t="s">
        <v>253</v>
      </c>
      <c r="I842" s="2">
        <v>3</v>
      </c>
      <c r="J842" s="2">
        <v>2</v>
      </c>
      <c r="K842" s="2">
        <v>1</v>
      </c>
      <c r="O842" s="2">
        <v>1</v>
      </c>
      <c r="U842" s="2">
        <v>3</v>
      </c>
      <c r="V842" s="2">
        <v>2</v>
      </c>
      <c r="W842" s="2">
        <v>3</v>
      </c>
      <c r="X842" s="2">
        <v>1</v>
      </c>
      <c r="AA842" s="3" t="s">
        <v>40</v>
      </c>
      <c r="AB842" s="2">
        <v>2</v>
      </c>
      <c r="AF842" s="2">
        <v>23</v>
      </c>
      <c r="AG842" s="2">
        <v>1</v>
      </c>
      <c r="AH842" s="3" t="s">
        <v>655</v>
      </c>
      <c r="AI842" s="4">
        <v>44730</v>
      </c>
      <c r="AJ842" s="3" t="s">
        <v>908</v>
      </c>
      <c r="AK842" s="3" t="s">
        <v>38</v>
      </c>
    </row>
    <row r="843" spans="1:37" hidden="1" x14ac:dyDescent="0.25">
      <c r="A843" t="str">
        <f t="shared" si="13"/>
        <v>2022_SA_Riverton_Lentil_DetailedTOS1VarietyHallmarkXTWaterTrtRainFed</v>
      </c>
      <c r="B843" s="2">
        <v>2022006</v>
      </c>
      <c r="C843" s="3" t="s">
        <v>905</v>
      </c>
      <c r="D843" s="3" t="s">
        <v>38</v>
      </c>
      <c r="F843" s="3" t="s">
        <v>4189</v>
      </c>
      <c r="G843" s="3" t="s">
        <v>39</v>
      </c>
      <c r="H843" s="3" t="s">
        <v>250</v>
      </c>
      <c r="I843" s="2">
        <v>4</v>
      </c>
      <c r="J843" s="2">
        <v>2</v>
      </c>
      <c r="K843" s="2">
        <v>1</v>
      </c>
      <c r="O843" s="2">
        <v>1</v>
      </c>
      <c r="U843" s="2">
        <v>4</v>
      </c>
      <c r="V843" s="2">
        <v>2</v>
      </c>
      <c r="W843" s="2">
        <v>4</v>
      </c>
      <c r="X843" s="2">
        <v>1</v>
      </c>
      <c r="Z843" s="2">
        <v>4</v>
      </c>
      <c r="AA843" s="3" t="s">
        <v>40</v>
      </c>
      <c r="AB843" s="2">
        <v>2</v>
      </c>
      <c r="AF843" s="2">
        <v>23</v>
      </c>
      <c r="AG843" s="2">
        <v>1</v>
      </c>
      <c r="AH843" s="3" t="s">
        <v>655</v>
      </c>
      <c r="AI843" s="4">
        <v>44730</v>
      </c>
      <c r="AJ843" s="3" t="s">
        <v>909</v>
      </c>
      <c r="AK843" s="3" t="s">
        <v>38</v>
      </c>
    </row>
    <row r="844" spans="1:37" hidden="1" x14ac:dyDescent="0.25">
      <c r="A844" t="str">
        <f t="shared" si="13"/>
        <v>2022_SA_Riverton_Lentil_DetailedTOS1VarietyKelpieXTWaterTrtRainFed</v>
      </c>
      <c r="B844" s="2">
        <v>2022006</v>
      </c>
      <c r="C844" s="3" t="s">
        <v>905</v>
      </c>
      <c r="D844" s="3" t="s">
        <v>38</v>
      </c>
      <c r="F844" s="3" t="s">
        <v>4188</v>
      </c>
      <c r="G844" s="3" t="s">
        <v>43</v>
      </c>
      <c r="H844" s="3" t="s">
        <v>253</v>
      </c>
      <c r="I844" s="2">
        <v>5</v>
      </c>
      <c r="J844" s="2">
        <v>3</v>
      </c>
      <c r="K844" s="2">
        <v>1</v>
      </c>
      <c r="O844" s="2">
        <v>1</v>
      </c>
      <c r="U844" s="2">
        <v>1</v>
      </c>
      <c r="V844" s="2">
        <v>3</v>
      </c>
      <c r="W844" s="2">
        <v>1</v>
      </c>
      <c r="X844" s="2">
        <v>2</v>
      </c>
      <c r="AA844" s="3" t="s">
        <v>40</v>
      </c>
      <c r="AB844" s="2">
        <v>4</v>
      </c>
      <c r="AF844" s="2">
        <v>23</v>
      </c>
      <c r="AG844" s="2">
        <v>1</v>
      </c>
      <c r="AH844" s="3" t="s">
        <v>655</v>
      </c>
      <c r="AI844" s="4">
        <v>44730</v>
      </c>
      <c r="AJ844" s="3" t="s">
        <v>910</v>
      </c>
      <c r="AK844" s="3" t="s">
        <v>38</v>
      </c>
    </row>
    <row r="845" spans="1:37" hidden="1" x14ac:dyDescent="0.25">
      <c r="A845" t="str">
        <f t="shared" si="13"/>
        <v>2022_SA_Riverton_Lentil_DetailedTOS1VarietyKelpieXTWaterTrtRainFed</v>
      </c>
      <c r="B845" s="2">
        <v>2022006</v>
      </c>
      <c r="C845" s="3" t="s">
        <v>905</v>
      </c>
      <c r="D845" s="3" t="s">
        <v>38</v>
      </c>
      <c r="F845" s="3" t="s">
        <v>4188</v>
      </c>
      <c r="G845" s="3" t="s">
        <v>43</v>
      </c>
      <c r="H845" s="3" t="s">
        <v>250</v>
      </c>
      <c r="I845" s="2">
        <v>6</v>
      </c>
      <c r="J845" s="2">
        <v>3</v>
      </c>
      <c r="K845" s="2">
        <v>1</v>
      </c>
      <c r="O845" s="2">
        <v>1</v>
      </c>
      <c r="U845" s="2">
        <v>2</v>
      </c>
      <c r="V845" s="2">
        <v>3</v>
      </c>
      <c r="W845" s="2">
        <v>2</v>
      </c>
      <c r="X845" s="2">
        <v>2</v>
      </c>
      <c r="Z845" s="2">
        <v>7</v>
      </c>
      <c r="AA845" s="3" t="s">
        <v>40</v>
      </c>
      <c r="AB845" s="2">
        <v>4</v>
      </c>
      <c r="AF845" s="2">
        <v>23</v>
      </c>
      <c r="AG845" s="2">
        <v>1</v>
      </c>
      <c r="AH845" s="3" t="s">
        <v>655</v>
      </c>
      <c r="AI845" s="4">
        <v>44730</v>
      </c>
      <c r="AJ845" s="3" t="s">
        <v>911</v>
      </c>
      <c r="AK845" s="3" t="s">
        <v>38</v>
      </c>
    </row>
    <row r="846" spans="1:37" hidden="1" x14ac:dyDescent="0.25">
      <c r="A846" t="str">
        <f t="shared" si="13"/>
        <v>2022_SA_Riverton_Lentil_DetailedTOS1VarietyJumbo2WaterTrtRainFed</v>
      </c>
      <c r="B846" s="2">
        <v>2022006</v>
      </c>
      <c r="C846" s="3" t="s">
        <v>905</v>
      </c>
      <c r="D846" s="3" t="s">
        <v>38</v>
      </c>
      <c r="F846" s="3" t="s">
        <v>4176</v>
      </c>
      <c r="G846" s="3" t="s">
        <v>43</v>
      </c>
      <c r="H846" s="3" t="s">
        <v>253</v>
      </c>
      <c r="I846" s="2">
        <v>7</v>
      </c>
      <c r="J846" s="2">
        <v>4</v>
      </c>
      <c r="K846" s="2">
        <v>1</v>
      </c>
      <c r="O846" s="2">
        <v>1</v>
      </c>
      <c r="U846" s="2">
        <v>3</v>
      </c>
      <c r="V846" s="2">
        <v>3</v>
      </c>
      <c r="W846" s="2">
        <v>3</v>
      </c>
      <c r="X846" s="2">
        <v>2</v>
      </c>
      <c r="AA846" s="3" t="s">
        <v>40</v>
      </c>
      <c r="AB846" s="2">
        <v>3</v>
      </c>
      <c r="AF846" s="2">
        <v>23</v>
      </c>
      <c r="AG846" s="2">
        <v>1</v>
      </c>
      <c r="AH846" s="3" t="s">
        <v>655</v>
      </c>
      <c r="AI846" s="4">
        <v>44730</v>
      </c>
      <c r="AJ846" s="3" t="s">
        <v>912</v>
      </c>
      <c r="AK846" s="3" t="s">
        <v>38</v>
      </c>
    </row>
    <row r="847" spans="1:37" hidden="1" x14ac:dyDescent="0.25">
      <c r="A847" t="str">
        <f t="shared" si="13"/>
        <v>2022_SA_Riverton_Lentil_DetailedTOS1VarietyJumbo2WaterTrtRainFed</v>
      </c>
      <c r="B847" s="2">
        <v>2022006</v>
      </c>
      <c r="C847" s="3" t="s">
        <v>905</v>
      </c>
      <c r="D847" s="3" t="s">
        <v>38</v>
      </c>
      <c r="F847" s="3" t="s">
        <v>4176</v>
      </c>
      <c r="G847" s="3" t="s">
        <v>43</v>
      </c>
      <c r="H847" s="3" t="s">
        <v>250</v>
      </c>
      <c r="I847" s="2">
        <v>8</v>
      </c>
      <c r="J847" s="2">
        <v>4</v>
      </c>
      <c r="K847" s="2">
        <v>1</v>
      </c>
      <c r="O847" s="2">
        <v>1</v>
      </c>
      <c r="U847" s="2">
        <v>4</v>
      </c>
      <c r="V847" s="2">
        <v>3</v>
      </c>
      <c r="W847" s="2">
        <v>4</v>
      </c>
      <c r="X847" s="2">
        <v>2</v>
      </c>
      <c r="Z847" s="2">
        <v>5</v>
      </c>
      <c r="AA847" s="3" t="s">
        <v>40</v>
      </c>
      <c r="AB847" s="2">
        <v>3</v>
      </c>
      <c r="AF847" s="2">
        <v>23</v>
      </c>
      <c r="AG847" s="2">
        <v>1</v>
      </c>
      <c r="AH847" s="3" t="s">
        <v>655</v>
      </c>
      <c r="AI847" s="4">
        <v>44730</v>
      </c>
      <c r="AJ847" s="3" t="s">
        <v>913</v>
      </c>
      <c r="AK847" s="3" t="s">
        <v>38</v>
      </c>
    </row>
    <row r="848" spans="1:37" hidden="1" x14ac:dyDescent="0.25">
      <c r="A848" t="str">
        <f t="shared" si="13"/>
        <v>2022_SA_Riverton_Lentil_DetailedTOS2VarietyJumbo2WaterTrtIrrigated</v>
      </c>
      <c r="B848" s="2">
        <v>2022006</v>
      </c>
      <c r="C848" s="3" t="s">
        <v>905</v>
      </c>
      <c r="D848" s="3" t="s">
        <v>38</v>
      </c>
      <c r="F848" s="3" t="s">
        <v>4176</v>
      </c>
      <c r="G848" s="3" t="s">
        <v>43</v>
      </c>
      <c r="H848" s="3" t="s">
        <v>253</v>
      </c>
      <c r="I848" s="2">
        <v>9</v>
      </c>
      <c r="J848" s="2">
        <v>5</v>
      </c>
      <c r="K848" s="2">
        <v>1</v>
      </c>
      <c r="O848" s="2">
        <v>2</v>
      </c>
      <c r="U848" s="2">
        <v>1</v>
      </c>
      <c r="V848" s="2">
        <v>6</v>
      </c>
      <c r="W848" s="2">
        <v>1</v>
      </c>
      <c r="X848" s="2">
        <v>3</v>
      </c>
      <c r="AA848" s="3" t="s">
        <v>57</v>
      </c>
      <c r="AB848" s="2">
        <v>3</v>
      </c>
      <c r="AF848" s="2">
        <v>23</v>
      </c>
      <c r="AG848" s="2">
        <v>2</v>
      </c>
      <c r="AH848" s="3" t="s">
        <v>646</v>
      </c>
      <c r="AI848" s="4">
        <v>44756</v>
      </c>
      <c r="AJ848" s="3" t="s">
        <v>914</v>
      </c>
      <c r="AK848" s="3" t="s">
        <v>38</v>
      </c>
    </row>
    <row r="849" spans="1:37" hidden="1" x14ac:dyDescent="0.25">
      <c r="A849" t="str">
        <f t="shared" si="13"/>
        <v>2022_SA_Riverton_Lentil_DetailedTOS2VarietyJumbo2WaterTrtIrrigated</v>
      </c>
      <c r="B849" s="2">
        <v>2022006</v>
      </c>
      <c r="C849" s="3" t="s">
        <v>905</v>
      </c>
      <c r="D849" s="3" t="s">
        <v>38</v>
      </c>
      <c r="F849" s="3" t="s">
        <v>4176</v>
      </c>
      <c r="G849" s="3" t="s">
        <v>43</v>
      </c>
      <c r="H849" s="3" t="s">
        <v>250</v>
      </c>
      <c r="I849" s="2">
        <v>10</v>
      </c>
      <c r="J849" s="2">
        <v>5</v>
      </c>
      <c r="K849" s="2">
        <v>1</v>
      </c>
      <c r="O849" s="2">
        <v>2</v>
      </c>
      <c r="U849" s="2">
        <v>2</v>
      </c>
      <c r="V849" s="2">
        <v>6</v>
      </c>
      <c r="W849" s="2">
        <v>2</v>
      </c>
      <c r="X849" s="2">
        <v>3</v>
      </c>
      <c r="Z849" s="2">
        <v>10</v>
      </c>
      <c r="AA849" s="3" t="s">
        <v>57</v>
      </c>
      <c r="AB849" s="2">
        <v>3</v>
      </c>
      <c r="AF849" s="2">
        <v>23</v>
      </c>
      <c r="AG849" s="2">
        <v>2</v>
      </c>
      <c r="AH849" s="3" t="s">
        <v>646</v>
      </c>
      <c r="AI849" s="4">
        <v>44756</v>
      </c>
      <c r="AJ849" s="3" t="s">
        <v>915</v>
      </c>
      <c r="AK849" s="3" t="s">
        <v>38</v>
      </c>
    </row>
    <row r="850" spans="1:37" hidden="1" x14ac:dyDescent="0.25">
      <c r="A850" t="str">
        <f t="shared" si="13"/>
        <v>2022_SA_Riverton_Lentil_DetailedTOS2VarietyBoltWaterTrtIrrigated</v>
      </c>
      <c r="B850" s="2">
        <v>2022006</v>
      </c>
      <c r="C850" s="3" t="s">
        <v>905</v>
      </c>
      <c r="D850" s="3" t="s">
        <v>38</v>
      </c>
      <c r="F850" s="3" t="s">
        <v>4187</v>
      </c>
      <c r="G850" s="3" t="s">
        <v>39</v>
      </c>
      <c r="H850" s="3" t="s">
        <v>253</v>
      </c>
      <c r="I850" s="2">
        <v>11</v>
      </c>
      <c r="J850" s="2">
        <v>6</v>
      </c>
      <c r="K850" s="2">
        <v>1</v>
      </c>
      <c r="O850" s="2">
        <v>2</v>
      </c>
      <c r="U850" s="2">
        <v>3</v>
      </c>
      <c r="V850" s="2">
        <v>6</v>
      </c>
      <c r="W850" s="2">
        <v>3</v>
      </c>
      <c r="X850" s="2">
        <v>3</v>
      </c>
      <c r="AA850" s="3" t="s">
        <v>57</v>
      </c>
      <c r="AB850" s="2">
        <v>1</v>
      </c>
      <c r="AF850" s="2">
        <v>23</v>
      </c>
      <c r="AG850" s="2">
        <v>2</v>
      </c>
      <c r="AH850" s="3" t="s">
        <v>646</v>
      </c>
      <c r="AI850" s="4">
        <v>44756</v>
      </c>
      <c r="AJ850" s="3" t="s">
        <v>916</v>
      </c>
      <c r="AK850" s="3" t="s">
        <v>38</v>
      </c>
    </row>
    <row r="851" spans="1:37" hidden="1" x14ac:dyDescent="0.25">
      <c r="A851" t="str">
        <f t="shared" si="13"/>
        <v>2022_SA_Riverton_Lentil_DetailedTOS2VarietyBoltWaterTrtIrrigated</v>
      </c>
      <c r="B851" s="2">
        <v>2022006</v>
      </c>
      <c r="C851" s="3" t="s">
        <v>905</v>
      </c>
      <c r="D851" s="3" t="s">
        <v>38</v>
      </c>
      <c r="F851" s="3" t="s">
        <v>4187</v>
      </c>
      <c r="G851" s="3" t="s">
        <v>39</v>
      </c>
      <c r="H851" s="3" t="s">
        <v>250</v>
      </c>
      <c r="I851" s="2">
        <v>12</v>
      </c>
      <c r="J851" s="2">
        <v>6</v>
      </c>
      <c r="K851" s="2">
        <v>1</v>
      </c>
      <c r="O851" s="2">
        <v>2</v>
      </c>
      <c r="U851" s="2">
        <v>4</v>
      </c>
      <c r="V851" s="2">
        <v>6</v>
      </c>
      <c r="W851" s="2">
        <v>4</v>
      </c>
      <c r="X851" s="2">
        <v>3</v>
      </c>
      <c r="Z851" s="2">
        <v>12</v>
      </c>
      <c r="AA851" s="3" t="s">
        <v>57</v>
      </c>
      <c r="AB851" s="2">
        <v>1</v>
      </c>
      <c r="AF851" s="2">
        <v>23</v>
      </c>
      <c r="AG851" s="2">
        <v>2</v>
      </c>
      <c r="AH851" s="3" t="s">
        <v>646</v>
      </c>
      <c r="AI851" s="4">
        <v>44756</v>
      </c>
      <c r="AJ851" s="3" t="s">
        <v>917</v>
      </c>
      <c r="AK851" s="3" t="s">
        <v>38</v>
      </c>
    </row>
    <row r="852" spans="1:37" hidden="1" x14ac:dyDescent="0.25">
      <c r="A852" t="str">
        <f t="shared" si="13"/>
        <v>2022_SA_Riverton_Lentil_DetailedTOS2VarietyHallmarkXTWaterTrtIrrigated</v>
      </c>
      <c r="B852" s="2">
        <v>2022006</v>
      </c>
      <c r="C852" s="3" t="s">
        <v>905</v>
      </c>
      <c r="D852" s="3" t="s">
        <v>38</v>
      </c>
      <c r="F852" s="3" t="s">
        <v>4189</v>
      </c>
      <c r="G852" s="3" t="s">
        <v>39</v>
      </c>
      <c r="H852" s="3" t="s">
        <v>253</v>
      </c>
      <c r="I852" s="2">
        <v>13</v>
      </c>
      <c r="J852" s="2">
        <v>7</v>
      </c>
      <c r="K852" s="2">
        <v>1</v>
      </c>
      <c r="O852" s="2">
        <v>2</v>
      </c>
      <c r="U852" s="2">
        <v>1</v>
      </c>
      <c r="V852" s="2">
        <v>7</v>
      </c>
      <c r="W852" s="2">
        <v>1</v>
      </c>
      <c r="X852" s="2">
        <v>4</v>
      </c>
      <c r="AA852" s="3" t="s">
        <v>57</v>
      </c>
      <c r="AB852" s="2">
        <v>2</v>
      </c>
      <c r="AF852" s="2">
        <v>23</v>
      </c>
      <c r="AG852" s="2">
        <v>2</v>
      </c>
      <c r="AH852" s="3" t="s">
        <v>646</v>
      </c>
      <c r="AI852" s="4">
        <v>44756</v>
      </c>
      <c r="AJ852" s="3" t="s">
        <v>918</v>
      </c>
      <c r="AK852" s="3" t="s">
        <v>38</v>
      </c>
    </row>
    <row r="853" spans="1:37" hidden="1" x14ac:dyDescent="0.25">
      <c r="A853" t="str">
        <f t="shared" si="13"/>
        <v>2022_SA_Riverton_Lentil_DetailedTOS2VarietyHallmarkXTWaterTrtIrrigated</v>
      </c>
      <c r="B853" s="2">
        <v>2022006</v>
      </c>
      <c r="C853" s="3" t="s">
        <v>905</v>
      </c>
      <c r="D853" s="3" t="s">
        <v>38</v>
      </c>
      <c r="F853" s="3" t="s">
        <v>4189</v>
      </c>
      <c r="G853" s="3" t="s">
        <v>39</v>
      </c>
      <c r="H853" s="3" t="s">
        <v>250</v>
      </c>
      <c r="I853" s="2">
        <v>14</v>
      </c>
      <c r="J853" s="2">
        <v>7</v>
      </c>
      <c r="K853" s="2">
        <v>1</v>
      </c>
      <c r="O853" s="2">
        <v>2</v>
      </c>
      <c r="U853" s="2">
        <v>2</v>
      </c>
      <c r="V853" s="2">
        <v>7</v>
      </c>
      <c r="W853" s="2">
        <v>2</v>
      </c>
      <c r="X853" s="2">
        <v>4</v>
      </c>
      <c r="Z853" s="2">
        <v>15</v>
      </c>
      <c r="AA853" s="3" t="s">
        <v>57</v>
      </c>
      <c r="AB853" s="2">
        <v>2</v>
      </c>
      <c r="AF853" s="2">
        <v>23</v>
      </c>
      <c r="AG853" s="2">
        <v>2</v>
      </c>
      <c r="AH853" s="3" t="s">
        <v>646</v>
      </c>
      <c r="AI853" s="4">
        <v>44756</v>
      </c>
      <c r="AJ853" s="3" t="s">
        <v>919</v>
      </c>
      <c r="AK853" s="3" t="s">
        <v>38</v>
      </c>
    </row>
    <row r="854" spans="1:37" hidden="1" x14ac:dyDescent="0.25">
      <c r="A854" t="str">
        <f t="shared" si="13"/>
        <v>2022_SA_Riverton_Lentil_DetailedTOS2VarietyKelpieXTWaterTrtIrrigated</v>
      </c>
      <c r="B854" s="2">
        <v>2022006</v>
      </c>
      <c r="C854" s="3" t="s">
        <v>905</v>
      </c>
      <c r="D854" s="3" t="s">
        <v>38</v>
      </c>
      <c r="F854" s="3" t="s">
        <v>4188</v>
      </c>
      <c r="G854" s="3" t="s">
        <v>43</v>
      </c>
      <c r="H854" s="3" t="s">
        <v>253</v>
      </c>
      <c r="I854" s="2">
        <v>15</v>
      </c>
      <c r="J854" s="2">
        <v>8</v>
      </c>
      <c r="K854" s="2">
        <v>1</v>
      </c>
      <c r="O854" s="2">
        <v>2</v>
      </c>
      <c r="U854" s="2">
        <v>3</v>
      </c>
      <c r="V854" s="2">
        <v>7</v>
      </c>
      <c r="W854" s="2">
        <v>3</v>
      </c>
      <c r="X854" s="2">
        <v>4</v>
      </c>
      <c r="AA854" s="3" t="s">
        <v>57</v>
      </c>
      <c r="AB854" s="2">
        <v>4</v>
      </c>
      <c r="AF854" s="2">
        <v>23</v>
      </c>
      <c r="AG854" s="2">
        <v>2</v>
      </c>
      <c r="AH854" s="3" t="s">
        <v>646</v>
      </c>
      <c r="AI854" s="4">
        <v>44756</v>
      </c>
      <c r="AJ854" s="3" t="s">
        <v>920</v>
      </c>
      <c r="AK854" s="3" t="s">
        <v>38</v>
      </c>
    </row>
    <row r="855" spans="1:37" hidden="1" x14ac:dyDescent="0.25">
      <c r="A855" t="str">
        <f t="shared" si="13"/>
        <v>2022_SA_Riverton_Lentil_DetailedTOS2VarietyKelpieXTWaterTrtIrrigated</v>
      </c>
      <c r="B855" s="2">
        <v>2022006</v>
      </c>
      <c r="C855" s="3" t="s">
        <v>905</v>
      </c>
      <c r="D855" s="3" t="s">
        <v>38</v>
      </c>
      <c r="F855" s="3" t="s">
        <v>4188</v>
      </c>
      <c r="G855" s="3" t="s">
        <v>43</v>
      </c>
      <c r="H855" s="3" t="s">
        <v>250</v>
      </c>
      <c r="I855" s="2">
        <v>16</v>
      </c>
      <c r="J855" s="2">
        <v>8</v>
      </c>
      <c r="K855" s="2">
        <v>1</v>
      </c>
      <c r="O855" s="2">
        <v>2</v>
      </c>
      <c r="U855" s="2">
        <v>4</v>
      </c>
      <c r="V855" s="2">
        <v>7</v>
      </c>
      <c r="W855" s="2">
        <v>4</v>
      </c>
      <c r="X855" s="2">
        <v>4</v>
      </c>
      <c r="Z855" s="2">
        <v>13</v>
      </c>
      <c r="AA855" s="3" t="s">
        <v>57</v>
      </c>
      <c r="AB855" s="2">
        <v>4</v>
      </c>
      <c r="AF855" s="2">
        <v>23</v>
      </c>
      <c r="AG855" s="2">
        <v>2</v>
      </c>
      <c r="AH855" s="3" t="s">
        <v>646</v>
      </c>
      <c r="AI855" s="4">
        <v>44756</v>
      </c>
      <c r="AJ855" s="3" t="s">
        <v>921</v>
      </c>
      <c r="AK855" s="3" t="s">
        <v>38</v>
      </c>
    </row>
    <row r="856" spans="1:37" hidden="1" x14ac:dyDescent="0.25">
      <c r="A856" t="str">
        <f t="shared" si="13"/>
        <v>2022_SA_Riverton_Lentil_DetailedTOS1VarietyKelpieXTWaterTrtIrrigated</v>
      </c>
      <c r="B856" s="2">
        <v>2022006</v>
      </c>
      <c r="C856" s="3" t="s">
        <v>905</v>
      </c>
      <c r="D856" s="3" t="s">
        <v>38</v>
      </c>
      <c r="F856" s="3" t="s">
        <v>4188</v>
      </c>
      <c r="G856" s="3" t="s">
        <v>43</v>
      </c>
      <c r="H856" s="3" t="s">
        <v>253</v>
      </c>
      <c r="I856" s="2">
        <v>17</v>
      </c>
      <c r="J856" s="2">
        <v>9</v>
      </c>
      <c r="K856" s="2">
        <v>1</v>
      </c>
      <c r="O856" s="2">
        <v>3</v>
      </c>
      <c r="U856" s="2">
        <v>1</v>
      </c>
      <c r="V856" s="2">
        <v>10</v>
      </c>
      <c r="W856" s="2">
        <v>1</v>
      </c>
      <c r="X856" s="2">
        <v>5</v>
      </c>
      <c r="AA856" s="3" t="s">
        <v>57</v>
      </c>
      <c r="AB856" s="2">
        <v>4</v>
      </c>
      <c r="AF856" s="2">
        <v>23</v>
      </c>
      <c r="AG856" s="2">
        <v>1</v>
      </c>
      <c r="AH856" s="3" t="s">
        <v>655</v>
      </c>
      <c r="AI856" s="4">
        <v>44730</v>
      </c>
      <c r="AJ856" s="3" t="s">
        <v>922</v>
      </c>
      <c r="AK856" s="3" t="s">
        <v>38</v>
      </c>
    </row>
    <row r="857" spans="1:37" hidden="1" x14ac:dyDescent="0.25">
      <c r="A857" t="str">
        <f t="shared" si="13"/>
        <v>2022_SA_Riverton_Lentil_DetailedTOS1VarietyKelpieXTWaterTrtIrrigated</v>
      </c>
      <c r="B857" s="2">
        <v>2022006</v>
      </c>
      <c r="C857" s="3" t="s">
        <v>905</v>
      </c>
      <c r="D857" s="3" t="s">
        <v>38</v>
      </c>
      <c r="F857" s="3" t="s">
        <v>4188</v>
      </c>
      <c r="G857" s="3" t="s">
        <v>43</v>
      </c>
      <c r="H857" s="3" t="s">
        <v>250</v>
      </c>
      <c r="I857" s="2">
        <v>18</v>
      </c>
      <c r="J857" s="2">
        <v>9</v>
      </c>
      <c r="K857" s="2">
        <v>1</v>
      </c>
      <c r="O857" s="2">
        <v>3</v>
      </c>
      <c r="U857" s="2">
        <v>2</v>
      </c>
      <c r="V857" s="2">
        <v>10</v>
      </c>
      <c r="W857" s="2">
        <v>2</v>
      </c>
      <c r="X857" s="2">
        <v>5</v>
      </c>
      <c r="Z857" s="2">
        <v>18</v>
      </c>
      <c r="AA857" s="3" t="s">
        <v>57</v>
      </c>
      <c r="AB857" s="2">
        <v>4</v>
      </c>
      <c r="AF857" s="2">
        <v>23</v>
      </c>
      <c r="AG857" s="2">
        <v>1</v>
      </c>
      <c r="AH857" s="3" t="s">
        <v>655</v>
      </c>
      <c r="AI857" s="4">
        <v>44730</v>
      </c>
      <c r="AJ857" s="3" t="s">
        <v>923</v>
      </c>
      <c r="AK857" s="3" t="s">
        <v>38</v>
      </c>
    </row>
    <row r="858" spans="1:37" hidden="1" x14ac:dyDescent="0.25">
      <c r="A858" t="str">
        <f t="shared" si="13"/>
        <v>2022_SA_Riverton_Lentil_DetailedTOS1VarietyJumbo2WaterTrtIrrigated</v>
      </c>
      <c r="B858" s="2">
        <v>2022006</v>
      </c>
      <c r="C858" s="3" t="s">
        <v>905</v>
      </c>
      <c r="D858" s="3" t="s">
        <v>38</v>
      </c>
      <c r="F858" s="3" t="s">
        <v>4176</v>
      </c>
      <c r="G858" s="3" t="s">
        <v>43</v>
      </c>
      <c r="H858" s="3" t="s">
        <v>253</v>
      </c>
      <c r="I858" s="2">
        <v>19</v>
      </c>
      <c r="J858" s="2">
        <v>10</v>
      </c>
      <c r="K858" s="2">
        <v>1</v>
      </c>
      <c r="O858" s="2">
        <v>3</v>
      </c>
      <c r="U858" s="2">
        <v>3</v>
      </c>
      <c r="V858" s="2">
        <v>10</v>
      </c>
      <c r="W858" s="2">
        <v>3</v>
      </c>
      <c r="X858" s="2">
        <v>5</v>
      </c>
      <c r="AA858" s="3" t="s">
        <v>57</v>
      </c>
      <c r="AB858" s="2">
        <v>3</v>
      </c>
      <c r="AF858" s="2">
        <v>23</v>
      </c>
      <c r="AG858" s="2">
        <v>1</v>
      </c>
      <c r="AH858" s="3" t="s">
        <v>655</v>
      </c>
      <c r="AI858" s="4">
        <v>44730</v>
      </c>
      <c r="AJ858" s="3" t="s">
        <v>924</v>
      </c>
      <c r="AK858" s="3" t="s">
        <v>38</v>
      </c>
    </row>
    <row r="859" spans="1:37" hidden="1" x14ac:dyDescent="0.25">
      <c r="A859" t="str">
        <f t="shared" si="13"/>
        <v>2022_SA_Riverton_Lentil_DetailedTOS1VarietyJumbo2WaterTrtIrrigated</v>
      </c>
      <c r="B859" s="2">
        <v>2022006</v>
      </c>
      <c r="C859" s="3" t="s">
        <v>905</v>
      </c>
      <c r="D859" s="3" t="s">
        <v>38</v>
      </c>
      <c r="F859" s="3" t="s">
        <v>4176</v>
      </c>
      <c r="G859" s="3" t="s">
        <v>43</v>
      </c>
      <c r="H859" s="3" t="s">
        <v>250</v>
      </c>
      <c r="I859" s="2">
        <v>20</v>
      </c>
      <c r="J859" s="2">
        <v>10</v>
      </c>
      <c r="K859" s="2">
        <v>1</v>
      </c>
      <c r="O859" s="2">
        <v>3</v>
      </c>
      <c r="U859" s="2">
        <v>4</v>
      </c>
      <c r="V859" s="2">
        <v>10</v>
      </c>
      <c r="W859" s="2">
        <v>4</v>
      </c>
      <c r="X859" s="2">
        <v>5</v>
      </c>
      <c r="Z859" s="2">
        <v>20</v>
      </c>
      <c r="AA859" s="3" t="s">
        <v>57</v>
      </c>
      <c r="AB859" s="2">
        <v>3</v>
      </c>
      <c r="AF859" s="2">
        <v>23</v>
      </c>
      <c r="AG859" s="2">
        <v>1</v>
      </c>
      <c r="AH859" s="3" t="s">
        <v>655</v>
      </c>
      <c r="AI859" s="4">
        <v>44730</v>
      </c>
      <c r="AJ859" s="3" t="s">
        <v>925</v>
      </c>
      <c r="AK859" s="3" t="s">
        <v>38</v>
      </c>
    </row>
    <row r="860" spans="1:37" hidden="1" x14ac:dyDescent="0.25">
      <c r="A860" t="str">
        <f t="shared" si="13"/>
        <v>2022_SA_Riverton_Lentil_DetailedTOS1VarietyBoltWaterTrtIrrigated</v>
      </c>
      <c r="B860" s="2">
        <v>2022006</v>
      </c>
      <c r="C860" s="3" t="s">
        <v>905</v>
      </c>
      <c r="D860" s="3" t="s">
        <v>38</v>
      </c>
      <c r="F860" s="3" t="s">
        <v>4187</v>
      </c>
      <c r="G860" s="3" t="s">
        <v>39</v>
      </c>
      <c r="H860" s="3" t="s">
        <v>253</v>
      </c>
      <c r="I860" s="2">
        <v>21</v>
      </c>
      <c r="J860" s="2">
        <v>11</v>
      </c>
      <c r="K860" s="2">
        <v>1</v>
      </c>
      <c r="O860" s="2">
        <v>3</v>
      </c>
      <c r="U860" s="2">
        <v>1</v>
      </c>
      <c r="V860" s="2">
        <v>11</v>
      </c>
      <c r="W860" s="2">
        <v>1</v>
      </c>
      <c r="X860" s="2">
        <v>6</v>
      </c>
      <c r="AA860" s="3" t="s">
        <v>57</v>
      </c>
      <c r="AB860" s="2">
        <v>1</v>
      </c>
      <c r="AF860" s="2">
        <v>23</v>
      </c>
      <c r="AG860" s="2">
        <v>1</v>
      </c>
      <c r="AH860" s="3" t="s">
        <v>655</v>
      </c>
      <c r="AI860" s="4">
        <v>44730</v>
      </c>
      <c r="AJ860" s="3" t="s">
        <v>926</v>
      </c>
      <c r="AK860" s="3" t="s">
        <v>38</v>
      </c>
    </row>
    <row r="861" spans="1:37" hidden="1" x14ac:dyDescent="0.25">
      <c r="A861" t="str">
        <f t="shared" si="13"/>
        <v>2022_SA_Riverton_Lentil_DetailedTOS1VarietyBoltWaterTrtIrrigated</v>
      </c>
      <c r="B861" s="2">
        <v>2022006</v>
      </c>
      <c r="C861" s="3" t="s">
        <v>905</v>
      </c>
      <c r="D861" s="3" t="s">
        <v>38</v>
      </c>
      <c r="F861" s="3" t="s">
        <v>4187</v>
      </c>
      <c r="G861" s="3" t="s">
        <v>39</v>
      </c>
      <c r="H861" s="3" t="s">
        <v>250</v>
      </c>
      <c r="I861" s="2">
        <v>22</v>
      </c>
      <c r="J861" s="2">
        <v>11</v>
      </c>
      <c r="K861" s="2">
        <v>1</v>
      </c>
      <c r="O861" s="2">
        <v>3</v>
      </c>
      <c r="U861" s="2">
        <v>2</v>
      </c>
      <c r="V861" s="2">
        <v>11</v>
      </c>
      <c r="W861" s="2">
        <v>2</v>
      </c>
      <c r="X861" s="2">
        <v>6</v>
      </c>
      <c r="Z861" s="2">
        <v>23</v>
      </c>
      <c r="AA861" s="3" t="s">
        <v>57</v>
      </c>
      <c r="AB861" s="2">
        <v>1</v>
      </c>
      <c r="AF861" s="2">
        <v>23</v>
      </c>
      <c r="AG861" s="2">
        <v>1</v>
      </c>
      <c r="AH861" s="3" t="s">
        <v>655</v>
      </c>
      <c r="AI861" s="4">
        <v>44730</v>
      </c>
      <c r="AJ861" s="3" t="s">
        <v>927</v>
      </c>
      <c r="AK861" s="3" t="s">
        <v>38</v>
      </c>
    </row>
    <row r="862" spans="1:37" hidden="1" x14ac:dyDescent="0.25">
      <c r="A862" t="str">
        <f t="shared" si="13"/>
        <v>2022_SA_Riverton_Lentil_DetailedTOS1VarietyHallmarkXTWaterTrtIrrigated</v>
      </c>
      <c r="B862" s="2">
        <v>2022006</v>
      </c>
      <c r="C862" s="3" t="s">
        <v>905</v>
      </c>
      <c r="D862" s="3" t="s">
        <v>38</v>
      </c>
      <c r="F862" s="3" t="s">
        <v>4189</v>
      </c>
      <c r="G862" s="3" t="s">
        <v>39</v>
      </c>
      <c r="H862" s="3" t="s">
        <v>253</v>
      </c>
      <c r="I862" s="2">
        <v>23</v>
      </c>
      <c r="J862" s="2">
        <v>12</v>
      </c>
      <c r="K862" s="2">
        <v>1</v>
      </c>
      <c r="O862" s="2">
        <v>3</v>
      </c>
      <c r="U862" s="2">
        <v>3</v>
      </c>
      <c r="V862" s="2">
        <v>11</v>
      </c>
      <c r="W862" s="2">
        <v>3</v>
      </c>
      <c r="X862" s="2">
        <v>6</v>
      </c>
      <c r="AA862" s="3" t="s">
        <v>57</v>
      </c>
      <c r="AB862" s="2">
        <v>2</v>
      </c>
      <c r="AF862" s="2">
        <v>23</v>
      </c>
      <c r="AG862" s="2">
        <v>1</v>
      </c>
      <c r="AH862" s="3" t="s">
        <v>655</v>
      </c>
      <c r="AI862" s="4">
        <v>44730</v>
      </c>
      <c r="AJ862" s="3" t="s">
        <v>928</v>
      </c>
      <c r="AK862" s="3" t="s">
        <v>38</v>
      </c>
    </row>
    <row r="863" spans="1:37" hidden="1" x14ac:dyDescent="0.25">
      <c r="A863" t="str">
        <f t="shared" si="13"/>
        <v>2022_SA_Riverton_Lentil_DetailedTOS1VarietyHallmarkXTWaterTrtIrrigated</v>
      </c>
      <c r="B863" s="2">
        <v>2022006</v>
      </c>
      <c r="C863" s="3" t="s">
        <v>905</v>
      </c>
      <c r="D863" s="3" t="s">
        <v>38</v>
      </c>
      <c r="F863" s="3" t="s">
        <v>4189</v>
      </c>
      <c r="G863" s="3" t="s">
        <v>39</v>
      </c>
      <c r="H863" s="3" t="s">
        <v>250</v>
      </c>
      <c r="I863" s="2">
        <v>24</v>
      </c>
      <c r="J863" s="2">
        <v>12</v>
      </c>
      <c r="K863" s="2">
        <v>1</v>
      </c>
      <c r="O863" s="2">
        <v>3</v>
      </c>
      <c r="U863" s="2">
        <v>4</v>
      </c>
      <c r="V863" s="2">
        <v>11</v>
      </c>
      <c r="W863" s="2">
        <v>4</v>
      </c>
      <c r="X863" s="2">
        <v>6</v>
      </c>
      <c r="Z863" s="2">
        <v>21</v>
      </c>
      <c r="AA863" s="3" t="s">
        <v>57</v>
      </c>
      <c r="AB863" s="2">
        <v>2</v>
      </c>
      <c r="AF863" s="2">
        <v>23</v>
      </c>
      <c r="AG863" s="2">
        <v>1</v>
      </c>
      <c r="AH863" s="3" t="s">
        <v>655</v>
      </c>
      <c r="AI863" s="4">
        <v>44730</v>
      </c>
      <c r="AJ863" s="3" t="s">
        <v>929</v>
      </c>
      <c r="AK863" s="3" t="s">
        <v>38</v>
      </c>
    </row>
    <row r="864" spans="1:37" hidden="1" x14ac:dyDescent="0.25">
      <c r="A864" t="str">
        <f t="shared" si="13"/>
        <v>2022_SA_Riverton_Lentil_DetailedTOS2VarietyHallmarkXTWaterTrtRainFed</v>
      </c>
      <c r="B864" s="2">
        <v>2022006</v>
      </c>
      <c r="C864" s="3" t="s">
        <v>905</v>
      </c>
      <c r="D864" s="3" t="s">
        <v>38</v>
      </c>
      <c r="F864" s="3" t="s">
        <v>4189</v>
      </c>
      <c r="G864" s="3" t="s">
        <v>39</v>
      </c>
      <c r="H864" s="3" t="s">
        <v>253</v>
      </c>
      <c r="I864" s="2">
        <v>25</v>
      </c>
      <c r="J864" s="2">
        <v>13</v>
      </c>
      <c r="K864" s="2">
        <v>1</v>
      </c>
      <c r="O864" s="2">
        <v>4</v>
      </c>
      <c r="U864" s="2">
        <v>1</v>
      </c>
      <c r="V864" s="2">
        <v>14</v>
      </c>
      <c r="W864" s="2">
        <v>1</v>
      </c>
      <c r="X864" s="2">
        <v>7</v>
      </c>
      <c r="AA864" s="3" t="s">
        <v>40</v>
      </c>
      <c r="AB864" s="2">
        <v>2</v>
      </c>
      <c r="AF864" s="2">
        <v>23</v>
      </c>
      <c r="AG864" s="2">
        <v>2</v>
      </c>
      <c r="AH864" s="3" t="s">
        <v>646</v>
      </c>
      <c r="AI864" s="4">
        <v>44756</v>
      </c>
      <c r="AJ864" s="3" t="s">
        <v>930</v>
      </c>
      <c r="AK864" s="3" t="s">
        <v>38</v>
      </c>
    </row>
    <row r="865" spans="1:37" hidden="1" x14ac:dyDescent="0.25">
      <c r="A865" t="str">
        <f t="shared" si="13"/>
        <v>2022_SA_Riverton_Lentil_DetailedTOS2VarietyHallmarkXTWaterTrtRainFed</v>
      </c>
      <c r="B865" s="2">
        <v>2022006</v>
      </c>
      <c r="C865" s="3" t="s">
        <v>905</v>
      </c>
      <c r="D865" s="3" t="s">
        <v>38</v>
      </c>
      <c r="F865" s="3" t="s">
        <v>4189</v>
      </c>
      <c r="G865" s="3" t="s">
        <v>39</v>
      </c>
      <c r="H865" s="3" t="s">
        <v>250</v>
      </c>
      <c r="I865" s="2">
        <v>26</v>
      </c>
      <c r="J865" s="2">
        <v>13</v>
      </c>
      <c r="K865" s="2">
        <v>1</v>
      </c>
      <c r="O865" s="2">
        <v>4</v>
      </c>
      <c r="U865" s="2">
        <v>2</v>
      </c>
      <c r="V865" s="2">
        <v>14</v>
      </c>
      <c r="W865" s="2">
        <v>2</v>
      </c>
      <c r="X865" s="2">
        <v>7</v>
      </c>
      <c r="Z865" s="2">
        <v>26</v>
      </c>
      <c r="AA865" s="3" t="s">
        <v>40</v>
      </c>
      <c r="AB865" s="2">
        <v>2</v>
      </c>
      <c r="AF865" s="2">
        <v>23</v>
      </c>
      <c r="AG865" s="2">
        <v>2</v>
      </c>
      <c r="AH865" s="3" t="s">
        <v>646</v>
      </c>
      <c r="AI865" s="4">
        <v>44756</v>
      </c>
      <c r="AJ865" s="3" t="s">
        <v>931</v>
      </c>
      <c r="AK865" s="3" t="s">
        <v>38</v>
      </c>
    </row>
    <row r="866" spans="1:37" hidden="1" x14ac:dyDescent="0.25">
      <c r="A866" t="str">
        <f t="shared" si="13"/>
        <v>2022_SA_Riverton_Lentil_DetailedTOS2VarietyKelpieXTWaterTrtRainFed</v>
      </c>
      <c r="B866" s="2">
        <v>2022006</v>
      </c>
      <c r="C866" s="3" t="s">
        <v>905</v>
      </c>
      <c r="D866" s="3" t="s">
        <v>38</v>
      </c>
      <c r="F866" s="3" t="s">
        <v>4188</v>
      </c>
      <c r="G866" s="3" t="s">
        <v>43</v>
      </c>
      <c r="H866" s="3" t="s">
        <v>253</v>
      </c>
      <c r="I866" s="2">
        <v>27</v>
      </c>
      <c r="J866" s="2">
        <v>14</v>
      </c>
      <c r="K866" s="2">
        <v>1</v>
      </c>
      <c r="O866" s="2">
        <v>4</v>
      </c>
      <c r="U866" s="2">
        <v>3</v>
      </c>
      <c r="V866" s="2">
        <v>14</v>
      </c>
      <c r="W866" s="2">
        <v>3</v>
      </c>
      <c r="X866" s="2">
        <v>7</v>
      </c>
      <c r="AA866" s="3" t="s">
        <v>40</v>
      </c>
      <c r="AB866" s="2">
        <v>4</v>
      </c>
      <c r="AF866" s="2">
        <v>23</v>
      </c>
      <c r="AG866" s="2">
        <v>2</v>
      </c>
      <c r="AH866" s="3" t="s">
        <v>646</v>
      </c>
      <c r="AI866" s="4">
        <v>44756</v>
      </c>
      <c r="AJ866" s="3" t="s">
        <v>932</v>
      </c>
      <c r="AK866" s="3" t="s">
        <v>38</v>
      </c>
    </row>
    <row r="867" spans="1:37" hidden="1" x14ac:dyDescent="0.25">
      <c r="A867" t="str">
        <f t="shared" si="13"/>
        <v>2022_SA_Riverton_Lentil_DetailedTOS2VarietyKelpieXTWaterTrtRainFed</v>
      </c>
      <c r="B867" s="2">
        <v>2022006</v>
      </c>
      <c r="C867" s="3" t="s">
        <v>905</v>
      </c>
      <c r="D867" s="3" t="s">
        <v>38</v>
      </c>
      <c r="F867" s="3" t="s">
        <v>4188</v>
      </c>
      <c r="G867" s="3" t="s">
        <v>43</v>
      </c>
      <c r="H867" s="3" t="s">
        <v>250</v>
      </c>
      <c r="I867" s="2">
        <v>28</v>
      </c>
      <c r="J867" s="2">
        <v>14</v>
      </c>
      <c r="K867" s="2">
        <v>1</v>
      </c>
      <c r="O867" s="2">
        <v>4</v>
      </c>
      <c r="U867" s="2">
        <v>4</v>
      </c>
      <c r="V867" s="2">
        <v>14</v>
      </c>
      <c r="W867" s="2">
        <v>4</v>
      </c>
      <c r="X867" s="2">
        <v>7</v>
      </c>
      <c r="Z867" s="2">
        <v>28</v>
      </c>
      <c r="AA867" s="3" t="s">
        <v>40</v>
      </c>
      <c r="AB867" s="2">
        <v>4</v>
      </c>
      <c r="AF867" s="2">
        <v>23</v>
      </c>
      <c r="AG867" s="2">
        <v>2</v>
      </c>
      <c r="AH867" s="3" t="s">
        <v>646</v>
      </c>
      <c r="AI867" s="4">
        <v>44756</v>
      </c>
      <c r="AJ867" s="3" t="s">
        <v>933</v>
      </c>
      <c r="AK867" s="3" t="s">
        <v>38</v>
      </c>
    </row>
    <row r="868" spans="1:37" hidden="1" x14ac:dyDescent="0.25">
      <c r="A868" t="str">
        <f t="shared" si="13"/>
        <v>2022_SA_Riverton_Lentil_DetailedTOS2VarietyJumbo2WaterTrtRainFed</v>
      </c>
      <c r="B868" s="2">
        <v>2022006</v>
      </c>
      <c r="C868" s="3" t="s">
        <v>905</v>
      </c>
      <c r="D868" s="3" t="s">
        <v>38</v>
      </c>
      <c r="F868" s="3" t="s">
        <v>4176</v>
      </c>
      <c r="G868" s="3" t="s">
        <v>43</v>
      </c>
      <c r="H868" s="3" t="s">
        <v>253</v>
      </c>
      <c r="I868" s="2">
        <v>29</v>
      </c>
      <c r="J868" s="2">
        <v>15</v>
      </c>
      <c r="K868" s="2">
        <v>1</v>
      </c>
      <c r="O868" s="2">
        <v>4</v>
      </c>
      <c r="U868" s="2">
        <v>1</v>
      </c>
      <c r="V868" s="2">
        <v>15</v>
      </c>
      <c r="W868" s="2">
        <v>1</v>
      </c>
      <c r="X868" s="2">
        <v>8</v>
      </c>
      <c r="AA868" s="3" t="s">
        <v>40</v>
      </c>
      <c r="AB868" s="2">
        <v>3</v>
      </c>
      <c r="AF868" s="2">
        <v>23</v>
      </c>
      <c r="AG868" s="2">
        <v>2</v>
      </c>
      <c r="AH868" s="3" t="s">
        <v>646</v>
      </c>
      <c r="AI868" s="4">
        <v>44756</v>
      </c>
      <c r="AJ868" s="3" t="s">
        <v>934</v>
      </c>
      <c r="AK868" s="3" t="s">
        <v>38</v>
      </c>
    </row>
    <row r="869" spans="1:37" hidden="1" x14ac:dyDescent="0.25">
      <c r="A869" t="str">
        <f t="shared" si="13"/>
        <v>2022_SA_Riverton_Lentil_DetailedTOS2VarietyJumbo2WaterTrtRainFed</v>
      </c>
      <c r="B869" s="2">
        <v>2022006</v>
      </c>
      <c r="C869" s="3" t="s">
        <v>905</v>
      </c>
      <c r="D869" s="3" t="s">
        <v>38</v>
      </c>
      <c r="F869" s="3" t="s">
        <v>4176</v>
      </c>
      <c r="G869" s="3" t="s">
        <v>43</v>
      </c>
      <c r="H869" s="3" t="s">
        <v>250</v>
      </c>
      <c r="I869" s="2">
        <v>30</v>
      </c>
      <c r="J869" s="2">
        <v>15</v>
      </c>
      <c r="K869" s="2">
        <v>1</v>
      </c>
      <c r="O869" s="2">
        <v>4</v>
      </c>
      <c r="U869" s="2">
        <v>2</v>
      </c>
      <c r="V869" s="2">
        <v>15</v>
      </c>
      <c r="W869" s="2">
        <v>2</v>
      </c>
      <c r="X869" s="2">
        <v>8</v>
      </c>
      <c r="Z869" s="2">
        <v>31</v>
      </c>
      <c r="AA869" s="3" t="s">
        <v>40</v>
      </c>
      <c r="AB869" s="2">
        <v>3</v>
      </c>
      <c r="AF869" s="2">
        <v>23</v>
      </c>
      <c r="AG869" s="2">
        <v>2</v>
      </c>
      <c r="AH869" s="3" t="s">
        <v>646</v>
      </c>
      <c r="AI869" s="4">
        <v>44756</v>
      </c>
      <c r="AJ869" s="3" t="s">
        <v>935</v>
      </c>
      <c r="AK869" s="3" t="s">
        <v>38</v>
      </c>
    </row>
    <row r="870" spans="1:37" hidden="1" x14ac:dyDescent="0.25">
      <c r="A870" t="str">
        <f t="shared" si="13"/>
        <v>2022_SA_Riverton_Lentil_DetailedTOS2VarietyBoltWaterTrtRainFed</v>
      </c>
      <c r="B870" s="2">
        <v>2022006</v>
      </c>
      <c r="C870" s="3" t="s">
        <v>905</v>
      </c>
      <c r="D870" s="3" t="s">
        <v>38</v>
      </c>
      <c r="F870" s="3" t="s">
        <v>4187</v>
      </c>
      <c r="G870" s="3" t="s">
        <v>39</v>
      </c>
      <c r="H870" s="3" t="s">
        <v>253</v>
      </c>
      <c r="I870" s="2">
        <v>31</v>
      </c>
      <c r="J870" s="2">
        <v>16</v>
      </c>
      <c r="K870" s="2">
        <v>1</v>
      </c>
      <c r="O870" s="2">
        <v>4</v>
      </c>
      <c r="U870" s="2">
        <v>3</v>
      </c>
      <c r="V870" s="2">
        <v>15</v>
      </c>
      <c r="W870" s="2">
        <v>3</v>
      </c>
      <c r="X870" s="2">
        <v>8</v>
      </c>
      <c r="AA870" s="3" t="s">
        <v>40</v>
      </c>
      <c r="AB870" s="2">
        <v>1</v>
      </c>
      <c r="AF870" s="2">
        <v>23</v>
      </c>
      <c r="AG870" s="2">
        <v>2</v>
      </c>
      <c r="AH870" s="3" t="s">
        <v>646</v>
      </c>
      <c r="AI870" s="4">
        <v>44756</v>
      </c>
      <c r="AJ870" s="3" t="s">
        <v>936</v>
      </c>
      <c r="AK870" s="3" t="s">
        <v>38</v>
      </c>
    </row>
    <row r="871" spans="1:37" hidden="1" x14ac:dyDescent="0.25">
      <c r="A871" t="str">
        <f t="shared" si="13"/>
        <v>2022_SA_Riverton_Lentil_DetailedTOS2VarietyBoltWaterTrtRainFed</v>
      </c>
      <c r="B871" s="2">
        <v>2022006</v>
      </c>
      <c r="C871" s="3" t="s">
        <v>905</v>
      </c>
      <c r="D871" s="3" t="s">
        <v>38</v>
      </c>
      <c r="F871" s="3" t="s">
        <v>4187</v>
      </c>
      <c r="G871" s="3" t="s">
        <v>39</v>
      </c>
      <c r="H871" s="3" t="s">
        <v>250</v>
      </c>
      <c r="I871" s="2">
        <v>32</v>
      </c>
      <c r="J871" s="2">
        <v>16</v>
      </c>
      <c r="K871" s="2">
        <v>1</v>
      </c>
      <c r="O871" s="2">
        <v>4</v>
      </c>
      <c r="U871" s="2">
        <v>4</v>
      </c>
      <c r="V871" s="2">
        <v>15</v>
      </c>
      <c r="W871" s="2">
        <v>4</v>
      </c>
      <c r="X871" s="2">
        <v>8</v>
      </c>
      <c r="Z871" s="2">
        <v>29</v>
      </c>
      <c r="AA871" s="3" t="s">
        <v>40</v>
      </c>
      <c r="AB871" s="2">
        <v>1</v>
      </c>
      <c r="AF871" s="2">
        <v>23</v>
      </c>
      <c r="AG871" s="2">
        <v>2</v>
      </c>
      <c r="AH871" s="3" t="s">
        <v>646</v>
      </c>
      <c r="AI871" s="4">
        <v>44756</v>
      </c>
      <c r="AJ871" s="3" t="s">
        <v>937</v>
      </c>
      <c r="AK871" s="3" t="s">
        <v>38</v>
      </c>
    </row>
    <row r="872" spans="1:37" hidden="1" x14ac:dyDescent="0.25">
      <c r="A872" t="str">
        <f t="shared" si="13"/>
        <v>2022_SA_Riverton_Lentil_DetailedTOS1VarietyJumbo2WaterTrtIrrigated</v>
      </c>
      <c r="B872" s="2">
        <v>2022006</v>
      </c>
      <c r="C872" s="3" t="s">
        <v>905</v>
      </c>
      <c r="D872" s="3" t="s">
        <v>38</v>
      </c>
      <c r="F872" s="3" t="s">
        <v>4176</v>
      </c>
      <c r="G872" s="3" t="s">
        <v>43</v>
      </c>
      <c r="H872" s="3" t="s">
        <v>253</v>
      </c>
      <c r="I872" s="2">
        <v>33</v>
      </c>
      <c r="J872" s="2">
        <v>17</v>
      </c>
      <c r="K872" s="2">
        <v>2</v>
      </c>
      <c r="O872" s="2">
        <v>5</v>
      </c>
      <c r="U872" s="2">
        <v>1</v>
      </c>
      <c r="V872" s="2">
        <v>18</v>
      </c>
      <c r="W872" s="2">
        <v>1</v>
      </c>
      <c r="X872" s="2">
        <v>9</v>
      </c>
      <c r="AA872" s="3" t="s">
        <v>57</v>
      </c>
      <c r="AB872" s="2">
        <v>3</v>
      </c>
      <c r="AF872" s="2">
        <v>23</v>
      </c>
      <c r="AG872" s="2">
        <v>1</v>
      </c>
      <c r="AH872" s="3" t="s">
        <v>655</v>
      </c>
      <c r="AI872" s="4">
        <v>44730</v>
      </c>
      <c r="AJ872" s="3" t="s">
        <v>938</v>
      </c>
      <c r="AK872" s="3" t="s">
        <v>38</v>
      </c>
    </row>
    <row r="873" spans="1:37" hidden="1" x14ac:dyDescent="0.25">
      <c r="A873" t="str">
        <f t="shared" si="13"/>
        <v>2022_SA_Riverton_Lentil_DetailedTOS1VarietyJumbo2WaterTrtIrrigated</v>
      </c>
      <c r="B873" s="2">
        <v>2022006</v>
      </c>
      <c r="C873" s="3" t="s">
        <v>905</v>
      </c>
      <c r="D873" s="3" t="s">
        <v>38</v>
      </c>
      <c r="F873" s="3" t="s">
        <v>4176</v>
      </c>
      <c r="G873" s="3" t="s">
        <v>43</v>
      </c>
      <c r="H873" s="3" t="s">
        <v>250</v>
      </c>
      <c r="I873" s="2">
        <v>34</v>
      </c>
      <c r="J873" s="2">
        <v>17</v>
      </c>
      <c r="K873" s="2">
        <v>2</v>
      </c>
      <c r="O873" s="2">
        <v>5</v>
      </c>
      <c r="U873" s="2">
        <v>2</v>
      </c>
      <c r="V873" s="2">
        <v>18</v>
      </c>
      <c r="W873" s="2">
        <v>2</v>
      </c>
      <c r="X873" s="2">
        <v>9</v>
      </c>
      <c r="Z873" s="2">
        <v>34</v>
      </c>
      <c r="AA873" s="3" t="s">
        <v>57</v>
      </c>
      <c r="AB873" s="2">
        <v>3</v>
      </c>
      <c r="AF873" s="2">
        <v>23</v>
      </c>
      <c r="AG873" s="2">
        <v>1</v>
      </c>
      <c r="AH873" s="3" t="s">
        <v>655</v>
      </c>
      <c r="AI873" s="4">
        <v>44730</v>
      </c>
      <c r="AJ873" s="3" t="s">
        <v>939</v>
      </c>
      <c r="AK873" s="3" t="s">
        <v>38</v>
      </c>
    </row>
    <row r="874" spans="1:37" hidden="1" x14ac:dyDescent="0.25">
      <c r="A874" t="str">
        <f t="shared" si="13"/>
        <v>2022_SA_Riverton_Lentil_DetailedTOS1VarietyHallmarkXTWaterTrtIrrigated</v>
      </c>
      <c r="B874" s="2">
        <v>2022006</v>
      </c>
      <c r="C874" s="3" t="s">
        <v>905</v>
      </c>
      <c r="D874" s="3" t="s">
        <v>38</v>
      </c>
      <c r="F874" s="3" t="s">
        <v>4189</v>
      </c>
      <c r="G874" s="3" t="s">
        <v>39</v>
      </c>
      <c r="H874" s="3" t="s">
        <v>253</v>
      </c>
      <c r="I874" s="2">
        <v>35</v>
      </c>
      <c r="J874" s="2">
        <v>18</v>
      </c>
      <c r="K874" s="2">
        <v>2</v>
      </c>
      <c r="O874" s="2">
        <v>5</v>
      </c>
      <c r="U874" s="2">
        <v>3</v>
      </c>
      <c r="V874" s="2">
        <v>18</v>
      </c>
      <c r="W874" s="2">
        <v>3</v>
      </c>
      <c r="X874" s="2">
        <v>9</v>
      </c>
      <c r="AA874" s="3" t="s">
        <v>57</v>
      </c>
      <c r="AB874" s="2">
        <v>2</v>
      </c>
      <c r="AF874" s="2">
        <v>23</v>
      </c>
      <c r="AG874" s="2">
        <v>1</v>
      </c>
      <c r="AH874" s="3" t="s">
        <v>655</v>
      </c>
      <c r="AI874" s="4">
        <v>44730</v>
      </c>
      <c r="AJ874" s="3" t="s">
        <v>940</v>
      </c>
      <c r="AK874" s="3" t="s">
        <v>38</v>
      </c>
    </row>
    <row r="875" spans="1:37" hidden="1" x14ac:dyDescent="0.25">
      <c r="A875" t="str">
        <f t="shared" si="13"/>
        <v>2022_SA_Riverton_Lentil_DetailedTOS1VarietyHallmarkXTWaterTrtIrrigated</v>
      </c>
      <c r="B875" s="2">
        <v>2022006</v>
      </c>
      <c r="C875" s="3" t="s">
        <v>905</v>
      </c>
      <c r="D875" s="3" t="s">
        <v>38</v>
      </c>
      <c r="F875" s="3" t="s">
        <v>4189</v>
      </c>
      <c r="G875" s="3" t="s">
        <v>39</v>
      </c>
      <c r="H875" s="3" t="s">
        <v>250</v>
      </c>
      <c r="I875" s="2">
        <v>36</v>
      </c>
      <c r="J875" s="2">
        <v>18</v>
      </c>
      <c r="K875" s="2">
        <v>2</v>
      </c>
      <c r="O875" s="2">
        <v>5</v>
      </c>
      <c r="U875" s="2">
        <v>4</v>
      </c>
      <c r="V875" s="2">
        <v>18</v>
      </c>
      <c r="W875" s="2">
        <v>4</v>
      </c>
      <c r="X875" s="2">
        <v>9</v>
      </c>
      <c r="Z875" s="2">
        <v>36</v>
      </c>
      <c r="AA875" s="3" t="s">
        <v>57</v>
      </c>
      <c r="AB875" s="2">
        <v>2</v>
      </c>
      <c r="AF875" s="2">
        <v>23</v>
      </c>
      <c r="AG875" s="2">
        <v>1</v>
      </c>
      <c r="AH875" s="3" t="s">
        <v>655</v>
      </c>
      <c r="AI875" s="4">
        <v>44730</v>
      </c>
      <c r="AJ875" s="3" t="s">
        <v>941</v>
      </c>
      <c r="AK875" s="3" t="s">
        <v>38</v>
      </c>
    </row>
    <row r="876" spans="1:37" hidden="1" x14ac:dyDescent="0.25">
      <c r="A876" t="str">
        <f t="shared" si="13"/>
        <v>2022_SA_Riverton_Lentil_DetailedTOS1VarietyBoltWaterTrtIrrigated</v>
      </c>
      <c r="B876" s="2">
        <v>2022006</v>
      </c>
      <c r="C876" s="3" t="s">
        <v>905</v>
      </c>
      <c r="D876" s="3" t="s">
        <v>38</v>
      </c>
      <c r="F876" s="3" t="s">
        <v>4187</v>
      </c>
      <c r="G876" s="3" t="s">
        <v>39</v>
      </c>
      <c r="H876" s="3" t="s">
        <v>253</v>
      </c>
      <c r="I876" s="2">
        <v>37</v>
      </c>
      <c r="J876" s="2">
        <v>19</v>
      </c>
      <c r="K876" s="2">
        <v>2</v>
      </c>
      <c r="O876" s="2">
        <v>5</v>
      </c>
      <c r="U876" s="2">
        <v>1</v>
      </c>
      <c r="V876" s="2">
        <v>19</v>
      </c>
      <c r="W876" s="2">
        <v>1</v>
      </c>
      <c r="X876" s="2">
        <v>10</v>
      </c>
      <c r="AA876" s="3" t="s">
        <v>57</v>
      </c>
      <c r="AB876" s="2">
        <v>1</v>
      </c>
      <c r="AF876" s="2">
        <v>23</v>
      </c>
      <c r="AG876" s="2">
        <v>1</v>
      </c>
      <c r="AH876" s="3" t="s">
        <v>655</v>
      </c>
      <c r="AI876" s="4">
        <v>44730</v>
      </c>
      <c r="AJ876" s="3" t="s">
        <v>942</v>
      </c>
      <c r="AK876" s="3" t="s">
        <v>38</v>
      </c>
    </row>
    <row r="877" spans="1:37" hidden="1" x14ac:dyDescent="0.25">
      <c r="A877" t="str">
        <f t="shared" si="13"/>
        <v>2022_SA_Riverton_Lentil_DetailedTOS1VarietyBoltWaterTrtIrrigated</v>
      </c>
      <c r="B877" s="2">
        <v>2022006</v>
      </c>
      <c r="C877" s="3" t="s">
        <v>905</v>
      </c>
      <c r="D877" s="3" t="s">
        <v>38</v>
      </c>
      <c r="F877" s="3" t="s">
        <v>4187</v>
      </c>
      <c r="G877" s="3" t="s">
        <v>39</v>
      </c>
      <c r="H877" s="3" t="s">
        <v>250</v>
      </c>
      <c r="I877" s="2">
        <v>38</v>
      </c>
      <c r="J877" s="2">
        <v>19</v>
      </c>
      <c r="K877" s="2">
        <v>2</v>
      </c>
      <c r="O877" s="2">
        <v>5</v>
      </c>
      <c r="U877" s="2">
        <v>2</v>
      </c>
      <c r="V877" s="2">
        <v>19</v>
      </c>
      <c r="W877" s="2">
        <v>2</v>
      </c>
      <c r="X877" s="2">
        <v>10</v>
      </c>
      <c r="Z877" s="2">
        <v>39</v>
      </c>
      <c r="AA877" s="3" t="s">
        <v>57</v>
      </c>
      <c r="AB877" s="2">
        <v>1</v>
      </c>
      <c r="AF877" s="2">
        <v>23</v>
      </c>
      <c r="AG877" s="2">
        <v>1</v>
      </c>
      <c r="AH877" s="3" t="s">
        <v>655</v>
      </c>
      <c r="AI877" s="4">
        <v>44730</v>
      </c>
      <c r="AJ877" s="3" t="s">
        <v>943</v>
      </c>
      <c r="AK877" s="3" t="s">
        <v>38</v>
      </c>
    </row>
    <row r="878" spans="1:37" hidden="1" x14ac:dyDescent="0.25">
      <c r="A878" t="str">
        <f t="shared" si="13"/>
        <v>2022_SA_Riverton_Lentil_DetailedTOS1VarietyKelpieXTWaterTrtIrrigated</v>
      </c>
      <c r="B878" s="2">
        <v>2022006</v>
      </c>
      <c r="C878" s="3" t="s">
        <v>905</v>
      </c>
      <c r="D878" s="3" t="s">
        <v>38</v>
      </c>
      <c r="F878" s="3" t="s">
        <v>4188</v>
      </c>
      <c r="G878" s="3" t="s">
        <v>43</v>
      </c>
      <c r="H878" s="3" t="s">
        <v>253</v>
      </c>
      <c r="I878" s="2">
        <v>39</v>
      </c>
      <c r="J878" s="2">
        <v>20</v>
      </c>
      <c r="K878" s="2">
        <v>2</v>
      </c>
      <c r="O878" s="2">
        <v>5</v>
      </c>
      <c r="U878" s="2">
        <v>3</v>
      </c>
      <c r="V878" s="2">
        <v>19</v>
      </c>
      <c r="W878" s="2">
        <v>3</v>
      </c>
      <c r="X878" s="2">
        <v>10</v>
      </c>
      <c r="AA878" s="3" t="s">
        <v>57</v>
      </c>
      <c r="AB878" s="2">
        <v>4</v>
      </c>
      <c r="AF878" s="2">
        <v>23</v>
      </c>
      <c r="AG878" s="2">
        <v>1</v>
      </c>
      <c r="AH878" s="3" t="s">
        <v>655</v>
      </c>
      <c r="AI878" s="4">
        <v>44730</v>
      </c>
      <c r="AJ878" s="3" t="s">
        <v>944</v>
      </c>
      <c r="AK878" s="3" t="s">
        <v>38</v>
      </c>
    </row>
    <row r="879" spans="1:37" hidden="1" x14ac:dyDescent="0.25">
      <c r="A879" t="str">
        <f t="shared" si="13"/>
        <v>2022_SA_Riverton_Lentil_DetailedTOS1VarietyKelpieXTWaterTrtIrrigated</v>
      </c>
      <c r="B879" s="2">
        <v>2022006</v>
      </c>
      <c r="C879" s="3" t="s">
        <v>905</v>
      </c>
      <c r="D879" s="3" t="s">
        <v>38</v>
      </c>
      <c r="F879" s="3" t="s">
        <v>4188</v>
      </c>
      <c r="G879" s="3" t="s">
        <v>43</v>
      </c>
      <c r="H879" s="3" t="s">
        <v>250</v>
      </c>
      <c r="I879" s="2">
        <v>40</v>
      </c>
      <c r="J879" s="2">
        <v>20</v>
      </c>
      <c r="K879" s="2">
        <v>2</v>
      </c>
      <c r="O879" s="2">
        <v>5</v>
      </c>
      <c r="U879" s="2">
        <v>4</v>
      </c>
      <c r="V879" s="2">
        <v>19</v>
      </c>
      <c r="W879" s="2">
        <v>4</v>
      </c>
      <c r="X879" s="2">
        <v>10</v>
      </c>
      <c r="Z879" s="2">
        <v>37</v>
      </c>
      <c r="AA879" s="3" t="s">
        <v>57</v>
      </c>
      <c r="AB879" s="2">
        <v>4</v>
      </c>
      <c r="AF879" s="2">
        <v>23</v>
      </c>
      <c r="AG879" s="2">
        <v>1</v>
      </c>
      <c r="AH879" s="3" t="s">
        <v>655</v>
      </c>
      <c r="AI879" s="4">
        <v>44730</v>
      </c>
      <c r="AJ879" s="3" t="s">
        <v>945</v>
      </c>
      <c r="AK879" s="3" t="s">
        <v>38</v>
      </c>
    </row>
    <row r="880" spans="1:37" hidden="1" x14ac:dyDescent="0.25">
      <c r="A880" t="str">
        <f t="shared" si="13"/>
        <v>2022_SA_Riverton_Lentil_DetailedTOS1VarietyHallmarkXTWaterTrtRainFed</v>
      </c>
      <c r="B880" s="2">
        <v>2022006</v>
      </c>
      <c r="C880" s="3" t="s">
        <v>905</v>
      </c>
      <c r="D880" s="3" t="s">
        <v>38</v>
      </c>
      <c r="F880" s="3" t="s">
        <v>4189</v>
      </c>
      <c r="G880" s="3" t="s">
        <v>39</v>
      </c>
      <c r="H880" s="3" t="s">
        <v>253</v>
      </c>
      <c r="I880" s="2">
        <v>41</v>
      </c>
      <c r="J880" s="2">
        <v>21</v>
      </c>
      <c r="K880" s="2">
        <v>2</v>
      </c>
      <c r="O880" s="2">
        <v>6</v>
      </c>
      <c r="U880" s="2">
        <v>1</v>
      </c>
      <c r="V880" s="2">
        <v>22</v>
      </c>
      <c r="W880" s="2">
        <v>1</v>
      </c>
      <c r="X880" s="2">
        <v>11</v>
      </c>
      <c r="AA880" s="3" t="s">
        <v>40</v>
      </c>
      <c r="AB880" s="2">
        <v>2</v>
      </c>
      <c r="AF880" s="2">
        <v>23</v>
      </c>
      <c r="AG880" s="2">
        <v>1</v>
      </c>
      <c r="AH880" s="3" t="s">
        <v>655</v>
      </c>
      <c r="AI880" s="4">
        <v>44730</v>
      </c>
      <c r="AJ880" s="3" t="s">
        <v>946</v>
      </c>
      <c r="AK880" s="3" t="s">
        <v>38</v>
      </c>
    </row>
    <row r="881" spans="1:37" hidden="1" x14ac:dyDescent="0.25">
      <c r="A881" t="str">
        <f t="shared" si="13"/>
        <v>2022_SA_Riverton_Lentil_DetailedTOS1VarietyHallmarkXTWaterTrtRainFed</v>
      </c>
      <c r="B881" s="2">
        <v>2022006</v>
      </c>
      <c r="C881" s="3" t="s">
        <v>905</v>
      </c>
      <c r="D881" s="3" t="s">
        <v>38</v>
      </c>
      <c r="F881" s="3" t="s">
        <v>4189</v>
      </c>
      <c r="G881" s="3" t="s">
        <v>39</v>
      </c>
      <c r="H881" s="3" t="s">
        <v>250</v>
      </c>
      <c r="I881" s="2">
        <v>42</v>
      </c>
      <c r="J881" s="2">
        <v>21</v>
      </c>
      <c r="K881" s="2">
        <v>2</v>
      </c>
      <c r="O881" s="2">
        <v>6</v>
      </c>
      <c r="U881" s="2">
        <v>2</v>
      </c>
      <c r="V881" s="2">
        <v>22</v>
      </c>
      <c r="W881" s="2">
        <v>2</v>
      </c>
      <c r="X881" s="2">
        <v>11</v>
      </c>
      <c r="Z881" s="2">
        <v>42</v>
      </c>
      <c r="AA881" s="3" t="s">
        <v>40</v>
      </c>
      <c r="AB881" s="2">
        <v>2</v>
      </c>
      <c r="AF881" s="2">
        <v>23</v>
      </c>
      <c r="AG881" s="2">
        <v>1</v>
      </c>
      <c r="AH881" s="3" t="s">
        <v>655</v>
      </c>
      <c r="AI881" s="4">
        <v>44730</v>
      </c>
      <c r="AJ881" s="3" t="s">
        <v>947</v>
      </c>
      <c r="AK881" s="3" t="s">
        <v>38</v>
      </c>
    </row>
    <row r="882" spans="1:37" hidden="1" x14ac:dyDescent="0.25">
      <c r="A882" t="str">
        <f t="shared" si="13"/>
        <v>2022_SA_Riverton_Lentil_DetailedTOS1VarietyJumbo2WaterTrtRainFed</v>
      </c>
      <c r="B882" s="2">
        <v>2022006</v>
      </c>
      <c r="C882" s="3" t="s">
        <v>905</v>
      </c>
      <c r="D882" s="3" t="s">
        <v>38</v>
      </c>
      <c r="F882" s="3" t="s">
        <v>4176</v>
      </c>
      <c r="G882" s="3" t="s">
        <v>43</v>
      </c>
      <c r="H882" s="3" t="s">
        <v>253</v>
      </c>
      <c r="I882" s="2">
        <v>43</v>
      </c>
      <c r="J882" s="2">
        <v>22</v>
      </c>
      <c r="K882" s="2">
        <v>2</v>
      </c>
      <c r="O882" s="2">
        <v>6</v>
      </c>
      <c r="U882" s="2">
        <v>3</v>
      </c>
      <c r="V882" s="2">
        <v>22</v>
      </c>
      <c r="W882" s="2">
        <v>3</v>
      </c>
      <c r="X882" s="2">
        <v>11</v>
      </c>
      <c r="AA882" s="3" t="s">
        <v>40</v>
      </c>
      <c r="AB882" s="2">
        <v>3</v>
      </c>
      <c r="AF882" s="2">
        <v>23</v>
      </c>
      <c r="AG882" s="2">
        <v>1</v>
      </c>
      <c r="AH882" s="3" t="s">
        <v>655</v>
      </c>
      <c r="AI882" s="4">
        <v>44730</v>
      </c>
      <c r="AJ882" s="3" t="s">
        <v>948</v>
      </c>
      <c r="AK882" s="3" t="s">
        <v>38</v>
      </c>
    </row>
    <row r="883" spans="1:37" hidden="1" x14ac:dyDescent="0.25">
      <c r="A883" t="str">
        <f t="shared" si="13"/>
        <v>2022_SA_Riverton_Lentil_DetailedTOS1VarietyJumbo2WaterTrtRainFed</v>
      </c>
      <c r="B883" s="2">
        <v>2022006</v>
      </c>
      <c r="C883" s="3" t="s">
        <v>905</v>
      </c>
      <c r="D883" s="3" t="s">
        <v>38</v>
      </c>
      <c r="F883" s="3" t="s">
        <v>4176</v>
      </c>
      <c r="G883" s="3" t="s">
        <v>43</v>
      </c>
      <c r="H883" s="3" t="s">
        <v>250</v>
      </c>
      <c r="I883" s="2">
        <v>44</v>
      </c>
      <c r="J883" s="2">
        <v>22</v>
      </c>
      <c r="K883" s="2">
        <v>2</v>
      </c>
      <c r="O883" s="2">
        <v>6</v>
      </c>
      <c r="U883" s="2">
        <v>4</v>
      </c>
      <c r="V883" s="2">
        <v>22</v>
      </c>
      <c r="W883" s="2">
        <v>4</v>
      </c>
      <c r="X883" s="2">
        <v>11</v>
      </c>
      <c r="Z883" s="2">
        <v>44</v>
      </c>
      <c r="AA883" s="3" t="s">
        <v>40</v>
      </c>
      <c r="AB883" s="2">
        <v>3</v>
      </c>
      <c r="AF883" s="2">
        <v>23</v>
      </c>
      <c r="AG883" s="2">
        <v>1</v>
      </c>
      <c r="AH883" s="3" t="s">
        <v>655</v>
      </c>
      <c r="AI883" s="4">
        <v>44730</v>
      </c>
      <c r="AJ883" s="3" t="s">
        <v>949</v>
      </c>
      <c r="AK883" s="3" t="s">
        <v>38</v>
      </c>
    </row>
    <row r="884" spans="1:37" hidden="1" x14ac:dyDescent="0.25">
      <c r="A884" t="str">
        <f t="shared" si="13"/>
        <v>2022_SA_Riverton_Lentil_DetailedTOS1VarietyKelpieXTWaterTrtRainFed</v>
      </c>
      <c r="B884" s="2">
        <v>2022006</v>
      </c>
      <c r="C884" s="3" t="s">
        <v>905</v>
      </c>
      <c r="D884" s="3" t="s">
        <v>38</v>
      </c>
      <c r="F884" s="3" t="s">
        <v>4188</v>
      </c>
      <c r="G884" s="3" t="s">
        <v>43</v>
      </c>
      <c r="H884" s="3" t="s">
        <v>253</v>
      </c>
      <c r="I884" s="2">
        <v>45</v>
      </c>
      <c r="J884" s="2">
        <v>23</v>
      </c>
      <c r="K884" s="2">
        <v>2</v>
      </c>
      <c r="O884" s="2">
        <v>6</v>
      </c>
      <c r="U884" s="2">
        <v>1</v>
      </c>
      <c r="V884" s="2">
        <v>23</v>
      </c>
      <c r="W884" s="2">
        <v>1</v>
      </c>
      <c r="X884" s="2">
        <v>12</v>
      </c>
      <c r="AA884" s="3" t="s">
        <v>40</v>
      </c>
      <c r="AB884" s="2">
        <v>4</v>
      </c>
      <c r="AF884" s="2">
        <v>23</v>
      </c>
      <c r="AG884" s="2">
        <v>1</v>
      </c>
      <c r="AH884" s="3" t="s">
        <v>655</v>
      </c>
      <c r="AI884" s="4">
        <v>44730</v>
      </c>
      <c r="AJ884" s="3" t="s">
        <v>950</v>
      </c>
      <c r="AK884" s="3" t="s">
        <v>38</v>
      </c>
    </row>
    <row r="885" spans="1:37" hidden="1" x14ac:dyDescent="0.25">
      <c r="A885" t="str">
        <f t="shared" si="13"/>
        <v>2022_SA_Riverton_Lentil_DetailedTOS1VarietyKelpieXTWaterTrtRainFed</v>
      </c>
      <c r="B885" s="2">
        <v>2022006</v>
      </c>
      <c r="C885" s="3" t="s">
        <v>905</v>
      </c>
      <c r="D885" s="3" t="s">
        <v>38</v>
      </c>
      <c r="F885" s="3" t="s">
        <v>4188</v>
      </c>
      <c r="G885" s="3" t="s">
        <v>43</v>
      </c>
      <c r="H885" s="3" t="s">
        <v>250</v>
      </c>
      <c r="I885" s="2">
        <v>46</v>
      </c>
      <c r="J885" s="2">
        <v>23</v>
      </c>
      <c r="K885" s="2">
        <v>2</v>
      </c>
      <c r="O885" s="2">
        <v>6</v>
      </c>
      <c r="U885" s="2">
        <v>2</v>
      </c>
      <c r="V885" s="2">
        <v>23</v>
      </c>
      <c r="W885" s="2">
        <v>2</v>
      </c>
      <c r="X885" s="2">
        <v>12</v>
      </c>
      <c r="Z885" s="2">
        <v>47</v>
      </c>
      <c r="AA885" s="3" t="s">
        <v>40</v>
      </c>
      <c r="AB885" s="2">
        <v>4</v>
      </c>
      <c r="AF885" s="2">
        <v>23</v>
      </c>
      <c r="AG885" s="2">
        <v>1</v>
      </c>
      <c r="AH885" s="3" t="s">
        <v>655</v>
      </c>
      <c r="AI885" s="4">
        <v>44730</v>
      </c>
      <c r="AJ885" s="3" t="s">
        <v>951</v>
      </c>
      <c r="AK885" s="3" t="s">
        <v>38</v>
      </c>
    </row>
    <row r="886" spans="1:37" hidden="1" x14ac:dyDescent="0.25">
      <c r="A886" t="str">
        <f t="shared" si="13"/>
        <v>2022_SA_Riverton_Lentil_DetailedTOS1VarietyBoltWaterTrtRainFed</v>
      </c>
      <c r="B886" s="2">
        <v>2022006</v>
      </c>
      <c r="C886" s="3" t="s">
        <v>905</v>
      </c>
      <c r="D886" s="3" t="s">
        <v>38</v>
      </c>
      <c r="F886" s="3" t="s">
        <v>4187</v>
      </c>
      <c r="G886" s="3" t="s">
        <v>39</v>
      </c>
      <c r="H886" s="3" t="s">
        <v>253</v>
      </c>
      <c r="I886" s="2">
        <v>47</v>
      </c>
      <c r="J886" s="2">
        <v>24</v>
      </c>
      <c r="K886" s="2">
        <v>2</v>
      </c>
      <c r="O886" s="2">
        <v>6</v>
      </c>
      <c r="U886" s="2">
        <v>3</v>
      </c>
      <c r="V886" s="2">
        <v>23</v>
      </c>
      <c r="W886" s="2">
        <v>3</v>
      </c>
      <c r="X886" s="2">
        <v>12</v>
      </c>
      <c r="AA886" s="3" t="s">
        <v>40</v>
      </c>
      <c r="AB886" s="2">
        <v>1</v>
      </c>
      <c r="AF886" s="2">
        <v>23</v>
      </c>
      <c r="AG886" s="2">
        <v>1</v>
      </c>
      <c r="AH886" s="3" t="s">
        <v>655</v>
      </c>
      <c r="AI886" s="4">
        <v>44730</v>
      </c>
      <c r="AJ886" s="3" t="s">
        <v>952</v>
      </c>
      <c r="AK886" s="3" t="s">
        <v>38</v>
      </c>
    </row>
    <row r="887" spans="1:37" hidden="1" x14ac:dyDescent="0.25">
      <c r="A887" t="str">
        <f t="shared" si="13"/>
        <v>2022_SA_Riverton_Lentil_DetailedTOS1VarietyBoltWaterTrtRainFed</v>
      </c>
      <c r="B887" s="2">
        <v>2022006</v>
      </c>
      <c r="C887" s="3" t="s">
        <v>905</v>
      </c>
      <c r="D887" s="3" t="s">
        <v>38</v>
      </c>
      <c r="F887" s="3" t="s">
        <v>4187</v>
      </c>
      <c r="G887" s="3" t="s">
        <v>39</v>
      </c>
      <c r="H887" s="3" t="s">
        <v>250</v>
      </c>
      <c r="I887" s="2">
        <v>48</v>
      </c>
      <c r="J887" s="2">
        <v>24</v>
      </c>
      <c r="K887" s="2">
        <v>2</v>
      </c>
      <c r="O887" s="2">
        <v>6</v>
      </c>
      <c r="U887" s="2">
        <v>4</v>
      </c>
      <c r="V887" s="2">
        <v>23</v>
      </c>
      <c r="W887" s="2">
        <v>4</v>
      </c>
      <c r="X887" s="2">
        <v>12</v>
      </c>
      <c r="Z887" s="2">
        <v>45</v>
      </c>
      <c r="AA887" s="3" t="s">
        <v>40</v>
      </c>
      <c r="AB887" s="2">
        <v>1</v>
      </c>
      <c r="AF887" s="2">
        <v>23</v>
      </c>
      <c r="AG887" s="2">
        <v>1</v>
      </c>
      <c r="AH887" s="3" t="s">
        <v>655</v>
      </c>
      <c r="AI887" s="4">
        <v>44730</v>
      </c>
      <c r="AJ887" s="3" t="s">
        <v>953</v>
      </c>
      <c r="AK887" s="3" t="s">
        <v>38</v>
      </c>
    </row>
    <row r="888" spans="1:37" hidden="1" x14ac:dyDescent="0.25">
      <c r="A888" t="str">
        <f t="shared" si="13"/>
        <v>2022_SA_Riverton_Lentil_DetailedTOS2VarietyKelpieXTWaterTrtRainFed</v>
      </c>
      <c r="B888" s="2">
        <v>2022006</v>
      </c>
      <c r="C888" s="3" t="s">
        <v>905</v>
      </c>
      <c r="D888" s="3" t="s">
        <v>38</v>
      </c>
      <c r="F888" s="3" t="s">
        <v>4188</v>
      </c>
      <c r="G888" s="3" t="s">
        <v>43</v>
      </c>
      <c r="H888" s="3" t="s">
        <v>253</v>
      </c>
      <c r="I888" s="2">
        <v>49</v>
      </c>
      <c r="J888" s="2">
        <v>25</v>
      </c>
      <c r="K888" s="2">
        <v>2</v>
      </c>
      <c r="O888" s="2">
        <v>7</v>
      </c>
      <c r="U888" s="2">
        <v>1</v>
      </c>
      <c r="V888" s="2">
        <v>26</v>
      </c>
      <c r="W888" s="2">
        <v>1</v>
      </c>
      <c r="X888" s="2">
        <v>13</v>
      </c>
      <c r="AA888" s="3" t="s">
        <v>40</v>
      </c>
      <c r="AB888" s="2">
        <v>4</v>
      </c>
      <c r="AF888" s="2">
        <v>23</v>
      </c>
      <c r="AG888" s="2">
        <v>2</v>
      </c>
      <c r="AH888" s="3" t="s">
        <v>646</v>
      </c>
      <c r="AI888" s="4">
        <v>44756</v>
      </c>
      <c r="AJ888" s="3" t="s">
        <v>954</v>
      </c>
      <c r="AK888" s="3" t="s">
        <v>38</v>
      </c>
    </row>
    <row r="889" spans="1:37" hidden="1" x14ac:dyDescent="0.25">
      <c r="A889" t="str">
        <f t="shared" si="13"/>
        <v>2022_SA_Riverton_Lentil_DetailedTOS2VarietyKelpieXTWaterTrtRainFed</v>
      </c>
      <c r="B889" s="2">
        <v>2022006</v>
      </c>
      <c r="C889" s="3" t="s">
        <v>905</v>
      </c>
      <c r="D889" s="3" t="s">
        <v>38</v>
      </c>
      <c r="F889" s="3" t="s">
        <v>4188</v>
      </c>
      <c r="G889" s="3" t="s">
        <v>43</v>
      </c>
      <c r="H889" s="3" t="s">
        <v>250</v>
      </c>
      <c r="I889" s="2">
        <v>50</v>
      </c>
      <c r="J889" s="2">
        <v>25</v>
      </c>
      <c r="K889" s="2">
        <v>2</v>
      </c>
      <c r="O889" s="2">
        <v>7</v>
      </c>
      <c r="U889" s="2">
        <v>2</v>
      </c>
      <c r="V889" s="2">
        <v>26</v>
      </c>
      <c r="W889" s="2">
        <v>2</v>
      </c>
      <c r="X889" s="2">
        <v>13</v>
      </c>
      <c r="Z889" s="2">
        <v>50</v>
      </c>
      <c r="AA889" s="3" t="s">
        <v>40</v>
      </c>
      <c r="AB889" s="2">
        <v>4</v>
      </c>
      <c r="AF889" s="2">
        <v>23</v>
      </c>
      <c r="AG889" s="2">
        <v>2</v>
      </c>
      <c r="AH889" s="3" t="s">
        <v>646</v>
      </c>
      <c r="AI889" s="4">
        <v>44756</v>
      </c>
      <c r="AJ889" s="3" t="s">
        <v>955</v>
      </c>
      <c r="AK889" s="3" t="s">
        <v>38</v>
      </c>
    </row>
    <row r="890" spans="1:37" hidden="1" x14ac:dyDescent="0.25">
      <c r="A890" t="str">
        <f t="shared" si="13"/>
        <v>2022_SA_Riverton_Lentil_DetailedTOS2VarietyBoltWaterTrtRainFed</v>
      </c>
      <c r="B890" s="2">
        <v>2022006</v>
      </c>
      <c r="C890" s="3" t="s">
        <v>905</v>
      </c>
      <c r="D890" s="3" t="s">
        <v>38</v>
      </c>
      <c r="F890" s="3" t="s">
        <v>4187</v>
      </c>
      <c r="G890" s="3" t="s">
        <v>39</v>
      </c>
      <c r="H890" s="3" t="s">
        <v>253</v>
      </c>
      <c r="I890" s="2">
        <v>51</v>
      </c>
      <c r="J890" s="2">
        <v>26</v>
      </c>
      <c r="K890" s="2">
        <v>2</v>
      </c>
      <c r="O890" s="2">
        <v>7</v>
      </c>
      <c r="U890" s="2">
        <v>3</v>
      </c>
      <c r="V890" s="2">
        <v>26</v>
      </c>
      <c r="W890" s="2">
        <v>3</v>
      </c>
      <c r="X890" s="2">
        <v>13</v>
      </c>
      <c r="AA890" s="3" t="s">
        <v>40</v>
      </c>
      <c r="AB890" s="2">
        <v>1</v>
      </c>
      <c r="AF890" s="2">
        <v>23</v>
      </c>
      <c r="AG890" s="2">
        <v>2</v>
      </c>
      <c r="AH890" s="3" t="s">
        <v>646</v>
      </c>
      <c r="AI890" s="4">
        <v>44756</v>
      </c>
      <c r="AJ890" s="3" t="s">
        <v>956</v>
      </c>
      <c r="AK890" s="3" t="s">
        <v>38</v>
      </c>
    </row>
    <row r="891" spans="1:37" hidden="1" x14ac:dyDescent="0.25">
      <c r="A891" t="str">
        <f t="shared" si="13"/>
        <v>2022_SA_Riverton_Lentil_DetailedTOS2VarietyBoltWaterTrtRainFed</v>
      </c>
      <c r="B891" s="2">
        <v>2022006</v>
      </c>
      <c r="C891" s="3" t="s">
        <v>905</v>
      </c>
      <c r="D891" s="3" t="s">
        <v>38</v>
      </c>
      <c r="F891" s="3" t="s">
        <v>4187</v>
      </c>
      <c r="G891" s="3" t="s">
        <v>39</v>
      </c>
      <c r="H891" s="3" t="s">
        <v>250</v>
      </c>
      <c r="I891" s="2">
        <v>52</v>
      </c>
      <c r="J891" s="2">
        <v>26</v>
      </c>
      <c r="K891" s="2">
        <v>2</v>
      </c>
      <c r="O891" s="2">
        <v>7</v>
      </c>
      <c r="U891" s="2">
        <v>4</v>
      </c>
      <c r="V891" s="2">
        <v>26</v>
      </c>
      <c r="W891" s="2">
        <v>4</v>
      </c>
      <c r="X891" s="2">
        <v>13</v>
      </c>
      <c r="Z891" s="2">
        <v>52</v>
      </c>
      <c r="AA891" s="3" t="s">
        <v>40</v>
      </c>
      <c r="AB891" s="2">
        <v>1</v>
      </c>
      <c r="AF891" s="2">
        <v>23</v>
      </c>
      <c r="AG891" s="2">
        <v>2</v>
      </c>
      <c r="AH891" s="3" t="s">
        <v>646</v>
      </c>
      <c r="AI891" s="4">
        <v>44756</v>
      </c>
      <c r="AJ891" s="3" t="s">
        <v>957</v>
      </c>
      <c r="AK891" s="3" t="s">
        <v>38</v>
      </c>
    </row>
    <row r="892" spans="1:37" hidden="1" x14ac:dyDescent="0.25">
      <c r="A892" t="str">
        <f t="shared" si="13"/>
        <v>2022_SA_Riverton_Lentil_DetailedTOS2VarietyHallmarkXTWaterTrtRainFed</v>
      </c>
      <c r="B892" s="2">
        <v>2022006</v>
      </c>
      <c r="C892" s="3" t="s">
        <v>905</v>
      </c>
      <c r="D892" s="3" t="s">
        <v>38</v>
      </c>
      <c r="F892" s="3" t="s">
        <v>4189</v>
      </c>
      <c r="G892" s="3" t="s">
        <v>39</v>
      </c>
      <c r="H892" s="3" t="s">
        <v>253</v>
      </c>
      <c r="I892" s="2">
        <v>53</v>
      </c>
      <c r="J892" s="2">
        <v>27</v>
      </c>
      <c r="K892" s="2">
        <v>2</v>
      </c>
      <c r="O892" s="2">
        <v>7</v>
      </c>
      <c r="U892" s="2">
        <v>1</v>
      </c>
      <c r="V892" s="2">
        <v>27</v>
      </c>
      <c r="W892" s="2">
        <v>1</v>
      </c>
      <c r="X892" s="2">
        <v>14</v>
      </c>
      <c r="AA892" s="3" t="s">
        <v>40</v>
      </c>
      <c r="AB892" s="2">
        <v>2</v>
      </c>
      <c r="AF892" s="2">
        <v>23</v>
      </c>
      <c r="AG892" s="2">
        <v>2</v>
      </c>
      <c r="AH892" s="3" t="s">
        <v>646</v>
      </c>
      <c r="AI892" s="4">
        <v>44756</v>
      </c>
      <c r="AJ892" s="3" t="s">
        <v>958</v>
      </c>
      <c r="AK892" s="3" t="s">
        <v>38</v>
      </c>
    </row>
    <row r="893" spans="1:37" hidden="1" x14ac:dyDescent="0.25">
      <c r="A893" t="str">
        <f t="shared" si="13"/>
        <v>2022_SA_Riverton_Lentil_DetailedTOS2VarietyHallmarkXTWaterTrtRainFed</v>
      </c>
      <c r="B893" s="2">
        <v>2022006</v>
      </c>
      <c r="C893" s="3" t="s">
        <v>905</v>
      </c>
      <c r="D893" s="3" t="s">
        <v>38</v>
      </c>
      <c r="F893" s="3" t="s">
        <v>4189</v>
      </c>
      <c r="G893" s="3" t="s">
        <v>39</v>
      </c>
      <c r="H893" s="3" t="s">
        <v>250</v>
      </c>
      <c r="I893" s="2">
        <v>54</v>
      </c>
      <c r="J893" s="2">
        <v>27</v>
      </c>
      <c r="K893" s="2">
        <v>2</v>
      </c>
      <c r="O893" s="2">
        <v>7</v>
      </c>
      <c r="U893" s="2">
        <v>2</v>
      </c>
      <c r="V893" s="2">
        <v>27</v>
      </c>
      <c r="W893" s="2">
        <v>2</v>
      </c>
      <c r="X893" s="2">
        <v>14</v>
      </c>
      <c r="Z893" s="2">
        <v>55</v>
      </c>
      <c r="AA893" s="3" t="s">
        <v>40</v>
      </c>
      <c r="AB893" s="2">
        <v>2</v>
      </c>
      <c r="AF893" s="2">
        <v>23</v>
      </c>
      <c r="AG893" s="2">
        <v>2</v>
      </c>
      <c r="AH893" s="3" t="s">
        <v>646</v>
      </c>
      <c r="AI893" s="4">
        <v>44756</v>
      </c>
      <c r="AJ893" s="3" t="s">
        <v>959</v>
      </c>
      <c r="AK893" s="3" t="s">
        <v>38</v>
      </c>
    </row>
    <row r="894" spans="1:37" hidden="1" x14ac:dyDescent="0.25">
      <c r="A894" t="str">
        <f t="shared" si="13"/>
        <v>2022_SA_Riverton_Lentil_DetailedTOS2VarietyJumbo2WaterTrtRainFed</v>
      </c>
      <c r="B894" s="2">
        <v>2022006</v>
      </c>
      <c r="C894" s="3" t="s">
        <v>905</v>
      </c>
      <c r="D894" s="3" t="s">
        <v>38</v>
      </c>
      <c r="F894" s="3" t="s">
        <v>4176</v>
      </c>
      <c r="G894" s="3" t="s">
        <v>43</v>
      </c>
      <c r="H894" s="3" t="s">
        <v>253</v>
      </c>
      <c r="I894" s="2">
        <v>55</v>
      </c>
      <c r="J894" s="2">
        <v>28</v>
      </c>
      <c r="K894" s="2">
        <v>2</v>
      </c>
      <c r="O894" s="2">
        <v>7</v>
      </c>
      <c r="U894" s="2">
        <v>3</v>
      </c>
      <c r="V894" s="2">
        <v>27</v>
      </c>
      <c r="W894" s="2">
        <v>3</v>
      </c>
      <c r="X894" s="2">
        <v>14</v>
      </c>
      <c r="AA894" s="3" t="s">
        <v>40</v>
      </c>
      <c r="AB894" s="2">
        <v>3</v>
      </c>
      <c r="AF894" s="2">
        <v>23</v>
      </c>
      <c r="AG894" s="2">
        <v>2</v>
      </c>
      <c r="AH894" s="3" t="s">
        <v>646</v>
      </c>
      <c r="AI894" s="4">
        <v>44756</v>
      </c>
      <c r="AJ894" s="3" t="s">
        <v>960</v>
      </c>
      <c r="AK894" s="3" t="s">
        <v>38</v>
      </c>
    </row>
    <row r="895" spans="1:37" hidden="1" x14ac:dyDescent="0.25">
      <c r="A895" t="str">
        <f t="shared" si="13"/>
        <v>2022_SA_Riverton_Lentil_DetailedTOS2VarietyJumbo2WaterTrtRainFed</v>
      </c>
      <c r="B895" s="2">
        <v>2022006</v>
      </c>
      <c r="C895" s="3" t="s">
        <v>905</v>
      </c>
      <c r="D895" s="3" t="s">
        <v>38</v>
      </c>
      <c r="F895" s="3" t="s">
        <v>4176</v>
      </c>
      <c r="G895" s="3" t="s">
        <v>43</v>
      </c>
      <c r="H895" s="3" t="s">
        <v>250</v>
      </c>
      <c r="I895" s="2">
        <v>56</v>
      </c>
      <c r="J895" s="2">
        <v>28</v>
      </c>
      <c r="K895" s="2">
        <v>2</v>
      </c>
      <c r="O895" s="2">
        <v>7</v>
      </c>
      <c r="U895" s="2">
        <v>4</v>
      </c>
      <c r="V895" s="2">
        <v>27</v>
      </c>
      <c r="W895" s="2">
        <v>4</v>
      </c>
      <c r="X895" s="2">
        <v>14</v>
      </c>
      <c r="Z895" s="2">
        <v>53</v>
      </c>
      <c r="AA895" s="3" t="s">
        <v>40</v>
      </c>
      <c r="AB895" s="2">
        <v>3</v>
      </c>
      <c r="AF895" s="2">
        <v>23</v>
      </c>
      <c r="AG895" s="2">
        <v>2</v>
      </c>
      <c r="AH895" s="3" t="s">
        <v>646</v>
      </c>
      <c r="AI895" s="4">
        <v>44756</v>
      </c>
      <c r="AJ895" s="3" t="s">
        <v>961</v>
      </c>
      <c r="AK895" s="3" t="s">
        <v>38</v>
      </c>
    </row>
    <row r="896" spans="1:37" hidden="1" x14ac:dyDescent="0.25">
      <c r="A896" t="str">
        <f t="shared" si="13"/>
        <v>2022_SA_Riverton_Lentil_DetailedTOS2VarietyBoltWaterTrtIrrigated</v>
      </c>
      <c r="B896" s="2">
        <v>2022006</v>
      </c>
      <c r="C896" s="3" t="s">
        <v>905</v>
      </c>
      <c r="D896" s="3" t="s">
        <v>38</v>
      </c>
      <c r="F896" s="3" t="s">
        <v>4187</v>
      </c>
      <c r="G896" s="3" t="s">
        <v>39</v>
      </c>
      <c r="H896" s="3" t="s">
        <v>253</v>
      </c>
      <c r="I896" s="2">
        <v>57</v>
      </c>
      <c r="J896" s="2">
        <v>29</v>
      </c>
      <c r="K896" s="2">
        <v>2</v>
      </c>
      <c r="O896" s="2">
        <v>8</v>
      </c>
      <c r="U896" s="2">
        <v>1</v>
      </c>
      <c r="V896" s="2">
        <v>30</v>
      </c>
      <c r="W896" s="2">
        <v>1</v>
      </c>
      <c r="X896" s="2">
        <v>15</v>
      </c>
      <c r="AA896" s="3" t="s">
        <v>57</v>
      </c>
      <c r="AB896" s="2">
        <v>1</v>
      </c>
      <c r="AF896" s="2">
        <v>23</v>
      </c>
      <c r="AG896" s="2">
        <v>2</v>
      </c>
      <c r="AH896" s="3" t="s">
        <v>646</v>
      </c>
      <c r="AI896" s="4">
        <v>44756</v>
      </c>
      <c r="AJ896" s="3" t="s">
        <v>962</v>
      </c>
      <c r="AK896" s="3" t="s">
        <v>38</v>
      </c>
    </row>
    <row r="897" spans="1:37" hidden="1" x14ac:dyDescent="0.25">
      <c r="A897" t="str">
        <f t="shared" si="13"/>
        <v>2022_SA_Riverton_Lentil_DetailedTOS2VarietyBoltWaterTrtIrrigated</v>
      </c>
      <c r="B897" s="2">
        <v>2022006</v>
      </c>
      <c r="C897" s="3" t="s">
        <v>905</v>
      </c>
      <c r="D897" s="3" t="s">
        <v>38</v>
      </c>
      <c r="F897" s="3" t="s">
        <v>4187</v>
      </c>
      <c r="G897" s="3" t="s">
        <v>39</v>
      </c>
      <c r="H897" s="3" t="s">
        <v>250</v>
      </c>
      <c r="I897" s="2">
        <v>58</v>
      </c>
      <c r="J897" s="2">
        <v>29</v>
      </c>
      <c r="K897" s="2">
        <v>2</v>
      </c>
      <c r="O897" s="2">
        <v>8</v>
      </c>
      <c r="U897" s="2">
        <v>2</v>
      </c>
      <c r="V897" s="2">
        <v>30</v>
      </c>
      <c r="W897" s="2">
        <v>2</v>
      </c>
      <c r="X897" s="2">
        <v>15</v>
      </c>
      <c r="Z897" s="2">
        <v>58</v>
      </c>
      <c r="AA897" s="3" t="s">
        <v>57</v>
      </c>
      <c r="AB897" s="2">
        <v>1</v>
      </c>
      <c r="AF897" s="2">
        <v>23</v>
      </c>
      <c r="AG897" s="2">
        <v>2</v>
      </c>
      <c r="AH897" s="3" t="s">
        <v>646</v>
      </c>
      <c r="AI897" s="4">
        <v>44756</v>
      </c>
      <c r="AJ897" s="3" t="s">
        <v>963</v>
      </c>
      <c r="AK897" s="3" t="s">
        <v>38</v>
      </c>
    </row>
    <row r="898" spans="1:37" hidden="1" x14ac:dyDescent="0.25">
      <c r="A898" t="str">
        <f t="shared" si="13"/>
        <v>2022_SA_Riverton_Lentil_DetailedTOS2VarietyKelpieXTWaterTrtIrrigated</v>
      </c>
      <c r="B898" s="2">
        <v>2022006</v>
      </c>
      <c r="C898" s="3" t="s">
        <v>905</v>
      </c>
      <c r="D898" s="3" t="s">
        <v>38</v>
      </c>
      <c r="F898" s="3" t="s">
        <v>4188</v>
      </c>
      <c r="G898" s="3" t="s">
        <v>43</v>
      </c>
      <c r="H898" s="3" t="s">
        <v>253</v>
      </c>
      <c r="I898" s="2">
        <v>59</v>
      </c>
      <c r="J898" s="2">
        <v>30</v>
      </c>
      <c r="K898" s="2">
        <v>2</v>
      </c>
      <c r="O898" s="2">
        <v>8</v>
      </c>
      <c r="U898" s="2">
        <v>3</v>
      </c>
      <c r="V898" s="2">
        <v>30</v>
      </c>
      <c r="W898" s="2">
        <v>3</v>
      </c>
      <c r="X898" s="2">
        <v>15</v>
      </c>
      <c r="AA898" s="3" t="s">
        <v>57</v>
      </c>
      <c r="AB898" s="2">
        <v>4</v>
      </c>
      <c r="AF898" s="2">
        <v>23</v>
      </c>
      <c r="AG898" s="2">
        <v>2</v>
      </c>
      <c r="AH898" s="3" t="s">
        <v>646</v>
      </c>
      <c r="AI898" s="4">
        <v>44756</v>
      </c>
      <c r="AJ898" s="3" t="s">
        <v>964</v>
      </c>
      <c r="AK898" s="3" t="s">
        <v>38</v>
      </c>
    </row>
    <row r="899" spans="1:37" hidden="1" x14ac:dyDescent="0.25">
      <c r="A899" t="str">
        <f t="shared" ref="A899:A962" si="14">C899&amp;"TOS"&amp;AG899&amp;"Variety"&amp;F899&amp;"WaterTrt"&amp;AA899&amp;IF(AC899="","","Agronomy"&amp;AC899)</f>
        <v>2022_SA_Riverton_Lentil_DetailedTOS2VarietyKelpieXTWaterTrtIrrigated</v>
      </c>
      <c r="B899" s="2">
        <v>2022006</v>
      </c>
      <c r="C899" s="3" t="s">
        <v>905</v>
      </c>
      <c r="D899" s="3" t="s">
        <v>38</v>
      </c>
      <c r="F899" s="3" t="s">
        <v>4188</v>
      </c>
      <c r="G899" s="3" t="s">
        <v>43</v>
      </c>
      <c r="H899" s="3" t="s">
        <v>250</v>
      </c>
      <c r="I899" s="2">
        <v>60</v>
      </c>
      <c r="J899" s="2">
        <v>30</v>
      </c>
      <c r="K899" s="2">
        <v>2</v>
      </c>
      <c r="O899" s="2">
        <v>8</v>
      </c>
      <c r="U899" s="2">
        <v>4</v>
      </c>
      <c r="V899" s="2">
        <v>30</v>
      </c>
      <c r="W899" s="2">
        <v>4</v>
      </c>
      <c r="X899" s="2">
        <v>15</v>
      </c>
      <c r="Z899" s="2">
        <v>60</v>
      </c>
      <c r="AA899" s="3" t="s">
        <v>57</v>
      </c>
      <c r="AB899" s="2">
        <v>4</v>
      </c>
      <c r="AF899" s="2">
        <v>23</v>
      </c>
      <c r="AG899" s="2">
        <v>2</v>
      </c>
      <c r="AH899" s="3" t="s">
        <v>646</v>
      </c>
      <c r="AI899" s="4">
        <v>44756</v>
      </c>
      <c r="AJ899" s="3" t="s">
        <v>965</v>
      </c>
      <c r="AK899" s="3" t="s">
        <v>38</v>
      </c>
    </row>
    <row r="900" spans="1:37" hidden="1" x14ac:dyDescent="0.25">
      <c r="A900" t="str">
        <f t="shared" si="14"/>
        <v>2022_SA_Riverton_Lentil_DetailedTOS2VarietyJumbo2WaterTrtIrrigated</v>
      </c>
      <c r="B900" s="2">
        <v>2022006</v>
      </c>
      <c r="C900" s="3" t="s">
        <v>905</v>
      </c>
      <c r="D900" s="3" t="s">
        <v>38</v>
      </c>
      <c r="F900" s="3" t="s">
        <v>4176</v>
      </c>
      <c r="G900" s="3" t="s">
        <v>43</v>
      </c>
      <c r="H900" s="3" t="s">
        <v>253</v>
      </c>
      <c r="I900" s="2">
        <v>61</v>
      </c>
      <c r="J900" s="2">
        <v>31</v>
      </c>
      <c r="K900" s="2">
        <v>2</v>
      </c>
      <c r="O900" s="2">
        <v>8</v>
      </c>
      <c r="U900" s="2">
        <v>1</v>
      </c>
      <c r="V900" s="2">
        <v>31</v>
      </c>
      <c r="W900" s="2">
        <v>1</v>
      </c>
      <c r="X900" s="2">
        <v>16</v>
      </c>
      <c r="AA900" s="3" t="s">
        <v>57</v>
      </c>
      <c r="AB900" s="2">
        <v>3</v>
      </c>
      <c r="AF900" s="2">
        <v>23</v>
      </c>
      <c r="AG900" s="2">
        <v>2</v>
      </c>
      <c r="AH900" s="3" t="s">
        <v>646</v>
      </c>
      <c r="AI900" s="4">
        <v>44756</v>
      </c>
      <c r="AJ900" s="3" t="s">
        <v>966</v>
      </c>
      <c r="AK900" s="3" t="s">
        <v>38</v>
      </c>
    </row>
    <row r="901" spans="1:37" hidden="1" x14ac:dyDescent="0.25">
      <c r="A901" t="str">
        <f t="shared" si="14"/>
        <v>2022_SA_Riverton_Lentil_DetailedTOS2VarietyJumbo2WaterTrtIrrigated</v>
      </c>
      <c r="B901" s="2">
        <v>2022006</v>
      </c>
      <c r="C901" s="3" t="s">
        <v>905</v>
      </c>
      <c r="D901" s="3" t="s">
        <v>38</v>
      </c>
      <c r="F901" s="3" t="s">
        <v>4176</v>
      </c>
      <c r="G901" s="3" t="s">
        <v>43</v>
      </c>
      <c r="H901" s="3" t="s">
        <v>250</v>
      </c>
      <c r="I901" s="2">
        <v>62</v>
      </c>
      <c r="J901" s="2">
        <v>31</v>
      </c>
      <c r="K901" s="2">
        <v>2</v>
      </c>
      <c r="O901" s="2">
        <v>8</v>
      </c>
      <c r="U901" s="2">
        <v>2</v>
      </c>
      <c r="V901" s="2">
        <v>31</v>
      </c>
      <c r="W901" s="2">
        <v>2</v>
      </c>
      <c r="X901" s="2">
        <v>16</v>
      </c>
      <c r="Z901" s="2">
        <v>63</v>
      </c>
      <c r="AA901" s="3" t="s">
        <v>57</v>
      </c>
      <c r="AB901" s="2">
        <v>3</v>
      </c>
      <c r="AF901" s="2">
        <v>23</v>
      </c>
      <c r="AG901" s="2">
        <v>2</v>
      </c>
      <c r="AH901" s="3" t="s">
        <v>646</v>
      </c>
      <c r="AI901" s="4">
        <v>44756</v>
      </c>
      <c r="AJ901" s="3" t="s">
        <v>967</v>
      </c>
      <c r="AK901" s="3" t="s">
        <v>38</v>
      </c>
    </row>
    <row r="902" spans="1:37" hidden="1" x14ac:dyDescent="0.25">
      <c r="A902" t="str">
        <f t="shared" si="14"/>
        <v>2022_SA_Riverton_Lentil_DetailedTOS2VarietyHallmarkXTWaterTrtIrrigated</v>
      </c>
      <c r="B902" s="2">
        <v>2022006</v>
      </c>
      <c r="C902" s="3" t="s">
        <v>905</v>
      </c>
      <c r="D902" s="3" t="s">
        <v>38</v>
      </c>
      <c r="F902" s="3" t="s">
        <v>4189</v>
      </c>
      <c r="G902" s="3" t="s">
        <v>39</v>
      </c>
      <c r="H902" s="3" t="s">
        <v>253</v>
      </c>
      <c r="I902" s="2">
        <v>63</v>
      </c>
      <c r="J902" s="2">
        <v>32</v>
      </c>
      <c r="K902" s="2">
        <v>2</v>
      </c>
      <c r="O902" s="2">
        <v>8</v>
      </c>
      <c r="U902" s="2">
        <v>3</v>
      </c>
      <c r="V902" s="2">
        <v>31</v>
      </c>
      <c r="W902" s="2">
        <v>3</v>
      </c>
      <c r="X902" s="2">
        <v>16</v>
      </c>
      <c r="AA902" s="3" t="s">
        <v>57</v>
      </c>
      <c r="AB902" s="2">
        <v>2</v>
      </c>
      <c r="AF902" s="2">
        <v>23</v>
      </c>
      <c r="AG902" s="2">
        <v>2</v>
      </c>
      <c r="AH902" s="3" t="s">
        <v>646</v>
      </c>
      <c r="AI902" s="4">
        <v>44756</v>
      </c>
      <c r="AJ902" s="3" t="s">
        <v>968</v>
      </c>
      <c r="AK902" s="3" t="s">
        <v>38</v>
      </c>
    </row>
    <row r="903" spans="1:37" hidden="1" x14ac:dyDescent="0.25">
      <c r="A903" t="str">
        <f t="shared" si="14"/>
        <v>2022_SA_Riverton_Lentil_DetailedTOS2VarietyHallmarkXTWaterTrtIrrigated</v>
      </c>
      <c r="B903" s="2">
        <v>2022006</v>
      </c>
      <c r="C903" s="3" t="s">
        <v>905</v>
      </c>
      <c r="D903" s="3" t="s">
        <v>38</v>
      </c>
      <c r="F903" s="3" t="s">
        <v>4189</v>
      </c>
      <c r="G903" s="3" t="s">
        <v>39</v>
      </c>
      <c r="H903" s="3" t="s">
        <v>250</v>
      </c>
      <c r="I903" s="2">
        <v>64</v>
      </c>
      <c r="J903" s="2">
        <v>32</v>
      </c>
      <c r="K903" s="2">
        <v>2</v>
      </c>
      <c r="O903" s="2">
        <v>8</v>
      </c>
      <c r="U903" s="2">
        <v>4</v>
      </c>
      <c r="V903" s="2">
        <v>31</v>
      </c>
      <c r="W903" s="2">
        <v>4</v>
      </c>
      <c r="X903" s="2">
        <v>16</v>
      </c>
      <c r="Z903" s="2">
        <v>61</v>
      </c>
      <c r="AA903" s="3" t="s">
        <v>57</v>
      </c>
      <c r="AB903" s="2">
        <v>2</v>
      </c>
      <c r="AF903" s="2">
        <v>23</v>
      </c>
      <c r="AG903" s="2">
        <v>2</v>
      </c>
      <c r="AH903" s="3" t="s">
        <v>646</v>
      </c>
      <c r="AI903" s="4">
        <v>44756</v>
      </c>
      <c r="AJ903" s="3" t="s">
        <v>969</v>
      </c>
      <c r="AK903" s="3" t="s">
        <v>38</v>
      </c>
    </row>
    <row r="904" spans="1:37" hidden="1" x14ac:dyDescent="0.25">
      <c r="A904" t="str">
        <f t="shared" si="14"/>
        <v>2022_SA_Riverton_Lentil_DetailedTOS2VarietyBoltWaterTrtRainFed</v>
      </c>
      <c r="B904" s="2">
        <v>2022006</v>
      </c>
      <c r="C904" s="3" t="s">
        <v>905</v>
      </c>
      <c r="D904" s="3" t="s">
        <v>38</v>
      </c>
      <c r="F904" s="3" t="s">
        <v>4187</v>
      </c>
      <c r="G904" s="3" t="s">
        <v>39</v>
      </c>
      <c r="H904" s="3" t="s">
        <v>253</v>
      </c>
      <c r="I904" s="2">
        <v>65</v>
      </c>
      <c r="J904" s="2">
        <v>33</v>
      </c>
      <c r="K904" s="2">
        <v>3</v>
      </c>
      <c r="O904" s="2">
        <v>9</v>
      </c>
      <c r="U904" s="2">
        <v>1</v>
      </c>
      <c r="V904" s="2">
        <v>34</v>
      </c>
      <c r="W904" s="2">
        <v>1</v>
      </c>
      <c r="X904" s="2">
        <v>17</v>
      </c>
      <c r="AA904" s="3" t="s">
        <v>40</v>
      </c>
      <c r="AB904" s="2">
        <v>1</v>
      </c>
      <c r="AF904" s="2">
        <v>23</v>
      </c>
      <c r="AG904" s="2">
        <v>2</v>
      </c>
      <c r="AH904" s="3" t="s">
        <v>646</v>
      </c>
      <c r="AI904" s="4">
        <v>44756</v>
      </c>
      <c r="AJ904" s="3" t="s">
        <v>970</v>
      </c>
      <c r="AK904" s="3" t="s">
        <v>38</v>
      </c>
    </row>
    <row r="905" spans="1:37" hidden="1" x14ac:dyDescent="0.25">
      <c r="A905" t="str">
        <f t="shared" si="14"/>
        <v>2022_SA_Riverton_Lentil_DetailedTOS2VarietyBoltWaterTrtRainFed</v>
      </c>
      <c r="B905" s="2">
        <v>2022006</v>
      </c>
      <c r="C905" s="3" t="s">
        <v>905</v>
      </c>
      <c r="D905" s="3" t="s">
        <v>38</v>
      </c>
      <c r="F905" s="3" t="s">
        <v>4187</v>
      </c>
      <c r="G905" s="3" t="s">
        <v>39</v>
      </c>
      <c r="H905" s="3" t="s">
        <v>250</v>
      </c>
      <c r="I905" s="2">
        <v>66</v>
      </c>
      <c r="J905" s="2">
        <v>33</v>
      </c>
      <c r="K905" s="2">
        <v>3</v>
      </c>
      <c r="O905" s="2">
        <v>9</v>
      </c>
      <c r="U905" s="2">
        <v>2</v>
      </c>
      <c r="V905" s="2">
        <v>34</v>
      </c>
      <c r="W905" s="2">
        <v>2</v>
      </c>
      <c r="X905" s="2">
        <v>17</v>
      </c>
      <c r="Z905" s="2">
        <v>66</v>
      </c>
      <c r="AA905" s="3" t="s">
        <v>40</v>
      </c>
      <c r="AB905" s="2">
        <v>1</v>
      </c>
      <c r="AF905" s="2">
        <v>23</v>
      </c>
      <c r="AG905" s="2">
        <v>2</v>
      </c>
      <c r="AH905" s="3" t="s">
        <v>646</v>
      </c>
      <c r="AI905" s="4">
        <v>44756</v>
      </c>
      <c r="AJ905" s="3" t="s">
        <v>971</v>
      </c>
      <c r="AK905" s="3" t="s">
        <v>38</v>
      </c>
    </row>
    <row r="906" spans="1:37" hidden="1" x14ac:dyDescent="0.25">
      <c r="A906" t="str">
        <f t="shared" si="14"/>
        <v>2022_SA_Riverton_Lentil_DetailedTOS2VarietyHallmarkXTWaterTrtRainFed</v>
      </c>
      <c r="B906" s="2">
        <v>2022006</v>
      </c>
      <c r="C906" s="3" t="s">
        <v>905</v>
      </c>
      <c r="D906" s="3" t="s">
        <v>38</v>
      </c>
      <c r="F906" s="3" t="s">
        <v>4189</v>
      </c>
      <c r="G906" s="3" t="s">
        <v>39</v>
      </c>
      <c r="H906" s="3" t="s">
        <v>253</v>
      </c>
      <c r="I906" s="2">
        <v>67</v>
      </c>
      <c r="J906" s="2">
        <v>34</v>
      </c>
      <c r="K906" s="2">
        <v>3</v>
      </c>
      <c r="O906" s="2">
        <v>9</v>
      </c>
      <c r="U906" s="2">
        <v>3</v>
      </c>
      <c r="V906" s="2">
        <v>34</v>
      </c>
      <c r="W906" s="2">
        <v>3</v>
      </c>
      <c r="X906" s="2">
        <v>17</v>
      </c>
      <c r="AA906" s="3" t="s">
        <v>40</v>
      </c>
      <c r="AB906" s="2">
        <v>2</v>
      </c>
      <c r="AF906" s="2">
        <v>23</v>
      </c>
      <c r="AG906" s="2">
        <v>2</v>
      </c>
      <c r="AH906" s="3" t="s">
        <v>646</v>
      </c>
      <c r="AI906" s="4">
        <v>44756</v>
      </c>
      <c r="AJ906" s="3" t="s">
        <v>972</v>
      </c>
      <c r="AK906" s="3" t="s">
        <v>38</v>
      </c>
    </row>
    <row r="907" spans="1:37" hidden="1" x14ac:dyDescent="0.25">
      <c r="A907" t="str">
        <f t="shared" si="14"/>
        <v>2022_SA_Riverton_Lentil_DetailedTOS2VarietyHallmarkXTWaterTrtRainFed</v>
      </c>
      <c r="B907" s="2">
        <v>2022006</v>
      </c>
      <c r="C907" s="3" t="s">
        <v>905</v>
      </c>
      <c r="D907" s="3" t="s">
        <v>38</v>
      </c>
      <c r="F907" s="3" t="s">
        <v>4189</v>
      </c>
      <c r="G907" s="3" t="s">
        <v>39</v>
      </c>
      <c r="H907" s="3" t="s">
        <v>250</v>
      </c>
      <c r="I907" s="2">
        <v>68</v>
      </c>
      <c r="J907" s="2">
        <v>34</v>
      </c>
      <c r="K907" s="2">
        <v>3</v>
      </c>
      <c r="O907" s="2">
        <v>9</v>
      </c>
      <c r="U907" s="2">
        <v>4</v>
      </c>
      <c r="V907" s="2">
        <v>34</v>
      </c>
      <c r="W907" s="2">
        <v>4</v>
      </c>
      <c r="X907" s="2">
        <v>17</v>
      </c>
      <c r="Z907" s="2">
        <v>68</v>
      </c>
      <c r="AA907" s="3" t="s">
        <v>40</v>
      </c>
      <c r="AB907" s="2">
        <v>2</v>
      </c>
      <c r="AF907" s="2">
        <v>23</v>
      </c>
      <c r="AG907" s="2">
        <v>2</v>
      </c>
      <c r="AH907" s="3" t="s">
        <v>646</v>
      </c>
      <c r="AI907" s="4">
        <v>44756</v>
      </c>
      <c r="AJ907" s="3" t="s">
        <v>973</v>
      </c>
      <c r="AK907" s="3" t="s">
        <v>38</v>
      </c>
    </row>
    <row r="908" spans="1:37" hidden="1" x14ac:dyDescent="0.25">
      <c r="A908" t="str">
        <f t="shared" si="14"/>
        <v>2022_SA_Riverton_Lentil_DetailedTOS2VarietyKelpieXTWaterTrtRainFed</v>
      </c>
      <c r="B908" s="2">
        <v>2022006</v>
      </c>
      <c r="C908" s="3" t="s">
        <v>905</v>
      </c>
      <c r="D908" s="3" t="s">
        <v>38</v>
      </c>
      <c r="F908" s="3" t="s">
        <v>4188</v>
      </c>
      <c r="G908" s="3" t="s">
        <v>43</v>
      </c>
      <c r="H908" s="3" t="s">
        <v>253</v>
      </c>
      <c r="I908" s="2">
        <v>69</v>
      </c>
      <c r="J908" s="2">
        <v>35</v>
      </c>
      <c r="K908" s="2">
        <v>3</v>
      </c>
      <c r="O908" s="2">
        <v>9</v>
      </c>
      <c r="U908" s="2">
        <v>1</v>
      </c>
      <c r="V908" s="2">
        <v>35</v>
      </c>
      <c r="W908" s="2">
        <v>1</v>
      </c>
      <c r="X908" s="2">
        <v>18</v>
      </c>
      <c r="AA908" s="3" t="s">
        <v>40</v>
      </c>
      <c r="AB908" s="2">
        <v>4</v>
      </c>
      <c r="AF908" s="2">
        <v>23</v>
      </c>
      <c r="AG908" s="2">
        <v>2</v>
      </c>
      <c r="AH908" s="3" t="s">
        <v>646</v>
      </c>
      <c r="AI908" s="4">
        <v>44756</v>
      </c>
      <c r="AJ908" s="3" t="s">
        <v>974</v>
      </c>
      <c r="AK908" s="3" t="s">
        <v>38</v>
      </c>
    </row>
    <row r="909" spans="1:37" hidden="1" x14ac:dyDescent="0.25">
      <c r="A909" t="str">
        <f t="shared" si="14"/>
        <v>2022_SA_Riverton_Lentil_DetailedTOS2VarietyKelpieXTWaterTrtRainFed</v>
      </c>
      <c r="B909" s="2">
        <v>2022006</v>
      </c>
      <c r="C909" s="3" t="s">
        <v>905</v>
      </c>
      <c r="D909" s="3" t="s">
        <v>38</v>
      </c>
      <c r="F909" s="3" t="s">
        <v>4188</v>
      </c>
      <c r="G909" s="3" t="s">
        <v>43</v>
      </c>
      <c r="H909" s="3" t="s">
        <v>250</v>
      </c>
      <c r="I909" s="2">
        <v>70</v>
      </c>
      <c r="J909" s="2">
        <v>35</v>
      </c>
      <c r="K909" s="2">
        <v>3</v>
      </c>
      <c r="O909" s="2">
        <v>9</v>
      </c>
      <c r="U909" s="2">
        <v>2</v>
      </c>
      <c r="V909" s="2">
        <v>35</v>
      </c>
      <c r="W909" s="2">
        <v>2</v>
      </c>
      <c r="X909" s="2">
        <v>18</v>
      </c>
      <c r="Z909" s="2">
        <v>71</v>
      </c>
      <c r="AA909" s="3" t="s">
        <v>40</v>
      </c>
      <c r="AB909" s="2">
        <v>4</v>
      </c>
      <c r="AF909" s="2">
        <v>23</v>
      </c>
      <c r="AG909" s="2">
        <v>2</v>
      </c>
      <c r="AH909" s="3" t="s">
        <v>646</v>
      </c>
      <c r="AI909" s="4">
        <v>44756</v>
      </c>
      <c r="AJ909" s="3" t="s">
        <v>975</v>
      </c>
      <c r="AK909" s="3" t="s">
        <v>38</v>
      </c>
    </row>
    <row r="910" spans="1:37" hidden="1" x14ac:dyDescent="0.25">
      <c r="A910" t="str">
        <f t="shared" si="14"/>
        <v>2022_SA_Riverton_Lentil_DetailedTOS2VarietyJumbo2WaterTrtRainFed</v>
      </c>
      <c r="B910" s="2">
        <v>2022006</v>
      </c>
      <c r="C910" s="3" t="s">
        <v>905</v>
      </c>
      <c r="D910" s="3" t="s">
        <v>38</v>
      </c>
      <c r="F910" s="3" t="s">
        <v>4176</v>
      </c>
      <c r="G910" s="3" t="s">
        <v>43</v>
      </c>
      <c r="H910" s="3" t="s">
        <v>253</v>
      </c>
      <c r="I910" s="2">
        <v>71</v>
      </c>
      <c r="J910" s="2">
        <v>36</v>
      </c>
      <c r="K910" s="2">
        <v>3</v>
      </c>
      <c r="O910" s="2">
        <v>9</v>
      </c>
      <c r="U910" s="2">
        <v>3</v>
      </c>
      <c r="V910" s="2">
        <v>35</v>
      </c>
      <c r="W910" s="2">
        <v>3</v>
      </c>
      <c r="X910" s="2">
        <v>18</v>
      </c>
      <c r="AA910" s="3" t="s">
        <v>40</v>
      </c>
      <c r="AB910" s="2">
        <v>3</v>
      </c>
      <c r="AF910" s="2">
        <v>23</v>
      </c>
      <c r="AG910" s="2">
        <v>2</v>
      </c>
      <c r="AH910" s="3" t="s">
        <v>646</v>
      </c>
      <c r="AI910" s="4">
        <v>44756</v>
      </c>
      <c r="AJ910" s="3" t="s">
        <v>976</v>
      </c>
      <c r="AK910" s="3" t="s">
        <v>38</v>
      </c>
    </row>
    <row r="911" spans="1:37" hidden="1" x14ac:dyDescent="0.25">
      <c r="A911" t="str">
        <f t="shared" si="14"/>
        <v>2022_SA_Riverton_Lentil_DetailedTOS2VarietyJumbo2WaterTrtRainFed</v>
      </c>
      <c r="B911" s="2">
        <v>2022006</v>
      </c>
      <c r="C911" s="3" t="s">
        <v>905</v>
      </c>
      <c r="D911" s="3" t="s">
        <v>38</v>
      </c>
      <c r="F911" s="3" t="s">
        <v>4176</v>
      </c>
      <c r="G911" s="3" t="s">
        <v>43</v>
      </c>
      <c r="H911" s="3" t="s">
        <v>250</v>
      </c>
      <c r="I911" s="2">
        <v>72</v>
      </c>
      <c r="J911" s="2">
        <v>36</v>
      </c>
      <c r="K911" s="2">
        <v>3</v>
      </c>
      <c r="O911" s="2">
        <v>9</v>
      </c>
      <c r="U911" s="2">
        <v>4</v>
      </c>
      <c r="V911" s="2">
        <v>35</v>
      </c>
      <c r="W911" s="2">
        <v>4</v>
      </c>
      <c r="X911" s="2">
        <v>18</v>
      </c>
      <c r="Z911" s="2">
        <v>69</v>
      </c>
      <c r="AA911" s="3" t="s">
        <v>40</v>
      </c>
      <c r="AB911" s="2">
        <v>3</v>
      </c>
      <c r="AF911" s="2">
        <v>23</v>
      </c>
      <c r="AG911" s="2">
        <v>2</v>
      </c>
      <c r="AH911" s="3" t="s">
        <v>646</v>
      </c>
      <c r="AI911" s="4">
        <v>44756</v>
      </c>
      <c r="AJ911" s="3" t="s">
        <v>977</v>
      </c>
      <c r="AK911" s="3" t="s">
        <v>38</v>
      </c>
    </row>
    <row r="912" spans="1:37" hidden="1" x14ac:dyDescent="0.25">
      <c r="A912" t="str">
        <f t="shared" si="14"/>
        <v>2022_SA_Riverton_Lentil_DetailedTOS1VarietyHallmarkXTWaterTrtIrrigated</v>
      </c>
      <c r="B912" s="2">
        <v>2022006</v>
      </c>
      <c r="C912" s="3" t="s">
        <v>905</v>
      </c>
      <c r="D912" s="3" t="s">
        <v>38</v>
      </c>
      <c r="F912" s="3" t="s">
        <v>4189</v>
      </c>
      <c r="G912" s="3" t="s">
        <v>39</v>
      </c>
      <c r="H912" s="3" t="s">
        <v>253</v>
      </c>
      <c r="I912" s="2">
        <v>73</v>
      </c>
      <c r="J912" s="2">
        <v>37</v>
      </c>
      <c r="K912" s="2">
        <v>3</v>
      </c>
      <c r="O912" s="2">
        <v>10</v>
      </c>
      <c r="U912" s="2">
        <v>1</v>
      </c>
      <c r="V912" s="2">
        <v>38</v>
      </c>
      <c r="W912" s="2">
        <v>1</v>
      </c>
      <c r="X912" s="2">
        <v>19</v>
      </c>
      <c r="AA912" s="3" t="s">
        <v>57</v>
      </c>
      <c r="AB912" s="2">
        <v>2</v>
      </c>
      <c r="AF912" s="2">
        <v>23</v>
      </c>
      <c r="AG912" s="2">
        <v>1</v>
      </c>
      <c r="AH912" s="3" t="s">
        <v>655</v>
      </c>
      <c r="AI912" s="4">
        <v>44730</v>
      </c>
      <c r="AJ912" s="3" t="s">
        <v>978</v>
      </c>
      <c r="AK912" s="3" t="s">
        <v>38</v>
      </c>
    </row>
    <row r="913" spans="1:37" hidden="1" x14ac:dyDescent="0.25">
      <c r="A913" t="str">
        <f t="shared" si="14"/>
        <v>2022_SA_Riverton_Lentil_DetailedTOS1VarietyHallmarkXTWaterTrtIrrigated</v>
      </c>
      <c r="B913" s="2">
        <v>2022006</v>
      </c>
      <c r="C913" s="3" t="s">
        <v>905</v>
      </c>
      <c r="D913" s="3" t="s">
        <v>38</v>
      </c>
      <c r="F913" s="3" t="s">
        <v>4189</v>
      </c>
      <c r="G913" s="3" t="s">
        <v>39</v>
      </c>
      <c r="H913" s="3" t="s">
        <v>250</v>
      </c>
      <c r="I913" s="2">
        <v>74</v>
      </c>
      <c r="J913" s="2">
        <v>37</v>
      </c>
      <c r="K913" s="2">
        <v>3</v>
      </c>
      <c r="O913" s="2">
        <v>10</v>
      </c>
      <c r="U913" s="2">
        <v>2</v>
      </c>
      <c r="V913" s="2">
        <v>38</v>
      </c>
      <c r="W913" s="2">
        <v>2</v>
      </c>
      <c r="X913" s="2">
        <v>19</v>
      </c>
      <c r="Z913" s="2">
        <v>74</v>
      </c>
      <c r="AA913" s="3" t="s">
        <v>57</v>
      </c>
      <c r="AB913" s="2">
        <v>2</v>
      </c>
      <c r="AF913" s="2">
        <v>23</v>
      </c>
      <c r="AG913" s="2">
        <v>1</v>
      </c>
      <c r="AH913" s="3" t="s">
        <v>655</v>
      </c>
      <c r="AI913" s="4">
        <v>44730</v>
      </c>
      <c r="AJ913" s="3" t="s">
        <v>979</v>
      </c>
      <c r="AK913" s="3" t="s">
        <v>38</v>
      </c>
    </row>
    <row r="914" spans="1:37" hidden="1" x14ac:dyDescent="0.25">
      <c r="A914" t="str">
        <f t="shared" si="14"/>
        <v>2022_SA_Riverton_Lentil_DetailedTOS1VarietyKelpieXTWaterTrtIrrigated</v>
      </c>
      <c r="B914" s="2">
        <v>2022006</v>
      </c>
      <c r="C914" s="3" t="s">
        <v>905</v>
      </c>
      <c r="D914" s="3" t="s">
        <v>38</v>
      </c>
      <c r="F914" s="3" t="s">
        <v>4188</v>
      </c>
      <c r="G914" s="3" t="s">
        <v>43</v>
      </c>
      <c r="H914" s="3" t="s">
        <v>253</v>
      </c>
      <c r="I914" s="2">
        <v>75</v>
      </c>
      <c r="J914" s="2">
        <v>38</v>
      </c>
      <c r="K914" s="2">
        <v>3</v>
      </c>
      <c r="O914" s="2">
        <v>10</v>
      </c>
      <c r="U914" s="2">
        <v>3</v>
      </c>
      <c r="V914" s="2">
        <v>38</v>
      </c>
      <c r="W914" s="2">
        <v>3</v>
      </c>
      <c r="X914" s="2">
        <v>19</v>
      </c>
      <c r="AA914" s="3" t="s">
        <v>57</v>
      </c>
      <c r="AB914" s="2">
        <v>4</v>
      </c>
      <c r="AF914" s="2">
        <v>23</v>
      </c>
      <c r="AG914" s="2">
        <v>1</v>
      </c>
      <c r="AH914" s="3" t="s">
        <v>655</v>
      </c>
      <c r="AI914" s="4">
        <v>44730</v>
      </c>
      <c r="AJ914" s="3" t="s">
        <v>980</v>
      </c>
      <c r="AK914" s="3" t="s">
        <v>38</v>
      </c>
    </row>
    <row r="915" spans="1:37" hidden="1" x14ac:dyDescent="0.25">
      <c r="A915" t="str">
        <f t="shared" si="14"/>
        <v>2022_SA_Riverton_Lentil_DetailedTOS1VarietyKelpieXTWaterTrtIrrigated</v>
      </c>
      <c r="B915" s="2">
        <v>2022006</v>
      </c>
      <c r="C915" s="3" t="s">
        <v>905</v>
      </c>
      <c r="D915" s="3" t="s">
        <v>38</v>
      </c>
      <c r="F915" s="3" t="s">
        <v>4188</v>
      </c>
      <c r="G915" s="3" t="s">
        <v>43</v>
      </c>
      <c r="H915" s="3" t="s">
        <v>250</v>
      </c>
      <c r="I915" s="2">
        <v>76</v>
      </c>
      <c r="J915" s="2">
        <v>38</v>
      </c>
      <c r="K915" s="2">
        <v>3</v>
      </c>
      <c r="O915" s="2">
        <v>10</v>
      </c>
      <c r="U915" s="2">
        <v>4</v>
      </c>
      <c r="V915" s="2">
        <v>38</v>
      </c>
      <c r="W915" s="2">
        <v>4</v>
      </c>
      <c r="X915" s="2">
        <v>19</v>
      </c>
      <c r="Z915" s="2">
        <v>76</v>
      </c>
      <c r="AA915" s="3" t="s">
        <v>57</v>
      </c>
      <c r="AB915" s="2">
        <v>4</v>
      </c>
      <c r="AF915" s="2">
        <v>23</v>
      </c>
      <c r="AG915" s="2">
        <v>1</v>
      </c>
      <c r="AH915" s="3" t="s">
        <v>655</v>
      </c>
      <c r="AI915" s="4">
        <v>44730</v>
      </c>
      <c r="AJ915" s="3" t="s">
        <v>981</v>
      </c>
      <c r="AK915" s="3" t="s">
        <v>38</v>
      </c>
    </row>
    <row r="916" spans="1:37" hidden="1" x14ac:dyDescent="0.25">
      <c r="A916" t="str">
        <f t="shared" si="14"/>
        <v>2022_SA_Riverton_Lentil_DetailedTOS1VarietyJumbo2WaterTrtIrrigated</v>
      </c>
      <c r="B916" s="2">
        <v>2022006</v>
      </c>
      <c r="C916" s="3" t="s">
        <v>905</v>
      </c>
      <c r="D916" s="3" t="s">
        <v>38</v>
      </c>
      <c r="F916" s="3" t="s">
        <v>4176</v>
      </c>
      <c r="G916" s="3" t="s">
        <v>43</v>
      </c>
      <c r="H916" s="3" t="s">
        <v>253</v>
      </c>
      <c r="I916" s="2">
        <v>77</v>
      </c>
      <c r="J916" s="2">
        <v>39</v>
      </c>
      <c r="K916" s="2">
        <v>3</v>
      </c>
      <c r="O916" s="2">
        <v>10</v>
      </c>
      <c r="U916" s="2">
        <v>1</v>
      </c>
      <c r="V916" s="2">
        <v>39</v>
      </c>
      <c r="W916" s="2">
        <v>1</v>
      </c>
      <c r="X916" s="2">
        <v>20</v>
      </c>
      <c r="AA916" s="3" t="s">
        <v>57</v>
      </c>
      <c r="AB916" s="2">
        <v>3</v>
      </c>
      <c r="AF916" s="2">
        <v>23</v>
      </c>
      <c r="AG916" s="2">
        <v>1</v>
      </c>
      <c r="AH916" s="3" t="s">
        <v>655</v>
      </c>
      <c r="AI916" s="4">
        <v>44730</v>
      </c>
      <c r="AJ916" s="3" t="s">
        <v>982</v>
      </c>
      <c r="AK916" s="3" t="s">
        <v>38</v>
      </c>
    </row>
    <row r="917" spans="1:37" hidden="1" x14ac:dyDescent="0.25">
      <c r="A917" t="str">
        <f t="shared" si="14"/>
        <v>2022_SA_Riverton_Lentil_DetailedTOS1VarietyJumbo2WaterTrtIrrigated</v>
      </c>
      <c r="B917" s="2">
        <v>2022006</v>
      </c>
      <c r="C917" s="3" t="s">
        <v>905</v>
      </c>
      <c r="D917" s="3" t="s">
        <v>38</v>
      </c>
      <c r="F917" s="3" t="s">
        <v>4176</v>
      </c>
      <c r="G917" s="3" t="s">
        <v>43</v>
      </c>
      <c r="H917" s="3" t="s">
        <v>250</v>
      </c>
      <c r="I917" s="2">
        <v>78</v>
      </c>
      <c r="J917" s="2">
        <v>39</v>
      </c>
      <c r="K917" s="2">
        <v>3</v>
      </c>
      <c r="O917" s="2">
        <v>10</v>
      </c>
      <c r="U917" s="2">
        <v>2</v>
      </c>
      <c r="V917" s="2">
        <v>39</v>
      </c>
      <c r="W917" s="2">
        <v>2</v>
      </c>
      <c r="X917" s="2">
        <v>20</v>
      </c>
      <c r="Z917" s="2">
        <v>79</v>
      </c>
      <c r="AA917" s="3" t="s">
        <v>57</v>
      </c>
      <c r="AB917" s="2">
        <v>3</v>
      </c>
      <c r="AF917" s="2">
        <v>23</v>
      </c>
      <c r="AG917" s="2">
        <v>1</v>
      </c>
      <c r="AH917" s="3" t="s">
        <v>655</v>
      </c>
      <c r="AI917" s="4">
        <v>44730</v>
      </c>
      <c r="AJ917" s="3" t="s">
        <v>983</v>
      </c>
      <c r="AK917" s="3" t="s">
        <v>38</v>
      </c>
    </row>
    <row r="918" spans="1:37" hidden="1" x14ac:dyDescent="0.25">
      <c r="A918" t="str">
        <f t="shared" si="14"/>
        <v>2022_SA_Riverton_Lentil_DetailedTOS1VarietyBoltWaterTrtIrrigated</v>
      </c>
      <c r="B918" s="2">
        <v>2022006</v>
      </c>
      <c r="C918" s="3" t="s">
        <v>905</v>
      </c>
      <c r="D918" s="3" t="s">
        <v>38</v>
      </c>
      <c r="F918" s="3" t="s">
        <v>4187</v>
      </c>
      <c r="G918" s="3" t="s">
        <v>39</v>
      </c>
      <c r="H918" s="3" t="s">
        <v>253</v>
      </c>
      <c r="I918" s="2">
        <v>79</v>
      </c>
      <c r="J918" s="2">
        <v>40</v>
      </c>
      <c r="K918" s="2">
        <v>3</v>
      </c>
      <c r="O918" s="2">
        <v>10</v>
      </c>
      <c r="U918" s="2">
        <v>3</v>
      </c>
      <c r="V918" s="2">
        <v>39</v>
      </c>
      <c r="W918" s="2">
        <v>3</v>
      </c>
      <c r="X918" s="2">
        <v>20</v>
      </c>
      <c r="AA918" s="3" t="s">
        <v>57</v>
      </c>
      <c r="AB918" s="2">
        <v>1</v>
      </c>
      <c r="AF918" s="2">
        <v>23</v>
      </c>
      <c r="AG918" s="2">
        <v>1</v>
      </c>
      <c r="AH918" s="3" t="s">
        <v>655</v>
      </c>
      <c r="AI918" s="4">
        <v>44730</v>
      </c>
      <c r="AJ918" s="3" t="s">
        <v>984</v>
      </c>
      <c r="AK918" s="3" t="s">
        <v>38</v>
      </c>
    </row>
    <row r="919" spans="1:37" hidden="1" x14ac:dyDescent="0.25">
      <c r="A919" t="str">
        <f t="shared" si="14"/>
        <v>2022_SA_Riverton_Lentil_DetailedTOS1VarietyBoltWaterTrtIrrigated</v>
      </c>
      <c r="B919" s="2">
        <v>2022006</v>
      </c>
      <c r="C919" s="3" t="s">
        <v>905</v>
      </c>
      <c r="D919" s="3" t="s">
        <v>38</v>
      </c>
      <c r="F919" s="3" t="s">
        <v>4187</v>
      </c>
      <c r="G919" s="3" t="s">
        <v>39</v>
      </c>
      <c r="H919" s="3" t="s">
        <v>250</v>
      </c>
      <c r="I919" s="2">
        <v>80</v>
      </c>
      <c r="J919" s="2">
        <v>40</v>
      </c>
      <c r="K919" s="2">
        <v>3</v>
      </c>
      <c r="O919" s="2">
        <v>10</v>
      </c>
      <c r="U919" s="2">
        <v>4</v>
      </c>
      <c r="V919" s="2">
        <v>39</v>
      </c>
      <c r="W919" s="2">
        <v>4</v>
      </c>
      <c r="X919" s="2">
        <v>20</v>
      </c>
      <c r="Z919" s="2">
        <v>77</v>
      </c>
      <c r="AA919" s="3" t="s">
        <v>57</v>
      </c>
      <c r="AB919" s="2">
        <v>1</v>
      </c>
      <c r="AF919" s="2">
        <v>23</v>
      </c>
      <c r="AG919" s="2">
        <v>1</v>
      </c>
      <c r="AH919" s="3" t="s">
        <v>655</v>
      </c>
      <c r="AI919" s="4">
        <v>44730</v>
      </c>
      <c r="AJ919" s="3" t="s">
        <v>985</v>
      </c>
      <c r="AK919" s="3" t="s">
        <v>38</v>
      </c>
    </row>
    <row r="920" spans="1:37" hidden="1" x14ac:dyDescent="0.25">
      <c r="A920" t="str">
        <f t="shared" si="14"/>
        <v>2022_SA_Riverton_Lentil_DetailedTOS2VarietyKelpieXTWaterTrtIrrigated</v>
      </c>
      <c r="B920" s="2">
        <v>2022006</v>
      </c>
      <c r="C920" s="3" t="s">
        <v>905</v>
      </c>
      <c r="D920" s="3" t="s">
        <v>38</v>
      </c>
      <c r="F920" s="3" t="s">
        <v>4188</v>
      </c>
      <c r="G920" s="3" t="s">
        <v>43</v>
      </c>
      <c r="H920" s="3" t="s">
        <v>253</v>
      </c>
      <c r="I920" s="2">
        <v>81</v>
      </c>
      <c r="J920" s="2">
        <v>41</v>
      </c>
      <c r="K920" s="2">
        <v>3</v>
      </c>
      <c r="O920" s="2">
        <v>11</v>
      </c>
      <c r="U920" s="2">
        <v>1</v>
      </c>
      <c r="V920" s="2">
        <v>42</v>
      </c>
      <c r="W920" s="2">
        <v>1</v>
      </c>
      <c r="X920" s="2">
        <v>21</v>
      </c>
      <c r="AA920" s="3" t="s">
        <v>57</v>
      </c>
      <c r="AB920" s="2">
        <v>4</v>
      </c>
      <c r="AF920" s="2">
        <v>23</v>
      </c>
      <c r="AG920" s="2">
        <v>2</v>
      </c>
      <c r="AH920" s="3" t="s">
        <v>646</v>
      </c>
      <c r="AI920" s="4">
        <v>44756</v>
      </c>
      <c r="AJ920" s="3" t="s">
        <v>986</v>
      </c>
      <c r="AK920" s="3" t="s">
        <v>38</v>
      </c>
    </row>
    <row r="921" spans="1:37" hidden="1" x14ac:dyDescent="0.25">
      <c r="A921" t="str">
        <f t="shared" si="14"/>
        <v>2022_SA_Riverton_Lentil_DetailedTOS2VarietyKelpieXTWaterTrtIrrigated</v>
      </c>
      <c r="B921" s="2">
        <v>2022006</v>
      </c>
      <c r="C921" s="3" t="s">
        <v>905</v>
      </c>
      <c r="D921" s="3" t="s">
        <v>38</v>
      </c>
      <c r="F921" s="3" t="s">
        <v>4188</v>
      </c>
      <c r="G921" s="3" t="s">
        <v>43</v>
      </c>
      <c r="H921" s="3" t="s">
        <v>250</v>
      </c>
      <c r="I921" s="2">
        <v>82</v>
      </c>
      <c r="J921" s="2">
        <v>41</v>
      </c>
      <c r="K921" s="2">
        <v>3</v>
      </c>
      <c r="O921" s="2">
        <v>11</v>
      </c>
      <c r="U921" s="2">
        <v>2</v>
      </c>
      <c r="V921" s="2">
        <v>42</v>
      </c>
      <c r="W921" s="2">
        <v>2</v>
      </c>
      <c r="X921" s="2">
        <v>21</v>
      </c>
      <c r="Z921" s="2">
        <v>82</v>
      </c>
      <c r="AA921" s="3" t="s">
        <v>57</v>
      </c>
      <c r="AB921" s="2">
        <v>4</v>
      </c>
      <c r="AF921" s="2">
        <v>23</v>
      </c>
      <c r="AG921" s="2">
        <v>2</v>
      </c>
      <c r="AH921" s="3" t="s">
        <v>646</v>
      </c>
      <c r="AI921" s="4">
        <v>44756</v>
      </c>
      <c r="AJ921" s="3" t="s">
        <v>987</v>
      </c>
      <c r="AK921" s="3" t="s">
        <v>38</v>
      </c>
    </row>
    <row r="922" spans="1:37" hidden="1" x14ac:dyDescent="0.25">
      <c r="A922" t="str">
        <f t="shared" si="14"/>
        <v>2022_SA_Riverton_Lentil_DetailedTOS2VarietyJumbo2WaterTrtIrrigated</v>
      </c>
      <c r="B922" s="2">
        <v>2022006</v>
      </c>
      <c r="C922" s="3" t="s">
        <v>905</v>
      </c>
      <c r="D922" s="3" t="s">
        <v>38</v>
      </c>
      <c r="F922" s="3" t="s">
        <v>4176</v>
      </c>
      <c r="G922" s="3" t="s">
        <v>43</v>
      </c>
      <c r="H922" s="3" t="s">
        <v>253</v>
      </c>
      <c r="I922" s="2">
        <v>83</v>
      </c>
      <c r="J922" s="2">
        <v>42</v>
      </c>
      <c r="K922" s="2">
        <v>3</v>
      </c>
      <c r="O922" s="2">
        <v>11</v>
      </c>
      <c r="U922" s="2">
        <v>3</v>
      </c>
      <c r="V922" s="2">
        <v>42</v>
      </c>
      <c r="W922" s="2">
        <v>3</v>
      </c>
      <c r="X922" s="2">
        <v>21</v>
      </c>
      <c r="AA922" s="3" t="s">
        <v>57</v>
      </c>
      <c r="AB922" s="2">
        <v>3</v>
      </c>
      <c r="AF922" s="2">
        <v>23</v>
      </c>
      <c r="AG922" s="2">
        <v>2</v>
      </c>
      <c r="AH922" s="3" t="s">
        <v>646</v>
      </c>
      <c r="AI922" s="4">
        <v>44756</v>
      </c>
      <c r="AJ922" s="3" t="s">
        <v>988</v>
      </c>
      <c r="AK922" s="3" t="s">
        <v>38</v>
      </c>
    </row>
    <row r="923" spans="1:37" hidden="1" x14ac:dyDescent="0.25">
      <c r="A923" t="str">
        <f t="shared" si="14"/>
        <v>2022_SA_Riverton_Lentil_DetailedTOS2VarietyJumbo2WaterTrtIrrigated</v>
      </c>
      <c r="B923" s="2">
        <v>2022006</v>
      </c>
      <c r="C923" s="3" t="s">
        <v>905</v>
      </c>
      <c r="D923" s="3" t="s">
        <v>38</v>
      </c>
      <c r="F923" s="3" t="s">
        <v>4176</v>
      </c>
      <c r="G923" s="3" t="s">
        <v>43</v>
      </c>
      <c r="H923" s="3" t="s">
        <v>250</v>
      </c>
      <c r="I923" s="2">
        <v>84</v>
      </c>
      <c r="J923" s="2">
        <v>42</v>
      </c>
      <c r="K923" s="2">
        <v>3</v>
      </c>
      <c r="O923" s="2">
        <v>11</v>
      </c>
      <c r="U923" s="2">
        <v>4</v>
      </c>
      <c r="V923" s="2">
        <v>42</v>
      </c>
      <c r="W923" s="2">
        <v>4</v>
      </c>
      <c r="X923" s="2">
        <v>21</v>
      </c>
      <c r="Z923" s="2">
        <v>84</v>
      </c>
      <c r="AA923" s="3" t="s">
        <v>57</v>
      </c>
      <c r="AB923" s="2">
        <v>3</v>
      </c>
      <c r="AF923" s="2">
        <v>23</v>
      </c>
      <c r="AG923" s="2">
        <v>2</v>
      </c>
      <c r="AH923" s="3" t="s">
        <v>646</v>
      </c>
      <c r="AI923" s="4">
        <v>44756</v>
      </c>
      <c r="AJ923" s="3" t="s">
        <v>989</v>
      </c>
      <c r="AK923" s="3" t="s">
        <v>38</v>
      </c>
    </row>
    <row r="924" spans="1:37" hidden="1" x14ac:dyDescent="0.25">
      <c r="A924" t="str">
        <f t="shared" si="14"/>
        <v>2022_SA_Riverton_Lentil_DetailedTOS2VarietyBoltWaterTrtIrrigated</v>
      </c>
      <c r="B924" s="2">
        <v>2022006</v>
      </c>
      <c r="C924" s="3" t="s">
        <v>905</v>
      </c>
      <c r="D924" s="3" t="s">
        <v>38</v>
      </c>
      <c r="F924" s="3" t="s">
        <v>4187</v>
      </c>
      <c r="G924" s="3" t="s">
        <v>39</v>
      </c>
      <c r="H924" s="3" t="s">
        <v>253</v>
      </c>
      <c r="I924" s="2">
        <v>85</v>
      </c>
      <c r="J924" s="2">
        <v>43</v>
      </c>
      <c r="K924" s="2">
        <v>3</v>
      </c>
      <c r="O924" s="2">
        <v>11</v>
      </c>
      <c r="U924" s="2">
        <v>1</v>
      </c>
      <c r="V924" s="2">
        <v>43</v>
      </c>
      <c r="W924" s="2">
        <v>1</v>
      </c>
      <c r="X924" s="2">
        <v>22</v>
      </c>
      <c r="AA924" s="3" t="s">
        <v>57</v>
      </c>
      <c r="AB924" s="2">
        <v>1</v>
      </c>
      <c r="AF924" s="2">
        <v>23</v>
      </c>
      <c r="AG924" s="2">
        <v>2</v>
      </c>
      <c r="AH924" s="3" t="s">
        <v>646</v>
      </c>
      <c r="AI924" s="4">
        <v>44756</v>
      </c>
      <c r="AJ924" s="3" t="s">
        <v>990</v>
      </c>
      <c r="AK924" s="3" t="s">
        <v>38</v>
      </c>
    </row>
    <row r="925" spans="1:37" hidden="1" x14ac:dyDescent="0.25">
      <c r="A925" t="str">
        <f t="shared" si="14"/>
        <v>2022_SA_Riverton_Lentil_DetailedTOS2VarietyBoltWaterTrtIrrigated</v>
      </c>
      <c r="B925" s="2">
        <v>2022006</v>
      </c>
      <c r="C925" s="3" t="s">
        <v>905</v>
      </c>
      <c r="D925" s="3" t="s">
        <v>38</v>
      </c>
      <c r="F925" s="3" t="s">
        <v>4187</v>
      </c>
      <c r="G925" s="3" t="s">
        <v>39</v>
      </c>
      <c r="H925" s="3" t="s">
        <v>250</v>
      </c>
      <c r="I925" s="2">
        <v>86</v>
      </c>
      <c r="J925" s="2">
        <v>43</v>
      </c>
      <c r="K925" s="2">
        <v>3</v>
      </c>
      <c r="O925" s="2">
        <v>11</v>
      </c>
      <c r="U925" s="2">
        <v>2</v>
      </c>
      <c r="V925" s="2">
        <v>43</v>
      </c>
      <c r="W925" s="2">
        <v>2</v>
      </c>
      <c r="X925" s="2">
        <v>22</v>
      </c>
      <c r="Z925" s="2">
        <v>87</v>
      </c>
      <c r="AA925" s="3" t="s">
        <v>57</v>
      </c>
      <c r="AB925" s="2">
        <v>1</v>
      </c>
      <c r="AF925" s="2">
        <v>23</v>
      </c>
      <c r="AG925" s="2">
        <v>2</v>
      </c>
      <c r="AH925" s="3" t="s">
        <v>646</v>
      </c>
      <c r="AI925" s="4">
        <v>44756</v>
      </c>
      <c r="AJ925" s="3" t="s">
        <v>991</v>
      </c>
      <c r="AK925" s="3" t="s">
        <v>38</v>
      </c>
    </row>
    <row r="926" spans="1:37" hidden="1" x14ac:dyDescent="0.25">
      <c r="A926" t="str">
        <f t="shared" si="14"/>
        <v>2022_SA_Riverton_Lentil_DetailedTOS2VarietyHallmarkXTWaterTrtIrrigated</v>
      </c>
      <c r="B926" s="2">
        <v>2022006</v>
      </c>
      <c r="C926" s="3" t="s">
        <v>905</v>
      </c>
      <c r="D926" s="3" t="s">
        <v>38</v>
      </c>
      <c r="F926" s="3" t="s">
        <v>4189</v>
      </c>
      <c r="G926" s="3" t="s">
        <v>39</v>
      </c>
      <c r="H926" s="3" t="s">
        <v>253</v>
      </c>
      <c r="I926" s="2">
        <v>87</v>
      </c>
      <c r="J926" s="2">
        <v>44</v>
      </c>
      <c r="K926" s="2">
        <v>3</v>
      </c>
      <c r="O926" s="2">
        <v>11</v>
      </c>
      <c r="U926" s="2">
        <v>3</v>
      </c>
      <c r="V926" s="2">
        <v>43</v>
      </c>
      <c r="W926" s="2">
        <v>3</v>
      </c>
      <c r="X926" s="2">
        <v>22</v>
      </c>
      <c r="AA926" s="3" t="s">
        <v>57</v>
      </c>
      <c r="AB926" s="2">
        <v>2</v>
      </c>
      <c r="AF926" s="2">
        <v>23</v>
      </c>
      <c r="AG926" s="2">
        <v>2</v>
      </c>
      <c r="AH926" s="3" t="s">
        <v>646</v>
      </c>
      <c r="AI926" s="4">
        <v>44756</v>
      </c>
      <c r="AJ926" s="3" t="s">
        <v>992</v>
      </c>
      <c r="AK926" s="3" t="s">
        <v>38</v>
      </c>
    </row>
    <row r="927" spans="1:37" hidden="1" x14ac:dyDescent="0.25">
      <c r="A927" t="str">
        <f t="shared" si="14"/>
        <v>2022_SA_Riverton_Lentil_DetailedTOS2VarietyHallmarkXTWaterTrtIrrigated</v>
      </c>
      <c r="B927" s="2">
        <v>2022006</v>
      </c>
      <c r="C927" s="3" t="s">
        <v>905</v>
      </c>
      <c r="D927" s="3" t="s">
        <v>38</v>
      </c>
      <c r="F927" s="3" t="s">
        <v>4189</v>
      </c>
      <c r="G927" s="3" t="s">
        <v>39</v>
      </c>
      <c r="H927" s="3" t="s">
        <v>250</v>
      </c>
      <c r="I927" s="2">
        <v>88</v>
      </c>
      <c r="J927" s="2">
        <v>44</v>
      </c>
      <c r="K927" s="2">
        <v>3</v>
      </c>
      <c r="O927" s="2">
        <v>11</v>
      </c>
      <c r="U927" s="2">
        <v>4</v>
      </c>
      <c r="V927" s="2">
        <v>43</v>
      </c>
      <c r="W927" s="2">
        <v>4</v>
      </c>
      <c r="X927" s="2">
        <v>22</v>
      </c>
      <c r="Z927" s="2">
        <v>85</v>
      </c>
      <c r="AA927" s="3" t="s">
        <v>57</v>
      </c>
      <c r="AB927" s="2">
        <v>2</v>
      </c>
      <c r="AF927" s="2">
        <v>23</v>
      </c>
      <c r="AG927" s="2">
        <v>2</v>
      </c>
      <c r="AH927" s="3" t="s">
        <v>646</v>
      </c>
      <c r="AI927" s="4">
        <v>44756</v>
      </c>
      <c r="AJ927" s="3" t="s">
        <v>993</v>
      </c>
      <c r="AK927" s="3" t="s">
        <v>38</v>
      </c>
    </row>
    <row r="928" spans="1:37" hidden="1" x14ac:dyDescent="0.25">
      <c r="A928" t="str">
        <f t="shared" si="14"/>
        <v>2022_SA_Riverton_Lentil_DetailedTOS1VarietyJumbo2WaterTrtRainFed</v>
      </c>
      <c r="B928" s="2">
        <v>2022006</v>
      </c>
      <c r="C928" s="3" t="s">
        <v>905</v>
      </c>
      <c r="D928" s="3" t="s">
        <v>38</v>
      </c>
      <c r="F928" s="3" t="s">
        <v>4176</v>
      </c>
      <c r="G928" s="3" t="s">
        <v>43</v>
      </c>
      <c r="H928" s="3" t="s">
        <v>253</v>
      </c>
      <c r="I928" s="2">
        <v>89</v>
      </c>
      <c r="J928" s="2">
        <v>45</v>
      </c>
      <c r="K928" s="2">
        <v>3</v>
      </c>
      <c r="O928" s="2">
        <v>12</v>
      </c>
      <c r="U928" s="2">
        <v>1</v>
      </c>
      <c r="V928" s="2">
        <v>46</v>
      </c>
      <c r="W928" s="2">
        <v>1</v>
      </c>
      <c r="X928" s="2">
        <v>23</v>
      </c>
      <c r="AA928" s="3" t="s">
        <v>40</v>
      </c>
      <c r="AB928" s="2">
        <v>3</v>
      </c>
      <c r="AF928" s="2">
        <v>23</v>
      </c>
      <c r="AG928" s="2">
        <v>1</v>
      </c>
      <c r="AH928" s="3" t="s">
        <v>655</v>
      </c>
      <c r="AI928" s="4">
        <v>44730</v>
      </c>
      <c r="AJ928" s="3" t="s">
        <v>994</v>
      </c>
      <c r="AK928" s="3" t="s">
        <v>38</v>
      </c>
    </row>
    <row r="929" spans="1:37" hidden="1" x14ac:dyDescent="0.25">
      <c r="A929" t="str">
        <f t="shared" si="14"/>
        <v>2022_SA_Riverton_Lentil_DetailedTOS1VarietyJumbo2WaterTrtRainFed</v>
      </c>
      <c r="B929" s="2">
        <v>2022006</v>
      </c>
      <c r="C929" s="3" t="s">
        <v>905</v>
      </c>
      <c r="D929" s="3" t="s">
        <v>38</v>
      </c>
      <c r="F929" s="3" t="s">
        <v>4176</v>
      </c>
      <c r="G929" s="3" t="s">
        <v>43</v>
      </c>
      <c r="H929" s="3" t="s">
        <v>250</v>
      </c>
      <c r="I929" s="2">
        <v>90</v>
      </c>
      <c r="J929" s="2">
        <v>45</v>
      </c>
      <c r="K929" s="2">
        <v>3</v>
      </c>
      <c r="O929" s="2">
        <v>12</v>
      </c>
      <c r="U929" s="2">
        <v>2</v>
      </c>
      <c r="V929" s="2">
        <v>46</v>
      </c>
      <c r="W929" s="2">
        <v>2</v>
      </c>
      <c r="X929" s="2">
        <v>23</v>
      </c>
      <c r="Z929" s="2">
        <v>90</v>
      </c>
      <c r="AA929" s="3" t="s">
        <v>40</v>
      </c>
      <c r="AB929" s="2">
        <v>3</v>
      </c>
      <c r="AF929" s="2">
        <v>23</v>
      </c>
      <c r="AG929" s="2">
        <v>1</v>
      </c>
      <c r="AH929" s="3" t="s">
        <v>655</v>
      </c>
      <c r="AI929" s="4">
        <v>44730</v>
      </c>
      <c r="AJ929" s="3" t="s">
        <v>995</v>
      </c>
      <c r="AK929" s="3" t="s">
        <v>38</v>
      </c>
    </row>
    <row r="930" spans="1:37" hidden="1" x14ac:dyDescent="0.25">
      <c r="A930" t="str">
        <f t="shared" si="14"/>
        <v>2022_SA_Riverton_Lentil_DetailedTOS1VarietyBoltWaterTrtRainFed</v>
      </c>
      <c r="B930" s="2">
        <v>2022006</v>
      </c>
      <c r="C930" s="3" t="s">
        <v>905</v>
      </c>
      <c r="D930" s="3" t="s">
        <v>38</v>
      </c>
      <c r="F930" s="3" t="s">
        <v>4187</v>
      </c>
      <c r="G930" s="3" t="s">
        <v>39</v>
      </c>
      <c r="H930" s="3" t="s">
        <v>253</v>
      </c>
      <c r="I930" s="2">
        <v>91</v>
      </c>
      <c r="J930" s="2">
        <v>46</v>
      </c>
      <c r="K930" s="2">
        <v>3</v>
      </c>
      <c r="O930" s="2">
        <v>12</v>
      </c>
      <c r="U930" s="2">
        <v>3</v>
      </c>
      <c r="V930" s="2">
        <v>46</v>
      </c>
      <c r="W930" s="2">
        <v>3</v>
      </c>
      <c r="X930" s="2">
        <v>23</v>
      </c>
      <c r="AA930" s="3" t="s">
        <v>40</v>
      </c>
      <c r="AB930" s="2">
        <v>1</v>
      </c>
      <c r="AF930" s="2">
        <v>23</v>
      </c>
      <c r="AG930" s="2">
        <v>1</v>
      </c>
      <c r="AH930" s="3" t="s">
        <v>655</v>
      </c>
      <c r="AI930" s="4">
        <v>44730</v>
      </c>
      <c r="AJ930" s="3" t="s">
        <v>996</v>
      </c>
      <c r="AK930" s="3" t="s">
        <v>38</v>
      </c>
    </row>
    <row r="931" spans="1:37" hidden="1" x14ac:dyDescent="0.25">
      <c r="A931" t="str">
        <f t="shared" si="14"/>
        <v>2022_SA_Riverton_Lentil_DetailedTOS1VarietyBoltWaterTrtRainFed</v>
      </c>
      <c r="B931" s="2">
        <v>2022006</v>
      </c>
      <c r="C931" s="3" t="s">
        <v>905</v>
      </c>
      <c r="D931" s="3" t="s">
        <v>38</v>
      </c>
      <c r="F931" s="3" t="s">
        <v>4187</v>
      </c>
      <c r="G931" s="3" t="s">
        <v>39</v>
      </c>
      <c r="H931" s="3" t="s">
        <v>250</v>
      </c>
      <c r="I931" s="2">
        <v>92</v>
      </c>
      <c r="J931" s="2">
        <v>46</v>
      </c>
      <c r="K931" s="2">
        <v>3</v>
      </c>
      <c r="O931" s="2">
        <v>12</v>
      </c>
      <c r="U931" s="2">
        <v>4</v>
      </c>
      <c r="V931" s="2">
        <v>46</v>
      </c>
      <c r="W931" s="2">
        <v>4</v>
      </c>
      <c r="X931" s="2">
        <v>23</v>
      </c>
      <c r="Z931" s="2">
        <v>92</v>
      </c>
      <c r="AA931" s="3" t="s">
        <v>40</v>
      </c>
      <c r="AB931" s="2">
        <v>1</v>
      </c>
      <c r="AF931" s="2">
        <v>23</v>
      </c>
      <c r="AG931" s="2">
        <v>1</v>
      </c>
      <c r="AH931" s="3" t="s">
        <v>655</v>
      </c>
      <c r="AI931" s="4">
        <v>44730</v>
      </c>
      <c r="AJ931" s="3" t="s">
        <v>997</v>
      </c>
      <c r="AK931" s="3" t="s">
        <v>38</v>
      </c>
    </row>
    <row r="932" spans="1:37" hidden="1" x14ac:dyDescent="0.25">
      <c r="A932" t="str">
        <f t="shared" si="14"/>
        <v>2022_SA_Riverton_Lentil_DetailedTOS1VarietyHallmarkXTWaterTrtRainFed</v>
      </c>
      <c r="B932" s="2">
        <v>2022006</v>
      </c>
      <c r="C932" s="3" t="s">
        <v>905</v>
      </c>
      <c r="D932" s="3" t="s">
        <v>38</v>
      </c>
      <c r="F932" s="3" t="s">
        <v>4189</v>
      </c>
      <c r="G932" s="3" t="s">
        <v>39</v>
      </c>
      <c r="H932" s="3" t="s">
        <v>253</v>
      </c>
      <c r="I932" s="2">
        <v>93</v>
      </c>
      <c r="J932" s="2">
        <v>47</v>
      </c>
      <c r="K932" s="2">
        <v>3</v>
      </c>
      <c r="O932" s="2">
        <v>12</v>
      </c>
      <c r="U932" s="2">
        <v>1</v>
      </c>
      <c r="V932" s="2">
        <v>47</v>
      </c>
      <c r="W932" s="2">
        <v>1</v>
      </c>
      <c r="X932" s="2">
        <v>24</v>
      </c>
      <c r="AA932" s="3" t="s">
        <v>40</v>
      </c>
      <c r="AB932" s="2">
        <v>2</v>
      </c>
      <c r="AF932" s="2">
        <v>23</v>
      </c>
      <c r="AG932" s="2">
        <v>1</v>
      </c>
      <c r="AH932" s="3" t="s">
        <v>655</v>
      </c>
      <c r="AI932" s="4">
        <v>44730</v>
      </c>
      <c r="AJ932" s="3" t="s">
        <v>998</v>
      </c>
      <c r="AK932" s="3" t="s">
        <v>38</v>
      </c>
    </row>
    <row r="933" spans="1:37" hidden="1" x14ac:dyDescent="0.25">
      <c r="A933" t="str">
        <f t="shared" si="14"/>
        <v>2022_SA_Riverton_Lentil_DetailedTOS1VarietyHallmarkXTWaterTrtRainFed</v>
      </c>
      <c r="B933" s="2">
        <v>2022006</v>
      </c>
      <c r="C933" s="3" t="s">
        <v>905</v>
      </c>
      <c r="D933" s="3" t="s">
        <v>38</v>
      </c>
      <c r="F933" s="3" t="s">
        <v>4189</v>
      </c>
      <c r="G933" s="3" t="s">
        <v>39</v>
      </c>
      <c r="H933" s="3" t="s">
        <v>250</v>
      </c>
      <c r="I933" s="2">
        <v>94</v>
      </c>
      <c r="J933" s="2">
        <v>47</v>
      </c>
      <c r="K933" s="2">
        <v>3</v>
      </c>
      <c r="O933" s="2">
        <v>12</v>
      </c>
      <c r="U933" s="2">
        <v>2</v>
      </c>
      <c r="V933" s="2">
        <v>47</v>
      </c>
      <c r="W933" s="2">
        <v>2</v>
      </c>
      <c r="X933" s="2">
        <v>24</v>
      </c>
      <c r="Z933" s="2">
        <v>95</v>
      </c>
      <c r="AA933" s="3" t="s">
        <v>40</v>
      </c>
      <c r="AB933" s="2">
        <v>2</v>
      </c>
      <c r="AF933" s="2">
        <v>23</v>
      </c>
      <c r="AG933" s="2">
        <v>1</v>
      </c>
      <c r="AH933" s="3" t="s">
        <v>655</v>
      </c>
      <c r="AI933" s="4">
        <v>44730</v>
      </c>
      <c r="AJ933" s="3" t="s">
        <v>999</v>
      </c>
      <c r="AK933" s="3" t="s">
        <v>38</v>
      </c>
    </row>
    <row r="934" spans="1:37" hidden="1" x14ac:dyDescent="0.25">
      <c r="A934" t="str">
        <f t="shared" si="14"/>
        <v>2022_SA_Riverton_Lentil_DetailedTOS1VarietyKelpieXTWaterTrtRainFed</v>
      </c>
      <c r="B934" s="2">
        <v>2022006</v>
      </c>
      <c r="C934" s="3" t="s">
        <v>905</v>
      </c>
      <c r="D934" s="3" t="s">
        <v>38</v>
      </c>
      <c r="F934" s="3" t="s">
        <v>4188</v>
      </c>
      <c r="G934" s="3" t="s">
        <v>43</v>
      </c>
      <c r="H934" s="3" t="s">
        <v>253</v>
      </c>
      <c r="I934" s="2">
        <v>95</v>
      </c>
      <c r="J934" s="2">
        <v>48</v>
      </c>
      <c r="K934" s="2">
        <v>3</v>
      </c>
      <c r="O934" s="2">
        <v>12</v>
      </c>
      <c r="U934" s="2">
        <v>3</v>
      </c>
      <c r="V934" s="2">
        <v>47</v>
      </c>
      <c r="W934" s="2">
        <v>3</v>
      </c>
      <c r="X934" s="2">
        <v>24</v>
      </c>
      <c r="AA934" s="3" t="s">
        <v>40</v>
      </c>
      <c r="AB934" s="2">
        <v>4</v>
      </c>
      <c r="AF934" s="2">
        <v>23</v>
      </c>
      <c r="AG934" s="2">
        <v>1</v>
      </c>
      <c r="AH934" s="3" t="s">
        <v>655</v>
      </c>
      <c r="AI934" s="4">
        <v>44730</v>
      </c>
      <c r="AJ934" s="3" t="s">
        <v>1000</v>
      </c>
      <c r="AK934" s="3" t="s">
        <v>38</v>
      </c>
    </row>
    <row r="935" spans="1:37" hidden="1" x14ac:dyDescent="0.25">
      <c r="A935" t="str">
        <f t="shared" si="14"/>
        <v>2022_SA_Riverton_Lentil_DetailedTOS1VarietyKelpieXTWaterTrtRainFed</v>
      </c>
      <c r="B935" s="2">
        <v>2022006</v>
      </c>
      <c r="C935" s="3" t="s">
        <v>905</v>
      </c>
      <c r="D935" s="3" t="s">
        <v>38</v>
      </c>
      <c r="F935" s="3" t="s">
        <v>4188</v>
      </c>
      <c r="G935" s="3" t="s">
        <v>43</v>
      </c>
      <c r="H935" s="3" t="s">
        <v>250</v>
      </c>
      <c r="I935" s="2">
        <v>96</v>
      </c>
      <c r="J935" s="2">
        <v>48</v>
      </c>
      <c r="K935" s="2">
        <v>3</v>
      </c>
      <c r="O935" s="2">
        <v>12</v>
      </c>
      <c r="U935" s="2">
        <v>4</v>
      </c>
      <c r="V935" s="2">
        <v>47</v>
      </c>
      <c r="W935" s="2">
        <v>4</v>
      </c>
      <c r="X935" s="2">
        <v>24</v>
      </c>
      <c r="Z935" s="2">
        <v>93</v>
      </c>
      <c r="AA935" s="3" t="s">
        <v>40</v>
      </c>
      <c r="AB935" s="2">
        <v>4</v>
      </c>
      <c r="AF935" s="2">
        <v>23</v>
      </c>
      <c r="AG935" s="2">
        <v>1</v>
      </c>
      <c r="AH935" s="3" t="s">
        <v>655</v>
      </c>
      <c r="AI935" s="4">
        <v>44730</v>
      </c>
      <c r="AJ935" s="3" t="s">
        <v>1001</v>
      </c>
      <c r="AK935" s="3" t="s">
        <v>38</v>
      </c>
    </row>
    <row r="936" spans="1:37" hidden="1" x14ac:dyDescent="0.25">
      <c r="A936" t="str">
        <f t="shared" si="14"/>
        <v>2022_SA_Riverton_Lentil_DetailedTOS2VarietyJumbo2WaterTrtIrrigated</v>
      </c>
      <c r="B936" s="2">
        <v>2022006</v>
      </c>
      <c r="C936" s="3" t="s">
        <v>905</v>
      </c>
      <c r="D936" s="3" t="s">
        <v>38</v>
      </c>
      <c r="F936" s="3" t="s">
        <v>4176</v>
      </c>
      <c r="G936" s="3" t="s">
        <v>43</v>
      </c>
      <c r="H936" s="3" t="s">
        <v>253</v>
      </c>
      <c r="I936" s="2">
        <v>97</v>
      </c>
      <c r="J936" s="2">
        <v>49</v>
      </c>
      <c r="K936" s="2">
        <v>4</v>
      </c>
      <c r="O936" s="2">
        <v>13</v>
      </c>
      <c r="U936" s="2">
        <v>1</v>
      </c>
      <c r="V936" s="2">
        <v>50</v>
      </c>
      <c r="W936" s="2">
        <v>1</v>
      </c>
      <c r="X936" s="2">
        <v>25</v>
      </c>
      <c r="AA936" s="3" t="s">
        <v>57</v>
      </c>
      <c r="AB936" s="2">
        <v>3</v>
      </c>
      <c r="AF936" s="2">
        <v>23</v>
      </c>
      <c r="AG936" s="2">
        <v>2</v>
      </c>
      <c r="AH936" s="3" t="s">
        <v>646</v>
      </c>
      <c r="AI936" s="4">
        <v>44756</v>
      </c>
      <c r="AJ936" s="3" t="s">
        <v>1002</v>
      </c>
      <c r="AK936" s="3" t="s">
        <v>38</v>
      </c>
    </row>
    <row r="937" spans="1:37" hidden="1" x14ac:dyDescent="0.25">
      <c r="A937" t="str">
        <f t="shared" si="14"/>
        <v>2022_SA_Riverton_Lentil_DetailedTOS2VarietyJumbo2WaterTrtIrrigated</v>
      </c>
      <c r="B937" s="2">
        <v>2022006</v>
      </c>
      <c r="C937" s="3" t="s">
        <v>905</v>
      </c>
      <c r="D937" s="3" t="s">
        <v>38</v>
      </c>
      <c r="F937" s="3" t="s">
        <v>4176</v>
      </c>
      <c r="G937" s="3" t="s">
        <v>43</v>
      </c>
      <c r="H937" s="3" t="s">
        <v>250</v>
      </c>
      <c r="I937" s="2">
        <v>98</v>
      </c>
      <c r="J937" s="2">
        <v>49</v>
      </c>
      <c r="K937" s="2">
        <v>4</v>
      </c>
      <c r="O937" s="2">
        <v>13</v>
      </c>
      <c r="U937" s="2">
        <v>2</v>
      </c>
      <c r="V937" s="2">
        <v>50</v>
      </c>
      <c r="W937" s="2">
        <v>2</v>
      </c>
      <c r="X937" s="2">
        <v>25</v>
      </c>
      <c r="Z937" s="2">
        <v>98</v>
      </c>
      <c r="AA937" s="3" t="s">
        <v>57</v>
      </c>
      <c r="AB937" s="2">
        <v>3</v>
      </c>
      <c r="AF937" s="2">
        <v>23</v>
      </c>
      <c r="AG937" s="2">
        <v>2</v>
      </c>
      <c r="AH937" s="3" t="s">
        <v>646</v>
      </c>
      <c r="AI937" s="4">
        <v>44756</v>
      </c>
      <c r="AJ937" s="3" t="s">
        <v>1003</v>
      </c>
      <c r="AK937" s="3" t="s">
        <v>38</v>
      </c>
    </row>
    <row r="938" spans="1:37" hidden="1" x14ac:dyDescent="0.25">
      <c r="A938" t="str">
        <f t="shared" si="14"/>
        <v>2022_SA_Riverton_Lentil_DetailedTOS2VarietyHallmarkXTWaterTrtIrrigated</v>
      </c>
      <c r="B938" s="2">
        <v>2022006</v>
      </c>
      <c r="C938" s="3" t="s">
        <v>905</v>
      </c>
      <c r="D938" s="3" t="s">
        <v>38</v>
      </c>
      <c r="F938" s="3" t="s">
        <v>4189</v>
      </c>
      <c r="G938" s="3" t="s">
        <v>39</v>
      </c>
      <c r="H938" s="3" t="s">
        <v>253</v>
      </c>
      <c r="I938" s="2">
        <v>99</v>
      </c>
      <c r="J938" s="2">
        <v>50</v>
      </c>
      <c r="K938" s="2">
        <v>4</v>
      </c>
      <c r="O938" s="2">
        <v>13</v>
      </c>
      <c r="U938" s="2">
        <v>3</v>
      </c>
      <c r="V938" s="2">
        <v>50</v>
      </c>
      <c r="W938" s="2">
        <v>3</v>
      </c>
      <c r="X938" s="2">
        <v>25</v>
      </c>
      <c r="AA938" s="3" t="s">
        <v>57</v>
      </c>
      <c r="AB938" s="2">
        <v>2</v>
      </c>
      <c r="AF938" s="2">
        <v>23</v>
      </c>
      <c r="AG938" s="2">
        <v>2</v>
      </c>
      <c r="AH938" s="3" t="s">
        <v>646</v>
      </c>
      <c r="AI938" s="4">
        <v>44756</v>
      </c>
      <c r="AJ938" s="3" t="s">
        <v>1004</v>
      </c>
      <c r="AK938" s="3" t="s">
        <v>38</v>
      </c>
    </row>
    <row r="939" spans="1:37" hidden="1" x14ac:dyDescent="0.25">
      <c r="A939" t="str">
        <f t="shared" si="14"/>
        <v>2022_SA_Riverton_Lentil_DetailedTOS2VarietyHallmarkXTWaterTrtIrrigated</v>
      </c>
      <c r="B939" s="2">
        <v>2022006</v>
      </c>
      <c r="C939" s="3" t="s">
        <v>905</v>
      </c>
      <c r="D939" s="3" t="s">
        <v>38</v>
      </c>
      <c r="F939" s="3" t="s">
        <v>4189</v>
      </c>
      <c r="G939" s="3" t="s">
        <v>39</v>
      </c>
      <c r="H939" s="3" t="s">
        <v>250</v>
      </c>
      <c r="I939" s="2">
        <v>100</v>
      </c>
      <c r="J939" s="2">
        <v>50</v>
      </c>
      <c r="K939" s="2">
        <v>4</v>
      </c>
      <c r="O939" s="2">
        <v>13</v>
      </c>
      <c r="U939" s="2">
        <v>4</v>
      </c>
      <c r="V939" s="2">
        <v>50</v>
      </c>
      <c r="W939" s="2">
        <v>4</v>
      </c>
      <c r="X939" s="2">
        <v>25</v>
      </c>
      <c r="Z939" s="2">
        <v>100</v>
      </c>
      <c r="AA939" s="3" t="s">
        <v>57</v>
      </c>
      <c r="AB939" s="2">
        <v>2</v>
      </c>
      <c r="AF939" s="2">
        <v>23</v>
      </c>
      <c r="AG939" s="2">
        <v>2</v>
      </c>
      <c r="AH939" s="3" t="s">
        <v>646</v>
      </c>
      <c r="AI939" s="4">
        <v>44756</v>
      </c>
      <c r="AJ939" s="3" t="s">
        <v>1005</v>
      </c>
      <c r="AK939" s="3" t="s">
        <v>38</v>
      </c>
    </row>
    <row r="940" spans="1:37" hidden="1" x14ac:dyDescent="0.25">
      <c r="A940" t="str">
        <f t="shared" si="14"/>
        <v>2022_SA_Riverton_Lentil_DetailedTOS2VarietyBoltWaterTrtIrrigated</v>
      </c>
      <c r="B940" s="2">
        <v>2022006</v>
      </c>
      <c r="C940" s="3" t="s">
        <v>905</v>
      </c>
      <c r="D940" s="3" t="s">
        <v>38</v>
      </c>
      <c r="F940" s="3" t="s">
        <v>4187</v>
      </c>
      <c r="G940" s="3" t="s">
        <v>39</v>
      </c>
      <c r="H940" s="3" t="s">
        <v>253</v>
      </c>
      <c r="I940" s="2">
        <v>101</v>
      </c>
      <c r="J940" s="2">
        <v>51</v>
      </c>
      <c r="K940" s="2">
        <v>4</v>
      </c>
      <c r="O940" s="2">
        <v>13</v>
      </c>
      <c r="U940" s="2">
        <v>1</v>
      </c>
      <c r="V940" s="2">
        <v>51</v>
      </c>
      <c r="W940" s="2">
        <v>1</v>
      </c>
      <c r="X940" s="2">
        <v>26</v>
      </c>
      <c r="AA940" s="3" t="s">
        <v>57</v>
      </c>
      <c r="AB940" s="2">
        <v>1</v>
      </c>
      <c r="AF940" s="2">
        <v>23</v>
      </c>
      <c r="AG940" s="2">
        <v>2</v>
      </c>
      <c r="AH940" s="3" t="s">
        <v>646</v>
      </c>
      <c r="AI940" s="4">
        <v>44756</v>
      </c>
      <c r="AJ940" s="3" t="s">
        <v>1006</v>
      </c>
      <c r="AK940" s="3" t="s">
        <v>38</v>
      </c>
    </row>
    <row r="941" spans="1:37" hidden="1" x14ac:dyDescent="0.25">
      <c r="A941" t="str">
        <f t="shared" si="14"/>
        <v>2022_SA_Riverton_Lentil_DetailedTOS2VarietyBoltWaterTrtIrrigated</v>
      </c>
      <c r="B941" s="2">
        <v>2022006</v>
      </c>
      <c r="C941" s="3" t="s">
        <v>905</v>
      </c>
      <c r="D941" s="3" t="s">
        <v>38</v>
      </c>
      <c r="F941" s="3" t="s">
        <v>4187</v>
      </c>
      <c r="G941" s="3" t="s">
        <v>39</v>
      </c>
      <c r="H941" s="3" t="s">
        <v>250</v>
      </c>
      <c r="I941" s="2">
        <v>102</v>
      </c>
      <c r="J941" s="2">
        <v>51</v>
      </c>
      <c r="K941" s="2">
        <v>4</v>
      </c>
      <c r="O941" s="2">
        <v>13</v>
      </c>
      <c r="U941" s="2">
        <v>2</v>
      </c>
      <c r="V941" s="2">
        <v>51</v>
      </c>
      <c r="W941" s="2">
        <v>2</v>
      </c>
      <c r="X941" s="2">
        <v>26</v>
      </c>
      <c r="Z941" s="2">
        <v>103</v>
      </c>
      <c r="AA941" s="3" t="s">
        <v>57</v>
      </c>
      <c r="AB941" s="2">
        <v>1</v>
      </c>
      <c r="AF941" s="2">
        <v>23</v>
      </c>
      <c r="AG941" s="2">
        <v>2</v>
      </c>
      <c r="AH941" s="3" t="s">
        <v>646</v>
      </c>
      <c r="AI941" s="4">
        <v>44756</v>
      </c>
      <c r="AJ941" s="3" t="s">
        <v>1007</v>
      </c>
      <c r="AK941" s="3" t="s">
        <v>38</v>
      </c>
    </row>
    <row r="942" spans="1:37" hidden="1" x14ac:dyDescent="0.25">
      <c r="A942" t="str">
        <f t="shared" si="14"/>
        <v>2022_SA_Riverton_Lentil_DetailedTOS2VarietyKelpieXTWaterTrtIrrigated</v>
      </c>
      <c r="B942" s="2">
        <v>2022006</v>
      </c>
      <c r="C942" s="3" t="s">
        <v>905</v>
      </c>
      <c r="D942" s="3" t="s">
        <v>38</v>
      </c>
      <c r="F942" s="3" t="s">
        <v>4188</v>
      </c>
      <c r="G942" s="3" t="s">
        <v>43</v>
      </c>
      <c r="H942" s="3" t="s">
        <v>253</v>
      </c>
      <c r="I942" s="2">
        <v>103</v>
      </c>
      <c r="J942" s="2">
        <v>52</v>
      </c>
      <c r="K942" s="2">
        <v>4</v>
      </c>
      <c r="O942" s="2">
        <v>13</v>
      </c>
      <c r="U942" s="2">
        <v>3</v>
      </c>
      <c r="V942" s="2">
        <v>51</v>
      </c>
      <c r="W942" s="2">
        <v>3</v>
      </c>
      <c r="X942" s="2">
        <v>26</v>
      </c>
      <c r="AA942" s="3" t="s">
        <v>57</v>
      </c>
      <c r="AB942" s="2">
        <v>4</v>
      </c>
      <c r="AF942" s="2">
        <v>23</v>
      </c>
      <c r="AG942" s="2">
        <v>2</v>
      </c>
      <c r="AH942" s="3" t="s">
        <v>646</v>
      </c>
      <c r="AI942" s="4">
        <v>44756</v>
      </c>
      <c r="AJ942" s="3" t="s">
        <v>1008</v>
      </c>
      <c r="AK942" s="3" t="s">
        <v>38</v>
      </c>
    </row>
    <row r="943" spans="1:37" hidden="1" x14ac:dyDescent="0.25">
      <c r="A943" t="str">
        <f t="shared" si="14"/>
        <v>2022_SA_Riverton_Lentil_DetailedTOS2VarietyKelpieXTWaterTrtIrrigated</v>
      </c>
      <c r="B943" s="2">
        <v>2022006</v>
      </c>
      <c r="C943" s="3" t="s">
        <v>905</v>
      </c>
      <c r="D943" s="3" t="s">
        <v>38</v>
      </c>
      <c r="F943" s="3" t="s">
        <v>4188</v>
      </c>
      <c r="G943" s="3" t="s">
        <v>43</v>
      </c>
      <c r="H943" s="3" t="s">
        <v>250</v>
      </c>
      <c r="I943" s="2">
        <v>104</v>
      </c>
      <c r="J943" s="2">
        <v>52</v>
      </c>
      <c r="K943" s="2">
        <v>4</v>
      </c>
      <c r="O943" s="2">
        <v>13</v>
      </c>
      <c r="U943" s="2">
        <v>4</v>
      </c>
      <c r="V943" s="2">
        <v>51</v>
      </c>
      <c r="W943" s="2">
        <v>4</v>
      </c>
      <c r="X943" s="2">
        <v>26</v>
      </c>
      <c r="Z943" s="2">
        <v>101</v>
      </c>
      <c r="AA943" s="3" t="s">
        <v>57</v>
      </c>
      <c r="AB943" s="2">
        <v>4</v>
      </c>
      <c r="AF943" s="2">
        <v>23</v>
      </c>
      <c r="AG943" s="2">
        <v>2</v>
      </c>
      <c r="AH943" s="3" t="s">
        <v>646</v>
      </c>
      <c r="AI943" s="4">
        <v>44756</v>
      </c>
      <c r="AJ943" s="3" t="s">
        <v>1009</v>
      </c>
      <c r="AK943" s="3" t="s">
        <v>38</v>
      </c>
    </row>
    <row r="944" spans="1:37" hidden="1" x14ac:dyDescent="0.25">
      <c r="A944" t="str">
        <f t="shared" si="14"/>
        <v>2022_SA_Riverton_Lentil_DetailedTOS2VarietyKelpieXTWaterTrtRainFed</v>
      </c>
      <c r="B944" s="2">
        <v>2022006</v>
      </c>
      <c r="C944" s="3" t="s">
        <v>905</v>
      </c>
      <c r="D944" s="3" t="s">
        <v>38</v>
      </c>
      <c r="F944" s="3" t="s">
        <v>4188</v>
      </c>
      <c r="G944" s="3" t="s">
        <v>43</v>
      </c>
      <c r="H944" s="3" t="s">
        <v>253</v>
      </c>
      <c r="I944" s="2">
        <v>105</v>
      </c>
      <c r="J944" s="2">
        <v>53</v>
      </c>
      <c r="K944" s="2">
        <v>4</v>
      </c>
      <c r="O944" s="2">
        <v>14</v>
      </c>
      <c r="U944" s="2">
        <v>1</v>
      </c>
      <c r="V944" s="2">
        <v>54</v>
      </c>
      <c r="W944" s="2">
        <v>1</v>
      </c>
      <c r="X944" s="2">
        <v>27</v>
      </c>
      <c r="AA944" s="3" t="s">
        <v>40</v>
      </c>
      <c r="AB944" s="2">
        <v>4</v>
      </c>
      <c r="AF944" s="2">
        <v>23</v>
      </c>
      <c r="AG944" s="2">
        <v>2</v>
      </c>
      <c r="AH944" s="3" t="s">
        <v>646</v>
      </c>
      <c r="AI944" s="4">
        <v>44756</v>
      </c>
      <c r="AJ944" s="3" t="s">
        <v>1010</v>
      </c>
      <c r="AK944" s="3" t="s">
        <v>38</v>
      </c>
    </row>
    <row r="945" spans="1:37" hidden="1" x14ac:dyDescent="0.25">
      <c r="A945" t="str">
        <f t="shared" si="14"/>
        <v>2022_SA_Riverton_Lentil_DetailedTOS2VarietyKelpieXTWaterTrtRainFed</v>
      </c>
      <c r="B945" s="2">
        <v>2022006</v>
      </c>
      <c r="C945" s="3" t="s">
        <v>905</v>
      </c>
      <c r="D945" s="3" t="s">
        <v>38</v>
      </c>
      <c r="F945" s="3" t="s">
        <v>4188</v>
      </c>
      <c r="G945" s="3" t="s">
        <v>43</v>
      </c>
      <c r="H945" s="3" t="s">
        <v>250</v>
      </c>
      <c r="I945" s="2">
        <v>106</v>
      </c>
      <c r="J945" s="2">
        <v>53</v>
      </c>
      <c r="K945" s="2">
        <v>4</v>
      </c>
      <c r="O945" s="2">
        <v>14</v>
      </c>
      <c r="U945" s="2">
        <v>2</v>
      </c>
      <c r="V945" s="2">
        <v>54</v>
      </c>
      <c r="W945" s="2">
        <v>2</v>
      </c>
      <c r="X945" s="2">
        <v>27</v>
      </c>
      <c r="Z945" s="2">
        <v>106</v>
      </c>
      <c r="AA945" s="3" t="s">
        <v>40</v>
      </c>
      <c r="AB945" s="2">
        <v>4</v>
      </c>
      <c r="AF945" s="2">
        <v>23</v>
      </c>
      <c r="AG945" s="2">
        <v>2</v>
      </c>
      <c r="AH945" s="3" t="s">
        <v>646</v>
      </c>
      <c r="AI945" s="4">
        <v>44756</v>
      </c>
      <c r="AJ945" s="3" t="s">
        <v>1011</v>
      </c>
      <c r="AK945" s="3" t="s">
        <v>38</v>
      </c>
    </row>
    <row r="946" spans="1:37" hidden="1" x14ac:dyDescent="0.25">
      <c r="A946" t="str">
        <f t="shared" si="14"/>
        <v>2022_SA_Riverton_Lentil_DetailedTOS2VarietyJumbo2WaterTrtRainFed</v>
      </c>
      <c r="B946" s="2">
        <v>2022006</v>
      </c>
      <c r="C946" s="3" t="s">
        <v>905</v>
      </c>
      <c r="D946" s="3" t="s">
        <v>38</v>
      </c>
      <c r="F946" s="3" t="s">
        <v>4176</v>
      </c>
      <c r="G946" s="3" t="s">
        <v>43</v>
      </c>
      <c r="H946" s="3" t="s">
        <v>253</v>
      </c>
      <c r="I946" s="2">
        <v>107</v>
      </c>
      <c r="J946" s="2">
        <v>54</v>
      </c>
      <c r="K946" s="2">
        <v>4</v>
      </c>
      <c r="O946" s="2">
        <v>14</v>
      </c>
      <c r="U946" s="2">
        <v>3</v>
      </c>
      <c r="V946" s="2">
        <v>54</v>
      </c>
      <c r="W946" s="2">
        <v>3</v>
      </c>
      <c r="X946" s="2">
        <v>27</v>
      </c>
      <c r="AA946" s="3" t="s">
        <v>40</v>
      </c>
      <c r="AB946" s="2">
        <v>3</v>
      </c>
      <c r="AF946" s="2">
        <v>23</v>
      </c>
      <c r="AG946" s="2">
        <v>2</v>
      </c>
      <c r="AH946" s="3" t="s">
        <v>646</v>
      </c>
      <c r="AI946" s="4">
        <v>44756</v>
      </c>
      <c r="AJ946" s="3" t="s">
        <v>1012</v>
      </c>
      <c r="AK946" s="3" t="s">
        <v>38</v>
      </c>
    </row>
    <row r="947" spans="1:37" hidden="1" x14ac:dyDescent="0.25">
      <c r="A947" t="str">
        <f t="shared" si="14"/>
        <v>2022_SA_Riverton_Lentil_DetailedTOS2VarietyJumbo2WaterTrtRainFed</v>
      </c>
      <c r="B947" s="2">
        <v>2022006</v>
      </c>
      <c r="C947" s="3" t="s">
        <v>905</v>
      </c>
      <c r="D947" s="3" t="s">
        <v>38</v>
      </c>
      <c r="F947" s="3" t="s">
        <v>4176</v>
      </c>
      <c r="G947" s="3" t="s">
        <v>43</v>
      </c>
      <c r="H947" s="3" t="s">
        <v>250</v>
      </c>
      <c r="I947" s="2">
        <v>108</v>
      </c>
      <c r="J947" s="2">
        <v>54</v>
      </c>
      <c r="K947" s="2">
        <v>4</v>
      </c>
      <c r="O947" s="2">
        <v>14</v>
      </c>
      <c r="U947" s="2">
        <v>4</v>
      </c>
      <c r="V947" s="2">
        <v>54</v>
      </c>
      <c r="W947" s="2">
        <v>4</v>
      </c>
      <c r="X947" s="2">
        <v>27</v>
      </c>
      <c r="Z947" s="2">
        <v>108</v>
      </c>
      <c r="AA947" s="3" t="s">
        <v>40</v>
      </c>
      <c r="AB947" s="2">
        <v>3</v>
      </c>
      <c r="AF947" s="2">
        <v>23</v>
      </c>
      <c r="AG947" s="2">
        <v>2</v>
      </c>
      <c r="AH947" s="3" t="s">
        <v>646</v>
      </c>
      <c r="AI947" s="4">
        <v>44756</v>
      </c>
      <c r="AJ947" s="3" t="s">
        <v>1013</v>
      </c>
      <c r="AK947" s="3" t="s">
        <v>38</v>
      </c>
    </row>
    <row r="948" spans="1:37" hidden="1" x14ac:dyDescent="0.25">
      <c r="A948" t="str">
        <f t="shared" si="14"/>
        <v>2022_SA_Riverton_Lentil_DetailedTOS2VarietyHallmarkXTWaterTrtRainFed</v>
      </c>
      <c r="B948" s="2">
        <v>2022006</v>
      </c>
      <c r="C948" s="3" t="s">
        <v>905</v>
      </c>
      <c r="D948" s="3" t="s">
        <v>38</v>
      </c>
      <c r="F948" s="3" t="s">
        <v>4189</v>
      </c>
      <c r="G948" s="3" t="s">
        <v>39</v>
      </c>
      <c r="H948" s="3" t="s">
        <v>253</v>
      </c>
      <c r="I948" s="2">
        <v>109</v>
      </c>
      <c r="J948" s="2">
        <v>55</v>
      </c>
      <c r="K948" s="2">
        <v>4</v>
      </c>
      <c r="O948" s="2">
        <v>14</v>
      </c>
      <c r="U948" s="2">
        <v>1</v>
      </c>
      <c r="V948" s="2">
        <v>55</v>
      </c>
      <c r="W948" s="2">
        <v>1</v>
      </c>
      <c r="X948" s="2">
        <v>28</v>
      </c>
      <c r="AA948" s="3" t="s">
        <v>40</v>
      </c>
      <c r="AB948" s="2">
        <v>2</v>
      </c>
      <c r="AF948" s="2">
        <v>23</v>
      </c>
      <c r="AG948" s="2">
        <v>2</v>
      </c>
      <c r="AH948" s="3" t="s">
        <v>646</v>
      </c>
      <c r="AI948" s="4">
        <v>44756</v>
      </c>
      <c r="AJ948" s="3" t="s">
        <v>1014</v>
      </c>
      <c r="AK948" s="3" t="s">
        <v>38</v>
      </c>
    </row>
    <row r="949" spans="1:37" hidden="1" x14ac:dyDescent="0.25">
      <c r="A949" t="str">
        <f t="shared" si="14"/>
        <v>2022_SA_Riverton_Lentil_DetailedTOS2VarietyHallmarkXTWaterTrtRainFed</v>
      </c>
      <c r="B949" s="2">
        <v>2022006</v>
      </c>
      <c r="C949" s="3" t="s">
        <v>905</v>
      </c>
      <c r="D949" s="3" t="s">
        <v>38</v>
      </c>
      <c r="F949" s="3" t="s">
        <v>4189</v>
      </c>
      <c r="G949" s="3" t="s">
        <v>39</v>
      </c>
      <c r="H949" s="3" t="s">
        <v>250</v>
      </c>
      <c r="I949" s="2">
        <v>110</v>
      </c>
      <c r="J949" s="2">
        <v>55</v>
      </c>
      <c r="K949" s="2">
        <v>4</v>
      </c>
      <c r="O949" s="2">
        <v>14</v>
      </c>
      <c r="U949" s="2">
        <v>2</v>
      </c>
      <c r="V949" s="2">
        <v>55</v>
      </c>
      <c r="W949" s="2">
        <v>2</v>
      </c>
      <c r="X949" s="2">
        <v>28</v>
      </c>
      <c r="Z949" s="2">
        <v>111</v>
      </c>
      <c r="AA949" s="3" t="s">
        <v>40</v>
      </c>
      <c r="AB949" s="2">
        <v>2</v>
      </c>
      <c r="AF949" s="2">
        <v>23</v>
      </c>
      <c r="AG949" s="2">
        <v>2</v>
      </c>
      <c r="AH949" s="3" t="s">
        <v>646</v>
      </c>
      <c r="AI949" s="4">
        <v>44756</v>
      </c>
      <c r="AJ949" s="3" t="s">
        <v>1015</v>
      </c>
      <c r="AK949" s="3" t="s">
        <v>38</v>
      </c>
    </row>
    <row r="950" spans="1:37" hidden="1" x14ac:dyDescent="0.25">
      <c r="A950" t="str">
        <f t="shared" si="14"/>
        <v>2022_SA_Riverton_Lentil_DetailedTOS2VarietyBoltWaterTrtRainFed</v>
      </c>
      <c r="B950" s="2">
        <v>2022006</v>
      </c>
      <c r="C950" s="3" t="s">
        <v>905</v>
      </c>
      <c r="D950" s="3" t="s">
        <v>38</v>
      </c>
      <c r="F950" s="3" t="s">
        <v>4187</v>
      </c>
      <c r="G950" s="3" t="s">
        <v>39</v>
      </c>
      <c r="H950" s="3" t="s">
        <v>253</v>
      </c>
      <c r="I950" s="2">
        <v>111</v>
      </c>
      <c r="J950" s="2">
        <v>56</v>
      </c>
      <c r="K950" s="2">
        <v>4</v>
      </c>
      <c r="O950" s="2">
        <v>14</v>
      </c>
      <c r="U950" s="2">
        <v>3</v>
      </c>
      <c r="V950" s="2">
        <v>55</v>
      </c>
      <c r="W950" s="2">
        <v>3</v>
      </c>
      <c r="X950" s="2">
        <v>28</v>
      </c>
      <c r="AA950" s="3" t="s">
        <v>40</v>
      </c>
      <c r="AB950" s="2">
        <v>1</v>
      </c>
      <c r="AF950" s="2">
        <v>23</v>
      </c>
      <c r="AG950" s="2">
        <v>2</v>
      </c>
      <c r="AH950" s="3" t="s">
        <v>646</v>
      </c>
      <c r="AI950" s="4">
        <v>44756</v>
      </c>
      <c r="AJ950" s="3" t="s">
        <v>1016</v>
      </c>
      <c r="AK950" s="3" t="s">
        <v>38</v>
      </c>
    </row>
    <row r="951" spans="1:37" hidden="1" x14ac:dyDescent="0.25">
      <c r="A951" t="str">
        <f t="shared" si="14"/>
        <v>2022_SA_Riverton_Lentil_DetailedTOS2VarietyBoltWaterTrtRainFed</v>
      </c>
      <c r="B951" s="2">
        <v>2022006</v>
      </c>
      <c r="C951" s="3" t="s">
        <v>905</v>
      </c>
      <c r="D951" s="3" t="s">
        <v>38</v>
      </c>
      <c r="F951" s="3" t="s">
        <v>4187</v>
      </c>
      <c r="G951" s="3" t="s">
        <v>39</v>
      </c>
      <c r="H951" s="3" t="s">
        <v>250</v>
      </c>
      <c r="I951" s="2">
        <v>112</v>
      </c>
      <c r="J951" s="2">
        <v>56</v>
      </c>
      <c r="K951" s="2">
        <v>4</v>
      </c>
      <c r="O951" s="2">
        <v>14</v>
      </c>
      <c r="U951" s="2">
        <v>4</v>
      </c>
      <c r="V951" s="2">
        <v>55</v>
      </c>
      <c r="W951" s="2">
        <v>4</v>
      </c>
      <c r="X951" s="2">
        <v>28</v>
      </c>
      <c r="Z951" s="2">
        <v>109</v>
      </c>
      <c r="AA951" s="3" t="s">
        <v>40</v>
      </c>
      <c r="AB951" s="2">
        <v>1</v>
      </c>
      <c r="AF951" s="2">
        <v>23</v>
      </c>
      <c r="AG951" s="2">
        <v>2</v>
      </c>
      <c r="AH951" s="3" t="s">
        <v>646</v>
      </c>
      <c r="AI951" s="4">
        <v>44756</v>
      </c>
      <c r="AJ951" s="3" t="s">
        <v>1017</v>
      </c>
      <c r="AK951" s="3" t="s">
        <v>38</v>
      </c>
    </row>
    <row r="952" spans="1:37" hidden="1" x14ac:dyDescent="0.25">
      <c r="A952" t="str">
        <f t="shared" si="14"/>
        <v>2022_SA_Riverton_Lentil_DetailedTOS1VarietyBoltWaterTrtRainFed</v>
      </c>
      <c r="B952" s="2">
        <v>2022006</v>
      </c>
      <c r="C952" s="3" t="s">
        <v>905</v>
      </c>
      <c r="D952" s="3" t="s">
        <v>38</v>
      </c>
      <c r="F952" s="3" t="s">
        <v>4187</v>
      </c>
      <c r="G952" s="3" t="s">
        <v>39</v>
      </c>
      <c r="H952" s="3" t="s">
        <v>253</v>
      </c>
      <c r="I952" s="2">
        <v>113</v>
      </c>
      <c r="J952" s="2">
        <v>57</v>
      </c>
      <c r="K952" s="2">
        <v>4</v>
      </c>
      <c r="O952" s="2">
        <v>15</v>
      </c>
      <c r="U952" s="2">
        <v>1</v>
      </c>
      <c r="V952" s="2">
        <v>58</v>
      </c>
      <c r="W952" s="2">
        <v>1</v>
      </c>
      <c r="X952" s="2">
        <v>29</v>
      </c>
      <c r="AA952" s="3" t="s">
        <v>40</v>
      </c>
      <c r="AB952" s="2">
        <v>1</v>
      </c>
      <c r="AF952" s="2">
        <v>23</v>
      </c>
      <c r="AG952" s="2">
        <v>1</v>
      </c>
      <c r="AH952" s="3" t="s">
        <v>655</v>
      </c>
      <c r="AI952" s="4">
        <v>44730</v>
      </c>
      <c r="AJ952" s="3" t="s">
        <v>1018</v>
      </c>
      <c r="AK952" s="3" t="s">
        <v>38</v>
      </c>
    </row>
    <row r="953" spans="1:37" hidden="1" x14ac:dyDescent="0.25">
      <c r="A953" t="str">
        <f t="shared" si="14"/>
        <v>2022_SA_Riverton_Lentil_DetailedTOS1VarietyBoltWaterTrtRainFed</v>
      </c>
      <c r="B953" s="2">
        <v>2022006</v>
      </c>
      <c r="C953" s="3" t="s">
        <v>905</v>
      </c>
      <c r="D953" s="3" t="s">
        <v>38</v>
      </c>
      <c r="F953" s="3" t="s">
        <v>4187</v>
      </c>
      <c r="G953" s="3" t="s">
        <v>39</v>
      </c>
      <c r="H953" s="3" t="s">
        <v>250</v>
      </c>
      <c r="I953" s="2">
        <v>114</v>
      </c>
      <c r="J953" s="2">
        <v>57</v>
      </c>
      <c r="K953" s="2">
        <v>4</v>
      </c>
      <c r="O953" s="2">
        <v>15</v>
      </c>
      <c r="U953" s="2">
        <v>2</v>
      </c>
      <c r="V953" s="2">
        <v>58</v>
      </c>
      <c r="W953" s="2">
        <v>2</v>
      </c>
      <c r="X953" s="2">
        <v>29</v>
      </c>
      <c r="Z953" s="2">
        <v>114</v>
      </c>
      <c r="AA953" s="3" t="s">
        <v>40</v>
      </c>
      <c r="AB953" s="2">
        <v>1</v>
      </c>
      <c r="AF953" s="2">
        <v>23</v>
      </c>
      <c r="AG953" s="2">
        <v>1</v>
      </c>
      <c r="AH953" s="3" t="s">
        <v>655</v>
      </c>
      <c r="AI953" s="4">
        <v>44730</v>
      </c>
      <c r="AJ953" s="3" t="s">
        <v>1019</v>
      </c>
      <c r="AK953" s="3" t="s">
        <v>38</v>
      </c>
    </row>
    <row r="954" spans="1:37" hidden="1" x14ac:dyDescent="0.25">
      <c r="A954" t="str">
        <f t="shared" si="14"/>
        <v>2022_SA_Riverton_Lentil_DetailedTOS1VarietyKelpieXTWaterTrtRainFed</v>
      </c>
      <c r="B954" s="2">
        <v>2022006</v>
      </c>
      <c r="C954" s="3" t="s">
        <v>905</v>
      </c>
      <c r="D954" s="3" t="s">
        <v>38</v>
      </c>
      <c r="F954" s="3" t="s">
        <v>4188</v>
      </c>
      <c r="G954" s="3" t="s">
        <v>43</v>
      </c>
      <c r="H954" s="3" t="s">
        <v>253</v>
      </c>
      <c r="I954" s="2">
        <v>115</v>
      </c>
      <c r="J954" s="2">
        <v>58</v>
      </c>
      <c r="K954" s="2">
        <v>4</v>
      </c>
      <c r="O954" s="2">
        <v>15</v>
      </c>
      <c r="U954" s="2">
        <v>3</v>
      </c>
      <c r="V954" s="2">
        <v>58</v>
      </c>
      <c r="W954" s="2">
        <v>3</v>
      </c>
      <c r="X954" s="2">
        <v>29</v>
      </c>
      <c r="AA954" s="3" t="s">
        <v>40</v>
      </c>
      <c r="AB954" s="2">
        <v>4</v>
      </c>
      <c r="AF954" s="2">
        <v>23</v>
      </c>
      <c r="AG954" s="2">
        <v>1</v>
      </c>
      <c r="AH954" s="3" t="s">
        <v>655</v>
      </c>
      <c r="AI954" s="4">
        <v>44730</v>
      </c>
      <c r="AJ954" s="3" t="s">
        <v>1020</v>
      </c>
      <c r="AK954" s="3" t="s">
        <v>38</v>
      </c>
    </row>
    <row r="955" spans="1:37" hidden="1" x14ac:dyDescent="0.25">
      <c r="A955" t="str">
        <f t="shared" si="14"/>
        <v>2022_SA_Riverton_Lentil_DetailedTOS1VarietyKelpieXTWaterTrtRainFed</v>
      </c>
      <c r="B955" s="2">
        <v>2022006</v>
      </c>
      <c r="C955" s="3" t="s">
        <v>905</v>
      </c>
      <c r="D955" s="3" t="s">
        <v>38</v>
      </c>
      <c r="F955" s="3" t="s">
        <v>4188</v>
      </c>
      <c r="G955" s="3" t="s">
        <v>43</v>
      </c>
      <c r="H955" s="3" t="s">
        <v>250</v>
      </c>
      <c r="I955" s="2">
        <v>116</v>
      </c>
      <c r="J955" s="2">
        <v>58</v>
      </c>
      <c r="K955" s="2">
        <v>4</v>
      </c>
      <c r="O955" s="2">
        <v>15</v>
      </c>
      <c r="U955" s="2">
        <v>4</v>
      </c>
      <c r="V955" s="2">
        <v>58</v>
      </c>
      <c r="W955" s="2">
        <v>4</v>
      </c>
      <c r="X955" s="2">
        <v>29</v>
      </c>
      <c r="Z955" s="2">
        <v>116</v>
      </c>
      <c r="AA955" s="3" t="s">
        <v>40</v>
      </c>
      <c r="AB955" s="2">
        <v>4</v>
      </c>
      <c r="AF955" s="2">
        <v>23</v>
      </c>
      <c r="AG955" s="2">
        <v>1</v>
      </c>
      <c r="AH955" s="3" t="s">
        <v>655</v>
      </c>
      <c r="AI955" s="4">
        <v>44730</v>
      </c>
      <c r="AJ955" s="3" t="s">
        <v>1021</v>
      </c>
      <c r="AK955" s="3" t="s">
        <v>38</v>
      </c>
    </row>
    <row r="956" spans="1:37" hidden="1" x14ac:dyDescent="0.25">
      <c r="A956" t="str">
        <f t="shared" si="14"/>
        <v>2022_SA_Riverton_Lentil_DetailedTOS1VarietyJumbo2WaterTrtRainFed</v>
      </c>
      <c r="B956" s="2">
        <v>2022006</v>
      </c>
      <c r="C956" s="3" t="s">
        <v>905</v>
      </c>
      <c r="D956" s="3" t="s">
        <v>38</v>
      </c>
      <c r="F956" s="3" t="s">
        <v>4176</v>
      </c>
      <c r="G956" s="3" t="s">
        <v>43</v>
      </c>
      <c r="H956" s="3" t="s">
        <v>253</v>
      </c>
      <c r="I956" s="2">
        <v>117</v>
      </c>
      <c r="J956" s="2">
        <v>59</v>
      </c>
      <c r="K956" s="2">
        <v>4</v>
      </c>
      <c r="O956" s="2">
        <v>15</v>
      </c>
      <c r="U956" s="2">
        <v>1</v>
      </c>
      <c r="V956" s="2">
        <v>59</v>
      </c>
      <c r="W956" s="2">
        <v>1</v>
      </c>
      <c r="X956" s="2">
        <v>30</v>
      </c>
      <c r="AA956" s="3" t="s">
        <v>40</v>
      </c>
      <c r="AB956" s="2">
        <v>3</v>
      </c>
      <c r="AF956" s="2">
        <v>23</v>
      </c>
      <c r="AG956" s="2">
        <v>1</v>
      </c>
      <c r="AH956" s="3" t="s">
        <v>655</v>
      </c>
      <c r="AI956" s="4">
        <v>44730</v>
      </c>
      <c r="AJ956" s="3" t="s">
        <v>1022</v>
      </c>
      <c r="AK956" s="3" t="s">
        <v>38</v>
      </c>
    </row>
    <row r="957" spans="1:37" hidden="1" x14ac:dyDescent="0.25">
      <c r="A957" t="str">
        <f t="shared" si="14"/>
        <v>2022_SA_Riverton_Lentil_DetailedTOS1VarietyJumbo2WaterTrtRainFed</v>
      </c>
      <c r="B957" s="2">
        <v>2022006</v>
      </c>
      <c r="C957" s="3" t="s">
        <v>905</v>
      </c>
      <c r="D957" s="3" t="s">
        <v>38</v>
      </c>
      <c r="F957" s="3" t="s">
        <v>4176</v>
      </c>
      <c r="G957" s="3" t="s">
        <v>43</v>
      </c>
      <c r="H957" s="3" t="s">
        <v>250</v>
      </c>
      <c r="I957" s="2">
        <v>118</v>
      </c>
      <c r="J957" s="2">
        <v>59</v>
      </c>
      <c r="K957" s="2">
        <v>4</v>
      </c>
      <c r="O957" s="2">
        <v>15</v>
      </c>
      <c r="U957" s="2">
        <v>2</v>
      </c>
      <c r="V957" s="2">
        <v>59</v>
      </c>
      <c r="W957" s="2">
        <v>2</v>
      </c>
      <c r="X957" s="2">
        <v>30</v>
      </c>
      <c r="Z957" s="2">
        <v>119</v>
      </c>
      <c r="AA957" s="3" t="s">
        <v>40</v>
      </c>
      <c r="AB957" s="2">
        <v>3</v>
      </c>
      <c r="AF957" s="2">
        <v>23</v>
      </c>
      <c r="AG957" s="2">
        <v>1</v>
      </c>
      <c r="AH957" s="3" t="s">
        <v>655</v>
      </c>
      <c r="AI957" s="4">
        <v>44730</v>
      </c>
      <c r="AJ957" s="3" t="s">
        <v>1023</v>
      </c>
      <c r="AK957" s="3" t="s">
        <v>38</v>
      </c>
    </row>
    <row r="958" spans="1:37" hidden="1" x14ac:dyDescent="0.25">
      <c r="A958" t="str">
        <f t="shared" si="14"/>
        <v>2022_SA_Riverton_Lentil_DetailedTOS1VarietyHallmarkXTWaterTrtRainFed</v>
      </c>
      <c r="B958" s="2">
        <v>2022006</v>
      </c>
      <c r="C958" s="3" t="s">
        <v>905</v>
      </c>
      <c r="D958" s="3" t="s">
        <v>38</v>
      </c>
      <c r="F958" s="3" t="s">
        <v>4189</v>
      </c>
      <c r="G958" s="3" t="s">
        <v>39</v>
      </c>
      <c r="H958" s="3" t="s">
        <v>253</v>
      </c>
      <c r="I958" s="2">
        <v>119</v>
      </c>
      <c r="J958" s="2">
        <v>60</v>
      </c>
      <c r="K958" s="2">
        <v>4</v>
      </c>
      <c r="O958" s="2">
        <v>15</v>
      </c>
      <c r="U958" s="2">
        <v>3</v>
      </c>
      <c r="V958" s="2">
        <v>59</v>
      </c>
      <c r="W958" s="2">
        <v>3</v>
      </c>
      <c r="X958" s="2">
        <v>30</v>
      </c>
      <c r="AA958" s="3" t="s">
        <v>40</v>
      </c>
      <c r="AB958" s="2">
        <v>2</v>
      </c>
      <c r="AF958" s="2">
        <v>23</v>
      </c>
      <c r="AG958" s="2">
        <v>1</v>
      </c>
      <c r="AH958" s="3" t="s">
        <v>655</v>
      </c>
      <c r="AI958" s="4">
        <v>44730</v>
      </c>
      <c r="AJ958" s="3" t="s">
        <v>1024</v>
      </c>
      <c r="AK958" s="3" t="s">
        <v>38</v>
      </c>
    </row>
    <row r="959" spans="1:37" hidden="1" x14ac:dyDescent="0.25">
      <c r="A959" t="str">
        <f t="shared" si="14"/>
        <v>2022_SA_Riverton_Lentil_DetailedTOS1VarietyHallmarkXTWaterTrtRainFed</v>
      </c>
      <c r="B959" s="2">
        <v>2022006</v>
      </c>
      <c r="C959" s="3" t="s">
        <v>905</v>
      </c>
      <c r="D959" s="3" t="s">
        <v>38</v>
      </c>
      <c r="F959" s="3" t="s">
        <v>4189</v>
      </c>
      <c r="G959" s="3" t="s">
        <v>39</v>
      </c>
      <c r="H959" s="3" t="s">
        <v>250</v>
      </c>
      <c r="I959" s="2">
        <v>120</v>
      </c>
      <c r="J959" s="2">
        <v>60</v>
      </c>
      <c r="K959" s="2">
        <v>4</v>
      </c>
      <c r="O959" s="2">
        <v>15</v>
      </c>
      <c r="U959" s="2">
        <v>4</v>
      </c>
      <c r="V959" s="2">
        <v>59</v>
      </c>
      <c r="W959" s="2">
        <v>4</v>
      </c>
      <c r="X959" s="2">
        <v>30</v>
      </c>
      <c r="Z959" s="2">
        <v>117</v>
      </c>
      <c r="AA959" s="3" t="s">
        <v>40</v>
      </c>
      <c r="AB959" s="2">
        <v>2</v>
      </c>
      <c r="AF959" s="2">
        <v>23</v>
      </c>
      <c r="AG959" s="2">
        <v>1</v>
      </c>
      <c r="AH959" s="3" t="s">
        <v>655</v>
      </c>
      <c r="AI959" s="4">
        <v>44730</v>
      </c>
      <c r="AJ959" s="3" t="s">
        <v>1025</v>
      </c>
      <c r="AK959" s="3" t="s">
        <v>38</v>
      </c>
    </row>
    <row r="960" spans="1:37" hidden="1" x14ac:dyDescent="0.25">
      <c r="A960" t="str">
        <f t="shared" si="14"/>
        <v>2022_SA_Riverton_Lentil_DetailedTOS1VarietyHallmarkXTWaterTrtIrrigated</v>
      </c>
      <c r="B960" s="2">
        <v>2022006</v>
      </c>
      <c r="C960" s="3" t="s">
        <v>905</v>
      </c>
      <c r="D960" s="3" t="s">
        <v>38</v>
      </c>
      <c r="F960" s="3" t="s">
        <v>4189</v>
      </c>
      <c r="G960" s="3" t="s">
        <v>39</v>
      </c>
      <c r="H960" s="3" t="s">
        <v>253</v>
      </c>
      <c r="I960" s="2">
        <v>121</v>
      </c>
      <c r="J960" s="2">
        <v>61</v>
      </c>
      <c r="K960" s="2">
        <v>4</v>
      </c>
      <c r="O960" s="2">
        <v>16</v>
      </c>
      <c r="U960" s="2">
        <v>1</v>
      </c>
      <c r="V960" s="2">
        <v>62</v>
      </c>
      <c r="W960" s="2">
        <v>1</v>
      </c>
      <c r="X960" s="2">
        <v>31</v>
      </c>
      <c r="AA960" s="3" t="s">
        <v>57</v>
      </c>
      <c r="AB960" s="2">
        <v>2</v>
      </c>
      <c r="AF960" s="2">
        <v>23</v>
      </c>
      <c r="AG960" s="2">
        <v>1</v>
      </c>
      <c r="AH960" s="3" t="s">
        <v>655</v>
      </c>
      <c r="AI960" s="4">
        <v>44730</v>
      </c>
      <c r="AJ960" s="3" t="s">
        <v>1026</v>
      </c>
      <c r="AK960" s="3" t="s">
        <v>38</v>
      </c>
    </row>
    <row r="961" spans="1:37" hidden="1" x14ac:dyDescent="0.25">
      <c r="A961" t="str">
        <f t="shared" si="14"/>
        <v>2022_SA_Riverton_Lentil_DetailedTOS1VarietyHallmarkXTWaterTrtIrrigated</v>
      </c>
      <c r="B961" s="2">
        <v>2022006</v>
      </c>
      <c r="C961" s="3" t="s">
        <v>905</v>
      </c>
      <c r="D961" s="3" t="s">
        <v>38</v>
      </c>
      <c r="F961" s="3" t="s">
        <v>4189</v>
      </c>
      <c r="G961" s="3" t="s">
        <v>39</v>
      </c>
      <c r="H961" s="3" t="s">
        <v>250</v>
      </c>
      <c r="I961" s="2">
        <v>122</v>
      </c>
      <c r="J961" s="2">
        <v>61</v>
      </c>
      <c r="K961" s="2">
        <v>4</v>
      </c>
      <c r="O961" s="2">
        <v>16</v>
      </c>
      <c r="U961" s="2">
        <v>2</v>
      </c>
      <c r="V961" s="2">
        <v>62</v>
      </c>
      <c r="W961" s="2">
        <v>2</v>
      </c>
      <c r="X961" s="2">
        <v>31</v>
      </c>
      <c r="Z961" s="2">
        <v>122</v>
      </c>
      <c r="AA961" s="3" t="s">
        <v>57</v>
      </c>
      <c r="AB961" s="2">
        <v>2</v>
      </c>
      <c r="AF961" s="2">
        <v>23</v>
      </c>
      <c r="AG961" s="2">
        <v>1</v>
      </c>
      <c r="AH961" s="3" t="s">
        <v>655</v>
      </c>
      <c r="AI961" s="4">
        <v>44730</v>
      </c>
      <c r="AJ961" s="3" t="s">
        <v>1027</v>
      </c>
      <c r="AK961" s="3" t="s">
        <v>38</v>
      </c>
    </row>
    <row r="962" spans="1:37" hidden="1" x14ac:dyDescent="0.25">
      <c r="A962" t="str">
        <f t="shared" si="14"/>
        <v>2022_SA_Riverton_Lentil_DetailedTOS1VarietyBoltWaterTrtIrrigated</v>
      </c>
      <c r="B962" s="2">
        <v>2022006</v>
      </c>
      <c r="C962" s="3" t="s">
        <v>905</v>
      </c>
      <c r="D962" s="3" t="s">
        <v>38</v>
      </c>
      <c r="F962" s="3" t="s">
        <v>4187</v>
      </c>
      <c r="G962" s="3" t="s">
        <v>39</v>
      </c>
      <c r="H962" s="3" t="s">
        <v>253</v>
      </c>
      <c r="I962" s="2">
        <v>123</v>
      </c>
      <c r="J962" s="2">
        <v>62</v>
      </c>
      <c r="K962" s="2">
        <v>4</v>
      </c>
      <c r="O962" s="2">
        <v>16</v>
      </c>
      <c r="U962" s="2">
        <v>3</v>
      </c>
      <c r="V962" s="2">
        <v>62</v>
      </c>
      <c r="W962" s="2">
        <v>3</v>
      </c>
      <c r="X962" s="2">
        <v>31</v>
      </c>
      <c r="AA962" s="3" t="s">
        <v>57</v>
      </c>
      <c r="AB962" s="2">
        <v>1</v>
      </c>
      <c r="AF962" s="2">
        <v>23</v>
      </c>
      <c r="AG962" s="2">
        <v>1</v>
      </c>
      <c r="AH962" s="3" t="s">
        <v>655</v>
      </c>
      <c r="AI962" s="4">
        <v>44730</v>
      </c>
      <c r="AJ962" s="3" t="s">
        <v>1028</v>
      </c>
      <c r="AK962" s="3" t="s">
        <v>38</v>
      </c>
    </row>
    <row r="963" spans="1:37" hidden="1" x14ac:dyDescent="0.25">
      <c r="A963" t="str">
        <f t="shared" ref="A963:A1026" si="15">C963&amp;"TOS"&amp;AG963&amp;"Variety"&amp;F963&amp;"WaterTrt"&amp;AA963&amp;IF(AC963="","","Agronomy"&amp;AC963)</f>
        <v>2022_SA_Riverton_Lentil_DetailedTOS1VarietyBoltWaterTrtIrrigated</v>
      </c>
      <c r="B963" s="2">
        <v>2022006</v>
      </c>
      <c r="C963" s="3" t="s">
        <v>905</v>
      </c>
      <c r="D963" s="3" t="s">
        <v>38</v>
      </c>
      <c r="F963" s="3" t="s">
        <v>4187</v>
      </c>
      <c r="G963" s="3" t="s">
        <v>39</v>
      </c>
      <c r="H963" s="3" t="s">
        <v>250</v>
      </c>
      <c r="I963" s="2">
        <v>124</v>
      </c>
      <c r="J963" s="2">
        <v>62</v>
      </c>
      <c r="K963" s="2">
        <v>4</v>
      </c>
      <c r="O963" s="2">
        <v>16</v>
      </c>
      <c r="U963" s="2">
        <v>4</v>
      </c>
      <c r="V963" s="2">
        <v>62</v>
      </c>
      <c r="W963" s="2">
        <v>4</v>
      </c>
      <c r="X963" s="2">
        <v>31</v>
      </c>
      <c r="Z963" s="2">
        <v>124</v>
      </c>
      <c r="AA963" s="3" t="s">
        <v>57</v>
      </c>
      <c r="AB963" s="2">
        <v>1</v>
      </c>
      <c r="AF963" s="2">
        <v>23</v>
      </c>
      <c r="AG963" s="2">
        <v>1</v>
      </c>
      <c r="AH963" s="3" t="s">
        <v>655</v>
      </c>
      <c r="AI963" s="4">
        <v>44730</v>
      </c>
      <c r="AJ963" s="3" t="s">
        <v>1029</v>
      </c>
      <c r="AK963" s="3" t="s">
        <v>38</v>
      </c>
    </row>
    <row r="964" spans="1:37" hidden="1" x14ac:dyDescent="0.25">
      <c r="A964" t="str">
        <f t="shared" si="15"/>
        <v>2022_SA_Riverton_Lentil_DetailedTOS1VarietyKelpieXTWaterTrtIrrigated</v>
      </c>
      <c r="B964" s="2">
        <v>2022006</v>
      </c>
      <c r="C964" s="3" t="s">
        <v>905</v>
      </c>
      <c r="D964" s="3" t="s">
        <v>38</v>
      </c>
      <c r="F964" s="3" t="s">
        <v>4188</v>
      </c>
      <c r="G964" s="3" t="s">
        <v>43</v>
      </c>
      <c r="H964" s="3" t="s">
        <v>253</v>
      </c>
      <c r="I964" s="2">
        <v>125</v>
      </c>
      <c r="J964" s="2">
        <v>63</v>
      </c>
      <c r="K964" s="2">
        <v>4</v>
      </c>
      <c r="O964" s="2">
        <v>16</v>
      </c>
      <c r="U964" s="2">
        <v>1</v>
      </c>
      <c r="V964" s="2">
        <v>63</v>
      </c>
      <c r="W964" s="2">
        <v>1</v>
      </c>
      <c r="X964" s="2">
        <v>32</v>
      </c>
      <c r="AA964" s="3" t="s">
        <v>57</v>
      </c>
      <c r="AB964" s="2">
        <v>4</v>
      </c>
      <c r="AF964" s="2">
        <v>23</v>
      </c>
      <c r="AG964" s="2">
        <v>1</v>
      </c>
      <c r="AH964" s="3" t="s">
        <v>655</v>
      </c>
      <c r="AI964" s="4">
        <v>44730</v>
      </c>
      <c r="AJ964" s="3" t="s">
        <v>1030</v>
      </c>
      <c r="AK964" s="3" t="s">
        <v>38</v>
      </c>
    </row>
    <row r="965" spans="1:37" hidden="1" x14ac:dyDescent="0.25">
      <c r="A965" t="str">
        <f t="shared" si="15"/>
        <v>2022_SA_Riverton_Lentil_DetailedTOS1VarietyKelpieXTWaterTrtIrrigated</v>
      </c>
      <c r="B965" s="2">
        <v>2022006</v>
      </c>
      <c r="C965" s="3" t="s">
        <v>905</v>
      </c>
      <c r="D965" s="3" t="s">
        <v>38</v>
      </c>
      <c r="F965" s="3" t="s">
        <v>4188</v>
      </c>
      <c r="G965" s="3" t="s">
        <v>43</v>
      </c>
      <c r="H965" s="3" t="s">
        <v>250</v>
      </c>
      <c r="I965" s="2">
        <v>126</v>
      </c>
      <c r="J965" s="2">
        <v>63</v>
      </c>
      <c r="K965" s="2">
        <v>4</v>
      </c>
      <c r="O965" s="2">
        <v>16</v>
      </c>
      <c r="U965" s="2">
        <v>2</v>
      </c>
      <c r="V965" s="2">
        <v>63</v>
      </c>
      <c r="W965" s="2">
        <v>2</v>
      </c>
      <c r="X965" s="2">
        <v>32</v>
      </c>
      <c r="Z965" s="2">
        <v>127</v>
      </c>
      <c r="AA965" s="3" t="s">
        <v>57</v>
      </c>
      <c r="AB965" s="2">
        <v>4</v>
      </c>
      <c r="AF965" s="2">
        <v>23</v>
      </c>
      <c r="AG965" s="2">
        <v>1</v>
      </c>
      <c r="AH965" s="3" t="s">
        <v>655</v>
      </c>
      <c r="AI965" s="4">
        <v>44730</v>
      </c>
      <c r="AJ965" s="3" t="s">
        <v>1031</v>
      </c>
      <c r="AK965" s="3" t="s">
        <v>38</v>
      </c>
    </row>
    <row r="966" spans="1:37" hidden="1" x14ac:dyDescent="0.25">
      <c r="A966" t="str">
        <f t="shared" si="15"/>
        <v>2022_SA_Riverton_Lentil_DetailedTOS1VarietyJumbo2WaterTrtIrrigated</v>
      </c>
      <c r="B966" s="2">
        <v>2022006</v>
      </c>
      <c r="C966" s="3" t="s">
        <v>905</v>
      </c>
      <c r="D966" s="3" t="s">
        <v>38</v>
      </c>
      <c r="F966" s="3" t="s">
        <v>4176</v>
      </c>
      <c r="G966" s="3" t="s">
        <v>43</v>
      </c>
      <c r="H966" s="3" t="s">
        <v>253</v>
      </c>
      <c r="I966" s="2">
        <v>127</v>
      </c>
      <c r="J966" s="2">
        <v>64</v>
      </c>
      <c r="K966" s="2">
        <v>4</v>
      </c>
      <c r="O966" s="2">
        <v>16</v>
      </c>
      <c r="U966" s="2">
        <v>3</v>
      </c>
      <c r="V966" s="2">
        <v>63</v>
      </c>
      <c r="W966" s="2">
        <v>3</v>
      </c>
      <c r="X966" s="2">
        <v>32</v>
      </c>
      <c r="AA966" s="3" t="s">
        <v>57</v>
      </c>
      <c r="AB966" s="2">
        <v>3</v>
      </c>
      <c r="AF966" s="2">
        <v>23</v>
      </c>
      <c r="AG966" s="2">
        <v>1</v>
      </c>
      <c r="AH966" s="3" t="s">
        <v>655</v>
      </c>
      <c r="AI966" s="4">
        <v>44730</v>
      </c>
      <c r="AJ966" s="3" t="s">
        <v>1032</v>
      </c>
      <c r="AK966" s="3" t="s">
        <v>38</v>
      </c>
    </row>
    <row r="967" spans="1:37" hidden="1" x14ac:dyDescent="0.25">
      <c r="A967" t="str">
        <f t="shared" si="15"/>
        <v>2022_SA_Riverton_Lentil_DetailedTOS1VarietyJumbo2WaterTrtIrrigated</v>
      </c>
      <c r="B967" s="2">
        <v>2022006</v>
      </c>
      <c r="C967" s="3" t="s">
        <v>905</v>
      </c>
      <c r="D967" s="3" t="s">
        <v>38</v>
      </c>
      <c r="F967" s="3" t="s">
        <v>4176</v>
      </c>
      <c r="G967" s="3" t="s">
        <v>43</v>
      </c>
      <c r="H967" s="3" t="s">
        <v>250</v>
      </c>
      <c r="I967" s="2">
        <v>128</v>
      </c>
      <c r="J967" s="2">
        <v>64</v>
      </c>
      <c r="K967" s="2">
        <v>4</v>
      </c>
      <c r="O967" s="2">
        <v>16</v>
      </c>
      <c r="U967" s="2">
        <v>4</v>
      </c>
      <c r="V967" s="2">
        <v>63</v>
      </c>
      <c r="W967" s="2">
        <v>4</v>
      </c>
      <c r="X967" s="2">
        <v>32</v>
      </c>
      <c r="Z967" s="2">
        <v>125</v>
      </c>
      <c r="AA967" s="3" t="s">
        <v>57</v>
      </c>
      <c r="AB967" s="2">
        <v>3</v>
      </c>
      <c r="AF967" s="2">
        <v>23</v>
      </c>
      <c r="AG967" s="2">
        <v>1</v>
      </c>
      <c r="AH967" s="3" t="s">
        <v>655</v>
      </c>
      <c r="AI967" s="4">
        <v>44730</v>
      </c>
      <c r="AJ967" s="3" t="s">
        <v>1033</v>
      </c>
      <c r="AK967" s="3" t="s">
        <v>38</v>
      </c>
    </row>
    <row r="968" spans="1:37" hidden="1" x14ac:dyDescent="0.25">
      <c r="A968" t="str">
        <f t="shared" si="15"/>
        <v>2022_NSW_WaggaWagga_Lentil_DetailedTOS2VarietyHallmarkXTWaterTrtIrrigated</v>
      </c>
      <c r="B968" s="2">
        <v>2022007</v>
      </c>
      <c r="C968" s="3" t="s">
        <v>1034</v>
      </c>
      <c r="D968" s="3" t="s">
        <v>38</v>
      </c>
      <c r="F968" s="3" t="s">
        <v>4189</v>
      </c>
      <c r="G968" s="3" t="s">
        <v>39</v>
      </c>
      <c r="H968" s="3" t="s">
        <v>253</v>
      </c>
      <c r="I968" s="2">
        <v>1</v>
      </c>
      <c r="J968" s="2">
        <v>1</v>
      </c>
      <c r="K968" s="2">
        <v>1</v>
      </c>
      <c r="O968" s="2">
        <v>1</v>
      </c>
      <c r="U968" s="2">
        <v>1</v>
      </c>
      <c r="V968" s="2">
        <v>2</v>
      </c>
      <c r="W968" s="2">
        <v>1</v>
      </c>
      <c r="X968" s="2">
        <v>1</v>
      </c>
      <c r="AA968" s="3" t="s">
        <v>57</v>
      </c>
      <c r="AB968" s="2">
        <v>2</v>
      </c>
      <c r="AF968" s="2">
        <v>30</v>
      </c>
      <c r="AG968" s="2">
        <v>2</v>
      </c>
      <c r="AH968" s="3" t="s">
        <v>514</v>
      </c>
      <c r="AI968" s="4">
        <v>44727</v>
      </c>
      <c r="AJ968" s="3" t="s">
        <v>1035</v>
      </c>
      <c r="AK968" s="3" t="s">
        <v>38</v>
      </c>
    </row>
    <row r="969" spans="1:37" hidden="1" x14ac:dyDescent="0.25">
      <c r="A969" t="str">
        <f t="shared" si="15"/>
        <v>2022_NSW_WaggaWagga_Lentil_DetailedTOS2VarietyHallmarkXTWaterTrtIrrigated</v>
      </c>
      <c r="B969" s="2">
        <v>2022007</v>
      </c>
      <c r="C969" s="3" t="s">
        <v>1034</v>
      </c>
      <c r="D969" s="3" t="s">
        <v>38</v>
      </c>
      <c r="F969" s="3" t="s">
        <v>4189</v>
      </c>
      <c r="G969" s="3" t="s">
        <v>39</v>
      </c>
      <c r="H969" s="3" t="s">
        <v>250</v>
      </c>
      <c r="I969" s="2">
        <v>2</v>
      </c>
      <c r="J969" s="2">
        <v>1</v>
      </c>
      <c r="K969" s="2">
        <v>1</v>
      </c>
      <c r="O969" s="2">
        <v>1</v>
      </c>
      <c r="U969" s="2">
        <v>1</v>
      </c>
      <c r="V969" s="2">
        <v>3</v>
      </c>
      <c r="W969" s="2">
        <v>1</v>
      </c>
      <c r="X969" s="2">
        <v>2</v>
      </c>
      <c r="Z969" s="2">
        <v>1</v>
      </c>
      <c r="AA969" s="3" t="s">
        <v>57</v>
      </c>
      <c r="AB969" s="2">
        <v>2</v>
      </c>
      <c r="AF969" s="2">
        <v>30</v>
      </c>
      <c r="AG969" s="2">
        <v>2</v>
      </c>
      <c r="AH969" s="3" t="s">
        <v>514</v>
      </c>
      <c r="AI969" s="4">
        <v>44727</v>
      </c>
      <c r="AJ969" s="3" t="s">
        <v>1036</v>
      </c>
      <c r="AK969" s="3" t="s">
        <v>38</v>
      </c>
    </row>
    <row r="970" spans="1:37" hidden="1" x14ac:dyDescent="0.25">
      <c r="A970" t="str">
        <f t="shared" si="15"/>
        <v>2022_NSW_WaggaWagga_Lentil_DetailedTOS2VarietyJumbo2WaterTrtIrrigated</v>
      </c>
      <c r="B970" s="2">
        <v>2022007</v>
      </c>
      <c r="C970" s="3" t="s">
        <v>1034</v>
      </c>
      <c r="D970" s="3" t="s">
        <v>38</v>
      </c>
      <c r="F970" s="3" t="s">
        <v>4176</v>
      </c>
      <c r="G970" s="3" t="s">
        <v>43</v>
      </c>
      <c r="H970" s="3" t="s">
        <v>253</v>
      </c>
      <c r="I970" s="2">
        <v>3</v>
      </c>
      <c r="J970" s="2">
        <v>2</v>
      </c>
      <c r="K970" s="2">
        <v>1</v>
      </c>
      <c r="O970" s="2">
        <v>1</v>
      </c>
      <c r="U970" s="2">
        <v>2</v>
      </c>
      <c r="V970" s="2">
        <v>2</v>
      </c>
      <c r="W970" s="2">
        <v>2</v>
      </c>
      <c r="X970" s="2">
        <v>1</v>
      </c>
      <c r="AA970" s="3" t="s">
        <v>57</v>
      </c>
      <c r="AB970" s="2">
        <v>3</v>
      </c>
      <c r="AF970" s="2">
        <v>30</v>
      </c>
      <c r="AG970" s="2">
        <v>2</v>
      </c>
      <c r="AH970" s="3" t="s">
        <v>514</v>
      </c>
      <c r="AI970" s="4">
        <v>44727</v>
      </c>
      <c r="AJ970" s="3" t="s">
        <v>1037</v>
      </c>
      <c r="AK970" s="3" t="s">
        <v>38</v>
      </c>
    </row>
    <row r="971" spans="1:37" hidden="1" x14ac:dyDescent="0.25">
      <c r="A971" t="str">
        <f t="shared" si="15"/>
        <v>2022_NSW_WaggaWagga_Lentil_DetailedTOS2VarietyJumbo2WaterTrtIrrigated</v>
      </c>
      <c r="B971" s="2">
        <v>2022007</v>
      </c>
      <c r="C971" s="3" t="s">
        <v>1034</v>
      </c>
      <c r="D971" s="3" t="s">
        <v>38</v>
      </c>
      <c r="F971" s="3" t="s">
        <v>4176</v>
      </c>
      <c r="G971" s="3" t="s">
        <v>43</v>
      </c>
      <c r="H971" s="3" t="s">
        <v>250</v>
      </c>
      <c r="I971" s="2">
        <v>4</v>
      </c>
      <c r="J971" s="2">
        <v>2</v>
      </c>
      <c r="K971" s="2">
        <v>1</v>
      </c>
      <c r="O971" s="2">
        <v>1</v>
      </c>
      <c r="U971" s="2">
        <v>2</v>
      </c>
      <c r="V971" s="2">
        <v>3</v>
      </c>
      <c r="W971" s="2">
        <v>2</v>
      </c>
      <c r="X971" s="2">
        <v>2</v>
      </c>
      <c r="Z971" s="2">
        <v>2</v>
      </c>
      <c r="AA971" s="3" t="s">
        <v>57</v>
      </c>
      <c r="AB971" s="2">
        <v>3</v>
      </c>
      <c r="AF971" s="2">
        <v>30</v>
      </c>
      <c r="AG971" s="2">
        <v>2</v>
      </c>
      <c r="AH971" s="3" t="s">
        <v>514</v>
      </c>
      <c r="AI971" s="4">
        <v>44727</v>
      </c>
      <c r="AJ971" s="3" t="s">
        <v>1038</v>
      </c>
      <c r="AK971" s="3" t="s">
        <v>38</v>
      </c>
    </row>
    <row r="972" spans="1:37" hidden="1" x14ac:dyDescent="0.25">
      <c r="A972" t="str">
        <f t="shared" si="15"/>
        <v>2022_NSW_WaggaWagga_Lentil_DetailedTOS2VarietyBoltWaterTrtIrrigated</v>
      </c>
      <c r="B972" s="2">
        <v>2022007</v>
      </c>
      <c r="C972" s="3" t="s">
        <v>1034</v>
      </c>
      <c r="D972" s="3" t="s">
        <v>38</v>
      </c>
      <c r="F972" s="3" t="s">
        <v>4187</v>
      </c>
      <c r="G972" s="3" t="s">
        <v>39</v>
      </c>
      <c r="H972" s="3" t="s">
        <v>253</v>
      </c>
      <c r="I972" s="2">
        <v>5</v>
      </c>
      <c r="J972" s="2">
        <v>3</v>
      </c>
      <c r="K972" s="2">
        <v>1</v>
      </c>
      <c r="O972" s="2">
        <v>1</v>
      </c>
      <c r="U972" s="2">
        <v>3</v>
      </c>
      <c r="V972" s="2">
        <v>2</v>
      </c>
      <c r="W972" s="2">
        <v>3</v>
      </c>
      <c r="X972" s="2">
        <v>1</v>
      </c>
      <c r="AA972" s="3" t="s">
        <v>57</v>
      </c>
      <c r="AB972" s="2">
        <v>1</v>
      </c>
      <c r="AF972" s="2">
        <v>30</v>
      </c>
      <c r="AG972" s="2">
        <v>2</v>
      </c>
      <c r="AH972" s="3" t="s">
        <v>514</v>
      </c>
      <c r="AI972" s="4">
        <v>44727</v>
      </c>
      <c r="AJ972" s="3" t="s">
        <v>1039</v>
      </c>
      <c r="AK972" s="3" t="s">
        <v>38</v>
      </c>
    </row>
    <row r="973" spans="1:37" hidden="1" x14ac:dyDescent="0.25">
      <c r="A973" t="str">
        <f t="shared" si="15"/>
        <v>2022_NSW_WaggaWagga_Lentil_DetailedTOS2VarietyBoltWaterTrtIrrigated</v>
      </c>
      <c r="B973" s="2">
        <v>2022007</v>
      </c>
      <c r="C973" s="3" t="s">
        <v>1034</v>
      </c>
      <c r="D973" s="3" t="s">
        <v>38</v>
      </c>
      <c r="F973" s="3" t="s">
        <v>4187</v>
      </c>
      <c r="G973" s="3" t="s">
        <v>39</v>
      </c>
      <c r="H973" s="3" t="s">
        <v>250</v>
      </c>
      <c r="I973" s="2">
        <v>6</v>
      </c>
      <c r="J973" s="2">
        <v>3</v>
      </c>
      <c r="K973" s="2">
        <v>1</v>
      </c>
      <c r="O973" s="2">
        <v>1</v>
      </c>
      <c r="U973" s="2">
        <v>3</v>
      </c>
      <c r="V973" s="2">
        <v>3</v>
      </c>
      <c r="W973" s="2">
        <v>3</v>
      </c>
      <c r="X973" s="2">
        <v>2</v>
      </c>
      <c r="Z973" s="2">
        <v>3</v>
      </c>
      <c r="AA973" s="3" t="s">
        <v>57</v>
      </c>
      <c r="AB973" s="2">
        <v>1</v>
      </c>
      <c r="AF973" s="2">
        <v>30</v>
      </c>
      <c r="AG973" s="2">
        <v>2</v>
      </c>
      <c r="AH973" s="3" t="s">
        <v>514</v>
      </c>
      <c r="AI973" s="4">
        <v>44727</v>
      </c>
      <c r="AJ973" s="3" t="s">
        <v>1040</v>
      </c>
      <c r="AK973" s="3" t="s">
        <v>38</v>
      </c>
    </row>
    <row r="974" spans="1:37" hidden="1" x14ac:dyDescent="0.25">
      <c r="A974" t="str">
        <f t="shared" si="15"/>
        <v>2022_NSW_WaggaWagga_Lentil_DetailedTOS2VarietyKelpieXTWaterTrtIrrigated</v>
      </c>
      <c r="B974" s="2">
        <v>2022007</v>
      </c>
      <c r="C974" s="3" t="s">
        <v>1034</v>
      </c>
      <c r="D974" s="3" t="s">
        <v>38</v>
      </c>
      <c r="F974" s="3" t="s">
        <v>4188</v>
      </c>
      <c r="G974" s="3" t="s">
        <v>43</v>
      </c>
      <c r="H974" s="3" t="s">
        <v>253</v>
      </c>
      <c r="I974" s="2">
        <v>7</v>
      </c>
      <c r="J974" s="2">
        <v>4</v>
      </c>
      <c r="K974" s="2">
        <v>1</v>
      </c>
      <c r="O974" s="2">
        <v>1</v>
      </c>
      <c r="U974" s="2">
        <v>4</v>
      </c>
      <c r="V974" s="2">
        <v>2</v>
      </c>
      <c r="W974" s="2">
        <v>4</v>
      </c>
      <c r="X974" s="2">
        <v>1</v>
      </c>
      <c r="AA974" s="3" t="s">
        <v>57</v>
      </c>
      <c r="AB974" s="2">
        <v>4</v>
      </c>
      <c r="AF974" s="2">
        <v>30</v>
      </c>
      <c r="AG974" s="2">
        <v>2</v>
      </c>
      <c r="AH974" s="3" t="s">
        <v>514</v>
      </c>
      <c r="AI974" s="4">
        <v>44727</v>
      </c>
      <c r="AJ974" s="3" t="s">
        <v>1041</v>
      </c>
      <c r="AK974" s="3" t="s">
        <v>38</v>
      </c>
    </row>
    <row r="975" spans="1:37" hidden="1" x14ac:dyDescent="0.25">
      <c r="A975" t="str">
        <f t="shared" si="15"/>
        <v>2022_NSW_WaggaWagga_Lentil_DetailedTOS2VarietyKelpieXTWaterTrtIrrigated</v>
      </c>
      <c r="B975" s="2">
        <v>2022007</v>
      </c>
      <c r="C975" s="3" t="s">
        <v>1034</v>
      </c>
      <c r="D975" s="3" t="s">
        <v>38</v>
      </c>
      <c r="F975" s="3" t="s">
        <v>4188</v>
      </c>
      <c r="G975" s="3" t="s">
        <v>43</v>
      </c>
      <c r="H975" s="3" t="s">
        <v>250</v>
      </c>
      <c r="I975" s="2">
        <v>8</v>
      </c>
      <c r="J975" s="2">
        <v>4</v>
      </c>
      <c r="K975" s="2">
        <v>1</v>
      </c>
      <c r="O975" s="2">
        <v>1</v>
      </c>
      <c r="U975" s="2">
        <v>4</v>
      </c>
      <c r="V975" s="2">
        <v>3</v>
      </c>
      <c r="W975" s="2">
        <v>4</v>
      </c>
      <c r="X975" s="2">
        <v>2</v>
      </c>
      <c r="Z975" s="2">
        <v>4</v>
      </c>
      <c r="AA975" s="3" t="s">
        <v>57</v>
      </c>
      <c r="AB975" s="2">
        <v>4</v>
      </c>
      <c r="AF975" s="2">
        <v>30</v>
      </c>
      <c r="AG975" s="2">
        <v>2</v>
      </c>
      <c r="AH975" s="3" t="s">
        <v>514</v>
      </c>
      <c r="AI975" s="4">
        <v>44727</v>
      </c>
      <c r="AJ975" s="3" t="s">
        <v>1042</v>
      </c>
      <c r="AK975" s="3" t="s">
        <v>38</v>
      </c>
    </row>
    <row r="976" spans="1:37" hidden="1" x14ac:dyDescent="0.25">
      <c r="A976" t="str">
        <f t="shared" si="15"/>
        <v>2022_NSW_WaggaWagga_Lentil_DetailedTOS1VarietyKelpieXTWaterTrtIrrigated</v>
      </c>
      <c r="B976" s="2">
        <v>2022007</v>
      </c>
      <c r="C976" s="3" t="s">
        <v>1034</v>
      </c>
      <c r="D976" s="3" t="s">
        <v>38</v>
      </c>
      <c r="F976" s="3" t="s">
        <v>4188</v>
      </c>
      <c r="G976" s="3" t="s">
        <v>43</v>
      </c>
      <c r="H976" s="3" t="s">
        <v>253</v>
      </c>
      <c r="I976" s="2">
        <v>9</v>
      </c>
      <c r="J976" s="2">
        <v>5</v>
      </c>
      <c r="K976" s="2">
        <v>1</v>
      </c>
      <c r="O976" s="2">
        <v>2</v>
      </c>
      <c r="U976" s="2">
        <v>1</v>
      </c>
      <c r="V976" s="2">
        <v>6</v>
      </c>
      <c r="W976" s="2">
        <v>1</v>
      </c>
      <c r="X976" s="2">
        <v>3</v>
      </c>
      <c r="AA976" s="3" t="s">
        <v>57</v>
      </c>
      <c r="AB976" s="2">
        <v>4</v>
      </c>
      <c r="AF976" s="2">
        <v>30</v>
      </c>
      <c r="AG976" s="2">
        <v>1</v>
      </c>
      <c r="AH976" s="3" t="s">
        <v>523</v>
      </c>
      <c r="AI976" s="4">
        <v>44692</v>
      </c>
      <c r="AJ976" s="3" t="s">
        <v>1043</v>
      </c>
      <c r="AK976" s="3" t="s">
        <v>38</v>
      </c>
    </row>
    <row r="977" spans="1:37" hidden="1" x14ac:dyDescent="0.25">
      <c r="A977" t="str">
        <f t="shared" si="15"/>
        <v>2022_NSW_WaggaWagga_Lentil_DetailedTOS1VarietyKelpieXTWaterTrtIrrigated</v>
      </c>
      <c r="B977" s="2">
        <v>2022007</v>
      </c>
      <c r="C977" s="3" t="s">
        <v>1034</v>
      </c>
      <c r="D977" s="3" t="s">
        <v>38</v>
      </c>
      <c r="F977" s="3" t="s">
        <v>4188</v>
      </c>
      <c r="G977" s="3" t="s">
        <v>43</v>
      </c>
      <c r="H977" s="3" t="s">
        <v>250</v>
      </c>
      <c r="I977" s="2">
        <v>10</v>
      </c>
      <c r="J977" s="2">
        <v>5</v>
      </c>
      <c r="K977" s="2">
        <v>1</v>
      </c>
      <c r="O977" s="2">
        <v>2</v>
      </c>
      <c r="U977" s="2">
        <v>1</v>
      </c>
      <c r="V977" s="2">
        <v>7</v>
      </c>
      <c r="W977" s="2">
        <v>1</v>
      </c>
      <c r="X977" s="2">
        <v>4</v>
      </c>
      <c r="Z977" s="2">
        <v>16</v>
      </c>
      <c r="AA977" s="3" t="s">
        <v>57</v>
      </c>
      <c r="AB977" s="2">
        <v>4</v>
      </c>
      <c r="AF977" s="2">
        <v>30</v>
      </c>
      <c r="AG977" s="2">
        <v>1</v>
      </c>
      <c r="AH977" s="3" t="s">
        <v>523</v>
      </c>
      <c r="AI977" s="4">
        <v>44692</v>
      </c>
      <c r="AJ977" s="3" t="s">
        <v>1044</v>
      </c>
      <c r="AK977" s="3" t="s">
        <v>38</v>
      </c>
    </row>
    <row r="978" spans="1:37" hidden="1" x14ac:dyDescent="0.25">
      <c r="A978" t="str">
        <f t="shared" si="15"/>
        <v>2022_NSW_WaggaWagga_Lentil_DetailedTOS1VarietyHallmarkXTWaterTrtIrrigated</v>
      </c>
      <c r="B978" s="2">
        <v>2022007</v>
      </c>
      <c r="C978" s="3" t="s">
        <v>1034</v>
      </c>
      <c r="D978" s="3" t="s">
        <v>38</v>
      </c>
      <c r="F978" s="3" t="s">
        <v>4189</v>
      </c>
      <c r="G978" s="3" t="s">
        <v>39</v>
      </c>
      <c r="H978" s="3" t="s">
        <v>253</v>
      </c>
      <c r="I978" s="2">
        <v>11</v>
      </c>
      <c r="J978" s="2">
        <v>6</v>
      </c>
      <c r="K978" s="2">
        <v>1</v>
      </c>
      <c r="O978" s="2">
        <v>2</v>
      </c>
      <c r="U978" s="2">
        <v>2</v>
      </c>
      <c r="V978" s="2">
        <v>6</v>
      </c>
      <c r="W978" s="2">
        <v>2</v>
      </c>
      <c r="X978" s="2">
        <v>3</v>
      </c>
      <c r="AA978" s="3" t="s">
        <v>57</v>
      </c>
      <c r="AB978" s="2">
        <v>2</v>
      </c>
      <c r="AF978" s="2">
        <v>30</v>
      </c>
      <c r="AG978" s="2">
        <v>1</v>
      </c>
      <c r="AH978" s="3" t="s">
        <v>523</v>
      </c>
      <c r="AI978" s="4">
        <v>44692</v>
      </c>
      <c r="AJ978" s="3" t="s">
        <v>1045</v>
      </c>
      <c r="AK978" s="3" t="s">
        <v>38</v>
      </c>
    </row>
    <row r="979" spans="1:37" hidden="1" x14ac:dyDescent="0.25">
      <c r="A979" t="str">
        <f t="shared" si="15"/>
        <v>2022_NSW_WaggaWagga_Lentil_DetailedTOS1VarietyHallmarkXTWaterTrtIrrigated</v>
      </c>
      <c r="B979" s="2">
        <v>2022007</v>
      </c>
      <c r="C979" s="3" t="s">
        <v>1034</v>
      </c>
      <c r="D979" s="3" t="s">
        <v>38</v>
      </c>
      <c r="F979" s="3" t="s">
        <v>4189</v>
      </c>
      <c r="G979" s="3" t="s">
        <v>39</v>
      </c>
      <c r="H979" s="3" t="s">
        <v>250</v>
      </c>
      <c r="I979" s="2">
        <v>12</v>
      </c>
      <c r="J979" s="2">
        <v>6</v>
      </c>
      <c r="K979" s="2">
        <v>1</v>
      </c>
      <c r="O979" s="2">
        <v>2</v>
      </c>
      <c r="U979" s="2">
        <v>2</v>
      </c>
      <c r="V979" s="2">
        <v>7</v>
      </c>
      <c r="W979" s="2">
        <v>2</v>
      </c>
      <c r="X979" s="2">
        <v>4</v>
      </c>
      <c r="Z979" s="2">
        <v>15</v>
      </c>
      <c r="AA979" s="3" t="s">
        <v>57</v>
      </c>
      <c r="AB979" s="2">
        <v>2</v>
      </c>
      <c r="AF979" s="2">
        <v>30</v>
      </c>
      <c r="AG979" s="2">
        <v>1</v>
      </c>
      <c r="AH979" s="3" t="s">
        <v>523</v>
      </c>
      <c r="AI979" s="4">
        <v>44692</v>
      </c>
      <c r="AJ979" s="3" t="s">
        <v>1046</v>
      </c>
      <c r="AK979" s="3" t="s">
        <v>38</v>
      </c>
    </row>
    <row r="980" spans="1:37" hidden="1" x14ac:dyDescent="0.25">
      <c r="A980" t="str">
        <f t="shared" si="15"/>
        <v>2022_NSW_WaggaWagga_Lentil_DetailedTOS1VarietyJumbo2WaterTrtIrrigated</v>
      </c>
      <c r="B980" s="2">
        <v>2022007</v>
      </c>
      <c r="C980" s="3" t="s">
        <v>1034</v>
      </c>
      <c r="D980" s="3" t="s">
        <v>38</v>
      </c>
      <c r="F980" s="3" t="s">
        <v>4176</v>
      </c>
      <c r="G980" s="3" t="s">
        <v>43</v>
      </c>
      <c r="H980" s="3" t="s">
        <v>253</v>
      </c>
      <c r="I980" s="2">
        <v>13</v>
      </c>
      <c r="J980" s="2">
        <v>7</v>
      </c>
      <c r="K980" s="2">
        <v>1</v>
      </c>
      <c r="O980" s="2">
        <v>2</v>
      </c>
      <c r="U980" s="2">
        <v>3</v>
      </c>
      <c r="V980" s="2">
        <v>6</v>
      </c>
      <c r="W980" s="2">
        <v>3</v>
      </c>
      <c r="X980" s="2">
        <v>3</v>
      </c>
      <c r="AA980" s="3" t="s">
        <v>57</v>
      </c>
      <c r="AB980" s="2">
        <v>3</v>
      </c>
      <c r="AF980" s="2">
        <v>30</v>
      </c>
      <c r="AG980" s="2">
        <v>1</v>
      </c>
      <c r="AH980" s="3" t="s">
        <v>523</v>
      </c>
      <c r="AI980" s="4">
        <v>44692</v>
      </c>
      <c r="AJ980" s="3" t="s">
        <v>1047</v>
      </c>
      <c r="AK980" s="3" t="s">
        <v>38</v>
      </c>
    </row>
    <row r="981" spans="1:37" hidden="1" x14ac:dyDescent="0.25">
      <c r="A981" t="str">
        <f t="shared" si="15"/>
        <v>2022_NSW_WaggaWagga_Lentil_DetailedTOS1VarietyJumbo2WaterTrtIrrigated</v>
      </c>
      <c r="B981" s="2">
        <v>2022007</v>
      </c>
      <c r="C981" s="3" t="s">
        <v>1034</v>
      </c>
      <c r="D981" s="3" t="s">
        <v>38</v>
      </c>
      <c r="F981" s="3" t="s">
        <v>4176</v>
      </c>
      <c r="G981" s="3" t="s">
        <v>43</v>
      </c>
      <c r="H981" s="3" t="s">
        <v>250</v>
      </c>
      <c r="I981" s="2">
        <v>14</v>
      </c>
      <c r="J981" s="2">
        <v>7</v>
      </c>
      <c r="K981" s="2">
        <v>1</v>
      </c>
      <c r="O981" s="2">
        <v>2</v>
      </c>
      <c r="U981" s="2">
        <v>3</v>
      </c>
      <c r="V981" s="2">
        <v>7</v>
      </c>
      <c r="W981" s="2">
        <v>3</v>
      </c>
      <c r="X981" s="2">
        <v>4</v>
      </c>
      <c r="Z981" s="2">
        <v>14</v>
      </c>
      <c r="AA981" s="3" t="s">
        <v>57</v>
      </c>
      <c r="AB981" s="2">
        <v>3</v>
      </c>
      <c r="AF981" s="2">
        <v>30</v>
      </c>
      <c r="AG981" s="2">
        <v>1</v>
      </c>
      <c r="AH981" s="3" t="s">
        <v>523</v>
      </c>
      <c r="AI981" s="4">
        <v>44692</v>
      </c>
      <c r="AJ981" s="3" t="s">
        <v>1048</v>
      </c>
      <c r="AK981" s="3" t="s">
        <v>38</v>
      </c>
    </row>
    <row r="982" spans="1:37" x14ac:dyDescent="0.25">
      <c r="A982" t="str">
        <f t="shared" si="15"/>
        <v>2022_NSW_WaggaWagga_Lentil_DetailedTOS1VarietyBoltWaterTrtIrrigated</v>
      </c>
      <c r="B982" s="2">
        <v>2022007</v>
      </c>
      <c r="C982" s="3" t="s">
        <v>1034</v>
      </c>
      <c r="D982" s="3" t="s">
        <v>38</v>
      </c>
      <c r="F982" s="3" t="s">
        <v>4187</v>
      </c>
      <c r="G982" s="3" t="s">
        <v>39</v>
      </c>
      <c r="H982" s="3" t="s">
        <v>253</v>
      </c>
      <c r="I982" s="2">
        <v>15</v>
      </c>
      <c r="J982" s="2">
        <v>8</v>
      </c>
      <c r="K982" s="2">
        <v>1</v>
      </c>
      <c r="O982" s="2">
        <v>2</v>
      </c>
      <c r="U982" s="2">
        <v>4</v>
      </c>
      <c r="V982" s="2">
        <v>6</v>
      </c>
      <c r="W982" s="2">
        <v>4</v>
      </c>
      <c r="X982" s="2">
        <v>3</v>
      </c>
      <c r="AA982" s="3" t="s">
        <v>57</v>
      </c>
      <c r="AB982" s="2">
        <v>1</v>
      </c>
      <c r="AF982" s="2">
        <v>30</v>
      </c>
      <c r="AG982" s="2">
        <v>1</v>
      </c>
      <c r="AH982" s="3" t="s">
        <v>523</v>
      </c>
      <c r="AI982" s="4">
        <v>44692</v>
      </c>
      <c r="AJ982" s="3" t="s">
        <v>1049</v>
      </c>
      <c r="AK982" s="3" t="s">
        <v>38</v>
      </c>
    </row>
    <row r="983" spans="1:37" x14ac:dyDescent="0.25">
      <c r="A983" t="str">
        <f t="shared" si="15"/>
        <v>2022_NSW_WaggaWagga_Lentil_DetailedTOS1VarietyBoltWaterTrtIrrigated</v>
      </c>
      <c r="B983" s="2">
        <v>2022007</v>
      </c>
      <c r="C983" s="3" t="s">
        <v>1034</v>
      </c>
      <c r="D983" s="3" t="s">
        <v>38</v>
      </c>
      <c r="F983" s="3" t="s">
        <v>4187</v>
      </c>
      <c r="G983" s="3" t="s">
        <v>39</v>
      </c>
      <c r="H983" s="3" t="s">
        <v>250</v>
      </c>
      <c r="I983" s="2">
        <v>16</v>
      </c>
      <c r="J983" s="2">
        <v>8</v>
      </c>
      <c r="K983" s="2">
        <v>1</v>
      </c>
      <c r="O983" s="2">
        <v>2</v>
      </c>
      <c r="U983" s="2">
        <v>4</v>
      </c>
      <c r="V983" s="2">
        <v>7</v>
      </c>
      <c r="W983" s="2">
        <v>4</v>
      </c>
      <c r="X983" s="2">
        <v>4</v>
      </c>
      <c r="Z983" s="2">
        <v>13</v>
      </c>
      <c r="AA983" s="3" t="s">
        <v>57</v>
      </c>
      <c r="AB983" s="2">
        <v>1</v>
      </c>
      <c r="AF983" s="2">
        <v>30</v>
      </c>
      <c r="AG983" s="2">
        <v>1</v>
      </c>
      <c r="AH983" s="3" t="s">
        <v>523</v>
      </c>
      <c r="AI983" s="4">
        <v>44692</v>
      </c>
      <c r="AJ983" s="3" t="s">
        <v>1050</v>
      </c>
      <c r="AK983" s="3" t="s">
        <v>38</v>
      </c>
    </row>
    <row r="984" spans="1:37" hidden="1" x14ac:dyDescent="0.25">
      <c r="A984" t="str">
        <f t="shared" si="15"/>
        <v>2022_NSW_WaggaWagga_Lentil_DetailedTOS2VarietyKelpieXTWaterTrtIrrigated</v>
      </c>
      <c r="B984" s="2">
        <v>2022007</v>
      </c>
      <c r="C984" s="3" t="s">
        <v>1034</v>
      </c>
      <c r="D984" s="3" t="s">
        <v>38</v>
      </c>
      <c r="F984" s="3" t="s">
        <v>4188</v>
      </c>
      <c r="G984" s="3" t="s">
        <v>43</v>
      </c>
      <c r="H984" s="3" t="s">
        <v>253</v>
      </c>
      <c r="I984" s="2">
        <v>17</v>
      </c>
      <c r="J984" s="2">
        <v>9</v>
      </c>
      <c r="K984" s="2">
        <v>2</v>
      </c>
      <c r="O984" s="2">
        <v>3</v>
      </c>
      <c r="U984" s="2">
        <v>1</v>
      </c>
      <c r="V984" s="2">
        <v>10</v>
      </c>
      <c r="W984" s="2">
        <v>1</v>
      </c>
      <c r="X984" s="2">
        <v>5</v>
      </c>
      <c r="AA984" s="3" t="s">
        <v>57</v>
      </c>
      <c r="AB984" s="2">
        <v>4</v>
      </c>
      <c r="AF984" s="2">
        <v>30</v>
      </c>
      <c r="AG984" s="2">
        <v>2</v>
      </c>
      <c r="AH984" s="3" t="s">
        <v>514</v>
      </c>
      <c r="AI984" s="4">
        <v>44727</v>
      </c>
      <c r="AJ984" s="3" t="s">
        <v>1051</v>
      </c>
      <c r="AK984" s="3" t="s">
        <v>38</v>
      </c>
    </row>
    <row r="985" spans="1:37" hidden="1" x14ac:dyDescent="0.25">
      <c r="A985" t="str">
        <f t="shared" si="15"/>
        <v>2022_NSW_WaggaWagga_Lentil_DetailedTOS2VarietyKelpieXTWaterTrtIrrigated</v>
      </c>
      <c r="B985" s="2">
        <v>2022007</v>
      </c>
      <c r="C985" s="3" t="s">
        <v>1034</v>
      </c>
      <c r="D985" s="3" t="s">
        <v>38</v>
      </c>
      <c r="F985" s="3" t="s">
        <v>4188</v>
      </c>
      <c r="G985" s="3" t="s">
        <v>43</v>
      </c>
      <c r="H985" s="3" t="s">
        <v>250</v>
      </c>
      <c r="I985" s="2">
        <v>18</v>
      </c>
      <c r="J985" s="2">
        <v>9</v>
      </c>
      <c r="K985" s="2">
        <v>2</v>
      </c>
      <c r="O985" s="2">
        <v>3</v>
      </c>
      <c r="U985" s="2">
        <v>1</v>
      </c>
      <c r="V985" s="2">
        <v>11</v>
      </c>
      <c r="W985" s="2">
        <v>1</v>
      </c>
      <c r="X985" s="2">
        <v>6</v>
      </c>
      <c r="Z985" s="2">
        <v>17</v>
      </c>
      <c r="AA985" s="3" t="s">
        <v>57</v>
      </c>
      <c r="AB985" s="2">
        <v>4</v>
      </c>
      <c r="AF985" s="2">
        <v>30</v>
      </c>
      <c r="AG985" s="2">
        <v>2</v>
      </c>
      <c r="AH985" s="3" t="s">
        <v>514</v>
      </c>
      <c r="AI985" s="4">
        <v>44727</v>
      </c>
      <c r="AJ985" s="3" t="s">
        <v>1052</v>
      </c>
      <c r="AK985" s="3" t="s">
        <v>38</v>
      </c>
    </row>
    <row r="986" spans="1:37" hidden="1" x14ac:dyDescent="0.25">
      <c r="A986" t="str">
        <f t="shared" si="15"/>
        <v>2022_NSW_WaggaWagga_Lentil_DetailedTOS2VarietyBoltWaterTrtIrrigated</v>
      </c>
      <c r="B986" s="2">
        <v>2022007</v>
      </c>
      <c r="C986" s="3" t="s">
        <v>1034</v>
      </c>
      <c r="D986" s="3" t="s">
        <v>38</v>
      </c>
      <c r="F986" s="3" t="s">
        <v>4187</v>
      </c>
      <c r="G986" s="3" t="s">
        <v>39</v>
      </c>
      <c r="H986" s="3" t="s">
        <v>253</v>
      </c>
      <c r="I986" s="2">
        <v>19</v>
      </c>
      <c r="J986" s="2">
        <v>10</v>
      </c>
      <c r="K986" s="2">
        <v>2</v>
      </c>
      <c r="O986" s="2">
        <v>3</v>
      </c>
      <c r="U986" s="2">
        <v>2</v>
      </c>
      <c r="V986" s="2">
        <v>10</v>
      </c>
      <c r="W986" s="2">
        <v>2</v>
      </c>
      <c r="X986" s="2">
        <v>5</v>
      </c>
      <c r="AA986" s="3" t="s">
        <v>57</v>
      </c>
      <c r="AB986" s="2">
        <v>1</v>
      </c>
      <c r="AF986" s="2">
        <v>30</v>
      </c>
      <c r="AG986" s="2">
        <v>2</v>
      </c>
      <c r="AH986" s="3" t="s">
        <v>514</v>
      </c>
      <c r="AI986" s="4">
        <v>44727</v>
      </c>
      <c r="AJ986" s="3" t="s">
        <v>1053</v>
      </c>
      <c r="AK986" s="3" t="s">
        <v>38</v>
      </c>
    </row>
    <row r="987" spans="1:37" hidden="1" x14ac:dyDescent="0.25">
      <c r="A987" t="str">
        <f t="shared" si="15"/>
        <v>2022_NSW_WaggaWagga_Lentil_DetailedTOS2VarietyBoltWaterTrtIrrigated</v>
      </c>
      <c r="B987" s="2">
        <v>2022007</v>
      </c>
      <c r="C987" s="3" t="s">
        <v>1034</v>
      </c>
      <c r="D987" s="3" t="s">
        <v>38</v>
      </c>
      <c r="F987" s="3" t="s">
        <v>4187</v>
      </c>
      <c r="G987" s="3" t="s">
        <v>39</v>
      </c>
      <c r="H987" s="3" t="s">
        <v>250</v>
      </c>
      <c r="I987" s="2">
        <v>20</v>
      </c>
      <c r="J987" s="2">
        <v>10</v>
      </c>
      <c r="K987" s="2">
        <v>2</v>
      </c>
      <c r="O987" s="2">
        <v>3</v>
      </c>
      <c r="U987" s="2">
        <v>2</v>
      </c>
      <c r="V987" s="2">
        <v>11</v>
      </c>
      <c r="W987" s="2">
        <v>2</v>
      </c>
      <c r="X987" s="2">
        <v>6</v>
      </c>
      <c r="Z987" s="2">
        <v>18</v>
      </c>
      <c r="AA987" s="3" t="s">
        <v>57</v>
      </c>
      <c r="AB987" s="2">
        <v>1</v>
      </c>
      <c r="AF987" s="2">
        <v>30</v>
      </c>
      <c r="AG987" s="2">
        <v>2</v>
      </c>
      <c r="AH987" s="3" t="s">
        <v>514</v>
      </c>
      <c r="AI987" s="4">
        <v>44727</v>
      </c>
      <c r="AJ987" s="3" t="s">
        <v>1054</v>
      </c>
      <c r="AK987" s="3" t="s">
        <v>38</v>
      </c>
    </row>
    <row r="988" spans="1:37" hidden="1" x14ac:dyDescent="0.25">
      <c r="A988" t="str">
        <f t="shared" si="15"/>
        <v>2022_NSW_WaggaWagga_Lentil_DetailedTOS2VarietyHallmarkXTWaterTrtIrrigated</v>
      </c>
      <c r="B988" s="2">
        <v>2022007</v>
      </c>
      <c r="C988" s="3" t="s">
        <v>1034</v>
      </c>
      <c r="D988" s="3" t="s">
        <v>38</v>
      </c>
      <c r="F988" s="3" t="s">
        <v>4189</v>
      </c>
      <c r="G988" s="3" t="s">
        <v>39</v>
      </c>
      <c r="H988" s="3" t="s">
        <v>253</v>
      </c>
      <c r="I988" s="2">
        <v>21</v>
      </c>
      <c r="J988" s="2">
        <v>11</v>
      </c>
      <c r="K988" s="2">
        <v>2</v>
      </c>
      <c r="O988" s="2">
        <v>3</v>
      </c>
      <c r="U988" s="2">
        <v>3</v>
      </c>
      <c r="V988" s="2">
        <v>10</v>
      </c>
      <c r="W988" s="2">
        <v>3</v>
      </c>
      <c r="X988" s="2">
        <v>5</v>
      </c>
      <c r="AA988" s="3" t="s">
        <v>57</v>
      </c>
      <c r="AB988" s="2">
        <v>2</v>
      </c>
      <c r="AF988" s="2">
        <v>30</v>
      </c>
      <c r="AG988" s="2">
        <v>2</v>
      </c>
      <c r="AH988" s="3" t="s">
        <v>514</v>
      </c>
      <c r="AI988" s="4">
        <v>44727</v>
      </c>
      <c r="AJ988" s="3" t="s">
        <v>1055</v>
      </c>
      <c r="AK988" s="3" t="s">
        <v>38</v>
      </c>
    </row>
    <row r="989" spans="1:37" hidden="1" x14ac:dyDescent="0.25">
      <c r="A989" t="str">
        <f t="shared" si="15"/>
        <v>2022_NSW_WaggaWagga_Lentil_DetailedTOS2VarietyHallmarkXTWaterTrtIrrigated</v>
      </c>
      <c r="B989" s="2">
        <v>2022007</v>
      </c>
      <c r="C989" s="3" t="s">
        <v>1034</v>
      </c>
      <c r="D989" s="3" t="s">
        <v>38</v>
      </c>
      <c r="F989" s="3" t="s">
        <v>4189</v>
      </c>
      <c r="G989" s="3" t="s">
        <v>39</v>
      </c>
      <c r="H989" s="3" t="s">
        <v>250</v>
      </c>
      <c r="I989" s="2">
        <v>22</v>
      </c>
      <c r="J989" s="2">
        <v>11</v>
      </c>
      <c r="K989" s="2">
        <v>2</v>
      </c>
      <c r="O989" s="2">
        <v>3</v>
      </c>
      <c r="U989" s="2">
        <v>3</v>
      </c>
      <c r="V989" s="2">
        <v>11</v>
      </c>
      <c r="W989" s="2">
        <v>3</v>
      </c>
      <c r="X989" s="2">
        <v>6</v>
      </c>
      <c r="Z989" s="2">
        <v>19</v>
      </c>
      <c r="AA989" s="3" t="s">
        <v>57</v>
      </c>
      <c r="AB989" s="2">
        <v>2</v>
      </c>
      <c r="AF989" s="2">
        <v>30</v>
      </c>
      <c r="AG989" s="2">
        <v>2</v>
      </c>
      <c r="AH989" s="3" t="s">
        <v>514</v>
      </c>
      <c r="AI989" s="4">
        <v>44727</v>
      </c>
      <c r="AJ989" s="3" t="s">
        <v>1056</v>
      </c>
      <c r="AK989" s="3" t="s">
        <v>38</v>
      </c>
    </row>
    <row r="990" spans="1:37" hidden="1" x14ac:dyDescent="0.25">
      <c r="A990" t="str">
        <f t="shared" si="15"/>
        <v>2022_NSW_WaggaWagga_Lentil_DetailedTOS2VarietyJumbo2WaterTrtIrrigated</v>
      </c>
      <c r="B990" s="2">
        <v>2022007</v>
      </c>
      <c r="C990" s="3" t="s">
        <v>1034</v>
      </c>
      <c r="D990" s="3" t="s">
        <v>38</v>
      </c>
      <c r="F990" s="3" t="s">
        <v>4176</v>
      </c>
      <c r="G990" s="3" t="s">
        <v>43</v>
      </c>
      <c r="H990" s="3" t="s">
        <v>253</v>
      </c>
      <c r="I990" s="2">
        <v>23</v>
      </c>
      <c r="J990" s="2">
        <v>12</v>
      </c>
      <c r="K990" s="2">
        <v>2</v>
      </c>
      <c r="O990" s="2">
        <v>3</v>
      </c>
      <c r="U990" s="2">
        <v>4</v>
      </c>
      <c r="V990" s="2">
        <v>10</v>
      </c>
      <c r="W990" s="2">
        <v>4</v>
      </c>
      <c r="X990" s="2">
        <v>5</v>
      </c>
      <c r="AA990" s="3" t="s">
        <v>57</v>
      </c>
      <c r="AB990" s="2">
        <v>3</v>
      </c>
      <c r="AF990" s="2">
        <v>30</v>
      </c>
      <c r="AG990" s="2">
        <v>2</v>
      </c>
      <c r="AH990" s="3" t="s">
        <v>514</v>
      </c>
      <c r="AI990" s="4">
        <v>44727</v>
      </c>
      <c r="AJ990" s="3" t="s">
        <v>1057</v>
      </c>
      <c r="AK990" s="3" t="s">
        <v>38</v>
      </c>
    </row>
    <row r="991" spans="1:37" hidden="1" x14ac:dyDescent="0.25">
      <c r="A991" t="str">
        <f t="shared" si="15"/>
        <v>2022_NSW_WaggaWagga_Lentil_DetailedTOS2VarietyJumbo2WaterTrtIrrigated</v>
      </c>
      <c r="B991" s="2">
        <v>2022007</v>
      </c>
      <c r="C991" s="3" t="s">
        <v>1034</v>
      </c>
      <c r="D991" s="3" t="s">
        <v>38</v>
      </c>
      <c r="F991" s="3" t="s">
        <v>4176</v>
      </c>
      <c r="G991" s="3" t="s">
        <v>43</v>
      </c>
      <c r="H991" s="3" t="s">
        <v>250</v>
      </c>
      <c r="I991" s="2">
        <v>24</v>
      </c>
      <c r="J991" s="2">
        <v>12</v>
      </c>
      <c r="K991" s="2">
        <v>2</v>
      </c>
      <c r="O991" s="2">
        <v>3</v>
      </c>
      <c r="U991" s="2">
        <v>4</v>
      </c>
      <c r="V991" s="2">
        <v>11</v>
      </c>
      <c r="W991" s="2">
        <v>4</v>
      </c>
      <c r="X991" s="2">
        <v>6</v>
      </c>
      <c r="Z991" s="2">
        <v>20</v>
      </c>
      <c r="AA991" s="3" t="s">
        <v>57</v>
      </c>
      <c r="AB991" s="2">
        <v>3</v>
      </c>
      <c r="AF991" s="2">
        <v>30</v>
      </c>
      <c r="AG991" s="2">
        <v>2</v>
      </c>
      <c r="AH991" s="3" t="s">
        <v>514</v>
      </c>
      <c r="AI991" s="4">
        <v>44727</v>
      </c>
      <c r="AJ991" s="3" t="s">
        <v>1058</v>
      </c>
      <c r="AK991" s="3" t="s">
        <v>38</v>
      </c>
    </row>
    <row r="992" spans="1:37" hidden="1" x14ac:dyDescent="0.25">
      <c r="A992" t="str">
        <f t="shared" si="15"/>
        <v>2022_NSW_WaggaWagga_Lentil_DetailedTOS1VarietyJumbo2WaterTrtIrrigated</v>
      </c>
      <c r="B992" s="2">
        <v>2022007</v>
      </c>
      <c r="C992" s="3" t="s">
        <v>1034</v>
      </c>
      <c r="D992" s="3" t="s">
        <v>38</v>
      </c>
      <c r="F992" s="3" t="s">
        <v>4176</v>
      </c>
      <c r="G992" s="3" t="s">
        <v>43</v>
      </c>
      <c r="H992" s="3" t="s">
        <v>253</v>
      </c>
      <c r="I992" s="2">
        <v>25</v>
      </c>
      <c r="J992" s="2">
        <v>13</v>
      </c>
      <c r="K992" s="2">
        <v>2</v>
      </c>
      <c r="O992" s="2">
        <v>4</v>
      </c>
      <c r="U992" s="2">
        <v>1</v>
      </c>
      <c r="V992" s="2">
        <v>14</v>
      </c>
      <c r="W992" s="2">
        <v>1</v>
      </c>
      <c r="X992" s="2">
        <v>7</v>
      </c>
      <c r="AA992" s="3" t="s">
        <v>57</v>
      </c>
      <c r="AB992" s="2">
        <v>3</v>
      </c>
      <c r="AF992" s="2">
        <v>30</v>
      </c>
      <c r="AG992" s="2">
        <v>1</v>
      </c>
      <c r="AH992" s="3" t="s">
        <v>523</v>
      </c>
      <c r="AI992" s="4">
        <v>44692</v>
      </c>
      <c r="AJ992" s="3" t="s">
        <v>1059</v>
      </c>
      <c r="AK992" s="3" t="s">
        <v>38</v>
      </c>
    </row>
    <row r="993" spans="1:37" hidden="1" x14ac:dyDescent="0.25">
      <c r="A993" t="str">
        <f t="shared" si="15"/>
        <v>2022_NSW_WaggaWagga_Lentil_DetailedTOS1VarietyJumbo2WaterTrtIrrigated</v>
      </c>
      <c r="B993" s="2">
        <v>2022007</v>
      </c>
      <c r="C993" s="3" t="s">
        <v>1034</v>
      </c>
      <c r="D993" s="3" t="s">
        <v>38</v>
      </c>
      <c r="F993" s="3" t="s">
        <v>4176</v>
      </c>
      <c r="G993" s="3" t="s">
        <v>43</v>
      </c>
      <c r="H993" s="3" t="s">
        <v>250</v>
      </c>
      <c r="I993" s="2">
        <v>26</v>
      </c>
      <c r="J993" s="2">
        <v>13</v>
      </c>
      <c r="K993" s="2">
        <v>2</v>
      </c>
      <c r="O993" s="2">
        <v>4</v>
      </c>
      <c r="U993" s="2">
        <v>1</v>
      </c>
      <c r="V993" s="2">
        <v>15</v>
      </c>
      <c r="W993" s="2">
        <v>1</v>
      </c>
      <c r="X993" s="2">
        <v>8</v>
      </c>
      <c r="Z993" s="2">
        <v>32</v>
      </c>
      <c r="AA993" s="3" t="s">
        <v>57</v>
      </c>
      <c r="AB993" s="2">
        <v>3</v>
      </c>
      <c r="AF993" s="2">
        <v>30</v>
      </c>
      <c r="AG993" s="2">
        <v>1</v>
      </c>
      <c r="AH993" s="3" t="s">
        <v>523</v>
      </c>
      <c r="AI993" s="4">
        <v>44692</v>
      </c>
      <c r="AJ993" s="3" t="s">
        <v>1060</v>
      </c>
      <c r="AK993" s="3" t="s">
        <v>38</v>
      </c>
    </row>
    <row r="994" spans="1:37" hidden="1" x14ac:dyDescent="0.25">
      <c r="A994" t="str">
        <f t="shared" si="15"/>
        <v>2022_NSW_WaggaWagga_Lentil_DetailedTOS1VarietyKelpieXTWaterTrtIrrigated</v>
      </c>
      <c r="B994" s="2">
        <v>2022007</v>
      </c>
      <c r="C994" s="3" t="s">
        <v>1034</v>
      </c>
      <c r="D994" s="3" t="s">
        <v>38</v>
      </c>
      <c r="F994" s="3" t="s">
        <v>4188</v>
      </c>
      <c r="G994" s="3" t="s">
        <v>43</v>
      </c>
      <c r="H994" s="3" t="s">
        <v>253</v>
      </c>
      <c r="I994" s="2">
        <v>27</v>
      </c>
      <c r="J994" s="2">
        <v>14</v>
      </c>
      <c r="K994" s="2">
        <v>2</v>
      </c>
      <c r="O994" s="2">
        <v>4</v>
      </c>
      <c r="U994" s="2">
        <v>2</v>
      </c>
      <c r="V994" s="2">
        <v>14</v>
      </c>
      <c r="W994" s="2">
        <v>2</v>
      </c>
      <c r="X994" s="2">
        <v>7</v>
      </c>
      <c r="AA994" s="3" t="s">
        <v>57</v>
      </c>
      <c r="AB994" s="2">
        <v>4</v>
      </c>
      <c r="AF994" s="2">
        <v>30</v>
      </c>
      <c r="AG994" s="2">
        <v>1</v>
      </c>
      <c r="AH994" s="3" t="s">
        <v>523</v>
      </c>
      <c r="AI994" s="4">
        <v>44692</v>
      </c>
      <c r="AJ994" s="3" t="s">
        <v>1061</v>
      </c>
      <c r="AK994" s="3" t="s">
        <v>38</v>
      </c>
    </row>
    <row r="995" spans="1:37" hidden="1" x14ac:dyDescent="0.25">
      <c r="A995" t="str">
        <f t="shared" si="15"/>
        <v>2022_NSW_WaggaWagga_Lentil_DetailedTOS1VarietyKelpieXTWaterTrtIrrigated</v>
      </c>
      <c r="B995" s="2">
        <v>2022007</v>
      </c>
      <c r="C995" s="3" t="s">
        <v>1034</v>
      </c>
      <c r="D995" s="3" t="s">
        <v>38</v>
      </c>
      <c r="F995" s="3" t="s">
        <v>4188</v>
      </c>
      <c r="G995" s="3" t="s">
        <v>43</v>
      </c>
      <c r="H995" s="3" t="s">
        <v>250</v>
      </c>
      <c r="I995" s="2">
        <v>28</v>
      </c>
      <c r="J995" s="2">
        <v>14</v>
      </c>
      <c r="K995" s="2">
        <v>2</v>
      </c>
      <c r="O995" s="2">
        <v>4</v>
      </c>
      <c r="U995" s="2">
        <v>2</v>
      </c>
      <c r="V995" s="2">
        <v>15</v>
      </c>
      <c r="W995" s="2">
        <v>2</v>
      </c>
      <c r="X995" s="2">
        <v>8</v>
      </c>
      <c r="Z995" s="2">
        <v>31</v>
      </c>
      <c r="AA995" s="3" t="s">
        <v>57</v>
      </c>
      <c r="AB995" s="2">
        <v>4</v>
      </c>
      <c r="AF995" s="2">
        <v>30</v>
      </c>
      <c r="AG995" s="2">
        <v>1</v>
      </c>
      <c r="AH995" s="3" t="s">
        <v>523</v>
      </c>
      <c r="AI995" s="4">
        <v>44692</v>
      </c>
      <c r="AJ995" s="3" t="s">
        <v>1062</v>
      </c>
      <c r="AK995" s="3" t="s">
        <v>38</v>
      </c>
    </row>
    <row r="996" spans="1:37" hidden="1" x14ac:dyDescent="0.25">
      <c r="A996" t="str">
        <f t="shared" si="15"/>
        <v>2022_NSW_WaggaWagga_Lentil_DetailedTOS1VarietyBoltWaterTrtIrrigated</v>
      </c>
      <c r="B996" s="2">
        <v>2022007</v>
      </c>
      <c r="C996" s="3" t="s">
        <v>1034</v>
      </c>
      <c r="D996" s="3" t="s">
        <v>38</v>
      </c>
      <c r="F996" s="3" t="s">
        <v>4187</v>
      </c>
      <c r="G996" s="3" t="s">
        <v>39</v>
      </c>
      <c r="H996" s="3" t="s">
        <v>253</v>
      </c>
      <c r="I996" s="2">
        <v>29</v>
      </c>
      <c r="J996" s="2">
        <v>15</v>
      </c>
      <c r="K996" s="2">
        <v>2</v>
      </c>
      <c r="O996" s="2">
        <v>4</v>
      </c>
      <c r="U996" s="2">
        <v>3</v>
      </c>
      <c r="V996" s="2">
        <v>14</v>
      </c>
      <c r="W996" s="2">
        <v>3</v>
      </c>
      <c r="X996" s="2">
        <v>7</v>
      </c>
      <c r="AA996" s="3" t="s">
        <v>57</v>
      </c>
      <c r="AB996" s="2">
        <v>1</v>
      </c>
      <c r="AF996" s="2">
        <v>30</v>
      </c>
      <c r="AG996" s="2">
        <v>1</v>
      </c>
      <c r="AH996" s="3" t="s">
        <v>523</v>
      </c>
      <c r="AI996" s="4">
        <v>44692</v>
      </c>
      <c r="AJ996" s="3" t="s">
        <v>1063</v>
      </c>
      <c r="AK996" s="3" t="s">
        <v>38</v>
      </c>
    </row>
    <row r="997" spans="1:37" hidden="1" x14ac:dyDescent="0.25">
      <c r="A997" t="str">
        <f t="shared" si="15"/>
        <v>2022_NSW_WaggaWagga_Lentil_DetailedTOS1VarietyBoltWaterTrtIrrigated</v>
      </c>
      <c r="B997" s="2">
        <v>2022007</v>
      </c>
      <c r="C997" s="3" t="s">
        <v>1034</v>
      </c>
      <c r="D997" s="3" t="s">
        <v>38</v>
      </c>
      <c r="F997" s="3" t="s">
        <v>4187</v>
      </c>
      <c r="G997" s="3" t="s">
        <v>39</v>
      </c>
      <c r="H997" s="3" t="s">
        <v>250</v>
      </c>
      <c r="I997" s="2">
        <v>30</v>
      </c>
      <c r="J997" s="2">
        <v>15</v>
      </c>
      <c r="K997" s="2">
        <v>2</v>
      </c>
      <c r="O997" s="2">
        <v>4</v>
      </c>
      <c r="U997" s="2">
        <v>3</v>
      </c>
      <c r="V997" s="2">
        <v>15</v>
      </c>
      <c r="W997" s="2">
        <v>3</v>
      </c>
      <c r="X997" s="2">
        <v>8</v>
      </c>
      <c r="Z997" s="2">
        <v>30</v>
      </c>
      <c r="AA997" s="3" t="s">
        <v>57</v>
      </c>
      <c r="AB997" s="2">
        <v>1</v>
      </c>
      <c r="AF997" s="2">
        <v>30</v>
      </c>
      <c r="AG997" s="2">
        <v>1</v>
      </c>
      <c r="AH997" s="3" t="s">
        <v>523</v>
      </c>
      <c r="AI997" s="4">
        <v>44692</v>
      </c>
      <c r="AJ997" s="3" t="s">
        <v>1064</v>
      </c>
      <c r="AK997" s="3" t="s">
        <v>38</v>
      </c>
    </row>
    <row r="998" spans="1:37" hidden="1" x14ac:dyDescent="0.25">
      <c r="A998" t="str">
        <f t="shared" si="15"/>
        <v>2022_NSW_WaggaWagga_Lentil_DetailedTOS1VarietyHallmarkXTWaterTrtIrrigated</v>
      </c>
      <c r="B998" s="2">
        <v>2022007</v>
      </c>
      <c r="C998" s="3" t="s">
        <v>1034</v>
      </c>
      <c r="D998" s="3" t="s">
        <v>38</v>
      </c>
      <c r="F998" s="3" t="s">
        <v>4189</v>
      </c>
      <c r="G998" s="3" t="s">
        <v>39</v>
      </c>
      <c r="H998" s="3" t="s">
        <v>253</v>
      </c>
      <c r="I998" s="2">
        <v>31</v>
      </c>
      <c r="J998" s="2">
        <v>16</v>
      </c>
      <c r="K998" s="2">
        <v>2</v>
      </c>
      <c r="O998" s="2">
        <v>4</v>
      </c>
      <c r="U998" s="2">
        <v>4</v>
      </c>
      <c r="V998" s="2">
        <v>14</v>
      </c>
      <c r="W998" s="2">
        <v>4</v>
      </c>
      <c r="X998" s="2">
        <v>7</v>
      </c>
      <c r="AA998" s="3" t="s">
        <v>57</v>
      </c>
      <c r="AB998" s="2">
        <v>2</v>
      </c>
      <c r="AF998" s="2">
        <v>30</v>
      </c>
      <c r="AG998" s="2">
        <v>1</v>
      </c>
      <c r="AH998" s="3" t="s">
        <v>523</v>
      </c>
      <c r="AI998" s="4">
        <v>44692</v>
      </c>
      <c r="AJ998" s="3" t="s">
        <v>1065</v>
      </c>
      <c r="AK998" s="3" t="s">
        <v>38</v>
      </c>
    </row>
    <row r="999" spans="1:37" hidden="1" x14ac:dyDescent="0.25">
      <c r="A999" t="str">
        <f t="shared" si="15"/>
        <v>2022_NSW_WaggaWagga_Lentil_DetailedTOS1VarietyHallmarkXTWaterTrtIrrigated</v>
      </c>
      <c r="B999" s="2">
        <v>2022007</v>
      </c>
      <c r="C999" s="3" t="s">
        <v>1034</v>
      </c>
      <c r="D999" s="3" t="s">
        <v>38</v>
      </c>
      <c r="F999" s="3" t="s">
        <v>4189</v>
      </c>
      <c r="G999" s="3" t="s">
        <v>39</v>
      </c>
      <c r="H999" s="3" t="s">
        <v>250</v>
      </c>
      <c r="I999" s="2">
        <v>32</v>
      </c>
      <c r="J999" s="2">
        <v>16</v>
      </c>
      <c r="K999" s="2">
        <v>2</v>
      </c>
      <c r="O999" s="2">
        <v>4</v>
      </c>
      <c r="U999" s="2">
        <v>4</v>
      </c>
      <c r="V999" s="2">
        <v>15</v>
      </c>
      <c r="W999" s="2">
        <v>4</v>
      </c>
      <c r="X999" s="2">
        <v>8</v>
      </c>
      <c r="Z999" s="2">
        <v>29</v>
      </c>
      <c r="AA999" s="3" t="s">
        <v>57</v>
      </c>
      <c r="AB999" s="2">
        <v>2</v>
      </c>
      <c r="AF999" s="2">
        <v>30</v>
      </c>
      <c r="AG999" s="2">
        <v>1</v>
      </c>
      <c r="AH999" s="3" t="s">
        <v>523</v>
      </c>
      <c r="AI999" s="4">
        <v>44692</v>
      </c>
      <c r="AJ999" s="3" t="s">
        <v>1066</v>
      </c>
      <c r="AK999" s="3" t="s">
        <v>38</v>
      </c>
    </row>
    <row r="1000" spans="1:37" hidden="1" x14ac:dyDescent="0.25">
      <c r="A1000" t="str">
        <f t="shared" si="15"/>
        <v>2022_NSW_WaggaWagga_Lentil_DetailedTOS1VarietyBoltWaterTrtIrrigated</v>
      </c>
      <c r="B1000" s="2">
        <v>2022007</v>
      </c>
      <c r="C1000" s="3" t="s">
        <v>1034</v>
      </c>
      <c r="D1000" s="3" t="s">
        <v>38</v>
      </c>
      <c r="F1000" s="3" t="s">
        <v>4187</v>
      </c>
      <c r="G1000" s="3" t="s">
        <v>39</v>
      </c>
      <c r="H1000" s="3" t="s">
        <v>253</v>
      </c>
      <c r="I1000" s="2">
        <v>33</v>
      </c>
      <c r="J1000" s="2">
        <v>17</v>
      </c>
      <c r="K1000" s="2">
        <v>3</v>
      </c>
      <c r="O1000" s="2">
        <v>5</v>
      </c>
      <c r="U1000" s="2">
        <v>1</v>
      </c>
      <c r="V1000" s="2">
        <v>18</v>
      </c>
      <c r="W1000" s="2">
        <v>1</v>
      </c>
      <c r="X1000" s="2">
        <v>9</v>
      </c>
      <c r="AA1000" s="3" t="s">
        <v>57</v>
      </c>
      <c r="AB1000" s="2">
        <v>1</v>
      </c>
      <c r="AF1000" s="2">
        <v>30</v>
      </c>
      <c r="AG1000" s="2">
        <v>1</v>
      </c>
      <c r="AH1000" s="3" t="s">
        <v>523</v>
      </c>
      <c r="AI1000" s="4">
        <v>44692</v>
      </c>
      <c r="AJ1000" s="3" t="s">
        <v>1067</v>
      </c>
      <c r="AK1000" s="3" t="s">
        <v>38</v>
      </c>
    </row>
    <row r="1001" spans="1:37" hidden="1" x14ac:dyDescent="0.25">
      <c r="A1001" t="str">
        <f t="shared" si="15"/>
        <v>2022_NSW_WaggaWagga_Lentil_DetailedTOS1VarietyBoltWaterTrtIrrigated</v>
      </c>
      <c r="B1001" s="2">
        <v>2022007</v>
      </c>
      <c r="C1001" s="3" t="s">
        <v>1034</v>
      </c>
      <c r="D1001" s="3" t="s">
        <v>38</v>
      </c>
      <c r="F1001" s="3" t="s">
        <v>4187</v>
      </c>
      <c r="G1001" s="3" t="s">
        <v>39</v>
      </c>
      <c r="H1001" s="3" t="s">
        <v>250</v>
      </c>
      <c r="I1001" s="2">
        <v>34</v>
      </c>
      <c r="J1001" s="2">
        <v>17</v>
      </c>
      <c r="K1001" s="2">
        <v>3</v>
      </c>
      <c r="O1001" s="2">
        <v>5</v>
      </c>
      <c r="U1001" s="2">
        <v>1</v>
      </c>
      <c r="V1001" s="2">
        <v>19</v>
      </c>
      <c r="W1001" s="2">
        <v>1</v>
      </c>
      <c r="X1001" s="2">
        <v>10</v>
      </c>
      <c r="Z1001" s="2">
        <v>33</v>
      </c>
      <c r="AA1001" s="3" t="s">
        <v>57</v>
      </c>
      <c r="AB1001" s="2">
        <v>1</v>
      </c>
      <c r="AF1001" s="2">
        <v>30</v>
      </c>
      <c r="AG1001" s="2">
        <v>1</v>
      </c>
      <c r="AH1001" s="3" t="s">
        <v>523</v>
      </c>
      <c r="AI1001" s="4">
        <v>44692</v>
      </c>
      <c r="AJ1001" s="3" t="s">
        <v>1068</v>
      </c>
      <c r="AK1001" s="3" t="s">
        <v>38</v>
      </c>
    </row>
    <row r="1002" spans="1:37" hidden="1" x14ac:dyDescent="0.25">
      <c r="A1002" t="str">
        <f t="shared" si="15"/>
        <v>2022_NSW_WaggaWagga_Lentil_DetailedTOS1VarietyJumbo2WaterTrtIrrigated</v>
      </c>
      <c r="B1002" s="2">
        <v>2022007</v>
      </c>
      <c r="C1002" s="3" t="s">
        <v>1034</v>
      </c>
      <c r="D1002" s="3" t="s">
        <v>38</v>
      </c>
      <c r="F1002" s="3" t="s">
        <v>4176</v>
      </c>
      <c r="G1002" s="3" t="s">
        <v>43</v>
      </c>
      <c r="H1002" s="3" t="s">
        <v>253</v>
      </c>
      <c r="I1002" s="2">
        <v>35</v>
      </c>
      <c r="J1002" s="2">
        <v>18</v>
      </c>
      <c r="K1002" s="2">
        <v>3</v>
      </c>
      <c r="O1002" s="2">
        <v>5</v>
      </c>
      <c r="U1002" s="2">
        <v>2</v>
      </c>
      <c r="V1002" s="2">
        <v>18</v>
      </c>
      <c r="W1002" s="2">
        <v>2</v>
      </c>
      <c r="X1002" s="2">
        <v>9</v>
      </c>
      <c r="AA1002" s="3" t="s">
        <v>57</v>
      </c>
      <c r="AB1002" s="2">
        <v>3</v>
      </c>
      <c r="AF1002" s="2">
        <v>30</v>
      </c>
      <c r="AG1002" s="2">
        <v>1</v>
      </c>
      <c r="AH1002" s="3" t="s">
        <v>523</v>
      </c>
      <c r="AI1002" s="4">
        <v>44692</v>
      </c>
      <c r="AJ1002" s="3" t="s">
        <v>1069</v>
      </c>
      <c r="AK1002" s="3" t="s">
        <v>38</v>
      </c>
    </row>
    <row r="1003" spans="1:37" hidden="1" x14ac:dyDescent="0.25">
      <c r="A1003" t="str">
        <f t="shared" si="15"/>
        <v>2022_NSW_WaggaWagga_Lentil_DetailedTOS1VarietyJumbo2WaterTrtIrrigated</v>
      </c>
      <c r="B1003" s="2">
        <v>2022007</v>
      </c>
      <c r="C1003" s="3" t="s">
        <v>1034</v>
      </c>
      <c r="D1003" s="3" t="s">
        <v>38</v>
      </c>
      <c r="F1003" s="3" t="s">
        <v>4176</v>
      </c>
      <c r="G1003" s="3" t="s">
        <v>43</v>
      </c>
      <c r="H1003" s="3" t="s">
        <v>250</v>
      </c>
      <c r="I1003" s="2">
        <v>36</v>
      </c>
      <c r="J1003" s="2">
        <v>18</v>
      </c>
      <c r="K1003" s="2">
        <v>3</v>
      </c>
      <c r="O1003" s="2">
        <v>5</v>
      </c>
      <c r="U1003" s="2">
        <v>2</v>
      </c>
      <c r="V1003" s="2">
        <v>19</v>
      </c>
      <c r="W1003" s="2">
        <v>2</v>
      </c>
      <c r="X1003" s="2">
        <v>10</v>
      </c>
      <c r="Z1003" s="2">
        <v>34</v>
      </c>
      <c r="AA1003" s="3" t="s">
        <v>57</v>
      </c>
      <c r="AB1003" s="2">
        <v>3</v>
      </c>
      <c r="AF1003" s="2">
        <v>30</v>
      </c>
      <c r="AG1003" s="2">
        <v>1</v>
      </c>
      <c r="AH1003" s="3" t="s">
        <v>523</v>
      </c>
      <c r="AI1003" s="4">
        <v>44692</v>
      </c>
      <c r="AJ1003" s="3" t="s">
        <v>1070</v>
      </c>
      <c r="AK1003" s="3" t="s">
        <v>38</v>
      </c>
    </row>
    <row r="1004" spans="1:37" hidden="1" x14ac:dyDescent="0.25">
      <c r="A1004" t="str">
        <f t="shared" si="15"/>
        <v>2022_NSW_WaggaWagga_Lentil_DetailedTOS1VarietyHallmarkXTWaterTrtIrrigated</v>
      </c>
      <c r="B1004" s="2">
        <v>2022007</v>
      </c>
      <c r="C1004" s="3" t="s">
        <v>1034</v>
      </c>
      <c r="D1004" s="3" t="s">
        <v>38</v>
      </c>
      <c r="F1004" s="3" t="s">
        <v>4189</v>
      </c>
      <c r="G1004" s="3" t="s">
        <v>39</v>
      </c>
      <c r="H1004" s="3" t="s">
        <v>253</v>
      </c>
      <c r="I1004" s="2">
        <v>37</v>
      </c>
      <c r="J1004" s="2">
        <v>19</v>
      </c>
      <c r="K1004" s="2">
        <v>3</v>
      </c>
      <c r="O1004" s="2">
        <v>5</v>
      </c>
      <c r="U1004" s="2">
        <v>3</v>
      </c>
      <c r="V1004" s="2">
        <v>18</v>
      </c>
      <c r="W1004" s="2">
        <v>3</v>
      </c>
      <c r="X1004" s="2">
        <v>9</v>
      </c>
      <c r="AA1004" s="3" t="s">
        <v>57</v>
      </c>
      <c r="AB1004" s="2">
        <v>2</v>
      </c>
      <c r="AF1004" s="2">
        <v>30</v>
      </c>
      <c r="AG1004" s="2">
        <v>1</v>
      </c>
      <c r="AH1004" s="3" t="s">
        <v>523</v>
      </c>
      <c r="AI1004" s="4">
        <v>44692</v>
      </c>
      <c r="AJ1004" s="3" t="s">
        <v>1071</v>
      </c>
      <c r="AK1004" s="3" t="s">
        <v>38</v>
      </c>
    </row>
    <row r="1005" spans="1:37" hidden="1" x14ac:dyDescent="0.25">
      <c r="A1005" t="str">
        <f t="shared" si="15"/>
        <v>2022_NSW_WaggaWagga_Lentil_DetailedTOS1VarietyHallmarkXTWaterTrtIrrigated</v>
      </c>
      <c r="B1005" s="2">
        <v>2022007</v>
      </c>
      <c r="C1005" s="3" t="s">
        <v>1034</v>
      </c>
      <c r="D1005" s="3" t="s">
        <v>38</v>
      </c>
      <c r="F1005" s="3" t="s">
        <v>4189</v>
      </c>
      <c r="G1005" s="3" t="s">
        <v>39</v>
      </c>
      <c r="H1005" s="3" t="s">
        <v>250</v>
      </c>
      <c r="I1005" s="2">
        <v>38</v>
      </c>
      <c r="J1005" s="2">
        <v>19</v>
      </c>
      <c r="K1005" s="2">
        <v>3</v>
      </c>
      <c r="O1005" s="2">
        <v>5</v>
      </c>
      <c r="U1005" s="2">
        <v>3</v>
      </c>
      <c r="V1005" s="2">
        <v>19</v>
      </c>
      <c r="W1005" s="2">
        <v>3</v>
      </c>
      <c r="X1005" s="2">
        <v>10</v>
      </c>
      <c r="Z1005" s="2">
        <v>35</v>
      </c>
      <c r="AA1005" s="3" t="s">
        <v>57</v>
      </c>
      <c r="AB1005" s="2">
        <v>2</v>
      </c>
      <c r="AF1005" s="2">
        <v>30</v>
      </c>
      <c r="AG1005" s="2">
        <v>1</v>
      </c>
      <c r="AH1005" s="3" t="s">
        <v>523</v>
      </c>
      <c r="AI1005" s="4">
        <v>44692</v>
      </c>
      <c r="AJ1005" s="3" t="s">
        <v>1072</v>
      </c>
      <c r="AK1005" s="3" t="s">
        <v>38</v>
      </c>
    </row>
    <row r="1006" spans="1:37" hidden="1" x14ac:dyDescent="0.25">
      <c r="A1006" t="str">
        <f t="shared" si="15"/>
        <v>2022_NSW_WaggaWagga_Lentil_DetailedTOS1VarietyKelpieXTWaterTrtIrrigated</v>
      </c>
      <c r="B1006" s="2">
        <v>2022007</v>
      </c>
      <c r="C1006" s="3" t="s">
        <v>1034</v>
      </c>
      <c r="D1006" s="3" t="s">
        <v>38</v>
      </c>
      <c r="F1006" s="3" t="s">
        <v>4188</v>
      </c>
      <c r="G1006" s="3" t="s">
        <v>43</v>
      </c>
      <c r="H1006" s="3" t="s">
        <v>253</v>
      </c>
      <c r="I1006" s="2">
        <v>39</v>
      </c>
      <c r="J1006" s="2">
        <v>20</v>
      </c>
      <c r="K1006" s="2">
        <v>3</v>
      </c>
      <c r="O1006" s="2">
        <v>5</v>
      </c>
      <c r="U1006" s="2">
        <v>4</v>
      </c>
      <c r="V1006" s="2">
        <v>18</v>
      </c>
      <c r="W1006" s="2">
        <v>4</v>
      </c>
      <c r="X1006" s="2">
        <v>9</v>
      </c>
      <c r="AA1006" s="3" t="s">
        <v>57</v>
      </c>
      <c r="AB1006" s="2">
        <v>4</v>
      </c>
      <c r="AF1006" s="2">
        <v>30</v>
      </c>
      <c r="AG1006" s="2">
        <v>1</v>
      </c>
      <c r="AH1006" s="3" t="s">
        <v>523</v>
      </c>
      <c r="AI1006" s="4">
        <v>44692</v>
      </c>
      <c r="AJ1006" s="3" t="s">
        <v>1073</v>
      </c>
      <c r="AK1006" s="3" t="s">
        <v>38</v>
      </c>
    </row>
    <row r="1007" spans="1:37" hidden="1" x14ac:dyDescent="0.25">
      <c r="A1007" t="str">
        <f t="shared" si="15"/>
        <v>2022_NSW_WaggaWagga_Lentil_DetailedTOS1VarietyKelpieXTWaterTrtIrrigated</v>
      </c>
      <c r="B1007" s="2">
        <v>2022007</v>
      </c>
      <c r="C1007" s="3" t="s">
        <v>1034</v>
      </c>
      <c r="D1007" s="3" t="s">
        <v>38</v>
      </c>
      <c r="F1007" s="3" t="s">
        <v>4188</v>
      </c>
      <c r="G1007" s="3" t="s">
        <v>43</v>
      </c>
      <c r="H1007" s="3" t="s">
        <v>250</v>
      </c>
      <c r="I1007" s="2">
        <v>40</v>
      </c>
      <c r="J1007" s="2">
        <v>20</v>
      </c>
      <c r="K1007" s="2">
        <v>3</v>
      </c>
      <c r="O1007" s="2">
        <v>5</v>
      </c>
      <c r="U1007" s="2">
        <v>4</v>
      </c>
      <c r="V1007" s="2">
        <v>19</v>
      </c>
      <c r="W1007" s="2">
        <v>4</v>
      </c>
      <c r="X1007" s="2">
        <v>10</v>
      </c>
      <c r="Z1007" s="2">
        <v>36</v>
      </c>
      <c r="AA1007" s="3" t="s">
        <v>57</v>
      </c>
      <c r="AB1007" s="2">
        <v>4</v>
      </c>
      <c r="AF1007" s="2">
        <v>30</v>
      </c>
      <c r="AG1007" s="2">
        <v>1</v>
      </c>
      <c r="AH1007" s="3" t="s">
        <v>523</v>
      </c>
      <c r="AI1007" s="4">
        <v>44692</v>
      </c>
      <c r="AJ1007" s="3" t="s">
        <v>1074</v>
      </c>
      <c r="AK1007" s="3" t="s">
        <v>38</v>
      </c>
    </row>
    <row r="1008" spans="1:37" hidden="1" x14ac:dyDescent="0.25">
      <c r="A1008" t="str">
        <f t="shared" si="15"/>
        <v>2022_NSW_WaggaWagga_Lentil_DetailedTOS2VarietyJumbo2WaterTrtIrrigated</v>
      </c>
      <c r="B1008" s="2">
        <v>2022007</v>
      </c>
      <c r="C1008" s="3" t="s">
        <v>1034</v>
      </c>
      <c r="D1008" s="3" t="s">
        <v>38</v>
      </c>
      <c r="F1008" s="3" t="s">
        <v>4176</v>
      </c>
      <c r="G1008" s="3" t="s">
        <v>43</v>
      </c>
      <c r="H1008" s="3" t="s">
        <v>253</v>
      </c>
      <c r="I1008" s="2">
        <v>41</v>
      </c>
      <c r="J1008" s="2">
        <v>21</v>
      </c>
      <c r="K1008" s="2">
        <v>3</v>
      </c>
      <c r="O1008" s="2">
        <v>6</v>
      </c>
      <c r="U1008" s="2">
        <v>1</v>
      </c>
      <c r="V1008" s="2">
        <v>22</v>
      </c>
      <c r="W1008" s="2">
        <v>1</v>
      </c>
      <c r="X1008" s="2">
        <v>11</v>
      </c>
      <c r="AA1008" s="3" t="s">
        <v>57</v>
      </c>
      <c r="AB1008" s="2">
        <v>3</v>
      </c>
      <c r="AF1008" s="2">
        <v>30</v>
      </c>
      <c r="AG1008" s="2">
        <v>2</v>
      </c>
      <c r="AH1008" s="3" t="s">
        <v>514</v>
      </c>
      <c r="AI1008" s="4">
        <v>44727</v>
      </c>
      <c r="AJ1008" s="3" t="s">
        <v>1075</v>
      </c>
      <c r="AK1008" s="3" t="s">
        <v>38</v>
      </c>
    </row>
    <row r="1009" spans="1:37" hidden="1" x14ac:dyDescent="0.25">
      <c r="A1009" t="str">
        <f t="shared" si="15"/>
        <v>2022_NSW_WaggaWagga_Lentil_DetailedTOS2VarietyJumbo2WaterTrtIrrigated</v>
      </c>
      <c r="B1009" s="2">
        <v>2022007</v>
      </c>
      <c r="C1009" s="3" t="s">
        <v>1034</v>
      </c>
      <c r="D1009" s="3" t="s">
        <v>38</v>
      </c>
      <c r="F1009" s="3" t="s">
        <v>4176</v>
      </c>
      <c r="G1009" s="3" t="s">
        <v>43</v>
      </c>
      <c r="H1009" s="3" t="s">
        <v>250</v>
      </c>
      <c r="I1009" s="2">
        <v>42</v>
      </c>
      <c r="J1009" s="2">
        <v>21</v>
      </c>
      <c r="K1009" s="2">
        <v>3</v>
      </c>
      <c r="O1009" s="2">
        <v>6</v>
      </c>
      <c r="U1009" s="2">
        <v>1</v>
      </c>
      <c r="V1009" s="2">
        <v>23</v>
      </c>
      <c r="W1009" s="2">
        <v>1</v>
      </c>
      <c r="X1009" s="2">
        <v>12</v>
      </c>
      <c r="Z1009" s="2">
        <v>48</v>
      </c>
      <c r="AA1009" s="3" t="s">
        <v>57</v>
      </c>
      <c r="AB1009" s="2">
        <v>3</v>
      </c>
      <c r="AF1009" s="2">
        <v>30</v>
      </c>
      <c r="AG1009" s="2">
        <v>2</v>
      </c>
      <c r="AH1009" s="3" t="s">
        <v>514</v>
      </c>
      <c r="AI1009" s="4">
        <v>44727</v>
      </c>
      <c r="AJ1009" s="3" t="s">
        <v>1076</v>
      </c>
      <c r="AK1009" s="3" t="s">
        <v>38</v>
      </c>
    </row>
    <row r="1010" spans="1:37" hidden="1" x14ac:dyDescent="0.25">
      <c r="A1010" t="str">
        <f t="shared" si="15"/>
        <v>2022_NSW_WaggaWagga_Lentil_DetailedTOS2VarietyHallmarkXTWaterTrtIrrigated</v>
      </c>
      <c r="B1010" s="2">
        <v>2022007</v>
      </c>
      <c r="C1010" s="3" t="s">
        <v>1034</v>
      </c>
      <c r="D1010" s="3" t="s">
        <v>38</v>
      </c>
      <c r="F1010" s="3" t="s">
        <v>4189</v>
      </c>
      <c r="G1010" s="3" t="s">
        <v>39</v>
      </c>
      <c r="H1010" s="3" t="s">
        <v>253</v>
      </c>
      <c r="I1010" s="2">
        <v>43</v>
      </c>
      <c r="J1010" s="2">
        <v>22</v>
      </c>
      <c r="K1010" s="2">
        <v>3</v>
      </c>
      <c r="O1010" s="2">
        <v>6</v>
      </c>
      <c r="U1010" s="2">
        <v>2</v>
      </c>
      <c r="V1010" s="2">
        <v>22</v>
      </c>
      <c r="W1010" s="2">
        <v>2</v>
      </c>
      <c r="X1010" s="2">
        <v>11</v>
      </c>
      <c r="AA1010" s="3" t="s">
        <v>57</v>
      </c>
      <c r="AB1010" s="2">
        <v>2</v>
      </c>
      <c r="AF1010" s="2">
        <v>30</v>
      </c>
      <c r="AG1010" s="2">
        <v>2</v>
      </c>
      <c r="AH1010" s="3" t="s">
        <v>514</v>
      </c>
      <c r="AI1010" s="4">
        <v>44727</v>
      </c>
      <c r="AJ1010" s="3" t="s">
        <v>1077</v>
      </c>
      <c r="AK1010" s="3" t="s">
        <v>38</v>
      </c>
    </row>
    <row r="1011" spans="1:37" hidden="1" x14ac:dyDescent="0.25">
      <c r="A1011" t="str">
        <f t="shared" si="15"/>
        <v>2022_NSW_WaggaWagga_Lentil_DetailedTOS2VarietyHallmarkXTWaterTrtIrrigated</v>
      </c>
      <c r="B1011" s="2">
        <v>2022007</v>
      </c>
      <c r="C1011" s="3" t="s">
        <v>1034</v>
      </c>
      <c r="D1011" s="3" t="s">
        <v>38</v>
      </c>
      <c r="F1011" s="3" t="s">
        <v>4189</v>
      </c>
      <c r="G1011" s="3" t="s">
        <v>39</v>
      </c>
      <c r="H1011" s="3" t="s">
        <v>250</v>
      </c>
      <c r="I1011" s="2">
        <v>44</v>
      </c>
      <c r="J1011" s="2">
        <v>22</v>
      </c>
      <c r="K1011" s="2">
        <v>3</v>
      </c>
      <c r="O1011" s="2">
        <v>6</v>
      </c>
      <c r="U1011" s="2">
        <v>2</v>
      </c>
      <c r="V1011" s="2">
        <v>23</v>
      </c>
      <c r="W1011" s="2">
        <v>2</v>
      </c>
      <c r="X1011" s="2">
        <v>12</v>
      </c>
      <c r="Z1011" s="2">
        <v>47</v>
      </c>
      <c r="AA1011" s="3" t="s">
        <v>57</v>
      </c>
      <c r="AB1011" s="2">
        <v>2</v>
      </c>
      <c r="AF1011" s="2">
        <v>30</v>
      </c>
      <c r="AG1011" s="2">
        <v>2</v>
      </c>
      <c r="AH1011" s="3" t="s">
        <v>514</v>
      </c>
      <c r="AI1011" s="4">
        <v>44727</v>
      </c>
      <c r="AJ1011" s="3" t="s">
        <v>1078</v>
      </c>
      <c r="AK1011" s="3" t="s">
        <v>38</v>
      </c>
    </row>
    <row r="1012" spans="1:37" hidden="1" x14ac:dyDescent="0.25">
      <c r="A1012" t="str">
        <f t="shared" si="15"/>
        <v>2022_NSW_WaggaWagga_Lentil_DetailedTOS2VarietyKelpieXTWaterTrtIrrigated</v>
      </c>
      <c r="B1012" s="2">
        <v>2022007</v>
      </c>
      <c r="C1012" s="3" t="s">
        <v>1034</v>
      </c>
      <c r="D1012" s="3" t="s">
        <v>38</v>
      </c>
      <c r="F1012" s="3" t="s">
        <v>4188</v>
      </c>
      <c r="G1012" s="3" t="s">
        <v>43</v>
      </c>
      <c r="H1012" s="3" t="s">
        <v>253</v>
      </c>
      <c r="I1012" s="2">
        <v>45</v>
      </c>
      <c r="J1012" s="2">
        <v>23</v>
      </c>
      <c r="K1012" s="2">
        <v>3</v>
      </c>
      <c r="O1012" s="2">
        <v>6</v>
      </c>
      <c r="U1012" s="2">
        <v>3</v>
      </c>
      <c r="V1012" s="2">
        <v>22</v>
      </c>
      <c r="W1012" s="2">
        <v>3</v>
      </c>
      <c r="X1012" s="2">
        <v>11</v>
      </c>
      <c r="AA1012" s="3" t="s">
        <v>57</v>
      </c>
      <c r="AB1012" s="2">
        <v>4</v>
      </c>
      <c r="AF1012" s="2">
        <v>30</v>
      </c>
      <c r="AG1012" s="2">
        <v>2</v>
      </c>
      <c r="AH1012" s="3" t="s">
        <v>514</v>
      </c>
      <c r="AI1012" s="4">
        <v>44727</v>
      </c>
      <c r="AJ1012" s="3" t="s">
        <v>1079</v>
      </c>
      <c r="AK1012" s="3" t="s">
        <v>38</v>
      </c>
    </row>
    <row r="1013" spans="1:37" hidden="1" x14ac:dyDescent="0.25">
      <c r="A1013" t="str">
        <f t="shared" si="15"/>
        <v>2022_NSW_WaggaWagga_Lentil_DetailedTOS2VarietyKelpieXTWaterTrtIrrigated</v>
      </c>
      <c r="B1013" s="2">
        <v>2022007</v>
      </c>
      <c r="C1013" s="3" t="s">
        <v>1034</v>
      </c>
      <c r="D1013" s="3" t="s">
        <v>38</v>
      </c>
      <c r="F1013" s="3" t="s">
        <v>4188</v>
      </c>
      <c r="G1013" s="3" t="s">
        <v>43</v>
      </c>
      <c r="H1013" s="3" t="s">
        <v>250</v>
      </c>
      <c r="I1013" s="2">
        <v>46</v>
      </c>
      <c r="J1013" s="2">
        <v>23</v>
      </c>
      <c r="K1013" s="2">
        <v>3</v>
      </c>
      <c r="O1013" s="2">
        <v>6</v>
      </c>
      <c r="U1013" s="2">
        <v>3</v>
      </c>
      <c r="V1013" s="2">
        <v>23</v>
      </c>
      <c r="W1013" s="2">
        <v>3</v>
      </c>
      <c r="X1013" s="2">
        <v>12</v>
      </c>
      <c r="Z1013" s="2">
        <v>46</v>
      </c>
      <c r="AA1013" s="3" t="s">
        <v>57</v>
      </c>
      <c r="AB1013" s="2">
        <v>4</v>
      </c>
      <c r="AF1013" s="2">
        <v>30</v>
      </c>
      <c r="AG1013" s="2">
        <v>2</v>
      </c>
      <c r="AH1013" s="3" t="s">
        <v>514</v>
      </c>
      <c r="AI1013" s="4">
        <v>44727</v>
      </c>
      <c r="AJ1013" s="3" t="s">
        <v>1080</v>
      </c>
      <c r="AK1013" s="3" t="s">
        <v>38</v>
      </c>
    </row>
    <row r="1014" spans="1:37" hidden="1" x14ac:dyDescent="0.25">
      <c r="A1014" t="str">
        <f t="shared" si="15"/>
        <v>2022_NSW_WaggaWagga_Lentil_DetailedTOS2VarietyBoltWaterTrtIrrigated</v>
      </c>
      <c r="B1014" s="2">
        <v>2022007</v>
      </c>
      <c r="C1014" s="3" t="s">
        <v>1034</v>
      </c>
      <c r="D1014" s="3" t="s">
        <v>38</v>
      </c>
      <c r="F1014" s="3" t="s">
        <v>4187</v>
      </c>
      <c r="G1014" s="3" t="s">
        <v>39</v>
      </c>
      <c r="H1014" s="3" t="s">
        <v>253</v>
      </c>
      <c r="I1014" s="2">
        <v>47</v>
      </c>
      <c r="J1014" s="2">
        <v>24</v>
      </c>
      <c r="K1014" s="2">
        <v>3</v>
      </c>
      <c r="O1014" s="2">
        <v>6</v>
      </c>
      <c r="U1014" s="2">
        <v>4</v>
      </c>
      <c r="V1014" s="2">
        <v>22</v>
      </c>
      <c r="W1014" s="2">
        <v>4</v>
      </c>
      <c r="X1014" s="2">
        <v>11</v>
      </c>
      <c r="AA1014" s="3" t="s">
        <v>57</v>
      </c>
      <c r="AB1014" s="2">
        <v>1</v>
      </c>
      <c r="AF1014" s="2">
        <v>30</v>
      </c>
      <c r="AG1014" s="2">
        <v>2</v>
      </c>
      <c r="AH1014" s="3" t="s">
        <v>514</v>
      </c>
      <c r="AI1014" s="4">
        <v>44727</v>
      </c>
      <c r="AJ1014" s="3" t="s">
        <v>1081</v>
      </c>
      <c r="AK1014" s="3" t="s">
        <v>38</v>
      </c>
    </row>
    <row r="1015" spans="1:37" hidden="1" x14ac:dyDescent="0.25">
      <c r="A1015" t="str">
        <f t="shared" si="15"/>
        <v>2022_NSW_WaggaWagga_Lentil_DetailedTOS2VarietyBoltWaterTrtIrrigated</v>
      </c>
      <c r="B1015" s="2">
        <v>2022007</v>
      </c>
      <c r="C1015" s="3" t="s">
        <v>1034</v>
      </c>
      <c r="D1015" s="3" t="s">
        <v>38</v>
      </c>
      <c r="F1015" s="3" t="s">
        <v>4187</v>
      </c>
      <c r="G1015" s="3" t="s">
        <v>39</v>
      </c>
      <c r="H1015" s="3" t="s">
        <v>250</v>
      </c>
      <c r="I1015" s="2">
        <v>48</v>
      </c>
      <c r="J1015" s="2">
        <v>24</v>
      </c>
      <c r="K1015" s="2">
        <v>3</v>
      </c>
      <c r="O1015" s="2">
        <v>6</v>
      </c>
      <c r="U1015" s="2">
        <v>4</v>
      </c>
      <c r="V1015" s="2">
        <v>23</v>
      </c>
      <c r="W1015" s="2">
        <v>4</v>
      </c>
      <c r="X1015" s="2">
        <v>12</v>
      </c>
      <c r="Z1015" s="2">
        <v>45</v>
      </c>
      <c r="AA1015" s="3" t="s">
        <v>57</v>
      </c>
      <c r="AB1015" s="2">
        <v>1</v>
      </c>
      <c r="AF1015" s="2">
        <v>30</v>
      </c>
      <c r="AG1015" s="2">
        <v>2</v>
      </c>
      <c r="AH1015" s="3" t="s">
        <v>514</v>
      </c>
      <c r="AI1015" s="4">
        <v>44727</v>
      </c>
      <c r="AJ1015" s="3" t="s">
        <v>1082</v>
      </c>
      <c r="AK1015" s="3" t="s">
        <v>38</v>
      </c>
    </row>
    <row r="1016" spans="1:37" hidden="1" x14ac:dyDescent="0.25">
      <c r="A1016" t="str">
        <f t="shared" si="15"/>
        <v>2022_NSW_WaggaWagga_Lentil_DetailedTOS1VarietyHallmarkXTWaterTrtIrrigated</v>
      </c>
      <c r="B1016" s="2">
        <v>2022007</v>
      </c>
      <c r="C1016" s="3" t="s">
        <v>1034</v>
      </c>
      <c r="D1016" s="3" t="s">
        <v>38</v>
      </c>
      <c r="F1016" s="3" t="s">
        <v>4189</v>
      </c>
      <c r="G1016" s="3" t="s">
        <v>39</v>
      </c>
      <c r="H1016" s="3" t="s">
        <v>253</v>
      </c>
      <c r="I1016" s="2">
        <v>49</v>
      </c>
      <c r="J1016" s="2">
        <v>25</v>
      </c>
      <c r="K1016" s="2">
        <v>4</v>
      </c>
      <c r="O1016" s="2">
        <v>7</v>
      </c>
      <c r="U1016" s="2">
        <v>1</v>
      </c>
      <c r="V1016" s="2">
        <v>26</v>
      </c>
      <c r="W1016" s="2">
        <v>1</v>
      </c>
      <c r="X1016" s="2">
        <v>13</v>
      </c>
      <c r="AA1016" s="3" t="s">
        <v>57</v>
      </c>
      <c r="AB1016" s="2">
        <v>2</v>
      </c>
      <c r="AF1016" s="2">
        <v>30</v>
      </c>
      <c r="AG1016" s="2">
        <v>1</v>
      </c>
      <c r="AH1016" s="3" t="s">
        <v>523</v>
      </c>
      <c r="AI1016" s="4">
        <v>44692</v>
      </c>
      <c r="AJ1016" s="3" t="s">
        <v>1083</v>
      </c>
      <c r="AK1016" s="3" t="s">
        <v>38</v>
      </c>
    </row>
    <row r="1017" spans="1:37" hidden="1" x14ac:dyDescent="0.25">
      <c r="A1017" t="str">
        <f t="shared" si="15"/>
        <v>2022_NSW_WaggaWagga_Lentil_DetailedTOS1VarietyHallmarkXTWaterTrtIrrigated</v>
      </c>
      <c r="B1017" s="2">
        <v>2022007</v>
      </c>
      <c r="C1017" s="3" t="s">
        <v>1034</v>
      </c>
      <c r="D1017" s="3" t="s">
        <v>38</v>
      </c>
      <c r="F1017" s="3" t="s">
        <v>4189</v>
      </c>
      <c r="G1017" s="3" t="s">
        <v>39</v>
      </c>
      <c r="H1017" s="3" t="s">
        <v>250</v>
      </c>
      <c r="I1017" s="2">
        <v>50</v>
      </c>
      <c r="J1017" s="2">
        <v>25</v>
      </c>
      <c r="K1017" s="2">
        <v>4</v>
      </c>
      <c r="O1017" s="2">
        <v>7</v>
      </c>
      <c r="U1017" s="2">
        <v>1</v>
      </c>
      <c r="V1017" s="2">
        <v>27</v>
      </c>
      <c r="W1017" s="2">
        <v>1</v>
      </c>
      <c r="X1017" s="2">
        <v>14</v>
      </c>
      <c r="Z1017" s="2">
        <v>49</v>
      </c>
      <c r="AA1017" s="3" t="s">
        <v>57</v>
      </c>
      <c r="AB1017" s="2">
        <v>2</v>
      </c>
      <c r="AF1017" s="2">
        <v>30</v>
      </c>
      <c r="AG1017" s="2">
        <v>1</v>
      </c>
      <c r="AH1017" s="3" t="s">
        <v>523</v>
      </c>
      <c r="AI1017" s="4">
        <v>44692</v>
      </c>
      <c r="AJ1017" s="3" t="s">
        <v>1084</v>
      </c>
      <c r="AK1017" s="3" t="s">
        <v>38</v>
      </c>
    </row>
    <row r="1018" spans="1:37" hidden="1" x14ac:dyDescent="0.25">
      <c r="A1018" t="str">
        <f t="shared" si="15"/>
        <v>2022_NSW_WaggaWagga_Lentil_DetailedTOS1VarietyBoltWaterTrtIrrigated</v>
      </c>
      <c r="B1018" s="2">
        <v>2022007</v>
      </c>
      <c r="C1018" s="3" t="s">
        <v>1034</v>
      </c>
      <c r="D1018" s="3" t="s">
        <v>38</v>
      </c>
      <c r="F1018" s="3" t="s">
        <v>4187</v>
      </c>
      <c r="G1018" s="3" t="s">
        <v>39</v>
      </c>
      <c r="H1018" s="3" t="s">
        <v>253</v>
      </c>
      <c r="I1018" s="2">
        <v>51</v>
      </c>
      <c r="J1018" s="2">
        <v>26</v>
      </c>
      <c r="K1018" s="2">
        <v>4</v>
      </c>
      <c r="O1018" s="2">
        <v>7</v>
      </c>
      <c r="U1018" s="2">
        <v>2</v>
      </c>
      <c r="V1018" s="2">
        <v>26</v>
      </c>
      <c r="W1018" s="2">
        <v>2</v>
      </c>
      <c r="X1018" s="2">
        <v>13</v>
      </c>
      <c r="AA1018" s="3" t="s">
        <v>57</v>
      </c>
      <c r="AB1018" s="2">
        <v>1</v>
      </c>
      <c r="AF1018" s="2">
        <v>30</v>
      </c>
      <c r="AG1018" s="2">
        <v>1</v>
      </c>
      <c r="AH1018" s="3" t="s">
        <v>523</v>
      </c>
      <c r="AI1018" s="4">
        <v>44692</v>
      </c>
      <c r="AJ1018" s="3" t="s">
        <v>1085</v>
      </c>
      <c r="AK1018" s="3" t="s">
        <v>38</v>
      </c>
    </row>
    <row r="1019" spans="1:37" hidden="1" x14ac:dyDescent="0.25">
      <c r="A1019" t="str">
        <f t="shared" si="15"/>
        <v>2022_NSW_WaggaWagga_Lentil_DetailedTOS1VarietyBoltWaterTrtIrrigated</v>
      </c>
      <c r="B1019" s="2">
        <v>2022007</v>
      </c>
      <c r="C1019" s="3" t="s">
        <v>1034</v>
      </c>
      <c r="D1019" s="3" t="s">
        <v>38</v>
      </c>
      <c r="F1019" s="3" t="s">
        <v>4187</v>
      </c>
      <c r="G1019" s="3" t="s">
        <v>39</v>
      </c>
      <c r="H1019" s="3" t="s">
        <v>250</v>
      </c>
      <c r="I1019" s="2">
        <v>52</v>
      </c>
      <c r="J1019" s="2">
        <v>26</v>
      </c>
      <c r="K1019" s="2">
        <v>4</v>
      </c>
      <c r="O1019" s="2">
        <v>7</v>
      </c>
      <c r="U1019" s="2">
        <v>2</v>
      </c>
      <c r="V1019" s="2">
        <v>27</v>
      </c>
      <c r="W1019" s="2">
        <v>2</v>
      </c>
      <c r="X1019" s="2">
        <v>14</v>
      </c>
      <c r="Z1019" s="2">
        <v>50</v>
      </c>
      <c r="AA1019" s="3" t="s">
        <v>57</v>
      </c>
      <c r="AB1019" s="2">
        <v>1</v>
      </c>
      <c r="AF1019" s="2">
        <v>30</v>
      </c>
      <c r="AG1019" s="2">
        <v>1</v>
      </c>
      <c r="AH1019" s="3" t="s">
        <v>523</v>
      </c>
      <c r="AI1019" s="4">
        <v>44692</v>
      </c>
      <c r="AJ1019" s="3" t="s">
        <v>1086</v>
      </c>
      <c r="AK1019" s="3" t="s">
        <v>38</v>
      </c>
    </row>
    <row r="1020" spans="1:37" hidden="1" x14ac:dyDescent="0.25">
      <c r="A1020" t="str">
        <f t="shared" si="15"/>
        <v>2022_NSW_WaggaWagga_Lentil_DetailedTOS1VarietyKelpieXTWaterTrtIrrigated</v>
      </c>
      <c r="B1020" s="2">
        <v>2022007</v>
      </c>
      <c r="C1020" s="3" t="s">
        <v>1034</v>
      </c>
      <c r="D1020" s="3" t="s">
        <v>38</v>
      </c>
      <c r="F1020" s="3" t="s">
        <v>4188</v>
      </c>
      <c r="G1020" s="3" t="s">
        <v>43</v>
      </c>
      <c r="H1020" s="3" t="s">
        <v>253</v>
      </c>
      <c r="I1020" s="2">
        <v>53</v>
      </c>
      <c r="J1020" s="2">
        <v>27</v>
      </c>
      <c r="K1020" s="2">
        <v>4</v>
      </c>
      <c r="O1020" s="2">
        <v>7</v>
      </c>
      <c r="U1020" s="2">
        <v>3</v>
      </c>
      <c r="V1020" s="2">
        <v>26</v>
      </c>
      <c r="W1020" s="2">
        <v>3</v>
      </c>
      <c r="X1020" s="2">
        <v>13</v>
      </c>
      <c r="AA1020" s="3" t="s">
        <v>57</v>
      </c>
      <c r="AB1020" s="2">
        <v>4</v>
      </c>
      <c r="AF1020" s="2">
        <v>30</v>
      </c>
      <c r="AG1020" s="2">
        <v>1</v>
      </c>
      <c r="AH1020" s="3" t="s">
        <v>523</v>
      </c>
      <c r="AI1020" s="4">
        <v>44692</v>
      </c>
      <c r="AJ1020" s="3" t="s">
        <v>1087</v>
      </c>
      <c r="AK1020" s="3" t="s">
        <v>38</v>
      </c>
    </row>
    <row r="1021" spans="1:37" hidden="1" x14ac:dyDescent="0.25">
      <c r="A1021" t="str">
        <f t="shared" si="15"/>
        <v>2022_NSW_WaggaWagga_Lentil_DetailedTOS1VarietyKelpieXTWaterTrtIrrigated</v>
      </c>
      <c r="B1021" s="2">
        <v>2022007</v>
      </c>
      <c r="C1021" s="3" t="s">
        <v>1034</v>
      </c>
      <c r="D1021" s="3" t="s">
        <v>38</v>
      </c>
      <c r="F1021" s="3" t="s">
        <v>4188</v>
      </c>
      <c r="G1021" s="3" t="s">
        <v>43</v>
      </c>
      <c r="H1021" s="3" t="s">
        <v>250</v>
      </c>
      <c r="I1021" s="2">
        <v>54</v>
      </c>
      <c r="J1021" s="2">
        <v>27</v>
      </c>
      <c r="K1021" s="2">
        <v>4</v>
      </c>
      <c r="O1021" s="2">
        <v>7</v>
      </c>
      <c r="U1021" s="2">
        <v>3</v>
      </c>
      <c r="V1021" s="2">
        <v>27</v>
      </c>
      <c r="W1021" s="2">
        <v>3</v>
      </c>
      <c r="X1021" s="2">
        <v>14</v>
      </c>
      <c r="Z1021" s="2">
        <v>51</v>
      </c>
      <c r="AA1021" s="3" t="s">
        <v>57</v>
      </c>
      <c r="AB1021" s="2">
        <v>4</v>
      </c>
      <c r="AF1021" s="2">
        <v>30</v>
      </c>
      <c r="AG1021" s="2">
        <v>1</v>
      </c>
      <c r="AH1021" s="3" t="s">
        <v>523</v>
      </c>
      <c r="AI1021" s="4">
        <v>44692</v>
      </c>
      <c r="AJ1021" s="3" t="s">
        <v>1088</v>
      </c>
      <c r="AK1021" s="3" t="s">
        <v>38</v>
      </c>
    </row>
    <row r="1022" spans="1:37" hidden="1" x14ac:dyDescent="0.25">
      <c r="A1022" t="str">
        <f t="shared" si="15"/>
        <v>2022_NSW_WaggaWagga_Lentil_DetailedTOS1VarietyJumbo2WaterTrtIrrigated</v>
      </c>
      <c r="B1022" s="2">
        <v>2022007</v>
      </c>
      <c r="C1022" s="3" t="s">
        <v>1034</v>
      </c>
      <c r="D1022" s="3" t="s">
        <v>38</v>
      </c>
      <c r="F1022" s="3" t="s">
        <v>4176</v>
      </c>
      <c r="G1022" s="3" t="s">
        <v>43</v>
      </c>
      <c r="H1022" s="3" t="s">
        <v>253</v>
      </c>
      <c r="I1022" s="2">
        <v>55</v>
      </c>
      <c r="J1022" s="2">
        <v>28</v>
      </c>
      <c r="K1022" s="2">
        <v>4</v>
      </c>
      <c r="O1022" s="2">
        <v>7</v>
      </c>
      <c r="U1022" s="2">
        <v>4</v>
      </c>
      <c r="V1022" s="2">
        <v>26</v>
      </c>
      <c r="W1022" s="2">
        <v>4</v>
      </c>
      <c r="X1022" s="2">
        <v>13</v>
      </c>
      <c r="AA1022" s="3" t="s">
        <v>57</v>
      </c>
      <c r="AB1022" s="2">
        <v>3</v>
      </c>
      <c r="AF1022" s="2">
        <v>30</v>
      </c>
      <c r="AG1022" s="2">
        <v>1</v>
      </c>
      <c r="AH1022" s="3" t="s">
        <v>523</v>
      </c>
      <c r="AI1022" s="4">
        <v>44692</v>
      </c>
      <c r="AJ1022" s="3" t="s">
        <v>1089</v>
      </c>
      <c r="AK1022" s="3" t="s">
        <v>38</v>
      </c>
    </row>
    <row r="1023" spans="1:37" hidden="1" x14ac:dyDescent="0.25">
      <c r="A1023" t="str">
        <f t="shared" si="15"/>
        <v>2022_NSW_WaggaWagga_Lentil_DetailedTOS1VarietyJumbo2WaterTrtIrrigated</v>
      </c>
      <c r="B1023" s="2">
        <v>2022007</v>
      </c>
      <c r="C1023" s="3" t="s">
        <v>1034</v>
      </c>
      <c r="D1023" s="3" t="s">
        <v>38</v>
      </c>
      <c r="F1023" s="3" t="s">
        <v>4176</v>
      </c>
      <c r="G1023" s="3" t="s">
        <v>43</v>
      </c>
      <c r="H1023" s="3" t="s">
        <v>250</v>
      </c>
      <c r="I1023" s="2">
        <v>56</v>
      </c>
      <c r="J1023" s="2">
        <v>28</v>
      </c>
      <c r="K1023" s="2">
        <v>4</v>
      </c>
      <c r="O1023" s="2">
        <v>7</v>
      </c>
      <c r="U1023" s="2">
        <v>4</v>
      </c>
      <c r="V1023" s="2">
        <v>27</v>
      </c>
      <c r="W1023" s="2">
        <v>4</v>
      </c>
      <c r="X1023" s="2">
        <v>14</v>
      </c>
      <c r="Z1023" s="2">
        <v>52</v>
      </c>
      <c r="AA1023" s="3" t="s">
        <v>57</v>
      </c>
      <c r="AB1023" s="2">
        <v>3</v>
      </c>
      <c r="AF1023" s="2">
        <v>30</v>
      </c>
      <c r="AG1023" s="2">
        <v>1</v>
      </c>
      <c r="AH1023" s="3" t="s">
        <v>523</v>
      </c>
      <c r="AI1023" s="4">
        <v>44692</v>
      </c>
      <c r="AJ1023" s="3" t="s">
        <v>1090</v>
      </c>
      <c r="AK1023" s="3" t="s">
        <v>38</v>
      </c>
    </row>
    <row r="1024" spans="1:37" hidden="1" x14ac:dyDescent="0.25">
      <c r="A1024" t="str">
        <f t="shared" si="15"/>
        <v>2022_NSW_WaggaWagga_Lentil_DetailedTOS2VarietyBoltWaterTrtIrrigated</v>
      </c>
      <c r="B1024" s="2">
        <v>2022007</v>
      </c>
      <c r="C1024" s="3" t="s">
        <v>1034</v>
      </c>
      <c r="D1024" s="3" t="s">
        <v>38</v>
      </c>
      <c r="F1024" s="3" t="s">
        <v>4187</v>
      </c>
      <c r="G1024" s="3" t="s">
        <v>39</v>
      </c>
      <c r="H1024" s="3" t="s">
        <v>253</v>
      </c>
      <c r="I1024" s="2">
        <v>57</v>
      </c>
      <c r="J1024" s="2">
        <v>29</v>
      </c>
      <c r="K1024" s="2">
        <v>4</v>
      </c>
      <c r="O1024" s="2">
        <v>8</v>
      </c>
      <c r="U1024" s="2">
        <v>1</v>
      </c>
      <c r="V1024" s="2">
        <v>30</v>
      </c>
      <c r="W1024" s="2">
        <v>1</v>
      </c>
      <c r="X1024" s="2">
        <v>15</v>
      </c>
      <c r="AA1024" s="3" t="s">
        <v>57</v>
      </c>
      <c r="AB1024" s="2">
        <v>1</v>
      </c>
      <c r="AF1024" s="2">
        <v>30</v>
      </c>
      <c r="AG1024" s="2">
        <v>2</v>
      </c>
      <c r="AH1024" s="3" t="s">
        <v>514</v>
      </c>
      <c r="AI1024" s="4">
        <v>44727</v>
      </c>
      <c r="AJ1024" s="3" t="s">
        <v>1091</v>
      </c>
      <c r="AK1024" s="3" t="s">
        <v>38</v>
      </c>
    </row>
    <row r="1025" spans="1:37" hidden="1" x14ac:dyDescent="0.25">
      <c r="A1025" t="str">
        <f t="shared" si="15"/>
        <v>2022_NSW_WaggaWagga_Lentil_DetailedTOS2VarietyBoltWaterTrtIrrigated</v>
      </c>
      <c r="B1025" s="2">
        <v>2022007</v>
      </c>
      <c r="C1025" s="3" t="s">
        <v>1034</v>
      </c>
      <c r="D1025" s="3" t="s">
        <v>38</v>
      </c>
      <c r="F1025" s="3" t="s">
        <v>4187</v>
      </c>
      <c r="G1025" s="3" t="s">
        <v>39</v>
      </c>
      <c r="H1025" s="3" t="s">
        <v>250</v>
      </c>
      <c r="I1025" s="2">
        <v>58</v>
      </c>
      <c r="J1025" s="2">
        <v>29</v>
      </c>
      <c r="K1025" s="2">
        <v>4</v>
      </c>
      <c r="O1025" s="2">
        <v>8</v>
      </c>
      <c r="U1025" s="2">
        <v>1</v>
      </c>
      <c r="V1025" s="2">
        <v>31</v>
      </c>
      <c r="W1025" s="2">
        <v>1</v>
      </c>
      <c r="X1025" s="2">
        <v>16</v>
      </c>
      <c r="Z1025" s="2">
        <v>64</v>
      </c>
      <c r="AA1025" s="3" t="s">
        <v>57</v>
      </c>
      <c r="AB1025" s="2">
        <v>1</v>
      </c>
      <c r="AF1025" s="2">
        <v>30</v>
      </c>
      <c r="AG1025" s="2">
        <v>2</v>
      </c>
      <c r="AH1025" s="3" t="s">
        <v>514</v>
      </c>
      <c r="AI1025" s="4">
        <v>44727</v>
      </c>
      <c r="AJ1025" s="3" t="s">
        <v>1092</v>
      </c>
      <c r="AK1025" s="3" t="s">
        <v>38</v>
      </c>
    </row>
    <row r="1026" spans="1:37" hidden="1" x14ac:dyDescent="0.25">
      <c r="A1026" t="str">
        <f t="shared" si="15"/>
        <v>2022_NSW_WaggaWagga_Lentil_DetailedTOS2VarietyKelpieXTWaterTrtIrrigated</v>
      </c>
      <c r="B1026" s="2">
        <v>2022007</v>
      </c>
      <c r="C1026" s="3" t="s">
        <v>1034</v>
      </c>
      <c r="D1026" s="3" t="s">
        <v>38</v>
      </c>
      <c r="F1026" s="3" t="s">
        <v>4188</v>
      </c>
      <c r="G1026" s="3" t="s">
        <v>43</v>
      </c>
      <c r="H1026" s="3" t="s">
        <v>253</v>
      </c>
      <c r="I1026" s="2">
        <v>59</v>
      </c>
      <c r="J1026" s="2">
        <v>30</v>
      </c>
      <c r="K1026" s="2">
        <v>4</v>
      </c>
      <c r="O1026" s="2">
        <v>8</v>
      </c>
      <c r="U1026" s="2">
        <v>2</v>
      </c>
      <c r="V1026" s="2">
        <v>30</v>
      </c>
      <c r="W1026" s="2">
        <v>2</v>
      </c>
      <c r="X1026" s="2">
        <v>15</v>
      </c>
      <c r="AA1026" s="3" t="s">
        <v>57</v>
      </c>
      <c r="AB1026" s="2">
        <v>4</v>
      </c>
      <c r="AF1026" s="2">
        <v>30</v>
      </c>
      <c r="AG1026" s="2">
        <v>2</v>
      </c>
      <c r="AH1026" s="3" t="s">
        <v>514</v>
      </c>
      <c r="AI1026" s="4">
        <v>44727</v>
      </c>
      <c r="AJ1026" s="3" t="s">
        <v>1093</v>
      </c>
      <c r="AK1026" s="3" t="s">
        <v>38</v>
      </c>
    </row>
    <row r="1027" spans="1:37" hidden="1" x14ac:dyDescent="0.25">
      <c r="A1027" t="str">
        <f t="shared" ref="A1027:A1090" si="16">C1027&amp;"TOS"&amp;AG1027&amp;"Variety"&amp;F1027&amp;"WaterTrt"&amp;AA1027&amp;IF(AC1027="","","Agronomy"&amp;AC1027)</f>
        <v>2022_NSW_WaggaWagga_Lentil_DetailedTOS2VarietyKelpieXTWaterTrtIrrigated</v>
      </c>
      <c r="B1027" s="2">
        <v>2022007</v>
      </c>
      <c r="C1027" s="3" t="s">
        <v>1034</v>
      </c>
      <c r="D1027" s="3" t="s">
        <v>38</v>
      </c>
      <c r="F1027" s="3" t="s">
        <v>4188</v>
      </c>
      <c r="G1027" s="3" t="s">
        <v>43</v>
      </c>
      <c r="H1027" s="3" t="s">
        <v>250</v>
      </c>
      <c r="I1027" s="2">
        <v>60</v>
      </c>
      <c r="J1027" s="2">
        <v>30</v>
      </c>
      <c r="K1027" s="2">
        <v>4</v>
      </c>
      <c r="O1027" s="2">
        <v>8</v>
      </c>
      <c r="U1027" s="2">
        <v>2</v>
      </c>
      <c r="V1027" s="2">
        <v>31</v>
      </c>
      <c r="W1027" s="2">
        <v>2</v>
      </c>
      <c r="X1027" s="2">
        <v>16</v>
      </c>
      <c r="Z1027" s="2">
        <v>63</v>
      </c>
      <c r="AA1027" s="3" t="s">
        <v>57</v>
      </c>
      <c r="AB1027" s="2">
        <v>4</v>
      </c>
      <c r="AF1027" s="2">
        <v>30</v>
      </c>
      <c r="AG1027" s="2">
        <v>2</v>
      </c>
      <c r="AH1027" s="3" t="s">
        <v>514</v>
      </c>
      <c r="AI1027" s="4">
        <v>44727</v>
      </c>
      <c r="AJ1027" s="3" t="s">
        <v>1094</v>
      </c>
      <c r="AK1027" s="3" t="s">
        <v>38</v>
      </c>
    </row>
    <row r="1028" spans="1:37" hidden="1" x14ac:dyDescent="0.25">
      <c r="A1028" t="str">
        <f t="shared" si="16"/>
        <v>2022_NSW_WaggaWagga_Lentil_DetailedTOS2VarietyJumbo2WaterTrtIrrigated</v>
      </c>
      <c r="B1028" s="2">
        <v>2022007</v>
      </c>
      <c r="C1028" s="3" t="s">
        <v>1034</v>
      </c>
      <c r="D1028" s="3" t="s">
        <v>38</v>
      </c>
      <c r="F1028" s="3" t="s">
        <v>4176</v>
      </c>
      <c r="G1028" s="3" t="s">
        <v>43</v>
      </c>
      <c r="H1028" s="3" t="s">
        <v>253</v>
      </c>
      <c r="I1028" s="2">
        <v>61</v>
      </c>
      <c r="J1028" s="2">
        <v>31</v>
      </c>
      <c r="K1028" s="2">
        <v>4</v>
      </c>
      <c r="O1028" s="2">
        <v>8</v>
      </c>
      <c r="U1028" s="2">
        <v>3</v>
      </c>
      <c r="V1028" s="2">
        <v>30</v>
      </c>
      <c r="W1028" s="2">
        <v>3</v>
      </c>
      <c r="X1028" s="2">
        <v>15</v>
      </c>
      <c r="AA1028" s="3" t="s">
        <v>57</v>
      </c>
      <c r="AB1028" s="2">
        <v>3</v>
      </c>
      <c r="AF1028" s="2">
        <v>30</v>
      </c>
      <c r="AG1028" s="2">
        <v>2</v>
      </c>
      <c r="AH1028" s="3" t="s">
        <v>514</v>
      </c>
      <c r="AI1028" s="4">
        <v>44727</v>
      </c>
      <c r="AJ1028" s="3" t="s">
        <v>1095</v>
      </c>
      <c r="AK1028" s="3" t="s">
        <v>38</v>
      </c>
    </row>
    <row r="1029" spans="1:37" hidden="1" x14ac:dyDescent="0.25">
      <c r="A1029" t="str">
        <f t="shared" si="16"/>
        <v>2022_NSW_WaggaWagga_Lentil_DetailedTOS2VarietyJumbo2WaterTrtIrrigated</v>
      </c>
      <c r="B1029" s="2">
        <v>2022007</v>
      </c>
      <c r="C1029" s="3" t="s">
        <v>1034</v>
      </c>
      <c r="D1029" s="3" t="s">
        <v>38</v>
      </c>
      <c r="F1029" s="3" t="s">
        <v>4176</v>
      </c>
      <c r="G1029" s="3" t="s">
        <v>43</v>
      </c>
      <c r="H1029" s="3" t="s">
        <v>250</v>
      </c>
      <c r="I1029" s="2">
        <v>62</v>
      </c>
      <c r="J1029" s="2">
        <v>31</v>
      </c>
      <c r="K1029" s="2">
        <v>4</v>
      </c>
      <c r="O1029" s="2">
        <v>8</v>
      </c>
      <c r="U1029" s="2">
        <v>3</v>
      </c>
      <c r="V1029" s="2">
        <v>31</v>
      </c>
      <c r="W1029" s="2">
        <v>3</v>
      </c>
      <c r="X1029" s="2">
        <v>16</v>
      </c>
      <c r="Z1029" s="2">
        <v>62</v>
      </c>
      <c r="AA1029" s="3" t="s">
        <v>57</v>
      </c>
      <c r="AB1029" s="2">
        <v>3</v>
      </c>
      <c r="AF1029" s="2">
        <v>30</v>
      </c>
      <c r="AG1029" s="2">
        <v>2</v>
      </c>
      <c r="AH1029" s="3" t="s">
        <v>514</v>
      </c>
      <c r="AI1029" s="4">
        <v>44727</v>
      </c>
      <c r="AJ1029" s="3" t="s">
        <v>1096</v>
      </c>
      <c r="AK1029" s="3" t="s">
        <v>38</v>
      </c>
    </row>
    <row r="1030" spans="1:37" hidden="1" x14ac:dyDescent="0.25">
      <c r="A1030" t="str">
        <f t="shared" si="16"/>
        <v>2022_NSW_WaggaWagga_Lentil_DetailedTOS2VarietyHallmarkXTWaterTrtIrrigated</v>
      </c>
      <c r="B1030" s="2">
        <v>2022007</v>
      </c>
      <c r="C1030" s="3" t="s">
        <v>1034</v>
      </c>
      <c r="D1030" s="3" t="s">
        <v>38</v>
      </c>
      <c r="F1030" s="3" t="s">
        <v>4189</v>
      </c>
      <c r="G1030" s="3" t="s">
        <v>39</v>
      </c>
      <c r="H1030" s="3" t="s">
        <v>253</v>
      </c>
      <c r="I1030" s="2">
        <v>63</v>
      </c>
      <c r="J1030" s="2">
        <v>32</v>
      </c>
      <c r="K1030" s="2">
        <v>4</v>
      </c>
      <c r="O1030" s="2">
        <v>8</v>
      </c>
      <c r="U1030" s="2">
        <v>4</v>
      </c>
      <c r="V1030" s="2">
        <v>30</v>
      </c>
      <c r="W1030" s="2">
        <v>4</v>
      </c>
      <c r="X1030" s="2">
        <v>15</v>
      </c>
      <c r="AA1030" s="3" t="s">
        <v>57</v>
      </c>
      <c r="AB1030" s="2">
        <v>2</v>
      </c>
      <c r="AF1030" s="2">
        <v>30</v>
      </c>
      <c r="AG1030" s="2">
        <v>2</v>
      </c>
      <c r="AH1030" s="3" t="s">
        <v>514</v>
      </c>
      <c r="AI1030" s="4">
        <v>44727</v>
      </c>
      <c r="AJ1030" s="3" t="s">
        <v>1097</v>
      </c>
      <c r="AK1030" s="3" t="s">
        <v>38</v>
      </c>
    </row>
    <row r="1031" spans="1:37" hidden="1" x14ac:dyDescent="0.25">
      <c r="A1031" t="str">
        <f t="shared" si="16"/>
        <v>2022_NSW_WaggaWagga_Lentil_DetailedTOS2VarietyHallmarkXTWaterTrtIrrigated</v>
      </c>
      <c r="B1031" s="2">
        <v>2022007</v>
      </c>
      <c r="C1031" s="3" t="s">
        <v>1034</v>
      </c>
      <c r="D1031" s="3" t="s">
        <v>38</v>
      </c>
      <c r="F1031" s="3" t="s">
        <v>4189</v>
      </c>
      <c r="G1031" s="3" t="s">
        <v>39</v>
      </c>
      <c r="H1031" s="3" t="s">
        <v>250</v>
      </c>
      <c r="I1031" s="2">
        <v>64</v>
      </c>
      <c r="J1031" s="2">
        <v>32</v>
      </c>
      <c r="K1031" s="2">
        <v>4</v>
      </c>
      <c r="O1031" s="2">
        <v>8</v>
      </c>
      <c r="U1031" s="2">
        <v>4</v>
      </c>
      <c r="V1031" s="2">
        <v>31</v>
      </c>
      <c r="W1031" s="2">
        <v>4</v>
      </c>
      <c r="X1031" s="2">
        <v>16</v>
      </c>
      <c r="Z1031" s="2">
        <v>61</v>
      </c>
      <c r="AA1031" s="3" t="s">
        <v>57</v>
      </c>
      <c r="AB1031" s="2">
        <v>2</v>
      </c>
      <c r="AF1031" s="2">
        <v>30</v>
      </c>
      <c r="AG1031" s="2">
        <v>2</v>
      </c>
      <c r="AH1031" s="3" t="s">
        <v>514</v>
      </c>
      <c r="AI1031" s="4">
        <v>44727</v>
      </c>
      <c r="AJ1031" s="3" t="s">
        <v>1098</v>
      </c>
      <c r="AK1031" s="3" t="s">
        <v>38</v>
      </c>
    </row>
    <row r="1032" spans="1:37" hidden="1" x14ac:dyDescent="0.25">
      <c r="A1032" t="str">
        <f t="shared" si="16"/>
        <v>2022_NSW_WaggaWagga_Lentil_DetailedTOS2VarietyBoltWaterTrtRainFed</v>
      </c>
      <c r="B1032" s="2">
        <v>2022007</v>
      </c>
      <c r="C1032" s="3" t="s">
        <v>1034</v>
      </c>
      <c r="D1032" s="3" t="s">
        <v>38</v>
      </c>
      <c r="F1032" s="3" t="s">
        <v>4187</v>
      </c>
      <c r="G1032" s="3" t="s">
        <v>39</v>
      </c>
      <c r="H1032" s="3" t="s">
        <v>253</v>
      </c>
      <c r="I1032" s="2">
        <v>65</v>
      </c>
      <c r="J1032" s="2">
        <v>33</v>
      </c>
      <c r="K1032" s="2">
        <v>1</v>
      </c>
      <c r="O1032" s="2">
        <v>1</v>
      </c>
      <c r="U1032" s="2">
        <v>6</v>
      </c>
      <c r="V1032" s="2">
        <v>2</v>
      </c>
      <c r="W1032" s="2">
        <v>5</v>
      </c>
      <c r="X1032" s="2">
        <v>1</v>
      </c>
      <c r="AA1032" s="3" t="s">
        <v>40</v>
      </c>
      <c r="AB1032" s="2">
        <v>1</v>
      </c>
      <c r="AF1032" s="2">
        <v>30</v>
      </c>
      <c r="AG1032" s="2">
        <v>2</v>
      </c>
      <c r="AH1032" s="3" t="s">
        <v>514</v>
      </c>
      <c r="AI1032" s="4">
        <v>44727</v>
      </c>
      <c r="AJ1032" s="3" t="s">
        <v>1099</v>
      </c>
      <c r="AK1032" s="3" t="s">
        <v>38</v>
      </c>
    </row>
    <row r="1033" spans="1:37" hidden="1" x14ac:dyDescent="0.25">
      <c r="A1033" t="str">
        <f t="shared" si="16"/>
        <v>2022_NSW_WaggaWagga_Lentil_DetailedTOS2VarietyBoltWaterTrtRainFed</v>
      </c>
      <c r="B1033" s="2">
        <v>2022007</v>
      </c>
      <c r="C1033" s="3" t="s">
        <v>1034</v>
      </c>
      <c r="D1033" s="3" t="s">
        <v>38</v>
      </c>
      <c r="F1033" s="3" t="s">
        <v>4187</v>
      </c>
      <c r="G1033" s="3" t="s">
        <v>39</v>
      </c>
      <c r="H1033" s="3" t="s">
        <v>250</v>
      </c>
      <c r="I1033" s="2">
        <v>66</v>
      </c>
      <c r="J1033" s="2">
        <v>33</v>
      </c>
      <c r="K1033" s="2">
        <v>1</v>
      </c>
      <c r="O1033" s="2">
        <v>1</v>
      </c>
      <c r="U1033" s="2">
        <v>6</v>
      </c>
      <c r="V1033" s="2">
        <v>3</v>
      </c>
      <c r="W1033" s="2">
        <v>5</v>
      </c>
      <c r="X1033" s="2">
        <v>2</v>
      </c>
      <c r="Z1033" s="2">
        <v>5</v>
      </c>
      <c r="AA1033" s="3" t="s">
        <v>40</v>
      </c>
      <c r="AB1033" s="2">
        <v>1</v>
      </c>
      <c r="AF1033" s="2">
        <v>30</v>
      </c>
      <c r="AG1033" s="2">
        <v>2</v>
      </c>
      <c r="AH1033" s="3" t="s">
        <v>514</v>
      </c>
      <c r="AI1033" s="4">
        <v>44727</v>
      </c>
      <c r="AJ1033" s="3" t="s">
        <v>1100</v>
      </c>
      <c r="AK1033" s="3" t="s">
        <v>38</v>
      </c>
    </row>
    <row r="1034" spans="1:37" hidden="1" x14ac:dyDescent="0.25">
      <c r="A1034" t="str">
        <f t="shared" si="16"/>
        <v>2022_NSW_WaggaWagga_Lentil_DetailedTOS2VarietyKelpieXTWaterTrtRainFed</v>
      </c>
      <c r="B1034" s="2">
        <v>2022007</v>
      </c>
      <c r="C1034" s="3" t="s">
        <v>1034</v>
      </c>
      <c r="D1034" s="3" t="s">
        <v>38</v>
      </c>
      <c r="F1034" s="3" t="s">
        <v>4188</v>
      </c>
      <c r="G1034" s="3" t="s">
        <v>43</v>
      </c>
      <c r="H1034" s="3" t="s">
        <v>253</v>
      </c>
      <c r="I1034" s="2">
        <v>67</v>
      </c>
      <c r="J1034" s="2">
        <v>34</v>
      </c>
      <c r="K1034" s="2">
        <v>1</v>
      </c>
      <c r="O1034" s="2">
        <v>1</v>
      </c>
      <c r="U1034" s="2">
        <v>7</v>
      </c>
      <c r="V1034" s="2">
        <v>2</v>
      </c>
      <c r="W1034" s="2">
        <v>6</v>
      </c>
      <c r="X1034" s="2">
        <v>1</v>
      </c>
      <c r="AA1034" s="3" t="s">
        <v>40</v>
      </c>
      <c r="AB1034" s="2">
        <v>4</v>
      </c>
      <c r="AF1034" s="2">
        <v>30</v>
      </c>
      <c r="AG1034" s="2">
        <v>2</v>
      </c>
      <c r="AH1034" s="3" t="s">
        <v>514</v>
      </c>
      <c r="AI1034" s="4">
        <v>44727</v>
      </c>
      <c r="AJ1034" s="3" t="s">
        <v>1101</v>
      </c>
      <c r="AK1034" s="3" t="s">
        <v>38</v>
      </c>
    </row>
    <row r="1035" spans="1:37" hidden="1" x14ac:dyDescent="0.25">
      <c r="A1035" t="str">
        <f t="shared" si="16"/>
        <v>2022_NSW_WaggaWagga_Lentil_DetailedTOS2VarietyKelpieXTWaterTrtRainFed</v>
      </c>
      <c r="B1035" s="2">
        <v>2022007</v>
      </c>
      <c r="C1035" s="3" t="s">
        <v>1034</v>
      </c>
      <c r="D1035" s="3" t="s">
        <v>38</v>
      </c>
      <c r="F1035" s="3" t="s">
        <v>4188</v>
      </c>
      <c r="G1035" s="3" t="s">
        <v>43</v>
      </c>
      <c r="H1035" s="3" t="s">
        <v>250</v>
      </c>
      <c r="I1035" s="2">
        <v>68</v>
      </c>
      <c r="J1035" s="2">
        <v>34</v>
      </c>
      <c r="K1035" s="2">
        <v>1</v>
      </c>
      <c r="O1035" s="2">
        <v>1</v>
      </c>
      <c r="U1035" s="2">
        <v>7</v>
      </c>
      <c r="V1035" s="2">
        <v>3</v>
      </c>
      <c r="W1035" s="2">
        <v>6</v>
      </c>
      <c r="X1035" s="2">
        <v>2</v>
      </c>
      <c r="Z1035" s="2">
        <v>6</v>
      </c>
      <c r="AA1035" s="3" t="s">
        <v>40</v>
      </c>
      <c r="AB1035" s="2">
        <v>4</v>
      </c>
      <c r="AF1035" s="2">
        <v>30</v>
      </c>
      <c r="AG1035" s="2">
        <v>2</v>
      </c>
      <c r="AH1035" s="3" t="s">
        <v>514</v>
      </c>
      <c r="AI1035" s="4">
        <v>44727</v>
      </c>
      <c r="AJ1035" s="3" t="s">
        <v>1102</v>
      </c>
      <c r="AK1035" s="3" t="s">
        <v>38</v>
      </c>
    </row>
    <row r="1036" spans="1:37" hidden="1" x14ac:dyDescent="0.25">
      <c r="A1036" t="str">
        <f t="shared" si="16"/>
        <v>2022_NSW_WaggaWagga_Lentil_DetailedTOS2VarietyHallmarkXTWaterTrtRainFed</v>
      </c>
      <c r="B1036" s="2">
        <v>2022007</v>
      </c>
      <c r="C1036" s="3" t="s">
        <v>1034</v>
      </c>
      <c r="D1036" s="3" t="s">
        <v>38</v>
      </c>
      <c r="F1036" s="3" t="s">
        <v>4189</v>
      </c>
      <c r="G1036" s="3" t="s">
        <v>39</v>
      </c>
      <c r="H1036" s="3" t="s">
        <v>253</v>
      </c>
      <c r="I1036" s="2">
        <v>69</v>
      </c>
      <c r="J1036" s="2">
        <v>35</v>
      </c>
      <c r="K1036" s="2">
        <v>1</v>
      </c>
      <c r="O1036" s="2">
        <v>1</v>
      </c>
      <c r="U1036" s="2">
        <v>8</v>
      </c>
      <c r="V1036" s="2">
        <v>2</v>
      </c>
      <c r="W1036" s="2">
        <v>7</v>
      </c>
      <c r="X1036" s="2">
        <v>1</v>
      </c>
      <c r="AA1036" s="3" t="s">
        <v>40</v>
      </c>
      <c r="AB1036" s="2">
        <v>2</v>
      </c>
      <c r="AF1036" s="2">
        <v>30</v>
      </c>
      <c r="AG1036" s="2">
        <v>2</v>
      </c>
      <c r="AH1036" s="3" t="s">
        <v>514</v>
      </c>
      <c r="AI1036" s="4">
        <v>44727</v>
      </c>
      <c r="AJ1036" s="3" t="s">
        <v>1103</v>
      </c>
      <c r="AK1036" s="3" t="s">
        <v>38</v>
      </c>
    </row>
    <row r="1037" spans="1:37" hidden="1" x14ac:dyDescent="0.25">
      <c r="A1037" t="str">
        <f t="shared" si="16"/>
        <v>2022_NSW_WaggaWagga_Lentil_DetailedTOS2VarietyHallmarkXTWaterTrtRainFed</v>
      </c>
      <c r="B1037" s="2">
        <v>2022007</v>
      </c>
      <c r="C1037" s="3" t="s">
        <v>1034</v>
      </c>
      <c r="D1037" s="3" t="s">
        <v>38</v>
      </c>
      <c r="F1037" s="3" t="s">
        <v>4189</v>
      </c>
      <c r="G1037" s="3" t="s">
        <v>39</v>
      </c>
      <c r="H1037" s="3" t="s">
        <v>250</v>
      </c>
      <c r="I1037" s="2">
        <v>70</v>
      </c>
      <c r="J1037" s="2">
        <v>35</v>
      </c>
      <c r="K1037" s="2">
        <v>1</v>
      </c>
      <c r="O1037" s="2">
        <v>1</v>
      </c>
      <c r="U1037" s="2">
        <v>8</v>
      </c>
      <c r="V1037" s="2">
        <v>3</v>
      </c>
      <c r="W1037" s="2">
        <v>7</v>
      </c>
      <c r="X1037" s="2">
        <v>2</v>
      </c>
      <c r="Z1037" s="2">
        <v>7</v>
      </c>
      <c r="AA1037" s="3" t="s">
        <v>40</v>
      </c>
      <c r="AB1037" s="2">
        <v>2</v>
      </c>
      <c r="AF1037" s="2">
        <v>30</v>
      </c>
      <c r="AG1037" s="2">
        <v>2</v>
      </c>
      <c r="AH1037" s="3" t="s">
        <v>514</v>
      </c>
      <c r="AI1037" s="4">
        <v>44727</v>
      </c>
      <c r="AJ1037" s="3" t="s">
        <v>1104</v>
      </c>
      <c r="AK1037" s="3" t="s">
        <v>38</v>
      </c>
    </row>
    <row r="1038" spans="1:37" hidden="1" x14ac:dyDescent="0.25">
      <c r="A1038" t="str">
        <f t="shared" si="16"/>
        <v>2022_NSW_WaggaWagga_Lentil_DetailedTOS2VarietyJumbo2WaterTrtRainFed</v>
      </c>
      <c r="B1038" s="2">
        <v>2022007</v>
      </c>
      <c r="C1038" s="3" t="s">
        <v>1034</v>
      </c>
      <c r="D1038" s="3" t="s">
        <v>38</v>
      </c>
      <c r="F1038" s="3" t="s">
        <v>4176</v>
      </c>
      <c r="G1038" s="3" t="s">
        <v>43</v>
      </c>
      <c r="H1038" s="3" t="s">
        <v>253</v>
      </c>
      <c r="I1038" s="2">
        <v>71</v>
      </c>
      <c r="J1038" s="2">
        <v>36</v>
      </c>
      <c r="K1038" s="2">
        <v>1</v>
      </c>
      <c r="O1038" s="2">
        <v>1</v>
      </c>
      <c r="U1038" s="2">
        <v>9</v>
      </c>
      <c r="V1038" s="2">
        <v>2</v>
      </c>
      <c r="W1038" s="2">
        <v>8</v>
      </c>
      <c r="X1038" s="2">
        <v>1</v>
      </c>
      <c r="AA1038" s="3" t="s">
        <v>40</v>
      </c>
      <c r="AB1038" s="2">
        <v>3</v>
      </c>
      <c r="AF1038" s="2">
        <v>30</v>
      </c>
      <c r="AG1038" s="2">
        <v>2</v>
      </c>
      <c r="AH1038" s="3" t="s">
        <v>514</v>
      </c>
      <c r="AI1038" s="4">
        <v>44727</v>
      </c>
      <c r="AJ1038" s="3" t="s">
        <v>1105</v>
      </c>
      <c r="AK1038" s="3" t="s">
        <v>38</v>
      </c>
    </row>
    <row r="1039" spans="1:37" hidden="1" x14ac:dyDescent="0.25">
      <c r="A1039" t="str">
        <f t="shared" si="16"/>
        <v>2022_NSW_WaggaWagga_Lentil_DetailedTOS2VarietyJumbo2WaterTrtRainFed</v>
      </c>
      <c r="B1039" s="2">
        <v>2022007</v>
      </c>
      <c r="C1039" s="3" t="s">
        <v>1034</v>
      </c>
      <c r="D1039" s="3" t="s">
        <v>38</v>
      </c>
      <c r="F1039" s="3" t="s">
        <v>4176</v>
      </c>
      <c r="G1039" s="3" t="s">
        <v>43</v>
      </c>
      <c r="H1039" s="3" t="s">
        <v>250</v>
      </c>
      <c r="I1039" s="2">
        <v>72</v>
      </c>
      <c r="J1039" s="2">
        <v>36</v>
      </c>
      <c r="K1039" s="2">
        <v>1</v>
      </c>
      <c r="O1039" s="2">
        <v>1</v>
      </c>
      <c r="U1039" s="2">
        <v>9</v>
      </c>
      <c r="V1039" s="2">
        <v>3</v>
      </c>
      <c r="W1039" s="2">
        <v>8</v>
      </c>
      <c r="X1039" s="2">
        <v>2</v>
      </c>
      <c r="Z1039" s="2">
        <v>8</v>
      </c>
      <c r="AA1039" s="3" t="s">
        <v>40</v>
      </c>
      <c r="AB1039" s="2">
        <v>3</v>
      </c>
      <c r="AF1039" s="2">
        <v>30</v>
      </c>
      <c r="AG1039" s="2">
        <v>2</v>
      </c>
      <c r="AH1039" s="3" t="s">
        <v>514</v>
      </c>
      <c r="AI1039" s="4">
        <v>44727</v>
      </c>
      <c r="AJ1039" s="3" t="s">
        <v>1106</v>
      </c>
      <c r="AK1039" s="3" t="s">
        <v>38</v>
      </c>
    </row>
    <row r="1040" spans="1:37" hidden="1" x14ac:dyDescent="0.25">
      <c r="A1040" t="str">
        <f t="shared" si="16"/>
        <v>2022_NSW_WaggaWagga_Lentil_DetailedTOS1VarietyKelpieXTWaterTrtRainFed</v>
      </c>
      <c r="B1040" s="2">
        <v>2022007</v>
      </c>
      <c r="C1040" s="3" t="s">
        <v>1034</v>
      </c>
      <c r="D1040" s="3" t="s">
        <v>38</v>
      </c>
      <c r="F1040" s="3" t="s">
        <v>4188</v>
      </c>
      <c r="G1040" s="3" t="s">
        <v>43</v>
      </c>
      <c r="H1040" s="3" t="s">
        <v>253</v>
      </c>
      <c r="I1040" s="2">
        <v>73</v>
      </c>
      <c r="J1040" s="2">
        <v>37</v>
      </c>
      <c r="K1040" s="2">
        <v>1</v>
      </c>
      <c r="O1040" s="2">
        <v>2</v>
      </c>
      <c r="U1040" s="2">
        <v>6</v>
      </c>
      <c r="V1040" s="2">
        <v>6</v>
      </c>
      <c r="W1040" s="2">
        <v>5</v>
      </c>
      <c r="X1040" s="2">
        <v>3</v>
      </c>
      <c r="AA1040" s="3" t="s">
        <v>40</v>
      </c>
      <c r="AB1040" s="2">
        <v>4</v>
      </c>
      <c r="AF1040" s="2">
        <v>30</v>
      </c>
      <c r="AG1040" s="2">
        <v>1</v>
      </c>
      <c r="AH1040" s="3" t="s">
        <v>523</v>
      </c>
      <c r="AI1040" s="4">
        <v>44692</v>
      </c>
      <c r="AJ1040" s="3" t="s">
        <v>1107</v>
      </c>
      <c r="AK1040" s="3" t="s">
        <v>38</v>
      </c>
    </row>
    <row r="1041" spans="1:37" hidden="1" x14ac:dyDescent="0.25">
      <c r="A1041" t="str">
        <f t="shared" si="16"/>
        <v>2022_NSW_WaggaWagga_Lentil_DetailedTOS1VarietyKelpieXTWaterTrtRainFed</v>
      </c>
      <c r="B1041" s="2">
        <v>2022007</v>
      </c>
      <c r="C1041" s="3" t="s">
        <v>1034</v>
      </c>
      <c r="D1041" s="3" t="s">
        <v>38</v>
      </c>
      <c r="F1041" s="3" t="s">
        <v>4188</v>
      </c>
      <c r="G1041" s="3" t="s">
        <v>43</v>
      </c>
      <c r="H1041" s="3" t="s">
        <v>250</v>
      </c>
      <c r="I1041" s="2">
        <v>74</v>
      </c>
      <c r="J1041" s="2">
        <v>37</v>
      </c>
      <c r="K1041" s="2">
        <v>1</v>
      </c>
      <c r="O1041" s="2">
        <v>2</v>
      </c>
      <c r="U1041" s="2">
        <v>6</v>
      </c>
      <c r="V1041" s="2">
        <v>7</v>
      </c>
      <c r="W1041" s="2">
        <v>5</v>
      </c>
      <c r="X1041" s="2">
        <v>4</v>
      </c>
      <c r="Z1041" s="2">
        <v>12</v>
      </c>
      <c r="AA1041" s="3" t="s">
        <v>40</v>
      </c>
      <c r="AB1041" s="2">
        <v>4</v>
      </c>
      <c r="AF1041" s="2">
        <v>30</v>
      </c>
      <c r="AG1041" s="2">
        <v>1</v>
      </c>
      <c r="AH1041" s="3" t="s">
        <v>523</v>
      </c>
      <c r="AI1041" s="4">
        <v>44692</v>
      </c>
      <c r="AJ1041" s="3" t="s">
        <v>1108</v>
      </c>
      <c r="AK1041" s="3" t="s">
        <v>38</v>
      </c>
    </row>
    <row r="1042" spans="1:37" hidden="1" x14ac:dyDescent="0.25">
      <c r="A1042" t="str">
        <f t="shared" si="16"/>
        <v>2022_NSW_WaggaWagga_Lentil_DetailedTOS1VarietyJumbo2WaterTrtRainFed</v>
      </c>
      <c r="B1042" s="2">
        <v>2022007</v>
      </c>
      <c r="C1042" s="3" t="s">
        <v>1034</v>
      </c>
      <c r="D1042" s="3" t="s">
        <v>38</v>
      </c>
      <c r="F1042" s="3" t="s">
        <v>4176</v>
      </c>
      <c r="G1042" s="3" t="s">
        <v>43</v>
      </c>
      <c r="H1042" s="3" t="s">
        <v>253</v>
      </c>
      <c r="I1042" s="2">
        <v>75</v>
      </c>
      <c r="J1042" s="2">
        <v>38</v>
      </c>
      <c r="K1042" s="2">
        <v>1</v>
      </c>
      <c r="O1042" s="2">
        <v>2</v>
      </c>
      <c r="U1042" s="2">
        <v>7</v>
      </c>
      <c r="V1042" s="2">
        <v>6</v>
      </c>
      <c r="W1042" s="2">
        <v>6</v>
      </c>
      <c r="X1042" s="2">
        <v>3</v>
      </c>
      <c r="AA1042" s="3" t="s">
        <v>40</v>
      </c>
      <c r="AB1042" s="2">
        <v>3</v>
      </c>
      <c r="AF1042" s="2">
        <v>30</v>
      </c>
      <c r="AG1042" s="2">
        <v>1</v>
      </c>
      <c r="AH1042" s="3" t="s">
        <v>523</v>
      </c>
      <c r="AI1042" s="4">
        <v>44692</v>
      </c>
      <c r="AJ1042" s="3" t="s">
        <v>1109</v>
      </c>
      <c r="AK1042" s="3" t="s">
        <v>38</v>
      </c>
    </row>
    <row r="1043" spans="1:37" hidden="1" x14ac:dyDescent="0.25">
      <c r="A1043" t="str">
        <f t="shared" si="16"/>
        <v>2022_NSW_WaggaWagga_Lentil_DetailedTOS1VarietyJumbo2WaterTrtRainFed</v>
      </c>
      <c r="B1043" s="2">
        <v>2022007</v>
      </c>
      <c r="C1043" s="3" t="s">
        <v>1034</v>
      </c>
      <c r="D1043" s="3" t="s">
        <v>38</v>
      </c>
      <c r="F1043" s="3" t="s">
        <v>4176</v>
      </c>
      <c r="G1043" s="3" t="s">
        <v>43</v>
      </c>
      <c r="H1043" s="3" t="s">
        <v>250</v>
      </c>
      <c r="I1043" s="2">
        <v>76</v>
      </c>
      <c r="J1043" s="2">
        <v>38</v>
      </c>
      <c r="K1043" s="2">
        <v>1</v>
      </c>
      <c r="O1043" s="2">
        <v>2</v>
      </c>
      <c r="U1043" s="2">
        <v>7</v>
      </c>
      <c r="V1043" s="2">
        <v>7</v>
      </c>
      <c r="W1043" s="2">
        <v>6</v>
      </c>
      <c r="X1043" s="2">
        <v>4</v>
      </c>
      <c r="Z1043" s="2">
        <v>11</v>
      </c>
      <c r="AA1043" s="3" t="s">
        <v>40</v>
      </c>
      <c r="AB1043" s="2">
        <v>3</v>
      </c>
      <c r="AF1043" s="2">
        <v>30</v>
      </c>
      <c r="AG1043" s="2">
        <v>1</v>
      </c>
      <c r="AH1043" s="3" t="s">
        <v>523</v>
      </c>
      <c r="AI1043" s="4">
        <v>44692</v>
      </c>
      <c r="AJ1043" s="3" t="s">
        <v>1110</v>
      </c>
      <c r="AK1043" s="3" t="s">
        <v>38</v>
      </c>
    </row>
    <row r="1044" spans="1:37" hidden="1" x14ac:dyDescent="0.25">
      <c r="A1044" t="str">
        <f t="shared" si="16"/>
        <v>2022_NSW_WaggaWagga_Lentil_DetailedTOS1VarietyBoltWaterTrtRainFed</v>
      </c>
      <c r="B1044" s="2">
        <v>2022007</v>
      </c>
      <c r="C1044" s="3" t="s">
        <v>1034</v>
      </c>
      <c r="D1044" s="3" t="s">
        <v>38</v>
      </c>
      <c r="F1044" s="3" t="s">
        <v>4187</v>
      </c>
      <c r="G1044" s="3" t="s">
        <v>39</v>
      </c>
      <c r="H1044" s="3" t="s">
        <v>253</v>
      </c>
      <c r="I1044" s="2">
        <v>77</v>
      </c>
      <c r="J1044" s="2">
        <v>39</v>
      </c>
      <c r="K1044" s="2">
        <v>1</v>
      </c>
      <c r="O1044" s="2">
        <v>2</v>
      </c>
      <c r="U1044" s="2">
        <v>8</v>
      </c>
      <c r="V1044" s="2">
        <v>6</v>
      </c>
      <c r="W1044" s="2">
        <v>7</v>
      </c>
      <c r="X1044" s="2">
        <v>3</v>
      </c>
      <c r="AA1044" s="3" t="s">
        <v>40</v>
      </c>
      <c r="AB1044" s="2">
        <v>1</v>
      </c>
      <c r="AF1044" s="2">
        <v>30</v>
      </c>
      <c r="AG1044" s="2">
        <v>1</v>
      </c>
      <c r="AH1044" s="3" t="s">
        <v>523</v>
      </c>
      <c r="AI1044" s="4">
        <v>44692</v>
      </c>
      <c r="AJ1044" s="3" t="s">
        <v>1111</v>
      </c>
      <c r="AK1044" s="3" t="s">
        <v>38</v>
      </c>
    </row>
    <row r="1045" spans="1:37" hidden="1" x14ac:dyDescent="0.25">
      <c r="A1045" t="str">
        <f t="shared" si="16"/>
        <v>2022_NSW_WaggaWagga_Lentil_DetailedTOS1VarietyBoltWaterTrtRainFed</v>
      </c>
      <c r="B1045" s="2">
        <v>2022007</v>
      </c>
      <c r="C1045" s="3" t="s">
        <v>1034</v>
      </c>
      <c r="D1045" s="3" t="s">
        <v>38</v>
      </c>
      <c r="F1045" s="3" t="s">
        <v>4187</v>
      </c>
      <c r="G1045" s="3" t="s">
        <v>39</v>
      </c>
      <c r="H1045" s="3" t="s">
        <v>250</v>
      </c>
      <c r="I1045" s="2">
        <v>78</v>
      </c>
      <c r="J1045" s="2">
        <v>39</v>
      </c>
      <c r="K1045" s="2">
        <v>1</v>
      </c>
      <c r="O1045" s="2">
        <v>2</v>
      </c>
      <c r="U1045" s="2">
        <v>8</v>
      </c>
      <c r="V1045" s="2">
        <v>7</v>
      </c>
      <c r="W1045" s="2">
        <v>7</v>
      </c>
      <c r="X1045" s="2">
        <v>4</v>
      </c>
      <c r="Z1045" s="2">
        <v>10</v>
      </c>
      <c r="AA1045" s="3" t="s">
        <v>40</v>
      </c>
      <c r="AB1045" s="2">
        <v>1</v>
      </c>
      <c r="AF1045" s="2">
        <v>30</v>
      </c>
      <c r="AG1045" s="2">
        <v>1</v>
      </c>
      <c r="AH1045" s="3" t="s">
        <v>523</v>
      </c>
      <c r="AI1045" s="4">
        <v>44692</v>
      </c>
      <c r="AJ1045" s="3" t="s">
        <v>1112</v>
      </c>
      <c r="AK1045" s="3" t="s">
        <v>38</v>
      </c>
    </row>
    <row r="1046" spans="1:37" hidden="1" x14ac:dyDescent="0.25">
      <c r="A1046" t="str">
        <f t="shared" si="16"/>
        <v>2022_NSW_WaggaWagga_Lentil_DetailedTOS1VarietyHallmarkXTWaterTrtRainFed</v>
      </c>
      <c r="B1046" s="2">
        <v>2022007</v>
      </c>
      <c r="C1046" s="3" t="s">
        <v>1034</v>
      </c>
      <c r="D1046" s="3" t="s">
        <v>38</v>
      </c>
      <c r="F1046" s="3" t="s">
        <v>4189</v>
      </c>
      <c r="G1046" s="3" t="s">
        <v>39</v>
      </c>
      <c r="H1046" s="3" t="s">
        <v>253</v>
      </c>
      <c r="I1046" s="2">
        <v>79</v>
      </c>
      <c r="J1046" s="2">
        <v>40</v>
      </c>
      <c r="K1046" s="2">
        <v>1</v>
      </c>
      <c r="O1046" s="2">
        <v>2</v>
      </c>
      <c r="U1046" s="2">
        <v>9</v>
      </c>
      <c r="V1046" s="2">
        <v>6</v>
      </c>
      <c r="W1046" s="2">
        <v>8</v>
      </c>
      <c r="X1046" s="2">
        <v>3</v>
      </c>
      <c r="AA1046" s="3" t="s">
        <v>40</v>
      </c>
      <c r="AB1046" s="2">
        <v>2</v>
      </c>
      <c r="AF1046" s="2">
        <v>30</v>
      </c>
      <c r="AG1046" s="2">
        <v>1</v>
      </c>
      <c r="AH1046" s="3" t="s">
        <v>523</v>
      </c>
      <c r="AI1046" s="4">
        <v>44692</v>
      </c>
      <c r="AJ1046" s="3" t="s">
        <v>1113</v>
      </c>
      <c r="AK1046" s="3" t="s">
        <v>38</v>
      </c>
    </row>
    <row r="1047" spans="1:37" hidden="1" x14ac:dyDescent="0.25">
      <c r="A1047" t="str">
        <f t="shared" si="16"/>
        <v>2022_NSW_WaggaWagga_Lentil_DetailedTOS1VarietyHallmarkXTWaterTrtRainFed</v>
      </c>
      <c r="B1047" s="2">
        <v>2022007</v>
      </c>
      <c r="C1047" s="3" t="s">
        <v>1034</v>
      </c>
      <c r="D1047" s="3" t="s">
        <v>38</v>
      </c>
      <c r="F1047" s="3" t="s">
        <v>4189</v>
      </c>
      <c r="G1047" s="3" t="s">
        <v>39</v>
      </c>
      <c r="H1047" s="3" t="s">
        <v>250</v>
      </c>
      <c r="I1047" s="2">
        <v>80</v>
      </c>
      <c r="J1047" s="2">
        <v>40</v>
      </c>
      <c r="K1047" s="2">
        <v>1</v>
      </c>
      <c r="O1047" s="2">
        <v>2</v>
      </c>
      <c r="U1047" s="2">
        <v>9</v>
      </c>
      <c r="V1047" s="2">
        <v>7</v>
      </c>
      <c r="W1047" s="2">
        <v>8</v>
      </c>
      <c r="X1047" s="2">
        <v>4</v>
      </c>
      <c r="Z1047" s="2">
        <v>9</v>
      </c>
      <c r="AA1047" s="3" t="s">
        <v>40</v>
      </c>
      <c r="AB1047" s="2">
        <v>2</v>
      </c>
      <c r="AF1047" s="2">
        <v>30</v>
      </c>
      <c r="AG1047" s="2">
        <v>1</v>
      </c>
      <c r="AH1047" s="3" t="s">
        <v>523</v>
      </c>
      <c r="AI1047" s="4">
        <v>44692</v>
      </c>
      <c r="AJ1047" s="3" t="s">
        <v>1114</v>
      </c>
      <c r="AK1047" s="3" t="s">
        <v>38</v>
      </c>
    </row>
    <row r="1048" spans="1:37" hidden="1" x14ac:dyDescent="0.25">
      <c r="A1048" t="str">
        <f t="shared" si="16"/>
        <v>2022_NSW_WaggaWagga_Lentil_DetailedTOS1VarietyJumbo2WaterTrtRainFed</v>
      </c>
      <c r="B1048" s="2">
        <v>2022007</v>
      </c>
      <c r="C1048" s="3" t="s">
        <v>1034</v>
      </c>
      <c r="D1048" s="3" t="s">
        <v>38</v>
      </c>
      <c r="F1048" s="3" t="s">
        <v>4176</v>
      </c>
      <c r="G1048" s="3" t="s">
        <v>43</v>
      </c>
      <c r="H1048" s="3" t="s">
        <v>253</v>
      </c>
      <c r="I1048" s="2">
        <v>81</v>
      </c>
      <c r="J1048" s="2">
        <v>41</v>
      </c>
      <c r="K1048" s="2">
        <v>2</v>
      </c>
      <c r="O1048" s="2">
        <v>3</v>
      </c>
      <c r="U1048" s="2">
        <v>6</v>
      </c>
      <c r="V1048" s="2">
        <v>10</v>
      </c>
      <c r="W1048" s="2">
        <v>5</v>
      </c>
      <c r="X1048" s="2">
        <v>5</v>
      </c>
      <c r="AA1048" s="3" t="s">
        <v>40</v>
      </c>
      <c r="AB1048" s="2">
        <v>3</v>
      </c>
      <c r="AF1048" s="2">
        <v>30</v>
      </c>
      <c r="AG1048" s="2">
        <v>1</v>
      </c>
      <c r="AH1048" s="3" t="s">
        <v>523</v>
      </c>
      <c r="AI1048" s="4">
        <v>44692</v>
      </c>
      <c r="AJ1048" s="3" t="s">
        <v>1115</v>
      </c>
      <c r="AK1048" s="3" t="s">
        <v>38</v>
      </c>
    </row>
    <row r="1049" spans="1:37" hidden="1" x14ac:dyDescent="0.25">
      <c r="A1049" t="str">
        <f t="shared" si="16"/>
        <v>2022_NSW_WaggaWagga_Lentil_DetailedTOS1VarietyJumbo2WaterTrtRainFed</v>
      </c>
      <c r="B1049" s="2">
        <v>2022007</v>
      </c>
      <c r="C1049" s="3" t="s">
        <v>1034</v>
      </c>
      <c r="D1049" s="3" t="s">
        <v>38</v>
      </c>
      <c r="F1049" s="3" t="s">
        <v>4176</v>
      </c>
      <c r="G1049" s="3" t="s">
        <v>43</v>
      </c>
      <c r="H1049" s="3" t="s">
        <v>250</v>
      </c>
      <c r="I1049" s="2">
        <v>82</v>
      </c>
      <c r="J1049" s="2">
        <v>41</v>
      </c>
      <c r="K1049" s="2">
        <v>2</v>
      </c>
      <c r="O1049" s="2">
        <v>3</v>
      </c>
      <c r="U1049" s="2">
        <v>6</v>
      </c>
      <c r="V1049" s="2">
        <v>11</v>
      </c>
      <c r="W1049" s="2">
        <v>5</v>
      </c>
      <c r="X1049" s="2">
        <v>6</v>
      </c>
      <c r="Z1049" s="2">
        <v>21</v>
      </c>
      <c r="AA1049" s="3" t="s">
        <v>40</v>
      </c>
      <c r="AB1049" s="2">
        <v>3</v>
      </c>
      <c r="AF1049" s="2">
        <v>30</v>
      </c>
      <c r="AG1049" s="2">
        <v>1</v>
      </c>
      <c r="AH1049" s="3" t="s">
        <v>523</v>
      </c>
      <c r="AI1049" s="4">
        <v>44692</v>
      </c>
      <c r="AJ1049" s="3" t="s">
        <v>1116</v>
      </c>
      <c r="AK1049" s="3" t="s">
        <v>38</v>
      </c>
    </row>
    <row r="1050" spans="1:37" hidden="1" x14ac:dyDescent="0.25">
      <c r="A1050" t="str">
        <f t="shared" si="16"/>
        <v>2022_NSW_WaggaWagga_Lentil_DetailedTOS1VarietyKelpieXTWaterTrtRainFed</v>
      </c>
      <c r="B1050" s="2">
        <v>2022007</v>
      </c>
      <c r="C1050" s="3" t="s">
        <v>1034</v>
      </c>
      <c r="D1050" s="3" t="s">
        <v>38</v>
      </c>
      <c r="F1050" s="3" t="s">
        <v>4188</v>
      </c>
      <c r="G1050" s="3" t="s">
        <v>43</v>
      </c>
      <c r="H1050" s="3" t="s">
        <v>253</v>
      </c>
      <c r="I1050" s="2">
        <v>83</v>
      </c>
      <c r="J1050" s="2">
        <v>42</v>
      </c>
      <c r="K1050" s="2">
        <v>2</v>
      </c>
      <c r="O1050" s="2">
        <v>3</v>
      </c>
      <c r="U1050" s="2">
        <v>7</v>
      </c>
      <c r="V1050" s="2">
        <v>10</v>
      </c>
      <c r="W1050" s="2">
        <v>6</v>
      </c>
      <c r="X1050" s="2">
        <v>5</v>
      </c>
      <c r="AA1050" s="3" t="s">
        <v>40</v>
      </c>
      <c r="AB1050" s="2">
        <v>4</v>
      </c>
      <c r="AF1050" s="2">
        <v>30</v>
      </c>
      <c r="AG1050" s="2">
        <v>1</v>
      </c>
      <c r="AH1050" s="3" t="s">
        <v>523</v>
      </c>
      <c r="AI1050" s="4">
        <v>44692</v>
      </c>
      <c r="AJ1050" s="3" t="s">
        <v>1117</v>
      </c>
      <c r="AK1050" s="3" t="s">
        <v>38</v>
      </c>
    </row>
    <row r="1051" spans="1:37" hidden="1" x14ac:dyDescent="0.25">
      <c r="A1051" t="str">
        <f t="shared" si="16"/>
        <v>2022_NSW_WaggaWagga_Lentil_DetailedTOS1VarietyKelpieXTWaterTrtRainFed</v>
      </c>
      <c r="B1051" s="2">
        <v>2022007</v>
      </c>
      <c r="C1051" s="3" t="s">
        <v>1034</v>
      </c>
      <c r="D1051" s="3" t="s">
        <v>38</v>
      </c>
      <c r="F1051" s="3" t="s">
        <v>4188</v>
      </c>
      <c r="G1051" s="3" t="s">
        <v>43</v>
      </c>
      <c r="H1051" s="3" t="s">
        <v>250</v>
      </c>
      <c r="I1051" s="2">
        <v>84</v>
      </c>
      <c r="J1051" s="2">
        <v>42</v>
      </c>
      <c r="K1051" s="2">
        <v>2</v>
      </c>
      <c r="O1051" s="2">
        <v>3</v>
      </c>
      <c r="U1051" s="2">
        <v>7</v>
      </c>
      <c r="V1051" s="2">
        <v>11</v>
      </c>
      <c r="W1051" s="2">
        <v>6</v>
      </c>
      <c r="X1051" s="2">
        <v>6</v>
      </c>
      <c r="Z1051" s="2">
        <v>22</v>
      </c>
      <c r="AA1051" s="3" t="s">
        <v>40</v>
      </c>
      <c r="AB1051" s="2">
        <v>4</v>
      </c>
      <c r="AF1051" s="2">
        <v>30</v>
      </c>
      <c r="AG1051" s="2">
        <v>1</v>
      </c>
      <c r="AH1051" s="3" t="s">
        <v>523</v>
      </c>
      <c r="AI1051" s="4">
        <v>44692</v>
      </c>
      <c r="AJ1051" s="3" t="s">
        <v>1118</v>
      </c>
      <c r="AK1051" s="3" t="s">
        <v>38</v>
      </c>
    </row>
    <row r="1052" spans="1:37" hidden="1" x14ac:dyDescent="0.25">
      <c r="A1052" t="str">
        <f t="shared" si="16"/>
        <v>2022_NSW_WaggaWagga_Lentil_DetailedTOS1VarietyHallmarkXTWaterTrtRainFed</v>
      </c>
      <c r="B1052" s="2">
        <v>2022007</v>
      </c>
      <c r="C1052" s="3" t="s">
        <v>1034</v>
      </c>
      <c r="D1052" s="3" t="s">
        <v>38</v>
      </c>
      <c r="F1052" s="3" t="s">
        <v>4189</v>
      </c>
      <c r="G1052" s="3" t="s">
        <v>39</v>
      </c>
      <c r="H1052" s="3" t="s">
        <v>253</v>
      </c>
      <c r="I1052" s="2">
        <v>85</v>
      </c>
      <c r="J1052" s="2">
        <v>43</v>
      </c>
      <c r="K1052" s="2">
        <v>2</v>
      </c>
      <c r="O1052" s="2">
        <v>3</v>
      </c>
      <c r="U1052" s="2">
        <v>8</v>
      </c>
      <c r="V1052" s="2">
        <v>10</v>
      </c>
      <c r="W1052" s="2">
        <v>7</v>
      </c>
      <c r="X1052" s="2">
        <v>5</v>
      </c>
      <c r="AA1052" s="3" t="s">
        <v>40</v>
      </c>
      <c r="AB1052" s="2">
        <v>2</v>
      </c>
      <c r="AF1052" s="2">
        <v>30</v>
      </c>
      <c r="AG1052" s="2">
        <v>1</v>
      </c>
      <c r="AH1052" s="3" t="s">
        <v>523</v>
      </c>
      <c r="AI1052" s="4">
        <v>44692</v>
      </c>
      <c r="AJ1052" s="3" t="s">
        <v>1119</v>
      </c>
      <c r="AK1052" s="3" t="s">
        <v>38</v>
      </c>
    </row>
    <row r="1053" spans="1:37" hidden="1" x14ac:dyDescent="0.25">
      <c r="A1053" t="str">
        <f t="shared" si="16"/>
        <v>2022_NSW_WaggaWagga_Lentil_DetailedTOS1VarietyHallmarkXTWaterTrtRainFed</v>
      </c>
      <c r="B1053" s="2">
        <v>2022007</v>
      </c>
      <c r="C1053" s="3" t="s">
        <v>1034</v>
      </c>
      <c r="D1053" s="3" t="s">
        <v>38</v>
      </c>
      <c r="F1053" s="3" t="s">
        <v>4189</v>
      </c>
      <c r="G1053" s="3" t="s">
        <v>39</v>
      </c>
      <c r="H1053" s="3" t="s">
        <v>250</v>
      </c>
      <c r="I1053" s="2">
        <v>86</v>
      </c>
      <c r="J1053" s="2">
        <v>43</v>
      </c>
      <c r="K1053" s="2">
        <v>2</v>
      </c>
      <c r="O1053" s="2">
        <v>3</v>
      </c>
      <c r="U1053" s="2">
        <v>8</v>
      </c>
      <c r="V1053" s="2">
        <v>11</v>
      </c>
      <c r="W1053" s="2">
        <v>7</v>
      </c>
      <c r="X1053" s="2">
        <v>6</v>
      </c>
      <c r="Z1053" s="2">
        <v>23</v>
      </c>
      <c r="AA1053" s="3" t="s">
        <v>40</v>
      </c>
      <c r="AB1053" s="2">
        <v>2</v>
      </c>
      <c r="AF1053" s="2">
        <v>30</v>
      </c>
      <c r="AG1053" s="2">
        <v>1</v>
      </c>
      <c r="AH1053" s="3" t="s">
        <v>523</v>
      </c>
      <c r="AI1053" s="4">
        <v>44692</v>
      </c>
      <c r="AJ1053" s="3" t="s">
        <v>1120</v>
      </c>
      <c r="AK1053" s="3" t="s">
        <v>38</v>
      </c>
    </row>
    <row r="1054" spans="1:37" hidden="1" x14ac:dyDescent="0.25">
      <c r="A1054" t="str">
        <f t="shared" si="16"/>
        <v>2022_NSW_WaggaWagga_Lentil_DetailedTOS1VarietyBoltWaterTrtRainFed</v>
      </c>
      <c r="B1054" s="2">
        <v>2022007</v>
      </c>
      <c r="C1054" s="3" t="s">
        <v>1034</v>
      </c>
      <c r="D1054" s="3" t="s">
        <v>38</v>
      </c>
      <c r="F1054" s="3" t="s">
        <v>4187</v>
      </c>
      <c r="G1054" s="3" t="s">
        <v>39</v>
      </c>
      <c r="H1054" s="3" t="s">
        <v>253</v>
      </c>
      <c r="I1054" s="2">
        <v>87</v>
      </c>
      <c r="J1054" s="2">
        <v>44</v>
      </c>
      <c r="K1054" s="2">
        <v>2</v>
      </c>
      <c r="O1054" s="2">
        <v>3</v>
      </c>
      <c r="U1054" s="2">
        <v>9</v>
      </c>
      <c r="V1054" s="2">
        <v>10</v>
      </c>
      <c r="W1054" s="2">
        <v>8</v>
      </c>
      <c r="X1054" s="2">
        <v>5</v>
      </c>
      <c r="AA1054" s="3" t="s">
        <v>40</v>
      </c>
      <c r="AB1054" s="2">
        <v>1</v>
      </c>
      <c r="AF1054" s="2">
        <v>30</v>
      </c>
      <c r="AG1054" s="2">
        <v>1</v>
      </c>
      <c r="AH1054" s="3" t="s">
        <v>523</v>
      </c>
      <c r="AI1054" s="4">
        <v>44692</v>
      </c>
      <c r="AJ1054" s="3" t="s">
        <v>1121</v>
      </c>
      <c r="AK1054" s="3" t="s">
        <v>38</v>
      </c>
    </row>
    <row r="1055" spans="1:37" hidden="1" x14ac:dyDescent="0.25">
      <c r="A1055" t="str">
        <f t="shared" si="16"/>
        <v>2022_NSW_WaggaWagga_Lentil_DetailedTOS1VarietyBoltWaterTrtRainFed</v>
      </c>
      <c r="B1055" s="2">
        <v>2022007</v>
      </c>
      <c r="C1055" s="3" t="s">
        <v>1034</v>
      </c>
      <c r="D1055" s="3" t="s">
        <v>38</v>
      </c>
      <c r="F1055" s="3" t="s">
        <v>4187</v>
      </c>
      <c r="G1055" s="3" t="s">
        <v>39</v>
      </c>
      <c r="H1055" s="3" t="s">
        <v>250</v>
      </c>
      <c r="I1055" s="2">
        <v>88</v>
      </c>
      <c r="J1055" s="2">
        <v>44</v>
      </c>
      <c r="K1055" s="2">
        <v>2</v>
      </c>
      <c r="O1055" s="2">
        <v>3</v>
      </c>
      <c r="U1055" s="2">
        <v>9</v>
      </c>
      <c r="V1055" s="2">
        <v>11</v>
      </c>
      <c r="W1055" s="2">
        <v>8</v>
      </c>
      <c r="X1055" s="2">
        <v>6</v>
      </c>
      <c r="Z1055" s="2">
        <v>24</v>
      </c>
      <c r="AA1055" s="3" t="s">
        <v>40</v>
      </c>
      <c r="AB1055" s="2">
        <v>1</v>
      </c>
      <c r="AF1055" s="2">
        <v>30</v>
      </c>
      <c r="AG1055" s="2">
        <v>1</v>
      </c>
      <c r="AH1055" s="3" t="s">
        <v>523</v>
      </c>
      <c r="AI1055" s="4">
        <v>44692</v>
      </c>
      <c r="AJ1055" s="3" t="s">
        <v>1122</v>
      </c>
      <c r="AK1055" s="3" t="s">
        <v>38</v>
      </c>
    </row>
    <row r="1056" spans="1:37" hidden="1" x14ac:dyDescent="0.25">
      <c r="A1056" t="str">
        <f t="shared" si="16"/>
        <v>2022_NSW_WaggaWagga_Lentil_DetailedTOS2VarietyHallmarkXTWaterTrtRainFed</v>
      </c>
      <c r="B1056" s="2">
        <v>2022007</v>
      </c>
      <c r="C1056" s="3" t="s">
        <v>1034</v>
      </c>
      <c r="D1056" s="3" t="s">
        <v>38</v>
      </c>
      <c r="F1056" s="3" t="s">
        <v>4189</v>
      </c>
      <c r="G1056" s="3" t="s">
        <v>39</v>
      </c>
      <c r="H1056" s="3" t="s">
        <v>253</v>
      </c>
      <c r="I1056" s="2">
        <v>89</v>
      </c>
      <c r="J1056" s="2">
        <v>45</v>
      </c>
      <c r="K1056" s="2">
        <v>2</v>
      </c>
      <c r="O1056" s="2">
        <v>4</v>
      </c>
      <c r="U1056" s="2">
        <v>6</v>
      </c>
      <c r="V1056" s="2">
        <v>14</v>
      </c>
      <c r="W1056" s="2">
        <v>5</v>
      </c>
      <c r="X1056" s="2">
        <v>7</v>
      </c>
      <c r="AA1056" s="3" t="s">
        <v>40</v>
      </c>
      <c r="AB1056" s="2">
        <v>2</v>
      </c>
      <c r="AF1056" s="2">
        <v>30</v>
      </c>
      <c r="AG1056" s="2">
        <v>2</v>
      </c>
      <c r="AH1056" s="3" t="s">
        <v>514</v>
      </c>
      <c r="AI1056" s="4">
        <v>44727</v>
      </c>
      <c r="AJ1056" s="3" t="s">
        <v>1123</v>
      </c>
      <c r="AK1056" s="3" t="s">
        <v>38</v>
      </c>
    </row>
    <row r="1057" spans="1:37" hidden="1" x14ac:dyDescent="0.25">
      <c r="A1057" t="str">
        <f t="shared" si="16"/>
        <v>2022_NSW_WaggaWagga_Lentil_DetailedTOS2VarietyHallmarkXTWaterTrtRainFed</v>
      </c>
      <c r="B1057" s="2">
        <v>2022007</v>
      </c>
      <c r="C1057" s="3" t="s">
        <v>1034</v>
      </c>
      <c r="D1057" s="3" t="s">
        <v>38</v>
      </c>
      <c r="F1057" s="3" t="s">
        <v>4189</v>
      </c>
      <c r="G1057" s="3" t="s">
        <v>39</v>
      </c>
      <c r="H1057" s="3" t="s">
        <v>250</v>
      </c>
      <c r="I1057" s="2">
        <v>90</v>
      </c>
      <c r="J1057" s="2">
        <v>45</v>
      </c>
      <c r="K1057" s="2">
        <v>2</v>
      </c>
      <c r="O1057" s="2">
        <v>4</v>
      </c>
      <c r="U1057" s="2">
        <v>6</v>
      </c>
      <c r="V1057" s="2">
        <v>15</v>
      </c>
      <c r="W1057" s="2">
        <v>5</v>
      </c>
      <c r="X1057" s="2">
        <v>8</v>
      </c>
      <c r="Z1057" s="2">
        <v>28</v>
      </c>
      <c r="AA1057" s="3" t="s">
        <v>40</v>
      </c>
      <c r="AB1057" s="2">
        <v>2</v>
      </c>
      <c r="AF1057" s="2">
        <v>30</v>
      </c>
      <c r="AG1057" s="2">
        <v>2</v>
      </c>
      <c r="AH1057" s="3" t="s">
        <v>514</v>
      </c>
      <c r="AI1057" s="4">
        <v>44727</v>
      </c>
      <c r="AJ1057" s="3" t="s">
        <v>1124</v>
      </c>
      <c r="AK1057" s="3" t="s">
        <v>38</v>
      </c>
    </row>
    <row r="1058" spans="1:37" hidden="1" x14ac:dyDescent="0.25">
      <c r="A1058" t="str">
        <f t="shared" si="16"/>
        <v>2022_NSW_WaggaWagga_Lentil_DetailedTOS2VarietyJumbo2WaterTrtRainFed</v>
      </c>
      <c r="B1058" s="2">
        <v>2022007</v>
      </c>
      <c r="C1058" s="3" t="s">
        <v>1034</v>
      </c>
      <c r="D1058" s="3" t="s">
        <v>38</v>
      </c>
      <c r="F1058" s="3" t="s">
        <v>4176</v>
      </c>
      <c r="G1058" s="3" t="s">
        <v>43</v>
      </c>
      <c r="H1058" s="3" t="s">
        <v>253</v>
      </c>
      <c r="I1058" s="2">
        <v>91</v>
      </c>
      <c r="J1058" s="2">
        <v>46</v>
      </c>
      <c r="K1058" s="2">
        <v>2</v>
      </c>
      <c r="O1058" s="2">
        <v>4</v>
      </c>
      <c r="U1058" s="2">
        <v>7</v>
      </c>
      <c r="V1058" s="2">
        <v>14</v>
      </c>
      <c r="W1058" s="2">
        <v>6</v>
      </c>
      <c r="X1058" s="2">
        <v>7</v>
      </c>
      <c r="AA1058" s="3" t="s">
        <v>40</v>
      </c>
      <c r="AB1058" s="2">
        <v>3</v>
      </c>
      <c r="AF1058" s="2">
        <v>30</v>
      </c>
      <c r="AG1058" s="2">
        <v>2</v>
      </c>
      <c r="AH1058" s="3" t="s">
        <v>514</v>
      </c>
      <c r="AI1058" s="4">
        <v>44727</v>
      </c>
      <c r="AJ1058" s="3" t="s">
        <v>1125</v>
      </c>
      <c r="AK1058" s="3" t="s">
        <v>38</v>
      </c>
    </row>
    <row r="1059" spans="1:37" hidden="1" x14ac:dyDescent="0.25">
      <c r="A1059" t="str">
        <f t="shared" si="16"/>
        <v>2022_NSW_WaggaWagga_Lentil_DetailedTOS2VarietyJumbo2WaterTrtRainFed</v>
      </c>
      <c r="B1059" s="2">
        <v>2022007</v>
      </c>
      <c r="C1059" s="3" t="s">
        <v>1034</v>
      </c>
      <c r="D1059" s="3" t="s">
        <v>38</v>
      </c>
      <c r="F1059" s="3" t="s">
        <v>4176</v>
      </c>
      <c r="G1059" s="3" t="s">
        <v>43</v>
      </c>
      <c r="H1059" s="3" t="s">
        <v>250</v>
      </c>
      <c r="I1059" s="2">
        <v>92</v>
      </c>
      <c r="J1059" s="2">
        <v>46</v>
      </c>
      <c r="K1059" s="2">
        <v>2</v>
      </c>
      <c r="O1059" s="2">
        <v>4</v>
      </c>
      <c r="U1059" s="2">
        <v>7</v>
      </c>
      <c r="V1059" s="2">
        <v>15</v>
      </c>
      <c r="W1059" s="2">
        <v>6</v>
      </c>
      <c r="X1059" s="2">
        <v>8</v>
      </c>
      <c r="Z1059" s="2">
        <v>27</v>
      </c>
      <c r="AA1059" s="3" t="s">
        <v>40</v>
      </c>
      <c r="AB1059" s="2">
        <v>3</v>
      </c>
      <c r="AF1059" s="2">
        <v>30</v>
      </c>
      <c r="AG1059" s="2">
        <v>2</v>
      </c>
      <c r="AH1059" s="3" t="s">
        <v>514</v>
      </c>
      <c r="AI1059" s="4">
        <v>44727</v>
      </c>
      <c r="AJ1059" s="3" t="s">
        <v>1126</v>
      </c>
      <c r="AK1059" s="3" t="s">
        <v>38</v>
      </c>
    </row>
    <row r="1060" spans="1:37" hidden="1" x14ac:dyDescent="0.25">
      <c r="A1060" t="str">
        <f t="shared" si="16"/>
        <v>2022_NSW_WaggaWagga_Lentil_DetailedTOS2VarietyBoltWaterTrtRainFed</v>
      </c>
      <c r="B1060" s="2">
        <v>2022007</v>
      </c>
      <c r="C1060" s="3" t="s">
        <v>1034</v>
      </c>
      <c r="D1060" s="3" t="s">
        <v>38</v>
      </c>
      <c r="F1060" s="3" t="s">
        <v>4187</v>
      </c>
      <c r="G1060" s="3" t="s">
        <v>39</v>
      </c>
      <c r="H1060" s="3" t="s">
        <v>253</v>
      </c>
      <c r="I1060" s="2">
        <v>93</v>
      </c>
      <c r="J1060" s="2">
        <v>47</v>
      </c>
      <c r="K1060" s="2">
        <v>2</v>
      </c>
      <c r="O1060" s="2">
        <v>4</v>
      </c>
      <c r="U1060" s="2">
        <v>8</v>
      </c>
      <c r="V1060" s="2">
        <v>14</v>
      </c>
      <c r="W1060" s="2">
        <v>7</v>
      </c>
      <c r="X1060" s="2">
        <v>7</v>
      </c>
      <c r="AA1060" s="3" t="s">
        <v>40</v>
      </c>
      <c r="AB1060" s="2">
        <v>1</v>
      </c>
      <c r="AF1060" s="2">
        <v>30</v>
      </c>
      <c r="AG1060" s="2">
        <v>2</v>
      </c>
      <c r="AH1060" s="3" t="s">
        <v>514</v>
      </c>
      <c r="AI1060" s="4">
        <v>44727</v>
      </c>
      <c r="AJ1060" s="3" t="s">
        <v>1127</v>
      </c>
      <c r="AK1060" s="3" t="s">
        <v>38</v>
      </c>
    </row>
    <row r="1061" spans="1:37" hidden="1" x14ac:dyDescent="0.25">
      <c r="A1061" t="str">
        <f t="shared" si="16"/>
        <v>2022_NSW_WaggaWagga_Lentil_DetailedTOS2VarietyBoltWaterTrtRainFed</v>
      </c>
      <c r="B1061" s="2">
        <v>2022007</v>
      </c>
      <c r="C1061" s="3" t="s">
        <v>1034</v>
      </c>
      <c r="D1061" s="3" t="s">
        <v>38</v>
      </c>
      <c r="F1061" s="3" t="s">
        <v>4187</v>
      </c>
      <c r="G1061" s="3" t="s">
        <v>39</v>
      </c>
      <c r="H1061" s="3" t="s">
        <v>250</v>
      </c>
      <c r="I1061" s="2">
        <v>94</v>
      </c>
      <c r="J1061" s="2">
        <v>47</v>
      </c>
      <c r="K1061" s="2">
        <v>2</v>
      </c>
      <c r="O1061" s="2">
        <v>4</v>
      </c>
      <c r="U1061" s="2">
        <v>8</v>
      </c>
      <c r="V1061" s="2">
        <v>15</v>
      </c>
      <c r="W1061" s="2">
        <v>7</v>
      </c>
      <c r="X1061" s="2">
        <v>8</v>
      </c>
      <c r="Z1061" s="2">
        <v>26</v>
      </c>
      <c r="AA1061" s="3" t="s">
        <v>40</v>
      </c>
      <c r="AB1061" s="2">
        <v>1</v>
      </c>
      <c r="AF1061" s="2">
        <v>30</v>
      </c>
      <c r="AG1061" s="2">
        <v>2</v>
      </c>
      <c r="AH1061" s="3" t="s">
        <v>514</v>
      </c>
      <c r="AI1061" s="4">
        <v>44727</v>
      </c>
      <c r="AJ1061" s="3" t="s">
        <v>1128</v>
      </c>
      <c r="AK1061" s="3" t="s">
        <v>38</v>
      </c>
    </row>
    <row r="1062" spans="1:37" hidden="1" x14ac:dyDescent="0.25">
      <c r="A1062" t="str">
        <f t="shared" si="16"/>
        <v>2022_NSW_WaggaWagga_Lentil_DetailedTOS2VarietyKelpieXTWaterTrtRainFed</v>
      </c>
      <c r="B1062" s="2">
        <v>2022007</v>
      </c>
      <c r="C1062" s="3" t="s">
        <v>1034</v>
      </c>
      <c r="D1062" s="3" t="s">
        <v>38</v>
      </c>
      <c r="F1062" s="3" t="s">
        <v>4188</v>
      </c>
      <c r="G1062" s="3" t="s">
        <v>43</v>
      </c>
      <c r="H1062" s="3" t="s">
        <v>253</v>
      </c>
      <c r="I1062" s="2">
        <v>95</v>
      </c>
      <c r="J1062" s="2">
        <v>48</v>
      </c>
      <c r="K1062" s="2">
        <v>2</v>
      </c>
      <c r="O1062" s="2">
        <v>4</v>
      </c>
      <c r="U1062" s="2">
        <v>9</v>
      </c>
      <c r="V1062" s="2">
        <v>14</v>
      </c>
      <c r="W1062" s="2">
        <v>8</v>
      </c>
      <c r="X1062" s="2">
        <v>7</v>
      </c>
      <c r="AA1062" s="3" t="s">
        <v>40</v>
      </c>
      <c r="AB1062" s="2">
        <v>4</v>
      </c>
      <c r="AF1062" s="2">
        <v>30</v>
      </c>
      <c r="AG1062" s="2">
        <v>2</v>
      </c>
      <c r="AH1062" s="3" t="s">
        <v>514</v>
      </c>
      <c r="AI1062" s="4">
        <v>44727</v>
      </c>
      <c r="AJ1062" s="3" t="s">
        <v>1129</v>
      </c>
      <c r="AK1062" s="3" t="s">
        <v>38</v>
      </c>
    </row>
    <row r="1063" spans="1:37" hidden="1" x14ac:dyDescent="0.25">
      <c r="A1063" t="str">
        <f t="shared" si="16"/>
        <v>2022_NSW_WaggaWagga_Lentil_DetailedTOS2VarietyKelpieXTWaterTrtRainFed</v>
      </c>
      <c r="B1063" s="2">
        <v>2022007</v>
      </c>
      <c r="C1063" s="3" t="s">
        <v>1034</v>
      </c>
      <c r="D1063" s="3" t="s">
        <v>38</v>
      </c>
      <c r="F1063" s="3" t="s">
        <v>4188</v>
      </c>
      <c r="G1063" s="3" t="s">
        <v>43</v>
      </c>
      <c r="H1063" s="3" t="s">
        <v>250</v>
      </c>
      <c r="I1063" s="2">
        <v>96</v>
      </c>
      <c r="J1063" s="2">
        <v>48</v>
      </c>
      <c r="K1063" s="2">
        <v>2</v>
      </c>
      <c r="O1063" s="2">
        <v>4</v>
      </c>
      <c r="U1063" s="2">
        <v>9</v>
      </c>
      <c r="V1063" s="2">
        <v>15</v>
      </c>
      <c r="W1063" s="2">
        <v>8</v>
      </c>
      <c r="X1063" s="2">
        <v>8</v>
      </c>
      <c r="Z1063" s="2">
        <v>25</v>
      </c>
      <c r="AA1063" s="3" t="s">
        <v>40</v>
      </c>
      <c r="AB1063" s="2">
        <v>4</v>
      </c>
      <c r="AF1063" s="2">
        <v>30</v>
      </c>
      <c r="AG1063" s="2">
        <v>2</v>
      </c>
      <c r="AH1063" s="3" t="s">
        <v>514</v>
      </c>
      <c r="AI1063" s="4">
        <v>44727</v>
      </c>
      <c r="AJ1063" s="3" t="s">
        <v>1130</v>
      </c>
      <c r="AK1063" s="3" t="s">
        <v>38</v>
      </c>
    </row>
    <row r="1064" spans="1:37" hidden="1" x14ac:dyDescent="0.25">
      <c r="A1064" t="str">
        <f t="shared" si="16"/>
        <v>2022_NSW_WaggaWagga_Lentil_DetailedTOS1VarietyHallmarkXTWaterTrtRainFed</v>
      </c>
      <c r="B1064" s="2">
        <v>2022007</v>
      </c>
      <c r="C1064" s="3" t="s">
        <v>1034</v>
      </c>
      <c r="D1064" s="3" t="s">
        <v>38</v>
      </c>
      <c r="F1064" s="3" t="s">
        <v>4189</v>
      </c>
      <c r="G1064" s="3" t="s">
        <v>39</v>
      </c>
      <c r="H1064" s="3" t="s">
        <v>253</v>
      </c>
      <c r="I1064" s="2">
        <v>97</v>
      </c>
      <c r="J1064" s="2">
        <v>49</v>
      </c>
      <c r="K1064" s="2">
        <v>3</v>
      </c>
      <c r="O1064" s="2">
        <v>5</v>
      </c>
      <c r="U1064" s="2">
        <v>6</v>
      </c>
      <c r="V1064" s="2">
        <v>18</v>
      </c>
      <c r="W1064" s="2">
        <v>5</v>
      </c>
      <c r="X1064" s="2">
        <v>9</v>
      </c>
      <c r="AA1064" s="3" t="s">
        <v>40</v>
      </c>
      <c r="AB1064" s="2">
        <v>2</v>
      </c>
      <c r="AF1064" s="2">
        <v>30</v>
      </c>
      <c r="AG1064" s="2">
        <v>1</v>
      </c>
      <c r="AH1064" s="3" t="s">
        <v>523</v>
      </c>
      <c r="AI1064" s="4">
        <v>44692</v>
      </c>
      <c r="AJ1064" s="3" t="s">
        <v>1131</v>
      </c>
      <c r="AK1064" s="3" t="s">
        <v>38</v>
      </c>
    </row>
    <row r="1065" spans="1:37" hidden="1" x14ac:dyDescent="0.25">
      <c r="A1065" t="str">
        <f t="shared" si="16"/>
        <v>2022_NSW_WaggaWagga_Lentil_DetailedTOS1VarietyHallmarkXTWaterTrtRainFed</v>
      </c>
      <c r="B1065" s="2">
        <v>2022007</v>
      </c>
      <c r="C1065" s="3" t="s">
        <v>1034</v>
      </c>
      <c r="D1065" s="3" t="s">
        <v>38</v>
      </c>
      <c r="F1065" s="3" t="s">
        <v>4189</v>
      </c>
      <c r="G1065" s="3" t="s">
        <v>39</v>
      </c>
      <c r="H1065" s="3" t="s">
        <v>250</v>
      </c>
      <c r="I1065" s="2">
        <v>98</v>
      </c>
      <c r="J1065" s="2">
        <v>49</v>
      </c>
      <c r="K1065" s="2">
        <v>3</v>
      </c>
      <c r="O1065" s="2">
        <v>5</v>
      </c>
      <c r="U1065" s="2">
        <v>6</v>
      </c>
      <c r="V1065" s="2">
        <v>19</v>
      </c>
      <c r="W1065" s="2">
        <v>5</v>
      </c>
      <c r="X1065" s="2">
        <v>10</v>
      </c>
      <c r="Z1065" s="2">
        <v>37</v>
      </c>
      <c r="AA1065" s="3" t="s">
        <v>40</v>
      </c>
      <c r="AB1065" s="2">
        <v>2</v>
      </c>
      <c r="AF1065" s="2">
        <v>30</v>
      </c>
      <c r="AG1065" s="2">
        <v>1</v>
      </c>
      <c r="AH1065" s="3" t="s">
        <v>523</v>
      </c>
      <c r="AI1065" s="4">
        <v>44692</v>
      </c>
      <c r="AJ1065" s="3" t="s">
        <v>1132</v>
      </c>
      <c r="AK1065" s="3" t="s">
        <v>38</v>
      </c>
    </row>
    <row r="1066" spans="1:37" hidden="1" x14ac:dyDescent="0.25">
      <c r="A1066" t="str">
        <f t="shared" si="16"/>
        <v>2022_NSW_WaggaWagga_Lentil_DetailedTOS1VarietyBoltWaterTrtRainFed</v>
      </c>
      <c r="B1066" s="2">
        <v>2022007</v>
      </c>
      <c r="C1066" s="3" t="s">
        <v>1034</v>
      </c>
      <c r="D1066" s="3" t="s">
        <v>38</v>
      </c>
      <c r="F1066" s="3" t="s">
        <v>4187</v>
      </c>
      <c r="G1066" s="3" t="s">
        <v>39</v>
      </c>
      <c r="H1066" s="3" t="s">
        <v>253</v>
      </c>
      <c r="I1066" s="2">
        <v>99</v>
      </c>
      <c r="J1066" s="2">
        <v>50</v>
      </c>
      <c r="K1066" s="2">
        <v>3</v>
      </c>
      <c r="O1066" s="2">
        <v>5</v>
      </c>
      <c r="U1066" s="2">
        <v>7</v>
      </c>
      <c r="V1066" s="2">
        <v>18</v>
      </c>
      <c r="W1066" s="2">
        <v>6</v>
      </c>
      <c r="X1066" s="2">
        <v>9</v>
      </c>
      <c r="AA1066" s="3" t="s">
        <v>40</v>
      </c>
      <c r="AB1066" s="2">
        <v>1</v>
      </c>
      <c r="AF1066" s="2">
        <v>30</v>
      </c>
      <c r="AG1066" s="2">
        <v>1</v>
      </c>
      <c r="AH1066" s="3" t="s">
        <v>523</v>
      </c>
      <c r="AI1066" s="4">
        <v>44692</v>
      </c>
      <c r="AJ1066" s="3" t="s">
        <v>1133</v>
      </c>
      <c r="AK1066" s="3" t="s">
        <v>38</v>
      </c>
    </row>
    <row r="1067" spans="1:37" hidden="1" x14ac:dyDescent="0.25">
      <c r="A1067" t="str">
        <f t="shared" si="16"/>
        <v>2022_NSW_WaggaWagga_Lentil_DetailedTOS1VarietyBoltWaterTrtRainFed</v>
      </c>
      <c r="B1067" s="2">
        <v>2022007</v>
      </c>
      <c r="C1067" s="3" t="s">
        <v>1034</v>
      </c>
      <c r="D1067" s="3" t="s">
        <v>38</v>
      </c>
      <c r="F1067" s="3" t="s">
        <v>4187</v>
      </c>
      <c r="G1067" s="3" t="s">
        <v>39</v>
      </c>
      <c r="H1067" s="3" t="s">
        <v>250</v>
      </c>
      <c r="I1067" s="2">
        <v>100</v>
      </c>
      <c r="J1067" s="2">
        <v>50</v>
      </c>
      <c r="K1067" s="2">
        <v>3</v>
      </c>
      <c r="O1067" s="2">
        <v>5</v>
      </c>
      <c r="U1067" s="2">
        <v>7</v>
      </c>
      <c r="V1067" s="2">
        <v>19</v>
      </c>
      <c r="W1067" s="2">
        <v>6</v>
      </c>
      <c r="X1067" s="2">
        <v>10</v>
      </c>
      <c r="Z1067" s="2">
        <v>38</v>
      </c>
      <c r="AA1067" s="3" t="s">
        <v>40</v>
      </c>
      <c r="AB1067" s="2">
        <v>1</v>
      </c>
      <c r="AF1067" s="2">
        <v>30</v>
      </c>
      <c r="AG1067" s="2">
        <v>1</v>
      </c>
      <c r="AH1067" s="3" t="s">
        <v>523</v>
      </c>
      <c r="AI1067" s="4">
        <v>44692</v>
      </c>
      <c r="AJ1067" s="3" t="s">
        <v>1134</v>
      </c>
      <c r="AK1067" s="3" t="s">
        <v>38</v>
      </c>
    </row>
    <row r="1068" spans="1:37" hidden="1" x14ac:dyDescent="0.25">
      <c r="A1068" t="str">
        <f t="shared" si="16"/>
        <v>2022_NSW_WaggaWagga_Lentil_DetailedTOS1VarietyKelpieXTWaterTrtRainFed</v>
      </c>
      <c r="B1068" s="2">
        <v>2022007</v>
      </c>
      <c r="C1068" s="3" t="s">
        <v>1034</v>
      </c>
      <c r="D1068" s="3" t="s">
        <v>38</v>
      </c>
      <c r="F1068" s="3" t="s">
        <v>4188</v>
      </c>
      <c r="G1068" s="3" t="s">
        <v>43</v>
      </c>
      <c r="H1068" s="3" t="s">
        <v>253</v>
      </c>
      <c r="I1068" s="2">
        <v>101</v>
      </c>
      <c r="J1068" s="2">
        <v>51</v>
      </c>
      <c r="K1068" s="2">
        <v>3</v>
      </c>
      <c r="O1068" s="2">
        <v>5</v>
      </c>
      <c r="U1068" s="2">
        <v>8</v>
      </c>
      <c r="V1068" s="2">
        <v>18</v>
      </c>
      <c r="W1068" s="2">
        <v>7</v>
      </c>
      <c r="X1068" s="2">
        <v>9</v>
      </c>
      <c r="AA1068" s="3" t="s">
        <v>40</v>
      </c>
      <c r="AB1068" s="2">
        <v>4</v>
      </c>
      <c r="AF1068" s="2">
        <v>30</v>
      </c>
      <c r="AG1068" s="2">
        <v>1</v>
      </c>
      <c r="AH1068" s="3" t="s">
        <v>523</v>
      </c>
      <c r="AI1068" s="4">
        <v>44692</v>
      </c>
      <c r="AJ1068" s="3" t="s">
        <v>1135</v>
      </c>
      <c r="AK1068" s="3" t="s">
        <v>38</v>
      </c>
    </row>
    <row r="1069" spans="1:37" hidden="1" x14ac:dyDescent="0.25">
      <c r="A1069" t="str">
        <f t="shared" si="16"/>
        <v>2022_NSW_WaggaWagga_Lentil_DetailedTOS1VarietyKelpieXTWaterTrtRainFed</v>
      </c>
      <c r="B1069" s="2">
        <v>2022007</v>
      </c>
      <c r="C1069" s="3" t="s">
        <v>1034</v>
      </c>
      <c r="D1069" s="3" t="s">
        <v>38</v>
      </c>
      <c r="F1069" s="3" t="s">
        <v>4188</v>
      </c>
      <c r="G1069" s="3" t="s">
        <v>43</v>
      </c>
      <c r="H1069" s="3" t="s">
        <v>250</v>
      </c>
      <c r="I1069" s="2">
        <v>102</v>
      </c>
      <c r="J1069" s="2">
        <v>51</v>
      </c>
      <c r="K1069" s="2">
        <v>3</v>
      </c>
      <c r="O1069" s="2">
        <v>5</v>
      </c>
      <c r="U1069" s="2">
        <v>8</v>
      </c>
      <c r="V1069" s="2">
        <v>19</v>
      </c>
      <c r="W1069" s="2">
        <v>7</v>
      </c>
      <c r="X1069" s="2">
        <v>10</v>
      </c>
      <c r="Z1069" s="2">
        <v>39</v>
      </c>
      <c r="AA1069" s="3" t="s">
        <v>40</v>
      </c>
      <c r="AB1069" s="2">
        <v>4</v>
      </c>
      <c r="AF1069" s="2">
        <v>30</v>
      </c>
      <c r="AG1069" s="2">
        <v>1</v>
      </c>
      <c r="AH1069" s="3" t="s">
        <v>523</v>
      </c>
      <c r="AI1069" s="4">
        <v>44692</v>
      </c>
      <c r="AJ1069" s="3" t="s">
        <v>1136</v>
      </c>
      <c r="AK1069" s="3" t="s">
        <v>38</v>
      </c>
    </row>
    <row r="1070" spans="1:37" hidden="1" x14ac:dyDescent="0.25">
      <c r="A1070" t="str">
        <f t="shared" si="16"/>
        <v>2022_NSW_WaggaWagga_Lentil_DetailedTOS1VarietyJumbo2WaterTrtRainFed</v>
      </c>
      <c r="B1070" s="2">
        <v>2022007</v>
      </c>
      <c r="C1070" s="3" t="s">
        <v>1034</v>
      </c>
      <c r="D1070" s="3" t="s">
        <v>38</v>
      </c>
      <c r="F1070" s="3" t="s">
        <v>4176</v>
      </c>
      <c r="G1070" s="3" t="s">
        <v>43</v>
      </c>
      <c r="H1070" s="3" t="s">
        <v>253</v>
      </c>
      <c r="I1070" s="2">
        <v>103</v>
      </c>
      <c r="J1070" s="2">
        <v>52</v>
      </c>
      <c r="K1070" s="2">
        <v>3</v>
      </c>
      <c r="O1070" s="2">
        <v>5</v>
      </c>
      <c r="U1070" s="2">
        <v>9</v>
      </c>
      <c r="V1070" s="2">
        <v>18</v>
      </c>
      <c r="W1070" s="2">
        <v>8</v>
      </c>
      <c r="X1070" s="2">
        <v>9</v>
      </c>
      <c r="AA1070" s="3" t="s">
        <v>40</v>
      </c>
      <c r="AB1070" s="2">
        <v>3</v>
      </c>
      <c r="AF1070" s="2">
        <v>30</v>
      </c>
      <c r="AG1070" s="2">
        <v>1</v>
      </c>
      <c r="AH1070" s="3" t="s">
        <v>523</v>
      </c>
      <c r="AI1070" s="4">
        <v>44692</v>
      </c>
      <c r="AJ1070" s="3" t="s">
        <v>1137</v>
      </c>
      <c r="AK1070" s="3" t="s">
        <v>38</v>
      </c>
    </row>
    <row r="1071" spans="1:37" hidden="1" x14ac:dyDescent="0.25">
      <c r="A1071" t="str">
        <f t="shared" si="16"/>
        <v>2022_NSW_WaggaWagga_Lentil_DetailedTOS1VarietyJumbo2WaterTrtRainFed</v>
      </c>
      <c r="B1071" s="2">
        <v>2022007</v>
      </c>
      <c r="C1071" s="3" t="s">
        <v>1034</v>
      </c>
      <c r="D1071" s="3" t="s">
        <v>38</v>
      </c>
      <c r="F1071" s="3" t="s">
        <v>4176</v>
      </c>
      <c r="G1071" s="3" t="s">
        <v>43</v>
      </c>
      <c r="H1071" s="3" t="s">
        <v>250</v>
      </c>
      <c r="I1071" s="2">
        <v>104</v>
      </c>
      <c r="J1071" s="2">
        <v>52</v>
      </c>
      <c r="K1071" s="2">
        <v>3</v>
      </c>
      <c r="O1071" s="2">
        <v>5</v>
      </c>
      <c r="U1071" s="2">
        <v>9</v>
      </c>
      <c r="V1071" s="2">
        <v>19</v>
      </c>
      <c r="W1071" s="2">
        <v>8</v>
      </c>
      <c r="X1071" s="2">
        <v>10</v>
      </c>
      <c r="Z1071" s="2">
        <v>40</v>
      </c>
      <c r="AA1071" s="3" t="s">
        <v>40</v>
      </c>
      <c r="AB1071" s="2">
        <v>3</v>
      </c>
      <c r="AF1071" s="2">
        <v>30</v>
      </c>
      <c r="AG1071" s="2">
        <v>1</v>
      </c>
      <c r="AH1071" s="3" t="s">
        <v>523</v>
      </c>
      <c r="AI1071" s="4">
        <v>44692</v>
      </c>
      <c r="AJ1071" s="3" t="s">
        <v>1138</v>
      </c>
      <c r="AK1071" s="3" t="s">
        <v>38</v>
      </c>
    </row>
    <row r="1072" spans="1:37" hidden="1" x14ac:dyDescent="0.25">
      <c r="A1072" t="str">
        <f t="shared" si="16"/>
        <v>2022_NSW_WaggaWagga_Lentil_DetailedTOS2VarietyKelpieXTWaterTrtRainFed</v>
      </c>
      <c r="B1072" s="2">
        <v>2022007</v>
      </c>
      <c r="C1072" s="3" t="s">
        <v>1034</v>
      </c>
      <c r="D1072" s="3" t="s">
        <v>38</v>
      </c>
      <c r="F1072" s="3" t="s">
        <v>4188</v>
      </c>
      <c r="G1072" s="3" t="s">
        <v>43</v>
      </c>
      <c r="H1072" s="3" t="s">
        <v>253</v>
      </c>
      <c r="I1072" s="2">
        <v>105</v>
      </c>
      <c r="J1072" s="2">
        <v>53</v>
      </c>
      <c r="K1072" s="2">
        <v>3</v>
      </c>
      <c r="O1072" s="2">
        <v>6</v>
      </c>
      <c r="U1072" s="2">
        <v>6</v>
      </c>
      <c r="V1072" s="2">
        <v>22</v>
      </c>
      <c r="W1072" s="2">
        <v>5</v>
      </c>
      <c r="X1072" s="2">
        <v>11</v>
      </c>
      <c r="AA1072" s="3" t="s">
        <v>40</v>
      </c>
      <c r="AB1072" s="2">
        <v>4</v>
      </c>
      <c r="AF1072" s="2">
        <v>30</v>
      </c>
      <c r="AG1072" s="2">
        <v>2</v>
      </c>
      <c r="AH1072" s="3" t="s">
        <v>514</v>
      </c>
      <c r="AI1072" s="4">
        <v>44727</v>
      </c>
      <c r="AJ1072" s="3" t="s">
        <v>1139</v>
      </c>
      <c r="AK1072" s="3" t="s">
        <v>38</v>
      </c>
    </row>
    <row r="1073" spans="1:37" hidden="1" x14ac:dyDescent="0.25">
      <c r="A1073" t="str">
        <f t="shared" si="16"/>
        <v>2022_NSW_WaggaWagga_Lentil_DetailedTOS2VarietyKelpieXTWaterTrtRainFed</v>
      </c>
      <c r="B1073" s="2">
        <v>2022007</v>
      </c>
      <c r="C1073" s="3" t="s">
        <v>1034</v>
      </c>
      <c r="D1073" s="3" t="s">
        <v>38</v>
      </c>
      <c r="F1073" s="3" t="s">
        <v>4188</v>
      </c>
      <c r="G1073" s="3" t="s">
        <v>43</v>
      </c>
      <c r="H1073" s="3" t="s">
        <v>250</v>
      </c>
      <c r="I1073" s="2">
        <v>106</v>
      </c>
      <c r="J1073" s="2">
        <v>53</v>
      </c>
      <c r="K1073" s="2">
        <v>3</v>
      </c>
      <c r="O1073" s="2">
        <v>6</v>
      </c>
      <c r="U1073" s="2">
        <v>6</v>
      </c>
      <c r="V1073" s="2">
        <v>23</v>
      </c>
      <c r="W1073" s="2">
        <v>5</v>
      </c>
      <c r="X1073" s="2">
        <v>12</v>
      </c>
      <c r="Z1073" s="2">
        <v>44</v>
      </c>
      <c r="AA1073" s="3" t="s">
        <v>40</v>
      </c>
      <c r="AB1073" s="2">
        <v>4</v>
      </c>
      <c r="AF1073" s="2">
        <v>30</v>
      </c>
      <c r="AG1073" s="2">
        <v>2</v>
      </c>
      <c r="AH1073" s="3" t="s">
        <v>514</v>
      </c>
      <c r="AI1073" s="4">
        <v>44727</v>
      </c>
      <c r="AJ1073" s="3" t="s">
        <v>1140</v>
      </c>
      <c r="AK1073" s="3" t="s">
        <v>38</v>
      </c>
    </row>
    <row r="1074" spans="1:37" hidden="1" x14ac:dyDescent="0.25">
      <c r="A1074" t="str">
        <f t="shared" si="16"/>
        <v>2022_NSW_WaggaWagga_Lentil_DetailedTOS2VarietyHallmarkXTWaterTrtRainFed</v>
      </c>
      <c r="B1074" s="2">
        <v>2022007</v>
      </c>
      <c r="C1074" s="3" t="s">
        <v>1034</v>
      </c>
      <c r="D1074" s="3" t="s">
        <v>38</v>
      </c>
      <c r="F1074" s="3" t="s">
        <v>4189</v>
      </c>
      <c r="G1074" s="3" t="s">
        <v>39</v>
      </c>
      <c r="H1074" s="3" t="s">
        <v>253</v>
      </c>
      <c r="I1074" s="2">
        <v>107</v>
      </c>
      <c r="J1074" s="2">
        <v>54</v>
      </c>
      <c r="K1074" s="2">
        <v>3</v>
      </c>
      <c r="O1074" s="2">
        <v>6</v>
      </c>
      <c r="U1074" s="2">
        <v>7</v>
      </c>
      <c r="V1074" s="2">
        <v>22</v>
      </c>
      <c r="W1074" s="2">
        <v>6</v>
      </c>
      <c r="X1074" s="2">
        <v>11</v>
      </c>
      <c r="AA1074" s="3" t="s">
        <v>40</v>
      </c>
      <c r="AB1074" s="2">
        <v>2</v>
      </c>
      <c r="AF1074" s="2">
        <v>30</v>
      </c>
      <c r="AG1074" s="2">
        <v>2</v>
      </c>
      <c r="AH1074" s="3" t="s">
        <v>514</v>
      </c>
      <c r="AI1074" s="4">
        <v>44727</v>
      </c>
      <c r="AJ1074" s="3" t="s">
        <v>1141</v>
      </c>
      <c r="AK1074" s="3" t="s">
        <v>38</v>
      </c>
    </row>
    <row r="1075" spans="1:37" hidden="1" x14ac:dyDescent="0.25">
      <c r="A1075" t="str">
        <f t="shared" si="16"/>
        <v>2022_NSW_WaggaWagga_Lentil_DetailedTOS2VarietyHallmarkXTWaterTrtRainFed</v>
      </c>
      <c r="B1075" s="2">
        <v>2022007</v>
      </c>
      <c r="C1075" s="3" t="s">
        <v>1034</v>
      </c>
      <c r="D1075" s="3" t="s">
        <v>38</v>
      </c>
      <c r="F1075" s="3" t="s">
        <v>4189</v>
      </c>
      <c r="G1075" s="3" t="s">
        <v>39</v>
      </c>
      <c r="H1075" s="3" t="s">
        <v>250</v>
      </c>
      <c r="I1075" s="2">
        <v>108</v>
      </c>
      <c r="J1075" s="2">
        <v>54</v>
      </c>
      <c r="K1075" s="2">
        <v>3</v>
      </c>
      <c r="O1075" s="2">
        <v>6</v>
      </c>
      <c r="U1075" s="2">
        <v>7</v>
      </c>
      <c r="V1075" s="2">
        <v>23</v>
      </c>
      <c r="W1075" s="2">
        <v>6</v>
      </c>
      <c r="X1075" s="2">
        <v>12</v>
      </c>
      <c r="Z1075" s="2">
        <v>43</v>
      </c>
      <c r="AA1075" s="3" t="s">
        <v>40</v>
      </c>
      <c r="AB1075" s="2">
        <v>2</v>
      </c>
      <c r="AF1075" s="2">
        <v>30</v>
      </c>
      <c r="AG1075" s="2">
        <v>2</v>
      </c>
      <c r="AH1075" s="3" t="s">
        <v>514</v>
      </c>
      <c r="AI1075" s="4">
        <v>44727</v>
      </c>
      <c r="AJ1075" s="3" t="s">
        <v>1142</v>
      </c>
      <c r="AK1075" s="3" t="s">
        <v>38</v>
      </c>
    </row>
    <row r="1076" spans="1:37" hidden="1" x14ac:dyDescent="0.25">
      <c r="A1076" t="str">
        <f t="shared" si="16"/>
        <v>2022_NSW_WaggaWagga_Lentil_DetailedTOS2VarietyJumbo2WaterTrtRainFed</v>
      </c>
      <c r="B1076" s="2">
        <v>2022007</v>
      </c>
      <c r="C1076" s="3" t="s">
        <v>1034</v>
      </c>
      <c r="D1076" s="3" t="s">
        <v>38</v>
      </c>
      <c r="F1076" s="3" t="s">
        <v>4176</v>
      </c>
      <c r="G1076" s="3" t="s">
        <v>43</v>
      </c>
      <c r="H1076" s="3" t="s">
        <v>253</v>
      </c>
      <c r="I1076" s="2">
        <v>109</v>
      </c>
      <c r="J1076" s="2">
        <v>55</v>
      </c>
      <c r="K1076" s="2">
        <v>3</v>
      </c>
      <c r="O1076" s="2">
        <v>6</v>
      </c>
      <c r="U1076" s="2">
        <v>8</v>
      </c>
      <c r="V1076" s="2">
        <v>22</v>
      </c>
      <c r="W1076" s="2">
        <v>7</v>
      </c>
      <c r="X1076" s="2">
        <v>11</v>
      </c>
      <c r="AA1076" s="3" t="s">
        <v>40</v>
      </c>
      <c r="AB1076" s="2">
        <v>3</v>
      </c>
      <c r="AF1076" s="2">
        <v>30</v>
      </c>
      <c r="AG1076" s="2">
        <v>2</v>
      </c>
      <c r="AH1076" s="3" t="s">
        <v>514</v>
      </c>
      <c r="AI1076" s="4">
        <v>44727</v>
      </c>
      <c r="AJ1076" s="3" t="s">
        <v>1143</v>
      </c>
      <c r="AK1076" s="3" t="s">
        <v>38</v>
      </c>
    </row>
    <row r="1077" spans="1:37" hidden="1" x14ac:dyDescent="0.25">
      <c r="A1077" t="str">
        <f t="shared" si="16"/>
        <v>2022_NSW_WaggaWagga_Lentil_DetailedTOS2VarietyJumbo2WaterTrtRainFed</v>
      </c>
      <c r="B1077" s="2">
        <v>2022007</v>
      </c>
      <c r="C1077" s="3" t="s">
        <v>1034</v>
      </c>
      <c r="D1077" s="3" t="s">
        <v>38</v>
      </c>
      <c r="F1077" s="3" t="s">
        <v>4176</v>
      </c>
      <c r="G1077" s="3" t="s">
        <v>43</v>
      </c>
      <c r="H1077" s="3" t="s">
        <v>250</v>
      </c>
      <c r="I1077" s="2">
        <v>110</v>
      </c>
      <c r="J1077" s="2">
        <v>55</v>
      </c>
      <c r="K1077" s="2">
        <v>3</v>
      </c>
      <c r="O1077" s="2">
        <v>6</v>
      </c>
      <c r="U1077" s="2">
        <v>8</v>
      </c>
      <c r="V1077" s="2">
        <v>23</v>
      </c>
      <c r="W1077" s="2">
        <v>7</v>
      </c>
      <c r="X1077" s="2">
        <v>12</v>
      </c>
      <c r="Z1077" s="2">
        <v>42</v>
      </c>
      <c r="AA1077" s="3" t="s">
        <v>40</v>
      </c>
      <c r="AB1077" s="2">
        <v>3</v>
      </c>
      <c r="AF1077" s="2">
        <v>30</v>
      </c>
      <c r="AG1077" s="2">
        <v>2</v>
      </c>
      <c r="AH1077" s="3" t="s">
        <v>514</v>
      </c>
      <c r="AI1077" s="4">
        <v>44727</v>
      </c>
      <c r="AJ1077" s="3" t="s">
        <v>1144</v>
      </c>
      <c r="AK1077" s="3" t="s">
        <v>38</v>
      </c>
    </row>
    <row r="1078" spans="1:37" hidden="1" x14ac:dyDescent="0.25">
      <c r="A1078" t="str">
        <f t="shared" si="16"/>
        <v>2022_NSW_WaggaWagga_Lentil_DetailedTOS2VarietyBoltWaterTrtRainFed</v>
      </c>
      <c r="B1078" s="2">
        <v>2022007</v>
      </c>
      <c r="C1078" s="3" t="s">
        <v>1034</v>
      </c>
      <c r="D1078" s="3" t="s">
        <v>38</v>
      </c>
      <c r="F1078" s="3" t="s">
        <v>4187</v>
      </c>
      <c r="G1078" s="3" t="s">
        <v>39</v>
      </c>
      <c r="H1078" s="3" t="s">
        <v>253</v>
      </c>
      <c r="I1078" s="2">
        <v>111</v>
      </c>
      <c r="J1078" s="2">
        <v>56</v>
      </c>
      <c r="K1078" s="2">
        <v>3</v>
      </c>
      <c r="O1078" s="2">
        <v>6</v>
      </c>
      <c r="U1078" s="2">
        <v>9</v>
      </c>
      <c r="V1078" s="2">
        <v>22</v>
      </c>
      <c r="W1078" s="2">
        <v>8</v>
      </c>
      <c r="X1078" s="2">
        <v>11</v>
      </c>
      <c r="AA1078" s="3" t="s">
        <v>40</v>
      </c>
      <c r="AB1078" s="2">
        <v>1</v>
      </c>
      <c r="AF1078" s="2">
        <v>30</v>
      </c>
      <c r="AG1078" s="2">
        <v>2</v>
      </c>
      <c r="AH1078" s="3" t="s">
        <v>514</v>
      </c>
      <c r="AI1078" s="4">
        <v>44727</v>
      </c>
      <c r="AJ1078" s="3" t="s">
        <v>1145</v>
      </c>
      <c r="AK1078" s="3" t="s">
        <v>38</v>
      </c>
    </row>
    <row r="1079" spans="1:37" hidden="1" x14ac:dyDescent="0.25">
      <c r="A1079" t="str">
        <f t="shared" si="16"/>
        <v>2022_NSW_WaggaWagga_Lentil_DetailedTOS2VarietyBoltWaterTrtRainFed</v>
      </c>
      <c r="B1079" s="2">
        <v>2022007</v>
      </c>
      <c r="C1079" s="3" t="s">
        <v>1034</v>
      </c>
      <c r="D1079" s="3" t="s">
        <v>38</v>
      </c>
      <c r="F1079" s="3" t="s">
        <v>4187</v>
      </c>
      <c r="G1079" s="3" t="s">
        <v>39</v>
      </c>
      <c r="H1079" s="3" t="s">
        <v>250</v>
      </c>
      <c r="I1079" s="2">
        <v>112</v>
      </c>
      <c r="J1079" s="2">
        <v>56</v>
      </c>
      <c r="K1079" s="2">
        <v>3</v>
      </c>
      <c r="O1079" s="2">
        <v>6</v>
      </c>
      <c r="U1079" s="2">
        <v>9</v>
      </c>
      <c r="V1079" s="2">
        <v>23</v>
      </c>
      <c r="W1079" s="2">
        <v>8</v>
      </c>
      <c r="X1079" s="2">
        <v>12</v>
      </c>
      <c r="Z1079" s="2">
        <v>41</v>
      </c>
      <c r="AA1079" s="3" t="s">
        <v>40</v>
      </c>
      <c r="AB1079" s="2">
        <v>1</v>
      </c>
      <c r="AF1079" s="2">
        <v>30</v>
      </c>
      <c r="AG1079" s="2">
        <v>2</v>
      </c>
      <c r="AH1079" s="3" t="s">
        <v>514</v>
      </c>
      <c r="AI1079" s="4">
        <v>44727</v>
      </c>
      <c r="AJ1079" s="3" t="s">
        <v>1146</v>
      </c>
      <c r="AK1079" s="3" t="s">
        <v>38</v>
      </c>
    </row>
    <row r="1080" spans="1:37" hidden="1" x14ac:dyDescent="0.25">
      <c r="A1080" t="str">
        <f t="shared" si="16"/>
        <v>2022_NSW_WaggaWagga_Lentil_DetailedTOS2VarietyJumbo2WaterTrtRainFed</v>
      </c>
      <c r="B1080" s="2">
        <v>2022007</v>
      </c>
      <c r="C1080" s="3" t="s">
        <v>1034</v>
      </c>
      <c r="D1080" s="3" t="s">
        <v>38</v>
      </c>
      <c r="F1080" s="3" t="s">
        <v>4176</v>
      </c>
      <c r="G1080" s="3" t="s">
        <v>43</v>
      </c>
      <c r="H1080" s="3" t="s">
        <v>253</v>
      </c>
      <c r="I1080" s="2">
        <v>113</v>
      </c>
      <c r="J1080" s="2">
        <v>57</v>
      </c>
      <c r="K1080" s="2">
        <v>4</v>
      </c>
      <c r="O1080" s="2">
        <v>7</v>
      </c>
      <c r="U1080" s="2">
        <v>6</v>
      </c>
      <c r="V1080" s="2">
        <v>26</v>
      </c>
      <c r="W1080" s="2">
        <v>5</v>
      </c>
      <c r="X1080" s="2">
        <v>13</v>
      </c>
      <c r="AA1080" s="3" t="s">
        <v>40</v>
      </c>
      <c r="AB1080" s="2">
        <v>3</v>
      </c>
      <c r="AF1080" s="2">
        <v>30</v>
      </c>
      <c r="AG1080" s="2">
        <v>2</v>
      </c>
      <c r="AH1080" s="3" t="s">
        <v>514</v>
      </c>
      <c r="AI1080" s="4">
        <v>44727</v>
      </c>
      <c r="AJ1080" s="3" t="s">
        <v>1147</v>
      </c>
      <c r="AK1080" s="3" t="s">
        <v>38</v>
      </c>
    </row>
    <row r="1081" spans="1:37" hidden="1" x14ac:dyDescent="0.25">
      <c r="A1081" t="str">
        <f t="shared" si="16"/>
        <v>2022_NSW_WaggaWagga_Lentil_DetailedTOS2VarietyJumbo2WaterTrtRainFed</v>
      </c>
      <c r="B1081" s="2">
        <v>2022007</v>
      </c>
      <c r="C1081" s="3" t="s">
        <v>1034</v>
      </c>
      <c r="D1081" s="3" t="s">
        <v>38</v>
      </c>
      <c r="F1081" s="3" t="s">
        <v>4176</v>
      </c>
      <c r="G1081" s="3" t="s">
        <v>43</v>
      </c>
      <c r="H1081" s="3" t="s">
        <v>250</v>
      </c>
      <c r="I1081" s="2">
        <v>114</v>
      </c>
      <c r="J1081" s="2">
        <v>57</v>
      </c>
      <c r="K1081" s="2">
        <v>4</v>
      </c>
      <c r="O1081" s="2">
        <v>7</v>
      </c>
      <c r="U1081" s="2">
        <v>6</v>
      </c>
      <c r="V1081" s="2">
        <v>27</v>
      </c>
      <c r="W1081" s="2">
        <v>5</v>
      </c>
      <c r="X1081" s="2">
        <v>14</v>
      </c>
      <c r="Z1081" s="2">
        <v>53</v>
      </c>
      <c r="AA1081" s="3" t="s">
        <v>40</v>
      </c>
      <c r="AB1081" s="2">
        <v>3</v>
      </c>
      <c r="AF1081" s="2">
        <v>30</v>
      </c>
      <c r="AG1081" s="2">
        <v>2</v>
      </c>
      <c r="AH1081" s="3" t="s">
        <v>514</v>
      </c>
      <c r="AI1081" s="4">
        <v>44727</v>
      </c>
      <c r="AJ1081" s="3" t="s">
        <v>1148</v>
      </c>
      <c r="AK1081" s="3" t="s">
        <v>38</v>
      </c>
    </row>
    <row r="1082" spans="1:37" hidden="1" x14ac:dyDescent="0.25">
      <c r="A1082" t="str">
        <f t="shared" si="16"/>
        <v>2022_NSW_WaggaWagga_Lentil_DetailedTOS2VarietyBoltWaterTrtRainFed</v>
      </c>
      <c r="B1082" s="2">
        <v>2022007</v>
      </c>
      <c r="C1082" s="3" t="s">
        <v>1034</v>
      </c>
      <c r="D1082" s="3" t="s">
        <v>38</v>
      </c>
      <c r="F1082" s="3" t="s">
        <v>4187</v>
      </c>
      <c r="G1082" s="3" t="s">
        <v>39</v>
      </c>
      <c r="H1082" s="3" t="s">
        <v>253</v>
      </c>
      <c r="I1082" s="2">
        <v>115</v>
      </c>
      <c r="J1082" s="2">
        <v>58</v>
      </c>
      <c r="K1082" s="2">
        <v>4</v>
      </c>
      <c r="O1082" s="2">
        <v>7</v>
      </c>
      <c r="U1082" s="2">
        <v>7</v>
      </c>
      <c r="V1082" s="2">
        <v>26</v>
      </c>
      <c r="W1082" s="2">
        <v>6</v>
      </c>
      <c r="X1082" s="2">
        <v>13</v>
      </c>
      <c r="AA1082" s="3" t="s">
        <v>40</v>
      </c>
      <c r="AB1082" s="2">
        <v>1</v>
      </c>
      <c r="AF1082" s="2">
        <v>30</v>
      </c>
      <c r="AG1082" s="2">
        <v>2</v>
      </c>
      <c r="AH1082" s="3" t="s">
        <v>514</v>
      </c>
      <c r="AI1082" s="4">
        <v>44727</v>
      </c>
      <c r="AJ1082" s="3" t="s">
        <v>1149</v>
      </c>
      <c r="AK1082" s="3" t="s">
        <v>38</v>
      </c>
    </row>
    <row r="1083" spans="1:37" hidden="1" x14ac:dyDescent="0.25">
      <c r="A1083" t="str">
        <f t="shared" si="16"/>
        <v>2022_NSW_WaggaWagga_Lentil_DetailedTOS2VarietyBoltWaterTrtRainFed</v>
      </c>
      <c r="B1083" s="2">
        <v>2022007</v>
      </c>
      <c r="C1083" s="3" t="s">
        <v>1034</v>
      </c>
      <c r="D1083" s="3" t="s">
        <v>38</v>
      </c>
      <c r="F1083" s="3" t="s">
        <v>4187</v>
      </c>
      <c r="G1083" s="3" t="s">
        <v>39</v>
      </c>
      <c r="H1083" s="3" t="s">
        <v>250</v>
      </c>
      <c r="I1083" s="2">
        <v>116</v>
      </c>
      <c r="J1083" s="2">
        <v>58</v>
      </c>
      <c r="K1083" s="2">
        <v>4</v>
      </c>
      <c r="O1083" s="2">
        <v>7</v>
      </c>
      <c r="U1083" s="2">
        <v>7</v>
      </c>
      <c r="V1083" s="2">
        <v>27</v>
      </c>
      <c r="W1083" s="2">
        <v>6</v>
      </c>
      <c r="X1083" s="2">
        <v>14</v>
      </c>
      <c r="Z1083" s="2">
        <v>54</v>
      </c>
      <c r="AA1083" s="3" t="s">
        <v>40</v>
      </c>
      <c r="AB1083" s="2">
        <v>1</v>
      </c>
      <c r="AF1083" s="2">
        <v>30</v>
      </c>
      <c r="AG1083" s="2">
        <v>2</v>
      </c>
      <c r="AH1083" s="3" t="s">
        <v>514</v>
      </c>
      <c r="AI1083" s="4">
        <v>44727</v>
      </c>
      <c r="AJ1083" s="3" t="s">
        <v>1150</v>
      </c>
      <c r="AK1083" s="3" t="s">
        <v>38</v>
      </c>
    </row>
    <row r="1084" spans="1:37" hidden="1" x14ac:dyDescent="0.25">
      <c r="A1084" t="str">
        <f t="shared" si="16"/>
        <v>2022_NSW_WaggaWagga_Lentil_DetailedTOS2VarietyKelpieXTWaterTrtRainFed</v>
      </c>
      <c r="B1084" s="2">
        <v>2022007</v>
      </c>
      <c r="C1084" s="3" t="s">
        <v>1034</v>
      </c>
      <c r="D1084" s="3" t="s">
        <v>38</v>
      </c>
      <c r="F1084" s="3" t="s">
        <v>4188</v>
      </c>
      <c r="G1084" s="3" t="s">
        <v>43</v>
      </c>
      <c r="H1084" s="3" t="s">
        <v>253</v>
      </c>
      <c r="I1084" s="2">
        <v>117</v>
      </c>
      <c r="J1084" s="2">
        <v>59</v>
      </c>
      <c r="K1084" s="2">
        <v>4</v>
      </c>
      <c r="O1084" s="2">
        <v>7</v>
      </c>
      <c r="U1084" s="2">
        <v>8</v>
      </c>
      <c r="V1084" s="2">
        <v>26</v>
      </c>
      <c r="W1084" s="2">
        <v>7</v>
      </c>
      <c r="X1084" s="2">
        <v>13</v>
      </c>
      <c r="AA1084" s="3" t="s">
        <v>40</v>
      </c>
      <c r="AB1084" s="2">
        <v>4</v>
      </c>
      <c r="AF1084" s="2">
        <v>30</v>
      </c>
      <c r="AG1084" s="2">
        <v>2</v>
      </c>
      <c r="AH1084" s="3" t="s">
        <v>514</v>
      </c>
      <c r="AI1084" s="4">
        <v>44727</v>
      </c>
      <c r="AJ1084" s="3" t="s">
        <v>1151</v>
      </c>
      <c r="AK1084" s="3" t="s">
        <v>38</v>
      </c>
    </row>
    <row r="1085" spans="1:37" hidden="1" x14ac:dyDescent="0.25">
      <c r="A1085" t="str">
        <f t="shared" si="16"/>
        <v>2022_NSW_WaggaWagga_Lentil_DetailedTOS2VarietyKelpieXTWaterTrtRainFed</v>
      </c>
      <c r="B1085" s="2">
        <v>2022007</v>
      </c>
      <c r="C1085" s="3" t="s">
        <v>1034</v>
      </c>
      <c r="D1085" s="3" t="s">
        <v>38</v>
      </c>
      <c r="F1085" s="3" t="s">
        <v>4188</v>
      </c>
      <c r="G1085" s="3" t="s">
        <v>43</v>
      </c>
      <c r="H1085" s="3" t="s">
        <v>250</v>
      </c>
      <c r="I1085" s="2">
        <v>118</v>
      </c>
      <c r="J1085" s="2">
        <v>59</v>
      </c>
      <c r="K1085" s="2">
        <v>4</v>
      </c>
      <c r="O1085" s="2">
        <v>7</v>
      </c>
      <c r="U1085" s="2">
        <v>8</v>
      </c>
      <c r="V1085" s="2">
        <v>27</v>
      </c>
      <c r="W1085" s="2">
        <v>7</v>
      </c>
      <c r="X1085" s="2">
        <v>14</v>
      </c>
      <c r="Z1085" s="2">
        <v>55</v>
      </c>
      <c r="AA1085" s="3" t="s">
        <v>40</v>
      </c>
      <c r="AB1085" s="2">
        <v>4</v>
      </c>
      <c r="AF1085" s="2">
        <v>30</v>
      </c>
      <c r="AG1085" s="2">
        <v>2</v>
      </c>
      <c r="AH1085" s="3" t="s">
        <v>514</v>
      </c>
      <c r="AI1085" s="4">
        <v>44727</v>
      </c>
      <c r="AJ1085" s="3" t="s">
        <v>1152</v>
      </c>
      <c r="AK1085" s="3" t="s">
        <v>38</v>
      </c>
    </row>
    <row r="1086" spans="1:37" hidden="1" x14ac:dyDescent="0.25">
      <c r="A1086" t="str">
        <f t="shared" si="16"/>
        <v>2022_NSW_WaggaWagga_Lentil_DetailedTOS2VarietyHallmarkXTWaterTrtRainFed</v>
      </c>
      <c r="B1086" s="2">
        <v>2022007</v>
      </c>
      <c r="C1086" s="3" t="s">
        <v>1034</v>
      </c>
      <c r="D1086" s="3" t="s">
        <v>38</v>
      </c>
      <c r="F1086" s="3" t="s">
        <v>4189</v>
      </c>
      <c r="G1086" s="3" t="s">
        <v>39</v>
      </c>
      <c r="H1086" s="3" t="s">
        <v>253</v>
      </c>
      <c r="I1086" s="2">
        <v>119</v>
      </c>
      <c r="J1086" s="2">
        <v>60</v>
      </c>
      <c r="K1086" s="2">
        <v>4</v>
      </c>
      <c r="O1086" s="2">
        <v>7</v>
      </c>
      <c r="U1086" s="2">
        <v>9</v>
      </c>
      <c r="V1086" s="2">
        <v>26</v>
      </c>
      <c r="W1086" s="2">
        <v>8</v>
      </c>
      <c r="X1086" s="2">
        <v>13</v>
      </c>
      <c r="AA1086" s="3" t="s">
        <v>40</v>
      </c>
      <c r="AB1086" s="2">
        <v>2</v>
      </c>
      <c r="AF1086" s="2">
        <v>30</v>
      </c>
      <c r="AG1086" s="2">
        <v>2</v>
      </c>
      <c r="AH1086" s="3" t="s">
        <v>514</v>
      </c>
      <c r="AI1086" s="4">
        <v>44727</v>
      </c>
      <c r="AJ1086" s="3" t="s">
        <v>1153</v>
      </c>
      <c r="AK1086" s="3" t="s">
        <v>38</v>
      </c>
    </row>
    <row r="1087" spans="1:37" hidden="1" x14ac:dyDescent="0.25">
      <c r="A1087" t="str">
        <f t="shared" si="16"/>
        <v>2022_NSW_WaggaWagga_Lentil_DetailedTOS2VarietyHallmarkXTWaterTrtRainFed</v>
      </c>
      <c r="B1087" s="2">
        <v>2022007</v>
      </c>
      <c r="C1087" s="3" t="s">
        <v>1034</v>
      </c>
      <c r="D1087" s="3" t="s">
        <v>38</v>
      </c>
      <c r="F1087" s="3" t="s">
        <v>4189</v>
      </c>
      <c r="G1087" s="3" t="s">
        <v>39</v>
      </c>
      <c r="H1087" s="3" t="s">
        <v>250</v>
      </c>
      <c r="I1087" s="2">
        <v>120</v>
      </c>
      <c r="J1087" s="2">
        <v>60</v>
      </c>
      <c r="K1087" s="2">
        <v>4</v>
      </c>
      <c r="O1087" s="2">
        <v>7</v>
      </c>
      <c r="U1087" s="2">
        <v>9</v>
      </c>
      <c r="V1087" s="2">
        <v>27</v>
      </c>
      <c r="W1087" s="2">
        <v>8</v>
      </c>
      <c r="X1087" s="2">
        <v>14</v>
      </c>
      <c r="Z1087" s="2">
        <v>56</v>
      </c>
      <c r="AA1087" s="3" t="s">
        <v>40</v>
      </c>
      <c r="AB1087" s="2">
        <v>2</v>
      </c>
      <c r="AF1087" s="2">
        <v>30</v>
      </c>
      <c r="AG1087" s="2">
        <v>2</v>
      </c>
      <c r="AH1087" s="3" t="s">
        <v>514</v>
      </c>
      <c r="AI1087" s="4">
        <v>44727</v>
      </c>
      <c r="AJ1087" s="3" t="s">
        <v>1154</v>
      </c>
      <c r="AK1087" s="3" t="s">
        <v>38</v>
      </c>
    </row>
    <row r="1088" spans="1:37" hidden="1" x14ac:dyDescent="0.25">
      <c r="A1088" t="str">
        <f t="shared" si="16"/>
        <v>2022_NSW_WaggaWagga_Lentil_DetailedTOS1VarietyBoltWaterTrtRainFed</v>
      </c>
      <c r="B1088" s="2">
        <v>2022007</v>
      </c>
      <c r="C1088" s="3" t="s">
        <v>1034</v>
      </c>
      <c r="D1088" s="3" t="s">
        <v>38</v>
      </c>
      <c r="F1088" s="3" t="s">
        <v>4187</v>
      </c>
      <c r="G1088" s="3" t="s">
        <v>39</v>
      </c>
      <c r="H1088" s="3" t="s">
        <v>253</v>
      </c>
      <c r="I1088" s="2">
        <v>121</v>
      </c>
      <c r="J1088" s="2">
        <v>61</v>
      </c>
      <c r="K1088" s="2">
        <v>4</v>
      </c>
      <c r="O1088" s="2">
        <v>8</v>
      </c>
      <c r="U1088" s="2">
        <v>6</v>
      </c>
      <c r="V1088" s="2">
        <v>30</v>
      </c>
      <c r="W1088" s="2">
        <v>5</v>
      </c>
      <c r="X1088" s="2">
        <v>15</v>
      </c>
      <c r="AA1088" s="3" t="s">
        <v>40</v>
      </c>
      <c r="AB1088" s="2">
        <v>1</v>
      </c>
      <c r="AF1088" s="2">
        <v>30</v>
      </c>
      <c r="AG1088" s="2">
        <v>1</v>
      </c>
      <c r="AH1088" s="3" t="s">
        <v>523</v>
      </c>
      <c r="AI1088" s="4">
        <v>44692</v>
      </c>
      <c r="AJ1088" s="3" t="s">
        <v>1155</v>
      </c>
      <c r="AK1088" s="3" t="s">
        <v>38</v>
      </c>
    </row>
    <row r="1089" spans="1:37" hidden="1" x14ac:dyDescent="0.25">
      <c r="A1089" t="str">
        <f t="shared" si="16"/>
        <v>2022_NSW_WaggaWagga_Lentil_DetailedTOS1VarietyBoltWaterTrtRainFed</v>
      </c>
      <c r="B1089" s="2">
        <v>2022007</v>
      </c>
      <c r="C1089" s="3" t="s">
        <v>1034</v>
      </c>
      <c r="D1089" s="3" t="s">
        <v>38</v>
      </c>
      <c r="F1089" s="3" t="s">
        <v>4187</v>
      </c>
      <c r="G1089" s="3" t="s">
        <v>39</v>
      </c>
      <c r="H1089" s="3" t="s">
        <v>250</v>
      </c>
      <c r="I1089" s="2">
        <v>122</v>
      </c>
      <c r="J1089" s="2">
        <v>61</v>
      </c>
      <c r="K1089" s="2">
        <v>4</v>
      </c>
      <c r="O1089" s="2">
        <v>8</v>
      </c>
      <c r="U1089" s="2">
        <v>6</v>
      </c>
      <c r="V1089" s="2">
        <v>31</v>
      </c>
      <c r="W1089" s="2">
        <v>5</v>
      </c>
      <c r="X1089" s="2">
        <v>16</v>
      </c>
      <c r="Z1089" s="2">
        <v>60</v>
      </c>
      <c r="AA1089" s="3" t="s">
        <v>40</v>
      </c>
      <c r="AB1089" s="2">
        <v>1</v>
      </c>
      <c r="AF1089" s="2">
        <v>30</v>
      </c>
      <c r="AG1089" s="2">
        <v>1</v>
      </c>
      <c r="AH1089" s="3" t="s">
        <v>523</v>
      </c>
      <c r="AI1089" s="4">
        <v>44692</v>
      </c>
      <c r="AJ1089" s="3" t="s">
        <v>1156</v>
      </c>
      <c r="AK1089" s="3" t="s">
        <v>38</v>
      </c>
    </row>
    <row r="1090" spans="1:37" hidden="1" x14ac:dyDescent="0.25">
      <c r="A1090" t="str">
        <f t="shared" si="16"/>
        <v>2022_NSW_WaggaWagga_Lentil_DetailedTOS1VarietyHallmarkXTWaterTrtRainFed</v>
      </c>
      <c r="B1090" s="2">
        <v>2022007</v>
      </c>
      <c r="C1090" s="3" t="s">
        <v>1034</v>
      </c>
      <c r="D1090" s="3" t="s">
        <v>38</v>
      </c>
      <c r="F1090" s="3" t="s">
        <v>4189</v>
      </c>
      <c r="G1090" s="3" t="s">
        <v>39</v>
      </c>
      <c r="H1090" s="3" t="s">
        <v>253</v>
      </c>
      <c r="I1090" s="2">
        <v>123</v>
      </c>
      <c r="J1090" s="2">
        <v>62</v>
      </c>
      <c r="K1090" s="2">
        <v>4</v>
      </c>
      <c r="O1090" s="2">
        <v>8</v>
      </c>
      <c r="U1090" s="2">
        <v>7</v>
      </c>
      <c r="V1090" s="2">
        <v>30</v>
      </c>
      <c r="W1090" s="2">
        <v>6</v>
      </c>
      <c r="X1090" s="2">
        <v>15</v>
      </c>
      <c r="AA1090" s="3" t="s">
        <v>40</v>
      </c>
      <c r="AB1090" s="2">
        <v>2</v>
      </c>
      <c r="AF1090" s="2">
        <v>30</v>
      </c>
      <c r="AG1090" s="2">
        <v>1</v>
      </c>
      <c r="AH1090" s="3" t="s">
        <v>523</v>
      </c>
      <c r="AI1090" s="4">
        <v>44692</v>
      </c>
      <c r="AJ1090" s="3" t="s">
        <v>1157</v>
      </c>
      <c r="AK1090" s="3" t="s">
        <v>38</v>
      </c>
    </row>
    <row r="1091" spans="1:37" hidden="1" x14ac:dyDescent="0.25">
      <c r="A1091" t="str">
        <f t="shared" ref="A1091:A1154" si="17">C1091&amp;"TOS"&amp;AG1091&amp;"Variety"&amp;F1091&amp;"WaterTrt"&amp;AA1091&amp;IF(AC1091="","","Agronomy"&amp;AC1091)</f>
        <v>2022_NSW_WaggaWagga_Lentil_DetailedTOS1VarietyHallmarkXTWaterTrtRainFed</v>
      </c>
      <c r="B1091" s="2">
        <v>2022007</v>
      </c>
      <c r="C1091" s="3" t="s">
        <v>1034</v>
      </c>
      <c r="D1091" s="3" t="s">
        <v>38</v>
      </c>
      <c r="F1091" s="3" t="s">
        <v>4189</v>
      </c>
      <c r="G1091" s="3" t="s">
        <v>39</v>
      </c>
      <c r="H1091" s="3" t="s">
        <v>250</v>
      </c>
      <c r="I1091" s="2">
        <v>124</v>
      </c>
      <c r="J1091" s="2">
        <v>62</v>
      </c>
      <c r="K1091" s="2">
        <v>4</v>
      </c>
      <c r="O1091" s="2">
        <v>8</v>
      </c>
      <c r="U1091" s="2">
        <v>7</v>
      </c>
      <c r="V1091" s="2">
        <v>31</v>
      </c>
      <c r="W1091" s="2">
        <v>6</v>
      </c>
      <c r="X1091" s="2">
        <v>16</v>
      </c>
      <c r="Z1091" s="2">
        <v>59</v>
      </c>
      <c r="AA1091" s="3" t="s">
        <v>40</v>
      </c>
      <c r="AB1091" s="2">
        <v>2</v>
      </c>
      <c r="AF1091" s="2">
        <v>30</v>
      </c>
      <c r="AG1091" s="2">
        <v>1</v>
      </c>
      <c r="AH1091" s="3" t="s">
        <v>523</v>
      </c>
      <c r="AI1091" s="4">
        <v>44692</v>
      </c>
      <c r="AJ1091" s="3" t="s">
        <v>1158</v>
      </c>
      <c r="AK1091" s="3" t="s">
        <v>38</v>
      </c>
    </row>
    <row r="1092" spans="1:37" hidden="1" x14ac:dyDescent="0.25">
      <c r="A1092" t="str">
        <f t="shared" si="17"/>
        <v>2022_NSW_WaggaWagga_Lentil_DetailedTOS1VarietyJumbo2WaterTrtRainFed</v>
      </c>
      <c r="B1092" s="2">
        <v>2022007</v>
      </c>
      <c r="C1092" s="3" t="s">
        <v>1034</v>
      </c>
      <c r="D1092" s="3" t="s">
        <v>38</v>
      </c>
      <c r="F1092" s="3" t="s">
        <v>4176</v>
      </c>
      <c r="G1092" s="3" t="s">
        <v>43</v>
      </c>
      <c r="H1092" s="3" t="s">
        <v>253</v>
      </c>
      <c r="I1092" s="2">
        <v>125</v>
      </c>
      <c r="J1092" s="2">
        <v>63</v>
      </c>
      <c r="K1092" s="2">
        <v>4</v>
      </c>
      <c r="O1092" s="2">
        <v>8</v>
      </c>
      <c r="U1092" s="2">
        <v>8</v>
      </c>
      <c r="V1092" s="2">
        <v>30</v>
      </c>
      <c r="W1092" s="2">
        <v>7</v>
      </c>
      <c r="X1092" s="2">
        <v>15</v>
      </c>
      <c r="AA1092" s="3" t="s">
        <v>40</v>
      </c>
      <c r="AB1092" s="2">
        <v>3</v>
      </c>
      <c r="AF1092" s="2">
        <v>30</v>
      </c>
      <c r="AG1092" s="2">
        <v>1</v>
      </c>
      <c r="AH1092" s="3" t="s">
        <v>523</v>
      </c>
      <c r="AI1092" s="4">
        <v>44692</v>
      </c>
      <c r="AJ1092" s="3" t="s">
        <v>1159</v>
      </c>
      <c r="AK1092" s="3" t="s">
        <v>38</v>
      </c>
    </row>
    <row r="1093" spans="1:37" hidden="1" x14ac:dyDescent="0.25">
      <c r="A1093" t="str">
        <f t="shared" si="17"/>
        <v>2022_NSW_WaggaWagga_Lentil_DetailedTOS1VarietyJumbo2WaterTrtRainFed</v>
      </c>
      <c r="B1093" s="2">
        <v>2022007</v>
      </c>
      <c r="C1093" s="3" t="s">
        <v>1034</v>
      </c>
      <c r="D1093" s="3" t="s">
        <v>38</v>
      </c>
      <c r="F1093" s="3" t="s">
        <v>4176</v>
      </c>
      <c r="G1093" s="3" t="s">
        <v>43</v>
      </c>
      <c r="H1093" s="3" t="s">
        <v>250</v>
      </c>
      <c r="I1093" s="2">
        <v>126</v>
      </c>
      <c r="J1093" s="2">
        <v>63</v>
      </c>
      <c r="K1093" s="2">
        <v>4</v>
      </c>
      <c r="O1093" s="2">
        <v>8</v>
      </c>
      <c r="U1093" s="2">
        <v>8</v>
      </c>
      <c r="V1093" s="2">
        <v>31</v>
      </c>
      <c r="W1093" s="2">
        <v>7</v>
      </c>
      <c r="X1093" s="2">
        <v>16</v>
      </c>
      <c r="Z1093" s="2">
        <v>58</v>
      </c>
      <c r="AA1093" s="3" t="s">
        <v>40</v>
      </c>
      <c r="AB1093" s="2">
        <v>3</v>
      </c>
      <c r="AF1093" s="2">
        <v>30</v>
      </c>
      <c r="AG1093" s="2">
        <v>1</v>
      </c>
      <c r="AH1093" s="3" t="s">
        <v>523</v>
      </c>
      <c r="AI1093" s="4">
        <v>44692</v>
      </c>
      <c r="AJ1093" s="3" t="s">
        <v>1160</v>
      </c>
      <c r="AK1093" s="3" t="s">
        <v>38</v>
      </c>
    </row>
    <row r="1094" spans="1:37" hidden="1" x14ac:dyDescent="0.25">
      <c r="A1094" t="str">
        <f t="shared" si="17"/>
        <v>2022_NSW_WaggaWagga_Lentil_DetailedTOS1VarietyKelpieXTWaterTrtRainFed</v>
      </c>
      <c r="B1094" s="2">
        <v>2022007</v>
      </c>
      <c r="C1094" s="3" t="s">
        <v>1034</v>
      </c>
      <c r="D1094" s="3" t="s">
        <v>38</v>
      </c>
      <c r="F1094" s="3" t="s">
        <v>4188</v>
      </c>
      <c r="G1094" s="3" t="s">
        <v>43</v>
      </c>
      <c r="H1094" s="3" t="s">
        <v>253</v>
      </c>
      <c r="I1094" s="2">
        <v>127</v>
      </c>
      <c r="J1094" s="2">
        <v>64</v>
      </c>
      <c r="K1094" s="2">
        <v>4</v>
      </c>
      <c r="O1094" s="2">
        <v>8</v>
      </c>
      <c r="U1094" s="2">
        <v>9</v>
      </c>
      <c r="V1094" s="2">
        <v>30</v>
      </c>
      <c r="W1094" s="2">
        <v>8</v>
      </c>
      <c r="X1094" s="2">
        <v>15</v>
      </c>
      <c r="AA1094" s="3" t="s">
        <v>40</v>
      </c>
      <c r="AB1094" s="2">
        <v>4</v>
      </c>
      <c r="AF1094" s="2">
        <v>30</v>
      </c>
      <c r="AG1094" s="2">
        <v>1</v>
      </c>
      <c r="AH1094" s="3" t="s">
        <v>523</v>
      </c>
      <c r="AI1094" s="4">
        <v>44692</v>
      </c>
      <c r="AJ1094" s="3" t="s">
        <v>1161</v>
      </c>
      <c r="AK1094" s="3" t="s">
        <v>38</v>
      </c>
    </row>
    <row r="1095" spans="1:37" hidden="1" x14ac:dyDescent="0.25">
      <c r="A1095" t="str">
        <f t="shared" si="17"/>
        <v>2022_NSW_WaggaWagga_Lentil_DetailedTOS1VarietyKelpieXTWaterTrtRainFed</v>
      </c>
      <c r="B1095" s="2">
        <v>2022007</v>
      </c>
      <c r="C1095" s="3" t="s">
        <v>1034</v>
      </c>
      <c r="D1095" s="3" t="s">
        <v>38</v>
      </c>
      <c r="F1095" s="3" t="s">
        <v>4188</v>
      </c>
      <c r="G1095" s="3" t="s">
        <v>43</v>
      </c>
      <c r="H1095" s="3" t="s">
        <v>250</v>
      </c>
      <c r="I1095" s="2">
        <v>128</v>
      </c>
      <c r="J1095" s="2">
        <v>64</v>
      </c>
      <c r="K1095" s="2">
        <v>4</v>
      </c>
      <c r="O1095" s="2">
        <v>8</v>
      </c>
      <c r="U1095" s="2">
        <v>9</v>
      </c>
      <c r="V1095" s="2">
        <v>31</v>
      </c>
      <c r="W1095" s="2">
        <v>8</v>
      </c>
      <c r="X1095" s="2">
        <v>16</v>
      </c>
      <c r="Z1095" s="2">
        <v>57</v>
      </c>
      <c r="AA1095" s="3" t="s">
        <v>40</v>
      </c>
      <c r="AB1095" s="2">
        <v>4</v>
      </c>
      <c r="AF1095" s="2">
        <v>30</v>
      </c>
      <c r="AG1095" s="2">
        <v>1</v>
      </c>
      <c r="AH1095" s="3" t="s">
        <v>523</v>
      </c>
      <c r="AI1095" s="4">
        <v>44692</v>
      </c>
      <c r="AJ1095" s="3" t="s">
        <v>1162</v>
      </c>
      <c r="AK1095" s="3" t="s">
        <v>38</v>
      </c>
    </row>
    <row r="1096" spans="1:37" hidden="1" x14ac:dyDescent="0.25">
      <c r="A1096" t="str">
        <f t="shared" si="17"/>
        <v>2022_WA_Deepdale_Chickpea_SatelliteTOS4VarietyGenesis_090WaterTrtRainFed</v>
      </c>
      <c r="B1096" s="2">
        <v>2022008</v>
      </c>
      <c r="C1096" s="3" t="s">
        <v>1163</v>
      </c>
      <c r="D1096" s="3" t="s">
        <v>248</v>
      </c>
      <c r="F1096" s="3" t="s">
        <v>192</v>
      </c>
      <c r="G1096" s="3" t="s">
        <v>39</v>
      </c>
      <c r="H1096" s="3" t="s">
        <v>250</v>
      </c>
      <c r="I1096" s="2">
        <v>1</v>
      </c>
      <c r="J1096" s="2">
        <v>1</v>
      </c>
      <c r="K1096" s="2">
        <v>1</v>
      </c>
      <c r="O1096" s="2">
        <v>1</v>
      </c>
      <c r="U1096" s="2">
        <v>1</v>
      </c>
      <c r="V1096" s="2">
        <v>8</v>
      </c>
      <c r="W1096" s="2">
        <v>1</v>
      </c>
      <c r="X1096" s="2">
        <v>1</v>
      </c>
      <c r="Z1096" s="2">
        <v>1</v>
      </c>
      <c r="AA1096" s="3" t="s">
        <v>40</v>
      </c>
      <c r="AB1096" s="2">
        <v>8</v>
      </c>
      <c r="AF1096" s="2">
        <v>22</v>
      </c>
      <c r="AG1096" s="2">
        <v>4</v>
      </c>
      <c r="AH1096" s="3" t="s">
        <v>1164</v>
      </c>
      <c r="AI1096" s="4">
        <v>44708</v>
      </c>
      <c r="AJ1096" s="3" t="s">
        <v>1165</v>
      </c>
      <c r="AK1096" s="3" t="s">
        <v>248</v>
      </c>
    </row>
    <row r="1097" spans="1:37" hidden="1" x14ac:dyDescent="0.25">
      <c r="A1097" t="str">
        <f t="shared" si="17"/>
        <v>2022_WA_Deepdale_Chickpea_SatelliteTOS4VarietyD11006_13F3HRMT4PR0004WaterTrtRainFed</v>
      </c>
      <c r="B1097" s="2">
        <v>2022008</v>
      </c>
      <c r="C1097" s="3" t="s">
        <v>1163</v>
      </c>
      <c r="D1097" s="3" t="s">
        <v>248</v>
      </c>
      <c r="F1097" s="3" t="s">
        <v>1166</v>
      </c>
      <c r="G1097" s="3" t="s">
        <v>39</v>
      </c>
      <c r="H1097" s="3" t="s">
        <v>253</v>
      </c>
      <c r="I1097" s="2">
        <v>2</v>
      </c>
      <c r="J1097" s="2">
        <v>2</v>
      </c>
      <c r="K1097" s="2">
        <v>1</v>
      </c>
      <c r="O1097" s="2">
        <v>1</v>
      </c>
      <c r="U1097" s="2">
        <v>2</v>
      </c>
      <c r="V1097" s="2">
        <v>8</v>
      </c>
      <c r="W1097" s="2">
        <v>2</v>
      </c>
      <c r="X1097" s="2">
        <v>1</v>
      </c>
      <c r="Z1097" s="2">
        <v>2</v>
      </c>
      <c r="AA1097" s="3" t="s">
        <v>40</v>
      </c>
      <c r="AB1097" s="2">
        <v>5</v>
      </c>
      <c r="AF1097" s="2">
        <v>22</v>
      </c>
      <c r="AG1097" s="2">
        <v>4</v>
      </c>
      <c r="AH1097" s="3" t="s">
        <v>1164</v>
      </c>
      <c r="AI1097" s="4">
        <v>44708</v>
      </c>
      <c r="AJ1097" s="3" t="s">
        <v>1167</v>
      </c>
      <c r="AK1097" s="3" t="s">
        <v>248</v>
      </c>
    </row>
    <row r="1098" spans="1:37" hidden="1" x14ac:dyDescent="0.25">
      <c r="A1098" t="str">
        <f t="shared" si="17"/>
        <v>2022_WA_Deepdale_Chickpea_SatelliteTOS4VarietyHatTrickWaterTrtRainFed</v>
      </c>
      <c r="B1098" s="2">
        <v>2022008</v>
      </c>
      <c r="C1098" s="3" t="s">
        <v>1163</v>
      </c>
      <c r="D1098" s="3" t="s">
        <v>248</v>
      </c>
      <c r="F1098" s="3" t="s">
        <v>4178</v>
      </c>
      <c r="G1098" s="3" t="s">
        <v>39</v>
      </c>
      <c r="H1098" s="3" t="s">
        <v>253</v>
      </c>
      <c r="I1098" s="2">
        <v>3</v>
      </c>
      <c r="J1098" s="2">
        <v>3</v>
      </c>
      <c r="K1098" s="2">
        <v>1</v>
      </c>
      <c r="O1098" s="2">
        <v>1</v>
      </c>
      <c r="U1098" s="2">
        <v>3</v>
      </c>
      <c r="V1098" s="2">
        <v>8</v>
      </c>
      <c r="W1098" s="2">
        <v>3</v>
      </c>
      <c r="X1098" s="2">
        <v>1</v>
      </c>
      <c r="Z1098" s="2">
        <v>3</v>
      </c>
      <c r="AA1098" s="3" t="s">
        <v>40</v>
      </c>
      <c r="AB1098" s="2">
        <v>3</v>
      </c>
      <c r="AF1098" s="2">
        <v>22</v>
      </c>
      <c r="AG1098" s="2">
        <v>4</v>
      </c>
      <c r="AH1098" s="3" t="s">
        <v>1164</v>
      </c>
      <c r="AI1098" s="4">
        <v>44708</v>
      </c>
      <c r="AJ1098" s="3" t="s">
        <v>1168</v>
      </c>
      <c r="AK1098" s="3" t="s">
        <v>248</v>
      </c>
    </row>
    <row r="1099" spans="1:37" hidden="1" x14ac:dyDescent="0.25">
      <c r="A1099" t="str">
        <f t="shared" si="17"/>
        <v>2022_WA_Deepdale_Chickpea_SatelliteTOS4VarietyStrikerWaterTrtRainFed</v>
      </c>
      <c r="B1099" s="2">
        <v>2022008</v>
      </c>
      <c r="C1099" s="3" t="s">
        <v>1163</v>
      </c>
      <c r="D1099" s="3" t="s">
        <v>248</v>
      </c>
      <c r="F1099" s="3" t="s">
        <v>4179</v>
      </c>
      <c r="G1099" s="3" t="s">
        <v>43</v>
      </c>
      <c r="H1099" s="3" t="s">
        <v>253</v>
      </c>
      <c r="I1099" s="2">
        <v>4</v>
      </c>
      <c r="J1099" s="2">
        <v>4</v>
      </c>
      <c r="K1099" s="2">
        <v>1</v>
      </c>
      <c r="O1099" s="2">
        <v>1</v>
      </c>
      <c r="U1099" s="2">
        <v>4</v>
      </c>
      <c r="V1099" s="2">
        <v>8</v>
      </c>
      <c r="W1099" s="2">
        <v>4</v>
      </c>
      <c r="X1099" s="2">
        <v>1</v>
      </c>
      <c r="Z1099" s="2">
        <v>4</v>
      </c>
      <c r="AA1099" s="3" t="s">
        <v>40</v>
      </c>
      <c r="AB1099" s="2">
        <v>2</v>
      </c>
      <c r="AF1099" s="2">
        <v>22</v>
      </c>
      <c r="AG1099" s="2">
        <v>4</v>
      </c>
      <c r="AH1099" s="3" t="s">
        <v>1164</v>
      </c>
      <c r="AI1099" s="4">
        <v>44708</v>
      </c>
      <c r="AJ1099" s="3" t="s">
        <v>1169</v>
      </c>
      <c r="AK1099" s="3" t="s">
        <v>248</v>
      </c>
    </row>
    <row r="1100" spans="1:37" hidden="1" x14ac:dyDescent="0.25">
      <c r="A1100" t="str">
        <f t="shared" si="17"/>
        <v>2022_WA_Deepdale_Chickpea_SatelliteTOS4VarietyD12014_14F3TMWR2AB001WaterTrtRainFed</v>
      </c>
      <c r="B1100" s="2">
        <v>2022008</v>
      </c>
      <c r="C1100" s="3" t="s">
        <v>1163</v>
      </c>
      <c r="D1100" s="3" t="s">
        <v>248</v>
      </c>
      <c r="F1100" s="3" t="s">
        <v>1170</v>
      </c>
      <c r="G1100" s="3" t="s">
        <v>39</v>
      </c>
      <c r="H1100" s="3" t="s">
        <v>253</v>
      </c>
      <c r="I1100" s="2">
        <v>5</v>
      </c>
      <c r="J1100" s="2">
        <v>5</v>
      </c>
      <c r="K1100" s="2">
        <v>1</v>
      </c>
      <c r="O1100" s="2">
        <v>1</v>
      </c>
      <c r="U1100" s="2">
        <v>1</v>
      </c>
      <c r="V1100" s="2">
        <v>9</v>
      </c>
      <c r="W1100" s="2">
        <v>1</v>
      </c>
      <c r="X1100" s="2">
        <v>2</v>
      </c>
      <c r="Z1100" s="2">
        <v>8</v>
      </c>
      <c r="AA1100" s="3" t="s">
        <v>40</v>
      </c>
      <c r="AB1100" s="2">
        <v>6</v>
      </c>
      <c r="AF1100" s="2">
        <v>22</v>
      </c>
      <c r="AG1100" s="2">
        <v>4</v>
      </c>
      <c r="AH1100" s="3" t="s">
        <v>1164</v>
      </c>
      <c r="AI1100" s="4">
        <v>44708</v>
      </c>
      <c r="AJ1100" s="3" t="s">
        <v>1171</v>
      </c>
      <c r="AK1100" s="3" t="s">
        <v>248</v>
      </c>
    </row>
    <row r="1101" spans="1:37" hidden="1" x14ac:dyDescent="0.25">
      <c r="A1101" t="str">
        <f t="shared" si="17"/>
        <v>2022_WA_Deepdale_Chickpea_SatelliteTOS4VarietyCBA_CaptainWaterTrtRainFed</v>
      </c>
      <c r="B1101" s="2">
        <v>2022008</v>
      </c>
      <c r="C1101" s="3" t="s">
        <v>1163</v>
      </c>
      <c r="D1101" s="3" t="s">
        <v>248</v>
      </c>
      <c r="F1101" s="3" t="s">
        <v>249</v>
      </c>
      <c r="G1101" s="3" t="s">
        <v>43</v>
      </c>
      <c r="H1101" s="3" t="s">
        <v>250</v>
      </c>
      <c r="I1101" s="2">
        <v>6</v>
      </c>
      <c r="J1101" s="2">
        <v>6</v>
      </c>
      <c r="K1101" s="2">
        <v>1</v>
      </c>
      <c r="O1101" s="2">
        <v>1</v>
      </c>
      <c r="U1101" s="2">
        <v>2</v>
      </c>
      <c r="V1101" s="2">
        <v>9</v>
      </c>
      <c r="W1101" s="2">
        <v>2</v>
      </c>
      <c r="X1101" s="2">
        <v>2</v>
      </c>
      <c r="Z1101" s="2">
        <v>7</v>
      </c>
      <c r="AA1101" s="3" t="s">
        <v>40</v>
      </c>
      <c r="AB1101" s="2">
        <v>7</v>
      </c>
      <c r="AF1101" s="2">
        <v>22</v>
      </c>
      <c r="AG1101" s="2">
        <v>4</v>
      </c>
      <c r="AH1101" s="3" t="s">
        <v>1164</v>
      </c>
      <c r="AI1101" s="4">
        <v>44708</v>
      </c>
      <c r="AJ1101" s="3" t="s">
        <v>1172</v>
      </c>
      <c r="AK1101" s="3" t="s">
        <v>248</v>
      </c>
    </row>
    <row r="1102" spans="1:37" hidden="1" x14ac:dyDescent="0.25">
      <c r="A1102" t="str">
        <f t="shared" si="17"/>
        <v>2022_WA_Deepdale_Chickpea_SatelliteTOS4VarietyDrummondWaterTrtRainFed</v>
      </c>
      <c r="B1102" s="2">
        <v>2022008</v>
      </c>
      <c r="C1102" s="3" t="s">
        <v>1163</v>
      </c>
      <c r="D1102" s="3" t="s">
        <v>248</v>
      </c>
      <c r="F1102" s="3" t="s">
        <v>4182</v>
      </c>
      <c r="G1102" s="3" t="s">
        <v>39</v>
      </c>
      <c r="H1102" s="3" t="s">
        <v>253</v>
      </c>
      <c r="I1102" s="2">
        <v>7</v>
      </c>
      <c r="J1102" s="2">
        <v>7</v>
      </c>
      <c r="K1102" s="2">
        <v>1</v>
      </c>
      <c r="O1102" s="2">
        <v>1</v>
      </c>
      <c r="U1102" s="2">
        <v>3</v>
      </c>
      <c r="V1102" s="2">
        <v>9</v>
      </c>
      <c r="W1102" s="2">
        <v>3</v>
      </c>
      <c r="X1102" s="2">
        <v>2</v>
      </c>
      <c r="Z1102" s="2">
        <v>6</v>
      </c>
      <c r="AA1102" s="3" t="s">
        <v>40</v>
      </c>
      <c r="AB1102" s="2">
        <v>4</v>
      </c>
      <c r="AF1102" s="2">
        <v>22</v>
      </c>
      <c r="AG1102" s="2">
        <v>4</v>
      </c>
      <c r="AH1102" s="3" t="s">
        <v>1164</v>
      </c>
      <c r="AI1102" s="4">
        <v>44708</v>
      </c>
      <c r="AJ1102" s="3" t="s">
        <v>1173</v>
      </c>
      <c r="AK1102" s="3" t="s">
        <v>248</v>
      </c>
    </row>
    <row r="1103" spans="1:37" hidden="1" x14ac:dyDescent="0.25">
      <c r="A1103" t="str">
        <f t="shared" si="17"/>
        <v>2022_WA_Deepdale_Chickpea_SatelliteTOS4VarietyCBA_CaptainWaterTrtRainFed</v>
      </c>
      <c r="B1103" s="2">
        <v>2022008</v>
      </c>
      <c r="C1103" s="3" t="s">
        <v>1163</v>
      </c>
      <c r="D1103" s="3" t="s">
        <v>248</v>
      </c>
      <c r="F1103" s="3" t="s">
        <v>249</v>
      </c>
      <c r="G1103" s="3" t="s">
        <v>43</v>
      </c>
      <c r="H1103" s="3" t="s">
        <v>253</v>
      </c>
      <c r="I1103" s="2">
        <v>8</v>
      </c>
      <c r="J1103" s="2">
        <v>8</v>
      </c>
      <c r="K1103" s="2">
        <v>1</v>
      </c>
      <c r="O1103" s="2">
        <v>1</v>
      </c>
      <c r="U1103" s="2">
        <v>4</v>
      </c>
      <c r="V1103" s="2">
        <v>9</v>
      </c>
      <c r="W1103" s="2">
        <v>4</v>
      </c>
      <c r="X1103" s="2">
        <v>2</v>
      </c>
      <c r="Z1103" s="2">
        <v>5</v>
      </c>
      <c r="AA1103" s="3" t="s">
        <v>40</v>
      </c>
      <c r="AB1103" s="2">
        <v>1</v>
      </c>
      <c r="AF1103" s="2">
        <v>22</v>
      </c>
      <c r="AG1103" s="2">
        <v>4</v>
      </c>
      <c r="AH1103" s="3" t="s">
        <v>1164</v>
      </c>
      <c r="AI1103" s="4">
        <v>44708</v>
      </c>
      <c r="AJ1103" s="3" t="s">
        <v>1174</v>
      </c>
      <c r="AK1103" s="3" t="s">
        <v>248</v>
      </c>
    </row>
    <row r="1104" spans="1:37" hidden="1" x14ac:dyDescent="0.25">
      <c r="A1104" t="str">
        <f t="shared" si="17"/>
        <v>2022_WA_Deepdale_Chickpea_SatelliteTOS3VarietyStrikerWaterTrtRainFed</v>
      </c>
      <c r="B1104" s="2">
        <v>2022008</v>
      </c>
      <c r="C1104" s="3" t="s">
        <v>1163</v>
      </c>
      <c r="D1104" s="3" t="s">
        <v>248</v>
      </c>
      <c r="F1104" s="3" t="s">
        <v>4179</v>
      </c>
      <c r="G1104" s="3" t="s">
        <v>43</v>
      </c>
      <c r="H1104" s="3" t="s">
        <v>253</v>
      </c>
      <c r="I1104" s="2">
        <v>9</v>
      </c>
      <c r="J1104" s="2">
        <v>9</v>
      </c>
      <c r="K1104" s="2">
        <v>1</v>
      </c>
      <c r="O1104" s="2">
        <v>2</v>
      </c>
      <c r="U1104" s="2">
        <v>1</v>
      </c>
      <c r="V1104" s="2">
        <v>12</v>
      </c>
      <c r="W1104" s="2">
        <v>1</v>
      </c>
      <c r="X1104" s="2">
        <v>3</v>
      </c>
      <c r="Z1104" s="2">
        <v>9</v>
      </c>
      <c r="AA1104" s="3" t="s">
        <v>40</v>
      </c>
      <c r="AB1104" s="2">
        <v>2</v>
      </c>
      <c r="AF1104" s="2">
        <v>22</v>
      </c>
      <c r="AG1104" s="2">
        <v>3</v>
      </c>
      <c r="AH1104" s="3" t="s">
        <v>1175</v>
      </c>
      <c r="AI1104" s="4">
        <v>44691</v>
      </c>
      <c r="AJ1104" s="3" t="s">
        <v>1176</v>
      </c>
      <c r="AK1104" s="3" t="s">
        <v>248</v>
      </c>
    </row>
    <row r="1105" spans="1:37" hidden="1" x14ac:dyDescent="0.25">
      <c r="A1105" t="str">
        <f t="shared" si="17"/>
        <v>2022_WA_Deepdale_Chickpea_SatelliteTOS3VarietyDrummondWaterTrtRainFed</v>
      </c>
      <c r="B1105" s="2">
        <v>2022008</v>
      </c>
      <c r="C1105" s="3" t="s">
        <v>1163</v>
      </c>
      <c r="D1105" s="3" t="s">
        <v>248</v>
      </c>
      <c r="F1105" s="3" t="s">
        <v>4182</v>
      </c>
      <c r="G1105" s="3" t="s">
        <v>39</v>
      </c>
      <c r="H1105" s="3" t="s">
        <v>253</v>
      </c>
      <c r="I1105" s="2">
        <v>10</v>
      </c>
      <c r="J1105" s="2">
        <v>10</v>
      </c>
      <c r="K1105" s="2">
        <v>1</v>
      </c>
      <c r="O1105" s="2">
        <v>2</v>
      </c>
      <c r="U1105" s="2">
        <v>2</v>
      </c>
      <c r="V1105" s="2">
        <v>12</v>
      </c>
      <c r="W1105" s="2">
        <v>2</v>
      </c>
      <c r="X1105" s="2">
        <v>3</v>
      </c>
      <c r="Z1105" s="2">
        <v>10</v>
      </c>
      <c r="AA1105" s="3" t="s">
        <v>40</v>
      </c>
      <c r="AB1105" s="2">
        <v>4</v>
      </c>
      <c r="AF1105" s="2">
        <v>22</v>
      </c>
      <c r="AG1105" s="2">
        <v>3</v>
      </c>
      <c r="AH1105" s="3" t="s">
        <v>1175</v>
      </c>
      <c r="AI1105" s="4">
        <v>44691</v>
      </c>
      <c r="AJ1105" s="3" t="s">
        <v>1177</v>
      </c>
      <c r="AK1105" s="3" t="s">
        <v>248</v>
      </c>
    </row>
    <row r="1106" spans="1:37" hidden="1" x14ac:dyDescent="0.25">
      <c r="A1106" t="str">
        <f t="shared" si="17"/>
        <v>2022_WA_Deepdale_Chickpea_SatelliteTOS3VarietyCBA_CaptainWaterTrtRainFed</v>
      </c>
      <c r="B1106" s="2">
        <v>2022008</v>
      </c>
      <c r="C1106" s="3" t="s">
        <v>1163</v>
      </c>
      <c r="D1106" s="3" t="s">
        <v>248</v>
      </c>
      <c r="F1106" s="3" t="s">
        <v>249</v>
      </c>
      <c r="G1106" s="3" t="s">
        <v>43</v>
      </c>
      <c r="H1106" s="3" t="s">
        <v>250</v>
      </c>
      <c r="I1106" s="2">
        <v>11</v>
      </c>
      <c r="J1106" s="2">
        <v>11</v>
      </c>
      <c r="K1106" s="2">
        <v>1</v>
      </c>
      <c r="O1106" s="2">
        <v>2</v>
      </c>
      <c r="U1106" s="2">
        <v>3</v>
      </c>
      <c r="V1106" s="2">
        <v>12</v>
      </c>
      <c r="W1106" s="2">
        <v>3</v>
      </c>
      <c r="X1106" s="2">
        <v>3</v>
      </c>
      <c r="Z1106" s="2">
        <v>11</v>
      </c>
      <c r="AA1106" s="3" t="s">
        <v>40</v>
      </c>
      <c r="AB1106" s="2">
        <v>7</v>
      </c>
      <c r="AF1106" s="2">
        <v>22</v>
      </c>
      <c r="AG1106" s="2">
        <v>3</v>
      </c>
      <c r="AH1106" s="3" t="s">
        <v>1175</v>
      </c>
      <c r="AI1106" s="4">
        <v>44691</v>
      </c>
      <c r="AJ1106" s="3" t="s">
        <v>1178</v>
      </c>
      <c r="AK1106" s="3" t="s">
        <v>248</v>
      </c>
    </row>
    <row r="1107" spans="1:37" hidden="1" x14ac:dyDescent="0.25">
      <c r="A1107" t="str">
        <f t="shared" si="17"/>
        <v>2022_WA_Deepdale_Chickpea_SatelliteTOS3VarietyGenesis_090WaterTrtRainFed</v>
      </c>
      <c r="B1107" s="2">
        <v>2022008</v>
      </c>
      <c r="C1107" s="3" t="s">
        <v>1163</v>
      </c>
      <c r="D1107" s="3" t="s">
        <v>248</v>
      </c>
      <c r="F1107" s="3" t="s">
        <v>192</v>
      </c>
      <c r="G1107" s="3" t="s">
        <v>39</v>
      </c>
      <c r="H1107" s="3" t="s">
        <v>250</v>
      </c>
      <c r="I1107" s="2">
        <v>12</v>
      </c>
      <c r="J1107" s="2">
        <v>12</v>
      </c>
      <c r="K1107" s="2">
        <v>1</v>
      </c>
      <c r="O1107" s="2">
        <v>2</v>
      </c>
      <c r="U1107" s="2">
        <v>4</v>
      </c>
      <c r="V1107" s="2">
        <v>12</v>
      </c>
      <c r="W1107" s="2">
        <v>4</v>
      </c>
      <c r="X1107" s="2">
        <v>3</v>
      </c>
      <c r="Z1107" s="2">
        <v>12</v>
      </c>
      <c r="AA1107" s="3" t="s">
        <v>40</v>
      </c>
      <c r="AB1107" s="2">
        <v>8</v>
      </c>
      <c r="AF1107" s="2">
        <v>22</v>
      </c>
      <c r="AG1107" s="2">
        <v>3</v>
      </c>
      <c r="AH1107" s="3" t="s">
        <v>1175</v>
      </c>
      <c r="AI1107" s="4">
        <v>44691</v>
      </c>
      <c r="AJ1107" s="3" t="s">
        <v>1179</v>
      </c>
      <c r="AK1107" s="3" t="s">
        <v>248</v>
      </c>
    </row>
    <row r="1108" spans="1:37" hidden="1" x14ac:dyDescent="0.25">
      <c r="A1108" t="str">
        <f t="shared" si="17"/>
        <v>2022_WA_Deepdale_Chickpea_SatelliteTOS3VarietyD11006_13F3HRMT4PR0004WaterTrtRainFed</v>
      </c>
      <c r="B1108" s="2">
        <v>2022008</v>
      </c>
      <c r="C1108" s="3" t="s">
        <v>1163</v>
      </c>
      <c r="D1108" s="3" t="s">
        <v>248</v>
      </c>
      <c r="F1108" s="3" t="s">
        <v>1166</v>
      </c>
      <c r="G1108" s="3" t="s">
        <v>39</v>
      </c>
      <c r="H1108" s="3" t="s">
        <v>253</v>
      </c>
      <c r="I1108" s="2">
        <v>13</v>
      </c>
      <c r="J1108" s="2">
        <v>13</v>
      </c>
      <c r="K1108" s="2">
        <v>1</v>
      </c>
      <c r="O1108" s="2">
        <v>2</v>
      </c>
      <c r="U1108" s="2">
        <v>1</v>
      </c>
      <c r="V1108" s="2">
        <v>13</v>
      </c>
      <c r="W1108" s="2">
        <v>1</v>
      </c>
      <c r="X1108" s="2">
        <v>4</v>
      </c>
      <c r="Z1108" s="2">
        <v>16</v>
      </c>
      <c r="AA1108" s="3" t="s">
        <v>40</v>
      </c>
      <c r="AB1108" s="2">
        <v>5</v>
      </c>
      <c r="AF1108" s="2">
        <v>22</v>
      </c>
      <c r="AG1108" s="2">
        <v>3</v>
      </c>
      <c r="AH1108" s="3" t="s">
        <v>1175</v>
      </c>
      <c r="AI1108" s="4">
        <v>44691</v>
      </c>
      <c r="AJ1108" s="3" t="s">
        <v>1180</v>
      </c>
      <c r="AK1108" s="3" t="s">
        <v>248</v>
      </c>
    </row>
    <row r="1109" spans="1:37" hidden="1" x14ac:dyDescent="0.25">
      <c r="A1109" t="str">
        <f t="shared" si="17"/>
        <v>2022_WA_Deepdale_Chickpea_SatelliteTOS3VarietyHatTrickWaterTrtRainFed</v>
      </c>
      <c r="B1109" s="2">
        <v>2022008</v>
      </c>
      <c r="C1109" s="3" t="s">
        <v>1163</v>
      </c>
      <c r="D1109" s="3" t="s">
        <v>248</v>
      </c>
      <c r="F1109" s="3" t="s">
        <v>4178</v>
      </c>
      <c r="G1109" s="3" t="s">
        <v>39</v>
      </c>
      <c r="H1109" s="3" t="s">
        <v>253</v>
      </c>
      <c r="I1109" s="2">
        <v>14</v>
      </c>
      <c r="J1109" s="2">
        <v>14</v>
      </c>
      <c r="K1109" s="2">
        <v>1</v>
      </c>
      <c r="O1109" s="2">
        <v>2</v>
      </c>
      <c r="U1109" s="2">
        <v>2</v>
      </c>
      <c r="V1109" s="2">
        <v>13</v>
      </c>
      <c r="W1109" s="2">
        <v>2</v>
      </c>
      <c r="X1109" s="2">
        <v>4</v>
      </c>
      <c r="Z1109" s="2">
        <v>15</v>
      </c>
      <c r="AA1109" s="3" t="s">
        <v>40</v>
      </c>
      <c r="AB1109" s="2">
        <v>3</v>
      </c>
      <c r="AF1109" s="2">
        <v>22</v>
      </c>
      <c r="AG1109" s="2">
        <v>3</v>
      </c>
      <c r="AH1109" s="3" t="s">
        <v>1175</v>
      </c>
      <c r="AI1109" s="4">
        <v>44691</v>
      </c>
      <c r="AJ1109" s="3" t="s">
        <v>1181</v>
      </c>
      <c r="AK1109" s="3" t="s">
        <v>248</v>
      </c>
    </row>
    <row r="1110" spans="1:37" hidden="1" x14ac:dyDescent="0.25">
      <c r="A1110" t="str">
        <f t="shared" si="17"/>
        <v>2022_WA_Deepdale_Chickpea_SatelliteTOS3VarietyCBA_CaptainWaterTrtRainFed</v>
      </c>
      <c r="B1110" s="2">
        <v>2022008</v>
      </c>
      <c r="C1110" s="3" t="s">
        <v>1163</v>
      </c>
      <c r="D1110" s="3" t="s">
        <v>248</v>
      </c>
      <c r="F1110" s="3" t="s">
        <v>249</v>
      </c>
      <c r="G1110" s="3" t="s">
        <v>43</v>
      </c>
      <c r="H1110" s="3" t="s">
        <v>253</v>
      </c>
      <c r="I1110" s="2">
        <v>15</v>
      </c>
      <c r="J1110" s="2">
        <v>15</v>
      </c>
      <c r="K1110" s="2">
        <v>1</v>
      </c>
      <c r="O1110" s="2">
        <v>2</v>
      </c>
      <c r="U1110" s="2">
        <v>3</v>
      </c>
      <c r="V1110" s="2">
        <v>13</v>
      </c>
      <c r="W1110" s="2">
        <v>3</v>
      </c>
      <c r="X1110" s="2">
        <v>4</v>
      </c>
      <c r="Z1110" s="2">
        <v>14</v>
      </c>
      <c r="AA1110" s="3" t="s">
        <v>40</v>
      </c>
      <c r="AB1110" s="2">
        <v>1</v>
      </c>
      <c r="AF1110" s="2">
        <v>22</v>
      </c>
      <c r="AG1110" s="2">
        <v>3</v>
      </c>
      <c r="AH1110" s="3" t="s">
        <v>1175</v>
      </c>
      <c r="AI1110" s="4">
        <v>44691</v>
      </c>
      <c r="AJ1110" s="3" t="s">
        <v>1182</v>
      </c>
      <c r="AK1110" s="3" t="s">
        <v>248</v>
      </c>
    </row>
    <row r="1111" spans="1:37" hidden="1" x14ac:dyDescent="0.25">
      <c r="A1111" t="str">
        <f t="shared" si="17"/>
        <v>2022_WA_Deepdale_Chickpea_SatelliteTOS3VarietyD12014_14F3TMWR2AB001WaterTrtRainFed</v>
      </c>
      <c r="B1111" s="2">
        <v>2022008</v>
      </c>
      <c r="C1111" s="3" t="s">
        <v>1163</v>
      </c>
      <c r="D1111" s="3" t="s">
        <v>248</v>
      </c>
      <c r="F1111" s="3" t="s">
        <v>1170</v>
      </c>
      <c r="G1111" s="3" t="s">
        <v>39</v>
      </c>
      <c r="H1111" s="3" t="s">
        <v>253</v>
      </c>
      <c r="I1111" s="2">
        <v>16</v>
      </c>
      <c r="J1111" s="2">
        <v>16</v>
      </c>
      <c r="K1111" s="2">
        <v>1</v>
      </c>
      <c r="O1111" s="2">
        <v>2</v>
      </c>
      <c r="U1111" s="2">
        <v>4</v>
      </c>
      <c r="V1111" s="2">
        <v>13</v>
      </c>
      <c r="W1111" s="2">
        <v>4</v>
      </c>
      <c r="X1111" s="2">
        <v>4</v>
      </c>
      <c r="Z1111" s="2">
        <v>13</v>
      </c>
      <c r="AA1111" s="3" t="s">
        <v>40</v>
      </c>
      <c r="AB1111" s="2">
        <v>6</v>
      </c>
      <c r="AF1111" s="2">
        <v>22</v>
      </c>
      <c r="AG1111" s="2">
        <v>3</v>
      </c>
      <c r="AH1111" s="3" t="s">
        <v>1175</v>
      </c>
      <c r="AI1111" s="4">
        <v>44691</v>
      </c>
      <c r="AJ1111" s="3" t="s">
        <v>1183</v>
      </c>
      <c r="AK1111" s="3" t="s">
        <v>248</v>
      </c>
    </row>
    <row r="1112" spans="1:37" hidden="1" x14ac:dyDescent="0.25">
      <c r="A1112" t="str">
        <f t="shared" si="17"/>
        <v>2022_WA_Deepdale_Chickpea_SatelliteTOS1VarietyHatTrickWaterTrtRainFed</v>
      </c>
      <c r="B1112" s="2">
        <v>2022008</v>
      </c>
      <c r="C1112" s="3" t="s">
        <v>1163</v>
      </c>
      <c r="D1112" s="3" t="s">
        <v>248</v>
      </c>
      <c r="F1112" s="3" t="s">
        <v>4178</v>
      </c>
      <c r="G1112" s="3" t="s">
        <v>39</v>
      </c>
      <c r="H1112" s="3" t="s">
        <v>253</v>
      </c>
      <c r="I1112" s="2">
        <v>17</v>
      </c>
      <c r="J1112" s="2">
        <v>17</v>
      </c>
      <c r="K1112" s="2">
        <v>1</v>
      </c>
      <c r="O1112" s="2">
        <v>3</v>
      </c>
      <c r="U1112" s="2">
        <v>1</v>
      </c>
      <c r="V1112" s="2">
        <v>16</v>
      </c>
      <c r="W1112" s="2">
        <v>1</v>
      </c>
      <c r="X1112" s="2">
        <v>5</v>
      </c>
      <c r="Z1112" s="2">
        <v>17</v>
      </c>
      <c r="AA1112" s="3" t="s">
        <v>40</v>
      </c>
      <c r="AB1112" s="2">
        <v>3</v>
      </c>
      <c r="AF1112" s="2">
        <v>22</v>
      </c>
      <c r="AG1112" s="2">
        <v>1</v>
      </c>
      <c r="AH1112" s="3" t="s">
        <v>1184</v>
      </c>
      <c r="AI1112" s="4">
        <v>44664</v>
      </c>
      <c r="AJ1112" s="3" t="s">
        <v>1185</v>
      </c>
      <c r="AK1112" s="3" t="s">
        <v>248</v>
      </c>
    </row>
    <row r="1113" spans="1:37" hidden="1" x14ac:dyDescent="0.25">
      <c r="A1113" t="str">
        <f t="shared" si="17"/>
        <v>2022_WA_Deepdale_Chickpea_SatelliteTOS1VarietyStrikerWaterTrtRainFed</v>
      </c>
      <c r="B1113" s="2">
        <v>2022008</v>
      </c>
      <c r="C1113" s="3" t="s">
        <v>1163</v>
      </c>
      <c r="D1113" s="3" t="s">
        <v>248</v>
      </c>
      <c r="F1113" s="3" t="s">
        <v>4179</v>
      </c>
      <c r="G1113" s="3" t="s">
        <v>43</v>
      </c>
      <c r="H1113" s="3" t="s">
        <v>253</v>
      </c>
      <c r="I1113" s="2">
        <v>18</v>
      </c>
      <c r="J1113" s="2">
        <v>18</v>
      </c>
      <c r="K1113" s="2">
        <v>1</v>
      </c>
      <c r="O1113" s="2">
        <v>3</v>
      </c>
      <c r="U1113" s="2">
        <v>2</v>
      </c>
      <c r="V1113" s="2">
        <v>16</v>
      </c>
      <c r="W1113" s="2">
        <v>2</v>
      </c>
      <c r="X1113" s="2">
        <v>5</v>
      </c>
      <c r="Z1113" s="2">
        <v>18</v>
      </c>
      <c r="AA1113" s="3" t="s">
        <v>40</v>
      </c>
      <c r="AB1113" s="2">
        <v>2</v>
      </c>
      <c r="AF1113" s="2">
        <v>22</v>
      </c>
      <c r="AG1113" s="2">
        <v>1</v>
      </c>
      <c r="AH1113" s="3" t="s">
        <v>1184</v>
      </c>
      <c r="AI1113" s="4">
        <v>44664</v>
      </c>
      <c r="AJ1113" s="3" t="s">
        <v>1186</v>
      </c>
      <c r="AK1113" s="3" t="s">
        <v>248</v>
      </c>
    </row>
    <row r="1114" spans="1:37" hidden="1" x14ac:dyDescent="0.25">
      <c r="A1114" t="str">
        <f t="shared" si="17"/>
        <v>2022_WA_Deepdale_Chickpea_SatelliteTOS1VarietyGenesis_090WaterTrtRainFed</v>
      </c>
      <c r="B1114" s="2">
        <v>2022008</v>
      </c>
      <c r="C1114" s="3" t="s">
        <v>1163</v>
      </c>
      <c r="D1114" s="3" t="s">
        <v>248</v>
      </c>
      <c r="F1114" s="3" t="s">
        <v>192</v>
      </c>
      <c r="G1114" s="3" t="s">
        <v>39</v>
      </c>
      <c r="H1114" s="3" t="s">
        <v>250</v>
      </c>
      <c r="I1114" s="2">
        <v>19</v>
      </c>
      <c r="J1114" s="2">
        <v>19</v>
      </c>
      <c r="K1114" s="2">
        <v>1</v>
      </c>
      <c r="O1114" s="2">
        <v>3</v>
      </c>
      <c r="U1114" s="2">
        <v>3</v>
      </c>
      <c r="V1114" s="2">
        <v>16</v>
      </c>
      <c r="W1114" s="2">
        <v>3</v>
      </c>
      <c r="X1114" s="2">
        <v>5</v>
      </c>
      <c r="Z1114" s="2">
        <v>19</v>
      </c>
      <c r="AA1114" s="3" t="s">
        <v>40</v>
      </c>
      <c r="AB1114" s="2">
        <v>8</v>
      </c>
      <c r="AF1114" s="2">
        <v>22</v>
      </c>
      <c r="AG1114" s="2">
        <v>1</v>
      </c>
      <c r="AH1114" s="3" t="s">
        <v>1184</v>
      </c>
      <c r="AI1114" s="4">
        <v>44664</v>
      </c>
      <c r="AJ1114" s="3" t="s">
        <v>1187</v>
      </c>
      <c r="AK1114" s="3" t="s">
        <v>248</v>
      </c>
    </row>
    <row r="1115" spans="1:37" hidden="1" x14ac:dyDescent="0.25">
      <c r="A1115" t="str">
        <f t="shared" si="17"/>
        <v>2022_WA_Deepdale_Chickpea_SatelliteTOS1VarietyDrummondWaterTrtRainFed</v>
      </c>
      <c r="B1115" s="2">
        <v>2022008</v>
      </c>
      <c r="C1115" s="3" t="s">
        <v>1163</v>
      </c>
      <c r="D1115" s="3" t="s">
        <v>248</v>
      </c>
      <c r="F1115" s="3" t="s">
        <v>4182</v>
      </c>
      <c r="G1115" s="3" t="s">
        <v>39</v>
      </c>
      <c r="H1115" s="3" t="s">
        <v>253</v>
      </c>
      <c r="I1115" s="2">
        <v>20</v>
      </c>
      <c r="J1115" s="2">
        <v>20</v>
      </c>
      <c r="K1115" s="2">
        <v>1</v>
      </c>
      <c r="O1115" s="2">
        <v>3</v>
      </c>
      <c r="U1115" s="2">
        <v>4</v>
      </c>
      <c r="V1115" s="2">
        <v>16</v>
      </c>
      <c r="W1115" s="2">
        <v>4</v>
      </c>
      <c r="X1115" s="2">
        <v>5</v>
      </c>
      <c r="Z1115" s="2">
        <v>20</v>
      </c>
      <c r="AA1115" s="3" t="s">
        <v>40</v>
      </c>
      <c r="AB1115" s="2">
        <v>4</v>
      </c>
      <c r="AF1115" s="2">
        <v>22</v>
      </c>
      <c r="AG1115" s="2">
        <v>1</v>
      </c>
      <c r="AH1115" s="3" t="s">
        <v>1184</v>
      </c>
      <c r="AI1115" s="4">
        <v>44664</v>
      </c>
      <c r="AJ1115" s="3" t="s">
        <v>1188</v>
      </c>
      <c r="AK1115" s="3" t="s">
        <v>248</v>
      </c>
    </row>
    <row r="1116" spans="1:37" hidden="1" x14ac:dyDescent="0.25">
      <c r="A1116" t="str">
        <f t="shared" si="17"/>
        <v>2022_WA_Deepdale_Chickpea_SatelliteTOS1VarietyCBA_CaptainWaterTrtRainFed</v>
      </c>
      <c r="B1116" s="2">
        <v>2022008</v>
      </c>
      <c r="C1116" s="3" t="s">
        <v>1163</v>
      </c>
      <c r="D1116" s="3" t="s">
        <v>248</v>
      </c>
      <c r="F1116" s="3" t="s">
        <v>249</v>
      </c>
      <c r="G1116" s="3" t="s">
        <v>43</v>
      </c>
      <c r="H1116" s="3" t="s">
        <v>253</v>
      </c>
      <c r="I1116" s="2">
        <v>21</v>
      </c>
      <c r="J1116" s="2">
        <v>21</v>
      </c>
      <c r="K1116" s="2">
        <v>1</v>
      </c>
      <c r="O1116" s="2">
        <v>3</v>
      </c>
      <c r="U1116" s="2">
        <v>1</v>
      </c>
      <c r="V1116" s="2">
        <v>17</v>
      </c>
      <c r="W1116" s="2">
        <v>1</v>
      </c>
      <c r="X1116" s="2">
        <v>6</v>
      </c>
      <c r="Z1116" s="2">
        <v>24</v>
      </c>
      <c r="AA1116" s="3" t="s">
        <v>40</v>
      </c>
      <c r="AB1116" s="2">
        <v>1</v>
      </c>
      <c r="AF1116" s="2">
        <v>22</v>
      </c>
      <c r="AG1116" s="2">
        <v>1</v>
      </c>
      <c r="AH1116" s="3" t="s">
        <v>1184</v>
      </c>
      <c r="AI1116" s="4">
        <v>44664</v>
      </c>
      <c r="AJ1116" s="3" t="s">
        <v>1189</v>
      </c>
      <c r="AK1116" s="3" t="s">
        <v>248</v>
      </c>
    </row>
    <row r="1117" spans="1:37" hidden="1" x14ac:dyDescent="0.25">
      <c r="A1117" t="str">
        <f t="shared" si="17"/>
        <v>2022_WA_Deepdale_Chickpea_SatelliteTOS1VarietyD12014_14F3TMWR2AB001WaterTrtRainFed</v>
      </c>
      <c r="B1117" s="2">
        <v>2022008</v>
      </c>
      <c r="C1117" s="3" t="s">
        <v>1163</v>
      </c>
      <c r="D1117" s="3" t="s">
        <v>248</v>
      </c>
      <c r="F1117" s="3" t="s">
        <v>1170</v>
      </c>
      <c r="G1117" s="3" t="s">
        <v>39</v>
      </c>
      <c r="H1117" s="3" t="s">
        <v>253</v>
      </c>
      <c r="I1117" s="2">
        <v>22</v>
      </c>
      <c r="J1117" s="2">
        <v>22</v>
      </c>
      <c r="K1117" s="2">
        <v>1</v>
      </c>
      <c r="O1117" s="2">
        <v>3</v>
      </c>
      <c r="U1117" s="2">
        <v>2</v>
      </c>
      <c r="V1117" s="2">
        <v>17</v>
      </c>
      <c r="W1117" s="2">
        <v>2</v>
      </c>
      <c r="X1117" s="2">
        <v>6</v>
      </c>
      <c r="Z1117" s="2">
        <v>23</v>
      </c>
      <c r="AA1117" s="3" t="s">
        <v>40</v>
      </c>
      <c r="AB1117" s="2">
        <v>6</v>
      </c>
      <c r="AF1117" s="2">
        <v>22</v>
      </c>
      <c r="AG1117" s="2">
        <v>1</v>
      </c>
      <c r="AH1117" s="3" t="s">
        <v>1184</v>
      </c>
      <c r="AI1117" s="4">
        <v>44664</v>
      </c>
      <c r="AJ1117" s="3" t="s">
        <v>1190</v>
      </c>
      <c r="AK1117" s="3" t="s">
        <v>248</v>
      </c>
    </row>
    <row r="1118" spans="1:37" hidden="1" x14ac:dyDescent="0.25">
      <c r="A1118" t="str">
        <f t="shared" si="17"/>
        <v>2022_WA_Deepdale_Chickpea_SatelliteTOS1VarietyD11006_13F3HRMT4PR0004WaterTrtRainFed</v>
      </c>
      <c r="B1118" s="2">
        <v>2022008</v>
      </c>
      <c r="C1118" s="3" t="s">
        <v>1163</v>
      </c>
      <c r="D1118" s="3" t="s">
        <v>248</v>
      </c>
      <c r="F1118" s="3" t="s">
        <v>1166</v>
      </c>
      <c r="G1118" s="3" t="s">
        <v>39</v>
      </c>
      <c r="H1118" s="3" t="s">
        <v>253</v>
      </c>
      <c r="I1118" s="2">
        <v>23</v>
      </c>
      <c r="J1118" s="2">
        <v>23</v>
      </c>
      <c r="K1118" s="2">
        <v>1</v>
      </c>
      <c r="O1118" s="2">
        <v>3</v>
      </c>
      <c r="U1118" s="2">
        <v>3</v>
      </c>
      <c r="V1118" s="2">
        <v>17</v>
      </c>
      <c r="W1118" s="2">
        <v>3</v>
      </c>
      <c r="X1118" s="2">
        <v>6</v>
      </c>
      <c r="Z1118" s="2">
        <v>22</v>
      </c>
      <c r="AA1118" s="3" t="s">
        <v>40</v>
      </c>
      <c r="AB1118" s="2">
        <v>5</v>
      </c>
      <c r="AF1118" s="2">
        <v>22</v>
      </c>
      <c r="AG1118" s="2">
        <v>1</v>
      </c>
      <c r="AH1118" s="3" t="s">
        <v>1184</v>
      </c>
      <c r="AI1118" s="4">
        <v>44664</v>
      </c>
      <c r="AJ1118" s="3" t="s">
        <v>1191</v>
      </c>
      <c r="AK1118" s="3" t="s">
        <v>248</v>
      </c>
    </row>
    <row r="1119" spans="1:37" hidden="1" x14ac:dyDescent="0.25">
      <c r="A1119" t="str">
        <f t="shared" si="17"/>
        <v>2022_WA_Deepdale_Chickpea_SatelliteTOS1VarietyCBA_CaptainWaterTrtRainFed</v>
      </c>
      <c r="B1119" s="2">
        <v>2022008</v>
      </c>
      <c r="C1119" s="3" t="s">
        <v>1163</v>
      </c>
      <c r="D1119" s="3" t="s">
        <v>248</v>
      </c>
      <c r="F1119" s="3" t="s">
        <v>249</v>
      </c>
      <c r="G1119" s="3" t="s">
        <v>43</v>
      </c>
      <c r="H1119" s="3" t="s">
        <v>250</v>
      </c>
      <c r="I1119" s="2">
        <v>24</v>
      </c>
      <c r="J1119" s="2">
        <v>24</v>
      </c>
      <c r="K1119" s="2">
        <v>1</v>
      </c>
      <c r="O1119" s="2">
        <v>3</v>
      </c>
      <c r="U1119" s="2">
        <v>4</v>
      </c>
      <c r="V1119" s="2">
        <v>17</v>
      </c>
      <c r="W1119" s="2">
        <v>4</v>
      </c>
      <c r="X1119" s="2">
        <v>6</v>
      </c>
      <c r="Z1119" s="2">
        <v>21</v>
      </c>
      <c r="AA1119" s="3" t="s">
        <v>40</v>
      </c>
      <c r="AB1119" s="2">
        <v>7</v>
      </c>
      <c r="AF1119" s="2">
        <v>22</v>
      </c>
      <c r="AG1119" s="2">
        <v>1</v>
      </c>
      <c r="AH1119" s="3" t="s">
        <v>1184</v>
      </c>
      <c r="AI1119" s="4">
        <v>44664</v>
      </c>
      <c r="AJ1119" s="3" t="s">
        <v>1192</v>
      </c>
      <c r="AK1119" s="3" t="s">
        <v>248</v>
      </c>
    </row>
    <row r="1120" spans="1:37" hidden="1" x14ac:dyDescent="0.25">
      <c r="A1120" t="str">
        <f t="shared" si="17"/>
        <v>2022_WA_Deepdale_Chickpea_SatelliteTOS2VarietyCBA_CaptainWaterTrtRainFed</v>
      </c>
      <c r="B1120" s="2">
        <v>2022008</v>
      </c>
      <c r="C1120" s="3" t="s">
        <v>1163</v>
      </c>
      <c r="D1120" s="3" t="s">
        <v>248</v>
      </c>
      <c r="F1120" s="3" t="s">
        <v>249</v>
      </c>
      <c r="G1120" s="3" t="s">
        <v>43</v>
      </c>
      <c r="H1120" s="3" t="s">
        <v>250</v>
      </c>
      <c r="I1120" s="2">
        <v>25</v>
      </c>
      <c r="J1120" s="2">
        <v>25</v>
      </c>
      <c r="K1120" s="2">
        <v>1</v>
      </c>
      <c r="O1120" s="2">
        <v>4</v>
      </c>
      <c r="U1120" s="2">
        <v>1</v>
      </c>
      <c r="V1120" s="2">
        <v>20</v>
      </c>
      <c r="W1120" s="2">
        <v>1</v>
      </c>
      <c r="X1120" s="2">
        <v>7</v>
      </c>
      <c r="Z1120" s="2">
        <v>25</v>
      </c>
      <c r="AA1120" s="3" t="s">
        <v>40</v>
      </c>
      <c r="AB1120" s="2">
        <v>7</v>
      </c>
      <c r="AF1120" s="2">
        <v>22</v>
      </c>
      <c r="AG1120" s="2">
        <v>2</v>
      </c>
      <c r="AH1120" s="3" t="s">
        <v>1193</v>
      </c>
      <c r="AI1120" s="4">
        <v>44677</v>
      </c>
      <c r="AJ1120" s="3" t="s">
        <v>1194</v>
      </c>
      <c r="AK1120" s="3" t="s">
        <v>248</v>
      </c>
    </row>
    <row r="1121" spans="1:37" hidden="1" x14ac:dyDescent="0.25">
      <c r="A1121" t="str">
        <f t="shared" si="17"/>
        <v>2022_WA_Deepdale_Chickpea_SatelliteTOS2VarietyGenesis_090WaterTrtRainFed</v>
      </c>
      <c r="B1121" s="2">
        <v>2022008</v>
      </c>
      <c r="C1121" s="3" t="s">
        <v>1163</v>
      </c>
      <c r="D1121" s="3" t="s">
        <v>248</v>
      </c>
      <c r="F1121" s="3" t="s">
        <v>192</v>
      </c>
      <c r="G1121" s="3" t="s">
        <v>39</v>
      </c>
      <c r="H1121" s="3" t="s">
        <v>250</v>
      </c>
      <c r="I1121" s="2">
        <v>26</v>
      </c>
      <c r="J1121" s="2">
        <v>26</v>
      </c>
      <c r="K1121" s="2">
        <v>1</v>
      </c>
      <c r="O1121" s="2">
        <v>4</v>
      </c>
      <c r="U1121" s="2">
        <v>2</v>
      </c>
      <c r="V1121" s="2">
        <v>20</v>
      </c>
      <c r="W1121" s="2">
        <v>2</v>
      </c>
      <c r="X1121" s="2">
        <v>7</v>
      </c>
      <c r="Z1121" s="2">
        <v>26</v>
      </c>
      <c r="AA1121" s="3" t="s">
        <v>40</v>
      </c>
      <c r="AB1121" s="2">
        <v>8</v>
      </c>
      <c r="AF1121" s="2">
        <v>22</v>
      </c>
      <c r="AG1121" s="2">
        <v>2</v>
      </c>
      <c r="AH1121" s="3" t="s">
        <v>1193</v>
      </c>
      <c r="AI1121" s="4">
        <v>44677</v>
      </c>
      <c r="AJ1121" s="3" t="s">
        <v>1195</v>
      </c>
      <c r="AK1121" s="3" t="s">
        <v>248</v>
      </c>
    </row>
    <row r="1122" spans="1:37" hidden="1" x14ac:dyDescent="0.25">
      <c r="A1122" t="str">
        <f t="shared" si="17"/>
        <v>2022_WA_Deepdale_Chickpea_SatelliteTOS2VarietyD12014_14F3TMWR2AB001WaterTrtRainFed</v>
      </c>
      <c r="B1122" s="2">
        <v>2022008</v>
      </c>
      <c r="C1122" s="3" t="s">
        <v>1163</v>
      </c>
      <c r="D1122" s="3" t="s">
        <v>248</v>
      </c>
      <c r="F1122" s="3" t="s">
        <v>1170</v>
      </c>
      <c r="G1122" s="3" t="s">
        <v>39</v>
      </c>
      <c r="H1122" s="3" t="s">
        <v>253</v>
      </c>
      <c r="I1122" s="2">
        <v>27</v>
      </c>
      <c r="J1122" s="2">
        <v>27</v>
      </c>
      <c r="K1122" s="2">
        <v>1</v>
      </c>
      <c r="O1122" s="2">
        <v>4</v>
      </c>
      <c r="U1122" s="2">
        <v>3</v>
      </c>
      <c r="V1122" s="2">
        <v>20</v>
      </c>
      <c r="W1122" s="2">
        <v>3</v>
      </c>
      <c r="X1122" s="2">
        <v>7</v>
      </c>
      <c r="Z1122" s="2">
        <v>27</v>
      </c>
      <c r="AA1122" s="3" t="s">
        <v>40</v>
      </c>
      <c r="AB1122" s="2">
        <v>6</v>
      </c>
      <c r="AF1122" s="2">
        <v>22</v>
      </c>
      <c r="AG1122" s="2">
        <v>2</v>
      </c>
      <c r="AH1122" s="3" t="s">
        <v>1193</v>
      </c>
      <c r="AI1122" s="4">
        <v>44677</v>
      </c>
      <c r="AJ1122" s="3" t="s">
        <v>1196</v>
      </c>
      <c r="AK1122" s="3" t="s">
        <v>248</v>
      </c>
    </row>
    <row r="1123" spans="1:37" hidden="1" x14ac:dyDescent="0.25">
      <c r="A1123" t="str">
        <f t="shared" si="17"/>
        <v>2022_WA_Deepdale_Chickpea_SatelliteTOS2VarietyHatTrickWaterTrtRainFed</v>
      </c>
      <c r="B1123" s="2">
        <v>2022008</v>
      </c>
      <c r="C1123" s="3" t="s">
        <v>1163</v>
      </c>
      <c r="D1123" s="3" t="s">
        <v>248</v>
      </c>
      <c r="F1123" s="3" t="s">
        <v>4178</v>
      </c>
      <c r="G1123" s="3" t="s">
        <v>39</v>
      </c>
      <c r="H1123" s="3" t="s">
        <v>253</v>
      </c>
      <c r="I1123" s="2">
        <v>28</v>
      </c>
      <c r="J1123" s="2">
        <v>28</v>
      </c>
      <c r="K1123" s="2">
        <v>1</v>
      </c>
      <c r="O1123" s="2">
        <v>4</v>
      </c>
      <c r="U1123" s="2">
        <v>4</v>
      </c>
      <c r="V1123" s="2">
        <v>20</v>
      </c>
      <c r="W1123" s="2">
        <v>4</v>
      </c>
      <c r="X1123" s="2">
        <v>7</v>
      </c>
      <c r="Z1123" s="2">
        <v>28</v>
      </c>
      <c r="AA1123" s="3" t="s">
        <v>40</v>
      </c>
      <c r="AB1123" s="2">
        <v>3</v>
      </c>
      <c r="AF1123" s="2">
        <v>22</v>
      </c>
      <c r="AG1123" s="2">
        <v>2</v>
      </c>
      <c r="AH1123" s="3" t="s">
        <v>1193</v>
      </c>
      <c r="AI1123" s="4">
        <v>44677</v>
      </c>
      <c r="AJ1123" s="3" t="s">
        <v>1197</v>
      </c>
      <c r="AK1123" s="3" t="s">
        <v>248</v>
      </c>
    </row>
    <row r="1124" spans="1:37" hidden="1" x14ac:dyDescent="0.25">
      <c r="A1124" t="str">
        <f t="shared" si="17"/>
        <v>2022_WA_Deepdale_Chickpea_SatelliteTOS2VarietyDrummondWaterTrtRainFed</v>
      </c>
      <c r="B1124" s="2">
        <v>2022008</v>
      </c>
      <c r="C1124" s="3" t="s">
        <v>1163</v>
      </c>
      <c r="D1124" s="3" t="s">
        <v>248</v>
      </c>
      <c r="F1124" s="3" t="s">
        <v>4182</v>
      </c>
      <c r="G1124" s="3" t="s">
        <v>39</v>
      </c>
      <c r="H1124" s="3" t="s">
        <v>253</v>
      </c>
      <c r="I1124" s="2">
        <v>29</v>
      </c>
      <c r="J1124" s="2">
        <v>29</v>
      </c>
      <c r="K1124" s="2">
        <v>1</v>
      </c>
      <c r="O1124" s="2">
        <v>4</v>
      </c>
      <c r="U1124" s="2">
        <v>1</v>
      </c>
      <c r="V1124" s="2">
        <v>21</v>
      </c>
      <c r="W1124" s="2">
        <v>1</v>
      </c>
      <c r="X1124" s="2">
        <v>8</v>
      </c>
      <c r="Z1124" s="2">
        <v>32</v>
      </c>
      <c r="AA1124" s="3" t="s">
        <v>40</v>
      </c>
      <c r="AB1124" s="2">
        <v>4</v>
      </c>
      <c r="AF1124" s="2">
        <v>22</v>
      </c>
      <c r="AG1124" s="2">
        <v>2</v>
      </c>
      <c r="AH1124" s="3" t="s">
        <v>1193</v>
      </c>
      <c r="AI1124" s="4">
        <v>44677</v>
      </c>
      <c r="AJ1124" s="3" t="s">
        <v>1198</v>
      </c>
      <c r="AK1124" s="3" t="s">
        <v>248</v>
      </c>
    </row>
    <row r="1125" spans="1:37" hidden="1" x14ac:dyDescent="0.25">
      <c r="A1125" t="str">
        <f t="shared" si="17"/>
        <v>2022_WA_Deepdale_Chickpea_SatelliteTOS2VarietyCBA_CaptainWaterTrtRainFed</v>
      </c>
      <c r="B1125" s="2">
        <v>2022008</v>
      </c>
      <c r="C1125" s="3" t="s">
        <v>1163</v>
      </c>
      <c r="D1125" s="3" t="s">
        <v>248</v>
      </c>
      <c r="F1125" s="3" t="s">
        <v>249</v>
      </c>
      <c r="G1125" s="3" t="s">
        <v>43</v>
      </c>
      <c r="H1125" s="3" t="s">
        <v>253</v>
      </c>
      <c r="I1125" s="2">
        <v>30</v>
      </c>
      <c r="J1125" s="2">
        <v>30</v>
      </c>
      <c r="K1125" s="2">
        <v>1</v>
      </c>
      <c r="O1125" s="2">
        <v>4</v>
      </c>
      <c r="U1125" s="2">
        <v>2</v>
      </c>
      <c r="V1125" s="2">
        <v>21</v>
      </c>
      <c r="W1125" s="2">
        <v>2</v>
      </c>
      <c r="X1125" s="2">
        <v>8</v>
      </c>
      <c r="Z1125" s="2">
        <v>31</v>
      </c>
      <c r="AA1125" s="3" t="s">
        <v>40</v>
      </c>
      <c r="AB1125" s="2">
        <v>1</v>
      </c>
      <c r="AF1125" s="2">
        <v>22</v>
      </c>
      <c r="AG1125" s="2">
        <v>2</v>
      </c>
      <c r="AH1125" s="3" t="s">
        <v>1193</v>
      </c>
      <c r="AI1125" s="4">
        <v>44677</v>
      </c>
      <c r="AJ1125" s="3" t="s">
        <v>1199</v>
      </c>
      <c r="AK1125" s="3" t="s">
        <v>248</v>
      </c>
    </row>
    <row r="1126" spans="1:37" hidden="1" x14ac:dyDescent="0.25">
      <c r="A1126" t="str">
        <f t="shared" si="17"/>
        <v>2022_WA_Deepdale_Chickpea_SatelliteTOS2VarietyStrikerWaterTrtRainFed</v>
      </c>
      <c r="B1126" s="2">
        <v>2022008</v>
      </c>
      <c r="C1126" s="3" t="s">
        <v>1163</v>
      </c>
      <c r="D1126" s="3" t="s">
        <v>248</v>
      </c>
      <c r="F1126" s="3" t="s">
        <v>4179</v>
      </c>
      <c r="G1126" s="3" t="s">
        <v>43</v>
      </c>
      <c r="H1126" s="3" t="s">
        <v>253</v>
      </c>
      <c r="I1126" s="2">
        <v>31</v>
      </c>
      <c r="J1126" s="2">
        <v>31</v>
      </c>
      <c r="K1126" s="2">
        <v>1</v>
      </c>
      <c r="O1126" s="2">
        <v>4</v>
      </c>
      <c r="U1126" s="2">
        <v>3</v>
      </c>
      <c r="V1126" s="2">
        <v>21</v>
      </c>
      <c r="W1126" s="2">
        <v>3</v>
      </c>
      <c r="X1126" s="2">
        <v>8</v>
      </c>
      <c r="Z1126" s="2">
        <v>30</v>
      </c>
      <c r="AA1126" s="3" t="s">
        <v>40</v>
      </c>
      <c r="AB1126" s="2">
        <v>2</v>
      </c>
      <c r="AF1126" s="2">
        <v>22</v>
      </c>
      <c r="AG1126" s="2">
        <v>2</v>
      </c>
      <c r="AH1126" s="3" t="s">
        <v>1193</v>
      </c>
      <c r="AI1126" s="4">
        <v>44677</v>
      </c>
      <c r="AJ1126" s="3" t="s">
        <v>1200</v>
      </c>
      <c r="AK1126" s="3" t="s">
        <v>248</v>
      </c>
    </row>
    <row r="1127" spans="1:37" hidden="1" x14ac:dyDescent="0.25">
      <c r="A1127" t="str">
        <f t="shared" si="17"/>
        <v>2022_WA_Deepdale_Chickpea_SatelliteTOS2VarietyD11006_13F3HRMT4PR0004WaterTrtRainFed</v>
      </c>
      <c r="B1127" s="2">
        <v>2022008</v>
      </c>
      <c r="C1127" s="3" t="s">
        <v>1163</v>
      </c>
      <c r="D1127" s="3" t="s">
        <v>248</v>
      </c>
      <c r="F1127" s="3" t="s">
        <v>1166</v>
      </c>
      <c r="G1127" s="3" t="s">
        <v>39</v>
      </c>
      <c r="H1127" s="3" t="s">
        <v>253</v>
      </c>
      <c r="I1127" s="2">
        <v>32</v>
      </c>
      <c r="J1127" s="2">
        <v>32</v>
      </c>
      <c r="K1127" s="2">
        <v>1</v>
      </c>
      <c r="O1127" s="2">
        <v>4</v>
      </c>
      <c r="U1127" s="2">
        <v>4</v>
      </c>
      <c r="V1127" s="2">
        <v>21</v>
      </c>
      <c r="W1127" s="2">
        <v>4</v>
      </c>
      <c r="X1127" s="2">
        <v>8</v>
      </c>
      <c r="Z1127" s="2">
        <v>29</v>
      </c>
      <c r="AA1127" s="3" t="s">
        <v>40</v>
      </c>
      <c r="AB1127" s="2">
        <v>5</v>
      </c>
      <c r="AF1127" s="2">
        <v>22</v>
      </c>
      <c r="AG1127" s="2">
        <v>2</v>
      </c>
      <c r="AH1127" s="3" t="s">
        <v>1193</v>
      </c>
      <c r="AI1127" s="4">
        <v>44677</v>
      </c>
      <c r="AJ1127" s="3" t="s">
        <v>1201</v>
      </c>
      <c r="AK1127" s="3" t="s">
        <v>248</v>
      </c>
    </row>
    <row r="1128" spans="1:37" hidden="1" x14ac:dyDescent="0.25">
      <c r="A1128" t="str">
        <f t="shared" si="17"/>
        <v>2022_WA_Deepdale_Chickpea_SatelliteTOS3VarietyHatTrickWaterTrtRainFed</v>
      </c>
      <c r="B1128" s="2">
        <v>2022008</v>
      </c>
      <c r="C1128" s="3" t="s">
        <v>1163</v>
      </c>
      <c r="D1128" s="3" t="s">
        <v>248</v>
      </c>
      <c r="F1128" s="3" t="s">
        <v>4178</v>
      </c>
      <c r="G1128" s="3" t="s">
        <v>39</v>
      </c>
      <c r="H1128" s="3" t="s">
        <v>253</v>
      </c>
      <c r="I1128" s="2">
        <v>33</v>
      </c>
      <c r="J1128" s="2">
        <v>33</v>
      </c>
      <c r="K1128" s="2">
        <v>2</v>
      </c>
      <c r="O1128" s="2">
        <v>5</v>
      </c>
      <c r="U1128" s="2">
        <v>1</v>
      </c>
      <c r="V1128" s="2">
        <v>24</v>
      </c>
      <c r="W1128" s="2">
        <v>1</v>
      </c>
      <c r="X1128" s="2">
        <v>9</v>
      </c>
      <c r="Z1128" s="2">
        <v>33</v>
      </c>
      <c r="AA1128" s="3" t="s">
        <v>40</v>
      </c>
      <c r="AB1128" s="2">
        <v>3</v>
      </c>
      <c r="AF1128" s="2">
        <v>22</v>
      </c>
      <c r="AG1128" s="2">
        <v>3</v>
      </c>
      <c r="AH1128" s="3" t="s">
        <v>1175</v>
      </c>
      <c r="AI1128" s="4">
        <v>44691</v>
      </c>
      <c r="AJ1128" s="3" t="s">
        <v>1202</v>
      </c>
      <c r="AK1128" s="3" t="s">
        <v>248</v>
      </c>
    </row>
    <row r="1129" spans="1:37" hidden="1" x14ac:dyDescent="0.25">
      <c r="A1129" t="str">
        <f t="shared" si="17"/>
        <v>2022_WA_Deepdale_Chickpea_SatelliteTOS3VarietyCBA_CaptainWaterTrtRainFed</v>
      </c>
      <c r="B1129" s="2">
        <v>2022008</v>
      </c>
      <c r="C1129" s="3" t="s">
        <v>1163</v>
      </c>
      <c r="D1129" s="3" t="s">
        <v>248</v>
      </c>
      <c r="F1129" s="3" t="s">
        <v>249</v>
      </c>
      <c r="G1129" s="3" t="s">
        <v>43</v>
      </c>
      <c r="H1129" s="3" t="s">
        <v>253</v>
      </c>
      <c r="I1129" s="2">
        <v>34</v>
      </c>
      <c r="J1129" s="2">
        <v>34</v>
      </c>
      <c r="K1129" s="2">
        <v>2</v>
      </c>
      <c r="O1129" s="2">
        <v>5</v>
      </c>
      <c r="U1129" s="2">
        <v>2</v>
      </c>
      <c r="V1129" s="2">
        <v>24</v>
      </c>
      <c r="W1129" s="2">
        <v>2</v>
      </c>
      <c r="X1129" s="2">
        <v>9</v>
      </c>
      <c r="Z1129" s="2">
        <v>34</v>
      </c>
      <c r="AA1129" s="3" t="s">
        <v>40</v>
      </c>
      <c r="AB1129" s="2">
        <v>1</v>
      </c>
      <c r="AF1129" s="2">
        <v>22</v>
      </c>
      <c r="AG1129" s="2">
        <v>3</v>
      </c>
      <c r="AH1129" s="3" t="s">
        <v>1175</v>
      </c>
      <c r="AI1129" s="4">
        <v>44691</v>
      </c>
      <c r="AJ1129" s="3" t="s">
        <v>1203</v>
      </c>
      <c r="AK1129" s="3" t="s">
        <v>248</v>
      </c>
    </row>
    <row r="1130" spans="1:37" hidden="1" x14ac:dyDescent="0.25">
      <c r="A1130" t="str">
        <f t="shared" si="17"/>
        <v>2022_WA_Deepdale_Chickpea_SatelliteTOS3VarietyGenesis_090WaterTrtRainFed</v>
      </c>
      <c r="B1130" s="2">
        <v>2022008</v>
      </c>
      <c r="C1130" s="3" t="s">
        <v>1163</v>
      </c>
      <c r="D1130" s="3" t="s">
        <v>248</v>
      </c>
      <c r="F1130" s="3" t="s">
        <v>192</v>
      </c>
      <c r="G1130" s="3" t="s">
        <v>39</v>
      </c>
      <c r="H1130" s="3" t="s">
        <v>250</v>
      </c>
      <c r="I1130" s="2">
        <v>35</v>
      </c>
      <c r="J1130" s="2">
        <v>35</v>
      </c>
      <c r="K1130" s="2">
        <v>2</v>
      </c>
      <c r="O1130" s="2">
        <v>5</v>
      </c>
      <c r="U1130" s="2">
        <v>3</v>
      </c>
      <c r="V1130" s="2">
        <v>24</v>
      </c>
      <c r="W1130" s="2">
        <v>3</v>
      </c>
      <c r="X1130" s="2">
        <v>9</v>
      </c>
      <c r="Z1130" s="2">
        <v>35</v>
      </c>
      <c r="AA1130" s="3" t="s">
        <v>40</v>
      </c>
      <c r="AB1130" s="2">
        <v>8</v>
      </c>
      <c r="AF1130" s="2">
        <v>22</v>
      </c>
      <c r="AG1130" s="2">
        <v>3</v>
      </c>
      <c r="AH1130" s="3" t="s">
        <v>1175</v>
      </c>
      <c r="AI1130" s="4">
        <v>44691</v>
      </c>
      <c r="AJ1130" s="3" t="s">
        <v>1204</v>
      </c>
      <c r="AK1130" s="3" t="s">
        <v>248</v>
      </c>
    </row>
    <row r="1131" spans="1:37" hidden="1" x14ac:dyDescent="0.25">
      <c r="A1131" t="str">
        <f t="shared" si="17"/>
        <v>2022_WA_Deepdale_Chickpea_SatelliteTOS3VarietyD11006_13F3HRMT4PR0004WaterTrtRainFed</v>
      </c>
      <c r="B1131" s="2">
        <v>2022008</v>
      </c>
      <c r="C1131" s="3" t="s">
        <v>1163</v>
      </c>
      <c r="D1131" s="3" t="s">
        <v>248</v>
      </c>
      <c r="F1131" s="3" t="s">
        <v>1166</v>
      </c>
      <c r="G1131" s="3" t="s">
        <v>39</v>
      </c>
      <c r="H1131" s="3" t="s">
        <v>253</v>
      </c>
      <c r="I1131" s="2">
        <v>36</v>
      </c>
      <c r="J1131" s="2">
        <v>36</v>
      </c>
      <c r="K1131" s="2">
        <v>2</v>
      </c>
      <c r="O1131" s="2">
        <v>5</v>
      </c>
      <c r="U1131" s="2">
        <v>4</v>
      </c>
      <c r="V1131" s="2">
        <v>24</v>
      </c>
      <c r="W1131" s="2">
        <v>4</v>
      </c>
      <c r="X1131" s="2">
        <v>9</v>
      </c>
      <c r="Z1131" s="2">
        <v>36</v>
      </c>
      <c r="AA1131" s="3" t="s">
        <v>40</v>
      </c>
      <c r="AB1131" s="2">
        <v>5</v>
      </c>
      <c r="AF1131" s="2">
        <v>22</v>
      </c>
      <c r="AG1131" s="2">
        <v>3</v>
      </c>
      <c r="AH1131" s="3" t="s">
        <v>1175</v>
      </c>
      <c r="AI1131" s="4">
        <v>44691</v>
      </c>
      <c r="AJ1131" s="3" t="s">
        <v>1205</v>
      </c>
      <c r="AK1131" s="3" t="s">
        <v>248</v>
      </c>
    </row>
    <row r="1132" spans="1:37" hidden="1" x14ac:dyDescent="0.25">
      <c r="A1132" t="str">
        <f t="shared" si="17"/>
        <v>2022_WA_Deepdale_Chickpea_SatelliteTOS3VarietyD12014_14F3TMWR2AB001WaterTrtRainFed</v>
      </c>
      <c r="B1132" s="2">
        <v>2022008</v>
      </c>
      <c r="C1132" s="3" t="s">
        <v>1163</v>
      </c>
      <c r="D1132" s="3" t="s">
        <v>248</v>
      </c>
      <c r="F1132" s="3" t="s">
        <v>1170</v>
      </c>
      <c r="G1132" s="3" t="s">
        <v>39</v>
      </c>
      <c r="H1132" s="3" t="s">
        <v>253</v>
      </c>
      <c r="I1132" s="2">
        <v>37</v>
      </c>
      <c r="J1132" s="2">
        <v>37</v>
      </c>
      <c r="K1132" s="2">
        <v>2</v>
      </c>
      <c r="O1132" s="2">
        <v>5</v>
      </c>
      <c r="U1132" s="2">
        <v>1</v>
      </c>
      <c r="V1132" s="2">
        <v>25</v>
      </c>
      <c r="W1132" s="2">
        <v>1</v>
      </c>
      <c r="X1132" s="2">
        <v>10</v>
      </c>
      <c r="Z1132" s="2">
        <v>40</v>
      </c>
      <c r="AA1132" s="3" t="s">
        <v>40</v>
      </c>
      <c r="AB1132" s="2">
        <v>6</v>
      </c>
      <c r="AF1132" s="2">
        <v>22</v>
      </c>
      <c r="AG1132" s="2">
        <v>3</v>
      </c>
      <c r="AH1132" s="3" t="s">
        <v>1175</v>
      </c>
      <c r="AI1132" s="4">
        <v>44691</v>
      </c>
      <c r="AJ1132" s="3" t="s">
        <v>1206</v>
      </c>
      <c r="AK1132" s="3" t="s">
        <v>248</v>
      </c>
    </row>
    <row r="1133" spans="1:37" hidden="1" x14ac:dyDescent="0.25">
      <c r="A1133" t="str">
        <f t="shared" si="17"/>
        <v>2022_WA_Deepdale_Chickpea_SatelliteTOS3VarietyCBA_CaptainWaterTrtRainFed</v>
      </c>
      <c r="B1133" s="2">
        <v>2022008</v>
      </c>
      <c r="C1133" s="3" t="s">
        <v>1163</v>
      </c>
      <c r="D1133" s="3" t="s">
        <v>248</v>
      </c>
      <c r="F1133" s="3" t="s">
        <v>249</v>
      </c>
      <c r="G1133" s="3" t="s">
        <v>43</v>
      </c>
      <c r="H1133" s="3" t="s">
        <v>250</v>
      </c>
      <c r="I1133" s="2">
        <v>38</v>
      </c>
      <c r="J1133" s="2">
        <v>38</v>
      </c>
      <c r="K1133" s="2">
        <v>2</v>
      </c>
      <c r="O1133" s="2">
        <v>5</v>
      </c>
      <c r="U1133" s="2">
        <v>2</v>
      </c>
      <c r="V1133" s="2">
        <v>25</v>
      </c>
      <c r="W1133" s="2">
        <v>2</v>
      </c>
      <c r="X1133" s="2">
        <v>10</v>
      </c>
      <c r="Z1133" s="2">
        <v>39</v>
      </c>
      <c r="AA1133" s="3" t="s">
        <v>40</v>
      </c>
      <c r="AB1133" s="2">
        <v>7</v>
      </c>
      <c r="AF1133" s="2">
        <v>22</v>
      </c>
      <c r="AG1133" s="2">
        <v>3</v>
      </c>
      <c r="AH1133" s="3" t="s">
        <v>1175</v>
      </c>
      <c r="AI1133" s="4">
        <v>44691</v>
      </c>
      <c r="AJ1133" s="3" t="s">
        <v>1207</v>
      </c>
      <c r="AK1133" s="3" t="s">
        <v>248</v>
      </c>
    </row>
    <row r="1134" spans="1:37" hidden="1" x14ac:dyDescent="0.25">
      <c r="A1134" t="str">
        <f t="shared" si="17"/>
        <v>2022_WA_Deepdale_Chickpea_SatelliteTOS3VarietyDrummondWaterTrtRainFed</v>
      </c>
      <c r="B1134" s="2">
        <v>2022008</v>
      </c>
      <c r="C1134" s="3" t="s">
        <v>1163</v>
      </c>
      <c r="D1134" s="3" t="s">
        <v>248</v>
      </c>
      <c r="F1134" s="3" t="s">
        <v>4182</v>
      </c>
      <c r="G1134" s="3" t="s">
        <v>39</v>
      </c>
      <c r="H1134" s="3" t="s">
        <v>253</v>
      </c>
      <c r="I1134" s="2">
        <v>39</v>
      </c>
      <c r="J1134" s="2">
        <v>39</v>
      </c>
      <c r="K1134" s="2">
        <v>2</v>
      </c>
      <c r="O1134" s="2">
        <v>5</v>
      </c>
      <c r="U1134" s="2">
        <v>3</v>
      </c>
      <c r="V1134" s="2">
        <v>25</v>
      </c>
      <c r="W1134" s="2">
        <v>3</v>
      </c>
      <c r="X1134" s="2">
        <v>10</v>
      </c>
      <c r="Z1134" s="2">
        <v>38</v>
      </c>
      <c r="AA1134" s="3" t="s">
        <v>40</v>
      </c>
      <c r="AB1134" s="2">
        <v>4</v>
      </c>
      <c r="AF1134" s="2">
        <v>22</v>
      </c>
      <c r="AG1134" s="2">
        <v>3</v>
      </c>
      <c r="AH1134" s="3" t="s">
        <v>1175</v>
      </c>
      <c r="AI1134" s="4">
        <v>44691</v>
      </c>
      <c r="AJ1134" s="3" t="s">
        <v>1208</v>
      </c>
      <c r="AK1134" s="3" t="s">
        <v>248</v>
      </c>
    </row>
    <row r="1135" spans="1:37" hidden="1" x14ac:dyDescent="0.25">
      <c r="A1135" t="str">
        <f t="shared" si="17"/>
        <v>2022_WA_Deepdale_Chickpea_SatelliteTOS3VarietyStrikerWaterTrtRainFed</v>
      </c>
      <c r="B1135" s="2">
        <v>2022008</v>
      </c>
      <c r="C1135" s="3" t="s">
        <v>1163</v>
      </c>
      <c r="D1135" s="3" t="s">
        <v>248</v>
      </c>
      <c r="F1135" s="3" t="s">
        <v>4179</v>
      </c>
      <c r="G1135" s="3" t="s">
        <v>43</v>
      </c>
      <c r="H1135" s="3" t="s">
        <v>253</v>
      </c>
      <c r="I1135" s="2">
        <v>40</v>
      </c>
      <c r="J1135" s="2">
        <v>40</v>
      </c>
      <c r="K1135" s="2">
        <v>2</v>
      </c>
      <c r="O1135" s="2">
        <v>5</v>
      </c>
      <c r="U1135" s="2">
        <v>4</v>
      </c>
      <c r="V1135" s="2">
        <v>25</v>
      </c>
      <c r="W1135" s="2">
        <v>4</v>
      </c>
      <c r="X1135" s="2">
        <v>10</v>
      </c>
      <c r="Z1135" s="2">
        <v>37</v>
      </c>
      <c r="AA1135" s="3" t="s">
        <v>40</v>
      </c>
      <c r="AB1135" s="2">
        <v>2</v>
      </c>
      <c r="AF1135" s="2">
        <v>22</v>
      </c>
      <c r="AG1135" s="2">
        <v>3</v>
      </c>
      <c r="AH1135" s="3" t="s">
        <v>1175</v>
      </c>
      <c r="AI1135" s="4">
        <v>44691</v>
      </c>
      <c r="AJ1135" s="3" t="s">
        <v>1209</v>
      </c>
      <c r="AK1135" s="3" t="s">
        <v>248</v>
      </c>
    </row>
    <row r="1136" spans="1:37" hidden="1" x14ac:dyDescent="0.25">
      <c r="A1136" t="str">
        <f t="shared" si="17"/>
        <v>2022_WA_Deepdale_Chickpea_SatelliteTOS1VarietyStrikerWaterTrtRainFed</v>
      </c>
      <c r="B1136" s="2">
        <v>2022008</v>
      </c>
      <c r="C1136" s="3" t="s">
        <v>1163</v>
      </c>
      <c r="D1136" s="3" t="s">
        <v>248</v>
      </c>
      <c r="F1136" s="3" t="s">
        <v>4179</v>
      </c>
      <c r="G1136" s="3" t="s">
        <v>43</v>
      </c>
      <c r="H1136" s="3" t="s">
        <v>253</v>
      </c>
      <c r="I1136" s="2">
        <v>41</v>
      </c>
      <c r="J1136" s="2">
        <v>41</v>
      </c>
      <c r="K1136" s="2">
        <v>2</v>
      </c>
      <c r="O1136" s="2">
        <v>6</v>
      </c>
      <c r="U1136" s="2">
        <v>1</v>
      </c>
      <c r="V1136" s="2">
        <v>28</v>
      </c>
      <c r="W1136" s="2">
        <v>1</v>
      </c>
      <c r="X1136" s="2">
        <v>11</v>
      </c>
      <c r="Z1136" s="2">
        <v>41</v>
      </c>
      <c r="AA1136" s="3" t="s">
        <v>40</v>
      </c>
      <c r="AB1136" s="2">
        <v>2</v>
      </c>
      <c r="AF1136" s="2">
        <v>22</v>
      </c>
      <c r="AG1136" s="2">
        <v>1</v>
      </c>
      <c r="AH1136" s="3" t="s">
        <v>1184</v>
      </c>
      <c r="AI1136" s="4">
        <v>44664</v>
      </c>
      <c r="AJ1136" s="3" t="s">
        <v>1210</v>
      </c>
      <c r="AK1136" s="3" t="s">
        <v>248</v>
      </c>
    </row>
    <row r="1137" spans="1:37" hidden="1" x14ac:dyDescent="0.25">
      <c r="A1137" t="str">
        <f t="shared" si="17"/>
        <v>2022_WA_Deepdale_Chickpea_SatelliteTOS1VarietyD11006_13F3HRMT4PR0004WaterTrtRainFed</v>
      </c>
      <c r="B1137" s="2">
        <v>2022008</v>
      </c>
      <c r="C1137" s="3" t="s">
        <v>1163</v>
      </c>
      <c r="D1137" s="3" t="s">
        <v>248</v>
      </c>
      <c r="F1137" s="3" t="s">
        <v>1166</v>
      </c>
      <c r="G1137" s="3" t="s">
        <v>39</v>
      </c>
      <c r="H1137" s="3" t="s">
        <v>253</v>
      </c>
      <c r="I1137" s="2">
        <v>42</v>
      </c>
      <c r="J1137" s="2">
        <v>42</v>
      </c>
      <c r="K1137" s="2">
        <v>2</v>
      </c>
      <c r="O1137" s="2">
        <v>6</v>
      </c>
      <c r="U1137" s="2">
        <v>2</v>
      </c>
      <c r="V1137" s="2">
        <v>28</v>
      </c>
      <c r="W1137" s="2">
        <v>2</v>
      </c>
      <c r="X1137" s="2">
        <v>11</v>
      </c>
      <c r="Z1137" s="2">
        <v>42</v>
      </c>
      <c r="AA1137" s="3" t="s">
        <v>40</v>
      </c>
      <c r="AB1137" s="2">
        <v>5</v>
      </c>
      <c r="AF1137" s="2">
        <v>22</v>
      </c>
      <c r="AG1137" s="2">
        <v>1</v>
      </c>
      <c r="AH1137" s="3" t="s">
        <v>1184</v>
      </c>
      <c r="AI1137" s="4">
        <v>44664</v>
      </c>
      <c r="AJ1137" s="3" t="s">
        <v>1211</v>
      </c>
      <c r="AK1137" s="3" t="s">
        <v>248</v>
      </c>
    </row>
    <row r="1138" spans="1:37" hidden="1" x14ac:dyDescent="0.25">
      <c r="A1138" t="str">
        <f t="shared" si="17"/>
        <v>2022_WA_Deepdale_Chickpea_SatelliteTOS1VarietyCBA_CaptainWaterTrtRainFed</v>
      </c>
      <c r="B1138" s="2">
        <v>2022008</v>
      </c>
      <c r="C1138" s="3" t="s">
        <v>1163</v>
      </c>
      <c r="D1138" s="3" t="s">
        <v>248</v>
      </c>
      <c r="F1138" s="3" t="s">
        <v>249</v>
      </c>
      <c r="G1138" s="3" t="s">
        <v>43</v>
      </c>
      <c r="H1138" s="3" t="s">
        <v>253</v>
      </c>
      <c r="I1138" s="2">
        <v>43</v>
      </c>
      <c r="J1138" s="2">
        <v>43</v>
      </c>
      <c r="K1138" s="2">
        <v>2</v>
      </c>
      <c r="O1138" s="2">
        <v>6</v>
      </c>
      <c r="U1138" s="2">
        <v>3</v>
      </c>
      <c r="V1138" s="2">
        <v>28</v>
      </c>
      <c r="W1138" s="2">
        <v>3</v>
      </c>
      <c r="X1138" s="2">
        <v>11</v>
      </c>
      <c r="Z1138" s="2">
        <v>43</v>
      </c>
      <c r="AA1138" s="3" t="s">
        <v>40</v>
      </c>
      <c r="AB1138" s="2">
        <v>1</v>
      </c>
      <c r="AF1138" s="2">
        <v>22</v>
      </c>
      <c r="AG1138" s="2">
        <v>1</v>
      </c>
      <c r="AH1138" s="3" t="s">
        <v>1184</v>
      </c>
      <c r="AI1138" s="4">
        <v>44664</v>
      </c>
      <c r="AJ1138" s="3" t="s">
        <v>1212</v>
      </c>
      <c r="AK1138" s="3" t="s">
        <v>248</v>
      </c>
    </row>
    <row r="1139" spans="1:37" hidden="1" x14ac:dyDescent="0.25">
      <c r="A1139" t="str">
        <f t="shared" si="17"/>
        <v>2022_WA_Deepdale_Chickpea_SatelliteTOS1VarietyCBA_CaptainWaterTrtRainFed</v>
      </c>
      <c r="B1139" s="2">
        <v>2022008</v>
      </c>
      <c r="C1139" s="3" t="s">
        <v>1163</v>
      </c>
      <c r="D1139" s="3" t="s">
        <v>248</v>
      </c>
      <c r="F1139" s="3" t="s">
        <v>249</v>
      </c>
      <c r="G1139" s="3" t="s">
        <v>43</v>
      </c>
      <c r="H1139" s="3" t="s">
        <v>250</v>
      </c>
      <c r="I1139" s="2">
        <v>44</v>
      </c>
      <c r="J1139" s="2">
        <v>44</v>
      </c>
      <c r="K1139" s="2">
        <v>2</v>
      </c>
      <c r="O1139" s="2">
        <v>6</v>
      </c>
      <c r="U1139" s="2">
        <v>4</v>
      </c>
      <c r="V1139" s="2">
        <v>28</v>
      </c>
      <c r="W1139" s="2">
        <v>4</v>
      </c>
      <c r="X1139" s="2">
        <v>11</v>
      </c>
      <c r="Z1139" s="2">
        <v>44</v>
      </c>
      <c r="AA1139" s="3" t="s">
        <v>40</v>
      </c>
      <c r="AB1139" s="2">
        <v>7</v>
      </c>
      <c r="AF1139" s="2">
        <v>22</v>
      </c>
      <c r="AG1139" s="2">
        <v>1</v>
      </c>
      <c r="AH1139" s="3" t="s">
        <v>1184</v>
      </c>
      <c r="AI1139" s="4">
        <v>44664</v>
      </c>
      <c r="AJ1139" s="3" t="s">
        <v>1213</v>
      </c>
      <c r="AK1139" s="3" t="s">
        <v>248</v>
      </c>
    </row>
    <row r="1140" spans="1:37" hidden="1" x14ac:dyDescent="0.25">
      <c r="A1140" t="str">
        <f t="shared" si="17"/>
        <v>2022_WA_Deepdale_Chickpea_SatelliteTOS1VarietyDrummondWaterTrtRainFed</v>
      </c>
      <c r="B1140" s="2">
        <v>2022008</v>
      </c>
      <c r="C1140" s="3" t="s">
        <v>1163</v>
      </c>
      <c r="D1140" s="3" t="s">
        <v>248</v>
      </c>
      <c r="F1140" s="3" t="s">
        <v>4182</v>
      </c>
      <c r="G1140" s="3" t="s">
        <v>39</v>
      </c>
      <c r="H1140" s="3" t="s">
        <v>253</v>
      </c>
      <c r="I1140" s="2">
        <v>45</v>
      </c>
      <c r="J1140" s="2">
        <v>45</v>
      </c>
      <c r="K1140" s="2">
        <v>2</v>
      </c>
      <c r="O1140" s="2">
        <v>6</v>
      </c>
      <c r="U1140" s="2">
        <v>1</v>
      </c>
      <c r="V1140" s="2">
        <v>29</v>
      </c>
      <c r="W1140" s="2">
        <v>1</v>
      </c>
      <c r="X1140" s="2">
        <v>12</v>
      </c>
      <c r="Z1140" s="2">
        <v>48</v>
      </c>
      <c r="AA1140" s="3" t="s">
        <v>40</v>
      </c>
      <c r="AB1140" s="2">
        <v>4</v>
      </c>
      <c r="AF1140" s="2">
        <v>22</v>
      </c>
      <c r="AG1140" s="2">
        <v>1</v>
      </c>
      <c r="AH1140" s="3" t="s">
        <v>1184</v>
      </c>
      <c r="AI1140" s="4">
        <v>44664</v>
      </c>
      <c r="AJ1140" s="3" t="s">
        <v>1214</v>
      </c>
      <c r="AK1140" s="3" t="s">
        <v>248</v>
      </c>
    </row>
    <row r="1141" spans="1:37" hidden="1" x14ac:dyDescent="0.25">
      <c r="A1141" t="str">
        <f t="shared" si="17"/>
        <v>2022_WA_Deepdale_Chickpea_SatelliteTOS1VarietyHatTrickWaterTrtRainFed</v>
      </c>
      <c r="B1141" s="2">
        <v>2022008</v>
      </c>
      <c r="C1141" s="3" t="s">
        <v>1163</v>
      </c>
      <c r="D1141" s="3" t="s">
        <v>248</v>
      </c>
      <c r="F1141" s="3" t="s">
        <v>4178</v>
      </c>
      <c r="G1141" s="3" t="s">
        <v>39</v>
      </c>
      <c r="H1141" s="3" t="s">
        <v>253</v>
      </c>
      <c r="I1141" s="2">
        <v>46</v>
      </c>
      <c r="J1141" s="2">
        <v>46</v>
      </c>
      <c r="K1141" s="2">
        <v>2</v>
      </c>
      <c r="O1141" s="2">
        <v>6</v>
      </c>
      <c r="U1141" s="2">
        <v>2</v>
      </c>
      <c r="V1141" s="2">
        <v>29</v>
      </c>
      <c r="W1141" s="2">
        <v>2</v>
      </c>
      <c r="X1141" s="2">
        <v>12</v>
      </c>
      <c r="Z1141" s="2">
        <v>47</v>
      </c>
      <c r="AA1141" s="3" t="s">
        <v>40</v>
      </c>
      <c r="AB1141" s="2">
        <v>3</v>
      </c>
      <c r="AF1141" s="2">
        <v>22</v>
      </c>
      <c r="AG1141" s="2">
        <v>1</v>
      </c>
      <c r="AH1141" s="3" t="s">
        <v>1184</v>
      </c>
      <c r="AI1141" s="4">
        <v>44664</v>
      </c>
      <c r="AJ1141" s="3" t="s">
        <v>1215</v>
      </c>
      <c r="AK1141" s="3" t="s">
        <v>248</v>
      </c>
    </row>
    <row r="1142" spans="1:37" hidden="1" x14ac:dyDescent="0.25">
      <c r="A1142" t="str">
        <f t="shared" si="17"/>
        <v>2022_WA_Deepdale_Chickpea_SatelliteTOS1VarietyD12014_14F3TMWR2AB001WaterTrtRainFed</v>
      </c>
      <c r="B1142" s="2">
        <v>2022008</v>
      </c>
      <c r="C1142" s="3" t="s">
        <v>1163</v>
      </c>
      <c r="D1142" s="3" t="s">
        <v>248</v>
      </c>
      <c r="F1142" s="3" t="s">
        <v>1170</v>
      </c>
      <c r="G1142" s="3" t="s">
        <v>39</v>
      </c>
      <c r="H1142" s="3" t="s">
        <v>253</v>
      </c>
      <c r="I1142" s="2">
        <v>47</v>
      </c>
      <c r="J1142" s="2">
        <v>47</v>
      </c>
      <c r="K1142" s="2">
        <v>2</v>
      </c>
      <c r="O1142" s="2">
        <v>6</v>
      </c>
      <c r="U1142" s="2">
        <v>3</v>
      </c>
      <c r="V1142" s="2">
        <v>29</v>
      </c>
      <c r="W1142" s="2">
        <v>3</v>
      </c>
      <c r="X1142" s="2">
        <v>12</v>
      </c>
      <c r="Z1142" s="2">
        <v>46</v>
      </c>
      <c r="AA1142" s="3" t="s">
        <v>40</v>
      </c>
      <c r="AB1142" s="2">
        <v>6</v>
      </c>
      <c r="AF1142" s="2">
        <v>22</v>
      </c>
      <c r="AG1142" s="2">
        <v>1</v>
      </c>
      <c r="AH1142" s="3" t="s">
        <v>1184</v>
      </c>
      <c r="AI1142" s="4">
        <v>44664</v>
      </c>
      <c r="AJ1142" s="3" t="s">
        <v>1216</v>
      </c>
      <c r="AK1142" s="3" t="s">
        <v>248</v>
      </c>
    </row>
    <row r="1143" spans="1:37" hidden="1" x14ac:dyDescent="0.25">
      <c r="A1143" t="str">
        <f t="shared" si="17"/>
        <v>2022_WA_Deepdale_Chickpea_SatelliteTOS1VarietyGenesis_090WaterTrtRainFed</v>
      </c>
      <c r="B1143" s="2">
        <v>2022008</v>
      </c>
      <c r="C1143" s="3" t="s">
        <v>1163</v>
      </c>
      <c r="D1143" s="3" t="s">
        <v>248</v>
      </c>
      <c r="F1143" s="3" t="s">
        <v>192</v>
      </c>
      <c r="G1143" s="3" t="s">
        <v>39</v>
      </c>
      <c r="H1143" s="3" t="s">
        <v>250</v>
      </c>
      <c r="I1143" s="2">
        <v>48</v>
      </c>
      <c r="J1143" s="2">
        <v>48</v>
      </c>
      <c r="K1143" s="2">
        <v>2</v>
      </c>
      <c r="O1143" s="2">
        <v>6</v>
      </c>
      <c r="U1143" s="2">
        <v>4</v>
      </c>
      <c r="V1143" s="2">
        <v>29</v>
      </c>
      <c r="W1143" s="2">
        <v>4</v>
      </c>
      <c r="X1143" s="2">
        <v>12</v>
      </c>
      <c r="Z1143" s="2">
        <v>45</v>
      </c>
      <c r="AA1143" s="3" t="s">
        <v>40</v>
      </c>
      <c r="AB1143" s="2">
        <v>8</v>
      </c>
      <c r="AF1143" s="2">
        <v>22</v>
      </c>
      <c r="AG1143" s="2">
        <v>1</v>
      </c>
      <c r="AH1143" s="3" t="s">
        <v>1184</v>
      </c>
      <c r="AI1143" s="4">
        <v>44664</v>
      </c>
      <c r="AJ1143" s="3" t="s">
        <v>1217</v>
      </c>
      <c r="AK1143" s="3" t="s">
        <v>248</v>
      </c>
    </row>
    <row r="1144" spans="1:37" hidden="1" x14ac:dyDescent="0.25">
      <c r="A1144" t="str">
        <f t="shared" si="17"/>
        <v>2022_WA_Deepdale_Chickpea_SatelliteTOS2VarietyGenesis_090WaterTrtRainFed</v>
      </c>
      <c r="B1144" s="2">
        <v>2022008</v>
      </c>
      <c r="C1144" s="3" t="s">
        <v>1163</v>
      </c>
      <c r="D1144" s="3" t="s">
        <v>248</v>
      </c>
      <c r="F1144" s="3" t="s">
        <v>192</v>
      </c>
      <c r="G1144" s="3" t="s">
        <v>39</v>
      </c>
      <c r="H1144" s="3" t="s">
        <v>250</v>
      </c>
      <c r="I1144" s="2">
        <v>49</v>
      </c>
      <c r="J1144" s="2">
        <v>49</v>
      </c>
      <c r="K1144" s="2">
        <v>2</v>
      </c>
      <c r="O1144" s="2">
        <v>7</v>
      </c>
      <c r="U1144" s="2">
        <v>1</v>
      </c>
      <c r="V1144" s="2">
        <v>32</v>
      </c>
      <c r="W1144" s="2">
        <v>1</v>
      </c>
      <c r="X1144" s="2">
        <v>13</v>
      </c>
      <c r="Z1144" s="2">
        <v>49</v>
      </c>
      <c r="AA1144" s="3" t="s">
        <v>40</v>
      </c>
      <c r="AB1144" s="2">
        <v>8</v>
      </c>
      <c r="AF1144" s="2">
        <v>22</v>
      </c>
      <c r="AG1144" s="2">
        <v>2</v>
      </c>
      <c r="AH1144" s="3" t="s">
        <v>1193</v>
      </c>
      <c r="AI1144" s="4">
        <v>44677</v>
      </c>
      <c r="AJ1144" s="3" t="s">
        <v>1218</v>
      </c>
      <c r="AK1144" s="3" t="s">
        <v>248</v>
      </c>
    </row>
    <row r="1145" spans="1:37" hidden="1" x14ac:dyDescent="0.25">
      <c r="A1145" t="str">
        <f t="shared" si="17"/>
        <v>2022_WA_Deepdale_Chickpea_SatelliteTOS2VarietyD12014_14F3TMWR2AB001WaterTrtRainFed</v>
      </c>
      <c r="B1145" s="2">
        <v>2022008</v>
      </c>
      <c r="C1145" s="3" t="s">
        <v>1163</v>
      </c>
      <c r="D1145" s="3" t="s">
        <v>248</v>
      </c>
      <c r="F1145" s="3" t="s">
        <v>1170</v>
      </c>
      <c r="G1145" s="3" t="s">
        <v>39</v>
      </c>
      <c r="H1145" s="3" t="s">
        <v>253</v>
      </c>
      <c r="I1145" s="2">
        <v>50</v>
      </c>
      <c r="J1145" s="2">
        <v>50</v>
      </c>
      <c r="K1145" s="2">
        <v>2</v>
      </c>
      <c r="O1145" s="2">
        <v>7</v>
      </c>
      <c r="U1145" s="2">
        <v>2</v>
      </c>
      <c r="V1145" s="2">
        <v>32</v>
      </c>
      <c r="W1145" s="2">
        <v>2</v>
      </c>
      <c r="X1145" s="2">
        <v>13</v>
      </c>
      <c r="Z1145" s="2">
        <v>50</v>
      </c>
      <c r="AA1145" s="3" t="s">
        <v>40</v>
      </c>
      <c r="AB1145" s="2">
        <v>6</v>
      </c>
      <c r="AF1145" s="2">
        <v>22</v>
      </c>
      <c r="AG1145" s="2">
        <v>2</v>
      </c>
      <c r="AH1145" s="3" t="s">
        <v>1193</v>
      </c>
      <c r="AI1145" s="4">
        <v>44677</v>
      </c>
      <c r="AJ1145" s="3" t="s">
        <v>1219</v>
      </c>
      <c r="AK1145" s="3" t="s">
        <v>248</v>
      </c>
    </row>
    <row r="1146" spans="1:37" hidden="1" x14ac:dyDescent="0.25">
      <c r="A1146" t="str">
        <f t="shared" si="17"/>
        <v>2022_WA_Deepdale_Chickpea_SatelliteTOS2VarietyCBA_CaptainWaterTrtRainFed</v>
      </c>
      <c r="B1146" s="2">
        <v>2022008</v>
      </c>
      <c r="C1146" s="3" t="s">
        <v>1163</v>
      </c>
      <c r="D1146" s="3" t="s">
        <v>248</v>
      </c>
      <c r="F1146" s="3" t="s">
        <v>249</v>
      </c>
      <c r="G1146" s="3" t="s">
        <v>43</v>
      </c>
      <c r="H1146" s="3" t="s">
        <v>250</v>
      </c>
      <c r="I1146" s="2">
        <v>51</v>
      </c>
      <c r="J1146" s="2">
        <v>51</v>
      </c>
      <c r="K1146" s="2">
        <v>2</v>
      </c>
      <c r="O1146" s="2">
        <v>7</v>
      </c>
      <c r="U1146" s="2">
        <v>3</v>
      </c>
      <c r="V1146" s="2">
        <v>32</v>
      </c>
      <c r="W1146" s="2">
        <v>3</v>
      </c>
      <c r="X1146" s="2">
        <v>13</v>
      </c>
      <c r="Z1146" s="2">
        <v>51</v>
      </c>
      <c r="AA1146" s="3" t="s">
        <v>40</v>
      </c>
      <c r="AB1146" s="2">
        <v>7</v>
      </c>
      <c r="AF1146" s="2">
        <v>22</v>
      </c>
      <c r="AG1146" s="2">
        <v>2</v>
      </c>
      <c r="AH1146" s="3" t="s">
        <v>1193</v>
      </c>
      <c r="AI1146" s="4">
        <v>44677</v>
      </c>
      <c r="AJ1146" s="3" t="s">
        <v>1220</v>
      </c>
      <c r="AK1146" s="3" t="s">
        <v>248</v>
      </c>
    </row>
    <row r="1147" spans="1:37" hidden="1" x14ac:dyDescent="0.25">
      <c r="A1147" t="str">
        <f t="shared" si="17"/>
        <v>2022_WA_Deepdale_Chickpea_SatelliteTOS2VarietyCBA_CaptainWaterTrtRainFed</v>
      </c>
      <c r="B1147" s="2">
        <v>2022008</v>
      </c>
      <c r="C1147" s="3" t="s">
        <v>1163</v>
      </c>
      <c r="D1147" s="3" t="s">
        <v>248</v>
      </c>
      <c r="F1147" s="3" t="s">
        <v>249</v>
      </c>
      <c r="G1147" s="3" t="s">
        <v>43</v>
      </c>
      <c r="H1147" s="3" t="s">
        <v>253</v>
      </c>
      <c r="I1147" s="2">
        <v>52</v>
      </c>
      <c r="J1147" s="2">
        <v>52</v>
      </c>
      <c r="K1147" s="2">
        <v>2</v>
      </c>
      <c r="O1147" s="2">
        <v>7</v>
      </c>
      <c r="U1147" s="2">
        <v>4</v>
      </c>
      <c r="V1147" s="2">
        <v>32</v>
      </c>
      <c r="W1147" s="2">
        <v>4</v>
      </c>
      <c r="X1147" s="2">
        <v>13</v>
      </c>
      <c r="Z1147" s="2">
        <v>52</v>
      </c>
      <c r="AA1147" s="3" t="s">
        <v>40</v>
      </c>
      <c r="AB1147" s="2">
        <v>1</v>
      </c>
      <c r="AF1147" s="2">
        <v>22</v>
      </c>
      <c r="AG1147" s="2">
        <v>2</v>
      </c>
      <c r="AH1147" s="3" t="s">
        <v>1193</v>
      </c>
      <c r="AI1147" s="4">
        <v>44677</v>
      </c>
      <c r="AJ1147" s="3" t="s">
        <v>1221</v>
      </c>
      <c r="AK1147" s="3" t="s">
        <v>248</v>
      </c>
    </row>
    <row r="1148" spans="1:37" hidden="1" x14ac:dyDescent="0.25">
      <c r="A1148" t="str">
        <f t="shared" si="17"/>
        <v>2022_WA_Deepdale_Chickpea_SatelliteTOS2VarietyD11006_13F3HRMT4PR0004WaterTrtRainFed</v>
      </c>
      <c r="B1148" s="2">
        <v>2022008</v>
      </c>
      <c r="C1148" s="3" t="s">
        <v>1163</v>
      </c>
      <c r="D1148" s="3" t="s">
        <v>248</v>
      </c>
      <c r="F1148" s="3" t="s">
        <v>1166</v>
      </c>
      <c r="G1148" s="3" t="s">
        <v>39</v>
      </c>
      <c r="H1148" s="3" t="s">
        <v>253</v>
      </c>
      <c r="I1148" s="2">
        <v>53</v>
      </c>
      <c r="J1148" s="2">
        <v>53</v>
      </c>
      <c r="K1148" s="2">
        <v>2</v>
      </c>
      <c r="O1148" s="2">
        <v>7</v>
      </c>
      <c r="U1148" s="2">
        <v>1</v>
      </c>
      <c r="V1148" s="2">
        <v>33</v>
      </c>
      <c r="W1148" s="2">
        <v>1</v>
      </c>
      <c r="X1148" s="2">
        <v>14</v>
      </c>
      <c r="Z1148" s="2">
        <v>56</v>
      </c>
      <c r="AA1148" s="3" t="s">
        <v>40</v>
      </c>
      <c r="AB1148" s="2">
        <v>5</v>
      </c>
      <c r="AF1148" s="2">
        <v>22</v>
      </c>
      <c r="AG1148" s="2">
        <v>2</v>
      </c>
      <c r="AH1148" s="3" t="s">
        <v>1193</v>
      </c>
      <c r="AI1148" s="4">
        <v>44677</v>
      </c>
      <c r="AJ1148" s="3" t="s">
        <v>1222</v>
      </c>
      <c r="AK1148" s="3" t="s">
        <v>248</v>
      </c>
    </row>
    <row r="1149" spans="1:37" hidden="1" x14ac:dyDescent="0.25">
      <c r="A1149" t="str">
        <f t="shared" si="17"/>
        <v>2022_WA_Deepdale_Chickpea_SatelliteTOS2VarietyStrikerWaterTrtRainFed</v>
      </c>
      <c r="B1149" s="2">
        <v>2022008</v>
      </c>
      <c r="C1149" s="3" t="s">
        <v>1163</v>
      </c>
      <c r="D1149" s="3" t="s">
        <v>248</v>
      </c>
      <c r="F1149" s="3" t="s">
        <v>4179</v>
      </c>
      <c r="G1149" s="3" t="s">
        <v>43</v>
      </c>
      <c r="H1149" s="3" t="s">
        <v>253</v>
      </c>
      <c r="I1149" s="2">
        <v>54</v>
      </c>
      <c r="J1149" s="2">
        <v>54</v>
      </c>
      <c r="K1149" s="2">
        <v>2</v>
      </c>
      <c r="O1149" s="2">
        <v>7</v>
      </c>
      <c r="U1149" s="2">
        <v>2</v>
      </c>
      <c r="V1149" s="2">
        <v>33</v>
      </c>
      <c r="W1149" s="2">
        <v>2</v>
      </c>
      <c r="X1149" s="2">
        <v>14</v>
      </c>
      <c r="Z1149" s="2">
        <v>55</v>
      </c>
      <c r="AA1149" s="3" t="s">
        <v>40</v>
      </c>
      <c r="AB1149" s="2">
        <v>2</v>
      </c>
      <c r="AF1149" s="2">
        <v>22</v>
      </c>
      <c r="AG1149" s="2">
        <v>2</v>
      </c>
      <c r="AH1149" s="3" t="s">
        <v>1193</v>
      </c>
      <c r="AI1149" s="4">
        <v>44677</v>
      </c>
      <c r="AJ1149" s="3" t="s">
        <v>1223</v>
      </c>
      <c r="AK1149" s="3" t="s">
        <v>248</v>
      </c>
    </row>
    <row r="1150" spans="1:37" hidden="1" x14ac:dyDescent="0.25">
      <c r="A1150" t="str">
        <f t="shared" si="17"/>
        <v>2022_WA_Deepdale_Chickpea_SatelliteTOS2VarietyHatTrickWaterTrtRainFed</v>
      </c>
      <c r="B1150" s="2">
        <v>2022008</v>
      </c>
      <c r="C1150" s="3" t="s">
        <v>1163</v>
      </c>
      <c r="D1150" s="3" t="s">
        <v>248</v>
      </c>
      <c r="F1150" s="3" t="s">
        <v>4178</v>
      </c>
      <c r="G1150" s="3" t="s">
        <v>39</v>
      </c>
      <c r="H1150" s="3" t="s">
        <v>253</v>
      </c>
      <c r="I1150" s="2">
        <v>55</v>
      </c>
      <c r="J1150" s="2">
        <v>55</v>
      </c>
      <c r="K1150" s="2">
        <v>2</v>
      </c>
      <c r="O1150" s="2">
        <v>7</v>
      </c>
      <c r="U1150" s="2">
        <v>3</v>
      </c>
      <c r="V1150" s="2">
        <v>33</v>
      </c>
      <c r="W1150" s="2">
        <v>3</v>
      </c>
      <c r="X1150" s="2">
        <v>14</v>
      </c>
      <c r="Z1150" s="2">
        <v>54</v>
      </c>
      <c r="AA1150" s="3" t="s">
        <v>40</v>
      </c>
      <c r="AB1150" s="2">
        <v>3</v>
      </c>
      <c r="AF1150" s="2">
        <v>22</v>
      </c>
      <c r="AG1150" s="2">
        <v>2</v>
      </c>
      <c r="AH1150" s="3" t="s">
        <v>1193</v>
      </c>
      <c r="AI1150" s="4">
        <v>44677</v>
      </c>
      <c r="AJ1150" s="3" t="s">
        <v>1224</v>
      </c>
      <c r="AK1150" s="3" t="s">
        <v>248</v>
      </c>
    </row>
    <row r="1151" spans="1:37" hidden="1" x14ac:dyDescent="0.25">
      <c r="A1151" t="str">
        <f t="shared" si="17"/>
        <v>2022_WA_Deepdale_Chickpea_SatelliteTOS2VarietyDrummondWaterTrtRainFed</v>
      </c>
      <c r="B1151" s="2">
        <v>2022008</v>
      </c>
      <c r="C1151" s="3" t="s">
        <v>1163</v>
      </c>
      <c r="D1151" s="3" t="s">
        <v>248</v>
      </c>
      <c r="F1151" s="3" t="s">
        <v>4182</v>
      </c>
      <c r="G1151" s="3" t="s">
        <v>39</v>
      </c>
      <c r="H1151" s="3" t="s">
        <v>253</v>
      </c>
      <c r="I1151" s="2">
        <v>56</v>
      </c>
      <c r="J1151" s="2">
        <v>56</v>
      </c>
      <c r="K1151" s="2">
        <v>2</v>
      </c>
      <c r="O1151" s="2">
        <v>7</v>
      </c>
      <c r="U1151" s="2">
        <v>4</v>
      </c>
      <c r="V1151" s="2">
        <v>33</v>
      </c>
      <c r="W1151" s="2">
        <v>4</v>
      </c>
      <c r="X1151" s="2">
        <v>14</v>
      </c>
      <c r="Z1151" s="2">
        <v>53</v>
      </c>
      <c r="AA1151" s="3" t="s">
        <v>40</v>
      </c>
      <c r="AB1151" s="2">
        <v>4</v>
      </c>
      <c r="AF1151" s="2">
        <v>22</v>
      </c>
      <c r="AG1151" s="2">
        <v>2</v>
      </c>
      <c r="AH1151" s="3" t="s">
        <v>1193</v>
      </c>
      <c r="AI1151" s="4">
        <v>44677</v>
      </c>
      <c r="AJ1151" s="3" t="s">
        <v>1225</v>
      </c>
      <c r="AK1151" s="3" t="s">
        <v>248</v>
      </c>
    </row>
    <row r="1152" spans="1:37" hidden="1" x14ac:dyDescent="0.25">
      <c r="A1152" t="str">
        <f t="shared" si="17"/>
        <v>2022_WA_Deepdale_Chickpea_SatelliteTOS4VarietyCBA_CaptainWaterTrtRainFed</v>
      </c>
      <c r="B1152" s="2">
        <v>2022008</v>
      </c>
      <c r="C1152" s="3" t="s">
        <v>1163</v>
      </c>
      <c r="D1152" s="3" t="s">
        <v>248</v>
      </c>
      <c r="F1152" s="3" t="s">
        <v>249</v>
      </c>
      <c r="G1152" s="3" t="s">
        <v>43</v>
      </c>
      <c r="H1152" s="3" t="s">
        <v>253</v>
      </c>
      <c r="I1152" s="2">
        <v>57</v>
      </c>
      <c r="J1152" s="2">
        <v>57</v>
      </c>
      <c r="K1152" s="2">
        <v>2</v>
      </c>
      <c r="O1152" s="2">
        <v>8</v>
      </c>
      <c r="U1152" s="2">
        <v>1</v>
      </c>
      <c r="V1152" s="2">
        <v>36</v>
      </c>
      <c r="W1152" s="2">
        <v>1</v>
      </c>
      <c r="X1152" s="2">
        <v>15</v>
      </c>
      <c r="Z1152" s="2">
        <v>57</v>
      </c>
      <c r="AA1152" s="3" t="s">
        <v>40</v>
      </c>
      <c r="AB1152" s="2">
        <v>1</v>
      </c>
      <c r="AF1152" s="2">
        <v>22</v>
      </c>
      <c r="AG1152" s="2">
        <v>4</v>
      </c>
      <c r="AH1152" s="3" t="s">
        <v>1164</v>
      </c>
      <c r="AI1152" s="4">
        <v>44708</v>
      </c>
      <c r="AJ1152" s="3" t="s">
        <v>1226</v>
      </c>
      <c r="AK1152" s="3" t="s">
        <v>248</v>
      </c>
    </row>
    <row r="1153" spans="1:37" hidden="1" x14ac:dyDescent="0.25">
      <c r="A1153" t="str">
        <f t="shared" si="17"/>
        <v>2022_WA_Deepdale_Chickpea_SatelliteTOS4VarietyGenesis_090WaterTrtRainFed</v>
      </c>
      <c r="B1153" s="2">
        <v>2022008</v>
      </c>
      <c r="C1153" s="3" t="s">
        <v>1163</v>
      </c>
      <c r="D1153" s="3" t="s">
        <v>248</v>
      </c>
      <c r="F1153" s="3" t="s">
        <v>192</v>
      </c>
      <c r="G1153" s="3" t="s">
        <v>39</v>
      </c>
      <c r="H1153" s="3" t="s">
        <v>250</v>
      </c>
      <c r="I1153" s="2">
        <v>58</v>
      </c>
      <c r="J1153" s="2">
        <v>58</v>
      </c>
      <c r="K1153" s="2">
        <v>2</v>
      </c>
      <c r="O1153" s="2">
        <v>8</v>
      </c>
      <c r="U1153" s="2">
        <v>2</v>
      </c>
      <c r="V1153" s="2">
        <v>36</v>
      </c>
      <c r="W1153" s="2">
        <v>2</v>
      </c>
      <c r="X1153" s="2">
        <v>15</v>
      </c>
      <c r="Z1153" s="2">
        <v>58</v>
      </c>
      <c r="AA1153" s="3" t="s">
        <v>40</v>
      </c>
      <c r="AB1153" s="2">
        <v>8</v>
      </c>
      <c r="AF1153" s="2">
        <v>22</v>
      </c>
      <c r="AG1153" s="2">
        <v>4</v>
      </c>
      <c r="AH1153" s="3" t="s">
        <v>1164</v>
      </c>
      <c r="AI1153" s="4">
        <v>44708</v>
      </c>
      <c r="AJ1153" s="3" t="s">
        <v>1227</v>
      </c>
      <c r="AK1153" s="3" t="s">
        <v>248</v>
      </c>
    </row>
    <row r="1154" spans="1:37" hidden="1" x14ac:dyDescent="0.25">
      <c r="A1154" t="str">
        <f t="shared" si="17"/>
        <v>2022_WA_Deepdale_Chickpea_SatelliteTOS4VarietyStrikerWaterTrtRainFed</v>
      </c>
      <c r="B1154" s="2">
        <v>2022008</v>
      </c>
      <c r="C1154" s="3" t="s">
        <v>1163</v>
      </c>
      <c r="D1154" s="3" t="s">
        <v>248</v>
      </c>
      <c r="F1154" s="3" t="s">
        <v>4179</v>
      </c>
      <c r="G1154" s="3" t="s">
        <v>43</v>
      </c>
      <c r="H1154" s="3" t="s">
        <v>253</v>
      </c>
      <c r="I1154" s="2">
        <v>59</v>
      </c>
      <c r="J1154" s="2">
        <v>59</v>
      </c>
      <c r="K1154" s="2">
        <v>2</v>
      </c>
      <c r="O1154" s="2">
        <v>8</v>
      </c>
      <c r="U1154" s="2">
        <v>3</v>
      </c>
      <c r="V1154" s="2">
        <v>36</v>
      </c>
      <c r="W1154" s="2">
        <v>3</v>
      </c>
      <c r="X1154" s="2">
        <v>15</v>
      </c>
      <c r="Z1154" s="2">
        <v>59</v>
      </c>
      <c r="AA1154" s="3" t="s">
        <v>40</v>
      </c>
      <c r="AB1154" s="2">
        <v>2</v>
      </c>
      <c r="AF1154" s="2">
        <v>22</v>
      </c>
      <c r="AG1154" s="2">
        <v>4</v>
      </c>
      <c r="AH1154" s="3" t="s">
        <v>1164</v>
      </c>
      <c r="AI1154" s="4">
        <v>44708</v>
      </c>
      <c r="AJ1154" s="3" t="s">
        <v>1228</v>
      </c>
      <c r="AK1154" s="3" t="s">
        <v>248</v>
      </c>
    </row>
    <row r="1155" spans="1:37" hidden="1" x14ac:dyDescent="0.25">
      <c r="A1155" t="str">
        <f t="shared" ref="A1155:A1218" si="18">C1155&amp;"TOS"&amp;AG1155&amp;"Variety"&amp;F1155&amp;"WaterTrt"&amp;AA1155&amp;IF(AC1155="","","Agronomy"&amp;AC1155)</f>
        <v>2022_WA_Deepdale_Chickpea_SatelliteTOS4VarietyD12014_14F3TMWR2AB001WaterTrtRainFed</v>
      </c>
      <c r="B1155" s="2">
        <v>2022008</v>
      </c>
      <c r="C1155" s="3" t="s">
        <v>1163</v>
      </c>
      <c r="D1155" s="3" t="s">
        <v>248</v>
      </c>
      <c r="F1155" s="3" t="s">
        <v>1170</v>
      </c>
      <c r="G1155" s="3" t="s">
        <v>39</v>
      </c>
      <c r="H1155" s="3" t="s">
        <v>253</v>
      </c>
      <c r="I1155" s="2">
        <v>60</v>
      </c>
      <c r="J1155" s="2">
        <v>60</v>
      </c>
      <c r="K1155" s="2">
        <v>2</v>
      </c>
      <c r="O1155" s="2">
        <v>8</v>
      </c>
      <c r="U1155" s="2">
        <v>4</v>
      </c>
      <c r="V1155" s="2">
        <v>36</v>
      </c>
      <c r="W1155" s="2">
        <v>4</v>
      </c>
      <c r="X1155" s="2">
        <v>15</v>
      </c>
      <c r="Z1155" s="2">
        <v>60</v>
      </c>
      <c r="AA1155" s="3" t="s">
        <v>40</v>
      </c>
      <c r="AB1155" s="2">
        <v>6</v>
      </c>
      <c r="AF1155" s="2">
        <v>22</v>
      </c>
      <c r="AG1155" s="2">
        <v>4</v>
      </c>
      <c r="AH1155" s="3" t="s">
        <v>1164</v>
      </c>
      <c r="AI1155" s="4">
        <v>44708</v>
      </c>
      <c r="AJ1155" s="3" t="s">
        <v>1229</v>
      </c>
      <c r="AK1155" s="3" t="s">
        <v>248</v>
      </c>
    </row>
    <row r="1156" spans="1:37" hidden="1" x14ac:dyDescent="0.25">
      <c r="A1156" t="str">
        <f t="shared" si="18"/>
        <v>2022_WA_Deepdale_Chickpea_SatelliteTOS4VarietyCBA_CaptainWaterTrtRainFed</v>
      </c>
      <c r="B1156" s="2">
        <v>2022008</v>
      </c>
      <c r="C1156" s="3" t="s">
        <v>1163</v>
      </c>
      <c r="D1156" s="3" t="s">
        <v>248</v>
      </c>
      <c r="F1156" s="3" t="s">
        <v>249</v>
      </c>
      <c r="G1156" s="3" t="s">
        <v>43</v>
      </c>
      <c r="H1156" s="3" t="s">
        <v>250</v>
      </c>
      <c r="I1156" s="2">
        <v>61</v>
      </c>
      <c r="J1156" s="2">
        <v>61</v>
      </c>
      <c r="K1156" s="2">
        <v>2</v>
      </c>
      <c r="O1156" s="2">
        <v>8</v>
      </c>
      <c r="U1156" s="2">
        <v>1</v>
      </c>
      <c r="V1156" s="2">
        <v>37</v>
      </c>
      <c r="W1156" s="2">
        <v>1</v>
      </c>
      <c r="X1156" s="2">
        <v>16</v>
      </c>
      <c r="Z1156" s="2">
        <v>64</v>
      </c>
      <c r="AA1156" s="3" t="s">
        <v>40</v>
      </c>
      <c r="AB1156" s="2">
        <v>7</v>
      </c>
      <c r="AF1156" s="2">
        <v>22</v>
      </c>
      <c r="AG1156" s="2">
        <v>4</v>
      </c>
      <c r="AH1156" s="3" t="s">
        <v>1164</v>
      </c>
      <c r="AI1156" s="4">
        <v>44708</v>
      </c>
      <c r="AJ1156" s="3" t="s">
        <v>1230</v>
      </c>
      <c r="AK1156" s="3" t="s">
        <v>248</v>
      </c>
    </row>
    <row r="1157" spans="1:37" hidden="1" x14ac:dyDescent="0.25">
      <c r="A1157" t="str">
        <f t="shared" si="18"/>
        <v>2022_WA_Deepdale_Chickpea_SatelliteTOS4VarietyDrummondWaterTrtRainFed</v>
      </c>
      <c r="B1157" s="2">
        <v>2022008</v>
      </c>
      <c r="C1157" s="3" t="s">
        <v>1163</v>
      </c>
      <c r="D1157" s="3" t="s">
        <v>248</v>
      </c>
      <c r="F1157" s="3" t="s">
        <v>4182</v>
      </c>
      <c r="G1157" s="3" t="s">
        <v>39</v>
      </c>
      <c r="H1157" s="3" t="s">
        <v>253</v>
      </c>
      <c r="I1157" s="2">
        <v>62</v>
      </c>
      <c r="J1157" s="2">
        <v>62</v>
      </c>
      <c r="K1157" s="2">
        <v>2</v>
      </c>
      <c r="O1157" s="2">
        <v>8</v>
      </c>
      <c r="U1157" s="2">
        <v>2</v>
      </c>
      <c r="V1157" s="2">
        <v>37</v>
      </c>
      <c r="W1157" s="2">
        <v>2</v>
      </c>
      <c r="X1157" s="2">
        <v>16</v>
      </c>
      <c r="Z1157" s="2">
        <v>63</v>
      </c>
      <c r="AA1157" s="3" t="s">
        <v>40</v>
      </c>
      <c r="AB1157" s="2">
        <v>4</v>
      </c>
      <c r="AF1157" s="2">
        <v>22</v>
      </c>
      <c r="AG1157" s="2">
        <v>4</v>
      </c>
      <c r="AH1157" s="3" t="s">
        <v>1164</v>
      </c>
      <c r="AI1157" s="4">
        <v>44708</v>
      </c>
      <c r="AJ1157" s="3" t="s">
        <v>1231</v>
      </c>
      <c r="AK1157" s="3" t="s">
        <v>248</v>
      </c>
    </row>
    <row r="1158" spans="1:37" hidden="1" x14ac:dyDescent="0.25">
      <c r="A1158" t="str">
        <f t="shared" si="18"/>
        <v>2022_WA_Deepdale_Chickpea_SatelliteTOS4VarietyD11006_13F3HRMT4PR0004WaterTrtRainFed</v>
      </c>
      <c r="B1158" s="2">
        <v>2022008</v>
      </c>
      <c r="C1158" s="3" t="s">
        <v>1163</v>
      </c>
      <c r="D1158" s="3" t="s">
        <v>248</v>
      </c>
      <c r="F1158" s="3" t="s">
        <v>1166</v>
      </c>
      <c r="G1158" s="3" t="s">
        <v>39</v>
      </c>
      <c r="H1158" s="3" t="s">
        <v>253</v>
      </c>
      <c r="I1158" s="2">
        <v>63</v>
      </c>
      <c r="J1158" s="2">
        <v>63</v>
      </c>
      <c r="K1158" s="2">
        <v>2</v>
      </c>
      <c r="O1158" s="2">
        <v>8</v>
      </c>
      <c r="U1158" s="2">
        <v>3</v>
      </c>
      <c r="V1158" s="2">
        <v>37</v>
      </c>
      <c r="W1158" s="2">
        <v>3</v>
      </c>
      <c r="X1158" s="2">
        <v>16</v>
      </c>
      <c r="Z1158" s="2">
        <v>62</v>
      </c>
      <c r="AA1158" s="3" t="s">
        <v>40</v>
      </c>
      <c r="AB1158" s="2">
        <v>5</v>
      </c>
      <c r="AF1158" s="2">
        <v>22</v>
      </c>
      <c r="AG1158" s="2">
        <v>4</v>
      </c>
      <c r="AH1158" s="3" t="s">
        <v>1164</v>
      </c>
      <c r="AI1158" s="4">
        <v>44708</v>
      </c>
      <c r="AJ1158" s="3" t="s">
        <v>1232</v>
      </c>
      <c r="AK1158" s="3" t="s">
        <v>248</v>
      </c>
    </row>
    <row r="1159" spans="1:37" hidden="1" x14ac:dyDescent="0.25">
      <c r="A1159" t="str">
        <f t="shared" si="18"/>
        <v>2022_WA_Deepdale_Chickpea_SatelliteTOS4VarietyHatTrickWaterTrtRainFed</v>
      </c>
      <c r="B1159" s="2">
        <v>2022008</v>
      </c>
      <c r="C1159" s="3" t="s">
        <v>1163</v>
      </c>
      <c r="D1159" s="3" t="s">
        <v>248</v>
      </c>
      <c r="F1159" s="3" t="s">
        <v>4178</v>
      </c>
      <c r="G1159" s="3" t="s">
        <v>39</v>
      </c>
      <c r="H1159" s="3" t="s">
        <v>253</v>
      </c>
      <c r="I1159" s="2">
        <v>64</v>
      </c>
      <c r="J1159" s="2">
        <v>64</v>
      </c>
      <c r="K1159" s="2">
        <v>2</v>
      </c>
      <c r="O1159" s="2">
        <v>8</v>
      </c>
      <c r="U1159" s="2">
        <v>4</v>
      </c>
      <c r="V1159" s="2">
        <v>37</v>
      </c>
      <c r="W1159" s="2">
        <v>4</v>
      </c>
      <c r="X1159" s="2">
        <v>16</v>
      </c>
      <c r="Z1159" s="2">
        <v>61</v>
      </c>
      <c r="AA1159" s="3" t="s">
        <v>40</v>
      </c>
      <c r="AB1159" s="2">
        <v>3</v>
      </c>
      <c r="AF1159" s="2">
        <v>22</v>
      </c>
      <c r="AG1159" s="2">
        <v>4</v>
      </c>
      <c r="AH1159" s="3" t="s">
        <v>1164</v>
      </c>
      <c r="AI1159" s="4">
        <v>44708</v>
      </c>
      <c r="AJ1159" s="3" t="s">
        <v>1233</v>
      </c>
      <c r="AK1159" s="3" t="s">
        <v>248</v>
      </c>
    </row>
    <row r="1160" spans="1:37" hidden="1" x14ac:dyDescent="0.25">
      <c r="A1160" t="str">
        <f t="shared" si="18"/>
        <v>2022_WA_Deepdale_Chickpea_SatelliteTOS2VarietyCBA_CaptainWaterTrtRainFed</v>
      </c>
      <c r="B1160" s="2">
        <v>2022008</v>
      </c>
      <c r="C1160" s="3" t="s">
        <v>1163</v>
      </c>
      <c r="D1160" s="3" t="s">
        <v>248</v>
      </c>
      <c r="F1160" s="3" t="s">
        <v>249</v>
      </c>
      <c r="G1160" s="3" t="s">
        <v>43</v>
      </c>
      <c r="H1160" s="3" t="s">
        <v>250</v>
      </c>
      <c r="I1160" s="2">
        <v>65</v>
      </c>
      <c r="J1160" s="2">
        <v>65</v>
      </c>
      <c r="K1160" s="2">
        <v>3</v>
      </c>
      <c r="O1160" s="2">
        <v>9</v>
      </c>
      <c r="U1160" s="2">
        <v>1</v>
      </c>
      <c r="V1160" s="2">
        <v>40</v>
      </c>
      <c r="W1160" s="2">
        <v>1</v>
      </c>
      <c r="X1160" s="2">
        <v>17</v>
      </c>
      <c r="Z1160" s="2">
        <v>65</v>
      </c>
      <c r="AA1160" s="3" t="s">
        <v>40</v>
      </c>
      <c r="AB1160" s="2">
        <v>7</v>
      </c>
      <c r="AF1160" s="2">
        <v>22</v>
      </c>
      <c r="AG1160" s="2">
        <v>2</v>
      </c>
      <c r="AH1160" s="3" t="s">
        <v>1193</v>
      </c>
      <c r="AI1160" s="4">
        <v>44677</v>
      </c>
      <c r="AJ1160" s="3" t="s">
        <v>1234</v>
      </c>
      <c r="AK1160" s="3" t="s">
        <v>248</v>
      </c>
    </row>
    <row r="1161" spans="1:37" hidden="1" x14ac:dyDescent="0.25">
      <c r="A1161" t="str">
        <f t="shared" si="18"/>
        <v>2022_WA_Deepdale_Chickpea_SatelliteTOS2VarietyHatTrickWaterTrtRainFed</v>
      </c>
      <c r="B1161" s="2">
        <v>2022008</v>
      </c>
      <c r="C1161" s="3" t="s">
        <v>1163</v>
      </c>
      <c r="D1161" s="3" t="s">
        <v>248</v>
      </c>
      <c r="F1161" s="3" t="s">
        <v>4178</v>
      </c>
      <c r="G1161" s="3" t="s">
        <v>39</v>
      </c>
      <c r="H1161" s="3" t="s">
        <v>253</v>
      </c>
      <c r="I1161" s="2">
        <v>66</v>
      </c>
      <c r="J1161" s="2">
        <v>66</v>
      </c>
      <c r="K1161" s="2">
        <v>3</v>
      </c>
      <c r="O1161" s="2">
        <v>9</v>
      </c>
      <c r="U1161" s="2">
        <v>2</v>
      </c>
      <c r="V1161" s="2">
        <v>40</v>
      </c>
      <c r="W1161" s="2">
        <v>2</v>
      </c>
      <c r="X1161" s="2">
        <v>17</v>
      </c>
      <c r="Z1161" s="2">
        <v>66</v>
      </c>
      <c r="AA1161" s="3" t="s">
        <v>40</v>
      </c>
      <c r="AB1161" s="2">
        <v>3</v>
      </c>
      <c r="AF1161" s="2">
        <v>22</v>
      </c>
      <c r="AG1161" s="2">
        <v>2</v>
      </c>
      <c r="AH1161" s="3" t="s">
        <v>1193</v>
      </c>
      <c r="AI1161" s="4">
        <v>44677</v>
      </c>
      <c r="AJ1161" s="3" t="s">
        <v>1235</v>
      </c>
      <c r="AK1161" s="3" t="s">
        <v>248</v>
      </c>
    </row>
    <row r="1162" spans="1:37" hidden="1" x14ac:dyDescent="0.25">
      <c r="A1162" t="str">
        <f t="shared" si="18"/>
        <v>2022_WA_Deepdale_Chickpea_SatelliteTOS2VarietyCBA_CaptainWaterTrtRainFed</v>
      </c>
      <c r="B1162" s="2">
        <v>2022008</v>
      </c>
      <c r="C1162" s="3" t="s">
        <v>1163</v>
      </c>
      <c r="D1162" s="3" t="s">
        <v>248</v>
      </c>
      <c r="F1162" s="3" t="s">
        <v>249</v>
      </c>
      <c r="G1162" s="3" t="s">
        <v>43</v>
      </c>
      <c r="H1162" s="3" t="s">
        <v>253</v>
      </c>
      <c r="I1162" s="2">
        <v>67</v>
      </c>
      <c r="J1162" s="2">
        <v>67</v>
      </c>
      <c r="K1162" s="2">
        <v>3</v>
      </c>
      <c r="O1162" s="2">
        <v>9</v>
      </c>
      <c r="U1162" s="2">
        <v>3</v>
      </c>
      <c r="V1162" s="2">
        <v>40</v>
      </c>
      <c r="W1162" s="2">
        <v>3</v>
      </c>
      <c r="X1162" s="2">
        <v>17</v>
      </c>
      <c r="Z1162" s="2">
        <v>67</v>
      </c>
      <c r="AA1162" s="3" t="s">
        <v>40</v>
      </c>
      <c r="AB1162" s="2">
        <v>1</v>
      </c>
      <c r="AF1162" s="2">
        <v>22</v>
      </c>
      <c r="AG1162" s="2">
        <v>2</v>
      </c>
      <c r="AH1162" s="3" t="s">
        <v>1193</v>
      </c>
      <c r="AI1162" s="4">
        <v>44677</v>
      </c>
      <c r="AJ1162" s="3" t="s">
        <v>1236</v>
      </c>
      <c r="AK1162" s="3" t="s">
        <v>248</v>
      </c>
    </row>
    <row r="1163" spans="1:37" hidden="1" x14ac:dyDescent="0.25">
      <c r="A1163" t="str">
        <f t="shared" si="18"/>
        <v>2022_WA_Deepdale_Chickpea_SatelliteTOS2VarietyStrikerWaterTrtRainFed</v>
      </c>
      <c r="B1163" s="2">
        <v>2022008</v>
      </c>
      <c r="C1163" s="3" t="s">
        <v>1163</v>
      </c>
      <c r="D1163" s="3" t="s">
        <v>248</v>
      </c>
      <c r="F1163" s="3" t="s">
        <v>4179</v>
      </c>
      <c r="G1163" s="3" t="s">
        <v>43</v>
      </c>
      <c r="H1163" s="3" t="s">
        <v>253</v>
      </c>
      <c r="I1163" s="2">
        <v>68</v>
      </c>
      <c r="J1163" s="2">
        <v>68</v>
      </c>
      <c r="K1163" s="2">
        <v>3</v>
      </c>
      <c r="O1163" s="2">
        <v>9</v>
      </c>
      <c r="U1163" s="2">
        <v>4</v>
      </c>
      <c r="V1163" s="2">
        <v>40</v>
      </c>
      <c r="W1163" s="2">
        <v>4</v>
      </c>
      <c r="X1163" s="2">
        <v>17</v>
      </c>
      <c r="Z1163" s="2">
        <v>68</v>
      </c>
      <c r="AA1163" s="3" t="s">
        <v>40</v>
      </c>
      <c r="AB1163" s="2">
        <v>2</v>
      </c>
      <c r="AF1163" s="2">
        <v>22</v>
      </c>
      <c r="AG1163" s="2">
        <v>2</v>
      </c>
      <c r="AH1163" s="3" t="s">
        <v>1193</v>
      </c>
      <c r="AI1163" s="4">
        <v>44677</v>
      </c>
      <c r="AJ1163" s="3" t="s">
        <v>1237</v>
      </c>
      <c r="AK1163" s="3" t="s">
        <v>248</v>
      </c>
    </row>
    <row r="1164" spans="1:37" hidden="1" x14ac:dyDescent="0.25">
      <c r="A1164" t="str">
        <f t="shared" si="18"/>
        <v>2022_WA_Deepdale_Chickpea_SatelliteTOS2VarietyD12014_14F3TMWR2AB001WaterTrtRainFed</v>
      </c>
      <c r="B1164" s="2">
        <v>2022008</v>
      </c>
      <c r="C1164" s="3" t="s">
        <v>1163</v>
      </c>
      <c r="D1164" s="3" t="s">
        <v>248</v>
      </c>
      <c r="F1164" s="3" t="s">
        <v>1170</v>
      </c>
      <c r="G1164" s="3" t="s">
        <v>39</v>
      </c>
      <c r="H1164" s="3" t="s">
        <v>253</v>
      </c>
      <c r="I1164" s="2">
        <v>69</v>
      </c>
      <c r="J1164" s="2">
        <v>69</v>
      </c>
      <c r="K1164" s="2">
        <v>3</v>
      </c>
      <c r="O1164" s="2">
        <v>9</v>
      </c>
      <c r="U1164" s="2">
        <v>1</v>
      </c>
      <c r="V1164" s="2">
        <v>41</v>
      </c>
      <c r="W1164" s="2">
        <v>1</v>
      </c>
      <c r="X1164" s="2">
        <v>18</v>
      </c>
      <c r="Z1164" s="2">
        <v>72</v>
      </c>
      <c r="AA1164" s="3" t="s">
        <v>40</v>
      </c>
      <c r="AB1164" s="2">
        <v>6</v>
      </c>
      <c r="AF1164" s="2">
        <v>22</v>
      </c>
      <c r="AG1164" s="2">
        <v>2</v>
      </c>
      <c r="AH1164" s="3" t="s">
        <v>1193</v>
      </c>
      <c r="AI1164" s="4">
        <v>44677</v>
      </c>
      <c r="AJ1164" s="3" t="s">
        <v>1238</v>
      </c>
      <c r="AK1164" s="3" t="s">
        <v>248</v>
      </c>
    </row>
    <row r="1165" spans="1:37" hidden="1" x14ac:dyDescent="0.25">
      <c r="A1165" t="str">
        <f t="shared" si="18"/>
        <v>2022_WA_Deepdale_Chickpea_SatelliteTOS2VarietyDrummondWaterTrtRainFed</v>
      </c>
      <c r="B1165" s="2">
        <v>2022008</v>
      </c>
      <c r="C1165" s="3" t="s">
        <v>1163</v>
      </c>
      <c r="D1165" s="3" t="s">
        <v>248</v>
      </c>
      <c r="F1165" s="3" t="s">
        <v>4182</v>
      </c>
      <c r="G1165" s="3" t="s">
        <v>39</v>
      </c>
      <c r="H1165" s="3" t="s">
        <v>253</v>
      </c>
      <c r="I1165" s="2">
        <v>70</v>
      </c>
      <c r="J1165" s="2">
        <v>70</v>
      </c>
      <c r="K1165" s="2">
        <v>3</v>
      </c>
      <c r="O1165" s="2">
        <v>9</v>
      </c>
      <c r="U1165" s="2">
        <v>2</v>
      </c>
      <c r="V1165" s="2">
        <v>41</v>
      </c>
      <c r="W1165" s="2">
        <v>2</v>
      </c>
      <c r="X1165" s="2">
        <v>18</v>
      </c>
      <c r="Z1165" s="2">
        <v>71</v>
      </c>
      <c r="AA1165" s="3" t="s">
        <v>40</v>
      </c>
      <c r="AB1165" s="2">
        <v>4</v>
      </c>
      <c r="AF1165" s="2">
        <v>22</v>
      </c>
      <c r="AG1165" s="2">
        <v>2</v>
      </c>
      <c r="AH1165" s="3" t="s">
        <v>1193</v>
      </c>
      <c r="AI1165" s="4">
        <v>44677</v>
      </c>
      <c r="AJ1165" s="3" t="s">
        <v>1239</v>
      </c>
      <c r="AK1165" s="3" t="s">
        <v>248</v>
      </c>
    </row>
    <row r="1166" spans="1:37" hidden="1" x14ac:dyDescent="0.25">
      <c r="A1166" t="str">
        <f t="shared" si="18"/>
        <v>2022_WA_Deepdale_Chickpea_SatelliteTOS2VarietyD11006_13F3HRMT4PR0004WaterTrtRainFed</v>
      </c>
      <c r="B1166" s="2">
        <v>2022008</v>
      </c>
      <c r="C1166" s="3" t="s">
        <v>1163</v>
      </c>
      <c r="D1166" s="3" t="s">
        <v>248</v>
      </c>
      <c r="F1166" s="3" t="s">
        <v>1166</v>
      </c>
      <c r="G1166" s="3" t="s">
        <v>39</v>
      </c>
      <c r="H1166" s="3" t="s">
        <v>253</v>
      </c>
      <c r="I1166" s="2">
        <v>71</v>
      </c>
      <c r="J1166" s="2">
        <v>71</v>
      </c>
      <c r="K1166" s="2">
        <v>3</v>
      </c>
      <c r="O1166" s="2">
        <v>9</v>
      </c>
      <c r="U1166" s="2">
        <v>3</v>
      </c>
      <c r="V1166" s="2">
        <v>41</v>
      </c>
      <c r="W1166" s="2">
        <v>3</v>
      </c>
      <c r="X1166" s="2">
        <v>18</v>
      </c>
      <c r="Z1166" s="2">
        <v>70</v>
      </c>
      <c r="AA1166" s="3" t="s">
        <v>40</v>
      </c>
      <c r="AB1166" s="2">
        <v>5</v>
      </c>
      <c r="AF1166" s="2">
        <v>22</v>
      </c>
      <c r="AG1166" s="2">
        <v>2</v>
      </c>
      <c r="AH1166" s="3" t="s">
        <v>1193</v>
      </c>
      <c r="AI1166" s="4">
        <v>44677</v>
      </c>
      <c r="AJ1166" s="3" t="s">
        <v>1240</v>
      </c>
      <c r="AK1166" s="3" t="s">
        <v>248</v>
      </c>
    </row>
    <row r="1167" spans="1:37" hidden="1" x14ac:dyDescent="0.25">
      <c r="A1167" t="str">
        <f t="shared" si="18"/>
        <v>2022_WA_Deepdale_Chickpea_SatelliteTOS2VarietyGenesis_090WaterTrtRainFed</v>
      </c>
      <c r="B1167" s="2">
        <v>2022008</v>
      </c>
      <c r="C1167" s="3" t="s">
        <v>1163</v>
      </c>
      <c r="D1167" s="3" t="s">
        <v>248</v>
      </c>
      <c r="F1167" s="3" t="s">
        <v>192</v>
      </c>
      <c r="G1167" s="3" t="s">
        <v>39</v>
      </c>
      <c r="H1167" s="3" t="s">
        <v>250</v>
      </c>
      <c r="I1167" s="2">
        <v>72</v>
      </c>
      <c r="J1167" s="2">
        <v>72</v>
      </c>
      <c r="K1167" s="2">
        <v>3</v>
      </c>
      <c r="O1167" s="2">
        <v>9</v>
      </c>
      <c r="U1167" s="2">
        <v>4</v>
      </c>
      <c r="V1167" s="2">
        <v>41</v>
      </c>
      <c r="W1167" s="2">
        <v>4</v>
      </c>
      <c r="X1167" s="2">
        <v>18</v>
      </c>
      <c r="Z1167" s="2">
        <v>69</v>
      </c>
      <c r="AA1167" s="3" t="s">
        <v>40</v>
      </c>
      <c r="AB1167" s="2">
        <v>8</v>
      </c>
      <c r="AF1167" s="2">
        <v>22</v>
      </c>
      <c r="AG1167" s="2">
        <v>2</v>
      </c>
      <c r="AH1167" s="3" t="s">
        <v>1193</v>
      </c>
      <c r="AI1167" s="4">
        <v>44677</v>
      </c>
      <c r="AJ1167" s="3" t="s">
        <v>1241</v>
      </c>
      <c r="AK1167" s="3" t="s">
        <v>248</v>
      </c>
    </row>
    <row r="1168" spans="1:37" hidden="1" x14ac:dyDescent="0.25">
      <c r="A1168" t="str">
        <f t="shared" si="18"/>
        <v>2022_WA_Deepdale_Chickpea_SatelliteTOS4VarietyHatTrickWaterTrtRainFed</v>
      </c>
      <c r="B1168" s="2">
        <v>2022008</v>
      </c>
      <c r="C1168" s="3" t="s">
        <v>1163</v>
      </c>
      <c r="D1168" s="3" t="s">
        <v>248</v>
      </c>
      <c r="F1168" s="3" t="s">
        <v>4178</v>
      </c>
      <c r="G1168" s="3" t="s">
        <v>39</v>
      </c>
      <c r="H1168" s="3" t="s">
        <v>253</v>
      </c>
      <c r="I1168" s="2">
        <v>73</v>
      </c>
      <c r="J1168" s="2">
        <v>73</v>
      </c>
      <c r="K1168" s="2">
        <v>3</v>
      </c>
      <c r="O1168" s="2">
        <v>10</v>
      </c>
      <c r="U1168" s="2">
        <v>1</v>
      </c>
      <c r="V1168" s="2">
        <v>44</v>
      </c>
      <c r="W1168" s="2">
        <v>1</v>
      </c>
      <c r="X1168" s="2">
        <v>19</v>
      </c>
      <c r="Z1168" s="2">
        <v>73</v>
      </c>
      <c r="AA1168" s="3" t="s">
        <v>40</v>
      </c>
      <c r="AB1168" s="2">
        <v>3</v>
      </c>
      <c r="AF1168" s="2">
        <v>22</v>
      </c>
      <c r="AG1168" s="2">
        <v>4</v>
      </c>
      <c r="AH1168" s="3" t="s">
        <v>1164</v>
      </c>
      <c r="AI1168" s="4">
        <v>44708</v>
      </c>
      <c r="AJ1168" s="3" t="s">
        <v>1242</v>
      </c>
      <c r="AK1168" s="3" t="s">
        <v>248</v>
      </c>
    </row>
    <row r="1169" spans="1:37" hidden="1" x14ac:dyDescent="0.25">
      <c r="A1169" t="str">
        <f t="shared" si="18"/>
        <v>2022_WA_Deepdale_Chickpea_SatelliteTOS4VarietyD12014_14F3TMWR2AB001WaterTrtRainFed</v>
      </c>
      <c r="B1169" s="2">
        <v>2022008</v>
      </c>
      <c r="C1169" s="3" t="s">
        <v>1163</v>
      </c>
      <c r="D1169" s="3" t="s">
        <v>248</v>
      </c>
      <c r="F1169" s="3" t="s">
        <v>1170</v>
      </c>
      <c r="G1169" s="3" t="s">
        <v>39</v>
      </c>
      <c r="H1169" s="3" t="s">
        <v>253</v>
      </c>
      <c r="I1169" s="2">
        <v>74</v>
      </c>
      <c r="J1169" s="2">
        <v>74</v>
      </c>
      <c r="K1169" s="2">
        <v>3</v>
      </c>
      <c r="O1169" s="2">
        <v>10</v>
      </c>
      <c r="U1169" s="2">
        <v>2</v>
      </c>
      <c r="V1169" s="2">
        <v>44</v>
      </c>
      <c r="W1169" s="2">
        <v>2</v>
      </c>
      <c r="X1169" s="2">
        <v>19</v>
      </c>
      <c r="Z1169" s="2">
        <v>74</v>
      </c>
      <c r="AA1169" s="3" t="s">
        <v>40</v>
      </c>
      <c r="AB1169" s="2">
        <v>6</v>
      </c>
      <c r="AF1169" s="2">
        <v>22</v>
      </c>
      <c r="AG1169" s="2">
        <v>4</v>
      </c>
      <c r="AH1169" s="3" t="s">
        <v>1164</v>
      </c>
      <c r="AI1169" s="4">
        <v>44708</v>
      </c>
      <c r="AJ1169" s="3" t="s">
        <v>1243</v>
      </c>
      <c r="AK1169" s="3" t="s">
        <v>248</v>
      </c>
    </row>
    <row r="1170" spans="1:37" hidden="1" x14ac:dyDescent="0.25">
      <c r="A1170" t="str">
        <f t="shared" si="18"/>
        <v>2022_WA_Deepdale_Chickpea_SatelliteTOS4VarietyCBA_CaptainWaterTrtRainFed</v>
      </c>
      <c r="B1170" s="2">
        <v>2022008</v>
      </c>
      <c r="C1170" s="3" t="s">
        <v>1163</v>
      </c>
      <c r="D1170" s="3" t="s">
        <v>248</v>
      </c>
      <c r="F1170" s="3" t="s">
        <v>249</v>
      </c>
      <c r="G1170" s="3" t="s">
        <v>43</v>
      </c>
      <c r="H1170" s="3" t="s">
        <v>250</v>
      </c>
      <c r="I1170" s="2">
        <v>75</v>
      </c>
      <c r="J1170" s="2">
        <v>75</v>
      </c>
      <c r="K1170" s="2">
        <v>3</v>
      </c>
      <c r="O1170" s="2">
        <v>10</v>
      </c>
      <c r="U1170" s="2">
        <v>3</v>
      </c>
      <c r="V1170" s="2">
        <v>44</v>
      </c>
      <c r="W1170" s="2">
        <v>3</v>
      </c>
      <c r="X1170" s="2">
        <v>19</v>
      </c>
      <c r="Z1170" s="2">
        <v>75</v>
      </c>
      <c r="AA1170" s="3" t="s">
        <v>40</v>
      </c>
      <c r="AB1170" s="2">
        <v>7</v>
      </c>
      <c r="AF1170" s="2">
        <v>22</v>
      </c>
      <c r="AG1170" s="2">
        <v>4</v>
      </c>
      <c r="AH1170" s="3" t="s">
        <v>1164</v>
      </c>
      <c r="AI1170" s="4">
        <v>44708</v>
      </c>
      <c r="AJ1170" s="3" t="s">
        <v>1244</v>
      </c>
      <c r="AK1170" s="3" t="s">
        <v>248</v>
      </c>
    </row>
    <row r="1171" spans="1:37" hidden="1" x14ac:dyDescent="0.25">
      <c r="A1171" t="str">
        <f t="shared" si="18"/>
        <v>2022_WA_Deepdale_Chickpea_SatelliteTOS4VarietyD11006_13F3HRMT4PR0004WaterTrtRainFed</v>
      </c>
      <c r="B1171" s="2">
        <v>2022008</v>
      </c>
      <c r="C1171" s="3" t="s">
        <v>1163</v>
      </c>
      <c r="D1171" s="3" t="s">
        <v>248</v>
      </c>
      <c r="F1171" s="3" t="s">
        <v>1166</v>
      </c>
      <c r="G1171" s="3" t="s">
        <v>39</v>
      </c>
      <c r="H1171" s="3" t="s">
        <v>253</v>
      </c>
      <c r="I1171" s="2">
        <v>76</v>
      </c>
      <c r="J1171" s="2">
        <v>76</v>
      </c>
      <c r="K1171" s="2">
        <v>3</v>
      </c>
      <c r="O1171" s="2">
        <v>10</v>
      </c>
      <c r="U1171" s="2">
        <v>4</v>
      </c>
      <c r="V1171" s="2">
        <v>44</v>
      </c>
      <c r="W1171" s="2">
        <v>4</v>
      </c>
      <c r="X1171" s="2">
        <v>19</v>
      </c>
      <c r="Z1171" s="2">
        <v>76</v>
      </c>
      <c r="AA1171" s="3" t="s">
        <v>40</v>
      </c>
      <c r="AB1171" s="2">
        <v>5</v>
      </c>
      <c r="AF1171" s="2">
        <v>22</v>
      </c>
      <c r="AG1171" s="2">
        <v>4</v>
      </c>
      <c r="AH1171" s="3" t="s">
        <v>1164</v>
      </c>
      <c r="AI1171" s="4">
        <v>44708</v>
      </c>
      <c r="AJ1171" s="3" t="s">
        <v>1245</v>
      </c>
      <c r="AK1171" s="3" t="s">
        <v>248</v>
      </c>
    </row>
    <row r="1172" spans="1:37" hidden="1" x14ac:dyDescent="0.25">
      <c r="A1172" t="str">
        <f t="shared" si="18"/>
        <v>2022_WA_Deepdale_Chickpea_SatelliteTOS4VarietyStrikerWaterTrtRainFed</v>
      </c>
      <c r="B1172" s="2">
        <v>2022008</v>
      </c>
      <c r="C1172" s="3" t="s">
        <v>1163</v>
      </c>
      <c r="D1172" s="3" t="s">
        <v>248</v>
      </c>
      <c r="F1172" s="3" t="s">
        <v>4179</v>
      </c>
      <c r="G1172" s="3" t="s">
        <v>43</v>
      </c>
      <c r="H1172" s="3" t="s">
        <v>253</v>
      </c>
      <c r="I1172" s="2">
        <v>77</v>
      </c>
      <c r="J1172" s="2">
        <v>77</v>
      </c>
      <c r="K1172" s="2">
        <v>3</v>
      </c>
      <c r="O1172" s="2">
        <v>10</v>
      </c>
      <c r="U1172" s="2">
        <v>1</v>
      </c>
      <c r="V1172" s="2">
        <v>45</v>
      </c>
      <c r="W1172" s="2">
        <v>1</v>
      </c>
      <c r="X1172" s="2">
        <v>20</v>
      </c>
      <c r="Z1172" s="2">
        <v>80</v>
      </c>
      <c r="AA1172" s="3" t="s">
        <v>40</v>
      </c>
      <c r="AB1172" s="2">
        <v>2</v>
      </c>
      <c r="AF1172" s="2">
        <v>22</v>
      </c>
      <c r="AG1172" s="2">
        <v>4</v>
      </c>
      <c r="AH1172" s="3" t="s">
        <v>1164</v>
      </c>
      <c r="AI1172" s="4">
        <v>44708</v>
      </c>
      <c r="AJ1172" s="3" t="s">
        <v>1246</v>
      </c>
      <c r="AK1172" s="3" t="s">
        <v>248</v>
      </c>
    </row>
    <row r="1173" spans="1:37" hidden="1" x14ac:dyDescent="0.25">
      <c r="A1173" t="str">
        <f t="shared" si="18"/>
        <v>2022_WA_Deepdale_Chickpea_SatelliteTOS4VarietyCBA_CaptainWaterTrtRainFed</v>
      </c>
      <c r="B1173" s="2">
        <v>2022008</v>
      </c>
      <c r="C1173" s="3" t="s">
        <v>1163</v>
      </c>
      <c r="D1173" s="3" t="s">
        <v>248</v>
      </c>
      <c r="F1173" s="3" t="s">
        <v>249</v>
      </c>
      <c r="G1173" s="3" t="s">
        <v>43</v>
      </c>
      <c r="H1173" s="3" t="s">
        <v>253</v>
      </c>
      <c r="I1173" s="2">
        <v>78</v>
      </c>
      <c r="J1173" s="2">
        <v>78</v>
      </c>
      <c r="K1173" s="2">
        <v>3</v>
      </c>
      <c r="O1173" s="2">
        <v>10</v>
      </c>
      <c r="U1173" s="2">
        <v>2</v>
      </c>
      <c r="V1173" s="2">
        <v>45</v>
      </c>
      <c r="W1173" s="2">
        <v>2</v>
      </c>
      <c r="X1173" s="2">
        <v>20</v>
      </c>
      <c r="Z1173" s="2">
        <v>79</v>
      </c>
      <c r="AA1173" s="3" t="s">
        <v>40</v>
      </c>
      <c r="AB1173" s="2">
        <v>1</v>
      </c>
      <c r="AF1173" s="2">
        <v>22</v>
      </c>
      <c r="AG1173" s="2">
        <v>4</v>
      </c>
      <c r="AH1173" s="3" t="s">
        <v>1164</v>
      </c>
      <c r="AI1173" s="4">
        <v>44708</v>
      </c>
      <c r="AJ1173" s="3" t="s">
        <v>1247</v>
      </c>
      <c r="AK1173" s="3" t="s">
        <v>248</v>
      </c>
    </row>
    <row r="1174" spans="1:37" hidden="1" x14ac:dyDescent="0.25">
      <c r="A1174" t="str">
        <f t="shared" si="18"/>
        <v>2022_WA_Deepdale_Chickpea_SatelliteTOS4VarietyGenesis_090WaterTrtRainFed</v>
      </c>
      <c r="B1174" s="2">
        <v>2022008</v>
      </c>
      <c r="C1174" s="3" t="s">
        <v>1163</v>
      </c>
      <c r="D1174" s="3" t="s">
        <v>248</v>
      </c>
      <c r="F1174" s="3" t="s">
        <v>192</v>
      </c>
      <c r="G1174" s="3" t="s">
        <v>39</v>
      </c>
      <c r="H1174" s="3" t="s">
        <v>250</v>
      </c>
      <c r="I1174" s="2">
        <v>79</v>
      </c>
      <c r="J1174" s="2">
        <v>79</v>
      </c>
      <c r="K1174" s="2">
        <v>3</v>
      </c>
      <c r="O1174" s="2">
        <v>10</v>
      </c>
      <c r="U1174" s="2">
        <v>3</v>
      </c>
      <c r="V1174" s="2">
        <v>45</v>
      </c>
      <c r="W1174" s="2">
        <v>3</v>
      </c>
      <c r="X1174" s="2">
        <v>20</v>
      </c>
      <c r="Z1174" s="2">
        <v>78</v>
      </c>
      <c r="AA1174" s="3" t="s">
        <v>40</v>
      </c>
      <c r="AB1174" s="2">
        <v>8</v>
      </c>
      <c r="AF1174" s="2">
        <v>22</v>
      </c>
      <c r="AG1174" s="2">
        <v>4</v>
      </c>
      <c r="AH1174" s="3" t="s">
        <v>1164</v>
      </c>
      <c r="AI1174" s="4">
        <v>44708</v>
      </c>
      <c r="AJ1174" s="3" t="s">
        <v>1248</v>
      </c>
      <c r="AK1174" s="3" t="s">
        <v>248</v>
      </c>
    </row>
    <row r="1175" spans="1:37" hidden="1" x14ac:dyDescent="0.25">
      <c r="A1175" t="str">
        <f t="shared" si="18"/>
        <v>2022_WA_Deepdale_Chickpea_SatelliteTOS4VarietyDrummondWaterTrtRainFed</v>
      </c>
      <c r="B1175" s="2">
        <v>2022008</v>
      </c>
      <c r="C1175" s="3" t="s">
        <v>1163</v>
      </c>
      <c r="D1175" s="3" t="s">
        <v>248</v>
      </c>
      <c r="F1175" s="3" t="s">
        <v>4182</v>
      </c>
      <c r="G1175" s="3" t="s">
        <v>39</v>
      </c>
      <c r="H1175" s="3" t="s">
        <v>253</v>
      </c>
      <c r="I1175" s="2">
        <v>80</v>
      </c>
      <c r="J1175" s="2">
        <v>80</v>
      </c>
      <c r="K1175" s="2">
        <v>3</v>
      </c>
      <c r="O1175" s="2">
        <v>10</v>
      </c>
      <c r="U1175" s="2">
        <v>4</v>
      </c>
      <c r="V1175" s="2">
        <v>45</v>
      </c>
      <c r="W1175" s="2">
        <v>4</v>
      </c>
      <c r="X1175" s="2">
        <v>20</v>
      </c>
      <c r="Z1175" s="2">
        <v>77</v>
      </c>
      <c r="AA1175" s="3" t="s">
        <v>40</v>
      </c>
      <c r="AB1175" s="2">
        <v>4</v>
      </c>
      <c r="AF1175" s="2">
        <v>22</v>
      </c>
      <c r="AG1175" s="2">
        <v>4</v>
      </c>
      <c r="AH1175" s="3" t="s">
        <v>1164</v>
      </c>
      <c r="AI1175" s="4">
        <v>44708</v>
      </c>
      <c r="AJ1175" s="3" t="s">
        <v>1249</v>
      </c>
      <c r="AK1175" s="3" t="s">
        <v>248</v>
      </c>
    </row>
    <row r="1176" spans="1:37" hidden="1" x14ac:dyDescent="0.25">
      <c r="A1176" t="str">
        <f t="shared" si="18"/>
        <v>2022_WA_Deepdale_Chickpea_SatelliteTOS3VarietyGenesis_090WaterTrtRainFed</v>
      </c>
      <c r="B1176" s="2">
        <v>2022008</v>
      </c>
      <c r="C1176" s="3" t="s">
        <v>1163</v>
      </c>
      <c r="D1176" s="3" t="s">
        <v>248</v>
      </c>
      <c r="F1176" s="3" t="s">
        <v>192</v>
      </c>
      <c r="G1176" s="3" t="s">
        <v>39</v>
      </c>
      <c r="H1176" s="3" t="s">
        <v>250</v>
      </c>
      <c r="I1176" s="2">
        <v>81</v>
      </c>
      <c r="J1176" s="2">
        <v>81</v>
      </c>
      <c r="K1176" s="2">
        <v>3</v>
      </c>
      <c r="O1176" s="2">
        <v>11</v>
      </c>
      <c r="U1176" s="2">
        <v>1</v>
      </c>
      <c r="V1176" s="2">
        <v>48</v>
      </c>
      <c r="W1176" s="2">
        <v>1</v>
      </c>
      <c r="X1176" s="2">
        <v>21</v>
      </c>
      <c r="Z1176" s="2">
        <v>81</v>
      </c>
      <c r="AA1176" s="3" t="s">
        <v>40</v>
      </c>
      <c r="AB1176" s="2">
        <v>8</v>
      </c>
      <c r="AF1176" s="2">
        <v>22</v>
      </c>
      <c r="AG1176" s="2">
        <v>3</v>
      </c>
      <c r="AH1176" s="3" t="s">
        <v>1175</v>
      </c>
      <c r="AI1176" s="4">
        <v>44691</v>
      </c>
      <c r="AJ1176" s="3" t="s">
        <v>1250</v>
      </c>
      <c r="AK1176" s="3" t="s">
        <v>248</v>
      </c>
    </row>
    <row r="1177" spans="1:37" hidden="1" x14ac:dyDescent="0.25">
      <c r="A1177" t="str">
        <f t="shared" si="18"/>
        <v>2022_WA_Deepdale_Chickpea_SatelliteTOS3VarietyStrikerWaterTrtRainFed</v>
      </c>
      <c r="B1177" s="2">
        <v>2022008</v>
      </c>
      <c r="C1177" s="3" t="s">
        <v>1163</v>
      </c>
      <c r="D1177" s="3" t="s">
        <v>248</v>
      </c>
      <c r="F1177" s="3" t="s">
        <v>4179</v>
      </c>
      <c r="G1177" s="3" t="s">
        <v>43</v>
      </c>
      <c r="H1177" s="3" t="s">
        <v>253</v>
      </c>
      <c r="I1177" s="2">
        <v>82</v>
      </c>
      <c r="J1177" s="2">
        <v>82</v>
      </c>
      <c r="K1177" s="2">
        <v>3</v>
      </c>
      <c r="O1177" s="2">
        <v>11</v>
      </c>
      <c r="U1177" s="2">
        <v>2</v>
      </c>
      <c r="V1177" s="2">
        <v>48</v>
      </c>
      <c r="W1177" s="2">
        <v>2</v>
      </c>
      <c r="X1177" s="2">
        <v>21</v>
      </c>
      <c r="Z1177" s="2">
        <v>82</v>
      </c>
      <c r="AA1177" s="3" t="s">
        <v>40</v>
      </c>
      <c r="AB1177" s="2">
        <v>2</v>
      </c>
      <c r="AF1177" s="2">
        <v>22</v>
      </c>
      <c r="AG1177" s="2">
        <v>3</v>
      </c>
      <c r="AH1177" s="3" t="s">
        <v>1175</v>
      </c>
      <c r="AI1177" s="4">
        <v>44691</v>
      </c>
      <c r="AJ1177" s="3" t="s">
        <v>1251</v>
      </c>
      <c r="AK1177" s="3" t="s">
        <v>248</v>
      </c>
    </row>
    <row r="1178" spans="1:37" hidden="1" x14ac:dyDescent="0.25">
      <c r="A1178" t="str">
        <f t="shared" si="18"/>
        <v>2022_WA_Deepdale_Chickpea_SatelliteTOS3VarietyHatTrickWaterTrtRainFed</v>
      </c>
      <c r="B1178" s="2">
        <v>2022008</v>
      </c>
      <c r="C1178" s="3" t="s">
        <v>1163</v>
      </c>
      <c r="D1178" s="3" t="s">
        <v>248</v>
      </c>
      <c r="F1178" s="3" t="s">
        <v>4178</v>
      </c>
      <c r="G1178" s="3" t="s">
        <v>39</v>
      </c>
      <c r="H1178" s="3" t="s">
        <v>253</v>
      </c>
      <c r="I1178" s="2">
        <v>83</v>
      </c>
      <c r="J1178" s="2">
        <v>83</v>
      </c>
      <c r="K1178" s="2">
        <v>3</v>
      </c>
      <c r="O1178" s="2">
        <v>11</v>
      </c>
      <c r="U1178" s="2">
        <v>3</v>
      </c>
      <c r="V1178" s="2">
        <v>48</v>
      </c>
      <c r="W1178" s="2">
        <v>3</v>
      </c>
      <c r="X1178" s="2">
        <v>21</v>
      </c>
      <c r="Z1178" s="2">
        <v>83</v>
      </c>
      <c r="AA1178" s="3" t="s">
        <v>40</v>
      </c>
      <c r="AB1178" s="2">
        <v>3</v>
      </c>
      <c r="AF1178" s="2">
        <v>22</v>
      </c>
      <c r="AG1178" s="2">
        <v>3</v>
      </c>
      <c r="AH1178" s="3" t="s">
        <v>1175</v>
      </c>
      <c r="AI1178" s="4">
        <v>44691</v>
      </c>
      <c r="AJ1178" s="3" t="s">
        <v>1252</v>
      </c>
      <c r="AK1178" s="3" t="s">
        <v>248</v>
      </c>
    </row>
    <row r="1179" spans="1:37" hidden="1" x14ac:dyDescent="0.25">
      <c r="A1179" t="str">
        <f t="shared" si="18"/>
        <v>2022_WA_Deepdale_Chickpea_SatelliteTOS3VarietyCBA_CaptainWaterTrtRainFed</v>
      </c>
      <c r="B1179" s="2">
        <v>2022008</v>
      </c>
      <c r="C1179" s="3" t="s">
        <v>1163</v>
      </c>
      <c r="D1179" s="3" t="s">
        <v>248</v>
      </c>
      <c r="F1179" s="3" t="s">
        <v>249</v>
      </c>
      <c r="G1179" s="3" t="s">
        <v>43</v>
      </c>
      <c r="H1179" s="3" t="s">
        <v>250</v>
      </c>
      <c r="I1179" s="2">
        <v>84</v>
      </c>
      <c r="J1179" s="2">
        <v>84</v>
      </c>
      <c r="K1179" s="2">
        <v>3</v>
      </c>
      <c r="O1179" s="2">
        <v>11</v>
      </c>
      <c r="U1179" s="2">
        <v>4</v>
      </c>
      <c r="V1179" s="2">
        <v>48</v>
      </c>
      <c r="W1179" s="2">
        <v>4</v>
      </c>
      <c r="X1179" s="2">
        <v>21</v>
      </c>
      <c r="Z1179" s="2">
        <v>84</v>
      </c>
      <c r="AA1179" s="3" t="s">
        <v>40</v>
      </c>
      <c r="AB1179" s="2">
        <v>7</v>
      </c>
      <c r="AF1179" s="2">
        <v>22</v>
      </c>
      <c r="AG1179" s="2">
        <v>3</v>
      </c>
      <c r="AH1179" s="3" t="s">
        <v>1175</v>
      </c>
      <c r="AI1179" s="4">
        <v>44691</v>
      </c>
      <c r="AJ1179" s="3" t="s">
        <v>1253</v>
      </c>
      <c r="AK1179" s="3" t="s">
        <v>248</v>
      </c>
    </row>
    <row r="1180" spans="1:37" hidden="1" x14ac:dyDescent="0.25">
      <c r="A1180" t="str">
        <f t="shared" si="18"/>
        <v>2022_WA_Deepdale_Chickpea_SatelliteTOS3VarietyDrummondWaterTrtRainFed</v>
      </c>
      <c r="B1180" s="2">
        <v>2022008</v>
      </c>
      <c r="C1180" s="3" t="s">
        <v>1163</v>
      </c>
      <c r="D1180" s="3" t="s">
        <v>248</v>
      </c>
      <c r="F1180" s="3" t="s">
        <v>4182</v>
      </c>
      <c r="G1180" s="3" t="s">
        <v>39</v>
      </c>
      <c r="H1180" s="3" t="s">
        <v>253</v>
      </c>
      <c r="I1180" s="2">
        <v>85</v>
      </c>
      <c r="J1180" s="2">
        <v>85</v>
      </c>
      <c r="K1180" s="2">
        <v>3</v>
      </c>
      <c r="O1180" s="2">
        <v>11</v>
      </c>
      <c r="U1180" s="2">
        <v>1</v>
      </c>
      <c r="V1180" s="2">
        <v>49</v>
      </c>
      <c r="W1180" s="2">
        <v>1</v>
      </c>
      <c r="X1180" s="2">
        <v>22</v>
      </c>
      <c r="Z1180" s="2">
        <v>88</v>
      </c>
      <c r="AA1180" s="3" t="s">
        <v>40</v>
      </c>
      <c r="AB1180" s="2">
        <v>4</v>
      </c>
      <c r="AF1180" s="2">
        <v>22</v>
      </c>
      <c r="AG1180" s="2">
        <v>3</v>
      </c>
      <c r="AH1180" s="3" t="s">
        <v>1175</v>
      </c>
      <c r="AI1180" s="4">
        <v>44691</v>
      </c>
      <c r="AJ1180" s="3" t="s">
        <v>1254</v>
      </c>
      <c r="AK1180" s="3" t="s">
        <v>248</v>
      </c>
    </row>
    <row r="1181" spans="1:37" hidden="1" x14ac:dyDescent="0.25">
      <c r="A1181" t="str">
        <f t="shared" si="18"/>
        <v>2022_WA_Deepdale_Chickpea_SatelliteTOS3VarietyD11006_13F3HRMT4PR0004WaterTrtRainFed</v>
      </c>
      <c r="B1181" s="2">
        <v>2022008</v>
      </c>
      <c r="C1181" s="3" t="s">
        <v>1163</v>
      </c>
      <c r="D1181" s="3" t="s">
        <v>248</v>
      </c>
      <c r="F1181" s="3" t="s">
        <v>1166</v>
      </c>
      <c r="G1181" s="3" t="s">
        <v>39</v>
      </c>
      <c r="H1181" s="3" t="s">
        <v>253</v>
      </c>
      <c r="I1181" s="2">
        <v>86</v>
      </c>
      <c r="J1181" s="2">
        <v>86</v>
      </c>
      <c r="K1181" s="2">
        <v>3</v>
      </c>
      <c r="O1181" s="2">
        <v>11</v>
      </c>
      <c r="U1181" s="2">
        <v>2</v>
      </c>
      <c r="V1181" s="2">
        <v>49</v>
      </c>
      <c r="W1181" s="2">
        <v>2</v>
      </c>
      <c r="X1181" s="2">
        <v>22</v>
      </c>
      <c r="Z1181" s="2">
        <v>87</v>
      </c>
      <c r="AA1181" s="3" t="s">
        <v>40</v>
      </c>
      <c r="AB1181" s="2">
        <v>5</v>
      </c>
      <c r="AF1181" s="2">
        <v>22</v>
      </c>
      <c r="AG1181" s="2">
        <v>3</v>
      </c>
      <c r="AH1181" s="3" t="s">
        <v>1175</v>
      </c>
      <c r="AI1181" s="4">
        <v>44691</v>
      </c>
      <c r="AJ1181" s="3" t="s">
        <v>1255</v>
      </c>
      <c r="AK1181" s="3" t="s">
        <v>248</v>
      </c>
    </row>
    <row r="1182" spans="1:37" hidden="1" x14ac:dyDescent="0.25">
      <c r="A1182" t="str">
        <f t="shared" si="18"/>
        <v>2022_WA_Deepdale_Chickpea_SatelliteTOS3VarietyD12014_14F3TMWR2AB001WaterTrtRainFed</v>
      </c>
      <c r="B1182" s="2">
        <v>2022008</v>
      </c>
      <c r="C1182" s="3" t="s">
        <v>1163</v>
      </c>
      <c r="D1182" s="3" t="s">
        <v>248</v>
      </c>
      <c r="F1182" s="3" t="s">
        <v>1170</v>
      </c>
      <c r="G1182" s="3" t="s">
        <v>39</v>
      </c>
      <c r="H1182" s="3" t="s">
        <v>253</v>
      </c>
      <c r="I1182" s="2">
        <v>87</v>
      </c>
      <c r="J1182" s="2">
        <v>87</v>
      </c>
      <c r="K1182" s="2">
        <v>3</v>
      </c>
      <c r="O1182" s="2">
        <v>11</v>
      </c>
      <c r="U1182" s="2">
        <v>3</v>
      </c>
      <c r="V1182" s="2">
        <v>49</v>
      </c>
      <c r="W1182" s="2">
        <v>3</v>
      </c>
      <c r="X1182" s="2">
        <v>22</v>
      </c>
      <c r="Z1182" s="2">
        <v>86</v>
      </c>
      <c r="AA1182" s="3" t="s">
        <v>40</v>
      </c>
      <c r="AB1182" s="2">
        <v>6</v>
      </c>
      <c r="AF1182" s="2">
        <v>22</v>
      </c>
      <c r="AG1182" s="2">
        <v>3</v>
      </c>
      <c r="AH1182" s="3" t="s">
        <v>1175</v>
      </c>
      <c r="AI1182" s="4">
        <v>44691</v>
      </c>
      <c r="AJ1182" s="3" t="s">
        <v>1256</v>
      </c>
      <c r="AK1182" s="3" t="s">
        <v>248</v>
      </c>
    </row>
    <row r="1183" spans="1:37" hidden="1" x14ac:dyDescent="0.25">
      <c r="A1183" t="str">
        <f t="shared" si="18"/>
        <v>2022_WA_Deepdale_Chickpea_SatelliteTOS3VarietyCBA_CaptainWaterTrtRainFed</v>
      </c>
      <c r="B1183" s="2">
        <v>2022008</v>
      </c>
      <c r="C1183" s="3" t="s">
        <v>1163</v>
      </c>
      <c r="D1183" s="3" t="s">
        <v>248</v>
      </c>
      <c r="F1183" s="3" t="s">
        <v>249</v>
      </c>
      <c r="G1183" s="3" t="s">
        <v>43</v>
      </c>
      <c r="H1183" s="3" t="s">
        <v>253</v>
      </c>
      <c r="I1183" s="2">
        <v>88</v>
      </c>
      <c r="J1183" s="2">
        <v>88</v>
      </c>
      <c r="K1183" s="2">
        <v>3</v>
      </c>
      <c r="O1183" s="2">
        <v>11</v>
      </c>
      <c r="U1183" s="2">
        <v>4</v>
      </c>
      <c r="V1183" s="2">
        <v>49</v>
      </c>
      <c r="W1183" s="2">
        <v>4</v>
      </c>
      <c r="X1183" s="2">
        <v>22</v>
      </c>
      <c r="Z1183" s="2">
        <v>85</v>
      </c>
      <c r="AA1183" s="3" t="s">
        <v>40</v>
      </c>
      <c r="AB1183" s="2">
        <v>1</v>
      </c>
      <c r="AF1183" s="2">
        <v>22</v>
      </c>
      <c r="AG1183" s="2">
        <v>3</v>
      </c>
      <c r="AH1183" s="3" t="s">
        <v>1175</v>
      </c>
      <c r="AI1183" s="4">
        <v>44691</v>
      </c>
      <c r="AJ1183" s="3" t="s">
        <v>1257</v>
      </c>
      <c r="AK1183" s="3" t="s">
        <v>248</v>
      </c>
    </row>
    <row r="1184" spans="1:37" hidden="1" x14ac:dyDescent="0.25">
      <c r="A1184" t="str">
        <f t="shared" si="18"/>
        <v>2022_WA_Deepdale_Chickpea_SatelliteTOS1VarietyCBA_CaptainWaterTrtRainFed</v>
      </c>
      <c r="B1184" s="2">
        <v>2022008</v>
      </c>
      <c r="C1184" s="3" t="s">
        <v>1163</v>
      </c>
      <c r="D1184" s="3" t="s">
        <v>248</v>
      </c>
      <c r="F1184" s="3" t="s">
        <v>249</v>
      </c>
      <c r="G1184" s="3" t="s">
        <v>43</v>
      </c>
      <c r="H1184" s="3" t="s">
        <v>253</v>
      </c>
      <c r="I1184" s="2">
        <v>89</v>
      </c>
      <c r="J1184" s="2">
        <v>89</v>
      </c>
      <c r="K1184" s="2">
        <v>3</v>
      </c>
      <c r="O1184" s="2">
        <v>12</v>
      </c>
      <c r="U1184" s="2">
        <v>1</v>
      </c>
      <c r="V1184" s="2">
        <v>52</v>
      </c>
      <c r="W1184" s="2">
        <v>1</v>
      </c>
      <c r="X1184" s="2">
        <v>23</v>
      </c>
      <c r="Z1184" s="2">
        <v>89</v>
      </c>
      <c r="AA1184" s="3" t="s">
        <v>40</v>
      </c>
      <c r="AB1184" s="2">
        <v>1</v>
      </c>
      <c r="AF1184" s="2">
        <v>22</v>
      </c>
      <c r="AG1184" s="2">
        <v>1</v>
      </c>
      <c r="AH1184" s="3" t="s">
        <v>1184</v>
      </c>
      <c r="AI1184" s="4">
        <v>44664</v>
      </c>
      <c r="AJ1184" s="3" t="s">
        <v>1258</v>
      </c>
      <c r="AK1184" s="3" t="s">
        <v>248</v>
      </c>
    </row>
    <row r="1185" spans="1:37" hidden="1" x14ac:dyDescent="0.25">
      <c r="A1185" t="str">
        <f t="shared" si="18"/>
        <v>2022_WA_Deepdale_Chickpea_SatelliteTOS1VarietyGenesis_090WaterTrtRainFed</v>
      </c>
      <c r="B1185" s="2">
        <v>2022008</v>
      </c>
      <c r="C1185" s="3" t="s">
        <v>1163</v>
      </c>
      <c r="D1185" s="3" t="s">
        <v>248</v>
      </c>
      <c r="F1185" s="3" t="s">
        <v>192</v>
      </c>
      <c r="G1185" s="3" t="s">
        <v>39</v>
      </c>
      <c r="H1185" s="3" t="s">
        <v>250</v>
      </c>
      <c r="I1185" s="2">
        <v>90</v>
      </c>
      <c r="J1185" s="2">
        <v>90</v>
      </c>
      <c r="K1185" s="2">
        <v>3</v>
      </c>
      <c r="O1185" s="2">
        <v>12</v>
      </c>
      <c r="U1185" s="2">
        <v>2</v>
      </c>
      <c r="V1185" s="2">
        <v>52</v>
      </c>
      <c r="W1185" s="2">
        <v>2</v>
      </c>
      <c r="X1185" s="2">
        <v>23</v>
      </c>
      <c r="Z1185" s="2">
        <v>90</v>
      </c>
      <c r="AA1185" s="3" t="s">
        <v>40</v>
      </c>
      <c r="AB1185" s="2">
        <v>8</v>
      </c>
      <c r="AF1185" s="2">
        <v>22</v>
      </c>
      <c r="AG1185" s="2">
        <v>1</v>
      </c>
      <c r="AH1185" s="3" t="s">
        <v>1184</v>
      </c>
      <c r="AI1185" s="4">
        <v>44664</v>
      </c>
      <c r="AJ1185" s="3" t="s">
        <v>1259</v>
      </c>
      <c r="AK1185" s="3" t="s">
        <v>248</v>
      </c>
    </row>
    <row r="1186" spans="1:37" hidden="1" x14ac:dyDescent="0.25">
      <c r="A1186" t="str">
        <f t="shared" si="18"/>
        <v>2022_WA_Deepdale_Chickpea_SatelliteTOS1VarietyDrummondWaterTrtRainFed</v>
      </c>
      <c r="B1186" s="2">
        <v>2022008</v>
      </c>
      <c r="C1186" s="3" t="s">
        <v>1163</v>
      </c>
      <c r="D1186" s="3" t="s">
        <v>248</v>
      </c>
      <c r="F1186" s="3" t="s">
        <v>4182</v>
      </c>
      <c r="G1186" s="3" t="s">
        <v>39</v>
      </c>
      <c r="H1186" s="3" t="s">
        <v>253</v>
      </c>
      <c r="I1186" s="2">
        <v>91</v>
      </c>
      <c r="J1186" s="2">
        <v>91</v>
      </c>
      <c r="K1186" s="2">
        <v>3</v>
      </c>
      <c r="O1186" s="2">
        <v>12</v>
      </c>
      <c r="U1186" s="2">
        <v>3</v>
      </c>
      <c r="V1186" s="2">
        <v>52</v>
      </c>
      <c r="W1186" s="2">
        <v>3</v>
      </c>
      <c r="X1186" s="2">
        <v>23</v>
      </c>
      <c r="Z1186" s="2">
        <v>91</v>
      </c>
      <c r="AA1186" s="3" t="s">
        <v>40</v>
      </c>
      <c r="AB1186" s="2">
        <v>4</v>
      </c>
      <c r="AF1186" s="2">
        <v>22</v>
      </c>
      <c r="AG1186" s="2">
        <v>1</v>
      </c>
      <c r="AH1186" s="3" t="s">
        <v>1184</v>
      </c>
      <c r="AI1186" s="4">
        <v>44664</v>
      </c>
      <c r="AJ1186" s="3" t="s">
        <v>1260</v>
      </c>
      <c r="AK1186" s="3" t="s">
        <v>248</v>
      </c>
    </row>
    <row r="1187" spans="1:37" hidden="1" x14ac:dyDescent="0.25">
      <c r="A1187" t="str">
        <f t="shared" si="18"/>
        <v>2022_WA_Deepdale_Chickpea_SatelliteTOS1VarietyHatTrickWaterTrtRainFed</v>
      </c>
      <c r="B1187" s="2">
        <v>2022008</v>
      </c>
      <c r="C1187" s="3" t="s">
        <v>1163</v>
      </c>
      <c r="D1187" s="3" t="s">
        <v>248</v>
      </c>
      <c r="F1187" s="3" t="s">
        <v>4178</v>
      </c>
      <c r="G1187" s="3" t="s">
        <v>39</v>
      </c>
      <c r="H1187" s="3" t="s">
        <v>253</v>
      </c>
      <c r="I1187" s="2">
        <v>92</v>
      </c>
      <c r="J1187" s="2">
        <v>92</v>
      </c>
      <c r="K1187" s="2">
        <v>3</v>
      </c>
      <c r="O1187" s="2">
        <v>12</v>
      </c>
      <c r="U1187" s="2">
        <v>4</v>
      </c>
      <c r="V1187" s="2">
        <v>52</v>
      </c>
      <c r="W1187" s="2">
        <v>4</v>
      </c>
      <c r="X1187" s="2">
        <v>23</v>
      </c>
      <c r="Z1187" s="2">
        <v>92</v>
      </c>
      <c r="AA1187" s="3" t="s">
        <v>40</v>
      </c>
      <c r="AB1187" s="2">
        <v>3</v>
      </c>
      <c r="AF1187" s="2">
        <v>22</v>
      </c>
      <c r="AG1187" s="2">
        <v>1</v>
      </c>
      <c r="AH1187" s="3" t="s">
        <v>1184</v>
      </c>
      <c r="AI1187" s="4">
        <v>44664</v>
      </c>
      <c r="AJ1187" s="3" t="s">
        <v>1261</v>
      </c>
      <c r="AK1187" s="3" t="s">
        <v>248</v>
      </c>
    </row>
    <row r="1188" spans="1:37" hidden="1" x14ac:dyDescent="0.25">
      <c r="A1188" t="str">
        <f t="shared" si="18"/>
        <v>2022_WA_Deepdale_Chickpea_SatelliteTOS1VarietyD11006_13F3HRMT4PR0004WaterTrtRainFed</v>
      </c>
      <c r="B1188" s="2">
        <v>2022008</v>
      </c>
      <c r="C1188" s="3" t="s">
        <v>1163</v>
      </c>
      <c r="D1188" s="3" t="s">
        <v>248</v>
      </c>
      <c r="F1188" s="3" t="s">
        <v>1166</v>
      </c>
      <c r="G1188" s="3" t="s">
        <v>39</v>
      </c>
      <c r="H1188" s="3" t="s">
        <v>253</v>
      </c>
      <c r="I1188" s="2">
        <v>93</v>
      </c>
      <c r="J1188" s="2">
        <v>93</v>
      </c>
      <c r="K1188" s="2">
        <v>3</v>
      </c>
      <c r="O1188" s="2">
        <v>12</v>
      </c>
      <c r="U1188" s="2">
        <v>1</v>
      </c>
      <c r="V1188" s="2">
        <v>53</v>
      </c>
      <c r="W1188" s="2">
        <v>1</v>
      </c>
      <c r="X1188" s="2">
        <v>24</v>
      </c>
      <c r="Z1188" s="2">
        <v>96</v>
      </c>
      <c r="AA1188" s="3" t="s">
        <v>40</v>
      </c>
      <c r="AB1188" s="2">
        <v>5</v>
      </c>
      <c r="AF1188" s="2">
        <v>22</v>
      </c>
      <c r="AG1188" s="2">
        <v>1</v>
      </c>
      <c r="AH1188" s="3" t="s">
        <v>1184</v>
      </c>
      <c r="AI1188" s="4">
        <v>44664</v>
      </c>
      <c r="AJ1188" s="3" t="s">
        <v>1262</v>
      </c>
      <c r="AK1188" s="3" t="s">
        <v>248</v>
      </c>
    </row>
    <row r="1189" spans="1:37" hidden="1" x14ac:dyDescent="0.25">
      <c r="A1189" t="str">
        <f t="shared" si="18"/>
        <v>2022_WA_Deepdale_Chickpea_SatelliteTOS1VarietyCBA_CaptainWaterTrtRainFed</v>
      </c>
      <c r="B1189" s="2">
        <v>2022008</v>
      </c>
      <c r="C1189" s="3" t="s">
        <v>1163</v>
      </c>
      <c r="D1189" s="3" t="s">
        <v>248</v>
      </c>
      <c r="F1189" s="3" t="s">
        <v>249</v>
      </c>
      <c r="G1189" s="3" t="s">
        <v>43</v>
      </c>
      <c r="H1189" s="3" t="s">
        <v>250</v>
      </c>
      <c r="I1189" s="2">
        <v>94</v>
      </c>
      <c r="J1189" s="2">
        <v>94</v>
      </c>
      <c r="K1189" s="2">
        <v>3</v>
      </c>
      <c r="O1189" s="2">
        <v>12</v>
      </c>
      <c r="U1189" s="2">
        <v>2</v>
      </c>
      <c r="V1189" s="2">
        <v>53</v>
      </c>
      <c r="W1189" s="2">
        <v>2</v>
      </c>
      <c r="X1189" s="2">
        <v>24</v>
      </c>
      <c r="Z1189" s="2">
        <v>95</v>
      </c>
      <c r="AA1189" s="3" t="s">
        <v>40</v>
      </c>
      <c r="AB1189" s="2">
        <v>7</v>
      </c>
      <c r="AF1189" s="2">
        <v>22</v>
      </c>
      <c r="AG1189" s="2">
        <v>1</v>
      </c>
      <c r="AH1189" s="3" t="s">
        <v>1184</v>
      </c>
      <c r="AI1189" s="4">
        <v>44664</v>
      </c>
      <c r="AJ1189" s="3" t="s">
        <v>1263</v>
      </c>
      <c r="AK1189" s="3" t="s">
        <v>248</v>
      </c>
    </row>
    <row r="1190" spans="1:37" hidden="1" x14ac:dyDescent="0.25">
      <c r="A1190" t="str">
        <f t="shared" si="18"/>
        <v>2022_WA_Deepdale_Chickpea_SatelliteTOS1VarietyStrikerWaterTrtRainFed</v>
      </c>
      <c r="B1190" s="2">
        <v>2022008</v>
      </c>
      <c r="C1190" s="3" t="s">
        <v>1163</v>
      </c>
      <c r="D1190" s="3" t="s">
        <v>248</v>
      </c>
      <c r="F1190" s="3" t="s">
        <v>4179</v>
      </c>
      <c r="G1190" s="3" t="s">
        <v>43</v>
      </c>
      <c r="H1190" s="3" t="s">
        <v>253</v>
      </c>
      <c r="I1190" s="2">
        <v>95</v>
      </c>
      <c r="J1190" s="2">
        <v>95</v>
      </c>
      <c r="K1190" s="2">
        <v>3</v>
      </c>
      <c r="O1190" s="2">
        <v>12</v>
      </c>
      <c r="U1190" s="2">
        <v>3</v>
      </c>
      <c r="V1190" s="2">
        <v>53</v>
      </c>
      <c r="W1190" s="2">
        <v>3</v>
      </c>
      <c r="X1190" s="2">
        <v>24</v>
      </c>
      <c r="Z1190" s="2">
        <v>94</v>
      </c>
      <c r="AA1190" s="3" t="s">
        <v>40</v>
      </c>
      <c r="AB1190" s="2">
        <v>2</v>
      </c>
      <c r="AF1190" s="2">
        <v>22</v>
      </c>
      <c r="AG1190" s="2">
        <v>1</v>
      </c>
      <c r="AH1190" s="3" t="s">
        <v>1184</v>
      </c>
      <c r="AI1190" s="4">
        <v>44664</v>
      </c>
      <c r="AJ1190" s="3" t="s">
        <v>1264</v>
      </c>
      <c r="AK1190" s="3" t="s">
        <v>248</v>
      </c>
    </row>
    <row r="1191" spans="1:37" hidden="1" x14ac:dyDescent="0.25">
      <c r="A1191" t="str">
        <f t="shared" si="18"/>
        <v>2022_WA_Deepdale_Chickpea_SatelliteTOS1VarietyD12014_14F3TMWR2AB001WaterTrtRainFed</v>
      </c>
      <c r="B1191" s="2">
        <v>2022008</v>
      </c>
      <c r="C1191" s="3" t="s">
        <v>1163</v>
      </c>
      <c r="D1191" s="3" t="s">
        <v>248</v>
      </c>
      <c r="F1191" s="3" t="s">
        <v>1170</v>
      </c>
      <c r="G1191" s="3" t="s">
        <v>39</v>
      </c>
      <c r="H1191" s="3" t="s">
        <v>253</v>
      </c>
      <c r="I1191" s="2">
        <v>96</v>
      </c>
      <c r="J1191" s="2">
        <v>96</v>
      </c>
      <c r="K1191" s="2">
        <v>3</v>
      </c>
      <c r="O1191" s="2">
        <v>12</v>
      </c>
      <c r="U1191" s="2">
        <v>4</v>
      </c>
      <c r="V1191" s="2">
        <v>53</v>
      </c>
      <c r="W1191" s="2">
        <v>4</v>
      </c>
      <c r="X1191" s="2">
        <v>24</v>
      </c>
      <c r="Z1191" s="2">
        <v>93</v>
      </c>
      <c r="AA1191" s="3" t="s">
        <v>40</v>
      </c>
      <c r="AB1191" s="2">
        <v>6</v>
      </c>
      <c r="AF1191" s="2">
        <v>22</v>
      </c>
      <c r="AG1191" s="2">
        <v>1</v>
      </c>
      <c r="AH1191" s="3" t="s">
        <v>1184</v>
      </c>
      <c r="AI1191" s="4">
        <v>44664</v>
      </c>
      <c r="AJ1191" s="3" t="s">
        <v>1265</v>
      </c>
      <c r="AK1191" s="3" t="s">
        <v>248</v>
      </c>
    </row>
    <row r="1192" spans="1:37" hidden="1" x14ac:dyDescent="0.25">
      <c r="A1192" t="str">
        <f t="shared" si="18"/>
        <v>2022_WA_Deepdale_Chickpea_SatelliteTOS1VarietyD12014_14F3TMWR2AB001WaterTrtRainFed</v>
      </c>
      <c r="B1192" s="2">
        <v>2022008</v>
      </c>
      <c r="C1192" s="3" t="s">
        <v>1163</v>
      </c>
      <c r="D1192" s="3" t="s">
        <v>248</v>
      </c>
      <c r="F1192" s="3" t="s">
        <v>1170</v>
      </c>
      <c r="G1192" s="3" t="s">
        <v>39</v>
      </c>
      <c r="H1192" s="3" t="s">
        <v>253</v>
      </c>
      <c r="I1192" s="2">
        <v>97</v>
      </c>
      <c r="J1192" s="2">
        <v>97</v>
      </c>
      <c r="K1192" s="2">
        <v>4</v>
      </c>
      <c r="O1192" s="2">
        <v>13</v>
      </c>
      <c r="U1192" s="2">
        <v>1</v>
      </c>
      <c r="V1192" s="2">
        <v>56</v>
      </c>
      <c r="W1192" s="2">
        <v>1</v>
      </c>
      <c r="X1192" s="2">
        <v>25</v>
      </c>
      <c r="Z1192" s="2">
        <v>97</v>
      </c>
      <c r="AA1192" s="3" t="s">
        <v>40</v>
      </c>
      <c r="AB1192" s="2">
        <v>6</v>
      </c>
      <c r="AF1192" s="2">
        <v>22</v>
      </c>
      <c r="AG1192" s="2">
        <v>1</v>
      </c>
      <c r="AH1192" s="3" t="s">
        <v>1184</v>
      </c>
      <c r="AI1192" s="4">
        <v>44664</v>
      </c>
      <c r="AJ1192" s="3" t="s">
        <v>1266</v>
      </c>
      <c r="AK1192" s="3" t="s">
        <v>248</v>
      </c>
    </row>
    <row r="1193" spans="1:37" hidden="1" x14ac:dyDescent="0.25">
      <c r="A1193" t="str">
        <f t="shared" si="18"/>
        <v>2022_WA_Deepdale_Chickpea_SatelliteTOS1VarietyDrummondWaterTrtRainFed</v>
      </c>
      <c r="B1193" s="2">
        <v>2022008</v>
      </c>
      <c r="C1193" s="3" t="s">
        <v>1163</v>
      </c>
      <c r="D1193" s="3" t="s">
        <v>248</v>
      </c>
      <c r="F1193" s="3" t="s">
        <v>4182</v>
      </c>
      <c r="G1193" s="3" t="s">
        <v>39</v>
      </c>
      <c r="H1193" s="3" t="s">
        <v>253</v>
      </c>
      <c r="I1193" s="2">
        <v>98</v>
      </c>
      <c r="J1193" s="2">
        <v>98</v>
      </c>
      <c r="K1193" s="2">
        <v>4</v>
      </c>
      <c r="O1193" s="2">
        <v>13</v>
      </c>
      <c r="U1193" s="2">
        <v>2</v>
      </c>
      <c r="V1193" s="2">
        <v>56</v>
      </c>
      <c r="W1193" s="2">
        <v>2</v>
      </c>
      <c r="X1193" s="2">
        <v>25</v>
      </c>
      <c r="Z1193" s="2">
        <v>98</v>
      </c>
      <c r="AA1193" s="3" t="s">
        <v>40</v>
      </c>
      <c r="AB1193" s="2">
        <v>4</v>
      </c>
      <c r="AF1193" s="2">
        <v>22</v>
      </c>
      <c r="AG1193" s="2">
        <v>1</v>
      </c>
      <c r="AH1193" s="3" t="s">
        <v>1184</v>
      </c>
      <c r="AI1193" s="4">
        <v>44664</v>
      </c>
      <c r="AJ1193" s="3" t="s">
        <v>1267</v>
      </c>
      <c r="AK1193" s="3" t="s">
        <v>248</v>
      </c>
    </row>
    <row r="1194" spans="1:37" hidden="1" x14ac:dyDescent="0.25">
      <c r="A1194" t="str">
        <f t="shared" si="18"/>
        <v>2022_WA_Deepdale_Chickpea_SatelliteTOS1VarietyHatTrickWaterTrtRainFed</v>
      </c>
      <c r="B1194" s="2">
        <v>2022008</v>
      </c>
      <c r="C1194" s="3" t="s">
        <v>1163</v>
      </c>
      <c r="D1194" s="3" t="s">
        <v>248</v>
      </c>
      <c r="F1194" s="3" t="s">
        <v>4178</v>
      </c>
      <c r="G1194" s="3" t="s">
        <v>39</v>
      </c>
      <c r="H1194" s="3" t="s">
        <v>253</v>
      </c>
      <c r="I1194" s="2">
        <v>99</v>
      </c>
      <c r="J1194" s="2">
        <v>99</v>
      </c>
      <c r="K1194" s="2">
        <v>4</v>
      </c>
      <c r="O1194" s="2">
        <v>13</v>
      </c>
      <c r="U1194" s="2">
        <v>3</v>
      </c>
      <c r="V1194" s="2">
        <v>56</v>
      </c>
      <c r="W1194" s="2">
        <v>3</v>
      </c>
      <c r="X1194" s="2">
        <v>25</v>
      </c>
      <c r="Z1194" s="2">
        <v>99</v>
      </c>
      <c r="AA1194" s="3" t="s">
        <v>40</v>
      </c>
      <c r="AB1194" s="2">
        <v>3</v>
      </c>
      <c r="AF1194" s="2">
        <v>22</v>
      </c>
      <c r="AG1194" s="2">
        <v>1</v>
      </c>
      <c r="AH1194" s="3" t="s">
        <v>1184</v>
      </c>
      <c r="AI1194" s="4">
        <v>44664</v>
      </c>
      <c r="AJ1194" s="3" t="s">
        <v>1268</v>
      </c>
      <c r="AK1194" s="3" t="s">
        <v>248</v>
      </c>
    </row>
    <row r="1195" spans="1:37" hidden="1" x14ac:dyDescent="0.25">
      <c r="A1195" t="str">
        <f t="shared" si="18"/>
        <v>2022_WA_Deepdale_Chickpea_SatelliteTOS1VarietyStrikerWaterTrtRainFed</v>
      </c>
      <c r="B1195" s="2">
        <v>2022008</v>
      </c>
      <c r="C1195" s="3" t="s">
        <v>1163</v>
      </c>
      <c r="D1195" s="3" t="s">
        <v>248</v>
      </c>
      <c r="F1195" s="3" t="s">
        <v>4179</v>
      </c>
      <c r="G1195" s="3" t="s">
        <v>43</v>
      </c>
      <c r="H1195" s="3" t="s">
        <v>253</v>
      </c>
      <c r="I1195" s="2">
        <v>100</v>
      </c>
      <c r="J1195" s="2">
        <v>100</v>
      </c>
      <c r="K1195" s="2">
        <v>4</v>
      </c>
      <c r="O1195" s="2">
        <v>13</v>
      </c>
      <c r="U1195" s="2">
        <v>4</v>
      </c>
      <c r="V1195" s="2">
        <v>56</v>
      </c>
      <c r="W1195" s="2">
        <v>4</v>
      </c>
      <c r="X1195" s="2">
        <v>25</v>
      </c>
      <c r="Z1195" s="2">
        <v>100</v>
      </c>
      <c r="AA1195" s="3" t="s">
        <v>40</v>
      </c>
      <c r="AB1195" s="2">
        <v>2</v>
      </c>
      <c r="AF1195" s="2">
        <v>22</v>
      </c>
      <c r="AG1195" s="2">
        <v>1</v>
      </c>
      <c r="AH1195" s="3" t="s">
        <v>1184</v>
      </c>
      <c r="AI1195" s="4">
        <v>44664</v>
      </c>
      <c r="AJ1195" s="3" t="s">
        <v>1269</v>
      </c>
      <c r="AK1195" s="3" t="s">
        <v>248</v>
      </c>
    </row>
    <row r="1196" spans="1:37" hidden="1" x14ac:dyDescent="0.25">
      <c r="A1196" t="str">
        <f t="shared" si="18"/>
        <v>2022_WA_Deepdale_Chickpea_SatelliteTOS1VarietyGenesis_090WaterTrtRainFed</v>
      </c>
      <c r="B1196" s="2">
        <v>2022008</v>
      </c>
      <c r="C1196" s="3" t="s">
        <v>1163</v>
      </c>
      <c r="D1196" s="3" t="s">
        <v>248</v>
      </c>
      <c r="F1196" s="3" t="s">
        <v>192</v>
      </c>
      <c r="G1196" s="3" t="s">
        <v>39</v>
      </c>
      <c r="H1196" s="3" t="s">
        <v>250</v>
      </c>
      <c r="I1196" s="2">
        <v>101</v>
      </c>
      <c r="J1196" s="2">
        <v>101</v>
      </c>
      <c r="K1196" s="2">
        <v>4</v>
      </c>
      <c r="O1196" s="2">
        <v>13</v>
      </c>
      <c r="U1196" s="2">
        <v>1</v>
      </c>
      <c r="V1196" s="2">
        <v>57</v>
      </c>
      <c r="W1196" s="2">
        <v>1</v>
      </c>
      <c r="X1196" s="2">
        <v>26</v>
      </c>
      <c r="Z1196" s="2">
        <v>104</v>
      </c>
      <c r="AA1196" s="3" t="s">
        <v>40</v>
      </c>
      <c r="AB1196" s="2">
        <v>8</v>
      </c>
      <c r="AF1196" s="2">
        <v>22</v>
      </c>
      <c r="AG1196" s="2">
        <v>1</v>
      </c>
      <c r="AH1196" s="3" t="s">
        <v>1184</v>
      </c>
      <c r="AI1196" s="4">
        <v>44664</v>
      </c>
      <c r="AJ1196" s="3" t="s">
        <v>1270</v>
      </c>
      <c r="AK1196" s="3" t="s">
        <v>248</v>
      </c>
    </row>
    <row r="1197" spans="1:37" hidden="1" x14ac:dyDescent="0.25">
      <c r="A1197" t="str">
        <f t="shared" si="18"/>
        <v>2022_WA_Deepdale_Chickpea_SatelliteTOS1VarietyCBA_CaptainWaterTrtRainFed</v>
      </c>
      <c r="B1197" s="2">
        <v>2022008</v>
      </c>
      <c r="C1197" s="3" t="s">
        <v>1163</v>
      </c>
      <c r="D1197" s="3" t="s">
        <v>248</v>
      </c>
      <c r="F1197" s="3" t="s">
        <v>249</v>
      </c>
      <c r="G1197" s="3" t="s">
        <v>43</v>
      </c>
      <c r="H1197" s="3" t="s">
        <v>253</v>
      </c>
      <c r="I1197" s="2">
        <v>102</v>
      </c>
      <c r="J1197" s="2">
        <v>102</v>
      </c>
      <c r="K1197" s="2">
        <v>4</v>
      </c>
      <c r="O1197" s="2">
        <v>13</v>
      </c>
      <c r="U1197" s="2">
        <v>2</v>
      </c>
      <c r="V1197" s="2">
        <v>57</v>
      </c>
      <c r="W1197" s="2">
        <v>2</v>
      </c>
      <c r="X1197" s="2">
        <v>26</v>
      </c>
      <c r="Z1197" s="2">
        <v>103</v>
      </c>
      <c r="AA1197" s="3" t="s">
        <v>40</v>
      </c>
      <c r="AB1197" s="2">
        <v>1</v>
      </c>
      <c r="AF1197" s="2">
        <v>22</v>
      </c>
      <c r="AG1197" s="2">
        <v>1</v>
      </c>
      <c r="AH1197" s="3" t="s">
        <v>1184</v>
      </c>
      <c r="AI1197" s="4">
        <v>44664</v>
      </c>
      <c r="AJ1197" s="3" t="s">
        <v>1271</v>
      </c>
      <c r="AK1197" s="3" t="s">
        <v>248</v>
      </c>
    </row>
    <row r="1198" spans="1:37" hidden="1" x14ac:dyDescent="0.25">
      <c r="A1198" t="str">
        <f t="shared" si="18"/>
        <v>2022_WA_Deepdale_Chickpea_SatelliteTOS1VarietyCBA_CaptainWaterTrtRainFed</v>
      </c>
      <c r="B1198" s="2">
        <v>2022008</v>
      </c>
      <c r="C1198" s="3" t="s">
        <v>1163</v>
      </c>
      <c r="D1198" s="3" t="s">
        <v>248</v>
      </c>
      <c r="F1198" s="3" t="s">
        <v>249</v>
      </c>
      <c r="G1198" s="3" t="s">
        <v>43</v>
      </c>
      <c r="H1198" s="3" t="s">
        <v>250</v>
      </c>
      <c r="I1198" s="2">
        <v>103</v>
      </c>
      <c r="J1198" s="2">
        <v>103</v>
      </c>
      <c r="K1198" s="2">
        <v>4</v>
      </c>
      <c r="O1198" s="2">
        <v>13</v>
      </c>
      <c r="U1198" s="2">
        <v>3</v>
      </c>
      <c r="V1198" s="2">
        <v>57</v>
      </c>
      <c r="W1198" s="2">
        <v>3</v>
      </c>
      <c r="X1198" s="2">
        <v>26</v>
      </c>
      <c r="Z1198" s="2">
        <v>102</v>
      </c>
      <c r="AA1198" s="3" t="s">
        <v>40</v>
      </c>
      <c r="AB1198" s="2">
        <v>7</v>
      </c>
      <c r="AF1198" s="2">
        <v>22</v>
      </c>
      <c r="AG1198" s="2">
        <v>1</v>
      </c>
      <c r="AH1198" s="3" t="s">
        <v>1184</v>
      </c>
      <c r="AI1198" s="4">
        <v>44664</v>
      </c>
      <c r="AJ1198" s="3" t="s">
        <v>1272</v>
      </c>
      <c r="AK1198" s="3" t="s">
        <v>248</v>
      </c>
    </row>
    <row r="1199" spans="1:37" hidden="1" x14ac:dyDescent="0.25">
      <c r="A1199" t="str">
        <f t="shared" si="18"/>
        <v>2022_WA_Deepdale_Chickpea_SatelliteTOS1VarietyD11006_13F3HRMT4PR0004WaterTrtRainFed</v>
      </c>
      <c r="B1199" s="2">
        <v>2022008</v>
      </c>
      <c r="C1199" s="3" t="s">
        <v>1163</v>
      </c>
      <c r="D1199" s="3" t="s">
        <v>248</v>
      </c>
      <c r="F1199" s="3" t="s">
        <v>1166</v>
      </c>
      <c r="G1199" s="3" t="s">
        <v>39</v>
      </c>
      <c r="H1199" s="3" t="s">
        <v>253</v>
      </c>
      <c r="I1199" s="2">
        <v>104</v>
      </c>
      <c r="J1199" s="2">
        <v>104</v>
      </c>
      <c r="K1199" s="2">
        <v>4</v>
      </c>
      <c r="O1199" s="2">
        <v>13</v>
      </c>
      <c r="U1199" s="2">
        <v>4</v>
      </c>
      <c r="V1199" s="2">
        <v>57</v>
      </c>
      <c r="W1199" s="2">
        <v>4</v>
      </c>
      <c r="X1199" s="2">
        <v>26</v>
      </c>
      <c r="Z1199" s="2">
        <v>101</v>
      </c>
      <c r="AA1199" s="3" t="s">
        <v>40</v>
      </c>
      <c r="AB1199" s="2">
        <v>5</v>
      </c>
      <c r="AF1199" s="2">
        <v>22</v>
      </c>
      <c r="AG1199" s="2">
        <v>1</v>
      </c>
      <c r="AH1199" s="3" t="s">
        <v>1184</v>
      </c>
      <c r="AI1199" s="4">
        <v>44664</v>
      </c>
      <c r="AJ1199" s="3" t="s">
        <v>1273</v>
      </c>
      <c r="AK1199" s="3" t="s">
        <v>248</v>
      </c>
    </row>
    <row r="1200" spans="1:37" hidden="1" x14ac:dyDescent="0.25">
      <c r="A1200" t="str">
        <f t="shared" si="18"/>
        <v>2022_WA_Deepdale_Chickpea_SatelliteTOS2VarietyHatTrickWaterTrtRainFed</v>
      </c>
      <c r="B1200" s="2">
        <v>2022008</v>
      </c>
      <c r="C1200" s="3" t="s">
        <v>1163</v>
      </c>
      <c r="D1200" s="3" t="s">
        <v>248</v>
      </c>
      <c r="F1200" s="3" t="s">
        <v>4178</v>
      </c>
      <c r="G1200" s="3" t="s">
        <v>39</v>
      </c>
      <c r="H1200" s="3" t="s">
        <v>253</v>
      </c>
      <c r="I1200" s="2">
        <v>105</v>
      </c>
      <c r="J1200" s="2">
        <v>105</v>
      </c>
      <c r="K1200" s="2">
        <v>4</v>
      </c>
      <c r="O1200" s="2">
        <v>14</v>
      </c>
      <c r="U1200" s="2">
        <v>1</v>
      </c>
      <c r="V1200" s="2">
        <v>60</v>
      </c>
      <c r="W1200" s="2">
        <v>1</v>
      </c>
      <c r="X1200" s="2">
        <v>27</v>
      </c>
      <c r="Z1200" s="2">
        <v>105</v>
      </c>
      <c r="AA1200" s="3" t="s">
        <v>40</v>
      </c>
      <c r="AB1200" s="2">
        <v>3</v>
      </c>
      <c r="AF1200" s="2">
        <v>22</v>
      </c>
      <c r="AG1200" s="2">
        <v>2</v>
      </c>
      <c r="AH1200" s="3" t="s">
        <v>1193</v>
      </c>
      <c r="AI1200" s="4">
        <v>44677</v>
      </c>
      <c r="AJ1200" s="3" t="s">
        <v>1274</v>
      </c>
      <c r="AK1200" s="3" t="s">
        <v>248</v>
      </c>
    </row>
    <row r="1201" spans="1:37" hidden="1" x14ac:dyDescent="0.25">
      <c r="A1201" t="str">
        <f t="shared" si="18"/>
        <v>2022_WA_Deepdale_Chickpea_SatelliteTOS2VarietyCBA_CaptainWaterTrtRainFed</v>
      </c>
      <c r="B1201" s="2">
        <v>2022008</v>
      </c>
      <c r="C1201" s="3" t="s">
        <v>1163</v>
      </c>
      <c r="D1201" s="3" t="s">
        <v>248</v>
      </c>
      <c r="F1201" s="3" t="s">
        <v>249</v>
      </c>
      <c r="G1201" s="3" t="s">
        <v>43</v>
      </c>
      <c r="H1201" s="3" t="s">
        <v>250</v>
      </c>
      <c r="I1201" s="2">
        <v>106</v>
      </c>
      <c r="J1201" s="2">
        <v>106</v>
      </c>
      <c r="K1201" s="2">
        <v>4</v>
      </c>
      <c r="O1201" s="2">
        <v>14</v>
      </c>
      <c r="U1201" s="2">
        <v>2</v>
      </c>
      <c r="V1201" s="2">
        <v>60</v>
      </c>
      <c r="W1201" s="2">
        <v>2</v>
      </c>
      <c r="X1201" s="2">
        <v>27</v>
      </c>
      <c r="Z1201" s="2">
        <v>106</v>
      </c>
      <c r="AA1201" s="3" t="s">
        <v>40</v>
      </c>
      <c r="AB1201" s="2">
        <v>7</v>
      </c>
      <c r="AF1201" s="2">
        <v>22</v>
      </c>
      <c r="AG1201" s="2">
        <v>2</v>
      </c>
      <c r="AH1201" s="3" t="s">
        <v>1193</v>
      </c>
      <c r="AI1201" s="4">
        <v>44677</v>
      </c>
      <c r="AJ1201" s="3" t="s">
        <v>1275</v>
      </c>
      <c r="AK1201" s="3" t="s">
        <v>248</v>
      </c>
    </row>
    <row r="1202" spans="1:37" hidden="1" x14ac:dyDescent="0.25">
      <c r="A1202" t="str">
        <f t="shared" si="18"/>
        <v>2022_WA_Deepdale_Chickpea_SatelliteTOS2VarietyDrummondWaterTrtRainFed</v>
      </c>
      <c r="B1202" s="2">
        <v>2022008</v>
      </c>
      <c r="C1202" s="3" t="s">
        <v>1163</v>
      </c>
      <c r="D1202" s="3" t="s">
        <v>248</v>
      </c>
      <c r="F1202" s="3" t="s">
        <v>4182</v>
      </c>
      <c r="G1202" s="3" t="s">
        <v>39</v>
      </c>
      <c r="H1202" s="3" t="s">
        <v>253</v>
      </c>
      <c r="I1202" s="2">
        <v>107</v>
      </c>
      <c r="J1202" s="2">
        <v>107</v>
      </c>
      <c r="K1202" s="2">
        <v>4</v>
      </c>
      <c r="O1202" s="2">
        <v>14</v>
      </c>
      <c r="U1202" s="2">
        <v>3</v>
      </c>
      <c r="V1202" s="2">
        <v>60</v>
      </c>
      <c r="W1202" s="2">
        <v>3</v>
      </c>
      <c r="X1202" s="2">
        <v>27</v>
      </c>
      <c r="Z1202" s="2">
        <v>107</v>
      </c>
      <c r="AA1202" s="3" t="s">
        <v>40</v>
      </c>
      <c r="AB1202" s="2">
        <v>4</v>
      </c>
      <c r="AF1202" s="2">
        <v>22</v>
      </c>
      <c r="AG1202" s="2">
        <v>2</v>
      </c>
      <c r="AH1202" s="3" t="s">
        <v>1193</v>
      </c>
      <c r="AI1202" s="4">
        <v>44677</v>
      </c>
      <c r="AJ1202" s="3" t="s">
        <v>1276</v>
      </c>
      <c r="AK1202" s="3" t="s">
        <v>248</v>
      </c>
    </row>
    <row r="1203" spans="1:37" hidden="1" x14ac:dyDescent="0.25">
      <c r="A1203" t="str">
        <f t="shared" si="18"/>
        <v>2022_WA_Deepdale_Chickpea_SatelliteTOS2VarietyCBA_CaptainWaterTrtRainFed</v>
      </c>
      <c r="B1203" s="2">
        <v>2022008</v>
      </c>
      <c r="C1203" s="3" t="s">
        <v>1163</v>
      </c>
      <c r="D1203" s="3" t="s">
        <v>248</v>
      </c>
      <c r="F1203" s="3" t="s">
        <v>249</v>
      </c>
      <c r="G1203" s="3" t="s">
        <v>43</v>
      </c>
      <c r="H1203" s="3" t="s">
        <v>253</v>
      </c>
      <c r="I1203" s="2">
        <v>108</v>
      </c>
      <c r="J1203" s="2">
        <v>108</v>
      </c>
      <c r="K1203" s="2">
        <v>4</v>
      </c>
      <c r="O1203" s="2">
        <v>14</v>
      </c>
      <c r="U1203" s="2">
        <v>4</v>
      </c>
      <c r="V1203" s="2">
        <v>60</v>
      </c>
      <c r="W1203" s="2">
        <v>4</v>
      </c>
      <c r="X1203" s="2">
        <v>27</v>
      </c>
      <c r="Z1203" s="2">
        <v>108</v>
      </c>
      <c r="AA1203" s="3" t="s">
        <v>40</v>
      </c>
      <c r="AB1203" s="2">
        <v>1</v>
      </c>
      <c r="AF1203" s="2">
        <v>22</v>
      </c>
      <c r="AG1203" s="2">
        <v>2</v>
      </c>
      <c r="AH1203" s="3" t="s">
        <v>1193</v>
      </c>
      <c r="AI1203" s="4">
        <v>44677</v>
      </c>
      <c r="AJ1203" s="3" t="s">
        <v>1277</v>
      </c>
      <c r="AK1203" s="3" t="s">
        <v>248</v>
      </c>
    </row>
    <row r="1204" spans="1:37" hidden="1" x14ac:dyDescent="0.25">
      <c r="A1204" t="str">
        <f t="shared" si="18"/>
        <v>2022_WA_Deepdale_Chickpea_SatelliteTOS2VarietyStrikerWaterTrtRainFed</v>
      </c>
      <c r="B1204" s="2">
        <v>2022008</v>
      </c>
      <c r="C1204" s="3" t="s">
        <v>1163</v>
      </c>
      <c r="D1204" s="3" t="s">
        <v>248</v>
      </c>
      <c r="F1204" s="3" t="s">
        <v>4179</v>
      </c>
      <c r="G1204" s="3" t="s">
        <v>43</v>
      </c>
      <c r="H1204" s="3" t="s">
        <v>253</v>
      </c>
      <c r="I1204" s="2">
        <v>109</v>
      </c>
      <c r="J1204" s="2">
        <v>109</v>
      </c>
      <c r="K1204" s="2">
        <v>4</v>
      </c>
      <c r="O1204" s="2">
        <v>14</v>
      </c>
      <c r="U1204" s="2">
        <v>1</v>
      </c>
      <c r="V1204" s="2">
        <v>61</v>
      </c>
      <c r="W1204" s="2">
        <v>1</v>
      </c>
      <c r="X1204" s="2">
        <v>28</v>
      </c>
      <c r="Z1204" s="2">
        <v>112</v>
      </c>
      <c r="AA1204" s="3" t="s">
        <v>40</v>
      </c>
      <c r="AB1204" s="2">
        <v>2</v>
      </c>
      <c r="AF1204" s="2">
        <v>22</v>
      </c>
      <c r="AG1204" s="2">
        <v>2</v>
      </c>
      <c r="AH1204" s="3" t="s">
        <v>1193</v>
      </c>
      <c r="AI1204" s="4">
        <v>44677</v>
      </c>
      <c r="AJ1204" s="3" t="s">
        <v>1278</v>
      </c>
      <c r="AK1204" s="3" t="s">
        <v>248</v>
      </c>
    </row>
    <row r="1205" spans="1:37" hidden="1" x14ac:dyDescent="0.25">
      <c r="A1205" t="str">
        <f t="shared" si="18"/>
        <v>2022_WA_Deepdale_Chickpea_SatelliteTOS2VarietyD11006_13F3HRMT4PR0004WaterTrtRainFed</v>
      </c>
      <c r="B1205" s="2">
        <v>2022008</v>
      </c>
      <c r="C1205" s="3" t="s">
        <v>1163</v>
      </c>
      <c r="D1205" s="3" t="s">
        <v>248</v>
      </c>
      <c r="F1205" s="3" t="s">
        <v>1166</v>
      </c>
      <c r="G1205" s="3" t="s">
        <v>39</v>
      </c>
      <c r="H1205" s="3" t="s">
        <v>253</v>
      </c>
      <c r="I1205" s="2">
        <v>110</v>
      </c>
      <c r="J1205" s="2">
        <v>110</v>
      </c>
      <c r="K1205" s="2">
        <v>4</v>
      </c>
      <c r="O1205" s="2">
        <v>14</v>
      </c>
      <c r="U1205" s="2">
        <v>2</v>
      </c>
      <c r="V1205" s="2">
        <v>61</v>
      </c>
      <c r="W1205" s="2">
        <v>2</v>
      </c>
      <c r="X1205" s="2">
        <v>28</v>
      </c>
      <c r="Z1205" s="2">
        <v>111</v>
      </c>
      <c r="AA1205" s="3" t="s">
        <v>40</v>
      </c>
      <c r="AB1205" s="2">
        <v>5</v>
      </c>
      <c r="AF1205" s="2">
        <v>22</v>
      </c>
      <c r="AG1205" s="2">
        <v>2</v>
      </c>
      <c r="AH1205" s="3" t="s">
        <v>1193</v>
      </c>
      <c r="AI1205" s="4">
        <v>44677</v>
      </c>
      <c r="AJ1205" s="3" t="s">
        <v>1279</v>
      </c>
      <c r="AK1205" s="3" t="s">
        <v>248</v>
      </c>
    </row>
    <row r="1206" spans="1:37" hidden="1" x14ac:dyDescent="0.25">
      <c r="A1206" t="str">
        <f t="shared" si="18"/>
        <v>2022_WA_Deepdale_Chickpea_SatelliteTOS2VarietyGenesis_090WaterTrtRainFed</v>
      </c>
      <c r="B1206" s="2">
        <v>2022008</v>
      </c>
      <c r="C1206" s="3" t="s">
        <v>1163</v>
      </c>
      <c r="D1206" s="3" t="s">
        <v>248</v>
      </c>
      <c r="F1206" s="3" t="s">
        <v>192</v>
      </c>
      <c r="G1206" s="3" t="s">
        <v>39</v>
      </c>
      <c r="H1206" s="3" t="s">
        <v>250</v>
      </c>
      <c r="I1206" s="2">
        <v>111</v>
      </c>
      <c r="J1206" s="2">
        <v>111</v>
      </c>
      <c r="K1206" s="2">
        <v>4</v>
      </c>
      <c r="O1206" s="2">
        <v>14</v>
      </c>
      <c r="U1206" s="2">
        <v>3</v>
      </c>
      <c r="V1206" s="2">
        <v>61</v>
      </c>
      <c r="W1206" s="2">
        <v>3</v>
      </c>
      <c r="X1206" s="2">
        <v>28</v>
      </c>
      <c r="Z1206" s="2">
        <v>110</v>
      </c>
      <c r="AA1206" s="3" t="s">
        <v>40</v>
      </c>
      <c r="AB1206" s="2">
        <v>8</v>
      </c>
      <c r="AF1206" s="2">
        <v>22</v>
      </c>
      <c r="AG1206" s="2">
        <v>2</v>
      </c>
      <c r="AH1206" s="3" t="s">
        <v>1193</v>
      </c>
      <c r="AI1206" s="4">
        <v>44677</v>
      </c>
      <c r="AJ1206" s="3" t="s">
        <v>1280</v>
      </c>
      <c r="AK1206" s="3" t="s">
        <v>248</v>
      </c>
    </row>
    <row r="1207" spans="1:37" hidden="1" x14ac:dyDescent="0.25">
      <c r="A1207" t="str">
        <f t="shared" si="18"/>
        <v>2022_WA_Deepdale_Chickpea_SatelliteTOS2VarietyD12014_14F3TMWR2AB001WaterTrtRainFed</v>
      </c>
      <c r="B1207" s="2">
        <v>2022008</v>
      </c>
      <c r="C1207" s="3" t="s">
        <v>1163</v>
      </c>
      <c r="D1207" s="3" t="s">
        <v>248</v>
      </c>
      <c r="F1207" s="3" t="s">
        <v>1170</v>
      </c>
      <c r="G1207" s="3" t="s">
        <v>39</v>
      </c>
      <c r="H1207" s="3" t="s">
        <v>253</v>
      </c>
      <c r="I1207" s="2">
        <v>112</v>
      </c>
      <c r="J1207" s="2">
        <v>112</v>
      </c>
      <c r="K1207" s="2">
        <v>4</v>
      </c>
      <c r="O1207" s="2">
        <v>14</v>
      </c>
      <c r="U1207" s="2">
        <v>4</v>
      </c>
      <c r="V1207" s="2">
        <v>61</v>
      </c>
      <c r="W1207" s="2">
        <v>4</v>
      </c>
      <c r="X1207" s="2">
        <v>28</v>
      </c>
      <c r="Z1207" s="2">
        <v>109</v>
      </c>
      <c r="AA1207" s="3" t="s">
        <v>40</v>
      </c>
      <c r="AB1207" s="2">
        <v>6</v>
      </c>
      <c r="AF1207" s="2">
        <v>22</v>
      </c>
      <c r="AG1207" s="2">
        <v>2</v>
      </c>
      <c r="AH1207" s="3" t="s">
        <v>1193</v>
      </c>
      <c r="AI1207" s="4">
        <v>44677</v>
      </c>
      <c r="AJ1207" s="3" t="s">
        <v>1281</v>
      </c>
      <c r="AK1207" s="3" t="s">
        <v>248</v>
      </c>
    </row>
    <row r="1208" spans="1:37" hidden="1" x14ac:dyDescent="0.25">
      <c r="A1208" t="str">
        <f t="shared" si="18"/>
        <v>2022_WA_Deepdale_Chickpea_SatelliteTOS4VarietyD11006_13F3HRMT4PR0004WaterTrtRainFed</v>
      </c>
      <c r="B1208" s="2">
        <v>2022008</v>
      </c>
      <c r="C1208" s="3" t="s">
        <v>1163</v>
      </c>
      <c r="D1208" s="3" t="s">
        <v>248</v>
      </c>
      <c r="F1208" s="3" t="s">
        <v>1166</v>
      </c>
      <c r="G1208" s="3" t="s">
        <v>39</v>
      </c>
      <c r="H1208" s="3" t="s">
        <v>253</v>
      </c>
      <c r="I1208" s="2">
        <v>113</v>
      </c>
      <c r="J1208" s="2">
        <v>113</v>
      </c>
      <c r="K1208" s="2">
        <v>4</v>
      </c>
      <c r="O1208" s="2">
        <v>15</v>
      </c>
      <c r="U1208" s="2">
        <v>1</v>
      </c>
      <c r="V1208" s="2">
        <v>64</v>
      </c>
      <c r="W1208" s="2">
        <v>1</v>
      </c>
      <c r="X1208" s="2">
        <v>29</v>
      </c>
      <c r="Z1208" s="2">
        <v>113</v>
      </c>
      <c r="AA1208" s="3" t="s">
        <v>40</v>
      </c>
      <c r="AB1208" s="2">
        <v>5</v>
      </c>
      <c r="AF1208" s="2">
        <v>22</v>
      </c>
      <c r="AG1208" s="2">
        <v>4</v>
      </c>
      <c r="AH1208" s="3" t="s">
        <v>1164</v>
      </c>
      <c r="AI1208" s="4">
        <v>44708</v>
      </c>
      <c r="AJ1208" s="3" t="s">
        <v>1282</v>
      </c>
      <c r="AK1208" s="3" t="s">
        <v>248</v>
      </c>
    </row>
    <row r="1209" spans="1:37" hidden="1" x14ac:dyDescent="0.25">
      <c r="A1209" t="str">
        <f t="shared" si="18"/>
        <v>2022_WA_Deepdale_Chickpea_SatelliteTOS4VarietyStrikerWaterTrtRainFed</v>
      </c>
      <c r="B1209" s="2">
        <v>2022008</v>
      </c>
      <c r="C1209" s="3" t="s">
        <v>1163</v>
      </c>
      <c r="D1209" s="3" t="s">
        <v>248</v>
      </c>
      <c r="F1209" s="3" t="s">
        <v>4179</v>
      </c>
      <c r="G1209" s="3" t="s">
        <v>43</v>
      </c>
      <c r="H1209" s="3" t="s">
        <v>253</v>
      </c>
      <c r="I1209" s="2">
        <v>114</v>
      </c>
      <c r="J1209" s="2">
        <v>114</v>
      </c>
      <c r="K1209" s="2">
        <v>4</v>
      </c>
      <c r="O1209" s="2">
        <v>15</v>
      </c>
      <c r="U1209" s="2">
        <v>2</v>
      </c>
      <c r="V1209" s="2">
        <v>64</v>
      </c>
      <c r="W1209" s="2">
        <v>2</v>
      </c>
      <c r="X1209" s="2">
        <v>29</v>
      </c>
      <c r="Z1209" s="2">
        <v>114</v>
      </c>
      <c r="AA1209" s="3" t="s">
        <v>40</v>
      </c>
      <c r="AB1209" s="2">
        <v>2</v>
      </c>
      <c r="AF1209" s="2">
        <v>22</v>
      </c>
      <c r="AG1209" s="2">
        <v>4</v>
      </c>
      <c r="AH1209" s="3" t="s">
        <v>1164</v>
      </c>
      <c r="AI1209" s="4">
        <v>44708</v>
      </c>
      <c r="AJ1209" s="3" t="s">
        <v>1283</v>
      </c>
      <c r="AK1209" s="3" t="s">
        <v>248</v>
      </c>
    </row>
    <row r="1210" spans="1:37" hidden="1" x14ac:dyDescent="0.25">
      <c r="A1210" t="str">
        <f t="shared" si="18"/>
        <v>2022_WA_Deepdale_Chickpea_SatelliteTOS4VarietyD12014_14F3TMWR2AB001WaterTrtRainFed</v>
      </c>
      <c r="B1210" s="2">
        <v>2022008</v>
      </c>
      <c r="C1210" s="3" t="s">
        <v>1163</v>
      </c>
      <c r="D1210" s="3" t="s">
        <v>248</v>
      </c>
      <c r="F1210" s="3" t="s">
        <v>1170</v>
      </c>
      <c r="G1210" s="3" t="s">
        <v>39</v>
      </c>
      <c r="H1210" s="3" t="s">
        <v>253</v>
      </c>
      <c r="I1210" s="2">
        <v>115</v>
      </c>
      <c r="J1210" s="2">
        <v>115</v>
      </c>
      <c r="K1210" s="2">
        <v>4</v>
      </c>
      <c r="O1210" s="2">
        <v>15</v>
      </c>
      <c r="U1210" s="2">
        <v>3</v>
      </c>
      <c r="V1210" s="2">
        <v>64</v>
      </c>
      <c r="W1210" s="2">
        <v>3</v>
      </c>
      <c r="X1210" s="2">
        <v>29</v>
      </c>
      <c r="Z1210" s="2">
        <v>115</v>
      </c>
      <c r="AA1210" s="3" t="s">
        <v>40</v>
      </c>
      <c r="AB1210" s="2">
        <v>6</v>
      </c>
      <c r="AF1210" s="2">
        <v>22</v>
      </c>
      <c r="AG1210" s="2">
        <v>4</v>
      </c>
      <c r="AH1210" s="3" t="s">
        <v>1164</v>
      </c>
      <c r="AI1210" s="4">
        <v>44708</v>
      </c>
      <c r="AJ1210" s="3" t="s">
        <v>1284</v>
      </c>
      <c r="AK1210" s="3" t="s">
        <v>248</v>
      </c>
    </row>
    <row r="1211" spans="1:37" hidden="1" x14ac:dyDescent="0.25">
      <c r="A1211" t="str">
        <f t="shared" si="18"/>
        <v>2022_WA_Deepdale_Chickpea_SatelliteTOS4VarietyGenesis_090WaterTrtRainFed</v>
      </c>
      <c r="B1211" s="2">
        <v>2022008</v>
      </c>
      <c r="C1211" s="3" t="s">
        <v>1163</v>
      </c>
      <c r="D1211" s="3" t="s">
        <v>248</v>
      </c>
      <c r="F1211" s="3" t="s">
        <v>192</v>
      </c>
      <c r="G1211" s="3" t="s">
        <v>39</v>
      </c>
      <c r="H1211" s="3" t="s">
        <v>250</v>
      </c>
      <c r="I1211" s="2">
        <v>116</v>
      </c>
      <c r="J1211" s="2">
        <v>116</v>
      </c>
      <c r="K1211" s="2">
        <v>4</v>
      </c>
      <c r="O1211" s="2">
        <v>15</v>
      </c>
      <c r="U1211" s="2">
        <v>4</v>
      </c>
      <c r="V1211" s="2">
        <v>64</v>
      </c>
      <c r="W1211" s="2">
        <v>4</v>
      </c>
      <c r="X1211" s="2">
        <v>29</v>
      </c>
      <c r="Z1211" s="2">
        <v>116</v>
      </c>
      <c r="AA1211" s="3" t="s">
        <v>40</v>
      </c>
      <c r="AB1211" s="2">
        <v>8</v>
      </c>
      <c r="AF1211" s="2">
        <v>22</v>
      </c>
      <c r="AG1211" s="2">
        <v>4</v>
      </c>
      <c r="AH1211" s="3" t="s">
        <v>1164</v>
      </c>
      <c r="AI1211" s="4">
        <v>44708</v>
      </c>
      <c r="AJ1211" s="3" t="s">
        <v>1285</v>
      </c>
      <c r="AK1211" s="3" t="s">
        <v>248</v>
      </c>
    </row>
    <row r="1212" spans="1:37" hidden="1" x14ac:dyDescent="0.25">
      <c r="A1212" t="str">
        <f t="shared" si="18"/>
        <v>2022_WA_Deepdale_Chickpea_SatelliteTOS4VarietyDrummondWaterTrtRainFed</v>
      </c>
      <c r="B1212" s="2">
        <v>2022008</v>
      </c>
      <c r="C1212" s="3" t="s">
        <v>1163</v>
      </c>
      <c r="D1212" s="3" t="s">
        <v>248</v>
      </c>
      <c r="F1212" s="3" t="s">
        <v>4182</v>
      </c>
      <c r="G1212" s="3" t="s">
        <v>39</v>
      </c>
      <c r="H1212" s="3" t="s">
        <v>253</v>
      </c>
      <c r="I1212" s="2">
        <v>117</v>
      </c>
      <c r="J1212" s="2">
        <v>117</v>
      </c>
      <c r="K1212" s="2">
        <v>4</v>
      </c>
      <c r="O1212" s="2">
        <v>15</v>
      </c>
      <c r="U1212" s="2">
        <v>1</v>
      </c>
      <c r="V1212" s="2">
        <v>65</v>
      </c>
      <c r="W1212" s="2">
        <v>1</v>
      </c>
      <c r="X1212" s="2">
        <v>30</v>
      </c>
      <c r="Z1212" s="2">
        <v>120</v>
      </c>
      <c r="AA1212" s="3" t="s">
        <v>40</v>
      </c>
      <c r="AB1212" s="2">
        <v>4</v>
      </c>
      <c r="AF1212" s="2">
        <v>22</v>
      </c>
      <c r="AG1212" s="2">
        <v>4</v>
      </c>
      <c r="AH1212" s="3" t="s">
        <v>1164</v>
      </c>
      <c r="AI1212" s="4">
        <v>44708</v>
      </c>
      <c r="AJ1212" s="3" t="s">
        <v>1286</v>
      </c>
      <c r="AK1212" s="3" t="s">
        <v>248</v>
      </c>
    </row>
    <row r="1213" spans="1:37" hidden="1" x14ac:dyDescent="0.25">
      <c r="A1213" t="str">
        <f t="shared" si="18"/>
        <v>2022_WA_Deepdale_Chickpea_SatelliteTOS4VarietyHatTrickWaterTrtRainFed</v>
      </c>
      <c r="B1213" s="2">
        <v>2022008</v>
      </c>
      <c r="C1213" s="3" t="s">
        <v>1163</v>
      </c>
      <c r="D1213" s="3" t="s">
        <v>248</v>
      </c>
      <c r="F1213" s="3" t="s">
        <v>4178</v>
      </c>
      <c r="G1213" s="3" t="s">
        <v>39</v>
      </c>
      <c r="H1213" s="3" t="s">
        <v>253</v>
      </c>
      <c r="I1213" s="2">
        <v>118</v>
      </c>
      <c r="J1213" s="2">
        <v>118</v>
      </c>
      <c r="K1213" s="2">
        <v>4</v>
      </c>
      <c r="O1213" s="2">
        <v>15</v>
      </c>
      <c r="U1213" s="2">
        <v>2</v>
      </c>
      <c r="V1213" s="2">
        <v>65</v>
      </c>
      <c r="W1213" s="2">
        <v>2</v>
      </c>
      <c r="X1213" s="2">
        <v>30</v>
      </c>
      <c r="Z1213" s="2">
        <v>119</v>
      </c>
      <c r="AA1213" s="3" t="s">
        <v>40</v>
      </c>
      <c r="AB1213" s="2">
        <v>3</v>
      </c>
      <c r="AF1213" s="2">
        <v>22</v>
      </c>
      <c r="AG1213" s="2">
        <v>4</v>
      </c>
      <c r="AH1213" s="3" t="s">
        <v>1164</v>
      </c>
      <c r="AI1213" s="4">
        <v>44708</v>
      </c>
      <c r="AJ1213" s="3" t="s">
        <v>1287</v>
      </c>
      <c r="AK1213" s="3" t="s">
        <v>248</v>
      </c>
    </row>
    <row r="1214" spans="1:37" hidden="1" x14ac:dyDescent="0.25">
      <c r="A1214" t="str">
        <f t="shared" si="18"/>
        <v>2022_WA_Deepdale_Chickpea_SatelliteTOS4VarietyCBA_CaptainWaterTrtRainFed</v>
      </c>
      <c r="B1214" s="2">
        <v>2022008</v>
      </c>
      <c r="C1214" s="3" t="s">
        <v>1163</v>
      </c>
      <c r="D1214" s="3" t="s">
        <v>248</v>
      </c>
      <c r="F1214" s="3" t="s">
        <v>249</v>
      </c>
      <c r="G1214" s="3" t="s">
        <v>43</v>
      </c>
      <c r="H1214" s="3" t="s">
        <v>253</v>
      </c>
      <c r="I1214" s="2">
        <v>119</v>
      </c>
      <c r="J1214" s="2">
        <v>119</v>
      </c>
      <c r="K1214" s="2">
        <v>4</v>
      </c>
      <c r="O1214" s="2">
        <v>15</v>
      </c>
      <c r="U1214" s="2">
        <v>3</v>
      </c>
      <c r="V1214" s="2">
        <v>65</v>
      </c>
      <c r="W1214" s="2">
        <v>3</v>
      </c>
      <c r="X1214" s="2">
        <v>30</v>
      </c>
      <c r="Z1214" s="2">
        <v>118</v>
      </c>
      <c r="AA1214" s="3" t="s">
        <v>40</v>
      </c>
      <c r="AB1214" s="2">
        <v>1</v>
      </c>
      <c r="AF1214" s="2">
        <v>22</v>
      </c>
      <c r="AG1214" s="2">
        <v>4</v>
      </c>
      <c r="AH1214" s="3" t="s">
        <v>1164</v>
      </c>
      <c r="AI1214" s="4">
        <v>44708</v>
      </c>
      <c r="AJ1214" s="3" t="s">
        <v>1288</v>
      </c>
      <c r="AK1214" s="3" t="s">
        <v>248</v>
      </c>
    </row>
    <row r="1215" spans="1:37" hidden="1" x14ac:dyDescent="0.25">
      <c r="A1215" t="str">
        <f t="shared" si="18"/>
        <v>2022_WA_Deepdale_Chickpea_SatelliteTOS4VarietyCBA_CaptainWaterTrtRainFed</v>
      </c>
      <c r="B1215" s="2">
        <v>2022008</v>
      </c>
      <c r="C1215" s="3" t="s">
        <v>1163</v>
      </c>
      <c r="D1215" s="3" t="s">
        <v>248</v>
      </c>
      <c r="F1215" s="3" t="s">
        <v>249</v>
      </c>
      <c r="G1215" s="3" t="s">
        <v>43</v>
      </c>
      <c r="H1215" s="3" t="s">
        <v>250</v>
      </c>
      <c r="I1215" s="2">
        <v>120</v>
      </c>
      <c r="J1215" s="2">
        <v>120</v>
      </c>
      <c r="K1215" s="2">
        <v>4</v>
      </c>
      <c r="O1215" s="2">
        <v>15</v>
      </c>
      <c r="U1215" s="2">
        <v>4</v>
      </c>
      <c r="V1215" s="2">
        <v>65</v>
      </c>
      <c r="W1215" s="2">
        <v>4</v>
      </c>
      <c r="X1215" s="2">
        <v>30</v>
      </c>
      <c r="Z1215" s="2">
        <v>117</v>
      </c>
      <c r="AA1215" s="3" t="s">
        <v>40</v>
      </c>
      <c r="AB1215" s="2">
        <v>7</v>
      </c>
      <c r="AF1215" s="2">
        <v>22</v>
      </c>
      <c r="AG1215" s="2">
        <v>4</v>
      </c>
      <c r="AH1215" s="3" t="s">
        <v>1164</v>
      </c>
      <c r="AI1215" s="4">
        <v>44708</v>
      </c>
      <c r="AJ1215" s="3" t="s">
        <v>1289</v>
      </c>
      <c r="AK1215" s="3" t="s">
        <v>248</v>
      </c>
    </row>
    <row r="1216" spans="1:37" hidden="1" x14ac:dyDescent="0.25">
      <c r="A1216" t="str">
        <f t="shared" si="18"/>
        <v>2022_WA_Deepdale_Chickpea_SatelliteTOS3VarietyCBA_CaptainWaterTrtRainFed</v>
      </c>
      <c r="B1216" s="2">
        <v>2022008</v>
      </c>
      <c r="C1216" s="3" t="s">
        <v>1163</v>
      </c>
      <c r="D1216" s="3" t="s">
        <v>248</v>
      </c>
      <c r="F1216" s="3" t="s">
        <v>249</v>
      </c>
      <c r="G1216" s="3" t="s">
        <v>43</v>
      </c>
      <c r="H1216" s="3" t="s">
        <v>250</v>
      </c>
      <c r="I1216" s="2">
        <v>121</v>
      </c>
      <c r="J1216" s="2">
        <v>121</v>
      </c>
      <c r="K1216" s="2">
        <v>4</v>
      </c>
      <c r="O1216" s="2">
        <v>16</v>
      </c>
      <c r="U1216" s="2">
        <v>1</v>
      </c>
      <c r="V1216" s="2">
        <v>68</v>
      </c>
      <c r="W1216" s="2">
        <v>1</v>
      </c>
      <c r="X1216" s="2">
        <v>31</v>
      </c>
      <c r="Z1216" s="2">
        <v>121</v>
      </c>
      <c r="AA1216" s="3" t="s">
        <v>40</v>
      </c>
      <c r="AB1216" s="2">
        <v>7</v>
      </c>
      <c r="AF1216" s="2">
        <v>22</v>
      </c>
      <c r="AG1216" s="2">
        <v>3</v>
      </c>
      <c r="AH1216" s="3" t="s">
        <v>1175</v>
      </c>
      <c r="AI1216" s="4">
        <v>44691</v>
      </c>
      <c r="AJ1216" s="3" t="s">
        <v>1290</v>
      </c>
      <c r="AK1216" s="3" t="s">
        <v>248</v>
      </c>
    </row>
    <row r="1217" spans="1:37" hidden="1" x14ac:dyDescent="0.25">
      <c r="A1217" t="str">
        <f t="shared" si="18"/>
        <v>2022_WA_Deepdale_Chickpea_SatelliteTOS3VarietyGenesis_090WaterTrtRainFed</v>
      </c>
      <c r="B1217" s="2">
        <v>2022008</v>
      </c>
      <c r="C1217" s="3" t="s">
        <v>1163</v>
      </c>
      <c r="D1217" s="3" t="s">
        <v>248</v>
      </c>
      <c r="F1217" s="3" t="s">
        <v>192</v>
      </c>
      <c r="G1217" s="3" t="s">
        <v>39</v>
      </c>
      <c r="H1217" s="3" t="s">
        <v>250</v>
      </c>
      <c r="I1217" s="2">
        <v>122</v>
      </c>
      <c r="J1217" s="2">
        <v>122</v>
      </c>
      <c r="K1217" s="2">
        <v>4</v>
      </c>
      <c r="O1217" s="2">
        <v>16</v>
      </c>
      <c r="U1217" s="2">
        <v>2</v>
      </c>
      <c r="V1217" s="2">
        <v>68</v>
      </c>
      <c r="W1217" s="2">
        <v>2</v>
      </c>
      <c r="X1217" s="2">
        <v>31</v>
      </c>
      <c r="Z1217" s="2">
        <v>122</v>
      </c>
      <c r="AA1217" s="3" t="s">
        <v>40</v>
      </c>
      <c r="AB1217" s="2">
        <v>8</v>
      </c>
      <c r="AF1217" s="2">
        <v>22</v>
      </c>
      <c r="AG1217" s="2">
        <v>3</v>
      </c>
      <c r="AH1217" s="3" t="s">
        <v>1175</v>
      </c>
      <c r="AI1217" s="4">
        <v>44691</v>
      </c>
      <c r="AJ1217" s="3" t="s">
        <v>1291</v>
      </c>
      <c r="AK1217" s="3" t="s">
        <v>248</v>
      </c>
    </row>
    <row r="1218" spans="1:37" hidden="1" x14ac:dyDescent="0.25">
      <c r="A1218" t="str">
        <f t="shared" si="18"/>
        <v>2022_WA_Deepdale_Chickpea_SatelliteTOS3VarietyD11006_13F3HRMT4PR0004WaterTrtRainFed</v>
      </c>
      <c r="B1218" s="2">
        <v>2022008</v>
      </c>
      <c r="C1218" s="3" t="s">
        <v>1163</v>
      </c>
      <c r="D1218" s="3" t="s">
        <v>248</v>
      </c>
      <c r="F1218" s="3" t="s">
        <v>1166</v>
      </c>
      <c r="G1218" s="3" t="s">
        <v>39</v>
      </c>
      <c r="H1218" s="3" t="s">
        <v>253</v>
      </c>
      <c r="I1218" s="2">
        <v>123</v>
      </c>
      <c r="J1218" s="2">
        <v>123</v>
      </c>
      <c r="K1218" s="2">
        <v>4</v>
      </c>
      <c r="O1218" s="2">
        <v>16</v>
      </c>
      <c r="U1218" s="2">
        <v>3</v>
      </c>
      <c r="V1218" s="2">
        <v>68</v>
      </c>
      <c r="W1218" s="2">
        <v>3</v>
      </c>
      <c r="X1218" s="2">
        <v>31</v>
      </c>
      <c r="Z1218" s="2">
        <v>123</v>
      </c>
      <c r="AA1218" s="3" t="s">
        <v>40</v>
      </c>
      <c r="AB1218" s="2">
        <v>5</v>
      </c>
      <c r="AF1218" s="2">
        <v>22</v>
      </c>
      <c r="AG1218" s="2">
        <v>3</v>
      </c>
      <c r="AH1218" s="3" t="s">
        <v>1175</v>
      </c>
      <c r="AI1218" s="4">
        <v>44691</v>
      </c>
      <c r="AJ1218" s="3" t="s">
        <v>1292</v>
      </c>
      <c r="AK1218" s="3" t="s">
        <v>248</v>
      </c>
    </row>
    <row r="1219" spans="1:37" hidden="1" x14ac:dyDescent="0.25">
      <c r="A1219" t="str">
        <f t="shared" ref="A1219:A1282" si="19">C1219&amp;"TOS"&amp;AG1219&amp;"Variety"&amp;F1219&amp;"WaterTrt"&amp;AA1219&amp;IF(AC1219="","","Agronomy"&amp;AC1219)</f>
        <v>2022_WA_Deepdale_Chickpea_SatelliteTOS3VarietyDrummondWaterTrtRainFed</v>
      </c>
      <c r="B1219" s="2">
        <v>2022008</v>
      </c>
      <c r="C1219" s="3" t="s">
        <v>1163</v>
      </c>
      <c r="D1219" s="3" t="s">
        <v>248</v>
      </c>
      <c r="F1219" s="3" t="s">
        <v>4182</v>
      </c>
      <c r="G1219" s="3" t="s">
        <v>39</v>
      </c>
      <c r="H1219" s="3" t="s">
        <v>253</v>
      </c>
      <c r="I1219" s="2">
        <v>124</v>
      </c>
      <c r="J1219" s="2">
        <v>124</v>
      </c>
      <c r="K1219" s="2">
        <v>4</v>
      </c>
      <c r="O1219" s="2">
        <v>16</v>
      </c>
      <c r="U1219" s="2">
        <v>4</v>
      </c>
      <c r="V1219" s="2">
        <v>68</v>
      </c>
      <c r="W1219" s="2">
        <v>4</v>
      </c>
      <c r="X1219" s="2">
        <v>31</v>
      </c>
      <c r="Z1219" s="2">
        <v>124</v>
      </c>
      <c r="AA1219" s="3" t="s">
        <v>40</v>
      </c>
      <c r="AB1219" s="2">
        <v>4</v>
      </c>
      <c r="AF1219" s="2">
        <v>22</v>
      </c>
      <c r="AG1219" s="2">
        <v>3</v>
      </c>
      <c r="AH1219" s="3" t="s">
        <v>1175</v>
      </c>
      <c r="AI1219" s="4">
        <v>44691</v>
      </c>
      <c r="AJ1219" s="3" t="s">
        <v>1293</v>
      </c>
      <c r="AK1219" s="3" t="s">
        <v>248</v>
      </c>
    </row>
    <row r="1220" spans="1:37" hidden="1" x14ac:dyDescent="0.25">
      <c r="A1220" t="str">
        <f t="shared" si="19"/>
        <v>2022_WA_Deepdale_Chickpea_SatelliteTOS3VarietyCBA_CaptainWaterTrtRainFed</v>
      </c>
      <c r="B1220" s="2">
        <v>2022008</v>
      </c>
      <c r="C1220" s="3" t="s">
        <v>1163</v>
      </c>
      <c r="D1220" s="3" t="s">
        <v>248</v>
      </c>
      <c r="F1220" s="3" t="s">
        <v>249</v>
      </c>
      <c r="G1220" s="3" t="s">
        <v>43</v>
      </c>
      <c r="H1220" s="3" t="s">
        <v>253</v>
      </c>
      <c r="I1220" s="2">
        <v>125</v>
      </c>
      <c r="J1220" s="2">
        <v>125</v>
      </c>
      <c r="K1220" s="2">
        <v>4</v>
      </c>
      <c r="O1220" s="2">
        <v>16</v>
      </c>
      <c r="U1220" s="2">
        <v>1</v>
      </c>
      <c r="V1220" s="2">
        <v>69</v>
      </c>
      <c r="W1220" s="2">
        <v>1</v>
      </c>
      <c r="X1220" s="2">
        <v>32</v>
      </c>
      <c r="Z1220" s="2">
        <v>128</v>
      </c>
      <c r="AA1220" s="3" t="s">
        <v>40</v>
      </c>
      <c r="AB1220" s="2">
        <v>1</v>
      </c>
      <c r="AF1220" s="2">
        <v>22</v>
      </c>
      <c r="AG1220" s="2">
        <v>3</v>
      </c>
      <c r="AH1220" s="3" t="s">
        <v>1175</v>
      </c>
      <c r="AI1220" s="4">
        <v>44691</v>
      </c>
      <c r="AJ1220" s="3" t="s">
        <v>1294</v>
      </c>
      <c r="AK1220" s="3" t="s">
        <v>248</v>
      </c>
    </row>
    <row r="1221" spans="1:37" hidden="1" x14ac:dyDescent="0.25">
      <c r="A1221" t="str">
        <f t="shared" si="19"/>
        <v>2022_WA_Deepdale_Chickpea_SatelliteTOS3VarietyD12014_14F3TMWR2AB001WaterTrtRainFed</v>
      </c>
      <c r="B1221" s="2">
        <v>2022008</v>
      </c>
      <c r="C1221" s="3" t="s">
        <v>1163</v>
      </c>
      <c r="D1221" s="3" t="s">
        <v>248</v>
      </c>
      <c r="F1221" s="3" t="s">
        <v>1170</v>
      </c>
      <c r="G1221" s="3" t="s">
        <v>39</v>
      </c>
      <c r="H1221" s="3" t="s">
        <v>253</v>
      </c>
      <c r="I1221" s="2">
        <v>126</v>
      </c>
      <c r="J1221" s="2">
        <v>126</v>
      </c>
      <c r="K1221" s="2">
        <v>4</v>
      </c>
      <c r="O1221" s="2">
        <v>16</v>
      </c>
      <c r="U1221" s="2">
        <v>2</v>
      </c>
      <c r="V1221" s="2">
        <v>69</v>
      </c>
      <c r="W1221" s="2">
        <v>2</v>
      </c>
      <c r="X1221" s="2">
        <v>32</v>
      </c>
      <c r="Z1221" s="2">
        <v>127</v>
      </c>
      <c r="AA1221" s="3" t="s">
        <v>40</v>
      </c>
      <c r="AB1221" s="2">
        <v>6</v>
      </c>
      <c r="AF1221" s="2">
        <v>22</v>
      </c>
      <c r="AG1221" s="2">
        <v>3</v>
      </c>
      <c r="AH1221" s="3" t="s">
        <v>1175</v>
      </c>
      <c r="AI1221" s="4">
        <v>44691</v>
      </c>
      <c r="AJ1221" s="3" t="s">
        <v>1295</v>
      </c>
      <c r="AK1221" s="3" t="s">
        <v>248</v>
      </c>
    </row>
    <row r="1222" spans="1:37" hidden="1" x14ac:dyDescent="0.25">
      <c r="A1222" t="str">
        <f t="shared" si="19"/>
        <v>2022_WA_Deepdale_Chickpea_SatelliteTOS3VarietyStrikerWaterTrtRainFed</v>
      </c>
      <c r="B1222" s="2">
        <v>2022008</v>
      </c>
      <c r="C1222" s="3" t="s">
        <v>1163</v>
      </c>
      <c r="D1222" s="3" t="s">
        <v>248</v>
      </c>
      <c r="F1222" s="3" t="s">
        <v>4179</v>
      </c>
      <c r="G1222" s="3" t="s">
        <v>43</v>
      </c>
      <c r="H1222" s="3" t="s">
        <v>253</v>
      </c>
      <c r="I1222" s="2">
        <v>127</v>
      </c>
      <c r="J1222" s="2">
        <v>127</v>
      </c>
      <c r="K1222" s="2">
        <v>4</v>
      </c>
      <c r="O1222" s="2">
        <v>16</v>
      </c>
      <c r="U1222" s="2">
        <v>3</v>
      </c>
      <c r="V1222" s="2">
        <v>69</v>
      </c>
      <c r="W1222" s="2">
        <v>3</v>
      </c>
      <c r="X1222" s="2">
        <v>32</v>
      </c>
      <c r="Z1222" s="2">
        <v>126</v>
      </c>
      <c r="AA1222" s="3" t="s">
        <v>40</v>
      </c>
      <c r="AB1222" s="2">
        <v>2</v>
      </c>
      <c r="AF1222" s="2">
        <v>22</v>
      </c>
      <c r="AG1222" s="2">
        <v>3</v>
      </c>
      <c r="AH1222" s="3" t="s">
        <v>1175</v>
      </c>
      <c r="AI1222" s="4">
        <v>44691</v>
      </c>
      <c r="AJ1222" s="3" t="s">
        <v>1296</v>
      </c>
      <c r="AK1222" s="3" t="s">
        <v>248</v>
      </c>
    </row>
    <row r="1223" spans="1:37" hidden="1" x14ac:dyDescent="0.25">
      <c r="A1223" t="str">
        <f t="shared" si="19"/>
        <v>2022_WA_Deepdale_Chickpea_SatelliteTOS3VarietyHatTrickWaterTrtRainFed</v>
      </c>
      <c r="B1223" s="2">
        <v>2022008</v>
      </c>
      <c r="C1223" s="3" t="s">
        <v>1163</v>
      </c>
      <c r="D1223" s="3" t="s">
        <v>248</v>
      </c>
      <c r="F1223" s="3" t="s">
        <v>4178</v>
      </c>
      <c r="G1223" s="3" t="s">
        <v>39</v>
      </c>
      <c r="H1223" s="3" t="s">
        <v>253</v>
      </c>
      <c r="I1223" s="2">
        <v>128</v>
      </c>
      <c r="J1223" s="2">
        <v>128</v>
      </c>
      <c r="K1223" s="2">
        <v>4</v>
      </c>
      <c r="O1223" s="2">
        <v>16</v>
      </c>
      <c r="U1223" s="2">
        <v>4</v>
      </c>
      <c r="V1223" s="2">
        <v>69</v>
      </c>
      <c r="W1223" s="2">
        <v>4</v>
      </c>
      <c r="X1223" s="2">
        <v>32</v>
      </c>
      <c r="Z1223" s="2">
        <v>125</v>
      </c>
      <c r="AA1223" s="3" t="s">
        <v>40</v>
      </c>
      <c r="AB1223" s="2">
        <v>3</v>
      </c>
      <c r="AF1223" s="2">
        <v>22</v>
      </c>
      <c r="AG1223" s="2">
        <v>3</v>
      </c>
      <c r="AH1223" s="3" t="s">
        <v>1175</v>
      </c>
      <c r="AI1223" s="4">
        <v>44691</v>
      </c>
      <c r="AJ1223" s="3" t="s">
        <v>1297</v>
      </c>
      <c r="AK1223" s="3" t="s">
        <v>248</v>
      </c>
    </row>
    <row r="1224" spans="1:37" hidden="1" x14ac:dyDescent="0.25">
      <c r="A1224" t="str">
        <f t="shared" si="19"/>
        <v>2022_Qld_Emerald_Chickpea_SatelliteTOS2VarietyStrikerWaterTrtRainFed</v>
      </c>
      <c r="B1224" s="2">
        <v>2022009</v>
      </c>
      <c r="C1224" s="3" t="s">
        <v>1298</v>
      </c>
      <c r="D1224" s="3" t="s">
        <v>248</v>
      </c>
      <c r="F1224" s="3" t="s">
        <v>4179</v>
      </c>
      <c r="G1224" s="3" t="s">
        <v>43</v>
      </c>
      <c r="H1224" s="3" t="s">
        <v>253</v>
      </c>
      <c r="I1224" s="2">
        <v>1</v>
      </c>
      <c r="J1224" s="2">
        <v>1</v>
      </c>
      <c r="K1224" s="2">
        <v>1</v>
      </c>
      <c r="O1224" s="2">
        <v>1</v>
      </c>
      <c r="U1224" s="2">
        <v>3</v>
      </c>
      <c r="V1224" s="2">
        <v>77</v>
      </c>
      <c r="W1224" s="2">
        <v>1</v>
      </c>
      <c r="X1224" s="2">
        <v>1</v>
      </c>
      <c r="Z1224" s="2">
        <v>1</v>
      </c>
      <c r="AA1224" s="3" t="s">
        <v>40</v>
      </c>
      <c r="AB1224" s="2">
        <v>3</v>
      </c>
      <c r="AF1224" s="2">
        <v>50</v>
      </c>
      <c r="AG1224" s="2">
        <v>2</v>
      </c>
      <c r="AH1224" s="3" t="s">
        <v>1299</v>
      </c>
      <c r="AI1224" s="4">
        <v>44733</v>
      </c>
      <c r="AJ1224" s="3" t="s">
        <v>1300</v>
      </c>
      <c r="AK1224" s="3" t="s">
        <v>248</v>
      </c>
    </row>
    <row r="1225" spans="1:37" hidden="1" x14ac:dyDescent="0.25">
      <c r="A1225" t="str">
        <f t="shared" si="19"/>
        <v>2022_Qld_Emerald_Chickpea_SatelliteTOS1VarietyDrummondWaterTrtRainFed</v>
      </c>
      <c r="B1225" s="2">
        <v>2022009</v>
      </c>
      <c r="C1225" s="3" t="s">
        <v>1298</v>
      </c>
      <c r="D1225" s="3" t="s">
        <v>248</v>
      </c>
      <c r="F1225" s="3" t="s">
        <v>4182</v>
      </c>
      <c r="G1225" s="3" t="s">
        <v>39</v>
      </c>
      <c r="H1225" s="3" t="s">
        <v>253</v>
      </c>
      <c r="I1225" s="2">
        <v>2</v>
      </c>
      <c r="J1225" s="2">
        <v>2</v>
      </c>
      <c r="K1225" s="2">
        <v>1</v>
      </c>
      <c r="O1225" s="2">
        <v>2</v>
      </c>
      <c r="U1225" s="2">
        <v>3</v>
      </c>
      <c r="V1225" s="2">
        <v>80</v>
      </c>
      <c r="W1225" s="2">
        <v>1</v>
      </c>
      <c r="X1225" s="2">
        <v>2</v>
      </c>
      <c r="Z1225" s="2">
        <v>8</v>
      </c>
      <c r="AA1225" s="3" t="s">
        <v>40</v>
      </c>
      <c r="AB1225" s="2">
        <v>4</v>
      </c>
      <c r="AF1225" s="2">
        <v>50</v>
      </c>
      <c r="AG1225" s="2">
        <v>1</v>
      </c>
      <c r="AH1225" s="3" t="s">
        <v>1301</v>
      </c>
      <c r="AI1225" s="4">
        <v>44686</v>
      </c>
      <c r="AJ1225" s="3" t="s">
        <v>1302</v>
      </c>
      <c r="AK1225" s="3" t="s">
        <v>248</v>
      </c>
    </row>
    <row r="1226" spans="1:37" hidden="1" x14ac:dyDescent="0.25">
      <c r="A1226" t="str">
        <f t="shared" si="19"/>
        <v>2022_Qld_Emerald_Chickpea_SatelliteTOS1VarietyStrikerWaterTrtRainFed</v>
      </c>
      <c r="B1226" s="2">
        <v>2022009</v>
      </c>
      <c r="C1226" s="3" t="s">
        <v>1298</v>
      </c>
      <c r="D1226" s="3" t="s">
        <v>248</v>
      </c>
      <c r="F1226" s="3" t="s">
        <v>4179</v>
      </c>
      <c r="G1226" s="3" t="s">
        <v>43</v>
      </c>
      <c r="H1226" s="3" t="s">
        <v>253</v>
      </c>
      <c r="I1226" s="2">
        <v>3</v>
      </c>
      <c r="J1226" s="2">
        <v>3</v>
      </c>
      <c r="K1226" s="2">
        <v>2</v>
      </c>
      <c r="O1226" s="2">
        <v>3</v>
      </c>
      <c r="U1226" s="2">
        <v>3</v>
      </c>
      <c r="V1226" s="2">
        <v>83</v>
      </c>
      <c r="W1226" s="2">
        <v>1</v>
      </c>
      <c r="X1226" s="2">
        <v>3</v>
      </c>
      <c r="Z1226" s="2">
        <v>9</v>
      </c>
      <c r="AA1226" s="3" t="s">
        <v>40</v>
      </c>
      <c r="AB1226" s="2">
        <v>3</v>
      </c>
      <c r="AF1226" s="2">
        <v>50</v>
      </c>
      <c r="AG1226" s="2">
        <v>1</v>
      </c>
      <c r="AH1226" s="3" t="s">
        <v>1301</v>
      </c>
      <c r="AI1226" s="4">
        <v>44686</v>
      </c>
      <c r="AJ1226" s="3" t="s">
        <v>1303</v>
      </c>
      <c r="AK1226" s="3" t="s">
        <v>248</v>
      </c>
    </row>
    <row r="1227" spans="1:37" hidden="1" x14ac:dyDescent="0.25">
      <c r="A1227" t="str">
        <f t="shared" si="19"/>
        <v>2022_Qld_Emerald_Chickpea_SatelliteTOS2VarietyCBA_CaptainWaterTrtRainFed</v>
      </c>
      <c r="B1227" s="2">
        <v>2022009</v>
      </c>
      <c r="C1227" s="3" t="s">
        <v>1298</v>
      </c>
      <c r="D1227" s="3" t="s">
        <v>248</v>
      </c>
      <c r="F1227" s="3" t="s">
        <v>249</v>
      </c>
      <c r="G1227" s="3" t="s">
        <v>43</v>
      </c>
      <c r="H1227" s="3" t="s">
        <v>253</v>
      </c>
      <c r="I1227" s="2">
        <v>4</v>
      </c>
      <c r="J1227" s="2">
        <v>4</v>
      </c>
      <c r="K1227" s="2">
        <v>2</v>
      </c>
      <c r="O1227" s="2">
        <v>4</v>
      </c>
      <c r="U1227" s="2">
        <v>3</v>
      </c>
      <c r="V1227" s="2">
        <v>86</v>
      </c>
      <c r="W1227" s="2">
        <v>1</v>
      </c>
      <c r="X1227" s="2">
        <v>4</v>
      </c>
      <c r="Z1227" s="2">
        <v>16</v>
      </c>
      <c r="AA1227" s="3" t="s">
        <v>40</v>
      </c>
      <c r="AB1227" s="2">
        <v>2</v>
      </c>
      <c r="AF1227" s="2">
        <v>50</v>
      </c>
      <c r="AG1227" s="2">
        <v>2</v>
      </c>
      <c r="AH1227" s="3" t="s">
        <v>1299</v>
      </c>
      <c r="AI1227" s="4">
        <v>44733</v>
      </c>
      <c r="AJ1227" s="3" t="s">
        <v>1304</v>
      </c>
      <c r="AK1227" s="3" t="s">
        <v>248</v>
      </c>
    </row>
    <row r="1228" spans="1:37" hidden="1" x14ac:dyDescent="0.25">
      <c r="A1228" t="str">
        <f t="shared" si="19"/>
        <v>2022_Qld_Emerald_Chickpea_SatelliteTOS1VarietyHatTrickWaterTrtRainFed</v>
      </c>
      <c r="B1228" s="2">
        <v>2022009</v>
      </c>
      <c r="C1228" s="3" t="s">
        <v>1298</v>
      </c>
      <c r="D1228" s="3" t="s">
        <v>248</v>
      </c>
      <c r="F1228" s="3" t="s">
        <v>4178</v>
      </c>
      <c r="G1228" s="3" t="s">
        <v>39</v>
      </c>
      <c r="H1228" s="3" t="s">
        <v>253</v>
      </c>
      <c r="I1228" s="2">
        <v>5</v>
      </c>
      <c r="J1228" s="2">
        <v>5</v>
      </c>
      <c r="K1228" s="2">
        <v>3</v>
      </c>
      <c r="O1228" s="2">
        <v>5</v>
      </c>
      <c r="U1228" s="2">
        <v>3</v>
      </c>
      <c r="V1228" s="2">
        <v>89</v>
      </c>
      <c r="W1228" s="2">
        <v>1</v>
      </c>
      <c r="X1228" s="2">
        <v>5</v>
      </c>
      <c r="Z1228" s="2">
        <v>17</v>
      </c>
      <c r="AA1228" s="3" t="s">
        <v>40</v>
      </c>
      <c r="AB1228" s="2">
        <v>1</v>
      </c>
      <c r="AF1228" s="2">
        <v>50</v>
      </c>
      <c r="AG1228" s="2">
        <v>1</v>
      </c>
      <c r="AH1228" s="3" t="s">
        <v>1301</v>
      </c>
      <c r="AI1228" s="4">
        <v>44686</v>
      </c>
      <c r="AJ1228" s="3" t="s">
        <v>1305</v>
      </c>
      <c r="AK1228" s="3" t="s">
        <v>248</v>
      </c>
    </row>
    <row r="1229" spans="1:37" hidden="1" x14ac:dyDescent="0.25">
      <c r="A1229" t="str">
        <f t="shared" si="19"/>
        <v>2022_Qld_Emerald_Chickpea_SatelliteTOS2VarietyDrummondWaterTrtRainFed</v>
      </c>
      <c r="B1229" s="2">
        <v>2022009</v>
      </c>
      <c r="C1229" s="3" t="s">
        <v>1298</v>
      </c>
      <c r="D1229" s="3" t="s">
        <v>248</v>
      </c>
      <c r="F1229" s="3" t="s">
        <v>4182</v>
      </c>
      <c r="G1229" s="3" t="s">
        <v>39</v>
      </c>
      <c r="H1229" s="3" t="s">
        <v>253</v>
      </c>
      <c r="I1229" s="2">
        <v>6</v>
      </c>
      <c r="J1229" s="2">
        <v>6</v>
      </c>
      <c r="K1229" s="2">
        <v>3</v>
      </c>
      <c r="O1229" s="2">
        <v>6</v>
      </c>
      <c r="U1229" s="2">
        <v>3</v>
      </c>
      <c r="V1229" s="2">
        <v>92</v>
      </c>
      <c r="W1229" s="2">
        <v>1</v>
      </c>
      <c r="X1229" s="2">
        <v>6</v>
      </c>
      <c r="Z1229" s="2">
        <v>24</v>
      </c>
      <c r="AA1229" s="3" t="s">
        <v>40</v>
      </c>
      <c r="AB1229" s="2">
        <v>4</v>
      </c>
      <c r="AF1229" s="2">
        <v>50</v>
      </c>
      <c r="AG1229" s="2">
        <v>2</v>
      </c>
      <c r="AH1229" s="3" t="s">
        <v>1299</v>
      </c>
      <c r="AI1229" s="4">
        <v>44733</v>
      </c>
      <c r="AJ1229" s="3" t="s">
        <v>1306</v>
      </c>
      <c r="AK1229" s="3" t="s">
        <v>248</v>
      </c>
    </row>
    <row r="1230" spans="1:37" hidden="1" x14ac:dyDescent="0.25">
      <c r="A1230" t="str">
        <f t="shared" si="19"/>
        <v>2022_Qld_Emerald_Chickpea_SatelliteTOS2VarietyHatTrickWaterTrtRainFed</v>
      </c>
      <c r="B1230" s="2">
        <v>2022009</v>
      </c>
      <c r="C1230" s="3" t="s">
        <v>1298</v>
      </c>
      <c r="D1230" s="3" t="s">
        <v>248</v>
      </c>
      <c r="F1230" s="3" t="s">
        <v>4178</v>
      </c>
      <c r="G1230" s="3" t="s">
        <v>39</v>
      </c>
      <c r="H1230" s="3" t="s">
        <v>253</v>
      </c>
      <c r="I1230" s="2">
        <v>7</v>
      </c>
      <c r="J1230" s="2">
        <v>7</v>
      </c>
      <c r="K1230" s="2">
        <v>4</v>
      </c>
      <c r="O1230" s="2">
        <v>7</v>
      </c>
      <c r="U1230" s="2">
        <v>3</v>
      </c>
      <c r="V1230" s="2">
        <v>95</v>
      </c>
      <c r="W1230" s="2">
        <v>1</v>
      </c>
      <c r="X1230" s="2">
        <v>7</v>
      </c>
      <c r="Z1230" s="2">
        <v>25</v>
      </c>
      <c r="AA1230" s="3" t="s">
        <v>40</v>
      </c>
      <c r="AB1230" s="2">
        <v>1</v>
      </c>
      <c r="AF1230" s="2">
        <v>50</v>
      </c>
      <c r="AG1230" s="2">
        <v>2</v>
      </c>
      <c r="AH1230" s="3" t="s">
        <v>1299</v>
      </c>
      <c r="AI1230" s="4">
        <v>44733</v>
      </c>
      <c r="AJ1230" s="3" t="s">
        <v>1307</v>
      </c>
      <c r="AK1230" s="3" t="s">
        <v>248</v>
      </c>
    </row>
    <row r="1231" spans="1:37" hidden="1" x14ac:dyDescent="0.25">
      <c r="A1231" t="str">
        <f t="shared" si="19"/>
        <v>2022_Qld_Emerald_Chickpea_SatelliteTOS1VarietyCBA_CaptainWaterTrtRainFed</v>
      </c>
      <c r="B1231" s="2">
        <v>2022009</v>
      </c>
      <c r="C1231" s="3" t="s">
        <v>1298</v>
      </c>
      <c r="D1231" s="3" t="s">
        <v>248</v>
      </c>
      <c r="F1231" s="3" t="s">
        <v>249</v>
      </c>
      <c r="G1231" s="3" t="s">
        <v>43</v>
      </c>
      <c r="H1231" s="3" t="s">
        <v>253</v>
      </c>
      <c r="I1231" s="2">
        <v>8</v>
      </c>
      <c r="J1231" s="2">
        <v>8</v>
      </c>
      <c r="K1231" s="2">
        <v>4</v>
      </c>
      <c r="O1231" s="2">
        <v>8</v>
      </c>
      <c r="U1231" s="2">
        <v>3</v>
      </c>
      <c r="V1231" s="2">
        <v>98</v>
      </c>
      <c r="W1231" s="2">
        <v>1</v>
      </c>
      <c r="X1231" s="2">
        <v>8</v>
      </c>
      <c r="Z1231" s="2">
        <v>32</v>
      </c>
      <c r="AA1231" s="3" t="s">
        <v>40</v>
      </c>
      <c r="AB1231" s="2">
        <v>2</v>
      </c>
      <c r="AF1231" s="2">
        <v>50</v>
      </c>
      <c r="AG1231" s="2">
        <v>1</v>
      </c>
      <c r="AH1231" s="3" t="s">
        <v>1301</v>
      </c>
      <c r="AI1231" s="4">
        <v>44686</v>
      </c>
      <c r="AJ1231" s="3" t="s">
        <v>1308</v>
      </c>
      <c r="AK1231" s="3" t="s">
        <v>248</v>
      </c>
    </row>
    <row r="1232" spans="1:37" hidden="1" x14ac:dyDescent="0.25">
      <c r="A1232" t="str">
        <f t="shared" si="19"/>
        <v>2022_Qld_Emerald_Chickpea_SatelliteTOS2VarietyDrummondWaterTrtRainFed</v>
      </c>
      <c r="B1232" s="2">
        <v>2022009</v>
      </c>
      <c r="C1232" s="3" t="s">
        <v>1298</v>
      </c>
      <c r="D1232" s="3" t="s">
        <v>248</v>
      </c>
      <c r="F1232" s="3" t="s">
        <v>4182</v>
      </c>
      <c r="G1232" s="3" t="s">
        <v>39</v>
      </c>
      <c r="H1232" s="3" t="s">
        <v>253</v>
      </c>
      <c r="I1232" s="2">
        <v>9</v>
      </c>
      <c r="J1232" s="2">
        <v>9</v>
      </c>
      <c r="K1232" s="2">
        <v>1</v>
      </c>
      <c r="O1232" s="2">
        <v>1</v>
      </c>
      <c r="U1232" s="2">
        <v>4</v>
      </c>
      <c r="V1232" s="2">
        <v>77</v>
      </c>
      <c r="W1232" s="2">
        <v>2</v>
      </c>
      <c r="X1232" s="2">
        <v>1</v>
      </c>
      <c r="Z1232" s="2">
        <v>2</v>
      </c>
      <c r="AA1232" s="3" t="s">
        <v>40</v>
      </c>
      <c r="AB1232" s="2">
        <v>4</v>
      </c>
      <c r="AF1232" s="2">
        <v>50</v>
      </c>
      <c r="AG1232" s="2">
        <v>2</v>
      </c>
      <c r="AH1232" s="3" t="s">
        <v>1299</v>
      </c>
      <c r="AI1232" s="4">
        <v>44733</v>
      </c>
      <c r="AJ1232" s="3" t="s">
        <v>1309</v>
      </c>
      <c r="AK1232" s="3" t="s">
        <v>248</v>
      </c>
    </row>
    <row r="1233" spans="1:37" hidden="1" x14ac:dyDescent="0.25">
      <c r="A1233" t="str">
        <f t="shared" si="19"/>
        <v>2022_Qld_Emerald_Chickpea_SatelliteTOS1VarietyStrikerWaterTrtRainFed</v>
      </c>
      <c r="B1233" s="2">
        <v>2022009</v>
      </c>
      <c r="C1233" s="3" t="s">
        <v>1298</v>
      </c>
      <c r="D1233" s="3" t="s">
        <v>248</v>
      </c>
      <c r="F1233" s="3" t="s">
        <v>4179</v>
      </c>
      <c r="G1233" s="3" t="s">
        <v>43</v>
      </c>
      <c r="H1233" s="3" t="s">
        <v>253</v>
      </c>
      <c r="I1233" s="2">
        <v>10</v>
      </c>
      <c r="J1233" s="2">
        <v>10</v>
      </c>
      <c r="K1233" s="2">
        <v>1</v>
      </c>
      <c r="O1233" s="2">
        <v>2</v>
      </c>
      <c r="U1233" s="2">
        <v>4</v>
      </c>
      <c r="V1233" s="2">
        <v>80</v>
      </c>
      <c r="W1233" s="2">
        <v>2</v>
      </c>
      <c r="X1233" s="2">
        <v>2</v>
      </c>
      <c r="Z1233" s="2">
        <v>7</v>
      </c>
      <c r="AA1233" s="3" t="s">
        <v>40</v>
      </c>
      <c r="AB1233" s="2">
        <v>3</v>
      </c>
      <c r="AF1233" s="2">
        <v>50</v>
      </c>
      <c r="AG1233" s="2">
        <v>1</v>
      </c>
      <c r="AH1233" s="3" t="s">
        <v>1301</v>
      </c>
      <c r="AI1233" s="4">
        <v>44686</v>
      </c>
      <c r="AJ1233" s="3" t="s">
        <v>1310</v>
      </c>
      <c r="AK1233" s="3" t="s">
        <v>248</v>
      </c>
    </row>
    <row r="1234" spans="1:37" hidden="1" x14ac:dyDescent="0.25">
      <c r="A1234" t="str">
        <f t="shared" si="19"/>
        <v>2022_Qld_Emerald_Chickpea_SatelliteTOS1VarietyDrummondWaterTrtRainFed</v>
      </c>
      <c r="B1234" s="2">
        <v>2022009</v>
      </c>
      <c r="C1234" s="3" t="s">
        <v>1298</v>
      </c>
      <c r="D1234" s="3" t="s">
        <v>248</v>
      </c>
      <c r="F1234" s="3" t="s">
        <v>4182</v>
      </c>
      <c r="G1234" s="3" t="s">
        <v>39</v>
      </c>
      <c r="H1234" s="3" t="s">
        <v>253</v>
      </c>
      <c r="I1234" s="2">
        <v>11</v>
      </c>
      <c r="J1234" s="2">
        <v>11</v>
      </c>
      <c r="K1234" s="2">
        <v>2</v>
      </c>
      <c r="O1234" s="2">
        <v>3</v>
      </c>
      <c r="U1234" s="2">
        <v>4</v>
      </c>
      <c r="V1234" s="2">
        <v>83</v>
      </c>
      <c r="W1234" s="2">
        <v>2</v>
      </c>
      <c r="X1234" s="2">
        <v>3</v>
      </c>
      <c r="Z1234" s="2">
        <v>10</v>
      </c>
      <c r="AA1234" s="3" t="s">
        <v>40</v>
      </c>
      <c r="AB1234" s="2">
        <v>4</v>
      </c>
      <c r="AF1234" s="2">
        <v>50</v>
      </c>
      <c r="AG1234" s="2">
        <v>1</v>
      </c>
      <c r="AH1234" s="3" t="s">
        <v>1301</v>
      </c>
      <c r="AI1234" s="4">
        <v>44686</v>
      </c>
      <c r="AJ1234" s="3" t="s">
        <v>1311</v>
      </c>
      <c r="AK1234" s="3" t="s">
        <v>248</v>
      </c>
    </row>
    <row r="1235" spans="1:37" hidden="1" x14ac:dyDescent="0.25">
      <c r="A1235" t="str">
        <f t="shared" si="19"/>
        <v>2022_Qld_Emerald_Chickpea_SatelliteTOS2VarietyHatTrickWaterTrtRainFed</v>
      </c>
      <c r="B1235" s="2">
        <v>2022009</v>
      </c>
      <c r="C1235" s="3" t="s">
        <v>1298</v>
      </c>
      <c r="D1235" s="3" t="s">
        <v>248</v>
      </c>
      <c r="F1235" s="3" t="s">
        <v>4178</v>
      </c>
      <c r="G1235" s="3" t="s">
        <v>39</v>
      </c>
      <c r="H1235" s="3" t="s">
        <v>253</v>
      </c>
      <c r="I1235" s="2">
        <v>12</v>
      </c>
      <c r="J1235" s="2">
        <v>12</v>
      </c>
      <c r="K1235" s="2">
        <v>2</v>
      </c>
      <c r="O1235" s="2">
        <v>4</v>
      </c>
      <c r="U1235" s="2">
        <v>4</v>
      </c>
      <c r="V1235" s="2">
        <v>86</v>
      </c>
      <c r="W1235" s="2">
        <v>2</v>
      </c>
      <c r="X1235" s="2">
        <v>4</v>
      </c>
      <c r="Z1235" s="2">
        <v>15</v>
      </c>
      <c r="AA1235" s="3" t="s">
        <v>40</v>
      </c>
      <c r="AB1235" s="2">
        <v>1</v>
      </c>
      <c r="AF1235" s="2">
        <v>50</v>
      </c>
      <c r="AG1235" s="2">
        <v>2</v>
      </c>
      <c r="AH1235" s="3" t="s">
        <v>1299</v>
      </c>
      <c r="AI1235" s="4">
        <v>44733</v>
      </c>
      <c r="AJ1235" s="3" t="s">
        <v>1312</v>
      </c>
      <c r="AK1235" s="3" t="s">
        <v>248</v>
      </c>
    </row>
    <row r="1236" spans="1:37" hidden="1" x14ac:dyDescent="0.25">
      <c r="A1236" t="str">
        <f t="shared" si="19"/>
        <v>2022_Qld_Emerald_Chickpea_SatelliteTOS1VarietyCBA_CaptainWaterTrtRainFed</v>
      </c>
      <c r="B1236" s="2">
        <v>2022009</v>
      </c>
      <c r="C1236" s="3" t="s">
        <v>1298</v>
      </c>
      <c r="D1236" s="3" t="s">
        <v>248</v>
      </c>
      <c r="F1236" s="3" t="s">
        <v>249</v>
      </c>
      <c r="G1236" s="3" t="s">
        <v>43</v>
      </c>
      <c r="H1236" s="3" t="s">
        <v>253</v>
      </c>
      <c r="I1236" s="2">
        <v>13</v>
      </c>
      <c r="J1236" s="2">
        <v>13</v>
      </c>
      <c r="K1236" s="2">
        <v>3</v>
      </c>
      <c r="O1236" s="2">
        <v>5</v>
      </c>
      <c r="U1236" s="2">
        <v>4</v>
      </c>
      <c r="V1236" s="2">
        <v>89</v>
      </c>
      <c r="W1236" s="2">
        <v>2</v>
      </c>
      <c r="X1236" s="2">
        <v>5</v>
      </c>
      <c r="Z1236" s="2">
        <v>18</v>
      </c>
      <c r="AA1236" s="3" t="s">
        <v>40</v>
      </c>
      <c r="AB1236" s="2">
        <v>2</v>
      </c>
      <c r="AF1236" s="2">
        <v>50</v>
      </c>
      <c r="AG1236" s="2">
        <v>1</v>
      </c>
      <c r="AH1236" s="3" t="s">
        <v>1301</v>
      </c>
      <c r="AI1236" s="4">
        <v>44686</v>
      </c>
      <c r="AJ1236" s="3" t="s">
        <v>1313</v>
      </c>
      <c r="AK1236" s="3" t="s">
        <v>248</v>
      </c>
    </row>
    <row r="1237" spans="1:37" hidden="1" x14ac:dyDescent="0.25">
      <c r="A1237" t="str">
        <f t="shared" si="19"/>
        <v>2022_Qld_Emerald_Chickpea_SatelliteTOS2VarietyStrikerWaterTrtRainFed</v>
      </c>
      <c r="B1237" s="2">
        <v>2022009</v>
      </c>
      <c r="C1237" s="3" t="s">
        <v>1298</v>
      </c>
      <c r="D1237" s="3" t="s">
        <v>248</v>
      </c>
      <c r="F1237" s="3" t="s">
        <v>4179</v>
      </c>
      <c r="G1237" s="3" t="s">
        <v>43</v>
      </c>
      <c r="H1237" s="3" t="s">
        <v>253</v>
      </c>
      <c r="I1237" s="2">
        <v>14</v>
      </c>
      <c r="J1237" s="2">
        <v>14</v>
      </c>
      <c r="K1237" s="2">
        <v>3</v>
      </c>
      <c r="O1237" s="2">
        <v>6</v>
      </c>
      <c r="U1237" s="2">
        <v>4</v>
      </c>
      <c r="V1237" s="2">
        <v>92</v>
      </c>
      <c r="W1237" s="2">
        <v>2</v>
      </c>
      <c r="X1237" s="2">
        <v>6</v>
      </c>
      <c r="Z1237" s="2">
        <v>23</v>
      </c>
      <c r="AA1237" s="3" t="s">
        <v>40</v>
      </c>
      <c r="AB1237" s="2">
        <v>3</v>
      </c>
      <c r="AF1237" s="2">
        <v>50</v>
      </c>
      <c r="AG1237" s="2">
        <v>2</v>
      </c>
      <c r="AH1237" s="3" t="s">
        <v>1299</v>
      </c>
      <c r="AI1237" s="4">
        <v>44733</v>
      </c>
      <c r="AJ1237" s="3" t="s">
        <v>1314</v>
      </c>
      <c r="AK1237" s="3" t="s">
        <v>248</v>
      </c>
    </row>
    <row r="1238" spans="1:37" hidden="1" x14ac:dyDescent="0.25">
      <c r="A1238" t="str">
        <f t="shared" si="19"/>
        <v>2022_Qld_Emerald_Chickpea_SatelliteTOS2VarietyCBA_CaptainWaterTrtRainFed</v>
      </c>
      <c r="B1238" s="2">
        <v>2022009</v>
      </c>
      <c r="C1238" s="3" t="s">
        <v>1298</v>
      </c>
      <c r="D1238" s="3" t="s">
        <v>248</v>
      </c>
      <c r="F1238" s="3" t="s">
        <v>249</v>
      </c>
      <c r="G1238" s="3" t="s">
        <v>43</v>
      </c>
      <c r="H1238" s="3" t="s">
        <v>253</v>
      </c>
      <c r="I1238" s="2">
        <v>15</v>
      </c>
      <c r="J1238" s="2">
        <v>15</v>
      </c>
      <c r="K1238" s="2">
        <v>4</v>
      </c>
      <c r="O1238" s="2">
        <v>7</v>
      </c>
      <c r="U1238" s="2">
        <v>4</v>
      </c>
      <c r="V1238" s="2">
        <v>95</v>
      </c>
      <c r="W1238" s="2">
        <v>2</v>
      </c>
      <c r="X1238" s="2">
        <v>7</v>
      </c>
      <c r="Z1238" s="2">
        <v>26</v>
      </c>
      <c r="AA1238" s="3" t="s">
        <v>40</v>
      </c>
      <c r="AB1238" s="2">
        <v>2</v>
      </c>
      <c r="AF1238" s="2">
        <v>50</v>
      </c>
      <c r="AG1238" s="2">
        <v>2</v>
      </c>
      <c r="AH1238" s="3" t="s">
        <v>1299</v>
      </c>
      <c r="AI1238" s="4">
        <v>44733</v>
      </c>
      <c r="AJ1238" s="3" t="s">
        <v>1315</v>
      </c>
      <c r="AK1238" s="3" t="s">
        <v>248</v>
      </c>
    </row>
    <row r="1239" spans="1:37" hidden="1" x14ac:dyDescent="0.25">
      <c r="A1239" t="str">
        <f t="shared" si="19"/>
        <v>2022_Qld_Emerald_Chickpea_SatelliteTOS1VarietyHatTrickWaterTrtRainFed</v>
      </c>
      <c r="B1239" s="2">
        <v>2022009</v>
      </c>
      <c r="C1239" s="3" t="s">
        <v>1298</v>
      </c>
      <c r="D1239" s="3" t="s">
        <v>248</v>
      </c>
      <c r="F1239" s="3" t="s">
        <v>4178</v>
      </c>
      <c r="G1239" s="3" t="s">
        <v>39</v>
      </c>
      <c r="H1239" s="3" t="s">
        <v>253</v>
      </c>
      <c r="I1239" s="2">
        <v>16</v>
      </c>
      <c r="J1239" s="2">
        <v>16</v>
      </c>
      <c r="K1239" s="2">
        <v>4</v>
      </c>
      <c r="O1239" s="2">
        <v>8</v>
      </c>
      <c r="U1239" s="2">
        <v>4</v>
      </c>
      <c r="V1239" s="2">
        <v>98</v>
      </c>
      <c r="W1239" s="2">
        <v>2</v>
      </c>
      <c r="X1239" s="2">
        <v>8</v>
      </c>
      <c r="Z1239" s="2">
        <v>31</v>
      </c>
      <c r="AA1239" s="3" t="s">
        <v>40</v>
      </c>
      <c r="AB1239" s="2">
        <v>1</v>
      </c>
      <c r="AF1239" s="2">
        <v>50</v>
      </c>
      <c r="AG1239" s="2">
        <v>1</v>
      </c>
      <c r="AH1239" s="3" t="s">
        <v>1301</v>
      </c>
      <c r="AI1239" s="4">
        <v>44686</v>
      </c>
      <c r="AJ1239" s="3" t="s">
        <v>1316</v>
      </c>
      <c r="AK1239" s="3" t="s">
        <v>248</v>
      </c>
    </row>
    <row r="1240" spans="1:37" hidden="1" x14ac:dyDescent="0.25">
      <c r="A1240" t="str">
        <f t="shared" si="19"/>
        <v>2022_Qld_Emerald_Chickpea_SatelliteTOS2VarietyHatTrickWaterTrtRainFed</v>
      </c>
      <c r="B1240" s="2">
        <v>2022009</v>
      </c>
      <c r="C1240" s="3" t="s">
        <v>1298</v>
      </c>
      <c r="D1240" s="3" t="s">
        <v>248</v>
      </c>
      <c r="F1240" s="3" t="s">
        <v>4178</v>
      </c>
      <c r="G1240" s="3" t="s">
        <v>39</v>
      </c>
      <c r="H1240" s="3" t="s">
        <v>253</v>
      </c>
      <c r="I1240" s="2">
        <v>17</v>
      </c>
      <c r="J1240" s="2">
        <v>17</v>
      </c>
      <c r="K1240" s="2">
        <v>1</v>
      </c>
      <c r="O1240" s="2">
        <v>1</v>
      </c>
      <c r="U1240" s="2">
        <v>5</v>
      </c>
      <c r="V1240" s="2">
        <v>77</v>
      </c>
      <c r="W1240" s="2">
        <v>3</v>
      </c>
      <c r="X1240" s="2">
        <v>1</v>
      </c>
      <c r="Z1240" s="2">
        <v>3</v>
      </c>
      <c r="AA1240" s="3" t="s">
        <v>40</v>
      </c>
      <c r="AB1240" s="2">
        <v>1</v>
      </c>
      <c r="AF1240" s="2">
        <v>50</v>
      </c>
      <c r="AG1240" s="2">
        <v>2</v>
      </c>
      <c r="AH1240" s="3" t="s">
        <v>1299</v>
      </c>
      <c r="AI1240" s="4">
        <v>44733</v>
      </c>
      <c r="AJ1240" s="3" t="s">
        <v>1317</v>
      </c>
      <c r="AK1240" s="3" t="s">
        <v>248</v>
      </c>
    </row>
    <row r="1241" spans="1:37" hidden="1" x14ac:dyDescent="0.25">
      <c r="A1241" t="str">
        <f t="shared" si="19"/>
        <v>2022_Qld_Emerald_Chickpea_SatelliteTOS1VarietyCBA_CaptainWaterTrtRainFed</v>
      </c>
      <c r="B1241" s="2">
        <v>2022009</v>
      </c>
      <c r="C1241" s="3" t="s">
        <v>1298</v>
      </c>
      <c r="D1241" s="3" t="s">
        <v>248</v>
      </c>
      <c r="F1241" s="3" t="s">
        <v>249</v>
      </c>
      <c r="G1241" s="3" t="s">
        <v>43</v>
      </c>
      <c r="H1241" s="3" t="s">
        <v>253</v>
      </c>
      <c r="I1241" s="2">
        <v>18</v>
      </c>
      <c r="J1241" s="2">
        <v>18</v>
      </c>
      <c r="K1241" s="2">
        <v>1</v>
      </c>
      <c r="O1241" s="2">
        <v>2</v>
      </c>
      <c r="U1241" s="2">
        <v>5</v>
      </c>
      <c r="V1241" s="2">
        <v>80</v>
      </c>
      <c r="W1241" s="2">
        <v>3</v>
      </c>
      <c r="X1241" s="2">
        <v>2</v>
      </c>
      <c r="Z1241" s="2">
        <v>6</v>
      </c>
      <c r="AA1241" s="3" t="s">
        <v>40</v>
      </c>
      <c r="AB1241" s="2">
        <v>2</v>
      </c>
      <c r="AF1241" s="2">
        <v>50</v>
      </c>
      <c r="AG1241" s="2">
        <v>1</v>
      </c>
      <c r="AH1241" s="3" t="s">
        <v>1301</v>
      </c>
      <c r="AI1241" s="4">
        <v>44686</v>
      </c>
      <c r="AJ1241" s="3" t="s">
        <v>1318</v>
      </c>
      <c r="AK1241" s="3" t="s">
        <v>248</v>
      </c>
    </row>
    <row r="1242" spans="1:37" hidden="1" x14ac:dyDescent="0.25">
      <c r="A1242" t="str">
        <f t="shared" si="19"/>
        <v>2022_Qld_Emerald_Chickpea_SatelliteTOS1VarietyHatTrickWaterTrtRainFed</v>
      </c>
      <c r="B1242" s="2">
        <v>2022009</v>
      </c>
      <c r="C1242" s="3" t="s">
        <v>1298</v>
      </c>
      <c r="D1242" s="3" t="s">
        <v>248</v>
      </c>
      <c r="F1242" s="3" t="s">
        <v>4178</v>
      </c>
      <c r="G1242" s="3" t="s">
        <v>39</v>
      </c>
      <c r="H1242" s="3" t="s">
        <v>253</v>
      </c>
      <c r="I1242" s="2">
        <v>19</v>
      </c>
      <c r="J1242" s="2">
        <v>19</v>
      </c>
      <c r="K1242" s="2">
        <v>2</v>
      </c>
      <c r="O1242" s="2">
        <v>3</v>
      </c>
      <c r="U1242" s="2">
        <v>5</v>
      </c>
      <c r="V1242" s="2">
        <v>83</v>
      </c>
      <c r="W1242" s="2">
        <v>3</v>
      </c>
      <c r="X1242" s="2">
        <v>3</v>
      </c>
      <c r="Z1242" s="2">
        <v>11</v>
      </c>
      <c r="AA1242" s="3" t="s">
        <v>40</v>
      </c>
      <c r="AB1242" s="2">
        <v>1</v>
      </c>
      <c r="AF1242" s="2">
        <v>50</v>
      </c>
      <c r="AG1242" s="2">
        <v>1</v>
      </c>
      <c r="AH1242" s="3" t="s">
        <v>1301</v>
      </c>
      <c r="AI1242" s="4">
        <v>44686</v>
      </c>
      <c r="AJ1242" s="3" t="s">
        <v>1319</v>
      </c>
      <c r="AK1242" s="3" t="s">
        <v>248</v>
      </c>
    </row>
    <row r="1243" spans="1:37" hidden="1" x14ac:dyDescent="0.25">
      <c r="A1243" t="str">
        <f t="shared" si="19"/>
        <v>2022_Qld_Emerald_Chickpea_SatelliteTOS2VarietyStrikerWaterTrtRainFed</v>
      </c>
      <c r="B1243" s="2">
        <v>2022009</v>
      </c>
      <c r="C1243" s="3" t="s">
        <v>1298</v>
      </c>
      <c r="D1243" s="3" t="s">
        <v>248</v>
      </c>
      <c r="F1243" s="3" t="s">
        <v>4179</v>
      </c>
      <c r="G1243" s="3" t="s">
        <v>43</v>
      </c>
      <c r="H1243" s="3" t="s">
        <v>253</v>
      </c>
      <c r="I1243" s="2">
        <v>20</v>
      </c>
      <c r="J1243" s="2">
        <v>20</v>
      </c>
      <c r="K1243" s="2">
        <v>2</v>
      </c>
      <c r="O1243" s="2">
        <v>4</v>
      </c>
      <c r="U1243" s="2">
        <v>5</v>
      </c>
      <c r="V1243" s="2">
        <v>86</v>
      </c>
      <c r="W1243" s="2">
        <v>3</v>
      </c>
      <c r="X1243" s="2">
        <v>4</v>
      </c>
      <c r="Z1243" s="2">
        <v>14</v>
      </c>
      <c r="AA1243" s="3" t="s">
        <v>40</v>
      </c>
      <c r="AB1243" s="2">
        <v>3</v>
      </c>
      <c r="AF1243" s="2">
        <v>50</v>
      </c>
      <c r="AG1243" s="2">
        <v>2</v>
      </c>
      <c r="AH1243" s="3" t="s">
        <v>1299</v>
      </c>
      <c r="AI1243" s="4">
        <v>44733</v>
      </c>
      <c r="AJ1243" s="3" t="s">
        <v>1320</v>
      </c>
      <c r="AK1243" s="3" t="s">
        <v>248</v>
      </c>
    </row>
    <row r="1244" spans="1:37" hidden="1" x14ac:dyDescent="0.25">
      <c r="A1244" t="str">
        <f t="shared" si="19"/>
        <v>2022_Qld_Emerald_Chickpea_SatelliteTOS1VarietyDrummondWaterTrtRainFed</v>
      </c>
      <c r="B1244" s="2">
        <v>2022009</v>
      </c>
      <c r="C1244" s="3" t="s">
        <v>1298</v>
      </c>
      <c r="D1244" s="3" t="s">
        <v>248</v>
      </c>
      <c r="F1244" s="3" t="s">
        <v>4182</v>
      </c>
      <c r="G1244" s="3" t="s">
        <v>39</v>
      </c>
      <c r="H1244" s="3" t="s">
        <v>253</v>
      </c>
      <c r="I1244" s="2">
        <v>21</v>
      </c>
      <c r="J1244" s="2">
        <v>21</v>
      </c>
      <c r="K1244" s="2">
        <v>3</v>
      </c>
      <c r="O1244" s="2">
        <v>5</v>
      </c>
      <c r="U1244" s="2">
        <v>5</v>
      </c>
      <c r="V1244" s="2">
        <v>89</v>
      </c>
      <c r="W1244" s="2">
        <v>3</v>
      </c>
      <c r="X1244" s="2">
        <v>5</v>
      </c>
      <c r="Z1244" s="2">
        <v>19</v>
      </c>
      <c r="AA1244" s="3" t="s">
        <v>40</v>
      </c>
      <c r="AB1244" s="2">
        <v>4</v>
      </c>
      <c r="AF1244" s="2">
        <v>50</v>
      </c>
      <c r="AG1244" s="2">
        <v>1</v>
      </c>
      <c r="AH1244" s="3" t="s">
        <v>1301</v>
      </c>
      <c r="AI1244" s="4">
        <v>44686</v>
      </c>
      <c r="AJ1244" s="3" t="s">
        <v>1321</v>
      </c>
      <c r="AK1244" s="3" t="s">
        <v>248</v>
      </c>
    </row>
    <row r="1245" spans="1:37" hidden="1" x14ac:dyDescent="0.25">
      <c r="A1245" t="str">
        <f t="shared" si="19"/>
        <v>2022_Qld_Emerald_Chickpea_SatelliteTOS2VarietyCBA_CaptainWaterTrtRainFed</v>
      </c>
      <c r="B1245" s="2">
        <v>2022009</v>
      </c>
      <c r="C1245" s="3" t="s">
        <v>1298</v>
      </c>
      <c r="D1245" s="3" t="s">
        <v>248</v>
      </c>
      <c r="F1245" s="3" t="s">
        <v>249</v>
      </c>
      <c r="G1245" s="3" t="s">
        <v>43</v>
      </c>
      <c r="H1245" s="3" t="s">
        <v>253</v>
      </c>
      <c r="I1245" s="2">
        <v>22</v>
      </c>
      <c r="J1245" s="2">
        <v>22</v>
      </c>
      <c r="K1245" s="2">
        <v>3</v>
      </c>
      <c r="O1245" s="2">
        <v>6</v>
      </c>
      <c r="U1245" s="2">
        <v>5</v>
      </c>
      <c r="V1245" s="2">
        <v>92</v>
      </c>
      <c r="W1245" s="2">
        <v>3</v>
      </c>
      <c r="X1245" s="2">
        <v>6</v>
      </c>
      <c r="Z1245" s="2">
        <v>22</v>
      </c>
      <c r="AA1245" s="3" t="s">
        <v>40</v>
      </c>
      <c r="AB1245" s="2">
        <v>2</v>
      </c>
      <c r="AF1245" s="2">
        <v>50</v>
      </c>
      <c r="AG1245" s="2">
        <v>2</v>
      </c>
      <c r="AH1245" s="3" t="s">
        <v>1299</v>
      </c>
      <c r="AI1245" s="4">
        <v>44733</v>
      </c>
      <c r="AJ1245" s="3" t="s">
        <v>1322</v>
      </c>
      <c r="AK1245" s="3" t="s">
        <v>248</v>
      </c>
    </row>
    <row r="1246" spans="1:37" hidden="1" x14ac:dyDescent="0.25">
      <c r="A1246" t="str">
        <f t="shared" si="19"/>
        <v>2022_Qld_Emerald_Chickpea_SatelliteTOS2VarietyDrummondWaterTrtRainFed</v>
      </c>
      <c r="B1246" s="2">
        <v>2022009</v>
      </c>
      <c r="C1246" s="3" t="s">
        <v>1298</v>
      </c>
      <c r="D1246" s="3" t="s">
        <v>248</v>
      </c>
      <c r="F1246" s="3" t="s">
        <v>4182</v>
      </c>
      <c r="G1246" s="3" t="s">
        <v>39</v>
      </c>
      <c r="H1246" s="3" t="s">
        <v>253</v>
      </c>
      <c r="I1246" s="2">
        <v>23</v>
      </c>
      <c r="J1246" s="2">
        <v>23</v>
      </c>
      <c r="K1246" s="2">
        <v>4</v>
      </c>
      <c r="O1246" s="2">
        <v>7</v>
      </c>
      <c r="U1246" s="2">
        <v>5</v>
      </c>
      <c r="V1246" s="2">
        <v>95</v>
      </c>
      <c r="W1246" s="2">
        <v>3</v>
      </c>
      <c r="X1246" s="2">
        <v>7</v>
      </c>
      <c r="Z1246" s="2">
        <v>27</v>
      </c>
      <c r="AA1246" s="3" t="s">
        <v>40</v>
      </c>
      <c r="AB1246" s="2">
        <v>4</v>
      </c>
      <c r="AF1246" s="2">
        <v>50</v>
      </c>
      <c r="AG1246" s="2">
        <v>2</v>
      </c>
      <c r="AH1246" s="3" t="s">
        <v>1299</v>
      </c>
      <c r="AI1246" s="4">
        <v>44733</v>
      </c>
      <c r="AJ1246" s="3" t="s">
        <v>1323</v>
      </c>
      <c r="AK1246" s="3" t="s">
        <v>248</v>
      </c>
    </row>
    <row r="1247" spans="1:37" hidden="1" x14ac:dyDescent="0.25">
      <c r="A1247" t="str">
        <f t="shared" si="19"/>
        <v>2022_Qld_Emerald_Chickpea_SatelliteTOS1VarietyStrikerWaterTrtRainFed</v>
      </c>
      <c r="B1247" s="2">
        <v>2022009</v>
      </c>
      <c r="C1247" s="3" t="s">
        <v>1298</v>
      </c>
      <c r="D1247" s="3" t="s">
        <v>248</v>
      </c>
      <c r="F1247" s="3" t="s">
        <v>4179</v>
      </c>
      <c r="G1247" s="3" t="s">
        <v>43</v>
      </c>
      <c r="H1247" s="3" t="s">
        <v>253</v>
      </c>
      <c r="I1247" s="2">
        <v>24</v>
      </c>
      <c r="J1247" s="2">
        <v>24</v>
      </c>
      <c r="K1247" s="2">
        <v>4</v>
      </c>
      <c r="O1247" s="2">
        <v>8</v>
      </c>
      <c r="U1247" s="2">
        <v>5</v>
      </c>
      <c r="V1247" s="2">
        <v>98</v>
      </c>
      <c r="W1247" s="2">
        <v>3</v>
      </c>
      <c r="X1247" s="2">
        <v>8</v>
      </c>
      <c r="Z1247" s="2">
        <v>30</v>
      </c>
      <c r="AA1247" s="3" t="s">
        <v>40</v>
      </c>
      <c r="AB1247" s="2">
        <v>3</v>
      </c>
      <c r="AF1247" s="2">
        <v>50</v>
      </c>
      <c r="AG1247" s="2">
        <v>1</v>
      </c>
      <c r="AH1247" s="3" t="s">
        <v>1301</v>
      </c>
      <c r="AI1247" s="4">
        <v>44686</v>
      </c>
      <c r="AJ1247" s="3" t="s">
        <v>1324</v>
      </c>
      <c r="AK1247" s="3" t="s">
        <v>248</v>
      </c>
    </row>
    <row r="1248" spans="1:37" hidden="1" x14ac:dyDescent="0.25">
      <c r="A1248" t="str">
        <f t="shared" si="19"/>
        <v>2022_Qld_Emerald_Chickpea_SatelliteTOS2VarietyCBA_CaptainWaterTrtRainFed</v>
      </c>
      <c r="B1248" s="2">
        <v>2022009</v>
      </c>
      <c r="C1248" s="3" t="s">
        <v>1298</v>
      </c>
      <c r="D1248" s="3" t="s">
        <v>248</v>
      </c>
      <c r="F1248" s="3" t="s">
        <v>249</v>
      </c>
      <c r="G1248" s="3" t="s">
        <v>43</v>
      </c>
      <c r="H1248" s="3" t="s">
        <v>253</v>
      </c>
      <c r="I1248" s="2">
        <v>25</v>
      </c>
      <c r="J1248" s="2">
        <v>25</v>
      </c>
      <c r="K1248" s="2">
        <v>1</v>
      </c>
      <c r="O1248" s="2">
        <v>1</v>
      </c>
      <c r="U1248" s="2">
        <v>6</v>
      </c>
      <c r="V1248" s="2">
        <v>77</v>
      </c>
      <c r="W1248" s="2">
        <v>4</v>
      </c>
      <c r="X1248" s="2">
        <v>1</v>
      </c>
      <c r="Z1248" s="2">
        <v>4</v>
      </c>
      <c r="AA1248" s="3" t="s">
        <v>40</v>
      </c>
      <c r="AB1248" s="2">
        <v>2</v>
      </c>
      <c r="AF1248" s="2">
        <v>50</v>
      </c>
      <c r="AG1248" s="2">
        <v>2</v>
      </c>
      <c r="AH1248" s="3" t="s">
        <v>1299</v>
      </c>
      <c r="AI1248" s="4">
        <v>44733</v>
      </c>
      <c r="AJ1248" s="3" t="s">
        <v>1325</v>
      </c>
      <c r="AK1248" s="3" t="s">
        <v>248</v>
      </c>
    </row>
    <row r="1249" spans="1:37" hidden="1" x14ac:dyDescent="0.25">
      <c r="A1249" t="str">
        <f t="shared" si="19"/>
        <v>2022_Qld_Emerald_Chickpea_SatelliteTOS1VarietyHatTrickWaterTrtRainFed</v>
      </c>
      <c r="B1249" s="2">
        <v>2022009</v>
      </c>
      <c r="C1249" s="3" t="s">
        <v>1298</v>
      </c>
      <c r="D1249" s="3" t="s">
        <v>248</v>
      </c>
      <c r="F1249" s="3" t="s">
        <v>4178</v>
      </c>
      <c r="G1249" s="3" t="s">
        <v>39</v>
      </c>
      <c r="H1249" s="3" t="s">
        <v>253</v>
      </c>
      <c r="I1249" s="2">
        <v>26</v>
      </c>
      <c r="J1249" s="2">
        <v>26</v>
      </c>
      <c r="K1249" s="2">
        <v>1</v>
      </c>
      <c r="O1249" s="2">
        <v>2</v>
      </c>
      <c r="U1249" s="2">
        <v>6</v>
      </c>
      <c r="V1249" s="2">
        <v>80</v>
      </c>
      <c r="W1249" s="2">
        <v>4</v>
      </c>
      <c r="X1249" s="2">
        <v>2</v>
      </c>
      <c r="Z1249" s="2">
        <v>5</v>
      </c>
      <c r="AA1249" s="3" t="s">
        <v>40</v>
      </c>
      <c r="AB1249" s="2">
        <v>1</v>
      </c>
      <c r="AF1249" s="2">
        <v>50</v>
      </c>
      <c r="AG1249" s="2">
        <v>1</v>
      </c>
      <c r="AH1249" s="3" t="s">
        <v>1301</v>
      </c>
      <c r="AI1249" s="4">
        <v>44686</v>
      </c>
      <c r="AJ1249" s="3" t="s">
        <v>1326</v>
      </c>
      <c r="AK1249" s="3" t="s">
        <v>248</v>
      </c>
    </row>
    <row r="1250" spans="1:37" hidden="1" x14ac:dyDescent="0.25">
      <c r="A1250" t="str">
        <f t="shared" si="19"/>
        <v>2022_Qld_Emerald_Chickpea_SatelliteTOS1VarietyCBA_CaptainWaterTrtRainFed</v>
      </c>
      <c r="B1250" s="2">
        <v>2022009</v>
      </c>
      <c r="C1250" s="3" t="s">
        <v>1298</v>
      </c>
      <c r="D1250" s="3" t="s">
        <v>248</v>
      </c>
      <c r="F1250" s="3" t="s">
        <v>249</v>
      </c>
      <c r="G1250" s="3" t="s">
        <v>43</v>
      </c>
      <c r="H1250" s="3" t="s">
        <v>253</v>
      </c>
      <c r="I1250" s="2">
        <v>27</v>
      </c>
      <c r="J1250" s="2">
        <v>27</v>
      </c>
      <c r="K1250" s="2">
        <v>2</v>
      </c>
      <c r="O1250" s="2">
        <v>3</v>
      </c>
      <c r="U1250" s="2">
        <v>6</v>
      </c>
      <c r="V1250" s="2">
        <v>83</v>
      </c>
      <c r="W1250" s="2">
        <v>4</v>
      </c>
      <c r="X1250" s="2">
        <v>3</v>
      </c>
      <c r="Z1250" s="2">
        <v>12</v>
      </c>
      <c r="AA1250" s="3" t="s">
        <v>40</v>
      </c>
      <c r="AB1250" s="2">
        <v>2</v>
      </c>
      <c r="AF1250" s="2">
        <v>50</v>
      </c>
      <c r="AG1250" s="2">
        <v>1</v>
      </c>
      <c r="AH1250" s="3" t="s">
        <v>1301</v>
      </c>
      <c r="AI1250" s="4">
        <v>44686</v>
      </c>
      <c r="AJ1250" s="3" t="s">
        <v>1327</v>
      </c>
      <c r="AK1250" s="3" t="s">
        <v>248</v>
      </c>
    </row>
    <row r="1251" spans="1:37" hidden="1" x14ac:dyDescent="0.25">
      <c r="A1251" t="str">
        <f t="shared" si="19"/>
        <v>2022_Qld_Emerald_Chickpea_SatelliteTOS2VarietyDrummondWaterTrtRainFed</v>
      </c>
      <c r="B1251" s="2">
        <v>2022009</v>
      </c>
      <c r="C1251" s="3" t="s">
        <v>1298</v>
      </c>
      <c r="D1251" s="3" t="s">
        <v>248</v>
      </c>
      <c r="F1251" s="3" t="s">
        <v>4182</v>
      </c>
      <c r="G1251" s="3" t="s">
        <v>39</v>
      </c>
      <c r="H1251" s="3" t="s">
        <v>253</v>
      </c>
      <c r="I1251" s="2">
        <v>28</v>
      </c>
      <c r="J1251" s="2">
        <v>28</v>
      </c>
      <c r="K1251" s="2">
        <v>2</v>
      </c>
      <c r="O1251" s="2">
        <v>4</v>
      </c>
      <c r="U1251" s="2">
        <v>6</v>
      </c>
      <c r="V1251" s="2">
        <v>86</v>
      </c>
      <c r="W1251" s="2">
        <v>4</v>
      </c>
      <c r="X1251" s="2">
        <v>4</v>
      </c>
      <c r="Z1251" s="2">
        <v>13</v>
      </c>
      <c r="AA1251" s="3" t="s">
        <v>40</v>
      </c>
      <c r="AB1251" s="2">
        <v>4</v>
      </c>
      <c r="AF1251" s="2">
        <v>50</v>
      </c>
      <c r="AG1251" s="2">
        <v>2</v>
      </c>
      <c r="AH1251" s="3" t="s">
        <v>1299</v>
      </c>
      <c r="AI1251" s="4">
        <v>44733</v>
      </c>
      <c r="AJ1251" s="3" t="s">
        <v>1328</v>
      </c>
      <c r="AK1251" s="3" t="s">
        <v>248</v>
      </c>
    </row>
    <row r="1252" spans="1:37" hidden="1" x14ac:dyDescent="0.25">
      <c r="A1252" t="str">
        <f t="shared" si="19"/>
        <v>2022_Qld_Emerald_Chickpea_SatelliteTOS1VarietyStrikerWaterTrtRainFed</v>
      </c>
      <c r="B1252" s="2">
        <v>2022009</v>
      </c>
      <c r="C1252" s="3" t="s">
        <v>1298</v>
      </c>
      <c r="D1252" s="3" t="s">
        <v>248</v>
      </c>
      <c r="F1252" s="3" t="s">
        <v>4179</v>
      </c>
      <c r="G1252" s="3" t="s">
        <v>43</v>
      </c>
      <c r="H1252" s="3" t="s">
        <v>253</v>
      </c>
      <c r="I1252" s="2">
        <v>29</v>
      </c>
      <c r="J1252" s="2">
        <v>29</v>
      </c>
      <c r="K1252" s="2">
        <v>3</v>
      </c>
      <c r="O1252" s="2">
        <v>5</v>
      </c>
      <c r="U1252" s="2">
        <v>6</v>
      </c>
      <c r="V1252" s="2">
        <v>89</v>
      </c>
      <c r="W1252" s="2">
        <v>4</v>
      </c>
      <c r="X1252" s="2">
        <v>5</v>
      </c>
      <c r="Z1252" s="2">
        <v>20</v>
      </c>
      <c r="AA1252" s="3" t="s">
        <v>40</v>
      </c>
      <c r="AB1252" s="2">
        <v>3</v>
      </c>
      <c r="AF1252" s="2">
        <v>50</v>
      </c>
      <c r="AG1252" s="2">
        <v>1</v>
      </c>
      <c r="AH1252" s="3" t="s">
        <v>1301</v>
      </c>
      <c r="AI1252" s="4">
        <v>44686</v>
      </c>
      <c r="AJ1252" s="3" t="s">
        <v>1329</v>
      </c>
      <c r="AK1252" s="3" t="s">
        <v>248</v>
      </c>
    </row>
    <row r="1253" spans="1:37" hidden="1" x14ac:dyDescent="0.25">
      <c r="A1253" t="str">
        <f t="shared" si="19"/>
        <v>2022_Qld_Emerald_Chickpea_SatelliteTOS2VarietyHatTrickWaterTrtRainFed</v>
      </c>
      <c r="B1253" s="2">
        <v>2022009</v>
      </c>
      <c r="C1253" s="3" t="s">
        <v>1298</v>
      </c>
      <c r="D1253" s="3" t="s">
        <v>248</v>
      </c>
      <c r="F1253" s="3" t="s">
        <v>4178</v>
      </c>
      <c r="G1253" s="3" t="s">
        <v>39</v>
      </c>
      <c r="H1253" s="3" t="s">
        <v>253</v>
      </c>
      <c r="I1253" s="2">
        <v>30</v>
      </c>
      <c r="J1253" s="2">
        <v>30</v>
      </c>
      <c r="K1253" s="2">
        <v>3</v>
      </c>
      <c r="O1253" s="2">
        <v>6</v>
      </c>
      <c r="U1253" s="2">
        <v>6</v>
      </c>
      <c r="V1253" s="2">
        <v>92</v>
      </c>
      <c r="W1253" s="2">
        <v>4</v>
      </c>
      <c r="X1253" s="2">
        <v>6</v>
      </c>
      <c r="Z1253" s="2">
        <v>21</v>
      </c>
      <c r="AA1253" s="3" t="s">
        <v>40</v>
      </c>
      <c r="AB1253" s="2">
        <v>1</v>
      </c>
      <c r="AF1253" s="2">
        <v>50</v>
      </c>
      <c r="AG1253" s="2">
        <v>2</v>
      </c>
      <c r="AH1253" s="3" t="s">
        <v>1299</v>
      </c>
      <c r="AI1253" s="4">
        <v>44733</v>
      </c>
      <c r="AJ1253" s="3" t="s">
        <v>1330</v>
      </c>
      <c r="AK1253" s="3" t="s">
        <v>248</v>
      </c>
    </row>
    <row r="1254" spans="1:37" hidden="1" x14ac:dyDescent="0.25">
      <c r="A1254" t="str">
        <f t="shared" si="19"/>
        <v>2022_Qld_Emerald_Chickpea_SatelliteTOS2VarietyStrikerWaterTrtRainFed</v>
      </c>
      <c r="B1254" s="2">
        <v>2022009</v>
      </c>
      <c r="C1254" s="3" t="s">
        <v>1298</v>
      </c>
      <c r="D1254" s="3" t="s">
        <v>248</v>
      </c>
      <c r="F1254" s="3" t="s">
        <v>4179</v>
      </c>
      <c r="G1254" s="3" t="s">
        <v>43</v>
      </c>
      <c r="H1254" s="3" t="s">
        <v>253</v>
      </c>
      <c r="I1254" s="2">
        <v>31</v>
      </c>
      <c r="J1254" s="2">
        <v>31</v>
      </c>
      <c r="K1254" s="2">
        <v>4</v>
      </c>
      <c r="O1254" s="2">
        <v>7</v>
      </c>
      <c r="U1254" s="2">
        <v>6</v>
      </c>
      <c r="V1254" s="2">
        <v>95</v>
      </c>
      <c r="W1254" s="2">
        <v>4</v>
      </c>
      <c r="X1254" s="2">
        <v>7</v>
      </c>
      <c r="Z1254" s="2">
        <v>28</v>
      </c>
      <c r="AA1254" s="3" t="s">
        <v>40</v>
      </c>
      <c r="AB1254" s="2">
        <v>3</v>
      </c>
      <c r="AF1254" s="2">
        <v>50</v>
      </c>
      <c r="AG1254" s="2">
        <v>2</v>
      </c>
      <c r="AH1254" s="3" t="s">
        <v>1299</v>
      </c>
      <c r="AI1254" s="4">
        <v>44733</v>
      </c>
      <c r="AJ1254" s="3" t="s">
        <v>1331</v>
      </c>
      <c r="AK1254" s="3" t="s">
        <v>248</v>
      </c>
    </row>
    <row r="1255" spans="1:37" hidden="1" x14ac:dyDescent="0.25">
      <c r="A1255" t="str">
        <f t="shared" si="19"/>
        <v>2022_Qld_Emerald_Chickpea_SatelliteTOS1VarietyDrummondWaterTrtRainFed</v>
      </c>
      <c r="B1255" s="2">
        <v>2022009</v>
      </c>
      <c r="C1255" s="3" t="s">
        <v>1298</v>
      </c>
      <c r="D1255" s="3" t="s">
        <v>248</v>
      </c>
      <c r="F1255" s="3" t="s">
        <v>4182</v>
      </c>
      <c r="G1255" s="3" t="s">
        <v>39</v>
      </c>
      <c r="H1255" s="3" t="s">
        <v>253</v>
      </c>
      <c r="I1255" s="2">
        <v>32</v>
      </c>
      <c r="J1255" s="2">
        <v>32</v>
      </c>
      <c r="K1255" s="2">
        <v>4</v>
      </c>
      <c r="O1255" s="2">
        <v>8</v>
      </c>
      <c r="U1255" s="2">
        <v>6</v>
      </c>
      <c r="V1255" s="2">
        <v>98</v>
      </c>
      <c r="W1255" s="2">
        <v>4</v>
      </c>
      <c r="X1255" s="2">
        <v>8</v>
      </c>
      <c r="Z1255" s="2">
        <v>29</v>
      </c>
      <c r="AA1255" s="3" t="s">
        <v>40</v>
      </c>
      <c r="AB1255" s="2">
        <v>4</v>
      </c>
      <c r="AF1255" s="2">
        <v>50</v>
      </c>
      <c r="AG1255" s="2">
        <v>1</v>
      </c>
      <c r="AH1255" s="3" t="s">
        <v>1301</v>
      </c>
      <c r="AI1255" s="4">
        <v>44686</v>
      </c>
      <c r="AJ1255" s="3" t="s">
        <v>1332</v>
      </c>
      <c r="AK1255" s="3" t="s">
        <v>248</v>
      </c>
    </row>
    <row r="1256" spans="1:37" hidden="1" x14ac:dyDescent="0.25">
      <c r="A1256" t="str">
        <f t="shared" si="19"/>
        <v>2022_NSW_Greenethorpe_Chickpea_SatelliteTOS1VarietyCBA_CaptainWaterTrtRainFed</v>
      </c>
      <c r="B1256" s="2">
        <v>2022010</v>
      </c>
      <c r="C1256" s="3" t="s">
        <v>1333</v>
      </c>
      <c r="D1256" s="3" t="s">
        <v>248</v>
      </c>
      <c r="F1256" s="3" t="s">
        <v>249</v>
      </c>
      <c r="G1256" s="3" t="s">
        <v>43</v>
      </c>
      <c r="H1256" s="3" t="s">
        <v>253</v>
      </c>
      <c r="I1256" s="2">
        <v>1</v>
      </c>
      <c r="J1256" s="2">
        <v>1</v>
      </c>
      <c r="K1256" s="2">
        <v>1</v>
      </c>
      <c r="O1256" s="2">
        <v>1</v>
      </c>
      <c r="U1256" s="2">
        <v>2</v>
      </c>
      <c r="V1256" s="2">
        <v>1</v>
      </c>
      <c r="W1256" s="2">
        <v>1</v>
      </c>
      <c r="X1256" s="2">
        <v>1</v>
      </c>
      <c r="Z1256" s="2">
        <v>1</v>
      </c>
      <c r="AA1256" s="3" t="s">
        <v>40</v>
      </c>
      <c r="AB1256" s="2">
        <v>1</v>
      </c>
      <c r="AF1256" s="2">
        <v>25</v>
      </c>
      <c r="AG1256" s="2">
        <v>1</v>
      </c>
      <c r="AH1256" s="3" t="s">
        <v>1193</v>
      </c>
      <c r="AI1256" s="4">
        <v>44677</v>
      </c>
      <c r="AJ1256" s="3" t="s">
        <v>1334</v>
      </c>
      <c r="AK1256" s="3" t="s">
        <v>248</v>
      </c>
    </row>
    <row r="1257" spans="1:37" hidden="1" x14ac:dyDescent="0.25">
      <c r="A1257" t="str">
        <f t="shared" si="19"/>
        <v>2022_NSW_Greenethorpe_Chickpea_SatelliteTOS1VarietyDrummondWaterTrtRainFed</v>
      </c>
      <c r="B1257" s="2">
        <v>2022010</v>
      </c>
      <c r="C1257" s="3" t="s">
        <v>1333</v>
      </c>
      <c r="D1257" s="3" t="s">
        <v>248</v>
      </c>
      <c r="F1257" s="3" t="s">
        <v>4182</v>
      </c>
      <c r="G1257" s="3" t="s">
        <v>39</v>
      </c>
      <c r="H1257" s="3" t="s">
        <v>253</v>
      </c>
      <c r="I1257" s="2">
        <v>2</v>
      </c>
      <c r="J1257" s="2">
        <v>2</v>
      </c>
      <c r="K1257" s="2">
        <v>1</v>
      </c>
      <c r="O1257" s="2">
        <v>1</v>
      </c>
      <c r="U1257" s="2">
        <v>2</v>
      </c>
      <c r="V1257" s="2">
        <v>3</v>
      </c>
      <c r="W1257" s="2">
        <v>1</v>
      </c>
      <c r="X1257" s="2">
        <v>2</v>
      </c>
      <c r="Z1257" s="2">
        <v>32</v>
      </c>
      <c r="AA1257" s="3" t="s">
        <v>40</v>
      </c>
      <c r="AB1257" s="2">
        <v>2</v>
      </c>
      <c r="AF1257" s="2">
        <v>25</v>
      </c>
      <c r="AG1257" s="2">
        <v>1</v>
      </c>
      <c r="AH1257" s="3" t="s">
        <v>1193</v>
      </c>
      <c r="AI1257" s="4">
        <v>44677</v>
      </c>
      <c r="AJ1257" s="3" t="s">
        <v>1335</v>
      </c>
      <c r="AK1257" s="3" t="s">
        <v>248</v>
      </c>
    </row>
    <row r="1258" spans="1:37" hidden="1" x14ac:dyDescent="0.25">
      <c r="A1258" t="str">
        <f t="shared" si="19"/>
        <v>2022_NSW_Greenethorpe_Chickpea_SatelliteTOS1VarietyStrikerWaterTrtRainFed</v>
      </c>
      <c r="B1258" s="2">
        <v>2022010</v>
      </c>
      <c r="C1258" s="3" t="s">
        <v>1333</v>
      </c>
      <c r="D1258" s="3" t="s">
        <v>248</v>
      </c>
      <c r="F1258" s="3" t="s">
        <v>4179</v>
      </c>
      <c r="G1258" s="3" t="s">
        <v>43</v>
      </c>
      <c r="H1258" s="3" t="s">
        <v>253</v>
      </c>
      <c r="I1258" s="2">
        <v>3</v>
      </c>
      <c r="J1258" s="2">
        <v>3</v>
      </c>
      <c r="K1258" s="2">
        <v>1</v>
      </c>
      <c r="O1258" s="2">
        <v>1</v>
      </c>
      <c r="U1258" s="2">
        <v>3</v>
      </c>
      <c r="V1258" s="2">
        <v>1</v>
      </c>
      <c r="W1258" s="2">
        <v>2</v>
      </c>
      <c r="X1258" s="2">
        <v>1</v>
      </c>
      <c r="Z1258" s="2">
        <v>2</v>
      </c>
      <c r="AA1258" s="3" t="s">
        <v>40</v>
      </c>
      <c r="AB1258" s="2">
        <v>4</v>
      </c>
      <c r="AF1258" s="2">
        <v>25</v>
      </c>
      <c r="AG1258" s="2">
        <v>1</v>
      </c>
      <c r="AH1258" s="3" t="s">
        <v>1193</v>
      </c>
      <c r="AI1258" s="4">
        <v>44677</v>
      </c>
      <c r="AJ1258" s="3" t="s">
        <v>1336</v>
      </c>
      <c r="AK1258" s="3" t="s">
        <v>248</v>
      </c>
    </row>
    <row r="1259" spans="1:37" hidden="1" x14ac:dyDescent="0.25">
      <c r="A1259" t="str">
        <f t="shared" si="19"/>
        <v>2022_NSW_Greenethorpe_Chickpea_SatelliteTOS1VarietyHatTrickWaterTrtRainFed</v>
      </c>
      <c r="B1259" s="2">
        <v>2022010</v>
      </c>
      <c r="C1259" s="3" t="s">
        <v>1333</v>
      </c>
      <c r="D1259" s="3" t="s">
        <v>248</v>
      </c>
      <c r="F1259" s="3" t="s">
        <v>4178</v>
      </c>
      <c r="G1259" s="3" t="s">
        <v>39</v>
      </c>
      <c r="H1259" s="3" t="s">
        <v>253</v>
      </c>
      <c r="I1259" s="2">
        <v>4</v>
      </c>
      <c r="J1259" s="2">
        <v>4</v>
      </c>
      <c r="K1259" s="2">
        <v>1</v>
      </c>
      <c r="O1259" s="2">
        <v>1</v>
      </c>
      <c r="U1259" s="2">
        <v>3</v>
      </c>
      <c r="V1259" s="2">
        <v>3</v>
      </c>
      <c r="W1259" s="2">
        <v>2</v>
      </c>
      <c r="X1259" s="2">
        <v>2</v>
      </c>
      <c r="Z1259" s="2">
        <v>31</v>
      </c>
      <c r="AA1259" s="3" t="s">
        <v>40</v>
      </c>
      <c r="AB1259" s="2">
        <v>3</v>
      </c>
      <c r="AF1259" s="2">
        <v>25</v>
      </c>
      <c r="AG1259" s="2">
        <v>1</v>
      </c>
      <c r="AH1259" s="3" t="s">
        <v>1193</v>
      </c>
      <c r="AI1259" s="4">
        <v>44677</v>
      </c>
      <c r="AJ1259" s="3" t="s">
        <v>1337</v>
      </c>
      <c r="AK1259" s="3" t="s">
        <v>248</v>
      </c>
    </row>
    <row r="1260" spans="1:37" hidden="1" x14ac:dyDescent="0.25">
      <c r="A1260" t="str">
        <f t="shared" si="19"/>
        <v>2022_NSW_Greenethorpe_Chickpea_SatelliteTOS2VarietyHatTrickWaterTrtRainFed</v>
      </c>
      <c r="B1260" s="2">
        <v>2022010</v>
      </c>
      <c r="C1260" s="3" t="s">
        <v>1333</v>
      </c>
      <c r="D1260" s="3" t="s">
        <v>248</v>
      </c>
      <c r="F1260" s="3" t="s">
        <v>4178</v>
      </c>
      <c r="G1260" s="3" t="s">
        <v>39</v>
      </c>
      <c r="H1260" s="3" t="s">
        <v>253</v>
      </c>
      <c r="I1260" s="2">
        <v>5</v>
      </c>
      <c r="J1260" s="2">
        <v>5</v>
      </c>
      <c r="K1260" s="2">
        <v>1</v>
      </c>
      <c r="O1260" s="2">
        <v>2</v>
      </c>
      <c r="U1260" s="2">
        <v>5</v>
      </c>
      <c r="V1260" s="2">
        <v>1</v>
      </c>
      <c r="W1260" s="2">
        <v>3</v>
      </c>
      <c r="X1260" s="2">
        <v>1</v>
      </c>
      <c r="Z1260" s="2">
        <v>3</v>
      </c>
      <c r="AA1260" s="3" t="s">
        <v>40</v>
      </c>
      <c r="AB1260" s="2">
        <v>3</v>
      </c>
      <c r="AF1260" s="2">
        <v>25</v>
      </c>
      <c r="AG1260" s="2">
        <v>2</v>
      </c>
      <c r="AH1260" s="3" t="s">
        <v>1164</v>
      </c>
      <c r="AI1260" s="4">
        <v>44708</v>
      </c>
      <c r="AJ1260" s="3" t="s">
        <v>1338</v>
      </c>
      <c r="AK1260" s="3" t="s">
        <v>248</v>
      </c>
    </row>
    <row r="1261" spans="1:37" hidden="1" x14ac:dyDescent="0.25">
      <c r="A1261" t="str">
        <f t="shared" si="19"/>
        <v>2022_NSW_Greenethorpe_Chickpea_SatelliteTOS2VarietyStrikerWaterTrtRainFed</v>
      </c>
      <c r="B1261" s="2">
        <v>2022010</v>
      </c>
      <c r="C1261" s="3" t="s">
        <v>1333</v>
      </c>
      <c r="D1261" s="3" t="s">
        <v>248</v>
      </c>
      <c r="F1261" s="3" t="s">
        <v>4179</v>
      </c>
      <c r="G1261" s="3" t="s">
        <v>43</v>
      </c>
      <c r="H1261" s="3" t="s">
        <v>253</v>
      </c>
      <c r="I1261" s="2">
        <v>6</v>
      </c>
      <c r="J1261" s="2">
        <v>6</v>
      </c>
      <c r="K1261" s="2">
        <v>1</v>
      </c>
      <c r="O1261" s="2">
        <v>2</v>
      </c>
      <c r="U1261" s="2">
        <v>5</v>
      </c>
      <c r="V1261" s="2">
        <v>3</v>
      </c>
      <c r="W1261" s="2">
        <v>3</v>
      </c>
      <c r="X1261" s="2">
        <v>2</v>
      </c>
      <c r="Z1261" s="2">
        <v>30</v>
      </c>
      <c r="AA1261" s="3" t="s">
        <v>40</v>
      </c>
      <c r="AB1261" s="2">
        <v>4</v>
      </c>
      <c r="AF1261" s="2">
        <v>25</v>
      </c>
      <c r="AG1261" s="2">
        <v>2</v>
      </c>
      <c r="AH1261" s="3" t="s">
        <v>1164</v>
      </c>
      <c r="AI1261" s="4">
        <v>44708</v>
      </c>
      <c r="AJ1261" s="3" t="s">
        <v>1339</v>
      </c>
      <c r="AK1261" s="3" t="s">
        <v>248</v>
      </c>
    </row>
    <row r="1262" spans="1:37" hidden="1" x14ac:dyDescent="0.25">
      <c r="A1262" t="str">
        <f t="shared" si="19"/>
        <v>2022_NSW_Greenethorpe_Chickpea_SatelliteTOS2VarietyCBA_CaptainWaterTrtRainFed</v>
      </c>
      <c r="B1262" s="2">
        <v>2022010</v>
      </c>
      <c r="C1262" s="3" t="s">
        <v>1333</v>
      </c>
      <c r="D1262" s="3" t="s">
        <v>248</v>
      </c>
      <c r="F1262" s="3" t="s">
        <v>249</v>
      </c>
      <c r="G1262" s="3" t="s">
        <v>43</v>
      </c>
      <c r="H1262" s="3" t="s">
        <v>253</v>
      </c>
      <c r="I1262" s="2">
        <v>7</v>
      </c>
      <c r="J1262" s="2">
        <v>7</v>
      </c>
      <c r="K1262" s="2">
        <v>1</v>
      </c>
      <c r="O1262" s="2">
        <v>2</v>
      </c>
      <c r="U1262" s="2">
        <v>6</v>
      </c>
      <c r="V1262" s="2">
        <v>1</v>
      </c>
      <c r="W1262" s="2">
        <v>4</v>
      </c>
      <c r="X1262" s="2">
        <v>1</v>
      </c>
      <c r="Z1262" s="2">
        <v>4</v>
      </c>
      <c r="AA1262" s="3" t="s">
        <v>40</v>
      </c>
      <c r="AB1262" s="2">
        <v>1</v>
      </c>
      <c r="AF1262" s="2">
        <v>25</v>
      </c>
      <c r="AG1262" s="2">
        <v>2</v>
      </c>
      <c r="AH1262" s="3" t="s">
        <v>1164</v>
      </c>
      <c r="AI1262" s="4">
        <v>44708</v>
      </c>
      <c r="AJ1262" s="3" t="s">
        <v>1340</v>
      </c>
      <c r="AK1262" s="3" t="s">
        <v>248</v>
      </c>
    </row>
    <row r="1263" spans="1:37" hidden="1" x14ac:dyDescent="0.25">
      <c r="A1263" t="str">
        <f t="shared" si="19"/>
        <v>2022_NSW_Greenethorpe_Chickpea_SatelliteTOS2VarietyDrummondWaterTrtRainFed</v>
      </c>
      <c r="B1263" s="2">
        <v>2022010</v>
      </c>
      <c r="C1263" s="3" t="s">
        <v>1333</v>
      </c>
      <c r="D1263" s="3" t="s">
        <v>248</v>
      </c>
      <c r="F1263" s="3" t="s">
        <v>4182</v>
      </c>
      <c r="G1263" s="3" t="s">
        <v>39</v>
      </c>
      <c r="H1263" s="3" t="s">
        <v>253</v>
      </c>
      <c r="I1263" s="2">
        <v>8</v>
      </c>
      <c r="J1263" s="2">
        <v>8</v>
      </c>
      <c r="K1263" s="2">
        <v>1</v>
      </c>
      <c r="O1263" s="2">
        <v>2</v>
      </c>
      <c r="U1263" s="2">
        <v>6</v>
      </c>
      <c r="V1263" s="2">
        <v>3</v>
      </c>
      <c r="W1263" s="2">
        <v>4</v>
      </c>
      <c r="X1263" s="2">
        <v>2</v>
      </c>
      <c r="Z1263" s="2">
        <v>29</v>
      </c>
      <c r="AA1263" s="3" t="s">
        <v>40</v>
      </c>
      <c r="AB1263" s="2">
        <v>2</v>
      </c>
      <c r="AF1263" s="2">
        <v>25</v>
      </c>
      <c r="AG1263" s="2">
        <v>2</v>
      </c>
      <c r="AH1263" s="3" t="s">
        <v>1164</v>
      </c>
      <c r="AI1263" s="4">
        <v>44708</v>
      </c>
      <c r="AJ1263" s="3" t="s">
        <v>1341</v>
      </c>
      <c r="AK1263" s="3" t="s">
        <v>248</v>
      </c>
    </row>
    <row r="1264" spans="1:37" hidden="1" x14ac:dyDescent="0.25">
      <c r="A1264" t="str">
        <f t="shared" si="19"/>
        <v>2022_NSW_Greenethorpe_Chickpea_SatelliteTOS2VarietyCBA_CaptainWaterTrtRainFed</v>
      </c>
      <c r="B1264" s="2">
        <v>2022010</v>
      </c>
      <c r="C1264" s="3" t="s">
        <v>1333</v>
      </c>
      <c r="D1264" s="3" t="s">
        <v>248</v>
      </c>
      <c r="F1264" s="3" t="s">
        <v>249</v>
      </c>
      <c r="G1264" s="3" t="s">
        <v>43</v>
      </c>
      <c r="H1264" s="3" t="s">
        <v>253</v>
      </c>
      <c r="I1264" s="2">
        <v>9</v>
      </c>
      <c r="J1264" s="2">
        <v>9</v>
      </c>
      <c r="K1264" s="2">
        <v>2</v>
      </c>
      <c r="O1264" s="2">
        <v>3</v>
      </c>
      <c r="U1264" s="2">
        <v>7</v>
      </c>
      <c r="V1264" s="2">
        <v>1</v>
      </c>
      <c r="W1264" s="2">
        <v>5</v>
      </c>
      <c r="X1264" s="2">
        <v>1</v>
      </c>
      <c r="Z1264" s="2">
        <v>5</v>
      </c>
      <c r="AA1264" s="3" t="s">
        <v>40</v>
      </c>
      <c r="AB1264" s="2">
        <v>1</v>
      </c>
      <c r="AF1264" s="2">
        <v>25</v>
      </c>
      <c r="AG1264" s="2">
        <v>2</v>
      </c>
      <c r="AH1264" s="3" t="s">
        <v>1164</v>
      </c>
      <c r="AI1264" s="4">
        <v>44708</v>
      </c>
      <c r="AJ1264" s="3" t="s">
        <v>1342</v>
      </c>
      <c r="AK1264" s="3" t="s">
        <v>248</v>
      </c>
    </row>
    <row r="1265" spans="1:37" hidden="1" x14ac:dyDescent="0.25">
      <c r="A1265" t="str">
        <f t="shared" si="19"/>
        <v>2022_NSW_Greenethorpe_Chickpea_SatelliteTOS2VarietyStrikerWaterTrtRainFed</v>
      </c>
      <c r="B1265" s="2">
        <v>2022010</v>
      </c>
      <c r="C1265" s="3" t="s">
        <v>1333</v>
      </c>
      <c r="D1265" s="3" t="s">
        <v>248</v>
      </c>
      <c r="F1265" s="3" t="s">
        <v>4179</v>
      </c>
      <c r="G1265" s="3" t="s">
        <v>43</v>
      </c>
      <c r="H1265" s="3" t="s">
        <v>253</v>
      </c>
      <c r="I1265" s="2">
        <v>10</v>
      </c>
      <c r="J1265" s="2">
        <v>10</v>
      </c>
      <c r="K1265" s="2">
        <v>2</v>
      </c>
      <c r="O1265" s="2">
        <v>3</v>
      </c>
      <c r="U1265" s="2">
        <v>7</v>
      </c>
      <c r="V1265" s="2">
        <v>3</v>
      </c>
      <c r="W1265" s="2">
        <v>5</v>
      </c>
      <c r="X1265" s="2">
        <v>2</v>
      </c>
      <c r="Z1265" s="2">
        <v>28</v>
      </c>
      <c r="AA1265" s="3" t="s">
        <v>40</v>
      </c>
      <c r="AB1265" s="2">
        <v>4</v>
      </c>
      <c r="AF1265" s="2">
        <v>25</v>
      </c>
      <c r="AG1265" s="2">
        <v>2</v>
      </c>
      <c r="AH1265" s="3" t="s">
        <v>1164</v>
      </c>
      <c r="AI1265" s="4">
        <v>44708</v>
      </c>
      <c r="AJ1265" s="3" t="s">
        <v>1343</v>
      </c>
      <c r="AK1265" s="3" t="s">
        <v>248</v>
      </c>
    </row>
    <row r="1266" spans="1:37" hidden="1" x14ac:dyDescent="0.25">
      <c r="A1266" t="str">
        <f t="shared" si="19"/>
        <v>2022_NSW_Greenethorpe_Chickpea_SatelliteTOS2VarietyHatTrickWaterTrtRainFed</v>
      </c>
      <c r="B1266" s="2">
        <v>2022010</v>
      </c>
      <c r="C1266" s="3" t="s">
        <v>1333</v>
      </c>
      <c r="D1266" s="3" t="s">
        <v>248</v>
      </c>
      <c r="F1266" s="3" t="s">
        <v>4178</v>
      </c>
      <c r="G1266" s="3" t="s">
        <v>39</v>
      </c>
      <c r="H1266" s="3" t="s">
        <v>253</v>
      </c>
      <c r="I1266" s="2">
        <v>11</v>
      </c>
      <c r="J1266" s="2">
        <v>11</v>
      </c>
      <c r="K1266" s="2">
        <v>2</v>
      </c>
      <c r="O1266" s="2">
        <v>3</v>
      </c>
      <c r="U1266" s="2">
        <v>8</v>
      </c>
      <c r="V1266" s="2">
        <v>1</v>
      </c>
      <c r="W1266" s="2">
        <v>6</v>
      </c>
      <c r="X1266" s="2">
        <v>1</v>
      </c>
      <c r="Z1266" s="2">
        <v>6</v>
      </c>
      <c r="AA1266" s="3" t="s">
        <v>40</v>
      </c>
      <c r="AB1266" s="2">
        <v>3</v>
      </c>
      <c r="AF1266" s="2">
        <v>25</v>
      </c>
      <c r="AG1266" s="2">
        <v>2</v>
      </c>
      <c r="AH1266" s="3" t="s">
        <v>1164</v>
      </c>
      <c r="AI1266" s="4">
        <v>44708</v>
      </c>
      <c r="AJ1266" s="3" t="s">
        <v>1344</v>
      </c>
      <c r="AK1266" s="3" t="s">
        <v>248</v>
      </c>
    </row>
    <row r="1267" spans="1:37" hidden="1" x14ac:dyDescent="0.25">
      <c r="A1267" t="str">
        <f t="shared" si="19"/>
        <v>2022_NSW_Greenethorpe_Chickpea_SatelliteTOS2VarietyDrummondWaterTrtRainFed</v>
      </c>
      <c r="B1267" s="2">
        <v>2022010</v>
      </c>
      <c r="C1267" s="3" t="s">
        <v>1333</v>
      </c>
      <c r="D1267" s="3" t="s">
        <v>248</v>
      </c>
      <c r="F1267" s="3" t="s">
        <v>4182</v>
      </c>
      <c r="G1267" s="3" t="s">
        <v>39</v>
      </c>
      <c r="H1267" s="3" t="s">
        <v>253</v>
      </c>
      <c r="I1267" s="2">
        <v>12</v>
      </c>
      <c r="J1267" s="2">
        <v>12</v>
      </c>
      <c r="K1267" s="2">
        <v>2</v>
      </c>
      <c r="O1267" s="2">
        <v>3</v>
      </c>
      <c r="U1267" s="2">
        <v>8</v>
      </c>
      <c r="V1267" s="2">
        <v>3</v>
      </c>
      <c r="W1267" s="2">
        <v>6</v>
      </c>
      <c r="X1267" s="2">
        <v>2</v>
      </c>
      <c r="Z1267" s="2">
        <v>27</v>
      </c>
      <c r="AA1267" s="3" t="s">
        <v>40</v>
      </c>
      <c r="AB1267" s="2">
        <v>2</v>
      </c>
      <c r="AF1267" s="2">
        <v>25</v>
      </c>
      <c r="AG1267" s="2">
        <v>2</v>
      </c>
      <c r="AH1267" s="3" t="s">
        <v>1164</v>
      </c>
      <c r="AI1267" s="4">
        <v>44708</v>
      </c>
      <c r="AJ1267" s="3" t="s">
        <v>1345</v>
      </c>
      <c r="AK1267" s="3" t="s">
        <v>248</v>
      </c>
    </row>
    <row r="1268" spans="1:37" hidden="1" x14ac:dyDescent="0.25">
      <c r="A1268" t="str">
        <f t="shared" si="19"/>
        <v>2022_NSW_Greenethorpe_Chickpea_SatelliteTOS1VarietyDrummondWaterTrtRainFed</v>
      </c>
      <c r="B1268" s="2">
        <v>2022010</v>
      </c>
      <c r="C1268" s="3" t="s">
        <v>1333</v>
      </c>
      <c r="D1268" s="3" t="s">
        <v>248</v>
      </c>
      <c r="F1268" s="3" t="s">
        <v>4182</v>
      </c>
      <c r="G1268" s="3" t="s">
        <v>39</v>
      </c>
      <c r="H1268" s="3" t="s">
        <v>253</v>
      </c>
      <c r="I1268" s="2">
        <v>13</v>
      </c>
      <c r="J1268" s="2">
        <v>13</v>
      </c>
      <c r="K1268" s="2">
        <v>2</v>
      </c>
      <c r="O1268" s="2">
        <v>4</v>
      </c>
      <c r="U1268" s="2">
        <v>10</v>
      </c>
      <c r="V1268" s="2">
        <v>1</v>
      </c>
      <c r="W1268" s="2">
        <v>7</v>
      </c>
      <c r="X1268" s="2">
        <v>1</v>
      </c>
      <c r="Z1268" s="2">
        <v>7</v>
      </c>
      <c r="AA1268" s="3" t="s">
        <v>40</v>
      </c>
      <c r="AB1268" s="2">
        <v>2</v>
      </c>
      <c r="AF1268" s="2">
        <v>25</v>
      </c>
      <c r="AG1268" s="2">
        <v>1</v>
      </c>
      <c r="AH1268" s="3" t="s">
        <v>1193</v>
      </c>
      <c r="AI1268" s="4">
        <v>44677</v>
      </c>
      <c r="AJ1268" s="3" t="s">
        <v>1346</v>
      </c>
      <c r="AK1268" s="3" t="s">
        <v>248</v>
      </c>
    </row>
    <row r="1269" spans="1:37" hidden="1" x14ac:dyDescent="0.25">
      <c r="A1269" t="str">
        <f t="shared" si="19"/>
        <v>2022_NSW_Greenethorpe_Chickpea_SatelliteTOS1VarietyHatTrickWaterTrtRainFed</v>
      </c>
      <c r="B1269" s="2">
        <v>2022010</v>
      </c>
      <c r="C1269" s="3" t="s">
        <v>1333</v>
      </c>
      <c r="D1269" s="3" t="s">
        <v>248</v>
      </c>
      <c r="F1269" s="3" t="s">
        <v>4178</v>
      </c>
      <c r="G1269" s="3" t="s">
        <v>39</v>
      </c>
      <c r="H1269" s="3" t="s">
        <v>253</v>
      </c>
      <c r="I1269" s="2">
        <v>14</v>
      </c>
      <c r="J1269" s="2">
        <v>14</v>
      </c>
      <c r="K1269" s="2">
        <v>2</v>
      </c>
      <c r="O1269" s="2">
        <v>4</v>
      </c>
      <c r="U1269" s="2">
        <v>10</v>
      </c>
      <c r="V1269" s="2">
        <v>3</v>
      </c>
      <c r="W1269" s="2">
        <v>7</v>
      </c>
      <c r="X1269" s="2">
        <v>2</v>
      </c>
      <c r="Z1269" s="2">
        <v>26</v>
      </c>
      <c r="AA1269" s="3" t="s">
        <v>40</v>
      </c>
      <c r="AB1269" s="2">
        <v>3</v>
      </c>
      <c r="AF1269" s="2">
        <v>25</v>
      </c>
      <c r="AG1269" s="2">
        <v>1</v>
      </c>
      <c r="AH1269" s="3" t="s">
        <v>1193</v>
      </c>
      <c r="AI1269" s="4">
        <v>44677</v>
      </c>
      <c r="AJ1269" s="3" t="s">
        <v>1347</v>
      </c>
      <c r="AK1269" s="3" t="s">
        <v>248</v>
      </c>
    </row>
    <row r="1270" spans="1:37" hidden="1" x14ac:dyDescent="0.25">
      <c r="A1270" t="str">
        <f t="shared" si="19"/>
        <v>2022_NSW_Greenethorpe_Chickpea_SatelliteTOS1VarietyStrikerWaterTrtRainFed</v>
      </c>
      <c r="B1270" s="2">
        <v>2022010</v>
      </c>
      <c r="C1270" s="3" t="s">
        <v>1333</v>
      </c>
      <c r="D1270" s="3" t="s">
        <v>248</v>
      </c>
      <c r="F1270" s="3" t="s">
        <v>4179</v>
      </c>
      <c r="G1270" s="3" t="s">
        <v>43</v>
      </c>
      <c r="H1270" s="3" t="s">
        <v>253</v>
      </c>
      <c r="I1270" s="2">
        <v>15</v>
      </c>
      <c r="J1270" s="2">
        <v>15</v>
      </c>
      <c r="K1270" s="2">
        <v>2</v>
      </c>
      <c r="O1270" s="2">
        <v>4</v>
      </c>
      <c r="U1270" s="2">
        <v>11</v>
      </c>
      <c r="V1270" s="2">
        <v>1</v>
      </c>
      <c r="W1270" s="2">
        <v>8</v>
      </c>
      <c r="X1270" s="2">
        <v>1</v>
      </c>
      <c r="Z1270" s="2">
        <v>8</v>
      </c>
      <c r="AA1270" s="3" t="s">
        <v>40</v>
      </c>
      <c r="AB1270" s="2">
        <v>4</v>
      </c>
      <c r="AF1270" s="2">
        <v>25</v>
      </c>
      <c r="AG1270" s="2">
        <v>1</v>
      </c>
      <c r="AH1270" s="3" t="s">
        <v>1193</v>
      </c>
      <c r="AI1270" s="4">
        <v>44677</v>
      </c>
      <c r="AJ1270" s="3" t="s">
        <v>1348</v>
      </c>
      <c r="AK1270" s="3" t="s">
        <v>248</v>
      </c>
    </row>
    <row r="1271" spans="1:37" hidden="1" x14ac:dyDescent="0.25">
      <c r="A1271" t="str">
        <f t="shared" si="19"/>
        <v>2022_NSW_Greenethorpe_Chickpea_SatelliteTOS1VarietyCBA_CaptainWaterTrtRainFed</v>
      </c>
      <c r="B1271" s="2">
        <v>2022010</v>
      </c>
      <c r="C1271" s="3" t="s">
        <v>1333</v>
      </c>
      <c r="D1271" s="3" t="s">
        <v>248</v>
      </c>
      <c r="F1271" s="3" t="s">
        <v>249</v>
      </c>
      <c r="G1271" s="3" t="s">
        <v>43</v>
      </c>
      <c r="H1271" s="3" t="s">
        <v>253</v>
      </c>
      <c r="I1271" s="2">
        <v>16</v>
      </c>
      <c r="J1271" s="2">
        <v>16</v>
      </c>
      <c r="K1271" s="2">
        <v>2</v>
      </c>
      <c r="O1271" s="2">
        <v>4</v>
      </c>
      <c r="U1271" s="2">
        <v>11</v>
      </c>
      <c r="V1271" s="2">
        <v>3</v>
      </c>
      <c r="W1271" s="2">
        <v>8</v>
      </c>
      <c r="X1271" s="2">
        <v>2</v>
      </c>
      <c r="Z1271" s="2">
        <v>25</v>
      </c>
      <c r="AA1271" s="3" t="s">
        <v>40</v>
      </c>
      <c r="AB1271" s="2">
        <v>1</v>
      </c>
      <c r="AF1271" s="2">
        <v>25</v>
      </c>
      <c r="AG1271" s="2">
        <v>1</v>
      </c>
      <c r="AH1271" s="3" t="s">
        <v>1193</v>
      </c>
      <c r="AI1271" s="4">
        <v>44677</v>
      </c>
      <c r="AJ1271" s="3" t="s">
        <v>1349</v>
      </c>
      <c r="AK1271" s="3" t="s">
        <v>248</v>
      </c>
    </row>
    <row r="1272" spans="1:37" hidden="1" x14ac:dyDescent="0.25">
      <c r="A1272" t="str">
        <f t="shared" si="19"/>
        <v>2022_NSW_Greenethorpe_Chickpea_SatelliteTOS2VarietyCBA_CaptainWaterTrtRainFed</v>
      </c>
      <c r="B1272" s="2">
        <v>2022010</v>
      </c>
      <c r="C1272" s="3" t="s">
        <v>1333</v>
      </c>
      <c r="D1272" s="3" t="s">
        <v>248</v>
      </c>
      <c r="F1272" s="3" t="s">
        <v>249</v>
      </c>
      <c r="G1272" s="3" t="s">
        <v>43</v>
      </c>
      <c r="H1272" s="3" t="s">
        <v>253</v>
      </c>
      <c r="I1272" s="2">
        <v>17</v>
      </c>
      <c r="J1272" s="2">
        <v>17</v>
      </c>
      <c r="K1272" s="2">
        <v>3</v>
      </c>
      <c r="O1272" s="2">
        <v>5</v>
      </c>
      <c r="U1272" s="2">
        <v>13</v>
      </c>
      <c r="V1272" s="2">
        <v>1</v>
      </c>
      <c r="W1272" s="2">
        <v>9</v>
      </c>
      <c r="X1272" s="2">
        <v>1</v>
      </c>
      <c r="Z1272" s="2">
        <v>9</v>
      </c>
      <c r="AA1272" s="3" t="s">
        <v>40</v>
      </c>
      <c r="AB1272" s="2">
        <v>1</v>
      </c>
      <c r="AF1272" s="2">
        <v>25</v>
      </c>
      <c r="AG1272" s="2">
        <v>2</v>
      </c>
      <c r="AH1272" s="3" t="s">
        <v>1164</v>
      </c>
      <c r="AI1272" s="4">
        <v>44708</v>
      </c>
      <c r="AJ1272" s="3" t="s">
        <v>1350</v>
      </c>
      <c r="AK1272" s="3" t="s">
        <v>248</v>
      </c>
    </row>
    <row r="1273" spans="1:37" hidden="1" x14ac:dyDescent="0.25">
      <c r="A1273" t="str">
        <f t="shared" si="19"/>
        <v>2022_NSW_Greenethorpe_Chickpea_SatelliteTOS2VarietyHatTrickWaterTrtRainFed</v>
      </c>
      <c r="B1273" s="2">
        <v>2022010</v>
      </c>
      <c r="C1273" s="3" t="s">
        <v>1333</v>
      </c>
      <c r="D1273" s="3" t="s">
        <v>248</v>
      </c>
      <c r="F1273" s="3" t="s">
        <v>4178</v>
      </c>
      <c r="G1273" s="3" t="s">
        <v>39</v>
      </c>
      <c r="H1273" s="3" t="s">
        <v>253</v>
      </c>
      <c r="I1273" s="2">
        <v>18</v>
      </c>
      <c r="J1273" s="2">
        <v>18</v>
      </c>
      <c r="K1273" s="2">
        <v>3</v>
      </c>
      <c r="O1273" s="2">
        <v>5</v>
      </c>
      <c r="U1273" s="2">
        <v>13</v>
      </c>
      <c r="V1273" s="2">
        <v>3</v>
      </c>
      <c r="W1273" s="2">
        <v>9</v>
      </c>
      <c r="X1273" s="2">
        <v>2</v>
      </c>
      <c r="Z1273" s="2">
        <v>24</v>
      </c>
      <c r="AA1273" s="3" t="s">
        <v>40</v>
      </c>
      <c r="AB1273" s="2">
        <v>3</v>
      </c>
      <c r="AF1273" s="2">
        <v>25</v>
      </c>
      <c r="AG1273" s="2">
        <v>2</v>
      </c>
      <c r="AH1273" s="3" t="s">
        <v>1164</v>
      </c>
      <c r="AI1273" s="4">
        <v>44708</v>
      </c>
      <c r="AJ1273" s="3" t="s">
        <v>1351</v>
      </c>
      <c r="AK1273" s="3" t="s">
        <v>248</v>
      </c>
    </row>
    <row r="1274" spans="1:37" hidden="1" x14ac:dyDescent="0.25">
      <c r="A1274" t="str">
        <f t="shared" si="19"/>
        <v>2022_NSW_Greenethorpe_Chickpea_SatelliteTOS2VarietyDrummondWaterTrtRainFed</v>
      </c>
      <c r="B1274" s="2">
        <v>2022010</v>
      </c>
      <c r="C1274" s="3" t="s">
        <v>1333</v>
      </c>
      <c r="D1274" s="3" t="s">
        <v>248</v>
      </c>
      <c r="F1274" s="3" t="s">
        <v>4182</v>
      </c>
      <c r="G1274" s="3" t="s">
        <v>39</v>
      </c>
      <c r="H1274" s="3" t="s">
        <v>253</v>
      </c>
      <c r="I1274" s="2">
        <v>19</v>
      </c>
      <c r="J1274" s="2">
        <v>19</v>
      </c>
      <c r="K1274" s="2">
        <v>3</v>
      </c>
      <c r="O1274" s="2">
        <v>5</v>
      </c>
      <c r="U1274" s="2">
        <v>14</v>
      </c>
      <c r="V1274" s="2">
        <v>1</v>
      </c>
      <c r="W1274" s="2">
        <v>10</v>
      </c>
      <c r="X1274" s="2">
        <v>1</v>
      </c>
      <c r="Z1274" s="2">
        <v>10</v>
      </c>
      <c r="AA1274" s="3" t="s">
        <v>40</v>
      </c>
      <c r="AB1274" s="2">
        <v>2</v>
      </c>
      <c r="AF1274" s="2">
        <v>25</v>
      </c>
      <c r="AG1274" s="2">
        <v>2</v>
      </c>
      <c r="AH1274" s="3" t="s">
        <v>1164</v>
      </c>
      <c r="AI1274" s="4">
        <v>44708</v>
      </c>
      <c r="AJ1274" s="3" t="s">
        <v>1352</v>
      </c>
      <c r="AK1274" s="3" t="s">
        <v>248</v>
      </c>
    </row>
    <row r="1275" spans="1:37" hidden="1" x14ac:dyDescent="0.25">
      <c r="A1275" t="str">
        <f t="shared" si="19"/>
        <v>2022_NSW_Greenethorpe_Chickpea_SatelliteTOS2VarietyStrikerWaterTrtRainFed</v>
      </c>
      <c r="B1275" s="2">
        <v>2022010</v>
      </c>
      <c r="C1275" s="3" t="s">
        <v>1333</v>
      </c>
      <c r="D1275" s="3" t="s">
        <v>248</v>
      </c>
      <c r="F1275" s="3" t="s">
        <v>4179</v>
      </c>
      <c r="G1275" s="3" t="s">
        <v>43</v>
      </c>
      <c r="H1275" s="3" t="s">
        <v>253</v>
      </c>
      <c r="I1275" s="2">
        <v>20</v>
      </c>
      <c r="J1275" s="2">
        <v>20</v>
      </c>
      <c r="K1275" s="2">
        <v>3</v>
      </c>
      <c r="O1275" s="2">
        <v>5</v>
      </c>
      <c r="U1275" s="2">
        <v>14</v>
      </c>
      <c r="V1275" s="2">
        <v>3</v>
      </c>
      <c r="W1275" s="2">
        <v>10</v>
      </c>
      <c r="X1275" s="2">
        <v>2</v>
      </c>
      <c r="Z1275" s="2">
        <v>23</v>
      </c>
      <c r="AA1275" s="3" t="s">
        <v>40</v>
      </c>
      <c r="AB1275" s="2">
        <v>4</v>
      </c>
      <c r="AF1275" s="2">
        <v>25</v>
      </c>
      <c r="AG1275" s="2">
        <v>2</v>
      </c>
      <c r="AH1275" s="3" t="s">
        <v>1164</v>
      </c>
      <c r="AI1275" s="4">
        <v>44708</v>
      </c>
      <c r="AJ1275" s="3" t="s">
        <v>1353</v>
      </c>
      <c r="AK1275" s="3" t="s">
        <v>248</v>
      </c>
    </row>
    <row r="1276" spans="1:37" hidden="1" x14ac:dyDescent="0.25">
      <c r="A1276" t="str">
        <f t="shared" si="19"/>
        <v>2022_NSW_Greenethorpe_Chickpea_SatelliteTOS1VarietyHatTrickWaterTrtRainFed</v>
      </c>
      <c r="B1276" s="2">
        <v>2022010</v>
      </c>
      <c r="C1276" s="3" t="s">
        <v>1333</v>
      </c>
      <c r="D1276" s="3" t="s">
        <v>248</v>
      </c>
      <c r="F1276" s="3" t="s">
        <v>4178</v>
      </c>
      <c r="G1276" s="3" t="s">
        <v>39</v>
      </c>
      <c r="H1276" s="3" t="s">
        <v>253</v>
      </c>
      <c r="I1276" s="2">
        <v>21</v>
      </c>
      <c r="J1276" s="2">
        <v>21</v>
      </c>
      <c r="K1276" s="2">
        <v>3</v>
      </c>
      <c r="O1276" s="2">
        <v>6</v>
      </c>
      <c r="U1276" s="2">
        <v>16</v>
      </c>
      <c r="V1276" s="2">
        <v>1</v>
      </c>
      <c r="W1276" s="2">
        <v>12</v>
      </c>
      <c r="X1276" s="2">
        <v>1</v>
      </c>
      <c r="Z1276" s="2">
        <v>11</v>
      </c>
      <c r="AA1276" s="3" t="s">
        <v>40</v>
      </c>
      <c r="AB1276" s="2">
        <v>3</v>
      </c>
      <c r="AF1276" s="2">
        <v>25</v>
      </c>
      <c r="AG1276" s="2">
        <v>1</v>
      </c>
      <c r="AH1276" s="3" t="s">
        <v>1193</v>
      </c>
      <c r="AI1276" s="4">
        <v>44677</v>
      </c>
      <c r="AJ1276" s="3" t="s">
        <v>1354</v>
      </c>
      <c r="AK1276" s="3" t="s">
        <v>248</v>
      </c>
    </row>
    <row r="1277" spans="1:37" hidden="1" x14ac:dyDescent="0.25">
      <c r="A1277" t="str">
        <f t="shared" si="19"/>
        <v>2022_NSW_Greenethorpe_Chickpea_SatelliteTOS1VarietyStrikerWaterTrtRainFed</v>
      </c>
      <c r="B1277" s="2">
        <v>2022010</v>
      </c>
      <c r="C1277" s="3" t="s">
        <v>1333</v>
      </c>
      <c r="D1277" s="3" t="s">
        <v>248</v>
      </c>
      <c r="F1277" s="3" t="s">
        <v>4179</v>
      </c>
      <c r="G1277" s="3" t="s">
        <v>43</v>
      </c>
      <c r="H1277" s="3" t="s">
        <v>253</v>
      </c>
      <c r="I1277" s="2">
        <v>22</v>
      </c>
      <c r="J1277" s="2">
        <v>22</v>
      </c>
      <c r="K1277" s="2">
        <v>3</v>
      </c>
      <c r="O1277" s="2">
        <v>6</v>
      </c>
      <c r="U1277" s="2">
        <v>16</v>
      </c>
      <c r="V1277" s="2">
        <v>3</v>
      </c>
      <c r="W1277" s="2">
        <v>12</v>
      </c>
      <c r="X1277" s="2">
        <v>2</v>
      </c>
      <c r="Z1277" s="2">
        <v>22</v>
      </c>
      <c r="AA1277" s="3" t="s">
        <v>40</v>
      </c>
      <c r="AB1277" s="2">
        <v>4</v>
      </c>
      <c r="AF1277" s="2">
        <v>25</v>
      </c>
      <c r="AG1277" s="2">
        <v>1</v>
      </c>
      <c r="AH1277" s="3" t="s">
        <v>1193</v>
      </c>
      <c r="AI1277" s="4">
        <v>44677</v>
      </c>
      <c r="AJ1277" s="3" t="s">
        <v>1355</v>
      </c>
      <c r="AK1277" s="3" t="s">
        <v>248</v>
      </c>
    </row>
    <row r="1278" spans="1:37" hidden="1" x14ac:dyDescent="0.25">
      <c r="A1278" t="str">
        <f t="shared" si="19"/>
        <v>2022_NSW_Greenethorpe_Chickpea_SatelliteTOS1VarietyDrummondWaterTrtRainFed</v>
      </c>
      <c r="B1278" s="2">
        <v>2022010</v>
      </c>
      <c r="C1278" s="3" t="s">
        <v>1333</v>
      </c>
      <c r="D1278" s="3" t="s">
        <v>248</v>
      </c>
      <c r="F1278" s="3" t="s">
        <v>4182</v>
      </c>
      <c r="G1278" s="3" t="s">
        <v>39</v>
      </c>
      <c r="H1278" s="3" t="s">
        <v>253</v>
      </c>
      <c r="I1278" s="2">
        <v>23</v>
      </c>
      <c r="J1278" s="2">
        <v>23</v>
      </c>
      <c r="K1278" s="2">
        <v>3</v>
      </c>
      <c r="O1278" s="2">
        <v>6</v>
      </c>
      <c r="U1278" s="2">
        <v>17</v>
      </c>
      <c r="V1278" s="2">
        <v>1</v>
      </c>
      <c r="W1278" s="2">
        <v>13</v>
      </c>
      <c r="X1278" s="2">
        <v>1</v>
      </c>
      <c r="Z1278" s="2">
        <v>12</v>
      </c>
      <c r="AA1278" s="3" t="s">
        <v>40</v>
      </c>
      <c r="AB1278" s="2">
        <v>2</v>
      </c>
      <c r="AF1278" s="2">
        <v>25</v>
      </c>
      <c r="AG1278" s="2">
        <v>1</v>
      </c>
      <c r="AH1278" s="3" t="s">
        <v>1193</v>
      </c>
      <c r="AI1278" s="4">
        <v>44677</v>
      </c>
      <c r="AJ1278" s="3" t="s">
        <v>1356</v>
      </c>
      <c r="AK1278" s="3" t="s">
        <v>248</v>
      </c>
    </row>
    <row r="1279" spans="1:37" hidden="1" x14ac:dyDescent="0.25">
      <c r="A1279" t="str">
        <f t="shared" si="19"/>
        <v>2022_NSW_Greenethorpe_Chickpea_SatelliteTOS1VarietyCBA_CaptainWaterTrtRainFed</v>
      </c>
      <c r="B1279" s="2">
        <v>2022010</v>
      </c>
      <c r="C1279" s="3" t="s">
        <v>1333</v>
      </c>
      <c r="D1279" s="3" t="s">
        <v>248</v>
      </c>
      <c r="F1279" s="3" t="s">
        <v>249</v>
      </c>
      <c r="G1279" s="3" t="s">
        <v>43</v>
      </c>
      <c r="H1279" s="3" t="s">
        <v>253</v>
      </c>
      <c r="I1279" s="2">
        <v>24</v>
      </c>
      <c r="J1279" s="2">
        <v>24</v>
      </c>
      <c r="K1279" s="2">
        <v>3</v>
      </c>
      <c r="O1279" s="2">
        <v>6</v>
      </c>
      <c r="U1279" s="2">
        <v>17</v>
      </c>
      <c r="V1279" s="2">
        <v>3</v>
      </c>
      <c r="W1279" s="2">
        <v>13</v>
      </c>
      <c r="X1279" s="2">
        <v>2</v>
      </c>
      <c r="Z1279" s="2">
        <v>21</v>
      </c>
      <c r="AA1279" s="3" t="s">
        <v>40</v>
      </c>
      <c r="AB1279" s="2">
        <v>1</v>
      </c>
      <c r="AF1279" s="2">
        <v>25</v>
      </c>
      <c r="AG1279" s="2">
        <v>1</v>
      </c>
      <c r="AH1279" s="3" t="s">
        <v>1193</v>
      </c>
      <c r="AI1279" s="4">
        <v>44677</v>
      </c>
      <c r="AJ1279" s="3" t="s">
        <v>1357</v>
      </c>
      <c r="AK1279" s="3" t="s">
        <v>248</v>
      </c>
    </row>
    <row r="1280" spans="1:37" hidden="1" x14ac:dyDescent="0.25">
      <c r="A1280" t="str">
        <f t="shared" si="19"/>
        <v>2022_NSW_Greenethorpe_Chickpea_SatelliteTOS1VarietyDrummondWaterTrtRainFed</v>
      </c>
      <c r="B1280" s="2">
        <v>2022010</v>
      </c>
      <c r="C1280" s="3" t="s">
        <v>1333</v>
      </c>
      <c r="D1280" s="3" t="s">
        <v>248</v>
      </c>
      <c r="F1280" s="3" t="s">
        <v>4182</v>
      </c>
      <c r="G1280" s="3" t="s">
        <v>39</v>
      </c>
      <c r="H1280" s="3" t="s">
        <v>253</v>
      </c>
      <c r="I1280" s="2">
        <v>25</v>
      </c>
      <c r="J1280" s="2">
        <v>25</v>
      </c>
      <c r="K1280" s="2">
        <v>4</v>
      </c>
      <c r="O1280" s="2">
        <v>7</v>
      </c>
      <c r="U1280" s="2">
        <v>18</v>
      </c>
      <c r="V1280" s="2">
        <v>1</v>
      </c>
      <c r="W1280" s="2">
        <v>14</v>
      </c>
      <c r="X1280" s="2">
        <v>1</v>
      </c>
      <c r="Z1280" s="2">
        <v>13</v>
      </c>
      <c r="AA1280" s="3" t="s">
        <v>40</v>
      </c>
      <c r="AB1280" s="2">
        <v>2</v>
      </c>
      <c r="AF1280" s="2">
        <v>25</v>
      </c>
      <c r="AG1280" s="2">
        <v>1</v>
      </c>
      <c r="AH1280" s="3" t="s">
        <v>1193</v>
      </c>
      <c r="AI1280" s="4">
        <v>44677</v>
      </c>
      <c r="AJ1280" s="3" t="s">
        <v>1358</v>
      </c>
      <c r="AK1280" s="3" t="s">
        <v>248</v>
      </c>
    </row>
    <row r="1281" spans="1:37" hidden="1" x14ac:dyDescent="0.25">
      <c r="A1281" t="str">
        <f t="shared" si="19"/>
        <v>2022_NSW_Greenethorpe_Chickpea_SatelliteTOS1VarietyHatTrickWaterTrtRainFed</v>
      </c>
      <c r="B1281" s="2">
        <v>2022010</v>
      </c>
      <c r="C1281" s="3" t="s">
        <v>1333</v>
      </c>
      <c r="D1281" s="3" t="s">
        <v>248</v>
      </c>
      <c r="F1281" s="3" t="s">
        <v>4178</v>
      </c>
      <c r="G1281" s="3" t="s">
        <v>39</v>
      </c>
      <c r="H1281" s="3" t="s">
        <v>253</v>
      </c>
      <c r="I1281" s="2">
        <v>26</v>
      </c>
      <c r="J1281" s="2">
        <v>26</v>
      </c>
      <c r="K1281" s="2">
        <v>4</v>
      </c>
      <c r="O1281" s="2">
        <v>7</v>
      </c>
      <c r="U1281" s="2">
        <v>18</v>
      </c>
      <c r="V1281" s="2">
        <v>3</v>
      </c>
      <c r="W1281" s="2">
        <v>14</v>
      </c>
      <c r="X1281" s="2">
        <v>2</v>
      </c>
      <c r="Z1281" s="2">
        <v>20</v>
      </c>
      <c r="AA1281" s="3" t="s">
        <v>40</v>
      </c>
      <c r="AB1281" s="2">
        <v>3</v>
      </c>
      <c r="AF1281" s="2">
        <v>25</v>
      </c>
      <c r="AG1281" s="2">
        <v>1</v>
      </c>
      <c r="AH1281" s="3" t="s">
        <v>1193</v>
      </c>
      <c r="AI1281" s="4">
        <v>44677</v>
      </c>
      <c r="AJ1281" s="3" t="s">
        <v>1359</v>
      </c>
      <c r="AK1281" s="3" t="s">
        <v>248</v>
      </c>
    </row>
    <row r="1282" spans="1:37" hidden="1" x14ac:dyDescent="0.25">
      <c r="A1282" t="str">
        <f t="shared" si="19"/>
        <v>2022_NSW_Greenethorpe_Chickpea_SatelliteTOS1VarietyStrikerWaterTrtRainFed</v>
      </c>
      <c r="B1282" s="2">
        <v>2022010</v>
      </c>
      <c r="C1282" s="3" t="s">
        <v>1333</v>
      </c>
      <c r="D1282" s="3" t="s">
        <v>248</v>
      </c>
      <c r="F1282" s="3" t="s">
        <v>4179</v>
      </c>
      <c r="G1282" s="3" t="s">
        <v>43</v>
      </c>
      <c r="H1282" s="3" t="s">
        <v>253</v>
      </c>
      <c r="I1282" s="2">
        <v>27</v>
      </c>
      <c r="J1282" s="2">
        <v>27</v>
      </c>
      <c r="K1282" s="2">
        <v>4</v>
      </c>
      <c r="O1282" s="2">
        <v>7</v>
      </c>
      <c r="U1282" s="2">
        <v>19</v>
      </c>
      <c r="V1282" s="2">
        <v>1</v>
      </c>
      <c r="W1282" s="2">
        <v>15</v>
      </c>
      <c r="X1282" s="2">
        <v>1</v>
      </c>
      <c r="Z1282" s="2">
        <v>14</v>
      </c>
      <c r="AA1282" s="3" t="s">
        <v>40</v>
      </c>
      <c r="AB1282" s="2">
        <v>4</v>
      </c>
      <c r="AF1282" s="2">
        <v>25</v>
      </c>
      <c r="AG1282" s="2">
        <v>1</v>
      </c>
      <c r="AH1282" s="3" t="s">
        <v>1193</v>
      </c>
      <c r="AI1282" s="4">
        <v>44677</v>
      </c>
      <c r="AJ1282" s="3" t="s">
        <v>1360</v>
      </c>
      <c r="AK1282" s="3" t="s">
        <v>248</v>
      </c>
    </row>
    <row r="1283" spans="1:37" hidden="1" x14ac:dyDescent="0.25">
      <c r="A1283" t="str">
        <f t="shared" ref="A1283:A1346" si="20">C1283&amp;"TOS"&amp;AG1283&amp;"Variety"&amp;F1283&amp;"WaterTrt"&amp;AA1283&amp;IF(AC1283="","","Agronomy"&amp;AC1283)</f>
        <v>2022_NSW_Greenethorpe_Chickpea_SatelliteTOS1VarietyCBA_CaptainWaterTrtRainFed</v>
      </c>
      <c r="B1283" s="2">
        <v>2022010</v>
      </c>
      <c r="C1283" s="3" t="s">
        <v>1333</v>
      </c>
      <c r="D1283" s="3" t="s">
        <v>248</v>
      </c>
      <c r="F1283" s="3" t="s">
        <v>249</v>
      </c>
      <c r="G1283" s="3" t="s">
        <v>43</v>
      </c>
      <c r="H1283" s="3" t="s">
        <v>253</v>
      </c>
      <c r="I1283" s="2">
        <v>28</v>
      </c>
      <c r="J1283" s="2">
        <v>28</v>
      </c>
      <c r="K1283" s="2">
        <v>4</v>
      </c>
      <c r="O1283" s="2">
        <v>7</v>
      </c>
      <c r="U1283" s="2">
        <v>19</v>
      </c>
      <c r="V1283" s="2">
        <v>3</v>
      </c>
      <c r="W1283" s="2">
        <v>15</v>
      </c>
      <c r="X1283" s="2">
        <v>2</v>
      </c>
      <c r="Z1283" s="2">
        <v>19</v>
      </c>
      <c r="AA1283" s="3" t="s">
        <v>40</v>
      </c>
      <c r="AB1283" s="2">
        <v>1</v>
      </c>
      <c r="AF1283" s="2">
        <v>25</v>
      </c>
      <c r="AG1283" s="2">
        <v>1</v>
      </c>
      <c r="AH1283" s="3" t="s">
        <v>1193</v>
      </c>
      <c r="AI1283" s="4">
        <v>44677</v>
      </c>
      <c r="AJ1283" s="3" t="s">
        <v>1361</v>
      </c>
      <c r="AK1283" s="3" t="s">
        <v>248</v>
      </c>
    </row>
    <row r="1284" spans="1:37" hidden="1" x14ac:dyDescent="0.25">
      <c r="A1284" t="str">
        <f t="shared" si="20"/>
        <v>2022_NSW_Greenethorpe_Chickpea_SatelliteTOS2VarietyHatTrickWaterTrtRainFed</v>
      </c>
      <c r="B1284" s="2">
        <v>2022010</v>
      </c>
      <c r="C1284" s="3" t="s">
        <v>1333</v>
      </c>
      <c r="D1284" s="3" t="s">
        <v>248</v>
      </c>
      <c r="F1284" s="3" t="s">
        <v>4178</v>
      </c>
      <c r="G1284" s="3" t="s">
        <v>39</v>
      </c>
      <c r="H1284" s="3" t="s">
        <v>253</v>
      </c>
      <c r="I1284" s="2">
        <v>29</v>
      </c>
      <c r="J1284" s="2">
        <v>29</v>
      </c>
      <c r="K1284" s="2">
        <v>4</v>
      </c>
      <c r="O1284" s="2">
        <v>8</v>
      </c>
      <c r="U1284" s="2">
        <v>21</v>
      </c>
      <c r="V1284" s="2">
        <v>1</v>
      </c>
      <c r="W1284" s="2">
        <v>17</v>
      </c>
      <c r="X1284" s="2">
        <v>1</v>
      </c>
      <c r="Z1284" s="2">
        <v>15</v>
      </c>
      <c r="AA1284" s="3" t="s">
        <v>40</v>
      </c>
      <c r="AB1284" s="2">
        <v>3</v>
      </c>
      <c r="AF1284" s="2">
        <v>25</v>
      </c>
      <c r="AG1284" s="2">
        <v>2</v>
      </c>
      <c r="AH1284" s="3" t="s">
        <v>1164</v>
      </c>
      <c r="AI1284" s="4">
        <v>44708</v>
      </c>
      <c r="AJ1284" s="3" t="s">
        <v>1362</v>
      </c>
      <c r="AK1284" s="3" t="s">
        <v>248</v>
      </c>
    </row>
    <row r="1285" spans="1:37" hidden="1" x14ac:dyDescent="0.25">
      <c r="A1285" t="str">
        <f t="shared" si="20"/>
        <v>2022_NSW_Greenethorpe_Chickpea_SatelliteTOS2VarietyCBA_CaptainWaterTrtRainFed</v>
      </c>
      <c r="B1285" s="2">
        <v>2022010</v>
      </c>
      <c r="C1285" s="3" t="s">
        <v>1333</v>
      </c>
      <c r="D1285" s="3" t="s">
        <v>248</v>
      </c>
      <c r="F1285" s="3" t="s">
        <v>249</v>
      </c>
      <c r="G1285" s="3" t="s">
        <v>43</v>
      </c>
      <c r="H1285" s="3" t="s">
        <v>253</v>
      </c>
      <c r="I1285" s="2">
        <v>30</v>
      </c>
      <c r="J1285" s="2">
        <v>30</v>
      </c>
      <c r="K1285" s="2">
        <v>4</v>
      </c>
      <c r="O1285" s="2">
        <v>8</v>
      </c>
      <c r="U1285" s="2">
        <v>21</v>
      </c>
      <c r="V1285" s="2">
        <v>3</v>
      </c>
      <c r="W1285" s="2">
        <v>17</v>
      </c>
      <c r="X1285" s="2">
        <v>2</v>
      </c>
      <c r="Z1285" s="2">
        <v>18</v>
      </c>
      <c r="AA1285" s="3" t="s">
        <v>40</v>
      </c>
      <c r="AB1285" s="2">
        <v>1</v>
      </c>
      <c r="AF1285" s="2">
        <v>25</v>
      </c>
      <c r="AG1285" s="2">
        <v>2</v>
      </c>
      <c r="AH1285" s="3" t="s">
        <v>1164</v>
      </c>
      <c r="AI1285" s="4">
        <v>44708</v>
      </c>
      <c r="AJ1285" s="3" t="s">
        <v>1363</v>
      </c>
      <c r="AK1285" s="3" t="s">
        <v>248</v>
      </c>
    </row>
    <row r="1286" spans="1:37" hidden="1" x14ac:dyDescent="0.25">
      <c r="A1286" t="str">
        <f t="shared" si="20"/>
        <v>2022_NSW_Greenethorpe_Chickpea_SatelliteTOS2VarietyStrikerWaterTrtRainFed</v>
      </c>
      <c r="B1286" s="2">
        <v>2022010</v>
      </c>
      <c r="C1286" s="3" t="s">
        <v>1333</v>
      </c>
      <c r="D1286" s="3" t="s">
        <v>248</v>
      </c>
      <c r="F1286" s="3" t="s">
        <v>4179</v>
      </c>
      <c r="G1286" s="3" t="s">
        <v>43</v>
      </c>
      <c r="H1286" s="3" t="s">
        <v>253</v>
      </c>
      <c r="I1286" s="2">
        <v>31</v>
      </c>
      <c r="J1286" s="2">
        <v>31</v>
      </c>
      <c r="K1286" s="2">
        <v>4</v>
      </c>
      <c r="O1286" s="2">
        <v>8</v>
      </c>
      <c r="U1286" s="2">
        <v>22</v>
      </c>
      <c r="V1286" s="2">
        <v>1</v>
      </c>
      <c r="W1286" s="2">
        <v>18</v>
      </c>
      <c r="X1286" s="2">
        <v>1</v>
      </c>
      <c r="Z1286" s="2">
        <v>16</v>
      </c>
      <c r="AA1286" s="3" t="s">
        <v>40</v>
      </c>
      <c r="AB1286" s="2">
        <v>4</v>
      </c>
      <c r="AF1286" s="2">
        <v>25</v>
      </c>
      <c r="AG1286" s="2">
        <v>2</v>
      </c>
      <c r="AH1286" s="3" t="s">
        <v>1164</v>
      </c>
      <c r="AI1286" s="4">
        <v>44708</v>
      </c>
      <c r="AJ1286" s="3" t="s">
        <v>1364</v>
      </c>
      <c r="AK1286" s="3" t="s">
        <v>248</v>
      </c>
    </row>
    <row r="1287" spans="1:37" hidden="1" x14ac:dyDescent="0.25">
      <c r="A1287" t="str">
        <f t="shared" si="20"/>
        <v>2022_NSW_Greenethorpe_Chickpea_SatelliteTOS2VarietyDrummondWaterTrtRainFed</v>
      </c>
      <c r="B1287" s="2">
        <v>2022010</v>
      </c>
      <c r="C1287" s="3" t="s">
        <v>1333</v>
      </c>
      <c r="D1287" s="3" t="s">
        <v>248</v>
      </c>
      <c r="F1287" s="3" t="s">
        <v>4182</v>
      </c>
      <c r="G1287" s="3" t="s">
        <v>39</v>
      </c>
      <c r="H1287" s="3" t="s">
        <v>253</v>
      </c>
      <c r="I1287" s="2">
        <v>32</v>
      </c>
      <c r="J1287" s="2">
        <v>32</v>
      </c>
      <c r="K1287" s="2">
        <v>4</v>
      </c>
      <c r="O1287" s="2">
        <v>8</v>
      </c>
      <c r="U1287" s="2">
        <v>22</v>
      </c>
      <c r="V1287" s="2">
        <v>3</v>
      </c>
      <c r="W1287" s="2">
        <v>18</v>
      </c>
      <c r="X1287" s="2">
        <v>2</v>
      </c>
      <c r="Z1287" s="2">
        <v>17</v>
      </c>
      <c r="AA1287" s="3" t="s">
        <v>40</v>
      </c>
      <c r="AB1287" s="2">
        <v>2</v>
      </c>
      <c r="AF1287" s="2">
        <v>25</v>
      </c>
      <c r="AG1287" s="2">
        <v>2</v>
      </c>
      <c r="AH1287" s="3" t="s">
        <v>1164</v>
      </c>
      <c r="AI1287" s="4">
        <v>44708</v>
      </c>
      <c r="AJ1287" s="3" t="s">
        <v>1365</v>
      </c>
      <c r="AK1287" s="3" t="s">
        <v>248</v>
      </c>
    </row>
    <row r="1288" spans="1:37" hidden="1" x14ac:dyDescent="0.25">
      <c r="A1288" t="str">
        <f t="shared" si="20"/>
        <v>2022_NSW_Greenethorpe_Chickpea_SatelliteTOS2VarietyStrikerWaterTrtRainFed</v>
      </c>
      <c r="B1288" s="2">
        <v>2022010</v>
      </c>
      <c r="C1288" s="3" t="s">
        <v>1333</v>
      </c>
      <c r="D1288" s="3" t="s">
        <v>248</v>
      </c>
      <c r="F1288" s="3" t="s">
        <v>4179</v>
      </c>
      <c r="G1288" s="3" t="s">
        <v>43</v>
      </c>
      <c r="H1288" s="3" t="s">
        <v>253</v>
      </c>
      <c r="I1288" s="2">
        <v>33</v>
      </c>
      <c r="J1288" s="2">
        <v>33</v>
      </c>
      <c r="K1288" s="2">
        <v>5</v>
      </c>
      <c r="O1288" s="2">
        <v>9</v>
      </c>
      <c r="U1288" s="2">
        <v>13</v>
      </c>
      <c r="V1288" s="2">
        <v>8</v>
      </c>
      <c r="W1288" s="2">
        <v>9</v>
      </c>
      <c r="X1288" s="2">
        <v>3</v>
      </c>
      <c r="Z1288" s="2">
        <v>33</v>
      </c>
      <c r="AA1288" s="3" t="s">
        <v>40</v>
      </c>
      <c r="AB1288" s="2">
        <v>4</v>
      </c>
      <c r="AF1288" s="2">
        <v>25</v>
      </c>
      <c r="AG1288" s="2">
        <v>2</v>
      </c>
      <c r="AH1288" s="3" t="s">
        <v>1164</v>
      </c>
      <c r="AI1288" s="4">
        <v>44708</v>
      </c>
      <c r="AJ1288" s="3" t="s">
        <v>1366</v>
      </c>
      <c r="AK1288" s="3" t="s">
        <v>248</v>
      </c>
    </row>
    <row r="1289" spans="1:37" hidden="1" x14ac:dyDescent="0.25">
      <c r="A1289" t="str">
        <f t="shared" si="20"/>
        <v>2022_NSW_Greenethorpe_Chickpea_SatelliteTOS2VarietyHatTrickWaterTrtRainFed</v>
      </c>
      <c r="B1289" s="2">
        <v>2022010</v>
      </c>
      <c r="C1289" s="3" t="s">
        <v>1333</v>
      </c>
      <c r="D1289" s="3" t="s">
        <v>248</v>
      </c>
      <c r="F1289" s="3" t="s">
        <v>4178</v>
      </c>
      <c r="G1289" s="3" t="s">
        <v>39</v>
      </c>
      <c r="H1289" s="3" t="s">
        <v>253</v>
      </c>
      <c r="I1289" s="2">
        <v>34</v>
      </c>
      <c r="J1289" s="2">
        <v>34</v>
      </c>
      <c r="K1289" s="2">
        <v>5</v>
      </c>
      <c r="O1289" s="2">
        <v>9</v>
      </c>
      <c r="U1289" s="2">
        <v>14</v>
      </c>
      <c r="V1289" s="2">
        <v>8</v>
      </c>
      <c r="W1289" s="2">
        <v>10</v>
      </c>
      <c r="X1289" s="2">
        <v>3</v>
      </c>
      <c r="Z1289" s="2">
        <v>34</v>
      </c>
      <c r="AA1289" s="3" t="s">
        <v>40</v>
      </c>
      <c r="AB1289" s="2">
        <v>3</v>
      </c>
      <c r="AF1289" s="2">
        <v>25</v>
      </c>
      <c r="AG1289" s="2">
        <v>2</v>
      </c>
      <c r="AH1289" s="3" t="s">
        <v>1164</v>
      </c>
      <c r="AI1289" s="4">
        <v>44708</v>
      </c>
      <c r="AJ1289" s="3" t="s">
        <v>1367</v>
      </c>
      <c r="AK1289" s="3" t="s">
        <v>248</v>
      </c>
    </row>
    <row r="1290" spans="1:37" hidden="1" x14ac:dyDescent="0.25">
      <c r="A1290" t="str">
        <f t="shared" si="20"/>
        <v>2022_NSW_Greenethorpe_Chickpea_SatelliteTOS2VarietyCBA_CaptainWaterTrtRainFed</v>
      </c>
      <c r="B1290" s="2">
        <v>2022010</v>
      </c>
      <c r="C1290" s="3" t="s">
        <v>1333</v>
      </c>
      <c r="D1290" s="3" t="s">
        <v>248</v>
      </c>
      <c r="F1290" s="3" t="s">
        <v>249</v>
      </c>
      <c r="G1290" s="3" t="s">
        <v>43</v>
      </c>
      <c r="H1290" s="3" t="s">
        <v>253</v>
      </c>
      <c r="I1290" s="2">
        <v>35</v>
      </c>
      <c r="J1290" s="2">
        <v>35</v>
      </c>
      <c r="K1290" s="2">
        <v>5</v>
      </c>
      <c r="O1290" s="2">
        <v>9</v>
      </c>
      <c r="U1290" s="2">
        <v>15</v>
      </c>
      <c r="V1290" s="2">
        <v>8</v>
      </c>
      <c r="W1290" s="2">
        <v>11</v>
      </c>
      <c r="X1290" s="2">
        <v>3</v>
      </c>
      <c r="Z1290" s="2">
        <v>35</v>
      </c>
      <c r="AA1290" s="3" t="s">
        <v>40</v>
      </c>
      <c r="AB1290" s="2">
        <v>1</v>
      </c>
      <c r="AF1290" s="2">
        <v>25</v>
      </c>
      <c r="AG1290" s="2">
        <v>2</v>
      </c>
      <c r="AH1290" s="3" t="s">
        <v>1164</v>
      </c>
      <c r="AI1290" s="4">
        <v>44708</v>
      </c>
      <c r="AJ1290" s="3" t="s">
        <v>1368</v>
      </c>
      <c r="AK1290" s="3" t="s">
        <v>248</v>
      </c>
    </row>
    <row r="1291" spans="1:37" hidden="1" x14ac:dyDescent="0.25">
      <c r="A1291" t="str">
        <f t="shared" si="20"/>
        <v>2022_NSW_Greenethorpe_Chickpea_SatelliteTOS2VarietyDrummondWaterTrtRainFed</v>
      </c>
      <c r="B1291" s="2">
        <v>2022010</v>
      </c>
      <c r="C1291" s="3" t="s">
        <v>1333</v>
      </c>
      <c r="D1291" s="3" t="s">
        <v>248</v>
      </c>
      <c r="F1291" s="3" t="s">
        <v>4182</v>
      </c>
      <c r="G1291" s="3" t="s">
        <v>39</v>
      </c>
      <c r="H1291" s="3" t="s">
        <v>253</v>
      </c>
      <c r="I1291" s="2">
        <v>36</v>
      </c>
      <c r="J1291" s="2">
        <v>36</v>
      </c>
      <c r="K1291" s="2">
        <v>5</v>
      </c>
      <c r="O1291" s="2">
        <v>9</v>
      </c>
      <c r="U1291" s="2">
        <v>16</v>
      </c>
      <c r="V1291" s="2">
        <v>8</v>
      </c>
      <c r="W1291" s="2">
        <v>12</v>
      </c>
      <c r="X1291" s="2">
        <v>3</v>
      </c>
      <c r="Z1291" s="2">
        <v>36</v>
      </c>
      <c r="AA1291" s="3" t="s">
        <v>40</v>
      </c>
      <c r="AB1291" s="2">
        <v>2</v>
      </c>
      <c r="AF1291" s="2">
        <v>25</v>
      </c>
      <c r="AG1291" s="2">
        <v>2</v>
      </c>
      <c r="AH1291" s="3" t="s">
        <v>1164</v>
      </c>
      <c r="AI1291" s="4">
        <v>44708</v>
      </c>
      <c r="AJ1291" s="3" t="s">
        <v>1369</v>
      </c>
      <c r="AK1291" s="3" t="s">
        <v>248</v>
      </c>
    </row>
    <row r="1292" spans="1:37" hidden="1" x14ac:dyDescent="0.25">
      <c r="A1292" t="str">
        <f t="shared" si="20"/>
        <v>2022_NSW_Greenethorpe_Chickpea_SatelliteTOS1VarietyCBA_CaptainWaterTrtRainFed</v>
      </c>
      <c r="B1292" s="2">
        <v>2022010</v>
      </c>
      <c r="C1292" s="3" t="s">
        <v>1333</v>
      </c>
      <c r="D1292" s="3" t="s">
        <v>248</v>
      </c>
      <c r="F1292" s="3" t="s">
        <v>249</v>
      </c>
      <c r="G1292" s="3" t="s">
        <v>43</v>
      </c>
      <c r="H1292" s="3" t="s">
        <v>253</v>
      </c>
      <c r="I1292" s="2">
        <v>37</v>
      </c>
      <c r="J1292" s="2">
        <v>37</v>
      </c>
      <c r="K1292" s="2">
        <v>5</v>
      </c>
      <c r="O1292" s="2">
        <v>10</v>
      </c>
      <c r="U1292" s="2">
        <v>18</v>
      </c>
      <c r="V1292" s="2">
        <v>8</v>
      </c>
      <c r="W1292" s="2">
        <v>14</v>
      </c>
      <c r="X1292" s="2">
        <v>3</v>
      </c>
      <c r="Z1292" s="2">
        <v>37</v>
      </c>
      <c r="AA1292" s="3" t="s">
        <v>40</v>
      </c>
      <c r="AB1292" s="2">
        <v>1</v>
      </c>
      <c r="AF1292" s="2">
        <v>25</v>
      </c>
      <c r="AG1292" s="2">
        <v>1</v>
      </c>
      <c r="AH1292" s="3" t="s">
        <v>1193</v>
      </c>
      <c r="AI1292" s="4">
        <v>44677</v>
      </c>
      <c r="AJ1292" s="3" t="s">
        <v>1370</v>
      </c>
      <c r="AK1292" s="3" t="s">
        <v>248</v>
      </c>
    </row>
    <row r="1293" spans="1:37" hidden="1" x14ac:dyDescent="0.25">
      <c r="A1293" t="str">
        <f t="shared" si="20"/>
        <v>2022_NSW_Greenethorpe_Chickpea_SatelliteTOS1VarietyHatTrickWaterTrtRainFed</v>
      </c>
      <c r="B1293" s="2">
        <v>2022010</v>
      </c>
      <c r="C1293" s="3" t="s">
        <v>1333</v>
      </c>
      <c r="D1293" s="3" t="s">
        <v>248</v>
      </c>
      <c r="F1293" s="3" t="s">
        <v>4178</v>
      </c>
      <c r="G1293" s="3" t="s">
        <v>39</v>
      </c>
      <c r="H1293" s="3" t="s">
        <v>253</v>
      </c>
      <c r="I1293" s="2">
        <v>38</v>
      </c>
      <c r="J1293" s="2">
        <v>38</v>
      </c>
      <c r="K1293" s="2">
        <v>5</v>
      </c>
      <c r="O1293" s="2">
        <v>10</v>
      </c>
      <c r="U1293" s="2">
        <v>19</v>
      </c>
      <c r="V1293" s="2">
        <v>8</v>
      </c>
      <c r="W1293" s="2">
        <v>15</v>
      </c>
      <c r="X1293" s="2">
        <v>3</v>
      </c>
      <c r="Z1293" s="2">
        <v>38</v>
      </c>
      <c r="AA1293" s="3" t="s">
        <v>40</v>
      </c>
      <c r="AB1293" s="2">
        <v>3</v>
      </c>
      <c r="AF1293" s="2">
        <v>25</v>
      </c>
      <c r="AG1293" s="2">
        <v>1</v>
      </c>
      <c r="AH1293" s="3" t="s">
        <v>1193</v>
      </c>
      <c r="AI1293" s="4">
        <v>44677</v>
      </c>
      <c r="AJ1293" s="3" t="s">
        <v>1371</v>
      </c>
      <c r="AK1293" s="3" t="s">
        <v>248</v>
      </c>
    </row>
    <row r="1294" spans="1:37" hidden="1" x14ac:dyDescent="0.25">
      <c r="A1294" t="str">
        <f t="shared" si="20"/>
        <v>2022_NSW_Greenethorpe_Chickpea_SatelliteTOS1VarietyDrummondWaterTrtRainFed</v>
      </c>
      <c r="B1294" s="2">
        <v>2022010</v>
      </c>
      <c r="C1294" s="3" t="s">
        <v>1333</v>
      </c>
      <c r="D1294" s="3" t="s">
        <v>248</v>
      </c>
      <c r="F1294" s="3" t="s">
        <v>4182</v>
      </c>
      <c r="G1294" s="3" t="s">
        <v>39</v>
      </c>
      <c r="H1294" s="3" t="s">
        <v>253</v>
      </c>
      <c r="I1294" s="2">
        <v>39</v>
      </c>
      <c r="J1294" s="2">
        <v>39</v>
      </c>
      <c r="K1294" s="2">
        <v>5</v>
      </c>
      <c r="O1294" s="2">
        <v>10</v>
      </c>
      <c r="U1294" s="2">
        <v>20</v>
      </c>
      <c r="V1294" s="2">
        <v>8</v>
      </c>
      <c r="W1294" s="2">
        <v>16</v>
      </c>
      <c r="X1294" s="2">
        <v>3</v>
      </c>
      <c r="Z1294" s="2">
        <v>39</v>
      </c>
      <c r="AA1294" s="3" t="s">
        <v>40</v>
      </c>
      <c r="AB1294" s="2">
        <v>2</v>
      </c>
      <c r="AF1294" s="2">
        <v>25</v>
      </c>
      <c r="AG1294" s="2">
        <v>1</v>
      </c>
      <c r="AH1294" s="3" t="s">
        <v>1193</v>
      </c>
      <c r="AI1294" s="4">
        <v>44677</v>
      </c>
      <c r="AJ1294" s="3" t="s">
        <v>1372</v>
      </c>
      <c r="AK1294" s="3" t="s">
        <v>248</v>
      </c>
    </row>
    <row r="1295" spans="1:37" hidden="1" x14ac:dyDescent="0.25">
      <c r="A1295" t="str">
        <f t="shared" si="20"/>
        <v>2022_NSW_Greenethorpe_Chickpea_SatelliteTOS1VarietyStrikerWaterTrtRainFed</v>
      </c>
      <c r="B1295" s="2">
        <v>2022010</v>
      </c>
      <c r="C1295" s="3" t="s">
        <v>1333</v>
      </c>
      <c r="D1295" s="3" t="s">
        <v>248</v>
      </c>
      <c r="F1295" s="3" t="s">
        <v>4179</v>
      </c>
      <c r="G1295" s="3" t="s">
        <v>43</v>
      </c>
      <c r="H1295" s="3" t="s">
        <v>253</v>
      </c>
      <c r="I1295" s="2">
        <v>40</v>
      </c>
      <c r="J1295" s="2">
        <v>40</v>
      </c>
      <c r="K1295" s="2">
        <v>5</v>
      </c>
      <c r="O1295" s="2">
        <v>10</v>
      </c>
      <c r="U1295" s="2">
        <v>21</v>
      </c>
      <c r="V1295" s="2">
        <v>8</v>
      </c>
      <c r="W1295" s="2">
        <v>17</v>
      </c>
      <c r="X1295" s="2">
        <v>3</v>
      </c>
      <c r="Z1295" s="2">
        <v>40</v>
      </c>
      <c r="AA1295" s="3" t="s">
        <v>40</v>
      </c>
      <c r="AB1295" s="2">
        <v>4</v>
      </c>
      <c r="AF1295" s="2">
        <v>25</v>
      </c>
      <c r="AG1295" s="2">
        <v>1</v>
      </c>
      <c r="AH1295" s="3" t="s">
        <v>1193</v>
      </c>
      <c r="AI1295" s="4">
        <v>44677</v>
      </c>
      <c r="AJ1295" s="3" t="s">
        <v>1373</v>
      </c>
      <c r="AK1295" s="3" t="s">
        <v>248</v>
      </c>
    </row>
    <row r="1296" spans="1:37" hidden="1" x14ac:dyDescent="0.25">
      <c r="A1296" t="str">
        <f t="shared" si="20"/>
        <v>2022_Vic_Ouyen_Chickpea_SatelliteTOS1VarietyHatTrickWaterTrtRainFed</v>
      </c>
      <c r="B1296" s="2">
        <v>2022011</v>
      </c>
      <c r="C1296" s="3" t="s">
        <v>1374</v>
      </c>
      <c r="D1296" s="3" t="s">
        <v>248</v>
      </c>
      <c r="F1296" s="3" t="s">
        <v>4178</v>
      </c>
      <c r="G1296" s="3" t="s">
        <v>39</v>
      </c>
      <c r="H1296" s="3" t="s">
        <v>253</v>
      </c>
      <c r="I1296" s="2">
        <v>1</v>
      </c>
      <c r="J1296" s="2">
        <v>1</v>
      </c>
      <c r="K1296" s="2">
        <v>1</v>
      </c>
      <c r="O1296" s="2">
        <v>1</v>
      </c>
      <c r="U1296" s="2">
        <v>1</v>
      </c>
      <c r="V1296" s="2">
        <v>1</v>
      </c>
      <c r="W1296" s="2">
        <v>1</v>
      </c>
      <c r="X1296" s="2">
        <v>1</v>
      </c>
      <c r="Z1296" s="2">
        <v>1</v>
      </c>
      <c r="AA1296" s="3" t="s">
        <v>40</v>
      </c>
      <c r="AB1296" s="2">
        <v>3</v>
      </c>
      <c r="AF1296" s="2">
        <v>28</v>
      </c>
      <c r="AG1296" s="2">
        <v>1</v>
      </c>
      <c r="AH1296" s="3" t="s">
        <v>1375</v>
      </c>
      <c r="AI1296" s="4">
        <v>44683</v>
      </c>
      <c r="AJ1296" s="3" t="s">
        <v>1376</v>
      </c>
      <c r="AK1296" s="3" t="s">
        <v>248</v>
      </c>
    </row>
    <row r="1297" spans="1:37" hidden="1" x14ac:dyDescent="0.25">
      <c r="A1297" t="str">
        <f t="shared" si="20"/>
        <v>2022_Vic_Ouyen_Chickpea_SatelliteTOS1VarietyDrummondWaterTrtRainFed</v>
      </c>
      <c r="B1297" s="2">
        <v>2022011</v>
      </c>
      <c r="C1297" s="3" t="s">
        <v>1374</v>
      </c>
      <c r="D1297" s="3" t="s">
        <v>248</v>
      </c>
      <c r="F1297" s="3" t="s">
        <v>4182</v>
      </c>
      <c r="G1297" s="3" t="s">
        <v>39</v>
      </c>
      <c r="H1297" s="3" t="s">
        <v>253</v>
      </c>
      <c r="I1297" s="2">
        <v>2</v>
      </c>
      <c r="J1297" s="2">
        <v>2</v>
      </c>
      <c r="K1297" s="2">
        <v>1</v>
      </c>
      <c r="O1297" s="2">
        <v>1</v>
      </c>
      <c r="U1297" s="2">
        <v>2</v>
      </c>
      <c r="V1297" s="2">
        <v>1</v>
      </c>
      <c r="W1297" s="2">
        <v>2</v>
      </c>
      <c r="X1297" s="2">
        <v>1</v>
      </c>
      <c r="Z1297" s="2">
        <v>2</v>
      </c>
      <c r="AA1297" s="3" t="s">
        <v>40</v>
      </c>
      <c r="AB1297" s="2">
        <v>2</v>
      </c>
      <c r="AF1297" s="2">
        <v>28</v>
      </c>
      <c r="AG1297" s="2">
        <v>1</v>
      </c>
      <c r="AH1297" s="3" t="s">
        <v>1375</v>
      </c>
      <c r="AI1297" s="4">
        <v>44683</v>
      </c>
      <c r="AJ1297" s="3" t="s">
        <v>1377</v>
      </c>
      <c r="AK1297" s="3" t="s">
        <v>248</v>
      </c>
    </row>
    <row r="1298" spans="1:37" hidden="1" x14ac:dyDescent="0.25">
      <c r="A1298" t="str">
        <f t="shared" si="20"/>
        <v>2022_Vic_Ouyen_Chickpea_SatelliteTOS1VarietyCBA_CaptainWaterTrtRainFed</v>
      </c>
      <c r="B1298" s="2">
        <v>2022011</v>
      </c>
      <c r="C1298" s="3" t="s">
        <v>1374</v>
      </c>
      <c r="D1298" s="3" t="s">
        <v>248</v>
      </c>
      <c r="F1298" s="3" t="s">
        <v>249</v>
      </c>
      <c r="G1298" s="3" t="s">
        <v>43</v>
      </c>
      <c r="H1298" s="3" t="s">
        <v>253</v>
      </c>
      <c r="I1298" s="2">
        <v>3</v>
      </c>
      <c r="J1298" s="2">
        <v>3</v>
      </c>
      <c r="K1298" s="2">
        <v>1</v>
      </c>
      <c r="O1298" s="2">
        <v>1</v>
      </c>
      <c r="U1298" s="2">
        <v>3</v>
      </c>
      <c r="V1298" s="2">
        <v>1</v>
      </c>
      <c r="W1298" s="2">
        <v>3</v>
      </c>
      <c r="X1298" s="2">
        <v>1</v>
      </c>
      <c r="Z1298" s="2">
        <v>3</v>
      </c>
      <c r="AA1298" s="3" t="s">
        <v>40</v>
      </c>
      <c r="AB1298" s="2">
        <v>1</v>
      </c>
      <c r="AF1298" s="2">
        <v>28</v>
      </c>
      <c r="AG1298" s="2">
        <v>1</v>
      </c>
      <c r="AH1298" s="3" t="s">
        <v>1375</v>
      </c>
      <c r="AI1298" s="4">
        <v>44683</v>
      </c>
      <c r="AJ1298" s="3" t="s">
        <v>1378</v>
      </c>
      <c r="AK1298" s="3" t="s">
        <v>248</v>
      </c>
    </row>
    <row r="1299" spans="1:37" hidden="1" x14ac:dyDescent="0.25">
      <c r="A1299" t="str">
        <f t="shared" si="20"/>
        <v>2022_Vic_Ouyen_Chickpea_SatelliteTOS1VarietyGenesis_090WaterTrtRainFed</v>
      </c>
      <c r="B1299" s="2">
        <v>2022011</v>
      </c>
      <c r="C1299" s="3" t="s">
        <v>1374</v>
      </c>
      <c r="D1299" s="3" t="s">
        <v>248</v>
      </c>
      <c r="F1299" s="3" t="s">
        <v>192</v>
      </c>
      <c r="G1299" s="3" t="s">
        <v>39</v>
      </c>
      <c r="H1299" s="3" t="s">
        <v>253</v>
      </c>
      <c r="I1299" s="2">
        <v>4</v>
      </c>
      <c r="J1299" s="2">
        <v>4</v>
      </c>
      <c r="K1299" s="2">
        <v>1</v>
      </c>
      <c r="O1299" s="2">
        <v>1</v>
      </c>
      <c r="U1299" s="2">
        <v>1</v>
      </c>
      <c r="V1299" s="2">
        <v>2</v>
      </c>
      <c r="W1299" s="2">
        <v>1</v>
      </c>
      <c r="X1299" s="2">
        <v>2</v>
      </c>
      <c r="Z1299" s="2">
        <v>6</v>
      </c>
      <c r="AA1299" s="3" t="s">
        <v>40</v>
      </c>
      <c r="AB1299" s="2">
        <v>5</v>
      </c>
      <c r="AF1299" s="2">
        <v>28</v>
      </c>
      <c r="AG1299" s="2">
        <v>1</v>
      </c>
      <c r="AH1299" s="3" t="s">
        <v>1375</v>
      </c>
      <c r="AI1299" s="4">
        <v>44683</v>
      </c>
      <c r="AJ1299" s="3" t="s">
        <v>1379</v>
      </c>
      <c r="AK1299" s="3" t="s">
        <v>248</v>
      </c>
    </row>
    <row r="1300" spans="1:37" hidden="1" x14ac:dyDescent="0.25">
      <c r="A1300" t="str">
        <f t="shared" si="20"/>
        <v>2022_Vic_Ouyen_Chickpea_SatelliteTOS1VarietyStrikerWaterTrtRainFed</v>
      </c>
      <c r="B1300" s="2">
        <v>2022011</v>
      </c>
      <c r="C1300" s="3" t="s">
        <v>1374</v>
      </c>
      <c r="D1300" s="3" t="s">
        <v>248</v>
      </c>
      <c r="F1300" s="3" t="s">
        <v>4179</v>
      </c>
      <c r="G1300" s="3" t="s">
        <v>43</v>
      </c>
      <c r="H1300" s="3" t="s">
        <v>253</v>
      </c>
      <c r="I1300" s="2">
        <v>5</v>
      </c>
      <c r="J1300" s="2">
        <v>5</v>
      </c>
      <c r="K1300" s="2">
        <v>1</v>
      </c>
      <c r="O1300" s="2">
        <v>1</v>
      </c>
      <c r="U1300" s="2">
        <v>2</v>
      </c>
      <c r="V1300" s="2">
        <v>2</v>
      </c>
      <c r="W1300" s="2">
        <v>2</v>
      </c>
      <c r="X1300" s="2">
        <v>2</v>
      </c>
      <c r="Z1300" s="2">
        <v>5</v>
      </c>
      <c r="AA1300" s="3" t="s">
        <v>40</v>
      </c>
      <c r="AB1300" s="2">
        <v>4</v>
      </c>
      <c r="AF1300" s="2">
        <v>28</v>
      </c>
      <c r="AG1300" s="2">
        <v>1</v>
      </c>
      <c r="AH1300" s="3" t="s">
        <v>1375</v>
      </c>
      <c r="AI1300" s="4">
        <v>44683</v>
      </c>
      <c r="AJ1300" s="3" t="s">
        <v>1380</v>
      </c>
      <c r="AK1300" s="3" t="s">
        <v>248</v>
      </c>
    </row>
    <row r="1301" spans="1:37" hidden="1" x14ac:dyDescent="0.25">
      <c r="A1301" t="str">
        <f t="shared" si="20"/>
        <v>2022_Vic_Ouyen_Chickpea_SatelliteTOS1VarietyMagnusWaterTrtRainFed</v>
      </c>
      <c r="B1301" s="2">
        <v>2022011</v>
      </c>
      <c r="C1301" s="3" t="s">
        <v>1374</v>
      </c>
      <c r="D1301" s="3" t="s">
        <v>248</v>
      </c>
      <c r="F1301" s="3" t="s">
        <v>4190</v>
      </c>
      <c r="G1301" s="3" t="s">
        <v>39</v>
      </c>
      <c r="H1301" s="3" t="s">
        <v>253</v>
      </c>
      <c r="I1301" s="2">
        <v>6</v>
      </c>
      <c r="J1301" s="2">
        <v>6</v>
      </c>
      <c r="K1301" s="2">
        <v>1</v>
      </c>
      <c r="O1301" s="2">
        <v>1</v>
      </c>
      <c r="U1301" s="2">
        <v>3</v>
      </c>
      <c r="V1301" s="2">
        <v>2</v>
      </c>
      <c r="W1301" s="2">
        <v>3</v>
      </c>
      <c r="X1301" s="2">
        <v>2</v>
      </c>
      <c r="Z1301" s="2">
        <v>4</v>
      </c>
      <c r="AA1301" s="3" t="s">
        <v>40</v>
      </c>
      <c r="AB1301" s="2">
        <v>6</v>
      </c>
      <c r="AF1301" s="2">
        <v>28</v>
      </c>
      <c r="AG1301" s="2">
        <v>1</v>
      </c>
      <c r="AH1301" s="3" t="s">
        <v>1375</v>
      </c>
      <c r="AI1301" s="4">
        <v>44683</v>
      </c>
      <c r="AJ1301" s="3" t="s">
        <v>1381</v>
      </c>
      <c r="AK1301" s="3" t="s">
        <v>248</v>
      </c>
    </row>
    <row r="1302" spans="1:37" hidden="1" x14ac:dyDescent="0.25">
      <c r="A1302" t="str">
        <f t="shared" si="20"/>
        <v>2022_Vic_Ouyen_Chickpea_SatelliteTOS2VarietyMagnusWaterTrtRainFed</v>
      </c>
      <c r="B1302" s="2">
        <v>2022011</v>
      </c>
      <c r="C1302" s="3" t="s">
        <v>1374</v>
      </c>
      <c r="D1302" s="3" t="s">
        <v>248</v>
      </c>
      <c r="F1302" s="3" t="s">
        <v>4190</v>
      </c>
      <c r="G1302" s="3" t="s">
        <v>39</v>
      </c>
      <c r="H1302" s="3" t="s">
        <v>253</v>
      </c>
      <c r="I1302" s="2">
        <v>7</v>
      </c>
      <c r="J1302" s="2">
        <v>7</v>
      </c>
      <c r="K1302" s="2">
        <v>1</v>
      </c>
      <c r="O1302" s="2">
        <v>2</v>
      </c>
      <c r="U1302" s="2">
        <v>1</v>
      </c>
      <c r="V1302" s="2">
        <v>4</v>
      </c>
      <c r="W1302" s="2">
        <v>1</v>
      </c>
      <c r="X1302" s="2">
        <v>3</v>
      </c>
      <c r="Z1302" s="2">
        <v>7</v>
      </c>
      <c r="AA1302" s="3" t="s">
        <v>40</v>
      </c>
      <c r="AB1302" s="2">
        <v>6</v>
      </c>
      <c r="AF1302" s="2">
        <v>28</v>
      </c>
      <c r="AG1302" s="2">
        <v>2</v>
      </c>
      <c r="AH1302" s="3" t="s">
        <v>1382</v>
      </c>
      <c r="AI1302" s="4">
        <v>44713</v>
      </c>
      <c r="AJ1302" s="3" t="s">
        <v>1383</v>
      </c>
      <c r="AK1302" s="3" t="s">
        <v>248</v>
      </c>
    </row>
    <row r="1303" spans="1:37" hidden="1" x14ac:dyDescent="0.25">
      <c r="A1303" t="str">
        <f t="shared" si="20"/>
        <v>2022_Vic_Ouyen_Chickpea_SatelliteTOS2VarietyCBA_CaptainWaterTrtRainFed</v>
      </c>
      <c r="B1303" s="2">
        <v>2022011</v>
      </c>
      <c r="C1303" s="3" t="s">
        <v>1374</v>
      </c>
      <c r="D1303" s="3" t="s">
        <v>248</v>
      </c>
      <c r="F1303" s="3" t="s">
        <v>249</v>
      </c>
      <c r="G1303" s="3" t="s">
        <v>43</v>
      </c>
      <c r="H1303" s="3" t="s">
        <v>253</v>
      </c>
      <c r="I1303" s="2">
        <v>8</v>
      </c>
      <c r="J1303" s="2">
        <v>8</v>
      </c>
      <c r="K1303" s="2">
        <v>1</v>
      </c>
      <c r="O1303" s="2">
        <v>2</v>
      </c>
      <c r="U1303" s="2">
        <v>2</v>
      </c>
      <c r="V1303" s="2">
        <v>4</v>
      </c>
      <c r="W1303" s="2">
        <v>2</v>
      </c>
      <c r="X1303" s="2">
        <v>3</v>
      </c>
      <c r="Z1303" s="2">
        <v>8</v>
      </c>
      <c r="AA1303" s="3" t="s">
        <v>40</v>
      </c>
      <c r="AB1303" s="2">
        <v>1</v>
      </c>
      <c r="AF1303" s="2">
        <v>28</v>
      </c>
      <c r="AG1303" s="2">
        <v>2</v>
      </c>
      <c r="AH1303" s="3" t="s">
        <v>1382</v>
      </c>
      <c r="AI1303" s="4">
        <v>44713</v>
      </c>
      <c r="AJ1303" s="3" t="s">
        <v>1384</v>
      </c>
      <c r="AK1303" s="3" t="s">
        <v>248</v>
      </c>
    </row>
    <row r="1304" spans="1:37" hidden="1" x14ac:dyDescent="0.25">
      <c r="A1304" t="str">
        <f t="shared" si="20"/>
        <v>2022_Vic_Ouyen_Chickpea_SatelliteTOS2VarietyHatTrickWaterTrtRainFed</v>
      </c>
      <c r="B1304" s="2">
        <v>2022011</v>
      </c>
      <c r="C1304" s="3" t="s">
        <v>1374</v>
      </c>
      <c r="D1304" s="3" t="s">
        <v>248</v>
      </c>
      <c r="F1304" s="3" t="s">
        <v>4178</v>
      </c>
      <c r="G1304" s="3" t="s">
        <v>39</v>
      </c>
      <c r="H1304" s="3" t="s">
        <v>253</v>
      </c>
      <c r="I1304" s="2">
        <v>9</v>
      </c>
      <c r="J1304" s="2">
        <v>9</v>
      </c>
      <c r="K1304" s="2">
        <v>1</v>
      </c>
      <c r="O1304" s="2">
        <v>2</v>
      </c>
      <c r="U1304" s="2">
        <v>3</v>
      </c>
      <c r="V1304" s="2">
        <v>4</v>
      </c>
      <c r="W1304" s="2">
        <v>3</v>
      </c>
      <c r="X1304" s="2">
        <v>3</v>
      </c>
      <c r="Z1304" s="2">
        <v>9</v>
      </c>
      <c r="AA1304" s="3" t="s">
        <v>40</v>
      </c>
      <c r="AB1304" s="2">
        <v>3</v>
      </c>
      <c r="AF1304" s="2">
        <v>28</v>
      </c>
      <c r="AG1304" s="2">
        <v>2</v>
      </c>
      <c r="AH1304" s="3" t="s">
        <v>1382</v>
      </c>
      <c r="AI1304" s="4">
        <v>44713</v>
      </c>
      <c r="AJ1304" s="3" t="s">
        <v>1385</v>
      </c>
      <c r="AK1304" s="3" t="s">
        <v>248</v>
      </c>
    </row>
    <row r="1305" spans="1:37" hidden="1" x14ac:dyDescent="0.25">
      <c r="A1305" t="str">
        <f t="shared" si="20"/>
        <v>2022_Vic_Ouyen_Chickpea_SatelliteTOS2VarietyDrummondWaterTrtRainFed</v>
      </c>
      <c r="B1305" s="2">
        <v>2022011</v>
      </c>
      <c r="C1305" s="3" t="s">
        <v>1374</v>
      </c>
      <c r="D1305" s="3" t="s">
        <v>248</v>
      </c>
      <c r="F1305" s="3" t="s">
        <v>4182</v>
      </c>
      <c r="G1305" s="3" t="s">
        <v>39</v>
      </c>
      <c r="H1305" s="3" t="s">
        <v>253</v>
      </c>
      <c r="I1305" s="2">
        <v>10</v>
      </c>
      <c r="J1305" s="2">
        <v>10</v>
      </c>
      <c r="K1305" s="2">
        <v>1</v>
      </c>
      <c r="O1305" s="2">
        <v>2</v>
      </c>
      <c r="U1305" s="2">
        <v>1</v>
      </c>
      <c r="V1305" s="2">
        <v>5</v>
      </c>
      <c r="W1305" s="2">
        <v>1</v>
      </c>
      <c r="X1305" s="2">
        <v>4</v>
      </c>
      <c r="Z1305" s="2">
        <v>12</v>
      </c>
      <c r="AA1305" s="3" t="s">
        <v>40</v>
      </c>
      <c r="AB1305" s="2">
        <v>2</v>
      </c>
      <c r="AF1305" s="2">
        <v>28</v>
      </c>
      <c r="AG1305" s="2">
        <v>2</v>
      </c>
      <c r="AH1305" s="3" t="s">
        <v>1382</v>
      </c>
      <c r="AI1305" s="4">
        <v>44713</v>
      </c>
      <c r="AJ1305" s="3" t="s">
        <v>1386</v>
      </c>
      <c r="AK1305" s="3" t="s">
        <v>248</v>
      </c>
    </row>
    <row r="1306" spans="1:37" hidden="1" x14ac:dyDescent="0.25">
      <c r="A1306" t="str">
        <f t="shared" si="20"/>
        <v>2022_Vic_Ouyen_Chickpea_SatelliteTOS2VarietyGenesis_090WaterTrtRainFed</v>
      </c>
      <c r="B1306" s="2">
        <v>2022011</v>
      </c>
      <c r="C1306" s="3" t="s">
        <v>1374</v>
      </c>
      <c r="D1306" s="3" t="s">
        <v>248</v>
      </c>
      <c r="F1306" s="3" t="s">
        <v>192</v>
      </c>
      <c r="G1306" s="3" t="s">
        <v>39</v>
      </c>
      <c r="H1306" s="3" t="s">
        <v>253</v>
      </c>
      <c r="I1306" s="2">
        <v>11</v>
      </c>
      <c r="J1306" s="2">
        <v>11</v>
      </c>
      <c r="K1306" s="2">
        <v>1</v>
      </c>
      <c r="O1306" s="2">
        <v>2</v>
      </c>
      <c r="U1306" s="2">
        <v>2</v>
      </c>
      <c r="V1306" s="2">
        <v>5</v>
      </c>
      <c r="W1306" s="2">
        <v>2</v>
      </c>
      <c r="X1306" s="2">
        <v>4</v>
      </c>
      <c r="Z1306" s="2">
        <v>11</v>
      </c>
      <c r="AA1306" s="3" t="s">
        <v>40</v>
      </c>
      <c r="AB1306" s="2">
        <v>5</v>
      </c>
      <c r="AF1306" s="2">
        <v>28</v>
      </c>
      <c r="AG1306" s="2">
        <v>2</v>
      </c>
      <c r="AH1306" s="3" t="s">
        <v>1382</v>
      </c>
      <c r="AI1306" s="4">
        <v>44713</v>
      </c>
      <c r="AJ1306" s="3" t="s">
        <v>1387</v>
      </c>
      <c r="AK1306" s="3" t="s">
        <v>248</v>
      </c>
    </row>
    <row r="1307" spans="1:37" hidden="1" x14ac:dyDescent="0.25">
      <c r="A1307" t="str">
        <f t="shared" si="20"/>
        <v>2022_Vic_Ouyen_Chickpea_SatelliteTOS2VarietyStrikerWaterTrtRainFed</v>
      </c>
      <c r="B1307" s="2">
        <v>2022011</v>
      </c>
      <c r="C1307" s="3" t="s">
        <v>1374</v>
      </c>
      <c r="D1307" s="3" t="s">
        <v>248</v>
      </c>
      <c r="F1307" s="3" t="s">
        <v>4179</v>
      </c>
      <c r="G1307" s="3" t="s">
        <v>43</v>
      </c>
      <c r="H1307" s="3" t="s">
        <v>253</v>
      </c>
      <c r="I1307" s="2">
        <v>12</v>
      </c>
      <c r="J1307" s="2">
        <v>12</v>
      </c>
      <c r="K1307" s="2">
        <v>1</v>
      </c>
      <c r="O1307" s="2">
        <v>2</v>
      </c>
      <c r="U1307" s="2">
        <v>3</v>
      </c>
      <c r="V1307" s="2">
        <v>5</v>
      </c>
      <c r="W1307" s="2">
        <v>3</v>
      </c>
      <c r="X1307" s="2">
        <v>4</v>
      </c>
      <c r="Z1307" s="2">
        <v>10</v>
      </c>
      <c r="AA1307" s="3" t="s">
        <v>40</v>
      </c>
      <c r="AB1307" s="2">
        <v>4</v>
      </c>
      <c r="AF1307" s="2">
        <v>28</v>
      </c>
      <c r="AG1307" s="2">
        <v>2</v>
      </c>
      <c r="AH1307" s="3" t="s">
        <v>1382</v>
      </c>
      <c r="AI1307" s="4">
        <v>44713</v>
      </c>
      <c r="AJ1307" s="3" t="s">
        <v>1388</v>
      </c>
      <c r="AK1307" s="3" t="s">
        <v>248</v>
      </c>
    </row>
    <row r="1308" spans="1:37" hidden="1" x14ac:dyDescent="0.25">
      <c r="A1308" t="str">
        <f t="shared" si="20"/>
        <v>2022_Vic_Ouyen_Chickpea_SatelliteTOS2VarietyCBA_CaptainWaterTrtRainFed</v>
      </c>
      <c r="B1308" s="2">
        <v>2022011</v>
      </c>
      <c r="C1308" s="3" t="s">
        <v>1374</v>
      </c>
      <c r="D1308" s="3" t="s">
        <v>248</v>
      </c>
      <c r="F1308" s="3" t="s">
        <v>249</v>
      </c>
      <c r="G1308" s="3" t="s">
        <v>43</v>
      </c>
      <c r="H1308" s="3" t="s">
        <v>253</v>
      </c>
      <c r="I1308" s="2">
        <v>13</v>
      </c>
      <c r="J1308" s="2">
        <v>13</v>
      </c>
      <c r="K1308" s="2">
        <v>2</v>
      </c>
      <c r="O1308" s="2">
        <v>3</v>
      </c>
      <c r="U1308" s="2">
        <v>1</v>
      </c>
      <c r="V1308" s="2">
        <v>7</v>
      </c>
      <c r="W1308" s="2">
        <v>1</v>
      </c>
      <c r="X1308" s="2">
        <v>5</v>
      </c>
      <c r="Z1308" s="2">
        <v>13</v>
      </c>
      <c r="AA1308" s="3" t="s">
        <v>40</v>
      </c>
      <c r="AB1308" s="2">
        <v>1</v>
      </c>
      <c r="AF1308" s="2">
        <v>28</v>
      </c>
      <c r="AG1308" s="2">
        <v>2</v>
      </c>
      <c r="AH1308" s="3" t="s">
        <v>1382</v>
      </c>
      <c r="AI1308" s="4">
        <v>44713</v>
      </c>
      <c r="AJ1308" s="3" t="s">
        <v>1389</v>
      </c>
      <c r="AK1308" s="3" t="s">
        <v>248</v>
      </c>
    </row>
    <row r="1309" spans="1:37" hidden="1" x14ac:dyDescent="0.25">
      <c r="A1309" t="str">
        <f t="shared" si="20"/>
        <v>2022_Vic_Ouyen_Chickpea_SatelliteTOS2VarietyStrikerWaterTrtRainFed</v>
      </c>
      <c r="B1309" s="2">
        <v>2022011</v>
      </c>
      <c r="C1309" s="3" t="s">
        <v>1374</v>
      </c>
      <c r="D1309" s="3" t="s">
        <v>248</v>
      </c>
      <c r="F1309" s="3" t="s">
        <v>4179</v>
      </c>
      <c r="G1309" s="3" t="s">
        <v>43</v>
      </c>
      <c r="H1309" s="3" t="s">
        <v>253</v>
      </c>
      <c r="I1309" s="2">
        <v>14</v>
      </c>
      <c r="J1309" s="2">
        <v>14</v>
      </c>
      <c r="K1309" s="2">
        <v>2</v>
      </c>
      <c r="O1309" s="2">
        <v>3</v>
      </c>
      <c r="U1309" s="2">
        <v>2</v>
      </c>
      <c r="V1309" s="2">
        <v>7</v>
      </c>
      <c r="W1309" s="2">
        <v>2</v>
      </c>
      <c r="X1309" s="2">
        <v>5</v>
      </c>
      <c r="Z1309" s="2">
        <v>14</v>
      </c>
      <c r="AA1309" s="3" t="s">
        <v>40</v>
      </c>
      <c r="AB1309" s="2">
        <v>4</v>
      </c>
      <c r="AF1309" s="2">
        <v>28</v>
      </c>
      <c r="AG1309" s="2">
        <v>2</v>
      </c>
      <c r="AH1309" s="3" t="s">
        <v>1382</v>
      </c>
      <c r="AI1309" s="4">
        <v>44713</v>
      </c>
      <c r="AJ1309" s="3" t="s">
        <v>1390</v>
      </c>
      <c r="AK1309" s="3" t="s">
        <v>248</v>
      </c>
    </row>
    <row r="1310" spans="1:37" hidden="1" x14ac:dyDescent="0.25">
      <c r="A1310" t="str">
        <f t="shared" si="20"/>
        <v>2022_Vic_Ouyen_Chickpea_SatelliteTOS2VarietyGenesis_090WaterTrtRainFed</v>
      </c>
      <c r="B1310" s="2">
        <v>2022011</v>
      </c>
      <c r="C1310" s="3" t="s">
        <v>1374</v>
      </c>
      <c r="D1310" s="3" t="s">
        <v>248</v>
      </c>
      <c r="F1310" s="3" t="s">
        <v>192</v>
      </c>
      <c r="G1310" s="3" t="s">
        <v>39</v>
      </c>
      <c r="H1310" s="3" t="s">
        <v>253</v>
      </c>
      <c r="I1310" s="2">
        <v>15</v>
      </c>
      <c r="J1310" s="2">
        <v>15</v>
      </c>
      <c r="K1310" s="2">
        <v>2</v>
      </c>
      <c r="O1310" s="2">
        <v>3</v>
      </c>
      <c r="U1310" s="2">
        <v>3</v>
      </c>
      <c r="V1310" s="2">
        <v>7</v>
      </c>
      <c r="W1310" s="2">
        <v>3</v>
      </c>
      <c r="X1310" s="2">
        <v>5</v>
      </c>
      <c r="Z1310" s="2">
        <v>15</v>
      </c>
      <c r="AA1310" s="3" t="s">
        <v>40</v>
      </c>
      <c r="AB1310" s="2">
        <v>5</v>
      </c>
      <c r="AF1310" s="2">
        <v>28</v>
      </c>
      <c r="AG1310" s="2">
        <v>2</v>
      </c>
      <c r="AH1310" s="3" t="s">
        <v>1382</v>
      </c>
      <c r="AI1310" s="4">
        <v>44713</v>
      </c>
      <c r="AJ1310" s="3" t="s">
        <v>1391</v>
      </c>
      <c r="AK1310" s="3" t="s">
        <v>248</v>
      </c>
    </row>
    <row r="1311" spans="1:37" hidden="1" x14ac:dyDescent="0.25">
      <c r="A1311" t="str">
        <f t="shared" si="20"/>
        <v>2022_Vic_Ouyen_Chickpea_SatelliteTOS2VarietyDrummondWaterTrtRainFed</v>
      </c>
      <c r="B1311" s="2">
        <v>2022011</v>
      </c>
      <c r="C1311" s="3" t="s">
        <v>1374</v>
      </c>
      <c r="D1311" s="3" t="s">
        <v>248</v>
      </c>
      <c r="F1311" s="3" t="s">
        <v>4182</v>
      </c>
      <c r="G1311" s="3" t="s">
        <v>39</v>
      </c>
      <c r="H1311" s="3" t="s">
        <v>253</v>
      </c>
      <c r="I1311" s="2">
        <v>16</v>
      </c>
      <c r="J1311" s="2">
        <v>16</v>
      </c>
      <c r="K1311" s="2">
        <v>2</v>
      </c>
      <c r="O1311" s="2">
        <v>3</v>
      </c>
      <c r="U1311" s="2">
        <v>1</v>
      </c>
      <c r="V1311" s="2">
        <v>8</v>
      </c>
      <c r="W1311" s="2">
        <v>1</v>
      </c>
      <c r="X1311" s="2">
        <v>6</v>
      </c>
      <c r="Z1311" s="2">
        <v>18</v>
      </c>
      <c r="AA1311" s="3" t="s">
        <v>40</v>
      </c>
      <c r="AB1311" s="2">
        <v>2</v>
      </c>
      <c r="AF1311" s="2">
        <v>28</v>
      </c>
      <c r="AG1311" s="2">
        <v>2</v>
      </c>
      <c r="AH1311" s="3" t="s">
        <v>1382</v>
      </c>
      <c r="AI1311" s="4">
        <v>44713</v>
      </c>
      <c r="AJ1311" s="3" t="s">
        <v>1392</v>
      </c>
      <c r="AK1311" s="3" t="s">
        <v>248</v>
      </c>
    </row>
    <row r="1312" spans="1:37" hidden="1" x14ac:dyDescent="0.25">
      <c r="A1312" t="str">
        <f t="shared" si="20"/>
        <v>2022_Vic_Ouyen_Chickpea_SatelliteTOS2VarietyHatTrickWaterTrtRainFed</v>
      </c>
      <c r="B1312" s="2">
        <v>2022011</v>
      </c>
      <c r="C1312" s="3" t="s">
        <v>1374</v>
      </c>
      <c r="D1312" s="3" t="s">
        <v>248</v>
      </c>
      <c r="F1312" s="3" t="s">
        <v>4178</v>
      </c>
      <c r="G1312" s="3" t="s">
        <v>39</v>
      </c>
      <c r="H1312" s="3" t="s">
        <v>253</v>
      </c>
      <c r="I1312" s="2">
        <v>17</v>
      </c>
      <c r="J1312" s="2">
        <v>17</v>
      </c>
      <c r="K1312" s="2">
        <v>2</v>
      </c>
      <c r="O1312" s="2">
        <v>3</v>
      </c>
      <c r="U1312" s="2">
        <v>2</v>
      </c>
      <c r="V1312" s="2">
        <v>8</v>
      </c>
      <c r="W1312" s="2">
        <v>2</v>
      </c>
      <c r="X1312" s="2">
        <v>6</v>
      </c>
      <c r="Z1312" s="2">
        <v>17</v>
      </c>
      <c r="AA1312" s="3" t="s">
        <v>40</v>
      </c>
      <c r="AB1312" s="2">
        <v>3</v>
      </c>
      <c r="AF1312" s="2">
        <v>28</v>
      </c>
      <c r="AG1312" s="2">
        <v>2</v>
      </c>
      <c r="AH1312" s="3" t="s">
        <v>1382</v>
      </c>
      <c r="AI1312" s="4">
        <v>44713</v>
      </c>
      <c r="AJ1312" s="3" t="s">
        <v>1393</v>
      </c>
      <c r="AK1312" s="3" t="s">
        <v>248</v>
      </c>
    </row>
    <row r="1313" spans="1:37" hidden="1" x14ac:dyDescent="0.25">
      <c r="A1313" t="str">
        <f t="shared" si="20"/>
        <v>2022_Vic_Ouyen_Chickpea_SatelliteTOS2VarietyMagnusWaterTrtRainFed</v>
      </c>
      <c r="B1313" s="2">
        <v>2022011</v>
      </c>
      <c r="C1313" s="3" t="s">
        <v>1374</v>
      </c>
      <c r="D1313" s="3" t="s">
        <v>248</v>
      </c>
      <c r="F1313" s="3" t="s">
        <v>4190</v>
      </c>
      <c r="G1313" s="3" t="s">
        <v>39</v>
      </c>
      <c r="H1313" s="3" t="s">
        <v>253</v>
      </c>
      <c r="I1313" s="2">
        <v>18</v>
      </c>
      <c r="J1313" s="2">
        <v>18</v>
      </c>
      <c r="K1313" s="2">
        <v>2</v>
      </c>
      <c r="O1313" s="2">
        <v>3</v>
      </c>
      <c r="U1313" s="2">
        <v>3</v>
      </c>
      <c r="V1313" s="2">
        <v>8</v>
      </c>
      <c r="W1313" s="2">
        <v>3</v>
      </c>
      <c r="X1313" s="2">
        <v>6</v>
      </c>
      <c r="Z1313" s="2">
        <v>16</v>
      </c>
      <c r="AA1313" s="3" t="s">
        <v>40</v>
      </c>
      <c r="AB1313" s="2">
        <v>6</v>
      </c>
      <c r="AF1313" s="2">
        <v>28</v>
      </c>
      <c r="AG1313" s="2">
        <v>2</v>
      </c>
      <c r="AH1313" s="3" t="s">
        <v>1382</v>
      </c>
      <c r="AI1313" s="4">
        <v>44713</v>
      </c>
      <c r="AJ1313" s="3" t="s">
        <v>1394</v>
      </c>
      <c r="AK1313" s="3" t="s">
        <v>248</v>
      </c>
    </row>
    <row r="1314" spans="1:37" hidden="1" x14ac:dyDescent="0.25">
      <c r="A1314" t="str">
        <f t="shared" si="20"/>
        <v>2022_Vic_Ouyen_Chickpea_SatelliteTOS1VarietyHatTrickWaterTrtRainFed</v>
      </c>
      <c r="B1314" s="2">
        <v>2022011</v>
      </c>
      <c r="C1314" s="3" t="s">
        <v>1374</v>
      </c>
      <c r="D1314" s="3" t="s">
        <v>248</v>
      </c>
      <c r="F1314" s="3" t="s">
        <v>4178</v>
      </c>
      <c r="G1314" s="3" t="s">
        <v>39</v>
      </c>
      <c r="H1314" s="3" t="s">
        <v>253</v>
      </c>
      <c r="I1314" s="2">
        <v>19</v>
      </c>
      <c r="J1314" s="2">
        <v>19</v>
      </c>
      <c r="K1314" s="2">
        <v>2</v>
      </c>
      <c r="O1314" s="2">
        <v>4</v>
      </c>
      <c r="U1314" s="2">
        <v>1</v>
      </c>
      <c r="V1314" s="2">
        <v>10</v>
      </c>
      <c r="W1314" s="2">
        <v>1</v>
      </c>
      <c r="X1314" s="2">
        <v>7</v>
      </c>
      <c r="Z1314" s="2">
        <v>19</v>
      </c>
      <c r="AA1314" s="3" t="s">
        <v>40</v>
      </c>
      <c r="AB1314" s="2">
        <v>3</v>
      </c>
      <c r="AF1314" s="2">
        <v>28</v>
      </c>
      <c r="AG1314" s="2">
        <v>1</v>
      </c>
      <c r="AH1314" s="3" t="s">
        <v>1375</v>
      </c>
      <c r="AI1314" s="4">
        <v>44683</v>
      </c>
      <c r="AJ1314" s="3" t="s">
        <v>1395</v>
      </c>
      <c r="AK1314" s="3" t="s">
        <v>248</v>
      </c>
    </row>
    <row r="1315" spans="1:37" hidden="1" x14ac:dyDescent="0.25">
      <c r="A1315" t="str">
        <f t="shared" si="20"/>
        <v>2022_Vic_Ouyen_Chickpea_SatelliteTOS1VarietyMagnusWaterTrtRainFed</v>
      </c>
      <c r="B1315" s="2">
        <v>2022011</v>
      </c>
      <c r="C1315" s="3" t="s">
        <v>1374</v>
      </c>
      <c r="D1315" s="3" t="s">
        <v>248</v>
      </c>
      <c r="F1315" s="3" t="s">
        <v>4190</v>
      </c>
      <c r="G1315" s="3" t="s">
        <v>39</v>
      </c>
      <c r="H1315" s="3" t="s">
        <v>253</v>
      </c>
      <c r="I1315" s="2">
        <v>20</v>
      </c>
      <c r="J1315" s="2">
        <v>20</v>
      </c>
      <c r="K1315" s="2">
        <v>2</v>
      </c>
      <c r="O1315" s="2">
        <v>4</v>
      </c>
      <c r="U1315" s="2">
        <v>2</v>
      </c>
      <c r="V1315" s="2">
        <v>10</v>
      </c>
      <c r="W1315" s="2">
        <v>2</v>
      </c>
      <c r="X1315" s="2">
        <v>7</v>
      </c>
      <c r="Z1315" s="2">
        <v>20</v>
      </c>
      <c r="AA1315" s="3" t="s">
        <v>40</v>
      </c>
      <c r="AB1315" s="2">
        <v>6</v>
      </c>
      <c r="AF1315" s="2">
        <v>28</v>
      </c>
      <c r="AG1315" s="2">
        <v>1</v>
      </c>
      <c r="AH1315" s="3" t="s">
        <v>1375</v>
      </c>
      <c r="AI1315" s="4">
        <v>44683</v>
      </c>
      <c r="AJ1315" s="3" t="s">
        <v>1396</v>
      </c>
      <c r="AK1315" s="3" t="s">
        <v>248</v>
      </c>
    </row>
    <row r="1316" spans="1:37" hidden="1" x14ac:dyDescent="0.25">
      <c r="A1316" t="str">
        <f t="shared" si="20"/>
        <v>2022_Vic_Ouyen_Chickpea_SatelliteTOS1VarietyGenesis_090WaterTrtRainFed</v>
      </c>
      <c r="B1316" s="2">
        <v>2022011</v>
      </c>
      <c r="C1316" s="3" t="s">
        <v>1374</v>
      </c>
      <c r="D1316" s="3" t="s">
        <v>248</v>
      </c>
      <c r="F1316" s="3" t="s">
        <v>192</v>
      </c>
      <c r="G1316" s="3" t="s">
        <v>39</v>
      </c>
      <c r="H1316" s="3" t="s">
        <v>253</v>
      </c>
      <c r="I1316" s="2">
        <v>21</v>
      </c>
      <c r="J1316" s="2">
        <v>21</v>
      </c>
      <c r="K1316" s="2">
        <v>2</v>
      </c>
      <c r="O1316" s="2">
        <v>4</v>
      </c>
      <c r="U1316" s="2">
        <v>3</v>
      </c>
      <c r="V1316" s="2">
        <v>10</v>
      </c>
      <c r="W1316" s="2">
        <v>3</v>
      </c>
      <c r="X1316" s="2">
        <v>7</v>
      </c>
      <c r="Z1316" s="2">
        <v>21</v>
      </c>
      <c r="AA1316" s="3" t="s">
        <v>40</v>
      </c>
      <c r="AB1316" s="2">
        <v>5</v>
      </c>
      <c r="AF1316" s="2">
        <v>28</v>
      </c>
      <c r="AG1316" s="2">
        <v>1</v>
      </c>
      <c r="AH1316" s="3" t="s">
        <v>1375</v>
      </c>
      <c r="AI1316" s="4">
        <v>44683</v>
      </c>
      <c r="AJ1316" s="3" t="s">
        <v>1397</v>
      </c>
      <c r="AK1316" s="3" t="s">
        <v>248</v>
      </c>
    </row>
    <row r="1317" spans="1:37" hidden="1" x14ac:dyDescent="0.25">
      <c r="A1317" t="str">
        <f t="shared" si="20"/>
        <v>2022_Vic_Ouyen_Chickpea_SatelliteTOS1VarietyCBA_CaptainWaterTrtRainFed</v>
      </c>
      <c r="B1317" s="2">
        <v>2022011</v>
      </c>
      <c r="C1317" s="3" t="s">
        <v>1374</v>
      </c>
      <c r="D1317" s="3" t="s">
        <v>248</v>
      </c>
      <c r="F1317" s="3" t="s">
        <v>249</v>
      </c>
      <c r="G1317" s="3" t="s">
        <v>43</v>
      </c>
      <c r="H1317" s="3" t="s">
        <v>253</v>
      </c>
      <c r="I1317" s="2">
        <v>22</v>
      </c>
      <c r="J1317" s="2">
        <v>22</v>
      </c>
      <c r="K1317" s="2">
        <v>2</v>
      </c>
      <c r="O1317" s="2">
        <v>4</v>
      </c>
      <c r="U1317" s="2">
        <v>1</v>
      </c>
      <c r="V1317" s="2">
        <v>11</v>
      </c>
      <c r="W1317" s="2">
        <v>1</v>
      </c>
      <c r="X1317" s="2">
        <v>8</v>
      </c>
      <c r="Z1317" s="2">
        <v>24</v>
      </c>
      <c r="AA1317" s="3" t="s">
        <v>40</v>
      </c>
      <c r="AB1317" s="2">
        <v>1</v>
      </c>
      <c r="AF1317" s="2">
        <v>28</v>
      </c>
      <c r="AG1317" s="2">
        <v>1</v>
      </c>
      <c r="AH1317" s="3" t="s">
        <v>1375</v>
      </c>
      <c r="AI1317" s="4">
        <v>44683</v>
      </c>
      <c r="AJ1317" s="3" t="s">
        <v>1398</v>
      </c>
      <c r="AK1317" s="3" t="s">
        <v>248</v>
      </c>
    </row>
    <row r="1318" spans="1:37" hidden="1" x14ac:dyDescent="0.25">
      <c r="A1318" t="str">
        <f t="shared" si="20"/>
        <v>2022_Vic_Ouyen_Chickpea_SatelliteTOS1VarietyDrummondWaterTrtRainFed</v>
      </c>
      <c r="B1318" s="2">
        <v>2022011</v>
      </c>
      <c r="C1318" s="3" t="s">
        <v>1374</v>
      </c>
      <c r="D1318" s="3" t="s">
        <v>248</v>
      </c>
      <c r="F1318" s="3" t="s">
        <v>4182</v>
      </c>
      <c r="G1318" s="3" t="s">
        <v>39</v>
      </c>
      <c r="H1318" s="3" t="s">
        <v>253</v>
      </c>
      <c r="I1318" s="2">
        <v>23</v>
      </c>
      <c r="J1318" s="2">
        <v>23</v>
      </c>
      <c r="K1318" s="2">
        <v>2</v>
      </c>
      <c r="O1318" s="2">
        <v>4</v>
      </c>
      <c r="U1318" s="2">
        <v>2</v>
      </c>
      <c r="V1318" s="2">
        <v>11</v>
      </c>
      <c r="W1318" s="2">
        <v>2</v>
      </c>
      <c r="X1318" s="2">
        <v>8</v>
      </c>
      <c r="Z1318" s="2">
        <v>23</v>
      </c>
      <c r="AA1318" s="3" t="s">
        <v>40</v>
      </c>
      <c r="AB1318" s="2">
        <v>2</v>
      </c>
      <c r="AF1318" s="2">
        <v>28</v>
      </c>
      <c r="AG1318" s="2">
        <v>1</v>
      </c>
      <c r="AH1318" s="3" t="s">
        <v>1375</v>
      </c>
      <c r="AI1318" s="4">
        <v>44683</v>
      </c>
      <c r="AJ1318" s="3" t="s">
        <v>1399</v>
      </c>
      <c r="AK1318" s="3" t="s">
        <v>248</v>
      </c>
    </row>
    <row r="1319" spans="1:37" hidden="1" x14ac:dyDescent="0.25">
      <c r="A1319" t="str">
        <f t="shared" si="20"/>
        <v>2022_Vic_Ouyen_Chickpea_SatelliteTOS1VarietyStrikerWaterTrtRainFed</v>
      </c>
      <c r="B1319" s="2">
        <v>2022011</v>
      </c>
      <c r="C1319" s="3" t="s">
        <v>1374</v>
      </c>
      <c r="D1319" s="3" t="s">
        <v>248</v>
      </c>
      <c r="F1319" s="3" t="s">
        <v>4179</v>
      </c>
      <c r="G1319" s="3" t="s">
        <v>43</v>
      </c>
      <c r="H1319" s="3" t="s">
        <v>253</v>
      </c>
      <c r="I1319" s="2">
        <v>24</v>
      </c>
      <c r="J1319" s="2">
        <v>24</v>
      </c>
      <c r="K1319" s="2">
        <v>2</v>
      </c>
      <c r="O1319" s="2">
        <v>4</v>
      </c>
      <c r="U1319" s="2">
        <v>3</v>
      </c>
      <c r="V1319" s="2">
        <v>11</v>
      </c>
      <c r="W1319" s="2">
        <v>3</v>
      </c>
      <c r="X1319" s="2">
        <v>8</v>
      </c>
      <c r="Z1319" s="2">
        <v>22</v>
      </c>
      <c r="AA1319" s="3" t="s">
        <v>40</v>
      </c>
      <c r="AB1319" s="2">
        <v>4</v>
      </c>
      <c r="AF1319" s="2">
        <v>28</v>
      </c>
      <c r="AG1319" s="2">
        <v>1</v>
      </c>
      <c r="AH1319" s="3" t="s">
        <v>1375</v>
      </c>
      <c r="AI1319" s="4">
        <v>44683</v>
      </c>
      <c r="AJ1319" s="3" t="s">
        <v>1400</v>
      </c>
      <c r="AK1319" s="3" t="s">
        <v>248</v>
      </c>
    </row>
    <row r="1320" spans="1:37" hidden="1" x14ac:dyDescent="0.25">
      <c r="A1320" t="str">
        <f t="shared" si="20"/>
        <v>2022_Vic_Ouyen_Chickpea_SatelliteTOS2VarietyCBA_CaptainWaterTrtRainFed</v>
      </c>
      <c r="B1320" s="2">
        <v>2022011</v>
      </c>
      <c r="C1320" s="3" t="s">
        <v>1374</v>
      </c>
      <c r="D1320" s="3" t="s">
        <v>248</v>
      </c>
      <c r="F1320" s="3" t="s">
        <v>249</v>
      </c>
      <c r="G1320" s="3" t="s">
        <v>43</v>
      </c>
      <c r="H1320" s="3" t="s">
        <v>253</v>
      </c>
      <c r="I1320" s="2">
        <v>25</v>
      </c>
      <c r="J1320" s="2">
        <v>25</v>
      </c>
      <c r="K1320" s="2">
        <v>3</v>
      </c>
      <c r="O1320" s="2">
        <v>5</v>
      </c>
      <c r="U1320" s="2">
        <v>1</v>
      </c>
      <c r="V1320" s="2">
        <v>13</v>
      </c>
      <c r="W1320" s="2">
        <v>1</v>
      </c>
      <c r="X1320" s="2">
        <v>9</v>
      </c>
      <c r="Z1320" s="2">
        <v>25</v>
      </c>
      <c r="AA1320" s="3" t="s">
        <v>40</v>
      </c>
      <c r="AB1320" s="2">
        <v>1</v>
      </c>
      <c r="AF1320" s="2">
        <v>28</v>
      </c>
      <c r="AG1320" s="2">
        <v>2</v>
      </c>
      <c r="AH1320" s="3" t="s">
        <v>1382</v>
      </c>
      <c r="AI1320" s="4">
        <v>44713</v>
      </c>
      <c r="AJ1320" s="3" t="s">
        <v>1401</v>
      </c>
      <c r="AK1320" s="3" t="s">
        <v>248</v>
      </c>
    </row>
    <row r="1321" spans="1:37" hidden="1" x14ac:dyDescent="0.25">
      <c r="A1321" t="str">
        <f t="shared" si="20"/>
        <v>2022_Vic_Ouyen_Chickpea_SatelliteTOS2VarietyMagnusWaterTrtRainFed</v>
      </c>
      <c r="B1321" s="2">
        <v>2022011</v>
      </c>
      <c r="C1321" s="3" t="s">
        <v>1374</v>
      </c>
      <c r="D1321" s="3" t="s">
        <v>248</v>
      </c>
      <c r="F1321" s="3" t="s">
        <v>4190</v>
      </c>
      <c r="G1321" s="3" t="s">
        <v>39</v>
      </c>
      <c r="H1321" s="3" t="s">
        <v>253</v>
      </c>
      <c r="I1321" s="2">
        <v>26</v>
      </c>
      <c r="J1321" s="2">
        <v>26</v>
      </c>
      <c r="K1321" s="2">
        <v>3</v>
      </c>
      <c r="O1321" s="2">
        <v>5</v>
      </c>
      <c r="U1321" s="2">
        <v>2</v>
      </c>
      <c r="V1321" s="2">
        <v>13</v>
      </c>
      <c r="W1321" s="2">
        <v>2</v>
      </c>
      <c r="X1321" s="2">
        <v>9</v>
      </c>
      <c r="Z1321" s="2">
        <v>26</v>
      </c>
      <c r="AA1321" s="3" t="s">
        <v>40</v>
      </c>
      <c r="AB1321" s="2">
        <v>6</v>
      </c>
      <c r="AF1321" s="2">
        <v>28</v>
      </c>
      <c r="AG1321" s="2">
        <v>2</v>
      </c>
      <c r="AH1321" s="3" t="s">
        <v>1382</v>
      </c>
      <c r="AI1321" s="4">
        <v>44713</v>
      </c>
      <c r="AJ1321" s="3" t="s">
        <v>1402</v>
      </c>
      <c r="AK1321" s="3" t="s">
        <v>248</v>
      </c>
    </row>
    <row r="1322" spans="1:37" hidden="1" x14ac:dyDescent="0.25">
      <c r="A1322" t="str">
        <f t="shared" si="20"/>
        <v>2022_Vic_Ouyen_Chickpea_SatelliteTOS2VarietyDrummondWaterTrtRainFed</v>
      </c>
      <c r="B1322" s="2">
        <v>2022011</v>
      </c>
      <c r="C1322" s="3" t="s">
        <v>1374</v>
      </c>
      <c r="D1322" s="3" t="s">
        <v>248</v>
      </c>
      <c r="F1322" s="3" t="s">
        <v>4182</v>
      </c>
      <c r="G1322" s="3" t="s">
        <v>39</v>
      </c>
      <c r="H1322" s="3" t="s">
        <v>253</v>
      </c>
      <c r="I1322" s="2">
        <v>27</v>
      </c>
      <c r="J1322" s="2">
        <v>27</v>
      </c>
      <c r="K1322" s="2">
        <v>3</v>
      </c>
      <c r="O1322" s="2">
        <v>5</v>
      </c>
      <c r="U1322" s="2">
        <v>3</v>
      </c>
      <c r="V1322" s="2">
        <v>13</v>
      </c>
      <c r="W1322" s="2">
        <v>3</v>
      </c>
      <c r="X1322" s="2">
        <v>9</v>
      </c>
      <c r="Z1322" s="2">
        <v>27</v>
      </c>
      <c r="AA1322" s="3" t="s">
        <v>40</v>
      </c>
      <c r="AB1322" s="2">
        <v>2</v>
      </c>
      <c r="AF1322" s="2">
        <v>28</v>
      </c>
      <c r="AG1322" s="2">
        <v>2</v>
      </c>
      <c r="AH1322" s="3" t="s">
        <v>1382</v>
      </c>
      <c r="AI1322" s="4">
        <v>44713</v>
      </c>
      <c r="AJ1322" s="3" t="s">
        <v>1403</v>
      </c>
      <c r="AK1322" s="3" t="s">
        <v>248</v>
      </c>
    </row>
    <row r="1323" spans="1:37" hidden="1" x14ac:dyDescent="0.25">
      <c r="A1323" t="str">
        <f t="shared" si="20"/>
        <v>2022_Vic_Ouyen_Chickpea_SatelliteTOS2VarietyStrikerWaterTrtRainFed</v>
      </c>
      <c r="B1323" s="2">
        <v>2022011</v>
      </c>
      <c r="C1323" s="3" t="s">
        <v>1374</v>
      </c>
      <c r="D1323" s="3" t="s">
        <v>248</v>
      </c>
      <c r="F1323" s="3" t="s">
        <v>4179</v>
      </c>
      <c r="G1323" s="3" t="s">
        <v>43</v>
      </c>
      <c r="H1323" s="3" t="s">
        <v>253</v>
      </c>
      <c r="I1323" s="2">
        <v>28</v>
      </c>
      <c r="J1323" s="2">
        <v>28</v>
      </c>
      <c r="K1323" s="2">
        <v>3</v>
      </c>
      <c r="O1323" s="2">
        <v>5</v>
      </c>
      <c r="U1323" s="2">
        <v>1</v>
      </c>
      <c r="V1323" s="2">
        <v>14</v>
      </c>
      <c r="W1323" s="2">
        <v>1</v>
      </c>
      <c r="X1323" s="2">
        <v>10</v>
      </c>
      <c r="Z1323" s="2">
        <v>30</v>
      </c>
      <c r="AA1323" s="3" t="s">
        <v>40</v>
      </c>
      <c r="AB1323" s="2">
        <v>4</v>
      </c>
      <c r="AF1323" s="2">
        <v>28</v>
      </c>
      <c r="AG1323" s="2">
        <v>2</v>
      </c>
      <c r="AH1323" s="3" t="s">
        <v>1382</v>
      </c>
      <c r="AI1323" s="4">
        <v>44713</v>
      </c>
      <c r="AJ1323" s="3" t="s">
        <v>1404</v>
      </c>
      <c r="AK1323" s="3" t="s">
        <v>248</v>
      </c>
    </row>
    <row r="1324" spans="1:37" hidden="1" x14ac:dyDescent="0.25">
      <c r="A1324" t="str">
        <f t="shared" si="20"/>
        <v>2022_Vic_Ouyen_Chickpea_SatelliteTOS2VarietyHatTrickWaterTrtRainFed</v>
      </c>
      <c r="B1324" s="2">
        <v>2022011</v>
      </c>
      <c r="C1324" s="3" t="s">
        <v>1374</v>
      </c>
      <c r="D1324" s="3" t="s">
        <v>248</v>
      </c>
      <c r="F1324" s="3" t="s">
        <v>4178</v>
      </c>
      <c r="G1324" s="3" t="s">
        <v>39</v>
      </c>
      <c r="H1324" s="3" t="s">
        <v>253</v>
      </c>
      <c r="I1324" s="2">
        <v>29</v>
      </c>
      <c r="J1324" s="2">
        <v>29</v>
      </c>
      <c r="K1324" s="2">
        <v>3</v>
      </c>
      <c r="O1324" s="2">
        <v>5</v>
      </c>
      <c r="U1324" s="2">
        <v>2</v>
      </c>
      <c r="V1324" s="2">
        <v>14</v>
      </c>
      <c r="W1324" s="2">
        <v>2</v>
      </c>
      <c r="X1324" s="2">
        <v>10</v>
      </c>
      <c r="Z1324" s="2">
        <v>29</v>
      </c>
      <c r="AA1324" s="3" t="s">
        <v>40</v>
      </c>
      <c r="AB1324" s="2">
        <v>3</v>
      </c>
      <c r="AF1324" s="2">
        <v>28</v>
      </c>
      <c r="AG1324" s="2">
        <v>2</v>
      </c>
      <c r="AH1324" s="3" t="s">
        <v>1382</v>
      </c>
      <c r="AI1324" s="4">
        <v>44713</v>
      </c>
      <c r="AJ1324" s="3" t="s">
        <v>1405</v>
      </c>
      <c r="AK1324" s="3" t="s">
        <v>248</v>
      </c>
    </row>
    <row r="1325" spans="1:37" hidden="1" x14ac:dyDescent="0.25">
      <c r="A1325" t="str">
        <f t="shared" si="20"/>
        <v>2022_Vic_Ouyen_Chickpea_SatelliteTOS2VarietyGenesis_090WaterTrtRainFed</v>
      </c>
      <c r="B1325" s="2">
        <v>2022011</v>
      </c>
      <c r="C1325" s="3" t="s">
        <v>1374</v>
      </c>
      <c r="D1325" s="3" t="s">
        <v>248</v>
      </c>
      <c r="F1325" s="3" t="s">
        <v>192</v>
      </c>
      <c r="G1325" s="3" t="s">
        <v>39</v>
      </c>
      <c r="H1325" s="3" t="s">
        <v>253</v>
      </c>
      <c r="I1325" s="2">
        <v>30</v>
      </c>
      <c r="J1325" s="2">
        <v>30</v>
      </c>
      <c r="K1325" s="2">
        <v>3</v>
      </c>
      <c r="O1325" s="2">
        <v>5</v>
      </c>
      <c r="U1325" s="2">
        <v>3</v>
      </c>
      <c r="V1325" s="2">
        <v>14</v>
      </c>
      <c r="W1325" s="2">
        <v>3</v>
      </c>
      <c r="X1325" s="2">
        <v>10</v>
      </c>
      <c r="Z1325" s="2">
        <v>28</v>
      </c>
      <c r="AA1325" s="3" t="s">
        <v>40</v>
      </c>
      <c r="AB1325" s="2">
        <v>5</v>
      </c>
      <c r="AF1325" s="2">
        <v>28</v>
      </c>
      <c r="AG1325" s="2">
        <v>2</v>
      </c>
      <c r="AH1325" s="3" t="s">
        <v>1382</v>
      </c>
      <c r="AI1325" s="4">
        <v>44713</v>
      </c>
      <c r="AJ1325" s="3" t="s">
        <v>1406</v>
      </c>
      <c r="AK1325" s="3" t="s">
        <v>248</v>
      </c>
    </row>
    <row r="1326" spans="1:37" hidden="1" x14ac:dyDescent="0.25">
      <c r="A1326" t="str">
        <f t="shared" si="20"/>
        <v>2022_Vic_Ouyen_Chickpea_SatelliteTOS1VarietyHatTrickWaterTrtRainFed</v>
      </c>
      <c r="B1326" s="2">
        <v>2022011</v>
      </c>
      <c r="C1326" s="3" t="s">
        <v>1374</v>
      </c>
      <c r="D1326" s="3" t="s">
        <v>248</v>
      </c>
      <c r="F1326" s="3" t="s">
        <v>4178</v>
      </c>
      <c r="G1326" s="3" t="s">
        <v>39</v>
      </c>
      <c r="H1326" s="3" t="s">
        <v>253</v>
      </c>
      <c r="I1326" s="2">
        <v>31</v>
      </c>
      <c r="J1326" s="2">
        <v>31</v>
      </c>
      <c r="K1326" s="2">
        <v>3</v>
      </c>
      <c r="O1326" s="2">
        <v>6</v>
      </c>
      <c r="U1326" s="2">
        <v>1</v>
      </c>
      <c r="V1326" s="2">
        <v>16</v>
      </c>
      <c r="W1326" s="2">
        <v>1</v>
      </c>
      <c r="X1326" s="2">
        <v>11</v>
      </c>
      <c r="Z1326" s="2">
        <v>31</v>
      </c>
      <c r="AA1326" s="3" t="s">
        <v>40</v>
      </c>
      <c r="AB1326" s="2">
        <v>3</v>
      </c>
      <c r="AF1326" s="2">
        <v>28</v>
      </c>
      <c r="AG1326" s="2">
        <v>1</v>
      </c>
      <c r="AH1326" s="3" t="s">
        <v>1375</v>
      </c>
      <c r="AI1326" s="4">
        <v>44683</v>
      </c>
      <c r="AJ1326" s="3" t="s">
        <v>1407</v>
      </c>
      <c r="AK1326" s="3" t="s">
        <v>248</v>
      </c>
    </row>
    <row r="1327" spans="1:37" hidden="1" x14ac:dyDescent="0.25">
      <c r="A1327" t="str">
        <f t="shared" si="20"/>
        <v>2022_Vic_Ouyen_Chickpea_SatelliteTOS1VarietyGenesis_090WaterTrtRainFed</v>
      </c>
      <c r="B1327" s="2">
        <v>2022011</v>
      </c>
      <c r="C1327" s="3" t="s">
        <v>1374</v>
      </c>
      <c r="D1327" s="3" t="s">
        <v>248</v>
      </c>
      <c r="F1327" s="3" t="s">
        <v>192</v>
      </c>
      <c r="G1327" s="3" t="s">
        <v>39</v>
      </c>
      <c r="H1327" s="3" t="s">
        <v>253</v>
      </c>
      <c r="I1327" s="2">
        <v>32</v>
      </c>
      <c r="J1327" s="2">
        <v>32</v>
      </c>
      <c r="K1327" s="2">
        <v>3</v>
      </c>
      <c r="O1327" s="2">
        <v>6</v>
      </c>
      <c r="U1327" s="2">
        <v>2</v>
      </c>
      <c r="V1327" s="2">
        <v>16</v>
      </c>
      <c r="W1327" s="2">
        <v>2</v>
      </c>
      <c r="X1327" s="2">
        <v>11</v>
      </c>
      <c r="Z1327" s="2">
        <v>32</v>
      </c>
      <c r="AA1327" s="3" t="s">
        <v>40</v>
      </c>
      <c r="AB1327" s="2">
        <v>5</v>
      </c>
      <c r="AF1327" s="2">
        <v>28</v>
      </c>
      <c r="AG1327" s="2">
        <v>1</v>
      </c>
      <c r="AH1327" s="3" t="s">
        <v>1375</v>
      </c>
      <c r="AI1327" s="4">
        <v>44683</v>
      </c>
      <c r="AJ1327" s="3" t="s">
        <v>1408</v>
      </c>
      <c r="AK1327" s="3" t="s">
        <v>248</v>
      </c>
    </row>
    <row r="1328" spans="1:37" hidden="1" x14ac:dyDescent="0.25">
      <c r="A1328" t="str">
        <f t="shared" si="20"/>
        <v>2022_Vic_Ouyen_Chickpea_SatelliteTOS1VarietyDrummondWaterTrtRainFed</v>
      </c>
      <c r="B1328" s="2">
        <v>2022011</v>
      </c>
      <c r="C1328" s="3" t="s">
        <v>1374</v>
      </c>
      <c r="D1328" s="3" t="s">
        <v>248</v>
      </c>
      <c r="F1328" s="3" t="s">
        <v>4182</v>
      </c>
      <c r="G1328" s="3" t="s">
        <v>39</v>
      </c>
      <c r="H1328" s="3" t="s">
        <v>253</v>
      </c>
      <c r="I1328" s="2">
        <v>33</v>
      </c>
      <c r="J1328" s="2">
        <v>33</v>
      </c>
      <c r="K1328" s="2">
        <v>3</v>
      </c>
      <c r="O1328" s="2">
        <v>6</v>
      </c>
      <c r="U1328" s="2">
        <v>3</v>
      </c>
      <c r="V1328" s="2">
        <v>16</v>
      </c>
      <c r="W1328" s="2">
        <v>3</v>
      </c>
      <c r="X1328" s="2">
        <v>11</v>
      </c>
      <c r="Z1328" s="2">
        <v>33</v>
      </c>
      <c r="AA1328" s="3" t="s">
        <v>40</v>
      </c>
      <c r="AB1328" s="2">
        <v>2</v>
      </c>
      <c r="AF1328" s="2">
        <v>28</v>
      </c>
      <c r="AG1328" s="2">
        <v>1</v>
      </c>
      <c r="AH1328" s="3" t="s">
        <v>1375</v>
      </c>
      <c r="AI1328" s="4">
        <v>44683</v>
      </c>
      <c r="AJ1328" s="3" t="s">
        <v>1409</v>
      </c>
      <c r="AK1328" s="3" t="s">
        <v>248</v>
      </c>
    </row>
    <row r="1329" spans="1:37" hidden="1" x14ac:dyDescent="0.25">
      <c r="A1329" t="str">
        <f t="shared" si="20"/>
        <v>2022_Vic_Ouyen_Chickpea_SatelliteTOS1VarietyMagnusWaterTrtRainFed</v>
      </c>
      <c r="B1329" s="2">
        <v>2022011</v>
      </c>
      <c r="C1329" s="3" t="s">
        <v>1374</v>
      </c>
      <c r="D1329" s="3" t="s">
        <v>248</v>
      </c>
      <c r="F1329" s="3" t="s">
        <v>4190</v>
      </c>
      <c r="G1329" s="3" t="s">
        <v>39</v>
      </c>
      <c r="H1329" s="3" t="s">
        <v>253</v>
      </c>
      <c r="I1329" s="2">
        <v>34</v>
      </c>
      <c r="J1329" s="2">
        <v>34</v>
      </c>
      <c r="K1329" s="2">
        <v>3</v>
      </c>
      <c r="O1329" s="2">
        <v>6</v>
      </c>
      <c r="U1329" s="2">
        <v>1</v>
      </c>
      <c r="V1329" s="2">
        <v>17</v>
      </c>
      <c r="W1329" s="2">
        <v>1</v>
      </c>
      <c r="X1329" s="2">
        <v>12</v>
      </c>
      <c r="Z1329" s="2">
        <v>36</v>
      </c>
      <c r="AA1329" s="3" t="s">
        <v>40</v>
      </c>
      <c r="AB1329" s="2">
        <v>6</v>
      </c>
      <c r="AF1329" s="2">
        <v>28</v>
      </c>
      <c r="AG1329" s="2">
        <v>1</v>
      </c>
      <c r="AH1329" s="3" t="s">
        <v>1375</v>
      </c>
      <c r="AI1329" s="4">
        <v>44683</v>
      </c>
      <c r="AJ1329" s="3" t="s">
        <v>1410</v>
      </c>
      <c r="AK1329" s="3" t="s">
        <v>248</v>
      </c>
    </row>
    <row r="1330" spans="1:37" hidden="1" x14ac:dyDescent="0.25">
      <c r="A1330" t="str">
        <f t="shared" si="20"/>
        <v>2022_Vic_Ouyen_Chickpea_SatelliteTOS1VarietyCBA_CaptainWaterTrtRainFed</v>
      </c>
      <c r="B1330" s="2">
        <v>2022011</v>
      </c>
      <c r="C1330" s="3" t="s">
        <v>1374</v>
      </c>
      <c r="D1330" s="3" t="s">
        <v>248</v>
      </c>
      <c r="F1330" s="3" t="s">
        <v>249</v>
      </c>
      <c r="G1330" s="3" t="s">
        <v>43</v>
      </c>
      <c r="H1330" s="3" t="s">
        <v>253</v>
      </c>
      <c r="I1330" s="2">
        <v>35</v>
      </c>
      <c r="J1330" s="2">
        <v>35</v>
      </c>
      <c r="K1330" s="2">
        <v>3</v>
      </c>
      <c r="O1330" s="2">
        <v>6</v>
      </c>
      <c r="U1330" s="2">
        <v>2</v>
      </c>
      <c r="V1330" s="2">
        <v>17</v>
      </c>
      <c r="W1330" s="2">
        <v>2</v>
      </c>
      <c r="X1330" s="2">
        <v>12</v>
      </c>
      <c r="Z1330" s="2">
        <v>35</v>
      </c>
      <c r="AA1330" s="3" t="s">
        <v>40</v>
      </c>
      <c r="AB1330" s="2">
        <v>1</v>
      </c>
      <c r="AF1330" s="2">
        <v>28</v>
      </c>
      <c r="AG1330" s="2">
        <v>1</v>
      </c>
      <c r="AH1330" s="3" t="s">
        <v>1375</v>
      </c>
      <c r="AI1330" s="4">
        <v>44683</v>
      </c>
      <c r="AJ1330" s="3" t="s">
        <v>1411</v>
      </c>
      <c r="AK1330" s="3" t="s">
        <v>248</v>
      </c>
    </row>
    <row r="1331" spans="1:37" hidden="1" x14ac:dyDescent="0.25">
      <c r="A1331" t="str">
        <f t="shared" si="20"/>
        <v>2022_Vic_Ouyen_Chickpea_SatelliteTOS1VarietyStrikerWaterTrtRainFed</v>
      </c>
      <c r="B1331" s="2">
        <v>2022011</v>
      </c>
      <c r="C1331" s="3" t="s">
        <v>1374</v>
      </c>
      <c r="D1331" s="3" t="s">
        <v>248</v>
      </c>
      <c r="F1331" s="3" t="s">
        <v>4179</v>
      </c>
      <c r="G1331" s="3" t="s">
        <v>43</v>
      </c>
      <c r="H1331" s="3" t="s">
        <v>253</v>
      </c>
      <c r="I1331" s="2">
        <v>36</v>
      </c>
      <c r="J1331" s="2">
        <v>36</v>
      </c>
      <c r="K1331" s="2">
        <v>3</v>
      </c>
      <c r="O1331" s="2">
        <v>6</v>
      </c>
      <c r="U1331" s="2">
        <v>3</v>
      </c>
      <c r="V1331" s="2">
        <v>17</v>
      </c>
      <c r="W1331" s="2">
        <v>3</v>
      </c>
      <c r="X1331" s="2">
        <v>12</v>
      </c>
      <c r="Z1331" s="2">
        <v>34</v>
      </c>
      <c r="AA1331" s="3" t="s">
        <v>40</v>
      </c>
      <c r="AB1331" s="2">
        <v>4</v>
      </c>
      <c r="AF1331" s="2">
        <v>28</v>
      </c>
      <c r="AG1331" s="2">
        <v>1</v>
      </c>
      <c r="AH1331" s="3" t="s">
        <v>1375</v>
      </c>
      <c r="AI1331" s="4">
        <v>44683</v>
      </c>
      <c r="AJ1331" s="3" t="s">
        <v>1412</v>
      </c>
      <c r="AK1331" s="3" t="s">
        <v>248</v>
      </c>
    </row>
    <row r="1332" spans="1:37" hidden="1" x14ac:dyDescent="0.25">
      <c r="A1332" t="str">
        <f t="shared" si="20"/>
        <v>2022_Vic_Ouyen_Chickpea_SatelliteTOS1VarietyGenesis_090WaterTrtRainFed</v>
      </c>
      <c r="B1332" s="2">
        <v>2022011</v>
      </c>
      <c r="C1332" s="3" t="s">
        <v>1374</v>
      </c>
      <c r="D1332" s="3" t="s">
        <v>248</v>
      </c>
      <c r="F1332" s="3" t="s">
        <v>192</v>
      </c>
      <c r="G1332" s="3" t="s">
        <v>39</v>
      </c>
      <c r="H1332" s="3" t="s">
        <v>253</v>
      </c>
      <c r="I1332" s="2">
        <v>37</v>
      </c>
      <c r="J1332" s="2">
        <v>37</v>
      </c>
      <c r="K1332" s="2">
        <v>4</v>
      </c>
      <c r="O1332" s="2">
        <v>7</v>
      </c>
      <c r="U1332" s="2">
        <v>1</v>
      </c>
      <c r="V1332" s="2">
        <v>19</v>
      </c>
      <c r="W1332" s="2">
        <v>1</v>
      </c>
      <c r="X1332" s="2">
        <v>13</v>
      </c>
      <c r="Z1332" s="2">
        <v>37</v>
      </c>
      <c r="AA1332" s="3" t="s">
        <v>40</v>
      </c>
      <c r="AB1332" s="2">
        <v>5</v>
      </c>
      <c r="AF1332" s="2">
        <v>28</v>
      </c>
      <c r="AG1332" s="2">
        <v>1</v>
      </c>
      <c r="AH1332" s="3" t="s">
        <v>1375</v>
      </c>
      <c r="AI1332" s="4">
        <v>44683</v>
      </c>
      <c r="AJ1332" s="3" t="s">
        <v>1413</v>
      </c>
      <c r="AK1332" s="3" t="s">
        <v>248</v>
      </c>
    </row>
    <row r="1333" spans="1:37" hidden="1" x14ac:dyDescent="0.25">
      <c r="A1333" t="str">
        <f t="shared" si="20"/>
        <v>2022_Vic_Ouyen_Chickpea_SatelliteTOS1VarietyMagnusWaterTrtRainFed</v>
      </c>
      <c r="B1333" s="2">
        <v>2022011</v>
      </c>
      <c r="C1333" s="3" t="s">
        <v>1374</v>
      </c>
      <c r="D1333" s="3" t="s">
        <v>248</v>
      </c>
      <c r="F1333" s="3" t="s">
        <v>4190</v>
      </c>
      <c r="G1333" s="3" t="s">
        <v>39</v>
      </c>
      <c r="H1333" s="3" t="s">
        <v>253</v>
      </c>
      <c r="I1333" s="2">
        <v>38</v>
      </c>
      <c r="J1333" s="2">
        <v>38</v>
      </c>
      <c r="K1333" s="2">
        <v>4</v>
      </c>
      <c r="O1333" s="2">
        <v>7</v>
      </c>
      <c r="U1333" s="2">
        <v>2</v>
      </c>
      <c r="V1333" s="2">
        <v>19</v>
      </c>
      <c r="W1333" s="2">
        <v>2</v>
      </c>
      <c r="X1333" s="2">
        <v>13</v>
      </c>
      <c r="Z1333" s="2">
        <v>38</v>
      </c>
      <c r="AA1333" s="3" t="s">
        <v>40</v>
      </c>
      <c r="AB1333" s="2">
        <v>6</v>
      </c>
      <c r="AF1333" s="2">
        <v>28</v>
      </c>
      <c r="AG1333" s="2">
        <v>1</v>
      </c>
      <c r="AH1333" s="3" t="s">
        <v>1375</v>
      </c>
      <c r="AI1333" s="4">
        <v>44683</v>
      </c>
      <c r="AJ1333" s="3" t="s">
        <v>1414</v>
      </c>
      <c r="AK1333" s="3" t="s">
        <v>248</v>
      </c>
    </row>
    <row r="1334" spans="1:37" hidden="1" x14ac:dyDescent="0.25">
      <c r="A1334" t="str">
        <f t="shared" si="20"/>
        <v>2022_Vic_Ouyen_Chickpea_SatelliteTOS1VarietyCBA_CaptainWaterTrtRainFed</v>
      </c>
      <c r="B1334" s="2">
        <v>2022011</v>
      </c>
      <c r="C1334" s="3" t="s">
        <v>1374</v>
      </c>
      <c r="D1334" s="3" t="s">
        <v>248</v>
      </c>
      <c r="F1334" s="3" t="s">
        <v>249</v>
      </c>
      <c r="G1334" s="3" t="s">
        <v>43</v>
      </c>
      <c r="H1334" s="3" t="s">
        <v>253</v>
      </c>
      <c r="I1334" s="2">
        <v>39</v>
      </c>
      <c r="J1334" s="2">
        <v>39</v>
      </c>
      <c r="K1334" s="2">
        <v>4</v>
      </c>
      <c r="O1334" s="2">
        <v>7</v>
      </c>
      <c r="U1334" s="2">
        <v>3</v>
      </c>
      <c r="V1334" s="2">
        <v>19</v>
      </c>
      <c r="W1334" s="2">
        <v>3</v>
      </c>
      <c r="X1334" s="2">
        <v>13</v>
      </c>
      <c r="Z1334" s="2">
        <v>39</v>
      </c>
      <c r="AA1334" s="3" t="s">
        <v>40</v>
      </c>
      <c r="AB1334" s="2">
        <v>1</v>
      </c>
      <c r="AF1334" s="2">
        <v>28</v>
      </c>
      <c r="AG1334" s="2">
        <v>1</v>
      </c>
      <c r="AH1334" s="3" t="s">
        <v>1375</v>
      </c>
      <c r="AI1334" s="4">
        <v>44683</v>
      </c>
      <c r="AJ1334" s="3" t="s">
        <v>1415</v>
      </c>
      <c r="AK1334" s="3" t="s">
        <v>248</v>
      </c>
    </row>
    <row r="1335" spans="1:37" hidden="1" x14ac:dyDescent="0.25">
      <c r="A1335" t="str">
        <f t="shared" si="20"/>
        <v>2022_Vic_Ouyen_Chickpea_SatelliteTOS1VarietyDrummondWaterTrtRainFed</v>
      </c>
      <c r="B1335" s="2">
        <v>2022011</v>
      </c>
      <c r="C1335" s="3" t="s">
        <v>1374</v>
      </c>
      <c r="D1335" s="3" t="s">
        <v>248</v>
      </c>
      <c r="F1335" s="3" t="s">
        <v>4182</v>
      </c>
      <c r="G1335" s="3" t="s">
        <v>39</v>
      </c>
      <c r="H1335" s="3" t="s">
        <v>253</v>
      </c>
      <c r="I1335" s="2">
        <v>40</v>
      </c>
      <c r="J1335" s="2">
        <v>40</v>
      </c>
      <c r="K1335" s="2">
        <v>4</v>
      </c>
      <c r="O1335" s="2">
        <v>7</v>
      </c>
      <c r="U1335" s="2">
        <v>1</v>
      </c>
      <c r="V1335" s="2">
        <v>20</v>
      </c>
      <c r="W1335" s="2">
        <v>1</v>
      </c>
      <c r="X1335" s="2">
        <v>14</v>
      </c>
      <c r="Z1335" s="2">
        <v>42</v>
      </c>
      <c r="AA1335" s="3" t="s">
        <v>40</v>
      </c>
      <c r="AB1335" s="2">
        <v>2</v>
      </c>
      <c r="AF1335" s="2">
        <v>28</v>
      </c>
      <c r="AG1335" s="2">
        <v>1</v>
      </c>
      <c r="AH1335" s="3" t="s">
        <v>1375</v>
      </c>
      <c r="AI1335" s="4">
        <v>44683</v>
      </c>
      <c r="AJ1335" s="3" t="s">
        <v>1416</v>
      </c>
      <c r="AK1335" s="3" t="s">
        <v>248</v>
      </c>
    </row>
    <row r="1336" spans="1:37" hidden="1" x14ac:dyDescent="0.25">
      <c r="A1336" t="str">
        <f t="shared" si="20"/>
        <v>2022_Vic_Ouyen_Chickpea_SatelliteTOS1VarietyStrikerWaterTrtRainFed</v>
      </c>
      <c r="B1336" s="2">
        <v>2022011</v>
      </c>
      <c r="C1336" s="3" t="s">
        <v>1374</v>
      </c>
      <c r="D1336" s="3" t="s">
        <v>248</v>
      </c>
      <c r="F1336" s="3" t="s">
        <v>4179</v>
      </c>
      <c r="G1336" s="3" t="s">
        <v>43</v>
      </c>
      <c r="H1336" s="3" t="s">
        <v>253</v>
      </c>
      <c r="I1336" s="2">
        <v>41</v>
      </c>
      <c r="J1336" s="2">
        <v>41</v>
      </c>
      <c r="K1336" s="2">
        <v>4</v>
      </c>
      <c r="O1336" s="2">
        <v>7</v>
      </c>
      <c r="U1336" s="2">
        <v>2</v>
      </c>
      <c r="V1336" s="2">
        <v>20</v>
      </c>
      <c r="W1336" s="2">
        <v>2</v>
      </c>
      <c r="X1336" s="2">
        <v>14</v>
      </c>
      <c r="Z1336" s="2">
        <v>41</v>
      </c>
      <c r="AA1336" s="3" t="s">
        <v>40</v>
      </c>
      <c r="AB1336" s="2">
        <v>4</v>
      </c>
      <c r="AF1336" s="2">
        <v>28</v>
      </c>
      <c r="AG1336" s="2">
        <v>1</v>
      </c>
      <c r="AH1336" s="3" t="s">
        <v>1375</v>
      </c>
      <c r="AI1336" s="4">
        <v>44683</v>
      </c>
      <c r="AJ1336" s="3" t="s">
        <v>1417</v>
      </c>
      <c r="AK1336" s="3" t="s">
        <v>248</v>
      </c>
    </row>
    <row r="1337" spans="1:37" hidden="1" x14ac:dyDescent="0.25">
      <c r="A1337" t="str">
        <f t="shared" si="20"/>
        <v>2022_Vic_Ouyen_Chickpea_SatelliteTOS1VarietyHatTrickWaterTrtRainFed</v>
      </c>
      <c r="B1337" s="2">
        <v>2022011</v>
      </c>
      <c r="C1337" s="3" t="s">
        <v>1374</v>
      </c>
      <c r="D1337" s="3" t="s">
        <v>248</v>
      </c>
      <c r="F1337" s="3" t="s">
        <v>4178</v>
      </c>
      <c r="G1337" s="3" t="s">
        <v>39</v>
      </c>
      <c r="H1337" s="3" t="s">
        <v>253</v>
      </c>
      <c r="I1337" s="2">
        <v>42</v>
      </c>
      <c r="J1337" s="2">
        <v>42</v>
      </c>
      <c r="K1337" s="2">
        <v>4</v>
      </c>
      <c r="O1337" s="2">
        <v>7</v>
      </c>
      <c r="U1337" s="2">
        <v>3</v>
      </c>
      <c r="V1337" s="2">
        <v>20</v>
      </c>
      <c r="W1337" s="2">
        <v>3</v>
      </c>
      <c r="X1337" s="2">
        <v>14</v>
      </c>
      <c r="Z1337" s="2">
        <v>40</v>
      </c>
      <c r="AA1337" s="3" t="s">
        <v>40</v>
      </c>
      <c r="AB1337" s="2">
        <v>3</v>
      </c>
      <c r="AF1337" s="2">
        <v>28</v>
      </c>
      <c r="AG1337" s="2">
        <v>1</v>
      </c>
      <c r="AH1337" s="3" t="s">
        <v>1375</v>
      </c>
      <c r="AI1337" s="4">
        <v>44683</v>
      </c>
      <c r="AJ1337" s="3" t="s">
        <v>1418</v>
      </c>
      <c r="AK1337" s="3" t="s">
        <v>248</v>
      </c>
    </row>
    <row r="1338" spans="1:37" hidden="1" x14ac:dyDescent="0.25">
      <c r="A1338" t="str">
        <f t="shared" si="20"/>
        <v>2022_Vic_Ouyen_Chickpea_SatelliteTOS2VarietyMagnusWaterTrtRainFed</v>
      </c>
      <c r="B1338" s="2">
        <v>2022011</v>
      </c>
      <c r="C1338" s="3" t="s">
        <v>1374</v>
      </c>
      <c r="D1338" s="3" t="s">
        <v>248</v>
      </c>
      <c r="F1338" s="3" t="s">
        <v>4190</v>
      </c>
      <c r="G1338" s="3" t="s">
        <v>39</v>
      </c>
      <c r="H1338" s="3" t="s">
        <v>253</v>
      </c>
      <c r="I1338" s="2">
        <v>43</v>
      </c>
      <c r="J1338" s="2">
        <v>43</v>
      </c>
      <c r="K1338" s="2">
        <v>4</v>
      </c>
      <c r="O1338" s="2">
        <v>8</v>
      </c>
      <c r="U1338" s="2">
        <v>1</v>
      </c>
      <c r="V1338" s="2">
        <v>22</v>
      </c>
      <c r="W1338" s="2">
        <v>1</v>
      </c>
      <c r="X1338" s="2">
        <v>15</v>
      </c>
      <c r="Z1338" s="2">
        <v>43</v>
      </c>
      <c r="AA1338" s="3" t="s">
        <v>40</v>
      </c>
      <c r="AB1338" s="2">
        <v>6</v>
      </c>
      <c r="AF1338" s="2">
        <v>28</v>
      </c>
      <c r="AG1338" s="2">
        <v>2</v>
      </c>
      <c r="AH1338" s="3" t="s">
        <v>1382</v>
      </c>
      <c r="AI1338" s="4">
        <v>44713</v>
      </c>
      <c r="AJ1338" s="3" t="s">
        <v>1419</v>
      </c>
      <c r="AK1338" s="3" t="s">
        <v>248</v>
      </c>
    </row>
    <row r="1339" spans="1:37" hidden="1" x14ac:dyDescent="0.25">
      <c r="A1339" t="str">
        <f t="shared" si="20"/>
        <v>2022_Vic_Ouyen_Chickpea_SatelliteTOS2VarietyGenesis_090WaterTrtRainFed</v>
      </c>
      <c r="B1339" s="2">
        <v>2022011</v>
      </c>
      <c r="C1339" s="3" t="s">
        <v>1374</v>
      </c>
      <c r="D1339" s="3" t="s">
        <v>248</v>
      </c>
      <c r="F1339" s="3" t="s">
        <v>192</v>
      </c>
      <c r="G1339" s="3" t="s">
        <v>39</v>
      </c>
      <c r="H1339" s="3" t="s">
        <v>253</v>
      </c>
      <c r="I1339" s="2">
        <v>44</v>
      </c>
      <c r="J1339" s="2">
        <v>44</v>
      </c>
      <c r="K1339" s="2">
        <v>4</v>
      </c>
      <c r="O1339" s="2">
        <v>8</v>
      </c>
      <c r="U1339" s="2">
        <v>2</v>
      </c>
      <c r="V1339" s="2">
        <v>22</v>
      </c>
      <c r="W1339" s="2">
        <v>2</v>
      </c>
      <c r="X1339" s="2">
        <v>15</v>
      </c>
      <c r="Z1339" s="2">
        <v>44</v>
      </c>
      <c r="AA1339" s="3" t="s">
        <v>40</v>
      </c>
      <c r="AB1339" s="2">
        <v>5</v>
      </c>
      <c r="AF1339" s="2">
        <v>28</v>
      </c>
      <c r="AG1339" s="2">
        <v>2</v>
      </c>
      <c r="AH1339" s="3" t="s">
        <v>1382</v>
      </c>
      <c r="AI1339" s="4">
        <v>44713</v>
      </c>
      <c r="AJ1339" s="3" t="s">
        <v>1420</v>
      </c>
      <c r="AK1339" s="3" t="s">
        <v>248</v>
      </c>
    </row>
    <row r="1340" spans="1:37" hidden="1" x14ac:dyDescent="0.25">
      <c r="A1340" t="str">
        <f t="shared" si="20"/>
        <v>2022_Vic_Ouyen_Chickpea_SatelliteTOS2VarietyDrummondWaterTrtRainFed</v>
      </c>
      <c r="B1340" s="2">
        <v>2022011</v>
      </c>
      <c r="C1340" s="3" t="s">
        <v>1374</v>
      </c>
      <c r="D1340" s="3" t="s">
        <v>248</v>
      </c>
      <c r="F1340" s="3" t="s">
        <v>4182</v>
      </c>
      <c r="G1340" s="3" t="s">
        <v>39</v>
      </c>
      <c r="H1340" s="3" t="s">
        <v>253</v>
      </c>
      <c r="I1340" s="2">
        <v>45</v>
      </c>
      <c r="J1340" s="2">
        <v>45</v>
      </c>
      <c r="K1340" s="2">
        <v>4</v>
      </c>
      <c r="O1340" s="2">
        <v>8</v>
      </c>
      <c r="U1340" s="2">
        <v>3</v>
      </c>
      <c r="V1340" s="2">
        <v>22</v>
      </c>
      <c r="W1340" s="2">
        <v>3</v>
      </c>
      <c r="X1340" s="2">
        <v>15</v>
      </c>
      <c r="Z1340" s="2">
        <v>45</v>
      </c>
      <c r="AA1340" s="3" t="s">
        <v>40</v>
      </c>
      <c r="AB1340" s="2">
        <v>2</v>
      </c>
      <c r="AF1340" s="2">
        <v>28</v>
      </c>
      <c r="AG1340" s="2">
        <v>2</v>
      </c>
      <c r="AH1340" s="3" t="s">
        <v>1382</v>
      </c>
      <c r="AI1340" s="4">
        <v>44713</v>
      </c>
      <c r="AJ1340" s="3" t="s">
        <v>1421</v>
      </c>
      <c r="AK1340" s="3" t="s">
        <v>248</v>
      </c>
    </row>
    <row r="1341" spans="1:37" hidden="1" x14ac:dyDescent="0.25">
      <c r="A1341" t="str">
        <f t="shared" si="20"/>
        <v>2022_Vic_Ouyen_Chickpea_SatelliteTOS2VarietyStrikerWaterTrtRainFed</v>
      </c>
      <c r="B1341" s="2">
        <v>2022011</v>
      </c>
      <c r="C1341" s="3" t="s">
        <v>1374</v>
      </c>
      <c r="D1341" s="3" t="s">
        <v>248</v>
      </c>
      <c r="F1341" s="3" t="s">
        <v>4179</v>
      </c>
      <c r="G1341" s="3" t="s">
        <v>43</v>
      </c>
      <c r="H1341" s="3" t="s">
        <v>253</v>
      </c>
      <c r="I1341" s="2">
        <v>46</v>
      </c>
      <c r="J1341" s="2">
        <v>46</v>
      </c>
      <c r="K1341" s="2">
        <v>4</v>
      </c>
      <c r="O1341" s="2">
        <v>8</v>
      </c>
      <c r="U1341" s="2">
        <v>1</v>
      </c>
      <c r="V1341" s="2">
        <v>23</v>
      </c>
      <c r="W1341" s="2">
        <v>1</v>
      </c>
      <c r="X1341" s="2">
        <v>16</v>
      </c>
      <c r="Z1341" s="2">
        <v>48</v>
      </c>
      <c r="AA1341" s="3" t="s">
        <v>40</v>
      </c>
      <c r="AB1341" s="2">
        <v>4</v>
      </c>
      <c r="AF1341" s="2">
        <v>28</v>
      </c>
      <c r="AG1341" s="2">
        <v>2</v>
      </c>
      <c r="AH1341" s="3" t="s">
        <v>1382</v>
      </c>
      <c r="AI1341" s="4">
        <v>44713</v>
      </c>
      <c r="AJ1341" s="3" t="s">
        <v>1422</v>
      </c>
      <c r="AK1341" s="3" t="s">
        <v>248</v>
      </c>
    </row>
    <row r="1342" spans="1:37" hidden="1" x14ac:dyDescent="0.25">
      <c r="A1342" t="str">
        <f t="shared" si="20"/>
        <v>2022_Vic_Ouyen_Chickpea_SatelliteTOS2VarietyHatTrickWaterTrtRainFed</v>
      </c>
      <c r="B1342" s="2">
        <v>2022011</v>
      </c>
      <c r="C1342" s="3" t="s">
        <v>1374</v>
      </c>
      <c r="D1342" s="3" t="s">
        <v>248</v>
      </c>
      <c r="F1342" s="3" t="s">
        <v>4178</v>
      </c>
      <c r="G1342" s="3" t="s">
        <v>39</v>
      </c>
      <c r="H1342" s="3" t="s">
        <v>253</v>
      </c>
      <c r="I1342" s="2">
        <v>47</v>
      </c>
      <c r="J1342" s="2">
        <v>47</v>
      </c>
      <c r="K1342" s="2">
        <v>4</v>
      </c>
      <c r="O1342" s="2">
        <v>8</v>
      </c>
      <c r="U1342" s="2">
        <v>2</v>
      </c>
      <c r="V1342" s="2">
        <v>23</v>
      </c>
      <c r="W1342" s="2">
        <v>2</v>
      </c>
      <c r="X1342" s="2">
        <v>16</v>
      </c>
      <c r="Z1342" s="2">
        <v>47</v>
      </c>
      <c r="AA1342" s="3" t="s">
        <v>40</v>
      </c>
      <c r="AB1342" s="2">
        <v>3</v>
      </c>
      <c r="AF1342" s="2">
        <v>28</v>
      </c>
      <c r="AG1342" s="2">
        <v>2</v>
      </c>
      <c r="AH1342" s="3" t="s">
        <v>1382</v>
      </c>
      <c r="AI1342" s="4">
        <v>44713</v>
      </c>
      <c r="AJ1342" s="3" t="s">
        <v>1423</v>
      </c>
      <c r="AK1342" s="3" t="s">
        <v>248</v>
      </c>
    </row>
    <row r="1343" spans="1:37" hidden="1" x14ac:dyDescent="0.25">
      <c r="A1343" t="str">
        <f t="shared" si="20"/>
        <v>2022_Vic_Ouyen_Chickpea_SatelliteTOS2VarietyCBA_CaptainWaterTrtRainFed</v>
      </c>
      <c r="B1343" s="2">
        <v>2022011</v>
      </c>
      <c r="C1343" s="3" t="s">
        <v>1374</v>
      </c>
      <c r="D1343" s="3" t="s">
        <v>248</v>
      </c>
      <c r="F1343" s="3" t="s">
        <v>249</v>
      </c>
      <c r="G1343" s="3" t="s">
        <v>43</v>
      </c>
      <c r="H1343" s="3" t="s">
        <v>253</v>
      </c>
      <c r="I1343" s="2">
        <v>48</v>
      </c>
      <c r="J1343" s="2">
        <v>48</v>
      </c>
      <c r="K1343" s="2">
        <v>4</v>
      </c>
      <c r="O1343" s="2">
        <v>8</v>
      </c>
      <c r="U1343" s="2">
        <v>3</v>
      </c>
      <c r="V1343" s="2">
        <v>23</v>
      </c>
      <c r="W1343" s="2">
        <v>3</v>
      </c>
      <c r="X1343" s="2">
        <v>16</v>
      </c>
      <c r="Z1343" s="2">
        <v>46</v>
      </c>
      <c r="AA1343" s="3" t="s">
        <v>40</v>
      </c>
      <c r="AB1343" s="2">
        <v>1</v>
      </c>
      <c r="AF1343" s="2">
        <v>28</v>
      </c>
      <c r="AG1343" s="2">
        <v>2</v>
      </c>
      <c r="AH1343" s="3" t="s">
        <v>1382</v>
      </c>
      <c r="AI1343" s="4">
        <v>44713</v>
      </c>
      <c r="AJ1343" s="3" t="s">
        <v>1424</v>
      </c>
      <c r="AK1343" s="3" t="s">
        <v>248</v>
      </c>
    </row>
    <row r="1344" spans="1:37" hidden="1" x14ac:dyDescent="0.25">
      <c r="A1344" t="str">
        <f t="shared" si="20"/>
        <v>2022_NSW_RankinsSprings_Chickpea_SatelliteTOS1VarietySlasherWaterTrtRainFed</v>
      </c>
      <c r="B1344" s="2">
        <v>2022012</v>
      </c>
      <c r="C1344" s="3" t="s">
        <v>1425</v>
      </c>
      <c r="D1344" s="3" t="s">
        <v>248</v>
      </c>
      <c r="F1344" s="3" t="s">
        <v>4180</v>
      </c>
      <c r="G1344" s="3" t="s">
        <v>39</v>
      </c>
      <c r="H1344" s="3" t="s">
        <v>253</v>
      </c>
      <c r="I1344" s="2">
        <v>1</v>
      </c>
      <c r="J1344" s="2">
        <v>1</v>
      </c>
      <c r="K1344" s="2">
        <v>1</v>
      </c>
      <c r="O1344" s="2">
        <v>1</v>
      </c>
      <c r="U1344" s="2">
        <v>1</v>
      </c>
      <c r="V1344" s="2">
        <v>2</v>
      </c>
      <c r="W1344" s="2">
        <v>1</v>
      </c>
      <c r="X1344" s="2">
        <v>1</v>
      </c>
      <c r="Z1344" s="2">
        <v>1</v>
      </c>
      <c r="AA1344" s="3" t="s">
        <v>40</v>
      </c>
      <c r="AB1344" s="2">
        <v>5</v>
      </c>
      <c r="AF1344" s="2">
        <v>30</v>
      </c>
      <c r="AG1344" s="2">
        <v>1</v>
      </c>
      <c r="AH1344" s="3" t="s">
        <v>1426</v>
      </c>
      <c r="AI1344" s="4">
        <v>44690</v>
      </c>
      <c r="AJ1344" s="3" t="s">
        <v>1427</v>
      </c>
      <c r="AK1344" s="3" t="s">
        <v>248</v>
      </c>
    </row>
    <row r="1345" spans="1:37" hidden="1" x14ac:dyDescent="0.25">
      <c r="A1345" t="str">
        <f t="shared" si="20"/>
        <v>2022_NSW_RankinsSprings_Chickpea_SatelliteTOS1VarietyHatTrickWaterTrtRainFed</v>
      </c>
      <c r="B1345" s="2">
        <v>2022012</v>
      </c>
      <c r="C1345" s="3" t="s">
        <v>1425</v>
      </c>
      <c r="D1345" s="3" t="s">
        <v>248</v>
      </c>
      <c r="F1345" s="3" t="s">
        <v>4178</v>
      </c>
      <c r="G1345" s="3" t="s">
        <v>39</v>
      </c>
      <c r="H1345" s="3" t="s">
        <v>253</v>
      </c>
      <c r="I1345" s="2">
        <v>2</v>
      </c>
      <c r="J1345" s="2">
        <v>2</v>
      </c>
      <c r="K1345" s="2">
        <v>1</v>
      </c>
      <c r="O1345" s="2">
        <v>1</v>
      </c>
      <c r="U1345" s="2">
        <v>2</v>
      </c>
      <c r="V1345" s="2">
        <v>2</v>
      </c>
      <c r="W1345" s="2">
        <v>2</v>
      </c>
      <c r="X1345" s="2">
        <v>1</v>
      </c>
      <c r="Z1345" s="2">
        <v>2</v>
      </c>
      <c r="AA1345" s="3" t="s">
        <v>40</v>
      </c>
      <c r="AB1345" s="2">
        <v>4</v>
      </c>
      <c r="AF1345" s="2">
        <v>30</v>
      </c>
      <c r="AG1345" s="2">
        <v>1</v>
      </c>
      <c r="AH1345" s="3" t="s">
        <v>1426</v>
      </c>
      <c r="AI1345" s="4">
        <v>44690</v>
      </c>
      <c r="AJ1345" s="3" t="s">
        <v>1428</v>
      </c>
      <c r="AK1345" s="3" t="s">
        <v>248</v>
      </c>
    </row>
    <row r="1346" spans="1:37" hidden="1" x14ac:dyDescent="0.25">
      <c r="A1346" t="str">
        <f t="shared" si="20"/>
        <v>2022_NSW_RankinsSprings_Chickpea_SatelliteTOS1VarietyDrummondWaterTrtRainFed</v>
      </c>
      <c r="B1346" s="2">
        <v>2022012</v>
      </c>
      <c r="C1346" s="3" t="s">
        <v>1425</v>
      </c>
      <c r="D1346" s="3" t="s">
        <v>248</v>
      </c>
      <c r="F1346" s="3" t="s">
        <v>4182</v>
      </c>
      <c r="G1346" s="3" t="s">
        <v>39</v>
      </c>
      <c r="H1346" s="3" t="s">
        <v>253</v>
      </c>
      <c r="I1346" s="2">
        <v>3</v>
      </c>
      <c r="J1346" s="2">
        <v>3</v>
      </c>
      <c r="K1346" s="2">
        <v>1</v>
      </c>
      <c r="O1346" s="2">
        <v>1</v>
      </c>
      <c r="U1346" s="2">
        <v>3</v>
      </c>
      <c r="V1346" s="2">
        <v>2</v>
      </c>
      <c r="W1346" s="2">
        <v>3</v>
      </c>
      <c r="X1346" s="2">
        <v>1</v>
      </c>
      <c r="Z1346" s="2">
        <v>3</v>
      </c>
      <c r="AA1346" s="3" t="s">
        <v>40</v>
      </c>
      <c r="AB1346" s="2">
        <v>3</v>
      </c>
      <c r="AF1346" s="2">
        <v>30</v>
      </c>
      <c r="AG1346" s="2">
        <v>1</v>
      </c>
      <c r="AH1346" s="3" t="s">
        <v>1426</v>
      </c>
      <c r="AI1346" s="4">
        <v>44690</v>
      </c>
      <c r="AJ1346" s="3" t="s">
        <v>1429</v>
      </c>
      <c r="AK1346" s="3" t="s">
        <v>248</v>
      </c>
    </row>
    <row r="1347" spans="1:37" hidden="1" x14ac:dyDescent="0.25">
      <c r="A1347" t="str">
        <f t="shared" ref="A1347:A1410" si="21">C1347&amp;"TOS"&amp;AG1347&amp;"Variety"&amp;F1347&amp;"WaterTrt"&amp;AA1347&amp;IF(AC1347="","","Agronomy"&amp;AC1347)</f>
        <v>2022_NSW_RankinsSprings_Chickpea_SatelliteTOS1VarietyCBA_CaptainWaterTrtRainFed</v>
      </c>
      <c r="B1347" s="2">
        <v>2022012</v>
      </c>
      <c r="C1347" s="3" t="s">
        <v>1425</v>
      </c>
      <c r="D1347" s="3" t="s">
        <v>248</v>
      </c>
      <c r="F1347" s="3" t="s">
        <v>249</v>
      </c>
      <c r="G1347" s="3" t="s">
        <v>43</v>
      </c>
      <c r="H1347" s="3" t="s">
        <v>253</v>
      </c>
      <c r="I1347" s="2">
        <v>4</v>
      </c>
      <c r="J1347" s="2">
        <v>4</v>
      </c>
      <c r="K1347" s="2">
        <v>1</v>
      </c>
      <c r="O1347" s="2">
        <v>1</v>
      </c>
      <c r="U1347" s="2">
        <v>4</v>
      </c>
      <c r="V1347" s="2">
        <v>2</v>
      </c>
      <c r="W1347" s="2">
        <v>4</v>
      </c>
      <c r="X1347" s="2">
        <v>1</v>
      </c>
      <c r="Z1347" s="2">
        <v>4</v>
      </c>
      <c r="AA1347" s="3" t="s">
        <v>40</v>
      </c>
      <c r="AB1347" s="2">
        <v>1</v>
      </c>
      <c r="AF1347" s="2">
        <v>30</v>
      </c>
      <c r="AG1347" s="2">
        <v>1</v>
      </c>
      <c r="AH1347" s="3" t="s">
        <v>1426</v>
      </c>
      <c r="AI1347" s="4">
        <v>44690</v>
      </c>
      <c r="AJ1347" s="3" t="s">
        <v>1430</v>
      </c>
      <c r="AK1347" s="3" t="s">
        <v>248</v>
      </c>
    </row>
    <row r="1348" spans="1:37" hidden="1" x14ac:dyDescent="0.25">
      <c r="A1348" t="str">
        <f t="shared" si="21"/>
        <v>2022_NSW_RankinsSprings_Chickpea_SatelliteTOS1VarietyStrikerWaterTrtRainFed</v>
      </c>
      <c r="B1348" s="2">
        <v>2022012</v>
      </c>
      <c r="C1348" s="3" t="s">
        <v>1425</v>
      </c>
      <c r="D1348" s="3" t="s">
        <v>248</v>
      </c>
      <c r="F1348" s="3" t="s">
        <v>4179</v>
      </c>
      <c r="G1348" s="3" t="s">
        <v>43</v>
      </c>
      <c r="H1348" s="3" t="s">
        <v>253</v>
      </c>
      <c r="I1348" s="2">
        <v>5</v>
      </c>
      <c r="J1348" s="2">
        <v>5</v>
      </c>
      <c r="K1348" s="2">
        <v>1</v>
      </c>
      <c r="O1348" s="2">
        <v>1</v>
      </c>
      <c r="U1348" s="2">
        <v>5</v>
      </c>
      <c r="V1348" s="2">
        <v>2</v>
      </c>
      <c r="W1348" s="2">
        <v>5</v>
      </c>
      <c r="X1348" s="2">
        <v>1</v>
      </c>
      <c r="Z1348" s="2">
        <v>5</v>
      </c>
      <c r="AA1348" s="3" t="s">
        <v>40</v>
      </c>
      <c r="AB1348" s="2">
        <v>6</v>
      </c>
      <c r="AF1348" s="2">
        <v>30</v>
      </c>
      <c r="AG1348" s="2">
        <v>1</v>
      </c>
      <c r="AH1348" s="3" t="s">
        <v>1426</v>
      </c>
      <c r="AI1348" s="4">
        <v>44690</v>
      </c>
      <c r="AJ1348" s="3" t="s">
        <v>1431</v>
      </c>
      <c r="AK1348" s="3" t="s">
        <v>248</v>
      </c>
    </row>
    <row r="1349" spans="1:37" hidden="1" x14ac:dyDescent="0.25">
      <c r="A1349" t="str">
        <f t="shared" si="21"/>
        <v>2022_NSW_RankinsSprings_Chickpea_SatelliteTOS1VarietyBoundaryWaterTrtRainFed</v>
      </c>
      <c r="B1349" s="2">
        <v>2022012</v>
      </c>
      <c r="C1349" s="3" t="s">
        <v>1425</v>
      </c>
      <c r="D1349" s="3" t="s">
        <v>248</v>
      </c>
      <c r="F1349" s="3" t="s">
        <v>4191</v>
      </c>
      <c r="G1349" s="3" t="s">
        <v>39</v>
      </c>
      <c r="H1349" s="3" t="s">
        <v>253</v>
      </c>
      <c r="I1349" s="2">
        <v>6</v>
      </c>
      <c r="J1349" s="2">
        <v>6</v>
      </c>
      <c r="K1349" s="2">
        <v>1</v>
      </c>
      <c r="O1349" s="2">
        <v>1</v>
      </c>
      <c r="U1349" s="2">
        <v>6</v>
      </c>
      <c r="V1349" s="2">
        <v>2</v>
      </c>
      <c r="W1349" s="2">
        <v>6</v>
      </c>
      <c r="X1349" s="2">
        <v>1</v>
      </c>
      <c r="Z1349" s="2">
        <v>6</v>
      </c>
      <c r="AA1349" s="3" t="s">
        <v>40</v>
      </c>
      <c r="AB1349" s="2">
        <v>2</v>
      </c>
      <c r="AF1349" s="2">
        <v>30</v>
      </c>
      <c r="AG1349" s="2">
        <v>1</v>
      </c>
      <c r="AH1349" s="3" t="s">
        <v>1426</v>
      </c>
      <c r="AI1349" s="4">
        <v>44690</v>
      </c>
      <c r="AJ1349" s="3" t="s">
        <v>1432</v>
      </c>
      <c r="AK1349" s="3" t="s">
        <v>248</v>
      </c>
    </row>
    <row r="1350" spans="1:37" hidden="1" x14ac:dyDescent="0.25">
      <c r="A1350" t="str">
        <f t="shared" si="21"/>
        <v>2022_NSW_RankinsSprings_Chickpea_SatelliteTOS2VarietyStrikerWaterTrtRainFed</v>
      </c>
      <c r="B1350" s="2">
        <v>2022012</v>
      </c>
      <c r="C1350" s="3" t="s">
        <v>1425</v>
      </c>
      <c r="D1350" s="3" t="s">
        <v>248</v>
      </c>
      <c r="F1350" s="3" t="s">
        <v>4179</v>
      </c>
      <c r="G1350" s="3" t="s">
        <v>43</v>
      </c>
      <c r="H1350" s="3" t="s">
        <v>253</v>
      </c>
      <c r="I1350" s="2">
        <v>7</v>
      </c>
      <c r="J1350" s="2">
        <v>7</v>
      </c>
      <c r="K1350" s="2">
        <v>1</v>
      </c>
      <c r="O1350" s="2">
        <v>2</v>
      </c>
      <c r="U1350" s="2">
        <v>1</v>
      </c>
      <c r="V1350" s="2">
        <v>5</v>
      </c>
      <c r="W1350" s="2">
        <v>1</v>
      </c>
      <c r="X1350" s="2">
        <v>2</v>
      </c>
      <c r="Z1350" s="2">
        <v>12</v>
      </c>
      <c r="AA1350" s="3" t="s">
        <v>40</v>
      </c>
      <c r="AB1350" s="2">
        <v>6</v>
      </c>
      <c r="AF1350" s="2">
        <v>30</v>
      </c>
      <c r="AG1350" s="2">
        <v>2</v>
      </c>
      <c r="AH1350" s="3" t="s">
        <v>1433</v>
      </c>
      <c r="AI1350" s="4">
        <v>44721</v>
      </c>
      <c r="AJ1350" s="3" t="s">
        <v>1434</v>
      </c>
      <c r="AK1350" s="3" t="s">
        <v>248</v>
      </c>
    </row>
    <row r="1351" spans="1:37" hidden="1" x14ac:dyDescent="0.25">
      <c r="A1351" t="str">
        <f t="shared" si="21"/>
        <v>2022_NSW_RankinsSprings_Chickpea_SatelliteTOS2VarietyCBA_CaptainWaterTrtRainFed</v>
      </c>
      <c r="B1351" s="2">
        <v>2022012</v>
      </c>
      <c r="C1351" s="3" t="s">
        <v>1425</v>
      </c>
      <c r="D1351" s="3" t="s">
        <v>248</v>
      </c>
      <c r="F1351" s="3" t="s">
        <v>249</v>
      </c>
      <c r="G1351" s="3" t="s">
        <v>43</v>
      </c>
      <c r="H1351" s="3" t="s">
        <v>253</v>
      </c>
      <c r="I1351" s="2">
        <v>8</v>
      </c>
      <c r="J1351" s="2">
        <v>8</v>
      </c>
      <c r="K1351" s="2">
        <v>1</v>
      </c>
      <c r="O1351" s="2">
        <v>2</v>
      </c>
      <c r="U1351" s="2">
        <v>2</v>
      </c>
      <c r="V1351" s="2">
        <v>5</v>
      </c>
      <c r="W1351" s="2">
        <v>2</v>
      </c>
      <c r="X1351" s="2">
        <v>2</v>
      </c>
      <c r="Z1351" s="2">
        <v>11</v>
      </c>
      <c r="AA1351" s="3" t="s">
        <v>40</v>
      </c>
      <c r="AB1351" s="2">
        <v>1</v>
      </c>
      <c r="AF1351" s="2">
        <v>30</v>
      </c>
      <c r="AG1351" s="2">
        <v>2</v>
      </c>
      <c r="AH1351" s="3" t="s">
        <v>1433</v>
      </c>
      <c r="AI1351" s="4">
        <v>44721</v>
      </c>
      <c r="AJ1351" s="3" t="s">
        <v>1435</v>
      </c>
      <c r="AK1351" s="3" t="s">
        <v>248</v>
      </c>
    </row>
    <row r="1352" spans="1:37" hidden="1" x14ac:dyDescent="0.25">
      <c r="A1352" t="str">
        <f t="shared" si="21"/>
        <v>2022_NSW_RankinsSprings_Chickpea_SatelliteTOS2VarietyHatTrickWaterTrtRainFed</v>
      </c>
      <c r="B1352" s="2">
        <v>2022012</v>
      </c>
      <c r="C1352" s="3" t="s">
        <v>1425</v>
      </c>
      <c r="D1352" s="3" t="s">
        <v>248</v>
      </c>
      <c r="F1352" s="3" t="s">
        <v>4178</v>
      </c>
      <c r="G1352" s="3" t="s">
        <v>39</v>
      </c>
      <c r="H1352" s="3" t="s">
        <v>253</v>
      </c>
      <c r="I1352" s="2">
        <v>9</v>
      </c>
      <c r="J1352" s="2">
        <v>9</v>
      </c>
      <c r="K1352" s="2">
        <v>1</v>
      </c>
      <c r="O1352" s="2">
        <v>2</v>
      </c>
      <c r="U1352" s="2">
        <v>3</v>
      </c>
      <c r="V1352" s="2">
        <v>5</v>
      </c>
      <c r="W1352" s="2">
        <v>3</v>
      </c>
      <c r="X1352" s="2">
        <v>2</v>
      </c>
      <c r="Z1352" s="2">
        <v>10</v>
      </c>
      <c r="AA1352" s="3" t="s">
        <v>40</v>
      </c>
      <c r="AB1352" s="2">
        <v>4</v>
      </c>
      <c r="AF1352" s="2">
        <v>30</v>
      </c>
      <c r="AG1352" s="2">
        <v>2</v>
      </c>
      <c r="AH1352" s="3" t="s">
        <v>1433</v>
      </c>
      <c r="AI1352" s="4">
        <v>44721</v>
      </c>
      <c r="AJ1352" s="3" t="s">
        <v>1436</v>
      </c>
      <c r="AK1352" s="3" t="s">
        <v>248</v>
      </c>
    </row>
    <row r="1353" spans="1:37" hidden="1" x14ac:dyDescent="0.25">
      <c r="A1353" t="str">
        <f t="shared" si="21"/>
        <v>2022_NSW_RankinsSprings_Chickpea_SatelliteTOS2VarietySlasherWaterTrtRainFed</v>
      </c>
      <c r="B1353" s="2">
        <v>2022012</v>
      </c>
      <c r="C1353" s="3" t="s">
        <v>1425</v>
      </c>
      <c r="D1353" s="3" t="s">
        <v>248</v>
      </c>
      <c r="F1353" s="3" t="s">
        <v>4180</v>
      </c>
      <c r="G1353" s="3" t="s">
        <v>39</v>
      </c>
      <c r="H1353" s="3" t="s">
        <v>253</v>
      </c>
      <c r="I1353" s="2">
        <v>10</v>
      </c>
      <c r="J1353" s="2">
        <v>10</v>
      </c>
      <c r="K1353" s="2">
        <v>1</v>
      </c>
      <c r="O1353" s="2">
        <v>2</v>
      </c>
      <c r="U1353" s="2">
        <v>4</v>
      </c>
      <c r="V1353" s="2">
        <v>5</v>
      </c>
      <c r="W1353" s="2">
        <v>4</v>
      </c>
      <c r="X1353" s="2">
        <v>2</v>
      </c>
      <c r="Z1353" s="2">
        <v>9</v>
      </c>
      <c r="AA1353" s="3" t="s">
        <v>40</v>
      </c>
      <c r="AB1353" s="2">
        <v>5</v>
      </c>
      <c r="AF1353" s="2">
        <v>30</v>
      </c>
      <c r="AG1353" s="2">
        <v>2</v>
      </c>
      <c r="AH1353" s="3" t="s">
        <v>1433</v>
      </c>
      <c r="AI1353" s="4">
        <v>44721</v>
      </c>
      <c r="AJ1353" s="3" t="s">
        <v>1437</v>
      </c>
      <c r="AK1353" s="3" t="s">
        <v>248</v>
      </c>
    </row>
    <row r="1354" spans="1:37" hidden="1" x14ac:dyDescent="0.25">
      <c r="A1354" t="str">
        <f t="shared" si="21"/>
        <v>2022_NSW_RankinsSprings_Chickpea_SatelliteTOS2VarietyBoundaryWaterTrtRainFed</v>
      </c>
      <c r="B1354" s="2">
        <v>2022012</v>
      </c>
      <c r="C1354" s="3" t="s">
        <v>1425</v>
      </c>
      <c r="D1354" s="3" t="s">
        <v>248</v>
      </c>
      <c r="F1354" s="3" t="s">
        <v>4191</v>
      </c>
      <c r="G1354" s="3" t="s">
        <v>39</v>
      </c>
      <c r="H1354" s="3" t="s">
        <v>253</v>
      </c>
      <c r="I1354" s="2">
        <v>11</v>
      </c>
      <c r="J1354" s="2">
        <v>11</v>
      </c>
      <c r="K1354" s="2">
        <v>1</v>
      </c>
      <c r="O1354" s="2">
        <v>2</v>
      </c>
      <c r="U1354" s="2">
        <v>5</v>
      </c>
      <c r="V1354" s="2">
        <v>5</v>
      </c>
      <c r="W1354" s="2">
        <v>5</v>
      </c>
      <c r="X1354" s="2">
        <v>2</v>
      </c>
      <c r="Z1354" s="2">
        <v>8</v>
      </c>
      <c r="AA1354" s="3" t="s">
        <v>40</v>
      </c>
      <c r="AB1354" s="2">
        <v>2</v>
      </c>
      <c r="AF1354" s="2">
        <v>30</v>
      </c>
      <c r="AG1354" s="2">
        <v>2</v>
      </c>
      <c r="AH1354" s="3" t="s">
        <v>1433</v>
      </c>
      <c r="AI1354" s="4">
        <v>44721</v>
      </c>
      <c r="AJ1354" s="3" t="s">
        <v>1438</v>
      </c>
      <c r="AK1354" s="3" t="s">
        <v>248</v>
      </c>
    </row>
    <row r="1355" spans="1:37" hidden="1" x14ac:dyDescent="0.25">
      <c r="A1355" t="str">
        <f t="shared" si="21"/>
        <v>2022_NSW_RankinsSprings_Chickpea_SatelliteTOS2VarietyDrummondWaterTrtRainFed</v>
      </c>
      <c r="B1355" s="2">
        <v>2022012</v>
      </c>
      <c r="C1355" s="3" t="s">
        <v>1425</v>
      </c>
      <c r="D1355" s="3" t="s">
        <v>248</v>
      </c>
      <c r="F1355" s="3" t="s">
        <v>4182</v>
      </c>
      <c r="G1355" s="3" t="s">
        <v>39</v>
      </c>
      <c r="H1355" s="3" t="s">
        <v>253</v>
      </c>
      <c r="I1355" s="2">
        <v>12</v>
      </c>
      <c r="J1355" s="2">
        <v>12</v>
      </c>
      <c r="K1355" s="2">
        <v>1</v>
      </c>
      <c r="O1355" s="2">
        <v>2</v>
      </c>
      <c r="U1355" s="2">
        <v>6</v>
      </c>
      <c r="V1355" s="2">
        <v>5</v>
      </c>
      <c r="W1355" s="2">
        <v>6</v>
      </c>
      <c r="X1355" s="2">
        <v>2</v>
      </c>
      <c r="Z1355" s="2">
        <v>7</v>
      </c>
      <c r="AA1355" s="3" t="s">
        <v>40</v>
      </c>
      <c r="AB1355" s="2">
        <v>3</v>
      </c>
      <c r="AF1355" s="2">
        <v>30</v>
      </c>
      <c r="AG1355" s="2">
        <v>2</v>
      </c>
      <c r="AH1355" s="3" t="s">
        <v>1433</v>
      </c>
      <c r="AI1355" s="4">
        <v>44721</v>
      </c>
      <c r="AJ1355" s="3" t="s">
        <v>1439</v>
      </c>
      <c r="AK1355" s="3" t="s">
        <v>248</v>
      </c>
    </row>
    <row r="1356" spans="1:37" hidden="1" x14ac:dyDescent="0.25">
      <c r="A1356" t="str">
        <f t="shared" si="21"/>
        <v>2022_NSW_RankinsSprings_Chickpea_SatelliteTOS2VarietyDrummondWaterTrtRainFed</v>
      </c>
      <c r="B1356" s="2">
        <v>2022012</v>
      </c>
      <c r="C1356" s="3" t="s">
        <v>1425</v>
      </c>
      <c r="D1356" s="3" t="s">
        <v>248</v>
      </c>
      <c r="F1356" s="3" t="s">
        <v>4182</v>
      </c>
      <c r="G1356" s="3" t="s">
        <v>39</v>
      </c>
      <c r="H1356" s="3" t="s">
        <v>253</v>
      </c>
      <c r="I1356" s="2">
        <v>13</v>
      </c>
      <c r="J1356" s="2">
        <v>13</v>
      </c>
      <c r="K1356" s="2">
        <v>2</v>
      </c>
      <c r="O1356" s="2">
        <v>3</v>
      </c>
      <c r="U1356" s="2">
        <v>1</v>
      </c>
      <c r="V1356" s="2">
        <v>8</v>
      </c>
      <c r="W1356" s="2">
        <v>1</v>
      </c>
      <c r="X1356" s="2">
        <v>3</v>
      </c>
      <c r="Z1356" s="2">
        <v>13</v>
      </c>
      <c r="AA1356" s="3" t="s">
        <v>40</v>
      </c>
      <c r="AB1356" s="2">
        <v>3</v>
      </c>
      <c r="AF1356" s="2">
        <v>30</v>
      </c>
      <c r="AG1356" s="2">
        <v>2</v>
      </c>
      <c r="AH1356" s="3" t="s">
        <v>1433</v>
      </c>
      <c r="AI1356" s="4">
        <v>44721</v>
      </c>
      <c r="AJ1356" s="3" t="s">
        <v>1440</v>
      </c>
      <c r="AK1356" s="3" t="s">
        <v>248</v>
      </c>
    </row>
    <row r="1357" spans="1:37" hidden="1" x14ac:dyDescent="0.25">
      <c r="A1357" t="str">
        <f t="shared" si="21"/>
        <v>2022_NSW_RankinsSprings_Chickpea_SatelliteTOS2VarietySlasherWaterTrtRainFed</v>
      </c>
      <c r="B1357" s="2">
        <v>2022012</v>
      </c>
      <c r="C1357" s="3" t="s">
        <v>1425</v>
      </c>
      <c r="D1357" s="3" t="s">
        <v>248</v>
      </c>
      <c r="F1357" s="3" t="s">
        <v>4180</v>
      </c>
      <c r="G1357" s="3" t="s">
        <v>39</v>
      </c>
      <c r="H1357" s="3" t="s">
        <v>253</v>
      </c>
      <c r="I1357" s="2">
        <v>14</v>
      </c>
      <c r="J1357" s="2">
        <v>14</v>
      </c>
      <c r="K1357" s="2">
        <v>2</v>
      </c>
      <c r="O1357" s="2">
        <v>3</v>
      </c>
      <c r="U1357" s="2">
        <v>2</v>
      </c>
      <c r="V1357" s="2">
        <v>8</v>
      </c>
      <c r="W1357" s="2">
        <v>2</v>
      </c>
      <c r="X1357" s="2">
        <v>3</v>
      </c>
      <c r="Z1357" s="2">
        <v>14</v>
      </c>
      <c r="AA1357" s="3" t="s">
        <v>40</v>
      </c>
      <c r="AB1357" s="2">
        <v>5</v>
      </c>
      <c r="AF1357" s="2">
        <v>30</v>
      </c>
      <c r="AG1357" s="2">
        <v>2</v>
      </c>
      <c r="AH1357" s="3" t="s">
        <v>1433</v>
      </c>
      <c r="AI1357" s="4">
        <v>44721</v>
      </c>
      <c r="AJ1357" s="3" t="s">
        <v>1441</v>
      </c>
      <c r="AK1357" s="3" t="s">
        <v>248</v>
      </c>
    </row>
    <row r="1358" spans="1:37" hidden="1" x14ac:dyDescent="0.25">
      <c r="A1358" t="str">
        <f t="shared" si="21"/>
        <v>2022_NSW_RankinsSprings_Chickpea_SatelliteTOS2VarietyStrikerWaterTrtRainFed</v>
      </c>
      <c r="B1358" s="2">
        <v>2022012</v>
      </c>
      <c r="C1358" s="3" t="s">
        <v>1425</v>
      </c>
      <c r="D1358" s="3" t="s">
        <v>248</v>
      </c>
      <c r="F1358" s="3" t="s">
        <v>4179</v>
      </c>
      <c r="G1358" s="3" t="s">
        <v>43</v>
      </c>
      <c r="H1358" s="3" t="s">
        <v>253</v>
      </c>
      <c r="I1358" s="2">
        <v>15</v>
      </c>
      <c r="J1358" s="2">
        <v>15</v>
      </c>
      <c r="K1358" s="2">
        <v>2</v>
      </c>
      <c r="O1358" s="2">
        <v>3</v>
      </c>
      <c r="U1358" s="2">
        <v>3</v>
      </c>
      <c r="V1358" s="2">
        <v>8</v>
      </c>
      <c r="W1358" s="2">
        <v>3</v>
      </c>
      <c r="X1358" s="2">
        <v>3</v>
      </c>
      <c r="Z1358" s="2">
        <v>15</v>
      </c>
      <c r="AA1358" s="3" t="s">
        <v>40</v>
      </c>
      <c r="AB1358" s="2">
        <v>6</v>
      </c>
      <c r="AF1358" s="2">
        <v>30</v>
      </c>
      <c r="AG1358" s="2">
        <v>2</v>
      </c>
      <c r="AH1358" s="3" t="s">
        <v>1433</v>
      </c>
      <c r="AI1358" s="4">
        <v>44721</v>
      </c>
      <c r="AJ1358" s="3" t="s">
        <v>1442</v>
      </c>
      <c r="AK1358" s="3" t="s">
        <v>248</v>
      </c>
    </row>
    <row r="1359" spans="1:37" hidden="1" x14ac:dyDescent="0.25">
      <c r="A1359" t="str">
        <f t="shared" si="21"/>
        <v>2022_NSW_RankinsSprings_Chickpea_SatelliteTOS2VarietyHatTrickWaterTrtRainFed</v>
      </c>
      <c r="B1359" s="2">
        <v>2022012</v>
      </c>
      <c r="C1359" s="3" t="s">
        <v>1425</v>
      </c>
      <c r="D1359" s="3" t="s">
        <v>248</v>
      </c>
      <c r="F1359" s="3" t="s">
        <v>4178</v>
      </c>
      <c r="G1359" s="3" t="s">
        <v>39</v>
      </c>
      <c r="H1359" s="3" t="s">
        <v>253</v>
      </c>
      <c r="I1359" s="2">
        <v>16</v>
      </c>
      <c r="J1359" s="2">
        <v>16</v>
      </c>
      <c r="K1359" s="2">
        <v>2</v>
      </c>
      <c r="O1359" s="2">
        <v>3</v>
      </c>
      <c r="U1359" s="2">
        <v>4</v>
      </c>
      <c r="V1359" s="2">
        <v>8</v>
      </c>
      <c r="W1359" s="2">
        <v>4</v>
      </c>
      <c r="X1359" s="2">
        <v>3</v>
      </c>
      <c r="Z1359" s="2">
        <v>16</v>
      </c>
      <c r="AA1359" s="3" t="s">
        <v>40</v>
      </c>
      <c r="AB1359" s="2">
        <v>4</v>
      </c>
      <c r="AF1359" s="2">
        <v>30</v>
      </c>
      <c r="AG1359" s="2">
        <v>2</v>
      </c>
      <c r="AH1359" s="3" t="s">
        <v>1433</v>
      </c>
      <c r="AI1359" s="4">
        <v>44721</v>
      </c>
      <c r="AJ1359" s="3" t="s">
        <v>1443</v>
      </c>
      <c r="AK1359" s="3" t="s">
        <v>248</v>
      </c>
    </row>
    <row r="1360" spans="1:37" hidden="1" x14ac:dyDescent="0.25">
      <c r="A1360" t="str">
        <f t="shared" si="21"/>
        <v>2022_NSW_RankinsSprings_Chickpea_SatelliteTOS2VarietyCBA_CaptainWaterTrtRainFed</v>
      </c>
      <c r="B1360" s="2">
        <v>2022012</v>
      </c>
      <c r="C1360" s="3" t="s">
        <v>1425</v>
      </c>
      <c r="D1360" s="3" t="s">
        <v>248</v>
      </c>
      <c r="F1360" s="3" t="s">
        <v>249</v>
      </c>
      <c r="G1360" s="3" t="s">
        <v>43</v>
      </c>
      <c r="H1360" s="3" t="s">
        <v>253</v>
      </c>
      <c r="I1360" s="2">
        <v>17</v>
      </c>
      <c r="J1360" s="2">
        <v>17</v>
      </c>
      <c r="K1360" s="2">
        <v>2</v>
      </c>
      <c r="O1360" s="2">
        <v>3</v>
      </c>
      <c r="U1360" s="2">
        <v>5</v>
      </c>
      <c r="V1360" s="2">
        <v>8</v>
      </c>
      <c r="W1360" s="2">
        <v>5</v>
      </c>
      <c r="X1360" s="2">
        <v>3</v>
      </c>
      <c r="Z1360" s="2">
        <v>17</v>
      </c>
      <c r="AA1360" s="3" t="s">
        <v>40</v>
      </c>
      <c r="AB1360" s="2">
        <v>1</v>
      </c>
      <c r="AF1360" s="2">
        <v>30</v>
      </c>
      <c r="AG1360" s="2">
        <v>2</v>
      </c>
      <c r="AH1360" s="3" t="s">
        <v>1433</v>
      </c>
      <c r="AI1360" s="4">
        <v>44721</v>
      </c>
      <c r="AJ1360" s="3" t="s">
        <v>1444</v>
      </c>
      <c r="AK1360" s="3" t="s">
        <v>248</v>
      </c>
    </row>
    <row r="1361" spans="1:37" hidden="1" x14ac:dyDescent="0.25">
      <c r="A1361" t="str">
        <f t="shared" si="21"/>
        <v>2022_NSW_RankinsSprings_Chickpea_SatelliteTOS2VarietyBoundaryWaterTrtRainFed</v>
      </c>
      <c r="B1361" s="2">
        <v>2022012</v>
      </c>
      <c r="C1361" s="3" t="s">
        <v>1425</v>
      </c>
      <c r="D1361" s="3" t="s">
        <v>248</v>
      </c>
      <c r="F1361" s="3" t="s">
        <v>4191</v>
      </c>
      <c r="G1361" s="3" t="s">
        <v>39</v>
      </c>
      <c r="H1361" s="3" t="s">
        <v>253</v>
      </c>
      <c r="I1361" s="2">
        <v>18</v>
      </c>
      <c r="J1361" s="2">
        <v>18</v>
      </c>
      <c r="K1361" s="2">
        <v>2</v>
      </c>
      <c r="O1361" s="2">
        <v>3</v>
      </c>
      <c r="U1361" s="2">
        <v>6</v>
      </c>
      <c r="V1361" s="2">
        <v>8</v>
      </c>
      <c r="W1361" s="2">
        <v>6</v>
      </c>
      <c r="X1361" s="2">
        <v>3</v>
      </c>
      <c r="Z1361" s="2">
        <v>18</v>
      </c>
      <c r="AA1361" s="3" t="s">
        <v>40</v>
      </c>
      <c r="AB1361" s="2">
        <v>2</v>
      </c>
      <c r="AF1361" s="2">
        <v>30</v>
      </c>
      <c r="AG1361" s="2">
        <v>2</v>
      </c>
      <c r="AH1361" s="3" t="s">
        <v>1433</v>
      </c>
      <c r="AI1361" s="4">
        <v>44721</v>
      </c>
      <c r="AJ1361" s="3" t="s">
        <v>1445</v>
      </c>
      <c r="AK1361" s="3" t="s">
        <v>248</v>
      </c>
    </row>
    <row r="1362" spans="1:37" hidden="1" x14ac:dyDescent="0.25">
      <c r="A1362" t="str">
        <f t="shared" si="21"/>
        <v>2022_NSW_RankinsSprings_Chickpea_SatelliteTOS1VarietyBoundaryWaterTrtRainFed</v>
      </c>
      <c r="B1362" s="2">
        <v>2022012</v>
      </c>
      <c r="C1362" s="3" t="s">
        <v>1425</v>
      </c>
      <c r="D1362" s="3" t="s">
        <v>248</v>
      </c>
      <c r="F1362" s="3" t="s">
        <v>4191</v>
      </c>
      <c r="G1362" s="3" t="s">
        <v>39</v>
      </c>
      <c r="H1362" s="3" t="s">
        <v>253</v>
      </c>
      <c r="I1362" s="2">
        <v>19</v>
      </c>
      <c r="J1362" s="2">
        <v>19</v>
      </c>
      <c r="K1362" s="2">
        <v>2</v>
      </c>
      <c r="O1362" s="2">
        <v>4</v>
      </c>
      <c r="U1362" s="2">
        <v>1</v>
      </c>
      <c r="V1362" s="2">
        <v>11</v>
      </c>
      <c r="W1362" s="2">
        <v>1</v>
      </c>
      <c r="X1362" s="2">
        <v>4</v>
      </c>
      <c r="Z1362" s="2">
        <v>24</v>
      </c>
      <c r="AA1362" s="3" t="s">
        <v>40</v>
      </c>
      <c r="AB1362" s="2">
        <v>2</v>
      </c>
      <c r="AF1362" s="2">
        <v>30</v>
      </c>
      <c r="AG1362" s="2">
        <v>1</v>
      </c>
      <c r="AH1362" s="3" t="s">
        <v>1426</v>
      </c>
      <c r="AI1362" s="4">
        <v>44690</v>
      </c>
      <c r="AJ1362" s="3" t="s">
        <v>1446</v>
      </c>
      <c r="AK1362" s="3" t="s">
        <v>248</v>
      </c>
    </row>
    <row r="1363" spans="1:37" hidden="1" x14ac:dyDescent="0.25">
      <c r="A1363" t="str">
        <f t="shared" si="21"/>
        <v>2022_NSW_RankinsSprings_Chickpea_SatelliteTOS1VarietyDrummondWaterTrtRainFed</v>
      </c>
      <c r="B1363" s="2">
        <v>2022012</v>
      </c>
      <c r="C1363" s="3" t="s">
        <v>1425</v>
      </c>
      <c r="D1363" s="3" t="s">
        <v>248</v>
      </c>
      <c r="F1363" s="3" t="s">
        <v>4182</v>
      </c>
      <c r="G1363" s="3" t="s">
        <v>39</v>
      </c>
      <c r="H1363" s="3" t="s">
        <v>253</v>
      </c>
      <c r="I1363" s="2">
        <v>20</v>
      </c>
      <c r="J1363" s="2">
        <v>20</v>
      </c>
      <c r="K1363" s="2">
        <v>2</v>
      </c>
      <c r="O1363" s="2">
        <v>4</v>
      </c>
      <c r="U1363" s="2">
        <v>2</v>
      </c>
      <c r="V1363" s="2">
        <v>11</v>
      </c>
      <c r="W1363" s="2">
        <v>2</v>
      </c>
      <c r="X1363" s="2">
        <v>4</v>
      </c>
      <c r="Z1363" s="2">
        <v>23</v>
      </c>
      <c r="AA1363" s="3" t="s">
        <v>40</v>
      </c>
      <c r="AB1363" s="2">
        <v>3</v>
      </c>
      <c r="AF1363" s="2">
        <v>30</v>
      </c>
      <c r="AG1363" s="2">
        <v>1</v>
      </c>
      <c r="AH1363" s="3" t="s">
        <v>1426</v>
      </c>
      <c r="AI1363" s="4">
        <v>44690</v>
      </c>
      <c r="AJ1363" s="3" t="s">
        <v>1447</v>
      </c>
      <c r="AK1363" s="3" t="s">
        <v>248</v>
      </c>
    </row>
    <row r="1364" spans="1:37" hidden="1" x14ac:dyDescent="0.25">
      <c r="A1364" t="str">
        <f t="shared" si="21"/>
        <v>2022_NSW_RankinsSprings_Chickpea_SatelliteTOS1VarietyCBA_CaptainWaterTrtRainFed</v>
      </c>
      <c r="B1364" s="2">
        <v>2022012</v>
      </c>
      <c r="C1364" s="3" t="s">
        <v>1425</v>
      </c>
      <c r="D1364" s="3" t="s">
        <v>248</v>
      </c>
      <c r="F1364" s="3" t="s">
        <v>249</v>
      </c>
      <c r="G1364" s="3" t="s">
        <v>43</v>
      </c>
      <c r="H1364" s="3" t="s">
        <v>253</v>
      </c>
      <c r="I1364" s="2">
        <v>21</v>
      </c>
      <c r="J1364" s="2">
        <v>21</v>
      </c>
      <c r="K1364" s="2">
        <v>2</v>
      </c>
      <c r="O1364" s="2">
        <v>4</v>
      </c>
      <c r="U1364" s="2">
        <v>3</v>
      </c>
      <c r="V1364" s="2">
        <v>11</v>
      </c>
      <c r="W1364" s="2">
        <v>3</v>
      </c>
      <c r="X1364" s="2">
        <v>4</v>
      </c>
      <c r="Z1364" s="2">
        <v>22</v>
      </c>
      <c r="AA1364" s="3" t="s">
        <v>40</v>
      </c>
      <c r="AB1364" s="2">
        <v>1</v>
      </c>
      <c r="AF1364" s="2">
        <v>30</v>
      </c>
      <c r="AG1364" s="2">
        <v>1</v>
      </c>
      <c r="AH1364" s="3" t="s">
        <v>1426</v>
      </c>
      <c r="AI1364" s="4">
        <v>44690</v>
      </c>
      <c r="AJ1364" s="3" t="s">
        <v>1448</v>
      </c>
      <c r="AK1364" s="3" t="s">
        <v>248</v>
      </c>
    </row>
    <row r="1365" spans="1:37" hidden="1" x14ac:dyDescent="0.25">
      <c r="A1365" t="str">
        <f t="shared" si="21"/>
        <v>2022_NSW_RankinsSprings_Chickpea_SatelliteTOS1VarietyStrikerWaterTrtRainFed</v>
      </c>
      <c r="B1365" s="2">
        <v>2022012</v>
      </c>
      <c r="C1365" s="3" t="s">
        <v>1425</v>
      </c>
      <c r="D1365" s="3" t="s">
        <v>248</v>
      </c>
      <c r="F1365" s="3" t="s">
        <v>4179</v>
      </c>
      <c r="G1365" s="3" t="s">
        <v>43</v>
      </c>
      <c r="H1365" s="3" t="s">
        <v>253</v>
      </c>
      <c r="I1365" s="2">
        <v>22</v>
      </c>
      <c r="J1365" s="2">
        <v>22</v>
      </c>
      <c r="K1365" s="2">
        <v>2</v>
      </c>
      <c r="O1365" s="2">
        <v>4</v>
      </c>
      <c r="U1365" s="2">
        <v>4</v>
      </c>
      <c r="V1365" s="2">
        <v>11</v>
      </c>
      <c r="W1365" s="2">
        <v>4</v>
      </c>
      <c r="X1365" s="2">
        <v>4</v>
      </c>
      <c r="Z1365" s="2">
        <v>21</v>
      </c>
      <c r="AA1365" s="3" t="s">
        <v>40</v>
      </c>
      <c r="AB1365" s="2">
        <v>6</v>
      </c>
      <c r="AF1365" s="2">
        <v>30</v>
      </c>
      <c r="AG1365" s="2">
        <v>1</v>
      </c>
      <c r="AH1365" s="3" t="s">
        <v>1426</v>
      </c>
      <c r="AI1365" s="4">
        <v>44690</v>
      </c>
      <c r="AJ1365" s="3" t="s">
        <v>1449</v>
      </c>
      <c r="AK1365" s="3" t="s">
        <v>248</v>
      </c>
    </row>
    <row r="1366" spans="1:37" hidden="1" x14ac:dyDescent="0.25">
      <c r="A1366" t="str">
        <f t="shared" si="21"/>
        <v>2022_NSW_RankinsSprings_Chickpea_SatelliteTOS1VarietyHatTrickWaterTrtRainFed</v>
      </c>
      <c r="B1366" s="2">
        <v>2022012</v>
      </c>
      <c r="C1366" s="3" t="s">
        <v>1425</v>
      </c>
      <c r="D1366" s="3" t="s">
        <v>248</v>
      </c>
      <c r="F1366" s="3" t="s">
        <v>4178</v>
      </c>
      <c r="G1366" s="3" t="s">
        <v>39</v>
      </c>
      <c r="H1366" s="3" t="s">
        <v>253</v>
      </c>
      <c r="I1366" s="2">
        <v>23</v>
      </c>
      <c r="J1366" s="2">
        <v>23</v>
      </c>
      <c r="K1366" s="2">
        <v>2</v>
      </c>
      <c r="O1366" s="2">
        <v>4</v>
      </c>
      <c r="U1366" s="2">
        <v>5</v>
      </c>
      <c r="V1366" s="2">
        <v>11</v>
      </c>
      <c r="W1366" s="2">
        <v>5</v>
      </c>
      <c r="X1366" s="2">
        <v>4</v>
      </c>
      <c r="Z1366" s="2">
        <v>20</v>
      </c>
      <c r="AA1366" s="3" t="s">
        <v>40</v>
      </c>
      <c r="AB1366" s="2">
        <v>4</v>
      </c>
      <c r="AF1366" s="2">
        <v>30</v>
      </c>
      <c r="AG1366" s="2">
        <v>1</v>
      </c>
      <c r="AH1366" s="3" t="s">
        <v>1426</v>
      </c>
      <c r="AI1366" s="4">
        <v>44690</v>
      </c>
      <c r="AJ1366" s="3" t="s">
        <v>1450</v>
      </c>
      <c r="AK1366" s="3" t="s">
        <v>248</v>
      </c>
    </row>
    <row r="1367" spans="1:37" hidden="1" x14ac:dyDescent="0.25">
      <c r="A1367" t="str">
        <f t="shared" si="21"/>
        <v>2022_NSW_RankinsSprings_Chickpea_SatelliteTOS1VarietySlasherWaterTrtRainFed</v>
      </c>
      <c r="B1367" s="2">
        <v>2022012</v>
      </c>
      <c r="C1367" s="3" t="s">
        <v>1425</v>
      </c>
      <c r="D1367" s="3" t="s">
        <v>248</v>
      </c>
      <c r="F1367" s="3" t="s">
        <v>4180</v>
      </c>
      <c r="G1367" s="3" t="s">
        <v>39</v>
      </c>
      <c r="H1367" s="3" t="s">
        <v>253</v>
      </c>
      <c r="I1367" s="2">
        <v>24</v>
      </c>
      <c r="J1367" s="2">
        <v>24</v>
      </c>
      <c r="K1367" s="2">
        <v>2</v>
      </c>
      <c r="O1367" s="2">
        <v>4</v>
      </c>
      <c r="U1367" s="2">
        <v>6</v>
      </c>
      <c r="V1367" s="2">
        <v>11</v>
      </c>
      <c r="W1367" s="2">
        <v>6</v>
      </c>
      <c r="X1367" s="2">
        <v>4</v>
      </c>
      <c r="Z1367" s="2">
        <v>19</v>
      </c>
      <c r="AA1367" s="3" t="s">
        <v>40</v>
      </c>
      <c r="AB1367" s="2">
        <v>5</v>
      </c>
      <c r="AF1367" s="2">
        <v>30</v>
      </c>
      <c r="AG1367" s="2">
        <v>1</v>
      </c>
      <c r="AH1367" s="3" t="s">
        <v>1426</v>
      </c>
      <c r="AI1367" s="4">
        <v>44690</v>
      </c>
      <c r="AJ1367" s="3" t="s">
        <v>1451</v>
      </c>
      <c r="AK1367" s="3" t="s">
        <v>248</v>
      </c>
    </row>
    <row r="1368" spans="1:37" hidden="1" x14ac:dyDescent="0.25">
      <c r="A1368" t="str">
        <f t="shared" si="21"/>
        <v>2022_NSW_RankinsSprings_Chickpea_SatelliteTOS1VarietyDrummondWaterTrtRainFed</v>
      </c>
      <c r="B1368" s="2">
        <v>2022012</v>
      </c>
      <c r="C1368" s="3" t="s">
        <v>1425</v>
      </c>
      <c r="D1368" s="3" t="s">
        <v>248</v>
      </c>
      <c r="F1368" s="3" t="s">
        <v>4182</v>
      </c>
      <c r="G1368" s="3" t="s">
        <v>39</v>
      </c>
      <c r="H1368" s="3" t="s">
        <v>253</v>
      </c>
      <c r="I1368" s="2">
        <v>25</v>
      </c>
      <c r="J1368" s="2">
        <v>25</v>
      </c>
      <c r="K1368" s="2">
        <v>3</v>
      </c>
      <c r="O1368" s="2">
        <v>5</v>
      </c>
      <c r="U1368" s="2">
        <v>1</v>
      </c>
      <c r="V1368" s="2">
        <v>14</v>
      </c>
      <c r="W1368" s="2">
        <v>1</v>
      </c>
      <c r="X1368" s="2">
        <v>5</v>
      </c>
      <c r="Z1368" s="2">
        <v>25</v>
      </c>
      <c r="AA1368" s="3" t="s">
        <v>40</v>
      </c>
      <c r="AB1368" s="2">
        <v>3</v>
      </c>
      <c r="AF1368" s="2">
        <v>30</v>
      </c>
      <c r="AG1368" s="2">
        <v>1</v>
      </c>
      <c r="AH1368" s="3" t="s">
        <v>1426</v>
      </c>
      <c r="AI1368" s="4">
        <v>44690</v>
      </c>
      <c r="AJ1368" s="3" t="s">
        <v>1452</v>
      </c>
      <c r="AK1368" s="3" t="s">
        <v>248</v>
      </c>
    </row>
    <row r="1369" spans="1:37" hidden="1" x14ac:dyDescent="0.25">
      <c r="A1369" t="str">
        <f t="shared" si="21"/>
        <v>2022_NSW_RankinsSprings_Chickpea_SatelliteTOS1VarietyCBA_CaptainWaterTrtRainFed</v>
      </c>
      <c r="B1369" s="2">
        <v>2022012</v>
      </c>
      <c r="C1369" s="3" t="s">
        <v>1425</v>
      </c>
      <c r="D1369" s="3" t="s">
        <v>248</v>
      </c>
      <c r="F1369" s="3" t="s">
        <v>249</v>
      </c>
      <c r="G1369" s="3" t="s">
        <v>43</v>
      </c>
      <c r="H1369" s="3" t="s">
        <v>253</v>
      </c>
      <c r="I1369" s="2">
        <v>26</v>
      </c>
      <c r="J1369" s="2">
        <v>26</v>
      </c>
      <c r="K1369" s="2">
        <v>3</v>
      </c>
      <c r="O1369" s="2">
        <v>5</v>
      </c>
      <c r="U1369" s="2">
        <v>2</v>
      </c>
      <c r="V1369" s="2">
        <v>14</v>
      </c>
      <c r="W1369" s="2">
        <v>2</v>
      </c>
      <c r="X1369" s="2">
        <v>5</v>
      </c>
      <c r="Z1369" s="2">
        <v>26</v>
      </c>
      <c r="AA1369" s="3" t="s">
        <v>40</v>
      </c>
      <c r="AB1369" s="2">
        <v>1</v>
      </c>
      <c r="AF1369" s="2">
        <v>30</v>
      </c>
      <c r="AG1369" s="2">
        <v>1</v>
      </c>
      <c r="AH1369" s="3" t="s">
        <v>1426</v>
      </c>
      <c r="AI1369" s="4">
        <v>44690</v>
      </c>
      <c r="AJ1369" s="3" t="s">
        <v>1453</v>
      </c>
      <c r="AK1369" s="3" t="s">
        <v>248</v>
      </c>
    </row>
    <row r="1370" spans="1:37" hidden="1" x14ac:dyDescent="0.25">
      <c r="A1370" t="str">
        <f t="shared" si="21"/>
        <v>2022_NSW_RankinsSprings_Chickpea_SatelliteTOS1VarietyHatTrickWaterTrtRainFed</v>
      </c>
      <c r="B1370" s="2">
        <v>2022012</v>
      </c>
      <c r="C1370" s="3" t="s">
        <v>1425</v>
      </c>
      <c r="D1370" s="3" t="s">
        <v>248</v>
      </c>
      <c r="F1370" s="3" t="s">
        <v>4178</v>
      </c>
      <c r="G1370" s="3" t="s">
        <v>39</v>
      </c>
      <c r="H1370" s="3" t="s">
        <v>253</v>
      </c>
      <c r="I1370" s="2">
        <v>27</v>
      </c>
      <c r="J1370" s="2">
        <v>27</v>
      </c>
      <c r="K1370" s="2">
        <v>3</v>
      </c>
      <c r="O1370" s="2">
        <v>5</v>
      </c>
      <c r="U1370" s="2">
        <v>3</v>
      </c>
      <c r="V1370" s="2">
        <v>14</v>
      </c>
      <c r="W1370" s="2">
        <v>3</v>
      </c>
      <c r="X1370" s="2">
        <v>5</v>
      </c>
      <c r="Z1370" s="2">
        <v>27</v>
      </c>
      <c r="AA1370" s="3" t="s">
        <v>40</v>
      </c>
      <c r="AB1370" s="2">
        <v>4</v>
      </c>
      <c r="AF1370" s="2">
        <v>30</v>
      </c>
      <c r="AG1370" s="2">
        <v>1</v>
      </c>
      <c r="AH1370" s="3" t="s">
        <v>1426</v>
      </c>
      <c r="AI1370" s="4">
        <v>44690</v>
      </c>
      <c r="AJ1370" s="3" t="s">
        <v>1454</v>
      </c>
      <c r="AK1370" s="3" t="s">
        <v>248</v>
      </c>
    </row>
    <row r="1371" spans="1:37" hidden="1" x14ac:dyDescent="0.25">
      <c r="A1371" t="str">
        <f t="shared" si="21"/>
        <v>2022_NSW_RankinsSprings_Chickpea_SatelliteTOS1VarietySlasherWaterTrtRainFed</v>
      </c>
      <c r="B1371" s="2">
        <v>2022012</v>
      </c>
      <c r="C1371" s="3" t="s">
        <v>1425</v>
      </c>
      <c r="D1371" s="3" t="s">
        <v>248</v>
      </c>
      <c r="F1371" s="3" t="s">
        <v>4180</v>
      </c>
      <c r="G1371" s="3" t="s">
        <v>39</v>
      </c>
      <c r="H1371" s="3" t="s">
        <v>253</v>
      </c>
      <c r="I1371" s="2">
        <v>28</v>
      </c>
      <c r="J1371" s="2">
        <v>28</v>
      </c>
      <c r="K1371" s="2">
        <v>3</v>
      </c>
      <c r="O1371" s="2">
        <v>5</v>
      </c>
      <c r="U1371" s="2">
        <v>4</v>
      </c>
      <c r="V1371" s="2">
        <v>14</v>
      </c>
      <c r="W1371" s="2">
        <v>4</v>
      </c>
      <c r="X1371" s="2">
        <v>5</v>
      </c>
      <c r="Z1371" s="2">
        <v>28</v>
      </c>
      <c r="AA1371" s="3" t="s">
        <v>40</v>
      </c>
      <c r="AB1371" s="2">
        <v>5</v>
      </c>
      <c r="AF1371" s="2">
        <v>30</v>
      </c>
      <c r="AG1371" s="2">
        <v>1</v>
      </c>
      <c r="AH1371" s="3" t="s">
        <v>1426</v>
      </c>
      <c r="AI1371" s="4">
        <v>44690</v>
      </c>
      <c r="AJ1371" s="3" t="s">
        <v>1455</v>
      </c>
      <c r="AK1371" s="3" t="s">
        <v>248</v>
      </c>
    </row>
    <row r="1372" spans="1:37" hidden="1" x14ac:dyDescent="0.25">
      <c r="A1372" t="str">
        <f t="shared" si="21"/>
        <v>2022_NSW_RankinsSprings_Chickpea_SatelliteTOS1VarietyBoundaryWaterTrtRainFed</v>
      </c>
      <c r="B1372" s="2">
        <v>2022012</v>
      </c>
      <c r="C1372" s="3" t="s">
        <v>1425</v>
      </c>
      <c r="D1372" s="3" t="s">
        <v>248</v>
      </c>
      <c r="F1372" s="3" t="s">
        <v>4191</v>
      </c>
      <c r="G1372" s="3" t="s">
        <v>39</v>
      </c>
      <c r="H1372" s="3" t="s">
        <v>253</v>
      </c>
      <c r="I1372" s="2">
        <v>29</v>
      </c>
      <c r="J1372" s="2">
        <v>29</v>
      </c>
      <c r="K1372" s="2">
        <v>3</v>
      </c>
      <c r="O1372" s="2">
        <v>5</v>
      </c>
      <c r="U1372" s="2">
        <v>5</v>
      </c>
      <c r="V1372" s="2">
        <v>14</v>
      </c>
      <c r="W1372" s="2">
        <v>5</v>
      </c>
      <c r="X1372" s="2">
        <v>5</v>
      </c>
      <c r="Z1372" s="2">
        <v>29</v>
      </c>
      <c r="AA1372" s="3" t="s">
        <v>40</v>
      </c>
      <c r="AB1372" s="2">
        <v>2</v>
      </c>
      <c r="AF1372" s="2">
        <v>30</v>
      </c>
      <c r="AG1372" s="2">
        <v>1</v>
      </c>
      <c r="AH1372" s="3" t="s">
        <v>1426</v>
      </c>
      <c r="AI1372" s="4">
        <v>44690</v>
      </c>
      <c r="AJ1372" s="3" t="s">
        <v>1456</v>
      </c>
      <c r="AK1372" s="3" t="s">
        <v>248</v>
      </c>
    </row>
    <row r="1373" spans="1:37" hidden="1" x14ac:dyDescent="0.25">
      <c r="A1373" t="str">
        <f t="shared" si="21"/>
        <v>2022_NSW_RankinsSprings_Chickpea_SatelliteTOS1VarietyStrikerWaterTrtRainFed</v>
      </c>
      <c r="B1373" s="2">
        <v>2022012</v>
      </c>
      <c r="C1373" s="3" t="s">
        <v>1425</v>
      </c>
      <c r="D1373" s="3" t="s">
        <v>248</v>
      </c>
      <c r="F1373" s="3" t="s">
        <v>4179</v>
      </c>
      <c r="G1373" s="3" t="s">
        <v>43</v>
      </c>
      <c r="H1373" s="3" t="s">
        <v>253</v>
      </c>
      <c r="I1373" s="2">
        <v>30</v>
      </c>
      <c r="J1373" s="2">
        <v>30</v>
      </c>
      <c r="K1373" s="2">
        <v>3</v>
      </c>
      <c r="O1373" s="2">
        <v>5</v>
      </c>
      <c r="U1373" s="2">
        <v>6</v>
      </c>
      <c r="V1373" s="2">
        <v>14</v>
      </c>
      <c r="W1373" s="2">
        <v>6</v>
      </c>
      <c r="X1373" s="2">
        <v>5</v>
      </c>
      <c r="Z1373" s="2">
        <v>30</v>
      </c>
      <c r="AA1373" s="3" t="s">
        <v>40</v>
      </c>
      <c r="AB1373" s="2">
        <v>6</v>
      </c>
      <c r="AF1373" s="2">
        <v>30</v>
      </c>
      <c r="AG1373" s="2">
        <v>1</v>
      </c>
      <c r="AH1373" s="3" t="s">
        <v>1426</v>
      </c>
      <c r="AI1373" s="4">
        <v>44690</v>
      </c>
      <c r="AJ1373" s="3" t="s">
        <v>1457</v>
      </c>
      <c r="AK1373" s="3" t="s">
        <v>248</v>
      </c>
    </row>
    <row r="1374" spans="1:37" hidden="1" x14ac:dyDescent="0.25">
      <c r="A1374" t="str">
        <f t="shared" si="21"/>
        <v>2022_NSW_RankinsSprings_Chickpea_SatelliteTOS2VarietyCBA_CaptainWaterTrtRainFed</v>
      </c>
      <c r="B1374" s="2">
        <v>2022012</v>
      </c>
      <c r="C1374" s="3" t="s">
        <v>1425</v>
      </c>
      <c r="D1374" s="3" t="s">
        <v>248</v>
      </c>
      <c r="F1374" s="3" t="s">
        <v>249</v>
      </c>
      <c r="G1374" s="3" t="s">
        <v>43</v>
      </c>
      <c r="H1374" s="3" t="s">
        <v>253</v>
      </c>
      <c r="I1374" s="2">
        <v>31</v>
      </c>
      <c r="J1374" s="2">
        <v>31</v>
      </c>
      <c r="K1374" s="2">
        <v>3</v>
      </c>
      <c r="O1374" s="2">
        <v>6</v>
      </c>
      <c r="U1374" s="2">
        <v>1</v>
      </c>
      <c r="V1374" s="2">
        <v>17</v>
      </c>
      <c r="W1374" s="2">
        <v>1</v>
      </c>
      <c r="X1374" s="2">
        <v>6</v>
      </c>
      <c r="Z1374" s="2">
        <v>36</v>
      </c>
      <c r="AA1374" s="3" t="s">
        <v>40</v>
      </c>
      <c r="AB1374" s="2">
        <v>1</v>
      </c>
      <c r="AF1374" s="2">
        <v>30</v>
      </c>
      <c r="AG1374" s="2">
        <v>2</v>
      </c>
      <c r="AH1374" s="3" t="s">
        <v>1433</v>
      </c>
      <c r="AI1374" s="4">
        <v>44721</v>
      </c>
      <c r="AJ1374" s="3" t="s">
        <v>1458</v>
      </c>
      <c r="AK1374" s="3" t="s">
        <v>248</v>
      </c>
    </row>
    <row r="1375" spans="1:37" hidden="1" x14ac:dyDescent="0.25">
      <c r="A1375" t="str">
        <f t="shared" si="21"/>
        <v>2022_NSW_RankinsSprings_Chickpea_SatelliteTOS2VarietyDrummondWaterTrtRainFed</v>
      </c>
      <c r="B1375" s="2">
        <v>2022012</v>
      </c>
      <c r="C1375" s="3" t="s">
        <v>1425</v>
      </c>
      <c r="D1375" s="3" t="s">
        <v>248</v>
      </c>
      <c r="F1375" s="3" t="s">
        <v>4182</v>
      </c>
      <c r="G1375" s="3" t="s">
        <v>39</v>
      </c>
      <c r="H1375" s="3" t="s">
        <v>253</v>
      </c>
      <c r="I1375" s="2">
        <v>32</v>
      </c>
      <c r="J1375" s="2">
        <v>32</v>
      </c>
      <c r="K1375" s="2">
        <v>3</v>
      </c>
      <c r="O1375" s="2">
        <v>6</v>
      </c>
      <c r="U1375" s="2">
        <v>2</v>
      </c>
      <c r="V1375" s="2">
        <v>17</v>
      </c>
      <c r="W1375" s="2">
        <v>2</v>
      </c>
      <c r="X1375" s="2">
        <v>6</v>
      </c>
      <c r="Z1375" s="2">
        <v>35</v>
      </c>
      <c r="AA1375" s="3" t="s">
        <v>40</v>
      </c>
      <c r="AB1375" s="2">
        <v>3</v>
      </c>
      <c r="AF1375" s="2">
        <v>30</v>
      </c>
      <c r="AG1375" s="2">
        <v>2</v>
      </c>
      <c r="AH1375" s="3" t="s">
        <v>1433</v>
      </c>
      <c r="AI1375" s="4">
        <v>44721</v>
      </c>
      <c r="AJ1375" s="3" t="s">
        <v>1459</v>
      </c>
      <c r="AK1375" s="3" t="s">
        <v>248</v>
      </c>
    </row>
    <row r="1376" spans="1:37" hidden="1" x14ac:dyDescent="0.25">
      <c r="A1376" t="str">
        <f t="shared" si="21"/>
        <v>2022_NSW_RankinsSprings_Chickpea_SatelliteTOS2VarietyBoundaryWaterTrtRainFed</v>
      </c>
      <c r="B1376" s="2">
        <v>2022012</v>
      </c>
      <c r="C1376" s="3" t="s">
        <v>1425</v>
      </c>
      <c r="D1376" s="3" t="s">
        <v>248</v>
      </c>
      <c r="F1376" s="3" t="s">
        <v>4191</v>
      </c>
      <c r="G1376" s="3" t="s">
        <v>39</v>
      </c>
      <c r="H1376" s="3" t="s">
        <v>253</v>
      </c>
      <c r="I1376" s="2">
        <v>33</v>
      </c>
      <c r="J1376" s="2">
        <v>33</v>
      </c>
      <c r="K1376" s="2">
        <v>3</v>
      </c>
      <c r="O1376" s="2">
        <v>6</v>
      </c>
      <c r="U1376" s="2">
        <v>3</v>
      </c>
      <c r="V1376" s="2">
        <v>17</v>
      </c>
      <c r="W1376" s="2">
        <v>3</v>
      </c>
      <c r="X1376" s="2">
        <v>6</v>
      </c>
      <c r="Z1376" s="2">
        <v>34</v>
      </c>
      <c r="AA1376" s="3" t="s">
        <v>40</v>
      </c>
      <c r="AB1376" s="2">
        <v>2</v>
      </c>
      <c r="AF1376" s="2">
        <v>30</v>
      </c>
      <c r="AG1376" s="2">
        <v>2</v>
      </c>
      <c r="AH1376" s="3" t="s">
        <v>1433</v>
      </c>
      <c r="AI1376" s="4">
        <v>44721</v>
      </c>
      <c r="AJ1376" s="3" t="s">
        <v>1460</v>
      </c>
      <c r="AK1376" s="3" t="s">
        <v>248</v>
      </c>
    </row>
    <row r="1377" spans="1:37" hidden="1" x14ac:dyDescent="0.25">
      <c r="A1377" t="str">
        <f t="shared" si="21"/>
        <v>2022_NSW_RankinsSprings_Chickpea_SatelliteTOS2VarietyStrikerWaterTrtRainFed</v>
      </c>
      <c r="B1377" s="2">
        <v>2022012</v>
      </c>
      <c r="C1377" s="3" t="s">
        <v>1425</v>
      </c>
      <c r="D1377" s="3" t="s">
        <v>248</v>
      </c>
      <c r="F1377" s="3" t="s">
        <v>4179</v>
      </c>
      <c r="G1377" s="3" t="s">
        <v>43</v>
      </c>
      <c r="H1377" s="3" t="s">
        <v>253</v>
      </c>
      <c r="I1377" s="2">
        <v>34</v>
      </c>
      <c r="J1377" s="2">
        <v>34</v>
      </c>
      <c r="K1377" s="2">
        <v>3</v>
      </c>
      <c r="O1377" s="2">
        <v>6</v>
      </c>
      <c r="U1377" s="2">
        <v>4</v>
      </c>
      <c r="V1377" s="2">
        <v>17</v>
      </c>
      <c r="W1377" s="2">
        <v>4</v>
      </c>
      <c r="X1377" s="2">
        <v>6</v>
      </c>
      <c r="Z1377" s="2">
        <v>33</v>
      </c>
      <c r="AA1377" s="3" t="s">
        <v>40</v>
      </c>
      <c r="AB1377" s="2">
        <v>6</v>
      </c>
      <c r="AF1377" s="2">
        <v>30</v>
      </c>
      <c r="AG1377" s="2">
        <v>2</v>
      </c>
      <c r="AH1377" s="3" t="s">
        <v>1433</v>
      </c>
      <c r="AI1377" s="4">
        <v>44721</v>
      </c>
      <c r="AJ1377" s="3" t="s">
        <v>1461</v>
      </c>
      <c r="AK1377" s="3" t="s">
        <v>248</v>
      </c>
    </row>
    <row r="1378" spans="1:37" hidden="1" x14ac:dyDescent="0.25">
      <c r="A1378" t="str">
        <f t="shared" si="21"/>
        <v>2022_NSW_RankinsSprings_Chickpea_SatelliteTOS2VarietySlasherWaterTrtRainFed</v>
      </c>
      <c r="B1378" s="2">
        <v>2022012</v>
      </c>
      <c r="C1378" s="3" t="s">
        <v>1425</v>
      </c>
      <c r="D1378" s="3" t="s">
        <v>248</v>
      </c>
      <c r="F1378" s="3" t="s">
        <v>4180</v>
      </c>
      <c r="G1378" s="3" t="s">
        <v>39</v>
      </c>
      <c r="H1378" s="3" t="s">
        <v>253</v>
      </c>
      <c r="I1378" s="2">
        <v>35</v>
      </c>
      <c r="J1378" s="2">
        <v>35</v>
      </c>
      <c r="K1378" s="2">
        <v>3</v>
      </c>
      <c r="O1378" s="2">
        <v>6</v>
      </c>
      <c r="U1378" s="2">
        <v>5</v>
      </c>
      <c r="V1378" s="2">
        <v>17</v>
      </c>
      <c r="W1378" s="2">
        <v>5</v>
      </c>
      <c r="X1378" s="2">
        <v>6</v>
      </c>
      <c r="Z1378" s="2">
        <v>32</v>
      </c>
      <c r="AA1378" s="3" t="s">
        <v>40</v>
      </c>
      <c r="AB1378" s="2">
        <v>5</v>
      </c>
      <c r="AF1378" s="2">
        <v>30</v>
      </c>
      <c r="AG1378" s="2">
        <v>2</v>
      </c>
      <c r="AH1378" s="3" t="s">
        <v>1433</v>
      </c>
      <c r="AI1378" s="4">
        <v>44721</v>
      </c>
      <c r="AJ1378" s="3" t="s">
        <v>1462</v>
      </c>
      <c r="AK1378" s="3" t="s">
        <v>248</v>
      </c>
    </row>
    <row r="1379" spans="1:37" hidden="1" x14ac:dyDescent="0.25">
      <c r="A1379" t="str">
        <f t="shared" si="21"/>
        <v>2022_NSW_RankinsSprings_Chickpea_SatelliteTOS2VarietyHatTrickWaterTrtRainFed</v>
      </c>
      <c r="B1379" s="2">
        <v>2022012</v>
      </c>
      <c r="C1379" s="3" t="s">
        <v>1425</v>
      </c>
      <c r="D1379" s="3" t="s">
        <v>248</v>
      </c>
      <c r="F1379" s="3" t="s">
        <v>4178</v>
      </c>
      <c r="G1379" s="3" t="s">
        <v>39</v>
      </c>
      <c r="H1379" s="3" t="s">
        <v>253</v>
      </c>
      <c r="I1379" s="2">
        <v>36</v>
      </c>
      <c r="J1379" s="2">
        <v>36</v>
      </c>
      <c r="K1379" s="2">
        <v>3</v>
      </c>
      <c r="O1379" s="2">
        <v>6</v>
      </c>
      <c r="U1379" s="2">
        <v>6</v>
      </c>
      <c r="V1379" s="2">
        <v>17</v>
      </c>
      <c r="W1379" s="2">
        <v>6</v>
      </c>
      <c r="X1379" s="2">
        <v>6</v>
      </c>
      <c r="Z1379" s="2">
        <v>31</v>
      </c>
      <c r="AA1379" s="3" t="s">
        <v>40</v>
      </c>
      <c r="AB1379" s="2">
        <v>4</v>
      </c>
      <c r="AF1379" s="2">
        <v>30</v>
      </c>
      <c r="AG1379" s="2">
        <v>2</v>
      </c>
      <c r="AH1379" s="3" t="s">
        <v>1433</v>
      </c>
      <c r="AI1379" s="4">
        <v>44721</v>
      </c>
      <c r="AJ1379" s="3" t="s">
        <v>1463</v>
      </c>
      <c r="AK1379" s="3" t="s">
        <v>248</v>
      </c>
    </row>
    <row r="1380" spans="1:37" hidden="1" x14ac:dyDescent="0.25">
      <c r="A1380" t="str">
        <f t="shared" si="21"/>
        <v>2022_NSW_RankinsSprings_Chickpea_SatelliteTOS2VarietySlasherWaterTrtRainFed</v>
      </c>
      <c r="B1380" s="2">
        <v>2022012</v>
      </c>
      <c r="C1380" s="3" t="s">
        <v>1425</v>
      </c>
      <c r="D1380" s="3" t="s">
        <v>248</v>
      </c>
      <c r="F1380" s="3" t="s">
        <v>4180</v>
      </c>
      <c r="G1380" s="3" t="s">
        <v>39</v>
      </c>
      <c r="H1380" s="3" t="s">
        <v>253</v>
      </c>
      <c r="I1380" s="2">
        <v>37</v>
      </c>
      <c r="J1380" s="2">
        <v>37</v>
      </c>
      <c r="K1380" s="2">
        <v>4</v>
      </c>
      <c r="O1380" s="2">
        <v>7</v>
      </c>
      <c r="U1380" s="2">
        <v>1</v>
      </c>
      <c r="V1380" s="2">
        <v>20</v>
      </c>
      <c r="W1380" s="2">
        <v>1</v>
      </c>
      <c r="X1380" s="2">
        <v>7</v>
      </c>
      <c r="Z1380" s="2">
        <v>37</v>
      </c>
      <c r="AA1380" s="3" t="s">
        <v>40</v>
      </c>
      <c r="AB1380" s="2">
        <v>5</v>
      </c>
      <c r="AF1380" s="2">
        <v>30</v>
      </c>
      <c r="AG1380" s="2">
        <v>2</v>
      </c>
      <c r="AH1380" s="3" t="s">
        <v>1433</v>
      </c>
      <c r="AI1380" s="4">
        <v>44721</v>
      </c>
      <c r="AJ1380" s="3" t="s">
        <v>1464</v>
      </c>
      <c r="AK1380" s="3" t="s">
        <v>248</v>
      </c>
    </row>
    <row r="1381" spans="1:37" hidden="1" x14ac:dyDescent="0.25">
      <c r="A1381" t="str">
        <f t="shared" si="21"/>
        <v>2022_NSW_RankinsSprings_Chickpea_SatelliteTOS2VarietyBoundaryWaterTrtRainFed</v>
      </c>
      <c r="B1381" s="2">
        <v>2022012</v>
      </c>
      <c r="C1381" s="3" t="s">
        <v>1425</v>
      </c>
      <c r="D1381" s="3" t="s">
        <v>248</v>
      </c>
      <c r="F1381" s="3" t="s">
        <v>4191</v>
      </c>
      <c r="G1381" s="3" t="s">
        <v>39</v>
      </c>
      <c r="H1381" s="3" t="s">
        <v>253</v>
      </c>
      <c r="I1381" s="2">
        <v>38</v>
      </c>
      <c r="J1381" s="2">
        <v>38</v>
      </c>
      <c r="K1381" s="2">
        <v>4</v>
      </c>
      <c r="O1381" s="2">
        <v>7</v>
      </c>
      <c r="U1381" s="2">
        <v>2</v>
      </c>
      <c r="V1381" s="2">
        <v>20</v>
      </c>
      <c r="W1381" s="2">
        <v>2</v>
      </c>
      <c r="X1381" s="2">
        <v>7</v>
      </c>
      <c r="Z1381" s="2">
        <v>38</v>
      </c>
      <c r="AA1381" s="3" t="s">
        <v>40</v>
      </c>
      <c r="AB1381" s="2">
        <v>2</v>
      </c>
      <c r="AF1381" s="2">
        <v>30</v>
      </c>
      <c r="AG1381" s="2">
        <v>2</v>
      </c>
      <c r="AH1381" s="3" t="s">
        <v>1433</v>
      </c>
      <c r="AI1381" s="4">
        <v>44721</v>
      </c>
      <c r="AJ1381" s="3" t="s">
        <v>1465</v>
      </c>
      <c r="AK1381" s="3" t="s">
        <v>248</v>
      </c>
    </row>
    <row r="1382" spans="1:37" hidden="1" x14ac:dyDescent="0.25">
      <c r="A1382" t="str">
        <f t="shared" si="21"/>
        <v>2022_NSW_RankinsSprings_Chickpea_SatelliteTOS2VarietyCBA_CaptainWaterTrtRainFed</v>
      </c>
      <c r="B1382" s="2">
        <v>2022012</v>
      </c>
      <c r="C1382" s="3" t="s">
        <v>1425</v>
      </c>
      <c r="D1382" s="3" t="s">
        <v>248</v>
      </c>
      <c r="F1382" s="3" t="s">
        <v>249</v>
      </c>
      <c r="G1382" s="3" t="s">
        <v>43</v>
      </c>
      <c r="H1382" s="3" t="s">
        <v>253</v>
      </c>
      <c r="I1382" s="2">
        <v>39</v>
      </c>
      <c r="J1382" s="2">
        <v>39</v>
      </c>
      <c r="K1382" s="2">
        <v>4</v>
      </c>
      <c r="O1382" s="2">
        <v>7</v>
      </c>
      <c r="U1382" s="2">
        <v>3</v>
      </c>
      <c r="V1382" s="2">
        <v>20</v>
      </c>
      <c r="W1382" s="2">
        <v>3</v>
      </c>
      <c r="X1382" s="2">
        <v>7</v>
      </c>
      <c r="Z1382" s="2">
        <v>39</v>
      </c>
      <c r="AA1382" s="3" t="s">
        <v>40</v>
      </c>
      <c r="AB1382" s="2">
        <v>1</v>
      </c>
      <c r="AF1382" s="2">
        <v>30</v>
      </c>
      <c r="AG1382" s="2">
        <v>2</v>
      </c>
      <c r="AH1382" s="3" t="s">
        <v>1433</v>
      </c>
      <c r="AI1382" s="4">
        <v>44721</v>
      </c>
      <c r="AJ1382" s="3" t="s">
        <v>1466</v>
      </c>
      <c r="AK1382" s="3" t="s">
        <v>248</v>
      </c>
    </row>
    <row r="1383" spans="1:37" hidden="1" x14ac:dyDescent="0.25">
      <c r="A1383" t="str">
        <f t="shared" si="21"/>
        <v>2022_NSW_RankinsSprings_Chickpea_SatelliteTOS2VarietyDrummondWaterTrtRainFed</v>
      </c>
      <c r="B1383" s="2">
        <v>2022012</v>
      </c>
      <c r="C1383" s="3" t="s">
        <v>1425</v>
      </c>
      <c r="D1383" s="3" t="s">
        <v>248</v>
      </c>
      <c r="F1383" s="3" t="s">
        <v>4182</v>
      </c>
      <c r="G1383" s="3" t="s">
        <v>39</v>
      </c>
      <c r="H1383" s="3" t="s">
        <v>253</v>
      </c>
      <c r="I1383" s="2">
        <v>40</v>
      </c>
      <c r="J1383" s="2">
        <v>40</v>
      </c>
      <c r="K1383" s="2">
        <v>4</v>
      </c>
      <c r="O1383" s="2">
        <v>7</v>
      </c>
      <c r="U1383" s="2">
        <v>4</v>
      </c>
      <c r="V1383" s="2">
        <v>20</v>
      </c>
      <c r="W1383" s="2">
        <v>4</v>
      </c>
      <c r="X1383" s="2">
        <v>7</v>
      </c>
      <c r="Z1383" s="2">
        <v>40</v>
      </c>
      <c r="AA1383" s="3" t="s">
        <v>40</v>
      </c>
      <c r="AB1383" s="2">
        <v>3</v>
      </c>
      <c r="AF1383" s="2">
        <v>30</v>
      </c>
      <c r="AG1383" s="2">
        <v>2</v>
      </c>
      <c r="AH1383" s="3" t="s">
        <v>1433</v>
      </c>
      <c r="AI1383" s="4">
        <v>44721</v>
      </c>
      <c r="AJ1383" s="3" t="s">
        <v>1467</v>
      </c>
      <c r="AK1383" s="3" t="s">
        <v>248</v>
      </c>
    </row>
    <row r="1384" spans="1:37" hidden="1" x14ac:dyDescent="0.25">
      <c r="A1384" t="str">
        <f t="shared" si="21"/>
        <v>2022_NSW_RankinsSprings_Chickpea_SatelliteTOS2VarietyHatTrickWaterTrtRainFed</v>
      </c>
      <c r="B1384" s="2">
        <v>2022012</v>
      </c>
      <c r="C1384" s="3" t="s">
        <v>1425</v>
      </c>
      <c r="D1384" s="3" t="s">
        <v>248</v>
      </c>
      <c r="F1384" s="3" t="s">
        <v>4178</v>
      </c>
      <c r="G1384" s="3" t="s">
        <v>39</v>
      </c>
      <c r="H1384" s="3" t="s">
        <v>253</v>
      </c>
      <c r="I1384" s="2">
        <v>41</v>
      </c>
      <c r="J1384" s="2">
        <v>41</v>
      </c>
      <c r="K1384" s="2">
        <v>4</v>
      </c>
      <c r="O1384" s="2">
        <v>7</v>
      </c>
      <c r="U1384" s="2">
        <v>5</v>
      </c>
      <c r="V1384" s="2">
        <v>20</v>
      </c>
      <c r="W1384" s="2">
        <v>5</v>
      </c>
      <c r="X1384" s="2">
        <v>7</v>
      </c>
      <c r="Z1384" s="2">
        <v>41</v>
      </c>
      <c r="AA1384" s="3" t="s">
        <v>40</v>
      </c>
      <c r="AB1384" s="2">
        <v>4</v>
      </c>
      <c r="AF1384" s="2">
        <v>30</v>
      </c>
      <c r="AG1384" s="2">
        <v>2</v>
      </c>
      <c r="AH1384" s="3" t="s">
        <v>1433</v>
      </c>
      <c r="AI1384" s="4">
        <v>44721</v>
      </c>
      <c r="AJ1384" s="3" t="s">
        <v>1468</v>
      </c>
      <c r="AK1384" s="3" t="s">
        <v>248</v>
      </c>
    </row>
    <row r="1385" spans="1:37" hidden="1" x14ac:dyDescent="0.25">
      <c r="A1385" t="str">
        <f t="shared" si="21"/>
        <v>2022_NSW_RankinsSprings_Chickpea_SatelliteTOS2VarietyStrikerWaterTrtRainFed</v>
      </c>
      <c r="B1385" s="2">
        <v>2022012</v>
      </c>
      <c r="C1385" s="3" t="s">
        <v>1425</v>
      </c>
      <c r="D1385" s="3" t="s">
        <v>248</v>
      </c>
      <c r="F1385" s="3" t="s">
        <v>4179</v>
      </c>
      <c r="G1385" s="3" t="s">
        <v>43</v>
      </c>
      <c r="H1385" s="3" t="s">
        <v>253</v>
      </c>
      <c r="I1385" s="2">
        <v>42</v>
      </c>
      <c r="J1385" s="2">
        <v>42</v>
      </c>
      <c r="K1385" s="2">
        <v>4</v>
      </c>
      <c r="O1385" s="2">
        <v>7</v>
      </c>
      <c r="U1385" s="2">
        <v>6</v>
      </c>
      <c r="V1385" s="2">
        <v>20</v>
      </c>
      <c r="W1385" s="2">
        <v>6</v>
      </c>
      <c r="X1385" s="2">
        <v>7</v>
      </c>
      <c r="Z1385" s="2">
        <v>42</v>
      </c>
      <c r="AA1385" s="3" t="s">
        <v>40</v>
      </c>
      <c r="AB1385" s="2">
        <v>6</v>
      </c>
      <c r="AF1385" s="2">
        <v>30</v>
      </c>
      <c r="AG1385" s="2">
        <v>2</v>
      </c>
      <c r="AH1385" s="3" t="s">
        <v>1433</v>
      </c>
      <c r="AI1385" s="4">
        <v>44721</v>
      </c>
      <c r="AJ1385" s="3" t="s">
        <v>1469</v>
      </c>
      <c r="AK1385" s="3" t="s">
        <v>248</v>
      </c>
    </row>
    <row r="1386" spans="1:37" hidden="1" x14ac:dyDescent="0.25">
      <c r="A1386" t="str">
        <f t="shared" si="21"/>
        <v>2022_NSW_RankinsSprings_Chickpea_SatelliteTOS1VarietyHatTrickWaterTrtRainFed</v>
      </c>
      <c r="B1386" s="2">
        <v>2022012</v>
      </c>
      <c r="C1386" s="3" t="s">
        <v>1425</v>
      </c>
      <c r="D1386" s="3" t="s">
        <v>248</v>
      </c>
      <c r="F1386" s="3" t="s">
        <v>4178</v>
      </c>
      <c r="G1386" s="3" t="s">
        <v>39</v>
      </c>
      <c r="H1386" s="3" t="s">
        <v>253</v>
      </c>
      <c r="I1386" s="2">
        <v>43</v>
      </c>
      <c r="J1386" s="2">
        <v>43</v>
      </c>
      <c r="K1386" s="2">
        <v>4</v>
      </c>
      <c r="O1386" s="2">
        <v>8</v>
      </c>
      <c r="U1386" s="2">
        <v>1</v>
      </c>
      <c r="V1386" s="2">
        <v>23</v>
      </c>
      <c r="W1386" s="2">
        <v>1</v>
      </c>
      <c r="X1386" s="2">
        <v>8</v>
      </c>
      <c r="Z1386" s="2">
        <v>48</v>
      </c>
      <c r="AA1386" s="3" t="s">
        <v>40</v>
      </c>
      <c r="AB1386" s="2">
        <v>4</v>
      </c>
      <c r="AF1386" s="2">
        <v>30</v>
      </c>
      <c r="AG1386" s="2">
        <v>1</v>
      </c>
      <c r="AH1386" s="3" t="s">
        <v>1426</v>
      </c>
      <c r="AI1386" s="4">
        <v>44690</v>
      </c>
      <c r="AJ1386" s="3" t="s">
        <v>1470</v>
      </c>
      <c r="AK1386" s="3" t="s">
        <v>248</v>
      </c>
    </row>
    <row r="1387" spans="1:37" hidden="1" x14ac:dyDescent="0.25">
      <c r="A1387" t="str">
        <f t="shared" si="21"/>
        <v>2022_NSW_RankinsSprings_Chickpea_SatelliteTOS1VarietyStrikerWaterTrtRainFed</v>
      </c>
      <c r="B1387" s="2">
        <v>2022012</v>
      </c>
      <c r="C1387" s="3" t="s">
        <v>1425</v>
      </c>
      <c r="D1387" s="3" t="s">
        <v>248</v>
      </c>
      <c r="F1387" s="3" t="s">
        <v>4179</v>
      </c>
      <c r="G1387" s="3" t="s">
        <v>43</v>
      </c>
      <c r="H1387" s="3" t="s">
        <v>253</v>
      </c>
      <c r="I1387" s="2">
        <v>44</v>
      </c>
      <c r="J1387" s="2">
        <v>44</v>
      </c>
      <c r="K1387" s="2">
        <v>4</v>
      </c>
      <c r="O1387" s="2">
        <v>8</v>
      </c>
      <c r="U1387" s="2">
        <v>2</v>
      </c>
      <c r="V1387" s="2">
        <v>23</v>
      </c>
      <c r="W1387" s="2">
        <v>2</v>
      </c>
      <c r="X1387" s="2">
        <v>8</v>
      </c>
      <c r="Z1387" s="2">
        <v>47</v>
      </c>
      <c r="AA1387" s="3" t="s">
        <v>40</v>
      </c>
      <c r="AB1387" s="2">
        <v>6</v>
      </c>
      <c r="AF1387" s="2">
        <v>30</v>
      </c>
      <c r="AG1387" s="2">
        <v>1</v>
      </c>
      <c r="AH1387" s="3" t="s">
        <v>1426</v>
      </c>
      <c r="AI1387" s="4">
        <v>44690</v>
      </c>
      <c r="AJ1387" s="3" t="s">
        <v>1471</v>
      </c>
      <c r="AK1387" s="3" t="s">
        <v>248</v>
      </c>
    </row>
    <row r="1388" spans="1:37" hidden="1" x14ac:dyDescent="0.25">
      <c r="A1388" t="str">
        <f t="shared" si="21"/>
        <v>2022_NSW_RankinsSprings_Chickpea_SatelliteTOS1VarietySlasherWaterTrtRainFed</v>
      </c>
      <c r="B1388" s="2">
        <v>2022012</v>
      </c>
      <c r="C1388" s="3" t="s">
        <v>1425</v>
      </c>
      <c r="D1388" s="3" t="s">
        <v>248</v>
      </c>
      <c r="F1388" s="3" t="s">
        <v>4180</v>
      </c>
      <c r="G1388" s="3" t="s">
        <v>39</v>
      </c>
      <c r="H1388" s="3" t="s">
        <v>253</v>
      </c>
      <c r="I1388" s="2">
        <v>45</v>
      </c>
      <c r="J1388" s="2">
        <v>45</v>
      </c>
      <c r="K1388" s="2">
        <v>4</v>
      </c>
      <c r="O1388" s="2">
        <v>8</v>
      </c>
      <c r="U1388" s="2">
        <v>3</v>
      </c>
      <c r="V1388" s="2">
        <v>23</v>
      </c>
      <c r="W1388" s="2">
        <v>3</v>
      </c>
      <c r="X1388" s="2">
        <v>8</v>
      </c>
      <c r="Z1388" s="2">
        <v>46</v>
      </c>
      <c r="AA1388" s="3" t="s">
        <v>40</v>
      </c>
      <c r="AB1388" s="2">
        <v>5</v>
      </c>
      <c r="AF1388" s="2">
        <v>30</v>
      </c>
      <c r="AG1388" s="2">
        <v>1</v>
      </c>
      <c r="AH1388" s="3" t="s">
        <v>1426</v>
      </c>
      <c r="AI1388" s="4">
        <v>44690</v>
      </c>
      <c r="AJ1388" s="3" t="s">
        <v>1472</v>
      </c>
      <c r="AK1388" s="3" t="s">
        <v>248</v>
      </c>
    </row>
    <row r="1389" spans="1:37" hidden="1" x14ac:dyDescent="0.25">
      <c r="A1389" t="str">
        <f t="shared" si="21"/>
        <v>2022_NSW_RankinsSprings_Chickpea_SatelliteTOS1VarietyBoundaryWaterTrtRainFed</v>
      </c>
      <c r="B1389" s="2">
        <v>2022012</v>
      </c>
      <c r="C1389" s="3" t="s">
        <v>1425</v>
      </c>
      <c r="D1389" s="3" t="s">
        <v>248</v>
      </c>
      <c r="F1389" s="3" t="s">
        <v>4191</v>
      </c>
      <c r="G1389" s="3" t="s">
        <v>39</v>
      </c>
      <c r="H1389" s="3" t="s">
        <v>253</v>
      </c>
      <c r="I1389" s="2">
        <v>46</v>
      </c>
      <c r="J1389" s="2">
        <v>46</v>
      </c>
      <c r="K1389" s="2">
        <v>4</v>
      </c>
      <c r="O1389" s="2">
        <v>8</v>
      </c>
      <c r="U1389" s="2">
        <v>4</v>
      </c>
      <c r="V1389" s="2">
        <v>23</v>
      </c>
      <c r="W1389" s="2">
        <v>4</v>
      </c>
      <c r="X1389" s="2">
        <v>8</v>
      </c>
      <c r="Z1389" s="2">
        <v>45</v>
      </c>
      <c r="AA1389" s="3" t="s">
        <v>40</v>
      </c>
      <c r="AB1389" s="2">
        <v>2</v>
      </c>
      <c r="AF1389" s="2">
        <v>30</v>
      </c>
      <c r="AG1389" s="2">
        <v>1</v>
      </c>
      <c r="AH1389" s="3" t="s">
        <v>1426</v>
      </c>
      <c r="AI1389" s="4">
        <v>44690</v>
      </c>
      <c r="AJ1389" s="3" t="s">
        <v>1473</v>
      </c>
      <c r="AK1389" s="3" t="s">
        <v>248</v>
      </c>
    </row>
    <row r="1390" spans="1:37" hidden="1" x14ac:dyDescent="0.25">
      <c r="A1390" t="str">
        <f t="shared" si="21"/>
        <v>2022_NSW_RankinsSprings_Chickpea_SatelliteTOS1VarietyDrummondWaterTrtRainFed</v>
      </c>
      <c r="B1390" s="2">
        <v>2022012</v>
      </c>
      <c r="C1390" s="3" t="s">
        <v>1425</v>
      </c>
      <c r="D1390" s="3" t="s">
        <v>248</v>
      </c>
      <c r="F1390" s="3" t="s">
        <v>4182</v>
      </c>
      <c r="G1390" s="3" t="s">
        <v>39</v>
      </c>
      <c r="H1390" s="3" t="s">
        <v>253</v>
      </c>
      <c r="I1390" s="2">
        <v>47</v>
      </c>
      <c r="J1390" s="2">
        <v>47</v>
      </c>
      <c r="K1390" s="2">
        <v>4</v>
      </c>
      <c r="O1390" s="2">
        <v>8</v>
      </c>
      <c r="U1390" s="2">
        <v>5</v>
      </c>
      <c r="V1390" s="2">
        <v>23</v>
      </c>
      <c r="W1390" s="2">
        <v>5</v>
      </c>
      <c r="X1390" s="2">
        <v>8</v>
      </c>
      <c r="Z1390" s="2">
        <v>44</v>
      </c>
      <c r="AA1390" s="3" t="s">
        <v>40</v>
      </c>
      <c r="AB1390" s="2">
        <v>3</v>
      </c>
      <c r="AF1390" s="2">
        <v>30</v>
      </c>
      <c r="AG1390" s="2">
        <v>1</v>
      </c>
      <c r="AH1390" s="3" t="s">
        <v>1426</v>
      </c>
      <c r="AI1390" s="4">
        <v>44690</v>
      </c>
      <c r="AJ1390" s="3" t="s">
        <v>1474</v>
      </c>
      <c r="AK1390" s="3" t="s">
        <v>248</v>
      </c>
    </row>
    <row r="1391" spans="1:37" hidden="1" x14ac:dyDescent="0.25">
      <c r="A1391" t="str">
        <f t="shared" si="21"/>
        <v>2022_NSW_RankinsSprings_Chickpea_SatelliteTOS1VarietyCBA_CaptainWaterTrtRainFed</v>
      </c>
      <c r="B1391" s="2">
        <v>2022012</v>
      </c>
      <c r="C1391" s="3" t="s">
        <v>1425</v>
      </c>
      <c r="D1391" s="3" t="s">
        <v>248</v>
      </c>
      <c r="F1391" s="3" t="s">
        <v>249</v>
      </c>
      <c r="G1391" s="3" t="s">
        <v>43</v>
      </c>
      <c r="H1391" s="3" t="s">
        <v>253</v>
      </c>
      <c r="I1391" s="2">
        <v>48</v>
      </c>
      <c r="J1391" s="2">
        <v>48</v>
      </c>
      <c r="K1391" s="2">
        <v>4</v>
      </c>
      <c r="O1391" s="2">
        <v>8</v>
      </c>
      <c r="U1391" s="2">
        <v>6</v>
      </c>
      <c r="V1391" s="2">
        <v>23</v>
      </c>
      <c r="W1391" s="2">
        <v>6</v>
      </c>
      <c r="X1391" s="2">
        <v>8</v>
      </c>
      <c r="Z1391" s="2">
        <v>43</v>
      </c>
      <c r="AA1391" s="3" t="s">
        <v>40</v>
      </c>
      <c r="AB1391" s="2">
        <v>1</v>
      </c>
      <c r="AF1391" s="2">
        <v>30</v>
      </c>
      <c r="AG1391" s="2">
        <v>1</v>
      </c>
      <c r="AH1391" s="3" t="s">
        <v>1426</v>
      </c>
      <c r="AI1391" s="4">
        <v>44690</v>
      </c>
      <c r="AJ1391" s="3" t="s">
        <v>1475</v>
      </c>
      <c r="AK1391" s="3" t="s">
        <v>248</v>
      </c>
    </row>
    <row r="1392" spans="1:37" hidden="1" x14ac:dyDescent="0.25">
      <c r="A1392" t="str">
        <f t="shared" si="21"/>
        <v>2022_Qld_Warra_Chickpea_SatelliteTOS2VarietyStrikerWaterTrtRainFed</v>
      </c>
      <c r="B1392" s="2">
        <v>2022013</v>
      </c>
      <c r="C1392" s="3" t="s">
        <v>1476</v>
      </c>
      <c r="D1392" s="3" t="s">
        <v>248</v>
      </c>
      <c r="F1392" s="3" t="s">
        <v>4179</v>
      </c>
      <c r="G1392" s="3" t="s">
        <v>43</v>
      </c>
      <c r="H1392" s="3" t="s">
        <v>253</v>
      </c>
      <c r="I1392" s="2">
        <v>1</v>
      </c>
      <c r="J1392" s="2">
        <v>1</v>
      </c>
      <c r="K1392" s="2">
        <v>1</v>
      </c>
      <c r="O1392" s="2">
        <v>1</v>
      </c>
      <c r="U1392" s="2">
        <v>3</v>
      </c>
      <c r="V1392" s="2">
        <v>2</v>
      </c>
      <c r="W1392" s="2">
        <v>1</v>
      </c>
      <c r="X1392" s="2">
        <v>1</v>
      </c>
      <c r="Z1392" s="2">
        <v>1</v>
      </c>
      <c r="AA1392" s="3" t="s">
        <v>40</v>
      </c>
      <c r="AB1392" s="2">
        <v>3</v>
      </c>
      <c r="AF1392" s="2">
        <v>50</v>
      </c>
      <c r="AG1392" s="2">
        <v>2</v>
      </c>
      <c r="AH1392" s="3" t="s">
        <v>261</v>
      </c>
      <c r="AI1392" s="4">
        <v>44760</v>
      </c>
      <c r="AJ1392" s="3" t="s">
        <v>1477</v>
      </c>
      <c r="AK1392" s="3" t="s">
        <v>248</v>
      </c>
    </row>
    <row r="1393" spans="1:37" hidden="1" x14ac:dyDescent="0.25">
      <c r="A1393" t="str">
        <f t="shared" si="21"/>
        <v>2022_Qld_Warra_Chickpea_SatelliteTOS2VarietyHatTrickWaterTrtRainFed</v>
      </c>
      <c r="B1393" s="2">
        <v>2022013</v>
      </c>
      <c r="C1393" s="3" t="s">
        <v>1476</v>
      </c>
      <c r="D1393" s="3" t="s">
        <v>248</v>
      </c>
      <c r="F1393" s="3" t="s">
        <v>4178</v>
      </c>
      <c r="G1393" s="3" t="s">
        <v>39</v>
      </c>
      <c r="H1393" s="3" t="s">
        <v>253</v>
      </c>
      <c r="I1393" s="2">
        <v>2</v>
      </c>
      <c r="J1393" s="2">
        <v>2</v>
      </c>
      <c r="K1393" s="2">
        <v>1</v>
      </c>
      <c r="O1393" s="2">
        <v>1</v>
      </c>
      <c r="U1393" s="2">
        <v>4</v>
      </c>
      <c r="V1393" s="2">
        <v>2</v>
      </c>
      <c r="W1393" s="2">
        <v>2</v>
      </c>
      <c r="X1393" s="2">
        <v>1</v>
      </c>
      <c r="Z1393" s="2">
        <v>2</v>
      </c>
      <c r="AA1393" s="3" t="s">
        <v>40</v>
      </c>
      <c r="AB1393" s="2">
        <v>1</v>
      </c>
      <c r="AF1393" s="2">
        <v>50</v>
      </c>
      <c r="AG1393" s="2">
        <v>2</v>
      </c>
      <c r="AH1393" s="3" t="s">
        <v>261</v>
      </c>
      <c r="AI1393" s="4">
        <v>44760</v>
      </c>
      <c r="AJ1393" s="3" t="s">
        <v>1478</v>
      </c>
      <c r="AK1393" s="3" t="s">
        <v>248</v>
      </c>
    </row>
    <row r="1394" spans="1:37" hidden="1" x14ac:dyDescent="0.25">
      <c r="A1394" t="str">
        <f t="shared" si="21"/>
        <v>2022_Qld_Warra_Chickpea_SatelliteTOS2VarietyDrummondWaterTrtRainFed</v>
      </c>
      <c r="B1394" s="2">
        <v>2022013</v>
      </c>
      <c r="C1394" s="3" t="s">
        <v>1476</v>
      </c>
      <c r="D1394" s="3" t="s">
        <v>248</v>
      </c>
      <c r="F1394" s="3" t="s">
        <v>4182</v>
      </c>
      <c r="G1394" s="3" t="s">
        <v>39</v>
      </c>
      <c r="H1394" s="3" t="s">
        <v>253</v>
      </c>
      <c r="I1394" s="2">
        <v>3</v>
      </c>
      <c r="J1394" s="2">
        <v>3</v>
      </c>
      <c r="K1394" s="2">
        <v>1</v>
      </c>
      <c r="O1394" s="2">
        <v>1</v>
      </c>
      <c r="U1394" s="2">
        <v>5</v>
      </c>
      <c r="V1394" s="2">
        <v>2</v>
      </c>
      <c r="W1394" s="2">
        <v>3</v>
      </c>
      <c r="X1394" s="2">
        <v>1</v>
      </c>
      <c r="Z1394" s="2">
        <v>3</v>
      </c>
      <c r="AA1394" s="3" t="s">
        <v>40</v>
      </c>
      <c r="AB1394" s="2">
        <v>4</v>
      </c>
      <c r="AF1394" s="2">
        <v>50</v>
      </c>
      <c r="AG1394" s="2">
        <v>2</v>
      </c>
      <c r="AH1394" s="3" t="s">
        <v>261</v>
      </c>
      <c r="AI1394" s="4">
        <v>44760</v>
      </c>
      <c r="AJ1394" s="3" t="s">
        <v>1479</v>
      </c>
      <c r="AK1394" s="3" t="s">
        <v>248</v>
      </c>
    </row>
    <row r="1395" spans="1:37" hidden="1" x14ac:dyDescent="0.25">
      <c r="A1395" t="str">
        <f t="shared" si="21"/>
        <v>2022_Qld_Warra_Chickpea_SatelliteTOS2VarietyCBA_CaptainWaterTrtRainFed</v>
      </c>
      <c r="B1395" s="2">
        <v>2022013</v>
      </c>
      <c r="C1395" s="3" t="s">
        <v>1476</v>
      </c>
      <c r="D1395" s="3" t="s">
        <v>248</v>
      </c>
      <c r="F1395" s="3" t="s">
        <v>249</v>
      </c>
      <c r="G1395" s="3" t="s">
        <v>43</v>
      </c>
      <c r="H1395" s="3" t="s">
        <v>253</v>
      </c>
      <c r="I1395" s="2">
        <v>4</v>
      </c>
      <c r="J1395" s="2">
        <v>4</v>
      </c>
      <c r="K1395" s="2">
        <v>1</v>
      </c>
      <c r="O1395" s="2">
        <v>1</v>
      </c>
      <c r="U1395" s="2">
        <v>6</v>
      </c>
      <c r="V1395" s="2">
        <v>2</v>
      </c>
      <c r="W1395" s="2">
        <v>4</v>
      </c>
      <c r="X1395" s="2">
        <v>1</v>
      </c>
      <c r="Z1395" s="2">
        <v>4</v>
      </c>
      <c r="AA1395" s="3" t="s">
        <v>40</v>
      </c>
      <c r="AB1395" s="2">
        <v>2</v>
      </c>
      <c r="AF1395" s="2">
        <v>50</v>
      </c>
      <c r="AG1395" s="2">
        <v>2</v>
      </c>
      <c r="AH1395" s="3" t="s">
        <v>261</v>
      </c>
      <c r="AI1395" s="4">
        <v>44760</v>
      </c>
      <c r="AJ1395" s="3" t="s">
        <v>1480</v>
      </c>
      <c r="AK1395" s="3" t="s">
        <v>248</v>
      </c>
    </row>
    <row r="1396" spans="1:37" hidden="1" x14ac:dyDescent="0.25">
      <c r="A1396" t="str">
        <f t="shared" si="21"/>
        <v>2022_Qld_Warra_Chickpea_SatelliteTOS1VarietyDrummondWaterTrtRainFed</v>
      </c>
      <c r="B1396" s="2">
        <v>2022013</v>
      </c>
      <c r="C1396" s="3" t="s">
        <v>1476</v>
      </c>
      <c r="D1396" s="3" t="s">
        <v>248</v>
      </c>
      <c r="F1396" s="3" t="s">
        <v>4182</v>
      </c>
      <c r="G1396" s="3" t="s">
        <v>39</v>
      </c>
      <c r="H1396" s="3" t="s">
        <v>253</v>
      </c>
      <c r="I1396" s="2">
        <v>5</v>
      </c>
      <c r="J1396" s="2">
        <v>5</v>
      </c>
      <c r="K1396" s="2">
        <v>1</v>
      </c>
      <c r="O1396" s="2">
        <v>2</v>
      </c>
      <c r="U1396" s="2">
        <v>3</v>
      </c>
      <c r="V1396" s="2">
        <v>5</v>
      </c>
      <c r="W1396" s="2">
        <v>1</v>
      </c>
      <c r="X1396" s="2">
        <v>2</v>
      </c>
      <c r="Z1396" s="2">
        <v>8</v>
      </c>
      <c r="AA1396" s="3" t="s">
        <v>40</v>
      </c>
      <c r="AB1396" s="2">
        <v>4</v>
      </c>
      <c r="AF1396" s="2">
        <v>50</v>
      </c>
      <c r="AG1396" s="2">
        <v>1</v>
      </c>
      <c r="AH1396" s="3" t="s">
        <v>1481</v>
      </c>
      <c r="AI1396" s="4">
        <v>44741</v>
      </c>
      <c r="AJ1396" s="3" t="s">
        <v>1482</v>
      </c>
      <c r="AK1396" s="3" t="s">
        <v>248</v>
      </c>
    </row>
    <row r="1397" spans="1:37" hidden="1" x14ac:dyDescent="0.25">
      <c r="A1397" t="str">
        <f t="shared" si="21"/>
        <v>2022_Qld_Warra_Chickpea_SatelliteTOS1VarietyCBA_CaptainWaterTrtRainFed</v>
      </c>
      <c r="B1397" s="2">
        <v>2022013</v>
      </c>
      <c r="C1397" s="3" t="s">
        <v>1476</v>
      </c>
      <c r="D1397" s="3" t="s">
        <v>248</v>
      </c>
      <c r="F1397" s="3" t="s">
        <v>249</v>
      </c>
      <c r="G1397" s="3" t="s">
        <v>43</v>
      </c>
      <c r="H1397" s="3" t="s">
        <v>253</v>
      </c>
      <c r="I1397" s="2">
        <v>6</v>
      </c>
      <c r="J1397" s="2">
        <v>6</v>
      </c>
      <c r="K1397" s="2">
        <v>1</v>
      </c>
      <c r="O1397" s="2">
        <v>2</v>
      </c>
      <c r="U1397" s="2">
        <v>4</v>
      </c>
      <c r="V1397" s="2">
        <v>5</v>
      </c>
      <c r="W1397" s="2">
        <v>2</v>
      </c>
      <c r="X1397" s="2">
        <v>2</v>
      </c>
      <c r="Z1397" s="2">
        <v>7</v>
      </c>
      <c r="AA1397" s="3" t="s">
        <v>40</v>
      </c>
      <c r="AB1397" s="2">
        <v>2</v>
      </c>
      <c r="AF1397" s="2">
        <v>50</v>
      </c>
      <c r="AG1397" s="2">
        <v>1</v>
      </c>
      <c r="AH1397" s="3" t="s">
        <v>1481</v>
      </c>
      <c r="AI1397" s="4">
        <v>44741</v>
      </c>
      <c r="AJ1397" s="3" t="s">
        <v>1483</v>
      </c>
      <c r="AK1397" s="3" t="s">
        <v>248</v>
      </c>
    </row>
    <row r="1398" spans="1:37" hidden="1" x14ac:dyDescent="0.25">
      <c r="A1398" t="str">
        <f t="shared" si="21"/>
        <v>2022_Qld_Warra_Chickpea_SatelliteTOS1VarietyHatTrickWaterTrtRainFed</v>
      </c>
      <c r="B1398" s="2">
        <v>2022013</v>
      </c>
      <c r="C1398" s="3" t="s">
        <v>1476</v>
      </c>
      <c r="D1398" s="3" t="s">
        <v>248</v>
      </c>
      <c r="F1398" s="3" t="s">
        <v>4178</v>
      </c>
      <c r="G1398" s="3" t="s">
        <v>39</v>
      </c>
      <c r="H1398" s="3" t="s">
        <v>253</v>
      </c>
      <c r="I1398" s="2">
        <v>7</v>
      </c>
      <c r="J1398" s="2">
        <v>7</v>
      </c>
      <c r="K1398" s="2">
        <v>1</v>
      </c>
      <c r="O1398" s="2">
        <v>2</v>
      </c>
      <c r="U1398" s="2">
        <v>5</v>
      </c>
      <c r="V1398" s="2">
        <v>5</v>
      </c>
      <c r="W1398" s="2">
        <v>3</v>
      </c>
      <c r="X1398" s="2">
        <v>2</v>
      </c>
      <c r="Z1398" s="2">
        <v>6</v>
      </c>
      <c r="AA1398" s="3" t="s">
        <v>40</v>
      </c>
      <c r="AB1398" s="2">
        <v>1</v>
      </c>
      <c r="AF1398" s="2">
        <v>50</v>
      </c>
      <c r="AG1398" s="2">
        <v>1</v>
      </c>
      <c r="AH1398" s="3" t="s">
        <v>1481</v>
      </c>
      <c r="AI1398" s="4">
        <v>44741</v>
      </c>
      <c r="AJ1398" s="3" t="s">
        <v>1484</v>
      </c>
      <c r="AK1398" s="3" t="s">
        <v>248</v>
      </c>
    </row>
    <row r="1399" spans="1:37" hidden="1" x14ac:dyDescent="0.25">
      <c r="A1399" t="str">
        <f t="shared" si="21"/>
        <v>2022_Qld_Warra_Chickpea_SatelliteTOS1VarietyStrikerWaterTrtRainFed</v>
      </c>
      <c r="B1399" s="2">
        <v>2022013</v>
      </c>
      <c r="C1399" s="3" t="s">
        <v>1476</v>
      </c>
      <c r="D1399" s="3" t="s">
        <v>248</v>
      </c>
      <c r="F1399" s="3" t="s">
        <v>4179</v>
      </c>
      <c r="G1399" s="3" t="s">
        <v>43</v>
      </c>
      <c r="H1399" s="3" t="s">
        <v>253</v>
      </c>
      <c r="I1399" s="2">
        <v>8</v>
      </c>
      <c r="J1399" s="2">
        <v>8</v>
      </c>
      <c r="K1399" s="2">
        <v>1</v>
      </c>
      <c r="O1399" s="2">
        <v>2</v>
      </c>
      <c r="U1399" s="2">
        <v>6</v>
      </c>
      <c r="V1399" s="2">
        <v>5</v>
      </c>
      <c r="W1399" s="2">
        <v>4</v>
      </c>
      <c r="X1399" s="2">
        <v>2</v>
      </c>
      <c r="Z1399" s="2">
        <v>5</v>
      </c>
      <c r="AA1399" s="3" t="s">
        <v>40</v>
      </c>
      <c r="AB1399" s="2">
        <v>3</v>
      </c>
      <c r="AF1399" s="2">
        <v>50</v>
      </c>
      <c r="AG1399" s="2">
        <v>1</v>
      </c>
      <c r="AH1399" s="3" t="s">
        <v>1481</v>
      </c>
      <c r="AI1399" s="4">
        <v>44741</v>
      </c>
      <c r="AJ1399" s="3" t="s">
        <v>1485</v>
      </c>
      <c r="AK1399" s="3" t="s">
        <v>248</v>
      </c>
    </row>
    <row r="1400" spans="1:37" hidden="1" x14ac:dyDescent="0.25">
      <c r="A1400" t="str">
        <f t="shared" si="21"/>
        <v>2022_Qld_Warra_Chickpea_SatelliteTOS1VarietyCBA_CaptainWaterTrtRainFed</v>
      </c>
      <c r="B1400" s="2">
        <v>2022013</v>
      </c>
      <c r="C1400" s="3" t="s">
        <v>1476</v>
      </c>
      <c r="D1400" s="3" t="s">
        <v>248</v>
      </c>
      <c r="F1400" s="3" t="s">
        <v>249</v>
      </c>
      <c r="G1400" s="3" t="s">
        <v>43</v>
      </c>
      <c r="H1400" s="3" t="s">
        <v>253</v>
      </c>
      <c r="I1400" s="2">
        <v>9</v>
      </c>
      <c r="J1400" s="2">
        <v>9</v>
      </c>
      <c r="K1400" s="2">
        <v>2</v>
      </c>
      <c r="O1400" s="2">
        <v>3</v>
      </c>
      <c r="U1400" s="2">
        <v>3</v>
      </c>
      <c r="V1400" s="2">
        <v>8</v>
      </c>
      <c r="W1400" s="2">
        <v>1</v>
      </c>
      <c r="X1400" s="2">
        <v>3</v>
      </c>
      <c r="Z1400" s="2">
        <v>9</v>
      </c>
      <c r="AA1400" s="3" t="s">
        <v>40</v>
      </c>
      <c r="AB1400" s="2">
        <v>2</v>
      </c>
      <c r="AF1400" s="2">
        <v>50</v>
      </c>
      <c r="AG1400" s="2">
        <v>1</v>
      </c>
      <c r="AH1400" s="3" t="s">
        <v>1481</v>
      </c>
      <c r="AI1400" s="4">
        <v>44741</v>
      </c>
      <c r="AJ1400" s="3" t="s">
        <v>1486</v>
      </c>
      <c r="AK1400" s="3" t="s">
        <v>248</v>
      </c>
    </row>
    <row r="1401" spans="1:37" hidden="1" x14ac:dyDescent="0.25">
      <c r="A1401" t="str">
        <f t="shared" si="21"/>
        <v>2022_Qld_Warra_Chickpea_SatelliteTOS1VarietyDrummondWaterTrtRainFed</v>
      </c>
      <c r="B1401" s="2">
        <v>2022013</v>
      </c>
      <c r="C1401" s="3" t="s">
        <v>1476</v>
      </c>
      <c r="D1401" s="3" t="s">
        <v>248</v>
      </c>
      <c r="F1401" s="3" t="s">
        <v>4182</v>
      </c>
      <c r="G1401" s="3" t="s">
        <v>39</v>
      </c>
      <c r="H1401" s="3" t="s">
        <v>253</v>
      </c>
      <c r="I1401" s="2">
        <v>10</v>
      </c>
      <c r="J1401" s="2">
        <v>10</v>
      </c>
      <c r="K1401" s="2">
        <v>2</v>
      </c>
      <c r="O1401" s="2">
        <v>3</v>
      </c>
      <c r="U1401" s="2">
        <v>4</v>
      </c>
      <c r="V1401" s="2">
        <v>8</v>
      </c>
      <c r="W1401" s="2">
        <v>2</v>
      </c>
      <c r="X1401" s="2">
        <v>3</v>
      </c>
      <c r="Z1401" s="2">
        <v>10</v>
      </c>
      <c r="AA1401" s="3" t="s">
        <v>40</v>
      </c>
      <c r="AB1401" s="2">
        <v>4</v>
      </c>
      <c r="AF1401" s="2">
        <v>50</v>
      </c>
      <c r="AG1401" s="2">
        <v>1</v>
      </c>
      <c r="AH1401" s="3" t="s">
        <v>1481</v>
      </c>
      <c r="AI1401" s="4">
        <v>44741</v>
      </c>
      <c r="AJ1401" s="3" t="s">
        <v>1487</v>
      </c>
      <c r="AK1401" s="3" t="s">
        <v>248</v>
      </c>
    </row>
    <row r="1402" spans="1:37" hidden="1" x14ac:dyDescent="0.25">
      <c r="A1402" t="str">
        <f t="shared" si="21"/>
        <v>2022_Qld_Warra_Chickpea_SatelliteTOS1VarietyStrikerWaterTrtRainFed</v>
      </c>
      <c r="B1402" s="2">
        <v>2022013</v>
      </c>
      <c r="C1402" s="3" t="s">
        <v>1476</v>
      </c>
      <c r="D1402" s="3" t="s">
        <v>248</v>
      </c>
      <c r="F1402" s="3" t="s">
        <v>4179</v>
      </c>
      <c r="G1402" s="3" t="s">
        <v>43</v>
      </c>
      <c r="H1402" s="3" t="s">
        <v>253</v>
      </c>
      <c r="I1402" s="2">
        <v>11</v>
      </c>
      <c r="J1402" s="2">
        <v>11</v>
      </c>
      <c r="K1402" s="2">
        <v>2</v>
      </c>
      <c r="O1402" s="2">
        <v>3</v>
      </c>
      <c r="U1402" s="2">
        <v>5</v>
      </c>
      <c r="V1402" s="2">
        <v>8</v>
      </c>
      <c r="W1402" s="2">
        <v>3</v>
      </c>
      <c r="X1402" s="2">
        <v>3</v>
      </c>
      <c r="Z1402" s="2">
        <v>11</v>
      </c>
      <c r="AA1402" s="3" t="s">
        <v>40</v>
      </c>
      <c r="AB1402" s="2">
        <v>3</v>
      </c>
      <c r="AF1402" s="2">
        <v>50</v>
      </c>
      <c r="AG1402" s="2">
        <v>1</v>
      </c>
      <c r="AH1402" s="3" t="s">
        <v>1481</v>
      </c>
      <c r="AI1402" s="4">
        <v>44741</v>
      </c>
      <c r="AJ1402" s="3" t="s">
        <v>1488</v>
      </c>
      <c r="AK1402" s="3" t="s">
        <v>248</v>
      </c>
    </row>
    <row r="1403" spans="1:37" hidden="1" x14ac:dyDescent="0.25">
      <c r="A1403" t="str">
        <f t="shared" si="21"/>
        <v>2022_Qld_Warra_Chickpea_SatelliteTOS1VarietyHatTrickWaterTrtRainFed</v>
      </c>
      <c r="B1403" s="2">
        <v>2022013</v>
      </c>
      <c r="C1403" s="3" t="s">
        <v>1476</v>
      </c>
      <c r="D1403" s="3" t="s">
        <v>248</v>
      </c>
      <c r="F1403" s="3" t="s">
        <v>4178</v>
      </c>
      <c r="G1403" s="3" t="s">
        <v>39</v>
      </c>
      <c r="H1403" s="3" t="s">
        <v>253</v>
      </c>
      <c r="I1403" s="2">
        <v>12</v>
      </c>
      <c r="J1403" s="2">
        <v>12</v>
      </c>
      <c r="K1403" s="2">
        <v>2</v>
      </c>
      <c r="O1403" s="2">
        <v>3</v>
      </c>
      <c r="U1403" s="2">
        <v>6</v>
      </c>
      <c r="V1403" s="2">
        <v>8</v>
      </c>
      <c r="W1403" s="2">
        <v>4</v>
      </c>
      <c r="X1403" s="2">
        <v>3</v>
      </c>
      <c r="Z1403" s="2">
        <v>12</v>
      </c>
      <c r="AA1403" s="3" t="s">
        <v>40</v>
      </c>
      <c r="AB1403" s="2">
        <v>1</v>
      </c>
      <c r="AF1403" s="2">
        <v>50</v>
      </c>
      <c r="AG1403" s="2">
        <v>1</v>
      </c>
      <c r="AH1403" s="3" t="s">
        <v>1481</v>
      </c>
      <c r="AI1403" s="4">
        <v>44741</v>
      </c>
      <c r="AJ1403" s="3" t="s">
        <v>1489</v>
      </c>
      <c r="AK1403" s="3" t="s">
        <v>248</v>
      </c>
    </row>
    <row r="1404" spans="1:37" hidden="1" x14ac:dyDescent="0.25">
      <c r="A1404" t="str">
        <f t="shared" si="21"/>
        <v>2022_Qld_Warra_Chickpea_SatelliteTOS2VarietyHatTrickWaterTrtRainFed</v>
      </c>
      <c r="B1404" s="2">
        <v>2022013</v>
      </c>
      <c r="C1404" s="3" t="s">
        <v>1476</v>
      </c>
      <c r="D1404" s="3" t="s">
        <v>248</v>
      </c>
      <c r="F1404" s="3" t="s">
        <v>4178</v>
      </c>
      <c r="G1404" s="3" t="s">
        <v>39</v>
      </c>
      <c r="H1404" s="3" t="s">
        <v>253</v>
      </c>
      <c r="I1404" s="2">
        <v>13</v>
      </c>
      <c r="J1404" s="2">
        <v>13</v>
      </c>
      <c r="K1404" s="2">
        <v>2</v>
      </c>
      <c r="O1404" s="2">
        <v>4</v>
      </c>
      <c r="U1404" s="2">
        <v>3</v>
      </c>
      <c r="V1404" s="2">
        <v>11</v>
      </c>
      <c r="W1404" s="2">
        <v>1</v>
      </c>
      <c r="X1404" s="2">
        <v>4</v>
      </c>
      <c r="Z1404" s="2">
        <v>16</v>
      </c>
      <c r="AA1404" s="3" t="s">
        <v>40</v>
      </c>
      <c r="AB1404" s="2">
        <v>1</v>
      </c>
      <c r="AF1404" s="2">
        <v>50</v>
      </c>
      <c r="AG1404" s="2">
        <v>2</v>
      </c>
      <c r="AH1404" s="3" t="s">
        <v>261</v>
      </c>
      <c r="AI1404" s="4">
        <v>44760</v>
      </c>
      <c r="AJ1404" s="3" t="s">
        <v>1490</v>
      </c>
      <c r="AK1404" s="3" t="s">
        <v>248</v>
      </c>
    </row>
    <row r="1405" spans="1:37" hidden="1" x14ac:dyDescent="0.25">
      <c r="A1405" t="str">
        <f t="shared" si="21"/>
        <v>2022_Qld_Warra_Chickpea_SatelliteTOS2VarietyStrikerWaterTrtRainFed</v>
      </c>
      <c r="B1405" s="2">
        <v>2022013</v>
      </c>
      <c r="C1405" s="3" t="s">
        <v>1476</v>
      </c>
      <c r="D1405" s="3" t="s">
        <v>248</v>
      </c>
      <c r="F1405" s="3" t="s">
        <v>4179</v>
      </c>
      <c r="G1405" s="3" t="s">
        <v>43</v>
      </c>
      <c r="H1405" s="3" t="s">
        <v>253</v>
      </c>
      <c r="I1405" s="2">
        <v>14</v>
      </c>
      <c r="J1405" s="2">
        <v>14</v>
      </c>
      <c r="K1405" s="2">
        <v>2</v>
      </c>
      <c r="O1405" s="2">
        <v>4</v>
      </c>
      <c r="U1405" s="2">
        <v>4</v>
      </c>
      <c r="V1405" s="2">
        <v>11</v>
      </c>
      <c r="W1405" s="2">
        <v>2</v>
      </c>
      <c r="X1405" s="2">
        <v>4</v>
      </c>
      <c r="Z1405" s="2">
        <v>15</v>
      </c>
      <c r="AA1405" s="3" t="s">
        <v>40</v>
      </c>
      <c r="AB1405" s="2">
        <v>3</v>
      </c>
      <c r="AF1405" s="2">
        <v>50</v>
      </c>
      <c r="AG1405" s="2">
        <v>2</v>
      </c>
      <c r="AH1405" s="3" t="s">
        <v>261</v>
      </c>
      <c r="AI1405" s="4">
        <v>44760</v>
      </c>
      <c r="AJ1405" s="3" t="s">
        <v>1491</v>
      </c>
      <c r="AK1405" s="3" t="s">
        <v>248</v>
      </c>
    </row>
    <row r="1406" spans="1:37" hidden="1" x14ac:dyDescent="0.25">
      <c r="A1406" t="str">
        <f t="shared" si="21"/>
        <v>2022_Qld_Warra_Chickpea_SatelliteTOS2VarietyCBA_CaptainWaterTrtRainFed</v>
      </c>
      <c r="B1406" s="2">
        <v>2022013</v>
      </c>
      <c r="C1406" s="3" t="s">
        <v>1476</v>
      </c>
      <c r="D1406" s="3" t="s">
        <v>248</v>
      </c>
      <c r="F1406" s="3" t="s">
        <v>249</v>
      </c>
      <c r="G1406" s="3" t="s">
        <v>43</v>
      </c>
      <c r="H1406" s="3" t="s">
        <v>253</v>
      </c>
      <c r="I1406" s="2">
        <v>15</v>
      </c>
      <c r="J1406" s="2">
        <v>15</v>
      </c>
      <c r="K1406" s="2">
        <v>2</v>
      </c>
      <c r="O1406" s="2">
        <v>4</v>
      </c>
      <c r="U1406" s="2">
        <v>5</v>
      </c>
      <c r="V1406" s="2">
        <v>11</v>
      </c>
      <c r="W1406" s="2">
        <v>3</v>
      </c>
      <c r="X1406" s="2">
        <v>4</v>
      </c>
      <c r="Z1406" s="2">
        <v>14</v>
      </c>
      <c r="AA1406" s="3" t="s">
        <v>40</v>
      </c>
      <c r="AB1406" s="2">
        <v>2</v>
      </c>
      <c r="AF1406" s="2">
        <v>50</v>
      </c>
      <c r="AG1406" s="2">
        <v>2</v>
      </c>
      <c r="AH1406" s="3" t="s">
        <v>261</v>
      </c>
      <c r="AI1406" s="4">
        <v>44760</v>
      </c>
      <c r="AJ1406" s="3" t="s">
        <v>1492</v>
      </c>
      <c r="AK1406" s="3" t="s">
        <v>248</v>
      </c>
    </row>
    <row r="1407" spans="1:37" hidden="1" x14ac:dyDescent="0.25">
      <c r="A1407" t="str">
        <f t="shared" si="21"/>
        <v>2022_Qld_Warra_Chickpea_SatelliteTOS2VarietyDrummondWaterTrtRainFed</v>
      </c>
      <c r="B1407" s="2">
        <v>2022013</v>
      </c>
      <c r="C1407" s="3" t="s">
        <v>1476</v>
      </c>
      <c r="D1407" s="3" t="s">
        <v>248</v>
      </c>
      <c r="F1407" s="3" t="s">
        <v>4182</v>
      </c>
      <c r="G1407" s="3" t="s">
        <v>39</v>
      </c>
      <c r="H1407" s="3" t="s">
        <v>253</v>
      </c>
      <c r="I1407" s="2">
        <v>16</v>
      </c>
      <c r="J1407" s="2">
        <v>16</v>
      </c>
      <c r="K1407" s="2">
        <v>2</v>
      </c>
      <c r="O1407" s="2">
        <v>4</v>
      </c>
      <c r="U1407" s="2">
        <v>6</v>
      </c>
      <c r="V1407" s="2">
        <v>11</v>
      </c>
      <c r="W1407" s="2">
        <v>4</v>
      </c>
      <c r="X1407" s="2">
        <v>4</v>
      </c>
      <c r="Z1407" s="2">
        <v>13</v>
      </c>
      <c r="AA1407" s="3" t="s">
        <v>40</v>
      </c>
      <c r="AB1407" s="2">
        <v>4</v>
      </c>
      <c r="AF1407" s="2">
        <v>50</v>
      </c>
      <c r="AG1407" s="2">
        <v>2</v>
      </c>
      <c r="AH1407" s="3" t="s">
        <v>261</v>
      </c>
      <c r="AI1407" s="4">
        <v>44760</v>
      </c>
      <c r="AJ1407" s="3" t="s">
        <v>1493</v>
      </c>
      <c r="AK1407" s="3" t="s">
        <v>248</v>
      </c>
    </row>
    <row r="1408" spans="1:37" hidden="1" x14ac:dyDescent="0.25">
      <c r="A1408" t="str">
        <f t="shared" si="21"/>
        <v>2022_Qld_Warra_Chickpea_SatelliteTOS2VarietyDrummondWaterTrtRainFed</v>
      </c>
      <c r="B1408" s="2">
        <v>2022013</v>
      </c>
      <c r="C1408" s="3" t="s">
        <v>1476</v>
      </c>
      <c r="D1408" s="3" t="s">
        <v>248</v>
      </c>
      <c r="F1408" s="3" t="s">
        <v>4182</v>
      </c>
      <c r="G1408" s="3" t="s">
        <v>39</v>
      </c>
      <c r="H1408" s="3" t="s">
        <v>253</v>
      </c>
      <c r="I1408" s="2">
        <v>17</v>
      </c>
      <c r="J1408" s="2">
        <v>17</v>
      </c>
      <c r="K1408" s="2">
        <v>3</v>
      </c>
      <c r="O1408" s="2">
        <v>5</v>
      </c>
      <c r="U1408" s="2">
        <v>3</v>
      </c>
      <c r="V1408" s="2">
        <v>14</v>
      </c>
      <c r="W1408" s="2">
        <v>1</v>
      </c>
      <c r="X1408" s="2">
        <v>5</v>
      </c>
      <c r="Z1408" s="2">
        <v>17</v>
      </c>
      <c r="AA1408" s="3" t="s">
        <v>40</v>
      </c>
      <c r="AB1408" s="2">
        <v>4</v>
      </c>
      <c r="AF1408" s="2">
        <v>50</v>
      </c>
      <c r="AG1408" s="2">
        <v>2</v>
      </c>
      <c r="AH1408" s="3" t="s">
        <v>261</v>
      </c>
      <c r="AI1408" s="4">
        <v>44760</v>
      </c>
      <c r="AJ1408" s="3" t="s">
        <v>1494</v>
      </c>
      <c r="AK1408" s="3" t="s">
        <v>248</v>
      </c>
    </row>
    <row r="1409" spans="1:37" hidden="1" x14ac:dyDescent="0.25">
      <c r="A1409" t="str">
        <f t="shared" si="21"/>
        <v>2022_Qld_Warra_Chickpea_SatelliteTOS2VarietyCBA_CaptainWaterTrtRainFed</v>
      </c>
      <c r="B1409" s="2">
        <v>2022013</v>
      </c>
      <c r="C1409" s="3" t="s">
        <v>1476</v>
      </c>
      <c r="D1409" s="3" t="s">
        <v>248</v>
      </c>
      <c r="F1409" s="3" t="s">
        <v>249</v>
      </c>
      <c r="G1409" s="3" t="s">
        <v>43</v>
      </c>
      <c r="H1409" s="3" t="s">
        <v>253</v>
      </c>
      <c r="I1409" s="2">
        <v>18</v>
      </c>
      <c r="J1409" s="2">
        <v>18</v>
      </c>
      <c r="K1409" s="2">
        <v>3</v>
      </c>
      <c r="O1409" s="2">
        <v>5</v>
      </c>
      <c r="U1409" s="2">
        <v>4</v>
      </c>
      <c r="V1409" s="2">
        <v>14</v>
      </c>
      <c r="W1409" s="2">
        <v>2</v>
      </c>
      <c r="X1409" s="2">
        <v>5</v>
      </c>
      <c r="Z1409" s="2">
        <v>18</v>
      </c>
      <c r="AA1409" s="3" t="s">
        <v>40</v>
      </c>
      <c r="AB1409" s="2">
        <v>2</v>
      </c>
      <c r="AF1409" s="2">
        <v>50</v>
      </c>
      <c r="AG1409" s="2">
        <v>2</v>
      </c>
      <c r="AH1409" s="3" t="s">
        <v>261</v>
      </c>
      <c r="AI1409" s="4">
        <v>44760</v>
      </c>
      <c r="AJ1409" s="3" t="s">
        <v>1495</v>
      </c>
      <c r="AK1409" s="3" t="s">
        <v>248</v>
      </c>
    </row>
    <row r="1410" spans="1:37" hidden="1" x14ac:dyDescent="0.25">
      <c r="A1410" t="str">
        <f t="shared" si="21"/>
        <v>2022_Qld_Warra_Chickpea_SatelliteTOS2VarietyHatTrickWaterTrtRainFed</v>
      </c>
      <c r="B1410" s="2">
        <v>2022013</v>
      </c>
      <c r="C1410" s="3" t="s">
        <v>1476</v>
      </c>
      <c r="D1410" s="3" t="s">
        <v>248</v>
      </c>
      <c r="F1410" s="3" t="s">
        <v>4178</v>
      </c>
      <c r="G1410" s="3" t="s">
        <v>39</v>
      </c>
      <c r="H1410" s="3" t="s">
        <v>253</v>
      </c>
      <c r="I1410" s="2">
        <v>19</v>
      </c>
      <c r="J1410" s="2">
        <v>19</v>
      </c>
      <c r="K1410" s="2">
        <v>3</v>
      </c>
      <c r="O1410" s="2">
        <v>5</v>
      </c>
      <c r="U1410" s="2">
        <v>5</v>
      </c>
      <c r="V1410" s="2">
        <v>14</v>
      </c>
      <c r="W1410" s="2">
        <v>3</v>
      </c>
      <c r="X1410" s="2">
        <v>5</v>
      </c>
      <c r="Z1410" s="2">
        <v>19</v>
      </c>
      <c r="AA1410" s="3" t="s">
        <v>40</v>
      </c>
      <c r="AB1410" s="2">
        <v>1</v>
      </c>
      <c r="AF1410" s="2">
        <v>50</v>
      </c>
      <c r="AG1410" s="2">
        <v>2</v>
      </c>
      <c r="AH1410" s="3" t="s">
        <v>261</v>
      </c>
      <c r="AI1410" s="4">
        <v>44760</v>
      </c>
      <c r="AJ1410" s="3" t="s">
        <v>1496</v>
      </c>
      <c r="AK1410" s="3" t="s">
        <v>248</v>
      </c>
    </row>
    <row r="1411" spans="1:37" hidden="1" x14ac:dyDescent="0.25">
      <c r="A1411" t="str">
        <f t="shared" ref="A1411:A1474" si="22">C1411&amp;"TOS"&amp;AG1411&amp;"Variety"&amp;F1411&amp;"WaterTrt"&amp;AA1411&amp;IF(AC1411="","","Agronomy"&amp;AC1411)</f>
        <v>2022_Qld_Warra_Chickpea_SatelliteTOS2VarietyStrikerWaterTrtRainFed</v>
      </c>
      <c r="B1411" s="2">
        <v>2022013</v>
      </c>
      <c r="C1411" s="3" t="s">
        <v>1476</v>
      </c>
      <c r="D1411" s="3" t="s">
        <v>248</v>
      </c>
      <c r="F1411" s="3" t="s">
        <v>4179</v>
      </c>
      <c r="G1411" s="3" t="s">
        <v>43</v>
      </c>
      <c r="H1411" s="3" t="s">
        <v>253</v>
      </c>
      <c r="I1411" s="2">
        <v>20</v>
      </c>
      <c r="J1411" s="2">
        <v>20</v>
      </c>
      <c r="K1411" s="2">
        <v>3</v>
      </c>
      <c r="O1411" s="2">
        <v>5</v>
      </c>
      <c r="U1411" s="2">
        <v>6</v>
      </c>
      <c r="V1411" s="2">
        <v>14</v>
      </c>
      <c r="W1411" s="2">
        <v>4</v>
      </c>
      <c r="X1411" s="2">
        <v>5</v>
      </c>
      <c r="Z1411" s="2">
        <v>20</v>
      </c>
      <c r="AA1411" s="3" t="s">
        <v>40</v>
      </c>
      <c r="AB1411" s="2">
        <v>3</v>
      </c>
      <c r="AF1411" s="2">
        <v>50</v>
      </c>
      <c r="AG1411" s="2">
        <v>2</v>
      </c>
      <c r="AH1411" s="3" t="s">
        <v>261</v>
      </c>
      <c r="AI1411" s="4">
        <v>44760</v>
      </c>
      <c r="AJ1411" s="3" t="s">
        <v>1497</v>
      </c>
      <c r="AK1411" s="3" t="s">
        <v>248</v>
      </c>
    </row>
    <row r="1412" spans="1:37" hidden="1" x14ac:dyDescent="0.25">
      <c r="A1412" t="str">
        <f t="shared" si="22"/>
        <v>2022_Qld_Warra_Chickpea_SatelliteTOS1VarietyHatTrickWaterTrtRainFed</v>
      </c>
      <c r="B1412" s="2">
        <v>2022013</v>
      </c>
      <c r="C1412" s="3" t="s">
        <v>1476</v>
      </c>
      <c r="D1412" s="3" t="s">
        <v>248</v>
      </c>
      <c r="F1412" s="3" t="s">
        <v>4178</v>
      </c>
      <c r="G1412" s="3" t="s">
        <v>39</v>
      </c>
      <c r="H1412" s="3" t="s">
        <v>253</v>
      </c>
      <c r="I1412" s="2">
        <v>21</v>
      </c>
      <c r="J1412" s="2">
        <v>21</v>
      </c>
      <c r="K1412" s="2">
        <v>3</v>
      </c>
      <c r="O1412" s="2">
        <v>6</v>
      </c>
      <c r="U1412" s="2">
        <v>3</v>
      </c>
      <c r="V1412" s="2">
        <v>17</v>
      </c>
      <c r="W1412" s="2">
        <v>1</v>
      </c>
      <c r="X1412" s="2">
        <v>6</v>
      </c>
      <c r="Z1412" s="2">
        <v>24</v>
      </c>
      <c r="AA1412" s="3" t="s">
        <v>40</v>
      </c>
      <c r="AB1412" s="2">
        <v>1</v>
      </c>
      <c r="AF1412" s="2">
        <v>50</v>
      </c>
      <c r="AG1412" s="2">
        <v>1</v>
      </c>
      <c r="AH1412" s="3" t="s">
        <v>1481</v>
      </c>
      <c r="AI1412" s="4">
        <v>44741</v>
      </c>
      <c r="AJ1412" s="3" t="s">
        <v>1498</v>
      </c>
      <c r="AK1412" s="3" t="s">
        <v>248</v>
      </c>
    </row>
    <row r="1413" spans="1:37" hidden="1" x14ac:dyDescent="0.25">
      <c r="A1413" t="str">
        <f t="shared" si="22"/>
        <v>2022_Qld_Warra_Chickpea_SatelliteTOS1VarietyStrikerWaterTrtRainFed</v>
      </c>
      <c r="B1413" s="2">
        <v>2022013</v>
      </c>
      <c r="C1413" s="3" t="s">
        <v>1476</v>
      </c>
      <c r="D1413" s="3" t="s">
        <v>248</v>
      </c>
      <c r="F1413" s="3" t="s">
        <v>4179</v>
      </c>
      <c r="G1413" s="3" t="s">
        <v>43</v>
      </c>
      <c r="H1413" s="3" t="s">
        <v>253</v>
      </c>
      <c r="I1413" s="2">
        <v>22</v>
      </c>
      <c r="J1413" s="2">
        <v>22</v>
      </c>
      <c r="K1413" s="2">
        <v>3</v>
      </c>
      <c r="O1413" s="2">
        <v>6</v>
      </c>
      <c r="U1413" s="2">
        <v>4</v>
      </c>
      <c r="V1413" s="2">
        <v>17</v>
      </c>
      <c r="W1413" s="2">
        <v>2</v>
      </c>
      <c r="X1413" s="2">
        <v>6</v>
      </c>
      <c r="Z1413" s="2">
        <v>23</v>
      </c>
      <c r="AA1413" s="3" t="s">
        <v>40</v>
      </c>
      <c r="AB1413" s="2">
        <v>3</v>
      </c>
      <c r="AF1413" s="2">
        <v>50</v>
      </c>
      <c r="AG1413" s="2">
        <v>1</v>
      </c>
      <c r="AH1413" s="3" t="s">
        <v>1481</v>
      </c>
      <c r="AI1413" s="4">
        <v>44741</v>
      </c>
      <c r="AJ1413" s="3" t="s">
        <v>1499</v>
      </c>
      <c r="AK1413" s="3" t="s">
        <v>248</v>
      </c>
    </row>
    <row r="1414" spans="1:37" hidden="1" x14ac:dyDescent="0.25">
      <c r="A1414" t="str">
        <f t="shared" si="22"/>
        <v>2022_Qld_Warra_Chickpea_SatelliteTOS1VarietyCBA_CaptainWaterTrtRainFed</v>
      </c>
      <c r="B1414" s="2">
        <v>2022013</v>
      </c>
      <c r="C1414" s="3" t="s">
        <v>1476</v>
      </c>
      <c r="D1414" s="3" t="s">
        <v>248</v>
      </c>
      <c r="F1414" s="3" t="s">
        <v>249</v>
      </c>
      <c r="G1414" s="3" t="s">
        <v>43</v>
      </c>
      <c r="H1414" s="3" t="s">
        <v>253</v>
      </c>
      <c r="I1414" s="2">
        <v>23</v>
      </c>
      <c r="J1414" s="2">
        <v>23</v>
      </c>
      <c r="K1414" s="2">
        <v>3</v>
      </c>
      <c r="O1414" s="2">
        <v>6</v>
      </c>
      <c r="U1414" s="2">
        <v>5</v>
      </c>
      <c r="V1414" s="2">
        <v>17</v>
      </c>
      <c r="W1414" s="2">
        <v>3</v>
      </c>
      <c r="X1414" s="2">
        <v>6</v>
      </c>
      <c r="Z1414" s="2">
        <v>22</v>
      </c>
      <c r="AA1414" s="3" t="s">
        <v>40</v>
      </c>
      <c r="AB1414" s="2">
        <v>2</v>
      </c>
      <c r="AF1414" s="2">
        <v>50</v>
      </c>
      <c r="AG1414" s="2">
        <v>1</v>
      </c>
      <c r="AH1414" s="3" t="s">
        <v>1481</v>
      </c>
      <c r="AI1414" s="4">
        <v>44741</v>
      </c>
      <c r="AJ1414" s="3" t="s">
        <v>1500</v>
      </c>
      <c r="AK1414" s="3" t="s">
        <v>248</v>
      </c>
    </row>
    <row r="1415" spans="1:37" hidden="1" x14ac:dyDescent="0.25">
      <c r="A1415" t="str">
        <f t="shared" si="22"/>
        <v>2022_Qld_Warra_Chickpea_SatelliteTOS1VarietyDrummondWaterTrtRainFed</v>
      </c>
      <c r="B1415" s="2">
        <v>2022013</v>
      </c>
      <c r="C1415" s="3" t="s">
        <v>1476</v>
      </c>
      <c r="D1415" s="3" t="s">
        <v>248</v>
      </c>
      <c r="F1415" s="3" t="s">
        <v>4182</v>
      </c>
      <c r="G1415" s="3" t="s">
        <v>39</v>
      </c>
      <c r="H1415" s="3" t="s">
        <v>253</v>
      </c>
      <c r="I1415" s="2">
        <v>24</v>
      </c>
      <c r="J1415" s="2">
        <v>24</v>
      </c>
      <c r="K1415" s="2">
        <v>3</v>
      </c>
      <c r="O1415" s="2">
        <v>6</v>
      </c>
      <c r="U1415" s="2">
        <v>6</v>
      </c>
      <c r="V1415" s="2">
        <v>17</v>
      </c>
      <c r="W1415" s="2">
        <v>4</v>
      </c>
      <c r="X1415" s="2">
        <v>6</v>
      </c>
      <c r="Z1415" s="2">
        <v>21</v>
      </c>
      <c r="AA1415" s="3" t="s">
        <v>40</v>
      </c>
      <c r="AB1415" s="2">
        <v>4</v>
      </c>
      <c r="AF1415" s="2">
        <v>50</v>
      </c>
      <c r="AG1415" s="2">
        <v>1</v>
      </c>
      <c r="AH1415" s="3" t="s">
        <v>1481</v>
      </c>
      <c r="AI1415" s="4">
        <v>44741</v>
      </c>
      <c r="AJ1415" s="3" t="s">
        <v>1501</v>
      </c>
      <c r="AK1415" s="3" t="s">
        <v>248</v>
      </c>
    </row>
    <row r="1416" spans="1:37" hidden="1" x14ac:dyDescent="0.25">
      <c r="A1416" t="str">
        <f t="shared" si="22"/>
        <v>2022_Qld_Warra_Chickpea_SatelliteTOS1VarietyStrikerWaterTrtRainFed</v>
      </c>
      <c r="B1416" s="2">
        <v>2022013</v>
      </c>
      <c r="C1416" s="3" t="s">
        <v>1476</v>
      </c>
      <c r="D1416" s="3" t="s">
        <v>248</v>
      </c>
      <c r="F1416" s="3" t="s">
        <v>4179</v>
      </c>
      <c r="G1416" s="3" t="s">
        <v>43</v>
      </c>
      <c r="H1416" s="3" t="s">
        <v>253</v>
      </c>
      <c r="I1416" s="2">
        <v>25</v>
      </c>
      <c r="J1416" s="2">
        <v>25</v>
      </c>
      <c r="K1416" s="2">
        <v>4</v>
      </c>
      <c r="O1416" s="2">
        <v>7</v>
      </c>
      <c r="U1416" s="2">
        <v>3</v>
      </c>
      <c r="V1416" s="2">
        <v>20</v>
      </c>
      <c r="W1416" s="2">
        <v>1</v>
      </c>
      <c r="X1416" s="2">
        <v>7</v>
      </c>
      <c r="Z1416" s="2">
        <v>25</v>
      </c>
      <c r="AA1416" s="3" t="s">
        <v>40</v>
      </c>
      <c r="AB1416" s="2">
        <v>3</v>
      </c>
      <c r="AF1416" s="2">
        <v>50</v>
      </c>
      <c r="AG1416" s="2">
        <v>1</v>
      </c>
      <c r="AH1416" s="3" t="s">
        <v>1481</v>
      </c>
      <c r="AI1416" s="4">
        <v>44741</v>
      </c>
      <c r="AJ1416" s="3" t="s">
        <v>1502</v>
      </c>
      <c r="AK1416" s="3" t="s">
        <v>248</v>
      </c>
    </row>
    <row r="1417" spans="1:37" hidden="1" x14ac:dyDescent="0.25">
      <c r="A1417" t="str">
        <f t="shared" si="22"/>
        <v>2022_Qld_Warra_Chickpea_SatelliteTOS1VarietyHatTrickWaterTrtRainFed</v>
      </c>
      <c r="B1417" s="2">
        <v>2022013</v>
      </c>
      <c r="C1417" s="3" t="s">
        <v>1476</v>
      </c>
      <c r="D1417" s="3" t="s">
        <v>248</v>
      </c>
      <c r="F1417" s="3" t="s">
        <v>4178</v>
      </c>
      <c r="G1417" s="3" t="s">
        <v>39</v>
      </c>
      <c r="H1417" s="3" t="s">
        <v>253</v>
      </c>
      <c r="I1417" s="2">
        <v>26</v>
      </c>
      <c r="J1417" s="2">
        <v>26</v>
      </c>
      <c r="K1417" s="2">
        <v>4</v>
      </c>
      <c r="O1417" s="2">
        <v>7</v>
      </c>
      <c r="U1417" s="2">
        <v>4</v>
      </c>
      <c r="V1417" s="2">
        <v>20</v>
      </c>
      <c r="W1417" s="2">
        <v>2</v>
      </c>
      <c r="X1417" s="2">
        <v>7</v>
      </c>
      <c r="Z1417" s="2">
        <v>26</v>
      </c>
      <c r="AA1417" s="3" t="s">
        <v>40</v>
      </c>
      <c r="AB1417" s="2">
        <v>1</v>
      </c>
      <c r="AF1417" s="2">
        <v>50</v>
      </c>
      <c r="AG1417" s="2">
        <v>1</v>
      </c>
      <c r="AH1417" s="3" t="s">
        <v>1481</v>
      </c>
      <c r="AI1417" s="4">
        <v>44741</v>
      </c>
      <c r="AJ1417" s="3" t="s">
        <v>1503</v>
      </c>
      <c r="AK1417" s="3" t="s">
        <v>248</v>
      </c>
    </row>
    <row r="1418" spans="1:37" hidden="1" x14ac:dyDescent="0.25">
      <c r="A1418" t="str">
        <f t="shared" si="22"/>
        <v>2022_Qld_Warra_Chickpea_SatelliteTOS1VarietyDrummondWaterTrtRainFed</v>
      </c>
      <c r="B1418" s="2">
        <v>2022013</v>
      </c>
      <c r="C1418" s="3" t="s">
        <v>1476</v>
      </c>
      <c r="D1418" s="3" t="s">
        <v>248</v>
      </c>
      <c r="F1418" s="3" t="s">
        <v>4182</v>
      </c>
      <c r="G1418" s="3" t="s">
        <v>39</v>
      </c>
      <c r="H1418" s="3" t="s">
        <v>253</v>
      </c>
      <c r="I1418" s="2">
        <v>27</v>
      </c>
      <c r="J1418" s="2">
        <v>27</v>
      </c>
      <c r="K1418" s="2">
        <v>4</v>
      </c>
      <c r="O1418" s="2">
        <v>7</v>
      </c>
      <c r="U1418" s="2">
        <v>5</v>
      </c>
      <c r="V1418" s="2">
        <v>20</v>
      </c>
      <c r="W1418" s="2">
        <v>3</v>
      </c>
      <c r="X1418" s="2">
        <v>7</v>
      </c>
      <c r="Z1418" s="2">
        <v>27</v>
      </c>
      <c r="AA1418" s="3" t="s">
        <v>40</v>
      </c>
      <c r="AB1418" s="2">
        <v>4</v>
      </c>
      <c r="AF1418" s="2">
        <v>50</v>
      </c>
      <c r="AG1418" s="2">
        <v>1</v>
      </c>
      <c r="AH1418" s="3" t="s">
        <v>1481</v>
      </c>
      <c r="AI1418" s="4">
        <v>44741</v>
      </c>
      <c r="AJ1418" s="3" t="s">
        <v>1504</v>
      </c>
      <c r="AK1418" s="3" t="s">
        <v>248</v>
      </c>
    </row>
    <row r="1419" spans="1:37" hidden="1" x14ac:dyDescent="0.25">
      <c r="A1419" t="str">
        <f t="shared" si="22"/>
        <v>2022_Qld_Warra_Chickpea_SatelliteTOS1VarietyCBA_CaptainWaterTrtRainFed</v>
      </c>
      <c r="B1419" s="2">
        <v>2022013</v>
      </c>
      <c r="C1419" s="3" t="s">
        <v>1476</v>
      </c>
      <c r="D1419" s="3" t="s">
        <v>248</v>
      </c>
      <c r="F1419" s="3" t="s">
        <v>249</v>
      </c>
      <c r="G1419" s="3" t="s">
        <v>43</v>
      </c>
      <c r="H1419" s="3" t="s">
        <v>253</v>
      </c>
      <c r="I1419" s="2">
        <v>28</v>
      </c>
      <c r="J1419" s="2">
        <v>28</v>
      </c>
      <c r="K1419" s="2">
        <v>4</v>
      </c>
      <c r="O1419" s="2">
        <v>7</v>
      </c>
      <c r="U1419" s="2">
        <v>6</v>
      </c>
      <c r="V1419" s="2">
        <v>20</v>
      </c>
      <c r="W1419" s="2">
        <v>4</v>
      </c>
      <c r="X1419" s="2">
        <v>7</v>
      </c>
      <c r="Z1419" s="2">
        <v>28</v>
      </c>
      <c r="AA1419" s="3" t="s">
        <v>40</v>
      </c>
      <c r="AB1419" s="2">
        <v>2</v>
      </c>
      <c r="AF1419" s="2">
        <v>50</v>
      </c>
      <c r="AG1419" s="2">
        <v>1</v>
      </c>
      <c r="AH1419" s="3" t="s">
        <v>1481</v>
      </c>
      <c r="AI1419" s="4">
        <v>44741</v>
      </c>
      <c r="AJ1419" s="3" t="s">
        <v>1505</v>
      </c>
      <c r="AK1419" s="3" t="s">
        <v>248</v>
      </c>
    </row>
    <row r="1420" spans="1:37" hidden="1" x14ac:dyDescent="0.25">
      <c r="A1420" t="str">
        <f t="shared" si="22"/>
        <v>2022_Qld_Warra_Chickpea_SatelliteTOS2VarietyCBA_CaptainWaterTrtRainFed</v>
      </c>
      <c r="B1420" s="2">
        <v>2022013</v>
      </c>
      <c r="C1420" s="3" t="s">
        <v>1476</v>
      </c>
      <c r="D1420" s="3" t="s">
        <v>248</v>
      </c>
      <c r="F1420" s="3" t="s">
        <v>249</v>
      </c>
      <c r="G1420" s="3" t="s">
        <v>43</v>
      </c>
      <c r="H1420" s="3" t="s">
        <v>253</v>
      </c>
      <c r="I1420" s="2">
        <v>29</v>
      </c>
      <c r="J1420" s="2">
        <v>29</v>
      </c>
      <c r="K1420" s="2">
        <v>4</v>
      </c>
      <c r="O1420" s="2">
        <v>8</v>
      </c>
      <c r="U1420" s="2">
        <v>3</v>
      </c>
      <c r="V1420" s="2">
        <v>23</v>
      </c>
      <c r="W1420" s="2">
        <v>1</v>
      </c>
      <c r="X1420" s="2">
        <v>8</v>
      </c>
      <c r="Z1420" s="2">
        <v>32</v>
      </c>
      <c r="AA1420" s="3" t="s">
        <v>40</v>
      </c>
      <c r="AB1420" s="2">
        <v>2</v>
      </c>
      <c r="AF1420" s="2">
        <v>50</v>
      </c>
      <c r="AG1420" s="2">
        <v>2</v>
      </c>
      <c r="AH1420" s="3" t="s">
        <v>261</v>
      </c>
      <c r="AI1420" s="4">
        <v>44760</v>
      </c>
      <c r="AJ1420" s="3" t="s">
        <v>1506</v>
      </c>
      <c r="AK1420" s="3" t="s">
        <v>248</v>
      </c>
    </row>
    <row r="1421" spans="1:37" hidden="1" x14ac:dyDescent="0.25">
      <c r="A1421" t="str">
        <f t="shared" si="22"/>
        <v>2022_Qld_Warra_Chickpea_SatelliteTOS2VarietyDrummondWaterTrtRainFed</v>
      </c>
      <c r="B1421" s="2">
        <v>2022013</v>
      </c>
      <c r="C1421" s="3" t="s">
        <v>1476</v>
      </c>
      <c r="D1421" s="3" t="s">
        <v>248</v>
      </c>
      <c r="F1421" s="3" t="s">
        <v>4182</v>
      </c>
      <c r="G1421" s="3" t="s">
        <v>39</v>
      </c>
      <c r="H1421" s="3" t="s">
        <v>253</v>
      </c>
      <c r="I1421" s="2">
        <v>30</v>
      </c>
      <c r="J1421" s="2">
        <v>30</v>
      </c>
      <c r="K1421" s="2">
        <v>4</v>
      </c>
      <c r="O1421" s="2">
        <v>8</v>
      </c>
      <c r="U1421" s="2">
        <v>4</v>
      </c>
      <c r="V1421" s="2">
        <v>23</v>
      </c>
      <c r="W1421" s="2">
        <v>2</v>
      </c>
      <c r="X1421" s="2">
        <v>8</v>
      </c>
      <c r="Z1421" s="2">
        <v>31</v>
      </c>
      <c r="AA1421" s="3" t="s">
        <v>40</v>
      </c>
      <c r="AB1421" s="2">
        <v>4</v>
      </c>
      <c r="AF1421" s="2">
        <v>50</v>
      </c>
      <c r="AG1421" s="2">
        <v>2</v>
      </c>
      <c r="AH1421" s="3" t="s">
        <v>261</v>
      </c>
      <c r="AI1421" s="4">
        <v>44760</v>
      </c>
      <c r="AJ1421" s="3" t="s">
        <v>1507</v>
      </c>
      <c r="AK1421" s="3" t="s">
        <v>248</v>
      </c>
    </row>
    <row r="1422" spans="1:37" hidden="1" x14ac:dyDescent="0.25">
      <c r="A1422" t="str">
        <f t="shared" si="22"/>
        <v>2022_Qld_Warra_Chickpea_SatelliteTOS2VarietyStrikerWaterTrtRainFed</v>
      </c>
      <c r="B1422" s="2">
        <v>2022013</v>
      </c>
      <c r="C1422" s="3" t="s">
        <v>1476</v>
      </c>
      <c r="D1422" s="3" t="s">
        <v>248</v>
      </c>
      <c r="F1422" s="3" t="s">
        <v>4179</v>
      </c>
      <c r="G1422" s="3" t="s">
        <v>43</v>
      </c>
      <c r="H1422" s="3" t="s">
        <v>253</v>
      </c>
      <c r="I1422" s="2">
        <v>31</v>
      </c>
      <c r="J1422" s="2">
        <v>31</v>
      </c>
      <c r="K1422" s="2">
        <v>4</v>
      </c>
      <c r="O1422" s="2">
        <v>8</v>
      </c>
      <c r="U1422" s="2">
        <v>5</v>
      </c>
      <c r="V1422" s="2">
        <v>23</v>
      </c>
      <c r="W1422" s="2">
        <v>3</v>
      </c>
      <c r="X1422" s="2">
        <v>8</v>
      </c>
      <c r="Z1422" s="2">
        <v>30</v>
      </c>
      <c r="AA1422" s="3" t="s">
        <v>40</v>
      </c>
      <c r="AB1422" s="2">
        <v>3</v>
      </c>
      <c r="AF1422" s="2">
        <v>50</v>
      </c>
      <c r="AG1422" s="2">
        <v>2</v>
      </c>
      <c r="AH1422" s="3" t="s">
        <v>261</v>
      </c>
      <c r="AI1422" s="4">
        <v>44760</v>
      </c>
      <c r="AJ1422" s="3" t="s">
        <v>1508</v>
      </c>
      <c r="AK1422" s="3" t="s">
        <v>248</v>
      </c>
    </row>
    <row r="1423" spans="1:37" hidden="1" x14ac:dyDescent="0.25">
      <c r="A1423" t="str">
        <f t="shared" si="22"/>
        <v>2022_Qld_Warra_Chickpea_SatelliteTOS2VarietyHatTrickWaterTrtRainFed</v>
      </c>
      <c r="B1423" s="2">
        <v>2022013</v>
      </c>
      <c r="C1423" s="3" t="s">
        <v>1476</v>
      </c>
      <c r="D1423" s="3" t="s">
        <v>248</v>
      </c>
      <c r="F1423" s="3" t="s">
        <v>4178</v>
      </c>
      <c r="G1423" s="3" t="s">
        <v>39</v>
      </c>
      <c r="H1423" s="3" t="s">
        <v>253</v>
      </c>
      <c r="I1423" s="2">
        <v>32</v>
      </c>
      <c r="J1423" s="2">
        <v>32</v>
      </c>
      <c r="K1423" s="2">
        <v>4</v>
      </c>
      <c r="O1423" s="2">
        <v>8</v>
      </c>
      <c r="U1423" s="2">
        <v>6</v>
      </c>
      <c r="V1423" s="2">
        <v>23</v>
      </c>
      <c r="W1423" s="2">
        <v>4</v>
      </c>
      <c r="X1423" s="2">
        <v>8</v>
      </c>
      <c r="Z1423" s="2">
        <v>29</v>
      </c>
      <c r="AA1423" s="3" t="s">
        <v>40</v>
      </c>
      <c r="AB1423" s="2">
        <v>1</v>
      </c>
      <c r="AF1423" s="2">
        <v>50</v>
      </c>
      <c r="AG1423" s="2">
        <v>2</v>
      </c>
      <c r="AH1423" s="3" t="s">
        <v>261</v>
      </c>
      <c r="AI1423" s="4">
        <v>44760</v>
      </c>
      <c r="AJ1423" s="3" t="s">
        <v>1509</v>
      </c>
      <c r="AK1423" s="3" t="s">
        <v>248</v>
      </c>
    </row>
    <row r="1424" spans="1:37" hidden="1" x14ac:dyDescent="0.25">
      <c r="A1424" t="str">
        <f t="shared" si="22"/>
        <v>2022_SA_Warnertown_Fababean_SatelliteTOS2VarietyMarneWaterTrtRainFedAgronomyDensity_0.66</v>
      </c>
      <c r="B1424" s="2">
        <v>2022014</v>
      </c>
      <c r="C1424" s="3" t="s">
        <v>1510</v>
      </c>
      <c r="D1424" s="3" t="s">
        <v>645</v>
      </c>
      <c r="F1424" s="3" t="s">
        <v>4184</v>
      </c>
      <c r="G1424" s="3" t="s">
        <v>39</v>
      </c>
      <c r="H1424" s="3" t="s">
        <v>253</v>
      </c>
      <c r="I1424" s="2">
        <v>1</v>
      </c>
      <c r="J1424" s="2">
        <v>1</v>
      </c>
      <c r="K1424" s="2">
        <v>1</v>
      </c>
      <c r="O1424" s="2">
        <v>1</v>
      </c>
      <c r="U1424" s="2">
        <v>1</v>
      </c>
      <c r="V1424" s="2">
        <v>2</v>
      </c>
      <c r="W1424" s="2">
        <v>1</v>
      </c>
      <c r="X1424" s="2">
        <v>1</v>
      </c>
      <c r="Z1424" s="2">
        <v>1</v>
      </c>
      <c r="AA1424" s="3" t="s">
        <v>40</v>
      </c>
      <c r="AB1424" s="2">
        <v>6</v>
      </c>
      <c r="AC1424" s="3" t="s">
        <v>1511</v>
      </c>
      <c r="AF1424" s="2">
        <v>23</v>
      </c>
      <c r="AG1424" s="2">
        <v>2</v>
      </c>
      <c r="AH1424" s="3" t="s">
        <v>523</v>
      </c>
      <c r="AI1424" s="4">
        <v>44692</v>
      </c>
      <c r="AJ1424" s="3" t="s">
        <v>1512</v>
      </c>
      <c r="AK1424" s="3" t="s">
        <v>645</v>
      </c>
    </row>
    <row r="1425" spans="1:37" hidden="1" x14ac:dyDescent="0.25">
      <c r="A1425" t="str">
        <f t="shared" si="22"/>
        <v>2022_SA_Warnertown_Fababean_SatelliteTOS2VarietyAmberleyWaterTrtRainFedAgronomyDensity_1</v>
      </c>
      <c r="B1425" s="2">
        <v>2022014</v>
      </c>
      <c r="C1425" s="3" t="s">
        <v>1510</v>
      </c>
      <c r="D1425" s="3" t="s">
        <v>645</v>
      </c>
      <c r="F1425" s="3" t="s">
        <v>4185</v>
      </c>
      <c r="G1425" s="3" t="s">
        <v>39</v>
      </c>
      <c r="H1425" s="3" t="s">
        <v>253</v>
      </c>
      <c r="I1425" s="2">
        <v>2</v>
      </c>
      <c r="J1425" s="2">
        <v>2</v>
      </c>
      <c r="K1425" s="2">
        <v>1</v>
      </c>
      <c r="O1425" s="2">
        <v>1</v>
      </c>
      <c r="U1425" s="2">
        <v>2</v>
      </c>
      <c r="V1425" s="2">
        <v>2</v>
      </c>
      <c r="W1425" s="2">
        <v>2</v>
      </c>
      <c r="X1425" s="2">
        <v>1</v>
      </c>
      <c r="Z1425" s="2">
        <v>2</v>
      </c>
      <c r="AA1425" s="3" t="s">
        <v>40</v>
      </c>
      <c r="AB1425" s="2">
        <v>1</v>
      </c>
      <c r="AC1425" s="3" t="s">
        <v>1513</v>
      </c>
      <c r="AF1425" s="2">
        <v>23</v>
      </c>
      <c r="AG1425" s="2">
        <v>2</v>
      </c>
      <c r="AH1425" s="3" t="s">
        <v>523</v>
      </c>
      <c r="AI1425" s="4">
        <v>44692</v>
      </c>
      <c r="AJ1425" s="3" t="s">
        <v>1514</v>
      </c>
      <c r="AK1425" s="3" t="s">
        <v>645</v>
      </c>
    </row>
    <row r="1426" spans="1:37" hidden="1" x14ac:dyDescent="0.25">
      <c r="A1426" t="str">
        <f t="shared" si="22"/>
        <v>2022_SA_Warnertown_Fababean_SatelliteTOS2VarietySamiraWaterTrtRainFedAgronomyDensity_1</v>
      </c>
      <c r="B1426" s="2">
        <v>2022014</v>
      </c>
      <c r="C1426" s="3" t="s">
        <v>1510</v>
      </c>
      <c r="D1426" s="3" t="s">
        <v>645</v>
      </c>
      <c r="F1426" s="3" t="s">
        <v>4183</v>
      </c>
      <c r="G1426" s="3" t="s">
        <v>43</v>
      </c>
      <c r="H1426" s="3" t="s">
        <v>253</v>
      </c>
      <c r="I1426" s="2">
        <v>3</v>
      </c>
      <c r="J1426" s="2">
        <v>3</v>
      </c>
      <c r="K1426" s="2">
        <v>1</v>
      </c>
      <c r="O1426" s="2">
        <v>1</v>
      </c>
      <c r="U1426" s="2">
        <v>3</v>
      </c>
      <c r="V1426" s="2">
        <v>2</v>
      </c>
      <c r="W1426" s="2">
        <v>3</v>
      </c>
      <c r="X1426" s="2">
        <v>1</v>
      </c>
      <c r="Z1426" s="2">
        <v>3</v>
      </c>
      <c r="AA1426" s="3" t="s">
        <v>40</v>
      </c>
      <c r="AB1426" s="2">
        <v>4</v>
      </c>
      <c r="AC1426" s="3" t="s">
        <v>1513</v>
      </c>
      <c r="AF1426" s="2">
        <v>23</v>
      </c>
      <c r="AG1426" s="2">
        <v>2</v>
      </c>
      <c r="AH1426" s="3" t="s">
        <v>523</v>
      </c>
      <c r="AI1426" s="4">
        <v>44692</v>
      </c>
      <c r="AJ1426" s="3" t="s">
        <v>1515</v>
      </c>
      <c r="AK1426" s="3" t="s">
        <v>645</v>
      </c>
    </row>
    <row r="1427" spans="1:37" hidden="1" x14ac:dyDescent="0.25">
      <c r="A1427" t="str">
        <f t="shared" si="22"/>
        <v>2022_SA_Warnertown_Fababean_SatelliteTOS2VarietyAmberleyWaterTrtRainFedAgronomyDensity_0.66</v>
      </c>
      <c r="B1427" s="2">
        <v>2022014</v>
      </c>
      <c r="C1427" s="3" t="s">
        <v>1510</v>
      </c>
      <c r="D1427" s="3" t="s">
        <v>645</v>
      </c>
      <c r="F1427" s="3" t="s">
        <v>4185</v>
      </c>
      <c r="G1427" s="3" t="s">
        <v>39</v>
      </c>
      <c r="H1427" s="3" t="s">
        <v>253</v>
      </c>
      <c r="I1427" s="2">
        <v>4</v>
      </c>
      <c r="J1427" s="2">
        <v>4</v>
      </c>
      <c r="K1427" s="2">
        <v>1</v>
      </c>
      <c r="O1427" s="2">
        <v>1</v>
      </c>
      <c r="U1427" s="2">
        <v>1</v>
      </c>
      <c r="V1427" s="2">
        <v>3</v>
      </c>
      <c r="W1427" s="2">
        <v>1</v>
      </c>
      <c r="X1427" s="2">
        <v>2</v>
      </c>
      <c r="Z1427" s="2">
        <v>6</v>
      </c>
      <c r="AA1427" s="3" t="s">
        <v>40</v>
      </c>
      <c r="AB1427" s="2">
        <v>5</v>
      </c>
      <c r="AC1427" s="3" t="s">
        <v>1511</v>
      </c>
      <c r="AF1427" s="2">
        <v>23</v>
      </c>
      <c r="AG1427" s="2">
        <v>2</v>
      </c>
      <c r="AH1427" s="3" t="s">
        <v>523</v>
      </c>
      <c r="AI1427" s="4">
        <v>44692</v>
      </c>
      <c r="AJ1427" s="3" t="s">
        <v>1516</v>
      </c>
      <c r="AK1427" s="3" t="s">
        <v>645</v>
      </c>
    </row>
    <row r="1428" spans="1:37" hidden="1" x14ac:dyDescent="0.25">
      <c r="A1428" t="str">
        <f t="shared" si="22"/>
        <v>2022_SA_Warnertown_Fababean_SatelliteTOS2VarietyMarneWaterTrtRainFedAgronomyDensity_1</v>
      </c>
      <c r="B1428" s="2">
        <v>2022014</v>
      </c>
      <c r="C1428" s="3" t="s">
        <v>1510</v>
      </c>
      <c r="D1428" s="3" t="s">
        <v>645</v>
      </c>
      <c r="F1428" s="3" t="s">
        <v>4184</v>
      </c>
      <c r="G1428" s="3" t="s">
        <v>39</v>
      </c>
      <c r="H1428" s="3" t="s">
        <v>253</v>
      </c>
      <c r="I1428" s="2">
        <v>5</v>
      </c>
      <c r="J1428" s="2">
        <v>5</v>
      </c>
      <c r="K1428" s="2">
        <v>1</v>
      </c>
      <c r="O1428" s="2">
        <v>1</v>
      </c>
      <c r="U1428" s="2">
        <v>2</v>
      </c>
      <c r="V1428" s="2">
        <v>3</v>
      </c>
      <c r="W1428" s="2">
        <v>2</v>
      </c>
      <c r="X1428" s="2">
        <v>2</v>
      </c>
      <c r="Z1428" s="2">
        <v>5</v>
      </c>
      <c r="AA1428" s="3" t="s">
        <v>40</v>
      </c>
      <c r="AB1428" s="2">
        <v>2</v>
      </c>
      <c r="AC1428" s="3" t="s">
        <v>1513</v>
      </c>
      <c r="AF1428" s="2">
        <v>23</v>
      </c>
      <c r="AG1428" s="2">
        <v>2</v>
      </c>
      <c r="AH1428" s="3" t="s">
        <v>523</v>
      </c>
      <c r="AI1428" s="4">
        <v>44692</v>
      </c>
      <c r="AJ1428" s="3" t="s">
        <v>1517</v>
      </c>
      <c r="AK1428" s="3" t="s">
        <v>645</v>
      </c>
    </row>
    <row r="1429" spans="1:37" hidden="1" x14ac:dyDescent="0.25">
      <c r="A1429" t="str">
        <f t="shared" si="22"/>
        <v>2022_SA_Warnertown_Fababean_SatelliteTOS2VarietyNasmaWaterTrtRainFedAgronomyDensity_1</v>
      </c>
      <c r="B1429" s="2">
        <v>2022014</v>
      </c>
      <c r="C1429" s="3" t="s">
        <v>1510</v>
      </c>
      <c r="D1429" s="3" t="s">
        <v>645</v>
      </c>
      <c r="F1429" s="3" t="s">
        <v>4186</v>
      </c>
      <c r="G1429" s="3" t="s">
        <v>43</v>
      </c>
      <c r="H1429" s="3" t="s">
        <v>253</v>
      </c>
      <c r="I1429" s="2">
        <v>6</v>
      </c>
      <c r="J1429" s="2">
        <v>6</v>
      </c>
      <c r="K1429" s="2">
        <v>1</v>
      </c>
      <c r="O1429" s="2">
        <v>1</v>
      </c>
      <c r="U1429" s="2">
        <v>3</v>
      </c>
      <c r="V1429" s="2">
        <v>3</v>
      </c>
      <c r="W1429" s="2">
        <v>3</v>
      </c>
      <c r="X1429" s="2">
        <v>2</v>
      </c>
      <c r="Z1429" s="2">
        <v>4</v>
      </c>
      <c r="AA1429" s="3" t="s">
        <v>40</v>
      </c>
      <c r="AB1429" s="2">
        <v>3</v>
      </c>
      <c r="AC1429" s="3" t="s">
        <v>1513</v>
      </c>
      <c r="AF1429" s="2">
        <v>23</v>
      </c>
      <c r="AG1429" s="2">
        <v>2</v>
      </c>
      <c r="AH1429" s="3" t="s">
        <v>523</v>
      </c>
      <c r="AI1429" s="4">
        <v>44692</v>
      </c>
      <c r="AJ1429" s="3" t="s">
        <v>1518</v>
      </c>
      <c r="AK1429" s="3" t="s">
        <v>645</v>
      </c>
    </row>
    <row r="1430" spans="1:37" hidden="1" x14ac:dyDescent="0.25">
      <c r="A1430" t="str">
        <f t="shared" si="22"/>
        <v>2022_SA_Warnertown_Fababean_SatelliteTOS1VarietyAmberleyWaterTrtRainFedAgronomyDensity_1</v>
      </c>
      <c r="B1430" s="2">
        <v>2022014</v>
      </c>
      <c r="C1430" s="3" t="s">
        <v>1510</v>
      </c>
      <c r="D1430" s="3" t="s">
        <v>645</v>
      </c>
      <c r="F1430" s="3" t="s">
        <v>4185</v>
      </c>
      <c r="G1430" s="3" t="s">
        <v>39</v>
      </c>
      <c r="H1430" s="3" t="s">
        <v>253</v>
      </c>
      <c r="I1430" s="2">
        <v>7</v>
      </c>
      <c r="J1430" s="2">
        <v>7</v>
      </c>
      <c r="K1430" s="2">
        <v>1</v>
      </c>
      <c r="O1430" s="2">
        <v>2</v>
      </c>
      <c r="U1430" s="2">
        <v>1</v>
      </c>
      <c r="V1430" s="2">
        <v>5</v>
      </c>
      <c r="W1430" s="2">
        <v>1</v>
      </c>
      <c r="X1430" s="2">
        <v>3</v>
      </c>
      <c r="Z1430" s="2">
        <v>7</v>
      </c>
      <c r="AA1430" s="3" t="s">
        <v>40</v>
      </c>
      <c r="AB1430" s="2">
        <v>1</v>
      </c>
      <c r="AC1430" s="3" t="s">
        <v>1513</v>
      </c>
      <c r="AF1430" s="2">
        <v>23</v>
      </c>
      <c r="AG1430" s="2">
        <v>1</v>
      </c>
      <c r="AH1430" s="3" t="s">
        <v>1519</v>
      </c>
      <c r="AI1430" s="4">
        <v>44662</v>
      </c>
      <c r="AJ1430" s="3" t="s">
        <v>1520</v>
      </c>
      <c r="AK1430" s="3" t="s">
        <v>645</v>
      </c>
    </row>
    <row r="1431" spans="1:37" hidden="1" x14ac:dyDescent="0.25">
      <c r="A1431" t="str">
        <f t="shared" si="22"/>
        <v>2022_SA_Warnertown_Fababean_SatelliteTOS1VarietyNasmaWaterTrtRainFedAgronomyDensity_1</v>
      </c>
      <c r="B1431" s="2">
        <v>2022014</v>
      </c>
      <c r="C1431" s="3" t="s">
        <v>1510</v>
      </c>
      <c r="D1431" s="3" t="s">
        <v>645</v>
      </c>
      <c r="F1431" s="3" t="s">
        <v>4186</v>
      </c>
      <c r="G1431" s="3" t="s">
        <v>43</v>
      </c>
      <c r="H1431" s="3" t="s">
        <v>253</v>
      </c>
      <c r="I1431" s="2">
        <v>8</v>
      </c>
      <c r="J1431" s="2">
        <v>8</v>
      </c>
      <c r="K1431" s="2">
        <v>1</v>
      </c>
      <c r="O1431" s="2">
        <v>2</v>
      </c>
      <c r="U1431" s="2">
        <v>2</v>
      </c>
      <c r="V1431" s="2">
        <v>5</v>
      </c>
      <c r="W1431" s="2">
        <v>2</v>
      </c>
      <c r="X1431" s="2">
        <v>3</v>
      </c>
      <c r="Z1431" s="2">
        <v>8</v>
      </c>
      <c r="AA1431" s="3" t="s">
        <v>40</v>
      </c>
      <c r="AB1431" s="2">
        <v>3</v>
      </c>
      <c r="AC1431" s="3" t="s">
        <v>1513</v>
      </c>
      <c r="AF1431" s="2">
        <v>23</v>
      </c>
      <c r="AG1431" s="2">
        <v>1</v>
      </c>
      <c r="AH1431" s="3" t="s">
        <v>1519</v>
      </c>
      <c r="AI1431" s="4">
        <v>44662</v>
      </c>
      <c r="AJ1431" s="3" t="s">
        <v>1521</v>
      </c>
      <c r="AK1431" s="3" t="s">
        <v>645</v>
      </c>
    </row>
    <row r="1432" spans="1:37" hidden="1" x14ac:dyDescent="0.25">
      <c r="A1432" t="str">
        <f t="shared" si="22"/>
        <v>2022_SA_Warnertown_Fababean_SatelliteTOS1VarietyMarneWaterTrtRainFedAgronomyDensity_1</v>
      </c>
      <c r="B1432" s="2">
        <v>2022014</v>
      </c>
      <c r="C1432" s="3" t="s">
        <v>1510</v>
      </c>
      <c r="D1432" s="3" t="s">
        <v>645</v>
      </c>
      <c r="F1432" s="3" t="s">
        <v>4184</v>
      </c>
      <c r="G1432" s="3" t="s">
        <v>39</v>
      </c>
      <c r="H1432" s="3" t="s">
        <v>253</v>
      </c>
      <c r="I1432" s="2">
        <v>9</v>
      </c>
      <c r="J1432" s="2">
        <v>9</v>
      </c>
      <c r="K1432" s="2">
        <v>1</v>
      </c>
      <c r="O1432" s="2">
        <v>2</v>
      </c>
      <c r="U1432" s="2">
        <v>3</v>
      </c>
      <c r="V1432" s="2">
        <v>5</v>
      </c>
      <c r="W1432" s="2">
        <v>3</v>
      </c>
      <c r="X1432" s="2">
        <v>3</v>
      </c>
      <c r="Z1432" s="2">
        <v>9</v>
      </c>
      <c r="AA1432" s="3" t="s">
        <v>40</v>
      </c>
      <c r="AB1432" s="2">
        <v>2</v>
      </c>
      <c r="AC1432" s="3" t="s">
        <v>1513</v>
      </c>
      <c r="AF1432" s="2">
        <v>23</v>
      </c>
      <c r="AG1432" s="2">
        <v>1</v>
      </c>
      <c r="AH1432" s="3" t="s">
        <v>1519</v>
      </c>
      <c r="AI1432" s="4">
        <v>44662</v>
      </c>
      <c r="AJ1432" s="3" t="s">
        <v>1522</v>
      </c>
      <c r="AK1432" s="3" t="s">
        <v>645</v>
      </c>
    </row>
    <row r="1433" spans="1:37" hidden="1" x14ac:dyDescent="0.25">
      <c r="A1433" t="str">
        <f t="shared" si="22"/>
        <v>2022_SA_Warnertown_Fababean_SatelliteTOS1VarietySamiraWaterTrtRainFedAgronomyDensity_1</v>
      </c>
      <c r="B1433" s="2">
        <v>2022014</v>
      </c>
      <c r="C1433" s="3" t="s">
        <v>1510</v>
      </c>
      <c r="D1433" s="3" t="s">
        <v>645</v>
      </c>
      <c r="F1433" s="3" t="s">
        <v>4183</v>
      </c>
      <c r="G1433" s="3" t="s">
        <v>43</v>
      </c>
      <c r="H1433" s="3" t="s">
        <v>253</v>
      </c>
      <c r="I1433" s="2">
        <v>10</v>
      </c>
      <c r="J1433" s="2">
        <v>10</v>
      </c>
      <c r="K1433" s="2">
        <v>1</v>
      </c>
      <c r="O1433" s="2">
        <v>2</v>
      </c>
      <c r="U1433" s="2">
        <v>1</v>
      </c>
      <c r="V1433" s="2">
        <v>6</v>
      </c>
      <c r="W1433" s="2">
        <v>1</v>
      </c>
      <c r="X1433" s="2">
        <v>4</v>
      </c>
      <c r="Z1433" s="2">
        <v>12</v>
      </c>
      <c r="AA1433" s="3" t="s">
        <v>40</v>
      </c>
      <c r="AB1433" s="2">
        <v>4</v>
      </c>
      <c r="AC1433" s="3" t="s">
        <v>1513</v>
      </c>
      <c r="AF1433" s="2">
        <v>23</v>
      </c>
      <c r="AG1433" s="2">
        <v>1</v>
      </c>
      <c r="AH1433" s="3" t="s">
        <v>1519</v>
      </c>
      <c r="AI1433" s="4">
        <v>44662</v>
      </c>
      <c r="AJ1433" s="3" t="s">
        <v>1523</v>
      </c>
      <c r="AK1433" s="3" t="s">
        <v>645</v>
      </c>
    </row>
    <row r="1434" spans="1:37" hidden="1" x14ac:dyDescent="0.25">
      <c r="A1434" t="str">
        <f t="shared" si="22"/>
        <v>2022_SA_Warnertown_Fababean_SatelliteTOS1VarietyMarneWaterTrtRainFedAgronomyDensity_0.66</v>
      </c>
      <c r="B1434" s="2">
        <v>2022014</v>
      </c>
      <c r="C1434" s="3" t="s">
        <v>1510</v>
      </c>
      <c r="D1434" s="3" t="s">
        <v>645</v>
      </c>
      <c r="F1434" s="3" t="s">
        <v>4184</v>
      </c>
      <c r="G1434" s="3" t="s">
        <v>39</v>
      </c>
      <c r="H1434" s="3" t="s">
        <v>253</v>
      </c>
      <c r="I1434" s="2">
        <v>11</v>
      </c>
      <c r="J1434" s="2">
        <v>11</v>
      </c>
      <c r="K1434" s="2">
        <v>1</v>
      </c>
      <c r="O1434" s="2">
        <v>2</v>
      </c>
      <c r="U1434" s="2">
        <v>2</v>
      </c>
      <c r="V1434" s="2">
        <v>6</v>
      </c>
      <c r="W1434" s="2">
        <v>2</v>
      </c>
      <c r="X1434" s="2">
        <v>4</v>
      </c>
      <c r="Z1434" s="2">
        <v>11</v>
      </c>
      <c r="AA1434" s="3" t="s">
        <v>40</v>
      </c>
      <c r="AB1434" s="2">
        <v>6</v>
      </c>
      <c r="AC1434" s="3" t="s">
        <v>1511</v>
      </c>
      <c r="AF1434" s="2">
        <v>23</v>
      </c>
      <c r="AG1434" s="2">
        <v>1</v>
      </c>
      <c r="AH1434" s="3" t="s">
        <v>1519</v>
      </c>
      <c r="AI1434" s="4">
        <v>44662</v>
      </c>
      <c r="AJ1434" s="3" t="s">
        <v>1524</v>
      </c>
      <c r="AK1434" s="3" t="s">
        <v>645</v>
      </c>
    </row>
    <row r="1435" spans="1:37" hidden="1" x14ac:dyDescent="0.25">
      <c r="A1435" t="str">
        <f t="shared" si="22"/>
        <v>2022_SA_Warnertown_Fababean_SatelliteTOS1VarietyAmberleyWaterTrtRainFedAgronomyDensity_0.66</v>
      </c>
      <c r="B1435" s="2">
        <v>2022014</v>
      </c>
      <c r="C1435" s="3" t="s">
        <v>1510</v>
      </c>
      <c r="D1435" s="3" t="s">
        <v>645</v>
      </c>
      <c r="F1435" s="3" t="s">
        <v>4185</v>
      </c>
      <c r="G1435" s="3" t="s">
        <v>39</v>
      </c>
      <c r="H1435" s="3" t="s">
        <v>253</v>
      </c>
      <c r="I1435" s="2">
        <v>12</v>
      </c>
      <c r="J1435" s="2">
        <v>12</v>
      </c>
      <c r="K1435" s="2">
        <v>1</v>
      </c>
      <c r="O1435" s="2">
        <v>2</v>
      </c>
      <c r="U1435" s="2">
        <v>3</v>
      </c>
      <c r="V1435" s="2">
        <v>6</v>
      </c>
      <c r="W1435" s="2">
        <v>3</v>
      </c>
      <c r="X1435" s="2">
        <v>4</v>
      </c>
      <c r="Z1435" s="2">
        <v>10</v>
      </c>
      <c r="AA1435" s="3" t="s">
        <v>40</v>
      </c>
      <c r="AB1435" s="2">
        <v>5</v>
      </c>
      <c r="AC1435" s="3" t="s">
        <v>1511</v>
      </c>
      <c r="AF1435" s="2">
        <v>23</v>
      </c>
      <c r="AG1435" s="2">
        <v>1</v>
      </c>
      <c r="AH1435" s="3" t="s">
        <v>1519</v>
      </c>
      <c r="AI1435" s="4">
        <v>44662</v>
      </c>
      <c r="AJ1435" s="3" t="s">
        <v>1525</v>
      </c>
      <c r="AK1435" s="3" t="s">
        <v>645</v>
      </c>
    </row>
    <row r="1436" spans="1:37" hidden="1" x14ac:dyDescent="0.25">
      <c r="A1436" t="str">
        <f t="shared" si="22"/>
        <v>2022_SA_Warnertown_Fababean_SatelliteTOS1VarietyAmberleyWaterTrtRainFedAgronomyDensity_1</v>
      </c>
      <c r="B1436" s="2">
        <v>2022014</v>
      </c>
      <c r="C1436" s="3" t="s">
        <v>1510</v>
      </c>
      <c r="D1436" s="3" t="s">
        <v>645</v>
      </c>
      <c r="F1436" s="3" t="s">
        <v>4185</v>
      </c>
      <c r="G1436" s="3" t="s">
        <v>39</v>
      </c>
      <c r="H1436" s="3" t="s">
        <v>253</v>
      </c>
      <c r="I1436" s="2">
        <v>13</v>
      </c>
      <c r="J1436" s="2">
        <v>13</v>
      </c>
      <c r="K1436" s="2">
        <v>2</v>
      </c>
      <c r="O1436" s="2">
        <v>3</v>
      </c>
      <c r="U1436" s="2">
        <v>1</v>
      </c>
      <c r="V1436" s="2">
        <v>8</v>
      </c>
      <c r="W1436" s="2">
        <v>1</v>
      </c>
      <c r="X1436" s="2">
        <v>5</v>
      </c>
      <c r="Z1436" s="2">
        <v>13</v>
      </c>
      <c r="AA1436" s="3" t="s">
        <v>40</v>
      </c>
      <c r="AB1436" s="2">
        <v>1</v>
      </c>
      <c r="AC1436" s="3" t="s">
        <v>1513</v>
      </c>
      <c r="AF1436" s="2">
        <v>23</v>
      </c>
      <c r="AG1436" s="2">
        <v>1</v>
      </c>
      <c r="AH1436" s="3" t="s">
        <v>1519</v>
      </c>
      <c r="AI1436" s="4">
        <v>44662</v>
      </c>
      <c r="AJ1436" s="3" t="s">
        <v>1526</v>
      </c>
      <c r="AK1436" s="3" t="s">
        <v>645</v>
      </c>
    </row>
    <row r="1437" spans="1:37" hidden="1" x14ac:dyDescent="0.25">
      <c r="A1437" t="str">
        <f t="shared" si="22"/>
        <v>2022_SA_Warnertown_Fababean_SatelliteTOS1VarietyMarneWaterTrtRainFedAgronomyDensity_1</v>
      </c>
      <c r="B1437" s="2">
        <v>2022014</v>
      </c>
      <c r="C1437" s="3" t="s">
        <v>1510</v>
      </c>
      <c r="D1437" s="3" t="s">
        <v>645</v>
      </c>
      <c r="F1437" s="3" t="s">
        <v>4184</v>
      </c>
      <c r="G1437" s="3" t="s">
        <v>39</v>
      </c>
      <c r="H1437" s="3" t="s">
        <v>253</v>
      </c>
      <c r="I1437" s="2">
        <v>14</v>
      </c>
      <c r="J1437" s="2">
        <v>14</v>
      </c>
      <c r="K1437" s="2">
        <v>2</v>
      </c>
      <c r="O1437" s="2">
        <v>3</v>
      </c>
      <c r="U1437" s="2">
        <v>2</v>
      </c>
      <c r="V1437" s="2">
        <v>8</v>
      </c>
      <c r="W1437" s="2">
        <v>2</v>
      </c>
      <c r="X1437" s="2">
        <v>5</v>
      </c>
      <c r="Z1437" s="2">
        <v>14</v>
      </c>
      <c r="AA1437" s="3" t="s">
        <v>40</v>
      </c>
      <c r="AB1437" s="2">
        <v>2</v>
      </c>
      <c r="AC1437" s="3" t="s">
        <v>1513</v>
      </c>
      <c r="AF1437" s="2">
        <v>23</v>
      </c>
      <c r="AG1437" s="2">
        <v>1</v>
      </c>
      <c r="AH1437" s="3" t="s">
        <v>1519</v>
      </c>
      <c r="AI1437" s="4">
        <v>44662</v>
      </c>
      <c r="AJ1437" s="3" t="s">
        <v>1527</v>
      </c>
      <c r="AK1437" s="3" t="s">
        <v>645</v>
      </c>
    </row>
    <row r="1438" spans="1:37" hidden="1" x14ac:dyDescent="0.25">
      <c r="A1438" t="str">
        <f t="shared" si="22"/>
        <v>2022_SA_Warnertown_Fababean_SatelliteTOS1VarietyMarneWaterTrtRainFedAgronomyDensity_0.66</v>
      </c>
      <c r="B1438" s="2">
        <v>2022014</v>
      </c>
      <c r="C1438" s="3" t="s">
        <v>1510</v>
      </c>
      <c r="D1438" s="3" t="s">
        <v>645</v>
      </c>
      <c r="F1438" s="3" t="s">
        <v>4184</v>
      </c>
      <c r="G1438" s="3" t="s">
        <v>39</v>
      </c>
      <c r="H1438" s="3" t="s">
        <v>253</v>
      </c>
      <c r="I1438" s="2">
        <v>15</v>
      </c>
      <c r="J1438" s="2">
        <v>15</v>
      </c>
      <c r="K1438" s="2">
        <v>2</v>
      </c>
      <c r="O1438" s="2">
        <v>3</v>
      </c>
      <c r="U1438" s="2">
        <v>3</v>
      </c>
      <c r="V1438" s="2">
        <v>8</v>
      </c>
      <c r="W1438" s="2">
        <v>3</v>
      </c>
      <c r="X1438" s="2">
        <v>5</v>
      </c>
      <c r="Z1438" s="2">
        <v>15</v>
      </c>
      <c r="AA1438" s="3" t="s">
        <v>40</v>
      </c>
      <c r="AB1438" s="2">
        <v>6</v>
      </c>
      <c r="AC1438" s="3" t="s">
        <v>1511</v>
      </c>
      <c r="AF1438" s="2">
        <v>23</v>
      </c>
      <c r="AG1438" s="2">
        <v>1</v>
      </c>
      <c r="AH1438" s="3" t="s">
        <v>1519</v>
      </c>
      <c r="AI1438" s="4">
        <v>44662</v>
      </c>
      <c r="AJ1438" s="3" t="s">
        <v>1528</v>
      </c>
      <c r="AK1438" s="3" t="s">
        <v>645</v>
      </c>
    </row>
    <row r="1439" spans="1:37" hidden="1" x14ac:dyDescent="0.25">
      <c r="A1439" t="str">
        <f t="shared" si="22"/>
        <v>2022_SA_Warnertown_Fababean_SatelliteTOS1VarietyNasmaWaterTrtRainFedAgronomyDensity_1</v>
      </c>
      <c r="B1439" s="2">
        <v>2022014</v>
      </c>
      <c r="C1439" s="3" t="s">
        <v>1510</v>
      </c>
      <c r="D1439" s="3" t="s">
        <v>645</v>
      </c>
      <c r="F1439" s="3" t="s">
        <v>4186</v>
      </c>
      <c r="G1439" s="3" t="s">
        <v>43</v>
      </c>
      <c r="H1439" s="3" t="s">
        <v>253</v>
      </c>
      <c r="I1439" s="2">
        <v>16</v>
      </c>
      <c r="J1439" s="2">
        <v>16</v>
      </c>
      <c r="K1439" s="2">
        <v>2</v>
      </c>
      <c r="O1439" s="2">
        <v>3</v>
      </c>
      <c r="U1439" s="2">
        <v>1</v>
      </c>
      <c r="V1439" s="2">
        <v>9</v>
      </c>
      <c r="W1439" s="2">
        <v>1</v>
      </c>
      <c r="X1439" s="2">
        <v>6</v>
      </c>
      <c r="Z1439" s="2">
        <v>18</v>
      </c>
      <c r="AA1439" s="3" t="s">
        <v>40</v>
      </c>
      <c r="AB1439" s="2">
        <v>3</v>
      </c>
      <c r="AC1439" s="3" t="s">
        <v>1513</v>
      </c>
      <c r="AF1439" s="2">
        <v>23</v>
      </c>
      <c r="AG1439" s="2">
        <v>1</v>
      </c>
      <c r="AH1439" s="3" t="s">
        <v>1519</v>
      </c>
      <c r="AI1439" s="4">
        <v>44662</v>
      </c>
      <c r="AJ1439" s="3" t="s">
        <v>1529</v>
      </c>
      <c r="AK1439" s="3" t="s">
        <v>645</v>
      </c>
    </row>
    <row r="1440" spans="1:37" hidden="1" x14ac:dyDescent="0.25">
      <c r="A1440" t="str">
        <f t="shared" si="22"/>
        <v>2022_SA_Warnertown_Fababean_SatelliteTOS1VarietySamiraWaterTrtRainFedAgronomyDensity_1</v>
      </c>
      <c r="B1440" s="2">
        <v>2022014</v>
      </c>
      <c r="C1440" s="3" t="s">
        <v>1510</v>
      </c>
      <c r="D1440" s="3" t="s">
        <v>645</v>
      </c>
      <c r="F1440" s="3" t="s">
        <v>4183</v>
      </c>
      <c r="G1440" s="3" t="s">
        <v>43</v>
      </c>
      <c r="H1440" s="3" t="s">
        <v>253</v>
      </c>
      <c r="I1440" s="2">
        <v>17</v>
      </c>
      <c r="J1440" s="2">
        <v>17</v>
      </c>
      <c r="K1440" s="2">
        <v>2</v>
      </c>
      <c r="O1440" s="2">
        <v>3</v>
      </c>
      <c r="U1440" s="2">
        <v>2</v>
      </c>
      <c r="V1440" s="2">
        <v>9</v>
      </c>
      <c r="W1440" s="2">
        <v>2</v>
      </c>
      <c r="X1440" s="2">
        <v>6</v>
      </c>
      <c r="Z1440" s="2">
        <v>17</v>
      </c>
      <c r="AA1440" s="3" t="s">
        <v>40</v>
      </c>
      <c r="AB1440" s="2">
        <v>4</v>
      </c>
      <c r="AC1440" s="3" t="s">
        <v>1513</v>
      </c>
      <c r="AF1440" s="2">
        <v>23</v>
      </c>
      <c r="AG1440" s="2">
        <v>1</v>
      </c>
      <c r="AH1440" s="3" t="s">
        <v>1519</v>
      </c>
      <c r="AI1440" s="4">
        <v>44662</v>
      </c>
      <c r="AJ1440" s="3" t="s">
        <v>1530</v>
      </c>
      <c r="AK1440" s="3" t="s">
        <v>645</v>
      </c>
    </row>
    <row r="1441" spans="1:37" hidden="1" x14ac:dyDescent="0.25">
      <c r="A1441" t="str">
        <f t="shared" si="22"/>
        <v>2022_SA_Warnertown_Fababean_SatelliteTOS1VarietyAmberleyWaterTrtRainFedAgronomyDensity_0.66</v>
      </c>
      <c r="B1441" s="2">
        <v>2022014</v>
      </c>
      <c r="C1441" s="3" t="s">
        <v>1510</v>
      </c>
      <c r="D1441" s="3" t="s">
        <v>645</v>
      </c>
      <c r="F1441" s="3" t="s">
        <v>4185</v>
      </c>
      <c r="G1441" s="3" t="s">
        <v>39</v>
      </c>
      <c r="H1441" s="3" t="s">
        <v>253</v>
      </c>
      <c r="I1441" s="2">
        <v>18</v>
      </c>
      <c r="J1441" s="2">
        <v>18</v>
      </c>
      <c r="K1441" s="2">
        <v>2</v>
      </c>
      <c r="O1441" s="2">
        <v>3</v>
      </c>
      <c r="U1441" s="2">
        <v>3</v>
      </c>
      <c r="V1441" s="2">
        <v>9</v>
      </c>
      <c r="W1441" s="2">
        <v>3</v>
      </c>
      <c r="X1441" s="2">
        <v>6</v>
      </c>
      <c r="Z1441" s="2">
        <v>16</v>
      </c>
      <c r="AA1441" s="3" t="s">
        <v>40</v>
      </c>
      <c r="AB1441" s="2">
        <v>5</v>
      </c>
      <c r="AC1441" s="3" t="s">
        <v>1511</v>
      </c>
      <c r="AF1441" s="2">
        <v>23</v>
      </c>
      <c r="AG1441" s="2">
        <v>1</v>
      </c>
      <c r="AH1441" s="3" t="s">
        <v>1519</v>
      </c>
      <c r="AI1441" s="4">
        <v>44662</v>
      </c>
      <c r="AJ1441" s="3" t="s">
        <v>1531</v>
      </c>
      <c r="AK1441" s="3" t="s">
        <v>645</v>
      </c>
    </row>
    <row r="1442" spans="1:37" hidden="1" x14ac:dyDescent="0.25">
      <c r="A1442" t="str">
        <f t="shared" si="22"/>
        <v>2022_SA_Warnertown_Fababean_SatelliteTOS2VarietyAmberleyWaterTrtRainFedAgronomyDensity_0.66</v>
      </c>
      <c r="B1442" s="2">
        <v>2022014</v>
      </c>
      <c r="C1442" s="3" t="s">
        <v>1510</v>
      </c>
      <c r="D1442" s="3" t="s">
        <v>645</v>
      </c>
      <c r="F1442" s="3" t="s">
        <v>4185</v>
      </c>
      <c r="G1442" s="3" t="s">
        <v>39</v>
      </c>
      <c r="H1442" s="3" t="s">
        <v>253</v>
      </c>
      <c r="I1442" s="2">
        <v>19</v>
      </c>
      <c r="J1442" s="2">
        <v>19</v>
      </c>
      <c r="K1442" s="2">
        <v>2</v>
      </c>
      <c r="O1442" s="2">
        <v>4</v>
      </c>
      <c r="U1442" s="2">
        <v>1</v>
      </c>
      <c r="V1442" s="2">
        <v>11</v>
      </c>
      <c r="W1442" s="2">
        <v>1</v>
      </c>
      <c r="X1442" s="2">
        <v>7</v>
      </c>
      <c r="Z1442" s="2">
        <v>19</v>
      </c>
      <c r="AA1442" s="3" t="s">
        <v>40</v>
      </c>
      <c r="AB1442" s="2">
        <v>5</v>
      </c>
      <c r="AC1442" s="3" t="s">
        <v>1511</v>
      </c>
      <c r="AF1442" s="2">
        <v>23</v>
      </c>
      <c r="AG1442" s="2">
        <v>2</v>
      </c>
      <c r="AH1442" s="3" t="s">
        <v>523</v>
      </c>
      <c r="AI1442" s="4">
        <v>44692</v>
      </c>
      <c r="AJ1442" s="3" t="s">
        <v>1532</v>
      </c>
      <c r="AK1442" s="3" t="s">
        <v>645</v>
      </c>
    </row>
    <row r="1443" spans="1:37" hidden="1" x14ac:dyDescent="0.25">
      <c r="A1443" t="str">
        <f t="shared" si="22"/>
        <v>2022_SA_Warnertown_Fababean_SatelliteTOS2VarietyMarneWaterTrtRainFedAgronomyDensity_0.66</v>
      </c>
      <c r="B1443" s="2">
        <v>2022014</v>
      </c>
      <c r="C1443" s="3" t="s">
        <v>1510</v>
      </c>
      <c r="D1443" s="3" t="s">
        <v>645</v>
      </c>
      <c r="F1443" s="3" t="s">
        <v>4184</v>
      </c>
      <c r="G1443" s="3" t="s">
        <v>39</v>
      </c>
      <c r="H1443" s="3" t="s">
        <v>253</v>
      </c>
      <c r="I1443" s="2">
        <v>20</v>
      </c>
      <c r="J1443" s="2">
        <v>20</v>
      </c>
      <c r="K1443" s="2">
        <v>2</v>
      </c>
      <c r="O1443" s="2">
        <v>4</v>
      </c>
      <c r="U1443" s="2">
        <v>2</v>
      </c>
      <c r="V1443" s="2">
        <v>11</v>
      </c>
      <c r="W1443" s="2">
        <v>2</v>
      </c>
      <c r="X1443" s="2">
        <v>7</v>
      </c>
      <c r="Z1443" s="2">
        <v>20</v>
      </c>
      <c r="AA1443" s="3" t="s">
        <v>40</v>
      </c>
      <c r="AB1443" s="2">
        <v>6</v>
      </c>
      <c r="AC1443" s="3" t="s">
        <v>1511</v>
      </c>
      <c r="AF1443" s="2">
        <v>23</v>
      </c>
      <c r="AG1443" s="2">
        <v>2</v>
      </c>
      <c r="AH1443" s="3" t="s">
        <v>523</v>
      </c>
      <c r="AI1443" s="4">
        <v>44692</v>
      </c>
      <c r="AJ1443" s="3" t="s">
        <v>1533</v>
      </c>
      <c r="AK1443" s="3" t="s">
        <v>645</v>
      </c>
    </row>
    <row r="1444" spans="1:37" hidden="1" x14ac:dyDescent="0.25">
      <c r="A1444" t="str">
        <f t="shared" si="22"/>
        <v>2022_SA_Warnertown_Fababean_SatelliteTOS2VarietyAmberleyWaterTrtRainFedAgronomyDensity_1</v>
      </c>
      <c r="B1444" s="2">
        <v>2022014</v>
      </c>
      <c r="C1444" s="3" t="s">
        <v>1510</v>
      </c>
      <c r="D1444" s="3" t="s">
        <v>645</v>
      </c>
      <c r="F1444" s="3" t="s">
        <v>4185</v>
      </c>
      <c r="G1444" s="3" t="s">
        <v>39</v>
      </c>
      <c r="H1444" s="3" t="s">
        <v>253</v>
      </c>
      <c r="I1444" s="2">
        <v>21</v>
      </c>
      <c r="J1444" s="2">
        <v>21</v>
      </c>
      <c r="K1444" s="2">
        <v>2</v>
      </c>
      <c r="O1444" s="2">
        <v>4</v>
      </c>
      <c r="U1444" s="2">
        <v>3</v>
      </c>
      <c r="V1444" s="2">
        <v>11</v>
      </c>
      <c r="W1444" s="2">
        <v>3</v>
      </c>
      <c r="X1444" s="2">
        <v>7</v>
      </c>
      <c r="Z1444" s="2">
        <v>21</v>
      </c>
      <c r="AA1444" s="3" t="s">
        <v>40</v>
      </c>
      <c r="AB1444" s="2">
        <v>1</v>
      </c>
      <c r="AC1444" s="3" t="s">
        <v>1513</v>
      </c>
      <c r="AF1444" s="2">
        <v>23</v>
      </c>
      <c r="AG1444" s="2">
        <v>2</v>
      </c>
      <c r="AH1444" s="3" t="s">
        <v>523</v>
      </c>
      <c r="AI1444" s="4">
        <v>44692</v>
      </c>
      <c r="AJ1444" s="3" t="s">
        <v>1534</v>
      </c>
      <c r="AK1444" s="3" t="s">
        <v>645</v>
      </c>
    </row>
    <row r="1445" spans="1:37" hidden="1" x14ac:dyDescent="0.25">
      <c r="A1445" t="str">
        <f t="shared" si="22"/>
        <v>2022_SA_Warnertown_Fababean_SatelliteTOS2VarietyMarneWaterTrtRainFedAgronomyDensity_1</v>
      </c>
      <c r="B1445" s="2">
        <v>2022014</v>
      </c>
      <c r="C1445" s="3" t="s">
        <v>1510</v>
      </c>
      <c r="D1445" s="3" t="s">
        <v>645</v>
      </c>
      <c r="F1445" s="3" t="s">
        <v>4184</v>
      </c>
      <c r="G1445" s="3" t="s">
        <v>39</v>
      </c>
      <c r="H1445" s="3" t="s">
        <v>253</v>
      </c>
      <c r="I1445" s="2">
        <v>22</v>
      </c>
      <c r="J1445" s="2">
        <v>22</v>
      </c>
      <c r="K1445" s="2">
        <v>2</v>
      </c>
      <c r="O1445" s="2">
        <v>4</v>
      </c>
      <c r="U1445" s="2">
        <v>1</v>
      </c>
      <c r="V1445" s="2">
        <v>12</v>
      </c>
      <c r="W1445" s="2">
        <v>1</v>
      </c>
      <c r="X1445" s="2">
        <v>8</v>
      </c>
      <c r="Z1445" s="2">
        <v>24</v>
      </c>
      <c r="AA1445" s="3" t="s">
        <v>40</v>
      </c>
      <c r="AB1445" s="2">
        <v>2</v>
      </c>
      <c r="AC1445" s="3" t="s">
        <v>1513</v>
      </c>
      <c r="AF1445" s="2">
        <v>23</v>
      </c>
      <c r="AG1445" s="2">
        <v>2</v>
      </c>
      <c r="AH1445" s="3" t="s">
        <v>523</v>
      </c>
      <c r="AI1445" s="4">
        <v>44692</v>
      </c>
      <c r="AJ1445" s="3" t="s">
        <v>1535</v>
      </c>
      <c r="AK1445" s="3" t="s">
        <v>645</v>
      </c>
    </row>
    <row r="1446" spans="1:37" hidden="1" x14ac:dyDescent="0.25">
      <c r="A1446" t="str">
        <f t="shared" si="22"/>
        <v>2022_SA_Warnertown_Fababean_SatelliteTOS2VarietyNasmaWaterTrtRainFedAgronomyDensity_1</v>
      </c>
      <c r="B1446" s="2">
        <v>2022014</v>
      </c>
      <c r="C1446" s="3" t="s">
        <v>1510</v>
      </c>
      <c r="D1446" s="3" t="s">
        <v>645</v>
      </c>
      <c r="F1446" s="3" t="s">
        <v>4186</v>
      </c>
      <c r="G1446" s="3" t="s">
        <v>43</v>
      </c>
      <c r="H1446" s="3" t="s">
        <v>253</v>
      </c>
      <c r="I1446" s="2">
        <v>23</v>
      </c>
      <c r="J1446" s="2">
        <v>23</v>
      </c>
      <c r="K1446" s="2">
        <v>2</v>
      </c>
      <c r="O1446" s="2">
        <v>4</v>
      </c>
      <c r="U1446" s="2">
        <v>2</v>
      </c>
      <c r="V1446" s="2">
        <v>12</v>
      </c>
      <c r="W1446" s="2">
        <v>2</v>
      </c>
      <c r="X1446" s="2">
        <v>8</v>
      </c>
      <c r="Z1446" s="2">
        <v>23</v>
      </c>
      <c r="AA1446" s="3" t="s">
        <v>40</v>
      </c>
      <c r="AB1446" s="2">
        <v>3</v>
      </c>
      <c r="AC1446" s="3" t="s">
        <v>1513</v>
      </c>
      <c r="AF1446" s="2">
        <v>23</v>
      </c>
      <c r="AG1446" s="2">
        <v>2</v>
      </c>
      <c r="AH1446" s="3" t="s">
        <v>523</v>
      </c>
      <c r="AI1446" s="4">
        <v>44692</v>
      </c>
      <c r="AJ1446" s="3" t="s">
        <v>1536</v>
      </c>
      <c r="AK1446" s="3" t="s">
        <v>645</v>
      </c>
    </row>
    <row r="1447" spans="1:37" hidden="1" x14ac:dyDescent="0.25">
      <c r="A1447" t="str">
        <f t="shared" si="22"/>
        <v>2022_SA_Warnertown_Fababean_SatelliteTOS2VarietySamiraWaterTrtRainFedAgronomyDensity_1</v>
      </c>
      <c r="B1447" s="2">
        <v>2022014</v>
      </c>
      <c r="C1447" s="3" t="s">
        <v>1510</v>
      </c>
      <c r="D1447" s="3" t="s">
        <v>645</v>
      </c>
      <c r="F1447" s="3" t="s">
        <v>4183</v>
      </c>
      <c r="G1447" s="3" t="s">
        <v>43</v>
      </c>
      <c r="H1447" s="3" t="s">
        <v>253</v>
      </c>
      <c r="I1447" s="2">
        <v>24</v>
      </c>
      <c r="J1447" s="2">
        <v>24</v>
      </c>
      <c r="K1447" s="2">
        <v>2</v>
      </c>
      <c r="O1447" s="2">
        <v>4</v>
      </c>
      <c r="U1447" s="2">
        <v>3</v>
      </c>
      <c r="V1447" s="2">
        <v>12</v>
      </c>
      <c r="W1447" s="2">
        <v>3</v>
      </c>
      <c r="X1447" s="2">
        <v>8</v>
      </c>
      <c r="Z1447" s="2">
        <v>22</v>
      </c>
      <c r="AA1447" s="3" t="s">
        <v>40</v>
      </c>
      <c r="AB1447" s="2">
        <v>4</v>
      </c>
      <c r="AC1447" s="3" t="s">
        <v>1513</v>
      </c>
      <c r="AF1447" s="2">
        <v>23</v>
      </c>
      <c r="AG1447" s="2">
        <v>2</v>
      </c>
      <c r="AH1447" s="3" t="s">
        <v>523</v>
      </c>
      <c r="AI1447" s="4">
        <v>44692</v>
      </c>
      <c r="AJ1447" s="3" t="s">
        <v>1537</v>
      </c>
      <c r="AK1447" s="3" t="s">
        <v>645</v>
      </c>
    </row>
    <row r="1448" spans="1:37" hidden="1" x14ac:dyDescent="0.25">
      <c r="A1448" t="str">
        <f t="shared" si="22"/>
        <v>2022_SA_Warnertown_Fababean_SatelliteTOS2VarietyMarneWaterTrtRainFedAgronomyDensity_1</v>
      </c>
      <c r="B1448" s="2">
        <v>2022014</v>
      </c>
      <c r="C1448" s="3" t="s">
        <v>1510</v>
      </c>
      <c r="D1448" s="3" t="s">
        <v>645</v>
      </c>
      <c r="F1448" s="3" t="s">
        <v>4184</v>
      </c>
      <c r="G1448" s="3" t="s">
        <v>39</v>
      </c>
      <c r="H1448" s="3" t="s">
        <v>253</v>
      </c>
      <c r="I1448" s="2">
        <v>25</v>
      </c>
      <c r="J1448" s="2">
        <v>25</v>
      </c>
      <c r="K1448" s="2">
        <v>3</v>
      </c>
      <c r="O1448" s="2">
        <v>5</v>
      </c>
      <c r="U1448" s="2">
        <v>1</v>
      </c>
      <c r="V1448" s="2">
        <v>14</v>
      </c>
      <c r="W1448" s="2">
        <v>1</v>
      </c>
      <c r="X1448" s="2">
        <v>9</v>
      </c>
      <c r="Z1448" s="2">
        <v>25</v>
      </c>
      <c r="AA1448" s="3" t="s">
        <v>40</v>
      </c>
      <c r="AB1448" s="2">
        <v>2</v>
      </c>
      <c r="AC1448" s="3" t="s">
        <v>1513</v>
      </c>
      <c r="AF1448" s="2">
        <v>23</v>
      </c>
      <c r="AG1448" s="2">
        <v>2</v>
      </c>
      <c r="AH1448" s="3" t="s">
        <v>523</v>
      </c>
      <c r="AI1448" s="4">
        <v>44692</v>
      </c>
      <c r="AJ1448" s="3" t="s">
        <v>1538</v>
      </c>
      <c r="AK1448" s="3" t="s">
        <v>645</v>
      </c>
    </row>
    <row r="1449" spans="1:37" hidden="1" x14ac:dyDescent="0.25">
      <c r="A1449" t="str">
        <f t="shared" si="22"/>
        <v>2022_SA_Warnertown_Fababean_SatelliteTOS2VarietyMarneWaterTrtRainFedAgronomyDensity_0.66</v>
      </c>
      <c r="B1449" s="2">
        <v>2022014</v>
      </c>
      <c r="C1449" s="3" t="s">
        <v>1510</v>
      </c>
      <c r="D1449" s="3" t="s">
        <v>645</v>
      </c>
      <c r="F1449" s="3" t="s">
        <v>4184</v>
      </c>
      <c r="G1449" s="3" t="s">
        <v>39</v>
      </c>
      <c r="H1449" s="3" t="s">
        <v>253</v>
      </c>
      <c r="I1449" s="2">
        <v>26</v>
      </c>
      <c r="J1449" s="2">
        <v>26</v>
      </c>
      <c r="K1449" s="2">
        <v>3</v>
      </c>
      <c r="O1449" s="2">
        <v>5</v>
      </c>
      <c r="U1449" s="2">
        <v>2</v>
      </c>
      <c r="V1449" s="2">
        <v>14</v>
      </c>
      <c r="W1449" s="2">
        <v>2</v>
      </c>
      <c r="X1449" s="2">
        <v>9</v>
      </c>
      <c r="Z1449" s="2">
        <v>26</v>
      </c>
      <c r="AA1449" s="3" t="s">
        <v>40</v>
      </c>
      <c r="AB1449" s="2">
        <v>6</v>
      </c>
      <c r="AC1449" s="3" t="s">
        <v>1511</v>
      </c>
      <c r="AF1449" s="2">
        <v>23</v>
      </c>
      <c r="AG1449" s="2">
        <v>2</v>
      </c>
      <c r="AH1449" s="3" t="s">
        <v>523</v>
      </c>
      <c r="AI1449" s="4">
        <v>44692</v>
      </c>
      <c r="AJ1449" s="3" t="s">
        <v>1539</v>
      </c>
      <c r="AK1449" s="3" t="s">
        <v>645</v>
      </c>
    </row>
    <row r="1450" spans="1:37" hidden="1" x14ac:dyDescent="0.25">
      <c r="A1450" t="str">
        <f t="shared" si="22"/>
        <v>2022_SA_Warnertown_Fababean_SatelliteTOS2VarietySamiraWaterTrtRainFedAgronomyDensity_1</v>
      </c>
      <c r="B1450" s="2">
        <v>2022014</v>
      </c>
      <c r="C1450" s="3" t="s">
        <v>1510</v>
      </c>
      <c r="D1450" s="3" t="s">
        <v>645</v>
      </c>
      <c r="F1450" s="3" t="s">
        <v>4183</v>
      </c>
      <c r="G1450" s="3" t="s">
        <v>43</v>
      </c>
      <c r="H1450" s="3" t="s">
        <v>253</v>
      </c>
      <c r="I1450" s="2">
        <v>27</v>
      </c>
      <c r="J1450" s="2">
        <v>27</v>
      </c>
      <c r="K1450" s="2">
        <v>3</v>
      </c>
      <c r="O1450" s="2">
        <v>5</v>
      </c>
      <c r="U1450" s="2">
        <v>3</v>
      </c>
      <c r="V1450" s="2">
        <v>14</v>
      </c>
      <c r="W1450" s="2">
        <v>3</v>
      </c>
      <c r="X1450" s="2">
        <v>9</v>
      </c>
      <c r="Z1450" s="2">
        <v>27</v>
      </c>
      <c r="AA1450" s="3" t="s">
        <v>40</v>
      </c>
      <c r="AB1450" s="2">
        <v>4</v>
      </c>
      <c r="AC1450" s="3" t="s">
        <v>1513</v>
      </c>
      <c r="AF1450" s="2">
        <v>23</v>
      </c>
      <c r="AG1450" s="2">
        <v>2</v>
      </c>
      <c r="AH1450" s="3" t="s">
        <v>523</v>
      </c>
      <c r="AI1450" s="4">
        <v>44692</v>
      </c>
      <c r="AJ1450" s="3" t="s">
        <v>1540</v>
      </c>
      <c r="AK1450" s="3" t="s">
        <v>645</v>
      </c>
    </row>
    <row r="1451" spans="1:37" hidden="1" x14ac:dyDescent="0.25">
      <c r="A1451" t="str">
        <f t="shared" si="22"/>
        <v>2022_SA_Warnertown_Fababean_SatelliteTOS2VarietyNasmaWaterTrtRainFedAgronomyDensity_1</v>
      </c>
      <c r="B1451" s="2">
        <v>2022014</v>
      </c>
      <c r="C1451" s="3" t="s">
        <v>1510</v>
      </c>
      <c r="D1451" s="3" t="s">
        <v>645</v>
      </c>
      <c r="F1451" s="3" t="s">
        <v>4186</v>
      </c>
      <c r="G1451" s="3" t="s">
        <v>43</v>
      </c>
      <c r="H1451" s="3" t="s">
        <v>253</v>
      </c>
      <c r="I1451" s="2">
        <v>28</v>
      </c>
      <c r="J1451" s="2">
        <v>28</v>
      </c>
      <c r="K1451" s="2">
        <v>3</v>
      </c>
      <c r="O1451" s="2">
        <v>5</v>
      </c>
      <c r="U1451" s="2">
        <v>1</v>
      </c>
      <c r="V1451" s="2">
        <v>15</v>
      </c>
      <c r="W1451" s="2">
        <v>1</v>
      </c>
      <c r="X1451" s="2">
        <v>10</v>
      </c>
      <c r="Z1451" s="2">
        <v>30</v>
      </c>
      <c r="AA1451" s="3" t="s">
        <v>40</v>
      </c>
      <c r="AB1451" s="2">
        <v>3</v>
      </c>
      <c r="AC1451" s="3" t="s">
        <v>1513</v>
      </c>
      <c r="AF1451" s="2">
        <v>23</v>
      </c>
      <c r="AG1451" s="2">
        <v>2</v>
      </c>
      <c r="AH1451" s="3" t="s">
        <v>523</v>
      </c>
      <c r="AI1451" s="4">
        <v>44692</v>
      </c>
      <c r="AJ1451" s="3" t="s">
        <v>1541</v>
      </c>
      <c r="AK1451" s="3" t="s">
        <v>645</v>
      </c>
    </row>
    <row r="1452" spans="1:37" hidden="1" x14ac:dyDescent="0.25">
      <c r="A1452" t="str">
        <f t="shared" si="22"/>
        <v>2022_SA_Warnertown_Fababean_SatelliteTOS2VarietyAmberleyWaterTrtRainFedAgronomyDensity_1</v>
      </c>
      <c r="B1452" s="2">
        <v>2022014</v>
      </c>
      <c r="C1452" s="3" t="s">
        <v>1510</v>
      </c>
      <c r="D1452" s="3" t="s">
        <v>645</v>
      </c>
      <c r="F1452" s="3" t="s">
        <v>4185</v>
      </c>
      <c r="G1452" s="3" t="s">
        <v>39</v>
      </c>
      <c r="H1452" s="3" t="s">
        <v>253</v>
      </c>
      <c r="I1452" s="2">
        <v>29</v>
      </c>
      <c r="J1452" s="2">
        <v>29</v>
      </c>
      <c r="K1452" s="2">
        <v>3</v>
      </c>
      <c r="O1452" s="2">
        <v>5</v>
      </c>
      <c r="U1452" s="2">
        <v>2</v>
      </c>
      <c r="V1452" s="2">
        <v>15</v>
      </c>
      <c r="W1452" s="2">
        <v>2</v>
      </c>
      <c r="X1452" s="2">
        <v>10</v>
      </c>
      <c r="Z1452" s="2">
        <v>29</v>
      </c>
      <c r="AA1452" s="3" t="s">
        <v>40</v>
      </c>
      <c r="AB1452" s="2">
        <v>1</v>
      </c>
      <c r="AC1452" s="3" t="s">
        <v>1513</v>
      </c>
      <c r="AF1452" s="2">
        <v>23</v>
      </c>
      <c r="AG1452" s="2">
        <v>2</v>
      </c>
      <c r="AH1452" s="3" t="s">
        <v>523</v>
      </c>
      <c r="AI1452" s="4">
        <v>44692</v>
      </c>
      <c r="AJ1452" s="3" t="s">
        <v>1542</v>
      </c>
      <c r="AK1452" s="3" t="s">
        <v>645</v>
      </c>
    </row>
    <row r="1453" spans="1:37" hidden="1" x14ac:dyDescent="0.25">
      <c r="A1453" t="str">
        <f t="shared" si="22"/>
        <v>2022_SA_Warnertown_Fababean_SatelliteTOS2VarietyAmberleyWaterTrtRainFedAgronomyDensity_0.66</v>
      </c>
      <c r="B1453" s="2">
        <v>2022014</v>
      </c>
      <c r="C1453" s="3" t="s">
        <v>1510</v>
      </c>
      <c r="D1453" s="3" t="s">
        <v>645</v>
      </c>
      <c r="F1453" s="3" t="s">
        <v>4185</v>
      </c>
      <c r="G1453" s="3" t="s">
        <v>39</v>
      </c>
      <c r="H1453" s="3" t="s">
        <v>253</v>
      </c>
      <c r="I1453" s="2">
        <v>30</v>
      </c>
      <c r="J1453" s="2">
        <v>30</v>
      </c>
      <c r="K1453" s="2">
        <v>3</v>
      </c>
      <c r="O1453" s="2">
        <v>5</v>
      </c>
      <c r="U1453" s="2">
        <v>3</v>
      </c>
      <c r="V1453" s="2">
        <v>15</v>
      </c>
      <c r="W1453" s="2">
        <v>3</v>
      </c>
      <c r="X1453" s="2">
        <v>10</v>
      </c>
      <c r="Z1453" s="2">
        <v>28</v>
      </c>
      <c r="AA1453" s="3" t="s">
        <v>40</v>
      </c>
      <c r="AB1453" s="2">
        <v>5</v>
      </c>
      <c r="AC1453" s="3" t="s">
        <v>1511</v>
      </c>
      <c r="AF1453" s="2">
        <v>23</v>
      </c>
      <c r="AG1453" s="2">
        <v>2</v>
      </c>
      <c r="AH1453" s="3" t="s">
        <v>523</v>
      </c>
      <c r="AI1453" s="4">
        <v>44692</v>
      </c>
      <c r="AJ1453" s="3" t="s">
        <v>1543</v>
      </c>
      <c r="AK1453" s="3" t="s">
        <v>645</v>
      </c>
    </row>
    <row r="1454" spans="1:37" hidden="1" x14ac:dyDescent="0.25">
      <c r="A1454" t="str">
        <f t="shared" si="22"/>
        <v>2022_SA_Warnertown_Fababean_SatelliteTOS1VarietyMarneWaterTrtRainFedAgronomyDensity_1</v>
      </c>
      <c r="B1454" s="2">
        <v>2022014</v>
      </c>
      <c r="C1454" s="3" t="s">
        <v>1510</v>
      </c>
      <c r="D1454" s="3" t="s">
        <v>645</v>
      </c>
      <c r="F1454" s="3" t="s">
        <v>4184</v>
      </c>
      <c r="G1454" s="3" t="s">
        <v>39</v>
      </c>
      <c r="H1454" s="3" t="s">
        <v>253</v>
      </c>
      <c r="I1454" s="2">
        <v>31</v>
      </c>
      <c r="J1454" s="2">
        <v>31</v>
      </c>
      <c r="K1454" s="2">
        <v>3</v>
      </c>
      <c r="O1454" s="2">
        <v>6</v>
      </c>
      <c r="U1454" s="2">
        <v>1</v>
      </c>
      <c r="V1454" s="2">
        <v>17</v>
      </c>
      <c r="W1454" s="2">
        <v>1</v>
      </c>
      <c r="X1454" s="2">
        <v>11</v>
      </c>
      <c r="Z1454" s="2">
        <v>31</v>
      </c>
      <c r="AA1454" s="3" t="s">
        <v>40</v>
      </c>
      <c r="AB1454" s="2">
        <v>2</v>
      </c>
      <c r="AC1454" s="3" t="s">
        <v>1513</v>
      </c>
      <c r="AF1454" s="2">
        <v>23</v>
      </c>
      <c r="AG1454" s="2">
        <v>1</v>
      </c>
      <c r="AH1454" s="3" t="s">
        <v>1519</v>
      </c>
      <c r="AI1454" s="4">
        <v>44662</v>
      </c>
      <c r="AJ1454" s="3" t="s">
        <v>1544</v>
      </c>
      <c r="AK1454" s="3" t="s">
        <v>645</v>
      </c>
    </row>
    <row r="1455" spans="1:37" hidden="1" x14ac:dyDescent="0.25">
      <c r="A1455" t="str">
        <f t="shared" si="22"/>
        <v>2022_SA_Warnertown_Fababean_SatelliteTOS1VarietyAmberleyWaterTrtRainFedAgronomyDensity_0.66</v>
      </c>
      <c r="B1455" s="2">
        <v>2022014</v>
      </c>
      <c r="C1455" s="3" t="s">
        <v>1510</v>
      </c>
      <c r="D1455" s="3" t="s">
        <v>645</v>
      </c>
      <c r="F1455" s="3" t="s">
        <v>4185</v>
      </c>
      <c r="G1455" s="3" t="s">
        <v>39</v>
      </c>
      <c r="H1455" s="3" t="s">
        <v>253</v>
      </c>
      <c r="I1455" s="2">
        <v>32</v>
      </c>
      <c r="J1455" s="2">
        <v>32</v>
      </c>
      <c r="K1455" s="2">
        <v>3</v>
      </c>
      <c r="O1455" s="2">
        <v>6</v>
      </c>
      <c r="U1455" s="2">
        <v>2</v>
      </c>
      <c r="V1455" s="2">
        <v>17</v>
      </c>
      <c r="W1455" s="2">
        <v>2</v>
      </c>
      <c r="X1455" s="2">
        <v>11</v>
      </c>
      <c r="Z1455" s="2">
        <v>32</v>
      </c>
      <c r="AA1455" s="3" t="s">
        <v>40</v>
      </c>
      <c r="AB1455" s="2">
        <v>5</v>
      </c>
      <c r="AC1455" s="3" t="s">
        <v>1511</v>
      </c>
      <c r="AF1455" s="2">
        <v>23</v>
      </c>
      <c r="AG1455" s="2">
        <v>1</v>
      </c>
      <c r="AH1455" s="3" t="s">
        <v>1519</v>
      </c>
      <c r="AI1455" s="4">
        <v>44662</v>
      </c>
      <c r="AJ1455" s="3" t="s">
        <v>1545</v>
      </c>
      <c r="AK1455" s="3" t="s">
        <v>645</v>
      </c>
    </row>
    <row r="1456" spans="1:37" hidden="1" x14ac:dyDescent="0.25">
      <c r="A1456" t="str">
        <f t="shared" si="22"/>
        <v>2022_SA_Warnertown_Fababean_SatelliteTOS1VarietyAmberleyWaterTrtRainFedAgronomyDensity_1</v>
      </c>
      <c r="B1456" s="2">
        <v>2022014</v>
      </c>
      <c r="C1456" s="3" t="s">
        <v>1510</v>
      </c>
      <c r="D1456" s="3" t="s">
        <v>645</v>
      </c>
      <c r="F1456" s="3" t="s">
        <v>4185</v>
      </c>
      <c r="G1456" s="3" t="s">
        <v>39</v>
      </c>
      <c r="H1456" s="3" t="s">
        <v>253</v>
      </c>
      <c r="I1456" s="2">
        <v>33</v>
      </c>
      <c r="J1456" s="2">
        <v>33</v>
      </c>
      <c r="K1456" s="2">
        <v>3</v>
      </c>
      <c r="O1456" s="2">
        <v>6</v>
      </c>
      <c r="U1456" s="2">
        <v>3</v>
      </c>
      <c r="V1456" s="2">
        <v>17</v>
      </c>
      <c r="W1456" s="2">
        <v>3</v>
      </c>
      <c r="X1456" s="2">
        <v>11</v>
      </c>
      <c r="Z1456" s="2">
        <v>33</v>
      </c>
      <c r="AA1456" s="3" t="s">
        <v>40</v>
      </c>
      <c r="AB1456" s="2">
        <v>1</v>
      </c>
      <c r="AC1456" s="3" t="s">
        <v>1513</v>
      </c>
      <c r="AF1456" s="2">
        <v>23</v>
      </c>
      <c r="AG1456" s="2">
        <v>1</v>
      </c>
      <c r="AH1456" s="3" t="s">
        <v>1519</v>
      </c>
      <c r="AI1456" s="4">
        <v>44662</v>
      </c>
      <c r="AJ1456" s="3" t="s">
        <v>1546</v>
      </c>
      <c r="AK1456" s="3" t="s">
        <v>645</v>
      </c>
    </row>
    <row r="1457" spans="1:37" hidden="1" x14ac:dyDescent="0.25">
      <c r="A1457" t="str">
        <f t="shared" si="22"/>
        <v>2022_SA_Warnertown_Fababean_SatelliteTOS1VarietyMarneWaterTrtRainFedAgronomyDensity_0.66</v>
      </c>
      <c r="B1457" s="2">
        <v>2022014</v>
      </c>
      <c r="C1457" s="3" t="s">
        <v>1510</v>
      </c>
      <c r="D1457" s="3" t="s">
        <v>645</v>
      </c>
      <c r="F1457" s="3" t="s">
        <v>4184</v>
      </c>
      <c r="G1457" s="3" t="s">
        <v>39</v>
      </c>
      <c r="H1457" s="3" t="s">
        <v>253</v>
      </c>
      <c r="I1457" s="2">
        <v>34</v>
      </c>
      <c r="J1457" s="2">
        <v>34</v>
      </c>
      <c r="K1457" s="2">
        <v>3</v>
      </c>
      <c r="O1457" s="2">
        <v>6</v>
      </c>
      <c r="U1457" s="2">
        <v>1</v>
      </c>
      <c r="V1457" s="2">
        <v>18</v>
      </c>
      <c r="W1457" s="2">
        <v>1</v>
      </c>
      <c r="X1457" s="2">
        <v>12</v>
      </c>
      <c r="Z1457" s="2">
        <v>36</v>
      </c>
      <c r="AA1457" s="3" t="s">
        <v>40</v>
      </c>
      <c r="AB1457" s="2">
        <v>6</v>
      </c>
      <c r="AC1457" s="3" t="s">
        <v>1511</v>
      </c>
      <c r="AF1457" s="2">
        <v>23</v>
      </c>
      <c r="AG1457" s="2">
        <v>1</v>
      </c>
      <c r="AH1457" s="3" t="s">
        <v>1519</v>
      </c>
      <c r="AI1457" s="4">
        <v>44662</v>
      </c>
      <c r="AJ1457" s="3" t="s">
        <v>1547</v>
      </c>
      <c r="AK1457" s="3" t="s">
        <v>645</v>
      </c>
    </row>
    <row r="1458" spans="1:37" hidden="1" x14ac:dyDescent="0.25">
      <c r="A1458" t="str">
        <f t="shared" si="22"/>
        <v>2022_SA_Warnertown_Fababean_SatelliteTOS1VarietySamiraWaterTrtRainFedAgronomyDensity_1</v>
      </c>
      <c r="B1458" s="2">
        <v>2022014</v>
      </c>
      <c r="C1458" s="3" t="s">
        <v>1510</v>
      </c>
      <c r="D1458" s="3" t="s">
        <v>645</v>
      </c>
      <c r="F1458" s="3" t="s">
        <v>4183</v>
      </c>
      <c r="G1458" s="3" t="s">
        <v>43</v>
      </c>
      <c r="H1458" s="3" t="s">
        <v>253</v>
      </c>
      <c r="I1458" s="2">
        <v>35</v>
      </c>
      <c r="J1458" s="2">
        <v>35</v>
      </c>
      <c r="K1458" s="2">
        <v>3</v>
      </c>
      <c r="O1458" s="2">
        <v>6</v>
      </c>
      <c r="U1458" s="2">
        <v>2</v>
      </c>
      <c r="V1458" s="2">
        <v>18</v>
      </c>
      <c r="W1458" s="2">
        <v>2</v>
      </c>
      <c r="X1458" s="2">
        <v>12</v>
      </c>
      <c r="Z1458" s="2">
        <v>35</v>
      </c>
      <c r="AA1458" s="3" t="s">
        <v>40</v>
      </c>
      <c r="AB1458" s="2">
        <v>4</v>
      </c>
      <c r="AC1458" s="3" t="s">
        <v>1513</v>
      </c>
      <c r="AF1458" s="2">
        <v>23</v>
      </c>
      <c r="AG1458" s="2">
        <v>1</v>
      </c>
      <c r="AH1458" s="3" t="s">
        <v>1519</v>
      </c>
      <c r="AI1458" s="4">
        <v>44662</v>
      </c>
      <c r="AJ1458" s="3" t="s">
        <v>1548</v>
      </c>
      <c r="AK1458" s="3" t="s">
        <v>645</v>
      </c>
    </row>
    <row r="1459" spans="1:37" hidden="1" x14ac:dyDescent="0.25">
      <c r="A1459" t="str">
        <f t="shared" si="22"/>
        <v>2022_SA_Warnertown_Fababean_SatelliteTOS1VarietyNasmaWaterTrtRainFedAgronomyDensity_1</v>
      </c>
      <c r="B1459" s="2">
        <v>2022014</v>
      </c>
      <c r="C1459" s="3" t="s">
        <v>1510</v>
      </c>
      <c r="D1459" s="3" t="s">
        <v>645</v>
      </c>
      <c r="F1459" s="3" t="s">
        <v>4186</v>
      </c>
      <c r="G1459" s="3" t="s">
        <v>43</v>
      </c>
      <c r="H1459" s="3" t="s">
        <v>253</v>
      </c>
      <c r="I1459" s="2">
        <v>36</v>
      </c>
      <c r="J1459" s="2">
        <v>36</v>
      </c>
      <c r="K1459" s="2">
        <v>3</v>
      </c>
      <c r="O1459" s="2">
        <v>6</v>
      </c>
      <c r="U1459" s="2">
        <v>3</v>
      </c>
      <c r="V1459" s="2">
        <v>18</v>
      </c>
      <c r="W1459" s="2">
        <v>3</v>
      </c>
      <c r="X1459" s="2">
        <v>12</v>
      </c>
      <c r="Z1459" s="2">
        <v>34</v>
      </c>
      <c r="AA1459" s="3" t="s">
        <v>40</v>
      </c>
      <c r="AB1459" s="2">
        <v>3</v>
      </c>
      <c r="AC1459" s="3" t="s">
        <v>1513</v>
      </c>
      <c r="AF1459" s="2">
        <v>23</v>
      </c>
      <c r="AG1459" s="2">
        <v>1</v>
      </c>
      <c r="AH1459" s="3" t="s">
        <v>1519</v>
      </c>
      <c r="AI1459" s="4">
        <v>44662</v>
      </c>
      <c r="AJ1459" s="3" t="s">
        <v>1549</v>
      </c>
      <c r="AK1459" s="3" t="s">
        <v>645</v>
      </c>
    </row>
    <row r="1460" spans="1:37" hidden="1" x14ac:dyDescent="0.25">
      <c r="A1460" t="str">
        <f t="shared" si="22"/>
        <v>2022_SA_Warnertown_Fababean_SatelliteTOS1VarietyMarneWaterTrtRainFedAgronomyDensity_0.66</v>
      </c>
      <c r="B1460" s="2">
        <v>2022014</v>
      </c>
      <c r="C1460" s="3" t="s">
        <v>1510</v>
      </c>
      <c r="D1460" s="3" t="s">
        <v>645</v>
      </c>
      <c r="F1460" s="3" t="s">
        <v>4184</v>
      </c>
      <c r="G1460" s="3" t="s">
        <v>39</v>
      </c>
      <c r="H1460" s="3" t="s">
        <v>253</v>
      </c>
      <c r="I1460" s="2">
        <v>37</v>
      </c>
      <c r="J1460" s="2">
        <v>37</v>
      </c>
      <c r="K1460" s="2">
        <v>4</v>
      </c>
      <c r="O1460" s="2">
        <v>7</v>
      </c>
      <c r="U1460" s="2">
        <v>1</v>
      </c>
      <c r="V1460" s="2">
        <v>20</v>
      </c>
      <c r="W1460" s="2">
        <v>1</v>
      </c>
      <c r="X1460" s="2">
        <v>13</v>
      </c>
      <c r="Z1460" s="2">
        <v>37</v>
      </c>
      <c r="AA1460" s="3" t="s">
        <v>40</v>
      </c>
      <c r="AB1460" s="2">
        <v>6</v>
      </c>
      <c r="AC1460" s="3" t="s">
        <v>1511</v>
      </c>
      <c r="AF1460" s="2">
        <v>23</v>
      </c>
      <c r="AG1460" s="2">
        <v>1</v>
      </c>
      <c r="AH1460" s="3" t="s">
        <v>1519</v>
      </c>
      <c r="AI1460" s="4">
        <v>44662</v>
      </c>
      <c r="AJ1460" s="3" t="s">
        <v>1550</v>
      </c>
      <c r="AK1460" s="3" t="s">
        <v>645</v>
      </c>
    </row>
    <row r="1461" spans="1:37" hidden="1" x14ac:dyDescent="0.25">
      <c r="A1461" t="str">
        <f t="shared" si="22"/>
        <v>2022_SA_Warnertown_Fababean_SatelliteTOS1VarietyAmberleyWaterTrtRainFedAgronomyDensity_0.66</v>
      </c>
      <c r="B1461" s="2">
        <v>2022014</v>
      </c>
      <c r="C1461" s="3" t="s">
        <v>1510</v>
      </c>
      <c r="D1461" s="3" t="s">
        <v>645</v>
      </c>
      <c r="F1461" s="3" t="s">
        <v>4185</v>
      </c>
      <c r="G1461" s="3" t="s">
        <v>39</v>
      </c>
      <c r="H1461" s="3" t="s">
        <v>253</v>
      </c>
      <c r="I1461" s="2">
        <v>38</v>
      </c>
      <c r="J1461" s="2">
        <v>38</v>
      </c>
      <c r="K1461" s="2">
        <v>4</v>
      </c>
      <c r="O1461" s="2">
        <v>7</v>
      </c>
      <c r="U1461" s="2">
        <v>2</v>
      </c>
      <c r="V1461" s="2">
        <v>20</v>
      </c>
      <c r="W1461" s="2">
        <v>2</v>
      </c>
      <c r="X1461" s="2">
        <v>13</v>
      </c>
      <c r="Z1461" s="2">
        <v>38</v>
      </c>
      <c r="AA1461" s="3" t="s">
        <v>40</v>
      </c>
      <c r="AB1461" s="2">
        <v>5</v>
      </c>
      <c r="AC1461" s="3" t="s">
        <v>1511</v>
      </c>
      <c r="AF1461" s="2">
        <v>23</v>
      </c>
      <c r="AG1461" s="2">
        <v>1</v>
      </c>
      <c r="AH1461" s="3" t="s">
        <v>1519</v>
      </c>
      <c r="AI1461" s="4">
        <v>44662</v>
      </c>
      <c r="AJ1461" s="3" t="s">
        <v>1551</v>
      </c>
      <c r="AK1461" s="3" t="s">
        <v>645</v>
      </c>
    </row>
    <row r="1462" spans="1:37" hidden="1" x14ac:dyDescent="0.25">
      <c r="A1462" t="str">
        <f t="shared" si="22"/>
        <v>2022_SA_Warnertown_Fababean_SatelliteTOS1VarietyNasmaWaterTrtRainFedAgronomyDensity_1</v>
      </c>
      <c r="B1462" s="2">
        <v>2022014</v>
      </c>
      <c r="C1462" s="3" t="s">
        <v>1510</v>
      </c>
      <c r="D1462" s="3" t="s">
        <v>645</v>
      </c>
      <c r="F1462" s="3" t="s">
        <v>4186</v>
      </c>
      <c r="G1462" s="3" t="s">
        <v>43</v>
      </c>
      <c r="H1462" s="3" t="s">
        <v>253</v>
      </c>
      <c r="I1462" s="2">
        <v>39</v>
      </c>
      <c r="J1462" s="2">
        <v>39</v>
      </c>
      <c r="K1462" s="2">
        <v>4</v>
      </c>
      <c r="O1462" s="2">
        <v>7</v>
      </c>
      <c r="U1462" s="2">
        <v>3</v>
      </c>
      <c r="V1462" s="2">
        <v>20</v>
      </c>
      <c r="W1462" s="2">
        <v>3</v>
      </c>
      <c r="X1462" s="2">
        <v>13</v>
      </c>
      <c r="Z1462" s="2">
        <v>39</v>
      </c>
      <c r="AA1462" s="3" t="s">
        <v>40</v>
      </c>
      <c r="AB1462" s="2">
        <v>3</v>
      </c>
      <c r="AC1462" s="3" t="s">
        <v>1513</v>
      </c>
      <c r="AF1462" s="2">
        <v>23</v>
      </c>
      <c r="AG1462" s="2">
        <v>1</v>
      </c>
      <c r="AH1462" s="3" t="s">
        <v>1519</v>
      </c>
      <c r="AI1462" s="4">
        <v>44662</v>
      </c>
      <c r="AJ1462" s="3" t="s">
        <v>1552</v>
      </c>
      <c r="AK1462" s="3" t="s">
        <v>645</v>
      </c>
    </row>
    <row r="1463" spans="1:37" hidden="1" x14ac:dyDescent="0.25">
      <c r="A1463" t="str">
        <f t="shared" si="22"/>
        <v>2022_SA_Warnertown_Fababean_SatelliteTOS1VarietySamiraWaterTrtRainFedAgronomyDensity_1</v>
      </c>
      <c r="B1463" s="2">
        <v>2022014</v>
      </c>
      <c r="C1463" s="3" t="s">
        <v>1510</v>
      </c>
      <c r="D1463" s="3" t="s">
        <v>645</v>
      </c>
      <c r="F1463" s="3" t="s">
        <v>4183</v>
      </c>
      <c r="G1463" s="3" t="s">
        <v>43</v>
      </c>
      <c r="H1463" s="3" t="s">
        <v>253</v>
      </c>
      <c r="I1463" s="2">
        <v>40</v>
      </c>
      <c r="J1463" s="2">
        <v>40</v>
      </c>
      <c r="K1463" s="2">
        <v>4</v>
      </c>
      <c r="O1463" s="2">
        <v>7</v>
      </c>
      <c r="U1463" s="2">
        <v>1</v>
      </c>
      <c r="V1463" s="2">
        <v>21</v>
      </c>
      <c r="W1463" s="2">
        <v>1</v>
      </c>
      <c r="X1463" s="2">
        <v>14</v>
      </c>
      <c r="Z1463" s="2">
        <v>42</v>
      </c>
      <c r="AA1463" s="3" t="s">
        <v>40</v>
      </c>
      <c r="AB1463" s="2">
        <v>4</v>
      </c>
      <c r="AC1463" s="3" t="s">
        <v>1513</v>
      </c>
      <c r="AF1463" s="2">
        <v>23</v>
      </c>
      <c r="AG1463" s="2">
        <v>1</v>
      </c>
      <c r="AH1463" s="3" t="s">
        <v>1519</v>
      </c>
      <c r="AI1463" s="4">
        <v>44662</v>
      </c>
      <c r="AJ1463" s="3" t="s">
        <v>1553</v>
      </c>
      <c r="AK1463" s="3" t="s">
        <v>645</v>
      </c>
    </row>
    <row r="1464" spans="1:37" hidden="1" x14ac:dyDescent="0.25">
      <c r="A1464" t="str">
        <f t="shared" si="22"/>
        <v>2022_SA_Warnertown_Fababean_SatelliteTOS1VarietyAmberleyWaterTrtRainFedAgronomyDensity_1</v>
      </c>
      <c r="B1464" s="2">
        <v>2022014</v>
      </c>
      <c r="C1464" s="3" t="s">
        <v>1510</v>
      </c>
      <c r="D1464" s="3" t="s">
        <v>645</v>
      </c>
      <c r="F1464" s="3" t="s">
        <v>4185</v>
      </c>
      <c r="G1464" s="3" t="s">
        <v>39</v>
      </c>
      <c r="H1464" s="3" t="s">
        <v>253</v>
      </c>
      <c r="I1464" s="2">
        <v>41</v>
      </c>
      <c r="J1464" s="2">
        <v>41</v>
      </c>
      <c r="K1464" s="2">
        <v>4</v>
      </c>
      <c r="O1464" s="2">
        <v>7</v>
      </c>
      <c r="U1464" s="2">
        <v>2</v>
      </c>
      <c r="V1464" s="2">
        <v>21</v>
      </c>
      <c r="W1464" s="2">
        <v>2</v>
      </c>
      <c r="X1464" s="2">
        <v>14</v>
      </c>
      <c r="Z1464" s="2">
        <v>41</v>
      </c>
      <c r="AA1464" s="3" t="s">
        <v>40</v>
      </c>
      <c r="AB1464" s="2">
        <v>1</v>
      </c>
      <c r="AC1464" s="3" t="s">
        <v>1513</v>
      </c>
      <c r="AF1464" s="2">
        <v>23</v>
      </c>
      <c r="AG1464" s="2">
        <v>1</v>
      </c>
      <c r="AH1464" s="3" t="s">
        <v>1519</v>
      </c>
      <c r="AI1464" s="4">
        <v>44662</v>
      </c>
      <c r="AJ1464" s="3" t="s">
        <v>1554</v>
      </c>
      <c r="AK1464" s="3" t="s">
        <v>645</v>
      </c>
    </row>
    <row r="1465" spans="1:37" hidden="1" x14ac:dyDescent="0.25">
      <c r="A1465" t="str">
        <f t="shared" si="22"/>
        <v>2022_SA_Warnertown_Fababean_SatelliteTOS1VarietyMarneWaterTrtRainFedAgronomyDensity_1</v>
      </c>
      <c r="B1465" s="2">
        <v>2022014</v>
      </c>
      <c r="C1465" s="3" t="s">
        <v>1510</v>
      </c>
      <c r="D1465" s="3" t="s">
        <v>645</v>
      </c>
      <c r="F1465" s="3" t="s">
        <v>4184</v>
      </c>
      <c r="G1465" s="3" t="s">
        <v>39</v>
      </c>
      <c r="H1465" s="3" t="s">
        <v>253</v>
      </c>
      <c r="I1465" s="2">
        <v>42</v>
      </c>
      <c r="J1465" s="2">
        <v>42</v>
      </c>
      <c r="K1465" s="2">
        <v>4</v>
      </c>
      <c r="O1465" s="2">
        <v>7</v>
      </c>
      <c r="U1465" s="2">
        <v>3</v>
      </c>
      <c r="V1465" s="2">
        <v>21</v>
      </c>
      <c r="W1465" s="2">
        <v>3</v>
      </c>
      <c r="X1465" s="2">
        <v>14</v>
      </c>
      <c r="Z1465" s="2">
        <v>40</v>
      </c>
      <c r="AA1465" s="3" t="s">
        <v>40</v>
      </c>
      <c r="AB1465" s="2">
        <v>2</v>
      </c>
      <c r="AC1465" s="3" t="s">
        <v>1513</v>
      </c>
      <c r="AF1465" s="2">
        <v>23</v>
      </c>
      <c r="AG1465" s="2">
        <v>1</v>
      </c>
      <c r="AH1465" s="3" t="s">
        <v>1519</v>
      </c>
      <c r="AI1465" s="4">
        <v>44662</v>
      </c>
      <c r="AJ1465" s="3" t="s">
        <v>1555</v>
      </c>
      <c r="AK1465" s="3" t="s">
        <v>645</v>
      </c>
    </row>
    <row r="1466" spans="1:37" hidden="1" x14ac:dyDescent="0.25">
      <c r="A1466" t="str">
        <f t="shared" si="22"/>
        <v>2022_SA_Warnertown_Fababean_SatelliteTOS2VarietyAmberleyWaterTrtRainFedAgronomyDensity_1</v>
      </c>
      <c r="B1466" s="2">
        <v>2022014</v>
      </c>
      <c r="C1466" s="3" t="s">
        <v>1510</v>
      </c>
      <c r="D1466" s="3" t="s">
        <v>645</v>
      </c>
      <c r="F1466" s="3" t="s">
        <v>4185</v>
      </c>
      <c r="G1466" s="3" t="s">
        <v>39</v>
      </c>
      <c r="H1466" s="3" t="s">
        <v>253</v>
      </c>
      <c r="I1466" s="2">
        <v>43</v>
      </c>
      <c r="J1466" s="2">
        <v>43</v>
      </c>
      <c r="K1466" s="2">
        <v>4</v>
      </c>
      <c r="O1466" s="2">
        <v>8</v>
      </c>
      <c r="U1466" s="2">
        <v>1</v>
      </c>
      <c r="V1466" s="2">
        <v>23</v>
      </c>
      <c r="W1466" s="2">
        <v>1</v>
      </c>
      <c r="X1466" s="2">
        <v>15</v>
      </c>
      <c r="Z1466" s="2">
        <v>43</v>
      </c>
      <c r="AA1466" s="3" t="s">
        <v>40</v>
      </c>
      <c r="AB1466" s="2">
        <v>1</v>
      </c>
      <c r="AC1466" s="3" t="s">
        <v>1513</v>
      </c>
      <c r="AF1466" s="2">
        <v>23</v>
      </c>
      <c r="AG1466" s="2">
        <v>2</v>
      </c>
      <c r="AH1466" s="3" t="s">
        <v>523</v>
      </c>
      <c r="AI1466" s="4">
        <v>44692</v>
      </c>
      <c r="AJ1466" s="3" t="s">
        <v>1556</v>
      </c>
      <c r="AK1466" s="3" t="s">
        <v>645</v>
      </c>
    </row>
    <row r="1467" spans="1:37" hidden="1" x14ac:dyDescent="0.25">
      <c r="A1467" t="str">
        <f t="shared" si="22"/>
        <v>2022_SA_Warnertown_Fababean_SatelliteTOS2VarietyNasmaWaterTrtRainFedAgronomyDensity_1</v>
      </c>
      <c r="B1467" s="2">
        <v>2022014</v>
      </c>
      <c r="C1467" s="3" t="s">
        <v>1510</v>
      </c>
      <c r="D1467" s="3" t="s">
        <v>645</v>
      </c>
      <c r="F1467" s="3" t="s">
        <v>4186</v>
      </c>
      <c r="G1467" s="3" t="s">
        <v>43</v>
      </c>
      <c r="H1467" s="3" t="s">
        <v>253</v>
      </c>
      <c r="I1467" s="2">
        <v>44</v>
      </c>
      <c r="J1467" s="2">
        <v>44</v>
      </c>
      <c r="K1467" s="2">
        <v>4</v>
      </c>
      <c r="O1467" s="2">
        <v>8</v>
      </c>
      <c r="U1467" s="2">
        <v>2</v>
      </c>
      <c r="V1467" s="2">
        <v>23</v>
      </c>
      <c r="W1467" s="2">
        <v>2</v>
      </c>
      <c r="X1467" s="2">
        <v>15</v>
      </c>
      <c r="Z1467" s="2">
        <v>44</v>
      </c>
      <c r="AA1467" s="3" t="s">
        <v>40</v>
      </c>
      <c r="AB1467" s="2">
        <v>3</v>
      </c>
      <c r="AC1467" s="3" t="s">
        <v>1513</v>
      </c>
      <c r="AF1467" s="2">
        <v>23</v>
      </c>
      <c r="AG1467" s="2">
        <v>2</v>
      </c>
      <c r="AH1467" s="3" t="s">
        <v>523</v>
      </c>
      <c r="AI1467" s="4">
        <v>44692</v>
      </c>
      <c r="AJ1467" s="3" t="s">
        <v>1557</v>
      </c>
      <c r="AK1467" s="3" t="s">
        <v>645</v>
      </c>
    </row>
    <row r="1468" spans="1:37" hidden="1" x14ac:dyDescent="0.25">
      <c r="A1468" t="str">
        <f t="shared" si="22"/>
        <v>2022_SA_Warnertown_Fababean_SatelliteTOS2VarietyMarneWaterTrtRainFedAgronomyDensity_0.66</v>
      </c>
      <c r="B1468" s="2">
        <v>2022014</v>
      </c>
      <c r="C1468" s="3" t="s">
        <v>1510</v>
      </c>
      <c r="D1468" s="3" t="s">
        <v>645</v>
      </c>
      <c r="F1468" s="3" t="s">
        <v>4184</v>
      </c>
      <c r="G1468" s="3" t="s">
        <v>39</v>
      </c>
      <c r="H1468" s="3" t="s">
        <v>253</v>
      </c>
      <c r="I1468" s="2">
        <v>45</v>
      </c>
      <c r="J1468" s="2">
        <v>45</v>
      </c>
      <c r="K1468" s="2">
        <v>4</v>
      </c>
      <c r="O1468" s="2">
        <v>8</v>
      </c>
      <c r="U1468" s="2">
        <v>3</v>
      </c>
      <c r="V1468" s="2">
        <v>23</v>
      </c>
      <c r="W1468" s="2">
        <v>3</v>
      </c>
      <c r="X1468" s="2">
        <v>15</v>
      </c>
      <c r="Z1468" s="2">
        <v>45</v>
      </c>
      <c r="AA1468" s="3" t="s">
        <v>40</v>
      </c>
      <c r="AB1468" s="2">
        <v>6</v>
      </c>
      <c r="AC1468" s="3" t="s">
        <v>1511</v>
      </c>
      <c r="AF1468" s="2">
        <v>23</v>
      </c>
      <c r="AG1468" s="2">
        <v>2</v>
      </c>
      <c r="AH1468" s="3" t="s">
        <v>523</v>
      </c>
      <c r="AI1468" s="4">
        <v>44692</v>
      </c>
      <c r="AJ1468" s="3" t="s">
        <v>1558</v>
      </c>
      <c r="AK1468" s="3" t="s">
        <v>645</v>
      </c>
    </row>
    <row r="1469" spans="1:37" hidden="1" x14ac:dyDescent="0.25">
      <c r="A1469" t="str">
        <f t="shared" si="22"/>
        <v>2022_SA_Warnertown_Fababean_SatelliteTOS2VarietyAmberleyWaterTrtRainFedAgronomyDensity_0.66</v>
      </c>
      <c r="B1469" s="2">
        <v>2022014</v>
      </c>
      <c r="C1469" s="3" t="s">
        <v>1510</v>
      </c>
      <c r="D1469" s="3" t="s">
        <v>645</v>
      </c>
      <c r="F1469" s="3" t="s">
        <v>4185</v>
      </c>
      <c r="G1469" s="3" t="s">
        <v>39</v>
      </c>
      <c r="H1469" s="3" t="s">
        <v>253</v>
      </c>
      <c r="I1469" s="2">
        <v>46</v>
      </c>
      <c r="J1469" s="2">
        <v>46</v>
      </c>
      <c r="K1469" s="2">
        <v>4</v>
      </c>
      <c r="O1469" s="2">
        <v>8</v>
      </c>
      <c r="U1469" s="2">
        <v>1</v>
      </c>
      <c r="V1469" s="2">
        <v>24</v>
      </c>
      <c r="W1469" s="2">
        <v>1</v>
      </c>
      <c r="X1469" s="2">
        <v>16</v>
      </c>
      <c r="Z1469" s="2">
        <v>48</v>
      </c>
      <c r="AA1469" s="3" t="s">
        <v>40</v>
      </c>
      <c r="AB1469" s="2">
        <v>5</v>
      </c>
      <c r="AC1469" s="3" t="s">
        <v>1511</v>
      </c>
      <c r="AF1469" s="2">
        <v>23</v>
      </c>
      <c r="AG1469" s="2">
        <v>2</v>
      </c>
      <c r="AH1469" s="3" t="s">
        <v>523</v>
      </c>
      <c r="AI1469" s="4">
        <v>44692</v>
      </c>
      <c r="AJ1469" s="3" t="s">
        <v>1559</v>
      </c>
      <c r="AK1469" s="3" t="s">
        <v>645</v>
      </c>
    </row>
    <row r="1470" spans="1:37" hidden="1" x14ac:dyDescent="0.25">
      <c r="A1470" t="str">
        <f t="shared" si="22"/>
        <v>2022_SA_Warnertown_Fababean_SatelliteTOS2VarietySamiraWaterTrtRainFedAgronomyDensity_1</v>
      </c>
      <c r="B1470" s="2">
        <v>2022014</v>
      </c>
      <c r="C1470" s="3" t="s">
        <v>1510</v>
      </c>
      <c r="D1470" s="3" t="s">
        <v>645</v>
      </c>
      <c r="F1470" s="3" t="s">
        <v>4183</v>
      </c>
      <c r="G1470" s="3" t="s">
        <v>43</v>
      </c>
      <c r="H1470" s="3" t="s">
        <v>253</v>
      </c>
      <c r="I1470" s="2">
        <v>47</v>
      </c>
      <c r="J1470" s="2">
        <v>47</v>
      </c>
      <c r="K1470" s="2">
        <v>4</v>
      </c>
      <c r="O1470" s="2">
        <v>8</v>
      </c>
      <c r="U1470" s="2">
        <v>2</v>
      </c>
      <c r="V1470" s="2">
        <v>24</v>
      </c>
      <c r="W1470" s="2">
        <v>2</v>
      </c>
      <c r="X1470" s="2">
        <v>16</v>
      </c>
      <c r="Z1470" s="2">
        <v>47</v>
      </c>
      <c r="AA1470" s="3" t="s">
        <v>40</v>
      </c>
      <c r="AB1470" s="2">
        <v>4</v>
      </c>
      <c r="AC1470" s="3" t="s">
        <v>1513</v>
      </c>
      <c r="AF1470" s="2">
        <v>23</v>
      </c>
      <c r="AG1470" s="2">
        <v>2</v>
      </c>
      <c r="AH1470" s="3" t="s">
        <v>523</v>
      </c>
      <c r="AI1470" s="4">
        <v>44692</v>
      </c>
      <c r="AJ1470" s="3" t="s">
        <v>1560</v>
      </c>
      <c r="AK1470" s="3" t="s">
        <v>645</v>
      </c>
    </row>
    <row r="1471" spans="1:37" hidden="1" x14ac:dyDescent="0.25">
      <c r="A1471" t="str">
        <f t="shared" si="22"/>
        <v>2022_SA_Warnertown_Fababean_SatelliteTOS2VarietyMarneWaterTrtRainFedAgronomyDensity_1</v>
      </c>
      <c r="B1471" s="2">
        <v>2022014</v>
      </c>
      <c r="C1471" s="3" t="s">
        <v>1510</v>
      </c>
      <c r="D1471" s="3" t="s">
        <v>645</v>
      </c>
      <c r="F1471" s="3" t="s">
        <v>4184</v>
      </c>
      <c r="G1471" s="3" t="s">
        <v>39</v>
      </c>
      <c r="H1471" s="3" t="s">
        <v>253</v>
      </c>
      <c r="I1471" s="2">
        <v>48</v>
      </c>
      <c r="J1471" s="2">
        <v>48</v>
      </c>
      <c r="K1471" s="2">
        <v>4</v>
      </c>
      <c r="O1471" s="2">
        <v>8</v>
      </c>
      <c r="U1471" s="2">
        <v>3</v>
      </c>
      <c r="V1471" s="2">
        <v>24</v>
      </c>
      <c r="W1471" s="2">
        <v>3</v>
      </c>
      <c r="X1471" s="2">
        <v>16</v>
      </c>
      <c r="Z1471" s="2">
        <v>46</v>
      </c>
      <c r="AA1471" s="3" t="s">
        <v>40</v>
      </c>
      <c r="AB1471" s="2">
        <v>2</v>
      </c>
      <c r="AC1471" s="3" t="s">
        <v>1513</v>
      </c>
      <c r="AF1471" s="2">
        <v>23</v>
      </c>
      <c r="AG1471" s="2">
        <v>2</v>
      </c>
      <c r="AH1471" s="3" t="s">
        <v>523</v>
      </c>
      <c r="AI1471" s="4">
        <v>44692</v>
      </c>
      <c r="AJ1471" s="3" t="s">
        <v>1561</v>
      </c>
      <c r="AK1471" s="3" t="s">
        <v>645</v>
      </c>
    </row>
    <row r="1472" spans="1:37" hidden="1" x14ac:dyDescent="0.25">
      <c r="A1472" t="str">
        <f t="shared" si="22"/>
        <v>2022_NSW_Methul_Lentil_SatelliteTOS2VarietyHallmarkXTWaterTrtRainFed</v>
      </c>
      <c r="B1472" s="2">
        <v>2022015</v>
      </c>
      <c r="C1472" s="3" t="s">
        <v>1562</v>
      </c>
      <c r="D1472" s="3" t="s">
        <v>38</v>
      </c>
      <c r="F1472" s="3" t="s">
        <v>4189</v>
      </c>
      <c r="G1472" s="3" t="s">
        <v>39</v>
      </c>
      <c r="H1472" s="3" t="s">
        <v>253</v>
      </c>
      <c r="I1472" s="2">
        <v>1</v>
      </c>
      <c r="J1472" s="2">
        <v>1</v>
      </c>
      <c r="K1472" s="2">
        <v>1</v>
      </c>
      <c r="O1472" s="2">
        <v>1</v>
      </c>
      <c r="U1472" s="2">
        <v>1</v>
      </c>
      <c r="V1472" s="2">
        <v>2</v>
      </c>
      <c r="W1472" s="2">
        <v>1</v>
      </c>
      <c r="X1472" s="2">
        <v>1</v>
      </c>
      <c r="Z1472" s="2">
        <v>1</v>
      </c>
      <c r="AA1472" s="3" t="s">
        <v>40</v>
      </c>
      <c r="AB1472" s="2">
        <v>4</v>
      </c>
      <c r="AF1472" s="2">
        <v>30</v>
      </c>
      <c r="AG1472" s="2">
        <v>2</v>
      </c>
      <c r="AH1472" s="3" t="s">
        <v>1563</v>
      </c>
      <c r="AI1472" s="4">
        <v>44726</v>
      </c>
      <c r="AJ1472" s="3" t="s">
        <v>1564</v>
      </c>
      <c r="AK1472" s="3" t="s">
        <v>38</v>
      </c>
    </row>
    <row r="1473" spans="1:37" hidden="1" x14ac:dyDescent="0.25">
      <c r="A1473" t="str">
        <f t="shared" si="22"/>
        <v>2022_NSW_Methul_Lentil_SatelliteTOS2VarietyKelpieXTWaterTrtRainFed</v>
      </c>
      <c r="B1473" s="2">
        <v>2022015</v>
      </c>
      <c r="C1473" s="3" t="s">
        <v>1562</v>
      </c>
      <c r="D1473" s="3" t="s">
        <v>38</v>
      </c>
      <c r="F1473" s="3" t="s">
        <v>4188</v>
      </c>
      <c r="G1473" s="3" t="s">
        <v>43</v>
      </c>
      <c r="H1473" s="3" t="s">
        <v>253</v>
      </c>
      <c r="I1473" s="2">
        <v>2</v>
      </c>
      <c r="J1473" s="2">
        <v>2</v>
      </c>
      <c r="K1473" s="2">
        <v>1</v>
      </c>
      <c r="O1473" s="2">
        <v>1</v>
      </c>
      <c r="U1473" s="2">
        <v>2</v>
      </c>
      <c r="V1473" s="2">
        <v>2</v>
      </c>
      <c r="W1473" s="2">
        <v>2</v>
      </c>
      <c r="X1473" s="2">
        <v>1</v>
      </c>
      <c r="Z1473" s="2">
        <v>2</v>
      </c>
      <c r="AA1473" s="3" t="s">
        <v>40</v>
      </c>
      <c r="AB1473" s="2">
        <v>6</v>
      </c>
      <c r="AF1473" s="2">
        <v>30</v>
      </c>
      <c r="AG1473" s="2">
        <v>2</v>
      </c>
      <c r="AH1473" s="3" t="s">
        <v>1563</v>
      </c>
      <c r="AI1473" s="4">
        <v>44726</v>
      </c>
      <c r="AJ1473" s="3" t="s">
        <v>1565</v>
      </c>
      <c r="AK1473" s="3" t="s">
        <v>38</v>
      </c>
    </row>
    <row r="1474" spans="1:37" hidden="1" x14ac:dyDescent="0.25">
      <c r="A1474" t="str">
        <f t="shared" si="22"/>
        <v>2022_NSW_Methul_Lentil_SatelliteTOS2VarietyGreenfieldWaterTrtRainFed</v>
      </c>
      <c r="B1474" s="2">
        <v>2022015</v>
      </c>
      <c r="C1474" s="3" t="s">
        <v>1562</v>
      </c>
      <c r="D1474" s="3" t="s">
        <v>38</v>
      </c>
      <c r="F1474" s="3" t="s">
        <v>4192</v>
      </c>
      <c r="G1474" s="3" t="s">
        <v>39</v>
      </c>
      <c r="H1474" s="3" t="s">
        <v>253</v>
      </c>
      <c r="I1474" s="2">
        <v>3</v>
      </c>
      <c r="J1474" s="2">
        <v>3</v>
      </c>
      <c r="K1474" s="2">
        <v>1</v>
      </c>
      <c r="O1474" s="2">
        <v>1</v>
      </c>
      <c r="U1474" s="2">
        <v>3</v>
      </c>
      <c r="V1474" s="2">
        <v>2</v>
      </c>
      <c r="W1474" s="2">
        <v>3</v>
      </c>
      <c r="X1474" s="2">
        <v>1</v>
      </c>
      <c r="Z1474" s="2">
        <v>3</v>
      </c>
      <c r="AA1474" s="3" t="s">
        <v>40</v>
      </c>
      <c r="AB1474" s="2">
        <v>3</v>
      </c>
      <c r="AF1474" s="2">
        <v>30</v>
      </c>
      <c r="AG1474" s="2">
        <v>2</v>
      </c>
      <c r="AH1474" s="3" t="s">
        <v>1563</v>
      </c>
      <c r="AI1474" s="4">
        <v>44726</v>
      </c>
      <c r="AJ1474" s="3" t="s">
        <v>1566</v>
      </c>
      <c r="AK1474" s="3" t="s">
        <v>38</v>
      </c>
    </row>
    <row r="1475" spans="1:37" hidden="1" x14ac:dyDescent="0.25">
      <c r="A1475" t="str">
        <f t="shared" ref="A1475:A1538" si="23">C1475&amp;"TOS"&amp;AG1475&amp;"Variety"&amp;F1475&amp;"WaterTrt"&amp;AA1475&amp;IF(AC1475="","","Agronomy"&amp;AC1475)</f>
        <v>2022_NSW_Methul_Lentil_SatelliteTOS2VarietyBoltWaterTrtRainFed</v>
      </c>
      <c r="B1475" s="2">
        <v>2022015</v>
      </c>
      <c r="C1475" s="3" t="s">
        <v>1562</v>
      </c>
      <c r="D1475" s="3" t="s">
        <v>38</v>
      </c>
      <c r="F1475" s="3" t="s">
        <v>4187</v>
      </c>
      <c r="G1475" s="3" t="s">
        <v>39</v>
      </c>
      <c r="H1475" s="3" t="s">
        <v>253</v>
      </c>
      <c r="I1475" s="2">
        <v>4</v>
      </c>
      <c r="J1475" s="2">
        <v>4</v>
      </c>
      <c r="K1475" s="2">
        <v>1</v>
      </c>
      <c r="O1475" s="2">
        <v>1</v>
      </c>
      <c r="U1475" s="2">
        <v>4</v>
      </c>
      <c r="V1475" s="2">
        <v>2</v>
      </c>
      <c r="W1475" s="2">
        <v>4</v>
      </c>
      <c r="X1475" s="2">
        <v>1</v>
      </c>
      <c r="Z1475" s="2">
        <v>4</v>
      </c>
      <c r="AA1475" s="3" t="s">
        <v>40</v>
      </c>
      <c r="AB1475" s="2">
        <v>2</v>
      </c>
      <c r="AF1475" s="2">
        <v>30</v>
      </c>
      <c r="AG1475" s="2">
        <v>2</v>
      </c>
      <c r="AH1475" s="3" t="s">
        <v>1563</v>
      </c>
      <c r="AI1475" s="4">
        <v>44726</v>
      </c>
      <c r="AJ1475" s="3" t="s">
        <v>1567</v>
      </c>
      <c r="AK1475" s="3" t="s">
        <v>38</v>
      </c>
    </row>
    <row r="1476" spans="1:37" hidden="1" x14ac:dyDescent="0.25">
      <c r="A1476" t="str">
        <f t="shared" si="23"/>
        <v>2022_NSW_Methul_Lentil_SatelliteTOS2VarietyJumbo2WaterTrtRainFed</v>
      </c>
      <c r="B1476" s="2">
        <v>2022015</v>
      </c>
      <c r="C1476" s="3" t="s">
        <v>1562</v>
      </c>
      <c r="D1476" s="3" t="s">
        <v>38</v>
      </c>
      <c r="F1476" s="3" t="s">
        <v>4176</v>
      </c>
      <c r="G1476" s="3" t="s">
        <v>43</v>
      </c>
      <c r="H1476" s="3" t="s">
        <v>253</v>
      </c>
      <c r="I1476" s="2">
        <v>5</v>
      </c>
      <c r="J1476" s="2">
        <v>5</v>
      </c>
      <c r="K1476" s="2">
        <v>1</v>
      </c>
      <c r="O1476" s="2">
        <v>1</v>
      </c>
      <c r="U1476" s="2">
        <v>5</v>
      </c>
      <c r="V1476" s="2">
        <v>2</v>
      </c>
      <c r="W1476" s="2">
        <v>5</v>
      </c>
      <c r="X1476" s="2">
        <v>1</v>
      </c>
      <c r="Z1476" s="2">
        <v>5</v>
      </c>
      <c r="AA1476" s="3" t="s">
        <v>40</v>
      </c>
      <c r="AB1476" s="2">
        <v>5</v>
      </c>
      <c r="AF1476" s="2">
        <v>30</v>
      </c>
      <c r="AG1476" s="2">
        <v>2</v>
      </c>
      <c r="AH1476" s="3" t="s">
        <v>1563</v>
      </c>
      <c r="AI1476" s="4">
        <v>44726</v>
      </c>
      <c r="AJ1476" s="3" t="s">
        <v>1568</v>
      </c>
      <c r="AK1476" s="3" t="s">
        <v>38</v>
      </c>
    </row>
    <row r="1477" spans="1:37" hidden="1" x14ac:dyDescent="0.25">
      <c r="A1477" t="str">
        <f t="shared" si="23"/>
        <v>2022_NSW_Methul_Lentil_SatelliteTOS2VarietyAceWaterTrtRainFed</v>
      </c>
      <c r="B1477" s="2">
        <v>2022015</v>
      </c>
      <c r="C1477" s="3" t="s">
        <v>1562</v>
      </c>
      <c r="D1477" s="3" t="s">
        <v>38</v>
      </c>
      <c r="F1477" s="3" t="s">
        <v>4175</v>
      </c>
      <c r="G1477" s="3" t="s">
        <v>39</v>
      </c>
      <c r="H1477" s="3" t="s">
        <v>253</v>
      </c>
      <c r="I1477" s="2">
        <v>6</v>
      </c>
      <c r="J1477" s="2">
        <v>6</v>
      </c>
      <c r="K1477" s="2">
        <v>1</v>
      </c>
      <c r="O1477" s="2">
        <v>1</v>
      </c>
      <c r="U1477" s="2">
        <v>6</v>
      </c>
      <c r="V1477" s="2">
        <v>2</v>
      </c>
      <c r="W1477" s="2">
        <v>6</v>
      </c>
      <c r="X1477" s="2">
        <v>1</v>
      </c>
      <c r="Z1477" s="2">
        <v>6</v>
      </c>
      <c r="AA1477" s="3" t="s">
        <v>40</v>
      </c>
      <c r="AB1477" s="2">
        <v>1</v>
      </c>
      <c r="AF1477" s="2">
        <v>30</v>
      </c>
      <c r="AG1477" s="2">
        <v>2</v>
      </c>
      <c r="AH1477" s="3" t="s">
        <v>1563</v>
      </c>
      <c r="AI1477" s="4">
        <v>44726</v>
      </c>
      <c r="AJ1477" s="3" t="s">
        <v>1569</v>
      </c>
      <c r="AK1477" s="3" t="s">
        <v>38</v>
      </c>
    </row>
    <row r="1478" spans="1:37" hidden="1" x14ac:dyDescent="0.25">
      <c r="A1478" t="str">
        <f t="shared" si="23"/>
        <v>2022_NSW_Methul_Lentil_SatelliteTOS1VarietyBoltWaterTrtRainFed</v>
      </c>
      <c r="B1478" s="2">
        <v>2022015</v>
      </c>
      <c r="C1478" s="3" t="s">
        <v>1562</v>
      </c>
      <c r="D1478" s="3" t="s">
        <v>38</v>
      </c>
      <c r="F1478" s="3" t="s">
        <v>4187</v>
      </c>
      <c r="G1478" s="3" t="s">
        <v>39</v>
      </c>
      <c r="H1478" s="3" t="s">
        <v>253</v>
      </c>
      <c r="I1478" s="2">
        <v>7</v>
      </c>
      <c r="J1478" s="2">
        <v>7</v>
      </c>
      <c r="K1478" s="2">
        <v>1</v>
      </c>
      <c r="O1478" s="2">
        <v>2</v>
      </c>
      <c r="U1478" s="2">
        <v>1</v>
      </c>
      <c r="V1478" s="2">
        <v>5</v>
      </c>
      <c r="W1478" s="2">
        <v>1</v>
      </c>
      <c r="X1478" s="2">
        <v>2</v>
      </c>
      <c r="Z1478" s="2">
        <v>12</v>
      </c>
      <c r="AA1478" s="3" t="s">
        <v>40</v>
      </c>
      <c r="AB1478" s="2">
        <v>2</v>
      </c>
      <c r="AF1478" s="2">
        <v>30</v>
      </c>
      <c r="AG1478" s="2">
        <v>1</v>
      </c>
      <c r="AH1478" s="3" t="s">
        <v>1175</v>
      </c>
      <c r="AI1478" s="4">
        <v>44691</v>
      </c>
      <c r="AJ1478" s="3" t="s">
        <v>1570</v>
      </c>
      <c r="AK1478" s="3" t="s">
        <v>38</v>
      </c>
    </row>
    <row r="1479" spans="1:37" hidden="1" x14ac:dyDescent="0.25">
      <c r="A1479" t="str">
        <f t="shared" si="23"/>
        <v>2022_NSW_Methul_Lentil_SatelliteTOS1VarietyJumbo2WaterTrtRainFed</v>
      </c>
      <c r="B1479" s="2">
        <v>2022015</v>
      </c>
      <c r="C1479" s="3" t="s">
        <v>1562</v>
      </c>
      <c r="D1479" s="3" t="s">
        <v>38</v>
      </c>
      <c r="F1479" s="3" t="s">
        <v>4176</v>
      </c>
      <c r="G1479" s="3" t="s">
        <v>43</v>
      </c>
      <c r="H1479" s="3" t="s">
        <v>253</v>
      </c>
      <c r="I1479" s="2">
        <v>8</v>
      </c>
      <c r="J1479" s="2">
        <v>8</v>
      </c>
      <c r="K1479" s="2">
        <v>1</v>
      </c>
      <c r="O1479" s="2">
        <v>2</v>
      </c>
      <c r="U1479" s="2">
        <v>2</v>
      </c>
      <c r="V1479" s="2">
        <v>5</v>
      </c>
      <c r="W1479" s="2">
        <v>2</v>
      </c>
      <c r="X1479" s="2">
        <v>2</v>
      </c>
      <c r="Z1479" s="2">
        <v>11</v>
      </c>
      <c r="AA1479" s="3" t="s">
        <v>40</v>
      </c>
      <c r="AB1479" s="2">
        <v>5</v>
      </c>
      <c r="AF1479" s="2">
        <v>30</v>
      </c>
      <c r="AG1479" s="2">
        <v>1</v>
      </c>
      <c r="AH1479" s="3" t="s">
        <v>1175</v>
      </c>
      <c r="AI1479" s="4">
        <v>44691</v>
      </c>
      <c r="AJ1479" s="3" t="s">
        <v>1571</v>
      </c>
      <c r="AK1479" s="3" t="s">
        <v>38</v>
      </c>
    </row>
    <row r="1480" spans="1:37" hidden="1" x14ac:dyDescent="0.25">
      <c r="A1480" t="str">
        <f t="shared" si="23"/>
        <v>2022_NSW_Methul_Lentil_SatelliteTOS1VarietyHallmarkXTWaterTrtRainFed</v>
      </c>
      <c r="B1480" s="2">
        <v>2022015</v>
      </c>
      <c r="C1480" s="3" t="s">
        <v>1562</v>
      </c>
      <c r="D1480" s="3" t="s">
        <v>38</v>
      </c>
      <c r="F1480" s="3" t="s">
        <v>4189</v>
      </c>
      <c r="G1480" s="3" t="s">
        <v>39</v>
      </c>
      <c r="H1480" s="3" t="s">
        <v>253</v>
      </c>
      <c r="I1480" s="2">
        <v>9</v>
      </c>
      <c r="J1480" s="2">
        <v>9</v>
      </c>
      <c r="K1480" s="2">
        <v>1</v>
      </c>
      <c r="O1480" s="2">
        <v>2</v>
      </c>
      <c r="U1480" s="2">
        <v>3</v>
      </c>
      <c r="V1480" s="2">
        <v>5</v>
      </c>
      <c r="W1480" s="2">
        <v>3</v>
      </c>
      <c r="X1480" s="2">
        <v>2</v>
      </c>
      <c r="Z1480" s="2">
        <v>10</v>
      </c>
      <c r="AA1480" s="3" t="s">
        <v>40</v>
      </c>
      <c r="AB1480" s="2">
        <v>4</v>
      </c>
      <c r="AF1480" s="2">
        <v>30</v>
      </c>
      <c r="AG1480" s="2">
        <v>1</v>
      </c>
      <c r="AH1480" s="3" t="s">
        <v>1175</v>
      </c>
      <c r="AI1480" s="4">
        <v>44691</v>
      </c>
      <c r="AJ1480" s="3" t="s">
        <v>1572</v>
      </c>
      <c r="AK1480" s="3" t="s">
        <v>38</v>
      </c>
    </row>
    <row r="1481" spans="1:37" hidden="1" x14ac:dyDescent="0.25">
      <c r="A1481" t="str">
        <f t="shared" si="23"/>
        <v>2022_NSW_Methul_Lentil_SatelliteTOS1VarietyGreenfieldWaterTrtRainFed</v>
      </c>
      <c r="B1481" s="2">
        <v>2022015</v>
      </c>
      <c r="C1481" s="3" t="s">
        <v>1562</v>
      </c>
      <c r="D1481" s="3" t="s">
        <v>38</v>
      </c>
      <c r="F1481" s="3" t="s">
        <v>4192</v>
      </c>
      <c r="G1481" s="3" t="s">
        <v>39</v>
      </c>
      <c r="H1481" s="3" t="s">
        <v>253</v>
      </c>
      <c r="I1481" s="2">
        <v>10</v>
      </c>
      <c r="J1481" s="2">
        <v>10</v>
      </c>
      <c r="K1481" s="2">
        <v>1</v>
      </c>
      <c r="O1481" s="2">
        <v>2</v>
      </c>
      <c r="U1481" s="2">
        <v>4</v>
      </c>
      <c r="V1481" s="2">
        <v>5</v>
      </c>
      <c r="W1481" s="2">
        <v>4</v>
      </c>
      <c r="X1481" s="2">
        <v>2</v>
      </c>
      <c r="Z1481" s="2">
        <v>9</v>
      </c>
      <c r="AA1481" s="3" t="s">
        <v>40</v>
      </c>
      <c r="AB1481" s="2">
        <v>3</v>
      </c>
      <c r="AF1481" s="2">
        <v>30</v>
      </c>
      <c r="AG1481" s="2">
        <v>1</v>
      </c>
      <c r="AH1481" s="3" t="s">
        <v>1175</v>
      </c>
      <c r="AI1481" s="4">
        <v>44691</v>
      </c>
      <c r="AJ1481" s="3" t="s">
        <v>1573</v>
      </c>
      <c r="AK1481" s="3" t="s">
        <v>38</v>
      </c>
    </row>
    <row r="1482" spans="1:37" hidden="1" x14ac:dyDescent="0.25">
      <c r="A1482" t="str">
        <f t="shared" si="23"/>
        <v>2022_NSW_Methul_Lentil_SatelliteTOS1VarietyAceWaterTrtRainFed</v>
      </c>
      <c r="B1482" s="2">
        <v>2022015</v>
      </c>
      <c r="C1482" s="3" t="s">
        <v>1562</v>
      </c>
      <c r="D1482" s="3" t="s">
        <v>38</v>
      </c>
      <c r="F1482" s="3" t="s">
        <v>4175</v>
      </c>
      <c r="G1482" s="3" t="s">
        <v>39</v>
      </c>
      <c r="H1482" s="3" t="s">
        <v>253</v>
      </c>
      <c r="I1482" s="2">
        <v>11</v>
      </c>
      <c r="J1482" s="2">
        <v>11</v>
      </c>
      <c r="K1482" s="2">
        <v>1</v>
      </c>
      <c r="O1482" s="2">
        <v>2</v>
      </c>
      <c r="U1482" s="2">
        <v>5</v>
      </c>
      <c r="V1482" s="2">
        <v>5</v>
      </c>
      <c r="W1482" s="2">
        <v>5</v>
      </c>
      <c r="X1482" s="2">
        <v>2</v>
      </c>
      <c r="Z1482" s="2">
        <v>8</v>
      </c>
      <c r="AA1482" s="3" t="s">
        <v>40</v>
      </c>
      <c r="AB1482" s="2">
        <v>1</v>
      </c>
      <c r="AF1482" s="2">
        <v>30</v>
      </c>
      <c r="AG1482" s="2">
        <v>1</v>
      </c>
      <c r="AH1482" s="3" t="s">
        <v>1175</v>
      </c>
      <c r="AI1482" s="4">
        <v>44691</v>
      </c>
      <c r="AJ1482" s="3" t="s">
        <v>1574</v>
      </c>
      <c r="AK1482" s="3" t="s">
        <v>38</v>
      </c>
    </row>
    <row r="1483" spans="1:37" hidden="1" x14ac:dyDescent="0.25">
      <c r="A1483" t="str">
        <f t="shared" si="23"/>
        <v>2022_NSW_Methul_Lentil_SatelliteTOS1VarietyKelpieXTWaterTrtRainFed</v>
      </c>
      <c r="B1483" s="2">
        <v>2022015</v>
      </c>
      <c r="C1483" s="3" t="s">
        <v>1562</v>
      </c>
      <c r="D1483" s="3" t="s">
        <v>38</v>
      </c>
      <c r="F1483" s="3" t="s">
        <v>4188</v>
      </c>
      <c r="G1483" s="3" t="s">
        <v>43</v>
      </c>
      <c r="H1483" s="3" t="s">
        <v>253</v>
      </c>
      <c r="I1483" s="2">
        <v>12</v>
      </c>
      <c r="J1483" s="2">
        <v>12</v>
      </c>
      <c r="K1483" s="2">
        <v>1</v>
      </c>
      <c r="O1483" s="2">
        <v>2</v>
      </c>
      <c r="U1483" s="2">
        <v>6</v>
      </c>
      <c r="V1483" s="2">
        <v>5</v>
      </c>
      <c r="W1483" s="2">
        <v>6</v>
      </c>
      <c r="X1483" s="2">
        <v>2</v>
      </c>
      <c r="Z1483" s="2">
        <v>7</v>
      </c>
      <c r="AA1483" s="3" t="s">
        <v>40</v>
      </c>
      <c r="AB1483" s="2">
        <v>6</v>
      </c>
      <c r="AF1483" s="2">
        <v>30</v>
      </c>
      <c r="AG1483" s="2">
        <v>1</v>
      </c>
      <c r="AH1483" s="3" t="s">
        <v>1175</v>
      </c>
      <c r="AI1483" s="4">
        <v>44691</v>
      </c>
      <c r="AJ1483" s="3" t="s">
        <v>1575</v>
      </c>
      <c r="AK1483" s="3" t="s">
        <v>38</v>
      </c>
    </row>
    <row r="1484" spans="1:37" hidden="1" x14ac:dyDescent="0.25">
      <c r="A1484" t="str">
        <f t="shared" si="23"/>
        <v>2022_NSW_Methul_Lentil_SatelliteTOS1VarietyKelpieXTWaterTrtRainFed</v>
      </c>
      <c r="B1484" s="2">
        <v>2022015</v>
      </c>
      <c r="C1484" s="3" t="s">
        <v>1562</v>
      </c>
      <c r="D1484" s="3" t="s">
        <v>38</v>
      </c>
      <c r="F1484" s="3" t="s">
        <v>4188</v>
      </c>
      <c r="G1484" s="3" t="s">
        <v>43</v>
      </c>
      <c r="H1484" s="3" t="s">
        <v>253</v>
      </c>
      <c r="I1484" s="2">
        <v>13</v>
      </c>
      <c r="J1484" s="2">
        <v>13</v>
      </c>
      <c r="K1484" s="2">
        <v>2</v>
      </c>
      <c r="O1484" s="2">
        <v>3</v>
      </c>
      <c r="U1484" s="2">
        <v>1</v>
      </c>
      <c r="V1484" s="2">
        <v>8</v>
      </c>
      <c r="W1484" s="2">
        <v>1</v>
      </c>
      <c r="X1484" s="2">
        <v>3</v>
      </c>
      <c r="Z1484" s="2">
        <v>13</v>
      </c>
      <c r="AA1484" s="3" t="s">
        <v>40</v>
      </c>
      <c r="AB1484" s="2">
        <v>6</v>
      </c>
      <c r="AF1484" s="2">
        <v>30</v>
      </c>
      <c r="AG1484" s="2">
        <v>1</v>
      </c>
      <c r="AH1484" s="3" t="s">
        <v>1175</v>
      </c>
      <c r="AI1484" s="4">
        <v>44691</v>
      </c>
      <c r="AJ1484" s="3" t="s">
        <v>1576</v>
      </c>
      <c r="AK1484" s="3" t="s">
        <v>38</v>
      </c>
    </row>
    <row r="1485" spans="1:37" hidden="1" x14ac:dyDescent="0.25">
      <c r="A1485" t="str">
        <f t="shared" si="23"/>
        <v>2022_NSW_Methul_Lentil_SatelliteTOS1VarietyHallmarkXTWaterTrtRainFed</v>
      </c>
      <c r="B1485" s="2">
        <v>2022015</v>
      </c>
      <c r="C1485" s="3" t="s">
        <v>1562</v>
      </c>
      <c r="D1485" s="3" t="s">
        <v>38</v>
      </c>
      <c r="F1485" s="3" t="s">
        <v>4189</v>
      </c>
      <c r="G1485" s="3" t="s">
        <v>39</v>
      </c>
      <c r="H1485" s="3" t="s">
        <v>253</v>
      </c>
      <c r="I1485" s="2">
        <v>14</v>
      </c>
      <c r="J1485" s="2">
        <v>14</v>
      </c>
      <c r="K1485" s="2">
        <v>2</v>
      </c>
      <c r="O1485" s="2">
        <v>3</v>
      </c>
      <c r="U1485" s="2">
        <v>2</v>
      </c>
      <c r="V1485" s="2">
        <v>8</v>
      </c>
      <c r="W1485" s="2">
        <v>2</v>
      </c>
      <c r="X1485" s="2">
        <v>3</v>
      </c>
      <c r="Z1485" s="2">
        <v>14</v>
      </c>
      <c r="AA1485" s="3" t="s">
        <v>40</v>
      </c>
      <c r="AB1485" s="2">
        <v>4</v>
      </c>
      <c r="AF1485" s="2">
        <v>30</v>
      </c>
      <c r="AG1485" s="2">
        <v>1</v>
      </c>
      <c r="AH1485" s="3" t="s">
        <v>1175</v>
      </c>
      <c r="AI1485" s="4">
        <v>44691</v>
      </c>
      <c r="AJ1485" s="3" t="s">
        <v>1577</v>
      </c>
      <c r="AK1485" s="3" t="s">
        <v>38</v>
      </c>
    </row>
    <row r="1486" spans="1:37" hidden="1" x14ac:dyDescent="0.25">
      <c r="A1486" t="str">
        <f t="shared" si="23"/>
        <v>2022_NSW_Methul_Lentil_SatelliteTOS1VarietyAceWaterTrtRainFed</v>
      </c>
      <c r="B1486" s="2">
        <v>2022015</v>
      </c>
      <c r="C1486" s="3" t="s">
        <v>1562</v>
      </c>
      <c r="D1486" s="3" t="s">
        <v>38</v>
      </c>
      <c r="F1486" s="3" t="s">
        <v>4175</v>
      </c>
      <c r="G1486" s="3" t="s">
        <v>39</v>
      </c>
      <c r="H1486" s="3" t="s">
        <v>253</v>
      </c>
      <c r="I1486" s="2">
        <v>15</v>
      </c>
      <c r="J1486" s="2">
        <v>15</v>
      </c>
      <c r="K1486" s="2">
        <v>2</v>
      </c>
      <c r="O1486" s="2">
        <v>3</v>
      </c>
      <c r="U1486" s="2">
        <v>3</v>
      </c>
      <c r="V1486" s="2">
        <v>8</v>
      </c>
      <c r="W1486" s="2">
        <v>3</v>
      </c>
      <c r="X1486" s="2">
        <v>3</v>
      </c>
      <c r="Z1486" s="2">
        <v>15</v>
      </c>
      <c r="AA1486" s="3" t="s">
        <v>40</v>
      </c>
      <c r="AB1486" s="2">
        <v>1</v>
      </c>
      <c r="AF1486" s="2">
        <v>30</v>
      </c>
      <c r="AG1486" s="2">
        <v>1</v>
      </c>
      <c r="AH1486" s="3" t="s">
        <v>1175</v>
      </c>
      <c r="AI1486" s="4">
        <v>44691</v>
      </c>
      <c r="AJ1486" s="3" t="s">
        <v>1578</v>
      </c>
      <c r="AK1486" s="3" t="s">
        <v>38</v>
      </c>
    </row>
    <row r="1487" spans="1:37" hidden="1" x14ac:dyDescent="0.25">
      <c r="A1487" t="str">
        <f t="shared" si="23"/>
        <v>2022_NSW_Methul_Lentil_SatelliteTOS1VarietyBoltWaterTrtRainFed</v>
      </c>
      <c r="B1487" s="2">
        <v>2022015</v>
      </c>
      <c r="C1487" s="3" t="s">
        <v>1562</v>
      </c>
      <c r="D1487" s="3" t="s">
        <v>38</v>
      </c>
      <c r="F1487" s="3" t="s">
        <v>4187</v>
      </c>
      <c r="G1487" s="3" t="s">
        <v>39</v>
      </c>
      <c r="H1487" s="3" t="s">
        <v>253</v>
      </c>
      <c r="I1487" s="2">
        <v>16</v>
      </c>
      <c r="J1487" s="2">
        <v>16</v>
      </c>
      <c r="K1487" s="2">
        <v>2</v>
      </c>
      <c r="O1487" s="2">
        <v>3</v>
      </c>
      <c r="U1487" s="2">
        <v>4</v>
      </c>
      <c r="V1487" s="2">
        <v>8</v>
      </c>
      <c r="W1487" s="2">
        <v>4</v>
      </c>
      <c r="X1487" s="2">
        <v>3</v>
      </c>
      <c r="Z1487" s="2">
        <v>16</v>
      </c>
      <c r="AA1487" s="3" t="s">
        <v>40</v>
      </c>
      <c r="AB1487" s="2">
        <v>2</v>
      </c>
      <c r="AF1487" s="2">
        <v>30</v>
      </c>
      <c r="AG1487" s="2">
        <v>1</v>
      </c>
      <c r="AH1487" s="3" t="s">
        <v>1175</v>
      </c>
      <c r="AI1487" s="4">
        <v>44691</v>
      </c>
      <c r="AJ1487" s="3" t="s">
        <v>1579</v>
      </c>
      <c r="AK1487" s="3" t="s">
        <v>38</v>
      </c>
    </row>
    <row r="1488" spans="1:37" hidden="1" x14ac:dyDescent="0.25">
      <c r="A1488" t="str">
        <f t="shared" si="23"/>
        <v>2022_NSW_Methul_Lentil_SatelliteTOS1VarietyJumbo2WaterTrtRainFed</v>
      </c>
      <c r="B1488" s="2">
        <v>2022015</v>
      </c>
      <c r="C1488" s="3" t="s">
        <v>1562</v>
      </c>
      <c r="D1488" s="3" t="s">
        <v>38</v>
      </c>
      <c r="F1488" s="3" t="s">
        <v>4176</v>
      </c>
      <c r="G1488" s="3" t="s">
        <v>43</v>
      </c>
      <c r="H1488" s="3" t="s">
        <v>253</v>
      </c>
      <c r="I1488" s="2">
        <v>17</v>
      </c>
      <c r="J1488" s="2">
        <v>17</v>
      </c>
      <c r="K1488" s="2">
        <v>2</v>
      </c>
      <c r="O1488" s="2">
        <v>3</v>
      </c>
      <c r="U1488" s="2">
        <v>5</v>
      </c>
      <c r="V1488" s="2">
        <v>8</v>
      </c>
      <c r="W1488" s="2">
        <v>5</v>
      </c>
      <c r="X1488" s="2">
        <v>3</v>
      </c>
      <c r="Z1488" s="2">
        <v>17</v>
      </c>
      <c r="AA1488" s="3" t="s">
        <v>40</v>
      </c>
      <c r="AB1488" s="2">
        <v>5</v>
      </c>
      <c r="AF1488" s="2">
        <v>30</v>
      </c>
      <c r="AG1488" s="2">
        <v>1</v>
      </c>
      <c r="AH1488" s="3" t="s">
        <v>1175</v>
      </c>
      <c r="AI1488" s="4">
        <v>44691</v>
      </c>
      <c r="AJ1488" s="3" t="s">
        <v>1580</v>
      </c>
      <c r="AK1488" s="3" t="s">
        <v>38</v>
      </c>
    </row>
    <row r="1489" spans="1:37" hidden="1" x14ac:dyDescent="0.25">
      <c r="A1489" t="str">
        <f t="shared" si="23"/>
        <v>2022_NSW_Methul_Lentil_SatelliteTOS1VarietyGreenfieldWaterTrtRainFed</v>
      </c>
      <c r="B1489" s="2">
        <v>2022015</v>
      </c>
      <c r="C1489" s="3" t="s">
        <v>1562</v>
      </c>
      <c r="D1489" s="3" t="s">
        <v>38</v>
      </c>
      <c r="F1489" s="3" t="s">
        <v>4192</v>
      </c>
      <c r="G1489" s="3" t="s">
        <v>39</v>
      </c>
      <c r="H1489" s="3" t="s">
        <v>253</v>
      </c>
      <c r="I1489" s="2">
        <v>18</v>
      </c>
      <c r="J1489" s="2">
        <v>18</v>
      </c>
      <c r="K1489" s="2">
        <v>2</v>
      </c>
      <c r="O1489" s="2">
        <v>3</v>
      </c>
      <c r="U1489" s="2">
        <v>6</v>
      </c>
      <c r="V1489" s="2">
        <v>8</v>
      </c>
      <c r="W1489" s="2">
        <v>6</v>
      </c>
      <c r="X1489" s="2">
        <v>3</v>
      </c>
      <c r="Z1489" s="2">
        <v>18</v>
      </c>
      <c r="AA1489" s="3" t="s">
        <v>40</v>
      </c>
      <c r="AB1489" s="2">
        <v>3</v>
      </c>
      <c r="AF1489" s="2">
        <v>30</v>
      </c>
      <c r="AG1489" s="2">
        <v>1</v>
      </c>
      <c r="AH1489" s="3" t="s">
        <v>1175</v>
      </c>
      <c r="AI1489" s="4">
        <v>44691</v>
      </c>
      <c r="AJ1489" s="3" t="s">
        <v>1581</v>
      </c>
      <c r="AK1489" s="3" t="s">
        <v>38</v>
      </c>
    </row>
    <row r="1490" spans="1:37" hidden="1" x14ac:dyDescent="0.25">
      <c r="A1490" t="str">
        <f t="shared" si="23"/>
        <v>2022_NSW_Methul_Lentil_SatelliteTOS2VarietyAceWaterTrtRainFed</v>
      </c>
      <c r="B1490" s="2">
        <v>2022015</v>
      </c>
      <c r="C1490" s="3" t="s">
        <v>1562</v>
      </c>
      <c r="D1490" s="3" t="s">
        <v>38</v>
      </c>
      <c r="F1490" s="3" t="s">
        <v>4175</v>
      </c>
      <c r="G1490" s="3" t="s">
        <v>39</v>
      </c>
      <c r="H1490" s="3" t="s">
        <v>253</v>
      </c>
      <c r="I1490" s="2">
        <v>19</v>
      </c>
      <c r="J1490" s="2">
        <v>19</v>
      </c>
      <c r="K1490" s="2">
        <v>2</v>
      </c>
      <c r="O1490" s="2">
        <v>4</v>
      </c>
      <c r="U1490" s="2">
        <v>1</v>
      </c>
      <c r="V1490" s="2">
        <v>11</v>
      </c>
      <c r="W1490" s="2">
        <v>1</v>
      </c>
      <c r="X1490" s="2">
        <v>4</v>
      </c>
      <c r="Z1490" s="2">
        <v>24</v>
      </c>
      <c r="AA1490" s="3" t="s">
        <v>40</v>
      </c>
      <c r="AB1490" s="2">
        <v>1</v>
      </c>
      <c r="AF1490" s="2">
        <v>30</v>
      </c>
      <c r="AG1490" s="2">
        <v>2</v>
      </c>
      <c r="AH1490" s="3" t="s">
        <v>1563</v>
      </c>
      <c r="AI1490" s="4">
        <v>44726</v>
      </c>
      <c r="AJ1490" s="3" t="s">
        <v>1582</v>
      </c>
      <c r="AK1490" s="3" t="s">
        <v>38</v>
      </c>
    </row>
    <row r="1491" spans="1:37" hidden="1" x14ac:dyDescent="0.25">
      <c r="A1491" t="str">
        <f t="shared" si="23"/>
        <v>2022_NSW_Methul_Lentil_SatelliteTOS2VarietyGreenfieldWaterTrtRainFed</v>
      </c>
      <c r="B1491" s="2">
        <v>2022015</v>
      </c>
      <c r="C1491" s="3" t="s">
        <v>1562</v>
      </c>
      <c r="D1491" s="3" t="s">
        <v>38</v>
      </c>
      <c r="F1491" s="3" t="s">
        <v>4192</v>
      </c>
      <c r="G1491" s="3" t="s">
        <v>39</v>
      </c>
      <c r="H1491" s="3" t="s">
        <v>253</v>
      </c>
      <c r="I1491" s="2">
        <v>20</v>
      </c>
      <c r="J1491" s="2">
        <v>20</v>
      </c>
      <c r="K1491" s="2">
        <v>2</v>
      </c>
      <c r="O1491" s="2">
        <v>4</v>
      </c>
      <c r="U1491" s="2">
        <v>2</v>
      </c>
      <c r="V1491" s="2">
        <v>11</v>
      </c>
      <c r="W1491" s="2">
        <v>2</v>
      </c>
      <c r="X1491" s="2">
        <v>4</v>
      </c>
      <c r="Z1491" s="2">
        <v>23</v>
      </c>
      <c r="AA1491" s="3" t="s">
        <v>40</v>
      </c>
      <c r="AB1491" s="2">
        <v>3</v>
      </c>
      <c r="AF1491" s="2">
        <v>30</v>
      </c>
      <c r="AG1491" s="2">
        <v>2</v>
      </c>
      <c r="AH1491" s="3" t="s">
        <v>1563</v>
      </c>
      <c r="AI1491" s="4">
        <v>44726</v>
      </c>
      <c r="AJ1491" s="3" t="s">
        <v>1583</v>
      </c>
      <c r="AK1491" s="3" t="s">
        <v>38</v>
      </c>
    </row>
    <row r="1492" spans="1:37" hidden="1" x14ac:dyDescent="0.25">
      <c r="A1492" t="str">
        <f t="shared" si="23"/>
        <v>2022_NSW_Methul_Lentil_SatelliteTOS2VarietyJumbo2WaterTrtRainFed</v>
      </c>
      <c r="B1492" s="2">
        <v>2022015</v>
      </c>
      <c r="C1492" s="3" t="s">
        <v>1562</v>
      </c>
      <c r="D1492" s="3" t="s">
        <v>38</v>
      </c>
      <c r="F1492" s="3" t="s">
        <v>4176</v>
      </c>
      <c r="G1492" s="3" t="s">
        <v>43</v>
      </c>
      <c r="H1492" s="3" t="s">
        <v>253</v>
      </c>
      <c r="I1492" s="2">
        <v>21</v>
      </c>
      <c r="J1492" s="2">
        <v>21</v>
      </c>
      <c r="K1492" s="2">
        <v>2</v>
      </c>
      <c r="O1492" s="2">
        <v>4</v>
      </c>
      <c r="U1492" s="2">
        <v>3</v>
      </c>
      <c r="V1492" s="2">
        <v>11</v>
      </c>
      <c r="W1492" s="2">
        <v>3</v>
      </c>
      <c r="X1492" s="2">
        <v>4</v>
      </c>
      <c r="Z1492" s="2">
        <v>22</v>
      </c>
      <c r="AA1492" s="3" t="s">
        <v>40</v>
      </c>
      <c r="AB1492" s="2">
        <v>5</v>
      </c>
      <c r="AF1492" s="2">
        <v>30</v>
      </c>
      <c r="AG1492" s="2">
        <v>2</v>
      </c>
      <c r="AH1492" s="3" t="s">
        <v>1563</v>
      </c>
      <c r="AI1492" s="4">
        <v>44726</v>
      </c>
      <c r="AJ1492" s="3" t="s">
        <v>1584</v>
      </c>
      <c r="AK1492" s="3" t="s">
        <v>38</v>
      </c>
    </row>
    <row r="1493" spans="1:37" hidden="1" x14ac:dyDescent="0.25">
      <c r="A1493" t="str">
        <f t="shared" si="23"/>
        <v>2022_NSW_Methul_Lentil_SatelliteTOS2VarietyKelpieXTWaterTrtRainFed</v>
      </c>
      <c r="B1493" s="2">
        <v>2022015</v>
      </c>
      <c r="C1493" s="3" t="s">
        <v>1562</v>
      </c>
      <c r="D1493" s="3" t="s">
        <v>38</v>
      </c>
      <c r="F1493" s="3" t="s">
        <v>4188</v>
      </c>
      <c r="G1493" s="3" t="s">
        <v>43</v>
      </c>
      <c r="H1493" s="3" t="s">
        <v>253</v>
      </c>
      <c r="I1493" s="2">
        <v>22</v>
      </c>
      <c r="J1493" s="2">
        <v>22</v>
      </c>
      <c r="K1493" s="2">
        <v>2</v>
      </c>
      <c r="O1493" s="2">
        <v>4</v>
      </c>
      <c r="U1493" s="2">
        <v>4</v>
      </c>
      <c r="V1493" s="2">
        <v>11</v>
      </c>
      <c r="W1493" s="2">
        <v>4</v>
      </c>
      <c r="X1493" s="2">
        <v>4</v>
      </c>
      <c r="Z1493" s="2">
        <v>21</v>
      </c>
      <c r="AA1493" s="3" t="s">
        <v>40</v>
      </c>
      <c r="AB1493" s="2">
        <v>6</v>
      </c>
      <c r="AF1493" s="2">
        <v>30</v>
      </c>
      <c r="AG1493" s="2">
        <v>2</v>
      </c>
      <c r="AH1493" s="3" t="s">
        <v>1563</v>
      </c>
      <c r="AI1493" s="4">
        <v>44726</v>
      </c>
      <c r="AJ1493" s="3" t="s">
        <v>1585</v>
      </c>
      <c r="AK1493" s="3" t="s">
        <v>38</v>
      </c>
    </row>
    <row r="1494" spans="1:37" hidden="1" x14ac:dyDescent="0.25">
      <c r="A1494" t="str">
        <f t="shared" si="23"/>
        <v>2022_NSW_Methul_Lentil_SatelliteTOS2VarietyBoltWaterTrtRainFed</v>
      </c>
      <c r="B1494" s="2">
        <v>2022015</v>
      </c>
      <c r="C1494" s="3" t="s">
        <v>1562</v>
      </c>
      <c r="D1494" s="3" t="s">
        <v>38</v>
      </c>
      <c r="F1494" s="3" t="s">
        <v>4187</v>
      </c>
      <c r="G1494" s="3" t="s">
        <v>39</v>
      </c>
      <c r="H1494" s="3" t="s">
        <v>253</v>
      </c>
      <c r="I1494" s="2">
        <v>23</v>
      </c>
      <c r="J1494" s="2">
        <v>23</v>
      </c>
      <c r="K1494" s="2">
        <v>2</v>
      </c>
      <c r="O1494" s="2">
        <v>4</v>
      </c>
      <c r="U1494" s="2">
        <v>5</v>
      </c>
      <c r="V1494" s="2">
        <v>11</v>
      </c>
      <c r="W1494" s="2">
        <v>5</v>
      </c>
      <c r="X1494" s="2">
        <v>4</v>
      </c>
      <c r="Z1494" s="2">
        <v>20</v>
      </c>
      <c r="AA1494" s="3" t="s">
        <v>40</v>
      </c>
      <c r="AB1494" s="2">
        <v>2</v>
      </c>
      <c r="AF1494" s="2">
        <v>30</v>
      </c>
      <c r="AG1494" s="2">
        <v>2</v>
      </c>
      <c r="AH1494" s="3" t="s">
        <v>1563</v>
      </c>
      <c r="AI1494" s="4">
        <v>44726</v>
      </c>
      <c r="AJ1494" s="3" t="s">
        <v>1586</v>
      </c>
      <c r="AK1494" s="3" t="s">
        <v>38</v>
      </c>
    </row>
    <row r="1495" spans="1:37" hidden="1" x14ac:dyDescent="0.25">
      <c r="A1495" t="str">
        <f t="shared" si="23"/>
        <v>2022_NSW_Methul_Lentil_SatelliteTOS2VarietyHallmarkXTWaterTrtRainFed</v>
      </c>
      <c r="B1495" s="2">
        <v>2022015</v>
      </c>
      <c r="C1495" s="3" t="s">
        <v>1562</v>
      </c>
      <c r="D1495" s="3" t="s">
        <v>38</v>
      </c>
      <c r="F1495" s="3" t="s">
        <v>4189</v>
      </c>
      <c r="G1495" s="3" t="s">
        <v>39</v>
      </c>
      <c r="H1495" s="3" t="s">
        <v>253</v>
      </c>
      <c r="I1495" s="2">
        <v>24</v>
      </c>
      <c r="J1495" s="2">
        <v>24</v>
      </c>
      <c r="K1495" s="2">
        <v>2</v>
      </c>
      <c r="O1495" s="2">
        <v>4</v>
      </c>
      <c r="U1495" s="2">
        <v>6</v>
      </c>
      <c r="V1495" s="2">
        <v>11</v>
      </c>
      <c r="W1495" s="2">
        <v>6</v>
      </c>
      <c r="X1495" s="2">
        <v>4</v>
      </c>
      <c r="Z1495" s="2">
        <v>19</v>
      </c>
      <c r="AA1495" s="3" t="s">
        <v>40</v>
      </c>
      <c r="AB1495" s="2">
        <v>4</v>
      </c>
      <c r="AF1495" s="2">
        <v>30</v>
      </c>
      <c r="AG1495" s="2">
        <v>2</v>
      </c>
      <c r="AH1495" s="3" t="s">
        <v>1563</v>
      </c>
      <c r="AI1495" s="4">
        <v>44726</v>
      </c>
      <c r="AJ1495" s="3" t="s">
        <v>1587</v>
      </c>
      <c r="AK1495" s="3" t="s">
        <v>38</v>
      </c>
    </row>
    <row r="1496" spans="1:37" hidden="1" x14ac:dyDescent="0.25">
      <c r="A1496" t="str">
        <f t="shared" si="23"/>
        <v>2022_NSW_Methul_Lentil_SatelliteTOS2VarietyJumbo2WaterTrtRainFed</v>
      </c>
      <c r="B1496" s="2">
        <v>2022015</v>
      </c>
      <c r="C1496" s="3" t="s">
        <v>1562</v>
      </c>
      <c r="D1496" s="3" t="s">
        <v>38</v>
      </c>
      <c r="F1496" s="3" t="s">
        <v>4176</v>
      </c>
      <c r="G1496" s="3" t="s">
        <v>43</v>
      </c>
      <c r="H1496" s="3" t="s">
        <v>253</v>
      </c>
      <c r="I1496" s="2">
        <v>25</v>
      </c>
      <c r="J1496" s="2">
        <v>25</v>
      </c>
      <c r="K1496" s="2">
        <v>3</v>
      </c>
      <c r="O1496" s="2">
        <v>5</v>
      </c>
      <c r="U1496" s="2">
        <v>1</v>
      </c>
      <c r="V1496" s="2">
        <v>14</v>
      </c>
      <c r="W1496" s="2">
        <v>1</v>
      </c>
      <c r="X1496" s="2">
        <v>5</v>
      </c>
      <c r="Z1496" s="2">
        <v>25</v>
      </c>
      <c r="AA1496" s="3" t="s">
        <v>40</v>
      </c>
      <c r="AB1496" s="2">
        <v>5</v>
      </c>
      <c r="AF1496" s="2">
        <v>30</v>
      </c>
      <c r="AG1496" s="2">
        <v>2</v>
      </c>
      <c r="AH1496" s="3" t="s">
        <v>1563</v>
      </c>
      <c r="AI1496" s="4">
        <v>44726</v>
      </c>
      <c r="AJ1496" s="3" t="s">
        <v>1588</v>
      </c>
      <c r="AK1496" s="3" t="s">
        <v>38</v>
      </c>
    </row>
    <row r="1497" spans="1:37" hidden="1" x14ac:dyDescent="0.25">
      <c r="A1497" t="str">
        <f t="shared" si="23"/>
        <v>2022_NSW_Methul_Lentil_SatelliteTOS2VarietyBoltWaterTrtRainFed</v>
      </c>
      <c r="B1497" s="2">
        <v>2022015</v>
      </c>
      <c r="C1497" s="3" t="s">
        <v>1562</v>
      </c>
      <c r="D1497" s="3" t="s">
        <v>38</v>
      </c>
      <c r="F1497" s="3" t="s">
        <v>4187</v>
      </c>
      <c r="G1497" s="3" t="s">
        <v>39</v>
      </c>
      <c r="H1497" s="3" t="s">
        <v>253</v>
      </c>
      <c r="I1497" s="2">
        <v>26</v>
      </c>
      <c r="J1497" s="2">
        <v>26</v>
      </c>
      <c r="K1497" s="2">
        <v>3</v>
      </c>
      <c r="O1497" s="2">
        <v>5</v>
      </c>
      <c r="U1497" s="2">
        <v>2</v>
      </c>
      <c r="V1497" s="2">
        <v>14</v>
      </c>
      <c r="W1497" s="2">
        <v>2</v>
      </c>
      <c r="X1497" s="2">
        <v>5</v>
      </c>
      <c r="Z1497" s="2">
        <v>26</v>
      </c>
      <c r="AA1497" s="3" t="s">
        <v>40</v>
      </c>
      <c r="AB1497" s="2">
        <v>2</v>
      </c>
      <c r="AF1497" s="2">
        <v>30</v>
      </c>
      <c r="AG1497" s="2">
        <v>2</v>
      </c>
      <c r="AH1497" s="3" t="s">
        <v>1563</v>
      </c>
      <c r="AI1497" s="4">
        <v>44726</v>
      </c>
      <c r="AJ1497" s="3" t="s">
        <v>1589</v>
      </c>
      <c r="AK1497" s="3" t="s">
        <v>38</v>
      </c>
    </row>
    <row r="1498" spans="1:37" hidden="1" x14ac:dyDescent="0.25">
      <c r="A1498" t="str">
        <f t="shared" si="23"/>
        <v>2022_NSW_Methul_Lentil_SatelliteTOS2VarietyAceWaterTrtRainFed</v>
      </c>
      <c r="B1498" s="2">
        <v>2022015</v>
      </c>
      <c r="C1498" s="3" t="s">
        <v>1562</v>
      </c>
      <c r="D1498" s="3" t="s">
        <v>38</v>
      </c>
      <c r="F1498" s="3" t="s">
        <v>4175</v>
      </c>
      <c r="G1498" s="3" t="s">
        <v>39</v>
      </c>
      <c r="H1498" s="3" t="s">
        <v>253</v>
      </c>
      <c r="I1498" s="2">
        <v>27</v>
      </c>
      <c r="J1498" s="2">
        <v>27</v>
      </c>
      <c r="K1498" s="2">
        <v>3</v>
      </c>
      <c r="O1498" s="2">
        <v>5</v>
      </c>
      <c r="U1498" s="2">
        <v>3</v>
      </c>
      <c r="V1498" s="2">
        <v>14</v>
      </c>
      <c r="W1498" s="2">
        <v>3</v>
      </c>
      <c r="X1498" s="2">
        <v>5</v>
      </c>
      <c r="Z1498" s="2">
        <v>27</v>
      </c>
      <c r="AA1498" s="3" t="s">
        <v>40</v>
      </c>
      <c r="AB1498" s="2">
        <v>1</v>
      </c>
      <c r="AF1498" s="2">
        <v>30</v>
      </c>
      <c r="AG1498" s="2">
        <v>2</v>
      </c>
      <c r="AH1498" s="3" t="s">
        <v>1563</v>
      </c>
      <c r="AI1498" s="4">
        <v>44726</v>
      </c>
      <c r="AJ1498" s="3" t="s">
        <v>1590</v>
      </c>
      <c r="AK1498" s="3" t="s">
        <v>38</v>
      </c>
    </row>
    <row r="1499" spans="1:37" hidden="1" x14ac:dyDescent="0.25">
      <c r="A1499" t="str">
        <f t="shared" si="23"/>
        <v>2022_NSW_Methul_Lentil_SatelliteTOS2VarietyHallmarkXTWaterTrtRainFed</v>
      </c>
      <c r="B1499" s="2">
        <v>2022015</v>
      </c>
      <c r="C1499" s="3" t="s">
        <v>1562</v>
      </c>
      <c r="D1499" s="3" t="s">
        <v>38</v>
      </c>
      <c r="F1499" s="3" t="s">
        <v>4189</v>
      </c>
      <c r="G1499" s="3" t="s">
        <v>39</v>
      </c>
      <c r="H1499" s="3" t="s">
        <v>253</v>
      </c>
      <c r="I1499" s="2">
        <v>28</v>
      </c>
      <c r="J1499" s="2">
        <v>28</v>
      </c>
      <c r="K1499" s="2">
        <v>3</v>
      </c>
      <c r="O1499" s="2">
        <v>5</v>
      </c>
      <c r="U1499" s="2">
        <v>4</v>
      </c>
      <c r="V1499" s="2">
        <v>14</v>
      </c>
      <c r="W1499" s="2">
        <v>4</v>
      </c>
      <c r="X1499" s="2">
        <v>5</v>
      </c>
      <c r="Z1499" s="2">
        <v>28</v>
      </c>
      <c r="AA1499" s="3" t="s">
        <v>40</v>
      </c>
      <c r="AB1499" s="2">
        <v>4</v>
      </c>
      <c r="AF1499" s="2">
        <v>30</v>
      </c>
      <c r="AG1499" s="2">
        <v>2</v>
      </c>
      <c r="AH1499" s="3" t="s">
        <v>1563</v>
      </c>
      <c r="AI1499" s="4">
        <v>44726</v>
      </c>
      <c r="AJ1499" s="3" t="s">
        <v>1591</v>
      </c>
      <c r="AK1499" s="3" t="s">
        <v>38</v>
      </c>
    </row>
    <row r="1500" spans="1:37" hidden="1" x14ac:dyDescent="0.25">
      <c r="A1500" t="str">
        <f t="shared" si="23"/>
        <v>2022_NSW_Methul_Lentil_SatelliteTOS2VarietyGreenfieldWaterTrtRainFed</v>
      </c>
      <c r="B1500" s="2">
        <v>2022015</v>
      </c>
      <c r="C1500" s="3" t="s">
        <v>1562</v>
      </c>
      <c r="D1500" s="3" t="s">
        <v>38</v>
      </c>
      <c r="F1500" s="3" t="s">
        <v>4192</v>
      </c>
      <c r="G1500" s="3" t="s">
        <v>39</v>
      </c>
      <c r="H1500" s="3" t="s">
        <v>253</v>
      </c>
      <c r="I1500" s="2">
        <v>29</v>
      </c>
      <c r="J1500" s="2">
        <v>29</v>
      </c>
      <c r="K1500" s="2">
        <v>3</v>
      </c>
      <c r="O1500" s="2">
        <v>5</v>
      </c>
      <c r="U1500" s="2">
        <v>5</v>
      </c>
      <c r="V1500" s="2">
        <v>14</v>
      </c>
      <c r="W1500" s="2">
        <v>5</v>
      </c>
      <c r="X1500" s="2">
        <v>5</v>
      </c>
      <c r="Z1500" s="2">
        <v>29</v>
      </c>
      <c r="AA1500" s="3" t="s">
        <v>40</v>
      </c>
      <c r="AB1500" s="2">
        <v>3</v>
      </c>
      <c r="AF1500" s="2">
        <v>30</v>
      </c>
      <c r="AG1500" s="2">
        <v>2</v>
      </c>
      <c r="AH1500" s="3" t="s">
        <v>1563</v>
      </c>
      <c r="AI1500" s="4">
        <v>44726</v>
      </c>
      <c r="AJ1500" s="3" t="s">
        <v>1592</v>
      </c>
      <c r="AK1500" s="3" t="s">
        <v>38</v>
      </c>
    </row>
    <row r="1501" spans="1:37" hidden="1" x14ac:dyDescent="0.25">
      <c r="A1501" t="str">
        <f t="shared" si="23"/>
        <v>2022_NSW_Methul_Lentil_SatelliteTOS2VarietyKelpieXTWaterTrtRainFed</v>
      </c>
      <c r="B1501" s="2">
        <v>2022015</v>
      </c>
      <c r="C1501" s="3" t="s">
        <v>1562</v>
      </c>
      <c r="D1501" s="3" t="s">
        <v>38</v>
      </c>
      <c r="F1501" s="3" t="s">
        <v>4188</v>
      </c>
      <c r="G1501" s="3" t="s">
        <v>43</v>
      </c>
      <c r="H1501" s="3" t="s">
        <v>253</v>
      </c>
      <c r="I1501" s="2">
        <v>30</v>
      </c>
      <c r="J1501" s="2">
        <v>30</v>
      </c>
      <c r="K1501" s="2">
        <v>3</v>
      </c>
      <c r="O1501" s="2">
        <v>5</v>
      </c>
      <c r="U1501" s="2">
        <v>6</v>
      </c>
      <c r="V1501" s="2">
        <v>14</v>
      </c>
      <c r="W1501" s="2">
        <v>6</v>
      </c>
      <c r="X1501" s="2">
        <v>5</v>
      </c>
      <c r="Z1501" s="2">
        <v>30</v>
      </c>
      <c r="AA1501" s="3" t="s">
        <v>40</v>
      </c>
      <c r="AB1501" s="2">
        <v>6</v>
      </c>
      <c r="AF1501" s="2">
        <v>30</v>
      </c>
      <c r="AG1501" s="2">
        <v>2</v>
      </c>
      <c r="AH1501" s="3" t="s">
        <v>1563</v>
      </c>
      <c r="AI1501" s="4">
        <v>44726</v>
      </c>
      <c r="AJ1501" s="3" t="s">
        <v>1593</v>
      </c>
      <c r="AK1501" s="3" t="s">
        <v>38</v>
      </c>
    </row>
    <row r="1502" spans="1:37" hidden="1" x14ac:dyDescent="0.25">
      <c r="A1502" t="str">
        <f t="shared" si="23"/>
        <v>2022_NSW_Methul_Lentil_SatelliteTOS1VarietyAceWaterTrtRainFed</v>
      </c>
      <c r="B1502" s="2">
        <v>2022015</v>
      </c>
      <c r="C1502" s="3" t="s">
        <v>1562</v>
      </c>
      <c r="D1502" s="3" t="s">
        <v>38</v>
      </c>
      <c r="F1502" s="3" t="s">
        <v>4175</v>
      </c>
      <c r="G1502" s="3" t="s">
        <v>39</v>
      </c>
      <c r="H1502" s="3" t="s">
        <v>253</v>
      </c>
      <c r="I1502" s="2">
        <v>31</v>
      </c>
      <c r="J1502" s="2">
        <v>31</v>
      </c>
      <c r="K1502" s="2">
        <v>3</v>
      </c>
      <c r="O1502" s="2">
        <v>6</v>
      </c>
      <c r="U1502" s="2">
        <v>1</v>
      </c>
      <c r="V1502" s="2">
        <v>17</v>
      </c>
      <c r="W1502" s="2">
        <v>1</v>
      </c>
      <c r="X1502" s="2">
        <v>6</v>
      </c>
      <c r="Z1502" s="2">
        <v>36</v>
      </c>
      <c r="AA1502" s="3" t="s">
        <v>40</v>
      </c>
      <c r="AB1502" s="2">
        <v>1</v>
      </c>
      <c r="AF1502" s="2">
        <v>30</v>
      </c>
      <c r="AG1502" s="2">
        <v>1</v>
      </c>
      <c r="AH1502" s="3" t="s">
        <v>1175</v>
      </c>
      <c r="AI1502" s="4">
        <v>44691</v>
      </c>
      <c r="AJ1502" s="3" t="s">
        <v>1594</v>
      </c>
      <c r="AK1502" s="3" t="s">
        <v>38</v>
      </c>
    </row>
    <row r="1503" spans="1:37" hidden="1" x14ac:dyDescent="0.25">
      <c r="A1503" t="str">
        <f t="shared" si="23"/>
        <v>2022_NSW_Methul_Lentil_SatelliteTOS1VarietyKelpieXTWaterTrtRainFed</v>
      </c>
      <c r="B1503" s="2">
        <v>2022015</v>
      </c>
      <c r="C1503" s="3" t="s">
        <v>1562</v>
      </c>
      <c r="D1503" s="3" t="s">
        <v>38</v>
      </c>
      <c r="F1503" s="3" t="s">
        <v>4188</v>
      </c>
      <c r="G1503" s="3" t="s">
        <v>43</v>
      </c>
      <c r="H1503" s="3" t="s">
        <v>253</v>
      </c>
      <c r="I1503" s="2">
        <v>32</v>
      </c>
      <c r="J1503" s="2">
        <v>32</v>
      </c>
      <c r="K1503" s="2">
        <v>3</v>
      </c>
      <c r="O1503" s="2">
        <v>6</v>
      </c>
      <c r="U1503" s="2">
        <v>2</v>
      </c>
      <c r="V1503" s="2">
        <v>17</v>
      </c>
      <c r="W1503" s="2">
        <v>2</v>
      </c>
      <c r="X1503" s="2">
        <v>6</v>
      </c>
      <c r="Z1503" s="2">
        <v>35</v>
      </c>
      <c r="AA1503" s="3" t="s">
        <v>40</v>
      </c>
      <c r="AB1503" s="2">
        <v>6</v>
      </c>
      <c r="AF1503" s="2">
        <v>30</v>
      </c>
      <c r="AG1503" s="2">
        <v>1</v>
      </c>
      <c r="AH1503" s="3" t="s">
        <v>1175</v>
      </c>
      <c r="AI1503" s="4">
        <v>44691</v>
      </c>
      <c r="AJ1503" s="3" t="s">
        <v>1595</v>
      </c>
      <c r="AK1503" s="3" t="s">
        <v>38</v>
      </c>
    </row>
    <row r="1504" spans="1:37" hidden="1" x14ac:dyDescent="0.25">
      <c r="A1504" t="str">
        <f t="shared" si="23"/>
        <v>2022_NSW_Methul_Lentil_SatelliteTOS1VarietyGreenfieldWaterTrtRainFed</v>
      </c>
      <c r="B1504" s="2">
        <v>2022015</v>
      </c>
      <c r="C1504" s="3" t="s">
        <v>1562</v>
      </c>
      <c r="D1504" s="3" t="s">
        <v>38</v>
      </c>
      <c r="F1504" s="3" t="s">
        <v>4192</v>
      </c>
      <c r="G1504" s="3" t="s">
        <v>39</v>
      </c>
      <c r="H1504" s="3" t="s">
        <v>253</v>
      </c>
      <c r="I1504" s="2">
        <v>33</v>
      </c>
      <c r="J1504" s="2">
        <v>33</v>
      </c>
      <c r="K1504" s="2">
        <v>3</v>
      </c>
      <c r="O1504" s="2">
        <v>6</v>
      </c>
      <c r="U1504" s="2">
        <v>3</v>
      </c>
      <c r="V1504" s="2">
        <v>17</v>
      </c>
      <c r="W1504" s="2">
        <v>3</v>
      </c>
      <c r="X1504" s="2">
        <v>6</v>
      </c>
      <c r="Z1504" s="2">
        <v>34</v>
      </c>
      <c r="AA1504" s="3" t="s">
        <v>40</v>
      </c>
      <c r="AB1504" s="2">
        <v>3</v>
      </c>
      <c r="AF1504" s="2">
        <v>30</v>
      </c>
      <c r="AG1504" s="2">
        <v>1</v>
      </c>
      <c r="AH1504" s="3" t="s">
        <v>1175</v>
      </c>
      <c r="AI1504" s="4">
        <v>44691</v>
      </c>
      <c r="AJ1504" s="3" t="s">
        <v>1596</v>
      </c>
      <c r="AK1504" s="3" t="s">
        <v>38</v>
      </c>
    </row>
    <row r="1505" spans="1:37" hidden="1" x14ac:dyDescent="0.25">
      <c r="A1505" t="str">
        <f t="shared" si="23"/>
        <v>2022_NSW_Methul_Lentil_SatelliteTOS1VarietyJumbo2WaterTrtRainFed</v>
      </c>
      <c r="B1505" s="2">
        <v>2022015</v>
      </c>
      <c r="C1505" s="3" t="s">
        <v>1562</v>
      </c>
      <c r="D1505" s="3" t="s">
        <v>38</v>
      </c>
      <c r="F1505" s="3" t="s">
        <v>4176</v>
      </c>
      <c r="G1505" s="3" t="s">
        <v>43</v>
      </c>
      <c r="H1505" s="3" t="s">
        <v>253</v>
      </c>
      <c r="I1505" s="2">
        <v>34</v>
      </c>
      <c r="J1505" s="2">
        <v>34</v>
      </c>
      <c r="K1505" s="2">
        <v>3</v>
      </c>
      <c r="O1505" s="2">
        <v>6</v>
      </c>
      <c r="U1505" s="2">
        <v>4</v>
      </c>
      <c r="V1505" s="2">
        <v>17</v>
      </c>
      <c r="W1505" s="2">
        <v>4</v>
      </c>
      <c r="X1505" s="2">
        <v>6</v>
      </c>
      <c r="Z1505" s="2">
        <v>33</v>
      </c>
      <c r="AA1505" s="3" t="s">
        <v>40</v>
      </c>
      <c r="AB1505" s="2">
        <v>5</v>
      </c>
      <c r="AF1505" s="2">
        <v>30</v>
      </c>
      <c r="AG1505" s="2">
        <v>1</v>
      </c>
      <c r="AH1505" s="3" t="s">
        <v>1175</v>
      </c>
      <c r="AI1505" s="4">
        <v>44691</v>
      </c>
      <c r="AJ1505" s="3" t="s">
        <v>1597</v>
      </c>
      <c r="AK1505" s="3" t="s">
        <v>38</v>
      </c>
    </row>
    <row r="1506" spans="1:37" hidden="1" x14ac:dyDescent="0.25">
      <c r="A1506" t="str">
        <f t="shared" si="23"/>
        <v>2022_NSW_Methul_Lentil_SatelliteTOS1VarietyHallmarkXTWaterTrtRainFed</v>
      </c>
      <c r="B1506" s="2">
        <v>2022015</v>
      </c>
      <c r="C1506" s="3" t="s">
        <v>1562</v>
      </c>
      <c r="D1506" s="3" t="s">
        <v>38</v>
      </c>
      <c r="F1506" s="3" t="s">
        <v>4189</v>
      </c>
      <c r="G1506" s="3" t="s">
        <v>39</v>
      </c>
      <c r="H1506" s="3" t="s">
        <v>253</v>
      </c>
      <c r="I1506" s="2">
        <v>35</v>
      </c>
      <c r="J1506" s="2">
        <v>35</v>
      </c>
      <c r="K1506" s="2">
        <v>3</v>
      </c>
      <c r="O1506" s="2">
        <v>6</v>
      </c>
      <c r="U1506" s="2">
        <v>5</v>
      </c>
      <c r="V1506" s="2">
        <v>17</v>
      </c>
      <c r="W1506" s="2">
        <v>5</v>
      </c>
      <c r="X1506" s="2">
        <v>6</v>
      </c>
      <c r="Z1506" s="2">
        <v>32</v>
      </c>
      <c r="AA1506" s="3" t="s">
        <v>40</v>
      </c>
      <c r="AB1506" s="2">
        <v>4</v>
      </c>
      <c r="AF1506" s="2">
        <v>30</v>
      </c>
      <c r="AG1506" s="2">
        <v>1</v>
      </c>
      <c r="AH1506" s="3" t="s">
        <v>1175</v>
      </c>
      <c r="AI1506" s="4">
        <v>44691</v>
      </c>
      <c r="AJ1506" s="3" t="s">
        <v>1598</v>
      </c>
      <c r="AK1506" s="3" t="s">
        <v>38</v>
      </c>
    </row>
    <row r="1507" spans="1:37" hidden="1" x14ac:dyDescent="0.25">
      <c r="A1507" t="str">
        <f t="shared" si="23"/>
        <v>2022_NSW_Methul_Lentil_SatelliteTOS1VarietyBoltWaterTrtRainFed</v>
      </c>
      <c r="B1507" s="2">
        <v>2022015</v>
      </c>
      <c r="C1507" s="3" t="s">
        <v>1562</v>
      </c>
      <c r="D1507" s="3" t="s">
        <v>38</v>
      </c>
      <c r="F1507" s="3" t="s">
        <v>4187</v>
      </c>
      <c r="G1507" s="3" t="s">
        <v>39</v>
      </c>
      <c r="H1507" s="3" t="s">
        <v>253</v>
      </c>
      <c r="I1507" s="2">
        <v>36</v>
      </c>
      <c r="J1507" s="2">
        <v>36</v>
      </c>
      <c r="K1507" s="2">
        <v>3</v>
      </c>
      <c r="O1507" s="2">
        <v>6</v>
      </c>
      <c r="U1507" s="2">
        <v>6</v>
      </c>
      <c r="V1507" s="2">
        <v>17</v>
      </c>
      <c r="W1507" s="2">
        <v>6</v>
      </c>
      <c r="X1507" s="2">
        <v>6</v>
      </c>
      <c r="Z1507" s="2">
        <v>31</v>
      </c>
      <c r="AA1507" s="3" t="s">
        <v>40</v>
      </c>
      <c r="AB1507" s="2">
        <v>2</v>
      </c>
      <c r="AF1507" s="2">
        <v>30</v>
      </c>
      <c r="AG1507" s="2">
        <v>1</v>
      </c>
      <c r="AH1507" s="3" t="s">
        <v>1175</v>
      </c>
      <c r="AI1507" s="4">
        <v>44691</v>
      </c>
      <c r="AJ1507" s="3" t="s">
        <v>1599</v>
      </c>
      <c r="AK1507" s="3" t="s">
        <v>38</v>
      </c>
    </row>
    <row r="1508" spans="1:37" hidden="1" x14ac:dyDescent="0.25">
      <c r="A1508" t="str">
        <f t="shared" si="23"/>
        <v>2022_NSW_Methul_Lentil_SatelliteTOS1VarietyGreenfieldWaterTrtRainFed</v>
      </c>
      <c r="B1508" s="2">
        <v>2022015</v>
      </c>
      <c r="C1508" s="3" t="s">
        <v>1562</v>
      </c>
      <c r="D1508" s="3" t="s">
        <v>38</v>
      </c>
      <c r="F1508" s="3" t="s">
        <v>4192</v>
      </c>
      <c r="G1508" s="3" t="s">
        <v>39</v>
      </c>
      <c r="H1508" s="3" t="s">
        <v>253</v>
      </c>
      <c r="I1508" s="2">
        <v>37</v>
      </c>
      <c r="J1508" s="2">
        <v>37</v>
      </c>
      <c r="K1508" s="2">
        <v>4</v>
      </c>
      <c r="O1508" s="2">
        <v>7</v>
      </c>
      <c r="U1508" s="2">
        <v>1</v>
      </c>
      <c r="V1508" s="2">
        <v>20</v>
      </c>
      <c r="W1508" s="2">
        <v>1</v>
      </c>
      <c r="X1508" s="2">
        <v>7</v>
      </c>
      <c r="Z1508" s="2">
        <v>37</v>
      </c>
      <c r="AA1508" s="3" t="s">
        <v>40</v>
      </c>
      <c r="AB1508" s="2">
        <v>3</v>
      </c>
      <c r="AF1508" s="2">
        <v>30</v>
      </c>
      <c r="AG1508" s="2">
        <v>1</v>
      </c>
      <c r="AH1508" s="3" t="s">
        <v>1175</v>
      </c>
      <c r="AI1508" s="4">
        <v>44691</v>
      </c>
      <c r="AJ1508" s="3" t="s">
        <v>1600</v>
      </c>
      <c r="AK1508" s="3" t="s">
        <v>38</v>
      </c>
    </row>
    <row r="1509" spans="1:37" hidden="1" x14ac:dyDescent="0.25">
      <c r="A1509" t="str">
        <f t="shared" si="23"/>
        <v>2022_NSW_Methul_Lentil_SatelliteTOS1VarietyAceWaterTrtRainFed</v>
      </c>
      <c r="B1509" s="2">
        <v>2022015</v>
      </c>
      <c r="C1509" s="3" t="s">
        <v>1562</v>
      </c>
      <c r="D1509" s="3" t="s">
        <v>38</v>
      </c>
      <c r="F1509" s="3" t="s">
        <v>4175</v>
      </c>
      <c r="G1509" s="3" t="s">
        <v>39</v>
      </c>
      <c r="H1509" s="3" t="s">
        <v>253</v>
      </c>
      <c r="I1509" s="2">
        <v>38</v>
      </c>
      <c r="J1509" s="2">
        <v>38</v>
      </c>
      <c r="K1509" s="2">
        <v>4</v>
      </c>
      <c r="O1509" s="2">
        <v>7</v>
      </c>
      <c r="U1509" s="2">
        <v>2</v>
      </c>
      <c r="V1509" s="2">
        <v>20</v>
      </c>
      <c r="W1509" s="2">
        <v>2</v>
      </c>
      <c r="X1509" s="2">
        <v>7</v>
      </c>
      <c r="Z1509" s="2">
        <v>38</v>
      </c>
      <c r="AA1509" s="3" t="s">
        <v>40</v>
      </c>
      <c r="AB1509" s="2">
        <v>1</v>
      </c>
      <c r="AF1509" s="2">
        <v>30</v>
      </c>
      <c r="AG1509" s="2">
        <v>1</v>
      </c>
      <c r="AH1509" s="3" t="s">
        <v>1175</v>
      </c>
      <c r="AI1509" s="4">
        <v>44691</v>
      </c>
      <c r="AJ1509" s="3" t="s">
        <v>1601</v>
      </c>
      <c r="AK1509" s="3" t="s">
        <v>38</v>
      </c>
    </row>
    <row r="1510" spans="1:37" hidden="1" x14ac:dyDescent="0.25">
      <c r="A1510" t="str">
        <f t="shared" si="23"/>
        <v>2022_NSW_Methul_Lentil_SatelliteTOS1VarietyBoltWaterTrtRainFed</v>
      </c>
      <c r="B1510" s="2">
        <v>2022015</v>
      </c>
      <c r="C1510" s="3" t="s">
        <v>1562</v>
      </c>
      <c r="D1510" s="3" t="s">
        <v>38</v>
      </c>
      <c r="F1510" s="3" t="s">
        <v>4187</v>
      </c>
      <c r="G1510" s="3" t="s">
        <v>39</v>
      </c>
      <c r="H1510" s="3" t="s">
        <v>253</v>
      </c>
      <c r="I1510" s="2">
        <v>39</v>
      </c>
      <c r="J1510" s="2">
        <v>39</v>
      </c>
      <c r="K1510" s="2">
        <v>4</v>
      </c>
      <c r="O1510" s="2">
        <v>7</v>
      </c>
      <c r="U1510" s="2">
        <v>3</v>
      </c>
      <c r="V1510" s="2">
        <v>20</v>
      </c>
      <c r="W1510" s="2">
        <v>3</v>
      </c>
      <c r="X1510" s="2">
        <v>7</v>
      </c>
      <c r="Z1510" s="2">
        <v>39</v>
      </c>
      <c r="AA1510" s="3" t="s">
        <v>40</v>
      </c>
      <c r="AB1510" s="2">
        <v>2</v>
      </c>
      <c r="AF1510" s="2">
        <v>30</v>
      </c>
      <c r="AG1510" s="2">
        <v>1</v>
      </c>
      <c r="AH1510" s="3" t="s">
        <v>1175</v>
      </c>
      <c r="AI1510" s="4">
        <v>44691</v>
      </c>
      <c r="AJ1510" s="3" t="s">
        <v>1602</v>
      </c>
      <c r="AK1510" s="3" t="s">
        <v>38</v>
      </c>
    </row>
    <row r="1511" spans="1:37" hidden="1" x14ac:dyDescent="0.25">
      <c r="A1511" t="str">
        <f t="shared" si="23"/>
        <v>2022_NSW_Methul_Lentil_SatelliteTOS1VarietyHallmarkXTWaterTrtRainFed</v>
      </c>
      <c r="B1511" s="2">
        <v>2022015</v>
      </c>
      <c r="C1511" s="3" t="s">
        <v>1562</v>
      </c>
      <c r="D1511" s="3" t="s">
        <v>38</v>
      </c>
      <c r="F1511" s="3" t="s">
        <v>4189</v>
      </c>
      <c r="G1511" s="3" t="s">
        <v>39</v>
      </c>
      <c r="H1511" s="3" t="s">
        <v>253</v>
      </c>
      <c r="I1511" s="2">
        <v>40</v>
      </c>
      <c r="J1511" s="2">
        <v>40</v>
      </c>
      <c r="K1511" s="2">
        <v>4</v>
      </c>
      <c r="O1511" s="2">
        <v>7</v>
      </c>
      <c r="U1511" s="2">
        <v>4</v>
      </c>
      <c r="V1511" s="2">
        <v>20</v>
      </c>
      <c r="W1511" s="2">
        <v>4</v>
      </c>
      <c r="X1511" s="2">
        <v>7</v>
      </c>
      <c r="Z1511" s="2">
        <v>40</v>
      </c>
      <c r="AA1511" s="3" t="s">
        <v>40</v>
      </c>
      <c r="AB1511" s="2">
        <v>4</v>
      </c>
      <c r="AF1511" s="2">
        <v>30</v>
      </c>
      <c r="AG1511" s="2">
        <v>1</v>
      </c>
      <c r="AH1511" s="3" t="s">
        <v>1175</v>
      </c>
      <c r="AI1511" s="4">
        <v>44691</v>
      </c>
      <c r="AJ1511" s="3" t="s">
        <v>1603</v>
      </c>
      <c r="AK1511" s="3" t="s">
        <v>38</v>
      </c>
    </row>
    <row r="1512" spans="1:37" hidden="1" x14ac:dyDescent="0.25">
      <c r="A1512" t="str">
        <f t="shared" si="23"/>
        <v>2022_NSW_Methul_Lentil_SatelliteTOS1VarietyKelpieXTWaterTrtRainFed</v>
      </c>
      <c r="B1512" s="2">
        <v>2022015</v>
      </c>
      <c r="C1512" s="3" t="s">
        <v>1562</v>
      </c>
      <c r="D1512" s="3" t="s">
        <v>38</v>
      </c>
      <c r="F1512" s="3" t="s">
        <v>4188</v>
      </c>
      <c r="G1512" s="3" t="s">
        <v>43</v>
      </c>
      <c r="H1512" s="3" t="s">
        <v>253</v>
      </c>
      <c r="I1512" s="2">
        <v>41</v>
      </c>
      <c r="J1512" s="2">
        <v>41</v>
      </c>
      <c r="K1512" s="2">
        <v>4</v>
      </c>
      <c r="O1512" s="2">
        <v>7</v>
      </c>
      <c r="U1512" s="2">
        <v>5</v>
      </c>
      <c r="V1512" s="2">
        <v>20</v>
      </c>
      <c r="W1512" s="2">
        <v>5</v>
      </c>
      <c r="X1512" s="2">
        <v>7</v>
      </c>
      <c r="Z1512" s="2">
        <v>41</v>
      </c>
      <c r="AA1512" s="3" t="s">
        <v>40</v>
      </c>
      <c r="AB1512" s="2">
        <v>6</v>
      </c>
      <c r="AF1512" s="2">
        <v>30</v>
      </c>
      <c r="AG1512" s="2">
        <v>1</v>
      </c>
      <c r="AH1512" s="3" t="s">
        <v>1175</v>
      </c>
      <c r="AI1512" s="4">
        <v>44691</v>
      </c>
      <c r="AJ1512" s="3" t="s">
        <v>1604</v>
      </c>
      <c r="AK1512" s="3" t="s">
        <v>38</v>
      </c>
    </row>
    <row r="1513" spans="1:37" hidden="1" x14ac:dyDescent="0.25">
      <c r="A1513" t="str">
        <f t="shared" si="23"/>
        <v>2022_NSW_Methul_Lentil_SatelliteTOS1VarietyJumbo2WaterTrtRainFed</v>
      </c>
      <c r="B1513" s="2">
        <v>2022015</v>
      </c>
      <c r="C1513" s="3" t="s">
        <v>1562</v>
      </c>
      <c r="D1513" s="3" t="s">
        <v>38</v>
      </c>
      <c r="F1513" s="3" t="s">
        <v>4176</v>
      </c>
      <c r="G1513" s="3" t="s">
        <v>43</v>
      </c>
      <c r="H1513" s="3" t="s">
        <v>253</v>
      </c>
      <c r="I1513" s="2">
        <v>42</v>
      </c>
      <c r="J1513" s="2">
        <v>42</v>
      </c>
      <c r="K1513" s="2">
        <v>4</v>
      </c>
      <c r="O1513" s="2">
        <v>7</v>
      </c>
      <c r="U1513" s="2">
        <v>6</v>
      </c>
      <c r="V1513" s="2">
        <v>20</v>
      </c>
      <c r="W1513" s="2">
        <v>6</v>
      </c>
      <c r="X1513" s="2">
        <v>7</v>
      </c>
      <c r="Z1513" s="2">
        <v>42</v>
      </c>
      <c r="AA1513" s="3" t="s">
        <v>40</v>
      </c>
      <c r="AB1513" s="2">
        <v>5</v>
      </c>
      <c r="AF1513" s="2">
        <v>30</v>
      </c>
      <c r="AG1513" s="2">
        <v>1</v>
      </c>
      <c r="AH1513" s="3" t="s">
        <v>1175</v>
      </c>
      <c r="AI1513" s="4">
        <v>44691</v>
      </c>
      <c r="AJ1513" s="3" t="s">
        <v>1605</v>
      </c>
      <c r="AK1513" s="3" t="s">
        <v>38</v>
      </c>
    </row>
    <row r="1514" spans="1:37" hidden="1" x14ac:dyDescent="0.25">
      <c r="A1514" t="str">
        <f t="shared" si="23"/>
        <v>2022_NSW_Methul_Lentil_SatelliteTOS2VarietyBoltWaterTrtRainFed</v>
      </c>
      <c r="B1514" s="2">
        <v>2022015</v>
      </c>
      <c r="C1514" s="3" t="s">
        <v>1562</v>
      </c>
      <c r="D1514" s="3" t="s">
        <v>38</v>
      </c>
      <c r="F1514" s="3" t="s">
        <v>4187</v>
      </c>
      <c r="G1514" s="3" t="s">
        <v>39</v>
      </c>
      <c r="H1514" s="3" t="s">
        <v>253</v>
      </c>
      <c r="I1514" s="2">
        <v>43</v>
      </c>
      <c r="J1514" s="2">
        <v>43</v>
      </c>
      <c r="K1514" s="2">
        <v>4</v>
      </c>
      <c r="O1514" s="2">
        <v>8</v>
      </c>
      <c r="U1514" s="2">
        <v>1</v>
      </c>
      <c r="V1514" s="2">
        <v>23</v>
      </c>
      <c r="W1514" s="2">
        <v>1</v>
      </c>
      <c r="X1514" s="2">
        <v>8</v>
      </c>
      <c r="Z1514" s="2">
        <v>48</v>
      </c>
      <c r="AA1514" s="3" t="s">
        <v>40</v>
      </c>
      <c r="AB1514" s="2">
        <v>2</v>
      </c>
      <c r="AF1514" s="2">
        <v>30</v>
      </c>
      <c r="AG1514" s="2">
        <v>2</v>
      </c>
      <c r="AH1514" s="3" t="s">
        <v>1563</v>
      </c>
      <c r="AI1514" s="4">
        <v>44726</v>
      </c>
      <c r="AJ1514" s="3" t="s">
        <v>1606</v>
      </c>
      <c r="AK1514" s="3" t="s">
        <v>38</v>
      </c>
    </row>
    <row r="1515" spans="1:37" hidden="1" x14ac:dyDescent="0.25">
      <c r="A1515" t="str">
        <f t="shared" si="23"/>
        <v>2022_NSW_Methul_Lentil_SatelliteTOS2VarietyJumbo2WaterTrtRainFed</v>
      </c>
      <c r="B1515" s="2">
        <v>2022015</v>
      </c>
      <c r="C1515" s="3" t="s">
        <v>1562</v>
      </c>
      <c r="D1515" s="3" t="s">
        <v>38</v>
      </c>
      <c r="F1515" s="3" t="s">
        <v>4176</v>
      </c>
      <c r="G1515" s="3" t="s">
        <v>43</v>
      </c>
      <c r="H1515" s="3" t="s">
        <v>253</v>
      </c>
      <c r="I1515" s="2">
        <v>44</v>
      </c>
      <c r="J1515" s="2">
        <v>44</v>
      </c>
      <c r="K1515" s="2">
        <v>4</v>
      </c>
      <c r="O1515" s="2">
        <v>8</v>
      </c>
      <c r="U1515" s="2">
        <v>2</v>
      </c>
      <c r="V1515" s="2">
        <v>23</v>
      </c>
      <c r="W1515" s="2">
        <v>2</v>
      </c>
      <c r="X1515" s="2">
        <v>8</v>
      </c>
      <c r="Z1515" s="2">
        <v>47</v>
      </c>
      <c r="AA1515" s="3" t="s">
        <v>40</v>
      </c>
      <c r="AB1515" s="2">
        <v>5</v>
      </c>
      <c r="AF1515" s="2">
        <v>30</v>
      </c>
      <c r="AG1515" s="2">
        <v>2</v>
      </c>
      <c r="AH1515" s="3" t="s">
        <v>1563</v>
      </c>
      <c r="AI1515" s="4">
        <v>44726</v>
      </c>
      <c r="AJ1515" s="3" t="s">
        <v>1607</v>
      </c>
      <c r="AK1515" s="3" t="s">
        <v>38</v>
      </c>
    </row>
    <row r="1516" spans="1:37" hidden="1" x14ac:dyDescent="0.25">
      <c r="A1516" t="str">
        <f t="shared" si="23"/>
        <v>2022_NSW_Methul_Lentil_SatelliteTOS2VarietyKelpieXTWaterTrtRainFed</v>
      </c>
      <c r="B1516" s="2">
        <v>2022015</v>
      </c>
      <c r="C1516" s="3" t="s">
        <v>1562</v>
      </c>
      <c r="D1516" s="3" t="s">
        <v>38</v>
      </c>
      <c r="F1516" s="3" t="s">
        <v>4188</v>
      </c>
      <c r="G1516" s="3" t="s">
        <v>43</v>
      </c>
      <c r="H1516" s="3" t="s">
        <v>253</v>
      </c>
      <c r="I1516" s="2">
        <v>45</v>
      </c>
      <c r="J1516" s="2">
        <v>45</v>
      </c>
      <c r="K1516" s="2">
        <v>4</v>
      </c>
      <c r="O1516" s="2">
        <v>8</v>
      </c>
      <c r="U1516" s="2">
        <v>3</v>
      </c>
      <c r="V1516" s="2">
        <v>23</v>
      </c>
      <c r="W1516" s="2">
        <v>3</v>
      </c>
      <c r="X1516" s="2">
        <v>8</v>
      </c>
      <c r="Z1516" s="2">
        <v>46</v>
      </c>
      <c r="AA1516" s="3" t="s">
        <v>40</v>
      </c>
      <c r="AB1516" s="2">
        <v>6</v>
      </c>
      <c r="AF1516" s="2">
        <v>30</v>
      </c>
      <c r="AG1516" s="2">
        <v>2</v>
      </c>
      <c r="AH1516" s="3" t="s">
        <v>1563</v>
      </c>
      <c r="AI1516" s="4">
        <v>44726</v>
      </c>
      <c r="AJ1516" s="3" t="s">
        <v>1608</v>
      </c>
      <c r="AK1516" s="3" t="s">
        <v>38</v>
      </c>
    </row>
    <row r="1517" spans="1:37" hidden="1" x14ac:dyDescent="0.25">
      <c r="A1517" t="str">
        <f t="shared" si="23"/>
        <v>2022_NSW_Methul_Lentil_SatelliteTOS2VarietyAceWaterTrtRainFed</v>
      </c>
      <c r="B1517" s="2">
        <v>2022015</v>
      </c>
      <c r="C1517" s="3" t="s">
        <v>1562</v>
      </c>
      <c r="D1517" s="3" t="s">
        <v>38</v>
      </c>
      <c r="F1517" s="3" t="s">
        <v>4175</v>
      </c>
      <c r="G1517" s="3" t="s">
        <v>39</v>
      </c>
      <c r="H1517" s="3" t="s">
        <v>253</v>
      </c>
      <c r="I1517" s="2">
        <v>46</v>
      </c>
      <c r="J1517" s="2">
        <v>46</v>
      </c>
      <c r="K1517" s="2">
        <v>4</v>
      </c>
      <c r="O1517" s="2">
        <v>8</v>
      </c>
      <c r="U1517" s="2">
        <v>4</v>
      </c>
      <c r="V1517" s="2">
        <v>23</v>
      </c>
      <c r="W1517" s="2">
        <v>4</v>
      </c>
      <c r="X1517" s="2">
        <v>8</v>
      </c>
      <c r="Z1517" s="2">
        <v>45</v>
      </c>
      <c r="AA1517" s="3" t="s">
        <v>40</v>
      </c>
      <c r="AB1517" s="2">
        <v>1</v>
      </c>
      <c r="AF1517" s="2">
        <v>30</v>
      </c>
      <c r="AG1517" s="2">
        <v>2</v>
      </c>
      <c r="AH1517" s="3" t="s">
        <v>1563</v>
      </c>
      <c r="AI1517" s="4">
        <v>44726</v>
      </c>
      <c r="AJ1517" s="3" t="s">
        <v>1609</v>
      </c>
      <c r="AK1517" s="3" t="s">
        <v>38</v>
      </c>
    </row>
    <row r="1518" spans="1:37" hidden="1" x14ac:dyDescent="0.25">
      <c r="A1518" t="str">
        <f t="shared" si="23"/>
        <v>2022_NSW_Methul_Lentil_SatelliteTOS2VarietyHallmarkXTWaterTrtRainFed</v>
      </c>
      <c r="B1518" s="2">
        <v>2022015</v>
      </c>
      <c r="C1518" s="3" t="s">
        <v>1562</v>
      </c>
      <c r="D1518" s="3" t="s">
        <v>38</v>
      </c>
      <c r="F1518" s="3" t="s">
        <v>4189</v>
      </c>
      <c r="G1518" s="3" t="s">
        <v>39</v>
      </c>
      <c r="H1518" s="3" t="s">
        <v>253</v>
      </c>
      <c r="I1518" s="2">
        <v>47</v>
      </c>
      <c r="J1518" s="2">
        <v>47</v>
      </c>
      <c r="K1518" s="2">
        <v>4</v>
      </c>
      <c r="O1518" s="2">
        <v>8</v>
      </c>
      <c r="U1518" s="2">
        <v>5</v>
      </c>
      <c r="V1518" s="2">
        <v>23</v>
      </c>
      <c r="W1518" s="2">
        <v>5</v>
      </c>
      <c r="X1518" s="2">
        <v>8</v>
      </c>
      <c r="Z1518" s="2">
        <v>44</v>
      </c>
      <c r="AA1518" s="3" t="s">
        <v>40</v>
      </c>
      <c r="AB1518" s="2">
        <v>4</v>
      </c>
      <c r="AF1518" s="2">
        <v>30</v>
      </c>
      <c r="AG1518" s="2">
        <v>2</v>
      </c>
      <c r="AH1518" s="3" t="s">
        <v>1563</v>
      </c>
      <c r="AI1518" s="4">
        <v>44726</v>
      </c>
      <c r="AJ1518" s="3" t="s">
        <v>1610</v>
      </c>
      <c r="AK1518" s="3" t="s">
        <v>38</v>
      </c>
    </row>
    <row r="1519" spans="1:37" hidden="1" x14ac:dyDescent="0.25">
      <c r="A1519" t="str">
        <f t="shared" si="23"/>
        <v>2022_NSW_Methul_Lentil_SatelliteTOS2VarietyGreenfieldWaterTrtRainFed</v>
      </c>
      <c r="B1519" s="2">
        <v>2022015</v>
      </c>
      <c r="C1519" s="3" t="s">
        <v>1562</v>
      </c>
      <c r="D1519" s="3" t="s">
        <v>38</v>
      </c>
      <c r="F1519" s="3" t="s">
        <v>4192</v>
      </c>
      <c r="G1519" s="3" t="s">
        <v>39</v>
      </c>
      <c r="H1519" s="3" t="s">
        <v>253</v>
      </c>
      <c r="I1519" s="2">
        <v>48</v>
      </c>
      <c r="J1519" s="2">
        <v>48</v>
      </c>
      <c r="K1519" s="2">
        <v>4</v>
      </c>
      <c r="O1519" s="2">
        <v>8</v>
      </c>
      <c r="U1519" s="2">
        <v>6</v>
      </c>
      <c r="V1519" s="2">
        <v>23</v>
      </c>
      <c r="W1519" s="2">
        <v>6</v>
      </c>
      <c r="X1519" s="2">
        <v>8</v>
      </c>
      <c r="Z1519" s="2">
        <v>43</v>
      </c>
      <c r="AA1519" s="3" t="s">
        <v>40</v>
      </c>
      <c r="AB1519" s="2">
        <v>3</v>
      </c>
      <c r="AF1519" s="2">
        <v>30</v>
      </c>
      <c r="AG1519" s="2">
        <v>2</v>
      </c>
      <c r="AH1519" s="3" t="s">
        <v>1563</v>
      </c>
      <c r="AI1519" s="4">
        <v>44726</v>
      </c>
      <c r="AJ1519" s="3" t="s">
        <v>1611</v>
      </c>
      <c r="AK1519" s="3" t="s">
        <v>38</v>
      </c>
    </row>
    <row r="1520" spans="1:37" hidden="1" x14ac:dyDescent="0.25">
      <c r="A1520" t="str">
        <f t="shared" si="23"/>
        <v>2022_Vic_Ouyen_Lentil_SatelliteTOS1VarietyGIA_LeaderWaterTrtRainFed</v>
      </c>
      <c r="B1520" s="2">
        <v>2022016</v>
      </c>
      <c r="C1520" s="3" t="s">
        <v>1612</v>
      </c>
      <c r="D1520" s="3" t="s">
        <v>38</v>
      </c>
      <c r="F1520" s="3" t="s">
        <v>1613</v>
      </c>
      <c r="G1520" s="3" t="s">
        <v>39</v>
      </c>
      <c r="H1520" s="3" t="s">
        <v>253</v>
      </c>
      <c r="I1520" s="2">
        <v>1</v>
      </c>
      <c r="J1520" s="2">
        <v>1</v>
      </c>
      <c r="K1520" s="2">
        <v>1</v>
      </c>
      <c r="O1520" s="2">
        <v>1</v>
      </c>
      <c r="U1520" s="2">
        <v>1</v>
      </c>
      <c r="V1520" s="2">
        <v>1</v>
      </c>
      <c r="W1520" s="2">
        <v>1</v>
      </c>
      <c r="X1520" s="2">
        <v>1</v>
      </c>
      <c r="Z1520" s="2">
        <v>1</v>
      </c>
      <c r="AA1520" s="3" t="s">
        <v>40</v>
      </c>
      <c r="AB1520" s="2">
        <v>6</v>
      </c>
      <c r="AF1520" s="2">
        <v>28</v>
      </c>
      <c r="AG1520" s="2">
        <v>1</v>
      </c>
      <c r="AH1520" s="3" t="s">
        <v>1375</v>
      </c>
      <c r="AI1520" s="4">
        <v>44683</v>
      </c>
      <c r="AJ1520" s="3" t="s">
        <v>1614</v>
      </c>
      <c r="AK1520" s="3" t="s">
        <v>38</v>
      </c>
    </row>
    <row r="1521" spans="1:37" hidden="1" x14ac:dyDescent="0.25">
      <c r="A1521" t="str">
        <f t="shared" si="23"/>
        <v>2022_Vic_Ouyen_Lentil_SatelliteTOS1VarietyBoltWaterTrtRainFed</v>
      </c>
      <c r="B1521" s="2">
        <v>2022016</v>
      </c>
      <c r="C1521" s="3" t="s">
        <v>1612</v>
      </c>
      <c r="D1521" s="3" t="s">
        <v>38</v>
      </c>
      <c r="F1521" s="3" t="s">
        <v>4187</v>
      </c>
      <c r="G1521" s="3" t="s">
        <v>39</v>
      </c>
      <c r="H1521" s="3" t="s">
        <v>253</v>
      </c>
      <c r="I1521" s="2">
        <v>2</v>
      </c>
      <c r="J1521" s="2">
        <v>2</v>
      </c>
      <c r="K1521" s="2">
        <v>1</v>
      </c>
      <c r="O1521" s="2">
        <v>1</v>
      </c>
      <c r="U1521" s="2">
        <v>2</v>
      </c>
      <c r="V1521" s="2">
        <v>1</v>
      </c>
      <c r="W1521" s="2">
        <v>2</v>
      </c>
      <c r="X1521" s="2">
        <v>1</v>
      </c>
      <c r="Z1521" s="2">
        <v>2</v>
      </c>
      <c r="AA1521" s="3" t="s">
        <v>40</v>
      </c>
      <c r="AB1521" s="2">
        <v>1</v>
      </c>
      <c r="AF1521" s="2">
        <v>28</v>
      </c>
      <c r="AG1521" s="2">
        <v>1</v>
      </c>
      <c r="AH1521" s="3" t="s">
        <v>1375</v>
      </c>
      <c r="AI1521" s="4">
        <v>44683</v>
      </c>
      <c r="AJ1521" s="3" t="s">
        <v>1615</v>
      </c>
      <c r="AK1521" s="3" t="s">
        <v>38</v>
      </c>
    </row>
    <row r="1522" spans="1:37" hidden="1" x14ac:dyDescent="0.25">
      <c r="A1522" t="str">
        <f t="shared" si="23"/>
        <v>2022_Vic_Ouyen_Lentil_SatelliteTOS1VarietyHallmarkXTWaterTrtRainFed</v>
      </c>
      <c r="B1522" s="2">
        <v>2022016</v>
      </c>
      <c r="C1522" s="3" t="s">
        <v>1612</v>
      </c>
      <c r="D1522" s="3" t="s">
        <v>38</v>
      </c>
      <c r="F1522" s="3" t="s">
        <v>4189</v>
      </c>
      <c r="G1522" s="3" t="s">
        <v>39</v>
      </c>
      <c r="H1522" s="3" t="s">
        <v>253</v>
      </c>
      <c r="I1522" s="2">
        <v>3</v>
      </c>
      <c r="J1522" s="2">
        <v>3</v>
      </c>
      <c r="K1522" s="2">
        <v>1</v>
      </c>
      <c r="O1522" s="2">
        <v>1</v>
      </c>
      <c r="U1522" s="2">
        <v>3</v>
      </c>
      <c r="V1522" s="2">
        <v>1</v>
      </c>
      <c r="W1522" s="2">
        <v>3</v>
      </c>
      <c r="X1522" s="2">
        <v>1</v>
      </c>
      <c r="Z1522" s="2">
        <v>3</v>
      </c>
      <c r="AA1522" s="3" t="s">
        <v>40</v>
      </c>
      <c r="AB1522" s="2">
        <v>2</v>
      </c>
      <c r="AF1522" s="2">
        <v>28</v>
      </c>
      <c r="AG1522" s="2">
        <v>1</v>
      </c>
      <c r="AH1522" s="3" t="s">
        <v>1375</v>
      </c>
      <c r="AI1522" s="4">
        <v>44683</v>
      </c>
      <c r="AJ1522" s="3" t="s">
        <v>1616</v>
      </c>
      <c r="AK1522" s="3" t="s">
        <v>38</v>
      </c>
    </row>
    <row r="1523" spans="1:37" hidden="1" x14ac:dyDescent="0.25">
      <c r="A1523" t="str">
        <f t="shared" si="23"/>
        <v>2022_Vic_Ouyen_Lentil_SatelliteTOS1VarietyGIA_LightningWaterTrtRainFed</v>
      </c>
      <c r="B1523" s="2">
        <v>2022016</v>
      </c>
      <c r="C1523" s="3" t="s">
        <v>1612</v>
      </c>
      <c r="D1523" s="3" t="s">
        <v>38</v>
      </c>
      <c r="F1523" s="3" t="s">
        <v>1617</v>
      </c>
      <c r="G1523" s="3" t="s">
        <v>39</v>
      </c>
      <c r="H1523" s="3" t="s">
        <v>253</v>
      </c>
      <c r="I1523" s="2">
        <v>4</v>
      </c>
      <c r="J1523" s="2">
        <v>4</v>
      </c>
      <c r="K1523" s="2">
        <v>1</v>
      </c>
      <c r="O1523" s="2">
        <v>1</v>
      </c>
      <c r="U1523" s="2">
        <v>1</v>
      </c>
      <c r="V1523" s="2">
        <v>2</v>
      </c>
      <c r="W1523" s="2">
        <v>1</v>
      </c>
      <c r="X1523" s="2">
        <v>2</v>
      </c>
      <c r="Z1523" s="2">
        <v>6</v>
      </c>
      <c r="AA1523" s="3" t="s">
        <v>40</v>
      </c>
      <c r="AB1523" s="2">
        <v>5</v>
      </c>
      <c r="AF1523" s="2">
        <v>28</v>
      </c>
      <c r="AG1523" s="2">
        <v>1</v>
      </c>
      <c r="AH1523" s="3" t="s">
        <v>1375</v>
      </c>
      <c r="AI1523" s="4">
        <v>44683</v>
      </c>
      <c r="AJ1523" s="3" t="s">
        <v>1618</v>
      </c>
      <c r="AK1523" s="3" t="s">
        <v>38</v>
      </c>
    </row>
    <row r="1524" spans="1:37" hidden="1" x14ac:dyDescent="0.25">
      <c r="A1524" t="str">
        <f t="shared" si="23"/>
        <v>2022_Vic_Ouyen_Lentil_SatelliteTOS1VarietyKelpieXTWaterTrtRainFed</v>
      </c>
      <c r="B1524" s="2">
        <v>2022016</v>
      </c>
      <c r="C1524" s="3" t="s">
        <v>1612</v>
      </c>
      <c r="D1524" s="3" t="s">
        <v>38</v>
      </c>
      <c r="F1524" s="3" t="s">
        <v>4188</v>
      </c>
      <c r="G1524" s="3" t="s">
        <v>43</v>
      </c>
      <c r="H1524" s="3" t="s">
        <v>253</v>
      </c>
      <c r="I1524" s="2">
        <v>5</v>
      </c>
      <c r="J1524" s="2">
        <v>5</v>
      </c>
      <c r="K1524" s="2">
        <v>1</v>
      </c>
      <c r="O1524" s="2">
        <v>1</v>
      </c>
      <c r="U1524" s="2">
        <v>2</v>
      </c>
      <c r="V1524" s="2">
        <v>2</v>
      </c>
      <c r="W1524" s="2">
        <v>2</v>
      </c>
      <c r="X1524" s="2">
        <v>2</v>
      </c>
      <c r="Z1524" s="2">
        <v>5</v>
      </c>
      <c r="AA1524" s="3" t="s">
        <v>40</v>
      </c>
      <c r="AB1524" s="2">
        <v>4</v>
      </c>
      <c r="AF1524" s="2">
        <v>28</v>
      </c>
      <c r="AG1524" s="2">
        <v>1</v>
      </c>
      <c r="AH1524" s="3" t="s">
        <v>1375</v>
      </c>
      <c r="AI1524" s="4">
        <v>44683</v>
      </c>
      <c r="AJ1524" s="3" t="s">
        <v>1619</v>
      </c>
      <c r="AK1524" s="3" t="s">
        <v>38</v>
      </c>
    </row>
    <row r="1525" spans="1:37" hidden="1" x14ac:dyDescent="0.25">
      <c r="A1525" t="str">
        <f t="shared" si="23"/>
        <v>2022_Vic_Ouyen_Lentil_SatelliteTOS1VarietyJumbo2WaterTrtRainFed</v>
      </c>
      <c r="B1525" s="2">
        <v>2022016</v>
      </c>
      <c r="C1525" s="3" t="s">
        <v>1612</v>
      </c>
      <c r="D1525" s="3" t="s">
        <v>38</v>
      </c>
      <c r="F1525" s="3" t="s">
        <v>4176</v>
      </c>
      <c r="G1525" s="3" t="s">
        <v>43</v>
      </c>
      <c r="H1525" s="3" t="s">
        <v>253</v>
      </c>
      <c r="I1525" s="2">
        <v>6</v>
      </c>
      <c r="J1525" s="2">
        <v>6</v>
      </c>
      <c r="K1525" s="2">
        <v>1</v>
      </c>
      <c r="O1525" s="2">
        <v>1</v>
      </c>
      <c r="U1525" s="2">
        <v>3</v>
      </c>
      <c r="V1525" s="2">
        <v>2</v>
      </c>
      <c r="W1525" s="2">
        <v>3</v>
      </c>
      <c r="X1525" s="2">
        <v>2</v>
      </c>
      <c r="Z1525" s="2">
        <v>4</v>
      </c>
      <c r="AA1525" s="3" t="s">
        <v>40</v>
      </c>
      <c r="AB1525" s="2">
        <v>3</v>
      </c>
      <c r="AF1525" s="2">
        <v>28</v>
      </c>
      <c r="AG1525" s="2">
        <v>1</v>
      </c>
      <c r="AH1525" s="3" t="s">
        <v>1375</v>
      </c>
      <c r="AI1525" s="4">
        <v>44683</v>
      </c>
      <c r="AJ1525" s="3" t="s">
        <v>1620</v>
      </c>
      <c r="AK1525" s="3" t="s">
        <v>38</v>
      </c>
    </row>
    <row r="1526" spans="1:37" hidden="1" x14ac:dyDescent="0.25">
      <c r="A1526" t="str">
        <f t="shared" si="23"/>
        <v>2022_Vic_Ouyen_Lentil_SatelliteTOS2VarietyJumbo2WaterTrtRainFed</v>
      </c>
      <c r="B1526" s="2">
        <v>2022016</v>
      </c>
      <c r="C1526" s="3" t="s">
        <v>1612</v>
      </c>
      <c r="D1526" s="3" t="s">
        <v>38</v>
      </c>
      <c r="F1526" s="3" t="s">
        <v>4176</v>
      </c>
      <c r="G1526" s="3" t="s">
        <v>43</v>
      </c>
      <c r="H1526" s="3" t="s">
        <v>253</v>
      </c>
      <c r="I1526" s="2">
        <v>7</v>
      </c>
      <c r="J1526" s="2">
        <v>7</v>
      </c>
      <c r="K1526" s="2">
        <v>1</v>
      </c>
      <c r="O1526" s="2">
        <v>2</v>
      </c>
      <c r="U1526" s="2">
        <v>1</v>
      </c>
      <c r="V1526" s="2">
        <v>4</v>
      </c>
      <c r="W1526" s="2">
        <v>1</v>
      </c>
      <c r="X1526" s="2">
        <v>3</v>
      </c>
      <c r="Z1526" s="2">
        <v>7</v>
      </c>
      <c r="AA1526" s="3" t="s">
        <v>40</v>
      </c>
      <c r="AB1526" s="2">
        <v>3</v>
      </c>
      <c r="AF1526" s="2">
        <v>28</v>
      </c>
      <c r="AG1526" s="2">
        <v>2</v>
      </c>
      <c r="AH1526" s="3" t="s">
        <v>1382</v>
      </c>
      <c r="AI1526" s="4">
        <v>44713</v>
      </c>
      <c r="AJ1526" s="3" t="s">
        <v>1621</v>
      </c>
      <c r="AK1526" s="3" t="s">
        <v>38</v>
      </c>
    </row>
    <row r="1527" spans="1:37" hidden="1" x14ac:dyDescent="0.25">
      <c r="A1527" t="str">
        <f t="shared" si="23"/>
        <v>2022_Vic_Ouyen_Lentil_SatelliteTOS2VarietyGIA_LeaderWaterTrtRainFed</v>
      </c>
      <c r="B1527" s="2">
        <v>2022016</v>
      </c>
      <c r="C1527" s="3" t="s">
        <v>1612</v>
      </c>
      <c r="D1527" s="3" t="s">
        <v>38</v>
      </c>
      <c r="F1527" s="3" t="s">
        <v>1613</v>
      </c>
      <c r="G1527" s="3" t="s">
        <v>39</v>
      </c>
      <c r="H1527" s="3" t="s">
        <v>253</v>
      </c>
      <c r="I1527" s="2">
        <v>8</v>
      </c>
      <c r="J1527" s="2">
        <v>8</v>
      </c>
      <c r="K1527" s="2">
        <v>1</v>
      </c>
      <c r="O1527" s="2">
        <v>2</v>
      </c>
      <c r="U1527" s="2">
        <v>2</v>
      </c>
      <c r="V1527" s="2">
        <v>4</v>
      </c>
      <c r="W1527" s="2">
        <v>2</v>
      </c>
      <c r="X1527" s="2">
        <v>3</v>
      </c>
      <c r="Z1527" s="2">
        <v>8</v>
      </c>
      <c r="AA1527" s="3" t="s">
        <v>40</v>
      </c>
      <c r="AB1527" s="2">
        <v>6</v>
      </c>
      <c r="AF1527" s="2">
        <v>28</v>
      </c>
      <c r="AG1527" s="2">
        <v>2</v>
      </c>
      <c r="AH1527" s="3" t="s">
        <v>1382</v>
      </c>
      <c r="AI1527" s="4">
        <v>44713</v>
      </c>
      <c r="AJ1527" s="3" t="s">
        <v>1622</v>
      </c>
      <c r="AK1527" s="3" t="s">
        <v>38</v>
      </c>
    </row>
    <row r="1528" spans="1:37" hidden="1" x14ac:dyDescent="0.25">
      <c r="A1528" t="str">
        <f t="shared" si="23"/>
        <v>2022_Vic_Ouyen_Lentil_SatelliteTOS2VarietyHallmarkXTWaterTrtRainFed</v>
      </c>
      <c r="B1528" s="2">
        <v>2022016</v>
      </c>
      <c r="C1528" s="3" t="s">
        <v>1612</v>
      </c>
      <c r="D1528" s="3" t="s">
        <v>38</v>
      </c>
      <c r="F1528" s="3" t="s">
        <v>4189</v>
      </c>
      <c r="G1528" s="3" t="s">
        <v>39</v>
      </c>
      <c r="H1528" s="3" t="s">
        <v>253</v>
      </c>
      <c r="I1528" s="2">
        <v>9</v>
      </c>
      <c r="J1528" s="2">
        <v>9</v>
      </c>
      <c r="K1528" s="2">
        <v>1</v>
      </c>
      <c r="O1528" s="2">
        <v>2</v>
      </c>
      <c r="U1528" s="2">
        <v>3</v>
      </c>
      <c r="V1528" s="2">
        <v>4</v>
      </c>
      <c r="W1528" s="2">
        <v>3</v>
      </c>
      <c r="X1528" s="2">
        <v>3</v>
      </c>
      <c r="Z1528" s="2">
        <v>9</v>
      </c>
      <c r="AA1528" s="3" t="s">
        <v>40</v>
      </c>
      <c r="AB1528" s="2">
        <v>2</v>
      </c>
      <c r="AF1528" s="2">
        <v>28</v>
      </c>
      <c r="AG1528" s="2">
        <v>2</v>
      </c>
      <c r="AH1528" s="3" t="s">
        <v>1382</v>
      </c>
      <c r="AI1528" s="4">
        <v>44713</v>
      </c>
      <c r="AJ1528" s="3" t="s">
        <v>1623</v>
      </c>
      <c r="AK1528" s="3" t="s">
        <v>38</v>
      </c>
    </row>
    <row r="1529" spans="1:37" hidden="1" x14ac:dyDescent="0.25">
      <c r="A1529" t="str">
        <f t="shared" si="23"/>
        <v>2022_Vic_Ouyen_Lentil_SatelliteTOS2VarietyBoltWaterTrtRainFed</v>
      </c>
      <c r="B1529" s="2">
        <v>2022016</v>
      </c>
      <c r="C1529" s="3" t="s">
        <v>1612</v>
      </c>
      <c r="D1529" s="3" t="s">
        <v>38</v>
      </c>
      <c r="F1529" s="3" t="s">
        <v>4187</v>
      </c>
      <c r="G1529" s="3" t="s">
        <v>39</v>
      </c>
      <c r="H1529" s="3" t="s">
        <v>253</v>
      </c>
      <c r="I1529" s="2">
        <v>10</v>
      </c>
      <c r="J1529" s="2">
        <v>10</v>
      </c>
      <c r="K1529" s="2">
        <v>1</v>
      </c>
      <c r="O1529" s="2">
        <v>2</v>
      </c>
      <c r="U1529" s="2">
        <v>1</v>
      </c>
      <c r="V1529" s="2">
        <v>5</v>
      </c>
      <c r="W1529" s="2">
        <v>1</v>
      </c>
      <c r="X1529" s="2">
        <v>4</v>
      </c>
      <c r="Z1529" s="2">
        <v>12</v>
      </c>
      <c r="AA1529" s="3" t="s">
        <v>40</v>
      </c>
      <c r="AB1529" s="2">
        <v>1</v>
      </c>
      <c r="AF1529" s="2">
        <v>28</v>
      </c>
      <c r="AG1529" s="2">
        <v>2</v>
      </c>
      <c r="AH1529" s="3" t="s">
        <v>1382</v>
      </c>
      <c r="AI1529" s="4">
        <v>44713</v>
      </c>
      <c r="AJ1529" s="3" t="s">
        <v>1624</v>
      </c>
      <c r="AK1529" s="3" t="s">
        <v>38</v>
      </c>
    </row>
    <row r="1530" spans="1:37" hidden="1" x14ac:dyDescent="0.25">
      <c r="A1530" t="str">
        <f t="shared" si="23"/>
        <v>2022_Vic_Ouyen_Lentil_SatelliteTOS2VarietyGIA_LightningWaterTrtRainFed</v>
      </c>
      <c r="B1530" s="2">
        <v>2022016</v>
      </c>
      <c r="C1530" s="3" t="s">
        <v>1612</v>
      </c>
      <c r="D1530" s="3" t="s">
        <v>38</v>
      </c>
      <c r="F1530" s="3" t="s">
        <v>1617</v>
      </c>
      <c r="G1530" s="3" t="s">
        <v>39</v>
      </c>
      <c r="H1530" s="3" t="s">
        <v>253</v>
      </c>
      <c r="I1530" s="2">
        <v>11</v>
      </c>
      <c r="J1530" s="2">
        <v>11</v>
      </c>
      <c r="K1530" s="2">
        <v>1</v>
      </c>
      <c r="O1530" s="2">
        <v>2</v>
      </c>
      <c r="U1530" s="2">
        <v>2</v>
      </c>
      <c r="V1530" s="2">
        <v>5</v>
      </c>
      <c r="W1530" s="2">
        <v>2</v>
      </c>
      <c r="X1530" s="2">
        <v>4</v>
      </c>
      <c r="Z1530" s="2">
        <v>11</v>
      </c>
      <c r="AA1530" s="3" t="s">
        <v>40</v>
      </c>
      <c r="AB1530" s="2">
        <v>5</v>
      </c>
      <c r="AF1530" s="2">
        <v>28</v>
      </c>
      <c r="AG1530" s="2">
        <v>2</v>
      </c>
      <c r="AH1530" s="3" t="s">
        <v>1382</v>
      </c>
      <c r="AI1530" s="4">
        <v>44713</v>
      </c>
      <c r="AJ1530" s="3" t="s">
        <v>1625</v>
      </c>
      <c r="AK1530" s="3" t="s">
        <v>38</v>
      </c>
    </row>
    <row r="1531" spans="1:37" hidden="1" x14ac:dyDescent="0.25">
      <c r="A1531" t="str">
        <f t="shared" si="23"/>
        <v>2022_Vic_Ouyen_Lentil_SatelliteTOS2VarietyKelpieXTWaterTrtRainFed</v>
      </c>
      <c r="B1531" s="2">
        <v>2022016</v>
      </c>
      <c r="C1531" s="3" t="s">
        <v>1612</v>
      </c>
      <c r="D1531" s="3" t="s">
        <v>38</v>
      </c>
      <c r="F1531" s="3" t="s">
        <v>4188</v>
      </c>
      <c r="G1531" s="3" t="s">
        <v>43</v>
      </c>
      <c r="H1531" s="3" t="s">
        <v>253</v>
      </c>
      <c r="I1531" s="2">
        <v>12</v>
      </c>
      <c r="J1531" s="2">
        <v>12</v>
      </c>
      <c r="K1531" s="2">
        <v>1</v>
      </c>
      <c r="O1531" s="2">
        <v>2</v>
      </c>
      <c r="U1531" s="2">
        <v>3</v>
      </c>
      <c r="V1531" s="2">
        <v>5</v>
      </c>
      <c r="W1531" s="2">
        <v>3</v>
      </c>
      <c r="X1531" s="2">
        <v>4</v>
      </c>
      <c r="Z1531" s="2">
        <v>10</v>
      </c>
      <c r="AA1531" s="3" t="s">
        <v>40</v>
      </c>
      <c r="AB1531" s="2">
        <v>4</v>
      </c>
      <c r="AF1531" s="2">
        <v>28</v>
      </c>
      <c r="AG1531" s="2">
        <v>2</v>
      </c>
      <c r="AH1531" s="3" t="s">
        <v>1382</v>
      </c>
      <c r="AI1531" s="4">
        <v>44713</v>
      </c>
      <c r="AJ1531" s="3" t="s">
        <v>1626</v>
      </c>
      <c r="AK1531" s="3" t="s">
        <v>38</v>
      </c>
    </row>
    <row r="1532" spans="1:37" hidden="1" x14ac:dyDescent="0.25">
      <c r="A1532" t="str">
        <f t="shared" si="23"/>
        <v>2022_Vic_Ouyen_Lentil_SatelliteTOS2VarietyKelpieXTWaterTrtRainFed</v>
      </c>
      <c r="B1532" s="2">
        <v>2022016</v>
      </c>
      <c r="C1532" s="3" t="s">
        <v>1612</v>
      </c>
      <c r="D1532" s="3" t="s">
        <v>38</v>
      </c>
      <c r="F1532" s="3" t="s">
        <v>4188</v>
      </c>
      <c r="G1532" s="3" t="s">
        <v>43</v>
      </c>
      <c r="H1532" s="3" t="s">
        <v>253</v>
      </c>
      <c r="I1532" s="2">
        <v>13</v>
      </c>
      <c r="J1532" s="2">
        <v>13</v>
      </c>
      <c r="K1532" s="2">
        <v>2</v>
      </c>
      <c r="O1532" s="2">
        <v>3</v>
      </c>
      <c r="U1532" s="2">
        <v>1</v>
      </c>
      <c r="V1532" s="2">
        <v>7</v>
      </c>
      <c r="W1532" s="2">
        <v>1</v>
      </c>
      <c r="X1532" s="2">
        <v>5</v>
      </c>
      <c r="Z1532" s="2">
        <v>13</v>
      </c>
      <c r="AA1532" s="3" t="s">
        <v>40</v>
      </c>
      <c r="AB1532" s="2">
        <v>4</v>
      </c>
      <c r="AF1532" s="2">
        <v>28</v>
      </c>
      <c r="AG1532" s="2">
        <v>2</v>
      </c>
      <c r="AH1532" s="3" t="s">
        <v>1382</v>
      </c>
      <c r="AI1532" s="4">
        <v>44713</v>
      </c>
      <c r="AJ1532" s="3" t="s">
        <v>1627</v>
      </c>
      <c r="AK1532" s="3" t="s">
        <v>38</v>
      </c>
    </row>
    <row r="1533" spans="1:37" hidden="1" x14ac:dyDescent="0.25">
      <c r="A1533" t="str">
        <f t="shared" si="23"/>
        <v>2022_Vic_Ouyen_Lentil_SatelliteTOS2VarietyJumbo2WaterTrtRainFed</v>
      </c>
      <c r="B1533" s="2">
        <v>2022016</v>
      </c>
      <c r="C1533" s="3" t="s">
        <v>1612</v>
      </c>
      <c r="D1533" s="3" t="s">
        <v>38</v>
      </c>
      <c r="F1533" s="3" t="s">
        <v>4176</v>
      </c>
      <c r="G1533" s="3" t="s">
        <v>43</v>
      </c>
      <c r="H1533" s="3" t="s">
        <v>253</v>
      </c>
      <c r="I1533" s="2">
        <v>14</v>
      </c>
      <c r="J1533" s="2">
        <v>14</v>
      </c>
      <c r="K1533" s="2">
        <v>2</v>
      </c>
      <c r="O1533" s="2">
        <v>3</v>
      </c>
      <c r="U1533" s="2">
        <v>2</v>
      </c>
      <c r="V1533" s="2">
        <v>7</v>
      </c>
      <c r="W1533" s="2">
        <v>2</v>
      </c>
      <c r="X1533" s="2">
        <v>5</v>
      </c>
      <c r="Z1533" s="2">
        <v>14</v>
      </c>
      <c r="AA1533" s="3" t="s">
        <v>40</v>
      </c>
      <c r="AB1533" s="2">
        <v>3</v>
      </c>
      <c r="AF1533" s="2">
        <v>28</v>
      </c>
      <c r="AG1533" s="2">
        <v>2</v>
      </c>
      <c r="AH1533" s="3" t="s">
        <v>1382</v>
      </c>
      <c r="AI1533" s="4">
        <v>44713</v>
      </c>
      <c r="AJ1533" s="3" t="s">
        <v>1628</v>
      </c>
      <c r="AK1533" s="3" t="s">
        <v>38</v>
      </c>
    </row>
    <row r="1534" spans="1:37" hidden="1" x14ac:dyDescent="0.25">
      <c r="A1534" t="str">
        <f t="shared" si="23"/>
        <v>2022_Vic_Ouyen_Lentil_SatelliteTOS2VarietyHallmarkXTWaterTrtRainFed</v>
      </c>
      <c r="B1534" s="2">
        <v>2022016</v>
      </c>
      <c r="C1534" s="3" t="s">
        <v>1612</v>
      </c>
      <c r="D1534" s="3" t="s">
        <v>38</v>
      </c>
      <c r="F1534" s="3" t="s">
        <v>4189</v>
      </c>
      <c r="G1534" s="3" t="s">
        <v>39</v>
      </c>
      <c r="H1534" s="3" t="s">
        <v>253</v>
      </c>
      <c r="I1534" s="2">
        <v>15</v>
      </c>
      <c r="J1534" s="2">
        <v>15</v>
      </c>
      <c r="K1534" s="2">
        <v>2</v>
      </c>
      <c r="O1534" s="2">
        <v>3</v>
      </c>
      <c r="U1534" s="2">
        <v>3</v>
      </c>
      <c r="V1534" s="2">
        <v>7</v>
      </c>
      <c r="W1534" s="2">
        <v>3</v>
      </c>
      <c r="X1534" s="2">
        <v>5</v>
      </c>
      <c r="Z1534" s="2">
        <v>15</v>
      </c>
      <c r="AA1534" s="3" t="s">
        <v>40</v>
      </c>
      <c r="AB1534" s="2">
        <v>2</v>
      </c>
      <c r="AF1534" s="2">
        <v>28</v>
      </c>
      <c r="AG1534" s="2">
        <v>2</v>
      </c>
      <c r="AH1534" s="3" t="s">
        <v>1382</v>
      </c>
      <c r="AI1534" s="4">
        <v>44713</v>
      </c>
      <c r="AJ1534" s="3" t="s">
        <v>1629</v>
      </c>
      <c r="AK1534" s="3" t="s">
        <v>38</v>
      </c>
    </row>
    <row r="1535" spans="1:37" hidden="1" x14ac:dyDescent="0.25">
      <c r="A1535" t="str">
        <f t="shared" si="23"/>
        <v>2022_Vic_Ouyen_Lentil_SatelliteTOS2VarietyGIA_LeaderWaterTrtRainFed</v>
      </c>
      <c r="B1535" s="2">
        <v>2022016</v>
      </c>
      <c r="C1535" s="3" t="s">
        <v>1612</v>
      </c>
      <c r="D1535" s="3" t="s">
        <v>38</v>
      </c>
      <c r="F1535" s="3" t="s">
        <v>1613</v>
      </c>
      <c r="G1535" s="3" t="s">
        <v>39</v>
      </c>
      <c r="H1535" s="3" t="s">
        <v>253</v>
      </c>
      <c r="I1535" s="2">
        <v>16</v>
      </c>
      <c r="J1535" s="2">
        <v>16</v>
      </c>
      <c r="K1535" s="2">
        <v>2</v>
      </c>
      <c r="O1535" s="2">
        <v>3</v>
      </c>
      <c r="U1535" s="2">
        <v>1</v>
      </c>
      <c r="V1535" s="2">
        <v>8</v>
      </c>
      <c r="W1535" s="2">
        <v>1</v>
      </c>
      <c r="X1535" s="2">
        <v>6</v>
      </c>
      <c r="Z1535" s="2">
        <v>18</v>
      </c>
      <c r="AA1535" s="3" t="s">
        <v>40</v>
      </c>
      <c r="AB1535" s="2">
        <v>6</v>
      </c>
      <c r="AF1535" s="2">
        <v>28</v>
      </c>
      <c r="AG1535" s="2">
        <v>2</v>
      </c>
      <c r="AH1535" s="3" t="s">
        <v>1382</v>
      </c>
      <c r="AI1535" s="4">
        <v>44713</v>
      </c>
      <c r="AJ1535" s="3" t="s">
        <v>1630</v>
      </c>
      <c r="AK1535" s="3" t="s">
        <v>38</v>
      </c>
    </row>
    <row r="1536" spans="1:37" hidden="1" x14ac:dyDescent="0.25">
      <c r="A1536" t="str">
        <f t="shared" si="23"/>
        <v>2022_Vic_Ouyen_Lentil_SatelliteTOS2VarietyGIA_LightningWaterTrtRainFed</v>
      </c>
      <c r="B1536" s="2">
        <v>2022016</v>
      </c>
      <c r="C1536" s="3" t="s">
        <v>1612</v>
      </c>
      <c r="D1536" s="3" t="s">
        <v>38</v>
      </c>
      <c r="F1536" s="3" t="s">
        <v>1617</v>
      </c>
      <c r="G1536" s="3" t="s">
        <v>39</v>
      </c>
      <c r="H1536" s="3" t="s">
        <v>253</v>
      </c>
      <c r="I1536" s="2">
        <v>17</v>
      </c>
      <c r="J1536" s="2">
        <v>17</v>
      </c>
      <c r="K1536" s="2">
        <v>2</v>
      </c>
      <c r="O1536" s="2">
        <v>3</v>
      </c>
      <c r="U1536" s="2">
        <v>2</v>
      </c>
      <c r="V1536" s="2">
        <v>8</v>
      </c>
      <c r="W1536" s="2">
        <v>2</v>
      </c>
      <c r="X1536" s="2">
        <v>6</v>
      </c>
      <c r="Z1536" s="2">
        <v>17</v>
      </c>
      <c r="AA1536" s="3" t="s">
        <v>40</v>
      </c>
      <c r="AB1536" s="2">
        <v>5</v>
      </c>
      <c r="AF1536" s="2">
        <v>28</v>
      </c>
      <c r="AG1536" s="2">
        <v>2</v>
      </c>
      <c r="AH1536" s="3" t="s">
        <v>1382</v>
      </c>
      <c r="AI1536" s="4">
        <v>44713</v>
      </c>
      <c r="AJ1536" s="3" t="s">
        <v>1631</v>
      </c>
      <c r="AK1536" s="3" t="s">
        <v>38</v>
      </c>
    </row>
    <row r="1537" spans="1:37" hidden="1" x14ac:dyDescent="0.25">
      <c r="A1537" t="str">
        <f t="shared" si="23"/>
        <v>2022_Vic_Ouyen_Lentil_SatelliteTOS2VarietyBoltWaterTrtRainFed</v>
      </c>
      <c r="B1537" s="2">
        <v>2022016</v>
      </c>
      <c r="C1537" s="3" t="s">
        <v>1612</v>
      </c>
      <c r="D1537" s="3" t="s">
        <v>38</v>
      </c>
      <c r="F1537" s="3" t="s">
        <v>4187</v>
      </c>
      <c r="G1537" s="3" t="s">
        <v>39</v>
      </c>
      <c r="H1537" s="3" t="s">
        <v>253</v>
      </c>
      <c r="I1537" s="2">
        <v>18</v>
      </c>
      <c r="J1537" s="2">
        <v>18</v>
      </c>
      <c r="K1537" s="2">
        <v>2</v>
      </c>
      <c r="O1537" s="2">
        <v>3</v>
      </c>
      <c r="U1537" s="2">
        <v>3</v>
      </c>
      <c r="V1537" s="2">
        <v>8</v>
      </c>
      <c r="W1537" s="2">
        <v>3</v>
      </c>
      <c r="X1537" s="2">
        <v>6</v>
      </c>
      <c r="Z1537" s="2">
        <v>16</v>
      </c>
      <c r="AA1537" s="3" t="s">
        <v>40</v>
      </c>
      <c r="AB1537" s="2">
        <v>1</v>
      </c>
      <c r="AF1537" s="2">
        <v>28</v>
      </c>
      <c r="AG1537" s="2">
        <v>2</v>
      </c>
      <c r="AH1537" s="3" t="s">
        <v>1382</v>
      </c>
      <c r="AI1537" s="4">
        <v>44713</v>
      </c>
      <c r="AJ1537" s="3" t="s">
        <v>1632</v>
      </c>
      <c r="AK1537" s="3" t="s">
        <v>38</v>
      </c>
    </row>
    <row r="1538" spans="1:37" hidden="1" x14ac:dyDescent="0.25">
      <c r="A1538" t="str">
        <f t="shared" si="23"/>
        <v>2022_Vic_Ouyen_Lentil_SatelliteTOS1VarietyBoltWaterTrtRainFed</v>
      </c>
      <c r="B1538" s="2">
        <v>2022016</v>
      </c>
      <c r="C1538" s="3" t="s">
        <v>1612</v>
      </c>
      <c r="D1538" s="3" t="s">
        <v>38</v>
      </c>
      <c r="F1538" s="3" t="s">
        <v>4187</v>
      </c>
      <c r="G1538" s="3" t="s">
        <v>39</v>
      </c>
      <c r="H1538" s="3" t="s">
        <v>253</v>
      </c>
      <c r="I1538" s="2">
        <v>19</v>
      </c>
      <c r="J1538" s="2">
        <v>19</v>
      </c>
      <c r="K1538" s="2">
        <v>2</v>
      </c>
      <c r="O1538" s="2">
        <v>4</v>
      </c>
      <c r="U1538" s="2">
        <v>1</v>
      </c>
      <c r="V1538" s="2">
        <v>10</v>
      </c>
      <c r="W1538" s="2">
        <v>1</v>
      </c>
      <c r="X1538" s="2">
        <v>7</v>
      </c>
      <c r="Z1538" s="2">
        <v>19</v>
      </c>
      <c r="AA1538" s="3" t="s">
        <v>40</v>
      </c>
      <c r="AB1538" s="2">
        <v>1</v>
      </c>
      <c r="AF1538" s="2">
        <v>28</v>
      </c>
      <c r="AG1538" s="2">
        <v>1</v>
      </c>
      <c r="AH1538" s="3" t="s">
        <v>1375</v>
      </c>
      <c r="AI1538" s="4">
        <v>44683</v>
      </c>
      <c r="AJ1538" s="3" t="s">
        <v>1633</v>
      </c>
      <c r="AK1538" s="3" t="s">
        <v>38</v>
      </c>
    </row>
    <row r="1539" spans="1:37" hidden="1" x14ac:dyDescent="0.25">
      <c r="A1539" t="str">
        <f t="shared" ref="A1539:A1602" si="24">C1539&amp;"TOS"&amp;AG1539&amp;"Variety"&amp;F1539&amp;"WaterTrt"&amp;AA1539&amp;IF(AC1539="","","Agronomy"&amp;AC1539)</f>
        <v>2022_Vic_Ouyen_Lentil_SatelliteTOS1VarietyHallmarkXTWaterTrtRainFed</v>
      </c>
      <c r="B1539" s="2">
        <v>2022016</v>
      </c>
      <c r="C1539" s="3" t="s">
        <v>1612</v>
      </c>
      <c r="D1539" s="3" t="s">
        <v>38</v>
      </c>
      <c r="F1539" s="3" t="s">
        <v>4189</v>
      </c>
      <c r="G1539" s="3" t="s">
        <v>39</v>
      </c>
      <c r="H1539" s="3" t="s">
        <v>253</v>
      </c>
      <c r="I1539" s="2">
        <v>20</v>
      </c>
      <c r="J1539" s="2">
        <v>20</v>
      </c>
      <c r="K1539" s="2">
        <v>2</v>
      </c>
      <c r="O1539" s="2">
        <v>4</v>
      </c>
      <c r="U1539" s="2">
        <v>2</v>
      </c>
      <c r="V1539" s="2">
        <v>10</v>
      </c>
      <c r="W1539" s="2">
        <v>2</v>
      </c>
      <c r="X1539" s="2">
        <v>7</v>
      </c>
      <c r="Z1539" s="2">
        <v>20</v>
      </c>
      <c r="AA1539" s="3" t="s">
        <v>40</v>
      </c>
      <c r="AB1539" s="2">
        <v>2</v>
      </c>
      <c r="AF1539" s="2">
        <v>28</v>
      </c>
      <c r="AG1539" s="2">
        <v>1</v>
      </c>
      <c r="AH1539" s="3" t="s">
        <v>1375</v>
      </c>
      <c r="AI1539" s="4">
        <v>44683</v>
      </c>
      <c r="AJ1539" s="3" t="s">
        <v>1634</v>
      </c>
      <c r="AK1539" s="3" t="s">
        <v>38</v>
      </c>
    </row>
    <row r="1540" spans="1:37" hidden="1" x14ac:dyDescent="0.25">
      <c r="A1540" t="str">
        <f t="shared" si="24"/>
        <v>2022_Vic_Ouyen_Lentil_SatelliteTOS1VarietyKelpieXTWaterTrtRainFed</v>
      </c>
      <c r="B1540" s="2">
        <v>2022016</v>
      </c>
      <c r="C1540" s="3" t="s">
        <v>1612</v>
      </c>
      <c r="D1540" s="3" t="s">
        <v>38</v>
      </c>
      <c r="F1540" s="3" t="s">
        <v>4188</v>
      </c>
      <c r="G1540" s="3" t="s">
        <v>43</v>
      </c>
      <c r="H1540" s="3" t="s">
        <v>253</v>
      </c>
      <c r="I1540" s="2">
        <v>21</v>
      </c>
      <c r="J1540" s="2">
        <v>21</v>
      </c>
      <c r="K1540" s="2">
        <v>2</v>
      </c>
      <c r="O1540" s="2">
        <v>4</v>
      </c>
      <c r="U1540" s="2">
        <v>3</v>
      </c>
      <c r="V1540" s="2">
        <v>10</v>
      </c>
      <c r="W1540" s="2">
        <v>3</v>
      </c>
      <c r="X1540" s="2">
        <v>7</v>
      </c>
      <c r="Z1540" s="2">
        <v>21</v>
      </c>
      <c r="AA1540" s="3" t="s">
        <v>40</v>
      </c>
      <c r="AB1540" s="2">
        <v>4</v>
      </c>
      <c r="AF1540" s="2">
        <v>28</v>
      </c>
      <c r="AG1540" s="2">
        <v>1</v>
      </c>
      <c r="AH1540" s="3" t="s">
        <v>1375</v>
      </c>
      <c r="AI1540" s="4">
        <v>44683</v>
      </c>
      <c r="AJ1540" s="3" t="s">
        <v>1635</v>
      </c>
      <c r="AK1540" s="3" t="s">
        <v>38</v>
      </c>
    </row>
    <row r="1541" spans="1:37" hidden="1" x14ac:dyDescent="0.25">
      <c r="A1541" t="str">
        <f t="shared" si="24"/>
        <v>2022_Vic_Ouyen_Lentil_SatelliteTOS1VarietyJumbo2WaterTrtRainFed</v>
      </c>
      <c r="B1541" s="2">
        <v>2022016</v>
      </c>
      <c r="C1541" s="3" t="s">
        <v>1612</v>
      </c>
      <c r="D1541" s="3" t="s">
        <v>38</v>
      </c>
      <c r="F1541" s="3" t="s">
        <v>4176</v>
      </c>
      <c r="G1541" s="3" t="s">
        <v>43</v>
      </c>
      <c r="H1541" s="3" t="s">
        <v>253</v>
      </c>
      <c r="I1541" s="2">
        <v>22</v>
      </c>
      <c r="J1541" s="2">
        <v>22</v>
      </c>
      <c r="K1541" s="2">
        <v>2</v>
      </c>
      <c r="O1541" s="2">
        <v>4</v>
      </c>
      <c r="U1541" s="2">
        <v>1</v>
      </c>
      <c r="V1541" s="2">
        <v>11</v>
      </c>
      <c r="W1541" s="2">
        <v>1</v>
      </c>
      <c r="X1541" s="2">
        <v>8</v>
      </c>
      <c r="Z1541" s="2">
        <v>24</v>
      </c>
      <c r="AA1541" s="3" t="s">
        <v>40</v>
      </c>
      <c r="AB1541" s="2">
        <v>3</v>
      </c>
      <c r="AF1541" s="2">
        <v>28</v>
      </c>
      <c r="AG1541" s="2">
        <v>1</v>
      </c>
      <c r="AH1541" s="3" t="s">
        <v>1375</v>
      </c>
      <c r="AI1541" s="4">
        <v>44683</v>
      </c>
      <c r="AJ1541" s="3" t="s">
        <v>1636</v>
      </c>
      <c r="AK1541" s="3" t="s">
        <v>38</v>
      </c>
    </row>
    <row r="1542" spans="1:37" hidden="1" x14ac:dyDescent="0.25">
      <c r="A1542" t="str">
        <f t="shared" si="24"/>
        <v>2022_Vic_Ouyen_Lentil_SatelliteTOS1VarietyGIA_LightningWaterTrtRainFed</v>
      </c>
      <c r="B1542" s="2">
        <v>2022016</v>
      </c>
      <c r="C1542" s="3" t="s">
        <v>1612</v>
      </c>
      <c r="D1542" s="3" t="s">
        <v>38</v>
      </c>
      <c r="F1542" s="3" t="s">
        <v>1617</v>
      </c>
      <c r="G1542" s="3" t="s">
        <v>39</v>
      </c>
      <c r="H1542" s="3" t="s">
        <v>253</v>
      </c>
      <c r="I1542" s="2">
        <v>23</v>
      </c>
      <c r="J1542" s="2">
        <v>23</v>
      </c>
      <c r="K1542" s="2">
        <v>2</v>
      </c>
      <c r="O1542" s="2">
        <v>4</v>
      </c>
      <c r="U1542" s="2">
        <v>2</v>
      </c>
      <c r="V1542" s="2">
        <v>11</v>
      </c>
      <c r="W1542" s="2">
        <v>2</v>
      </c>
      <c r="X1542" s="2">
        <v>8</v>
      </c>
      <c r="Z1542" s="2">
        <v>23</v>
      </c>
      <c r="AA1542" s="3" t="s">
        <v>40</v>
      </c>
      <c r="AB1542" s="2">
        <v>5</v>
      </c>
      <c r="AF1542" s="2">
        <v>28</v>
      </c>
      <c r="AG1542" s="2">
        <v>1</v>
      </c>
      <c r="AH1542" s="3" t="s">
        <v>1375</v>
      </c>
      <c r="AI1542" s="4">
        <v>44683</v>
      </c>
      <c r="AJ1542" s="3" t="s">
        <v>1637</v>
      </c>
      <c r="AK1542" s="3" t="s">
        <v>38</v>
      </c>
    </row>
    <row r="1543" spans="1:37" hidden="1" x14ac:dyDescent="0.25">
      <c r="A1543" t="str">
        <f t="shared" si="24"/>
        <v>2022_Vic_Ouyen_Lentil_SatelliteTOS1VarietyGIA_LeaderWaterTrtRainFed</v>
      </c>
      <c r="B1543" s="2">
        <v>2022016</v>
      </c>
      <c r="C1543" s="3" t="s">
        <v>1612</v>
      </c>
      <c r="D1543" s="3" t="s">
        <v>38</v>
      </c>
      <c r="F1543" s="3" t="s">
        <v>1613</v>
      </c>
      <c r="G1543" s="3" t="s">
        <v>39</v>
      </c>
      <c r="H1543" s="3" t="s">
        <v>253</v>
      </c>
      <c r="I1543" s="2">
        <v>24</v>
      </c>
      <c r="J1543" s="2">
        <v>24</v>
      </c>
      <c r="K1543" s="2">
        <v>2</v>
      </c>
      <c r="O1543" s="2">
        <v>4</v>
      </c>
      <c r="U1543" s="2">
        <v>3</v>
      </c>
      <c r="V1543" s="2">
        <v>11</v>
      </c>
      <c r="W1543" s="2">
        <v>3</v>
      </c>
      <c r="X1543" s="2">
        <v>8</v>
      </c>
      <c r="Z1543" s="2">
        <v>22</v>
      </c>
      <c r="AA1543" s="3" t="s">
        <v>40</v>
      </c>
      <c r="AB1543" s="2">
        <v>6</v>
      </c>
      <c r="AF1543" s="2">
        <v>28</v>
      </c>
      <c r="AG1543" s="2">
        <v>1</v>
      </c>
      <c r="AH1543" s="3" t="s">
        <v>1375</v>
      </c>
      <c r="AI1543" s="4">
        <v>44683</v>
      </c>
      <c r="AJ1543" s="3" t="s">
        <v>1638</v>
      </c>
      <c r="AK1543" s="3" t="s">
        <v>38</v>
      </c>
    </row>
    <row r="1544" spans="1:37" hidden="1" x14ac:dyDescent="0.25">
      <c r="A1544" t="str">
        <f t="shared" si="24"/>
        <v>2022_Vic_Ouyen_Lentil_SatelliteTOS2VarietyJumbo2WaterTrtRainFed</v>
      </c>
      <c r="B1544" s="2">
        <v>2022016</v>
      </c>
      <c r="C1544" s="3" t="s">
        <v>1612</v>
      </c>
      <c r="D1544" s="3" t="s">
        <v>38</v>
      </c>
      <c r="F1544" s="3" t="s">
        <v>4176</v>
      </c>
      <c r="G1544" s="3" t="s">
        <v>43</v>
      </c>
      <c r="H1544" s="3" t="s">
        <v>253</v>
      </c>
      <c r="I1544" s="2">
        <v>25</v>
      </c>
      <c r="J1544" s="2">
        <v>25</v>
      </c>
      <c r="K1544" s="2">
        <v>3</v>
      </c>
      <c r="O1544" s="2">
        <v>5</v>
      </c>
      <c r="U1544" s="2">
        <v>1</v>
      </c>
      <c r="V1544" s="2">
        <v>13</v>
      </c>
      <c r="W1544" s="2">
        <v>1</v>
      </c>
      <c r="X1544" s="2">
        <v>9</v>
      </c>
      <c r="Z1544" s="2">
        <v>25</v>
      </c>
      <c r="AA1544" s="3" t="s">
        <v>40</v>
      </c>
      <c r="AB1544" s="2">
        <v>3</v>
      </c>
      <c r="AF1544" s="2">
        <v>28</v>
      </c>
      <c r="AG1544" s="2">
        <v>2</v>
      </c>
      <c r="AH1544" s="3" t="s">
        <v>1382</v>
      </c>
      <c r="AI1544" s="4">
        <v>44713</v>
      </c>
      <c r="AJ1544" s="3" t="s">
        <v>1639</v>
      </c>
      <c r="AK1544" s="3" t="s">
        <v>38</v>
      </c>
    </row>
    <row r="1545" spans="1:37" hidden="1" x14ac:dyDescent="0.25">
      <c r="A1545" t="str">
        <f t="shared" si="24"/>
        <v>2022_Vic_Ouyen_Lentil_SatelliteTOS2VarietyGIA_LeaderWaterTrtRainFed</v>
      </c>
      <c r="B1545" s="2">
        <v>2022016</v>
      </c>
      <c r="C1545" s="3" t="s">
        <v>1612</v>
      </c>
      <c r="D1545" s="3" t="s">
        <v>38</v>
      </c>
      <c r="F1545" s="3" t="s">
        <v>1613</v>
      </c>
      <c r="G1545" s="3" t="s">
        <v>39</v>
      </c>
      <c r="H1545" s="3" t="s">
        <v>253</v>
      </c>
      <c r="I1545" s="2">
        <v>26</v>
      </c>
      <c r="J1545" s="2">
        <v>26</v>
      </c>
      <c r="K1545" s="2">
        <v>3</v>
      </c>
      <c r="O1545" s="2">
        <v>5</v>
      </c>
      <c r="U1545" s="2">
        <v>2</v>
      </c>
      <c r="V1545" s="2">
        <v>13</v>
      </c>
      <c r="W1545" s="2">
        <v>2</v>
      </c>
      <c r="X1545" s="2">
        <v>9</v>
      </c>
      <c r="Z1545" s="2">
        <v>26</v>
      </c>
      <c r="AA1545" s="3" t="s">
        <v>40</v>
      </c>
      <c r="AB1545" s="2">
        <v>6</v>
      </c>
      <c r="AF1545" s="2">
        <v>28</v>
      </c>
      <c r="AG1545" s="2">
        <v>2</v>
      </c>
      <c r="AH1545" s="3" t="s">
        <v>1382</v>
      </c>
      <c r="AI1545" s="4">
        <v>44713</v>
      </c>
      <c r="AJ1545" s="3" t="s">
        <v>1640</v>
      </c>
      <c r="AK1545" s="3" t="s">
        <v>38</v>
      </c>
    </row>
    <row r="1546" spans="1:37" hidden="1" x14ac:dyDescent="0.25">
      <c r="A1546" t="str">
        <f t="shared" si="24"/>
        <v>2022_Vic_Ouyen_Lentil_SatelliteTOS2VarietyKelpieXTWaterTrtRainFed</v>
      </c>
      <c r="B1546" s="2">
        <v>2022016</v>
      </c>
      <c r="C1546" s="3" t="s">
        <v>1612</v>
      </c>
      <c r="D1546" s="3" t="s">
        <v>38</v>
      </c>
      <c r="F1546" s="3" t="s">
        <v>4188</v>
      </c>
      <c r="G1546" s="3" t="s">
        <v>43</v>
      </c>
      <c r="H1546" s="3" t="s">
        <v>253</v>
      </c>
      <c r="I1546" s="2">
        <v>27</v>
      </c>
      <c r="J1546" s="2">
        <v>27</v>
      </c>
      <c r="K1546" s="2">
        <v>3</v>
      </c>
      <c r="O1546" s="2">
        <v>5</v>
      </c>
      <c r="U1546" s="2">
        <v>3</v>
      </c>
      <c r="V1546" s="2">
        <v>13</v>
      </c>
      <c r="W1546" s="2">
        <v>3</v>
      </c>
      <c r="X1546" s="2">
        <v>9</v>
      </c>
      <c r="Z1546" s="2">
        <v>27</v>
      </c>
      <c r="AA1546" s="3" t="s">
        <v>40</v>
      </c>
      <c r="AB1546" s="2">
        <v>4</v>
      </c>
      <c r="AF1546" s="2">
        <v>28</v>
      </c>
      <c r="AG1546" s="2">
        <v>2</v>
      </c>
      <c r="AH1546" s="3" t="s">
        <v>1382</v>
      </c>
      <c r="AI1546" s="4">
        <v>44713</v>
      </c>
      <c r="AJ1546" s="3" t="s">
        <v>1641</v>
      </c>
      <c r="AK1546" s="3" t="s">
        <v>38</v>
      </c>
    </row>
    <row r="1547" spans="1:37" hidden="1" x14ac:dyDescent="0.25">
      <c r="A1547" t="str">
        <f t="shared" si="24"/>
        <v>2022_Vic_Ouyen_Lentil_SatelliteTOS2VarietyHallmarkXTWaterTrtRainFed</v>
      </c>
      <c r="B1547" s="2">
        <v>2022016</v>
      </c>
      <c r="C1547" s="3" t="s">
        <v>1612</v>
      </c>
      <c r="D1547" s="3" t="s">
        <v>38</v>
      </c>
      <c r="F1547" s="3" t="s">
        <v>4189</v>
      </c>
      <c r="G1547" s="3" t="s">
        <v>39</v>
      </c>
      <c r="H1547" s="3" t="s">
        <v>253</v>
      </c>
      <c r="I1547" s="2">
        <v>28</v>
      </c>
      <c r="J1547" s="2">
        <v>28</v>
      </c>
      <c r="K1547" s="2">
        <v>3</v>
      </c>
      <c r="O1547" s="2">
        <v>5</v>
      </c>
      <c r="U1547" s="2">
        <v>1</v>
      </c>
      <c r="V1547" s="2">
        <v>14</v>
      </c>
      <c r="W1547" s="2">
        <v>1</v>
      </c>
      <c r="X1547" s="2">
        <v>10</v>
      </c>
      <c r="Z1547" s="2">
        <v>30</v>
      </c>
      <c r="AA1547" s="3" t="s">
        <v>40</v>
      </c>
      <c r="AB1547" s="2">
        <v>2</v>
      </c>
      <c r="AF1547" s="2">
        <v>28</v>
      </c>
      <c r="AG1547" s="2">
        <v>2</v>
      </c>
      <c r="AH1547" s="3" t="s">
        <v>1382</v>
      </c>
      <c r="AI1547" s="4">
        <v>44713</v>
      </c>
      <c r="AJ1547" s="3" t="s">
        <v>1642</v>
      </c>
      <c r="AK1547" s="3" t="s">
        <v>38</v>
      </c>
    </row>
    <row r="1548" spans="1:37" hidden="1" x14ac:dyDescent="0.25">
      <c r="A1548" t="str">
        <f t="shared" si="24"/>
        <v>2022_Vic_Ouyen_Lentil_SatelliteTOS2VarietyBoltWaterTrtRainFed</v>
      </c>
      <c r="B1548" s="2">
        <v>2022016</v>
      </c>
      <c r="C1548" s="3" t="s">
        <v>1612</v>
      </c>
      <c r="D1548" s="3" t="s">
        <v>38</v>
      </c>
      <c r="F1548" s="3" t="s">
        <v>4187</v>
      </c>
      <c r="G1548" s="3" t="s">
        <v>39</v>
      </c>
      <c r="H1548" s="3" t="s">
        <v>253</v>
      </c>
      <c r="I1548" s="2">
        <v>29</v>
      </c>
      <c r="J1548" s="2">
        <v>29</v>
      </c>
      <c r="K1548" s="2">
        <v>3</v>
      </c>
      <c r="O1548" s="2">
        <v>5</v>
      </c>
      <c r="U1548" s="2">
        <v>2</v>
      </c>
      <c r="V1548" s="2">
        <v>14</v>
      </c>
      <c r="W1548" s="2">
        <v>2</v>
      </c>
      <c r="X1548" s="2">
        <v>10</v>
      </c>
      <c r="Z1548" s="2">
        <v>29</v>
      </c>
      <c r="AA1548" s="3" t="s">
        <v>40</v>
      </c>
      <c r="AB1548" s="2">
        <v>1</v>
      </c>
      <c r="AF1548" s="2">
        <v>28</v>
      </c>
      <c r="AG1548" s="2">
        <v>2</v>
      </c>
      <c r="AH1548" s="3" t="s">
        <v>1382</v>
      </c>
      <c r="AI1548" s="4">
        <v>44713</v>
      </c>
      <c r="AJ1548" s="3" t="s">
        <v>1643</v>
      </c>
      <c r="AK1548" s="3" t="s">
        <v>38</v>
      </c>
    </row>
    <row r="1549" spans="1:37" hidden="1" x14ac:dyDescent="0.25">
      <c r="A1549" t="str">
        <f t="shared" si="24"/>
        <v>2022_Vic_Ouyen_Lentil_SatelliteTOS2VarietyGIA_LightningWaterTrtRainFed</v>
      </c>
      <c r="B1549" s="2">
        <v>2022016</v>
      </c>
      <c r="C1549" s="3" t="s">
        <v>1612</v>
      </c>
      <c r="D1549" s="3" t="s">
        <v>38</v>
      </c>
      <c r="F1549" s="3" t="s">
        <v>1617</v>
      </c>
      <c r="G1549" s="3" t="s">
        <v>39</v>
      </c>
      <c r="H1549" s="3" t="s">
        <v>253</v>
      </c>
      <c r="I1549" s="2">
        <v>30</v>
      </c>
      <c r="J1549" s="2">
        <v>30</v>
      </c>
      <c r="K1549" s="2">
        <v>3</v>
      </c>
      <c r="O1549" s="2">
        <v>5</v>
      </c>
      <c r="U1549" s="2">
        <v>3</v>
      </c>
      <c r="V1549" s="2">
        <v>14</v>
      </c>
      <c r="W1549" s="2">
        <v>3</v>
      </c>
      <c r="X1549" s="2">
        <v>10</v>
      </c>
      <c r="Z1549" s="2">
        <v>28</v>
      </c>
      <c r="AA1549" s="3" t="s">
        <v>40</v>
      </c>
      <c r="AB1549" s="2">
        <v>5</v>
      </c>
      <c r="AF1549" s="2">
        <v>28</v>
      </c>
      <c r="AG1549" s="2">
        <v>2</v>
      </c>
      <c r="AH1549" s="3" t="s">
        <v>1382</v>
      </c>
      <c r="AI1549" s="4">
        <v>44713</v>
      </c>
      <c r="AJ1549" s="3" t="s">
        <v>1644</v>
      </c>
      <c r="AK1549" s="3" t="s">
        <v>38</v>
      </c>
    </row>
    <row r="1550" spans="1:37" hidden="1" x14ac:dyDescent="0.25">
      <c r="A1550" t="str">
        <f t="shared" si="24"/>
        <v>2022_Vic_Ouyen_Lentil_SatelliteTOS1VarietyKelpieXTWaterTrtRainFed</v>
      </c>
      <c r="B1550" s="2">
        <v>2022016</v>
      </c>
      <c r="C1550" s="3" t="s">
        <v>1612</v>
      </c>
      <c r="D1550" s="3" t="s">
        <v>38</v>
      </c>
      <c r="F1550" s="3" t="s">
        <v>4188</v>
      </c>
      <c r="G1550" s="3" t="s">
        <v>43</v>
      </c>
      <c r="H1550" s="3" t="s">
        <v>253</v>
      </c>
      <c r="I1550" s="2">
        <v>31</v>
      </c>
      <c r="J1550" s="2">
        <v>31</v>
      </c>
      <c r="K1550" s="2">
        <v>3</v>
      </c>
      <c r="O1550" s="2">
        <v>6</v>
      </c>
      <c r="U1550" s="2">
        <v>1</v>
      </c>
      <c r="V1550" s="2">
        <v>16</v>
      </c>
      <c r="W1550" s="2">
        <v>1</v>
      </c>
      <c r="X1550" s="2">
        <v>11</v>
      </c>
      <c r="Z1550" s="2">
        <v>31</v>
      </c>
      <c r="AA1550" s="3" t="s">
        <v>40</v>
      </c>
      <c r="AB1550" s="2">
        <v>4</v>
      </c>
      <c r="AF1550" s="2">
        <v>28</v>
      </c>
      <c r="AG1550" s="2">
        <v>1</v>
      </c>
      <c r="AH1550" s="3" t="s">
        <v>1375</v>
      </c>
      <c r="AI1550" s="4">
        <v>44683</v>
      </c>
      <c r="AJ1550" s="3" t="s">
        <v>1645</v>
      </c>
      <c r="AK1550" s="3" t="s">
        <v>38</v>
      </c>
    </row>
    <row r="1551" spans="1:37" hidden="1" x14ac:dyDescent="0.25">
      <c r="A1551" t="str">
        <f t="shared" si="24"/>
        <v>2022_Vic_Ouyen_Lentil_SatelliteTOS1VarietyBoltWaterTrtRainFed</v>
      </c>
      <c r="B1551" s="2">
        <v>2022016</v>
      </c>
      <c r="C1551" s="3" t="s">
        <v>1612</v>
      </c>
      <c r="D1551" s="3" t="s">
        <v>38</v>
      </c>
      <c r="F1551" s="3" t="s">
        <v>4187</v>
      </c>
      <c r="G1551" s="3" t="s">
        <v>39</v>
      </c>
      <c r="H1551" s="3" t="s">
        <v>253</v>
      </c>
      <c r="I1551" s="2">
        <v>32</v>
      </c>
      <c r="J1551" s="2">
        <v>32</v>
      </c>
      <c r="K1551" s="2">
        <v>3</v>
      </c>
      <c r="O1551" s="2">
        <v>6</v>
      </c>
      <c r="U1551" s="2">
        <v>2</v>
      </c>
      <c r="V1551" s="2">
        <v>16</v>
      </c>
      <c r="W1551" s="2">
        <v>2</v>
      </c>
      <c r="X1551" s="2">
        <v>11</v>
      </c>
      <c r="Z1551" s="2">
        <v>32</v>
      </c>
      <c r="AA1551" s="3" t="s">
        <v>40</v>
      </c>
      <c r="AB1551" s="2">
        <v>1</v>
      </c>
      <c r="AF1551" s="2">
        <v>28</v>
      </c>
      <c r="AG1551" s="2">
        <v>1</v>
      </c>
      <c r="AH1551" s="3" t="s">
        <v>1375</v>
      </c>
      <c r="AI1551" s="4">
        <v>44683</v>
      </c>
      <c r="AJ1551" s="3" t="s">
        <v>1646</v>
      </c>
      <c r="AK1551" s="3" t="s">
        <v>38</v>
      </c>
    </row>
    <row r="1552" spans="1:37" hidden="1" x14ac:dyDescent="0.25">
      <c r="A1552" t="str">
        <f t="shared" si="24"/>
        <v>2022_Vic_Ouyen_Lentil_SatelliteTOS1VarietyJumbo2WaterTrtRainFed</v>
      </c>
      <c r="B1552" s="2">
        <v>2022016</v>
      </c>
      <c r="C1552" s="3" t="s">
        <v>1612</v>
      </c>
      <c r="D1552" s="3" t="s">
        <v>38</v>
      </c>
      <c r="F1552" s="3" t="s">
        <v>4176</v>
      </c>
      <c r="G1552" s="3" t="s">
        <v>43</v>
      </c>
      <c r="H1552" s="3" t="s">
        <v>253</v>
      </c>
      <c r="I1552" s="2">
        <v>33</v>
      </c>
      <c r="J1552" s="2">
        <v>33</v>
      </c>
      <c r="K1552" s="2">
        <v>3</v>
      </c>
      <c r="O1552" s="2">
        <v>6</v>
      </c>
      <c r="U1552" s="2">
        <v>3</v>
      </c>
      <c r="V1552" s="2">
        <v>16</v>
      </c>
      <c r="W1552" s="2">
        <v>3</v>
      </c>
      <c r="X1552" s="2">
        <v>11</v>
      </c>
      <c r="Z1552" s="2">
        <v>33</v>
      </c>
      <c r="AA1552" s="3" t="s">
        <v>40</v>
      </c>
      <c r="AB1552" s="2">
        <v>3</v>
      </c>
      <c r="AF1552" s="2">
        <v>28</v>
      </c>
      <c r="AG1552" s="2">
        <v>1</v>
      </c>
      <c r="AH1552" s="3" t="s">
        <v>1375</v>
      </c>
      <c r="AI1552" s="4">
        <v>44683</v>
      </c>
      <c r="AJ1552" s="3" t="s">
        <v>1647</v>
      </c>
      <c r="AK1552" s="3" t="s">
        <v>38</v>
      </c>
    </row>
    <row r="1553" spans="1:37" hidden="1" x14ac:dyDescent="0.25">
      <c r="A1553" t="str">
        <f t="shared" si="24"/>
        <v>2022_Vic_Ouyen_Lentil_SatelliteTOS1VarietyGIA_LightningWaterTrtRainFed</v>
      </c>
      <c r="B1553" s="2">
        <v>2022016</v>
      </c>
      <c r="C1553" s="3" t="s">
        <v>1612</v>
      </c>
      <c r="D1553" s="3" t="s">
        <v>38</v>
      </c>
      <c r="F1553" s="3" t="s">
        <v>1617</v>
      </c>
      <c r="G1553" s="3" t="s">
        <v>39</v>
      </c>
      <c r="H1553" s="3" t="s">
        <v>253</v>
      </c>
      <c r="I1553" s="2">
        <v>34</v>
      </c>
      <c r="J1553" s="2">
        <v>34</v>
      </c>
      <c r="K1553" s="2">
        <v>3</v>
      </c>
      <c r="O1553" s="2">
        <v>6</v>
      </c>
      <c r="U1553" s="2">
        <v>1</v>
      </c>
      <c r="V1553" s="2">
        <v>17</v>
      </c>
      <c r="W1553" s="2">
        <v>1</v>
      </c>
      <c r="X1553" s="2">
        <v>12</v>
      </c>
      <c r="Z1553" s="2">
        <v>36</v>
      </c>
      <c r="AA1553" s="3" t="s">
        <v>40</v>
      </c>
      <c r="AB1553" s="2">
        <v>5</v>
      </c>
      <c r="AF1553" s="2">
        <v>28</v>
      </c>
      <c r="AG1553" s="2">
        <v>1</v>
      </c>
      <c r="AH1553" s="3" t="s">
        <v>1375</v>
      </c>
      <c r="AI1553" s="4">
        <v>44683</v>
      </c>
      <c r="AJ1553" s="3" t="s">
        <v>1648</v>
      </c>
      <c r="AK1553" s="3" t="s">
        <v>38</v>
      </c>
    </row>
    <row r="1554" spans="1:37" hidden="1" x14ac:dyDescent="0.25">
      <c r="A1554" t="str">
        <f t="shared" si="24"/>
        <v>2022_Vic_Ouyen_Lentil_SatelliteTOS1VarietyHallmarkXTWaterTrtRainFed</v>
      </c>
      <c r="B1554" s="2">
        <v>2022016</v>
      </c>
      <c r="C1554" s="3" t="s">
        <v>1612</v>
      </c>
      <c r="D1554" s="3" t="s">
        <v>38</v>
      </c>
      <c r="F1554" s="3" t="s">
        <v>4189</v>
      </c>
      <c r="G1554" s="3" t="s">
        <v>39</v>
      </c>
      <c r="H1554" s="3" t="s">
        <v>253</v>
      </c>
      <c r="I1554" s="2">
        <v>35</v>
      </c>
      <c r="J1554" s="2">
        <v>35</v>
      </c>
      <c r="K1554" s="2">
        <v>3</v>
      </c>
      <c r="O1554" s="2">
        <v>6</v>
      </c>
      <c r="U1554" s="2">
        <v>2</v>
      </c>
      <c r="V1554" s="2">
        <v>17</v>
      </c>
      <c r="W1554" s="2">
        <v>2</v>
      </c>
      <c r="X1554" s="2">
        <v>12</v>
      </c>
      <c r="Z1554" s="2">
        <v>35</v>
      </c>
      <c r="AA1554" s="3" t="s">
        <v>40</v>
      </c>
      <c r="AB1554" s="2">
        <v>2</v>
      </c>
      <c r="AF1554" s="2">
        <v>28</v>
      </c>
      <c r="AG1554" s="2">
        <v>1</v>
      </c>
      <c r="AH1554" s="3" t="s">
        <v>1375</v>
      </c>
      <c r="AI1554" s="4">
        <v>44683</v>
      </c>
      <c r="AJ1554" s="3" t="s">
        <v>1649</v>
      </c>
      <c r="AK1554" s="3" t="s">
        <v>38</v>
      </c>
    </row>
    <row r="1555" spans="1:37" hidden="1" x14ac:dyDescent="0.25">
      <c r="A1555" t="str">
        <f t="shared" si="24"/>
        <v>2022_Vic_Ouyen_Lentil_SatelliteTOS1VarietyGIA_LeaderWaterTrtRainFed</v>
      </c>
      <c r="B1555" s="2">
        <v>2022016</v>
      </c>
      <c r="C1555" s="3" t="s">
        <v>1612</v>
      </c>
      <c r="D1555" s="3" t="s">
        <v>38</v>
      </c>
      <c r="F1555" s="3" t="s">
        <v>1613</v>
      </c>
      <c r="G1555" s="3" t="s">
        <v>39</v>
      </c>
      <c r="H1555" s="3" t="s">
        <v>253</v>
      </c>
      <c r="I1555" s="2">
        <v>36</v>
      </c>
      <c r="J1555" s="2">
        <v>36</v>
      </c>
      <c r="K1555" s="2">
        <v>3</v>
      </c>
      <c r="O1555" s="2">
        <v>6</v>
      </c>
      <c r="U1555" s="2">
        <v>3</v>
      </c>
      <c r="V1555" s="2">
        <v>17</v>
      </c>
      <c r="W1555" s="2">
        <v>3</v>
      </c>
      <c r="X1555" s="2">
        <v>12</v>
      </c>
      <c r="Z1555" s="2">
        <v>34</v>
      </c>
      <c r="AA1555" s="3" t="s">
        <v>40</v>
      </c>
      <c r="AB1555" s="2">
        <v>6</v>
      </c>
      <c r="AF1555" s="2">
        <v>28</v>
      </c>
      <c r="AG1555" s="2">
        <v>1</v>
      </c>
      <c r="AH1555" s="3" t="s">
        <v>1375</v>
      </c>
      <c r="AI1555" s="4">
        <v>44683</v>
      </c>
      <c r="AJ1555" s="3" t="s">
        <v>1650</v>
      </c>
      <c r="AK1555" s="3" t="s">
        <v>38</v>
      </c>
    </row>
    <row r="1556" spans="1:37" hidden="1" x14ac:dyDescent="0.25">
      <c r="A1556" t="str">
        <f t="shared" si="24"/>
        <v>2022_Vic_Ouyen_Lentil_SatelliteTOS1VarietyKelpieXTWaterTrtRainFed</v>
      </c>
      <c r="B1556" s="2">
        <v>2022016</v>
      </c>
      <c r="C1556" s="3" t="s">
        <v>1612</v>
      </c>
      <c r="D1556" s="3" t="s">
        <v>38</v>
      </c>
      <c r="F1556" s="3" t="s">
        <v>4188</v>
      </c>
      <c r="G1556" s="3" t="s">
        <v>43</v>
      </c>
      <c r="H1556" s="3" t="s">
        <v>253</v>
      </c>
      <c r="I1556" s="2">
        <v>37</v>
      </c>
      <c r="J1556" s="2">
        <v>37</v>
      </c>
      <c r="K1556" s="2">
        <v>4</v>
      </c>
      <c r="O1556" s="2">
        <v>7</v>
      </c>
      <c r="U1556" s="2">
        <v>1</v>
      </c>
      <c r="V1556" s="2">
        <v>19</v>
      </c>
      <c r="W1556" s="2">
        <v>1</v>
      </c>
      <c r="X1556" s="2">
        <v>13</v>
      </c>
      <c r="Z1556" s="2">
        <v>37</v>
      </c>
      <c r="AA1556" s="3" t="s">
        <v>40</v>
      </c>
      <c r="AB1556" s="2">
        <v>4</v>
      </c>
      <c r="AF1556" s="2">
        <v>28</v>
      </c>
      <c r="AG1556" s="2">
        <v>1</v>
      </c>
      <c r="AH1556" s="3" t="s">
        <v>1375</v>
      </c>
      <c r="AI1556" s="4">
        <v>44683</v>
      </c>
      <c r="AJ1556" s="3" t="s">
        <v>1651</v>
      </c>
      <c r="AK1556" s="3" t="s">
        <v>38</v>
      </c>
    </row>
    <row r="1557" spans="1:37" hidden="1" x14ac:dyDescent="0.25">
      <c r="A1557" t="str">
        <f t="shared" si="24"/>
        <v>2022_Vic_Ouyen_Lentil_SatelliteTOS1VarietyGIA_LeaderWaterTrtRainFed</v>
      </c>
      <c r="B1557" s="2">
        <v>2022016</v>
      </c>
      <c r="C1557" s="3" t="s">
        <v>1612</v>
      </c>
      <c r="D1557" s="3" t="s">
        <v>38</v>
      </c>
      <c r="F1557" s="3" t="s">
        <v>1613</v>
      </c>
      <c r="G1557" s="3" t="s">
        <v>39</v>
      </c>
      <c r="H1557" s="3" t="s">
        <v>253</v>
      </c>
      <c r="I1557" s="2">
        <v>38</v>
      </c>
      <c r="J1557" s="2">
        <v>38</v>
      </c>
      <c r="K1557" s="2">
        <v>4</v>
      </c>
      <c r="O1557" s="2">
        <v>7</v>
      </c>
      <c r="U1557" s="2">
        <v>2</v>
      </c>
      <c r="V1557" s="2">
        <v>19</v>
      </c>
      <c r="W1557" s="2">
        <v>2</v>
      </c>
      <c r="X1557" s="2">
        <v>13</v>
      </c>
      <c r="Z1557" s="2">
        <v>38</v>
      </c>
      <c r="AA1557" s="3" t="s">
        <v>40</v>
      </c>
      <c r="AB1557" s="2">
        <v>6</v>
      </c>
      <c r="AF1557" s="2">
        <v>28</v>
      </c>
      <c r="AG1557" s="2">
        <v>1</v>
      </c>
      <c r="AH1557" s="3" t="s">
        <v>1375</v>
      </c>
      <c r="AI1557" s="4">
        <v>44683</v>
      </c>
      <c r="AJ1557" s="3" t="s">
        <v>1652</v>
      </c>
      <c r="AK1557" s="3" t="s">
        <v>38</v>
      </c>
    </row>
    <row r="1558" spans="1:37" hidden="1" x14ac:dyDescent="0.25">
      <c r="A1558" t="str">
        <f t="shared" si="24"/>
        <v>2022_Vic_Ouyen_Lentil_SatelliteTOS1VarietyBoltWaterTrtRainFed</v>
      </c>
      <c r="B1558" s="2">
        <v>2022016</v>
      </c>
      <c r="C1558" s="3" t="s">
        <v>1612</v>
      </c>
      <c r="D1558" s="3" t="s">
        <v>38</v>
      </c>
      <c r="F1558" s="3" t="s">
        <v>4187</v>
      </c>
      <c r="G1558" s="3" t="s">
        <v>39</v>
      </c>
      <c r="H1558" s="3" t="s">
        <v>253</v>
      </c>
      <c r="I1558" s="2">
        <v>39</v>
      </c>
      <c r="J1558" s="2">
        <v>39</v>
      </c>
      <c r="K1558" s="2">
        <v>4</v>
      </c>
      <c r="O1558" s="2">
        <v>7</v>
      </c>
      <c r="U1558" s="2">
        <v>3</v>
      </c>
      <c r="V1558" s="2">
        <v>19</v>
      </c>
      <c r="W1558" s="2">
        <v>3</v>
      </c>
      <c r="X1558" s="2">
        <v>13</v>
      </c>
      <c r="Z1558" s="2">
        <v>39</v>
      </c>
      <c r="AA1558" s="3" t="s">
        <v>40</v>
      </c>
      <c r="AB1558" s="2">
        <v>1</v>
      </c>
      <c r="AF1558" s="2">
        <v>28</v>
      </c>
      <c r="AG1558" s="2">
        <v>1</v>
      </c>
      <c r="AH1558" s="3" t="s">
        <v>1375</v>
      </c>
      <c r="AI1558" s="4">
        <v>44683</v>
      </c>
      <c r="AJ1558" s="3" t="s">
        <v>1653</v>
      </c>
      <c r="AK1558" s="3" t="s">
        <v>38</v>
      </c>
    </row>
    <row r="1559" spans="1:37" hidden="1" x14ac:dyDescent="0.25">
      <c r="A1559" t="str">
        <f t="shared" si="24"/>
        <v>2022_Vic_Ouyen_Lentil_SatelliteTOS1VarietyHallmarkXTWaterTrtRainFed</v>
      </c>
      <c r="B1559" s="2">
        <v>2022016</v>
      </c>
      <c r="C1559" s="3" t="s">
        <v>1612</v>
      </c>
      <c r="D1559" s="3" t="s">
        <v>38</v>
      </c>
      <c r="F1559" s="3" t="s">
        <v>4189</v>
      </c>
      <c r="G1559" s="3" t="s">
        <v>39</v>
      </c>
      <c r="H1559" s="3" t="s">
        <v>253</v>
      </c>
      <c r="I1559" s="2">
        <v>40</v>
      </c>
      <c r="J1559" s="2">
        <v>40</v>
      </c>
      <c r="K1559" s="2">
        <v>4</v>
      </c>
      <c r="O1559" s="2">
        <v>7</v>
      </c>
      <c r="U1559" s="2">
        <v>1</v>
      </c>
      <c r="V1559" s="2">
        <v>20</v>
      </c>
      <c r="W1559" s="2">
        <v>1</v>
      </c>
      <c r="X1559" s="2">
        <v>14</v>
      </c>
      <c r="Z1559" s="2">
        <v>42</v>
      </c>
      <c r="AA1559" s="3" t="s">
        <v>40</v>
      </c>
      <c r="AB1559" s="2">
        <v>2</v>
      </c>
      <c r="AF1559" s="2">
        <v>28</v>
      </c>
      <c r="AG1559" s="2">
        <v>1</v>
      </c>
      <c r="AH1559" s="3" t="s">
        <v>1375</v>
      </c>
      <c r="AI1559" s="4">
        <v>44683</v>
      </c>
      <c r="AJ1559" s="3" t="s">
        <v>1654</v>
      </c>
      <c r="AK1559" s="3" t="s">
        <v>38</v>
      </c>
    </row>
    <row r="1560" spans="1:37" hidden="1" x14ac:dyDescent="0.25">
      <c r="A1560" t="str">
        <f t="shared" si="24"/>
        <v>2022_Vic_Ouyen_Lentil_SatelliteTOS1VarietyJumbo2WaterTrtRainFed</v>
      </c>
      <c r="B1560" s="2">
        <v>2022016</v>
      </c>
      <c r="C1560" s="3" t="s">
        <v>1612</v>
      </c>
      <c r="D1560" s="3" t="s">
        <v>38</v>
      </c>
      <c r="F1560" s="3" t="s">
        <v>4176</v>
      </c>
      <c r="G1560" s="3" t="s">
        <v>43</v>
      </c>
      <c r="H1560" s="3" t="s">
        <v>253</v>
      </c>
      <c r="I1560" s="2">
        <v>41</v>
      </c>
      <c r="J1560" s="2">
        <v>41</v>
      </c>
      <c r="K1560" s="2">
        <v>4</v>
      </c>
      <c r="O1560" s="2">
        <v>7</v>
      </c>
      <c r="U1560" s="2">
        <v>2</v>
      </c>
      <c r="V1560" s="2">
        <v>20</v>
      </c>
      <c r="W1560" s="2">
        <v>2</v>
      </c>
      <c r="X1560" s="2">
        <v>14</v>
      </c>
      <c r="Z1560" s="2">
        <v>41</v>
      </c>
      <c r="AA1560" s="3" t="s">
        <v>40</v>
      </c>
      <c r="AB1560" s="2">
        <v>3</v>
      </c>
      <c r="AF1560" s="2">
        <v>28</v>
      </c>
      <c r="AG1560" s="2">
        <v>1</v>
      </c>
      <c r="AH1560" s="3" t="s">
        <v>1375</v>
      </c>
      <c r="AI1560" s="4">
        <v>44683</v>
      </c>
      <c r="AJ1560" s="3" t="s">
        <v>1655</v>
      </c>
      <c r="AK1560" s="3" t="s">
        <v>38</v>
      </c>
    </row>
    <row r="1561" spans="1:37" hidden="1" x14ac:dyDescent="0.25">
      <c r="A1561" t="str">
        <f t="shared" si="24"/>
        <v>2022_Vic_Ouyen_Lentil_SatelliteTOS1VarietyGIA_LightningWaterTrtRainFed</v>
      </c>
      <c r="B1561" s="2">
        <v>2022016</v>
      </c>
      <c r="C1561" s="3" t="s">
        <v>1612</v>
      </c>
      <c r="D1561" s="3" t="s">
        <v>38</v>
      </c>
      <c r="F1561" s="3" t="s">
        <v>1617</v>
      </c>
      <c r="G1561" s="3" t="s">
        <v>39</v>
      </c>
      <c r="H1561" s="3" t="s">
        <v>253</v>
      </c>
      <c r="I1561" s="2">
        <v>42</v>
      </c>
      <c r="J1561" s="2">
        <v>42</v>
      </c>
      <c r="K1561" s="2">
        <v>4</v>
      </c>
      <c r="O1561" s="2">
        <v>7</v>
      </c>
      <c r="U1561" s="2">
        <v>3</v>
      </c>
      <c r="V1561" s="2">
        <v>20</v>
      </c>
      <c r="W1561" s="2">
        <v>3</v>
      </c>
      <c r="X1561" s="2">
        <v>14</v>
      </c>
      <c r="Z1561" s="2">
        <v>40</v>
      </c>
      <c r="AA1561" s="3" t="s">
        <v>40</v>
      </c>
      <c r="AB1561" s="2">
        <v>5</v>
      </c>
      <c r="AF1561" s="2">
        <v>28</v>
      </c>
      <c r="AG1561" s="2">
        <v>1</v>
      </c>
      <c r="AH1561" s="3" t="s">
        <v>1375</v>
      </c>
      <c r="AI1561" s="4">
        <v>44683</v>
      </c>
      <c r="AJ1561" s="3" t="s">
        <v>1656</v>
      </c>
      <c r="AK1561" s="3" t="s">
        <v>38</v>
      </c>
    </row>
    <row r="1562" spans="1:37" hidden="1" x14ac:dyDescent="0.25">
      <c r="A1562" t="str">
        <f t="shared" si="24"/>
        <v>2022_Vic_Ouyen_Lentil_SatelliteTOS2VarietyGIA_LightningWaterTrtRainFed</v>
      </c>
      <c r="B1562" s="2">
        <v>2022016</v>
      </c>
      <c r="C1562" s="3" t="s">
        <v>1612</v>
      </c>
      <c r="D1562" s="3" t="s">
        <v>38</v>
      </c>
      <c r="F1562" s="3" t="s">
        <v>1617</v>
      </c>
      <c r="G1562" s="3" t="s">
        <v>39</v>
      </c>
      <c r="H1562" s="3" t="s">
        <v>253</v>
      </c>
      <c r="I1562" s="2">
        <v>43</v>
      </c>
      <c r="J1562" s="2">
        <v>43</v>
      </c>
      <c r="K1562" s="2">
        <v>4</v>
      </c>
      <c r="O1562" s="2">
        <v>8</v>
      </c>
      <c r="U1562" s="2">
        <v>1</v>
      </c>
      <c r="V1562" s="2">
        <v>22</v>
      </c>
      <c r="W1562" s="2">
        <v>1</v>
      </c>
      <c r="X1562" s="2">
        <v>15</v>
      </c>
      <c r="Z1562" s="2">
        <v>43</v>
      </c>
      <c r="AA1562" s="3" t="s">
        <v>40</v>
      </c>
      <c r="AB1562" s="2">
        <v>5</v>
      </c>
      <c r="AF1562" s="2">
        <v>28</v>
      </c>
      <c r="AG1562" s="2">
        <v>2</v>
      </c>
      <c r="AH1562" s="3" t="s">
        <v>1382</v>
      </c>
      <c r="AI1562" s="4">
        <v>44713</v>
      </c>
      <c r="AJ1562" s="3" t="s">
        <v>1657</v>
      </c>
      <c r="AK1562" s="3" t="s">
        <v>38</v>
      </c>
    </row>
    <row r="1563" spans="1:37" hidden="1" x14ac:dyDescent="0.25">
      <c r="A1563" t="str">
        <f t="shared" si="24"/>
        <v>2022_Vic_Ouyen_Lentil_SatelliteTOS2VarietyJumbo2WaterTrtRainFed</v>
      </c>
      <c r="B1563" s="2">
        <v>2022016</v>
      </c>
      <c r="C1563" s="3" t="s">
        <v>1612</v>
      </c>
      <c r="D1563" s="3" t="s">
        <v>38</v>
      </c>
      <c r="F1563" s="3" t="s">
        <v>4176</v>
      </c>
      <c r="G1563" s="3" t="s">
        <v>43</v>
      </c>
      <c r="H1563" s="3" t="s">
        <v>253</v>
      </c>
      <c r="I1563" s="2">
        <v>44</v>
      </c>
      <c r="J1563" s="2">
        <v>44</v>
      </c>
      <c r="K1563" s="2">
        <v>4</v>
      </c>
      <c r="O1563" s="2">
        <v>8</v>
      </c>
      <c r="U1563" s="2">
        <v>2</v>
      </c>
      <c r="V1563" s="2">
        <v>22</v>
      </c>
      <c r="W1563" s="2">
        <v>2</v>
      </c>
      <c r="X1563" s="2">
        <v>15</v>
      </c>
      <c r="Z1563" s="2">
        <v>44</v>
      </c>
      <c r="AA1563" s="3" t="s">
        <v>40</v>
      </c>
      <c r="AB1563" s="2">
        <v>3</v>
      </c>
      <c r="AF1563" s="2">
        <v>28</v>
      </c>
      <c r="AG1563" s="2">
        <v>2</v>
      </c>
      <c r="AH1563" s="3" t="s">
        <v>1382</v>
      </c>
      <c r="AI1563" s="4">
        <v>44713</v>
      </c>
      <c r="AJ1563" s="3" t="s">
        <v>1658</v>
      </c>
      <c r="AK1563" s="3" t="s">
        <v>38</v>
      </c>
    </row>
    <row r="1564" spans="1:37" hidden="1" x14ac:dyDescent="0.25">
      <c r="A1564" t="str">
        <f t="shared" si="24"/>
        <v>2022_Vic_Ouyen_Lentil_SatelliteTOS2VarietyBoltWaterTrtRainFed</v>
      </c>
      <c r="B1564" s="2">
        <v>2022016</v>
      </c>
      <c r="C1564" s="3" t="s">
        <v>1612</v>
      </c>
      <c r="D1564" s="3" t="s">
        <v>38</v>
      </c>
      <c r="F1564" s="3" t="s">
        <v>4187</v>
      </c>
      <c r="G1564" s="3" t="s">
        <v>39</v>
      </c>
      <c r="H1564" s="3" t="s">
        <v>253</v>
      </c>
      <c r="I1564" s="2">
        <v>45</v>
      </c>
      <c r="J1564" s="2">
        <v>45</v>
      </c>
      <c r="K1564" s="2">
        <v>4</v>
      </c>
      <c r="O1564" s="2">
        <v>8</v>
      </c>
      <c r="U1564" s="2">
        <v>3</v>
      </c>
      <c r="V1564" s="2">
        <v>22</v>
      </c>
      <c r="W1564" s="2">
        <v>3</v>
      </c>
      <c r="X1564" s="2">
        <v>15</v>
      </c>
      <c r="Z1564" s="2">
        <v>45</v>
      </c>
      <c r="AA1564" s="3" t="s">
        <v>40</v>
      </c>
      <c r="AB1564" s="2">
        <v>1</v>
      </c>
      <c r="AF1564" s="2">
        <v>28</v>
      </c>
      <c r="AG1564" s="2">
        <v>2</v>
      </c>
      <c r="AH1564" s="3" t="s">
        <v>1382</v>
      </c>
      <c r="AI1564" s="4">
        <v>44713</v>
      </c>
      <c r="AJ1564" s="3" t="s">
        <v>1659</v>
      </c>
      <c r="AK1564" s="3" t="s">
        <v>38</v>
      </c>
    </row>
    <row r="1565" spans="1:37" hidden="1" x14ac:dyDescent="0.25">
      <c r="A1565" t="str">
        <f t="shared" si="24"/>
        <v>2022_Vic_Ouyen_Lentil_SatelliteTOS2VarietyHallmarkXTWaterTrtRainFed</v>
      </c>
      <c r="B1565" s="2">
        <v>2022016</v>
      </c>
      <c r="C1565" s="3" t="s">
        <v>1612</v>
      </c>
      <c r="D1565" s="3" t="s">
        <v>38</v>
      </c>
      <c r="F1565" s="3" t="s">
        <v>4189</v>
      </c>
      <c r="G1565" s="3" t="s">
        <v>39</v>
      </c>
      <c r="H1565" s="3" t="s">
        <v>253</v>
      </c>
      <c r="I1565" s="2">
        <v>46</v>
      </c>
      <c r="J1565" s="2">
        <v>46</v>
      </c>
      <c r="K1565" s="2">
        <v>4</v>
      </c>
      <c r="O1565" s="2">
        <v>8</v>
      </c>
      <c r="U1565" s="2">
        <v>1</v>
      </c>
      <c r="V1565" s="2">
        <v>23</v>
      </c>
      <c r="W1565" s="2">
        <v>1</v>
      </c>
      <c r="X1565" s="2">
        <v>16</v>
      </c>
      <c r="Z1565" s="2">
        <v>48</v>
      </c>
      <c r="AA1565" s="3" t="s">
        <v>40</v>
      </c>
      <c r="AB1565" s="2">
        <v>2</v>
      </c>
      <c r="AF1565" s="2">
        <v>28</v>
      </c>
      <c r="AG1565" s="2">
        <v>2</v>
      </c>
      <c r="AH1565" s="3" t="s">
        <v>1382</v>
      </c>
      <c r="AI1565" s="4">
        <v>44713</v>
      </c>
      <c r="AJ1565" s="3" t="s">
        <v>1660</v>
      </c>
      <c r="AK1565" s="3" t="s">
        <v>38</v>
      </c>
    </row>
    <row r="1566" spans="1:37" hidden="1" x14ac:dyDescent="0.25">
      <c r="A1566" t="str">
        <f t="shared" si="24"/>
        <v>2022_Vic_Ouyen_Lentil_SatelliteTOS2VarietyKelpieXTWaterTrtRainFed</v>
      </c>
      <c r="B1566" s="2">
        <v>2022016</v>
      </c>
      <c r="C1566" s="3" t="s">
        <v>1612</v>
      </c>
      <c r="D1566" s="3" t="s">
        <v>38</v>
      </c>
      <c r="F1566" s="3" t="s">
        <v>4188</v>
      </c>
      <c r="G1566" s="3" t="s">
        <v>43</v>
      </c>
      <c r="H1566" s="3" t="s">
        <v>253</v>
      </c>
      <c r="I1566" s="2">
        <v>47</v>
      </c>
      <c r="J1566" s="2">
        <v>47</v>
      </c>
      <c r="K1566" s="2">
        <v>4</v>
      </c>
      <c r="O1566" s="2">
        <v>8</v>
      </c>
      <c r="U1566" s="2">
        <v>2</v>
      </c>
      <c r="V1566" s="2">
        <v>23</v>
      </c>
      <c r="W1566" s="2">
        <v>2</v>
      </c>
      <c r="X1566" s="2">
        <v>16</v>
      </c>
      <c r="Z1566" s="2">
        <v>47</v>
      </c>
      <c r="AA1566" s="3" t="s">
        <v>40</v>
      </c>
      <c r="AB1566" s="2">
        <v>4</v>
      </c>
      <c r="AF1566" s="2">
        <v>28</v>
      </c>
      <c r="AG1566" s="2">
        <v>2</v>
      </c>
      <c r="AH1566" s="3" t="s">
        <v>1382</v>
      </c>
      <c r="AI1566" s="4">
        <v>44713</v>
      </c>
      <c r="AJ1566" s="3" t="s">
        <v>1661</v>
      </c>
      <c r="AK1566" s="3" t="s">
        <v>38</v>
      </c>
    </row>
    <row r="1567" spans="1:37" hidden="1" x14ac:dyDescent="0.25">
      <c r="A1567" t="str">
        <f t="shared" si="24"/>
        <v>2022_Vic_Ouyen_Lentil_SatelliteTOS2VarietyGIA_LeaderWaterTrtRainFed</v>
      </c>
      <c r="B1567" s="2">
        <v>2022016</v>
      </c>
      <c r="C1567" s="3" t="s">
        <v>1612</v>
      </c>
      <c r="D1567" s="3" t="s">
        <v>38</v>
      </c>
      <c r="F1567" s="3" t="s">
        <v>1613</v>
      </c>
      <c r="G1567" s="3" t="s">
        <v>39</v>
      </c>
      <c r="H1567" s="3" t="s">
        <v>253</v>
      </c>
      <c r="I1567" s="2">
        <v>48</v>
      </c>
      <c r="J1567" s="2">
        <v>48</v>
      </c>
      <c r="K1567" s="2">
        <v>4</v>
      </c>
      <c r="O1567" s="2">
        <v>8</v>
      </c>
      <c r="U1567" s="2">
        <v>3</v>
      </c>
      <c r="V1567" s="2">
        <v>23</v>
      </c>
      <c r="W1567" s="2">
        <v>3</v>
      </c>
      <c r="X1567" s="2">
        <v>16</v>
      </c>
      <c r="Z1567" s="2">
        <v>46</v>
      </c>
      <c r="AA1567" s="3" t="s">
        <v>40</v>
      </c>
      <c r="AB1567" s="2">
        <v>6</v>
      </c>
      <c r="AF1567" s="2">
        <v>28</v>
      </c>
      <c r="AG1567" s="2">
        <v>2</v>
      </c>
      <c r="AH1567" s="3" t="s">
        <v>1382</v>
      </c>
      <c r="AI1567" s="4">
        <v>44713</v>
      </c>
      <c r="AJ1567" s="3" t="s">
        <v>1662</v>
      </c>
      <c r="AK1567" s="3" t="s">
        <v>38</v>
      </c>
    </row>
    <row r="1568" spans="1:37" hidden="1" x14ac:dyDescent="0.25">
      <c r="A1568" t="str">
        <f t="shared" si="24"/>
        <v>2022_NSW_RankinsSprings_Lentil_SatelliteTOS1VarietyHallmarkXTWaterTrtRainFed</v>
      </c>
      <c r="B1568" s="2">
        <v>2022017</v>
      </c>
      <c r="C1568" s="3" t="s">
        <v>1663</v>
      </c>
      <c r="D1568" s="3" t="s">
        <v>38</v>
      </c>
      <c r="F1568" s="3" t="s">
        <v>4189</v>
      </c>
      <c r="G1568" s="3" t="s">
        <v>39</v>
      </c>
      <c r="H1568" s="3" t="s">
        <v>253</v>
      </c>
      <c r="I1568" s="2">
        <v>1</v>
      </c>
      <c r="J1568" s="2">
        <v>1</v>
      </c>
      <c r="K1568" s="2">
        <v>1</v>
      </c>
      <c r="O1568" s="2">
        <v>1</v>
      </c>
      <c r="U1568" s="2">
        <v>1</v>
      </c>
      <c r="V1568" s="2">
        <v>2</v>
      </c>
      <c r="W1568" s="2">
        <v>1</v>
      </c>
      <c r="X1568" s="2">
        <v>1</v>
      </c>
      <c r="Z1568" s="2">
        <v>1</v>
      </c>
      <c r="AA1568" s="3" t="s">
        <v>40</v>
      </c>
      <c r="AB1568" s="2">
        <v>4</v>
      </c>
      <c r="AF1568" s="2">
        <v>30</v>
      </c>
      <c r="AG1568" s="2">
        <v>1</v>
      </c>
      <c r="AH1568" s="3" t="s">
        <v>1426</v>
      </c>
      <c r="AI1568" s="4">
        <v>44690</v>
      </c>
      <c r="AJ1568" s="3" t="s">
        <v>1664</v>
      </c>
      <c r="AK1568" s="3" t="s">
        <v>38</v>
      </c>
    </row>
    <row r="1569" spans="1:37" hidden="1" x14ac:dyDescent="0.25">
      <c r="A1569" t="str">
        <f t="shared" si="24"/>
        <v>2022_NSW_RankinsSprings_Lentil_SatelliteTOS1VarietyJumbo2WaterTrtRainFed</v>
      </c>
      <c r="B1569" s="2">
        <v>2022017</v>
      </c>
      <c r="C1569" s="3" t="s">
        <v>1663</v>
      </c>
      <c r="D1569" s="3" t="s">
        <v>38</v>
      </c>
      <c r="F1569" s="3" t="s">
        <v>4176</v>
      </c>
      <c r="G1569" s="3" t="s">
        <v>43</v>
      </c>
      <c r="H1569" s="3" t="s">
        <v>253</v>
      </c>
      <c r="I1569" s="2">
        <v>2</v>
      </c>
      <c r="J1569" s="2">
        <v>2</v>
      </c>
      <c r="K1569" s="2">
        <v>1</v>
      </c>
      <c r="O1569" s="2">
        <v>1</v>
      </c>
      <c r="U1569" s="2">
        <v>2</v>
      </c>
      <c r="V1569" s="2">
        <v>2</v>
      </c>
      <c r="W1569" s="2">
        <v>2</v>
      </c>
      <c r="X1569" s="2">
        <v>1</v>
      </c>
      <c r="Z1569" s="2">
        <v>2</v>
      </c>
      <c r="AA1569" s="3" t="s">
        <v>40</v>
      </c>
      <c r="AB1569" s="2">
        <v>5</v>
      </c>
      <c r="AF1569" s="2">
        <v>30</v>
      </c>
      <c r="AG1569" s="2">
        <v>1</v>
      </c>
      <c r="AH1569" s="3" t="s">
        <v>1426</v>
      </c>
      <c r="AI1569" s="4">
        <v>44690</v>
      </c>
      <c r="AJ1569" s="3" t="s">
        <v>1665</v>
      </c>
      <c r="AK1569" s="3" t="s">
        <v>38</v>
      </c>
    </row>
    <row r="1570" spans="1:37" hidden="1" x14ac:dyDescent="0.25">
      <c r="A1570" t="str">
        <f t="shared" si="24"/>
        <v>2022_NSW_RankinsSprings_Lentil_SatelliteTOS1VarietyGreenfieldWaterTrtRainFed</v>
      </c>
      <c r="B1570" s="2">
        <v>2022017</v>
      </c>
      <c r="C1570" s="3" t="s">
        <v>1663</v>
      </c>
      <c r="D1570" s="3" t="s">
        <v>38</v>
      </c>
      <c r="F1570" s="3" t="s">
        <v>4192</v>
      </c>
      <c r="G1570" s="3" t="s">
        <v>39</v>
      </c>
      <c r="H1570" s="3" t="s">
        <v>253</v>
      </c>
      <c r="I1570" s="2">
        <v>3</v>
      </c>
      <c r="J1570" s="2">
        <v>3</v>
      </c>
      <c r="K1570" s="2">
        <v>1</v>
      </c>
      <c r="O1570" s="2">
        <v>1</v>
      </c>
      <c r="U1570" s="2">
        <v>3</v>
      </c>
      <c r="V1570" s="2">
        <v>2</v>
      </c>
      <c r="W1570" s="2">
        <v>3</v>
      </c>
      <c r="X1570" s="2">
        <v>1</v>
      </c>
      <c r="Z1570" s="2">
        <v>3</v>
      </c>
      <c r="AA1570" s="3" t="s">
        <v>40</v>
      </c>
      <c r="AB1570" s="2">
        <v>3</v>
      </c>
      <c r="AF1570" s="2">
        <v>30</v>
      </c>
      <c r="AG1570" s="2">
        <v>1</v>
      </c>
      <c r="AH1570" s="3" t="s">
        <v>1426</v>
      </c>
      <c r="AI1570" s="4">
        <v>44690</v>
      </c>
      <c r="AJ1570" s="3" t="s">
        <v>1666</v>
      </c>
      <c r="AK1570" s="3" t="s">
        <v>38</v>
      </c>
    </row>
    <row r="1571" spans="1:37" hidden="1" x14ac:dyDescent="0.25">
      <c r="A1571" t="str">
        <f t="shared" si="24"/>
        <v>2022_NSW_RankinsSprings_Lentil_SatelliteTOS1VarietyAceWaterTrtRainFed</v>
      </c>
      <c r="B1571" s="2">
        <v>2022017</v>
      </c>
      <c r="C1571" s="3" t="s">
        <v>1663</v>
      </c>
      <c r="D1571" s="3" t="s">
        <v>38</v>
      </c>
      <c r="F1571" s="3" t="s">
        <v>4175</v>
      </c>
      <c r="G1571" s="3" t="s">
        <v>39</v>
      </c>
      <c r="H1571" s="3" t="s">
        <v>253</v>
      </c>
      <c r="I1571" s="2">
        <v>4</v>
      </c>
      <c r="J1571" s="2">
        <v>4</v>
      </c>
      <c r="K1571" s="2">
        <v>1</v>
      </c>
      <c r="O1571" s="2">
        <v>1</v>
      </c>
      <c r="U1571" s="2">
        <v>4</v>
      </c>
      <c r="V1571" s="2">
        <v>2</v>
      </c>
      <c r="W1571" s="2">
        <v>4</v>
      </c>
      <c r="X1571" s="2">
        <v>1</v>
      </c>
      <c r="Z1571" s="2">
        <v>4</v>
      </c>
      <c r="AA1571" s="3" t="s">
        <v>40</v>
      </c>
      <c r="AB1571" s="2">
        <v>1</v>
      </c>
      <c r="AF1571" s="2">
        <v>30</v>
      </c>
      <c r="AG1571" s="2">
        <v>1</v>
      </c>
      <c r="AH1571" s="3" t="s">
        <v>1426</v>
      </c>
      <c r="AI1571" s="4">
        <v>44690</v>
      </c>
      <c r="AJ1571" s="3" t="s">
        <v>1667</v>
      </c>
      <c r="AK1571" s="3" t="s">
        <v>38</v>
      </c>
    </row>
    <row r="1572" spans="1:37" hidden="1" x14ac:dyDescent="0.25">
      <c r="A1572" t="str">
        <f t="shared" si="24"/>
        <v>2022_NSW_RankinsSprings_Lentil_SatelliteTOS1VarietyKelpieXTWaterTrtRainFed</v>
      </c>
      <c r="B1572" s="2">
        <v>2022017</v>
      </c>
      <c r="C1572" s="3" t="s">
        <v>1663</v>
      </c>
      <c r="D1572" s="3" t="s">
        <v>38</v>
      </c>
      <c r="F1572" s="3" t="s">
        <v>4188</v>
      </c>
      <c r="G1572" s="3" t="s">
        <v>43</v>
      </c>
      <c r="H1572" s="3" t="s">
        <v>253</v>
      </c>
      <c r="I1572" s="2">
        <v>5</v>
      </c>
      <c r="J1572" s="2">
        <v>5</v>
      </c>
      <c r="K1572" s="2">
        <v>1</v>
      </c>
      <c r="O1572" s="2">
        <v>1</v>
      </c>
      <c r="U1572" s="2">
        <v>5</v>
      </c>
      <c r="V1572" s="2">
        <v>2</v>
      </c>
      <c r="W1572" s="2">
        <v>5</v>
      </c>
      <c r="X1572" s="2">
        <v>1</v>
      </c>
      <c r="Z1572" s="2">
        <v>5</v>
      </c>
      <c r="AA1572" s="3" t="s">
        <v>40</v>
      </c>
      <c r="AB1572" s="2">
        <v>6</v>
      </c>
      <c r="AF1572" s="2">
        <v>30</v>
      </c>
      <c r="AG1572" s="2">
        <v>1</v>
      </c>
      <c r="AH1572" s="3" t="s">
        <v>1426</v>
      </c>
      <c r="AI1572" s="4">
        <v>44690</v>
      </c>
      <c r="AJ1572" s="3" t="s">
        <v>1668</v>
      </c>
      <c r="AK1572" s="3" t="s">
        <v>38</v>
      </c>
    </row>
    <row r="1573" spans="1:37" hidden="1" x14ac:dyDescent="0.25">
      <c r="A1573" t="str">
        <f t="shared" si="24"/>
        <v>2022_NSW_RankinsSprings_Lentil_SatelliteTOS1VarietyBoltWaterTrtRainFed</v>
      </c>
      <c r="B1573" s="2">
        <v>2022017</v>
      </c>
      <c r="C1573" s="3" t="s">
        <v>1663</v>
      </c>
      <c r="D1573" s="3" t="s">
        <v>38</v>
      </c>
      <c r="F1573" s="3" t="s">
        <v>4187</v>
      </c>
      <c r="G1573" s="3" t="s">
        <v>39</v>
      </c>
      <c r="H1573" s="3" t="s">
        <v>253</v>
      </c>
      <c r="I1573" s="2">
        <v>6</v>
      </c>
      <c r="J1573" s="2">
        <v>6</v>
      </c>
      <c r="K1573" s="2">
        <v>1</v>
      </c>
      <c r="O1573" s="2">
        <v>1</v>
      </c>
      <c r="U1573" s="2">
        <v>6</v>
      </c>
      <c r="V1573" s="2">
        <v>2</v>
      </c>
      <c r="W1573" s="2">
        <v>6</v>
      </c>
      <c r="X1573" s="2">
        <v>1</v>
      </c>
      <c r="Z1573" s="2">
        <v>6</v>
      </c>
      <c r="AA1573" s="3" t="s">
        <v>40</v>
      </c>
      <c r="AB1573" s="2">
        <v>2</v>
      </c>
      <c r="AF1573" s="2">
        <v>30</v>
      </c>
      <c r="AG1573" s="2">
        <v>1</v>
      </c>
      <c r="AH1573" s="3" t="s">
        <v>1426</v>
      </c>
      <c r="AI1573" s="4">
        <v>44690</v>
      </c>
      <c r="AJ1573" s="3" t="s">
        <v>1669</v>
      </c>
      <c r="AK1573" s="3" t="s">
        <v>38</v>
      </c>
    </row>
    <row r="1574" spans="1:37" hidden="1" x14ac:dyDescent="0.25">
      <c r="A1574" t="str">
        <f t="shared" si="24"/>
        <v>2022_NSW_RankinsSprings_Lentil_SatelliteTOS2VarietyGreenfieldWaterTrtRainFed</v>
      </c>
      <c r="B1574" s="2">
        <v>2022017</v>
      </c>
      <c r="C1574" s="3" t="s">
        <v>1663</v>
      </c>
      <c r="D1574" s="3" t="s">
        <v>38</v>
      </c>
      <c r="F1574" s="3" t="s">
        <v>4192</v>
      </c>
      <c r="G1574" s="3" t="s">
        <v>39</v>
      </c>
      <c r="H1574" s="3" t="s">
        <v>253</v>
      </c>
      <c r="I1574" s="2">
        <v>7</v>
      </c>
      <c r="J1574" s="2">
        <v>7</v>
      </c>
      <c r="K1574" s="2">
        <v>1</v>
      </c>
      <c r="O1574" s="2">
        <v>2</v>
      </c>
      <c r="U1574" s="2">
        <v>1</v>
      </c>
      <c r="V1574" s="2">
        <v>5</v>
      </c>
      <c r="W1574" s="2">
        <v>1</v>
      </c>
      <c r="X1574" s="2">
        <v>2</v>
      </c>
      <c r="Z1574" s="2">
        <v>12</v>
      </c>
      <c r="AA1574" s="3" t="s">
        <v>40</v>
      </c>
      <c r="AB1574" s="2">
        <v>3</v>
      </c>
      <c r="AF1574" s="2">
        <v>30</v>
      </c>
      <c r="AG1574" s="2">
        <v>2</v>
      </c>
      <c r="AH1574" s="3" t="s">
        <v>1433</v>
      </c>
      <c r="AI1574" s="4">
        <v>44721</v>
      </c>
      <c r="AJ1574" s="3" t="s">
        <v>1670</v>
      </c>
      <c r="AK1574" s="3" t="s">
        <v>38</v>
      </c>
    </row>
    <row r="1575" spans="1:37" hidden="1" x14ac:dyDescent="0.25">
      <c r="A1575" t="str">
        <f t="shared" si="24"/>
        <v>2022_NSW_RankinsSprings_Lentil_SatelliteTOS2VarietyBoltWaterTrtRainFed</v>
      </c>
      <c r="B1575" s="2">
        <v>2022017</v>
      </c>
      <c r="C1575" s="3" t="s">
        <v>1663</v>
      </c>
      <c r="D1575" s="3" t="s">
        <v>38</v>
      </c>
      <c r="F1575" s="3" t="s">
        <v>4187</v>
      </c>
      <c r="G1575" s="3" t="s">
        <v>39</v>
      </c>
      <c r="H1575" s="3" t="s">
        <v>253</v>
      </c>
      <c r="I1575" s="2">
        <v>8</v>
      </c>
      <c r="J1575" s="2">
        <v>8</v>
      </c>
      <c r="K1575" s="2">
        <v>1</v>
      </c>
      <c r="O1575" s="2">
        <v>2</v>
      </c>
      <c r="U1575" s="2">
        <v>2</v>
      </c>
      <c r="V1575" s="2">
        <v>5</v>
      </c>
      <c r="W1575" s="2">
        <v>2</v>
      </c>
      <c r="X1575" s="2">
        <v>2</v>
      </c>
      <c r="Z1575" s="2">
        <v>11</v>
      </c>
      <c r="AA1575" s="3" t="s">
        <v>40</v>
      </c>
      <c r="AB1575" s="2">
        <v>2</v>
      </c>
      <c r="AF1575" s="2">
        <v>30</v>
      </c>
      <c r="AG1575" s="2">
        <v>2</v>
      </c>
      <c r="AH1575" s="3" t="s">
        <v>1433</v>
      </c>
      <c r="AI1575" s="4">
        <v>44721</v>
      </c>
      <c r="AJ1575" s="3" t="s">
        <v>1671</v>
      </c>
      <c r="AK1575" s="3" t="s">
        <v>38</v>
      </c>
    </row>
    <row r="1576" spans="1:37" hidden="1" x14ac:dyDescent="0.25">
      <c r="A1576" t="str">
        <f t="shared" si="24"/>
        <v>2022_NSW_RankinsSprings_Lentil_SatelliteTOS2VarietyHallmarkXTWaterTrtRainFed</v>
      </c>
      <c r="B1576" s="2">
        <v>2022017</v>
      </c>
      <c r="C1576" s="3" t="s">
        <v>1663</v>
      </c>
      <c r="D1576" s="3" t="s">
        <v>38</v>
      </c>
      <c r="F1576" s="3" t="s">
        <v>4189</v>
      </c>
      <c r="G1576" s="3" t="s">
        <v>39</v>
      </c>
      <c r="H1576" s="3" t="s">
        <v>253</v>
      </c>
      <c r="I1576" s="2">
        <v>9</v>
      </c>
      <c r="J1576" s="2">
        <v>9</v>
      </c>
      <c r="K1576" s="2">
        <v>1</v>
      </c>
      <c r="O1576" s="2">
        <v>2</v>
      </c>
      <c r="U1576" s="2">
        <v>3</v>
      </c>
      <c r="V1576" s="2">
        <v>5</v>
      </c>
      <c r="W1576" s="2">
        <v>3</v>
      </c>
      <c r="X1576" s="2">
        <v>2</v>
      </c>
      <c r="Z1576" s="2">
        <v>10</v>
      </c>
      <c r="AA1576" s="3" t="s">
        <v>40</v>
      </c>
      <c r="AB1576" s="2">
        <v>4</v>
      </c>
      <c r="AF1576" s="2">
        <v>30</v>
      </c>
      <c r="AG1576" s="2">
        <v>2</v>
      </c>
      <c r="AH1576" s="3" t="s">
        <v>1433</v>
      </c>
      <c r="AI1576" s="4">
        <v>44721</v>
      </c>
      <c r="AJ1576" s="3" t="s">
        <v>1672</v>
      </c>
      <c r="AK1576" s="3" t="s">
        <v>38</v>
      </c>
    </row>
    <row r="1577" spans="1:37" hidden="1" x14ac:dyDescent="0.25">
      <c r="A1577" t="str">
        <f t="shared" si="24"/>
        <v>2022_NSW_RankinsSprings_Lentil_SatelliteTOS2VarietyKelpieXTWaterTrtRainFed</v>
      </c>
      <c r="B1577" s="2">
        <v>2022017</v>
      </c>
      <c r="C1577" s="3" t="s">
        <v>1663</v>
      </c>
      <c r="D1577" s="3" t="s">
        <v>38</v>
      </c>
      <c r="F1577" s="3" t="s">
        <v>4188</v>
      </c>
      <c r="G1577" s="3" t="s">
        <v>43</v>
      </c>
      <c r="H1577" s="3" t="s">
        <v>253</v>
      </c>
      <c r="I1577" s="2">
        <v>10</v>
      </c>
      <c r="J1577" s="2">
        <v>10</v>
      </c>
      <c r="K1577" s="2">
        <v>1</v>
      </c>
      <c r="O1577" s="2">
        <v>2</v>
      </c>
      <c r="U1577" s="2">
        <v>4</v>
      </c>
      <c r="V1577" s="2">
        <v>5</v>
      </c>
      <c r="W1577" s="2">
        <v>4</v>
      </c>
      <c r="X1577" s="2">
        <v>2</v>
      </c>
      <c r="Z1577" s="2">
        <v>9</v>
      </c>
      <c r="AA1577" s="3" t="s">
        <v>40</v>
      </c>
      <c r="AB1577" s="2">
        <v>6</v>
      </c>
      <c r="AF1577" s="2">
        <v>30</v>
      </c>
      <c r="AG1577" s="2">
        <v>2</v>
      </c>
      <c r="AH1577" s="3" t="s">
        <v>1433</v>
      </c>
      <c r="AI1577" s="4">
        <v>44721</v>
      </c>
      <c r="AJ1577" s="3" t="s">
        <v>1673</v>
      </c>
      <c r="AK1577" s="3" t="s">
        <v>38</v>
      </c>
    </row>
    <row r="1578" spans="1:37" hidden="1" x14ac:dyDescent="0.25">
      <c r="A1578" t="str">
        <f t="shared" si="24"/>
        <v>2022_NSW_RankinsSprings_Lentil_SatelliteTOS2VarietyAceWaterTrtRainFed</v>
      </c>
      <c r="B1578" s="2">
        <v>2022017</v>
      </c>
      <c r="C1578" s="3" t="s">
        <v>1663</v>
      </c>
      <c r="D1578" s="3" t="s">
        <v>38</v>
      </c>
      <c r="F1578" s="3" t="s">
        <v>4175</v>
      </c>
      <c r="G1578" s="3" t="s">
        <v>39</v>
      </c>
      <c r="H1578" s="3" t="s">
        <v>253</v>
      </c>
      <c r="I1578" s="2">
        <v>11</v>
      </c>
      <c r="J1578" s="2">
        <v>11</v>
      </c>
      <c r="K1578" s="2">
        <v>1</v>
      </c>
      <c r="O1578" s="2">
        <v>2</v>
      </c>
      <c r="U1578" s="2">
        <v>5</v>
      </c>
      <c r="V1578" s="2">
        <v>5</v>
      </c>
      <c r="W1578" s="2">
        <v>5</v>
      </c>
      <c r="X1578" s="2">
        <v>2</v>
      </c>
      <c r="Z1578" s="2">
        <v>8</v>
      </c>
      <c r="AA1578" s="3" t="s">
        <v>40</v>
      </c>
      <c r="AB1578" s="2">
        <v>1</v>
      </c>
      <c r="AF1578" s="2">
        <v>30</v>
      </c>
      <c r="AG1578" s="2">
        <v>2</v>
      </c>
      <c r="AH1578" s="3" t="s">
        <v>1433</v>
      </c>
      <c r="AI1578" s="4">
        <v>44721</v>
      </c>
      <c r="AJ1578" s="3" t="s">
        <v>1674</v>
      </c>
      <c r="AK1578" s="3" t="s">
        <v>38</v>
      </c>
    </row>
    <row r="1579" spans="1:37" hidden="1" x14ac:dyDescent="0.25">
      <c r="A1579" t="str">
        <f t="shared" si="24"/>
        <v>2022_NSW_RankinsSprings_Lentil_SatelliteTOS2VarietyJumbo2WaterTrtRainFed</v>
      </c>
      <c r="B1579" s="2">
        <v>2022017</v>
      </c>
      <c r="C1579" s="3" t="s">
        <v>1663</v>
      </c>
      <c r="D1579" s="3" t="s">
        <v>38</v>
      </c>
      <c r="F1579" s="3" t="s">
        <v>4176</v>
      </c>
      <c r="G1579" s="3" t="s">
        <v>43</v>
      </c>
      <c r="H1579" s="3" t="s">
        <v>253</v>
      </c>
      <c r="I1579" s="2">
        <v>12</v>
      </c>
      <c r="J1579" s="2">
        <v>12</v>
      </c>
      <c r="K1579" s="2">
        <v>1</v>
      </c>
      <c r="O1579" s="2">
        <v>2</v>
      </c>
      <c r="U1579" s="2">
        <v>6</v>
      </c>
      <c r="V1579" s="2">
        <v>5</v>
      </c>
      <c r="W1579" s="2">
        <v>6</v>
      </c>
      <c r="X1579" s="2">
        <v>2</v>
      </c>
      <c r="Z1579" s="2">
        <v>7</v>
      </c>
      <c r="AA1579" s="3" t="s">
        <v>40</v>
      </c>
      <c r="AB1579" s="2">
        <v>5</v>
      </c>
      <c r="AF1579" s="2">
        <v>30</v>
      </c>
      <c r="AG1579" s="2">
        <v>2</v>
      </c>
      <c r="AH1579" s="3" t="s">
        <v>1433</v>
      </c>
      <c r="AI1579" s="4">
        <v>44721</v>
      </c>
      <c r="AJ1579" s="3" t="s">
        <v>1675</v>
      </c>
      <c r="AK1579" s="3" t="s">
        <v>38</v>
      </c>
    </row>
    <row r="1580" spans="1:37" hidden="1" x14ac:dyDescent="0.25">
      <c r="A1580" t="str">
        <f t="shared" si="24"/>
        <v>2022_NSW_RankinsSprings_Lentil_SatelliteTOS2VarietyKelpieXTWaterTrtRainFed</v>
      </c>
      <c r="B1580" s="2">
        <v>2022017</v>
      </c>
      <c r="C1580" s="3" t="s">
        <v>1663</v>
      </c>
      <c r="D1580" s="3" t="s">
        <v>38</v>
      </c>
      <c r="F1580" s="3" t="s">
        <v>4188</v>
      </c>
      <c r="G1580" s="3" t="s">
        <v>43</v>
      </c>
      <c r="H1580" s="3" t="s">
        <v>253</v>
      </c>
      <c r="I1580" s="2">
        <v>13</v>
      </c>
      <c r="J1580" s="2">
        <v>13</v>
      </c>
      <c r="K1580" s="2">
        <v>2</v>
      </c>
      <c r="O1580" s="2">
        <v>3</v>
      </c>
      <c r="U1580" s="2">
        <v>1</v>
      </c>
      <c r="V1580" s="2">
        <v>8</v>
      </c>
      <c r="W1580" s="2">
        <v>1</v>
      </c>
      <c r="X1580" s="2">
        <v>3</v>
      </c>
      <c r="Z1580" s="2">
        <v>13</v>
      </c>
      <c r="AA1580" s="3" t="s">
        <v>40</v>
      </c>
      <c r="AB1580" s="2">
        <v>6</v>
      </c>
      <c r="AF1580" s="2">
        <v>30</v>
      </c>
      <c r="AG1580" s="2">
        <v>2</v>
      </c>
      <c r="AH1580" s="3" t="s">
        <v>1433</v>
      </c>
      <c r="AI1580" s="4">
        <v>44721</v>
      </c>
      <c r="AJ1580" s="3" t="s">
        <v>1676</v>
      </c>
      <c r="AK1580" s="3" t="s">
        <v>38</v>
      </c>
    </row>
    <row r="1581" spans="1:37" hidden="1" x14ac:dyDescent="0.25">
      <c r="A1581" t="str">
        <f t="shared" si="24"/>
        <v>2022_NSW_RankinsSprings_Lentil_SatelliteTOS2VarietyJumbo2WaterTrtRainFed</v>
      </c>
      <c r="B1581" s="2">
        <v>2022017</v>
      </c>
      <c r="C1581" s="3" t="s">
        <v>1663</v>
      </c>
      <c r="D1581" s="3" t="s">
        <v>38</v>
      </c>
      <c r="F1581" s="3" t="s">
        <v>4176</v>
      </c>
      <c r="G1581" s="3" t="s">
        <v>43</v>
      </c>
      <c r="H1581" s="3" t="s">
        <v>253</v>
      </c>
      <c r="I1581" s="2">
        <v>14</v>
      </c>
      <c r="J1581" s="2">
        <v>14</v>
      </c>
      <c r="K1581" s="2">
        <v>2</v>
      </c>
      <c r="O1581" s="2">
        <v>3</v>
      </c>
      <c r="U1581" s="2">
        <v>2</v>
      </c>
      <c r="V1581" s="2">
        <v>8</v>
      </c>
      <c r="W1581" s="2">
        <v>2</v>
      </c>
      <c r="X1581" s="2">
        <v>3</v>
      </c>
      <c r="Z1581" s="2">
        <v>14</v>
      </c>
      <c r="AA1581" s="3" t="s">
        <v>40</v>
      </c>
      <c r="AB1581" s="2">
        <v>5</v>
      </c>
      <c r="AF1581" s="2">
        <v>30</v>
      </c>
      <c r="AG1581" s="2">
        <v>2</v>
      </c>
      <c r="AH1581" s="3" t="s">
        <v>1433</v>
      </c>
      <c r="AI1581" s="4">
        <v>44721</v>
      </c>
      <c r="AJ1581" s="3" t="s">
        <v>1677</v>
      </c>
      <c r="AK1581" s="3" t="s">
        <v>38</v>
      </c>
    </row>
    <row r="1582" spans="1:37" hidden="1" x14ac:dyDescent="0.25">
      <c r="A1582" t="str">
        <f t="shared" si="24"/>
        <v>2022_NSW_RankinsSprings_Lentil_SatelliteTOS2VarietyBoltWaterTrtRainFed</v>
      </c>
      <c r="B1582" s="2">
        <v>2022017</v>
      </c>
      <c r="C1582" s="3" t="s">
        <v>1663</v>
      </c>
      <c r="D1582" s="3" t="s">
        <v>38</v>
      </c>
      <c r="F1582" s="3" t="s">
        <v>4187</v>
      </c>
      <c r="G1582" s="3" t="s">
        <v>39</v>
      </c>
      <c r="H1582" s="3" t="s">
        <v>253</v>
      </c>
      <c r="I1582" s="2">
        <v>15</v>
      </c>
      <c r="J1582" s="2">
        <v>15</v>
      </c>
      <c r="K1582" s="2">
        <v>2</v>
      </c>
      <c r="O1582" s="2">
        <v>3</v>
      </c>
      <c r="U1582" s="2">
        <v>3</v>
      </c>
      <c r="V1582" s="2">
        <v>8</v>
      </c>
      <c r="W1582" s="2">
        <v>3</v>
      </c>
      <c r="X1582" s="2">
        <v>3</v>
      </c>
      <c r="Z1582" s="2">
        <v>15</v>
      </c>
      <c r="AA1582" s="3" t="s">
        <v>40</v>
      </c>
      <c r="AB1582" s="2">
        <v>2</v>
      </c>
      <c r="AF1582" s="2">
        <v>30</v>
      </c>
      <c r="AG1582" s="2">
        <v>2</v>
      </c>
      <c r="AH1582" s="3" t="s">
        <v>1433</v>
      </c>
      <c r="AI1582" s="4">
        <v>44721</v>
      </c>
      <c r="AJ1582" s="3" t="s">
        <v>1678</v>
      </c>
      <c r="AK1582" s="3" t="s">
        <v>38</v>
      </c>
    </row>
    <row r="1583" spans="1:37" hidden="1" x14ac:dyDescent="0.25">
      <c r="A1583" t="str">
        <f t="shared" si="24"/>
        <v>2022_NSW_RankinsSprings_Lentil_SatelliteTOS2VarietyGreenfieldWaterTrtRainFed</v>
      </c>
      <c r="B1583" s="2">
        <v>2022017</v>
      </c>
      <c r="C1583" s="3" t="s">
        <v>1663</v>
      </c>
      <c r="D1583" s="3" t="s">
        <v>38</v>
      </c>
      <c r="F1583" s="3" t="s">
        <v>4192</v>
      </c>
      <c r="G1583" s="3" t="s">
        <v>39</v>
      </c>
      <c r="H1583" s="3" t="s">
        <v>253</v>
      </c>
      <c r="I1583" s="2">
        <v>16</v>
      </c>
      <c r="J1583" s="2">
        <v>16</v>
      </c>
      <c r="K1583" s="2">
        <v>2</v>
      </c>
      <c r="O1583" s="2">
        <v>3</v>
      </c>
      <c r="U1583" s="2">
        <v>4</v>
      </c>
      <c r="V1583" s="2">
        <v>8</v>
      </c>
      <c r="W1583" s="2">
        <v>4</v>
      </c>
      <c r="X1583" s="2">
        <v>3</v>
      </c>
      <c r="Z1583" s="2">
        <v>16</v>
      </c>
      <c r="AA1583" s="3" t="s">
        <v>40</v>
      </c>
      <c r="AB1583" s="2">
        <v>3</v>
      </c>
      <c r="AF1583" s="2">
        <v>30</v>
      </c>
      <c r="AG1583" s="2">
        <v>2</v>
      </c>
      <c r="AH1583" s="3" t="s">
        <v>1433</v>
      </c>
      <c r="AI1583" s="4">
        <v>44721</v>
      </c>
      <c r="AJ1583" s="3" t="s">
        <v>1679</v>
      </c>
      <c r="AK1583" s="3" t="s">
        <v>38</v>
      </c>
    </row>
    <row r="1584" spans="1:37" hidden="1" x14ac:dyDescent="0.25">
      <c r="A1584" t="str">
        <f t="shared" si="24"/>
        <v>2022_NSW_RankinsSprings_Lentil_SatelliteTOS2VarietyHallmarkXTWaterTrtRainFed</v>
      </c>
      <c r="B1584" s="2">
        <v>2022017</v>
      </c>
      <c r="C1584" s="3" t="s">
        <v>1663</v>
      </c>
      <c r="D1584" s="3" t="s">
        <v>38</v>
      </c>
      <c r="F1584" s="3" t="s">
        <v>4189</v>
      </c>
      <c r="G1584" s="3" t="s">
        <v>39</v>
      </c>
      <c r="H1584" s="3" t="s">
        <v>253</v>
      </c>
      <c r="I1584" s="2">
        <v>17</v>
      </c>
      <c r="J1584" s="2">
        <v>17</v>
      </c>
      <c r="K1584" s="2">
        <v>2</v>
      </c>
      <c r="O1584" s="2">
        <v>3</v>
      </c>
      <c r="U1584" s="2">
        <v>5</v>
      </c>
      <c r="V1584" s="2">
        <v>8</v>
      </c>
      <c r="W1584" s="2">
        <v>5</v>
      </c>
      <c r="X1584" s="2">
        <v>3</v>
      </c>
      <c r="Z1584" s="2">
        <v>17</v>
      </c>
      <c r="AA1584" s="3" t="s">
        <v>40</v>
      </c>
      <c r="AB1584" s="2">
        <v>4</v>
      </c>
      <c r="AF1584" s="2">
        <v>30</v>
      </c>
      <c r="AG1584" s="2">
        <v>2</v>
      </c>
      <c r="AH1584" s="3" t="s">
        <v>1433</v>
      </c>
      <c r="AI1584" s="4">
        <v>44721</v>
      </c>
      <c r="AJ1584" s="3" t="s">
        <v>1680</v>
      </c>
      <c r="AK1584" s="3" t="s">
        <v>38</v>
      </c>
    </row>
    <row r="1585" spans="1:37" hidden="1" x14ac:dyDescent="0.25">
      <c r="A1585" t="str">
        <f t="shared" si="24"/>
        <v>2022_NSW_RankinsSprings_Lentil_SatelliteTOS2VarietyAceWaterTrtRainFed</v>
      </c>
      <c r="B1585" s="2">
        <v>2022017</v>
      </c>
      <c r="C1585" s="3" t="s">
        <v>1663</v>
      </c>
      <c r="D1585" s="3" t="s">
        <v>38</v>
      </c>
      <c r="F1585" s="3" t="s">
        <v>4175</v>
      </c>
      <c r="G1585" s="3" t="s">
        <v>39</v>
      </c>
      <c r="H1585" s="3" t="s">
        <v>253</v>
      </c>
      <c r="I1585" s="2">
        <v>18</v>
      </c>
      <c r="J1585" s="2">
        <v>18</v>
      </c>
      <c r="K1585" s="2">
        <v>2</v>
      </c>
      <c r="O1585" s="2">
        <v>3</v>
      </c>
      <c r="U1585" s="2">
        <v>6</v>
      </c>
      <c r="V1585" s="2">
        <v>8</v>
      </c>
      <c r="W1585" s="2">
        <v>6</v>
      </c>
      <c r="X1585" s="2">
        <v>3</v>
      </c>
      <c r="Z1585" s="2">
        <v>18</v>
      </c>
      <c r="AA1585" s="3" t="s">
        <v>40</v>
      </c>
      <c r="AB1585" s="2">
        <v>1</v>
      </c>
      <c r="AF1585" s="2">
        <v>30</v>
      </c>
      <c r="AG1585" s="2">
        <v>2</v>
      </c>
      <c r="AH1585" s="3" t="s">
        <v>1433</v>
      </c>
      <c r="AI1585" s="4">
        <v>44721</v>
      </c>
      <c r="AJ1585" s="3" t="s">
        <v>1681</v>
      </c>
      <c r="AK1585" s="3" t="s">
        <v>38</v>
      </c>
    </row>
    <row r="1586" spans="1:37" hidden="1" x14ac:dyDescent="0.25">
      <c r="A1586" t="str">
        <f t="shared" si="24"/>
        <v>2022_NSW_RankinsSprings_Lentil_SatelliteTOS1VarietyAceWaterTrtRainFed</v>
      </c>
      <c r="B1586" s="2">
        <v>2022017</v>
      </c>
      <c r="C1586" s="3" t="s">
        <v>1663</v>
      </c>
      <c r="D1586" s="3" t="s">
        <v>38</v>
      </c>
      <c r="F1586" s="3" t="s">
        <v>4175</v>
      </c>
      <c r="G1586" s="3" t="s">
        <v>39</v>
      </c>
      <c r="H1586" s="3" t="s">
        <v>253</v>
      </c>
      <c r="I1586" s="2">
        <v>19</v>
      </c>
      <c r="J1586" s="2">
        <v>19</v>
      </c>
      <c r="K1586" s="2">
        <v>2</v>
      </c>
      <c r="O1586" s="2">
        <v>4</v>
      </c>
      <c r="U1586" s="2">
        <v>1</v>
      </c>
      <c r="V1586" s="2">
        <v>11</v>
      </c>
      <c r="W1586" s="2">
        <v>1</v>
      </c>
      <c r="X1586" s="2">
        <v>4</v>
      </c>
      <c r="Z1586" s="2">
        <v>24</v>
      </c>
      <c r="AA1586" s="3" t="s">
        <v>40</v>
      </c>
      <c r="AB1586" s="2">
        <v>1</v>
      </c>
      <c r="AF1586" s="2">
        <v>30</v>
      </c>
      <c r="AG1586" s="2">
        <v>1</v>
      </c>
      <c r="AH1586" s="3" t="s">
        <v>1426</v>
      </c>
      <c r="AI1586" s="4">
        <v>44690</v>
      </c>
      <c r="AJ1586" s="3" t="s">
        <v>1682</v>
      </c>
      <c r="AK1586" s="3" t="s">
        <v>38</v>
      </c>
    </row>
    <row r="1587" spans="1:37" hidden="1" x14ac:dyDescent="0.25">
      <c r="A1587" t="str">
        <f t="shared" si="24"/>
        <v>2022_NSW_RankinsSprings_Lentil_SatelliteTOS1VarietyHallmarkXTWaterTrtRainFed</v>
      </c>
      <c r="B1587" s="2">
        <v>2022017</v>
      </c>
      <c r="C1587" s="3" t="s">
        <v>1663</v>
      </c>
      <c r="D1587" s="3" t="s">
        <v>38</v>
      </c>
      <c r="F1587" s="3" t="s">
        <v>4189</v>
      </c>
      <c r="G1587" s="3" t="s">
        <v>39</v>
      </c>
      <c r="H1587" s="3" t="s">
        <v>253</v>
      </c>
      <c r="I1587" s="2">
        <v>20</v>
      </c>
      <c r="J1587" s="2">
        <v>20</v>
      </c>
      <c r="K1587" s="2">
        <v>2</v>
      </c>
      <c r="O1587" s="2">
        <v>4</v>
      </c>
      <c r="U1587" s="2">
        <v>2</v>
      </c>
      <c r="V1587" s="2">
        <v>11</v>
      </c>
      <c r="W1587" s="2">
        <v>2</v>
      </c>
      <c r="X1587" s="2">
        <v>4</v>
      </c>
      <c r="Z1587" s="2">
        <v>23</v>
      </c>
      <c r="AA1587" s="3" t="s">
        <v>40</v>
      </c>
      <c r="AB1587" s="2">
        <v>4</v>
      </c>
      <c r="AF1587" s="2">
        <v>30</v>
      </c>
      <c r="AG1587" s="2">
        <v>1</v>
      </c>
      <c r="AH1587" s="3" t="s">
        <v>1426</v>
      </c>
      <c r="AI1587" s="4">
        <v>44690</v>
      </c>
      <c r="AJ1587" s="3" t="s">
        <v>1683</v>
      </c>
      <c r="AK1587" s="3" t="s">
        <v>38</v>
      </c>
    </row>
    <row r="1588" spans="1:37" hidden="1" x14ac:dyDescent="0.25">
      <c r="A1588" t="str">
        <f t="shared" si="24"/>
        <v>2022_NSW_RankinsSprings_Lentil_SatelliteTOS1VarietyKelpieXTWaterTrtRainFed</v>
      </c>
      <c r="B1588" s="2">
        <v>2022017</v>
      </c>
      <c r="C1588" s="3" t="s">
        <v>1663</v>
      </c>
      <c r="D1588" s="3" t="s">
        <v>38</v>
      </c>
      <c r="F1588" s="3" t="s">
        <v>4188</v>
      </c>
      <c r="G1588" s="3" t="s">
        <v>43</v>
      </c>
      <c r="H1588" s="3" t="s">
        <v>253</v>
      </c>
      <c r="I1588" s="2">
        <v>21</v>
      </c>
      <c r="J1588" s="2">
        <v>21</v>
      </c>
      <c r="K1588" s="2">
        <v>2</v>
      </c>
      <c r="O1588" s="2">
        <v>4</v>
      </c>
      <c r="U1588" s="2">
        <v>3</v>
      </c>
      <c r="V1588" s="2">
        <v>11</v>
      </c>
      <c r="W1588" s="2">
        <v>3</v>
      </c>
      <c r="X1588" s="2">
        <v>4</v>
      </c>
      <c r="Z1588" s="2">
        <v>22</v>
      </c>
      <c r="AA1588" s="3" t="s">
        <v>40</v>
      </c>
      <c r="AB1588" s="2">
        <v>6</v>
      </c>
      <c r="AF1588" s="2">
        <v>30</v>
      </c>
      <c r="AG1588" s="2">
        <v>1</v>
      </c>
      <c r="AH1588" s="3" t="s">
        <v>1426</v>
      </c>
      <c r="AI1588" s="4">
        <v>44690</v>
      </c>
      <c r="AJ1588" s="3" t="s">
        <v>1684</v>
      </c>
      <c r="AK1588" s="3" t="s">
        <v>38</v>
      </c>
    </row>
    <row r="1589" spans="1:37" hidden="1" x14ac:dyDescent="0.25">
      <c r="A1589" t="str">
        <f t="shared" si="24"/>
        <v>2022_NSW_RankinsSprings_Lentil_SatelliteTOS1VarietyJumbo2WaterTrtRainFed</v>
      </c>
      <c r="B1589" s="2">
        <v>2022017</v>
      </c>
      <c r="C1589" s="3" t="s">
        <v>1663</v>
      </c>
      <c r="D1589" s="3" t="s">
        <v>38</v>
      </c>
      <c r="F1589" s="3" t="s">
        <v>4176</v>
      </c>
      <c r="G1589" s="3" t="s">
        <v>43</v>
      </c>
      <c r="H1589" s="3" t="s">
        <v>253</v>
      </c>
      <c r="I1589" s="2">
        <v>22</v>
      </c>
      <c r="J1589" s="2">
        <v>22</v>
      </c>
      <c r="K1589" s="2">
        <v>2</v>
      </c>
      <c r="O1589" s="2">
        <v>4</v>
      </c>
      <c r="U1589" s="2">
        <v>4</v>
      </c>
      <c r="V1589" s="2">
        <v>11</v>
      </c>
      <c r="W1589" s="2">
        <v>4</v>
      </c>
      <c r="X1589" s="2">
        <v>4</v>
      </c>
      <c r="Z1589" s="2">
        <v>21</v>
      </c>
      <c r="AA1589" s="3" t="s">
        <v>40</v>
      </c>
      <c r="AB1589" s="2">
        <v>5</v>
      </c>
      <c r="AF1589" s="2">
        <v>30</v>
      </c>
      <c r="AG1589" s="2">
        <v>1</v>
      </c>
      <c r="AH1589" s="3" t="s">
        <v>1426</v>
      </c>
      <c r="AI1589" s="4">
        <v>44690</v>
      </c>
      <c r="AJ1589" s="3" t="s">
        <v>1685</v>
      </c>
      <c r="AK1589" s="3" t="s">
        <v>38</v>
      </c>
    </row>
    <row r="1590" spans="1:37" hidden="1" x14ac:dyDescent="0.25">
      <c r="A1590" t="str">
        <f t="shared" si="24"/>
        <v>2022_NSW_RankinsSprings_Lentil_SatelliteTOS1VarietyBoltWaterTrtRainFed</v>
      </c>
      <c r="B1590" s="2">
        <v>2022017</v>
      </c>
      <c r="C1590" s="3" t="s">
        <v>1663</v>
      </c>
      <c r="D1590" s="3" t="s">
        <v>38</v>
      </c>
      <c r="F1590" s="3" t="s">
        <v>4187</v>
      </c>
      <c r="G1590" s="3" t="s">
        <v>39</v>
      </c>
      <c r="H1590" s="3" t="s">
        <v>253</v>
      </c>
      <c r="I1590" s="2">
        <v>23</v>
      </c>
      <c r="J1590" s="2">
        <v>23</v>
      </c>
      <c r="K1590" s="2">
        <v>2</v>
      </c>
      <c r="O1590" s="2">
        <v>4</v>
      </c>
      <c r="U1590" s="2">
        <v>5</v>
      </c>
      <c r="V1590" s="2">
        <v>11</v>
      </c>
      <c r="W1590" s="2">
        <v>5</v>
      </c>
      <c r="X1590" s="2">
        <v>4</v>
      </c>
      <c r="Z1590" s="2">
        <v>20</v>
      </c>
      <c r="AA1590" s="3" t="s">
        <v>40</v>
      </c>
      <c r="AB1590" s="2">
        <v>2</v>
      </c>
      <c r="AF1590" s="2">
        <v>30</v>
      </c>
      <c r="AG1590" s="2">
        <v>1</v>
      </c>
      <c r="AH1590" s="3" t="s">
        <v>1426</v>
      </c>
      <c r="AI1590" s="4">
        <v>44690</v>
      </c>
      <c r="AJ1590" s="3" t="s">
        <v>1686</v>
      </c>
      <c r="AK1590" s="3" t="s">
        <v>38</v>
      </c>
    </row>
    <row r="1591" spans="1:37" hidden="1" x14ac:dyDescent="0.25">
      <c r="A1591" t="str">
        <f t="shared" si="24"/>
        <v>2022_NSW_RankinsSprings_Lentil_SatelliteTOS1VarietyGreenfieldWaterTrtRainFed</v>
      </c>
      <c r="B1591" s="2">
        <v>2022017</v>
      </c>
      <c r="C1591" s="3" t="s">
        <v>1663</v>
      </c>
      <c r="D1591" s="3" t="s">
        <v>38</v>
      </c>
      <c r="F1591" s="3" t="s">
        <v>4192</v>
      </c>
      <c r="G1591" s="3" t="s">
        <v>39</v>
      </c>
      <c r="H1591" s="3" t="s">
        <v>253</v>
      </c>
      <c r="I1591" s="2">
        <v>24</v>
      </c>
      <c r="J1591" s="2">
        <v>24</v>
      </c>
      <c r="K1591" s="2">
        <v>2</v>
      </c>
      <c r="O1591" s="2">
        <v>4</v>
      </c>
      <c r="U1591" s="2">
        <v>6</v>
      </c>
      <c r="V1591" s="2">
        <v>11</v>
      </c>
      <c r="W1591" s="2">
        <v>6</v>
      </c>
      <c r="X1591" s="2">
        <v>4</v>
      </c>
      <c r="Z1591" s="2">
        <v>19</v>
      </c>
      <c r="AA1591" s="3" t="s">
        <v>40</v>
      </c>
      <c r="AB1591" s="2">
        <v>3</v>
      </c>
      <c r="AF1591" s="2">
        <v>30</v>
      </c>
      <c r="AG1591" s="2">
        <v>1</v>
      </c>
      <c r="AH1591" s="3" t="s">
        <v>1426</v>
      </c>
      <c r="AI1591" s="4">
        <v>44690</v>
      </c>
      <c r="AJ1591" s="3" t="s">
        <v>1687</v>
      </c>
      <c r="AK1591" s="3" t="s">
        <v>38</v>
      </c>
    </row>
    <row r="1592" spans="1:37" hidden="1" x14ac:dyDescent="0.25">
      <c r="A1592" t="str">
        <f t="shared" si="24"/>
        <v>2022_NSW_RankinsSprings_Lentil_SatelliteTOS2VarietyBoltWaterTrtRainFed</v>
      </c>
      <c r="B1592" s="2">
        <v>2022017</v>
      </c>
      <c r="C1592" s="3" t="s">
        <v>1663</v>
      </c>
      <c r="D1592" s="3" t="s">
        <v>38</v>
      </c>
      <c r="F1592" s="3" t="s">
        <v>4187</v>
      </c>
      <c r="G1592" s="3" t="s">
        <v>39</v>
      </c>
      <c r="H1592" s="3" t="s">
        <v>253</v>
      </c>
      <c r="I1592" s="2">
        <v>25</v>
      </c>
      <c r="J1592" s="2">
        <v>25</v>
      </c>
      <c r="K1592" s="2">
        <v>3</v>
      </c>
      <c r="O1592" s="2">
        <v>5</v>
      </c>
      <c r="U1592" s="2">
        <v>1</v>
      </c>
      <c r="V1592" s="2">
        <v>14</v>
      </c>
      <c r="W1592" s="2">
        <v>1</v>
      </c>
      <c r="X1592" s="2">
        <v>5</v>
      </c>
      <c r="Z1592" s="2">
        <v>25</v>
      </c>
      <c r="AA1592" s="3" t="s">
        <v>40</v>
      </c>
      <c r="AB1592" s="2">
        <v>2</v>
      </c>
      <c r="AF1592" s="2">
        <v>30</v>
      </c>
      <c r="AG1592" s="2">
        <v>2</v>
      </c>
      <c r="AH1592" s="3" t="s">
        <v>1433</v>
      </c>
      <c r="AI1592" s="4">
        <v>44721</v>
      </c>
      <c r="AJ1592" s="3" t="s">
        <v>1688</v>
      </c>
      <c r="AK1592" s="3" t="s">
        <v>38</v>
      </c>
    </row>
    <row r="1593" spans="1:37" hidden="1" x14ac:dyDescent="0.25">
      <c r="A1593" t="str">
        <f t="shared" si="24"/>
        <v>2022_NSW_RankinsSprings_Lentil_SatelliteTOS2VarietyKelpieXTWaterTrtRainFed</v>
      </c>
      <c r="B1593" s="2">
        <v>2022017</v>
      </c>
      <c r="C1593" s="3" t="s">
        <v>1663</v>
      </c>
      <c r="D1593" s="3" t="s">
        <v>38</v>
      </c>
      <c r="F1593" s="3" t="s">
        <v>4188</v>
      </c>
      <c r="G1593" s="3" t="s">
        <v>43</v>
      </c>
      <c r="H1593" s="3" t="s">
        <v>253</v>
      </c>
      <c r="I1593" s="2">
        <v>26</v>
      </c>
      <c r="J1593" s="2">
        <v>26</v>
      </c>
      <c r="K1593" s="2">
        <v>3</v>
      </c>
      <c r="O1593" s="2">
        <v>5</v>
      </c>
      <c r="U1593" s="2">
        <v>2</v>
      </c>
      <c r="V1593" s="2">
        <v>14</v>
      </c>
      <c r="W1593" s="2">
        <v>2</v>
      </c>
      <c r="X1593" s="2">
        <v>5</v>
      </c>
      <c r="Z1593" s="2">
        <v>26</v>
      </c>
      <c r="AA1593" s="3" t="s">
        <v>40</v>
      </c>
      <c r="AB1593" s="2">
        <v>6</v>
      </c>
      <c r="AF1593" s="2">
        <v>30</v>
      </c>
      <c r="AG1593" s="2">
        <v>2</v>
      </c>
      <c r="AH1593" s="3" t="s">
        <v>1433</v>
      </c>
      <c r="AI1593" s="4">
        <v>44721</v>
      </c>
      <c r="AJ1593" s="3" t="s">
        <v>1689</v>
      </c>
      <c r="AK1593" s="3" t="s">
        <v>38</v>
      </c>
    </row>
    <row r="1594" spans="1:37" hidden="1" x14ac:dyDescent="0.25">
      <c r="A1594" t="str">
        <f t="shared" si="24"/>
        <v>2022_NSW_RankinsSprings_Lentil_SatelliteTOS2VarietyAceWaterTrtRainFed</v>
      </c>
      <c r="B1594" s="2">
        <v>2022017</v>
      </c>
      <c r="C1594" s="3" t="s">
        <v>1663</v>
      </c>
      <c r="D1594" s="3" t="s">
        <v>38</v>
      </c>
      <c r="F1594" s="3" t="s">
        <v>4175</v>
      </c>
      <c r="G1594" s="3" t="s">
        <v>39</v>
      </c>
      <c r="H1594" s="3" t="s">
        <v>253</v>
      </c>
      <c r="I1594" s="2">
        <v>27</v>
      </c>
      <c r="J1594" s="2">
        <v>27</v>
      </c>
      <c r="K1594" s="2">
        <v>3</v>
      </c>
      <c r="O1594" s="2">
        <v>5</v>
      </c>
      <c r="U1594" s="2">
        <v>3</v>
      </c>
      <c r="V1594" s="2">
        <v>14</v>
      </c>
      <c r="W1594" s="2">
        <v>3</v>
      </c>
      <c r="X1594" s="2">
        <v>5</v>
      </c>
      <c r="Z1594" s="2">
        <v>27</v>
      </c>
      <c r="AA1594" s="3" t="s">
        <v>40</v>
      </c>
      <c r="AB1594" s="2">
        <v>1</v>
      </c>
      <c r="AF1594" s="2">
        <v>30</v>
      </c>
      <c r="AG1594" s="2">
        <v>2</v>
      </c>
      <c r="AH1594" s="3" t="s">
        <v>1433</v>
      </c>
      <c r="AI1594" s="4">
        <v>44721</v>
      </c>
      <c r="AJ1594" s="3" t="s">
        <v>1690</v>
      </c>
      <c r="AK1594" s="3" t="s">
        <v>38</v>
      </c>
    </row>
    <row r="1595" spans="1:37" hidden="1" x14ac:dyDescent="0.25">
      <c r="A1595" t="str">
        <f t="shared" si="24"/>
        <v>2022_NSW_RankinsSprings_Lentil_SatelliteTOS2VarietyJumbo2WaterTrtRainFed</v>
      </c>
      <c r="B1595" s="2">
        <v>2022017</v>
      </c>
      <c r="C1595" s="3" t="s">
        <v>1663</v>
      </c>
      <c r="D1595" s="3" t="s">
        <v>38</v>
      </c>
      <c r="F1595" s="3" t="s">
        <v>4176</v>
      </c>
      <c r="G1595" s="3" t="s">
        <v>43</v>
      </c>
      <c r="H1595" s="3" t="s">
        <v>253</v>
      </c>
      <c r="I1595" s="2">
        <v>28</v>
      </c>
      <c r="J1595" s="2">
        <v>28</v>
      </c>
      <c r="K1595" s="2">
        <v>3</v>
      </c>
      <c r="O1595" s="2">
        <v>5</v>
      </c>
      <c r="U1595" s="2">
        <v>4</v>
      </c>
      <c r="V1595" s="2">
        <v>14</v>
      </c>
      <c r="W1595" s="2">
        <v>4</v>
      </c>
      <c r="X1595" s="2">
        <v>5</v>
      </c>
      <c r="Z1595" s="2">
        <v>28</v>
      </c>
      <c r="AA1595" s="3" t="s">
        <v>40</v>
      </c>
      <c r="AB1595" s="2">
        <v>5</v>
      </c>
      <c r="AF1595" s="2">
        <v>30</v>
      </c>
      <c r="AG1595" s="2">
        <v>2</v>
      </c>
      <c r="AH1595" s="3" t="s">
        <v>1433</v>
      </c>
      <c r="AI1595" s="4">
        <v>44721</v>
      </c>
      <c r="AJ1595" s="3" t="s">
        <v>1691</v>
      </c>
      <c r="AK1595" s="3" t="s">
        <v>38</v>
      </c>
    </row>
    <row r="1596" spans="1:37" hidden="1" x14ac:dyDescent="0.25">
      <c r="A1596" t="str">
        <f t="shared" si="24"/>
        <v>2022_NSW_RankinsSprings_Lentil_SatelliteTOS2VarietyGreenfieldWaterTrtRainFed</v>
      </c>
      <c r="B1596" s="2">
        <v>2022017</v>
      </c>
      <c r="C1596" s="3" t="s">
        <v>1663</v>
      </c>
      <c r="D1596" s="3" t="s">
        <v>38</v>
      </c>
      <c r="F1596" s="3" t="s">
        <v>4192</v>
      </c>
      <c r="G1596" s="3" t="s">
        <v>39</v>
      </c>
      <c r="H1596" s="3" t="s">
        <v>253</v>
      </c>
      <c r="I1596" s="2">
        <v>29</v>
      </c>
      <c r="J1596" s="2">
        <v>29</v>
      </c>
      <c r="K1596" s="2">
        <v>3</v>
      </c>
      <c r="O1596" s="2">
        <v>5</v>
      </c>
      <c r="U1596" s="2">
        <v>5</v>
      </c>
      <c r="V1596" s="2">
        <v>14</v>
      </c>
      <c r="W1596" s="2">
        <v>5</v>
      </c>
      <c r="X1596" s="2">
        <v>5</v>
      </c>
      <c r="Z1596" s="2">
        <v>29</v>
      </c>
      <c r="AA1596" s="3" t="s">
        <v>40</v>
      </c>
      <c r="AB1596" s="2">
        <v>3</v>
      </c>
      <c r="AF1596" s="2">
        <v>30</v>
      </c>
      <c r="AG1596" s="2">
        <v>2</v>
      </c>
      <c r="AH1596" s="3" t="s">
        <v>1433</v>
      </c>
      <c r="AI1596" s="4">
        <v>44721</v>
      </c>
      <c r="AJ1596" s="3" t="s">
        <v>1692</v>
      </c>
      <c r="AK1596" s="3" t="s">
        <v>38</v>
      </c>
    </row>
    <row r="1597" spans="1:37" hidden="1" x14ac:dyDescent="0.25">
      <c r="A1597" t="str">
        <f t="shared" si="24"/>
        <v>2022_NSW_RankinsSprings_Lentil_SatelliteTOS2VarietyHallmarkXTWaterTrtRainFed</v>
      </c>
      <c r="B1597" s="2">
        <v>2022017</v>
      </c>
      <c r="C1597" s="3" t="s">
        <v>1663</v>
      </c>
      <c r="D1597" s="3" t="s">
        <v>38</v>
      </c>
      <c r="F1597" s="3" t="s">
        <v>4189</v>
      </c>
      <c r="G1597" s="3" t="s">
        <v>39</v>
      </c>
      <c r="H1597" s="3" t="s">
        <v>253</v>
      </c>
      <c r="I1597" s="2">
        <v>30</v>
      </c>
      <c r="J1597" s="2">
        <v>30</v>
      </c>
      <c r="K1597" s="2">
        <v>3</v>
      </c>
      <c r="O1597" s="2">
        <v>5</v>
      </c>
      <c r="U1597" s="2">
        <v>6</v>
      </c>
      <c r="V1597" s="2">
        <v>14</v>
      </c>
      <c r="W1597" s="2">
        <v>6</v>
      </c>
      <c r="X1597" s="2">
        <v>5</v>
      </c>
      <c r="Z1597" s="2">
        <v>30</v>
      </c>
      <c r="AA1597" s="3" t="s">
        <v>40</v>
      </c>
      <c r="AB1597" s="2">
        <v>4</v>
      </c>
      <c r="AF1597" s="2">
        <v>30</v>
      </c>
      <c r="AG1597" s="2">
        <v>2</v>
      </c>
      <c r="AH1597" s="3" t="s">
        <v>1433</v>
      </c>
      <c r="AI1597" s="4">
        <v>44721</v>
      </c>
      <c r="AJ1597" s="3" t="s">
        <v>1693</v>
      </c>
      <c r="AK1597" s="3" t="s">
        <v>38</v>
      </c>
    </row>
    <row r="1598" spans="1:37" hidden="1" x14ac:dyDescent="0.25">
      <c r="A1598" t="str">
        <f t="shared" si="24"/>
        <v>2022_NSW_RankinsSprings_Lentil_SatelliteTOS1VarietyGreenfieldWaterTrtRainFed</v>
      </c>
      <c r="B1598" s="2">
        <v>2022017</v>
      </c>
      <c r="C1598" s="3" t="s">
        <v>1663</v>
      </c>
      <c r="D1598" s="3" t="s">
        <v>38</v>
      </c>
      <c r="F1598" s="3" t="s">
        <v>4192</v>
      </c>
      <c r="G1598" s="3" t="s">
        <v>39</v>
      </c>
      <c r="H1598" s="3" t="s">
        <v>253</v>
      </c>
      <c r="I1598" s="2">
        <v>31</v>
      </c>
      <c r="J1598" s="2">
        <v>31</v>
      </c>
      <c r="K1598" s="2">
        <v>3</v>
      </c>
      <c r="O1598" s="2">
        <v>6</v>
      </c>
      <c r="U1598" s="2">
        <v>1</v>
      </c>
      <c r="V1598" s="2">
        <v>17</v>
      </c>
      <c r="W1598" s="2">
        <v>1</v>
      </c>
      <c r="X1598" s="2">
        <v>6</v>
      </c>
      <c r="Z1598" s="2">
        <v>36</v>
      </c>
      <c r="AA1598" s="3" t="s">
        <v>40</v>
      </c>
      <c r="AB1598" s="2">
        <v>3</v>
      </c>
      <c r="AF1598" s="2">
        <v>30</v>
      </c>
      <c r="AG1598" s="2">
        <v>1</v>
      </c>
      <c r="AH1598" s="3" t="s">
        <v>1426</v>
      </c>
      <c r="AI1598" s="4">
        <v>44690</v>
      </c>
      <c r="AJ1598" s="3" t="s">
        <v>1694</v>
      </c>
      <c r="AK1598" s="3" t="s">
        <v>38</v>
      </c>
    </row>
    <row r="1599" spans="1:37" hidden="1" x14ac:dyDescent="0.25">
      <c r="A1599" t="str">
        <f t="shared" si="24"/>
        <v>2022_NSW_RankinsSprings_Lentil_SatelliteTOS1VarietyAceWaterTrtRainFed</v>
      </c>
      <c r="B1599" s="2">
        <v>2022017</v>
      </c>
      <c r="C1599" s="3" t="s">
        <v>1663</v>
      </c>
      <c r="D1599" s="3" t="s">
        <v>38</v>
      </c>
      <c r="F1599" s="3" t="s">
        <v>4175</v>
      </c>
      <c r="G1599" s="3" t="s">
        <v>39</v>
      </c>
      <c r="H1599" s="3" t="s">
        <v>253</v>
      </c>
      <c r="I1599" s="2">
        <v>32</v>
      </c>
      <c r="J1599" s="2">
        <v>32</v>
      </c>
      <c r="K1599" s="2">
        <v>3</v>
      </c>
      <c r="O1599" s="2">
        <v>6</v>
      </c>
      <c r="U1599" s="2">
        <v>2</v>
      </c>
      <c r="V1599" s="2">
        <v>17</v>
      </c>
      <c r="W1599" s="2">
        <v>2</v>
      </c>
      <c r="X1599" s="2">
        <v>6</v>
      </c>
      <c r="Z1599" s="2">
        <v>35</v>
      </c>
      <c r="AA1599" s="3" t="s">
        <v>40</v>
      </c>
      <c r="AB1599" s="2">
        <v>1</v>
      </c>
      <c r="AF1599" s="2">
        <v>30</v>
      </c>
      <c r="AG1599" s="2">
        <v>1</v>
      </c>
      <c r="AH1599" s="3" t="s">
        <v>1426</v>
      </c>
      <c r="AI1599" s="4">
        <v>44690</v>
      </c>
      <c r="AJ1599" s="3" t="s">
        <v>1695</v>
      </c>
      <c r="AK1599" s="3" t="s">
        <v>38</v>
      </c>
    </row>
    <row r="1600" spans="1:37" hidden="1" x14ac:dyDescent="0.25">
      <c r="A1600" t="str">
        <f t="shared" si="24"/>
        <v>2022_NSW_RankinsSprings_Lentil_SatelliteTOS1VarietyJumbo2WaterTrtRainFed</v>
      </c>
      <c r="B1600" s="2">
        <v>2022017</v>
      </c>
      <c r="C1600" s="3" t="s">
        <v>1663</v>
      </c>
      <c r="D1600" s="3" t="s">
        <v>38</v>
      </c>
      <c r="F1600" s="3" t="s">
        <v>4176</v>
      </c>
      <c r="G1600" s="3" t="s">
        <v>43</v>
      </c>
      <c r="H1600" s="3" t="s">
        <v>253</v>
      </c>
      <c r="I1600" s="2">
        <v>33</v>
      </c>
      <c r="J1600" s="2">
        <v>33</v>
      </c>
      <c r="K1600" s="2">
        <v>3</v>
      </c>
      <c r="O1600" s="2">
        <v>6</v>
      </c>
      <c r="U1600" s="2">
        <v>3</v>
      </c>
      <c r="V1600" s="2">
        <v>17</v>
      </c>
      <c r="W1600" s="2">
        <v>3</v>
      </c>
      <c r="X1600" s="2">
        <v>6</v>
      </c>
      <c r="Z1600" s="2">
        <v>34</v>
      </c>
      <c r="AA1600" s="3" t="s">
        <v>40</v>
      </c>
      <c r="AB1600" s="2">
        <v>5</v>
      </c>
      <c r="AF1600" s="2">
        <v>30</v>
      </c>
      <c r="AG1600" s="2">
        <v>1</v>
      </c>
      <c r="AH1600" s="3" t="s">
        <v>1426</v>
      </c>
      <c r="AI1600" s="4">
        <v>44690</v>
      </c>
      <c r="AJ1600" s="3" t="s">
        <v>1696</v>
      </c>
      <c r="AK1600" s="3" t="s">
        <v>38</v>
      </c>
    </row>
    <row r="1601" spans="1:37" hidden="1" x14ac:dyDescent="0.25">
      <c r="A1601" t="str">
        <f t="shared" si="24"/>
        <v>2022_NSW_RankinsSprings_Lentil_SatelliteTOS1VarietyBoltWaterTrtRainFed</v>
      </c>
      <c r="B1601" s="2">
        <v>2022017</v>
      </c>
      <c r="C1601" s="3" t="s">
        <v>1663</v>
      </c>
      <c r="D1601" s="3" t="s">
        <v>38</v>
      </c>
      <c r="F1601" s="3" t="s">
        <v>4187</v>
      </c>
      <c r="G1601" s="3" t="s">
        <v>39</v>
      </c>
      <c r="H1601" s="3" t="s">
        <v>253</v>
      </c>
      <c r="I1601" s="2">
        <v>34</v>
      </c>
      <c r="J1601" s="2">
        <v>34</v>
      </c>
      <c r="K1601" s="2">
        <v>3</v>
      </c>
      <c r="O1601" s="2">
        <v>6</v>
      </c>
      <c r="U1601" s="2">
        <v>4</v>
      </c>
      <c r="V1601" s="2">
        <v>17</v>
      </c>
      <c r="W1601" s="2">
        <v>4</v>
      </c>
      <c r="X1601" s="2">
        <v>6</v>
      </c>
      <c r="Z1601" s="2">
        <v>33</v>
      </c>
      <c r="AA1601" s="3" t="s">
        <v>40</v>
      </c>
      <c r="AB1601" s="2">
        <v>2</v>
      </c>
      <c r="AF1601" s="2">
        <v>30</v>
      </c>
      <c r="AG1601" s="2">
        <v>1</v>
      </c>
      <c r="AH1601" s="3" t="s">
        <v>1426</v>
      </c>
      <c r="AI1601" s="4">
        <v>44690</v>
      </c>
      <c r="AJ1601" s="3" t="s">
        <v>1697</v>
      </c>
      <c r="AK1601" s="3" t="s">
        <v>38</v>
      </c>
    </row>
    <row r="1602" spans="1:37" hidden="1" x14ac:dyDescent="0.25">
      <c r="A1602" t="str">
        <f t="shared" si="24"/>
        <v>2022_NSW_RankinsSprings_Lentil_SatelliteTOS1VarietyHallmarkXTWaterTrtRainFed</v>
      </c>
      <c r="B1602" s="2">
        <v>2022017</v>
      </c>
      <c r="C1602" s="3" t="s">
        <v>1663</v>
      </c>
      <c r="D1602" s="3" t="s">
        <v>38</v>
      </c>
      <c r="F1602" s="3" t="s">
        <v>4189</v>
      </c>
      <c r="G1602" s="3" t="s">
        <v>39</v>
      </c>
      <c r="H1602" s="3" t="s">
        <v>253</v>
      </c>
      <c r="I1602" s="2">
        <v>35</v>
      </c>
      <c r="J1602" s="2">
        <v>35</v>
      </c>
      <c r="K1602" s="2">
        <v>3</v>
      </c>
      <c r="O1602" s="2">
        <v>6</v>
      </c>
      <c r="U1602" s="2">
        <v>5</v>
      </c>
      <c r="V1602" s="2">
        <v>17</v>
      </c>
      <c r="W1602" s="2">
        <v>5</v>
      </c>
      <c r="X1602" s="2">
        <v>6</v>
      </c>
      <c r="Z1602" s="2">
        <v>32</v>
      </c>
      <c r="AA1602" s="3" t="s">
        <v>40</v>
      </c>
      <c r="AB1602" s="2">
        <v>4</v>
      </c>
      <c r="AF1602" s="2">
        <v>30</v>
      </c>
      <c r="AG1602" s="2">
        <v>1</v>
      </c>
      <c r="AH1602" s="3" t="s">
        <v>1426</v>
      </c>
      <c r="AI1602" s="4">
        <v>44690</v>
      </c>
      <c r="AJ1602" s="3" t="s">
        <v>1698</v>
      </c>
      <c r="AK1602" s="3" t="s">
        <v>38</v>
      </c>
    </row>
    <row r="1603" spans="1:37" hidden="1" x14ac:dyDescent="0.25">
      <c r="A1603" t="str">
        <f t="shared" ref="A1603:A1666" si="25">C1603&amp;"TOS"&amp;AG1603&amp;"Variety"&amp;F1603&amp;"WaterTrt"&amp;AA1603&amp;IF(AC1603="","","Agronomy"&amp;AC1603)</f>
        <v>2022_NSW_RankinsSprings_Lentil_SatelliteTOS1VarietyKelpieXTWaterTrtRainFed</v>
      </c>
      <c r="B1603" s="2">
        <v>2022017</v>
      </c>
      <c r="C1603" s="3" t="s">
        <v>1663</v>
      </c>
      <c r="D1603" s="3" t="s">
        <v>38</v>
      </c>
      <c r="F1603" s="3" t="s">
        <v>4188</v>
      </c>
      <c r="G1603" s="3" t="s">
        <v>43</v>
      </c>
      <c r="H1603" s="3" t="s">
        <v>253</v>
      </c>
      <c r="I1603" s="2">
        <v>36</v>
      </c>
      <c r="J1603" s="2">
        <v>36</v>
      </c>
      <c r="K1603" s="2">
        <v>3</v>
      </c>
      <c r="O1603" s="2">
        <v>6</v>
      </c>
      <c r="U1603" s="2">
        <v>6</v>
      </c>
      <c r="V1603" s="2">
        <v>17</v>
      </c>
      <c r="W1603" s="2">
        <v>6</v>
      </c>
      <c r="X1603" s="2">
        <v>6</v>
      </c>
      <c r="Z1603" s="2">
        <v>31</v>
      </c>
      <c r="AA1603" s="3" t="s">
        <v>40</v>
      </c>
      <c r="AB1603" s="2">
        <v>6</v>
      </c>
      <c r="AF1603" s="2">
        <v>30</v>
      </c>
      <c r="AG1603" s="2">
        <v>1</v>
      </c>
      <c r="AH1603" s="3" t="s">
        <v>1426</v>
      </c>
      <c r="AI1603" s="4">
        <v>44690</v>
      </c>
      <c r="AJ1603" s="3" t="s">
        <v>1699</v>
      </c>
      <c r="AK1603" s="3" t="s">
        <v>38</v>
      </c>
    </row>
    <row r="1604" spans="1:37" hidden="1" x14ac:dyDescent="0.25">
      <c r="A1604" t="str">
        <f t="shared" si="25"/>
        <v>2022_NSW_RankinsSprings_Lentil_SatelliteTOS1VarietyKelpieXTWaterTrtRainFed</v>
      </c>
      <c r="B1604" s="2">
        <v>2022017</v>
      </c>
      <c r="C1604" s="3" t="s">
        <v>1663</v>
      </c>
      <c r="D1604" s="3" t="s">
        <v>38</v>
      </c>
      <c r="F1604" s="3" t="s">
        <v>4188</v>
      </c>
      <c r="G1604" s="3" t="s">
        <v>43</v>
      </c>
      <c r="H1604" s="3" t="s">
        <v>253</v>
      </c>
      <c r="I1604" s="2">
        <v>37</v>
      </c>
      <c r="J1604" s="2">
        <v>37</v>
      </c>
      <c r="K1604" s="2">
        <v>4</v>
      </c>
      <c r="O1604" s="2">
        <v>7</v>
      </c>
      <c r="U1604" s="2">
        <v>1</v>
      </c>
      <c r="V1604" s="2">
        <v>20</v>
      </c>
      <c r="W1604" s="2">
        <v>1</v>
      </c>
      <c r="X1604" s="2">
        <v>7</v>
      </c>
      <c r="Z1604" s="2">
        <v>37</v>
      </c>
      <c r="AA1604" s="3" t="s">
        <v>40</v>
      </c>
      <c r="AB1604" s="2">
        <v>6</v>
      </c>
      <c r="AF1604" s="2">
        <v>30</v>
      </c>
      <c r="AG1604" s="2">
        <v>1</v>
      </c>
      <c r="AH1604" s="3" t="s">
        <v>1426</v>
      </c>
      <c r="AI1604" s="4">
        <v>44690</v>
      </c>
      <c r="AJ1604" s="3" t="s">
        <v>1700</v>
      </c>
      <c r="AK1604" s="3" t="s">
        <v>38</v>
      </c>
    </row>
    <row r="1605" spans="1:37" hidden="1" x14ac:dyDescent="0.25">
      <c r="A1605" t="str">
        <f t="shared" si="25"/>
        <v>2022_NSW_RankinsSprings_Lentil_SatelliteTOS1VarietyGreenfieldWaterTrtRainFed</v>
      </c>
      <c r="B1605" s="2">
        <v>2022017</v>
      </c>
      <c r="C1605" s="3" t="s">
        <v>1663</v>
      </c>
      <c r="D1605" s="3" t="s">
        <v>38</v>
      </c>
      <c r="F1605" s="3" t="s">
        <v>4192</v>
      </c>
      <c r="G1605" s="3" t="s">
        <v>39</v>
      </c>
      <c r="H1605" s="3" t="s">
        <v>253</v>
      </c>
      <c r="I1605" s="2">
        <v>38</v>
      </c>
      <c r="J1605" s="2">
        <v>38</v>
      </c>
      <c r="K1605" s="2">
        <v>4</v>
      </c>
      <c r="O1605" s="2">
        <v>7</v>
      </c>
      <c r="U1605" s="2">
        <v>2</v>
      </c>
      <c r="V1605" s="2">
        <v>20</v>
      </c>
      <c r="W1605" s="2">
        <v>2</v>
      </c>
      <c r="X1605" s="2">
        <v>7</v>
      </c>
      <c r="Z1605" s="2">
        <v>38</v>
      </c>
      <c r="AA1605" s="3" t="s">
        <v>40</v>
      </c>
      <c r="AB1605" s="2">
        <v>3</v>
      </c>
      <c r="AF1605" s="2">
        <v>30</v>
      </c>
      <c r="AG1605" s="2">
        <v>1</v>
      </c>
      <c r="AH1605" s="3" t="s">
        <v>1426</v>
      </c>
      <c r="AI1605" s="4">
        <v>44690</v>
      </c>
      <c r="AJ1605" s="3" t="s">
        <v>1701</v>
      </c>
      <c r="AK1605" s="3" t="s">
        <v>38</v>
      </c>
    </row>
    <row r="1606" spans="1:37" hidden="1" x14ac:dyDescent="0.25">
      <c r="A1606" t="str">
        <f t="shared" si="25"/>
        <v>2022_NSW_RankinsSprings_Lentil_SatelliteTOS1VarietyBoltWaterTrtRainFed</v>
      </c>
      <c r="B1606" s="2">
        <v>2022017</v>
      </c>
      <c r="C1606" s="3" t="s">
        <v>1663</v>
      </c>
      <c r="D1606" s="3" t="s">
        <v>38</v>
      </c>
      <c r="F1606" s="3" t="s">
        <v>4187</v>
      </c>
      <c r="G1606" s="3" t="s">
        <v>39</v>
      </c>
      <c r="H1606" s="3" t="s">
        <v>253</v>
      </c>
      <c r="I1606" s="2">
        <v>39</v>
      </c>
      <c r="J1606" s="2">
        <v>39</v>
      </c>
      <c r="K1606" s="2">
        <v>4</v>
      </c>
      <c r="O1606" s="2">
        <v>7</v>
      </c>
      <c r="U1606" s="2">
        <v>3</v>
      </c>
      <c r="V1606" s="2">
        <v>20</v>
      </c>
      <c r="W1606" s="2">
        <v>3</v>
      </c>
      <c r="X1606" s="2">
        <v>7</v>
      </c>
      <c r="Z1606" s="2">
        <v>39</v>
      </c>
      <c r="AA1606" s="3" t="s">
        <v>40</v>
      </c>
      <c r="AB1606" s="2">
        <v>2</v>
      </c>
      <c r="AF1606" s="2">
        <v>30</v>
      </c>
      <c r="AG1606" s="2">
        <v>1</v>
      </c>
      <c r="AH1606" s="3" t="s">
        <v>1426</v>
      </c>
      <c r="AI1606" s="4">
        <v>44690</v>
      </c>
      <c r="AJ1606" s="3" t="s">
        <v>1702</v>
      </c>
      <c r="AK1606" s="3" t="s">
        <v>38</v>
      </c>
    </row>
    <row r="1607" spans="1:37" hidden="1" x14ac:dyDescent="0.25">
      <c r="A1607" t="str">
        <f t="shared" si="25"/>
        <v>2022_NSW_RankinsSprings_Lentil_SatelliteTOS1VarietyHallmarkXTWaterTrtRainFed</v>
      </c>
      <c r="B1607" s="2">
        <v>2022017</v>
      </c>
      <c r="C1607" s="3" t="s">
        <v>1663</v>
      </c>
      <c r="D1607" s="3" t="s">
        <v>38</v>
      </c>
      <c r="F1607" s="3" t="s">
        <v>4189</v>
      </c>
      <c r="G1607" s="3" t="s">
        <v>39</v>
      </c>
      <c r="H1607" s="3" t="s">
        <v>253</v>
      </c>
      <c r="I1607" s="2">
        <v>40</v>
      </c>
      <c r="J1607" s="2">
        <v>40</v>
      </c>
      <c r="K1607" s="2">
        <v>4</v>
      </c>
      <c r="O1607" s="2">
        <v>7</v>
      </c>
      <c r="U1607" s="2">
        <v>4</v>
      </c>
      <c r="V1607" s="2">
        <v>20</v>
      </c>
      <c r="W1607" s="2">
        <v>4</v>
      </c>
      <c r="X1607" s="2">
        <v>7</v>
      </c>
      <c r="Z1607" s="2">
        <v>40</v>
      </c>
      <c r="AA1607" s="3" t="s">
        <v>40</v>
      </c>
      <c r="AB1607" s="2">
        <v>4</v>
      </c>
      <c r="AF1607" s="2">
        <v>30</v>
      </c>
      <c r="AG1607" s="2">
        <v>1</v>
      </c>
      <c r="AH1607" s="3" t="s">
        <v>1426</v>
      </c>
      <c r="AI1607" s="4">
        <v>44690</v>
      </c>
      <c r="AJ1607" s="3" t="s">
        <v>1703</v>
      </c>
      <c r="AK1607" s="3" t="s">
        <v>38</v>
      </c>
    </row>
    <row r="1608" spans="1:37" hidden="1" x14ac:dyDescent="0.25">
      <c r="A1608" t="str">
        <f t="shared" si="25"/>
        <v>2022_NSW_RankinsSprings_Lentil_SatelliteTOS1VarietyJumbo2WaterTrtRainFed</v>
      </c>
      <c r="B1608" s="2">
        <v>2022017</v>
      </c>
      <c r="C1608" s="3" t="s">
        <v>1663</v>
      </c>
      <c r="D1608" s="3" t="s">
        <v>38</v>
      </c>
      <c r="F1608" s="3" t="s">
        <v>4176</v>
      </c>
      <c r="G1608" s="3" t="s">
        <v>43</v>
      </c>
      <c r="H1608" s="3" t="s">
        <v>253</v>
      </c>
      <c r="I1608" s="2">
        <v>41</v>
      </c>
      <c r="J1608" s="2">
        <v>41</v>
      </c>
      <c r="K1608" s="2">
        <v>4</v>
      </c>
      <c r="O1608" s="2">
        <v>7</v>
      </c>
      <c r="U1608" s="2">
        <v>5</v>
      </c>
      <c r="V1608" s="2">
        <v>20</v>
      </c>
      <c r="W1608" s="2">
        <v>5</v>
      </c>
      <c r="X1608" s="2">
        <v>7</v>
      </c>
      <c r="Z1608" s="2">
        <v>41</v>
      </c>
      <c r="AA1608" s="3" t="s">
        <v>40</v>
      </c>
      <c r="AB1608" s="2">
        <v>5</v>
      </c>
      <c r="AF1608" s="2">
        <v>30</v>
      </c>
      <c r="AG1608" s="2">
        <v>1</v>
      </c>
      <c r="AH1608" s="3" t="s">
        <v>1426</v>
      </c>
      <c r="AI1608" s="4">
        <v>44690</v>
      </c>
      <c r="AJ1608" s="3" t="s">
        <v>1704</v>
      </c>
      <c r="AK1608" s="3" t="s">
        <v>38</v>
      </c>
    </row>
    <row r="1609" spans="1:37" hidden="1" x14ac:dyDescent="0.25">
      <c r="A1609" t="str">
        <f t="shared" si="25"/>
        <v>2022_NSW_RankinsSprings_Lentil_SatelliteTOS1VarietyAceWaterTrtRainFed</v>
      </c>
      <c r="B1609" s="2">
        <v>2022017</v>
      </c>
      <c r="C1609" s="3" t="s">
        <v>1663</v>
      </c>
      <c r="D1609" s="3" t="s">
        <v>38</v>
      </c>
      <c r="F1609" s="3" t="s">
        <v>4175</v>
      </c>
      <c r="G1609" s="3" t="s">
        <v>39</v>
      </c>
      <c r="H1609" s="3" t="s">
        <v>253</v>
      </c>
      <c r="I1609" s="2">
        <v>42</v>
      </c>
      <c r="J1609" s="2">
        <v>42</v>
      </c>
      <c r="K1609" s="2">
        <v>4</v>
      </c>
      <c r="O1609" s="2">
        <v>7</v>
      </c>
      <c r="U1609" s="2">
        <v>6</v>
      </c>
      <c r="V1609" s="2">
        <v>20</v>
      </c>
      <c r="W1609" s="2">
        <v>6</v>
      </c>
      <c r="X1609" s="2">
        <v>7</v>
      </c>
      <c r="Z1609" s="2">
        <v>42</v>
      </c>
      <c r="AA1609" s="3" t="s">
        <v>40</v>
      </c>
      <c r="AB1609" s="2">
        <v>1</v>
      </c>
      <c r="AF1609" s="2">
        <v>30</v>
      </c>
      <c r="AG1609" s="2">
        <v>1</v>
      </c>
      <c r="AH1609" s="3" t="s">
        <v>1426</v>
      </c>
      <c r="AI1609" s="4">
        <v>44690</v>
      </c>
      <c r="AJ1609" s="3" t="s">
        <v>1705</v>
      </c>
      <c r="AK1609" s="3" t="s">
        <v>38</v>
      </c>
    </row>
    <row r="1610" spans="1:37" hidden="1" x14ac:dyDescent="0.25">
      <c r="A1610" t="str">
        <f t="shared" si="25"/>
        <v>2022_NSW_RankinsSprings_Lentil_SatelliteTOS2VarietyJumbo2WaterTrtRainFed</v>
      </c>
      <c r="B1610" s="2">
        <v>2022017</v>
      </c>
      <c r="C1610" s="3" t="s">
        <v>1663</v>
      </c>
      <c r="D1610" s="3" t="s">
        <v>38</v>
      </c>
      <c r="F1610" s="3" t="s">
        <v>4176</v>
      </c>
      <c r="G1610" s="3" t="s">
        <v>43</v>
      </c>
      <c r="H1610" s="3" t="s">
        <v>253</v>
      </c>
      <c r="I1610" s="2">
        <v>43</v>
      </c>
      <c r="J1610" s="2">
        <v>43</v>
      </c>
      <c r="K1610" s="2">
        <v>4</v>
      </c>
      <c r="O1610" s="2">
        <v>8</v>
      </c>
      <c r="U1610" s="2">
        <v>1</v>
      </c>
      <c r="V1610" s="2">
        <v>23</v>
      </c>
      <c r="W1610" s="2">
        <v>1</v>
      </c>
      <c r="X1610" s="2">
        <v>8</v>
      </c>
      <c r="Z1610" s="2">
        <v>48</v>
      </c>
      <c r="AA1610" s="3" t="s">
        <v>40</v>
      </c>
      <c r="AB1610" s="2">
        <v>5</v>
      </c>
      <c r="AF1610" s="2">
        <v>30</v>
      </c>
      <c r="AG1610" s="2">
        <v>2</v>
      </c>
      <c r="AH1610" s="3" t="s">
        <v>1433</v>
      </c>
      <c r="AI1610" s="4">
        <v>44721</v>
      </c>
      <c r="AJ1610" s="3" t="s">
        <v>1706</v>
      </c>
      <c r="AK1610" s="3" t="s">
        <v>38</v>
      </c>
    </row>
    <row r="1611" spans="1:37" hidden="1" x14ac:dyDescent="0.25">
      <c r="A1611" t="str">
        <f t="shared" si="25"/>
        <v>2022_NSW_RankinsSprings_Lentil_SatelliteTOS2VarietyHallmarkXTWaterTrtRainFed</v>
      </c>
      <c r="B1611" s="2">
        <v>2022017</v>
      </c>
      <c r="C1611" s="3" t="s">
        <v>1663</v>
      </c>
      <c r="D1611" s="3" t="s">
        <v>38</v>
      </c>
      <c r="F1611" s="3" t="s">
        <v>4189</v>
      </c>
      <c r="G1611" s="3" t="s">
        <v>39</v>
      </c>
      <c r="H1611" s="3" t="s">
        <v>253</v>
      </c>
      <c r="I1611" s="2">
        <v>44</v>
      </c>
      <c r="J1611" s="2">
        <v>44</v>
      </c>
      <c r="K1611" s="2">
        <v>4</v>
      </c>
      <c r="O1611" s="2">
        <v>8</v>
      </c>
      <c r="U1611" s="2">
        <v>2</v>
      </c>
      <c r="V1611" s="2">
        <v>23</v>
      </c>
      <c r="W1611" s="2">
        <v>2</v>
      </c>
      <c r="X1611" s="2">
        <v>8</v>
      </c>
      <c r="Z1611" s="2">
        <v>47</v>
      </c>
      <c r="AA1611" s="3" t="s">
        <v>40</v>
      </c>
      <c r="AB1611" s="2">
        <v>4</v>
      </c>
      <c r="AF1611" s="2">
        <v>30</v>
      </c>
      <c r="AG1611" s="2">
        <v>2</v>
      </c>
      <c r="AH1611" s="3" t="s">
        <v>1433</v>
      </c>
      <c r="AI1611" s="4">
        <v>44721</v>
      </c>
      <c r="AJ1611" s="3" t="s">
        <v>1707</v>
      </c>
      <c r="AK1611" s="3" t="s">
        <v>38</v>
      </c>
    </row>
    <row r="1612" spans="1:37" hidden="1" x14ac:dyDescent="0.25">
      <c r="A1612" t="str">
        <f t="shared" si="25"/>
        <v>2022_NSW_RankinsSprings_Lentil_SatelliteTOS2VarietyGreenfieldWaterTrtRainFed</v>
      </c>
      <c r="B1612" s="2">
        <v>2022017</v>
      </c>
      <c r="C1612" s="3" t="s">
        <v>1663</v>
      </c>
      <c r="D1612" s="3" t="s">
        <v>38</v>
      </c>
      <c r="F1612" s="3" t="s">
        <v>4192</v>
      </c>
      <c r="G1612" s="3" t="s">
        <v>39</v>
      </c>
      <c r="H1612" s="3" t="s">
        <v>253</v>
      </c>
      <c r="I1612" s="2">
        <v>45</v>
      </c>
      <c r="J1612" s="2">
        <v>45</v>
      </c>
      <c r="K1612" s="2">
        <v>4</v>
      </c>
      <c r="O1612" s="2">
        <v>8</v>
      </c>
      <c r="U1612" s="2">
        <v>3</v>
      </c>
      <c r="V1612" s="2">
        <v>23</v>
      </c>
      <c r="W1612" s="2">
        <v>3</v>
      </c>
      <c r="X1612" s="2">
        <v>8</v>
      </c>
      <c r="Z1612" s="2">
        <v>46</v>
      </c>
      <c r="AA1612" s="3" t="s">
        <v>40</v>
      </c>
      <c r="AB1612" s="2">
        <v>3</v>
      </c>
      <c r="AF1612" s="2">
        <v>30</v>
      </c>
      <c r="AG1612" s="2">
        <v>2</v>
      </c>
      <c r="AH1612" s="3" t="s">
        <v>1433</v>
      </c>
      <c r="AI1612" s="4">
        <v>44721</v>
      </c>
      <c r="AJ1612" s="3" t="s">
        <v>1708</v>
      </c>
      <c r="AK1612" s="3" t="s">
        <v>38</v>
      </c>
    </row>
    <row r="1613" spans="1:37" hidden="1" x14ac:dyDescent="0.25">
      <c r="A1613" t="str">
        <f t="shared" si="25"/>
        <v>2022_NSW_RankinsSprings_Lentil_SatelliteTOS2VarietyAceWaterTrtRainFed</v>
      </c>
      <c r="B1613" s="2">
        <v>2022017</v>
      </c>
      <c r="C1613" s="3" t="s">
        <v>1663</v>
      </c>
      <c r="D1613" s="3" t="s">
        <v>38</v>
      </c>
      <c r="F1613" s="3" t="s">
        <v>4175</v>
      </c>
      <c r="G1613" s="3" t="s">
        <v>39</v>
      </c>
      <c r="H1613" s="3" t="s">
        <v>253</v>
      </c>
      <c r="I1613" s="2">
        <v>46</v>
      </c>
      <c r="J1613" s="2">
        <v>46</v>
      </c>
      <c r="K1613" s="2">
        <v>4</v>
      </c>
      <c r="O1613" s="2">
        <v>8</v>
      </c>
      <c r="U1613" s="2">
        <v>4</v>
      </c>
      <c r="V1613" s="2">
        <v>23</v>
      </c>
      <c r="W1613" s="2">
        <v>4</v>
      </c>
      <c r="X1613" s="2">
        <v>8</v>
      </c>
      <c r="Z1613" s="2">
        <v>45</v>
      </c>
      <c r="AA1613" s="3" t="s">
        <v>40</v>
      </c>
      <c r="AB1613" s="2">
        <v>1</v>
      </c>
      <c r="AF1613" s="2">
        <v>30</v>
      </c>
      <c r="AG1613" s="2">
        <v>2</v>
      </c>
      <c r="AH1613" s="3" t="s">
        <v>1433</v>
      </c>
      <c r="AI1613" s="4">
        <v>44721</v>
      </c>
      <c r="AJ1613" s="3" t="s">
        <v>1709</v>
      </c>
      <c r="AK1613" s="3" t="s">
        <v>38</v>
      </c>
    </row>
    <row r="1614" spans="1:37" hidden="1" x14ac:dyDescent="0.25">
      <c r="A1614" t="str">
        <f t="shared" si="25"/>
        <v>2022_NSW_RankinsSprings_Lentil_SatelliteTOS2VarietyKelpieXTWaterTrtRainFed</v>
      </c>
      <c r="B1614" s="2">
        <v>2022017</v>
      </c>
      <c r="C1614" s="3" t="s">
        <v>1663</v>
      </c>
      <c r="D1614" s="3" t="s">
        <v>38</v>
      </c>
      <c r="F1614" s="3" t="s">
        <v>4188</v>
      </c>
      <c r="G1614" s="3" t="s">
        <v>43</v>
      </c>
      <c r="H1614" s="3" t="s">
        <v>253</v>
      </c>
      <c r="I1614" s="2">
        <v>47</v>
      </c>
      <c r="J1614" s="2">
        <v>47</v>
      </c>
      <c r="K1614" s="2">
        <v>4</v>
      </c>
      <c r="O1614" s="2">
        <v>8</v>
      </c>
      <c r="U1614" s="2">
        <v>5</v>
      </c>
      <c r="V1614" s="2">
        <v>23</v>
      </c>
      <c r="W1614" s="2">
        <v>5</v>
      </c>
      <c r="X1614" s="2">
        <v>8</v>
      </c>
      <c r="Z1614" s="2">
        <v>44</v>
      </c>
      <c r="AA1614" s="3" t="s">
        <v>40</v>
      </c>
      <c r="AB1614" s="2">
        <v>6</v>
      </c>
      <c r="AF1614" s="2">
        <v>30</v>
      </c>
      <c r="AG1614" s="2">
        <v>2</v>
      </c>
      <c r="AH1614" s="3" t="s">
        <v>1433</v>
      </c>
      <c r="AI1614" s="4">
        <v>44721</v>
      </c>
      <c r="AJ1614" s="3" t="s">
        <v>1710</v>
      </c>
      <c r="AK1614" s="3" t="s">
        <v>38</v>
      </c>
    </row>
    <row r="1615" spans="1:37" hidden="1" x14ac:dyDescent="0.25">
      <c r="A1615" t="str">
        <f t="shared" si="25"/>
        <v>2022_NSW_RankinsSprings_Lentil_SatelliteTOS2VarietyBoltWaterTrtRainFed</v>
      </c>
      <c r="B1615" s="2">
        <v>2022017</v>
      </c>
      <c r="C1615" s="3" t="s">
        <v>1663</v>
      </c>
      <c r="D1615" s="3" t="s">
        <v>38</v>
      </c>
      <c r="F1615" s="3" t="s">
        <v>4187</v>
      </c>
      <c r="G1615" s="3" t="s">
        <v>39</v>
      </c>
      <c r="H1615" s="3" t="s">
        <v>253</v>
      </c>
      <c r="I1615" s="2">
        <v>48</v>
      </c>
      <c r="J1615" s="2">
        <v>48</v>
      </c>
      <c r="K1615" s="2">
        <v>4</v>
      </c>
      <c r="O1615" s="2">
        <v>8</v>
      </c>
      <c r="U1615" s="2">
        <v>6</v>
      </c>
      <c r="V1615" s="2">
        <v>23</v>
      </c>
      <c r="W1615" s="2">
        <v>6</v>
      </c>
      <c r="X1615" s="2">
        <v>8</v>
      </c>
      <c r="Z1615" s="2">
        <v>43</v>
      </c>
      <c r="AA1615" s="3" t="s">
        <v>40</v>
      </c>
      <c r="AB1615" s="2">
        <v>2</v>
      </c>
      <c r="AF1615" s="2">
        <v>30</v>
      </c>
      <c r="AG1615" s="2">
        <v>2</v>
      </c>
      <c r="AH1615" s="3" t="s">
        <v>1433</v>
      </c>
      <c r="AI1615" s="4">
        <v>44721</v>
      </c>
      <c r="AJ1615" s="3" t="s">
        <v>1711</v>
      </c>
      <c r="AK1615" s="3" t="s">
        <v>38</v>
      </c>
    </row>
    <row r="1616" spans="1:37" hidden="1" x14ac:dyDescent="0.25">
      <c r="A1616" t="str">
        <f t="shared" si="25"/>
        <v>2022_SA_Warnertown_Lentil_SatelliteTOS2VarietyJumbo2WaterTrtRainFedAgronomyDensity_0.66</v>
      </c>
      <c r="B1616" s="2">
        <v>2022018</v>
      </c>
      <c r="C1616" s="3" t="s">
        <v>1712</v>
      </c>
      <c r="D1616" s="3" t="s">
        <v>38</v>
      </c>
      <c r="F1616" s="3" t="s">
        <v>4176</v>
      </c>
      <c r="G1616" s="3" t="s">
        <v>43</v>
      </c>
      <c r="H1616" s="3" t="s">
        <v>253</v>
      </c>
      <c r="I1616" s="2">
        <v>1</v>
      </c>
      <c r="J1616" s="2">
        <v>1</v>
      </c>
      <c r="K1616" s="2">
        <v>1</v>
      </c>
      <c r="O1616" s="2">
        <v>1</v>
      </c>
      <c r="U1616" s="2">
        <v>1</v>
      </c>
      <c r="V1616" s="2">
        <v>2</v>
      </c>
      <c r="W1616" s="2">
        <v>1</v>
      </c>
      <c r="X1616" s="2">
        <v>1</v>
      </c>
      <c r="Z1616" s="2">
        <v>1</v>
      </c>
      <c r="AA1616" s="3" t="s">
        <v>40</v>
      </c>
      <c r="AB1616" s="2">
        <v>6</v>
      </c>
      <c r="AC1616" s="3" t="s">
        <v>1511</v>
      </c>
      <c r="AF1616" s="2">
        <v>23</v>
      </c>
      <c r="AG1616" s="2">
        <v>2</v>
      </c>
      <c r="AH1616" s="3" t="s">
        <v>523</v>
      </c>
      <c r="AI1616" s="4">
        <v>44692</v>
      </c>
      <c r="AJ1616" s="3" t="s">
        <v>1713</v>
      </c>
      <c r="AK1616" s="3" t="s">
        <v>38</v>
      </c>
    </row>
    <row r="1617" spans="1:37" hidden="1" x14ac:dyDescent="0.25">
      <c r="A1617" t="str">
        <f t="shared" si="25"/>
        <v>2022_SA_Warnertown_Lentil_SatelliteTOS2VarietyKelpieXTWaterTrtRainFedAgronomyDensity_1</v>
      </c>
      <c r="B1617" s="2">
        <v>2022018</v>
      </c>
      <c r="C1617" s="3" t="s">
        <v>1712</v>
      </c>
      <c r="D1617" s="3" t="s">
        <v>38</v>
      </c>
      <c r="F1617" s="3" t="s">
        <v>4188</v>
      </c>
      <c r="G1617" s="3" t="s">
        <v>43</v>
      </c>
      <c r="H1617" s="3" t="s">
        <v>253</v>
      </c>
      <c r="I1617" s="2">
        <v>2</v>
      </c>
      <c r="J1617" s="2">
        <v>2</v>
      </c>
      <c r="K1617" s="2">
        <v>1</v>
      </c>
      <c r="O1617" s="2">
        <v>1</v>
      </c>
      <c r="U1617" s="2">
        <v>2</v>
      </c>
      <c r="V1617" s="2">
        <v>2</v>
      </c>
      <c r="W1617" s="2">
        <v>2</v>
      </c>
      <c r="X1617" s="2">
        <v>1</v>
      </c>
      <c r="Z1617" s="2">
        <v>2</v>
      </c>
      <c r="AA1617" s="3" t="s">
        <v>40</v>
      </c>
      <c r="AB1617" s="2">
        <v>4</v>
      </c>
      <c r="AC1617" s="3" t="s">
        <v>1513</v>
      </c>
      <c r="AF1617" s="2">
        <v>23</v>
      </c>
      <c r="AG1617" s="2">
        <v>2</v>
      </c>
      <c r="AH1617" s="3" t="s">
        <v>523</v>
      </c>
      <c r="AI1617" s="4">
        <v>44692</v>
      </c>
      <c r="AJ1617" s="3" t="s">
        <v>1714</v>
      </c>
      <c r="AK1617" s="3" t="s">
        <v>38</v>
      </c>
    </row>
    <row r="1618" spans="1:37" hidden="1" x14ac:dyDescent="0.25">
      <c r="A1618" t="str">
        <f t="shared" si="25"/>
        <v>2022_SA_Warnertown_Lentil_SatelliteTOS2VarietyBoltWaterTrtRainFedAgronomyDensity_0.66</v>
      </c>
      <c r="B1618" s="2">
        <v>2022018</v>
      </c>
      <c r="C1618" s="3" t="s">
        <v>1712</v>
      </c>
      <c r="D1618" s="3" t="s">
        <v>38</v>
      </c>
      <c r="F1618" s="3" t="s">
        <v>4187</v>
      </c>
      <c r="G1618" s="3" t="s">
        <v>39</v>
      </c>
      <c r="H1618" s="3" t="s">
        <v>253</v>
      </c>
      <c r="I1618" s="2">
        <v>3</v>
      </c>
      <c r="J1618" s="2">
        <v>3</v>
      </c>
      <c r="K1618" s="2">
        <v>1</v>
      </c>
      <c r="O1618" s="2">
        <v>1</v>
      </c>
      <c r="U1618" s="2">
        <v>3</v>
      </c>
      <c r="V1618" s="2">
        <v>2</v>
      </c>
      <c r="W1618" s="2">
        <v>3</v>
      </c>
      <c r="X1618" s="2">
        <v>1</v>
      </c>
      <c r="Z1618" s="2">
        <v>3</v>
      </c>
      <c r="AA1618" s="3" t="s">
        <v>40</v>
      </c>
      <c r="AB1618" s="2">
        <v>5</v>
      </c>
      <c r="AC1618" s="3" t="s">
        <v>1511</v>
      </c>
      <c r="AF1618" s="2">
        <v>23</v>
      </c>
      <c r="AG1618" s="2">
        <v>2</v>
      </c>
      <c r="AH1618" s="3" t="s">
        <v>523</v>
      </c>
      <c r="AI1618" s="4">
        <v>44692</v>
      </c>
      <c r="AJ1618" s="3" t="s">
        <v>1715</v>
      </c>
      <c r="AK1618" s="3" t="s">
        <v>38</v>
      </c>
    </row>
    <row r="1619" spans="1:37" hidden="1" x14ac:dyDescent="0.25">
      <c r="A1619" t="str">
        <f t="shared" si="25"/>
        <v>2022_SA_Warnertown_Lentil_SatelliteTOS2VarietyJumbo2WaterTrtRainFedAgronomyDensity_1</v>
      </c>
      <c r="B1619" s="2">
        <v>2022018</v>
      </c>
      <c r="C1619" s="3" t="s">
        <v>1712</v>
      </c>
      <c r="D1619" s="3" t="s">
        <v>38</v>
      </c>
      <c r="F1619" s="3" t="s">
        <v>4176</v>
      </c>
      <c r="G1619" s="3" t="s">
        <v>43</v>
      </c>
      <c r="H1619" s="3" t="s">
        <v>253</v>
      </c>
      <c r="I1619" s="2">
        <v>4</v>
      </c>
      <c r="J1619" s="2">
        <v>4</v>
      </c>
      <c r="K1619" s="2">
        <v>1</v>
      </c>
      <c r="O1619" s="2">
        <v>1</v>
      </c>
      <c r="U1619" s="2">
        <v>1</v>
      </c>
      <c r="V1619" s="2">
        <v>3</v>
      </c>
      <c r="W1619" s="2">
        <v>1</v>
      </c>
      <c r="X1619" s="2">
        <v>2</v>
      </c>
      <c r="Z1619" s="2">
        <v>6</v>
      </c>
      <c r="AA1619" s="3" t="s">
        <v>40</v>
      </c>
      <c r="AB1619" s="2">
        <v>3</v>
      </c>
      <c r="AC1619" s="3" t="s">
        <v>1513</v>
      </c>
      <c r="AF1619" s="2">
        <v>23</v>
      </c>
      <c r="AG1619" s="2">
        <v>2</v>
      </c>
      <c r="AH1619" s="3" t="s">
        <v>523</v>
      </c>
      <c r="AI1619" s="4">
        <v>44692</v>
      </c>
      <c r="AJ1619" s="3" t="s">
        <v>1716</v>
      </c>
      <c r="AK1619" s="3" t="s">
        <v>38</v>
      </c>
    </row>
    <row r="1620" spans="1:37" hidden="1" x14ac:dyDescent="0.25">
      <c r="A1620" t="str">
        <f t="shared" si="25"/>
        <v>2022_SA_Warnertown_Lentil_SatelliteTOS2VarietyHallmarkXTWaterTrtRainFedAgronomyDensity_1</v>
      </c>
      <c r="B1620" s="2">
        <v>2022018</v>
      </c>
      <c r="C1620" s="3" t="s">
        <v>1712</v>
      </c>
      <c r="D1620" s="3" t="s">
        <v>38</v>
      </c>
      <c r="F1620" s="3" t="s">
        <v>4189</v>
      </c>
      <c r="G1620" s="3" t="s">
        <v>39</v>
      </c>
      <c r="H1620" s="3" t="s">
        <v>253</v>
      </c>
      <c r="I1620" s="2">
        <v>5</v>
      </c>
      <c r="J1620" s="2">
        <v>5</v>
      </c>
      <c r="K1620" s="2">
        <v>1</v>
      </c>
      <c r="O1620" s="2">
        <v>1</v>
      </c>
      <c r="U1620" s="2">
        <v>2</v>
      </c>
      <c r="V1620" s="2">
        <v>3</v>
      </c>
      <c r="W1620" s="2">
        <v>2</v>
      </c>
      <c r="X1620" s="2">
        <v>2</v>
      </c>
      <c r="Z1620" s="2">
        <v>5</v>
      </c>
      <c r="AA1620" s="3" t="s">
        <v>40</v>
      </c>
      <c r="AB1620" s="2">
        <v>1</v>
      </c>
      <c r="AC1620" s="3" t="s">
        <v>1513</v>
      </c>
      <c r="AF1620" s="2">
        <v>23</v>
      </c>
      <c r="AG1620" s="2">
        <v>2</v>
      </c>
      <c r="AH1620" s="3" t="s">
        <v>523</v>
      </c>
      <c r="AI1620" s="4">
        <v>44692</v>
      </c>
      <c r="AJ1620" s="3" t="s">
        <v>1717</v>
      </c>
      <c r="AK1620" s="3" t="s">
        <v>38</v>
      </c>
    </row>
    <row r="1621" spans="1:37" hidden="1" x14ac:dyDescent="0.25">
      <c r="A1621" t="str">
        <f t="shared" si="25"/>
        <v>2022_SA_Warnertown_Lentil_SatelliteTOS2VarietyBoltWaterTrtRainFedAgronomyDensity_1</v>
      </c>
      <c r="B1621" s="2">
        <v>2022018</v>
      </c>
      <c r="C1621" s="3" t="s">
        <v>1712</v>
      </c>
      <c r="D1621" s="3" t="s">
        <v>38</v>
      </c>
      <c r="F1621" s="3" t="s">
        <v>4187</v>
      </c>
      <c r="G1621" s="3" t="s">
        <v>39</v>
      </c>
      <c r="H1621" s="3" t="s">
        <v>253</v>
      </c>
      <c r="I1621" s="2">
        <v>6</v>
      </c>
      <c r="J1621" s="2">
        <v>6</v>
      </c>
      <c r="K1621" s="2">
        <v>1</v>
      </c>
      <c r="O1621" s="2">
        <v>1</v>
      </c>
      <c r="U1621" s="2">
        <v>3</v>
      </c>
      <c r="V1621" s="2">
        <v>3</v>
      </c>
      <c r="W1621" s="2">
        <v>3</v>
      </c>
      <c r="X1621" s="2">
        <v>2</v>
      </c>
      <c r="Z1621" s="2">
        <v>4</v>
      </c>
      <c r="AA1621" s="3" t="s">
        <v>40</v>
      </c>
      <c r="AB1621" s="2">
        <v>2</v>
      </c>
      <c r="AC1621" s="3" t="s">
        <v>1513</v>
      </c>
      <c r="AF1621" s="2">
        <v>23</v>
      </c>
      <c r="AG1621" s="2">
        <v>2</v>
      </c>
      <c r="AH1621" s="3" t="s">
        <v>523</v>
      </c>
      <c r="AI1621" s="4">
        <v>44692</v>
      </c>
      <c r="AJ1621" s="3" t="s">
        <v>1718</v>
      </c>
      <c r="AK1621" s="3" t="s">
        <v>38</v>
      </c>
    </row>
    <row r="1622" spans="1:37" hidden="1" x14ac:dyDescent="0.25">
      <c r="A1622" t="str">
        <f t="shared" si="25"/>
        <v>2022_SA_Warnertown_Lentil_SatelliteTOS1VarietyHallmarkXTWaterTrtRainFedAgronomyDensity_1</v>
      </c>
      <c r="B1622" s="2">
        <v>2022018</v>
      </c>
      <c r="C1622" s="3" t="s">
        <v>1712</v>
      </c>
      <c r="D1622" s="3" t="s">
        <v>38</v>
      </c>
      <c r="F1622" s="3" t="s">
        <v>4189</v>
      </c>
      <c r="G1622" s="3" t="s">
        <v>39</v>
      </c>
      <c r="H1622" s="3" t="s">
        <v>253</v>
      </c>
      <c r="I1622" s="2">
        <v>7</v>
      </c>
      <c r="J1622" s="2">
        <v>7</v>
      </c>
      <c r="K1622" s="2">
        <v>1</v>
      </c>
      <c r="O1622" s="2">
        <v>2</v>
      </c>
      <c r="U1622" s="2">
        <v>1</v>
      </c>
      <c r="V1622" s="2">
        <v>5</v>
      </c>
      <c r="W1622" s="2">
        <v>1</v>
      </c>
      <c r="X1622" s="2">
        <v>3</v>
      </c>
      <c r="Z1622" s="2">
        <v>7</v>
      </c>
      <c r="AA1622" s="3" t="s">
        <v>40</v>
      </c>
      <c r="AB1622" s="2">
        <v>1</v>
      </c>
      <c r="AC1622" s="3" t="s">
        <v>1513</v>
      </c>
      <c r="AF1622" s="2">
        <v>23</v>
      </c>
      <c r="AG1622" s="2">
        <v>1</v>
      </c>
      <c r="AH1622" s="3" t="s">
        <v>1519</v>
      </c>
      <c r="AI1622" s="4">
        <v>44662</v>
      </c>
      <c r="AJ1622" s="3" t="s">
        <v>1719</v>
      </c>
      <c r="AK1622" s="3" t="s">
        <v>38</v>
      </c>
    </row>
    <row r="1623" spans="1:37" hidden="1" x14ac:dyDescent="0.25">
      <c r="A1623" t="str">
        <f t="shared" si="25"/>
        <v>2022_SA_Warnertown_Lentil_SatelliteTOS1VarietyBoltWaterTrtRainFedAgronomyDensity_0.66</v>
      </c>
      <c r="B1623" s="2">
        <v>2022018</v>
      </c>
      <c r="C1623" s="3" t="s">
        <v>1712</v>
      </c>
      <c r="D1623" s="3" t="s">
        <v>38</v>
      </c>
      <c r="F1623" s="3" t="s">
        <v>4187</v>
      </c>
      <c r="G1623" s="3" t="s">
        <v>39</v>
      </c>
      <c r="H1623" s="3" t="s">
        <v>253</v>
      </c>
      <c r="I1623" s="2">
        <v>8</v>
      </c>
      <c r="J1623" s="2">
        <v>8</v>
      </c>
      <c r="K1623" s="2">
        <v>1</v>
      </c>
      <c r="O1623" s="2">
        <v>2</v>
      </c>
      <c r="U1623" s="2">
        <v>2</v>
      </c>
      <c r="V1623" s="2">
        <v>5</v>
      </c>
      <c r="W1623" s="2">
        <v>2</v>
      </c>
      <c r="X1623" s="2">
        <v>3</v>
      </c>
      <c r="Z1623" s="2">
        <v>8</v>
      </c>
      <c r="AA1623" s="3" t="s">
        <v>40</v>
      </c>
      <c r="AB1623" s="2">
        <v>5</v>
      </c>
      <c r="AC1623" s="3" t="s">
        <v>1511</v>
      </c>
      <c r="AF1623" s="2">
        <v>23</v>
      </c>
      <c r="AG1623" s="2">
        <v>1</v>
      </c>
      <c r="AH1623" s="3" t="s">
        <v>1519</v>
      </c>
      <c r="AI1623" s="4">
        <v>44662</v>
      </c>
      <c r="AJ1623" s="3" t="s">
        <v>1720</v>
      </c>
      <c r="AK1623" s="3" t="s">
        <v>38</v>
      </c>
    </row>
    <row r="1624" spans="1:37" hidden="1" x14ac:dyDescent="0.25">
      <c r="A1624" t="str">
        <f t="shared" si="25"/>
        <v>2022_SA_Warnertown_Lentil_SatelliteTOS1VarietyJumbo2WaterTrtRainFedAgronomyDensity_0.66</v>
      </c>
      <c r="B1624" s="2">
        <v>2022018</v>
      </c>
      <c r="C1624" s="3" t="s">
        <v>1712</v>
      </c>
      <c r="D1624" s="3" t="s">
        <v>38</v>
      </c>
      <c r="F1624" s="3" t="s">
        <v>4176</v>
      </c>
      <c r="G1624" s="3" t="s">
        <v>43</v>
      </c>
      <c r="H1624" s="3" t="s">
        <v>253</v>
      </c>
      <c r="I1624" s="2">
        <v>9</v>
      </c>
      <c r="J1624" s="2">
        <v>9</v>
      </c>
      <c r="K1624" s="2">
        <v>1</v>
      </c>
      <c r="O1624" s="2">
        <v>2</v>
      </c>
      <c r="U1624" s="2">
        <v>3</v>
      </c>
      <c r="V1624" s="2">
        <v>5</v>
      </c>
      <c r="W1624" s="2">
        <v>3</v>
      </c>
      <c r="X1624" s="2">
        <v>3</v>
      </c>
      <c r="Z1624" s="2">
        <v>9</v>
      </c>
      <c r="AA1624" s="3" t="s">
        <v>40</v>
      </c>
      <c r="AB1624" s="2">
        <v>6</v>
      </c>
      <c r="AC1624" s="3" t="s">
        <v>1511</v>
      </c>
      <c r="AF1624" s="2">
        <v>23</v>
      </c>
      <c r="AG1624" s="2">
        <v>1</v>
      </c>
      <c r="AH1624" s="3" t="s">
        <v>1519</v>
      </c>
      <c r="AI1624" s="4">
        <v>44662</v>
      </c>
      <c r="AJ1624" s="3" t="s">
        <v>1721</v>
      </c>
      <c r="AK1624" s="3" t="s">
        <v>38</v>
      </c>
    </row>
    <row r="1625" spans="1:37" hidden="1" x14ac:dyDescent="0.25">
      <c r="A1625" t="str">
        <f t="shared" si="25"/>
        <v>2022_SA_Warnertown_Lentil_SatelliteTOS1VarietyJumbo2WaterTrtRainFedAgronomyDensity_1</v>
      </c>
      <c r="B1625" s="2">
        <v>2022018</v>
      </c>
      <c r="C1625" s="3" t="s">
        <v>1712</v>
      </c>
      <c r="D1625" s="3" t="s">
        <v>38</v>
      </c>
      <c r="F1625" s="3" t="s">
        <v>4176</v>
      </c>
      <c r="G1625" s="3" t="s">
        <v>43</v>
      </c>
      <c r="H1625" s="3" t="s">
        <v>253</v>
      </c>
      <c r="I1625" s="2">
        <v>10</v>
      </c>
      <c r="J1625" s="2">
        <v>10</v>
      </c>
      <c r="K1625" s="2">
        <v>1</v>
      </c>
      <c r="O1625" s="2">
        <v>2</v>
      </c>
      <c r="U1625" s="2">
        <v>1</v>
      </c>
      <c r="V1625" s="2">
        <v>6</v>
      </c>
      <c r="W1625" s="2">
        <v>1</v>
      </c>
      <c r="X1625" s="2">
        <v>4</v>
      </c>
      <c r="Z1625" s="2">
        <v>12</v>
      </c>
      <c r="AA1625" s="3" t="s">
        <v>40</v>
      </c>
      <c r="AB1625" s="2">
        <v>3</v>
      </c>
      <c r="AC1625" s="3" t="s">
        <v>1513</v>
      </c>
      <c r="AF1625" s="2">
        <v>23</v>
      </c>
      <c r="AG1625" s="2">
        <v>1</v>
      </c>
      <c r="AH1625" s="3" t="s">
        <v>1519</v>
      </c>
      <c r="AI1625" s="4">
        <v>44662</v>
      </c>
      <c r="AJ1625" s="3" t="s">
        <v>1722</v>
      </c>
      <c r="AK1625" s="3" t="s">
        <v>38</v>
      </c>
    </row>
    <row r="1626" spans="1:37" hidden="1" x14ac:dyDescent="0.25">
      <c r="A1626" t="str">
        <f t="shared" si="25"/>
        <v>2022_SA_Warnertown_Lentil_SatelliteTOS1VarietyKelpieXTWaterTrtRainFedAgronomyDensity_1</v>
      </c>
      <c r="B1626" s="2">
        <v>2022018</v>
      </c>
      <c r="C1626" s="3" t="s">
        <v>1712</v>
      </c>
      <c r="D1626" s="3" t="s">
        <v>38</v>
      </c>
      <c r="F1626" s="3" t="s">
        <v>4188</v>
      </c>
      <c r="G1626" s="3" t="s">
        <v>43</v>
      </c>
      <c r="H1626" s="3" t="s">
        <v>253</v>
      </c>
      <c r="I1626" s="2">
        <v>11</v>
      </c>
      <c r="J1626" s="2">
        <v>11</v>
      </c>
      <c r="K1626" s="2">
        <v>1</v>
      </c>
      <c r="O1626" s="2">
        <v>2</v>
      </c>
      <c r="U1626" s="2">
        <v>2</v>
      </c>
      <c r="V1626" s="2">
        <v>6</v>
      </c>
      <c r="W1626" s="2">
        <v>2</v>
      </c>
      <c r="X1626" s="2">
        <v>4</v>
      </c>
      <c r="Z1626" s="2">
        <v>11</v>
      </c>
      <c r="AA1626" s="3" t="s">
        <v>40</v>
      </c>
      <c r="AB1626" s="2">
        <v>4</v>
      </c>
      <c r="AC1626" s="3" t="s">
        <v>1513</v>
      </c>
      <c r="AF1626" s="2">
        <v>23</v>
      </c>
      <c r="AG1626" s="2">
        <v>1</v>
      </c>
      <c r="AH1626" s="3" t="s">
        <v>1519</v>
      </c>
      <c r="AI1626" s="4">
        <v>44662</v>
      </c>
      <c r="AJ1626" s="3" t="s">
        <v>1723</v>
      </c>
      <c r="AK1626" s="3" t="s">
        <v>38</v>
      </c>
    </row>
    <row r="1627" spans="1:37" hidden="1" x14ac:dyDescent="0.25">
      <c r="A1627" t="str">
        <f t="shared" si="25"/>
        <v>2022_SA_Warnertown_Lentil_SatelliteTOS1VarietyBoltWaterTrtRainFedAgronomyDensity_1</v>
      </c>
      <c r="B1627" s="2">
        <v>2022018</v>
      </c>
      <c r="C1627" s="3" t="s">
        <v>1712</v>
      </c>
      <c r="D1627" s="3" t="s">
        <v>38</v>
      </c>
      <c r="F1627" s="3" t="s">
        <v>4187</v>
      </c>
      <c r="G1627" s="3" t="s">
        <v>39</v>
      </c>
      <c r="H1627" s="3" t="s">
        <v>253</v>
      </c>
      <c r="I1627" s="2">
        <v>12</v>
      </c>
      <c r="J1627" s="2">
        <v>12</v>
      </c>
      <c r="K1627" s="2">
        <v>1</v>
      </c>
      <c r="O1627" s="2">
        <v>2</v>
      </c>
      <c r="U1627" s="2">
        <v>3</v>
      </c>
      <c r="V1627" s="2">
        <v>6</v>
      </c>
      <c r="W1627" s="2">
        <v>3</v>
      </c>
      <c r="X1627" s="2">
        <v>4</v>
      </c>
      <c r="Z1627" s="2">
        <v>10</v>
      </c>
      <c r="AA1627" s="3" t="s">
        <v>40</v>
      </c>
      <c r="AB1627" s="2">
        <v>2</v>
      </c>
      <c r="AC1627" s="3" t="s">
        <v>1513</v>
      </c>
      <c r="AF1627" s="2">
        <v>23</v>
      </c>
      <c r="AG1627" s="2">
        <v>1</v>
      </c>
      <c r="AH1627" s="3" t="s">
        <v>1519</v>
      </c>
      <c r="AI1627" s="4">
        <v>44662</v>
      </c>
      <c r="AJ1627" s="3" t="s">
        <v>1724</v>
      </c>
      <c r="AK1627" s="3" t="s">
        <v>38</v>
      </c>
    </row>
    <row r="1628" spans="1:37" hidden="1" x14ac:dyDescent="0.25">
      <c r="A1628" t="str">
        <f t="shared" si="25"/>
        <v>2022_SA_Warnertown_Lentil_SatelliteTOS2VarietyBoltWaterTrtRainFedAgronomyDensity_1</v>
      </c>
      <c r="B1628" s="2">
        <v>2022018</v>
      </c>
      <c r="C1628" s="3" t="s">
        <v>1712</v>
      </c>
      <c r="D1628" s="3" t="s">
        <v>38</v>
      </c>
      <c r="F1628" s="3" t="s">
        <v>4187</v>
      </c>
      <c r="G1628" s="3" t="s">
        <v>39</v>
      </c>
      <c r="H1628" s="3" t="s">
        <v>253</v>
      </c>
      <c r="I1628" s="2">
        <v>13</v>
      </c>
      <c r="J1628" s="2">
        <v>13</v>
      </c>
      <c r="K1628" s="2">
        <v>2</v>
      </c>
      <c r="O1628" s="2">
        <v>3</v>
      </c>
      <c r="U1628" s="2">
        <v>1</v>
      </c>
      <c r="V1628" s="2">
        <v>8</v>
      </c>
      <c r="W1628" s="2">
        <v>1</v>
      </c>
      <c r="X1628" s="2">
        <v>5</v>
      </c>
      <c r="Z1628" s="2">
        <v>13</v>
      </c>
      <c r="AA1628" s="3" t="s">
        <v>40</v>
      </c>
      <c r="AB1628" s="2">
        <v>2</v>
      </c>
      <c r="AC1628" s="3" t="s">
        <v>1513</v>
      </c>
      <c r="AF1628" s="2">
        <v>23</v>
      </c>
      <c r="AG1628" s="2">
        <v>2</v>
      </c>
      <c r="AH1628" s="3" t="s">
        <v>523</v>
      </c>
      <c r="AI1628" s="4">
        <v>44692</v>
      </c>
      <c r="AJ1628" s="3" t="s">
        <v>1725</v>
      </c>
      <c r="AK1628" s="3" t="s">
        <v>38</v>
      </c>
    </row>
    <row r="1629" spans="1:37" hidden="1" x14ac:dyDescent="0.25">
      <c r="A1629" t="str">
        <f t="shared" si="25"/>
        <v>2022_SA_Warnertown_Lentil_SatelliteTOS2VarietyKelpieXTWaterTrtRainFedAgronomyDensity_1</v>
      </c>
      <c r="B1629" s="2">
        <v>2022018</v>
      </c>
      <c r="C1629" s="3" t="s">
        <v>1712</v>
      </c>
      <c r="D1629" s="3" t="s">
        <v>38</v>
      </c>
      <c r="F1629" s="3" t="s">
        <v>4188</v>
      </c>
      <c r="G1629" s="3" t="s">
        <v>43</v>
      </c>
      <c r="H1629" s="3" t="s">
        <v>253</v>
      </c>
      <c r="I1629" s="2">
        <v>14</v>
      </c>
      <c r="J1629" s="2">
        <v>14</v>
      </c>
      <c r="K1629" s="2">
        <v>2</v>
      </c>
      <c r="O1629" s="2">
        <v>3</v>
      </c>
      <c r="U1629" s="2">
        <v>2</v>
      </c>
      <c r="V1629" s="2">
        <v>8</v>
      </c>
      <c r="W1629" s="2">
        <v>2</v>
      </c>
      <c r="X1629" s="2">
        <v>5</v>
      </c>
      <c r="Z1629" s="2">
        <v>14</v>
      </c>
      <c r="AA1629" s="3" t="s">
        <v>40</v>
      </c>
      <c r="AB1629" s="2">
        <v>4</v>
      </c>
      <c r="AC1629" s="3" t="s">
        <v>1513</v>
      </c>
      <c r="AF1629" s="2">
        <v>23</v>
      </c>
      <c r="AG1629" s="2">
        <v>2</v>
      </c>
      <c r="AH1629" s="3" t="s">
        <v>523</v>
      </c>
      <c r="AI1629" s="4">
        <v>44692</v>
      </c>
      <c r="AJ1629" s="3" t="s">
        <v>1726</v>
      </c>
      <c r="AK1629" s="3" t="s">
        <v>38</v>
      </c>
    </row>
    <row r="1630" spans="1:37" hidden="1" x14ac:dyDescent="0.25">
      <c r="A1630" t="str">
        <f t="shared" si="25"/>
        <v>2022_SA_Warnertown_Lentil_SatelliteTOS2VarietyJumbo2WaterTrtRainFedAgronomyDensity_0.66</v>
      </c>
      <c r="B1630" s="2">
        <v>2022018</v>
      </c>
      <c r="C1630" s="3" t="s">
        <v>1712</v>
      </c>
      <c r="D1630" s="3" t="s">
        <v>38</v>
      </c>
      <c r="F1630" s="3" t="s">
        <v>4176</v>
      </c>
      <c r="G1630" s="3" t="s">
        <v>43</v>
      </c>
      <c r="H1630" s="3" t="s">
        <v>253</v>
      </c>
      <c r="I1630" s="2">
        <v>15</v>
      </c>
      <c r="J1630" s="2">
        <v>15</v>
      </c>
      <c r="K1630" s="2">
        <v>2</v>
      </c>
      <c r="O1630" s="2">
        <v>3</v>
      </c>
      <c r="U1630" s="2">
        <v>3</v>
      </c>
      <c r="V1630" s="2">
        <v>8</v>
      </c>
      <c r="W1630" s="2">
        <v>3</v>
      </c>
      <c r="X1630" s="2">
        <v>5</v>
      </c>
      <c r="Z1630" s="2">
        <v>15</v>
      </c>
      <c r="AA1630" s="3" t="s">
        <v>40</v>
      </c>
      <c r="AB1630" s="2">
        <v>6</v>
      </c>
      <c r="AC1630" s="3" t="s">
        <v>1511</v>
      </c>
      <c r="AF1630" s="2">
        <v>23</v>
      </c>
      <c r="AG1630" s="2">
        <v>2</v>
      </c>
      <c r="AH1630" s="3" t="s">
        <v>523</v>
      </c>
      <c r="AI1630" s="4">
        <v>44692</v>
      </c>
      <c r="AJ1630" s="3" t="s">
        <v>1727</v>
      </c>
      <c r="AK1630" s="3" t="s">
        <v>38</v>
      </c>
    </row>
    <row r="1631" spans="1:37" hidden="1" x14ac:dyDescent="0.25">
      <c r="A1631" t="str">
        <f t="shared" si="25"/>
        <v>2022_SA_Warnertown_Lentil_SatelliteTOS2VarietyBoltWaterTrtRainFedAgronomyDensity_0.66</v>
      </c>
      <c r="B1631" s="2">
        <v>2022018</v>
      </c>
      <c r="C1631" s="3" t="s">
        <v>1712</v>
      </c>
      <c r="D1631" s="3" t="s">
        <v>38</v>
      </c>
      <c r="F1631" s="3" t="s">
        <v>4187</v>
      </c>
      <c r="G1631" s="3" t="s">
        <v>39</v>
      </c>
      <c r="H1631" s="3" t="s">
        <v>253</v>
      </c>
      <c r="I1631" s="2">
        <v>16</v>
      </c>
      <c r="J1631" s="2">
        <v>16</v>
      </c>
      <c r="K1631" s="2">
        <v>2</v>
      </c>
      <c r="O1631" s="2">
        <v>3</v>
      </c>
      <c r="U1631" s="2">
        <v>1</v>
      </c>
      <c r="V1631" s="2">
        <v>9</v>
      </c>
      <c r="W1631" s="2">
        <v>1</v>
      </c>
      <c r="X1631" s="2">
        <v>6</v>
      </c>
      <c r="Z1631" s="2">
        <v>18</v>
      </c>
      <c r="AA1631" s="3" t="s">
        <v>40</v>
      </c>
      <c r="AB1631" s="2">
        <v>5</v>
      </c>
      <c r="AC1631" s="3" t="s">
        <v>1511</v>
      </c>
      <c r="AF1631" s="2">
        <v>23</v>
      </c>
      <c r="AG1631" s="2">
        <v>2</v>
      </c>
      <c r="AH1631" s="3" t="s">
        <v>523</v>
      </c>
      <c r="AI1631" s="4">
        <v>44692</v>
      </c>
      <c r="AJ1631" s="3" t="s">
        <v>1728</v>
      </c>
      <c r="AK1631" s="3" t="s">
        <v>38</v>
      </c>
    </row>
    <row r="1632" spans="1:37" hidden="1" x14ac:dyDescent="0.25">
      <c r="A1632" t="str">
        <f t="shared" si="25"/>
        <v>2022_SA_Warnertown_Lentil_SatelliteTOS2VarietyJumbo2WaterTrtRainFedAgronomyDensity_1</v>
      </c>
      <c r="B1632" s="2">
        <v>2022018</v>
      </c>
      <c r="C1632" s="3" t="s">
        <v>1712</v>
      </c>
      <c r="D1632" s="3" t="s">
        <v>38</v>
      </c>
      <c r="F1632" s="3" t="s">
        <v>4176</v>
      </c>
      <c r="G1632" s="3" t="s">
        <v>43</v>
      </c>
      <c r="H1632" s="3" t="s">
        <v>253</v>
      </c>
      <c r="I1632" s="2">
        <v>17</v>
      </c>
      <c r="J1632" s="2">
        <v>17</v>
      </c>
      <c r="K1632" s="2">
        <v>2</v>
      </c>
      <c r="O1632" s="2">
        <v>3</v>
      </c>
      <c r="U1632" s="2">
        <v>2</v>
      </c>
      <c r="V1632" s="2">
        <v>9</v>
      </c>
      <c r="W1632" s="2">
        <v>2</v>
      </c>
      <c r="X1632" s="2">
        <v>6</v>
      </c>
      <c r="Z1632" s="2">
        <v>17</v>
      </c>
      <c r="AA1632" s="3" t="s">
        <v>40</v>
      </c>
      <c r="AB1632" s="2">
        <v>3</v>
      </c>
      <c r="AC1632" s="3" t="s">
        <v>1513</v>
      </c>
      <c r="AF1632" s="2">
        <v>23</v>
      </c>
      <c r="AG1632" s="2">
        <v>2</v>
      </c>
      <c r="AH1632" s="3" t="s">
        <v>523</v>
      </c>
      <c r="AI1632" s="4">
        <v>44692</v>
      </c>
      <c r="AJ1632" s="3" t="s">
        <v>1729</v>
      </c>
      <c r="AK1632" s="3" t="s">
        <v>38</v>
      </c>
    </row>
    <row r="1633" spans="1:37" hidden="1" x14ac:dyDescent="0.25">
      <c r="A1633" t="str">
        <f t="shared" si="25"/>
        <v>2022_SA_Warnertown_Lentil_SatelliteTOS2VarietyHallmarkXTWaterTrtRainFedAgronomyDensity_1</v>
      </c>
      <c r="B1633" s="2">
        <v>2022018</v>
      </c>
      <c r="C1633" s="3" t="s">
        <v>1712</v>
      </c>
      <c r="D1633" s="3" t="s">
        <v>38</v>
      </c>
      <c r="F1633" s="3" t="s">
        <v>4189</v>
      </c>
      <c r="G1633" s="3" t="s">
        <v>39</v>
      </c>
      <c r="H1633" s="3" t="s">
        <v>253</v>
      </c>
      <c r="I1633" s="2">
        <v>18</v>
      </c>
      <c r="J1633" s="2">
        <v>18</v>
      </c>
      <c r="K1633" s="2">
        <v>2</v>
      </c>
      <c r="O1633" s="2">
        <v>3</v>
      </c>
      <c r="U1633" s="2">
        <v>3</v>
      </c>
      <c r="V1633" s="2">
        <v>9</v>
      </c>
      <c r="W1633" s="2">
        <v>3</v>
      </c>
      <c r="X1633" s="2">
        <v>6</v>
      </c>
      <c r="Z1633" s="2">
        <v>16</v>
      </c>
      <c r="AA1633" s="3" t="s">
        <v>40</v>
      </c>
      <c r="AB1633" s="2">
        <v>1</v>
      </c>
      <c r="AC1633" s="3" t="s">
        <v>1513</v>
      </c>
      <c r="AF1633" s="2">
        <v>23</v>
      </c>
      <c r="AG1633" s="2">
        <v>2</v>
      </c>
      <c r="AH1633" s="3" t="s">
        <v>523</v>
      </c>
      <c r="AI1633" s="4">
        <v>44692</v>
      </c>
      <c r="AJ1633" s="3" t="s">
        <v>1730</v>
      </c>
      <c r="AK1633" s="3" t="s">
        <v>38</v>
      </c>
    </row>
    <row r="1634" spans="1:37" hidden="1" x14ac:dyDescent="0.25">
      <c r="A1634" t="str">
        <f t="shared" si="25"/>
        <v>2022_SA_Warnertown_Lentil_SatelliteTOS1VarietyJumbo2WaterTrtRainFedAgronomyDensity_1</v>
      </c>
      <c r="B1634" s="2">
        <v>2022018</v>
      </c>
      <c r="C1634" s="3" t="s">
        <v>1712</v>
      </c>
      <c r="D1634" s="3" t="s">
        <v>38</v>
      </c>
      <c r="F1634" s="3" t="s">
        <v>4176</v>
      </c>
      <c r="G1634" s="3" t="s">
        <v>43</v>
      </c>
      <c r="H1634" s="3" t="s">
        <v>253</v>
      </c>
      <c r="I1634" s="2">
        <v>19</v>
      </c>
      <c r="J1634" s="2">
        <v>19</v>
      </c>
      <c r="K1634" s="2">
        <v>2</v>
      </c>
      <c r="O1634" s="2">
        <v>4</v>
      </c>
      <c r="U1634" s="2">
        <v>1</v>
      </c>
      <c r="V1634" s="2">
        <v>11</v>
      </c>
      <c r="W1634" s="2">
        <v>1</v>
      </c>
      <c r="X1634" s="2">
        <v>7</v>
      </c>
      <c r="Z1634" s="2">
        <v>19</v>
      </c>
      <c r="AA1634" s="3" t="s">
        <v>40</v>
      </c>
      <c r="AB1634" s="2">
        <v>3</v>
      </c>
      <c r="AC1634" s="3" t="s">
        <v>1513</v>
      </c>
      <c r="AF1634" s="2">
        <v>23</v>
      </c>
      <c r="AG1634" s="2">
        <v>1</v>
      </c>
      <c r="AH1634" s="3" t="s">
        <v>1519</v>
      </c>
      <c r="AI1634" s="4">
        <v>44662</v>
      </c>
      <c r="AJ1634" s="3" t="s">
        <v>1731</v>
      </c>
      <c r="AK1634" s="3" t="s">
        <v>38</v>
      </c>
    </row>
    <row r="1635" spans="1:37" hidden="1" x14ac:dyDescent="0.25">
      <c r="A1635" t="str">
        <f t="shared" si="25"/>
        <v>2022_SA_Warnertown_Lentil_SatelliteTOS1VarietyJumbo2WaterTrtRainFedAgronomyDensity_0.66</v>
      </c>
      <c r="B1635" s="2">
        <v>2022018</v>
      </c>
      <c r="C1635" s="3" t="s">
        <v>1712</v>
      </c>
      <c r="D1635" s="3" t="s">
        <v>38</v>
      </c>
      <c r="F1635" s="3" t="s">
        <v>4176</v>
      </c>
      <c r="G1635" s="3" t="s">
        <v>43</v>
      </c>
      <c r="H1635" s="3" t="s">
        <v>253</v>
      </c>
      <c r="I1635" s="2">
        <v>20</v>
      </c>
      <c r="J1635" s="2">
        <v>20</v>
      </c>
      <c r="K1635" s="2">
        <v>2</v>
      </c>
      <c r="O1635" s="2">
        <v>4</v>
      </c>
      <c r="U1635" s="2">
        <v>2</v>
      </c>
      <c r="V1635" s="2">
        <v>11</v>
      </c>
      <c r="W1635" s="2">
        <v>2</v>
      </c>
      <c r="X1635" s="2">
        <v>7</v>
      </c>
      <c r="Z1635" s="2">
        <v>20</v>
      </c>
      <c r="AA1635" s="3" t="s">
        <v>40</v>
      </c>
      <c r="AB1635" s="2">
        <v>6</v>
      </c>
      <c r="AC1635" s="3" t="s">
        <v>1511</v>
      </c>
      <c r="AF1635" s="2">
        <v>23</v>
      </c>
      <c r="AG1635" s="2">
        <v>1</v>
      </c>
      <c r="AH1635" s="3" t="s">
        <v>1519</v>
      </c>
      <c r="AI1635" s="4">
        <v>44662</v>
      </c>
      <c r="AJ1635" s="3" t="s">
        <v>1732</v>
      </c>
      <c r="AK1635" s="3" t="s">
        <v>38</v>
      </c>
    </row>
    <row r="1636" spans="1:37" hidden="1" x14ac:dyDescent="0.25">
      <c r="A1636" t="str">
        <f t="shared" si="25"/>
        <v>2022_SA_Warnertown_Lentil_SatelliteTOS1VarietyKelpieXTWaterTrtRainFedAgronomyDensity_1</v>
      </c>
      <c r="B1636" s="2">
        <v>2022018</v>
      </c>
      <c r="C1636" s="3" t="s">
        <v>1712</v>
      </c>
      <c r="D1636" s="3" t="s">
        <v>38</v>
      </c>
      <c r="F1636" s="3" t="s">
        <v>4188</v>
      </c>
      <c r="G1636" s="3" t="s">
        <v>43</v>
      </c>
      <c r="H1636" s="3" t="s">
        <v>253</v>
      </c>
      <c r="I1636" s="2">
        <v>21</v>
      </c>
      <c r="J1636" s="2">
        <v>21</v>
      </c>
      <c r="K1636" s="2">
        <v>2</v>
      </c>
      <c r="O1636" s="2">
        <v>4</v>
      </c>
      <c r="U1636" s="2">
        <v>3</v>
      </c>
      <c r="V1636" s="2">
        <v>11</v>
      </c>
      <c r="W1636" s="2">
        <v>3</v>
      </c>
      <c r="X1636" s="2">
        <v>7</v>
      </c>
      <c r="Z1636" s="2">
        <v>21</v>
      </c>
      <c r="AA1636" s="3" t="s">
        <v>40</v>
      </c>
      <c r="AB1636" s="2">
        <v>4</v>
      </c>
      <c r="AC1636" s="3" t="s">
        <v>1513</v>
      </c>
      <c r="AF1636" s="2">
        <v>23</v>
      </c>
      <c r="AG1636" s="2">
        <v>1</v>
      </c>
      <c r="AH1636" s="3" t="s">
        <v>1519</v>
      </c>
      <c r="AI1636" s="4">
        <v>44662</v>
      </c>
      <c r="AJ1636" s="3" t="s">
        <v>1733</v>
      </c>
      <c r="AK1636" s="3" t="s">
        <v>38</v>
      </c>
    </row>
    <row r="1637" spans="1:37" hidden="1" x14ac:dyDescent="0.25">
      <c r="A1637" t="str">
        <f t="shared" si="25"/>
        <v>2022_SA_Warnertown_Lentil_SatelliteTOS1VarietyHallmarkXTWaterTrtRainFedAgronomyDensity_1</v>
      </c>
      <c r="B1637" s="2">
        <v>2022018</v>
      </c>
      <c r="C1637" s="3" t="s">
        <v>1712</v>
      </c>
      <c r="D1637" s="3" t="s">
        <v>38</v>
      </c>
      <c r="F1637" s="3" t="s">
        <v>4189</v>
      </c>
      <c r="G1637" s="3" t="s">
        <v>39</v>
      </c>
      <c r="H1637" s="3" t="s">
        <v>253</v>
      </c>
      <c r="I1637" s="2">
        <v>22</v>
      </c>
      <c r="J1637" s="2">
        <v>22</v>
      </c>
      <c r="K1637" s="2">
        <v>2</v>
      </c>
      <c r="O1637" s="2">
        <v>4</v>
      </c>
      <c r="U1637" s="2">
        <v>1</v>
      </c>
      <c r="V1637" s="2">
        <v>12</v>
      </c>
      <c r="W1637" s="2">
        <v>1</v>
      </c>
      <c r="X1637" s="2">
        <v>8</v>
      </c>
      <c r="Z1637" s="2">
        <v>24</v>
      </c>
      <c r="AA1637" s="3" t="s">
        <v>40</v>
      </c>
      <c r="AB1637" s="2">
        <v>1</v>
      </c>
      <c r="AC1637" s="3" t="s">
        <v>1513</v>
      </c>
      <c r="AF1637" s="2">
        <v>23</v>
      </c>
      <c r="AG1637" s="2">
        <v>1</v>
      </c>
      <c r="AH1637" s="3" t="s">
        <v>1519</v>
      </c>
      <c r="AI1637" s="4">
        <v>44662</v>
      </c>
      <c r="AJ1637" s="3" t="s">
        <v>1734</v>
      </c>
      <c r="AK1637" s="3" t="s">
        <v>38</v>
      </c>
    </row>
    <row r="1638" spans="1:37" hidden="1" x14ac:dyDescent="0.25">
      <c r="A1638" t="str">
        <f t="shared" si="25"/>
        <v>2022_SA_Warnertown_Lentil_SatelliteTOS1VarietyBoltWaterTrtRainFedAgronomyDensity_1</v>
      </c>
      <c r="B1638" s="2">
        <v>2022018</v>
      </c>
      <c r="C1638" s="3" t="s">
        <v>1712</v>
      </c>
      <c r="D1638" s="3" t="s">
        <v>38</v>
      </c>
      <c r="F1638" s="3" t="s">
        <v>4187</v>
      </c>
      <c r="G1638" s="3" t="s">
        <v>39</v>
      </c>
      <c r="H1638" s="3" t="s">
        <v>253</v>
      </c>
      <c r="I1638" s="2">
        <v>23</v>
      </c>
      <c r="J1638" s="2">
        <v>23</v>
      </c>
      <c r="K1638" s="2">
        <v>2</v>
      </c>
      <c r="O1638" s="2">
        <v>4</v>
      </c>
      <c r="U1638" s="2">
        <v>2</v>
      </c>
      <c r="V1638" s="2">
        <v>12</v>
      </c>
      <c r="W1638" s="2">
        <v>2</v>
      </c>
      <c r="X1638" s="2">
        <v>8</v>
      </c>
      <c r="Z1638" s="2">
        <v>23</v>
      </c>
      <c r="AA1638" s="3" t="s">
        <v>40</v>
      </c>
      <c r="AB1638" s="2">
        <v>2</v>
      </c>
      <c r="AC1638" s="3" t="s">
        <v>1513</v>
      </c>
      <c r="AF1638" s="2">
        <v>23</v>
      </c>
      <c r="AG1638" s="2">
        <v>1</v>
      </c>
      <c r="AH1638" s="3" t="s">
        <v>1519</v>
      </c>
      <c r="AI1638" s="4">
        <v>44662</v>
      </c>
      <c r="AJ1638" s="3" t="s">
        <v>1735</v>
      </c>
      <c r="AK1638" s="3" t="s">
        <v>38</v>
      </c>
    </row>
    <row r="1639" spans="1:37" hidden="1" x14ac:dyDescent="0.25">
      <c r="A1639" t="str">
        <f t="shared" si="25"/>
        <v>2022_SA_Warnertown_Lentil_SatelliteTOS1VarietyBoltWaterTrtRainFedAgronomyDensity_0.66</v>
      </c>
      <c r="B1639" s="2">
        <v>2022018</v>
      </c>
      <c r="C1639" s="3" t="s">
        <v>1712</v>
      </c>
      <c r="D1639" s="3" t="s">
        <v>38</v>
      </c>
      <c r="F1639" s="3" t="s">
        <v>4187</v>
      </c>
      <c r="G1639" s="3" t="s">
        <v>39</v>
      </c>
      <c r="H1639" s="3" t="s">
        <v>253</v>
      </c>
      <c r="I1639" s="2">
        <v>24</v>
      </c>
      <c r="J1639" s="2">
        <v>24</v>
      </c>
      <c r="K1639" s="2">
        <v>2</v>
      </c>
      <c r="O1639" s="2">
        <v>4</v>
      </c>
      <c r="U1639" s="2">
        <v>3</v>
      </c>
      <c r="V1639" s="2">
        <v>12</v>
      </c>
      <c r="W1639" s="2">
        <v>3</v>
      </c>
      <c r="X1639" s="2">
        <v>8</v>
      </c>
      <c r="Z1639" s="2">
        <v>22</v>
      </c>
      <c r="AA1639" s="3" t="s">
        <v>40</v>
      </c>
      <c r="AB1639" s="2">
        <v>5</v>
      </c>
      <c r="AC1639" s="3" t="s">
        <v>1511</v>
      </c>
      <c r="AF1639" s="2">
        <v>23</v>
      </c>
      <c r="AG1639" s="2">
        <v>1</v>
      </c>
      <c r="AH1639" s="3" t="s">
        <v>1519</v>
      </c>
      <c r="AI1639" s="4">
        <v>44662</v>
      </c>
      <c r="AJ1639" s="3" t="s">
        <v>1736</v>
      </c>
      <c r="AK1639" s="3" t="s">
        <v>38</v>
      </c>
    </row>
    <row r="1640" spans="1:37" hidden="1" x14ac:dyDescent="0.25">
      <c r="A1640" t="str">
        <f t="shared" si="25"/>
        <v>2022_SA_Warnertown_Lentil_SatelliteTOS1VarietyKelpieXTWaterTrtRainFedAgronomyDensity_1</v>
      </c>
      <c r="B1640" s="2">
        <v>2022018</v>
      </c>
      <c r="C1640" s="3" t="s">
        <v>1712</v>
      </c>
      <c r="D1640" s="3" t="s">
        <v>38</v>
      </c>
      <c r="F1640" s="3" t="s">
        <v>4188</v>
      </c>
      <c r="G1640" s="3" t="s">
        <v>43</v>
      </c>
      <c r="H1640" s="3" t="s">
        <v>253</v>
      </c>
      <c r="I1640" s="2">
        <v>25</v>
      </c>
      <c r="J1640" s="2">
        <v>25</v>
      </c>
      <c r="K1640" s="2">
        <v>3</v>
      </c>
      <c r="O1640" s="2">
        <v>5</v>
      </c>
      <c r="U1640" s="2">
        <v>1</v>
      </c>
      <c r="V1640" s="2">
        <v>14</v>
      </c>
      <c r="W1640" s="2">
        <v>1</v>
      </c>
      <c r="X1640" s="2">
        <v>9</v>
      </c>
      <c r="Z1640" s="2">
        <v>25</v>
      </c>
      <c r="AA1640" s="3" t="s">
        <v>40</v>
      </c>
      <c r="AB1640" s="2">
        <v>4</v>
      </c>
      <c r="AC1640" s="3" t="s">
        <v>1513</v>
      </c>
      <c r="AF1640" s="2">
        <v>23</v>
      </c>
      <c r="AG1640" s="2">
        <v>1</v>
      </c>
      <c r="AH1640" s="3" t="s">
        <v>1519</v>
      </c>
      <c r="AI1640" s="4">
        <v>44662</v>
      </c>
      <c r="AJ1640" s="3" t="s">
        <v>1737</v>
      </c>
      <c r="AK1640" s="3" t="s">
        <v>38</v>
      </c>
    </row>
    <row r="1641" spans="1:37" hidden="1" x14ac:dyDescent="0.25">
      <c r="A1641" t="str">
        <f t="shared" si="25"/>
        <v>2022_SA_Warnertown_Lentil_SatelliteTOS1VarietyHallmarkXTWaterTrtRainFedAgronomyDensity_1</v>
      </c>
      <c r="B1641" s="2">
        <v>2022018</v>
      </c>
      <c r="C1641" s="3" t="s">
        <v>1712</v>
      </c>
      <c r="D1641" s="3" t="s">
        <v>38</v>
      </c>
      <c r="F1641" s="3" t="s">
        <v>4189</v>
      </c>
      <c r="G1641" s="3" t="s">
        <v>39</v>
      </c>
      <c r="H1641" s="3" t="s">
        <v>253</v>
      </c>
      <c r="I1641" s="2">
        <v>26</v>
      </c>
      <c r="J1641" s="2">
        <v>26</v>
      </c>
      <c r="K1641" s="2">
        <v>3</v>
      </c>
      <c r="O1641" s="2">
        <v>5</v>
      </c>
      <c r="U1641" s="2">
        <v>2</v>
      </c>
      <c r="V1641" s="2">
        <v>14</v>
      </c>
      <c r="W1641" s="2">
        <v>2</v>
      </c>
      <c r="X1641" s="2">
        <v>9</v>
      </c>
      <c r="Z1641" s="2">
        <v>26</v>
      </c>
      <c r="AA1641" s="3" t="s">
        <v>40</v>
      </c>
      <c r="AB1641" s="2">
        <v>1</v>
      </c>
      <c r="AC1641" s="3" t="s">
        <v>1513</v>
      </c>
      <c r="AF1641" s="2">
        <v>23</v>
      </c>
      <c r="AG1641" s="2">
        <v>1</v>
      </c>
      <c r="AH1641" s="3" t="s">
        <v>1519</v>
      </c>
      <c r="AI1641" s="4">
        <v>44662</v>
      </c>
      <c r="AJ1641" s="3" t="s">
        <v>1738</v>
      </c>
      <c r="AK1641" s="3" t="s">
        <v>38</v>
      </c>
    </row>
    <row r="1642" spans="1:37" hidden="1" x14ac:dyDescent="0.25">
      <c r="A1642" t="str">
        <f t="shared" si="25"/>
        <v>2022_SA_Warnertown_Lentil_SatelliteTOS1VarietyBoltWaterTrtRainFedAgronomyDensity_1</v>
      </c>
      <c r="B1642" s="2">
        <v>2022018</v>
      </c>
      <c r="C1642" s="3" t="s">
        <v>1712</v>
      </c>
      <c r="D1642" s="3" t="s">
        <v>38</v>
      </c>
      <c r="F1642" s="3" t="s">
        <v>4187</v>
      </c>
      <c r="G1642" s="3" t="s">
        <v>39</v>
      </c>
      <c r="H1642" s="3" t="s">
        <v>253</v>
      </c>
      <c r="I1642" s="2">
        <v>27</v>
      </c>
      <c r="J1642" s="2">
        <v>27</v>
      </c>
      <c r="K1642" s="2">
        <v>3</v>
      </c>
      <c r="O1642" s="2">
        <v>5</v>
      </c>
      <c r="U1642" s="2">
        <v>3</v>
      </c>
      <c r="V1642" s="2">
        <v>14</v>
      </c>
      <c r="W1642" s="2">
        <v>3</v>
      </c>
      <c r="X1642" s="2">
        <v>9</v>
      </c>
      <c r="Z1642" s="2">
        <v>27</v>
      </c>
      <c r="AA1642" s="3" t="s">
        <v>40</v>
      </c>
      <c r="AB1642" s="2">
        <v>2</v>
      </c>
      <c r="AC1642" s="3" t="s">
        <v>1513</v>
      </c>
      <c r="AF1642" s="2">
        <v>23</v>
      </c>
      <c r="AG1642" s="2">
        <v>1</v>
      </c>
      <c r="AH1642" s="3" t="s">
        <v>1519</v>
      </c>
      <c r="AI1642" s="4">
        <v>44662</v>
      </c>
      <c r="AJ1642" s="3" t="s">
        <v>1739</v>
      </c>
      <c r="AK1642" s="3" t="s">
        <v>38</v>
      </c>
    </row>
    <row r="1643" spans="1:37" hidden="1" x14ac:dyDescent="0.25">
      <c r="A1643" t="str">
        <f t="shared" si="25"/>
        <v>2022_SA_Warnertown_Lentil_SatelliteTOS1VarietyJumbo2WaterTrtRainFedAgronomyDensity_0.66</v>
      </c>
      <c r="B1643" s="2">
        <v>2022018</v>
      </c>
      <c r="C1643" s="3" t="s">
        <v>1712</v>
      </c>
      <c r="D1643" s="3" t="s">
        <v>38</v>
      </c>
      <c r="F1643" s="3" t="s">
        <v>4176</v>
      </c>
      <c r="G1643" s="3" t="s">
        <v>43</v>
      </c>
      <c r="H1643" s="3" t="s">
        <v>253</v>
      </c>
      <c r="I1643" s="2">
        <v>28</v>
      </c>
      <c r="J1643" s="2">
        <v>28</v>
      </c>
      <c r="K1643" s="2">
        <v>3</v>
      </c>
      <c r="O1643" s="2">
        <v>5</v>
      </c>
      <c r="U1643" s="2">
        <v>1</v>
      </c>
      <c r="V1643" s="2">
        <v>15</v>
      </c>
      <c r="W1643" s="2">
        <v>1</v>
      </c>
      <c r="X1643" s="2">
        <v>10</v>
      </c>
      <c r="Z1643" s="2">
        <v>30</v>
      </c>
      <c r="AA1643" s="3" t="s">
        <v>40</v>
      </c>
      <c r="AB1643" s="2">
        <v>6</v>
      </c>
      <c r="AC1643" s="3" t="s">
        <v>1511</v>
      </c>
      <c r="AF1643" s="2">
        <v>23</v>
      </c>
      <c r="AG1643" s="2">
        <v>1</v>
      </c>
      <c r="AH1643" s="3" t="s">
        <v>1519</v>
      </c>
      <c r="AI1643" s="4">
        <v>44662</v>
      </c>
      <c r="AJ1643" s="3" t="s">
        <v>1740</v>
      </c>
      <c r="AK1643" s="3" t="s">
        <v>38</v>
      </c>
    </row>
    <row r="1644" spans="1:37" hidden="1" x14ac:dyDescent="0.25">
      <c r="A1644" t="str">
        <f t="shared" si="25"/>
        <v>2022_SA_Warnertown_Lentil_SatelliteTOS1VarietyBoltWaterTrtRainFedAgronomyDensity_0.66</v>
      </c>
      <c r="B1644" s="2">
        <v>2022018</v>
      </c>
      <c r="C1644" s="3" t="s">
        <v>1712</v>
      </c>
      <c r="D1644" s="3" t="s">
        <v>38</v>
      </c>
      <c r="F1644" s="3" t="s">
        <v>4187</v>
      </c>
      <c r="G1644" s="3" t="s">
        <v>39</v>
      </c>
      <c r="H1644" s="3" t="s">
        <v>253</v>
      </c>
      <c r="I1644" s="2">
        <v>29</v>
      </c>
      <c r="J1644" s="2">
        <v>29</v>
      </c>
      <c r="K1644" s="2">
        <v>3</v>
      </c>
      <c r="O1644" s="2">
        <v>5</v>
      </c>
      <c r="U1644" s="2">
        <v>2</v>
      </c>
      <c r="V1644" s="2">
        <v>15</v>
      </c>
      <c r="W1644" s="2">
        <v>2</v>
      </c>
      <c r="X1644" s="2">
        <v>10</v>
      </c>
      <c r="Z1644" s="2">
        <v>29</v>
      </c>
      <c r="AA1644" s="3" t="s">
        <v>40</v>
      </c>
      <c r="AB1644" s="2">
        <v>5</v>
      </c>
      <c r="AC1644" s="3" t="s">
        <v>1511</v>
      </c>
      <c r="AF1644" s="2">
        <v>23</v>
      </c>
      <c r="AG1644" s="2">
        <v>1</v>
      </c>
      <c r="AH1644" s="3" t="s">
        <v>1519</v>
      </c>
      <c r="AI1644" s="4">
        <v>44662</v>
      </c>
      <c r="AJ1644" s="3" t="s">
        <v>1741</v>
      </c>
      <c r="AK1644" s="3" t="s">
        <v>38</v>
      </c>
    </row>
    <row r="1645" spans="1:37" hidden="1" x14ac:dyDescent="0.25">
      <c r="A1645" t="str">
        <f t="shared" si="25"/>
        <v>2022_SA_Warnertown_Lentil_SatelliteTOS1VarietyJumbo2WaterTrtRainFedAgronomyDensity_1</v>
      </c>
      <c r="B1645" s="2">
        <v>2022018</v>
      </c>
      <c r="C1645" s="3" t="s">
        <v>1712</v>
      </c>
      <c r="D1645" s="3" t="s">
        <v>38</v>
      </c>
      <c r="F1645" s="3" t="s">
        <v>4176</v>
      </c>
      <c r="G1645" s="3" t="s">
        <v>43</v>
      </c>
      <c r="H1645" s="3" t="s">
        <v>253</v>
      </c>
      <c r="I1645" s="2">
        <v>30</v>
      </c>
      <c r="J1645" s="2">
        <v>30</v>
      </c>
      <c r="K1645" s="2">
        <v>3</v>
      </c>
      <c r="O1645" s="2">
        <v>5</v>
      </c>
      <c r="U1645" s="2">
        <v>3</v>
      </c>
      <c r="V1645" s="2">
        <v>15</v>
      </c>
      <c r="W1645" s="2">
        <v>3</v>
      </c>
      <c r="X1645" s="2">
        <v>10</v>
      </c>
      <c r="Z1645" s="2">
        <v>28</v>
      </c>
      <c r="AA1645" s="3" t="s">
        <v>40</v>
      </c>
      <c r="AB1645" s="2">
        <v>3</v>
      </c>
      <c r="AC1645" s="3" t="s">
        <v>1513</v>
      </c>
      <c r="AF1645" s="2">
        <v>23</v>
      </c>
      <c r="AG1645" s="2">
        <v>1</v>
      </c>
      <c r="AH1645" s="3" t="s">
        <v>1519</v>
      </c>
      <c r="AI1645" s="4">
        <v>44662</v>
      </c>
      <c r="AJ1645" s="3" t="s">
        <v>1742</v>
      </c>
      <c r="AK1645" s="3" t="s">
        <v>38</v>
      </c>
    </row>
    <row r="1646" spans="1:37" hidden="1" x14ac:dyDescent="0.25">
      <c r="A1646" t="str">
        <f t="shared" si="25"/>
        <v>2022_SA_Warnertown_Lentil_SatelliteTOS2VarietyBoltWaterTrtRainFedAgronomyDensity_1</v>
      </c>
      <c r="B1646" s="2">
        <v>2022018</v>
      </c>
      <c r="C1646" s="3" t="s">
        <v>1712</v>
      </c>
      <c r="D1646" s="3" t="s">
        <v>38</v>
      </c>
      <c r="F1646" s="3" t="s">
        <v>4187</v>
      </c>
      <c r="G1646" s="3" t="s">
        <v>39</v>
      </c>
      <c r="H1646" s="3" t="s">
        <v>253</v>
      </c>
      <c r="I1646" s="2">
        <v>31</v>
      </c>
      <c r="J1646" s="2">
        <v>31</v>
      </c>
      <c r="K1646" s="2">
        <v>3</v>
      </c>
      <c r="O1646" s="2">
        <v>6</v>
      </c>
      <c r="U1646" s="2">
        <v>1</v>
      </c>
      <c r="V1646" s="2">
        <v>17</v>
      </c>
      <c r="W1646" s="2">
        <v>1</v>
      </c>
      <c r="X1646" s="2">
        <v>11</v>
      </c>
      <c r="Z1646" s="2">
        <v>31</v>
      </c>
      <c r="AA1646" s="3" t="s">
        <v>40</v>
      </c>
      <c r="AB1646" s="2">
        <v>2</v>
      </c>
      <c r="AC1646" s="3" t="s">
        <v>1513</v>
      </c>
      <c r="AF1646" s="2">
        <v>23</v>
      </c>
      <c r="AG1646" s="2">
        <v>2</v>
      </c>
      <c r="AH1646" s="3" t="s">
        <v>523</v>
      </c>
      <c r="AI1646" s="4">
        <v>44692</v>
      </c>
      <c r="AJ1646" s="3" t="s">
        <v>1743</v>
      </c>
      <c r="AK1646" s="3" t="s">
        <v>38</v>
      </c>
    </row>
    <row r="1647" spans="1:37" hidden="1" x14ac:dyDescent="0.25">
      <c r="A1647" t="str">
        <f t="shared" si="25"/>
        <v>2022_SA_Warnertown_Lentil_SatelliteTOS2VarietyJumbo2WaterTrtRainFedAgronomyDensity_0.66</v>
      </c>
      <c r="B1647" s="2">
        <v>2022018</v>
      </c>
      <c r="C1647" s="3" t="s">
        <v>1712</v>
      </c>
      <c r="D1647" s="3" t="s">
        <v>38</v>
      </c>
      <c r="F1647" s="3" t="s">
        <v>4176</v>
      </c>
      <c r="G1647" s="3" t="s">
        <v>43</v>
      </c>
      <c r="H1647" s="3" t="s">
        <v>253</v>
      </c>
      <c r="I1647" s="2">
        <v>32</v>
      </c>
      <c r="J1647" s="2">
        <v>32</v>
      </c>
      <c r="K1647" s="2">
        <v>3</v>
      </c>
      <c r="O1647" s="2">
        <v>6</v>
      </c>
      <c r="U1647" s="2">
        <v>2</v>
      </c>
      <c r="V1647" s="2">
        <v>17</v>
      </c>
      <c r="W1647" s="2">
        <v>2</v>
      </c>
      <c r="X1647" s="2">
        <v>11</v>
      </c>
      <c r="Z1647" s="2">
        <v>32</v>
      </c>
      <c r="AA1647" s="3" t="s">
        <v>40</v>
      </c>
      <c r="AB1647" s="2">
        <v>6</v>
      </c>
      <c r="AC1647" s="3" t="s">
        <v>1511</v>
      </c>
      <c r="AF1647" s="2">
        <v>23</v>
      </c>
      <c r="AG1647" s="2">
        <v>2</v>
      </c>
      <c r="AH1647" s="3" t="s">
        <v>523</v>
      </c>
      <c r="AI1647" s="4">
        <v>44692</v>
      </c>
      <c r="AJ1647" s="3" t="s">
        <v>1744</v>
      </c>
      <c r="AK1647" s="3" t="s">
        <v>38</v>
      </c>
    </row>
    <row r="1648" spans="1:37" hidden="1" x14ac:dyDescent="0.25">
      <c r="A1648" t="str">
        <f t="shared" si="25"/>
        <v>2022_SA_Warnertown_Lentil_SatelliteTOS2VarietyHallmarkXTWaterTrtRainFedAgronomyDensity_1</v>
      </c>
      <c r="B1648" s="2">
        <v>2022018</v>
      </c>
      <c r="C1648" s="3" t="s">
        <v>1712</v>
      </c>
      <c r="D1648" s="3" t="s">
        <v>38</v>
      </c>
      <c r="F1648" s="3" t="s">
        <v>4189</v>
      </c>
      <c r="G1648" s="3" t="s">
        <v>39</v>
      </c>
      <c r="H1648" s="3" t="s">
        <v>253</v>
      </c>
      <c r="I1648" s="2">
        <v>33</v>
      </c>
      <c r="J1648" s="2">
        <v>33</v>
      </c>
      <c r="K1648" s="2">
        <v>3</v>
      </c>
      <c r="O1648" s="2">
        <v>6</v>
      </c>
      <c r="U1648" s="2">
        <v>3</v>
      </c>
      <c r="V1648" s="2">
        <v>17</v>
      </c>
      <c r="W1648" s="2">
        <v>3</v>
      </c>
      <c r="X1648" s="2">
        <v>11</v>
      </c>
      <c r="Z1648" s="2">
        <v>33</v>
      </c>
      <c r="AA1648" s="3" t="s">
        <v>40</v>
      </c>
      <c r="AB1648" s="2">
        <v>1</v>
      </c>
      <c r="AC1648" s="3" t="s">
        <v>1513</v>
      </c>
      <c r="AF1648" s="2">
        <v>23</v>
      </c>
      <c r="AG1648" s="2">
        <v>2</v>
      </c>
      <c r="AH1648" s="3" t="s">
        <v>523</v>
      </c>
      <c r="AI1648" s="4">
        <v>44692</v>
      </c>
      <c r="AJ1648" s="3" t="s">
        <v>1745</v>
      </c>
      <c r="AK1648" s="3" t="s">
        <v>38</v>
      </c>
    </row>
    <row r="1649" spans="1:37" hidden="1" x14ac:dyDescent="0.25">
      <c r="A1649" t="str">
        <f t="shared" si="25"/>
        <v>2022_SA_Warnertown_Lentil_SatelliteTOS2VarietyKelpieXTWaterTrtRainFedAgronomyDensity_1</v>
      </c>
      <c r="B1649" s="2">
        <v>2022018</v>
      </c>
      <c r="C1649" s="3" t="s">
        <v>1712</v>
      </c>
      <c r="D1649" s="3" t="s">
        <v>38</v>
      </c>
      <c r="F1649" s="3" t="s">
        <v>4188</v>
      </c>
      <c r="G1649" s="3" t="s">
        <v>43</v>
      </c>
      <c r="H1649" s="3" t="s">
        <v>253</v>
      </c>
      <c r="I1649" s="2">
        <v>34</v>
      </c>
      <c r="J1649" s="2">
        <v>34</v>
      </c>
      <c r="K1649" s="2">
        <v>3</v>
      </c>
      <c r="O1649" s="2">
        <v>6</v>
      </c>
      <c r="U1649" s="2">
        <v>1</v>
      </c>
      <c r="V1649" s="2">
        <v>18</v>
      </c>
      <c r="W1649" s="2">
        <v>1</v>
      </c>
      <c r="X1649" s="2">
        <v>12</v>
      </c>
      <c r="Z1649" s="2">
        <v>36</v>
      </c>
      <c r="AA1649" s="3" t="s">
        <v>40</v>
      </c>
      <c r="AB1649" s="2">
        <v>4</v>
      </c>
      <c r="AC1649" s="3" t="s">
        <v>1513</v>
      </c>
      <c r="AF1649" s="2">
        <v>23</v>
      </c>
      <c r="AG1649" s="2">
        <v>2</v>
      </c>
      <c r="AH1649" s="3" t="s">
        <v>523</v>
      </c>
      <c r="AI1649" s="4">
        <v>44692</v>
      </c>
      <c r="AJ1649" s="3" t="s">
        <v>1746</v>
      </c>
      <c r="AK1649" s="3" t="s">
        <v>38</v>
      </c>
    </row>
    <row r="1650" spans="1:37" hidden="1" x14ac:dyDescent="0.25">
      <c r="A1650" t="str">
        <f t="shared" si="25"/>
        <v>2022_SA_Warnertown_Lentil_SatelliteTOS2VarietyJumbo2WaterTrtRainFedAgronomyDensity_1</v>
      </c>
      <c r="B1650" s="2">
        <v>2022018</v>
      </c>
      <c r="C1650" s="3" t="s">
        <v>1712</v>
      </c>
      <c r="D1650" s="3" t="s">
        <v>38</v>
      </c>
      <c r="F1650" s="3" t="s">
        <v>4176</v>
      </c>
      <c r="G1650" s="3" t="s">
        <v>43</v>
      </c>
      <c r="H1650" s="3" t="s">
        <v>253</v>
      </c>
      <c r="I1650" s="2">
        <v>35</v>
      </c>
      <c r="J1650" s="2">
        <v>35</v>
      </c>
      <c r="K1650" s="2">
        <v>3</v>
      </c>
      <c r="O1650" s="2">
        <v>6</v>
      </c>
      <c r="U1650" s="2">
        <v>2</v>
      </c>
      <c r="V1650" s="2">
        <v>18</v>
      </c>
      <c r="W1650" s="2">
        <v>2</v>
      </c>
      <c r="X1650" s="2">
        <v>12</v>
      </c>
      <c r="Z1650" s="2">
        <v>35</v>
      </c>
      <c r="AA1650" s="3" t="s">
        <v>40</v>
      </c>
      <c r="AB1650" s="2">
        <v>3</v>
      </c>
      <c r="AC1650" s="3" t="s">
        <v>1513</v>
      </c>
      <c r="AF1650" s="2">
        <v>23</v>
      </c>
      <c r="AG1650" s="2">
        <v>2</v>
      </c>
      <c r="AH1650" s="3" t="s">
        <v>523</v>
      </c>
      <c r="AI1650" s="4">
        <v>44692</v>
      </c>
      <c r="AJ1650" s="3" t="s">
        <v>1747</v>
      </c>
      <c r="AK1650" s="3" t="s">
        <v>38</v>
      </c>
    </row>
    <row r="1651" spans="1:37" hidden="1" x14ac:dyDescent="0.25">
      <c r="A1651" t="str">
        <f t="shared" si="25"/>
        <v>2022_SA_Warnertown_Lentil_SatelliteTOS2VarietyBoltWaterTrtRainFedAgronomyDensity_0.66</v>
      </c>
      <c r="B1651" s="2">
        <v>2022018</v>
      </c>
      <c r="C1651" s="3" t="s">
        <v>1712</v>
      </c>
      <c r="D1651" s="3" t="s">
        <v>38</v>
      </c>
      <c r="F1651" s="3" t="s">
        <v>4187</v>
      </c>
      <c r="G1651" s="3" t="s">
        <v>39</v>
      </c>
      <c r="H1651" s="3" t="s">
        <v>253</v>
      </c>
      <c r="I1651" s="2">
        <v>36</v>
      </c>
      <c r="J1651" s="2">
        <v>36</v>
      </c>
      <c r="K1651" s="2">
        <v>3</v>
      </c>
      <c r="O1651" s="2">
        <v>6</v>
      </c>
      <c r="U1651" s="2">
        <v>3</v>
      </c>
      <c r="V1651" s="2">
        <v>18</v>
      </c>
      <c r="W1651" s="2">
        <v>3</v>
      </c>
      <c r="X1651" s="2">
        <v>12</v>
      </c>
      <c r="Z1651" s="2">
        <v>34</v>
      </c>
      <c r="AA1651" s="3" t="s">
        <v>40</v>
      </c>
      <c r="AB1651" s="2">
        <v>5</v>
      </c>
      <c r="AC1651" s="3" t="s">
        <v>1511</v>
      </c>
      <c r="AF1651" s="2">
        <v>23</v>
      </c>
      <c r="AG1651" s="2">
        <v>2</v>
      </c>
      <c r="AH1651" s="3" t="s">
        <v>523</v>
      </c>
      <c r="AI1651" s="4">
        <v>44692</v>
      </c>
      <c r="AJ1651" s="3" t="s">
        <v>1748</v>
      </c>
      <c r="AK1651" s="3" t="s">
        <v>38</v>
      </c>
    </row>
    <row r="1652" spans="1:37" hidden="1" x14ac:dyDescent="0.25">
      <c r="A1652" t="str">
        <f t="shared" si="25"/>
        <v>2022_SA_Warnertown_Lentil_SatelliteTOS1VarietyHallmarkXTWaterTrtRainFedAgronomyDensity_1</v>
      </c>
      <c r="B1652" s="2">
        <v>2022018</v>
      </c>
      <c r="C1652" s="3" t="s">
        <v>1712</v>
      </c>
      <c r="D1652" s="3" t="s">
        <v>38</v>
      </c>
      <c r="F1652" s="3" t="s">
        <v>4189</v>
      </c>
      <c r="G1652" s="3" t="s">
        <v>39</v>
      </c>
      <c r="H1652" s="3" t="s">
        <v>253</v>
      </c>
      <c r="I1652" s="2">
        <v>37</v>
      </c>
      <c r="J1652" s="2">
        <v>37</v>
      </c>
      <c r="K1652" s="2">
        <v>4</v>
      </c>
      <c r="O1652" s="2">
        <v>7</v>
      </c>
      <c r="U1652" s="2">
        <v>1</v>
      </c>
      <c r="V1652" s="2">
        <v>20</v>
      </c>
      <c r="W1652" s="2">
        <v>1</v>
      </c>
      <c r="X1652" s="2">
        <v>13</v>
      </c>
      <c r="Z1652" s="2">
        <v>37</v>
      </c>
      <c r="AA1652" s="3" t="s">
        <v>40</v>
      </c>
      <c r="AB1652" s="2">
        <v>1</v>
      </c>
      <c r="AC1652" s="3" t="s">
        <v>1513</v>
      </c>
      <c r="AF1652" s="2">
        <v>23</v>
      </c>
      <c r="AG1652" s="2">
        <v>1</v>
      </c>
      <c r="AH1652" s="3" t="s">
        <v>1519</v>
      </c>
      <c r="AI1652" s="4">
        <v>44662</v>
      </c>
      <c r="AJ1652" s="3" t="s">
        <v>1749</v>
      </c>
      <c r="AK1652" s="3" t="s">
        <v>38</v>
      </c>
    </row>
    <row r="1653" spans="1:37" hidden="1" x14ac:dyDescent="0.25">
      <c r="A1653" t="str">
        <f t="shared" si="25"/>
        <v>2022_SA_Warnertown_Lentil_SatelliteTOS1VarietyJumbo2WaterTrtRainFedAgronomyDensity_0.66</v>
      </c>
      <c r="B1653" s="2">
        <v>2022018</v>
      </c>
      <c r="C1653" s="3" t="s">
        <v>1712</v>
      </c>
      <c r="D1653" s="3" t="s">
        <v>38</v>
      </c>
      <c r="F1653" s="3" t="s">
        <v>4176</v>
      </c>
      <c r="G1653" s="3" t="s">
        <v>43</v>
      </c>
      <c r="H1653" s="3" t="s">
        <v>253</v>
      </c>
      <c r="I1653" s="2">
        <v>38</v>
      </c>
      <c r="J1653" s="2">
        <v>38</v>
      </c>
      <c r="K1653" s="2">
        <v>4</v>
      </c>
      <c r="O1653" s="2">
        <v>7</v>
      </c>
      <c r="U1653" s="2">
        <v>2</v>
      </c>
      <c r="V1653" s="2">
        <v>20</v>
      </c>
      <c r="W1653" s="2">
        <v>2</v>
      </c>
      <c r="X1653" s="2">
        <v>13</v>
      </c>
      <c r="Z1653" s="2">
        <v>38</v>
      </c>
      <c r="AA1653" s="3" t="s">
        <v>40</v>
      </c>
      <c r="AB1653" s="2">
        <v>6</v>
      </c>
      <c r="AC1653" s="3" t="s">
        <v>1511</v>
      </c>
      <c r="AF1653" s="2">
        <v>23</v>
      </c>
      <c r="AG1653" s="2">
        <v>1</v>
      </c>
      <c r="AH1653" s="3" t="s">
        <v>1519</v>
      </c>
      <c r="AI1653" s="4">
        <v>44662</v>
      </c>
      <c r="AJ1653" s="3" t="s">
        <v>1750</v>
      </c>
      <c r="AK1653" s="3" t="s">
        <v>38</v>
      </c>
    </row>
    <row r="1654" spans="1:37" hidden="1" x14ac:dyDescent="0.25">
      <c r="A1654" t="str">
        <f t="shared" si="25"/>
        <v>2022_SA_Warnertown_Lentil_SatelliteTOS1VarietyKelpieXTWaterTrtRainFedAgronomyDensity_1</v>
      </c>
      <c r="B1654" s="2">
        <v>2022018</v>
      </c>
      <c r="C1654" s="3" t="s">
        <v>1712</v>
      </c>
      <c r="D1654" s="3" t="s">
        <v>38</v>
      </c>
      <c r="F1654" s="3" t="s">
        <v>4188</v>
      </c>
      <c r="G1654" s="3" t="s">
        <v>43</v>
      </c>
      <c r="H1654" s="3" t="s">
        <v>253</v>
      </c>
      <c r="I1654" s="2">
        <v>39</v>
      </c>
      <c r="J1654" s="2">
        <v>39</v>
      </c>
      <c r="K1654" s="2">
        <v>4</v>
      </c>
      <c r="O1654" s="2">
        <v>7</v>
      </c>
      <c r="U1654" s="2">
        <v>3</v>
      </c>
      <c r="V1654" s="2">
        <v>20</v>
      </c>
      <c r="W1654" s="2">
        <v>3</v>
      </c>
      <c r="X1654" s="2">
        <v>13</v>
      </c>
      <c r="Z1654" s="2">
        <v>39</v>
      </c>
      <c r="AA1654" s="3" t="s">
        <v>40</v>
      </c>
      <c r="AB1654" s="2">
        <v>4</v>
      </c>
      <c r="AC1654" s="3" t="s">
        <v>1513</v>
      </c>
      <c r="AF1654" s="2">
        <v>23</v>
      </c>
      <c r="AG1654" s="2">
        <v>1</v>
      </c>
      <c r="AH1654" s="3" t="s">
        <v>1519</v>
      </c>
      <c r="AI1654" s="4">
        <v>44662</v>
      </c>
      <c r="AJ1654" s="3" t="s">
        <v>1751</v>
      </c>
      <c r="AK1654" s="3" t="s">
        <v>38</v>
      </c>
    </row>
    <row r="1655" spans="1:37" hidden="1" x14ac:dyDescent="0.25">
      <c r="A1655" t="str">
        <f t="shared" si="25"/>
        <v>2022_SA_Warnertown_Lentil_SatelliteTOS1VarietyBoltWaterTrtRainFedAgronomyDensity_1</v>
      </c>
      <c r="B1655" s="2">
        <v>2022018</v>
      </c>
      <c r="C1655" s="3" t="s">
        <v>1712</v>
      </c>
      <c r="D1655" s="3" t="s">
        <v>38</v>
      </c>
      <c r="F1655" s="3" t="s">
        <v>4187</v>
      </c>
      <c r="G1655" s="3" t="s">
        <v>39</v>
      </c>
      <c r="H1655" s="3" t="s">
        <v>253</v>
      </c>
      <c r="I1655" s="2">
        <v>40</v>
      </c>
      <c r="J1655" s="2">
        <v>40</v>
      </c>
      <c r="K1655" s="2">
        <v>4</v>
      </c>
      <c r="O1655" s="2">
        <v>7</v>
      </c>
      <c r="U1655" s="2">
        <v>1</v>
      </c>
      <c r="V1655" s="2">
        <v>21</v>
      </c>
      <c r="W1655" s="2">
        <v>1</v>
      </c>
      <c r="X1655" s="2">
        <v>14</v>
      </c>
      <c r="Z1655" s="2">
        <v>42</v>
      </c>
      <c r="AA1655" s="3" t="s">
        <v>40</v>
      </c>
      <c r="AB1655" s="2">
        <v>2</v>
      </c>
      <c r="AC1655" s="3" t="s">
        <v>1513</v>
      </c>
      <c r="AF1655" s="2">
        <v>23</v>
      </c>
      <c r="AG1655" s="2">
        <v>1</v>
      </c>
      <c r="AH1655" s="3" t="s">
        <v>1519</v>
      </c>
      <c r="AI1655" s="4">
        <v>44662</v>
      </c>
      <c r="AJ1655" s="3" t="s">
        <v>1752</v>
      </c>
      <c r="AK1655" s="3" t="s">
        <v>38</v>
      </c>
    </row>
    <row r="1656" spans="1:37" hidden="1" x14ac:dyDescent="0.25">
      <c r="A1656" t="str">
        <f t="shared" si="25"/>
        <v>2022_SA_Warnertown_Lentil_SatelliteTOS1VarietyBoltWaterTrtRainFedAgronomyDensity_0.66</v>
      </c>
      <c r="B1656" s="2">
        <v>2022018</v>
      </c>
      <c r="C1656" s="3" t="s">
        <v>1712</v>
      </c>
      <c r="D1656" s="3" t="s">
        <v>38</v>
      </c>
      <c r="F1656" s="3" t="s">
        <v>4187</v>
      </c>
      <c r="G1656" s="3" t="s">
        <v>39</v>
      </c>
      <c r="H1656" s="3" t="s">
        <v>253</v>
      </c>
      <c r="I1656" s="2">
        <v>41</v>
      </c>
      <c r="J1656" s="2">
        <v>41</v>
      </c>
      <c r="K1656" s="2">
        <v>4</v>
      </c>
      <c r="O1656" s="2">
        <v>7</v>
      </c>
      <c r="U1656" s="2">
        <v>2</v>
      </c>
      <c r="V1656" s="2">
        <v>21</v>
      </c>
      <c r="W1656" s="2">
        <v>2</v>
      </c>
      <c r="X1656" s="2">
        <v>14</v>
      </c>
      <c r="Z1656" s="2">
        <v>41</v>
      </c>
      <c r="AA1656" s="3" t="s">
        <v>40</v>
      </c>
      <c r="AB1656" s="2">
        <v>5</v>
      </c>
      <c r="AC1656" s="3" t="s">
        <v>1511</v>
      </c>
      <c r="AF1656" s="2">
        <v>23</v>
      </c>
      <c r="AG1656" s="2">
        <v>1</v>
      </c>
      <c r="AH1656" s="3" t="s">
        <v>1519</v>
      </c>
      <c r="AI1656" s="4">
        <v>44662</v>
      </c>
      <c r="AJ1656" s="3" t="s">
        <v>1753</v>
      </c>
      <c r="AK1656" s="3" t="s">
        <v>38</v>
      </c>
    </row>
    <row r="1657" spans="1:37" hidden="1" x14ac:dyDescent="0.25">
      <c r="A1657" t="str">
        <f t="shared" si="25"/>
        <v>2022_SA_Warnertown_Lentil_SatelliteTOS1VarietyJumbo2WaterTrtRainFedAgronomyDensity_1</v>
      </c>
      <c r="B1657" s="2">
        <v>2022018</v>
      </c>
      <c r="C1657" s="3" t="s">
        <v>1712</v>
      </c>
      <c r="D1657" s="3" t="s">
        <v>38</v>
      </c>
      <c r="F1657" s="3" t="s">
        <v>4176</v>
      </c>
      <c r="G1657" s="3" t="s">
        <v>43</v>
      </c>
      <c r="H1657" s="3" t="s">
        <v>253</v>
      </c>
      <c r="I1657" s="2">
        <v>42</v>
      </c>
      <c r="J1657" s="2">
        <v>42</v>
      </c>
      <c r="K1657" s="2">
        <v>4</v>
      </c>
      <c r="O1657" s="2">
        <v>7</v>
      </c>
      <c r="U1657" s="2">
        <v>3</v>
      </c>
      <c r="V1657" s="2">
        <v>21</v>
      </c>
      <c r="W1657" s="2">
        <v>3</v>
      </c>
      <c r="X1657" s="2">
        <v>14</v>
      </c>
      <c r="Z1657" s="2">
        <v>40</v>
      </c>
      <c r="AA1657" s="3" t="s">
        <v>40</v>
      </c>
      <c r="AB1657" s="2">
        <v>3</v>
      </c>
      <c r="AC1657" s="3" t="s">
        <v>1513</v>
      </c>
      <c r="AF1657" s="2">
        <v>23</v>
      </c>
      <c r="AG1657" s="2">
        <v>1</v>
      </c>
      <c r="AH1657" s="3" t="s">
        <v>1519</v>
      </c>
      <c r="AI1657" s="4">
        <v>44662</v>
      </c>
      <c r="AJ1657" s="3" t="s">
        <v>1754</v>
      </c>
      <c r="AK1657" s="3" t="s">
        <v>38</v>
      </c>
    </row>
    <row r="1658" spans="1:37" hidden="1" x14ac:dyDescent="0.25">
      <c r="A1658" t="str">
        <f t="shared" si="25"/>
        <v>2022_SA_Warnertown_Lentil_SatelliteTOS2VarietyBoltWaterTrtRainFedAgronomyDensity_0.66</v>
      </c>
      <c r="B1658" s="2">
        <v>2022018</v>
      </c>
      <c r="C1658" s="3" t="s">
        <v>1712</v>
      </c>
      <c r="D1658" s="3" t="s">
        <v>38</v>
      </c>
      <c r="F1658" s="3" t="s">
        <v>4187</v>
      </c>
      <c r="G1658" s="3" t="s">
        <v>39</v>
      </c>
      <c r="H1658" s="3" t="s">
        <v>253</v>
      </c>
      <c r="I1658" s="2">
        <v>43</v>
      </c>
      <c r="J1658" s="2">
        <v>43</v>
      </c>
      <c r="K1658" s="2">
        <v>4</v>
      </c>
      <c r="O1658" s="2">
        <v>8</v>
      </c>
      <c r="U1658" s="2">
        <v>1</v>
      </c>
      <c r="V1658" s="2">
        <v>23</v>
      </c>
      <c r="W1658" s="2">
        <v>1</v>
      </c>
      <c r="X1658" s="2">
        <v>15</v>
      </c>
      <c r="Z1658" s="2">
        <v>43</v>
      </c>
      <c r="AA1658" s="3" t="s">
        <v>40</v>
      </c>
      <c r="AB1658" s="2">
        <v>5</v>
      </c>
      <c r="AC1658" s="3" t="s">
        <v>1511</v>
      </c>
      <c r="AF1658" s="2">
        <v>23</v>
      </c>
      <c r="AG1658" s="2">
        <v>2</v>
      </c>
      <c r="AH1658" s="3" t="s">
        <v>523</v>
      </c>
      <c r="AI1658" s="4">
        <v>44692</v>
      </c>
      <c r="AJ1658" s="3" t="s">
        <v>1755</v>
      </c>
      <c r="AK1658" s="3" t="s">
        <v>38</v>
      </c>
    </row>
    <row r="1659" spans="1:37" hidden="1" x14ac:dyDescent="0.25">
      <c r="A1659" t="str">
        <f t="shared" si="25"/>
        <v>2022_SA_Warnertown_Lentil_SatelliteTOS2VarietyBoltWaterTrtRainFedAgronomyDensity_1</v>
      </c>
      <c r="B1659" s="2">
        <v>2022018</v>
      </c>
      <c r="C1659" s="3" t="s">
        <v>1712</v>
      </c>
      <c r="D1659" s="3" t="s">
        <v>38</v>
      </c>
      <c r="F1659" s="3" t="s">
        <v>4187</v>
      </c>
      <c r="G1659" s="3" t="s">
        <v>39</v>
      </c>
      <c r="H1659" s="3" t="s">
        <v>253</v>
      </c>
      <c r="I1659" s="2">
        <v>44</v>
      </c>
      <c r="J1659" s="2">
        <v>44</v>
      </c>
      <c r="K1659" s="2">
        <v>4</v>
      </c>
      <c r="O1659" s="2">
        <v>8</v>
      </c>
      <c r="U1659" s="2">
        <v>2</v>
      </c>
      <c r="V1659" s="2">
        <v>23</v>
      </c>
      <c r="W1659" s="2">
        <v>2</v>
      </c>
      <c r="X1659" s="2">
        <v>15</v>
      </c>
      <c r="Z1659" s="2">
        <v>44</v>
      </c>
      <c r="AA1659" s="3" t="s">
        <v>40</v>
      </c>
      <c r="AB1659" s="2">
        <v>2</v>
      </c>
      <c r="AC1659" s="3" t="s">
        <v>1513</v>
      </c>
      <c r="AF1659" s="2">
        <v>23</v>
      </c>
      <c r="AG1659" s="2">
        <v>2</v>
      </c>
      <c r="AH1659" s="3" t="s">
        <v>523</v>
      </c>
      <c r="AI1659" s="4">
        <v>44692</v>
      </c>
      <c r="AJ1659" s="3" t="s">
        <v>1756</v>
      </c>
      <c r="AK1659" s="3" t="s">
        <v>38</v>
      </c>
    </row>
    <row r="1660" spans="1:37" hidden="1" x14ac:dyDescent="0.25">
      <c r="A1660" t="str">
        <f t="shared" si="25"/>
        <v>2022_SA_Warnertown_Lentil_SatelliteTOS2VarietyKelpieXTWaterTrtRainFedAgronomyDensity_1</v>
      </c>
      <c r="B1660" s="2">
        <v>2022018</v>
      </c>
      <c r="C1660" s="3" t="s">
        <v>1712</v>
      </c>
      <c r="D1660" s="3" t="s">
        <v>38</v>
      </c>
      <c r="F1660" s="3" t="s">
        <v>4188</v>
      </c>
      <c r="G1660" s="3" t="s">
        <v>43</v>
      </c>
      <c r="H1660" s="3" t="s">
        <v>253</v>
      </c>
      <c r="I1660" s="2">
        <v>45</v>
      </c>
      <c r="J1660" s="2">
        <v>45</v>
      </c>
      <c r="K1660" s="2">
        <v>4</v>
      </c>
      <c r="O1660" s="2">
        <v>8</v>
      </c>
      <c r="U1660" s="2">
        <v>3</v>
      </c>
      <c r="V1660" s="2">
        <v>23</v>
      </c>
      <c r="W1660" s="2">
        <v>3</v>
      </c>
      <c r="X1660" s="2">
        <v>15</v>
      </c>
      <c r="Z1660" s="2">
        <v>45</v>
      </c>
      <c r="AA1660" s="3" t="s">
        <v>40</v>
      </c>
      <c r="AB1660" s="2">
        <v>4</v>
      </c>
      <c r="AC1660" s="3" t="s">
        <v>1513</v>
      </c>
      <c r="AF1660" s="2">
        <v>23</v>
      </c>
      <c r="AG1660" s="2">
        <v>2</v>
      </c>
      <c r="AH1660" s="3" t="s">
        <v>523</v>
      </c>
      <c r="AI1660" s="4">
        <v>44692</v>
      </c>
      <c r="AJ1660" s="3" t="s">
        <v>1757</v>
      </c>
      <c r="AK1660" s="3" t="s">
        <v>38</v>
      </c>
    </row>
    <row r="1661" spans="1:37" hidden="1" x14ac:dyDescent="0.25">
      <c r="A1661" t="str">
        <f t="shared" si="25"/>
        <v>2022_SA_Warnertown_Lentil_SatelliteTOS2VarietyJumbo2WaterTrtRainFedAgronomyDensity_0.66</v>
      </c>
      <c r="B1661" s="2">
        <v>2022018</v>
      </c>
      <c r="C1661" s="3" t="s">
        <v>1712</v>
      </c>
      <c r="D1661" s="3" t="s">
        <v>38</v>
      </c>
      <c r="F1661" s="3" t="s">
        <v>4176</v>
      </c>
      <c r="G1661" s="3" t="s">
        <v>43</v>
      </c>
      <c r="H1661" s="3" t="s">
        <v>253</v>
      </c>
      <c r="I1661" s="2">
        <v>46</v>
      </c>
      <c r="J1661" s="2">
        <v>46</v>
      </c>
      <c r="K1661" s="2">
        <v>4</v>
      </c>
      <c r="O1661" s="2">
        <v>8</v>
      </c>
      <c r="U1661" s="2">
        <v>1</v>
      </c>
      <c r="V1661" s="2">
        <v>24</v>
      </c>
      <c r="W1661" s="2">
        <v>1</v>
      </c>
      <c r="X1661" s="2">
        <v>16</v>
      </c>
      <c r="Z1661" s="2">
        <v>48</v>
      </c>
      <c r="AA1661" s="3" t="s">
        <v>40</v>
      </c>
      <c r="AB1661" s="2">
        <v>6</v>
      </c>
      <c r="AC1661" s="3" t="s">
        <v>1511</v>
      </c>
      <c r="AF1661" s="2">
        <v>23</v>
      </c>
      <c r="AG1661" s="2">
        <v>2</v>
      </c>
      <c r="AH1661" s="3" t="s">
        <v>523</v>
      </c>
      <c r="AI1661" s="4">
        <v>44692</v>
      </c>
      <c r="AJ1661" s="3" t="s">
        <v>1758</v>
      </c>
      <c r="AK1661" s="3" t="s">
        <v>38</v>
      </c>
    </row>
    <row r="1662" spans="1:37" hidden="1" x14ac:dyDescent="0.25">
      <c r="A1662" t="str">
        <f t="shared" si="25"/>
        <v>2022_SA_Warnertown_Lentil_SatelliteTOS2VarietyJumbo2WaterTrtRainFedAgronomyDensity_1</v>
      </c>
      <c r="B1662" s="2">
        <v>2022018</v>
      </c>
      <c r="C1662" s="3" t="s">
        <v>1712</v>
      </c>
      <c r="D1662" s="3" t="s">
        <v>38</v>
      </c>
      <c r="F1662" s="3" t="s">
        <v>4176</v>
      </c>
      <c r="G1662" s="3" t="s">
        <v>43</v>
      </c>
      <c r="H1662" s="3" t="s">
        <v>253</v>
      </c>
      <c r="I1662" s="2">
        <v>47</v>
      </c>
      <c r="J1662" s="2">
        <v>47</v>
      </c>
      <c r="K1662" s="2">
        <v>4</v>
      </c>
      <c r="O1662" s="2">
        <v>8</v>
      </c>
      <c r="U1662" s="2">
        <v>2</v>
      </c>
      <c r="V1662" s="2">
        <v>24</v>
      </c>
      <c r="W1662" s="2">
        <v>2</v>
      </c>
      <c r="X1662" s="2">
        <v>16</v>
      </c>
      <c r="Z1662" s="2">
        <v>47</v>
      </c>
      <c r="AA1662" s="3" t="s">
        <v>40</v>
      </c>
      <c r="AB1662" s="2">
        <v>3</v>
      </c>
      <c r="AC1662" s="3" t="s">
        <v>1513</v>
      </c>
      <c r="AF1662" s="2">
        <v>23</v>
      </c>
      <c r="AG1662" s="2">
        <v>2</v>
      </c>
      <c r="AH1662" s="3" t="s">
        <v>523</v>
      </c>
      <c r="AI1662" s="4">
        <v>44692</v>
      </c>
      <c r="AJ1662" s="3" t="s">
        <v>1759</v>
      </c>
      <c r="AK1662" s="3" t="s">
        <v>38</v>
      </c>
    </row>
    <row r="1663" spans="1:37" hidden="1" x14ac:dyDescent="0.25">
      <c r="A1663" t="str">
        <f t="shared" si="25"/>
        <v>2022_SA_Warnertown_Lentil_SatelliteTOS2VarietyHallmarkXTWaterTrtRainFedAgronomyDensity_1</v>
      </c>
      <c r="B1663" s="2">
        <v>2022018</v>
      </c>
      <c r="C1663" s="3" t="s">
        <v>1712</v>
      </c>
      <c r="D1663" s="3" t="s">
        <v>38</v>
      </c>
      <c r="F1663" s="3" t="s">
        <v>4189</v>
      </c>
      <c r="G1663" s="3" t="s">
        <v>39</v>
      </c>
      <c r="H1663" s="3" t="s">
        <v>253</v>
      </c>
      <c r="I1663" s="2">
        <v>48</v>
      </c>
      <c r="J1663" s="2">
        <v>48</v>
      </c>
      <c r="K1663" s="2">
        <v>4</v>
      </c>
      <c r="O1663" s="2">
        <v>8</v>
      </c>
      <c r="U1663" s="2">
        <v>3</v>
      </c>
      <c r="V1663" s="2">
        <v>24</v>
      </c>
      <c r="W1663" s="2">
        <v>3</v>
      </c>
      <c r="X1663" s="2">
        <v>16</v>
      </c>
      <c r="Z1663" s="2">
        <v>46</v>
      </c>
      <c r="AA1663" s="3" t="s">
        <v>40</v>
      </c>
      <c r="AB1663" s="2">
        <v>1</v>
      </c>
      <c r="AC1663" s="3" t="s">
        <v>1513</v>
      </c>
      <c r="AF1663" s="2">
        <v>23</v>
      </c>
      <c r="AG1663" s="2">
        <v>2</v>
      </c>
      <c r="AH1663" s="3" t="s">
        <v>523</v>
      </c>
      <c r="AI1663" s="4">
        <v>44692</v>
      </c>
      <c r="AJ1663" s="3" t="s">
        <v>1760</v>
      </c>
      <c r="AK1663" s="3" t="s">
        <v>38</v>
      </c>
    </row>
    <row r="1664" spans="1:37" hidden="1" x14ac:dyDescent="0.25">
      <c r="A1664" t="str">
        <f t="shared" si="25"/>
        <v>2022_Qld_Gatton_Chickpea_RainoutTOS1VarietySeamerWaterTrtFully_Irrigated</v>
      </c>
      <c r="B1664" s="2">
        <v>2022019</v>
      </c>
      <c r="C1664" s="3" t="s">
        <v>1761</v>
      </c>
      <c r="D1664" s="3" t="s">
        <v>248</v>
      </c>
      <c r="F1664" s="3" t="s">
        <v>4193</v>
      </c>
      <c r="G1664" s="3" t="s">
        <v>39</v>
      </c>
      <c r="H1664" s="3" t="s">
        <v>250</v>
      </c>
      <c r="I1664" s="2">
        <v>1</v>
      </c>
      <c r="J1664" s="2">
        <v>1</v>
      </c>
      <c r="K1664" s="2">
        <v>1</v>
      </c>
      <c r="O1664" s="2">
        <v>1</v>
      </c>
      <c r="U1664" s="2">
        <v>1</v>
      </c>
      <c r="V1664" s="2">
        <v>1</v>
      </c>
      <c r="W1664" s="2">
        <v>1</v>
      </c>
      <c r="X1664" s="2">
        <v>1</v>
      </c>
      <c r="AA1664" s="3" t="s">
        <v>1762</v>
      </c>
      <c r="AB1664" s="2">
        <v>3</v>
      </c>
      <c r="AE1664" s="3" t="s">
        <v>1763</v>
      </c>
      <c r="AF1664" s="2">
        <v>35</v>
      </c>
      <c r="AG1664" s="2">
        <v>1</v>
      </c>
      <c r="AH1664" s="3" t="s">
        <v>261</v>
      </c>
      <c r="AI1664" s="4">
        <v>44760</v>
      </c>
      <c r="AJ1664" s="3" t="s">
        <v>1764</v>
      </c>
      <c r="AK1664" s="3" t="s">
        <v>248</v>
      </c>
    </row>
    <row r="1665" spans="1:37" hidden="1" x14ac:dyDescent="0.25">
      <c r="A1665" t="str">
        <f t="shared" si="25"/>
        <v>2022_Qld_Gatton_Chickpea_RainoutTOS1VarietyCBA_CaptainWaterTrtRainFed</v>
      </c>
      <c r="B1665" s="2">
        <v>2022019</v>
      </c>
      <c r="C1665" s="3" t="s">
        <v>1761</v>
      </c>
      <c r="D1665" s="3" t="s">
        <v>248</v>
      </c>
      <c r="F1665" s="3" t="s">
        <v>249</v>
      </c>
      <c r="G1665" s="3" t="s">
        <v>43</v>
      </c>
      <c r="H1665" s="3" t="s">
        <v>250</v>
      </c>
      <c r="I1665" s="2">
        <v>2</v>
      </c>
      <c r="J1665" s="2">
        <v>2</v>
      </c>
      <c r="K1665" s="2">
        <v>1</v>
      </c>
      <c r="O1665" s="2">
        <v>1</v>
      </c>
      <c r="U1665" s="2">
        <v>1</v>
      </c>
      <c r="V1665" s="2">
        <v>2</v>
      </c>
      <c r="W1665" s="2">
        <v>1</v>
      </c>
      <c r="X1665" s="2">
        <v>2</v>
      </c>
      <c r="AA1665" s="3" t="s">
        <v>40</v>
      </c>
      <c r="AB1665" s="2">
        <v>2</v>
      </c>
      <c r="AE1665" s="3" t="s">
        <v>1763</v>
      </c>
      <c r="AF1665" s="2">
        <v>35</v>
      </c>
      <c r="AG1665" s="2">
        <v>1</v>
      </c>
      <c r="AH1665" s="3" t="s">
        <v>261</v>
      </c>
      <c r="AI1665" s="4">
        <v>44760</v>
      </c>
      <c r="AJ1665" s="3" t="s">
        <v>1765</v>
      </c>
      <c r="AK1665" s="3" t="s">
        <v>248</v>
      </c>
    </row>
    <row r="1666" spans="1:37" hidden="1" x14ac:dyDescent="0.25">
      <c r="A1666" t="str">
        <f t="shared" si="25"/>
        <v>2022_Qld_Gatton_Chickpea_RainoutTOS1VarietySeamerWaterTrtRainFed</v>
      </c>
      <c r="B1666" s="2">
        <v>2022019</v>
      </c>
      <c r="C1666" s="3" t="s">
        <v>1761</v>
      </c>
      <c r="D1666" s="3" t="s">
        <v>248</v>
      </c>
      <c r="F1666" s="3" t="s">
        <v>4193</v>
      </c>
      <c r="G1666" s="3" t="s">
        <v>39</v>
      </c>
      <c r="H1666" s="3" t="s">
        <v>250</v>
      </c>
      <c r="I1666" s="2">
        <v>3</v>
      </c>
      <c r="J1666" s="2">
        <v>3</v>
      </c>
      <c r="K1666" s="2">
        <v>2</v>
      </c>
      <c r="O1666" s="2">
        <v>1</v>
      </c>
      <c r="U1666" s="2">
        <v>1</v>
      </c>
      <c r="V1666" s="2">
        <v>3</v>
      </c>
      <c r="W1666" s="2">
        <v>1</v>
      </c>
      <c r="X1666" s="2">
        <v>3</v>
      </c>
      <c r="AA1666" s="3" t="s">
        <v>40</v>
      </c>
      <c r="AB1666" s="2">
        <v>1</v>
      </c>
      <c r="AE1666" s="3" t="s">
        <v>1763</v>
      </c>
      <c r="AF1666" s="2">
        <v>35</v>
      </c>
      <c r="AG1666" s="2">
        <v>1</v>
      </c>
      <c r="AH1666" s="3" t="s">
        <v>261</v>
      </c>
      <c r="AI1666" s="4">
        <v>44760</v>
      </c>
      <c r="AJ1666" s="3" t="s">
        <v>1766</v>
      </c>
      <c r="AK1666" s="3" t="s">
        <v>248</v>
      </c>
    </row>
    <row r="1667" spans="1:37" hidden="1" x14ac:dyDescent="0.25">
      <c r="A1667" t="str">
        <f t="shared" ref="A1667:A1730" si="26">C1667&amp;"TOS"&amp;AG1667&amp;"Variety"&amp;F1667&amp;"WaterTrt"&amp;AA1667&amp;IF(AC1667="","","Agronomy"&amp;AC1667)</f>
        <v>2022_Qld_Gatton_Chickpea_RainoutTOS1VarietyCBA_CaptainWaterTrtFully_Irrigated</v>
      </c>
      <c r="B1667" s="2">
        <v>2022019</v>
      </c>
      <c r="C1667" s="3" t="s">
        <v>1761</v>
      </c>
      <c r="D1667" s="3" t="s">
        <v>248</v>
      </c>
      <c r="F1667" s="3" t="s">
        <v>249</v>
      </c>
      <c r="G1667" s="3" t="s">
        <v>43</v>
      </c>
      <c r="H1667" s="3" t="s">
        <v>250</v>
      </c>
      <c r="I1667" s="2">
        <v>4</v>
      </c>
      <c r="J1667" s="2">
        <v>4</v>
      </c>
      <c r="K1667" s="2">
        <v>2</v>
      </c>
      <c r="O1667" s="2">
        <v>1</v>
      </c>
      <c r="U1667" s="2">
        <v>1</v>
      </c>
      <c r="V1667" s="2">
        <v>4</v>
      </c>
      <c r="W1667" s="2">
        <v>1</v>
      </c>
      <c r="X1667" s="2">
        <v>4</v>
      </c>
      <c r="AA1667" s="3" t="s">
        <v>1762</v>
      </c>
      <c r="AB1667" s="2">
        <v>4</v>
      </c>
      <c r="AE1667" s="3" t="s">
        <v>1763</v>
      </c>
      <c r="AF1667" s="2">
        <v>35</v>
      </c>
      <c r="AG1667" s="2">
        <v>1</v>
      </c>
      <c r="AH1667" s="3" t="s">
        <v>261</v>
      </c>
      <c r="AI1667" s="4">
        <v>44760</v>
      </c>
      <c r="AJ1667" s="3" t="s">
        <v>1767</v>
      </c>
      <c r="AK1667" s="3" t="s">
        <v>248</v>
      </c>
    </row>
    <row r="1668" spans="1:37" hidden="1" x14ac:dyDescent="0.25">
      <c r="A1668" t="str">
        <f t="shared" si="26"/>
        <v>2022_Qld_Gatton_Chickpea_RainoutTOS1VarietySeamerWaterTrtFully_Irrigated</v>
      </c>
      <c r="B1668" s="2">
        <v>2022019</v>
      </c>
      <c r="C1668" s="3" t="s">
        <v>1761</v>
      </c>
      <c r="D1668" s="3" t="s">
        <v>248</v>
      </c>
      <c r="F1668" s="3" t="s">
        <v>4193</v>
      </c>
      <c r="G1668" s="3" t="s">
        <v>39</v>
      </c>
      <c r="H1668" s="3" t="s">
        <v>250</v>
      </c>
      <c r="I1668" s="2">
        <v>5</v>
      </c>
      <c r="J1668" s="2">
        <v>5</v>
      </c>
      <c r="K1668" s="2">
        <v>3</v>
      </c>
      <c r="O1668" s="2">
        <v>1</v>
      </c>
      <c r="U1668" s="2">
        <v>1</v>
      </c>
      <c r="V1668" s="2">
        <v>5</v>
      </c>
      <c r="W1668" s="2">
        <v>1</v>
      </c>
      <c r="X1668" s="2">
        <v>5</v>
      </c>
      <c r="AA1668" s="3" t="s">
        <v>1762</v>
      </c>
      <c r="AB1668" s="2">
        <v>3</v>
      </c>
      <c r="AE1668" s="3" t="s">
        <v>1763</v>
      </c>
      <c r="AF1668" s="2">
        <v>35</v>
      </c>
      <c r="AG1668" s="2">
        <v>1</v>
      </c>
      <c r="AH1668" s="3" t="s">
        <v>261</v>
      </c>
      <c r="AI1668" s="4">
        <v>44760</v>
      </c>
      <c r="AJ1668" s="3" t="s">
        <v>1768</v>
      </c>
      <c r="AK1668" s="3" t="s">
        <v>248</v>
      </c>
    </row>
    <row r="1669" spans="1:37" hidden="1" x14ac:dyDescent="0.25">
      <c r="A1669" t="str">
        <f t="shared" si="26"/>
        <v>2022_Qld_Gatton_Chickpea_RainoutTOS1VarietyCBA_CaptainWaterTrtFully_Irrigated</v>
      </c>
      <c r="B1669" s="2">
        <v>2022019</v>
      </c>
      <c r="C1669" s="3" t="s">
        <v>1761</v>
      </c>
      <c r="D1669" s="3" t="s">
        <v>248</v>
      </c>
      <c r="F1669" s="3" t="s">
        <v>249</v>
      </c>
      <c r="G1669" s="3" t="s">
        <v>43</v>
      </c>
      <c r="H1669" s="3" t="s">
        <v>250</v>
      </c>
      <c r="I1669" s="2">
        <v>6</v>
      </c>
      <c r="J1669" s="2">
        <v>6</v>
      </c>
      <c r="K1669" s="2">
        <v>3</v>
      </c>
      <c r="O1669" s="2">
        <v>1</v>
      </c>
      <c r="U1669" s="2">
        <v>1</v>
      </c>
      <c r="V1669" s="2">
        <v>6</v>
      </c>
      <c r="W1669" s="2">
        <v>1</v>
      </c>
      <c r="X1669" s="2">
        <v>6</v>
      </c>
      <c r="AA1669" s="3" t="s">
        <v>1762</v>
      </c>
      <c r="AB1669" s="2">
        <v>4</v>
      </c>
      <c r="AE1669" s="3" t="s">
        <v>1763</v>
      </c>
      <c r="AF1669" s="2">
        <v>35</v>
      </c>
      <c r="AG1669" s="2">
        <v>1</v>
      </c>
      <c r="AH1669" s="3" t="s">
        <v>261</v>
      </c>
      <c r="AI1669" s="4">
        <v>44760</v>
      </c>
      <c r="AJ1669" s="3" t="s">
        <v>1769</v>
      </c>
      <c r="AK1669" s="3" t="s">
        <v>248</v>
      </c>
    </row>
    <row r="1670" spans="1:37" hidden="1" x14ac:dyDescent="0.25">
      <c r="A1670" t="str">
        <f t="shared" si="26"/>
        <v>2022_Qld_Gatton_Chickpea_RainoutTOS1VarietyCBA_CaptainWaterTrtRainFed</v>
      </c>
      <c r="B1670" s="2">
        <v>2022019</v>
      </c>
      <c r="C1670" s="3" t="s">
        <v>1761</v>
      </c>
      <c r="D1670" s="3" t="s">
        <v>248</v>
      </c>
      <c r="F1670" s="3" t="s">
        <v>249</v>
      </c>
      <c r="G1670" s="3" t="s">
        <v>43</v>
      </c>
      <c r="H1670" s="3" t="s">
        <v>250</v>
      </c>
      <c r="I1670" s="2">
        <v>7</v>
      </c>
      <c r="J1670" s="2">
        <v>7</v>
      </c>
      <c r="K1670" s="2">
        <v>4</v>
      </c>
      <c r="O1670" s="2">
        <v>1</v>
      </c>
      <c r="U1670" s="2">
        <v>1</v>
      </c>
      <c r="V1670" s="2">
        <v>7</v>
      </c>
      <c r="W1670" s="2">
        <v>1</v>
      </c>
      <c r="X1670" s="2">
        <v>7</v>
      </c>
      <c r="AA1670" s="3" t="s">
        <v>40</v>
      </c>
      <c r="AB1670" s="2">
        <v>2</v>
      </c>
      <c r="AE1670" s="3" t="s">
        <v>1763</v>
      </c>
      <c r="AF1670" s="2">
        <v>35</v>
      </c>
      <c r="AG1670" s="2">
        <v>1</v>
      </c>
      <c r="AH1670" s="3" t="s">
        <v>261</v>
      </c>
      <c r="AI1670" s="4">
        <v>44760</v>
      </c>
      <c r="AJ1670" s="3" t="s">
        <v>1770</v>
      </c>
      <c r="AK1670" s="3" t="s">
        <v>248</v>
      </c>
    </row>
    <row r="1671" spans="1:37" hidden="1" x14ac:dyDescent="0.25">
      <c r="A1671" t="str">
        <f t="shared" si="26"/>
        <v>2022_Qld_Gatton_Chickpea_RainoutTOS1VarietySeamerWaterTrtRainFed</v>
      </c>
      <c r="B1671" s="2">
        <v>2022019</v>
      </c>
      <c r="C1671" s="3" t="s">
        <v>1761</v>
      </c>
      <c r="D1671" s="3" t="s">
        <v>248</v>
      </c>
      <c r="F1671" s="3" t="s">
        <v>4193</v>
      </c>
      <c r="G1671" s="3" t="s">
        <v>39</v>
      </c>
      <c r="H1671" s="3" t="s">
        <v>250</v>
      </c>
      <c r="I1671" s="2">
        <v>8</v>
      </c>
      <c r="J1671" s="2">
        <v>8</v>
      </c>
      <c r="K1671" s="2">
        <v>4</v>
      </c>
      <c r="O1671" s="2">
        <v>1</v>
      </c>
      <c r="U1671" s="2">
        <v>1</v>
      </c>
      <c r="V1671" s="2">
        <v>8</v>
      </c>
      <c r="W1671" s="2">
        <v>1</v>
      </c>
      <c r="X1671" s="2">
        <v>8</v>
      </c>
      <c r="AA1671" s="3" t="s">
        <v>40</v>
      </c>
      <c r="AB1671" s="2">
        <v>1</v>
      </c>
      <c r="AE1671" s="3" t="s">
        <v>1763</v>
      </c>
      <c r="AF1671" s="2">
        <v>35</v>
      </c>
      <c r="AG1671" s="2">
        <v>1</v>
      </c>
      <c r="AH1671" s="3" t="s">
        <v>261</v>
      </c>
      <c r="AI1671" s="4">
        <v>44760</v>
      </c>
      <c r="AJ1671" s="3" t="s">
        <v>1771</v>
      </c>
      <c r="AK1671" s="3" t="s">
        <v>248</v>
      </c>
    </row>
    <row r="1672" spans="1:37" hidden="1" x14ac:dyDescent="0.25">
      <c r="A1672" t="str">
        <f t="shared" si="26"/>
        <v>2022_Qld_Gatton_Chickpea_RainoutTOS1VarietySeamerWaterTrtRainFed</v>
      </c>
      <c r="B1672" s="2">
        <v>2022019</v>
      </c>
      <c r="C1672" s="3" t="s">
        <v>1761</v>
      </c>
      <c r="D1672" s="3" t="s">
        <v>248</v>
      </c>
      <c r="F1672" s="3" t="s">
        <v>4193</v>
      </c>
      <c r="G1672" s="3" t="s">
        <v>39</v>
      </c>
      <c r="H1672" s="3" t="s">
        <v>250</v>
      </c>
      <c r="I1672" s="2">
        <v>9</v>
      </c>
      <c r="J1672" s="2">
        <v>9</v>
      </c>
      <c r="K1672" s="2">
        <v>1</v>
      </c>
      <c r="O1672" s="2">
        <v>1</v>
      </c>
      <c r="U1672" s="2">
        <v>2</v>
      </c>
      <c r="V1672" s="2">
        <v>1</v>
      </c>
      <c r="W1672" s="2">
        <v>2</v>
      </c>
      <c r="X1672" s="2">
        <v>1</v>
      </c>
      <c r="AA1672" s="3" t="s">
        <v>40</v>
      </c>
      <c r="AB1672" s="2">
        <v>1</v>
      </c>
      <c r="AE1672" s="3" t="s">
        <v>1763</v>
      </c>
      <c r="AF1672" s="2">
        <v>35</v>
      </c>
      <c r="AG1672" s="2">
        <v>1</v>
      </c>
      <c r="AH1672" s="3" t="s">
        <v>261</v>
      </c>
      <c r="AI1672" s="4">
        <v>44760</v>
      </c>
      <c r="AJ1672" s="3" t="s">
        <v>1772</v>
      </c>
      <c r="AK1672" s="3" t="s">
        <v>248</v>
      </c>
    </row>
    <row r="1673" spans="1:37" hidden="1" x14ac:dyDescent="0.25">
      <c r="A1673" t="str">
        <f t="shared" si="26"/>
        <v>2022_Qld_Gatton_Chickpea_RainoutTOS1VarietyCBA_CaptainWaterTrtFully_Irrigated</v>
      </c>
      <c r="B1673" s="2">
        <v>2022019</v>
      </c>
      <c r="C1673" s="3" t="s">
        <v>1761</v>
      </c>
      <c r="D1673" s="3" t="s">
        <v>248</v>
      </c>
      <c r="F1673" s="3" t="s">
        <v>249</v>
      </c>
      <c r="G1673" s="3" t="s">
        <v>43</v>
      </c>
      <c r="H1673" s="3" t="s">
        <v>250</v>
      </c>
      <c r="I1673" s="2">
        <v>10</v>
      </c>
      <c r="J1673" s="2">
        <v>10</v>
      </c>
      <c r="K1673" s="2">
        <v>1</v>
      </c>
      <c r="O1673" s="2">
        <v>1</v>
      </c>
      <c r="U1673" s="2">
        <v>2</v>
      </c>
      <c r="V1673" s="2">
        <v>2</v>
      </c>
      <c r="W1673" s="2">
        <v>2</v>
      </c>
      <c r="X1673" s="2">
        <v>2</v>
      </c>
      <c r="AA1673" s="3" t="s">
        <v>1762</v>
      </c>
      <c r="AB1673" s="2">
        <v>4</v>
      </c>
      <c r="AE1673" s="3" t="s">
        <v>1763</v>
      </c>
      <c r="AF1673" s="2">
        <v>35</v>
      </c>
      <c r="AG1673" s="2">
        <v>1</v>
      </c>
      <c r="AH1673" s="3" t="s">
        <v>261</v>
      </c>
      <c r="AI1673" s="4">
        <v>44760</v>
      </c>
      <c r="AJ1673" s="3" t="s">
        <v>1773</v>
      </c>
      <c r="AK1673" s="3" t="s">
        <v>248</v>
      </c>
    </row>
    <row r="1674" spans="1:37" hidden="1" x14ac:dyDescent="0.25">
      <c r="A1674" t="str">
        <f t="shared" si="26"/>
        <v>2022_Qld_Gatton_Chickpea_RainoutTOS1VarietyCBA_CaptainWaterTrtRainFed</v>
      </c>
      <c r="B1674" s="2">
        <v>2022019</v>
      </c>
      <c r="C1674" s="3" t="s">
        <v>1761</v>
      </c>
      <c r="D1674" s="3" t="s">
        <v>248</v>
      </c>
      <c r="F1674" s="3" t="s">
        <v>249</v>
      </c>
      <c r="G1674" s="3" t="s">
        <v>43</v>
      </c>
      <c r="H1674" s="3" t="s">
        <v>250</v>
      </c>
      <c r="I1674" s="2">
        <v>11</v>
      </c>
      <c r="J1674" s="2">
        <v>11</v>
      </c>
      <c r="K1674" s="2">
        <v>2</v>
      </c>
      <c r="O1674" s="2">
        <v>1</v>
      </c>
      <c r="U1674" s="2">
        <v>2</v>
      </c>
      <c r="V1674" s="2">
        <v>3</v>
      </c>
      <c r="W1674" s="2">
        <v>2</v>
      </c>
      <c r="X1674" s="2">
        <v>3</v>
      </c>
      <c r="AA1674" s="3" t="s">
        <v>40</v>
      </c>
      <c r="AB1674" s="2">
        <v>2</v>
      </c>
      <c r="AE1674" s="3" t="s">
        <v>1763</v>
      </c>
      <c r="AF1674" s="2">
        <v>35</v>
      </c>
      <c r="AG1674" s="2">
        <v>1</v>
      </c>
      <c r="AH1674" s="3" t="s">
        <v>261</v>
      </c>
      <c r="AI1674" s="4">
        <v>44760</v>
      </c>
      <c r="AJ1674" s="3" t="s">
        <v>1774</v>
      </c>
      <c r="AK1674" s="3" t="s">
        <v>248</v>
      </c>
    </row>
    <row r="1675" spans="1:37" hidden="1" x14ac:dyDescent="0.25">
      <c r="A1675" t="str">
        <f t="shared" si="26"/>
        <v>2022_Qld_Gatton_Chickpea_RainoutTOS1VarietySeamerWaterTrtFully_Irrigated</v>
      </c>
      <c r="B1675" s="2">
        <v>2022019</v>
      </c>
      <c r="C1675" s="3" t="s">
        <v>1761</v>
      </c>
      <c r="D1675" s="3" t="s">
        <v>248</v>
      </c>
      <c r="F1675" s="3" t="s">
        <v>4193</v>
      </c>
      <c r="G1675" s="3" t="s">
        <v>39</v>
      </c>
      <c r="H1675" s="3" t="s">
        <v>250</v>
      </c>
      <c r="I1675" s="2">
        <v>12</v>
      </c>
      <c r="J1675" s="2">
        <v>12</v>
      </c>
      <c r="K1675" s="2">
        <v>2</v>
      </c>
      <c r="O1675" s="2">
        <v>1</v>
      </c>
      <c r="U1675" s="2">
        <v>2</v>
      </c>
      <c r="V1675" s="2">
        <v>4</v>
      </c>
      <c r="W1675" s="2">
        <v>2</v>
      </c>
      <c r="X1675" s="2">
        <v>4</v>
      </c>
      <c r="AA1675" s="3" t="s">
        <v>1762</v>
      </c>
      <c r="AB1675" s="2">
        <v>3</v>
      </c>
      <c r="AE1675" s="3" t="s">
        <v>1763</v>
      </c>
      <c r="AF1675" s="2">
        <v>35</v>
      </c>
      <c r="AG1675" s="2">
        <v>1</v>
      </c>
      <c r="AH1675" s="3" t="s">
        <v>261</v>
      </c>
      <c r="AI1675" s="4">
        <v>44760</v>
      </c>
      <c r="AJ1675" s="3" t="s">
        <v>1775</v>
      </c>
      <c r="AK1675" s="3" t="s">
        <v>248</v>
      </c>
    </row>
    <row r="1676" spans="1:37" hidden="1" x14ac:dyDescent="0.25">
      <c r="A1676" t="str">
        <f t="shared" si="26"/>
        <v>2022_Qld_Gatton_Chickpea_RainoutTOS1VarietyCBA_CaptainWaterTrtRainFed</v>
      </c>
      <c r="B1676" s="2">
        <v>2022019</v>
      </c>
      <c r="C1676" s="3" t="s">
        <v>1761</v>
      </c>
      <c r="D1676" s="3" t="s">
        <v>248</v>
      </c>
      <c r="F1676" s="3" t="s">
        <v>249</v>
      </c>
      <c r="G1676" s="3" t="s">
        <v>43</v>
      </c>
      <c r="H1676" s="3" t="s">
        <v>250</v>
      </c>
      <c r="I1676" s="2">
        <v>13</v>
      </c>
      <c r="J1676" s="2">
        <v>13</v>
      </c>
      <c r="K1676" s="2">
        <v>3</v>
      </c>
      <c r="O1676" s="2">
        <v>1</v>
      </c>
      <c r="U1676" s="2">
        <v>2</v>
      </c>
      <c r="V1676" s="2">
        <v>5</v>
      </c>
      <c r="W1676" s="2">
        <v>2</v>
      </c>
      <c r="X1676" s="2">
        <v>5</v>
      </c>
      <c r="AA1676" s="3" t="s">
        <v>40</v>
      </c>
      <c r="AB1676" s="2">
        <v>2</v>
      </c>
      <c r="AE1676" s="3" t="s">
        <v>1763</v>
      </c>
      <c r="AF1676" s="2">
        <v>35</v>
      </c>
      <c r="AG1676" s="2">
        <v>1</v>
      </c>
      <c r="AH1676" s="3" t="s">
        <v>261</v>
      </c>
      <c r="AI1676" s="4">
        <v>44760</v>
      </c>
      <c r="AJ1676" s="3" t="s">
        <v>1776</v>
      </c>
      <c r="AK1676" s="3" t="s">
        <v>248</v>
      </c>
    </row>
    <row r="1677" spans="1:37" hidden="1" x14ac:dyDescent="0.25">
      <c r="A1677" t="str">
        <f t="shared" si="26"/>
        <v>2022_Qld_Gatton_Chickpea_RainoutTOS1VarietySeamerWaterTrtRainFed</v>
      </c>
      <c r="B1677" s="2">
        <v>2022019</v>
      </c>
      <c r="C1677" s="3" t="s">
        <v>1761</v>
      </c>
      <c r="D1677" s="3" t="s">
        <v>248</v>
      </c>
      <c r="F1677" s="3" t="s">
        <v>4193</v>
      </c>
      <c r="G1677" s="3" t="s">
        <v>39</v>
      </c>
      <c r="H1677" s="3" t="s">
        <v>250</v>
      </c>
      <c r="I1677" s="2">
        <v>14</v>
      </c>
      <c r="J1677" s="2">
        <v>14</v>
      </c>
      <c r="K1677" s="2">
        <v>3</v>
      </c>
      <c r="O1677" s="2">
        <v>1</v>
      </c>
      <c r="U1677" s="2">
        <v>2</v>
      </c>
      <c r="V1677" s="2">
        <v>6</v>
      </c>
      <c r="W1677" s="2">
        <v>2</v>
      </c>
      <c r="X1677" s="2">
        <v>6</v>
      </c>
      <c r="AA1677" s="3" t="s">
        <v>40</v>
      </c>
      <c r="AB1677" s="2">
        <v>1</v>
      </c>
      <c r="AE1677" s="3" t="s">
        <v>1763</v>
      </c>
      <c r="AF1677" s="2">
        <v>35</v>
      </c>
      <c r="AG1677" s="2">
        <v>1</v>
      </c>
      <c r="AH1677" s="3" t="s">
        <v>261</v>
      </c>
      <c r="AI1677" s="4">
        <v>44760</v>
      </c>
      <c r="AJ1677" s="3" t="s">
        <v>1777</v>
      </c>
      <c r="AK1677" s="3" t="s">
        <v>248</v>
      </c>
    </row>
    <row r="1678" spans="1:37" hidden="1" x14ac:dyDescent="0.25">
      <c r="A1678" t="str">
        <f t="shared" si="26"/>
        <v>2022_Qld_Gatton_Chickpea_RainoutTOS1VarietyCBA_CaptainWaterTrtFully_Irrigated</v>
      </c>
      <c r="B1678" s="2">
        <v>2022019</v>
      </c>
      <c r="C1678" s="3" t="s">
        <v>1761</v>
      </c>
      <c r="D1678" s="3" t="s">
        <v>248</v>
      </c>
      <c r="F1678" s="3" t="s">
        <v>249</v>
      </c>
      <c r="G1678" s="3" t="s">
        <v>43</v>
      </c>
      <c r="H1678" s="3" t="s">
        <v>250</v>
      </c>
      <c r="I1678" s="2">
        <v>15</v>
      </c>
      <c r="J1678" s="2">
        <v>15</v>
      </c>
      <c r="K1678" s="2">
        <v>4</v>
      </c>
      <c r="O1678" s="2">
        <v>1</v>
      </c>
      <c r="U1678" s="2">
        <v>2</v>
      </c>
      <c r="V1678" s="2">
        <v>7</v>
      </c>
      <c r="W1678" s="2">
        <v>2</v>
      </c>
      <c r="X1678" s="2">
        <v>7</v>
      </c>
      <c r="AA1678" s="3" t="s">
        <v>1762</v>
      </c>
      <c r="AB1678" s="2">
        <v>4</v>
      </c>
      <c r="AE1678" s="3" t="s">
        <v>1763</v>
      </c>
      <c r="AF1678" s="2">
        <v>35</v>
      </c>
      <c r="AG1678" s="2">
        <v>1</v>
      </c>
      <c r="AH1678" s="3" t="s">
        <v>261</v>
      </c>
      <c r="AI1678" s="4">
        <v>44760</v>
      </c>
      <c r="AJ1678" s="3" t="s">
        <v>1778</v>
      </c>
      <c r="AK1678" s="3" t="s">
        <v>248</v>
      </c>
    </row>
    <row r="1679" spans="1:37" hidden="1" x14ac:dyDescent="0.25">
      <c r="A1679" t="str">
        <f t="shared" si="26"/>
        <v>2022_Qld_Gatton_Chickpea_RainoutTOS1VarietySeamerWaterTrtFully_Irrigated</v>
      </c>
      <c r="B1679" s="2">
        <v>2022019</v>
      </c>
      <c r="C1679" s="3" t="s">
        <v>1761</v>
      </c>
      <c r="D1679" s="3" t="s">
        <v>248</v>
      </c>
      <c r="F1679" s="3" t="s">
        <v>4193</v>
      </c>
      <c r="G1679" s="3" t="s">
        <v>39</v>
      </c>
      <c r="H1679" s="3" t="s">
        <v>250</v>
      </c>
      <c r="I1679" s="2">
        <v>16</v>
      </c>
      <c r="J1679" s="2">
        <v>16</v>
      </c>
      <c r="K1679" s="2">
        <v>4</v>
      </c>
      <c r="O1679" s="2">
        <v>1</v>
      </c>
      <c r="U1679" s="2">
        <v>2</v>
      </c>
      <c r="V1679" s="2">
        <v>8</v>
      </c>
      <c r="W1679" s="2">
        <v>2</v>
      </c>
      <c r="X1679" s="2">
        <v>8</v>
      </c>
      <c r="AA1679" s="3" t="s">
        <v>1762</v>
      </c>
      <c r="AB1679" s="2">
        <v>3</v>
      </c>
      <c r="AE1679" s="3" t="s">
        <v>1763</v>
      </c>
      <c r="AF1679" s="2">
        <v>35</v>
      </c>
      <c r="AG1679" s="2">
        <v>1</v>
      </c>
      <c r="AH1679" s="3" t="s">
        <v>261</v>
      </c>
      <c r="AI1679" s="4">
        <v>44760</v>
      </c>
      <c r="AJ1679" s="3" t="s">
        <v>1779</v>
      </c>
      <c r="AK1679" s="3" t="s">
        <v>248</v>
      </c>
    </row>
    <row r="1680" spans="1:37" hidden="1" x14ac:dyDescent="0.25">
      <c r="A1680" t="str">
        <f t="shared" si="26"/>
        <v>2022_Qld_Gatton_Chickpea_RainoutTOS1VarietyCBA_CaptainWaterTrtSemi_Dry</v>
      </c>
      <c r="B1680" s="2">
        <v>2022019</v>
      </c>
      <c r="C1680" s="3" t="s">
        <v>1761</v>
      </c>
      <c r="D1680" s="3" t="s">
        <v>248</v>
      </c>
      <c r="F1680" s="3" t="s">
        <v>249</v>
      </c>
      <c r="G1680" s="3" t="s">
        <v>43</v>
      </c>
      <c r="H1680" s="3" t="s">
        <v>250</v>
      </c>
      <c r="I1680" s="2">
        <v>17</v>
      </c>
      <c r="J1680" s="2">
        <v>17</v>
      </c>
      <c r="K1680" s="2">
        <v>1</v>
      </c>
      <c r="O1680" s="2">
        <v>1</v>
      </c>
      <c r="U1680" s="2">
        <v>3</v>
      </c>
      <c r="V1680" s="2">
        <v>1</v>
      </c>
      <c r="W1680" s="2">
        <v>3</v>
      </c>
      <c r="X1680" s="2">
        <v>1</v>
      </c>
      <c r="AA1680" s="3" t="s">
        <v>1780</v>
      </c>
      <c r="AB1680" s="2">
        <v>4</v>
      </c>
      <c r="AE1680" s="3" t="s">
        <v>1781</v>
      </c>
      <c r="AF1680" s="2">
        <v>35</v>
      </c>
      <c r="AG1680" s="2">
        <v>1</v>
      </c>
      <c r="AH1680" s="3" t="s">
        <v>261</v>
      </c>
      <c r="AI1680" s="4">
        <v>44760</v>
      </c>
      <c r="AJ1680" s="3" t="s">
        <v>1782</v>
      </c>
      <c r="AK1680" s="3" t="s">
        <v>248</v>
      </c>
    </row>
    <row r="1681" spans="1:37" hidden="1" x14ac:dyDescent="0.25">
      <c r="A1681" t="str">
        <f t="shared" si="26"/>
        <v>2022_Qld_Gatton_Chickpea_RainoutTOS1VarietySeamerWaterTrtDry</v>
      </c>
      <c r="B1681" s="2">
        <v>2022019</v>
      </c>
      <c r="C1681" s="3" t="s">
        <v>1761</v>
      </c>
      <c r="D1681" s="3" t="s">
        <v>248</v>
      </c>
      <c r="F1681" s="3" t="s">
        <v>4193</v>
      </c>
      <c r="G1681" s="3" t="s">
        <v>39</v>
      </c>
      <c r="H1681" s="3" t="s">
        <v>250</v>
      </c>
      <c r="I1681" s="2">
        <v>18</v>
      </c>
      <c r="J1681" s="2">
        <v>18</v>
      </c>
      <c r="K1681" s="2">
        <v>1</v>
      </c>
      <c r="O1681" s="2">
        <v>1</v>
      </c>
      <c r="U1681" s="2">
        <v>3</v>
      </c>
      <c r="V1681" s="2">
        <v>2</v>
      </c>
      <c r="W1681" s="2">
        <v>3</v>
      </c>
      <c r="X1681" s="2">
        <v>2</v>
      </c>
      <c r="AA1681" s="3" t="s">
        <v>1783</v>
      </c>
      <c r="AB1681" s="2">
        <v>1</v>
      </c>
      <c r="AE1681" s="3" t="s">
        <v>1781</v>
      </c>
      <c r="AF1681" s="2">
        <v>35</v>
      </c>
      <c r="AG1681" s="2">
        <v>1</v>
      </c>
      <c r="AH1681" s="3" t="s">
        <v>261</v>
      </c>
      <c r="AI1681" s="4">
        <v>44760</v>
      </c>
      <c r="AJ1681" s="3" t="s">
        <v>1784</v>
      </c>
      <c r="AK1681" s="3" t="s">
        <v>248</v>
      </c>
    </row>
    <row r="1682" spans="1:37" hidden="1" x14ac:dyDescent="0.25">
      <c r="A1682" t="str">
        <f t="shared" si="26"/>
        <v>2022_Qld_Gatton_Chickpea_RainoutTOS1VarietySeamerWaterTrtSemi_Dry</v>
      </c>
      <c r="B1682" s="2">
        <v>2022019</v>
      </c>
      <c r="C1682" s="3" t="s">
        <v>1761</v>
      </c>
      <c r="D1682" s="3" t="s">
        <v>248</v>
      </c>
      <c r="F1682" s="3" t="s">
        <v>4193</v>
      </c>
      <c r="G1682" s="3" t="s">
        <v>39</v>
      </c>
      <c r="H1682" s="3" t="s">
        <v>250</v>
      </c>
      <c r="I1682" s="2">
        <v>19</v>
      </c>
      <c r="J1682" s="2">
        <v>19</v>
      </c>
      <c r="K1682" s="2">
        <v>2</v>
      </c>
      <c r="O1682" s="2">
        <v>1</v>
      </c>
      <c r="U1682" s="2">
        <v>3</v>
      </c>
      <c r="V1682" s="2">
        <v>3</v>
      </c>
      <c r="W1682" s="2">
        <v>3</v>
      </c>
      <c r="X1682" s="2">
        <v>3</v>
      </c>
      <c r="AA1682" s="3" t="s">
        <v>1780</v>
      </c>
      <c r="AB1682" s="2">
        <v>3</v>
      </c>
      <c r="AE1682" s="3" t="s">
        <v>1781</v>
      </c>
      <c r="AF1682" s="2">
        <v>35</v>
      </c>
      <c r="AG1682" s="2">
        <v>1</v>
      </c>
      <c r="AH1682" s="3" t="s">
        <v>261</v>
      </c>
      <c r="AI1682" s="4">
        <v>44760</v>
      </c>
      <c r="AJ1682" s="3" t="s">
        <v>1785</v>
      </c>
      <c r="AK1682" s="3" t="s">
        <v>248</v>
      </c>
    </row>
    <row r="1683" spans="1:37" hidden="1" x14ac:dyDescent="0.25">
      <c r="A1683" t="str">
        <f t="shared" si="26"/>
        <v>2022_Qld_Gatton_Chickpea_RainoutTOS1VarietyCBA_CaptainWaterTrtDry</v>
      </c>
      <c r="B1683" s="2">
        <v>2022019</v>
      </c>
      <c r="C1683" s="3" t="s">
        <v>1761</v>
      </c>
      <c r="D1683" s="3" t="s">
        <v>248</v>
      </c>
      <c r="F1683" s="3" t="s">
        <v>249</v>
      </c>
      <c r="G1683" s="3" t="s">
        <v>43</v>
      </c>
      <c r="H1683" s="3" t="s">
        <v>250</v>
      </c>
      <c r="I1683" s="2">
        <v>20</v>
      </c>
      <c r="J1683" s="2">
        <v>20</v>
      </c>
      <c r="K1683" s="2">
        <v>2</v>
      </c>
      <c r="O1683" s="2">
        <v>1</v>
      </c>
      <c r="U1683" s="2">
        <v>3</v>
      </c>
      <c r="V1683" s="2">
        <v>4</v>
      </c>
      <c r="W1683" s="2">
        <v>3</v>
      </c>
      <c r="X1683" s="2">
        <v>4</v>
      </c>
      <c r="AA1683" s="3" t="s">
        <v>1783</v>
      </c>
      <c r="AB1683" s="2">
        <v>2</v>
      </c>
      <c r="AE1683" s="3" t="s">
        <v>1781</v>
      </c>
      <c r="AF1683" s="2">
        <v>35</v>
      </c>
      <c r="AG1683" s="2">
        <v>1</v>
      </c>
      <c r="AH1683" s="3" t="s">
        <v>261</v>
      </c>
      <c r="AI1683" s="4">
        <v>44760</v>
      </c>
      <c r="AJ1683" s="3" t="s">
        <v>1786</v>
      </c>
      <c r="AK1683" s="3" t="s">
        <v>248</v>
      </c>
    </row>
    <row r="1684" spans="1:37" hidden="1" x14ac:dyDescent="0.25">
      <c r="A1684" t="str">
        <f t="shared" si="26"/>
        <v>2022_Qld_Gatton_Chickpea_RainoutTOS1VarietySeamerWaterTrtDry</v>
      </c>
      <c r="B1684" s="2">
        <v>2022019</v>
      </c>
      <c r="C1684" s="3" t="s">
        <v>1761</v>
      </c>
      <c r="D1684" s="3" t="s">
        <v>248</v>
      </c>
      <c r="F1684" s="3" t="s">
        <v>4193</v>
      </c>
      <c r="G1684" s="3" t="s">
        <v>39</v>
      </c>
      <c r="H1684" s="3" t="s">
        <v>250</v>
      </c>
      <c r="I1684" s="2">
        <v>21</v>
      </c>
      <c r="J1684" s="2">
        <v>21</v>
      </c>
      <c r="K1684" s="2">
        <v>3</v>
      </c>
      <c r="O1684" s="2">
        <v>1</v>
      </c>
      <c r="U1684" s="2">
        <v>3</v>
      </c>
      <c r="V1684" s="2">
        <v>5</v>
      </c>
      <c r="W1684" s="2">
        <v>3</v>
      </c>
      <c r="X1684" s="2">
        <v>5</v>
      </c>
      <c r="AA1684" s="3" t="s">
        <v>1783</v>
      </c>
      <c r="AB1684" s="2">
        <v>1</v>
      </c>
      <c r="AE1684" s="3" t="s">
        <v>1781</v>
      </c>
      <c r="AF1684" s="2">
        <v>35</v>
      </c>
      <c r="AG1684" s="2">
        <v>1</v>
      </c>
      <c r="AH1684" s="3" t="s">
        <v>261</v>
      </c>
      <c r="AI1684" s="4">
        <v>44760</v>
      </c>
      <c r="AJ1684" s="3" t="s">
        <v>1787</v>
      </c>
      <c r="AK1684" s="3" t="s">
        <v>248</v>
      </c>
    </row>
    <row r="1685" spans="1:37" hidden="1" x14ac:dyDescent="0.25">
      <c r="A1685" t="str">
        <f t="shared" si="26"/>
        <v>2022_Qld_Gatton_Chickpea_RainoutTOS1VarietyCBA_CaptainWaterTrtDry</v>
      </c>
      <c r="B1685" s="2">
        <v>2022019</v>
      </c>
      <c r="C1685" s="3" t="s">
        <v>1761</v>
      </c>
      <c r="D1685" s="3" t="s">
        <v>248</v>
      </c>
      <c r="F1685" s="3" t="s">
        <v>249</v>
      </c>
      <c r="G1685" s="3" t="s">
        <v>43</v>
      </c>
      <c r="H1685" s="3" t="s">
        <v>250</v>
      </c>
      <c r="I1685" s="2">
        <v>22</v>
      </c>
      <c r="J1685" s="2">
        <v>22</v>
      </c>
      <c r="K1685" s="2">
        <v>3</v>
      </c>
      <c r="O1685" s="2">
        <v>1</v>
      </c>
      <c r="U1685" s="2">
        <v>3</v>
      </c>
      <c r="V1685" s="2">
        <v>6</v>
      </c>
      <c r="W1685" s="2">
        <v>3</v>
      </c>
      <c r="X1685" s="2">
        <v>6</v>
      </c>
      <c r="AA1685" s="3" t="s">
        <v>1783</v>
      </c>
      <c r="AB1685" s="2">
        <v>2</v>
      </c>
      <c r="AE1685" s="3" t="s">
        <v>1781</v>
      </c>
      <c r="AF1685" s="2">
        <v>35</v>
      </c>
      <c r="AG1685" s="2">
        <v>1</v>
      </c>
      <c r="AH1685" s="3" t="s">
        <v>261</v>
      </c>
      <c r="AI1685" s="4">
        <v>44760</v>
      </c>
      <c r="AJ1685" s="3" t="s">
        <v>1788</v>
      </c>
      <c r="AK1685" s="3" t="s">
        <v>248</v>
      </c>
    </row>
    <row r="1686" spans="1:37" hidden="1" x14ac:dyDescent="0.25">
      <c r="A1686" t="str">
        <f t="shared" si="26"/>
        <v>2022_Qld_Gatton_Chickpea_RainoutTOS1VarietySeamerWaterTrtSemi_Dry</v>
      </c>
      <c r="B1686" s="2">
        <v>2022019</v>
      </c>
      <c r="C1686" s="3" t="s">
        <v>1761</v>
      </c>
      <c r="D1686" s="3" t="s">
        <v>248</v>
      </c>
      <c r="F1686" s="3" t="s">
        <v>4193</v>
      </c>
      <c r="G1686" s="3" t="s">
        <v>39</v>
      </c>
      <c r="H1686" s="3" t="s">
        <v>250</v>
      </c>
      <c r="I1686" s="2">
        <v>23</v>
      </c>
      <c r="J1686" s="2">
        <v>23</v>
      </c>
      <c r="K1686" s="2">
        <v>4</v>
      </c>
      <c r="O1686" s="2">
        <v>1</v>
      </c>
      <c r="U1686" s="2">
        <v>3</v>
      </c>
      <c r="V1686" s="2">
        <v>7</v>
      </c>
      <c r="W1686" s="2">
        <v>3</v>
      </c>
      <c r="X1686" s="2">
        <v>7</v>
      </c>
      <c r="AA1686" s="3" t="s">
        <v>1780</v>
      </c>
      <c r="AB1686" s="2">
        <v>3</v>
      </c>
      <c r="AE1686" s="3" t="s">
        <v>1781</v>
      </c>
      <c r="AF1686" s="2">
        <v>35</v>
      </c>
      <c r="AG1686" s="2">
        <v>1</v>
      </c>
      <c r="AH1686" s="3" t="s">
        <v>261</v>
      </c>
      <c r="AI1686" s="4">
        <v>44760</v>
      </c>
      <c r="AJ1686" s="3" t="s">
        <v>1789</v>
      </c>
      <c r="AK1686" s="3" t="s">
        <v>248</v>
      </c>
    </row>
    <row r="1687" spans="1:37" hidden="1" x14ac:dyDescent="0.25">
      <c r="A1687" t="str">
        <f t="shared" si="26"/>
        <v>2022_Qld_Gatton_Chickpea_RainoutTOS1VarietyCBA_CaptainWaterTrtSemi_Dry</v>
      </c>
      <c r="B1687" s="2">
        <v>2022019</v>
      </c>
      <c r="C1687" s="3" t="s">
        <v>1761</v>
      </c>
      <c r="D1687" s="3" t="s">
        <v>248</v>
      </c>
      <c r="F1687" s="3" t="s">
        <v>249</v>
      </c>
      <c r="G1687" s="3" t="s">
        <v>43</v>
      </c>
      <c r="H1687" s="3" t="s">
        <v>250</v>
      </c>
      <c r="I1687" s="2">
        <v>24</v>
      </c>
      <c r="J1687" s="2">
        <v>24</v>
      </c>
      <c r="K1687" s="2">
        <v>4</v>
      </c>
      <c r="O1687" s="2">
        <v>1</v>
      </c>
      <c r="U1687" s="2">
        <v>3</v>
      </c>
      <c r="V1687" s="2">
        <v>8</v>
      </c>
      <c r="W1687" s="2">
        <v>3</v>
      </c>
      <c r="X1687" s="2">
        <v>8</v>
      </c>
      <c r="AA1687" s="3" t="s">
        <v>1780</v>
      </c>
      <c r="AB1687" s="2">
        <v>4</v>
      </c>
      <c r="AE1687" s="3" t="s">
        <v>1781</v>
      </c>
      <c r="AF1687" s="2">
        <v>35</v>
      </c>
      <c r="AG1687" s="2">
        <v>1</v>
      </c>
      <c r="AH1687" s="3" t="s">
        <v>261</v>
      </c>
      <c r="AI1687" s="4">
        <v>44760</v>
      </c>
      <c r="AJ1687" s="3" t="s">
        <v>1790</v>
      </c>
      <c r="AK1687" s="3" t="s">
        <v>248</v>
      </c>
    </row>
    <row r="1688" spans="1:37" hidden="1" x14ac:dyDescent="0.25">
      <c r="A1688" t="str">
        <f t="shared" si="26"/>
        <v>2022_Qld_Gatton_Chickpea_RainoutTOS1VarietySeamerWaterTrtSemi_Dry</v>
      </c>
      <c r="B1688" s="2">
        <v>2022019</v>
      </c>
      <c r="C1688" s="3" t="s">
        <v>1761</v>
      </c>
      <c r="D1688" s="3" t="s">
        <v>248</v>
      </c>
      <c r="F1688" s="3" t="s">
        <v>4193</v>
      </c>
      <c r="G1688" s="3" t="s">
        <v>39</v>
      </c>
      <c r="H1688" s="3" t="s">
        <v>250</v>
      </c>
      <c r="I1688" s="2">
        <v>25</v>
      </c>
      <c r="J1688" s="2">
        <v>25</v>
      </c>
      <c r="K1688" s="2">
        <v>1</v>
      </c>
      <c r="O1688" s="2">
        <v>1</v>
      </c>
      <c r="U1688" s="2">
        <v>4</v>
      </c>
      <c r="V1688" s="2">
        <v>1</v>
      </c>
      <c r="W1688" s="2">
        <v>4</v>
      </c>
      <c r="X1688" s="2">
        <v>1</v>
      </c>
      <c r="AA1688" s="3" t="s">
        <v>1780</v>
      </c>
      <c r="AB1688" s="2">
        <v>3</v>
      </c>
      <c r="AE1688" s="3" t="s">
        <v>1781</v>
      </c>
      <c r="AF1688" s="2">
        <v>35</v>
      </c>
      <c r="AG1688" s="2">
        <v>1</v>
      </c>
      <c r="AH1688" s="3" t="s">
        <v>261</v>
      </c>
      <c r="AI1688" s="4">
        <v>44760</v>
      </c>
      <c r="AJ1688" s="3" t="s">
        <v>1791</v>
      </c>
      <c r="AK1688" s="3" t="s">
        <v>248</v>
      </c>
    </row>
    <row r="1689" spans="1:37" hidden="1" x14ac:dyDescent="0.25">
      <c r="A1689" t="str">
        <f t="shared" si="26"/>
        <v>2022_Qld_Gatton_Chickpea_RainoutTOS1VarietyCBA_CaptainWaterTrtDry</v>
      </c>
      <c r="B1689" s="2">
        <v>2022019</v>
      </c>
      <c r="C1689" s="3" t="s">
        <v>1761</v>
      </c>
      <c r="D1689" s="3" t="s">
        <v>248</v>
      </c>
      <c r="F1689" s="3" t="s">
        <v>249</v>
      </c>
      <c r="G1689" s="3" t="s">
        <v>43</v>
      </c>
      <c r="H1689" s="3" t="s">
        <v>250</v>
      </c>
      <c r="I1689" s="2">
        <v>26</v>
      </c>
      <c r="J1689" s="2">
        <v>26</v>
      </c>
      <c r="K1689" s="2">
        <v>1</v>
      </c>
      <c r="O1689" s="2">
        <v>1</v>
      </c>
      <c r="U1689" s="2">
        <v>4</v>
      </c>
      <c r="V1689" s="2">
        <v>2</v>
      </c>
      <c r="W1689" s="2">
        <v>4</v>
      </c>
      <c r="X1689" s="2">
        <v>2</v>
      </c>
      <c r="AA1689" s="3" t="s">
        <v>1783</v>
      </c>
      <c r="AB1689" s="2">
        <v>2</v>
      </c>
      <c r="AE1689" s="3" t="s">
        <v>1781</v>
      </c>
      <c r="AF1689" s="2">
        <v>35</v>
      </c>
      <c r="AG1689" s="2">
        <v>1</v>
      </c>
      <c r="AH1689" s="3" t="s">
        <v>261</v>
      </c>
      <c r="AI1689" s="4">
        <v>44760</v>
      </c>
      <c r="AJ1689" s="3" t="s">
        <v>1792</v>
      </c>
      <c r="AK1689" s="3" t="s">
        <v>248</v>
      </c>
    </row>
    <row r="1690" spans="1:37" hidden="1" x14ac:dyDescent="0.25">
      <c r="A1690" t="str">
        <f t="shared" si="26"/>
        <v>2022_Qld_Gatton_Chickpea_RainoutTOS1VarietySeamerWaterTrtDry</v>
      </c>
      <c r="B1690" s="2">
        <v>2022019</v>
      </c>
      <c r="C1690" s="3" t="s">
        <v>1761</v>
      </c>
      <c r="D1690" s="3" t="s">
        <v>248</v>
      </c>
      <c r="F1690" s="3" t="s">
        <v>4193</v>
      </c>
      <c r="G1690" s="3" t="s">
        <v>39</v>
      </c>
      <c r="H1690" s="3" t="s">
        <v>250</v>
      </c>
      <c r="I1690" s="2">
        <v>27</v>
      </c>
      <c r="J1690" s="2">
        <v>27</v>
      </c>
      <c r="K1690" s="2">
        <v>2</v>
      </c>
      <c r="O1690" s="2">
        <v>1</v>
      </c>
      <c r="U1690" s="2">
        <v>4</v>
      </c>
      <c r="V1690" s="2">
        <v>3</v>
      </c>
      <c r="W1690" s="2">
        <v>4</v>
      </c>
      <c r="X1690" s="2">
        <v>3</v>
      </c>
      <c r="AA1690" s="3" t="s">
        <v>1783</v>
      </c>
      <c r="AB1690" s="2">
        <v>1</v>
      </c>
      <c r="AE1690" s="3" t="s">
        <v>1781</v>
      </c>
      <c r="AF1690" s="2">
        <v>35</v>
      </c>
      <c r="AG1690" s="2">
        <v>1</v>
      </c>
      <c r="AH1690" s="3" t="s">
        <v>261</v>
      </c>
      <c r="AI1690" s="4">
        <v>44760</v>
      </c>
      <c r="AJ1690" s="3" t="s">
        <v>1793</v>
      </c>
      <c r="AK1690" s="3" t="s">
        <v>248</v>
      </c>
    </row>
    <row r="1691" spans="1:37" hidden="1" x14ac:dyDescent="0.25">
      <c r="A1691" t="str">
        <f t="shared" si="26"/>
        <v>2022_Qld_Gatton_Chickpea_RainoutTOS1VarietyCBA_CaptainWaterTrtSemi_Dry</v>
      </c>
      <c r="B1691" s="2">
        <v>2022019</v>
      </c>
      <c r="C1691" s="3" t="s">
        <v>1761</v>
      </c>
      <c r="D1691" s="3" t="s">
        <v>248</v>
      </c>
      <c r="F1691" s="3" t="s">
        <v>249</v>
      </c>
      <c r="G1691" s="3" t="s">
        <v>43</v>
      </c>
      <c r="H1691" s="3" t="s">
        <v>250</v>
      </c>
      <c r="I1691" s="2">
        <v>28</v>
      </c>
      <c r="J1691" s="2">
        <v>28</v>
      </c>
      <c r="K1691" s="2">
        <v>2</v>
      </c>
      <c r="O1691" s="2">
        <v>1</v>
      </c>
      <c r="U1691" s="2">
        <v>4</v>
      </c>
      <c r="V1691" s="2">
        <v>4</v>
      </c>
      <c r="W1691" s="2">
        <v>4</v>
      </c>
      <c r="X1691" s="2">
        <v>4</v>
      </c>
      <c r="AA1691" s="3" t="s">
        <v>1780</v>
      </c>
      <c r="AB1691" s="2">
        <v>4</v>
      </c>
      <c r="AE1691" s="3" t="s">
        <v>1781</v>
      </c>
      <c r="AF1691" s="2">
        <v>35</v>
      </c>
      <c r="AG1691" s="2">
        <v>1</v>
      </c>
      <c r="AH1691" s="3" t="s">
        <v>261</v>
      </c>
      <c r="AI1691" s="4">
        <v>44760</v>
      </c>
      <c r="AJ1691" s="3" t="s">
        <v>1794</v>
      </c>
      <c r="AK1691" s="3" t="s">
        <v>248</v>
      </c>
    </row>
    <row r="1692" spans="1:37" hidden="1" x14ac:dyDescent="0.25">
      <c r="A1692" t="str">
        <f t="shared" si="26"/>
        <v>2022_Qld_Gatton_Chickpea_RainoutTOS1VarietySeamerWaterTrtSemi_Dry</v>
      </c>
      <c r="B1692" s="2">
        <v>2022019</v>
      </c>
      <c r="C1692" s="3" t="s">
        <v>1761</v>
      </c>
      <c r="D1692" s="3" t="s">
        <v>248</v>
      </c>
      <c r="F1692" s="3" t="s">
        <v>4193</v>
      </c>
      <c r="G1692" s="3" t="s">
        <v>39</v>
      </c>
      <c r="H1692" s="3" t="s">
        <v>250</v>
      </c>
      <c r="I1692" s="2">
        <v>29</v>
      </c>
      <c r="J1692" s="2">
        <v>29</v>
      </c>
      <c r="K1692" s="2">
        <v>3</v>
      </c>
      <c r="O1692" s="2">
        <v>1</v>
      </c>
      <c r="U1692" s="2">
        <v>4</v>
      </c>
      <c r="V1692" s="2">
        <v>5</v>
      </c>
      <c r="W1692" s="2">
        <v>4</v>
      </c>
      <c r="X1692" s="2">
        <v>5</v>
      </c>
      <c r="AA1692" s="3" t="s">
        <v>1780</v>
      </c>
      <c r="AB1692" s="2">
        <v>3</v>
      </c>
      <c r="AE1692" s="3" t="s">
        <v>1781</v>
      </c>
      <c r="AF1692" s="2">
        <v>35</v>
      </c>
      <c r="AG1692" s="2">
        <v>1</v>
      </c>
      <c r="AH1692" s="3" t="s">
        <v>261</v>
      </c>
      <c r="AI1692" s="4">
        <v>44760</v>
      </c>
      <c r="AJ1692" s="3" t="s">
        <v>1795</v>
      </c>
      <c r="AK1692" s="3" t="s">
        <v>248</v>
      </c>
    </row>
    <row r="1693" spans="1:37" hidden="1" x14ac:dyDescent="0.25">
      <c r="A1693" t="str">
        <f t="shared" si="26"/>
        <v>2022_Qld_Gatton_Chickpea_RainoutTOS1VarietyCBA_CaptainWaterTrtSemi_Dry</v>
      </c>
      <c r="B1693" s="2">
        <v>2022019</v>
      </c>
      <c r="C1693" s="3" t="s">
        <v>1761</v>
      </c>
      <c r="D1693" s="3" t="s">
        <v>248</v>
      </c>
      <c r="F1693" s="3" t="s">
        <v>249</v>
      </c>
      <c r="G1693" s="3" t="s">
        <v>43</v>
      </c>
      <c r="H1693" s="3" t="s">
        <v>250</v>
      </c>
      <c r="I1693" s="2">
        <v>30</v>
      </c>
      <c r="J1693" s="2">
        <v>30</v>
      </c>
      <c r="K1693" s="2">
        <v>3</v>
      </c>
      <c r="O1693" s="2">
        <v>1</v>
      </c>
      <c r="U1693" s="2">
        <v>4</v>
      </c>
      <c r="V1693" s="2">
        <v>6</v>
      </c>
      <c r="W1693" s="2">
        <v>4</v>
      </c>
      <c r="X1693" s="2">
        <v>6</v>
      </c>
      <c r="AA1693" s="3" t="s">
        <v>1780</v>
      </c>
      <c r="AB1693" s="2">
        <v>4</v>
      </c>
      <c r="AE1693" s="3" t="s">
        <v>1781</v>
      </c>
      <c r="AF1693" s="2">
        <v>35</v>
      </c>
      <c r="AG1693" s="2">
        <v>1</v>
      </c>
      <c r="AH1693" s="3" t="s">
        <v>261</v>
      </c>
      <c r="AI1693" s="4">
        <v>44760</v>
      </c>
      <c r="AJ1693" s="3" t="s">
        <v>1796</v>
      </c>
      <c r="AK1693" s="3" t="s">
        <v>248</v>
      </c>
    </row>
    <row r="1694" spans="1:37" hidden="1" x14ac:dyDescent="0.25">
      <c r="A1694" t="str">
        <f t="shared" si="26"/>
        <v>2022_Qld_Gatton_Chickpea_RainoutTOS1VarietyCBA_CaptainWaterTrtDry</v>
      </c>
      <c r="B1694" s="2">
        <v>2022019</v>
      </c>
      <c r="C1694" s="3" t="s">
        <v>1761</v>
      </c>
      <c r="D1694" s="3" t="s">
        <v>248</v>
      </c>
      <c r="F1694" s="3" t="s">
        <v>249</v>
      </c>
      <c r="G1694" s="3" t="s">
        <v>43</v>
      </c>
      <c r="H1694" s="3" t="s">
        <v>250</v>
      </c>
      <c r="I1694" s="2">
        <v>31</v>
      </c>
      <c r="J1694" s="2">
        <v>31</v>
      </c>
      <c r="K1694" s="2">
        <v>4</v>
      </c>
      <c r="O1694" s="2">
        <v>1</v>
      </c>
      <c r="U1694" s="2">
        <v>4</v>
      </c>
      <c r="V1694" s="2">
        <v>7</v>
      </c>
      <c r="W1694" s="2">
        <v>4</v>
      </c>
      <c r="X1694" s="2">
        <v>7</v>
      </c>
      <c r="AA1694" s="3" t="s">
        <v>1783</v>
      </c>
      <c r="AB1694" s="2">
        <v>2</v>
      </c>
      <c r="AE1694" s="3" t="s">
        <v>1781</v>
      </c>
      <c r="AF1694" s="2">
        <v>35</v>
      </c>
      <c r="AG1694" s="2">
        <v>1</v>
      </c>
      <c r="AH1694" s="3" t="s">
        <v>261</v>
      </c>
      <c r="AI1694" s="4">
        <v>44760</v>
      </c>
      <c r="AJ1694" s="3" t="s">
        <v>1797</v>
      </c>
      <c r="AK1694" s="3" t="s">
        <v>248</v>
      </c>
    </row>
    <row r="1695" spans="1:37" hidden="1" x14ac:dyDescent="0.25">
      <c r="A1695" t="str">
        <f t="shared" si="26"/>
        <v>2022_Qld_Gatton_Chickpea_RainoutTOS1VarietySeamerWaterTrtDry</v>
      </c>
      <c r="B1695" s="2">
        <v>2022019</v>
      </c>
      <c r="C1695" s="3" t="s">
        <v>1761</v>
      </c>
      <c r="D1695" s="3" t="s">
        <v>248</v>
      </c>
      <c r="F1695" s="3" t="s">
        <v>4193</v>
      </c>
      <c r="G1695" s="3" t="s">
        <v>39</v>
      </c>
      <c r="H1695" s="3" t="s">
        <v>250</v>
      </c>
      <c r="I1695" s="2">
        <v>32</v>
      </c>
      <c r="J1695" s="2">
        <v>32</v>
      </c>
      <c r="K1695" s="2">
        <v>4</v>
      </c>
      <c r="O1695" s="2">
        <v>1</v>
      </c>
      <c r="U1695" s="2">
        <v>4</v>
      </c>
      <c r="V1695" s="2">
        <v>8</v>
      </c>
      <c r="W1695" s="2">
        <v>4</v>
      </c>
      <c r="X1695" s="2">
        <v>8</v>
      </c>
      <c r="AA1695" s="3" t="s">
        <v>1783</v>
      </c>
      <c r="AB1695" s="2">
        <v>1</v>
      </c>
      <c r="AE1695" s="3" t="s">
        <v>1781</v>
      </c>
      <c r="AF1695" s="2">
        <v>35</v>
      </c>
      <c r="AG1695" s="2">
        <v>1</v>
      </c>
      <c r="AH1695" s="3" t="s">
        <v>261</v>
      </c>
      <c r="AI1695" s="4">
        <v>44760</v>
      </c>
      <c r="AJ1695" s="3" t="s">
        <v>1798</v>
      </c>
      <c r="AK1695" s="3" t="s">
        <v>248</v>
      </c>
    </row>
    <row r="1696" spans="1:37" hidden="1" x14ac:dyDescent="0.25">
      <c r="A1696" t="str">
        <f t="shared" si="26"/>
        <v>2023_NSW_WaggaWagga_Fababean_DetailedTOS2VarietyNasmaWaterTrtIrrigated</v>
      </c>
      <c r="B1696" s="2">
        <v>2023020</v>
      </c>
      <c r="C1696" s="3" t="s">
        <v>1799</v>
      </c>
      <c r="D1696" s="3" t="s">
        <v>645</v>
      </c>
      <c r="F1696" s="3" t="s">
        <v>4186</v>
      </c>
      <c r="G1696" s="3" t="s">
        <v>43</v>
      </c>
      <c r="H1696" s="3" t="s">
        <v>253</v>
      </c>
      <c r="I1696" s="2">
        <v>1</v>
      </c>
      <c r="J1696" s="2">
        <v>1</v>
      </c>
      <c r="K1696" s="2">
        <v>1</v>
      </c>
      <c r="O1696" s="2">
        <v>1</v>
      </c>
      <c r="U1696" s="2">
        <v>1</v>
      </c>
      <c r="V1696" s="2">
        <v>2</v>
      </c>
      <c r="W1696" s="2">
        <v>1</v>
      </c>
      <c r="X1696" s="2">
        <v>1</v>
      </c>
      <c r="AA1696" s="3" t="s">
        <v>57</v>
      </c>
      <c r="AB1696" s="2">
        <v>2</v>
      </c>
      <c r="AF1696" s="2">
        <v>30</v>
      </c>
      <c r="AG1696" s="2">
        <v>2</v>
      </c>
      <c r="AH1696" s="3" t="s">
        <v>1800</v>
      </c>
      <c r="AI1696" s="4">
        <v>45077</v>
      </c>
      <c r="AJ1696" s="3" t="s">
        <v>1801</v>
      </c>
      <c r="AK1696" s="3" t="s">
        <v>645</v>
      </c>
    </row>
    <row r="1697" spans="1:37" hidden="1" x14ac:dyDescent="0.25">
      <c r="A1697" t="str">
        <f t="shared" si="26"/>
        <v>2023_NSW_WaggaWagga_Fababean_DetailedTOS2VarietyNasmaWaterTrtIrrigated</v>
      </c>
      <c r="B1697" s="2">
        <v>2023020</v>
      </c>
      <c r="C1697" s="3" t="s">
        <v>1799</v>
      </c>
      <c r="D1697" s="3" t="s">
        <v>645</v>
      </c>
      <c r="F1697" s="3" t="s">
        <v>4186</v>
      </c>
      <c r="G1697" s="3" t="s">
        <v>43</v>
      </c>
      <c r="H1697" s="3" t="s">
        <v>250</v>
      </c>
      <c r="I1697" s="2">
        <v>2</v>
      </c>
      <c r="J1697" s="2">
        <v>1</v>
      </c>
      <c r="K1697" s="2">
        <v>1</v>
      </c>
      <c r="O1697" s="2">
        <v>1</v>
      </c>
      <c r="U1697" s="2">
        <v>1</v>
      </c>
      <c r="V1697" s="2">
        <v>3</v>
      </c>
      <c r="W1697" s="2">
        <v>1</v>
      </c>
      <c r="X1697" s="2">
        <v>2</v>
      </c>
      <c r="Z1697" s="2">
        <v>1</v>
      </c>
      <c r="AA1697" s="3" t="s">
        <v>57</v>
      </c>
      <c r="AB1697" s="2">
        <v>2</v>
      </c>
      <c r="AF1697" s="2">
        <v>30</v>
      </c>
      <c r="AG1697" s="2">
        <v>2</v>
      </c>
      <c r="AH1697" s="3" t="s">
        <v>1800</v>
      </c>
      <c r="AI1697" s="4">
        <v>45077</v>
      </c>
      <c r="AJ1697" s="3" t="s">
        <v>1802</v>
      </c>
      <c r="AK1697" s="3" t="s">
        <v>645</v>
      </c>
    </row>
    <row r="1698" spans="1:37" hidden="1" x14ac:dyDescent="0.25">
      <c r="A1698" t="str">
        <f t="shared" si="26"/>
        <v>2023_NSW_WaggaWagga_Fababean_DetailedTOS2VarietyMarneWaterTrtIrrigated</v>
      </c>
      <c r="B1698" s="2">
        <v>2023020</v>
      </c>
      <c r="C1698" s="3" t="s">
        <v>1799</v>
      </c>
      <c r="D1698" s="3" t="s">
        <v>645</v>
      </c>
      <c r="F1698" s="3" t="s">
        <v>4184</v>
      </c>
      <c r="G1698" s="3" t="s">
        <v>39</v>
      </c>
      <c r="H1698" s="3" t="s">
        <v>253</v>
      </c>
      <c r="I1698" s="2">
        <v>3</v>
      </c>
      <c r="J1698" s="2">
        <v>2</v>
      </c>
      <c r="K1698" s="2">
        <v>1</v>
      </c>
      <c r="O1698" s="2">
        <v>1</v>
      </c>
      <c r="U1698" s="2">
        <v>2</v>
      </c>
      <c r="V1698" s="2">
        <v>2</v>
      </c>
      <c r="W1698" s="2">
        <v>2</v>
      </c>
      <c r="X1698" s="2">
        <v>1</v>
      </c>
      <c r="AA1698" s="3" t="s">
        <v>57</v>
      </c>
      <c r="AB1698" s="2">
        <v>3</v>
      </c>
      <c r="AF1698" s="2">
        <v>30</v>
      </c>
      <c r="AG1698" s="2">
        <v>2</v>
      </c>
      <c r="AH1698" s="3" t="s">
        <v>1800</v>
      </c>
      <c r="AI1698" s="4">
        <v>45077</v>
      </c>
      <c r="AJ1698" s="3" t="s">
        <v>1803</v>
      </c>
      <c r="AK1698" s="3" t="s">
        <v>645</v>
      </c>
    </row>
    <row r="1699" spans="1:37" hidden="1" x14ac:dyDescent="0.25">
      <c r="A1699" t="str">
        <f t="shared" si="26"/>
        <v>2023_NSW_WaggaWagga_Fababean_DetailedTOS2VarietyMarneWaterTrtIrrigated</v>
      </c>
      <c r="B1699" s="2">
        <v>2023020</v>
      </c>
      <c r="C1699" s="3" t="s">
        <v>1799</v>
      </c>
      <c r="D1699" s="3" t="s">
        <v>645</v>
      </c>
      <c r="F1699" s="3" t="s">
        <v>4184</v>
      </c>
      <c r="G1699" s="3" t="s">
        <v>39</v>
      </c>
      <c r="H1699" s="3" t="s">
        <v>250</v>
      </c>
      <c r="I1699" s="2">
        <v>4</v>
      </c>
      <c r="J1699" s="2">
        <v>2</v>
      </c>
      <c r="K1699" s="2">
        <v>1</v>
      </c>
      <c r="O1699" s="2">
        <v>1</v>
      </c>
      <c r="U1699" s="2">
        <v>2</v>
      </c>
      <c r="V1699" s="2">
        <v>3</v>
      </c>
      <c r="W1699" s="2">
        <v>2</v>
      </c>
      <c r="X1699" s="2">
        <v>2</v>
      </c>
      <c r="Z1699" s="2">
        <v>2</v>
      </c>
      <c r="AA1699" s="3" t="s">
        <v>57</v>
      </c>
      <c r="AB1699" s="2">
        <v>3</v>
      </c>
      <c r="AF1699" s="2">
        <v>30</v>
      </c>
      <c r="AG1699" s="2">
        <v>2</v>
      </c>
      <c r="AH1699" s="3" t="s">
        <v>1800</v>
      </c>
      <c r="AI1699" s="4">
        <v>45077</v>
      </c>
      <c r="AJ1699" s="3" t="s">
        <v>1804</v>
      </c>
      <c r="AK1699" s="3" t="s">
        <v>645</v>
      </c>
    </row>
    <row r="1700" spans="1:37" hidden="1" x14ac:dyDescent="0.25">
      <c r="A1700" t="str">
        <f t="shared" si="26"/>
        <v>2023_NSW_WaggaWagga_Fababean_DetailedTOS2VarietySamiraWaterTrtIrrigated</v>
      </c>
      <c r="B1700" s="2">
        <v>2023020</v>
      </c>
      <c r="C1700" s="3" t="s">
        <v>1799</v>
      </c>
      <c r="D1700" s="3" t="s">
        <v>645</v>
      </c>
      <c r="F1700" s="3" t="s">
        <v>4183</v>
      </c>
      <c r="G1700" s="3" t="s">
        <v>43</v>
      </c>
      <c r="H1700" s="3" t="s">
        <v>253</v>
      </c>
      <c r="I1700" s="2">
        <v>5</v>
      </c>
      <c r="J1700" s="2">
        <v>3</v>
      </c>
      <c r="K1700" s="2">
        <v>2</v>
      </c>
      <c r="O1700" s="2">
        <v>1</v>
      </c>
      <c r="U1700" s="2">
        <v>3</v>
      </c>
      <c r="V1700" s="2">
        <v>2</v>
      </c>
      <c r="W1700" s="2">
        <v>3</v>
      </c>
      <c r="X1700" s="2">
        <v>1</v>
      </c>
      <c r="AA1700" s="3" t="s">
        <v>57</v>
      </c>
      <c r="AB1700" s="2">
        <v>4</v>
      </c>
      <c r="AF1700" s="2">
        <v>30</v>
      </c>
      <c r="AG1700" s="2">
        <v>2</v>
      </c>
      <c r="AH1700" s="3" t="s">
        <v>1800</v>
      </c>
      <c r="AI1700" s="4">
        <v>45077</v>
      </c>
      <c r="AJ1700" s="3" t="s">
        <v>1805</v>
      </c>
      <c r="AK1700" s="3" t="s">
        <v>645</v>
      </c>
    </row>
    <row r="1701" spans="1:37" hidden="1" x14ac:dyDescent="0.25">
      <c r="A1701" t="str">
        <f t="shared" si="26"/>
        <v>2023_NSW_WaggaWagga_Fababean_DetailedTOS2VarietySamiraWaterTrtIrrigated</v>
      </c>
      <c r="B1701" s="2">
        <v>2023020</v>
      </c>
      <c r="C1701" s="3" t="s">
        <v>1799</v>
      </c>
      <c r="D1701" s="3" t="s">
        <v>645</v>
      </c>
      <c r="F1701" s="3" t="s">
        <v>4183</v>
      </c>
      <c r="G1701" s="3" t="s">
        <v>43</v>
      </c>
      <c r="H1701" s="3" t="s">
        <v>250</v>
      </c>
      <c r="I1701" s="2">
        <v>6</v>
      </c>
      <c r="J1701" s="2">
        <v>3</v>
      </c>
      <c r="K1701" s="2">
        <v>2</v>
      </c>
      <c r="O1701" s="2">
        <v>1</v>
      </c>
      <c r="U1701" s="2">
        <v>3</v>
      </c>
      <c r="V1701" s="2">
        <v>3</v>
      </c>
      <c r="W1701" s="2">
        <v>3</v>
      </c>
      <c r="X1701" s="2">
        <v>2</v>
      </c>
      <c r="Z1701" s="2">
        <v>3</v>
      </c>
      <c r="AA1701" s="3" t="s">
        <v>57</v>
      </c>
      <c r="AB1701" s="2">
        <v>4</v>
      </c>
      <c r="AF1701" s="2">
        <v>30</v>
      </c>
      <c r="AG1701" s="2">
        <v>2</v>
      </c>
      <c r="AH1701" s="3" t="s">
        <v>1800</v>
      </c>
      <c r="AI1701" s="4">
        <v>45077</v>
      </c>
      <c r="AJ1701" s="3" t="s">
        <v>1806</v>
      </c>
      <c r="AK1701" s="3" t="s">
        <v>645</v>
      </c>
    </row>
    <row r="1702" spans="1:37" hidden="1" x14ac:dyDescent="0.25">
      <c r="A1702" t="str">
        <f t="shared" si="26"/>
        <v>2023_NSW_WaggaWagga_Fababean_DetailedTOS2VarietyAmberleyWaterTrtIrrigated</v>
      </c>
      <c r="B1702" s="2">
        <v>2023020</v>
      </c>
      <c r="C1702" s="3" t="s">
        <v>1799</v>
      </c>
      <c r="D1702" s="3" t="s">
        <v>645</v>
      </c>
      <c r="F1702" s="3" t="s">
        <v>4185</v>
      </c>
      <c r="G1702" s="3" t="s">
        <v>39</v>
      </c>
      <c r="H1702" s="3" t="s">
        <v>253</v>
      </c>
      <c r="I1702" s="2">
        <v>7</v>
      </c>
      <c r="J1702" s="2">
        <v>4</v>
      </c>
      <c r="K1702" s="2">
        <v>2</v>
      </c>
      <c r="O1702" s="2">
        <v>1</v>
      </c>
      <c r="U1702" s="2">
        <v>4</v>
      </c>
      <c r="V1702" s="2">
        <v>2</v>
      </c>
      <c r="W1702" s="2">
        <v>4</v>
      </c>
      <c r="X1702" s="2">
        <v>1</v>
      </c>
      <c r="AA1702" s="3" t="s">
        <v>57</v>
      </c>
      <c r="AB1702" s="2">
        <v>1</v>
      </c>
      <c r="AF1702" s="2">
        <v>30</v>
      </c>
      <c r="AG1702" s="2">
        <v>2</v>
      </c>
      <c r="AH1702" s="3" t="s">
        <v>1800</v>
      </c>
      <c r="AI1702" s="4">
        <v>45077</v>
      </c>
      <c r="AJ1702" s="3" t="s">
        <v>1807</v>
      </c>
      <c r="AK1702" s="3" t="s">
        <v>645</v>
      </c>
    </row>
    <row r="1703" spans="1:37" hidden="1" x14ac:dyDescent="0.25">
      <c r="A1703" t="str">
        <f t="shared" si="26"/>
        <v>2023_NSW_WaggaWagga_Fababean_DetailedTOS2VarietyAmberleyWaterTrtIrrigated</v>
      </c>
      <c r="B1703" s="2">
        <v>2023020</v>
      </c>
      <c r="C1703" s="3" t="s">
        <v>1799</v>
      </c>
      <c r="D1703" s="3" t="s">
        <v>645</v>
      </c>
      <c r="F1703" s="3" t="s">
        <v>4185</v>
      </c>
      <c r="G1703" s="3" t="s">
        <v>39</v>
      </c>
      <c r="H1703" s="3" t="s">
        <v>250</v>
      </c>
      <c r="I1703" s="2">
        <v>8</v>
      </c>
      <c r="J1703" s="2">
        <v>4</v>
      </c>
      <c r="K1703" s="2">
        <v>2</v>
      </c>
      <c r="O1703" s="2">
        <v>1</v>
      </c>
      <c r="U1703" s="2">
        <v>4</v>
      </c>
      <c r="V1703" s="2">
        <v>3</v>
      </c>
      <c r="W1703" s="2">
        <v>4</v>
      </c>
      <c r="X1703" s="2">
        <v>2</v>
      </c>
      <c r="Z1703" s="2">
        <v>4</v>
      </c>
      <c r="AA1703" s="3" t="s">
        <v>57</v>
      </c>
      <c r="AB1703" s="2">
        <v>1</v>
      </c>
      <c r="AF1703" s="2">
        <v>30</v>
      </c>
      <c r="AG1703" s="2">
        <v>2</v>
      </c>
      <c r="AH1703" s="3" t="s">
        <v>1800</v>
      </c>
      <c r="AI1703" s="4">
        <v>45077</v>
      </c>
      <c r="AJ1703" s="3" t="s">
        <v>1808</v>
      </c>
      <c r="AK1703" s="3" t="s">
        <v>645</v>
      </c>
    </row>
    <row r="1704" spans="1:37" hidden="1" x14ac:dyDescent="0.25">
      <c r="A1704" t="str">
        <f t="shared" si="26"/>
        <v>2023_NSW_WaggaWagga_Fababean_DetailedTOS1VarietySamiraWaterTrtIrrigated</v>
      </c>
      <c r="B1704" s="2">
        <v>2023020</v>
      </c>
      <c r="C1704" s="3" t="s">
        <v>1799</v>
      </c>
      <c r="D1704" s="3" t="s">
        <v>645</v>
      </c>
      <c r="F1704" s="3" t="s">
        <v>4183</v>
      </c>
      <c r="G1704" s="3" t="s">
        <v>43</v>
      </c>
      <c r="H1704" s="3" t="s">
        <v>253</v>
      </c>
      <c r="I1704" s="2">
        <v>9</v>
      </c>
      <c r="J1704" s="2">
        <v>5</v>
      </c>
      <c r="K1704" s="2">
        <v>1</v>
      </c>
      <c r="O1704" s="2">
        <v>2</v>
      </c>
      <c r="U1704" s="2">
        <v>1</v>
      </c>
      <c r="V1704" s="2">
        <v>6</v>
      </c>
      <c r="W1704" s="2">
        <v>1</v>
      </c>
      <c r="X1704" s="2">
        <v>3</v>
      </c>
      <c r="AA1704" s="3" t="s">
        <v>57</v>
      </c>
      <c r="AB1704" s="2">
        <v>4</v>
      </c>
      <c r="AF1704" s="2">
        <v>30</v>
      </c>
      <c r="AG1704" s="2">
        <v>1</v>
      </c>
      <c r="AH1704" s="3" t="s">
        <v>1809</v>
      </c>
      <c r="AI1704" s="4">
        <v>45042</v>
      </c>
      <c r="AJ1704" s="3" t="s">
        <v>1810</v>
      </c>
      <c r="AK1704" s="3" t="s">
        <v>645</v>
      </c>
    </row>
    <row r="1705" spans="1:37" hidden="1" x14ac:dyDescent="0.25">
      <c r="A1705" t="str">
        <f t="shared" si="26"/>
        <v>2023_NSW_WaggaWagga_Fababean_DetailedTOS1VarietySamiraWaterTrtIrrigated</v>
      </c>
      <c r="B1705" s="2">
        <v>2023020</v>
      </c>
      <c r="C1705" s="3" t="s">
        <v>1799</v>
      </c>
      <c r="D1705" s="3" t="s">
        <v>645</v>
      </c>
      <c r="F1705" s="3" t="s">
        <v>4183</v>
      </c>
      <c r="G1705" s="3" t="s">
        <v>43</v>
      </c>
      <c r="H1705" s="3" t="s">
        <v>250</v>
      </c>
      <c r="I1705" s="2">
        <v>10</v>
      </c>
      <c r="J1705" s="2">
        <v>5</v>
      </c>
      <c r="K1705" s="2">
        <v>1</v>
      </c>
      <c r="O1705" s="2">
        <v>2</v>
      </c>
      <c r="U1705" s="2">
        <v>1</v>
      </c>
      <c r="V1705" s="2">
        <v>7</v>
      </c>
      <c r="W1705" s="2">
        <v>1</v>
      </c>
      <c r="X1705" s="2">
        <v>4</v>
      </c>
      <c r="Z1705" s="2">
        <v>16</v>
      </c>
      <c r="AA1705" s="3" t="s">
        <v>57</v>
      </c>
      <c r="AB1705" s="2">
        <v>4</v>
      </c>
      <c r="AF1705" s="2">
        <v>30</v>
      </c>
      <c r="AG1705" s="2">
        <v>1</v>
      </c>
      <c r="AH1705" s="3" t="s">
        <v>1809</v>
      </c>
      <c r="AI1705" s="4">
        <v>45042</v>
      </c>
      <c r="AJ1705" s="3" t="s">
        <v>1811</v>
      </c>
      <c r="AK1705" s="3" t="s">
        <v>645</v>
      </c>
    </row>
    <row r="1706" spans="1:37" hidden="1" x14ac:dyDescent="0.25">
      <c r="A1706" t="str">
        <f t="shared" si="26"/>
        <v>2023_NSW_WaggaWagga_Fababean_DetailedTOS1VarietyAmberleyWaterTrtIrrigated</v>
      </c>
      <c r="B1706" s="2">
        <v>2023020</v>
      </c>
      <c r="C1706" s="3" t="s">
        <v>1799</v>
      </c>
      <c r="D1706" s="3" t="s">
        <v>645</v>
      </c>
      <c r="F1706" s="3" t="s">
        <v>4185</v>
      </c>
      <c r="G1706" s="3" t="s">
        <v>39</v>
      </c>
      <c r="H1706" s="3" t="s">
        <v>253</v>
      </c>
      <c r="I1706" s="2">
        <v>11</v>
      </c>
      <c r="J1706" s="2">
        <v>6</v>
      </c>
      <c r="K1706" s="2">
        <v>1</v>
      </c>
      <c r="O1706" s="2">
        <v>2</v>
      </c>
      <c r="U1706" s="2">
        <v>2</v>
      </c>
      <c r="V1706" s="2">
        <v>6</v>
      </c>
      <c r="W1706" s="2">
        <v>2</v>
      </c>
      <c r="X1706" s="2">
        <v>3</v>
      </c>
      <c r="AA1706" s="3" t="s">
        <v>57</v>
      </c>
      <c r="AB1706" s="2">
        <v>1</v>
      </c>
      <c r="AF1706" s="2">
        <v>30</v>
      </c>
      <c r="AG1706" s="2">
        <v>1</v>
      </c>
      <c r="AH1706" s="3" t="s">
        <v>1809</v>
      </c>
      <c r="AI1706" s="4">
        <v>45042</v>
      </c>
      <c r="AJ1706" s="3" t="s">
        <v>1812</v>
      </c>
      <c r="AK1706" s="3" t="s">
        <v>645</v>
      </c>
    </row>
    <row r="1707" spans="1:37" hidden="1" x14ac:dyDescent="0.25">
      <c r="A1707" t="str">
        <f t="shared" si="26"/>
        <v>2023_NSW_WaggaWagga_Fababean_DetailedTOS1VarietyAmberleyWaterTrtIrrigated</v>
      </c>
      <c r="B1707" s="2">
        <v>2023020</v>
      </c>
      <c r="C1707" s="3" t="s">
        <v>1799</v>
      </c>
      <c r="D1707" s="3" t="s">
        <v>645</v>
      </c>
      <c r="F1707" s="3" t="s">
        <v>4185</v>
      </c>
      <c r="G1707" s="3" t="s">
        <v>39</v>
      </c>
      <c r="H1707" s="3" t="s">
        <v>250</v>
      </c>
      <c r="I1707" s="2">
        <v>12</v>
      </c>
      <c r="J1707" s="2">
        <v>6</v>
      </c>
      <c r="K1707" s="2">
        <v>1</v>
      </c>
      <c r="O1707" s="2">
        <v>2</v>
      </c>
      <c r="U1707" s="2">
        <v>2</v>
      </c>
      <c r="V1707" s="2">
        <v>7</v>
      </c>
      <c r="W1707" s="2">
        <v>2</v>
      </c>
      <c r="X1707" s="2">
        <v>4</v>
      </c>
      <c r="Z1707" s="2">
        <v>15</v>
      </c>
      <c r="AA1707" s="3" t="s">
        <v>57</v>
      </c>
      <c r="AB1707" s="2">
        <v>1</v>
      </c>
      <c r="AF1707" s="2">
        <v>30</v>
      </c>
      <c r="AG1707" s="2">
        <v>1</v>
      </c>
      <c r="AH1707" s="3" t="s">
        <v>1809</v>
      </c>
      <c r="AI1707" s="4">
        <v>45042</v>
      </c>
      <c r="AJ1707" s="3" t="s">
        <v>1813</v>
      </c>
      <c r="AK1707" s="3" t="s">
        <v>645</v>
      </c>
    </row>
    <row r="1708" spans="1:37" hidden="1" x14ac:dyDescent="0.25">
      <c r="A1708" t="str">
        <f t="shared" si="26"/>
        <v>2023_NSW_WaggaWagga_Fababean_DetailedTOS1VarietyMarneWaterTrtIrrigated</v>
      </c>
      <c r="B1708" s="2">
        <v>2023020</v>
      </c>
      <c r="C1708" s="3" t="s">
        <v>1799</v>
      </c>
      <c r="D1708" s="3" t="s">
        <v>645</v>
      </c>
      <c r="F1708" s="3" t="s">
        <v>4184</v>
      </c>
      <c r="G1708" s="3" t="s">
        <v>39</v>
      </c>
      <c r="H1708" s="3" t="s">
        <v>253</v>
      </c>
      <c r="I1708" s="2">
        <v>13</v>
      </c>
      <c r="J1708" s="2">
        <v>7</v>
      </c>
      <c r="K1708" s="2">
        <v>2</v>
      </c>
      <c r="O1708" s="2">
        <v>2</v>
      </c>
      <c r="U1708" s="2">
        <v>3</v>
      </c>
      <c r="V1708" s="2">
        <v>6</v>
      </c>
      <c r="W1708" s="2">
        <v>3</v>
      </c>
      <c r="X1708" s="2">
        <v>3</v>
      </c>
      <c r="AA1708" s="3" t="s">
        <v>57</v>
      </c>
      <c r="AB1708" s="2">
        <v>3</v>
      </c>
      <c r="AF1708" s="2">
        <v>30</v>
      </c>
      <c r="AG1708" s="2">
        <v>1</v>
      </c>
      <c r="AH1708" s="3" t="s">
        <v>1809</v>
      </c>
      <c r="AI1708" s="4">
        <v>45042</v>
      </c>
      <c r="AJ1708" s="3" t="s">
        <v>1814</v>
      </c>
      <c r="AK1708" s="3" t="s">
        <v>645</v>
      </c>
    </row>
    <row r="1709" spans="1:37" hidden="1" x14ac:dyDescent="0.25">
      <c r="A1709" t="str">
        <f t="shared" si="26"/>
        <v>2023_NSW_WaggaWagga_Fababean_DetailedTOS1VarietyMarneWaterTrtIrrigated</v>
      </c>
      <c r="B1709" s="2">
        <v>2023020</v>
      </c>
      <c r="C1709" s="3" t="s">
        <v>1799</v>
      </c>
      <c r="D1709" s="3" t="s">
        <v>645</v>
      </c>
      <c r="F1709" s="3" t="s">
        <v>4184</v>
      </c>
      <c r="G1709" s="3" t="s">
        <v>39</v>
      </c>
      <c r="H1709" s="3" t="s">
        <v>250</v>
      </c>
      <c r="I1709" s="2">
        <v>14</v>
      </c>
      <c r="J1709" s="2">
        <v>7</v>
      </c>
      <c r="K1709" s="2">
        <v>2</v>
      </c>
      <c r="O1709" s="2">
        <v>2</v>
      </c>
      <c r="U1709" s="2">
        <v>3</v>
      </c>
      <c r="V1709" s="2">
        <v>7</v>
      </c>
      <c r="W1709" s="2">
        <v>3</v>
      </c>
      <c r="X1709" s="2">
        <v>4</v>
      </c>
      <c r="Z1709" s="2">
        <v>14</v>
      </c>
      <c r="AA1709" s="3" t="s">
        <v>57</v>
      </c>
      <c r="AB1709" s="2">
        <v>3</v>
      </c>
      <c r="AF1709" s="2">
        <v>30</v>
      </c>
      <c r="AG1709" s="2">
        <v>1</v>
      </c>
      <c r="AH1709" s="3" t="s">
        <v>1809</v>
      </c>
      <c r="AI1709" s="4">
        <v>45042</v>
      </c>
      <c r="AJ1709" s="3" t="s">
        <v>1815</v>
      </c>
      <c r="AK1709" s="3" t="s">
        <v>645</v>
      </c>
    </row>
    <row r="1710" spans="1:37" hidden="1" x14ac:dyDescent="0.25">
      <c r="A1710" t="str">
        <f t="shared" si="26"/>
        <v>2023_NSW_WaggaWagga_Fababean_DetailedTOS1VarietyNasmaWaterTrtIrrigated</v>
      </c>
      <c r="B1710" s="2">
        <v>2023020</v>
      </c>
      <c r="C1710" s="3" t="s">
        <v>1799</v>
      </c>
      <c r="D1710" s="3" t="s">
        <v>645</v>
      </c>
      <c r="F1710" s="3" t="s">
        <v>4186</v>
      </c>
      <c r="G1710" s="3" t="s">
        <v>43</v>
      </c>
      <c r="H1710" s="3" t="s">
        <v>253</v>
      </c>
      <c r="I1710" s="2">
        <v>15</v>
      </c>
      <c r="J1710" s="2">
        <v>8</v>
      </c>
      <c r="K1710" s="2">
        <v>2</v>
      </c>
      <c r="O1710" s="2">
        <v>2</v>
      </c>
      <c r="U1710" s="2">
        <v>4</v>
      </c>
      <c r="V1710" s="2">
        <v>6</v>
      </c>
      <c r="W1710" s="2">
        <v>4</v>
      </c>
      <c r="X1710" s="2">
        <v>3</v>
      </c>
      <c r="AA1710" s="3" t="s">
        <v>57</v>
      </c>
      <c r="AB1710" s="2">
        <v>2</v>
      </c>
      <c r="AF1710" s="2">
        <v>30</v>
      </c>
      <c r="AG1710" s="2">
        <v>1</v>
      </c>
      <c r="AH1710" s="3" t="s">
        <v>1809</v>
      </c>
      <c r="AI1710" s="4">
        <v>45042</v>
      </c>
      <c r="AJ1710" s="3" t="s">
        <v>1816</v>
      </c>
      <c r="AK1710" s="3" t="s">
        <v>645</v>
      </c>
    </row>
    <row r="1711" spans="1:37" hidden="1" x14ac:dyDescent="0.25">
      <c r="A1711" t="str">
        <f t="shared" si="26"/>
        <v>2023_NSW_WaggaWagga_Fababean_DetailedTOS1VarietyNasmaWaterTrtIrrigated</v>
      </c>
      <c r="B1711" s="2">
        <v>2023020</v>
      </c>
      <c r="C1711" s="3" t="s">
        <v>1799</v>
      </c>
      <c r="D1711" s="3" t="s">
        <v>645</v>
      </c>
      <c r="F1711" s="3" t="s">
        <v>4186</v>
      </c>
      <c r="G1711" s="3" t="s">
        <v>43</v>
      </c>
      <c r="H1711" s="3" t="s">
        <v>250</v>
      </c>
      <c r="I1711" s="2">
        <v>16</v>
      </c>
      <c r="J1711" s="2">
        <v>8</v>
      </c>
      <c r="K1711" s="2">
        <v>2</v>
      </c>
      <c r="O1711" s="2">
        <v>2</v>
      </c>
      <c r="U1711" s="2">
        <v>4</v>
      </c>
      <c r="V1711" s="2">
        <v>7</v>
      </c>
      <c r="W1711" s="2">
        <v>4</v>
      </c>
      <c r="X1711" s="2">
        <v>4</v>
      </c>
      <c r="Z1711" s="2">
        <v>13</v>
      </c>
      <c r="AA1711" s="3" t="s">
        <v>57</v>
      </c>
      <c r="AB1711" s="2">
        <v>2</v>
      </c>
      <c r="AF1711" s="2">
        <v>30</v>
      </c>
      <c r="AG1711" s="2">
        <v>1</v>
      </c>
      <c r="AH1711" s="3" t="s">
        <v>1809</v>
      </c>
      <c r="AI1711" s="4">
        <v>45042</v>
      </c>
      <c r="AJ1711" s="3" t="s">
        <v>1817</v>
      </c>
      <c r="AK1711" s="3" t="s">
        <v>645</v>
      </c>
    </row>
    <row r="1712" spans="1:37" hidden="1" x14ac:dyDescent="0.25">
      <c r="A1712" t="str">
        <f t="shared" si="26"/>
        <v>2023_NSW_WaggaWagga_Fababean_DetailedTOS2VarietyMarneWaterTrtIrrigated</v>
      </c>
      <c r="B1712" s="2">
        <v>2023020</v>
      </c>
      <c r="C1712" s="3" t="s">
        <v>1799</v>
      </c>
      <c r="D1712" s="3" t="s">
        <v>645</v>
      </c>
      <c r="F1712" s="3" t="s">
        <v>4184</v>
      </c>
      <c r="G1712" s="3" t="s">
        <v>39</v>
      </c>
      <c r="H1712" s="3" t="s">
        <v>253</v>
      </c>
      <c r="I1712" s="2">
        <v>17</v>
      </c>
      <c r="J1712" s="2">
        <v>9</v>
      </c>
      <c r="K1712" s="2">
        <v>1</v>
      </c>
      <c r="O1712" s="2">
        <v>3</v>
      </c>
      <c r="U1712" s="2">
        <v>1</v>
      </c>
      <c r="V1712" s="2">
        <v>10</v>
      </c>
      <c r="W1712" s="2">
        <v>1</v>
      </c>
      <c r="X1712" s="2">
        <v>5</v>
      </c>
      <c r="AA1712" s="3" t="s">
        <v>57</v>
      </c>
      <c r="AB1712" s="2">
        <v>3</v>
      </c>
      <c r="AF1712" s="2">
        <v>30</v>
      </c>
      <c r="AG1712" s="2">
        <v>2</v>
      </c>
      <c r="AH1712" s="3" t="s">
        <v>1800</v>
      </c>
      <c r="AI1712" s="4">
        <v>45077</v>
      </c>
      <c r="AJ1712" s="3" t="s">
        <v>1818</v>
      </c>
      <c r="AK1712" s="3" t="s">
        <v>645</v>
      </c>
    </row>
    <row r="1713" spans="1:37" hidden="1" x14ac:dyDescent="0.25">
      <c r="A1713" t="str">
        <f t="shared" si="26"/>
        <v>2023_NSW_WaggaWagga_Fababean_DetailedTOS2VarietyMarneWaterTrtIrrigated</v>
      </c>
      <c r="B1713" s="2">
        <v>2023020</v>
      </c>
      <c r="C1713" s="3" t="s">
        <v>1799</v>
      </c>
      <c r="D1713" s="3" t="s">
        <v>645</v>
      </c>
      <c r="F1713" s="3" t="s">
        <v>4184</v>
      </c>
      <c r="G1713" s="3" t="s">
        <v>39</v>
      </c>
      <c r="H1713" s="3" t="s">
        <v>250</v>
      </c>
      <c r="I1713" s="2">
        <v>18</v>
      </c>
      <c r="J1713" s="2">
        <v>9</v>
      </c>
      <c r="K1713" s="2">
        <v>1</v>
      </c>
      <c r="O1713" s="2">
        <v>3</v>
      </c>
      <c r="U1713" s="2">
        <v>1</v>
      </c>
      <c r="V1713" s="2">
        <v>11</v>
      </c>
      <c r="W1713" s="2">
        <v>1</v>
      </c>
      <c r="X1713" s="2">
        <v>6</v>
      </c>
      <c r="Z1713" s="2">
        <v>17</v>
      </c>
      <c r="AA1713" s="3" t="s">
        <v>57</v>
      </c>
      <c r="AB1713" s="2">
        <v>3</v>
      </c>
      <c r="AF1713" s="2">
        <v>30</v>
      </c>
      <c r="AG1713" s="2">
        <v>2</v>
      </c>
      <c r="AH1713" s="3" t="s">
        <v>1800</v>
      </c>
      <c r="AI1713" s="4">
        <v>45077</v>
      </c>
      <c r="AJ1713" s="3" t="s">
        <v>1819</v>
      </c>
      <c r="AK1713" s="3" t="s">
        <v>645</v>
      </c>
    </row>
    <row r="1714" spans="1:37" hidden="1" x14ac:dyDescent="0.25">
      <c r="A1714" t="str">
        <f t="shared" si="26"/>
        <v>2023_NSW_WaggaWagga_Fababean_DetailedTOS2VarietyNasmaWaterTrtIrrigated</v>
      </c>
      <c r="B1714" s="2">
        <v>2023020</v>
      </c>
      <c r="C1714" s="3" t="s">
        <v>1799</v>
      </c>
      <c r="D1714" s="3" t="s">
        <v>645</v>
      </c>
      <c r="F1714" s="3" t="s">
        <v>4186</v>
      </c>
      <c r="G1714" s="3" t="s">
        <v>43</v>
      </c>
      <c r="H1714" s="3" t="s">
        <v>253</v>
      </c>
      <c r="I1714" s="2">
        <v>19</v>
      </c>
      <c r="J1714" s="2">
        <v>10</v>
      </c>
      <c r="K1714" s="2">
        <v>1</v>
      </c>
      <c r="O1714" s="2">
        <v>3</v>
      </c>
      <c r="U1714" s="2">
        <v>2</v>
      </c>
      <c r="V1714" s="2">
        <v>10</v>
      </c>
      <c r="W1714" s="2">
        <v>2</v>
      </c>
      <c r="X1714" s="2">
        <v>5</v>
      </c>
      <c r="AA1714" s="3" t="s">
        <v>57</v>
      </c>
      <c r="AB1714" s="2">
        <v>2</v>
      </c>
      <c r="AF1714" s="2">
        <v>30</v>
      </c>
      <c r="AG1714" s="2">
        <v>2</v>
      </c>
      <c r="AH1714" s="3" t="s">
        <v>1800</v>
      </c>
      <c r="AI1714" s="4">
        <v>45077</v>
      </c>
      <c r="AJ1714" s="3" t="s">
        <v>1820</v>
      </c>
      <c r="AK1714" s="3" t="s">
        <v>645</v>
      </c>
    </row>
    <row r="1715" spans="1:37" hidden="1" x14ac:dyDescent="0.25">
      <c r="A1715" t="str">
        <f t="shared" si="26"/>
        <v>2023_NSW_WaggaWagga_Fababean_DetailedTOS2VarietyNasmaWaterTrtIrrigated</v>
      </c>
      <c r="B1715" s="2">
        <v>2023020</v>
      </c>
      <c r="C1715" s="3" t="s">
        <v>1799</v>
      </c>
      <c r="D1715" s="3" t="s">
        <v>645</v>
      </c>
      <c r="F1715" s="3" t="s">
        <v>4186</v>
      </c>
      <c r="G1715" s="3" t="s">
        <v>43</v>
      </c>
      <c r="H1715" s="3" t="s">
        <v>250</v>
      </c>
      <c r="I1715" s="2">
        <v>20</v>
      </c>
      <c r="J1715" s="2">
        <v>10</v>
      </c>
      <c r="K1715" s="2">
        <v>1</v>
      </c>
      <c r="O1715" s="2">
        <v>3</v>
      </c>
      <c r="U1715" s="2">
        <v>2</v>
      </c>
      <c r="V1715" s="2">
        <v>11</v>
      </c>
      <c r="W1715" s="2">
        <v>2</v>
      </c>
      <c r="X1715" s="2">
        <v>6</v>
      </c>
      <c r="Z1715" s="2">
        <v>18</v>
      </c>
      <c r="AA1715" s="3" t="s">
        <v>57</v>
      </c>
      <c r="AB1715" s="2">
        <v>2</v>
      </c>
      <c r="AF1715" s="2">
        <v>30</v>
      </c>
      <c r="AG1715" s="2">
        <v>2</v>
      </c>
      <c r="AH1715" s="3" t="s">
        <v>1800</v>
      </c>
      <c r="AI1715" s="4">
        <v>45077</v>
      </c>
      <c r="AJ1715" s="3" t="s">
        <v>1821</v>
      </c>
      <c r="AK1715" s="3" t="s">
        <v>645</v>
      </c>
    </row>
    <row r="1716" spans="1:37" hidden="1" x14ac:dyDescent="0.25">
      <c r="A1716" t="str">
        <f t="shared" si="26"/>
        <v>2023_NSW_WaggaWagga_Fababean_DetailedTOS2VarietyAmberleyWaterTrtIrrigated</v>
      </c>
      <c r="B1716" s="2">
        <v>2023020</v>
      </c>
      <c r="C1716" s="3" t="s">
        <v>1799</v>
      </c>
      <c r="D1716" s="3" t="s">
        <v>645</v>
      </c>
      <c r="F1716" s="3" t="s">
        <v>4185</v>
      </c>
      <c r="G1716" s="3" t="s">
        <v>39</v>
      </c>
      <c r="H1716" s="3" t="s">
        <v>253</v>
      </c>
      <c r="I1716" s="2">
        <v>21</v>
      </c>
      <c r="J1716" s="2">
        <v>11</v>
      </c>
      <c r="K1716" s="2">
        <v>2</v>
      </c>
      <c r="O1716" s="2">
        <v>3</v>
      </c>
      <c r="U1716" s="2">
        <v>3</v>
      </c>
      <c r="V1716" s="2">
        <v>10</v>
      </c>
      <c r="W1716" s="2">
        <v>3</v>
      </c>
      <c r="X1716" s="2">
        <v>5</v>
      </c>
      <c r="AA1716" s="3" t="s">
        <v>57</v>
      </c>
      <c r="AB1716" s="2">
        <v>1</v>
      </c>
      <c r="AF1716" s="2">
        <v>30</v>
      </c>
      <c r="AG1716" s="2">
        <v>2</v>
      </c>
      <c r="AH1716" s="3" t="s">
        <v>1800</v>
      </c>
      <c r="AI1716" s="4">
        <v>45077</v>
      </c>
      <c r="AJ1716" s="3" t="s">
        <v>1822</v>
      </c>
      <c r="AK1716" s="3" t="s">
        <v>645</v>
      </c>
    </row>
    <row r="1717" spans="1:37" hidden="1" x14ac:dyDescent="0.25">
      <c r="A1717" t="str">
        <f t="shared" si="26"/>
        <v>2023_NSW_WaggaWagga_Fababean_DetailedTOS2VarietyAmberleyWaterTrtIrrigated</v>
      </c>
      <c r="B1717" s="2">
        <v>2023020</v>
      </c>
      <c r="C1717" s="3" t="s">
        <v>1799</v>
      </c>
      <c r="D1717" s="3" t="s">
        <v>645</v>
      </c>
      <c r="F1717" s="3" t="s">
        <v>4185</v>
      </c>
      <c r="G1717" s="3" t="s">
        <v>39</v>
      </c>
      <c r="H1717" s="3" t="s">
        <v>250</v>
      </c>
      <c r="I1717" s="2">
        <v>22</v>
      </c>
      <c r="J1717" s="2">
        <v>11</v>
      </c>
      <c r="K1717" s="2">
        <v>2</v>
      </c>
      <c r="O1717" s="2">
        <v>3</v>
      </c>
      <c r="U1717" s="2">
        <v>3</v>
      </c>
      <c r="V1717" s="2">
        <v>11</v>
      </c>
      <c r="W1717" s="2">
        <v>3</v>
      </c>
      <c r="X1717" s="2">
        <v>6</v>
      </c>
      <c r="Z1717" s="2">
        <v>19</v>
      </c>
      <c r="AA1717" s="3" t="s">
        <v>57</v>
      </c>
      <c r="AB1717" s="2">
        <v>1</v>
      </c>
      <c r="AF1717" s="2">
        <v>30</v>
      </c>
      <c r="AG1717" s="2">
        <v>2</v>
      </c>
      <c r="AH1717" s="3" t="s">
        <v>1800</v>
      </c>
      <c r="AI1717" s="4">
        <v>45077</v>
      </c>
      <c r="AJ1717" s="3" t="s">
        <v>1823</v>
      </c>
      <c r="AK1717" s="3" t="s">
        <v>645</v>
      </c>
    </row>
    <row r="1718" spans="1:37" hidden="1" x14ac:dyDescent="0.25">
      <c r="A1718" t="str">
        <f t="shared" si="26"/>
        <v>2023_NSW_WaggaWagga_Fababean_DetailedTOS2VarietySamiraWaterTrtIrrigated</v>
      </c>
      <c r="B1718" s="2">
        <v>2023020</v>
      </c>
      <c r="C1718" s="3" t="s">
        <v>1799</v>
      </c>
      <c r="D1718" s="3" t="s">
        <v>645</v>
      </c>
      <c r="F1718" s="3" t="s">
        <v>4183</v>
      </c>
      <c r="G1718" s="3" t="s">
        <v>43</v>
      </c>
      <c r="H1718" s="3" t="s">
        <v>253</v>
      </c>
      <c r="I1718" s="2">
        <v>23</v>
      </c>
      <c r="J1718" s="2">
        <v>12</v>
      </c>
      <c r="K1718" s="2">
        <v>2</v>
      </c>
      <c r="O1718" s="2">
        <v>3</v>
      </c>
      <c r="U1718" s="2">
        <v>4</v>
      </c>
      <c r="V1718" s="2">
        <v>10</v>
      </c>
      <c r="W1718" s="2">
        <v>4</v>
      </c>
      <c r="X1718" s="2">
        <v>5</v>
      </c>
      <c r="AA1718" s="3" t="s">
        <v>57</v>
      </c>
      <c r="AB1718" s="2">
        <v>4</v>
      </c>
      <c r="AF1718" s="2">
        <v>30</v>
      </c>
      <c r="AG1718" s="2">
        <v>2</v>
      </c>
      <c r="AH1718" s="3" t="s">
        <v>1800</v>
      </c>
      <c r="AI1718" s="4">
        <v>45077</v>
      </c>
      <c r="AJ1718" s="3" t="s">
        <v>1824</v>
      </c>
      <c r="AK1718" s="3" t="s">
        <v>645</v>
      </c>
    </row>
    <row r="1719" spans="1:37" hidden="1" x14ac:dyDescent="0.25">
      <c r="A1719" t="str">
        <f t="shared" si="26"/>
        <v>2023_NSW_WaggaWagga_Fababean_DetailedTOS2VarietySamiraWaterTrtIrrigated</v>
      </c>
      <c r="B1719" s="2">
        <v>2023020</v>
      </c>
      <c r="C1719" s="3" t="s">
        <v>1799</v>
      </c>
      <c r="D1719" s="3" t="s">
        <v>645</v>
      </c>
      <c r="F1719" s="3" t="s">
        <v>4183</v>
      </c>
      <c r="G1719" s="3" t="s">
        <v>43</v>
      </c>
      <c r="H1719" s="3" t="s">
        <v>250</v>
      </c>
      <c r="I1719" s="2">
        <v>24</v>
      </c>
      <c r="J1719" s="2">
        <v>12</v>
      </c>
      <c r="K1719" s="2">
        <v>2</v>
      </c>
      <c r="O1719" s="2">
        <v>3</v>
      </c>
      <c r="U1719" s="2">
        <v>4</v>
      </c>
      <c r="V1719" s="2">
        <v>11</v>
      </c>
      <c r="W1719" s="2">
        <v>4</v>
      </c>
      <c r="X1719" s="2">
        <v>6</v>
      </c>
      <c r="Z1719" s="2">
        <v>20</v>
      </c>
      <c r="AA1719" s="3" t="s">
        <v>57</v>
      </c>
      <c r="AB1719" s="2">
        <v>4</v>
      </c>
      <c r="AF1719" s="2">
        <v>30</v>
      </c>
      <c r="AG1719" s="2">
        <v>2</v>
      </c>
      <c r="AH1719" s="3" t="s">
        <v>1800</v>
      </c>
      <c r="AI1719" s="4">
        <v>45077</v>
      </c>
      <c r="AJ1719" s="3" t="s">
        <v>1825</v>
      </c>
      <c r="AK1719" s="3" t="s">
        <v>645</v>
      </c>
    </row>
    <row r="1720" spans="1:37" hidden="1" x14ac:dyDescent="0.25">
      <c r="A1720" t="str">
        <f t="shared" si="26"/>
        <v>2023_NSW_WaggaWagga_Fababean_DetailedTOS1VarietyAmberleyWaterTrtIrrigated</v>
      </c>
      <c r="B1720" s="2">
        <v>2023020</v>
      </c>
      <c r="C1720" s="3" t="s">
        <v>1799</v>
      </c>
      <c r="D1720" s="3" t="s">
        <v>645</v>
      </c>
      <c r="F1720" s="3" t="s">
        <v>4185</v>
      </c>
      <c r="G1720" s="3" t="s">
        <v>39</v>
      </c>
      <c r="H1720" s="3" t="s">
        <v>253</v>
      </c>
      <c r="I1720" s="2">
        <v>25</v>
      </c>
      <c r="J1720" s="2">
        <v>13</v>
      </c>
      <c r="K1720" s="2">
        <v>1</v>
      </c>
      <c r="O1720" s="2">
        <v>4</v>
      </c>
      <c r="U1720" s="2">
        <v>1</v>
      </c>
      <c r="V1720" s="2">
        <v>14</v>
      </c>
      <c r="W1720" s="2">
        <v>1</v>
      </c>
      <c r="X1720" s="2">
        <v>7</v>
      </c>
      <c r="AA1720" s="3" t="s">
        <v>57</v>
      </c>
      <c r="AB1720" s="2">
        <v>1</v>
      </c>
      <c r="AF1720" s="2">
        <v>30</v>
      </c>
      <c r="AG1720" s="2">
        <v>1</v>
      </c>
      <c r="AH1720" s="3" t="s">
        <v>1809</v>
      </c>
      <c r="AI1720" s="4">
        <v>45042</v>
      </c>
      <c r="AJ1720" s="3" t="s">
        <v>1826</v>
      </c>
      <c r="AK1720" s="3" t="s">
        <v>645</v>
      </c>
    </row>
    <row r="1721" spans="1:37" hidden="1" x14ac:dyDescent="0.25">
      <c r="A1721" t="str">
        <f t="shared" si="26"/>
        <v>2023_NSW_WaggaWagga_Fababean_DetailedTOS1VarietyAmberleyWaterTrtIrrigated</v>
      </c>
      <c r="B1721" s="2">
        <v>2023020</v>
      </c>
      <c r="C1721" s="3" t="s">
        <v>1799</v>
      </c>
      <c r="D1721" s="3" t="s">
        <v>645</v>
      </c>
      <c r="F1721" s="3" t="s">
        <v>4185</v>
      </c>
      <c r="G1721" s="3" t="s">
        <v>39</v>
      </c>
      <c r="H1721" s="3" t="s">
        <v>250</v>
      </c>
      <c r="I1721" s="2">
        <v>26</v>
      </c>
      <c r="J1721" s="2">
        <v>13</v>
      </c>
      <c r="K1721" s="2">
        <v>1</v>
      </c>
      <c r="O1721" s="2">
        <v>4</v>
      </c>
      <c r="U1721" s="2">
        <v>1</v>
      </c>
      <c r="V1721" s="2">
        <v>15</v>
      </c>
      <c r="W1721" s="2">
        <v>1</v>
      </c>
      <c r="X1721" s="2">
        <v>8</v>
      </c>
      <c r="Z1721" s="2">
        <v>32</v>
      </c>
      <c r="AA1721" s="3" t="s">
        <v>57</v>
      </c>
      <c r="AB1721" s="2">
        <v>1</v>
      </c>
      <c r="AF1721" s="2">
        <v>30</v>
      </c>
      <c r="AG1721" s="2">
        <v>1</v>
      </c>
      <c r="AH1721" s="3" t="s">
        <v>1809</v>
      </c>
      <c r="AI1721" s="4">
        <v>45042</v>
      </c>
      <c r="AJ1721" s="3" t="s">
        <v>1827</v>
      </c>
      <c r="AK1721" s="3" t="s">
        <v>645</v>
      </c>
    </row>
    <row r="1722" spans="1:37" hidden="1" x14ac:dyDescent="0.25">
      <c r="A1722" t="str">
        <f t="shared" si="26"/>
        <v>2023_NSW_WaggaWagga_Fababean_DetailedTOS1VarietySamiraWaterTrtIrrigated</v>
      </c>
      <c r="B1722" s="2">
        <v>2023020</v>
      </c>
      <c r="C1722" s="3" t="s">
        <v>1799</v>
      </c>
      <c r="D1722" s="3" t="s">
        <v>645</v>
      </c>
      <c r="F1722" s="3" t="s">
        <v>4183</v>
      </c>
      <c r="G1722" s="3" t="s">
        <v>43</v>
      </c>
      <c r="H1722" s="3" t="s">
        <v>253</v>
      </c>
      <c r="I1722" s="2">
        <v>27</v>
      </c>
      <c r="J1722" s="2">
        <v>14</v>
      </c>
      <c r="K1722" s="2">
        <v>1</v>
      </c>
      <c r="O1722" s="2">
        <v>4</v>
      </c>
      <c r="U1722" s="2">
        <v>2</v>
      </c>
      <c r="V1722" s="2">
        <v>14</v>
      </c>
      <c r="W1722" s="2">
        <v>2</v>
      </c>
      <c r="X1722" s="2">
        <v>7</v>
      </c>
      <c r="AA1722" s="3" t="s">
        <v>57</v>
      </c>
      <c r="AB1722" s="2">
        <v>4</v>
      </c>
      <c r="AF1722" s="2">
        <v>30</v>
      </c>
      <c r="AG1722" s="2">
        <v>1</v>
      </c>
      <c r="AH1722" s="3" t="s">
        <v>1809</v>
      </c>
      <c r="AI1722" s="4">
        <v>45042</v>
      </c>
      <c r="AJ1722" s="3" t="s">
        <v>1828</v>
      </c>
      <c r="AK1722" s="3" t="s">
        <v>645</v>
      </c>
    </row>
    <row r="1723" spans="1:37" hidden="1" x14ac:dyDescent="0.25">
      <c r="A1723" t="str">
        <f t="shared" si="26"/>
        <v>2023_NSW_WaggaWagga_Fababean_DetailedTOS1VarietySamiraWaterTrtIrrigated</v>
      </c>
      <c r="B1723" s="2">
        <v>2023020</v>
      </c>
      <c r="C1723" s="3" t="s">
        <v>1799</v>
      </c>
      <c r="D1723" s="3" t="s">
        <v>645</v>
      </c>
      <c r="F1723" s="3" t="s">
        <v>4183</v>
      </c>
      <c r="G1723" s="3" t="s">
        <v>43</v>
      </c>
      <c r="H1723" s="3" t="s">
        <v>250</v>
      </c>
      <c r="I1723" s="2">
        <v>28</v>
      </c>
      <c r="J1723" s="2">
        <v>14</v>
      </c>
      <c r="K1723" s="2">
        <v>1</v>
      </c>
      <c r="O1723" s="2">
        <v>4</v>
      </c>
      <c r="U1723" s="2">
        <v>2</v>
      </c>
      <c r="V1723" s="2">
        <v>15</v>
      </c>
      <c r="W1723" s="2">
        <v>2</v>
      </c>
      <c r="X1723" s="2">
        <v>8</v>
      </c>
      <c r="Z1723" s="2">
        <v>31</v>
      </c>
      <c r="AA1723" s="3" t="s">
        <v>57</v>
      </c>
      <c r="AB1723" s="2">
        <v>4</v>
      </c>
      <c r="AF1723" s="2">
        <v>30</v>
      </c>
      <c r="AG1723" s="2">
        <v>1</v>
      </c>
      <c r="AH1723" s="3" t="s">
        <v>1809</v>
      </c>
      <c r="AI1723" s="4">
        <v>45042</v>
      </c>
      <c r="AJ1723" s="3" t="s">
        <v>1829</v>
      </c>
      <c r="AK1723" s="3" t="s">
        <v>645</v>
      </c>
    </row>
    <row r="1724" spans="1:37" hidden="1" x14ac:dyDescent="0.25">
      <c r="A1724" t="str">
        <f t="shared" si="26"/>
        <v>2023_NSW_WaggaWagga_Fababean_DetailedTOS1VarietyNasmaWaterTrtIrrigated</v>
      </c>
      <c r="B1724" s="2">
        <v>2023020</v>
      </c>
      <c r="C1724" s="3" t="s">
        <v>1799</v>
      </c>
      <c r="D1724" s="3" t="s">
        <v>645</v>
      </c>
      <c r="F1724" s="3" t="s">
        <v>4186</v>
      </c>
      <c r="G1724" s="3" t="s">
        <v>43</v>
      </c>
      <c r="H1724" s="3" t="s">
        <v>253</v>
      </c>
      <c r="I1724" s="2">
        <v>29</v>
      </c>
      <c r="J1724" s="2">
        <v>15</v>
      </c>
      <c r="K1724" s="2">
        <v>2</v>
      </c>
      <c r="O1724" s="2">
        <v>4</v>
      </c>
      <c r="U1724" s="2">
        <v>3</v>
      </c>
      <c r="V1724" s="2">
        <v>14</v>
      </c>
      <c r="W1724" s="2">
        <v>3</v>
      </c>
      <c r="X1724" s="2">
        <v>7</v>
      </c>
      <c r="AA1724" s="3" t="s">
        <v>57</v>
      </c>
      <c r="AB1724" s="2">
        <v>2</v>
      </c>
      <c r="AF1724" s="2">
        <v>30</v>
      </c>
      <c r="AG1724" s="2">
        <v>1</v>
      </c>
      <c r="AH1724" s="3" t="s">
        <v>1809</v>
      </c>
      <c r="AI1724" s="4">
        <v>45042</v>
      </c>
      <c r="AJ1724" s="3" t="s">
        <v>1830</v>
      </c>
      <c r="AK1724" s="3" t="s">
        <v>645</v>
      </c>
    </row>
    <row r="1725" spans="1:37" hidden="1" x14ac:dyDescent="0.25">
      <c r="A1725" t="str">
        <f t="shared" si="26"/>
        <v>2023_NSW_WaggaWagga_Fababean_DetailedTOS1VarietyNasmaWaterTrtIrrigated</v>
      </c>
      <c r="B1725" s="2">
        <v>2023020</v>
      </c>
      <c r="C1725" s="3" t="s">
        <v>1799</v>
      </c>
      <c r="D1725" s="3" t="s">
        <v>645</v>
      </c>
      <c r="F1725" s="3" t="s">
        <v>4186</v>
      </c>
      <c r="G1725" s="3" t="s">
        <v>43</v>
      </c>
      <c r="H1725" s="3" t="s">
        <v>250</v>
      </c>
      <c r="I1725" s="2">
        <v>30</v>
      </c>
      <c r="J1725" s="2">
        <v>15</v>
      </c>
      <c r="K1725" s="2">
        <v>2</v>
      </c>
      <c r="O1725" s="2">
        <v>4</v>
      </c>
      <c r="U1725" s="2">
        <v>3</v>
      </c>
      <c r="V1725" s="2">
        <v>15</v>
      </c>
      <c r="W1725" s="2">
        <v>3</v>
      </c>
      <c r="X1725" s="2">
        <v>8</v>
      </c>
      <c r="Z1725" s="2">
        <v>30</v>
      </c>
      <c r="AA1725" s="3" t="s">
        <v>57</v>
      </c>
      <c r="AB1725" s="2">
        <v>2</v>
      </c>
      <c r="AF1725" s="2">
        <v>30</v>
      </c>
      <c r="AG1725" s="2">
        <v>1</v>
      </c>
      <c r="AH1725" s="3" t="s">
        <v>1809</v>
      </c>
      <c r="AI1725" s="4">
        <v>45042</v>
      </c>
      <c r="AJ1725" s="3" t="s">
        <v>1831</v>
      </c>
      <c r="AK1725" s="3" t="s">
        <v>645</v>
      </c>
    </row>
    <row r="1726" spans="1:37" hidden="1" x14ac:dyDescent="0.25">
      <c r="A1726" t="str">
        <f t="shared" si="26"/>
        <v>2023_NSW_WaggaWagga_Fababean_DetailedTOS1VarietyMarneWaterTrtIrrigated</v>
      </c>
      <c r="B1726" s="2">
        <v>2023020</v>
      </c>
      <c r="C1726" s="3" t="s">
        <v>1799</v>
      </c>
      <c r="D1726" s="3" t="s">
        <v>645</v>
      </c>
      <c r="F1726" s="3" t="s">
        <v>4184</v>
      </c>
      <c r="G1726" s="3" t="s">
        <v>39</v>
      </c>
      <c r="H1726" s="3" t="s">
        <v>253</v>
      </c>
      <c r="I1726" s="2">
        <v>31</v>
      </c>
      <c r="J1726" s="2">
        <v>16</v>
      </c>
      <c r="K1726" s="2">
        <v>2</v>
      </c>
      <c r="O1726" s="2">
        <v>4</v>
      </c>
      <c r="U1726" s="2">
        <v>4</v>
      </c>
      <c r="V1726" s="2">
        <v>14</v>
      </c>
      <c r="W1726" s="2">
        <v>4</v>
      </c>
      <c r="X1726" s="2">
        <v>7</v>
      </c>
      <c r="AA1726" s="3" t="s">
        <v>57</v>
      </c>
      <c r="AB1726" s="2">
        <v>3</v>
      </c>
      <c r="AF1726" s="2">
        <v>30</v>
      </c>
      <c r="AG1726" s="2">
        <v>1</v>
      </c>
      <c r="AH1726" s="3" t="s">
        <v>1809</v>
      </c>
      <c r="AI1726" s="4">
        <v>45042</v>
      </c>
      <c r="AJ1726" s="3" t="s">
        <v>1832</v>
      </c>
      <c r="AK1726" s="3" t="s">
        <v>645</v>
      </c>
    </row>
    <row r="1727" spans="1:37" hidden="1" x14ac:dyDescent="0.25">
      <c r="A1727" t="str">
        <f t="shared" si="26"/>
        <v>2023_NSW_WaggaWagga_Fababean_DetailedTOS1VarietyMarneWaterTrtIrrigated</v>
      </c>
      <c r="B1727" s="2">
        <v>2023020</v>
      </c>
      <c r="C1727" s="3" t="s">
        <v>1799</v>
      </c>
      <c r="D1727" s="3" t="s">
        <v>645</v>
      </c>
      <c r="F1727" s="3" t="s">
        <v>4184</v>
      </c>
      <c r="G1727" s="3" t="s">
        <v>39</v>
      </c>
      <c r="H1727" s="3" t="s">
        <v>250</v>
      </c>
      <c r="I1727" s="2">
        <v>32</v>
      </c>
      <c r="J1727" s="2">
        <v>16</v>
      </c>
      <c r="K1727" s="2">
        <v>2</v>
      </c>
      <c r="O1727" s="2">
        <v>4</v>
      </c>
      <c r="U1727" s="2">
        <v>4</v>
      </c>
      <c r="V1727" s="2">
        <v>15</v>
      </c>
      <c r="W1727" s="2">
        <v>4</v>
      </c>
      <c r="X1727" s="2">
        <v>8</v>
      </c>
      <c r="Z1727" s="2">
        <v>29</v>
      </c>
      <c r="AA1727" s="3" t="s">
        <v>57</v>
      </c>
      <c r="AB1727" s="2">
        <v>3</v>
      </c>
      <c r="AF1727" s="2">
        <v>30</v>
      </c>
      <c r="AG1727" s="2">
        <v>1</v>
      </c>
      <c r="AH1727" s="3" t="s">
        <v>1809</v>
      </c>
      <c r="AI1727" s="4">
        <v>45042</v>
      </c>
      <c r="AJ1727" s="3" t="s">
        <v>1833</v>
      </c>
      <c r="AK1727" s="3" t="s">
        <v>645</v>
      </c>
    </row>
    <row r="1728" spans="1:37" hidden="1" x14ac:dyDescent="0.25">
      <c r="A1728" t="str">
        <f t="shared" si="26"/>
        <v>2023_NSW_WaggaWagga_Fababean_DetailedTOS1VarietyNasmaWaterTrtRainFed</v>
      </c>
      <c r="B1728" s="2">
        <v>2023020</v>
      </c>
      <c r="C1728" s="3" t="s">
        <v>1799</v>
      </c>
      <c r="D1728" s="3" t="s">
        <v>645</v>
      </c>
      <c r="F1728" s="3" t="s">
        <v>4186</v>
      </c>
      <c r="G1728" s="3" t="s">
        <v>43</v>
      </c>
      <c r="H1728" s="3" t="s">
        <v>253</v>
      </c>
      <c r="I1728" s="2">
        <v>33</v>
      </c>
      <c r="J1728" s="2">
        <v>17</v>
      </c>
      <c r="K1728" s="2">
        <v>1</v>
      </c>
      <c r="O1728" s="2">
        <v>5</v>
      </c>
      <c r="U1728" s="2">
        <v>1</v>
      </c>
      <c r="V1728" s="2">
        <v>18</v>
      </c>
      <c r="W1728" s="2">
        <v>1</v>
      </c>
      <c r="X1728" s="2">
        <v>9</v>
      </c>
      <c r="AA1728" s="3" t="s">
        <v>40</v>
      </c>
      <c r="AB1728" s="2">
        <v>2</v>
      </c>
      <c r="AF1728" s="2">
        <v>30</v>
      </c>
      <c r="AG1728" s="2">
        <v>1</v>
      </c>
      <c r="AH1728" s="3" t="s">
        <v>1809</v>
      </c>
      <c r="AI1728" s="4">
        <v>45042</v>
      </c>
      <c r="AJ1728" s="3" t="s">
        <v>1834</v>
      </c>
      <c r="AK1728" s="3" t="s">
        <v>645</v>
      </c>
    </row>
    <row r="1729" spans="1:37" hidden="1" x14ac:dyDescent="0.25">
      <c r="A1729" t="str">
        <f t="shared" si="26"/>
        <v>2023_NSW_WaggaWagga_Fababean_DetailedTOS1VarietyNasmaWaterTrtRainFed</v>
      </c>
      <c r="B1729" s="2">
        <v>2023020</v>
      </c>
      <c r="C1729" s="3" t="s">
        <v>1799</v>
      </c>
      <c r="D1729" s="3" t="s">
        <v>645</v>
      </c>
      <c r="F1729" s="3" t="s">
        <v>4186</v>
      </c>
      <c r="G1729" s="3" t="s">
        <v>43</v>
      </c>
      <c r="H1729" s="3" t="s">
        <v>250</v>
      </c>
      <c r="I1729" s="2">
        <v>34</v>
      </c>
      <c r="J1729" s="2">
        <v>17</v>
      </c>
      <c r="K1729" s="2">
        <v>1</v>
      </c>
      <c r="O1729" s="2">
        <v>5</v>
      </c>
      <c r="U1729" s="2">
        <v>1</v>
      </c>
      <c r="V1729" s="2">
        <v>19</v>
      </c>
      <c r="W1729" s="2">
        <v>1</v>
      </c>
      <c r="X1729" s="2">
        <v>10</v>
      </c>
      <c r="Z1729" s="2">
        <v>33</v>
      </c>
      <c r="AA1729" s="3" t="s">
        <v>40</v>
      </c>
      <c r="AB1729" s="2">
        <v>2</v>
      </c>
      <c r="AF1729" s="2">
        <v>30</v>
      </c>
      <c r="AG1729" s="2">
        <v>1</v>
      </c>
      <c r="AH1729" s="3" t="s">
        <v>1809</v>
      </c>
      <c r="AI1729" s="4">
        <v>45042</v>
      </c>
      <c r="AJ1729" s="3" t="s">
        <v>1835</v>
      </c>
      <c r="AK1729" s="3" t="s">
        <v>645</v>
      </c>
    </row>
    <row r="1730" spans="1:37" hidden="1" x14ac:dyDescent="0.25">
      <c r="A1730" t="str">
        <f t="shared" si="26"/>
        <v>2023_NSW_WaggaWagga_Fababean_DetailedTOS1VarietyMarneWaterTrtRainFed</v>
      </c>
      <c r="B1730" s="2">
        <v>2023020</v>
      </c>
      <c r="C1730" s="3" t="s">
        <v>1799</v>
      </c>
      <c r="D1730" s="3" t="s">
        <v>645</v>
      </c>
      <c r="F1730" s="3" t="s">
        <v>4184</v>
      </c>
      <c r="G1730" s="3" t="s">
        <v>39</v>
      </c>
      <c r="H1730" s="3" t="s">
        <v>253</v>
      </c>
      <c r="I1730" s="2">
        <v>35</v>
      </c>
      <c r="J1730" s="2">
        <v>18</v>
      </c>
      <c r="K1730" s="2">
        <v>1</v>
      </c>
      <c r="O1730" s="2">
        <v>5</v>
      </c>
      <c r="U1730" s="2">
        <v>2</v>
      </c>
      <c r="V1730" s="2">
        <v>18</v>
      </c>
      <c r="W1730" s="2">
        <v>2</v>
      </c>
      <c r="X1730" s="2">
        <v>9</v>
      </c>
      <c r="AA1730" s="3" t="s">
        <v>40</v>
      </c>
      <c r="AB1730" s="2">
        <v>3</v>
      </c>
      <c r="AF1730" s="2">
        <v>30</v>
      </c>
      <c r="AG1730" s="2">
        <v>1</v>
      </c>
      <c r="AH1730" s="3" t="s">
        <v>1809</v>
      </c>
      <c r="AI1730" s="4">
        <v>45042</v>
      </c>
      <c r="AJ1730" s="3" t="s">
        <v>1836</v>
      </c>
      <c r="AK1730" s="3" t="s">
        <v>645</v>
      </c>
    </row>
    <row r="1731" spans="1:37" hidden="1" x14ac:dyDescent="0.25">
      <c r="A1731" t="str">
        <f t="shared" ref="A1731:A1794" si="27">C1731&amp;"TOS"&amp;AG1731&amp;"Variety"&amp;F1731&amp;"WaterTrt"&amp;AA1731&amp;IF(AC1731="","","Agronomy"&amp;AC1731)</f>
        <v>2023_NSW_WaggaWagga_Fababean_DetailedTOS1VarietyMarneWaterTrtRainFed</v>
      </c>
      <c r="B1731" s="2">
        <v>2023020</v>
      </c>
      <c r="C1731" s="3" t="s">
        <v>1799</v>
      </c>
      <c r="D1731" s="3" t="s">
        <v>645</v>
      </c>
      <c r="F1731" s="3" t="s">
        <v>4184</v>
      </c>
      <c r="G1731" s="3" t="s">
        <v>39</v>
      </c>
      <c r="H1731" s="3" t="s">
        <v>250</v>
      </c>
      <c r="I1731" s="2">
        <v>36</v>
      </c>
      <c r="J1731" s="2">
        <v>18</v>
      </c>
      <c r="K1731" s="2">
        <v>1</v>
      </c>
      <c r="O1731" s="2">
        <v>5</v>
      </c>
      <c r="U1731" s="2">
        <v>2</v>
      </c>
      <c r="V1731" s="2">
        <v>19</v>
      </c>
      <c r="W1731" s="2">
        <v>2</v>
      </c>
      <c r="X1731" s="2">
        <v>10</v>
      </c>
      <c r="Z1731" s="2">
        <v>34</v>
      </c>
      <c r="AA1731" s="3" t="s">
        <v>40</v>
      </c>
      <c r="AB1731" s="2">
        <v>3</v>
      </c>
      <c r="AF1731" s="2">
        <v>30</v>
      </c>
      <c r="AG1731" s="2">
        <v>1</v>
      </c>
      <c r="AH1731" s="3" t="s">
        <v>1809</v>
      </c>
      <c r="AI1731" s="4">
        <v>45042</v>
      </c>
      <c r="AJ1731" s="3" t="s">
        <v>1837</v>
      </c>
      <c r="AK1731" s="3" t="s">
        <v>645</v>
      </c>
    </row>
    <row r="1732" spans="1:37" hidden="1" x14ac:dyDescent="0.25">
      <c r="A1732" t="str">
        <f t="shared" si="27"/>
        <v>2023_NSW_WaggaWagga_Fababean_DetailedTOS1VarietyAmberleyWaterTrtRainFed</v>
      </c>
      <c r="B1732" s="2">
        <v>2023020</v>
      </c>
      <c r="C1732" s="3" t="s">
        <v>1799</v>
      </c>
      <c r="D1732" s="3" t="s">
        <v>645</v>
      </c>
      <c r="F1732" s="3" t="s">
        <v>4185</v>
      </c>
      <c r="G1732" s="3" t="s">
        <v>39</v>
      </c>
      <c r="H1732" s="3" t="s">
        <v>253</v>
      </c>
      <c r="I1732" s="2">
        <v>37</v>
      </c>
      <c r="J1732" s="2">
        <v>19</v>
      </c>
      <c r="K1732" s="2">
        <v>2</v>
      </c>
      <c r="O1732" s="2">
        <v>5</v>
      </c>
      <c r="U1732" s="2">
        <v>3</v>
      </c>
      <c r="V1732" s="2">
        <v>18</v>
      </c>
      <c r="W1732" s="2">
        <v>3</v>
      </c>
      <c r="X1732" s="2">
        <v>9</v>
      </c>
      <c r="AA1732" s="3" t="s">
        <v>40</v>
      </c>
      <c r="AB1732" s="2">
        <v>1</v>
      </c>
      <c r="AF1732" s="2">
        <v>30</v>
      </c>
      <c r="AG1732" s="2">
        <v>1</v>
      </c>
      <c r="AH1732" s="3" t="s">
        <v>1809</v>
      </c>
      <c r="AI1732" s="4">
        <v>45042</v>
      </c>
      <c r="AJ1732" s="3" t="s">
        <v>1838</v>
      </c>
      <c r="AK1732" s="3" t="s">
        <v>645</v>
      </c>
    </row>
    <row r="1733" spans="1:37" hidden="1" x14ac:dyDescent="0.25">
      <c r="A1733" t="str">
        <f t="shared" si="27"/>
        <v>2023_NSW_WaggaWagga_Fababean_DetailedTOS1VarietyAmberleyWaterTrtRainFed</v>
      </c>
      <c r="B1733" s="2">
        <v>2023020</v>
      </c>
      <c r="C1733" s="3" t="s">
        <v>1799</v>
      </c>
      <c r="D1733" s="3" t="s">
        <v>645</v>
      </c>
      <c r="F1733" s="3" t="s">
        <v>4185</v>
      </c>
      <c r="G1733" s="3" t="s">
        <v>39</v>
      </c>
      <c r="H1733" s="3" t="s">
        <v>250</v>
      </c>
      <c r="I1733" s="2">
        <v>38</v>
      </c>
      <c r="J1733" s="2">
        <v>19</v>
      </c>
      <c r="K1733" s="2">
        <v>2</v>
      </c>
      <c r="O1733" s="2">
        <v>5</v>
      </c>
      <c r="U1733" s="2">
        <v>3</v>
      </c>
      <c r="V1733" s="2">
        <v>19</v>
      </c>
      <c r="W1733" s="2">
        <v>3</v>
      </c>
      <c r="X1733" s="2">
        <v>10</v>
      </c>
      <c r="Z1733" s="2">
        <v>35</v>
      </c>
      <c r="AA1733" s="3" t="s">
        <v>40</v>
      </c>
      <c r="AB1733" s="2">
        <v>1</v>
      </c>
      <c r="AF1733" s="2">
        <v>30</v>
      </c>
      <c r="AG1733" s="2">
        <v>1</v>
      </c>
      <c r="AH1733" s="3" t="s">
        <v>1809</v>
      </c>
      <c r="AI1733" s="4">
        <v>45042</v>
      </c>
      <c r="AJ1733" s="3" t="s">
        <v>1839</v>
      </c>
      <c r="AK1733" s="3" t="s">
        <v>645</v>
      </c>
    </row>
    <row r="1734" spans="1:37" hidden="1" x14ac:dyDescent="0.25">
      <c r="A1734" t="str">
        <f t="shared" si="27"/>
        <v>2023_NSW_WaggaWagga_Fababean_DetailedTOS1VarietySamiraWaterTrtRainFed</v>
      </c>
      <c r="B1734" s="2">
        <v>2023020</v>
      </c>
      <c r="C1734" s="3" t="s">
        <v>1799</v>
      </c>
      <c r="D1734" s="3" t="s">
        <v>645</v>
      </c>
      <c r="F1734" s="3" t="s">
        <v>4183</v>
      </c>
      <c r="G1734" s="3" t="s">
        <v>43</v>
      </c>
      <c r="H1734" s="3" t="s">
        <v>253</v>
      </c>
      <c r="I1734" s="2">
        <v>39</v>
      </c>
      <c r="J1734" s="2">
        <v>20</v>
      </c>
      <c r="K1734" s="2">
        <v>2</v>
      </c>
      <c r="O1734" s="2">
        <v>5</v>
      </c>
      <c r="U1734" s="2">
        <v>4</v>
      </c>
      <c r="V1734" s="2">
        <v>18</v>
      </c>
      <c r="W1734" s="2">
        <v>4</v>
      </c>
      <c r="X1734" s="2">
        <v>9</v>
      </c>
      <c r="AA1734" s="3" t="s">
        <v>40</v>
      </c>
      <c r="AB1734" s="2">
        <v>4</v>
      </c>
      <c r="AF1734" s="2">
        <v>30</v>
      </c>
      <c r="AG1734" s="2">
        <v>1</v>
      </c>
      <c r="AH1734" s="3" t="s">
        <v>1809</v>
      </c>
      <c r="AI1734" s="4">
        <v>45042</v>
      </c>
      <c r="AJ1734" s="3" t="s">
        <v>1840</v>
      </c>
      <c r="AK1734" s="3" t="s">
        <v>645</v>
      </c>
    </row>
    <row r="1735" spans="1:37" hidden="1" x14ac:dyDescent="0.25">
      <c r="A1735" t="str">
        <f t="shared" si="27"/>
        <v>2023_NSW_WaggaWagga_Fababean_DetailedTOS1VarietySamiraWaterTrtRainFed</v>
      </c>
      <c r="B1735" s="2">
        <v>2023020</v>
      </c>
      <c r="C1735" s="3" t="s">
        <v>1799</v>
      </c>
      <c r="D1735" s="3" t="s">
        <v>645</v>
      </c>
      <c r="F1735" s="3" t="s">
        <v>4183</v>
      </c>
      <c r="G1735" s="3" t="s">
        <v>43</v>
      </c>
      <c r="H1735" s="3" t="s">
        <v>250</v>
      </c>
      <c r="I1735" s="2">
        <v>40</v>
      </c>
      <c r="J1735" s="2">
        <v>20</v>
      </c>
      <c r="K1735" s="2">
        <v>2</v>
      </c>
      <c r="O1735" s="2">
        <v>5</v>
      </c>
      <c r="U1735" s="2">
        <v>4</v>
      </c>
      <c r="V1735" s="2">
        <v>19</v>
      </c>
      <c r="W1735" s="2">
        <v>4</v>
      </c>
      <c r="X1735" s="2">
        <v>10</v>
      </c>
      <c r="Z1735" s="2">
        <v>36</v>
      </c>
      <c r="AA1735" s="3" t="s">
        <v>40</v>
      </c>
      <c r="AB1735" s="2">
        <v>4</v>
      </c>
      <c r="AF1735" s="2">
        <v>30</v>
      </c>
      <c r="AG1735" s="2">
        <v>1</v>
      </c>
      <c r="AH1735" s="3" t="s">
        <v>1809</v>
      </c>
      <c r="AI1735" s="4">
        <v>45042</v>
      </c>
      <c r="AJ1735" s="3" t="s">
        <v>1841</v>
      </c>
      <c r="AK1735" s="3" t="s">
        <v>645</v>
      </c>
    </row>
    <row r="1736" spans="1:37" hidden="1" x14ac:dyDescent="0.25">
      <c r="A1736" t="str">
        <f t="shared" si="27"/>
        <v>2023_NSW_WaggaWagga_Fababean_DetailedTOS2VarietySamiraWaterTrtRainFed</v>
      </c>
      <c r="B1736" s="2">
        <v>2023020</v>
      </c>
      <c r="C1736" s="3" t="s">
        <v>1799</v>
      </c>
      <c r="D1736" s="3" t="s">
        <v>645</v>
      </c>
      <c r="F1736" s="3" t="s">
        <v>4183</v>
      </c>
      <c r="G1736" s="3" t="s">
        <v>43</v>
      </c>
      <c r="H1736" s="3" t="s">
        <v>253</v>
      </c>
      <c r="I1736" s="2">
        <v>41</v>
      </c>
      <c r="J1736" s="2">
        <v>21</v>
      </c>
      <c r="K1736" s="2">
        <v>1</v>
      </c>
      <c r="O1736" s="2">
        <v>6</v>
      </c>
      <c r="U1736" s="2">
        <v>1</v>
      </c>
      <c r="V1736" s="2">
        <v>22</v>
      </c>
      <c r="W1736" s="2">
        <v>1</v>
      </c>
      <c r="X1736" s="2">
        <v>11</v>
      </c>
      <c r="AA1736" s="3" t="s">
        <v>40</v>
      </c>
      <c r="AB1736" s="2">
        <v>4</v>
      </c>
      <c r="AF1736" s="2">
        <v>30</v>
      </c>
      <c r="AG1736" s="2">
        <v>2</v>
      </c>
      <c r="AH1736" s="3" t="s">
        <v>1800</v>
      </c>
      <c r="AI1736" s="4">
        <v>45077</v>
      </c>
      <c r="AJ1736" s="3" t="s">
        <v>1842</v>
      </c>
      <c r="AK1736" s="3" t="s">
        <v>645</v>
      </c>
    </row>
    <row r="1737" spans="1:37" hidden="1" x14ac:dyDescent="0.25">
      <c r="A1737" t="str">
        <f t="shared" si="27"/>
        <v>2023_NSW_WaggaWagga_Fababean_DetailedTOS2VarietySamiraWaterTrtRainFed</v>
      </c>
      <c r="B1737" s="2">
        <v>2023020</v>
      </c>
      <c r="C1737" s="3" t="s">
        <v>1799</v>
      </c>
      <c r="D1737" s="3" t="s">
        <v>645</v>
      </c>
      <c r="F1737" s="3" t="s">
        <v>4183</v>
      </c>
      <c r="G1737" s="3" t="s">
        <v>43</v>
      </c>
      <c r="H1737" s="3" t="s">
        <v>250</v>
      </c>
      <c r="I1737" s="2">
        <v>42</v>
      </c>
      <c r="J1737" s="2">
        <v>21</v>
      </c>
      <c r="K1737" s="2">
        <v>1</v>
      </c>
      <c r="O1737" s="2">
        <v>6</v>
      </c>
      <c r="U1737" s="2">
        <v>1</v>
      </c>
      <c r="V1737" s="2">
        <v>23</v>
      </c>
      <c r="W1737" s="2">
        <v>1</v>
      </c>
      <c r="X1737" s="2">
        <v>12</v>
      </c>
      <c r="Z1737" s="2">
        <v>48</v>
      </c>
      <c r="AA1737" s="3" t="s">
        <v>40</v>
      </c>
      <c r="AB1737" s="2">
        <v>4</v>
      </c>
      <c r="AF1737" s="2">
        <v>30</v>
      </c>
      <c r="AG1737" s="2">
        <v>2</v>
      </c>
      <c r="AH1737" s="3" t="s">
        <v>1800</v>
      </c>
      <c r="AI1737" s="4">
        <v>45077</v>
      </c>
      <c r="AJ1737" s="3" t="s">
        <v>1843</v>
      </c>
      <c r="AK1737" s="3" t="s">
        <v>645</v>
      </c>
    </row>
    <row r="1738" spans="1:37" hidden="1" x14ac:dyDescent="0.25">
      <c r="A1738" t="str">
        <f t="shared" si="27"/>
        <v>2023_NSW_WaggaWagga_Fababean_DetailedTOS2VarietyAmberleyWaterTrtRainFed</v>
      </c>
      <c r="B1738" s="2">
        <v>2023020</v>
      </c>
      <c r="C1738" s="3" t="s">
        <v>1799</v>
      </c>
      <c r="D1738" s="3" t="s">
        <v>645</v>
      </c>
      <c r="F1738" s="3" t="s">
        <v>4185</v>
      </c>
      <c r="G1738" s="3" t="s">
        <v>39</v>
      </c>
      <c r="H1738" s="3" t="s">
        <v>253</v>
      </c>
      <c r="I1738" s="2">
        <v>43</v>
      </c>
      <c r="J1738" s="2">
        <v>22</v>
      </c>
      <c r="K1738" s="2">
        <v>1</v>
      </c>
      <c r="O1738" s="2">
        <v>6</v>
      </c>
      <c r="U1738" s="2">
        <v>2</v>
      </c>
      <c r="V1738" s="2">
        <v>22</v>
      </c>
      <c r="W1738" s="2">
        <v>2</v>
      </c>
      <c r="X1738" s="2">
        <v>11</v>
      </c>
      <c r="AA1738" s="3" t="s">
        <v>40</v>
      </c>
      <c r="AB1738" s="2">
        <v>1</v>
      </c>
      <c r="AF1738" s="2">
        <v>30</v>
      </c>
      <c r="AG1738" s="2">
        <v>2</v>
      </c>
      <c r="AH1738" s="3" t="s">
        <v>1800</v>
      </c>
      <c r="AI1738" s="4">
        <v>45077</v>
      </c>
      <c r="AJ1738" s="3" t="s">
        <v>1844</v>
      </c>
      <c r="AK1738" s="3" t="s">
        <v>645</v>
      </c>
    </row>
    <row r="1739" spans="1:37" hidden="1" x14ac:dyDescent="0.25">
      <c r="A1739" t="str">
        <f t="shared" si="27"/>
        <v>2023_NSW_WaggaWagga_Fababean_DetailedTOS2VarietyAmberleyWaterTrtRainFed</v>
      </c>
      <c r="B1739" s="2">
        <v>2023020</v>
      </c>
      <c r="C1739" s="3" t="s">
        <v>1799</v>
      </c>
      <c r="D1739" s="3" t="s">
        <v>645</v>
      </c>
      <c r="F1739" s="3" t="s">
        <v>4185</v>
      </c>
      <c r="G1739" s="3" t="s">
        <v>39</v>
      </c>
      <c r="H1739" s="3" t="s">
        <v>250</v>
      </c>
      <c r="I1739" s="2">
        <v>44</v>
      </c>
      <c r="J1739" s="2">
        <v>22</v>
      </c>
      <c r="K1739" s="2">
        <v>1</v>
      </c>
      <c r="O1739" s="2">
        <v>6</v>
      </c>
      <c r="U1739" s="2">
        <v>2</v>
      </c>
      <c r="V1739" s="2">
        <v>23</v>
      </c>
      <c r="W1739" s="2">
        <v>2</v>
      </c>
      <c r="X1739" s="2">
        <v>12</v>
      </c>
      <c r="Z1739" s="2">
        <v>47</v>
      </c>
      <c r="AA1739" s="3" t="s">
        <v>40</v>
      </c>
      <c r="AB1739" s="2">
        <v>1</v>
      </c>
      <c r="AF1739" s="2">
        <v>30</v>
      </c>
      <c r="AG1739" s="2">
        <v>2</v>
      </c>
      <c r="AH1739" s="3" t="s">
        <v>1800</v>
      </c>
      <c r="AI1739" s="4">
        <v>45077</v>
      </c>
      <c r="AJ1739" s="3" t="s">
        <v>1845</v>
      </c>
      <c r="AK1739" s="3" t="s">
        <v>645</v>
      </c>
    </row>
    <row r="1740" spans="1:37" hidden="1" x14ac:dyDescent="0.25">
      <c r="A1740" t="str">
        <f t="shared" si="27"/>
        <v>2023_NSW_WaggaWagga_Fababean_DetailedTOS2VarietyMarneWaterTrtRainFed</v>
      </c>
      <c r="B1740" s="2">
        <v>2023020</v>
      </c>
      <c r="C1740" s="3" t="s">
        <v>1799</v>
      </c>
      <c r="D1740" s="3" t="s">
        <v>645</v>
      </c>
      <c r="F1740" s="3" t="s">
        <v>4184</v>
      </c>
      <c r="G1740" s="3" t="s">
        <v>39</v>
      </c>
      <c r="H1740" s="3" t="s">
        <v>253</v>
      </c>
      <c r="I1740" s="2">
        <v>45</v>
      </c>
      <c r="J1740" s="2">
        <v>23</v>
      </c>
      <c r="K1740" s="2">
        <v>2</v>
      </c>
      <c r="O1740" s="2">
        <v>6</v>
      </c>
      <c r="U1740" s="2">
        <v>3</v>
      </c>
      <c r="V1740" s="2">
        <v>22</v>
      </c>
      <c r="W1740" s="2">
        <v>3</v>
      </c>
      <c r="X1740" s="2">
        <v>11</v>
      </c>
      <c r="AA1740" s="3" t="s">
        <v>40</v>
      </c>
      <c r="AB1740" s="2">
        <v>3</v>
      </c>
      <c r="AF1740" s="2">
        <v>30</v>
      </c>
      <c r="AG1740" s="2">
        <v>2</v>
      </c>
      <c r="AH1740" s="3" t="s">
        <v>1800</v>
      </c>
      <c r="AI1740" s="4">
        <v>45077</v>
      </c>
      <c r="AJ1740" s="3" t="s">
        <v>1846</v>
      </c>
      <c r="AK1740" s="3" t="s">
        <v>645</v>
      </c>
    </row>
    <row r="1741" spans="1:37" hidden="1" x14ac:dyDescent="0.25">
      <c r="A1741" t="str">
        <f t="shared" si="27"/>
        <v>2023_NSW_WaggaWagga_Fababean_DetailedTOS2VarietyMarneWaterTrtRainFed</v>
      </c>
      <c r="B1741" s="2">
        <v>2023020</v>
      </c>
      <c r="C1741" s="3" t="s">
        <v>1799</v>
      </c>
      <c r="D1741" s="3" t="s">
        <v>645</v>
      </c>
      <c r="F1741" s="3" t="s">
        <v>4184</v>
      </c>
      <c r="G1741" s="3" t="s">
        <v>39</v>
      </c>
      <c r="H1741" s="3" t="s">
        <v>250</v>
      </c>
      <c r="I1741" s="2">
        <v>46</v>
      </c>
      <c r="J1741" s="2">
        <v>23</v>
      </c>
      <c r="K1741" s="2">
        <v>2</v>
      </c>
      <c r="O1741" s="2">
        <v>6</v>
      </c>
      <c r="U1741" s="2">
        <v>3</v>
      </c>
      <c r="V1741" s="2">
        <v>23</v>
      </c>
      <c r="W1741" s="2">
        <v>3</v>
      </c>
      <c r="X1741" s="2">
        <v>12</v>
      </c>
      <c r="Z1741" s="2">
        <v>46</v>
      </c>
      <c r="AA1741" s="3" t="s">
        <v>40</v>
      </c>
      <c r="AB1741" s="2">
        <v>3</v>
      </c>
      <c r="AF1741" s="2">
        <v>30</v>
      </c>
      <c r="AG1741" s="2">
        <v>2</v>
      </c>
      <c r="AH1741" s="3" t="s">
        <v>1800</v>
      </c>
      <c r="AI1741" s="4">
        <v>45077</v>
      </c>
      <c r="AJ1741" s="3" t="s">
        <v>1847</v>
      </c>
      <c r="AK1741" s="3" t="s">
        <v>645</v>
      </c>
    </row>
    <row r="1742" spans="1:37" hidden="1" x14ac:dyDescent="0.25">
      <c r="A1742" t="str">
        <f t="shared" si="27"/>
        <v>2023_NSW_WaggaWagga_Fababean_DetailedTOS2VarietyNasmaWaterTrtRainFed</v>
      </c>
      <c r="B1742" s="2">
        <v>2023020</v>
      </c>
      <c r="C1742" s="3" t="s">
        <v>1799</v>
      </c>
      <c r="D1742" s="3" t="s">
        <v>645</v>
      </c>
      <c r="F1742" s="3" t="s">
        <v>4186</v>
      </c>
      <c r="G1742" s="3" t="s">
        <v>43</v>
      </c>
      <c r="H1742" s="3" t="s">
        <v>253</v>
      </c>
      <c r="I1742" s="2">
        <v>47</v>
      </c>
      <c r="J1742" s="2">
        <v>24</v>
      </c>
      <c r="K1742" s="2">
        <v>2</v>
      </c>
      <c r="O1742" s="2">
        <v>6</v>
      </c>
      <c r="U1742" s="2">
        <v>4</v>
      </c>
      <c r="V1742" s="2">
        <v>22</v>
      </c>
      <c r="W1742" s="2">
        <v>4</v>
      </c>
      <c r="X1742" s="2">
        <v>11</v>
      </c>
      <c r="AA1742" s="3" t="s">
        <v>40</v>
      </c>
      <c r="AB1742" s="2">
        <v>2</v>
      </c>
      <c r="AF1742" s="2">
        <v>30</v>
      </c>
      <c r="AG1742" s="2">
        <v>2</v>
      </c>
      <c r="AH1742" s="3" t="s">
        <v>1800</v>
      </c>
      <c r="AI1742" s="4">
        <v>45077</v>
      </c>
      <c r="AJ1742" s="3" t="s">
        <v>1848</v>
      </c>
      <c r="AK1742" s="3" t="s">
        <v>645</v>
      </c>
    </row>
    <row r="1743" spans="1:37" hidden="1" x14ac:dyDescent="0.25">
      <c r="A1743" t="str">
        <f t="shared" si="27"/>
        <v>2023_NSW_WaggaWagga_Fababean_DetailedTOS2VarietyNasmaWaterTrtRainFed</v>
      </c>
      <c r="B1743" s="2">
        <v>2023020</v>
      </c>
      <c r="C1743" s="3" t="s">
        <v>1799</v>
      </c>
      <c r="D1743" s="3" t="s">
        <v>645</v>
      </c>
      <c r="F1743" s="3" t="s">
        <v>4186</v>
      </c>
      <c r="G1743" s="3" t="s">
        <v>43</v>
      </c>
      <c r="H1743" s="3" t="s">
        <v>250</v>
      </c>
      <c r="I1743" s="2">
        <v>48</v>
      </c>
      <c r="J1743" s="2">
        <v>24</v>
      </c>
      <c r="K1743" s="2">
        <v>2</v>
      </c>
      <c r="O1743" s="2">
        <v>6</v>
      </c>
      <c r="U1743" s="2">
        <v>4</v>
      </c>
      <c r="V1743" s="2">
        <v>23</v>
      </c>
      <c r="W1743" s="2">
        <v>4</v>
      </c>
      <c r="X1743" s="2">
        <v>12</v>
      </c>
      <c r="Z1743" s="2">
        <v>45</v>
      </c>
      <c r="AA1743" s="3" t="s">
        <v>40</v>
      </c>
      <c r="AB1743" s="2">
        <v>2</v>
      </c>
      <c r="AF1743" s="2">
        <v>30</v>
      </c>
      <c r="AG1743" s="2">
        <v>2</v>
      </c>
      <c r="AH1743" s="3" t="s">
        <v>1800</v>
      </c>
      <c r="AI1743" s="4">
        <v>45077</v>
      </c>
      <c r="AJ1743" s="3" t="s">
        <v>1849</v>
      </c>
      <c r="AK1743" s="3" t="s">
        <v>645</v>
      </c>
    </row>
    <row r="1744" spans="1:37" hidden="1" x14ac:dyDescent="0.25">
      <c r="A1744" t="str">
        <f t="shared" si="27"/>
        <v>2023_NSW_WaggaWagga_Fababean_DetailedTOS1VarietyMarneWaterTrtRainFed</v>
      </c>
      <c r="B1744" s="2">
        <v>2023020</v>
      </c>
      <c r="C1744" s="3" t="s">
        <v>1799</v>
      </c>
      <c r="D1744" s="3" t="s">
        <v>645</v>
      </c>
      <c r="F1744" s="3" t="s">
        <v>4184</v>
      </c>
      <c r="G1744" s="3" t="s">
        <v>39</v>
      </c>
      <c r="H1744" s="3" t="s">
        <v>253</v>
      </c>
      <c r="I1744" s="2">
        <v>49</v>
      </c>
      <c r="J1744" s="2">
        <v>25</v>
      </c>
      <c r="K1744" s="2">
        <v>1</v>
      </c>
      <c r="O1744" s="2">
        <v>7</v>
      </c>
      <c r="U1744" s="2">
        <v>1</v>
      </c>
      <c r="V1744" s="2">
        <v>26</v>
      </c>
      <c r="W1744" s="2">
        <v>1</v>
      </c>
      <c r="X1744" s="2">
        <v>13</v>
      </c>
      <c r="AA1744" s="3" t="s">
        <v>40</v>
      </c>
      <c r="AB1744" s="2">
        <v>3</v>
      </c>
      <c r="AF1744" s="2">
        <v>30</v>
      </c>
      <c r="AG1744" s="2">
        <v>1</v>
      </c>
      <c r="AH1744" s="3" t="s">
        <v>1809</v>
      </c>
      <c r="AI1744" s="4">
        <v>45042</v>
      </c>
      <c r="AJ1744" s="3" t="s">
        <v>1850</v>
      </c>
      <c r="AK1744" s="3" t="s">
        <v>645</v>
      </c>
    </row>
    <row r="1745" spans="1:37" hidden="1" x14ac:dyDescent="0.25">
      <c r="A1745" t="str">
        <f t="shared" si="27"/>
        <v>2023_NSW_WaggaWagga_Fababean_DetailedTOS1VarietyMarneWaterTrtRainFed</v>
      </c>
      <c r="B1745" s="2">
        <v>2023020</v>
      </c>
      <c r="C1745" s="3" t="s">
        <v>1799</v>
      </c>
      <c r="D1745" s="3" t="s">
        <v>645</v>
      </c>
      <c r="F1745" s="3" t="s">
        <v>4184</v>
      </c>
      <c r="G1745" s="3" t="s">
        <v>39</v>
      </c>
      <c r="H1745" s="3" t="s">
        <v>250</v>
      </c>
      <c r="I1745" s="2">
        <v>50</v>
      </c>
      <c r="J1745" s="2">
        <v>25</v>
      </c>
      <c r="K1745" s="2">
        <v>1</v>
      </c>
      <c r="O1745" s="2">
        <v>7</v>
      </c>
      <c r="U1745" s="2">
        <v>1</v>
      </c>
      <c r="V1745" s="2">
        <v>27</v>
      </c>
      <c r="W1745" s="2">
        <v>1</v>
      </c>
      <c r="X1745" s="2">
        <v>14</v>
      </c>
      <c r="Z1745" s="2">
        <v>49</v>
      </c>
      <c r="AA1745" s="3" t="s">
        <v>40</v>
      </c>
      <c r="AB1745" s="2">
        <v>3</v>
      </c>
      <c r="AF1745" s="2">
        <v>30</v>
      </c>
      <c r="AG1745" s="2">
        <v>1</v>
      </c>
      <c r="AH1745" s="3" t="s">
        <v>1809</v>
      </c>
      <c r="AI1745" s="4">
        <v>45042</v>
      </c>
      <c r="AJ1745" s="3" t="s">
        <v>1851</v>
      </c>
      <c r="AK1745" s="3" t="s">
        <v>645</v>
      </c>
    </row>
    <row r="1746" spans="1:37" hidden="1" x14ac:dyDescent="0.25">
      <c r="A1746" t="str">
        <f t="shared" si="27"/>
        <v>2023_NSW_WaggaWagga_Fababean_DetailedTOS1VarietyNasmaWaterTrtRainFed</v>
      </c>
      <c r="B1746" s="2">
        <v>2023020</v>
      </c>
      <c r="C1746" s="3" t="s">
        <v>1799</v>
      </c>
      <c r="D1746" s="3" t="s">
        <v>645</v>
      </c>
      <c r="F1746" s="3" t="s">
        <v>4186</v>
      </c>
      <c r="G1746" s="3" t="s">
        <v>43</v>
      </c>
      <c r="H1746" s="3" t="s">
        <v>253</v>
      </c>
      <c r="I1746" s="2">
        <v>51</v>
      </c>
      <c r="J1746" s="2">
        <v>26</v>
      </c>
      <c r="K1746" s="2">
        <v>1</v>
      </c>
      <c r="O1746" s="2">
        <v>7</v>
      </c>
      <c r="U1746" s="2">
        <v>2</v>
      </c>
      <c r="V1746" s="2">
        <v>26</v>
      </c>
      <c r="W1746" s="2">
        <v>2</v>
      </c>
      <c r="X1746" s="2">
        <v>13</v>
      </c>
      <c r="AA1746" s="3" t="s">
        <v>40</v>
      </c>
      <c r="AB1746" s="2">
        <v>2</v>
      </c>
      <c r="AF1746" s="2">
        <v>30</v>
      </c>
      <c r="AG1746" s="2">
        <v>1</v>
      </c>
      <c r="AH1746" s="3" t="s">
        <v>1809</v>
      </c>
      <c r="AI1746" s="4">
        <v>45042</v>
      </c>
      <c r="AJ1746" s="3" t="s">
        <v>1852</v>
      </c>
      <c r="AK1746" s="3" t="s">
        <v>645</v>
      </c>
    </row>
    <row r="1747" spans="1:37" hidden="1" x14ac:dyDescent="0.25">
      <c r="A1747" t="str">
        <f t="shared" si="27"/>
        <v>2023_NSW_WaggaWagga_Fababean_DetailedTOS1VarietyNasmaWaterTrtRainFed</v>
      </c>
      <c r="B1747" s="2">
        <v>2023020</v>
      </c>
      <c r="C1747" s="3" t="s">
        <v>1799</v>
      </c>
      <c r="D1747" s="3" t="s">
        <v>645</v>
      </c>
      <c r="F1747" s="3" t="s">
        <v>4186</v>
      </c>
      <c r="G1747" s="3" t="s">
        <v>43</v>
      </c>
      <c r="H1747" s="3" t="s">
        <v>250</v>
      </c>
      <c r="I1747" s="2">
        <v>52</v>
      </c>
      <c r="J1747" s="2">
        <v>26</v>
      </c>
      <c r="K1747" s="2">
        <v>1</v>
      </c>
      <c r="O1747" s="2">
        <v>7</v>
      </c>
      <c r="U1747" s="2">
        <v>2</v>
      </c>
      <c r="V1747" s="2">
        <v>27</v>
      </c>
      <c r="W1747" s="2">
        <v>2</v>
      </c>
      <c r="X1747" s="2">
        <v>14</v>
      </c>
      <c r="Z1747" s="2">
        <v>50</v>
      </c>
      <c r="AA1747" s="3" t="s">
        <v>40</v>
      </c>
      <c r="AB1747" s="2">
        <v>2</v>
      </c>
      <c r="AF1747" s="2">
        <v>30</v>
      </c>
      <c r="AG1747" s="2">
        <v>1</v>
      </c>
      <c r="AH1747" s="3" t="s">
        <v>1809</v>
      </c>
      <c r="AI1747" s="4">
        <v>45042</v>
      </c>
      <c r="AJ1747" s="3" t="s">
        <v>1853</v>
      </c>
      <c r="AK1747" s="3" t="s">
        <v>645</v>
      </c>
    </row>
    <row r="1748" spans="1:37" hidden="1" x14ac:dyDescent="0.25">
      <c r="A1748" t="str">
        <f t="shared" si="27"/>
        <v>2023_NSW_WaggaWagga_Fababean_DetailedTOS1VarietySamiraWaterTrtRainFed</v>
      </c>
      <c r="B1748" s="2">
        <v>2023020</v>
      </c>
      <c r="C1748" s="3" t="s">
        <v>1799</v>
      </c>
      <c r="D1748" s="3" t="s">
        <v>645</v>
      </c>
      <c r="F1748" s="3" t="s">
        <v>4183</v>
      </c>
      <c r="G1748" s="3" t="s">
        <v>43</v>
      </c>
      <c r="H1748" s="3" t="s">
        <v>253</v>
      </c>
      <c r="I1748" s="2">
        <v>53</v>
      </c>
      <c r="J1748" s="2">
        <v>27</v>
      </c>
      <c r="K1748" s="2">
        <v>2</v>
      </c>
      <c r="O1748" s="2">
        <v>7</v>
      </c>
      <c r="U1748" s="2">
        <v>3</v>
      </c>
      <c r="V1748" s="2">
        <v>26</v>
      </c>
      <c r="W1748" s="2">
        <v>3</v>
      </c>
      <c r="X1748" s="2">
        <v>13</v>
      </c>
      <c r="AA1748" s="3" t="s">
        <v>40</v>
      </c>
      <c r="AB1748" s="2">
        <v>4</v>
      </c>
      <c r="AF1748" s="2">
        <v>30</v>
      </c>
      <c r="AG1748" s="2">
        <v>1</v>
      </c>
      <c r="AH1748" s="3" t="s">
        <v>1809</v>
      </c>
      <c r="AI1748" s="4">
        <v>45042</v>
      </c>
      <c r="AJ1748" s="3" t="s">
        <v>1854</v>
      </c>
      <c r="AK1748" s="3" t="s">
        <v>645</v>
      </c>
    </row>
    <row r="1749" spans="1:37" hidden="1" x14ac:dyDescent="0.25">
      <c r="A1749" t="str">
        <f t="shared" si="27"/>
        <v>2023_NSW_WaggaWagga_Fababean_DetailedTOS1VarietySamiraWaterTrtRainFed</v>
      </c>
      <c r="B1749" s="2">
        <v>2023020</v>
      </c>
      <c r="C1749" s="3" t="s">
        <v>1799</v>
      </c>
      <c r="D1749" s="3" t="s">
        <v>645</v>
      </c>
      <c r="F1749" s="3" t="s">
        <v>4183</v>
      </c>
      <c r="G1749" s="3" t="s">
        <v>43</v>
      </c>
      <c r="H1749" s="3" t="s">
        <v>250</v>
      </c>
      <c r="I1749" s="2">
        <v>54</v>
      </c>
      <c r="J1749" s="2">
        <v>27</v>
      </c>
      <c r="K1749" s="2">
        <v>2</v>
      </c>
      <c r="O1749" s="2">
        <v>7</v>
      </c>
      <c r="U1749" s="2">
        <v>3</v>
      </c>
      <c r="V1749" s="2">
        <v>27</v>
      </c>
      <c r="W1749" s="2">
        <v>3</v>
      </c>
      <c r="X1749" s="2">
        <v>14</v>
      </c>
      <c r="Z1749" s="2">
        <v>51</v>
      </c>
      <c r="AA1749" s="3" t="s">
        <v>40</v>
      </c>
      <c r="AB1749" s="2">
        <v>4</v>
      </c>
      <c r="AF1749" s="2">
        <v>30</v>
      </c>
      <c r="AG1749" s="2">
        <v>1</v>
      </c>
      <c r="AH1749" s="3" t="s">
        <v>1809</v>
      </c>
      <c r="AI1749" s="4">
        <v>45042</v>
      </c>
      <c r="AJ1749" s="3" t="s">
        <v>1855</v>
      </c>
      <c r="AK1749" s="3" t="s">
        <v>645</v>
      </c>
    </row>
    <row r="1750" spans="1:37" hidden="1" x14ac:dyDescent="0.25">
      <c r="A1750" t="str">
        <f t="shared" si="27"/>
        <v>2023_NSW_WaggaWagga_Fababean_DetailedTOS1VarietyAmberleyWaterTrtRainFed</v>
      </c>
      <c r="B1750" s="2">
        <v>2023020</v>
      </c>
      <c r="C1750" s="3" t="s">
        <v>1799</v>
      </c>
      <c r="D1750" s="3" t="s">
        <v>645</v>
      </c>
      <c r="F1750" s="3" t="s">
        <v>4185</v>
      </c>
      <c r="G1750" s="3" t="s">
        <v>39</v>
      </c>
      <c r="H1750" s="3" t="s">
        <v>253</v>
      </c>
      <c r="I1750" s="2">
        <v>55</v>
      </c>
      <c r="J1750" s="2">
        <v>28</v>
      </c>
      <c r="K1750" s="2">
        <v>2</v>
      </c>
      <c r="O1750" s="2">
        <v>7</v>
      </c>
      <c r="U1750" s="2">
        <v>4</v>
      </c>
      <c r="V1750" s="2">
        <v>26</v>
      </c>
      <c r="W1750" s="2">
        <v>4</v>
      </c>
      <c r="X1750" s="2">
        <v>13</v>
      </c>
      <c r="AA1750" s="3" t="s">
        <v>40</v>
      </c>
      <c r="AB1750" s="2">
        <v>1</v>
      </c>
      <c r="AF1750" s="2">
        <v>30</v>
      </c>
      <c r="AG1750" s="2">
        <v>1</v>
      </c>
      <c r="AH1750" s="3" t="s">
        <v>1809</v>
      </c>
      <c r="AI1750" s="4">
        <v>45042</v>
      </c>
      <c r="AJ1750" s="3" t="s">
        <v>1856</v>
      </c>
      <c r="AK1750" s="3" t="s">
        <v>645</v>
      </c>
    </row>
    <row r="1751" spans="1:37" hidden="1" x14ac:dyDescent="0.25">
      <c r="A1751" t="str">
        <f t="shared" si="27"/>
        <v>2023_NSW_WaggaWagga_Fababean_DetailedTOS1VarietyAmberleyWaterTrtRainFed</v>
      </c>
      <c r="B1751" s="2">
        <v>2023020</v>
      </c>
      <c r="C1751" s="3" t="s">
        <v>1799</v>
      </c>
      <c r="D1751" s="3" t="s">
        <v>645</v>
      </c>
      <c r="F1751" s="3" t="s">
        <v>4185</v>
      </c>
      <c r="G1751" s="3" t="s">
        <v>39</v>
      </c>
      <c r="H1751" s="3" t="s">
        <v>250</v>
      </c>
      <c r="I1751" s="2">
        <v>56</v>
      </c>
      <c r="J1751" s="2">
        <v>28</v>
      </c>
      <c r="K1751" s="2">
        <v>2</v>
      </c>
      <c r="O1751" s="2">
        <v>7</v>
      </c>
      <c r="U1751" s="2">
        <v>4</v>
      </c>
      <c r="V1751" s="2">
        <v>27</v>
      </c>
      <c r="W1751" s="2">
        <v>4</v>
      </c>
      <c r="X1751" s="2">
        <v>14</v>
      </c>
      <c r="Z1751" s="2">
        <v>52</v>
      </c>
      <c r="AA1751" s="3" t="s">
        <v>40</v>
      </c>
      <c r="AB1751" s="2">
        <v>1</v>
      </c>
      <c r="AF1751" s="2">
        <v>30</v>
      </c>
      <c r="AG1751" s="2">
        <v>1</v>
      </c>
      <c r="AH1751" s="3" t="s">
        <v>1809</v>
      </c>
      <c r="AI1751" s="4">
        <v>45042</v>
      </c>
      <c r="AJ1751" s="3" t="s">
        <v>1857</v>
      </c>
      <c r="AK1751" s="3" t="s">
        <v>645</v>
      </c>
    </row>
    <row r="1752" spans="1:37" hidden="1" x14ac:dyDescent="0.25">
      <c r="A1752" t="str">
        <f t="shared" si="27"/>
        <v>2023_NSW_WaggaWagga_Fababean_DetailedTOS2VarietyAmberleyWaterTrtRainFed</v>
      </c>
      <c r="B1752" s="2">
        <v>2023020</v>
      </c>
      <c r="C1752" s="3" t="s">
        <v>1799</v>
      </c>
      <c r="D1752" s="3" t="s">
        <v>645</v>
      </c>
      <c r="F1752" s="3" t="s">
        <v>4185</v>
      </c>
      <c r="G1752" s="3" t="s">
        <v>39</v>
      </c>
      <c r="H1752" s="3" t="s">
        <v>253</v>
      </c>
      <c r="I1752" s="2">
        <v>57</v>
      </c>
      <c r="J1752" s="2">
        <v>29</v>
      </c>
      <c r="K1752" s="2">
        <v>1</v>
      </c>
      <c r="O1752" s="2">
        <v>8</v>
      </c>
      <c r="U1752" s="2">
        <v>1</v>
      </c>
      <c r="V1752" s="2">
        <v>30</v>
      </c>
      <c r="W1752" s="2">
        <v>1</v>
      </c>
      <c r="X1752" s="2">
        <v>15</v>
      </c>
      <c r="AA1752" s="3" t="s">
        <v>40</v>
      </c>
      <c r="AB1752" s="2">
        <v>1</v>
      </c>
      <c r="AF1752" s="2">
        <v>30</v>
      </c>
      <c r="AG1752" s="2">
        <v>2</v>
      </c>
      <c r="AH1752" s="3" t="s">
        <v>1800</v>
      </c>
      <c r="AI1752" s="4">
        <v>45077</v>
      </c>
      <c r="AJ1752" s="3" t="s">
        <v>1858</v>
      </c>
      <c r="AK1752" s="3" t="s">
        <v>645</v>
      </c>
    </row>
    <row r="1753" spans="1:37" hidden="1" x14ac:dyDescent="0.25">
      <c r="A1753" t="str">
        <f t="shared" si="27"/>
        <v>2023_NSW_WaggaWagga_Fababean_DetailedTOS2VarietyAmberleyWaterTrtRainFed</v>
      </c>
      <c r="B1753" s="2">
        <v>2023020</v>
      </c>
      <c r="C1753" s="3" t="s">
        <v>1799</v>
      </c>
      <c r="D1753" s="3" t="s">
        <v>645</v>
      </c>
      <c r="F1753" s="3" t="s">
        <v>4185</v>
      </c>
      <c r="G1753" s="3" t="s">
        <v>39</v>
      </c>
      <c r="H1753" s="3" t="s">
        <v>250</v>
      </c>
      <c r="I1753" s="2">
        <v>58</v>
      </c>
      <c r="J1753" s="2">
        <v>29</v>
      </c>
      <c r="K1753" s="2">
        <v>1</v>
      </c>
      <c r="O1753" s="2">
        <v>8</v>
      </c>
      <c r="U1753" s="2">
        <v>1</v>
      </c>
      <c r="V1753" s="2">
        <v>31</v>
      </c>
      <c r="W1753" s="2">
        <v>1</v>
      </c>
      <c r="X1753" s="2">
        <v>16</v>
      </c>
      <c r="Z1753" s="2">
        <v>64</v>
      </c>
      <c r="AA1753" s="3" t="s">
        <v>40</v>
      </c>
      <c r="AB1753" s="2">
        <v>1</v>
      </c>
      <c r="AF1753" s="2">
        <v>30</v>
      </c>
      <c r="AG1753" s="2">
        <v>2</v>
      </c>
      <c r="AH1753" s="3" t="s">
        <v>1800</v>
      </c>
      <c r="AI1753" s="4">
        <v>45077</v>
      </c>
      <c r="AJ1753" s="3" t="s">
        <v>1859</v>
      </c>
      <c r="AK1753" s="3" t="s">
        <v>645</v>
      </c>
    </row>
    <row r="1754" spans="1:37" hidden="1" x14ac:dyDescent="0.25">
      <c r="A1754" t="str">
        <f t="shared" si="27"/>
        <v>2023_NSW_WaggaWagga_Fababean_DetailedTOS2VarietySamiraWaterTrtRainFed</v>
      </c>
      <c r="B1754" s="2">
        <v>2023020</v>
      </c>
      <c r="C1754" s="3" t="s">
        <v>1799</v>
      </c>
      <c r="D1754" s="3" t="s">
        <v>645</v>
      </c>
      <c r="F1754" s="3" t="s">
        <v>4183</v>
      </c>
      <c r="G1754" s="3" t="s">
        <v>43</v>
      </c>
      <c r="H1754" s="3" t="s">
        <v>253</v>
      </c>
      <c r="I1754" s="2">
        <v>59</v>
      </c>
      <c r="J1754" s="2">
        <v>30</v>
      </c>
      <c r="K1754" s="2">
        <v>1</v>
      </c>
      <c r="O1754" s="2">
        <v>8</v>
      </c>
      <c r="U1754" s="2">
        <v>2</v>
      </c>
      <c r="V1754" s="2">
        <v>30</v>
      </c>
      <c r="W1754" s="2">
        <v>2</v>
      </c>
      <c r="X1754" s="2">
        <v>15</v>
      </c>
      <c r="AA1754" s="3" t="s">
        <v>40</v>
      </c>
      <c r="AB1754" s="2">
        <v>4</v>
      </c>
      <c r="AF1754" s="2">
        <v>30</v>
      </c>
      <c r="AG1754" s="2">
        <v>2</v>
      </c>
      <c r="AH1754" s="3" t="s">
        <v>1800</v>
      </c>
      <c r="AI1754" s="4">
        <v>45077</v>
      </c>
      <c r="AJ1754" s="3" t="s">
        <v>1860</v>
      </c>
      <c r="AK1754" s="3" t="s">
        <v>645</v>
      </c>
    </row>
    <row r="1755" spans="1:37" hidden="1" x14ac:dyDescent="0.25">
      <c r="A1755" t="str">
        <f t="shared" si="27"/>
        <v>2023_NSW_WaggaWagga_Fababean_DetailedTOS2VarietySamiraWaterTrtRainFed</v>
      </c>
      <c r="B1755" s="2">
        <v>2023020</v>
      </c>
      <c r="C1755" s="3" t="s">
        <v>1799</v>
      </c>
      <c r="D1755" s="3" t="s">
        <v>645</v>
      </c>
      <c r="F1755" s="3" t="s">
        <v>4183</v>
      </c>
      <c r="G1755" s="3" t="s">
        <v>43</v>
      </c>
      <c r="H1755" s="3" t="s">
        <v>250</v>
      </c>
      <c r="I1755" s="2">
        <v>60</v>
      </c>
      <c r="J1755" s="2">
        <v>30</v>
      </c>
      <c r="K1755" s="2">
        <v>1</v>
      </c>
      <c r="O1755" s="2">
        <v>8</v>
      </c>
      <c r="U1755" s="2">
        <v>2</v>
      </c>
      <c r="V1755" s="2">
        <v>31</v>
      </c>
      <c r="W1755" s="2">
        <v>2</v>
      </c>
      <c r="X1755" s="2">
        <v>16</v>
      </c>
      <c r="Z1755" s="2">
        <v>63</v>
      </c>
      <c r="AA1755" s="3" t="s">
        <v>40</v>
      </c>
      <c r="AB1755" s="2">
        <v>4</v>
      </c>
      <c r="AF1755" s="2">
        <v>30</v>
      </c>
      <c r="AG1755" s="2">
        <v>2</v>
      </c>
      <c r="AH1755" s="3" t="s">
        <v>1800</v>
      </c>
      <c r="AI1755" s="4">
        <v>45077</v>
      </c>
      <c r="AJ1755" s="3" t="s">
        <v>1861</v>
      </c>
      <c r="AK1755" s="3" t="s">
        <v>645</v>
      </c>
    </row>
    <row r="1756" spans="1:37" hidden="1" x14ac:dyDescent="0.25">
      <c r="A1756" t="str">
        <f t="shared" si="27"/>
        <v>2023_NSW_WaggaWagga_Fababean_DetailedTOS2VarietyNasmaWaterTrtRainFed</v>
      </c>
      <c r="B1756" s="2">
        <v>2023020</v>
      </c>
      <c r="C1756" s="3" t="s">
        <v>1799</v>
      </c>
      <c r="D1756" s="3" t="s">
        <v>645</v>
      </c>
      <c r="F1756" s="3" t="s">
        <v>4186</v>
      </c>
      <c r="G1756" s="3" t="s">
        <v>43</v>
      </c>
      <c r="H1756" s="3" t="s">
        <v>253</v>
      </c>
      <c r="I1756" s="2">
        <v>61</v>
      </c>
      <c r="J1756" s="2">
        <v>31</v>
      </c>
      <c r="K1756" s="2">
        <v>2</v>
      </c>
      <c r="O1756" s="2">
        <v>8</v>
      </c>
      <c r="U1756" s="2">
        <v>3</v>
      </c>
      <c r="V1756" s="2">
        <v>30</v>
      </c>
      <c r="W1756" s="2">
        <v>3</v>
      </c>
      <c r="X1756" s="2">
        <v>15</v>
      </c>
      <c r="AA1756" s="3" t="s">
        <v>40</v>
      </c>
      <c r="AB1756" s="2">
        <v>2</v>
      </c>
      <c r="AF1756" s="2">
        <v>30</v>
      </c>
      <c r="AG1756" s="2">
        <v>2</v>
      </c>
      <c r="AH1756" s="3" t="s">
        <v>1800</v>
      </c>
      <c r="AI1756" s="4">
        <v>45077</v>
      </c>
      <c r="AJ1756" s="3" t="s">
        <v>1862</v>
      </c>
      <c r="AK1756" s="3" t="s">
        <v>645</v>
      </c>
    </row>
    <row r="1757" spans="1:37" hidden="1" x14ac:dyDescent="0.25">
      <c r="A1757" t="str">
        <f t="shared" si="27"/>
        <v>2023_NSW_WaggaWagga_Fababean_DetailedTOS2VarietyNasmaWaterTrtRainFed</v>
      </c>
      <c r="B1757" s="2">
        <v>2023020</v>
      </c>
      <c r="C1757" s="3" t="s">
        <v>1799</v>
      </c>
      <c r="D1757" s="3" t="s">
        <v>645</v>
      </c>
      <c r="F1757" s="3" t="s">
        <v>4186</v>
      </c>
      <c r="G1757" s="3" t="s">
        <v>43</v>
      </c>
      <c r="H1757" s="3" t="s">
        <v>250</v>
      </c>
      <c r="I1757" s="2">
        <v>62</v>
      </c>
      <c r="J1757" s="2">
        <v>31</v>
      </c>
      <c r="K1757" s="2">
        <v>2</v>
      </c>
      <c r="O1757" s="2">
        <v>8</v>
      </c>
      <c r="U1757" s="2">
        <v>3</v>
      </c>
      <c r="V1757" s="2">
        <v>31</v>
      </c>
      <c r="W1757" s="2">
        <v>3</v>
      </c>
      <c r="X1757" s="2">
        <v>16</v>
      </c>
      <c r="Z1757" s="2">
        <v>62</v>
      </c>
      <c r="AA1757" s="3" t="s">
        <v>40</v>
      </c>
      <c r="AB1757" s="2">
        <v>2</v>
      </c>
      <c r="AF1757" s="2">
        <v>30</v>
      </c>
      <c r="AG1757" s="2">
        <v>2</v>
      </c>
      <c r="AH1757" s="3" t="s">
        <v>1800</v>
      </c>
      <c r="AI1757" s="4">
        <v>45077</v>
      </c>
      <c r="AJ1757" s="3" t="s">
        <v>1863</v>
      </c>
      <c r="AK1757" s="3" t="s">
        <v>645</v>
      </c>
    </row>
    <row r="1758" spans="1:37" hidden="1" x14ac:dyDescent="0.25">
      <c r="A1758" t="str">
        <f t="shared" si="27"/>
        <v>2023_NSW_WaggaWagga_Fababean_DetailedTOS2VarietyMarneWaterTrtRainFed</v>
      </c>
      <c r="B1758" s="2">
        <v>2023020</v>
      </c>
      <c r="C1758" s="3" t="s">
        <v>1799</v>
      </c>
      <c r="D1758" s="3" t="s">
        <v>645</v>
      </c>
      <c r="F1758" s="3" t="s">
        <v>4184</v>
      </c>
      <c r="G1758" s="3" t="s">
        <v>39</v>
      </c>
      <c r="H1758" s="3" t="s">
        <v>253</v>
      </c>
      <c r="I1758" s="2">
        <v>63</v>
      </c>
      <c r="J1758" s="2">
        <v>32</v>
      </c>
      <c r="K1758" s="2">
        <v>2</v>
      </c>
      <c r="O1758" s="2">
        <v>8</v>
      </c>
      <c r="U1758" s="2">
        <v>4</v>
      </c>
      <c r="V1758" s="2">
        <v>30</v>
      </c>
      <c r="W1758" s="2">
        <v>4</v>
      </c>
      <c r="X1758" s="2">
        <v>15</v>
      </c>
      <c r="AA1758" s="3" t="s">
        <v>40</v>
      </c>
      <c r="AB1758" s="2">
        <v>3</v>
      </c>
      <c r="AF1758" s="2">
        <v>30</v>
      </c>
      <c r="AG1758" s="2">
        <v>2</v>
      </c>
      <c r="AH1758" s="3" t="s">
        <v>1800</v>
      </c>
      <c r="AI1758" s="4">
        <v>45077</v>
      </c>
      <c r="AJ1758" s="3" t="s">
        <v>1864</v>
      </c>
      <c r="AK1758" s="3" t="s">
        <v>645</v>
      </c>
    </row>
    <row r="1759" spans="1:37" hidden="1" x14ac:dyDescent="0.25">
      <c r="A1759" t="str">
        <f t="shared" si="27"/>
        <v>2023_NSW_WaggaWagga_Fababean_DetailedTOS2VarietyMarneWaterTrtRainFed</v>
      </c>
      <c r="B1759" s="2">
        <v>2023020</v>
      </c>
      <c r="C1759" s="3" t="s">
        <v>1799</v>
      </c>
      <c r="D1759" s="3" t="s">
        <v>645</v>
      </c>
      <c r="F1759" s="3" t="s">
        <v>4184</v>
      </c>
      <c r="G1759" s="3" t="s">
        <v>39</v>
      </c>
      <c r="H1759" s="3" t="s">
        <v>250</v>
      </c>
      <c r="I1759" s="2">
        <v>64</v>
      </c>
      <c r="J1759" s="2">
        <v>32</v>
      </c>
      <c r="K1759" s="2">
        <v>2</v>
      </c>
      <c r="O1759" s="2">
        <v>8</v>
      </c>
      <c r="U1759" s="2">
        <v>4</v>
      </c>
      <c r="V1759" s="2">
        <v>31</v>
      </c>
      <c r="W1759" s="2">
        <v>4</v>
      </c>
      <c r="X1759" s="2">
        <v>16</v>
      </c>
      <c r="Z1759" s="2">
        <v>61</v>
      </c>
      <c r="AA1759" s="3" t="s">
        <v>40</v>
      </c>
      <c r="AB1759" s="2">
        <v>3</v>
      </c>
      <c r="AF1759" s="2">
        <v>30</v>
      </c>
      <c r="AG1759" s="2">
        <v>2</v>
      </c>
      <c r="AH1759" s="3" t="s">
        <v>1800</v>
      </c>
      <c r="AI1759" s="4">
        <v>45077</v>
      </c>
      <c r="AJ1759" s="3" t="s">
        <v>1865</v>
      </c>
      <c r="AK1759" s="3" t="s">
        <v>645</v>
      </c>
    </row>
    <row r="1760" spans="1:37" hidden="1" x14ac:dyDescent="0.25">
      <c r="A1760" t="str">
        <f t="shared" si="27"/>
        <v>2023_NSW_WaggaWagga_Fababean_DetailedTOS1VarietyMarneWaterTrtIrrigated</v>
      </c>
      <c r="B1760" s="2">
        <v>2023020</v>
      </c>
      <c r="C1760" s="3" t="s">
        <v>1799</v>
      </c>
      <c r="D1760" s="3" t="s">
        <v>645</v>
      </c>
      <c r="F1760" s="3" t="s">
        <v>4184</v>
      </c>
      <c r="G1760" s="3" t="s">
        <v>39</v>
      </c>
      <c r="H1760" s="3" t="s">
        <v>253</v>
      </c>
      <c r="I1760" s="2">
        <v>65</v>
      </c>
      <c r="J1760" s="2">
        <v>33</v>
      </c>
      <c r="K1760" s="2">
        <v>3</v>
      </c>
      <c r="O1760" s="2">
        <v>1</v>
      </c>
      <c r="U1760" s="2">
        <v>6</v>
      </c>
      <c r="V1760" s="2">
        <v>2</v>
      </c>
      <c r="W1760" s="2">
        <v>5</v>
      </c>
      <c r="X1760" s="2">
        <v>1</v>
      </c>
      <c r="AA1760" s="3" t="s">
        <v>57</v>
      </c>
      <c r="AB1760" s="2">
        <v>3</v>
      </c>
      <c r="AF1760" s="2">
        <v>30</v>
      </c>
      <c r="AG1760" s="2">
        <v>1</v>
      </c>
      <c r="AH1760" s="3" t="s">
        <v>1809</v>
      </c>
      <c r="AI1760" s="4">
        <v>45042</v>
      </c>
      <c r="AJ1760" s="3" t="s">
        <v>1866</v>
      </c>
      <c r="AK1760" s="3" t="s">
        <v>645</v>
      </c>
    </row>
    <row r="1761" spans="1:37" hidden="1" x14ac:dyDescent="0.25">
      <c r="A1761" t="str">
        <f t="shared" si="27"/>
        <v>2023_NSW_WaggaWagga_Fababean_DetailedTOS1VarietyMarneWaterTrtIrrigated</v>
      </c>
      <c r="B1761" s="2">
        <v>2023020</v>
      </c>
      <c r="C1761" s="3" t="s">
        <v>1799</v>
      </c>
      <c r="D1761" s="3" t="s">
        <v>645</v>
      </c>
      <c r="F1761" s="3" t="s">
        <v>4184</v>
      </c>
      <c r="G1761" s="3" t="s">
        <v>39</v>
      </c>
      <c r="H1761" s="3" t="s">
        <v>250</v>
      </c>
      <c r="I1761" s="2">
        <v>66</v>
      </c>
      <c r="J1761" s="2">
        <v>33</v>
      </c>
      <c r="K1761" s="2">
        <v>3</v>
      </c>
      <c r="O1761" s="2">
        <v>1</v>
      </c>
      <c r="U1761" s="2">
        <v>6</v>
      </c>
      <c r="V1761" s="2">
        <v>3</v>
      </c>
      <c r="W1761" s="2">
        <v>5</v>
      </c>
      <c r="X1761" s="2">
        <v>2</v>
      </c>
      <c r="Z1761" s="2">
        <v>5</v>
      </c>
      <c r="AA1761" s="3" t="s">
        <v>57</v>
      </c>
      <c r="AB1761" s="2">
        <v>3</v>
      </c>
      <c r="AF1761" s="2">
        <v>30</v>
      </c>
      <c r="AG1761" s="2">
        <v>1</v>
      </c>
      <c r="AH1761" s="3" t="s">
        <v>1809</v>
      </c>
      <c r="AI1761" s="4">
        <v>45042</v>
      </c>
      <c r="AJ1761" s="3" t="s">
        <v>1867</v>
      </c>
      <c r="AK1761" s="3" t="s">
        <v>645</v>
      </c>
    </row>
    <row r="1762" spans="1:37" hidden="1" x14ac:dyDescent="0.25">
      <c r="A1762" t="str">
        <f t="shared" si="27"/>
        <v>2023_NSW_WaggaWagga_Fababean_DetailedTOS1VarietySamiraWaterTrtIrrigated</v>
      </c>
      <c r="B1762" s="2">
        <v>2023020</v>
      </c>
      <c r="C1762" s="3" t="s">
        <v>1799</v>
      </c>
      <c r="D1762" s="3" t="s">
        <v>645</v>
      </c>
      <c r="F1762" s="3" t="s">
        <v>4183</v>
      </c>
      <c r="G1762" s="3" t="s">
        <v>43</v>
      </c>
      <c r="H1762" s="3" t="s">
        <v>253</v>
      </c>
      <c r="I1762" s="2">
        <v>67</v>
      </c>
      <c r="J1762" s="2">
        <v>34</v>
      </c>
      <c r="K1762" s="2">
        <v>3</v>
      </c>
      <c r="O1762" s="2">
        <v>1</v>
      </c>
      <c r="U1762" s="2">
        <v>7</v>
      </c>
      <c r="V1762" s="2">
        <v>2</v>
      </c>
      <c r="W1762" s="2">
        <v>6</v>
      </c>
      <c r="X1762" s="2">
        <v>1</v>
      </c>
      <c r="AA1762" s="3" t="s">
        <v>57</v>
      </c>
      <c r="AB1762" s="2">
        <v>4</v>
      </c>
      <c r="AF1762" s="2">
        <v>30</v>
      </c>
      <c r="AG1762" s="2">
        <v>1</v>
      </c>
      <c r="AH1762" s="3" t="s">
        <v>1809</v>
      </c>
      <c r="AI1762" s="4">
        <v>45042</v>
      </c>
      <c r="AJ1762" s="3" t="s">
        <v>1868</v>
      </c>
      <c r="AK1762" s="3" t="s">
        <v>645</v>
      </c>
    </row>
    <row r="1763" spans="1:37" hidden="1" x14ac:dyDescent="0.25">
      <c r="A1763" t="str">
        <f t="shared" si="27"/>
        <v>2023_NSW_WaggaWagga_Fababean_DetailedTOS1VarietySamiraWaterTrtIrrigated</v>
      </c>
      <c r="B1763" s="2">
        <v>2023020</v>
      </c>
      <c r="C1763" s="3" t="s">
        <v>1799</v>
      </c>
      <c r="D1763" s="3" t="s">
        <v>645</v>
      </c>
      <c r="F1763" s="3" t="s">
        <v>4183</v>
      </c>
      <c r="G1763" s="3" t="s">
        <v>43</v>
      </c>
      <c r="H1763" s="3" t="s">
        <v>250</v>
      </c>
      <c r="I1763" s="2">
        <v>68</v>
      </c>
      <c r="J1763" s="2">
        <v>34</v>
      </c>
      <c r="K1763" s="2">
        <v>3</v>
      </c>
      <c r="O1763" s="2">
        <v>1</v>
      </c>
      <c r="U1763" s="2">
        <v>7</v>
      </c>
      <c r="V1763" s="2">
        <v>3</v>
      </c>
      <c r="W1763" s="2">
        <v>6</v>
      </c>
      <c r="X1763" s="2">
        <v>2</v>
      </c>
      <c r="Z1763" s="2">
        <v>6</v>
      </c>
      <c r="AA1763" s="3" t="s">
        <v>57</v>
      </c>
      <c r="AB1763" s="2">
        <v>4</v>
      </c>
      <c r="AF1763" s="2">
        <v>30</v>
      </c>
      <c r="AG1763" s="2">
        <v>1</v>
      </c>
      <c r="AH1763" s="3" t="s">
        <v>1809</v>
      </c>
      <c r="AI1763" s="4">
        <v>45042</v>
      </c>
      <c r="AJ1763" s="3" t="s">
        <v>1869</v>
      </c>
      <c r="AK1763" s="3" t="s">
        <v>645</v>
      </c>
    </row>
    <row r="1764" spans="1:37" hidden="1" x14ac:dyDescent="0.25">
      <c r="A1764" t="str">
        <f t="shared" si="27"/>
        <v>2023_NSW_WaggaWagga_Fababean_DetailedTOS1VarietyAmberleyWaterTrtIrrigated</v>
      </c>
      <c r="B1764" s="2">
        <v>2023020</v>
      </c>
      <c r="C1764" s="3" t="s">
        <v>1799</v>
      </c>
      <c r="D1764" s="3" t="s">
        <v>645</v>
      </c>
      <c r="F1764" s="3" t="s">
        <v>4185</v>
      </c>
      <c r="G1764" s="3" t="s">
        <v>39</v>
      </c>
      <c r="H1764" s="3" t="s">
        <v>253</v>
      </c>
      <c r="I1764" s="2">
        <v>69</v>
      </c>
      <c r="J1764" s="2">
        <v>35</v>
      </c>
      <c r="K1764" s="2">
        <v>4</v>
      </c>
      <c r="O1764" s="2">
        <v>1</v>
      </c>
      <c r="U1764" s="2">
        <v>8</v>
      </c>
      <c r="V1764" s="2">
        <v>2</v>
      </c>
      <c r="W1764" s="2">
        <v>7</v>
      </c>
      <c r="X1764" s="2">
        <v>1</v>
      </c>
      <c r="AA1764" s="3" t="s">
        <v>57</v>
      </c>
      <c r="AB1764" s="2">
        <v>1</v>
      </c>
      <c r="AF1764" s="2">
        <v>30</v>
      </c>
      <c r="AG1764" s="2">
        <v>1</v>
      </c>
      <c r="AH1764" s="3" t="s">
        <v>1809</v>
      </c>
      <c r="AI1764" s="4">
        <v>45042</v>
      </c>
      <c r="AJ1764" s="3" t="s">
        <v>1870</v>
      </c>
      <c r="AK1764" s="3" t="s">
        <v>645</v>
      </c>
    </row>
    <row r="1765" spans="1:37" hidden="1" x14ac:dyDescent="0.25">
      <c r="A1765" t="str">
        <f t="shared" si="27"/>
        <v>2023_NSW_WaggaWagga_Fababean_DetailedTOS1VarietyAmberleyWaterTrtIrrigated</v>
      </c>
      <c r="B1765" s="2">
        <v>2023020</v>
      </c>
      <c r="C1765" s="3" t="s">
        <v>1799</v>
      </c>
      <c r="D1765" s="3" t="s">
        <v>645</v>
      </c>
      <c r="F1765" s="3" t="s">
        <v>4185</v>
      </c>
      <c r="G1765" s="3" t="s">
        <v>39</v>
      </c>
      <c r="H1765" s="3" t="s">
        <v>250</v>
      </c>
      <c r="I1765" s="2">
        <v>70</v>
      </c>
      <c r="J1765" s="2">
        <v>35</v>
      </c>
      <c r="K1765" s="2">
        <v>4</v>
      </c>
      <c r="O1765" s="2">
        <v>1</v>
      </c>
      <c r="U1765" s="2">
        <v>8</v>
      </c>
      <c r="V1765" s="2">
        <v>3</v>
      </c>
      <c r="W1765" s="2">
        <v>7</v>
      </c>
      <c r="X1765" s="2">
        <v>2</v>
      </c>
      <c r="Z1765" s="2">
        <v>7</v>
      </c>
      <c r="AA1765" s="3" t="s">
        <v>57</v>
      </c>
      <c r="AB1765" s="2">
        <v>1</v>
      </c>
      <c r="AF1765" s="2">
        <v>30</v>
      </c>
      <c r="AG1765" s="2">
        <v>1</v>
      </c>
      <c r="AH1765" s="3" t="s">
        <v>1809</v>
      </c>
      <c r="AI1765" s="4">
        <v>45042</v>
      </c>
      <c r="AJ1765" s="3" t="s">
        <v>1871</v>
      </c>
      <c r="AK1765" s="3" t="s">
        <v>645</v>
      </c>
    </row>
    <row r="1766" spans="1:37" hidden="1" x14ac:dyDescent="0.25">
      <c r="A1766" t="str">
        <f t="shared" si="27"/>
        <v>2023_NSW_WaggaWagga_Fababean_DetailedTOS1VarietyNasmaWaterTrtIrrigated</v>
      </c>
      <c r="B1766" s="2">
        <v>2023020</v>
      </c>
      <c r="C1766" s="3" t="s">
        <v>1799</v>
      </c>
      <c r="D1766" s="3" t="s">
        <v>645</v>
      </c>
      <c r="F1766" s="3" t="s">
        <v>4186</v>
      </c>
      <c r="G1766" s="3" t="s">
        <v>43</v>
      </c>
      <c r="H1766" s="3" t="s">
        <v>253</v>
      </c>
      <c r="I1766" s="2">
        <v>71</v>
      </c>
      <c r="J1766" s="2">
        <v>36</v>
      </c>
      <c r="K1766" s="2">
        <v>4</v>
      </c>
      <c r="O1766" s="2">
        <v>1</v>
      </c>
      <c r="U1766" s="2">
        <v>9</v>
      </c>
      <c r="V1766" s="2">
        <v>2</v>
      </c>
      <c r="W1766" s="2">
        <v>8</v>
      </c>
      <c r="X1766" s="2">
        <v>1</v>
      </c>
      <c r="AA1766" s="3" t="s">
        <v>57</v>
      </c>
      <c r="AB1766" s="2">
        <v>2</v>
      </c>
      <c r="AF1766" s="2">
        <v>30</v>
      </c>
      <c r="AG1766" s="2">
        <v>1</v>
      </c>
      <c r="AH1766" s="3" t="s">
        <v>1809</v>
      </c>
      <c r="AI1766" s="4">
        <v>45042</v>
      </c>
      <c r="AJ1766" s="3" t="s">
        <v>1872</v>
      </c>
      <c r="AK1766" s="3" t="s">
        <v>645</v>
      </c>
    </row>
    <row r="1767" spans="1:37" hidden="1" x14ac:dyDescent="0.25">
      <c r="A1767" t="str">
        <f t="shared" si="27"/>
        <v>2023_NSW_WaggaWagga_Fababean_DetailedTOS1VarietyNasmaWaterTrtIrrigated</v>
      </c>
      <c r="B1767" s="2">
        <v>2023020</v>
      </c>
      <c r="C1767" s="3" t="s">
        <v>1799</v>
      </c>
      <c r="D1767" s="3" t="s">
        <v>645</v>
      </c>
      <c r="F1767" s="3" t="s">
        <v>4186</v>
      </c>
      <c r="G1767" s="3" t="s">
        <v>43</v>
      </c>
      <c r="H1767" s="3" t="s">
        <v>250</v>
      </c>
      <c r="I1767" s="2">
        <v>72</v>
      </c>
      <c r="J1767" s="2">
        <v>36</v>
      </c>
      <c r="K1767" s="2">
        <v>4</v>
      </c>
      <c r="O1767" s="2">
        <v>1</v>
      </c>
      <c r="U1767" s="2">
        <v>9</v>
      </c>
      <c r="V1767" s="2">
        <v>3</v>
      </c>
      <c r="W1767" s="2">
        <v>8</v>
      </c>
      <c r="X1767" s="2">
        <v>2</v>
      </c>
      <c r="Z1767" s="2">
        <v>8</v>
      </c>
      <c r="AA1767" s="3" t="s">
        <v>57</v>
      </c>
      <c r="AB1767" s="2">
        <v>2</v>
      </c>
      <c r="AF1767" s="2">
        <v>30</v>
      </c>
      <c r="AG1767" s="2">
        <v>1</v>
      </c>
      <c r="AH1767" s="3" t="s">
        <v>1809</v>
      </c>
      <c r="AI1767" s="4">
        <v>45042</v>
      </c>
      <c r="AJ1767" s="3" t="s">
        <v>1873</v>
      </c>
      <c r="AK1767" s="3" t="s">
        <v>645</v>
      </c>
    </row>
    <row r="1768" spans="1:37" hidden="1" x14ac:dyDescent="0.25">
      <c r="A1768" t="str">
        <f t="shared" si="27"/>
        <v>2023_NSW_WaggaWagga_Fababean_DetailedTOS2VarietyNasmaWaterTrtIrrigated</v>
      </c>
      <c r="B1768" s="2">
        <v>2023020</v>
      </c>
      <c r="C1768" s="3" t="s">
        <v>1799</v>
      </c>
      <c r="D1768" s="3" t="s">
        <v>645</v>
      </c>
      <c r="F1768" s="3" t="s">
        <v>4186</v>
      </c>
      <c r="G1768" s="3" t="s">
        <v>43</v>
      </c>
      <c r="H1768" s="3" t="s">
        <v>253</v>
      </c>
      <c r="I1768" s="2">
        <v>73</v>
      </c>
      <c r="J1768" s="2">
        <v>37</v>
      </c>
      <c r="K1768" s="2">
        <v>3</v>
      </c>
      <c r="O1768" s="2">
        <v>2</v>
      </c>
      <c r="U1768" s="2">
        <v>6</v>
      </c>
      <c r="V1768" s="2">
        <v>6</v>
      </c>
      <c r="W1768" s="2">
        <v>5</v>
      </c>
      <c r="X1768" s="2">
        <v>3</v>
      </c>
      <c r="AA1768" s="3" t="s">
        <v>57</v>
      </c>
      <c r="AB1768" s="2">
        <v>2</v>
      </c>
      <c r="AF1768" s="2">
        <v>30</v>
      </c>
      <c r="AG1768" s="2">
        <v>2</v>
      </c>
      <c r="AH1768" s="3" t="s">
        <v>1800</v>
      </c>
      <c r="AI1768" s="4">
        <v>45077</v>
      </c>
      <c r="AJ1768" s="3" t="s">
        <v>1874</v>
      </c>
      <c r="AK1768" s="3" t="s">
        <v>645</v>
      </c>
    </row>
    <row r="1769" spans="1:37" hidden="1" x14ac:dyDescent="0.25">
      <c r="A1769" t="str">
        <f t="shared" si="27"/>
        <v>2023_NSW_WaggaWagga_Fababean_DetailedTOS2VarietyNasmaWaterTrtIrrigated</v>
      </c>
      <c r="B1769" s="2">
        <v>2023020</v>
      </c>
      <c r="C1769" s="3" t="s">
        <v>1799</v>
      </c>
      <c r="D1769" s="3" t="s">
        <v>645</v>
      </c>
      <c r="F1769" s="3" t="s">
        <v>4186</v>
      </c>
      <c r="G1769" s="3" t="s">
        <v>43</v>
      </c>
      <c r="H1769" s="3" t="s">
        <v>250</v>
      </c>
      <c r="I1769" s="2">
        <v>74</v>
      </c>
      <c r="J1769" s="2">
        <v>37</v>
      </c>
      <c r="K1769" s="2">
        <v>3</v>
      </c>
      <c r="O1769" s="2">
        <v>2</v>
      </c>
      <c r="U1769" s="2">
        <v>6</v>
      </c>
      <c r="V1769" s="2">
        <v>7</v>
      </c>
      <c r="W1769" s="2">
        <v>5</v>
      </c>
      <c r="X1769" s="2">
        <v>4</v>
      </c>
      <c r="Z1769" s="2">
        <v>12</v>
      </c>
      <c r="AA1769" s="3" t="s">
        <v>57</v>
      </c>
      <c r="AB1769" s="2">
        <v>2</v>
      </c>
      <c r="AF1769" s="2">
        <v>30</v>
      </c>
      <c r="AG1769" s="2">
        <v>2</v>
      </c>
      <c r="AH1769" s="3" t="s">
        <v>1800</v>
      </c>
      <c r="AI1769" s="4">
        <v>45077</v>
      </c>
      <c r="AJ1769" s="3" t="s">
        <v>1875</v>
      </c>
      <c r="AK1769" s="3" t="s">
        <v>645</v>
      </c>
    </row>
    <row r="1770" spans="1:37" hidden="1" x14ac:dyDescent="0.25">
      <c r="A1770" t="str">
        <f t="shared" si="27"/>
        <v>2023_NSW_WaggaWagga_Fababean_DetailedTOS2VarietyAmberleyWaterTrtIrrigated</v>
      </c>
      <c r="B1770" s="2">
        <v>2023020</v>
      </c>
      <c r="C1770" s="3" t="s">
        <v>1799</v>
      </c>
      <c r="D1770" s="3" t="s">
        <v>645</v>
      </c>
      <c r="F1770" s="3" t="s">
        <v>4185</v>
      </c>
      <c r="G1770" s="3" t="s">
        <v>39</v>
      </c>
      <c r="H1770" s="3" t="s">
        <v>253</v>
      </c>
      <c r="I1770" s="2">
        <v>75</v>
      </c>
      <c r="J1770" s="2">
        <v>38</v>
      </c>
      <c r="K1770" s="2">
        <v>3</v>
      </c>
      <c r="O1770" s="2">
        <v>2</v>
      </c>
      <c r="U1770" s="2">
        <v>7</v>
      </c>
      <c r="V1770" s="2">
        <v>6</v>
      </c>
      <c r="W1770" s="2">
        <v>6</v>
      </c>
      <c r="X1770" s="2">
        <v>3</v>
      </c>
      <c r="AA1770" s="3" t="s">
        <v>57</v>
      </c>
      <c r="AB1770" s="2">
        <v>1</v>
      </c>
      <c r="AF1770" s="2">
        <v>30</v>
      </c>
      <c r="AG1770" s="2">
        <v>2</v>
      </c>
      <c r="AH1770" s="3" t="s">
        <v>1800</v>
      </c>
      <c r="AI1770" s="4">
        <v>45077</v>
      </c>
      <c r="AJ1770" s="3" t="s">
        <v>1876</v>
      </c>
      <c r="AK1770" s="3" t="s">
        <v>645</v>
      </c>
    </row>
    <row r="1771" spans="1:37" hidden="1" x14ac:dyDescent="0.25">
      <c r="A1771" t="str">
        <f t="shared" si="27"/>
        <v>2023_NSW_WaggaWagga_Fababean_DetailedTOS2VarietyAmberleyWaterTrtIrrigated</v>
      </c>
      <c r="B1771" s="2">
        <v>2023020</v>
      </c>
      <c r="C1771" s="3" t="s">
        <v>1799</v>
      </c>
      <c r="D1771" s="3" t="s">
        <v>645</v>
      </c>
      <c r="F1771" s="3" t="s">
        <v>4185</v>
      </c>
      <c r="G1771" s="3" t="s">
        <v>39</v>
      </c>
      <c r="H1771" s="3" t="s">
        <v>250</v>
      </c>
      <c r="I1771" s="2">
        <v>76</v>
      </c>
      <c r="J1771" s="2">
        <v>38</v>
      </c>
      <c r="K1771" s="2">
        <v>3</v>
      </c>
      <c r="O1771" s="2">
        <v>2</v>
      </c>
      <c r="U1771" s="2">
        <v>7</v>
      </c>
      <c r="V1771" s="2">
        <v>7</v>
      </c>
      <c r="W1771" s="2">
        <v>6</v>
      </c>
      <c r="X1771" s="2">
        <v>4</v>
      </c>
      <c r="Z1771" s="2">
        <v>11</v>
      </c>
      <c r="AA1771" s="3" t="s">
        <v>57</v>
      </c>
      <c r="AB1771" s="2">
        <v>1</v>
      </c>
      <c r="AF1771" s="2">
        <v>30</v>
      </c>
      <c r="AG1771" s="2">
        <v>2</v>
      </c>
      <c r="AH1771" s="3" t="s">
        <v>1800</v>
      </c>
      <c r="AI1771" s="4">
        <v>45077</v>
      </c>
      <c r="AJ1771" s="3" t="s">
        <v>1877</v>
      </c>
      <c r="AK1771" s="3" t="s">
        <v>645</v>
      </c>
    </row>
    <row r="1772" spans="1:37" hidden="1" x14ac:dyDescent="0.25">
      <c r="A1772" t="str">
        <f t="shared" si="27"/>
        <v>2023_NSW_WaggaWagga_Fababean_DetailedTOS2VarietySamiraWaterTrtIrrigated</v>
      </c>
      <c r="B1772" s="2">
        <v>2023020</v>
      </c>
      <c r="C1772" s="3" t="s">
        <v>1799</v>
      </c>
      <c r="D1772" s="3" t="s">
        <v>645</v>
      </c>
      <c r="F1772" s="3" t="s">
        <v>4183</v>
      </c>
      <c r="G1772" s="3" t="s">
        <v>43</v>
      </c>
      <c r="H1772" s="3" t="s">
        <v>253</v>
      </c>
      <c r="I1772" s="2">
        <v>77</v>
      </c>
      <c r="J1772" s="2">
        <v>39</v>
      </c>
      <c r="K1772" s="2">
        <v>4</v>
      </c>
      <c r="O1772" s="2">
        <v>2</v>
      </c>
      <c r="U1772" s="2">
        <v>8</v>
      </c>
      <c r="V1772" s="2">
        <v>6</v>
      </c>
      <c r="W1772" s="2">
        <v>7</v>
      </c>
      <c r="X1772" s="2">
        <v>3</v>
      </c>
      <c r="AA1772" s="3" t="s">
        <v>57</v>
      </c>
      <c r="AB1772" s="2">
        <v>4</v>
      </c>
      <c r="AF1772" s="2">
        <v>30</v>
      </c>
      <c r="AG1772" s="2">
        <v>2</v>
      </c>
      <c r="AH1772" s="3" t="s">
        <v>1800</v>
      </c>
      <c r="AI1772" s="4">
        <v>45077</v>
      </c>
      <c r="AJ1772" s="3" t="s">
        <v>1878</v>
      </c>
      <c r="AK1772" s="3" t="s">
        <v>645</v>
      </c>
    </row>
    <row r="1773" spans="1:37" hidden="1" x14ac:dyDescent="0.25">
      <c r="A1773" t="str">
        <f t="shared" si="27"/>
        <v>2023_NSW_WaggaWagga_Fababean_DetailedTOS2VarietySamiraWaterTrtIrrigated</v>
      </c>
      <c r="B1773" s="2">
        <v>2023020</v>
      </c>
      <c r="C1773" s="3" t="s">
        <v>1799</v>
      </c>
      <c r="D1773" s="3" t="s">
        <v>645</v>
      </c>
      <c r="F1773" s="3" t="s">
        <v>4183</v>
      </c>
      <c r="G1773" s="3" t="s">
        <v>43</v>
      </c>
      <c r="H1773" s="3" t="s">
        <v>250</v>
      </c>
      <c r="I1773" s="2">
        <v>78</v>
      </c>
      <c r="J1773" s="2">
        <v>39</v>
      </c>
      <c r="K1773" s="2">
        <v>4</v>
      </c>
      <c r="O1773" s="2">
        <v>2</v>
      </c>
      <c r="U1773" s="2">
        <v>8</v>
      </c>
      <c r="V1773" s="2">
        <v>7</v>
      </c>
      <c r="W1773" s="2">
        <v>7</v>
      </c>
      <c r="X1773" s="2">
        <v>4</v>
      </c>
      <c r="Z1773" s="2">
        <v>10</v>
      </c>
      <c r="AA1773" s="3" t="s">
        <v>57</v>
      </c>
      <c r="AB1773" s="2">
        <v>4</v>
      </c>
      <c r="AF1773" s="2">
        <v>30</v>
      </c>
      <c r="AG1773" s="2">
        <v>2</v>
      </c>
      <c r="AH1773" s="3" t="s">
        <v>1800</v>
      </c>
      <c r="AI1773" s="4">
        <v>45077</v>
      </c>
      <c r="AJ1773" s="3" t="s">
        <v>1879</v>
      </c>
      <c r="AK1773" s="3" t="s">
        <v>645</v>
      </c>
    </row>
    <row r="1774" spans="1:37" hidden="1" x14ac:dyDescent="0.25">
      <c r="A1774" t="str">
        <f t="shared" si="27"/>
        <v>2023_NSW_WaggaWagga_Fababean_DetailedTOS2VarietyMarneWaterTrtIrrigated</v>
      </c>
      <c r="B1774" s="2">
        <v>2023020</v>
      </c>
      <c r="C1774" s="3" t="s">
        <v>1799</v>
      </c>
      <c r="D1774" s="3" t="s">
        <v>645</v>
      </c>
      <c r="F1774" s="3" t="s">
        <v>4184</v>
      </c>
      <c r="G1774" s="3" t="s">
        <v>39</v>
      </c>
      <c r="H1774" s="3" t="s">
        <v>253</v>
      </c>
      <c r="I1774" s="2">
        <v>79</v>
      </c>
      <c r="J1774" s="2">
        <v>40</v>
      </c>
      <c r="K1774" s="2">
        <v>4</v>
      </c>
      <c r="O1774" s="2">
        <v>2</v>
      </c>
      <c r="U1774" s="2">
        <v>9</v>
      </c>
      <c r="V1774" s="2">
        <v>6</v>
      </c>
      <c r="W1774" s="2">
        <v>8</v>
      </c>
      <c r="X1774" s="2">
        <v>3</v>
      </c>
      <c r="AA1774" s="3" t="s">
        <v>57</v>
      </c>
      <c r="AB1774" s="2">
        <v>3</v>
      </c>
      <c r="AF1774" s="2">
        <v>30</v>
      </c>
      <c r="AG1774" s="2">
        <v>2</v>
      </c>
      <c r="AH1774" s="3" t="s">
        <v>1800</v>
      </c>
      <c r="AI1774" s="4">
        <v>45077</v>
      </c>
      <c r="AJ1774" s="3" t="s">
        <v>1880</v>
      </c>
      <c r="AK1774" s="3" t="s">
        <v>645</v>
      </c>
    </row>
    <row r="1775" spans="1:37" hidden="1" x14ac:dyDescent="0.25">
      <c r="A1775" t="str">
        <f t="shared" si="27"/>
        <v>2023_NSW_WaggaWagga_Fababean_DetailedTOS2VarietyMarneWaterTrtIrrigated</v>
      </c>
      <c r="B1775" s="2">
        <v>2023020</v>
      </c>
      <c r="C1775" s="3" t="s">
        <v>1799</v>
      </c>
      <c r="D1775" s="3" t="s">
        <v>645</v>
      </c>
      <c r="F1775" s="3" t="s">
        <v>4184</v>
      </c>
      <c r="G1775" s="3" t="s">
        <v>39</v>
      </c>
      <c r="H1775" s="3" t="s">
        <v>250</v>
      </c>
      <c r="I1775" s="2">
        <v>80</v>
      </c>
      <c r="J1775" s="2">
        <v>40</v>
      </c>
      <c r="K1775" s="2">
        <v>4</v>
      </c>
      <c r="O1775" s="2">
        <v>2</v>
      </c>
      <c r="U1775" s="2">
        <v>9</v>
      </c>
      <c r="V1775" s="2">
        <v>7</v>
      </c>
      <c r="W1775" s="2">
        <v>8</v>
      </c>
      <c r="X1775" s="2">
        <v>4</v>
      </c>
      <c r="Z1775" s="2">
        <v>9</v>
      </c>
      <c r="AA1775" s="3" t="s">
        <v>57</v>
      </c>
      <c r="AB1775" s="2">
        <v>3</v>
      </c>
      <c r="AF1775" s="2">
        <v>30</v>
      </c>
      <c r="AG1775" s="2">
        <v>2</v>
      </c>
      <c r="AH1775" s="3" t="s">
        <v>1800</v>
      </c>
      <c r="AI1775" s="4">
        <v>45077</v>
      </c>
      <c r="AJ1775" s="3" t="s">
        <v>1881</v>
      </c>
      <c r="AK1775" s="3" t="s">
        <v>645</v>
      </c>
    </row>
    <row r="1776" spans="1:37" hidden="1" x14ac:dyDescent="0.25">
      <c r="A1776" t="str">
        <f t="shared" si="27"/>
        <v>2023_NSW_WaggaWagga_Fababean_DetailedTOS2VarietyAmberleyWaterTrtIrrigated</v>
      </c>
      <c r="B1776" s="2">
        <v>2023020</v>
      </c>
      <c r="C1776" s="3" t="s">
        <v>1799</v>
      </c>
      <c r="D1776" s="3" t="s">
        <v>645</v>
      </c>
      <c r="F1776" s="3" t="s">
        <v>4185</v>
      </c>
      <c r="G1776" s="3" t="s">
        <v>39</v>
      </c>
      <c r="H1776" s="3" t="s">
        <v>253</v>
      </c>
      <c r="I1776" s="2">
        <v>81</v>
      </c>
      <c r="J1776" s="2">
        <v>41</v>
      </c>
      <c r="K1776" s="2">
        <v>3</v>
      </c>
      <c r="O1776" s="2">
        <v>3</v>
      </c>
      <c r="U1776" s="2">
        <v>6</v>
      </c>
      <c r="V1776" s="2">
        <v>10</v>
      </c>
      <c r="W1776" s="2">
        <v>5</v>
      </c>
      <c r="X1776" s="2">
        <v>5</v>
      </c>
      <c r="AA1776" s="3" t="s">
        <v>57</v>
      </c>
      <c r="AB1776" s="2">
        <v>1</v>
      </c>
      <c r="AF1776" s="2">
        <v>30</v>
      </c>
      <c r="AG1776" s="2">
        <v>2</v>
      </c>
      <c r="AH1776" s="3" t="s">
        <v>1800</v>
      </c>
      <c r="AI1776" s="4">
        <v>45077</v>
      </c>
      <c r="AJ1776" s="3" t="s">
        <v>1882</v>
      </c>
      <c r="AK1776" s="3" t="s">
        <v>645</v>
      </c>
    </row>
    <row r="1777" spans="1:37" hidden="1" x14ac:dyDescent="0.25">
      <c r="A1777" t="str">
        <f t="shared" si="27"/>
        <v>2023_NSW_WaggaWagga_Fababean_DetailedTOS2VarietyAmberleyWaterTrtIrrigated</v>
      </c>
      <c r="B1777" s="2">
        <v>2023020</v>
      </c>
      <c r="C1777" s="3" t="s">
        <v>1799</v>
      </c>
      <c r="D1777" s="3" t="s">
        <v>645</v>
      </c>
      <c r="F1777" s="3" t="s">
        <v>4185</v>
      </c>
      <c r="G1777" s="3" t="s">
        <v>39</v>
      </c>
      <c r="H1777" s="3" t="s">
        <v>250</v>
      </c>
      <c r="I1777" s="2">
        <v>82</v>
      </c>
      <c r="J1777" s="2">
        <v>41</v>
      </c>
      <c r="K1777" s="2">
        <v>3</v>
      </c>
      <c r="O1777" s="2">
        <v>3</v>
      </c>
      <c r="U1777" s="2">
        <v>6</v>
      </c>
      <c r="V1777" s="2">
        <v>11</v>
      </c>
      <c r="W1777" s="2">
        <v>5</v>
      </c>
      <c r="X1777" s="2">
        <v>6</v>
      </c>
      <c r="Z1777" s="2">
        <v>21</v>
      </c>
      <c r="AA1777" s="3" t="s">
        <v>57</v>
      </c>
      <c r="AB1777" s="2">
        <v>1</v>
      </c>
      <c r="AF1777" s="2">
        <v>30</v>
      </c>
      <c r="AG1777" s="2">
        <v>2</v>
      </c>
      <c r="AH1777" s="3" t="s">
        <v>1800</v>
      </c>
      <c r="AI1777" s="4">
        <v>45077</v>
      </c>
      <c r="AJ1777" s="3" t="s">
        <v>1883</v>
      </c>
      <c r="AK1777" s="3" t="s">
        <v>645</v>
      </c>
    </row>
    <row r="1778" spans="1:37" hidden="1" x14ac:dyDescent="0.25">
      <c r="A1778" t="str">
        <f t="shared" si="27"/>
        <v>2023_NSW_WaggaWagga_Fababean_DetailedTOS2VarietyMarneWaterTrtIrrigated</v>
      </c>
      <c r="B1778" s="2">
        <v>2023020</v>
      </c>
      <c r="C1778" s="3" t="s">
        <v>1799</v>
      </c>
      <c r="D1778" s="3" t="s">
        <v>645</v>
      </c>
      <c r="F1778" s="3" t="s">
        <v>4184</v>
      </c>
      <c r="G1778" s="3" t="s">
        <v>39</v>
      </c>
      <c r="H1778" s="3" t="s">
        <v>253</v>
      </c>
      <c r="I1778" s="2">
        <v>83</v>
      </c>
      <c r="J1778" s="2">
        <v>42</v>
      </c>
      <c r="K1778" s="2">
        <v>3</v>
      </c>
      <c r="O1778" s="2">
        <v>3</v>
      </c>
      <c r="U1778" s="2">
        <v>7</v>
      </c>
      <c r="V1778" s="2">
        <v>10</v>
      </c>
      <c r="W1778" s="2">
        <v>6</v>
      </c>
      <c r="X1778" s="2">
        <v>5</v>
      </c>
      <c r="AA1778" s="3" t="s">
        <v>57</v>
      </c>
      <c r="AB1778" s="2">
        <v>3</v>
      </c>
      <c r="AF1778" s="2">
        <v>30</v>
      </c>
      <c r="AG1778" s="2">
        <v>2</v>
      </c>
      <c r="AH1778" s="3" t="s">
        <v>1800</v>
      </c>
      <c r="AI1778" s="4">
        <v>45077</v>
      </c>
      <c r="AJ1778" s="3" t="s">
        <v>1884</v>
      </c>
      <c r="AK1778" s="3" t="s">
        <v>645</v>
      </c>
    </row>
    <row r="1779" spans="1:37" hidden="1" x14ac:dyDescent="0.25">
      <c r="A1779" t="str">
        <f t="shared" si="27"/>
        <v>2023_NSW_WaggaWagga_Fababean_DetailedTOS2VarietyMarneWaterTrtIrrigated</v>
      </c>
      <c r="B1779" s="2">
        <v>2023020</v>
      </c>
      <c r="C1779" s="3" t="s">
        <v>1799</v>
      </c>
      <c r="D1779" s="3" t="s">
        <v>645</v>
      </c>
      <c r="F1779" s="3" t="s">
        <v>4184</v>
      </c>
      <c r="G1779" s="3" t="s">
        <v>39</v>
      </c>
      <c r="H1779" s="3" t="s">
        <v>250</v>
      </c>
      <c r="I1779" s="2">
        <v>84</v>
      </c>
      <c r="J1779" s="2">
        <v>42</v>
      </c>
      <c r="K1779" s="2">
        <v>3</v>
      </c>
      <c r="O1779" s="2">
        <v>3</v>
      </c>
      <c r="U1779" s="2">
        <v>7</v>
      </c>
      <c r="V1779" s="2">
        <v>11</v>
      </c>
      <c r="W1779" s="2">
        <v>6</v>
      </c>
      <c r="X1779" s="2">
        <v>6</v>
      </c>
      <c r="Z1779" s="2">
        <v>22</v>
      </c>
      <c r="AA1779" s="3" t="s">
        <v>57</v>
      </c>
      <c r="AB1779" s="2">
        <v>3</v>
      </c>
      <c r="AF1779" s="2">
        <v>30</v>
      </c>
      <c r="AG1779" s="2">
        <v>2</v>
      </c>
      <c r="AH1779" s="3" t="s">
        <v>1800</v>
      </c>
      <c r="AI1779" s="4">
        <v>45077</v>
      </c>
      <c r="AJ1779" s="3" t="s">
        <v>1885</v>
      </c>
      <c r="AK1779" s="3" t="s">
        <v>645</v>
      </c>
    </row>
    <row r="1780" spans="1:37" hidden="1" x14ac:dyDescent="0.25">
      <c r="A1780" t="str">
        <f t="shared" si="27"/>
        <v>2023_NSW_WaggaWagga_Fababean_DetailedTOS2VarietyNasmaWaterTrtIrrigated</v>
      </c>
      <c r="B1780" s="2">
        <v>2023020</v>
      </c>
      <c r="C1780" s="3" t="s">
        <v>1799</v>
      </c>
      <c r="D1780" s="3" t="s">
        <v>645</v>
      </c>
      <c r="F1780" s="3" t="s">
        <v>4186</v>
      </c>
      <c r="G1780" s="3" t="s">
        <v>43</v>
      </c>
      <c r="H1780" s="3" t="s">
        <v>253</v>
      </c>
      <c r="I1780" s="2">
        <v>85</v>
      </c>
      <c r="J1780" s="2">
        <v>43</v>
      </c>
      <c r="K1780" s="2">
        <v>4</v>
      </c>
      <c r="O1780" s="2">
        <v>3</v>
      </c>
      <c r="U1780" s="2">
        <v>8</v>
      </c>
      <c r="V1780" s="2">
        <v>10</v>
      </c>
      <c r="W1780" s="2">
        <v>7</v>
      </c>
      <c r="X1780" s="2">
        <v>5</v>
      </c>
      <c r="AA1780" s="3" t="s">
        <v>57</v>
      </c>
      <c r="AB1780" s="2">
        <v>2</v>
      </c>
      <c r="AF1780" s="2">
        <v>30</v>
      </c>
      <c r="AG1780" s="2">
        <v>2</v>
      </c>
      <c r="AH1780" s="3" t="s">
        <v>1800</v>
      </c>
      <c r="AI1780" s="4">
        <v>45077</v>
      </c>
      <c r="AJ1780" s="3" t="s">
        <v>1886</v>
      </c>
      <c r="AK1780" s="3" t="s">
        <v>645</v>
      </c>
    </row>
    <row r="1781" spans="1:37" hidden="1" x14ac:dyDescent="0.25">
      <c r="A1781" t="str">
        <f t="shared" si="27"/>
        <v>2023_NSW_WaggaWagga_Fababean_DetailedTOS2VarietyNasmaWaterTrtIrrigated</v>
      </c>
      <c r="B1781" s="2">
        <v>2023020</v>
      </c>
      <c r="C1781" s="3" t="s">
        <v>1799</v>
      </c>
      <c r="D1781" s="3" t="s">
        <v>645</v>
      </c>
      <c r="F1781" s="3" t="s">
        <v>4186</v>
      </c>
      <c r="G1781" s="3" t="s">
        <v>43</v>
      </c>
      <c r="H1781" s="3" t="s">
        <v>250</v>
      </c>
      <c r="I1781" s="2">
        <v>86</v>
      </c>
      <c r="J1781" s="2">
        <v>43</v>
      </c>
      <c r="K1781" s="2">
        <v>4</v>
      </c>
      <c r="O1781" s="2">
        <v>3</v>
      </c>
      <c r="U1781" s="2">
        <v>8</v>
      </c>
      <c r="V1781" s="2">
        <v>11</v>
      </c>
      <c r="W1781" s="2">
        <v>7</v>
      </c>
      <c r="X1781" s="2">
        <v>6</v>
      </c>
      <c r="Z1781" s="2">
        <v>23</v>
      </c>
      <c r="AA1781" s="3" t="s">
        <v>57</v>
      </c>
      <c r="AB1781" s="2">
        <v>2</v>
      </c>
      <c r="AF1781" s="2">
        <v>30</v>
      </c>
      <c r="AG1781" s="2">
        <v>2</v>
      </c>
      <c r="AH1781" s="3" t="s">
        <v>1800</v>
      </c>
      <c r="AI1781" s="4">
        <v>45077</v>
      </c>
      <c r="AJ1781" s="3" t="s">
        <v>1887</v>
      </c>
      <c r="AK1781" s="3" t="s">
        <v>645</v>
      </c>
    </row>
    <row r="1782" spans="1:37" hidden="1" x14ac:dyDescent="0.25">
      <c r="A1782" t="str">
        <f t="shared" si="27"/>
        <v>2023_NSW_WaggaWagga_Fababean_DetailedTOS2VarietySamiraWaterTrtIrrigated</v>
      </c>
      <c r="B1782" s="2">
        <v>2023020</v>
      </c>
      <c r="C1782" s="3" t="s">
        <v>1799</v>
      </c>
      <c r="D1782" s="3" t="s">
        <v>645</v>
      </c>
      <c r="F1782" s="3" t="s">
        <v>4183</v>
      </c>
      <c r="G1782" s="3" t="s">
        <v>43</v>
      </c>
      <c r="H1782" s="3" t="s">
        <v>253</v>
      </c>
      <c r="I1782" s="2">
        <v>87</v>
      </c>
      <c r="J1782" s="2">
        <v>44</v>
      </c>
      <c r="K1782" s="2">
        <v>4</v>
      </c>
      <c r="O1782" s="2">
        <v>3</v>
      </c>
      <c r="U1782" s="2">
        <v>9</v>
      </c>
      <c r="V1782" s="2">
        <v>10</v>
      </c>
      <c r="W1782" s="2">
        <v>8</v>
      </c>
      <c r="X1782" s="2">
        <v>5</v>
      </c>
      <c r="AA1782" s="3" t="s">
        <v>57</v>
      </c>
      <c r="AB1782" s="2">
        <v>4</v>
      </c>
      <c r="AF1782" s="2">
        <v>30</v>
      </c>
      <c r="AG1782" s="2">
        <v>2</v>
      </c>
      <c r="AH1782" s="3" t="s">
        <v>1800</v>
      </c>
      <c r="AI1782" s="4">
        <v>45077</v>
      </c>
      <c r="AJ1782" s="3" t="s">
        <v>1888</v>
      </c>
      <c r="AK1782" s="3" t="s">
        <v>645</v>
      </c>
    </row>
    <row r="1783" spans="1:37" hidden="1" x14ac:dyDescent="0.25">
      <c r="A1783" t="str">
        <f t="shared" si="27"/>
        <v>2023_NSW_WaggaWagga_Fababean_DetailedTOS2VarietySamiraWaterTrtIrrigated</v>
      </c>
      <c r="B1783" s="2">
        <v>2023020</v>
      </c>
      <c r="C1783" s="3" t="s">
        <v>1799</v>
      </c>
      <c r="D1783" s="3" t="s">
        <v>645</v>
      </c>
      <c r="F1783" s="3" t="s">
        <v>4183</v>
      </c>
      <c r="G1783" s="3" t="s">
        <v>43</v>
      </c>
      <c r="H1783" s="3" t="s">
        <v>250</v>
      </c>
      <c r="I1783" s="2">
        <v>88</v>
      </c>
      <c r="J1783" s="2">
        <v>44</v>
      </c>
      <c r="K1783" s="2">
        <v>4</v>
      </c>
      <c r="O1783" s="2">
        <v>3</v>
      </c>
      <c r="U1783" s="2">
        <v>9</v>
      </c>
      <c r="V1783" s="2">
        <v>11</v>
      </c>
      <c r="W1783" s="2">
        <v>8</v>
      </c>
      <c r="X1783" s="2">
        <v>6</v>
      </c>
      <c r="Z1783" s="2">
        <v>24</v>
      </c>
      <c r="AA1783" s="3" t="s">
        <v>57</v>
      </c>
      <c r="AB1783" s="2">
        <v>4</v>
      </c>
      <c r="AF1783" s="2">
        <v>30</v>
      </c>
      <c r="AG1783" s="2">
        <v>2</v>
      </c>
      <c r="AH1783" s="3" t="s">
        <v>1800</v>
      </c>
      <c r="AI1783" s="4">
        <v>45077</v>
      </c>
      <c r="AJ1783" s="3" t="s">
        <v>1889</v>
      </c>
      <c r="AK1783" s="3" t="s">
        <v>645</v>
      </c>
    </row>
    <row r="1784" spans="1:37" hidden="1" x14ac:dyDescent="0.25">
      <c r="A1784" t="str">
        <f t="shared" si="27"/>
        <v>2023_NSW_WaggaWagga_Fababean_DetailedTOS1VarietySamiraWaterTrtIrrigated</v>
      </c>
      <c r="B1784" s="2">
        <v>2023020</v>
      </c>
      <c r="C1784" s="3" t="s">
        <v>1799</v>
      </c>
      <c r="D1784" s="3" t="s">
        <v>645</v>
      </c>
      <c r="F1784" s="3" t="s">
        <v>4183</v>
      </c>
      <c r="G1784" s="3" t="s">
        <v>43</v>
      </c>
      <c r="H1784" s="3" t="s">
        <v>253</v>
      </c>
      <c r="I1784" s="2">
        <v>89</v>
      </c>
      <c r="J1784" s="2">
        <v>45</v>
      </c>
      <c r="K1784" s="2">
        <v>3</v>
      </c>
      <c r="O1784" s="2">
        <v>4</v>
      </c>
      <c r="U1784" s="2">
        <v>6</v>
      </c>
      <c r="V1784" s="2">
        <v>14</v>
      </c>
      <c r="W1784" s="2">
        <v>5</v>
      </c>
      <c r="X1784" s="2">
        <v>7</v>
      </c>
      <c r="AA1784" s="3" t="s">
        <v>57</v>
      </c>
      <c r="AB1784" s="2">
        <v>4</v>
      </c>
      <c r="AF1784" s="2">
        <v>30</v>
      </c>
      <c r="AG1784" s="2">
        <v>1</v>
      </c>
      <c r="AH1784" s="3" t="s">
        <v>1809</v>
      </c>
      <c r="AI1784" s="4">
        <v>45042</v>
      </c>
      <c r="AJ1784" s="3" t="s">
        <v>1890</v>
      </c>
      <c r="AK1784" s="3" t="s">
        <v>645</v>
      </c>
    </row>
    <row r="1785" spans="1:37" hidden="1" x14ac:dyDescent="0.25">
      <c r="A1785" t="str">
        <f t="shared" si="27"/>
        <v>2023_NSW_WaggaWagga_Fababean_DetailedTOS1VarietySamiraWaterTrtIrrigated</v>
      </c>
      <c r="B1785" s="2">
        <v>2023020</v>
      </c>
      <c r="C1785" s="3" t="s">
        <v>1799</v>
      </c>
      <c r="D1785" s="3" t="s">
        <v>645</v>
      </c>
      <c r="F1785" s="3" t="s">
        <v>4183</v>
      </c>
      <c r="G1785" s="3" t="s">
        <v>43</v>
      </c>
      <c r="H1785" s="3" t="s">
        <v>250</v>
      </c>
      <c r="I1785" s="2">
        <v>90</v>
      </c>
      <c r="J1785" s="2">
        <v>45</v>
      </c>
      <c r="K1785" s="2">
        <v>3</v>
      </c>
      <c r="O1785" s="2">
        <v>4</v>
      </c>
      <c r="U1785" s="2">
        <v>6</v>
      </c>
      <c r="V1785" s="2">
        <v>15</v>
      </c>
      <c r="W1785" s="2">
        <v>5</v>
      </c>
      <c r="X1785" s="2">
        <v>8</v>
      </c>
      <c r="Z1785" s="2">
        <v>28</v>
      </c>
      <c r="AA1785" s="3" t="s">
        <v>57</v>
      </c>
      <c r="AB1785" s="2">
        <v>4</v>
      </c>
      <c r="AF1785" s="2">
        <v>30</v>
      </c>
      <c r="AG1785" s="2">
        <v>1</v>
      </c>
      <c r="AH1785" s="3" t="s">
        <v>1809</v>
      </c>
      <c r="AI1785" s="4">
        <v>45042</v>
      </c>
      <c r="AJ1785" s="3" t="s">
        <v>1891</v>
      </c>
      <c r="AK1785" s="3" t="s">
        <v>645</v>
      </c>
    </row>
    <row r="1786" spans="1:37" hidden="1" x14ac:dyDescent="0.25">
      <c r="A1786" t="str">
        <f t="shared" si="27"/>
        <v>2023_NSW_WaggaWagga_Fababean_DetailedTOS1VarietyNasmaWaterTrtIrrigated</v>
      </c>
      <c r="B1786" s="2">
        <v>2023020</v>
      </c>
      <c r="C1786" s="3" t="s">
        <v>1799</v>
      </c>
      <c r="D1786" s="3" t="s">
        <v>645</v>
      </c>
      <c r="F1786" s="3" t="s">
        <v>4186</v>
      </c>
      <c r="G1786" s="3" t="s">
        <v>43</v>
      </c>
      <c r="H1786" s="3" t="s">
        <v>253</v>
      </c>
      <c r="I1786" s="2">
        <v>91</v>
      </c>
      <c r="J1786" s="2">
        <v>46</v>
      </c>
      <c r="K1786" s="2">
        <v>3</v>
      </c>
      <c r="O1786" s="2">
        <v>4</v>
      </c>
      <c r="U1786" s="2">
        <v>7</v>
      </c>
      <c r="V1786" s="2">
        <v>14</v>
      </c>
      <c r="W1786" s="2">
        <v>6</v>
      </c>
      <c r="X1786" s="2">
        <v>7</v>
      </c>
      <c r="AA1786" s="3" t="s">
        <v>57</v>
      </c>
      <c r="AB1786" s="2">
        <v>2</v>
      </c>
      <c r="AF1786" s="2">
        <v>30</v>
      </c>
      <c r="AG1786" s="2">
        <v>1</v>
      </c>
      <c r="AH1786" s="3" t="s">
        <v>1809</v>
      </c>
      <c r="AI1786" s="4">
        <v>45042</v>
      </c>
      <c r="AJ1786" s="3" t="s">
        <v>1892</v>
      </c>
      <c r="AK1786" s="3" t="s">
        <v>645</v>
      </c>
    </row>
    <row r="1787" spans="1:37" hidden="1" x14ac:dyDescent="0.25">
      <c r="A1787" t="str">
        <f t="shared" si="27"/>
        <v>2023_NSW_WaggaWagga_Fababean_DetailedTOS1VarietyNasmaWaterTrtIrrigated</v>
      </c>
      <c r="B1787" s="2">
        <v>2023020</v>
      </c>
      <c r="C1787" s="3" t="s">
        <v>1799</v>
      </c>
      <c r="D1787" s="3" t="s">
        <v>645</v>
      </c>
      <c r="F1787" s="3" t="s">
        <v>4186</v>
      </c>
      <c r="G1787" s="3" t="s">
        <v>43</v>
      </c>
      <c r="H1787" s="3" t="s">
        <v>250</v>
      </c>
      <c r="I1787" s="2">
        <v>92</v>
      </c>
      <c r="J1787" s="2">
        <v>46</v>
      </c>
      <c r="K1787" s="2">
        <v>3</v>
      </c>
      <c r="O1787" s="2">
        <v>4</v>
      </c>
      <c r="U1787" s="2">
        <v>7</v>
      </c>
      <c r="V1787" s="2">
        <v>15</v>
      </c>
      <c r="W1787" s="2">
        <v>6</v>
      </c>
      <c r="X1787" s="2">
        <v>8</v>
      </c>
      <c r="Z1787" s="2">
        <v>27</v>
      </c>
      <c r="AA1787" s="3" t="s">
        <v>57</v>
      </c>
      <c r="AB1787" s="2">
        <v>2</v>
      </c>
      <c r="AF1787" s="2">
        <v>30</v>
      </c>
      <c r="AG1787" s="2">
        <v>1</v>
      </c>
      <c r="AH1787" s="3" t="s">
        <v>1809</v>
      </c>
      <c r="AI1787" s="4">
        <v>45042</v>
      </c>
      <c r="AJ1787" s="3" t="s">
        <v>1893</v>
      </c>
      <c r="AK1787" s="3" t="s">
        <v>645</v>
      </c>
    </row>
    <row r="1788" spans="1:37" hidden="1" x14ac:dyDescent="0.25">
      <c r="A1788" t="str">
        <f t="shared" si="27"/>
        <v>2023_NSW_WaggaWagga_Fababean_DetailedTOS1VarietyMarneWaterTrtIrrigated</v>
      </c>
      <c r="B1788" s="2">
        <v>2023020</v>
      </c>
      <c r="C1788" s="3" t="s">
        <v>1799</v>
      </c>
      <c r="D1788" s="3" t="s">
        <v>645</v>
      </c>
      <c r="F1788" s="3" t="s">
        <v>4184</v>
      </c>
      <c r="G1788" s="3" t="s">
        <v>39</v>
      </c>
      <c r="H1788" s="3" t="s">
        <v>253</v>
      </c>
      <c r="I1788" s="2">
        <v>93</v>
      </c>
      <c r="J1788" s="2">
        <v>47</v>
      </c>
      <c r="K1788" s="2">
        <v>4</v>
      </c>
      <c r="O1788" s="2">
        <v>4</v>
      </c>
      <c r="U1788" s="2">
        <v>8</v>
      </c>
      <c r="V1788" s="2">
        <v>14</v>
      </c>
      <c r="W1788" s="2">
        <v>7</v>
      </c>
      <c r="X1788" s="2">
        <v>7</v>
      </c>
      <c r="AA1788" s="3" t="s">
        <v>57</v>
      </c>
      <c r="AB1788" s="2">
        <v>3</v>
      </c>
      <c r="AF1788" s="2">
        <v>30</v>
      </c>
      <c r="AG1788" s="2">
        <v>1</v>
      </c>
      <c r="AH1788" s="3" t="s">
        <v>1809</v>
      </c>
      <c r="AI1788" s="4">
        <v>45042</v>
      </c>
      <c r="AJ1788" s="3" t="s">
        <v>1894</v>
      </c>
      <c r="AK1788" s="3" t="s">
        <v>645</v>
      </c>
    </row>
    <row r="1789" spans="1:37" hidden="1" x14ac:dyDescent="0.25">
      <c r="A1789" t="str">
        <f t="shared" si="27"/>
        <v>2023_NSW_WaggaWagga_Fababean_DetailedTOS1VarietyMarneWaterTrtIrrigated</v>
      </c>
      <c r="B1789" s="2">
        <v>2023020</v>
      </c>
      <c r="C1789" s="3" t="s">
        <v>1799</v>
      </c>
      <c r="D1789" s="3" t="s">
        <v>645</v>
      </c>
      <c r="F1789" s="3" t="s">
        <v>4184</v>
      </c>
      <c r="G1789" s="3" t="s">
        <v>39</v>
      </c>
      <c r="H1789" s="3" t="s">
        <v>250</v>
      </c>
      <c r="I1789" s="2">
        <v>94</v>
      </c>
      <c r="J1789" s="2">
        <v>47</v>
      </c>
      <c r="K1789" s="2">
        <v>4</v>
      </c>
      <c r="O1789" s="2">
        <v>4</v>
      </c>
      <c r="U1789" s="2">
        <v>8</v>
      </c>
      <c r="V1789" s="2">
        <v>15</v>
      </c>
      <c r="W1789" s="2">
        <v>7</v>
      </c>
      <c r="X1789" s="2">
        <v>8</v>
      </c>
      <c r="Z1789" s="2">
        <v>26</v>
      </c>
      <c r="AA1789" s="3" t="s">
        <v>57</v>
      </c>
      <c r="AB1789" s="2">
        <v>3</v>
      </c>
      <c r="AF1789" s="2">
        <v>30</v>
      </c>
      <c r="AG1789" s="2">
        <v>1</v>
      </c>
      <c r="AH1789" s="3" t="s">
        <v>1809</v>
      </c>
      <c r="AI1789" s="4">
        <v>45042</v>
      </c>
      <c r="AJ1789" s="3" t="s">
        <v>1895</v>
      </c>
      <c r="AK1789" s="3" t="s">
        <v>645</v>
      </c>
    </row>
    <row r="1790" spans="1:37" hidden="1" x14ac:dyDescent="0.25">
      <c r="A1790" t="str">
        <f t="shared" si="27"/>
        <v>2023_NSW_WaggaWagga_Fababean_DetailedTOS1VarietyAmberleyWaterTrtIrrigated</v>
      </c>
      <c r="B1790" s="2">
        <v>2023020</v>
      </c>
      <c r="C1790" s="3" t="s">
        <v>1799</v>
      </c>
      <c r="D1790" s="3" t="s">
        <v>645</v>
      </c>
      <c r="F1790" s="3" t="s">
        <v>4185</v>
      </c>
      <c r="G1790" s="3" t="s">
        <v>39</v>
      </c>
      <c r="H1790" s="3" t="s">
        <v>253</v>
      </c>
      <c r="I1790" s="2">
        <v>95</v>
      </c>
      <c r="J1790" s="2">
        <v>48</v>
      </c>
      <c r="K1790" s="2">
        <v>4</v>
      </c>
      <c r="O1790" s="2">
        <v>4</v>
      </c>
      <c r="U1790" s="2">
        <v>9</v>
      </c>
      <c r="V1790" s="2">
        <v>14</v>
      </c>
      <c r="W1790" s="2">
        <v>8</v>
      </c>
      <c r="X1790" s="2">
        <v>7</v>
      </c>
      <c r="AA1790" s="3" t="s">
        <v>57</v>
      </c>
      <c r="AB1790" s="2">
        <v>1</v>
      </c>
      <c r="AF1790" s="2">
        <v>30</v>
      </c>
      <c r="AG1790" s="2">
        <v>1</v>
      </c>
      <c r="AH1790" s="3" t="s">
        <v>1809</v>
      </c>
      <c r="AI1790" s="4">
        <v>45042</v>
      </c>
      <c r="AJ1790" s="3" t="s">
        <v>1896</v>
      </c>
      <c r="AK1790" s="3" t="s">
        <v>645</v>
      </c>
    </row>
    <row r="1791" spans="1:37" hidden="1" x14ac:dyDescent="0.25">
      <c r="A1791" t="str">
        <f t="shared" si="27"/>
        <v>2023_NSW_WaggaWagga_Fababean_DetailedTOS1VarietyAmberleyWaterTrtIrrigated</v>
      </c>
      <c r="B1791" s="2">
        <v>2023020</v>
      </c>
      <c r="C1791" s="3" t="s">
        <v>1799</v>
      </c>
      <c r="D1791" s="3" t="s">
        <v>645</v>
      </c>
      <c r="F1791" s="3" t="s">
        <v>4185</v>
      </c>
      <c r="G1791" s="3" t="s">
        <v>39</v>
      </c>
      <c r="H1791" s="3" t="s">
        <v>250</v>
      </c>
      <c r="I1791" s="2">
        <v>96</v>
      </c>
      <c r="J1791" s="2">
        <v>48</v>
      </c>
      <c r="K1791" s="2">
        <v>4</v>
      </c>
      <c r="O1791" s="2">
        <v>4</v>
      </c>
      <c r="U1791" s="2">
        <v>9</v>
      </c>
      <c r="V1791" s="2">
        <v>15</v>
      </c>
      <c r="W1791" s="2">
        <v>8</v>
      </c>
      <c r="X1791" s="2">
        <v>8</v>
      </c>
      <c r="Z1791" s="2">
        <v>25</v>
      </c>
      <c r="AA1791" s="3" t="s">
        <v>57</v>
      </c>
      <c r="AB1791" s="2">
        <v>1</v>
      </c>
      <c r="AF1791" s="2">
        <v>30</v>
      </c>
      <c r="AG1791" s="2">
        <v>1</v>
      </c>
      <c r="AH1791" s="3" t="s">
        <v>1809</v>
      </c>
      <c r="AI1791" s="4">
        <v>45042</v>
      </c>
      <c r="AJ1791" s="3" t="s">
        <v>1897</v>
      </c>
      <c r="AK1791" s="3" t="s">
        <v>645</v>
      </c>
    </row>
    <row r="1792" spans="1:37" hidden="1" x14ac:dyDescent="0.25">
      <c r="A1792" t="str">
        <f t="shared" si="27"/>
        <v>2023_NSW_WaggaWagga_Fababean_DetailedTOS2VarietyMarneWaterTrtRainFed</v>
      </c>
      <c r="B1792" s="2">
        <v>2023020</v>
      </c>
      <c r="C1792" s="3" t="s">
        <v>1799</v>
      </c>
      <c r="D1792" s="3" t="s">
        <v>645</v>
      </c>
      <c r="F1792" s="3" t="s">
        <v>4184</v>
      </c>
      <c r="G1792" s="3" t="s">
        <v>39</v>
      </c>
      <c r="H1792" s="3" t="s">
        <v>253</v>
      </c>
      <c r="I1792" s="2">
        <v>97</v>
      </c>
      <c r="J1792" s="2">
        <v>49</v>
      </c>
      <c r="K1792" s="2">
        <v>3</v>
      </c>
      <c r="O1792" s="2">
        <v>5</v>
      </c>
      <c r="U1792" s="2">
        <v>6</v>
      </c>
      <c r="V1792" s="2">
        <v>18</v>
      </c>
      <c r="W1792" s="2">
        <v>5</v>
      </c>
      <c r="X1792" s="2">
        <v>9</v>
      </c>
      <c r="AA1792" s="3" t="s">
        <v>40</v>
      </c>
      <c r="AB1792" s="2">
        <v>3</v>
      </c>
      <c r="AF1792" s="2">
        <v>30</v>
      </c>
      <c r="AG1792" s="2">
        <v>2</v>
      </c>
      <c r="AH1792" s="3" t="s">
        <v>1800</v>
      </c>
      <c r="AI1792" s="4">
        <v>45077</v>
      </c>
      <c r="AJ1792" s="3" t="s">
        <v>1898</v>
      </c>
      <c r="AK1792" s="3" t="s">
        <v>645</v>
      </c>
    </row>
    <row r="1793" spans="1:37" hidden="1" x14ac:dyDescent="0.25">
      <c r="A1793" t="str">
        <f t="shared" si="27"/>
        <v>2023_NSW_WaggaWagga_Fababean_DetailedTOS2VarietyMarneWaterTrtRainFed</v>
      </c>
      <c r="B1793" s="2">
        <v>2023020</v>
      </c>
      <c r="C1793" s="3" t="s">
        <v>1799</v>
      </c>
      <c r="D1793" s="3" t="s">
        <v>645</v>
      </c>
      <c r="F1793" s="3" t="s">
        <v>4184</v>
      </c>
      <c r="G1793" s="3" t="s">
        <v>39</v>
      </c>
      <c r="H1793" s="3" t="s">
        <v>250</v>
      </c>
      <c r="I1793" s="2">
        <v>98</v>
      </c>
      <c r="J1793" s="2">
        <v>49</v>
      </c>
      <c r="K1793" s="2">
        <v>3</v>
      </c>
      <c r="O1793" s="2">
        <v>5</v>
      </c>
      <c r="U1793" s="2">
        <v>6</v>
      </c>
      <c r="V1793" s="2">
        <v>19</v>
      </c>
      <c r="W1793" s="2">
        <v>5</v>
      </c>
      <c r="X1793" s="2">
        <v>10</v>
      </c>
      <c r="Z1793" s="2">
        <v>37</v>
      </c>
      <c r="AA1793" s="3" t="s">
        <v>40</v>
      </c>
      <c r="AB1793" s="2">
        <v>3</v>
      </c>
      <c r="AF1793" s="2">
        <v>30</v>
      </c>
      <c r="AG1793" s="2">
        <v>2</v>
      </c>
      <c r="AH1793" s="3" t="s">
        <v>1800</v>
      </c>
      <c r="AI1793" s="4">
        <v>45077</v>
      </c>
      <c r="AJ1793" s="3" t="s">
        <v>1899</v>
      </c>
      <c r="AK1793" s="3" t="s">
        <v>645</v>
      </c>
    </row>
    <row r="1794" spans="1:37" hidden="1" x14ac:dyDescent="0.25">
      <c r="A1794" t="str">
        <f t="shared" si="27"/>
        <v>2023_NSW_WaggaWagga_Fababean_DetailedTOS2VarietySamiraWaterTrtRainFed</v>
      </c>
      <c r="B1794" s="2">
        <v>2023020</v>
      </c>
      <c r="C1794" s="3" t="s">
        <v>1799</v>
      </c>
      <c r="D1794" s="3" t="s">
        <v>645</v>
      </c>
      <c r="F1794" s="3" t="s">
        <v>4183</v>
      </c>
      <c r="G1794" s="3" t="s">
        <v>43</v>
      </c>
      <c r="H1794" s="3" t="s">
        <v>253</v>
      </c>
      <c r="I1794" s="2">
        <v>99</v>
      </c>
      <c r="J1794" s="2">
        <v>50</v>
      </c>
      <c r="K1794" s="2">
        <v>3</v>
      </c>
      <c r="O1794" s="2">
        <v>5</v>
      </c>
      <c r="U1794" s="2">
        <v>7</v>
      </c>
      <c r="V1794" s="2">
        <v>18</v>
      </c>
      <c r="W1794" s="2">
        <v>6</v>
      </c>
      <c r="X1794" s="2">
        <v>9</v>
      </c>
      <c r="AA1794" s="3" t="s">
        <v>40</v>
      </c>
      <c r="AB1794" s="2">
        <v>4</v>
      </c>
      <c r="AF1794" s="2">
        <v>30</v>
      </c>
      <c r="AG1794" s="2">
        <v>2</v>
      </c>
      <c r="AH1794" s="3" t="s">
        <v>1800</v>
      </c>
      <c r="AI1794" s="4">
        <v>45077</v>
      </c>
      <c r="AJ1794" s="3" t="s">
        <v>1900</v>
      </c>
      <c r="AK1794" s="3" t="s">
        <v>645</v>
      </c>
    </row>
    <row r="1795" spans="1:37" hidden="1" x14ac:dyDescent="0.25">
      <c r="A1795" t="str">
        <f t="shared" ref="A1795:A1858" si="28">C1795&amp;"TOS"&amp;AG1795&amp;"Variety"&amp;F1795&amp;"WaterTrt"&amp;AA1795&amp;IF(AC1795="","","Agronomy"&amp;AC1795)</f>
        <v>2023_NSW_WaggaWagga_Fababean_DetailedTOS2VarietySamiraWaterTrtRainFed</v>
      </c>
      <c r="B1795" s="2">
        <v>2023020</v>
      </c>
      <c r="C1795" s="3" t="s">
        <v>1799</v>
      </c>
      <c r="D1795" s="3" t="s">
        <v>645</v>
      </c>
      <c r="F1795" s="3" t="s">
        <v>4183</v>
      </c>
      <c r="G1795" s="3" t="s">
        <v>43</v>
      </c>
      <c r="H1795" s="3" t="s">
        <v>250</v>
      </c>
      <c r="I1795" s="2">
        <v>100</v>
      </c>
      <c r="J1795" s="2">
        <v>50</v>
      </c>
      <c r="K1795" s="2">
        <v>3</v>
      </c>
      <c r="O1795" s="2">
        <v>5</v>
      </c>
      <c r="U1795" s="2">
        <v>7</v>
      </c>
      <c r="V1795" s="2">
        <v>19</v>
      </c>
      <c r="W1795" s="2">
        <v>6</v>
      </c>
      <c r="X1795" s="2">
        <v>10</v>
      </c>
      <c r="Z1795" s="2">
        <v>38</v>
      </c>
      <c r="AA1795" s="3" t="s">
        <v>40</v>
      </c>
      <c r="AB1795" s="2">
        <v>4</v>
      </c>
      <c r="AF1795" s="2">
        <v>30</v>
      </c>
      <c r="AG1795" s="2">
        <v>2</v>
      </c>
      <c r="AH1795" s="3" t="s">
        <v>1800</v>
      </c>
      <c r="AI1795" s="4">
        <v>45077</v>
      </c>
      <c r="AJ1795" s="3" t="s">
        <v>1901</v>
      </c>
      <c r="AK1795" s="3" t="s">
        <v>645</v>
      </c>
    </row>
    <row r="1796" spans="1:37" hidden="1" x14ac:dyDescent="0.25">
      <c r="A1796" t="str">
        <f t="shared" si="28"/>
        <v>2023_NSW_WaggaWagga_Fababean_DetailedTOS2VarietyAmberleyWaterTrtRainFed</v>
      </c>
      <c r="B1796" s="2">
        <v>2023020</v>
      </c>
      <c r="C1796" s="3" t="s">
        <v>1799</v>
      </c>
      <c r="D1796" s="3" t="s">
        <v>645</v>
      </c>
      <c r="F1796" s="3" t="s">
        <v>4185</v>
      </c>
      <c r="G1796" s="3" t="s">
        <v>39</v>
      </c>
      <c r="H1796" s="3" t="s">
        <v>253</v>
      </c>
      <c r="I1796" s="2">
        <v>101</v>
      </c>
      <c r="J1796" s="2">
        <v>51</v>
      </c>
      <c r="K1796" s="2">
        <v>4</v>
      </c>
      <c r="O1796" s="2">
        <v>5</v>
      </c>
      <c r="U1796" s="2">
        <v>8</v>
      </c>
      <c r="V1796" s="2">
        <v>18</v>
      </c>
      <c r="W1796" s="2">
        <v>7</v>
      </c>
      <c r="X1796" s="2">
        <v>9</v>
      </c>
      <c r="AA1796" s="3" t="s">
        <v>40</v>
      </c>
      <c r="AB1796" s="2">
        <v>1</v>
      </c>
      <c r="AF1796" s="2">
        <v>30</v>
      </c>
      <c r="AG1796" s="2">
        <v>2</v>
      </c>
      <c r="AH1796" s="3" t="s">
        <v>1800</v>
      </c>
      <c r="AI1796" s="4">
        <v>45077</v>
      </c>
      <c r="AJ1796" s="3" t="s">
        <v>1902</v>
      </c>
      <c r="AK1796" s="3" t="s">
        <v>645</v>
      </c>
    </row>
    <row r="1797" spans="1:37" hidden="1" x14ac:dyDescent="0.25">
      <c r="A1797" t="str">
        <f t="shared" si="28"/>
        <v>2023_NSW_WaggaWagga_Fababean_DetailedTOS2VarietyAmberleyWaterTrtRainFed</v>
      </c>
      <c r="B1797" s="2">
        <v>2023020</v>
      </c>
      <c r="C1797" s="3" t="s">
        <v>1799</v>
      </c>
      <c r="D1797" s="3" t="s">
        <v>645</v>
      </c>
      <c r="F1797" s="3" t="s">
        <v>4185</v>
      </c>
      <c r="G1797" s="3" t="s">
        <v>39</v>
      </c>
      <c r="H1797" s="3" t="s">
        <v>250</v>
      </c>
      <c r="I1797" s="2">
        <v>102</v>
      </c>
      <c r="J1797" s="2">
        <v>51</v>
      </c>
      <c r="K1797" s="2">
        <v>4</v>
      </c>
      <c r="O1797" s="2">
        <v>5</v>
      </c>
      <c r="U1797" s="2">
        <v>8</v>
      </c>
      <c r="V1797" s="2">
        <v>19</v>
      </c>
      <c r="W1797" s="2">
        <v>7</v>
      </c>
      <c r="X1797" s="2">
        <v>10</v>
      </c>
      <c r="Z1797" s="2">
        <v>39</v>
      </c>
      <c r="AA1797" s="3" t="s">
        <v>40</v>
      </c>
      <c r="AB1797" s="2">
        <v>1</v>
      </c>
      <c r="AF1797" s="2">
        <v>30</v>
      </c>
      <c r="AG1797" s="2">
        <v>2</v>
      </c>
      <c r="AH1797" s="3" t="s">
        <v>1800</v>
      </c>
      <c r="AI1797" s="4">
        <v>45077</v>
      </c>
      <c r="AJ1797" s="3" t="s">
        <v>1903</v>
      </c>
      <c r="AK1797" s="3" t="s">
        <v>645</v>
      </c>
    </row>
    <row r="1798" spans="1:37" hidden="1" x14ac:dyDescent="0.25">
      <c r="A1798" t="str">
        <f t="shared" si="28"/>
        <v>2023_NSW_WaggaWagga_Fababean_DetailedTOS2VarietyNasmaWaterTrtRainFed</v>
      </c>
      <c r="B1798" s="2">
        <v>2023020</v>
      </c>
      <c r="C1798" s="3" t="s">
        <v>1799</v>
      </c>
      <c r="D1798" s="3" t="s">
        <v>645</v>
      </c>
      <c r="F1798" s="3" t="s">
        <v>4186</v>
      </c>
      <c r="G1798" s="3" t="s">
        <v>43</v>
      </c>
      <c r="H1798" s="3" t="s">
        <v>253</v>
      </c>
      <c r="I1798" s="2">
        <v>103</v>
      </c>
      <c r="J1798" s="2">
        <v>52</v>
      </c>
      <c r="K1798" s="2">
        <v>4</v>
      </c>
      <c r="O1798" s="2">
        <v>5</v>
      </c>
      <c r="U1798" s="2">
        <v>9</v>
      </c>
      <c r="V1798" s="2">
        <v>18</v>
      </c>
      <c r="W1798" s="2">
        <v>8</v>
      </c>
      <c r="X1798" s="2">
        <v>9</v>
      </c>
      <c r="AA1798" s="3" t="s">
        <v>40</v>
      </c>
      <c r="AB1798" s="2">
        <v>2</v>
      </c>
      <c r="AF1798" s="2">
        <v>30</v>
      </c>
      <c r="AG1798" s="2">
        <v>2</v>
      </c>
      <c r="AH1798" s="3" t="s">
        <v>1800</v>
      </c>
      <c r="AI1798" s="4">
        <v>45077</v>
      </c>
      <c r="AJ1798" s="3" t="s">
        <v>1904</v>
      </c>
      <c r="AK1798" s="3" t="s">
        <v>645</v>
      </c>
    </row>
    <row r="1799" spans="1:37" hidden="1" x14ac:dyDescent="0.25">
      <c r="A1799" t="str">
        <f t="shared" si="28"/>
        <v>2023_NSW_WaggaWagga_Fababean_DetailedTOS2VarietyNasmaWaterTrtRainFed</v>
      </c>
      <c r="B1799" s="2">
        <v>2023020</v>
      </c>
      <c r="C1799" s="3" t="s">
        <v>1799</v>
      </c>
      <c r="D1799" s="3" t="s">
        <v>645</v>
      </c>
      <c r="F1799" s="3" t="s">
        <v>4186</v>
      </c>
      <c r="G1799" s="3" t="s">
        <v>43</v>
      </c>
      <c r="H1799" s="3" t="s">
        <v>250</v>
      </c>
      <c r="I1799" s="2">
        <v>104</v>
      </c>
      <c r="J1799" s="2">
        <v>52</v>
      </c>
      <c r="K1799" s="2">
        <v>4</v>
      </c>
      <c r="O1799" s="2">
        <v>5</v>
      </c>
      <c r="U1799" s="2">
        <v>9</v>
      </c>
      <c r="V1799" s="2">
        <v>19</v>
      </c>
      <c r="W1799" s="2">
        <v>8</v>
      </c>
      <c r="X1799" s="2">
        <v>10</v>
      </c>
      <c r="Z1799" s="2">
        <v>40</v>
      </c>
      <c r="AA1799" s="3" t="s">
        <v>40</v>
      </c>
      <c r="AB1799" s="2">
        <v>2</v>
      </c>
      <c r="AF1799" s="2">
        <v>30</v>
      </c>
      <c r="AG1799" s="2">
        <v>2</v>
      </c>
      <c r="AH1799" s="3" t="s">
        <v>1800</v>
      </c>
      <c r="AI1799" s="4">
        <v>45077</v>
      </c>
      <c r="AJ1799" s="3" t="s">
        <v>1905</v>
      </c>
      <c r="AK1799" s="3" t="s">
        <v>645</v>
      </c>
    </row>
    <row r="1800" spans="1:37" hidden="1" x14ac:dyDescent="0.25">
      <c r="A1800" t="str">
        <f t="shared" si="28"/>
        <v>2023_NSW_WaggaWagga_Fababean_DetailedTOS1VarietyAmberleyWaterTrtRainFed</v>
      </c>
      <c r="B1800" s="2">
        <v>2023020</v>
      </c>
      <c r="C1800" s="3" t="s">
        <v>1799</v>
      </c>
      <c r="D1800" s="3" t="s">
        <v>645</v>
      </c>
      <c r="F1800" s="3" t="s">
        <v>4185</v>
      </c>
      <c r="G1800" s="3" t="s">
        <v>39</v>
      </c>
      <c r="H1800" s="3" t="s">
        <v>253</v>
      </c>
      <c r="I1800" s="2">
        <v>105</v>
      </c>
      <c r="J1800" s="2">
        <v>53</v>
      </c>
      <c r="K1800" s="2">
        <v>3</v>
      </c>
      <c r="O1800" s="2">
        <v>6</v>
      </c>
      <c r="U1800" s="2">
        <v>6</v>
      </c>
      <c r="V1800" s="2">
        <v>22</v>
      </c>
      <c r="W1800" s="2">
        <v>5</v>
      </c>
      <c r="X1800" s="2">
        <v>11</v>
      </c>
      <c r="AA1800" s="3" t="s">
        <v>40</v>
      </c>
      <c r="AB1800" s="2">
        <v>1</v>
      </c>
      <c r="AF1800" s="2">
        <v>30</v>
      </c>
      <c r="AG1800" s="2">
        <v>1</v>
      </c>
      <c r="AH1800" s="3" t="s">
        <v>1809</v>
      </c>
      <c r="AI1800" s="4">
        <v>45042</v>
      </c>
      <c r="AJ1800" s="3" t="s">
        <v>1906</v>
      </c>
      <c r="AK1800" s="3" t="s">
        <v>645</v>
      </c>
    </row>
    <row r="1801" spans="1:37" hidden="1" x14ac:dyDescent="0.25">
      <c r="A1801" t="str">
        <f t="shared" si="28"/>
        <v>2023_NSW_WaggaWagga_Fababean_DetailedTOS1VarietyAmberleyWaterTrtRainFed</v>
      </c>
      <c r="B1801" s="2">
        <v>2023020</v>
      </c>
      <c r="C1801" s="3" t="s">
        <v>1799</v>
      </c>
      <c r="D1801" s="3" t="s">
        <v>645</v>
      </c>
      <c r="F1801" s="3" t="s">
        <v>4185</v>
      </c>
      <c r="G1801" s="3" t="s">
        <v>39</v>
      </c>
      <c r="H1801" s="3" t="s">
        <v>250</v>
      </c>
      <c r="I1801" s="2">
        <v>106</v>
      </c>
      <c r="J1801" s="2">
        <v>53</v>
      </c>
      <c r="K1801" s="2">
        <v>3</v>
      </c>
      <c r="O1801" s="2">
        <v>6</v>
      </c>
      <c r="U1801" s="2">
        <v>6</v>
      </c>
      <c r="V1801" s="2">
        <v>23</v>
      </c>
      <c r="W1801" s="2">
        <v>5</v>
      </c>
      <c r="X1801" s="2">
        <v>12</v>
      </c>
      <c r="Z1801" s="2">
        <v>44</v>
      </c>
      <c r="AA1801" s="3" t="s">
        <v>40</v>
      </c>
      <c r="AB1801" s="2">
        <v>1</v>
      </c>
      <c r="AF1801" s="2">
        <v>30</v>
      </c>
      <c r="AG1801" s="2">
        <v>1</v>
      </c>
      <c r="AH1801" s="3" t="s">
        <v>1809</v>
      </c>
      <c r="AI1801" s="4">
        <v>45042</v>
      </c>
      <c r="AJ1801" s="3" t="s">
        <v>1907</v>
      </c>
      <c r="AK1801" s="3" t="s">
        <v>645</v>
      </c>
    </row>
    <row r="1802" spans="1:37" hidden="1" x14ac:dyDescent="0.25">
      <c r="A1802" t="str">
        <f t="shared" si="28"/>
        <v>2023_NSW_WaggaWagga_Fababean_DetailedTOS1VarietyMarneWaterTrtRainFed</v>
      </c>
      <c r="B1802" s="2">
        <v>2023020</v>
      </c>
      <c r="C1802" s="3" t="s">
        <v>1799</v>
      </c>
      <c r="D1802" s="3" t="s">
        <v>645</v>
      </c>
      <c r="F1802" s="3" t="s">
        <v>4184</v>
      </c>
      <c r="G1802" s="3" t="s">
        <v>39</v>
      </c>
      <c r="H1802" s="3" t="s">
        <v>253</v>
      </c>
      <c r="I1802" s="2">
        <v>107</v>
      </c>
      <c r="J1802" s="2">
        <v>54</v>
      </c>
      <c r="K1802" s="2">
        <v>3</v>
      </c>
      <c r="O1802" s="2">
        <v>6</v>
      </c>
      <c r="U1802" s="2">
        <v>7</v>
      </c>
      <c r="V1802" s="2">
        <v>22</v>
      </c>
      <c r="W1802" s="2">
        <v>6</v>
      </c>
      <c r="X1802" s="2">
        <v>11</v>
      </c>
      <c r="AA1802" s="3" t="s">
        <v>40</v>
      </c>
      <c r="AB1802" s="2">
        <v>3</v>
      </c>
      <c r="AF1802" s="2">
        <v>30</v>
      </c>
      <c r="AG1802" s="2">
        <v>1</v>
      </c>
      <c r="AH1802" s="3" t="s">
        <v>1809</v>
      </c>
      <c r="AI1802" s="4">
        <v>45042</v>
      </c>
      <c r="AJ1802" s="3" t="s">
        <v>1908</v>
      </c>
      <c r="AK1802" s="3" t="s">
        <v>645</v>
      </c>
    </row>
    <row r="1803" spans="1:37" hidden="1" x14ac:dyDescent="0.25">
      <c r="A1803" t="str">
        <f t="shared" si="28"/>
        <v>2023_NSW_WaggaWagga_Fababean_DetailedTOS1VarietyMarneWaterTrtRainFed</v>
      </c>
      <c r="B1803" s="2">
        <v>2023020</v>
      </c>
      <c r="C1803" s="3" t="s">
        <v>1799</v>
      </c>
      <c r="D1803" s="3" t="s">
        <v>645</v>
      </c>
      <c r="F1803" s="3" t="s">
        <v>4184</v>
      </c>
      <c r="G1803" s="3" t="s">
        <v>39</v>
      </c>
      <c r="H1803" s="3" t="s">
        <v>250</v>
      </c>
      <c r="I1803" s="2">
        <v>108</v>
      </c>
      <c r="J1803" s="2">
        <v>54</v>
      </c>
      <c r="K1803" s="2">
        <v>3</v>
      </c>
      <c r="O1803" s="2">
        <v>6</v>
      </c>
      <c r="U1803" s="2">
        <v>7</v>
      </c>
      <c r="V1803" s="2">
        <v>23</v>
      </c>
      <c r="W1803" s="2">
        <v>6</v>
      </c>
      <c r="X1803" s="2">
        <v>12</v>
      </c>
      <c r="Z1803" s="2">
        <v>43</v>
      </c>
      <c r="AA1803" s="3" t="s">
        <v>40</v>
      </c>
      <c r="AB1803" s="2">
        <v>3</v>
      </c>
      <c r="AF1803" s="2">
        <v>30</v>
      </c>
      <c r="AG1803" s="2">
        <v>1</v>
      </c>
      <c r="AH1803" s="3" t="s">
        <v>1809</v>
      </c>
      <c r="AI1803" s="4">
        <v>45042</v>
      </c>
      <c r="AJ1803" s="3" t="s">
        <v>1909</v>
      </c>
      <c r="AK1803" s="3" t="s">
        <v>645</v>
      </c>
    </row>
    <row r="1804" spans="1:37" hidden="1" x14ac:dyDescent="0.25">
      <c r="A1804" t="str">
        <f t="shared" si="28"/>
        <v>2023_NSW_WaggaWagga_Fababean_DetailedTOS1VarietyNasmaWaterTrtRainFed</v>
      </c>
      <c r="B1804" s="2">
        <v>2023020</v>
      </c>
      <c r="C1804" s="3" t="s">
        <v>1799</v>
      </c>
      <c r="D1804" s="3" t="s">
        <v>645</v>
      </c>
      <c r="F1804" s="3" t="s">
        <v>4186</v>
      </c>
      <c r="G1804" s="3" t="s">
        <v>43</v>
      </c>
      <c r="H1804" s="3" t="s">
        <v>253</v>
      </c>
      <c r="I1804" s="2">
        <v>109</v>
      </c>
      <c r="J1804" s="2">
        <v>55</v>
      </c>
      <c r="K1804" s="2">
        <v>4</v>
      </c>
      <c r="O1804" s="2">
        <v>6</v>
      </c>
      <c r="U1804" s="2">
        <v>8</v>
      </c>
      <c r="V1804" s="2">
        <v>22</v>
      </c>
      <c r="W1804" s="2">
        <v>7</v>
      </c>
      <c r="X1804" s="2">
        <v>11</v>
      </c>
      <c r="AA1804" s="3" t="s">
        <v>40</v>
      </c>
      <c r="AB1804" s="2">
        <v>2</v>
      </c>
      <c r="AF1804" s="2">
        <v>30</v>
      </c>
      <c r="AG1804" s="2">
        <v>1</v>
      </c>
      <c r="AH1804" s="3" t="s">
        <v>1809</v>
      </c>
      <c r="AI1804" s="4">
        <v>45042</v>
      </c>
      <c r="AJ1804" s="3" t="s">
        <v>1910</v>
      </c>
      <c r="AK1804" s="3" t="s">
        <v>645</v>
      </c>
    </row>
    <row r="1805" spans="1:37" hidden="1" x14ac:dyDescent="0.25">
      <c r="A1805" t="str">
        <f t="shared" si="28"/>
        <v>2023_NSW_WaggaWagga_Fababean_DetailedTOS1VarietyNasmaWaterTrtRainFed</v>
      </c>
      <c r="B1805" s="2">
        <v>2023020</v>
      </c>
      <c r="C1805" s="3" t="s">
        <v>1799</v>
      </c>
      <c r="D1805" s="3" t="s">
        <v>645</v>
      </c>
      <c r="F1805" s="3" t="s">
        <v>4186</v>
      </c>
      <c r="G1805" s="3" t="s">
        <v>43</v>
      </c>
      <c r="H1805" s="3" t="s">
        <v>250</v>
      </c>
      <c r="I1805" s="2">
        <v>110</v>
      </c>
      <c r="J1805" s="2">
        <v>55</v>
      </c>
      <c r="K1805" s="2">
        <v>4</v>
      </c>
      <c r="O1805" s="2">
        <v>6</v>
      </c>
      <c r="U1805" s="2">
        <v>8</v>
      </c>
      <c r="V1805" s="2">
        <v>23</v>
      </c>
      <c r="W1805" s="2">
        <v>7</v>
      </c>
      <c r="X1805" s="2">
        <v>12</v>
      </c>
      <c r="Z1805" s="2">
        <v>42</v>
      </c>
      <c r="AA1805" s="3" t="s">
        <v>40</v>
      </c>
      <c r="AB1805" s="2">
        <v>2</v>
      </c>
      <c r="AF1805" s="2">
        <v>30</v>
      </c>
      <c r="AG1805" s="2">
        <v>1</v>
      </c>
      <c r="AH1805" s="3" t="s">
        <v>1809</v>
      </c>
      <c r="AI1805" s="4">
        <v>45042</v>
      </c>
      <c r="AJ1805" s="3" t="s">
        <v>1911</v>
      </c>
      <c r="AK1805" s="3" t="s">
        <v>645</v>
      </c>
    </row>
    <row r="1806" spans="1:37" hidden="1" x14ac:dyDescent="0.25">
      <c r="A1806" t="str">
        <f t="shared" si="28"/>
        <v>2023_NSW_WaggaWagga_Fababean_DetailedTOS1VarietySamiraWaterTrtRainFed</v>
      </c>
      <c r="B1806" s="2">
        <v>2023020</v>
      </c>
      <c r="C1806" s="3" t="s">
        <v>1799</v>
      </c>
      <c r="D1806" s="3" t="s">
        <v>645</v>
      </c>
      <c r="F1806" s="3" t="s">
        <v>4183</v>
      </c>
      <c r="G1806" s="3" t="s">
        <v>43</v>
      </c>
      <c r="H1806" s="3" t="s">
        <v>253</v>
      </c>
      <c r="I1806" s="2">
        <v>111</v>
      </c>
      <c r="J1806" s="2">
        <v>56</v>
      </c>
      <c r="K1806" s="2">
        <v>4</v>
      </c>
      <c r="O1806" s="2">
        <v>6</v>
      </c>
      <c r="U1806" s="2">
        <v>9</v>
      </c>
      <c r="V1806" s="2">
        <v>22</v>
      </c>
      <c r="W1806" s="2">
        <v>8</v>
      </c>
      <c r="X1806" s="2">
        <v>11</v>
      </c>
      <c r="AA1806" s="3" t="s">
        <v>40</v>
      </c>
      <c r="AB1806" s="2">
        <v>4</v>
      </c>
      <c r="AF1806" s="2">
        <v>30</v>
      </c>
      <c r="AG1806" s="2">
        <v>1</v>
      </c>
      <c r="AH1806" s="3" t="s">
        <v>1809</v>
      </c>
      <c r="AI1806" s="4">
        <v>45042</v>
      </c>
      <c r="AJ1806" s="3" t="s">
        <v>1912</v>
      </c>
      <c r="AK1806" s="3" t="s">
        <v>645</v>
      </c>
    </row>
    <row r="1807" spans="1:37" hidden="1" x14ac:dyDescent="0.25">
      <c r="A1807" t="str">
        <f t="shared" si="28"/>
        <v>2023_NSW_WaggaWagga_Fababean_DetailedTOS1VarietySamiraWaterTrtRainFed</v>
      </c>
      <c r="B1807" s="2">
        <v>2023020</v>
      </c>
      <c r="C1807" s="3" t="s">
        <v>1799</v>
      </c>
      <c r="D1807" s="3" t="s">
        <v>645</v>
      </c>
      <c r="F1807" s="3" t="s">
        <v>4183</v>
      </c>
      <c r="G1807" s="3" t="s">
        <v>43</v>
      </c>
      <c r="H1807" s="3" t="s">
        <v>250</v>
      </c>
      <c r="I1807" s="2">
        <v>112</v>
      </c>
      <c r="J1807" s="2">
        <v>56</v>
      </c>
      <c r="K1807" s="2">
        <v>4</v>
      </c>
      <c r="O1807" s="2">
        <v>6</v>
      </c>
      <c r="U1807" s="2">
        <v>9</v>
      </c>
      <c r="V1807" s="2">
        <v>23</v>
      </c>
      <c r="W1807" s="2">
        <v>8</v>
      </c>
      <c r="X1807" s="2">
        <v>12</v>
      </c>
      <c r="Z1807" s="2">
        <v>41</v>
      </c>
      <c r="AA1807" s="3" t="s">
        <v>40</v>
      </c>
      <c r="AB1807" s="2">
        <v>4</v>
      </c>
      <c r="AF1807" s="2">
        <v>30</v>
      </c>
      <c r="AG1807" s="2">
        <v>1</v>
      </c>
      <c r="AH1807" s="3" t="s">
        <v>1809</v>
      </c>
      <c r="AI1807" s="4">
        <v>45042</v>
      </c>
      <c r="AJ1807" s="3" t="s">
        <v>1913</v>
      </c>
      <c r="AK1807" s="3" t="s">
        <v>645</v>
      </c>
    </row>
    <row r="1808" spans="1:37" hidden="1" x14ac:dyDescent="0.25">
      <c r="A1808" t="str">
        <f t="shared" si="28"/>
        <v>2023_NSW_WaggaWagga_Fababean_DetailedTOS1VarietyNasmaWaterTrtRainFed</v>
      </c>
      <c r="B1808" s="2">
        <v>2023020</v>
      </c>
      <c r="C1808" s="3" t="s">
        <v>1799</v>
      </c>
      <c r="D1808" s="3" t="s">
        <v>645</v>
      </c>
      <c r="F1808" s="3" t="s">
        <v>4186</v>
      </c>
      <c r="G1808" s="3" t="s">
        <v>43</v>
      </c>
      <c r="H1808" s="3" t="s">
        <v>253</v>
      </c>
      <c r="I1808" s="2">
        <v>113</v>
      </c>
      <c r="J1808" s="2">
        <v>57</v>
      </c>
      <c r="K1808" s="2">
        <v>3</v>
      </c>
      <c r="O1808" s="2">
        <v>7</v>
      </c>
      <c r="U1808" s="2">
        <v>6</v>
      </c>
      <c r="V1808" s="2">
        <v>26</v>
      </c>
      <c r="W1808" s="2">
        <v>5</v>
      </c>
      <c r="X1808" s="2">
        <v>13</v>
      </c>
      <c r="AA1808" s="3" t="s">
        <v>40</v>
      </c>
      <c r="AB1808" s="2">
        <v>2</v>
      </c>
      <c r="AF1808" s="2">
        <v>30</v>
      </c>
      <c r="AG1808" s="2">
        <v>1</v>
      </c>
      <c r="AH1808" s="3" t="s">
        <v>1809</v>
      </c>
      <c r="AI1808" s="4">
        <v>45042</v>
      </c>
      <c r="AJ1808" s="3" t="s">
        <v>1914</v>
      </c>
      <c r="AK1808" s="3" t="s">
        <v>645</v>
      </c>
    </row>
    <row r="1809" spans="1:37" hidden="1" x14ac:dyDescent="0.25">
      <c r="A1809" t="str">
        <f t="shared" si="28"/>
        <v>2023_NSW_WaggaWagga_Fababean_DetailedTOS1VarietyNasmaWaterTrtRainFed</v>
      </c>
      <c r="B1809" s="2">
        <v>2023020</v>
      </c>
      <c r="C1809" s="3" t="s">
        <v>1799</v>
      </c>
      <c r="D1809" s="3" t="s">
        <v>645</v>
      </c>
      <c r="F1809" s="3" t="s">
        <v>4186</v>
      </c>
      <c r="G1809" s="3" t="s">
        <v>43</v>
      </c>
      <c r="H1809" s="3" t="s">
        <v>250</v>
      </c>
      <c r="I1809" s="2">
        <v>114</v>
      </c>
      <c r="J1809" s="2">
        <v>57</v>
      </c>
      <c r="K1809" s="2">
        <v>3</v>
      </c>
      <c r="O1809" s="2">
        <v>7</v>
      </c>
      <c r="U1809" s="2">
        <v>6</v>
      </c>
      <c r="V1809" s="2">
        <v>27</v>
      </c>
      <c r="W1809" s="2">
        <v>5</v>
      </c>
      <c r="X1809" s="2">
        <v>14</v>
      </c>
      <c r="Z1809" s="2">
        <v>53</v>
      </c>
      <c r="AA1809" s="3" t="s">
        <v>40</v>
      </c>
      <c r="AB1809" s="2">
        <v>2</v>
      </c>
      <c r="AF1809" s="2">
        <v>30</v>
      </c>
      <c r="AG1809" s="2">
        <v>1</v>
      </c>
      <c r="AH1809" s="3" t="s">
        <v>1809</v>
      </c>
      <c r="AI1809" s="4">
        <v>45042</v>
      </c>
      <c r="AJ1809" s="3" t="s">
        <v>1915</v>
      </c>
      <c r="AK1809" s="3" t="s">
        <v>645</v>
      </c>
    </row>
    <row r="1810" spans="1:37" hidden="1" x14ac:dyDescent="0.25">
      <c r="A1810" t="str">
        <f t="shared" si="28"/>
        <v>2023_NSW_WaggaWagga_Fababean_DetailedTOS1VarietyAmberleyWaterTrtRainFed</v>
      </c>
      <c r="B1810" s="2">
        <v>2023020</v>
      </c>
      <c r="C1810" s="3" t="s">
        <v>1799</v>
      </c>
      <c r="D1810" s="3" t="s">
        <v>645</v>
      </c>
      <c r="F1810" s="3" t="s">
        <v>4185</v>
      </c>
      <c r="G1810" s="3" t="s">
        <v>39</v>
      </c>
      <c r="H1810" s="3" t="s">
        <v>253</v>
      </c>
      <c r="I1810" s="2">
        <v>115</v>
      </c>
      <c r="J1810" s="2">
        <v>58</v>
      </c>
      <c r="K1810" s="2">
        <v>3</v>
      </c>
      <c r="O1810" s="2">
        <v>7</v>
      </c>
      <c r="U1810" s="2">
        <v>7</v>
      </c>
      <c r="V1810" s="2">
        <v>26</v>
      </c>
      <c r="W1810" s="2">
        <v>6</v>
      </c>
      <c r="X1810" s="2">
        <v>13</v>
      </c>
      <c r="AA1810" s="3" t="s">
        <v>40</v>
      </c>
      <c r="AB1810" s="2">
        <v>1</v>
      </c>
      <c r="AF1810" s="2">
        <v>30</v>
      </c>
      <c r="AG1810" s="2">
        <v>1</v>
      </c>
      <c r="AH1810" s="3" t="s">
        <v>1809</v>
      </c>
      <c r="AI1810" s="4">
        <v>45042</v>
      </c>
      <c r="AJ1810" s="3" t="s">
        <v>1916</v>
      </c>
      <c r="AK1810" s="3" t="s">
        <v>645</v>
      </c>
    </row>
    <row r="1811" spans="1:37" hidden="1" x14ac:dyDescent="0.25">
      <c r="A1811" t="str">
        <f t="shared" si="28"/>
        <v>2023_NSW_WaggaWagga_Fababean_DetailedTOS1VarietyAmberleyWaterTrtRainFed</v>
      </c>
      <c r="B1811" s="2">
        <v>2023020</v>
      </c>
      <c r="C1811" s="3" t="s">
        <v>1799</v>
      </c>
      <c r="D1811" s="3" t="s">
        <v>645</v>
      </c>
      <c r="F1811" s="3" t="s">
        <v>4185</v>
      </c>
      <c r="G1811" s="3" t="s">
        <v>39</v>
      </c>
      <c r="H1811" s="3" t="s">
        <v>250</v>
      </c>
      <c r="I1811" s="2">
        <v>116</v>
      </c>
      <c r="J1811" s="2">
        <v>58</v>
      </c>
      <c r="K1811" s="2">
        <v>3</v>
      </c>
      <c r="O1811" s="2">
        <v>7</v>
      </c>
      <c r="U1811" s="2">
        <v>7</v>
      </c>
      <c r="V1811" s="2">
        <v>27</v>
      </c>
      <c r="W1811" s="2">
        <v>6</v>
      </c>
      <c r="X1811" s="2">
        <v>14</v>
      </c>
      <c r="Z1811" s="2">
        <v>54</v>
      </c>
      <c r="AA1811" s="3" t="s">
        <v>40</v>
      </c>
      <c r="AB1811" s="2">
        <v>1</v>
      </c>
      <c r="AF1811" s="2">
        <v>30</v>
      </c>
      <c r="AG1811" s="2">
        <v>1</v>
      </c>
      <c r="AH1811" s="3" t="s">
        <v>1809</v>
      </c>
      <c r="AI1811" s="4">
        <v>45042</v>
      </c>
      <c r="AJ1811" s="3" t="s">
        <v>1917</v>
      </c>
      <c r="AK1811" s="3" t="s">
        <v>645</v>
      </c>
    </row>
    <row r="1812" spans="1:37" hidden="1" x14ac:dyDescent="0.25">
      <c r="A1812" t="str">
        <f t="shared" si="28"/>
        <v>2023_NSW_WaggaWagga_Fababean_DetailedTOS1VarietySamiraWaterTrtRainFed</v>
      </c>
      <c r="B1812" s="2">
        <v>2023020</v>
      </c>
      <c r="C1812" s="3" t="s">
        <v>1799</v>
      </c>
      <c r="D1812" s="3" t="s">
        <v>645</v>
      </c>
      <c r="F1812" s="3" t="s">
        <v>4183</v>
      </c>
      <c r="G1812" s="3" t="s">
        <v>43</v>
      </c>
      <c r="H1812" s="3" t="s">
        <v>253</v>
      </c>
      <c r="I1812" s="2">
        <v>117</v>
      </c>
      <c r="J1812" s="2">
        <v>59</v>
      </c>
      <c r="K1812" s="2">
        <v>4</v>
      </c>
      <c r="O1812" s="2">
        <v>7</v>
      </c>
      <c r="U1812" s="2">
        <v>8</v>
      </c>
      <c r="V1812" s="2">
        <v>26</v>
      </c>
      <c r="W1812" s="2">
        <v>7</v>
      </c>
      <c r="X1812" s="2">
        <v>13</v>
      </c>
      <c r="AA1812" s="3" t="s">
        <v>40</v>
      </c>
      <c r="AB1812" s="2">
        <v>4</v>
      </c>
      <c r="AF1812" s="2">
        <v>30</v>
      </c>
      <c r="AG1812" s="2">
        <v>1</v>
      </c>
      <c r="AH1812" s="3" t="s">
        <v>1809</v>
      </c>
      <c r="AI1812" s="4">
        <v>45042</v>
      </c>
      <c r="AJ1812" s="3" t="s">
        <v>1918</v>
      </c>
      <c r="AK1812" s="3" t="s">
        <v>645</v>
      </c>
    </row>
    <row r="1813" spans="1:37" hidden="1" x14ac:dyDescent="0.25">
      <c r="A1813" t="str">
        <f t="shared" si="28"/>
        <v>2023_NSW_WaggaWagga_Fababean_DetailedTOS1VarietySamiraWaterTrtRainFed</v>
      </c>
      <c r="B1813" s="2">
        <v>2023020</v>
      </c>
      <c r="C1813" s="3" t="s">
        <v>1799</v>
      </c>
      <c r="D1813" s="3" t="s">
        <v>645</v>
      </c>
      <c r="F1813" s="3" t="s">
        <v>4183</v>
      </c>
      <c r="G1813" s="3" t="s">
        <v>43</v>
      </c>
      <c r="H1813" s="3" t="s">
        <v>250</v>
      </c>
      <c r="I1813" s="2">
        <v>118</v>
      </c>
      <c r="J1813" s="2">
        <v>59</v>
      </c>
      <c r="K1813" s="2">
        <v>4</v>
      </c>
      <c r="O1813" s="2">
        <v>7</v>
      </c>
      <c r="U1813" s="2">
        <v>8</v>
      </c>
      <c r="V1813" s="2">
        <v>27</v>
      </c>
      <c r="W1813" s="2">
        <v>7</v>
      </c>
      <c r="X1813" s="2">
        <v>14</v>
      </c>
      <c r="Z1813" s="2">
        <v>55</v>
      </c>
      <c r="AA1813" s="3" t="s">
        <v>40</v>
      </c>
      <c r="AB1813" s="2">
        <v>4</v>
      </c>
      <c r="AF1813" s="2">
        <v>30</v>
      </c>
      <c r="AG1813" s="2">
        <v>1</v>
      </c>
      <c r="AH1813" s="3" t="s">
        <v>1809</v>
      </c>
      <c r="AI1813" s="4">
        <v>45042</v>
      </c>
      <c r="AJ1813" s="3" t="s">
        <v>1919</v>
      </c>
      <c r="AK1813" s="3" t="s">
        <v>645</v>
      </c>
    </row>
    <row r="1814" spans="1:37" hidden="1" x14ac:dyDescent="0.25">
      <c r="A1814" t="str">
        <f t="shared" si="28"/>
        <v>2023_NSW_WaggaWagga_Fababean_DetailedTOS1VarietyMarneWaterTrtRainFed</v>
      </c>
      <c r="B1814" s="2">
        <v>2023020</v>
      </c>
      <c r="C1814" s="3" t="s">
        <v>1799</v>
      </c>
      <c r="D1814" s="3" t="s">
        <v>645</v>
      </c>
      <c r="F1814" s="3" t="s">
        <v>4184</v>
      </c>
      <c r="G1814" s="3" t="s">
        <v>39</v>
      </c>
      <c r="H1814" s="3" t="s">
        <v>253</v>
      </c>
      <c r="I1814" s="2">
        <v>119</v>
      </c>
      <c r="J1814" s="2">
        <v>60</v>
      </c>
      <c r="K1814" s="2">
        <v>4</v>
      </c>
      <c r="O1814" s="2">
        <v>7</v>
      </c>
      <c r="U1814" s="2">
        <v>9</v>
      </c>
      <c r="V1814" s="2">
        <v>26</v>
      </c>
      <c r="W1814" s="2">
        <v>8</v>
      </c>
      <c r="X1814" s="2">
        <v>13</v>
      </c>
      <c r="AA1814" s="3" t="s">
        <v>40</v>
      </c>
      <c r="AB1814" s="2">
        <v>3</v>
      </c>
      <c r="AF1814" s="2">
        <v>30</v>
      </c>
      <c r="AG1814" s="2">
        <v>1</v>
      </c>
      <c r="AH1814" s="3" t="s">
        <v>1809</v>
      </c>
      <c r="AI1814" s="4">
        <v>45042</v>
      </c>
      <c r="AJ1814" s="3" t="s">
        <v>1920</v>
      </c>
      <c r="AK1814" s="3" t="s">
        <v>645</v>
      </c>
    </row>
    <row r="1815" spans="1:37" hidden="1" x14ac:dyDescent="0.25">
      <c r="A1815" t="str">
        <f t="shared" si="28"/>
        <v>2023_NSW_WaggaWagga_Fababean_DetailedTOS1VarietyMarneWaterTrtRainFed</v>
      </c>
      <c r="B1815" s="2">
        <v>2023020</v>
      </c>
      <c r="C1815" s="3" t="s">
        <v>1799</v>
      </c>
      <c r="D1815" s="3" t="s">
        <v>645</v>
      </c>
      <c r="F1815" s="3" t="s">
        <v>4184</v>
      </c>
      <c r="G1815" s="3" t="s">
        <v>39</v>
      </c>
      <c r="H1815" s="3" t="s">
        <v>250</v>
      </c>
      <c r="I1815" s="2">
        <v>120</v>
      </c>
      <c r="J1815" s="2">
        <v>60</v>
      </c>
      <c r="K1815" s="2">
        <v>4</v>
      </c>
      <c r="O1815" s="2">
        <v>7</v>
      </c>
      <c r="U1815" s="2">
        <v>9</v>
      </c>
      <c r="V1815" s="2">
        <v>27</v>
      </c>
      <c r="W1815" s="2">
        <v>8</v>
      </c>
      <c r="X1815" s="2">
        <v>14</v>
      </c>
      <c r="Z1815" s="2">
        <v>56</v>
      </c>
      <c r="AA1815" s="3" t="s">
        <v>40</v>
      </c>
      <c r="AB1815" s="2">
        <v>3</v>
      </c>
      <c r="AF1815" s="2">
        <v>30</v>
      </c>
      <c r="AG1815" s="2">
        <v>1</v>
      </c>
      <c r="AH1815" s="3" t="s">
        <v>1809</v>
      </c>
      <c r="AI1815" s="4">
        <v>45042</v>
      </c>
      <c r="AJ1815" s="3" t="s">
        <v>1921</v>
      </c>
      <c r="AK1815" s="3" t="s">
        <v>645</v>
      </c>
    </row>
    <row r="1816" spans="1:37" hidden="1" x14ac:dyDescent="0.25">
      <c r="A1816" t="str">
        <f t="shared" si="28"/>
        <v>2023_NSW_WaggaWagga_Fababean_DetailedTOS2VarietySamiraWaterTrtRainFed</v>
      </c>
      <c r="B1816" s="2">
        <v>2023020</v>
      </c>
      <c r="C1816" s="3" t="s">
        <v>1799</v>
      </c>
      <c r="D1816" s="3" t="s">
        <v>645</v>
      </c>
      <c r="F1816" s="3" t="s">
        <v>4183</v>
      </c>
      <c r="G1816" s="3" t="s">
        <v>43</v>
      </c>
      <c r="H1816" s="3" t="s">
        <v>253</v>
      </c>
      <c r="I1816" s="2">
        <v>121</v>
      </c>
      <c r="J1816" s="2">
        <v>61</v>
      </c>
      <c r="K1816" s="2">
        <v>3</v>
      </c>
      <c r="O1816" s="2">
        <v>8</v>
      </c>
      <c r="U1816" s="2">
        <v>6</v>
      </c>
      <c r="V1816" s="2">
        <v>30</v>
      </c>
      <c r="W1816" s="2">
        <v>5</v>
      </c>
      <c r="X1816" s="2">
        <v>15</v>
      </c>
      <c r="AA1816" s="3" t="s">
        <v>40</v>
      </c>
      <c r="AB1816" s="2">
        <v>4</v>
      </c>
      <c r="AF1816" s="2">
        <v>30</v>
      </c>
      <c r="AG1816" s="2">
        <v>2</v>
      </c>
      <c r="AH1816" s="3" t="s">
        <v>1800</v>
      </c>
      <c r="AI1816" s="4">
        <v>45077</v>
      </c>
      <c r="AJ1816" s="3" t="s">
        <v>1922</v>
      </c>
      <c r="AK1816" s="3" t="s">
        <v>645</v>
      </c>
    </row>
    <row r="1817" spans="1:37" hidden="1" x14ac:dyDescent="0.25">
      <c r="A1817" t="str">
        <f t="shared" si="28"/>
        <v>2023_NSW_WaggaWagga_Fababean_DetailedTOS2VarietySamiraWaterTrtRainFed</v>
      </c>
      <c r="B1817" s="2">
        <v>2023020</v>
      </c>
      <c r="C1817" s="3" t="s">
        <v>1799</v>
      </c>
      <c r="D1817" s="3" t="s">
        <v>645</v>
      </c>
      <c r="F1817" s="3" t="s">
        <v>4183</v>
      </c>
      <c r="G1817" s="3" t="s">
        <v>43</v>
      </c>
      <c r="H1817" s="3" t="s">
        <v>250</v>
      </c>
      <c r="I1817" s="2">
        <v>122</v>
      </c>
      <c r="J1817" s="2">
        <v>61</v>
      </c>
      <c r="K1817" s="2">
        <v>3</v>
      </c>
      <c r="O1817" s="2">
        <v>8</v>
      </c>
      <c r="U1817" s="2">
        <v>6</v>
      </c>
      <c r="V1817" s="2">
        <v>31</v>
      </c>
      <c r="W1817" s="2">
        <v>5</v>
      </c>
      <c r="X1817" s="2">
        <v>16</v>
      </c>
      <c r="Z1817" s="2">
        <v>60</v>
      </c>
      <c r="AA1817" s="3" t="s">
        <v>40</v>
      </c>
      <c r="AB1817" s="2">
        <v>4</v>
      </c>
      <c r="AF1817" s="2">
        <v>30</v>
      </c>
      <c r="AG1817" s="2">
        <v>2</v>
      </c>
      <c r="AH1817" s="3" t="s">
        <v>1800</v>
      </c>
      <c r="AI1817" s="4">
        <v>45077</v>
      </c>
      <c r="AJ1817" s="3" t="s">
        <v>1923</v>
      </c>
      <c r="AK1817" s="3" t="s">
        <v>645</v>
      </c>
    </row>
    <row r="1818" spans="1:37" hidden="1" x14ac:dyDescent="0.25">
      <c r="A1818" t="str">
        <f t="shared" si="28"/>
        <v>2023_NSW_WaggaWagga_Fababean_DetailedTOS2VarietyNasmaWaterTrtRainFed</v>
      </c>
      <c r="B1818" s="2">
        <v>2023020</v>
      </c>
      <c r="C1818" s="3" t="s">
        <v>1799</v>
      </c>
      <c r="D1818" s="3" t="s">
        <v>645</v>
      </c>
      <c r="F1818" s="3" t="s">
        <v>4186</v>
      </c>
      <c r="G1818" s="3" t="s">
        <v>43</v>
      </c>
      <c r="H1818" s="3" t="s">
        <v>253</v>
      </c>
      <c r="I1818" s="2">
        <v>123</v>
      </c>
      <c r="J1818" s="2">
        <v>62</v>
      </c>
      <c r="K1818" s="2">
        <v>3</v>
      </c>
      <c r="O1818" s="2">
        <v>8</v>
      </c>
      <c r="U1818" s="2">
        <v>7</v>
      </c>
      <c r="V1818" s="2">
        <v>30</v>
      </c>
      <c r="W1818" s="2">
        <v>6</v>
      </c>
      <c r="X1818" s="2">
        <v>15</v>
      </c>
      <c r="AA1818" s="3" t="s">
        <v>40</v>
      </c>
      <c r="AB1818" s="2">
        <v>2</v>
      </c>
      <c r="AF1818" s="2">
        <v>30</v>
      </c>
      <c r="AG1818" s="2">
        <v>2</v>
      </c>
      <c r="AH1818" s="3" t="s">
        <v>1800</v>
      </c>
      <c r="AI1818" s="4">
        <v>45077</v>
      </c>
      <c r="AJ1818" s="3" t="s">
        <v>1924</v>
      </c>
      <c r="AK1818" s="3" t="s">
        <v>645</v>
      </c>
    </row>
    <row r="1819" spans="1:37" hidden="1" x14ac:dyDescent="0.25">
      <c r="A1819" t="str">
        <f t="shared" si="28"/>
        <v>2023_NSW_WaggaWagga_Fababean_DetailedTOS2VarietyNasmaWaterTrtRainFed</v>
      </c>
      <c r="B1819" s="2">
        <v>2023020</v>
      </c>
      <c r="C1819" s="3" t="s">
        <v>1799</v>
      </c>
      <c r="D1819" s="3" t="s">
        <v>645</v>
      </c>
      <c r="F1819" s="3" t="s">
        <v>4186</v>
      </c>
      <c r="G1819" s="3" t="s">
        <v>43</v>
      </c>
      <c r="H1819" s="3" t="s">
        <v>250</v>
      </c>
      <c r="I1819" s="2">
        <v>124</v>
      </c>
      <c r="J1819" s="2">
        <v>62</v>
      </c>
      <c r="K1819" s="2">
        <v>3</v>
      </c>
      <c r="O1819" s="2">
        <v>8</v>
      </c>
      <c r="U1819" s="2">
        <v>7</v>
      </c>
      <c r="V1819" s="2">
        <v>31</v>
      </c>
      <c r="W1819" s="2">
        <v>6</v>
      </c>
      <c r="X1819" s="2">
        <v>16</v>
      </c>
      <c r="Z1819" s="2">
        <v>59</v>
      </c>
      <c r="AA1819" s="3" t="s">
        <v>40</v>
      </c>
      <c r="AB1819" s="2">
        <v>2</v>
      </c>
      <c r="AF1819" s="2">
        <v>30</v>
      </c>
      <c r="AG1819" s="2">
        <v>2</v>
      </c>
      <c r="AH1819" s="3" t="s">
        <v>1800</v>
      </c>
      <c r="AI1819" s="4">
        <v>45077</v>
      </c>
      <c r="AJ1819" s="3" t="s">
        <v>1925</v>
      </c>
      <c r="AK1819" s="3" t="s">
        <v>645</v>
      </c>
    </row>
    <row r="1820" spans="1:37" hidden="1" x14ac:dyDescent="0.25">
      <c r="A1820" t="str">
        <f t="shared" si="28"/>
        <v>2023_NSW_WaggaWagga_Fababean_DetailedTOS2VarietyMarneWaterTrtRainFed</v>
      </c>
      <c r="B1820" s="2">
        <v>2023020</v>
      </c>
      <c r="C1820" s="3" t="s">
        <v>1799</v>
      </c>
      <c r="D1820" s="3" t="s">
        <v>645</v>
      </c>
      <c r="F1820" s="3" t="s">
        <v>4184</v>
      </c>
      <c r="G1820" s="3" t="s">
        <v>39</v>
      </c>
      <c r="H1820" s="3" t="s">
        <v>253</v>
      </c>
      <c r="I1820" s="2">
        <v>125</v>
      </c>
      <c r="J1820" s="2">
        <v>63</v>
      </c>
      <c r="K1820" s="2">
        <v>4</v>
      </c>
      <c r="O1820" s="2">
        <v>8</v>
      </c>
      <c r="U1820" s="2">
        <v>8</v>
      </c>
      <c r="V1820" s="2">
        <v>30</v>
      </c>
      <c r="W1820" s="2">
        <v>7</v>
      </c>
      <c r="X1820" s="2">
        <v>15</v>
      </c>
      <c r="AA1820" s="3" t="s">
        <v>40</v>
      </c>
      <c r="AB1820" s="2">
        <v>3</v>
      </c>
      <c r="AF1820" s="2">
        <v>30</v>
      </c>
      <c r="AG1820" s="2">
        <v>2</v>
      </c>
      <c r="AH1820" s="3" t="s">
        <v>1800</v>
      </c>
      <c r="AI1820" s="4">
        <v>45077</v>
      </c>
      <c r="AJ1820" s="3" t="s">
        <v>1926</v>
      </c>
      <c r="AK1820" s="3" t="s">
        <v>645</v>
      </c>
    </row>
    <row r="1821" spans="1:37" hidden="1" x14ac:dyDescent="0.25">
      <c r="A1821" t="str">
        <f t="shared" si="28"/>
        <v>2023_NSW_WaggaWagga_Fababean_DetailedTOS2VarietyMarneWaterTrtRainFed</v>
      </c>
      <c r="B1821" s="2">
        <v>2023020</v>
      </c>
      <c r="C1821" s="3" t="s">
        <v>1799</v>
      </c>
      <c r="D1821" s="3" t="s">
        <v>645</v>
      </c>
      <c r="F1821" s="3" t="s">
        <v>4184</v>
      </c>
      <c r="G1821" s="3" t="s">
        <v>39</v>
      </c>
      <c r="H1821" s="3" t="s">
        <v>250</v>
      </c>
      <c r="I1821" s="2">
        <v>126</v>
      </c>
      <c r="J1821" s="2">
        <v>63</v>
      </c>
      <c r="K1821" s="2">
        <v>4</v>
      </c>
      <c r="O1821" s="2">
        <v>8</v>
      </c>
      <c r="U1821" s="2">
        <v>8</v>
      </c>
      <c r="V1821" s="2">
        <v>31</v>
      </c>
      <c r="W1821" s="2">
        <v>7</v>
      </c>
      <c r="X1821" s="2">
        <v>16</v>
      </c>
      <c r="Z1821" s="2">
        <v>58</v>
      </c>
      <c r="AA1821" s="3" t="s">
        <v>40</v>
      </c>
      <c r="AB1821" s="2">
        <v>3</v>
      </c>
      <c r="AF1821" s="2">
        <v>30</v>
      </c>
      <c r="AG1821" s="2">
        <v>2</v>
      </c>
      <c r="AH1821" s="3" t="s">
        <v>1800</v>
      </c>
      <c r="AI1821" s="4">
        <v>45077</v>
      </c>
      <c r="AJ1821" s="3" t="s">
        <v>1927</v>
      </c>
      <c r="AK1821" s="3" t="s">
        <v>645</v>
      </c>
    </row>
    <row r="1822" spans="1:37" hidden="1" x14ac:dyDescent="0.25">
      <c r="A1822" t="str">
        <f t="shared" si="28"/>
        <v>2023_NSW_WaggaWagga_Fababean_DetailedTOS2VarietyAmberleyWaterTrtRainFed</v>
      </c>
      <c r="B1822" s="2">
        <v>2023020</v>
      </c>
      <c r="C1822" s="3" t="s">
        <v>1799</v>
      </c>
      <c r="D1822" s="3" t="s">
        <v>645</v>
      </c>
      <c r="F1822" s="3" t="s">
        <v>4185</v>
      </c>
      <c r="G1822" s="3" t="s">
        <v>39</v>
      </c>
      <c r="H1822" s="3" t="s">
        <v>253</v>
      </c>
      <c r="I1822" s="2">
        <v>127</v>
      </c>
      <c r="J1822" s="2">
        <v>64</v>
      </c>
      <c r="K1822" s="2">
        <v>4</v>
      </c>
      <c r="O1822" s="2">
        <v>8</v>
      </c>
      <c r="U1822" s="2">
        <v>9</v>
      </c>
      <c r="V1822" s="2">
        <v>30</v>
      </c>
      <c r="W1822" s="2">
        <v>8</v>
      </c>
      <c r="X1822" s="2">
        <v>15</v>
      </c>
      <c r="AA1822" s="3" t="s">
        <v>40</v>
      </c>
      <c r="AB1822" s="2">
        <v>1</v>
      </c>
      <c r="AF1822" s="2">
        <v>30</v>
      </c>
      <c r="AG1822" s="2">
        <v>2</v>
      </c>
      <c r="AH1822" s="3" t="s">
        <v>1800</v>
      </c>
      <c r="AI1822" s="4">
        <v>45077</v>
      </c>
      <c r="AJ1822" s="3" t="s">
        <v>1928</v>
      </c>
      <c r="AK1822" s="3" t="s">
        <v>645</v>
      </c>
    </row>
    <row r="1823" spans="1:37" hidden="1" x14ac:dyDescent="0.25">
      <c r="A1823" t="str">
        <f t="shared" si="28"/>
        <v>2023_NSW_WaggaWagga_Fababean_DetailedTOS2VarietyAmberleyWaterTrtRainFed</v>
      </c>
      <c r="B1823" s="2">
        <v>2023020</v>
      </c>
      <c r="C1823" s="3" t="s">
        <v>1799</v>
      </c>
      <c r="D1823" s="3" t="s">
        <v>645</v>
      </c>
      <c r="F1823" s="3" t="s">
        <v>4185</v>
      </c>
      <c r="G1823" s="3" t="s">
        <v>39</v>
      </c>
      <c r="H1823" s="3" t="s">
        <v>250</v>
      </c>
      <c r="I1823" s="2">
        <v>128</v>
      </c>
      <c r="J1823" s="2">
        <v>64</v>
      </c>
      <c r="K1823" s="2">
        <v>4</v>
      </c>
      <c r="O1823" s="2">
        <v>8</v>
      </c>
      <c r="U1823" s="2">
        <v>9</v>
      </c>
      <c r="V1823" s="2">
        <v>31</v>
      </c>
      <c r="W1823" s="2">
        <v>8</v>
      </c>
      <c r="X1823" s="2">
        <v>16</v>
      </c>
      <c r="Z1823" s="2">
        <v>57</v>
      </c>
      <c r="AA1823" s="3" t="s">
        <v>40</v>
      </c>
      <c r="AB1823" s="2">
        <v>1</v>
      </c>
      <c r="AF1823" s="2">
        <v>30</v>
      </c>
      <c r="AG1823" s="2">
        <v>2</v>
      </c>
      <c r="AH1823" s="3" t="s">
        <v>1800</v>
      </c>
      <c r="AI1823" s="4">
        <v>45077</v>
      </c>
      <c r="AJ1823" s="3" t="s">
        <v>1929</v>
      </c>
      <c r="AK1823" s="3" t="s">
        <v>645</v>
      </c>
    </row>
    <row r="1824" spans="1:37" hidden="1" x14ac:dyDescent="0.25">
      <c r="A1824" t="str">
        <f t="shared" si="28"/>
        <v>2023_NSW_WaggaWagga_Lupin_DetailedTOS2VarietyWongaWaterTrtIrrigated</v>
      </c>
      <c r="B1824" s="2">
        <v>2023021</v>
      </c>
      <c r="C1824" s="3" t="s">
        <v>1930</v>
      </c>
      <c r="D1824" s="3" t="s">
        <v>1931</v>
      </c>
      <c r="F1824" s="3" t="s">
        <v>1932</v>
      </c>
      <c r="G1824" s="3" t="s">
        <v>39</v>
      </c>
      <c r="H1824" s="3" t="s">
        <v>253</v>
      </c>
      <c r="I1824" s="2">
        <v>1</v>
      </c>
      <c r="J1824" s="2">
        <v>1</v>
      </c>
      <c r="K1824" s="2">
        <v>1</v>
      </c>
      <c r="O1824" s="2">
        <v>1</v>
      </c>
      <c r="U1824" s="2">
        <v>1</v>
      </c>
      <c r="V1824" s="2">
        <v>2</v>
      </c>
      <c r="W1824" s="2">
        <v>1</v>
      </c>
      <c r="X1824" s="2">
        <v>1</v>
      </c>
      <c r="AA1824" s="3" t="s">
        <v>57</v>
      </c>
      <c r="AB1824" s="2">
        <v>4</v>
      </c>
      <c r="AF1824" s="2">
        <v>30</v>
      </c>
      <c r="AG1824" s="2">
        <v>2</v>
      </c>
      <c r="AH1824" s="3" t="s">
        <v>1800</v>
      </c>
      <c r="AI1824" s="4">
        <v>45077</v>
      </c>
      <c r="AJ1824" s="3" t="s">
        <v>1933</v>
      </c>
      <c r="AK1824" s="3" t="s">
        <v>1931</v>
      </c>
    </row>
    <row r="1825" spans="1:37" hidden="1" x14ac:dyDescent="0.25">
      <c r="A1825" t="str">
        <f t="shared" si="28"/>
        <v>2023_NSW_WaggaWagga_Lupin_DetailedTOS2VarietyWongaWaterTrtIrrigated</v>
      </c>
      <c r="B1825" s="2">
        <v>2023021</v>
      </c>
      <c r="C1825" s="3" t="s">
        <v>1930</v>
      </c>
      <c r="D1825" s="3" t="s">
        <v>1931</v>
      </c>
      <c r="F1825" s="3" t="s">
        <v>1932</v>
      </c>
      <c r="G1825" s="3" t="s">
        <v>39</v>
      </c>
      <c r="H1825" s="3" t="s">
        <v>250</v>
      </c>
      <c r="I1825" s="2">
        <v>2</v>
      </c>
      <c r="J1825" s="2">
        <v>1</v>
      </c>
      <c r="K1825" s="2">
        <v>1</v>
      </c>
      <c r="O1825" s="2">
        <v>1</v>
      </c>
      <c r="U1825" s="2">
        <v>1</v>
      </c>
      <c r="V1825" s="2">
        <v>3</v>
      </c>
      <c r="W1825" s="2">
        <v>1</v>
      </c>
      <c r="X1825" s="2">
        <v>2</v>
      </c>
      <c r="Z1825" s="2">
        <v>1</v>
      </c>
      <c r="AA1825" s="3" t="s">
        <v>57</v>
      </c>
      <c r="AB1825" s="2">
        <v>4</v>
      </c>
      <c r="AF1825" s="2">
        <v>30</v>
      </c>
      <c r="AG1825" s="2">
        <v>2</v>
      </c>
      <c r="AH1825" s="3" t="s">
        <v>1800</v>
      </c>
      <c r="AI1825" s="4">
        <v>45077</v>
      </c>
      <c r="AJ1825" s="3" t="s">
        <v>1934</v>
      </c>
      <c r="AK1825" s="3" t="s">
        <v>1931</v>
      </c>
    </row>
    <row r="1826" spans="1:37" hidden="1" x14ac:dyDescent="0.25">
      <c r="A1826" t="str">
        <f t="shared" si="28"/>
        <v>2023_NSW_WaggaWagga_Lupin_DetailedTOS2VarietyJurienWaterTrtIrrigated</v>
      </c>
      <c r="B1826" s="2">
        <v>2023021</v>
      </c>
      <c r="C1826" s="3" t="s">
        <v>1930</v>
      </c>
      <c r="D1826" s="3" t="s">
        <v>1931</v>
      </c>
      <c r="F1826" s="3" t="s">
        <v>4194</v>
      </c>
      <c r="G1826" s="3" t="s">
        <v>39</v>
      </c>
      <c r="H1826" s="3" t="s">
        <v>253</v>
      </c>
      <c r="I1826" s="2">
        <v>3</v>
      </c>
      <c r="J1826" s="2">
        <v>2</v>
      </c>
      <c r="K1826" s="2">
        <v>1</v>
      </c>
      <c r="O1826" s="2">
        <v>1</v>
      </c>
      <c r="U1826" s="2">
        <v>2</v>
      </c>
      <c r="V1826" s="2">
        <v>2</v>
      </c>
      <c r="W1826" s="2">
        <v>2</v>
      </c>
      <c r="X1826" s="2">
        <v>1</v>
      </c>
      <c r="AA1826" s="3" t="s">
        <v>57</v>
      </c>
      <c r="AB1826" s="2">
        <v>2</v>
      </c>
      <c r="AF1826" s="2">
        <v>30</v>
      </c>
      <c r="AG1826" s="2">
        <v>2</v>
      </c>
      <c r="AH1826" s="3" t="s">
        <v>1800</v>
      </c>
      <c r="AI1826" s="4">
        <v>45077</v>
      </c>
      <c r="AJ1826" s="3" t="s">
        <v>1935</v>
      </c>
      <c r="AK1826" s="3" t="s">
        <v>1931</v>
      </c>
    </row>
    <row r="1827" spans="1:37" hidden="1" x14ac:dyDescent="0.25">
      <c r="A1827" t="str">
        <f t="shared" si="28"/>
        <v>2023_NSW_WaggaWagga_Lupin_DetailedTOS2VarietyJurienWaterTrtIrrigated</v>
      </c>
      <c r="B1827" s="2">
        <v>2023021</v>
      </c>
      <c r="C1827" s="3" t="s">
        <v>1930</v>
      </c>
      <c r="D1827" s="3" t="s">
        <v>1931</v>
      </c>
      <c r="F1827" s="3" t="s">
        <v>4194</v>
      </c>
      <c r="G1827" s="3" t="s">
        <v>39</v>
      </c>
      <c r="H1827" s="3" t="s">
        <v>250</v>
      </c>
      <c r="I1827" s="2">
        <v>4</v>
      </c>
      <c r="J1827" s="2">
        <v>2</v>
      </c>
      <c r="K1827" s="2">
        <v>1</v>
      </c>
      <c r="O1827" s="2">
        <v>1</v>
      </c>
      <c r="U1827" s="2">
        <v>2</v>
      </c>
      <c r="V1827" s="2">
        <v>3</v>
      </c>
      <c r="W1827" s="2">
        <v>2</v>
      </c>
      <c r="X1827" s="2">
        <v>2</v>
      </c>
      <c r="Z1827" s="2">
        <v>2</v>
      </c>
      <c r="AA1827" s="3" t="s">
        <v>57</v>
      </c>
      <c r="AB1827" s="2">
        <v>2</v>
      </c>
      <c r="AF1827" s="2">
        <v>30</v>
      </c>
      <c r="AG1827" s="2">
        <v>2</v>
      </c>
      <c r="AH1827" s="3" t="s">
        <v>1800</v>
      </c>
      <c r="AI1827" s="4">
        <v>45077</v>
      </c>
      <c r="AJ1827" s="3" t="s">
        <v>1936</v>
      </c>
      <c r="AK1827" s="3" t="s">
        <v>1931</v>
      </c>
    </row>
    <row r="1828" spans="1:37" hidden="1" x14ac:dyDescent="0.25">
      <c r="A1828" t="str">
        <f t="shared" si="28"/>
        <v>2023_NSW_WaggaWagga_Lupin_DetailedTOS2VarietyBatemanWaterTrtIrrigated</v>
      </c>
      <c r="B1828" s="2">
        <v>2023021</v>
      </c>
      <c r="C1828" s="3" t="s">
        <v>1930</v>
      </c>
      <c r="D1828" s="3" t="s">
        <v>1931</v>
      </c>
      <c r="F1828" s="3" t="s">
        <v>4195</v>
      </c>
      <c r="G1828" s="3" t="s">
        <v>43</v>
      </c>
      <c r="H1828" s="3" t="s">
        <v>253</v>
      </c>
      <c r="I1828" s="2">
        <v>5</v>
      </c>
      <c r="J1828" s="2">
        <v>3</v>
      </c>
      <c r="K1828" s="2">
        <v>2</v>
      </c>
      <c r="O1828" s="2">
        <v>1</v>
      </c>
      <c r="U1828" s="2">
        <v>3</v>
      </c>
      <c r="V1828" s="2">
        <v>2</v>
      </c>
      <c r="W1828" s="2">
        <v>3</v>
      </c>
      <c r="X1828" s="2">
        <v>1</v>
      </c>
      <c r="AA1828" s="3" t="s">
        <v>57</v>
      </c>
      <c r="AB1828" s="2">
        <v>1</v>
      </c>
      <c r="AF1828" s="2">
        <v>30</v>
      </c>
      <c r="AG1828" s="2">
        <v>2</v>
      </c>
      <c r="AH1828" s="3" t="s">
        <v>1800</v>
      </c>
      <c r="AI1828" s="4">
        <v>45077</v>
      </c>
      <c r="AJ1828" s="3" t="s">
        <v>1937</v>
      </c>
      <c r="AK1828" s="3" t="s">
        <v>1931</v>
      </c>
    </row>
    <row r="1829" spans="1:37" hidden="1" x14ac:dyDescent="0.25">
      <c r="A1829" t="str">
        <f t="shared" si="28"/>
        <v>2023_NSW_WaggaWagga_Lupin_DetailedTOS2VarietyBatemanWaterTrtIrrigated</v>
      </c>
      <c r="B1829" s="2">
        <v>2023021</v>
      </c>
      <c r="C1829" s="3" t="s">
        <v>1930</v>
      </c>
      <c r="D1829" s="3" t="s">
        <v>1931</v>
      </c>
      <c r="F1829" s="3" t="s">
        <v>4195</v>
      </c>
      <c r="G1829" s="3" t="s">
        <v>43</v>
      </c>
      <c r="H1829" s="3" t="s">
        <v>250</v>
      </c>
      <c r="I1829" s="2">
        <v>6</v>
      </c>
      <c r="J1829" s="2">
        <v>3</v>
      </c>
      <c r="K1829" s="2">
        <v>2</v>
      </c>
      <c r="O1829" s="2">
        <v>1</v>
      </c>
      <c r="U1829" s="2">
        <v>3</v>
      </c>
      <c r="V1829" s="2">
        <v>3</v>
      </c>
      <c r="W1829" s="2">
        <v>3</v>
      </c>
      <c r="X1829" s="2">
        <v>2</v>
      </c>
      <c r="Z1829" s="2">
        <v>3</v>
      </c>
      <c r="AA1829" s="3" t="s">
        <v>57</v>
      </c>
      <c r="AB1829" s="2">
        <v>1</v>
      </c>
      <c r="AF1829" s="2">
        <v>30</v>
      </c>
      <c r="AG1829" s="2">
        <v>2</v>
      </c>
      <c r="AH1829" s="3" t="s">
        <v>1800</v>
      </c>
      <c r="AI1829" s="4">
        <v>45077</v>
      </c>
      <c r="AJ1829" s="3" t="s">
        <v>1938</v>
      </c>
      <c r="AK1829" s="3" t="s">
        <v>1931</v>
      </c>
    </row>
    <row r="1830" spans="1:37" hidden="1" x14ac:dyDescent="0.25">
      <c r="A1830" t="str">
        <f t="shared" si="28"/>
        <v>2023_NSW_WaggaWagga_Lupin_DetailedTOS2VarietyMandelupWaterTrtIrrigated</v>
      </c>
      <c r="B1830" s="2">
        <v>2023021</v>
      </c>
      <c r="C1830" s="3" t="s">
        <v>1930</v>
      </c>
      <c r="D1830" s="3" t="s">
        <v>1931</v>
      </c>
      <c r="F1830" s="3" t="s">
        <v>1939</v>
      </c>
      <c r="G1830" s="3" t="s">
        <v>39</v>
      </c>
      <c r="H1830" s="3" t="s">
        <v>253</v>
      </c>
      <c r="I1830" s="2">
        <v>7</v>
      </c>
      <c r="J1830" s="2">
        <v>4</v>
      </c>
      <c r="K1830" s="2">
        <v>2</v>
      </c>
      <c r="O1830" s="2">
        <v>1</v>
      </c>
      <c r="U1830" s="2">
        <v>4</v>
      </c>
      <c r="V1830" s="2">
        <v>2</v>
      </c>
      <c r="W1830" s="2">
        <v>4</v>
      </c>
      <c r="X1830" s="2">
        <v>1</v>
      </c>
      <c r="AA1830" s="3" t="s">
        <v>57</v>
      </c>
      <c r="AB1830" s="2">
        <v>3</v>
      </c>
      <c r="AF1830" s="2">
        <v>30</v>
      </c>
      <c r="AG1830" s="2">
        <v>2</v>
      </c>
      <c r="AH1830" s="3" t="s">
        <v>1800</v>
      </c>
      <c r="AI1830" s="4">
        <v>45077</v>
      </c>
      <c r="AJ1830" s="3" t="s">
        <v>1940</v>
      </c>
      <c r="AK1830" s="3" t="s">
        <v>1931</v>
      </c>
    </row>
    <row r="1831" spans="1:37" hidden="1" x14ac:dyDescent="0.25">
      <c r="A1831" t="str">
        <f t="shared" si="28"/>
        <v>2023_NSW_WaggaWagga_Lupin_DetailedTOS2VarietyMandelupWaterTrtIrrigated</v>
      </c>
      <c r="B1831" s="2">
        <v>2023021</v>
      </c>
      <c r="C1831" s="3" t="s">
        <v>1930</v>
      </c>
      <c r="D1831" s="3" t="s">
        <v>1931</v>
      </c>
      <c r="F1831" s="3" t="s">
        <v>1939</v>
      </c>
      <c r="G1831" s="3" t="s">
        <v>39</v>
      </c>
      <c r="H1831" s="3" t="s">
        <v>250</v>
      </c>
      <c r="I1831" s="2">
        <v>8</v>
      </c>
      <c r="J1831" s="2">
        <v>4</v>
      </c>
      <c r="K1831" s="2">
        <v>2</v>
      </c>
      <c r="O1831" s="2">
        <v>1</v>
      </c>
      <c r="U1831" s="2">
        <v>4</v>
      </c>
      <c r="V1831" s="2">
        <v>3</v>
      </c>
      <c r="W1831" s="2">
        <v>4</v>
      </c>
      <c r="X1831" s="2">
        <v>2</v>
      </c>
      <c r="Z1831" s="2">
        <v>4</v>
      </c>
      <c r="AA1831" s="3" t="s">
        <v>57</v>
      </c>
      <c r="AB1831" s="2">
        <v>3</v>
      </c>
      <c r="AF1831" s="2">
        <v>30</v>
      </c>
      <c r="AG1831" s="2">
        <v>2</v>
      </c>
      <c r="AH1831" s="3" t="s">
        <v>1800</v>
      </c>
      <c r="AI1831" s="4">
        <v>45077</v>
      </c>
      <c r="AJ1831" s="3" t="s">
        <v>1941</v>
      </c>
      <c r="AK1831" s="3" t="s">
        <v>1931</v>
      </c>
    </row>
    <row r="1832" spans="1:37" hidden="1" x14ac:dyDescent="0.25">
      <c r="A1832" t="str">
        <f t="shared" si="28"/>
        <v>2023_NSW_WaggaWagga_Lupin_DetailedTOS1VarietyBatemanWaterTrtIrrigated</v>
      </c>
      <c r="B1832" s="2">
        <v>2023021</v>
      </c>
      <c r="C1832" s="3" t="s">
        <v>1930</v>
      </c>
      <c r="D1832" s="3" t="s">
        <v>1931</v>
      </c>
      <c r="F1832" s="3" t="s">
        <v>4195</v>
      </c>
      <c r="G1832" s="3" t="s">
        <v>43</v>
      </c>
      <c r="H1832" s="3" t="s">
        <v>253</v>
      </c>
      <c r="I1832" s="2">
        <v>9</v>
      </c>
      <c r="J1832" s="2">
        <v>5</v>
      </c>
      <c r="K1832" s="2">
        <v>1</v>
      </c>
      <c r="O1832" s="2">
        <v>2</v>
      </c>
      <c r="U1832" s="2">
        <v>1</v>
      </c>
      <c r="V1832" s="2">
        <v>6</v>
      </c>
      <c r="W1832" s="2">
        <v>1</v>
      </c>
      <c r="X1832" s="2">
        <v>3</v>
      </c>
      <c r="AA1832" s="3" t="s">
        <v>57</v>
      </c>
      <c r="AB1832" s="2">
        <v>1</v>
      </c>
      <c r="AF1832" s="2">
        <v>30</v>
      </c>
      <c r="AG1832" s="2">
        <v>1</v>
      </c>
      <c r="AH1832" s="3" t="s">
        <v>1809</v>
      </c>
      <c r="AI1832" s="4">
        <v>45042</v>
      </c>
      <c r="AJ1832" s="3" t="s">
        <v>1942</v>
      </c>
      <c r="AK1832" s="3" t="s">
        <v>1931</v>
      </c>
    </row>
    <row r="1833" spans="1:37" hidden="1" x14ac:dyDescent="0.25">
      <c r="A1833" t="str">
        <f t="shared" si="28"/>
        <v>2023_NSW_WaggaWagga_Lupin_DetailedTOS1VarietyBatemanWaterTrtIrrigated</v>
      </c>
      <c r="B1833" s="2">
        <v>2023021</v>
      </c>
      <c r="C1833" s="3" t="s">
        <v>1930</v>
      </c>
      <c r="D1833" s="3" t="s">
        <v>1931</v>
      </c>
      <c r="F1833" s="3" t="s">
        <v>4195</v>
      </c>
      <c r="G1833" s="3" t="s">
        <v>43</v>
      </c>
      <c r="H1833" s="3" t="s">
        <v>250</v>
      </c>
      <c r="I1833" s="2">
        <v>10</v>
      </c>
      <c r="J1833" s="2">
        <v>5</v>
      </c>
      <c r="K1833" s="2">
        <v>1</v>
      </c>
      <c r="O1833" s="2">
        <v>2</v>
      </c>
      <c r="U1833" s="2">
        <v>1</v>
      </c>
      <c r="V1833" s="2">
        <v>7</v>
      </c>
      <c r="W1833" s="2">
        <v>1</v>
      </c>
      <c r="X1833" s="2">
        <v>4</v>
      </c>
      <c r="Z1833" s="2">
        <v>16</v>
      </c>
      <c r="AA1833" s="3" t="s">
        <v>57</v>
      </c>
      <c r="AB1833" s="2">
        <v>1</v>
      </c>
      <c r="AF1833" s="2">
        <v>30</v>
      </c>
      <c r="AG1833" s="2">
        <v>1</v>
      </c>
      <c r="AH1833" s="3" t="s">
        <v>1809</v>
      </c>
      <c r="AI1833" s="4">
        <v>45042</v>
      </c>
      <c r="AJ1833" s="3" t="s">
        <v>1943</v>
      </c>
      <c r="AK1833" s="3" t="s">
        <v>1931</v>
      </c>
    </row>
    <row r="1834" spans="1:37" hidden="1" x14ac:dyDescent="0.25">
      <c r="A1834" t="str">
        <f t="shared" si="28"/>
        <v>2023_NSW_WaggaWagga_Lupin_DetailedTOS1VarietyMandelupWaterTrtIrrigated</v>
      </c>
      <c r="B1834" s="2">
        <v>2023021</v>
      </c>
      <c r="C1834" s="3" t="s">
        <v>1930</v>
      </c>
      <c r="D1834" s="3" t="s">
        <v>1931</v>
      </c>
      <c r="F1834" s="3" t="s">
        <v>1939</v>
      </c>
      <c r="G1834" s="3" t="s">
        <v>39</v>
      </c>
      <c r="H1834" s="3" t="s">
        <v>253</v>
      </c>
      <c r="I1834" s="2">
        <v>11</v>
      </c>
      <c r="J1834" s="2">
        <v>6</v>
      </c>
      <c r="K1834" s="2">
        <v>1</v>
      </c>
      <c r="O1834" s="2">
        <v>2</v>
      </c>
      <c r="U1834" s="2">
        <v>2</v>
      </c>
      <c r="V1834" s="2">
        <v>6</v>
      </c>
      <c r="W1834" s="2">
        <v>2</v>
      </c>
      <c r="X1834" s="2">
        <v>3</v>
      </c>
      <c r="AA1834" s="3" t="s">
        <v>57</v>
      </c>
      <c r="AB1834" s="2">
        <v>3</v>
      </c>
      <c r="AF1834" s="2">
        <v>30</v>
      </c>
      <c r="AG1834" s="2">
        <v>1</v>
      </c>
      <c r="AH1834" s="3" t="s">
        <v>1809</v>
      </c>
      <c r="AI1834" s="4">
        <v>45042</v>
      </c>
      <c r="AJ1834" s="3" t="s">
        <v>1944</v>
      </c>
      <c r="AK1834" s="3" t="s">
        <v>1931</v>
      </c>
    </row>
    <row r="1835" spans="1:37" hidden="1" x14ac:dyDescent="0.25">
      <c r="A1835" t="str">
        <f t="shared" si="28"/>
        <v>2023_NSW_WaggaWagga_Lupin_DetailedTOS1VarietyMandelupWaterTrtIrrigated</v>
      </c>
      <c r="B1835" s="2">
        <v>2023021</v>
      </c>
      <c r="C1835" s="3" t="s">
        <v>1930</v>
      </c>
      <c r="D1835" s="3" t="s">
        <v>1931</v>
      </c>
      <c r="F1835" s="3" t="s">
        <v>1939</v>
      </c>
      <c r="G1835" s="3" t="s">
        <v>39</v>
      </c>
      <c r="H1835" s="3" t="s">
        <v>250</v>
      </c>
      <c r="I1835" s="2">
        <v>12</v>
      </c>
      <c r="J1835" s="2">
        <v>6</v>
      </c>
      <c r="K1835" s="2">
        <v>1</v>
      </c>
      <c r="O1835" s="2">
        <v>2</v>
      </c>
      <c r="U1835" s="2">
        <v>2</v>
      </c>
      <c r="V1835" s="2">
        <v>7</v>
      </c>
      <c r="W1835" s="2">
        <v>2</v>
      </c>
      <c r="X1835" s="2">
        <v>4</v>
      </c>
      <c r="Z1835" s="2">
        <v>15</v>
      </c>
      <c r="AA1835" s="3" t="s">
        <v>57</v>
      </c>
      <c r="AB1835" s="2">
        <v>3</v>
      </c>
      <c r="AF1835" s="2">
        <v>30</v>
      </c>
      <c r="AG1835" s="2">
        <v>1</v>
      </c>
      <c r="AH1835" s="3" t="s">
        <v>1809</v>
      </c>
      <c r="AI1835" s="4">
        <v>45042</v>
      </c>
      <c r="AJ1835" s="3" t="s">
        <v>1945</v>
      </c>
      <c r="AK1835" s="3" t="s">
        <v>1931</v>
      </c>
    </row>
    <row r="1836" spans="1:37" hidden="1" x14ac:dyDescent="0.25">
      <c r="A1836" t="str">
        <f t="shared" si="28"/>
        <v>2023_NSW_WaggaWagga_Lupin_DetailedTOS1VarietyWongaWaterTrtIrrigated</v>
      </c>
      <c r="B1836" s="2">
        <v>2023021</v>
      </c>
      <c r="C1836" s="3" t="s">
        <v>1930</v>
      </c>
      <c r="D1836" s="3" t="s">
        <v>1931</v>
      </c>
      <c r="F1836" s="3" t="s">
        <v>1932</v>
      </c>
      <c r="G1836" s="3" t="s">
        <v>39</v>
      </c>
      <c r="H1836" s="3" t="s">
        <v>253</v>
      </c>
      <c r="I1836" s="2">
        <v>13</v>
      </c>
      <c r="J1836" s="2">
        <v>7</v>
      </c>
      <c r="K1836" s="2">
        <v>2</v>
      </c>
      <c r="O1836" s="2">
        <v>2</v>
      </c>
      <c r="U1836" s="2">
        <v>3</v>
      </c>
      <c r="V1836" s="2">
        <v>6</v>
      </c>
      <c r="W1836" s="2">
        <v>3</v>
      </c>
      <c r="X1836" s="2">
        <v>3</v>
      </c>
      <c r="AA1836" s="3" t="s">
        <v>57</v>
      </c>
      <c r="AB1836" s="2">
        <v>4</v>
      </c>
      <c r="AF1836" s="2">
        <v>30</v>
      </c>
      <c r="AG1836" s="2">
        <v>1</v>
      </c>
      <c r="AH1836" s="3" t="s">
        <v>1809</v>
      </c>
      <c r="AI1836" s="4">
        <v>45042</v>
      </c>
      <c r="AJ1836" s="3" t="s">
        <v>1946</v>
      </c>
      <c r="AK1836" s="3" t="s">
        <v>1931</v>
      </c>
    </row>
    <row r="1837" spans="1:37" hidden="1" x14ac:dyDescent="0.25">
      <c r="A1837" t="str">
        <f t="shared" si="28"/>
        <v>2023_NSW_WaggaWagga_Lupin_DetailedTOS1VarietyWongaWaterTrtIrrigated</v>
      </c>
      <c r="B1837" s="2">
        <v>2023021</v>
      </c>
      <c r="C1837" s="3" t="s">
        <v>1930</v>
      </c>
      <c r="D1837" s="3" t="s">
        <v>1931</v>
      </c>
      <c r="F1837" s="3" t="s">
        <v>1932</v>
      </c>
      <c r="G1837" s="3" t="s">
        <v>39</v>
      </c>
      <c r="H1837" s="3" t="s">
        <v>250</v>
      </c>
      <c r="I1837" s="2">
        <v>14</v>
      </c>
      <c r="J1837" s="2">
        <v>7</v>
      </c>
      <c r="K1837" s="2">
        <v>2</v>
      </c>
      <c r="O1837" s="2">
        <v>2</v>
      </c>
      <c r="U1837" s="2">
        <v>3</v>
      </c>
      <c r="V1837" s="2">
        <v>7</v>
      </c>
      <c r="W1837" s="2">
        <v>3</v>
      </c>
      <c r="X1837" s="2">
        <v>4</v>
      </c>
      <c r="Z1837" s="2">
        <v>14</v>
      </c>
      <c r="AA1837" s="3" t="s">
        <v>57</v>
      </c>
      <c r="AB1837" s="2">
        <v>4</v>
      </c>
      <c r="AF1837" s="2">
        <v>30</v>
      </c>
      <c r="AG1837" s="2">
        <v>1</v>
      </c>
      <c r="AH1837" s="3" t="s">
        <v>1809</v>
      </c>
      <c r="AI1837" s="4">
        <v>45042</v>
      </c>
      <c r="AJ1837" s="3" t="s">
        <v>1947</v>
      </c>
      <c r="AK1837" s="3" t="s">
        <v>1931</v>
      </c>
    </row>
    <row r="1838" spans="1:37" hidden="1" x14ac:dyDescent="0.25">
      <c r="A1838" t="str">
        <f t="shared" si="28"/>
        <v>2023_NSW_WaggaWagga_Lupin_DetailedTOS1VarietyJurienWaterTrtIrrigated</v>
      </c>
      <c r="B1838" s="2">
        <v>2023021</v>
      </c>
      <c r="C1838" s="3" t="s">
        <v>1930</v>
      </c>
      <c r="D1838" s="3" t="s">
        <v>1931</v>
      </c>
      <c r="F1838" s="3" t="s">
        <v>4194</v>
      </c>
      <c r="G1838" s="3" t="s">
        <v>39</v>
      </c>
      <c r="H1838" s="3" t="s">
        <v>253</v>
      </c>
      <c r="I1838" s="2">
        <v>15</v>
      </c>
      <c r="J1838" s="2">
        <v>8</v>
      </c>
      <c r="K1838" s="2">
        <v>2</v>
      </c>
      <c r="O1838" s="2">
        <v>2</v>
      </c>
      <c r="U1838" s="2">
        <v>4</v>
      </c>
      <c r="V1838" s="2">
        <v>6</v>
      </c>
      <c r="W1838" s="2">
        <v>4</v>
      </c>
      <c r="X1838" s="2">
        <v>3</v>
      </c>
      <c r="AA1838" s="3" t="s">
        <v>57</v>
      </c>
      <c r="AB1838" s="2">
        <v>2</v>
      </c>
      <c r="AF1838" s="2">
        <v>30</v>
      </c>
      <c r="AG1838" s="2">
        <v>1</v>
      </c>
      <c r="AH1838" s="3" t="s">
        <v>1809</v>
      </c>
      <c r="AI1838" s="4">
        <v>45042</v>
      </c>
      <c r="AJ1838" s="3" t="s">
        <v>1948</v>
      </c>
      <c r="AK1838" s="3" t="s">
        <v>1931</v>
      </c>
    </row>
    <row r="1839" spans="1:37" hidden="1" x14ac:dyDescent="0.25">
      <c r="A1839" t="str">
        <f t="shared" si="28"/>
        <v>2023_NSW_WaggaWagga_Lupin_DetailedTOS1VarietyJurienWaterTrtIrrigated</v>
      </c>
      <c r="B1839" s="2">
        <v>2023021</v>
      </c>
      <c r="C1839" s="3" t="s">
        <v>1930</v>
      </c>
      <c r="D1839" s="3" t="s">
        <v>1931</v>
      </c>
      <c r="F1839" s="3" t="s">
        <v>4194</v>
      </c>
      <c r="G1839" s="3" t="s">
        <v>39</v>
      </c>
      <c r="H1839" s="3" t="s">
        <v>250</v>
      </c>
      <c r="I1839" s="2">
        <v>16</v>
      </c>
      <c r="J1839" s="2">
        <v>8</v>
      </c>
      <c r="K1839" s="2">
        <v>2</v>
      </c>
      <c r="O1839" s="2">
        <v>2</v>
      </c>
      <c r="U1839" s="2">
        <v>4</v>
      </c>
      <c r="V1839" s="2">
        <v>7</v>
      </c>
      <c r="W1839" s="2">
        <v>4</v>
      </c>
      <c r="X1839" s="2">
        <v>4</v>
      </c>
      <c r="Z1839" s="2">
        <v>13</v>
      </c>
      <c r="AA1839" s="3" t="s">
        <v>57</v>
      </c>
      <c r="AB1839" s="2">
        <v>2</v>
      </c>
      <c r="AF1839" s="2">
        <v>30</v>
      </c>
      <c r="AG1839" s="2">
        <v>1</v>
      </c>
      <c r="AH1839" s="3" t="s">
        <v>1809</v>
      </c>
      <c r="AI1839" s="4">
        <v>45042</v>
      </c>
      <c r="AJ1839" s="3" t="s">
        <v>1949</v>
      </c>
      <c r="AK1839" s="3" t="s">
        <v>1931</v>
      </c>
    </row>
    <row r="1840" spans="1:37" hidden="1" x14ac:dyDescent="0.25">
      <c r="A1840" t="str">
        <f t="shared" si="28"/>
        <v>2023_NSW_WaggaWagga_Lupin_DetailedTOS1VarietyJurienWaterTrtIrrigated</v>
      </c>
      <c r="B1840" s="2">
        <v>2023021</v>
      </c>
      <c r="C1840" s="3" t="s">
        <v>1930</v>
      </c>
      <c r="D1840" s="3" t="s">
        <v>1931</v>
      </c>
      <c r="F1840" s="3" t="s">
        <v>4194</v>
      </c>
      <c r="G1840" s="3" t="s">
        <v>39</v>
      </c>
      <c r="H1840" s="3" t="s">
        <v>253</v>
      </c>
      <c r="I1840" s="2">
        <v>17</v>
      </c>
      <c r="J1840" s="2">
        <v>9</v>
      </c>
      <c r="K1840" s="2">
        <v>1</v>
      </c>
      <c r="O1840" s="2">
        <v>3</v>
      </c>
      <c r="U1840" s="2">
        <v>1</v>
      </c>
      <c r="V1840" s="2">
        <v>10</v>
      </c>
      <c r="W1840" s="2">
        <v>1</v>
      </c>
      <c r="X1840" s="2">
        <v>5</v>
      </c>
      <c r="AA1840" s="3" t="s">
        <v>57</v>
      </c>
      <c r="AB1840" s="2">
        <v>2</v>
      </c>
      <c r="AF1840" s="2">
        <v>30</v>
      </c>
      <c r="AG1840" s="2">
        <v>1</v>
      </c>
      <c r="AH1840" s="3" t="s">
        <v>1809</v>
      </c>
      <c r="AI1840" s="4">
        <v>45042</v>
      </c>
      <c r="AJ1840" s="3" t="s">
        <v>1950</v>
      </c>
      <c r="AK1840" s="3" t="s">
        <v>1931</v>
      </c>
    </row>
    <row r="1841" spans="1:37" hidden="1" x14ac:dyDescent="0.25">
      <c r="A1841" t="str">
        <f t="shared" si="28"/>
        <v>2023_NSW_WaggaWagga_Lupin_DetailedTOS1VarietyJurienWaterTrtIrrigated</v>
      </c>
      <c r="B1841" s="2">
        <v>2023021</v>
      </c>
      <c r="C1841" s="3" t="s">
        <v>1930</v>
      </c>
      <c r="D1841" s="3" t="s">
        <v>1931</v>
      </c>
      <c r="F1841" s="3" t="s">
        <v>4194</v>
      </c>
      <c r="G1841" s="3" t="s">
        <v>39</v>
      </c>
      <c r="H1841" s="3" t="s">
        <v>250</v>
      </c>
      <c r="I1841" s="2">
        <v>18</v>
      </c>
      <c r="J1841" s="2">
        <v>9</v>
      </c>
      <c r="K1841" s="2">
        <v>1</v>
      </c>
      <c r="O1841" s="2">
        <v>3</v>
      </c>
      <c r="U1841" s="2">
        <v>1</v>
      </c>
      <c r="V1841" s="2">
        <v>11</v>
      </c>
      <c r="W1841" s="2">
        <v>1</v>
      </c>
      <c r="X1841" s="2">
        <v>6</v>
      </c>
      <c r="Z1841" s="2">
        <v>17</v>
      </c>
      <c r="AA1841" s="3" t="s">
        <v>57</v>
      </c>
      <c r="AB1841" s="2">
        <v>2</v>
      </c>
      <c r="AF1841" s="2">
        <v>30</v>
      </c>
      <c r="AG1841" s="2">
        <v>1</v>
      </c>
      <c r="AH1841" s="3" t="s">
        <v>1809</v>
      </c>
      <c r="AI1841" s="4">
        <v>45042</v>
      </c>
      <c r="AJ1841" s="3" t="s">
        <v>1951</v>
      </c>
      <c r="AK1841" s="3" t="s">
        <v>1931</v>
      </c>
    </row>
    <row r="1842" spans="1:37" hidden="1" x14ac:dyDescent="0.25">
      <c r="A1842" t="str">
        <f t="shared" si="28"/>
        <v>2023_NSW_WaggaWagga_Lupin_DetailedTOS1VarietyWongaWaterTrtIrrigated</v>
      </c>
      <c r="B1842" s="2">
        <v>2023021</v>
      </c>
      <c r="C1842" s="3" t="s">
        <v>1930</v>
      </c>
      <c r="D1842" s="3" t="s">
        <v>1931</v>
      </c>
      <c r="F1842" s="3" t="s">
        <v>1932</v>
      </c>
      <c r="G1842" s="3" t="s">
        <v>39</v>
      </c>
      <c r="H1842" s="3" t="s">
        <v>253</v>
      </c>
      <c r="I1842" s="2">
        <v>19</v>
      </c>
      <c r="J1842" s="2">
        <v>10</v>
      </c>
      <c r="K1842" s="2">
        <v>1</v>
      </c>
      <c r="O1842" s="2">
        <v>3</v>
      </c>
      <c r="U1842" s="2">
        <v>2</v>
      </c>
      <c r="V1842" s="2">
        <v>10</v>
      </c>
      <c r="W1842" s="2">
        <v>2</v>
      </c>
      <c r="X1842" s="2">
        <v>5</v>
      </c>
      <c r="AA1842" s="3" t="s">
        <v>57</v>
      </c>
      <c r="AB1842" s="2">
        <v>4</v>
      </c>
      <c r="AF1842" s="2">
        <v>30</v>
      </c>
      <c r="AG1842" s="2">
        <v>1</v>
      </c>
      <c r="AH1842" s="3" t="s">
        <v>1809</v>
      </c>
      <c r="AI1842" s="4">
        <v>45042</v>
      </c>
      <c r="AJ1842" s="3" t="s">
        <v>1952</v>
      </c>
      <c r="AK1842" s="3" t="s">
        <v>1931</v>
      </c>
    </row>
    <row r="1843" spans="1:37" hidden="1" x14ac:dyDescent="0.25">
      <c r="A1843" t="str">
        <f t="shared" si="28"/>
        <v>2023_NSW_WaggaWagga_Lupin_DetailedTOS1VarietyWongaWaterTrtIrrigated</v>
      </c>
      <c r="B1843" s="2">
        <v>2023021</v>
      </c>
      <c r="C1843" s="3" t="s">
        <v>1930</v>
      </c>
      <c r="D1843" s="3" t="s">
        <v>1931</v>
      </c>
      <c r="F1843" s="3" t="s">
        <v>1932</v>
      </c>
      <c r="G1843" s="3" t="s">
        <v>39</v>
      </c>
      <c r="H1843" s="3" t="s">
        <v>250</v>
      </c>
      <c r="I1843" s="2">
        <v>20</v>
      </c>
      <c r="J1843" s="2">
        <v>10</v>
      </c>
      <c r="K1843" s="2">
        <v>1</v>
      </c>
      <c r="O1843" s="2">
        <v>3</v>
      </c>
      <c r="U1843" s="2">
        <v>2</v>
      </c>
      <c r="V1843" s="2">
        <v>11</v>
      </c>
      <c r="W1843" s="2">
        <v>2</v>
      </c>
      <c r="X1843" s="2">
        <v>6</v>
      </c>
      <c r="Z1843" s="2">
        <v>18</v>
      </c>
      <c r="AA1843" s="3" t="s">
        <v>57</v>
      </c>
      <c r="AB1843" s="2">
        <v>4</v>
      </c>
      <c r="AF1843" s="2">
        <v>30</v>
      </c>
      <c r="AG1843" s="2">
        <v>1</v>
      </c>
      <c r="AH1843" s="3" t="s">
        <v>1809</v>
      </c>
      <c r="AI1843" s="4">
        <v>45042</v>
      </c>
      <c r="AJ1843" s="3" t="s">
        <v>1953</v>
      </c>
      <c r="AK1843" s="3" t="s">
        <v>1931</v>
      </c>
    </row>
    <row r="1844" spans="1:37" hidden="1" x14ac:dyDescent="0.25">
      <c r="A1844" t="str">
        <f t="shared" si="28"/>
        <v>2023_NSW_WaggaWagga_Lupin_DetailedTOS1VarietyMandelupWaterTrtIrrigated</v>
      </c>
      <c r="B1844" s="2">
        <v>2023021</v>
      </c>
      <c r="C1844" s="3" t="s">
        <v>1930</v>
      </c>
      <c r="D1844" s="3" t="s">
        <v>1931</v>
      </c>
      <c r="F1844" s="3" t="s">
        <v>1939</v>
      </c>
      <c r="G1844" s="3" t="s">
        <v>39</v>
      </c>
      <c r="H1844" s="3" t="s">
        <v>253</v>
      </c>
      <c r="I1844" s="2">
        <v>21</v>
      </c>
      <c r="J1844" s="2">
        <v>11</v>
      </c>
      <c r="K1844" s="2">
        <v>2</v>
      </c>
      <c r="O1844" s="2">
        <v>3</v>
      </c>
      <c r="U1844" s="2">
        <v>3</v>
      </c>
      <c r="V1844" s="2">
        <v>10</v>
      </c>
      <c r="W1844" s="2">
        <v>3</v>
      </c>
      <c r="X1844" s="2">
        <v>5</v>
      </c>
      <c r="AA1844" s="3" t="s">
        <v>57</v>
      </c>
      <c r="AB1844" s="2">
        <v>3</v>
      </c>
      <c r="AF1844" s="2">
        <v>30</v>
      </c>
      <c r="AG1844" s="2">
        <v>1</v>
      </c>
      <c r="AH1844" s="3" t="s">
        <v>1809</v>
      </c>
      <c r="AI1844" s="4">
        <v>45042</v>
      </c>
      <c r="AJ1844" s="3" t="s">
        <v>1954</v>
      </c>
      <c r="AK1844" s="3" t="s">
        <v>1931</v>
      </c>
    </row>
    <row r="1845" spans="1:37" hidden="1" x14ac:dyDescent="0.25">
      <c r="A1845" t="str">
        <f t="shared" si="28"/>
        <v>2023_NSW_WaggaWagga_Lupin_DetailedTOS1VarietyMandelupWaterTrtIrrigated</v>
      </c>
      <c r="B1845" s="2">
        <v>2023021</v>
      </c>
      <c r="C1845" s="3" t="s">
        <v>1930</v>
      </c>
      <c r="D1845" s="3" t="s">
        <v>1931</v>
      </c>
      <c r="F1845" s="3" t="s">
        <v>1939</v>
      </c>
      <c r="G1845" s="3" t="s">
        <v>39</v>
      </c>
      <c r="H1845" s="3" t="s">
        <v>250</v>
      </c>
      <c r="I1845" s="2">
        <v>22</v>
      </c>
      <c r="J1845" s="2">
        <v>11</v>
      </c>
      <c r="K1845" s="2">
        <v>2</v>
      </c>
      <c r="O1845" s="2">
        <v>3</v>
      </c>
      <c r="U1845" s="2">
        <v>3</v>
      </c>
      <c r="V1845" s="2">
        <v>11</v>
      </c>
      <c r="W1845" s="2">
        <v>3</v>
      </c>
      <c r="X1845" s="2">
        <v>6</v>
      </c>
      <c r="Z1845" s="2">
        <v>19</v>
      </c>
      <c r="AA1845" s="3" t="s">
        <v>57</v>
      </c>
      <c r="AB1845" s="2">
        <v>3</v>
      </c>
      <c r="AF1845" s="2">
        <v>30</v>
      </c>
      <c r="AG1845" s="2">
        <v>1</v>
      </c>
      <c r="AH1845" s="3" t="s">
        <v>1809</v>
      </c>
      <c r="AI1845" s="4">
        <v>45042</v>
      </c>
      <c r="AJ1845" s="3" t="s">
        <v>1955</v>
      </c>
      <c r="AK1845" s="3" t="s">
        <v>1931</v>
      </c>
    </row>
    <row r="1846" spans="1:37" hidden="1" x14ac:dyDescent="0.25">
      <c r="A1846" t="str">
        <f t="shared" si="28"/>
        <v>2023_NSW_WaggaWagga_Lupin_DetailedTOS1VarietyBatemanWaterTrtIrrigated</v>
      </c>
      <c r="B1846" s="2">
        <v>2023021</v>
      </c>
      <c r="C1846" s="3" t="s">
        <v>1930</v>
      </c>
      <c r="D1846" s="3" t="s">
        <v>1931</v>
      </c>
      <c r="F1846" s="3" t="s">
        <v>4195</v>
      </c>
      <c r="G1846" s="3" t="s">
        <v>43</v>
      </c>
      <c r="H1846" s="3" t="s">
        <v>253</v>
      </c>
      <c r="I1846" s="2">
        <v>23</v>
      </c>
      <c r="J1846" s="2">
        <v>12</v>
      </c>
      <c r="K1846" s="2">
        <v>2</v>
      </c>
      <c r="O1846" s="2">
        <v>3</v>
      </c>
      <c r="U1846" s="2">
        <v>4</v>
      </c>
      <c r="V1846" s="2">
        <v>10</v>
      </c>
      <c r="W1846" s="2">
        <v>4</v>
      </c>
      <c r="X1846" s="2">
        <v>5</v>
      </c>
      <c r="AA1846" s="3" t="s">
        <v>57</v>
      </c>
      <c r="AB1846" s="2">
        <v>1</v>
      </c>
      <c r="AF1846" s="2">
        <v>30</v>
      </c>
      <c r="AG1846" s="2">
        <v>1</v>
      </c>
      <c r="AH1846" s="3" t="s">
        <v>1809</v>
      </c>
      <c r="AI1846" s="4">
        <v>45042</v>
      </c>
      <c r="AJ1846" s="3" t="s">
        <v>1956</v>
      </c>
      <c r="AK1846" s="3" t="s">
        <v>1931</v>
      </c>
    </row>
    <row r="1847" spans="1:37" hidden="1" x14ac:dyDescent="0.25">
      <c r="A1847" t="str">
        <f t="shared" si="28"/>
        <v>2023_NSW_WaggaWagga_Lupin_DetailedTOS1VarietyBatemanWaterTrtIrrigated</v>
      </c>
      <c r="B1847" s="2">
        <v>2023021</v>
      </c>
      <c r="C1847" s="3" t="s">
        <v>1930</v>
      </c>
      <c r="D1847" s="3" t="s">
        <v>1931</v>
      </c>
      <c r="F1847" s="3" t="s">
        <v>4195</v>
      </c>
      <c r="G1847" s="3" t="s">
        <v>43</v>
      </c>
      <c r="H1847" s="3" t="s">
        <v>250</v>
      </c>
      <c r="I1847" s="2">
        <v>24</v>
      </c>
      <c r="J1847" s="2">
        <v>12</v>
      </c>
      <c r="K1847" s="2">
        <v>2</v>
      </c>
      <c r="O1847" s="2">
        <v>3</v>
      </c>
      <c r="U1847" s="2">
        <v>4</v>
      </c>
      <c r="V1847" s="2">
        <v>11</v>
      </c>
      <c r="W1847" s="2">
        <v>4</v>
      </c>
      <c r="X1847" s="2">
        <v>6</v>
      </c>
      <c r="Z1847" s="2">
        <v>20</v>
      </c>
      <c r="AA1847" s="3" t="s">
        <v>57</v>
      </c>
      <c r="AB1847" s="2">
        <v>1</v>
      </c>
      <c r="AF1847" s="2">
        <v>30</v>
      </c>
      <c r="AG1847" s="2">
        <v>1</v>
      </c>
      <c r="AH1847" s="3" t="s">
        <v>1809</v>
      </c>
      <c r="AI1847" s="4">
        <v>45042</v>
      </c>
      <c r="AJ1847" s="3" t="s">
        <v>1957</v>
      </c>
      <c r="AK1847" s="3" t="s">
        <v>1931</v>
      </c>
    </row>
    <row r="1848" spans="1:37" hidden="1" x14ac:dyDescent="0.25">
      <c r="A1848" t="str">
        <f t="shared" si="28"/>
        <v>2023_NSW_WaggaWagga_Lupin_DetailedTOS2VarietyMandelupWaterTrtIrrigated</v>
      </c>
      <c r="B1848" s="2">
        <v>2023021</v>
      </c>
      <c r="C1848" s="3" t="s">
        <v>1930</v>
      </c>
      <c r="D1848" s="3" t="s">
        <v>1931</v>
      </c>
      <c r="F1848" s="3" t="s">
        <v>1939</v>
      </c>
      <c r="G1848" s="3" t="s">
        <v>39</v>
      </c>
      <c r="H1848" s="3" t="s">
        <v>253</v>
      </c>
      <c r="I1848" s="2">
        <v>25</v>
      </c>
      <c r="J1848" s="2">
        <v>13</v>
      </c>
      <c r="K1848" s="2">
        <v>1</v>
      </c>
      <c r="O1848" s="2">
        <v>4</v>
      </c>
      <c r="U1848" s="2">
        <v>1</v>
      </c>
      <c r="V1848" s="2">
        <v>14</v>
      </c>
      <c r="W1848" s="2">
        <v>1</v>
      </c>
      <c r="X1848" s="2">
        <v>7</v>
      </c>
      <c r="AA1848" s="3" t="s">
        <v>57</v>
      </c>
      <c r="AB1848" s="2">
        <v>3</v>
      </c>
      <c r="AF1848" s="2">
        <v>30</v>
      </c>
      <c r="AG1848" s="2">
        <v>2</v>
      </c>
      <c r="AH1848" s="3" t="s">
        <v>1800</v>
      </c>
      <c r="AI1848" s="4">
        <v>45077</v>
      </c>
      <c r="AJ1848" s="3" t="s">
        <v>1958</v>
      </c>
      <c r="AK1848" s="3" t="s">
        <v>1931</v>
      </c>
    </row>
    <row r="1849" spans="1:37" hidden="1" x14ac:dyDescent="0.25">
      <c r="A1849" t="str">
        <f t="shared" si="28"/>
        <v>2023_NSW_WaggaWagga_Lupin_DetailedTOS2VarietyMandelupWaterTrtIrrigated</v>
      </c>
      <c r="B1849" s="2">
        <v>2023021</v>
      </c>
      <c r="C1849" s="3" t="s">
        <v>1930</v>
      </c>
      <c r="D1849" s="3" t="s">
        <v>1931</v>
      </c>
      <c r="F1849" s="3" t="s">
        <v>1939</v>
      </c>
      <c r="G1849" s="3" t="s">
        <v>39</v>
      </c>
      <c r="H1849" s="3" t="s">
        <v>250</v>
      </c>
      <c r="I1849" s="2">
        <v>26</v>
      </c>
      <c r="J1849" s="2">
        <v>13</v>
      </c>
      <c r="K1849" s="2">
        <v>1</v>
      </c>
      <c r="O1849" s="2">
        <v>4</v>
      </c>
      <c r="U1849" s="2">
        <v>1</v>
      </c>
      <c r="V1849" s="2">
        <v>15</v>
      </c>
      <c r="W1849" s="2">
        <v>1</v>
      </c>
      <c r="X1849" s="2">
        <v>8</v>
      </c>
      <c r="Z1849" s="2">
        <v>32</v>
      </c>
      <c r="AA1849" s="3" t="s">
        <v>57</v>
      </c>
      <c r="AB1849" s="2">
        <v>3</v>
      </c>
      <c r="AF1849" s="2">
        <v>30</v>
      </c>
      <c r="AG1849" s="2">
        <v>2</v>
      </c>
      <c r="AH1849" s="3" t="s">
        <v>1800</v>
      </c>
      <c r="AI1849" s="4">
        <v>45077</v>
      </c>
      <c r="AJ1849" s="3" t="s">
        <v>1959</v>
      </c>
      <c r="AK1849" s="3" t="s">
        <v>1931</v>
      </c>
    </row>
    <row r="1850" spans="1:37" hidden="1" x14ac:dyDescent="0.25">
      <c r="A1850" t="str">
        <f t="shared" si="28"/>
        <v>2023_NSW_WaggaWagga_Lupin_DetailedTOS2VarietyBatemanWaterTrtIrrigated</v>
      </c>
      <c r="B1850" s="2">
        <v>2023021</v>
      </c>
      <c r="C1850" s="3" t="s">
        <v>1930</v>
      </c>
      <c r="D1850" s="3" t="s">
        <v>1931</v>
      </c>
      <c r="F1850" s="3" t="s">
        <v>4195</v>
      </c>
      <c r="G1850" s="3" t="s">
        <v>43</v>
      </c>
      <c r="H1850" s="3" t="s">
        <v>253</v>
      </c>
      <c r="I1850" s="2">
        <v>27</v>
      </c>
      <c r="J1850" s="2">
        <v>14</v>
      </c>
      <c r="K1850" s="2">
        <v>1</v>
      </c>
      <c r="O1850" s="2">
        <v>4</v>
      </c>
      <c r="U1850" s="2">
        <v>2</v>
      </c>
      <c r="V1850" s="2">
        <v>14</v>
      </c>
      <c r="W1850" s="2">
        <v>2</v>
      </c>
      <c r="X1850" s="2">
        <v>7</v>
      </c>
      <c r="AA1850" s="3" t="s">
        <v>57</v>
      </c>
      <c r="AB1850" s="2">
        <v>1</v>
      </c>
      <c r="AF1850" s="2">
        <v>30</v>
      </c>
      <c r="AG1850" s="2">
        <v>2</v>
      </c>
      <c r="AH1850" s="3" t="s">
        <v>1800</v>
      </c>
      <c r="AI1850" s="4">
        <v>45077</v>
      </c>
      <c r="AJ1850" s="3" t="s">
        <v>1960</v>
      </c>
      <c r="AK1850" s="3" t="s">
        <v>1931</v>
      </c>
    </row>
    <row r="1851" spans="1:37" hidden="1" x14ac:dyDescent="0.25">
      <c r="A1851" t="str">
        <f t="shared" si="28"/>
        <v>2023_NSW_WaggaWagga_Lupin_DetailedTOS2VarietyBatemanWaterTrtIrrigated</v>
      </c>
      <c r="B1851" s="2">
        <v>2023021</v>
      </c>
      <c r="C1851" s="3" t="s">
        <v>1930</v>
      </c>
      <c r="D1851" s="3" t="s">
        <v>1931</v>
      </c>
      <c r="F1851" s="3" t="s">
        <v>4195</v>
      </c>
      <c r="G1851" s="3" t="s">
        <v>43</v>
      </c>
      <c r="H1851" s="3" t="s">
        <v>250</v>
      </c>
      <c r="I1851" s="2">
        <v>28</v>
      </c>
      <c r="J1851" s="2">
        <v>14</v>
      </c>
      <c r="K1851" s="2">
        <v>1</v>
      </c>
      <c r="O1851" s="2">
        <v>4</v>
      </c>
      <c r="U1851" s="2">
        <v>2</v>
      </c>
      <c r="V1851" s="2">
        <v>15</v>
      </c>
      <c r="W1851" s="2">
        <v>2</v>
      </c>
      <c r="X1851" s="2">
        <v>8</v>
      </c>
      <c r="Z1851" s="2">
        <v>31</v>
      </c>
      <c r="AA1851" s="3" t="s">
        <v>57</v>
      </c>
      <c r="AB1851" s="2">
        <v>1</v>
      </c>
      <c r="AF1851" s="2">
        <v>30</v>
      </c>
      <c r="AG1851" s="2">
        <v>2</v>
      </c>
      <c r="AH1851" s="3" t="s">
        <v>1800</v>
      </c>
      <c r="AI1851" s="4">
        <v>45077</v>
      </c>
      <c r="AJ1851" s="3" t="s">
        <v>1961</v>
      </c>
      <c r="AK1851" s="3" t="s">
        <v>1931</v>
      </c>
    </row>
    <row r="1852" spans="1:37" hidden="1" x14ac:dyDescent="0.25">
      <c r="A1852" t="str">
        <f t="shared" si="28"/>
        <v>2023_NSW_WaggaWagga_Lupin_DetailedTOS2VarietyJurienWaterTrtIrrigated</v>
      </c>
      <c r="B1852" s="2">
        <v>2023021</v>
      </c>
      <c r="C1852" s="3" t="s">
        <v>1930</v>
      </c>
      <c r="D1852" s="3" t="s">
        <v>1931</v>
      </c>
      <c r="F1852" s="3" t="s">
        <v>4194</v>
      </c>
      <c r="G1852" s="3" t="s">
        <v>39</v>
      </c>
      <c r="H1852" s="3" t="s">
        <v>253</v>
      </c>
      <c r="I1852" s="2">
        <v>29</v>
      </c>
      <c r="J1852" s="2">
        <v>15</v>
      </c>
      <c r="K1852" s="2">
        <v>2</v>
      </c>
      <c r="O1852" s="2">
        <v>4</v>
      </c>
      <c r="U1852" s="2">
        <v>3</v>
      </c>
      <c r="V1852" s="2">
        <v>14</v>
      </c>
      <c r="W1852" s="2">
        <v>3</v>
      </c>
      <c r="X1852" s="2">
        <v>7</v>
      </c>
      <c r="AA1852" s="3" t="s">
        <v>57</v>
      </c>
      <c r="AB1852" s="2">
        <v>2</v>
      </c>
      <c r="AF1852" s="2">
        <v>30</v>
      </c>
      <c r="AG1852" s="2">
        <v>2</v>
      </c>
      <c r="AH1852" s="3" t="s">
        <v>1800</v>
      </c>
      <c r="AI1852" s="4">
        <v>45077</v>
      </c>
      <c r="AJ1852" s="3" t="s">
        <v>1962</v>
      </c>
      <c r="AK1852" s="3" t="s">
        <v>1931</v>
      </c>
    </row>
    <row r="1853" spans="1:37" hidden="1" x14ac:dyDescent="0.25">
      <c r="A1853" t="str">
        <f t="shared" si="28"/>
        <v>2023_NSW_WaggaWagga_Lupin_DetailedTOS2VarietyJurienWaterTrtIrrigated</v>
      </c>
      <c r="B1853" s="2">
        <v>2023021</v>
      </c>
      <c r="C1853" s="3" t="s">
        <v>1930</v>
      </c>
      <c r="D1853" s="3" t="s">
        <v>1931</v>
      </c>
      <c r="F1853" s="3" t="s">
        <v>4194</v>
      </c>
      <c r="G1853" s="3" t="s">
        <v>39</v>
      </c>
      <c r="H1853" s="3" t="s">
        <v>250</v>
      </c>
      <c r="I1853" s="2">
        <v>30</v>
      </c>
      <c r="J1853" s="2">
        <v>15</v>
      </c>
      <c r="K1853" s="2">
        <v>2</v>
      </c>
      <c r="O1853" s="2">
        <v>4</v>
      </c>
      <c r="U1853" s="2">
        <v>3</v>
      </c>
      <c r="V1853" s="2">
        <v>15</v>
      </c>
      <c r="W1853" s="2">
        <v>3</v>
      </c>
      <c r="X1853" s="2">
        <v>8</v>
      </c>
      <c r="Z1853" s="2">
        <v>30</v>
      </c>
      <c r="AA1853" s="3" t="s">
        <v>57</v>
      </c>
      <c r="AB1853" s="2">
        <v>2</v>
      </c>
      <c r="AF1853" s="2">
        <v>30</v>
      </c>
      <c r="AG1853" s="2">
        <v>2</v>
      </c>
      <c r="AH1853" s="3" t="s">
        <v>1800</v>
      </c>
      <c r="AI1853" s="4">
        <v>45077</v>
      </c>
      <c r="AJ1853" s="3" t="s">
        <v>1963</v>
      </c>
      <c r="AK1853" s="3" t="s">
        <v>1931</v>
      </c>
    </row>
    <row r="1854" spans="1:37" hidden="1" x14ac:dyDescent="0.25">
      <c r="A1854" t="str">
        <f t="shared" si="28"/>
        <v>2023_NSW_WaggaWagga_Lupin_DetailedTOS2VarietyWongaWaterTrtIrrigated</v>
      </c>
      <c r="B1854" s="2">
        <v>2023021</v>
      </c>
      <c r="C1854" s="3" t="s">
        <v>1930</v>
      </c>
      <c r="D1854" s="3" t="s">
        <v>1931</v>
      </c>
      <c r="F1854" s="3" t="s">
        <v>1932</v>
      </c>
      <c r="G1854" s="3" t="s">
        <v>39</v>
      </c>
      <c r="H1854" s="3" t="s">
        <v>253</v>
      </c>
      <c r="I1854" s="2">
        <v>31</v>
      </c>
      <c r="J1854" s="2">
        <v>16</v>
      </c>
      <c r="K1854" s="2">
        <v>2</v>
      </c>
      <c r="O1854" s="2">
        <v>4</v>
      </c>
      <c r="U1854" s="2">
        <v>4</v>
      </c>
      <c r="V1854" s="2">
        <v>14</v>
      </c>
      <c r="W1854" s="2">
        <v>4</v>
      </c>
      <c r="X1854" s="2">
        <v>7</v>
      </c>
      <c r="AA1854" s="3" t="s">
        <v>57</v>
      </c>
      <c r="AB1854" s="2">
        <v>4</v>
      </c>
      <c r="AF1854" s="2">
        <v>30</v>
      </c>
      <c r="AG1854" s="2">
        <v>2</v>
      </c>
      <c r="AH1854" s="3" t="s">
        <v>1800</v>
      </c>
      <c r="AI1854" s="4">
        <v>45077</v>
      </c>
      <c r="AJ1854" s="3" t="s">
        <v>1964</v>
      </c>
      <c r="AK1854" s="3" t="s">
        <v>1931</v>
      </c>
    </row>
    <row r="1855" spans="1:37" hidden="1" x14ac:dyDescent="0.25">
      <c r="A1855" t="str">
        <f t="shared" si="28"/>
        <v>2023_NSW_WaggaWagga_Lupin_DetailedTOS2VarietyWongaWaterTrtIrrigated</v>
      </c>
      <c r="B1855" s="2">
        <v>2023021</v>
      </c>
      <c r="C1855" s="3" t="s">
        <v>1930</v>
      </c>
      <c r="D1855" s="3" t="s">
        <v>1931</v>
      </c>
      <c r="F1855" s="3" t="s">
        <v>1932</v>
      </c>
      <c r="G1855" s="3" t="s">
        <v>39</v>
      </c>
      <c r="H1855" s="3" t="s">
        <v>250</v>
      </c>
      <c r="I1855" s="2">
        <v>32</v>
      </c>
      <c r="J1855" s="2">
        <v>16</v>
      </c>
      <c r="K1855" s="2">
        <v>2</v>
      </c>
      <c r="O1855" s="2">
        <v>4</v>
      </c>
      <c r="U1855" s="2">
        <v>4</v>
      </c>
      <c r="V1855" s="2">
        <v>15</v>
      </c>
      <c r="W1855" s="2">
        <v>4</v>
      </c>
      <c r="X1855" s="2">
        <v>8</v>
      </c>
      <c r="Z1855" s="2">
        <v>29</v>
      </c>
      <c r="AA1855" s="3" t="s">
        <v>57</v>
      </c>
      <c r="AB1855" s="2">
        <v>4</v>
      </c>
      <c r="AF1855" s="2">
        <v>30</v>
      </c>
      <c r="AG1855" s="2">
        <v>2</v>
      </c>
      <c r="AH1855" s="3" t="s">
        <v>1800</v>
      </c>
      <c r="AI1855" s="4">
        <v>45077</v>
      </c>
      <c r="AJ1855" s="3" t="s">
        <v>1965</v>
      </c>
      <c r="AK1855" s="3" t="s">
        <v>1931</v>
      </c>
    </row>
    <row r="1856" spans="1:37" hidden="1" x14ac:dyDescent="0.25">
      <c r="A1856" t="str">
        <f t="shared" si="28"/>
        <v>2023_NSW_WaggaWagga_Lupin_DetailedTOS2VarietyJurienWaterTrtRainFed</v>
      </c>
      <c r="B1856" s="2">
        <v>2023021</v>
      </c>
      <c r="C1856" s="3" t="s">
        <v>1930</v>
      </c>
      <c r="D1856" s="3" t="s">
        <v>1931</v>
      </c>
      <c r="F1856" s="3" t="s">
        <v>4194</v>
      </c>
      <c r="G1856" s="3" t="s">
        <v>39</v>
      </c>
      <c r="H1856" s="3" t="s">
        <v>253</v>
      </c>
      <c r="I1856" s="2">
        <v>33</v>
      </c>
      <c r="J1856" s="2">
        <v>17</v>
      </c>
      <c r="K1856" s="2">
        <v>1</v>
      </c>
      <c r="O1856" s="2">
        <v>5</v>
      </c>
      <c r="U1856" s="2">
        <v>1</v>
      </c>
      <c r="V1856" s="2">
        <v>18</v>
      </c>
      <c r="W1856" s="2">
        <v>1</v>
      </c>
      <c r="X1856" s="2">
        <v>9</v>
      </c>
      <c r="AA1856" s="3" t="s">
        <v>40</v>
      </c>
      <c r="AB1856" s="2">
        <v>2</v>
      </c>
      <c r="AF1856" s="2">
        <v>30</v>
      </c>
      <c r="AG1856" s="2">
        <v>2</v>
      </c>
      <c r="AH1856" s="3" t="s">
        <v>1800</v>
      </c>
      <c r="AI1856" s="4">
        <v>45077</v>
      </c>
      <c r="AJ1856" s="3" t="s">
        <v>1966</v>
      </c>
      <c r="AK1856" s="3" t="s">
        <v>1931</v>
      </c>
    </row>
    <row r="1857" spans="1:37" hidden="1" x14ac:dyDescent="0.25">
      <c r="A1857" t="str">
        <f t="shared" si="28"/>
        <v>2023_NSW_WaggaWagga_Lupin_DetailedTOS2VarietyJurienWaterTrtRainFed</v>
      </c>
      <c r="B1857" s="2">
        <v>2023021</v>
      </c>
      <c r="C1857" s="3" t="s">
        <v>1930</v>
      </c>
      <c r="D1857" s="3" t="s">
        <v>1931</v>
      </c>
      <c r="F1857" s="3" t="s">
        <v>4194</v>
      </c>
      <c r="G1857" s="3" t="s">
        <v>39</v>
      </c>
      <c r="H1857" s="3" t="s">
        <v>250</v>
      </c>
      <c r="I1857" s="2">
        <v>34</v>
      </c>
      <c r="J1857" s="2">
        <v>17</v>
      </c>
      <c r="K1857" s="2">
        <v>1</v>
      </c>
      <c r="O1857" s="2">
        <v>5</v>
      </c>
      <c r="U1857" s="2">
        <v>1</v>
      </c>
      <c r="V1857" s="2">
        <v>19</v>
      </c>
      <c r="W1857" s="2">
        <v>1</v>
      </c>
      <c r="X1857" s="2">
        <v>10</v>
      </c>
      <c r="Z1857" s="2">
        <v>33</v>
      </c>
      <c r="AA1857" s="3" t="s">
        <v>40</v>
      </c>
      <c r="AB1857" s="2">
        <v>2</v>
      </c>
      <c r="AF1857" s="2">
        <v>30</v>
      </c>
      <c r="AG1857" s="2">
        <v>2</v>
      </c>
      <c r="AH1857" s="3" t="s">
        <v>1800</v>
      </c>
      <c r="AI1857" s="4">
        <v>45077</v>
      </c>
      <c r="AJ1857" s="3" t="s">
        <v>1967</v>
      </c>
      <c r="AK1857" s="3" t="s">
        <v>1931</v>
      </c>
    </row>
    <row r="1858" spans="1:37" hidden="1" x14ac:dyDescent="0.25">
      <c r="A1858" t="str">
        <f t="shared" si="28"/>
        <v>2023_NSW_WaggaWagga_Lupin_DetailedTOS2VarietyMandelupWaterTrtRainFed</v>
      </c>
      <c r="B1858" s="2">
        <v>2023021</v>
      </c>
      <c r="C1858" s="3" t="s">
        <v>1930</v>
      </c>
      <c r="D1858" s="3" t="s">
        <v>1931</v>
      </c>
      <c r="F1858" s="3" t="s">
        <v>1939</v>
      </c>
      <c r="G1858" s="3" t="s">
        <v>39</v>
      </c>
      <c r="H1858" s="3" t="s">
        <v>253</v>
      </c>
      <c r="I1858" s="2">
        <v>35</v>
      </c>
      <c r="J1858" s="2">
        <v>18</v>
      </c>
      <c r="K1858" s="2">
        <v>1</v>
      </c>
      <c r="O1858" s="2">
        <v>5</v>
      </c>
      <c r="U1858" s="2">
        <v>2</v>
      </c>
      <c r="V1858" s="2">
        <v>18</v>
      </c>
      <c r="W1858" s="2">
        <v>2</v>
      </c>
      <c r="X1858" s="2">
        <v>9</v>
      </c>
      <c r="AA1858" s="3" t="s">
        <v>40</v>
      </c>
      <c r="AB1858" s="2">
        <v>3</v>
      </c>
      <c r="AF1858" s="2">
        <v>30</v>
      </c>
      <c r="AG1858" s="2">
        <v>2</v>
      </c>
      <c r="AH1858" s="3" t="s">
        <v>1800</v>
      </c>
      <c r="AI1858" s="4">
        <v>45077</v>
      </c>
      <c r="AJ1858" s="3" t="s">
        <v>1968</v>
      </c>
      <c r="AK1858" s="3" t="s">
        <v>1931</v>
      </c>
    </row>
    <row r="1859" spans="1:37" hidden="1" x14ac:dyDescent="0.25">
      <c r="A1859" t="str">
        <f t="shared" ref="A1859:A1922" si="29">C1859&amp;"TOS"&amp;AG1859&amp;"Variety"&amp;F1859&amp;"WaterTrt"&amp;AA1859&amp;IF(AC1859="","","Agronomy"&amp;AC1859)</f>
        <v>2023_NSW_WaggaWagga_Lupin_DetailedTOS2VarietyMandelupWaterTrtRainFed</v>
      </c>
      <c r="B1859" s="2">
        <v>2023021</v>
      </c>
      <c r="C1859" s="3" t="s">
        <v>1930</v>
      </c>
      <c r="D1859" s="3" t="s">
        <v>1931</v>
      </c>
      <c r="F1859" s="3" t="s">
        <v>1939</v>
      </c>
      <c r="G1859" s="3" t="s">
        <v>39</v>
      </c>
      <c r="H1859" s="3" t="s">
        <v>250</v>
      </c>
      <c r="I1859" s="2">
        <v>36</v>
      </c>
      <c r="J1859" s="2">
        <v>18</v>
      </c>
      <c r="K1859" s="2">
        <v>1</v>
      </c>
      <c r="O1859" s="2">
        <v>5</v>
      </c>
      <c r="U1859" s="2">
        <v>2</v>
      </c>
      <c r="V1859" s="2">
        <v>19</v>
      </c>
      <c r="W1859" s="2">
        <v>2</v>
      </c>
      <c r="X1859" s="2">
        <v>10</v>
      </c>
      <c r="Z1859" s="2">
        <v>34</v>
      </c>
      <c r="AA1859" s="3" t="s">
        <v>40</v>
      </c>
      <c r="AB1859" s="2">
        <v>3</v>
      </c>
      <c r="AF1859" s="2">
        <v>30</v>
      </c>
      <c r="AG1859" s="2">
        <v>2</v>
      </c>
      <c r="AH1859" s="3" t="s">
        <v>1800</v>
      </c>
      <c r="AI1859" s="4">
        <v>45077</v>
      </c>
      <c r="AJ1859" s="3" t="s">
        <v>1969</v>
      </c>
      <c r="AK1859" s="3" t="s">
        <v>1931</v>
      </c>
    </row>
    <row r="1860" spans="1:37" hidden="1" x14ac:dyDescent="0.25">
      <c r="A1860" t="str">
        <f t="shared" si="29"/>
        <v>2023_NSW_WaggaWagga_Lupin_DetailedTOS2VarietyWongaWaterTrtRainFed</v>
      </c>
      <c r="B1860" s="2">
        <v>2023021</v>
      </c>
      <c r="C1860" s="3" t="s">
        <v>1930</v>
      </c>
      <c r="D1860" s="3" t="s">
        <v>1931</v>
      </c>
      <c r="F1860" s="3" t="s">
        <v>1932</v>
      </c>
      <c r="G1860" s="3" t="s">
        <v>39</v>
      </c>
      <c r="H1860" s="3" t="s">
        <v>253</v>
      </c>
      <c r="I1860" s="2">
        <v>37</v>
      </c>
      <c r="J1860" s="2">
        <v>19</v>
      </c>
      <c r="K1860" s="2">
        <v>2</v>
      </c>
      <c r="O1860" s="2">
        <v>5</v>
      </c>
      <c r="U1860" s="2">
        <v>3</v>
      </c>
      <c r="V1860" s="2">
        <v>18</v>
      </c>
      <c r="W1860" s="2">
        <v>3</v>
      </c>
      <c r="X1860" s="2">
        <v>9</v>
      </c>
      <c r="AA1860" s="3" t="s">
        <v>40</v>
      </c>
      <c r="AB1860" s="2">
        <v>4</v>
      </c>
      <c r="AF1860" s="2">
        <v>30</v>
      </c>
      <c r="AG1860" s="2">
        <v>2</v>
      </c>
      <c r="AH1860" s="3" t="s">
        <v>1800</v>
      </c>
      <c r="AI1860" s="4">
        <v>45077</v>
      </c>
      <c r="AJ1860" s="3" t="s">
        <v>1970</v>
      </c>
      <c r="AK1860" s="3" t="s">
        <v>1931</v>
      </c>
    </row>
    <row r="1861" spans="1:37" hidden="1" x14ac:dyDescent="0.25">
      <c r="A1861" t="str">
        <f t="shared" si="29"/>
        <v>2023_NSW_WaggaWagga_Lupin_DetailedTOS2VarietyWongaWaterTrtRainFed</v>
      </c>
      <c r="B1861" s="2">
        <v>2023021</v>
      </c>
      <c r="C1861" s="3" t="s">
        <v>1930</v>
      </c>
      <c r="D1861" s="3" t="s">
        <v>1931</v>
      </c>
      <c r="F1861" s="3" t="s">
        <v>1932</v>
      </c>
      <c r="G1861" s="3" t="s">
        <v>39</v>
      </c>
      <c r="H1861" s="3" t="s">
        <v>250</v>
      </c>
      <c r="I1861" s="2">
        <v>38</v>
      </c>
      <c r="J1861" s="2">
        <v>19</v>
      </c>
      <c r="K1861" s="2">
        <v>2</v>
      </c>
      <c r="O1861" s="2">
        <v>5</v>
      </c>
      <c r="U1861" s="2">
        <v>3</v>
      </c>
      <c r="V1861" s="2">
        <v>19</v>
      </c>
      <c r="W1861" s="2">
        <v>3</v>
      </c>
      <c r="X1861" s="2">
        <v>10</v>
      </c>
      <c r="Z1861" s="2">
        <v>35</v>
      </c>
      <c r="AA1861" s="3" t="s">
        <v>40</v>
      </c>
      <c r="AB1861" s="2">
        <v>4</v>
      </c>
      <c r="AF1861" s="2">
        <v>30</v>
      </c>
      <c r="AG1861" s="2">
        <v>2</v>
      </c>
      <c r="AH1861" s="3" t="s">
        <v>1800</v>
      </c>
      <c r="AI1861" s="4">
        <v>45077</v>
      </c>
      <c r="AJ1861" s="3" t="s">
        <v>1971</v>
      </c>
      <c r="AK1861" s="3" t="s">
        <v>1931</v>
      </c>
    </row>
    <row r="1862" spans="1:37" hidden="1" x14ac:dyDescent="0.25">
      <c r="A1862" t="str">
        <f t="shared" si="29"/>
        <v>2023_NSW_WaggaWagga_Lupin_DetailedTOS2VarietyBatemanWaterTrtRainFed</v>
      </c>
      <c r="B1862" s="2">
        <v>2023021</v>
      </c>
      <c r="C1862" s="3" t="s">
        <v>1930</v>
      </c>
      <c r="D1862" s="3" t="s">
        <v>1931</v>
      </c>
      <c r="F1862" s="3" t="s">
        <v>4195</v>
      </c>
      <c r="G1862" s="3" t="s">
        <v>43</v>
      </c>
      <c r="H1862" s="3" t="s">
        <v>253</v>
      </c>
      <c r="I1862" s="2">
        <v>39</v>
      </c>
      <c r="J1862" s="2">
        <v>20</v>
      </c>
      <c r="K1862" s="2">
        <v>2</v>
      </c>
      <c r="O1862" s="2">
        <v>5</v>
      </c>
      <c r="U1862" s="2">
        <v>4</v>
      </c>
      <c r="V1862" s="2">
        <v>18</v>
      </c>
      <c r="W1862" s="2">
        <v>4</v>
      </c>
      <c r="X1862" s="2">
        <v>9</v>
      </c>
      <c r="AA1862" s="3" t="s">
        <v>40</v>
      </c>
      <c r="AB1862" s="2">
        <v>1</v>
      </c>
      <c r="AF1862" s="2">
        <v>30</v>
      </c>
      <c r="AG1862" s="2">
        <v>2</v>
      </c>
      <c r="AH1862" s="3" t="s">
        <v>1800</v>
      </c>
      <c r="AI1862" s="4">
        <v>45077</v>
      </c>
      <c r="AJ1862" s="3" t="s">
        <v>1972</v>
      </c>
      <c r="AK1862" s="3" t="s">
        <v>1931</v>
      </c>
    </row>
    <row r="1863" spans="1:37" hidden="1" x14ac:dyDescent="0.25">
      <c r="A1863" t="str">
        <f t="shared" si="29"/>
        <v>2023_NSW_WaggaWagga_Lupin_DetailedTOS2VarietyBatemanWaterTrtRainFed</v>
      </c>
      <c r="B1863" s="2">
        <v>2023021</v>
      </c>
      <c r="C1863" s="3" t="s">
        <v>1930</v>
      </c>
      <c r="D1863" s="3" t="s">
        <v>1931</v>
      </c>
      <c r="F1863" s="3" t="s">
        <v>4195</v>
      </c>
      <c r="G1863" s="3" t="s">
        <v>43</v>
      </c>
      <c r="H1863" s="3" t="s">
        <v>250</v>
      </c>
      <c r="I1863" s="2">
        <v>40</v>
      </c>
      <c r="J1863" s="2">
        <v>20</v>
      </c>
      <c r="K1863" s="2">
        <v>2</v>
      </c>
      <c r="O1863" s="2">
        <v>5</v>
      </c>
      <c r="U1863" s="2">
        <v>4</v>
      </c>
      <c r="V1863" s="2">
        <v>19</v>
      </c>
      <c r="W1863" s="2">
        <v>4</v>
      </c>
      <c r="X1863" s="2">
        <v>10</v>
      </c>
      <c r="Z1863" s="2">
        <v>36</v>
      </c>
      <c r="AA1863" s="3" t="s">
        <v>40</v>
      </c>
      <c r="AB1863" s="2">
        <v>1</v>
      </c>
      <c r="AF1863" s="2">
        <v>30</v>
      </c>
      <c r="AG1863" s="2">
        <v>2</v>
      </c>
      <c r="AH1863" s="3" t="s">
        <v>1800</v>
      </c>
      <c r="AI1863" s="4">
        <v>45077</v>
      </c>
      <c r="AJ1863" s="3" t="s">
        <v>1973</v>
      </c>
      <c r="AK1863" s="3" t="s">
        <v>1931</v>
      </c>
    </row>
    <row r="1864" spans="1:37" hidden="1" x14ac:dyDescent="0.25">
      <c r="A1864" t="str">
        <f t="shared" si="29"/>
        <v>2023_NSW_WaggaWagga_Lupin_DetailedTOS1VarietyMandelupWaterTrtRainFed</v>
      </c>
      <c r="B1864" s="2">
        <v>2023021</v>
      </c>
      <c r="C1864" s="3" t="s">
        <v>1930</v>
      </c>
      <c r="D1864" s="3" t="s">
        <v>1931</v>
      </c>
      <c r="F1864" s="3" t="s">
        <v>1939</v>
      </c>
      <c r="G1864" s="3" t="s">
        <v>39</v>
      </c>
      <c r="H1864" s="3" t="s">
        <v>253</v>
      </c>
      <c r="I1864" s="2">
        <v>41</v>
      </c>
      <c r="J1864" s="2">
        <v>21</v>
      </c>
      <c r="K1864" s="2">
        <v>1</v>
      </c>
      <c r="O1864" s="2">
        <v>6</v>
      </c>
      <c r="U1864" s="2">
        <v>1</v>
      </c>
      <c r="V1864" s="2">
        <v>22</v>
      </c>
      <c r="W1864" s="2">
        <v>1</v>
      </c>
      <c r="X1864" s="2">
        <v>11</v>
      </c>
      <c r="AA1864" s="3" t="s">
        <v>40</v>
      </c>
      <c r="AB1864" s="2">
        <v>3</v>
      </c>
      <c r="AF1864" s="2">
        <v>30</v>
      </c>
      <c r="AG1864" s="2">
        <v>1</v>
      </c>
      <c r="AH1864" s="3" t="s">
        <v>1809</v>
      </c>
      <c r="AI1864" s="4">
        <v>45042</v>
      </c>
      <c r="AJ1864" s="3" t="s">
        <v>1974</v>
      </c>
      <c r="AK1864" s="3" t="s">
        <v>1931</v>
      </c>
    </row>
    <row r="1865" spans="1:37" hidden="1" x14ac:dyDescent="0.25">
      <c r="A1865" t="str">
        <f t="shared" si="29"/>
        <v>2023_NSW_WaggaWagga_Lupin_DetailedTOS1VarietyMandelupWaterTrtRainFed</v>
      </c>
      <c r="B1865" s="2">
        <v>2023021</v>
      </c>
      <c r="C1865" s="3" t="s">
        <v>1930</v>
      </c>
      <c r="D1865" s="3" t="s">
        <v>1931</v>
      </c>
      <c r="F1865" s="3" t="s">
        <v>1939</v>
      </c>
      <c r="G1865" s="3" t="s">
        <v>39</v>
      </c>
      <c r="H1865" s="3" t="s">
        <v>250</v>
      </c>
      <c r="I1865" s="2">
        <v>42</v>
      </c>
      <c r="J1865" s="2">
        <v>21</v>
      </c>
      <c r="K1865" s="2">
        <v>1</v>
      </c>
      <c r="O1865" s="2">
        <v>6</v>
      </c>
      <c r="U1865" s="2">
        <v>1</v>
      </c>
      <c r="V1865" s="2">
        <v>23</v>
      </c>
      <c r="W1865" s="2">
        <v>1</v>
      </c>
      <c r="X1865" s="2">
        <v>12</v>
      </c>
      <c r="Z1865" s="2">
        <v>48</v>
      </c>
      <c r="AA1865" s="3" t="s">
        <v>40</v>
      </c>
      <c r="AB1865" s="2">
        <v>3</v>
      </c>
      <c r="AF1865" s="2">
        <v>30</v>
      </c>
      <c r="AG1865" s="2">
        <v>1</v>
      </c>
      <c r="AH1865" s="3" t="s">
        <v>1809</v>
      </c>
      <c r="AI1865" s="4">
        <v>45042</v>
      </c>
      <c r="AJ1865" s="3" t="s">
        <v>1975</v>
      </c>
      <c r="AK1865" s="3" t="s">
        <v>1931</v>
      </c>
    </row>
    <row r="1866" spans="1:37" hidden="1" x14ac:dyDescent="0.25">
      <c r="A1866" t="str">
        <f t="shared" si="29"/>
        <v>2023_NSW_WaggaWagga_Lupin_DetailedTOS1VarietyBatemanWaterTrtRainFed</v>
      </c>
      <c r="B1866" s="2">
        <v>2023021</v>
      </c>
      <c r="C1866" s="3" t="s">
        <v>1930</v>
      </c>
      <c r="D1866" s="3" t="s">
        <v>1931</v>
      </c>
      <c r="F1866" s="3" t="s">
        <v>4195</v>
      </c>
      <c r="G1866" s="3" t="s">
        <v>43</v>
      </c>
      <c r="H1866" s="3" t="s">
        <v>253</v>
      </c>
      <c r="I1866" s="2">
        <v>43</v>
      </c>
      <c r="J1866" s="2">
        <v>22</v>
      </c>
      <c r="K1866" s="2">
        <v>1</v>
      </c>
      <c r="O1866" s="2">
        <v>6</v>
      </c>
      <c r="U1866" s="2">
        <v>2</v>
      </c>
      <c r="V1866" s="2">
        <v>22</v>
      </c>
      <c r="W1866" s="2">
        <v>2</v>
      </c>
      <c r="X1866" s="2">
        <v>11</v>
      </c>
      <c r="AA1866" s="3" t="s">
        <v>40</v>
      </c>
      <c r="AB1866" s="2">
        <v>1</v>
      </c>
      <c r="AF1866" s="2">
        <v>30</v>
      </c>
      <c r="AG1866" s="2">
        <v>1</v>
      </c>
      <c r="AH1866" s="3" t="s">
        <v>1809</v>
      </c>
      <c r="AI1866" s="4">
        <v>45042</v>
      </c>
      <c r="AJ1866" s="3" t="s">
        <v>1976</v>
      </c>
      <c r="AK1866" s="3" t="s">
        <v>1931</v>
      </c>
    </row>
    <row r="1867" spans="1:37" hidden="1" x14ac:dyDescent="0.25">
      <c r="A1867" t="str">
        <f t="shared" si="29"/>
        <v>2023_NSW_WaggaWagga_Lupin_DetailedTOS1VarietyBatemanWaterTrtRainFed</v>
      </c>
      <c r="B1867" s="2">
        <v>2023021</v>
      </c>
      <c r="C1867" s="3" t="s">
        <v>1930</v>
      </c>
      <c r="D1867" s="3" t="s">
        <v>1931</v>
      </c>
      <c r="F1867" s="3" t="s">
        <v>4195</v>
      </c>
      <c r="G1867" s="3" t="s">
        <v>43</v>
      </c>
      <c r="H1867" s="3" t="s">
        <v>250</v>
      </c>
      <c r="I1867" s="2">
        <v>44</v>
      </c>
      <c r="J1867" s="2">
        <v>22</v>
      </c>
      <c r="K1867" s="2">
        <v>1</v>
      </c>
      <c r="O1867" s="2">
        <v>6</v>
      </c>
      <c r="U1867" s="2">
        <v>2</v>
      </c>
      <c r="V1867" s="2">
        <v>23</v>
      </c>
      <c r="W1867" s="2">
        <v>2</v>
      </c>
      <c r="X1867" s="2">
        <v>12</v>
      </c>
      <c r="Z1867" s="2">
        <v>47</v>
      </c>
      <c r="AA1867" s="3" t="s">
        <v>40</v>
      </c>
      <c r="AB1867" s="2">
        <v>1</v>
      </c>
      <c r="AF1867" s="2">
        <v>30</v>
      </c>
      <c r="AG1867" s="2">
        <v>1</v>
      </c>
      <c r="AH1867" s="3" t="s">
        <v>1809</v>
      </c>
      <c r="AI1867" s="4">
        <v>45042</v>
      </c>
      <c r="AJ1867" s="3" t="s">
        <v>1977</v>
      </c>
      <c r="AK1867" s="3" t="s">
        <v>1931</v>
      </c>
    </row>
    <row r="1868" spans="1:37" hidden="1" x14ac:dyDescent="0.25">
      <c r="A1868" t="str">
        <f t="shared" si="29"/>
        <v>2023_NSW_WaggaWagga_Lupin_DetailedTOS1VarietyJurienWaterTrtRainFed</v>
      </c>
      <c r="B1868" s="2">
        <v>2023021</v>
      </c>
      <c r="C1868" s="3" t="s">
        <v>1930</v>
      </c>
      <c r="D1868" s="3" t="s">
        <v>1931</v>
      </c>
      <c r="F1868" s="3" t="s">
        <v>4194</v>
      </c>
      <c r="G1868" s="3" t="s">
        <v>39</v>
      </c>
      <c r="H1868" s="3" t="s">
        <v>253</v>
      </c>
      <c r="I1868" s="2">
        <v>45</v>
      </c>
      <c r="J1868" s="2">
        <v>23</v>
      </c>
      <c r="K1868" s="2">
        <v>2</v>
      </c>
      <c r="O1868" s="2">
        <v>6</v>
      </c>
      <c r="U1868" s="2">
        <v>3</v>
      </c>
      <c r="V1868" s="2">
        <v>22</v>
      </c>
      <c r="W1868" s="2">
        <v>3</v>
      </c>
      <c r="X1868" s="2">
        <v>11</v>
      </c>
      <c r="AA1868" s="3" t="s">
        <v>40</v>
      </c>
      <c r="AB1868" s="2">
        <v>2</v>
      </c>
      <c r="AF1868" s="2">
        <v>30</v>
      </c>
      <c r="AG1868" s="2">
        <v>1</v>
      </c>
      <c r="AH1868" s="3" t="s">
        <v>1809</v>
      </c>
      <c r="AI1868" s="4">
        <v>45042</v>
      </c>
      <c r="AJ1868" s="3" t="s">
        <v>1978</v>
      </c>
      <c r="AK1868" s="3" t="s">
        <v>1931</v>
      </c>
    </row>
    <row r="1869" spans="1:37" hidden="1" x14ac:dyDescent="0.25">
      <c r="A1869" t="str">
        <f t="shared" si="29"/>
        <v>2023_NSW_WaggaWagga_Lupin_DetailedTOS1VarietyJurienWaterTrtRainFed</v>
      </c>
      <c r="B1869" s="2">
        <v>2023021</v>
      </c>
      <c r="C1869" s="3" t="s">
        <v>1930</v>
      </c>
      <c r="D1869" s="3" t="s">
        <v>1931</v>
      </c>
      <c r="F1869" s="3" t="s">
        <v>4194</v>
      </c>
      <c r="G1869" s="3" t="s">
        <v>39</v>
      </c>
      <c r="H1869" s="3" t="s">
        <v>250</v>
      </c>
      <c r="I1869" s="2">
        <v>46</v>
      </c>
      <c r="J1869" s="2">
        <v>23</v>
      </c>
      <c r="K1869" s="2">
        <v>2</v>
      </c>
      <c r="O1869" s="2">
        <v>6</v>
      </c>
      <c r="U1869" s="2">
        <v>3</v>
      </c>
      <c r="V1869" s="2">
        <v>23</v>
      </c>
      <c r="W1869" s="2">
        <v>3</v>
      </c>
      <c r="X1869" s="2">
        <v>12</v>
      </c>
      <c r="Z1869" s="2">
        <v>46</v>
      </c>
      <c r="AA1869" s="3" t="s">
        <v>40</v>
      </c>
      <c r="AB1869" s="2">
        <v>2</v>
      </c>
      <c r="AF1869" s="2">
        <v>30</v>
      </c>
      <c r="AG1869" s="2">
        <v>1</v>
      </c>
      <c r="AH1869" s="3" t="s">
        <v>1809</v>
      </c>
      <c r="AI1869" s="4">
        <v>45042</v>
      </c>
      <c r="AJ1869" s="3" t="s">
        <v>1979</v>
      </c>
      <c r="AK1869" s="3" t="s">
        <v>1931</v>
      </c>
    </row>
    <row r="1870" spans="1:37" hidden="1" x14ac:dyDescent="0.25">
      <c r="A1870" t="str">
        <f t="shared" si="29"/>
        <v>2023_NSW_WaggaWagga_Lupin_DetailedTOS1VarietyWongaWaterTrtRainFed</v>
      </c>
      <c r="B1870" s="2">
        <v>2023021</v>
      </c>
      <c r="C1870" s="3" t="s">
        <v>1930</v>
      </c>
      <c r="D1870" s="3" t="s">
        <v>1931</v>
      </c>
      <c r="F1870" s="3" t="s">
        <v>1932</v>
      </c>
      <c r="G1870" s="3" t="s">
        <v>39</v>
      </c>
      <c r="H1870" s="3" t="s">
        <v>253</v>
      </c>
      <c r="I1870" s="2">
        <v>47</v>
      </c>
      <c r="J1870" s="2">
        <v>24</v>
      </c>
      <c r="K1870" s="2">
        <v>2</v>
      </c>
      <c r="O1870" s="2">
        <v>6</v>
      </c>
      <c r="U1870" s="2">
        <v>4</v>
      </c>
      <c r="V1870" s="2">
        <v>22</v>
      </c>
      <c r="W1870" s="2">
        <v>4</v>
      </c>
      <c r="X1870" s="2">
        <v>11</v>
      </c>
      <c r="AA1870" s="3" t="s">
        <v>40</v>
      </c>
      <c r="AB1870" s="2">
        <v>4</v>
      </c>
      <c r="AF1870" s="2">
        <v>30</v>
      </c>
      <c r="AG1870" s="2">
        <v>1</v>
      </c>
      <c r="AH1870" s="3" t="s">
        <v>1809</v>
      </c>
      <c r="AI1870" s="4">
        <v>45042</v>
      </c>
      <c r="AJ1870" s="3" t="s">
        <v>1980</v>
      </c>
      <c r="AK1870" s="3" t="s">
        <v>1931</v>
      </c>
    </row>
    <row r="1871" spans="1:37" hidden="1" x14ac:dyDescent="0.25">
      <c r="A1871" t="str">
        <f t="shared" si="29"/>
        <v>2023_NSW_WaggaWagga_Lupin_DetailedTOS1VarietyWongaWaterTrtRainFed</v>
      </c>
      <c r="B1871" s="2">
        <v>2023021</v>
      </c>
      <c r="C1871" s="3" t="s">
        <v>1930</v>
      </c>
      <c r="D1871" s="3" t="s">
        <v>1931</v>
      </c>
      <c r="F1871" s="3" t="s">
        <v>1932</v>
      </c>
      <c r="G1871" s="3" t="s">
        <v>39</v>
      </c>
      <c r="H1871" s="3" t="s">
        <v>250</v>
      </c>
      <c r="I1871" s="2">
        <v>48</v>
      </c>
      <c r="J1871" s="2">
        <v>24</v>
      </c>
      <c r="K1871" s="2">
        <v>2</v>
      </c>
      <c r="O1871" s="2">
        <v>6</v>
      </c>
      <c r="U1871" s="2">
        <v>4</v>
      </c>
      <c r="V1871" s="2">
        <v>23</v>
      </c>
      <c r="W1871" s="2">
        <v>4</v>
      </c>
      <c r="X1871" s="2">
        <v>12</v>
      </c>
      <c r="Z1871" s="2">
        <v>45</v>
      </c>
      <c r="AA1871" s="3" t="s">
        <v>40</v>
      </c>
      <c r="AB1871" s="2">
        <v>4</v>
      </c>
      <c r="AF1871" s="2">
        <v>30</v>
      </c>
      <c r="AG1871" s="2">
        <v>1</v>
      </c>
      <c r="AH1871" s="3" t="s">
        <v>1809</v>
      </c>
      <c r="AI1871" s="4">
        <v>45042</v>
      </c>
      <c r="AJ1871" s="3" t="s">
        <v>1981</v>
      </c>
      <c r="AK1871" s="3" t="s">
        <v>1931</v>
      </c>
    </row>
    <row r="1872" spans="1:37" hidden="1" x14ac:dyDescent="0.25">
      <c r="A1872" t="str">
        <f t="shared" si="29"/>
        <v>2023_NSW_WaggaWagga_Lupin_DetailedTOS1VarietyWongaWaterTrtRainFed</v>
      </c>
      <c r="B1872" s="2">
        <v>2023021</v>
      </c>
      <c r="C1872" s="3" t="s">
        <v>1930</v>
      </c>
      <c r="D1872" s="3" t="s">
        <v>1931</v>
      </c>
      <c r="F1872" s="3" t="s">
        <v>1932</v>
      </c>
      <c r="G1872" s="3" t="s">
        <v>39</v>
      </c>
      <c r="H1872" s="3" t="s">
        <v>253</v>
      </c>
      <c r="I1872" s="2">
        <v>49</v>
      </c>
      <c r="J1872" s="2">
        <v>25</v>
      </c>
      <c r="K1872" s="2">
        <v>1</v>
      </c>
      <c r="O1872" s="2">
        <v>7</v>
      </c>
      <c r="U1872" s="2">
        <v>1</v>
      </c>
      <c r="V1872" s="2">
        <v>26</v>
      </c>
      <c r="W1872" s="2">
        <v>1</v>
      </c>
      <c r="X1872" s="2">
        <v>13</v>
      </c>
      <c r="AA1872" s="3" t="s">
        <v>40</v>
      </c>
      <c r="AB1872" s="2">
        <v>4</v>
      </c>
      <c r="AF1872" s="2">
        <v>30</v>
      </c>
      <c r="AG1872" s="2">
        <v>1</v>
      </c>
      <c r="AH1872" s="3" t="s">
        <v>1809</v>
      </c>
      <c r="AI1872" s="4">
        <v>45042</v>
      </c>
      <c r="AJ1872" s="3" t="s">
        <v>1982</v>
      </c>
      <c r="AK1872" s="3" t="s">
        <v>1931</v>
      </c>
    </row>
    <row r="1873" spans="1:37" hidden="1" x14ac:dyDescent="0.25">
      <c r="A1873" t="str">
        <f t="shared" si="29"/>
        <v>2023_NSW_WaggaWagga_Lupin_DetailedTOS1VarietyWongaWaterTrtRainFed</v>
      </c>
      <c r="B1873" s="2">
        <v>2023021</v>
      </c>
      <c r="C1873" s="3" t="s">
        <v>1930</v>
      </c>
      <c r="D1873" s="3" t="s">
        <v>1931</v>
      </c>
      <c r="F1873" s="3" t="s">
        <v>1932</v>
      </c>
      <c r="G1873" s="3" t="s">
        <v>39</v>
      </c>
      <c r="H1873" s="3" t="s">
        <v>250</v>
      </c>
      <c r="I1873" s="2">
        <v>50</v>
      </c>
      <c r="J1873" s="2">
        <v>25</v>
      </c>
      <c r="K1873" s="2">
        <v>1</v>
      </c>
      <c r="O1873" s="2">
        <v>7</v>
      </c>
      <c r="U1873" s="2">
        <v>1</v>
      </c>
      <c r="V1873" s="2">
        <v>27</v>
      </c>
      <c r="W1873" s="2">
        <v>1</v>
      </c>
      <c r="X1873" s="2">
        <v>14</v>
      </c>
      <c r="Z1873" s="2">
        <v>49</v>
      </c>
      <c r="AA1873" s="3" t="s">
        <v>40</v>
      </c>
      <c r="AB1873" s="2">
        <v>4</v>
      </c>
      <c r="AF1873" s="2">
        <v>30</v>
      </c>
      <c r="AG1873" s="2">
        <v>1</v>
      </c>
      <c r="AH1873" s="3" t="s">
        <v>1809</v>
      </c>
      <c r="AI1873" s="4">
        <v>45042</v>
      </c>
      <c r="AJ1873" s="3" t="s">
        <v>1983</v>
      </c>
      <c r="AK1873" s="3" t="s">
        <v>1931</v>
      </c>
    </row>
    <row r="1874" spans="1:37" hidden="1" x14ac:dyDescent="0.25">
      <c r="A1874" t="str">
        <f t="shared" si="29"/>
        <v>2023_NSW_WaggaWagga_Lupin_DetailedTOS1VarietyJurienWaterTrtRainFed</v>
      </c>
      <c r="B1874" s="2">
        <v>2023021</v>
      </c>
      <c r="C1874" s="3" t="s">
        <v>1930</v>
      </c>
      <c r="D1874" s="3" t="s">
        <v>1931</v>
      </c>
      <c r="F1874" s="3" t="s">
        <v>4194</v>
      </c>
      <c r="G1874" s="3" t="s">
        <v>39</v>
      </c>
      <c r="H1874" s="3" t="s">
        <v>253</v>
      </c>
      <c r="I1874" s="2">
        <v>51</v>
      </c>
      <c r="J1874" s="2">
        <v>26</v>
      </c>
      <c r="K1874" s="2">
        <v>1</v>
      </c>
      <c r="O1874" s="2">
        <v>7</v>
      </c>
      <c r="U1874" s="2">
        <v>2</v>
      </c>
      <c r="V1874" s="2">
        <v>26</v>
      </c>
      <c r="W1874" s="2">
        <v>2</v>
      </c>
      <c r="X1874" s="2">
        <v>13</v>
      </c>
      <c r="AA1874" s="3" t="s">
        <v>40</v>
      </c>
      <c r="AB1874" s="2">
        <v>2</v>
      </c>
      <c r="AF1874" s="2">
        <v>30</v>
      </c>
      <c r="AG1874" s="2">
        <v>1</v>
      </c>
      <c r="AH1874" s="3" t="s">
        <v>1809</v>
      </c>
      <c r="AI1874" s="4">
        <v>45042</v>
      </c>
      <c r="AJ1874" s="3" t="s">
        <v>1984</v>
      </c>
      <c r="AK1874" s="3" t="s">
        <v>1931</v>
      </c>
    </row>
    <row r="1875" spans="1:37" hidden="1" x14ac:dyDescent="0.25">
      <c r="A1875" t="str">
        <f t="shared" si="29"/>
        <v>2023_NSW_WaggaWagga_Lupin_DetailedTOS1VarietyJurienWaterTrtRainFed</v>
      </c>
      <c r="B1875" s="2">
        <v>2023021</v>
      </c>
      <c r="C1875" s="3" t="s">
        <v>1930</v>
      </c>
      <c r="D1875" s="3" t="s">
        <v>1931</v>
      </c>
      <c r="F1875" s="3" t="s">
        <v>4194</v>
      </c>
      <c r="G1875" s="3" t="s">
        <v>39</v>
      </c>
      <c r="H1875" s="3" t="s">
        <v>250</v>
      </c>
      <c r="I1875" s="2">
        <v>52</v>
      </c>
      <c r="J1875" s="2">
        <v>26</v>
      </c>
      <c r="K1875" s="2">
        <v>1</v>
      </c>
      <c r="O1875" s="2">
        <v>7</v>
      </c>
      <c r="U1875" s="2">
        <v>2</v>
      </c>
      <c r="V1875" s="2">
        <v>27</v>
      </c>
      <c r="W1875" s="2">
        <v>2</v>
      </c>
      <c r="X1875" s="2">
        <v>14</v>
      </c>
      <c r="Z1875" s="2">
        <v>50</v>
      </c>
      <c r="AA1875" s="3" t="s">
        <v>40</v>
      </c>
      <c r="AB1875" s="2">
        <v>2</v>
      </c>
      <c r="AF1875" s="2">
        <v>30</v>
      </c>
      <c r="AG1875" s="2">
        <v>1</v>
      </c>
      <c r="AH1875" s="3" t="s">
        <v>1809</v>
      </c>
      <c r="AI1875" s="4">
        <v>45042</v>
      </c>
      <c r="AJ1875" s="3" t="s">
        <v>1985</v>
      </c>
      <c r="AK1875" s="3" t="s">
        <v>1931</v>
      </c>
    </row>
    <row r="1876" spans="1:37" hidden="1" x14ac:dyDescent="0.25">
      <c r="A1876" t="str">
        <f t="shared" si="29"/>
        <v>2023_NSW_WaggaWagga_Lupin_DetailedTOS1VarietyBatemanWaterTrtRainFed</v>
      </c>
      <c r="B1876" s="2">
        <v>2023021</v>
      </c>
      <c r="C1876" s="3" t="s">
        <v>1930</v>
      </c>
      <c r="D1876" s="3" t="s">
        <v>1931</v>
      </c>
      <c r="F1876" s="3" t="s">
        <v>4195</v>
      </c>
      <c r="G1876" s="3" t="s">
        <v>43</v>
      </c>
      <c r="H1876" s="3" t="s">
        <v>253</v>
      </c>
      <c r="I1876" s="2">
        <v>53</v>
      </c>
      <c r="J1876" s="2">
        <v>27</v>
      </c>
      <c r="K1876" s="2">
        <v>2</v>
      </c>
      <c r="O1876" s="2">
        <v>7</v>
      </c>
      <c r="U1876" s="2">
        <v>3</v>
      </c>
      <c r="V1876" s="2">
        <v>26</v>
      </c>
      <c r="W1876" s="2">
        <v>3</v>
      </c>
      <c r="X1876" s="2">
        <v>13</v>
      </c>
      <c r="AA1876" s="3" t="s">
        <v>40</v>
      </c>
      <c r="AB1876" s="2">
        <v>1</v>
      </c>
      <c r="AF1876" s="2">
        <v>30</v>
      </c>
      <c r="AG1876" s="2">
        <v>1</v>
      </c>
      <c r="AH1876" s="3" t="s">
        <v>1809</v>
      </c>
      <c r="AI1876" s="4">
        <v>45042</v>
      </c>
      <c r="AJ1876" s="3" t="s">
        <v>1986</v>
      </c>
      <c r="AK1876" s="3" t="s">
        <v>1931</v>
      </c>
    </row>
    <row r="1877" spans="1:37" hidden="1" x14ac:dyDescent="0.25">
      <c r="A1877" t="str">
        <f t="shared" si="29"/>
        <v>2023_NSW_WaggaWagga_Lupin_DetailedTOS1VarietyBatemanWaterTrtRainFed</v>
      </c>
      <c r="B1877" s="2">
        <v>2023021</v>
      </c>
      <c r="C1877" s="3" t="s">
        <v>1930</v>
      </c>
      <c r="D1877" s="3" t="s">
        <v>1931</v>
      </c>
      <c r="F1877" s="3" t="s">
        <v>4195</v>
      </c>
      <c r="G1877" s="3" t="s">
        <v>43</v>
      </c>
      <c r="H1877" s="3" t="s">
        <v>250</v>
      </c>
      <c r="I1877" s="2">
        <v>54</v>
      </c>
      <c r="J1877" s="2">
        <v>27</v>
      </c>
      <c r="K1877" s="2">
        <v>2</v>
      </c>
      <c r="O1877" s="2">
        <v>7</v>
      </c>
      <c r="U1877" s="2">
        <v>3</v>
      </c>
      <c r="V1877" s="2">
        <v>27</v>
      </c>
      <c r="W1877" s="2">
        <v>3</v>
      </c>
      <c r="X1877" s="2">
        <v>14</v>
      </c>
      <c r="Z1877" s="2">
        <v>51</v>
      </c>
      <c r="AA1877" s="3" t="s">
        <v>40</v>
      </c>
      <c r="AB1877" s="2">
        <v>1</v>
      </c>
      <c r="AF1877" s="2">
        <v>30</v>
      </c>
      <c r="AG1877" s="2">
        <v>1</v>
      </c>
      <c r="AH1877" s="3" t="s">
        <v>1809</v>
      </c>
      <c r="AI1877" s="4">
        <v>45042</v>
      </c>
      <c r="AJ1877" s="3" t="s">
        <v>1987</v>
      </c>
      <c r="AK1877" s="3" t="s">
        <v>1931</v>
      </c>
    </row>
    <row r="1878" spans="1:37" hidden="1" x14ac:dyDescent="0.25">
      <c r="A1878" t="str">
        <f t="shared" si="29"/>
        <v>2023_NSW_WaggaWagga_Lupin_DetailedTOS1VarietyMandelupWaterTrtRainFed</v>
      </c>
      <c r="B1878" s="2">
        <v>2023021</v>
      </c>
      <c r="C1878" s="3" t="s">
        <v>1930</v>
      </c>
      <c r="D1878" s="3" t="s">
        <v>1931</v>
      </c>
      <c r="F1878" s="3" t="s">
        <v>1939</v>
      </c>
      <c r="G1878" s="3" t="s">
        <v>39</v>
      </c>
      <c r="H1878" s="3" t="s">
        <v>253</v>
      </c>
      <c r="I1878" s="2">
        <v>55</v>
      </c>
      <c r="J1878" s="2">
        <v>28</v>
      </c>
      <c r="K1878" s="2">
        <v>2</v>
      </c>
      <c r="O1878" s="2">
        <v>7</v>
      </c>
      <c r="U1878" s="2">
        <v>4</v>
      </c>
      <c r="V1878" s="2">
        <v>26</v>
      </c>
      <c r="W1878" s="2">
        <v>4</v>
      </c>
      <c r="X1878" s="2">
        <v>13</v>
      </c>
      <c r="AA1878" s="3" t="s">
        <v>40</v>
      </c>
      <c r="AB1878" s="2">
        <v>3</v>
      </c>
      <c r="AF1878" s="2">
        <v>30</v>
      </c>
      <c r="AG1878" s="2">
        <v>1</v>
      </c>
      <c r="AH1878" s="3" t="s">
        <v>1809</v>
      </c>
      <c r="AI1878" s="4">
        <v>45042</v>
      </c>
      <c r="AJ1878" s="3" t="s">
        <v>1988</v>
      </c>
      <c r="AK1878" s="3" t="s">
        <v>1931</v>
      </c>
    </row>
    <row r="1879" spans="1:37" hidden="1" x14ac:dyDescent="0.25">
      <c r="A1879" t="str">
        <f t="shared" si="29"/>
        <v>2023_NSW_WaggaWagga_Lupin_DetailedTOS1VarietyMandelupWaterTrtRainFed</v>
      </c>
      <c r="B1879" s="2">
        <v>2023021</v>
      </c>
      <c r="C1879" s="3" t="s">
        <v>1930</v>
      </c>
      <c r="D1879" s="3" t="s">
        <v>1931</v>
      </c>
      <c r="F1879" s="3" t="s">
        <v>1939</v>
      </c>
      <c r="G1879" s="3" t="s">
        <v>39</v>
      </c>
      <c r="H1879" s="3" t="s">
        <v>250</v>
      </c>
      <c r="I1879" s="2">
        <v>56</v>
      </c>
      <c r="J1879" s="2">
        <v>28</v>
      </c>
      <c r="K1879" s="2">
        <v>2</v>
      </c>
      <c r="O1879" s="2">
        <v>7</v>
      </c>
      <c r="U1879" s="2">
        <v>4</v>
      </c>
      <c r="V1879" s="2">
        <v>27</v>
      </c>
      <c r="W1879" s="2">
        <v>4</v>
      </c>
      <c r="X1879" s="2">
        <v>14</v>
      </c>
      <c r="Z1879" s="2">
        <v>52</v>
      </c>
      <c r="AA1879" s="3" t="s">
        <v>40</v>
      </c>
      <c r="AB1879" s="2">
        <v>3</v>
      </c>
      <c r="AF1879" s="2">
        <v>30</v>
      </c>
      <c r="AG1879" s="2">
        <v>1</v>
      </c>
      <c r="AH1879" s="3" t="s">
        <v>1809</v>
      </c>
      <c r="AI1879" s="4">
        <v>45042</v>
      </c>
      <c r="AJ1879" s="3" t="s">
        <v>1989</v>
      </c>
      <c r="AK1879" s="3" t="s">
        <v>1931</v>
      </c>
    </row>
    <row r="1880" spans="1:37" hidden="1" x14ac:dyDescent="0.25">
      <c r="A1880" t="str">
        <f t="shared" si="29"/>
        <v>2023_NSW_WaggaWagga_Lupin_DetailedTOS2VarietyBatemanWaterTrtRainFed</v>
      </c>
      <c r="B1880" s="2">
        <v>2023021</v>
      </c>
      <c r="C1880" s="3" t="s">
        <v>1930</v>
      </c>
      <c r="D1880" s="3" t="s">
        <v>1931</v>
      </c>
      <c r="F1880" s="3" t="s">
        <v>4195</v>
      </c>
      <c r="G1880" s="3" t="s">
        <v>43</v>
      </c>
      <c r="H1880" s="3" t="s">
        <v>253</v>
      </c>
      <c r="I1880" s="2">
        <v>57</v>
      </c>
      <c r="J1880" s="2">
        <v>29</v>
      </c>
      <c r="K1880" s="2">
        <v>1</v>
      </c>
      <c r="O1880" s="2">
        <v>8</v>
      </c>
      <c r="U1880" s="2">
        <v>1</v>
      </c>
      <c r="V1880" s="2">
        <v>30</v>
      </c>
      <c r="W1880" s="2">
        <v>1</v>
      </c>
      <c r="X1880" s="2">
        <v>15</v>
      </c>
      <c r="AA1880" s="3" t="s">
        <v>40</v>
      </c>
      <c r="AB1880" s="2">
        <v>1</v>
      </c>
      <c r="AF1880" s="2">
        <v>30</v>
      </c>
      <c r="AG1880" s="2">
        <v>2</v>
      </c>
      <c r="AH1880" s="3" t="s">
        <v>1800</v>
      </c>
      <c r="AI1880" s="4">
        <v>45077</v>
      </c>
      <c r="AJ1880" s="3" t="s">
        <v>1990</v>
      </c>
      <c r="AK1880" s="3" t="s">
        <v>1931</v>
      </c>
    </row>
    <row r="1881" spans="1:37" hidden="1" x14ac:dyDescent="0.25">
      <c r="A1881" t="str">
        <f t="shared" si="29"/>
        <v>2023_NSW_WaggaWagga_Lupin_DetailedTOS2VarietyBatemanWaterTrtRainFed</v>
      </c>
      <c r="B1881" s="2">
        <v>2023021</v>
      </c>
      <c r="C1881" s="3" t="s">
        <v>1930</v>
      </c>
      <c r="D1881" s="3" t="s">
        <v>1931</v>
      </c>
      <c r="F1881" s="3" t="s">
        <v>4195</v>
      </c>
      <c r="G1881" s="3" t="s">
        <v>43</v>
      </c>
      <c r="H1881" s="3" t="s">
        <v>250</v>
      </c>
      <c r="I1881" s="2">
        <v>58</v>
      </c>
      <c r="J1881" s="2">
        <v>29</v>
      </c>
      <c r="K1881" s="2">
        <v>1</v>
      </c>
      <c r="O1881" s="2">
        <v>8</v>
      </c>
      <c r="U1881" s="2">
        <v>1</v>
      </c>
      <c r="V1881" s="2">
        <v>31</v>
      </c>
      <c r="W1881" s="2">
        <v>1</v>
      </c>
      <c r="X1881" s="2">
        <v>16</v>
      </c>
      <c r="Z1881" s="2">
        <v>64</v>
      </c>
      <c r="AA1881" s="3" t="s">
        <v>40</v>
      </c>
      <c r="AB1881" s="2">
        <v>1</v>
      </c>
      <c r="AF1881" s="2">
        <v>30</v>
      </c>
      <c r="AG1881" s="2">
        <v>2</v>
      </c>
      <c r="AH1881" s="3" t="s">
        <v>1800</v>
      </c>
      <c r="AI1881" s="4">
        <v>45077</v>
      </c>
      <c r="AJ1881" s="3" t="s">
        <v>1991</v>
      </c>
      <c r="AK1881" s="3" t="s">
        <v>1931</v>
      </c>
    </row>
    <row r="1882" spans="1:37" hidden="1" x14ac:dyDescent="0.25">
      <c r="A1882" t="str">
        <f t="shared" si="29"/>
        <v>2023_NSW_WaggaWagga_Lupin_DetailedTOS2VarietyWongaWaterTrtRainFed</v>
      </c>
      <c r="B1882" s="2">
        <v>2023021</v>
      </c>
      <c r="C1882" s="3" t="s">
        <v>1930</v>
      </c>
      <c r="D1882" s="3" t="s">
        <v>1931</v>
      </c>
      <c r="F1882" s="3" t="s">
        <v>1932</v>
      </c>
      <c r="G1882" s="3" t="s">
        <v>39</v>
      </c>
      <c r="H1882" s="3" t="s">
        <v>253</v>
      </c>
      <c r="I1882" s="2">
        <v>59</v>
      </c>
      <c r="J1882" s="2">
        <v>30</v>
      </c>
      <c r="K1882" s="2">
        <v>1</v>
      </c>
      <c r="O1882" s="2">
        <v>8</v>
      </c>
      <c r="U1882" s="2">
        <v>2</v>
      </c>
      <c r="V1882" s="2">
        <v>30</v>
      </c>
      <c r="W1882" s="2">
        <v>2</v>
      </c>
      <c r="X1882" s="2">
        <v>15</v>
      </c>
      <c r="AA1882" s="3" t="s">
        <v>40</v>
      </c>
      <c r="AB1882" s="2">
        <v>4</v>
      </c>
      <c r="AF1882" s="2">
        <v>30</v>
      </c>
      <c r="AG1882" s="2">
        <v>2</v>
      </c>
      <c r="AH1882" s="3" t="s">
        <v>1800</v>
      </c>
      <c r="AI1882" s="4">
        <v>45077</v>
      </c>
      <c r="AJ1882" s="3" t="s">
        <v>1992</v>
      </c>
      <c r="AK1882" s="3" t="s">
        <v>1931</v>
      </c>
    </row>
    <row r="1883" spans="1:37" hidden="1" x14ac:dyDescent="0.25">
      <c r="A1883" t="str">
        <f t="shared" si="29"/>
        <v>2023_NSW_WaggaWagga_Lupin_DetailedTOS2VarietyWongaWaterTrtRainFed</v>
      </c>
      <c r="B1883" s="2">
        <v>2023021</v>
      </c>
      <c r="C1883" s="3" t="s">
        <v>1930</v>
      </c>
      <c r="D1883" s="3" t="s">
        <v>1931</v>
      </c>
      <c r="F1883" s="3" t="s">
        <v>1932</v>
      </c>
      <c r="G1883" s="3" t="s">
        <v>39</v>
      </c>
      <c r="H1883" s="3" t="s">
        <v>250</v>
      </c>
      <c r="I1883" s="2">
        <v>60</v>
      </c>
      <c r="J1883" s="2">
        <v>30</v>
      </c>
      <c r="K1883" s="2">
        <v>1</v>
      </c>
      <c r="O1883" s="2">
        <v>8</v>
      </c>
      <c r="U1883" s="2">
        <v>2</v>
      </c>
      <c r="V1883" s="2">
        <v>31</v>
      </c>
      <c r="W1883" s="2">
        <v>2</v>
      </c>
      <c r="X1883" s="2">
        <v>16</v>
      </c>
      <c r="Z1883" s="2">
        <v>63</v>
      </c>
      <c r="AA1883" s="3" t="s">
        <v>40</v>
      </c>
      <c r="AB1883" s="2">
        <v>4</v>
      </c>
      <c r="AF1883" s="2">
        <v>30</v>
      </c>
      <c r="AG1883" s="2">
        <v>2</v>
      </c>
      <c r="AH1883" s="3" t="s">
        <v>1800</v>
      </c>
      <c r="AI1883" s="4">
        <v>45077</v>
      </c>
      <c r="AJ1883" s="3" t="s">
        <v>1993</v>
      </c>
      <c r="AK1883" s="3" t="s">
        <v>1931</v>
      </c>
    </row>
    <row r="1884" spans="1:37" hidden="1" x14ac:dyDescent="0.25">
      <c r="A1884" t="str">
        <f t="shared" si="29"/>
        <v>2023_NSW_WaggaWagga_Lupin_DetailedTOS2VarietyMandelupWaterTrtRainFed</v>
      </c>
      <c r="B1884" s="2">
        <v>2023021</v>
      </c>
      <c r="C1884" s="3" t="s">
        <v>1930</v>
      </c>
      <c r="D1884" s="3" t="s">
        <v>1931</v>
      </c>
      <c r="F1884" s="3" t="s">
        <v>1939</v>
      </c>
      <c r="G1884" s="3" t="s">
        <v>39</v>
      </c>
      <c r="H1884" s="3" t="s">
        <v>253</v>
      </c>
      <c r="I1884" s="2">
        <v>61</v>
      </c>
      <c r="J1884" s="2">
        <v>31</v>
      </c>
      <c r="K1884" s="2">
        <v>2</v>
      </c>
      <c r="O1884" s="2">
        <v>8</v>
      </c>
      <c r="U1884" s="2">
        <v>3</v>
      </c>
      <c r="V1884" s="2">
        <v>30</v>
      </c>
      <c r="W1884" s="2">
        <v>3</v>
      </c>
      <c r="X1884" s="2">
        <v>15</v>
      </c>
      <c r="AA1884" s="3" t="s">
        <v>40</v>
      </c>
      <c r="AB1884" s="2">
        <v>3</v>
      </c>
      <c r="AF1884" s="2">
        <v>30</v>
      </c>
      <c r="AG1884" s="2">
        <v>2</v>
      </c>
      <c r="AH1884" s="3" t="s">
        <v>1800</v>
      </c>
      <c r="AI1884" s="4">
        <v>45077</v>
      </c>
      <c r="AJ1884" s="3" t="s">
        <v>1994</v>
      </c>
      <c r="AK1884" s="3" t="s">
        <v>1931</v>
      </c>
    </row>
    <row r="1885" spans="1:37" hidden="1" x14ac:dyDescent="0.25">
      <c r="A1885" t="str">
        <f t="shared" si="29"/>
        <v>2023_NSW_WaggaWagga_Lupin_DetailedTOS2VarietyMandelupWaterTrtRainFed</v>
      </c>
      <c r="B1885" s="2">
        <v>2023021</v>
      </c>
      <c r="C1885" s="3" t="s">
        <v>1930</v>
      </c>
      <c r="D1885" s="3" t="s">
        <v>1931</v>
      </c>
      <c r="F1885" s="3" t="s">
        <v>1939</v>
      </c>
      <c r="G1885" s="3" t="s">
        <v>39</v>
      </c>
      <c r="H1885" s="3" t="s">
        <v>250</v>
      </c>
      <c r="I1885" s="2">
        <v>62</v>
      </c>
      <c r="J1885" s="2">
        <v>31</v>
      </c>
      <c r="K1885" s="2">
        <v>2</v>
      </c>
      <c r="O1885" s="2">
        <v>8</v>
      </c>
      <c r="U1885" s="2">
        <v>3</v>
      </c>
      <c r="V1885" s="2">
        <v>31</v>
      </c>
      <c r="W1885" s="2">
        <v>3</v>
      </c>
      <c r="X1885" s="2">
        <v>16</v>
      </c>
      <c r="Z1885" s="2">
        <v>62</v>
      </c>
      <c r="AA1885" s="3" t="s">
        <v>40</v>
      </c>
      <c r="AB1885" s="2">
        <v>3</v>
      </c>
      <c r="AF1885" s="2">
        <v>30</v>
      </c>
      <c r="AG1885" s="2">
        <v>2</v>
      </c>
      <c r="AH1885" s="3" t="s">
        <v>1800</v>
      </c>
      <c r="AI1885" s="4">
        <v>45077</v>
      </c>
      <c r="AJ1885" s="3" t="s">
        <v>1995</v>
      </c>
      <c r="AK1885" s="3" t="s">
        <v>1931</v>
      </c>
    </row>
    <row r="1886" spans="1:37" hidden="1" x14ac:dyDescent="0.25">
      <c r="A1886" t="str">
        <f t="shared" si="29"/>
        <v>2023_NSW_WaggaWagga_Lupin_DetailedTOS2VarietyJurienWaterTrtRainFed</v>
      </c>
      <c r="B1886" s="2">
        <v>2023021</v>
      </c>
      <c r="C1886" s="3" t="s">
        <v>1930</v>
      </c>
      <c r="D1886" s="3" t="s">
        <v>1931</v>
      </c>
      <c r="F1886" s="3" t="s">
        <v>4194</v>
      </c>
      <c r="G1886" s="3" t="s">
        <v>39</v>
      </c>
      <c r="H1886" s="3" t="s">
        <v>253</v>
      </c>
      <c r="I1886" s="2">
        <v>63</v>
      </c>
      <c r="J1886" s="2">
        <v>32</v>
      </c>
      <c r="K1886" s="2">
        <v>2</v>
      </c>
      <c r="O1886" s="2">
        <v>8</v>
      </c>
      <c r="U1886" s="2">
        <v>4</v>
      </c>
      <c r="V1886" s="2">
        <v>30</v>
      </c>
      <c r="W1886" s="2">
        <v>4</v>
      </c>
      <c r="X1886" s="2">
        <v>15</v>
      </c>
      <c r="AA1886" s="3" t="s">
        <v>40</v>
      </c>
      <c r="AB1886" s="2">
        <v>2</v>
      </c>
      <c r="AF1886" s="2">
        <v>30</v>
      </c>
      <c r="AG1886" s="2">
        <v>2</v>
      </c>
      <c r="AH1886" s="3" t="s">
        <v>1800</v>
      </c>
      <c r="AI1886" s="4">
        <v>45077</v>
      </c>
      <c r="AJ1886" s="3" t="s">
        <v>1996</v>
      </c>
      <c r="AK1886" s="3" t="s">
        <v>1931</v>
      </c>
    </row>
    <row r="1887" spans="1:37" hidden="1" x14ac:dyDescent="0.25">
      <c r="A1887" t="str">
        <f t="shared" si="29"/>
        <v>2023_NSW_WaggaWagga_Lupin_DetailedTOS2VarietyJurienWaterTrtRainFed</v>
      </c>
      <c r="B1887" s="2">
        <v>2023021</v>
      </c>
      <c r="C1887" s="3" t="s">
        <v>1930</v>
      </c>
      <c r="D1887" s="3" t="s">
        <v>1931</v>
      </c>
      <c r="F1887" s="3" t="s">
        <v>4194</v>
      </c>
      <c r="G1887" s="3" t="s">
        <v>39</v>
      </c>
      <c r="H1887" s="3" t="s">
        <v>250</v>
      </c>
      <c r="I1887" s="2">
        <v>64</v>
      </c>
      <c r="J1887" s="2">
        <v>32</v>
      </c>
      <c r="K1887" s="2">
        <v>2</v>
      </c>
      <c r="O1887" s="2">
        <v>8</v>
      </c>
      <c r="U1887" s="2">
        <v>4</v>
      </c>
      <c r="V1887" s="2">
        <v>31</v>
      </c>
      <c r="W1887" s="2">
        <v>4</v>
      </c>
      <c r="X1887" s="2">
        <v>16</v>
      </c>
      <c r="Z1887" s="2">
        <v>61</v>
      </c>
      <c r="AA1887" s="3" t="s">
        <v>40</v>
      </c>
      <c r="AB1887" s="2">
        <v>2</v>
      </c>
      <c r="AF1887" s="2">
        <v>30</v>
      </c>
      <c r="AG1887" s="2">
        <v>2</v>
      </c>
      <c r="AH1887" s="3" t="s">
        <v>1800</v>
      </c>
      <c r="AI1887" s="4">
        <v>45077</v>
      </c>
      <c r="AJ1887" s="3" t="s">
        <v>1997</v>
      </c>
      <c r="AK1887" s="3" t="s">
        <v>1931</v>
      </c>
    </row>
    <row r="1888" spans="1:37" hidden="1" x14ac:dyDescent="0.25">
      <c r="A1888" t="str">
        <f t="shared" si="29"/>
        <v>2023_NSW_WaggaWagga_Lupin_DetailedTOS1VarietyMandelupWaterTrtIrrigated</v>
      </c>
      <c r="B1888" s="2">
        <v>2023021</v>
      </c>
      <c r="C1888" s="3" t="s">
        <v>1930</v>
      </c>
      <c r="D1888" s="3" t="s">
        <v>1931</v>
      </c>
      <c r="F1888" s="3" t="s">
        <v>1939</v>
      </c>
      <c r="G1888" s="3" t="s">
        <v>39</v>
      </c>
      <c r="H1888" s="3" t="s">
        <v>253</v>
      </c>
      <c r="I1888" s="2">
        <v>65</v>
      </c>
      <c r="J1888" s="2">
        <v>33</v>
      </c>
      <c r="K1888" s="2">
        <v>3</v>
      </c>
      <c r="O1888" s="2">
        <v>1</v>
      </c>
      <c r="U1888" s="2">
        <v>6</v>
      </c>
      <c r="V1888" s="2">
        <v>2</v>
      </c>
      <c r="W1888" s="2">
        <v>5</v>
      </c>
      <c r="X1888" s="2">
        <v>1</v>
      </c>
      <c r="AA1888" s="3" t="s">
        <v>57</v>
      </c>
      <c r="AB1888" s="2">
        <v>3</v>
      </c>
      <c r="AF1888" s="2">
        <v>30</v>
      </c>
      <c r="AG1888" s="2">
        <v>1</v>
      </c>
      <c r="AH1888" s="3" t="s">
        <v>1809</v>
      </c>
      <c r="AI1888" s="4">
        <v>45042</v>
      </c>
      <c r="AJ1888" s="3" t="s">
        <v>1998</v>
      </c>
      <c r="AK1888" s="3" t="s">
        <v>1931</v>
      </c>
    </row>
    <row r="1889" spans="1:37" hidden="1" x14ac:dyDescent="0.25">
      <c r="A1889" t="str">
        <f t="shared" si="29"/>
        <v>2023_NSW_WaggaWagga_Lupin_DetailedTOS1VarietyMandelupWaterTrtIrrigated</v>
      </c>
      <c r="B1889" s="2">
        <v>2023021</v>
      </c>
      <c r="C1889" s="3" t="s">
        <v>1930</v>
      </c>
      <c r="D1889" s="3" t="s">
        <v>1931</v>
      </c>
      <c r="F1889" s="3" t="s">
        <v>1939</v>
      </c>
      <c r="G1889" s="3" t="s">
        <v>39</v>
      </c>
      <c r="H1889" s="3" t="s">
        <v>250</v>
      </c>
      <c r="I1889" s="2">
        <v>66</v>
      </c>
      <c r="J1889" s="2">
        <v>33</v>
      </c>
      <c r="K1889" s="2">
        <v>3</v>
      </c>
      <c r="O1889" s="2">
        <v>1</v>
      </c>
      <c r="U1889" s="2">
        <v>6</v>
      </c>
      <c r="V1889" s="2">
        <v>3</v>
      </c>
      <c r="W1889" s="2">
        <v>5</v>
      </c>
      <c r="X1889" s="2">
        <v>2</v>
      </c>
      <c r="Z1889" s="2">
        <v>5</v>
      </c>
      <c r="AA1889" s="3" t="s">
        <v>57</v>
      </c>
      <c r="AB1889" s="2">
        <v>3</v>
      </c>
      <c r="AF1889" s="2">
        <v>30</v>
      </c>
      <c r="AG1889" s="2">
        <v>1</v>
      </c>
      <c r="AH1889" s="3" t="s">
        <v>1809</v>
      </c>
      <c r="AI1889" s="4">
        <v>45042</v>
      </c>
      <c r="AJ1889" s="3" t="s">
        <v>1999</v>
      </c>
      <c r="AK1889" s="3" t="s">
        <v>1931</v>
      </c>
    </row>
    <row r="1890" spans="1:37" hidden="1" x14ac:dyDescent="0.25">
      <c r="A1890" t="str">
        <f t="shared" si="29"/>
        <v>2023_NSW_WaggaWagga_Lupin_DetailedTOS1VarietyWongaWaterTrtIrrigated</v>
      </c>
      <c r="B1890" s="2">
        <v>2023021</v>
      </c>
      <c r="C1890" s="3" t="s">
        <v>1930</v>
      </c>
      <c r="D1890" s="3" t="s">
        <v>1931</v>
      </c>
      <c r="F1890" s="3" t="s">
        <v>1932</v>
      </c>
      <c r="G1890" s="3" t="s">
        <v>39</v>
      </c>
      <c r="H1890" s="3" t="s">
        <v>253</v>
      </c>
      <c r="I1890" s="2">
        <v>67</v>
      </c>
      <c r="J1890" s="2">
        <v>34</v>
      </c>
      <c r="K1890" s="2">
        <v>3</v>
      </c>
      <c r="O1890" s="2">
        <v>1</v>
      </c>
      <c r="U1890" s="2">
        <v>7</v>
      </c>
      <c r="V1890" s="2">
        <v>2</v>
      </c>
      <c r="W1890" s="2">
        <v>6</v>
      </c>
      <c r="X1890" s="2">
        <v>1</v>
      </c>
      <c r="AA1890" s="3" t="s">
        <v>57</v>
      </c>
      <c r="AB1890" s="2">
        <v>4</v>
      </c>
      <c r="AF1890" s="2">
        <v>30</v>
      </c>
      <c r="AG1890" s="2">
        <v>1</v>
      </c>
      <c r="AH1890" s="3" t="s">
        <v>1809</v>
      </c>
      <c r="AI1890" s="4">
        <v>45042</v>
      </c>
      <c r="AJ1890" s="3" t="s">
        <v>2000</v>
      </c>
      <c r="AK1890" s="3" t="s">
        <v>1931</v>
      </c>
    </row>
    <row r="1891" spans="1:37" hidden="1" x14ac:dyDescent="0.25">
      <c r="A1891" t="str">
        <f t="shared" si="29"/>
        <v>2023_NSW_WaggaWagga_Lupin_DetailedTOS1VarietyWongaWaterTrtIrrigated</v>
      </c>
      <c r="B1891" s="2">
        <v>2023021</v>
      </c>
      <c r="C1891" s="3" t="s">
        <v>1930</v>
      </c>
      <c r="D1891" s="3" t="s">
        <v>1931</v>
      </c>
      <c r="F1891" s="3" t="s">
        <v>1932</v>
      </c>
      <c r="G1891" s="3" t="s">
        <v>39</v>
      </c>
      <c r="H1891" s="3" t="s">
        <v>250</v>
      </c>
      <c r="I1891" s="2">
        <v>68</v>
      </c>
      <c r="J1891" s="2">
        <v>34</v>
      </c>
      <c r="K1891" s="2">
        <v>3</v>
      </c>
      <c r="O1891" s="2">
        <v>1</v>
      </c>
      <c r="U1891" s="2">
        <v>7</v>
      </c>
      <c r="V1891" s="2">
        <v>3</v>
      </c>
      <c r="W1891" s="2">
        <v>6</v>
      </c>
      <c r="X1891" s="2">
        <v>2</v>
      </c>
      <c r="Z1891" s="2">
        <v>6</v>
      </c>
      <c r="AA1891" s="3" t="s">
        <v>57</v>
      </c>
      <c r="AB1891" s="2">
        <v>4</v>
      </c>
      <c r="AF1891" s="2">
        <v>30</v>
      </c>
      <c r="AG1891" s="2">
        <v>1</v>
      </c>
      <c r="AH1891" s="3" t="s">
        <v>1809</v>
      </c>
      <c r="AI1891" s="4">
        <v>45042</v>
      </c>
      <c r="AJ1891" s="3" t="s">
        <v>2001</v>
      </c>
      <c r="AK1891" s="3" t="s">
        <v>1931</v>
      </c>
    </row>
    <row r="1892" spans="1:37" hidden="1" x14ac:dyDescent="0.25">
      <c r="A1892" t="str">
        <f t="shared" si="29"/>
        <v>2023_NSW_WaggaWagga_Lupin_DetailedTOS1VarietyBatemanWaterTrtIrrigated</v>
      </c>
      <c r="B1892" s="2">
        <v>2023021</v>
      </c>
      <c r="C1892" s="3" t="s">
        <v>1930</v>
      </c>
      <c r="D1892" s="3" t="s">
        <v>1931</v>
      </c>
      <c r="F1892" s="3" t="s">
        <v>4195</v>
      </c>
      <c r="G1892" s="3" t="s">
        <v>43</v>
      </c>
      <c r="H1892" s="3" t="s">
        <v>253</v>
      </c>
      <c r="I1892" s="2">
        <v>69</v>
      </c>
      <c r="J1892" s="2">
        <v>35</v>
      </c>
      <c r="K1892" s="2">
        <v>4</v>
      </c>
      <c r="O1892" s="2">
        <v>1</v>
      </c>
      <c r="U1892" s="2">
        <v>8</v>
      </c>
      <c r="V1892" s="2">
        <v>2</v>
      </c>
      <c r="W1892" s="2">
        <v>7</v>
      </c>
      <c r="X1892" s="2">
        <v>1</v>
      </c>
      <c r="AA1892" s="3" t="s">
        <v>57</v>
      </c>
      <c r="AB1892" s="2">
        <v>1</v>
      </c>
      <c r="AF1892" s="2">
        <v>30</v>
      </c>
      <c r="AG1892" s="2">
        <v>1</v>
      </c>
      <c r="AH1892" s="3" t="s">
        <v>1809</v>
      </c>
      <c r="AI1892" s="4">
        <v>45042</v>
      </c>
      <c r="AJ1892" s="3" t="s">
        <v>2002</v>
      </c>
      <c r="AK1892" s="3" t="s">
        <v>1931</v>
      </c>
    </row>
    <row r="1893" spans="1:37" hidden="1" x14ac:dyDescent="0.25">
      <c r="A1893" t="str">
        <f t="shared" si="29"/>
        <v>2023_NSW_WaggaWagga_Lupin_DetailedTOS1VarietyBatemanWaterTrtIrrigated</v>
      </c>
      <c r="B1893" s="2">
        <v>2023021</v>
      </c>
      <c r="C1893" s="3" t="s">
        <v>1930</v>
      </c>
      <c r="D1893" s="3" t="s">
        <v>1931</v>
      </c>
      <c r="F1893" s="3" t="s">
        <v>4195</v>
      </c>
      <c r="G1893" s="3" t="s">
        <v>43</v>
      </c>
      <c r="H1893" s="3" t="s">
        <v>250</v>
      </c>
      <c r="I1893" s="2">
        <v>70</v>
      </c>
      <c r="J1893" s="2">
        <v>35</v>
      </c>
      <c r="K1893" s="2">
        <v>4</v>
      </c>
      <c r="O1893" s="2">
        <v>1</v>
      </c>
      <c r="U1893" s="2">
        <v>8</v>
      </c>
      <c r="V1893" s="2">
        <v>3</v>
      </c>
      <c r="W1893" s="2">
        <v>7</v>
      </c>
      <c r="X1893" s="2">
        <v>2</v>
      </c>
      <c r="Z1893" s="2">
        <v>7</v>
      </c>
      <c r="AA1893" s="3" t="s">
        <v>57</v>
      </c>
      <c r="AB1893" s="2">
        <v>1</v>
      </c>
      <c r="AF1893" s="2">
        <v>30</v>
      </c>
      <c r="AG1893" s="2">
        <v>1</v>
      </c>
      <c r="AH1893" s="3" t="s">
        <v>1809</v>
      </c>
      <c r="AI1893" s="4">
        <v>45042</v>
      </c>
      <c r="AJ1893" s="3" t="s">
        <v>2003</v>
      </c>
      <c r="AK1893" s="3" t="s">
        <v>1931</v>
      </c>
    </row>
    <row r="1894" spans="1:37" hidden="1" x14ac:dyDescent="0.25">
      <c r="A1894" t="str">
        <f t="shared" si="29"/>
        <v>2023_NSW_WaggaWagga_Lupin_DetailedTOS1VarietyJurienWaterTrtIrrigated</v>
      </c>
      <c r="B1894" s="2">
        <v>2023021</v>
      </c>
      <c r="C1894" s="3" t="s">
        <v>1930</v>
      </c>
      <c r="D1894" s="3" t="s">
        <v>1931</v>
      </c>
      <c r="F1894" s="3" t="s">
        <v>4194</v>
      </c>
      <c r="G1894" s="3" t="s">
        <v>39</v>
      </c>
      <c r="H1894" s="3" t="s">
        <v>253</v>
      </c>
      <c r="I1894" s="2">
        <v>71</v>
      </c>
      <c r="J1894" s="2">
        <v>36</v>
      </c>
      <c r="K1894" s="2">
        <v>4</v>
      </c>
      <c r="O1894" s="2">
        <v>1</v>
      </c>
      <c r="U1894" s="2">
        <v>9</v>
      </c>
      <c r="V1894" s="2">
        <v>2</v>
      </c>
      <c r="W1894" s="2">
        <v>8</v>
      </c>
      <c r="X1894" s="2">
        <v>1</v>
      </c>
      <c r="AA1894" s="3" t="s">
        <v>57</v>
      </c>
      <c r="AB1894" s="2">
        <v>2</v>
      </c>
      <c r="AF1894" s="2">
        <v>30</v>
      </c>
      <c r="AG1894" s="2">
        <v>1</v>
      </c>
      <c r="AH1894" s="3" t="s">
        <v>1809</v>
      </c>
      <c r="AI1894" s="4">
        <v>45042</v>
      </c>
      <c r="AJ1894" s="3" t="s">
        <v>2004</v>
      </c>
      <c r="AK1894" s="3" t="s">
        <v>1931</v>
      </c>
    </row>
    <row r="1895" spans="1:37" hidden="1" x14ac:dyDescent="0.25">
      <c r="A1895" t="str">
        <f t="shared" si="29"/>
        <v>2023_NSW_WaggaWagga_Lupin_DetailedTOS1VarietyJurienWaterTrtIrrigated</v>
      </c>
      <c r="B1895" s="2">
        <v>2023021</v>
      </c>
      <c r="C1895" s="3" t="s">
        <v>1930</v>
      </c>
      <c r="D1895" s="3" t="s">
        <v>1931</v>
      </c>
      <c r="F1895" s="3" t="s">
        <v>4194</v>
      </c>
      <c r="G1895" s="3" t="s">
        <v>39</v>
      </c>
      <c r="H1895" s="3" t="s">
        <v>250</v>
      </c>
      <c r="I1895" s="2">
        <v>72</v>
      </c>
      <c r="J1895" s="2">
        <v>36</v>
      </c>
      <c r="K1895" s="2">
        <v>4</v>
      </c>
      <c r="O1895" s="2">
        <v>1</v>
      </c>
      <c r="U1895" s="2">
        <v>9</v>
      </c>
      <c r="V1895" s="2">
        <v>3</v>
      </c>
      <c r="W1895" s="2">
        <v>8</v>
      </c>
      <c r="X1895" s="2">
        <v>2</v>
      </c>
      <c r="Z1895" s="2">
        <v>8</v>
      </c>
      <c r="AA1895" s="3" t="s">
        <v>57</v>
      </c>
      <c r="AB1895" s="2">
        <v>2</v>
      </c>
      <c r="AF1895" s="2">
        <v>30</v>
      </c>
      <c r="AG1895" s="2">
        <v>1</v>
      </c>
      <c r="AH1895" s="3" t="s">
        <v>1809</v>
      </c>
      <c r="AI1895" s="4">
        <v>45042</v>
      </c>
      <c r="AJ1895" s="3" t="s">
        <v>2005</v>
      </c>
      <c r="AK1895" s="3" t="s">
        <v>1931</v>
      </c>
    </row>
    <row r="1896" spans="1:37" hidden="1" x14ac:dyDescent="0.25">
      <c r="A1896" t="str">
        <f t="shared" si="29"/>
        <v>2023_NSW_WaggaWagga_Lupin_DetailedTOS2VarietyJurienWaterTrtIrrigated</v>
      </c>
      <c r="B1896" s="2">
        <v>2023021</v>
      </c>
      <c r="C1896" s="3" t="s">
        <v>1930</v>
      </c>
      <c r="D1896" s="3" t="s">
        <v>1931</v>
      </c>
      <c r="F1896" s="3" t="s">
        <v>4194</v>
      </c>
      <c r="G1896" s="3" t="s">
        <v>39</v>
      </c>
      <c r="H1896" s="3" t="s">
        <v>253</v>
      </c>
      <c r="I1896" s="2">
        <v>73</v>
      </c>
      <c r="J1896" s="2">
        <v>37</v>
      </c>
      <c r="K1896" s="2">
        <v>3</v>
      </c>
      <c r="O1896" s="2">
        <v>2</v>
      </c>
      <c r="U1896" s="2">
        <v>6</v>
      </c>
      <c r="V1896" s="2">
        <v>6</v>
      </c>
      <c r="W1896" s="2">
        <v>5</v>
      </c>
      <c r="X1896" s="2">
        <v>3</v>
      </c>
      <c r="AA1896" s="3" t="s">
        <v>57</v>
      </c>
      <c r="AB1896" s="2">
        <v>2</v>
      </c>
      <c r="AF1896" s="2">
        <v>30</v>
      </c>
      <c r="AG1896" s="2">
        <v>2</v>
      </c>
      <c r="AH1896" s="3" t="s">
        <v>1800</v>
      </c>
      <c r="AI1896" s="4">
        <v>45077</v>
      </c>
      <c r="AJ1896" s="3" t="s">
        <v>2006</v>
      </c>
      <c r="AK1896" s="3" t="s">
        <v>1931</v>
      </c>
    </row>
    <row r="1897" spans="1:37" hidden="1" x14ac:dyDescent="0.25">
      <c r="A1897" t="str">
        <f t="shared" si="29"/>
        <v>2023_NSW_WaggaWagga_Lupin_DetailedTOS2VarietyJurienWaterTrtIrrigated</v>
      </c>
      <c r="B1897" s="2">
        <v>2023021</v>
      </c>
      <c r="C1897" s="3" t="s">
        <v>1930</v>
      </c>
      <c r="D1897" s="3" t="s">
        <v>1931</v>
      </c>
      <c r="F1897" s="3" t="s">
        <v>4194</v>
      </c>
      <c r="G1897" s="3" t="s">
        <v>39</v>
      </c>
      <c r="H1897" s="3" t="s">
        <v>250</v>
      </c>
      <c r="I1897" s="2">
        <v>74</v>
      </c>
      <c r="J1897" s="2">
        <v>37</v>
      </c>
      <c r="K1897" s="2">
        <v>3</v>
      </c>
      <c r="O1897" s="2">
        <v>2</v>
      </c>
      <c r="U1897" s="2">
        <v>6</v>
      </c>
      <c r="V1897" s="2">
        <v>7</v>
      </c>
      <c r="W1897" s="2">
        <v>5</v>
      </c>
      <c r="X1897" s="2">
        <v>4</v>
      </c>
      <c r="Z1897" s="2">
        <v>12</v>
      </c>
      <c r="AA1897" s="3" t="s">
        <v>57</v>
      </c>
      <c r="AB1897" s="2">
        <v>2</v>
      </c>
      <c r="AF1897" s="2">
        <v>30</v>
      </c>
      <c r="AG1897" s="2">
        <v>2</v>
      </c>
      <c r="AH1897" s="3" t="s">
        <v>1800</v>
      </c>
      <c r="AI1897" s="4">
        <v>45077</v>
      </c>
      <c r="AJ1897" s="3" t="s">
        <v>2007</v>
      </c>
      <c r="AK1897" s="3" t="s">
        <v>1931</v>
      </c>
    </row>
    <row r="1898" spans="1:37" hidden="1" x14ac:dyDescent="0.25">
      <c r="A1898" t="str">
        <f t="shared" si="29"/>
        <v>2023_NSW_WaggaWagga_Lupin_DetailedTOS2VarietyBatemanWaterTrtIrrigated</v>
      </c>
      <c r="B1898" s="2">
        <v>2023021</v>
      </c>
      <c r="C1898" s="3" t="s">
        <v>1930</v>
      </c>
      <c r="D1898" s="3" t="s">
        <v>1931</v>
      </c>
      <c r="F1898" s="3" t="s">
        <v>4195</v>
      </c>
      <c r="G1898" s="3" t="s">
        <v>43</v>
      </c>
      <c r="H1898" s="3" t="s">
        <v>253</v>
      </c>
      <c r="I1898" s="2">
        <v>75</v>
      </c>
      <c r="J1898" s="2">
        <v>38</v>
      </c>
      <c r="K1898" s="2">
        <v>3</v>
      </c>
      <c r="O1898" s="2">
        <v>2</v>
      </c>
      <c r="U1898" s="2">
        <v>7</v>
      </c>
      <c r="V1898" s="2">
        <v>6</v>
      </c>
      <c r="W1898" s="2">
        <v>6</v>
      </c>
      <c r="X1898" s="2">
        <v>3</v>
      </c>
      <c r="AA1898" s="3" t="s">
        <v>57</v>
      </c>
      <c r="AB1898" s="2">
        <v>1</v>
      </c>
      <c r="AF1898" s="2">
        <v>30</v>
      </c>
      <c r="AG1898" s="2">
        <v>2</v>
      </c>
      <c r="AH1898" s="3" t="s">
        <v>1800</v>
      </c>
      <c r="AI1898" s="4">
        <v>45077</v>
      </c>
      <c r="AJ1898" s="3" t="s">
        <v>2008</v>
      </c>
      <c r="AK1898" s="3" t="s">
        <v>1931</v>
      </c>
    </row>
    <row r="1899" spans="1:37" hidden="1" x14ac:dyDescent="0.25">
      <c r="A1899" t="str">
        <f t="shared" si="29"/>
        <v>2023_NSW_WaggaWagga_Lupin_DetailedTOS2VarietyBatemanWaterTrtIrrigated</v>
      </c>
      <c r="B1899" s="2">
        <v>2023021</v>
      </c>
      <c r="C1899" s="3" t="s">
        <v>1930</v>
      </c>
      <c r="D1899" s="3" t="s">
        <v>1931</v>
      </c>
      <c r="F1899" s="3" t="s">
        <v>4195</v>
      </c>
      <c r="G1899" s="3" t="s">
        <v>43</v>
      </c>
      <c r="H1899" s="3" t="s">
        <v>250</v>
      </c>
      <c r="I1899" s="2">
        <v>76</v>
      </c>
      <c r="J1899" s="2">
        <v>38</v>
      </c>
      <c r="K1899" s="2">
        <v>3</v>
      </c>
      <c r="O1899" s="2">
        <v>2</v>
      </c>
      <c r="U1899" s="2">
        <v>7</v>
      </c>
      <c r="V1899" s="2">
        <v>7</v>
      </c>
      <c r="W1899" s="2">
        <v>6</v>
      </c>
      <c r="X1899" s="2">
        <v>4</v>
      </c>
      <c r="Z1899" s="2">
        <v>11</v>
      </c>
      <c r="AA1899" s="3" t="s">
        <v>57</v>
      </c>
      <c r="AB1899" s="2">
        <v>1</v>
      </c>
      <c r="AF1899" s="2">
        <v>30</v>
      </c>
      <c r="AG1899" s="2">
        <v>2</v>
      </c>
      <c r="AH1899" s="3" t="s">
        <v>1800</v>
      </c>
      <c r="AI1899" s="4">
        <v>45077</v>
      </c>
      <c r="AJ1899" s="3" t="s">
        <v>2009</v>
      </c>
      <c r="AK1899" s="3" t="s">
        <v>1931</v>
      </c>
    </row>
    <row r="1900" spans="1:37" hidden="1" x14ac:dyDescent="0.25">
      <c r="A1900" t="str">
        <f t="shared" si="29"/>
        <v>2023_NSW_WaggaWagga_Lupin_DetailedTOS2VarietyWongaWaterTrtIrrigated</v>
      </c>
      <c r="B1900" s="2">
        <v>2023021</v>
      </c>
      <c r="C1900" s="3" t="s">
        <v>1930</v>
      </c>
      <c r="D1900" s="3" t="s">
        <v>1931</v>
      </c>
      <c r="F1900" s="3" t="s">
        <v>1932</v>
      </c>
      <c r="G1900" s="3" t="s">
        <v>39</v>
      </c>
      <c r="H1900" s="3" t="s">
        <v>253</v>
      </c>
      <c r="I1900" s="2">
        <v>77</v>
      </c>
      <c r="J1900" s="2">
        <v>39</v>
      </c>
      <c r="K1900" s="2">
        <v>4</v>
      </c>
      <c r="O1900" s="2">
        <v>2</v>
      </c>
      <c r="U1900" s="2">
        <v>8</v>
      </c>
      <c r="V1900" s="2">
        <v>6</v>
      </c>
      <c r="W1900" s="2">
        <v>7</v>
      </c>
      <c r="X1900" s="2">
        <v>3</v>
      </c>
      <c r="AA1900" s="3" t="s">
        <v>57</v>
      </c>
      <c r="AB1900" s="2">
        <v>4</v>
      </c>
      <c r="AF1900" s="2">
        <v>30</v>
      </c>
      <c r="AG1900" s="2">
        <v>2</v>
      </c>
      <c r="AH1900" s="3" t="s">
        <v>1800</v>
      </c>
      <c r="AI1900" s="4">
        <v>45077</v>
      </c>
      <c r="AJ1900" s="3" t="s">
        <v>2010</v>
      </c>
      <c r="AK1900" s="3" t="s">
        <v>1931</v>
      </c>
    </row>
    <row r="1901" spans="1:37" hidden="1" x14ac:dyDescent="0.25">
      <c r="A1901" t="str">
        <f t="shared" si="29"/>
        <v>2023_NSW_WaggaWagga_Lupin_DetailedTOS2VarietyWongaWaterTrtIrrigated</v>
      </c>
      <c r="B1901" s="2">
        <v>2023021</v>
      </c>
      <c r="C1901" s="3" t="s">
        <v>1930</v>
      </c>
      <c r="D1901" s="3" t="s">
        <v>1931</v>
      </c>
      <c r="F1901" s="3" t="s">
        <v>1932</v>
      </c>
      <c r="G1901" s="3" t="s">
        <v>39</v>
      </c>
      <c r="H1901" s="3" t="s">
        <v>250</v>
      </c>
      <c r="I1901" s="2">
        <v>78</v>
      </c>
      <c r="J1901" s="2">
        <v>39</v>
      </c>
      <c r="K1901" s="2">
        <v>4</v>
      </c>
      <c r="O1901" s="2">
        <v>2</v>
      </c>
      <c r="U1901" s="2">
        <v>8</v>
      </c>
      <c r="V1901" s="2">
        <v>7</v>
      </c>
      <c r="W1901" s="2">
        <v>7</v>
      </c>
      <c r="X1901" s="2">
        <v>4</v>
      </c>
      <c r="Z1901" s="2">
        <v>10</v>
      </c>
      <c r="AA1901" s="3" t="s">
        <v>57</v>
      </c>
      <c r="AB1901" s="2">
        <v>4</v>
      </c>
      <c r="AF1901" s="2">
        <v>30</v>
      </c>
      <c r="AG1901" s="2">
        <v>2</v>
      </c>
      <c r="AH1901" s="3" t="s">
        <v>1800</v>
      </c>
      <c r="AI1901" s="4">
        <v>45077</v>
      </c>
      <c r="AJ1901" s="3" t="s">
        <v>2011</v>
      </c>
      <c r="AK1901" s="3" t="s">
        <v>1931</v>
      </c>
    </row>
    <row r="1902" spans="1:37" hidden="1" x14ac:dyDescent="0.25">
      <c r="A1902" t="str">
        <f t="shared" si="29"/>
        <v>2023_NSW_WaggaWagga_Lupin_DetailedTOS2VarietyMandelupWaterTrtIrrigated</v>
      </c>
      <c r="B1902" s="2">
        <v>2023021</v>
      </c>
      <c r="C1902" s="3" t="s">
        <v>1930</v>
      </c>
      <c r="D1902" s="3" t="s">
        <v>1931</v>
      </c>
      <c r="F1902" s="3" t="s">
        <v>1939</v>
      </c>
      <c r="G1902" s="3" t="s">
        <v>39</v>
      </c>
      <c r="H1902" s="3" t="s">
        <v>253</v>
      </c>
      <c r="I1902" s="2">
        <v>79</v>
      </c>
      <c r="J1902" s="2">
        <v>40</v>
      </c>
      <c r="K1902" s="2">
        <v>4</v>
      </c>
      <c r="O1902" s="2">
        <v>2</v>
      </c>
      <c r="U1902" s="2">
        <v>9</v>
      </c>
      <c r="V1902" s="2">
        <v>6</v>
      </c>
      <c r="W1902" s="2">
        <v>8</v>
      </c>
      <c r="X1902" s="2">
        <v>3</v>
      </c>
      <c r="AA1902" s="3" t="s">
        <v>57</v>
      </c>
      <c r="AB1902" s="2">
        <v>3</v>
      </c>
      <c r="AF1902" s="2">
        <v>30</v>
      </c>
      <c r="AG1902" s="2">
        <v>2</v>
      </c>
      <c r="AH1902" s="3" t="s">
        <v>1800</v>
      </c>
      <c r="AI1902" s="4">
        <v>45077</v>
      </c>
      <c r="AJ1902" s="3" t="s">
        <v>2012</v>
      </c>
      <c r="AK1902" s="3" t="s">
        <v>1931</v>
      </c>
    </row>
    <row r="1903" spans="1:37" hidden="1" x14ac:dyDescent="0.25">
      <c r="A1903" t="str">
        <f t="shared" si="29"/>
        <v>2023_NSW_WaggaWagga_Lupin_DetailedTOS2VarietyMandelupWaterTrtIrrigated</v>
      </c>
      <c r="B1903" s="2">
        <v>2023021</v>
      </c>
      <c r="C1903" s="3" t="s">
        <v>1930</v>
      </c>
      <c r="D1903" s="3" t="s">
        <v>1931</v>
      </c>
      <c r="F1903" s="3" t="s">
        <v>1939</v>
      </c>
      <c r="G1903" s="3" t="s">
        <v>39</v>
      </c>
      <c r="H1903" s="3" t="s">
        <v>250</v>
      </c>
      <c r="I1903" s="2">
        <v>80</v>
      </c>
      <c r="J1903" s="2">
        <v>40</v>
      </c>
      <c r="K1903" s="2">
        <v>4</v>
      </c>
      <c r="O1903" s="2">
        <v>2</v>
      </c>
      <c r="U1903" s="2">
        <v>9</v>
      </c>
      <c r="V1903" s="2">
        <v>7</v>
      </c>
      <c r="W1903" s="2">
        <v>8</v>
      </c>
      <c r="X1903" s="2">
        <v>4</v>
      </c>
      <c r="Z1903" s="2">
        <v>9</v>
      </c>
      <c r="AA1903" s="3" t="s">
        <v>57</v>
      </c>
      <c r="AB1903" s="2">
        <v>3</v>
      </c>
      <c r="AF1903" s="2">
        <v>30</v>
      </c>
      <c r="AG1903" s="2">
        <v>2</v>
      </c>
      <c r="AH1903" s="3" t="s">
        <v>1800</v>
      </c>
      <c r="AI1903" s="4">
        <v>45077</v>
      </c>
      <c r="AJ1903" s="3" t="s">
        <v>2013</v>
      </c>
      <c r="AK1903" s="3" t="s">
        <v>1931</v>
      </c>
    </row>
    <row r="1904" spans="1:37" hidden="1" x14ac:dyDescent="0.25">
      <c r="A1904" t="str">
        <f t="shared" si="29"/>
        <v>2023_NSW_WaggaWagga_Lupin_DetailedTOS2VarietyBatemanWaterTrtIrrigated</v>
      </c>
      <c r="B1904" s="2">
        <v>2023021</v>
      </c>
      <c r="C1904" s="3" t="s">
        <v>1930</v>
      </c>
      <c r="D1904" s="3" t="s">
        <v>1931</v>
      </c>
      <c r="F1904" s="3" t="s">
        <v>4195</v>
      </c>
      <c r="G1904" s="3" t="s">
        <v>43</v>
      </c>
      <c r="H1904" s="3" t="s">
        <v>253</v>
      </c>
      <c r="I1904" s="2">
        <v>81</v>
      </c>
      <c r="J1904" s="2">
        <v>41</v>
      </c>
      <c r="K1904" s="2">
        <v>3</v>
      </c>
      <c r="O1904" s="2">
        <v>3</v>
      </c>
      <c r="U1904" s="2">
        <v>6</v>
      </c>
      <c r="V1904" s="2">
        <v>10</v>
      </c>
      <c r="W1904" s="2">
        <v>5</v>
      </c>
      <c r="X1904" s="2">
        <v>5</v>
      </c>
      <c r="AA1904" s="3" t="s">
        <v>57</v>
      </c>
      <c r="AB1904" s="2">
        <v>1</v>
      </c>
      <c r="AF1904" s="2">
        <v>30</v>
      </c>
      <c r="AG1904" s="2">
        <v>2</v>
      </c>
      <c r="AH1904" s="3" t="s">
        <v>1800</v>
      </c>
      <c r="AI1904" s="4">
        <v>45077</v>
      </c>
      <c r="AJ1904" s="3" t="s">
        <v>2014</v>
      </c>
      <c r="AK1904" s="3" t="s">
        <v>1931</v>
      </c>
    </row>
    <row r="1905" spans="1:37" hidden="1" x14ac:dyDescent="0.25">
      <c r="A1905" t="str">
        <f t="shared" si="29"/>
        <v>2023_NSW_WaggaWagga_Lupin_DetailedTOS2VarietyBatemanWaterTrtIrrigated</v>
      </c>
      <c r="B1905" s="2">
        <v>2023021</v>
      </c>
      <c r="C1905" s="3" t="s">
        <v>1930</v>
      </c>
      <c r="D1905" s="3" t="s">
        <v>1931</v>
      </c>
      <c r="F1905" s="3" t="s">
        <v>4195</v>
      </c>
      <c r="G1905" s="3" t="s">
        <v>43</v>
      </c>
      <c r="H1905" s="3" t="s">
        <v>250</v>
      </c>
      <c r="I1905" s="2">
        <v>82</v>
      </c>
      <c r="J1905" s="2">
        <v>41</v>
      </c>
      <c r="K1905" s="2">
        <v>3</v>
      </c>
      <c r="O1905" s="2">
        <v>3</v>
      </c>
      <c r="U1905" s="2">
        <v>6</v>
      </c>
      <c r="V1905" s="2">
        <v>11</v>
      </c>
      <c r="W1905" s="2">
        <v>5</v>
      </c>
      <c r="X1905" s="2">
        <v>6</v>
      </c>
      <c r="Z1905" s="2">
        <v>21</v>
      </c>
      <c r="AA1905" s="3" t="s">
        <v>57</v>
      </c>
      <c r="AB1905" s="2">
        <v>1</v>
      </c>
      <c r="AF1905" s="2">
        <v>30</v>
      </c>
      <c r="AG1905" s="2">
        <v>2</v>
      </c>
      <c r="AH1905" s="3" t="s">
        <v>1800</v>
      </c>
      <c r="AI1905" s="4">
        <v>45077</v>
      </c>
      <c r="AJ1905" s="3" t="s">
        <v>2015</v>
      </c>
      <c r="AK1905" s="3" t="s">
        <v>1931</v>
      </c>
    </row>
    <row r="1906" spans="1:37" hidden="1" x14ac:dyDescent="0.25">
      <c r="A1906" t="str">
        <f t="shared" si="29"/>
        <v>2023_NSW_WaggaWagga_Lupin_DetailedTOS2VarietyMandelupWaterTrtIrrigated</v>
      </c>
      <c r="B1906" s="2">
        <v>2023021</v>
      </c>
      <c r="C1906" s="3" t="s">
        <v>1930</v>
      </c>
      <c r="D1906" s="3" t="s">
        <v>1931</v>
      </c>
      <c r="F1906" s="3" t="s">
        <v>1939</v>
      </c>
      <c r="G1906" s="3" t="s">
        <v>39</v>
      </c>
      <c r="H1906" s="3" t="s">
        <v>253</v>
      </c>
      <c r="I1906" s="2">
        <v>83</v>
      </c>
      <c r="J1906" s="2">
        <v>42</v>
      </c>
      <c r="K1906" s="2">
        <v>3</v>
      </c>
      <c r="O1906" s="2">
        <v>3</v>
      </c>
      <c r="U1906" s="2">
        <v>7</v>
      </c>
      <c r="V1906" s="2">
        <v>10</v>
      </c>
      <c r="W1906" s="2">
        <v>6</v>
      </c>
      <c r="X1906" s="2">
        <v>5</v>
      </c>
      <c r="AA1906" s="3" t="s">
        <v>57</v>
      </c>
      <c r="AB1906" s="2">
        <v>3</v>
      </c>
      <c r="AF1906" s="2">
        <v>30</v>
      </c>
      <c r="AG1906" s="2">
        <v>2</v>
      </c>
      <c r="AH1906" s="3" t="s">
        <v>1800</v>
      </c>
      <c r="AI1906" s="4">
        <v>45077</v>
      </c>
      <c r="AJ1906" s="3" t="s">
        <v>2016</v>
      </c>
      <c r="AK1906" s="3" t="s">
        <v>1931</v>
      </c>
    </row>
    <row r="1907" spans="1:37" hidden="1" x14ac:dyDescent="0.25">
      <c r="A1907" t="str">
        <f t="shared" si="29"/>
        <v>2023_NSW_WaggaWagga_Lupin_DetailedTOS2VarietyMandelupWaterTrtIrrigated</v>
      </c>
      <c r="B1907" s="2">
        <v>2023021</v>
      </c>
      <c r="C1907" s="3" t="s">
        <v>1930</v>
      </c>
      <c r="D1907" s="3" t="s">
        <v>1931</v>
      </c>
      <c r="F1907" s="3" t="s">
        <v>1939</v>
      </c>
      <c r="G1907" s="3" t="s">
        <v>39</v>
      </c>
      <c r="H1907" s="3" t="s">
        <v>250</v>
      </c>
      <c r="I1907" s="2">
        <v>84</v>
      </c>
      <c r="J1907" s="2">
        <v>42</v>
      </c>
      <c r="K1907" s="2">
        <v>3</v>
      </c>
      <c r="O1907" s="2">
        <v>3</v>
      </c>
      <c r="U1907" s="2">
        <v>7</v>
      </c>
      <c r="V1907" s="2">
        <v>11</v>
      </c>
      <c r="W1907" s="2">
        <v>6</v>
      </c>
      <c r="X1907" s="2">
        <v>6</v>
      </c>
      <c r="Z1907" s="2">
        <v>22</v>
      </c>
      <c r="AA1907" s="3" t="s">
        <v>57</v>
      </c>
      <c r="AB1907" s="2">
        <v>3</v>
      </c>
      <c r="AF1907" s="2">
        <v>30</v>
      </c>
      <c r="AG1907" s="2">
        <v>2</v>
      </c>
      <c r="AH1907" s="3" t="s">
        <v>1800</v>
      </c>
      <c r="AI1907" s="4">
        <v>45077</v>
      </c>
      <c r="AJ1907" s="3" t="s">
        <v>2017</v>
      </c>
      <c r="AK1907" s="3" t="s">
        <v>1931</v>
      </c>
    </row>
    <row r="1908" spans="1:37" hidden="1" x14ac:dyDescent="0.25">
      <c r="A1908" t="str">
        <f t="shared" si="29"/>
        <v>2023_NSW_WaggaWagga_Lupin_DetailedTOS2VarietyJurienWaterTrtIrrigated</v>
      </c>
      <c r="B1908" s="2">
        <v>2023021</v>
      </c>
      <c r="C1908" s="3" t="s">
        <v>1930</v>
      </c>
      <c r="D1908" s="3" t="s">
        <v>1931</v>
      </c>
      <c r="F1908" s="3" t="s">
        <v>4194</v>
      </c>
      <c r="G1908" s="3" t="s">
        <v>39</v>
      </c>
      <c r="H1908" s="3" t="s">
        <v>253</v>
      </c>
      <c r="I1908" s="2">
        <v>85</v>
      </c>
      <c r="J1908" s="2">
        <v>43</v>
      </c>
      <c r="K1908" s="2">
        <v>4</v>
      </c>
      <c r="O1908" s="2">
        <v>3</v>
      </c>
      <c r="U1908" s="2">
        <v>8</v>
      </c>
      <c r="V1908" s="2">
        <v>10</v>
      </c>
      <c r="W1908" s="2">
        <v>7</v>
      </c>
      <c r="X1908" s="2">
        <v>5</v>
      </c>
      <c r="AA1908" s="3" t="s">
        <v>57</v>
      </c>
      <c r="AB1908" s="2">
        <v>2</v>
      </c>
      <c r="AF1908" s="2">
        <v>30</v>
      </c>
      <c r="AG1908" s="2">
        <v>2</v>
      </c>
      <c r="AH1908" s="3" t="s">
        <v>1800</v>
      </c>
      <c r="AI1908" s="4">
        <v>45077</v>
      </c>
      <c r="AJ1908" s="3" t="s">
        <v>2018</v>
      </c>
      <c r="AK1908" s="3" t="s">
        <v>1931</v>
      </c>
    </row>
    <row r="1909" spans="1:37" hidden="1" x14ac:dyDescent="0.25">
      <c r="A1909" t="str">
        <f t="shared" si="29"/>
        <v>2023_NSW_WaggaWagga_Lupin_DetailedTOS2VarietyJurienWaterTrtIrrigated</v>
      </c>
      <c r="B1909" s="2">
        <v>2023021</v>
      </c>
      <c r="C1909" s="3" t="s">
        <v>1930</v>
      </c>
      <c r="D1909" s="3" t="s">
        <v>1931</v>
      </c>
      <c r="F1909" s="3" t="s">
        <v>4194</v>
      </c>
      <c r="G1909" s="3" t="s">
        <v>39</v>
      </c>
      <c r="H1909" s="3" t="s">
        <v>250</v>
      </c>
      <c r="I1909" s="2">
        <v>86</v>
      </c>
      <c r="J1909" s="2">
        <v>43</v>
      </c>
      <c r="K1909" s="2">
        <v>4</v>
      </c>
      <c r="O1909" s="2">
        <v>3</v>
      </c>
      <c r="U1909" s="2">
        <v>8</v>
      </c>
      <c r="V1909" s="2">
        <v>11</v>
      </c>
      <c r="W1909" s="2">
        <v>7</v>
      </c>
      <c r="X1909" s="2">
        <v>6</v>
      </c>
      <c r="Z1909" s="2">
        <v>23</v>
      </c>
      <c r="AA1909" s="3" t="s">
        <v>57</v>
      </c>
      <c r="AB1909" s="2">
        <v>2</v>
      </c>
      <c r="AF1909" s="2">
        <v>30</v>
      </c>
      <c r="AG1909" s="2">
        <v>2</v>
      </c>
      <c r="AH1909" s="3" t="s">
        <v>1800</v>
      </c>
      <c r="AI1909" s="4">
        <v>45077</v>
      </c>
      <c r="AJ1909" s="3" t="s">
        <v>2019</v>
      </c>
      <c r="AK1909" s="3" t="s">
        <v>1931</v>
      </c>
    </row>
    <row r="1910" spans="1:37" hidden="1" x14ac:dyDescent="0.25">
      <c r="A1910" t="str">
        <f t="shared" si="29"/>
        <v>2023_NSW_WaggaWagga_Lupin_DetailedTOS2VarietyWongaWaterTrtIrrigated</v>
      </c>
      <c r="B1910" s="2">
        <v>2023021</v>
      </c>
      <c r="C1910" s="3" t="s">
        <v>1930</v>
      </c>
      <c r="D1910" s="3" t="s">
        <v>1931</v>
      </c>
      <c r="F1910" s="3" t="s">
        <v>1932</v>
      </c>
      <c r="G1910" s="3" t="s">
        <v>39</v>
      </c>
      <c r="H1910" s="3" t="s">
        <v>253</v>
      </c>
      <c r="I1910" s="2">
        <v>87</v>
      </c>
      <c r="J1910" s="2">
        <v>44</v>
      </c>
      <c r="K1910" s="2">
        <v>4</v>
      </c>
      <c r="O1910" s="2">
        <v>3</v>
      </c>
      <c r="U1910" s="2">
        <v>9</v>
      </c>
      <c r="V1910" s="2">
        <v>10</v>
      </c>
      <c r="W1910" s="2">
        <v>8</v>
      </c>
      <c r="X1910" s="2">
        <v>5</v>
      </c>
      <c r="AA1910" s="3" t="s">
        <v>57</v>
      </c>
      <c r="AB1910" s="2">
        <v>4</v>
      </c>
      <c r="AF1910" s="2">
        <v>30</v>
      </c>
      <c r="AG1910" s="2">
        <v>2</v>
      </c>
      <c r="AH1910" s="3" t="s">
        <v>1800</v>
      </c>
      <c r="AI1910" s="4">
        <v>45077</v>
      </c>
      <c r="AJ1910" s="3" t="s">
        <v>2020</v>
      </c>
      <c r="AK1910" s="3" t="s">
        <v>1931</v>
      </c>
    </row>
    <row r="1911" spans="1:37" hidden="1" x14ac:dyDescent="0.25">
      <c r="A1911" t="str">
        <f t="shared" si="29"/>
        <v>2023_NSW_WaggaWagga_Lupin_DetailedTOS2VarietyWongaWaterTrtIrrigated</v>
      </c>
      <c r="B1911" s="2">
        <v>2023021</v>
      </c>
      <c r="C1911" s="3" t="s">
        <v>1930</v>
      </c>
      <c r="D1911" s="3" t="s">
        <v>1931</v>
      </c>
      <c r="F1911" s="3" t="s">
        <v>1932</v>
      </c>
      <c r="G1911" s="3" t="s">
        <v>39</v>
      </c>
      <c r="H1911" s="3" t="s">
        <v>250</v>
      </c>
      <c r="I1911" s="2">
        <v>88</v>
      </c>
      <c r="J1911" s="2">
        <v>44</v>
      </c>
      <c r="K1911" s="2">
        <v>4</v>
      </c>
      <c r="O1911" s="2">
        <v>3</v>
      </c>
      <c r="U1911" s="2">
        <v>9</v>
      </c>
      <c r="V1911" s="2">
        <v>11</v>
      </c>
      <c r="W1911" s="2">
        <v>8</v>
      </c>
      <c r="X1911" s="2">
        <v>6</v>
      </c>
      <c r="Z1911" s="2">
        <v>24</v>
      </c>
      <c r="AA1911" s="3" t="s">
        <v>57</v>
      </c>
      <c r="AB1911" s="2">
        <v>4</v>
      </c>
      <c r="AF1911" s="2">
        <v>30</v>
      </c>
      <c r="AG1911" s="2">
        <v>2</v>
      </c>
      <c r="AH1911" s="3" t="s">
        <v>1800</v>
      </c>
      <c r="AI1911" s="4">
        <v>45077</v>
      </c>
      <c r="AJ1911" s="3" t="s">
        <v>2021</v>
      </c>
      <c r="AK1911" s="3" t="s">
        <v>1931</v>
      </c>
    </row>
    <row r="1912" spans="1:37" hidden="1" x14ac:dyDescent="0.25">
      <c r="A1912" t="str">
        <f t="shared" si="29"/>
        <v>2023_NSW_WaggaWagga_Lupin_DetailedTOS1VarietyWongaWaterTrtIrrigated</v>
      </c>
      <c r="B1912" s="2">
        <v>2023021</v>
      </c>
      <c r="C1912" s="3" t="s">
        <v>1930</v>
      </c>
      <c r="D1912" s="3" t="s">
        <v>1931</v>
      </c>
      <c r="F1912" s="3" t="s">
        <v>1932</v>
      </c>
      <c r="G1912" s="3" t="s">
        <v>39</v>
      </c>
      <c r="H1912" s="3" t="s">
        <v>253</v>
      </c>
      <c r="I1912" s="2">
        <v>89</v>
      </c>
      <c r="J1912" s="2">
        <v>45</v>
      </c>
      <c r="K1912" s="2">
        <v>3</v>
      </c>
      <c r="O1912" s="2">
        <v>4</v>
      </c>
      <c r="U1912" s="2">
        <v>6</v>
      </c>
      <c r="V1912" s="2">
        <v>14</v>
      </c>
      <c r="W1912" s="2">
        <v>5</v>
      </c>
      <c r="X1912" s="2">
        <v>7</v>
      </c>
      <c r="AA1912" s="3" t="s">
        <v>57</v>
      </c>
      <c r="AB1912" s="2">
        <v>4</v>
      </c>
      <c r="AF1912" s="2">
        <v>30</v>
      </c>
      <c r="AG1912" s="2">
        <v>1</v>
      </c>
      <c r="AH1912" s="3" t="s">
        <v>1809</v>
      </c>
      <c r="AI1912" s="4">
        <v>45042</v>
      </c>
      <c r="AJ1912" s="3" t="s">
        <v>2022</v>
      </c>
      <c r="AK1912" s="3" t="s">
        <v>1931</v>
      </c>
    </row>
    <row r="1913" spans="1:37" hidden="1" x14ac:dyDescent="0.25">
      <c r="A1913" t="str">
        <f t="shared" si="29"/>
        <v>2023_NSW_WaggaWagga_Lupin_DetailedTOS1VarietyWongaWaterTrtIrrigated</v>
      </c>
      <c r="B1913" s="2">
        <v>2023021</v>
      </c>
      <c r="C1913" s="3" t="s">
        <v>1930</v>
      </c>
      <c r="D1913" s="3" t="s">
        <v>1931</v>
      </c>
      <c r="F1913" s="3" t="s">
        <v>1932</v>
      </c>
      <c r="G1913" s="3" t="s">
        <v>39</v>
      </c>
      <c r="H1913" s="3" t="s">
        <v>250</v>
      </c>
      <c r="I1913" s="2">
        <v>90</v>
      </c>
      <c r="J1913" s="2">
        <v>45</v>
      </c>
      <c r="K1913" s="2">
        <v>3</v>
      </c>
      <c r="O1913" s="2">
        <v>4</v>
      </c>
      <c r="U1913" s="2">
        <v>6</v>
      </c>
      <c r="V1913" s="2">
        <v>15</v>
      </c>
      <c r="W1913" s="2">
        <v>5</v>
      </c>
      <c r="X1913" s="2">
        <v>8</v>
      </c>
      <c r="Z1913" s="2">
        <v>28</v>
      </c>
      <c r="AA1913" s="3" t="s">
        <v>57</v>
      </c>
      <c r="AB1913" s="2">
        <v>4</v>
      </c>
      <c r="AF1913" s="2">
        <v>30</v>
      </c>
      <c r="AG1913" s="2">
        <v>1</v>
      </c>
      <c r="AH1913" s="3" t="s">
        <v>1809</v>
      </c>
      <c r="AI1913" s="4">
        <v>45042</v>
      </c>
      <c r="AJ1913" s="3" t="s">
        <v>2023</v>
      </c>
      <c r="AK1913" s="3" t="s">
        <v>1931</v>
      </c>
    </row>
    <row r="1914" spans="1:37" hidden="1" x14ac:dyDescent="0.25">
      <c r="A1914" t="str">
        <f t="shared" si="29"/>
        <v>2023_NSW_WaggaWagga_Lupin_DetailedTOS1VarietyJurienWaterTrtIrrigated</v>
      </c>
      <c r="B1914" s="2">
        <v>2023021</v>
      </c>
      <c r="C1914" s="3" t="s">
        <v>1930</v>
      </c>
      <c r="D1914" s="3" t="s">
        <v>1931</v>
      </c>
      <c r="F1914" s="3" t="s">
        <v>4194</v>
      </c>
      <c r="G1914" s="3" t="s">
        <v>39</v>
      </c>
      <c r="H1914" s="3" t="s">
        <v>253</v>
      </c>
      <c r="I1914" s="2">
        <v>91</v>
      </c>
      <c r="J1914" s="2">
        <v>46</v>
      </c>
      <c r="K1914" s="2">
        <v>3</v>
      </c>
      <c r="O1914" s="2">
        <v>4</v>
      </c>
      <c r="U1914" s="2">
        <v>7</v>
      </c>
      <c r="V1914" s="2">
        <v>14</v>
      </c>
      <c r="W1914" s="2">
        <v>6</v>
      </c>
      <c r="X1914" s="2">
        <v>7</v>
      </c>
      <c r="AA1914" s="3" t="s">
        <v>57</v>
      </c>
      <c r="AB1914" s="2">
        <v>2</v>
      </c>
      <c r="AF1914" s="2">
        <v>30</v>
      </c>
      <c r="AG1914" s="2">
        <v>1</v>
      </c>
      <c r="AH1914" s="3" t="s">
        <v>1809</v>
      </c>
      <c r="AI1914" s="4">
        <v>45042</v>
      </c>
      <c r="AJ1914" s="3" t="s">
        <v>2024</v>
      </c>
      <c r="AK1914" s="3" t="s">
        <v>1931</v>
      </c>
    </row>
    <row r="1915" spans="1:37" hidden="1" x14ac:dyDescent="0.25">
      <c r="A1915" t="str">
        <f t="shared" si="29"/>
        <v>2023_NSW_WaggaWagga_Lupin_DetailedTOS1VarietyJurienWaterTrtIrrigated</v>
      </c>
      <c r="B1915" s="2">
        <v>2023021</v>
      </c>
      <c r="C1915" s="3" t="s">
        <v>1930</v>
      </c>
      <c r="D1915" s="3" t="s">
        <v>1931</v>
      </c>
      <c r="F1915" s="3" t="s">
        <v>4194</v>
      </c>
      <c r="G1915" s="3" t="s">
        <v>39</v>
      </c>
      <c r="H1915" s="3" t="s">
        <v>250</v>
      </c>
      <c r="I1915" s="2">
        <v>92</v>
      </c>
      <c r="J1915" s="2">
        <v>46</v>
      </c>
      <c r="K1915" s="2">
        <v>3</v>
      </c>
      <c r="O1915" s="2">
        <v>4</v>
      </c>
      <c r="U1915" s="2">
        <v>7</v>
      </c>
      <c r="V1915" s="2">
        <v>15</v>
      </c>
      <c r="W1915" s="2">
        <v>6</v>
      </c>
      <c r="X1915" s="2">
        <v>8</v>
      </c>
      <c r="Z1915" s="2">
        <v>27</v>
      </c>
      <c r="AA1915" s="3" t="s">
        <v>57</v>
      </c>
      <c r="AB1915" s="2">
        <v>2</v>
      </c>
      <c r="AF1915" s="2">
        <v>30</v>
      </c>
      <c r="AG1915" s="2">
        <v>1</v>
      </c>
      <c r="AH1915" s="3" t="s">
        <v>1809</v>
      </c>
      <c r="AI1915" s="4">
        <v>45042</v>
      </c>
      <c r="AJ1915" s="3" t="s">
        <v>2025</v>
      </c>
      <c r="AK1915" s="3" t="s">
        <v>1931</v>
      </c>
    </row>
    <row r="1916" spans="1:37" hidden="1" x14ac:dyDescent="0.25">
      <c r="A1916" t="str">
        <f t="shared" si="29"/>
        <v>2023_NSW_WaggaWagga_Lupin_DetailedTOS1VarietyMandelupWaterTrtIrrigated</v>
      </c>
      <c r="B1916" s="2">
        <v>2023021</v>
      </c>
      <c r="C1916" s="3" t="s">
        <v>1930</v>
      </c>
      <c r="D1916" s="3" t="s">
        <v>1931</v>
      </c>
      <c r="F1916" s="3" t="s">
        <v>1939</v>
      </c>
      <c r="G1916" s="3" t="s">
        <v>39</v>
      </c>
      <c r="H1916" s="3" t="s">
        <v>253</v>
      </c>
      <c r="I1916" s="2">
        <v>93</v>
      </c>
      <c r="J1916" s="2">
        <v>47</v>
      </c>
      <c r="K1916" s="2">
        <v>4</v>
      </c>
      <c r="O1916" s="2">
        <v>4</v>
      </c>
      <c r="U1916" s="2">
        <v>8</v>
      </c>
      <c r="V1916" s="2">
        <v>14</v>
      </c>
      <c r="W1916" s="2">
        <v>7</v>
      </c>
      <c r="X1916" s="2">
        <v>7</v>
      </c>
      <c r="AA1916" s="3" t="s">
        <v>57</v>
      </c>
      <c r="AB1916" s="2">
        <v>3</v>
      </c>
      <c r="AF1916" s="2">
        <v>30</v>
      </c>
      <c r="AG1916" s="2">
        <v>1</v>
      </c>
      <c r="AH1916" s="3" t="s">
        <v>1809</v>
      </c>
      <c r="AI1916" s="4">
        <v>45042</v>
      </c>
      <c r="AJ1916" s="3" t="s">
        <v>2026</v>
      </c>
      <c r="AK1916" s="3" t="s">
        <v>1931</v>
      </c>
    </row>
    <row r="1917" spans="1:37" hidden="1" x14ac:dyDescent="0.25">
      <c r="A1917" t="str">
        <f t="shared" si="29"/>
        <v>2023_NSW_WaggaWagga_Lupin_DetailedTOS1VarietyMandelupWaterTrtIrrigated</v>
      </c>
      <c r="B1917" s="2">
        <v>2023021</v>
      </c>
      <c r="C1917" s="3" t="s">
        <v>1930</v>
      </c>
      <c r="D1917" s="3" t="s">
        <v>1931</v>
      </c>
      <c r="F1917" s="3" t="s">
        <v>1939</v>
      </c>
      <c r="G1917" s="3" t="s">
        <v>39</v>
      </c>
      <c r="H1917" s="3" t="s">
        <v>250</v>
      </c>
      <c r="I1917" s="2">
        <v>94</v>
      </c>
      <c r="J1917" s="2">
        <v>47</v>
      </c>
      <c r="K1917" s="2">
        <v>4</v>
      </c>
      <c r="O1917" s="2">
        <v>4</v>
      </c>
      <c r="U1917" s="2">
        <v>8</v>
      </c>
      <c r="V1917" s="2">
        <v>15</v>
      </c>
      <c r="W1917" s="2">
        <v>7</v>
      </c>
      <c r="X1917" s="2">
        <v>8</v>
      </c>
      <c r="Z1917" s="2">
        <v>26</v>
      </c>
      <c r="AA1917" s="3" t="s">
        <v>57</v>
      </c>
      <c r="AB1917" s="2">
        <v>3</v>
      </c>
      <c r="AF1917" s="2">
        <v>30</v>
      </c>
      <c r="AG1917" s="2">
        <v>1</v>
      </c>
      <c r="AH1917" s="3" t="s">
        <v>1809</v>
      </c>
      <c r="AI1917" s="4">
        <v>45042</v>
      </c>
      <c r="AJ1917" s="3" t="s">
        <v>2027</v>
      </c>
      <c r="AK1917" s="3" t="s">
        <v>1931</v>
      </c>
    </row>
    <row r="1918" spans="1:37" hidden="1" x14ac:dyDescent="0.25">
      <c r="A1918" t="str">
        <f t="shared" si="29"/>
        <v>2023_NSW_WaggaWagga_Lupin_DetailedTOS1VarietyBatemanWaterTrtIrrigated</v>
      </c>
      <c r="B1918" s="2">
        <v>2023021</v>
      </c>
      <c r="C1918" s="3" t="s">
        <v>1930</v>
      </c>
      <c r="D1918" s="3" t="s">
        <v>1931</v>
      </c>
      <c r="F1918" s="3" t="s">
        <v>4195</v>
      </c>
      <c r="G1918" s="3" t="s">
        <v>43</v>
      </c>
      <c r="H1918" s="3" t="s">
        <v>253</v>
      </c>
      <c r="I1918" s="2">
        <v>95</v>
      </c>
      <c r="J1918" s="2">
        <v>48</v>
      </c>
      <c r="K1918" s="2">
        <v>4</v>
      </c>
      <c r="O1918" s="2">
        <v>4</v>
      </c>
      <c r="U1918" s="2">
        <v>9</v>
      </c>
      <c r="V1918" s="2">
        <v>14</v>
      </c>
      <c r="W1918" s="2">
        <v>8</v>
      </c>
      <c r="X1918" s="2">
        <v>7</v>
      </c>
      <c r="AA1918" s="3" t="s">
        <v>57</v>
      </c>
      <c r="AB1918" s="2">
        <v>1</v>
      </c>
      <c r="AF1918" s="2">
        <v>30</v>
      </c>
      <c r="AG1918" s="2">
        <v>1</v>
      </c>
      <c r="AH1918" s="3" t="s">
        <v>1809</v>
      </c>
      <c r="AI1918" s="4">
        <v>45042</v>
      </c>
      <c r="AJ1918" s="3" t="s">
        <v>2028</v>
      </c>
      <c r="AK1918" s="3" t="s">
        <v>1931</v>
      </c>
    </row>
    <row r="1919" spans="1:37" hidden="1" x14ac:dyDescent="0.25">
      <c r="A1919" t="str">
        <f t="shared" si="29"/>
        <v>2023_NSW_WaggaWagga_Lupin_DetailedTOS1VarietyBatemanWaterTrtIrrigated</v>
      </c>
      <c r="B1919" s="2">
        <v>2023021</v>
      </c>
      <c r="C1919" s="3" t="s">
        <v>1930</v>
      </c>
      <c r="D1919" s="3" t="s">
        <v>1931</v>
      </c>
      <c r="F1919" s="3" t="s">
        <v>4195</v>
      </c>
      <c r="G1919" s="3" t="s">
        <v>43</v>
      </c>
      <c r="H1919" s="3" t="s">
        <v>250</v>
      </c>
      <c r="I1919" s="2">
        <v>96</v>
      </c>
      <c r="J1919" s="2">
        <v>48</v>
      </c>
      <c r="K1919" s="2">
        <v>4</v>
      </c>
      <c r="O1919" s="2">
        <v>4</v>
      </c>
      <c r="U1919" s="2">
        <v>9</v>
      </c>
      <c r="V1919" s="2">
        <v>15</v>
      </c>
      <c r="W1919" s="2">
        <v>8</v>
      </c>
      <c r="X1919" s="2">
        <v>8</v>
      </c>
      <c r="Z1919" s="2">
        <v>25</v>
      </c>
      <c r="AA1919" s="3" t="s">
        <v>57</v>
      </c>
      <c r="AB1919" s="2">
        <v>1</v>
      </c>
      <c r="AF1919" s="2">
        <v>30</v>
      </c>
      <c r="AG1919" s="2">
        <v>1</v>
      </c>
      <c r="AH1919" s="3" t="s">
        <v>1809</v>
      </c>
      <c r="AI1919" s="4">
        <v>45042</v>
      </c>
      <c r="AJ1919" s="3" t="s">
        <v>2029</v>
      </c>
      <c r="AK1919" s="3" t="s">
        <v>1931</v>
      </c>
    </row>
    <row r="1920" spans="1:37" hidden="1" x14ac:dyDescent="0.25">
      <c r="A1920" t="str">
        <f t="shared" si="29"/>
        <v>2023_NSW_WaggaWagga_Lupin_DetailedTOS2VarietyMandelupWaterTrtRainFed</v>
      </c>
      <c r="B1920" s="2">
        <v>2023021</v>
      </c>
      <c r="C1920" s="3" t="s">
        <v>1930</v>
      </c>
      <c r="D1920" s="3" t="s">
        <v>1931</v>
      </c>
      <c r="F1920" s="3" t="s">
        <v>1939</v>
      </c>
      <c r="G1920" s="3" t="s">
        <v>39</v>
      </c>
      <c r="H1920" s="3" t="s">
        <v>253</v>
      </c>
      <c r="I1920" s="2">
        <v>97</v>
      </c>
      <c r="J1920" s="2">
        <v>49</v>
      </c>
      <c r="K1920" s="2">
        <v>3</v>
      </c>
      <c r="O1920" s="2">
        <v>5</v>
      </c>
      <c r="U1920" s="2">
        <v>6</v>
      </c>
      <c r="V1920" s="2">
        <v>18</v>
      </c>
      <c r="W1920" s="2">
        <v>5</v>
      </c>
      <c r="X1920" s="2">
        <v>9</v>
      </c>
      <c r="AA1920" s="3" t="s">
        <v>40</v>
      </c>
      <c r="AB1920" s="2">
        <v>3</v>
      </c>
      <c r="AF1920" s="2">
        <v>30</v>
      </c>
      <c r="AG1920" s="2">
        <v>2</v>
      </c>
      <c r="AH1920" s="3" t="s">
        <v>1800</v>
      </c>
      <c r="AI1920" s="4">
        <v>45077</v>
      </c>
      <c r="AJ1920" s="3" t="s">
        <v>2030</v>
      </c>
      <c r="AK1920" s="3" t="s">
        <v>1931</v>
      </c>
    </row>
    <row r="1921" spans="1:37" hidden="1" x14ac:dyDescent="0.25">
      <c r="A1921" t="str">
        <f t="shared" si="29"/>
        <v>2023_NSW_WaggaWagga_Lupin_DetailedTOS2VarietyMandelupWaterTrtRainFed</v>
      </c>
      <c r="B1921" s="2">
        <v>2023021</v>
      </c>
      <c r="C1921" s="3" t="s">
        <v>1930</v>
      </c>
      <c r="D1921" s="3" t="s">
        <v>1931</v>
      </c>
      <c r="F1921" s="3" t="s">
        <v>1939</v>
      </c>
      <c r="G1921" s="3" t="s">
        <v>39</v>
      </c>
      <c r="H1921" s="3" t="s">
        <v>250</v>
      </c>
      <c r="I1921" s="2">
        <v>98</v>
      </c>
      <c r="J1921" s="2">
        <v>49</v>
      </c>
      <c r="K1921" s="2">
        <v>3</v>
      </c>
      <c r="O1921" s="2">
        <v>5</v>
      </c>
      <c r="U1921" s="2">
        <v>6</v>
      </c>
      <c r="V1921" s="2">
        <v>19</v>
      </c>
      <c r="W1921" s="2">
        <v>5</v>
      </c>
      <c r="X1921" s="2">
        <v>10</v>
      </c>
      <c r="Z1921" s="2">
        <v>37</v>
      </c>
      <c r="AA1921" s="3" t="s">
        <v>40</v>
      </c>
      <c r="AB1921" s="2">
        <v>3</v>
      </c>
      <c r="AF1921" s="2">
        <v>30</v>
      </c>
      <c r="AG1921" s="2">
        <v>2</v>
      </c>
      <c r="AH1921" s="3" t="s">
        <v>1800</v>
      </c>
      <c r="AI1921" s="4">
        <v>45077</v>
      </c>
      <c r="AJ1921" s="3" t="s">
        <v>2031</v>
      </c>
      <c r="AK1921" s="3" t="s">
        <v>1931</v>
      </c>
    </row>
    <row r="1922" spans="1:37" hidden="1" x14ac:dyDescent="0.25">
      <c r="A1922" t="str">
        <f t="shared" si="29"/>
        <v>2023_NSW_WaggaWagga_Lupin_DetailedTOS2VarietyWongaWaterTrtRainFed</v>
      </c>
      <c r="B1922" s="2">
        <v>2023021</v>
      </c>
      <c r="C1922" s="3" t="s">
        <v>1930</v>
      </c>
      <c r="D1922" s="3" t="s">
        <v>1931</v>
      </c>
      <c r="F1922" s="3" t="s">
        <v>1932</v>
      </c>
      <c r="G1922" s="3" t="s">
        <v>39</v>
      </c>
      <c r="H1922" s="3" t="s">
        <v>253</v>
      </c>
      <c r="I1922" s="2">
        <v>99</v>
      </c>
      <c r="J1922" s="2">
        <v>50</v>
      </c>
      <c r="K1922" s="2">
        <v>3</v>
      </c>
      <c r="O1922" s="2">
        <v>5</v>
      </c>
      <c r="U1922" s="2">
        <v>7</v>
      </c>
      <c r="V1922" s="2">
        <v>18</v>
      </c>
      <c r="W1922" s="2">
        <v>6</v>
      </c>
      <c r="X1922" s="2">
        <v>9</v>
      </c>
      <c r="AA1922" s="3" t="s">
        <v>40</v>
      </c>
      <c r="AB1922" s="2">
        <v>4</v>
      </c>
      <c r="AF1922" s="2">
        <v>30</v>
      </c>
      <c r="AG1922" s="2">
        <v>2</v>
      </c>
      <c r="AH1922" s="3" t="s">
        <v>1800</v>
      </c>
      <c r="AI1922" s="4">
        <v>45077</v>
      </c>
      <c r="AJ1922" s="3" t="s">
        <v>2032</v>
      </c>
      <c r="AK1922" s="3" t="s">
        <v>1931</v>
      </c>
    </row>
    <row r="1923" spans="1:37" hidden="1" x14ac:dyDescent="0.25">
      <c r="A1923" t="str">
        <f t="shared" ref="A1923:A1986" si="30">C1923&amp;"TOS"&amp;AG1923&amp;"Variety"&amp;F1923&amp;"WaterTrt"&amp;AA1923&amp;IF(AC1923="","","Agronomy"&amp;AC1923)</f>
        <v>2023_NSW_WaggaWagga_Lupin_DetailedTOS2VarietyWongaWaterTrtRainFed</v>
      </c>
      <c r="B1923" s="2">
        <v>2023021</v>
      </c>
      <c r="C1923" s="3" t="s">
        <v>1930</v>
      </c>
      <c r="D1923" s="3" t="s">
        <v>1931</v>
      </c>
      <c r="F1923" s="3" t="s">
        <v>1932</v>
      </c>
      <c r="G1923" s="3" t="s">
        <v>39</v>
      </c>
      <c r="H1923" s="3" t="s">
        <v>250</v>
      </c>
      <c r="I1923" s="2">
        <v>100</v>
      </c>
      <c r="J1923" s="2">
        <v>50</v>
      </c>
      <c r="K1923" s="2">
        <v>3</v>
      </c>
      <c r="O1923" s="2">
        <v>5</v>
      </c>
      <c r="U1923" s="2">
        <v>7</v>
      </c>
      <c r="V1923" s="2">
        <v>19</v>
      </c>
      <c r="W1923" s="2">
        <v>6</v>
      </c>
      <c r="X1923" s="2">
        <v>10</v>
      </c>
      <c r="Z1923" s="2">
        <v>38</v>
      </c>
      <c r="AA1923" s="3" t="s">
        <v>40</v>
      </c>
      <c r="AB1923" s="2">
        <v>4</v>
      </c>
      <c r="AF1923" s="2">
        <v>30</v>
      </c>
      <c r="AG1923" s="2">
        <v>2</v>
      </c>
      <c r="AH1923" s="3" t="s">
        <v>1800</v>
      </c>
      <c r="AI1923" s="4">
        <v>45077</v>
      </c>
      <c r="AJ1923" s="3" t="s">
        <v>2033</v>
      </c>
      <c r="AK1923" s="3" t="s">
        <v>1931</v>
      </c>
    </row>
    <row r="1924" spans="1:37" hidden="1" x14ac:dyDescent="0.25">
      <c r="A1924" t="str">
        <f t="shared" si="30"/>
        <v>2023_NSW_WaggaWagga_Lupin_DetailedTOS2VarietyBatemanWaterTrtRainFed</v>
      </c>
      <c r="B1924" s="2">
        <v>2023021</v>
      </c>
      <c r="C1924" s="3" t="s">
        <v>1930</v>
      </c>
      <c r="D1924" s="3" t="s">
        <v>1931</v>
      </c>
      <c r="F1924" s="3" t="s">
        <v>4195</v>
      </c>
      <c r="G1924" s="3" t="s">
        <v>43</v>
      </c>
      <c r="H1924" s="3" t="s">
        <v>253</v>
      </c>
      <c r="I1924" s="2">
        <v>101</v>
      </c>
      <c r="J1924" s="2">
        <v>51</v>
      </c>
      <c r="K1924" s="2">
        <v>4</v>
      </c>
      <c r="O1924" s="2">
        <v>5</v>
      </c>
      <c r="U1924" s="2">
        <v>8</v>
      </c>
      <c r="V1924" s="2">
        <v>18</v>
      </c>
      <c r="W1924" s="2">
        <v>7</v>
      </c>
      <c r="X1924" s="2">
        <v>9</v>
      </c>
      <c r="AA1924" s="3" t="s">
        <v>40</v>
      </c>
      <c r="AB1924" s="2">
        <v>1</v>
      </c>
      <c r="AF1924" s="2">
        <v>30</v>
      </c>
      <c r="AG1924" s="2">
        <v>2</v>
      </c>
      <c r="AH1924" s="3" t="s">
        <v>1800</v>
      </c>
      <c r="AI1924" s="4">
        <v>45077</v>
      </c>
      <c r="AJ1924" s="3" t="s">
        <v>2034</v>
      </c>
      <c r="AK1924" s="3" t="s">
        <v>1931</v>
      </c>
    </row>
    <row r="1925" spans="1:37" hidden="1" x14ac:dyDescent="0.25">
      <c r="A1925" t="str">
        <f t="shared" si="30"/>
        <v>2023_NSW_WaggaWagga_Lupin_DetailedTOS2VarietyBatemanWaterTrtRainFed</v>
      </c>
      <c r="B1925" s="2">
        <v>2023021</v>
      </c>
      <c r="C1925" s="3" t="s">
        <v>1930</v>
      </c>
      <c r="D1925" s="3" t="s">
        <v>1931</v>
      </c>
      <c r="F1925" s="3" t="s">
        <v>4195</v>
      </c>
      <c r="G1925" s="3" t="s">
        <v>43</v>
      </c>
      <c r="H1925" s="3" t="s">
        <v>250</v>
      </c>
      <c r="I1925" s="2">
        <v>102</v>
      </c>
      <c r="J1925" s="2">
        <v>51</v>
      </c>
      <c r="K1925" s="2">
        <v>4</v>
      </c>
      <c r="O1925" s="2">
        <v>5</v>
      </c>
      <c r="U1925" s="2">
        <v>8</v>
      </c>
      <c r="V1925" s="2">
        <v>19</v>
      </c>
      <c r="W1925" s="2">
        <v>7</v>
      </c>
      <c r="X1925" s="2">
        <v>10</v>
      </c>
      <c r="Z1925" s="2">
        <v>39</v>
      </c>
      <c r="AA1925" s="3" t="s">
        <v>40</v>
      </c>
      <c r="AB1925" s="2">
        <v>1</v>
      </c>
      <c r="AF1925" s="2">
        <v>30</v>
      </c>
      <c r="AG1925" s="2">
        <v>2</v>
      </c>
      <c r="AH1925" s="3" t="s">
        <v>1800</v>
      </c>
      <c r="AI1925" s="4">
        <v>45077</v>
      </c>
      <c r="AJ1925" s="3" t="s">
        <v>2035</v>
      </c>
      <c r="AK1925" s="3" t="s">
        <v>1931</v>
      </c>
    </row>
    <row r="1926" spans="1:37" hidden="1" x14ac:dyDescent="0.25">
      <c r="A1926" t="str">
        <f t="shared" si="30"/>
        <v>2023_NSW_WaggaWagga_Lupin_DetailedTOS2VarietyJurienWaterTrtRainFed</v>
      </c>
      <c r="B1926" s="2">
        <v>2023021</v>
      </c>
      <c r="C1926" s="3" t="s">
        <v>1930</v>
      </c>
      <c r="D1926" s="3" t="s">
        <v>1931</v>
      </c>
      <c r="F1926" s="3" t="s">
        <v>4194</v>
      </c>
      <c r="G1926" s="3" t="s">
        <v>39</v>
      </c>
      <c r="H1926" s="3" t="s">
        <v>253</v>
      </c>
      <c r="I1926" s="2">
        <v>103</v>
      </c>
      <c r="J1926" s="2">
        <v>52</v>
      </c>
      <c r="K1926" s="2">
        <v>4</v>
      </c>
      <c r="O1926" s="2">
        <v>5</v>
      </c>
      <c r="U1926" s="2">
        <v>9</v>
      </c>
      <c r="V1926" s="2">
        <v>18</v>
      </c>
      <c r="W1926" s="2">
        <v>8</v>
      </c>
      <c r="X1926" s="2">
        <v>9</v>
      </c>
      <c r="AA1926" s="3" t="s">
        <v>40</v>
      </c>
      <c r="AB1926" s="2">
        <v>2</v>
      </c>
      <c r="AF1926" s="2">
        <v>30</v>
      </c>
      <c r="AG1926" s="2">
        <v>2</v>
      </c>
      <c r="AH1926" s="3" t="s">
        <v>1800</v>
      </c>
      <c r="AI1926" s="4">
        <v>45077</v>
      </c>
      <c r="AJ1926" s="3" t="s">
        <v>2036</v>
      </c>
      <c r="AK1926" s="3" t="s">
        <v>1931</v>
      </c>
    </row>
    <row r="1927" spans="1:37" hidden="1" x14ac:dyDescent="0.25">
      <c r="A1927" t="str">
        <f t="shared" si="30"/>
        <v>2023_NSW_WaggaWagga_Lupin_DetailedTOS2VarietyJurienWaterTrtRainFed</v>
      </c>
      <c r="B1927" s="2">
        <v>2023021</v>
      </c>
      <c r="C1927" s="3" t="s">
        <v>1930</v>
      </c>
      <c r="D1927" s="3" t="s">
        <v>1931</v>
      </c>
      <c r="F1927" s="3" t="s">
        <v>4194</v>
      </c>
      <c r="G1927" s="3" t="s">
        <v>39</v>
      </c>
      <c r="H1927" s="3" t="s">
        <v>250</v>
      </c>
      <c r="I1927" s="2">
        <v>104</v>
      </c>
      <c r="J1927" s="2">
        <v>52</v>
      </c>
      <c r="K1927" s="2">
        <v>4</v>
      </c>
      <c r="O1927" s="2">
        <v>5</v>
      </c>
      <c r="U1927" s="2">
        <v>9</v>
      </c>
      <c r="V1927" s="2">
        <v>19</v>
      </c>
      <c r="W1927" s="2">
        <v>8</v>
      </c>
      <c r="X1927" s="2">
        <v>10</v>
      </c>
      <c r="Z1927" s="2">
        <v>40</v>
      </c>
      <c r="AA1927" s="3" t="s">
        <v>40</v>
      </c>
      <c r="AB1927" s="2">
        <v>2</v>
      </c>
      <c r="AF1927" s="2">
        <v>30</v>
      </c>
      <c r="AG1927" s="2">
        <v>2</v>
      </c>
      <c r="AH1927" s="3" t="s">
        <v>1800</v>
      </c>
      <c r="AI1927" s="4">
        <v>45077</v>
      </c>
      <c r="AJ1927" s="3" t="s">
        <v>2037</v>
      </c>
      <c r="AK1927" s="3" t="s">
        <v>1931</v>
      </c>
    </row>
    <row r="1928" spans="1:37" hidden="1" x14ac:dyDescent="0.25">
      <c r="A1928" t="str">
        <f t="shared" si="30"/>
        <v>2023_NSW_WaggaWagga_Lupin_DetailedTOS1VarietyBatemanWaterTrtRainFed</v>
      </c>
      <c r="B1928" s="2">
        <v>2023021</v>
      </c>
      <c r="C1928" s="3" t="s">
        <v>1930</v>
      </c>
      <c r="D1928" s="3" t="s">
        <v>1931</v>
      </c>
      <c r="F1928" s="3" t="s">
        <v>4195</v>
      </c>
      <c r="G1928" s="3" t="s">
        <v>43</v>
      </c>
      <c r="H1928" s="3" t="s">
        <v>253</v>
      </c>
      <c r="I1928" s="2">
        <v>105</v>
      </c>
      <c r="J1928" s="2">
        <v>53</v>
      </c>
      <c r="K1928" s="2">
        <v>3</v>
      </c>
      <c r="O1928" s="2">
        <v>6</v>
      </c>
      <c r="U1928" s="2">
        <v>6</v>
      </c>
      <c r="V1928" s="2">
        <v>22</v>
      </c>
      <c r="W1928" s="2">
        <v>5</v>
      </c>
      <c r="X1928" s="2">
        <v>11</v>
      </c>
      <c r="AA1928" s="3" t="s">
        <v>40</v>
      </c>
      <c r="AB1928" s="2">
        <v>1</v>
      </c>
      <c r="AF1928" s="2">
        <v>30</v>
      </c>
      <c r="AG1928" s="2">
        <v>1</v>
      </c>
      <c r="AH1928" s="3" t="s">
        <v>1809</v>
      </c>
      <c r="AI1928" s="4">
        <v>45042</v>
      </c>
      <c r="AJ1928" s="3" t="s">
        <v>2038</v>
      </c>
      <c r="AK1928" s="3" t="s">
        <v>1931</v>
      </c>
    </row>
    <row r="1929" spans="1:37" hidden="1" x14ac:dyDescent="0.25">
      <c r="A1929" t="str">
        <f t="shared" si="30"/>
        <v>2023_NSW_WaggaWagga_Lupin_DetailedTOS1VarietyBatemanWaterTrtRainFed</v>
      </c>
      <c r="B1929" s="2">
        <v>2023021</v>
      </c>
      <c r="C1929" s="3" t="s">
        <v>1930</v>
      </c>
      <c r="D1929" s="3" t="s">
        <v>1931</v>
      </c>
      <c r="F1929" s="3" t="s">
        <v>4195</v>
      </c>
      <c r="G1929" s="3" t="s">
        <v>43</v>
      </c>
      <c r="H1929" s="3" t="s">
        <v>250</v>
      </c>
      <c r="I1929" s="2">
        <v>106</v>
      </c>
      <c r="J1929" s="2">
        <v>53</v>
      </c>
      <c r="K1929" s="2">
        <v>3</v>
      </c>
      <c r="O1929" s="2">
        <v>6</v>
      </c>
      <c r="U1929" s="2">
        <v>6</v>
      </c>
      <c r="V1929" s="2">
        <v>23</v>
      </c>
      <c r="W1929" s="2">
        <v>5</v>
      </c>
      <c r="X1929" s="2">
        <v>12</v>
      </c>
      <c r="Z1929" s="2">
        <v>44</v>
      </c>
      <c r="AA1929" s="3" t="s">
        <v>40</v>
      </c>
      <c r="AB1929" s="2">
        <v>1</v>
      </c>
      <c r="AF1929" s="2">
        <v>30</v>
      </c>
      <c r="AG1929" s="2">
        <v>1</v>
      </c>
      <c r="AH1929" s="3" t="s">
        <v>1809</v>
      </c>
      <c r="AI1929" s="4">
        <v>45042</v>
      </c>
      <c r="AJ1929" s="3" t="s">
        <v>2039</v>
      </c>
      <c r="AK1929" s="3" t="s">
        <v>1931</v>
      </c>
    </row>
    <row r="1930" spans="1:37" hidden="1" x14ac:dyDescent="0.25">
      <c r="A1930" t="str">
        <f t="shared" si="30"/>
        <v>2023_NSW_WaggaWagga_Lupin_DetailedTOS1VarietyMandelupWaterTrtRainFed</v>
      </c>
      <c r="B1930" s="2">
        <v>2023021</v>
      </c>
      <c r="C1930" s="3" t="s">
        <v>1930</v>
      </c>
      <c r="D1930" s="3" t="s">
        <v>1931</v>
      </c>
      <c r="F1930" s="3" t="s">
        <v>1939</v>
      </c>
      <c r="G1930" s="3" t="s">
        <v>39</v>
      </c>
      <c r="H1930" s="3" t="s">
        <v>253</v>
      </c>
      <c r="I1930" s="2">
        <v>107</v>
      </c>
      <c r="J1930" s="2">
        <v>54</v>
      </c>
      <c r="K1930" s="2">
        <v>3</v>
      </c>
      <c r="O1930" s="2">
        <v>6</v>
      </c>
      <c r="U1930" s="2">
        <v>7</v>
      </c>
      <c r="V1930" s="2">
        <v>22</v>
      </c>
      <c r="W1930" s="2">
        <v>6</v>
      </c>
      <c r="X1930" s="2">
        <v>11</v>
      </c>
      <c r="AA1930" s="3" t="s">
        <v>40</v>
      </c>
      <c r="AB1930" s="2">
        <v>3</v>
      </c>
      <c r="AF1930" s="2">
        <v>30</v>
      </c>
      <c r="AG1930" s="2">
        <v>1</v>
      </c>
      <c r="AH1930" s="3" t="s">
        <v>1809</v>
      </c>
      <c r="AI1930" s="4">
        <v>45042</v>
      </c>
      <c r="AJ1930" s="3" t="s">
        <v>2040</v>
      </c>
      <c r="AK1930" s="3" t="s">
        <v>1931</v>
      </c>
    </row>
    <row r="1931" spans="1:37" hidden="1" x14ac:dyDescent="0.25">
      <c r="A1931" t="str">
        <f t="shared" si="30"/>
        <v>2023_NSW_WaggaWagga_Lupin_DetailedTOS1VarietyMandelupWaterTrtRainFed</v>
      </c>
      <c r="B1931" s="2">
        <v>2023021</v>
      </c>
      <c r="C1931" s="3" t="s">
        <v>1930</v>
      </c>
      <c r="D1931" s="3" t="s">
        <v>1931</v>
      </c>
      <c r="F1931" s="3" t="s">
        <v>1939</v>
      </c>
      <c r="G1931" s="3" t="s">
        <v>39</v>
      </c>
      <c r="H1931" s="3" t="s">
        <v>250</v>
      </c>
      <c r="I1931" s="2">
        <v>108</v>
      </c>
      <c r="J1931" s="2">
        <v>54</v>
      </c>
      <c r="K1931" s="2">
        <v>3</v>
      </c>
      <c r="O1931" s="2">
        <v>6</v>
      </c>
      <c r="U1931" s="2">
        <v>7</v>
      </c>
      <c r="V1931" s="2">
        <v>23</v>
      </c>
      <c r="W1931" s="2">
        <v>6</v>
      </c>
      <c r="X1931" s="2">
        <v>12</v>
      </c>
      <c r="Z1931" s="2">
        <v>43</v>
      </c>
      <c r="AA1931" s="3" t="s">
        <v>40</v>
      </c>
      <c r="AB1931" s="2">
        <v>3</v>
      </c>
      <c r="AF1931" s="2">
        <v>30</v>
      </c>
      <c r="AG1931" s="2">
        <v>1</v>
      </c>
      <c r="AH1931" s="3" t="s">
        <v>1809</v>
      </c>
      <c r="AI1931" s="4">
        <v>45042</v>
      </c>
      <c r="AJ1931" s="3" t="s">
        <v>2041</v>
      </c>
      <c r="AK1931" s="3" t="s">
        <v>1931</v>
      </c>
    </row>
    <row r="1932" spans="1:37" hidden="1" x14ac:dyDescent="0.25">
      <c r="A1932" t="str">
        <f t="shared" si="30"/>
        <v>2023_NSW_WaggaWagga_Lupin_DetailedTOS1VarietyJurienWaterTrtRainFed</v>
      </c>
      <c r="B1932" s="2">
        <v>2023021</v>
      </c>
      <c r="C1932" s="3" t="s">
        <v>1930</v>
      </c>
      <c r="D1932" s="3" t="s">
        <v>1931</v>
      </c>
      <c r="F1932" s="3" t="s">
        <v>4194</v>
      </c>
      <c r="G1932" s="3" t="s">
        <v>39</v>
      </c>
      <c r="H1932" s="3" t="s">
        <v>253</v>
      </c>
      <c r="I1932" s="2">
        <v>109</v>
      </c>
      <c r="J1932" s="2">
        <v>55</v>
      </c>
      <c r="K1932" s="2">
        <v>4</v>
      </c>
      <c r="O1932" s="2">
        <v>6</v>
      </c>
      <c r="U1932" s="2">
        <v>8</v>
      </c>
      <c r="V1932" s="2">
        <v>22</v>
      </c>
      <c r="W1932" s="2">
        <v>7</v>
      </c>
      <c r="X1932" s="2">
        <v>11</v>
      </c>
      <c r="AA1932" s="3" t="s">
        <v>40</v>
      </c>
      <c r="AB1932" s="2">
        <v>2</v>
      </c>
      <c r="AF1932" s="2">
        <v>30</v>
      </c>
      <c r="AG1932" s="2">
        <v>1</v>
      </c>
      <c r="AH1932" s="3" t="s">
        <v>1809</v>
      </c>
      <c r="AI1932" s="4">
        <v>45042</v>
      </c>
      <c r="AJ1932" s="3" t="s">
        <v>2042</v>
      </c>
      <c r="AK1932" s="3" t="s">
        <v>1931</v>
      </c>
    </row>
    <row r="1933" spans="1:37" hidden="1" x14ac:dyDescent="0.25">
      <c r="A1933" t="str">
        <f t="shared" si="30"/>
        <v>2023_NSW_WaggaWagga_Lupin_DetailedTOS1VarietyJurienWaterTrtRainFed</v>
      </c>
      <c r="B1933" s="2">
        <v>2023021</v>
      </c>
      <c r="C1933" s="3" t="s">
        <v>1930</v>
      </c>
      <c r="D1933" s="3" t="s">
        <v>1931</v>
      </c>
      <c r="F1933" s="3" t="s">
        <v>4194</v>
      </c>
      <c r="G1933" s="3" t="s">
        <v>39</v>
      </c>
      <c r="H1933" s="3" t="s">
        <v>250</v>
      </c>
      <c r="I1933" s="2">
        <v>110</v>
      </c>
      <c r="J1933" s="2">
        <v>55</v>
      </c>
      <c r="K1933" s="2">
        <v>4</v>
      </c>
      <c r="O1933" s="2">
        <v>6</v>
      </c>
      <c r="U1933" s="2">
        <v>8</v>
      </c>
      <c r="V1933" s="2">
        <v>23</v>
      </c>
      <c r="W1933" s="2">
        <v>7</v>
      </c>
      <c r="X1933" s="2">
        <v>12</v>
      </c>
      <c r="Z1933" s="2">
        <v>42</v>
      </c>
      <c r="AA1933" s="3" t="s">
        <v>40</v>
      </c>
      <c r="AB1933" s="2">
        <v>2</v>
      </c>
      <c r="AF1933" s="2">
        <v>30</v>
      </c>
      <c r="AG1933" s="2">
        <v>1</v>
      </c>
      <c r="AH1933" s="3" t="s">
        <v>1809</v>
      </c>
      <c r="AI1933" s="4">
        <v>45042</v>
      </c>
      <c r="AJ1933" s="3" t="s">
        <v>2043</v>
      </c>
      <c r="AK1933" s="3" t="s">
        <v>1931</v>
      </c>
    </row>
    <row r="1934" spans="1:37" hidden="1" x14ac:dyDescent="0.25">
      <c r="A1934" t="str">
        <f t="shared" si="30"/>
        <v>2023_NSW_WaggaWagga_Lupin_DetailedTOS1VarietyWongaWaterTrtRainFed</v>
      </c>
      <c r="B1934" s="2">
        <v>2023021</v>
      </c>
      <c r="C1934" s="3" t="s">
        <v>1930</v>
      </c>
      <c r="D1934" s="3" t="s">
        <v>1931</v>
      </c>
      <c r="F1934" s="3" t="s">
        <v>1932</v>
      </c>
      <c r="G1934" s="3" t="s">
        <v>39</v>
      </c>
      <c r="H1934" s="3" t="s">
        <v>253</v>
      </c>
      <c r="I1934" s="2">
        <v>111</v>
      </c>
      <c r="J1934" s="2">
        <v>56</v>
      </c>
      <c r="K1934" s="2">
        <v>4</v>
      </c>
      <c r="O1934" s="2">
        <v>6</v>
      </c>
      <c r="U1934" s="2">
        <v>9</v>
      </c>
      <c r="V1934" s="2">
        <v>22</v>
      </c>
      <c r="W1934" s="2">
        <v>8</v>
      </c>
      <c r="X1934" s="2">
        <v>11</v>
      </c>
      <c r="AA1934" s="3" t="s">
        <v>40</v>
      </c>
      <c r="AB1934" s="2">
        <v>4</v>
      </c>
      <c r="AF1934" s="2">
        <v>30</v>
      </c>
      <c r="AG1934" s="2">
        <v>1</v>
      </c>
      <c r="AH1934" s="3" t="s">
        <v>1809</v>
      </c>
      <c r="AI1934" s="4">
        <v>45042</v>
      </c>
      <c r="AJ1934" s="3" t="s">
        <v>2044</v>
      </c>
      <c r="AK1934" s="3" t="s">
        <v>1931</v>
      </c>
    </row>
    <row r="1935" spans="1:37" hidden="1" x14ac:dyDescent="0.25">
      <c r="A1935" t="str">
        <f t="shared" si="30"/>
        <v>2023_NSW_WaggaWagga_Lupin_DetailedTOS1VarietyWongaWaterTrtRainFed</v>
      </c>
      <c r="B1935" s="2">
        <v>2023021</v>
      </c>
      <c r="C1935" s="3" t="s">
        <v>1930</v>
      </c>
      <c r="D1935" s="3" t="s">
        <v>1931</v>
      </c>
      <c r="F1935" s="3" t="s">
        <v>1932</v>
      </c>
      <c r="G1935" s="3" t="s">
        <v>39</v>
      </c>
      <c r="H1935" s="3" t="s">
        <v>250</v>
      </c>
      <c r="I1935" s="2">
        <v>112</v>
      </c>
      <c r="J1935" s="2">
        <v>56</v>
      </c>
      <c r="K1935" s="2">
        <v>4</v>
      </c>
      <c r="O1935" s="2">
        <v>6</v>
      </c>
      <c r="U1935" s="2">
        <v>9</v>
      </c>
      <c r="V1935" s="2">
        <v>23</v>
      </c>
      <c r="W1935" s="2">
        <v>8</v>
      </c>
      <c r="X1935" s="2">
        <v>12</v>
      </c>
      <c r="Z1935" s="2">
        <v>41</v>
      </c>
      <c r="AA1935" s="3" t="s">
        <v>40</v>
      </c>
      <c r="AB1935" s="2">
        <v>4</v>
      </c>
      <c r="AF1935" s="2">
        <v>30</v>
      </c>
      <c r="AG1935" s="2">
        <v>1</v>
      </c>
      <c r="AH1935" s="3" t="s">
        <v>1809</v>
      </c>
      <c r="AI1935" s="4">
        <v>45042</v>
      </c>
      <c r="AJ1935" s="3" t="s">
        <v>2045</v>
      </c>
      <c r="AK1935" s="3" t="s">
        <v>1931</v>
      </c>
    </row>
    <row r="1936" spans="1:37" hidden="1" x14ac:dyDescent="0.25">
      <c r="A1936" t="str">
        <f t="shared" si="30"/>
        <v>2023_NSW_WaggaWagga_Lupin_DetailedTOS1VarietyJurienWaterTrtRainFed</v>
      </c>
      <c r="B1936" s="2">
        <v>2023021</v>
      </c>
      <c r="C1936" s="3" t="s">
        <v>1930</v>
      </c>
      <c r="D1936" s="3" t="s">
        <v>1931</v>
      </c>
      <c r="F1936" s="3" t="s">
        <v>4194</v>
      </c>
      <c r="G1936" s="3" t="s">
        <v>39</v>
      </c>
      <c r="H1936" s="3" t="s">
        <v>253</v>
      </c>
      <c r="I1936" s="2">
        <v>113</v>
      </c>
      <c r="J1936" s="2">
        <v>57</v>
      </c>
      <c r="K1936" s="2">
        <v>3</v>
      </c>
      <c r="O1936" s="2">
        <v>7</v>
      </c>
      <c r="U1936" s="2">
        <v>6</v>
      </c>
      <c r="V1936" s="2">
        <v>26</v>
      </c>
      <c r="W1936" s="2">
        <v>5</v>
      </c>
      <c r="X1936" s="2">
        <v>13</v>
      </c>
      <c r="AA1936" s="3" t="s">
        <v>40</v>
      </c>
      <c r="AB1936" s="2">
        <v>2</v>
      </c>
      <c r="AF1936" s="2">
        <v>30</v>
      </c>
      <c r="AG1936" s="2">
        <v>1</v>
      </c>
      <c r="AH1936" s="3" t="s">
        <v>1809</v>
      </c>
      <c r="AI1936" s="4">
        <v>45042</v>
      </c>
      <c r="AJ1936" s="3" t="s">
        <v>2046</v>
      </c>
      <c r="AK1936" s="3" t="s">
        <v>1931</v>
      </c>
    </row>
    <row r="1937" spans="1:37" hidden="1" x14ac:dyDescent="0.25">
      <c r="A1937" t="str">
        <f t="shared" si="30"/>
        <v>2023_NSW_WaggaWagga_Lupin_DetailedTOS1VarietyJurienWaterTrtRainFed</v>
      </c>
      <c r="B1937" s="2">
        <v>2023021</v>
      </c>
      <c r="C1937" s="3" t="s">
        <v>1930</v>
      </c>
      <c r="D1937" s="3" t="s">
        <v>1931</v>
      </c>
      <c r="F1937" s="3" t="s">
        <v>4194</v>
      </c>
      <c r="G1937" s="3" t="s">
        <v>39</v>
      </c>
      <c r="H1937" s="3" t="s">
        <v>250</v>
      </c>
      <c r="I1937" s="2">
        <v>114</v>
      </c>
      <c r="J1937" s="2">
        <v>57</v>
      </c>
      <c r="K1937" s="2">
        <v>3</v>
      </c>
      <c r="O1937" s="2">
        <v>7</v>
      </c>
      <c r="U1937" s="2">
        <v>6</v>
      </c>
      <c r="V1937" s="2">
        <v>27</v>
      </c>
      <c r="W1937" s="2">
        <v>5</v>
      </c>
      <c r="X1937" s="2">
        <v>14</v>
      </c>
      <c r="Z1937" s="2">
        <v>53</v>
      </c>
      <c r="AA1937" s="3" t="s">
        <v>40</v>
      </c>
      <c r="AB1937" s="2">
        <v>2</v>
      </c>
      <c r="AF1937" s="2">
        <v>30</v>
      </c>
      <c r="AG1937" s="2">
        <v>1</v>
      </c>
      <c r="AH1937" s="3" t="s">
        <v>1809</v>
      </c>
      <c r="AI1937" s="4">
        <v>45042</v>
      </c>
      <c r="AJ1937" s="3" t="s">
        <v>2047</v>
      </c>
      <c r="AK1937" s="3" t="s">
        <v>1931</v>
      </c>
    </row>
    <row r="1938" spans="1:37" hidden="1" x14ac:dyDescent="0.25">
      <c r="A1938" t="str">
        <f t="shared" si="30"/>
        <v>2023_NSW_WaggaWagga_Lupin_DetailedTOS1VarietyBatemanWaterTrtRainFed</v>
      </c>
      <c r="B1938" s="2">
        <v>2023021</v>
      </c>
      <c r="C1938" s="3" t="s">
        <v>1930</v>
      </c>
      <c r="D1938" s="3" t="s">
        <v>1931</v>
      </c>
      <c r="F1938" s="3" t="s">
        <v>4195</v>
      </c>
      <c r="G1938" s="3" t="s">
        <v>43</v>
      </c>
      <c r="H1938" s="3" t="s">
        <v>253</v>
      </c>
      <c r="I1938" s="2">
        <v>115</v>
      </c>
      <c r="J1938" s="2">
        <v>58</v>
      </c>
      <c r="K1938" s="2">
        <v>3</v>
      </c>
      <c r="O1938" s="2">
        <v>7</v>
      </c>
      <c r="U1938" s="2">
        <v>7</v>
      </c>
      <c r="V1938" s="2">
        <v>26</v>
      </c>
      <c r="W1938" s="2">
        <v>6</v>
      </c>
      <c r="X1938" s="2">
        <v>13</v>
      </c>
      <c r="AA1938" s="3" t="s">
        <v>40</v>
      </c>
      <c r="AB1938" s="2">
        <v>1</v>
      </c>
      <c r="AF1938" s="2">
        <v>30</v>
      </c>
      <c r="AG1938" s="2">
        <v>1</v>
      </c>
      <c r="AH1938" s="3" t="s">
        <v>1809</v>
      </c>
      <c r="AI1938" s="4">
        <v>45042</v>
      </c>
      <c r="AJ1938" s="3" t="s">
        <v>2048</v>
      </c>
      <c r="AK1938" s="3" t="s">
        <v>1931</v>
      </c>
    </row>
    <row r="1939" spans="1:37" hidden="1" x14ac:dyDescent="0.25">
      <c r="A1939" t="str">
        <f t="shared" si="30"/>
        <v>2023_NSW_WaggaWagga_Lupin_DetailedTOS1VarietyBatemanWaterTrtRainFed</v>
      </c>
      <c r="B1939" s="2">
        <v>2023021</v>
      </c>
      <c r="C1939" s="3" t="s">
        <v>1930</v>
      </c>
      <c r="D1939" s="3" t="s">
        <v>1931</v>
      </c>
      <c r="F1939" s="3" t="s">
        <v>4195</v>
      </c>
      <c r="G1939" s="3" t="s">
        <v>43</v>
      </c>
      <c r="H1939" s="3" t="s">
        <v>250</v>
      </c>
      <c r="I1939" s="2">
        <v>116</v>
      </c>
      <c r="J1939" s="2">
        <v>58</v>
      </c>
      <c r="K1939" s="2">
        <v>3</v>
      </c>
      <c r="O1939" s="2">
        <v>7</v>
      </c>
      <c r="U1939" s="2">
        <v>7</v>
      </c>
      <c r="V1939" s="2">
        <v>27</v>
      </c>
      <c r="W1939" s="2">
        <v>6</v>
      </c>
      <c r="X1939" s="2">
        <v>14</v>
      </c>
      <c r="Z1939" s="2">
        <v>54</v>
      </c>
      <c r="AA1939" s="3" t="s">
        <v>40</v>
      </c>
      <c r="AB1939" s="2">
        <v>1</v>
      </c>
      <c r="AF1939" s="2">
        <v>30</v>
      </c>
      <c r="AG1939" s="2">
        <v>1</v>
      </c>
      <c r="AH1939" s="3" t="s">
        <v>1809</v>
      </c>
      <c r="AI1939" s="4">
        <v>45042</v>
      </c>
      <c r="AJ1939" s="3" t="s">
        <v>2049</v>
      </c>
      <c r="AK1939" s="3" t="s">
        <v>1931</v>
      </c>
    </row>
    <row r="1940" spans="1:37" hidden="1" x14ac:dyDescent="0.25">
      <c r="A1940" t="str">
        <f t="shared" si="30"/>
        <v>2023_NSW_WaggaWagga_Lupin_DetailedTOS1VarietyWongaWaterTrtRainFed</v>
      </c>
      <c r="B1940" s="2">
        <v>2023021</v>
      </c>
      <c r="C1940" s="3" t="s">
        <v>1930</v>
      </c>
      <c r="D1940" s="3" t="s">
        <v>1931</v>
      </c>
      <c r="F1940" s="3" t="s">
        <v>1932</v>
      </c>
      <c r="G1940" s="3" t="s">
        <v>39</v>
      </c>
      <c r="H1940" s="3" t="s">
        <v>253</v>
      </c>
      <c r="I1940" s="2">
        <v>117</v>
      </c>
      <c r="J1940" s="2">
        <v>59</v>
      </c>
      <c r="K1940" s="2">
        <v>4</v>
      </c>
      <c r="O1940" s="2">
        <v>7</v>
      </c>
      <c r="U1940" s="2">
        <v>8</v>
      </c>
      <c r="V1940" s="2">
        <v>26</v>
      </c>
      <c r="W1940" s="2">
        <v>7</v>
      </c>
      <c r="X1940" s="2">
        <v>13</v>
      </c>
      <c r="AA1940" s="3" t="s">
        <v>40</v>
      </c>
      <c r="AB1940" s="2">
        <v>4</v>
      </c>
      <c r="AF1940" s="2">
        <v>30</v>
      </c>
      <c r="AG1940" s="2">
        <v>1</v>
      </c>
      <c r="AH1940" s="3" t="s">
        <v>1809</v>
      </c>
      <c r="AI1940" s="4">
        <v>45042</v>
      </c>
      <c r="AJ1940" s="3" t="s">
        <v>2050</v>
      </c>
      <c r="AK1940" s="3" t="s">
        <v>1931</v>
      </c>
    </row>
    <row r="1941" spans="1:37" hidden="1" x14ac:dyDescent="0.25">
      <c r="A1941" t="str">
        <f t="shared" si="30"/>
        <v>2023_NSW_WaggaWagga_Lupin_DetailedTOS1VarietyWongaWaterTrtRainFed</v>
      </c>
      <c r="B1941" s="2">
        <v>2023021</v>
      </c>
      <c r="C1941" s="3" t="s">
        <v>1930</v>
      </c>
      <c r="D1941" s="3" t="s">
        <v>1931</v>
      </c>
      <c r="F1941" s="3" t="s">
        <v>1932</v>
      </c>
      <c r="G1941" s="3" t="s">
        <v>39</v>
      </c>
      <c r="H1941" s="3" t="s">
        <v>250</v>
      </c>
      <c r="I1941" s="2">
        <v>118</v>
      </c>
      <c r="J1941" s="2">
        <v>59</v>
      </c>
      <c r="K1941" s="2">
        <v>4</v>
      </c>
      <c r="O1941" s="2">
        <v>7</v>
      </c>
      <c r="U1941" s="2">
        <v>8</v>
      </c>
      <c r="V1941" s="2">
        <v>27</v>
      </c>
      <c r="W1941" s="2">
        <v>7</v>
      </c>
      <c r="X1941" s="2">
        <v>14</v>
      </c>
      <c r="Z1941" s="2">
        <v>55</v>
      </c>
      <c r="AA1941" s="3" t="s">
        <v>40</v>
      </c>
      <c r="AB1941" s="2">
        <v>4</v>
      </c>
      <c r="AF1941" s="2">
        <v>30</v>
      </c>
      <c r="AG1941" s="2">
        <v>1</v>
      </c>
      <c r="AH1941" s="3" t="s">
        <v>1809</v>
      </c>
      <c r="AI1941" s="4">
        <v>45042</v>
      </c>
      <c r="AJ1941" s="3" t="s">
        <v>2051</v>
      </c>
      <c r="AK1941" s="3" t="s">
        <v>1931</v>
      </c>
    </row>
    <row r="1942" spans="1:37" hidden="1" x14ac:dyDescent="0.25">
      <c r="A1942" t="str">
        <f t="shared" si="30"/>
        <v>2023_NSW_WaggaWagga_Lupin_DetailedTOS1VarietyMandelupWaterTrtRainFed</v>
      </c>
      <c r="B1942" s="2">
        <v>2023021</v>
      </c>
      <c r="C1942" s="3" t="s">
        <v>1930</v>
      </c>
      <c r="D1942" s="3" t="s">
        <v>1931</v>
      </c>
      <c r="F1942" s="3" t="s">
        <v>1939</v>
      </c>
      <c r="G1942" s="3" t="s">
        <v>39</v>
      </c>
      <c r="H1942" s="3" t="s">
        <v>253</v>
      </c>
      <c r="I1942" s="2">
        <v>119</v>
      </c>
      <c r="J1942" s="2">
        <v>60</v>
      </c>
      <c r="K1942" s="2">
        <v>4</v>
      </c>
      <c r="O1942" s="2">
        <v>7</v>
      </c>
      <c r="U1942" s="2">
        <v>9</v>
      </c>
      <c r="V1942" s="2">
        <v>26</v>
      </c>
      <c r="W1942" s="2">
        <v>8</v>
      </c>
      <c r="X1942" s="2">
        <v>13</v>
      </c>
      <c r="AA1942" s="3" t="s">
        <v>40</v>
      </c>
      <c r="AB1942" s="2">
        <v>3</v>
      </c>
      <c r="AF1942" s="2">
        <v>30</v>
      </c>
      <c r="AG1942" s="2">
        <v>1</v>
      </c>
      <c r="AH1942" s="3" t="s">
        <v>1809</v>
      </c>
      <c r="AI1942" s="4">
        <v>45042</v>
      </c>
      <c r="AJ1942" s="3" t="s">
        <v>2052</v>
      </c>
      <c r="AK1942" s="3" t="s">
        <v>1931</v>
      </c>
    </row>
    <row r="1943" spans="1:37" hidden="1" x14ac:dyDescent="0.25">
      <c r="A1943" t="str">
        <f t="shared" si="30"/>
        <v>2023_NSW_WaggaWagga_Lupin_DetailedTOS1VarietyMandelupWaterTrtRainFed</v>
      </c>
      <c r="B1943" s="2">
        <v>2023021</v>
      </c>
      <c r="C1943" s="3" t="s">
        <v>1930</v>
      </c>
      <c r="D1943" s="3" t="s">
        <v>1931</v>
      </c>
      <c r="F1943" s="3" t="s">
        <v>1939</v>
      </c>
      <c r="G1943" s="3" t="s">
        <v>39</v>
      </c>
      <c r="H1943" s="3" t="s">
        <v>250</v>
      </c>
      <c r="I1943" s="2">
        <v>120</v>
      </c>
      <c r="J1943" s="2">
        <v>60</v>
      </c>
      <c r="K1943" s="2">
        <v>4</v>
      </c>
      <c r="O1943" s="2">
        <v>7</v>
      </c>
      <c r="U1943" s="2">
        <v>9</v>
      </c>
      <c r="V1943" s="2">
        <v>27</v>
      </c>
      <c r="W1943" s="2">
        <v>8</v>
      </c>
      <c r="X1943" s="2">
        <v>14</v>
      </c>
      <c r="Z1943" s="2">
        <v>56</v>
      </c>
      <c r="AA1943" s="3" t="s">
        <v>40</v>
      </c>
      <c r="AB1943" s="2">
        <v>3</v>
      </c>
      <c r="AF1943" s="2">
        <v>30</v>
      </c>
      <c r="AG1943" s="2">
        <v>1</v>
      </c>
      <c r="AH1943" s="3" t="s">
        <v>1809</v>
      </c>
      <c r="AI1943" s="4">
        <v>45042</v>
      </c>
      <c r="AJ1943" s="3" t="s">
        <v>2053</v>
      </c>
      <c r="AK1943" s="3" t="s">
        <v>1931</v>
      </c>
    </row>
    <row r="1944" spans="1:37" hidden="1" x14ac:dyDescent="0.25">
      <c r="A1944" t="str">
        <f t="shared" si="30"/>
        <v>2023_NSW_WaggaWagga_Lupin_DetailedTOS2VarietyWongaWaterTrtRainFed</v>
      </c>
      <c r="B1944" s="2">
        <v>2023021</v>
      </c>
      <c r="C1944" s="3" t="s">
        <v>1930</v>
      </c>
      <c r="D1944" s="3" t="s">
        <v>1931</v>
      </c>
      <c r="F1944" s="3" t="s">
        <v>1932</v>
      </c>
      <c r="G1944" s="3" t="s">
        <v>39</v>
      </c>
      <c r="H1944" s="3" t="s">
        <v>253</v>
      </c>
      <c r="I1944" s="2">
        <v>121</v>
      </c>
      <c r="J1944" s="2">
        <v>61</v>
      </c>
      <c r="K1944" s="2">
        <v>3</v>
      </c>
      <c r="O1944" s="2">
        <v>8</v>
      </c>
      <c r="U1944" s="2">
        <v>6</v>
      </c>
      <c r="V1944" s="2">
        <v>30</v>
      </c>
      <c r="W1944" s="2">
        <v>5</v>
      </c>
      <c r="X1944" s="2">
        <v>15</v>
      </c>
      <c r="AA1944" s="3" t="s">
        <v>40</v>
      </c>
      <c r="AB1944" s="2">
        <v>4</v>
      </c>
      <c r="AF1944" s="2">
        <v>30</v>
      </c>
      <c r="AG1944" s="2">
        <v>2</v>
      </c>
      <c r="AH1944" s="3" t="s">
        <v>1800</v>
      </c>
      <c r="AI1944" s="4">
        <v>45077</v>
      </c>
      <c r="AJ1944" s="3" t="s">
        <v>2054</v>
      </c>
      <c r="AK1944" s="3" t="s">
        <v>1931</v>
      </c>
    </row>
    <row r="1945" spans="1:37" hidden="1" x14ac:dyDescent="0.25">
      <c r="A1945" t="str">
        <f t="shared" si="30"/>
        <v>2023_NSW_WaggaWagga_Lupin_DetailedTOS2VarietyWongaWaterTrtRainFed</v>
      </c>
      <c r="B1945" s="2">
        <v>2023021</v>
      </c>
      <c r="C1945" s="3" t="s">
        <v>1930</v>
      </c>
      <c r="D1945" s="3" t="s">
        <v>1931</v>
      </c>
      <c r="F1945" s="3" t="s">
        <v>1932</v>
      </c>
      <c r="G1945" s="3" t="s">
        <v>39</v>
      </c>
      <c r="H1945" s="3" t="s">
        <v>250</v>
      </c>
      <c r="I1945" s="2">
        <v>122</v>
      </c>
      <c r="J1945" s="2">
        <v>61</v>
      </c>
      <c r="K1945" s="2">
        <v>3</v>
      </c>
      <c r="O1945" s="2">
        <v>8</v>
      </c>
      <c r="U1945" s="2">
        <v>6</v>
      </c>
      <c r="V1945" s="2">
        <v>31</v>
      </c>
      <c r="W1945" s="2">
        <v>5</v>
      </c>
      <c r="X1945" s="2">
        <v>16</v>
      </c>
      <c r="Z1945" s="2">
        <v>60</v>
      </c>
      <c r="AA1945" s="3" t="s">
        <v>40</v>
      </c>
      <c r="AB1945" s="2">
        <v>4</v>
      </c>
      <c r="AF1945" s="2">
        <v>30</v>
      </c>
      <c r="AG1945" s="2">
        <v>2</v>
      </c>
      <c r="AH1945" s="3" t="s">
        <v>1800</v>
      </c>
      <c r="AI1945" s="4">
        <v>45077</v>
      </c>
      <c r="AJ1945" s="3" t="s">
        <v>2055</v>
      </c>
      <c r="AK1945" s="3" t="s">
        <v>1931</v>
      </c>
    </row>
    <row r="1946" spans="1:37" hidden="1" x14ac:dyDescent="0.25">
      <c r="A1946" t="str">
        <f t="shared" si="30"/>
        <v>2023_NSW_WaggaWagga_Lupin_DetailedTOS2VarietyJurienWaterTrtRainFed</v>
      </c>
      <c r="B1946" s="2">
        <v>2023021</v>
      </c>
      <c r="C1946" s="3" t="s">
        <v>1930</v>
      </c>
      <c r="D1946" s="3" t="s">
        <v>1931</v>
      </c>
      <c r="F1946" s="3" t="s">
        <v>4194</v>
      </c>
      <c r="G1946" s="3" t="s">
        <v>39</v>
      </c>
      <c r="H1946" s="3" t="s">
        <v>253</v>
      </c>
      <c r="I1946" s="2">
        <v>123</v>
      </c>
      <c r="J1946" s="2">
        <v>62</v>
      </c>
      <c r="K1946" s="2">
        <v>3</v>
      </c>
      <c r="O1946" s="2">
        <v>8</v>
      </c>
      <c r="U1946" s="2">
        <v>7</v>
      </c>
      <c r="V1946" s="2">
        <v>30</v>
      </c>
      <c r="W1946" s="2">
        <v>6</v>
      </c>
      <c r="X1946" s="2">
        <v>15</v>
      </c>
      <c r="AA1946" s="3" t="s">
        <v>40</v>
      </c>
      <c r="AB1946" s="2">
        <v>2</v>
      </c>
      <c r="AF1946" s="2">
        <v>30</v>
      </c>
      <c r="AG1946" s="2">
        <v>2</v>
      </c>
      <c r="AH1946" s="3" t="s">
        <v>1800</v>
      </c>
      <c r="AI1946" s="4">
        <v>45077</v>
      </c>
      <c r="AJ1946" s="3" t="s">
        <v>2056</v>
      </c>
      <c r="AK1946" s="3" t="s">
        <v>1931</v>
      </c>
    </row>
    <row r="1947" spans="1:37" hidden="1" x14ac:dyDescent="0.25">
      <c r="A1947" t="str">
        <f t="shared" si="30"/>
        <v>2023_NSW_WaggaWagga_Lupin_DetailedTOS2VarietyJurienWaterTrtRainFed</v>
      </c>
      <c r="B1947" s="2">
        <v>2023021</v>
      </c>
      <c r="C1947" s="3" t="s">
        <v>1930</v>
      </c>
      <c r="D1947" s="3" t="s">
        <v>1931</v>
      </c>
      <c r="F1947" s="3" t="s">
        <v>4194</v>
      </c>
      <c r="G1947" s="3" t="s">
        <v>39</v>
      </c>
      <c r="H1947" s="3" t="s">
        <v>250</v>
      </c>
      <c r="I1947" s="2">
        <v>124</v>
      </c>
      <c r="J1947" s="2">
        <v>62</v>
      </c>
      <c r="K1947" s="2">
        <v>3</v>
      </c>
      <c r="O1947" s="2">
        <v>8</v>
      </c>
      <c r="U1947" s="2">
        <v>7</v>
      </c>
      <c r="V1947" s="2">
        <v>31</v>
      </c>
      <c r="W1947" s="2">
        <v>6</v>
      </c>
      <c r="X1947" s="2">
        <v>16</v>
      </c>
      <c r="Z1947" s="2">
        <v>59</v>
      </c>
      <c r="AA1947" s="3" t="s">
        <v>40</v>
      </c>
      <c r="AB1947" s="2">
        <v>2</v>
      </c>
      <c r="AF1947" s="2">
        <v>30</v>
      </c>
      <c r="AG1947" s="2">
        <v>2</v>
      </c>
      <c r="AH1947" s="3" t="s">
        <v>1800</v>
      </c>
      <c r="AI1947" s="4">
        <v>45077</v>
      </c>
      <c r="AJ1947" s="3" t="s">
        <v>2057</v>
      </c>
      <c r="AK1947" s="3" t="s">
        <v>1931</v>
      </c>
    </row>
    <row r="1948" spans="1:37" hidden="1" x14ac:dyDescent="0.25">
      <c r="A1948" t="str">
        <f t="shared" si="30"/>
        <v>2023_NSW_WaggaWagga_Lupin_DetailedTOS2VarietyMandelupWaterTrtRainFed</v>
      </c>
      <c r="B1948" s="2">
        <v>2023021</v>
      </c>
      <c r="C1948" s="3" t="s">
        <v>1930</v>
      </c>
      <c r="D1948" s="3" t="s">
        <v>1931</v>
      </c>
      <c r="F1948" s="3" t="s">
        <v>1939</v>
      </c>
      <c r="G1948" s="3" t="s">
        <v>39</v>
      </c>
      <c r="H1948" s="3" t="s">
        <v>253</v>
      </c>
      <c r="I1948" s="2">
        <v>125</v>
      </c>
      <c r="J1948" s="2">
        <v>63</v>
      </c>
      <c r="K1948" s="2">
        <v>4</v>
      </c>
      <c r="O1948" s="2">
        <v>8</v>
      </c>
      <c r="U1948" s="2">
        <v>8</v>
      </c>
      <c r="V1948" s="2">
        <v>30</v>
      </c>
      <c r="W1948" s="2">
        <v>7</v>
      </c>
      <c r="X1948" s="2">
        <v>15</v>
      </c>
      <c r="AA1948" s="3" t="s">
        <v>40</v>
      </c>
      <c r="AB1948" s="2">
        <v>3</v>
      </c>
      <c r="AF1948" s="2">
        <v>30</v>
      </c>
      <c r="AG1948" s="2">
        <v>2</v>
      </c>
      <c r="AH1948" s="3" t="s">
        <v>1800</v>
      </c>
      <c r="AI1948" s="4">
        <v>45077</v>
      </c>
      <c r="AJ1948" s="3" t="s">
        <v>2058</v>
      </c>
      <c r="AK1948" s="3" t="s">
        <v>1931</v>
      </c>
    </row>
    <row r="1949" spans="1:37" hidden="1" x14ac:dyDescent="0.25">
      <c r="A1949" t="str">
        <f t="shared" si="30"/>
        <v>2023_NSW_WaggaWagga_Lupin_DetailedTOS2VarietyMandelupWaterTrtRainFed</v>
      </c>
      <c r="B1949" s="2">
        <v>2023021</v>
      </c>
      <c r="C1949" s="3" t="s">
        <v>1930</v>
      </c>
      <c r="D1949" s="3" t="s">
        <v>1931</v>
      </c>
      <c r="F1949" s="3" t="s">
        <v>1939</v>
      </c>
      <c r="G1949" s="3" t="s">
        <v>39</v>
      </c>
      <c r="H1949" s="3" t="s">
        <v>250</v>
      </c>
      <c r="I1949" s="2">
        <v>126</v>
      </c>
      <c r="J1949" s="2">
        <v>63</v>
      </c>
      <c r="K1949" s="2">
        <v>4</v>
      </c>
      <c r="O1949" s="2">
        <v>8</v>
      </c>
      <c r="U1949" s="2">
        <v>8</v>
      </c>
      <c r="V1949" s="2">
        <v>31</v>
      </c>
      <c r="W1949" s="2">
        <v>7</v>
      </c>
      <c r="X1949" s="2">
        <v>16</v>
      </c>
      <c r="Z1949" s="2">
        <v>58</v>
      </c>
      <c r="AA1949" s="3" t="s">
        <v>40</v>
      </c>
      <c r="AB1949" s="2">
        <v>3</v>
      </c>
      <c r="AF1949" s="2">
        <v>30</v>
      </c>
      <c r="AG1949" s="2">
        <v>2</v>
      </c>
      <c r="AH1949" s="3" t="s">
        <v>1800</v>
      </c>
      <c r="AI1949" s="4">
        <v>45077</v>
      </c>
      <c r="AJ1949" s="3" t="s">
        <v>2059</v>
      </c>
      <c r="AK1949" s="3" t="s">
        <v>1931</v>
      </c>
    </row>
    <row r="1950" spans="1:37" hidden="1" x14ac:dyDescent="0.25">
      <c r="A1950" t="str">
        <f t="shared" si="30"/>
        <v>2023_NSW_WaggaWagga_Lupin_DetailedTOS2VarietyBatemanWaterTrtRainFed</v>
      </c>
      <c r="B1950" s="2">
        <v>2023021</v>
      </c>
      <c r="C1950" s="3" t="s">
        <v>1930</v>
      </c>
      <c r="D1950" s="3" t="s">
        <v>1931</v>
      </c>
      <c r="F1950" s="3" t="s">
        <v>4195</v>
      </c>
      <c r="G1950" s="3" t="s">
        <v>43</v>
      </c>
      <c r="H1950" s="3" t="s">
        <v>253</v>
      </c>
      <c r="I1950" s="2">
        <v>127</v>
      </c>
      <c r="J1950" s="2">
        <v>64</v>
      </c>
      <c r="K1950" s="2">
        <v>4</v>
      </c>
      <c r="O1950" s="2">
        <v>8</v>
      </c>
      <c r="U1950" s="2">
        <v>9</v>
      </c>
      <c r="V1950" s="2">
        <v>30</v>
      </c>
      <c r="W1950" s="2">
        <v>8</v>
      </c>
      <c r="X1950" s="2">
        <v>15</v>
      </c>
      <c r="AA1950" s="3" t="s">
        <v>40</v>
      </c>
      <c r="AB1950" s="2">
        <v>1</v>
      </c>
      <c r="AF1950" s="2">
        <v>30</v>
      </c>
      <c r="AG1950" s="2">
        <v>2</v>
      </c>
      <c r="AH1950" s="3" t="s">
        <v>1800</v>
      </c>
      <c r="AI1950" s="4">
        <v>45077</v>
      </c>
      <c r="AJ1950" s="3" t="s">
        <v>2060</v>
      </c>
      <c r="AK1950" s="3" t="s">
        <v>1931</v>
      </c>
    </row>
    <row r="1951" spans="1:37" hidden="1" x14ac:dyDescent="0.25">
      <c r="A1951" t="str">
        <f t="shared" si="30"/>
        <v>2023_NSW_WaggaWagga_Lupin_DetailedTOS2VarietyBatemanWaterTrtRainFed</v>
      </c>
      <c r="B1951" s="2">
        <v>2023021</v>
      </c>
      <c r="C1951" s="3" t="s">
        <v>1930</v>
      </c>
      <c r="D1951" s="3" t="s">
        <v>1931</v>
      </c>
      <c r="F1951" s="3" t="s">
        <v>4195</v>
      </c>
      <c r="G1951" s="3" t="s">
        <v>43</v>
      </c>
      <c r="H1951" s="3" t="s">
        <v>250</v>
      </c>
      <c r="I1951" s="2">
        <v>128</v>
      </c>
      <c r="J1951" s="2">
        <v>64</v>
      </c>
      <c r="K1951" s="2">
        <v>4</v>
      </c>
      <c r="O1951" s="2">
        <v>8</v>
      </c>
      <c r="U1951" s="2">
        <v>9</v>
      </c>
      <c r="V1951" s="2">
        <v>31</v>
      </c>
      <c r="W1951" s="2">
        <v>8</v>
      </c>
      <c r="X1951" s="2">
        <v>16</v>
      </c>
      <c r="Z1951" s="2">
        <v>57</v>
      </c>
      <c r="AA1951" s="3" t="s">
        <v>40</v>
      </c>
      <c r="AB1951" s="2">
        <v>1</v>
      </c>
      <c r="AF1951" s="2">
        <v>30</v>
      </c>
      <c r="AG1951" s="2">
        <v>2</v>
      </c>
      <c r="AH1951" s="3" t="s">
        <v>1800</v>
      </c>
      <c r="AI1951" s="4">
        <v>45077</v>
      </c>
      <c r="AJ1951" s="3" t="s">
        <v>2061</v>
      </c>
      <c r="AK1951" s="3" t="s">
        <v>1931</v>
      </c>
    </row>
    <row r="1952" spans="1:37" hidden="1" x14ac:dyDescent="0.25">
      <c r="A1952" t="str">
        <f t="shared" si="30"/>
        <v>2023_Qld_Gatton_Chickpea_DetailedTOS2VarietyStrikerWaterTrtRainFed</v>
      </c>
      <c r="B1952" s="2">
        <v>2023022</v>
      </c>
      <c r="C1952" s="3" t="s">
        <v>2062</v>
      </c>
      <c r="D1952" s="3" t="s">
        <v>248</v>
      </c>
      <c r="F1952" s="3" t="s">
        <v>4179</v>
      </c>
      <c r="G1952" s="3" t="s">
        <v>43</v>
      </c>
      <c r="H1952" s="3" t="s">
        <v>253</v>
      </c>
      <c r="I1952" s="2">
        <v>1</v>
      </c>
      <c r="J1952" s="2">
        <v>1</v>
      </c>
      <c r="K1952" s="2">
        <v>1</v>
      </c>
      <c r="O1952" s="2">
        <v>1</v>
      </c>
      <c r="U1952" s="2">
        <v>2</v>
      </c>
      <c r="V1952" s="2">
        <v>3</v>
      </c>
      <c r="W1952" s="2">
        <v>1</v>
      </c>
      <c r="X1952" s="2">
        <v>1</v>
      </c>
      <c r="Z1952" s="2">
        <v>1</v>
      </c>
      <c r="AA1952" s="3" t="s">
        <v>40</v>
      </c>
      <c r="AB1952" s="2">
        <v>4</v>
      </c>
      <c r="AF1952" s="2">
        <v>35</v>
      </c>
      <c r="AG1952" s="2">
        <v>2</v>
      </c>
      <c r="AH1952" s="3" t="s">
        <v>2063</v>
      </c>
      <c r="AI1952" s="4">
        <v>45110</v>
      </c>
      <c r="AJ1952" s="3" t="s">
        <v>2064</v>
      </c>
      <c r="AK1952" s="3" t="s">
        <v>248</v>
      </c>
    </row>
    <row r="1953" spans="1:37" hidden="1" x14ac:dyDescent="0.25">
      <c r="A1953" t="str">
        <f t="shared" si="30"/>
        <v>2023_Qld_Gatton_Chickpea_DetailedTOS2VarietyStrikerWaterTrtRainFed</v>
      </c>
      <c r="B1953" s="2">
        <v>2023022</v>
      </c>
      <c r="C1953" s="3" t="s">
        <v>2062</v>
      </c>
      <c r="D1953" s="3" t="s">
        <v>248</v>
      </c>
      <c r="F1953" s="3" t="s">
        <v>4179</v>
      </c>
      <c r="G1953" s="3" t="s">
        <v>43</v>
      </c>
      <c r="H1953" s="3" t="s">
        <v>250</v>
      </c>
      <c r="I1953" s="2">
        <v>2</v>
      </c>
      <c r="J1953" s="2">
        <v>1</v>
      </c>
      <c r="K1953" s="2">
        <v>1</v>
      </c>
      <c r="O1953" s="2">
        <v>1</v>
      </c>
      <c r="U1953" s="2">
        <v>2</v>
      </c>
      <c r="V1953" s="2">
        <v>4</v>
      </c>
      <c r="W1953" s="2">
        <v>1</v>
      </c>
      <c r="X1953" s="2">
        <v>2</v>
      </c>
      <c r="AA1953" s="3" t="s">
        <v>40</v>
      </c>
      <c r="AB1953" s="2">
        <v>4</v>
      </c>
      <c r="AF1953" s="2">
        <v>35</v>
      </c>
      <c r="AG1953" s="2">
        <v>2</v>
      </c>
      <c r="AH1953" s="3" t="s">
        <v>2063</v>
      </c>
      <c r="AI1953" s="4">
        <v>45110</v>
      </c>
      <c r="AJ1953" s="3" t="s">
        <v>2065</v>
      </c>
      <c r="AK1953" s="3" t="s">
        <v>248</v>
      </c>
    </row>
    <row r="1954" spans="1:37" hidden="1" x14ac:dyDescent="0.25">
      <c r="A1954" t="str">
        <f t="shared" si="30"/>
        <v>2023_Qld_Gatton_Chickpea_DetailedTOS2VarietyHatTrickWaterTrtRainFed</v>
      </c>
      <c r="B1954" s="2">
        <v>2023022</v>
      </c>
      <c r="C1954" s="3" t="s">
        <v>2062</v>
      </c>
      <c r="D1954" s="3" t="s">
        <v>248</v>
      </c>
      <c r="F1954" s="3" t="s">
        <v>4178</v>
      </c>
      <c r="G1954" s="3" t="s">
        <v>39</v>
      </c>
      <c r="H1954" s="3" t="s">
        <v>253</v>
      </c>
      <c r="I1954" s="2">
        <v>3</v>
      </c>
      <c r="J1954" s="2">
        <v>2</v>
      </c>
      <c r="K1954" s="2">
        <v>1</v>
      </c>
      <c r="O1954" s="2">
        <v>1</v>
      </c>
      <c r="U1954" s="2">
        <v>3</v>
      </c>
      <c r="V1954" s="2">
        <v>3</v>
      </c>
      <c r="W1954" s="2">
        <v>2</v>
      </c>
      <c r="X1954" s="2">
        <v>1</v>
      </c>
      <c r="Z1954" s="2">
        <v>2</v>
      </c>
      <c r="AA1954" s="3" t="s">
        <v>40</v>
      </c>
      <c r="AB1954" s="2">
        <v>3</v>
      </c>
      <c r="AF1954" s="2">
        <v>35</v>
      </c>
      <c r="AG1954" s="2">
        <v>2</v>
      </c>
      <c r="AH1954" s="3" t="s">
        <v>2063</v>
      </c>
      <c r="AI1954" s="4">
        <v>45110</v>
      </c>
      <c r="AJ1954" s="3" t="s">
        <v>2066</v>
      </c>
      <c r="AK1954" s="3" t="s">
        <v>248</v>
      </c>
    </row>
    <row r="1955" spans="1:37" hidden="1" x14ac:dyDescent="0.25">
      <c r="A1955" t="str">
        <f t="shared" si="30"/>
        <v>2023_Qld_Gatton_Chickpea_DetailedTOS2VarietyHatTrickWaterTrtRainFed</v>
      </c>
      <c r="B1955" s="2">
        <v>2023022</v>
      </c>
      <c r="C1955" s="3" t="s">
        <v>2062</v>
      </c>
      <c r="D1955" s="3" t="s">
        <v>248</v>
      </c>
      <c r="F1955" s="3" t="s">
        <v>4178</v>
      </c>
      <c r="G1955" s="3" t="s">
        <v>39</v>
      </c>
      <c r="H1955" s="3" t="s">
        <v>250</v>
      </c>
      <c r="I1955" s="2">
        <v>4</v>
      </c>
      <c r="J1955" s="2">
        <v>2</v>
      </c>
      <c r="K1955" s="2">
        <v>1</v>
      </c>
      <c r="O1955" s="2">
        <v>1</v>
      </c>
      <c r="U1955" s="2">
        <v>3</v>
      </c>
      <c r="V1955" s="2">
        <v>4</v>
      </c>
      <c r="W1955" s="2">
        <v>2</v>
      </c>
      <c r="X1955" s="2">
        <v>2</v>
      </c>
      <c r="AA1955" s="3" t="s">
        <v>40</v>
      </c>
      <c r="AB1955" s="2">
        <v>3</v>
      </c>
      <c r="AF1955" s="2">
        <v>35</v>
      </c>
      <c r="AG1955" s="2">
        <v>2</v>
      </c>
      <c r="AH1955" s="3" t="s">
        <v>2063</v>
      </c>
      <c r="AI1955" s="4">
        <v>45110</v>
      </c>
      <c r="AJ1955" s="3" t="s">
        <v>2067</v>
      </c>
      <c r="AK1955" s="3" t="s">
        <v>248</v>
      </c>
    </row>
    <row r="1956" spans="1:37" hidden="1" x14ac:dyDescent="0.25">
      <c r="A1956" t="str">
        <f t="shared" si="30"/>
        <v>2023_Qld_Gatton_Chickpea_DetailedTOS2VarietyCBA_CaptainWaterTrtRainFed</v>
      </c>
      <c r="B1956" s="2">
        <v>2023022</v>
      </c>
      <c r="C1956" s="3" t="s">
        <v>2062</v>
      </c>
      <c r="D1956" s="3" t="s">
        <v>248</v>
      </c>
      <c r="F1956" s="3" t="s">
        <v>249</v>
      </c>
      <c r="G1956" s="3" t="s">
        <v>43</v>
      </c>
      <c r="H1956" s="3" t="s">
        <v>253</v>
      </c>
      <c r="I1956" s="2">
        <v>5</v>
      </c>
      <c r="J1956" s="2">
        <v>3</v>
      </c>
      <c r="K1956" s="2">
        <v>1</v>
      </c>
      <c r="O1956" s="2">
        <v>1</v>
      </c>
      <c r="U1956" s="2">
        <v>5</v>
      </c>
      <c r="V1956" s="2">
        <v>3</v>
      </c>
      <c r="W1956" s="2">
        <v>3</v>
      </c>
      <c r="X1956" s="2">
        <v>1</v>
      </c>
      <c r="Z1956" s="2">
        <v>3</v>
      </c>
      <c r="AA1956" s="3" t="s">
        <v>40</v>
      </c>
      <c r="AB1956" s="2">
        <v>1</v>
      </c>
      <c r="AF1956" s="2">
        <v>35</v>
      </c>
      <c r="AG1956" s="2">
        <v>2</v>
      </c>
      <c r="AH1956" s="3" t="s">
        <v>2063</v>
      </c>
      <c r="AI1956" s="4">
        <v>45110</v>
      </c>
      <c r="AJ1956" s="3" t="s">
        <v>2068</v>
      </c>
      <c r="AK1956" s="3" t="s">
        <v>248</v>
      </c>
    </row>
    <row r="1957" spans="1:37" hidden="1" x14ac:dyDescent="0.25">
      <c r="A1957" t="str">
        <f t="shared" si="30"/>
        <v>2023_Qld_Gatton_Chickpea_DetailedTOS2VarietyCBA_CaptainWaterTrtRainFed</v>
      </c>
      <c r="B1957" s="2">
        <v>2023022</v>
      </c>
      <c r="C1957" s="3" t="s">
        <v>2062</v>
      </c>
      <c r="D1957" s="3" t="s">
        <v>248</v>
      </c>
      <c r="F1957" s="3" t="s">
        <v>249</v>
      </c>
      <c r="G1957" s="3" t="s">
        <v>43</v>
      </c>
      <c r="H1957" s="3" t="s">
        <v>250</v>
      </c>
      <c r="I1957" s="2">
        <v>6</v>
      </c>
      <c r="J1957" s="2">
        <v>3</v>
      </c>
      <c r="K1957" s="2">
        <v>1</v>
      </c>
      <c r="O1957" s="2">
        <v>1</v>
      </c>
      <c r="U1957" s="2">
        <v>5</v>
      </c>
      <c r="V1957" s="2">
        <v>4</v>
      </c>
      <c r="W1957" s="2">
        <v>3</v>
      </c>
      <c r="X1957" s="2">
        <v>2</v>
      </c>
      <c r="AA1957" s="3" t="s">
        <v>40</v>
      </c>
      <c r="AB1957" s="2">
        <v>1</v>
      </c>
      <c r="AF1957" s="2">
        <v>35</v>
      </c>
      <c r="AG1957" s="2">
        <v>2</v>
      </c>
      <c r="AH1957" s="3" t="s">
        <v>2063</v>
      </c>
      <c r="AI1957" s="4">
        <v>45110</v>
      </c>
      <c r="AJ1957" s="3" t="s">
        <v>2069</v>
      </c>
      <c r="AK1957" s="3" t="s">
        <v>248</v>
      </c>
    </row>
    <row r="1958" spans="1:37" hidden="1" x14ac:dyDescent="0.25">
      <c r="A1958" t="str">
        <f t="shared" si="30"/>
        <v>2023_Qld_Gatton_Chickpea_DetailedTOS2VarietyDrummondWaterTrtRainFed</v>
      </c>
      <c r="B1958" s="2">
        <v>2023022</v>
      </c>
      <c r="C1958" s="3" t="s">
        <v>2062</v>
      </c>
      <c r="D1958" s="3" t="s">
        <v>248</v>
      </c>
      <c r="F1958" s="3" t="s">
        <v>4182</v>
      </c>
      <c r="G1958" s="3" t="s">
        <v>39</v>
      </c>
      <c r="H1958" s="3" t="s">
        <v>253</v>
      </c>
      <c r="I1958" s="2">
        <v>7</v>
      </c>
      <c r="J1958" s="2">
        <v>4</v>
      </c>
      <c r="K1958" s="2">
        <v>1</v>
      </c>
      <c r="O1958" s="2">
        <v>1</v>
      </c>
      <c r="U1958" s="2">
        <v>6</v>
      </c>
      <c r="V1958" s="2">
        <v>3</v>
      </c>
      <c r="W1958" s="2">
        <v>4</v>
      </c>
      <c r="X1958" s="2">
        <v>1</v>
      </c>
      <c r="Z1958" s="2">
        <v>4</v>
      </c>
      <c r="AA1958" s="3" t="s">
        <v>40</v>
      </c>
      <c r="AB1958" s="2">
        <v>2</v>
      </c>
      <c r="AF1958" s="2">
        <v>35</v>
      </c>
      <c r="AG1958" s="2">
        <v>2</v>
      </c>
      <c r="AH1958" s="3" t="s">
        <v>2063</v>
      </c>
      <c r="AI1958" s="4">
        <v>45110</v>
      </c>
      <c r="AJ1958" s="3" t="s">
        <v>2070</v>
      </c>
      <c r="AK1958" s="3" t="s">
        <v>248</v>
      </c>
    </row>
    <row r="1959" spans="1:37" hidden="1" x14ac:dyDescent="0.25">
      <c r="A1959" t="str">
        <f t="shared" si="30"/>
        <v>2023_Qld_Gatton_Chickpea_DetailedTOS2VarietyDrummondWaterTrtRainFed</v>
      </c>
      <c r="B1959" s="2">
        <v>2023022</v>
      </c>
      <c r="C1959" s="3" t="s">
        <v>2062</v>
      </c>
      <c r="D1959" s="3" t="s">
        <v>248</v>
      </c>
      <c r="F1959" s="3" t="s">
        <v>4182</v>
      </c>
      <c r="G1959" s="3" t="s">
        <v>39</v>
      </c>
      <c r="H1959" s="3" t="s">
        <v>250</v>
      </c>
      <c r="I1959" s="2">
        <v>8</v>
      </c>
      <c r="J1959" s="2">
        <v>4</v>
      </c>
      <c r="K1959" s="2">
        <v>1</v>
      </c>
      <c r="O1959" s="2">
        <v>1</v>
      </c>
      <c r="U1959" s="2">
        <v>6</v>
      </c>
      <c r="V1959" s="2">
        <v>4</v>
      </c>
      <c r="W1959" s="2">
        <v>4</v>
      </c>
      <c r="X1959" s="2">
        <v>2</v>
      </c>
      <c r="AA1959" s="3" t="s">
        <v>40</v>
      </c>
      <c r="AB1959" s="2">
        <v>2</v>
      </c>
      <c r="AF1959" s="2">
        <v>35</v>
      </c>
      <c r="AG1959" s="2">
        <v>2</v>
      </c>
      <c r="AH1959" s="3" t="s">
        <v>2063</v>
      </c>
      <c r="AI1959" s="4">
        <v>45110</v>
      </c>
      <c r="AJ1959" s="3" t="s">
        <v>2071</v>
      </c>
      <c r="AK1959" s="3" t="s">
        <v>248</v>
      </c>
    </row>
    <row r="1960" spans="1:37" hidden="1" x14ac:dyDescent="0.25">
      <c r="A1960" t="str">
        <f t="shared" si="30"/>
        <v>2023_Qld_Gatton_Chickpea_DetailedTOS1VarietyDrummondWaterTrtIrrigated</v>
      </c>
      <c r="B1960" s="2">
        <v>2023022</v>
      </c>
      <c r="C1960" s="3" t="s">
        <v>2062</v>
      </c>
      <c r="D1960" s="3" t="s">
        <v>248</v>
      </c>
      <c r="F1960" s="3" t="s">
        <v>4182</v>
      </c>
      <c r="G1960" s="3" t="s">
        <v>39</v>
      </c>
      <c r="H1960" s="3" t="s">
        <v>250</v>
      </c>
      <c r="I1960" s="2">
        <v>9</v>
      </c>
      <c r="J1960" s="2">
        <v>5</v>
      </c>
      <c r="K1960" s="2">
        <v>1</v>
      </c>
      <c r="O1960" s="2">
        <v>2</v>
      </c>
      <c r="U1960" s="2">
        <v>2</v>
      </c>
      <c r="V1960" s="2">
        <v>7</v>
      </c>
      <c r="W1960" s="2">
        <v>1</v>
      </c>
      <c r="X1960" s="2">
        <v>3</v>
      </c>
      <c r="AA1960" s="3" t="s">
        <v>57</v>
      </c>
      <c r="AB1960" s="2">
        <v>2</v>
      </c>
      <c r="AF1960" s="2">
        <v>35</v>
      </c>
      <c r="AG1960" s="2">
        <v>1</v>
      </c>
      <c r="AH1960" s="3" t="s">
        <v>2072</v>
      </c>
      <c r="AI1960" s="4">
        <v>45072</v>
      </c>
      <c r="AJ1960" s="3" t="s">
        <v>2073</v>
      </c>
      <c r="AK1960" s="3" t="s">
        <v>248</v>
      </c>
    </row>
    <row r="1961" spans="1:37" hidden="1" x14ac:dyDescent="0.25">
      <c r="A1961" t="str">
        <f t="shared" si="30"/>
        <v>2023_Qld_Gatton_Chickpea_DetailedTOS1VarietyDrummondWaterTrtIrrigated</v>
      </c>
      <c r="B1961" s="2">
        <v>2023022</v>
      </c>
      <c r="C1961" s="3" t="s">
        <v>2062</v>
      </c>
      <c r="D1961" s="3" t="s">
        <v>248</v>
      </c>
      <c r="F1961" s="3" t="s">
        <v>4182</v>
      </c>
      <c r="G1961" s="3" t="s">
        <v>39</v>
      </c>
      <c r="H1961" s="3" t="s">
        <v>253</v>
      </c>
      <c r="I1961" s="2">
        <v>10</v>
      </c>
      <c r="J1961" s="2">
        <v>5</v>
      </c>
      <c r="K1961" s="2">
        <v>1</v>
      </c>
      <c r="O1961" s="2">
        <v>2</v>
      </c>
      <c r="U1961" s="2">
        <v>2</v>
      </c>
      <c r="V1961" s="2">
        <v>8</v>
      </c>
      <c r="W1961" s="2">
        <v>1</v>
      </c>
      <c r="X1961" s="2">
        <v>4</v>
      </c>
      <c r="Z1961" s="2">
        <v>8</v>
      </c>
      <c r="AA1961" s="3" t="s">
        <v>57</v>
      </c>
      <c r="AB1961" s="2">
        <v>2</v>
      </c>
      <c r="AF1961" s="2">
        <v>35</v>
      </c>
      <c r="AG1961" s="2">
        <v>1</v>
      </c>
      <c r="AH1961" s="3" t="s">
        <v>2072</v>
      </c>
      <c r="AI1961" s="4">
        <v>45072</v>
      </c>
      <c r="AJ1961" s="3" t="s">
        <v>2074</v>
      </c>
      <c r="AK1961" s="3" t="s">
        <v>248</v>
      </c>
    </row>
    <row r="1962" spans="1:37" hidden="1" x14ac:dyDescent="0.25">
      <c r="A1962" t="str">
        <f t="shared" si="30"/>
        <v>2023_Qld_Gatton_Chickpea_DetailedTOS1VarietyStrikerWaterTrtIrrigated</v>
      </c>
      <c r="B1962" s="2">
        <v>2023022</v>
      </c>
      <c r="C1962" s="3" t="s">
        <v>2062</v>
      </c>
      <c r="D1962" s="3" t="s">
        <v>248</v>
      </c>
      <c r="F1962" s="3" t="s">
        <v>4179</v>
      </c>
      <c r="G1962" s="3" t="s">
        <v>43</v>
      </c>
      <c r="H1962" s="3" t="s">
        <v>250</v>
      </c>
      <c r="I1962" s="2">
        <v>11</v>
      </c>
      <c r="J1962" s="2">
        <v>6</v>
      </c>
      <c r="K1962" s="2">
        <v>1</v>
      </c>
      <c r="O1962" s="2">
        <v>2</v>
      </c>
      <c r="U1962" s="2">
        <v>3</v>
      </c>
      <c r="V1962" s="2">
        <v>7</v>
      </c>
      <c r="W1962" s="2">
        <v>2</v>
      </c>
      <c r="X1962" s="2">
        <v>3</v>
      </c>
      <c r="AA1962" s="3" t="s">
        <v>57</v>
      </c>
      <c r="AB1962" s="2">
        <v>4</v>
      </c>
      <c r="AF1962" s="2">
        <v>35</v>
      </c>
      <c r="AG1962" s="2">
        <v>1</v>
      </c>
      <c r="AH1962" s="3" t="s">
        <v>2072</v>
      </c>
      <c r="AI1962" s="4">
        <v>45072</v>
      </c>
      <c r="AJ1962" s="3" t="s">
        <v>2075</v>
      </c>
      <c r="AK1962" s="3" t="s">
        <v>248</v>
      </c>
    </row>
    <row r="1963" spans="1:37" hidden="1" x14ac:dyDescent="0.25">
      <c r="A1963" t="str">
        <f t="shared" si="30"/>
        <v>2023_Qld_Gatton_Chickpea_DetailedTOS1VarietyStrikerWaterTrtIrrigated</v>
      </c>
      <c r="B1963" s="2">
        <v>2023022</v>
      </c>
      <c r="C1963" s="3" t="s">
        <v>2062</v>
      </c>
      <c r="D1963" s="3" t="s">
        <v>248</v>
      </c>
      <c r="F1963" s="3" t="s">
        <v>4179</v>
      </c>
      <c r="G1963" s="3" t="s">
        <v>43</v>
      </c>
      <c r="H1963" s="3" t="s">
        <v>253</v>
      </c>
      <c r="I1963" s="2">
        <v>12</v>
      </c>
      <c r="J1963" s="2">
        <v>6</v>
      </c>
      <c r="K1963" s="2">
        <v>1</v>
      </c>
      <c r="O1963" s="2">
        <v>2</v>
      </c>
      <c r="U1963" s="2">
        <v>3</v>
      </c>
      <c r="V1963" s="2">
        <v>8</v>
      </c>
      <c r="W1963" s="2">
        <v>2</v>
      </c>
      <c r="X1963" s="2">
        <v>4</v>
      </c>
      <c r="Z1963" s="2">
        <v>7</v>
      </c>
      <c r="AA1963" s="3" t="s">
        <v>57</v>
      </c>
      <c r="AB1963" s="2">
        <v>4</v>
      </c>
      <c r="AF1963" s="2">
        <v>35</v>
      </c>
      <c r="AG1963" s="2">
        <v>1</v>
      </c>
      <c r="AH1963" s="3" t="s">
        <v>2072</v>
      </c>
      <c r="AI1963" s="4">
        <v>45072</v>
      </c>
      <c r="AJ1963" s="3" t="s">
        <v>2076</v>
      </c>
      <c r="AK1963" s="3" t="s">
        <v>248</v>
      </c>
    </row>
    <row r="1964" spans="1:37" hidden="1" x14ac:dyDescent="0.25">
      <c r="A1964" t="str">
        <f t="shared" si="30"/>
        <v>2023_Qld_Gatton_Chickpea_DetailedTOS1VarietyHatTrickWaterTrtIrrigated</v>
      </c>
      <c r="B1964" s="2">
        <v>2023022</v>
      </c>
      <c r="C1964" s="3" t="s">
        <v>2062</v>
      </c>
      <c r="D1964" s="3" t="s">
        <v>248</v>
      </c>
      <c r="F1964" s="3" t="s">
        <v>4178</v>
      </c>
      <c r="G1964" s="3" t="s">
        <v>39</v>
      </c>
      <c r="H1964" s="3" t="s">
        <v>250</v>
      </c>
      <c r="I1964" s="2">
        <v>13</v>
      </c>
      <c r="J1964" s="2">
        <v>7</v>
      </c>
      <c r="K1964" s="2">
        <v>1</v>
      </c>
      <c r="O1964" s="2">
        <v>2</v>
      </c>
      <c r="U1964" s="2">
        <v>5</v>
      </c>
      <c r="V1964" s="2">
        <v>7</v>
      </c>
      <c r="W1964" s="2">
        <v>3</v>
      </c>
      <c r="X1964" s="2">
        <v>3</v>
      </c>
      <c r="AA1964" s="3" t="s">
        <v>57</v>
      </c>
      <c r="AB1964" s="2">
        <v>3</v>
      </c>
      <c r="AF1964" s="2">
        <v>35</v>
      </c>
      <c r="AG1964" s="2">
        <v>1</v>
      </c>
      <c r="AH1964" s="3" t="s">
        <v>2072</v>
      </c>
      <c r="AI1964" s="4">
        <v>45072</v>
      </c>
      <c r="AJ1964" s="3" t="s">
        <v>2077</v>
      </c>
      <c r="AK1964" s="3" t="s">
        <v>248</v>
      </c>
    </row>
    <row r="1965" spans="1:37" hidden="1" x14ac:dyDescent="0.25">
      <c r="A1965" t="str">
        <f t="shared" si="30"/>
        <v>2023_Qld_Gatton_Chickpea_DetailedTOS1VarietyHatTrickWaterTrtIrrigated</v>
      </c>
      <c r="B1965" s="2">
        <v>2023022</v>
      </c>
      <c r="C1965" s="3" t="s">
        <v>2062</v>
      </c>
      <c r="D1965" s="3" t="s">
        <v>248</v>
      </c>
      <c r="F1965" s="3" t="s">
        <v>4178</v>
      </c>
      <c r="G1965" s="3" t="s">
        <v>39</v>
      </c>
      <c r="H1965" s="3" t="s">
        <v>253</v>
      </c>
      <c r="I1965" s="2">
        <v>14</v>
      </c>
      <c r="J1965" s="2">
        <v>7</v>
      </c>
      <c r="K1965" s="2">
        <v>1</v>
      </c>
      <c r="O1965" s="2">
        <v>2</v>
      </c>
      <c r="U1965" s="2">
        <v>5</v>
      </c>
      <c r="V1965" s="2">
        <v>8</v>
      </c>
      <c r="W1965" s="2">
        <v>3</v>
      </c>
      <c r="X1965" s="2">
        <v>4</v>
      </c>
      <c r="Z1965" s="2">
        <v>6</v>
      </c>
      <c r="AA1965" s="3" t="s">
        <v>57</v>
      </c>
      <c r="AB1965" s="2">
        <v>3</v>
      </c>
      <c r="AF1965" s="2">
        <v>35</v>
      </c>
      <c r="AG1965" s="2">
        <v>1</v>
      </c>
      <c r="AH1965" s="3" t="s">
        <v>2072</v>
      </c>
      <c r="AI1965" s="4">
        <v>45072</v>
      </c>
      <c r="AJ1965" s="3" t="s">
        <v>2078</v>
      </c>
      <c r="AK1965" s="3" t="s">
        <v>248</v>
      </c>
    </row>
    <row r="1966" spans="1:37" hidden="1" x14ac:dyDescent="0.25">
      <c r="A1966" t="str">
        <f t="shared" si="30"/>
        <v>2023_Qld_Gatton_Chickpea_DetailedTOS1VarietyCBA_CaptainWaterTrtIrrigated</v>
      </c>
      <c r="B1966" s="2">
        <v>2023022</v>
      </c>
      <c r="C1966" s="3" t="s">
        <v>2062</v>
      </c>
      <c r="D1966" s="3" t="s">
        <v>248</v>
      </c>
      <c r="F1966" s="3" t="s">
        <v>249</v>
      </c>
      <c r="G1966" s="3" t="s">
        <v>43</v>
      </c>
      <c r="H1966" s="3" t="s">
        <v>250</v>
      </c>
      <c r="I1966" s="2">
        <v>15</v>
      </c>
      <c r="J1966" s="2">
        <v>8</v>
      </c>
      <c r="K1966" s="2">
        <v>1</v>
      </c>
      <c r="O1966" s="2">
        <v>2</v>
      </c>
      <c r="U1966" s="2">
        <v>6</v>
      </c>
      <c r="V1966" s="2">
        <v>7</v>
      </c>
      <c r="W1966" s="2">
        <v>4</v>
      </c>
      <c r="X1966" s="2">
        <v>3</v>
      </c>
      <c r="AA1966" s="3" t="s">
        <v>57</v>
      </c>
      <c r="AB1966" s="2">
        <v>1</v>
      </c>
      <c r="AF1966" s="2">
        <v>35</v>
      </c>
      <c r="AG1966" s="2">
        <v>1</v>
      </c>
      <c r="AH1966" s="3" t="s">
        <v>2072</v>
      </c>
      <c r="AI1966" s="4">
        <v>45072</v>
      </c>
      <c r="AJ1966" s="3" t="s">
        <v>2079</v>
      </c>
      <c r="AK1966" s="3" t="s">
        <v>248</v>
      </c>
    </row>
    <row r="1967" spans="1:37" hidden="1" x14ac:dyDescent="0.25">
      <c r="A1967" t="str">
        <f t="shared" si="30"/>
        <v>2023_Qld_Gatton_Chickpea_DetailedTOS1VarietyCBA_CaptainWaterTrtIrrigated</v>
      </c>
      <c r="B1967" s="2">
        <v>2023022</v>
      </c>
      <c r="C1967" s="3" t="s">
        <v>2062</v>
      </c>
      <c r="D1967" s="3" t="s">
        <v>248</v>
      </c>
      <c r="F1967" s="3" t="s">
        <v>249</v>
      </c>
      <c r="G1967" s="3" t="s">
        <v>43</v>
      </c>
      <c r="H1967" s="3" t="s">
        <v>253</v>
      </c>
      <c r="I1967" s="2">
        <v>16</v>
      </c>
      <c r="J1967" s="2">
        <v>8</v>
      </c>
      <c r="K1967" s="2">
        <v>1</v>
      </c>
      <c r="O1967" s="2">
        <v>2</v>
      </c>
      <c r="U1967" s="2">
        <v>6</v>
      </c>
      <c r="V1967" s="2">
        <v>8</v>
      </c>
      <c r="W1967" s="2">
        <v>4</v>
      </c>
      <c r="X1967" s="2">
        <v>4</v>
      </c>
      <c r="Z1967" s="2">
        <v>5</v>
      </c>
      <c r="AA1967" s="3" t="s">
        <v>57</v>
      </c>
      <c r="AB1967" s="2">
        <v>1</v>
      </c>
      <c r="AF1967" s="2">
        <v>35</v>
      </c>
      <c r="AG1967" s="2">
        <v>1</v>
      </c>
      <c r="AH1967" s="3" t="s">
        <v>2072</v>
      </c>
      <c r="AI1967" s="4">
        <v>45072</v>
      </c>
      <c r="AJ1967" s="3" t="s">
        <v>2080</v>
      </c>
      <c r="AK1967" s="3" t="s">
        <v>248</v>
      </c>
    </row>
    <row r="1968" spans="1:37" hidden="1" x14ac:dyDescent="0.25">
      <c r="A1968" t="str">
        <f t="shared" si="30"/>
        <v>2023_Qld_Gatton_Chickpea_DetailedTOS2VarietyHatTrickWaterTrtIrrigated</v>
      </c>
      <c r="B1968" s="2">
        <v>2023022</v>
      </c>
      <c r="C1968" s="3" t="s">
        <v>2062</v>
      </c>
      <c r="D1968" s="3" t="s">
        <v>248</v>
      </c>
      <c r="F1968" s="3" t="s">
        <v>4178</v>
      </c>
      <c r="G1968" s="3" t="s">
        <v>39</v>
      </c>
      <c r="H1968" s="3" t="s">
        <v>253</v>
      </c>
      <c r="I1968" s="2">
        <v>17</v>
      </c>
      <c r="J1968" s="2">
        <v>9</v>
      </c>
      <c r="K1968" s="2">
        <v>1</v>
      </c>
      <c r="O1968" s="2">
        <v>3</v>
      </c>
      <c r="U1968" s="2">
        <v>2</v>
      </c>
      <c r="V1968" s="2">
        <v>11</v>
      </c>
      <c r="W1968" s="2">
        <v>1</v>
      </c>
      <c r="X1968" s="2">
        <v>5</v>
      </c>
      <c r="Z1968" s="2">
        <v>9</v>
      </c>
      <c r="AA1968" s="3" t="s">
        <v>57</v>
      </c>
      <c r="AB1968" s="2">
        <v>3</v>
      </c>
      <c r="AF1968" s="2">
        <v>35</v>
      </c>
      <c r="AG1968" s="2">
        <v>2</v>
      </c>
      <c r="AH1968" s="3" t="s">
        <v>2063</v>
      </c>
      <c r="AI1968" s="4">
        <v>45110</v>
      </c>
      <c r="AJ1968" s="3" t="s">
        <v>2081</v>
      </c>
      <c r="AK1968" s="3" t="s">
        <v>248</v>
      </c>
    </row>
    <row r="1969" spans="1:37" hidden="1" x14ac:dyDescent="0.25">
      <c r="A1969" t="str">
        <f t="shared" si="30"/>
        <v>2023_Qld_Gatton_Chickpea_DetailedTOS2VarietyHatTrickWaterTrtIrrigated</v>
      </c>
      <c r="B1969" s="2">
        <v>2023022</v>
      </c>
      <c r="C1969" s="3" t="s">
        <v>2062</v>
      </c>
      <c r="D1969" s="3" t="s">
        <v>248</v>
      </c>
      <c r="F1969" s="3" t="s">
        <v>4178</v>
      </c>
      <c r="G1969" s="3" t="s">
        <v>39</v>
      </c>
      <c r="H1969" s="3" t="s">
        <v>250</v>
      </c>
      <c r="I1969" s="2">
        <v>18</v>
      </c>
      <c r="J1969" s="2">
        <v>9</v>
      </c>
      <c r="K1969" s="2">
        <v>1</v>
      </c>
      <c r="O1969" s="2">
        <v>3</v>
      </c>
      <c r="U1969" s="2">
        <v>2</v>
      </c>
      <c r="V1969" s="2">
        <v>12</v>
      </c>
      <c r="W1969" s="2">
        <v>1</v>
      </c>
      <c r="X1969" s="2">
        <v>6</v>
      </c>
      <c r="AA1969" s="3" t="s">
        <v>57</v>
      </c>
      <c r="AB1969" s="2">
        <v>3</v>
      </c>
      <c r="AF1969" s="2">
        <v>35</v>
      </c>
      <c r="AG1969" s="2">
        <v>2</v>
      </c>
      <c r="AH1969" s="3" t="s">
        <v>2063</v>
      </c>
      <c r="AI1969" s="4">
        <v>45110</v>
      </c>
      <c r="AJ1969" s="3" t="s">
        <v>2082</v>
      </c>
      <c r="AK1969" s="3" t="s">
        <v>248</v>
      </c>
    </row>
    <row r="1970" spans="1:37" hidden="1" x14ac:dyDescent="0.25">
      <c r="A1970" t="str">
        <f t="shared" si="30"/>
        <v>2023_Qld_Gatton_Chickpea_DetailedTOS2VarietyCBA_CaptainWaterTrtIrrigated</v>
      </c>
      <c r="B1970" s="2">
        <v>2023022</v>
      </c>
      <c r="C1970" s="3" t="s">
        <v>2062</v>
      </c>
      <c r="D1970" s="3" t="s">
        <v>248</v>
      </c>
      <c r="F1970" s="3" t="s">
        <v>249</v>
      </c>
      <c r="G1970" s="3" t="s">
        <v>43</v>
      </c>
      <c r="H1970" s="3" t="s">
        <v>253</v>
      </c>
      <c r="I1970" s="2">
        <v>19</v>
      </c>
      <c r="J1970" s="2">
        <v>10</v>
      </c>
      <c r="K1970" s="2">
        <v>1</v>
      </c>
      <c r="O1970" s="2">
        <v>3</v>
      </c>
      <c r="U1970" s="2">
        <v>3</v>
      </c>
      <c r="V1970" s="2">
        <v>11</v>
      </c>
      <c r="W1970" s="2">
        <v>2</v>
      </c>
      <c r="X1970" s="2">
        <v>5</v>
      </c>
      <c r="Z1970" s="2">
        <v>10</v>
      </c>
      <c r="AA1970" s="3" t="s">
        <v>57</v>
      </c>
      <c r="AB1970" s="2">
        <v>1</v>
      </c>
      <c r="AF1970" s="2">
        <v>35</v>
      </c>
      <c r="AG1970" s="2">
        <v>2</v>
      </c>
      <c r="AH1970" s="3" t="s">
        <v>2063</v>
      </c>
      <c r="AI1970" s="4">
        <v>45110</v>
      </c>
      <c r="AJ1970" s="3" t="s">
        <v>2083</v>
      </c>
      <c r="AK1970" s="3" t="s">
        <v>248</v>
      </c>
    </row>
    <row r="1971" spans="1:37" hidden="1" x14ac:dyDescent="0.25">
      <c r="A1971" t="str">
        <f t="shared" si="30"/>
        <v>2023_Qld_Gatton_Chickpea_DetailedTOS2VarietyCBA_CaptainWaterTrtIrrigated</v>
      </c>
      <c r="B1971" s="2">
        <v>2023022</v>
      </c>
      <c r="C1971" s="3" t="s">
        <v>2062</v>
      </c>
      <c r="D1971" s="3" t="s">
        <v>248</v>
      </c>
      <c r="F1971" s="3" t="s">
        <v>249</v>
      </c>
      <c r="G1971" s="3" t="s">
        <v>43</v>
      </c>
      <c r="H1971" s="3" t="s">
        <v>250</v>
      </c>
      <c r="I1971" s="2">
        <v>20</v>
      </c>
      <c r="J1971" s="2">
        <v>10</v>
      </c>
      <c r="K1971" s="2">
        <v>1</v>
      </c>
      <c r="O1971" s="2">
        <v>3</v>
      </c>
      <c r="U1971" s="2">
        <v>3</v>
      </c>
      <c r="V1971" s="2">
        <v>12</v>
      </c>
      <c r="W1971" s="2">
        <v>2</v>
      </c>
      <c r="X1971" s="2">
        <v>6</v>
      </c>
      <c r="AA1971" s="3" t="s">
        <v>57</v>
      </c>
      <c r="AB1971" s="2">
        <v>1</v>
      </c>
      <c r="AF1971" s="2">
        <v>35</v>
      </c>
      <c r="AG1971" s="2">
        <v>2</v>
      </c>
      <c r="AH1971" s="3" t="s">
        <v>2063</v>
      </c>
      <c r="AI1971" s="4">
        <v>45110</v>
      </c>
      <c r="AJ1971" s="3" t="s">
        <v>2084</v>
      </c>
      <c r="AK1971" s="3" t="s">
        <v>248</v>
      </c>
    </row>
    <row r="1972" spans="1:37" hidden="1" x14ac:dyDescent="0.25">
      <c r="A1972" t="str">
        <f t="shared" si="30"/>
        <v>2023_Qld_Gatton_Chickpea_DetailedTOS2VarietyDrummondWaterTrtIrrigated</v>
      </c>
      <c r="B1972" s="2">
        <v>2023022</v>
      </c>
      <c r="C1972" s="3" t="s">
        <v>2062</v>
      </c>
      <c r="D1972" s="3" t="s">
        <v>248</v>
      </c>
      <c r="F1972" s="3" t="s">
        <v>4182</v>
      </c>
      <c r="G1972" s="3" t="s">
        <v>39</v>
      </c>
      <c r="H1972" s="3" t="s">
        <v>253</v>
      </c>
      <c r="I1972" s="2">
        <v>21</v>
      </c>
      <c r="J1972" s="2">
        <v>11</v>
      </c>
      <c r="K1972" s="2">
        <v>1</v>
      </c>
      <c r="O1972" s="2">
        <v>3</v>
      </c>
      <c r="U1972" s="2">
        <v>5</v>
      </c>
      <c r="V1972" s="2">
        <v>11</v>
      </c>
      <c r="W1972" s="2">
        <v>3</v>
      </c>
      <c r="X1972" s="2">
        <v>5</v>
      </c>
      <c r="Z1972" s="2">
        <v>11</v>
      </c>
      <c r="AA1972" s="3" t="s">
        <v>57</v>
      </c>
      <c r="AB1972" s="2">
        <v>2</v>
      </c>
      <c r="AF1972" s="2">
        <v>35</v>
      </c>
      <c r="AG1972" s="2">
        <v>2</v>
      </c>
      <c r="AH1972" s="3" t="s">
        <v>2063</v>
      </c>
      <c r="AI1972" s="4">
        <v>45110</v>
      </c>
      <c r="AJ1972" s="3" t="s">
        <v>2085</v>
      </c>
      <c r="AK1972" s="3" t="s">
        <v>248</v>
      </c>
    </row>
    <row r="1973" spans="1:37" hidden="1" x14ac:dyDescent="0.25">
      <c r="A1973" t="str">
        <f t="shared" si="30"/>
        <v>2023_Qld_Gatton_Chickpea_DetailedTOS2VarietyDrummondWaterTrtIrrigated</v>
      </c>
      <c r="B1973" s="2">
        <v>2023022</v>
      </c>
      <c r="C1973" s="3" t="s">
        <v>2062</v>
      </c>
      <c r="D1973" s="3" t="s">
        <v>248</v>
      </c>
      <c r="F1973" s="3" t="s">
        <v>4182</v>
      </c>
      <c r="G1973" s="3" t="s">
        <v>39</v>
      </c>
      <c r="H1973" s="3" t="s">
        <v>250</v>
      </c>
      <c r="I1973" s="2">
        <v>22</v>
      </c>
      <c r="J1973" s="2">
        <v>11</v>
      </c>
      <c r="K1973" s="2">
        <v>1</v>
      </c>
      <c r="O1973" s="2">
        <v>3</v>
      </c>
      <c r="U1973" s="2">
        <v>5</v>
      </c>
      <c r="V1973" s="2">
        <v>12</v>
      </c>
      <c r="W1973" s="2">
        <v>3</v>
      </c>
      <c r="X1973" s="2">
        <v>6</v>
      </c>
      <c r="AA1973" s="3" t="s">
        <v>57</v>
      </c>
      <c r="AB1973" s="2">
        <v>2</v>
      </c>
      <c r="AF1973" s="2">
        <v>35</v>
      </c>
      <c r="AG1973" s="2">
        <v>2</v>
      </c>
      <c r="AH1973" s="3" t="s">
        <v>2063</v>
      </c>
      <c r="AI1973" s="4">
        <v>45110</v>
      </c>
      <c r="AJ1973" s="3" t="s">
        <v>2086</v>
      </c>
      <c r="AK1973" s="3" t="s">
        <v>248</v>
      </c>
    </row>
    <row r="1974" spans="1:37" hidden="1" x14ac:dyDescent="0.25">
      <c r="A1974" t="str">
        <f t="shared" si="30"/>
        <v>2023_Qld_Gatton_Chickpea_DetailedTOS2VarietyStrikerWaterTrtIrrigated</v>
      </c>
      <c r="B1974" s="2">
        <v>2023022</v>
      </c>
      <c r="C1974" s="3" t="s">
        <v>2062</v>
      </c>
      <c r="D1974" s="3" t="s">
        <v>248</v>
      </c>
      <c r="F1974" s="3" t="s">
        <v>4179</v>
      </c>
      <c r="G1974" s="3" t="s">
        <v>43</v>
      </c>
      <c r="H1974" s="3" t="s">
        <v>253</v>
      </c>
      <c r="I1974" s="2">
        <v>23</v>
      </c>
      <c r="J1974" s="2">
        <v>12</v>
      </c>
      <c r="K1974" s="2">
        <v>1</v>
      </c>
      <c r="O1974" s="2">
        <v>3</v>
      </c>
      <c r="U1974" s="2">
        <v>6</v>
      </c>
      <c r="V1974" s="2">
        <v>11</v>
      </c>
      <c r="W1974" s="2">
        <v>4</v>
      </c>
      <c r="X1974" s="2">
        <v>5</v>
      </c>
      <c r="Z1974" s="2">
        <v>12</v>
      </c>
      <c r="AA1974" s="3" t="s">
        <v>57</v>
      </c>
      <c r="AB1974" s="2">
        <v>4</v>
      </c>
      <c r="AF1974" s="2">
        <v>35</v>
      </c>
      <c r="AG1974" s="2">
        <v>2</v>
      </c>
      <c r="AH1974" s="3" t="s">
        <v>2063</v>
      </c>
      <c r="AI1974" s="4">
        <v>45110</v>
      </c>
      <c r="AJ1974" s="3" t="s">
        <v>2087</v>
      </c>
      <c r="AK1974" s="3" t="s">
        <v>248</v>
      </c>
    </row>
    <row r="1975" spans="1:37" hidden="1" x14ac:dyDescent="0.25">
      <c r="A1975" t="str">
        <f t="shared" si="30"/>
        <v>2023_Qld_Gatton_Chickpea_DetailedTOS2VarietyStrikerWaterTrtIrrigated</v>
      </c>
      <c r="B1975" s="2">
        <v>2023022</v>
      </c>
      <c r="C1975" s="3" t="s">
        <v>2062</v>
      </c>
      <c r="D1975" s="3" t="s">
        <v>248</v>
      </c>
      <c r="F1975" s="3" t="s">
        <v>4179</v>
      </c>
      <c r="G1975" s="3" t="s">
        <v>43</v>
      </c>
      <c r="H1975" s="3" t="s">
        <v>250</v>
      </c>
      <c r="I1975" s="2">
        <v>24</v>
      </c>
      <c r="J1975" s="2">
        <v>12</v>
      </c>
      <c r="K1975" s="2">
        <v>1</v>
      </c>
      <c r="O1975" s="2">
        <v>3</v>
      </c>
      <c r="U1975" s="2">
        <v>6</v>
      </c>
      <c r="V1975" s="2">
        <v>12</v>
      </c>
      <c r="W1975" s="2">
        <v>4</v>
      </c>
      <c r="X1975" s="2">
        <v>6</v>
      </c>
      <c r="AA1975" s="3" t="s">
        <v>57</v>
      </c>
      <c r="AB1975" s="2">
        <v>4</v>
      </c>
      <c r="AF1975" s="2">
        <v>35</v>
      </c>
      <c r="AG1975" s="2">
        <v>2</v>
      </c>
      <c r="AH1975" s="3" t="s">
        <v>2063</v>
      </c>
      <c r="AI1975" s="4">
        <v>45110</v>
      </c>
      <c r="AJ1975" s="3" t="s">
        <v>2088</v>
      </c>
      <c r="AK1975" s="3" t="s">
        <v>248</v>
      </c>
    </row>
    <row r="1976" spans="1:37" hidden="1" x14ac:dyDescent="0.25">
      <c r="A1976" t="str">
        <f t="shared" si="30"/>
        <v>2023_Qld_Gatton_Chickpea_DetailedTOS1VarietyCBA_CaptainWaterTrtRainFed</v>
      </c>
      <c r="B1976" s="2">
        <v>2023022</v>
      </c>
      <c r="C1976" s="3" t="s">
        <v>2062</v>
      </c>
      <c r="D1976" s="3" t="s">
        <v>248</v>
      </c>
      <c r="F1976" s="3" t="s">
        <v>249</v>
      </c>
      <c r="G1976" s="3" t="s">
        <v>43</v>
      </c>
      <c r="H1976" s="3" t="s">
        <v>250</v>
      </c>
      <c r="I1976" s="2">
        <v>25</v>
      </c>
      <c r="J1976" s="2">
        <v>13</v>
      </c>
      <c r="K1976" s="2">
        <v>1</v>
      </c>
      <c r="O1976" s="2">
        <v>4</v>
      </c>
      <c r="U1976" s="2">
        <v>2</v>
      </c>
      <c r="V1976" s="2">
        <v>15</v>
      </c>
      <c r="W1976" s="2">
        <v>1</v>
      </c>
      <c r="X1976" s="2">
        <v>7</v>
      </c>
      <c r="AA1976" s="3" t="s">
        <v>40</v>
      </c>
      <c r="AB1976" s="2">
        <v>1</v>
      </c>
      <c r="AF1976" s="2">
        <v>35</v>
      </c>
      <c r="AG1976" s="2">
        <v>1</v>
      </c>
      <c r="AH1976" s="3" t="s">
        <v>2072</v>
      </c>
      <c r="AI1976" s="4">
        <v>45072</v>
      </c>
      <c r="AJ1976" s="3" t="s">
        <v>2089</v>
      </c>
      <c r="AK1976" s="3" t="s">
        <v>248</v>
      </c>
    </row>
    <row r="1977" spans="1:37" hidden="1" x14ac:dyDescent="0.25">
      <c r="A1977" t="str">
        <f t="shared" si="30"/>
        <v>2023_Qld_Gatton_Chickpea_DetailedTOS1VarietyCBA_CaptainWaterTrtRainFed</v>
      </c>
      <c r="B1977" s="2">
        <v>2023022</v>
      </c>
      <c r="C1977" s="3" t="s">
        <v>2062</v>
      </c>
      <c r="D1977" s="3" t="s">
        <v>248</v>
      </c>
      <c r="F1977" s="3" t="s">
        <v>249</v>
      </c>
      <c r="G1977" s="3" t="s">
        <v>43</v>
      </c>
      <c r="H1977" s="3" t="s">
        <v>253</v>
      </c>
      <c r="I1977" s="2">
        <v>26</v>
      </c>
      <c r="J1977" s="2">
        <v>13</v>
      </c>
      <c r="K1977" s="2">
        <v>1</v>
      </c>
      <c r="O1977" s="2">
        <v>4</v>
      </c>
      <c r="U1977" s="2">
        <v>2</v>
      </c>
      <c r="V1977" s="2">
        <v>16</v>
      </c>
      <c r="W1977" s="2">
        <v>1</v>
      </c>
      <c r="X1977" s="2">
        <v>8</v>
      </c>
      <c r="Z1977" s="2">
        <v>16</v>
      </c>
      <c r="AA1977" s="3" t="s">
        <v>40</v>
      </c>
      <c r="AB1977" s="2">
        <v>1</v>
      </c>
      <c r="AF1977" s="2">
        <v>35</v>
      </c>
      <c r="AG1977" s="2">
        <v>1</v>
      </c>
      <c r="AH1977" s="3" t="s">
        <v>2072</v>
      </c>
      <c r="AI1977" s="4">
        <v>45072</v>
      </c>
      <c r="AJ1977" s="3" t="s">
        <v>2090</v>
      </c>
      <c r="AK1977" s="3" t="s">
        <v>248</v>
      </c>
    </row>
    <row r="1978" spans="1:37" hidden="1" x14ac:dyDescent="0.25">
      <c r="A1978" t="str">
        <f t="shared" si="30"/>
        <v>2023_Qld_Gatton_Chickpea_DetailedTOS1VarietyDrummondWaterTrtRainFed</v>
      </c>
      <c r="B1978" s="2">
        <v>2023022</v>
      </c>
      <c r="C1978" s="3" t="s">
        <v>2062</v>
      </c>
      <c r="D1978" s="3" t="s">
        <v>248</v>
      </c>
      <c r="F1978" s="3" t="s">
        <v>4182</v>
      </c>
      <c r="G1978" s="3" t="s">
        <v>39</v>
      </c>
      <c r="H1978" s="3" t="s">
        <v>250</v>
      </c>
      <c r="I1978" s="2">
        <v>27</v>
      </c>
      <c r="J1978" s="2">
        <v>14</v>
      </c>
      <c r="K1978" s="2">
        <v>1</v>
      </c>
      <c r="O1978" s="2">
        <v>4</v>
      </c>
      <c r="U1978" s="2">
        <v>3</v>
      </c>
      <c r="V1978" s="2">
        <v>15</v>
      </c>
      <c r="W1978" s="2">
        <v>2</v>
      </c>
      <c r="X1978" s="2">
        <v>7</v>
      </c>
      <c r="AA1978" s="3" t="s">
        <v>40</v>
      </c>
      <c r="AB1978" s="2">
        <v>2</v>
      </c>
      <c r="AF1978" s="2">
        <v>35</v>
      </c>
      <c r="AG1978" s="2">
        <v>1</v>
      </c>
      <c r="AH1978" s="3" t="s">
        <v>2072</v>
      </c>
      <c r="AI1978" s="4">
        <v>45072</v>
      </c>
      <c r="AJ1978" s="3" t="s">
        <v>2091</v>
      </c>
      <c r="AK1978" s="3" t="s">
        <v>248</v>
      </c>
    </row>
    <row r="1979" spans="1:37" hidden="1" x14ac:dyDescent="0.25">
      <c r="A1979" t="str">
        <f t="shared" si="30"/>
        <v>2023_Qld_Gatton_Chickpea_DetailedTOS1VarietyDrummondWaterTrtRainFed</v>
      </c>
      <c r="B1979" s="2">
        <v>2023022</v>
      </c>
      <c r="C1979" s="3" t="s">
        <v>2062</v>
      </c>
      <c r="D1979" s="3" t="s">
        <v>248</v>
      </c>
      <c r="F1979" s="3" t="s">
        <v>4182</v>
      </c>
      <c r="G1979" s="3" t="s">
        <v>39</v>
      </c>
      <c r="H1979" s="3" t="s">
        <v>253</v>
      </c>
      <c r="I1979" s="2">
        <v>28</v>
      </c>
      <c r="J1979" s="2">
        <v>14</v>
      </c>
      <c r="K1979" s="2">
        <v>1</v>
      </c>
      <c r="O1979" s="2">
        <v>4</v>
      </c>
      <c r="U1979" s="2">
        <v>3</v>
      </c>
      <c r="V1979" s="2">
        <v>16</v>
      </c>
      <c r="W1979" s="2">
        <v>2</v>
      </c>
      <c r="X1979" s="2">
        <v>8</v>
      </c>
      <c r="Z1979" s="2">
        <v>15</v>
      </c>
      <c r="AA1979" s="3" t="s">
        <v>40</v>
      </c>
      <c r="AB1979" s="2">
        <v>2</v>
      </c>
      <c r="AF1979" s="2">
        <v>35</v>
      </c>
      <c r="AG1979" s="2">
        <v>1</v>
      </c>
      <c r="AH1979" s="3" t="s">
        <v>2072</v>
      </c>
      <c r="AI1979" s="4">
        <v>45072</v>
      </c>
      <c r="AJ1979" s="3" t="s">
        <v>2092</v>
      </c>
      <c r="AK1979" s="3" t="s">
        <v>248</v>
      </c>
    </row>
    <row r="1980" spans="1:37" hidden="1" x14ac:dyDescent="0.25">
      <c r="A1980" t="str">
        <f t="shared" si="30"/>
        <v>2023_Qld_Gatton_Chickpea_DetailedTOS1VarietyStrikerWaterTrtRainFed</v>
      </c>
      <c r="B1980" s="2">
        <v>2023022</v>
      </c>
      <c r="C1980" s="3" t="s">
        <v>2062</v>
      </c>
      <c r="D1980" s="3" t="s">
        <v>248</v>
      </c>
      <c r="F1980" s="3" t="s">
        <v>4179</v>
      </c>
      <c r="G1980" s="3" t="s">
        <v>43</v>
      </c>
      <c r="H1980" s="3" t="s">
        <v>250</v>
      </c>
      <c r="I1980" s="2">
        <v>29</v>
      </c>
      <c r="J1980" s="2">
        <v>15</v>
      </c>
      <c r="K1980" s="2">
        <v>1</v>
      </c>
      <c r="O1980" s="2">
        <v>4</v>
      </c>
      <c r="U1980" s="2">
        <v>5</v>
      </c>
      <c r="V1980" s="2">
        <v>15</v>
      </c>
      <c r="W1980" s="2">
        <v>3</v>
      </c>
      <c r="X1980" s="2">
        <v>7</v>
      </c>
      <c r="AA1980" s="3" t="s">
        <v>40</v>
      </c>
      <c r="AB1980" s="2">
        <v>4</v>
      </c>
      <c r="AF1980" s="2">
        <v>35</v>
      </c>
      <c r="AG1980" s="2">
        <v>1</v>
      </c>
      <c r="AH1980" s="3" t="s">
        <v>2072</v>
      </c>
      <c r="AI1980" s="4">
        <v>45072</v>
      </c>
      <c r="AJ1980" s="3" t="s">
        <v>2093</v>
      </c>
      <c r="AK1980" s="3" t="s">
        <v>248</v>
      </c>
    </row>
    <row r="1981" spans="1:37" hidden="1" x14ac:dyDescent="0.25">
      <c r="A1981" t="str">
        <f t="shared" si="30"/>
        <v>2023_Qld_Gatton_Chickpea_DetailedTOS1VarietyStrikerWaterTrtRainFed</v>
      </c>
      <c r="B1981" s="2">
        <v>2023022</v>
      </c>
      <c r="C1981" s="3" t="s">
        <v>2062</v>
      </c>
      <c r="D1981" s="3" t="s">
        <v>248</v>
      </c>
      <c r="F1981" s="3" t="s">
        <v>4179</v>
      </c>
      <c r="G1981" s="3" t="s">
        <v>43</v>
      </c>
      <c r="H1981" s="3" t="s">
        <v>253</v>
      </c>
      <c r="I1981" s="2">
        <v>30</v>
      </c>
      <c r="J1981" s="2">
        <v>15</v>
      </c>
      <c r="K1981" s="2">
        <v>1</v>
      </c>
      <c r="O1981" s="2">
        <v>4</v>
      </c>
      <c r="U1981" s="2">
        <v>5</v>
      </c>
      <c r="V1981" s="2">
        <v>16</v>
      </c>
      <c r="W1981" s="2">
        <v>3</v>
      </c>
      <c r="X1981" s="2">
        <v>8</v>
      </c>
      <c r="Z1981" s="2">
        <v>14</v>
      </c>
      <c r="AA1981" s="3" t="s">
        <v>40</v>
      </c>
      <c r="AB1981" s="2">
        <v>4</v>
      </c>
      <c r="AF1981" s="2">
        <v>35</v>
      </c>
      <c r="AG1981" s="2">
        <v>1</v>
      </c>
      <c r="AH1981" s="3" t="s">
        <v>2072</v>
      </c>
      <c r="AI1981" s="4">
        <v>45072</v>
      </c>
      <c r="AJ1981" s="3" t="s">
        <v>2094</v>
      </c>
      <c r="AK1981" s="3" t="s">
        <v>248</v>
      </c>
    </row>
    <row r="1982" spans="1:37" hidden="1" x14ac:dyDescent="0.25">
      <c r="A1982" t="str">
        <f t="shared" si="30"/>
        <v>2023_Qld_Gatton_Chickpea_DetailedTOS1VarietyHatTrickWaterTrtRainFed</v>
      </c>
      <c r="B1982" s="2">
        <v>2023022</v>
      </c>
      <c r="C1982" s="3" t="s">
        <v>2062</v>
      </c>
      <c r="D1982" s="3" t="s">
        <v>248</v>
      </c>
      <c r="F1982" s="3" t="s">
        <v>4178</v>
      </c>
      <c r="G1982" s="3" t="s">
        <v>39</v>
      </c>
      <c r="H1982" s="3" t="s">
        <v>250</v>
      </c>
      <c r="I1982" s="2">
        <v>31</v>
      </c>
      <c r="J1982" s="2">
        <v>16</v>
      </c>
      <c r="K1982" s="2">
        <v>1</v>
      </c>
      <c r="O1982" s="2">
        <v>4</v>
      </c>
      <c r="U1982" s="2">
        <v>6</v>
      </c>
      <c r="V1982" s="2">
        <v>15</v>
      </c>
      <c r="W1982" s="2">
        <v>4</v>
      </c>
      <c r="X1982" s="2">
        <v>7</v>
      </c>
      <c r="AA1982" s="3" t="s">
        <v>40</v>
      </c>
      <c r="AB1982" s="2">
        <v>3</v>
      </c>
      <c r="AF1982" s="2">
        <v>35</v>
      </c>
      <c r="AG1982" s="2">
        <v>1</v>
      </c>
      <c r="AH1982" s="3" t="s">
        <v>2072</v>
      </c>
      <c r="AI1982" s="4">
        <v>45072</v>
      </c>
      <c r="AJ1982" s="3" t="s">
        <v>2095</v>
      </c>
      <c r="AK1982" s="3" t="s">
        <v>248</v>
      </c>
    </row>
    <row r="1983" spans="1:37" hidden="1" x14ac:dyDescent="0.25">
      <c r="A1983" t="str">
        <f t="shared" si="30"/>
        <v>2023_Qld_Gatton_Chickpea_DetailedTOS1VarietyHatTrickWaterTrtRainFed</v>
      </c>
      <c r="B1983" s="2">
        <v>2023022</v>
      </c>
      <c r="C1983" s="3" t="s">
        <v>2062</v>
      </c>
      <c r="D1983" s="3" t="s">
        <v>248</v>
      </c>
      <c r="F1983" s="3" t="s">
        <v>4178</v>
      </c>
      <c r="G1983" s="3" t="s">
        <v>39</v>
      </c>
      <c r="H1983" s="3" t="s">
        <v>253</v>
      </c>
      <c r="I1983" s="2">
        <v>32</v>
      </c>
      <c r="J1983" s="2">
        <v>16</v>
      </c>
      <c r="K1983" s="2">
        <v>1</v>
      </c>
      <c r="O1983" s="2">
        <v>4</v>
      </c>
      <c r="U1983" s="2">
        <v>6</v>
      </c>
      <c r="V1983" s="2">
        <v>16</v>
      </c>
      <c r="W1983" s="2">
        <v>4</v>
      </c>
      <c r="X1983" s="2">
        <v>8</v>
      </c>
      <c r="Z1983" s="2">
        <v>13</v>
      </c>
      <c r="AA1983" s="3" t="s">
        <v>40</v>
      </c>
      <c r="AB1983" s="2">
        <v>3</v>
      </c>
      <c r="AF1983" s="2">
        <v>35</v>
      </c>
      <c r="AG1983" s="2">
        <v>1</v>
      </c>
      <c r="AH1983" s="3" t="s">
        <v>2072</v>
      </c>
      <c r="AI1983" s="4">
        <v>45072</v>
      </c>
      <c r="AJ1983" s="3" t="s">
        <v>2096</v>
      </c>
      <c r="AK1983" s="3" t="s">
        <v>248</v>
      </c>
    </row>
    <row r="1984" spans="1:37" hidden="1" x14ac:dyDescent="0.25">
      <c r="A1984" t="str">
        <f t="shared" si="30"/>
        <v>2023_Qld_Gatton_Chickpea_DetailedTOS1VarietyHatTrickWaterTrtIrrigated</v>
      </c>
      <c r="B1984" s="2">
        <v>2023022</v>
      </c>
      <c r="C1984" s="3" t="s">
        <v>2062</v>
      </c>
      <c r="D1984" s="3" t="s">
        <v>248</v>
      </c>
      <c r="F1984" s="3" t="s">
        <v>4178</v>
      </c>
      <c r="G1984" s="3" t="s">
        <v>39</v>
      </c>
      <c r="H1984" s="3" t="s">
        <v>253</v>
      </c>
      <c r="I1984" s="2">
        <v>33</v>
      </c>
      <c r="J1984" s="2">
        <v>17</v>
      </c>
      <c r="K1984" s="2">
        <v>2</v>
      </c>
      <c r="O1984" s="2">
        <v>5</v>
      </c>
      <c r="U1984" s="2">
        <v>2</v>
      </c>
      <c r="V1984" s="2">
        <v>19</v>
      </c>
      <c r="W1984" s="2">
        <v>1</v>
      </c>
      <c r="X1984" s="2">
        <v>9</v>
      </c>
      <c r="Z1984" s="2">
        <v>17</v>
      </c>
      <c r="AA1984" s="3" t="s">
        <v>57</v>
      </c>
      <c r="AB1984" s="2">
        <v>3</v>
      </c>
      <c r="AF1984" s="2">
        <v>35</v>
      </c>
      <c r="AG1984" s="2">
        <v>1</v>
      </c>
      <c r="AH1984" s="3" t="s">
        <v>2072</v>
      </c>
      <c r="AI1984" s="4">
        <v>45072</v>
      </c>
      <c r="AJ1984" s="3" t="s">
        <v>2097</v>
      </c>
      <c r="AK1984" s="3" t="s">
        <v>248</v>
      </c>
    </row>
    <row r="1985" spans="1:37" hidden="1" x14ac:dyDescent="0.25">
      <c r="A1985" t="str">
        <f t="shared" si="30"/>
        <v>2023_Qld_Gatton_Chickpea_DetailedTOS1VarietyHatTrickWaterTrtIrrigated</v>
      </c>
      <c r="B1985" s="2">
        <v>2023022</v>
      </c>
      <c r="C1985" s="3" t="s">
        <v>2062</v>
      </c>
      <c r="D1985" s="3" t="s">
        <v>248</v>
      </c>
      <c r="F1985" s="3" t="s">
        <v>4178</v>
      </c>
      <c r="G1985" s="3" t="s">
        <v>39</v>
      </c>
      <c r="H1985" s="3" t="s">
        <v>250</v>
      </c>
      <c r="I1985" s="2">
        <v>34</v>
      </c>
      <c r="J1985" s="2">
        <v>17</v>
      </c>
      <c r="K1985" s="2">
        <v>2</v>
      </c>
      <c r="O1985" s="2">
        <v>5</v>
      </c>
      <c r="U1985" s="2">
        <v>2</v>
      </c>
      <c r="V1985" s="2">
        <v>20</v>
      </c>
      <c r="W1985" s="2">
        <v>1</v>
      </c>
      <c r="X1985" s="2">
        <v>10</v>
      </c>
      <c r="AA1985" s="3" t="s">
        <v>57</v>
      </c>
      <c r="AB1985" s="2">
        <v>3</v>
      </c>
      <c r="AF1985" s="2">
        <v>35</v>
      </c>
      <c r="AG1985" s="2">
        <v>1</v>
      </c>
      <c r="AH1985" s="3" t="s">
        <v>2072</v>
      </c>
      <c r="AI1985" s="4">
        <v>45072</v>
      </c>
      <c r="AJ1985" s="3" t="s">
        <v>2098</v>
      </c>
      <c r="AK1985" s="3" t="s">
        <v>248</v>
      </c>
    </row>
    <row r="1986" spans="1:37" hidden="1" x14ac:dyDescent="0.25">
      <c r="A1986" t="str">
        <f t="shared" si="30"/>
        <v>2023_Qld_Gatton_Chickpea_DetailedTOS1VarietyDrummondWaterTrtIrrigated</v>
      </c>
      <c r="B1986" s="2">
        <v>2023022</v>
      </c>
      <c r="C1986" s="3" t="s">
        <v>2062</v>
      </c>
      <c r="D1986" s="3" t="s">
        <v>248</v>
      </c>
      <c r="F1986" s="3" t="s">
        <v>4182</v>
      </c>
      <c r="G1986" s="3" t="s">
        <v>39</v>
      </c>
      <c r="H1986" s="3" t="s">
        <v>253</v>
      </c>
      <c r="I1986" s="2">
        <v>35</v>
      </c>
      <c r="J1986" s="2">
        <v>18</v>
      </c>
      <c r="K1986" s="2">
        <v>2</v>
      </c>
      <c r="O1986" s="2">
        <v>5</v>
      </c>
      <c r="U1986" s="2">
        <v>3</v>
      </c>
      <c r="V1986" s="2">
        <v>19</v>
      </c>
      <c r="W1986" s="2">
        <v>2</v>
      </c>
      <c r="X1986" s="2">
        <v>9</v>
      </c>
      <c r="Z1986" s="2">
        <v>18</v>
      </c>
      <c r="AA1986" s="3" t="s">
        <v>57</v>
      </c>
      <c r="AB1986" s="2">
        <v>2</v>
      </c>
      <c r="AF1986" s="2">
        <v>35</v>
      </c>
      <c r="AG1986" s="2">
        <v>1</v>
      </c>
      <c r="AH1986" s="3" t="s">
        <v>2072</v>
      </c>
      <c r="AI1986" s="4">
        <v>45072</v>
      </c>
      <c r="AJ1986" s="3" t="s">
        <v>2099</v>
      </c>
      <c r="AK1986" s="3" t="s">
        <v>248</v>
      </c>
    </row>
    <row r="1987" spans="1:37" hidden="1" x14ac:dyDescent="0.25">
      <c r="A1987" t="str">
        <f t="shared" ref="A1987:A2050" si="31">C1987&amp;"TOS"&amp;AG1987&amp;"Variety"&amp;F1987&amp;"WaterTrt"&amp;AA1987&amp;IF(AC1987="","","Agronomy"&amp;AC1987)</f>
        <v>2023_Qld_Gatton_Chickpea_DetailedTOS1VarietyDrummondWaterTrtIrrigated</v>
      </c>
      <c r="B1987" s="2">
        <v>2023022</v>
      </c>
      <c r="C1987" s="3" t="s">
        <v>2062</v>
      </c>
      <c r="D1987" s="3" t="s">
        <v>248</v>
      </c>
      <c r="F1987" s="3" t="s">
        <v>4182</v>
      </c>
      <c r="G1987" s="3" t="s">
        <v>39</v>
      </c>
      <c r="H1987" s="3" t="s">
        <v>250</v>
      </c>
      <c r="I1987" s="2">
        <v>36</v>
      </c>
      <c r="J1987" s="2">
        <v>18</v>
      </c>
      <c r="K1987" s="2">
        <v>2</v>
      </c>
      <c r="O1987" s="2">
        <v>5</v>
      </c>
      <c r="U1987" s="2">
        <v>3</v>
      </c>
      <c r="V1987" s="2">
        <v>20</v>
      </c>
      <c r="W1987" s="2">
        <v>2</v>
      </c>
      <c r="X1987" s="2">
        <v>10</v>
      </c>
      <c r="AA1987" s="3" t="s">
        <v>57</v>
      </c>
      <c r="AB1987" s="2">
        <v>2</v>
      </c>
      <c r="AF1987" s="2">
        <v>35</v>
      </c>
      <c r="AG1987" s="2">
        <v>1</v>
      </c>
      <c r="AH1987" s="3" t="s">
        <v>2072</v>
      </c>
      <c r="AI1987" s="4">
        <v>45072</v>
      </c>
      <c r="AJ1987" s="3" t="s">
        <v>2100</v>
      </c>
      <c r="AK1987" s="3" t="s">
        <v>248</v>
      </c>
    </row>
    <row r="1988" spans="1:37" hidden="1" x14ac:dyDescent="0.25">
      <c r="A1988" t="str">
        <f t="shared" si="31"/>
        <v>2023_Qld_Gatton_Chickpea_DetailedTOS1VarietyCBA_CaptainWaterTrtIrrigated</v>
      </c>
      <c r="B1988" s="2">
        <v>2023022</v>
      </c>
      <c r="C1988" s="3" t="s">
        <v>2062</v>
      </c>
      <c r="D1988" s="3" t="s">
        <v>248</v>
      </c>
      <c r="F1988" s="3" t="s">
        <v>249</v>
      </c>
      <c r="G1988" s="3" t="s">
        <v>43</v>
      </c>
      <c r="H1988" s="3" t="s">
        <v>253</v>
      </c>
      <c r="I1988" s="2">
        <v>37</v>
      </c>
      <c r="J1988" s="2">
        <v>19</v>
      </c>
      <c r="K1988" s="2">
        <v>2</v>
      </c>
      <c r="O1988" s="2">
        <v>5</v>
      </c>
      <c r="U1988" s="2">
        <v>5</v>
      </c>
      <c r="V1988" s="2">
        <v>19</v>
      </c>
      <c r="W1988" s="2">
        <v>3</v>
      </c>
      <c r="X1988" s="2">
        <v>9</v>
      </c>
      <c r="Z1988" s="2">
        <v>19</v>
      </c>
      <c r="AA1988" s="3" t="s">
        <v>57</v>
      </c>
      <c r="AB1988" s="2">
        <v>1</v>
      </c>
      <c r="AF1988" s="2">
        <v>35</v>
      </c>
      <c r="AG1988" s="2">
        <v>1</v>
      </c>
      <c r="AH1988" s="3" t="s">
        <v>2072</v>
      </c>
      <c r="AI1988" s="4">
        <v>45072</v>
      </c>
      <c r="AJ1988" s="3" t="s">
        <v>2101</v>
      </c>
      <c r="AK1988" s="3" t="s">
        <v>248</v>
      </c>
    </row>
    <row r="1989" spans="1:37" hidden="1" x14ac:dyDescent="0.25">
      <c r="A1989" t="str">
        <f t="shared" si="31"/>
        <v>2023_Qld_Gatton_Chickpea_DetailedTOS1VarietyCBA_CaptainWaterTrtIrrigated</v>
      </c>
      <c r="B1989" s="2">
        <v>2023022</v>
      </c>
      <c r="C1989" s="3" t="s">
        <v>2062</v>
      </c>
      <c r="D1989" s="3" t="s">
        <v>248</v>
      </c>
      <c r="F1989" s="3" t="s">
        <v>249</v>
      </c>
      <c r="G1989" s="3" t="s">
        <v>43</v>
      </c>
      <c r="H1989" s="3" t="s">
        <v>250</v>
      </c>
      <c r="I1989" s="2">
        <v>38</v>
      </c>
      <c r="J1989" s="2">
        <v>19</v>
      </c>
      <c r="K1989" s="2">
        <v>2</v>
      </c>
      <c r="O1989" s="2">
        <v>5</v>
      </c>
      <c r="U1989" s="2">
        <v>5</v>
      </c>
      <c r="V1989" s="2">
        <v>20</v>
      </c>
      <c r="W1989" s="2">
        <v>3</v>
      </c>
      <c r="X1989" s="2">
        <v>10</v>
      </c>
      <c r="AA1989" s="3" t="s">
        <v>57</v>
      </c>
      <c r="AB1989" s="2">
        <v>1</v>
      </c>
      <c r="AF1989" s="2">
        <v>35</v>
      </c>
      <c r="AG1989" s="2">
        <v>1</v>
      </c>
      <c r="AH1989" s="3" t="s">
        <v>2072</v>
      </c>
      <c r="AI1989" s="4">
        <v>45072</v>
      </c>
      <c r="AJ1989" s="3" t="s">
        <v>2102</v>
      </c>
      <c r="AK1989" s="3" t="s">
        <v>248</v>
      </c>
    </row>
    <row r="1990" spans="1:37" hidden="1" x14ac:dyDescent="0.25">
      <c r="A1990" t="str">
        <f t="shared" si="31"/>
        <v>2023_Qld_Gatton_Chickpea_DetailedTOS1VarietyStrikerWaterTrtIrrigated</v>
      </c>
      <c r="B1990" s="2">
        <v>2023022</v>
      </c>
      <c r="C1990" s="3" t="s">
        <v>2062</v>
      </c>
      <c r="D1990" s="3" t="s">
        <v>248</v>
      </c>
      <c r="F1990" s="3" t="s">
        <v>4179</v>
      </c>
      <c r="G1990" s="3" t="s">
        <v>43</v>
      </c>
      <c r="H1990" s="3" t="s">
        <v>253</v>
      </c>
      <c r="I1990" s="2">
        <v>39</v>
      </c>
      <c r="J1990" s="2">
        <v>20</v>
      </c>
      <c r="K1990" s="2">
        <v>2</v>
      </c>
      <c r="O1990" s="2">
        <v>5</v>
      </c>
      <c r="U1990" s="2">
        <v>6</v>
      </c>
      <c r="V1990" s="2">
        <v>19</v>
      </c>
      <c r="W1990" s="2">
        <v>4</v>
      </c>
      <c r="X1990" s="2">
        <v>9</v>
      </c>
      <c r="Z1990" s="2">
        <v>20</v>
      </c>
      <c r="AA1990" s="3" t="s">
        <v>57</v>
      </c>
      <c r="AB1990" s="2">
        <v>4</v>
      </c>
      <c r="AF1990" s="2">
        <v>35</v>
      </c>
      <c r="AG1990" s="2">
        <v>1</v>
      </c>
      <c r="AH1990" s="3" t="s">
        <v>2072</v>
      </c>
      <c r="AI1990" s="4">
        <v>45072</v>
      </c>
      <c r="AJ1990" s="3" t="s">
        <v>2103</v>
      </c>
      <c r="AK1990" s="3" t="s">
        <v>248</v>
      </c>
    </row>
    <row r="1991" spans="1:37" hidden="1" x14ac:dyDescent="0.25">
      <c r="A1991" t="str">
        <f t="shared" si="31"/>
        <v>2023_Qld_Gatton_Chickpea_DetailedTOS1VarietyStrikerWaterTrtIrrigated</v>
      </c>
      <c r="B1991" s="2">
        <v>2023022</v>
      </c>
      <c r="C1991" s="3" t="s">
        <v>2062</v>
      </c>
      <c r="D1991" s="3" t="s">
        <v>248</v>
      </c>
      <c r="F1991" s="3" t="s">
        <v>4179</v>
      </c>
      <c r="G1991" s="3" t="s">
        <v>43</v>
      </c>
      <c r="H1991" s="3" t="s">
        <v>250</v>
      </c>
      <c r="I1991" s="2">
        <v>40</v>
      </c>
      <c r="J1991" s="2">
        <v>20</v>
      </c>
      <c r="K1991" s="2">
        <v>2</v>
      </c>
      <c r="O1991" s="2">
        <v>5</v>
      </c>
      <c r="U1991" s="2">
        <v>6</v>
      </c>
      <c r="V1991" s="2">
        <v>20</v>
      </c>
      <c r="W1991" s="2">
        <v>4</v>
      </c>
      <c r="X1991" s="2">
        <v>10</v>
      </c>
      <c r="AA1991" s="3" t="s">
        <v>57</v>
      </c>
      <c r="AB1991" s="2">
        <v>4</v>
      </c>
      <c r="AF1991" s="2">
        <v>35</v>
      </c>
      <c r="AG1991" s="2">
        <v>1</v>
      </c>
      <c r="AH1991" s="3" t="s">
        <v>2072</v>
      </c>
      <c r="AI1991" s="4">
        <v>45072</v>
      </c>
      <c r="AJ1991" s="3" t="s">
        <v>2104</v>
      </c>
      <c r="AK1991" s="3" t="s">
        <v>248</v>
      </c>
    </row>
    <row r="1992" spans="1:37" hidden="1" x14ac:dyDescent="0.25">
      <c r="A1992" t="str">
        <f t="shared" si="31"/>
        <v>2023_Qld_Gatton_Chickpea_DetailedTOS2VarietyDrummondWaterTrtIrrigated</v>
      </c>
      <c r="B1992" s="2">
        <v>2023022</v>
      </c>
      <c r="C1992" s="3" t="s">
        <v>2062</v>
      </c>
      <c r="D1992" s="3" t="s">
        <v>248</v>
      </c>
      <c r="F1992" s="3" t="s">
        <v>4182</v>
      </c>
      <c r="G1992" s="3" t="s">
        <v>39</v>
      </c>
      <c r="H1992" s="3" t="s">
        <v>253</v>
      </c>
      <c r="I1992" s="2">
        <v>41</v>
      </c>
      <c r="J1992" s="2">
        <v>21</v>
      </c>
      <c r="K1992" s="2">
        <v>2</v>
      </c>
      <c r="O1992" s="2">
        <v>6</v>
      </c>
      <c r="U1992" s="2">
        <v>2</v>
      </c>
      <c r="V1992" s="2">
        <v>23</v>
      </c>
      <c r="W1992" s="2">
        <v>1</v>
      </c>
      <c r="X1992" s="2">
        <v>11</v>
      </c>
      <c r="Z1992" s="2">
        <v>24</v>
      </c>
      <c r="AA1992" s="3" t="s">
        <v>57</v>
      </c>
      <c r="AB1992" s="2">
        <v>2</v>
      </c>
      <c r="AF1992" s="2">
        <v>35</v>
      </c>
      <c r="AG1992" s="2">
        <v>2</v>
      </c>
      <c r="AH1992" s="3" t="s">
        <v>2063</v>
      </c>
      <c r="AI1992" s="4">
        <v>45110</v>
      </c>
      <c r="AJ1992" s="3" t="s">
        <v>2105</v>
      </c>
      <c r="AK1992" s="3" t="s">
        <v>248</v>
      </c>
    </row>
    <row r="1993" spans="1:37" hidden="1" x14ac:dyDescent="0.25">
      <c r="A1993" t="str">
        <f t="shared" si="31"/>
        <v>2023_Qld_Gatton_Chickpea_DetailedTOS2VarietyDrummondWaterTrtIrrigated</v>
      </c>
      <c r="B1993" s="2">
        <v>2023022</v>
      </c>
      <c r="C1993" s="3" t="s">
        <v>2062</v>
      </c>
      <c r="D1993" s="3" t="s">
        <v>248</v>
      </c>
      <c r="F1993" s="3" t="s">
        <v>4182</v>
      </c>
      <c r="G1993" s="3" t="s">
        <v>39</v>
      </c>
      <c r="H1993" s="3" t="s">
        <v>250</v>
      </c>
      <c r="I1993" s="2">
        <v>42</v>
      </c>
      <c r="J1993" s="2">
        <v>21</v>
      </c>
      <c r="K1993" s="2">
        <v>2</v>
      </c>
      <c r="O1993" s="2">
        <v>6</v>
      </c>
      <c r="U1993" s="2">
        <v>2</v>
      </c>
      <c r="V1993" s="2">
        <v>24</v>
      </c>
      <c r="W1993" s="2">
        <v>1</v>
      </c>
      <c r="X1993" s="2">
        <v>12</v>
      </c>
      <c r="AA1993" s="3" t="s">
        <v>57</v>
      </c>
      <c r="AB1993" s="2">
        <v>2</v>
      </c>
      <c r="AF1993" s="2">
        <v>35</v>
      </c>
      <c r="AG1993" s="2">
        <v>2</v>
      </c>
      <c r="AH1993" s="3" t="s">
        <v>2063</v>
      </c>
      <c r="AI1993" s="4">
        <v>45110</v>
      </c>
      <c r="AJ1993" s="3" t="s">
        <v>2106</v>
      </c>
      <c r="AK1993" s="3" t="s">
        <v>248</v>
      </c>
    </row>
    <row r="1994" spans="1:37" hidden="1" x14ac:dyDescent="0.25">
      <c r="A1994" t="str">
        <f t="shared" si="31"/>
        <v>2023_Qld_Gatton_Chickpea_DetailedTOS2VarietyHatTrickWaterTrtIrrigated</v>
      </c>
      <c r="B1994" s="2">
        <v>2023022</v>
      </c>
      <c r="C1994" s="3" t="s">
        <v>2062</v>
      </c>
      <c r="D1994" s="3" t="s">
        <v>248</v>
      </c>
      <c r="F1994" s="3" t="s">
        <v>4178</v>
      </c>
      <c r="G1994" s="3" t="s">
        <v>39</v>
      </c>
      <c r="H1994" s="3" t="s">
        <v>253</v>
      </c>
      <c r="I1994" s="2">
        <v>43</v>
      </c>
      <c r="J1994" s="2">
        <v>22</v>
      </c>
      <c r="K1994" s="2">
        <v>2</v>
      </c>
      <c r="O1994" s="2">
        <v>6</v>
      </c>
      <c r="U1994" s="2">
        <v>3</v>
      </c>
      <c r="V1994" s="2">
        <v>23</v>
      </c>
      <c r="W1994" s="2">
        <v>2</v>
      </c>
      <c r="X1994" s="2">
        <v>11</v>
      </c>
      <c r="Z1994" s="2">
        <v>23</v>
      </c>
      <c r="AA1994" s="3" t="s">
        <v>57</v>
      </c>
      <c r="AB1994" s="2">
        <v>3</v>
      </c>
      <c r="AF1994" s="2">
        <v>35</v>
      </c>
      <c r="AG1994" s="2">
        <v>2</v>
      </c>
      <c r="AH1994" s="3" t="s">
        <v>2063</v>
      </c>
      <c r="AI1994" s="4">
        <v>45110</v>
      </c>
      <c r="AJ1994" s="3" t="s">
        <v>2107</v>
      </c>
      <c r="AK1994" s="3" t="s">
        <v>248</v>
      </c>
    </row>
    <row r="1995" spans="1:37" hidden="1" x14ac:dyDescent="0.25">
      <c r="A1995" t="str">
        <f t="shared" si="31"/>
        <v>2023_Qld_Gatton_Chickpea_DetailedTOS2VarietyHatTrickWaterTrtIrrigated</v>
      </c>
      <c r="B1995" s="2">
        <v>2023022</v>
      </c>
      <c r="C1995" s="3" t="s">
        <v>2062</v>
      </c>
      <c r="D1995" s="3" t="s">
        <v>248</v>
      </c>
      <c r="F1995" s="3" t="s">
        <v>4178</v>
      </c>
      <c r="G1995" s="3" t="s">
        <v>39</v>
      </c>
      <c r="H1995" s="3" t="s">
        <v>250</v>
      </c>
      <c r="I1995" s="2">
        <v>44</v>
      </c>
      <c r="J1995" s="2">
        <v>22</v>
      </c>
      <c r="K1995" s="2">
        <v>2</v>
      </c>
      <c r="O1995" s="2">
        <v>6</v>
      </c>
      <c r="U1995" s="2">
        <v>3</v>
      </c>
      <c r="V1995" s="2">
        <v>24</v>
      </c>
      <c r="W1995" s="2">
        <v>2</v>
      </c>
      <c r="X1995" s="2">
        <v>12</v>
      </c>
      <c r="AA1995" s="3" t="s">
        <v>57</v>
      </c>
      <c r="AB1995" s="2">
        <v>3</v>
      </c>
      <c r="AF1995" s="2">
        <v>35</v>
      </c>
      <c r="AG1995" s="2">
        <v>2</v>
      </c>
      <c r="AH1995" s="3" t="s">
        <v>2063</v>
      </c>
      <c r="AI1995" s="4">
        <v>45110</v>
      </c>
      <c r="AJ1995" s="3" t="s">
        <v>2108</v>
      </c>
      <c r="AK1995" s="3" t="s">
        <v>248</v>
      </c>
    </row>
    <row r="1996" spans="1:37" hidden="1" x14ac:dyDescent="0.25">
      <c r="A1996" t="str">
        <f t="shared" si="31"/>
        <v>2023_Qld_Gatton_Chickpea_DetailedTOS2VarietyStrikerWaterTrtIrrigated</v>
      </c>
      <c r="B1996" s="2">
        <v>2023022</v>
      </c>
      <c r="C1996" s="3" t="s">
        <v>2062</v>
      </c>
      <c r="D1996" s="3" t="s">
        <v>248</v>
      </c>
      <c r="F1996" s="3" t="s">
        <v>4179</v>
      </c>
      <c r="G1996" s="3" t="s">
        <v>43</v>
      </c>
      <c r="H1996" s="3" t="s">
        <v>253</v>
      </c>
      <c r="I1996" s="2">
        <v>45</v>
      </c>
      <c r="J1996" s="2">
        <v>23</v>
      </c>
      <c r="K1996" s="2">
        <v>2</v>
      </c>
      <c r="O1996" s="2">
        <v>6</v>
      </c>
      <c r="U1996" s="2">
        <v>5</v>
      </c>
      <c r="V1996" s="2">
        <v>23</v>
      </c>
      <c r="W1996" s="2">
        <v>3</v>
      </c>
      <c r="X1996" s="2">
        <v>11</v>
      </c>
      <c r="Z1996" s="2">
        <v>22</v>
      </c>
      <c r="AA1996" s="3" t="s">
        <v>57</v>
      </c>
      <c r="AB1996" s="2">
        <v>4</v>
      </c>
      <c r="AF1996" s="2">
        <v>35</v>
      </c>
      <c r="AG1996" s="2">
        <v>2</v>
      </c>
      <c r="AH1996" s="3" t="s">
        <v>2063</v>
      </c>
      <c r="AI1996" s="4">
        <v>45110</v>
      </c>
      <c r="AJ1996" s="3" t="s">
        <v>2109</v>
      </c>
      <c r="AK1996" s="3" t="s">
        <v>248</v>
      </c>
    </row>
    <row r="1997" spans="1:37" hidden="1" x14ac:dyDescent="0.25">
      <c r="A1997" t="str">
        <f t="shared" si="31"/>
        <v>2023_Qld_Gatton_Chickpea_DetailedTOS2VarietyStrikerWaterTrtIrrigated</v>
      </c>
      <c r="B1997" s="2">
        <v>2023022</v>
      </c>
      <c r="C1997" s="3" t="s">
        <v>2062</v>
      </c>
      <c r="D1997" s="3" t="s">
        <v>248</v>
      </c>
      <c r="F1997" s="3" t="s">
        <v>4179</v>
      </c>
      <c r="G1997" s="3" t="s">
        <v>43</v>
      </c>
      <c r="H1997" s="3" t="s">
        <v>250</v>
      </c>
      <c r="I1997" s="2">
        <v>46</v>
      </c>
      <c r="J1997" s="2">
        <v>23</v>
      </c>
      <c r="K1997" s="2">
        <v>2</v>
      </c>
      <c r="O1997" s="2">
        <v>6</v>
      </c>
      <c r="U1997" s="2">
        <v>5</v>
      </c>
      <c r="V1997" s="2">
        <v>24</v>
      </c>
      <c r="W1997" s="2">
        <v>3</v>
      </c>
      <c r="X1997" s="2">
        <v>12</v>
      </c>
      <c r="AA1997" s="3" t="s">
        <v>57</v>
      </c>
      <c r="AB1997" s="2">
        <v>4</v>
      </c>
      <c r="AF1997" s="2">
        <v>35</v>
      </c>
      <c r="AG1997" s="2">
        <v>2</v>
      </c>
      <c r="AH1997" s="3" t="s">
        <v>2063</v>
      </c>
      <c r="AI1997" s="4">
        <v>45110</v>
      </c>
      <c r="AJ1997" s="3" t="s">
        <v>2110</v>
      </c>
      <c r="AK1997" s="3" t="s">
        <v>248</v>
      </c>
    </row>
    <row r="1998" spans="1:37" hidden="1" x14ac:dyDescent="0.25">
      <c r="A1998" t="str">
        <f t="shared" si="31"/>
        <v>2023_Qld_Gatton_Chickpea_DetailedTOS2VarietyCBA_CaptainWaterTrtIrrigated</v>
      </c>
      <c r="B1998" s="2">
        <v>2023022</v>
      </c>
      <c r="C1998" s="3" t="s">
        <v>2062</v>
      </c>
      <c r="D1998" s="3" t="s">
        <v>248</v>
      </c>
      <c r="F1998" s="3" t="s">
        <v>249</v>
      </c>
      <c r="G1998" s="3" t="s">
        <v>43</v>
      </c>
      <c r="H1998" s="3" t="s">
        <v>253</v>
      </c>
      <c r="I1998" s="2">
        <v>47</v>
      </c>
      <c r="J1998" s="2">
        <v>24</v>
      </c>
      <c r="K1998" s="2">
        <v>2</v>
      </c>
      <c r="O1998" s="2">
        <v>6</v>
      </c>
      <c r="U1998" s="2">
        <v>6</v>
      </c>
      <c r="V1998" s="2">
        <v>23</v>
      </c>
      <c r="W1998" s="2">
        <v>4</v>
      </c>
      <c r="X1998" s="2">
        <v>11</v>
      </c>
      <c r="Z1998" s="2">
        <v>21</v>
      </c>
      <c r="AA1998" s="3" t="s">
        <v>57</v>
      </c>
      <c r="AB1998" s="2">
        <v>1</v>
      </c>
      <c r="AF1998" s="2">
        <v>35</v>
      </c>
      <c r="AG1998" s="2">
        <v>2</v>
      </c>
      <c r="AH1998" s="3" t="s">
        <v>2063</v>
      </c>
      <c r="AI1998" s="4">
        <v>45110</v>
      </c>
      <c r="AJ1998" s="3" t="s">
        <v>2111</v>
      </c>
      <c r="AK1998" s="3" t="s">
        <v>248</v>
      </c>
    </row>
    <row r="1999" spans="1:37" hidden="1" x14ac:dyDescent="0.25">
      <c r="A1999" t="str">
        <f t="shared" si="31"/>
        <v>2023_Qld_Gatton_Chickpea_DetailedTOS2VarietyCBA_CaptainWaterTrtIrrigated</v>
      </c>
      <c r="B1999" s="2">
        <v>2023022</v>
      </c>
      <c r="C1999" s="3" t="s">
        <v>2062</v>
      </c>
      <c r="D1999" s="3" t="s">
        <v>248</v>
      </c>
      <c r="F1999" s="3" t="s">
        <v>249</v>
      </c>
      <c r="G1999" s="3" t="s">
        <v>43</v>
      </c>
      <c r="H1999" s="3" t="s">
        <v>250</v>
      </c>
      <c r="I1999" s="2">
        <v>48</v>
      </c>
      <c r="J1999" s="2">
        <v>24</v>
      </c>
      <c r="K1999" s="2">
        <v>2</v>
      </c>
      <c r="O1999" s="2">
        <v>6</v>
      </c>
      <c r="U1999" s="2">
        <v>6</v>
      </c>
      <c r="V1999" s="2">
        <v>24</v>
      </c>
      <c r="W1999" s="2">
        <v>4</v>
      </c>
      <c r="X1999" s="2">
        <v>12</v>
      </c>
      <c r="AA1999" s="3" t="s">
        <v>57</v>
      </c>
      <c r="AB1999" s="2">
        <v>1</v>
      </c>
      <c r="AF1999" s="2">
        <v>35</v>
      </c>
      <c r="AG1999" s="2">
        <v>2</v>
      </c>
      <c r="AH1999" s="3" t="s">
        <v>2063</v>
      </c>
      <c r="AI1999" s="4">
        <v>45110</v>
      </c>
      <c r="AJ1999" s="3" t="s">
        <v>2112</v>
      </c>
      <c r="AK1999" s="3" t="s">
        <v>248</v>
      </c>
    </row>
    <row r="2000" spans="1:37" hidden="1" x14ac:dyDescent="0.25">
      <c r="A2000" t="str">
        <f t="shared" si="31"/>
        <v>2023_Qld_Gatton_Chickpea_DetailedTOS1VarietyStrikerWaterTrtRainFed</v>
      </c>
      <c r="B2000" s="2">
        <v>2023022</v>
      </c>
      <c r="C2000" s="3" t="s">
        <v>2062</v>
      </c>
      <c r="D2000" s="3" t="s">
        <v>248</v>
      </c>
      <c r="F2000" s="3" t="s">
        <v>4179</v>
      </c>
      <c r="G2000" s="3" t="s">
        <v>43</v>
      </c>
      <c r="H2000" s="3" t="s">
        <v>253</v>
      </c>
      <c r="I2000" s="2">
        <v>49</v>
      </c>
      <c r="J2000" s="2">
        <v>25</v>
      </c>
      <c r="K2000" s="2">
        <v>2</v>
      </c>
      <c r="O2000" s="2">
        <v>7</v>
      </c>
      <c r="U2000" s="2">
        <v>2</v>
      </c>
      <c r="V2000" s="2">
        <v>27</v>
      </c>
      <c r="W2000" s="2">
        <v>1</v>
      </c>
      <c r="X2000" s="2">
        <v>13</v>
      </c>
      <c r="Z2000" s="2">
        <v>25</v>
      </c>
      <c r="AA2000" s="3" t="s">
        <v>40</v>
      </c>
      <c r="AB2000" s="2">
        <v>4</v>
      </c>
      <c r="AF2000" s="2">
        <v>35</v>
      </c>
      <c r="AG2000" s="2">
        <v>1</v>
      </c>
      <c r="AH2000" s="3" t="s">
        <v>2072</v>
      </c>
      <c r="AI2000" s="4">
        <v>45072</v>
      </c>
      <c r="AJ2000" s="3" t="s">
        <v>2113</v>
      </c>
      <c r="AK2000" s="3" t="s">
        <v>248</v>
      </c>
    </row>
    <row r="2001" spans="1:37" hidden="1" x14ac:dyDescent="0.25">
      <c r="A2001" t="str">
        <f t="shared" si="31"/>
        <v>2023_Qld_Gatton_Chickpea_DetailedTOS1VarietyStrikerWaterTrtRainFed</v>
      </c>
      <c r="B2001" s="2">
        <v>2023022</v>
      </c>
      <c r="C2001" s="3" t="s">
        <v>2062</v>
      </c>
      <c r="D2001" s="3" t="s">
        <v>248</v>
      </c>
      <c r="F2001" s="3" t="s">
        <v>4179</v>
      </c>
      <c r="G2001" s="3" t="s">
        <v>43</v>
      </c>
      <c r="H2001" s="3" t="s">
        <v>250</v>
      </c>
      <c r="I2001" s="2">
        <v>50</v>
      </c>
      <c r="J2001" s="2">
        <v>25</v>
      </c>
      <c r="K2001" s="2">
        <v>2</v>
      </c>
      <c r="O2001" s="2">
        <v>7</v>
      </c>
      <c r="U2001" s="2">
        <v>2</v>
      </c>
      <c r="V2001" s="2">
        <v>28</v>
      </c>
      <c r="W2001" s="2">
        <v>1</v>
      </c>
      <c r="X2001" s="2">
        <v>14</v>
      </c>
      <c r="AA2001" s="3" t="s">
        <v>40</v>
      </c>
      <c r="AB2001" s="2">
        <v>4</v>
      </c>
      <c r="AF2001" s="2">
        <v>35</v>
      </c>
      <c r="AG2001" s="2">
        <v>1</v>
      </c>
      <c r="AH2001" s="3" t="s">
        <v>2072</v>
      </c>
      <c r="AI2001" s="4">
        <v>45072</v>
      </c>
      <c r="AJ2001" s="3" t="s">
        <v>2114</v>
      </c>
      <c r="AK2001" s="3" t="s">
        <v>248</v>
      </c>
    </row>
    <row r="2002" spans="1:37" hidden="1" x14ac:dyDescent="0.25">
      <c r="A2002" t="str">
        <f t="shared" si="31"/>
        <v>2023_Qld_Gatton_Chickpea_DetailedTOS1VarietyCBA_CaptainWaterTrtRainFed</v>
      </c>
      <c r="B2002" s="2">
        <v>2023022</v>
      </c>
      <c r="C2002" s="3" t="s">
        <v>2062</v>
      </c>
      <c r="D2002" s="3" t="s">
        <v>248</v>
      </c>
      <c r="F2002" s="3" t="s">
        <v>249</v>
      </c>
      <c r="G2002" s="3" t="s">
        <v>43</v>
      </c>
      <c r="H2002" s="3" t="s">
        <v>253</v>
      </c>
      <c r="I2002" s="2">
        <v>51</v>
      </c>
      <c r="J2002" s="2">
        <v>26</v>
      </c>
      <c r="K2002" s="2">
        <v>2</v>
      </c>
      <c r="O2002" s="2">
        <v>7</v>
      </c>
      <c r="U2002" s="2">
        <v>3</v>
      </c>
      <c r="V2002" s="2">
        <v>27</v>
      </c>
      <c r="W2002" s="2">
        <v>2</v>
      </c>
      <c r="X2002" s="2">
        <v>13</v>
      </c>
      <c r="Z2002" s="2">
        <v>26</v>
      </c>
      <c r="AA2002" s="3" t="s">
        <v>40</v>
      </c>
      <c r="AB2002" s="2">
        <v>1</v>
      </c>
      <c r="AF2002" s="2">
        <v>35</v>
      </c>
      <c r="AG2002" s="2">
        <v>1</v>
      </c>
      <c r="AH2002" s="3" t="s">
        <v>2072</v>
      </c>
      <c r="AI2002" s="4">
        <v>45072</v>
      </c>
      <c r="AJ2002" s="3" t="s">
        <v>2115</v>
      </c>
      <c r="AK2002" s="3" t="s">
        <v>248</v>
      </c>
    </row>
    <row r="2003" spans="1:37" hidden="1" x14ac:dyDescent="0.25">
      <c r="A2003" t="str">
        <f t="shared" si="31"/>
        <v>2023_Qld_Gatton_Chickpea_DetailedTOS1VarietyCBA_CaptainWaterTrtRainFed</v>
      </c>
      <c r="B2003" s="2">
        <v>2023022</v>
      </c>
      <c r="C2003" s="3" t="s">
        <v>2062</v>
      </c>
      <c r="D2003" s="3" t="s">
        <v>248</v>
      </c>
      <c r="F2003" s="3" t="s">
        <v>249</v>
      </c>
      <c r="G2003" s="3" t="s">
        <v>43</v>
      </c>
      <c r="H2003" s="3" t="s">
        <v>250</v>
      </c>
      <c r="I2003" s="2">
        <v>52</v>
      </c>
      <c r="J2003" s="2">
        <v>26</v>
      </c>
      <c r="K2003" s="2">
        <v>2</v>
      </c>
      <c r="O2003" s="2">
        <v>7</v>
      </c>
      <c r="U2003" s="2">
        <v>3</v>
      </c>
      <c r="V2003" s="2">
        <v>28</v>
      </c>
      <c r="W2003" s="2">
        <v>2</v>
      </c>
      <c r="X2003" s="2">
        <v>14</v>
      </c>
      <c r="AA2003" s="3" t="s">
        <v>40</v>
      </c>
      <c r="AB2003" s="2">
        <v>1</v>
      </c>
      <c r="AF2003" s="2">
        <v>35</v>
      </c>
      <c r="AG2003" s="2">
        <v>1</v>
      </c>
      <c r="AH2003" s="3" t="s">
        <v>2072</v>
      </c>
      <c r="AI2003" s="4">
        <v>45072</v>
      </c>
      <c r="AJ2003" s="3" t="s">
        <v>2116</v>
      </c>
      <c r="AK2003" s="3" t="s">
        <v>248</v>
      </c>
    </row>
    <row r="2004" spans="1:37" hidden="1" x14ac:dyDescent="0.25">
      <c r="A2004" t="str">
        <f t="shared" si="31"/>
        <v>2023_Qld_Gatton_Chickpea_DetailedTOS1VarietyDrummondWaterTrtRainFed</v>
      </c>
      <c r="B2004" s="2">
        <v>2023022</v>
      </c>
      <c r="C2004" s="3" t="s">
        <v>2062</v>
      </c>
      <c r="D2004" s="3" t="s">
        <v>248</v>
      </c>
      <c r="F2004" s="3" t="s">
        <v>4182</v>
      </c>
      <c r="G2004" s="3" t="s">
        <v>39</v>
      </c>
      <c r="H2004" s="3" t="s">
        <v>253</v>
      </c>
      <c r="I2004" s="2">
        <v>53</v>
      </c>
      <c r="J2004" s="2">
        <v>27</v>
      </c>
      <c r="K2004" s="2">
        <v>2</v>
      </c>
      <c r="O2004" s="2">
        <v>7</v>
      </c>
      <c r="U2004" s="2">
        <v>5</v>
      </c>
      <c r="V2004" s="2">
        <v>27</v>
      </c>
      <c r="W2004" s="2">
        <v>3</v>
      </c>
      <c r="X2004" s="2">
        <v>13</v>
      </c>
      <c r="Z2004" s="2">
        <v>27</v>
      </c>
      <c r="AA2004" s="3" t="s">
        <v>40</v>
      </c>
      <c r="AB2004" s="2">
        <v>2</v>
      </c>
      <c r="AF2004" s="2">
        <v>35</v>
      </c>
      <c r="AG2004" s="2">
        <v>1</v>
      </c>
      <c r="AH2004" s="3" t="s">
        <v>2072</v>
      </c>
      <c r="AI2004" s="4">
        <v>45072</v>
      </c>
      <c r="AJ2004" s="3" t="s">
        <v>2117</v>
      </c>
      <c r="AK2004" s="3" t="s">
        <v>248</v>
      </c>
    </row>
    <row r="2005" spans="1:37" hidden="1" x14ac:dyDescent="0.25">
      <c r="A2005" t="str">
        <f t="shared" si="31"/>
        <v>2023_Qld_Gatton_Chickpea_DetailedTOS1VarietyDrummondWaterTrtRainFed</v>
      </c>
      <c r="B2005" s="2">
        <v>2023022</v>
      </c>
      <c r="C2005" s="3" t="s">
        <v>2062</v>
      </c>
      <c r="D2005" s="3" t="s">
        <v>248</v>
      </c>
      <c r="F2005" s="3" t="s">
        <v>4182</v>
      </c>
      <c r="G2005" s="3" t="s">
        <v>39</v>
      </c>
      <c r="H2005" s="3" t="s">
        <v>250</v>
      </c>
      <c r="I2005" s="2">
        <v>54</v>
      </c>
      <c r="J2005" s="2">
        <v>27</v>
      </c>
      <c r="K2005" s="2">
        <v>2</v>
      </c>
      <c r="O2005" s="2">
        <v>7</v>
      </c>
      <c r="U2005" s="2">
        <v>5</v>
      </c>
      <c r="V2005" s="2">
        <v>28</v>
      </c>
      <c r="W2005" s="2">
        <v>3</v>
      </c>
      <c r="X2005" s="2">
        <v>14</v>
      </c>
      <c r="AA2005" s="3" t="s">
        <v>40</v>
      </c>
      <c r="AB2005" s="2">
        <v>2</v>
      </c>
      <c r="AF2005" s="2">
        <v>35</v>
      </c>
      <c r="AG2005" s="2">
        <v>1</v>
      </c>
      <c r="AH2005" s="3" t="s">
        <v>2072</v>
      </c>
      <c r="AI2005" s="4">
        <v>45072</v>
      </c>
      <c r="AJ2005" s="3" t="s">
        <v>2118</v>
      </c>
      <c r="AK2005" s="3" t="s">
        <v>248</v>
      </c>
    </row>
    <row r="2006" spans="1:37" hidden="1" x14ac:dyDescent="0.25">
      <c r="A2006" t="str">
        <f t="shared" si="31"/>
        <v>2023_Qld_Gatton_Chickpea_DetailedTOS1VarietyHatTrickWaterTrtRainFed</v>
      </c>
      <c r="B2006" s="2">
        <v>2023022</v>
      </c>
      <c r="C2006" s="3" t="s">
        <v>2062</v>
      </c>
      <c r="D2006" s="3" t="s">
        <v>248</v>
      </c>
      <c r="F2006" s="3" t="s">
        <v>4178</v>
      </c>
      <c r="G2006" s="3" t="s">
        <v>39</v>
      </c>
      <c r="H2006" s="3" t="s">
        <v>253</v>
      </c>
      <c r="I2006" s="2">
        <v>55</v>
      </c>
      <c r="J2006" s="2">
        <v>28</v>
      </c>
      <c r="K2006" s="2">
        <v>2</v>
      </c>
      <c r="O2006" s="2">
        <v>7</v>
      </c>
      <c r="U2006" s="2">
        <v>6</v>
      </c>
      <c r="V2006" s="2">
        <v>27</v>
      </c>
      <c r="W2006" s="2">
        <v>4</v>
      </c>
      <c r="X2006" s="2">
        <v>13</v>
      </c>
      <c r="Z2006" s="2">
        <v>28</v>
      </c>
      <c r="AA2006" s="3" t="s">
        <v>40</v>
      </c>
      <c r="AB2006" s="2">
        <v>3</v>
      </c>
      <c r="AF2006" s="2">
        <v>35</v>
      </c>
      <c r="AG2006" s="2">
        <v>1</v>
      </c>
      <c r="AH2006" s="3" t="s">
        <v>2072</v>
      </c>
      <c r="AI2006" s="4">
        <v>45072</v>
      </c>
      <c r="AJ2006" s="3" t="s">
        <v>2119</v>
      </c>
      <c r="AK2006" s="3" t="s">
        <v>248</v>
      </c>
    </row>
    <row r="2007" spans="1:37" hidden="1" x14ac:dyDescent="0.25">
      <c r="A2007" t="str">
        <f t="shared" si="31"/>
        <v>2023_Qld_Gatton_Chickpea_DetailedTOS1VarietyHatTrickWaterTrtRainFed</v>
      </c>
      <c r="B2007" s="2">
        <v>2023022</v>
      </c>
      <c r="C2007" s="3" t="s">
        <v>2062</v>
      </c>
      <c r="D2007" s="3" t="s">
        <v>248</v>
      </c>
      <c r="F2007" s="3" t="s">
        <v>4178</v>
      </c>
      <c r="G2007" s="3" t="s">
        <v>39</v>
      </c>
      <c r="H2007" s="3" t="s">
        <v>250</v>
      </c>
      <c r="I2007" s="2">
        <v>56</v>
      </c>
      <c r="J2007" s="2">
        <v>28</v>
      </c>
      <c r="K2007" s="2">
        <v>2</v>
      </c>
      <c r="O2007" s="2">
        <v>7</v>
      </c>
      <c r="U2007" s="2">
        <v>6</v>
      </c>
      <c r="V2007" s="2">
        <v>28</v>
      </c>
      <c r="W2007" s="2">
        <v>4</v>
      </c>
      <c r="X2007" s="2">
        <v>14</v>
      </c>
      <c r="AA2007" s="3" t="s">
        <v>40</v>
      </c>
      <c r="AB2007" s="2">
        <v>3</v>
      </c>
      <c r="AF2007" s="2">
        <v>35</v>
      </c>
      <c r="AG2007" s="2">
        <v>1</v>
      </c>
      <c r="AH2007" s="3" t="s">
        <v>2072</v>
      </c>
      <c r="AI2007" s="4">
        <v>45072</v>
      </c>
      <c r="AJ2007" s="3" t="s">
        <v>2120</v>
      </c>
      <c r="AK2007" s="3" t="s">
        <v>248</v>
      </c>
    </row>
    <row r="2008" spans="1:37" hidden="1" x14ac:dyDescent="0.25">
      <c r="A2008" t="str">
        <f t="shared" si="31"/>
        <v>2023_Qld_Gatton_Chickpea_DetailedTOS2VarietyCBA_CaptainWaterTrtRainFed</v>
      </c>
      <c r="B2008" s="2">
        <v>2023022</v>
      </c>
      <c r="C2008" s="3" t="s">
        <v>2062</v>
      </c>
      <c r="D2008" s="3" t="s">
        <v>248</v>
      </c>
      <c r="F2008" s="3" t="s">
        <v>249</v>
      </c>
      <c r="G2008" s="3" t="s">
        <v>43</v>
      </c>
      <c r="H2008" s="3" t="s">
        <v>253</v>
      </c>
      <c r="I2008" s="2">
        <v>57</v>
      </c>
      <c r="J2008" s="2">
        <v>29</v>
      </c>
      <c r="K2008" s="2">
        <v>2</v>
      </c>
      <c r="O2008" s="2">
        <v>8</v>
      </c>
      <c r="U2008" s="2">
        <v>2</v>
      </c>
      <c r="V2008" s="2">
        <v>31</v>
      </c>
      <c r="W2008" s="2">
        <v>1</v>
      </c>
      <c r="X2008" s="2">
        <v>15</v>
      </c>
      <c r="Z2008" s="2">
        <v>32</v>
      </c>
      <c r="AA2008" s="3" t="s">
        <v>40</v>
      </c>
      <c r="AB2008" s="2">
        <v>1</v>
      </c>
      <c r="AF2008" s="2">
        <v>35</v>
      </c>
      <c r="AG2008" s="2">
        <v>2</v>
      </c>
      <c r="AH2008" s="3" t="s">
        <v>2063</v>
      </c>
      <c r="AI2008" s="4">
        <v>45110</v>
      </c>
      <c r="AJ2008" s="3" t="s">
        <v>2121</v>
      </c>
      <c r="AK2008" s="3" t="s">
        <v>248</v>
      </c>
    </row>
    <row r="2009" spans="1:37" hidden="1" x14ac:dyDescent="0.25">
      <c r="A2009" t="str">
        <f t="shared" si="31"/>
        <v>2023_Qld_Gatton_Chickpea_DetailedTOS2VarietyCBA_CaptainWaterTrtRainFed</v>
      </c>
      <c r="B2009" s="2">
        <v>2023022</v>
      </c>
      <c r="C2009" s="3" t="s">
        <v>2062</v>
      </c>
      <c r="D2009" s="3" t="s">
        <v>248</v>
      </c>
      <c r="F2009" s="3" t="s">
        <v>249</v>
      </c>
      <c r="G2009" s="3" t="s">
        <v>43</v>
      </c>
      <c r="H2009" s="3" t="s">
        <v>250</v>
      </c>
      <c r="I2009" s="2">
        <v>58</v>
      </c>
      <c r="J2009" s="2">
        <v>29</v>
      </c>
      <c r="K2009" s="2">
        <v>2</v>
      </c>
      <c r="O2009" s="2">
        <v>8</v>
      </c>
      <c r="U2009" s="2">
        <v>2</v>
      </c>
      <c r="V2009" s="2">
        <v>32</v>
      </c>
      <c r="W2009" s="2">
        <v>1</v>
      </c>
      <c r="X2009" s="2">
        <v>16</v>
      </c>
      <c r="AA2009" s="3" t="s">
        <v>40</v>
      </c>
      <c r="AB2009" s="2">
        <v>1</v>
      </c>
      <c r="AF2009" s="2">
        <v>35</v>
      </c>
      <c r="AG2009" s="2">
        <v>2</v>
      </c>
      <c r="AH2009" s="3" t="s">
        <v>2063</v>
      </c>
      <c r="AI2009" s="4">
        <v>45110</v>
      </c>
      <c r="AJ2009" s="3" t="s">
        <v>2122</v>
      </c>
      <c r="AK2009" s="3" t="s">
        <v>248</v>
      </c>
    </row>
    <row r="2010" spans="1:37" hidden="1" x14ac:dyDescent="0.25">
      <c r="A2010" t="str">
        <f t="shared" si="31"/>
        <v>2023_Qld_Gatton_Chickpea_DetailedTOS2VarietyStrikerWaterTrtRainFed</v>
      </c>
      <c r="B2010" s="2">
        <v>2023022</v>
      </c>
      <c r="C2010" s="3" t="s">
        <v>2062</v>
      </c>
      <c r="D2010" s="3" t="s">
        <v>248</v>
      </c>
      <c r="F2010" s="3" t="s">
        <v>4179</v>
      </c>
      <c r="G2010" s="3" t="s">
        <v>43</v>
      </c>
      <c r="H2010" s="3" t="s">
        <v>253</v>
      </c>
      <c r="I2010" s="2">
        <v>59</v>
      </c>
      <c r="J2010" s="2">
        <v>30</v>
      </c>
      <c r="K2010" s="2">
        <v>2</v>
      </c>
      <c r="O2010" s="2">
        <v>8</v>
      </c>
      <c r="U2010" s="2">
        <v>3</v>
      </c>
      <c r="V2010" s="2">
        <v>31</v>
      </c>
      <c r="W2010" s="2">
        <v>2</v>
      </c>
      <c r="X2010" s="2">
        <v>15</v>
      </c>
      <c r="Z2010" s="2">
        <v>31</v>
      </c>
      <c r="AA2010" s="3" t="s">
        <v>40</v>
      </c>
      <c r="AB2010" s="2">
        <v>4</v>
      </c>
      <c r="AF2010" s="2">
        <v>35</v>
      </c>
      <c r="AG2010" s="2">
        <v>2</v>
      </c>
      <c r="AH2010" s="3" t="s">
        <v>2063</v>
      </c>
      <c r="AI2010" s="4">
        <v>45110</v>
      </c>
      <c r="AJ2010" s="3" t="s">
        <v>2123</v>
      </c>
      <c r="AK2010" s="3" t="s">
        <v>248</v>
      </c>
    </row>
    <row r="2011" spans="1:37" hidden="1" x14ac:dyDescent="0.25">
      <c r="A2011" t="str">
        <f t="shared" si="31"/>
        <v>2023_Qld_Gatton_Chickpea_DetailedTOS2VarietyStrikerWaterTrtRainFed</v>
      </c>
      <c r="B2011" s="2">
        <v>2023022</v>
      </c>
      <c r="C2011" s="3" t="s">
        <v>2062</v>
      </c>
      <c r="D2011" s="3" t="s">
        <v>248</v>
      </c>
      <c r="F2011" s="3" t="s">
        <v>4179</v>
      </c>
      <c r="G2011" s="3" t="s">
        <v>43</v>
      </c>
      <c r="H2011" s="3" t="s">
        <v>250</v>
      </c>
      <c r="I2011" s="2">
        <v>60</v>
      </c>
      <c r="J2011" s="2">
        <v>30</v>
      </c>
      <c r="K2011" s="2">
        <v>2</v>
      </c>
      <c r="O2011" s="2">
        <v>8</v>
      </c>
      <c r="U2011" s="2">
        <v>3</v>
      </c>
      <c r="V2011" s="2">
        <v>32</v>
      </c>
      <c r="W2011" s="2">
        <v>2</v>
      </c>
      <c r="X2011" s="2">
        <v>16</v>
      </c>
      <c r="AA2011" s="3" t="s">
        <v>40</v>
      </c>
      <c r="AB2011" s="2">
        <v>4</v>
      </c>
      <c r="AF2011" s="2">
        <v>35</v>
      </c>
      <c r="AG2011" s="2">
        <v>2</v>
      </c>
      <c r="AH2011" s="3" t="s">
        <v>2063</v>
      </c>
      <c r="AI2011" s="4">
        <v>45110</v>
      </c>
      <c r="AJ2011" s="3" t="s">
        <v>2124</v>
      </c>
      <c r="AK2011" s="3" t="s">
        <v>248</v>
      </c>
    </row>
    <row r="2012" spans="1:37" hidden="1" x14ac:dyDescent="0.25">
      <c r="A2012" t="str">
        <f t="shared" si="31"/>
        <v>2023_Qld_Gatton_Chickpea_DetailedTOS2VarietyHatTrickWaterTrtRainFed</v>
      </c>
      <c r="B2012" s="2">
        <v>2023022</v>
      </c>
      <c r="C2012" s="3" t="s">
        <v>2062</v>
      </c>
      <c r="D2012" s="3" t="s">
        <v>248</v>
      </c>
      <c r="F2012" s="3" t="s">
        <v>4178</v>
      </c>
      <c r="G2012" s="3" t="s">
        <v>39</v>
      </c>
      <c r="H2012" s="3" t="s">
        <v>253</v>
      </c>
      <c r="I2012" s="2">
        <v>61</v>
      </c>
      <c r="J2012" s="2">
        <v>31</v>
      </c>
      <c r="K2012" s="2">
        <v>2</v>
      </c>
      <c r="O2012" s="2">
        <v>8</v>
      </c>
      <c r="U2012" s="2">
        <v>5</v>
      </c>
      <c r="V2012" s="2">
        <v>31</v>
      </c>
      <c r="W2012" s="2">
        <v>3</v>
      </c>
      <c r="X2012" s="2">
        <v>15</v>
      </c>
      <c r="Z2012" s="2">
        <v>30</v>
      </c>
      <c r="AA2012" s="3" t="s">
        <v>40</v>
      </c>
      <c r="AB2012" s="2">
        <v>3</v>
      </c>
      <c r="AF2012" s="2">
        <v>35</v>
      </c>
      <c r="AG2012" s="2">
        <v>2</v>
      </c>
      <c r="AH2012" s="3" t="s">
        <v>2063</v>
      </c>
      <c r="AI2012" s="4">
        <v>45110</v>
      </c>
      <c r="AJ2012" s="3" t="s">
        <v>2125</v>
      </c>
      <c r="AK2012" s="3" t="s">
        <v>248</v>
      </c>
    </row>
    <row r="2013" spans="1:37" hidden="1" x14ac:dyDescent="0.25">
      <c r="A2013" t="str">
        <f t="shared" si="31"/>
        <v>2023_Qld_Gatton_Chickpea_DetailedTOS2VarietyHatTrickWaterTrtRainFed</v>
      </c>
      <c r="B2013" s="2">
        <v>2023022</v>
      </c>
      <c r="C2013" s="3" t="s">
        <v>2062</v>
      </c>
      <c r="D2013" s="3" t="s">
        <v>248</v>
      </c>
      <c r="F2013" s="3" t="s">
        <v>4178</v>
      </c>
      <c r="G2013" s="3" t="s">
        <v>39</v>
      </c>
      <c r="H2013" s="3" t="s">
        <v>250</v>
      </c>
      <c r="I2013" s="2">
        <v>62</v>
      </c>
      <c r="J2013" s="2">
        <v>31</v>
      </c>
      <c r="K2013" s="2">
        <v>2</v>
      </c>
      <c r="O2013" s="2">
        <v>8</v>
      </c>
      <c r="U2013" s="2">
        <v>5</v>
      </c>
      <c r="V2013" s="2">
        <v>32</v>
      </c>
      <c r="W2013" s="2">
        <v>3</v>
      </c>
      <c r="X2013" s="2">
        <v>16</v>
      </c>
      <c r="AA2013" s="3" t="s">
        <v>40</v>
      </c>
      <c r="AB2013" s="2">
        <v>3</v>
      </c>
      <c r="AF2013" s="2">
        <v>35</v>
      </c>
      <c r="AG2013" s="2">
        <v>2</v>
      </c>
      <c r="AH2013" s="3" t="s">
        <v>2063</v>
      </c>
      <c r="AI2013" s="4">
        <v>45110</v>
      </c>
      <c r="AJ2013" s="3" t="s">
        <v>2126</v>
      </c>
      <c r="AK2013" s="3" t="s">
        <v>248</v>
      </c>
    </row>
    <row r="2014" spans="1:37" hidden="1" x14ac:dyDescent="0.25">
      <c r="A2014" t="str">
        <f t="shared" si="31"/>
        <v>2023_Qld_Gatton_Chickpea_DetailedTOS2VarietyDrummondWaterTrtRainFed</v>
      </c>
      <c r="B2014" s="2">
        <v>2023022</v>
      </c>
      <c r="C2014" s="3" t="s">
        <v>2062</v>
      </c>
      <c r="D2014" s="3" t="s">
        <v>248</v>
      </c>
      <c r="F2014" s="3" t="s">
        <v>4182</v>
      </c>
      <c r="G2014" s="3" t="s">
        <v>39</v>
      </c>
      <c r="H2014" s="3" t="s">
        <v>253</v>
      </c>
      <c r="I2014" s="2">
        <v>63</v>
      </c>
      <c r="J2014" s="2">
        <v>32</v>
      </c>
      <c r="K2014" s="2">
        <v>2</v>
      </c>
      <c r="O2014" s="2">
        <v>8</v>
      </c>
      <c r="U2014" s="2">
        <v>6</v>
      </c>
      <c r="V2014" s="2">
        <v>31</v>
      </c>
      <c r="W2014" s="2">
        <v>4</v>
      </c>
      <c r="X2014" s="2">
        <v>15</v>
      </c>
      <c r="Z2014" s="2">
        <v>29</v>
      </c>
      <c r="AA2014" s="3" t="s">
        <v>40</v>
      </c>
      <c r="AB2014" s="2">
        <v>2</v>
      </c>
      <c r="AF2014" s="2">
        <v>35</v>
      </c>
      <c r="AG2014" s="2">
        <v>2</v>
      </c>
      <c r="AH2014" s="3" t="s">
        <v>2063</v>
      </c>
      <c r="AI2014" s="4">
        <v>45110</v>
      </c>
      <c r="AJ2014" s="3" t="s">
        <v>2127</v>
      </c>
      <c r="AK2014" s="3" t="s">
        <v>248</v>
      </c>
    </row>
    <row r="2015" spans="1:37" hidden="1" x14ac:dyDescent="0.25">
      <c r="A2015" t="str">
        <f t="shared" si="31"/>
        <v>2023_Qld_Gatton_Chickpea_DetailedTOS2VarietyDrummondWaterTrtRainFed</v>
      </c>
      <c r="B2015" s="2">
        <v>2023022</v>
      </c>
      <c r="C2015" s="3" t="s">
        <v>2062</v>
      </c>
      <c r="D2015" s="3" t="s">
        <v>248</v>
      </c>
      <c r="F2015" s="3" t="s">
        <v>4182</v>
      </c>
      <c r="G2015" s="3" t="s">
        <v>39</v>
      </c>
      <c r="H2015" s="3" t="s">
        <v>250</v>
      </c>
      <c r="I2015" s="2">
        <v>64</v>
      </c>
      <c r="J2015" s="2">
        <v>32</v>
      </c>
      <c r="K2015" s="2">
        <v>2</v>
      </c>
      <c r="O2015" s="2">
        <v>8</v>
      </c>
      <c r="U2015" s="2">
        <v>6</v>
      </c>
      <c r="V2015" s="2">
        <v>32</v>
      </c>
      <c r="W2015" s="2">
        <v>4</v>
      </c>
      <c r="X2015" s="2">
        <v>16</v>
      </c>
      <c r="AA2015" s="3" t="s">
        <v>40</v>
      </c>
      <c r="AB2015" s="2">
        <v>2</v>
      </c>
      <c r="AF2015" s="2">
        <v>35</v>
      </c>
      <c r="AG2015" s="2">
        <v>2</v>
      </c>
      <c r="AH2015" s="3" t="s">
        <v>2063</v>
      </c>
      <c r="AI2015" s="4">
        <v>45110</v>
      </c>
      <c r="AJ2015" s="3" t="s">
        <v>2128</v>
      </c>
      <c r="AK2015" s="3" t="s">
        <v>248</v>
      </c>
    </row>
    <row r="2016" spans="1:37" hidden="1" x14ac:dyDescent="0.25">
      <c r="A2016" t="str">
        <f t="shared" si="31"/>
        <v>2023_Qld_Gatton_Chickpea_DetailedTOS2VarietyCBA_CaptainWaterTrtIrrigated</v>
      </c>
      <c r="B2016" s="2">
        <v>2023022</v>
      </c>
      <c r="C2016" s="3" t="s">
        <v>2062</v>
      </c>
      <c r="D2016" s="3" t="s">
        <v>248</v>
      </c>
      <c r="F2016" s="3" t="s">
        <v>249</v>
      </c>
      <c r="G2016" s="3" t="s">
        <v>43</v>
      </c>
      <c r="H2016" s="3" t="s">
        <v>253</v>
      </c>
      <c r="I2016" s="2">
        <v>65</v>
      </c>
      <c r="J2016" s="2">
        <v>33</v>
      </c>
      <c r="K2016" s="2">
        <v>3</v>
      </c>
      <c r="O2016" s="2">
        <v>9</v>
      </c>
      <c r="U2016" s="2">
        <v>2</v>
      </c>
      <c r="V2016" s="2">
        <v>35</v>
      </c>
      <c r="W2016" s="2">
        <v>1</v>
      </c>
      <c r="X2016" s="2">
        <v>17</v>
      </c>
      <c r="Z2016" s="2">
        <v>33</v>
      </c>
      <c r="AA2016" s="3" t="s">
        <v>57</v>
      </c>
      <c r="AB2016" s="2">
        <v>1</v>
      </c>
      <c r="AF2016" s="2">
        <v>35</v>
      </c>
      <c r="AG2016" s="2">
        <v>2</v>
      </c>
      <c r="AH2016" s="3" t="s">
        <v>2063</v>
      </c>
      <c r="AI2016" s="4">
        <v>45110</v>
      </c>
      <c r="AJ2016" s="3" t="s">
        <v>2129</v>
      </c>
      <c r="AK2016" s="3" t="s">
        <v>248</v>
      </c>
    </row>
    <row r="2017" spans="1:37" hidden="1" x14ac:dyDescent="0.25">
      <c r="A2017" t="str">
        <f t="shared" si="31"/>
        <v>2023_Qld_Gatton_Chickpea_DetailedTOS2VarietyCBA_CaptainWaterTrtIrrigated</v>
      </c>
      <c r="B2017" s="2">
        <v>2023022</v>
      </c>
      <c r="C2017" s="3" t="s">
        <v>2062</v>
      </c>
      <c r="D2017" s="3" t="s">
        <v>248</v>
      </c>
      <c r="F2017" s="3" t="s">
        <v>249</v>
      </c>
      <c r="G2017" s="3" t="s">
        <v>43</v>
      </c>
      <c r="H2017" s="3" t="s">
        <v>250</v>
      </c>
      <c r="I2017" s="2">
        <v>66</v>
      </c>
      <c r="J2017" s="2">
        <v>33</v>
      </c>
      <c r="K2017" s="2">
        <v>3</v>
      </c>
      <c r="O2017" s="2">
        <v>9</v>
      </c>
      <c r="U2017" s="2">
        <v>2</v>
      </c>
      <c r="V2017" s="2">
        <v>36</v>
      </c>
      <c r="W2017" s="2">
        <v>1</v>
      </c>
      <c r="X2017" s="2">
        <v>18</v>
      </c>
      <c r="AA2017" s="3" t="s">
        <v>57</v>
      </c>
      <c r="AB2017" s="2">
        <v>1</v>
      </c>
      <c r="AF2017" s="2">
        <v>35</v>
      </c>
      <c r="AG2017" s="2">
        <v>2</v>
      </c>
      <c r="AH2017" s="3" t="s">
        <v>2063</v>
      </c>
      <c r="AI2017" s="4">
        <v>45110</v>
      </c>
      <c r="AJ2017" s="3" t="s">
        <v>2130</v>
      </c>
      <c r="AK2017" s="3" t="s">
        <v>248</v>
      </c>
    </row>
    <row r="2018" spans="1:37" hidden="1" x14ac:dyDescent="0.25">
      <c r="A2018" t="str">
        <f t="shared" si="31"/>
        <v>2023_Qld_Gatton_Chickpea_DetailedTOS2VarietyStrikerWaterTrtIrrigated</v>
      </c>
      <c r="B2018" s="2">
        <v>2023022</v>
      </c>
      <c r="C2018" s="3" t="s">
        <v>2062</v>
      </c>
      <c r="D2018" s="3" t="s">
        <v>248</v>
      </c>
      <c r="F2018" s="3" t="s">
        <v>4179</v>
      </c>
      <c r="G2018" s="3" t="s">
        <v>43</v>
      </c>
      <c r="H2018" s="3" t="s">
        <v>253</v>
      </c>
      <c r="I2018" s="2">
        <v>67</v>
      </c>
      <c r="J2018" s="2">
        <v>34</v>
      </c>
      <c r="K2018" s="2">
        <v>3</v>
      </c>
      <c r="O2018" s="2">
        <v>9</v>
      </c>
      <c r="U2018" s="2">
        <v>3</v>
      </c>
      <c r="V2018" s="2">
        <v>35</v>
      </c>
      <c r="W2018" s="2">
        <v>2</v>
      </c>
      <c r="X2018" s="2">
        <v>17</v>
      </c>
      <c r="Z2018" s="2">
        <v>34</v>
      </c>
      <c r="AA2018" s="3" t="s">
        <v>57</v>
      </c>
      <c r="AB2018" s="2">
        <v>4</v>
      </c>
      <c r="AF2018" s="2">
        <v>35</v>
      </c>
      <c r="AG2018" s="2">
        <v>2</v>
      </c>
      <c r="AH2018" s="3" t="s">
        <v>2063</v>
      </c>
      <c r="AI2018" s="4">
        <v>45110</v>
      </c>
      <c r="AJ2018" s="3" t="s">
        <v>2131</v>
      </c>
      <c r="AK2018" s="3" t="s">
        <v>248</v>
      </c>
    </row>
    <row r="2019" spans="1:37" hidden="1" x14ac:dyDescent="0.25">
      <c r="A2019" t="str">
        <f t="shared" si="31"/>
        <v>2023_Qld_Gatton_Chickpea_DetailedTOS2VarietyStrikerWaterTrtIrrigated</v>
      </c>
      <c r="B2019" s="2">
        <v>2023022</v>
      </c>
      <c r="C2019" s="3" t="s">
        <v>2062</v>
      </c>
      <c r="D2019" s="3" t="s">
        <v>248</v>
      </c>
      <c r="F2019" s="3" t="s">
        <v>4179</v>
      </c>
      <c r="G2019" s="3" t="s">
        <v>43</v>
      </c>
      <c r="H2019" s="3" t="s">
        <v>250</v>
      </c>
      <c r="I2019" s="2">
        <v>68</v>
      </c>
      <c r="J2019" s="2">
        <v>34</v>
      </c>
      <c r="K2019" s="2">
        <v>3</v>
      </c>
      <c r="O2019" s="2">
        <v>9</v>
      </c>
      <c r="U2019" s="2">
        <v>3</v>
      </c>
      <c r="V2019" s="2">
        <v>36</v>
      </c>
      <c r="W2019" s="2">
        <v>2</v>
      </c>
      <c r="X2019" s="2">
        <v>18</v>
      </c>
      <c r="AA2019" s="3" t="s">
        <v>57</v>
      </c>
      <c r="AB2019" s="2">
        <v>4</v>
      </c>
      <c r="AF2019" s="2">
        <v>35</v>
      </c>
      <c r="AG2019" s="2">
        <v>2</v>
      </c>
      <c r="AH2019" s="3" t="s">
        <v>2063</v>
      </c>
      <c r="AI2019" s="4">
        <v>45110</v>
      </c>
      <c r="AJ2019" s="3" t="s">
        <v>2132</v>
      </c>
      <c r="AK2019" s="3" t="s">
        <v>248</v>
      </c>
    </row>
    <row r="2020" spans="1:37" hidden="1" x14ac:dyDescent="0.25">
      <c r="A2020" t="str">
        <f t="shared" si="31"/>
        <v>2023_Qld_Gatton_Chickpea_DetailedTOS2VarietyDrummondWaterTrtIrrigated</v>
      </c>
      <c r="B2020" s="2">
        <v>2023022</v>
      </c>
      <c r="C2020" s="3" t="s">
        <v>2062</v>
      </c>
      <c r="D2020" s="3" t="s">
        <v>248</v>
      </c>
      <c r="F2020" s="3" t="s">
        <v>4182</v>
      </c>
      <c r="G2020" s="3" t="s">
        <v>39</v>
      </c>
      <c r="H2020" s="3" t="s">
        <v>253</v>
      </c>
      <c r="I2020" s="2">
        <v>69</v>
      </c>
      <c r="J2020" s="2">
        <v>35</v>
      </c>
      <c r="K2020" s="2">
        <v>3</v>
      </c>
      <c r="O2020" s="2">
        <v>9</v>
      </c>
      <c r="U2020" s="2">
        <v>5</v>
      </c>
      <c r="V2020" s="2">
        <v>35</v>
      </c>
      <c r="W2020" s="2">
        <v>3</v>
      </c>
      <c r="X2020" s="2">
        <v>17</v>
      </c>
      <c r="Z2020" s="2">
        <v>35</v>
      </c>
      <c r="AA2020" s="3" t="s">
        <v>57</v>
      </c>
      <c r="AB2020" s="2">
        <v>2</v>
      </c>
      <c r="AF2020" s="2">
        <v>35</v>
      </c>
      <c r="AG2020" s="2">
        <v>2</v>
      </c>
      <c r="AH2020" s="3" t="s">
        <v>2063</v>
      </c>
      <c r="AI2020" s="4">
        <v>45110</v>
      </c>
      <c r="AJ2020" s="3" t="s">
        <v>2133</v>
      </c>
      <c r="AK2020" s="3" t="s">
        <v>248</v>
      </c>
    </row>
    <row r="2021" spans="1:37" hidden="1" x14ac:dyDescent="0.25">
      <c r="A2021" t="str">
        <f t="shared" si="31"/>
        <v>2023_Qld_Gatton_Chickpea_DetailedTOS2VarietyDrummondWaterTrtIrrigated</v>
      </c>
      <c r="B2021" s="2">
        <v>2023022</v>
      </c>
      <c r="C2021" s="3" t="s">
        <v>2062</v>
      </c>
      <c r="D2021" s="3" t="s">
        <v>248</v>
      </c>
      <c r="F2021" s="3" t="s">
        <v>4182</v>
      </c>
      <c r="G2021" s="3" t="s">
        <v>39</v>
      </c>
      <c r="H2021" s="3" t="s">
        <v>250</v>
      </c>
      <c r="I2021" s="2">
        <v>70</v>
      </c>
      <c r="J2021" s="2">
        <v>35</v>
      </c>
      <c r="K2021" s="2">
        <v>3</v>
      </c>
      <c r="O2021" s="2">
        <v>9</v>
      </c>
      <c r="U2021" s="2">
        <v>5</v>
      </c>
      <c r="V2021" s="2">
        <v>36</v>
      </c>
      <c r="W2021" s="2">
        <v>3</v>
      </c>
      <c r="X2021" s="2">
        <v>18</v>
      </c>
      <c r="AA2021" s="3" t="s">
        <v>57</v>
      </c>
      <c r="AB2021" s="2">
        <v>2</v>
      </c>
      <c r="AF2021" s="2">
        <v>35</v>
      </c>
      <c r="AG2021" s="2">
        <v>2</v>
      </c>
      <c r="AH2021" s="3" t="s">
        <v>2063</v>
      </c>
      <c r="AI2021" s="4">
        <v>45110</v>
      </c>
      <c r="AJ2021" s="3" t="s">
        <v>2134</v>
      </c>
      <c r="AK2021" s="3" t="s">
        <v>248</v>
      </c>
    </row>
    <row r="2022" spans="1:37" hidden="1" x14ac:dyDescent="0.25">
      <c r="A2022" t="str">
        <f t="shared" si="31"/>
        <v>2023_Qld_Gatton_Chickpea_DetailedTOS2VarietyHatTrickWaterTrtIrrigated</v>
      </c>
      <c r="B2022" s="2">
        <v>2023022</v>
      </c>
      <c r="C2022" s="3" t="s">
        <v>2062</v>
      </c>
      <c r="D2022" s="3" t="s">
        <v>248</v>
      </c>
      <c r="F2022" s="3" t="s">
        <v>4178</v>
      </c>
      <c r="G2022" s="3" t="s">
        <v>39</v>
      </c>
      <c r="H2022" s="3" t="s">
        <v>253</v>
      </c>
      <c r="I2022" s="2">
        <v>71</v>
      </c>
      <c r="J2022" s="2">
        <v>36</v>
      </c>
      <c r="K2022" s="2">
        <v>3</v>
      </c>
      <c r="O2022" s="2">
        <v>9</v>
      </c>
      <c r="U2022" s="2">
        <v>6</v>
      </c>
      <c r="V2022" s="2">
        <v>35</v>
      </c>
      <c r="W2022" s="2">
        <v>4</v>
      </c>
      <c r="X2022" s="2">
        <v>17</v>
      </c>
      <c r="Z2022" s="2">
        <v>36</v>
      </c>
      <c r="AA2022" s="3" t="s">
        <v>57</v>
      </c>
      <c r="AB2022" s="2">
        <v>3</v>
      </c>
      <c r="AF2022" s="2">
        <v>35</v>
      </c>
      <c r="AG2022" s="2">
        <v>2</v>
      </c>
      <c r="AH2022" s="3" t="s">
        <v>2063</v>
      </c>
      <c r="AI2022" s="4">
        <v>45110</v>
      </c>
      <c r="AJ2022" s="3" t="s">
        <v>2135</v>
      </c>
      <c r="AK2022" s="3" t="s">
        <v>248</v>
      </c>
    </row>
    <row r="2023" spans="1:37" hidden="1" x14ac:dyDescent="0.25">
      <c r="A2023" t="str">
        <f t="shared" si="31"/>
        <v>2023_Qld_Gatton_Chickpea_DetailedTOS2VarietyHatTrickWaterTrtIrrigated</v>
      </c>
      <c r="B2023" s="2">
        <v>2023022</v>
      </c>
      <c r="C2023" s="3" t="s">
        <v>2062</v>
      </c>
      <c r="D2023" s="3" t="s">
        <v>248</v>
      </c>
      <c r="F2023" s="3" t="s">
        <v>4178</v>
      </c>
      <c r="G2023" s="3" t="s">
        <v>39</v>
      </c>
      <c r="H2023" s="3" t="s">
        <v>250</v>
      </c>
      <c r="I2023" s="2">
        <v>72</v>
      </c>
      <c r="J2023" s="2">
        <v>36</v>
      </c>
      <c r="K2023" s="2">
        <v>3</v>
      </c>
      <c r="O2023" s="2">
        <v>9</v>
      </c>
      <c r="U2023" s="2">
        <v>6</v>
      </c>
      <c r="V2023" s="2">
        <v>36</v>
      </c>
      <c r="W2023" s="2">
        <v>4</v>
      </c>
      <c r="X2023" s="2">
        <v>18</v>
      </c>
      <c r="AA2023" s="3" t="s">
        <v>57</v>
      </c>
      <c r="AB2023" s="2">
        <v>3</v>
      </c>
      <c r="AF2023" s="2">
        <v>35</v>
      </c>
      <c r="AG2023" s="2">
        <v>2</v>
      </c>
      <c r="AH2023" s="3" t="s">
        <v>2063</v>
      </c>
      <c r="AI2023" s="4">
        <v>45110</v>
      </c>
      <c r="AJ2023" s="3" t="s">
        <v>2136</v>
      </c>
      <c r="AK2023" s="3" t="s">
        <v>248</v>
      </c>
    </row>
    <row r="2024" spans="1:37" hidden="1" x14ac:dyDescent="0.25">
      <c r="A2024" t="str">
        <f t="shared" si="31"/>
        <v>2023_Qld_Gatton_Chickpea_DetailedTOS1VarietyDrummondWaterTrtRainFed</v>
      </c>
      <c r="B2024" s="2">
        <v>2023022</v>
      </c>
      <c r="C2024" s="3" t="s">
        <v>2062</v>
      </c>
      <c r="D2024" s="3" t="s">
        <v>248</v>
      </c>
      <c r="F2024" s="3" t="s">
        <v>4182</v>
      </c>
      <c r="G2024" s="3" t="s">
        <v>39</v>
      </c>
      <c r="H2024" s="3" t="s">
        <v>250</v>
      </c>
      <c r="I2024" s="2">
        <v>73</v>
      </c>
      <c r="J2024" s="2">
        <v>37</v>
      </c>
      <c r="K2024" s="2">
        <v>3</v>
      </c>
      <c r="O2024" s="2">
        <v>10</v>
      </c>
      <c r="U2024" s="2">
        <v>2</v>
      </c>
      <c r="V2024" s="2">
        <v>39</v>
      </c>
      <c r="W2024" s="2">
        <v>1</v>
      </c>
      <c r="X2024" s="2">
        <v>19</v>
      </c>
      <c r="AA2024" s="3" t="s">
        <v>40</v>
      </c>
      <c r="AB2024" s="2">
        <v>2</v>
      </c>
      <c r="AF2024" s="2">
        <v>35</v>
      </c>
      <c r="AG2024" s="2">
        <v>1</v>
      </c>
      <c r="AH2024" s="3" t="s">
        <v>2072</v>
      </c>
      <c r="AI2024" s="4">
        <v>45072</v>
      </c>
      <c r="AJ2024" s="3" t="s">
        <v>2137</v>
      </c>
      <c r="AK2024" s="3" t="s">
        <v>248</v>
      </c>
    </row>
    <row r="2025" spans="1:37" hidden="1" x14ac:dyDescent="0.25">
      <c r="A2025" t="str">
        <f t="shared" si="31"/>
        <v>2023_Qld_Gatton_Chickpea_DetailedTOS1VarietyDrummondWaterTrtRainFed</v>
      </c>
      <c r="B2025" s="2">
        <v>2023022</v>
      </c>
      <c r="C2025" s="3" t="s">
        <v>2062</v>
      </c>
      <c r="D2025" s="3" t="s">
        <v>248</v>
      </c>
      <c r="F2025" s="3" t="s">
        <v>4182</v>
      </c>
      <c r="G2025" s="3" t="s">
        <v>39</v>
      </c>
      <c r="H2025" s="3" t="s">
        <v>253</v>
      </c>
      <c r="I2025" s="2">
        <v>74</v>
      </c>
      <c r="J2025" s="2">
        <v>37</v>
      </c>
      <c r="K2025" s="2">
        <v>3</v>
      </c>
      <c r="O2025" s="2">
        <v>10</v>
      </c>
      <c r="U2025" s="2">
        <v>2</v>
      </c>
      <c r="V2025" s="2">
        <v>40</v>
      </c>
      <c r="W2025" s="2">
        <v>1</v>
      </c>
      <c r="X2025" s="2">
        <v>20</v>
      </c>
      <c r="Z2025" s="2">
        <v>40</v>
      </c>
      <c r="AA2025" s="3" t="s">
        <v>40</v>
      </c>
      <c r="AB2025" s="2">
        <v>2</v>
      </c>
      <c r="AF2025" s="2">
        <v>35</v>
      </c>
      <c r="AG2025" s="2">
        <v>1</v>
      </c>
      <c r="AH2025" s="3" t="s">
        <v>2072</v>
      </c>
      <c r="AI2025" s="4">
        <v>45072</v>
      </c>
      <c r="AJ2025" s="3" t="s">
        <v>2138</v>
      </c>
      <c r="AK2025" s="3" t="s">
        <v>248</v>
      </c>
    </row>
    <row r="2026" spans="1:37" hidden="1" x14ac:dyDescent="0.25">
      <c r="A2026" t="str">
        <f t="shared" si="31"/>
        <v>2023_Qld_Gatton_Chickpea_DetailedTOS1VarietyHatTrickWaterTrtRainFed</v>
      </c>
      <c r="B2026" s="2">
        <v>2023022</v>
      </c>
      <c r="C2026" s="3" t="s">
        <v>2062</v>
      </c>
      <c r="D2026" s="3" t="s">
        <v>248</v>
      </c>
      <c r="F2026" s="3" t="s">
        <v>4178</v>
      </c>
      <c r="G2026" s="3" t="s">
        <v>39</v>
      </c>
      <c r="H2026" s="3" t="s">
        <v>250</v>
      </c>
      <c r="I2026" s="2">
        <v>75</v>
      </c>
      <c r="J2026" s="2">
        <v>38</v>
      </c>
      <c r="K2026" s="2">
        <v>3</v>
      </c>
      <c r="O2026" s="2">
        <v>10</v>
      </c>
      <c r="U2026" s="2">
        <v>3</v>
      </c>
      <c r="V2026" s="2">
        <v>39</v>
      </c>
      <c r="W2026" s="2">
        <v>2</v>
      </c>
      <c r="X2026" s="2">
        <v>19</v>
      </c>
      <c r="AA2026" s="3" t="s">
        <v>40</v>
      </c>
      <c r="AB2026" s="2">
        <v>3</v>
      </c>
      <c r="AF2026" s="2">
        <v>35</v>
      </c>
      <c r="AG2026" s="2">
        <v>1</v>
      </c>
      <c r="AH2026" s="3" t="s">
        <v>2072</v>
      </c>
      <c r="AI2026" s="4">
        <v>45072</v>
      </c>
      <c r="AJ2026" s="3" t="s">
        <v>2139</v>
      </c>
      <c r="AK2026" s="3" t="s">
        <v>248</v>
      </c>
    </row>
    <row r="2027" spans="1:37" hidden="1" x14ac:dyDescent="0.25">
      <c r="A2027" t="str">
        <f t="shared" si="31"/>
        <v>2023_Qld_Gatton_Chickpea_DetailedTOS1VarietyHatTrickWaterTrtRainFed</v>
      </c>
      <c r="B2027" s="2">
        <v>2023022</v>
      </c>
      <c r="C2027" s="3" t="s">
        <v>2062</v>
      </c>
      <c r="D2027" s="3" t="s">
        <v>248</v>
      </c>
      <c r="F2027" s="3" t="s">
        <v>4178</v>
      </c>
      <c r="G2027" s="3" t="s">
        <v>39</v>
      </c>
      <c r="H2027" s="3" t="s">
        <v>253</v>
      </c>
      <c r="I2027" s="2">
        <v>76</v>
      </c>
      <c r="J2027" s="2">
        <v>38</v>
      </c>
      <c r="K2027" s="2">
        <v>3</v>
      </c>
      <c r="O2027" s="2">
        <v>10</v>
      </c>
      <c r="U2027" s="2">
        <v>3</v>
      </c>
      <c r="V2027" s="2">
        <v>40</v>
      </c>
      <c r="W2027" s="2">
        <v>2</v>
      </c>
      <c r="X2027" s="2">
        <v>20</v>
      </c>
      <c r="Z2027" s="2">
        <v>39</v>
      </c>
      <c r="AA2027" s="3" t="s">
        <v>40</v>
      </c>
      <c r="AB2027" s="2">
        <v>3</v>
      </c>
      <c r="AF2027" s="2">
        <v>35</v>
      </c>
      <c r="AG2027" s="2">
        <v>1</v>
      </c>
      <c r="AH2027" s="3" t="s">
        <v>2072</v>
      </c>
      <c r="AI2027" s="4">
        <v>45072</v>
      </c>
      <c r="AJ2027" s="3" t="s">
        <v>2140</v>
      </c>
      <c r="AK2027" s="3" t="s">
        <v>248</v>
      </c>
    </row>
    <row r="2028" spans="1:37" hidden="1" x14ac:dyDescent="0.25">
      <c r="A2028" t="str">
        <f t="shared" si="31"/>
        <v>2023_Qld_Gatton_Chickpea_DetailedTOS1VarietyStrikerWaterTrtRainFed</v>
      </c>
      <c r="B2028" s="2">
        <v>2023022</v>
      </c>
      <c r="C2028" s="3" t="s">
        <v>2062</v>
      </c>
      <c r="D2028" s="3" t="s">
        <v>248</v>
      </c>
      <c r="F2028" s="3" t="s">
        <v>4179</v>
      </c>
      <c r="G2028" s="3" t="s">
        <v>43</v>
      </c>
      <c r="H2028" s="3" t="s">
        <v>250</v>
      </c>
      <c r="I2028" s="2">
        <v>77</v>
      </c>
      <c r="J2028" s="2">
        <v>39</v>
      </c>
      <c r="K2028" s="2">
        <v>3</v>
      </c>
      <c r="O2028" s="2">
        <v>10</v>
      </c>
      <c r="U2028" s="2">
        <v>5</v>
      </c>
      <c r="V2028" s="2">
        <v>39</v>
      </c>
      <c r="W2028" s="2">
        <v>3</v>
      </c>
      <c r="X2028" s="2">
        <v>19</v>
      </c>
      <c r="AA2028" s="3" t="s">
        <v>40</v>
      </c>
      <c r="AB2028" s="2">
        <v>4</v>
      </c>
      <c r="AF2028" s="2">
        <v>35</v>
      </c>
      <c r="AG2028" s="2">
        <v>1</v>
      </c>
      <c r="AH2028" s="3" t="s">
        <v>2072</v>
      </c>
      <c r="AI2028" s="4">
        <v>45072</v>
      </c>
      <c r="AJ2028" s="3" t="s">
        <v>2141</v>
      </c>
      <c r="AK2028" s="3" t="s">
        <v>248</v>
      </c>
    </row>
    <row r="2029" spans="1:37" hidden="1" x14ac:dyDescent="0.25">
      <c r="A2029" t="str">
        <f t="shared" si="31"/>
        <v>2023_Qld_Gatton_Chickpea_DetailedTOS1VarietyStrikerWaterTrtRainFed</v>
      </c>
      <c r="B2029" s="2">
        <v>2023022</v>
      </c>
      <c r="C2029" s="3" t="s">
        <v>2062</v>
      </c>
      <c r="D2029" s="3" t="s">
        <v>248</v>
      </c>
      <c r="F2029" s="3" t="s">
        <v>4179</v>
      </c>
      <c r="G2029" s="3" t="s">
        <v>43</v>
      </c>
      <c r="H2029" s="3" t="s">
        <v>253</v>
      </c>
      <c r="I2029" s="2">
        <v>78</v>
      </c>
      <c r="J2029" s="2">
        <v>39</v>
      </c>
      <c r="K2029" s="2">
        <v>3</v>
      </c>
      <c r="O2029" s="2">
        <v>10</v>
      </c>
      <c r="U2029" s="2">
        <v>5</v>
      </c>
      <c r="V2029" s="2">
        <v>40</v>
      </c>
      <c r="W2029" s="2">
        <v>3</v>
      </c>
      <c r="X2029" s="2">
        <v>20</v>
      </c>
      <c r="Z2029" s="2">
        <v>38</v>
      </c>
      <c r="AA2029" s="3" t="s">
        <v>40</v>
      </c>
      <c r="AB2029" s="2">
        <v>4</v>
      </c>
      <c r="AF2029" s="2">
        <v>35</v>
      </c>
      <c r="AG2029" s="2">
        <v>1</v>
      </c>
      <c r="AH2029" s="3" t="s">
        <v>2072</v>
      </c>
      <c r="AI2029" s="4">
        <v>45072</v>
      </c>
      <c r="AJ2029" s="3" t="s">
        <v>2142</v>
      </c>
      <c r="AK2029" s="3" t="s">
        <v>248</v>
      </c>
    </row>
    <row r="2030" spans="1:37" hidden="1" x14ac:dyDescent="0.25">
      <c r="A2030" t="str">
        <f t="shared" si="31"/>
        <v>2023_Qld_Gatton_Chickpea_DetailedTOS1VarietyCBA_CaptainWaterTrtRainFed</v>
      </c>
      <c r="B2030" s="2">
        <v>2023022</v>
      </c>
      <c r="C2030" s="3" t="s">
        <v>2062</v>
      </c>
      <c r="D2030" s="3" t="s">
        <v>248</v>
      </c>
      <c r="F2030" s="3" t="s">
        <v>249</v>
      </c>
      <c r="G2030" s="3" t="s">
        <v>43</v>
      </c>
      <c r="H2030" s="3" t="s">
        <v>250</v>
      </c>
      <c r="I2030" s="2">
        <v>79</v>
      </c>
      <c r="J2030" s="2">
        <v>40</v>
      </c>
      <c r="K2030" s="2">
        <v>3</v>
      </c>
      <c r="O2030" s="2">
        <v>10</v>
      </c>
      <c r="U2030" s="2">
        <v>6</v>
      </c>
      <c r="V2030" s="2">
        <v>39</v>
      </c>
      <c r="W2030" s="2">
        <v>4</v>
      </c>
      <c r="X2030" s="2">
        <v>19</v>
      </c>
      <c r="AA2030" s="3" t="s">
        <v>40</v>
      </c>
      <c r="AB2030" s="2">
        <v>1</v>
      </c>
      <c r="AF2030" s="2">
        <v>35</v>
      </c>
      <c r="AG2030" s="2">
        <v>1</v>
      </c>
      <c r="AH2030" s="3" t="s">
        <v>2072</v>
      </c>
      <c r="AI2030" s="4">
        <v>45072</v>
      </c>
      <c r="AJ2030" s="3" t="s">
        <v>2143</v>
      </c>
      <c r="AK2030" s="3" t="s">
        <v>248</v>
      </c>
    </row>
    <row r="2031" spans="1:37" hidden="1" x14ac:dyDescent="0.25">
      <c r="A2031" t="str">
        <f t="shared" si="31"/>
        <v>2023_Qld_Gatton_Chickpea_DetailedTOS1VarietyCBA_CaptainWaterTrtRainFed</v>
      </c>
      <c r="B2031" s="2">
        <v>2023022</v>
      </c>
      <c r="C2031" s="3" t="s">
        <v>2062</v>
      </c>
      <c r="D2031" s="3" t="s">
        <v>248</v>
      </c>
      <c r="F2031" s="3" t="s">
        <v>249</v>
      </c>
      <c r="G2031" s="3" t="s">
        <v>43</v>
      </c>
      <c r="H2031" s="3" t="s">
        <v>253</v>
      </c>
      <c r="I2031" s="2">
        <v>80</v>
      </c>
      <c r="J2031" s="2">
        <v>40</v>
      </c>
      <c r="K2031" s="2">
        <v>3</v>
      </c>
      <c r="O2031" s="2">
        <v>10</v>
      </c>
      <c r="U2031" s="2">
        <v>6</v>
      </c>
      <c r="V2031" s="2">
        <v>40</v>
      </c>
      <c r="W2031" s="2">
        <v>4</v>
      </c>
      <c r="X2031" s="2">
        <v>20</v>
      </c>
      <c r="Z2031" s="2">
        <v>37</v>
      </c>
      <c r="AA2031" s="3" t="s">
        <v>40</v>
      </c>
      <c r="AB2031" s="2">
        <v>1</v>
      </c>
      <c r="AF2031" s="2">
        <v>35</v>
      </c>
      <c r="AG2031" s="2">
        <v>1</v>
      </c>
      <c r="AH2031" s="3" t="s">
        <v>2072</v>
      </c>
      <c r="AI2031" s="4">
        <v>45072</v>
      </c>
      <c r="AJ2031" s="3" t="s">
        <v>2144</v>
      </c>
      <c r="AK2031" s="3" t="s">
        <v>248</v>
      </c>
    </row>
    <row r="2032" spans="1:37" hidden="1" x14ac:dyDescent="0.25">
      <c r="A2032" t="str">
        <f t="shared" si="31"/>
        <v>2023_Qld_Gatton_Chickpea_DetailedTOS2VarietyHatTrickWaterTrtRainFed</v>
      </c>
      <c r="B2032" s="2">
        <v>2023022</v>
      </c>
      <c r="C2032" s="3" t="s">
        <v>2062</v>
      </c>
      <c r="D2032" s="3" t="s">
        <v>248</v>
      </c>
      <c r="F2032" s="3" t="s">
        <v>4178</v>
      </c>
      <c r="G2032" s="3" t="s">
        <v>39</v>
      </c>
      <c r="H2032" s="3" t="s">
        <v>253</v>
      </c>
      <c r="I2032" s="2">
        <v>81</v>
      </c>
      <c r="J2032" s="2">
        <v>41</v>
      </c>
      <c r="K2032" s="2">
        <v>3</v>
      </c>
      <c r="O2032" s="2">
        <v>11</v>
      </c>
      <c r="U2032" s="2">
        <v>2</v>
      </c>
      <c r="V2032" s="2">
        <v>43</v>
      </c>
      <c r="W2032" s="2">
        <v>1</v>
      </c>
      <c r="X2032" s="2">
        <v>21</v>
      </c>
      <c r="Z2032" s="2">
        <v>41</v>
      </c>
      <c r="AA2032" s="3" t="s">
        <v>40</v>
      </c>
      <c r="AB2032" s="2">
        <v>3</v>
      </c>
      <c r="AF2032" s="2">
        <v>35</v>
      </c>
      <c r="AG2032" s="2">
        <v>2</v>
      </c>
      <c r="AH2032" s="3" t="s">
        <v>2063</v>
      </c>
      <c r="AI2032" s="4">
        <v>45110</v>
      </c>
      <c r="AJ2032" s="3" t="s">
        <v>2145</v>
      </c>
      <c r="AK2032" s="3" t="s">
        <v>248</v>
      </c>
    </row>
    <row r="2033" spans="1:37" hidden="1" x14ac:dyDescent="0.25">
      <c r="A2033" t="str">
        <f t="shared" si="31"/>
        <v>2023_Qld_Gatton_Chickpea_DetailedTOS2VarietyHatTrickWaterTrtRainFed</v>
      </c>
      <c r="B2033" s="2">
        <v>2023022</v>
      </c>
      <c r="C2033" s="3" t="s">
        <v>2062</v>
      </c>
      <c r="D2033" s="3" t="s">
        <v>248</v>
      </c>
      <c r="F2033" s="3" t="s">
        <v>4178</v>
      </c>
      <c r="G2033" s="3" t="s">
        <v>39</v>
      </c>
      <c r="H2033" s="3" t="s">
        <v>250</v>
      </c>
      <c r="I2033" s="2">
        <v>82</v>
      </c>
      <c r="J2033" s="2">
        <v>41</v>
      </c>
      <c r="K2033" s="2">
        <v>3</v>
      </c>
      <c r="O2033" s="2">
        <v>11</v>
      </c>
      <c r="U2033" s="2">
        <v>2</v>
      </c>
      <c r="V2033" s="2">
        <v>44</v>
      </c>
      <c r="W2033" s="2">
        <v>1</v>
      </c>
      <c r="X2033" s="2">
        <v>22</v>
      </c>
      <c r="AA2033" s="3" t="s">
        <v>40</v>
      </c>
      <c r="AB2033" s="2">
        <v>3</v>
      </c>
      <c r="AF2033" s="2">
        <v>35</v>
      </c>
      <c r="AG2033" s="2">
        <v>2</v>
      </c>
      <c r="AH2033" s="3" t="s">
        <v>2063</v>
      </c>
      <c r="AI2033" s="4">
        <v>45110</v>
      </c>
      <c r="AJ2033" s="3" t="s">
        <v>2146</v>
      </c>
      <c r="AK2033" s="3" t="s">
        <v>248</v>
      </c>
    </row>
    <row r="2034" spans="1:37" hidden="1" x14ac:dyDescent="0.25">
      <c r="A2034" t="str">
        <f t="shared" si="31"/>
        <v>2023_Qld_Gatton_Chickpea_DetailedTOS2VarietyDrummondWaterTrtRainFed</v>
      </c>
      <c r="B2034" s="2">
        <v>2023022</v>
      </c>
      <c r="C2034" s="3" t="s">
        <v>2062</v>
      </c>
      <c r="D2034" s="3" t="s">
        <v>248</v>
      </c>
      <c r="F2034" s="3" t="s">
        <v>4182</v>
      </c>
      <c r="G2034" s="3" t="s">
        <v>39</v>
      </c>
      <c r="H2034" s="3" t="s">
        <v>253</v>
      </c>
      <c r="I2034" s="2">
        <v>83</v>
      </c>
      <c r="J2034" s="2">
        <v>42</v>
      </c>
      <c r="K2034" s="2">
        <v>3</v>
      </c>
      <c r="O2034" s="2">
        <v>11</v>
      </c>
      <c r="U2034" s="2">
        <v>3</v>
      </c>
      <c r="V2034" s="2">
        <v>43</v>
      </c>
      <c r="W2034" s="2">
        <v>2</v>
      </c>
      <c r="X2034" s="2">
        <v>21</v>
      </c>
      <c r="Z2034" s="2">
        <v>42</v>
      </c>
      <c r="AA2034" s="3" t="s">
        <v>40</v>
      </c>
      <c r="AB2034" s="2">
        <v>2</v>
      </c>
      <c r="AF2034" s="2">
        <v>35</v>
      </c>
      <c r="AG2034" s="2">
        <v>2</v>
      </c>
      <c r="AH2034" s="3" t="s">
        <v>2063</v>
      </c>
      <c r="AI2034" s="4">
        <v>45110</v>
      </c>
      <c r="AJ2034" s="3" t="s">
        <v>2147</v>
      </c>
      <c r="AK2034" s="3" t="s">
        <v>248</v>
      </c>
    </row>
    <row r="2035" spans="1:37" hidden="1" x14ac:dyDescent="0.25">
      <c r="A2035" t="str">
        <f t="shared" si="31"/>
        <v>2023_Qld_Gatton_Chickpea_DetailedTOS2VarietyDrummondWaterTrtRainFed</v>
      </c>
      <c r="B2035" s="2">
        <v>2023022</v>
      </c>
      <c r="C2035" s="3" t="s">
        <v>2062</v>
      </c>
      <c r="D2035" s="3" t="s">
        <v>248</v>
      </c>
      <c r="F2035" s="3" t="s">
        <v>4182</v>
      </c>
      <c r="G2035" s="3" t="s">
        <v>39</v>
      </c>
      <c r="H2035" s="3" t="s">
        <v>250</v>
      </c>
      <c r="I2035" s="2">
        <v>84</v>
      </c>
      <c r="J2035" s="2">
        <v>42</v>
      </c>
      <c r="K2035" s="2">
        <v>3</v>
      </c>
      <c r="O2035" s="2">
        <v>11</v>
      </c>
      <c r="U2035" s="2">
        <v>3</v>
      </c>
      <c r="V2035" s="2">
        <v>44</v>
      </c>
      <c r="W2035" s="2">
        <v>2</v>
      </c>
      <c r="X2035" s="2">
        <v>22</v>
      </c>
      <c r="AA2035" s="3" t="s">
        <v>40</v>
      </c>
      <c r="AB2035" s="2">
        <v>2</v>
      </c>
      <c r="AF2035" s="2">
        <v>35</v>
      </c>
      <c r="AG2035" s="2">
        <v>2</v>
      </c>
      <c r="AH2035" s="3" t="s">
        <v>2063</v>
      </c>
      <c r="AI2035" s="4">
        <v>45110</v>
      </c>
      <c r="AJ2035" s="3" t="s">
        <v>2148</v>
      </c>
      <c r="AK2035" s="3" t="s">
        <v>248</v>
      </c>
    </row>
    <row r="2036" spans="1:37" hidden="1" x14ac:dyDescent="0.25">
      <c r="A2036" t="str">
        <f t="shared" si="31"/>
        <v>2023_Qld_Gatton_Chickpea_DetailedTOS2VarietyCBA_CaptainWaterTrtRainFed</v>
      </c>
      <c r="B2036" s="2">
        <v>2023022</v>
      </c>
      <c r="C2036" s="3" t="s">
        <v>2062</v>
      </c>
      <c r="D2036" s="3" t="s">
        <v>248</v>
      </c>
      <c r="F2036" s="3" t="s">
        <v>249</v>
      </c>
      <c r="G2036" s="3" t="s">
        <v>43</v>
      </c>
      <c r="H2036" s="3" t="s">
        <v>253</v>
      </c>
      <c r="I2036" s="2">
        <v>85</v>
      </c>
      <c r="J2036" s="2">
        <v>43</v>
      </c>
      <c r="K2036" s="2">
        <v>3</v>
      </c>
      <c r="O2036" s="2">
        <v>11</v>
      </c>
      <c r="U2036" s="2">
        <v>5</v>
      </c>
      <c r="V2036" s="2">
        <v>43</v>
      </c>
      <c r="W2036" s="2">
        <v>3</v>
      </c>
      <c r="X2036" s="2">
        <v>21</v>
      </c>
      <c r="Z2036" s="2">
        <v>43</v>
      </c>
      <c r="AA2036" s="3" t="s">
        <v>40</v>
      </c>
      <c r="AB2036" s="2">
        <v>1</v>
      </c>
      <c r="AF2036" s="2">
        <v>35</v>
      </c>
      <c r="AG2036" s="2">
        <v>2</v>
      </c>
      <c r="AH2036" s="3" t="s">
        <v>2063</v>
      </c>
      <c r="AI2036" s="4">
        <v>45110</v>
      </c>
      <c r="AJ2036" s="3" t="s">
        <v>2149</v>
      </c>
      <c r="AK2036" s="3" t="s">
        <v>248</v>
      </c>
    </row>
    <row r="2037" spans="1:37" hidden="1" x14ac:dyDescent="0.25">
      <c r="A2037" t="str">
        <f t="shared" si="31"/>
        <v>2023_Qld_Gatton_Chickpea_DetailedTOS2VarietyCBA_CaptainWaterTrtRainFed</v>
      </c>
      <c r="B2037" s="2">
        <v>2023022</v>
      </c>
      <c r="C2037" s="3" t="s">
        <v>2062</v>
      </c>
      <c r="D2037" s="3" t="s">
        <v>248</v>
      </c>
      <c r="F2037" s="3" t="s">
        <v>249</v>
      </c>
      <c r="G2037" s="3" t="s">
        <v>43</v>
      </c>
      <c r="H2037" s="3" t="s">
        <v>250</v>
      </c>
      <c r="I2037" s="2">
        <v>86</v>
      </c>
      <c r="J2037" s="2">
        <v>43</v>
      </c>
      <c r="K2037" s="2">
        <v>3</v>
      </c>
      <c r="O2037" s="2">
        <v>11</v>
      </c>
      <c r="U2037" s="2">
        <v>5</v>
      </c>
      <c r="V2037" s="2">
        <v>44</v>
      </c>
      <c r="W2037" s="2">
        <v>3</v>
      </c>
      <c r="X2037" s="2">
        <v>22</v>
      </c>
      <c r="AA2037" s="3" t="s">
        <v>40</v>
      </c>
      <c r="AB2037" s="2">
        <v>1</v>
      </c>
      <c r="AF2037" s="2">
        <v>35</v>
      </c>
      <c r="AG2037" s="2">
        <v>2</v>
      </c>
      <c r="AH2037" s="3" t="s">
        <v>2063</v>
      </c>
      <c r="AI2037" s="4">
        <v>45110</v>
      </c>
      <c r="AJ2037" s="3" t="s">
        <v>2150</v>
      </c>
      <c r="AK2037" s="3" t="s">
        <v>248</v>
      </c>
    </row>
    <row r="2038" spans="1:37" hidden="1" x14ac:dyDescent="0.25">
      <c r="A2038" t="str">
        <f t="shared" si="31"/>
        <v>2023_Qld_Gatton_Chickpea_DetailedTOS2VarietyStrikerWaterTrtRainFed</v>
      </c>
      <c r="B2038" s="2">
        <v>2023022</v>
      </c>
      <c r="C2038" s="3" t="s">
        <v>2062</v>
      </c>
      <c r="D2038" s="3" t="s">
        <v>248</v>
      </c>
      <c r="F2038" s="3" t="s">
        <v>4179</v>
      </c>
      <c r="G2038" s="3" t="s">
        <v>43</v>
      </c>
      <c r="H2038" s="3" t="s">
        <v>253</v>
      </c>
      <c r="I2038" s="2">
        <v>87</v>
      </c>
      <c r="J2038" s="2">
        <v>44</v>
      </c>
      <c r="K2038" s="2">
        <v>3</v>
      </c>
      <c r="O2038" s="2">
        <v>11</v>
      </c>
      <c r="U2038" s="2">
        <v>6</v>
      </c>
      <c r="V2038" s="2">
        <v>43</v>
      </c>
      <c r="W2038" s="2">
        <v>4</v>
      </c>
      <c r="X2038" s="2">
        <v>21</v>
      </c>
      <c r="Z2038" s="2">
        <v>44</v>
      </c>
      <c r="AA2038" s="3" t="s">
        <v>40</v>
      </c>
      <c r="AB2038" s="2">
        <v>4</v>
      </c>
      <c r="AF2038" s="2">
        <v>35</v>
      </c>
      <c r="AG2038" s="2">
        <v>2</v>
      </c>
      <c r="AH2038" s="3" t="s">
        <v>2063</v>
      </c>
      <c r="AI2038" s="4">
        <v>45110</v>
      </c>
      <c r="AJ2038" s="3" t="s">
        <v>2151</v>
      </c>
      <c r="AK2038" s="3" t="s">
        <v>248</v>
      </c>
    </row>
    <row r="2039" spans="1:37" hidden="1" x14ac:dyDescent="0.25">
      <c r="A2039" t="str">
        <f t="shared" si="31"/>
        <v>2023_Qld_Gatton_Chickpea_DetailedTOS2VarietyStrikerWaterTrtRainFed</v>
      </c>
      <c r="B2039" s="2">
        <v>2023022</v>
      </c>
      <c r="C2039" s="3" t="s">
        <v>2062</v>
      </c>
      <c r="D2039" s="3" t="s">
        <v>248</v>
      </c>
      <c r="F2039" s="3" t="s">
        <v>4179</v>
      </c>
      <c r="G2039" s="3" t="s">
        <v>43</v>
      </c>
      <c r="H2039" s="3" t="s">
        <v>250</v>
      </c>
      <c r="I2039" s="2">
        <v>88</v>
      </c>
      <c r="J2039" s="2">
        <v>44</v>
      </c>
      <c r="K2039" s="2">
        <v>3</v>
      </c>
      <c r="O2039" s="2">
        <v>11</v>
      </c>
      <c r="U2039" s="2">
        <v>6</v>
      </c>
      <c r="V2039" s="2">
        <v>44</v>
      </c>
      <c r="W2039" s="2">
        <v>4</v>
      </c>
      <c r="X2039" s="2">
        <v>22</v>
      </c>
      <c r="AA2039" s="3" t="s">
        <v>40</v>
      </c>
      <c r="AB2039" s="2">
        <v>4</v>
      </c>
      <c r="AF2039" s="2">
        <v>35</v>
      </c>
      <c r="AG2039" s="2">
        <v>2</v>
      </c>
      <c r="AH2039" s="3" t="s">
        <v>2063</v>
      </c>
      <c r="AI2039" s="4">
        <v>45110</v>
      </c>
      <c r="AJ2039" s="3" t="s">
        <v>2152</v>
      </c>
      <c r="AK2039" s="3" t="s">
        <v>248</v>
      </c>
    </row>
    <row r="2040" spans="1:37" hidden="1" x14ac:dyDescent="0.25">
      <c r="A2040" t="str">
        <f t="shared" si="31"/>
        <v>2023_Qld_Gatton_Chickpea_DetailedTOS1VarietyStrikerWaterTrtIrrigated</v>
      </c>
      <c r="B2040" s="2">
        <v>2023022</v>
      </c>
      <c r="C2040" s="3" t="s">
        <v>2062</v>
      </c>
      <c r="D2040" s="3" t="s">
        <v>248</v>
      </c>
      <c r="F2040" s="3" t="s">
        <v>4179</v>
      </c>
      <c r="G2040" s="3" t="s">
        <v>43</v>
      </c>
      <c r="H2040" s="3" t="s">
        <v>250</v>
      </c>
      <c r="I2040" s="2">
        <v>89</v>
      </c>
      <c r="J2040" s="2">
        <v>45</v>
      </c>
      <c r="K2040" s="2">
        <v>3</v>
      </c>
      <c r="O2040" s="2">
        <v>12</v>
      </c>
      <c r="U2040" s="2">
        <v>2</v>
      </c>
      <c r="V2040" s="2">
        <v>47</v>
      </c>
      <c r="W2040" s="2">
        <v>1</v>
      </c>
      <c r="X2040" s="2">
        <v>23</v>
      </c>
      <c r="AA2040" s="3" t="s">
        <v>57</v>
      </c>
      <c r="AB2040" s="2">
        <v>4</v>
      </c>
      <c r="AF2040" s="2">
        <v>35</v>
      </c>
      <c r="AG2040" s="2">
        <v>1</v>
      </c>
      <c r="AH2040" s="3" t="s">
        <v>2072</v>
      </c>
      <c r="AI2040" s="4">
        <v>45072</v>
      </c>
      <c r="AJ2040" s="3" t="s">
        <v>2153</v>
      </c>
      <c r="AK2040" s="3" t="s">
        <v>248</v>
      </c>
    </row>
    <row r="2041" spans="1:37" hidden="1" x14ac:dyDescent="0.25">
      <c r="A2041" t="str">
        <f t="shared" si="31"/>
        <v>2023_Qld_Gatton_Chickpea_DetailedTOS1VarietyStrikerWaterTrtIrrigated</v>
      </c>
      <c r="B2041" s="2">
        <v>2023022</v>
      </c>
      <c r="C2041" s="3" t="s">
        <v>2062</v>
      </c>
      <c r="D2041" s="3" t="s">
        <v>248</v>
      </c>
      <c r="F2041" s="3" t="s">
        <v>4179</v>
      </c>
      <c r="G2041" s="3" t="s">
        <v>43</v>
      </c>
      <c r="H2041" s="3" t="s">
        <v>253</v>
      </c>
      <c r="I2041" s="2">
        <v>90</v>
      </c>
      <c r="J2041" s="2">
        <v>45</v>
      </c>
      <c r="K2041" s="2">
        <v>3</v>
      </c>
      <c r="O2041" s="2">
        <v>12</v>
      </c>
      <c r="U2041" s="2">
        <v>2</v>
      </c>
      <c r="V2041" s="2">
        <v>48</v>
      </c>
      <c r="W2041" s="2">
        <v>1</v>
      </c>
      <c r="X2041" s="2">
        <v>24</v>
      </c>
      <c r="Z2041" s="2">
        <v>48</v>
      </c>
      <c r="AA2041" s="3" t="s">
        <v>57</v>
      </c>
      <c r="AB2041" s="2">
        <v>4</v>
      </c>
      <c r="AF2041" s="2">
        <v>35</v>
      </c>
      <c r="AG2041" s="2">
        <v>1</v>
      </c>
      <c r="AH2041" s="3" t="s">
        <v>2072</v>
      </c>
      <c r="AI2041" s="4">
        <v>45072</v>
      </c>
      <c r="AJ2041" s="3" t="s">
        <v>2154</v>
      </c>
      <c r="AK2041" s="3" t="s">
        <v>248</v>
      </c>
    </row>
    <row r="2042" spans="1:37" hidden="1" x14ac:dyDescent="0.25">
      <c r="A2042" t="str">
        <f t="shared" si="31"/>
        <v>2023_Qld_Gatton_Chickpea_DetailedTOS1VarietyCBA_CaptainWaterTrtIrrigated</v>
      </c>
      <c r="B2042" s="2">
        <v>2023022</v>
      </c>
      <c r="C2042" s="3" t="s">
        <v>2062</v>
      </c>
      <c r="D2042" s="3" t="s">
        <v>248</v>
      </c>
      <c r="F2042" s="3" t="s">
        <v>249</v>
      </c>
      <c r="G2042" s="3" t="s">
        <v>43</v>
      </c>
      <c r="H2042" s="3" t="s">
        <v>250</v>
      </c>
      <c r="I2042" s="2">
        <v>91</v>
      </c>
      <c r="J2042" s="2">
        <v>46</v>
      </c>
      <c r="K2042" s="2">
        <v>3</v>
      </c>
      <c r="O2042" s="2">
        <v>12</v>
      </c>
      <c r="U2042" s="2">
        <v>3</v>
      </c>
      <c r="V2042" s="2">
        <v>47</v>
      </c>
      <c r="W2042" s="2">
        <v>2</v>
      </c>
      <c r="X2042" s="2">
        <v>23</v>
      </c>
      <c r="AA2042" s="3" t="s">
        <v>57</v>
      </c>
      <c r="AB2042" s="2">
        <v>1</v>
      </c>
      <c r="AF2042" s="2">
        <v>35</v>
      </c>
      <c r="AG2042" s="2">
        <v>1</v>
      </c>
      <c r="AH2042" s="3" t="s">
        <v>2072</v>
      </c>
      <c r="AI2042" s="4">
        <v>45072</v>
      </c>
      <c r="AJ2042" s="3" t="s">
        <v>2155</v>
      </c>
      <c r="AK2042" s="3" t="s">
        <v>248</v>
      </c>
    </row>
    <row r="2043" spans="1:37" hidden="1" x14ac:dyDescent="0.25">
      <c r="A2043" t="str">
        <f t="shared" si="31"/>
        <v>2023_Qld_Gatton_Chickpea_DetailedTOS1VarietyCBA_CaptainWaterTrtIrrigated</v>
      </c>
      <c r="B2043" s="2">
        <v>2023022</v>
      </c>
      <c r="C2043" s="3" t="s">
        <v>2062</v>
      </c>
      <c r="D2043" s="3" t="s">
        <v>248</v>
      </c>
      <c r="F2043" s="3" t="s">
        <v>249</v>
      </c>
      <c r="G2043" s="3" t="s">
        <v>43</v>
      </c>
      <c r="H2043" s="3" t="s">
        <v>253</v>
      </c>
      <c r="I2043" s="2">
        <v>92</v>
      </c>
      <c r="J2043" s="2">
        <v>46</v>
      </c>
      <c r="K2043" s="2">
        <v>3</v>
      </c>
      <c r="O2043" s="2">
        <v>12</v>
      </c>
      <c r="U2043" s="2">
        <v>3</v>
      </c>
      <c r="V2043" s="2">
        <v>48</v>
      </c>
      <c r="W2043" s="2">
        <v>2</v>
      </c>
      <c r="X2043" s="2">
        <v>24</v>
      </c>
      <c r="Z2043" s="2">
        <v>47</v>
      </c>
      <c r="AA2043" s="3" t="s">
        <v>57</v>
      </c>
      <c r="AB2043" s="2">
        <v>1</v>
      </c>
      <c r="AF2043" s="2">
        <v>35</v>
      </c>
      <c r="AG2043" s="2">
        <v>1</v>
      </c>
      <c r="AH2043" s="3" t="s">
        <v>2072</v>
      </c>
      <c r="AI2043" s="4">
        <v>45072</v>
      </c>
      <c r="AJ2043" s="3" t="s">
        <v>2156</v>
      </c>
      <c r="AK2043" s="3" t="s">
        <v>248</v>
      </c>
    </row>
    <row r="2044" spans="1:37" hidden="1" x14ac:dyDescent="0.25">
      <c r="A2044" t="str">
        <f t="shared" si="31"/>
        <v>2023_Qld_Gatton_Chickpea_DetailedTOS1VarietyHatTrickWaterTrtIrrigated</v>
      </c>
      <c r="B2044" s="2">
        <v>2023022</v>
      </c>
      <c r="C2044" s="3" t="s">
        <v>2062</v>
      </c>
      <c r="D2044" s="3" t="s">
        <v>248</v>
      </c>
      <c r="F2044" s="3" t="s">
        <v>4178</v>
      </c>
      <c r="G2044" s="3" t="s">
        <v>39</v>
      </c>
      <c r="H2044" s="3" t="s">
        <v>250</v>
      </c>
      <c r="I2044" s="2">
        <v>93</v>
      </c>
      <c r="J2044" s="2">
        <v>47</v>
      </c>
      <c r="K2044" s="2">
        <v>3</v>
      </c>
      <c r="O2044" s="2">
        <v>12</v>
      </c>
      <c r="U2044" s="2">
        <v>5</v>
      </c>
      <c r="V2044" s="2">
        <v>47</v>
      </c>
      <c r="W2044" s="2">
        <v>3</v>
      </c>
      <c r="X2044" s="2">
        <v>23</v>
      </c>
      <c r="AA2044" s="3" t="s">
        <v>57</v>
      </c>
      <c r="AB2044" s="2">
        <v>3</v>
      </c>
      <c r="AF2044" s="2">
        <v>35</v>
      </c>
      <c r="AG2044" s="2">
        <v>1</v>
      </c>
      <c r="AH2044" s="3" t="s">
        <v>2072</v>
      </c>
      <c r="AI2044" s="4">
        <v>45072</v>
      </c>
      <c r="AJ2044" s="3" t="s">
        <v>2157</v>
      </c>
      <c r="AK2044" s="3" t="s">
        <v>248</v>
      </c>
    </row>
    <row r="2045" spans="1:37" hidden="1" x14ac:dyDescent="0.25">
      <c r="A2045" t="str">
        <f t="shared" si="31"/>
        <v>2023_Qld_Gatton_Chickpea_DetailedTOS1VarietyHatTrickWaterTrtIrrigated</v>
      </c>
      <c r="B2045" s="2">
        <v>2023022</v>
      </c>
      <c r="C2045" s="3" t="s">
        <v>2062</v>
      </c>
      <c r="D2045" s="3" t="s">
        <v>248</v>
      </c>
      <c r="F2045" s="3" t="s">
        <v>4178</v>
      </c>
      <c r="G2045" s="3" t="s">
        <v>39</v>
      </c>
      <c r="H2045" s="3" t="s">
        <v>253</v>
      </c>
      <c r="I2045" s="2">
        <v>94</v>
      </c>
      <c r="J2045" s="2">
        <v>47</v>
      </c>
      <c r="K2045" s="2">
        <v>3</v>
      </c>
      <c r="O2045" s="2">
        <v>12</v>
      </c>
      <c r="U2045" s="2">
        <v>5</v>
      </c>
      <c r="V2045" s="2">
        <v>48</v>
      </c>
      <c r="W2045" s="2">
        <v>3</v>
      </c>
      <c r="X2045" s="2">
        <v>24</v>
      </c>
      <c r="Z2045" s="2">
        <v>46</v>
      </c>
      <c r="AA2045" s="3" t="s">
        <v>57</v>
      </c>
      <c r="AB2045" s="2">
        <v>3</v>
      </c>
      <c r="AF2045" s="2">
        <v>35</v>
      </c>
      <c r="AG2045" s="2">
        <v>1</v>
      </c>
      <c r="AH2045" s="3" t="s">
        <v>2072</v>
      </c>
      <c r="AI2045" s="4">
        <v>45072</v>
      </c>
      <c r="AJ2045" s="3" t="s">
        <v>2158</v>
      </c>
      <c r="AK2045" s="3" t="s">
        <v>248</v>
      </c>
    </row>
    <row r="2046" spans="1:37" hidden="1" x14ac:dyDescent="0.25">
      <c r="A2046" t="str">
        <f t="shared" si="31"/>
        <v>2023_Qld_Gatton_Chickpea_DetailedTOS1VarietyDrummondWaterTrtIrrigated</v>
      </c>
      <c r="B2046" s="2">
        <v>2023022</v>
      </c>
      <c r="C2046" s="3" t="s">
        <v>2062</v>
      </c>
      <c r="D2046" s="3" t="s">
        <v>248</v>
      </c>
      <c r="F2046" s="3" t="s">
        <v>4182</v>
      </c>
      <c r="G2046" s="3" t="s">
        <v>39</v>
      </c>
      <c r="H2046" s="3" t="s">
        <v>250</v>
      </c>
      <c r="I2046" s="2">
        <v>95</v>
      </c>
      <c r="J2046" s="2">
        <v>48</v>
      </c>
      <c r="K2046" s="2">
        <v>3</v>
      </c>
      <c r="O2046" s="2">
        <v>12</v>
      </c>
      <c r="U2046" s="2">
        <v>6</v>
      </c>
      <c r="V2046" s="2">
        <v>47</v>
      </c>
      <c r="W2046" s="2">
        <v>4</v>
      </c>
      <c r="X2046" s="2">
        <v>23</v>
      </c>
      <c r="AA2046" s="3" t="s">
        <v>57</v>
      </c>
      <c r="AB2046" s="2">
        <v>2</v>
      </c>
      <c r="AF2046" s="2">
        <v>35</v>
      </c>
      <c r="AG2046" s="2">
        <v>1</v>
      </c>
      <c r="AH2046" s="3" t="s">
        <v>2072</v>
      </c>
      <c r="AI2046" s="4">
        <v>45072</v>
      </c>
      <c r="AJ2046" s="3" t="s">
        <v>2159</v>
      </c>
      <c r="AK2046" s="3" t="s">
        <v>248</v>
      </c>
    </row>
    <row r="2047" spans="1:37" hidden="1" x14ac:dyDescent="0.25">
      <c r="A2047" t="str">
        <f t="shared" si="31"/>
        <v>2023_Qld_Gatton_Chickpea_DetailedTOS1VarietyDrummondWaterTrtIrrigated</v>
      </c>
      <c r="B2047" s="2">
        <v>2023022</v>
      </c>
      <c r="C2047" s="3" t="s">
        <v>2062</v>
      </c>
      <c r="D2047" s="3" t="s">
        <v>248</v>
      </c>
      <c r="F2047" s="3" t="s">
        <v>4182</v>
      </c>
      <c r="G2047" s="3" t="s">
        <v>39</v>
      </c>
      <c r="H2047" s="3" t="s">
        <v>253</v>
      </c>
      <c r="I2047" s="2">
        <v>96</v>
      </c>
      <c r="J2047" s="2">
        <v>48</v>
      </c>
      <c r="K2047" s="2">
        <v>3</v>
      </c>
      <c r="O2047" s="2">
        <v>12</v>
      </c>
      <c r="U2047" s="2">
        <v>6</v>
      </c>
      <c r="V2047" s="2">
        <v>48</v>
      </c>
      <c r="W2047" s="2">
        <v>4</v>
      </c>
      <c r="X2047" s="2">
        <v>24</v>
      </c>
      <c r="Z2047" s="2">
        <v>45</v>
      </c>
      <c r="AA2047" s="3" t="s">
        <v>57</v>
      </c>
      <c r="AB2047" s="2">
        <v>2</v>
      </c>
      <c r="AF2047" s="2">
        <v>35</v>
      </c>
      <c r="AG2047" s="2">
        <v>1</v>
      </c>
      <c r="AH2047" s="3" t="s">
        <v>2072</v>
      </c>
      <c r="AI2047" s="4">
        <v>45072</v>
      </c>
      <c r="AJ2047" s="3" t="s">
        <v>2160</v>
      </c>
      <c r="AK2047" s="3" t="s">
        <v>248</v>
      </c>
    </row>
    <row r="2048" spans="1:37" hidden="1" x14ac:dyDescent="0.25">
      <c r="A2048" t="str">
        <f t="shared" si="31"/>
        <v>2023_Qld_Gatton_Chickpea_DetailedTOS1VarietyDrummondWaterTrtRainFed</v>
      </c>
      <c r="B2048" s="2">
        <v>2023022</v>
      </c>
      <c r="C2048" s="3" t="s">
        <v>2062</v>
      </c>
      <c r="D2048" s="3" t="s">
        <v>248</v>
      </c>
      <c r="F2048" s="3" t="s">
        <v>4182</v>
      </c>
      <c r="G2048" s="3" t="s">
        <v>39</v>
      </c>
      <c r="H2048" s="3" t="s">
        <v>253</v>
      </c>
      <c r="I2048" s="2">
        <v>97</v>
      </c>
      <c r="J2048" s="2">
        <v>49</v>
      </c>
      <c r="K2048" s="2">
        <v>4</v>
      </c>
      <c r="O2048" s="2">
        <v>13</v>
      </c>
      <c r="U2048" s="2">
        <v>2</v>
      </c>
      <c r="V2048" s="2">
        <v>51</v>
      </c>
      <c r="W2048" s="2">
        <v>1</v>
      </c>
      <c r="X2048" s="2">
        <v>25</v>
      </c>
      <c r="Z2048" s="2">
        <v>49</v>
      </c>
      <c r="AA2048" s="3" t="s">
        <v>40</v>
      </c>
      <c r="AB2048" s="2">
        <v>2</v>
      </c>
      <c r="AF2048" s="2">
        <v>35</v>
      </c>
      <c r="AG2048" s="2">
        <v>1</v>
      </c>
      <c r="AH2048" s="3" t="s">
        <v>2072</v>
      </c>
      <c r="AI2048" s="4">
        <v>45072</v>
      </c>
      <c r="AJ2048" s="3" t="s">
        <v>2161</v>
      </c>
      <c r="AK2048" s="3" t="s">
        <v>248</v>
      </c>
    </row>
    <row r="2049" spans="1:37" hidden="1" x14ac:dyDescent="0.25">
      <c r="A2049" t="str">
        <f t="shared" si="31"/>
        <v>2023_Qld_Gatton_Chickpea_DetailedTOS1VarietyDrummondWaterTrtRainFed</v>
      </c>
      <c r="B2049" s="2">
        <v>2023022</v>
      </c>
      <c r="C2049" s="3" t="s">
        <v>2062</v>
      </c>
      <c r="D2049" s="3" t="s">
        <v>248</v>
      </c>
      <c r="F2049" s="3" t="s">
        <v>4182</v>
      </c>
      <c r="G2049" s="3" t="s">
        <v>39</v>
      </c>
      <c r="H2049" s="3" t="s">
        <v>250</v>
      </c>
      <c r="I2049" s="2">
        <v>98</v>
      </c>
      <c r="J2049" s="2">
        <v>49</v>
      </c>
      <c r="K2049" s="2">
        <v>4</v>
      </c>
      <c r="O2049" s="2">
        <v>13</v>
      </c>
      <c r="U2049" s="2">
        <v>2</v>
      </c>
      <c r="V2049" s="2">
        <v>52</v>
      </c>
      <c r="W2049" s="2">
        <v>1</v>
      </c>
      <c r="X2049" s="2">
        <v>26</v>
      </c>
      <c r="AA2049" s="3" t="s">
        <v>40</v>
      </c>
      <c r="AB2049" s="2">
        <v>2</v>
      </c>
      <c r="AF2049" s="2">
        <v>35</v>
      </c>
      <c r="AG2049" s="2">
        <v>1</v>
      </c>
      <c r="AH2049" s="3" t="s">
        <v>2072</v>
      </c>
      <c r="AI2049" s="4">
        <v>45072</v>
      </c>
      <c r="AJ2049" s="3" t="s">
        <v>2162</v>
      </c>
      <c r="AK2049" s="3" t="s">
        <v>248</v>
      </c>
    </row>
    <row r="2050" spans="1:37" hidden="1" x14ac:dyDescent="0.25">
      <c r="A2050" t="str">
        <f t="shared" si="31"/>
        <v>2023_Qld_Gatton_Chickpea_DetailedTOS1VarietyHatTrickWaterTrtRainFed</v>
      </c>
      <c r="B2050" s="2">
        <v>2023022</v>
      </c>
      <c r="C2050" s="3" t="s">
        <v>2062</v>
      </c>
      <c r="D2050" s="3" t="s">
        <v>248</v>
      </c>
      <c r="F2050" s="3" t="s">
        <v>4178</v>
      </c>
      <c r="G2050" s="3" t="s">
        <v>39</v>
      </c>
      <c r="H2050" s="3" t="s">
        <v>253</v>
      </c>
      <c r="I2050" s="2">
        <v>99</v>
      </c>
      <c r="J2050" s="2">
        <v>50</v>
      </c>
      <c r="K2050" s="2">
        <v>4</v>
      </c>
      <c r="O2050" s="2">
        <v>13</v>
      </c>
      <c r="U2050" s="2">
        <v>3</v>
      </c>
      <c r="V2050" s="2">
        <v>51</v>
      </c>
      <c r="W2050" s="2">
        <v>2</v>
      </c>
      <c r="X2050" s="2">
        <v>25</v>
      </c>
      <c r="Z2050" s="2">
        <v>50</v>
      </c>
      <c r="AA2050" s="3" t="s">
        <v>40</v>
      </c>
      <c r="AB2050" s="2">
        <v>3</v>
      </c>
      <c r="AF2050" s="2">
        <v>35</v>
      </c>
      <c r="AG2050" s="2">
        <v>1</v>
      </c>
      <c r="AH2050" s="3" t="s">
        <v>2072</v>
      </c>
      <c r="AI2050" s="4">
        <v>45072</v>
      </c>
      <c r="AJ2050" s="3" t="s">
        <v>2163</v>
      </c>
      <c r="AK2050" s="3" t="s">
        <v>248</v>
      </c>
    </row>
    <row r="2051" spans="1:37" hidden="1" x14ac:dyDescent="0.25">
      <c r="A2051" t="str">
        <f t="shared" ref="A2051:A2114" si="32">C2051&amp;"TOS"&amp;AG2051&amp;"Variety"&amp;F2051&amp;"WaterTrt"&amp;AA2051&amp;IF(AC2051="","","Agronomy"&amp;AC2051)</f>
        <v>2023_Qld_Gatton_Chickpea_DetailedTOS1VarietyHatTrickWaterTrtRainFed</v>
      </c>
      <c r="B2051" s="2">
        <v>2023022</v>
      </c>
      <c r="C2051" s="3" t="s">
        <v>2062</v>
      </c>
      <c r="D2051" s="3" t="s">
        <v>248</v>
      </c>
      <c r="F2051" s="3" t="s">
        <v>4178</v>
      </c>
      <c r="G2051" s="3" t="s">
        <v>39</v>
      </c>
      <c r="H2051" s="3" t="s">
        <v>250</v>
      </c>
      <c r="I2051" s="2">
        <v>100</v>
      </c>
      <c r="J2051" s="2">
        <v>50</v>
      </c>
      <c r="K2051" s="2">
        <v>4</v>
      </c>
      <c r="O2051" s="2">
        <v>13</v>
      </c>
      <c r="U2051" s="2">
        <v>3</v>
      </c>
      <c r="V2051" s="2">
        <v>52</v>
      </c>
      <c r="W2051" s="2">
        <v>2</v>
      </c>
      <c r="X2051" s="2">
        <v>26</v>
      </c>
      <c r="AA2051" s="3" t="s">
        <v>40</v>
      </c>
      <c r="AB2051" s="2">
        <v>3</v>
      </c>
      <c r="AF2051" s="2">
        <v>35</v>
      </c>
      <c r="AG2051" s="2">
        <v>1</v>
      </c>
      <c r="AH2051" s="3" t="s">
        <v>2072</v>
      </c>
      <c r="AI2051" s="4">
        <v>45072</v>
      </c>
      <c r="AJ2051" s="3" t="s">
        <v>2164</v>
      </c>
      <c r="AK2051" s="3" t="s">
        <v>248</v>
      </c>
    </row>
    <row r="2052" spans="1:37" hidden="1" x14ac:dyDescent="0.25">
      <c r="A2052" t="str">
        <f t="shared" si="32"/>
        <v>2023_Qld_Gatton_Chickpea_DetailedTOS1VarietyCBA_CaptainWaterTrtRainFed</v>
      </c>
      <c r="B2052" s="2">
        <v>2023022</v>
      </c>
      <c r="C2052" s="3" t="s">
        <v>2062</v>
      </c>
      <c r="D2052" s="3" t="s">
        <v>248</v>
      </c>
      <c r="F2052" s="3" t="s">
        <v>249</v>
      </c>
      <c r="G2052" s="3" t="s">
        <v>43</v>
      </c>
      <c r="H2052" s="3" t="s">
        <v>253</v>
      </c>
      <c r="I2052" s="2">
        <v>101</v>
      </c>
      <c r="J2052" s="2">
        <v>51</v>
      </c>
      <c r="K2052" s="2">
        <v>4</v>
      </c>
      <c r="O2052" s="2">
        <v>13</v>
      </c>
      <c r="U2052" s="2">
        <v>5</v>
      </c>
      <c r="V2052" s="2">
        <v>51</v>
      </c>
      <c r="W2052" s="2">
        <v>3</v>
      </c>
      <c r="X2052" s="2">
        <v>25</v>
      </c>
      <c r="Z2052" s="2">
        <v>51</v>
      </c>
      <c r="AA2052" s="3" t="s">
        <v>40</v>
      </c>
      <c r="AB2052" s="2">
        <v>1</v>
      </c>
      <c r="AF2052" s="2">
        <v>35</v>
      </c>
      <c r="AG2052" s="2">
        <v>1</v>
      </c>
      <c r="AH2052" s="3" t="s">
        <v>2072</v>
      </c>
      <c r="AI2052" s="4">
        <v>45072</v>
      </c>
      <c r="AJ2052" s="3" t="s">
        <v>2165</v>
      </c>
      <c r="AK2052" s="3" t="s">
        <v>248</v>
      </c>
    </row>
    <row r="2053" spans="1:37" hidden="1" x14ac:dyDescent="0.25">
      <c r="A2053" t="str">
        <f t="shared" si="32"/>
        <v>2023_Qld_Gatton_Chickpea_DetailedTOS1VarietyCBA_CaptainWaterTrtRainFed</v>
      </c>
      <c r="B2053" s="2">
        <v>2023022</v>
      </c>
      <c r="C2053" s="3" t="s">
        <v>2062</v>
      </c>
      <c r="D2053" s="3" t="s">
        <v>248</v>
      </c>
      <c r="F2053" s="3" t="s">
        <v>249</v>
      </c>
      <c r="G2053" s="3" t="s">
        <v>43</v>
      </c>
      <c r="H2053" s="3" t="s">
        <v>250</v>
      </c>
      <c r="I2053" s="2">
        <v>102</v>
      </c>
      <c r="J2053" s="2">
        <v>51</v>
      </c>
      <c r="K2053" s="2">
        <v>4</v>
      </c>
      <c r="O2053" s="2">
        <v>13</v>
      </c>
      <c r="U2053" s="2">
        <v>5</v>
      </c>
      <c r="V2053" s="2">
        <v>52</v>
      </c>
      <c r="W2053" s="2">
        <v>3</v>
      </c>
      <c r="X2053" s="2">
        <v>26</v>
      </c>
      <c r="AA2053" s="3" t="s">
        <v>40</v>
      </c>
      <c r="AB2053" s="2">
        <v>1</v>
      </c>
      <c r="AF2053" s="2">
        <v>35</v>
      </c>
      <c r="AG2053" s="2">
        <v>1</v>
      </c>
      <c r="AH2053" s="3" t="s">
        <v>2072</v>
      </c>
      <c r="AI2053" s="4">
        <v>45072</v>
      </c>
      <c r="AJ2053" s="3" t="s">
        <v>2166</v>
      </c>
      <c r="AK2053" s="3" t="s">
        <v>248</v>
      </c>
    </row>
    <row r="2054" spans="1:37" hidden="1" x14ac:dyDescent="0.25">
      <c r="A2054" t="str">
        <f t="shared" si="32"/>
        <v>2023_Qld_Gatton_Chickpea_DetailedTOS1VarietyStrikerWaterTrtRainFed</v>
      </c>
      <c r="B2054" s="2">
        <v>2023022</v>
      </c>
      <c r="C2054" s="3" t="s">
        <v>2062</v>
      </c>
      <c r="D2054" s="3" t="s">
        <v>248</v>
      </c>
      <c r="F2054" s="3" t="s">
        <v>4179</v>
      </c>
      <c r="G2054" s="3" t="s">
        <v>43</v>
      </c>
      <c r="H2054" s="3" t="s">
        <v>253</v>
      </c>
      <c r="I2054" s="2">
        <v>103</v>
      </c>
      <c r="J2054" s="2">
        <v>52</v>
      </c>
      <c r="K2054" s="2">
        <v>4</v>
      </c>
      <c r="O2054" s="2">
        <v>13</v>
      </c>
      <c r="U2054" s="2">
        <v>6</v>
      </c>
      <c r="V2054" s="2">
        <v>51</v>
      </c>
      <c r="W2054" s="2">
        <v>4</v>
      </c>
      <c r="X2054" s="2">
        <v>25</v>
      </c>
      <c r="Z2054" s="2">
        <v>52</v>
      </c>
      <c r="AA2054" s="3" t="s">
        <v>40</v>
      </c>
      <c r="AB2054" s="2">
        <v>4</v>
      </c>
      <c r="AF2054" s="2">
        <v>35</v>
      </c>
      <c r="AG2054" s="2">
        <v>1</v>
      </c>
      <c r="AH2054" s="3" t="s">
        <v>2072</v>
      </c>
      <c r="AI2054" s="4">
        <v>45072</v>
      </c>
      <c r="AJ2054" s="3" t="s">
        <v>2167</v>
      </c>
      <c r="AK2054" s="3" t="s">
        <v>248</v>
      </c>
    </row>
    <row r="2055" spans="1:37" hidden="1" x14ac:dyDescent="0.25">
      <c r="A2055" t="str">
        <f t="shared" si="32"/>
        <v>2023_Qld_Gatton_Chickpea_DetailedTOS1VarietyStrikerWaterTrtRainFed</v>
      </c>
      <c r="B2055" s="2">
        <v>2023022</v>
      </c>
      <c r="C2055" s="3" t="s">
        <v>2062</v>
      </c>
      <c r="D2055" s="3" t="s">
        <v>248</v>
      </c>
      <c r="F2055" s="3" t="s">
        <v>4179</v>
      </c>
      <c r="G2055" s="3" t="s">
        <v>43</v>
      </c>
      <c r="H2055" s="3" t="s">
        <v>250</v>
      </c>
      <c r="I2055" s="2">
        <v>104</v>
      </c>
      <c r="J2055" s="2">
        <v>52</v>
      </c>
      <c r="K2055" s="2">
        <v>4</v>
      </c>
      <c r="O2055" s="2">
        <v>13</v>
      </c>
      <c r="U2055" s="2">
        <v>6</v>
      </c>
      <c r="V2055" s="2">
        <v>52</v>
      </c>
      <c r="W2055" s="2">
        <v>4</v>
      </c>
      <c r="X2055" s="2">
        <v>26</v>
      </c>
      <c r="AA2055" s="3" t="s">
        <v>40</v>
      </c>
      <c r="AB2055" s="2">
        <v>4</v>
      </c>
      <c r="AF2055" s="2">
        <v>35</v>
      </c>
      <c r="AG2055" s="2">
        <v>1</v>
      </c>
      <c r="AH2055" s="3" t="s">
        <v>2072</v>
      </c>
      <c r="AI2055" s="4">
        <v>45072</v>
      </c>
      <c r="AJ2055" s="3" t="s">
        <v>2168</v>
      </c>
      <c r="AK2055" s="3" t="s">
        <v>248</v>
      </c>
    </row>
    <row r="2056" spans="1:37" hidden="1" x14ac:dyDescent="0.25">
      <c r="A2056" t="str">
        <f t="shared" si="32"/>
        <v>2023_Qld_Gatton_Chickpea_DetailedTOS2VarietyStrikerWaterTrtRainFed</v>
      </c>
      <c r="B2056" s="2">
        <v>2023022</v>
      </c>
      <c r="C2056" s="3" t="s">
        <v>2062</v>
      </c>
      <c r="D2056" s="3" t="s">
        <v>248</v>
      </c>
      <c r="F2056" s="3" t="s">
        <v>4179</v>
      </c>
      <c r="G2056" s="3" t="s">
        <v>43</v>
      </c>
      <c r="H2056" s="3" t="s">
        <v>253</v>
      </c>
      <c r="I2056" s="2">
        <v>105</v>
      </c>
      <c r="J2056" s="2">
        <v>53</v>
      </c>
      <c r="K2056" s="2">
        <v>4</v>
      </c>
      <c r="O2056" s="2">
        <v>14</v>
      </c>
      <c r="U2056" s="2">
        <v>2</v>
      </c>
      <c r="V2056" s="2">
        <v>55</v>
      </c>
      <c r="W2056" s="2">
        <v>1</v>
      </c>
      <c r="X2056" s="2">
        <v>27</v>
      </c>
      <c r="Z2056" s="2">
        <v>56</v>
      </c>
      <c r="AA2056" s="3" t="s">
        <v>40</v>
      </c>
      <c r="AB2056" s="2">
        <v>4</v>
      </c>
      <c r="AF2056" s="2">
        <v>35</v>
      </c>
      <c r="AG2056" s="2">
        <v>2</v>
      </c>
      <c r="AH2056" s="3" t="s">
        <v>2063</v>
      </c>
      <c r="AI2056" s="4">
        <v>45110</v>
      </c>
      <c r="AJ2056" s="3" t="s">
        <v>2169</v>
      </c>
      <c r="AK2056" s="3" t="s">
        <v>248</v>
      </c>
    </row>
    <row r="2057" spans="1:37" hidden="1" x14ac:dyDescent="0.25">
      <c r="A2057" t="str">
        <f t="shared" si="32"/>
        <v>2023_Qld_Gatton_Chickpea_DetailedTOS2VarietyStrikerWaterTrtRainFed</v>
      </c>
      <c r="B2057" s="2">
        <v>2023022</v>
      </c>
      <c r="C2057" s="3" t="s">
        <v>2062</v>
      </c>
      <c r="D2057" s="3" t="s">
        <v>248</v>
      </c>
      <c r="F2057" s="3" t="s">
        <v>4179</v>
      </c>
      <c r="G2057" s="3" t="s">
        <v>43</v>
      </c>
      <c r="H2057" s="3" t="s">
        <v>250</v>
      </c>
      <c r="I2057" s="2">
        <v>106</v>
      </c>
      <c r="J2057" s="2">
        <v>53</v>
      </c>
      <c r="K2057" s="2">
        <v>4</v>
      </c>
      <c r="O2057" s="2">
        <v>14</v>
      </c>
      <c r="U2057" s="2">
        <v>2</v>
      </c>
      <c r="V2057" s="2">
        <v>56</v>
      </c>
      <c r="W2057" s="2">
        <v>1</v>
      </c>
      <c r="X2057" s="2">
        <v>28</v>
      </c>
      <c r="AA2057" s="3" t="s">
        <v>40</v>
      </c>
      <c r="AB2057" s="2">
        <v>4</v>
      </c>
      <c r="AF2057" s="2">
        <v>35</v>
      </c>
      <c r="AG2057" s="2">
        <v>2</v>
      </c>
      <c r="AH2057" s="3" t="s">
        <v>2063</v>
      </c>
      <c r="AI2057" s="4">
        <v>45110</v>
      </c>
      <c r="AJ2057" s="3" t="s">
        <v>2170</v>
      </c>
      <c r="AK2057" s="3" t="s">
        <v>248</v>
      </c>
    </row>
    <row r="2058" spans="1:37" hidden="1" x14ac:dyDescent="0.25">
      <c r="A2058" t="str">
        <f t="shared" si="32"/>
        <v>2023_Qld_Gatton_Chickpea_DetailedTOS2VarietyCBA_CaptainWaterTrtRainFed</v>
      </c>
      <c r="B2058" s="2">
        <v>2023022</v>
      </c>
      <c r="C2058" s="3" t="s">
        <v>2062</v>
      </c>
      <c r="D2058" s="3" t="s">
        <v>248</v>
      </c>
      <c r="F2058" s="3" t="s">
        <v>249</v>
      </c>
      <c r="G2058" s="3" t="s">
        <v>43</v>
      </c>
      <c r="H2058" s="3" t="s">
        <v>253</v>
      </c>
      <c r="I2058" s="2">
        <v>107</v>
      </c>
      <c r="J2058" s="2">
        <v>54</v>
      </c>
      <c r="K2058" s="2">
        <v>4</v>
      </c>
      <c r="O2058" s="2">
        <v>14</v>
      </c>
      <c r="U2058" s="2">
        <v>3</v>
      </c>
      <c r="V2058" s="2">
        <v>55</v>
      </c>
      <c r="W2058" s="2">
        <v>2</v>
      </c>
      <c r="X2058" s="2">
        <v>27</v>
      </c>
      <c r="Z2058" s="2">
        <v>55</v>
      </c>
      <c r="AA2058" s="3" t="s">
        <v>40</v>
      </c>
      <c r="AB2058" s="2">
        <v>1</v>
      </c>
      <c r="AF2058" s="2">
        <v>35</v>
      </c>
      <c r="AG2058" s="2">
        <v>2</v>
      </c>
      <c r="AH2058" s="3" t="s">
        <v>2063</v>
      </c>
      <c r="AI2058" s="4">
        <v>45110</v>
      </c>
      <c r="AJ2058" s="3" t="s">
        <v>2171</v>
      </c>
      <c r="AK2058" s="3" t="s">
        <v>248</v>
      </c>
    </row>
    <row r="2059" spans="1:37" hidden="1" x14ac:dyDescent="0.25">
      <c r="A2059" t="str">
        <f t="shared" si="32"/>
        <v>2023_Qld_Gatton_Chickpea_DetailedTOS2VarietyCBA_CaptainWaterTrtRainFed</v>
      </c>
      <c r="B2059" s="2">
        <v>2023022</v>
      </c>
      <c r="C2059" s="3" t="s">
        <v>2062</v>
      </c>
      <c r="D2059" s="3" t="s">
        <v>248</v>
      </c>
      <c r="F2059" s="3" t="s">
        <v>249</v>
      </c>
      <c r="G2059" s="3" t="s">
        <v>43</v>
      </c>
      <c r="H2059" s="3" t="s">
        <v>250</v>
      </c>
      <c r="I2059" s="2">
        <v>108</v>
      </c>
      <c r="J2059" s="2">
        <v>54</v>
      </c>
      <c r="K2059" s="2">
        <v>4</v>
      </c>
      <c r="O2059" s="2">
        <v>14</v>
      </c>
      <c r="U2059" s="2">
        <v>3</v>
      </c>
      <c r="V2059" s="2">
        <v>56</v>
      </c>
      <c r="W2059" s="2">
        <v>2</v>
      </c>
      <c r="X2059" s="2">
        <v>28</v>
      </c>
      <c r="AA2059" s="3" t="s">
        <v>40</v>
      </c>
      <c r="AB2059" s="2">
        <v>1</v>
      </c>
      <c r="AF2059" s="2">
        <v>35</v>
      </c>
      <c r="AG2059" s="2">
        <v>2</v>
      </c>
      <c r="AH2059" s="3" t="s">
        <v>2063</v>
      </c>
      <c r="AI2059" s="4">
        <v>45110</v>
      </c>
      <c r="AJ2059" s="3" t="s">
        <v>2172</v>
      </c>
      <c r="AK2059" s="3" t="s">
        <v>248</v>
      </c>
    </row>
    <row r="2060" spans="1:37" hidden="1" x14ac:dyDescent="0.25">
      <c r="A2060" t="str">
        <f t="shared" si="32"/>
        <v>2023_Qld_Gatton_Chickpea_DetailedTOS2VarietyHatTrickWaterTrtRainFed</v>
      </c>
      <c r="B2060" s="2">
        <v>2023022</v>
      </c>
      <c r="C2060" s="3" t="s">
        <v>2062</v>
      </c>
      <c r="D2060" s="3" t="s">
        <v>248</v>
      </c>
      <c r="F2060" s="3" t="s">
        <v>4178</v>
      </c>
      <c r="G2060" s="3" t="s">
        <v>39</v>
      </c>
      <c r="H2060" s="3" t="s">
        <v>253</v>
      </c>
      <c r="I2060" s="2">
        <v>109</v>
      </c>
      <c r="J2060" s="2">
        <v>55</v>
      </c>
      <c r="K2060" s="2">
        <v>4</v>
      </c>
      <c r="O2060" s="2">
        <v>14</v>
      </c>
      <c r="U2060" s="2">
        <v>5</v>
      </c>
      <c r="V2060" s="2">
        <v>55</v>
      </c>
      <c r="W2060" s="2">
        <v>3</v>
      </c>
      <c r="X2060" s="2">
        <v>27</v>
      </c>
      <c r="Z2060" s="2">
        <v>54</v>
      </c>
      <c r="AA2060" s="3" t="s">
        <v>40</v>
      </c>
      <c r="AB2060" s="2">
        <v>3</v>
      </c>
      <c r="AF2060" s="2">
        <v>35</v>
      </c>
      <c r="AG2060" s="2">
        <v>2</v>
      </c>
      <c r="AH2060" s="3" t="s">
        <v>2063</v>
      </c>
      <c r="AI2060" s="4">
        <v>45110</v>
      </c>
      <c r="AJ2060" s="3" t="s">
        <v>2173</v>
      </c>
      <c r="AK2060" s="3" t="s">
        <v>248</v>
      </c>
    </row>
    <row r="2061" spans="1:37" hidden="1" x14ac:dyDescent="0.25">
      <c r="A2061" t="str">
        <f t="shared" si="32"/>
        <v>2023_Qld_Gatton_Chickpea_DetailedTOS2VarietyHatTrickWaterTrtRainFed</v>
      </c>
      <c r="B2061" s="2">
        <v>2023022</v>
      </c>
      <c r="C2061" s="3" t="s">
        <v>2062</v>
      </c>
      <c r="D2061" s="3" t="s">
        <v>248</v>
      </c>
      <c r="F2061" s="3" t="s">
        <v>4178</v>
      </c>
      <c r="G2061" s="3" t="s">
        <v>39</v>
      </c>
      <c r="H2061" s="3" t="s">
        <v>250</v>
      </c>
      <c r="I2061" s="2">
        <v>110</v>
      </c>
      <c r="J2061" s="2">
        <v>55</v>
      </c>
      <c r="K2061" s="2">
        <v>4</v>
      </c>
      <c r="O2061" s="2">
        <v>14</v>
      </c>
      <c r="U2061" s="2">
        <v>5</v>
      </c>
      <c r="V2061" s="2">
        <v>56</v>
      </c>
      <c r="W2061" s="2">
        <v>3</v>
      </c>
      <c r="X2061" s="2">
        <v>28</v>
      </c>
      <c r="AA2061" s="3" t="s">
        <v>40</v>
      </c>
      <c r="AB2061" s="2">
        <v>3</v>
      </c>
      <c r="AF2061" s="2">
        <v>35</v>
      </c>
      <c r="AG2061" s="2">
        <v>2</v>
      </c>
      <c r="AH2061" s="3" t="s">
        <v>2063</v>
      </c>
      <c r="AI2061" s="4">
        <v>45110</v>
      </c>
      <c r="AJ2061" s="3" t="s">
        <v>2174</v>
      </c>
      <c r="AK2061" s="3" t="s">
        <v>248</v>
      </c>
    </row>
    <row r="2062" spans="1:37" hidden="1" x14ac:dyDescent="0.25">
      <c r="A2062" t="str">
        <f t="shared" si="32"/>
        <v>2023_Qld_Gatton_Chickpea_DetailedTOS2VarietyDrummondWaterTrtRainFed</v>
      </c>
      <c r="B2062" s="2">
        <v>2023022</v>
      </c>
      <c r="C2062" s="3" t="s">
        <v>2062</v>
      </c>
      <c r="D2062" s="3" t="s">
        <v>248</v>
      </c>
      <c r="F2062" s="3" t="s">
        <v>4182</v>
      </c>
      <c r="G2062" s="3" t="s">
        <v>39</v>
      </c>
      <c r="H2062" s="3" t="s">
        <v>253</v>
      </c>
      <c r="I2062" s="2">
        <v>111</v>
      </c>
      <c r="J2062" s="2">
        <v>56</v>
      </c>
      <c r="K2062" s="2">
        <v>4</v>
      </c>
      <c r="O2062" s="2">
        <v>14</v>
      </c>
      <c r="U2062" s="2">
        <v>6</v>
      </c>
      <c r="V2062" s="2">
        <v>55</v>
      </c>
      <c r="W2062" s="2">
        <v>4</v>
      </c>
      <c r="X2062" s="2">
        <v>27</v>
      </c>
      <c r="Z2062" s="2">
        <v>53</v>
      </c>
      <c r="AA2062" s="3" t="s">
        <v>40</v>
      </c>
      <c r="AB2062" s="2">
        <v>2</v>
      </c>
      <c r="AF2062" s="2">
        <v>35</v>
      </c>
      <c r="AG2062" s="2">
        <v>2</v>
      </c>
      <c r="AH2062" s="3" t="s">
        <v>2063</v>
      </c>
      <c r="AI2062" s="4">
        <v>45110</v>
      </c>
      <c r="AJ2062" s="3" t="s">
        <v>2175</v>
      </c>
      <c r="AK2062" s="3" t="s">
        <v>248</v>
      </c>
    </row>
    <row r="2063" spans="1:37" hidden="1" x14ac:dyDescent="0.25">
      <c r="A2063" t="str">
        <f t="shared" si="32"/>
        <v>2023_Qld_Gatton_Chickpea_DetailedTOS2VarietyDrummondWaterTrtRainFed</v>
      </c>
      <c r="B2063" s="2">
        <v>2023022</v>
      </c>
      <c r="C2063" s="3" t="s">
        <v>2062</v>
      </c>
      <c r="D2063" s="3" t="s">
        <v>248</v>
      </c>
      <c r="F2063" s="3" t="s">
        <v>4182</v>
      </c>
      <c r="G2063" s="3" t="s">
        <v>39</v>
      </c>
      <c r="H2063" s="3" t="s">
        <v>250</v>
      </c>
      <c r="I2063" s="2">
        <v>112</v>
      </c>
      <c r="J2063" s="2">
        <v>56</v>
      </c>
      <c r="K2063" s="2">
        <v>4</v>
      </c>
      <c r="O2063" s="2">
        <v>14</v>
      </c>
      <c r="U2063" s="2">
        <v>6</v>
      </c>
      <c r="V2063" s="2">
        <v>56</v>
      </c>
      <c r="W2063" s="2">
        <v>4</v>
      </c>
      <c r="X2063" s="2">
        <v>28</v>
      </c>
      <c r="AA2063" s="3" t="s">
        <v>40</v>
      </c>
      <c r="AB2063" s="2">
        <v>2</v>
      </c>
      <c r="AF2063" s="2">
        <v>35</v>
      </c>
      <c r="AG2063" s="2">
        <v>2</v>
      </c>
      <c r="AH2063" s="3" t="s">
        <v>2063</v>
      </c>
      <c r="AI2063" s="4">
        <v>45110</v>
      </c>
      <c r="AJ2063" s="3" t="s">
        <v>2176</v>
      </c>
      <c r="AK2063" s="3" t="s">
        <v>248</v>
      </c>
    </row>
    <row r="2064" spans="1:37" hidden="1" x14ac:dyDescent="0.25">
      <c r="A2064" t="str">
        <f t="shared" si="32"/>
        <v>2023_Qld_Gatton_Chickpea_DetailedTOS1VarietyHatTrickWaterTrtIrrigated</v>
      </c>
      <c r="B2064" s="2">
        <v>2023022</v>
      </c>
      <c r="C2064" s="3" t="s">
        <v>2062</v>
      </c>
      <c r="D2064" s="3" t="s">
        <v>248</v>
      </c>
      <c r="F2064" s="3" t="s">
        <v>4178</v>
      </c>
      <c r="G2064" s="3" t="s">
        <v>39</v>
      </c>
      <c r="H2064" s="3" t="s">
        <v>253</v>
      </c>
      <c r="I2064" s="2">
        <v>113</v>
      </c>
      <c r="J2064" s="2">
        <v>57</v>
      </c>
      <c r="K2064" s="2">
        <v>4</v>
      </c>
      <c r="O2064" s="2">
        <v>15</v>
      </c>
      <c r="U2064" s="2">
        <v>2</v>
      </c>
      <c r="V2064" s="2">
        <v>59</v>
      </c>
      <c r="W2064" s="2">
        <v>1</v>
      </c>
      <c r="X2064" s="2">
        <v>29</v>
      </c>
      <c r="Z2064" s="2">
        <v>57</v>
      </c>
      <c r="AA2064" s="3" t="s">
        <v>57</v>
      </c>
      <c r="AB2064" s="2">
        <v>3</v>
      </c>
      <c r="AF2064" s="2">
        <v>35</v>
      </c>
      <c r="AG2064" s="2">
        <v>1</v>
      </c>
      <c r="AH2064" s="3" t="s">
        <v>2072</v>
      </c>
      <c r="AI2064" s="4">
        <v>45072</v>
      </c>
      <c r="AJ2064" s="3" t="s">
        <v>2177</v>
      </c>
      <c r="AK2064" s="3" t="s">
        <v>248</v>
      </c>
    </row>
    <row r="2065" spans="1:37" hidden="1" x14ac:dyDescent="0.25">
      <c r="A2065" t="str">
        <f t="shared" si="32"/>
        <v>2023_Qld_Gatton_Chickpea_DetailedTOS1VarietyHatTrickWaterTrtIrrigated</v>
      </c>
      <c r="B2065" s="2">
        <v>2023022</v>
      </c>
      <c r="C2065" s="3" t="s">
        <v>2062</v>
      </c>
      <c r="D2065" s="3" t="s">
        <v>248</v>
      </c>
      <c r="F2065" s="3" t="s">
        <v>4178</v>
      </c>
      <c r="G2065" s="3" t="s">
        <v>39</v>
      </c>
      <c r="H2065" s="3" t="s">
        <v>250</v>
      </c>
      <c r="I2065" s="2">
        <v>114</v>
      </c>
      <c r="J2065" s="2">
        <v>57</v>
      </c>
      <c r="K2065" s="2">
        <v>4</v>
      </c>
      <c r="O2065" s="2">
        <v>15</v>
      </c>
      <c r="U2065" s="2">
        <v>2</v>
      </c>
      <c r="V2065" s="2">
        <v>60</v>
      </c>
      <c r="W2065" s="2">
        <v>1</v>
      </c>
      <c r="X2065" s="2">
        <v>30</v>
      </c>
      <c r="AA2065" s="3" t="s">
        <v>57</v>
      </c>
      <c r="AB2065" s="2">
        <v>3</v>
      </c>
      <c r="AF2065" s="2">
        <v>35</v>
      </c>
      <c r="AG2065" s="2">
        <v>1</v>
      </c>
      <c r="AH2065" s="3" t="s">
        <v>2072</v>
      </c>
      <c r="AI2065" s="4">
        <v>45072</v>
      </c>
      <c r="AJ2065" s="3" t="s">
        <v>2178</v>
      </c>
      <c r="AK2065" s="3" t="s">
        <v>248</v>
      </c>
    </row>
    <row r="2066" spans="1:37" hidden="1" x14ac:dyDescent="0.25">
      <c r="A2066" t="str">
        <f t="shared" si="32"/>
        <v>2023_Qld_Gatton_Chickpea_DetailedTOS1VarietyStrikerWaterTrtIrrigated</v>
      </c>
      <c r="B2066" s="2">
        <v>2023022</v>
      </c>
      <c r="C2066" s="3" t="s">
        <v>2062</v>
      </c>
      <c r="D2066" s="3" t="s">
        <v>248</v>
      </c>
      <c r="F2066" s="3" t="s">
        <v>4179</v>
      </c>
      <c r="G2066" s="3" t="s">
        <v>43</v>
      </c>
      <c r="H2066" s="3" t="s">
        <v>253</v>
      </c>
      <c r="I2066" s="2">
        <v>115</v>
      </c>
      <c r="J2066" s="2">
        <v>58</v>
      </c>
      <c r="K2066" s="2">
        <v>4</v>
      </c>
      <c r="O2066" s="2">
        <v>15</v>
      </c>
      <c r="U2066" s="2">
        <v>3</v>
      </c>
      <c r="V2066" s="2">
        <v>59</v>
      </c>
      <c r="W2066" s="2">
        <v>2</v>
      </c>
      <c r="X2066" s="2">
        <v>29</v>
      </c>
      <c r="Z2066" s="2">
        <v>58</v>
      </c>
      <c r="AA2066" s="3" t="s">
        <v>57</v>
      </c>
      <c r="AB2066" s="2">
        <v>4</v>
      </c>
      <c r="AF2066" s="2">
        <v>35</v>
      </c>
      <c r="AG2066" s="2">
        <v>1</v>
      </c>
      <c r="AH2066" s="3" t="s">
        <v>2072</v>
      </c>
      <c r="AI2066" s="4">
        <v>45072</v>
      </c>
      <c r="AJ2066" s="3" t="s">
        <v>2179</v>
      </c>
      <c r="AK2066" s="3" t="s">
        <v>248</v>
      </c>
    </row>
    <row r="2067" spans="1:37" hidden="1" x14ac:dyDescent="0.25">
      <c r="A2067" t="str">
        <f t="shared" si="32"/>
        <v>2023_Qld_Gatton_Chickpea_DetailedTOS1VarietyStrikerWaterTrtIrrigated</v>
      </c>
      <c r="B2067" s="2">
        <v>2023022</v>
      </c>
      <c r="C2067" s="3" t="s">
        <v>2062</v>
      </c>
      <c r="D2067" s="3" t="s">
        <v>248</v>
      </c>
      <c r="F2067" s="3" t="s">
        <v>4179</v>
      </c>
      <c r="G2067" s="3" t="s">
        <v>43</v>
      </c>
      <c r="H2067" s="3" t="s">
        <v>250</v>
      </c>
      <c r="I2067" s="2">
        <v>116</v>
      </c>
      <c r="J2067" s="2">
        <v>58</v>
      </c>
      <c r="K2067" s="2">
        <v>4</v>
      </c>
      <c r="O2067" s="2">
        <v>15</v>
      </c>
      <c r="U2067" s="2">
        <v>3</v>
      </c>
      <c r="V2067" s="2">
        <v>60</v>
      </c>
      <c r="W2067" s="2">
        <v>2</v>
      </c>
      <c r="X2067" s="2">
        <v>30</v>
      </c>
      <c r="AA2067" s="3" t="s">
        <v>57</v>
      </c>
      <c r="AB2067" s="2">
        <v>4</v>
      </c>
      <c r="AF2067" s="2">
        <v>35</v>
      </c>
      <c r="AG2067" s="2">
        <v>1</v>
      </c>
      <c r="AH2067" s="3" t="s">
        <v>2072</v>
      </c>
      <c r="AI2067" s="4">
        <v>45072</v>
      </c>
      <c r="AJ2067" s="3" t="s">
        <v>2180</v>
      </c>
      <c r="AK2067" s="3" t="s">
        <v>248</v>
      </c>
    </row>
    <row r="2068" spans="1:37" hidden="1" x14ac:dyDescent="0.25">
      <c r="A2068" t="str">
        <f t="shared" si="32"/>
        <v>2023_Qld_Gatton_Chickpea_DetailedTOS1VarietyDrummondWaterTrtIrrigated</v>
      </c>
      <c r="B2068" s="2">
        <v>2023022</v>
      </c>
      <c r="C2068" s="3" t="s">
        <v>2062</v>
      </c>
      <c r="D2068" s="3" t="s">
        <v>248</v>
      </c>
      <c r="F2068" s="3" t="s">
        <v>4182</v>
      </c>
      <c r="G2068" s="3" t="s">
        <v>39</v>
      </c>
      <c r="H2068" s="3" t="s">
        <v>253</v>
      </c>
      <c r="I2068" s="2">
        <v>117</v>
      </c>
      <c r="J2068" s="2">
        <v>59</v>
      </c>
      <c r="K2068" s="2">
        <v>4</v>
      </c>
      <c r="O2068" s="2">
        <v>15</v>
      </c>
      <c r="U2068" s="2">
        <v>5</v>
      </c>
      <c r="V2068" s="2">
        <v>59</v>
      </c>
      <c r="W2068" s="2">
        <v>3</v>
      </c>
      <c r="X2068" s="2">
        <v>29</v>
      </c>
      <c r="Z2068" s="2">
        <v>59</v>
      </c>
      <c r="AA2068" s="3" t="s">
        <v>57</v>
      </c>
      <c r="AB2068" s="2">
        <v>2</v>
      </c>
      <c r="AF2068" s="2">
        <v>35</v>
      </c>
      <c r="AG2068" s="2">
        <v>1</v>
      </c>
      <c r="AH2068" s="3" t="s">
        <v>2072</v>
      </c>
      <c r="AI2068" s="4">
        <v>45072</v>
      </c>
      <c r="AJ2068" s="3" t="s">
        <v>2181</v>
      </c>
      <c r="AK2068" s="3" t="s">
        <v>248</v>
      </c>
    </row>
    <row r="2069" spans="1:37" hidden="1" x14ac:dyDescent="0.25">
      <c r="A2069" t="str">
        <f t="shared" si="32"/>
        <v>2023_Qld_Gatton_Chickpea_DetailedTOS1VarietyDrummondWaterTrtIrrigated</v>
      </c>
      <c r="B2069" s="2">
        <v>2023022</v>
      </c>
      <c r="C2069" s="3" t="s">
        <v>2062</v>
      </c>
      <c r="D2069" s="3" t="s">
        <v>248</v>
      </c>
      <c r="F2069" s="3" t="s">
        <v>4182</v>
      </c>
      <c r="G2069" s="3" t="s">
        <v>39</v>
      </c>
      <c r="H2069" s="3" t="s">
        <v>250</v>
      </c>
      <c r="I2069" s="2">
        <v>118</v>
      </c>
      <c r="J2069" s="2">
        <v>59</v>
      </c>
      <c r="K2069" s="2">
        <v>4</v>
      </c>
      <c r="O2069" s="2">
        <v>15</v>
      </c>
      <c r="U2069" s="2">
        <v>5</v>
      </c>
      <c r="V2069" s="2">
        <v>60</v>
      </c>
      <c r="W2069" s="2">
        <v>3</v>
      </c>
      <c r="X2069" s="2">
        <v>30</v>
      </c>
      <c r="AA2069" s="3" t="s">
        <v>57</v>
      </c>
      <c r="AB2069" s="2">
        <v>2</v>
      </c>
      <c r="AF2069" s="2">
        <v>35</v>
      </c>
      <c r="AG2069" s="2">
        <v>1</v>
      </c>
      <c r="AH2069" s="3" t="s">
        <v>2072</v>
      </c>
      <c r="AI2069" s="4">
        <v>45072</v>
      </c>
      <c r="AJ2069" s="3" t="s">
        <v>2182</v>
      </c>
      <c r="AK2069" s="3" t="s">
        <v>248</v>
      </c>
    </row>
    <row r="2070" spans="1:37" hidden="1" x14ac:dyDescent="0.25">
      <c r="A2070" t="str">
        <f t="shared" si="32"/>
        <v>2023_Qld_Gatton_Chickpea_DetailedTOS1VarietyCBA_CaptainWaterTrtIrrigated</v>
      </c>
      <c r="B2070" s="2">
        <v>2023022</v>
      </c>
      <c r="C2070" s="3" t="s">
        <v>2062</v>
      </c>
      <c r="D2070" s="3" t="s">
        <v>248</v>
      </c>
      <c r="F2070" s="3" t="s">
        <v>249</v>
      </c>
      <c r="G2070" s="3" t="s">
        <v>43</v>
      </c>
      <c r="H2070" s="3" t="s">
        <v>253</v>
      </c>
      <c r="I2070" s="2">
        <v>119</v>
      </c>
      <c r="J2070" s="2">
        <v>60</v>
      </c>
      <c r="K2070" s="2">
        <v>4</v>
      </c>
      <c r="O2070" s="2">
        <v>15</v>
      </c>
      <c r="U2070" s="2">
        <v>6</v>
      </c>
      <c r="V2070" s="2">
        <v>59</v>
      </c>
      <c r="W2070" s="2">
        <v>4</v>
      </c>
      <c r="X2070" s="2">
        <v>29</v>
      </c>
      <c r="Z2070" s="2">
        <v>60</v>
      </c>
      <c r="AA2070" s="3" t="s">
        <v>57</v>
      </c>
      <c r="AB2070" s="2">
        <v>1</v>
      </c>
      <c r="AF2070" s="2">
        <v>35</v>
      </c>
      <c r="AG2070" s="2">
        <v>1</v>
      </c>
      <c r="AH2070" s="3" t="s">
        <v>2072</v>
      </c>
      <c r="AI2070" s="4">
        <v>45072</v>
      </c>
      <c r="AJ2070" s="3" t="s">
        <v>2183</v>
      </c>
      <c r="AK2070" s="3" t="s">
        <v>248</v>
      </c>
    </row>
    <row r="2071" spans="1:37" hidden="1" x14ac:dyDescent="0.25">
      <c r="A2071" t="str">
        <f t="shared" si="32"/>
        <v>2023_Qld_Gatton_Chickpea_DetailedTOS1VarietyCBA_CaptainWaterTrtIrrigated</v>
      </c>
      <c r="B2071" s="2">
        <v>2023022</v>
      </c>
      <c r="C2071" s="3" t="s">
        <v>2062</v>
      </c>
      <c r="D2071" s="3" t="s">
        <v>248</v>
      </c>
      <c r="F2071" s="3" t="s">
        <v>249</v>
      </c>
      <c r="G2071" s="3" t="s">
        <v>43</v>
      </c>
      <c r="H2071" s="3" t="s">
        <v>250</v>
      </c>
      <c r="I2071" s="2">
        <v>120</v>
      </c>
      <c r="J2071" s="2">
        <v>60</v>
      </c>
      <c r="K2071" s="2">
        <v>4</v>
      </c>
      <c r="O2071" s="2">
        <v>15</v>
      </c>
      <c r="U2071" s="2">
        <v>6</v>
      </c>
      <c r="V2071" s="2">
        <v>60</v>
      </c>
      <c r="W2071" s="2">
        <v>4</v>
      </c>
      <c r="X2071" s="2">
        <v>30</v>
      </c>
      <c r="AA2071" s="3" t="s">
        <v>57</v>
      </c>
      <c r="AB2071" s="2">
        <v>1</v>
      </c>
      <c r="AF2071" s="2">
        <v>35</v>
      </c>
      <c r="AG2071" s="2">
        <v>1</v>
      </c>
      <c r="AH2071" s="3" t="s">
        <v>2072</v>
      </c>
      <c r="AI2071" s="4">
        <v>45072</v>
      </c>
      <c r="AJ2071" s="3" t="s">
        <v>2184</v>
      </c>
      <c r="AK2071" s="3" t="s">
        <v>248</v>
      </c>
    </row>
    <row r="2072" spans="1:37" hidden="1" x14ac:dyDescent="0.25">
      <c r="A2072" t="str">
        <f t="shared" si="32"/>
        <v>2023_Qld_Gatton_Chickpea_DetailedTOS2VarietyCBA_CaptainWaterTrtIrrigated</v>
      </c>
      <c r="B2072" s="2">
        <v>2023022</v>
      </c>
      <c r="C2072" s="3" t="s">
        <v>2062</v>
      </c>
      <c r="D2072" s="3" t="s">
        <v>248</v>
      </c>
      <c r="F2072" s="3" t="s">
        <v>249</v>
      </c>
      <c r="G2072" s="3" t="s">
        <v>43</v>
      </c>
      <c r="H2072" s="3" t="s">
        <v>253</v>
      </c>
      <c r="I2072" s="2">
        <v>121</v>
      </c>
      <c r="J2072" s="2">
        <v>61</v>
      </c>
      <c r="K2072" s="2">
        <v>4</v>
      </c>
      <c r="O2072" s="2">
        <v>16</v>
      </c>
      <c r="U2072" s="2">
        <v>2</v>
      </c>
      <c r="V2072" s="2">
        <v>63</v>
      </c>
      <c r="W2072" s="2">
        <v>1</v>
      </c>
      <c r="X2072" s="2">
        <v>31</v>
      </c>
      <c r="Z2072" s="2">
        <v>64</v>
      </c>
      <c r="AA2072" s="3" t="s">
        <v>57</v>
      </c>
      <c r="AB2072" s="2">
        <v>1</v>
      </c>
      <c r="AF2072" s="2">
        <v>35</v>
      </c>
      <c r="AG2072" s="2">
        <v>2</v>
      </c>
      <c r="AH2072" s="3" t="s">
        <v>2063</v>
      </c>
      <c r="AI2072" s="4">
        <v>45110</v>
      </c>
      <c r="AJ2072" s="3" t="s">
        <v>2185</v>
      </c>
      <c r="AK2072" s="3" t="s">
        <v>248</v>
      </c>
    </row>
    <row r="2073" spans="1:37" hidden="1" x14ac:dyDescent="0.25">
      <c r="A2073" t="str">
        <f t="shared" si="32"/>
        <v>2023_Qld_Gatton_Chickpea_DetailedTOS2VarietyCBA_CaptainWaterTrtIrrigated</v>
      </c>
      <c r="B2073" s="2">
        <v>2023022</v>
      </c>
      <c r="C2073" s="3" t="s">
        <v>2062</v>
      </c>
      <c r="D2073" s="3" t="s">
        <v>248</v>
      </c>
      <c r="F2073" s="3" t="s">
        <v>249</v>
      </c>
      <c r="G2073" s="3" t="s">
        <v>43</v>
      </c>
      <c r="H2073" s="3" t="s">
        <v>250</v>
      </c>
      <c r="I2073" s="2">
        <v>122</v>
      </c>
      <c r="J2073" s="2">
        <v>61</v>
      </c>
      <c r="K2073" s="2">
        <v>4</v>
      </c>
      <c r="O2073" s="2">
        <v>16</v>
      </c>
      <c r="U2073" s="2">
        <v>2</v>
      </c>
      <c r="V2073" s="2">
        <v>64</v>
      </c>
      <c r="W2073" s="2">
        <v>1</v>
      </c>
      <c r="X2073" s="2">
        <v>32</v>
      </c>
      <c r="AA2073" s="3" t="s">
        <v>57</v>
      </c>
      <c r="AB2073" s="2">
        <v>1</v>
      </c>
      <c r="AF2073" s="2">
        <v>35</v>
      </c>
      <c r="AG2073" s="2">
        <v>2</v>
      </c>
      <c r="AH2073" s="3" t="s">
        <v>2063</v>
      </c>
      <c r="AI2073" s="4">
        <v>45110</v>
      </c>
      <c r="AJ2073" s="3" t="s">
        <v>2186</v>
      </c>
      <c r="AK2073" s="3" t="s">
        <v>248</v>
      </c>
    </row>
    <row r="2074" spans="1:37" hidden="1" x14ac:dyDescent="0.25">
      <c r="A2074" t="str">
        <f t="shared" si="32"/>
        <v>2023_Qld_Gatton_Chickpea_DetailedTOS2VarietyDrummondWaterTrtIrrigated</v>
      </c>
      <c r="B2074" s="2">
        <v>2023022</v>
      </c>
      <c r="C2074" s="3" t="s">
        <v>2062</v>
      </c>
      <c r="D2074" s="3" t="s">
        <v>248</v>
      </c>
      <c r="F2074" s="3" t="s">
        <v>4182</v>
      </c>
      <c r="G2074" s="3" t="s">
        <v>39</v>
      </c>
      <c r="H2074" s="3" t="s">
        <v>253</v>
      </c>
      <c r="I2074" s="2">
        <v>123</v>
      </c>
      <c r="J2074" s="2">
        <v>62</v>
      </c>
      <c r="K2074" s="2">
        <v>4</v>
      </c>
      <c r="O2074" s="2">
        <v>16</v>
      </c>
      <c r="U2074" s="2">
        <v>3</v>
      </c>
      <c r="V2074" s="2">
        <v>63</v>
      </c>
      <c r="W2074" s="2">
        <v>2</v>
      </c>
      <c r="X2074" s="2">
        <v>31</v>
      </c>
      <c r="Z2074" s="2">
        <v>63</v>
      </c>
      <c r="AA2074" s="3" t="s">
        <v>57</v>
      </c>
      <c r="AB2074" s="2">
        <v>2</v>
      </c>
      <c r="AF2074" s="2">
        <v>35</v>
      </c>
      <c r="AG2074" s="2">
        <v>2</v>
      </c>
      <c r="AH2074" s="3" t="s">
        <v>2063</v>
      </c>
      <c r="AI2074" s="4">
        <v>45110</v>
      </c>
      <c r="AJ2074" s="3" t="s">
        <v>2187</v>
      </c>
      <c r="AK2074" s="3" t="s">
        <v>248</v>
      </c>
    </row>
    <row r="2075" spans="1:37" hidden="1" x14ac:dyDescent="0.25">
      <c r="A2075" t="str">
        <f t="shared" si="32"/>
        <v>2023_Qld_Gatton_Chickpea_DetailedTOS2VarietyDrummondWaterTrtIrrigated</v>
      </c>
      <c r="B2075" s="2">
        <v>2023022</v>
      </c>
      <c r="C2075" s="3" t="s">
        <v>2062</v>
      </c>
      <c r="D2075" s="3" t="s">
        <v>248</v>
      </c>
      <c r="F2075" s="3" t="s">
        <v>4182</v>
      </c>
      <c r="G2075" s="3" t="s">
        <v>39</v>
      </c>
      <c r="H2075" s="3" t="s">
        <v>250</v>
      </c>
      <c r="I2075" s="2">
        <v>124</v>
      </c>
      <c r="J2075" s="2">
        <v>62</v>
      </c>
      <c r="K2075" s="2">
        <v>4</v>
      </c>
      <c r="O2075" s="2">
        <v>16</v>
      </c>
      <c r="U2075" s="2">
        <v>3</v>
      </c>
      <c r="V2075" s="2">
        <v>64</v>
      </c>
      <c r="W2075" s="2">
        <v>2</v>
      </c>
      <c r="X2075" s="2">
        <v>32</v>
      </c>
      <c r="AA2075" s="3" t="s">
        <v>57</v>
      </c>
      <c r="AB2075" s="2">
        <v>2</v>
      </c>
      <c r="AF2075" s="2">
        <v>35</v>
      </c>
      <c r="AG2075" s="2">
        <v>2</v>
      </c>
      <c r="AH2075" s="3" t="s">
        <v>2063</v>
      </c>
      <c r="AI2075" s="4">
        <v>45110</v>
      </c>
      <c r="AJ2075" s="3" t="s">
        <v>2188</v>
      </c>
      <c r="AK2075" s="3" t="s">
        <v>248</v>
      </c>
    </row>
    <row r="2076" spans="1:37" hidden="1" x14ac:dyDescent="0.25">
      <c r="A2076" t="str">
        <f t="shared" si="32"/>
        <v>2023_Qld_Gatton_Chickpea_DetailedTOS2VarietyStrikerWaterTrtIrrigated</v>
      </c>
      <c r="B2076" s="2">
        <v>2023022</v>
      </c>
      <c r="C2076" s="3" t="s">
        <v>2062</v>
      </c>
      <c r="D2076" s="3" t="s">
        <v>248</v>
      </c>
      <c r="F2076" s="3" t="s">
        <v>4179</v>
      </c>
      <c r="G2076" s="3" t="s">
        <v>43</v>
      </c>
      <c r="H2076" s="3" t="s">
        <v>253</v>
      </c>
      <c r="I2076" s="2">
        <v>125</v>
      </c>
      <c r="J2076" s="2">
        <v>63</v>
      </c>
      <c r="K2076" s="2">
        <v>4</v>
      </c>
      <c r="O2076" s="2">
        <v>16</v>
      </c>
      <c r="U2076" s="2">
        <v>5</v>
      </c>
      <c r="V2076" s="2">
        <v>63</v>
      </c>
      <c r="W2076" s="2">
        <v>3</v>
      </c>
      <c r="X2076" s="2">
        <v>31</v>
      </c>
      <c r="Z2076" s="2">
        <v>62</v>
      </c>
      <c r="AA2076" s="3" t="s">
        <v>57</v>
      </c>
      <c r="AB2076" s="2">
        <v>4</v>
      </c>
      <c r="AF2076" s="2">
        <v>35</v>
      </c>
      <c r="AG2076" s="2">
        <v>2</v>
      </c>
      <c r="AH2076" s="3" t="s">
        <v>2063</v>
      </c>
      <c r="AI2076" s="4">
        <v>45110</v>
      </c>
      <c r="AJ2076" s="3" t="s">
        <v>2189</v>
      </c>
      <c r="AK2076" s="3" t="s">
        <v>248</v>
      </c>
    </row>
    <row r="2077" spans="1:37" hidden="1" x14ac:dyDescent="0.25">
      <c r="A2077" t="str">
        <f t="shared" si="32"/>
        <v>2023_Qld_Gatton_Chickpea_DetailedTOS2VarietyStrikerWaterTrtIrrigated</v>
      </c>
      <c r="B2077" s="2">
        <v>2023022</v>
      </c>
      <c r="C2077" s="3" t="s">
        <v>2062</v>
      </c>
      <c r="D2077" s="3" t="s">
        <v>248</v>
      </c>
      <c r="F2077" s="3" t="s">
        <v>4179</v>
      </c>
      <c r="G2077" s="3" t="s">
        <v>43</v>
      </c>
      <c r="H2077" s="3" t="s">
        <v>250</v>
      </c>
      <c r="I2077" s="2">
        <v>126</v>
      </c>
      <c r="J2077" s="2">
        <v>63</v>
      </c>
      <c r="K2077" s="2">
        <v>4</v>
      </c>
      <c r="O2077" s="2">
        <v>16</v>
      </c>
      <c r="U2077" s="2">
        <v>5</v>
      </c>
      <c r="V2077" s="2">
        <v>64</v>
      </c>
      <c r="W2077" s="2">
        <v>3</v>
      </c>
      <c r="X2077" s="2">
        <v>32</v>
      </c>
      <c r="AA2077" s="3" t="s">
        <v>57</v>
      </c>
      <c r="AB2077" s="2">
        <v>4</v>
      </c>
      <c r="AF2077" s="2">
        <v>35</v>
      </c>
      <c r="AG2077" s="2">
        <v>2</v>
      </c>
      <c r="AH2077" s="3" t="s">
        <v>2063</v>
      </c>
      <c r="AI2077" s="4">
        <v>45110</v>
      </c>
      <c r="AJ2077" s="3" t="s">
        <v>2190</v>
      </c>
      <c r="AK2077" s="3" t="s">
        <v>248</v>
      </c>
    </row>
    <row r="2078" spans="1:37" hidden="1" x14ac:dyDescent="0.25">
      <c r="A2078" t="str">
        <f t="shared" si="32"/>
        <v>2023_Qld_Gatton_Chickpea_DetailedTOS2VarietyHatTrickWaterTrtIrrigated</v>
      </c>
      <c r="B2078" s="2">
        <v>2023022</v>
      </c>
      <c r="C2078" s="3" t="s">
        <v>2062</v>
      </c>
      <c r="D2078" s="3" t="s">
        <v>248</v>
      </c>
      <c r="F2078" s="3" t="s">
        <v>4178</v>
      </c>
      <c r="G2078" s="3" t="s">
        <v>39</v>
      </c>
      <c r="H2078" s="3" t="s">
        <v>253</v>
      </c>
      <c r="I2078" s="2">
        <v>127</v>
      </c>
      <c r="J2078" s="2">
        <v>64</v>
      </c>
      <c r="K2078" s="2">
        <v>4</v>
      </c>
      <c r="O2078" s="2">
        <v>16</v>
      </c>
      <c r="U2078" s="2">
        <v>6</v>
      </c>
      <c r="V2078" s="2">
        <v>63</v>
      </c>
      <c r="W2078" s="2">
        <v>4</v>
      </c>
      <c r="X2078" s="2">
        <v>31</v>
      </c>
      <c r="Z2078" s="2">
        <v>61</v>
      </c>
      <c r="AA2078" s="3" t="s">
        <v>57</v>
      </c>
      <c r="AB2078" s="2">
        <v>3</v>
      </c>
      <c r="AF2078" s="2">
        <v>35</v>
      </c>
      <c r="AG2078" s="2">
        <v>2</v>
      </c>
      <c r="AH2078" s="3" t="s">
        <v>2063</v>
      </c>
      <c r="AI2078" s="4">
        <v>45110</v>
      </c>
      <c r="AJ2078" s="3" t="s">
        <v>2191</v>
      </c>
      <c r="AK2078" s="3" t="s">
        <v>248</v>
      </c>
    </row>
    <row r="2079" spans="1:37" hidden="1" x14ac:dyDescent="0.25">
      <c r="A2079" t="str">
        <f t="shared" si="32"/>
        <v>2023_Qld_Gatton_Chickpea_DetailedTOS2VarietyHatTrickWaterTrtIrrigated</v>
      </c>
      <c r="B2079" s="2">
        <v>2023022</v>
      </c>
      <c r="C2079" s="3" t="s">
        <v>2062</v>
      </c>
      <c r="D2079" s="3" t="s">
        <v>248</v>
      </c>
      <c r="F2079" s="3" t="s">
        <v>4178</v>
      </c>
      <c r="G2079" s="3" t="s">
        <v>39</v>
      </c>
      <c r="H2079" s="3" t="s">
        <v>250</v>
      </c>
      <c r="I2079" s="2">
        <v>128</v>
      </c>
      <c r="J2079" s="2">
        <v>64</v>
      </c>
      <c r="K2079" s="2">
        <v>4</v>
      </c>
      <c r="O2079" s="2">
        <v>16</v>
      </c>
      <c r="U2079" s="2">
        <v>6</v>
      </c>
      <c r="V2079" s="2">
        <v>64</v>
      </c>
      <c r="W2079" s="2">
        <v>4</v>
      </c>
      <c r="X2079" s="2">
        <v>32</v>
      </c>
      <c r="AA2079" s="3" t="s">
        <v>57</v>
      </c>
      <c r="AB2079" s="2">
        <v>3</v>
      </c>
      <c r="AF2079" s="2">
        <v>35</v>
      </c>
      <c r="AG2079" s="2">
        <v>2</v>
      </c>
      <c r="AH2079" s="3" t="s">
        <v>2063</v>
      </c>
      <c r="AI2079" s="4">
        <v>45110</v>
      </c>
      <c r="AJ2079" s="3" t="s">
        <v>2192</v>
      </c>
      <c r="AK2079" s="3" t="s">
        <v>248</v>
      </c>
    </row>
    <row r="2080" spans="1:37" hidden="1" x14ac:dyDescent="0.25">
      <c r="A2080" t="str">
        <f t="shared" si="32"/>
        <v>2023_SA_Pinery_Fababean_DetailedTOS1VarietySamiraWaterTrtIrrigated</v>
      </c>
      <c r="B2080" s="2">
        <v>2023023</v>
      </c>
      <c r="C2080" s="3" t="s">
        <v>2193</v>
      </c>
      <c r="D2080" s="3" t="s">
        <v>645</v>
      </c>
      <c r="F2080" s="3" t="s">
        <v>4183</v>
      </c>
      <c r="G2080" s="3" t="s">
        <v>43</v>
      </c>
      <c r="H2080" s="3" t="s">
        <v>253</v>
      </c>
      <c r="I2080" s="2">
        <v>1</v>
      </c>
      <c r="J2080" s="2">
        <v>1</v>
      </c>
      <c r="K2080" s="2">
        <v>1</v>
      </c>
      <c r="O2080" s="2">
        <v>1</v>
      </c>
      <c r="U2080" s="2">
        <v>1</v>
      </c>
      <c r="V2080" s="2">
        <v>2</v>
      </c>
      <c r="W2080" s="2">
        <v>1</v>
      </c>
      <c r="X2080" s="2">
        <v>1</v>
      </c>
      <c r="AA2080" s="3" t="s">
        <v>57</v>
      </c>
      <c r="AB2080" s="2">
        <v>4</v>
      </c>
      <c r="AF2080" s="2">
        <v>23</v>
      </c>
      <c r="AG2080" s="2">
        <v>1</v>
      </c>
      <c r="AH2080" s="3" t="s">
        <v>2194</v>
      </c>
      <c r="AI2080" s="4">
        <v>45056</v>
      </c>
      <c r="AJ2080" s="3" t="s">
        <v>2195</v>
      </c>
      <c r="AK2080" s="3" t="s">
        <v>645</v>
      </c>
    </row>
    <row r="2081" spans="1:37" hidden="1" x14ac:dyDescent="0.25">
      <c r="A2081" t="str">
        <f t="shared" si="32"/>
        <v>2023_SA_Pinery_Fababean_DetailedTOS1VarietySamiraWaterTrtIrrigated</v>
      </c>
      <c r="B2081" s="2">
        <v>2023023</v>
      </c>
      <c r="C2081" s="3" t="s">
        <v>2193</v>
      </c>
      <c r="D2081" s="3" t="s">
        <v>645</v>
      </c>
      <c r="F2081" s="3" t="s">
        <v>4183</v>
      </c>
      <c r="G2081" s="3" t="s">
        <v>43</v>
      </c>
      <c r="H2081" s="3" t="s">
        <v>250</v>
      </c>
      <c r="I2081" s="2">
        <v>2</v>
      </c>
      <c r="J2081" s="2">
        <v>1</v>
      </c>
      <c r="K2081" s="2">
        <v>1</v>
      </c>
      <c r="O2081" s="2">
        <v>1</v>
      </c>
      <c r="U2081" s="2">
        <v>2</v>
      </c>
      <c r="V2081" s="2">
        <v>2</v>
      </c>
      <c r="W2081" s="2">
        <v>2</v>
      </c>
      <c r="X2081" s="2">
        <v>1</v>
      </c>
      <c r="Z2081" s="2">
        <v>2</v>
      </c>
      <c r="AA2081" s="3" t="s">
        <v>57</v>
      </c>
      <c r="AB2081" s="2">
        <v>4</v>
      </c>
      <c r="AF2081" s="2">
        <v>23</v>
      </c>
      <c r="AG2081" s="2">
        <v>1</v>
      </c>
      <c r="AH2081" s="3" t="s">
        <v>2194</v>
      </c>
      <c r="AI2081" s="4">
        <v>45056</v>
      </c>
      <c r="AJ2081" s="3" t="s">
        <v>2196</v>
      </c>
      <c r="AK2081" s="3" t="s">
        <v>645</v>
      </c>
    </row>
    <row r="2082" spans="1:37" hidden="1" x14ac:dyDescent="0.25">
      <c r="A2082" t="str">
        <f t="shared" si="32"/>
        <v>2023_SA_Pinery_Fababean_DetailedTOS1VarietyMarneWaterTrtIrrigated</v>
      </c>
      <c r="B2082" s="2">
        <v>2023023</v>
      </c>
      <c r="C2082" s="3" t="s">
        <v>2193</v>
      </c>
      <c r="D2082" s="3" t="s">
        <v>645</v>
      </c>
      <c r="F2082" s="3" t="s">
        <v>4184</v>
      </c>
      <c r="G2082" s="3" t="s">
        <v>39</v>
      </c>
      <c r="H2082" s="3" t="s">
        <v>253</v>
      </c>
      <c r="I2082" s="2">
        <v>3</v>
      </c>
      <c r="J2082" s="2">
        <v>2</v>
      </c>
      <c r="K2082" s="2">
        <v>1</v>
      </c>
      <c r="O2082" s="2">
        <v>1</v>
      </c>
      <c r="U2082" s="2">
        <v>3</v>
      </c>
      <c r="V2082" s="2">
        <v>2</v>
      </c>
      <c r="W2082" s="2">
        <v>3</v>
      </c>
      <c r="X2082" s="2">
        <v>1</v>
      </c>
      <c r="AA2082" s="3" t="s">
        <v>57</v>
      </c>
      <c r="AB2082" s="2">
        <v>2</v>
      </c>
      <c r="AF2082" s="2">
        <v>23</v>
      </c>
      <c r="AG2082" s="2">
        <v>1</v>
      </c>
      <c r="AH2082" s="3" t="s">
        <v>2194</v>
      </c>
      <c r="AI2082" s="4">
        <v>45056</v>
      </c>
      <c r="AJ2082" s="3" t="s">
        <v>2197</v>
      </c>
      <c r="AK2082" s="3" t="s">
        <v>645</v>
      </c>
    </row>
    <row r="2083" spans="1:37" hidden="1" x14ac:dyDescent="0.25">
      <c r="A2083" t="str">
        <f t="shared" si="32"/>
        <v>2023_SA_Pinery_Fababean_DetailedTOS1VarietyMarneWaterTrtIrrigated</v>
      </c>
      <c r="B2083" s="2">
        <v>2023023</v>
      </c>
      <c r="C2083" s="3" t="s">
        <v>2193</v>
      </c>
      <c r="D2083" s="3" t="s">
        <v>645</v>
      </c>
      <c r="F2083" s="3" t="s">
        <v>4184</v>
      </c>
      <c r="G2083" s="3" t="s">
        <v>39</v>
      </c>
      <c r="H2083" s="3" t="s">
        <v>250</v>
      </c>
      <c r="I2083" s="2">
        <v>4</v>
      </c>
      <c r="J2083" s="2">
        <v>2</v>
      </c>
      <c r="K2083" s="2">
        <v>1</v>
      </c>
      <c r="O2083" s="2">
        <v>1</v>
      </c>
      <c r="U2083" s="2">
        <v>4</v>
      </c>
      <c r="V2083" s="2">
        <v>2</v>
      </c>
      <c r="W2083" s="2">
        <v>4</v>
      </c>
      <c r="X2083" s="2">
        <v>1</v>
      </c>
      <c r="Z2083" s="2">
        <v>4</v>
      </c>
      <c r="AA2083" s="3" t="s">
        <v>57</v>
      </c>
      <c r="AB2083" s="2">
        <v>2</v>
      </c>
      <c r="AF2083" s="2">
        <v>23</v>
      </c>
      <c r="AG2083" s="2">
        <v>1</v>
      </c>
      <c r="AH2083" s="3" t="s">
        <v>2194</v>
      </c>
      <c r="AI2083" s="4">
        <v>45056</v>
      </c>
      <c r="AJ2083" s="3" t="s">
        <v>2198</v>
      </c>
      <c r="AK2083" s="3" t="s">
        <v>645</v>
      </c>
    </row>
    <row r="2084" spans="1:37" hidden="1" x14ac:dyDescent="0.25">
      <c r="A2084" t="str">
        <f t="shared" si="32"/>
        <v>2023_SA_Pinery_Fababean_DetailedTOS1VarietyNasmaWaterTrtIrrigated</v>
      </c>
      <c r="B2084" s="2">
        <v>2023023</v>
      </c>
      <c r="C2084" s="3" t="s">
        <v>2193</v>
      </c>
      <c r="D2084" s="3" t="s">
        <v>645</v>
      </c>
      <c r="F2084" s="3" t="s">
        <v>4186</v>
      </c>
      <c r="G2084" s="3" t="s">
        <v>43</v>
      </c>
      <c r="H2084" s="3" t="s">
        <v>253</v>
      </c>
      <c r="I2084" s="2">
        <v>5</v>
      </c>
      <c r="J2084" s="2">
        <v>3</v>
      </c>
      <c r="K2084" s="2">
        <v>1</v>
      </c>
      <c r="O2084" s="2">
        <v>1</v>
      </c>
      <c r="U2084" s="2">
        <v>1</v>
      </c>
      <c r="V2084" s="2">
        <v>3</v>
      </c>
      <c r="W2084" s="2">
        <v>1</v>
      </c>
      <c r="X2084" s="2">
        <v>2</v>
      </c>
      <c r="AA2084" s="3" t="s">
        <v>57</v>
      </c>
      <c r="AB2084" s="2">
        <v>3</v>
      </c>
      <c r="AF2084" s="2">
        <v>23</v>
      </c>
      <c r="AG2084" s="2">
        <v>1</v>
      </c>
      <c r="AH2084" s="3" t="s">
        <v>2194</v>
      </c>
      <c r="AI2084" s="4">
        <v>45056</v>
      </c>
      <c r="AJ2084" s="3" t="s">
        <v>2199</v>
      </c>
      <c r="AK2084" s="3" t="s">
        <v>645</v>
      </c>
    </row>
    <row r="2085" spans="1:37" hidden="1" x14ac:dyDescent="0.25">
      <c r="A2085" t="str">
        <f t="shared" si="32"/>
        <v>2023_SA_Pinery_Fababean_DetailedTOS1VarietyNasmaWaterTrtIrrigated</v>
      </c>
      <c r="B2085" s="2">
        <v>2023023</v>
      </c>
      <c r="C2085" s="3" t="s">
        <v>2193</v>
      </c>
      <c r="D2085" s="3" t="s">
        <v>645</v>
      </c>
      <c r="F2085" s="3" t="s">
        <v>4186</v>
      </c>
      <c r="G2085" s="3" t="s">
        <v>43</v>
      </c>
      <c r="H2085" s="3" t="s">
        <v>250</v>
      </c>
      <c r="I2085" s="2">
        <v>6</v>
      </c>
      <c r="J2085" s="2">
        <v>3</v>
      </c>
      <c r="K2085" s="2">
        <v>1</v>
      </c>
      <c r="O2085" s="2">
        <v>1</v>
      </c>
      <c r="U2085" s="2">
        <v>2</v>
      </c>
      <c r="V2085" s="2">
        <v>3</v>
      </c>
      <c r="W2085" s="2">
        <v>2</v>
      </c>
      <c r="X2085" s="2">
        <v>2</v>
      </c>
      <c r="Z2085" s="2">
        <v>7</v>
      </c>
      <c r="AA2085" s="3" t="s">
        <v>57</v>
      </c>
      <c r="AB2085" s="2">
        <v>3</v>
      </c>
      <c r="AF2085" s="2">
        <v>23</v>
      </c>
      <c r="AG2085" s="2">
        <v>1</v>
      </c>
      <c r="AH2085" s="3" t="s">
        <v>2194</v>
      </c>
      <c r="AI2085" s="4">
        <v>45056</v>
      </c>
      <c r="AJ2085" s="3" t="s">
        <v>2200</v>
      </c>
      <c r="AK2085" s="3" t="s">
        <v>645</v>
      </c>
    </row>
    <row r="2086" spans="1:37" hidden="1" x14ac:dyDescent="0.25">
      <c r="A2086" t="str">
        <f t="shared" si="32"/>
        <v>2023_SA_Pinery_Fababean_DetailedTOS1VarietyAmberleyWaterTrtIrrigated</v>
      </c>
      <c r="B2086" s="2">
        <v>2023023</v>
      </c>
      <c r="C2086" s="3" t="s">
        <v>2193</v>
      </c>
      <c r="D2086" s="3" t="s">
        <v>645</v>
      </c>
      <c r="F2086" s="3" t="s">
        <v>4185</v>
      </c>
      <c r="G2086" s="3" t="s">
        <v>39</v>
      </c>
      <c r="H2086" s="3" t="s">
        <v>253</v>
      </c>
      <c r="I2086" s="2">
        <v>7</v>
      </c>
      <c r="J2086" s="2">
        <v>4</v>
      </c>
      <c r="K2086" s="2">
        <v>1</v>
      </c>
      <c r="O2086" s="2">
        <v>1</v>
      </c>
      <c r="U2086" s="2">
        <v>3</v>
      </c>
      <c r="V2086" s="2">
        <v>3</v>
      </c>
      <c r="W2086" s="2">
        <v>3</v>
      </c>
      <c r="X2086" s="2">
        <v>2</v>
      </c>
      <c r="AA2086" s="3" t="s">
        <v>57</v>
      </c>
      <c r="AB2086" s="2">
        <v>1</v>
      </c>
      <c r="AF2086" s="2">
        <v>23</v>
      </c>
      <c r="AG2086" s="2">
        <v>1</v>
      </c>
      <c r="AH2086" s="3" t="s">
        <v>2194</v>
      </c>
      <c r="AI2086" s="4">
        <v>45056</v>
      </c>
      <c r="AJ2086" s="3" t="s">
        <v>2201</v>
      </c>
      <c r="AK2086" s="3" t="s">
        <v>645</v>
      </c>
    </row>
    <row r="2087" spans="1:37" hidden="1" x14ac:dyDescent="0.25">
      <c r="A2087" t="str">
        <f t="shared" si="32"/>
        <v>2023_SA_Pinery_Fababean_DetailedTOS1VarietyAmberleyWaterTrtIrrigated</v>
      </c>
      <c r="B2087" s="2">
        <v>2023023</v>
      </c>
      <c r="C2087" s="3" t="s">
        <v>2193</v>
      </c>
      <c r="D2087" s="3" t="s">
        <v>645</v>
      </c>
      <c r="F2087" s="3" t="s">
        <v>4185</v>
      </c>
      <c r="G2087" s="3" t="s">
        <v>39</v>
      </c>
      <c r="H2087" s="3" t="s">
        <v>250</v>
      </c>
      <c r="I2087" s="2">
        <v>8</v>
      </c>
      <c r="J2087" s="2">
        <v>4</v>
      </c>
      <c r="K2087" s="2">
        <v>1</v>
      </c>
      <c r="O2087" s="2">
        <v>1</v>
      </c>
      <c r="U2087" s="2">
        <v>4</v>
      </c>
      <c r="V2087" s="2">
        <v>3</v>
      </c>
      <c r="W2087" s="2">
        <v>4</v>
      </c>
      <c r="X2087" s="2">
        <v>2</v>
      </c>
      <c r="Z2087" s="2">
        <v>5</v>
      </c>
      <c r="AA2087" s="3" t="s">
        <v>57</v>
      </c>
      <c r="AB2087" s="2">
        <v>1</v>
      </c>
      <c r="AF2087" s="2">
        <v>23</v>
      </c>
      <c r="AG2087" s="2">
        <v>1</v>
      </c>
      <c r="AH2087" s="3" t="s">
        <v>2194</v>
      </c>
      <c r="AI2087" s="4">
        <v>45056</v>
      </c>
      <c r="AJ2087" s="3" t="s">
        <v>2202</v>
      </c>
      <c r="AK2087" s="3" t="s">
        <v>645</v>
      </c>
    </row>
    <row r="2088" spans="1:37" hidden="1" x14ac:dyDescent="0.25">
      <c r="A2088" t="str">
        <f t="shared" si="32"/>
        <v>2023_SA_Pinery_Fababean_DetailedTOS1VarietyAmberleyWaterTrtRainFed</v>
      </c>
      <c r="B2088" s="2">
        <v>2023023</v>
      </c>
      <c r="C2088" s="3" t="s">
        <v>2193</v>
      </c>
      <c r="D2088" s="3" t="s">
        <v>645</v>
      </c>
      <c r="F2088" s="3" t="s">
        <v>4185</v>
      </c>
      <c r="G2088" s="3" t="s">
        <v>39</v>
      </c>
      <c r="H2088" s="3" t="s">
        <v>253</v>
      </c>
      <c r="I2088" s="2">
        <v>9</v>
      </c>
      <c r="J2088" s="2">
        <v>5</v>
      </c>
      <c r="K2088" s="2">
        <v>1</v>
      </c>
      <c r="O2088" s="2">
        <v>2</v>
      </c>
      <c r="U2088" s="2">
        <v>1</v>
      </c>
      <c r="V2088" s="2">
        <v>6</v>
      </c>
      <c r="W2088" s="2">
        <v>1</v>
      </c>
      <c r="X2088" s="2">
        <v>3</v>
      </c>
      <c r="AA2088" s="3" t="s">
        <v>40</v>
      </c>
      <c r="AB2088" s="2">
        <v>1</v>
      </c>
      <c r="AF2088" s="2">
        <v>23</v>
      </c>
      <c r="AG2088" s="2">
        <v>1</v>
      </c>
      <c r="AH2088" s="3" t="s">
        <v>2194</v>
      </c>
      <c r="AI2088" s="4">
        <v>45056</v>
      </c>
      <c r="AJ2088" s="3" t="s">
        <v>2203</v>
      </c>
      <c r="AK2088" s="3" t="s">
        <v>645</v>
      </c>
    </row>
    <row r="2089" spans="1:37" hidden="1" x14ac:dyDescent="0.25">
      <c r="A2089" t="str">
        <f t="shared" si="32"/>
        <v>2023_SA_Pinery_Fababean_DetailedTOS1VarietyAmberleyWaterTrtRainFed</v>
      </c>
      <c r="B2089" s="2">
        <v>2023023</v>
      </c>
      <c r="C2089" s="3" t="s">
        <v>2193</v>
      </c>
      <c r="D2089" s="3" t="s">
        <v>645</v>
      </c>
      <c r="F2089" s="3" t="s">
        <v>4185</v>
      </c>
      <c r="G2089" s="3" t="s">
        <v>39</v>
      </c>
      <c r="H2089" s="3" t="s">
        <v>250</v>
      </c>
      <c r="I2089" s="2">
        <v>10</v>
      </c>
      <c r="J2089" s="2">
        <v>5</v>
      </c>
      <c r="K2089" s="2">
        <v>1</v>
      </c>
      <c r="O2089" s="2">
        <v>2</v>
      </c>
      <c r="U2089" s="2">
        <v>2</v>
      </c>
      <c r="V2089" s="2">
        <v>6</v>
      </c>
      <c r="W2089" s="2">
        <v>2</v>
      </c>
      <c r="X2089" s="2">
        <v>3</v>
      </c>
      <c r="Z2089" s="2">
        <v>10</v>
      </c>
      <c r="AA2089" s="3" t="s">
        <v>40</v>
      </c>
      <c r="AB2089" s="2">
        <v>1</v>
      </c>
      <c r="AF2089" s="2">
        <v>23</v>
      </c>
      <c r="AG2089" s="2">
        <v>1</v>
      </c>
      <c r="AH2089" s="3" t="s">
        <v>2194</v>
      </c>
      <c r="AI2089" s="4">
        <v>45056</v>
      </c>
      <c r="AJ2089" s="3" t="s">
        <v>2204</v>
      </c>
      <c r="AK2089" s="3" t="s">
        <v>645</v>
      </c>
    </row>
    <row r="2090" spans="1:37" hidden="1" x14ac:dyDescent="0.25">
      <c r="A2090" t="str">
        <f t="shared" si="32"/>
        <v>2023_SA_Pinery_Fababean_DetailedTOS1VarietyNasmaWaterTrtRainFed</v>
      </c>
      <c r="B2090" s="2">
        <v>2023023</v>
      </c>
      <c r="C2090" s="3" t="s">
        <v>2193</v>
      </c>
      <c r="D2090" s="3" t="s">
        <v>645</v>
      </c>
      <c r="F2090" s="3" t="s">
        <v>4186</v>
      </c>
      <c r="G2090" s="3" t="s">
        <v>43</v>
      </c>
      <c r="H2090" s="3" t="s">
        <v>253</v>
      </c>
      <c r="I2090" s="2">
        <v>11</v>
      </c>
      <c r="J2090" s="2">
        <v>6</v>
      </c>
      <c r="K2090" s="2">
        <v>1</v>
      </c>
      <c r="O2090" s="2">
        <v>2</v>
      </c>
      <c r="U2090" s="2">
        <v>3</v>
      </c>
      <c r="V2090" s="2">
        <v>6</v>
      </c>
      <c r="W2090" s="2">
        <v>3</v>
      </c>
      <c r="X2090" s="2">
        <v>3</v>
      </c>
      <c r="AA2090" s="3" t="s">
        <v>40</v>
      </c>
      <c r="AB2090" s="2">
        <v>3</v>
      </c>
      <c r="AF2090" s="2">
        <v>23</v>
      </c>
      <c r="AG2090" s="2">
        <v>1</v>
      </c>
      <c r="AH2090" s="3" t="s">
        <v>2194</v>
      </c>
      <c r="AI2090" s="4">
        <v>45056</v>
      </c>
      <c r="AJ2090" s="3" t="s">
        <v>2205</v>
      </c>
      <c r="AK2090" s="3" t="s">
        <v>645</v>
      </c>
    </row>
    <row r="2091" spans="1:37" hidden="1" x14ac:dyDescent="0.25">
      <c r="A2091" t="str">
        <f t="shared" si="32"/>
        <v>2023_SA_Pinery_Fababean_DetailedTOS1VarietyNasmaWaterTrtRainFed</v>
      </c>
      <c r="B2091" s="2">
        <v>2023023</v>
      </c>
      <c r="C2091" s="3" t="s">
        <v>2193</v>
      </c>
      <c r="D2091" s="3" t="s">
        <v>645</v>
      </c>
      <c r="F2091" s="3" t="s">
        <v>4186</v>
      </c>
      <c r="G2091" s="3" t="s">
        <v>43</v>
      </c>
      <c r="H2091" s="3" t="s">
        <v>250</v>
      </c>
      <c r="I2091" s="2">
        <v>12</v>
      </c>
      <c r="J2091" s="2">
        <v>6</v>
      </c>
      <c r="K2091" s="2">
        <v>1</v>
      </c>
      <c r="O2091" s="2">
        <v>2</v>
      </c>
      <c r="U2091" s="2">
        <v>4</v>
      </c>
      <c r="V2091" s="2">
        <v>6</v>
      </c>
      <c r="W2091" s="2">
        <v>4</v>
      </c>
      <c r="X2091" s="2">
        <v>3</v>
      </c>
      <c r="Z2091" s="2">
        <v>12</v>
      </c>
      <c r="AA2091" s="3" t="s">
        <v>40</v>
      </c>
      <c r="AB2091" s="2">
        <v>3</v>
      </c>
      <c r="AF2091" s="2">
        <v>23</v>
      </c>
      <c r="AG2091" s="2">
        <v>1</v>
      </c>
      <c r="AH2091" s="3" t="s">
        <v>2194</v>
      </c>
      <c r="AI2091" s="4">
        <v>45056</v>
      </c>
      <c r="AJ2091" s="3" t="s">
        <v>2206</v>
      </c>
      <c r="AK2091" s="3" t="s">
        <v>645</v>
      </c>
    </row>
    <row r="2092" spans="1:37" hidden="1" x14ac:dyDescent="0.25">
      <c r="A2092" t="str">
        <f t="shared" si="32"/>
        <v>2023_SA_Pinery_Fababean_DetailedTOS1VarietyMarneWaterTrtRainFed</v>
      </c>
      <c r="B2092" s="2">
        <v>2023023</v>
      </c>
      <c r="C2092" s="3" t="s">
        <v>2193</v>
      </c>
      <c r="D2092" s="3" t="s">
        <v>645</v>
      </c>
      <c r="F2092" s="3" t="s">
        <v>4184</v>
      </c>
      <c r="G2092" s="3" t="s">
        <v>39</v>
      </c>
      <c r="H2092" s="3" t="s">
        <v>253</v>
      </c>
      <c r="I2092" s="2">
        <v>13</v>
      </c>
      <c r="J2092" s="2">
        <v>7</v>
      </c>
      <c r="K2092" s="2">
        <v>1</v>
      </c>
      <c r="O2092" s="2">
        <v>2</v>
      </c>
      <c r="U2092" s="2">
        <v>1</v>
      </c>
      <c r="V2092" s="2">
        <v>7</v>
      </c>
      <c r="W2092" s="2">
        <v>1</v>
      </c>
      <c r="X2092" s="2">
        <v>4</v>
      </c>
      <c r="AA2092" s="3" t="s">
        <v>40</v>
      </c>
      <c r="AB2092" s="2">
        <v>2</v>
      </c>
      <c r="AF2092" s="2">
        <v>23</v>
      </c>
      <c r="AG2092" s="2">
        <v>1</v>
      </c>
      <c r="AH2092" s="3" t="s">
        <v>2194</v>
      </c>
      <c r="AI2092" s="4">
        <v>45056</v>
      </c>
      <c r="AJ2092" s="3" t="s">
        <v>2207</v>
      </c>
      <c r="AK2092" s="3" t="s">
        <v>645</v>
      </c>
    </row>
    <row r="2093" spans="1:37" hidden="1" x14ac:dyDescent="0.25">
      <c r="A2093" t="str">
        <f t="shared" si="32"/>
        <v>2023_SA_Pinery_Fababean_DetailedTOS1VarietyMarneWaterTrtRainFed</v>
      </c>
      <c r="B2093" s="2">
        <v>2023023</v>
      </c>
      <c r="C2093" s="3" t="s">
        <v>2193</v>
      </c>
      <c r="D2093" s="3" t="s">
        <v>645</v>
      </c>
      <c r="F2093" s="3" t="s">
        <v>4184</v>
      </c>
      <c r="G2093" s="3" t="s">
        <v>39</v>
      </c>
      <c r="H2093" s="3" t="s">
        <v>250</v>
      </c>
      <c r="I2093" s="2">
        <v>14</v>
      </c>
      <c r="J2093" s="2">
        <v>7</v>
      </c>
      <c r="K2093" s="2">
        <v>1</v>
      </c>
      <c r="O2093" s="2">
        <v>2</v>
      </c>
      <c r="U2093" s="2">
        <v>2</v>
      </c>
      <c r="V2093" s="2">
        <v>7</v>
      </c>
      <c r="W2093" s="2">
        <v>2</v>
      </c>
      <c r="X2093" s="2">
        <v>4</v>
      </c>
      <c r="Z2093" s="2">
        <v>15</v>
      </c>
      <c r="AA2093" s="3" t="s">
        <v>40</v>
      </c>
      <c r="AB2093" s="2">
        <v>2</v>
      </c>
      <c r="AF2093" s="2">
        <v>23</v>
      </c>
      <c r="AG2093" s="2">
        <v>1</v>
      </c>
      <c r="AH2093" s="3" t="s">
        <v>2194</v>
      </c>
      <c r="AI2093" s="4">
        <v>45056</v>
      </c>
      <c r="AJ2093" s="3" t="s">
        <v>2208</v>
      </c>
      <c r="AK2093" s="3" t="s">
        <v>645</v>
      </c>
    </row>
    <row r="2094" spans="1:37" hidden="1" x14ac:dyDescent="0.25">
      <c r="A2094" t="str">
        <f t="shared" si="32"/>
        <v>2023_SA_Pinery_Fababean_DetailedTOS1VarietySamiraWaterTrtRainFed</v>
      </c>
      <c r="B2094" s="2">
        <v>2023023</v>
      </c>
      <c r="C2094" s="3" t="s">
        <v>2193</v>
      </c>
      <c r="D2094" s="3" t="s">
        <v>645</v>
      </c>
      <c r="F2094" s="3" t="s">
        <v>4183</v>
      </c>
      <c r="G2094" s="3" t="s">
        <v>43</v>
      </c>
      <c r="H2094" s="3" t="s">
        <v>253</v>
      </c>
      <c r="I2094" s="2">
        <v>15</v>
      </c>
      <c r="J2094" s="2">
        <v>8</v>
      </c>
      <c r="K2094" s="2">
        <v>1</v>
      </c>
      <c r="O2094" s="2">
        <v>2</v>
      </c>
      <c r="U2094" s="2">
        <v>3</v>
      </c>
      <c r="V2094" s="2">
        <v>7</v>
      </c>
      <c r="W2094" s="2">
        <v>3</v>
      </c>
      <c r="X2094" s="2">
        <v>4</v>
      </c>
      <c r="AA2094" s="3" t="s">
        <v>40</v>
      </c>
      <c r="AB2094" s="2">
        <v>4</v>
      </c>
      <c r="AF2094" s="2">
        <v>23</v>
      </c>
      <c r="AG2094" s="2">
        <v>1</v>
      </c>
      <c r="AH2094" s="3" t="s">
        <v>2194</v>
      </c>
      <c r="AI2094" s="4">
        <v>45056</v>
      </c>
      <c r="AJ2094" s="3" t="s">
        <v>2209</v>
      </c>
      <c r="AK2094" s="3" t="s">
        <v>645</v>
      </c>
    </row>
    <row r="2095" spans="1:37" hidden="1" x14ac:dyDescent="0.25">
      <c r="A2095" t="str">
        <f t="shared" si="32"/>
        <v>2023_SA_Pinery_Fababean_DetailedTOS1VarietySamiraWaterTrtRainFed</v>
      </c>
      <c r="B2095" s="2">
        <v>2023023</v>
      </c>
      <c r="C2095" s="3" t="s">
        <v>2193</v>
      </c>
      <c r="D2095" s="3" t="s">
        <v>645</v>
      </c>
      <c r="F2095" s="3" t="s">
        <v>4183</v>
      </c>
      <c r="G2095" s="3" t="s">
        <v>43</v>
      </c>
      <c r="H2095" s="3" t="s">
        <v>250</v>
      </c>
      <c r="I2095" s="2">
        <v>16</v>
      </c>
      <c r="J2095" s="2">
        <v>8</v>
      </c>
      <c r="K2095" s="2">
        <v>1</v>
      </c>
      <c r="O2095" s="2">
        <v>2</v>
      </c>
      <c r="U2095" s="2">
        <v>4</v>
      </c>
      <c r="V2095" s="2">
        <v>7</v>
      </c>
      <c r="W2095" s="2">
        <v>4</v>
      </c>
      <c r="X2095" s="2">
        <v>4</v>
      </c>
      <c r="Z2095" s="2">
        <v>13</v>
      </c>
      <c r="AA2095" s="3" t="s">
        <v>40</v>
      </c>
      <c r="AB2095" s="2">
        <v>4</v>
      </c>
      <c r="AF2095" s="2">
        <v>23</v>
      </c>
      <c r="AG2095" s="2">
        <v>1</v>
      </c>
      <c r="AH2095" s="3" t="s">
        <v>2194</v>
      </c>
      <c r="AI2095" s="4">
        <v>45056</v>
      </c>
      <c r="AJ2095" s="3" t="s">
        <v>2210</v>
      </c>
      <c r="AK2095" s="3" t="s">
        <v>645</v>
      </c>
    </row>
    <row r="2096" spans="1:37" hidden="1" x14ac:dyDescent="0.25">
      <c r="A2096" t="str">
        <f t="shared" si="32"/>
        <v>2023_SA_Pinery_Fababean_DetailedTOS2VarietyMarneWaterTrtIrrigated</v>
      </c>
      <c r="B2096" s="2">
        <v>2023023</v>
      </c>
      <c r="C2096" s="3" t="s">
        <v>2193</v>
      </c>
      <c r="D2096" s="3" t="s">
        <v>645</v>
      </c>
      <c r="F2096" s="3" t="s">
        <v>4184</v>
      </c>
      <c r="G2096" s="3" t="s">
        <v>39</v>
      </c>
      <c r="H2096" s="3" t="s">
        <v>253</v>
      </c>
      <c r="I2096" s="2">
        <v>17</v>
      </c>
      <c r="J2096" s="2">
        <v>9</v>
      </c>
      <c r="K2096" s="2">
        <v>1</v>
      </c>
      <c r="O2096" s="2">
        <v>3</v>
      </c>
      <c r="U2096" s="2">
        <v>1</v>
      </c>
      <c r="V2096" s="2">
        <v>10</v>
      </c>
      <c r="W2096" s="2">
        <v>1</v>
      </c>
      <c r="X2096" s="2">
        <v>5</v>
      </c>
      <c r="AA2096" s="3" t="s">
        <v>57</v>
      </c>
      <c r="AB2096" s="2">
        <v>2</v>
      </c>
      <c r="AF2096" s="2">
        <v>23</v>
      </c>
      <c r="AG2096" s="2">
        <v>2</v>
      </c>
      <c r="AH2096" s="3" t="s">
        <v>2211</v>
      </c>
      <c r="AI2096" s="4">
        <v>45105</v>
      </c>
      <c r="AJ2096" s="3" t="s">
        <v>2212</v>
      </c>
      <c r="AK2096" s="3" t="s">
        <v>645</v>
      </c>
    </row>
    <row r="2097" spans="1:37" hidden="1" x14ac:dyDescent="0.25">
      <c r="A2097" t="str">
        <f t="shared" si="32"/>
        <v>2023_SA_Pinery_Fababean_DetailedTOS2VarietyMarneWaterTrtIrrigated</v>
      </c>
      <c r="B2097" s="2">
        <v>2023023</v>
      </c>
      <c r="C2097" s="3" t="s">
        <v>2193</v>
      </c>
      <c r="D2097" s="3" t="s">
        <v>645</v>
      </c>
      <c r="F2097" s="3" t="s">
        <v>4184</v>
      </c>
      <c r="G2097" s="3" t="s">
        <v>39</v>
      </c>
      <c r="H2097" s="3" t="s">
        <v>250</v>
      </c>
      <c r="I2097" s="2">
        <v>18</v>
      </c>
      <c r="J2097" s="2">
        <v>9</v>
      </c>
      <c r="K2097" s="2">
        <v>1</v>
      </c>
      <c r="O2097" s="2">
        <v>3</v>
      </c>
      <c r="U2097" s="2">
        <v>2</v>
      </c>
      <c r="V2097" s="2">
        <v>10</v>
      </c>
      <c r="W2097" s="2">
        <v>2</v>
      </c>
      <c r="X2097" s="2">
        <v>5</v>
      </c>
      <c r="Z2097" s="2">
        <v>18</v>
      </c>
      <c r="AA2097" s="3" t="s">
        <v>57</v>
      </c>
      <c r="AB2097" s="2">
        <v>2</v>
      </c>
      <c r="AF2097" s="2">
        <v>23</v>
      </c>
      <c r="AG2097" s="2">
        <v>2</v>
      </c>
      <c r="AH2097" s="3" t="s">
        <v>2211</v>
      </c>
      <c r="AI2097" s="4">
        <v>45105</v>
      </c>
      <c r="AJ2097" s="3" t="s">
        <v>2213</v>
      </c>
      <c r="AK2097" s="3" t="s">
        <v>645</v>
      </c>
    </row>
    <row r="2098" spans="1:37" hidden="1" x14ac:dyDescent="0.25">
      <c r="A2098" t="str">
        <f t="shared" si="32"/>
        <v>2023_SA_Pinery_Fababean_DetailedTOS2VarietyAmberleyWaterTrtIrrigated</v>
      </c>
      <c r="B2098" s="2">
        <v>2023023</v>
      </c>
      <c r="C2098" s="3" t="s">
        <v>2193</v>
      </c>
      <c r="D2098" s="3" t="s">
        <v>645</v>
      </c>
      <c r="F2098" s="3" t="s">
        <v>4185</v>
      </c>
      <c r="G2098" s="3" t="s">
        <v>39</v>
      </c>
      <c r="H2098" s="3" t="s">
        <v>253</v>
      </c>
      <c r="I2098" s="2">
        <v>19</v>
      </c>
      <c r="J2098" s="2">
        <v>10</v>
      </c>
      <c r="K2098" s="2">
        <v>1</v>
      </c>
      <c r="O2098" s="2">
        <v>3</v>
      </c>
      <c r="U2098" s="2">
        <v>3</v>
      </c>
      <c r="V2098" s="2">
        <v>10</v>
      </c>
      <c r="W2098" s="2">
        <v>3</v>
      </c>
      <c r="X2098" s="2">
        <v>5</v>
      </c>
      <c r="AA2098" s="3" t="s">
        <v>57</v>
      </c>
      <c r="AB2098" s="2">
        <v>1</v>
      </c>
      <c r="AF2098" s="2">
        <v>23</v>
      </c>
      <c r="AG2098" s="2">
        <v>2</v>
      </c>
      <c r="AH2098" s="3" t="s">
        <v>2211</v>
      </c>
      <c r="AI2098" s="4">
        <v>45105</v>
      </c>
      <c r="AJ2098" s="3" t="s">
        <v>2214</v>
      </c>
      <c r="AK2098" s="3" t="s">
        <v>645</v>
      </c>
    </row>
    <row r="2099" spans="1:37" hidden="1" x14ac:dyDescent="0.25">
      <c r="A2099" t="str">
        <f t="shared" si="32"/>
        <v>2023_SA_Pinery_Fababean_DetailedTOS2VarietyAmberleyWaterTrtIrrigated</v>
      </c>
      <c r="B2099" s="2">
        <v>2023023</v>
      </c>
      <c r="C2099" s="3" t="s">
        <v>2193</v>
      </c>
      <c r="D2099" s="3" t="s">
        <v>645</v>
      </c>
      <c r="F2099" s="3" t="s">
        <v>4185</v>
      </c>
      <c r="G2099" s="3" t="s">
        <v>39</v>
      </c>
      <c r="H2099" s="3" t="s">
        <v>250</v>
      </c>
      <c r="I2099" s="2">
        <v>20</v>
      </c>
      <c r="J2099" s="2">
        <v>10</v>
      </c>
      <c r="K2099" s="2">
        <v>1</v>
      </c>
      <c r="O2099" s="2">
        <v>3</v>
      </c>
      <c r="U2099" s="2">
        <v>4</v>
      </c>
      <c r="V2099" s="2">
        <v>10</v>
      </c>
      <c r="W2099" s="2">
        <v>4</v>
      </c>
      <c r="X2099" s="2">
        <v>5</v>
      </c>
      <c r="Z2099" s="2">
        <v>20</v>
      </c>
      <c r="AA2099" s="3" t="s">
        <v>57</v>
      </c>
      <c r="AB2099" s="2">
        <v>1</v>
      </c>
      <c r="AF2099" s="2">
        <v>23</v>
      </c>
      <c r="AG2099" s="2">
        <v>2</v>
      </c>
      <c r="AH2099" s="3" t="s">
        <v>2211</v>
      </c>
      <c r="AI2099" s="4">
        <v>45105</v>
      </c>
      <c r="AJ2099" s="3" t="s">
        <v>2215</v>
      </c>
      <c r="AK2099" s="3" t="s">
        <v>645</v>
      </c>
    </row>
    <row r="2100" spans="1:37" hidden="1" x14ac:dyDescent="0.25">
      <c r="A2100" t="str">
        <f t="shared" si="32"/>
        <v>2023_SA_Pinery_Fababean_DetailedTOS2VarietySamiraWaterTrtIrrigated</v>
      </c>
      <c r="B2100" s="2">
        <v>2023023</v>
      </c>
      <c r="C2100" s="3" t="s">
        <v>2193</v>
      </c>
      <c r="D2100" s="3" t="s">
        <v>645</v>
      </c>
      <c r="F2100" s="3" t="s">
        <v>4183</v>
      </c>
      <c r="G2100" s="3" t="s">
        <v>43</v>
      </c>
      <c r="H2100" s="3" t="s">
        <v>253</v>
      </c>
      <c r="I2100" s="2">
        <v>21</v>
      </c>
      <c r="J2100" s="2">
        <v>11</v>
      </c>
      <c r="K2100" s="2">
        <v>1</v>
      </c>
      <c r="O2100" s="2">
        <v>3</v>
      </c>
      <c r="U2100" s="2">
        <v>1</v>
      </c>
      <c r="V2100" s="2">
        <v>11</v>
      </c>
      <c r="W2100" s="2">
        <v>1</v>
      </c>
      <c r="X2100" s="2">
        <v>6</v>
      </c>
      <c r="AA2100" s="3" t="s">
        <v>57</v>
      </c>
      <c r="AB2100" s="2">
        <v>4</v>
      </c>
      <c r="AF2100" s="2">
        <v>23</v>
      </c>
      <c r="AG2100" s="2">
        <v>2</v>
      </c>
      <c r="AH2100" s="3" t="s">
        <v>2211</v>
      </c>
      <c r="AI2100" s="4">
        <v>45105</v>
      </c>
      <c r="AJ2100" s="3" t="s">
        <v>2216</v>
      </c>
      <c r="AK2100" s="3" t="s">
        <v>645</v>
      </c>
    </row>
    <row r="2101" spans="1:37" hidden="1" x14ac:dyDescent="0.25">
      <c r="A2101" t="str">
        <f t="shared" si="32"/>
        <v>2023_SA_Pinery_Fababean_DetailedTOS2VarietySamiraWaterTrtIrrigated</v>
      </c>
      <c r="B2101" s="2">
        <v>2023023</v>
      </c>
      <c r="C2101" s="3" t="s">
        <v>2193</v>
      </c>
      <c r="D2101" s="3" t="s">
        <v>645</v>
      </c>
      <c r="F2101" s="3" t="s">
        <v>4183</v>
      </c>
      <c r="G2101" s="3" t="s">
        <v>43</v>
      </c>
      <c r="H2101" s="3" t="s">
        <v>250</v>
      </c>
      <c r="I2101" s="2">
        <v>22</v>
      </c>
      <c r="J2101" s="2">
        <v>11</v>
      </c>
      <c r="K2101" s="2">
        <v>1</v>
      </c>
      <c r="O2101" s="2">
        <v>3</v>
      </c>
      <c r="U2101" s="2">
        <v>2</v>
      </c>
      <c r="V2101" s="2">
        <v>11</v>
      </c>
      <c r="W2101" s="2">
        <v>2</v>
      </c>
      <c r="X2101" s="2">
        <v>6</v>
      </c>
      <c r="Z2101" s="2">
        <v>23</v>
      </c>
      <c r="AA2101" s="3" t="s">
        <v>57</v>
      </c>
      <c r="AB2101" s="2">
        <v>4</v>
      </c>
      <c r="AF2101" s="2">
        <v>23</v>
      </c>
      <c r="AG2101" s="2">
        <v>2</v>
      </c>
      <c r="AH2101" s="3" t="s">
        <v>2211</v>
      </c>
      <c r="AI2101" s="4">
        <v>45105</v>
      </c>
      <c r="AJ2101" s="3" t="s">
        <v>2217</v>
      </c>
      <c r="AK2101" s="3" t="s">
        <v>645</v>
      </c>
    </row>
    <row r="2102" spans="1:37" hidden="1" x14ac:dyDescent="0.25">
      <c r="A2102" t="str">
        <f t="shared" si="32"/>
        <v>2023_SA_Pinery_Fababean_DetailedTOS2VarietyNasmaWaterTrtIrrigated</v>
      </c>
      <c r="B2102" s="2">
        <v>2023023</v>
      </c>
      <c r="C2102" s="3" t="s">
        <v>2193</v>
      </c>
      <c r="D2102" s="3" t="s">
        <v>645</v>
      </c>
      <c r="F2102" s="3" t="s">
        <v>4186</v>
      </c>
      <c r="G2102" s="3" t="s">
        <v>43</v>
      </c>
      <c r="H2102" s="3" t="s">
        <v>253</v>
      </c>
      <c r="I2102" s="2">
        <v>23</v>
      </c>
      <c r="J2102" s="2">
        <v>12</v>
      </c>
      <c r="K2102" s="2">
        <v>1</v>
      </c>
      <c r="O2102" s="2">
        <v>3</v>
      </c>
      <c r="U2102" s="2">
        <v>3</v>
      </c>
      <c r="V2102" s="2">
        <v>11</v>
      </c>
      <c r="W2102" s="2">
        <v>3</v>
      </c>
      <c r="X2102" s="2">
        <v>6</v>
      </c>
      <c r="AA2102" s="3" t="s">
        <v>57</v>
      </c>
      <c r="AB2102" s="2">
        <v>3</v>
      </c>
      <c r="AF2102" s="2">
        <v>23</v>
      </c>
      <c r="AG2102" s="2">
        <v>2</v>
      </c>
      <c r="AH2102" s="3" t="s">
        <v>2211</v>
      </c>
      <c r="AI2102" s="4">
        <v>45105</v>
      </c>
      <c r="AJ2102" s="3" t="s">
        <v>2218</v>
      </c>
      <c r="AK2102" s="3" t="s">
        <v>645</v>
      </c>
    </row>
    <row r="2103" spans="1:37" hidden="1" x14ac:dyDescent="0.25">
      <c r="A2103" t="str">
        <f t="shared" si="32"/>
        <v>2023_SA_Pinery_Fababean_DetailedTOS2VarietyNasmaWaterTrtIrrigated</v>
      </c>
      <c r="B2103" s="2">
        <v>2023023</v>
      </c>
      <c r="C2103" s="3" t="s">
        <v>2193</v>
      </c>
      <c r="D2103" s="3" t="s">
        <v>645</v>
      </c>
      <c r="F2103" s="3" t="s">
        <v>4186</v>
      </c>
      <c r="G2103" s="3" t="s">
        <v>43</v>
      </c>
      <c r="H2103" s="3" t="s">
        <v>250</v>
      </c>
      <c r="I2103" s="2">
        <v>24</v>
      </c>
      <c r="J2103" s="2">
        <v>12</v>
      </c>
      <c r="K2103" s="2">
        <v>1</v>
      </c>
      <c r="O2103" s="2">
        <v>3</v>
      </c>
      <c r="U2103" s="2">
        <v>4</v>
      </c>
      <c r="V2103" s="2">
        <v>11</v>
      </c>
      <c r="W2103" s="2">
        <v>4</v>
      </c>
      <c r="X2103" s="2">
        <v>6</v>
      </c>
      <c r="Z2103" s="2">
        <v>21</v>
      </c>
      <c r="AA2103" s="3" t="s">
        <v>57</v>
      </c>
      <c r="AB2103" s="2">
        <v>3</v>
      </c>
      <c r="AF2103" s="2">
        <v>23</v>
      </c>
      <c r="AG2103" s="2">
        <v>2</v>
      </c>
      <c r="AH2103" s="3" t="s">
        <v>2211</v>
      </c>
      <c r="AI2103" s="4">
        <v>45105</v>
      </c>
      <c r="AJ2103" s="3" t="s">
        <v>2219</v>
      </c>
      <c r="AK2103" s="3" t="s">
        <v>645</v>
      </c>
    </row>
    <row r="2104" spans="1:37" hidden="1" x14ac:dyDescent="0.25">
      <c r="A2104" t="str">
        <f t="shared" si="32"/>
        <v>2023_SA_Pinery_Fababean_DetailedTOS2VarietyNasmaWaterTrtRainFed</v>
      </c>
      <c r="B2104" s="2">
        <v>2023023</v>
      </c>
      <c r="C2104" s="3" t="s">
        <v>2193</v>
      </c>
      <c r="D2104" s="3" t="s">
        <v>645</v>
      </c>
      <c r="F2104" s="3" t="s">
        <v>4186</v>
      </c>
      <c r="G2104" s="3" t="s">
        <v>43</v>
      </c>
      <c r="H2104" s="3" t="s">
        <v>253</v>
      </c>
      <c r="I2104" s="2">
        <v>25</v>
      </c>
      <c r="J2104" s="2">
        <v>13</v>
      </c>
      <c r="K2104" s="2">
        <v>1</v>
      </c>
      <c r="O2104" s="2">
        <v>4</v>
      </c>
      <c r="U2104" s="2">
        <v>1</v>
      </c>
      <c r="V2104" s="2">
        <v>14</v>
      </c>
      <c r="W2104" s="2">
        <v>1</v>
      </c>
      <c r="X2104" s="2">
        <v>7</v>
      </c>
      <c r="AA2104" s="3" t="s">
        <v>40</v>
      </c>
      <c r="AB2104" s="2">
        <v>3</v>
      </c>
      <c r="AF2104" s="2">
        <v>23</v>
      </c>
      <c r="AG2104" s="2">
        <v>2</v>
      </c>
      <c r="AH2104" s="3" t="s">
        <v>2211</v>
      </c>
      <c r="AI2104" s="4">
        <v>45105</v>
      </c>
      <c r="AJ2104" s="3" t="s">
        <v>2220</v>
      </c>
      <c r="AK2104" s="3" t="s">
        <v>645</v>
      </c>
    </row>
    <row r="2105" spans="1:37" hidden="1" x14ac:dyDescent="0.25">
      <c r="A2105" t="str">
        <f t="shared" si="32"/>
        <v>2023_SA_Pinery_Fababean_DetailedTOS2VarietyNasmaWaterTrtRainFed</v>
      </c>
      <c r="B2105" s="2">
        <v>2023023</v>
      </c>
      <c r="C2105" s="3" t="s">
        <v>2193</v>
      </c>
      <c r="D2105" s="3" t="s">
        <v>645</v>
      </c>
      <c r="F2105" s="3" t="s">
        <v>4186</v>
      </c>
      <c r="G2105" s="3" t="s">
        <v>43</v>
      </c>
      <c r="H2105" s="3" t="s">
        <v>250</v>
      </c>
      <c r="I2105" s="2">
        <v>26</v>
      </c>
      <c r="J2105" s="2">
        <v>13</v>
      </c>
      <c r="K2105" s="2">
        <v>1</v>
      </c>
      <c r="O2105" s="2">
        <v>4</v>
      </c>
      <c r="U2105" s="2">
        <v>2</v>
      </c>
      <c r="V2105" s="2">
        <v>14</v>
      </c>
      <c r="W2105" s="2">
        <v>2</v>
      </c>
      <c r="X2105" s="2">
        <v>7</v>
      </c>
      <c r="Z2105" s="2">
        <v>26</v>
      </c>
      <c r="AA2105" s="3" t="s">
        <v>40</v>
      </c>
      <c r="AB2105" s="2">
        <v>3</v>
      </c>
      <c r="AF2105" s="2">
        <v>23</v>
      </c>
      <c r="AG2105" s="2">
        <v>2</v>
      </c>
      <c r="AH2105" s="3" t="s">
        <v>2211</v>
      </c>
      <c r="AI2105" s="4">
        <v>45105</v>
      </c>
      <c r="AJ2105" s="3" t="s">
        <v>2221</v>
      </c>
      <c r="AK2105" s="3" t="s">
        <v>645</v>
      </c>
    </row>
    <row r="2106" spans="1:37" hidden="1" x14ac:dyDescent="0.25">
      <c r="A2106" t="str">
        <f t="shared" si="32"/>
        <v>2023_SA_Pinery_Fababean_DetailedTOS2VarietySamiraWaterTrtRainFed</v>
      </c>
      <c r="B2106" s="2">
        <v>2023023</v>
      </c>
      <c r="C2106" s="3" t="s">
        <v>2193</v>
      </c>
      <c r="D2106" s="3" t="s">
        <v>645</v>
      </c>
      <c r="F2106" s="3" t="s">
        <v>4183</v>
      </c>
      <c r="G2106" s="3" t="s">
        <v>43</v>
      </c>
      <c r="H2106" s="3" t="s">
        <v>253</v>
      </c>
      <c r="I2106" s="2">
        <v>27</v>
      </c>
      <c r="J2106" s="2">
        <v>14</v>
      </c>
      <c r="K2106" s="2">
        <v>1</v>
      </c>
      <c r="O2106" s="2">
        <v>4</v>
      </c>
      <c r="U2106" s="2">
        <v>3</v>
      </c>
      <c r="V2106" s="2">
        <v>14</v>
      </c>
      <c r="W2106" s="2">
        <v>3</v>
      </c>
      <c r="X2106" s="2">
        <v>7</v>
      </c>
      <c r="AA2106" s="3" t="s">
        <v>40</v>
      </c>
      <c r="AB2106" s="2">
        <v>4</v>
      </c>
      <c r="AF2106" s="2">
        <v>23</v>
      </c>
      <c r="AG2106" s="2">
        <v>2</v>
      </c>
      <c r="AH2106" s="3" t="s">
        <v>2211</v>
      </c>
      <c r="AI2106" s="4">
        <v>45105</v>
      </c>
      <c r="AJ2106" s="3" t="s">
        <v>2222</v>
      </c>
      <c r="AK2106" s="3" t="s">
        <v>645</v>
      </c>
    </row>
    <row r="2107" spans="1:37" hidden="1" x14ac:dyDescent="0.25">
      <c r="A2107" t="str">
        <f t="shared" si="32"/>
        <v>2023_SA_Pinery_Fababean_DetailedTOS2VarietySamiraWaterTrtRainFed</v>
      </c>
      <c r="B2107" s="2">
        <v>2023023</v>
      </c>
      <c r="C2107" s="3" t="s">
        <v>2193</v>
      </c>
      <c r="D2107" s="3" t="s">
        <v>645</v>
      </c>
      <c r="F2107" s="3" t="s">
        <v>4183</v>
      </c>
      <c r="G2107" s="3" t="s">
        <v>43</v>
      </c>
      <c r="H2107" s="3" t="s">
        <v>250</v>
      </c>
      <c r="I2107" s="2">
        <v>28</v>
      </c>
      <c r="J2107" s="2">
        <v>14</v>
      </c>
      <c r="K2107" s="2">
        <v>1</v>
      </c>
      <c r="O2107" s="2">
        <v>4</v>
      </c>
      <c r="U2107" s="2">
        <v>4</v>
      </c>
      <c r="V2107" s="2">
        <v>14</v>
      </c>
      <c r="W2107" s="2">
        <v>4</v>
      </c>
      <c r="X2107" s="2">
        <v>7</v>
      </c>
      <c r="Z2107" s="2">
        <v>28</v>
      </c>
      <c r="AA2107" s="3" t="s">
        <v>40</v>
      </c>
      <c r="AB2107" s="2">
        <v>4</v>
      </c>
      <c r="AF2107" s="2">
        <v>23</v>
      </c>
      <c r="AG2107" s="2">
        <v>2</v>
      </c>
      <c r="AH2107" s="3" t="s">
        <v>2211</v>
      </c>
      <c r="AI2107" s="4">
        <v>45105</v>
      </c>
      <c r="AJ2107" s="3" t="s">
        <v>2223</v>
      </c>
      <c r="AK2107" s="3" t="s">
        <v>645</v>
      </c>
    </row>
    <row r="2108" spans="1:37" hidden="1" x14ac:dyDescent="0.25">
      <c r="A2108" t="str">
        <f t="shared" si="32"/>
        <v>2023_SA_Pinery_Fababean_DetailedTOS2VarietyAmberleyWaterTrtRainFed</v>
      </c>
      <c r="B2108" s="2">
        <v>2023023</v>
      </c>
      <c r="C2108" s="3" t="s">
        <v>2193</v>
      </c>
      <c r="D2108" s="3" t="s">
        <v>645</v>
      </c>
      <c r="F2108" s="3" t="s">
        <v>4185</v>
      </c>
      <c r="G2108" s="3" t="s">
        <v>39</v>
      </c>
      <c r="H2108" s="3" t="s">
        <v>253</v>
      </c>
      <c r="I2108" s="2">
        <v>29</v>
      </c>
      <c r="J2108" s="2">
        <v>15</v>
      </c>
      <c r="K2108" s="2">
        <v>1</v>
      </c>
      <c r="O2108" s="2">
        <v>4</v>
      </c>
      <c r="U2108" s="2">
        <v>1</v>
      </c>
      <c r="V2108" s="2">
        <v>15</v>
      </c>
      <c r="W2108" s="2">
        <v>1</v>
      </c>
      <c r="X2108" s="2">
        <v>8</v>
      </c>
      <c r="AA2108" s="3" t="s">
        <v>40</v>
      </c>
      <c r="AB2108" s="2">
        <v>1</v>
      </c>
      <c r="AF2108" s="2">
        <v>23</v>
      </c>
      <c r="AG2108" s="2">
        <v>2</v>
      </c>
      <c r="AH2108" s="3" t="s">
        <v>2211</v>
      </c>
      <c r="AI2108" s="4">
        <v>45105</v>
      </c>
      <c r="AJ2108" s="3" t="s">
        <v>2224</v>
      </c>
      <c r="AK2108" s="3" t="s">
        <v>645</v>
      </c>
    </row>
    <row r="2109" spans="1:37" hidden="1" x14ac:dyDescent="0.25">
      <c r="A2109" t="str">
        <f t="shared" si="32"/>
        <v>2023_SA_Pinery_Fababean_DetailedTOS2VarietyAmberleyWaterTrtRainFed</v>
      </c>
      <c r="B2109" s="2">
        <v>2023023</v>
      </c>
      <c r="C2109" s="3" t="s">
        <v>2193</v>
      </c>
      <c r="D2109" s="3" t="s">
        <v>645</v>
      </c>
      <c r="F2109" s="3" t="s">
        <v>4185</v>
      </c>
      <c r="G2109" s="3" t="s">
        <v>39</v>
      </c>
      <c r="H2109" s="3" t="s">
        <v>250</v>
      </c>
      <c r="I2109" s="2">
        <v>30</v>
      </c>
      <c r="J2109" s="2">
        <v>15</v>
      </c>
      <c r="K2109" s="2">
        <v>1</v>
      </c>
      <c r="O2109" s="2">
        <v>4</v>
      </c>
      <c r="U2109" s="2">
        <v>2</v>
      </c>
      <c r="V2109" s="2">
        <v>15</v>
      </c>
      <c r="W2109" s="2">
        <v>2</v>
      </c>
      <c r="X2109" s="2">
        <v>8</v>
      </c>
      <c r="Z2109" s="2">
        <v>31</v>
      </c>
      <c r="AA2109" s="3" t="s">
        <v>40</v>
      </c>
      <c r="AB2109" s="2">
        <v>1</v>
      </c>
      <c r="AF2109" s="2">
        <v>23</v>
      </c>
      <c r="AG2109" s="2">
        <v>2</v>
      </c>
      <c r="AH2109" s="3" t="s">
        <v>2211</v>
      </c>
      <c r="AI2109" s="4">
        <v>45105</v>
      </c>
      <c r="AJ2109" s="3" t="s">
        <v>2225</v>
      </c>
      <c r="AK2109" s="3" t="s">
        <v>645</v>
      </c>
    </row>
    <row r="2110" spans="1:37" hidden="1" x14ac:dyDescent="0.25">
      <c r="A2110" t="str">
        <f t="shared" si="32"/>
        <v>2023_SA_Pinery_Fababean_DetailedTOS2VarietyMarneWaterTrtRainFed</v>
      </c>
      <c r="B2110" s="2">
        <v>2023023</v>
      </c>
      <c r="C2110" s="3" t="s">
        <v>2193</v>
      </c>
      <c r="D2110" s="3" t="s">
        <v>645</v>
      </c>
      <c r="F2110" s="3" t="s">
        <v>4184</v>
      </c>
      <c r="G2110" s="3" t="s">
        <v>39</v>
      </c>
      <c r="H2110" s="3" t="s">
        <v>253</v>
      </c>
      <c r="I2110" s="2">
        <v>31</v>
      </c>
      <c r="J2110" s="2">
        <v>16</v>
      </c>
      <c r="K2110" s="2">
        <v>1</v>
      </c>
      <c r="O2110" s="2">
        <v>4</v>
      </c>
      <c r="U2110" s="2">
        <v>3</v>
      </c>
      <c r="V2110" s="2">
        <v>15</v>
      </c>
      <c r="W2110" s="2">
        <v>3</v>
      </c>
      <c r="X2110" s="2">
        <v>8</v>
      </c>
      <c r="AA2110" s="3" t="s">
        <v>40</v>
      </c>
      <c r="AB2110" s="2">
        <v>2</v>
      </c>
      <c r="AF2110" s="2">
        <v>23</v>
      </c>
      <c r="AG2110" s="2">
        <v>2</v>
      </c>
      <c r="AH2110" s="3" t="s">
        <v>2211</v>
      </c>
      <c r="AI2110" s="4">
        <v>45105</v>
      </c>
      <c r="AJ2110" s="3" t="s">
        <v>2226</v>
      </c>
      <c r="AK2110" s="3" t="s">
        <v>645</v>
      </c>
    </row>
    <row r="2111" spans="1:37" hidden="1" x14ac:dyDescent="0.25">
      <c r="A2111" t="str">
        <f t="shared" si="32"/>
        <v>2023_SA_Pinery_Fababean_DetailedTOS2VarietyMarneWaterTrtRainFed</v>
      </c>
      <c r="B2111" s="2">
        <v>2023023</v>
      </c>
      <c r="C2111" s="3" t="s">
        <v>2193</v>
      </c>
      <c r="D2111" s="3" t="s">
        <v>645</v>
      </c>
      <c r="F2111" s="3" t="s">
        <v>4184</v>
      </c>
      <c r="G2111" s="3" t="s">
        <v>39</v>
      </c>
      <c r="H2111" s="3" t="s">
        <v>250</v>
      </c>
      <c r="I2111" s="2">
        <v>32</v>
      </c>
      <c r="J2111" s="2">
        <v>16</v>
      </c>
      <c r="K2111" s="2">
        <v>1</v>
      </c>
      <c r="O2111" s="2">
        <v>4</v>
      </c>
      <c r="U2111" s="2">
        <v>4</v>
      </c>
      <c r="V2111" s="2">
        <v>15</v>
      </c>
      <c r="W2111" s="2">
        <v>4</v>
      </c>
      <c r="X2111" s="2">
        <v>8</v>
      </c>
      <c r="Z2111" s="2">
        <v>29</v>
      </c>
      <c r="AA2111" s="3" t="s">
        <v>40</v>
      </c>
      <c r="AB2111" s="2">
        <v>2</v>
      </c>
      <c r="AF2111" s="2">
        <v>23</v>
      </c>
      <c r="AG2111" s="2">
        <v>2</v>
      </c>
      <c r="AH2111" s="3" t="s">
        <v>2211</v>
      </c>
      <c r="AI2111" s="4">
        <v>45105</v>
      </c>
      <c r="AJ2111" s="3" t="s">
        <v>2227</v>
      </c>
      <c r="AK2111" s="3" t="s">
        <v>645</v>
      </c>
    </row>
    <row r="2112" spans="1:37" hidden="1" x14ac:dyDescent="0.25">
      <c r="A2112" t="str">
        <f t="shared" si="32"/>
        <v>2023_SA_Pinery_Fababean_DetailedTOS1VarietySamiraWaterTrtRainFed</v>
      </c>
      <c r="B2112" s="2">
        <v>2023023</v>
      </c>
      <c r="C2112" s="3" t="s">
        <v>2193</v>
      </c>
      <c r="D2112" s="3" t="s">
        <v>645</v>
      </c>
      <c r="F2112" s="3" t="s">
        <v>4183</v>
      </c>
      <c r="G2112" s="3" t="s">
        <v>43</v>
      </c>
      <c r="H2112" s="3" t="s">
        <v>253</v>
      </c>
      <c r="I2112" s="2">
        <v>33</v>
      </c>
      <c r="J2112" s="2">
        <v>17</v>
      </c>
      <c r="K2112" s="2">
        <v>2</v>
      </c>
      <c r="O2112" s="2">
        <v>5</v>
      </c>
      <c r="U2112" s="2">
        <v>1</v>
      </c>
      <c r="V2112" s="2">
        <v>18</v>
      </c>
      <c r="W2112" s="2">
        <v>1</v>
      </c>
      <c r="X2112" s="2">
        <v>9</v>
      </c>
      <c r="AA2112" s="3" t="s">
        <v>40</v>
      </c>
      <c r="AB2112" s="2">
        <v>4</v>
      </c>
      <c r="AF2112" s="2">
        <v>23</v>
      </c>
      <c r="AG2112" s="2">
        <v>1</v>
      </c>
      <c r="AH2112" s="3" t="s">
        <v>2194</v>
      </c>
      <c r="AI2112" s="4">
        <v>45056</v>
      </c>
      <c r="AJ2112" s="3" t="s">
        <v>2228</v>
      </c>
      <c r="AK2112" s="3" t="s">
        <v>645</v>
      </c>
    </row>
    <row r="2113" spans="1:37" hidden="1" x14ac:dyDescent="0.25">
      <c r="A2113" t="str">
        <f t="shared" si="32"/>
        <v>2023_SA_Pinery_Fababean_DetailedTOS1VarietySamiraWaterTrtRainFed</v>
      </c>
      <c r="B2113" s="2">
        <v>2023023</v>
      </c>
      <c r="C2113" s="3" t="s">
        <v>2193</v>
      </c>
      <c r="D2113" s="3" t="s">
        <v>645</v>
      </c>
      <c r="F2113" s="3" t="s">
        <v>4183</v>
      </c>
      <c r="G2113" s="3" t="s">
        <v>43</v>
      </c>
      <c r="H2113" s="3" t="s">
        <v>250</v>
      </c>
      <c r="I2113" s="2">
        <v>34</v>
      </c>
      <c r="J2113" s="2">
        <v>17</v>
      </c>
      <c r="K2113" s="2">
        <v>2</v>
      </c>
      <c r="O2113" s="2">
        <v>5</v>
      </c>
      <c r="U2113" s="2">
        <v>2</v>
      </c>
      <c r="V2113" s="2">
        <v>18</v>
      </c>
      <c r="W2113" s="2">
        <v>2</v>
      </c>
      <c r="X2113" s="2">
        <v>9</v>
      </c>
      <c r="Z2113" s="2">
        <v>34</v>
      </c>
      <c r="AA2113" s="3" t="s">
        <v>40</v>
      </c>
      <c r="AB2113" s="2">
        <v>4</v>
      </c>
      <c r="AF2113" s="2">
        <v>23</v>
      </c>
      <c r="AG2113" s="2">
        <v>1</v>
      </c>
      <c r="AH2113" s="3" t="s">
        <v>2194</v>
      </c>
      <c r="AI2113" s="4">
        <v>45056</v>
      </c>
      <c r="AJ2113" s="3" t="s">
        <v>2229</v>
      </c>
      <c r="AK2113" s="3" t="s">
        <v>645</v>
      </c>
    </row>
    <row r="2114" spans="1:37" hidden="1" x14ac:dyDescent="0.25">
      <c r="A2114" t="str">
        <f t="shared" si="32"/>
        <v>2023_SA_Pinery_Fababean_DetailedTOS1VarietyNasmaWaterTrtRainFed</v>
      </c>
      <c r="B2114" s="2">
        <v>2023023</v>
      </c>
      <c r="C2114" s="3" t="s">
        <v>2193</v>
      </c>
      <c r="D2114" s="3" t="s">
        <v>645</v>
      </c>
      <c r="F2114" s="3" t="s">
        <v>4186</v>
      </c>
      <c r="G2114" s="3" t="s">
        <v>43</v>
      </c>
      <c r="H2114" s="3" t="s">
        <v>253</v>
      </c>
      <c r="I2114" s="2">
        <v>35</v>
      </c>
      <c r="J2114" s="2">
        <v>18</v>
      </c>
      <c r="K2114" s="2">
        <v>2</v>
      </c>
      <c r="O2114" s="2">
        <v>5</v>
      </c>
      <c r="U2114" s="2">
        <v>3</v>
      </c>
      <c r="V2114" s="2">
        <v>18</v>
      </c>
      <c r="W2114" s="2">
        <v>3</v>
      </c>
      <c r="X2114" s="2">
        <v>9</v>
      </c>
      <c r="AA2114" s="3" t="s">
        <v>40</v>
      </c>
      <c r="AB2114" s="2">
        <v>3</v>
      </c>
      <c r="AF2114" s="2">
        <v>23</v>
      </c>
      <c r="AG2114" s="2">
        <v>1</v>
      </c>
      <c r="AH2114" s="3" t="s">
        <v>2194</v>
      </c>
      <c r="AI2114" s="4">
        <v>45056</v>
      </c>
      <c r="AJ2114" s="3" t="s">
        <v>2230</v>
      </c>
      <c r="AK2114" s="3" t="s">
        <v>645</v>
      </c>
    </row>
    <row r="2115" spans="1:37" hidden="1" x14ac:dyDescent="0.25">
      <c r="A2115" t="str">
        <f t="shared" ref="A2115:A2178" si="33">C2115&amp;"TOS"&amp;AG2115&amp;"Variety"&amp;F2115&amp;"WaterTrt"&amp;AA2115&amp;IF(AC2115="","","Agronomy"&amp;AC2115)</f>
        <v>2023_SA_Pinery_Fababean_DetailedTOS1VarietyNasmaWaterTrtRainFed</v>
      </c>
      <c r="B2115" s="2">
        <v>2023023</v>
      </c>
      <c r="C2115" s="3" t="s">
        <v>2193</v>
      </c>
      <c r="D2115" s="3" t="s">
        <v>645</v>
      </c>
      <c r="F2115" s="3" t="s">
        <v>4186</v>
      </c>
      <c r="G2115" s="3" t="s">
        <v>43</v>
      </c>
      <c r="H2115" s="3" t="s">
        <v>250</v>
      </c>
      <c r="I2115" s="2">
        <v>36</v>
      </c>
      <c r="J2115" s="2">
        <v>18</v>
      </c>
      <c r="K2115" s="2">
        <v>2</v>
      </c>
      <c r="O2115" s="2">
        <v>5</v>
      </c>
      <c r="U2115" s="2">
        <v>4</v>
      </c>
      <c r="V2115" s="2">
        <v>18</v>
      </c>
      <c r="W2115" s="2">
        <v>4</v>
      </c>
      <c r="X2115" s="2">
        <v>9</v>
      </c>
      <c r="Z2115" s="2">
        <v>36</v>
      </c>
      <c r="AA2115" s="3" t="s">
        <v>40</v>
      </c>
      <c r="AB2115" s="2">
        <v>3</v>
      </c>
      <c r="AF2115" s="2">
        <v>23</v>
      </c>
      <c r="AG2115" s="2">
        <v>1</v>
      </c>
      <c r="AH2115" s="3" t="s">
        <v>2194</v>
      </c>
      <c r="AI2115" s="4">
        <v>45056</v>
      </c>
      <c r="AJ2115" s="3" t="s">
        <v>2231</v>
      </c>
      <c r="AK2115" s="3" t="s">
        <v>645</v>
      </c>
    </row>
    <row r="2116" spans="1:37" hidden="1" x14ac:dyDescent="0.25">
      <c r="A2116" t="str">
        <f t="shared" si="33"/>
        <v>2023_SA_Pinery_Fababean_DetailedTOS1VarietyAmberleyWaterTrtRainFed</v>
      </c>
      <c r="B2116" s="2">
        <v>2023023</v>
      </c>
      <c r="C2116" s="3" t="s">
        <v>2193</v>
      </c>
      <c r="D2116" s="3" t="s">
        <v>645</v>
      </c>
      <c r="F2116" s="3" t="s">
        <v>4185</v>
      </c>
      <c r="G2116" s="3" t="s">
        <v>39</v>
      </c>
      <c r="H2116" s="3" t="s">
        <v>253</v>
      </c>
      <c r="I2116" s="2">
        <v>37</v>
      </c>
      <c r="J2116" s="2">
        <v>19</v>
      </c>
      <c r="K2116" s="2">
        <v>2</v>
      </c>
      <c r="O2116" s="2">
        <v>5</v>
      </c>
      <c r="U2116" s="2">
        <v>1</v>
      </c>
      <c r="V2116" s="2">
        <v>19</v>
      </c>
      <c r="W2116" s="2">
        <v>1</v>
      </c>
      <c r="X2116" s="2">
        <v>10</v>
      </c>
      <c r="AA2116" s="3" t="s">
        <v>40</v>
      </c>
      <c r="AB2116" s="2">
        <v>1</v>
      </c>
      <c r="AF2116" s="2">
        <v>23</v>
      </c>
      <c r="AG2116" s="2">
        <v>1</v>
      </c>
      <c r="AH2116" s="3" t="s">
        <v>2194</v>
      </c>
      <c r="AI2116" s="4">
        <v>45056</v>
      </c>
      <c r="AJ2116" s="3" t="s">
        <v>2232</v>
      </c>
      <c r="AK2116" s="3" t="s">
        <v>645</v>
      </c>
    </row>
    <row r="2117" spans="1:37" hidden="1" x14ac:dyDescent="0.25">
      <c r="A2117" t="str">
        <f t="shared" si="33"/>
        <v>2023_SA_Pinery_Fababean_DetailedTOS1VarietyAmberleyWaterTrtRainFed</v>
      </c>
      <c r="B2117" s="2">
        <v>2023023</v>
      </c>
      <c r="C2117" s="3" t="s">
        <v>2193</v>
      </c>
      <c r="D2117" s="3" t="s">
        <v>645</v>
      </c>
      <c r="F2117" s="3" t="s">
        <v>4185</v>
      </c>
      <c r="G2117" s="3" t="s">
        <v>39</v>
      </c>
      <c r="H2117" s="3" t="s">
        <v>250</v>
      </c>
      <c r="I2117" s="2">
        <v>38</v>
      </c>
      <c r="J2117" s="2">
        <v>19</v>
      </c>
      <c r="K2117" s="2">
        <v>2</v>
      </c>
      <c r="O2117" s="2">
        <v>5</v>
      </c>
      <c r="U2117" s="2">
        <v>2</v>
      </c>
      <c r="V2117" s="2">
        <v>19</v>
      </c>
      <c r="W2117" s="2">
        <v>2</v>
      </c>
      <c r="X2117" s="2">
        <v>10</v>
      </c>
      <c r="Z2117" s="2">
        <v>39</v>
      </c>
      <c r="AA2117" s="3" t="s">
        <v>40</v>
      </c>
      <c r="AB2117" s="2">
        <v>1</v>
      </c>
      <c r="AF2117" s="2">
        <v>23</v>
      </c>
      <c r="AG2117" s="2">
        <v>1</v>
      </c>
      <c r="AH2117" s="3" t="s">
        <v>2194</v>
      </c>
      <c r="AI2117" s="4">
        <v>45056</v>
      </c>
      <c r="AJ2117" s="3" t="s">
        <v>2233</v>
      </c>
      <c r="AK2117" s="3" t="s">
        <v>645</v>
      </c>
    </row>
    <row r="2118" spans="1:37" hidden="1" x14ac:dyDescent="0.25">
      <c r="A2118" t="str">
        <f t="shared" si="33"/>
        <v>2023_SA_Pinery_Fababean_DetailedTOS1VarietyMarneWaterTrtRainFed</v>
      </c>
      <c r="B2118" s="2">
        <v>2023023</v>
      </c>
      <c r="C2118" s="3" t="s">
        <v>2193</v>
      </c>
      <c r="D2118" s="3" t="s">
        <v>645</v>
      </c>
      <c r="F2118" s="3" t="s">
        <v>4184</v>
      </c>
      <c r="G2118" s="3" t="s">
        <v>39</v>
      </c>
      <c r="H2118" s="3" t="s">
        <v>253</v>
      </c>
      <c r="I2118" s="2">
        <v>39</v>
      </c>
      <c r="J2118" s="2">
        <v>20</v>
      </c>
      <c r="K2118" s="2">
        <v>2</v>
      </c>
      <c r="O2118" s="2">
        <v>5</v>
      </c>
      <c r="U2118" s="2">
        <v>3</v>
      </c>
      <c r="V2118" s="2">
        <v>19</v>
      </c>
      <c r="W2118" s="2">
        <v>3</v>
      </c>
      <c r="X2118" s="2">
        <v>10</v>
      </c>
      <c r="AA2118" s="3" t="s">
        <v>40</v>
      </c>
      <c r="AB2118" s="2">
        <v>2</v>
      </c>
      <c r="AF2118" s="2">
        <v>23</v>
      </c>
      <c r="AG2118" s="2">
        <v>1</v>
      </c>
      <c r="AH2118" s="3" t="s">
        <v>2194</v>
      </c>
      <c r="AI2118" s="4">
        <v>45056</v>
      </c>
      <c r="AJ2118" s="3" t="s">
        <v>2234</v>
      </c>
      <c r="AK2118" s="3" t="s">
        <v>645</v>
      </c>
    </row>
    <row r="2119" spans="1:37" hidden="1" x14ac:dyDescent="0.25">
      <c r="A2119" t="str">
        <f t="shared" si="33"/>
        <v>2023_SA_Pinery_Fababean_DetailedTOS1VarietyMarneWaterTrtRainFed</v>
      </c>
      <c r="B2119" s="2">
        <v>2023023</v>
      </c>
      <c r="C2119" s="3" t="s">
        <v>2193</v>
      </c>
      <c r="D2119" s="3" t="s">
        <v>645</v>
      </c>
      <c r="F2119" s="3" t="s">
        <v>4184</v>
      </c>
      <c r="G2119" s="3" t="s">
        <v>39</v>
      </c>
      <c r="H2119" s="3" t="s">
        <v>250</v>
      </c>
      <c r="I2119" s="2">
        <v>40</v>
      </c>
      <c r="J2119" s="2">
        <v>20</v>
      </c>
      <c r="K2119" s="2">
        <v>2</v>
      </c>
      <c r="O2119" s="2">
        <v>5</v>
      </c>
      <c r="U2119" s="2">
        <v>4</v>
      </c>
      <c r="V2119" s="2">
        <v>19</v>
      </c>
      <c r="W2119" s="2">
        <v>4</v>
      </c>
      <c r="X2119" s="2">
        <v>10</v>
      </c>
      <c r="Z2119" s="2">
        <v>37</v>
      </c>
      <c r="AA2119" s="3" t="s">
        <v>40</v>
      </c>
      <c r="AB2119" s="2">
        <v>2</v>
      </c>
      <c r="AF2119" s="2">
        <v>23</v>
      </c>
      <c r="AG2119" s="2">
        <v>1</v>
      </c>
      <c r="AH2119" s="3" t="s">
        <v>2194</v>
      </c>
      <c r="AI2119" s="4">
        <v>45056</v>
      </c>
      <c r="AJ2119" s="3" t="s">
        <v>2235</v>
      </c>
      <c r="AK2119" s="3" t="s">
        <v>645</v>
      </c>
    </row>
    <row r="2120" spans="1:37" hidden="1" x14ac:dyDescent="0.25">
      <c r="A2120" t="str">
        <f t="shared" si="33"/>
        <v>2023_SA_Pinery_Fababean_DetailedTOS1VarietyNasmaWaterTrtIrrigated</v>
      </c>
      <c r="B2120" s="2">
        <v>2023023</v>
      </c>
      <c r="C2120" s="3" t="s">
        <v>2193</v>
      </c>
      <c r="D2120" s="3" t="s">
        <v>645</v>
      </c>
      <c r="F2120" s="3" t="s">
        <v>4186</v>
      </c>
      <c r="G2120" s="3" t="s">
        <v>43</v>
      </c>
      <c r="H2120" s="3" t="s">
        <v>253</v>
      </c>
      <c r="I2120" s="2">
        <v>41</v>
      </c>
      <c r="J2120" s="2">
        <v>21</v>
      </c>
      <c r="K2120" s="2">
        <v>2</v>
      </c>
      <c r="O2120" s="2">
        <v>6</v>
      </c>
      <c r="U2120" s="2">
        <v>1</v>
      </c>
      <c r="V2120" s="2">
        <v>22</v>
      </c>
      <c r="W2120" s="2">
        <v>1</v>
      </c>
      <c r="X2120" s="2">
        <v>11</v>
      </c>
      <c r="AA2120" s="3" t="s">
        <v>57</v>
      </c>
      <c r="AB2120" s="2">
        <v>3</v>
      </c>
      <c r="AF2120" s="2">
        <v>23</v>
      </c>
      <c r="AG2120" s="2">
        <v>1</v>
      </c>
      <c r="AH2120" s="3" t="s">
        <v>2194</v>
      </c>
      <c r="AI2120" s="4">
        <v>45056</v>
      </c>
      <c r="AJ2120" s="3" t="s">
        <v>2236</v>
      </c>
      <c r="AK2120" s="3" t="s">
        <v>645</v>
      </c>
    </row>
    <row r="2121" spans="1:37" hidden="1" x14ac:dyDescent="0.25">
      <c r="A2121" t="str">
        <f t="shared" si="33"/>
        <v>2023_SA_Pinery_Fababean_DetailedTOS1VarietyNasmaWaterTrtIrrigated</v>
      </c>
      <c r="B2121" s="2">
        <v>2023023</v>
      </c>
      <c r="C2121" s="3" t="s">
        <v>2193</v>
      </c>
      <c r="D2121" s="3" t="s">
        <v>645</v>
      </c>
      <c r="F2121" s="3" t="s">
        <v>4186</v>
      </c>
      <c r="G2121" s="3" t="s">
        <v>43</v>
      </c>
      <c r="H2121" s="3" t="s">
        <v>250</v>
      </c>
      <c r="I2121" s="2">
        <v>42</v>
      </c>
      <c r="J2121" s="2">
        <v>21</v>
      </c>
      <c r="K2121" s="2">
        <v>2</v>
      </c>
      <c r="O2121" s="2">
        <v>6</v>
      </c>
      <c r="U2121" s="2">
        <v>2</v>
      </c>
      <c r="V2121" s="2">
        <v>22</v>
      </c>
      <c r="W2121" s="2">
        <v>2</v>
      </c>
      <c r="X2121" s="2">
        <v>11</v>
      </c>
      <c r="Z2121" s="2">
        <v>42</v>
      </c>
      <c r="AA2121" s="3" t="s">
        <v>57</v>
      </c>
      <c r="AB2121" s="2">
        <v>3</v>
      </c>
      <c r="AF2121" s="2">
        <v>23</v>
      </c>
      <c r="AG2121" s="2">
        <v>1</v>
      </c>
      <c r="AH2121" s="3" t="s">
        <v>2194</v>
      </c>
      <c r="AI2121" s="4">
        <v>45056</v>
      </c>
      <c r="AJ2121" s="3" t="s">
        <v>2237</v>
      </c>
      <c r="AK2121" s="3" t="s">
        <v>645</v>
      </c>
    </row>
    <row r="2122" spans="1:37" hidden="1" x14ac:dyDescent="0.25">
      <c r="A2122" t="str">
        <f t="shared" si="33"/>
        <v>2023_SA_Pinery_Fababean_DetailedTOS1VarietySamiraWaterTrtIrrigated</v>
      </c>
      <c r="B2122" s="2">
        <v>2023023</v>
      </c>
      <c r="C2122" s="3" t="s">
        <v>2193</v>
      </c>
      <c r="D2122" s="3" t="s">
        <v>645</v>
      </c>
      <c r="F2122" s="3" t="s">
        <v>4183</v>
      </c>
      <c r="G2122" s="3" t="s">
        <v>43</v>
      </c>
      <c r="H2122" s="3" t="s">
        <v>253</v>
      </c>
      <c r="I2122" s="2">
        <v>43</v>
      </c>
      <c r="J2122" s="2">
        <v>22</v>
      </c>
      <c r="K2122" s="2">
        <v>2</v>
      </c>
      <c r="O2122" s="2">
        <v>6</v>
      </c>
      <c r="U2122" s="2">
        <v>3</v>
      </c>
      <c r="V2122" s="2">
        <v>22</v>
      </c>
      <c r="W2122" s="2">
        <v>3</v>
      </c>
      <c r="X2122" s="2">
        <v>11</v>
      </c>
      <c r="AA2122" s="3" t="s">
        <v>57</v>
      </c>
      <c r="AB2122" s="2">
        <v>4</v>
      </c>
      <c r="AF2122" s="2">
        <v>23</v>
      </c>
      <c r="AG2122" s="2">
        <v>1</v>
      </c>
      <c r="AH2122" s="3" t="s">
        <v>2194</v>
      </c>
      <c r="AI2122" s="4">
        <v>45056</v>
      </c>
      <c r="AJ2122" s="3" t="s">
        <v>2238</v>
      </c>
      <c r="AK2122" s="3" t="s">
        <v>645</v>
      </c>
    </row>
    <row r="2123" spans="1:37" hidden="1" x14ac:dyDescent="0.25">
      <c r="A2123" t="str">
        <f t="shared" si="33"/>
        <v>2023_SA_Pinery_Fababean_DetailedTOS1VarietySamiraWaterTrtIrrigated</v>
      </c>
      <c r="B2123" s="2">
        <v>2023023</v>
      </c>
      <c r="C2123" s="3" t="s">
        <v>2193</v>
      </c>
      <c r="D2123" s="3" t="s">
        <v>645</v>
      </c>
      <c r="F2123" s="3" t="s">
        <v>4183</v>
      </c>
      <c r="G2123" s="3" t="s">
        <v>43</v>
      </c>
      <c r="H2123" s="3" t="s">
        <v>250</v>
      </c>
      <c r="I2123" s="2">
        <v>44</v>
      </c>
      <c r="J2123" s="2">
        <v>22</v>
      </c>
      <c r="K2123" s="2">
        <v>2</v>
      </c>
      <c r="O2123" s="2">
        <v>6</v>
      </c>
      <c r="U2123" s="2">
        <v>4</v>
      </c>
      <c r="V2123" s="2">
        <v>22</v>
      </c>
      <c r="W2123" s="2">
        <v>4</v>
      </c>
      <c r="X2123" s="2">
        <v>11</v>
      </c>
      <c r="Z2123" s="2">
        <v>44</v>
      </c>
      <c r="AA2123" s="3" t="s">
        <v>57</v>
      </c>
      <c r="AB2123" s="2">
        <v>4</v>
      </c>
      <c r="AF2123" s="2">
        <v>23</v>
      </c>
      <c r="AG2123" s="2">
        <v>1</v>
      </c>
      <c r="AH2123" s="3" t="s">
        <v>2194</v>
      </c>
      <c r="AI2123" s="4">
        <v>45056</v>
      </c>
      <c r="AJ2123" s="3" t="s">
        <v>2239</v>
      </c>
      <c r="AK2123" s="3" t="s">
        <v>645</v>
      </c>
    </row>
    <row r="2124" spans="1:37" hidden="1" x14ac:dyDescent="0.25">
      <c r="A2124" t="str">
        <f t="shared" si="33"/>
        <v>2023_SA_Pinery_Fababean_DetailedTOS1VarietyMarneWaterTrtIrrigated</v>
      </c>
      <c r="B2124" s="2">
        <v>2023023</v>
      </c>
      <c r="C2124" s="3" t="s">
        <v>2193</v>
      </c>
      <c r="D2124" s="3" t="s">
        <v>645</v>
      </c>
      <c r="F2124" s="3" t="s">
        <v>4184</v>
      </c>
      <c r="G2124" s="3" t="s">
        <v>39</v>
      </c>
      <c r="H2124" s="3" t="s">
        <v>253</v>
      </c>
      <c r="I2124" s="2">
        <v>45</v>
      </c>
      <c r="J2124" s="2">
        <v>23</v>
      </c>
      <c r="K2124" s="2">
        <v>2</v>
      </c>
      <c r="O2124" s="2">
        <v>6</v>
      </c>
      <c r="U2124" s="2">
        <v>1</v>
      </c>
      <c r="V2124" s="2">
        <v>23</v>
      </c>
      <c r="W2124" s="2">
        <v>1</v>
      </c>
      <c r="X2124" s="2">
        <v>12</v>
      </c>
      <c r="AA2124" s="3" t="s">
        <v>57</v>
      </c>
      <c r="AB2124" s="2">
        <v>2</v>
      </c>
      <c r="AF2124" s="2">
        <v>23</v>
      </c>
      <c r="AG2124" s="2">
        <v>1</v>
      </c>
      <c r="AH2124" s="3" t="s">
        <v>2194</v>
      </c>
      <c r="AI2124" s="4">
        <v>45056</v>
      </c>
      <c r="AJ2124" s="3" t="s">
        <v>2240</v>
      </c>
      <c r="AK2124" s="3" t="s">
        <v>645</v>
      </c>
    </row>
    <row r="2125" spans="1:37" hidden="1" x14ac:dyDescent="0.25">
      <c r="A2125" t="str">
        <f t="shared" si="33"/>
        <v>2023_SA_Pinery_Fababean_DetailedTOS1VarietyMarneWaterTrtIrrigated</v>
      </c>
      <c r="B2125" s="2">
        <v>2023023</v>
      </c>
      <c r="C2125" s="3" t="s">
        <v>2193</v>
      </c>
      <c r="D2125" s="3" t="s">
        <v>645</v>
      </c>
      <c r="F2125" s="3" t="s">
        <v>4184</v>
      </c>
      <c r="G2125" s="3" t="s">
        <v>39</v>
      </c>
      <c r="H2125" s="3" t="s">
        <v>250</v>
      </c>
      <c r="I2125" s="2">
        <v>46</v>
      </c>
      <c r="J2125" s="2">
        <v>23</v>
      </c>
      <c r="K2125" s="2">
        <v>2</v>
      </c>
      <c r="O2125" s="2">
        <v>6</v>
      </c>
      <c r="U2125" s="2">
        <v>2</v>
      </c>
      <c r="V2125" s="2">
        <v>23</v>
      </c>
      <c r="W2125" s="2">
        <v>2</v>
      </c>
      <c r="X2125" s="2">
        <v>12</v>
      </c>
      <c r="Z2125" s="2">
        <v>47</v>
      </c>
      <c r="AA2125" s="3" t="s">
        <v>57</v>
      </c>
      <c r="AB2125" s="2">
        <v>2</v>
      </c>
      <c r="AF2125" s="2">
        <v>23</v>
      </c>
      <c r="AG2125" s="2">
        <v>1</v>
      </c>
      <c r="AH2125" s="3" t="s">
        <v>2194</v>
      </c>
      <c r="AI2125" s="4">
        <v>45056</v>
      </c>
      <c r="AJ2125" s="3" t="s">
        <v>2241</v>
      </c>
      <c r="AK2125" s="3" t="s">
        <v>645</v>
      </c>
    </row>
    <row r="2126" spans="1:37" hidden="1" x14ac:dyDescent="0.25">
      <c r="A2126" t="str">
        <f t="shared" si="33"/>
        <v>2023_SA_Pinery_Fababean_DetailedTOS1VarietyAmberleyWaterTrtIrrigated</v>
      </c>
      <c r="B2126" s="2">
        <v>2023023</v>
      </c>
      <c r="C2126" s="3" t="s">
        <v>2193</v>
      </c>
      <c r="D2126" s="3" t="s">
        <v>645</v>
      </c>
      <c r="F2126" s="3" t="s">
        <v>4185</v>
      </c>
      <c r="G2126" s="3" t="s">
        <v>39</v>
      </c>
      <c r="H2126" s="3" t="s">
        <v>253</v>
      </c>
      <c r="I2126" s="2">
        <v>47</v>
      </c>
      <c r="J2126" s="2">
        <v>24</v>
      </c>
      <c r="K2126" s="2">
        <v>2</v>
      </c>
      <c r="O2126" s="2">
        <v>6</v>
      </c>
      <c r="U2126" s="2">
        <v>3</v>
      </c>
      <c r="V2126" s="2">
        <v>23</v>
      </c>
      <c r="W2126" s="2">
        <v>3</v>
      </c>
      <c r="X2126" s="2">
        <v>12</v>
      </c>
      <c r="AA2126" s="3" t="s">
        <v>57</v>
      </c>
      <c r="AB2126" s="2">
        <v>1</v>
      </c>
      <c r="AF2126" s="2">
        <v>23</v>
      </c>
      <c r="AG2126" s="2">
        <v>1</v>
      </c>
      <c r="AH2126" s="3" t="s">
        <v>2194</v>
      </c>
      <c r="AI2126" s="4">
        <v>45056</v>
      </c>
      <c r="AJ2126" s="3" t="s">
        <v>2242</v>
      </c>
      <c r="AK2126" s="3" t="s">
        <v>645</v>
      </c>
    </row>
    <row r="2127" spans="1:37" hidden="1" x14ac:dyDescent="0.25">
      <c r="A2127" t="str">
        <f t="shared" si="33"/>
        <v>2023_SA_Pinery_Fababean_DetailedTOS1VarietyAmberleyWaterTrtIrrigated</v>
      </c>
      <c r="B2127" s="2">
        <v>2023023</v>
      </c>
      <c r="C2127" s="3" t="s">
        <v>2193</v>
      </c>
      <c r="D2127" s="3" t="s">
        <v>645</v>
      </c>
      <c r="F2127" s="3" t="s">
        <v>4185</v>
      </c>
      <c r="G2127" s="3" t="s">
        <v>39</v>
      </c>
      <c r="H2127" s="3" t="s">
        <v>250</v>
      </c>
      <c r="I2127" s="2">
        <v>48</v>
      </c>
      <c r="J2127" s="2">
        <v>24</v>
      </c>
      <c r="K2127" s="2">
        <v>2</v>
      </c>
      <c r="O2127" s="2">
        <v>6</v>
      </c>
      <c r="U2127" s="2">
        <v>4</v>
      </c>
      <c r="V2127" s="2">
        <v>23</v>
      </c>
      <c r="W2127" s="2">
        <v>4</v>
      </c>
      <c r="X2127" s="2">
        <v>12</v>
      </c>
      <c r="Z2127" s="2">
        <v>45</v>
      </c>
      <c r="AA2127" s="3" t="s">
        <v>57</v>
      </c>
      <c r="AB2127" s="2">
        <v>1</v>
      </c>
      <c r="AF2127" s="2">
        <v>23</v>
      </c>
      <c r="AG2127" s="2">
        <v>1</v>
      </c>
      <c r="AH2127" s="3" t="s">
        <v>2194</v>
      </c>
      <c r="AI2127" s="4">
        <v>45056</v>
      </c>
      <c r="AJ2127" s="3" t="s">
        <v>2243</v>
      </c>
      <c r="AK2127" s="3" t="s">
        <v>645</v>
      </c>
    </row>
    <row r="2128" spans="1:37" hidden="1" x14ac:dyDescent="0.25">
      <c r="A2128" t="str">
        <f t="shared" si="33"/>
        <v>2023_SA_Pinery_Fababean_DetailedTOS2VarietyMarneWaterTrtRainFed</v>
      </c>
      <c r="B2128" s="2">
        <v>2023023</v>
      </c>
      <c r="C2128" s="3" t="s">
        <v>2193</v>
      </c>
      <c r="D2128" s="3" t="s">
        <v>645</v>
      </c>
      <c r="F2128" s="3" t="s">
        <v>4184</v>
      </c>
      <c r="G2128" s="3" t="s">
        <v>39</v>
      </c>
      <c r="H2128" s="3" t="s">
        <v>253</v>
      </c>
      <c r="I2128" s="2">
        <v>49</v>
      </c>
      <c r="J2128" s="2">
        <v>25</v>
      </c>
      <c r="K2128" s="2">
        <v>2</v>
      </c>
      <c r="O2128" s="2">
        <v>7</v>
      </c>
      <c r="U2128" s="2">
        <v>1</v>
      </c>
      <c r="V2128" s="2">
        <v>26</v>
      </c>
      <c r="W2128" s="2">
        <v>1</v>
      </c>
      <c r="X2128" s="2">
        <v>13</v>
      </c>
      <c r="AA2128" s="3" t="s">
        <v>40</v>
      </c>
      <c r="AB2128" s="2">
        <v>2</v>
      </c>
      <c r="AF2128" s="2">
        <v>23</v>
      </c>
      <c r="AG2128" s="2">
        <v>2</v>
      </c>
      <c r="AH2128" s="3" t="s">
        <v>2211</v>
      </c>
      <c r="AI2128" s="4">
        <v>45105</v>
      </c>
      <c r="AJ2128" s="3" t="s">
        <v>2244</v>
      </c>
      <c r="AK2128" s="3" t="s">
        <v>645</v>
      </c>
    </row>
    <row r="2129" spans="1:37" hidden="1" x14ac:dyDescent="0.25">
      <c r="A2129" t="str">
        <f t="shared" si="33"/>
        <v>2023_SA_Pinery_Fababean_DetailedTOS2VarietyMarneWaterTrtRainFed</v>
      </c>
      <c r="B2129" s="2">
        <v>2023023</v>
      </c>
      <c r="C2129" s="3" t="s">
        <v>2193</v>
      </c>
      <c r="D2129" s="3" t="s">
        <v>645</v>
      </c>
      <c r="F2129" s="3" t="s">
        <v>4184</v>
      </c>
      <c r="G2129" s="3" t="s">
        <v>39</v>
      </c>
      <c r="H2129" s="3" t="s">
        <v>250</v>
      </c>
      <c r="I2129" s="2">
        <v>50</v>
      </c>
      <c r="J2129" s="2">
        <v>25</v>
      </c>
      <c r="K2129" s="2">
        <v>2</v>
      </c>
      <c r="O2129" s="2">
        <v>7</v>
      </c>
      <c r="U2129" s="2">
        <v>2</v>
      </c>
      <c r="V2129" s="2">
        <v>26</v>
      </c>
      <c r="W2129" s="2">
        <v>2</v>
      </c>
      <c r="X2129" s="2">
        <v>13</v>
      </c>
      <c r="Z2129" s="2">
        <v>50</v>
      </c>
      <c r="AA2129" s="3" t="s">
        <v>40</v>
      </c>
      <c r="AB2129" s="2">
        <v>2</v>
      </c>
      <c r="AF2129" s="2">
        <v>23</v>
      </c>
      <c r="AG2129" s="2">
        <v>2</v>
      </c>
      <c r="AH2129" s="3" t="s">
        <v>2211</v>
      </c>
      <c r="AI2129" s="4">
        <v>45105</v>
      </c>
      <c r="AJ2129" s="3" t="s">
        <v>2245</v>
      </c>
      <c r="AK2129" s="3" t="s">
        <v>645</v>
      </c>
    </row>
    <row r="2130" spans="1:37" hidden="1" x14ac:dyDescent="0.25">
      <c r="A2130" t="str">
        <f t="shared" si="33"/>
        <v>2023_SA_Pinery_Fababean_DetailedTOS2VarietyAmberleyWaterTrtRainFed</v>
      </c>
      <c r="B2130" s="2">
        <v>2023023</v>
      </c>
      <c r="C2130" s="3" t="s">
        <v>2193</v>
      </c>
      <c r="D2130" s="3" t="s">
        <v>645</v>
      </c>
      <c r="F2130" s="3" t="s">
        <v>4185</v>
      </c>
      <c r="G2130" s="3" t="s">
        <v>39</v>
      </c>
      <c r="H2130" s="3" t="s">
        <v>253</v>
      </c>
      <c r="I2130" s="2">
        <v>51</v>
      </c>
      <c r="J2130" s="2">
        <v>26</v>
      </c>
      <c r="K2130" s="2">
        <v>2</v>
      </c>
      <c r="O2130" s="2">
        <v>7</v>
      </c>
      <c r="U2130" s="2">
        <v>3</v>
      </c>
      <c r="V2130" s="2">
        <v>26</v>
      </c>
      <c r="W2130" s="2">
        <v>3</v>
      </c>
      <c r="X2130" s="2">
        <v>13</v>
      </c>
      <c r="AA2130" s="3" t="s">
        <v>40</v>
      </c>
      <c r="AB2130" s="2">
        <v>1</v>
      </c>
      <c r="AF2130" s="2">
        <v>23</v>
      </c>
      <c r="AG2130" s="2">
        <v>2</v>
      </c>
      <c r="AH2130" s="3" t="s">
        <v>2211</v>
      </c>
      <c r="AI2130" s="4">
        <v>45105</v>
      </c>
      <c r="AJ2130" s="3" t="s">
        <v>2246</v>
      </c>
      <c r="AK2130" s="3" t="s">
        <v>645</v>
      </c>
    </row>
    <row r="2131" spans="1:37" hidden="1" x14ac:dyDescent="0.25">
      <c r="A2131" t="str">
        <f t="shared" si="33"/>
        <v>2023_SA_Pinery_Fababean_DetailedTOS2VarietyAmberleyWaterTrtRainFed</v>
      </c>
      <c r="B2131" s="2">
        <v>2023023</v>
      </c>
      <c r="C2131" s="3" t="s">
        <v>2193</v>
      </c>
      <c r="D2131" s="3" t="s">
        <v>645</v>
      </c>
      <c r="F2131" s="3" t="s">
        <v>4185</v>
      </c>
      <c r="G2131" s="3" t="s">
        <v>39</v>
      </c>
      <c r="H2131" s="3" t="s">
        <v>250</v>
      </c>
      <c r="I2131" s="2">
        <v>52</v>
      </c>
      <c r="J2131" s="2">
        <v>26</v>
      </c>
      <c r="K2131" s="2">
        <v>2</v>
      </c>
      <c r="O2131" s="2">
        <v>7</v>
      </c>
      <c r="U2131" s="2">
        <v>4</v>
      </c>
      <c r="V2131" s="2">
        <v>26</v>
      </c>
      <c r="W2131" s="2">
        <v>4</v>
      </c>
      <c r="X2131" s="2">
        <v>13</v>
      </c>
      <c r="Z2131" s="2">
        <v>52</v>
      </c>
      <c r="AA2131" s="3" t="s">
        <v>40</v>
      </c>
      <c r="AB2131" s="2">
        <v>1</v>
      </c>
      <c r="AF2131" s="2">
        <v>23</v>
      </c>
      <c r="AG2131" s="2">
        <v>2</v>
      </c>
      <c r="AH2131" s="3" t="s">
        <v>2211</v>
      </c>
      <c r="AI2131" s="4">
        <v>45105</v>
      </c>
      <c r="AJ2131" s="3" t="s">
        <v>2247</v>
      </c>
      <c r="AK2131" s="3" t="s">
        <v>645</v>
      </c>
    </row>
    <row r="2132" spans="1:37" hidden="1" x14ac:dyDescent="0.25">
      <c r="A2132" t="str">
        <f t="shared" si="33"/>
        <v>2023_SA_Pinery_Fababean_DetailedTOS2VarietySamiraWaterTrtRainFed</v>
      </c>
      <c r="B2132" s="2">
        <v>2023023</v>
      </c>
      <c r="C2132" s="3" t="s">
        <v>2193</v>
      </c>
      <c r="D2132" s="3" t="s">
        <v>645</v>
      </c>
      <c r="F2132" s="3" t="s">
        <v>4183</v>
      </c>
      <c r="G2132" s="3" t="s">
        <v>43</v>
      </c>
      <c r="H2132" s="3" t="s">
        <v>253</v>
      </c>
      <c r="I2132" s="2">
        <v>53</v>
      </c>
      <c r="J2132" s="2">
        <v>27</v>
      </c>
      <c r="K2132" s="2">
        <v>2</v>
      </c>
      <c r="O2132" s="2">
        <v>7</v>
      </c>
      <c r="U2132" s="2">
        <v>1</v>
      </c>
      <c r="V2132" s="2">
        <v>27</v>
      </c>
      <c r="W2132" s="2">
        <v>1</v>
      </c>
      <c r="X2132" s="2">
        <v>14</v>
      </c>
      <c r="AA2132" s="3" t="s">
        <v>40</v>
      </c>
      <c r="AB2132" s="2">
        <v>4</v>
      </c>
      <c r="AF2132" s="2">
        <v>23</v>
      </c>
      <c r="AG2132" s="2">
        <v>2</v>
      </c>
      <c r="AH2132" s="3" t="s">
        <v>2211</v>
      </c>
      <c r="AI2132" s="4">
        <v>45105</v>
      </c>
      <c r="AJ2132" s="3" t="s">
        <v>2248</v>
      </c>
      <c r="AK2132" s="3" t="s">
        <v>645</v>
      </c>
    </row>
    <row r="2133" spans="1:37" hidden="1" x14ac:dyDescent="0.25">
      <c r="A2133" t="str">
        <f t="shared" si="33"/>
        <v>2023_SA_Pinery_Fababean_DetailedTOS2VarietySamiraWaterTrtRainFed</v>
      </c>
      <c r="B2133" s="2">
        <v>2023023</v>
      </c>
      <c r="C2133" s="3" t="s">
        <v>2193</v>
      </c>
      <c r="D2133" s="3" t="s">
        <v>645</v>
      </c>
      <c r="F2133" s="3" t="s">
        <v>4183</v>
      </c>
      <c r="G2133" s="3" t="s">
        <v>43</v>
      </c>
      <c r="H2133" s="3" t="s">
        <v>250</v>
      </c>
      <c r="I2133" s="2">
        <v>54</v>
      </c>
      <c r="J2133" s="2">
        <v>27</v>
      </c>
      <c r="K2133" s="2">
        <v>2</v>
      </c>
      <c r="O2133" s="2">
        <v>7</v>
      </c>
      <c r="U2133" s="2">
        <v>2</v>
      </c>
      <c r="V2133" s="2">
        <v>27</v>
      </c>
      <c r="W2133" s="2">
        <v>2</v>
      </c>
      <c r="X2133" s="2">
        <v>14</v>
      </c>
      <c r="Z2133" s="2">
        <v>55</v>
      </c>
      <c r="AA2133" s="3" t="s">
        <v>40</v>
      </c>
      <c r="AB2133" s="2">
        <v>4</v>
      </c>
      <c r="AF2133" s="2">
        <v>23</v>
      </c>
      <c r="AG2133" s="2">
        <v>2</v>
      </c>
      <c r="AH2133" s="3" t="s">
        <v>2211</v>
      </c>
      <c r="AI2133" s="4">
        <v>45105</v>
      </c>
      <c r="AJ2133" s="3" t="s">
        <v>2249</v>
      </c>
      <c r="AK2133" s="3" t="s">
        <v>645</v>
      </c>
    </row>
    <row r="2134" spans="1:37" hidden="1" x14ac:dyDescent="0.25">
      <c r="A2134" t="str">
        <f t="shared" si="33"/>
        <v>2023_SA_Pinery_Fababean_DetailedTOS2VarietyNasmaWaterTrtRainFed</v>
      </c>
      <c r="B2134" s="2">
        <v>2023023</v>
      </c>
      <c r="C2134" s="3" t="s">
        <v>2193</v>
      </c>
      <c r="D2134" s="3" t="s">
        <v>645</v>
      </c>
      <c r="F2134" s="3" t="s">
        <v>4186</v>
      </c>
      <c r="G2134" s="3" t="s">
        <v>43</v>
      </c>
      <c r="H2134" s="3" t="s">
        <v>253</v>
      </c>
      <c r="I2134" s="2">
        <v>55</v>
      </c>
      <c r="J2134" s="2">
        <v>28</v>
      </c>
      <c r="K2134" s="2">
        <v>2</v>
      </c>
      <c r="O2134" s="2">
        <v>7</v>
      </c>
      <c r="U2134" s="2">
        <v>3</v>
      </c>
      <c r="V2134" s="2">
        <v>27</v>
      </c>
      <c r="W2134" s="2">
        <v>3</v>
      </c>
      <c r="X2134" s="2">
        <v>14</v>
      </c>
      <c r="AA2134" s="3" t="s">
        <v>40</v>
      </c>
      <c r="AB2134" s="2">
        <v>3</v>
      </c>
      <c r="AF2134" s="2">
        <v>23</v>
      </c>
      <c r="AG2134" s="2">
        <v>2</v>
      </c>
      <c r="AH2134" s="3" t="s">
        <v>2211</v>
      </c>
      <c r="AI2134" s="4">
        <v>45105</v>
      </c>
      <c r="AJ2134" s="3" t="s">
        <v>2250</v>
      </c>
      <c r="AK2134" s="3" t="s">
        <v>645</v>
      </c>
    </row>
    <row r="2135" spans="1:37" hidden="1" x14ac:dyDescent="0.25">
      <c r="A2135" t="str">
        <f t="shared" si="33"/>
        <v>2023_SA_Pinery_Fababean_DetailedTOS2VarietyNasmaWaterTrtRainFed</v>
      </c>
      <c r="B2135" s="2">
        <v>2023023</v>
      </c>
      <c r="C2135" s="3" t="s">
        <v>2193</v>
      </c>
      <c r="D2135" s="3" t="s">
        <v>645</v>
      </c>
      <c r="F2135" s="3" t="s">
        <v>4186</v>
      </c>
      <c r="G2135" s="3" t="s">
        <v>43</v>
      </c>
      <c r="H2135" s="3" t="s">
        <v>250</v>
      </c>
      <c r="I2135" s="2">
        <v>56</v>
      </c>
      <c r="J2135" s="2">
        <v>28</v>
      </c>
      <c r="K2135" s="2">
        <v>2</v>
      </c>
      <c r="O2135" s="2">
        <v>7</v>
      </c>
      <c r="U2135" s="2">
        <v>4</v>
      </c>
      <c r="V2135" s="2">
        <v>27</v>
      </c>
      <c r="W2135" s="2">
        <v>4</v>
      </c>
      <c r="X2135" s="2">
        <v>14</v>
      </c>
      <c r="Z2135" s="2">
        <v>53</v>
      </c>
      <c r="AA2135" s="3" t="s">
        <v>40</v>
      </c>
      <c r="AB2135" s="2">
        <v>3</v>
      </c>
      <c r="AF2135" s="2">
        <v>23</v>
      </c>
      <c r="AG2135" s="2">
        <v>2</v>
      </c>
      <c r="AH2135" s="3" t="s">
        <v>2211</v>
      </c>
      <c r="AI2135" s="4">
        <v>45105</v>
      </c>
      <c r="AJ2135" s="3" t="s">
        <v>2251</v>
      </c>
      <c r="AK2135" s="3" t="s">
        <v>645</v>
      </c>
    </row>
    <row r="2136" spans="1:37" hidden="1" x14ac:dyDescent="0.25">
      <c r="A2136" t="str">
        <f t="shared" si="33"/>
        <v>2023_SA_Pinery_Fababean_DetailedTOS2VarietyAmberleyWaterTrtIrrigated</v>
      </c>
      <c r="B2136" s="2">
        <v>2023023</v>
      </c>
      <c r="C2136" s="3" t="s">
        <v>2193</v>
      </c>
      <c r="D2136" s="3" t="s">
        <v>645</v>
      </c>
      <c r="F2136" s="3" t="s">
        <v>4185</v>
      </c>
      <c r="G2136" s="3" t="s">
        <v>39</v>
      </c>
      <c r="H2136" s="3" t="s">
        <v>253</v>
      </c>
      <c r="I2136" s="2">
        <v>57</v>
      </c>
      <c r="J2136" s="2">
        <v>29</v>
      </c>
      <c r="K2136" s="2">
        <v>2</v>
      </c>
      <c r="O2136" s="2">
        <v>8</v>
      </c>
      <c r="U2136" s="2">
        <v>1</v>
      </c>
      <c r="V2136" s="2">
        <v>30</v>
      </c>
      <c r="W2136" s="2">
        <v>1</v>
      </c>
      <c r="X2136" s="2">
        <v>15</v>
      </c>
      <c r="AA2136" s="3" t="s">
        <v>57</v>
      </c>
      <c r="AB2136" s="2">
        <v>1</v>
      </c>
      <c r="AF2136" s="2">
        <v>23</v>
      </c>
      <c r="AG2136" s="2">
        <v>2</v>
      </c>
      <c r="AH2136" s="3" t="s">
        <v>2211</v>
      </c>
      <c r="AI2136" s="4">
        <v>45105</v>
      </c>
      <c r="AJ2136" s="3" t="s">
        <v>2252</v>
      </c>
      <c r="AK2136" s="3" t="s">
        <v>645</v>
      </c>
    </row>
    <row r="2137" spans="1:37" hidden="1" x14ac:dyDescent="0.25">
      <c r="A2137" t="str">
        <f t="shared" si="33"/>
        <v>2023_SA_Pinery_Fababean_DetailedTOS2VarietyAmberleyWaterTrtIrrigated</v>
      </c>
      <c r="B2137" s="2">
        <v>2023023</v>
      </c>
      <c r="C2137" s="3" t="s">
        <v>2193</v>
      </c>
      <c r="D2137" s="3" t="s">
        <v>645</v>
      </c>
      <c r="F2137" s="3" t="s">
        <v>4185</v>
      </c>
      <c r="G2137" s="3" t="s">
        <v>39</v>
      </c>
      <c r="H2137" s="3" t="s">
        <v>250</v>
      </c>
      <c r="I2137" s="2">
        <v>58</v>
      </c>
      <c r="J2137" s="2">
        <v>29</v>
      </c>
      <c r="K2137" s="2">
        <v>2</v>
      </c>
      <c r="O2137" s="2">
        <v>8</v>
      </c>
      <c r="U2137" s="2">
        <v>2</v>
      </c>
      <c r="V2137" s="2">
        <v>30</v>
      </c>
      <c r="W2137" s="2">
        <v>2</v>
      </c>
      <c r="X2137" s="2">
        <v>15</v>
      </c>
      <c r="Z2137" s="2">
        <v>58</v>
      </c>
      <c r="AA2137" s="3" t="s">
        <v>57</v>
      </c>
      <c r="AB2137" s="2">
        <v>1</v>
      </c>
      <c r="AF2137" s="2">
        <v>23</v>
      </c>
      <c r="AG2137" s="2">
        <v>2</v>
      </c>
      <c r="AH2137" s="3" t="s">
        <v>2211</v>
      </c>
      <c r="AI2137" s="4">
        <v>45105</v>
      </c>
      <c r="AJ2137" s="3" t="s">
        <v>2253</v>
      </c>
      <c r="AK2137" s="3" t="s">
        <v>645</v>
      </c>
    </row>
    <row r="2138" spans="1:37" hidden="1" x14ac:dyDescent="0.25">
      <c r="A2138" t="str">
        <f t="shared" si="33"/>
        <v>2023_SA_Pinery_Fababean_DetailedTOS2VarietyMarneWaterTrtIrrigated</v>
      </c>
      <c r="B2138" s="2">
        <v>2023023</v>
      </c>
      <c r="C2138" s="3" t="s">
        <v>2193</v>
      </c>
      <c r="D2138" s="3" t="s">
        <v>645</v>
      </c>
      <c r="F2138" s="3" t="s">
        <v>4184</v>
      </c>
      <c r="G2138" s="3" t="s">
        <v>39</v>
      </c>
      <c r="H2138" s="3" t="s">
        <v>253</v>
      </c>
      <c r="I2138" s="2">
        <v>59</v>
      </c>
      <c r="J2138" s="2">
        <v>30</v>
      </c>
      <c r="K2138" s="2">
        <v>2</v>
      </c>
      <c r="O2138" s="2">
        <v>8</v>
      </c>
      <c r="U2138" s="2">
        <v>3</v>
      </c>
      <c r="V2138" s="2">
        <v>30</v>
      </c>
      <c r="W2138" s="2">
        <v>3</v>
      </c>
      <c r="X2138" s="2">
        <v>15</v>
      </c>
      <c r="AA2138" s="3" t="s">
        <v>57</v>
      </c>
      <c r="AB2138" s="2">
        <v>2</v>
      </c>
      <c r="AF2138" s="2">
        <v>23</v>
      </c>
      <c r="AG2138" s="2">
        <v>2</v>
      </c>
      <c r="AH2138" s="3" t="s">
        <v>2211</v>
      </c>
      <c r="AI2138" s="4">
        <v>45105</v>
      </c>
      <c r="AJ2138" s="3" t="s">
        <v>2254</v>
      </c>
      <c r="AK2138" s="3" t="s">
        <v>645</v>
      </c>
    </row>
    <row r="2139" spans="1:37" hidden="1" x14ac:dyDescent="0.25">
      <c r="A2139" t="str">
        <f t="shared" si="33"/>
        <v>2023_SA_Pinery_Fababean_DetailedTOS2VarietyMarneWaterTrtIrrigated</v>
      </c>
      <c r="B2139" s="2">
        <v>2023023</v>
      </c>
      <c r="C2139" s="3" t="s">
        <v>2193</v>
      </c>
      <c r="D2139" s="3" t="s">
        <v>645</v>
      </c>
      <c r="F2139" s="3" t="s">
        <v>4184</v>
      </c>
      <c r="G2139" s="3" t="s">
        <v>39</v>
      </c>
      <c r="H2139" s="3" t="s">
        <v>250</v>
      </c>
      <c r="I2139" s="2">
        <v>60</v>
      </c>
      <c r="J2139" s="2">
        <v>30</v>
      </c>
      <c r="K2139" s="2">
        <v>2</v>
      </c>
      <c r="O2139" s="2">
        <v>8</v>
      </c>
      <c r="U2139" s="2">
        <v>4</v>
      </c>
      <c r="V2139" s="2">
        <v>30</v>
      </c>
      <c r="W2139" s="2">
        <v>4</v>
      </c>
      <c r="X2139" s="2">
        <v>15</v>
      </c>
      <c r="Z2139" s="2">
        <v>60</v>
      </c>
      <c r="AA2139" s="3" t="s">
        <v>57</v>
      </c>
      <c r="AB2139" s="2">
        <v>2</v>
      </c>
      <c r="AF2139" s="2">
        <v>23</v>
      </c>
      <c r="AG2139" s="2">
        <v>2</v>
      </c>
      <c r="AH2139" s="3" t="s">
        <v>2211</v>
      </c>
      <c r="AI2139" s="4">
        <v>45105</v>
      </c>
      <c r="AJ2139" s="3" t="s">
        <v>2255</v>
      </c>
      <c r="AK2139" s="3" t="s">
        <v>645</v>
      </c>
    </row>
    <row r="2140" spans="1:37" hidden="1" x14ac:dyDescent="0.25">
      <c r="A2140" t="str">
        <f t="shared" si="33"/>
        <v>2023_SA_Pinery_Fababean_DetailedTOS2VarietyNasmaWaterTrtIrrigated</v>
      </c>
      <c r="B2140" s="2">
        <v>2023023</v>
      </c>
      <c r="C2140" s="3" t="s">
        <v>2193</v>
      </c>
      <c r="D2140" s="3" t="s">
        <v>645</v>
      </c>
      <c r="F2140" s="3" t="s">
        <v>4186</v>
      </c>
      <c r="G2140" s="3" t="s">
        <v>43</v>
      </c>
      <c r="H2140" s="3" t="s">
        <v>253</v>
      </c>
      <c r="I2140" s="2">
        <v>61</v>
      </c>
      <c r="J2140" s="2">
        <v>31</v>
      </c>
      <c r="K2140" s="2">
        <v>2</v>
      </c>
      <c r="O2140" s="2">
        <v>8</v>
      </c>
      <c r="U2140" s="2">
        <v>1</v>
      </c>
      <c r="V2140" s="2">
        <v>31</v>
      </c>
      <c r="W2140" s="2">
        <v>1</v>
      </c>
      <c r="X2140" s="2">
        <v>16</v>
      </c>
      <c r="AA2140" s="3" t="s">
        <v>57</v>
      </c>
      <c r="AB2140" s="2">
        <v>3</v>
      </c>
      <c r="AF2140" s="2">
        <v>23</v>
      </c>
      <c r="AG2140" s="2">
        <v>2</v>
      </c>
      <c r="AH2140" s="3" t="s">
        <v>2211</v>
      </c>
      <c r="AI2140" s="4">
        <v>45105</v>
      </c>
      <c r="AJ2140" s="3" t="s">
        <v>2256</v>
      </c>
      <c r="AK2140" s="3" t="s">
        <v>645</v>
      </c>
    </row>
    <row r="2141" spans="1:37" hidden="1" x14ac:dyDescent="0.25">
      <c r="A2141" t="str">
        <f t="shared" si="33"/>
        <v>2023_SA_Pinery_Fababean_DetailedTOS2VarietyNasmaWaterTrtIrrigated</v>
      </c>
      <c r="B2141" s="2">
        <v>2023023</v>
      </c>
      <c r="C2141" s="3" t="s">
        <v>2193</v>
      </c>
      <c r="D2141" s="3" t="s">
        <v>645</v>
      </c>
      <c r="F2141" s="3" t="s">
        <v>4186</v>
      </c>
      <c r="G2141" s="3" t="s">
        <v>43</v>
      </c>
      <c r="H2141" s="3" t="s">
        <v>250</v>
      </c>
      <c r="I2141" s="2">
        <v>62</v>
      </c>
      <c r="J2141" s="2">
        <v>31</v>
      </c>
      <c r="K2141" s="2">
        <v>2</v>
      </c>
      <c r="O2141" s="2">
        <v>8</v>
      </c>
      <c r="U2141" s="2">
        <v>2</v>
      </c>
      <c r="V2141" s="2">
        <v>31</v>
      </c>
      <c r="W2141" s="2">
        <v>2</v>
      </c>
      <c r="X2141" s="2">
        <v>16</v>
      </c>
      <c r="Z2141" s="2">
        <v>63</v>
      </c>
      <c r="AA2141" s="3" t="s">
        <v>57</v>
      </c>
      <c r="AB2141" s="2">
        <v>3</v>
      </c>
      <c r="AF2141" s="2">
        <v>23</v>
      </c>
      <c r="AG2141" s="2">
        <v>2</v>
      </c>
      <c r="AH2141" s="3" t="s">
        <v>2211</v>
      </c>
      <c r="AI2141" s="4">
        <v>45105</v>
      </c>
      <c r="AJ2141" s="3" t="s">
        <v>2257</v>
      </c>
      <c r="AK2141" s="3" t="s">
        <v>645</v>
      </c>
    </row>
    <row r="2142" spans="1:37" hidden="1" x14ac:dyDescent="0.25">
      <c r="A2142" t="str">
        <f t="shared" si="33"/>
        <v>2023_SA_Pinery_Fababean_DetailedTOS2VarietySamiraWaterTrtIrrigated</v>
      </c>
      <c r="B2142" s="2">
        <v>2023023</v>
      </c>
      <c r="C2142" s="3" t="s">
        <v>2193</v>
      </c>
      <c r="D2142" s="3" t="s">
        <v>645</v>
      </c>
      <c r="F2142" s="3" t="s">
        <v>4183</v>
      </c>
      <c r="G2142" s="3" t="s">
        <v>43</v>
      </c>
      <c r="H2142" s="3" t="s">
        <v>253</v>
      </c>
      <c r="I2142" s="2">
        <v>63</v>
      </c>
      <c r="J2142" s="2">
        <v>32</v>
      </c>
      <c r="K2142" s="2">
        <v>2</v>
      </c>
      <c r="O2142" s="2">
        <v>8</v>
      </c>
      <c r="U2142" s="2">
        <v>3</v>
      </c>
      <c r="V2142" s="2">
        <v>31</v>
      </c>
      <c r="W2142" s="2">
        <v>3</v>
      </c>
      <c r="X2142" s="2">
        <v>16</v>
      </c>
      <c r="AA2142" s="3" t="s">
        <v>57</v>
      </c>
      <c r="AB2142" s="2">
        <v>4</v>
      </c>
      <c r="AF2142" s="2">
        <v>23</v>
      </c>
      <c r="AG2142" s="2">
        <v>2</v>
      </c>
      <c r="AH2142" s="3" t="s">
        <v>2211</v>
      </c>
      <c r="AI2142" s="4">
        <v>45105</v>
      </c>
      <c r="AJ2142" s="3" t="s">
        <v>2258</v>
      </c>
      <c r="AK2142" s="3" t="s">
        <v>645</v>
      </c>
    </row>
    <row r="2143" spans="1:37" hidden="1" x14ac:dyDescent="0.25">
      <c r="A2143" t="str">
        <f t="shared" si="33"/>
        <v>2023_SA_Pinery_Fababean_DetailedTOS2VarietySamiraWaterTrtIrrigated</v>
      </c>
      <c r="B2143" s="2">
        <v>2023023</v>
      </c>
      <c r="C2143" s="3" t="s">
        <v>2193</v>
      </c>
      <c r="D2143" s="3" t="s">
        <v>645</v>
      </c>
      <c r="F2143" s="3" t="s">
        <v>4183</v>
      </c>
      <c r="G2143" s="3" t="s">
        <v>43</v>
      </c>
      <c r="H2143" s="3" t="s">
        <v>250</v>
      </c>
      <c r="I2143" s="2">
        <v>64</v>
      </c>
      <c r="J2143" s="2">
        <v>32</v>
      </c>
      <c r="K2143" s="2">
        <v>2</v>
      </c>
      <c r="O2143" s="2">
        <v>8</v>
      </c>
      <c r="U2143" s="2">
        <v>4</v>
      </c>
      <c r="V2143" s="2">
        <v>31</v>
      </c>
      <c r="W2143" s="2">
        <v>4</v>
      </c>
      <c r="X2143" s="2">
        <v>16</v>
      </c>
      <c r="Z2143" s="2">
        <v>61</v>
      </c>
      <c r="AA2143" s="3" t="s">
        <v>57</v>
      </c>
      <c r="AB2143" s="2">
        <v>4</v>
      </c>
      <c r="AF2143" s="2">
        <v>23</v>
      </c>
      <c r="AG2143" s="2">
        <v>2</v>
      </c>
      <c r="AH2143" s="3" t="s">
        <v>2211</v>
      </c>
      <c r="AI2143" s="4">
        <v>45105</v>
      </c>
      <c r="AJ2143" s="3" t="s">
        <v>2259</v>
      </c>
      <c r="AK2143" s="3" t="s">
        <v>645</v>
      </c>
    </row>
    <row r="2144" spans="1:37" hidden="1" x14ac:dyDescent="0.25">
      <c r="A2144" t="str">
        <f t="shared" si="33"/>
        <v>2023_SA_Pinery_Fababean_DetailedTOS2VarietyAmberleyWaterTrtIrrigated</v>
      </c>
      <c r="B2144" s="2">
        <v>2023023</v>
      </c>
      <c r="C2144" s="3" t="s">
        <v>2193</v>
      </c>
      <c r="D2144" s="3" t="s">
        <v>645</v>
      </c>
      <c r="F2144" s="3" t="s">
        <v>4185</v>
      </c>
      <c r="G2144" s="3" t="s">
        <v>39</v>
      </c>
      <c r="H2144" s="3" t="s">
        <v>253</v>
      </c>
      <c r="I2144" s="2">
        <v>65</v>
      </c>
      <c r="J2144" s="2">
        <v>33</v>
      </c>
      <c r="K2144" s="2">
        <v>3</v>
      </c>
      <c r="O2144" s="2">
        <v>9</v>
      </c>
      <c r="U2144" s="2">
        <v>1</v>
      </c>
      <c r="V2144" s="2">
        <v>34</v>
      </c>
      <c r="W2144" s="2">
        <v>1</v>
      </c>
      <c r="X2144" s="2">
        <v>17</v>
      </c>
      <c r="AA2144" s="3" t="s">
        <v>57</v>
      </c>
      <c r="AB2144" s="2">
        <v>1</v>
      </c>
      <c r="AF2144" s="2">
        <v>23</v>
      </c>
      <c r="AG2144" s="2">
        <v>2</v>
      </c>
      <c r="AH2144" s="3" t="s">
        <v>2211</v>
      </c>
      <c r="AI2144" s="4">
        <v>45105</v>
      </c>
      <c r="AJ2144" s="3" t="s">
        <v>2260</v>
      </c>
      <c r="AK2144" s="3" t="s">
        <v>645</v>
      </c>
    </row>
    <row r="2145" spans="1:37" hidden="1" x14ac:dyDescent="0.25">
      <c r="A2145" t="str">
        <f t="shared" si="33"/>
        <v>2023_SA_Pinery_Fababean_DetailedTOS2VarietyAmberleyWaterTrtIrrigated</v>
      </c>
      <c r="B2145" s="2">
        <v>2023023</v>
      </c>
      <c r="C2145" s="3" t="s">
        <v>2193</v>
      </c>
      <c r="D2145" s="3" t="s">
        <v>645</v>
      </c>
      <c r="F2145" s="3" t="s">
        <v>4185</v>
      </c>
      <c r="G2145" s="3" t="s">
        <v>39</v>
      </c>
      <c r="H2145" s="3" t="s">
        <v>250</v>
      </c>
      <c r="I2145" s="2">
        <v>66</v>
      </c>
      <c r="J2145" s="2">
        <v>33</v>
      </c>
      <c r="K2145" s="2">
        <v>3</v>
      </c>
      <c r="O2145" s="2">
        <v>9</v>
      </c>
      <c r="U2145" s="2">
        <v>2</v>
      </c>
      <c r="V2145" s="2">
        <v>34</v>
      </c>
      <c r="W2145" s="2">
        <v>2</v>
      </c>
      <c r="X2145" s="2">
        <v>17</v>
      </c>
      <c r="Z2145" s="2">
        <v>66</v>
      </c>
      <c r="AA2145" s="3" t="s">
        <v>57</v>
      </c>
      <c r="AB2145" s="2">
        <v>1</v>
      </c>
      <c r="AF2145" s="2">
        <v>23</v>
      </c>
      <c r="AG2145" s="2">
        <v>2</v>
      </c>
      <c r="AH2145" s="3" t="s">
        <v>2211</v>
      </c>
      <c r="AI2145" s="4">
        <v>45105</v>
      </c>
      <c r="AJ2145" s="3" t="s">
        <v>2261</v>
      </c>
      <c r="AK2145" s="3" t="s">
        <v>645</v>
      </c>
    </row>
    <row r="2146" spans="1:37" hidden="1" x14ac:dyDescent="0.25">
      <c r="A2146" t="str">
        <f t="shared" si="33"/>
        <v>2023_SA_Pinery_Fababean_DetailedTOS2VarietySamiraWaterTrtIrrigated</v>
      </c>
      <c r="B2146" s="2">
        <v>2023023</v>
      </c>
      <c r="C2146" s="3" t="s">
        <v>2193</v>
      </c>
      <c r="D2146" s="3" t="s">
        <v>645</v>
      </c>
      <c r="F2146" s="3" t="s">
        <v>4183</v>
      </c>
      <c r="G2146" s="3" t="s">
        <v>43</v>
      </c>
      <c r="H2146" s="3" t="s">
        <v>253</v>
      </c>
      <c r="I2146" s="2">
        <v>67</v>
      </c>
      <c r="J2146" s="2">
        <v>34</v>
      </c>
      <c r="K2146" s="2">
        <v>3</v>
      </c>
      <c r="O2146" s="2">
        <v>9</v>
      </c>
      <c r="U2146" s="2">
        <v>3</v>
      </c>
      <c r="V2146" s="2">
        <v>34</v>
      </c>
      <c r="W2146" s="2">
        <v>3</v>
      </c>
      <c r="X2146" s="2">
        <v>17</v>
      </c>
      <c r="AA2146" s="3" t="s">
        <v>57</v>
      </c>
      <c r="AB2146" s="2">
        <v>4</v>
      </c>
      <c r="AF2146" s="2">
        <v>23</v>
      </c>
      <c r="AG2146" s="2">
        <v>2</v>
      </c>
      <c r="AH2146" s="3" t="s">
        <v>2211</v>
      </c>
      <c r="AI2146" s="4">
        <v>45105</v>
      </c>
      <c r="AJ2146" s="3" t="s">
        <v>2262</v>
      </c>
      <c r="AK2146" s="3" t="s">
        <v>645</v>
      </c>
    </row>
    <row r="2147" spans="1:37" hidden="1" x14ac:dyDescent="0.25">
      <c r="A2147" t="str">
        <f t="shared" si="33"/>
        <v>2023_SA_Pinery_Fababean_DetailedTOS2VarietySamiraWaterTrtIrrigated</v>
      </c>
      <c r="B2147" s="2">
        <v>2023023</v>
      </c>
      <c r="C2147" s="3" t="s">
        <v>2193</v>
      </c>
      <c r="D2147" s="3" t="s">
        <v>645</v>
      </c>
      <c r="F2147" s="3" t="s">
        <v>4183</v>
      </c>
      <c r="G2147" s="3" t="s">
        <v>43</v>
      </c>
      <c r="H2147" s="3" t="s">
        <v>250</v>
      </c>
      <c r="I2147" s="2">
        <v>68</v>
      </c>
      <c r="J2147" s="2">
        <v>34</v>
      </c>
      <c r="K2147" s="2">
        <v>3</v>
      </c>
      <c r="O2147" s="2">
        <v>9</v>
      </c>
      <c r="U2147" s="2">
        <v>4</v>
      </c>
      <c r="V2147" s="2">
        <v>34</v>
      </c>
      <c r="W2147" s="2">
        <v>4</v>
      </c>
      <c r="X2147" s="2">
        <v>17</v>
      </c>
      <c r="Z2147" s="2">
        <v>68</v>
      </c>
      <c r="AA2147" s="3" t="s">
        <v>57</v>
      </c>
      <c r="AB2147" s="2">
        <v>4</v>
      </c>
      <c r="AF2147" s="2">
        <v>23</v>
      </c>
      <c r="AG2147" s="2">
        <v>2</v>
      </c>
      <c r="AH2147" s="3" t="s">
        <v>2211</v>
      </c>
      <c r="AI2147" s="4">
        <v>45105</v>
      </c>
      <c r="AJ2147" s="3" t="s">
        <v>2263</v>
      </c>
      <c r="AK2147" s="3" t="s">
        <v>645</v>
      </c>
    </row>
    <row r="2148" spans="1:37" hidden="1" x14ac:dyDescent="0.25">
      <c r="A2148" t="str">
        <f t="shared" si="33"/>
        <v>2023_SA_Pinery_Fababean_DetailedTOS2VarietyMarneWaterTrtIrrigated</v>
      </c>
      <c r="B2148" s="2">
        <v>2023023</v>
      </c>
      <c r="C2148" s="3" t="s">
        <v>2193</v>
      </c>
      <c r="D2148" s="3" t="s">
        <v>645</v>
      </c>
      <c r="F2148" s="3" t="s">
        <v>4184</v>
      </c>
      <c r="G2148" s="3" t="s">
        <v>39</v>
      </c>
      <c r="H2148" s="3" t="s">
        <v>253</v>
      </c>
      <c r="I2148" s="2">
        <v>69</v>
      </c>
      <c r="J2148" s="2">
        <v>35</v>
      </c>
      <c r="K2148" s="2">
        <v>3</v>
      </c>
      <c r="O2148" s="2">
        <v>9</v>
      </c>
      <c r="U2148" s="2">
        <v>1</v>
      </c>
      <c r="V2148" s="2">
        <v>35</v>
      </c>
      <c r="W2148" s="2">
        <v>1</v>
      </c>
      <c r="X2148" s="2">
        <v>18</v>
      </c>
      <c r="AA2148" s="3" t="s">
        <v>57</v>
      </c>
      <c r="AB2148" s="2">
        <v>2</v>
      </c>
      <c r="AF2148" s="2">
        <v>23</v>
      </c>
      <c r="AG2148" s="2">
        <v>2</v>
      </c>
      <c r="AH2148" s="3" t="s">
        <v>2211</v>
      </c>
      <c r="AI2148" s="4">
        <v>45105</v>
      </c>
      <c r="AJ2148" s="3" t="s">
        <v>2264</v>
      </c>
      <c r="AK2148" s="3" t="s">
        <v>645</v>
      </c>
    </row>
    <row r="2149" spans="1:37" hidden="1" x14ac:dyDescent="0.25">
      <c r="A2149" t="str">
        <f t="shared" si="33"/>
        <v>2023_SA_Pinery_Fababean_DetailedTOS2VarietyMarneWaterTrtIrrigated</v>
      </c>
      <c r="B2149" s="2">
        <v>2023023</v>
      </c>
      <c r="C2149" s="3" t="s">
        <v>2193</v>
      </c>
      <c r="D2149" s="3" t="s">
        <v>645</v>
      </c>
      <c r="F2149" s="3" t="s">
        <v>4184</v>
      </c>
      <c r="G2149" s="3" t="s">
        <v>39</v>
      </c>
      <c r="H2149" s="3" t="s">
        <v>250</v>
      </c>
      <c r="I2149" s="2">
        <v>70</v>
      </c>
      <c r="J2149" s="2">
        <v>35</v>
      </c>
      <c r="K2149" s="2">
        <v>3</v>
      </c>
      <c r="O2149" s="2">
        <v>9</v>
      </c>
      <c r="U2149" s="2">
        <v>2</v>
      </c>
      <c r="V2149" s="2">
        <v>35</v>
      </c>
      <c r="W2149" s="2">
        <v>2</v>
      </c>
      <c r="X2149" s="2">
        <v>18</v>
      </c>
      <c r="Z2149" s="2">
        <v>71</v>
      </c>
      <c r="AA2149" s="3" t="s">
        <v>57</v>
      </c>
      <c r="AB2149" s="2">
        <v>2</v>
      </c>
      <c r="AF2149" s="2">
        <v>23</v>
      </c>
      <c r="AG2149" s="2">
        <v>2</v>
      </c>
      <c r="AH2149" s="3" t="s">
        <v>2211</v>
      </c>
      <c r="AI2149" s="4">
        <v>45105</v>
      </c>
      <c r="AJ2149" s="3" t="s">
        <v>2265</v>
      </c>
      <c r="AK2149" s="3" t="s">
        <v>645</v>
      </c>
    </row>
    <row r="2150" spans="1:37" hidden="1" x14ac:dyDescent="0.25">
      <c r="A2150" t="str">
        <f t="shared" si="33"/>
        <v>2023_SA_Pinery_Fababean_DetailedTOS2VarietyNasmaWaterTrtIrrigated</v>
      </c>
      <c r="B2150" s="2">
        <v>2023023</v>
      </c>
      <c r="C2150" s="3" t="s">
        <v>2193</v>
      </c>
      <c r="D2150" s="3" t="s">
        <v>645</v>
      </c>
      <c r="F2150" s="3" t="s">
        <v>4186</v>
      </c>
      <c r="G2150" s="3" t="s">
        <v>43</v>
      </c>
      <c r="H2150" s="3" t="s">
        <v>253</v>
      </c>
      <c r="I2150" s="2">
        <v>71</v>
      </c>
      <c r="J2150" s="2">
        <v>36</v>
      </c>
      <c r="K2150" s="2">
        <v>3</v>
      </c>
      <c r="O2150" s="2">
        <v>9</v>
      </c>
      <c r="U2150" s="2">
        <v>3</v>
      </c>
      <c r="V2150" s="2">
        <v>35</v>
      </c>
      <c r="W2150" s="2">
        <v>3</v>
      </c>
      <c r="X2150" s="2">
        <v>18</v>
      </c>
      <c r="AA2150" s="3" t="s">
        <v>57</v>
      </c>
      <c r="AB2150" s="2">
        <v>3</v>
      </c>
      <c r="AF2150" s="2">
        <v>23</v>
      </c>
      <c r="AG2150" s="2">
        <v>2</v>
      </c>
      <c r="AH2150" s="3" t="s">
        <v>2211</v>
      </c>
      <c r="AI2150" s="4">
        <v>45105</v>
      </c>
      <c r="AJ2150" s="3" t="s">
        <v>2266</v>
      </c>
      <c r="AK2150" s="3" t="s">
        <v>645</v>
      </c>
    </row>
    <row r="2151" spans="1:37" hidden="1" x14ac:dyDescent="0.25">
      <c r="A2151" t="str">
        <f t="shared" si="33"/>
        <v>2023_SA_Pinery_Fababean_DetailedTOS2VarietyNasmaWaterTrtIrrigated</v>
      </c>
      <c r="B2151" s="2">
        <v>2023023</v>
      </c>
      <c r="C2151" s="3" t="s">
        <v>2193</v>
      </c>
      <c r="D2151" s="3" t="s">
        <v>645</v>
      </c>
      <c r="F2151" s="3" t="s">
        <v>4186</v>
      </c>
      <c r="G2151" s="3" t="s">
        <v>43</v>
      </c>
      <c r="H2151" s="3" t="s">
        <v>250</v>
      </c>
      <c r="I2151" s="2">
        <v>72</v>
      </c>
      <c r="J2151" s="2">
        <v>36</v>
      </c>
      <c r="K2151" s="2">
        <v>3</v>
      </c>
      <c r="O2151" s="2">
        <v>9</v>
      </c>
      <c r="U2151" s="2">
        <v>4</v>
      </c>
      <c r="V2151" s="2">
        <v>35</v>
      </c>
      <c r="W2151" s="2">
        <v>4</v>
      </c>
      <c r="X2151" s="2">
        <v>18</v>
      </c>
      <c r="Z2151" s="2">
        <v>69</v>
      </c>
      <c r="AA2151" s="3" t="s">
        <v>57</v>
      </c>
      <c r="AB2151" s="2">
        <v>3</v>
      </c>
      <c r="AF2151" s="2">
        <v>23</v>
      </c>
      <c r="AG2151" s="2">
        <v>2</v>
      </c>
      <c r="AH2151" s="3" t="s">
        <v>2211</v>
      </c>
      <c r="AI2151" s="4">
        <v>45105</v>
      </c>
      <c r="AJ2151" s="3" t="s">
        <v>2267</v>
      </c>
      <c r="AK2151" s="3" t="s">
        <v>645</v>
      </c>
    </row>
    <row r="2152" spans="1:37" hidden="1" x14ac:dyDescent="0.25">
      <c r="A2152" t="str">
        <f t="shared" si="33"/>
        <v>2023_SA_Pinery_Fababean_DetailedTOS2VarietyNasmaWaterTrtRainFed</v>
      </c>
      <c r="B2152" s="2">
        <v>2023023</v>
      </c>
      <c r="C2152" s="3" t="s">
        <v>2193</v>
      </c>
      <c r="D2152" s="3" t="s">
        <v>645</v>
      </c>
      <c r="F2152" s="3" t="s">
        <v>4186</v>
      </c>
      <c r="G2152" s="3" t="s">
        <v>43</v>
      </c>
      <c r="H2152" s="3" t="s">
        <v>253</v>
      </c>
      <c r="I2152" s="2">
        <v>73</v>
      </c>
      <c r="J2152" s="2">
        <v>37</v>
      </c>
      <c r="K2152" s="2">
        <v>3</v>
      </c>
      <c r="O2152" s="2">
        <v>10</v>
      </c>
      <c r="U2152" s="2">
        <v>1</v>
      </c>
      <c r="V2152" s="2">
        <v>38</v>
      </c>
      <c r="W2152" s="2">
        <v>1</v>
      </c>
      <c r="X2152" s="2">
        <v>19</v>
      </c>
      <c r="AA2152" s="3" t="s">
        <v>40</v>
      </c>
      <c r="AB2152" s="2">
        <v>3</v>
      </c>
      <c r="AF2152" s="2">
        <v>23</v>
      </c>
      <c r="AG2152" s="2">
        <v>2</v>
      </c>
      <c r="AH2152" s="3" t="s">
        <v>2211</v>
      </c>
      <c r="AI2152" s="4">
        <v>45105</v>
      </c>
      <c r="AJ2152" s="3" t="s">
        <v>2268</v>
      </c>
      <c r="AK2152" s="3" t="s">
        <v>645</v>
      </c>
    </row>
    <row r="2153" spans="1:37" hidden="1" x14ac:dyDescent="0.25">
      <c r="A2153" t="str">
        <f t="shared" si="33"/>
        <v>2023_SA_Pinery_Fababean_DetailedTOS2VarietyNasmaWaterTrtRainFed</v>
      </c>
      <c r="B2153" s="2">
        <v>2023023</v>
      </c>
      <c r="C2153" s="3" t="s">
        <v>2193</v>
      </c>
      <c r="D2153" s="3" t="s">
        <v>645</v>
      </c>
      <c r="F2153" s="3" t="s">
        <v>4186</v>
      </c>
      <c r="G2153" s="3" t="s">
        <v>43</v>
      </c>
      <c r="H2153" s="3" t="s">
        <v>250</v>
      </c>
      <c r="I2153" s="2">
        <v>74</v>
      </c>
      <c r="J2153" s="2">
        <v>37</v>
      </c>
      <c r="K2153" s="2">
        <v>3</v>
      </c>
      <c r="O2153" s="2">
        <v>10</v>
      </c>
      <c r="U2153" s="2">
        <v>2</v>
      </c>
      <c r="V2153" s="2">
        <v>38</v>
      </c>
      <c r="W2153" s="2">
        <v>2</v>
      </c>
      <c r="X2153" s="2">
        <v>19</v>
      </c>
      <c r="Z2153" s="2">
        <v>74</v>
      </c>
      <c r="AA2153" s="3" t="s">
        <v>40</v>
      </c>
      <c r="AB2153" s="2">
        <v>3</v>
      </c>
      <c r="AF2153" s="2">
        <v>23</v>
      </c>
      <c r="AG2153" s="2">
        <v>2</v>
      </c>
      <c r="AH2153" s="3" t="s">
        <v>2211</v>
      </c>
      <c r="AI2153" s="4">
        <v>45105</v>
      </c>
      <c r="AJ2153" s="3" t="s">
        <v>2269</v>
      </c>
      <c r="AK2153" s="3" t="s">
        <v>645</v>
      </c>
    </row>
    <row r="2154" spans="1:37" hidden="1" x14ac:dyDescent="0.25">
      <c r="A2154" t="str">
        <f t="shared" si="33"/>
        <v>2023_SA_Pinery_Fababean_DetailedTOS2VarietyMarneWaterTrtRainFed</v>
      </c>
      <c r="B2154" s="2">
        <v>2023023</v>
      </c>
      <c r="C2154" s="3" t="s">
        <v>2193</v>
      </c>
      <c r="D2154" s="3" t="s">
        <v>645</v>
      </c>
      <c r="F2154" s="3" t="s">
        <v>4184</v>
      </c>
      <c r="G2154" s="3" t="s">
        <v>39</v>
      </c>
      <c r="H2154" s="3" t="s">
        <v>253</v>
      </c>
      <c r="I2154" s="2">
        <v>75</v>
      </c>
      <c r="J2154" s="2">
        <v>38</v>
      </c>
      <c r="K2154" s="2">
        <v>3</v>
      </c>
      <c r="O2154" s="2">
        <v>10</v>
      </c>
      <c r="U2154" s="2">
        <v>3</v>
      </c>
      <c r="V2154" s="2">
        <v>38</v>
      </c>
      <c r="W2154" s="2">
        <v>3</v>
      </c>
      <c r="X2154" s="2">
        <v>19</v>
      </c>
      <c r="AA2154" s="3" t="s">
        <v>40</v>
      </c>
      <c r="AB2154" s="2">
        <v>2</v>
      </c>
      <c r="AF2154" s="2">
        <v>23</v>
      </c>
      <c r="AG2154" s="2">
        <v>2</v>
      </c>
      <c r="AH2154" s="3" t="s">
        <v>2211</v>
      </c>
      <c r="AI2154" s="4">
        <v>45105</v>
      </c>
      <c r="AJ2154" s="3" t="s">
        <v>2270</v>
      </c>
      <c r="AK2154" s="3" t="s">
        <v>645</v>
      </c>
    </row>
    <row r="2155" spans="1:37" hidden="1" x14ac:dyDescent="0.25">
      <c r="A2155" t="str">
        <f t="shared" si="33"/>
        <v>2023_SA_Pinery_Fababean_DetailedTOS2VarietyMarneWaterTrtRainFed</v>
      </c>
      <c r="B2155" s="2">
        <v>2023023</v>
      </c>
      <c r="C2155" s="3" t="s">
        <v>2193</v>
      </c>
      <c r="D2155" s="3" t="s">
        <v>645</v>
      </c>
      <c r="F2155" s="3" t="s">
        <v>4184</v>
      </c>
      <c r="G2155" s="3" t="s">
        <v>39</v>
      </c>
      <c r="H2155" s="3" t="s">
        <v>250</v>
      </c>
      <c r="I2155" s="2">
        <v>76</v>
      </c>
      <c r="J2155" s="2">
        <v>38</v>
      </c>
      <c r="K2155" s="2">
        <v>3</v>
      </c>
      <c r="O2155" s="2">
        <v>10</v>
      </c>
      <c r="U2155" s="2">
        <v>4</v>
      </c>
      <c r="V2155" s="2">
        <v>38</v>
      </c>
      <c r="W2155" s="2">
        <v>4</v>
      </c>
      <c r="X2155" s="2">
        <v>19</v>
      </c>
      <c r="Z2155" s="2">
        <v>76</v>
      </c>
      <c r="AA2155" s="3" t="s">
        <v>40</v>
      </c>
      <c r="AB2155" s="2">
        <v>2</v>
      </c>
      <c r="AF2155" s="2">
        <v>23</v>
      </c>
      <c r="AG2155" s="2">
        <v>2</v>
      </c>
      <c r="AH2155" s="3" t="s">
        <v>2211</v>
      </c>
      <c r="AI2155" s="4">
        <v>45105</v>
      </c>
      <c r="AJ2155" s="3" t="s">
        <v>2271</v>
      </c>
      <c r="AK2155" s="3" t="s">
        <v>645</v>
      </c>
    </row>
    <row r="2156" spans="1:37" hidden="1" x14ac:dyDescent="0.25">
      <c r="A2156" t="str">
        <f t="shared" si="33"/>
        <v>2023_SA_Pinery_Fababean_DetailedTOS2VarietyAmberleyWaterTrtRainFed</v>
      </c>
      <c r="B2156" s="2">
        <v>2023023</v>
      </c>
      <c r="C2156" s="3" t="s">
        <v>2193</v>
      </c>
      <c r="D2156" s="3" t="s">
        <v>645</v>
      </c>
      <c r="F2156" s="3" t="s">
        <v>4185</v>
      </c>
      <c r="G2156" s="3" t="s">
        <v>39</v>
      </c>
      <c r="H2156" s="3" t="s">
        <v>253</v>
      </c>
      <c r="I2156" s="2">
        <v>77</v>
      </c>
      <c r="J2156" s="2">
        <v>39</v>
      </c>
      <c r="K2156" s="2">
        <v>3</v>
      </c>
      <c r="O2156" s="2">
        <v>10</v>
      </c>
      <c r="U2156" s="2">
        <v>1</v>
      </c>
      <c r="V2156" s="2">
        <v>39</v>
      </c>
      <c r="W2156" s="2">
        <v>1</v>
      </c>
      <c r="X2156" s="2">
        <v>20</v>
      </c>
      <c r="AA2156" s="3" t="s">
        <v>40</v>
      </c>
      <c r="AB2156" s="2">
        <v>1</v>
      </c>
      <c r="AF2156" s="2">
        <v>23</v>
      </c>
      <c r="AG2156" s="2">
        <v>2</v>
      </c>
      <c r="AH2156" s="3" t="s">
        <v>2211</v>
      </c>
      <c r="AI2156" s="4">
        <v>45105</v>
      </c>
      <c r="AJ2156" s="3" t="s">
        <v>2272</v>
      </c>
      <c r="AK2156" s="3" t="s">
        <v>645</v>
      </c>
    </row>
    <row r="2157" spans="1:37" hidden="1" x14ac:dyDescent="0.25">
      <c r="A2157" t="str">
        <f t="shared" si="33"/>
        <v>2023_SA_Pinery_Fababean_DetailedTOS2VarietyAmberleyWaterTrtRainFed</v>
      </c>
      <c r="B2157" s="2">
        <v>2023023</v>
      </c>
      <c r="C2157" s="3" t="s">
        <v>2193</v>
      </c>
      <c r="D2157" s="3" t="s">
        <v>645</v>
      </c>
      <c r="F2157" s="3" t="s">
        <v>4185</v>
      </c>
      <c r="G2157" s="3" t="s">
        <v>39</v>
      </c>
      <c r="H2157" s="3" t="s">
        <v>250</v>
      </c>
      <c r="I2157" s="2">
        <v>78</v>
      </c>
      <c r="J2157" s="2">
        <v>39</v>
      </c>
      <c r="K2157" s="2">
        <v>3</v>
      </c>
      <c r="O2157" s="2">
        <v>10</v>
      </c>
      <c r="U2157" s="2">
        <v>2</v>
      </c>
      <c r="V2157" s="2">
        <v>39</v>
      </c>
      <c r="W2157" s="2">
        <v>2</v>
      </c>
      <c r="X2157" s="2">
        <v>20</v>
      </c>
      <c r="Z2157" s="2">
        <v>79</v>
      </c>
      <c r="AA2157" s="3" t="s">
        <v>40</v>
      </c>
      <c r="AB2157" s="2">
        <v>1</v>
      </c>
      <c r="AF2157" s="2">
        <v>23</v>
      </c>
      <c r="AG2157" s="2">
        <v>2</v>
      </c>
      <c r="AH2157" s="3" t="s">
        <v>2211</v>
      </c>
      <c r="AI2157" s="4">
        <v>45105</v>
      </c>
      <c r="AJ2157" s="3" t="s">
        <v>2273</v>
      </c>
      <c r="AK2157" s="3" t="s">
        <v>645</v>
      </c>
    </row>
    <row r="2158" spans="1:37" hidden="1" x14ac:dyDescent="0.25">
      <c r="A2158" t="str">
        <f t="shared" si="33"/>
        <v>2023_SA_Pinery_Fababean_DetailedTOS2VarietySamiraWaterTrtRainFed</v>
      </c>
      <c r="B2158" s="2">
        <v>2023023</v>
      </c>
      <c r="C2158" s="3" t="s">
        <v>2193</v>
      </c>
      <c r="D2158" s="3" t="s">
        <v>645</v>
      </c>
      <c r="F2158" s="3" t="s">
        <v>4183</v>
      </c>
      <c r="G2158" s="3" t="s">
        <v>43</v>
      </c>
      <c r="H2158" s="3" t="s">
        <v>253</v>
      </c>
      <c r="I2158" s="2">
        <v>79</v>
      </c>
      <c r="J2158" s="2">
        <v>40</v>
      </c>
      <c r="K2158" s="2">
        <v>3</v>
      </c>
      <c r="O2158" s="2">
        <v>10</v>
      </c>
      <c r="U2158" s="2">
        <v>3</v>
      </c>
      <c r="V2158" s="2">
        <v>39</v>
      </c>
      <c r="W2158" s="2">
        <v>3</v>
      </c>
      <c r="X2158" s="2">
        <v>20</v>
      </c>
      <c r="AA2158" s="3" t="s">
        <v>40</v>
      </c>
      <c r="AB2158" s="2">
        <v>4</v>
      </c>
      <c r="AF2158" s="2">
        <v>23</v>
      </c>
      <c r="AG2158" s="2">
        <v>2</v>
      </c>
      <c r="AH2158" s="3" t="s">
        <v>2211</v>
      </c>
      <c r="AI2158" s="4">
        <v>45105</v>
      </c>
      <c r="AJ2158" s="3" t="s">
        <v>2274</v>
      </c>
      <c r="AK2158" s="3" t="s">
        <v>645</v>
      </c>
    </row>
    <row r="2159" spans="1:37" hidden="1" x14ac:dyDescent="0.25">
      <c r="A2159" t="str">
        <f t="shared" si="33"/>
        <v>2023_SA_Pinery_Fababean_DetailedTOS2VarietySamiraWaterTrtRainFed</v>
      </c>
      <c r="B2159" s="2">
        <v>2023023</v>
      </c>
      <c r="C2159" s="3" t="s">
        <v>2193</v>
      </c>
      <c r="D2159" s="3" t="s">
        <v>645</v>
      </c>
      <c r="F2159" s="3" t="s">
        <v>4183</v>
      </c>
      <c r="G2159" s="3" t="s">
        <v>43</v>
      </c>
      <c r="H2159" s="3" t="s">
        <v>250</v>
      </c>
      <c r="I2159" s="2">
        <v>80</v>
      </c>
      <c r="J2159" s="2">
        <v>40</v>
      </c>
      <c r="K2159" s="2">
        <v>3</v>
      </c>
      <c r="O2159" s="2">
        <v>10</v>
      </c>
      <c r="U2159" s="2">
        <v>4</v>
      </c>
      <c r="V2159" s="2">
        <v>39</v>
      </c>
      <c r="W2159" s="2">
        <v>4</v>
      </c>
      <c r="X2159" s="2">
        <v>20</v>
      </c>
      <c r="Z2159" s="2">
        <v>77</v>
      </c>
      <c r="AA2159" s="3" t="s">
        <v>40</v>
      </c>
      <c r="AB2159" s="2">
        <v>4</v>
      </c>
      <c r="AF2159" s="2">
        <v>23</v>
      </c>
      <c r="AG2159" s="2">
        <v>2</v>
      </c>
      <c r="AH2159" s="3" t="s">
        <v>2211</v>
      </c>
      <c r="AI2159" s="4">
        <v>45105</v>
      </c>
      <c r="AJ2159" s="3" t="s">
        <v>2275</v>
      </c>
      <c r="AK2159" s="3" t="s">
        <v>645</v>
      </c>
    </row>
    <row r="2160" spans="1:37" hidden="1" x14ac:dyDescent="0.25">
      <c r="A2160" t="str">
        <f t="shared" si="33"/>
        <v>2023_SA_Pinery_Fababean_DetailedTOS1VarietySamiraWaterTrtRainFed</v>
      </c>
      <c r="B2160" s="2">
        <v>2023023</v>
      </c>
      <c r="C2160" s="3" t="s">
        <v>2193</v>
      </c>
      <c r="D2160" s="3" t="s">
        <v>645</v>
      </c>
      <c r="F2160" s="3" t="s">
        <v>4183</v>
      </c>
      <c r="G2160" s="3" t="s">
        <v>43</v>
      </c>
      <c r="H2160" s="3" t="s">
        <v>253</v>
      </c>
      <c r="I2160" s="2">
        <v>81</v>
      </c>
      <c r="J2160" s="2">
        <v>41</v>
      </c>
      <c r="K2160" s="2">
        <v>3</v>
      </c>
      <c r="O2160" s="2">
        <v>11</v>
      </c>
      <c r="U2160" s="2">
        <v>1</v>
      </c>
      <c r="V2160" s="2">
        <v>42</v>
      </c>
      <c r="W2160" s="2">
        <v>1</v>
      </c>
      <c r="X2160" s="2">
        <v>21</v>
      </c>
      <c r="AA2160" s="3" t="s">
        <v>40</v>
      </c>
      <c r="AB2160" s="2">
        <v>4</v>
      </c>
      <c r="AF2160" s="2">
        <v>23</v>
      </c>
      <c r="AG2160" s="2">
        <v>1</v>
      </c>
      <c r="AH2160" s="3" t="s">
        <v>2194</v>
      </c>
      <c r="AI2160" s="4">
        <v>45056</v>
      </c>
      <c r="AJ2160" s="3" t="s">
        <v>2276</v>
      </c>
      <c r="AK2160" s="3" t="s">
        <v>645</v>
      </c>
    </row>
    <row r="2161" spans="1:37" hidden="1" x14ac:dyDescent="0.25">
      <c r="A2161" t="str">
        <f t="shared" si="33"/>
        <v>2023_SA_Pinery_Fababean_DetailedTOS1VarietySamiraWaterTrtRainFed</v>
      </c>
      <c r="B2161" s="2">
        <v>2023023</v>
      </c>
      <c r="C2161" s="3" t="s">
        <v>2193</v>
      </c>
      <c r="D2161" s="3" t="s">
        <v>645</v>
      </c>
      <c r="F2161" s="3" t="s">
        <v>4183</v>
      </c>
      <c r="G2161" s="3" t="s">
        <v>43</v>
      </c>
      <c r="H2161" s="3" t="s">
        <v>250</v>
      </c>
      <c r="I2161" s="2">
        <v>82</v>
      </c>
      <c r="J2161" s="2">
        <v>41</v>
      </c>
      <c r="K2161" s="2">
        <v>3</v>
      </c>
      <c r="O2161" s="2">
        <v>11</v>
      </c>
      <c r="U2161" s="2">
        <v>2</v>
      </c>
      <c r="V2161" s="2">
        <v>42</v>
      </c>
      <c r="W2161" s="2">
        <v>2</v>
      </c>
      <c r="X2161" s="2">
        <v>21</v>
      </c>
      <c r="Z2161" s="2">
        <v>82</v>
      </c>
      <c r="AA2161" s="3" t="s">
        <v>40</v>
      </c>
      <c r="AB2161" s="2">
        <v>4</v>
      </c>
      <c r="AF2161" s="2">
        <v>23</v>
      </c>
      <c r="AG2161" s="2">
        <v>1</v>
      </c>
      <c r="AH2161" s="3" t="s">
        <v>2194</v>
      </c>
      <c r="AI2161" s="4">
        <v>45056</v>
      </c>
      <c r="AJ2161" s="3" t="s">
        <v>2277</v>
      </c>
      <c r="AK2161" s="3" t="s">
        <v>645</v>
      </c>
    </row>
    <row r="2162" spans="1:37" hidden="1" x14ac:dyDescent="0.25">
      <c r="A2162" t="str">
        <f t="shared" si="33"/>
        <v>2023_SA_Pinery_Fababean_DetailedTOS1VarietyAmberleyWaterTrtRainFed</v>
      </c>
      <c r="B2162" s="2">
        <v>2023023</v>
      </c>
      <c r="C2162" s="3" t="s">
        <v>2193</v>
      </c>
      <c r="D2162" s="3" t="s">
        <v>645</v>
      </c>
      <c r="F2162" s="3" t="s">
        <v>4185</v>
      </c>
      <c r="G2162" s="3" t="s">
        <v>39</v>
      </c>
      <c r="H2162" s="3" t="s">
        <v>253</v>
      </c>
      <c r="I2162" s="2">
        <v>83</v>
      </c>
      <c r="J2162" s="2">
        <v>42</v>
      </c>
      <c r="K2162" s="2">
        <v>3</v>
      </c>
      <c r="O2162" s="2">
        <v>11</v>
      </c>
      <c r="U2162" s="2">
        <v>3</v>
      </c>
      <c r="V2162" s="2">
        <v>42</v>
      </c>
      <c r="W2162" s="2">
        <v>3</v>
      </c>
      <c r="X2162" s="2">
        <v>21</v>
      </c>
      <c r="AA2162" s="3" t="s">
        <v>40</v>
      </c>
      <c r="AB2162" s="2">
        <v>1</v>
      </c>
      <c r="AF2162" s="2">
        <v>23</v>
      </c>
      <c r="AG2162" s="2">
        <v>1</v>
      </c>
      <c r="AH2162" s="3" t="s">
        <v>2194</v>
      </c>
      <c r="AI2162" s="4">
        <v>45056</v>
      </c>
      <c r="AJ2162" s="3" t="s">
        <v>2278</v>
      </c>
      <c r="AK2162" s="3" t="s">
        <v>645</v>
      </c>
    </row>
    <row r="2163" spans="1:37" hidden="1" x14ac:dyDescent="0.25">
      <c r="A2163" t="str">
        <f t="shared" si="33"/>
        <v>2023_SA_Pinery_Fababean_DetailedTOS1VarietyAmberleyWaterTrtRainFed</v>
      </c>
      <c r="B2163" s="2">
        <v>2023023</v>
      </c>
      <c r="C2163" s="3" t="s">
        <v>2193</v>
      </c>
      <c r="D2163" s="3" t="s">
        <v>645</v>
      </c>
      <c r="F2163" s="3" t="s">
        <v>4185</v>
      </c>
      <c r="G2163" s="3" t="s">
        <v>39</v>
      </c>
      <c r="H2163" s="3" t="s">
        <v>250</v>
      </c>
      <c r="I2163" s="2">
        <v>84</v>
      </c>
      <c r="J2163" s="2">
        <v>42</v>
      </c>
      <c r="K2163" s="2">
        <v>3</v>
      </c>
      <c r="O2163" s="2">
        <v>11</v>
      </c>
      <c r="U2163" s="2">
        <v>4</v>
      </c>
      <c r="V2163" s="2">
        <v>42</v>
      </c>
      <c r="W2163" s="2">
        <v>4</v>
      </c>
      <c r="X2163" s="2">
        <v>21</v>
      </c>
      <c r="Z2163" s="2">
        <v>84</v>
      </c>
      <c r="AA2163" s="3" t="s">
        <v>40</v>
      </c>
      <c r="AB2163" s="2">
        <v>1</v>
      </c>
      <c r="AF2163" s="2">
        <v>23</v>
      </c>
      <c r="AG2163" s="2">
        <v>1</v>
      </c>
      <c r="AH2163" s="3" t="s">
        <v>2194</v>
      </c>
      <c r="AI2163" s="4">
        <v>45056</v>
      </c>
      <c r="AJ2163" s="3" t="s">
        <v>2279</v>
      </c>
      <c r="AK2163" s="3" t="s">
        <v>645</v>
      </c>
    </row>
    <row r="2164" spans="1:37" hidden="1" x14ac:dyDescent="0.25">
      <c r="A2164" t="str">
        <f t="shared" si="33"/>
        <v>2023_SA_Pinery_Fababean_DetailedTOS1VarietyNasmaWaterTrtRainFed</v>
      </c>
      <c r="B2164" s="2">
        <v>2023023</v>
      </c>
      <c r="C2164" s="3" t="s">
        <v>2193</v>
      </c>
      <c r="D2164" s="3" t="s">
        <v>645</v>
      </c>
      <c r="F2164" s="3" t="s">
        <v>4186</v>
      </c>
      <c r="G2164" s="3" t="s">
        <v>43</v>
      </c>
      <c r="H2164" s="3" t="s">
        <v>253</v>
      </c>
      <c r="I2164" s="2">
        <v>85</v>
      </c>
      <c r="J2164" s="2">
        <v>43</v>
      </c>
      <c r="K2164" s="2">
        <v>3</v>
      </c>
      <c r="O2164" s="2">
        <v>11</v>
      </c>
      <c r="U2164" s="2">
        <v>1</v>
      </c>
      <c r="V2164" s="2">
        <v>43</v>
      </c>
      <c r="W2164" s="2">
        <v>1</v>
      </c>
      <c r="X2164" s="2">
        <v>22</v>
      </c>
      <c r="AA2164" s="3" t="s">
        <v>40</v>
      </c>
      <c r="AB2164" s="2">
        <v>3</v>
      </c>
      <c r="AF2164" s="2">
        <v>23</v>
      </c>
      <c r="AG2164" s="2">
        <v>1</v>
      </c>
      <c r="AH2164" s="3" t="s">
        <v>2194</v>
      </c>
      <c r="AI2164" s="4">
        <v>45056</v>
      </c>
      <c r="AJ2164" s="3" t="s">
        <v>2280</v>
      </c>
      <c r="AK2164" s="3" t="s">
        <v>645</v>
      </c>
    </row>
    <row r="2165" spans="1:37" hidden="1" x14ac:dyDescent="0.25">
      <c r="A2165" t="str">
        <f t="shared" si="33"/>
        <v>2023_SA_Pinery_Fababean_DetailedTOS1VarietyNasmaWaterTrtRainFed</v>
      </c>
      <c r="B2165" s="2">
        <v>2023023</v>
      </c>
      <c r="C2165" s="3" t="s">
        <v>2193</v>
      </c>
      <c r="D2165" s="3" t="s">
        <v>645</v>
      </c>
      <c r="F2165" s="3" t="s">
        <v>4186</v>
      </c>
      <c r="G2165" s="3" t="s">
        <v>43</v>
      </c>
      <c r="H2165" s="3" t="s">
        <v>250</v>
      </c>
      <c r="I2165" s="2">
        <v>86</v>
      </c>
      <c r="J2165" s="2">
        <v>43</v>
      </c>
      <c r="K2165" s="2">
        <v>3</v>
      </c>
      <c r="O2165" s="2">
        <v>11</v>
      </c>
      <c r="U2165" s="2">
        <v>2</v>
      </c>
      <c r="V2165" s="2">
        <v>43</v>
      </c>
      <c r="W2165" s="2">
        <v>2</v>
      </c>
      <c r="X2165" s="2">
        <v>22</v>
      </c>
      <c r="Z2165" s="2">
        <v>87</v>
      </c>
      <c r="AA2165" s="3" t="s">
        <v>40</v>
      </c>
      <c r="AB2165" s="2">
        <v>3</v>
      </c>
      <c r="AF2165" s="2">
        <v>23</v>
      </c>
      <c r="AG2165" s="2">
        <v>1</v>
      </c>
      <c r="AH2165" s="3" t="s">
        <v>2194</v>
      </c>
      <c r="AI2165" s="4">
        <v>45056</v>
      </c>
      <c r="AJ2165" s="3" t="s">
        <v>2281</v>
      </c>
      <c r="AK2165" s="3" t="s">
        <v>645</v>
      </c>
    </row>
    <row r="2166" spans="1:37" hidden="1" x14ac:dyDescent="0.25">
      <c r="A2166" t="str">
        <f t="shared" si="33"/>
        <v>2023_SA_Pinery_Fababean_DetailedTOS1VarietyMarneWaterTrtRainFed</v>
      </c>
      <c r="B2166" s="2">
        <v>2023023</v>
      </c>
      <c r="C2166" s="3" t="s">
        <v>2193</v>
      </c>
      <c r="D2166" s="3" t="s">
        <v>645</v>
      </c>
      <c r="F2166" s="3" t="s">
        <v>4184</v>
      </c>
      <c r="G2166" s="3" t="s">
        <v>39</v>
      </c>
      <c r="H2166" s="3" t="s">
        <v>253</v>
      </c>
      <c r="I2166" s="2">
        <v>87</v>
      </c>
      <c r="J2166" s="2">
        <v>44</v>
      </c>
      <c r="K2166" s="2">
        <v>3</v>
      </c>
      <c r="O2166" s="2">
        <v>11</v>
      </c>
      <c r="U2166" s="2">
        <v>3</v>
      </c>
      <c r="V2166" s="2">
        <v>43</v>
      </c>
      <c r="W2166" s="2">
        <v>3</v>
      </c>
      <c r="X2166" s="2">
        <v>22</v>
      </c>
      <c r="AA2166" s="3" t="s">
        <v>40</v>
      </c>
      <c r="AB2166" s="2">
        <v>2</v>
      </c>
      <c r="AF2166" s="2">
        <v>23</v>
      </c>
      <c r="AG2166" s="2">
        <v>1</v>
      </c>
      <c r="AH2166" s="3" t="s">
        <v>2194</v>
      </c>
      <c r="AI2166" s="4">
        <v>45056</v>
      </c>
      <c r="AJ2166" s="3" t="s">
        <v>2282</v>
      </c>
      <c r="AK2166" s="3" t="s">
        <v>645</v>
      </c>
    </row>
    <row r="2167" spans="1:37" hidden="1" x14ac:dyDescent="0.25">
      <c r="A2167" t="str">
        <f t="shared" si="33"/>
        <v>2023_SA_Pinery_Fababean_DetailedTOS1VarietyMarneWaterTrtRainFed</v>
      </c>
      <c r="B2167" s="2">
        <v>2023023</v>
      </c>
      <c r="C2167" s="3" t="s">
        <v>2193</v>
      </c>
      <c r="D2167" s="3" t="s">
        <v>645</v>
      </c>
      <c r="F2167" s="3" t="s">
        <v>4184</v>
      </c>
      <c r="G2167" s="3" t="s">
        <v>39</v>
      </c>
      <c r="H2167" s="3" t="s">
        <v>250</v>
      </c>
      <c r="I2167" s="2">
        <v>88</v>
      </c>
      <c r="J2167" s="2">
        <v>44</v>
      </c>
      <c r="K2167" s="2">
        <v>3</v>
      </c>
      <c r="O2167" s="2">
        <v>11</v>
      </c>
      <c r="U2167" s="2">
        <v>4</v>
      </c>
      <c r="V2167" s="2">
        <v>43</v>
      </c>
      <c r="W2167" s="2">
        <v>4</v>
      </c>
      <c r="X2167" s="2">
        <v>22</v>
      </c>
      <c r="Z2167" s="2">
        <v>85</v>
      </c>
      <c r="AA2167" s="3" t="s">
        <v>40</v>
      </c>
      <c r="AB2167" s="2">
        <v>2</v>
      </c>
      <c r="AF2167" s="2">
        <v>23</v>
      </c>
      <c r="AG2167" s="2">
        <v>1</v>
      </c>
      <c r="AH2167" s="3" t="s">
        <v>2194</v>
      </c>
      <c r="AI2167" s="4">
        <v>45056</v>
      </c>
      <c r="AJ2167" s="3" t="s">
        <v>2283</v>
      </c>
      <c r="AK2167" s="3" t="s">
        <v>645</v>
      </c>
    </row>
    <row r="2168" spans="1:37" hidden="1" x14ac:dyDescent="0.25">
      <c r="A2168" t="str">
        <f t="shared" si="33"/>
        <v>2023_SA_Pinery_Fababean_DetailedTOS1VarietyMarneWaterTrtIrrigated</v>
      </c>
      <c r="B2168" s="2">
        <v>2023023</v>
      </c>
      <c r="C2168" s="3" t="s">
        <v>2193</v>
      </c>
      <c r="D2168" s="3" t="s">
        <v>645</v>
      </c>
      <c r="F2168" s="3" t="s">
        <v>4184</v>
      </c>
      <c r="G2168" s="3" t="s">
        <v>39</v>
      </c>
      <c r="H2168" s="3" t="s">
        <v>253</v>
      </c>
      <c r="I2168" s="2">
        <v>89</v>
      </c>
      <c r="J2168" s="2">
        <v>45</v>
      </c>
      <c r="K2168" s="2">
        <v>3</v>
      </c>
      <c r="O2168" s="2">
        <v>12</v>
      </c>
      <c r="U2168" s="2">
        <v>1</v>
      </c>
      <c r="V2168" s="2">
        <v>46</v>
      </c>
      <c r="W2168" s="2">
        <v>1</v>
      </c>
      <c r="X2168" s="2">
        <v>23</v>
      </c>
      <c r="AA2168" s="3" t="s">
        <v>57</v>
      </c>
      <c r="AB2168" s="2">
        <v>2</v>
      </c>
      <c r="AF2168" s="2">
        <v>23</v>
      </c>
      <c r="AG2168" s="2">
        <v>1</v>
      </c>
      <c r="AH2168" s="3" t="s">
        <v>2194</v>
      </c>
      <c r="AI2168" s="4">
        <v>45056</v>
      </c>
      <c r="AJ2168" s="3" t="s">
        <v>2284</v>
      </c>
      <c r="AK2168" s="3" t="s">
        <v>645</v>
      </c>
    </row>
    <row r="2169" spans="1:37" hidden="1" x14ac:dyDescent="0.25">
      <c r="A2169" t="str">
        <f t="shared" si="33"/>
        <v>2023_SA_Pinery_Fababean_DetailedTOS1VarietyMarneWaterTrtIrrigated</v>
      </c>
      <c r="B2169" s="2">
        <v>2023023</v>
      </c>
      <c r="C2169" s="3" t="s">
        <v>2193</v>
      </c>
      <c r="D2169" s="3" t="s">
        <v>645</v>
      </c>
      <c r="F2169" s="3" t="s">
        <v>4184</v>
      </c>
      <c r="G2169" s="3" t="s">
        <v>39</v>
      </c>
      <c r="H2169" s="3" t="s">
        <v>250</v>
      </c>
      <c r="I2169" s="2">
        <v>90</v>
      </c>
      <c r="J2169" s="2">
        <v>45</v>
      </c>
      <c r="K2169" s="2">
        <v>3</v>
      </c>
      <c r="O2169" s="2">
        <v>12</v>
      </c>
      <c r="U2169" s="2">
        <v>2</v>
      </c>
      <c r="V2169" s="2">
        <v>46</v>
      </c>
      <c r="W2169" s="2">
        <v>2</v>
      </c>
      <c r="X2169" s="2">
        <v>23</v>
      </c>
      <c r="Z2169" s="2">
        <v>90</v>
      </c>
      <c r="AA2169" s="3" t="s">
        <v>57</v>
      </c>
      <c r="AB2169" s="2">
        <v>2</v>
      </c>
      <c r="AF2169" s="2">
        <v>23</v>
      </c>
      <c r="AG2169" s="2">
        <v>1</v>
      </c>
      <c r="AH2169" s="3" t="s">
        <v>2194</v>
      </c>
      <c r="AI2169" s="4">
        <v>45056</v>
      </c>
      <c r="AJ2169" s="3" t="s">
        <v>2285</v>
      </c>
      <c r="AK2169" s="3" t="s">
        <v>645</v>
      </c>
    </row>
    <row r="2170" spans="1:37" hidden="1" x14ac:dyDescent="0.25">
      <c r="A2170" t="str">
        <f t="shared" si="33"/>
        <v>2023_SA_Pinery_Fababean_DetailedTOS1VarietyNasmaWaterTrtIrrigated</v>
      </c>
      <c r="B2170" s="2">
        <v>2023023</v>
      </c>
      <c r="C2170" s="3" t="s">
        <v>2193</v>
      </c>
      <c r="D2170" s="3" t="s">
        <v>645</v>
      </c>
      <c r="F2170" s="3" t="s">
        <v>4186</v>
      </c>
      <c r="G2170" s="3" t="s">
        <v>43</v>
      </c>
      <c r="H2170" s="3" t="s">
        <v>253</v>
      </c>
      <c r="I2170" s="2">
        <v>91</v>
      </c>
      <c r="J2170" s="2">
        <v>46</v>
      </c>
      <c r="K2170" s="2">
        <v>3</v>
      </c>
      <c r="O2170" s="2">
        <v>12</v>
      </c>
      <c r="U2170" s="2">
        <v>3</v>
      </c>
      <c r="V2170" s="2">
        <v>46</v>
      </c>
      <c r="W2170" s="2">
        <v>3</v>
      </c>
      <c r="X2170" s="2">
        <v>23</v>
      </c>
      <c r="AA2170" s="3" t="s">
        <v>57</v>
      </c>
      <c r="AB2170" s="2">
        <v>3</v>
      </c>
      <c r="AF2170" s="2">
        <v>23</v>
      </c>
      <c r="AG2170" s="2">
        <v>1</v>
      </c>
      <c r="AH2170" s="3" t="s">
        <v>2194</v>
      </c>
      <c r="AI2170" s="4">
        <v>45056</v>
      </c>
      <c r="AJ2170" s="3" t="s">
        <v>2286</v>
      </c>
      <c r="AK2170" s="3" t="s">
        <v>645</v>
      </c>
    </row>
    <row r="2171" spans="1:37" hidden="1" x14ac:dyDescent="0.25">
      <c r="A2171" t="str">
        <f t="shared" si="33"/>
        <v>2023_SA_Pinery_Fababean_DetailedTOS1VarietyNasmaWaterTrtIrrigated</v>
      </c>
      <c r="B2171" s="2">
        <v>2023023</v>
      </c>
      <c r="C2171" s="3" t="s">
        <v>2193</v>
      </c>
      <c r="D2171" s="3" t="s">
        <v>645</v>
      </c>
      <c r="F2171" s="3" t="s">
        <v>4186</v>
      </c>
      <c r="G2171" s="3" t="s">
        <v>43</v>
      </c>
      <c r="H2171" s="3" t="s">
        <v>250</v>
      </c>
      <c r="I2171" s="2">
        <v>92</v>
      </c>
      <c r="J2171" s="2">
        <v>46</v>
      </c>
      <c r="K2171" s="2">
        <v>3</v>
      </c>
      <c r="O2171" s="2">
        <v>12</v>
      </c>
      <c r="U2171" s="2">
        <v>4</v>
      </c>
      <c r="V2171" s="2">
        <v>46</v>
      </c>
      <c r="W2171" s="2">
        <v>4</v>
      </c>
      <c r="X2171" s="2">
        <v>23</v>
      </c>
      <c r="Z2171" s="2">
        <v>92</v>
      </c>
      <c r="AA2171" s="3" t="s">
        <v>57</v>
      </c>
      <c r="AB2171" s="2">
        <v>3</v>
      </c>
      <c r="AF2171" s="2">
        <v>23</v>
      </c>
      <c r="AG2171" s="2">
        <v>1</v>
      </c>
      <c r="AH2171" s="3" t="s">
        <v>2194</v>
      </c>
      <c r="AI2171" s="4">
        <v>45056</v>
      </c>
      <c r="AJ2171" s="3" t="s">
        <v>2287</v>
      </c>
      <c r="AK2171" s="3" t="s">
        <v>645</v>
      </c>
    </row>
    <row r="2172" spans="1:37" hidden="1" x14ac:dyDescent="0.25">
      <c r="A2172" t="str">
        <f t="shared" si="33"/>
        <v>2023_SA_Pinery_Fababean_DetailedTOS1VarietySamiraWaterTrtIrrigated</v>
      </c>
      <c r="B2172" s="2">
        <v>2023023</v>
      </c>
      <c r="C2172" s="3" t="s">
        <v>2193</v>
      </c>
      <c r="D2172" s="3" t="s">
        <v>645</v>
      </c>
      <c r="F2172" s="3" t="s">
        <v>4183</v>
      </c>
      <c r="G2172" s="3" t="s">
        <v>43</v>
      </c>
      <c r="H2172" s="3" t="s">
        <v>253</v>
      </c>
      <c r="I2172" s="2">
        <v>93</v>
      </c>
      <c r="J2172" s="2">
        <v>47</v>
      </c>
      <c r="K2172" s="2">
        <v>3</v>
      </c>
      <c r="O2172" s="2">
        <v>12</v>
      </c>
      <c r="U2172" s="2">
        <v>1</v>
      </c>
      <c r="V2172" s="2">
        <v>47</v>
      </c>
      <c r="W2172" s="2">
        <v>1</v>
      </c>
      <c r="X2172" s="2">
        <v>24</v>
      </c>
      <c r="AA2172" s="3" t="s">
        <v>57</v>
      </c>
      <c r="AB2172" s="2">
        <v>4</v>
      </c>
      <c r="AF2172" s="2">
        <v>23</v>
      </c>
      <c r="AG2172" s="2">
        <v>1</v>
      </c>
      <c r="AH2172" s="3" t="s">
        <v>2194</v>
      </c>
      <c r="AI2172" s="4">
        <v>45056</v>
      </c>
      <c r="AJ2172" s="3" t="s">
        <v>2288</v>
      </c>
      <c r="AK2172" s="3" t="s">
        <v>645</v>
      </c>
    </row>
    <row r="2173" spans="1:37" hidden="1" x14ac:dyDescent="0.25">
      <c r="A2173" t="str">
        <f t="shared" si="33"/>
        <v>2023_SA_Pinery_Fababean_DetailedTOS1VarietySamiraWaterTrtIrrigated</v>
      </c>
      <c r="B2173" s="2">
        <v>2023023</v>
      </c>
      <c r="C2173" s="3" t="s">
        <v>2193</v>
      </c>
      <c r="D2173" s="3" t="s">
        <v>645</v>
      </c>
      <c r="F2173" s="3" t="s">
        <v>4183</v>
      </c>
      <c r="G2173" s="3" t="s">
        <v>43</v>
      </c>
      <c r="H2173" s="3" t="s">
        <v>250</v>
      </c>
      <c r="I2173" s="2">
        <v>94</v>
      </c>
      <c r="J2173" s="2">
        <v>47</v>
      </c>
      <c r="K2173" s="2">
        <v>3</v>
      </c>
      <c r="O2173" s="2">
        <v>12</v>
      </c>
      <c r="U2173" s="2">
        <v>2</v>
      </c>
      <c r="V2173" s="2">
        <v>47</v>
      </c>
      <c r="W2173" s="2">
        <v>2</v>
      </c>
      <c r="X2173" s="2">
        <v>24</v>
      </c>
      <c r="Z2173" s="2">
        <v>95</v>
      </c>
      <c r="AA2173" s="3" t="s">
        <v>57</v>
      </c>
      <c r="AB2173" s="2">
        <v>4</v>
      </c>
      <c r="AF2173" s="2">
        <v>23</v>
      </c>
      <c r="AG2173" s="2">
        <v>1</v>
      </c>
      <c r="AH2173" s="3" t="s">
        <v>2194</v>
      </c>
      <c r="AI2173" s="4">
        <v>45056</v>
      </c>
      <c r="AJ2173" s="3" t="s">
        <v>2289</v>
      </c>
      <c r="AK2173" s="3" t="s">
        <v>645</v>
      </c>
    </row>
    <row r="2174" spans="1:37" hidden="1" x14ac:dyDescent="0.25">
      <c r="A2174" t="str">
        <f t="shared" si="33"/>
        <v>2023_SA_Pinery_Fababean_DetailedTOS1VarietyAmberleyWaterTrtIrrigated</v>
      </c>
      <c r="B2174" s="2">
        <v>2023023</v>
      </c>
      <c r="C2174" s="3" t="s">
        <v>2193</v>
      </c>
      <c r="D2174" s="3" t="s">
        <v>645</v>
      </c>
      <c r="F2174" s="3" t="s">
        <v>4185</v>
      </c>
      <c r="G2174" s="3" t="s">
        <v>39</v>
      </c>
      <c r="H2174" s="3" t="s">
        <v>253</v>
      </c>
      <c r="I2174" s="2">
        <v>95</v>
      </c>
      <c r="J2174" s="2">
        <v>48</v>
      </c>
      <c r="K2174" s="2">
        <v>3</v>
      </c>
      <c r="O2174" s="2">
        <v>12</v>
      </c>
      <c r="U2174" s="2">
        <v>3</v>
      </c>
      <c r="V2174" s="2">
        <v>47</v>
      </c>
      <c r="W2174" s="2">
        <v>3</v>
      </c>
      <c r="X2174" s="2">
        <v>24</v>
      </c>
      <c r="AA2174" s="3" t="s">
        <v>57</v>
      </c>
      <c r="AB2174" s="2">
        <v>1</v>
      </c>
      <c r="AF2174" s="2">
        <v>23</v>
      </c>
      <c r="AG2174" s="2">
        <v>1</v>
      </c>
      <c r="AH2174" s="3" t="s">
        <v>2194</v>
      </c>
      <c r="AI2174" s="4">
        <v>45056</v>
      </c>
      <c r="AJ2174" s="3" t="s">
        <v>2290</v>
      </c>
      <c r="AK2174" s="3" t="s">
        <v>645</v>
      </c>
    </row>
    <row r="2175" spans="1:37" hidden="1" x14ac:dyDescent="0.25">
      <c r="A2175" t="str">
        <f t="shared" si="33"/>
        <v>2023_SA_Pinery_Fababean_DetailedTOS1VarietyAmberleyWaterTrtIrrigated</v>
      </c>
      <c r="B2175" s="2">
        <v>2023023</v>
      </c>
      <c r="C2175" s="3" t="s">
        <v>2193</v>
      </c>
      <c r="D2175" s="3" t="s">
        <v>645</v>
      </c>
      <c r="F2175" s="3" t="s">
        <v>4185</v>
      </c>
      <c r="G2175" s="3" t="s">
        <v>39</v>
      </c>
      <c r="H2175" s="3" t="s">
        <v>250</v>
      </c>
      <c r="I2175" s="2">
        <v>96</v>
      </c>
      <c r="J2175" s="2">
        <v>48</v>
      </c>
      <c r="K2175" s="2">
        <v>3</v>
      </c>
      <c r="O2175" s="2">
        <v>12</v>
      </c>
      <c r="U2175" s="2">
        <v>4</v>
      </c>
      <c r="V2175" s="2">
        <v>47</v>
      </c>
      <c r="W2175" s="2">
        <v>4</v>
      </c>
      <c r="X2175" s="2">
        <v>24</v>
      </c>
      <c r="Z2175" s="2">
        <v>93</v>
      </c>
      <c r="AA2175" s="3" t="s">
        <v>57</v>
      </c>
      <c r="AB2175" s="2">
        <v>1</v>
      </c>
      <c r="AF2175" s="2">
        <v>23</v>
      </c>
      <c r="AG2175" s="2">
        <v>1</v>
      </c>
      <c r="AH2175" s="3" t="s">
        <v>2194</v>
      </c>
      <c r="AI2175" s="4">
        <v>45056</v>
      </c>
      <c r="AJ2175" s="3" t="s">
        <v>2291</v>
      </c>
      <c r="AK2175" s="3" t="s">
        <v>645</v>
      </c>
    </row>
    <row r="2176" spans="1:37" hidden="1" x14ac:dyDescent="0.25">
      <c r="A2176" t="str">
        <f t="shared" si="33"/>
        <v>2023_SA_Pinery_Fababean_DetailedTOS2VarietyNasmaWaterTrtRainFed</v>
      </c>
      <c r="B2176" s="2">
        <v>2023023</v>
      </c>
      <c r="C2176" s="3" t="s">
        <v>2193</v>
      </c>
      <c r="D2176" s="3" t="s">
        <v>645</v>
      </c>
      <c r="F2176" s="3" t="s">
        <v>4186</v>
      </c>
      <c r="G2176" s="3" t="s">
        <v>43</v>
      </c>
      <c r="H2176" s="3" t="s">
        <v>253</v>
      </c>
      <c r="I2176" s="2">
        <v>97</v>
      </c>
      <c r="J2176" s="2">
        <v>49</v>
      </c>
      <c r="K2176" s="2">
        <v>4</v>
      </c>
      <c r="O2176" s="2">
        <v>13</v>
      </c>
      <c r="U2176" s="2">
        <v>1</v>
      </c>
      <c r="V2176" s="2">
        <v>50</v>
      </c>
      <c r="W2176" s="2">
        <v>1</v>
      </c>
      <c r="X2176" s="2">
        <v>25</v>
      </c>
      <c r="AA2176" s="3" t="s">
        <v>40</v>
      </c>
      <c r="AB2176" s="2">
        <v>3</v>
      </c>
      <c r="AF2176" s="2">
        <v>23</v>
      </c>
      <c r="AG2176" s="2">
        <v>2</v>
      </c>
      <c r="AH2176" s="3" t="s">
        <v>2211</v>
      </c>
      <c r="AI2176" s="4">
        <v>45105</v>
      </c>
      <c r="AJ2176" s="3" t="s">
        <v>2292</v>
      </c>
      <c r="AK2176" s="3" t="s">
        <v>645</v>
      </c>
    </row>
    <row r="2177" spans="1:37" hidden="1" x14ac:dyDescent="0.25">
      <c r="A2177" t="str">
        <f t="shared" si="33"/>
        <v>2023_SA_Pinery_Fababean_DetailedTOS2VarietyNasmaWaterTrtRainFed</v>
      </c>
      <c r="B2177" s="2">
        <v>2023023</v>
      </c>
      <c r="C2177" s="3" t="s">
        <v>2193</v>
      </c>
      <c r="D2177" s="3" t="s">
        <v>645</v>
      </c>
      <c r="F2177" s="3" t="s">
        <v>4186</v>
      </c>
      <c r="G2177" s="3" t="s">
        <v>43</v>
      </c>
      <c r="H2177" s="3" t="s">
        <v>250</v>
      </c>
      <c r="I2177" s="2">
        <v>98</v>
      </c>
      <c r="J2177" s="2">
        <v>49</v>
      </c>
      <c r="K2177" s="2">
        <v>4</v>
      </c>
      <c r="O2177" s="2">
        <v>13</v>
      </c>
      <c r="U2177" s="2">
        <v>2</v>
      </c>
      <c r="V2177" s="2">
        <v>50</v>
      </c>
      <c r="W2177" s="2">
        <v>2</v>
      </c>
      <c r="X2177" s="2">
        <v>25</v>
      </c>
      <c r="Z2177" s="2">
        <v>98</v>
      </c>
      <c r="AA2177" s="3" t="s">
        <v>40</v>
      </c>
      <c r="AB2177" s="2">
        <v>3</v>
      </c>
      <c r="AF2177" s="2">
        <v>23</v>
      </c>
      <c r="AG2177" s="2">
        <v>2</v>
      </c>
      <c r="AH2177" s="3" t="s">
        <v>2211</v>
      </c>
      <c r="AI2177" s="4">
        <v>45105</v>
      </c>
      <c r="AJ2177" s="3" t="s">
        <v>2293</v>
      </c>
      <c r="AK2177" s="3" t="s">
        <v>645</v>
      </c>
    </row>
    <row r="2178" spans="1:37" hidden="1" x14ac:dyDescent="0.25">
      <c r="A2178" t="str">
        <f t="shared" si="33"/>
        <v>2023_SA_Pinery_Fababean_DetailedTOS2VarietyAmberleyWaterTrtRainFed</v>
      </c>
      <c r="B2178" s="2">
        <v>2023023</v>
      </c>
      <c r="C2178" s="3" t="s">
        <v>2193</v>
      </c>
      <c r="D2178" s="3" t="s">
        <v>645</v>
      </c>
      <c r="F2178" s="3" t="s">
        <v>4185</v>
      </c>
      <c r="G2178" s="3" t="s">
        <v>39</v>
      </c>
      <c r="H2178" s="3" t="s">
        <v>253</v>
      </c>
      <c r="I2178" s="2">
        <v>99</v>
      </c>
      <c r="J2178" s="2">
        <v>50</v>
      </c>
      <c r="K2178" s="2">
        <v>4</v>
      </c>
      <c r="O2178" s="2">
        <v>13</v>
      </c>
      <c r="U2178" s="2">
        <v>3</v>
      </c>
      <c r="V2178" s="2">
        <v>50</v>
      </c>
      <c r="W2178" s="2">
        <v>3</v>
      </c>
      <c r="X2178" s="2">
        <v>25</v>
      </c>
      <c r="AA2178" s="3" t="s">
        <v>40</v>
      </c>
      <c r="AB2178" s="2">
        <v>1</v>
      </c>
      <c r="AF2178" s="2">
        <v>23</v>
      </c>
      <c r="AG2178" s="2">
        <v>2</v>
      </c>
      <c r="AH2178" s="3" t="s">
        <v>2211</v>
      </c>
      <c r="AI2178" s="4">
        <v>45105</v>
      </c>
      <c r="AJ2178" s="3" t="s">
        <v>2294</v>
      </c>
      <c r="AK2178" s="3" t="s">
        <v>645</v>
      </c>
    </row>
    <row r="2179" spans="1:37" hidden="1" x14ac:dyDescent="0.25">
      <c r="A2179" t="str">
        <f t="shared" ref="A2179:A2242" si="34">C2179&amp;"TOS"&amp;AG2179&amp;"Variety"&amp;F2179&amp;"WaterTrt"&amp;AA2179&amp;IF(AC2179="","","Agronomy"&amp;AC2179)</f>
        <v>2023_SA_Pinery_Fababean_DetailedTOS2VarietyAmberleyWaterTrtRainFed</v>
      </c>
      <c r="B2179" s="2">
        <v>2023023</v>
      </c>
      <c r="C2179" s="3" t="s">
        <v>2193</v>
      </c>
      <c r="D2179" s="3" t="s">
        <v>645</v>
      </c>
      <c r="F2179" s="3" t="s">
        <v>4185</v>
      </c>
      <c r="G2179" s="3" t="s">
        <v>39</v>
      </c>
      <c r="H2179" s="3" t="s">
        <v>250</v>
      </c>
      <c r="I2179" s="2">
        <v>100</v>
      </c>
      <c r="J2179" s="2">
        <v>50</v>
      </c>
      <c r="K2179" s="2">
        <v>4</v>
      </c>
      <c r="O2179" s="2">
        <v>13</v>
      </c>
      <c r="U2179" s="2">
        <v>4</v>
      </c>
      <c r="V2179" s="2">
        <v>50</v>
      </c>
      <c r="W2179" s="2">
        <v>4</v>
      </c>
      <c r="X2179" s="2">
        <v>25</v>
      </c>
      <c r="Z2179" s="2">
        <v>100</v>
      </c>
      <c r="AA2179" s="3" t="s">
        <v>40</v>
      </c>
      <c r="AB2179" s="2">
        <v>1</v>
      </c>
      <c r="AF2179" s="2">
        <v>23</v>
      </c>
      <c r="AG2179" s="2">
        <v>2</v>
      </c>
      <c r="AH2179" s="3" t="s">
        <v>2211</v>
      </c>
      <c r="AI2179" s="4">
        <v>45105</v>
      </c>
      <c r="AJ2179" s="3" t="s">
        <v>2295</v>
      </c>
      <c r="AK2179" s="3" t="s">
        <v>645</v>
      </c>
    </row>
    <row r="2180" spans="1:37" hidden="1" x14ac:dyDescent="0.25">
      <c r="A2180" t="str">
        <f t="shared" si="34"/>
        <v>2023_SA_Pinery_Fababean_DetailedTOS2VarietyMarneWaterTrtRainFed</v>
      </c>
      <c r="B2180" s="2">
        <v>2023023</v>
      </c>
      <c r="C2180" s="3" t="s">
        <v>2193</v>
      </c>
      <c r="D2180" s="3" t="s">
        <v>645</v>
      </c>
      <c r="F2180" s="3" t="s">
        <v>4184</v>
      </c>
      <c r="G2180" s="3" t="s">
        <v>39</v>
      </c>
      <c r="H2180" s="3" t="s">
        <v>253</v>
      </c>
      <c r="I2180" s="2">
        <v>101</v>
      </c>
      <c r="J2180" s="2">
        <v>51</v>
      </c>
      <c r="K2180" s="2">
        <v>4</v>
      </c>
      <c r="O2180" s="2">
        <v>13</v>
      </c>
      <c r="U2180" s="2">
        <v>1</v>
      </c>
      <c r="V2180" s="2">
        <v>51</v>
      </c>
      <c r="W2180" s="2">
        <v>1</v>
      </c>
      <c r="X2180" s="2">
        <v>26</v>
      </c>
      <c r="AA2180" s="3" t="s">
        <v>40</v>
      </c>
      <c r="AB2180" s="2">
        <v>2</v>
      </c>
      <c r="AF2180" s="2">
        <v>23</v>
      </c>
      <c r="AG2180" s="2">
        <v>2</v>
      </c>
      <c r="AH2180" s="3" t="s">
        <v>2211</v>
      </c>
      <c r="AI2180" s="4">
        <v>45105</v>
      </c>
      <c r="AJ2180" s="3" t="s">
        <v>2296</v>
      </c>
      <c r="AK2180" s="3" t="s">
        <v>645</v>
      </c>
    </row>
    <row r="2181" spans="1:37" hidden="1" x14ac:dyDescent="0.25">
      <c r="A2181" t="str">
        <f t="shared" si="34"/>
        <v>2023_SA_Pinery_Fababean_DetailedTOS2VarietyMarneWaterTrtRainFed</v>
      </c>
      <c r="B2181" s="2">
        <v>2023023</v>
      </c>
      <c r="C2181" s="3" t="s">
        <v>2193</v>
      </c>
      <c r="D2181" s="3" t="s">
        <v>645</v>
      </c>
      <c r="F2181" s="3" t="s">
        <v>4184</v>
      </c>
      <c r="G2181" s="3" t="s">
        <v>39</v>
      </c>
      <c r="H2181" s="3" t="s">
        <v>250</v>
      </c>
      <c r="I2181" s="2">
        <v>102</v>
      </c>
      <c r="J2181" s="2">
        <v>51</v>
      </c>
      <c r="K2181" s="2">
        <v>4</v>
      </c>
      <c r="O2181" s="2">
        <v>13</v>
      </c>
      <c r="U2181" s="2">
        <v>2</v>
      </c>
      <c r="V2181" s="2">
        <v>51</v>
      </c>
      <c r="W2181" s="2">
        <v>2</v>
      </c>
      <c r="X2181" s="2">
        <v>26</v>
      </c>
      <c r="Z2181" s="2">
        <v>103</v>
      </c>
      <c r="AA2181" s="3" t="s">
        <v>40</v>
      </c>
      <c r="AB2181" s="2">
        <v>2</v>
      </c>
      <c r="AF2181" s="2">
        <v>23</v>
      </c>
      <c r="AG2181" s="2">
        <v>2</v>
      </c>
      <c r="AH2181" s="3" t="s">
        <v>2211</v>
      </c>
      <c r="AI2181" s="4">
        <v>45105</v>
      </c>
      <c r="AJ2181" s="3" t="s">
        <v>2297</v>
      </c>
      <c r="AK2181" s="3" t="s">
        <v>645</v>
      </c>
    </row>
    <row r="2182" spans="1:37" hidden="1" x14ac:dyDescent="0.25">
      <c r="A2182" t="str">
        <f t="shared" si="34"/>
        <v>2023_SA_Pinery_Fababean_DetailedTOS2VarietySamiraWaterTrtRainFed</v>
      </c>
      <c r="B2182" s="2">
        <v>2023023</v>
      </c>
      <c r="C2182" s="3" t="s">
        <v>2193</v>
      </c>
      <c r="D2182" s="3" t="s">
        <v>645</v>
      </c>
      <c r="F2182" s="3" t="s">
        <v>4183</v>
      </c>
      <c r="G2182" s="3" t="s">
        <v>43</v>
      </c>
      <c r="H2182" s="3" t="s">
        <v>253</v>
      </c>
      <c r="I2182" s="2">
        <v>103</v>
      </c>
      <c r="J2182" s="2">
        <v>52</v>
      </c>
      <c r="K2182" s="2">
        <v>4</v>
      </c>
      <c r="O2182" s="2">
        <v>13</v>
      </c>
      <c r="U2182" s="2">
        <v>3</v>
      </c>
      <c r="V2182" s="2">
        <v>51</v>
      </c>
      <c r="W2182" s="2">
        <v>3</v>
      </c>
      <c r="X2182" s="2">
        <v>26</v>
      </c>
      <c r="AA2182" s="3" t="s">
        <v>40</v>
      </c>
      <c r="AB2182" s="2">
        <v>4</v>
      </c>
      <c r="AF2182" s="2">
        <v>23</v>
      </c>
      <c r="AG2182" s="2">
        <v>2</v>
      </c>
      <c r="AH2182" s="3" t="s">
        <v>2211</v>
      </c>
      <c r="AI2182" s="4">
        <v>45105</v>
      </c>
      <c r="AJ2182" s="3" t="s">
        <v>2298</v>
      </c>
      <c r="AK2182" s="3" t="s">
        <v>645</v>
      </c>
    </row>
    <row r="2183" spans="1:37" hidden="1" x14ac:dyDescent="0.25">
      <c r="A2183" t="str">
        <f t="shared" si="34"/>
        <v>2023_SA_Pinery_Fababean_DetailedTOS2VarietySamiraWaterTrtRainFed</v>
      </c>
      <c r="B2183" s="2">
        <v>2023023</v>
      </c>
      <c r="C2183" s="3" t="s">
        <v>2193</v>
      </c>
      <c r="D2183" s="3" t="s">
        <v>645</v>
      </c>
      <c r="F2183" s="3" t="s">
        <v>4183</v>
      </c>
      <c r="G2183" s="3" t="s">
        <v>43</v>
      </c>
      <c r="H2183" s="3" t="s">
        <v>250</v>
      </c>
      <c r="I2183" s="2">
        <v>104</v>
      </c>
      <c r="J2183" s="2">
        <v>52</v>
      </c>
      <c r="K2183" s="2">
        <v>4</v>
      </c>
      <c r="O2183" s="2">
        <v>13</v>
      </c>
      <c r="U2183" s="2">
        <v>4</v>
      </c>
      <c r="V2183" s="2">
        <v>51</v>
      </c>
      <c r="W2183" s="2">
        <v>4</v>
      </c>
      <c r="X2183" s="2">
        <v>26</v>
      </c>
      <c r="Z2183" s="2">
        <v>101</v>
      </c>
      <c r="AA2183" s="3" t="s">
        <v>40</v>
      </c>
      <c r="AB2183" s="2">
        <v>4</v>
      </c>
      <c r="AF2183" s="2">
        <v>23</v>
      </c>
      <c r="AG2183" s="2">
        <v>2</v>
      </c>
      <c r="AH2183" s="3" t="s">
        <v>2211</v>
      </c>
      <c r="AI2183" s="4">
        <v>45105</v>
      </c>
      <c r="AJ2183" s="3" t="s">
        <v>2299</v>
      </c>
      <c r="AK2183" s="3" t="s">
        <v>645</v>
      </c>
    </row>
    <row r="2184" spans="1:37" hidden="1" x14ac:dyDescent="0.25">
      <c r="A2184" t="str">
        <f t="shared" si="34"/>
        <v>2023_SA_Pinery_Fababean_DetailedTOS2VarietySamiraWaterTrtIrrigated</v>
      </c>
      <c r="B2184" s="2">
        <v>2023023</v>
      </c>
      <c r="C2184" s="3" t="s">
        <v>2193</v>
      </c>
      <c r="D2184" s="3" t="s">
        <v>645</v>
      </c>
      <c r="F2184" s="3" t="s">
        <v>4183</v>
      </c>
      <c r="G2184" s="3" t="s">
        <v>43</v>
      </c>
      <c r="H2184" s="3" t="s">
        <v>253</v>
      </c>
      <c r="I2184" s="2">
        <v>105</v>
      </c>
      <c r="J2184" s="2">
        <v>53</v>
      </c>
      <c r="K2184" s="2">
        <v>4</v>
      </c>
      <c r="O2184" s="2">
        <v>14</v>
      </c>
      <c r="U2184" s="2">
        <v>1</v>
      </c>
      <c r="V2184" s="2">
        <v>54</v>
      </c>
      <c r="W2184" s="2">
        <v>1</v>
      </c>
      <c r="X2184" s="2">
        <v>27</v>
      </c>
      <c r="AA2184" s="3" t="s">
        <v>57</v>
      </c>
      <c r="AB2184" s="2">
        <v>4</v>
      </c>
      <c r="AF2184" s="2">
        <v>23</v>
      </c>
      <c r="AG2184" s="2">
        <v>2</v>
      </c>
      <c r="AH2184" s="3" t="s">
        <v>2211</v>
      </c>
      <c r="AI2184" s="4">
        <v>45105</v>
      </c>
      <c r="AJ2184" s="3" t="s">
        <v>2300</v>
      </c>
      <c r="AK2184" s="3" t="s">
        <v>645</v>
      </c>
    </row>
    <row r="2185" spans="1:37" hidden="1" x14ac:dyDescent="0.25">
      <c r="A2185" t="str">
        <f t="shared" si="34"/>
        <v>2023_SA_Pinery_Fababean_DetailedTOS2VarietySamiraWaterTrtIrrigated</v>
      </c>
      <c r="B2185" s="2">
        <v>2023023</v>
      </c>
      <c r="C2185" s="3" t="s">
        <v>2193</v>
      </c>
      <c r="D2185" s="3" t="s">
        <v>645</v>
      </c>
      <c r="F2185" s="3" t="s">
        <v>4183</v>
      </c>
      <c r="G2185" s="3" t="s">
        <v>43</v>
      </c>
      <c r="H2185" s="3" t="s">
        <v>250</v>
      </c>
      <c r="I2185" s="2">
        <v>106</v>
      </c>
      <c r="J2185" s="2">
        <v>53</v>
      </c>
      <c r="K2185" s="2">
        <v>4</v>
      </c>
      <c r="O2185" s="2">
        <v>14</v>
      </c>
      <c r="U2185" s="2">
        <v>2</v>
      </c>
      <c r="V2185" s="2">
        <v>54</v>
      </c>
      <c r="W2185" s="2">
        <v>2</v>
      </c>
      <c r="X2185" s="2">
        <v>27</v>
      </c>
      <c r="Z2185" s="2">
        <v>106</v>
      </c>
      <c r="AA2185" s="3" t="s">
        <v>57</v>
      </c>
      <c r="AB2185" s="2">
        <v>4</v>
      </c>
      <c r="AF2185" s="2">
        <v>23</v>
      </c>
      <c r="AG2185" s="2">
        <v>2</v>
      </c>
      <c r="AH2185" s="3" t="s">
        <v>2211</v>
      </c>
      <c r="AI2185" s="4">
        <v>45105</v>
      </c>
      <c r="AJ2185" s="3" t="s">
        <v>2301</v>
      </c>
      <c r="AK2185" s="3" t="s">
        <v>645</v>
      </c>
    </row>
    <row r="2186" spans="1:37" hidden="1" x14ac:dyDescent="0.25">
      <c r="A2186" t="str">
        <f t="shared" si="34"/>
        <v>2023_SA_Pinery_Fababean_DetailedTOS2VarietyMarneWaterTrtIrrigated</v>
      </c>
      <c r="B2186" s="2">
        <v>2023023</v>
      </c>
      <c r="C2186" s="3" t="s">
        <v>2193</v>
      </c>
      <c r="D2186" s="3" t="s">
        <v>645</v>
      </c>
      <c r="F2186" s="3" t="s">
        <v>4184</v>
      </c>
      <c r="G2186" s="3" t="s">
        <v>39</v>
      </c>
      <c r="H2186" s="3" t="s">
        <v>253</v>
      </c>
      <c r="I2186" s="2">
        <v>107</v>
      </c>
      <c r="J2186" s="2">
        <v>54</v>
      </c>
      <c r="K2186" s="2">
        <v>4</v>
      </c>
      <c r="O2186" s="2">
        <v>14</v>
      </c>
      <c r="U2186" s="2">
        <v>3</v>
      </c>
      <c r="V2186" s="2">
        <v>54</v>
      </c>
      <c r="W2186" s="2">
        <v>3</v>
      </c>
      <c r="X2186" s="2">
        <v>27</v>
      </c>
      <c r="AA2186" s="3" t="s">
        <v>57</v>
      </c>
      <c r="AB2186" s="2">
        <v>2</v>
      </c>
      <c r="AF2186" s="2">
        <v>23</v>
      </c>
      <c r="AG2186" s="2">
        <v>2</v>
      </c>
      <c r="AH2186" s="3" t="s">
        <v>2211</v>
      </c>
      <c r="AI2186" s="4">
        <v>45105</v>
      </c>
      <c r="AJ2186" s="3" t="s">
        <v>2302</v>
      </c>
      <c r="AK2186" s="3" t="s">
        <v>645</v>
      </c>
    </row>
    <row r="2187" spans="1:37" hidden="1" x14ac:dyDescent="0.25">
      <c r="A2187" t="str">
        <f t="shared" si="34"/>
        <v>2023_SA_Pinery_Fababean_DetailedTOS2VarietyMarneWaterTrtIrrigated</v>
      </c>
      <c r="B2187" s="2">
        <v>2023023</v>
      </c>
      <c r="C2187" s="3" t="s">
        <v>2193</v>
      </c>
      <c r="D2187" s="3" t="s">
        <v>645</v>
      </c>
      <c r="F2187" s="3" t="s">
        <v>4184</v>
      </c>
      <c r="G2187" s="3" t="s">
        <v>39</v>
      </c>
      <c r="H2187" s="3" t="s">
        <v>250</v>
      </c>
      <c r="I2187" s="2">
        <v>108</v>
      </c>
      <c r="J2187" s="2">
        <v>54</v>
      </c>
      <c r="K2187" s="2">
        <v>4</v>
      </c>
      <c r="O2187" s="2">
        <v>14</v>
      </c>
      <c r="U2187" s="2">
        <v>4</v>
      </c>
      <c r="V2187" s="2">
        <v>54</v>
      </c>
      <c r="W2187" s="2">
        <v>4</v>
      </c>
      <c r="X2187" s="2">
        <v>27</v>
      </c>
      <c r="Z2187" s="2">
        <v>108</v>
      </c>
      <c r="AA2187" s="3" t="s">
        <v>57</v>
      </c>
      <c r="AB2187" s="2">
        <v>2</v>
      </c>
      <c r="AF2187" s="2">
        <v>23</v>
      </c>
      <c r="AG2187" s="2">
        <v>2</v>
      </c>
      <c r="AH2187" s="3" t="s">
        <v>2211</v>
      </c>
      <c r="AI2187" s="4">
        <v>45105</v>
      </c>
      <c r="AJ2187" s="3" t="s">
        <v>2303</v>
      </c>
      <c r="AK2187" s="3" t="s">
        <v>645</v>
      </c>
    </row>
    <row r="2188" spans="1:37" hidden="1" x14ac:dyDescent="0.25">
      <c r="A2188" t="str">
        <f t="shared" si="34"/>
        <v>2023_SA_Pinery_Fababean_DetailedTOS2VarietyAmberleyWaterTrtIrrigated</v>
      </c>
      <c r="B2188" s="2">
        <v>2023023</v>
      </c>
      <c r="C2188" s="3" t="s">
        <v>2193</v>
      </c>
      <c r="D2188" s="3" t="s">
        <v>645</v>
      </c>
      <c r="F2188" s="3" t="s">
        <v>4185</v>
      </c>
      <c r="G2188" s="3" t="s">
        <v>39</v>
      </c>
      <c r="H2188" s="3" t="s">
        <v>253</v>
      </c>
      <c r="I2188" s="2">
        <v>109</v>
      </c>
      <c r="J2188" s="2">
        <v>55</v>
      </c>
      <c r="K2188" s="2">
        <v>4</v>
      </c>
      <c r="O2188" s="2">
        <v>14</v>
      </c>
      <c r="U2188" s="2">
        <v>1</v>
      </c>
      <c r="V2188" s="2">
        <v>55</v>
      </c>
      <c r="W2188" s="2">
        <v>1</v>
      </c>
      <c r="X2188" s="2">
        <v>28</v>
      </c>
      <c r="AA2188" s="3" t="s">
        <v>57</v>
      </c>
      <c r="AB2188" s="2">
        <v>1</v>
      </c>
      <c r="AF2188" s="2">
        <v>23</v>
      </c>
      <c r="AG2188" s="2">
        <v>2</v>
      </c>
      <c r="AH2188" s="3" t="s">
        <v>2211</v>
      </c>
      <c r="AI2188" s="4">
        <v>45105</v>
      </c>
      <c r="AJ2188" s="3" t="s">
        <v>2304</v>
      </c>
      <c r="AK2188" s="3" t="s">
        <v>645</v>
      </c>
    </row>
    <row r="2189" spans="1:37" hidden="1" x14ac:dyDescent="0.25">
      <c r="A2189" t="str">
        <f t="shared" si="34"/>
        <v>2023_SA_Pinery_Fababean_DetailedTOS2VarietyAmberleyWaterTrtIrrigated</v>
      </c>
      <c r="B2189" s="2">
        <v>2023023</v>
      </c>
      <c r="C2189" s="3" t="s">
        <v>2193</v>
      </c>
      <c r="D2189" s="3" t="s">
        <v>645</v>
      </c>
      <c r="F2189" s="3" t="s">
        <v>4185</v>
      </c>
      <c r="G2189" s="3" t="s">
        <v>39</v>
      </c>
      <c r="H2189" s="3" t="s">
        <v>250</v>
      </c>
      <c r="I2189" s="2">
        <v>110</v>
      </c>
      <c r="J2189" s="2">
        <v>55</v>
      </c>
      <c r="K2189" s="2">
        <v>4</v>
      </c>
      <c r="O2189" s="2">
        <v>14</v>
      </c>
      <c r="U2189" s="2">
        <v>2</v>
      </c>
      <c r="V2189" s="2">
        <v>55</v>
      </c>
      <c r="W2189" s="2">
        <v>2</v>
      </c>
      <c r="X2189" s="2">
        <v>28</v>
      </c>
      <c r="Z2189" s="2">
        <v>111</v>
      </c>
      <c r="AA2189" s="3" t="s">
        <v>57</v>
      </c>
      <c r="AB2189" s="2">
        <v>1</v>
      </c>
      <c r="AF2189" s="2">
        <v>23</v>
      </c>
      <c r="AG2189" s="2">
        <v>2</v>
      </c>
      <c r="AH2189" s="3" t="s">
        <v>2211</v>
      </c>
      <c r="AI2189" s="4">
        <v>45105</v>
      </c>
      <c r="AJ2189" s="3" t="s">
        <v>2305</v>
      </c>
      <c r="AK2189" s="3" t="s">
        <v>645</v>
      </c>
    </row>
    <row r="2190" spans="1:37" hidden="1" x14ac:dyDescent="0.25">
      <c r="A2190" t="str">
        <f t="shared" si="34"/>
        <v>2023_SA_Pinery_Fababean_DetailedTOS2VarietyNasmaWaterTrtIrrigated</v>
      </c>
      <c r="B2190" s="2">
        <v>2023023</v>
      </c>
      <c r="C2190" s="3" t="s">
        <v>2193</v>
      </c>
      <c r="D2190" s="3" t="s">
        <v>645</v>
      </c>
      <c r="F2190" s="3" t="s">
        <v>4186</v>
      </c>
      <c r="G2190" s="3" t="s">
        <v>43</v>
      </c>
      <c r="H2190" s="3" t="s">
        <v>253</v>
      </c>
      <c r="I2190" s="2">
        <v>111</v>
      </c>
      <c r="J2190" s="2">
        <v>56</v>
      </c>
      <c r="K2190" s="2">
        <v>4</v>
      </c>
      <c r="O2190" s="2">
        <v>14</v>
      </c>
      <c r="U2190" s="2">
        <v>3</v>
      </c>
      <c r="V2190" s="2">
        <v>55</v>
      </c>
      <c r="W2190" s="2">
        <v>3</v>
      </c>
      <c r="X2190" s="2">
        <v>28</v>
      </c>
      <c r="AA2190" s="3" t="s">
        <v>57</v>
      </c>
      <c r="AB2190" s="2">
        <v>3</v>
      </c>
      <c r="AF2190" s="2">
        <v>23</v>
      </c>
      <c r="AG2190" s="2">
        <v>2</v>
      </c>
      <c r="AH2190" s="3" t="s">
        <v>2211</v>
      </c>
      <c r="AI2190" s="4">
        <v>45105</v>
      </c>
      <c r="AJ2190" s="3" t="s">
        <v>2306</v>
      </c>
      <c r="AK2190" s="3" t="s">
        <v>645</v>
      </c>
    </row>
    <row r="2191" spans="1:37" hidden="1" x14ac:dyDescent="0.25">
      <c r="A2191" t="str">
        <f t="shared" si="34"/>
        <v>2023_SA_Pinery_Fababean_DetailedTOS2VarietyNasmaWaterTrtIrrigated</v>
      </c>
      <c r="B2191" s="2">
        <v>2023023</v>
      </c>
      <c r="C2191" s="3" t="s">
        <v>2193</v>
      </c>
      <c r="D2191" s="3" t="s">
        <v>645</v>
      </c>
      <c r="F2191" s="3" t="s">
        <v>4186</v>
      </c>
      <c r="G2191" s="3" t="s">
        <v>43</v>
      </c>
      <c r="H2191" s="3" t="s">
        <v>250</v>
      </c>
      <c r="I2191" s="2">
        <v>112</v>
      </c>
      <c r="J2191" s="2">
        <v>56</v>
      </c>
      <c r="K2191" s="2">
        <v>4</v>
      </c>
      <c r="O2191" s="2">
        <v>14</v>
      </c>
      <c r="U2191" s="2">
        <v>4</v>
      </c>
      <c r="V2191" s="2">
        <v>55</v>
      </c>
      <c r="W2191" s="2">
        <v>4</v>
      </c>
      <c r="X2191" s="2">
        <v>28</v>
      </c>
      <c r="Z2191" s="2">
        <v>109</v>
      </c>
      <c r="AA2191" s="3" t="s">
        <v>57</v>
      </c>
      <c r="AB2191" s="2">
        <v>3</v>
      </c>
      <c r="AF2191" s="2">
        <v>23</v>
      </c>
      <c r="AG2191" s="2">
        <v>2</v>
      </c>
      <c r="AH2191" s="3" t="s">
        <v>2211</v>
      </c>
      <c r="AI2191" s="4">
        <v>45105</v>
      </c>
      <c r="AJ2191" s="3" t="s">
        <v>2307</v>
      </c>
      <c r="AK2191" s="3" t="s">
        <v>645</v>
      </c>
    </row>
    <row r="2192" spans="1:37" hidden="1" x14ac:dyDescent="0.25">
      <c r="A2192" t="str">
        <f t="shared" si="34"/>
        <v>2023_SA_Pinery_Fababean_DetailedTOS1VarietyAmberleyWaterTrtIrrigated</v>
      </c>
      <c r="B2192" s="2">
        <v>2023023</v>
      </c>
      <c r="C2192" s="3" t="s">
        <v>2193</v>
      </c>
      <c r="D2192" s="3" t="s">
        <v>645</v>
      </c>
      <c r="F2192" s="3" t="s">
        <v>4185</v>
      </c>
      <c r="G2192" s="3" t="s">
        <v>39</v>
      </c>
      <c r="H2192" s="3" t="s">
        <v>253</v>
      </c>
      <c r="I2192" s="2">
        <v>113</v>
      </c>
      <c r="J2192" s="2">
        <v>57</v>
      </c>
      <c r="K2192" s="2">
        <v>4</v>
      </c>
      <c r="O2192" s="2">
        <v>15</v>
      </c>
      <c r="U2192" s="2">
        <v>1</v>
      </c>
      <c r="V2192" s="2">
        <v>58</v>
      </c>
      <c r="W2192" s="2">
        <v>1</v>
      </c>
      <c r="X2192" s="2">
        <v>29</v>
      </c>
      <c r="AA2192" s="3" t="s">
        <v>57</v>
      </c>
      <c r="AB2192" s="2">
        <v>1</v>
      </c>
      <c r="AF2192" s="2">
        <v>23</v>
      </c>
      <c r="AG2192" s="2">
        <v>1</v>
      </c>
      <c r="AH2192" s="3" t="s">
        <v>2194</v>
      </c>
      <c r="AI2192" s="4">
        <v>45056</v>
      </c>
      <c r="AJ2192" s="3" t="s">
        <v>2308</v>
      </c>
      <c r="AK2192" s="3" t="s">
        <v>645</v>
      </c>
    </row>
    <row r="2193" spans="1:37" hidden="1" x14ac:dyDescent="0.25">
      <c r="A2193" t="str">
        <f t="shared" si="34"/>
        <v>2023_SA_Pinery_Fababean_DetailedTOS1VarietyAmberleyWaterTrtIrrigated</v>
      </c>
      <c r="B2193" s="2">
        <v>2023023</v>
      </c>
      <c r="C2193" s="3" t="s">
        <v>2193</v>
      </c>
      <c r="D2193" s="3" t="s">
        <v>645</v>
      </c>
      <c r="F2193" s="3" t="s">
        <v>4185</v>
      </c>
      <c r="G2193" s="3" t="s">
        <v>39</v>
      </c>
      <c r="H2193" s="3" t="s">
        <v>250</v>
      </c>
      <c r="I2193" s="2">
        <v>114</v>
      </c>
      <c r="J2193" s="2">
        <v>57</v>
      </c>
      <c r="K2193" s="2">
        <v>4</v>
      </c>
      <c r="O2193" s="2">
        <v>15</v>
      </c>
      <c r="U2193" s="2">
        <v>2</v>
      </c>
      <c r="V2193" s="2">
        <v>58</v>
      </c>
      <c r="W2193" s="2">
        <v>2</v>
      </c>
      <c r="X2193" s="2">
        <v>29</v>
      </c>
      <c r="Z2193" s="2">
        <v>114</v>
      </c>
      <c r="AA2193" s="3" t="s">
        <v>57</v>
      </c>
      <c r="AB2193" s="2">
        <v>1</v>
      </c>
      <c r="AF2193" s="2">
        <v>23</v>
      </c>
      <c r="AG2193" s="2">
        <v>1</v>
      </c>
      <c r="AH2193" s="3" t="s">
        <v>2194</v>
      </c>
      <c r="AI2193" s="4">
        <v>45056</v>
      </c>
      <c r="AJ2193" s="3" t="s">
        <v>2309</v>
      </c>
      <c r="AK2193" s="3" t="s">
        <v>645</v>
      </c>
    </row>
    <row r="2194" spans="1:37" hidden="1" x14ac:dyDescent="0.25">
      <c r="A2194" t="str">
        <f t="shared" si="34"/>
        <v>2023_SA_Pinery_Fababean_DetailedTOS1VarietySamiraWaterTrtIrrigated</v>
      </c>
      <c r="B2194" s="2">
        <v>2023023</v>
      </c>
      <c r="C2194" s="3" t="s">
        <v>2193</v>
      </c>
      <c r="D2194" s="3" t="s">
        <v>645</v>
      </c>
      <c r="F2194" s="3" t="s">
        <v>4183</v>
      </c>
      <c r="G2194" s="3" t="s">
        <v>43</v>
      </c>
      <c r="H2194" s="3" t="s">
        <v>253</v>
      </c>
      <c r="I2194" s="2">
        <v>115</v>
      </c>
      <c r="J2194" s="2">
        <v>58</v>
      </c>
      <c r="K2194" s="2">
        <v>4</v>
      </c>
      <c r="O2194" s="2">
        <v>15</v>
      </c>
      <c r="U2194" s="2">
        <v>3</v>
      </c>
      <c r="V2194" s="2">
        <v>58</v>
      </c>
      <c r="W2194" s="2">
        <v>3</v>
      </c>
      <c r="X2194" s="2">
        <v>29</v>
      </c>
      <c r="AA2194" s="3" t="s">
        <v>57</v>
      </c>
      <c r="AB2194" s="2">
        <v>4</v>
      </c>
      <c r="AF2194" s="2">
        <v>23</v>
      </c>
      <c r="AG2194" s="2">
        <v>1</v>
      </c>
      <c r="AH2194" s="3" t="s">
        <v>2194</v>
      </c>
      <c r="AI2194" s="4">
        <v>45056</v>
      </c>
      <c r="AJ2194" s="3" t="s">
        <v>2310</v>
      </c>
      <c r="AK2194" s="3" t="s">
        <v>645</v>
      </c>
    </row>
    <row r="2195" spans="1:37" hidden="1" x14ac:dyDescent="0.25">
      <c r="A2195" t="str">
        <f t="shared" si="34"/>
        <v>2023_SA_Pinery_Fababean_DetailedTOS1VarietySamiraWaterTrtIrrigated</v>
      </c>
      <c r="B2195" s="2">
        <v>2023023</v>
      </c>
      <c r="C2195" s="3" t="s">
        <v>2193</v>
      </c>
      <c r="D2195" s="3" t="s">
        <v>645</v>
      </c>
      <c r="F2195" s="3" t="s">
        <v>4183</v>
      </c>
      <c r="G2195" s="3" t="s">
        <v>43</v>
      </c>
      <c r="H2195" s="3" t="s">
        <v>250</v>
      </c>
      <c r="I2195" s="2">
        <v>116</v>
      </c>
      <c r="J2195" s="2">
        <v>58</v>
      </c>
      <c r="K2195" s="2">
        <v>4</v>
      </c>
      <c r="O2195" s="2">
        <v>15</v>
      </c>
      <c r="U2195" s="2">
        <v>4</v>
      </c>
      <c r="V2195" s="2">
        <v>58</v>
      </c>
      <c r="W2195" s="2">
        <v>4</v>
      </c>
      <c r="X2195" s="2">
        <v>29</v>
      </c>
      <c r="Z2195" s="2">
        <v>116</v>
      </c>
      <c r="AA2195" s="3" t="s">
        <v>57</v>
      </c>
      <c r="AB2195" s="2">
        <v>4</v>
      </c>
      <c r="AF2195" s="2">
        <v>23</v>
      </c>
      <c r="AG2195" s="2">
        <v>1</v>
      </c>
      <c r="AH2195" s="3" t="s">
        <v>2194</v>
      </c>
      <c r="AI2195" s="4">
        <v>45056</v>
      </c>
      <c r="AJ2195" s="3" t="s">
        <v>2311</v>
      </c>
      <c r="AK2195" s="3" t="s">
        <v>645</v>
      </c>
    </row>
    <row r="2196" spans="1:37" hidden="1" x14ac:dyDescent="0.25">
      <c r="A2196" t="str">
        <f t="shared" si="34"/>
        <v>2023_SA_Pinery_Fababean_DetailedTOS1VarietyNasmaWaterTrtIrrigated</v>
      </c>
      <c r="B2196" s="2">
        <v>2023023</v>
      </c>
      <c r="C2196" s="3" t="s">
        <v>2193</v>
      </c>
      <c r="D2196" s="3" t="s">
        <v>645</v>
      </c>
      <c r="F2196" s="3" t="s">
        <v>4186</v>
      </c>
      <c r="G2196" s="3" t="s">
        <v>43</v>
      </c>
      <c r="H2196" s="3" t="s">
        <v>253</v>
      </c>
      <c r="I2196" s="2">
        <v>117</v>
      </c>
      <c r="J2196" s="2">
        <v>59</v>
      </c>
      <c r="K2196" s="2">
        <v>4</v>
      </c>
      <c r="O2196" s="2">
        <v>15</v>
      </c>
      <c r="U2196" s="2">
        <v>1</v>
      </c>
      <c r="V2196" s="2">
        <v>59</v>
      </c>
      <c r="W2196" s="2">
        <v>1</v>
      </c>
      <c r="X2196" s="2">
        <v>30</v>
      </c>
      <c r="AA2196" s="3" t="s">
        <v>57</v>
      </c>
      <c r="AB2196" s="2">
        <v>3</v>
      </c>
      <c r="AF2196" s="2">
        <v>23</v>
      </c>
      <c r="AG2196" s="2">
        <v>1</v>
      </c>
      <c r="AH2196" s="3" t="s">
        <v>2194</v>
      </c>
      <c r="AI2196" s="4">
        <v>45056</v>
      </c>
      <c r="AJ2196" s="3" t="s">
        <v>2312</v>
      </c>
      <c r="AK2196" s="3" t="s">
        <v>645</v>
      </c>
    </row>
    <row r="2197" spans="1:37" hidden="1" x14ac:dyDescent="0.25">
      <c r="A2197" t="str">
        <f t="shared" si="34"/>
        <v>2023_SA_Pinery_Fababean_DetailedTOS1VarietyNasmaWaterTrtIrrigated</v>
      </c>
      <c r="B2197" s="2">
        <v>2023023</v>
      </c>
      <c r="C2197" s="3" t="s">
        <v>2193</v>
      </c>
      <c r="D2197" s="3" t="s">
        <v>645</v>
      </c>
      <c r="F2197" s="3" t="s">
        <v>4186</v>
      </c>
      <c r="G2197" s="3" t="s">
        <v>43</v>
      </c>
      <c r="H2197" s="3" t="s">
        <v>250</v>
      </c>
      <c r="I2197" s="2">
        <v>118</v>
      </c>
      <c r="J2197" s="2">
        <v>59</v>
      </c>
      <c r="K2197" s="2">
        <v>4</v>
      </c>
      <c r="O2197" s="2">
        <v>15</v>
      </c>
      <c r="U2197" s="2">
        <v>2</v>
      </c>
      <c r="V2197" s="2">
        <v>59</v>
      </c>
      <c r="W2197" s="2">
        <v>2</v>
      </c>
      <c r="X2197" s="2">
        <v>30</v>
      </c>
      <c r="Z2197" s="2">
        <v>119</v>
      </c>
      <c r="AA2197" s="3" t="s">
        <v>57</v>
      </c>
      <c r="AB2197" s="2">
        <v>3</v>
      </c>
      <c r="AF2197" s="2">
        <v>23</v>
      </c>
      <c r="AG2197" s="2">
        <v>1</v>
      </c>
      <c r="AH2197" s="3" t="s">
        <v>2194</v>
      </c>
      <c r="AI2197" s="4">
        <v>45056</v>
      </c>
      <c r="AJ2197" s="3" t="s">
        <v>2313</v>
      </c>
      <c r="AK2197" s="3" t="s">
        <v>645</v>
      </c>
    </row>
    <row r="2198" spans="1:37" hidden="1" x14ac:dyDescent="0.25">
      <c r="A2198" t="str">
        <f t="shared" si="34"/>
        <v>2023_SA_Pinery_Fababean_DetailedTOS1VarietyMarneWaterTrtIrrigated</v>
      </c>
      <c r="B2198" s="2">
        <v>2023023</v>
      </c>
      <c r="C2198" s="3" t="s">
        <v>2193</v>
      </c>
      <c r="D2198" s="3" t="s">
        <v>645</v>
      </c>
      <c r="F2198" s="3" t="s">
        <v>4184</v>
      </c>
      <c r="G2198" s="3" t="s">
        <v>39</v>
      </c>
      <c r="H2198" s="3" t="s">
        <v>253</v>
      </c>
      <c r="I2198" s="2">
        <v>119</v>
      </c>
      <c r="J2198" s="2">
        <v>60</v>
      </c>
      <c r="K2198" s="2">
        <v>4</v>
      </c>
      <c r="O2198" s="2">
        <v>15</v>
      </c>
      <c r="U2198" s="2">
        <v>3</v>
      </c>
      <c r="V2198" s="2">
        <v>59</v>
      </c>
      <c r="W2198" s="2">
        <v>3</v>
      </c>
      <c r="X2198" s="2">
        <v>30</v>
      </c>
      <c r="AA2198" s="3" t="s">
        <v>57</v>
      </c>
      <c r="AB2198" s="2">
        <v>2</v>
      </c>
      <c r="AF2198" s="2">
        <v>23</v>
      </c>
      <c r="AG2198" s="2">
        <v>1</v>
      </c>
      <c r="AH2198" s="3" t="s">
        <v>2194</v>
      </c>
      <c r="AI2198" s="4">
        <v>45056</v>
      </c>
      <c r="AJ2198" s="3" t="s">
        <v>2314</v>
      </c>
      <c r="AK2198" s="3" t="s">
        <v>645</v>
      </c>
    </row>
    <row r="2199" spans="1:37" hidden="1" x14ac:dyDescent="0.25">
      <c r="A2199" t="str">
        <f t="shared" si="34"/>
        <v>2023_SA_Pinery_Fababean_DetailedTOS1VarietyMarneWaterTrtIrrigated</v>
      </c>
      <c r="B2199" s="2">
        <v>2023023</v>
      </c>
      <c r="C2199" s="3" t="s">
        <v>2193</v>
      </c>
      <c r="D2199" s="3" t="s">
        <v>645</v>
      </c>
      <c r="F2199" s="3" t="s">
        <v>4184</v>
      </c>
      <c r="G2199" s="3" t="s">
        <v>39</v>
      </c>
      <c r="H2199" s="3" t="s">
        <v>250</v>
      </c>
      <c r="I2199" s="2">
        <v>120</v>
      </c>
      <c r="J2199" s="2">
        <v>60</v>
      </c>
      <c r="K2199" s="2">
        <v>4</v>
      </c>
      <c r="O2199" s="2">
        <v>15</v>
      </c>
      <c r="U2199" s="2">
        <v>4</v>
      </c>
      <c r="V2199" s="2">
        <v>59</v>
      </c>
      <c r="W2199" s="2">
        <v>4</v>
      </c>
      <c r="X2199" s="2">
        <v>30</v>
      </c>
      <c r="Z2199" s="2">
        <v>117</v>
      </c>
      <c r="AA2199" s="3" t="s">
        <v>57</v>
      </c>
      <c r="AB2199" s="2">
        <v>2</v>
      </c>
      <c r="AF2199" s="2">
        <v>23</v>
      </c>
      <c r="AG2199" s="2">
        <v>1</v>
      </c>
      <c r="AH2199" s="3" t="s">
        <v>2194</v>
      </c>
      <c r="AI2199" s="4">
        <v>45056</v>
      </c>
      <c r="AJ2199" s="3" t="s">
        <v>2315</v>
      </c>
      <c r="AK2199" s="3" t="s">
        <v>645</v>
      </c>
    </row>
    <row r="2200" spans="1:37" hidden="1" x14ac:dyDescent="0.25">
      <c r="A2200" t="str">
        <f t="shared" si="34"/>
        <v>2023_SA_Pinery_Fababean_DetailedTOS1VarietyMarneWaterTrtRainFed</v>
      </c>
      <c r="B2200" s="2">
        <v>2023023</v>
      </c>
      <c r="C2200" s="3" t="s">
        <v>2193</v>
      </c>
      <c r="D2200" s="3" t="s">
        <v>645</v>
      </c>
      <c r="F2200" s="3" t="s">
        <v>4184</v>
      </c>
      <c r="G2200" s="3" t="s">
        <v>39</v>
      </c>
      <c r="H2200" s="3" t="s">
        <v>253</v>
      </c>
      <c r="I2200" s="2">
        <v>121</v>
      </c>
      <c r="J2200" s="2">
        <v>61</v>
      </c>
      <c r="K2200" s="2">
        <v>4</v>
      </c>
      <c r="O2200" s="2">
        <v>16</v>
      </c>
      <c r="U2200" s="2">
        <v>1</v>
      </c>
      <c r="V2200" s="2">
        <v>62</v>
      </c>
      <c r="W2200" s="2">
        <v>1</v>
      </c>
      <c r="X2200" s="2">
        <v>31</v>
      </c>
      <c r="AA2200" s="3" t="s">
        <v>40</v>
      </c>
      <c r="AB2200" s="2">
        <v>2</v>
      </c>
      <c r="AF2200" s="2">
        <v>23</v>
      </c>
      <c r="AG2200" s="2">
        <v>1</v>
      </c>
      <c r="AH2200" s="3" t="s">
        <v>2194</v>
      </c>
      <c r="AI2200" s="4">
        <v>45056</v>
      </c>
      <c r="AJ2200" s="3" t="s">
        <v>2316</v>
      </c>
      <c r="AK2200" s="3" t="s">
        <v>645</v>
      </c>
    </row>
    <row r="2201" spans="1:37" hidden="1" x14ac:dyDescent="0.25">
      <c r="A2201" t="str">
        <f t="shared" si="34"/>
        <v>2023_SA_Pinery_Fababean_DetailedTOS1VarietyMarneWaterTrtRainFed</v>
      </c>
      <c r="B2201" s="2">
        <v>2023023</v>
      </c>
      <c r="C2201" s="3" t="s">
        <v>2193</v>
      </c>
      <c r="D2201" s="3" t="s">
        <v>645</v>
      </c>
      <c r="F2201" s="3" t="s">
        <v>4184</v>
      </c>
      <c r="G2201" s="3" t="s">
        <v>39</v>
      </c>
      <c r="H2201" s="3" t="s">
        <v>250</v>
      </c>
      <c r="I2201" s="2">
        <v>122</v>
      </c>
      <c r="J2201" s="2">
        <v>61</v>
      </c>
      <c r="K2201" s="2">
        <v>4</v>
      </c>
      <c r="O2201" s="2">
        <v>16</v>
      </c>
      <c r="U2201" s="2">
        <v>2</v>
      </c>
      <c r="V2201" s="2">
        <v>62</v>
      </c>
      <c r="W2201" s="2">
        <v>2</v>
      </c>
      <c r="X2201" s="2">
        <v>31</v>
      </c>
      <c r="Z2201" s="2">
        <v>122</v>
      </c>
      <c r="AA2201" s="3" t="s">
        <v>40</v>
      </c>
      <c r="AB2201" s="2">
        <v>2</v>
      </c>
      <c r="AF2201" s="2">
        <v>23</v>
      </c>
      <c r="AG2201" s="2">
        <v>1</v>
      </c>
      <c r="AH2201" s="3" t="s">
        <v>2194</v>
      </c>
      <c r="AI2201" s="4">
        <v>45056</v>
      </c>
      <c r="AJ2201" s="3" t="s">
        <v>2317</v>
      </c>
      <c r="AK2201" s="3" t="s">
        <v>645</v>
      </c>
    </row>
    <row r="2202" spans="1:37" hidden="1" x14ac:dyDescent="0.25">
      <c r="A2202" t="str">
        <f t="shared" si="34"/>
        <v>2023_SA_Pinery_Fababean_DetailedTOS1VarietyNasmaWaterTrtRainFed</v>
      </c>
      <c r="B2202" s="2">
        <v>2023023</v>
      </c>
      <c r="C2202" s="3" t="s">
        <v>2193</v>
      </c>
      <c r="D2202" s="3" t="s">
        <v>645</v>
      </c>
      <c r="F2202" s="3" t="s">
        <v>4186</v>
      </c>
      <c r="G2202" s="3" t="s">
        <v>43</v>
      </c>
      <c r="H2202" s="3" t="s">
        <v>253</v>
      </c>
      <c r="I2202" s="2">
        <v>123</v>
      </c>
      <c r="J2202" s="2">
        <v>62</v>
      </c>
      <c r="K2202" s="2">
        <v>4</v>
      </c>
      <c r="O2202" s="2">
        <v>16</v>
      </c>
      <c r="U2202" s="2">
        <v>3</v>
      </c>
      <c r="V2202" s="2">
        <v>62</v>
      </c>
      <c r="W2202" s="2">
        <v>3</v>
      </c>
      <c r="X2202" s="2">
        <v>31</v>
      </c>
      <c r="AA2202" s="3" t="s">
        <v>40</v>
      </c>
      <c r="AB2202" s="2">
        <v>3</v>
      </c>
      <c r="AF2202" s="2">
        <v>23</v>
      </c>
      <c r="AG2202" s="2">
        <v>1</v>
      </c>
      <c r="AH2202" s="3" t="s">
        <v>2194</v>
      </c>
      <c r="AI2202" s="4">
        <v>45056</v>
      </c>
      <c r="AJ2202" s="3" t="s">
        <v>2318</v>
      </c>
      <c r="AK2202" s="3" t="s">
        <v>645</v>
      </c>
    </row>
    <row r="2203" spans="1:37" hidden="1" x14ac:dyDescent="0.25">
      <c r="A2203" t="str">
        <f t="shared" si="34"/>
        <v>2023_SA_Pinery_Fababean_DetailedTOS1VarietyNasmaWaterTrtRainFed</v>
      </c>
      <c r="B2203" s="2">
        <v>2023023</v>
      </c>
      <c r="C2203" s="3" t="s">
        <v>2193</v>
      </c>
      <c r="D2203" s="3" t="s">
        <v>645</v>
      </c>
      <c r="F2203" s="3" t="s">
        <v>4186</v>
      </c>
      <c r="G2203" s="3" t="s">
        <v>43</v>
      </c>
      <c r="H2203" s="3" t="s">
        <v>250</v>
      </c>
      <c r="I2203" s="2">
        <v>124</v>
      </c>
      <c r="J2203" s="2">
        <v>62</v>
      </c>
      <c r="K2203" s="2">
        <v>4</v>
      </c>
      <c r="O2203" s="2">
        <v>16</v>
      </c>
      <c r="U2203" s="2">
        <v>4</v>
      </c>
      <c r="V2203" s="2">
        <v>62</v>
      </c>
      <c r="W2203" s="2">
        <v>4</v>
      </c>
      <c r="X2203" s="2">
        <v>31</v>
      </c>
      <c r="Z2203" s="2">
        <v>124</v>
      </c>
      <c r="AA2203" s="3" t="s">
        <v>40</v>
      </c>
      <c r="AB2203" s="2">
        <v>3</v>
      </c>
      <c r="AF2203" s="2">
        <v>23</v>
      </c>
      <c r="AG2203" s="2">
        <v>1</v>
      </c>
      <c r="AH2203" s="3" t="s">
        <v>2194</v>
      </c>
      <c r="AI2203" s="4">
        <v>45056</v>
      </c>
      <c r="AJ2203" s="3" t="s">
        <v>2319</v>
      </c>
      <c r="AK2203" s="3" t="s">
        <v>645</v>
      </c>
    </row>
    <row r="2204" spans="1:37" hidden="1" x14ac:dyDescent="0.25">
      <c r="A2204" t="str">
        <f t="shared" si="34"/>
        <v>2023_SA_Pinery_Fababean_DetailedTOS1VarietySamiraWaterTrtRainFed</v>
      </c>
      <c r="B2204" s="2">
        <v>2023023</v>
      </c>
      <c r="C2204" s="3" t="s">
        <v>2193</v>
      </c>
      <c r="D2204" s="3" t="s">
        <v>645</v>
      </c>
      <c r="F2204" s="3" t="s">
        <v>4183</v>
      </c>
      <c r="G2204" s="3" t="s">
        <v>43</v>
      </c>
      <c r="H2204" s="3" t="s">
        <v>253</v>
      </c>
      <c r="I2204" s="2">
        <v>125</v>
      </c>
      <c r="J2204" s="2">
        <v>63</v>
      </c>
      <c r="K2204" s="2">
        <v>4</v>
      </c>
      <c r="O2204" s="2">
        <v>16</v>
      </c>
      <c r="U2204" s="2">
        <v>1</v>
      </c>
      <c r="V2204" s="2">
        <v>63</v>
      </c>
      <c r="W2204" s="2">
        <v>1</v>
      </c>
      <c r="X2204" s="2">
        <v>32</v>
      </c>
      <c r="AA2204" s="3" t="s">
        <v>40</v>
      </c>
      <c r="AB2204" s="2">
        <v>4</v>
      </c>
      <c r="AF2204" s="2">
        <v>23</v>
      </c>
      <c r="AG2204" s="2">
        <v>1</v>
      </c>
      <c r="AH2204" s="3" t="s">
        <v>2194</v>
      </c>
      <c r="AI2204" s="4">
        <v>45056</v>
      </c>
      <c r="AJ2204" s="3" t="s">
        <v>2320</v>
      </c>
      <c r="AK2204" s="3" t="s">
        <v>645</v>
      </c>
    </row>
    <row r="2205" spans="1:37" hidden="1" x14ac:dyDescent="0.25">
      <c r="A2205" t="str">
        <f t="shared" si="34"/>
        <v>2023_SA_Pinery_Fababean_DetailedTOS1VarietySamiraWaterTrtRainFed</v>
      </c>
      <c r="B2205" s="2">
        <v>2023023</v>
      </c>
      <c r="C2205" s="3" t="s">
        <v>2193</v>
      </c>
      <c r="D2205" s="3" t="s">
        <v>645</v>
      </c>
      <c r="F2205" s="3" t="s">
        <v>4183</v>
      </c>
      <c r="G2205" s="3" t="s">
        <v>43</v>
      </c>
      <c r="H2205" s="3" t="s">
        <v>250</v>
      </c>
      <c r="I2205" s="2">
        <v>126</v>
      </c>
      <c r="J2205" s="2">
        <v>63</v>
      </c>
      <c r="K2205" s="2">
        <v>4</v>
      </c>
      <c r="O2205" s="2">
        <v>16</v>
      </c>
      <c r="U2205" s="2">
        <v>2</v>
      </c>
      <c r="V2205" s="2">
        <v>63</v>
      </c>
      <c r="W2205" s="2">
        <v>2</v>
      </c>
      <c r="X2205" s="2">
        <v>32</v>
      </c>
      <c r="Z2205" s="2">
        <v>127</v>
      </c>
      <c r="AA2205" s="3" t="s">
        <v>40</v>
      </c>
      <c r="AB2205" s="2">
        <v>4</v>
      </c>
      <c r="AF2205" s="2">
        <v>23</v>
      </c>
      <c r="AG2205" s="2">
        <v>1</v>
      </c>
      <c r="AH2205" s="3" t="s">
        <v>2194</v>
      </c>
      <c r="AI2205" s="4">
        <v>45056</v>
      </c>
      <c r="AJ2205" s="3" t="s">
        <v>2321</v>
      </c>
      <c r="AK2205" s="3" t="s">
        <v>645</v>
      </c>
    </row>
    <row r="2206" spans="1:37" hidden="1" x14ac:dyDescent="0.25">
      <c r="A2206" t="str">
        <f t="shared" si="34"/>
        <v>2023_SA_Pinery_Fababean_DetailedTOS1VarietyAmberleyWaterTrtRainFed</v>
      </c>
      <c r="B2206" s="2">
        <v>2023023</v>
      </c>
      <c r="C2206" s="3" t="s">
        <v>2193</v>
      </c>
      <c r="D2206" s="3" t="s">
        <v>645</v>
      </c>
      <c r="F2206" s="3" t="s">
        <v>4185</v>
      </c>
      <c r="G2206" s="3" t="s">
        <v>39</v>
      </c>
      <c r="H2206" s="3" t="s">
        <v>253</v>
      </c>
      <c r="I2206" s="2">
        <v>127</v>
      </c>
      <c r="J2206" s="2">
        <v>64</v>
      </c>
      <c r="K2206" s="2">
        <v>4</v>
      </c>
      <c r="O2206" s="2">
        <v>16</v>
      </c>
      <c r="U2206" s="2">
        <v>3</v>
      </c>
      <c r="V2206" s="2">
        <v>63</v>
      </c>
      <c r="W2206" s="2">
        <v>3</v>
      </c>
      <c r="X2206" s="2">
        <v>32</v>
      </c>
      <c r="AA2206" s="3" t="s">
        <v>40</v>
      </c>
      <c r="AB2206" s="2">
        <v>1</v>
      </c>
      <c r="AF2206" s="2">
        <v>23</v>
      </c>
      <c r="AG2206" s="2">
        <v>1</v>
      </c>
      <c r="AH2206" s="3" t="s">
        <v>2194</v>
      </c>
      <c r="AI2206" s="4">
        <v>45056</v>
      </c>
      <c r="AJ2206" s="3" t="s">
        <v>2322</v>
      </c>
      <c r="AK2206" s="3" t="s">
        <v>645</v>
      </c>
    </row>
    <row r="2207" spans="1:37" hidden="1" x14ac:dyDescent="0.25">
      <c r="A2207" t="str">
        <f t="shared" si="34"/>
        <v>2023_SA_Pinery_Fababean_DetailedTOS1VarietyAmberleyWaterTrtRainFed</v>
      </c>
      <c r="B2207" s="2">
        <v>2023023</v>
      </c>
      <c r="C2207" s="3" t="s">
        <v>2193</v>
      </c>
      <c r="D2207" s="3" t="s">
        <v>645</v>
      </c>
      <c r="F2207" s="3" t="s">
        <v>4185</v>
      </c>
      <c r="G2207" s="3" t="s">
        <v>39</v>
      </c>
      <c r="H2207" s="3" t="s">
        <v>250</v>
      </c>
      <c r="I2207" s="2">
        <v>128</v>
      </c>
      <c r="J2207" s="2">
        <v>64</v>
      </c>
      <c r="K2207" s="2">
        <v>4</v>
      </c>
      <c r="O2207" s="2">
        <v>16</v>
      </c>
      <c r="U2207" s="2">
        <v>4</v>
      </c>
      <c r="V2207" s="2">
        <v>63</v>
      </c>
      <c r="W2207" s="2">
        <v>4</v>
      </c>
      <c r="X2207" s="2">
        <v>32</v>
      </c>
      <c r="Z2207" s="2">
        <v>125</v>
      </c>
      <c r="AA2207" s="3" t="s">
        <v>40</v>
      </c>
      <c r="AB2207" s="2">
        <v>1</v>
      </c>
      <c r="AF2207" s="2">
        <v>23</v>
      </c>
      <c r="AG2207" s="2">
        <v>1</v>
      </c>
      <c r="AH2207" s="3" t="s">
        <v>2194</v>
      </c>
      <c r="AI2207" s="4">
        <v>45056</v>
      </c>
      <c r="AJ2207" s="3" t="s">
        <v>2323</v>
      </c>
      <c r="AK2207" s="3" t="s">
        <v>645</v>
      </c>
    </row>
    <row r="2208" spans="1:37" hidden="1" x14ac:dyDescent="0.25">
      <c r="A2208" t="str">
        <f t="shared" si="34"/>
        <v>2023_SA_Pinery_Lentil_DetailedTOS2VarietyKelpieXTWaterTrtIrrigated</v>
      </c>
      <c r="B2208" s="2">
        <v>2023024</v>
      </c>
      <c r="C2208" s="3" t="s">
        <v>2324</v>
      </c>
      <c r="D2208" s="3" t="s">
        <v>38</v>
      </c>
      <c r="F2208" s="3" t="s">
        <v>4188</v>
      </c>
      <c r="G2208" s="3" t="s">
        <v>43</v>
      </c>
      <c r="H2208" s="3" t="s">
        <v>253</v>
      </c>
      <c r="I2208" s="2">
        <v>1</v>
      </c>
      <c r="J2208" s="2">
        <v>1</v>
      </c>
      <c r="K2208" s="2">
        <v>1</v>
      </c>
      <c r="O2208" s="2">
        <v>1</v>
      </c>
      <c r="U2208" s="2">
        <v>1</v>
      </c>
      <c r="V2208" s="2">
        <v>2</v>
      </c>
      <c r="W2208" s="2">
        <v>1</v>
      </c>
      <c r="X2208" s="2">
        <v>1</v>
      </c>
      <c r="AA2208" s="3" t="s">
        <v>57</v>
      </c>
      <c r="AB2208" s="2">
        <v>4</v>
      </c>
      <c r="AF2208" s="2">
        <v>23</v>
      </c>
      <c r="AG2208" s="2">
        <v>2</v>
      </c>
      <c r="AH2208" s="3" t="s">
        <v>2211</v>
      </c>
      <c r="AI2208" s="4">
        <v>45105</v>
      </c>
      <c r="AJ2208" s="3" t="s">
        <v>2325</v>
      </c>
      <c r="AK2208" s="3" t="s">
        <v>38</v>
      </c>
    </row>
    <row r="2209" spans="1:37" hidden="1" x14ac:dyDescent="0.25">
      <c r="A2209" t="str">
        <f t="shared" si="34"/>
        <v>2023_SA_Pinery_Lentil_DetailedTOS2VarietyKelpieXTWaterTrtIrrigated</v>
      </c>
      <c r="B2209" s="2">
        <v>2023024</v>
      </c>
      <c r="C2209" s="3" t="s">
        <v>2324</v>
      </c>
      <c r="D2209" s="3" t="s">
        <v>38</v>
      </c>
      <c r="F2209" s="3" t="s">
        <v>4188</v>
      </c>
      <c r="G2209" s="3" t="s">
        <v>43</v>
      </c>
      <c r="H2209" s="3" t="s">
        <v>250</v>
      </c>
      <c r="I2209" s="2">
        <v>2</v>
      </c>
      <c r="J2209" s="2">
        <v>1</v>
      </c>
      <c r="K2209" s="2">
        <v>1</v>
      </c>
      <c r="O2209" s="2">
        <v>1</v>
      </c>
      <c r="U2209" s="2">
        <v>2</v>
      </c>
      <c r="V2209" s="2">
        <v>2</v>
      </c>
      <c r="W2209" s="2">
        <v>2</v>
      </c>
      <c r="X2209" s="2">
        <v>1</v>
      </c>
      <c r="Z2209" s="2">
        <v>2</v>
      </c>
      <c r="AA2209" s="3" t="s">
        <v>57</v>
      </c>
      <c r="AB2209" s="2">
        <v>4</v>
      </c>
      <c r="AF2209" s="2">
        <v>23</v>
      </c>
      <c r="AG2209" s="2">
        <v>2</v>
      </c>
      <c r="AH2209" s="3" t="s">
        <v>2211</v>
      </c>
      <c r="AI2209" s="4">
        <v>45105</v>
      </c>
      <c r="AJ2209" s="3" t="s">
        <v>2326</v>
      </c>
      <c r="AK2209" s="3" t="s">
        <v>38</v>
      </c>
    </row>
    <row r="2210" spans="1:37" hidden="1" x14ac:dyDescent="0.25">
      <c r="A2210" t="str">
        <f t="shared" si="34"/>
        <v>2023_SA_Pinery_Lentil_DetailedTOS2VarietyJumbo2WaterTrtIrrigated</v>
      </c>
      <c r="B2210" s="2">
        <v>2023024</v>
      </c>
      <c r="C2210" s="3" t="s">
        <v>2324</v>
      </c>
      <c r="D2210" s="3" t="s">
        <v>38</v>
      </c>
      <c r="F2210" s="3" t="s">
        <v>4176</v>
      </c>
      <c r="G2210" s="3" t="s">
        <v>43</v>
      </c>
      <c r="H2210" s="3" t="s">
        <v>253</v>
      </c>
      <c r="I2210" s="2">
        <v>3</v>
      </c>
      <c r="J2210" s="2">
        <v>2</v>
      </c>
      <c r="K2210" s="2">
        <v>1</v>
      </c>
      <c r="O2210" s="2">
        <v>1</v>
      </c>
      <c r="U2210" s="2">
        <v>3</v>
      </c>
      <c r="V2210" s="2">
        <v>2</v>
      </c>
      <c r="W2210" s="2">
        <v>3</v>
      </c>
      <c r="X2210" s="2">
        <v>1</v>
      </c>
      <c r="AA2210" s="3" t="s">
        <v>57</v>
      </c>
      <c r="AB2210" s="2">
        <v>3</v>
      </c>
      <c r="AF2210" s="2">
        <v>23</v>
      </c>
      <c r="AG2210" s="2">
        <v>2</v>
      </c>
      <c r="AH2210" s="3" t="s">
        <v>2211</v>
      </c>
      <c r="AI2210" s="4">
        <v>45105</v>
      </c>
      <c r="AJ2210" s="3" t="s">
        <v>2327</v>
      </c>
      <c r="AK2210" s="3" t="s">
        <v>38</v>
      </c>
    </row>
    <row r="2211" spans="1:37" hidden="1" x14ac:dyDescent="0.25">
      <c r="A2211" t="str">
        <f t="shared" si="34"/>
        <v>2023_SA_Pinery_Lentil_DetailedTOS2VarietyJumbo2WaterTrtIrrigated</v>
      </c>
      <c r="B2211" s="2">
        <v>2023024</v>
      </c>
      <c r="C2211" s="3" t="s">
        <v>2324</v>
      </c>
      <c r="D2211" s="3" t="s">
        <v>38</v>
      </c>
      <c r="F2211" s="3" t="s">
        <v>4176</v>
      </c>
      <c r="G2211" s="3" t="s">
        <v>43</v>
      </c>
      <c r="H2211" s="3" t="s">
        <v>250</v>
      </c>
      <c r="I2211" s="2">
        <v>4</v>
      </c>
      <c r="J2211" s="2">
        <v>2</v>
      </c>
      <c r="K2211" s="2">
        <v>1</v>
      </c>
      <c r="O2211" s="2">
        <v>1</v>
      </c>
      <c r="U2211" s="2">
        <v>4</v>
      </c>
      <c r="V2211" s="2">
        <v>2</v>
      </c>
      <c r="W2211" s="2">
        <v>4</v>
      </c>
      <c r="X2211" s="2">
        <v>1</v>
      </c>
      <c r="Z2211" s="2">
        <v>4</v>
      </c>
      <c r="AA2211" s="3" t="s">
        <v>57</v>
      </c>
      <c r="AB2211" s="2">
        <v>3</v>
      </c>
      <c r="AF2211" s="2">
        <v>23</v>
      </c>
      <c r="AG2211" s="2">
        <v>2</v>
      </c>
      <c r="AH2211" s="3" t="s">
        <v>2211</v>
      </c>
      <c r="AI2211" s="4">
        <v>45105</v>
      </c>
      <c r="AJ2211" s="3" t="s">
        <v>2328</v>
      </c>
      <c r="AK2211" s="3" t="s">
        <v>38</v>
      </c>
    </row>
    <row r="2212" spans="1:37" hidden="1" x14ac:dyDescent="0.25">
      <c r="A2212" t="str">
        <f t="shared" si="34"/>
        <v>2023_SA_Pinery_Lentil_DetailedTOS2VarietyBoltWaterTrtIrrigated</v>
      </c>
      <c r="B2212" s="2">
        <v>2023024</v>
      </c>
      <c r="C2212" s="3" t="s">
        <v>2324</v>
      </c>
      <c r="D2212" s="3" t="s">
        <v>38</v>
      </c>
      <c r="F2212" s="3" t="s">
        <v>4187</v>
      </c>
      <c r="G2212" s="3" t="s">
        <v>39</v>
      </c>
      <c r="H2212" s="3" t="s">
        <v>253</v>
      </c>
      <c r="I2212" s="2">
        <v>5</v>
      </c>
      <c r="J2212" s="2">
        <v>3</v>
      </c>
      <c r="K2212" s="2">
        <v>1</v>
      </c>
      <c r="O2212" s="2">
        <v>1</v>
      </c>
      <c r="U2212" s="2">
        <v>1</v>
      </c>
      <c r="V2212" s="2">
        <v>3</v>
      </c>
      <c r="W2212" s="2">
        <v>1</v>
      </c>
      <c r="X2212" s="2">
        <v>2</v>
      </c>
      <c r="AA2212" s="3" t="s">
        <v>57</v>
      </c>
      <c r="AB2212" s="2">
        <v>1</v>
      </c>
      <c r="AF2212" s="2">
        <v>23</v>
      </c>
      <c r="AG2212" s="2">
        <v>2</v>
      </c>
      <c r="AH2212" s="3" t="s">
        <v>2211</v>
      </c>
      <c r="AI2212" s="4">
        <v>45105</v>
      </c>
      <c r="AJ2212" s="3" t="s">
        <v>2329</v>
      </c>
      <c r="AK2212" s="3" t="s">
        <v>38</v>
      </c>
    </row>
    <row r="2213" spans="1:37" hidden="1" x14ac:dyDescent="0.25">
      <c r="A2213" t="str">
        <f t="shared" si="34"/>
        <v>2023_SA_Pinery_Lentil_DetailedTOS2VarietyBoltWaterTrtIrrigated</v>
      </c>
      <c r="B2213" s="2">
        <v>2023024</v>
      </c>
      <c r="C2213" s="3" t="s">
        <v>2324</v>
      </c>
      <c r="D2213" s="3" t="s">
        <v>38</v>
      </c>
      <c r="F2213" s="3" t="s">
        <v>4187</v>
      </c>
      <c r="G2213" s="3" t="s">
        <v>39</v>
      </c>
      <c r="H2213" s="3" t="s">
        <v>250</v>
      </c>
      <c r="I2213" s="2">
        <v>6</v>
      </c>
      <c r="J2213" s="2">
        <v>3</v>
      </c>
      <c r="K2213" s="2">
        <v>1</v>
      </c>
      <c r="O2213" s="2">
        <v>1</v>
      </c>
      <c r="U2213" s="2">
        <v>2</v>
      </c>
      <c r="V2213" s="2">
        <v>3</v>
      </c>
      <c r="W2213" s="2">
        <v>2</v>
      </c>
      <c r="X2213" s="2">
        <v>2</v>
      </c>
      <c r="Z2213" s="2">
        <v>7</v>
      </c>
      <c r="AA2213" s="3" t="s">
        <v>57</v>
      </c>
      <c r="AB2213" s="2">
        <v>1</v>
      </c>
      <c r="AF2213" s="2">
        <v>23</v>
      </c>
      <c r="AG2213" s="2">
        <v>2</v>
      </c>
      <c r="AH2213" s="3" t="s">
        <v>2211</v>
      </c>
      <c r="AI2213" s="4">
        <v>45105</v>
      </c>
      <c r="AJ2213" s="3" t="s">
        <v>2330</v>
      </c>
      <c r="AK2213" s="3" t="s">
        <v>38</v>
      </c>
    </row>
    <row r="2214" spans="1:37" hidden="1" x14ac:dyDescent="0.25">
      <c r="A2214" t="str">
        <f t="shared" si="34"/>
        <v>2023_SA_Pinery_Lentil_DetailedTOS2VarietyHallmarkXTWaterTrtIrrigated</v>
      </c>
      <c r="B2214" s="2">
        <v>2023024</v>
      </c>
      <c r="C2214" s="3" t="s">
        <v>2324</v>
      </c>
      <c r="D2214" s="3" t="s">
        <v>38</v>
      </c>
      <c r="F2214" s="3" t="s">
        <v>4189</v>
      </c>
      <c r="G2214" s="3" t="s">
        <v>39</v>
      </c>
      <c r="H2214" s="3" t="s">
        <v>253</v>
      </c>
      <c r="I2214" s="2">
        <v>7</v>
      </c>
      <c r="J2214" s="2">
        <v>4</v>
      </c>
      <c r="K2214" s="2">
        <v>1</v>
      </c>
      <c r="O2214" s="2">
        <v>1</v>
      </c>
      <c r="U2214" s="2">
        <v>3</v>
      </c>
      <c r="V2214" s="2">
        <v>3</v>
      </c>
      <c r="W2214" s="2">
        <v>3</v>
      </c>
      <c r="X2214" s="2">
        <v>2</v>
      </c>
      <c r="AA2214" s="3" t="s">
        <v>57</v>
      </c>
      <c r="AB2214" s="2">
        <v>2</v>
      </c>
      <c r="AF2214" s="2">
        <v>23</v>
      </c>
      <c r="AG2214" s="2">
        <v>2</v>
      </c>
      <c r="AH2214" s="3" t="s">
        <v>2211</v>
      </c>
      <c r="AI2214" s="4">
        <v>45105</v>
      </c>
      <c r="AJ2214" s="3" t="s">
        <v>2331</v>
      </c>
      <c r="AK2214" s="3" t="s">
        <v>38</v>
      </c>
    </row>
    <row r="2215" spans="1:37" hidden="1" x14ac:dyDescent="0.25">
      <c r="A2215" t="str">
        <f t="shared" si="34"/>
        <v>2023_SA_Pinery_Lentil_DetailedTOS2VarietyHallmarkXTWaterTrtIrrigated</v>
      </c>
      <c r="B2215" s="2">
        <v>2023024</v>
      </c>
      <c r="C2215" s="3" t="s">
        <v>2324</v>
      </c>
      <c r="D2215" s="3" t="s">
        <v>38</v>
      </c>
      <c r="F2215" s="3" t="s">
        <v>4189</v>
      </c>
      <c r="G2215" s="3" t="s">
        <v>39</v>
      </c>
      <c r="H2215" s="3" t="s">
        <v>250</v>
      </c>
      <c r="I2215" s="2">
        <v>8</v>
      </c>
      <c r="J2215" s="2">
        <v>4</v>
      </c>
      <c r="K2215" s="2">
        <v>1</v>
      </c>
      <c r="O2215" s="2">
        <v>1</v>
      </c>
      <c r="U2215" s="2">
        <v>4</v>
      </c>
      <c r="V2215" s="2">
        <v>3</v>
      </c>
      <c r="W2215" s="2">
        <v>4</v>
      </c>
      <c r="X2215" s="2">
        <v>2</v>
      </c>
      <c r="Z2215" s="2">
        <v>5</v>
      </c>
      <c r="AA2215" s="3" t="s">
        <v>57</v>
      </c>
      <c r="AB2215" s="2">
        <v>2</v>
      </c>
      <c r="AF2215" s="2">
        <v>23</v>
      </c>
      <c r="AG2215" s="2">
        <v>2</v>
      </c>
      <c r="AH2215" s="3" t="s">
        <v>2211</v>
      </c>
      <c r="AI2215" s="4">
        <v>45105</v>
      </c>
      <c r="AJ2215" s="3" t="s">
        <v>2332</v>
      </c>
      <c r="AK2215" s="3" t="s">
        <v>38</v>
      </c>
    </row>
    <row r="2216" spans="1:37" hidden="1" x14ac:dyDescent="0.25">
      <c r="A2216" t="str">
        <f t="shared" si="34"/>
        <v>2023_SA_Pinery_Lentil_DetailedTOS2VarietyHallmarkXTWaterTrtRainFed</v>
      </c>
      <c r="B2216" s="2">
        <v>2023024</v>
      </c>
      <c r="C2216" s="3" t="s">
        <v>2324</v>
      </c>
      <c r="D2216" s="3" t="s">
        <v>38</v>
      </c>
      <c r="F2216" s="3" t="s">
        <v>4189</v>
      </c>
      <c r="G2216" s="3" t="s">
        <v>39</v>
      </c>
      <c r="H2216" s="3" t="s">
        <v>253</v>
      </c>
      <c r="I2216" s="2">
        <v>9</v>
      </c>
      <c r="J2216" s="2">
        <v>5</v>
      </c>
      <c r="K2216" s="2">
        <v>1</v>
      </c>
      <c r="O2216" s="2">
        <v>2</v>
      </c>
      <c r="U2216" s="2">
        <v>1</v>
      </c>
      <c r="V2216" s="2">
        <v>6</v>
      </c>
      <c r="W2216" s="2">
        <v>1</v>
      </c>
      <c r="X2216" s="2">
        <v>3</v>
      </c>
      <c r="AA2216" s="3" t="s">
        <v>40</v>
      </c>
      <c r="AB2216" s="2">
        <v>2</v>
      </c>
      <c r="AF2216" s="2">
        <v>23</v>
      </c>
      <c r="AG2216" s="2">
        <v>2</v>
      </c>
      <c r="AH2216" s="3" t="s">
        <v>2211</v>
      </c>
      <c r="AI2216" s="4">
        <v>45105</v>
      </c>
      <c r="AJ2216" s="3" t="s">
        <v>2333</v>
      </c>
      <c r="AK2216" s="3" t="s">
        <v>38</v>
      </c>
    </row>
    <row r="2217" spans="1:37" hidden="1" x14ac:dyDescent="0.25">
      <c r="A2217" t="str">
        <f t="shared" si="34"/>
        <v>2023_SA_Pinery_Lentil_DetailedTOS2VarietyHallmarkXTWaterTrtRainFed</v>
      </c>
      <c r="B2217" s="2">
        <v>2023024</v>
      </c>
      <c r="C2217" s="3" t="s">
        <v>2324</v>
      </c>
      <c r="D2217" s="3" t="s">
        <v>38</v>
      </c>
      <c r="F2217" s="3" t="s">
        <v>4189</v>
      </c>
      <c r="G2217" s="3" t="s">
        <v>39</v>
      </c>
      <c r="H2217" s="3" t="s">
        <v>250</v>
      </c>
      <c r="I2217" s="2">
        <v>10</v>
      </c>
      <c r="J2217" s="2">
        <v>5</v>
      </c>
      <c r="K2217" s="2">
        <v>1</v>
      </c>
      <c r="O2217" s="2">
        <v>2</v>
      </c>
      <c r="U2217" s="2">
        <v>2</v>
      </c>
      <c r="V2217" s="2">
        <v>6</v>
      </c>
      <c r="W2217" s="2">
        <v>2</v>
      </c>
      <c r="X2217" s="2">
        <v>3</v>
      </c>
      <c r="Z2217" s="2">
        <v>10</v>
      </c>
      <c r="AA2217" s="3" t="s">
        <v>40</v>
      </c>
      <c r="AB2217" s="2">
        <v>2</v>
      </c>
      <c r="AF2217" s="2">
        <v>23</v>
      </c>
      <c r="AG2217" s="2">
        <v>2</v>
      </c>
      <c r="AH2217" s="3" t="s">
        <v>2211</v>
      </c>
      <c r="AI2217" s="4">
        <v>45105</v>
      </c>
      <c r="AJ2217" s="3" t="s">
        <v>2334</v>
      </c>
      <c r="AK2217" s="3" t="s">
        <v>38</v>
      </c>
    </row>
    <row r="2218" spans="1:37" hidden="1" x14ac:dyDescent="0.25">
      <c r="A2218" t="str">
        <f t="shared" si="34"/>
        <v>2023_SA_Pinery_Lentil_DetailedTOS2VarietyBoltWaterTrtRainFed</v>
      </c>
      <c r="B2218" s="2">
        <v>2023024</v>
      </c>
      <c r="C2218" s="3" t="s">
        <v>2324</v>
      </c>
      <c r="D2218" s="3" t="s">
        <v>38</v>
      </c>
      <c r="F2218" s="3" t="s">
        <v>4187</v>
      </c>
      <c r="G2218" s="3" t="s">
        <v>39</v>
      </c>
      <c r="H2218" s="3" t="s">
        <v>253</v>
      </c>
      <c r="I2218" s="2">
        <v>11</v>
      </c>
      <c r="J2218" s="2">
        <v>6</v>
      </c>
      <c r="K2218" s="2">
        <v>1</v>
      </c>
      <c r="O2218" s="2">
        <v>2</v>
      </c>
      <c r="U2218" s="2">
        <v>3</v>
      </c>
      <c r="V2218" s="2">
        <v>6</v>
      </c>
      <c r="W2218" s="2">
        <v>3</v>
      </c>
      <c r="X2218" s="2">
        <v>3</v>
      </c>
      <c r="AA2218" s="3" t="s">
        <v>40</v>
      </c>
      <c r="AB2218" s="2">
        <v>1</v>
      </c>
      <c r="AF2218" s="2">
        <v>23</v>
      </c>
      <c r="AG2218" s="2">
        <v>2</v>
      </c>
      <c r="AH2218" s="3" t="s">
        <v>2211</v>
      </c>
      <c r="AI2218" s="4">
        <v>45105</v>
      </c>
      <c r="AJ2218" s="3" t="s">
        <v>2335</v>
      </c>
      <c r="AK2218" s="3" t="s">
        <v>38</v>
      </c>
    </row>
    <row r="2219" spans="1:37" hidden="1" x14ac:dyDescent="0.25">
      <c r="A2219" t="str">
        <f t="shared" si="34"/>
        <v>2023_SA_Pinery_Lentil_DetailedTOS2VarietyBoltWaterTrtRainFed</v>
      </c>
      <c r="B2219" s="2">
        <v>2023024</v>
      </c>
      <c r="C2219" s="3" t="s">
        <v>2324</v>
      </c>
      <c r="D2219" s="3" t="s">
        <v>38</v>
      </c>
      <c r="F2219" s="3" t="s">
        <v>4187</v>
      </c>
      <c r="G2219" s="3" t="s">
        <v>39</v>
      </c>
      <c r="H2219" s="3" t="s">
        <v>250</v>
      </c>
      <c r="I2219" s="2">
        <v>12</v>
      </c>
      <c r="J2219" s="2">
        <v>6</v>
      </c>
      <c r="K2219" s="2">
        <v>1</v>
      </c>
      <c r="O2219" s="2">
        <v>2</v>
      </c>
      <c r="U2219" s="2">
        <v>4</v>
      </c>
      <c r="V2219" s="2">
        <v>6</v>
      </c>
      <c r="W2219" s="2">
        <v>4</v>
      </c>
      <c r="X2219" s="2">
        <v>3</v>
      </c>
      <c r="Z2219" s="2">
        <v>12</v>
      </c>
      <c r="AA2219" s="3" t="s">
        <v>40</v>
      </c>
      <c r="AB2219" s="2">
        <v>1</v>
      </c>
      <c r="AF2219" s="2">
        <v>23</v>
      </c>
      <c r="AG2219" s="2">
        <v>2</v>
      </c>
      <c r="AH2219" s="3" t="s">
        <v>2211</v>
      </c>
      <c r="AI2219" s="4">
        <v>45105</v>
      </c>
      <c r="AJ2219" s="3" t="s">
        <v>2336</v>
      </c>
      <c r="AK2219" s="3" t="s">
        <v>38</v>
      </c>
    </row>
    <row r="2220" spans="1:37" hidden="1" x14ac:dyDescent="0.25">
      <c r="A2220" t="str">
        <f t="shared" si="34"/>
        <v>2023_SA_Pinery_Lentil_DetailedTOS2VarietyJumbo2WaterTrtRainFed</v>
      </c>
      <c r="B2220" s="2">
        <v>2023024</v>
      </c>
      <c r="C2220" s="3" t="s">
        <v>2324</v>
      </c>
      <c r="D2220" s="3" t="s">
        <v>38</v>
      </c>
      <c r="F2220" s="3" t="s">
        <v>4176</v>
      </c>
      <c r="G2220" s="3" t="s">
        <v>43</v>
      </c>
      <c r="H2220" s="3" t="s">
        <v>253</v>
      </c>
      <c r="I2220" s="2">
        <v>13</v>
      </c>
      <c r="J2220" s="2">
        <v>7</v>
      </c>
      <c r="K2220" s="2">
        <v>1</v>
      </c>
      <c r="O2220" s="2">
        <v>2</v>
      </c>
      <c r="U2220" s="2">
        <v>1</v>
      </c>
      <c r="V2220" s="2">
        <v>7</v>
      </c>
      <c r="W2220" s="2">
        <v>1</v>
      </c>
      <c r="X2220" s="2">
        <v>4</v>
      </c>
      <c r="AA2220" s="3" t="s">
        <v>40</v>
      </c>
      <c r="AB2220" s="2">
        <v>3</v>
      </c>
      <c r="AF2220" s="2">
        <v>23</v>
      </c>
      <c r="AG2220" s="2">
        <v>2</v>
      </c>
      <c r="AH2220" s="3" t="s">
        <v>2211</v>
      </c>
      <c r="AI2220" s="4">
        <v>45105</v>
      </c>
      <c r="AJ2220" s="3" t="s">
        <v>2337</v>
      </c>
      <c r="AK2220" s="3" t="s">
        <v>38</v>
      </c>
    </row>
    <row r="2221" spans="1:37" hidden="1" x14ac:dyDescent="0.25">
      <c r="A2221" t="str">
        <f t="shared" si="34"/>
        <v>2023_SA_Pinery_Lentil_DetailedTOS2VarietyJumbo2WaterTrtRainFed</v>
      </c>
      <c r="B2221" s="2">
        <v>2023024</v>
      </c>
      <c r="C2221" s="3" t="s">
        <v>2324</v>
      </c>
      <c r="D2221" s="3" t="s">
        <v>38</v>
      </c>
      <c r="F2221" s="3" t="s">
        <v>4176</v>
      </c>
      <c r="G2221" s="3" t="s">
        <v>43</v>
      </c>
      <c r="H2221" s="3" t="s">
        <v>250</v>
      </c>
      <c r="I2221" s="2">
        <v>14</v>
      </c>
      <c r="J2221" s="2">
        <v>7</v>
      </c>
      <c r="K2221" s="2">
        <v>1</v>
      </c>
      <c r="O2221" s="2">
        <v>2</v>
      </c>
      <c r="U2221" s="2">
        <v>2</v>
      </c>
      <c r="V2221" s="2">
        <v>7</v>
      </c>
      <c r="W2221" s="2">
        <v>2</v>
      </c>
      <c r="X2221" s="2">
        <v>4</v>
      </c>
      <c r="Z2221" s="2">
        <v>15</v>
      </c>
      <c r="AA2221" s="3" t="s">
        <v>40</v>
      </c>
      <c r="AB2221" s="2">
        <v>3</v>
      </c>
      <c r="AF2221" s="2">
        <v>23</v>
      </c>
      <c r="AG2221" s="2">
        <v>2</v>
      </c>
      <c r="AH2221" s="3" t="s">
        <v>2211</v>
      </c>
      <c r="AI2221" s="4">
        <v>45105</v>
      </c>
      <c r="AJ2221" s="3" t="s">
        <v>2338</v>
      </c>
      <c r="AK2221" s="3" t="s">
        <v>38</v>
      </c>
    </row>
    <row r="2222" spans="1:37" hidden="1" x14ac:dyDescent="0.25">
      <c r="A2222" t="str">
        <f t="shared" si="34"/>
        <v>2023_SA_Pinery_Lentil_DetailedTOS2VarietyKelpieXTWaterTrtRainFed</v>
      </c>
      <c r="B2222" s="2">
        <v>2023024</v>
      </c>
      <c r="C2222" s="3" t="s">
        <v>2324</v>
      </c>
      <c r="D2222" s="3" t="s">
        <v>38</v>
      </c>
      <c r="F2222" s="3" t="s">
        <v>4188</v>
      </c>
      <c r="G2222" s="3" t="s">
        <v>43</v>
      </c>
      <c r="H2222" s="3" t="s">
        <v>253</v>
      </c>
      <c r="I2222" s="2">
        <v>15</v>
      </c>
      <c r="J2222" s="2">
        <v>8</v>
      </c>
      <c r="K2222" s="2">
        <v>1</v>
      </c>
      <c r="O2222" s="2">
        <v>2</v>
      </c>
      <c r="U2222" s="2">
        <v>3</v>
      </c>
      <c r="V2222" s="2">
        <v>7</v>
      </c>
      <c r="W2222" s="2">
        <v>3</v>
      </c>
      <c r="X2222" s="2">
        <v>4</v>
      </c>
      <c r="AA2222" s="3" t="s">
        <v>40</v>
      </c>
      <c r="AB2222" s="2">
        <v>4</v>
      </c>
      <c r="AF2222" s="2">
        <v>23</v>
      </c>
      <c r="AG2222" s="2">
        <v>2</v>
      </c>
      <c r="AH2222" s="3" t="s">
        <v>2211</v>
      </c>
      <c r="AI2222" s="4">
        <v>45105</v>
      </c>
      <c r="AJ2222" s="3" t="s">
        <v>2339</v>
      </c>
      <c r="AK2222" s="3" t="s">
        <v>38</v>
      </c>
    </row>
    <row r="2223" spans="1:37" hidden="1" x14ac:dyDescent="0.25">
      <c r="A2223" t="str">
        <f t="shared" si="34"/>
        <v>2023_SA_Pinery_Lentil_DetailedTOS2VarietyKelpieXTWaterTrtRainFed</v>
      </c>
      <c r="B2223" s="2">
        <v>2023024</v>
      </c>
      <c r="C2223" s="3" t="s">
        <v>2324</v>
      </c>
      <c r="D2223" s="3" t="s">
        <v>38</v>
      </c>
      <c r="F2223" s="3" t="s">
        <v>4188</v>
      </c>
      <c r="G2223" s="3" t="s">
        <v>43</v>
      </c>
      <c r="H2223" s="3" t="s">
        <v>250</v>
      </c>
      <c r="I2223" s="2">
        <v>16</v>
      </c>
      <c r="J2223" s="2">
        <v>8</v>
      </c>
      <c r="K2223" s="2">
        <v>1</v>
      </c>
      <c r="O2223" s="2">
        <v>2</v>
      </c>
      <c r="U2223" s="2">
        <v>4</v>
      </c>
      <c r="V2223" s="2">
        <v>7</v>
      </c>
      <c r="W2223" s="2">
        <v>4</v>
      </c>
      <c r="X2223" s="2">
        <v>4</v>
      </c>
      <c r="Z2223" s="2">
        <v>13</v>
      </c>
      <c r="AA2223" s="3" t="s">
        <v>40</v>
      </c>
      <c r="AB2223" s="2">
        <v>4</v>
      </c>
      <c r="AF2223" s="2">
        <v>23</v>
      </c>
      <c r="AG2223" s="2">
        <v>2</v>
      </c>
      <c r="AH2223" s="3" t="s">
        <v>2211</v>
      </c>
      <c r="AI2223" s="4">
        <v>45105</v>
      </c>
      <c r="AJ2223" s="3" t="s">
        <v>2340</v>
      </c>
      <c r="AK2223" s="3" t="s">
        <v>38</v>
      </c>
    </row>
    <row r="2224" spans="1:37" hidden="1" x14ac:dyDescent="0.25">
      <c r="A2224" t="str">
        <f t="shared" si="34"/>
        <v>2023_SA_Pinery_Lentil_DetailedTOS1VarietyJumbo2WaterTrtIrrigated</v>
      </c>
      <c r="B2224" s="2">
        <v>2023024</v>
      </c>
      <c r="C2224" s="3" t="s">
        <v>2324</v>
      </c>
      <c r="D2224" s="3" t="s">
        <v>38</v>
      </c>
      <c r="F2224" s="3" t="s">
        <v>4176</v>
      </c>
      <c r="G2224" s="3" t="s">
        <v>43</v>
      </c>
      <c r="H2224" s="3" t="s">
        <v>253</v>
      </c>
      <c r="I2224" s="2">
        <v>17</v>
      </c>
      <c r="J2224" s="2">
        <v>9</v>
      </c>
      <c r="K2224" s="2">
        <v>1</v>
      </c>
      <c r="O2224" s="2">
        <v>3</v>
      </c>
      <c r="U2224" s="2">
        <v>1</v>
      </c>
      <c r="V2224" s="2">
        <v>10</v>
      </c>
      <c r="W2224" s="2">
        <v>1</v>
      </c>
      <c r="X2224" s="2">
        <v>5</v>
      </c>
      <c r="AA2224" s="3" t="s">
        <v>57</v>
      </c>
      <c r="AB2224" s="2">
        <v>3</v>
      </c>
      <c r="AF2224" s="2">
        <v>23</v>
      </c>
      <c r="AG2224" s="2">
        <v>1</v>
      </c>
      <c r="AH2224" s="3" t="s">
        <v>2194</v>
      </c>
      <c r="AI2224" s="4">
        <v>45056</v>
      </c>
      <c r="AJ2224" s="3" t="s">
        <v>2341</v>
      </c>
      <c r="AK2224" s="3" t="s">
        <v>38</v>
      </c>
    </row>
    <row r="2225" spans="1:37" hidden="1" x14ac:dyDescent="0.25">
      <c r="A2225" t="str">
        <f t="shared" si="34"/>
        <v>2023_SA_Pinery_Lentil_DetailedTOS1VarietyJumbo2WaterTrtIrrigated</v>
      </c>
      <c r="B2225" s="2">
        <v>2023024</v>
      </c>
      <c r="C2225" s="3" t="s">
        <v>2324</v>
      </c>
      <c r="D2225" s="3" t="s">
        <v>38</v>
      </c>
      <c r="F2225" s="3" t="s">
        <v>4176</v>
      </c>
      <c r="G2225" s="3" t="s">
        <v>43</v>
      </c>
      <c r="H2225" s="3" t="s">
        <v>250</v>
      </c>
      <c r="I2225" s="2">
        <v>18</v>
      </c>
      <c r="J2225" s="2">
        <v>9</v>
      </c>
      <c r="K2225" s="2">
        <v>1</v>
      </c>
      <c r="O2225" s="2">
        <v>3</v>
      </c>
      <c r="U2225" s="2">
        <v>2</v>
      </c>
      <c r="V2225" s="2">
        <v>10</v>
      </c>
      <c r="W2225" s="2">
        <v>2</v>
      </c>
      <c r="X2225" s="2">
        <v>5</v>
      </c>
      <c r="Z2225" s="2">
        <v>18</v>
      </c>
      <c r="AA2225" s="3" t="s">
        <v>57</v>
      </c>
      <c r="AB2225" s="2">
        <v>3</v>
      </c>
      <c r="AF2225" s="2">
        <v>23</v>
      </c>
      <c r="AG2225" s="2">
        <v>1</v>
      </c>
      <c r="AH2225" s="3" t="s">
        <v>2194</v>
      </c>
      <c r="AI2225" s="4">
        <v>45056</v>
      </c>
      <c r="AJ2225" s="3" t="s">
        <v>2342</v>
      </c>
      <c r="AK2225" s="3" t="s">
        <v>38</v>
      </c>
    </row>
    <row r="2226" spans="1:37" hidden="1" x14ac:dyDescent="0.25">
      <c r="A2226" t="str">
        <f t="shared" si="34"/>
        <v>2023_SA_Pinery_Lentil_DetailedTOS1VarietyKelpieXTWaterTrtIrrigated</v>
      </c>
      <c r="B2226" s="2">
        <v>2023024</v>
      </c>
      <c r="C2226" s="3" t="s">
        <v>2324</v>
      </c>
      <c r="D2226" s="3" t="s">
        <v>38</v>
      </c>
      <c r="F2226" s="3" t="s">
        <v>4188</v>
      </c>
      <c r="G2226" s="3" t="s">
        <v>43</v>
      </c>
      <c r="H2226" s="3" t="s">
        <v>253</v>
      </c>
      <c r="I2226" s="2">
        <v>19</v>
      </c>
      <c r="J2226" s="2">
        <v>10</v>
      </c>
      <c r="K2226" s="2">
        <v>1</v>
      </c>
      <c r="O2226" s="2">
        <v>3</v>
      </c>
      <c r="U2226" s="2">
        <v>3</v>
      </c>
      <c r="V2226" s="2">
        <v>10</v>
      </c>
      <c r="W2226" s="2">
        <v>3</v>
      </c>
      <c r="X2226" s="2">
        <v>5</v>
      </c>
      <c r="AA2226" s="3" t="s">
        <v>57</v>
      </c>
      <c r="AB2226" s="2">
        <v>4</v>
      </c>
      <c r="AF2226" s="2">
        <v>23</v>
      </c>
      <c r="AG2226" s="2">
        <v>1</v>
      </c>
      <c r="AH2226" s="3" t="s">
        <v>2194</v>
      </c>
      <c r="AI2226" s="4">
        <v>45056</v>
      </c>
      <c r="AJ2226" s="3" t="s">
        <v>2343</v>
      </c>
      <c r="AK2226" s="3" t="s">
        <v>38</v>
      </c>
    </row>
    <row r="2227" spans="1:37" hidden="1" x14ac:dyDescent="0.25">
      <c r="A2227" t="str">
        <f t="shared" si="34"/>
        <v>2023_SA_Pinery_Lentil_DetailedTOS1VarietyKelpieXTWaterTrtIrrigated</v>
      </c>
      <c r="B2227" s="2">
        <v>2023024</v>
      </c>
      <c r="C2227" s="3" t="s">
        <v>2324</v>
      </c>
      <c r="D2227" s="3" t="s">
        <v>38</v>
      </c>
      <c r="F2227" s="3" t="s">
        <v>4188</v>
      </c>
      <c r="G2227" s="3" t="s">
        <v>43</v>
      </c>
      <c r="H2227" s="3" t="s">
        <v>250</v>
      </c>
      <c r="I2227" s="2">
        <v>20</v>
      </c>
      <c r="J2227" s="2">
        <v>10</v>
      </c>
      <c r="K2227" s="2">
        <v>1</v>
      </c>
      <c r="O2227" s="2">
        <v>3</v>
      </c>
      <c r="U2227" s="2">
        <v>4</v>
      </c>
      <c r="V2227" s="2">
        <v>10</v>
      </c>
      <c r="W2227" s="2">
        <v>4</v>
      </c>
      <c r="X2227" s="2">
        <v>5</v>
      </c>
      <c r="Z2227" s="2">
        <v>20</v>
      </c>
      <c r="AA2227" s="3" t="s">
        <v>57</v>
      </c>
      <c r="AB2227" s="2">
        <v>4</v>
      </c>
      <c r="AF2227" s="2">
        <v>23</v>
      </c>
      <c r="AG2227" s="2">
        <v>1</v>
      </c>
      <c r="AH2227" s="3" t="s">
        <v>2194</v>
      </c>
      <c r="AI2227" s="4">
        <v>45056</v>
      </c>
      <c r="AJ2227" s="3" t="s">
        <v>2344</v>
      </c>
      <c r="AK2227" s="3" t="s">
        <v>38</v>
      </c>
    </row>
    <row r="2228" spans="1:37" hidden="1" x14ac:dyDescent="0.25">
      <c r="A2228" t="str">
        <f t="shared" si="34"/>
        <v>2023_SA_Pinery_Lentil_DetailedTOS1VarietyHallmarkXTWaterTrtIrrigated</v>
      </c>
      <c r="B2228" s="2">
        <v>2023024</v>
      </c>
      <c r="C2228" s="3" t="s">
        <v>2324</v>
      </c>
      <c r="D2228" s="3" t="s">
        <v>38</v>
      </c>
      <c r="F2228" s="3" t="s">
        <v>4189</v>
      </c>
      <c r="G2228" s="3" t="s">
        <v>39</v>
      </c>
      <c r="H2228" s="3" t="s">
        <v>253</v>
      </c>
      <c r="I2228" s="2">
        <v>21</v>
      </c>
      <c r="J2228" s="2">
        <v>11</v>
      </c>
      <c r="K2228" s="2">
        <v>1</v>
      </c>
      <c r="O2228" s="2">
        <v>3</v>
      </c>
      <c r="U2228" s="2">
        <v>1</v>
      </c>
      <c r="V2228" s="2">
        <v>11</v>
      </c>
      <c r="W2228" s="2">
        <v>1</v>
      </c>
      <c r="X2228" s="2">
        <v>6</v>
      </c>
      <c r="AA2228" s="3" t="s">
        <v>57</v>
      </c>
      <c r="AB2228" s="2">
        <v>2</v>
      </c>
      <c r="AF2228" s="2">
        <v>23</v>
      </c>
      <c r="AG2228" s="2">
        <v>1</v>
      </c>
      <c r="AH2228" s="3" t="s">
        <v>2194</v>
      </c>
      <c r="AI2228" s="4">
        <v>45056</v>
      </c>
      <c r="AJ2228" s="3" t="s">
        <v>2345</v>
      </c>
      <c r="AK2228" s="3" t="s">
        <v>38</v>
      </c>
    </row>
    <row r="2229" spans="1:37" hidden="1" x14ac:dyDescent="0.25">
      <c r="A2229" t="str">
        <f t="shared" si="34"/>
        <v>2023_SA_Pinery_Lentil_DetailedTOS1VarietyHallmarkXTWaterTrtIrrigated</v>
      </c>
      <c r="B2229" s="2">
        <v>2023024</v>
      </c>
      <c r="C2229" s="3" t="s">
        <v>2324</v>
      </c>
      <c r="D2229" s="3" t="s">
        <v>38</v>
      </c>
      <c r="F2229" s="3" t="s">
        <v>4189</v>
      </c>
      <c r="G2229" s="3" t="s">
        <v>39</v>
      </c>
      <c r="H2229" s="3" t="s">
        <v>250</v>
      </c>
      <c r="I2229" s="2">
        <v>22</v>
      </c>
      <c r="J2229" s="2">
        <v>11</v>
      </c>
      <c r="K2229" s="2">
        <v>1</v>
      </c>
      <c r="O2229" s="2">
        <v>3</v>
      </c>
      <c r="U2229" s="2">
        <v>2</v>
      </c>
      <c r="V2229" s="2">
        <v>11</v>
      </c>
      <c r="W2229" s="2">
        <v>2</v>
      </c>
      <c r="X2229" s="2">
        <v>6</v>
      </c>
      <c r="Z2229" s="2">
        <v>23</v>
      </c>
      <c r="AA2229" s="3" t="s">
        <v>57</v>
      </c>
      <c r="AB2229" s="2">
        <v>2</v>
      </c>
      <c r="AF2229" s="2">
        <v>23</v>
      </c>
      <c r="AG2229" s="2">
        <v>1</v>
      </c>
      <c r="AH2229" s="3" t="s">
        <v>2194</v>
      </c>
      <c r="AI2229" s="4">
        <v>45056</v>
      </c>
      <c r="AJ2229" s="3" t="s">
        <v>2346</v>
      </c>
      <c r="AK2229" s="3" t="s">
        <v>38</v>
      </c>
    </row>
    <row r="2230" spans="1:37" hidden="1" x14ac:dyDescent="0.25">
      <c r="A2230" t="str">
        <f t="shared" si="34"/>
        <v>2023_SA_Pinery_Lentil_DetailedTOS1VarietyBoltWaterTrtIrrigated</v>
      </c>
      <c r="B2230" s="2">
        <v>2023024</v>
      </c>
      <c r="C2230" s="3" t="s">
        <v>2324</v>
      </c>
      <c r="D2230" s="3" t="s">
        <v>38</v>
      </c>
      <c r="F2230" s="3" t="s">
        <v>4187</v>
      </c>
      <c r="G2230" s="3" t="s">
        <v>39</v>
      </c>
      <c r="H2230" s="3" t="s">
        <v>253</v>
      </c>
      <c r="I2230" s="2">
        <v>23</v>
      </c>
      <c r="J2230" s="2">
        <v>12</v>
      </c>
      <c r="K2230" s="2">
        <v>1</v>
      </c>
      <c r="O2230" s="2">
        <v>3</v>
      </c>
      <c r="U2230" s="2">
        <v>3</v>
      </c>
      <c r="V2230" s="2">
        <v>11</v>
      </c>
      <c r="W2230" s="2">
        <v>3</v>
      </c>
      <c r="X2230" s="2">
        <v>6</v>
      </c>
      <c r="AA2230" s="3" t="s">
        <v>57</v>
      </c>
      <c r="AB2230" s="2">
        <v>1</v>
      </c>
      <c r="AF2230" s="2">
        <v>23</v>
      </c>
      <c r="AG2230" s="2">
        <v>1</v>
      </c>
      <c r="AH2230" s="3" t="s">
        <v>2194</v>
      </c>
      <c r="AI2230" s="4">
        <v>45056</v>
      </c>
      <c r="AJ2230" s="3" t="s">
        <v>2347</v>
      </c>
      <c r="AK2230" s="3" t="s">
        <v>38</v>
      </c>
    </row>
    <row r="2231" spans="1:37" hidden="1" x14ac:dyDescent="0.25">
      <c r="A2231" t="str">
        <f t="shared" si="34"/>
        <v>2023_SA_Pinery_Lentil_DetailedTOS1VarietyBoltWaterTrtIrrigated</v>
      </c>
      <c r="B2231" s="2">
        <v>2023024</v>
      </c>
      <c r="C2231" s="3" t="s">
        <v>2324</v>
      </c>
      <c r="D2231" s="3" t="s">
        <v>38</v>
      </c>
      <c r="F2231" s="3" t="s">
        <v>4187</v>
      </c>
      <c r="G2231" s="3" t="s">
        <v>39</v>
      </c>
      <c r="H2231" s="3" t="s">
        <v>250</v>
      </c>
      <c r="I2231" s="2">
        <v>24</v>
      </c>
      <c r="J2231" s="2">
        <v>12</v>
      </c>
      <c r="K2231" s="2">
        <v>1</v>
      </c>
      <c r="O2231" s="2">
        <v>3</v>
      </c>
      <c r="U2231" s="2">
        <v>4</v>
      </c>
      <c r="V2231" s="2">
        <v>11</v>
      </c>
      <c r="W2231" s="2">
        <v>4</v>
      </c>
      <c r="X2231" s="2">
        <v>6</v>
      </c>
      <c r="Z2231" s="2">
        <v>21</v>
      </c>
      <c r="AA2231" s="3" t="s">
        <v>57</v>
      </c>
      <c r="AB2231" s="2">
        <v>1</v>
      </c>
      <c r="AF2231" s="2">
        <v>23</v>
      </c>
      <c r="AG2231" s="2">
        <v>1</v>
      </c>
      <c r="AH2231" s="3" t="s">
        <v>2194</v>
      </c>
      <c r="AI2231" s="4">
        <v>45056</v>
      </c>
      <c r="AJ2231" s="3" t="s">
        <v>2348</v>
      </c>
      <c r="AK2231" s="3" t="s">
        <v>38</v>
      </c>
    </row>
    <row r="2232" spans="1:37" hidden="1" x14ac:dyDescent="0.25">
      <c r="A2232" t="str">
        <f t="shared" si="34"/>
        <v>2023_SA_Pinery_Lentil_DetailedTOS1VarietyBoltWaterTrtRainFed</v>
      </c>
      <c r="B2232" s="2">
        <v>2023024</v>
      </c>
      <c r="C2232" s="3" t="s">
        <v>2324</v>
      </c>
      <c r="D2232" s="3" t="s">
        <v>38</v>
      </c>
      <c r="F2232" s="3" t="s">
        <v>4187</v>
      </c>
      <c r="G2232" s="3" t="s">
        <v>39</v>
      </c>
      <c r="H2232" s="3" t="s">
        <v>253</v>
      </c>
      <c r="I2232" s="2">
        <v>25</v>
      </c>
      <c r="J2232" s="2">
        <v>13</v>
      </c>
      <c r="K2232" s="2">
        <v>1</v>
      </c>
      <c r="O2232" s="2">
        <v>4</v>
      </c>
      <c r="U2232" s="2">
        <v>1</v>
      </c>
      <c r="V2232" s="2">
        <v>14</v>
      </c>
      <c r="W2232" s="2">
        <v>1</v>
      </c>
      <c r="X2232" s="2">
        <v>7</v>
      </c>
      <c r="AA2232" s="3" t="s">
        <v>40</v>
      </c>
      <c r="AB2232" s="2">
        <v>1</v>
      </c>
      <c r="AF2232" s="2">
        <v>23</v>
      </c>
      <c r="AG2232" s="2">
        <v>1</v>
      </c>
      <c r="AH2232" s="3" t="s">
        <v>2194</v>
      </c>
      <c r="AI2232" s="4">
        <v>45056</v>
      </c>
      <c r="AJ2232" s="3" t="s">
        <v>2349</v>
      </c>
      <c r="AK2232" s="3" t="s">
        <v>38</v>
      </c>
    </row>
    <row r="2233" spans="1:37" hidden="1" x14ac:dyDescent="0.25">
      <c r="A2233" t="str">
        <f t="shared" si="34"/>
        <v>2023_SA_Pinery_Lentil_DetailedTOS1VarietyBoltWaterTrtRainFed</v>
      </c>
      <c r="B2233" s="2">
        <v>2023024</v>
      </c>
      <c r="C2233" s="3" t="s">
        <v>2324</v>
      </c>
      <c r="D2233" s="3" t="s">
        <v>38</v>
      </c>
      <c r="F2233" s="3" t="s">
        <v>4187</v>
      </c>
      <c r="G2233" s="3" t="s">
        <v>39</v>
      </c>
      <c r="H2233" s="3" t="s">
        <v>250</v>
      </c>
      <c r="I2233" s="2">
        <v>26</v>
      </c>
      <c r="J2233" s="2">
        <v>13</v>
      </c>
      <c r="K2233" s="2">
        <v>1</v>
      </c>
      <c r="O2233" s="2">
        <v>4</v>
      </c>
      <c r="U2233" s="2">
        <v>2</v>
      </c>
      <c r="V2233" s="2">
        <v>14</v>
      </c>
      <c r="W2233" s="2">
        <v>2</v>
      </c>
      <c r="X2233" s="2">
        <v>7</v>
      </c>
      <c r="Z2233" s="2">
        <v>26</v>
      </c>
      <c r="AA2233" s="3" t="s">
        <v>40</v>
      </c>
      <c r="AB2233" s="2">
        <v>1</v>
      </c>
      <c r="AF2233" s="2">
        <v>23</v>
      </c>
      <c r="AG2233" s="2">
        <v>1</v>
      </c>
      <c r="AH2233" s="3" t="s">
        <v>2194</v>
      </c>
      <c r="AI2233" s="4">
        <v>45056</v>
      </c>
      <c r="AJ2233" s="3" t="s">
        <v>2350</v>
      </c>
      <c r="AK2233" s="3" t="s">
        <v>38</v>
      </c>
    </row>
    <row r="2234" spans="1:37" hidden="1" x14ac:dyDescent="0.25">
      <c r="A2234" t="str">
        <f t="shared" si="34"/>
        <v>2023_SA_Pinery_Lentil_DetailedTOS1VarietyHallmarkXTWaterTrtRainFed</v>
      </c>
      <c r="B2234" s="2">
        <v>2023024</v>
      </c>
      <c r="C2234" s="3" t="s">
        <v>2324</v>
      </c>
      <c r="D2234" s="3" t="s">
        <v>38</v>
      </c>
      <c r="F2234" s="3" t="s">
        <v>4189</v>
      </c>
      <c r="G2234" s="3" t="s">
        <v>39</v>
      </c>
      <c r="H2234" s="3" t="s">
        <v>253</v>
      </c>
      <c r="I2234" s="2">
        <v>27</v>
      </c>
      <c r="J2234" s="2">
        <v>14</v>
      </c>
      <c r="K2234" s="2">
        <v>1</v>
      </c>
      <c r="O2234" s="2">
        <v>4</v>
      </c>
      <c r="U2234" s="2">
        <v>3</v>
      </c>
      <c r="V2234" s="2">
        <v>14</v>
      </c>
      <c r="W2234" s="2">
        <v>3</v>
      </c>
      <c r="X2234" s="2">
        <v>7</v>
      </c>
      <c r="AA2234" s="3" t="s">
        <v>40</v>
      </c>
      <c r="AB2234" s="2">
        <v>2</v>
      </c>
      <c r="AF2234" s="2">
        <v>23</v>
      </c>
      <c r="AG2234" s="2">
        <v>1</v>
      </c>
      <c r="AH2234" s="3" t="s">
        <v>2194</v>
      </c>
      <c r="AI2234" s="4">
        <v>45056</v>
      </c>
      <c r="AJ2234" s="3" t="s">
        <v>2351</v>
      </c>
      <c r="AK2234" s="3" t="s">
        <v>38</v>
      </c>
    </row>
    <row r="2235" spans="1:37" hidden="1" x14ac:dyDescent="0.25">
      <c r="A2235" t="str">
        <f t="shared" si="34"/>
        <v>2023_SA_Pinery_Lentil_DetailedTOS1VarietyHallmarkXTWaterTrtRainFed</v>
      </c>
      <c r="B2235" s="2">
        <v>2023024</v>
      </c>
      <c r="C2235" s="3" t="s">
        <v>2324</v>
      </c>
      <c r="D2235" s="3" t="s">
        <v>38</v>
      </c>
      <c r="F2235" s="3" t="s">
        <v>4189</v>
      </c>
      <c r="G2235" s="3" t="s">
        <v>39</v>
      </c>
      <c r="H2235" s="3" t="s">
        <v>250</v>
      </c>
      <c r="I2235" s="2">
        <v>28</v>
      </c>
      <c r="J2235" s="2">
        <v>14</v>
      </c>
      <c r="K2235" s="2">
        <v>1</v>
      </c>
      <c r="O2235" s="2">
        <v>4</v>
      </c>
      <c r="U2235" s="2">
        <v>4</v>
      </c>
      <c r="V2235" s="2">
        <v>14</v>
      </c>
      <c r="W2235" s="2">
        <v>4</v>
      </c>
      <c r="X2235" s="2">
        <v>7</v>
      </c>
      <c r="Z2235" s="2">
        <v>28</v>
      </c>
      <c r="AA2235" s="3" t="s">
        <v>40</v>
      </c>
      <c r="AB2235" s="2">
        <v>2</v>
      </c>
      <c r="AF2235" s="2">
        <v>23</v>
      </c>
      <c r="AG2235" s="2">
        <v>1</v>
      </c>
      <c r="AH2235" s="3" t="s">
        <v>2194</v>
      </c>
      <c r="AI2235" s="4">
        <v>45056</v>
      </c>
      <c r="AJ2235" s="3" t="s">
        <v>2352</v>
      </c>
      <c r="AK2235" s="3" t="s">
        <v>38</v>
      </c>
    </row>
    <row r="2236" spans="1:37" hidden="1" x14ac:dyDescent="0.25">
      <c r="A2236" t="str">
        <f t="shared" si="34"/>
        <v>2023_SA_Pinery_Lentil_DetailedTOS1VarietyKelpieXTWaterTrtRainFed</v>
      </c>
      <c r="B2236" s="2">
        <v>2023024</v>
      </c>
      <c r="C2236" s="3" t="s">
        <v>2324</v>
      </c>
      <c r="D2236" s="3" t="s">
        <v>38</v>
      </c>
      <c r="F2236" s="3" t="s">
        <v>4188</v>
      </c>
      <c r="G2236" s="3" t="s">
        <v>43</v>
      </c>
      <c r="H2236" s="3" t="s">
        <v>253</v>
      </c>
      <c r="I2236" s="2">
        <v>29</v>
      </c>
      <c r="J2236" s="2">
        <v>15</v>
      </c>
      <c r="K2236" s="2">
        <v>1</v>
      </c>
      <c r="O2236" s="2">
        <v>4</v>
      </c>
      <c r="U2236" s="2">
        <v>1</v>
      </c>
      <c r="V2236" s="2">
        <v>15</v>
      </c>
      <c r="W2236" s="2">
        <v>1</v>
      </c>
      <c r="X2236" s="2">
        <v>8</v>
      </c>
      <c r="AA2236" s="3" t="s">
        <v>40</v>
      </c>
      <c r="AB2236" s="2">
        <v>4</v>
      </c>
      <c r="AF2236" s="2">
        <v>23</v>
      </c>
      <c r="AG2236" s="2">
        <v>1</v>
      </c>
      <c r="AH2236" s="3" t="s">
        <v>2194</v>
      </c>
      <c r="AI2236" s="4">
        <v>45056</v>
      </c>
      <c r="AJ2236" s="3" t="s">
        <v>2353</v>
      </c>
      <c r="AK2236" s="3" t="s">
        <v>38</v>
      </c>
    </row>
    <row r="2237" spans="1:37" hidden="1" x14ac:dyDescent="0.25">
      <c r="A2237" t="str">
        <f t="shared" si="34"/>
        <v>2023_SA_Pinery_Lentil_DetailedTOS1VarietyKelpieXTWaterTrtRainFed</v>
      </c>
      <c r="B2237" s="2">
        <v>2023024</v>
      </c>
      <c r="C2237" s="3" t="s">
        <v>2324</v>
      </c>
      <c r="D2237" s="3" t="s">
        <v>38</v>
      </c>
      <c r="F2237" s="3" t="s">
        <v>4188</v>
      </c>
      <c r="G2237" s="3" t="s">
        <v>43</v>
      </c>
      <c r="H2237" s="3" t="s">
        <v>250</v>
      </c>
      <c r="I2237" s="2">
        <v>30</v>
      </c>
      <c r="J2237" s="2">
        <v>15</v>
      </c>
      <c r="K2237" s="2">
        <v>1</v>
      </c>
      <c r="O2237" s="2">
        <v>4</v>
      </c>
      <c r="U2237" s="2">
        <v>2</v>
      </c>
      <c r="V2237" s="2">
        <v>15</v>
      </c>
      <c r="W2237" s="2">
        <v>2</v>
      </c>
      <c r="X2237" s="2">
        <v>8</v>
      </c>
      <c r="Z2237" s="2">
        <v>31</v>
      </c>
      <c r="AA2237" s="3" t="s">
        <v>40</v>
      </c>
      <c r="AB2237" s="2">
        <v>4</v>
      </c>
      <c r="AF2237" s="2">
        <v>23</v>
      </c>
      <c r="AG2237" s="2">
        <v>1</v>
      </c>
      <c r="AH2237" s="3" t="s">
        <v>2194</v>
      </c>
      <c r="AI2237" s="4">
        <v>45056</v>
      </c>
      <c r="AJ2237" s="3" t="s">
        <v>2354</v>
      </c>
      <c r="AK2237" s="3" t="s">
        <v>38</v>
      </c>
    </row>
    <row r="2238" spans="1:37" hidden="1" x14ac:dyDescent="0.25">
      <c r="A2238" t="str">
        <f t="shared" si="34"/>
        <v>2023_SA_Pinery_Lentil_DetailedTOS1VarietyJumbo2WaterTrtRainFed</v>
      </c>
      <c r="B2238" s="2">
        <v>2023024</v>
      </c>
      <c r="C2238" s="3" t="s">
        <v>2324</v>
      </c>
      <c r="D2238" s="3" t="s">
        <v>38</v>
      </c>
      <c r="F2238" s="3" t="s">
        <v>4176</v>
      </c>
      <c r="G2238" s="3" t="s">
        <v>43</v>
      </c>
      <c r="H2238" s="3" t="s">
        <v>253</v>
      </c>
      <c r="I2238" s="2">
        <v>31</v>
      </c>
      <c r="J2238" s="2">
        <v>16</v>
      </c>
      <c r="K2238" s="2">
        <v>1</v>
      </c>
      <c r="O2238" s="2">
        <v>4</v>
      </c>
      <c r="U2238" s="2">
        <v>3</v>
      </c>
      <c r="V2238" s="2">
        <v>15</v>
      </c>
      <c r="W2238" s="2">
        <v>3</v>
      </c>
      <c r="X2238" s="2">
        <v>8</v>
      </c>
      <c r="AA2238" s="3" t="s">
        <v>40</v>
      </c>
      <c r="AB2238" s="2">
        <v>3</v>
      </c>
      <c r="AF2238" s="2">
        <v>23</v>
      </c>
      <c r="AG2238" s="2">
        <v>1</v>
      </c>
      <c r="AH2238" s="3" t="s">
        <v>2194</v>
      </c>
      <c r="AI2238" s="4">
        <v>45056</v>
      </c>
      <c r="AJ2238" s="3" t="s">
        <v>2355</v>
      </c>
      <c r="AK2238" s="3" t="s">
        <v>38</v>
      </c>
    </row>
    <row r="2239" spans="1:37" hidden="1" x14ac:dyDescent="0.25">
      <c r="A2239" t="str">
        <f t="shared" si="34"/>
        <v>2023_SA_Pinery_Lentil_DetailedTOS1VarietyJumbo2WaterTrtRainFed</v>
      </c>
      <c r="B2239" s="2">
        <v>2023024</v>
      </c>
      <c r="C2239" s="3" t="s">
        <v>2324</v>
      </c>
      <c r="D2239" s="3" t="s">
        <v>38</v>
      </c>
      <c r="F2239" s="3" t="s">
        <v>4176</v>
      </c>
      <c r="G2239" s="3" t="s">
        <v>43</v>
      </c>
      <c r="H2239" s="3" t="s">
        <v>250</v>
      </c>
      <c r="I2239" s="2">
        <v>32</v>
      </c>
      <c r="J2239" s="2">
        <v>16</v>
      </c>
      <c r="K2239" s="2">
        <v>1</v>
      </c>
      <c r="O2239" s="2">
        <v>4</v>
      </c>
      <c r="U2239" s="2">
        <v>4</v>
      </c>
      <c r="V2239" s="2">
        <v>15</v>
      </c>
      <c r="W2239" s="2">
        <v>4</v>
      </c>
      <c r="X2239" s="2">
        <v>8</v>
      </c>
      <c r="Z2239" s="2">
        <v>29</v>
      </c>
      <c r="AA2239" s="3" t="s">
        <v>40</v>
      </c>
      <c r="AB2239" s="2">
        <v>3</v>
      </c>
      <c r="AF2239" s="2">
        <v>23</v>
      </c>
      <c r="AG2239" s="2">
        <v>1</v>
      </c>
      <c r="AH2239" s="3" t="s">
        <v>2194</v>
      </c>
      <c r="AI2239" s="4">
        <v>45056</v>
      </c>
      <c r="AJ2239" s="3" t="s">
        <v>2356</v>
      </c>
      <c r="AK2239" s="3" t="s">
        <v>38</v>
      </c>
    </row>
    <row r="2240" spans="1:37" hidden="1" x14ac:dyDescent="0.25">
      <c r="A2240" t="str">
        <f t="shared" si="34"/>
        <v>2023_SA_Pinery_Lentil_DetailedTOS1VarietyHallmarkXTWaterTrtRainFed</v>
      </c>
      <c r="B2240" s="2">
        <v>2023024</v>
      </c>
      <c r="C2240" s="3" t="s">
        <v>2324</v>
      </c>
      <c r="D2240" s="3" t="s">
        <v>38</v>
      </c>
      <c r="F2240" s="3" t="s">
        <v>4189</v>
      </c>
      <c r="G2240" s="3" t="s">
        <v>39</v>
      </c>
      <c r="H2240" s="3" t="s">
        <v>253</v>
      </c>
      <c r="I2240" s="2">
        <v>33</v>
      </c>
      <c r="J2240" s="2">
        <v>17</v>
      </c>
      <c r="K2240" s="2">
        <v>2</v>
      </c>
      <c r="O2240" s="2">
        <v>5</v>
      </c>
      <c r="U2240" s="2">
        <v>1</v>
      </c>
      <c r="V2240" s="2">
        <v>18</v>
      </c>
      <c r="W2240" s="2">
        <v>1</v>
      </c>
      <c r="X2240" s="2">
        <v>9</v>
      </c>
      <c r="AA2240" s="3" t="s">
        <v>40</v>
      </c>
      <c r="AB2240" s="2">
        <v>2</v>
      </c>
      <c r="AF2240" s="2">
        <v>23</v>
      </c>
      <c r="AG2240" s="2">
        <v>1</v>
      </c>
      <c r="AH2240" s="3" t="s">
        <v>2194</v>
      </c>
      <c r="AI2240" s="4">
        <v>45056</v>
      </c>
      <c r="AJ2240" s="3" t="s">
        <v>2357</v>
      </c>
      <c r="AK2240" s="3" t="s">
        <v>38</v>
      </c>
    </row>
    <row r="2241" spans="1:37" hidden="1" x14ac:dyDescent="0.25">
      <c r="A2241" t="str">
        <f t="shared" si="34"/>
        <v>2023_SA_Pinery_Lentil_DetailedTOS1VarietyHallmarkXTWaterTrtRainFed</v>
      </c>
      <c r="B2241" s="2">
        <v>2023024</v>
      </c>
      <c r="C2241" s="3" t="s">
        <v>2324</v>
      </c>
      <c r="D2241" s="3" t="s">
        <v>38</v>
      </c>
      <c r="F2241" s="3" t="s">
        <v>4189</v>
      </c>
      <c r="G2241" s="3" t="s">
        <v>39</v>
      </c>
      <c r="H2241" s="3" t="s">
        <v>250</v>
      </c>
      <c r="I2241" s="2">
        <v>34</v>
      </c>
      <c r="J2241" s="2">
        <v>17</v>
      </c>
      <c r="K2241" s="2">
        <v>2</v>
      </c>
      <c r="O2241" s="2">
        <v>5</v>
      </c>
      <c r="U2241" s="2">
        <v>2</v>
      </c>
      <c r="V2241" s="2">
        <v>18</v>
      </c>
      <c r="W2241" s="2">
        <v>2</v>
      </c>
      <c r="X2241" s="2">
        <v>9</v>
      </c>
      <c r="Z2241" s="2">
        <v>34</v>
      </c>
      <c r="AA2241" s="3" t="s">
        <v>40</v>
      </c>
      <c r="AB2241" s="2">
        <v>2</v>
      </c>
      <c r="AF2241" s="2">
        <v>23</v>
      </c>
      <c r="AG2241" s="2">
        <v>1</v>
      </c>
      <c r="AH2241" s="3" t="s">
        <v>2194</v>
      </c>
      <c r="AI2241" s="4">
        <v>45056</v>
      </c>
      <c r="AJ2241" s="3" t="s">
        <v>2358</v>
      </c>
      <c r="AK2241" s="3" t="s">
        <v>38</v>
      </c>
    </row>
    <row r="2242" spans="1:37" hidden="1" x14ac:dyDescent="0.25">
      <c r="A2242" t="str">
        <f t="shared" si="34"/>
        <v>2023_SA_Pinery_Lentil_DetailedTOS1VarietyJumbo2WaterTrtRainFed</v>
      </c>
      <c r="B2242" s="2">
        <v>2023024</v>
      </c>
      <c r="C2242" s="3" t="s">
        <v>2324</v>
      </c>
      <c r="D2242" s="3" t="s">
        <v>38</v>
      </c>
      <c r="F2242" s="3" t="s">
        <v>4176</v>
      </c>
      <c r="G2242" s="3" t="s">
        <v>43</v>
      </c>
      <c r="H2242" s="3" t="s">
        <v>253</v>
      </c>
      <c r="I2242" s="2">
        <v>35</v>
      </c>
      <c r="J2242" s="2">
        <v>18</v>
      </c>
      <c r="K2242" s="2">
        <v>2</v>
      </c>
      <c r="O2242" s="2">
        <v>5</v>
      </c>
      <c r="U2242" s="2">
        <v>3</v>
      </c>
      <c r="V2242" s="2">
        <v>18</v>
      </c>
      <c r="W2242" s="2">
        <v>3</v>
      </c>
      <c r="X2242" s="2">
        <v>9</v>
      </c>
      <c r="AA2242" s="3" t="s">
        <v>40</v>
      </c>
      <c r="AB2242" s="2">
        <v>3</v>
      </c>
      <c r="AF2242" s="2">
        <v>23</v>
      </c>
      <c r="AG2242" s="2">
        <v>1</v>
      </c>
      <c r="AH2242" s="3" t="s">
        <v>2194</v>
      </c>
      <c r="AI2242" s="4">
        <v>45056</v>
      </c>
      <c r="AJ2242" s="3" t="s">
        <v>2359</v>
      </c>
      <c r="AK2242" s="3" t="s">
        <v>38</v>
      </c>
    </row>
    <row r="2243" spans="1:37" hidden="1" x14ac:dyDescent="0.25">
      <c r="A2243" t="str">
        <f t="shared" ref="A2243:A2306" si="35">C2243&amp;"TOS"&amp;AG2243&amp;"Variety"&amp;F2243&amp;"WaterTrt"&amp;AA2243&amp;IF(AC2243="","","Agronomy"&amp;AC2243)</f>
        <v>2023_SA_Pinery_Lentil_DetailedTOS1VarietyJumbo2WaterTrtRainFed</v>
      </c>
      <c r="B2243" s="2">
        <v>2023024</v>
      </c>
      <c r="C2243" s="3" t="s">
        <v>2324</v>
      </c>
      <c r="D2243" s="3" t="s">
        <v>38</v>
      </c>
      <c r="F2243" s="3" t="s">
        <v>4176</v>
      </c>
      <c r="G2243" s="3" t="s">
        <v>43</v>
      </c>
      <c r="H2243" s="3" t="s">
        <v>250</v>
      </c>
      <c r="I2243" s="2">
        <v>36</v>
      </c>
      <c r="J2243" s="2">
        <v>18</v>
      </c>
      <c r="K2243" s="2">
        <v>2</v>
      </c>
      <c r="O2243" s="2">
        <v>5</v>
      </c>
      <c r="U2243" s="2">
        <v>4</v>
      </c>
      <c r="V2243" s="2">
        <v>18</v>
      </c>
      <c r="W2243" s="2">
        <v>4</v>
      </c>
      <c r="X2243" s="2">
        <v>9</v>
      </c>
      <c r="Z2243" s="2">
        <v>36</v>
      </c>
      <c r="AA2243" s="3" t="s">
        <v>40</v>
      </c>
      <c r="AB2243" s="2">
        <v>3</v>
      </c>
      <c r="AF2243" s="2">
        <v>23</v>
      </c>
      <c r="AG2243" s="2">
        <v>1</v>
      </c>
      <c r="AH2243" s="3" t="s">
        <v>2194</v>
      </c>
      <c r="AI2243" s="4">
        <v>45056</v>
      </c>
      <c r="AJ2243" s="3" t="s">
        <v>2360</v>
      </c>
      <c r="AK2243" s="3" t="s">
        <v>38</v>
      </c>
    </row>
    <row r="2244" spans="1:37" hidden="1" x14ac:dyDescent="0.25">
      <c r="A2244" t="str">
        <f t="shared" si="35"/>
        <v>2023_SA_Pinery_Lentil_DetailedTOS1VarietyBoltWaterTrtRainFed</v>
      </c>
      <c r="B2244" s="2">
        <v>2023024</v>
      </c>
      <c r="C2244" s="3" t="s">
        <v>2324</v>
      </c>
      <c r="D2244" s="3" t="s">
        <v>38</v>
      </c>
      <c r="F2244" s="3" t="s">
        <v>4187</v>
      </c>
      <c r="G2244" s="3" t="s">
        <v>39</v>
      </c>
      <c r="H2244" s="3" t="s">
        <v>253</v>
      </c>
      <c r="I2244" s="2">
        <v>37</v>
      </c>
      <c r="J2244" s="2">
        <v>19</v>
      </c>
      <c r="K2244" s="2">
        <v>2</v>
      </c>
      <c r="O2244" s="2">
        <v>5</v>
      </c>
      <c r="U2244" s="2">
        <v>1</v>
      </c>
      <c r="V2244" s="2">
        <v>19</v>
      </c>
      <c r="W2244" s="2">
        <v>1</v>
      </c>
      <c r="X2244" s="2">
        <v>10</v>
      </c>
      <c r="AA2244" s="3" t="s">
        <v>40</v>
      </c>
      <c r="AB2244" s="2">
        <v>1</v>
      </c>
      <c r="AF2244" s="2">
        <v>23</v>
      </c>
      <c r="AG2244" s="2">
        <v>1</v>
      </c>
      <c r="AH2244" s="3" t="s">
        <v>2194</v>
      </c>
      <c r="AI2244" s="4">
        <v>45056</v>
      </c>
      <c r="AJ2244" s="3" t="s">
        <v>2361</v>
      </c>
      <c r="AK2244" s="3" t="s">
        <v>38</v>
      </c>
    </row>
    <row r="2245" spans="1:37" hidden="1" x14ac:dyDescent="0.25">
      <c r="A2245" t="str">
        <f t="shared" si="35"/>
        <v>2023_SA_Pinery_Lentil_DetailedTOS1VarietyBoltWaterTrtRainFed</v>
      </c>
      <c r="B2245" s="2">
        <v>2023024</v>
      </c>
      <c r="C2245" s="3" t="s">
        <v>2324</v>
      </c>
      <c r="D2245" s="3" t="s">
        <v>38</v>
      </c>
      <c r="F2245" s="3" t="s">
        <v>4187</v>
      </c>
      <c r="G2245" s="3" t="s">
        <v>39</v>
      </c>
      <c r="H2245" s="3" t="s">
        <v>250</v>
      </c>
      <c r="I2245" s="2">
        <v>38</v>
      </c>
      <c r="J2245" s="2">
        <v>19</v>
      </c>
      <c r="K2245" s="2">
        <v>2</v>
      </c>
      <c r="O2245" s="2">
        <v>5</v>
      </c>
      <c r="U2245" s="2">
        <v>2</v>
      </c>
      <c r="V2245" s="2">
        <v>19</v>
      </c>
      <c r="W2245" s="2">
        <v>2</v>
      </c>
      <c r="X2245" s="2">
        <v>10</v>
      </c>
      <c r="Z2245" s="2">
        <v>39</v>
      </c>
      <c r="AA2245" s="3" t="s">
        <v>40</v>
      </c>
      <c r="AB2245" s="2">
        <v>1</v>
      </c>
      <c r="AF2245" s="2">
        <v>23</v>
      </c>
      <c r="AG2245" s="2">
        <v>1</v>
      </c>
      <c r="AH2245" s="3" t="s">
        <v>2194</v>
      </c>
      <c r="AI2245" s="4">
        <v>45056</v>
      </c>
      <c r="AJ2245" s="3" t="s">
        <v>2362</v>
      </c>
      <c r="AK2245" s="3" t="s">
        <v>38</v>
      </c>
    </row>
    <row r="2246" spans="1:37" hidden="1" x14ac:dyDescent="0.25">
      <c r="A2246" t="str">
        <f t="shared" si="35"/>
        <v>2023_SA_Pinery_Lentil_DetailedTOS1VarietyKelpieXTWaterTrtRainFed</v>
      </c>
      <c r="B2246" s="2">
        <v>2023024</v>
      </c>
      <c r="C2246" s="3" t="s">
        <v>2324</v>
      </c>
      <c r="D2246" s="3" t="s">
        <v>38</v>
      </c>
      <c r="F2246" s="3" t="s">
        <v>4188</v>
      </c>
      <c r="G2246" s="3" t="s">
        <v>43</v>
      </c>
      <c r="H2246" s="3" t="s">
        <v>253</v>
      </c>
      <c r="I2246" s="2">
        <v>39</v>
      </c>
      <c r="J2246" s="2">
        <v>20</v>
      </c>
      <c r="K2246" s="2">
        <v>2</v>
      </c>
      <c r="O2246" s="2">
        <v>5</v>
      </c>
      <c r="U2246" s="2">
        <v>3</v>
      </c>
      <c r="V2246" s="2">
        <v>19</v>
      </c>
      <c r="W2246" s="2">
        <v>3</v>
      </c>
      <c r="X2246" s="2">
        <v>10</v>
      </c>
      <c r="AA2246" s="3" t="s">
        <v>40</v>
      </c>
      <c r="AB2246" s="2">
        <v>4</v>
      </c>
      <c r="AF2246" s="2">
        <v>23</v>
      </c>
      <c r="AG2246" s="2">
        <v>1</v>
      </c>
      <c r="AH2246" s="3" t="s">
        <v>2194</v>
      </c>
      <c r="AI2246" s="4">
        <v>45056</v>
      </c>
      <c r="AJ2246" s="3" t="s">
        <v>2363</v>
      </c>
      <c r="AK2246" s="3" t="s">
        <v>38</v>
      </c>
    </row>
    <row r="2247" spans="1:37" hidden="1" x14ac:dyDescent="0.25">
      <c r="A2247" t="str">
        <f t="shared" si="35"/>
        <v>2023_SA_Pinery_Lentil_DetailedTOS1VarietyKelpieXTWaterTrtRainFed</v>
      </c>
      <c r="B2247" s="2">
        <v>2023024</v>
      </c>
      <c r="C2247" s="3" t="s">
        <v>2324</v>
      </c>
      <c r="D2247" s="3" t="s">
        <v>38</v>
      </c>
      <c r="F2247" s="3" t="s">
        <v>4188</v>
      </c>
      <c r="G2247" s="3" t="s">
        <v>43</v>
      </c>
      <c r="H2247" s="3" t="s">
        <v>250</v>
      </c>
      <c r="I2247" s="2">
        <v>40</v>
      </c>
      <c r="J2247" s="2">
        <v>20</v>
      </c>
      <c r="K2247" s="2">
        <v>2</v>
      </c>
      <c r="O2247" s="2">
        <v>5</v>
      </c>
      <c r="U2247" s="2">
        <v>4</v>
      </c>
      <c r="V2247" s="2">
        <v>19</v>
      </c>
      <c r="W2247" s="2">
        <v>4</v>
      </c>
      <c r="X2247" s="2">
        <v>10</v>
      </c>
      <c r="Z2247" s="2">
        <v>37</v>
      </c>
      <c r="AA2247" s="3" t="s">
        <v>40</v>
      </c>
      <c r="AB2247" s="2">
        <v>4</v>
      </c>
      <c r="AF2247" s="2">
        <v>23</v>
      </c>
      <c r="AG2247" s="2">
        <v>1</v>
      </c>
      <c r="AH2247" s="3" t="s">
        <v>2194</v>
      </c>
      <c r="AI2247" s="4">
        <v>45056</v>
      </c>
      <c r="AJ2247" s="3" t="s">
        <v>2364</v>
      </c>
      <c r="AK2247" s="3" t="s">
        <v>38</v>
      </c>
    </row>
    <row r="2248" spans="1:37" hidden="1" x14ac:dyDescent="0.25">
      <c r="A2248" t="str">
        <f t="shared" si="35"/>
        <v>2023_SA_Pinery_Lentil_DetailedTOS1VarietyKelpieXTWaterTrtIrrigated</v>
      </c>
      <c r="B2248" s="2">
        <v>2023024</v>
      </c>
      <c r="C2248" s="3" t="s">
        <v>2324</v>
      </c>
      <c r="D2248" s="3" t="s">
        <v>38</v>
      </c>
      <c r="F2248" s="3" t="s">
        <v>4188</v>
      </c>
      <c r="G2248" s="3" t="s">
        <v>43</v>
      </c>
      <c r="H2248" s="3" t="s">
        <v>253</v>
      </c>
      <c r="I2248" s="2">
        <v>41</v>
      </c>
      <c r="J2248" s="2">
        <v>21</v>
      </c>
      <c r="K2248" s="2">
        <v>2</v>
      </c>
      <c r="O2248" s="2">
        <v>6</v>
      </c>
      <c r="U2248" s="2">
        <v>1</v>
      </c>
      <c r="V2248" s="2">
        <v>22</v>
      </c>
      <c r="W2248" s="2">
        <v>1</v>
      </c>
      <c r="X2248" s="2">
        <v>11</v>
      </c>
      <c r="AA2248" s="3" t="s">
        <v>57</v>
      </c>
      <c r="AB2248" s="2">
        <v>4</v>
      </c>
      <c r="AF2248" s="2">
        <v>23</v>
      </c>
      <c r="AG2248" s="2">
        <v>1</v>
      </c>
      <c r="AH2248" s="3" t="s">
        <v>2194</v>
      </c>
      <c r="AI2248" s="4">
        <v>45056</v>
      </c>
      <c r="AJ2248" s="3" t="s">
        <v>2365</v>
      </c>
      <c r="AK2248" s="3" t="s">
        <v>38</v>
      </c>
    </row>
    <row r="2249" spans="1:37" hidden="1" x14ac:dyDescent="0.25">
      <c r="A2249" t="str">
        <f t="shared" si="35"/>
        <v>2023_SA_Pinery_Lentil_DetailedTOS1VarietyKelpieXTWaterTrtIrrigated</v>
      </c>
      <c r="B2249" s="2">
        <v>2023024</v>
      </c>
      <c r="C2249" s="3" t="s">
        <v>2324</v>
      </c>
      <c r="D2249" s="3" t="s">
        <v>38</v>
      </c>
      <c r="F2249" s="3" t="s">
        <v>4188</v>
      </c>
      <c r="G2249" s="3" t="s">
        <v>43</v>
      </c>
      <c r="H2249" s="3" t="s">
        <v>250</v>
      </c>
      <c r="I2249" s="2">
        <v>42</v>
      </c>
      <c r="J2249" s="2">
        <v>21</v>
      </c>
      <c r="K2249" s="2">
        <v>2</v>
      </c>
      <c r="O2249" s="2">
        <v>6</v>
      </c>
      <c r="U2249" s="2">
        <v>2</v>
      </c>
      <c r="V2249" s="2">
        <v>22</v>
      </c>
      <c r="W2249" s="2">
        <v>2</v>
      </c>
      <c r="X2249" s="2">
        <v>11</v>
      </c>
      <c r="Z2249" s="2">
        <v>42</v>
      </c>
      <c r="AA2249" s="3" t="s">
        <v>57</v>
      </c>
      <c r="AB2249" s="2">
        <v>4</v>
      </c>
      <c r="AF2249" s="2">
        <v>23</v>
      </c>
      <c r="AG2249" s="2">
        <v>1</v>
      </c>
      <c r="AH2249" s="3" t="s">
        <v>2194</v>
      </c>
      <c r="AI2249" s="4">
        <v>45056</v>
      </c>
      <c r="AJ2249" s="3" t="s">
        <v>2366</v>
      </c>
      <c r="AK2249" s="3" t="s">
        <v>38</v>
      </c>
    </row>
    <row r="2250" spans="1:37" hidden="1" x14ac:dyDescent="0.25">
      <c r="A2250" t="str">
        <f t="shared" si="35"/>
        <v>2023_SA_Pinery_Lentil_DetailedTOS1VarietyBoltWaterTrtIrrigated</v>
      </c>
      <c r="B2250" s="2">
        <v>2023024</v>
      </c>
      <c r="C2250" s="3" t="s">
        <v>2324</v>
      </c>
      <c r="D2250" s="3" t="s">
        <v>38</v>
      </c>
      <c r="F2250" s="3" t="s">
        <v>4187</v>
      </c>
      <c r="G2250" s="3" t="s">
        <v>39</v>
      </c>
      <c r="H2250" s="3" t="s">
        <v>253</v>
      </c>
      <c r="I2250" s="2">
        <v>43</v>
      </c>
      <c r="J2250" s="2">
        <v>22</v>
      </c>
      <c r="K2250" s="2">
        <v>2</v>
      </c>
      <c r="O2250" s="2">
        <v>6</v>
      </c>
      <c r="U2250" s="2">
        <v>3</v>
      </c>
      <c r="V2250" s="2">
        <v>22</v>
      </c>
      <c r="W2250" s="2">
        <v>3</v>
      </c>
      <c r="X2250" s="2">
        <v>11</v>
      </c>
      <c r="AA2250" s="3" t="s">
        <v>57</v>
      </c>
      <c r="AB2250" s="2">
        <v>1</v>
      </c>
      <c r="AF2250" s="2">
        <v>23</v>
      </c>
      <c r="AG2250" s="2">
        <v>1</v>
      </c>
      <c r="AH2250" s="3" t="s">
        <v>2194</v>
      </c>
      <c r="AI2250" s="4">
        <v>45056</v>
      </c>
      <c r="AJ2250" s="3" t="s">
        <v>2367</v>
      </c>
      <c r="AK2250" s="3" t="s">
        <v>38</v>
      </c>
    </row>
    <row r="2251" spans="1:37" hidden="1" x14ac:dyDescent="0.25">
      <c r="A2251" t="str">
        <f t="shared" si="35"/>
        <v>2023_SA_Pinery_Lentil_DetailedTOS1VarietyBoltWaterTrtIrrigated</v>
      </c>
      <c r="B2251" s="2">
        <v>2023024</v>
      </c>
      <c r="C2251" s="3" t="s">
        <v>2324</v>
      </c>
      <c r="D2251" s="3" t="s">
        <v>38</v>
      </c>
      <c r="F2251" s="3" t="s">
        <v>4187</v>
      </c>
      <c r="G2251" s="3" t="s">
        <v>39</v>
      </c>
      <c r="H2251" s="3" t="s">
        <v>250</v>
      </c>
      <c r="I2251" s="2">
        <v>44</v>
      </c>
      <c r="J2251" s="2">
        <v>22</v>
      </c>
      <c r="K2251" s="2">
        <v>2</v>
      </c>
      <c r="O2251" s="2">
        <v>6</v>
      </c>
      <c r="U2251" s="2">
        <v>4</v>
      </c>
      <c r="V2251" s="2">
        <v>22</v>
      </c>
      <c r="W2251" s="2">
        <v>4</v>
      </c>
      <c r="X2251" s="2">
        <v>11</v>
      </c>
      <c r="Z2251" s="2">
        <v>44</v>
      </c>
      <c r="AA2251" s="3" t="s">
        <v>57</v>
      </c>
      <c r="AB2251" s="2">
        <v>1</v>
      </c>
      <c r="AF2251" s="2">
        <v>23</v>
      </c>
      <c r="AG2251" s="2">
        <v>1</v>
      </c>
      <c r="AH2251" s="3" t="s">
        <v>2194</v>
      </c>
      <c r="AI2251" s="4">
        <v>45056</v>
      </c>
      <c r="AJ2251" s="3" t="s">
        <v>2368</v>
      </c>
      <c r="AK2251" s="3" t="s">
        <v>38</v>
      </c>
    </row>
    <row r="2252" spans="1:37" hidden="1" x14ac:dyDescent="0.25">
      <c r="A2252" t="str">
        <f t="shared" si="35"/>
        <v>2023_SA_Pinery_Lentil_DetailedTOS1VarietyHallmarkXTWaterTrtIrrigated</v>
      </c>
      <c r="B2252" s="2">
        <v>2023024</v>
      </c>
      <c r="C2252" s="3" t="s">
        <v>2324</v>
      </c>
      <c r="D2252" s="3" t="s">
        <v>38</v>
      </c>
      <c r="F2252" s="3" t="s">
        <v>4189</v>
      </c>
      <c r="G2252" s="3" t="s">
        <v>39</v>
      </c>
      <c r="H2252" s="3" t="s">
        <v>253</v>
      </c>
      <c r="I2252" s="2">
        <v>45</v>
      </c>
      <c r="J2252" s="2">
        <v>23</v>
      </c>
      <c r="K2252" s="2">
        <v>2</v>
      </c>
      <c r="O2252" s="2">
        <v>6</v>
      </c>
      <c r="U2252" s="2">
        <v>1</v>
      </c>
      <c r="V2252" s="2">
        <v>23</v>
      </c>
      <c r="W2252" s="2">
        <v>1</v>
      </c>
      <c r="X2252" s="2">
        <v>12</v>
      </c>
      <c r="AA2252" s="3" t="s">
        <v>57</v>
      </c>
      <c r="AB2252" s="2">
        <v>2</v>
      </c>
      <c r="AF2252" s="2">
        <v>23</v>
      </c>
      <c r="AG2252" s="2">
        <v>1</v>
      </c>
      <c r="AH2252" s="3" t="s">
        <v>2194</v>
      </c>
      <c r="AI2252" s="4">
        <v>45056</v>
      </c>
      <c r="AJ2252" s="3" t="s">
        <v>2369</v>
      </c>
      <c r="AK2252" s="3" t="s">
        <v>38</v>
      </c>
    </row>
    <row r="2253" spans="1:37" hidden="1" x14ac:dyDescent="0.25">
      <c r="A2253" t="str">
        <f t="shared" si="35"/>
        <v>2023_SA_Pinery_Lentil_DetailedTOS1VarietyHallmarkXTWaterTrtIrrigated</v>
      </c>
      <c r="B2253" s="2">
        <v>2023024</v>
      </c>
      <c r="C2253" s="3" t="s">
        <v>2324</v>
      </c>
      <c r="D2253" s="3" t="s">
        <v>38</v>
      </c>
      <c r="F2253" s="3" t="s">
        <v>4189</v>
      </c>
      <c r="G2253" s="3" t="s">
        <v>39</v>
      </c>
      <c r="H2253" s="3" t="s">
        <v>250</v>
      </c>
      <c r="I2253" s="2">
        <v>46</v>
      </c>
      <c r="J2253" s="2">
        <v>23</v>
      </c>
      <c r="K2253" s="2">
        <v>2</v>
      </c>
      <c r="O2253" s="2">
        <v>6</v>
      </c>
      <c r="U2253" s="2">
        <v>2</v>
      </c>
      <c r="V2253" s="2">
        <v>23</v>
      </c>
      <c r="W2253" s="2">
        <v>2</v>
      </c>
      <c r="X2253" s="2">
        <v>12</v>
      </c>
      <c r="Z2253" s="2">
        <v>47</v>
      </c>
      <c r="AA2253" s="3" t="s">
        <v>57</v>
      </c>
      <c r="AB2253" s="2">
        <v>2</v>
      </c>
      <c r="AF2253" s="2">
        <v>23</v>
      </c>
      <c r="AG2253" s="2">
        <v>1</v>
      </c>
      <c r="AH2253" s="3" t="s">
        <v>2194</v>
      </c>
      <c r="AI2253" s="4">
        <v>45056</v>
      </c>
      <c r="AJ2253" s="3" t="s">
        <v>2370</v>
      </c>
      <c r="AK2253" s="3" t="s">
        <v>38</v>
      </c>
    </row>
    <row r="2254" spans="1:37" hidden="1" x14ac:dyDescent="0.25">
      <c r="A2254" t="str">
        <f t="shared" si="35"/>
        <v>2023_SA_Pinery_Lentil_DetailedTOS1VarietyJumbo2WaterTrtIrrigated</v>
      </c>
      <c r="B2254" s="2">
        <v>2023024</v>
      </c>
      <c r="C2254" s="3" t="s">
        <v>2324</v>
      </c>
      <c r="D2254" s="3" t="s">
        <v>38</v>
      </c>
      <c r="F2254" s="3" t="s">
        <v>4176</v>
      </c>
      <c r="G2254" s="3" t="s">
        <v>43</v>
      </c>
      <c r="H2254" s="3" t="s">
        <v>253</v>
      </c>
      <c r="I2254" s="2">
        <v>47</v>
      </c>
      <c r="J2254" s="2">
        <v>24</v>
      </c>
      <c r="K2254" s="2">
        <v>2</v>
      </c>
      <c r="O2254" s="2">
        <v>6</v>
      </c>
      <c r="U2254" s="2">
        <v>3</v>
      </c>
      <c r="V2254" s="2">
        <v>23</v>
      </c>
      <c r="W2254" s="2">
        <v>3</v>
      </c>
      <c r="X2254" s="2">
        <v>12</v>
      </c>
      <c r="AA2254" s="3" t="s">
        <v>57</v>
      </c>
      <c r="AB2254" s="2">
        <v>3</v>
      </c>
      <c r="AF2254" s="2">
        <v>23</v>
      </c>
      <c r="AG2254" s="2">
        <v>1</v>
      </c>
      <c r="AH2254" s="3" t="s">
        <v>2194</v>
      </c>
      <c r="AI2254" s="4">
        <v>45056</v>
      </c>
      <c r="AJ2254" s="3" t="s">
        <v>2371</v>
      </c>
      <c r="AK2254" s="3" t="s">
        <v>38</v>
      </c>
    </row>
    <row r="2255" spans="1:37" hidden="1" x14ac:dyDescent="0.25">
      <c r="A2255" t="str">
        <f t="shared" si="35"/>
        <v>2023_SA_Pinery_Lentil_DetailedTOS1VarietyJumbo2WaterTrtIrrigated</v>
      </c>
      <c r="B2255" s="2">
        <v>2023024</v>
      </c>
      <c r="C2255" s="3" t="s">
        <v>2324</v>
      </c>
      <c r="D2255" s="3" t="s">
        <v>38</v>
      </c>
      <c r="F2255" s="3" t="s">
        <v>4176</v>
      </c>
      <c r="G2255" s="3" t="s">
        <v>43</v>
      </c>
      <c r="H2255" s="3" t="s">
        <v>250</v>
      </c>
      <c r="I2255" s="2">
        <v>48</v>
      </c>
      <c r="J2255" s="2">
        <v>24</v>
      </c>
      <c r="K2255" s="2">
        <v>2</v>
      </c>
      <c r="O2255" s="2">
        <v>6</v>
      </c>
      <c r="U2255" s="2">
        <v>4</v>
      </c>
      <c r="V2255" s="2">
        <v>23</v>
      </c>
      <c r="W2255" s="2">
        <v>4</v>
      </c>
      <c r="X2255" s="2">
        <v>12</v>
      </c>
      <c r="Z2255" s="2">
        <v>45</v>
      </c>
      <c r="AA2255" s="3" t="s">
        <v>57</v>
      </c>
      <c r="AB2255" s="2">
        <v>3</v>
      </c>
      <c r="AF2255" s="2">
        <v>23</v>
      </c>
      <c r="AG2255" s="2">
        <v>1</v>
      </c>
      <c r="AH2255" s="3" t="s">
        <v>2194</v>
      </c>
      <c r="AI2255" s="4">
        <v>45056</v>
      </c>
      <c r="AJ2255" s="3" t="s">
        <v>2372</v>
      </c>
      <c r="AK2255" s="3" t="s">
        <v>38</v>
      </c>
    </row>
    <row r="2256" spans="1:37" hidden="1" x14ac:dyDescent="0.25">
      <c r="A2256" t="str">
        <f t="shared" si="35"/>
        <v>2023_SA_Pinery_Lentil_DetailedTOS2VarietyJumbo2WaterTrtRainFed</v>
      </c>
      <c r="B2256" s="2">
        <v>2023024</v>
      </c>
      <c r="C2256" s="3" t="s">
        <v>2324</v>
      </c>
      <c r="D2256" s="3" t="s">
        <v>38</v>
      </c>
      <c r="F2256" s="3" t="s">
        <v>4176</v>
      </c>
      <c r="G2256" s="3" t="s">
        <v>43</v>
      </c>
      <c r="H2256" s="3" t="s">
        <v>253</v>
      </c>
      <c r="I2256" s="2">
        <v>49</v>
      </c>
      <c r="J2256" s="2">
        <v>25</v>
      </c>
      <c r="K2256" s="2">
        <v>2</v>
      </c>
      <c r="O2256" s="2">
        <v>7</v>
      </c>
      <c r="U2256" s="2">
        <v>1</v>
      </c>
      <c r="V2256" s="2">
        <v>26</v>
      </c>
      <c r="W2256" s="2">
        <v>1</v>
      </c>
      <c r="X2256" s="2">
        <v>13</v>
      </c>
      <c r="AA2256" s="3" t="s">
        <v>40</v>
      </c>
      <c r="AB2256" s="2">
        <v>3</v>
      </c>
      <c r="AF2256" s="2">
        <v>23</v>
      </c>
      <c r="AG2256" s="2">
        <v>2</v>
      </c>
      <c r="AH2256" s="3" t="s">
        <v>2211</v>
      </c>
      <c r="AI2256" s="4">
        <v>45105</v>
      </c>
      <c r="AJ2256" s="3" t="s">
        <v>2373</v>
      </c>
      <c r="AK2256" s="3" t="s">
        <v>38</v>
      </c>
    </row>
    <row r="2257" spans="1:37" hidden="1" x14ac:dyDescent="0.25">
      <c r="A2257" t="str">
        <f t="shared" si="35"/>
        <v>2023_SA_Pinery_Lentil_DetailedTOS2VarietyJumbo2WaterTrtRainFed</v>
      </c>
      <c r="B2257" s="2">
        <v>2023024</v>
      </c>
      <c r="C2257" s="3" t="s">
        <v>2324</v>
      </c>
      <c r="D2257" s="3" t="s">
        <v>38</v>
      </c>
      <c r="F2257" s="3" t="s">
        <v>4176</v>
      </c>
      <c r="G2257" s="3" t="s">
        <v>43</v>
      </c>
      <c r="H2257" s="3" t="s">
        <v>250</v>
      </c>
      <c r="I2257" s="2">
        <v>50</v>
      </c>
      <c r="J2257" s="2">
        <v>25</v>
      </c>
      <c r="K2257" s="2">
        <v>2</v>
      </c>
      <c r="O2257" s="2">
        <v>7</v>
      </c>
      <c r="U2257" s="2">
        <v>2</v>
      </c>
      <c r="V2257" s="2">
        <v>26</v>
      </c>
      <c r="W2257" s="2">
        <v>2</v>
      </c>
      <c r="X2257" s="2">
        <v>13</v>
      </c>
      <c r="Z2257" s="2">
        <v>50</v>
      </c>
      <c r="AA2257" s="3" t="s">
        <v>40</v>
      </c>
      <c r="AB2257" s="2">
        <v>3</v>
      </c>
      <c r="AF2257" s="2">
        <v>23</v>
      </c>
      <c r="AG2257" s="2">
        <v>2</v>
      </c>
      <c r="AH2257" s="3" t="s">
        <v>2211</v>
      </c>
      <c r="AI2257" s="4">
        <v>45105</v>
      </c>
      <c r="AJ2257" s="3" t="s">
        <v>2374</v>
      </c>
      <c r="AK2257" s="3" t="s">
        <v>38</v>
      </c>
    </row>
    <row r="2258" spans="1:37" hidden="1" x14ac:dyDescent="0.25">
      <c r="A2258" t="str">
        <f t="shared" si="35"/>
        <v>2023_SA_Pinery_Lentil_DetailedTOS2VarietyHallmarkXTWaterTrtRainFed</v>
      </c>
      <c r="B2258" s="2">
        <v>2023024</v>
      </c>
      <c r="C2258" s="3" t="s">
        <v>2324</v>
      </c>
      <c r="D2258" s="3" t="s">
        <v>38</v>
      </c>
      <c r="F2258" s="3" t="s">
        <v>4189</v>
      </c>
      <c r="G2258" s="3" t="s">
        <v>39</v>
      </c>
      <c r="H2258" s="3" t="s">
        <v>253</v>
      </c>
      <c r="I2258" s="2">
        <v>51</v>
      </c>
      <c r="J2258" s="2">
        <v>26</v>
      </c>
      <c r="K2258" s="2">
        <v>2</v>
      </c>
      <c r="O2258" s="2">
        <v>7</v>
      </c>
      <c r="U2258" s="2">
        <v>3</v>
      </c>
      <c r="V2258" s="2">
        <v>26</v>
      </c>
      <c r="W2258" s="2">
        <v>3</v>
      </c>
      <c r="X2258" s="2">
        <v>13</v>
      </c>
      <c r="AA2258" s="3" t="s">
        <v>40</v>
      </c>
      <c r="AB2258" s="2">
        <v>2</v>
      </c>
      <c r="AF2258" s="2">
        <v>23</v>
      </c>
      <c r="AG2258" s="2">
        <v>2</v>
      </c>
      <c r="AH2258" s="3" t="s">
        <v>2211</v>
      </c>
      <c r="AI2258" s="4">
        <v>45105</v>
      </c>
      <c r="AJ2258" s="3" t="s">
        <v>2375</v>
      </c>
      <c r="AK2258" s="3" t="s">
        <v>38</v>
      </c>
    </row>
    <row r="2259" spans="1:37" hidden="1" x14ac:dyDescent="0.25">
      <c r="A2259" t="str">
        <f t="shared" si="35"/>
        <v>2023_SA_Pinery_Lentil_DetailedTOS2VarietyHallmarkXTWaterTrtRainFed</v>
      </c>
      <c r="B2259" s="2">
        <v>2023024</v>
      </c>
      <c r="C2259" s="3" t="s">
        <v>2324</v>
      </c>
      <c r="D2259" s="3" t="s">
        <v>38</v>
      </c>
      <c r="F2259" s="3" t="s">
        <v>4189</v>
      </c>
      <c r="G2259" s="3" t="s">
        <v>39</v>
      </c>
      <c r="H2259" s="3" t="s">
        <v>250</v>
      </c>
      <c r="I2259" s="2">
        <v>52</v>
      </c>
      <c r="J2259" s="2">
        <v>26</v>
      </c>
      <c r="K2259" s="2">
        <v>2</v>
      </c>
      <c r="O2259" s="2">
        <v>7</v>
      </c>
      <c r="U2259" s="2">
        <v>4</v>
      </c>
      <c r="V2259" s="2">
        <v>26</v>
      </c>
      <c r="W2259" s="2">
        <v>4</v>
      </c>
      <c r="X2259" s="2">
        <v>13</v>
      </c>
      <c r="Z2259" s="2">
        <v>52</v>
      </c>
      <c r="AA2259" s="3" t="s">
        <v>40</v>
      </c>
      <c r="AB2259" s="2">
        <v>2</v>
      </c>
      <c r="AF2259" s="2">
        <v>23</v>
      </c>
      <c r="AG2259" s="2">
        <v>2</v>
      </c>
      <c r="AH2259" s="3" t="s">
        <v>2211</v>
      </c>
      <c r="AI2259" s="4">
        <v>45105</v>
      </c>
      <c r="AJ2259" s="3" t="s">
        <v>2376</v>
      </c>
      <c r="AK2259" s="3" t="s">
        <v>38</v>
      </c>
    </row>
    <row r="2260" spans="1:37" hidden="1" x14ac:dyDescent="0.25">
      <c r="A2260" t="str">
        <f t="shared" si="35"/>
        <v>2023_SA_Pinery_Lentil_DetailedTOS2VarietyKelpieXTWaterTrtRainFed</v>
      </c>
      <c r="B2260" s="2">
        <v>2023024</v>
      </c>
      <c r="C2260" s="3" t="s">
        <v>2324</v>
      </c>
      <c r="D2260" s="3" t="s">
        <v>38</v>
      </c>
      <c r="F2260" s="3" t="s">
        <v>4188</v>
      </c>
      <c r="G2260" s="3" t="s">
        <v>43</v>
      </c>
      <c r="H2260" s="3" t="s">
        <v>253</v>
      </c>
      <c r="I2260" s="2">
        <v>53</v>
      </c>
      <c r="J2260" s="2">
        <v>27</v>
      </c>
      <c r="K2260" s="2">
        <v>2</v>
      </c>
      <c r="O2260" s="2">
        <v>7</v>
      </c>
      <c r="U2260" s="2">
        <v>1</v>
      </c>
      <c r="V2260" s="2">
        <v>27</v>
      </c>
      <c r="W2260" s="2">
        <v>1</v>
      </c>
      <c r="X2260" s="2">
        <v>14</v>
      </c>
      <c r="AA2260" s="3" t="s">
        <v>40</v>
      </c>
      <c r="AB2260" s="2">
        <v>4</v>
      </c>
      <c r="AF2260" s="2">
        <v>23</v>
      </c>
      <c r="AG2260" s="2">
        <v>2</v>
      </c>
      <c r="AH2260" s="3" t="s">
        <v>2211</v>
      </c>
      <c r="AI2260" s="4">
        <v>45105</v>
      </c>
      <c r="AJ2260" s="3" t="s">
        <v>2377</v>
      </c>
      <c r="AK2260" s="3" t="s">
        <v>38</v>
      </c>
    </row>
    <row r="2261" spans="1:37" hidden="1" x14ac:dyDescent="0.25">
      <c r="A2261" t="str">
        <f t="shared" si="35"/>
        <v>2023_SA_Pinery_Lentil_DetailedTOS2VarietyKelpieXTWaterTrtRainFed</v>
      </c>
      <c r="B2261" s="2">
        <v>2023024</v>
      </c>
      <c r="C2261" s="3" t="s">
        <v>2324</v>
      </c>
      <c r="D2261" s="3" t="s">
        <v>38</v>
      </c>
      <c r="F2261" s="3" t="s">
        <v>4188</v>
      </c>
      <c r="G2261" s="3" t="s">
        <v>43</v>
      </c>
      <c r="H2261" s="3" t="s">
        <v>250</v>
      </c>
      <c r="I2261" s="2">
        <v>54</v>
      </c>
      <c r="J2261" s="2">
        <v>27</v>
      </c>
      <c r="K2261" s="2">
        <v>2</v>
      </c>
      <c r="O2261" s="2">
        <v>7</v>
      </c>
      <c r="U2261" s="2">
        <v>2</v>
      </c>
      <c r="V2261" s="2">
        <v>27</v>
      </c>
      <c r="W2261" s="2">
        <v>2</v>
      </c>
      <c r="X2261" s="2">
        <v>14</v>
      </c>
      <c r="Z2261" s="2">
        <v>55</v>
      </c>
      <c r="AA2261" s="3" t="s">
        <v>40</v>
      </c>
      <c r="AB2261" s="2">
        <v>4</v>
      </c>
      <c r="AF2261" s="2">
        <v>23</v>
      </c>
      <c r="AG2261" s="2">
        <v>2</v>
      </c>
      <c r="AH2261" s="3" t="s">
        <v>2211</v>
      </c>
      <c r="AI2261" s="4">
        <v>45105</v>
      </c>
      <c r="AJ2261" s="3" t="s">
        <v>2378</v>
      </c>
      <c r="AK2261" s="3" t="s">
        <v>38</v>
      </c>
    </row>
    <row r="2262" spans="1:37" hidden="1" x14ac:dyDescent="0.25">
      <c r="A2262" t="str">
        <f t="shared" si="35"/>
        <v>2023_SA_Pinery_Lentil_DetailedTOS2VarietyBoltWaterTrtRainFed</v>
      </c>
      <c r="B2262" s="2">
        <v>2023024</v>
      </c>
      <c r="C2262" s="3" t="s">
        <v>2324</v>
      </c>
      <c r="D2262" s="3" t="s">
        <v>38</v>
      </c>
      <c r="F2262" s="3" t="s">
        <v>4187</v>
      </c>
      <c r="G2262" s="3" t="s">
        <v>39</v>
      </c>
      <c r="H2262" s="3" t="s">
        <v>253</v>
      </c>
      <c r="I2262" s="2">
        <v>55</v>
      </c>
      <c r="J2262" s="2">
        <v>28</v>
      </c>
      <c r="K2262" s="2">
        <v>2</v>
      </c>
      <c r="O2262" s="2">
        <v>7</v>
      </c>
      <c r="U2262" s="2">
        <v>3</v>
      </c>
      <c r="V2262" s="2">
        <v>27</v>
      </c>
      <c r="W2262" s="2">
        <v>3</v>
      </c>
      <c r="X2262" s="2">
        <v>14</v>
      </c>
      <c r="AA2262" s="3" t="s">
        <v>40</v>
      </c>
      <c r="AB2262" s="2">
        <v>1</v>
      </c>
      <c r="AF2262" s="2">
        <v>23</v>
      </c>
      <c r="AG2262" s="2">
        <v>2</v>
      </c>
      <c r="AH2262" s="3" t="s">
        <v>2211</v>
      </c>
      <c r="AI2262" s="4">
        <v>45105</v>
      </c>
      <c r="AJ2262" s="3" t="s">
        <v>2379</v>
      </c>
      <c r="AK2262" s="3" t="s">
        <v>38</v>
      </c>
    </row>
    <row r="2263" spans="1:37" hidden="1" x14ac:dyDescent="0.25">
      <c r="A2263" t="str">
        <f t="shared" si="35"/>
        <v>2023_SA_Pinery_Lentil_DetailedTOS2VarietyBoltWaterTrtRainFed</v>
      </c>
      <c r="B2263" s="2">
        <v>2023024</v>
      </c>
      <c r="C2263" s="3" t="s">
        <v>2324</v>
      </c>
      <c r="D2263" s="3" t="s">
        <v>38</v>
      </c>
      <c r="F2263" s="3" t="s">
        <v>4187</v>
      </c>
      <c r="G2263" s="3" t="s">
        <v>39</v>
      </c>
      <c r="H2263" s="3" t="s">
        <v>250</v>
      </c>
      <c r="I2263" s="2">
        <v>56</v>
      </c>
      <c r="J2263" s="2">
        <v>28</v>
      </c>
      <c r="K2263" s="2">
        <v>2</v>
      </c>
      <c r="O2263" s="2">
        <v>7</v>
      </c>
      <c r="U2263" s="2">
        <v>4</v>
      </c>
      <c r="V2263" s="2">
        <v>27</v>
      </c>
      <c r="W2263" s="2">
        <v>4</v>
      </c>
      <c r="X2263" s="2">
        <v>14</v>
      </c>
      <c r="Z2263" s="2">
        <v>53</v>
      </c>
      <c r="AA2263" s="3" t="s">
        <v>40</v>
      </c>
      <c r="AB2263" s="2">
        <v>1</v>
      </c>
      <c r="AF2263" s="2">
        <v>23</v>
      </c>
      <c r="AG2263" s="2">
        <v>2</v>
      </c>
      <c r="AH2263" s="3" t="s">
        <v>2211</v>
      </c>
      <c r="AI2263" s="4">
        <v>45105</v>
      </c>
      <c r="AJ2263" s="3" t="s">
        <v>2380</v>
      </c>
      <c r="AK2263" s="3" t="s">
        <v>38</v>
      </c>
    </row>
    <row r="2264" spans="1:37" hidden="1" x14ac:dyDescent="0.25">
      <c r="A2264" t="str">
        <f t="shared" si="35"/>
        <v>2023_SA_Pinery_Lentil_DetailedTOS2VarietyBoltWaterTrtIrrigated</v>
      </c>
      <c r="B2264" s="2">
        <v>2023024</v>
      </c>
      <c r="C2264" s="3" t="s">
        <v>2324</v>
      </c>
      <c r="D2264" s="3" t="s">
        <v>38</v>
      </c>
      <c r="F2264" s="3" t="s">
        <v>4187</v>
      </c>
      <c r="G2264" s="3" t="s">
        <v>39</v>
      </c>
      <c r="H2264" s="3" t="s">
        <v>253</v>
      </c>
      <c r="I2264" s="2">
        <v>57</v>
      </c>
      <c r="J2264" s="2">
        <v>29</v>
      </c>
      <c r="K2264" s="2">
        <v>2</v>
      </c>
      <c r="O2264" s="2">
        <v>8</v>
      </c>
      <c r="U2264" s="2">
        <v>1</v>
      </c>
      <c r="V2264" s="2">
        <v>30</v>
      </c>
      <c r="W2264" s="2">
        <v>1</v>
      </c>
      <c r="X2264" s="2">
        <v>15</v>
      </c>
      <c r="AA2264" s="3" t="s">
        <v>57</v>
      </c>
      <c r="AB2264" s="2">
        <v>1</v>
      </c>
      <c r="AF2264" s="2">
        <v>23</v>
      </c>
      <c r="AG2264" s="2">
        <v>2</v>
      </c>
      <c r="AH2264" s="3" t="s">
        <v>2211</v>
      </c>
      <c r="AI2264" s="4">
        <v>45105</v>
      </c>
      <c r="AJ2264" s="3" t="s">
        <v>2381</v>
      </c>
      <c r="AK2264" s="3" t="s">
        <v>38</v>
      </c>
    </row>
    <row r="2265" spans="1:37" hidden="1" x14ac:dyDescent="0.25">
      <c r="A2265" t="str">
        <f t="shared" si="35"/>
        <v>2023_SA_Pinery_Lentil_DetailedTOS2VarietyBoltWaterTrtIrrigated</v>
      </c>
      <c r="B2265" s="2">
        <v>2023024</v>
      </c>
      <c r="C2265" s="3" t="s">
        <v>2324</v>
      </c>
      <c r="D2265" s="3" t="s">
        <v>38</v>
      </c>
      <c r="F2265" s="3" t="s">
        <v>4187</v>
      </c>
      <c r="G2265" s="3" t="s">
        <v>39</v>
      </c>
      <c r="H2265" s="3" t="s">
        <v>250</v>
      </c>
      <c r="I2265" s="2">
        <v>58</v>
      </c>
      <c r="J2265" s="2">
        <v>29</v>
      </c>
      <c r="K2265" s="2">
        <v>2</v>
      </c>
      <c r="O2265" s="2">
        <v>8</v>
      </c>
      <c r="U2265" s="2">
        <v>2</v>
      </c>
      <c r="V2265" s="2">
        <v>30</v>
      </c>
      <c r="W2265" s="2">
        <v>2</v>
      </c>
      <c r="X2265" s="2">
        <v>15</v>
      </c>
      <c r="Z2265" s="2">
        <v>58</v>
      </c>
      <c r="AA2265" s="3" t="s">
        <v>57</v>
      </c>
      <c r="AB2265" s="2">
        <v>1</v>
      </c>
      <c r="AF2265" s="2">
        <v>23</v>
      </c>
      <c r="AG2265" s="2">
        <v>2</v>
      </c>
      <c r="AH2265" s="3" t="s">
        <v>2211</v>
      </c>
      <c r="AI2265" s="4">
        <v>45105</v>
      </c>
      <c r="AJ2265" s="3" t="s">
        <v>2382</v>
      </c>
      <c r="AK2265" s="3" t="s">
        <v>38</v>
      </c>
    </row>
    <row r="2266" spans="1:37" hidden="1" x14ac:dyDescent="0.25">
      <c r="A2266" t="str">
        <f t="shared" si="35"/>
        <v>2023_SA_Pinery_Lentil_DetailedTOS2VarietyKelpieXTWaterTrtIrrigated</v>
      </c>
      <c r="B2266" s="2">
        <v>2023024</v>
      </c>
      <c r="C2266" s="3" t="s">
        <v>2324</v>
      </c>
      <c r="D2266" s="3" t="s">
        <v>38</v>
      </c>
      <c r="F2266" s="3" t="s">
        <v>4188</v>
      </c>
      <c r="G2266" s="3" t="s">
        <v>43</v>
      </c>
      <c r="H2266" s="3" t="s">
        <v>253</v>
      </c>
      <c r="I2266" s="2">
        <v>59</v>
      </c>
      <c r="J2266" s="2">
        <v>30</v>
      </c>
      <c r="K2266" s="2">
        <v>2</v>
      </c>
      <c r="O2266" s="2">
        <v>8</v>
      </c>
      <c r="U2266" s="2">
        <v>3</v>
      </c>
      <c r="V2266" s="2">
        <v>30</v>
      </c>
      <c r="W2266" s="2">
        <v>3</v>
      </c>
      <c r="X2266" s="2">
        <v>15</v>
      </c>
      <c r="AA2266" s="3" t="s">
        <v>57</v>
      </c>
      <c r="AB2266" s="2">
        <v>4</v>
      </c>
      <c r="AF2266" s="2">
        <v>23</v>
      </c>
      <c r="AG2266" s="2">
        <v>2</v>
      </c>
      <c r="AH2266" s="3" t="s">
        <v>2211</v>
      </c>
      <c r="AI2266" s="4">
        <v>45105</v>
      </c>
      <c r="AJ2266" s="3" t="s">
        <v>2383</v>
      </c>
      <c r="AK2266" s="3" t="s">
        <v>38</v>
      </c>
    </row>
    <row r="2267" spans="1:37" hidden="1" x14ac:dyDescent="0.25">
      <c r="A2267" t="str">
        <f t="shared" si="35"/>
        <v>2023_SA_Pinery_Lentil_DetailedTOS2VarietyKelpieXTWaterTrtIrrigated</v>
      </c>
      <c r="B2267" s="2">
        <v>2023024</v>
      </c>
      <c r="C2267" s="3" t="s">
        <v>2324</v>
      </c>
      <c r="D2267" s="3" t="s">
        <v>38</v>
      </c>
      <c r="F2267" s="3" t="s">
        <v>4188</v>
      </c>
      <c r="G2267" s="3" t="s">
        <v>43</v>
      </c>
      <c r="H2267" s="3" t="s">
        <v>250</v>
      </c>
      <c r="I2267" s="2">
        <v>60</v>
      </c>
      <c r="J2267" s="2">
        <v>30</v>
      </c>
      <c r="K2267" s="2">
        <v>2</v>
      </c>
      <c r="O2267" s="2">
        <v>8</v>
      </c>
      <c r="U2267" s="2">
        <v>4</v>
      </c>
      <c r="V2267" s="2">
        <v>30</v>
      </c>
      <c r="W2267" s="2">
        <v>4</v>
      </c>
      <c r="X2267" s="2">
        <v>15</v>
      </c>
      <c r="Z2267" s="2">
        <v>60</v>
      </c>
      <c r="AA2267" s="3" t="s">
        <v>57</v>
      </c>
      <c r="AB2267" s="2">
        <v>4</v>
      </c>
      <c r="AF2267" s="2">
        <v>23</v>
      </c>
      <c r="AG2267" s="2">
        <v>2</v>
      </c>
      <c r="AH2267" s="3" t="s">
        <v>2211</v>
      </c>
      <c r="AI2267" s="4">
        <v>45105</v>
      </c>
      <c r="AJ2267" s="3" t="s">
        <v>2384</v>
      </c>
      <c r="AK2267" s="3" t="s">
        <v>38</v>
      </c>
    </row>
    <row r="2268" spans="1:37" hidden="1" x14ac:dyDescent="0.25">
      <c r="A2268" t="str">
        <f t="shared" si="35"/>
        <v>2023_SA_Pinery_Lentil_DetailedTOS2VarietyJumbo2WaterTrtIrrigated</v>
      </c>
      <c r="B2268" s="2">
        <v>2023024</v>
      </c>
      <c r="C2268" s="3" t="s">
        <v>2324</v>
      </c>
      <c r="D2268" s="3" t="s">
        <v>38</v>
      </c>
      <c r="F2268" s="3" t="s">
        <v>4176</v>
      </c>
      <c r="G2268" s="3" t="s">
        <v>43</v>
      </c>
      <c r="H2268" s="3" t="s">
        <v>253</v>
      </c>
      <c r="I2268" s="2">
        <v>61</v>
      </c>
      <c r="J2268" s="2">
        <v>31</v>
      </c>
      <c r="K2268" s="2">
        <v>2</v>
      </c>
      <c r="O2268" s="2">
        <v>8</v>
      </c>
      <c r="U2268" s="2">
        <v>1</v>
      </c>
      <c r="V2268" s="2">
        <v>31</v>
      </c>
      <c r="W2268" s="2">
        <v>1</v>
      </c>
      <c r="X2268" s="2">
        <v>16</v>
      </c>
      <c r="AA2268" s="3" t="s">
        <v>57</v>
      </c>
      <c r="AB2268" s="2">
        <v>3</v>
      </c>
      <c r="AF2268" s="2">
        <v>23</v>
      </c>
      <c r="AG2268" s="2">
        <v>2</v>
      </c>
      <c r="AH2268" s="3" t="s">
        <v>2211</v>
      </c>
      <c r="AI2268" s="4">
        <v>45105</v>
      </c>
      <c r="AJ2268" s="3" t="s">
        <v>2385</v>
      </c>
      <c r="AK2268" s="3" t="s">
        <v>38</v>
      </c>
    </row>
    <row r="2269" spans="1:37" hidden="1" x14ac:dyDescent="0.25">
      <c r="A2269" t="str">
        <f t="shared" si="35"/>
        <v>2023_SA_Pinery_Lentil_DetailedTOS2VarietyJumbo2WaterTrtIrrigated</v>
      </c>
      <c r="B2269" s="2">
        <v>2023024</v>
      </c>
      <c r="C2269" s="3" t="s">
        <v>2324</v>
      </c>
      <c r="D2269" s="3" t="s">
        <v>38</v>
      </c>
      <c r="F2269" s="3" t="s">
        <v>4176</v>
      </c>
      <c r="G2269" s="3" t="s">
        <v>43</v>
      </c>
      <c r="H2269" s="3" t="s">
        <v>250</v>
      </c>
      <c r="I2269" s="2">
        <v>62</v>
      </c>
      <c r="J2269" s="2">
        <v>31</v>
      </c>
      <c r="K2269" s="2">
        <v>2</v>
      </c>
      <c r="O2269" s="2">
        <v>8</v>
      </c>
      <c r="U2269" s="2">
        <v>2</v>
      </c>
      <c r="V2269" s="2">
        <v>31</v>
      </c>
      <c r="W2269" s="2">
        <v>2</v>
      </c>
      <c r="X2269" s="2">
        <v>16</v>
      </c>
      <c r="Z2269" s="2">
        <v>63</v>
      </c>
      <c r="AA2269" s="3" t="s">
        <v>57</v>
      </c>
      <c r="AB2269" s="2">
        <v>3</v>
      </c>
      <c r="AF2269" s="2">
        <v>23</v>
      </c>
      <c r="AG2269" s="2">
        <v>2</v>
      </c>
      <c r="AH2269" s="3" t="s">
        <v>2211</v>
      </c>
      <c r="AI2269" s="4">
        <v>45105</v>
      </c>
      <c r="AJ2269" s="3" t="s">
        <v>2386</v>
      </c>
      <c r="AK2269" s="3" t="s">
        <v>38</v>
      </c>
    </row>
    <row r="2270" spans="1:37" hidden="1" x14ac:dyDescent="0.25">
      <c r="A2270" t="str">
        <f t="shared" si="35"/>
        <v>2023_SA_Pinery_Lentil_DetailedTOS2VarietyHallmarkXTWaterTrtIrrigated</v>
      </c>
      <c r="B2270" s="2">
        <v>2023024</v>
      </c>
      <c r="C2270" s="3" t="s">
        <v>2324</v>
      </c>
      <c r="D2270" s="3" t="s">
        <v>38</v>
      </c>
      <c r="F2270" s="3" t="s">
        <v>4189</v>
      </c>
      <c r="G2270" s="3" t="s">
        <v>39</v>
      </c>
      <c r="H2270" s="3" t="s">
        <v>253</v>
      </c>
      <c r="I2270" s="2">
        <v>63</v>
      </c>
      <c r="J2270" s="2">
        <v>32</v>
      </c>
      <c r="K2270" s="2">
        <v>2</v>
      </c>
      <c r="O2270" s="2">
        <v>8</v>
      </c>
      <c r="U2270" s="2">
        <v>3</v>
      </c>
      <c r="V2270" s="2">
        <v>31</v>
      </c>
      <c r="W2270" s="2">
        <v>3</v>
      </c>
      <c r="X2270" s="2">
        <v>16</v>
      </c>
      <c r="AA2270" s="3" t="s">
        <v>57</v>
      </c>
      <c r="AB2270" s="2">
        <v>2</v>
      </c>
      <c r="AF2270" s="2">
        <v>23</v>
      </c>
      <c r="AG2270" s="2">
        <v>2</v>
      </c>
      <c r="AH2270" s="3" t="s">
        <v>2211</v>
      </c>
      <c r="AI2270" s="4">
        <v>45105</v>
      </c>
      <c r="AJ2270" s="3" t="s">
        <v>2387</v>
      </c>
      <c r="AK2270" s="3" t="s">
        <v>38</v>
      </c>
    </row>
    <row r="2271" spans="1:37" hidden="1" x14ac:dyDescent="0.25">
      <c r="A2271" t="str">
        <f t="shared" si="35"/>
        <v>2023_SA_Pinery_Lentil_DetailedTOS2VarietyHallmarkXTWaterTrtIrrigated</v>
      </c>
      <c r="B2271" s="2">
        <v>2023024</v>
      </c>
      <c r="C2271" s="3" t="s">
        <v>2324</v>
      </c>
      <c r="D2271" s="3" t="s">
        <v>38</v>
      </c>
      <c r="F2271" s="3" t="s">
        <v>4189</v>
      </c>
      <c r="G2271" s="3" t="s">
        <v>39</v>
      </c>
      <c r="H2271" s="3" t="s">
        <v>250</v>
      </c>
      <c r="I2271" s="2">
        <v>64</v>
      </c>
      <c r="J2271" s="2">
        <v>32</v>
      </c>
      <c r="K2271" s="2">
        <v>2</v>
      </c>
      <c r="O2271" s="2">
        <v>8</v>
      </c>
      <c r="U2271" s="2">
        <v>4</v>
      </c>
      <c r="V2271" s="2">
        <v>31</v>
      </c>
      <c r="W2271" s="2">
        <v>4</v>
      </c>
      <c r="X2271" s="2">
        <v>16</v>
      </c>
      <c r="Z2271" s="2">
        <v>61</v>
      </c>
      <c r="AA2271" s="3" t="s">
        <v>57</v>
      </c>
      <c r="AB2271" s="2">
        <v>2</v>
      </c>
      <c r="AF2271" s="2">
        <v>23</v>
      </c>
      <c r="AG2271" s="2">
        <v>2</v>
      </c>
      <c r="AH2271" s="3" t="s">
        <v>2211</v>
      </c>
      <c r="AI2271" s="4">
        <v>45105</v>
      </c>
      <c r="AJ2271" s="3" t="s">
        <v>2388</v>
      </c>
      <c r="AK2271" s="3" t="s">
        <v>38</v>
      </c>
    </row>
    <row r="2272" spans="1:37" hidden="1" x14ac:dyDescent="0.25">
      <c r="A2272" t="str">
        <f t="shared" si="35"/>
        <v>2023_SA_Pinery_Lentil_DetailedTOS2VarietyHallmarkXTWaterTrtRainFed</v>
      </c>
      <c r="B2272" s="2">
        <v>2023024</v>
      </c>
      <c r="C2272" s="3" t="s">
        <v>2324</v>
      </c>
      <c r="D2272" s="3" t="s">
        <v>38</v>
      </c>
      <c r="F2272" s="3" t="s">
        <v>4189</v>
      </c>
      <c r="G2272" s="3" t="s">
        <v>39</v>
      </c>
      <c r="H2272" s="3" t="s">
        <v>253</v>
      </c>
      <c r="I2272" s="2">
        <v>65</v>
      </c>
      <c r="J2272" s="2">
        <v>33</v>
      </c>
      <c r="K2272" s="2">
        <v>3</v>
      </c>
      <c r="O2272" s="2">
        <v>9</v>
      </c>
      <c r="U2272" s="2">
        <v>1</v>
      </c>
      <c r="V2272" s="2">
        <v>34</v>
      </c>
      <c r="W2272" s="2">
        <v>1</v>
      </c>
      <c r="X2272" s="2">
        <v>17</v>
      </c>
      <c r="AA2272" s="3" t="s">
        <v>40</v>
      </c>
      <c r="AB2272" s="2">
        <v>2</v>
      </c>
      <c r="AF2272" s="2">
        <v>23</v>
      </c>
      <c r="AG2272" s="2">
        <v>2</v>
      </c>
      <c r="AH2272" s="3" t="s">
        <v>2211</v>
      </c>
      <c r="AI2272" s="4">
        <v>45105</v>
      </c>
      <c r="AJ2272" s="3" t="s">
        <v>2389</v>
      </c>
      <c r="AK2272" s="3" t="s">
        <v>38</v>
      </c>
    </row>
    <row r="2273" spans="1:37" hidden="1" x14ac:dyDescent="0.25">
      <c r="A2273" t="str">
        <f t="shared" si="35"/>
        <v>2023_SA_Pinery_Lentil_DetailedTOS2VarietyHallmarkXTWaterTrtRainFed</v>
      </c>
      <c r="B2273" s="2">
        <v>2023024</v>
      </c>
      <c r="C2273" s="3" t="s">
        <v>2324</v>
      </c>
      <c r="D2273" s="3" t="s">
        <v>38</v>
      </c>
      <c r="F2273" s="3" t="s">
        <v>4189</v>
      </c>
      <c r="G2273" s="3" t="s">
        <v>39</v>
      </c>
      <c r="H2273" s="3" t="s">
        <v>250</v>
      </c>
      <c r="I2273" s="2">
        <v>66</v>
      </c>
      <c r="J2273" s="2">
        <v>33</v>
      </c>
      <c r="K2273" s="2">
        <v>3</v>
      </c>
      <c r="O2273" s="2">
        <v>9</v>
      </c>
      <c r="U2273" s="2">
        <v>2</v>
      </c>
      <c r="V2273" s="2">
        <v>34</v>
      </c>
      <c r="W2273" s="2">
        <v>2</v>
      </c>
      <c r="X2273" s="2">
        <v>17</v>
      </c>
      <c r="Z2273" s="2">
        <v>66</v>
      </c>
      <c r="AA2273" s="3" t="s">
        <v>40</v>
      </c>
      <c r="AB2273" s="2">
        <v>2</v>
      </c>
      <c r="AF2273" s="2">
        <v>23</v>
      </c>
      <c r="AG2273" s="2">
        <v>2</v>
      </c>
      <c r="AH2273" s="3" t="s">
        <v>2211</v>
      </c>
      <c r="AI2273" s="4">
        <v>45105</v>
      </c>
      <c r="AJ2273" s="3" t="s">
        <v>2390</v>
      </c>
      <c r="AK2273" s="3" t="s">
        <v>38</v>
      </c>
    </row>
    <row r="2274" spans="1:37" hidden="1" x14ac:dyDescent="0.25">
      <c r="A2274" t="str">
        <f t="shared" si="35"/>
        <v>2023_SA_Pinery_Lentil_DetailedTOS2VarietyKelpieXTWaterTrtRainFed</v>
      </c>
      <c r="B2274" s="2">
        <v>2023024</v>
      </c>
      <c r="C2274" s="3" t="s">
        <v>2324</v>
      </c>
      <c r="D2274" s="3" t="s">
        <v>38</v>
      </c>
      <c r="F2274" s="3" t="s">
        <v>4188</v>
      </c>
      <c r="G2274" s="3" t="s">
        <v>43</v>
      </c>
      <c r="H2274" s="3" t="s">
        <v>253</v>
      </c>
      <c r="I2274" s="2">
        <v>67</v>
      </c>
      <c r="J2274" s="2">
        <v>34</v>
      </c>
      <c r="K2274" s="2">
        <v>3</v>
      </c>
      <c r="O2274" s="2">
        <v>9</v>
      </c>
      <c r="U2274" s="2">
        <v>3</v>
      </c>
      <c r="V2274" s="2">
        <v>34</v>
      </c>
      <c r="W2274" s="2">
        <v>3</v>
      </c>
      <c r="X2274" s="2">
        <v>17</v>
      </c>
      <c r="AA2274" s="3" t="s">
        <v>40</v>
      </c>
      <c r="AB2274" s="2">
        <v>4</v>
      </c>
      <c r="AF2274" s="2">
        <v>23</v>
      </c>
      <c r="AG2274" s="2">
        <v>2</v>
      </c>
      <c r="AH2274" s="3" t="s">
        <v>2211</v>
      </c>
      <c r="AI2274" s="4">
        <v>45105</v>
      </c>
      <c r="AJ2274" s="3" t="s">
        <v>2391</v>
      </c>
      <c r="AK2274" s="3" t="s">
        <v>38</v>
      </c>
    </row>
    <row r="2275" spans="1:37" hidden="1" x14ac:dyDescent="0.25">
      <c r="A2275" t="str">
        <f t="shared" si="35"/>
        <v>2023_SA_Pinery_Lentil_DetailedTOS2VarietyKelpieXTWaterTrtRainFed</v>
      </c>
      <c r="B2275" s="2">
        <v>2023024</v>
      </c>
      <c r="C2275" s="3" t="s">
        <v>2324</v>
      </c>
      <c r="D2275" s="3" t="s">
        <v>38</v>
      </c>
      <c r="F2275" s="3" t="s">
        <v>4188</v>
      </c>
      <c r="G2275" s="3" t="s">
        <v>43</v>
      </c>
      <c r="H2275" s="3" t="s">
        <v>250</v>
      </c>
      <c r="I2275" s="2">
        <v>68</v>
      </c>
      <c r="J2275" s="2">
        <v>34</v>
      </c>
      <c r="K2275" s="2">
        <v>3</v>
      </c>
      <c r="O2275" s="2">
        <v>9</v>
      </c>
      <c r="U2275" s="2">
        <v>4</v>
      </c>
      <c r="V2275" s="2">
        <v>34</v>
      </c>
      <c r="W2275" s="2">
        <v>4</v>
      </c>
      <c r="X2275" s="2">
        <v>17</v>
      </c>
      <c r="Z2275" s="2">
        <v>68</v>
      </c>
      <c r="AA2275" s="3" t="s">
        <v>40</v>
      </c>
      <c r="AB2275" s="2">
        <v>4</v>
      </c>
      <c r="AF2275" s="2">
        <v>23</v>
      </c>
      <c r="AG2275" s="2">
        <v>2</v>
      </c>
      <c r="AH2275" s="3" t="s">
        <v>2211</v>
      </c>
      <c r="AI2275" s="4">
        <v>45105</v>
      </c>
      <c r="AJ2275" s="3" t="s">
        <v>2392</v>
      </c>
      <c r="AK2275" s="3" t="s">
        <v>38</v>
      </c>
    </row>
    <row r="2276" spans="1:37" hidden="1" x14ac:dyDescent="0.25">
      <c r="A2276" t="str">
        <f t="shared" si="35"/>
        <v>2023_SA_Pinery_Lentil_DetailedTOS2VarietyBoltWaterTrtRainFed</v>
      </c>
      <c r="B2276" s="2">
        <v>2023024</v>
      </c>
      <c r="C2276" s="3" t="s">
        <v>2324</v>
      </c>
      <c r="D2276" s="3" t="s">
        <v>38</v>
      </c>
      <c r="F2276" s="3" t="s">
        <v>4187</v>
      </c>
      <c r="G2276" s="3" t="s">
        <v>39</v>
      </c>
      <c r="H2276" s="3" t="s">
        <v>253</v>
      </c>
      <c r="I2276" s="2">
        <v>69</v>
      </c>
      <c r="J2276" s="2">
        <v>35</v>
      </c>
      <c r="K2276" s="2">
        <v>3</v>
      </c>
      <c r="O2276" s="2">
        <v>9</v>
      </c>
      <c r="U2276" s="2">
        <v>1</v>
      </c>
      <c r="V2276" s="2">
        <v>35</v>
      </c>
      <c r="W2276" s="2">
        <v>1</v>
      </c>
      <c r="X2276" s="2">
        <v>18</v>
      </c>
      <c r="AA2276" s="3" t="s">
        <v>40</v>
      </c>
      <c r="AB2276" s="2">
        <v>1</v>
      </c>
      <c r="AF2276" s="2">
        <v>23</v>
      </c>
      <c r="AG2276" s="2">
        <v>2</v>
      </c>
      <c r="AH2276" s="3" t="s">
        <v>2211</v>
      </c>
      <c r="AI2276" s="4">
        <v>45105</v>
      </c>
      <c r="AJ2276" s="3" t="s">
        <v>2393</v>
      </c>
      <c r="AK2276" s="3" t="s">
        <v>38</v>
      </c>
    </row>
    <row r="2277" spans="1:37" hidden="1" x14ac:dyDescent="0.25">
      <c r="A2277" t="str">
        <f t="shared" si="35"/>
        <v>2023_SA_Pinery_Lentil_DetailedTOS2VarietyBoltWaterTrtRainFed</v>
      </c>
      <c r="B2277" s="2">
        <v>2023024</v>
      </c>
      <c r="C2277" s="3" t="s">
        <v>2324</v>
      </c>
      <c r="D2277" s="3" t="s">
        <v>38</v>
      </c>
      <c r="F2277" s="3" t="s">
        <v>4187</v>
      </c>
      <c r="G2277" s="3" t="s">
        <v>39</v>
      </c>
      <c r="H2277" s="3" t="s">
        <v>250</v>
      </c>
      <c r="I2277" s="2">
        <v>70</v>
      </c>
      <c r="J2277" s="2">
        <v>35</v>
      </c>
      <c r="K2277" s="2">
        <v>3</v>
      </c>
      <c r="O2277" s="2">
        <v>9</v>
      </c>
      <c r="U2277" s="2">
        <v>2</v>
      </c>
      <c r="V2277" s="2">
        <v>35</v>
      </c>
      <c r="W2277" s="2">
        <v>2</v>
      </c>
      <c r="X2277" s="2">
        <v>18</v>
      </c>
      <c r="Z2277" s="2">
        <v>71</v>
      </c>
      <c r="AA2277" s="3" t="s">
        <v>40</v>
      </c>
      <c r="AB2277" s="2">
        <v>1</v>
      </c>
      <c r="AF2277" s="2">
        <v>23</v>
      </c>
      <c r="AG2277" s="2">
        <v>2</v>
      </c>
      <c r="AH2277" s="3" t="s">
        <v>2211</v>
      </c>
      <c r="AI2277" s="4">
        <v>45105</v>
      </c>
      <c r="AJ2277" s="3" t="s">
        <v>2394</v>
      </c>
      <c r="AK2277" s="3" t="s">
        <v>38</v>
      </c>
    </row>
    <row r="2278" spans="1:37" hidden="1" x14ac:dyDescent="0.25">
      <c r="A2278" t="str">
        <f t="shared" si="35"/>
        <v>2023_SA_Pinery_Lentil_DetailedTOS2VarietyJumbo2WaterTrtRainFed</v>
      </c>
      <c r="B2278" s="2">
        <v>2023024</v>
      </c>
      <c r="C2278" s="3" t="s">
        <v>2324</v>
      </c>
      <c r="D2278" s="3" t="s">
        <v>38</v>
      </c>
      <c r="F2278" s="3" t="s">
        <v>4176</v>
      </c>
      <c r="G2278" s="3" t="s">
        <v>43</v>
      </c>
      <c r="H2278" s="3" t="s">
        <v>253</v>
      </c>
      <c r="I2278" s="2">
        <v>71</v>
      </c>
      <c r="J2278" s="2">
        <v>36</v>
      </c>
      <c r="K2278" s="2">
        <v>3</v>
      </c>
      <c r="O2278" s="2">
        <v>9</v>
      </c>
      <c r="U2278" s="2">
        <v>3</v>
      </c>
      <c r="V2278" s="2">
        <v>35</v>
      </c>
      <c r="W2278" s="2">
        <v>3</v>
      </c>
      <c r="X2278" s="2">
        <v>18</v>
      </c>
      <c r="AA2278" s="3" t="s">
        <v>40</v>
      </c>
      <c r="AB2278" s="2">
        <v>3</v>
      </c>
      <c r="AF2278" s="2">
        <v>23</v>
      </c>
      <c r="AG2278" s="2">
        <v>2</v>
      </c>
      <c r="AH2278" s="3" t="s">
        <v>2211</v>
      </c>
      <c r="AI2278" s="4">
        <v>45105</v>
      </c>
      <c r="AJ2278" s="3" t="s">
        <v>2395</v>
      </c>
      <c r="AK2278" s="3" t="s">
        <v>38</v>
      </c>
    </row>
    <row r="2279" spans="1:37" hidden="1" x14ac:dyDescent="0.25">
      <c r="A2279" t="str">
        <f t="shared" si="35"/>
        <v>2023_SA_Pinery_Lentil_DetailedTOS2VarietyJumbo2WaterTrtRainFed</v>
      </c>
      <c r="B2279" s="2">
        <v>2023024</v>
      </c>
      <c r="C2279" s="3" t="s">
        <v>2324</v>
      </c>
      <c r="D2279" s="3" t="s">
        <v>38</v>
      </c>
      <c r="F2279" s="3" t="s">
        <v>4176</v>
      </c>
      <c r="G2279" s="3" t="s">
        <v>43</v>
      </c>
      <c r="H2279" s="3" t="s">
        <v>250</v>
      </c>
      <c r="I2279" s="2">
        <v>72</v>
      </c>
      <c r="J2279" s="2">
        <v>36</v>
      </c>
      <c r="K2279" s="2">
        <v>3</v>
      </c>
      <c r="O2279" s="2">
        <v>9</v>
      </c>
      <c r="U2279" s="2">
        <v>4</v>
      </c>
      <c r="V2279" s="2">
        <v>35</v>
      </c>
      <c r="W2279" s="2">
        <v>4</v>
      </c>
      <c r="X2279" s="2">
        <v>18</v>
      </c>
      <c r="Z2279" s="2">
        <v>69</v>
      </c>
      <c r="AA2279" s="3" t="s">
        <v>40</v>
      </c>
      <c r="AB2279" s="2">
        <v>3</v>
      </c>
      <c r="AF2279" s="2">
        <v>23</v>
      </c>
      <c r="AG2279" s="2">
        <v>2</v>
      </c>
      <c r="AH2279" s="3" t="s">
        <v>2211</v>
      </c>
      <c r="AI2279" s="4">
        <v>45105</v>
      </c>
      <c r="AJ2279" s="3" t="s">
        <v>2396</v>
      </c>
      <c r="AK2279" s="3" t="s">
        <v>38</v>
      </c>
    </row>
    <row r="2280" spans="1:37" hidden="1" x14ac:dyDescent="0.25">
      <c r="A2280" t="str">
        <f t="shared" si="35"/>
        <v>2023_SA_Pinery_Lentil_DetailedTOS1VarietyJumbo2WaterTrtRainFed</v>
      </c>
      <c r="B2280" s="2">
        <v>2023024</v>
      </c>
      <c r="C2280" s="3" t="s">
        <v>2324</v>
      </c>
      <c r="D2280" s="3" t="s">
        <v>38</v>
      </c>
      <c r="F2280" s="3" t="s">
        <v>4176</v>
      </c>
      <c r="G2280" s="3" t="s">
        <v>43</v>
      </c>
      <c r="H2280" s="3" t="s">
        <v>253</v>
      </c>
      <c r="I2280" s="2">
        <v>73</v>
      </c>
      <c r="J2280" s="2">
        <v>37</v>
      </c>
      <c r="K2280" s="2">
        <v>3</v>
      </c>
      <c r="O2280" s="2">
        <v>10</v>
      </c>
      <c r="U2280" s="2">
        <v>1</v>
      </c>
      <c r="V2280" s="2">
        <v>38</v>
      </c>
      <c r="W2280" s="2">
        <v>1</v>
      </c>
      <c r="X2280" s="2">
        <v>19</v>
      </c>
      <c r="AA2280" s="3" t="s">
        <v>40</v>
      </c>
      <c r="AB2280" s="2">
        <v>3</v>
      </c>
      <c r="AF2280" s="2">
        <v>23</v>
      </c>
      <c r="AG2280" s="2">
        <v>1</v>
      </c>
      <c r="AH2280" s="3" t="s">
        <v>2194</v>
      </c>
      <c r="AI2280" s="4">
        <v>45056</v>
      </c>
      <c r="AJ2280" s="3" t="s">
        <v>2397</v>
      </c>
      <c r="AK2280" s="3" t="s">
        <v>38</v>
      </c>
    </row>
    <row r="2281" spans="1:37" hidden="1" x14ac:dyDescent="0.25">
      <c r="A2281" t="str">
        <f t="shared" si="35"/>
        <v>2023_SA_Pinery_Lentil_DetailedTOS1VarietyJumbo2WaterTrtRainFed</v>
      </c>
      <c r="B2281" s="2">
        <v>2023024</v>
      </c>
      <c r="C2281" s="3" t="s">
        <v>2324</v>
      </c>
      <c r="D2281" s="3" t="s">
        <v>38</v>
      </c>
      <c r="F2281" s="3" t="s">
        <v>4176</v>
      </c>
      <c r="G2281" s="3" t="s">
        <v>43</v>
      </c>
      <c r="H2281" s="3" t="s">
        <v>250</v>
      </c>
      <c r="I2281" s="2">
        <v>74</v>
      </c>
      <c r="J2281" s="2">
        <v>37</v>
      </c>
      <c r="K2281" s="2">
        <v>3</v>
      </c>
      <c r="O2281" s="2">
        <v>10</v>
      </c>
      <c r="U2281" s="2">
        <v>2</v>
      </c>
      <c r="V2281" s="2">
        <v>38</v>
      </c>
      <c r="W2281" s="2">
        <v>2</v>
      </c>
      <c r="X2281" s="2">
        <v>19</v>
      </c>
      <c r="Z2281" s="2">
        <v>74</v>
      </c>
      <c r="AA2281" s="3" t="s">
        <v>40</v>
      </c>
      <c r="AB2281" s="2">
        <v>3</v>
      </c>
      <c r="AF2281" s="2">
        <v>23</v>
      </c>
      <c r="AG2281" s="2">
        <v>1</v>
      </c>
      <c r="AH2281" s="3" t="s">
        <v>2194</v>
      </c>
      <c r="AI2281" s="4">
        <v>45056</v>
      </c>
      <c r="AJ2281" s="3" t="s">
        <v>2398</v>
      </c>
      <c r="AK2281" s="3" t="s">
        <v>38</v>
      </c>
    </row>
    <row r="2282" spans="1:37" hidden="1" x14ac:dyDescent="0.25">
      <c r="A2282" t="str">
        <f t="shared" si="35"/>
        <v>2023_SA_Pinery_Lentil_DetailedTOS1VarietyBoltWaterTrtRainFed</v>
      </c>
      <c r="B2282" s="2">
        <v>2023024</v>
      </c>
      <c r="C2282" s="3" t="s">
        <v>2324</v>
      </c>
      <c r="D2282" s="3" t="s">
        <v>38</v>
      </c>
      <c r="F2282" s="3" t="s">
        <v>4187</v>
      </c>
      <c r="G2282" s="3" t="s">
        <v>39</v>
      </c>
      <c r="H2282" s="3" t="s">
        <v>253</v>
      </c>
      <c r="I2282" s="2">
        <v>75</v>
      </c>
      <c r="J2282" s="2">
        <v>38</v>
      </c>
      <c r="K2282" s="2">
        <v>3</v>
      </c>
      <c r="O2282" s="2">
        <v>10</v>
      </c>
      <c r="U2282" s="2">
        <v>3</v>
      </c>
      <c r="V2282" s="2">
        <v>38</v>
      </c>
      <c r="W2282" s="2">
        <v>3</v>
      </c>
      <c r="X2282" s="2">
        <v>19</v>
      </c>
      <c r="AA2282" s="3" t="s">
        <v>40</v>
      </c>
      <c r="AB2282" s="2">
        <v>1</v>
      </c>
      <c r="AF2282" s="2">
        <v>23</v>
      </c>
      <c r="AG2282" s="2">
        <v>1</v>
      </c>
      <c r="AH2282" s="3" t="s">
        <v>2194</v>
      </c>
      <c r="AI2282" s="4">
        <v>45056</v>
      </c>
      <c r="AJ2282" s="3" t="s">
        <v>2399</v>
      </c>
      <c r="AK2282" s="3" t="s">
        <v>38</v>
      </c>
    </row>
    <row r="2283" spans="1:37" hidden="1" x14ac:dyDescent="0.25">
      <c r="A2283" t="str">
        <f t="shared" si="35"/>
        <v>2023_SA_Pinery_Lentil_DetailedTOS1VarietyBoltWaterTrtRainFed</v>
      </c>
      <c r="B2283" s="2">
        <v>2023024</v>
      </c>
      <c r="C2283" s="3" t="s">
        <v>2324</v>
      </c>
      <c r="D2283" s="3" t="s">
        <v>38</v>
      </c>
      <c r="F2283" s="3" t="s">
        <v>4187</v>
      </c>
      <c r="G2283" s="3" t="s">
        <v>39</v>
      </c>
      <c r="H2283" s="3" t="s">
        <v>250</v>
      </c>
      <c r="I2283" s="2">
        <v>76</v>
      </c>
      <c r="J2283" s="2">
        <v>38</v>
      </c>
      <c r="K2283" s="2">
        <v>3</v>
      </c>
      <c r="O2283" s="2">
        <v>10</v>
      </c>
      <c r="U2283" s="2">
        <v>4</v>
      </c>
      <c r="V2283" s="2">
        <v>38</v>
      </c>
      <c r="W2283" s="2">
        <v>4</v>
      </c>
      <c r="X2283" s="2">
        <v>19</v>
      </c>
      <c r="Z2283" s="2">
        <v>76</v>
      </c>
      <c r="AA2283" s="3" t="s">
        <v>40</v>
      </c>
      <c r="AB2283" s="2">
        <v>1</v>
      </c>
      <c r="AF2283" s="2">
        <v>23</v>
      </c>
      <c r="AG2283" s="2">
        <v>1</v>
      </c>
      <c r="AH2283" s="3" t="s">
        <v>2194</v>
      </c>
      <c r="AI2283" s="4">
        <v>45056</v>
      </c>
      <c r="AJ2283" s="3" t="s">
        <v>2400</v>
      </c>
      <c r="AK2283" s="3" t="s">
        <v>38</v>
      </c>
    </row>
    <row r="2284" spans="1:37" hidden="1" x14ac:dyDescent="0.25">
      <c r="A2284" t="str">
        <f t="shared" si="35"/>
        <v>2023_SA_Pinery_Lentil_DetailedTOS1VarietyKelpieXTWaterTrtRainFed</v>
      </c>
      <c r="B2284" s="2">
        <v>2023024</v>
      </c>
      <c r="C2284" s="3" t="s">
        <v>2324</v>
      </c>
      <c r="D2284" s="3" t="s">
        <v>38</v>
      </c>
      <c r="F2284" s="3" t="s">
        <v>4188</v>
      </c>
      <c r="G2284" s="3" t="s">
        <v>43</v>
      </c>
      <c r="H2284" s="3" t="s">
        <v>253</v>
      </c>
      <c r="I2284" s="2">
        <v>77</v>
      </c>
      <c r="J2284" s="2">
        <v>39</v>
      </c>
      <c r="K2284" s="2">
        <v>3</v>
      </c>
      <c r="O2284" s="2">
        <v>10</v>
      </c>
      <c r="U2284" s="2">
        <v>1</v>
      </c>
      <c r="V2284" s="2">
        <v>39</v>
      </c>
      <c r="W2284" s="2">
        <v>1</v>
      </c>
      <c r="X2284" s="2">
        <v>20</v>
      </c>
      <c r="AA2284" s="3" t="s">
        <v>40</v>
      </c>
      <c r="AB2284" s="2">
        <v>4</v>
      </c>
      <c r="AF2284" s="2">
        <v>23</v>
      </c>
      <c r="AG2284" s="2">
        <v>1</v>
      </c>
      <c r="AH2284" s="3" t="s">
        <v>2194</v>
      </c>
      <c r="AI2284" s="4">
        <v>45056</v>
      </c>
      <c r="AJ2284" s="3" t="s">
        <v>2401</v>
      </c>
      <c r="AK2284" s="3" t="s">
        <v>38</v>
      </c>
    </row>
    <row r="2285" spans="1:37" hidden="1" x14ac:dyDescent="0.25">
      <c r="A2285" t="str">
        <f t="shared" si="35"/>
        <v>2023_SA_Pinery_Lentil_DetailedTOS1VarietyKelpieXTWaterTrtRainFed</v>
      </c>
      <c r="B2285" s="2">
        <v>2023024</v>
      </c>
      <c r="C2285" s="3" t="s">
        <v>2324</v>
      </c>
      <c r="D2285" s="3" t="s">
        <v>38</v>
      </c>
      <c r="F2285" s="3" t="s">
        <v>4188</v>
      </c>
      <c r="G2285" s="3" t="s">
        <v>43</v>
      </c>
      <c r="H2285" s="3" t="s">
        <v>250</v>
      </c>
      <c r="I2285" s="2">
        <v>78</v>
      </c>
      <c r="J2285" s="2">
        <v>39</v>
      </c>
      <c r="K2285" s="2">
        <v>3</v>
      </c>
      <c r="O2285" s="2">
        <v>10</v>
      </c>
      <c r="U2285" s="2">
        <v>2</v>
      </c>
      <c r="V2285" s="2">
        <v>39</v>
      </c>
      <c r="W2285" s="2">
        <v>2</v>
      </c>
      <c r="X2285" s="2">
        <v>20</v>
      </c>
      <c r="Z2285" s="2">
        <v>79</v>
      </c>
      <c r="AA2285" s="3" t="s">
        <v>40</v>
      </c>
      <c r="AB2285" s="2">
        <v>4</v>
      </c>
      <c r="AF2285" s="2">
        <v>23</v>
      </c>
      <c r="AG2285" s="2">
        <v>1</v>
      </c>
      <c r="AH2285" s="3" t="s">
        <v>2194</v>
      </c>
      <c r="AI2285" s="4">
        <v>45056</v>
      </c>
      <c r="AJ2285" s="3" t="s">
        <v>2402</v>
      </c>
      <c r="AK2285" s="3" t="s">
        <v>38</v>
      </c>
    </row>
    <row r="2286" spans="1:37" hidden="1" x14ac:dyDescent="0.25">
      <c r="A2286" t="str">
        <f t="shared" si="35"/>
        <v>2023_SA_Pinery_Lentil_DetailedTOS1VarietyHallmarkXTWaterTrtRainFed</v>
      </c>
      <c r="B2286" s="2">
        <v>2023024</v>
      </c>
      <c r="C2286" s="3" t="s">
        <v>2324</v>
      </c>
      <c r="D2286" s="3" t="s">
        <v>38</v>
      </c>
      <c r="F2286" s="3" t="s">
        <v>4189</v>
      </c>
      <c r="G2286" s="3" t="s">
        <v>39</v>
      </c>
      <c r="H2286" s="3" t="s">
        <v>253</v>
      </c>
      <c r="I2286" s="2">
        <v>79</v>
      </c>
      <c r="J2286" s="2">
        <v>40</v>
      </c>
      <c r="K2286" s="2">
        <v>3</v>
      </c>
      <c r="O2286" s="2">
        <v>10</v>
      </c>
      <c r="U2286" s="2">
        <v>3</v>
      </c>
      <c r="V2286" s="2">
        <v>39</v>
      </c>
      <c r="W2286" s="2">
        <v>3</v>
      </c>
      <c r="X2286" s="2">
        <v>20</v>
      </c>
      <c r="AA2286" s="3" t="s">
        <v>40</v>
      </c>
      <c r="AB2286" s="2">
        <v>2</v>
      </c>
      <c r="AF2286" s="2">
        <v>23</v>
      </c>
      <c r="AG2286" s="2">
        <v>1</v>
      </c>
      <c r="AH2286" s="3" t="s">
        <v>2194</v>
      </c>
      <c r="AI2286" s="4">
        <v>45056</v>
      </c>
      <c r="AJ2286" s="3" t="s">
        <v>2403</v>
      </c>
      <c r="AK2286" s="3" t="s">
        <v>38</v>
      </c>
    </row>
    <row r="2287" spans="1:37" hidden="1" x14ac:dyDescent="0.25">
      <c r="A2287" t="str">
        <f t="shared" si="35"/>
        <v>2023_SA_Pinery_Lentil_DetailedTOS1VarietyHallmarkXTWaterTrtRainFed</v>
      </c>
      <c r="B2287" s="2">
        <v>2023024</v>
      </c>
      <c r="C2287" s="3" t="s">
        <v>2324</v>
      </c>
      <c r="D2287" s="3" t="s">
        <v>38</v>
      </c>
      <c r="F2287" s="3" t="s">
        <v>4189</v>
      </c>
      <c r="G2287" s="3" t="s">
        <v>39</v>
      </c>
      <c r="H2287" s="3" t="s">
        <v>250</v>
      </c>
      <c r="I2287" s="2">
        <v>80</v>
      </c>
      <c r="J2287" s="2">
        <v>40</v>
      </c>
      <c r="K2287" s="2">
        <v>3</v>
      </c>
      <c r="O2287" s="2">
        <v>10</v>
      </c>
      <c r="U2287" s="2">
        <v>4</v>
      </c>
      <c r="V2287" s="2">
        <v>39</v>
      </c>
      <c r="W2287" s="2">
        <v>4</v>
      </c>
      <c r="X2287" s="2">
        <v>20</v>
      </c>
      <c r="Z2287" s="2">
        <v>77</v>
      </c>
      <c r="AA2287" s="3" t="s">
        <v>40</v>
      </c>
      <c r="AB2287" s="2">
        <v>2</v>
      </c>
      <c r="AF2287" s="2">
        <v>23</v>
      </c>
      <c r="AG2287" s="2">
        <v>1</v>
      </c>
      <c r="AH2287" s="3" t="s">
        <v>2194</v>
      </c>
      <c r="AI2287" s="4">
        <v>45056</v>
      </c>
      <c r="AJ2287" s="3" t="s">
        <v>2404</v>
      </c>
      <c r="AK2287" s="3" t="s">
        <v>38</v>
      </c>
    </row>
    <row r="2288" spans="1:37" hidden="1" x14ac:dyDescent="0.25">
      <c r="A2288" t="str">
        <f t="shared" si="35"/>
        <v>2023_SA_Pinery_Lentil_DetailedTOS2VarietyKelpieXTWaterTrtIrrigated</v>
      </c>
      <c r="B2288" s="2">
        <v>2023024</v>
      </c>
      <c r="C2288" s="3" t="s">
        <v>2324</v>
      </c>
      <c r="D2288" s="3" t="s">
        <v>38</v>
      </c>
      <c r="F2288" s="3" t="s">
        <v>4188</v>
      </c>
      <c r="G2288" s="3" t="s">
        <v>43</v>
      </c>
      <c r="H2288" s="3" t="s">
        <v>253</v>
      </c>
      <c r="I2288" s="2">
        <v>81</v>
      </c>
      <c r="J2288" s="2">
        <v>41</v>
      </c>
      <c r="K2288" s="2">
        <v>3</v>
      </c>
      <c r="O2288" s="2">
        <v>11</v>
      </c>
      <c r="U2288" s="2">
        <v>1</v>
      </c>
      <c r="V2288" s="2">
        <v>42</v>
      </c>
      <c r="W2288" s="2">
        <v>1</v>
      </c>
      <c r="X2288" s="2">
        <v>21</v>
      </c>
      <c r="AA2288" s="3" t="s">
        <v>57</v>
      </c>
      <c r="AB2288" s="2">
        <v>4</v>
      </c>
      <c r="AF2288" s="2">
        <v>23</v>
      </c>
      <c r="AG2288" s="2">
        <v>2</v>
      </c>
      <c r="AH2288" s="3" t="s">
        <v>2211</v>
      </c>
      <c r="AI2288" s="4">
        <v>45105</v>
      </c>
      <c r="AJ2288" s="3" t="s">
        <v>2405</v>
      </c>
      <c r="AK2288" s="3" t="s">
        <v>38</v>
      </c>
    </row>
    <row r="2289" spans="1:37" hidden="1" x14ac:dyDescent="0.25">
      <c r="A2289" t="str">
        <f t="shared" si="35"/>
        <v>2023_SA_Pinery_Lentil_DetailedTOS2VarietyKelpieXTWaterTrtIrrigated</v>
      </c>
      <c r="B2289" s="2">
        <v>2023024</v>
      </c>
      <c r="C2289" s="3" t="s">
        <v>2324</v>
      </c>
      <c r="D2289" s="3" t="s">
        <v>38</v>
      </c>
      <c r="F2289" s="3" t="s">
        <v>4188</v>
      </c>
      <c r="G2289" s="3" t="s">
        <v>43</v>
      </c>
      <c r="H2289" s="3" t="s">
        <v>250</v>
      </c>
      <c r="I2289" s="2">
        <v>82</v>
      </c>
      <c r="J2289" s="2">
        <v>41</v>
      </c>
      <c r="K2289" s="2">
        <v>3</v>
      </c>
      <c r="O2289" s="2">
        <v>11</v>
      </c>
      <c r="U2289" s="2">
        <v>2</v>
      </c>
      <c r="V2289" s="2">
        <v>42</v>
      </c>
      <c r="W2289" s="2">
        <v>2</v>
      </c>
      <c r="X2289" s="2">
        <v>21</v>
      </c>
      <c r="Z2289" s="2">
        <v>82</v>
      </c>
      <c r="AA2289" s="3" t="s">
        <v>57</v>
      </c>
      <c r="AB2289" s="2">
        <v>4</v>
      </c>
      <c r="AF2289" s="2">
        <v>23</v>
      </c>
      <c r="AG2289" s="2">
        <v>2</v>
      </c>
      <c r="AH2289" s="3" t="s">
        <v>2211</v>
      </c>
      <c r="AI2289" s="4">
        <v>45105</v>
      </c>
      <c r="AJ2289" s="3" t="s">
        <v>2406</v>
      </c>
      <c r="AK2289" s="3" t="s">
        <v>38</v>
      </c>
    </row>
    <row r="2290" spans="1:37" hidden="1" x14ac:dyDescent="0.25">
      <c r="A2290" t="str">
        <f t="shared" si="35"/>
        <v>2023_SA_Pinery_Lentil_DetailedTOS2VarietyJumbo2WaterTrtIrrigated</v>
      </c>
      <c r="B2290" s="2">
        <v>2023024</v>
      </c>
      <c r="C2290" s="3" t="s">
        <v>2324</v>
      </c>
      <c r="D2290" s="3" t="s">
        <v>38</v>
      </c>
      <c r="F2290" s="3" t="s">
        <v>4176</v>
      </c>
      <c r="G2290" s="3" t="s">
        <v>43</v>
      </c>
      <c r="H2290" s="3" t="s">
        <v>253</v>
      </c>
      <c r="I2290" s="2">
        <v>83</v>
      </c>
      <c r="J2290" s="2">
        <v>42</v>
      </c>
      <c r="K2290" s="2">
        <v>3</v>
      </c>
      <c r="O2290" s="2">
        <v>11</v>
      </c>
      <c r="U2290" s="2">
        <v>3</v>
      </c>
      <c r="V2290" s="2">
        <v>42</v>
      </c>
      <c r="W2290" s="2">
        <v>3</v>
      </c>
      <c r="X2290" s="2">
        <v>21</v>
      </c>
      <c r="AA2290" s="3" t="s">
        <v>57</v>
      </c>
      <c r="AB2290" s="2">
        <v>3</v>
      </c>
      <c r="AF2290" s="2">
        <v>23</v>
      </c>
      <c r="AG2290" s="2">
        <v>2</v>
      </c>
      <c r="AH2290" s="3" t="s">
        <v>2211</v>
      </c>
      <c r="AI2290" s="4">
        <v>45105</v>
      </c>
      <c r="AJ2290" s="3" t="s">
        <v>2407</v>
      </c>
      <c r="AK2290" s="3" t="s">
        <v>38</v>
      </c>
    </row>
    <row r="2291" spans="1:37" hidden="1" x14ac:dyDescent="0.25">
      <c r="A2291" t="str">
        <f t="shared" si="35"/>
        <v>2023_SA_Pinery_Lentil_DetailedTOS2VarietyJumbo2WaterTrtIrrigated</v>
      </c>
      <c r="B2291" s="2">
        <v>2023024</v>
      </c>
      <c r="C2291" s="3" t="s">
        <v>2324</v>
      </c>
      <c r="D2291" s="3" t="s">
        <v>38</v>
      </c>
      <c r="F2291" s="3" t="s">
        <v>4176</v>
      </c>
      <c r="G2291" s="3" t="s">
        <v>43</v>
      </c>
      <c r="H2291" s="3" t="s">
        <v>250</v>
      </c>
      <c r="I2291" s="2">
        <v>84</v>
      </c>
      <c r="J2291" s="2">
        <v>42</v>
      </c>
      <c r="K2291" s="2">
        <v>3</v>
      </c>
      <c r="O2291" s="2">
        <v>11</v>
      </c>
      <c r="U2291" s="2">
        <v>4</v>
      </c>
      <c r="V2291" s="2">
        <v>42</v>
      </c>
      <c r="W2291" s="2">
        <v>4</v>
      </c>
      <c r="X2291" s="2">
        <v>21</v>
      </c>
      <c r="Z2291" s="2">
        <v>84</v>
      </c>
      <c r="AA2291" s="3" t="s">
        <v>57</v>
      </c>
      <c r="AB2291" s="2">
        <v>3</v>
      </c>
      <c r="AF2291" s="2">
        <v>23</v>
      </c>
      <c r="AG2291" s="2">
        <v>2</v>
      </c>
      <c r="AH2291" s="3" t="s">
        <v>2211</v>
      </c>
      <c r="AI2291" s="4">
        <v>45105</v>
      </c>
      <c r="AJ2291" s="3" t="s">
        <v>2408</v>
      </c>
      <c r="AK2291" s="3" t="s">
        <v>38</v>
      </c>
    </row>
    <row r="2292" spans="1:37" hidden="1" x14ac:dyDescent="0.25">
      <c r="A2292" t="str">
        <f t="shared" si="35"/>
        <v>2023_SA_Pinery_Lentil_DetailedTOS2VarietyHallmarkXTWaterTrtIrrigated</v>
      </c>
      <c r="B2292" s="2">
        <v>2023024</v>
      </c>
      <c r="C2292" s="3" t="s">
        <v>2324</v>
      </c>
      <c r="D2292" s="3" t="s">
        <v>38</v>
      </c>
      <c r="F2292" s="3" t="s">
        <v>4189</v>
      </c>
      <c r="G2292" s="3" t="s">
        <v>39</v>
      </c>
      <c r="H2292" s="3" t="s">
        <v>253</v>
      </c>
      <c r="I2292" s="2">
        <v>85</v>
      </c>
      <c r="J2292" s="2">
        <v>43</v>
      </c>
      <c r="K2292" s="2">
        <v>3</v>
      </c>
      <c r="O2292" s="2">
        <v>11</v>
      </c>
      <c r="U2292" s="2">
        <v>1</v>
      </c>
      <c r="V2292" s="2">
        <v>43</v>
      </c>
      <c r="W2292" s="2">
        <v>1</v>
      </c>
      <c r="X2292" s="2">
        <v>22</v>
      </c>
      <c r="AA2292" s="3" t="s">
        <v>57</v>
      </c>
      <c r="AB2292" s="2">
        <v>2</v>
      </c>
      <c r="AF2292" s="2">
        <v>23</v>
      </c>
      <c r="AG2292" s="2">
        <v>2</v>
      </c>
      <c r="AH2292" s="3" t="s">
        <v>2211</v>
      </c>
      <c r="AI2292" s="4">
        <v>45105</v>
      </c>
      <c r="AJ2292" s="3" t="s">
        <v>2409</v>
      </c>
      <c r="AK2292" s="3" t="s">
        <v>38</v>
      </c>
    </row>
    <row r="2293" spans="1:37" hidden="1" x14ac:dyDescent="0.25">
      <c r="A2293" t="str">
        <f t="shared" si="35"/>
        <v>2023_SA_Pinery_Lentil_DetailedTOS2VarietyHallmarkXTWaterTrtIrrigated</v>
      </c>
      <c r="B2293" s="2">
        <v>2023024</v>
      </c>
      <c r="C2293" s="3" t="s">
        <v>2324</v>
      </c>
      <c r="D2293" s="3" t="s">
        <v>38</v>
      </c>
      <c r="F2293" s="3" t="s">
        <v>4189</v>
      </c>
      <c r="G2293" s="3" t="s">
        <v>39</v>
      </c>
      <c r="H2293" s="3" t="s">
        <v>250</v>
      </c>
      <c r="I2293" s="2">
        <v>86</v>
      </c>
      <c r="J2293" s="2">
        <v>43</v>
      </c>
      <c r="K2293" s="2">
        <v>3</v>
      </c>
      <c r="O2293" s="2">
        <v>11</v>
      </c>
      <c r="U2293" s="2">
        <v>2</v>
      </c>
      <c r="V2293" s="2">
        <v>43</v>
      </c>
      <c r="W2293" s="2">
        <v>2</v>
      </c>
      <c r="X2293" s="2">
        <v>22</v>
      </c>
      <c r="Z2293" s="2">
        <v>87</v>
      </c>
      <c r="AA2293" s="3" t="s">
        <v>57</v>
      </c>
      <c r="AB2293" s="2">
        <v>2</v>
      </c>
      <c r="AF2293" s="2">
        <v>23</v>
      </c>
      <c r="AG2293" s="2">
        <v>2</v>
      </c>
      <c r="AH2293" s="3" t="s">
        <v>2211</v>
      </c>
      <c r="AI2293" s="4">
        <v>45105</v>
      </c>
      <c r="AJ2293" s="3" t="s">
        <v>2410</v>
      </c>
      <c r="AK2293" s="3" t="s">
        <v>38</v>
      </c>
    </row>
    <row r="2294" spans="1:37" hidden="1" x14ac:dyDescent="0.25">
      <c r="A2294" t="str">
        <f t="shared" si="35"/>
        <v>2023_SA_Pinery_Lentil_DetailedTOS2VarietyBoltWaterTrtIrrigated</v>
      </c>
      <c r="B2294" s="2">
        <v>2023024</v>
      </c>
      <c r="C2294" s="3" t="s">
        <v>2324</v>
      </c>
      <c r="D2294" s="3" t="s">
        <v>38</v>
      </c>
      <c r="F2294" s="3" t="s">
        <v>4187</v>
      </c>
      <c r="G2294" s="3" t="s">
        <v>39</v>
      </c>
      <c r="H2294" s="3" t="s">
        <v>253</v>
      </c>
      <c r="I2294" s="2">
        <v>87</v>
      </c>
      <c r="J2294" s="2">
        <v>44</v>
      </c>
      <c r="K2294" s="2">
        <v>3</v>
      </c>
      <c r="O2294" s="2">
        <v>11</v>
      </c>
      <c r="U2294" s="2">
        <v>3</v>
      </c>
      <c r="V2294" s="2">
        <v>43</v>
      </c>
      <c r="W2294" s="2">
        <v>3</v>
      </c>
      <c r="X2294" s="2">
        <v>22</v>
      </c>
      <c r="AA2294" s="3" t="s">
        <v>57</v>
      </c>
      <c r="AB2294" s="2">
        <v>1</v>
      </c>
      <c r="AF2294" s="2">
        <v>23</v>
      </c>
      <c r="AG2294" s="2">
        <v>2</v>
      </c>
      <c r="AH2294" s="3" t="s">
        <v>2211</v>
      </c>
      <c r="AI2294" s="4">
        <v>45105</v>
      </c>
      <c r="AJ2294" s="3" t="s">
        <v>2411</v>
      </c>
      <c r="AK2294" s="3" t="s">
        <v>38</v>
      </c>
    </row>
    <row r="2295" spans="1:37" hidden="1" x14ac:dyDescent="0.25">
      <c r="A2295" t="str">
        <f t="shared" si="35"/>
        <v>2023_SA_Pinery_Lentil_DetailedTOS2VarietyBoltWaterTrtIrrigated</v>
      </c>
      <c r="B2295" s="2">
        <v>2023024</v>
      </c>
      <c r="C2295" s="3" t="s">
        <v>2324</v>
      </c>
      <c r="D2295" s="3" t="s">
        <v>38</v>
      </c>
      <c r="F2295" s="3" t="s">
        <v>4187</v>
      </c>
      <c r="G2295" s="3" t="s">
        <v>39</v>
      </c>
      <c r="H2295" s="3" t="s">
        <v>250</v>
      </c>
      <c r="I2295" s="2">
        <v>88</v>
      </c>
      <c r="J2295" s="2">
        <v>44</v>
      </c>
      <c r="K2295" s="2">
        <v>3</v>
      </c>
      <c r="O2295" s="2">
        <v>11</v>
      </c>
      <c r="U2295" s="2">
        <v>4</v>
      </c>
      <c r="V2295" s="2">
        <v>43</v>
      </c>
      <c r="W2295" s="2">
        <v>4</v>
      </c>
      <c r="X2295" s="2">
        <v>22</v>
      </c>
      <c r="Z2295" s="2">
        <v>85</v>
      </c>
      <c r="AA2295" s="3" t="s">
        <v>57</v>
      </c>
      <c r="AB2295" s="2">
        <v>1</v>
      </c>
      <c r="AF2295" s="2">
        <v>23</v>
      </c>
      <c r="AG2295" s="2">
        <v>2</v>
      </c>
      <c r="AH2295" s="3" t="s">
        <v>2211</v>
      </c>
      <c r="AI2295" s="4">
        <v>45105</v>
      </c>
      <c r="AJ2295" s="3" t="s">
        <v>2412</v>
      </c>
      <c r="AK2295" s="3" t="s">
        <v>38</v>
      </c>
    </row>
    <row r="2296" spans="1:37" hidden="1" x14ac:dyDescent="0.25">
      <c r="A2296" t="str">
        <f t="shared" si="35"/>
        <v>2023_SA_Pinery_Lentil_DetailedTOS1VarietyBoltWaterTrtIrrigated</v>
      </c>
      <c r="B2296" s="2">
        <v>2023024</v>
      </c>
      <c r="C2296" s="3" t="s">
        <v>2324</v>
      </c>
      <c r="D2296" s="3" t="s">
        <v>38</v>
      </c>
      <c r="F2296" s="3" t="s">
        <v>4187</v>
      </c>
      <c r="G2296" s="3" t="s">
        <v>39</v>
      </c>
      <c r="H2296" s="3" t="s">
        <v>253</v>
      </c>
      <c r="I2296" s="2">
        <v>89</v>
      </c>
      <c r="J2296" s="2">
        <v>45</v>
      </c>
      <c r="K2296" s="2">
        <v>3</v>
      </c>
      <c r="O2296" s="2">
        <v>12</v>
      </c>
      <c r="U2296" s="2">
        <v>1</v>
      </c>
      <c r="V2296" s="2">
        <v>46</v>
      </c>
      <c r="W2296" s="2">
        <v>1</v>
      </c>
      <c r="X2296" s="2">
        <v>23</v>
      </c>
      <c r="AA2296" s="3" t="s">
        <v>57</v>
      </c>
      <c r="AB2296" s="2">
        <v>1</v>
      </c>
      <c r="AF2296" s="2">
        <v>23</v>
      </c>
      <c r="AG2296" s="2">
        <v>1</v>
      </c>
      <c r="AH2296" s="3" t="s">
        <v>2194</v>
      </c>
      <c r="AI2296" s="4">
        <v>45056</v>
      </c>
      <c r="AJ2296" s="3" t="s">
        <v>2413</v>
      </c>
      <c r="AK2296" s="3" t="s">
        <v>38</v>
      </c>
    </row>
    <row r="2297" spans="1:37" hidden="1" x14ac:dyDescent="0.25">
      <c r="A2297" t="str">
        <f t="shared" si="35"/>
        <v>2023_SA_Pinery_Lentil_DetailedTOS1VarietyBoltWaterTrtIrrigated</v>
      </c>
      <c r="B2297" s="2">
        <v>2023024</v>
      </c>
      <c r="C2297" s="3" t="s">
        <v>2324</v>
      </c>
      <c r="D2297" s="3" t="s">
        <v>38</v>
      </c>
      <c r="F2297" s="3" t="s">
        <v>4187</v>
      </c>
      <c r="G2297" s="3" t="s">
        <v>39</v>
      </c>
      <c r="H2297" s="3" t="s">
        <v>250</v>
      </c>
      <c r="I2297" s="2">
        <v>90</v>
      </c>
      <c r="J2297" s="2">
        <v>45</v>
      </c>
      <c r="K2297" s="2">
        <v>3</v>
      </c>
      <c r="O2297" s="2">
        <v>12</v>
      </c>
      <c r="U2297" s="2">
        <v>2</v>
      </c>
      <c r="V2297" s="2">
        <v>46</v>
      </c>
      <c r="W2297" s="2">
        <v>2</v>
      </c>
      <c r="X2297" s="2">
        <v>23</v>
      </c>
      <c r="Z2297" s="2">
        <v>90</v>
      </c>
      <c r="AA2297" s="3" t="s">
        <v>57</v>
      </c>
      <c r="AB2297" s="2">
        <v>1</v>
      </c>
      <c r="AF2297" s="2">
        <v>23</v>
      </c>
      <c r="AG2297" s="2">
        <v>1</v>
      </c>
      <c r="AH2297" s="3" t="s">
        <v>2194</v>
      </c>
      <c r="AI2297" s="4">
        <v>45056</v>
      </c>
      <c r="AJ2297" s="3" t="s">
        <v>2414</v>
      </c>
      <c r="AK2297" s="3" t="s">
        <v>38</v>
      </c>
    </row>
    <row r="2298" spans="1:37" hidden="1" x14ac:dyDescent="0.25">
      <c r="A2298" t="str">
        <f t="shared" si="35"/>
        <v>2023_SA_Pinery_Lentil_DetailedTOS1VarietyHallmarkXTWaterTrtIrrigated</v>
      </c>
      <c r="B2298" s="2">
        <v>2023024</v>
      </c>
      <c r="C2298" s="3" t="s">
        <v>2324</v>
      </c>
      <c r="D2298" s="3" t="s">
        <v>38</v>
      </c>
      <c r="F2298" s="3" t="s">
        <v>4189</v>
      </c>
      <c r="G2298" s="3" t="s">
        <v>39</v>
      </c>
      <c r="H2298" s="3" t="s">
        <v>253</v>
      </c>
      <c r="I2298" s="2">
        <v>91</v>
      </c>
      <c r="J2298" s="2">
        <v>46</v>
      </c>
      <c r="K2298" s="2">
        <v>3</v>
      </c>
      <c r="O2298" s="2">
        <v>12</v>
      </c>
      <c r="U2298" s="2">
        <v>3</v>
      </c>
      <c r="V2298" s="2">
        <v>46</v>
      </c>
      <c r="W2298" s="2">
        <v>3</v>
      </c>
      <c r="X2298" s="2">
        <v>23</v>
      </c>
      <c r="AA2298" s="3" t="s">
        <v>57</v>
      </c>
      <c r="AB2298" s="2">
        <v>2</v>
      </c>
      <c r="AF2298" s="2">
        <v>23</v>
      </c>
      <c r="AG2298" s="2">
        <v>1</v>
      </c>
      <c r="AH2298" s="3" t="s">
        <v>2194</v>
      </c>
      <c r="AI2298" s="4">
        <v>45056</v>
      </c>
      <c r="AJ2298" s="3" t="s">
        <v>2415</v>
      </c>
      <c r="AK2298" s="3" t="s">
        <v>38</v>
      </c>
    </row>
    <row r="2299" spans="1:37" hidden="1" x14ac:dyDescent="0.25">
      <c r="A2299" t="str">
        <f t="shared" si="35"/>
        <v>2023_SA_Pinery_Lentil_DetailedTOS1VarietyHallmarkXTWaterTrtIrrigated</v>
      </c>
      <c r="B2299" s="2">
        <v>2023024</v>
      </c>
      <c r="C2299" s="3" t="s">
        <v>2324</v>
      </c>
      <c r="D2299" s="3" t="s">
        <v>38</v>
      </c>
      <c r="F2299" s="3" t="s">
        <v>4189</v>
      </c>
      <c r="G2299" s="3" t="s">
        <v>39</v>
      </c>
      <c r="H2299" s="3" t="s">
        <v>250</v>
      </c>
      <c r="I2299" s="2">
        <v>92</v>
      </c>
      <c r="J2299" s="2">
        <v>46</v>
      </c>
      <c r="K2299" s="2">
        <v>3</v>
      </c>
      <c r="O2299" s="2">
        <v>12</v>
      </c>
      <c r="U2299" s="2">
        <v>4</v>
      </c>
      <c r="V2299" s="2">
        <v>46</v>
      </c>
      <c r="W2299" s="2">
        <v>4</v>
      </c>
      <c r="X2299" s="2">
        <v>23</v>
      </c>
      <c r="Z2299" s="2">
        <v>92</v>
      </c>
      <c r="AA2299" s="3" t="s">
        <v>57</v>
      </c>
      <c r="AB2299" s="2">
        <v>2</v>
      </c>
      <c r="AF2299" s="2">
        <v>23</v>
      </c>
      <c r="AG2299" s="2">
        <v>1</v>
      </c>
      <c r="AH2299" s="3" t="s">
        <v>2194</v>
      </c>
      <c r="AI2299" s="4">
        <v>45056</v>
      </c>
      <c r="AJ2299" s="3" t="s">
        <v>2416</v>
      </c>
      <c r="AK2299" s="3" t="s">
        <v>38</v>
      </c>
    </row>
    <row r="2300" spans="1:37" hidden="1" x14ac:dyDescent="0.25">
      <c r="A2300" t="str">
        <f t="shared" si="35"/>
        <v>2023_SA_Pinery_Lentil_DetailedTOS1VarietyJumbo2WaterTrtIrrigated</v>
      </c>
      <c r="B2300" s="2">
        <v>2023024</v>
      </c>
      <c r="C2300" s="3" t="s">
        <v>2324</v>
      </c>
      <c r="D2300" s="3" t="s">
        <v>38</v>
      </c>
      <c r="F2300" s="3" t="s">
        <v>4176</v>
      </c>
      <c r="G2300" s="3" t="s">
        <v>43</v>
      </c>
      <c r="H2300" s="3" t="s">
        <v>253</v>
      </c>
      <c r="I2300" s="2">
        <v>93</v>
      </c>
      <c r="J2300" s="2">
        <v>47</v>
      </c>
      <c r="K2300" s="2">
        <v>3</v>
      </c>
      <c r="O2300" s="2">
        <v>12</v>
      </c>
      <c r="U2300" s="2">
        <v>1</v>
      </c>
      <c r="V2300" s="2">
        <v>47</v>
      </c>
      <c r="W2300" s="2">
        <v>1</v>
      </c>
      <c r="X2300" s="2">
        <v>24</v>
      </c>
      <c r="AA2300" s="3" t="s">
        <v>57</v>
      </c>
      <c r="AB2300" s="2">
        <v>3</v>
      </c>
      <c r="AF2300" s="2">
        <v>23</v>
      </c>
      <c r="AG2300" s="2">
        <v>1</v>
      </c>
      <c r="AH2300" s="3" t="s">
        <v>2194</v>
      </c>
      <c r="AI2300" s="4">
        <v>45056</v>
      </c>
      <c r="AJ2300" s="3" t="s">
        <v>2417</v>
      </c>
      <c r="AK2300" s="3" t="s">
        <v>38</v>
      </c>
    </row>
    <row r="2301" spans="1:37" hidden="1" x14ac:dyDescent="0.25">
      <c r="A2301" t="str">
        <f t="shared" si="35"/>
        <v>2023_SA_Pinery_Lentil_DetailedTOS1VarietyJumbo2WaterTrtIrrigated</v>
      </c>
      <c r="B2301" s="2">
        <v>2023024</v>
      </c>
      <c r="C2301" s="3" t="s">
        <v>2324</v>
      </c>
      <c r="D2301" s="3" t="s">
        <v>38</v>
      </c>
      <c r="F2301" s="3" t="s">
        <v>4176</v>
      </c>
      <c r="G2301" s="3" t="s">
        <v>43</v>
      </c>
      <c r="H2301" s="3" t="s">
        <v>250</v>
      </c>
      <c r="I2301" s="2">
        <v>94</v>
      </c>
      <c r="J2301" s="2">
        <v>47</v>
      </c>
      <c r="K2301" s="2">
        <v>3</v>
      </c>
      <c r="O2301" s="2">
        <v>12</v>
      </c>
      <c r="U2301" s="2">
        <v>2</v>
      </c>
      <c r="V2301" s="2">
        <v>47</v>
      </c>
      <c r="W2301" s="2">
        <v>2</v>
      </c>
      <c r="X2301" s="2">
        <v>24</v>
      </c>
      <c r="Z2301" s="2">
        <v>95</v>
      </c>
      <c r="AA2301" s="3" t="s">
        <v>57</v>
      </c>
      <c r="AB2301" s="2">
        <v>3</v>
      </c>
      <c r="AF2301" s="2">
        <v>23</v>
      </c>
      <c r="AG2301" s="2">
        <v>1</v>
      </c>
      <c r="AH2301" s="3" t="s">
        <v>2194</v>
      </c>
      <c r="AI2301" s="4">
        <v>45056</v>
      </c>
      <c r="AJ2301" s="3" t="s">
        <v>2418</v>
      </c>
      <c r="AK2301" s="3" t="s">
        <v>38</v>
      </c>
    </row>
    <row r="2302" spans="1:37" hidden="1" x14ac:dyDescent="0.25">
      <c r="A2302" t="str">
        <f t="shared" si="35"/>
        <v>2023_SA_Pinery_Lentil_DetailedTOS1VarietyKelpieXTWaterTrtIrrigated</v>
      </c>
      <c r="B2302" s="2">
        <v>2023024</v>
      </c>
      <c r="C2302" s="3" t="s">
        <v>2324</v>
      </c>
      <c r="D2302" s="3" t="s">
        <v>38</v>
      </c>
      <c r="F2302" s="3" t="s">
        <v>4188</v>
      </c>
      <c r="G2302" s="3" t="s">
        <v>43</v>
      </c>
      <c r="H2302" s="3" t="s">
        <v>253</v>
      </c>
      <c r="I2302" s="2">
        <v>95</v>
      </c>
      <c r="J2302" s="2">
        <v>48</v>
      </c>
      <c r="K2302" s="2">
        <v>3</v>
      </c>
      <c r="O2302" s="2">
        <v>12</v>
      </c>
      <c r="U2302" s="2">
        <v>3</v>
      </c>
      <c r="V2302" s="2">
        <v>47</v>
      </c>
      <c r="W2302" s="2">
        <v>3</v>
      </c>
      <c r="X2302" s="2">
        <v>24</v>
      </c>
      <c r="AA2302" s="3" t="s">
        <v>57</v>
      </c>
      <c r="AB2302" s="2">
        <v>4</v>
      </c>
      <c r="AF2302" s="2">
        <v>23</v>
      </c>
      <c r="AG2302" s="2">
        <v>1</v>
      </c>
      <c r="AH2302" s="3" t="s">
        <v>2194</v>
      </c>
      <c r="AI2302" s="4">
        <v>45056</v>
      </c>
      <c r="AJ2302" s="3" t="s">
        <v>2419</v>
      </c>
      <c r="AK2302" s="3" t="s">
        <v>38</v>
      </c>
    </row>
    <row r="2303" spans="1:37" hidden="1" x14ac:dyDescent="0.25">
      <c r="A2303" t="str">
        <f t="shared" si="35"/>
        <v>2023_SA_Pinery_Lentil_DetailedTOS1VarietyKelpieXTWaterTrtIrrigated</v>
      </c>
      <c r="B2303" s="2">
        <v>2023024</v>
      </c>
      <c r="C2303" s="3" t="s">
        <v>2324</v>
      </c>
      <c r="D2303" s="3" t="s">
        <v>38</v>
      </c>
      <c r="F2303" s="3" t="s">
        <v>4188</v>
      </c>
      <c r="G2303" s="3" t="s">
        <v>43</v>
      </c>
      <c r="H2303" s="3" t="s">
        <v>250</v>
      </c>
      <c r="I2303" s="2">
        <v>96</v>
      </c>
      <c r="J2303" s="2">
        <v>48</v>
      </c>
      <c r="K2303" s="2">
        <v>3</v>
      </c>
      <c r="O2303" s="2">
        <v>12</v>
      </c>
      <c r="U2303" s="2">
        <v>4</v>
      </c>
      <c r="V2303" s="2">
        <v>47</v>
      </c>
      <c r="W2303" s="2">
        <v>4</v>
      </c>
      <c r="X2303" s="2">
        <v>24</v>
      </c>
      <c r="Z2303" s="2">
        <v>93</v>
      </c>
      <c r="AA2303" s="3" t="s">
        <v>57</v>
      </c>
      <c r="AB2303" s="2">
        <v>4</v>
      </c>
      <c r="AF2303" s="2">
        <v>23</v>
      </c>
      <c r="AG2303" s="2">
        <v>1</v>
      </c>
      <c r="AH2303" s="3" t="s">
        <v>2194</v>
      </c>
      <c r="AI2303" s="4">
        <v>45056</v>
      </c>
      <c r="AJ2303" s="3" t="s">
        <v>2420</v>
      </c>
      <c r="AK2303" s="3" t="s">
        <v>38</v>
      </c>
    </row>
    <row r="2304" spans="1:37" hidden="1" x14ac:dyDescent="0.25">
      <c r="A2304" t="str">
        <f t="shared" si="35"/>
        <v>2023_SA_Pinery_Lentil_DetailedTOS1VarietyHallmarkXTWaterTrtIrrigated</v>
      </c>
      <c r="B2304" s="2">
        <v>2023024</v>
      </c>
      <c r="C2304" s="3" t="s">
        <v>2324</v>
      </c>
      <c r="D2304" s="3" t="s">
        <v>38</v>
      </c>
      <c r="F2304" s="3" t="s">
        <v>4189</v>
      </c>
      <c r="G2304" s="3" t="s">
        <v>39</v>
      </c>
      <c r="H2304" s="3" t="s">
        <v>253</v>
      </c>
      <c r="I2304" s="2">
        <v>97</v>
      </c>
      <c r="J2304" s="2">
        <v>49</v>
      </c>
      <c r="K2304" s="2">
        <v>4</v>
      </c>
      <c r="O2304" s="2">
        <v>13</v>
      </c>
      <c r="U2304" s="2">
        <v>1</v>
      </c>
      <c r="V2304" s="2">
        <v>50</v>
      </c>
      <c r="W2304" s="2">
        <v>1</v>
      </c>
      <c r="X2304" s="2">
        <v>25</v>
      </c>
      <c r="AA2304" s="3" t="s">
        <v>57</v>
      </c>
      <c r="AB2304" s="2">
        <v>2</v>
      </c>
      <c r="AF2304" s="2">
        <v>23</v>
      </c>
      <c r="AG2304" s="2">
        <v>1</v>
      </c>
      <c r="AH2304" s="3" t="s">
        <v>2194</v>
      </c>
      <c r="AI2304" s="4">
        <v>45056</v>
      </c>
      <c r="AJ2304" s="3" t="s">
        <v>2421</v>
      </c>
      <c r="AK2304" s="3" t="s">
        <v>38</v>
      </c>
    </row>
    <row r="2305" spans="1:37" hidden="1" x14ac:dyDescent="0.25">
      <c r="A2305" t="str">
        <f t="shared" si="35"/>
        <v>2023_SA_Pinery_Lentil_DetailedTOS1VarietyHallmarkXTWaterTrtIrrigated</v>
      </c>
      <c r="B2305" s="2">
        <v>2023024</v>
      </c>
      <c r="C2305" s="3" t="s">
        <v>2324</v>
      </c>
      <c r="D2305" s="3" t="s">
        <v>38</v>
      </c>
      <c r="F2305" s="3" t="s">
        <v>4189</v>
      </c>
      <c r="G2305" s="3" t="s">
        <v>39</v>
      </c>
      <c r="H2305" s="3" t="s">
        <v>250</v>
      </c>
      <c r="I2305" s="2">
        <v>98</v>
      </c>
      <c r="J2305" s="2">
        <v>49</v>
      </c>
      <c r="K2305" s="2">
        <v>4</v>
      </c>
      <c r="O2305" s="2">
        <v>13</v>
      </c>
      <c r="U2305" s="2">
        <v>2</v>
      </c>
      <c r="V2305" s="2">
        <v>50</v>
      </c>
      <c r="W2305" s="2">
        <v>2</v>
      </c>
      <c r="X2305" s="2">
        <v>25</v>
      </c>
      <c r="Z2305" s="2">
        <v>98</v>
      </c>
      <c r="AA2305" s="3" t="s">
        <v>57</v>
      </c>
      <c r="AB2305" s="2">
        <v>2</v>
      </c>
      <c r="AF2305" s="2">
        <v>23</v>
      </c>
      <c r="AG2305" s="2">
        <v>1</v>
      </c>
      <c r="AH2305" s="3" t="s">
        <v>2194</v>
      </c>
      <c r="AI2305" s="4">
        <v>45056</v>
      </c>
      <c r="AJ2305" s="3" t="s">
        <v>2422</v>
      </c>
      <c r="AK2305" s="3" t="s">
        <v>38</v>
      </c>
    </row>
    <row r="2306" spans="1:37" hidden="1" x14ac:dyDescent="0.25">
      <c r="A2306" t="str">
        <f t="shared" si="35"/>
        <v>2023_SA_Pinery_Lentil_DetailedTOS1VarietyKelpieXTWaterTrtIrrigated</v>
      </c>
      <c r="B2306" s="2">
        <v>2023024</v>
      </c>
      <c r="C2306" s="3" t="s">
        <v>2324</v>
      </c>
      <c r="D2306" s="3" t="s">
        <v>38</v>
      </c>
      <c r="F2306" s="3" t="s">
        <v>4188</v>
      </c>
      <c r="G2306" s="3" t="s">
        <v>43</v>
      </c>
      <c r="H2306" s="3" t="s">
        <v>253</v>
      </c>
      <c r="I2306" s="2">
        <v>99</v>
      </c>
      <c r="J2306" s="2">
        <v>50</v>
      </c>
      <c r="K2306" s="2">
        <v>4</v>
      </c>
      <c r="O2306" s="2">
        <v>13</v>
      </c>
      <c r="U2306" s="2">
        <v>3</v>
      </c>
      <c r="V2306" s="2">
        <v>50</v>
      </c>
      <c r="W2306" s="2">
        <v>3</v>
      </c>
      <c r="X2306" s="2">
        <v>25</v>
      </c>
      <c r="AA2306" s="3" t="s">
        <v>57</v>
      </c>
      <c r="AB2306" s="2">
        <v>4</v>
      </c>
      <c r="AF2306" s="2">
        <v>23</v>
      </c>
      <c r="AG2306" s="2">
        <v>1</v>
      </c>
      <c r="AH2306" s="3" t="s">
        <v>2194</v>
      </c>
      <c r="AI2306" s="4">
        <v>45056</v>
      </c>
      <c r="AJ2306" s="3" t="s">
        <v>2423</v>
      </c>
      <c r="AK2306" s="3" t="s">
        <v>38</v>
      </c>
    </row>
    <row r="2307" spans="1:37" hidden="1" x14ac:dyDescent="0.25">
      <c r="A2307" t="str">
        <f t="shared" ref="A2307:A2370" si="36">C2307&amp;"TOS"&amp;AG2307&amp;"Variety"&amp;F2307&amp;"WaterTrt"&amp;AA2307&amp;IF(AC2307="","","Agronomy"&amp;AC2307)</f>
        <v>2023_SA_Pinery_Lentil_DetailedTOS1VarietyKelpieXTWaterTrtIrrigated</v>
      </c>
      <c r="B2307" s="2">
        <v>2023024</v>
      </c>
      <c r="C2307" s="3" t="s">
        <v>2324</v>
      </c>
      <c r="D2307" s="3" t="s">
        <v>38</v>
      </c>
      <c r="F2307" s="3" t="s">
        <v>4188</v>
      </c>
      <c r="G2307" s="3" t="s">
        <v>43</v>
      </c>
      <c r="H2307" s="3" t="s">
        <v>250</v>
      </c>
      <c r="I2307" s="2">
        <v>100</v>
      </c>
      <c r="J2307" s="2">
        <v>50</v>
      </c>
      <c r="K2307" s="2">
        <v>4</v>
      </c>
      <c r="O2307" s="2">
        <v>13</v>
      </c>
      <c r="U2307" s="2">
        <v>4</v>
      </c>
      <c r="V2307" s="2">
        <v>50</v>
      </c>
      <c r="W2307" s="2">
        <v>4</v>
      </c>
      <c r="X2307" s="2">
        <v>25</v>
      </c>
      <c r="Z2307" s="2">
        <v>100</v>
      </c>
      <c r="AA2307" s="3" t="s">
        <v>57</v>
      </c>
      <c r="AB2307" s="2">
        <v>4</v>
      </c>
      <c r="AF2307" s="2">
        <v>23</v>
      </c>
      <c r="AG2307" s="2">
        <v>1</v>
      </c>
      <c r="AH2307" s="3" t="s">
        <v>2194</v>
      </c>
      <c r="AI2307" s="4">
        <v>45056</v>
      </c>
      <c r="AJ2307" s="3" t="s">
        <v>2424</v>
      </c>
      <c r="AK2307" s="3" t="s">
        <v>38</v>
      </c>
    </row>
    <row r="2308" spans="1:37" hidden="1" x14ac:dyDescent="0.25">
      <c r="A2308" t="str">
        <f t="shared" si="36"/>
        <v>2023_SA_Pinery_Lentil_DetailedTOS1VarietyBoltWaterTrtIrrigated</v>
      </c>
      <c r="B2308" s="2">
        <v>2023024</v>
      </c>
      <c r="C2308" s="3" t="s">
        <v>2324</v>
      </c>
      <c r="D2308" s="3" t="s">
        <v>38</v>
      </c>
      <c r="F2308" s="3" t="s">
        <v>4187</v>
      </c>
      <c r="G2308" s="3" t="s">
        <v>39</v>
      </c>
      <c r="H2308" s="3" t="s">
        <v>253</v>
      </c>
      <c r="I2308" s="2">
        <v>101</v>
      </c>
      <c r="J2308" s="2">
        <v>51</v>
      </c>
      <c r="K2308" s="2">
        <v>4</v>
      </c>
      <c r="O2308" s="2">
        <v>13</v>
      </c>
      <c r="U2308" s="2">
        <v>1</v>
      </c>
      <c r="V2308" s="2">
        <v>51</v>
      </c>
      <c r="W2308" s="2">
        <v>1</v>
      </c>
      <c r="X2308" s="2">
        <v>26</v>
      </c>
      <c r="AA2308" s="3" t="s">
        <v>57</v>
      </c>
      <c r="AB2308" s="2">
        <v>1</v>
      </c>
      <c r="AF2308" s="2">
        <v>23</v>
      </c>
      <c r="AG2308" s="2">
        <v>1</v>
      </c>
      <c r="AH2308" s="3" t="s">
        <v>2194</v>
      </c>
      <c r="AI2308" s="4">
        <v>45056</v>
      </c>
      <c r="AJ2308" s="3" t="s">
        <v>2425</v>
      </c>
      <c r="AK2308" s="3" t="s">
        <v>38</v>
      </c>
    </row>
    <row r="2309" spans="1:37" hidden="1" x14ac:dyDescent="0.25">
      <c r="A2309" t="str">
        <f t="shared" si="36"/>
        <v>2023_SA_Pinery_Lentil_DetailedTOS1VarietyBoltWaterTrtIrrigated</v>
      </c>
      <c r="B2309" s="2">
        <v>2023024</v>
      </c>
      <c r="C2309" s="3" t="s">
        <v>2324</v>
      </c>
      <c r="D2309" s="3" t="s">
        <v>38</v>
      </c>
      <c r="F2309" s="3" t="s">
        <v>4187</v>
      </c>
      <c r="G2309" s="3" t="s">
        <v>39</v>
      </c>
      <c r="H2309" s="3" t="s">
        <v>250</v>
      </c>
      <c r="I2309" s="2">
        <v>102</v>
      </c>
      <c r="J2309" s="2">
        <v>51</v>
      </c>
      <c r="K2309" s="2">
        <v>4</v>
      </c>
      <c r="O2309" s="2">
        <v>13</v>
      </c>
      <c r="U2309" s="2">
        <v>2</v>
      </c>
      <c r="V2309" s="2">
        <v>51</v>
      </c>
      <c r="W2309" s="2">
        <v>2</v>
      </c>
      <c r="X2309" s="2">
        <v>26</v>
      </c>
      <c r="Z2309" s="2">
        <v>103</v>
      </c>
      <c r="AA2309" s="3" t="s">
        <v>57</v>
      </c>
      <c r="AB2309" s="2">
        <v>1</v>
      </c>
      <c r="AF2309" s="2">
        <v>23</v>
      </c>
      <c r="AG2309" s="2">
        <v>1</v>
      </c>
      <c r="AH2309" s="3" t="s">
        <v>2194</v>
      </c>
      <c r="AI2309" s="4">
        <v>45056</v>
      </c>
      <c r="AJ2309" s="3" t="s">
        <v>2426</v>
      </c>
      <c r="AK2309" s="3" t="s">
        <v>38</v>
      </c>
    </row>
    <row r="2310" spans="1:37" hidden="1" x14ac:dyDescent="0.25">
      <c r="A2310" t="str">
        <f t="shared" si="36"/>
        <v>2023_SA_Pinery_Lentil_DetailedTOS1VarietyJumbo2WaterTrtIrrigated</v>
      </c>
      <c r="B2310" s="2">
        <v>2023024</v>
      </c>
      <c r="C2310" s="3" t="s">
        <v>2324</v>
      </c>
      <c r="D2310" s="3" t="s">
        <v>38</v>
      </c>
      <c r="F2310" s="3" t="s">
        <v>4176</v>
      </c>
      <c r="G2310" s="3" t="s">
        <v>43</v>
      </c>
      <c r="H2310" s="3" t="s">
        <v>253</v>
      </c>
      <c r="I2310" s="2">
        <v>103</v>
      </c>
      <c r="J2310" s="2">
        <v>52</v>
      </c>
      <c r="K2310" s="2">
        <v>4</v>
      </c>
      <c r="O2310" s="2">
        <v>13</v>
      </c>
      <c r="U2310" s="2">
        <v>3</v>
      </c>
      <c r="V2310" s="2">
        <v>51</v>
      </c>
      <c r="W2310" s="2">
        <v>3</v>
      </c>
      <c r="X2310" s="2">
        <v>26</v>
      </c>
      <c r="AA2310" s="3" t="s">
        <v>57</v>
      </c>
      <c r="AB2310" s="2">
        <v>3</v>
      </c>
      <c r="AF2310" s="2">
        <v>23</v>
      </c>
      <c r="AG2310" s="2">
        <v>1</v>
      </c>
      <c r="AH2310" s="3" t="s">
        <v>2194</v>
      </c>
      <c r="AI2310" s="4">
        <v>45056</v>
      </c>
      <c r="AJ2310" s="3" t="s">
        <v>2427</v>
      </c>
      <c r="AK2310" s="3" t="s">
        <v>38</v>
      </c>
    </row>
    <row r="2311" spans="1:37" hidden="1" x14ac:dyDescent="0.25">
      <c r="A2311" t="str">
        <f t="shared" si="36"/>
        <v>2023_SA_Pinery_Lentil_DetailedTOS1VarietyJumbo2WaterTrtIrrigated</v>
      </c>
      <c r="B2311" s="2">
        <v>2023024</v>
      </c>
      <c r="C2311" s="3" t="s">
        <v>2324</v>
      </c>
      <c r="D2311" s="3" t="s">
        <v>38</v>
      </c>
      <c r="F2311" s="3" t="s">
        <v>4176</v>
      </c>
      <c r="G2311" s="3" t="s">
        <v>43</v>
      </c>
      <c r="H2311" s="3" t="s">
        <v>250</v>
      </c>
      <c r="I2311" s="2">
        <v>104</v>
      </c>
      <c r="J2311" s="2">
        <v>52</v>
      </c>
      <c r="K2311" s="2">
        <v>4</v>
      </c>
      <c r="O2311" s="2">
        <v>13</v>
      </c>
      <c r="U2311" s="2">
        <v>4</v>
      </c>
      <c r="V2311" s="2">
        <v>51</v>
      </c>
      <c r="W2311" s="2">
        <v>4</v>
      </c>
      <c r="X2311" s="2">
        <v>26</v>
      </c>
      <c r="Z2311" s="2">
        <v>101</v>
      </c>
      <c r="AA2311" s="3" t="s">
        <v>57</v>
      </c>
      <c r="AB2311" s="2">
        <v>3</v>
      </c>
      <c r="AF2311" s="2">
        <v>23</v>
      </c>
      <c r="AG2311" s="2">
        <v>1</v>
      </c>
      <c r="AH2311" s="3" t="s">
        <v>2194</v>
      </c>
      <c r="AI2311" s="4">
        <v>45056</v>
      </c>
      <c r="AJ2311" s="3" t="s">
        <v>2428</v>
      </c>
      <c r="AK2311" s="3" t="s">
        <v>38</v>
      </c>
    </row>
    <row r="2312" spans="1:37" hidden="1" x14ac:dyDescent="0.25">
      <c r="A2312" t="str">
        <f t="shared" si="36"/>
        <v>2023_SA_Pinery_Lentil_DetailedTOS2VarietyKelpieXTWaterTrtIrrigated</v>
      </c>
      <c r="B2312" s="2">
        <v>2023024</v>
      </c>
      <c r="C2312" s="3" t="s">
        <v>2324</v>
      </c>
      <c r="D2312" s="3" t="s">
        <v>38</v>
      </c>
      <c r="F2312" s="3" t="s">
        <v>4188</v>
      </c>
      <c r="G2312" s="3" t="s">
        <v>43</v>
      </c>
      <c r="H2312" s="3" t="s">
        <v>253</v>
      </c>
      <c r="I2312" s="2">
        <v>105</v>
      </c>
      <c r="J2312" s="2">
        <v>53</v>
      </c>
      <c r="K2312" s="2">
        <v>4</v>
      </c>
      <c r="O2312" s="2">
        <v>14</v>
      </c>
      <c r="U2312" s="2">
        <v>1</v>
      </c>
      <c r="V2312" s="2">
        <v>54</v>
      </c>
      <c r="W2312" s="2">
        <v>1</v>
      </c>
      <c r="X2312" s="2">
        <v>27</v>
      </c>
      <c r="AA2312" s="3" t="s">
        <v>57</v>
      </c>
      <c r="AB2312" s="2">
        <v>4</v>
      </c>
      <c r="AF2312" s="2">
        <v>23</v>
      </c>
      <c r="AG2312" s="2">
        <v>2</v>
      </c>
      <c r="AH2312" s="3" t="s">
        <v>2211</v>
      </c>
      <c r="AI2312" s="4">
        <v>45105</v>
      </c>
      <c r="AJ2312" s="3" t="s">
        <v>2429</v>
      </c>
      <c r="AK2312" s="3" t="s">
        <v>38</v>
      </c>
    </row>
    <row r="2313" spans="1:37" hidden="1" x14ac:dyDescent="0.25">
      <c r="A2313" t="str">
        <f t="shared" si="36"/>
        <v>2023_SA_Pinery_Lentil_DetailedTOS2VarietyKelpieXTWaterTrtIrrigated</v>
      </c>
      <c r="B2313" s="2">
        <v>2023024</v>
      </c>
      <c r="C2313" s="3" t="s">
        <v>2324</v>
      </c>
      <c r="D2313" s="3" t="s">
        <v>38</v>
      </c>
      <c r="F2313" s="3" t="s">
        <v>4188</v>
      </c>
      <c r="G2313" s="3" t="s">
        <v>43</v>
      </c>
      <c r="H2313" s="3" t="s">
        <v>250</v>
      </c>
      <c r="I2313" s="2">
        <v>106</v>
      </c>
      <c r="J2313" s="2">
        <v>53</v>
      </c>
      <c r="K2313" s="2">
        <v>4</v>
      </c>
      <c r="O2313" s="2">
        <v>14</v>
      </c>
      <c r="U2313" s="2">
        <v>2</v>
      </c>
      <c r="V2313" s="2">
        <v>54</v>
      </c>
      <c r="W2313" s="2">
        <v>2</v>
      </c>
      <c r="X2313" s="2">
        <v>27</v>
      </c>
      <c r="Z2313" s="2">
        <v>106</v>
      </c>
      <c r="AA2313" s="3" t="s">
        <v>57</v>
      </c>
      <c r="AB2313" s="2">
        <v>4</v>
      </c>
      <c r="AF2313" s="2">
        <v>23</v>
      </c>
      <c r="AG2313" s="2">
        <v>2</v>
      </c>
      <c r="AH2313" s="3" t="s">
        <v>2211</v>
      </c>
      <c r="AI2313" s="4">
        <v>45105</v>
      </c>
      <c r="AJ2313" s="3" t="s">
        <v>2430</v>
      </c>
      <c r="AK2313" s="3" t="s">
        <v>38</v>
      </c>
    </row>
    <row r="2314" spans="1:37" hidden="1" x14ac:dyDescent="0.25">
      <c r="A2314" t="str">
        <f t="shared" si="36"/>
        <v>2023_SA_Pinery_Lentil_DetailedTOS2VarietyHallmarkXTWaterTrtIrrigated</v>
      </c>
      <c r="B2314" s="2">
        <v>2023024</v>
      </c>
      <c r="C2314" s="3" t="s">
        <v>2324</v>
      </c>
      <c r="D2314" s="3" t="s">
        <v>38</v>
      </c>
      <c r="F2314" s="3" t="s">
        <v>4189</v>
      </c>
      <c r="G2314" s="3" t="s">
        <v>39</v>
      </c>
      <c r="H2314" s="3" t="s">
        <v>253</v>
      </c>
      <c r="I2314" s="2">
        <v>107</v>
      </c>
      <c r="J2314" s="2">
        <v>54</v>
      </c>
      <c r="K2314" s="2">
        <v>4</v>
      </c>
      <c r="O2314" s="2">
        <v>14</v>
      </c>
      <c r="U2314" s="2">
        <v>3</v>
      </c>
      <c r="V2314" s="2">
        <v>54</v>
      </c>
      <c r="W2314" s="2">
        <v>3</v>
      </c>
      <c r="X2314" s="2">
        <v>27</v>
      </c>
      <c r="AA2314" s="3" t="s">
        <v>57</v>
      </c>
      <c r="AB2314" s="2">
        <v>2</v>
      </c>
      <c r="AF2314" s="2">
        <v>23</v>
      </c>
      <c r="AG2314" s="2">
        <v>2</v>
      </c>
      <c r="AH2314" s="3" t="s">
        <v>2211</v>
      </c>
      <c r="AI2314" s="4">
        <v>45105</v>
      </c>
      <c r="AJ2314" s="3" t="s">
        <v>2431</v>
      </c>
      <c r="AK2314" s="3" t="s">
        <v>38</v>
      </c>
    </row>
    <row r="2315" spans="1:37" hidden="1" x14ac:dyDescent="0.25">
      <c r="A2315" t="str">
        <f t="shared" si="36"/>
        <v>2023_SA_Pinery_Lentil_DetailedTOS2VarietyHallmarkXTWaterTrtIrrigated</v>
      </c>
      <c r="B2315" s="2">
        <v>2023024</v>
      </c>
      <c r="C2315" s="3" t="s">
        <v>2324</v>
      </c>
      <c r="D2315" s="3" t="s">
        <v>38</v>
      </c>
      <c r="F2315" s="3" t="s">
        <v>4189</v>
      </c>
      <c r="G2315" s="3" t="s">
        <v>39</v>
      </c>
      <c r="H2315" s="3" t="s">
        <v>250</v>
      </c>
      <c r="I2315" s="2">
        <v>108</v>
      </c>
      <c r="J2315" s="2">
        <v>54</v>
      </c>
      <c r="K2315" s="2">
        <v>4</v>
      </c>
      <c r="O2315" s="2">
        <v>14</v>
      </c>
      <c r="U2315" s="2">
        <v>4</v>
      </c>
      <c r="V2315" s="2">
        <v>54</v>
      </c>
      <c r="W2315" s="2">
        <v>4</v>
      </c>
      <c r="X2315" s="2">
        <v>27</v>
      </c>
      <c r="Z2315" s="2">
        <v>108</v>
      </c>
      <c r="AA2315" s="3" t="s">
        <v>57</v>
      </c>
      <c r="AB2315" s="2">
        <v>2</v>
      </c>
      <c r="AF2315" s="2">
        <v>23</v>
      </c>
      <c r="AG2315" s="2">
        <v>2</v>
      </c>
      <c r="AH2315" s="3" t="s">
        <v>2211</v>
      </c>
      <c r="AI2315" s="4">
        <v>45105</v>
      </c>
      <c r="AJ2315" s="3" t="s">
        <v>2432</v>
      </c>
      <c r="AK2315" s="3" t="s">
        <v>38</v>
      </c>
    </row>
    <row r="2316" spans="1:37" hidden="1" x14ac:dyDescent="0.25">
      <c r="A2316" t="str">
        <f t="shared" si="36"/>
        <v>2023_SA_Pinery_Lentil_DetailedTOS2VarietyJumbo2WaterTrtIrrigated</v>
      </c>
      <c r="B2316" s="2">
        <v>2023024</v>
      </c>
      <c r="C2316" s="3" t="s">
        <v>2324</v>
      </c>
      <c r="D2316" s="3" t="s">
        <v>38</v>
      </c>
      <c r="F2316" s="3" t="s">
        <v>4176</v>
      </c>
      <c r="G2316" s="3" t="s">
        <v>43</v>
      </c>
      <c r="H2316" s="3" t="s">
        <v>253</v>
      </c>
      <c r="I2316" s="2">
        <v>109</v>
      </c>
      <c r="J2316" s="2">
        <v>55</v>
      </c>
      <c r="K2316" s="2">
        <v>4</v>
      </c>
      <c r="O2316" s="2">
        <v>14</v>
      </c>
      <c r="U2316" s="2">
        <v>1</v>
      </c>
      <c r="V2316" s="2">
        <v>55</v>
      </c>
      <c r="W2316" s="2">
        <v>1</v>
      </c>
      <c r="X2316" s="2">
        <v>28</v>
      </c>
      <c r="AA2316" s="3" t="s">
        <v>57</v>
      </c>
      <c r="AB2316" s="2">
        <v>3</v>
      </c>
      <c r="AF2316" s="2">
        <v>23</v>
      </c>
      <c r="AG2316" s="2">
        <v>2</v>
      </c>
      <c r="AH2316" s="3" t="s">
        <v>2211</v>
      </c>
      <c r="AI2316" s="4">
        <v>45105</v>
      </c>
      <c r="AJ2316" s="3" t="s">
        <v>2433</v>
      </c>
      <c r="AK2316" s="3" t="s">
        <v>38</v>
      </c>
    </row>
    <row r="2317" spans="1:37" hidden="1" x14ac:dyDescent="0.25">
      <c r="A2317" t="str">
        <f t="shared" si="36"/>
        <v>2023_SA_Pinery_Lentil_DetailedTOS2VarietyJumbo2WaterTrtIrrigated</v>
      </c>
      <c r="B2317" s="2">
        <v>2023024</v>
      </c>
      <c r="C2317" s="3" t="s">
        <v>2324</v>
      </c>
      <c r="D2317" s="3" t="s">
        <v>38</v>
      </c>
      <c r="F2317" s="3" t="s">
        <v>4176</v>
      </c>
      <c r="G2317" s="3" t="s">
        <v>43</v>
      </c>
      <c r="H2317" s="3" t="s">
        <v>250</v>
      </c>
      <c r="I2317" s="2">
        <v>110</v>
      </c>
      <c r="J2317" s="2">
        <v>55</v>
      </c>
      <c r="K2317" s="2">
        <v>4</v>
      </c>
      <c r="O2317" s="2">
        <v>14</v>
      </c>
      <c r="U2317" s="2">
        <v>2</v>
      </c>
      <c r="V2317" s="2">
        <v>55</v>
      </c>
      <c r="W2317" s="2">
        <v>2</v>
      </c>
      <c r="X2317" s="2">
        <v>28</v>
      </c>
      <c r="Z2317" s="2">
        <v>111</v>
      </c>
      <c r="AA2317" s="3" t="s">
        <v>57</v>
      </c>
      <c r="AB2317" s="2">
        <v>3</v>
      </c>
      <c r="AF2317" s="2">
        <v>23</v>
      </c>
      <c r="AG2317" s="2">
        <v>2</v>
      </c>
      <c r="AH2317" s="3" t="s">
        <v>2211</v>
      </c>
      <c r="AI2317" s="4">
        <v>45105</v>
      </c>
      <c r="AJ2317" s="3" t="s">
        <v>2434</v>
      </c>
      <c r="AK2317" s="3" t="s">
        <v>38</v>
      </c>
    </row>
    <row r="2318" spans="1:37" hidden="1" x14ac:dyDescent="0.25">
      <c r="A2318" t="str">
        <f t="shared" si="36"/>
        <v>2023_SA_Pinery_Lentil_DetailedTOS2VarietyBoltWaterTrtIrrigated</v>
      </c>
      <c r="B2318" s="2">
        <v>2023024</v>
      </c>
      <c r="C2318" s="3" t="s">
        <v>2324</v>
      </c>
      <c r="D2318" s="3" t="s">
        <v>38</v>
      </c>
      <c r="F2318" s="3" t="s">
        <v>4187</v>
      </c>
      <c r="G2318" s="3" t="s">
        <v>39</v>
      </c>
      <c r="H2318" s="3" t="s">
        <v>253</v>
      </c>
      <c r="I2318" s="2">
        <v>111</v>
      </c>
      <c r="J2318" s="2">
        <v>56</v>
      </c>
      <c r="K2318" s="2">
        <v>4</v>
      </c>
      <c r="O2318" s="2">
        <v>14</v>
      </c>
      <c r="U2318" s="2">
        <v>3</v>
      </c>
      <c r="V2318" s="2">
        <v>55</v>
      </c>
      <c r="W2318" s="2">
        <v>3</v>
      </c>
      <c r="X2318" s="2">
        <v>28</v>
      </c>
      <c r="AA2318" s="3" t="s">
        <v>57</v>
      </c>
      <c r="AB2318" s="2">
        <v>1</v>
      </c>
      <c r="AF2318" s="2">
        <v>23</v>
      </c>
      <c r="AG2318" s="2">
        <v>2</v>
      </c>
      <c r="AH2318" s="3" t="s">
        <v>2211</v>
      </c>
      <c r="AI2318" s="4">
        <v>45105</v>
      </c>
      <c r="AJ2318" s="3" t="s">
        <v>2435</v>
      </c>
      <c r="AK2318" s="3" t="s">
        <v>38</v>
      </c>
    </row>
    <row r="2319" spans="1:37" hidden="1" x14ac:dyDescent="0.25">
      <c r="A2319" t="str">
        <f t="shared" si="36"/>
        <v>2023_SA_Pinery_Lentil_DetailedTOS2VarietyBoltWaterTrtIrrigated</v>
      </c>
      <c r="B2319" s="2">
        <v>2023024</v>
      </c>
      <c r="C2319" s="3" t="s">
        <v>2324</v>
      </c>
      <c r="D2319" s="3" t="s">
        <v>38</v>
      </c>
      <c r="F2319" s="3" t="s">
        <v>4187</v>
      </c>
      <c r="G2319" s="3" t="s">
        <v>39</v>
      </c>
      <c r="H2319" s="3" t="s">
        <v>250</v>
      </c>
      <c r="I2319" s="2">
        <v>112</v>
      </c>
      <c r="J2319" s="2">
        <v>56</v>
      </c>
      <c r="K2319" s="2">
        <v>4</v>
      </c>
      <c r="O2319" s="2">
        <v>14</v>
      </c>
      <c r="U2319" s="2">
        <v>4</v>
      </c>
      <c r="V2319" s="2">
        <v>55</v>
      </c>
      <c r="W2319" s="2">
        <v>4</v>
      </c>
      <c r="X2319" s="2">
        <v>28</v>
      </c>
      <c r="Z2319" s="2">
        <v>109</v>
      </c>
      <c r="AA2319" s="3" t="s">
        <v>57</v>
      </c>
      <c r="AB2319" s="2">
        <v>1</v>
      </c>
      <c r="AF2319" s="2">
        <v>23</v>
      </c>
      <c r="AG2319" s="2">
        <v>2</v>
      </c>
      <c r="AH2319" s="3" t="s">
        <v>2211</v>
      </c>
      <c r="AI2319" s="4">
        <v>45105</v>
      </c>
      <c r="AJ2319" s="3" t="s">
        <v>2436</v>
      </c>
      <c r="AK2319" s="3" t="s">
        <v>38</v>
      </c>
    </row>
    <row r="2320" spans="1:37" hidden="1" x14ac:dyDescent="0.25">
      <c r="A2320" t="str">
        <f t="shared" si="36"/>
        <v>2023_SA_Pinery_Lentil_DetailedTOS1VarietyBoltWaterTrtRainFed</v>
      </c>
      <c r="B2320" s="2">
        <v>2023024</v>
      </c>
      <c r="C2320" s="3" t="s">
        <v>2324</v>
      </c>
      <c r="D2320" s="3" t="s">
        <v>38</v>
      </c>
      <c r="F2320" s="3" t="s">
        <v>4187</v>
      </c>
      <c r="G2320" s="3" t="s">
        <v>39</v>
      </c>
      <c r="H2320" s="3" t="s">
        <v>253</v>
      </c>
      <c r="I2320" s="2">
        <v>113</v>
      </c>
      <c r="J2320" s="2">
        <v>57</v>
      </c>
      <c r="K2320" s="2">
        <v>4</v>
      </c>
      <c r="O2320" s="2">
        <v>15</v>
      </c>
      <c r="U2320" s="2">
        <v>1</v>
      </c>
      <c r="V2320" s="2">
        <v>58</v>
      </c>
      <c r="W2320" s="2">
        <v>1</v>
      </c>
      <c r="X2320" s="2">
        <v>29</v>
      </c>
      <c r="AA2320" s="3" t="s">
        <v>40</v>
      </c>
      <c r="AB2320" s="2">
        <v>1</v>
      </c>
      <c r="AF2320" s="2">
        <v>23</v>
      </c>
      <c r="AG2320" s="2">
        <v>1</v>
      </c>
      <c r="AH2320" s="3" t="s">
        <v>2194</v>
      </c>
      <c r="AI2320" s="4">
        <v>45056</v>
      </c>
      <c r="AJ2320" s="3" t="s">
        <v>2437</v>
      </c>
      <c r="AK2320" s="3" t="s">
        <v>38</v>
      </c>
    </row>
    <row r="2321" spans="1:37" hidden="1" x14ac:dyDescent="0.25">
      <c r="A2321" t="str">
        <f t="shared" si="36"/>
        <v>2023_SA_Pinery_Lentil_DetailedTOS1VarietyBoltWaterTrtRainFed</v>
      </c>
      <c r="B2321" s="2">
        <v>2023024</v>
      </c>
      <c r="C2321" s="3" t="s">
        <v>2324</v>
      </c>
      <c r="D2321" s="3" t="s">
        <v>38</v>
      </c>
      <c r="F2321" s="3" t="s">
        <v>4187</v>
      </c>
      <c r="G2321" s="3" t="s">
        <v>39</v>
      </c>
      <c r="H2321" s="3" t="s">
        <v>250</v>
      </c>
      <c r="I2321" s="2">
        <v>114</v>
      </c>
      <c r="J2321" s="2">
        <v>57</v>
      </c>
      <c r="K2321" s="2">
        <v>4</v>
      </c>
      <c r="O2321" s="2">
        <v>15</v>
      </c>
      <c r="U2321" s="2">
        <v>2</v>
      </c>
      <c r="V2321" s="2">
        <v>58</v>
      </c>
      <c r="W2321" s="2">
        <v>2</v>
      </c>
      <c r="X2321" s="2">
        <v>29</v>
      </c>
      <c r="Z2321" s="2">
        <v>114</v>
      </c>
      <c r="AA2321" s="3" t="s">
        <v>40</v>
      </c>
      <c r="AB2321" s="2">
        <v>1</v>
      </c>
      <c r="AF2321" s="2">
        <v>23</v>
      </c>
      <c r="AG2321" s="2">
        <v>1</v>
      </c>
      <c r="AH2321" s="3" t="s">
        <v>2194</v>
      </c>
      <c r="AI2321" s="4">
        <v>45056</v>
      </c>
      <c r="AJ2321" s="3" t="s">
        <v>2438</v>
      </c>
      <c r="AK2321" s="3" t="s">
        <v>38</v>
      </c>
    </row>
    <row r="2322" spans="1:37" hidden="1" x14ac:dyDescent="0.25">
      <c r="A2322" t="str">
        <f t="shared" si="36"/>
        <v>2023_SA_Pinery_Lentil_DetailedTOS1VarietyJumbo2WaterTrtRainFed</v>
      </c>
      <c r="B2322" s="2">
        <v>2023024</v>
      </c>
      <c r="C2322" s="3" t="s">
        <v>2324</v>
      </c>
      <c r="D2322" s="3" t="s">
        <v>38</v>
      </c>
      <c r="F2322" s="3" t="s">
        <v>4176</v>
      </c>
      <c r="G2322" s="3" t="s">
        <v>43</v>
      </c>
      <c r="H2322" s="3" t="s">
        <v>253</v>
      </c>
      <c r="I2322" s="2">
        <v>115</v>
      </c>
      <c r="J2322" s="2">
        <v>58</v>
      </c>
      <c r="K2322" s="2">
        <v>4</v>
      </c>
      <c r="O2322" s="2">
        <v>15</v>
      </c>
      <c r="U2322" s="2">
        <v>3</v>
      </c>
      <c r="V2322" s="2">
        <v>58</v>
      </c>
      <c r="W2322" s="2">
        <v>3</v>
      </c>
      <c r="X2322" s="2">
        <v>29</v>
      </c>
      <c r="AA2322" s="3" t="s">
        <v>40</v>
      </c>
      <c r="AB2322" s="2">
        <v>3</v>
      </c>
      <c r="AF2322" s="2">
        <v>23</v>
      </c>
      <c r="AG2322" s="2">
        <v>1</v>
      </c>
      <c r="AH2322" s="3" t="s">
        <v>2194</v>
      </c>
      <c r="AI2322" s="4">
        <v>45056</v>
      </c>
      <c r="AJ2322" s="3" t="s">
        <v>2439</v>
      </c>
      <c r="AK2322" s="3" t="s">
        <v>38</v>
      </c>
    </row>
    <row r="2323" spans="1:37" hidden="1" x14ac:dyDescent="0.25">
      <c r="A2323" t="str">
        <f t="shared" si="36"/>
        <v>2023_SA_Pinery_Lentil_DetailedTOS1VarietyJumbo2WaterTrtRainFed</v>
      </c>
      <c r="B2323" s="2">
        <v>2023024</v>
      </c>
      <c r="C2323" s="3" t="s">
        <v>2324</v>
      </c>
      <c r="D2323" s="3" t="s">
        <v>38</v>
      </c>
      <c r="F2323" s="3" t="s">
        <v>4176</v>
      </c>
      <c r="G2323" s="3" t="s">
        <v>43</v>
      </c>
      <c r="H2323" s="3" t="s">
        <v>250</v>
      </c>
      <c r="I2323" s="2">
        <v>116</v>
      </c>
      <c r="J2323" s="2">
        <v>58</v>
      </c>
      <c r="K2323" s="2">
        <v>4</v>
      </c>
      <c r="O2323" s="2">
        <v>15</v>
      </c>
      <c r="U2323" s="2">
        <v>4</v>
      </c>
      <c r="V2323" s="2">
        <v>58</v>
      </c>
      <c r="W2323" s="2">
        <v>4</v>
      </c>
      <c r="X2323" s="2">
        <v>29</v>
      </c>
      <c r="Z2323" s="2">
        <v>116</v>
      </c>
      <c r="AA2323" s="3" t="s">
        <v>40</v>
      </c>
      <c r="AB2323" s="2">
        <v>3</v>
      </c>
      <c r="AF2323" s="2">
        <v>23</v>
      </c>
      <c r="AG2323" s="2">
        <v>1</v>
      </c>
      <c r="AH2323" s="3" t="s">
        <v>2194</v>
      </c>
      <c r="AI2323" s="4">
        <v>45056</v>
      </c>
      <c r="AJ2323" s="3" t="s">
        <v>2440</v>
      </c>
      <c r="AK2323" s="3" t="s">
        <v>38</v>
      </c>
    </row>
    <row r="2324" spans="1:37" hidden="1" x14ac:dyDescent="0.25">
      <c r="A2324" t="str">
        <f t="shared" si="36"/>
        <v>2023_SA_Pinery_Lentil_DetailedTOS1VarietyKelpieXTWaterTrtRainFed</v>
      </c>
      <c r="B2324" s="2">
        <v>2023024</v>
      </c>
      <c r="C2324" s="3" t="s">
        <v>2324</v>
      </c>
      <c r="D2324" s="3" t="s">
        <v>38</v>
      </c>
      <c r="F2324" s="3" t="s">
        <v>4188</v>
      </c>
      <c r="G2324" s="3" t="s">
        <v>43</v>
      </c>
      <c r="H2324" s="3" t="s">
        <v>253</v>
      </c>
      <c r="I2324" s="2">
        <v>117</v>
      </c>
      <c r="J2324" s="2">
        <v>59</v>
      </c>
      <c r="K2324" s="2">
        <v>4</v>
      </c>
      <c r="O2324" s="2">
        <v>15</v>
      </c>
      <c r="U2324" s="2">
        <v>1</v>
      </c>
      <c r="V2324" s="2">
        <v>59</v>
      </c>
      <c r="W2324" s="2">
        <v>1</v>
      </c>
      <c r="X2324" s="2">
        <v>30</v>
      </c>
      <c r="AA2324" s="3" t="s">
        <v>40</v>
      </c>
      <c r="AB2324" s="2">
        <v>4</v>
      </c>
      <c r="AF2324" s="2">
        <v>23</v>
      </c>
      <c r="AG2324" s="2">
        <v>1</v>
      </c>
      <c r="AH2324" s="3" t="s">
        <v>2194</v>
      </c>
      <c r="AI2324" s="4">
        <v>45056</v>
      </c>
      <c r="AJ2324" s="3" t="s">
        <v>2441</v>
      </c>
      <c r="AK2324" s="3" t="s">
        <v>38</v>
      </c>
    </row>
    <row r="2325" spans="1:37" hidden="1" x14ac:dyDescent="0.25">
      <c r="A2325" t="str">
        <f t="shared" si="36"/>
        <v>2023_SA_Pinery_Lentil_DetailedTOS1VarietyKelpieXTWaterTrtRainFed</v>
      </c>
      <c r="B2325" s="2">
        <v>2023024</v>
      </c>
      <c r="C2325" s="3" t="s">
        <v>2324</v>
      </c>
      <c r="D2325" s="3" t="s">
        <v>38</v>
      </c>
      <c r="F2325" s="3" t="s">
        <v>4188</v>
      </c>
      <c r="G2325" s="3" t="s">
        <v>43</v>
      </c>
      <c r="H2325" s="3" t="s">
        <v>250</v>
      </c>
      <c r="I2325" s="2">
        <v>118</v>
      </c>
      <c r="J2325" s="2">
        <v>59</v>
      </c>
      <c r="K2325" s="2">
        <v>4</v>
      </c>
      <c r="O2325" s="2">
        <v>15</v>
      </c>
      <c r="U2325" s="2">
        <v>2</v>
      </c>
      <c r="V2325" s="2">
        <v>59</v>
      </c>
      <c r="W2325" s="2">
        <v>2</v>
      </c>
      <c r="X2325" s="2">
        <v>30</v>
      </c>
      <c r="Z2325" s="2">
        <v>119</v>
      </c>
      <c r="AA2325" s="3" t="s">
        <v>40</v>
      </c>
      <c r="AB2325" s="2">
        <v>4</v>
      </c>
      <c r="AF2325" s="2">
        <v>23</v>
      </c>
      <c r="AG2325" s="2">
        <v>1</v>
      </c>
      <c r="AH2325" s="3" t="s">
        <v>2194</v>
      </c>
      <c r="AI2325" s="4">
        <v>45056</v>
      </c>
      <c r="AJ2325" s="3" t="s">
        <v>2442</v>
      </c>
      <c r="AK2325" s="3" t="s">
        <v>38</v>
      </c>
    </row>
    <row r="2326" spans="1:37" hidden="1" x14ac:dyDescent="0.25">
      <c r="A2326" t="str">
        <f t="shared" si="36"/>
        <v>2023_SA_Pinery_Lentil_DetailedTOS1VarietyHallmarkXTWaterTrtRainFed</v>
      </c>
      <c r="B2326" s="2">
        <v>2023024</v>
      </c>
      <c r="C2326" s="3" t="s">
        <v>2324</v>
      </c>
      <c r="D2326" s="3" t="s">
        <v>38</v>
      </c>
      <c r="F2326" s="3" t="s">
        <v>4189</v>
      </c>
      <c r="G2326" s="3" t="s">
        <v>39</v>
      </c>
      <c r="H2326" s="3" t="s">
        <v>253</v>
      </c>
      <c r="I2326" s="2">
        <v>119</v>
      </c>
      <c r="J2326" s="2">
        <v>60</v>
      </c>
      <c r="K2326" s="2">
        <v>4</v>
      </c>
      <c r="O2326" s="2">
        <v>15</v>
      </c>
      <c r="U2326" s="2">
        <v>3</v>
      </c>
      <c r="V2326" s="2">
        <v>59</v>
      </c>
      <c r="W2326" s="2">
        <v>3</v>
      </c>
      <c r="X2326" s="2">
        <v>30</v>
      </c>
      <c r="AA2326" s="3" t="s">
        <v>40</v>
      </c>
      <c r="AB2326" s="2">
        <v>2</v>
      </c>
      <c r="AF2326" s="2">
        <v>23</v>
      </c>
      <c r="AG2326" s="2">
        <v>1</v>
      </c>
      <c r="AH2326" s="3" t="s">
        <v>2194</v>
      </c>
      <c r="AI2326" s="4">
        <v>45056</v>
      </c>
      <c r="AJ2326" s="3" t="s">
        <v>2443</v>
      </c>
      <c r="AK2326" s="3" t="s">
        <v>38</v>
      </c>
    </row>
    <row r="2327" spans="1:37" hidden="1" x14ac:dyDescent="0.25">
      <c r="A2327" t="str">
        <f t="shared" si="36"/>
        <v>2023_SA_Pinery_Lentil_DetailedTOS1VarietyHallmarkXTWaterTrtRainFed</v>
      </c>
      <c r="B2327" s="2">
        <v>2023024</v>
      </c>
      <c r="C2327" s="3" t="s">
        <v>2324</v>
      </c>
      <c r="D2327" s="3" t="s">
        <v>38</v>
      </c>
      <c r="F2327" s="3" t="s">
        <v>4189</v>
      </c>
      <c r="G2327" s="3" t="s">
        <v>39</v>
      </c>
      <c r="H2327" s="3" t="s">
        <v>250</v>
      </c>
      <c r="I2327" s="2">
        <v>120</v>
      </c>
      <c r="J2327" s="2">
        <v>60</v>
      </c>
      <c r="K2327" s="2">
        <v>4</v>
      </c>
      <c r="O2327" s="2">
        <v>15</v>
      </c>
      <c r="U2327" s="2">
        <v>4</v>
      </c>
      <c r="V2327" s="2">
        <v>59</v>
      </c>
      <c r="W2327" s="2">
        <v>4</v>
      </c>
      <c r="X2327" s="2">
        <v>30</v>
      </c>
      <c r="Z2327" s="2">
        <v>117</v>
      </c>
      <c r="AA2327" s="3" t="s">
        <v>40</v>
      </c>
      <c r="AB2327" s="2">
        <v>2</v>
      </c>
      <c r="AF2327" s="2">
        <v>23</v>
      </c>
      <c r="AG2327" s="2">
        <v>1</v>
      </c>
      <c r="AH2327" s="3" t="s">
        <v>2194</v>
      </c>
      <c r="AI2327" s="4">
        <v>45056</v>
      </c>
      <c r="AJ2327" s="3" t="s">
        <v>2444</v>
      </c>
      <c r="AK2327" s="3" t="s">
        <v>38</v>
      </c>
    </row>
    <row r="2328" spans="1:37" hidden="1" x14ac:dyDescent="0.25">
      <c r="A2328" t="str">
        <f t="shared" si="36"/>
        <v>2023_SA_Pinery_Lentil_DetailedTOS2VarietyJumbo2WaterTrtRainFed</v>
      </c>
      <c r="B2328" s="2">
        <v>2023024</v>
      </c>
      <c r="C2328" s="3" t="s">
        <v>2324</v>
      </c>
      <c r="D2328" s="3" t="s">
        <v>38</v>
      </c>
      <c r="F2328" s="3" t="s">
        <v>4176</v>
      </c>
      <c r="G2328" s="3" t="s">
        <v>43</v>
      </c>
      <c r="H2328" s="3" t="s">
        <v>253</v>
      </c>
      <c r="I2328" s="2">
        <v>121</v>
      </c>
      <c r="J2328" s="2">
        <v>61</v>
      </c>
      <c r="K2328" s="2">
        <v>4</v>
      </c>
      <c r="O2328" s="2">
        <v>16</v>
      </c>
      <c r="U2328" s="2">
        <v>1</v>
      </c>
      <c r="V2328" s="2">
        <v>62</v>
      </c>
      <c r="W2328" s="2">
        <v>1</v>
      </c>
      <c r="X2328" s="2">
        <v>31</v>
      </c>
      <c r="AA2328" s="3" t="s">
        <v>40</v>
      </c>
      <c r="AB2328" s="2">
        <v>3</v>
      </c>
      <c r="AF2328" s="2">
        <v>23</v>
      </c>
      <c r="AG2328" s="2">
        <v>2</v>
      </c>
      <c r="AH2328" s="3" t="s">
        <v>2211</v>
      </c>
      <c r="AI2328" s="4">
        <v>45105</v>
      </c>
      <c r="AJ2328" s="3" t="s">
        <v>2445</v>
      </c>
      <c r="AK2328" s="3" t="s">
        <v>38</v>
      </c>
    </row>
    <row r="2329" spans="1:37" hidden="1" x14ac:dyDescent="0.25">
      <c r="A2329" t="str">
        <f t="shared" si="36"/>
        <v>2023_SA_Pinery_Lentil_DetailedTOS2VarietyJumbo2WaterTrtRainFed</v>
      </c>
      <c r="B2329" s="2">
        <v>2023024</v>
      </c>
      <c r="C2329" s="3" t="s">
        <v>2324</v>
      </c>
      <c r="D2329" s="3" t="s">
        <v>38</v>
      </c>
      <c r="F2329" s="3" t="s">
        <v>4176</v>
      </c>
      <c r="G2329" s="3" t="s">
        <v>43</v>
      </c>
      <c r="H2329" s="3" t="s">
        <v>250</v>
      </c>
      <c r="I2329" s="2">
        <v>122</v>
      </c>
      <c r="J2329" s="2">
        <v>61</v>
      </c>
      <c r="K2329" s="2">
        <v>4</v>
      </c>
      <c r="O2329" s="2">
        <v>16</v>
      </c>
      <c r="U2329" s="2">
        <v>2</v>
      </c>
      <c r="V2329" s="2">
        <v>62</v>
      </c>
      <c r="W2329" s="2">
        <v>2</v>
      </c>
      <c r="X2329" s="2">
        <v>31</v>
      </c>
      <c r="Z2329" s="2">
        <v>122</v>
      </c>
      <c r="AA2329" s="3" t="s">
        <v>40</v>
      </c>
      <c r="AB2329" s="2">
        <v>3</v>
      </c>
      <c r="AF2329" s="2">
        <v>23</v>
      </c>
      <c r="AG2329" s="2">
        <v>2</v>
      </c>
      <c r="AH2329" s="3" t="s">
        <v>2211</v>
      </c>
      <c r="AI2329" s="4">
        <v>45105</v>
      </c>
      <c r="AJ2329" s="3" t="s">
        <v>2446</v>
      </c>
      <c r="AK2329" s="3" t="s">
        <v>38</v>
      </c>
    </row>
    <row r="2330" spans="1:37" hidden="1" x14ac:dyDescent="0.25">
      <c r="A2330" t="str">
        <f t="shared" si="36"/>
        <v>2023_SA_Pinery_Lentil_DetailedTOS2VarietyBoltWaterTrtRainFed</v>
      </c>
      <c r="B2330" s="2">
        <v>2023024</v>
      </c>
      <c r="C2330" s="3" t="s">
        <v>2324</v>
      </c>
      <c r="D2330" s="3" t="s">
        <v>38</v>
      </c>
      <c r="F2330" s="3" t="s">
        <v>4187</v>
      </c>
      <c r="G2330" s="3" t="s">
        <v>39</v>
      </c>
      <c r="H2330" s="3" t="s">
        <v>253</v>
      </c>
      <c r="I2330" s="2">
        <v>123</v>
      </c>
      <c r="J2330" s="2">
        <v>62</v>
      </c>
      <c r="K2330" s="2">
        <v>4</v>
      </c>
      <c r="O2330" s="2">
        <v>16</v>
      </c>
      <c r="U2330" s="2">
        <v>3</v>
      </c>
      <c r="V2330" s="2">
        <v>62</v>
      </c>
      <c r="W2330" s="2">
        <v>3</v>
      </c>
      <c r="X2330" s="2">
        <v>31</v>
      </c>
      <c r="AA2330" s="3" t="s">
        <v>40</v>
      </c>
      <c r="AB2330" s="2">
        <v>1</v>
      </c>
      <c r="AF2330" s="2">
        <v>23</v>
      </c>
      <c r="AG2330" s="2">
        <v>2</v>
      </c>
      <c r="AH2330" s="3" t="s">
        <v>2211</v>
      </c>
      <c r="AI2330" s="4">
        <v>45105</v>
      </c>
      <c r="AJ2330" s="3" t="s">
        <v>2447</v>
      </c>
      <c r="AK2330" s="3" t="s">
        <v>38</v>
      </c>
    </row>
    <row r="2331" spans="1:37" hidden="1" x14ac:dyDescent="0.25">
      <c r="A2331" t="str">
        <f t="shared" si="36"/>
        <v>2023_SA_Pinery_Lentil_DetailedTOS2VarietyBoltWaterTrtRainFed</v>
      </c>
      <c r="B2331" s="2">
        <v>2023024</v>
      </c>
      <c r="C2331" s="3" t="s">
        <v>2324</v>
      </c>
      <c r="D2331" s="3" t="s">
        <v>38</v>
      </c>
      <c r="F2331" s="3" t="s">
        <v>4187</v>
      </c>
      <c r="G2331" s="3" t="s">
        <v>39</v>
      </c>
      <c r="H2331" s="3" t="s">
        <v>250</v>
      </c>
      <c r="I2331" s="2">
        <v>124</v>
      </c>
      <c r="J2331" s="2">
        <v>62</v>
      </c>
      <c r="K2331" s="2">
        <v>4</v>
      </c>
      <c r="O2331" s="2">
        <v>16</v>
      </c>
      <c r="U2331" s="2">
        <v>4</v>
      </c>
      <c r="V2331" s="2">
        <v>62</v>
      </c>
      <c r="W2331" s="2">
        <v>4</v>
      </c>
      <c r="X2331" s="2">
        <v>31</v>
      </c>
      <c r="Z2331" s="2">
        <v>124</v>
      </c>
      <c r="AA2331" s="3" t="s">
        <v>40</v>
      </c>
      <c r="AB2331" s="2">
        <v>1</v>
      </c>
      <c r="AF2331" s="2">
        <v>23</v>
      </c>
      <c r="AG2331" s="2">
        <v>2</v>
      </c>
      <c r="AH2331" s="3" t="s">
        <v>2211</v>
      </c>
      <c r="AI2331" s="4">
        <v>45105</v>
      </c>
      <c r="AJ2331" s="3" t="s">
        <v>2448</v>
      </c>
      <c r="AK2331" s="3" t="s">
        <v>38</v>
      </c>
    </row>
    <row r="2332" spans="1:37" hidden="1" x14ac:dyDescent="0.25">
      <c r="A2332" t="str">
        <f t="shared" si="36"/>
        <v>2023_SA_Pinery_Lentil_DetailedTOS2VarietyHallmarkXTWaterTrtRainFed</v>
      </c>
      <c r="B2332" s="2">
        <v>2023024</v>
      </c>
      <c r="C2332" s="3" t="s">
        <v>2324</v>
      </c>
      <c r="D2332" s="3" t="s">
        <v>38</v>
      </c>
      <c r="F2332" s="3" t="s">
        <v>4189</v>
      </c>
      <c r="G2332" s="3" t="s">
        <v>39</v>
      </c>
      <c r="H2332" s="3" t="s">
        <v>253</v>
      </c>
      <c r="I2332" s="2">
        <v>125</v>
      </c>
      <c r="J2332" s="2">
        <v>63</v>
      </c>
      <c r="K2332" s="2">
        <v>4</v>
      </c>
      <c r="O2332" s="2">
        <v>16</v>
      </c>
      <c r="U2332" s="2">
        <v>1</v>
      </c>
      <c r="V2332" s="2">
        <v>63</v>
      </c>
      <c r="W2332" s="2">
        <v>1</v>
      </c>
      <c r="X2332" s="2">
        <v>32</v>
      </c>
      <c r="AA2332" s="3" t="s">
        <v>40</v>
      </c>
      <c r="AB2332" s="2">
        <v>2</v>
      </c>
      <c r="AF2332" s="2">
        <v>23</v>
      </c>
      <c r="AG2332" s="2">
        <v>2</v>
      </c>
      <c r="AH2332" s="3" t="s">
        <v>2211</v>
      </c>
      <c r="AI2332" s="4">
        <v>45105</v>
      </c>
      <c r="AJ2332" s="3" t="s">
        <v>2449</v>
      </c>
      <c r="AK2332" s="3" t="s">
        <v>38</v>
      </c>
    </row>
    <row r="2333" spans="1:37" hidden="1" x14ac:dyDescent="0.25">
      <c r="A2333" t="str">
        <f t="shared" si="36"/>
        <v>2023_SA_Pinery_Lentil_DetailedTOS2VarietyHallmarkXTWaterTrtRainFed</v>
      </c>
      <c r="B2333" s="2">
        <v>2023024</v>
      </c>
      <c r="C2333" s="3" t="s">
        <v>2324</v>
      </c>
      <c r="D2333" s="3" t="s">
        <v>38</v>
      </c>
      <c r="F2333" s="3" t="s">
        <v>4189</v>
      </c>
      <c r="G2333" s="3" t="s">
        <v>39</v>
      </c>
      <c r="H2333" s="3" t="s">
        <v>250</v>
      </c>
      <c r="I2333" s="2">
        <v>126</v>
      </c>
      <c r="J2333" s="2">
        <v>63</v>
      </c>
      <c r="K2333" s="2">
        <v>4</v>
      </c>
      <c r="O2333" s="2">
        <v>16</v>
      </c>
      <c r="U2333" s="2">
        <v>2</v>
      </c>
      <c r="V2333" s="2">
        <v>63</v>
      </c>
      <c r="W2333" s="2">
        <v>2</v>
      </c>
      <c r="X2333" s="2">
        <v>32</v>
      </c>
      <c r="Z2333" s="2">
        <v>127</v>
      </c>
      <c r="AA2333" s="3" t="s">
        <v>40</v>
      </c>
      <c r="AB2333" s="2">
        <v>2</v>
      </c>
      <c r="AF2333" s="2">
        <v>23</v>
      </c>
      <c r="AG2333" s="2">
        <v>2</v>
      </c>
      <c r="AH2333" s="3" t="s">
        <v>2211</v>
      </c>
      <c r="AI2333" s="4">
        <v>45105</v>
      </c>
      <c r="AJ2333" s="3" t="s">
        <v>2450</v>
      </c>
      <c r="AK2333" s="3" t="s">
        <v>38</v>
      </c>
    </row>
    <row r="2334" spans="1:37" hidden="1" x14ac:dyDescent="0.25">
      <c r="A2334" t="str">
        <f t="shared" si="36"/>
        <v>2023_SA_Pinery_Lentil_DetailedTOS2VarietyKelpieXTWaterTrtRainFed</v>
      </c>
      <c r="B2334" s="2">
        <v>2023024</v>
      </c>
      <c r="C2334" s="3" t="s">
        <v>2324</v>
      </c>
      <c r="D2334" s="3" t="s">
        <v>38</v>
      </c>
      <c r="F2334" s="3" t="s">
        <v>4188</v>
      </c>
      <c r="G2334" s="3" t="s">
        <v>43</v>
      </c>
      <c r="H2334" s="3" t="s">
        <v>253</v>
      </c>
      <c r="I2334" s="2">
        <v>127</v>
      </c>
      <c r="J2334" s="2">
        <v>64</v>
      </c>
      <c r="K2334" s="2">
        <v>4</v>
      </c>
      <c r="O2334" s="2">
        <v>16</v>
      </c>
      <c r="U2334" s="2">
        <v>3</v>
      </c>
      <c r="V2334" s="2">
        <v>63</v>
      </c>
      <c r="W2334" s="2">
        <v>3</v>
      </c>
      <c r="X2334" s="2">
        <v>32</v>
      </c>
      <c r="AA2334" s="3" t="s">
        <v>40</v>
      </c>
      <c r="AB2334" s="2">
        <v>4</v>
      </c>
      <c r="AF2334" s="2">
        <v>23</v>
      </c>
      <c r="AG2334" s="2">
        <v>2</v>
      </c>
      <c r="AH2334" s="3" t="s">
        <v>2211</v>
      </c>
      <c r="AI2334" s="4">
        <v>45105</v>
      </c>
      <c r="AJ2334" s="3" t="s">
        <v>2451</v>
      </c>
      <c r="AK2334" s="3" t="s">
        <v>38</v>
      </c>
    </row>
    <row r="2335" spans="1:37" hidden="1" x14ac:dyDescent="0.25">
      <c r="A2335" t="str">
        <f t="shared" si="36"/>
        <v>2023_SA_Pinery_Lentil_DetailedTOS2VarietyKelpieXTWaterTrtRainFed</v>
      </c>
      <c r="B2335" s="2">
        <v>2023024</v>
      </c>
      <c r="C2335" s="3" t="s">
        <v>2324</v>
      </c>
      <c r="D2335" s="3" t="s">
        <v>38</v>
      </c>
      <c r="F2335" s="3" t="s">
        <v>4188</v>
      </c>
      <c r="G2335" s="3" t="s">
        <v>43</v>
      </c>
      <c r="H2335" s="3" t="s">
        <v>250</v>
      </c>
      <c r="I2335" s="2">
        <v>128</v>
      </c>
      <c r="J2335" s="2">
        <v>64</v>
      </c>
      <c r="K2335" s="2">
        <v>4</v>
      </c>
      <c r="O2335" s="2">
        <v>16</v>
      </c>
      <c r="U2335" s="2">
        <v>4</v>
      </c>
      <c r="V2335" s="2">
        <v>63</v>
      </c>
      <c r="W2335" s="2">
        <v>4</v>
      </c>
      <c r="X2335" s="2">
        <v>32</v>
      </c>
      <c r="Z2335" s="2">
        <v>125</v>
      </c>
      <c r="AA2335" s="3" t="s">
        <v>40</v>
      </c>
      <c r="AB2335" s="2">
        <v>4</v>
      </c>
      <c r="AF2335" s="2">
        <v>23</v>
      </c>
      <c r="AG2335" s="2">
        <v>2</v>
      </c>
      <c r="AH2335" s="3" t="s">
        <v>2211</v>
      </c>
      <c r="AI2335" s="4">
        <v>45105</v>
      </c>
      <c r="AJ2335" s="3" t="s">
        <v>2452</v>
      </c>
      <c r="AK2335" s="3" t="s">
        <v>38</v>
      </c>
    </row>
    <row r="2336" spans="1:37" hidden="1" x14ac:dyDescent="0.25">
      <c r="A2336" t="str">
        <f t="shared" si="36"/>
        <v>2023_Vic_Dooen_Chickpea_DetailedTOS1VarietyStrikerWaterTrtRainFed</v>
      </c>
      <c r="B2336" s="2">
        <v>2023025</v>
      </c>
      <c r="C2336" s="3" t="s">
        <v>2453</v>
      </c>
      <c r="D2336" s="3" t="s">
        <v>248</v>
      </c>
      <c r="F2336" s="3" t="s">
        <v>4179</v>
      </c>
      <c r="G2336" s="3" t="s">
        <v>43</v>
      </c>
      <c r="H2336" s="3" t="s">
        <v>253</v>
      </c>
      <c r="I2336" s="2">
        <v>1</v>
      </c>
      <c r="J2336" s="2">
        <v>1</v>
      </c>
      <c r="K2336" s="2">
        <v>1</v>
      </c>
      <c r="O2336" s="2">
        <v>1</v>
      </c>
      <c r="P2336" s="2">
        <v>1</v>
      </c>
      <c r="U2336" s="2">
        <v>1</v>
      </c>
      <c r="V2336" s="2">
        <v>2</v>
      </c>
      <c r="W2336" s="2">
        <v>1</v>
      </c>
      <c r="X2336" s="2">
        <v>1</v>
      </c>
      <c r="AA2336" s="3" t="s">
        <v>40</v>
      </c>
      <c r="AB2336" s="2">
        <v>4</v>
      </c>
      <c r="AF2336" s="2">
        <v>38</v>
      </c>
      <c r="AG2336" s="2">
        <v>1</v>
      </c>
      <c r="AH2336" s="3" t="s">
        <v>2454</v>
      </c>
      <c r="AI2336" s="4">
        <v>45062</v>
      </c>
      <c r="AJ2336" s="3" t="s">
        <v>2455</v>
      </c>
      <c r="AK2336" s="3" t="s">
        <v>248</v>
      </c>
    </row>
    <row r="2337" spans="1:37" hidden="1" x14ac:dyDescent="0.25">
      <c r="A2337" t="str">
        <f t="shared" si="36"/>
        <v>2023_Vic_Dooen_Chickpea_DetailedTOS1VarietyCBA_CaptainWaterTrtRainFed</v>
      </c>
      <c r="B2337" s="2">
        <v>2023025</v>
      </c>
      <c r="C2337" s="3" t="s">
        <v>2453</v>
      </c>
      <c r="D2337" s="3" t="s">
        <v>248</v>
      </c>
      <c r="F2337" s="3" t="s">
        <v>249</v>
      </c>
      <c r="G2337" s="3" t="s">
        <v>43</v>
      </c>
      <c r="H2337" s="3" t="s">
        <v>253</v>
      </c>
      <c r="I2337" s="2">
        <v>2</v>
      </c>
      <c r="J2337" s="2">
        <v>2</v>
      </c>
      <c r="K2337" s="2">
        <v>1</v>
      </c>
      <c r="O2337" s="2">
        <v>1</v>
      </c>
      <c r="P2337" s="2">
        <v>1</v>
      </c>
      <c r="U2337" s="2">
        <v>2</v>
      </c>
      <c r="V2337" s="2">
        <v>2</v>
      </c>
      <c r="W2337" s="2">
        <v>2</v>
      </c>
      <c r="X2337" s="2">
        <v>1</v>
      </c>
      <c r="AA2337" s="3" t="s">
        <v>40</v>
      </c>
      <c r="AB2337" s="2">
        <v>3</v>
      </c>
      <c r="AF2337" s="2">
        <v>38</v>
      </c>
      <c r="AG2337" s="2">
        <v>1</v>
      </c>
      <c r="AH2337" s="3" t="s">
        <v>2454</v>
      </c>
      <c r="AI2337" s="4">
        <v>45062</v>
      </c>
      <c r="AJ2337" s="3" t="s">
        <v>2456</v>
      </c>
      <c r="AK2337" s="3" t="s">
        <v>248</v>
      </c>
    </row>
    <row r="2338" spans="1:37" hidden="1" x14ac:dyDescent="0.25">
      <c r="A2338" t="str">
        <f t="shared" si="36"/>
        <v>2023_Vic_Dooen_Chickpea_DetailedTOS1VarietyDrummondWaterTrtIrrigated</v>
      </c>
      <c r="B2338" s="2">
        <v>2023025</v>
      </c>
      <c r="C2338" s="3" t="s">
        <v>2453</v>
      </c>
      <c r="D2338" s="3" t="s">
        <v>248</v>
      </c>
      <c r="F2338" s="3" t="s">
        <v>4182</v>
      </c>
      <c r="G2338" s="3" t="s">
        <v>39</v>
      </c>
      <c r="H2338" s="3" t="s">
        <v>253</v>
      </c>
      <c r="I2338" s="2">
        <v>3</v>
      </c>
      <c r="J2338" s="2">
        <v>3</v>
      </c>
      <c r="K2338" s="2">
        <v>1</v>
      </c>
      <c r="O2338" s="2">
        <v>1</v>
      </c>
      <c r="P2338" s="2">
        <v>2</v>
      </c>
      <c r="U2338" s="2">
        <v>3</v>
      </c>
      <c r="V2338" s="2">
        <v>2</v>
      </c>
      <c r="W2338" s="2">
        <v>3</v>
      </c>
      <c r="X2338" s="2">
        <v>1</v>
      </c>
      <c r="AA2338" s="3" t="s">
        <v>57</v>
      </c>
      <c r="AB2338" s="2">
        <v>1</v>
      </c>
      <c r="AF2338" s="2">
        <v>38</v>
      </c>
      <c r="AG2338" s="2">
        <v>1</v>
      </c>
      <c r="AH2338" s="3" t="s">
        <v>2454</v>
      </c>
      <c r="AI2338" s="4">
        <v>45062</v>
      </c>
      <c r="AJ2338" s="3" t="s">
        <v>2457</v>
      </c>
      <c r="AK2338" s="3" t="s">
        <v>248</v>
      </c>
    </row>
    <row r="2339" spans="1:37" hidden="1" x14ac:dyDescent="0.25">
      <c r="A2339" t="str">
        <f t="shared" si="36"/>
        <v>2023_Vic_Dooen_Chickpea_DetailedTOS1VarietyHatTrickWaterTrtIrrigated</v>
      </c>
      <c r="B2339" s="2">
        <v>2023025</v>
      </c>
      <c r="C2339" s="3" t="s">
        <v>2453</v>
      </c>
      <c r="D2339" s="3" t="s">
        <v>248</v>
      </c>
      <c r="F2339" s="3" t="s">
        <v>4178</v>
      </c>
      <c r="G2339" s="3" t="s">
        <v>39</v>
      </c>
      <c r="H2339" s="3" t="s">
        <v>253</v>
      </c>
      <c r="I2339" s="2">
        <v>4</v>
      </c>
      <c r="J2339" s="2">
        <v>4</v>
      </c>
      <c r="K2339" s="2">
        <v>1</v>
      </c>
      <c r="O2339" s="2">
        <v>1</v>
      </c>
      <c r="P2339" s="2">
        <v>2</v>
      </c>
      <c r="U2339" s="2">
        <v>4</v>
      </c>
      <c r="V2339" s="2">
        <v>2</v>
      </c>
      <c r="W2339" s="2">
        <v>4</v>
      </c>
      <c r="X2339" s="2">
        <v>1</v>
      </c>
      <c r="AA2339" s="3" t="s">
        <v>57</v>
      </c>
      <c r="AB2339" s="2">
        <v>2</v>
      </c>
      <c r="AF2339" s="2">
        <v>38</v>
      </c>
      <c r="AG2339" s="2">
        <v>1</v>
      </c>
      <c r="AH2339" s="3" t="s">
        <v>2454</v>
      </c>
      <c r="AI2339" s="4">
        <v>45062</v>
      </c>
      <c r="AJ2339" s="3" t="s">
        <v>2458</v>
      </c>
      <c r="AK2339" s="3" t="s">
        <v>248</v>
      </c>
    </row>
    <row r="2340" spans="1:37" hidden="1" x14ac:dyDescent="0.25">
      <c r="A2340" t="str">
        <f t="shared" si="36"/>
        <v>2023_Vic_Dooen_Chickpea_DetailedTOS1VarietyStrikerWaterTrtRainFed</v>
      </c>
      <c r="B2340" s="2">
        <v>2023025</v>
      </c>
      <c r="C2340" s="3" t="s">
        <v>2453</v>
      </c>
      <c r="D2340" s="3" t="s">
        <v>248</v>
      </c>
      <c r="F2340" s="3" t="s">
        <v>4179</v>
      </c>
      <c r="G2340" s="3" t="s">
        <v>43</v>
      </c>
      <c r="H2340" s="3" t="s">
        <v>250</v>
      </c>
      <c r="I2340" s="2">
        <v>5</v>
      </c>
      <c r="J2340" s="2">
        <v>1</v>
      </c>
      <c r="K2340" s="2">
        <v>1</v>
      </c>
      <c r="O2340" s="2">
        <v>1</v>
      </c>
      <c r="P2340" s="2">
        <v>1</v>
      </c>
      <c r="U2340" s="2">
        <v>1</v>
      </c>
      <c r="V2340" s="2">
        <v>3</v>
      </c>
      <c r="W2340" s="2">
        <v>1</v>
      </c>
      <c r="X2340" s="2">
        <v>2</v>
      </c>
      <c r="Z2340" s="2">
        <v>1</v>
      </c>
      <c r="AA2340" s="3" t="s">
        <v>40</v>
      </c>
      <c r="AB2340" s="2">
        <v>4</v>
      </c>
      <c r="AF2340" s="2">
        <v>38</v>
      </c>
      <c r="AG2340" s="2">
        <v>1</v>
      </c>
      <c r="AH2340" s="3" t="s">
        <v>2454</v>
      </c>
      <c r="AI2340" s="4">
        <v>45062</v>
      </c>
      <c r="AJ2340" s="3" t="s">
        <v>2459</v>
      </c>
      <c r="AK2340" s="3" t="s">
        <v>248</v>
      </c>
    </row>
    <row r="2341" spans="1:37" hidden="1" x14ac:dyDescent="0.25">
      <c r="A2341" t="str">
        <f t="shared" si="36"/>
        <v>2023_Vic_Dooen_Chickpea_DetailedTOS1VarietyCBA_CaptainWaterTrtRainFed</v>
      </c>
      <c r="B2341" s="2">
        <v>2023025</v>
      </c>
      <c r="C2341" s="3" t="s">
        <v>2453</v>
      </c>
      <c r="D2341" s="3" t="s">
        <v>248</v>
      </c>
      <c r="F2341" s="3" t="s">
        <v>249</v>
      </c>
      <c r="G2341" s="3" t="s">
        <v>43</v>
      </c>
      <c r="H2341" s="3" t="s">
        <v>250</v>
      </c>
      <c r="I2341" s="2">
        <v>6</v>
      </c>
      <c r="J2341" s="2">
        <v>2</v>
      </c>
      <c r="K2341" s="2">
        <v>1</v>
      </c>
      <c r="O2341" s="2">
        <v>1</v>
      </c>
      <c r="P2341" s="2">
        <v>1</v>
      </c>
      <c r="U2341" s="2">
        <v>2</v>
      </c>
      <c r="V2341" s="2">
        <v>3</v>
      </c>
      <c r="W2341" s="2">
        <v>2</v>
      </c>
      <c r="X2341" s="2">
        <v>2</v>
      </c>
      <c r="Z2341" s="2">
        <v>2</v>
      </c>
      <c r="AA2341" s="3" t="s">
        <v>40</v>
      </c>
      <c r="AB2341" s="2">
        <v>3</v>
      </c>
      <c r="AF2341" s="2">
        <v>38</v>
      </c>
      <c r="AG2341" s="2">
        <v>1</v>
      </c>
      <c r="AH2341" s="3" t="s">
        <v>2454</v>
      </c>
      <c r="AI2341" s="4">
        <v>45062</v>
      </c>
      <c r="AJ2341" s="3" t="s">
        <v>2460</v>
      </c>
      <c r="AK2341" s="3" t="s">
        <v>248</v>
      </c>
    </row>
    <row r="2342" spans="1:37" hidden="1" x14ac:dyDescent="0.25">
      <c r="A2342" t="str">
        <f t="shared" si="36"/>
        <v>2023_Vic_Dooen_Chickpea_DetailedTOS1VarietyDrummondWaterTrtIrrigated</v>
      </c>
      <c r="B2342" s="2">
        <v>2023025</v>
      </c>
      <c r="C2342" s="3" t="s">
        <v>2453</v>
      </c>
      <c r="D2342" s="3" t="s">
        <v>248</v>
      </c>
      <c r="F2342" s="3" t="s">
        <v>4182</v>
      </c>
      <c r="G2342" s="3" t="s">
        <v>39</v>
      </c>
      <c r="H2342" s="3" t="s">
        <v>250</v>
      </c>
      <c r="I2342" s="2">
        <v>7</v>
      </c>
      <c r="J2342" s="2">
        <v>3</v>
      </c>
      <c r="K2342" s="2">
        <v>1</v>
      </c>
      <c r="O2342" s="2">
        <v>1</v>
      </c>
      <c r="P2342" s="2">
        <v>2</v>
      </c>
      <c r="U2342" s="2">
        <v>3</v>
      </c>
      <c r="V2342" s="2">
        <v>3</v>
      </c>
      <c r="W2342" s="2">
        <v>3</v>
      </c>
      <c r="X2342" s="2">
        <v>2</v>
      </c>
      <c r="Z2342" s="2">
        <v>3</v>
      </c>
      <c r="AA2342" s="3" t="s">
        <v>57</v>
      </c>
      <c r="AB2342" s="2">
        <v>1</v>
      </c>
      <c r="AF2342" s="2">
        <v>38</v>
      </c>
      <c r="AG2342" s="2">
        <v>1</v>
      </c>
      <c r="AH2342" s="3" t="s">
        <v>2454</v>
      </c>
      <c r="AI2342" s="4">
        <v>45062</v>
      </c>
      <c r="AJ2342" s="3" t="s">
        <v>2461</v>
      </c>
      <c r="AK2342" s="3" t="s">
        <v>248</v>
      </c>
    </row>
    <row r="2343" spans="1:37" hidden="1" x14ac:dyDescent="0.25">
      <c r="A2343" t="str">
        <f t="shared" si="36"/>
        <v>2023_Vic_Dooen_Chickpea_DetailedTOS1VarietyHatTrickWaterTrtIrrigated</v>
      </c>
      <c r="B2343" s="2">
        <v>2023025</v>
      </c>
      <c r="C2343" s="3" t="s">
        <v>2453</v>
      </c>
      <c r="D2343" s="3" t="s">
        <v>248</v>
      </c>
      <c r="F2343" s="3" t="s">
        <v>4178</v>
      </c>
      <c r="G2343" s="3" t="s">
        <v>39</v>
      </c>
      <c r="H2343" s="3" t="s">
        <v>250</v>
      </c>
      <c r="I2343" s="2">
        <v>8</v>
      </c>
      <c r="J2343" s="2">
        <v>4</v>
      </c>
      <c r="K2343" s="2">
        <v>1</v>
      </c>
      <c r="O2343" s="2">
        <v>1</v>
      </c>
      <c r="P2343" s="2">
        <v>2</v>
      </c>
      <c r="U2343" s="2">
        <v>4</v>
      </c>
      <c r="V2343" s="2">
        <v>3</v>
      </c>
      <c r="W2343" s="2">
        <v>4</v>
      </c>
      <c r="X2343" s="2">
        <v>2</v>
      </c>
      <c r="Z2343" s="2">
        <v>4</v>
      </c>
      <c r="AA2343" s="3" t="s">
        <v>57</v>
      </c>
      <c r="AB2343" s="2">
        <v>2</v>
      </c>
      <c r="AF2343" s="2">
        <v>38</v>
      </c>
      <c r="AG2343" s="2">
        <v>1</v>
      </c>
      <c r="AH2343" s="3" t="s">
        <v>2454</v>
      </c>
      <c r="AI2343" s="4">
        <v>45062</v>
      </c>
      <c r="AJ2343" s="3" t="s">
        <v>2462</v>
      </c>
      <c r="AK2343" s="3" t="s">
        <v>248</v>
      </c>
    </row>
    <row r="2344" spans="1:37" hidden="1" x14ac:dyDescent="0.25">
      <c r="A2344" t="str">
        <f t="shared" si="36"/>
        <v>2023_Vic_Dooen_Chickpea_DetailedTOS1VarietyHatTrickWaterTrtRainFed</v>
      </c>
      <c r="B2344" s="2">
        <v>2023025</v>
      </c>
      <c r="C2344" s="3" t="s">
        <v>2453</v>
      </c>
      <c r="D2344" s="3" t="s">
        <v>248</v>
      </c>
      <c r="F2344" s="3" t="s">
        <v>4178</v>
      </c>
      <c r="G2344" s="3" t="s">
        <v>39</v>
      </c>
      <c r="H2344" s="3" t="s">
        <v>253</v>
      </c>
      <c r="I2344" s="2">
        <v>9</v>
      </c>
      <c r="J2344" s="2">
        <v>5</v>
      </c>
      <c r="K2344" s="2">
        <v>1</v>
      </c>
      <c r="O2344" s="2">
        <v>1</v>
      </c>
      <c r="P2344" s="2">
        <v>1</v>
      </c>
      <c r="U2344" s="2">
        <v>1</v>
      </c>
      <c r="V2344" s="2">
        <v>4</v>
      </c>
      <c r="W2344" s="2">
        <v>1</v>
      </c>
      <c r="X2344" s="2">
        <v>3</v>
      </c>
      <c r="AA2344" s="3" t="s">
        <v>40</v>
      </c>
      <c r="AB2344" s="2">
        <v>2</v>
      </c>
      <c r="AF2344" s="2">
        <v>38</v>
      </c>
      <c r="AG2344" s="2">
        <v>1</v>
      </c>
      <c r="AH2344" s="3" t="s">
        <v>2454</v>
      </c>
      <c r="AI2344" s="4">
        <v>45062</v>
      </c>
      <c r="AJ2344" s="3" t="s">
        <v>2463</v>
      </c>
      <c r="AK2344" s="3" t="s">
        <v>248</v>
      </c>
    </row>
    <row r="2345" spans="1:37" hidden="1" x14ac:dyDescent="0.25">
      <c r="A2345" t="str">
        <f t="shared" si="36"/>
        <v>2023_Vic_Dooen_Chickpea_DetailedTOS1VarietyDrummondWaterTrtRainFed</v>
      </c>
      <c r="B2345" s="2">
        <v>2023025</v>
      </c>
      <c r="C2345" s="3" t="s">
        <v>2453</v>
      </c>
      <c r="D2345" s="3" t="s">
        <v>248</v>
      </c>
      <c r="F2345" s="3" t="s">
        <v>4182</v>
      </c>
      <c r="G2345" s="3" t="s">
        <v>39</v>
      </c>
      <c r="H2345" s="3" t="s">
        <v>253</v>
      </c>
      <c r="I2345" s="2">
        <v>10</v>
      </c>
      <c r="J2345" s="2">
        <v>6</v>
      </c>
      <c r="K2345" s="2">
        <v>1</v>
      </c>
      <c r="O2345" s="2">
        <v>1</v>
      </c>
      <c r="P2345" s="2">
        <v>1</v>
      </c>
      <c r="U2345" s="2">
        <v>2</v>
      </c>
      <c r="V2345" s="2">
        <v>4</v>
      </c>
      <c r="W2345" s="2">
        <v>2</v>
      </c>
      <c r="X2345" s="2">
        <v>3</v>
      </c>
      <c r="AA2345" s="3" t="s">
        <v>40</v>
      </c>
      <c r="AB2345" s="2">
        <v>1</v>
      </c>
      <c r="AF2345" s="2">
        <v>38</v>
      </c>
      <c r="AG2345" s="2">
        <v>1</v>
      </c>
      <c r="AH2345" s="3" t="s">
        <v>2454</v>
      </c>
      <c r="AI2345" s="4">
        <v>45062</v>
      </c>
      <c r="AJ2345" s="3" t="s">
        <v>2464</v>
      </c>
      <c r="AK2345" s="3" t="s">
        <v>248</v>
      </c>
    </row>
    <row r="2346" spans="1:37" hidden="1" x14ac:dyDescent="0.25">
      <c r="A2346" t="str">
        <f t="shared" si="36"/>
        <v>2023_Vic_Dooen_Chickpea_DetailedTOS1VarietyStrikerWaterTrtIrrigated</v>
      </c>
      <c r="B2346" s="2">
        <v>2023025</v>
      </c>
      <c r="C2346" s="3" t="s">
        <v>2453</v>
      </c>
      <c r="D2346" s="3" t="s">
        <v>248</v>
      </c>
      <c r="F2346" s="3" t="s">
        <v>4179</v>
      </c>
      <c r="G2346" s="3" t="s">
        <v>43</v>
      </c>
      <c r="H2346" s="3" t="s">
        <v>253</v>
      </c>
      <c r="I2346" s="2">
        <v>11</v>
      </c>
      <c r="J2346" s="2">
        <v>7</v>
      </c>
      <c r="K2346" s="2">
        <v>1</v>
      </c>
      <c r="O2346" s="2">
        <v>1</v>
      </c>
      <c r="P2346" s="2">
        <v>2</v>
      </c>
      <c r="U2346" s="2">
        <v>3</v>
      </c>
      <c r="V2346" s="2">
        <v>4</v>
      </c>
      <c r="W2346" s="2">
        <v>3</v>
      </c>
      <c r="X2346" s="2">
        <v>3</v>
      </c>
      <c r="AA2346" s="3" t="s">
        <v>57</v>
      </c>
      <c r="AB2346" s="2">
        <v>4</v>
      </c>
      <c r="AF2346" s="2">
        <v>38</v>
      </c>
      <c r="AG2346" s="2">
        <v>1</v>
      </c>
      <c r="AH2346" s="3" t="s">
        <v>2454</v>
      </c>
      <c r="AI2346" s="4">
        <v>45062</v>
      </c>
      <c r="AJ2346" s="3" t="s">
        <v>2465</v>
      </c>
      <c r="AK2346" s="3" t="s">
        <v>248</v>
      </c>
    </row>
    <row r="2347" spans="1:37" hidden="1" x14ac:dyDescent="0.25">
      <c r="A2347" t="str">
        <f t="shared" si="36"/>
        <v>2023_Vic_Dooen_Chickpea_DetailedTOS1VarietyCBA_CaptainWaterTrtIrrigated</v>
      </c>
      <c r="B2347" s="2">
        <v>2023025</v>
      </c>
      <c r="C2347" s="3" t="s">
        <v>2453</v>
      </c>
      <c r="D2347" s="3" t="s">
        <v>248</v>
      </c>
      <c r="F2347" s="3" t="s">
        <v>249</v>
      </c>
      <c r="G2347" s="3" t="s">
        <v>43</v>
      </c>
      <c r="H2347" s="3" t="s">
        <v>253</v>
      </c>
      <c r="I2347" s="2">
        <v>12</v>
      </c>
      <c r="J2347" s="2">
        <v>8</v>
      </c>
      <c r="K2347" s="2">
        <v>1</v>
      </c>
      <c r="O2347" s="2">
        <v>1</v>
      </c>
      <c r="P2347" s="2">
        <v>2</v>
      </c>
      <c r="U2347" s="2">
        <v>4</v>
      </c>
      <c r="V2347" s="2">
        <v>4</v>
      </c>
      <c r="W2347" s="2">
        <v>4</v>
      </c>
      <c r="X2347" s="2">
        <v>3</v>
      </c>
      <c r="AA2347" s="3" t="s">
        <v>57</v>
      </c>
      <c r="AB2347" s="2">
        <v>3</v>
      </c>
      <c r="AF2347" s="2">
        <v>38</v>
      </c>
      <c r="AG2347" s="2">
        <v>1</v>
      </c>
      <c r="AH2347" s="3" t="s">
        <v>2454</v>
      </c>
      <c r="AI2347" s="4">
        <v>45062</v>
      </c>
      <c r="AJ2347" s="3" t="s">
        <v>2466</v>
      </c>
      <c r="AK2347" s="3" t="s">
        <v>248</v>
      </c>
    </row>
    <row r="2348" spans="1:37" hidden="1" x14ac:dyDescent="0.25">
      <c r="A2348" t="str">
        <f t="shared" si="36"/>
        <v>2023_Vic_Dooen_Chickpea_DetailedTOS1VarietyHatTrickWaterTrtRainFed</v>
      </c>
      <c r="B2348" s="2">
        <v>2023025</v>
      </c>
      <c r="C2348" s="3" t="s">
        <v>2453</v>
      </c>
      <c r="D2348" s="3" t="s">
        <v>248</v>
      </c>
      <c r="F2348" s="3" t="s">
        <v>4178</v>
      </c>
      <c r="G2348" s="3" t="s">
        <v>39</v>
      </c>
      <c r="H2348" s="3" t="s">
        <v>250</v>
      </c>
      <c r="I2348" s="2">
        <v>13</v>
      </c>
      <c r="J2348" s="2">
        <v>5</v>
      </c>
      <c r="K2348" s="2">
        <v>1</v>
      </c>
      <c r="O2348" s="2">
        <v>1</v>
      </c>
      <c r="P2348" s="2">
        <v>1</v>
      </c>
      <c r="U2348" s="2">
        <v>1</v>
      </c>
      <c r="V2348" s="2">
        <v>5</v>
      </c>
      <c r="W2348" s="2">
        <v>1</v>
      </c>
      <c r="X2348" s="2">
        <v>4</v>
      </c>
      <c r="Z2348" s="2">
        <v>8</v>
      </c>
      <c r="AA2348" s="3" t="s">
        <v>40</v>
      </c>
      <c r="AB2348" s="2">
        <v>2</v>
      </c>
      <c r="AF2348" s="2">
        <v>38</v>
      </c>
      <c r="AG2348" s="2">
        <v>1</v>
      </c>
      <c r="AH2348" s="3" t="s">
        <v>2454</v>
      </c>
      <c r="AI2348" s="4">
        <v>45062</v>
      </c>
      <c r="AJ2348" s="3" t="s">
        <v>2467</v>
      </c>
      <c r="AK2348" s="3" t="s">
        <v>248</v>
      </c>
    </row>
    <row r="2349" spans="1:37" hidden="1" x14ac:dyDescent="0.25">
      <c r="A2349" t="str">
        <f t="shared" si="36"/>
        <v>2023_Vic_Dooen_Chickpea_DetailedTOS1VarietyDrummondWaterTrtRainFed</v>
      </c>
      <c r="B2349" s="2">
        <v>2023025</v>
      </c>
      <c r="C2349" s="3" t="s">
        <v>2453</v>
      </c>
      <c r="D2349" s="3" t="s">
        <v>248</v>
      </c>
      <c r="F2349" s="3" t="s">
        <v>4182</v>
      </c>
      <c r="G2349" s="3" t="s">
        <v>39</v>
      </c>
      <c r="H2349" s="3" t="s">
        <v>250</v>
      </c>
      <c r="I2349" s="2">
        <v>14</v>
      </c>
      <c r="J2349" s="2">
        <v>6</v>
      </c>
      <c r="K2349" s="2">
        <v>1</v>
      </c>
      <c r="O2349" s="2">
        <v>1</v>
      </c>
      <c r="P2349" s="2">
        <v>1</v>
      </c>
      <c r="U2349" s="2">
        <v>2</v>
      </c>
      <c r="V2349" s="2">
        <v>5</v>
      </c>
      <c r="W2349" s="2">
        <v>2</v>
      </c>
      <c r="X2349" s="2">
        <v>4</v>
      </c>
      <c r="Z2349" s="2">
        <v>7</v>
      </c>
      <c r="AA2349" s="3" t="s">
        <v>40</v>
      </c>
      <c r="AB2349" s="2">
        <v>1</v>
      </c>
      <c r="AF2349" s="2">
        <v>38</v>
      </c>
      <c r="AG2349" s="2">
        <v>1</v>
      </c>
      <c r="AH2349" s="3" t="s">
        <v>2454</v>
      </c>
      <c r="AI2349" s="4">
        <v>45062</v>
      </c>
      <c r="AJ2349" s="3" t="s">
        <v>2468</v>
      </c>
      <c r="AK2349" s="3" t="s">
        <v>248</v>
      </c>
    </row>
    <row r="2350" spans="1:37" hidden="1" x14ac:dyDescent="0.25">
      <c r="A2350" t="str">
        <f t="shared" si="36"/>
        <v>2023_Vic_Dooen_Chickpea_DetailedTOS1VarietyStrikerWaterTrtIrrigated</v>
      </c>
      <c r="B2350" s="2">
        <v>2023025</v>
      </c>
      <c r="C2350" s="3" t="s">
        <v>2453</v>
      </c>
      <c r="D2350" s="3" t="s">
        <v>248</v>
      </c>
      <c r="F2350" s="3" t="s">
        <v>4179</v>
      </c>
      <c r="G2350" s="3" t="s">
        <v>43</v>
      </c>
      <c r="H2350" s="3" t="s">
        <v>250</v>
      </c>
      <c r="I2350" s="2">
        <v>15</v>
      </c>
      <c r="J2350" s="2">
        <v>7</v>
      </c>
      <c r="K2350" s="2">
        <v>1</v>
      </c>
      <c r="O2350" s="2">
        <v>1</v>
      </c>
      <c r="P2350" s="2">
        <v>2</v>
      </c>
      <c r="U2350" s="2">
        <v>3</v>
      </c>
      <c r="V2350" s="2">
        <v>5</v>
      </c>
      <c r="W2350" s="2">
        <v>3</v>
      </c>
      <c r="X2350" s="2">
        <v>4</v>
      </c>
      <c r="Z2350" s="2">
        <v>6</v>
      </c>
      <c r="AA2350" s="3" t="s">
        <v>57</v>
      </c>
      <c r="AB2350" s="2">
        <v>4</v>
      </c>
      <c r="AF2350" s="2">
        <v>38</v>
      </c>
      <c r="AG2350" s="2">
        <v>1</v>
      </c>
      <c r="AH2350" s="3" t="s">
        <v>2454</v>
      </c>
      <c r="AI2350" s="4">
        <v>45062</v>
      </c>
      <c r="AJ2350" s="3" t="s">
        <v>2469</v>
      </c>
      <c r="AK2350" s="3" t="s">
        <v>248</v>
      </c>
    </row>
    <row r="2351" spans="1:37" hidden="1" x14ac:dyDescent="0.25">
      <c r="A2351" t="str">
        <f t="shared" si="36"/>
        <v>2023_Vic_Dooen_Chickpea_DetailedTOS1VarietyCBA_CaptainWaterTrtIrrigated</v>
      </c>
      <c r="B2351" s="2">
        <v>2023025</v>
      </c>
      <c r="C2351" s="3" t="s">
        <v>2453</v>
      </c>
      <c r="D2351" s="3" t="s">
        <v>248</v>
      </c>
      <c r="F2351" s="3" t="s">
        <v>249</v>
      </c>
      <c r="G2351" s="3" t="s">
        <v>43</v>
      </c>
      <c r="H2351" s="3" t="s">
        <v>250</v>
      </c>
      <c r="I2351" s="2">
        <v>16</v>
      </c>
      <c r="J2351" s="2">
        <v>8</v>
      </c>
      <c r="K2351" s="2">
        <v>1</v>
      </c>
      <c r="O2351" s="2">
        <v>1</v>
      </c>
      <c r="P2351" s="2">
        <v>2</v>
      </c>
      <c r="U2351" s="2">
        <v>4</v>
      </c>
      <c r="V2351" s="2">
        <v>5</v>
      </c>
      <c r="W2351" s="2">
        <v>4</v>
      </c>
      <c r="X2351" s="2">
        <v>4</v>
      </c>
      <c r="Z2351" s="2">
        <v>5</v>
      </c>
      <c r="AA2351" s="3" t="s">
        <v>57</v>
      </c>
      <c r="AB2351" s="2">
        <v>3</v>
      </c>
      <c r="AF2351" s="2">
        <v>38</v>
      </c>
      <c r="AG2351" s="2">
        <v>1</v>
      </c>
      <c r="AH2351" s="3" t="s">
        <v>2454</v>
      </c>
      <c r="AI2351" s="4">
        <v>45062</v>
      </c>
      <c r="AJ2351" s="3" t="s">
        <v>2470</v>
      </c>
      <c r="AK2351" s="3" t="s">
        <v>248</v>
      </c>
    </row>
    <row r="2352" spans="1:37" hidden="1" x14ac:dyDescent="0.25">
      <c r="A2352" t="str">
        <f t="shared" si="36"/>
        <v>2023_Vic_Dooen_Chickpea_DetailedTOS2VarietyDrummondWaterTrtIrrigated</v>
      </c>
      <c r="B2352" s="2">
        <v>2023025</v>
      </c>
      <c r="C2352" s="3" t="s">
        <v>2453</v>
      </c>
      <c r="D2352" s="3" t="s">
        <v>248</v>
      </c>
      <c r="F2352" s="3" t="s">
        <v>4182</v>
      </c>
      <c r="G2352" s="3" t="s">
        <v>39</v>
      </c>
      <c r="H2352" s="3" t="s">
        <v>253</v>
      </c>
      <c r="I2352" s="2">
        <v>17</v>
      </c>
      <c r="J2352" s="2">
        <v>9</v>
      </c>
      <c r="K2352" s="2">
        <v>1</v>
      </c>
      <c r="O2352" s="2">
        <v>2</v>
      </c>
      <c r="P2352" s="2">
        <v>3</v>
      </c>
      <c r="U2352" s="2">
        <v>1</v>
      </c>
      <c r="V2352" s="2">
        <v>7</v>
      </c>
      <c r="W2352" s="2">
        <v>1</v>
      </c>
      <c r="X2352" s="2">
        <v>5</v>
      </c>
      <c r="AA2352" s="3" t="s">
        <v>57</v>
      </c>
      <c r="AB2352" s="2">
        <v>1</v>
      </c>
      <c r="AF2352" s="2">
        <v>38</v>
      </c>
      <c r="AG2352" s="2">
        <v>2</v>
      </c>
      <c r="AH2352" s="3" t="s">
        <v>2063</v>
      </c>
      <c r="AI2352" s="4">
        <v>45110</v>
      </c>
      <c r="AJ2352" s="3" t="s">
        <v>2471</v>
      </c>
      <c r="AK2352" s="3" t="s">
        <v>248</v>
      </c>
    </row>
    <row r="2353" spans="1:37" hidden="1" x14ac:dyDescent="0.25">
      <c r="A2353" t="str">
        <f t="shared" si="36"/>
        <v>2023_Vic_Dooen_Chickpea_DetailedTOS2VarietyCBA_CaptainWaterTrtIrrigated</v>
      </c>
      <c r="B2353" s="2">
        <v>2023025</v>
      </c>
      <c r="C2353" s="3" t="s">
        <v>2453</v>
      </c>
      <c r="D2353" s="3" t="s">
        <v>248</v>
      </c>
      <c r="F2353" s="3" t="s">
        <v>249</v>
      </c>
      <c r="G2353" s="3" t="s">
        <v>43</v>
      </c>
      <c r="H2353" s="3" t="s">
        <v>253</v>
      </c>
      <c r="I2353" s="2">
        <v>18</v>
      </c>
      <c r="J2353" s="2">
        <v>10</v>
      </c>
      <c r="K2353" s="2">
        <v>1</v>
      </c>
      <c r="O2353" s="2">
        <v>2</v>
      </c>
      <c r="P2353" s="2">
        <v>3</v>
      </c>
      <c r="U2353" s="2">
        <v>2</v>
      </c>
      <c r="V2353" s="2">
        <v>7</v>
      </c>
      <c r="W2353" s="2">
        <v>2</v>
      </c>
      <c r="X2353" s="2">
        <v>5</v>
      </c>
      <c r="AA2353" s="3" t="s">
        <v>57</v>
      </c>
      <c r="AB2353" s="2">
        <v>3</v>
      </c>
      <c r="AF2353" s="2">
        <v>38</v>
      </c>
      <c r="AG2353" s="2">
        <v>2</v>
      </c>
      <c r="AH2353" s="3" t="s">
        <v>2063</v>
      </c>
      <c r="AI2353" s="4">
        <v>45110</v>
      </c>
      <c r="AJ2353" s="3" t="s">
        <v>2472</v>
      </c>
      <c r="AK2353" s="3" t="s">
        <v>248</v>
      </c>
    </row>
    <row r="2354" spans="1:37" hidden="1" x14ac:dyDescent="0.25">
      <c r="A2354" t="str">
        <f t="shared" si="36"/>
        <v>2023_Vic_Dooen_Chickpea_DetailedTOS2VarietyHatTrickWaterTrtRainFed</v>
      </c>
      <c r="B2354" s="2">
        <v>2023025</v>
      </c>
      <c r="C2354" s="3" t="s">
        <v>2453</v>
      </c>
      <c r="D2354" s="3" t="s">
        <v>248</v>
      </c>
      <c r="F2354" s="3" t="s">
        <v>4178</v>
      </c>
      <c r="G2354" s="3" t="s">
        <v>39</v>
      </c>
      <c r="H2354" s="3" t="s">
        <v>253</v>
      </c>
      <c r="I2354" s="2">
        <v>19</v>
      </c>
      <c r="J2354" s="2">
        <v>11</v>
      </c>
      <c r="K2354" s="2">
        <v>1</v>
      </c>
      <c r="O2354" s="2">
        <v>2</v>
      </c>
      <c r="P2354" s="2">
        <v>4</v>
      </c>
      <c r="U2354" s="2">
        <v>3</v>
      </c>
      <c r="V2354" s="2">
        <v>7</v>
      </c>
      <c r="W2354" s="2">
        <v>3</v>
      </c>
      <c r="X2354" s="2">
        <v>5</v>
      </c>
      <c r="AA2354" s="3" t="s">
        <v>40</v>
      </c>
      <c r="AB2354" s="2">
        <v>2</v>
      </c>
      <c r="AF2354" s="2">
        <v>38</v>
      </c>
      <c r="AG2354" s="2">
        <v>2</v>
      </c>
      <c r="AH2354" s="3" t="s">
        <v>2063</v>
      </c>
      <c r="AI2354" s="4">
        <v>45110</v>
      </c>
      <c r="AJ2354" s="3" t="s">
        <v>2473</v>
      </c>
      <c r="AK2354" s="3" t="s">
        <v>248</v>
      </c>
    </row>
    <row r="2355" spans="1:37" hidden="1" x14ac:dyDescent="0.25">
      <c r="A2355" t="str">
        <f t="shared" si="36"/>
        <v>2023_Vic_Dooen_Chickpea_DetailedTOS2VarietyStrikerWaterTrtRainFed</v>
      </c>
      <c r="B2355" s="2">
        <v>2023025</v>
      </c>
      <c r="C2355" s="3" t="s">
        <v>2453</v>
      </c>
      <c r="D2355" s="3" t="s">
        <v>248</v>
      </c>
      <c r="F2355" s="3" t="s">
        <v>4179</v>
      </c>
      <c r="G2355" s="3" t="s">
        <v>43</v>
      </c>
      <c r="H2355" s="3" t="s">
        <v>253</v>
      </c>
      <c r="I2355" s="2">
        <v>20</v>
      </c>
      <c r="J2355" s="2">
        <v>12</v>
      </c>
      <c r="K2355" s="2">
        <v>1</v>
      </c>
      <c r="O2355" s="2">
        <v>2</v>
      </c>
      <c r="P2355" s="2">
        <v>4</v>
      </c>
      <c r="U2355" s="2">
        <v>4</v>
      </c>
      <c r="V2355" s="2">
        <v>7</v>
      </c>
      <c r="W2355" s="2">
        <v>4</v>
      </c>
      <c r="X2355" s="2">
        <v>5</v>
      </c>
      <c r="AA2355" s="3" t="s">
        <v>40</v>
      </c>
      <c r="AB2355" s="2">
        <v>4</v>
      </c>
      <c r="AF2355" s="2">
        <v>38</v>
      </c>
      <c r="AG2355" s="2">
        <v>2</v>
      </c>
      <c r="AH2355" s="3" t="s">
        <v>2063</v>
      </c>
      <c r="AI2355" s="4">
        <v>45110</v>
      </c>
      <c r="AJ2355" s="3" t="s">
        <v>2474</v>
      </c>
      <c r="AK2355" s="3" t="s">
        <v>248</v>
      </c>
    </row>
    <row r="2356" spans="1:37" hidden="1" x14ac:dyDescent="0.25">
      <c r="A2356" t="str">
        <f t="shared" si="36"/>
        <v>2023_Vic_Dooen_Chickpea_DetailedTOS2VarietyDrummondWaterTrtIrrigated</v>
      </c>
      <c r="B2356" s="2">
        <v>2023025</v>
      </c>
      <c r="C2356" s="3" t="s">
        <v>2453</v>
      </c>
      <c r="D2356" s="3" t="s">
        <v>248</v>
      </c>
      <c r="F2356" s="3" t="s">
        <v>4182</v>
      </c>
      <c r="G2356" s="3" t="s">
        <v>39</v>
      </c>
      <c r="H2356" s="3" t="s">
        <v>250</v>
      </c>
      <c r="I2356" s="2">
        <v>21</v>
      </c>
      <c r="J2356" s="2">
        <v>9</v>
      </c>
      <c r="K2356" s="2">
        <v>1</v>
      </c>
      <c r="O2356" s="2">
        <v>2</v>
      </c>
      <c r="P2356" s="2">
        <v>3</v>
      </c>
      <c r="U2356" s="2">
        <v>1</v>
      </c>
      <c r="V2356" s="2">
        <v>8</v>
      </c>
      <c r="W2356" s="2">
        <v>1</v>
      </c>
      <c r="X2356" s="2">
        <v>6</v>
      </c>
      <c r="Z2356" s="2">
        <v>9</v>
      </c>
      <c r="AA2356" s="3" t="s">
        <v>57</v>
      </c>
      <c r="AB2356" s="2">
        <v>1</v>
      </c>
      <c r="AF2356" s="2">
        <v>38</v>
      </c>
      <c r="AG2356" s="2">
        <v>2</v>
      </c>
      <c r="AH2356" s="3" t="s">
        <v>2063</v>
      </c>
      <c r="AI2356" s="4">
        <v>45110</v>
      </c>
      <c r="AJ2356" s="3" t="s">
        <v>2475</v>
      </c>
      <c r="AK2356" s="3" t="s">
        <v>248</v>
      </c>
    </row>
    <row r="2357" spans="1:37" hidden="1" x14ac:dyDescent="0.25">
      <c r="A2357" t="str">
        <f t="shared" si="36"/>
        <v>2023_Vic_Dooen_Chickpea_DetailedTOS2VarietyCBA_CaptainWaterTrtIrrigated</v>
      </c>
      <c r="B2357" s="2">
        <v>2023025</v>
      </c>
      <c r="C2357" s="3" t="s">
        <v>2453</v>
      </c>
      <c r="D2357" s="3" t="s">
        <v>248</v>
      </c>
      <c r="F2357" s="3" t="s">
        <v>249</v>
      </c>
      <c r="G2357" s="3" t="s">
        <v>43</v>
      </c>
      <c r="H2357" s="3" t="s">
        <v>250</v>
      </c>
      <c r="I2357" s="2">
        <v>22</v>
      </c>
      <c r="J2357" s="2">
        <v>10</v>
      </c>
      <c r="K2357" s="2">
        <v>1</v>
      </c>
      <c r="O2357" s="2">
        <v>2</v>
      </c>
      <c r="P2357" s="2">
        <v>3</v>
      </c>
      <c r="U2357" s="2">
        <v>2</v>
      </c>
      <c r="V2357" s="2">
        <v>8</v>
      </c>
      <c r="W2357" s="2">
        <v>2</v>
      </c>
      <c r="X2357" s="2">
        <v>6</v>
      </c>
      <c r="Z2357" s="2">
        <v>10</v>
      </c>
      <c r="AA2357" s="3" t="s">
        <v>57</v>
      </c>
      <c r="AB2357" s="2">
        <v>3</v>
      </c>
      <c r="AF2357" s="2">
        <v>38</v>
      </c>
      <c r="AG2357" s="2">
        <v>2</v>
      </c>
      <c r="AH2357" s="3" t="s">
        <v>2063</v>
      </c>
      <c r="AI2357" s="4">
        <v>45110</v>
      </c>
      <c r="AJ2357" s="3" t="s">
        <v>2476</v>
      </c>
      <c r="AK2357" s="3" t="s">
        <v>248</v>
      </c>
    </row>
    <row r="2358" spans="1:37" hidden="1" x14ac:dyDescent="0.25">
      <c r="A2358" t="str">
        <f t="shared" si="36"/>
        <v>2023_Vic_Dooen_Chickpea_DetailedTOS2VarietyHatTrickWaterTrtRainFed</v>
      </c>
      <c r="B2358" s="2">
        <v>2023025</v>
      </c>
      <c r="C2358" s="3" t="s">
        <v>2453</v>
      </c>
      <c r="D2358" s="3" t="s">
        <v>248</v>
      </c>
      <c r="F2358" s="3" t="s">
        <v>4178</v>
      </c>
      <c r="G2358" s="3" t="s">
        <v>39</v>
      </c>
      <c r="H2358" s="3" t="s">
        <v>250</v>
      </c>
      <c r="I2358" s="2">
        <v>23</v>
      </c>
      <c r="J2358" s="2">
        <v>11</v>
      </c>
      <c r="K2358" s="2">
        <v>1</v>
      </c>
      <c r="O2358" s="2">
        <v>2</v>
      </c>
      <c r="P2358" s="2">
        <v>4</v>
      </c>
      <c r="U2358" s="2">
        <v>3</v>
      </c>
      <c r="V2358" s="2">
        <v>8</v>
      </c>
      <c r="W2358" s="2">
        <v>3</v>
      </c>
      <c r="X2358" s="2">
        <v>6</v>
      </c>
      <c r="Z2358" s="2">
        <v>11</v>
      </c>
      <c r="AA2358" s="3" t="s">
        <v>40</v>
      </c>
      <c r="AB2358" s="2">
        <v>2</v>
      </c>
      <c r="AF2358" s="2">
        <v>38</v>
      </c>
      <c r="AG2358" s="2">
        <v>2</v>
      </c>
      <c r="AH2358" s="3" t="s">
        <v>2063</v>
      </c>
      <c r="AI2358" s="4">
        <v>45110</v>
      </c>
      <c r="AJ2358" s="3" t="s">
        <v>2477</v>
      </c>
      <c r="AK2358" s="3" t="s">
        <v>248</v>
      </c>
    </row>
    <row r="2359" spans="1:37" hidden="1" x14ac:dyDescent="0.25">
      <c r="A2359" t="str">
        <f t="shared" si="36"/>
        <v>2023_Vic_Dooen_Chickpea_DetailedTOS2VarietyStrikerWaterTrtRainFed</v>
      </c>
      <c r="B2359" s="2">
        <v>2023025</v>
      </c>
      <c r="C2359" s="3" t="s">
        <v>2453</v>
      </c>
      <c r="D2359" s="3" t="s">
        <v>248</v>
      </c>
      <c r="F2359" s="3" t="s">
        <v>4179</v>
      </c>
      <c r="G2359" s="3" t="s">
        <v>43</v>
      </c>
      <c r="H2359" s="3" t="s">
        <v>250</v>
      </c>
      <c r="I2359" s="2">
        <v>24</v>
      </c>
      <c r="J2359" s="2">
        <v>12</v>
      </c>
      <c r="K2359" s="2">
        <v>1</v>
      </c>
      <c r="O2359" s="2">
        <v>2</v>
      </c>
      <c r="P2359" s="2">
        <v>4</v>
      </c>
      <c r="U2359" s="2">
        <v>4</v>
      </c>
      <c r="V2359" s="2">
        <v>8</v>
      </c>
      <c r="W2359" s="2">
        <v>4</v>
      </c>
      <c r="X2359" s="2">
        <v>6</v>
      </c>
      <c r="Z2359" s="2">
        <v>12</v>
      </c>
      <c r="AA2359" s="3" t="s">
        <v>40</v>
      </c>
      <c r="AB2359" s="2">
        <v>4</v>
      </c>
      <c r="AF2359" s="2">
        <v>38</v>
      </c>
      <c r="AG2359" s="2">
        <v>2</v>
      </c>
      <c r="AH2359" s="3" t="s">
        <v>2063</v>
      </c>
      <c r="AI2359" s="4">
        <v>45110</v>
      </c>
      <c r="AJ2359" s="3" t="s">
        <v>2478</v>
      </c>
      <c r="AK2359" s="3" t="s">
        <v>248</v>
      </c>
    </row>
    <row r="2360" spans="1:37" hidden="1" x14ac:dyDescent="0.25">
      <c r="A2360" t="str">
        <f t="shared" si="36"/>
        <v>2023_Vic_Dooen_Chickpea_DetailedTOS2VarietyHatTrickWaterTrtIrrigated</v>
      </c>
      <c r="B2360" s="2">
        <v>2023025</v>
      </c>
      <c r="C2360" s="3" t="s">
        <v>2453</v>
      </c>
      <c r="D2360" s="3" t="s">
        <v>248</v>
      </c>
      <c r="F2360" s="3" t="s">
        <v>4178</v>
      </c>
      <c r="G2360" s="3" t="s">
        <v>39</v>
      </c>
      <c r="H2360" s="3" t="s">
        <v>253</v>
      </c>
      <c r="I2360" s="2">
        <v>25</v>
      </c>
      <c r="J2360" s="2">
        <v>13</v>
      </c>
      <c r="K2360" s="2">
        <v>1</v>
      </c>
      <c r="O2360" s="2">
        <v>2</v>
      </c>
      <c r="P2360" s="2">
        <v>3</v>
      </c>
      <c r="U2360" s="2">
        <v>1</v>
      </c>
      <c r="V2360" s="2">
        <v>9</v>
      </c>
      <c r="W2360" s="2">
        <v>1</v>
      </c>
      <c r="X2360" s="2">
        <v>7</v>
      </c>
      <c r="AA2360" s="3" t="s">
        <v>57</v>
      </c>
      <c r="AB2360" s="2">
        <v>2</v>
      </c>
      <c r="AF2360" s="2">
        <v>38</v>
      </c>
      <c r="AG2360" s="2">
        <v>2</v>
      </c>
      <c r="AH2360" s="3" t="s">
        <v>2063</v>
      </c>
      <c r="AI2360" s="4">
        <v>45110</v>
      </c>
      <c r="AJ2360" s="3" t="s">
        <v>2479</v>
      </c>
      <c r="AK2360" s="3" t="s">
        <v>248</v>
      </c>
    </row>
    <row r="2361" spans="1:37" hidden="1" x14ac:dyDescent="0.25">
      <c r="A2361" t="str">
        <f t="shared" si="36"/>
        <v>2023_Vic_Dooen_Chickpea_DetailedTOS2VarietyStrikerWaterTrtIrrigated</v>
      </c>
      <c r="B2361" s="2">
        <v>2023025</v>
      </c>
      <c r="C2361" s="3" t="s">
        <v>2453</v>
      </c>
      <c r="D2361" s="3" t="s">
        <v>248</v>
      </c>
      <c r="F2361" s="3" t="s">
        <v>4179</v>
      </c>
      <c r="G2361" s="3" t="s">
        <v>43</v>
      </c>
      <c r="H2361" s="3" t="s">
        <v>253</v>
      </c>
      <c r="I2361" s="2">
        <v>26</v>
      </c>
      <c r="J2361" s="2">
        <v>14</v>
      </c>
      <c r="K2361" s="2">
        <v>1</v>
      </c>
      <c r="O2361" s="2">
        <v>2</v>
      </c>
      <c r="P2361" s="2">
        <v>3</v>
      </c>
      <c r="U2361" s="2">
        <v>2</v>
      </c>
      <c r="V2361" s="2">
        <v>9</v>
      </c>
      <c r="W2361" s="2">
        <v>2</v>
      </c>
      <c r="X2361" s="2">
        <v>7</v>
      </c>
      <c r="AA2361" s="3" t="s">
        <v>57</v>
      </c>
      <c r="AB2361" s="2">
        <v>4</v>
      </c>
      <c r="AF2361" s="2">
        <v>38</v>
      </c>
      <c r="AG2361" s="2">
        <v>2</v>
      </c>
      <c r="AH2361" s="3" t="s">
        <v>2063</v>
      </c>
      <c r="AI2361" s="4">
        <v>45110</v>
      </c>
      <c r="AJ2361" s="3" t="s">
        <v>2480</v>
      </c>
      <c r="AK2361" s="3" t="s">
        <v>248</v>
      </c>
    </row>
    <row r="2362" spans="1:37" hidden="1" x14ac:dyDescent="0.25">
      <c r="A2362" t="str">
        <f t="shared" si="36"/>
        <v>2023_Vic_Dooen_Chickpea_DetailedTOS2VarietyCBA_CaptainWaterTrtRainFed</v>
      </c>
      <c r="B2362" s="2">
        <v>2023025</v>
      </c>
      <c r="C2362" s="3" t="s">
        <v>2453</v>
      </c>
      <c r="D2362" s="3" t="s">
        <v>248</v>
      </c>
      <c r="F2362" s="3" t="s">
        <v>249</v>
      </c>
      <c r="G2362" s="3" t="s">
        <v>43</v>
      </c>
      <c r="H2362" s="3" t="s">
        <v>253</v>
      </c>
      <c r="I2362" s="2">
        <v>27</v>
      </c>
      <c r="J2362" s="2">
        <v>15</v>
      </c>
      <c r="K2362" s="2">
        <v>1</v>
      </c>
      <c r="O2362" s="2">
        <v>2</v>
      </c>
      <c r="P2362" s="2">
        <v>4</v>
      </c>
      <c r="U2362" s="2">
        <v>3</v>
      </c>
      <c r="V2362" s="2">
        <v>9</v>
      </c>
      <c r="W2362" s="2">
        <v>3</v>
      </c>
      <c r="X2362" s="2">
        <v>7</v>
      </c>
      <c r="AA2362" s="3" t="s">
        <v>40</v>
      </c>
      <c r="AB2362" s="2">
        <v>3</v>
      </c>
      <c r="AF2362" s="2">
        <v>38</v>
      </c>
      <c r="AG2362" s="2">
        <v>2</v>
      </c>
      <c r="AH2362" s="3" t="s">
        <v>2063</v>
      </c>
      <c r="AI2362" s="4">
        <v>45110</v>
      </c>
      <c r="AJ2362" s="3" t="s">
        <v>2481</v>
      </c>
      <c r="AK2362" s="3" t="s">
        <v>248</v>
      </c>
    </row>
    <row r="2363" spans="1:37" hidden="1" x14ac:dyDescent="0.25">
      <c r="A2363" t="str">
        <f t="shared" si="36"/>
        <v>2023_Vic_Dooen_Chickpea_DetailedTOS2VarietyDrummondWaterTrtRainFed</v>
      </c>
      <c r="B2363" s="2">
        <v>2023025</v>
      </c>
      <c r="C2363" s="3" t="s">
        <v>2453</v>
      </c>
      <c r="D2363" s="3" t="s">
        <v>248</v>
      </c>
      <c r="F2363" s="3" t="s">
        <v>4182</v>
      </c>
      <c r="G2363" s="3" t="s">
        <v>39</v>
      </c>
      <c r="H2363" s="3" t="s">
        <v>253</v>
      </c>
      <c r="I2363" s="2">
        <v>28</v>
      </c>
      <c r="J2363" s="2">
        <v>16</v>
      </c>
      <c r="K2363" s="2">
        <v>1</v>
      </c>
      <c r="O2363" s="2">
        <v>2</v>
      </c>
      <c r="P2363" s="2">
        <v>4</v>
      </c>
      <c r="U2363" s="2">
        <v>4</v>
      </c>
      <c r="V2363" s="2">
        <v>9</v>
      </c>
      <c r="W2363" s="2">
        <v>4</v>
      </c>
      <c r="X2363" s="2">
        <v>7</v>
      </c>
      <c r="AA2363" s="3" t="s">
        <v>40</v>
      </c>
      <c r="AB2363" s="2">
        <v>1</v>
      </c>
      <c r="AF2363" s="2">
        <v>38</v>
      </c>
      <c r="AG2363" s="2">
        <v>2</v>
      </c>
      <c r="AH2363" s="3" t="s">
        <v>2063</v>
      </c>
      <c r="AI2363" s="4">
        <v>45110</v>
      </c>
      <c r="AJ2363" s="3" t="s">
        <v>2482</v>
      </c>
      <c r="AK2363" s="3" t="s">
        <v>248</v>
      </c>
    </row>
    <row r="2364" spans="1:37" hidden="1" x14ac:dyDescent="0.25">
      <c r="A2364" t="str">
        <f t="shared" si="36"/>
        <v>2023_Vic_Dooen_Chickpea_DetailedTOS2VarietyHatTrickWaterTrtIrrigated</v>
      </c>
      <c r="B2364" s="2">
        <v>2023025</v>
      </c>
      <c r="C2364" s="3" t="s">
        <v>2453</v>
      </c>
      <c r="D2364" s="3" t="s">
        <v>248</v>
      </c>
      <c r="F2364" s="3" t="s">
        <v>4178</v>
      </c>
      <c r="G2364" s="3" t="s">
        <v>39</v>
      </c>
      <c r="H2364" s="3" t="s">
        <v>250</v>
      </c>
      <c r="I2364" s="2">
        <v>29</v>
      </c>
      <c r="J2364" s="2">
        <v>13</v>
      </c>
      <c r="K2364" s="2">
        <v>1</v>
      </c>
      <c r="O2364" s="2">
        <v>2</v>
      </c>
      <c r="P2364" s="2">
        <v>3</v>
      </c>
      <c r="U2364" s="2">
        <v>1</v>
      </c>
      <c r="V2364" s="2">
        <v>10</v>
      </c>
      <c r="W2364" s="2">
        <v>1</v>
      </c>
      <c r="X2364" s="2">
        <v>8</v>
      </c>
      <c r="Z2364" s="2">
        <v>16</v>
      </c>
      <c r="AA2364" s="3" t="s">
        <v>57</v>
      </c>
      <c r="AB2364" s="2">
        <v>2</v>
      </c>
      <c r="AF2364" s="2">
        <v>38</v>
      </c>
      <c r="AG2364" s="2">
        <v>2</v>
      </c>
      <c r="AH2364" s="3" t="s">
        <v>2063</v>
      </c>
      <c r="AI2364" s="4">
        <v>45110</v>
      </c>
      <c r="AJ2364" s="3" t="s">
        <v>2483</v>
      </c>
      <c r="AK2364" s="3" t="s">
        <v>248</v>
      </c>
    </row>
    <row r="2365" spans="1:37" hidden="1" x14ac:dyDescent="0.25">
      <c r="A2365" t="str">
        <f t="shared" si="36"/>
        <v>2023_Vic_Dooen_Chickpea_DetailedTOS2VarietyStrikerWaterTrtIrrigated</v>
      </c>
      <c r="B2365" s="2">
        <v>2023025</v>
      </c>
      <c r="C2365" s="3" t="s">
        <v>2453</v>
      </c>
      <c r="D2365" s="3" t="s">
        <v>248</v>
      </c>
      <c r="F2365" s="3" t="s">
        <v>4179</v>
      </c>
      <c r="G2365" s="3" t="s">
        <v>43</v>
      </c>
      <c r="H2365" s="3" t="s">
        <v>250</v>
      </c>
      <c r="I2365" s="2">
        <v>30</v>
      </c>
      <c r="J2365" s="2">
        <v>14</v>
      </c>
      <c r="K2365" s="2">
        <v>1</v>
      </c>
      <c r="O2365" s="2">
        <v>2</v>
      </c>
      <c r="P2365" s="2">
        <v>3</v>
      </c>
      <c r="U2365" s="2">
        <v>2</v>
      </c>
      <c r="V2365" s="2">
        <v>10</v>
      </c>
      <c r="W2365" s="2">
        <v>2</v>
      </c>
      <c r="X2365" s="2">
        <v>8</v>
      </c>
      <c r="Z2365" s="2">
        <v>15</v>
      </c>
      <c r="AA2365" s="3" t="s">
        <v>57</v>
      </c>
      <c r="AB2365" s="2">
        <v>4</v>
      </c>
      <c r="AF2365" s="2">
        <v>38</v>
      </c>
      <c r="AG2365" s="2">
        <v>2</v>
      </c>
      <c r="AH2365" s="3" t="s">
        <v>2063</v>
      </c>
      <c r="AI2365" s="4">
        <v>45110</v>
      </c>
      <c r="AJ2365" s="3" t="s">
        <v>2484</v>
      </c>
      <c r="AK2365" s="3" t="s">
        <v>248</v>
      </c>
    </row>
    <row r="2366" spans="1:37" hidden="1" x14ac:dyDescent="0.25">
      <c r="A2366" t="str">
        <f t="shared" si="36"/>
        <v>2023_Vic_Dooen_Chickpea_DetailedTOS2VarietyCBA_CaptainWaterTrtRainFed</v>
      </c>
      <c r="B2366" s="2">
        <v>2023025</v>
      </c>
      <c r="C2366" s="3" t="s">
        <v>2453</v>
      </c>
      <c r="D2366" s="3" t="s">
        <v>248</v>
      </c>
      <c r="F2366" s="3" t="s">
        <v>249</v>
      </c>
      <c r="G2366" s="3" t="s">
        <v>43</v>
      </c>
      <c r="H2366" s="3" t="s">
        <v>250</v>
      </c>
      <c r="I2366" s="2">
        <v>31</v>
      </c>
      <c r="J2366" s="2">
        <v>15</v>
      </c>
      <c r="K2366" s="2">
        <v>1</v>
      </c>
      <c r="O2366" s="2">
        <v>2</v>
      </c>
      <c r="P2366" s="2">
        <v>4</v>
      </c>
      <c r="U2366" s="2">
        <v>3</v>
      </c>
      <c r="V2366" s="2">
        <v>10</v>
      </c>
      <c r="W2366" s="2">
        <v>3</v>
      </c>
      <c r="X2366" s="2">
        <v>8</v>
      </c>
      <c r="Z2366" s="2">
        <v>14</v>
      </c>
      <c r="AA2366" s="3" t="s">
        <v>40</v>
      </c>
      <c r="AB2366" s="2">
        <v>3</v>
      </c>
      <c r="AF2366" s="2">
        <v>38</v>
      </c>
      <c r="AG2366" s="2">
        <v>2</v>
      </c>
      <c r="AH2366" s="3" t="s">
        <v>2063</v>
      </c>
      <c r="AI2366" s="4">
        <v>45110</v>
      </c>
      <c r="AJ2366" s="3" t="s">
        <v>2485</v>
      </c>
      <c r="AK2366" s="3" t="s">
        <v>248</v>
      </c>
    </row>
    <row r="2367" spans="1:37" hidden="1" x14ac:dyDescent="0.25">
      <c r="A2367" t="str">
        <f t="shared" si="36"/>
        <v>2023_Vic_Dooen_Chickpea_DetailedTOS2VarietyDrummondWaterTrtRainFed</v>
      </c>
      <c r="B2367" s="2">
        <v>2023025</v>
      </c>
      <c r="C2367" s="3" t="s">
        <v>2453</v>
      </c>
      <c r="D2367" s="3" t="s">
        <v>248</v>
      </c>
      <c r="F2367" s="3" t="s">
        <v>4182</v>
      </c>
      <c r="G2367" s="3" t="s">
        <v>39</v>
      </c>
      <c r="H2367" s="3" t="s">
        <v>250</v>
      </c>
      <c r="I2367" s="2">
        <v>32</v>
      </c>
      <c r="J2367" s="2">
        <v>16</v>
      </c>
      <c r="K2367" s="2">
        <v>1</v>
      </c>
      <c r="O2367" s="2">
        <v>2</v>
      </c>
      <c r="P2367" s="2">
        <v>4</v>
      </c>
      <c r="U2367" s="2">
        <v>4</v>
      </c>
      <c r="V2367" s="2">
        <v>10</v>
      </c>
      <c r="W2367" s="2">
        <v>4</v>
      </c>
      <c r="X2367" s="2">
        <v>8</v>
      </c>
      <c r="Z2367" s="2">
        <v>13</v>
      </c>
      <c r="AA2367" s="3" t="s">
        <v>40</v>
      </c>
      <c r="AB2367" s="2">
        <v>1</v>
      </c>
      <c r="AF2367" s="2">
        <v>38</v>
      </c>
      <c r="AG2367" s="2">
        <v>2</v>
      </c>
      <c r="AH2367" s="3" t="s">
        <v>2063</v>
      </c>
      <c r="AI2367" s="4">
        <v>45110</v>
      </c>
      <c r="AJ2367" s="3" t="s">
        <v>2486</v>
      </c>
      <c r="AK2367" s="3" t="s">
        <v>248</v>
      </c>
    </row>
    <row r="2368" spans="1:37" hidden="1" x14ac:dyDescent="0.25">
      <c r="A2368" t="str">
        <f t="shared" si="36"/>
        <v>2023_Vic_Dooen_Chickpea_DetailedTOS1VarietyHatTrickWaterTrtRainFed</v>
      </c>
      <c r="B2368" s="2">
        <v>2023025</v>
      </c>
      <c r="C2368" s="3" t="s">
        <v>2453</v>
      </c>
      <c r="D2368" s="3" t="s">
        <v>248</v>
      </c>
      <c r="F2368" s="3" t="s">
        <v>4178</v>
      </c>
      <c r="G2368" s="3" t="s">
        <v>39</v>
      </c>
      <c r="H2368" s="3" t="s">
        <v>253</v>
      </c>
      <c r="I2368" s="2">
        <v>33</v>
      </c>
      <c r="J2368" s="2">
        <v>17</v>
      </c>
      <c r="K2368" s="2">
        <v>2</v>
      </c>
      <c r="O2368" s="2">
        <v>3</v>
      </c>
      <c r="P2368" s="2">
        <v>5</v>
      </c>
      <c r="U2368" s="2">
        <v>1</v>
      </c>
      <c r="V2368" s="2">
        <v>12</v>
      </c>
      <c r="W2368" s="2">
        <v>1</v>
      </c>
      <c r="X2368" s="2">
        <v>9</v>
      </c>
      <c r="AA2368" s="3" t="s">
        <v>40</v>
      </c>
      <c r="AB2368" s="2">
        <v>2</v>
      </c>
      <c r="AF2368" s="2">
        <v>38</v>
      </c>
      <c r="AG2368" s="2">
        <v>1</v>
      </c>
      <c r="AH2368" s="3" t="s">
        <v>2454</v>
      </c>
      <c r="AI2368" s="4">
        <v>45062</v>
      </c>
      <c r="AJ2368" s="3" t="s">
        <v>2487</v>
      </c>
      <c r="AK2368" s="3" t="s">
        <v>248</v>
      </c>
    </row>
    <row r="2369" spans="1:37" hidden="1" x14ac:dyDescent="0.25">
      <c r="A2369" t="str">
        <f t="shared" si="36"/>
        <v>2023_Vic_Dooen_Chickpea_DetailedTOS1VarietyCBA_CaptainWaterTrtRainFed</v>
      </c>
      <c r="B2369" s="2">
        <v>2023025</v>
      </c>
      <c r="C2369" s="3" t="s">
        <v>2453</v>
      </c>
      <c r="D2369" s="3" t="s">
        <v>248</v>
      </c>
      <c r="F2369" s="3" t="s">
        <v>249</v>
      </c>
      <c r="G2369" s="3" t="s">
        <v>43</v>
      </c>
      <c r="H2369" s="3" t="s">
        <v>253</v>
      </c>
      <c r="I2369" s="2">
        <v>34</v>
      </c>
      <c r="J2369" s="2">
        <v>18</v>
      </c>
      <c r="K2369" s="2">
        <v>2</v>
      </c>
      <c r="O2369" s="2">
        <v>3</v>
      </c>
      <c r="P2369" s="2">
        <v>5</v>
      </c>
      <c r="U2369" s="2">
        <v>2</v>
      </c>
      <c r="V2369" s="2">
        <v>12</v>
      </c>
      <c r="W2369" s="2">
        <v>2</v>
      </c>
      <c r="X2369" s="2">
        <v>9</v>
      </c>
      <c r="AA2369" s="3" t="s">
        <v>40</v>
      </c>
      <c r="AB2369" s="2">
        <v>3</v>
      </c>
      <c r="AF2369" s="2">
        <v>38</v>
      </c>
      <c r="AG2369" s="2">
        <v>1</v>
      </c>
      <c r="AH2369" s="3" t="s">
        <v>2454</v>
      </c>
      <c r="AI2369" s="4">
        <v>45062</v>
      </c>
      <c r="AJ2369" s="3" t="s">
        <v>2488</v>
      </c>
      <c r="AK2369" s="3" t="s">
        <v>248</v>
      </c>
    </row>
    <row r="2370" spans="1:37" hidden="1" x14ac:dyDescent="0.25">
      <c r="A2370" t="str">
        <f t="shared" si="36"/>
        <v>2023_Vic_Dooen_Chickpea_DetailedTOS1VarietyDrummondWaterTrtIrrigated</v>
      </c>
      <c r="B2370" s="2">
        <v>2023025</v>
      </c>
      <c r="C2370" s="3" t="s">
        <v>2453</v>
      </c>
      <c r="D2370" s="3" t="s">
        <v>248</v>
      </c>
      <c r="F2370" s="3" t="s">
        <v>4182</v>
      </c>
      <c r="G2370" s="3" t="s">
        <v>39</v>
      </c>
      <c r="H2370" s="3" t="s">
        <v>253</v>
      </c>
      <c r="I2370" s="2">
        <v>35</v>
      </c>
      <c r="J2370" s="2">
        <v>19</v>
      </c>
      <c r="K2370" s="2">
        <v>2</v>
      </c>
      <c r="O2370" s="2">
        <v>3</v>
      </c>
      <c r="P2370" s="2">
        <v>6</v>
      </c>
      <c r="U2370" s="2">
        <v>3</v>
      </c>
      <c r="V2370" s="2">
        <v>12</v>
      </c>
      <c r="W2370" s="2">
        <v>3</v>
      </c>
      <c r="X2370" s="2">
        <v>9</v>
      </c>
      <c r="AA2370" s="3" t="s">
        <v>57</v>
      </c>
      <c r="AB2370" s="2">
        <v>1</v>
      </c>
      <c r="AF2370" s="2">
        <v>38</v>
      </c>
      <c r="AG2370" s="2">
        <v>1</v>
      </c>
      <c r="AH2370" s="3" t="s">
        <v>2454</v>
      </c>
      <c r="AI2370" s="4">
        <v>45062</v>
      </c>
      <c r="AJ2370" s="3" t="s">
        <v>2489</v>
      </c>
      <c r="AK2370" s="3" t="s">
        <v>248</v>
      </c>
    </row>
    <row r="2371" spans="1:37" hidden="1" x14ac:dyDescent="0.25">
      <c r="A2371" t="str">
        <f t="shared" ref="A2371:A2434" si="37">C2371&amp;"TOS"&amp;AG2371&amp;"Variety"&amp;F2371&amp;"WaterTrt"&amp;AA2371&amp;IF(AC2371="","","Agronomy"&amp;AC2371)</f>
        <v>2023_Vic_Dooen_Chickpea_DetailedTOS1VarietyStrikerWaterTrtIrrigated</v>
      </c>
      <c r="B2371" s="2">
        <v>2023025</v>
      </c>
      <c r="C2371" s="3" t="s">
        <v>2453</v>
      </c>
      <c r="D2371" s="3" t="s">
        <v>248</v>
      </c>
      <c r="F2371" s="3" t="s">
        <v>4179</v>
      </c>
      <c r="G2371" s="3" t="s">
        <v>43</v>
      </c>
      <c r="H2371" s="3" t="s">
        <v>253</v>
      </c>
      <c r="I2371" s="2">
        <v>36</v>
      </c>
      <c r="J2371" s="2">
        <v>20</v>
      </c>
      <c r="K2371" s="2">
        <v>2</v>
      </c>
      <c r="O2371" s="2">
        <v>3</v>
      </c>
      <c r="P2371" s="2">
        <v>6</v>
      </c>
      <c r="U2371" s="2">
        <v>4</v>
      </c>
      <c r="V2371" s="2">
        <v>12</v>
      </c>
      <c r="W2371" s="2">
        <v>4</v>
      </c>
      <c r="X2371" s="2">
        <v>9</v>
      </c>
      <c r="AA2371" s="3" t="s">
        <v>57</v>
      </c>
      <c r="AB2371" s="2">
        <v>4</v>
      </c>
      <c r="AF2371" s="2">
        <v>38</v>
      </c>
      <c r="AG2371" s="2">
        <v>1</v>
      </c>
      <c r="AH2371" s="3" t="s">
        <v>2454</v>
      </c>
      <c r="AI2371" s="4">
        <v>45062</v>
      </c>
      <c r="AJ2371" s="3" t="s">
        <v>2490</v>
      </c>
      <c r="AK2371" s="3" t="s">
        <v>248</v>
      </c>
    </row>
    <row r="2372" spans="1:37" hidden="1" x14ac:dyDescent="0.25">
      <c r="A2372" t="str">
        <f t="shared" si="37"/>
        <v>2023_Vic_Dooen_Chickpea_DetailedTOS1VarietyHatTrickWaterTrtRainFed</v>
      </c>
      <c r="B2372" s="2">
        <v>2023025</v>
      </c>
      <c r="C2372" s="3" t="s">
        <v>2453</v>
      </c>
      <c r="D2372" s="3" t="s">
        <v>248</v>
      </c>
      <c r="F2372" s="3" t="s">
        <v>4178</v>
      </c>
      <c r="G2372" s="3" t="s">
        <v>39</v>
      </c>
      <c r="H2372" s="3" t="s">
        <v>250</v>
      </c>
      <c r="I2372" s="2">
        <v>37</v>
      </c>
      <c r="J2372" s="2">
        <v>17</v>
      </c>
      <c r="K2372" s="2">
        <v>2</v>
      </c>
      <c r="O2372" s="2">
        <v>3</v>
      </c>
      <c r="P2372" s="2">
        <v>5</v>
      </c>
      <c r="U2372" s="2">
        <v>1</v>
      </c>
      <c r="V2372" s="2">
        <v>13</v>
      </c>
      <c r="W2372" s="2">
        <v>1</v>
      </c>
      <c r="X2372" s="2">
        <v>10</v>
      </c>
      <c r="Z2372" s="2">
        <v>17</v>
      </c>
      <c r="AA2372" s="3" t="s">
        <v>40</v>
      </c>
      <c r="AB2372" s="2">
        <v>2</v>
      </c>
      <c r="AF2372" s="2">
        <v>38</v>
      </c>
      <c r="AG2372" s="2">
        <v>1</v>
      </c>
      <c r="AH2372" s="3" t="s">
        <v>2454</v>
      </c>
      <c r="AI2372" s="4">
        <v>45062</v>
      </c>
      <c r="AJ2372" s="3" t="s">
        <v>2491</v>
      </c>
      <c r="AK2372" s="3" t="s">
        <v>248</v>
      </c>
    </row>
    <row r="2373" spans="1:37" hidden="1" x14ac:dyDescent="0.25">
      <c r="A2373" t="str">
        <f t="shared" si="37"/>
        <v>2023_Vic_Dooen_Chickpea_DetailedTOS1VarietyCBA_CaptainWaterTrtRainFed</v>
      </c>
      <c r="B2373" s="2">
        <v>2023025</v>
      </c>
      <c r="C2373" s="3" t="s">
        <v>2453</v>
      </c>
      <c r="D2373" s="3" t="s">
        <v>248</v>
      </c>
      <c r="F2373" s="3" t="s">
        <v>249</v>
      </c>
      <c r="G2373" s="3" t="s">
        <v>43</v>
      </c>
      <c r="H2373" s="3" t="s">
        <v>250</v>
      </c>
      <c r="I2373" s="2">
        <v>38</v>
      </c>
      <c r="J2373" s="2">
        <v>18</v>
      </c>
      <c r="K2373" s="2">
        <v>2</v>
      </c>
      <c r="O2373" s="2">
        <v>3</v>
      </c>
      <c r="P2373" s="2">
        <v>5</v>
      </c>
      <c r="U2373" s="2">
        <v>2</v>
      </c>
      <c r="V2373" s="2">
        <v>13</v>
      </c>
      <c r="W2373" s="2">
        <v>2</v>
      </c>
      <c r="X2373" s="2">
        <v>10</v>
      </c>
      <c r="Z2373" s="2">
        <v>18</v>
      </c>
      <c r="AA2373" s="3" t="s">
        <v>40</v>
      </c>
      <c r="AB2373" s="2">
        <v>3</v>
      </c>
      <c r="AF2373" s="2">
        <v>38</v>
      </c>
      <c r="AG2373" s="2">
        <v>1</v>
      </c>
      <c r="AH2373" s="3" t="s">
        <v>2454</v>
      </c>
      <c r="AI2373" s="4">
        <v>45062</v>
      </c>
      <c r="AJ2373" s="3" t="s">
        <v>2492</v>
      </c>
      <c r="AK2373" s="3" t="s">
        <v>248</v>
      </c>
    </row>
    <row r="2374" spans="1:37" hidden="1" x14ac:dyDescent="0.25">
      <c r="A2374" t="str">
        <f t="shared" si="37"/>
        <v>2023_Vic_Dooen_Chickpea_DetailedTOS1VarietyDrummondWaterTrtIrrigated</v>
      </c>
      <c r="B2374" s="2">
        <v>2023025</v>
      </c>
      <c r="C2374" s="3" t="s">
        <v>2453</v>
      </c>
      <c r="D2374" s="3" t="s">
        <v>248</v>
      </c>
      <c r="F2374" s="3" t="s">
        <v>4182</v>
      </c>
      <c r="G2374" s="3" t="s">
        <v>39</v>
      </c>
      <c r="H2374" s="3" t="s">
        <v>250</v>
      </c>
      <c r="I2374" s="2">
        <v>39</v>
      </c>
      <c r="J2374" s="2">
        <v>19</v>
      </c>
      <c r="K2374" s="2">
        <v>2</v>
      </c>
      <c r="O2374" s="2">
        <v>3</v>
      </c>
      <c r="P2374" s="2">
        <v>6</v>
      </c>
      <c r="U2374" s="2">
        <v>3</v>
      </c>
      <c r="V2374" s="2">
        <v>13</v>
      </c>
      <c r="W2374" s="2">
        <v>3</v>
      </c>
      <c r="X2374" s="2">
        <v>10</v>
      </c>
      <c r="Z2374" s="2">
        <v>19</v>
      </c>
      <c r="AA2374" s="3" t="s">
        <v>57</v>
      </c>
      <c r="AB2374" s="2">
        <v>1</v>
      </c>
      <c r="AF2374" s="2">
        <v>38</v>
      </c>
      <c r="AG2374" s="2">
        <v>1</v>
      </c>
      <c r="AH2374" s="3" t="s">
        <v>2454</v>
      </c>
      <c r="AI2374" s="4">
        <v>45062</v>
      </c>
      <c r="AJ2374" s="3" t="s">
        <v>2493</v>
      </c>
      <c r="AK2374" s="3" t="s">
        <v>248</v>
      </c>
    </row>
    <row r="2375" spans="1:37" hidden="1" x14ac:dyDescent="0.25">
      <c r="A2375" t="str">
        <f t="shared" si="37"/>
        <v>2023_Vic_Dooen_Chickpea_DetailedTOS1VarietyStrikerWaterTrtIrrigated</v>
      </c>
      <c r="B2375" s="2">
        <v>2023025</v>
      </c>
      <c r="C2375" s="3" t="s">
        <v>2453</v>
      </c>
      <c r="D2375" s="3" t="s">
        <v>248</v>
      </c>
      <c r="F2375" s="3" t="s">
        <v>4179</v>
      </c>
      <c r="G2375" s="3" t="s">
        <v>43</v>
      </c>
      <c r="H2375" s="3" t="s">
        <v>250</v>
      </c>
      <c r="I2375" s="2">
        <v>40</v>
      </c>
      <c r="J2375" s="2">
        <v>20</v>
      </c>
      <c r="K2375" s="2">
        <v>2</v>
      </c>
      <c r="O2375" s="2">
        <v>3</v>
      </c>
      <c r="P2375" s="2">
        <v>6</v>
      </c>
      <c r="U2375" s="2">
        <v>4</v>
      </c>
      <c r="V2375" s="2">
        <v>13</v>
      </c>
      <c r="W2375" s="2">
        <v>4</v>
      </c>
      <c r="X2375" s="2">
        <v>10</v>
      </c>
      <c r="Z2375" s="2">
        <v>20</v>
      </c>
      <c r="AA2375" s="3" t="s">
        <v>57</v>
      </c>
      <c r="AB2375" s="2">
        <v>4</v>
      </c>
      <c r="AF2375" s="2">
        <v>38</v>
      </c>
      <c r="AG2375" s="2">
        <v>1</v>
      </c>
      <c r="AH2375" s="3" t="s">
        <v>2454</v>
      </c>
      <c r="AI2375" s="4">
        <v>45062</v>
      </c>
      <c r="AJ2375" s="3" t="s">
        <v>2494</v>
      </c>
      <c r="AK2375" s="3" t="s">
        <v>248</v>
      </c>
    </row>
    <row r="2376" spans="1:37" hidden="1" x14ac:dyDescent="0.25">
      <c r="A2376" t="str">
        <f t="shared" si="37"/>
        <v>2023_Vic_Dooen_Chickpea_DetailedTOS1VarietyStrikerWaterTrtRainFed</v>
      </c>
      <c r="B2376" s="2">
        <v>2023025</v>
      </c>
      <c r="C2376" s="3" t="s">
        <v>2453</v>
      </c>
      <c r="D2376" s="3" t="s">
        <v>248</v>
      </c>
      <c r="F2376" s="3" t="s">
        <v>4179</v>
      </c>
      <c r="G2376" s="3" t="s">
        <v>43</v>
      </c>
      <c r="H2376" s="3" t="s">
        <v>253</v>
      </c>
      <c r="I2376" s="2">
        <v>41</v>
      </c>
      <c r="J2376" s="2">
        <v>21</v>
      </c>
      <c r="K2376" s="2">
        <v>2</v>
      </c>
      <c r="O2376" s="2">
        <v>3</v>
      </c>
      <c r="P2376" s="2">
        <v>5</v>
      </c>
      <c r="U2376" s="2">
        <v>1</v>
      </c>
      <c r="V2376" s="2">
        <v>14</v>
      </c>
      <c r="W2376" s="2">
        <v>1</v>
      </c>
      <c r="X2376" s="2">
        <v>11</v>
      </c>
      <c r="AA2376" s="3" t="s">
        <v>40</v>
      </c>
      <c r="AB2376" s="2">
        <v>4</v>
      </c>
      <c r="AF2376" s="2">
        <v>38</v>
      </c>
      <c r="AG2376" s="2">
        <v>1</v>
      </c>
      <c r="AH2376" s="3" t="s">
        <v>2454</v>
      </c>
      <c r="AI2376" s="4">
        <v>45062</v>
      </c>
      <c r="AJ2376" s="3" t="s">
        <v>2495</v>
      </c>
      <c r="AK2376" s="3" t="s">
        <v>248</v>
      </c>
    </row>
    <row r="2377" spans="1:37" hidden="1" x14ac:dyDescent="0.25">
      <c r="A2377" t="str">
        <f t="shared" si="37"/>
        <v>2023_Vic_Dooen_Chickpea_DetailedTOS1VarietyDrummondWaterTrtRainFed</v>
      </c>
      <c r="B2377" s="2">
        <v>2023025</v>
      </c>
      <c r="C2377" s="3" t="s">
        <v>2453</v>
      </c>
      <c r="D2377" s="3" t="s">
        <v>248</v>
      </c>
      <c r="F2377" s="3" t="s">
        <v>4182</v>
      </c>
      <c r="G2377" s="3" t="s">
        <v>39</v>
      </c>
      <c r="H2377" s="3" t="s">
        <v>253</v>
      </c>
      <c r="I2377" s="2">
        <v>42</v>
      </c>
      <c r="J2377" s="2">
        <v>22</v>
      </c>
      <c r="K2377" s="2">
        <v>2</v>
      </c>
      <c r="O2377" s="2">
        <v>3</v>
      </c>
      <c r="P2377" s="2">
        <v>5</v>
      </c>
      <c r="U2377" s="2">
        <v>2</v>
      </c>
      <c r="V2377" s="2">
        <v>14</v>
      </c>
      <c r="W2377" s="2">
        <v>2</v>
      </c>
      <c r="X2377" s="2">
        <v>11</v>
      </c>
      <c r="AA2377" s="3" t="s">
        <v>40</v>
      </c>
      <c r="AB2377" s="2">
        <v>1</v>
      </c>
      <c r="AF2377" s="2">
        <v>38</v>
      </c>
      <c r="AG2377" s="2">
        <v>1</v>
      </c>
      <c r="AH2377" s="3" t="s">
        <v>2454</v>
      </c>
      <c r="AI2377" s="4">
        <v>45062</v>
      </c>
      <c r="AJ2377" s="3" t="s">
        <v>2496</v>
      </c>
      <c r="AK2377" s="3" t="s">
        <v>248</v>
      </c>
    </row>
    <row r="2378" spans="1:37" hidden="1" x14ac:dyDescent="0.25">
      <c r="A2378" t="str">
        <f t="shared" si="37"/>
        <v>2023_Vic_Dooen_Chickpea_DetailedTOS1VarietyCBA_CaptainWaterTrtIrrigated</v>
      </c>
      <c r="B2378" s="2">
        <v>2023025</v>
      </c>
      <c r="C2378" s="3" t="s">
        <v>2453</v>
      </c>
      <c r="D2378" s="3" t="s">
        <v>248</v>
      </c>
      <c r="F2378" s="3" t="s">
        <v>249</v>
      </c>
      <c r="G2378" s="3" t="s">
        <v>43</v>
      </c>
      <c r="H2378" s="3" t="s">
        <v>253</v>
      </c>
      <c r="I2378" s="2">
        <v>43</v>
      </c>
      <c r="J2378" s="2">
        <v>23</v>
      </c>
      <c r="K2378" s="2">
        <v>2</v>
      </c>
      <c r="O2378" s="2">
        <v>3</v>
      </c>
      <c r="P2378" s="2">
        <v>6</v>
      </c>
      <c r="U2378" s="2">
        <v>3</v>
      </c>
      <c r="V2378" s="2">
        <v>14</v>
      </c>
      <c r="W2378" s="2">
        <v>3</v>
      </c>
      <c r="X2378" s="2">
        <v>11</v>
      </c>
      <c r="AA2378" s="3" t="s">
        <v>57</v>
      </c>
      <c r="AB2378" s="2">
        <v>3</v>
      </c>
      <c r="AF2378" s="2">
        <v>38</v>
      </c>
      <c r="AG2378" s="2">
        <v>1</v>
      </c>
      <c r="AH2378" s="3" t="s">
        <v>2454</v>
      </c>
      <c r="AI2378" s="4">
        <v>45062</v>
      </c>
      <c r="AJ2378" s="3" t="s">
        <v>2497</v>
      </c>
      <c r="AK2378" s="3" t="s">
        <v>248</v>
      </c>
    </row>
    <row r="2379" spans="1:37" hidden="1" x14ac:dyDescent="0.25">
      <c r="A2379" t="str">
        <f t="shared" si="37"/>
        <v>2023_Vic_Dooen_Chickpea_DetailedTOS1VarietyHatTrickWaterTrtIrrigated</v>
      </c>
      <c r="B2379" s="2">
        <v>2023025</v>
      </c>
      <c r="C2379" s="3" t="s">
        <v>2453</v>
      </c>
      <c r="D2379" s="3" t="s">
        <v>248</v>
      </c>
      <c r="F2379" s="3" t="s">
        <v>4178</v>
      </c>
      <c r="G2379" s="3" t="s">
        <v>39</v>
      </c>
      <c r="H2379" s="3" t="s">
        <v>253</v>
      </c>
      <c r="I2379" s="2">
        <v>44</v>
      </c>
      <c r="J2379" s="2">
        <v>24</v>
      </c>
      <c r="K2379" s="2">
        <v>2</v>
      </c>
      <c r="O2379" s="2">
        <v>3</v>
      </c>
      <c r="P2379" s="2">
        <v>6</v>
      </c>
      <c r="U2379" s="2">
        <v>4</v>
      </c>
      <c r="V2379" s="2">
        <v>14</v>
      </c>
      <c r="W2379" s="2">
        <v>4</v>
      </c>
      <c r="X2379" s="2">
        <v>11</v>
      </c>
      <c r="AA2379" s="3" t="s">
        <v>57</v>
      </c>
      <c r="AB2379" s="2">
        <v>2</v>
      </c>
      <c r="AF2379" s="2">
        <v>38</v>
      </c>
      <c r="AG2379" s="2">
        <v>1</v>
      </c>
      <c r="AH2379" s="3" t="s">
        <v>2454</v>
      </c>
      <c r="AI2379" s="4">
        <v>45062</v>
      </c>
      <c r="AJ2379" s="3" t="s">
        <v>2498</v>
      </c>
      <c r="AK2379" s="3" t="s">
        <v>248</v>
      </c>
    </row>
    <row r="2380" spans="1:37" hidden="1" x14ac:dyDescent="0.25">
      <c r="A2380" t="str">
        <f t="shared" si="37"/>
        <v>2023_Vic_Dooen_Chickpea_DetailedTOS1VarietyStrikerWaterTrtRainFed</v>
      </c>
      <c r="B2380" s="2">
        <v>2023025</v>
      </c>
      <c r="C2380" s="3" t="s">
        <v>2453</v>
      </c>
      <c r="D2380" s="3" t="s">
        <v>248</v>
      </c>
      <c r="F2380" s="3" t="s">
        <v>4179</v>
      </c>
      <c r="G2380" s="3" t="s">
        <v>43</v>
      </c>
      <c r="H2380" s="3" t="s">
        <v>250</v>
      </c>
      <c r="I2380" s="2">
        <v>45</v>
      </c>
      <c r="J2380" s="2">
        <v>21</v>
      </c>
      <c r="K2380" s="2">
        <v>2</v>
      </c>
      <c r="O2380" s="2">
        <v>3</v>
      </c>
      <c r="P2380" s="2">
        <v>5</v>
      </c>
      <c r="U2380" s="2">
        <v>1</v>
      </c>
      <c r="V2380" s="2">
        <v>15</v>
      </c>
      <c r="W2380" s="2">
        <v>1</v>
      </c>
      <c r="X2380" s="2">
        <v>12</v>
      </c>
      <c r="Z2380" s="2">
        <v>24</v>
      </c>
      <c r="AA2380" s="3" t="s">
        <v>40</v>
      </c>
      <c r="AB2380" s="2">
        <v>4</v>
      </c>
      <c r="AF2380" s="2">
        <v>38</v>
      </c>
      <c r="AG2380" s="2">
        <v>1</v>
      </c>
      <c r="AH2380" s="3" t="s">
        <v>2454</v>
      </c>
      <c r="AI2380" s="4">
        <v>45062</v>
      </c>
      <c r="AJ2380" s="3" t="s">
        <v>2499</v>
      </c>
      <c r="AK2380" s="3" t="s">
        <v>248</v>
      </c>
    </row>
    <row r="2381" spans="1:37" hidden="1" x14ac:dyDescent="0.25">
      <c r="A2381" t="str">
        <f t="shared" si="37"/>
        <v>2023_Vic_Dooen_Chickpea_DetailedTOS1VarietyDrummondWaterTrtRainFed</v>
      </c>
      <c r="B2381" s="2">
        <v>2023025</v>
      </c>
      <c r="C2381" s="3" t="s">
        <v>2453</v>
      </c>
      <c r="D2381" s="3" t="s">
        <v>248</v>
      </c>
      <c r="F2381" s="3" t="s">
        <v>4182</v>
      </c>
      <c r="G2381" s="3" t="s">
        <v>39</v>
      </c>
      <c r="H2381" s="3" t="s">
        <v>250</v>
      </c>
      <c r="I2381" s="2">
        <v>46</v>
      </c>
      <c r="J2381" s="2">
        <v>22</v>
      </c>
      <c r="K2381" s="2">
        <v>2</v>
      </c>
      <c r="O2381" s="2">
        <v>3</v>
      </c>
      <c r="P2381" s="2">
        <v>5</v>
      </c>
      <c r="U2381" s="2">
        <v>2</v>
      </c>
      <c r="V2381" s="2">
        <v>15</v>
      </c>
      <c r="W2381" s="2">
        <v>2</v>
      </c>
      <c r="X2381" s="2">
        <v>12</v>
      </c>
      <c r="Z2381" s="2">
        <v>23</v>
      </c>
      <c r="AA2381" s="3" t="s">
        <v>40</v>
      </c>
      <c r="AB2381" s="2">
        <v>1</v>
      </c>
      <c r="AF2381" s="2">
        <v>38</v>
      </c>
      <c r="AG2381" s="2">
        <v>1</v>
      </c>
      <c r="AH2381" s="3" t="s">
        <v>2454</v>
      </c>
      <c r="AI2381" s="4">
        <v>45062</v>
      </c>
      <c r="AJ2381" s="3" t="s">
        <v>2500</v>
      </c>
      <c r="AK2381" s="3" t="s">
        <v>248</v>
      </c>
    </row>
    <row r="2382" spans="1:37" hidden="1" x14ac:dyDescent="0.25">
      <c r="A2382" t="str">
        <f t="shared" si="37"/>
        <v>2023_Vic_Dooen_Chickpea_DetailedTOS1VarietyCBA_CaptainWaterTrtIrrigated</v>
      </c>
      <c r="B2382" s="2">
        <v>2023025</v>
      </c>
      <c r="C2382" s="3" t="s">
        <v>2453</v>
      </c>
      <c r="D2382" s="3" t="s">
        <v>248</v>
      </c>
      <c r="F2382" s="3" t="s">
        <v>249</v>
      </c>
      <c r="G2382" s="3" t="s">
        <v>43</v>
      </c>
      <c r="H2382" s="3" t="s">
        <v>250</v>
      </c>
      <c r="I2382" s="2">
        <v>47</v>
      </c>
      <c r="J2382" s="2">
        <v>23</v>
      </c>
      <c r="K2382" s="2">
        <v>2</v>
      </c>
      <c r="O2382" s="2">
        <v>3</v>
      </c>
      <c r="P2382" s="2">
        <v>6</v>
      </c>
      <c r="U2382" s="2">
        <v>3</v>
      </c>
      <c r="V2382" s="2">
        <v>15</v>
      </c>
      <c r="W2382" s="2">
        <v>3</v>
      </c>
      <c r="X2382" s="2">
        <v>12</v>
      </c>
      <c r="Z2382" s="2">
        <v>22</v>
      </c>
      <c r="AA2382" s="3" t="s">
        <v>57</v>
      </c>
      <c r="AB2382" s="2">
        <v>3</v>
      </c>
      <c r="AF2382" s="2">
        <v>38</v>
      </c>
      <c r="AG2382" s="2">
        <v>1</v>
      </c>
      <c r="AH2382" s="3" t="s">
        <v>2454</v>
      </c>
      <c r="AI2382" s="4">
        <v>45062</v>
      </c>
      <c r="AJ2382" s="3" t="s">
        <v>2501</v>
      </c>
      <c r="AK2382" s="3" t="s">
        <v>248</v>
      </c>
    </row>
    <row r="2383" spans="1:37" hidden="1" x14ac:dyDescent="0.25">
      <c r="A2383" t="str">
        <f t="shared" si="37"/>
        <v>2023_Vic_Dooen_Chickpea_DetailedTOS1VarietyHatTrickWaterTrtIrrigated</v>
      </c>
      <c r="B2383" s="2">
        <v>2023025</v>
      </c>
      <c r="C2383" s="3" t="s">
        <v>2453</v>
      </c>
      <c r="D2383" s="3" t="s">
        <v>248</v>
      </c>
      <c r="F2383" s="3" t="s">
        <v>4178</v>
      </c>
      <c r="G2383" s="3" t="s">
        <v>39</v>
      </c>
      <c r="H2383" s="3" t="s">
        <v>250</v>
      </c>
      <c r="I2383" s="2">
        <v>48</v>
      </c>
      <c r="J2383" s="2">
        <v>24</v>
      </c>
      <c r="K2383" s="2">
        <v>2</v>
      </c>
      <c r="O2383" s="2">
        <v>3</v>
      </c>
      <c r="P2383" s="2">
        <v>6</v>
      </c>
      <c r="U2383" s="2">
        <v>4</v>
      </c>
      <c r="V2383" s="2">
        <v>15</v>
      </c>
      <c r="W2383" s="2">
        <v>4</v>
      </c>
      <c r="X2383" s="2">
        <v>12</v>
      </c>
      <c r="Z2383" s="2">
        <v>21</v>
      </c>
      <c r="AA2383" s="3" t="s">
        <v>57</v>
      </c>
      <c r="AB2383" s="2">
        <v>2</v>
      </c>
      <c r="AF2383" s="2">
        <v>38</v>
      </c>
      <c r="AG2383" s="2">
        <v>1</v>
      </c>
      <c r="AH2383" s="3" t="s">
        <v>2454</v>
      </c>
      <c r="AI2383" s="4">
        <v>45062</v>
      </c>
      <c r="AJ2383" s="3" t="s">
        <v>2502</v>
      </c>
      <c r="AK2383" s="3" t="s">
        <v>248</v>
      </c>
    </row>
    <row r="2384" spans="1:37" hidden="1" x14ac:dyDescent="0.25">
      <c r="A2384" t="str">
        <f t="shared" si="37"/>
        <v>2023_Vic_Dooen_Chickpea_DetailedTOS2VarietyStrikerWaterTrtIrrigated</v>
      </c>
      <c r="B2384" s="2">
        <v>2023025</v>
      </c>
      <c r="C2384" s="3" t="s">
        <v>2453</v>
      </c>
      <c r="D2384" s="3" t="s">
        <v>248</v>
      </c>
      <c r="F2384" s="3" t="s">
        <v>4179</v>
      </c>
      <c r="G2384" s="3" t="s">
        <v>43</v>
      </c>
      <c r="H2384" s="3" t="s">
        <v>253</v>
      </c>
      <c r="I2384" s="2">
        <v>49</v>
      </c>
      <c r="J2384" s="2">
        <v>25</v>
      </c>
      <c r="K2384" s="2">
        <v>2</v>
      </c>
      <c r="O2384" s="2">
        <v>4</v>
      </c>
      <c r="P2384" s="2">
        <v>7</v>
      </c>
      <c r="U2384" s="2">
        <v>1</v>
      </c>
      <c r="V2384" s="2">
        <v>17</v>
      </c>
      <c r="W2384" s="2">
        <v>1</v>
      </c>
      <c r="X2384" s="2">
        <v>13</v>
      </c>
      <c r="AA2384" s="3" t="s">
        <v>57</v>
      </c>
      <c r="AB2384" s="2">
        <v>4</v>
      </c>
      <c r="AF2384" s="2">
        <v>38</v>
      </c>
      <c r="AG2384" s="2">
        <v>2</v>
      </c>
      <c r="AH2384" s="3" t="s">
        <v>2063</v>
      </c>
      <c r="AI2384" s="4">
        <v>45110</v>
      </c>
      <c r="AJ2384" s="3" t="s">
        <v>2503</v>
      </c>
      <c r="AK2384" s="3" t="s">
        <v>248</v>
      </c>
    </row>
    <row r="2385" spans="1:37" hidden="1" x14ac:dyDescent="0.25">
      <c r="A2385" t="str">
        <f t="shared" si="37"/>
        <v>2023_Vic_Dooen_Chickpea_DetailedTOS2VarietyCBA_CaptainWaterTrtIrrigated</v>
      </c>
      <c r="B2385" s="2">
        <v>2023025</v>
      </c>
      <c r="C2385" s="3" t="s">
        <v>2453</v>
      </c>
      <c r="D2385" s="3" t="s">
        <v>248</v>
      </c>
      <c r="F2385" s="3" t="s">
        <v>249</v>
      </c>
      <c r="G2385" s="3" t="s">
        <v>43</v>
      </c>
      <c r="H2385" s="3" t="s">
        <v>253</v>
      </c>
      <c r="I2385" s="2">
        <v>50</v>
      </c>
      <c r="J2385" s="2">
        <v>26</v>
      </c>
      <c r="K2385" s="2">
        <v>2</v>
      </c>
      <c r="O2385" s="2">
        <v>4</v>
      </c>
      <c r="P2385" s="2">
        <v>7</v>
      </c>
      <c r="U2385" s="2">
        <v>2</v>
      </c>
      <c r="V2385" s="2">
        <v>17</v>
      </c>
      <c r="W2385" s="2">
        <v>2</v>
      </c>
      <c r="X2385" s="2">
        <v>13</v>
      </c>
      <c r="AA2385" s="3" t="s">
        <v>57</v>
      </c>
      <c r="AB2385" s="2">
        <v>3</v>
      </c>
      <c r="AF2385" s="2">
        <v>38</v>
      </c>
      <c r="AG2385" s="2">
        <v>2</v>
      </c>
      <c r="AH2385" s="3" t="s">
        <v>2063</v>
      </c>
      <c r="AI2385" s="4">
        <v>45110</v>
      </c>
      <c r="AJ2385" s="3" t="s">
        <v>2504</v>
      </c>
      <c r="AK2385" s="3" t="s">
        <v>248</v>
      </c>
    </row>
    <row r="2386" spans="1:37" hidden="1" x14ac:dyDescent="0.25">
      <c r="A2386" t="str">
        <f t="shared" si="37"/>
        <v>2023_Vic_Dooen_Chickpea_DetailedTOS2VarietyHatTrickWaterTrtRainFed</v>
      </c>
      <c r="B2386" s="2">
        <v>2023025</v>
      </c>
      <c r="C2386" s="3" t="s">
        <v>2453</v>
      </c>
      <c r="D2386" s="3" t="s">
        <v>248</v>
      </c>
      <c r="F2386" s="3" t="s">
        <v>4178</v>
      </c>
      <c r="G2386" s="3" t="s">
        <v>39</v>
      </c>
      <c r="H2386" s="3" t="s">
        <v>253</v>
      </c>
      <c r="I2386" s="2">
        <v>51</v>
      </c>
      <c r="J2386" s="2">
        <v>27</v>
      </c>
      <c r="K2386" s="2">
        <v>2</v>
      </c>
      <c r="O2386" s="2">
        <v>4</v>
      </c>
      <c r="P2386" s="2">
        <v>8</v>
      </c>
      <c r="U2386" s="2">
        <v>3</v>
      </c>
      <c r="V2386" s="2">
        <v>17</v>
      </c>
      <c r="W2386" s="2">
        <v>3</v>
      </c>
      <c r="X2386" s="2">
        <v>13</v>
      </c>
      <c r="AA2386" s="3" t="s">
        <v>40</v>
      </c>
      <c r="AB2386" s="2">
        <v>2</v>
      </c>
      <c r="AF2386" s="2">
        <v>38</v>
      </c>
      <c r="AG2386" s="2">
        <v>2</v>
      </c>
      <c r="AH2386" s="3" t="s">
        <v>2063</v>
      </c>
      <c r="AI2386" s="4">
        <v>45110</v>
      </c>
      <c r="AJ2386" s="3" t="s">
        <v>2505</v>
      </c>
      <c r="AK2386" s="3" t="s">
        <v>248</v>
      </c>
    </row>
    <row r="2387" spans="1:37" hidden="1" x14ac:dyDescent="0.25">
      <c r="A2387" t="str">
        <f t="shared" si="37"/>
        <v>2023_Vic_Dooen_Chickpea_DetailedTOS2VarietyDrummondWaterTrtRainFed</v>
      </c>
      <c r="B2387" s="2">
        <v>2023025</v>
      </c>
      <c r="C2387" s="3" t="s">
        <v>2453</v>
      </c>
      <c r="D2387" s="3" t="s">
        <v>248</v>
      </c>
      <c r="F2387" s="3" t="s">
        <v>4182</v>
      </c>
      <c r="G2387" s="3" t="s">
        <v>39</v>
      </c>
      <c r="H2387" s="3" t="s">
        <v>253</v>
      </c>
      <c r="I2387" s="2">
        <v>52</v>
      </c>
      <c r="J2387" s="2">
        <v>28</v>
      </c>
      <c r="K2387" s="2">
        <v>2</v>
      </c>
      <c r="O2387" s="2">
        <v>4</v>
      </c>
      <c r="P2387" s="2">
        <v>8</v>
      </c>
      <c r="U2387" s="2">
        <v>4</v>
      </c>
      <c r="V2387" s="2">
        <v>17</v>
      </c>
      <c r="W2387" s="2">
        <v>4</v>
      </c>
      <c r="X2387" s="2">
        <v>13</v>
      </c>
      <c r="AA2387" s="3" t="s">
        <v>40</v>
      </c>
      <c r="AB2387" s="2">
        <v>1</v>
      </c>
      <c r="AF2387" s="2">
        <v>38</v>
      </c>
      <c r="AG2387" s="2">
        <v>2</v>
      </c>
      <c r="AH2387" s="3" t="s">
        <v>2063</v>
      </c>
      <c r="AI2387" s="4">
        <v>45110</v>
      </c>
      <c r="AJ2387" s="3" t="s">
        <v>2506</v>
      </c>
      <c r="AK2387" s="3" t="s">
        <v>248</v>
      </c>
    </row>
    <row r="2388" spans="1:37" hidden="1" x14ac:dyDescent="0.25">
      <c r="A2388" t="str">
        <f t="shared" si="37"/>
        <v>2023_Vic_Dooen_Chickpea_DetailedTOS2VarietyStrikerWaterTrtIrrigated</v>
      </c>
      <c r="B2388" s="2">
        <v>2023025</v>
      </c>
      <c r="C2388" s="3" t="s">
        <v>2453</v>
      </c>
      <c r="D2388" s="3" t="s">
        <v>248</v>
      </c>
      <c r="F2388" s="3" t="s">
        <v>4179</v>
      </c>
      <c r="G2388" s="3" t="s">
        <v>43</v>
      </c>
      <c r="H2388" s="3" t="s">
        <v>250</v>
      </c>
      <c r="I2388" s="2">
        <v>53</v>
      </c>
      <c r="J2388" s="2">
        <v>25</v>
      </c>
      <c r="K2388" s="2">
        <v>2</v>
      </c>
      <c r="O2388" s="2">
        <v>4</v>
      </c>
      <c r="P2388" s="2">
        <v>7</v>
      </c>
      <c r="U2388" s="2">
        <v>1</v>
      </c>
      <c r="V2388" s="2">
        <v>18</v>
      </c>
      <c r="W2388" s="2">
        <v>1</v>
      </c>
      <c r="X2388" s="2">
        <v>14</v>
      </c>
      <c r="Z2388" s="2">
        <v>25</v>
      </c>
      <c r="AA2388" s="3" t="s">
        <v>57</v>
      </c>
      <c r="AB2388" s="2">
        <v>4</v>
      </c>
      <c r="AF2388" s="2">
        <v>38</v>
      </c>
      <c r="AG2388" s="2">
        <v>2</v>
      </c>
      <c r="AH2388" s="3" t="s">
        <v>2063</v>
      </c>
      <c r="AI2388" s="4">
        <v>45110</v>
      </c>
      <c r="AJ2388" s="3" t="s">
        <v>2507</v>
      </c>
      <c r="AK2388" s="3" t="s">
        <v>248</v>
      </c>
    </row>
    <row r="2389" spans="1:37" hidden="1" x14ac:dyDescent="0.25">
      <c r="A2389" t="str">
        <f t="shared" si="37"/>
        <v>2023_Vic_Dooen_Chickpea_DetailedTOS2VarietyCBA_CaptainWaterTrtIrrigated</v>
      </c>
      <c r="B2389" s="2">
        <v>2023025</v>
      </c>
      <c r="C2389" s="3" t="s">
        <v>2453</v>
      </c>
      <c r="D2389" s="3" t="s">
        <v>248</v>
      </c>
      <c r="F2389" s="3" t="s">
        <v>249</v>
      </c>
      <c r="G2389" s="3" t="s">
        <v>43</v>
      </c>
      <c r="H2389" s="3" t="s">
        <v>250</v>
      </c>
      <c r="I2389" s="2">
        <v>54</v>
      </c>
      <c r="J2389" s="2">
        <v>26</v>
      </c>
      <c r="K2389" s="2">
        <v>2</v>
      </c>
      <c r="O2389" s="2">
        <v>4</v>
      </c>
      <c r="P2389" s="2">
        <v>7</v>
      </c>
      <c r="U2389" s="2">
        <v>2</v>
      </c>
      <c r="V2389" s="2">
        <v>18</v>
      </c>
      <c r="W2389" s="2">
        <v>2</v>
      </c>
      <c r="X2389" s="2">
        <v>14</v>
      </c>
      <c r="Z2389" s="2">
        <v>26</v>
      </c>
      <c r="AA2389" s="3" t="s">
        <v>57</v>
      </c>
      <c r="AB2389" s="2">
        <v>3</v>
      </c>
      <c r="AF2389" s="2">
        <v>38</v>
      </c>
      <c r="AG2389" s="2">
        <v>2</v>
      </c>
      <c r="AH2389" s="3" t="s">
        <v>2063</v>
      </c>
      <c r="AI2389" s="4">
        <v>45110</v>
      </c>
      <c r="AJ2389" s="3" t="s">
        <v>2508</v>
      </c>
      <c r="AK2389" s="3" t="s">
        <v>248</v>
      </c>
    </row>
    <row r="2390" spans="1:37" hidden="1" x14ac:dyDescent="0.25">
      <c r="A2390" t="str">
        <f t="shared" si="37"/>
        <v>2023_Vic_Dooen_Chickpea_DetailedTOS2VarietyHatTrickWaterTrtRainFed</v>
      </c>
      <c r="B2390" s="2">
        <v>2023025</v>
      </c>
      <c r="C2390" s="3" t="s">
        <v>2453</v>
      </c>
      <c r="D2390" s="3" t="s">
        <v>248</v>
      </c>
      <c r="F2390" s="3" t="s">
        <v>4178</v>
      </c>
      <c r="G2390" s="3" t="s">
        <v>39</v>
      </c>
      <c r="H2390" s="3" t="s">
        <v>250</v>
      </c>
      <c r="I2390" s="2">
        <v>55</v>
      </c>
      <c r="J2390" s="2">
        <v>27</v>
      </c>
      <c r="K2390" s="2">
        <v>2</v>
      </c>
      <c r="O2390" s="2">
        <v>4</v>
      </c>
      <c r="P2390" s="2">
        <v>8</v>
      </c>
      <c r="U2390" s="2">
        <v>3</v>
      </c>
      <c r="V2390" s="2">
        <v>18</v>
      </c>
      <c r="W2390" s="2">
        <v>3</v>
      </c>
      <c r="X2390" s="2">
        <v>14</v>
      </c>
      <c r="Z2390" s="2">
        <v>27</v>
      </c>
      <c r="AA2390" s="3" t="s">
        <v>40</v>
      </c>
      <c r="AB2390" s="2">
        <v>2</v>
      </c>
      <c r="AF2390" s="2">
        <v>38</v>
      </c>
      <c r="AG2390" s="2">
        <v>2</v>
      </c>
      <c r="AH2390" s="3" t="s">
        <v>2063</v>
      </c>
      <c r="AI2390" s="4">
        <v>45110</v>
      </c>
      <c r="AJ2390" s="3" t="s">
        <v>2509</v>
      </c>
      <c r="AK2390" s="3" t="s">
        <v>248</v>
      </c>
    </row>
    <row r="2391" spans="1:37" hidden="1" x14ac:dyDescent="0.25">
      <c r="A2391" t="str">
        <f t="shared" si="37"/>
        <v>2023_Vic_Dooen_Chickpea_DetailedTOS2VarietyDrummondWaterTrtRainFed</v>
      </c>
      <c r="B2391" s="2">
        <v>2023025</v>
      </c>
      <c r="C2391" s="3" t="s">
        <v>2453</v>
      </c>
      <c r="D2391" s="3" t="s">
        <v>248</v>
      </c>
      <c r="F2391" s="3" t="s">
        <v>4182</v>
      </c>
      <c r="G2391" s="3" t="s">
        <v>39</v>
      </c>
      <c r="H2391" s="3" t="s">
        <v>250</v>
      </c>
      <c r="I2391" s="2">
        <v>56</v>
      </c>
      <c r="J2391" s="2">
        <v>28</v>
      </c>
      <c r="K2391" s="2">
        <v>2</v>
      </c>
      <c r="O2391" s="2">
        <v>4</v>
      </c>
      <c r="P2391" s="2">
        <v>8</v>
      </c>
      <c r="U2391" s="2">
        <v>4</v>
      </c>
      <c r="V2391" s="2">
        <v>18</v>
      </c>
      <c r="W2391" s="2">
        <v>4</v>
      </c>
      <c r="X2391" s="2">
        <v>14</v>
      </c>
      <c r="Z2391" s="2">
        <v>28</v>
      </c>
      <c r="AA2391" s="3" t="s">
        <v>40</v>
      </c>
      <c r="AB2391" s="2">
        <v>1</v>
      </c>
      <c r="AF2391" s="2">
        <v>38</v>
      </c>
      <c r="AG2391" s="2">
        <v>2</v>
      </c>
      <c r="AH2391" s="3" t="s">
        <v>2063</v>
      </c>
      <c r="AI2391" s="4">
        <v>45110</v>
      </c>
      <c r="AJ2391" s="3" t="s">
        <v>2510</v>
      </c>
      <c r="AK2391" s="3" t="s">
        <v>248</v>
      </c>
    </row>
    <row r="2392" spans="1:37" hidden="1" x14ac:dyDescent="0.25">
      <c r="A2392" t="str">
        <f t="shared" si="37"/>
        <v>2023_Vic_Dooen_Chickpea_DetailedTOS2VarietyDrummondWaterTrtIrrigated</v>
      </c>
      <c r="B2392" s="2">
        <v>2023025</v>
      </c>
      <c r="C2392" s="3" t="s">
        <v>2453</v>
      </c>
      <c r="D2392" s="3" t="s">
        <v>248</v>
      </c>
      <c r="F2392" s="3" t="s">
        <v>4182</v>
      </c>
      <c r="G2392" s="3" t="s">
        <v>39</v>
      </c>
      <c r="H2392" s="3" t="s">
        <v>253</v>
      </c>
      <c r="I2392" s="2">
        <v>57</v>
      </c>
      <c r="J2392" s="2">
        <v>29</v>
      </c>
      <c r="K2392" s="2">
        <v>2</v>
      </c>
      <c r="O2392" s="2">
        <v>4</v>
      </c>
      <c r="P2392" s="2">
        <v>7</v>
      </c>
      <c r="U2392" s="2">
        <v>1</v>
      </c>
      <c r="V2392" s="2">
        <v>19</v>
      </c>
      <c r="W2392" s="2">
        <v>1</v>
      </c>
      <c r="X2392" s="2">
        <v>15</v>
      </c>
      <c r="AA2392" s="3" t="s">
        <v>57</v>
      </c>
      <c r="AB2392" s="2">
        <v>1</v>
      </c>
      <c r="AF2392" s="2">
        <v>38</v>
      </c>
      <c r="AG2392" s="2">
        <v>2</v>
      </c>
      <c r="AH2392" s="3" t="s">
        <v>2063</v>
      </c>
      <c r="AI2392" s="4">
        <v>45110</v>
      </c>
      <c r="AJ2392" s="3" t="s">
        <v>2511</v>
      </c>
      <c r="AK2392" s="3" t="s">
        <v>248</v>
      </c>
    </row>
    <row r="2393" spans="1:37" hidden="1" x14ac:dyDescent="0.25">
      <c r="A2393" t="str">
        <f t="shared" si="37"/>
        <v>2023_Vic_Dooen_Chickpea_DetailedTOS2VarietyHatTrickWaterTrtIrrigated</v>
      </c>
      <c r="B2393" s="2">
        <v>2023025</v>
      </c>
      <c r="C2393" s="3" t="s">
        <v>2453</v>
      </c>
      <c r="D2393" s="3" t="s">
        <v>248</v>
      </c>
      <c r="F2393" s="3" t="s">
        <v>4178</v>
      </c>
      <c r="G2393" s="3" t="s">
        <v>39</v>
      </c>
      <c r="H2393" s="3" t="s">
        <v>253</v>
      </c>
      <c r="I2393" s="2">
        <v>58</v>
      </c>
      <c r="J2393" s="2">
        <v>30</v>
      </c>
      <c r="K2393" s="2">
        <v>2</v>
      </c>
      <c r="O2393" s="2">
        <v>4</v>
      </c>
      <c r="P2393" s="2">
        <v>7</v>
      </c>
      <c r="U2393" s="2">
        <v>2</v>
      </c>
      <c r="V2393" s="2">
        <v>19</v>
      </c>
      <c r="W2393" s="2">
        <v>2</v>
      </c>
      <c r="X2393" s="2">
        <v>15</v>
      </c>
      <c r="AA2393" s="3" t="s">
        <v>57</v>
      </c>
      <c r="AB2393" s="2">
        <v>2</v>
      </c>
      <c r="AF2393" s="2">
        <v>38</v>
      </c>
      <c r="AG2393" s="2">
        <v>2</v>
      </c>
      <c r="AH2393" s="3" t="s">
        <v>2063</v>
      </c>
      <c r="AI2393" s="4">
        <v>45110</v>
      </c>
      <c r="AJ2393" s="3" t="s">
        <v>2512</v>
      </c>
      <c r="AK2393" s="3" t="s">
        <v>248</v>
      </c>
    </row>
    <row r="2394" spans="1:37" hidden="1" x14ac:dyDescent="0.25">
      <c r="A2394" t="str">
        <f t="shared" si="37"/>
        <v>2023_Vic_Dooen_Chickpea_DetailedTOS2VarietyCBA_CaptainWaterTrtRainFed</v>
      </c>
      <c r="B2394" s="2">
        <v>2023025</v>
      </c>
      <c r="C2394" s="3" t="s">
        <v>2453</v>
      </c>
      <c r="D2394" s="3" t="s">
        <v>248</v>
      </c>
      <c r="F2394" s="3" t="s">
        <v>249</v>
      </c>
      <c r="G2394" s="3" t="s">
        <v>43</v>
      </c>
      <c r="H2394" s="3" t="s">
        <v>253</v>
      </c>
      <c r="I2394" s="2">
        <v>59</v>
      </c>
      <c r="J2394" s="2">
        <v>31</v>
      </c>
      <c r="K2394" s="2">
        <v>2</v>
      </c>
      <c r="O2394" s="2">
        <v>4</v>
      </c>
      <c r="P2394" s="2">
        <v>8</v>
      </c>
      <c r="U2394" s="2">
        <v>3</v>
      </c>
      <c r="V2394" s="2">
        <v>19</v>
      </c>
      <c r="W2394" s="2">
        <v>3</v>
      </c>
      <c r="X2394" s="2">
        <v>15</v>
      </c>
      <c r="AA2394" s="3" t="s">
        <v>40</v>
      </c>
      <c r="AB2394" s="2">
        <v>3</v>
      </c>
      <c r="AF2394" s="2">
        <v>38</v>
      </c>
      <c r="AG2394" s="2">
        <v>2</v>
      </c>
      <c r="AH2394" s="3" t="s">
        <v>2063</v>
      </c>
      <c r="AI2394" s="4">
        <v>45110</v>
      </c>
      <c r="AJ2394" s="3" t="s">
        <v>2513</v>
      </c>
      <c r="AK2394" s="3" t="s">
        <v>248</v>
      </c>
    </row>
    <row r="2395" spans="1:37" hidden="1" x14ac:dyDescent="0.25">
      <c r="A2395" t="str">
        <f t="shared" si="37"/>
        <v>2023_Vic_Dooen_Chickpea_DetailedTOS2VarietyStrikerWaterTrtRainFed</v>
      </c>
      <c r="B2395" s="2">
        <v>2023025</v>
      </c>
      <c r="C2395" s="3" t="s">
        <v>2453</v>
      </c>
      <c r="D2395" s="3" t="s">
        <v>248</v>
      </c>
      <c r="F2395" s="3" t="s">
        <v>4179</v>
      </c>
      <c r="G2395" s="3" t="s">
        <v>43</v>
      </c>
      <c r="H2395" s="3" t="s">
        <v>253</v>
      </c>
      <c r="I2395" s="2">
        <v>60</v>
      </c>
      <c r="J2395" s="2">
        <v>32</v>
      </c>
      <c r="K2395" s="2">
        <v>2</v>
      </c>
      <c r="O2395" s="2">
        <v>4</v>
      </c>
      <c r="P2395" s="2">
        <v>8</v>
      </c>
      <c r="U2395" s="2">
        <v>4</v>
      </c>
      <c r="V2395" s="2">
        <v>19</v>
      </c>
      <c r="W2395" s="2">
        <v>4</v>
      </c>
      <c r="X2395" s="2">
        <v>15</v>
      </c>
      <c r="AA2395" s="3" t="s">
        <v>40</v>
      </c>
      <c r="AB2395" s="2">
        <v>4</v>
      </c>
      <c r="AF2395" s="2">
        <v>38</v>
      </c>
      <c r="AG2395" s="2">
        <v>2</v>
      </c>
      <c r="AH2395" s="3" t="s">
        <v>2063</v>
      </c>
      <c r="AI2395" s="4">
        <v>45110</v>
      </c>
      <c r="AJ2395" s="3" t="s">
        <v>2514</v>
      </c>
      <c r="AK2395" s="3" t="s">
        <v>248</v>
      </c>
    </row>
    <row r="2396" spans="1:37" hidden="1" x14ac:dyDescent="0.25">
      <c r="A2396" t="str">
        <f t="shared" si="37"/>
        <v>2023_Vic_Dooen_Chickpea_DetailedTOS2VarietyDrummondWaterTrtIrrigated</v>
      </c>
      <c r="B2396" s="2">
        <v>2023025</v>
      </c>
      <c r="C2396" s="3" t="s">
        <v>2453</v>
      </c>
      <c r="D2396" s="3" t="s">
        <v>248</v>
      </c>
      <c r="F2396" s="3" t="s">
        <v>4182</v>
      </c>
      <c r="G2396" s="3" t="s">
        <v>39</v>
      </c>
      <c r="H2396" s="3" t="s">
        <v>250</v>
      </c>
      <c r="I2396" s="2">
        <v>61</v>
      </c>
      <c r="J2396" s="2">
        <v>29</v>
      </c>
      <c r="K2396" s="2">
        <v>2</v>
      </c>
      <c r="O2396" s="2">
        <v>4</v>
      </c>
      <c r="P2396" s="2">
        <v>7</v>
      </c>
      <c r="U2396" s="2">
        <v>1</v>
      </c>
      <c r="V2396" s="2">
        <v>20</v>
      </c>
      <c r="W2396" s="2">
        <v>1</v>
      </c>
      <c r="X2396" s="2">
        <v>16</v>
      </c>
      <c r="Z2396" s="2">
        <v>32</v>
      </c>
      <c r="AA2396" s="3" t="s">
        <v>57</v>
      </c>
      <c r="AB2396" s="2">
        <v>1</v>
      </c>
      <c r="AF2396" s="2">
        <v>38</v>
      </c>
      <c r="AG2396" s="2">
        <v>2</v>
      </c>
      <c r="AH2396" s="3" t="s">
        <v>2063</v>
      </c>
      <c r="AI2396" s="4">
        <v>45110</v>
      </c>
      <c r="AJ2396" s="3" t="s">
        <v>2515</v>
      </c>
      <c r="AK2396" s="3" t="s">
        <v>248</v>
      </c>
    </row>
    <row r="2397" spans="1:37" hidden="1" x14ac:dyDescent="0.25">
      <c r="A2397" t="str">
        <f t="shared" si="37"/>
        <v>2023_Vic_Dooen_Chickpea_DetailedTOS2VarietyHatTrickWaterTrtIrrigated</v>
      </c>
      <c r="B2397" s="2">
        <v>2023025</v>
      </c>
      <c r="C2397" s="3" t="s">
        <v>2453</v>
      </c>
      <c r="D2397" s="3" t="s">
        <v>248</v>
      </c>
      <c r="F2397" s="3" t="s">
        <v>4178</v>
      </c>
      <c r="G2397" s="3" t="s">
        <v>39</v>
      </c>
      <c r="H2397" s="3" t="s">
        <v>250</v>
      </c>
      <c r="I2397" s="2">
        <v>62</v>
      </c>
      <c r="J2397" s="2">
        <v>30</v>
      </c>
      <c r="K2397" s="2">
        <v>2</v>
      </c>
      <c r="O2397" s="2">
        <v>4</v>
      </c>
      <c r="P2397" s="2">
        <v>7</v>
      </c>
      <c r="U2397" s="2">
        <v>2</v>
      </c>
      <c r="V2397" s="2">
        <v>20</v>
      </c>
      <c r="W2397" s="2">
        <v>2</v>
      </c>
      <c r="X2397" s="2">
        <v>16</v>
      </c>
      <c r="Z2397" s="2">
        <v>31</v>
      </c>
      <c r="AA2397" s="3" t="s">
        <v>57</v>
      </c>
      <c r="AB2397" s="2">
        <v>2</v>
      </c>
      <c r="AF2397" s="2">
        <v>38</v>
      </c>
      <c r="AG2397" s="2">
        <v>2</v>
      </c>
      <c r="AH2397" s="3" t="s">
        <v>2063</v>
      </c>
      <c r="AI2397" s="4">
        <v>45110</v>
      </c>
      <c r="AJ2397" s="3" t="s">
        <v>2516</v>
      </c>
      <c r="AK2397" s="3" t="s">
        <v>248</v>
      </c>
    </row>
    <row r="2398" spans="1:37" hidden="1" x14ac:dyDescent="0.25">
      <c r="A2398" t="str">
        <f t="shared" si="37"/>
        <v>2023_Vic_Dooen_Chickpea_DetailedTOS2VarietyCBA_CaptainWaterTrtRainFed</v>
      </c>
      <c r="B2398" s="2">
        <v>2023025</v>
      </c>
      <c r="C2398" s="3" t="s">
        <v>2453</v>
      </c>
      <c r="D2398" s="3" t="s">
        <v>248</v>
      </c>
      <c r="F2398" s="3" t="s">
        <v>249</v>
      </c>
      <c r="G2398" s="3" t="s">
        <v>43</v>
      </c>
      <c r="H2398" s="3" t="s">
        <v>250</v>
      </c>
      <c r="I2398" s="2">
        <v>63</v>
      </c>
      <c r="J2398" s="2">
        <v>31</v>
      </c>
      <c r="K2398" s="2">
        <v>2</v>
      </c>
      <c r="O2398" s="2">
        <v>4</v>
      </c>
      <c r="P2398" s="2">
        <v>8</v>
      </c>
      <c r="U2398" s="2">
        <v>3</v>
      </c>
      <c r="V2398" s="2">
        <v>20</v>
      </c>
      <c r="W2398" s="2">
        <v>3</v>
      </c>
      <c r="X2398" s="2">
        <v>16</v>
      </c>
      <c r="Z2398" s="2">
        <v>30</v>
      </c>
      <c r="AA2398" s="3" t="s">
        <v>40</v>
      </c>
      <c r="AB2398" s="2">
        <v>3</v>
      </c>
      <c r="AF2398" s="2">
        <v>38</v>
      </c>
      <c r="AG2398" s="2">
        <v>2</v>
      </c>
      <c r="AH2398" s="3" t="s">
        <v>2063</v>
      </c>
      <c r="AI2398" s="4">
        <v>45110</v>
      </c>
      <c r="AJ2398" s="3" t="s">
        <v>2517</v>
      </c>
      <c r="AK2398" s="3" t="s">
        <v>248</v>
      </c>
    </row>
    <row r="2399" spans="1:37" hidden="1" x14ac:dyDescent="0.25">
      <c r="A2399" t="str">
        <f t="shared" si="37"/>
        <v>2023_Vic_Dooen_Chickpea_DetailedTOS2VarietyStrikerWaterTrtRainFed</v>
      </c>
      <c r="B2399" s="2">
        <v>2023025</v>
      </c>
      <c r="C2399" s="3" t="s">
        <v>2453</v>
      </c>
      <c r="D2399" s="3" t="s">
        <v>248</v>
      </c>
      <c r="F2399" s="3" t="s">
        <v>4179</v>
      </c>
      <c r="G2399" s="3" t="s">
        <v>43</v>
      </c>
      <c r="H2399" s="3" t="s">
        <v>250</v>
      </c>
      <c r="I2399" s="2">
        <v>64</v>
      </c>
      <c r="J2399" s="2">
        <v>32</v>
      </c>
      <c r="K2399" s="2">
        <v>2</v>
      </c>
      <c r="O2399" s="2">
        <v>4</v>
      </c>
      <c r="P2399" s="2">
        <v>8</v>
      </c>
      <c r="U2399" s="2">
        <v>4</v>
      </c>
      <c r="V2399" s="2">
        <v>20</v>
      </c>
      <c r="W2399" s="2">
        <v>4</v>
      </c>
      <c r="X2399" s="2">
        <v>16</v>
      </c>
      <c r="Z2399" s="2">
        <v>29</v>
      </c>
      <c r="AA2399" s="3" t="s">
        <v>40</v>
      </c>
      <c r="AB2399" s="2">
        <v>4</v>
      </c>
      <c r="AF2399" s="2">
        <v>38</v>
      </c>
      <c r="AG2399" s="2">
        <v>2</v>
      </c>
      <c r="AH2399" s="3" t="s">
        <v>2063</v>
      </c>
      <c r="AI2399" s="4">
        <v>45110</v>
      </c>
      <c r="AJ2399" s="3" t="s">
        <v>2518</v>
      </c>
      <c r="AK2399" s="3" t="s">
        <v>248</v>
      </c>
    </row>
    <row r="2400" spans="1:37" hidden="1" x14ac:dyDescent="0.25">
      <c r="A2400" t="str">
        <f t="shared" si="37"/>
        <v>2023_Vic_Dooen_Chickpea_DetailedTOS2VarietyStrikerWaterTrtIrrigated</v>
      </c>
      <c r="B2400" s="2">
        <v>2023025</v>
      </c>
      <c r="C2400" s="3" t="s">
        <v>2453</v>
      </c>
      <c r="D2400" s="3" t="s">
        <v>248</v>
      </c>
      <c r="F2400" s="3" t="s">
        <v>4179</v>
      </c>
      <c r="G2400" s="3" t="s">
        <v>43</v>
      </c>
      <c r="H2400" s="3" t="s">
        <v>253</v>
      </c>
      <c r="I2400" s="2">
        <v>65</v>
      </c>
      <c r="J2400" s="2">
        <v>33</v>
      </c>
      <c r="K2400" s="2">
        <v>3</v>
      </c>
      <c r="O2400" s="2">
        <v>5</v>
      </c>
      <c r="P2400" s="2">
        <v>9</v>
      </c>
      <c r="U2400" s="2">
        <v>1</v>
      </c>
      <c r="V2400" s="2">
        <v>22</v>
      </c>
      <c r="W2400" s="2">
        <v>1</v>
      </c>
      <c r="X2400" s="2">
        <v>17</v>
      </c>
      <c r="AA2400" s="3" t="s">
        <v>57</v>
      </c>
      <c r="AB2400" s="2">
        <v>4</v>
      </c>
      <c r="AF2400" s="2">
        <v>38</v>
      </c>
      <c r="AG2400" s="2">
        <v>2</v>
      </c>
      <c r="AH2400" s="3" t="s">
        <v>2063</v>
      </c>
      <c r="AI2400" s="4">
        <v>45110</v>
      </c>
      <c r="AJ2400" s="3" t="s">
        <v>2519</v>
      </c>
      <c r="AK2400" s="3" t="s">
        <v>248</v>
      </c>
    </row>
    <row r="2401" spans="1:37" hidden="1" x14ac:dyDescent="0.25">
      <c r="A2401" t="str">
        <f t="shared" si="37"/>
        <v>2023_Vic_Dooen_Chickpea_DetailedTOS2VarietyDrummondWaterTrtIrrigated</v>
      </c>
      <c r="B2401" s="2">
        <v>2023025</v>
      </c>
      <c r="C2401" s="3" t="s">
        <v>2453</v>
      </c>
      <c r="D2401" s="3" t="s">
        <v>248</v>
      </c>
      <c r="F2401" s="3" t="s">
        <v>4182</v>
      </c>
      <c r="G2401" s="3" t="s">
        <v>39</v>
      </c>
      <c r="H2401" s="3" t="s">
        <v>253</v>
      </c>
      <c r="I2401" s="2">
        <v>66</v>
      </c>
      <c r="J2401" s="2">
        <v>34</v>
      </c>
      <c r="K2401" s="2">
        <v>3</v>
      </c>
      <c r="O2401" s="2">
        <v>5</v>
      </c>
      <c r="P2401" s="2">
        <v>9</v>
      </c>
      <c r="U2401" s="2">
        <v>2</v>
      </c>
      <c r="V2401" s="2">
        <v>22</v>
      </c>
      <c r="W2401" s="2">
        <v>2</v>
      </c>
      <c r="X2401" s="2">
        <v>17</v>
      </c>
      <c r="AA2401" s="3" t="s">
        <v>57</v>
      </c>
      <c r="AB2401" s="2">
        <v>1</v>
      </c>
      <c r="AF2401" s="2">
        <v>38</v>
      </c>
      <c r="AG2401" s="2">
        <v>2</v>
      </c>
      <c r="AH2401" s="3" t="s">
        <v>2063</v>
      </c>
      <c r="AI2401" s="4">
        <v>45110</v>
      </c>
      <c r="AJ2401" s="3" t="s">
        <v>2520</v>
      </c>
      <c r="AK2401" s="3" t="s">
        <v>248</v>
      </c>
    </row>
    <row r="2402" spans="1:37" hidden="1" x14ac:dyDescent="0.25">
      <c r="A2402" t="str">
        <f t="shared" si="37"/>
        <v>2023_Vic_Dooen_Chickpea_DetailedTOS2VarietyHatTrickWaterTrtRainFed</v>
      </c>
      <c r="B2402" s="2">
        <v>2023025</v>
      </c>
      <c r="C2402" s="3" t="s">
        <v>2453</v>
      </c>
      <c r="D2402" s="3" t="s">
        <v>248</v>
      </c>
      <c r="F2402" s="3" t="s">
        <v>4178</v>
      </c>
      <c r="G2402" s="3" t="s">
        <v>39</v>
      </c>
      <c r="H2402" s="3" t="s">
        <v>253</v>
      </c>
      <c r="I2402" s="2">
        <v>67</v>
      </c>
      <c r="J2402" s="2">
        <v>35</v>
      </c>
      <c r="K2402" s="2">
        <v>3</v>
      </c>
      <c r="O2402" s="2">
        <v>5</v>
      </c>
      <c r="P2402" s="2">
        <v>10</v>
      </c>
      <c r="U2402" s="2">
        <v>3</v>
      </c>
      <c r="V2402" s="2">
        <v>22</v>
      </c>
      <c r="W2402" s="2">
        <v>3</v>
      </c>
      <c r="X2402" s="2">
        <v>17</v>
      </c>
      <c r="AA2402" s="3" t="s">
        <v>40</v>
      </c>
      <c r="AB2402" s="2">
        <v>2</v>
      </c>
      <c r="AF2402" s="2">
        <v>38</v>
      </c>
      <c r="AG2402" s="2">
        <v>2</v>
      </c>
      <c r="AH2402" s="3" t="s">
        <v>2063</v>
      </c>
      <c r="AI2402" s="4">
        <v>45110</v>
      </c>
      <c r="AJ2402" s="3" t="s">
        <v>2521</v>
      </c>
      <c r="AK2402" s="3" t="s">
        <v>248</v>
      </c>
    </row>
    <row r="2403" spans="1:37" hidden="1" x14ac:dyDescent="0.25">
      <c r="A2403" t="str">
        <f t="shared" si="37"/>
        <v>2023_Vic_Dooen_Chickpea_DetailedTOS2VarietyCBA_CaptainWaterTrtRainFed</v>
      </c>
      <c r="B2403" s="2">
        <v>2023025</v>
      </c>
      <c r="C2403" s="3" t="s">
        <v>2453</v>
      </c>
      <c r="D2403" s="3" t="s">
        <v>248</v>
      </c>
      <c r="F2403" s="3" t="s">
        <v>249</v>
      </c>
      <c r="G2403" s="3" t="s">
        <v>43</v>
      </c>
      <c r="H2403" s="3" t="s">
        <v>253</v>
      </c>
      <c r="I2403" s="2">
        <v>68</v>
      </c>
      <c r="J2403" s="2">
        <v>36</v>
      </c>
      <c r="K2403" s="2">
        <v>3</v>
      </c>
      <c r="O2403" s="2">
        <v>5</v>
      </c>
      <c r="P2403" s="2">
        <v>10</v>
      </c>
      <c r="U2403" s="2">
        <v>4</v>
      </c>
      <c r="V2403" s="2">
        <v>22</v>
      </c>
      <c r="W2403" s="2">
        <v>4</v>
      </c>
      <c r="X2403" s="2">
        <v>17</v>
      </c>
      <c r="AA2403" s="3" t="s">
        <v>40</v>
      </c>
      <c r="AB2403" s="2">
        <v>3</v>
      </c>
      <c r="AF2403" s="2">
        <v>38</v>
      </c>
      <c r="AG2403" s="2">
        <v>2</v>
      </c>
      <c r="AH2403" s="3" t="s">
        <v>2063</v>
      </c>
      <c r="AI2403" s="4">
        <v>45110</v>
      </c>
      <c r="AJ2403" s="3" t="s">
        <v>2522</v>
      </c>
      <c r="AK2403" s="3" t="s">
        <v>248</v>
      </c>
    </row>
    <row r="2404" spans="1:37" hidden="1" x14ac:dyDescent="0.25">
      <c r="A2404" t="str">
        <f t="shared" si="37"/>
        <v>2023_Vic_Dooen_Chickpea_DetailedTOS2VarietyStrikerWaterTrtIrrigated</v>
      </c>
      <c r="B2404" s="2">
        <v>2023025</v>
      </c>
      <c r="C2404" s="3" t="s">
        <v>2453</v>
      </c>
      <c r="D2404" s="3" t="s">
        <v>248</v>
      </c>
      <c r="F2404" s="3" t="s">
        <v>4179</v>
      </c>
      <c r="G2404" s="3" t="s">
        <v>43</v>
      </c>
      <c r="H2404" s="3" t="s">
        <v>250</v>
      </c>
      <c r="I2404" s="2">
        <v>69</v>
      </c>
      <c r="J2404" s="2">
        <v>33</v>
      </c>
      <c r="K2404" s="2">
        <v>3</v>
      </c>
      <c r="O2404" s="2">
        <v>5</v>
      </c>
      <c r="P2404" s="2">
        <v>9</v>
      </c>
      <c r="U2404" s="2">
        <v>1</v>
      </c>
      <c r="V2404" s="2">
        <v>23</v>
      </c>
      <c r="W2404" s="2">
        <v>1</v>
      </c>
      <c r="X2404" s="2">
        <v>18</v>
      </c>
      <c r="Z2404" s="2">
        <v>33</v>
      </c>
      <c r="AA2404" s="3" t="s">
        <v>57</v>
      </c>
      <c r="AB2404" s="2">
        <v>4</v>
      </c>
      <c r="AF2404" s="2">
        <v>38</v>
      </c>
      <c r="AG2404" s="2">
        <v>2</v>
      </c>
      <c r="AH2404" s="3" t="s">
        <v>2063</v>
      </c>
      <c r="AI2404" s="4">
        <v>45110</v>
      </c>
      <c r="AJ2404" s="3" t="s">
        <v>2523</v>
      </c>
      <c r="AK2404" s="3" t="s">
        <v>248</v>
      </c>
    </row>
    <row r="2405" spans="1:37" hidden="1" x14ac:dyDescent="0.25">
      <c r="A2405" t="str">
        <f t="shared" si="37"/>
        <v>2023_Vic_Dooen_Chickpea_DetailedTOS2VarietyDrummondWaterTrtIrrigated</v>
      </c>
      <c r="B2405" s="2">
        <v>2023025</v>
      </c>
      <c r="C2405" s="3" t="s">
        <v>2453</v>
      </c>
      <c r="D2405" s="3" t="s">
        <v>248</v>
      </c>
      <c r="F2405" s="3" t="s">
        <v>4182</v>
      </c>
      <c r="G2405" s="3" t="s">
        <v>39</v>
      </c>
      <c r="H2405" s="3" t="s">
        <v>250</v>
      </c>
      <c r="I2405" s="2">
        <v>70</v>
      </c>
      <c r="J2405" s="2">
        <v>34</v>
      </c>
      <c r="K2405" s="2">
        <v>3</v>
      </c>
      <c r="O2405" s="2">
        <v>5</v>
      </c>
      <c r="P2405" s="2">
        <v>9</v>
      </c>
      <c r="U2405" s="2">
        <v>2</v>
      </c>
      <c r="V2405" s="2">
        <v>23</v>
      </c>
      <c r="W2405" s="2">
        <v>2</v>
      </c>
      <c r="X2405" s="2">
        <v>18</v>
      </c>
      <c r="Z2405" s="2">
        <v>34</v>
      </c>
      <c r="AA2405" s="3" t="s">
        <v>57</v>
      </c>
      <c r="AB2405" s="2">
        <v>1</v>
      </c>
      <c r="AF2405" s="2">
        <v>38</v>
      </c>
      <c r="AG2405" s="2">
        <v>2</v>
      </c>
      <c r="AH2405" s="3" t="s">
        <v>2063</v>
      </c>
      <c r="AI2405" s="4">
        <v>45110</v>
      </c>
      <c r="AJ2405" s="3" t="s">
        <v>2524</v>
      </c>
      <c r="AK2405" s="3" t="s">
        <v>248</v>
      </c>
    </row>
    <row r="2406" spans="1:37" hidden="1" x14ac:dyDescent="0.25">
      <c r="A2406" t="str">
        <f t="shared" si="37"/>
        <v>2023_Vic_Dooen_Chickpea_DetailedTOS2VarietyHatTrickWaterTrtRainFed</v>
      </c>
      <c r="B2406" s="2">
        <v>2023025</v>
      </c>
      <c r="C2406" s="3" t="s">
        <v>2453</v>
      </c>
      <c r="D2406" s="3" t="s">
        <v>248</v>
      </c>
      <c r="F2406" s="3" t="s">
        <v>4178</v>
      </c>
      <c r="G2406" s="3" t="s">
        <v>39</v>
      </c>
      <c r="H2406" s="3" t="s">
        <v>250</v>
      </c>
      <c r="I2406" s="2">
        <v>71</v>
      </c>
      <c r="J2406" s="2">
        <v>35</v>
      </c>
      <c r="K2406" s="2">
        <v>3</v>
      </c>
      <c r="O2406" s="2">
        <v>5</v>
      </c>
      <c r="P2406" s="2">
        <v>10</v>
      </c>
      <c r="U2406" s="2">
        <v>3</v>
      </c>
      <c r="V2406" s="2">
        <v>23</v>
      </c>
      <c r="W2406" s="2">
        <v>3</v>
      </c>
      <c r="X2406" s="2">
        <v>18</v>
      </c>
      <c r="Z2406" s="2">
        <v>35</v>
      </c>
      <c r="AA2406" s="3" t="s">
        <v>40</v>
      </c>
      <c r="AB2406" s="2">
        <v>2</v>
      </c>
      <c r="AF2406" s="2">
        <v>38</v>
      </c>
      <c r="AG2406" s="2">
        <v>2</v>
      </c>
      <c r="AH2406" s="3" t="s">
        <v>2063</v>
      </c>
      <c r="AI2406" s="4">
        <v>45110</v>
      </c>
      <c r="AJ2406" s="3" t="s">
        <v>2525</v>
      </c>
      <c r="AK2406" s="3" t="s">
        <v>248</v>
      </c>
    </row>
    <row r="2407" spans="1:37" hidden="1" x14ac:dyDescent="0.25">
      <c r="A2407" t="str">
        <f t="shared" si="37"/>
        <v>2023_Vic_Dooen_Chickpea_DetailedTOS2VarietyCBA_CaptainWaterTrtRainFed</v>
      </c>
      <c r="B2407" s="2">
        <v>2023025</v>
      </c>
      <c r="C2407" s="3" t="s">
        <v>2453</v>
      </c>
      <c r="D2407" s="3" t="s">
        <v>248</v>
      </c>
      <c r="F2407" s="3" t="s">
        <v>249</v>
      </c>
      <c r="G2407" s="3" t="s">
        <v>43</v>
      </c>
      <c r="H2407" s="3" t="s">
        <v>250</v>
      </c>
      <c r="I2407" s="2">
        <v>72</v>
      </c>
      <c r="J2407" s="2">
        <v>36</v>
      </c>
      <c r="K2407" s="2">
        <v>3</v>
      </c>
      <c r="O2407" s="2">
        <v>5</v>
      </c>
      <c r="P2407" s="2">
        <v>10</v>
      </c>
      <c r="U2407" s="2">
        <v>4</v>
      </c>
      <c r="V2407" s="2">
        <v>23</v>
      </c>
      <c r="W2407" s="2">
        <v>4</v>
      </c>
      <c r="X2407" s="2">
        <v>18</v>
      </c>
      <c r="Z2407" s="2">
        <v>36</v>
      </c>
      <c r="AA2407" s="3" t="s">
        <v>40</v>
      </c>
      <c r="AB2407" s="2">
        <v>3</v>
      </c>
      <c r="AF2407" s="2">
        <v>38</v>
      </c>
      <c r="AG2407" s="2">
        <v>2</v>
      </c>
      <c r="AH2407" s="3" t="s">
        <v>2063</v>
      </c>
      <c r="AI2407" s="4">
        <v>45110</v>
      </c>
      <c r="AJ2407" s="3" t="s">
        <v>2526</v>
      </c>
      <c r="AK2407" s="3" t="s">
        <v>248</v>
      </c>
    </row>
    <row r="2408" spans="1:37" hidden="1" x14ac:dyDescent="0.25">
      <c r="A2408" t="str">
        <f t="shared" si="37"/>
        <v>2023_Vic_Dooen_Chickpea_DetailedTOS2VarietyCBA_CaptainWaterTrtIrrigated</v>
      </c>
      <c r="B2408" s="2">
        <v>2023025</v>
      </c>
      <c r="C2408" s="3" t="s">
        <v>2453</v>
      </c>
      <c r="D2408" s="3" t="s">
        <v>248</v>
      </c>
      <c r="F2408" s="3" t="s">
        <v>249</v>
      </c>
      <c r="G2408" s="3" t="s">
        <v>43</v>
      </c>
      <c r="H2408" s="3" t="s">
        <v>253</v>
      </c>
      <c r="I2408" s="2">
        <v>73</v>
      </c>
      <c r="J2408" s="2">
        <v>37</v>
      </c>
      <c r="K2408" s="2">
        <v>3</v>
      </c>
      <c r="O2408" s="2">
        <v>5</v>
      </c>
      <c r="P2408" s="2">
        <v>9</v>
      </c>
      <c r="U2408" s="2">
        <v>1</v>
      </c>
      <c r="V2408" s="2">
        <v>24</v>
      </c>
      <c r="W2408" s="2">
        <v>1</v>
      </c>
      <c r="X2408" s="2">
        <v>19</v>
      </c>
      <c r="AA2408" s="3" t="s">
        <v>57</v>
      </c>
      <c r="AB2408" s="2">
        <v>3</v>
      </c>
      <c r="AF2408" s="2">
        <v>38</v>
      </c>
      <c r="AG2408" s="2">
        <v>2</v>
      </c>
      <c r="AH2408" s="3" t="s">
        <v>2063</v>
      </c>
      <c r="AI2408" s="4">
        <v>45110</v>
      </c>
      <c r="AJ2408" s="3" t="s">
        <v>2527</v>
      </c>
      <c r="AK2408" s="3" t="s">
        <v>248</v>
      </c>
    </row>
    <row r="2409" spans="1:37" hidden="1" x14ac:dyDescent="0.25">
      <c r="A2409" t="str">
        <f t="shared" si="37"/>
        <v>2023_Vic_Dooen_Chickpea_DetailedTOS2VarietyHatTrickWaterTrtIrrigated</v>
      </c>
      <c r="B2409" s="2">
        <v>2023025</v>
      </c>
      <c r="C2409" s="3" t="s">
        <v>2453</v>
      </c>
      <c r="D2409" s="3" t="s">
        <v>248</v>
      </c>
      <c r="F2409" s="3" t="s">
        <v>4178</v>
      </c>
      <c r="G2409" s="3" t="s">
        <v>39</v>
      </c>
      <c r="H2409" s="3" t="s">
        <v>253</v>
      </c>
      <c r="I2409" s="2">
        <v>74</v>
      </c>
      <c r="J2409" s="2">
        <v>38</v>
      </c>
      <c r="K2409" s="2">
        <v>3</v>
      </c>
      <c r="O2409" s="2">
        <v>5</v>
      </c>
      <c r="P2409" s="2">
        <v>9</v>
      </c>
      <c r="U2409" s="2">
        <v>2</v>
      </c>
      <c r="V2409" s="2">
        <v>24</v>
      </c>
      <c r="W2409" s="2">
        <v>2</v>
      </c>
      <c r="X2409" s="2">
        <v>19</v>
      </c>
      <c r="AA2409" s="3" t="s">
        <v>57</v>
      </c>
      <c r="AB2409" s="2">
        <v>2</v>
      </c>
      <c r="AF2409" s="2">
        <v>38</v>
      </c>
      <c r="AG2409" s="2">
        <v>2</v>
      </c>
      <c r="AH2409" s="3" t="s">
        <v>2063</v>
      </c>
      <c r="AI2409" s="4">
        <v>45110</v>
      </c>
      <c r="AJ2409" s="3" t="s">
        <v>2528</v>
      </c>
      <c r="AK2409" s="3" t="s">
        <v>248</v>
      </c>
    </row>
    <row r="2410" spans="1:37" hidden="1" x14ac:dyDescent="0.25">
      <c r="A2410" t="str">
        <f t="shared" si="37"/>
        <v>2023_Vic_Dooen_Chickpea_DetailedTOS2VarietyStrikerWaterTrtRainFed</v>
      </c>
      <c r="B2410" s="2">
        <v>2023025</v>
      </c>
      <c r="C2410" s="3" t="s">
        <v>2453</v>
      </c>
      <c r="D2410" s="3" t="s">
        <v>248</v>
      </c>
      <c r="F2410" s="3" t="s">
        <v>4179</v>
      </c>
      <c r="G2410" s="3" t="s">
        <v>43</v>
      </c>
      <c r="H2410" s="3" t="s">
        <v>253</v>
      </c>
      <c r="I2410" s="2">
        <v>75</v>
      </c>
      <c r="J2410" s="2">
        <v>39</v>
      </c>
      <c r="K2410" s="2">
        <v>3</v>
      </c>
      <c r="O2410" s="2">
        <v>5</v>
      </c>
      <c r="P2410" s="2">
        <v>10</v>
      </c>
      <c r="U2410" s="2">
        <v>3</v>
      </c>
      <c r="V2410" s="2">
        <v>24</v>
      </c>
      <c r="W2410" s="2">
        <v>3</v>
      </c>
      <c r="X2410" s="2">
        <v>19</v>
      </c>
      <c r="AA2410" s="3" t="s">
        <v>40</v>
      </c>
      <c r="AB2410" s="2">
        <v>4</v>
      </c>
      <c r="AF2410" s="2">
        <v>38</v>
      </c>
      <c r="AG2410" s="2">
        <v>2</v>
      </c>
      <c r="AH2410" s="3" t="s">
        <v>2063</v>
      </c>
      <c r="AI2410" s="4">
        <v>45110</v>
      </c>
      <c r="AJ2410" s="3" t="s">
        <v>2529</v>
      </c>
      <c r="AK2410" s="3" t="s">
        <v>248</v>
      </c>
    </row>
    <row r="2411" spans="1:37" hidden="1" x14ac:dyDescent="0.25">
      <c r="A2411" t="str">
        <f t="shared" si="37"/>
        <v>2023_Vic_Dooen_Chickpea_DetailedTOS2VarietyDrummondWaterTrtRainFed</v>
      </c>
      <c r="B2411" s="2">
        <v>2023025</v>
      </c>
      <c r="C2411" s="3" t="s">
        <v>2453</v>
      </c>
      <c r="D2411" s="3" t="s">
        <v>248</v>
      </c>
      <c r="F2411" s="3" t="s">
        <v>4182</v>
      </c>
      <c r="G2411" s="3" t="s">
        <v>39</v>
      </c>
      <c r="H2411" s="3" t="s">
        <v>253</v>
      </c>
      <c r="I2411" s="2">
        <v>76</v>
      </c>
      <c r="J2411" s="2">
        <v>40</v>
      </c>
      <c r="K2411" s="2">
        <v>3</v>
      </c>
      <c r="O2411" s="2">
        <v>5</v>
      </c>
      <c r="P2411" s="2">
        <v>10</v>
      </c>
      <c r="U2411" s="2">
        <v>4</v>
      </c>
      <c r="V2411" s="2">
        <v>24</v>
      </c>
      <c r="W2411" s="2">
        <v>4</v>
      </c>
      <c r="X2411" s="2">
        <v>19</v>
      </c>
      <c r="AA2411" s="3" t="s">
        <v>40</v>
      </c>
      <c r="AB2411" s="2">
        <v>1</v>
      </c>
      <c r="AF2411" s="2">
        <v>38</v>
      </c>
      <c r="AG2411" s="2">
        <v>2</v>
      </c>
      <c r="AH2411" s="3" t="s">
        <v>2063</v>
      </c>
      <c r="AI2411" s="4">
        <v>45110</v>
      </c>
      <c r="AJ2411" s="3" t="s">
        <v>2530</v>
      </c>
      <c r="AK2411" s="3" t="s">
        <v>248</v>
      </c>
    </row>
    <row r="2412" spans="1:37" hidden="1" x14ac:dyDescent="0.25">
      <c r="A2412" t="str">
        <f t="shared" si="37"/>
        <v>2023_Vic_Dooen_Chickpea_DetailedTOS2VarietyCBA_CaptainWaterTrtIrrigated</v>
      </c>
      <c r="B2412" s="2">
        <v>2023025</v>
      </c>
      <c r="C2412" s="3" t="s">
        <v>2453</v>
      </c>
      <c r="D2412" s="3" t="s">
        <v>248</v>
      </c>
      <c r="F2412" s="3" t="s">
        <v>249</v>
      </c>
      <c r="G2412" s="3" t="s">
        <v>43</v>
      </c>
      <c r="H2412" s="3" t="s">
        <v>250</v>
      </c>
      <c r="I2412" s="2">
        <v>77</v>
      </c>
      <c r="J2412" s="2">
        <v>37</v>
      </c>
      <c r="K2412" s="2">
        <v>3</v>
      </c>
      <c r="O2412" s="2">
        <v>5</v>
      </c>
      <c r="P2412" s="2">
        <v>9</v>
      </c>
      <c r="U2412" s="2">
        <v>1</v>
      </c>
      <c r="V2412" s="2">
        <v>25</v>
      </c>
      <c r="W2412" s="2">
        <v>1</v>
      </c>
      <c r="X2412" s="2">
        <v>20</v>
      </c>
      <c r="Z2412" s="2">
        <v>40</v>
      </c>
      <c r="AA2412" s="3" t="s">
        <v>57</v>
      </c>
      <c r="AB2412" s="2">
        <v>3</v>
      </c>
      <c r="AF2412" s="2">
        <v>38</v>
      </c>
      <c r="AG2412" s="2">
        <v>2</v>
      </c>
      <c r="AH2412" s="3" t="s">
        <v>2063</v>
      </c>
      <c r="AI2412" s="4">
        <v>45110</v>
      </c>
      <c r="AJ2412" s="3" t="s">
        <v>2531</v>
      </c>
      <c r="AK2412" s="3" t="s">
        <v>248</v>
      </c>
    </row>
    <row r="2413" spans="1:37" hidden="1" x14ac:dyDescent="0.25">
      <c r="A2413" t="str">
        <f t="shared" si="37"/>
        <v>2023_Vic_Dooen_Chickpea_DetailedTOS2VarietyHatTrickWaterTrtIrrigated</v>
      </c>
      <c r="B2413" s="2">
        <v>2023025</v>
      </c>
      <c r="C2413" s="3" t="s">
        <v>2453</v>
      </c>
      <c r="D2413" s="3" t="s">
        <v>248</v>
      </c>
      <c r="F2413" s="3" t="s">
        <v>4178</v>
      </c>
      <c r="G2413" s="3" t="s">
        <v>39</v>
      </c>
      <c r="H2413" s="3" t="s">
        <v>250</v>
      </c>
      <c r="I2413" s="2">
        <v>78</v>
      </c>
      <c r="J2413" s="2">
        <v>38</v>
      </c>
      <c r="K2413" s="2">
        <v>3</v>
      </c>
      <c r="O2413" s="2">
        <v>5</v>
      </c>
      <c r="P2413" s="2">
        <v>9</v>
      </c>
      <c r="U2413" s="2">
        <v>2</v>
      </c>
      <c r="V2413" s="2">
        <v>25</v>
      </c>
      <c r="W2413" s="2">
        <v>2</v>
      </c>
      <c r="X2413" s="2">
        <v>20</v>
      </c>
      <c r="Z2413" s="2">
        <v>39</v>
      </c>
      <c r="AA2413" s="3" t="s">
        <v>57</v>
      </c>
      <c r="AB2413" s="2">
        <v>2</v>
      </c>
      <c r="AF2413" s="2">
        <v>38</v>
      </c>
      <c r="AG2413" s="2">
        <v>2</v>
      </c>
      <c r="AH2413" s="3" t="s">
        <v>2063</v>
      </c>
      <c r="AI2413" s="4">
        <v>45110</v>
      </c>
      <c r="AJ2413" s="3" t="s">
        <v>2532</v>
      </c>
      <c r="AK2413" s="3" t="s">
        <v>248</v>
      </c>
    </row>
    <row r="2414" spans="1:37" hidden="1" x14ac:dyDescent="0.25">
      <c r="A2414" t="str">
        <f t="shared" si="37"/>
        <v>2023_Vic_Dooen_Chickpea_DetailedTOS2VarietyStrikerWaterTrtRainFed</v>
      </c>
      <c r="B2414" s="2">
        <v>2023025</v>
      </c>
      <c r="C2414" s="3" t="s">
        <v>2453</v>
      </c>
      <c r="D2414" s="3" t="s">
        <v>248</v>
      </c>
      <c r="F2414" s="3" t="s">
        <v>4179</v>
      </c>
      <c r="G2414" s="3" t="s">
        <v>43</v>
      </c>
      <c r="H2414" s="3" t="s">
        <v>250</v>
      </c>
      <c r="I2414" s="2">
        <v>79</v>
      </c>
      <c r="J2414" s="2">
        <v>39</v>
      </c>
      <c r="K2414" s="2">
        <v>3</v>
      </c>
      <c r="O2414" s="2">
        <v>5</v>
      </c>
      <c r="P2414" s="2">
        <v>10</v>
      </c>
      <c r="U2414" s="2">
        <v>3</v>
      </c>
      <c r="V2414" s="2">
        <v>25</v>
      </c>
      <c r="W2414" s="2">
        <v>3</v>
      </c>
      <c r="X2414" s="2">
        <v>20</v>
      </c>
      <c r="Z2414" s="2">
        <v>38</v>
      </c>
      <c r="AA2414" s="3" t="s">
        <v>40</v>
      </c>
      <c r="AB2414" s="2">
        <v>4</v>
      </c>
      <c r="AF2414" s="2">
        <v>38</v>
      </c>
      <c r="AG2414" s="2">
        <v>2</v>
      </c>
      <c r="AH2414" s="3" t="s">
        <v>2063</v>
      </c>
      <c r="AI2414" s="4">
        <v>45110</v>
      </c>
      <c r="AJ2414" s="3" t="s">
        <v>2533</v>
      </c>
      <c r="AK2414" s="3" t="s">
        <v>248</v>
      </c>
    </row>
    <row r="2415" spans="1:37" hidden="1" x14ac:dyDescent="0.25">
      <c r="A2415" t="str">
        <f t="shared" si="37"/>
        <v>2023_Vic_Dooen_Chickpea_DetailedTOS2VarietyDrummondWaterTrtRainFed</v>
      </c>
      <c r="B2415" s="2">
        <v>2023025</v>
      </c>
      <c r="C2415" s="3" t="s">
        <v>2453</v>
      </c>
      <c r="D2415" s="3" t="s">
        <v>248</v>
      </c>
      <c r="F2415" s="3" t="s">
        <v>4182</v>
      </c>
      <c r="G2415" s="3" t="s">
        <v>39</v>
      </c>
      <c r="H2415" s="3" t="s">
        <v>250</v>
      </c>
      <c r="I2415" s="2">
        <v>80</v>
      </c>
      <c r="J2415" s="2">
        <v>40</v>
      </c>
      <c r="K2415" s="2">
        <v>3</v>
      </c>
      <c r="O2415" s="2">
        <v>5</v>
      </c>
      <c r="P2415" s="2">
        <v>10</v>
      </c>
      <c r="U2415" s="2">
        <v>4</v>
      </c>
      <c r="V2415" s="2">
        <v>25</v>
      </c>
      <c r="W2415" s="2">
        <v>4</v>
      </c>
      <c r="X2415" s="2">
        <v>20</v>
      </c>
      <c r="Z2415" s="2">
        <v>37</v>
      </c>
      <c r="AA2415" s="3" t="s">
        <v>40</v>
      </c>
      <c r="AB2415" s="2">
        <v>1</v>
      </c>
      <c r="AF2415" s="2">
        <v>38</v>
      </c>
      <c r="AG2415" s="2">
        <v>2</v>
      </c>
      <c r="AH2415" s="3" t="s">
        <v>2063</v>
      </c>
      <c r="AI2415" s="4">
        <v>45110</v>
      </c>
      <c r="AJ2415" s="3" t="s">
        <v>2534</v>
      </c>
      <c r="AK2415" s="3" t="s">
        <v>248</v>
      </c>
    </row>
    <row r="2416" spans="1:37" hidden="1" x14ac:dyDescent="0.25">
      <c r="A2416" t="str">
        <f t="shared" si="37"/>
        <v>2023_Vic_Dooen_Chickpea_DetailedTOS1VarietyCBA_CaptainWaterTrtIrrigated</v>
      </c>
      <c r="B2416" s="2">
        <v>2023025</v>
      </c>
      <c r="C2416" s="3" t="s">
        <v>2453</v>
      </c>
      <c r="D2416" s="3" t="s">
        <v>248</v>
      </c>
      <c r="F2416" s="3" t="s">
        <v>249</v>
      </c>
      <c r="G2416" s="3" t="s">
        <v>43</v>
      </c>
      <c r="H2416" s="3" t="s">
        <v>253</v>
      </c>
      <c r="I2416" s="2">
        <v>81</v>
      </c>
      <c r="J2416" s="2">
        <v>41</v>
      </c>
      <c r="K2416" s="2">
        <v>3</v>
      </c>
      <c r="O2416" s="2">
        <v>6</v>
      </c>
      <c r="P2416" s="2">
        <v>11</v>
      </c>
      <c r="U2416" s="2">
        <v>1</v>
      </c>
      <c r="V2416" s="2">
        <v>27</v>
      </c>
      <c r="W2416" s="2">
        <v>1</v>
      </c>
      <c r="X2416" s="2">
        <v>21</v>
      </c>
      <c r="AA2416" s="3" t="s">
        <v>57</v>
      </c>
      <c r="AB2416" s="2">
        <v>3</v>
      </c>
      <c r="AF2416" s="2">
        <v>38</v>
      </c>
      <c r="AG2416" s="2">
        <v>1</v>
      </c>
      <c r="AH2416" s="3" t="s">
        <v>2454</v>
      </c>
      <c r="AI2416" s="4">
        <v>45062</v>
      </c>
      <c r="AJ2416" s="3" t="s">
        <v>2535</v>
      </c>
      <c r="AK2416" s="3" t="s">
        <v>248</v>
      </c>
    </row>
    <row r="2417" spans="1:37" hidden="1" x14ac:dyDescent="0.25">
      <c r="A2417" t="str">
        <f t="shared" si="37"/>
        <v>2023_Vic_Dooen_Chickpea_DetailedTOS1VarietyDrummondWaterTrtIrrigated</v>
      </c>
      <c r="B2417" s="2">
        <v>2023025</v>
      </c>
      <c r="C2417" s="3" t="s">
        <v>2453</v>
      </c>
      <c r="D2417" s="3" t="s">
        <v>248</v>
      </c>
      <c r="F2417" s="3" t="s">
        <v>4182</v>
      </c>
      <c r="G2417" s="3" t="s">
        <v>39</v>
      </c>
      <c r="H2417" s="3" t="s">
        <v>253</v>
      </c>
      <c r="I2417" s="2">
        <v>82</v>
      </c>
      <c r="J2417" s="2">
        <v>42</v>
      </c>
      <c r="K2417" s="2">
        <v>3</v>
      </c>
      <c r="O2417" s="2">
        <v>6</v>
      </c>
      <c r="P2417" s="2">
        <v>11</v>
      </c>
      <c r="U2417" s="2">
        <v>2</v>
      </c>
      <c r="V2417" s="2">
        <v>27</v>
      </c>
      <c r="W2417" s="2">
        <v>2</v>
      </c>
      <c r="X2417" s="2">
        <v>21</v>
      </c>
      <c r="AA2417" s="3" t="s">
        <v>57</v>
      </c>
      <c r="AB2417" s="2">
        <v>1</v>
      </c>
      <c r="AF2417" s="2">
        <v>38</v>
      </c>
      <c r="AG2417" s="2">
        <v>1</v>
      </c>
      <c r="AH2417" s="3" t="s">
        <v>2454</v>
      </c>
      <c r="AI2417" s="4">
        <v>45062</v>
      </c>
      <c r="AJ2417" s="3" t="s">
        <v>2536</v>
      </c>
      <c r="AK2417" s="3" t="s">
        <v>248</v>
      </c>
    </row>
    <row r="2418" spans="1:37" hidden="1" x14ac:dyDescent="0.25">
      <c r="A2418" t="str">
        <f t="shared" si="37"/>
        <v>2023_Vic_Dooen_Chickpea_DetailedTOS1VarietyStrikerWaterTrtRainFed</v>
      </c>
      <c r="B2418" s="2">
        <v>2023025</v>
      </c>
      <c r="C2418" s="3" t="s">
        <v>2453</v>
      </c>
      <c r="D2418" s="3" t="s">
        <v>248</v>
      </c>
      <c r="F2418" s="3" t="s">
        <v>4179</v>
      </c>
      <c r="G2418" s="3" t="s">
        <v>43</v>
      </c>
      <c r="H2418" s="3" t="s">
        <v>253</v>
      </c>
      <c r="I2418" s="2">
        <v>83</v>
      </c>
      <c r="J2418" s="2">
        <v>43</v>
      </c>
      <c r="K2418" s="2">
        <v>3</v>
      </c>
      <c r="O2418" s="2">
        <v>6</v>
      </c>
      <c r="P2418" s="2">
        <v>12</v>
      </c>
      <c r="U2418" s="2">
        <v>3</v>
      </c>
      <c r="V2418" s="2">
        <v>27</v>
      </c>
      <c r="W2418" s="2">
        <v>3</v>
      </c>
      <c r="X2418" s="2">
        <v>21</v>
      </c>
      <c r="AA2418" s="3" t="s">
        <v>40</v>
      </c>
      <c r="AB2418" s="2">
        <v>4</v>
      </c>
      <c r="AF2418" s="2">
        <v>38</v>
      </c>
      <c r="AG2418" s="2">
        <v>1</v>
      </c>
      <c r="AH2418" s="3" t="s">
        <v>2454</v>
      </c>
      <c r="AI2418" s="4">
        <v>45062</v>
      </c>
      <c r="AJ2418" s="3" t="s">
        <v>2537</v>
      </c>
      <c r="AK2418" s="3" t="s">
        <v>248</v>
      </c>
    </row>
    <row r="2419" spans="1:37" hidden="1" x14ac:dyDescent="0.25">
      <c r="A2419" t="str">
        <f t="shared" si="37"/>
        <v>2023_Vic_Dooen_Chickpea_DetailedTOS1VarietyHatTrickWaterTrtRainFed</v>
      </c>
      <c r="B2419" s="2">
        <v>2023025</v>
      </c>
      <c r="C2419" s="3" t="s">
        <v>2453</v>
      </c>
      <c r="D2419" s="3" t="s">
        <v>248</v>
      </c>
      <c r="F2419" s="3" t="s">
        <v>4178</v>
      </c>
      <c r="G2419" s="3" t="s">
        <v>39</v>
      </c>
      <c r="H2419" s="3" t="s">
        <v>253</v>
      </c>
      <c r="I2419" s="2">
        <v>84</v>
      </c>
      <c r="J2419" s="2">
        <v>44</v>
      </c>
      <c r="K2419" s="2">
        <v>3</v>
      </c>
      <c r="O2419" s="2">
        <v>6</v>
      </c>
      <c r="P2419" s="2">
        <v>12</v>
      </c>
      <c r="U2419" s="2">
        <v>4</v>
      </c>
      <c r="V2419" s="2">
        <v>27</v>
      </c>
      <c r="W2419" s="2">
        <v>4</v>
      </c>
      <c r="X2419" s="2">
        <v>21</v>
      </c>
      <c r="AA2419" s="3" t="s">
        <v>40</v>
      </c>
      <c r="AB2419" s="2">
        <v>2</v>
      </c>
      <c r="AF2419" s="2">
        <v>38</v>
      </c>
      <c r="AG2419" s="2">
        <v>1</v>
      </c>
      <c r="AH2419" s="3" t="s">
        <v>2454</v>
      </c>
      <c r="AI2419" s="4">
        <v>45062</v>
      </c>
      <c r="AJ2419" s="3" t="s">
        <v>2538</v>
      </c>
      <c r="AK2419" s="3" t="s">
        <v>248</v>
      </c>
    </row>
    <row r="2420" spans="1:37" hidden="1" x14ac:dyDescent="0.25">
      <c r="A2420" t="str">
        <f t="shared" si="37"/>
        <v>2023_Vic_Dooen_Chickpea_DetailedTOS1VarietyCBA_CaptainWaterTrtIrrigated</v>
      </c>
      <c r="B2420" s="2">
        <v>2023025</v>
      </c>
      <c r="C2420" s="3" t="s">
        <v>2453</v>
      </c>
      <c r="D2420" s="3" t="s">
        <v>248</v>
      </c>
      <c r="F2420" s="3" t="s">
        <v>249</v>
      </c>
      <c r="G2420" s="3" t="s">
        <v>43</v>
      </c>
      <c r="H2420" s="3" t="s">
        <v>250</v>
      </c>
      <c r="I2420" s="2">
        <v>85</v>
      </c>
      <c r="J2420" s="2">
        <v>41</v>
      </c>
      <c r="K2420" s="2">
        <v>3</v>
      </c>
      <c r="O2420" s="2">
        <v>6</v>
      </c>
      <c r="P2420" s="2">
        <v>11</v>
      </c>
      <c r="U2420" s="2">
        <v>1</v>
      </c>
      <c r="V2420" s="2">
        <v>28</v>
      </c>
      <c r="W2420" s="2">
        <v>1</v>
      </c>
      <c r="X2420" s="2">
        <v>22</v>
      </c>
      <c r="Z2420" s="2">
        <v>41</v>
      </c>
      <c r="AA2420" s="3" t="s">
        <v>57</v>
      </c>
      <c r="AB2420" s="2">
        <v>3</v>
      </c>
      <c r="AF2420" s="2">
        <v>38</v>
      </c>
      <c r="AG2420" s="2">
        <v>1</v>
      </c>
      <c r="AH2420" s="3" t="s">
        <v>2454</v>
      </c>
      <c r="AI2420" s="4">
        <v>45062</v>
      </c>
      <c r="AJ2420" s="3" t="s">
        <v>2539</v>
      </c>
      <c r="AK2420" s="3" t="s">
        <v>248</v>
      </c>
    </row>
    <row r="2421" spans="1:37" hidden="1" x14ac:dyDescent="0.25">
      <c r="A2421" t="str">
        <f t="shared" si="37"/>
        <v>2023_Vic_Dooen_Chickpea_DetailedTOS1VarietyDrummondWaterTrtIrrigated</v>
      </c>
      <c r="B2421" s="2">
        <v>2023025</v>
      </c>
      <c r="C2421" s="3" t="s">
        <v>2453</v>
      </c>
      <c r="D2421" s="3" t="s">
        <v>248</v>
      </c>
      <c r="F2421" s="3" t="s">
        <v>4182</v>
      </c>
      <c r="G2421" s="3" t="s">
        <v>39</v>
      </c>
      <c r="H2421" s="3" t="s">
        <v>250</v>
      </c>
      <c r="I2421" s="2">
        <v>86</v>
      </c>
      <c r="J2421" s="2">
        <v>42</v>
      </c>
      <c r="K2421" s="2">
        <v>3</v>
      </c>
      <c r="O2421" s="2">
        <v>6</v>
      </c>
      <c r="P2421" s="2">
        <v>11</v>
      </c>
      <c r="U2421" s="2">
        <v>2</v>
      </c>
      <c r="V2421" s="2">
        <v>28</v>
      </c>
      <c r="W2421" s="2">
        <v>2</v>
      </c>
      <c r="X2421" s="2">
        <v>22</v>
      </c>
      <c r="Z2421" s="2">
        <v>42</v>
      </c>
      <c r="AA2421" s="3" t="s">
        <v>57</v>
      </c>
      <c r="AB2421" s="2">
        <v>1</v>
      </c>
      <c r="AF2421" s="2">
        <v>38</v>
      </c>
      <c r="AG2421" s="2">
        <v>1</v>
      </c>
      <c r="AH2421" s="3" t="s">
        <v>2454</v>
      </c>
      <c r="AI2421" s="4">
        <v>45062</v>
      </c>
      <c r="AJ2421" s="3" t="s">
        <v>2540</v>
      </c>
      <c r="AK2421" s="3" t="s">
        <v>248</v>
      </c>
    </row>
    <row r="2422" spans="1:37" hidden="1" x14ac:dyDescent="0.25">
      <c r="A2422" t="str">
        <f t="shared" si="37"/>
        <v>2023_Vic_Dooen_Chickpea_DetailedTOS1VarietyStrikerWaterTrtRainFed</v>
      </c>
      <c r="B2422" s="2">
        <v>2023025</v>
      </c>
      <c r="C2422" s="3" t="s">
        <v>2453</v>
      </c>
      <c r="D2422" s="3" t="s">
        <v>248</v>
      </c>
      <c r="F2422" s="3" t="s">
        <v>4179</v>
      </c>
      <c r="G2422" s="3" t="s">
        <v>43</v>
      </c>
      <c r="H2422" s="3" t="s">
        <v>250</v>
      </c>
      <c r="I2422" s="2">
        <v>87</v>
      </c>
      <c r="J2422" s="2">
        <v>43</v>
      </c>
      <c r="K2422" s="2">
        <v>3</v>
      </c>
      <c r="O2422" s="2">
        <v>6</v>
      </c>
      <c r="P2422" s="2">
        <v>12</v>
      </c>
      <c r="U2422" s="2">
        <v>3</v>
      </c>
      <c r="V2422" s="2">
        <v>28</v>
      </c>
      <c r="W2422" s="2">
        <v>3</v>
      </c>
      <c r="X2422" s="2">
        <v>22</v>
      </c>
      <c r="Z2422" s="2">
        <v>43</v>
      </c>
      <c r="AA2422" s="3" t="s">
        <v>40</v>
      </c>
      <c r="AB2422" s="2">
        <v>4</v>
      </c>
      <c r="AF2422" s="2">
        <v>38</v>
      </c>
      <c r="AG2422" s="2">
        <v>1</v>
      </c>
      <c r="AH2422" s="3" t="s">
        <v>2454</v>
      </c>
      <c r="AI2422" s="4">
        <v>45062</v>
      </c>
      <c r="AJ2422" s="3" t="s">
        <v>2541</v>
      </c>
      <c r="AK2422" s="3" t="s">
        <v>248</v>
      </c>
    </row>
    <row r="2423" spans="1:37" hidden="1" x14ac:dyDescent="0.25">
      <c r="A2423" t="str">
        <f t="shared" si="37"/>
        <v>2023_Vic_Dooen_Chickpea_DetailedTOS1VarietyHatTrickWaterTrtRainFed</v>
      </c>
      <c r="B2423" s="2">
        <v>2023025</v>
      </c>
      <c r="C2423" s="3" t="s">
        <v>2453</v>
      </c>
      <c r="D2423" s="3" t="s">
        <v>248</v>
      </c>
      <c r="F2423" s="3" t="s">
        <v>4178</v>
      </c>
      <c r="G2423" s="3" t="s">
        <v>39</v>
      </c>
      <c r="H2423" s="3" t="s">
        <v>250</v>
      </c>
      <c r="I2423" s="2">
        <v>88</v>
      </c>
      <c r="J2423" s="2">
        <v>44</v>
      </c>
      <c r="K2423" s="2">
        <v>3</v>
      </c>
      <c r="O2423" s="2">
        <v>6</v>
      </c>
      <c r="P2423" s="2">
        <v>12</v>
      </c>
      <c r="U2423" s="2">
        <v>4</v>
      </c>
      <c r="V2423" s="2">
        <v>28</v>
      </c>
      <c r="W2423" s="2">
        <v>4</v>
      </c>
      <c r="X2423" s="2">
        <v>22</v>
      </c>
      <c r="Z2423" s="2">
        <v>44</v>
      </c>
      <c r="AA2423" s="3" t="s">
        <v>40</v>
      </c>
      <c r="AB2423" s="2">
        <v>2</v>
      </c>
      <c r="AF2423" s="2">
        <v>38</v>
      </c>
      <c r="AG2423" s="2">
        <v>1</v>
      </c>
      <c r="AH2423" s="3" t="s">
        <v>2454</v>
      </c>
      <c r="AI2423" s="4">
        <v>45062</v>
      </c>
      <c r="AJ2423" s="3" t="s">
        <v>2542</v>
      </c>
      <c r="AK2423" s="3" t="s">
        <v>248</v>
      </c>
    </row>
    <row r="2424" spans="1:37" hidden="1" x14ac:dyDescent="0.25">
      <c r="A2424" t="str">
        <f t="shared" si="37"/>
        <v>2023_Vic_Dooen_Chickpea_DetailedTOS1VarietyHatTrickWaterTrtIrrigated</v>
      </c>
      <c r="B2424" s="2">
        <v>2023025</v>
      </c>
      <c r="C2424" s="3" t="s">
        <v>2453</v>
      </c>
      <c r="D2424" s="3" t="s">
        <v>248</v>
      </c>
      <c r="F2424" s="3" t="s">
        <v>4178</v>
      </c>
      <c r="G2424" s="3" t="s">
        <v>39</v>
      </c>
      <c r="H2424" s="3" t="s">
        <v>253</v>
      </c>
      <c r="I2424" s="2">
        <v>89</v>
      </c>
      <c r="J2424" s="2">
        <v>45</v>
      </c>
      <c r="K2424" s="2">
        <v>3</v>
      </c>
      <c r="O2424" s="2">
        <v>6</v>
      </c>
      <c r="P2424" s="2">
        <v>11</v>
      </c>
      <c r="U2424" s="2">
        <v>1</v>
      </c>
      <c r="V2424" s="2">
        <v>29</v>
      </c>
      <c r="W2424" s="2">
        <v>1</v>
      </c>
      <c r="X2424" s="2">
        <v>23</v>
      </c>
      <c r="AA2424" s="3" t="s">
        <v>57</v>
      </c>
      <c r="AB2424" s="2">
        <v>2</v>
      </c>
      <c r="AF2424" s="2">
        <v>38</v>
      </c>
      <c r="AG2424" s="2">
        <v>1</v>
      </c>
      <c r="AH2424" s="3" t="s">
        <v>2454</v>
      </c>
      <c r="AI2424" s="4">
        <v>45062</v>
      </c>
      <c r="AJ2424" s="3" t="s">
        <v>2543</v>
      </c>
      <c r="AK2424" s="3" t="s">
        <v>248</v>
      </c>
    </row>
    <row r="2425" spans="1:37" hidden="1" x14ac:dyDescent="0.25">
      <c r="A2425" t="str">
        <f t="shared" si="37"/>
        <v>2023_Vic_Dooen_Chickpea_DetailedTOS1VarietyStrikerWaterTrtIrrigated</v>
      </c>
      <c r="B2425" s="2">
        <v>2023025</v>
      </c>
      <c r="C2425" s="3" t="s">
        <v>2453</v>
      </c>
      <c r="D2425" s="3" t="s">
        <v>248</v>
      </c>
      <c r="F2425" s="3" t="s">
        <v>4179</v>
      </c>
      <c r="G2425" s="3" t="s">
        <v>43</v>
      </c>
      <c r="H2425" s="3" t="s">
        <v>253</v>
      </c>
      <c r="I2425" s="2">
        <v>90</v>
      </c>
      <c r="J2425" s="2">
        <v>46</v>
      </c>
      <c r="K2425" s="2">
        <v>3</v>
      </c>
      <c r="O2425" s="2">
        <v>6</v>
      </c>
      <c r="P2425" s="2">
        <v>11</v>
      </c>
      <c r="U2425" s="2">
        <v>2</v>
      </c>
      <c r="V2425" s="2">
        <v>29</v>
      </c>
      <c r="W2425" s="2">
        <v>2</v>
      </c>
      <c r="X2425" s="2">
        <v>23</v>
      </c>
      <c r="AA2425" s="3" t="s">
        <v>57</v>
      </c>
      <c r="AB2425" s="2">
        <v>4</v>
      </c>
      <c r="AF2425" s="2">
        <v>38</v>
      </c>
      <c r="AG2425" s="2">
        <v>1</v>
      </c>
      <c r="AH2425" s="3" t="s">
        <v>2454</v>
      </c>
      <c r="AI2425" s="4">
        <v>45062</v>
      </c>
      <c r="AJ2425" s="3" t="s">
        <v>2544</v>
      </c>
      <c r="AK2425" s="3" t="s">
        <v>248</v>
      </c>
    </row>
    <row r="2426" spans="1:37" hidden="1" x14ac:dyDescent="0.25">
      <c r="A2426" t="str">
        <f t="shared" si="37"/>
        <v>2023_Vic_Dooen_Chickpea_DetailedTOS1VarietyCBA_CaptainWaterTrtRainFed</v>
      </c>
      <c r="B2426" s="2">
        <v>2023025</v>
      </c>
      <c r="C2426" s="3" t="s">
        <v>2453</v>
      </c>
      <c r="D2426" s="3" t="s">
        <v>248</v>
      </c>
      <c r="F2426" s="3" t="s">
        <v>249</v>
      </c>
      <c r="G2426" s="3" t="s">
        <v>43</v>
      </c>
      <c r="H2426" s="3" t="s">
        <v>253</v>
      </c>
      <c r="I2426" s="2">
        <v>91</v>
      </c>
      <c r="J2426" s="2">
        <v>47</v>
      </c>
      <c r="K2426" s="2">
        <v>3</v>
      </c>
      <c r="O2426" s="2">
        <v>6</v>
      </c>
      <c r="P2426" s="2">
        <v>12</v>
      </c>
      <c r="U2426" s="2">
        <v>3</v>
      </c>
      <c r="V2426" s="2">
        <v>29</v>
      </c>
      <c r="W2426" s="2">
        <v>3</v>
      </c>
      <c r="X2426" s="2">
        <v>23</v>
      </c>
      <c r="AA2426" s="3" t="s">
        <v>40</v>
      </c>
      <c r="AB2426" s="2">
        <v>3</v>
      </c>
      <c r="AF2426" s="2">
        <v>38</v>
      </c>
      <c r="AG2426" s="2">
        <v>1</v>
      </c>
      <c r="AH2426" s="3" t="s">
        <v>2454</v>
      </c>
      <c r="AI2426" s="4">
        <v>45062</v>
      </c>
      <c r="AJ2426" s="3" t="s">
        <v>2545</v>
      </c>
      <c r="AK2426" s="3" t="s">
        <v>248</v>
      </c>
    </row>
    <row r="2427" spans="1:37" hidden="1" x14ac:dyDescent="0.25">
      <c r="A2427" t="str">
        <f t="shared" si="37"/>
        <v>2023_Vic_Dooen_Chickpea_DetailedTOS1VarietyDrummondWaterTrtRainFed</v>
      </c>
      <c r="B2427" s="2">
        <v>2023025</v>
      </c>
      <c r="C2427" s="3" t="s">
        <v>2453</v>
      </c>
      <c r="D2427" s="3" t="s">
        <v>248</v>
      </c>
      <c r="F2427" s="3" t="s">
        <v>4182</v>
      </c>
      <c r="G2427" s="3" t="s">
        <v>39</v>
      </c>
      <c r="H2427" s="3" t="s">
        <v>253</v>
      </c>
      <c r="I2427" s="2">
        <v>92</v>
      </c>
      <c r="J2427" s="2">
        <v>48</v>
      </c>
      <c r="K2427" s="2">
        <v>3</v>
      </c>
      <c r="O2427" s="2">
        <v>6</v>
      </c>
      <c r="P2427" s="2">
        <v>12</v>
      </c>
      <c r="U2427" s="2">
        <v>4</v>
      </c>
      <c r="V2427" s="2">
        <v>29</v>
      </c>
      <c r="W2427" s="2">
        <v>4</v>
      </c>
      <c r="X2427" s="2">
        <v>23</v>
      </c>
      <c r="AA2427" s="3" t="s">
        <v>40</v>
      </c>
      <c r="AB2427" s="2">
        <v>1</v>
      </c>
      <c r="AF2427" s="2">
        <v>38</v>
      </c>
      <c r="AG2427" s="2">
        <v>1</v>
      </c>
      <c r="AH2427" s="3" t="s">
        <v>2454</v>
      </c>
      <c r="AI2427" s="4">
        <v>45062</v>
      </c>
      <c r="AJ2427" s="3" t="s">
        <v>2546</v>
      </c>
      <c r="AK2427" s="3" t="s">
        <v>248</v>
      </c>
    </row>
    <row r="2428" spans="1:37" hidden="1" x14ac:dyDescent="0.25">
      <c r="A2428" t="str">
        <f t="shared" si="37"/>
        <v>2023_Vic_Dooen_Chickpea_DetailedTOS1VarietyHatTrickWaterTrtIrrigated</v>
      </c>
      <c r="B2428" s="2">
        <v>2023025</v>
      </c>
      <c r="C2428" s="3" t="s">
        <v>2453</v>
      </c>
      <c r="D2428" s="3" t="s">
        <v>248</v>
      </c>
      <c r="F2428" s="3" t="s">
        <v>4178</v>
      </c>
      <c r="G2428" s="3" t="s">
        <v>39</v>
      </c>
      <c r="H2428" s="3" t="s">
        <v>250</v>
      </c>
      <c r="I2428" s="2">
        <v>93</v>
      </c>
      <c r="J2428" s="2">
        <v>45</v>
      </c>
      <c r="K2428" s="2">
        <v>3</v>
      </c>
      <c r="O2428" s="2">
        <v>6</v>
      </c>
      <c r="P2428" s="2">
        <v>11</v>
      </c>
      <c r="U2428" s="2">
        <v>1</v>
      </c>
      <c r="V2428" s="2">
        <v>30</v>
      </c>
      <c r="W2428" s="2">
        <v>1</v>
      </c>
      <c r="X2428" s="2">
        <v>24</v>
      </c>
      <c r="Z2428" s="2">
        <v>48</v>
      </c>
      <c r="AA2428" s="3" t="s">
        <v>57</v>
      </c>
      <c r="AB2428" s="2">
        <v>2</v>
      </c>
      <c r="AF2428" s="2">
        <v>38</v>
      </c>
      <c r="AG2428" s="2">
        <v>1</v>
      </c>
      <c r="AH2428" s="3" t="s">
        <v>2454</v>
      </c>
      <c r="AI2428" s="4">
        <v>45062</v>
      </c>
      <c r="AJ2428" s="3" t="s">
        <v>2547</v>
      </c>
      <c r="AK2428" s="3" t="s">
        <v>248</v>
      </c>
    </row>
    <row r="2429" spans="1:37" hidden="1" x14ac:dyDescent="0.25">
      <c r="A2429" t="str">
        <f t="shared" si="37"/>
        <v>2023_Vic_Dooen_Chickpea_DetailedTOS1VarietyStrikerWaterTrtIrrigated</v>
      </c>
      <c r="B2429" s="2">
        <v>2023025</v>
      </c>
      <c r="C2429" s="3" t="s">
        <v>2453</v>
      </c>
      <c r="D2429" s="3" t="s">
        <v>248</v>
      </c>
      <c r="F2429" s="3" t="s">
        <v>4179</v>
      </c>
      <c r="G2429" s="3" t="s">
        <v>43</v>
      </c>
      <c r="H2429" s="3" t="s">
        <v>250</v>
      </c>
      <c r="I2429" s="2">
        <v>94</v>
      </c>
      <c r="J2429" s="2">
        <v>46</v>
      </c>
      <c r="K2429" s="2">
        <v>3</v>
      </c>
      <c r="O2429" s="2">
        <v>6</v>
      </c>
      <c r="P2429" s="2">
        <v>11</v>
      </c>
      <c r="U2429" s="2">
        <v>2</v>
      </c>
      <c r="V2429" s="2">
        <v>30</v>
      </c>
      <c r="W2429" s="2">
        <v>2</v>
      </c>
      <c r="X2429" s="2">
        <v>24</v>
      </c>
      <c r="Z2429" s="2">
        <v>47</v>
      </c>
      <c r="AA2429" s="3" t="s">
        <v>57</v>
      </c>
      <c r="AB2429" s="2">
        <v>4</v>
      </c>
      <c r="AF2429" s="2">
        <v>38</v>
      </c>
      <c r="AG2429" s="2">
        <v>1</v>
      </c>
      <c r="AH2429" s="3" t="s">
        <v>2454</v>
      </c>
      <c r="AI2429" s="4">
        <v>45062</v>
      </c>
      <c r="AJ2429" s="3" t="s">
        <v>2548</v>
      </c>
      <c r="AK2429" s="3" t="s">
        <v>248</v>
      </c>
    </row>
    <row r="2430" spans="1:37" hidden="1" x14ac:dyDescent="0.25">
      <c r="A2430" t="str">
        <f t="shared" si="37"/>
        <v>2023_Vic_Dooen_Chickpea_DetailedTOS1VarietyCBA_CaptainWaterTrtRainFed</v>
      </c>
      <c r="B2430" s="2">
        <v>2023025</v>
      </c>
      <c r="C2430" s="3" t="s">
        <v>2453</v>
      </c>
      <c r="D2430" s="3" t="s">
        <v>248</v>
      </c>
      <c r="F2430" s="3" t="s">
        <v>249</v>
      </c>
      <c r="G2430" s="3" t="s">
        <v>43</v>
      </c>
      <c r="H2430" s="3" t="s">
        <v>250</v>
      </c>
      <c r="I2430" s="2">
        <v>95</v>
      </c>
      <c r="J2430" s="2">
        <v>47</v>
      </c>
      <c r="K2430" s="2">
        <v>3</v>
      </c>
      <c r="O2430" s="2">
        <v>6</v>
      </c>
      <c r="P2430" s="2">
        <v>12</v>
      </c>
      <c r="U2430" s="2">
        <v>3</v>
      </c>
      <c r="V2430" s="2">
        <v>30</v>
      </c>
      <c r="W2430" s="2">
        <v>3</v>
      </c>
      <c r="X2430" s="2">
        <v>24</v>
      </c>
      <c r="Z2430" s="2">
        <v>46</v>
      </c>
      <c r="AA2430" s="3" t="s">
        <v>40</v>
      </c>
      <c r="AB2430" s="2">
        <v>3</v>
      </c>
      <c r="AF2430" s="2">
        <v>38</v>
      </c>
      <c r="AG2430" s="2">
        <v>1</v>
      </c>
      <c r="AH2430" s="3" t="s">
        <v>2454</v>
      </c>
      <c r="AI2430" s="4">
        <v>45062</v>
      </c>
      <c r="AJ2430" s="3" t="s">
        <v>2549</v>
      </c>
      <c r="AK2430" s="3" t="s">
        <v>248</v>
      </c>
    </row>
    <row r="2431" spans="1:37" hidden="1" x14ac:dyDescent="0.25">
      <c r="A2431" t="str">
        <f t="shared" si="37"/>
        <v>2023_Vic_Dooen_Chickpea_DetailedTOS1VarietyDrummondWaterTrtRainFed</v>
      </c>
      <c r="B2431" s="2">
        <v>2023025</v>
      </c>
      <c r="C2431" s="3" t="s">
        <v>2453</v>
      </c>
      <c r="D2431" s="3" t="s">
        <v>248</v>
      </c>
      <c r="F2431" s="3" t="s">
        <v>4182</v>
      </c>
      <c r="G2431" s="3" t="s">
        <v>39</v>
      </c>
      <c r="H2431" s="3" t="s">
        <v>250</v>
      </c>
      <c r="I2431" s="2">
        <v>96</v>
      </c>
      <c r="J2431" s="2">
        <v>48</v>
      </c>
      <c r="K2431" s="2">
        <v>3</v>
      </c>
      <c r="O2431" s="2">
        <v>6</v>
      </c>
      <c r="P2431" s="2">
        <v>12</v>
      </c>
      <c r="U2431" s="2">
        <v>4</v>
      </c>
      <c r="V2431" s="2">
        <v>30</v>
      </c>
      <c r="W2431" s="2">
        <v>4</v>
      </c>
      <c r="X2431" s="2">
        <v>24</v>
      </c>
      <c r="Z2431" s="2">
        <v>45</v>
      </c>
      <c r="AA2431" s="3" t="s">
        <v>40</v>
      </c>
      <c r="AB2431" s="2">
        <v>1</v>
      </c>
      <c r="AF2431" s="2">
        <v>38</v>
      </c>
      <c r="AG2431" s="2">
        <v>1</v>
      </c>
      <c r="AH2431" s="3" t="s">
        <v>2454</v>
      </c>
      <c r="AI2431" s="4">
        <v>45062</v>
      </c>
      <c r="AJ2431" s="3" t="s">
        <v>2550</v>
      </c>
      <c r="AK2431" s="3" t="s">
        <v>248</v>
      </c>
    </row>
    <row r="2432" spans="1:37" hidden="1" x14ac:dyDescent="0.25">
      <c r="A2432" t="str">
        <f t="shared" si="37"/>
        <v>2023_Vic_Dooen_Chickpea_DetailedTOS2VarietyDrummondWaterTrtRainFed</v>
      </c>
      <c r="B2432" s="2">
        <v>2023025</v>
      </c>
      <c r="C2432" s="3" t="s">
        <v>2453</v>
      </c>
      <c r="D2432" s="3" t="s">
        <v>248</v>
      </c>
      <c r="F2432" s="3" t="s">
        <v>4182</v>
      </c>
      <c r="G2432" s="3" t="s">
        <v>39</v>
      </c>
      <c r="H2432" s="3" t="s">
        <v>253</v>
      </c>
      <c r="I2432" s="2">
        <v>97</v>
      </c>
      <c r="J2432" s="2">
        <v>49</v>
      </c>
      <c r="K2432" s="2">
        <v>4</v>
      </c>
      <c r="O2432" s="2">
        <v>7</v>
      </c>
      <c r="P2432" s="2">
        <v>13</v>
      </c>
      <c r="U2432" s="2">
        <v>1</v>
      </c>
      <c r="V2432" s="2">
        <v>32</v>
      </c>
      <c r="W2432" s="2">
        <v>1</v>
      </c>
      <c r="X2432" s="2">
        <v>25</v>
      </c>
      <c r="AA2432" s="3" t="s">
        <v>40</v>
      </c>
      <c r="AB2432" s="2">
        <v>1</v>
      </c>
      <c r="AF2432" s="2">
        <v>38</v>
      </c>
      <c r="AG2432" s="2">
        <v>2</v>
      </c>
      <c r="AH2432" s="3" t="s">
        <v>2063</v>
      </c>
      <c r="AI2432" s="4">
        <v>45110</v>
      </c>
      <c r="AJ2432" s="3" t="s">
        <v>2551</v>
      </c>
      <c r="AK2432" s="3" t="s">
        <v>248</v>
      </c>
    </row>
    <row r="2433" spans="1:37" hidden="1" x14ac:dyDescent="0.25">
      <c r="A2433" t="str">
        <f t="shared" si="37"/>
        <v>2023_Vic_Dooen_Chickpea_DetailedTOS2VarietyStrikerWaterTrtRainFed</v>
      </c>
      <c r="B2433" s="2">
        <v>2023025</v>
      </c>
      <c r="C2433" s="3" t="s">
        <v>2453</v>
      </c>
      <c r="D2433" s="3" t="s">
        <v>248</v>
      </c>
      <c r="F2433" s="3" t="s">
        <v>4179</v>
      </c>
      <c r="G2433" s="3" t="s">
        <v>43</v>
      </c>
      <c r="H2433" s="3" t="s">
        <v>253</v>
      </c>
      <c r="I2433" s="2">
        <v>98</v>
      </c>
      <c r="J2433" s="2">
        <v>50</v>
      </c>
      <c r="K2433" s="2">
        <v>4</v>
      </c>
      <c r="O2433" s="2">
        <v>7</v>
      </c>
      <c r="P2433" s="2">
        <v>13</v>
      </c>
      <c r="U2433" s="2">
        <v>2</v>
      </c>
      <c r="V2433" s="2">
        <v>32</v>
      </c>
      <c r="W2433" s="2">
        <v>2</v>
      </c>
      <c r="X2433" s="2">
        <v>25</v>
      </c>
      <c r="AA2433" s="3" t="s">
        <v>40</v>
      </c>
      <c r="AB2433" s="2">
        <v>4</v>
      </c>
      <c r="AF2433" s="2">
        <v>38</v>
      </c>
      <c r="AG2433" s="2">
        <v>2</v>
      </c>
      <c r="AH2433" s="3" t="s">
        <v>2063</v>
      </c>
      <c r="AI2433" s="4">
        <v>45110</v>
      </c>
      <c r="AJ2433" s="3" t="s">
        <v>2552</v>
      </c>
      <c r="AK2433" s="3" t="s">
        <v>248</v>
      </c>
    </row>
    <row r="2434" spans="1:37" hidden="1" x14ac:dyDescent="0.25">
      <c r="A2434" t="str">
        <f t="shared" si="37"/>
        <v>2023_Vic_Dooen_Chickpea_DetailedTOS2VarietyHatTrickWaterTrtIrrigated</v>
      </c>
      <c r="B2434" s="2">
        <v>2023025</v>
      </c>
      <c r="C2434" s="3" t="s">
        <v>2453</v>
      </c>
      <c r="D2434" s="3" t="s">
        <v>248</v>
      </c>
      <c r="F2434" s="3" t="s">
        <v>4178</v>
      </c>
      <c r="G2434" s="3" t="s">
        <v>39</v>
      </c>
      <c r="H2434" s="3" t="s">
        <v>253</v>
      </c>
      <c r="I2434" s="2">
        <v>99</v>
      </c>
      <c r="J2434" s="2">
        <v>51</v>
      </c>
      <c r="K2434" s="2">
        <v>4</v>
      </c>
      <c r="O2434" s="2">
        <v>7</v>
      </c>
      <c r="P2434" s="2">
        <v>14</v>
      </c>
      <c r="U2434" s="2">
        <v>3</v>
      </c>
      <c r="V2434" s="2">
        <v>32</v>
      </c>
      <c r="W2434" s="2">
        <v>3</v>
      </c>
      <c r="X2434" s="2">
        <v>25</v>
      </c>
      <c r="AA2434" s="3" t="s">
        <v>57</v>
      </c>
      <c r="AB2434" s="2">
        <v>2</v>
      </c>
      <c r="AF2434" s="2">
        <v>38</v>
      </c>
      <c r="AG2434" s="2">
        <v>2</v>
      </c>
      <c r="AH2434" s="3" t="s">
        <v>2063</v>
      </c>
      <c r="AI2434" s="4">
        <v>45110</v>
      </c>
      <c r="AJ2434" s="3" t="s">
        <v>2553</v>
      </c>
      <c r="AK2434" s="3" t="s">
        <v>248</v>
      </c>
    </row>
    <row r="2435" spans="1:37" hidden="1" x14ac:dyDescent="0.25">
      <c r="A2435" t="str">
        <f t="shared" ref="A2435:A2498" si="38">C2435&amp;"TOS"&amp;AG2435&amp;"Variety"&amp;F2435&amp;"WaterTrt"&amp;AA2435&amp;IF(AC2435="","","Agronomy"&amp;AC2435)</f>
        <v>2023_Vic_Dooen_Chickpea_DetailedTOS2VarietyCBA_CaptainWaterTrtIrrigated</v>
      </c>
      <c r="B2435" s="2">
        <v>2023025</v>
      </c>
      <c r="C2435" s="3" t="s">
        <v>2453</v>
      </c>
      <c r="D2435" s="3" t="s">
        <v>248</v>
      </c>
      <c r="F2435" s="3" t="s">
        <v>249</v>
      </c>
      <c r="G2435" s="3" t="s">
        <v>43</v>
      </c>
      <c r="H2435" s="3" t="s">
        <v>253</v>
      </c>
      <c r="I2435" s="2">
        <v>100</v>
      </c>
      <c r="J2435" s="2">
        <v>52</v>
      </c>
      <c r="K2435" s="2">
        <v>4</v>
      </c>
      <c r="O2435" s="2">
        <v>7</v>
      </c>
      <c r="P2435" s="2">
        <v>14</v>
      </c>
      <c r="U2435" s="2">
        <v>4</v>
      </c>
      <c r="V2435" s="2">
        <v>32</v>
      </c>
      <c r="W2435" s="2">
        <v>4</v>
      </c>
      <c r="X2435" s="2">
        <v>25</v>
      </c>
      <c r="AA2435" s="3" t="s">
        <v>57</v>
      </c>
      <c r="AB2435" s="2">
        <v>3</v>
      </c>
      <c r="AF2435" s="2">
        <v>38</v>
      </c>
      <c r="AG2435" s="2">
        <v>2</v>
      </c>
      <c r="AH2435" s="3" t="s">
        <v>2063</v>
      </c>
      <c r="AI2435" s="4">
        <v>45110</v>
      </c>
      <c r="AJ2435" s="3" t="s">
        <v>2554</v>
      </c>
      <c r="AK2435" s="3" t="s">
        <v>248</v>
      </c>
    </row>
    <row r="2436" spans="1:37" hidden="1" x14ac:dyDescent="0.25">
      <c r="A2436" t="str">
        <f t="shared" si="38"/>
        <v>2023_Vic_Dooen_Chickpea_DetailedTOS2VarietyDrummondWaterTrtRainFed</v>
      </c>
      <c r="B2436" s="2">
        <v>2023025</v>
      </c>
      <c r="C2436" s="3" t="s">
        <v>2453</v>
      </c>
      <c r="D2436" s="3" t="s">
        <v>248</v>
      </c>
      <c r="F2436" s="3" t="s">
        <v>4182</v>
      </c>
      <c r="G2436" s="3" t="s">
        <v>39</v>
      </c>
      <c r="H2436" s="3" t="s">
        <v>250</v>
      </c>
      <c r="I2436" s="2">
        <v>101</v>
      </c>
      <c r="J2436" s="2">
        <v>49</v>
      </c>
      <c r="K2436" s="2">
        <v>4</v>
      </c>
      <c r="O2436" s="2">
        <v>7</v>
      </c>
      <c r="P2436" s="2">
        <v>13</v>
      </c>
      <c r="U2436" s="2">
        <v>1</v>
      </c>
      <c r="V2436" s="2">
        <v>33</v>
      </c>
      <c r="W2436" s="2">
        <v>1</v>
      </c>
      <c r="X2436" s="2">
        <v>26</v>
      </c>
      <c r="Z2436" s="2">
        <v>49</v>
      </c>
      <c r="AA2436" s="3" t="s">
        <v>40</v>
      </c>
      <c r="AB2436" s="2">
        <v>1</v>
      </c>
      <c r="AF2436" s="2">
        <v>38</v>
      </c>
      <c r="AG2436" s="2">
        <v>2</v>
      </c>
      <c r="AH2436" s="3" t="s">
        <v>2063</v>
      </c>
      <c r="AI2436" s="4">
        <v>45110</v>
      </c>
      <c r="AJ2436" s="3" t="s">
        <v>2555</v>
      </c>
      <c r="AK2436" s="3" t="s">
        <v>248</v>
      </c>
    </row>
    <row r="2437" spans="1:37" hidden="1" x14ac:dyDescent="0.25">
      <c r="A2437" t="str">
        <f t="shared" si="38"/>
        <v>2023_Vic_Dooen_Chickpea_DetailedTOS2VarietyStrikerWaterTrtRainFed</v>
      </c>
      <c r="B2437" s="2">
        <v>2023025</v>
      </c>
      <c r="C2437" s="3" t="s">
        <v>2453</v>
      </c>
      <c r="D2437" s="3" t="s">
        <v>248</v>
      </c>
      <c r="F2437" s="3" t="s">
        <v>4179</v>
      </c>
      <c r="G2437" s="3" t="s">
        <v>43</v>
      </c>
      <c r="H2437" s="3" t="s">
        <v>250</v>
      </c>
      <c r="I2437" s="2">
        <v>102</v>
      </c>
      <c r="J2437" s="2">
        <v>50</v>
      </c>
      <c r="K2437" s="2">
        <v>4</v>
      </c>
      <c r="O2437" s="2">
        <v>7</v>
      </c>
      <c r="P2437" s="2">
        <v>13</v>
      </c>
      <c r="U2437" s="2">
        <v>2</v>
      </c>
      <c r="V2437" s="2">
        <v>33</v>
      </c>
      <c r="W2437" s="2">
        <v>2</v>
      </c>
      <c r="X2437" s="2">
        <v>26</v>
      </c>
      <c r="Z2437" s="2">
        <v>50</v>
      </c>
      <c r="AA2437" s="3" t="s">
        <v>40</v>
      </c>
      <c r="AB2437" s="2">
        <v>4</v>
      </c>
      <c r="AF2437" s="2">
        <v>38</v>
      </c>
      <c r="AG2437" s="2">
        <v>2</v>
      </c>
      <c r="AH2437" s="3" t="s">
        <v>2063</v>
      </c>
      <c r="AI2437" s="4">
        <v>45110</v>
      </c>
      <c r="AJ2437" s="3" t="s">
        <v>2556</v>
      </c>
      <c r="AK2437" s="3" t="s">
        <v>248</v>
      </c>
    </row>
    <row r="2438" spans="1:37" hidden="1" x14ac:dyDescent="0.25">
      <c r="A2438" t="str">
        <f t="shared" si="38"/>
        <v>2023_Vic_Dooen_Chickpea_DetailedTOS2VarietyHatTrickWaterTrtIrrigated</v>
      </c>
      <c r="B2438" s="2">
        <v>2023025</v>
      </c>
      <c r="C2438" s="3" t="s">
        <v>2453</v>
      </c>
      <c r="D2438" s="3" t="s">
        <v>248</v>
      </c>
      <c r="F2438" s="3" t="s">
        <v>4178</v>
      </c>
      <c r="G2438" s="3" t="s">
        <v>39</v>
      </c>
      <c r="H2438" s="3" t="s">
        <v>250</v>
      </c>
      <c r="I2438" s="2">
        <v>103</v>
      </c>
      <c r="J2438" s="2">
        <v>51</v>
      </c>
      <c r="K2438" s="2">
        <v>4</v>
      </c>
      <c r="O2438" s="2">
        <v>7</v>
      </c>
      <c r="P2438" s="2">
        <v>14</v>
      </c>
      <c r="U2438" s="2">
        <v>3</v>
      </c>
      <c r="V2438" s="2">
        <v>33</v>
      </c>
      <c r="W2438" s="2">
        <v>3</v>
      </c>
      <c r="X2438" s="2">
        <v>26</v>
      </c>
      <c r="Z2438" s="2">
        <v>51</v>
      </c>
      <c r="AA2438" s="3" t="s">
        <v>57</v>
      </c>
      <c r="AB2438" s="2">
        <v>2</v>
      </c>
      <c r="AF2438" s="2">
        <v>38</v>
      </c>
      <c r="AG2438" s="2">
        <v>2</v>
      </c>
      <c r="AH2438" s="3" t="s">
        <v>2063</v>
      </c>
      <c r="AI2438" s="4">
        <v>45110</v>
      </c>
      <c r="AJ2438" s="3" t="s">
        <v>2557</v>
      </c>
      <c r="AK2438" s="3" t="s">
        <v>248</v>
      </c>
    </row>
    <row r="2439" spans="1:37" hidden="1" x14ac:dyDescent="0.25">
      <c r="A2439" t="str">
        <f t="shared" si="38"/>
        <v>2023_Vic_Dooen_Chickpea_DetailedTOS2VarietyCBA_CaptainWaterTrtIrrigated</v>
      </c>
      <c r="B2439" s="2">
        <v>2023025</v>
      </c>
      <c r="C2439" s="3" t="s">
        <v>2453</v>
      </c>
      <c r="D2439" s="3" t="s">
        <v>248</v>
      </c>
      <c r="F2439" s="3" t="s">
        <v>249</v>
      </c>
      <c r="G2439" s="3" t="s">
        <v>43</v>
      </c>
      <c r="H2439" s="3" t="s">
        <v>250</v>
      </c>
      <c r="I2439" s="2">
        <v>104</v>
      </c>
      <c r="J2439" s="2">
        <v>52</v>
      </c>
      <c r="K2439" s="2">
        <v>4</v>
      </c>
      <c r="O2439" s="2">
        <v>7</v>
      </c>
      <c r="P2439" s="2">
        <v>14</v>
      </c>
      <c r="U2439" s="2">
        <v>4</v>
      </c>
      <c r="V2439" s="2">
        <v>33</v>
      </c>
      <c r="W2439" s="2">
        <v>4</v>
      </c>
      <c r="X2439" s="2">
        <v>26</v>
      </c>
      <c r="Z2439" s="2">
        <v>52</v>
      </c>
      <c r="AA2439" s="3" t="s">
        <v>57</v>
      </c>
      <c r="AB2439" s="2">
        <v>3</v>
      </c>
      <c r="AF2439" s="2">
        <v>38</v>
      </c>
      <c r="AG2439" s="2">
        <v>2</v>
      </c>
      <c r="AH2439" s="3" t="s">
        <v>2063</v>
      </c>
      <c r="AI2439" s="4">
        <v>45110</v>
      </c>
      <c r="AJ2439" s="3" t="s">
        <v>2558</v>
      </c>
      <c r="AK2439" s="3" t="s">
        <v>248</v>
      </c>
    </row>
    <row r="2440" spans="1:37" hidden="1" x14ac:dyDescent="0.25">
      <c r="A2440" t="str">
        <f t="shared" si="38"/>
        <v>2023_Vic_Dooen_Chickpea_DetailedTOS2VarietyCBA_CaptainWaterTrtRainFed</v>
      </c>
      <c r="B2440" s="2">
        <v>2023025</v>
      </c>
      <c r="C2440" s="3" t="s">
        <v>2453</v>
      </c>
      <c r="D2440" s="3" t="s">
        <v>248</v>
      </c>
      <c r="F2440" s="3" t="s">
        <v>249</v>
      </c>
      <c r="G2440" s="3" t="s">
        <v>43</v>
      </c>
      <c r="H2440" s="3" t="s">
        <v>253</v>
      </c>
      <c r="I2440" s="2">
        <v>105</v>
      </c>
      <c r="J2440" s="2">
        <v>53</v>
      </c>
      <c r="K2440" s="2">
        <v>4</v>
      </c>
      <c r="O2440" s="2">
        <v>7</v>
      </c>
      <c r="P2440" s="2">
        <v>13</v>
      </c>
      <c r="U2440" s="2">
        <v>1</v>
      </c>
      <c r="V2440" s="2">
        <v>34</v>
      </c>
      <c r="W2440" s="2">
        <v>1</v>
      </c>
      <c r="X2440" s="2">
        <v>27</v>
      </c>
      <c r="AA2440" s="3" t="s">
        <v>40</v>
      </c>
      <c r="AB2440" s="2">
        <v>3</v>
      </c>
      <c r="AF2440" s="2">
        <v>38</v>
      </c>
      <c r="AG2440" s="2">
        <v>2</v>
      </c>
      <c r="AH2440" s="3" t="s">
        <v>2063</v>
      </c>
      <c r="AI2440" s="4">
        <v>45110</v>
      </c>
      <c r="AJ2440" s="3" t="s">
        <v>2559</v>
      </c>
      <c r="AK2440" s="3" t="s">
        <v>248</v>
      </c>
    </row>
    <row r="2441" spans="1:37" hidden="1" x14ac:dyDescent="0.25">
      <c r="A2441" t="str">
        <f t="shared" si="38"/>
        <v>2023_Vic_Dooen_Chickpea_DetailedTOS2VarietyHatTrickWaterTrtRainFed</v>
      </c>
      <c r="B2441" s="2">
        <v>2023025</v>
      </c>
      <c r="C2441" s="3" t="s">
        <v>2453</v>
      </c>
      <c r="D2441" s="3" t="s">
        <v>248</v>
      </c>
      <c r="F2441" s="3" t="s">
        <v>4178</v>
      </c>
      <c r="G2441" s="3" t="s">
        <v>39</v>
      </c>
      <c r="H2441" s="3" t="s">
        <v>253</v>
      </c>
      <c r="I2441" s="2">
        <v>106</v>
      </c>
      <c r="J2441" s="2">
        <v>54</v>
      </c>
      <c r="K2441" s="2">
        <v>4</v>
      </c>
      <c r="O2441" s="2">
        <v>7</v>
      </c>
      <c r="P2441" s="2">
        <v>13</v>
      </c>
      <c r="U2441" s="2">
        <v>2</v>
      </c>
      <c r="V2441" s="2">
        <v>34</v>
      </c>
      <c r="W2441" s="2">
        <v>2</v>
      </c>
      <c r="X2441" s="2">
        <v>27</v>
      </c>
      <c r="AA2441" s="3" t="s">
        <v>40</v>
      </c>
      <c r="AB2441" s="2">
        <v>2</v>
      </c>
      <c r="AF2441" s="2">
        <v>38</v>
      </c>
      <c r="AG2441" s="2">
        <v>2</v>
      </c>
      <c r="AH2441" s="3" t="s">
        <v>2063</v>
      </c>
      <c r="AI2441" s="4">
        <v>45110</v>
      </c>
      <c r="AJ2441" s="3" t="s">
        <v>2560</v>
      </c>
      <c r="AK2441" s="3" t="s">
        <v>248</v>
      </c>
    </row>
    <row r="2442" spans="1:37" hidden="1" x14ac:dyDescent="0.25">
      <c r="A2442" t="str">
        <f t="shared" si="38"/>
        <v>2023_Vic_Dooen_Chickpea_DetailedTOS2VarietyDrummondWaterTrtIrrigated</v>
      </c>
      <c r="B2442" s="2">
        <v>2023025</v>
      </c>
      <c r="C2442" s="3" t="s">
        <v>2453</v>
      </c>
      <c r="D2442" s="3" t="s">
        <v>248</v>
      </c>
      <c r="F2442" s="3" t="s">
        <v>4182</v>
      </c>
      <c r="G2442" s="3" t="s">
        <v>39</v>
      </c>
      <c r="H2442" s="3" t="s">
        <v>253</v>
      </c>
      <c r="I2442" s="2">
        <v>107</v>
      </c>
      <c r="J2442" s="2">
        <v>55</v>
      </c>
      <c r="K2442" s="2">
        <v>4</v>
      </c>
      <c r="O2442" s="2">
        <v>7</v>
      </c>
      <c r="P2442" s="2">
        <v>14</v>
      </c>
      <c r="U2442" s="2">
        <v>3</v>
      </c>
      <c r="V2442" s="2">
        <v>34</v>
      </c>
      <c r="W2442" s="2">
        <v>3</v>
      </c>
      <c r="X2442" s="2">
        <v>27</v>
      </c>
      <c r="AA2442" s="3" t="s">
        <v>57</v>
      </c>
      <c r="AB2442" s="2">
        <v>1</v>
      </c>
      <c r="AF2442" s="2">
        <v>38</v>
      </c>
      <c r="AG2442" s="2">
        <v>2</v>
      </c>
      <c r="AH2442" s="3" t="s">
        <v>2063</v>
      </c>
      <c r="AI2442" s="4">
        <v>45110</v>
      </c>
      <c r="AJ2442" s="3" t="s">
        <v>2561</v>
      </c>
      <c r="AK2442" s="3" t="s">
        <v>248</v>
      </c>
    </row>
    <row r="2443" spans="1:37" hidden="1" x14ac:dyDescent="0.25">
      <c r="A2443" t="str">
        <f t="shared" si="38"/>
        <v>2023_Vic_Dooen_Chickpea_DetailedTOS2VarietyStrikerWaterTrtIrrigated</v>
      </c>
      <c r="B2443" s="2">
        <v>2023025</v>
      </c>
      <c r="C2443" s="3" t="s">
        <v>2453</v>
      </c>
      <c r="D2443" s="3" t="s">
        <v>248</v>
      </c>
      <c r="F2443" s="3" t="s">
        <v>4179</v>
      </c>
      <c r="G2443" s="3" t="s">
        <v>43</v>
      </c>
      <c r="H2443" s="3" t="s">
        <v>253</v>
      </c>
      <c r="I2443" s="2">
        <v>108</v>
      </c>
      <c r="J2443" s="2">
        <v>56</v>
      </c>
      <c r="K2443" s="2">
        <v>4</v>
      </c>
      <c r="O2443" s="2">
        <v>7</v>
      </c>
      <c r="P2443" s="2">
        <v>14</v>
      </c>
      <c r="U2443" s="2">
        <v>4</v>
      </c>
      <c r="V2443" s="2">
        <v>34</v>
      </c>
      <c r="W2443" s="2">
        <v>4</v>
      </c>
      <c r="X2443" s="2">
        <v>27</v>
      </c>
      <c r="AA2443" s="3" t="s">
        <v>57</v>
      </c>
      <c r="AB2443" s="2">
        <v>4</v>
      </c>
      <c r="AF2443" s="2">
        <v>38</v>
      </c>
      <c r="AG2443" s="2">
        <v>2</v>
      </c>
      <c r="AH2443" s="3" t="s">
        <v>2063</v>
      </c>
      <c r="AI2443" s="4">
        <v>45110</v>
      </c>
      <c r="AJ2443" s="3" t="s">
        <v>2562</v>
      </c>
      <c r="AK2443" s="3" t="s">
        <v>248</v>
      </c>
    </row>
    <row r="2444" spans="1:37" hidden="1" x14ac:dyDescent="0.25">
      <c r="A2444" t="str">
        <f t="shared" si="38"/>
        <v>2023_Vic_Dooen_Chickpea_DetailedTOS2VarietyCBA_CaptainWaterTrtRainFed</v>
      </c>
      <c r="B2444" s="2">
        <v>2023025</v>
      </c>
      <c r="C2444" s="3" t="s">
        <v>2453</v>
      </c>
      <c r="D2444" s="3" t="s">
        <v>248</v>
      </c>
      <c r="F2444" s="3" t="s">
        <v>249</v>
      </c>
      <c r="G2444" s="3" t="s">
        <v>43</v>
      </c>
      <c r="H2444" s="3" t="s">
        <v>250</v>
      </c>
      <c r="I2444" s="2">
        <v>109</v>
      </c>
      <c r="J2444" s="2">
        <v>53</v>
      </c>
      <c r="K2444" s="2">
        <v>4</v>
      </c>
      <c r="O2444" s="2">
        <v>7</v>
      </c>
      <c r="P2444" s="2">
        <v>13</v>
      </c>
      <c r="U2444" s="2">
        <v>1</v>
      </c>
      <c r="V2444" s="2">
        <v>35</v>
      </c>
      <c r="W2444" s="2">
        <v>1</v>
      </c>
      <c r="X2444" s="2">
        <v>28</v>
      </c>
      <c r="Z2444" s="2">
        <v>56</v>
      </c>
      <c r="AA2444" s="3" t="s">
        <v>40</v>
      </c>
      <c r="AB2444" s="2">
        <v>3</v>
      </c>
      <c r="AF2444" s="2">
        <v>38</v>
      </c>
      <c r="AG2444" s="2">
        <v>2</v>
      </c>
      <c r="AH2444" s="3" t="s">
        <v>2063</v>
      </c>
      <c r="AI2444" s="4">
        <v>45110</v>
      </c>
      <c r="AJ2444" s="3" t="s">
        <v>2563</v>
      </c>
      <c r="AK2444" s="3" t="s">
        <v>248</v>
      </c>
    </row>
    <row r="2445" spans="1:37" hidden="1" x14ac:dyDescent="0.25">
      <c r="A2445" t="str">
        <f t="shared" si="38"/>
        <v>2023_Vic_Dooen_Chickpea_DetailedTOS2VarietyHatTrickWaterTrtRainFed</v>
      </c>
      <c r="B2445" s="2">
        <v>2023025</v>
      </c>
      <c r="C2445" s="3" t="s">
        <v>2453</v>
      </c>
      <c r="D2445" s="3" t="s">
        <v>248</v>
      </c>
      <c r="F2445" s="3" t="s">
        <v>4178</v>
      </c>
      <c r="G2445" s="3" t="s">
        <v>39</v>
      </c>
      <c r="H2445" s="3" t="s">
        <v>250</v>
      </c>
      <c r="I2445" s="2">
        <v>110</v>
      </c>
      <c r="J2445" s="2">
        <v>54</v>
      </c>
      <c r="K2445" s="2">
        <v>4</v>
      </c>
      <c r="O2445" s="2">
        <v>7</v>
      </c>
      <c r="P2445" s="2">
        <v>13</v>
      </c>
      <c r="U2445" s="2">
        <v>2</v>
      </c>
      <c r="V2445" s="2">
        <v>35</v>
      </c>
      <c r="W2445" s="2">
        <v>2</v>
      </c>
      <c r="X2445" s="2">
        <v>28</v>
      </c>
      <c r="Z2445" s="2">
        <v>55</v>
      </c>
      <c r="AA2445" s="3" t="s">
        <v>40</v>
      </c>
      <c r="AB2445" s="2">
        <v>2</v>
      </c>
      <c r="AF2445" s="2">
        <v>38</v>
      </c>
      <c r="AG2445" s="2">
        <v>2</v>
      </c>
      <c r="AH2445" s="3" t="s">
        <v>2063</v>
      </c>
      <c r="AI2445" s="4">
        <v>45110</v>
      </c>
      <c r="AJ2445" s="3" t="s">
        <v>2564</v>
      </c>
      <c r="AK2445" s="3" t="s">
        <v>248</v>
      </c>
    </row>
    <row r="2446" spans="1:37" hidden="1" x14ac:dyDescent="0.25">
      <c r="A2446" t="str">
        <f t="shared" si="38"/>
        <v>2023_Vic_Dooen_Chickpea_DetailedTOS2VarietyDrummondWaterTrtIrrigated</v>
      </c>
      <c r="B2446" s="2">
        <v>2023025</v>
      </c>
      <c r="C2446" s="3" t="s">
        <v>2453</v>
      </c>
      <c r="D2446" s="3" t="s">
        <v>248</v>
      </c>
      <c r="F2446" s="3" t="s">
        <v>4182</v>
      </c>
      <c r="G2446" s="3" t="s">
        <v>39</v>
      </c>
      <c r="H2446" s="3" t="s">
        <v>250</v>
      </c>
      <c r="I2446" s="2">
        <v>111</v>
      </c>
      <c r="J2446" s="2">
        <v>55</v>
      </c>
      <c r="K2446" s="2">
        <v>4</v>
      </c>
      <c r="O2446" s="2">
        <v>7</v>
      </c>
      <c r="P2446" s="2">
        <v>14</v>
      </c>
      <c r="U2446" s="2">
        <v>3</v>
      </c>
      <c r="V2446" s="2">
        <v>35</v>
      </c>
      <c r="W2446" s="2">
        <v>3</v>
      </c>
      <c r="X2446" s="2">
        <v>28</v>
      </c>
      <c r="Z2446" s="2">
        <v>54</v>
      </c>
      <c r="AA2446" s="3" t="s">
        <v>57</v>
      </c>
      <c r="AB2446" s="2">
        <v>1</v>
      </c>
      <c r="AF2446" s="2">
        <v>38</v>
      </c>
      <c r="AG2446" s="2">
        <v>2</v>
      </c>
      <c r="AH2446" s="3" t="s">
        <v>2063</v>
      </c>
      <c r="AI2446" s="4">
        <v>45110</v>
      </c>
      <c r="AJ2446" s="3" t="s">
        <v>2565</v>
      </c>
      <c r="AK2446" s="3" t="s">
        <v>248</v>
      </c>
    </row>
    <row r="2447" spans="1:37" hidden="1" x14ac:dyDescent="0.25">
      <c r="A2447" t="str">
        <f t="shared" si="38"/>
        <v>2023_Vic_Dooen_Chickpea_DetailedTOS2VarietyStrikerWaterTrtIrrigated</v>
      </c>
      <c r="B2447" s="2">
        <v>2023025</v>
      </c>
      <c r="C2447" s="3" t="s">
        <v>2453</v>
      </c>
      <c r="D2447" s="3" t="s">
        <v>248</v>
      </c>
      <c r="F2447" s="3" t="s">
        <v>4179</v>
      </c>
      <c r="G2447" s="3" t="s">
        <v>43</v>
      </c>
      <c r="H2447" s="3" t="s">
        <v>250</v>
      </c>
      <c r="I2447" s="2">
        <v>112</v>
      </c>
      <c r="J2447" s="2">
        <v>56</v>
      </c>
      <c r="K2447" s="2">
        <v>4</v>
      </c>
      <c r="O2447" s="2">
        <v>7</v>
      </c>
      <c r="P2447" s="2">
        <v>14</v>
      </c>
      <c r="U2447" s="2">
        <v>4</v>
      </c>
      <c r="V2447" s="2">
        <v>35</v>
      </c>
      <c r="W2447" s="2">
        <v>4</v>
      </c>
      <c r="X2447" s="2">
        <v>28</v>
      </c>
      <c r="Z2447" s="2">
        <v>53</v>
      </c>
      <c r="AA2447" s="3" t="s">
        <v>57</v>
      </c>
      <c r="AB2447" s="2">
        <v>4</v>
      </c>
      <c r="AF2447" s="2">
        <v>38</v>
      </c>
      <c r="AG2447" s="2">
        <v>2</v>
      </c>
      <c r="AH2447" s="3" t="s">
        <v>2063</v>
      </c>
      <c r="AI2447" s="4">
        <v>45110</v>
      </c>
      <c r="AJ2447" s="3" t="s">
        <v>2566</v>
      </c>
      <c r="AK2447" s="3" t="s">
        <v>248</v>
      </c>
    </row>
    <row r="2448" spans="1:37" hidden="1" x14ac:dyDescent="0.25">
      <c r="A2448" t="str">
        <f t="shared" si="38"/>
        <v>2023_Vic_Dooen_Chickpea_DetailedTOS1VarietyDrummondWaterTrtRainFed</v>
      </c>
      <c r="B2448" s="2">
        <v>2023025</v>
      </c>
      <c r="C2448" s="3" t="s">
        <v>2453</v>
      </c>
      <c r="D2448" s="3" t="s">
        <v>248</v>
      </c>
      <c r="F2448" s="3" t="s">
        <v>4182</v>
      </c>
      <c r="G2448" s="3" t="s">
        <v>39</v>
      </c>
      <c r="H2448" s="3" t="s">
        <v>253</v>
      </c>
      <c r="I2448" s="2">
        <v>113</v>
      </c>
      <c r="J2448" s="2">
        <v>57</v>
      </c>
      <c r="K2448" s="2">
        <v>4</v>
      </c>
      <c r="O2448" s="2">
        <v>8</v>
      </c>
      <c r="P2448" s="2">
        <v>15</v>
      </c>
      <c r="U2448" s="2">
        <v>1</v>
      </c>
      <c r="V2448" s="2">
        <v>37</v>
      </c>
      <c r="W2448" s="2">
        <v>1</v>
      </c>
      <c r="X2448" s="2">
        <v>29</v>
      </c>
      <c r="AA2448" s="3" t="s">
        <v>40</v>
      </c>
      <c r="AB2448" s="2">
        <v>1</v>
      </c>
      <c r="AF2448" s="2">
        <v>38</v>
      </c>
      <c r="AG2448" s="2">
        <v>1</v>
      </c>
      <c r="AH2448" s="3" t="s">
        <v>2454</v>
      </c>
      <c r="AI2448" s="4">
        <v>45062</v>
      </c>
      <c r="AJ2448" s="3" t="s">
        <v>2567</v>
      </c>
      <c r="AK2448" s="3" t="s">
        <v>248</v>
      </c>
    </row>
    <row r="2449" spans="1:37" hidden="1" x14ac:dyDescent="0.25">
      <c r="A2449" t="str">
        <f t="shared" si="38"/>
        <v>2023_Vic_Dooen_Chickpea_DetailedTOS1VarietyHatTrickWaterTrtRainFed</v>
      </c>
      <c r="B2449" s="2">
        <v>2023025</v>
      </c>
      <c r="C2449" s="3" t="s">
        <v>2453</v>
      </c>
      <c r="D2449" s="3" t="s">
        <v>248</v>
      </c>
      <c r="F2449" s="3" t="s">
        <v>4178</v>
      </c>
      <c r="G2449" s="3" t="s">
        <v>39</v>
      </c>
      <c r="H2449" s="3" t="s">
        <v>253</v>
      </c>
      <c r="I2449" s="2">
        <v>114</v>
      </c>
      <c r="J2449" s="2">
        <v>58</v>
      </c>
      <c r="K2449" s="2">
        <v>4</v>
      </c>
      <c r="O2449" s="2">
        <v>8</v>
      </c>
      <c r="P2449" s="2">
        <v>15</v>
      </c>
      <c r="U2449" s="2">
        <v>2</v>
      </c>
      <c r="V2449" s="2">
        <v>37</v>
      </c>
      <c r="W2449" s="2">
        <v>2</v>
      </c>
      <c r="X2449" s="2">
        <v>29</v>
      </c>
      <c r="AA2449" s="3" t="s">
        <v>40</v>
      </c>
      <c r="AB2449" s="2">
        <v>2</v>
      </c>
      <c r="AF2449" s="2">
        <v>38</v>
      </c>
      <c r="AG2449" s="2">
        <v>1</v>
      </c>
      <c r="AH2449" s="3" t="s">
        <v>2454</v>
      </c>
      <c r="AI2449" s="4">
        <v>45062</v>
      </c>
      <c r="AJ2449" s="3" t="s">
        <v>2568</v>
      </c>
      <c r="AK2449" s="3" t="s">
        <v>248</v>
      </c>
    </row>
    <row r="2450" spans="1:37" hidden="1" x14ac:dyDescent="0.25">
      <c r="A2450" t="str">
        <f t="shared" si="38"/>
        <v>2023_Vic_Dooen_Chickpea_DetailedTOS1VarietyStrikerWaterTrtIrrigated</v>
      </c>
      <c r="B2450" s="2">
        <v>2023025</v>
      </c>
      <c r="C2450" s="3" t="s">
        <v>2453</v>
      </c>
      <c r="D2450" s="3" t="s">
        <v>248</v>
      </c>
      <c r="F2450" s="3" t="s">
        <v>4179</v>
      </c>
      <c r="G2450" s="3" t="s">
        <v>43</v>
      </c>
      <c r="H2450" s="3" t="s">
        <v>253</v>
      </c>
      <c r="I2450" s="2">
        <v>115</v>
      </c>
      <c r="J2450" s="2">
        <v>59</v>
      </c>
      <c r="K2450" s="2">
        <v>4</v>
      </c>
      <c r="O2450" s="2">
        <v>8</v>
      </c>
      <c r="P2450" s="2">
        <v>16</v>
      </c>
      <c r="U2450" s="2">
        <v>3</v>
      </c>
      <c r="V2450" s="2">
        <v>37</v>
      </c>
      <c r="W2450" s="2">
        <v>3</v>
      </c>
      <c r="X2450" s="2">
        <v>29</v>
      </c>
      <c r="AA2450" s="3" t="s">
        <v>57</v>
      </c>
      <c r="AB2450" s="2">
        <v>4</v>
      </c>
      <c r="AF2450" s="2">
        <v>38</v>
      </c>
      <c r="AG2450" s="2">
        <v>1</v>
      </c>
      <c r="AH2450" s="3" t="s">
        <v>2454</v>
      </c>
      <c r="AI2450" s="4">
        <v>45062</v>
      </c>
      <c r="AJ2450" s="3" t="s">
        <v>2569</v>
      </c>
      <c r="AK2450" s="3" t="s">
        <v>248</v>
      </c>
    </row>
    <row r="2451" spans="1:37" hidden="1" x14ac:dyDescent="0.25">
      <c r="A2451" t="str">
        <f t="shared" si="38"/>
        <v>2023_Vic_Dooen_Chickpea_DetailedTOS1VarietyCBA_CaptainWaterTrtIrrigated</v>
      </c>
      <c r="B2451" s="2">
        <v>2023025</v>
      </c>
      <c r="C2451" s="3" t="s">
        <v>2453</v>
      </c>
      <c r="D2451" s="3" t="s">
        <v>248</v>
      </c>
      <c r="F2451" s="3" t="s">
        <v>249</v>
      </c>
      <c r="G2451" s="3" t="s">
        <v>43</v>
      </c>
      <c r="H2451" s="3" t="s">
        <v>253</v>
      </c>
      <c r="I2451" s="2">
        <v>116</v>
      </c>
      <c r="J2451" s="2">
        <v>60</v>
      </c>
      <c r="K2451" s="2">
        <v>4</v>
      </c>
      <c r="O2451" s="2">
        <v>8</v>
      </c>
      <c r="P2451" s="2">
        <v>16</v>
      </c>
      <c r="U2451" s="2">
        <v>4</v>
      </c>
      <c r="V2451" s="2">
        <v>37</v>
      </c>
      <c r="W2451" s="2">
        <v>4</v>
      </c>
      <c r="X2451" s="2">
        <v>29</v>
      </c>
      <c r="AA2451" s="3" t="s">
        <v>57</v>
      </c>
      <c r="AB2451" s="2">
        <v>3</v>
      </c>
      <c r="AF2451" s="2">
        <v>38</v>
      </c>
      <c r="AG2451" s="2">
        <v>1</v>
      </c>
      <c r="AH2451" s="3" t="s">
        <v>2454</v>
      </c>
      <c r="AI2451" s="4">
        <v>45062</v>
      </c>
      <c r="AJ2451" s="3" t="s">
        <v>2570</v>
      </c>
      <c r="AK2451" s="3" t="s">
        <v>248</v>
      </c>
    </row>
    <row r="2452" spans="1:37" hidden="1" x14ac:dyDescent="0.25">
      <c r="A2452" t="str">
        <f t="shared" si="38"/>
        <v>2023_Vic_Dooen_Chickpea_DetailedTOS1VarietyDrummondWaterTrtRainFed</v>
      </c>
      <c r="B2452" s="2">
        <v>2023025</v>
      </c>
      <c r="C2452" s="3" t="s">
        <v>2453</v>
      </c>
      <c r="D2452" s="3" t="s">
        <v>248</v>
      </c>
      <c r="F2452" s="3" t="s">
        <v>4182</v>
      </c>
      <c r="G2452" s="3" t="s">
        <v>39</v>
      </c>
      <c r="H2452" s="3" t="s">
        <v>250</v>
      </c>
      <c r="I2452" s="2">
        <v>117</v>
      </c>
      <c r="J2452" s="2">
        <v>57</v>
      </c>
      <c r="K2452" s="2">
        <v>4</v>
      </c>
      <c r="O2452" s="2">
        <v>8</v>
      </c>
      <c r="P2452" s="2">
        <v>15</v>
      </c>
      <c r="U2452" s="2">
        <v>1</v>
      </c>
      <c r="V2452" s="2">
        <v>38</v>
      </c>
      <c r="W2452" s="2">
        <v>1</v>
      </c>
      <c r="X2452" s="2">
        <v>30</v>
      </c>
      <c r="Z2452" s="2">
        <v>57</v>
      </c>
      <c r="AA2452" s="3" t="s">
        <v>40</v>
      </c>
      <c r="AB2452" s="2">
        <v>1</v>
      </c>
      <c r="AF2452" s="2">
        <v>38</v>
      </c>
      <c r="AG2452" s="2">
        <v>1</v>
      </c>
      <c r="AH2452" s="3" t="s">
        <v>2454</v>
      </c>
      <c r="AI2452" s="4">
        <v>45062</v>
      </c>
      <c r="AJ2452" s="3" t="s">
        <v>2571</v>
      </c>
      <c r="AK2452" s="3" t="s">
        <v>248</v>
      </c>
    </row>
    <row r="2453" spans="1:37" hidden="1" x14ac:dyDescent="0.25">
      <c r="A2453" t="str">
        <f t="shared" si="38"/>
        <v>2023_Vic_Dooen_Chickpea_DetailedTOS1VarietyHatTrickWaterTrtRainFed</v>
      </c>
      <c r="B2453" s="2">
        <v>2023025</v>
      </c>
      <c r="C2453" s="3" t="s">
        <v>2453</v>
      </c>
      <c r="D2453" s="3" t="s">
        <v>248</v>
      </c>
      <c r="F2453" s="3" t="s">
        <v>4178</v>
      </c>
      <c r="G2453" s="3" t="s">
        <v>39</v>
      </c>
      <c r="H2453" s="3" t="s">
        <v>250</v>
      </c>
      <c r="I2453" s="2">
        <v>118</v>
      </c>
      <c r="J2453" s="2">
        <v>58</v>
      </c>
      <c r="K2453" s="2">
        <v>4</v>
      </c>
      <c r="O2453" s="2">
        <v>8</v>
      </c>
      <c r="P2453" s="2">
        <v>15</v>
      </c>
      <c r="U2453" s="2">
        <v>2</v>
      </c>
      <c r="V2453" s="2">
        <v>38</v>
      </c>
      <c r="W2453" s="2">
        <v>2</v>
      </c>
      <c r="X2453" s="2">
        <v>30</v>
      </c>
      <c r="Z2453" s="2">
        <v>58</v>
      </c>
      <c r="AA2453" s="3" t="s">
        <v>40</v>
      </c>
      <c r="AB2453" s="2">
        <v>2</v>
      </c>
      <c r="AF2453" s="2">
        <v>38</v>
      </c>
      <c r="AG2453" s="2">
        <v>1</v>
      </c>
      <c r="AH2453" s="3" t="s">
        <v>2454</v>
      </c>
      <c r="AI2453" s="4">
        <v>45062</v>
      </c>
      <c r="AJ2453" s="3" t="s">
        <v>2572</v>
      </c>
      <c r="AK2453" s="3" t="s">
        <v>248</v>
      </c>
    </row>
    <row r="2454" spans="1:37" hidden="1" x14ac:dyDescent="0.25">
      <c r="A2454" t="str">
        <f t="shared" si="38"/>
        <v>2023_Vic_Dooen_Chickpea_DetailedTOS1VarietyStrikerWaterTrtIrrigated</v>
      </c>
      <c r="B2454" s="2">
        <v>2023025</v>
      </c>
      <c r="C2454" s="3" t="s">
        <v>2453</v>
      </c>
      <c r="D2454" s="3" t="s">
        <v>248</v>
      </c>
      <c r="F2454" s="3" t="s">
        <v>4179</v>
      </c>
      <c r="G2454" s="3" t="s">
        <v>43</v>
      </c>
      <c r="H2454" s="3" t="s">
        <v>250</v>
      </c>
      <c r="I2454" s="2">
        <v>119</v>
      </c>
      <c r="J2454" s="2">
        <v>59</v>
      </c>
      <c r="K2454" s="2">
        <v>4</v>
      </c>
      <c r="O2454" s="2">
        <v>8</v>
      </c>
      <c r="P2454" s="2">
        <v>16</v>
      </c>
      <c r="U2454" s="2">
        <v>3</v>
      </c>
      <c r="V2454" s="2">
        <v>38</v>
      </c>
      <c r="W2454" s="2">
        <v>3</v>
      </c>
      <c r="X2454" s="2">
        <v>30</v>
      </c>
      <c r="Z2454" s="2">
        <v>59</v>
      </c>
      <c r="AA2454" s="3" t="s">
        <v>57</v>
      </c>
      <c r="AB2454" s="2">
        <v>4</v>
      </c>
      <c r="AF2454" s="2">
        <v>38</v>
      </c>
      <c r="AG2454" s="2">
        <v>1</v>
      </c>
      <c r="AH2454" s="3" t="s">
        <v>2454</v>
      </c>
      <c r="AI2454" s="4">
        <v>45062</v>
      </c>
      <c r="AJ2454" s="3" t="s">
        <v>2573</v>
      </c>
      <c r="AK2454" s="3" t="s">
        <v>248</v>
      </c>
    </row>
    <row r="2455" spans="1:37" hidden="1" x14ac:dyDescent="0.25">
      <c r="A2455" t="str">
        <f t="shared" si="38"/>
        <v>2023_Vic_Dooen_Chickpea_DetailedTOS1VarietyCBA_CaptainWaterTrtIrrigated</v>
      </c>
      <c r="B2455" s="2">
        <v>2023025</v>
      </c>
      <c r="C2455" s="3" t="s">
        <v>2453</v>
      </c>
      <c r="D2455" s="3" t="s">
        <v>248</v>
      </c>
      <c r="F2455" s="3" t="s">
        <v>249</v>
      </c>
      <c r="G2455" s="3" t="s">
        <v>43</v>
      </c>
      <c r="H2455" s="3" t="s">
        <v>250</v>
      </c>
      <c r="I2455" s="2">
        <v>120</v>
      </c>
      <c r="J2455" s="2">
        <v>60</v>
      </c>
      <c r="K2455" s="2">
        <v>4</v>
      </c>
      <c r="O2455" s="2">
        <v>8</v>
      </c>
      <c r="P2455" s="2">
        <v>16</v>
      </c>
      <c r="U2455" s="2">
        <v>4</v>
      </c>
      <c r="V2455" s="2">
        <v>38</v>
      </c>
      <c r="W2455" s="2">
        <v>4</v>
      </c>
      <c r="X2455" s="2">
        <v>30</v>
      </c>
      <c r="Z2455" s="2">
        <v>60</v>
      </c>
      <c r="AA2455" s="3" t="s">
        <v>57</v>
      </c>
      <c r="AB2455" s="2">
        <v>3</v>
      </c>
      <c r="AF2455" s="2">
        <v>38</v>
      </c>
      <c r="AG2455" s="2">
        <v>1</v>
      </c>
      <c r="AH2455" s="3" t="s">
        <v>2454</v>
      </c>
      <c r="AI2455" s="4">
        <v>45062</v>
      </c>
      <c r="AJ2455" s="3" t="s">
        <v>2574</v>
      </c>
      <c r="AK2455" s="3" t="s">
        <v>248</v>
      </c>
    </row>
    <row r="2456" spans="1:37" hidden="1" x14ac:dyDescent="0.25">
      <c r="A2456" t="str">
        <f t="shared" si="38"/>
        <v>2023_Vic_Dooen_Chickpea_DetailedTOS1VarietyCBA_CaptainWaterTrtRainFed</v>
      </c>
      <c r="B2456" s="2">
        <v>2023025</v>
      </c>
      <c r="C2456" s="3" t="s">
        <v>2453</v>
      </c>
      <c r="D2456" s="3" t="s">
        <v>248</v>
      </c>
      <c r="F2456" s="3" t="s">
        <v>249</v>
      </c>
      <c r="G2456" s="3" t="s">
        <v>43</v>
      </c>
      <c r="H2456" s="3" t="s">
        <v>253</v>
      </c>
      <c r="I2456" s="2">
        <v>121</v>
      </c>
      <c r="J2456" s="2">
        <v>61</v>
      </c>
      <c r="K2456" s="2">
        <v>4</v>
      </c>
      <c r="O2456" s="2">
        <v>8</v>
      </c>
      <c r="P2456" s="2">
        <v>15</v>
      </c>
      <c r="U2456" s="2">
        <v>1</v>
      </c>
      <c r="V2456" s="2">
        <v>39</v>
      </c>
      <c r="W2456" s="2">
        <v>1</v>
      </c>
      <c r="X2456" s="2">
        <v>31</v>
      </c>
      <c r="AA2456" s="3" t="s">
        <v>40</v>
      </c>
      <c r="AB2456" s="2">
        <v>3</v>
      </c>
      <c r="AF2456" s="2">
        <v>38</v>
      </c>
      <c r="AG2456" s="2">
        <v>1</v>
      </c>
      <c r="AH2456" s="3" t="s">
        <v>2454</v>
      </c>
      <c r="AI2456" s="4">
        <v>45062</v>
      </c>
      <c r="AJ2456" s="3" t="s">
        <v>2575</v>
      </c>
      <c r="AK2456" s="3" t="s">
        <v>248</v>
      </c>
    </row>
    <row r="2457" spans="1:37" hidden="1" x14ac:dyDescent="0.25">
      <c r="A2457" t="str">
        <f t="shared" si="38"/>
        <v>2023_Vic_Dooen_Chickpea_DetailedTOS1VarietyStrikerWaterTrtRainFed</v>
      </c>
      <c r="B2457" s="2">
        <v>2023025</v>
      </c>
      <c r="C2457" s="3" t="s">
        <v>2453</v>
      </c>
      <c r="D2457" s="3" t="s">
        <v>248</v>
      </c>
      <c r="F2457" s="3" t="s">
        <v>4179</v>
      </c>
      <c r="G2457" s="3" t="s">
        <v>43</v>
      </c>
      <c r="H2457" s="3" t="s">
        <v>253</v>
      </c>
      <c r="I2457" s="2">
        <v>122</v>
      </c>
      <c r="J2457" s="2">
        <v>62</v>
      </c>
      <c r="K2457" s="2">
        <v>4</v>
      </c>
      <c r="O2457" s="2">
        <v>8</v>
      </c>
      <c r="P2457" s="2">
        <v>15</v>
      </c>
      <c r="U2457" s="2">
        <v>2</v>
      </c>
      <c r="V2457" s="2">
        <v>39</v>
      </c>
      <c r="W2457" s="2">
        <v>2</v>
      </c>
      <c r="X2457" s="2">
        <v>31</v>
      </c>
      <c r="AA2457" s="3" t="s">
        <v>40</v>
      </c>
      <c r="AB2457" s="2">
        <v>4</v>
      </c>
      <c r="AF2457" s="2">
        <v>38</v>
      </c>
      <c r="AG2457" s="2">
        <v>1</v>
      </c>
      <c r="AH2457" s="3" t="s">
        <v>2454</v>
      </c>
      <c r="AI2457" s="4">
        <v>45062</v>
      </c>
      <c r="AJ2457" s="3" t="s">
        <v>2576</v>
      </c>
      <c r="AK2457" s="3" t="s">
        <v>248</v>
      </c>
    </row>
    <row r="2458" spans="1:37" hidden="1" x14ac:dyDescent="0.25">
      <c r="A2458" t="str">
        <f t="shared" si="38"/>
        <v>2023_Vic_Dooen_Chickpea_DetailedTOS1VarietyDrummondWaterTrtIrrigated</v>
      </c>
      <c r="B2458" s="2">
        <v>2023025</v>
      </c>
      <c r="C2458" s="3" t="s">
        <v>2453</v>
      </c>
      <c r="D2458" s="3" t="s">
        <v>248</v>
      </c>
      <c r="F2458" s="3" t="s">
        <v>4182</v>
      </c>
      <c r="G2458" s="3" t="s">
        <v>39</v>
      </c>
      <c r="H2458" s="3" t="s">
        <v>253</v>
      </c>
      <c r="I2458" s="2">
        <v>123</v>
      </c>
      <c r="J2458" s="2">
        <v>63</v>
      </c>
      <c r="K2458" s="2">
        <v>4</v>
      </c>
      <c r="O2458" s="2">
        <v>8</v>
      </c>
      <c r="P2458" s="2">
        <v>16</v>
      </c>
      <c r="U2458" s="2">
        <v>3</v>
      </c>
      <c r="V2458" s="2">
        <v>39</v>
      </c>
      <c r="W2458" s="2">
        <v>3</v>
      </c>
      <c r="X2458" s="2">
        <v>31</v>
      </c>
      <c r="AA2458" s="3" t="s">
        <v>57</v>
      </c>
      <c r="AB2458" s="2">
        <v>1</v>
      </c>
      <c r="AF2458" s="2">
        <v>38</v>
      </c>
      <c r="AG2458" s="2">
        <v>1</v>
      </c>
      <c r="AH2458" s="3" t="s">
        <v>2454</v>
      </c>
      <c r="AI2458" s="4">
        <v>45062</v>
      </c>
      <c r="AJ2458" s="3" t="s">
        <v>2577</v>
      </c>
      <c r="AK2458" s="3" t="s">
        <v>248</v>
      </c>
    </row>
    <row r="2459" spans="1:37" hidden="1" x14ac:dyDescent="0.25">
      <c r="A2459" t="str">
        <f t="shared" si="38"/>
        <v>2023_Vic_Dooen_Chickpea_DetailedTOS1VarietyHatTrickWaterTrtIrrigated</v>
      </c>
      <c r="B2459" s="2">
        <v>2023025</v>
      </c>
      <c r="C2459" s="3" t="s">
        <v>2453</v>
      </c>
      <c r="D2459" s="3" t="s">
        <v>248</v>
      </c>
      <c r="F2459" s="3" t="s">
        <v>4178</v>
      </c>
      <c r="G2459" s="3" t="s">
        <v>39</v>
      </c>
      <c r="H2459" s="3" t="s">
        <v>253</v>
      </c>
      <c r="I2459" s="2">
        <v>124</v>
      </c>
      <c r="J2459" s="2">
        <v>64</v>
      </c>
      <c r="K2459" s="2">
        <v>4</v>
      </c>
      <c r="O2459" s="2">
        <v>8</v>
      </c>
      <c r="P2459" s="2">
        <v>16</v>
      </c>
      <c r="U2459" s="2">
        <v>4</v>
      </c>
      <c r="V2459" s="2">
        <v>39</v>
      </c>
      <c r="W2459" s="2">
        <v>4</v>
      </c>
      <c r="X2459" s="2">
        <v>31</v>
      </c>
      <c r="AA2459" s="3" t="s">
        <v>57</v>
      </c>
      <c r="AB2459" s="2">
        <v>2</v>
      </c>
      <c r="AF2459" s="2">
        <v>38</v>
      </c>
      <c r="AG2459" s="2">
        <v>1</v>
      </c>
      <c r="AH2459" s="3" t="s">
        <v>2454</v>
      </c>
      <c r="AI2459" s="4">
        <v>45062</v>
      </c>
      <c r="AJ2459" s="3" t="s">
        <v>2578</v>
      </c>
      <c r="AK2459" s="3" t="s">
        <v>248</v>
      </c>
    </row>
    <row r="2460" spans="1:37" hidden="1" x14ac:dyDescent="0.25">
      <c r="A2460" t="str">
        <f t="shared" si="38"/>
        <v>2023_Vic_Dooen_Chickpea_DetailedTOS1VarietyCBA_CaptainWaterTrtRainFed</v>
      </c>
      <c r="B2460" s="2">
        <v>2023025</v>
      </c>
      <c r="C2460" s="3" t="s">
        <v>2453</v>
      </c>
      <c r="D2460" s="3" t="s">
        <v>248</v>
      </c>
      <c r="F2460" s="3" t="s">
        <v>249</v>
      </c>
      <c r="G2460" s="3" t="s">
        <v>43</v>
      </c>
      <c r="H2460" s="3" t="s">
        <v>250</v>
      </c>
      <c r="I2460" s="2">
        <v>125</v>
      </c>
      <c r="J2460" s="2">
        <v>61</v>
      </c>
      <c r="K2460" s="2">
        <v>4</v>
      </c>
      <c r="O2460" s="2">
        <v>8</v>
      </c>
      <c r="P2460" s="2">
        <v>15</v>
      </c>
      <c r="U2460" s="2">
        <v>1</v>
      </c>
      <c r="V2460" s="2">
        <v>40</v>
      </c>
      <c r="W2460" s="2">
        <v>1</v>
      </c>
      <c r="X2460" s="2">
        <v>32</v>
      </c>
      <c r="Z2460" s="2">
        <v>64</v>
      </c>
      <c r="AA2460" s="3" t="s">
        <v>40</v>
      </c>
      <c r="AB2460" s="2">
        <v>3</v>
      </c>
      <c r="AF2460" s="2">
        <v>38</v>
      </c>
      <c r="AG2460" s="2">
        <v>1</v>
      </c>
      <c r="AH2460" s="3" t="s">
        <v>2454</v>
      </c>
      <c r="AI2460" s="4">
        <v>45062</v>
      </c>
      <c r="AJ2460" s="3" t="s">
        <v>2579</v>
      </c>
      <c r="AK2460" s="3" t="s">
        <v>248</v>
      </c>
    </row>
    <row r="2461" spans="1:37" hidden="1" x14ac:dyDescent="0.25">
      <c r="A2461" t="str">
        <f t="shared" si="38"/>
        <v>2023_Vic_Dooen_Chickpea_DetailedTOS1VarietyStrikerWaterTrtRainFed</v>
      </c>
      <c r="B2461" s="2">
        <v>2023025</v>
      </c>
      <c r="C2461" s="3" t="s">
        <v>2453</v>
      </c>
      <c r="D2461" s="3" t="s">
        <v>248</v>
      </c>
      <c r="F2461" s="3" t="s">
        <v>4179</v>
      </c>
      <c r="G2461" s="3" t="s">
        <v>43</v>
      </c>
      <c r="H2461" s="3" t="s">
        <v>250</v>
      </c>
      <c r="I2461" s="2">
        <v>126</v>
      </c>
      <c r="J2461" s="2">
        <v>62</v>
      </c>
      <c r="K2461" s="2">
        <v>4</v>
      </c>
      <c r="O2461" s="2">
        <v>8</v>
      </c>
      <c r="P2461" s="2">
        <v>15</v>
      </c>
      <c r="U2461" s="2">
        <v>2</v>
      </c>
      <c r="V2461" s="2">
        <v>40</v>
      </c>
      <c r="W2461" s="2">
        <v>2</v>
      </c>
      <c r="X2461" s="2">
        <v>32</v>
      </c>
      <c r="Z2461" s="2">
        <v>63</v>
      </c>
      <c r="AA2461" s="3" t="s">
        <v>40</v>
      </c>
      <c r="AB2461" s="2">
        <v>4</v>
      </c>
      <c r="AF2461" s="2">
        <v>38</v>
      </c>
      <c r="AG2461" s="2">
        <v>1</v>
      </c>
      <c r="AH2461" s="3" t="s">
        <v>2454</v>
      </c>
      <c r="AI2461" s="4">
        <v>45062</v>
      </c>
      <c r="AJ2461" s="3" t="s">
        <v>2580</v>
      </c>
      <c r="AK2461" s="3" t="s">
        <v>248</v>
      </c>
    </row>
    <row r="2462" spans="1:37" hidden="1" x14ac:dyDescent="0.25">
      <c r="A2462" t="str">
        <f t="shared" si="38"/>
        <v>2023_Vic_Dooen_Chickpea_DetailedTOS1VarietyDrummondWaterTrtIrrigated</v>
      </c>
      <c r="B2462" s="2">
        <v>2023025</v>
      </c>
      <c r="C2462" s="3" t="s">
        <v>2453</v>
      </c>
      <c r="D2462" s="3" t="s">
        <v>248</v>
      </c>
      <c r="F2462" s="3" t="s">
        <v>4182</v>
      </c>
      <c r="G2462" s="3" t="s">
        <v>39</v>
      </c>
      <c r="H2462" s="3" t="s">
        <v>250</v>
      </c>
      <c r="I2462" s="2">
        <v>127</v>
      </c>
      <c r="J2462" s="2">
        <v>63</v>
      </c>
      <c r="K2462" s="2">
        <v>4</v>
      </c>
      <c r="O2462" s="2">
        <v>8</v>
      </c>
      <c r="P2462" s="2">
        <v>16</v>
      </c>
      <c r="U2462" s="2">
        <v>3</v>
      </c>
      <c r="V2462" s="2">
        <v>40</v>
      </c>
      <c r="W2462" s="2">
        <v>3</v>
      </c>
      <c r="X2462" s="2">
        <v>32</v>
      </c>
      <c r="Z2462" s="2">
        <v>62</v>
      </c>
      <c r="AA2462" s="3" t="s">
        <v>57</v>
      </c>
      <c r="AB2462" s="2">
        <v>1</v>
      </c>
      <c r="AF2462" s="2">
        <v>38</v>
      </c>
      <c r="AG2462" s="2">
        <v>1</v>
      </c>
      <c r="AH2462" s="3" t="s">
        <v>2454</v>
      </c>
      <c r="AI2462" s="4">
        <v>45062</v>
      </c>
      <c r="AJ2462" s="3" t="s">
        <v>2581</v>
      </c>
      <c r="AK2462" s="3" t="s">
        <v>248</v>
      </c>
    </row>
    <row r="2463" spans="1:37" hidden="1" x14ac:dyDescent="0.25">
      <c r="A2463" t="str">
        <f t="shared" si="38"/>
        <v>2023_Vic_Dooen_Chickpea_DetailedTOS1VarietyHatTrickWaterTrtIrrigated</v>
      </c>
      <c r="B2463" s="2">
        <v>2023025</v>
      </c>
      <c r="C2463" s="3" t="s">
        <v>2453</v>
      </c>
      <c r="D2463" s="3" t="s">
        <v>248</v>
      </c>
      <c r="F2463" s="3" t="s">
        <v>4178</v>
      </c>
      <c r="G2463" s="3" t="s">
        <v>39</v>
      </c>
      <c r="H2463" s="3" t="s">
        <v>250</v>
      </c>
      <c r="I2463" s="2">
        <v>128</v>
      </c>
      <c r="J2463" s="2">
        <v>64</v>
      </c>
      <c r="K2463" s="2">
        <v>4</v>
      </c>
      <c r="O2463" s="2">
        <v>8</v>
      </c>
      <c r="P2463" s="2">
        <v>16</v>
      </c>
      <c r="U2463" s="2">
        <v>4</v>
      </c>
      <c r="V2463" s="2">
        <v>40</v>
      </c>
      <c r="W2463" s="2">
        <v>4</v>
      </c>
      <c r="X2463" s="2">
        <v>32</v>
      </c>
      <c r="Z2463" s="2">
        <v>61</v>
      </c>
      <c r="AA2463" s="3" t="s">
        <v>57</v>
      </c>
      <c r="AB2463" s="2">
        <v>2</v>
      </c>
      <c r="AF2463" s="2">
        <v>38</v>
      </c>
      <c r="AG2463" s="2">
        <v>1</v>
      </c>
      <c r="AH2463" s="3" t="s">
        <v>2454</v>
      </c>
      <c r="AI2463" s="4">
        <v>45062</v>
      </c>
      <c r="AJ2463" s="3" t="s">
        <v>2582</v>
      </c>
      <c r="AK2463" s="3" t="s">
        <v>248</v>
      </c>
    </row>
    <row r="2464" spans="1:37" hidden="1" x14ac:dyDescent="0.25">
      <c r="A2464" t="str">
        <f t="shared" si="38"/>
        <v>2023_Vic_Dooen_Lentil_DetailedTOS1VarietyBoltWaterTrtIrrigated</v>
      </c>
      <c r="B2464" s="2">
        <v>2023026</v>
      </c>
      <c r="C2464" s="3" t="s">
        <v>2583</v>
      </c>
      <c r="D2464" s="3" t="s">
        <v>38</v>
      </c>
      <c r="F2464" s="3" t="s">
        <v>4187</v>
      </c>
      <c r="G2464" s="3" t="s">
        <v>39</v>
      </c>
      <c r="H2464" s="3" t="s">
        <v>253</v>
      </c>
      <c r="I2464" s="2">
        <v>1</v>
      </c>
      <c r="J2464" s="2">
        <v>1</v>
      </c>
      <c r="K2464" s="2">
        <v>1</v>
      </c>
      <c r="O2464" s="2">
        <v>1</v>
      </c>
      <c r="P2464" s="2">
        <v>1</v>
      </c>
      <c r="U2464" s="2">
        <v>1</v>
      </c>
      <c r="V2464" s="2">
        <v>2</v>
      </c>
      <c r="W2464" s="2">
        <v>1</v>
      </c>
      <c r="X2464" s="2">
        <v>1</v>
      </c>
      <c r="AA2464" s="3" t="s">
        <v>57</v>
      </c>
      <c r="AB2464" s="2">
        <v>1</v>
      </c>
      <c r="AF2464" s="2">
        <v>38</v>
      </c>
      <c r="AG2464" s="2">
        <v>1</v>
      </c>
      <c r="AH2464" s="3" t="s">
        <v>2454</v>
      </c>
      <c r="AI2464" s="4">
        <v>45062</v>
      </c>
      <c r="AJ2464" s="3" t="s">
        <v>2584</v>
      </c>
      <c r="AK2464" s="3" t="s">
        <v>38</v>
      </c>
    </row>
    <row r="2465" spans="1:37" hidden="1" x14ac:dyDescent="0.25">
      <c r="A2465" t="str">
        <f t="shared" si="38"/>
        <v>2023_Vic_Dooen_Lentil_DetailedTOS1VarietyJumbo2WaterTrtIrrigated</v>
      </c>
      <c r="B2465" s="2">
        <v>2023026</v>
      </c>
      <c r="C2465" s="3" t="s">
        <v>2583</v>
      </c>
      <c r="D2465" s="3" t="s">
        <v>38</v>
      </c>
      <c r="F2465" s="3" t="s">
        <v>4176</v>
      </c>
      <c r="G2465" s="3" t="s">
        <v>43</v>
      </c>
      <c r="H2465" s="3" t="s">
        <v>253</v>
      </c>
      <c r="I2465" s="2">
        <v>2</v>
      </c>
      <c r="J2465" s="2">
        <v>2</v>
      </c>
      <c r="K2465" s="2">
        <v>1</v>
      </c>
      <c r="O2465" s="2">
        <v>1</v>
      </c>
      <c r="P2465" s="2">
        <v>1</v>
      </c>
      <c r="U2465" s="2">
        <v>2</v>
      </c>
      <c r="V2465" s="2">
        <v>2</v>
      </c>
      <c r="W2465" s="2">
        <v>2</v>
      </c>
      <c r="X2465" s="2">
        <v>1</v>
      </c>
      <c r="AA2465" s="3" t="s">
        <v>57</v>
      </c>
      <c r="AB2465" s="2">
        <v>3</v>
      </c>
      <c r="AF2465" s="2">
        <v>38</v>
      </c>
      <c r="AG2465" s="2">
        <v>1</v>
      </c>
      <c r="AH2465" s="3" t="s">
        <v>2454</v>
      </c>
      <c r="AI2465" s="4">
        <v>45062</v>
      </c>
      <c r="AJ2465" s="3" t="s">
        <v>2585</v>
      </c>
      <c r="AK2465" s="3" t="s">
        <v>38</v>
      </c>
    </row>
    <row r="2466" spans="1:37" hidden="1" x14ac:dyDescent="0.25">
      <c r="A2466" t="str">
        <f t="shared" si="38"/>
        <v>2023_Vic_Dooen_Lentil_DetailedTOS1VarietyKelpieXTWaterTrtRainFed</v>
      </c>
      <c r="B2466" s="2">
        <v>2023026</v>
      </c>
      <c r="C2466" s="3" t="s">
        <v>2583</v>
      </c>
      <c r="D2466" s="3" t="s">
        <v>38</v>
      </c>
      <c r="F2466" s="3" t="s">
        <v>4188</v>
      </c>
      <c r="G2466" s="3" t="s">
        <v>43</v>
      </c>
      <c r="H2466" s="3" t="s">
        <v>253</v>
      </c>
      <c r="I2466" s="2">
        <v>3</v>
      </c>
      <c r="J2466" s="2">
        <v>3</v>
      </c>
      <c r="K2466" s="2">
        <v>1</v>
      </c>
      <c r="O2466" s="2">
        <v>1</v>
      </c>
      <c r="P2466" s="2">
        <v>2</v>
      </c>
      <c r="U2466" s="2">
        <v>3</v>
      </c>
      <c r="V2466" s="2">
        <v>2</v>
      </c>
      <c r="W2466" s="2">
        <v>3</v>
      </c>
      <c r="X2466" s="2">
        <v>1</v>
      </c>
      <c r="AA2466" s="3" t="s">
        <v>40</v>
      </c>
      <c r="AB2466" s="2">
        <v>4</v>
      </c>
      <c r="AF2466" s="2">
        <v>38</v>
      </c>
      <c r="AG2466" s="2">
        <v>1</v>
      </c>
      <c r="AH2466" s="3" t="s">
        <v>2454</v>
      </c>
      <c r="AI2466" s="4">
        <v>45062</v>
      </c>
      <c r="AJ2466" s="3" t="s">
        <v>2586</v>
      </c>
      <c r="AK2466" s="3" t="s">
        <v>38</v>
      </c>
    </row>
    <row r="2467" spans="1:37" hidden="1" x14ac:dyDescent="0.25">
      <c r="A2467" t="str">
        <f t="shared" si="38"/>
        <v>2023_Vic_Dooen_Lentil_DetailedTOS1VarietyHallmarkXTWaterTrtRainFed</v>
      </c>
      <c r="B2467" s="2">
        <v>2023026</v>
      </c>
      <c r="C2467" s="3" t="s">
        <v>2583</v>
      </c>
      <c r="D2467" s="3" t="s">
        <v>38</v>
      </c>
      <c r="F2467" s="3" t="s">
        <v>4189</v>
      </c>
      <c r="G2467" s="3" t="s">
        <v>39</v>
      </c>
      <c r="H2467" s="3" t="s">
        <v>253</v>
      </c>
      <c r="I2467" s="2">
        <v>4</v>
      </c>
      <c r="J2467" s="2">
        <v>4</v>
      </c>
      <c r="K2467" s="2">
        <v>1</v>
      </c>
      <c r="O2467" s="2">
        <v>1</v>
      </c>
      <c r="P2467" s="2">
        <v>2</v>
      </c>
      <c r="U2467" s="2">
        <v>4</v>
      </c>
      <c r="V2467" s="2">
        <v>2</v>
      </c>
      <c r="W2467" s="2">
        <v>4</v>
      </c>
      <c r="X2467" s="2">
        <v>1</v>
      </c>
      <c r="AA2467" s="3" t="s">
        <v>40</v>
      </c>
      <c r="AB2467" s="2">
        <v>2</v>
      </c>
      <c r="AF2467" s="2">
        <v>38</v>
      </c>
      <c r="AG2467" s="2">
        <v>1</v>
      </c>
      <c r="AH2467" s="3" t="s">
        <v>2454</v>
      </c>
      <c r="AI2467" s="4">
        <v>45062</v>
      </c>
      <c r="AJ2467" s="3" t="s">
        <v>2587</v>
      </c>
      <c r="AK2467" s="3" t="s">
        <v>38</v>
      </c>
    </row>
    <row r="2468" spans="1:37" hidden="1" x14ac:dyDescent="0.25">
      <c r="A2468" t="str">
        <f t="shared" si="38"/>
        <v>2023_Vic_Dooen_Lentil_DetailedTOS1VarietyBoltWaterTrtIrrigated</v>
      </c>
      <c r="B2468" s="2">
        <v>2023026</v>
      </c>
      <c r="C2468" s="3" t="s">
        <v>2583</v>
      </c>
      <c r="D2468" s="3" t="s">
        <v>38</v>
      </c>
      <c r="F2468" s="3" t="s">
        <v>4187</v>
      </c>
      <c r="G2468" s="3" t="s">
        <v>39</v>
      </c>
      <c r="H2468" s="3" t="s">
        <v>250</v>
      </c>
      <c r="I2468" s="2">
        <v>5</v>
      </c>
      <c r="J2468" s="2">
        <v>1</v>
      </c>
      <c r="K2468" s="2">
        <v>1</v>
      </c>
      <c r="O2468" s="2">
        <v>1</v>
      </c>
      <c r="P2468" s="2">
        <v>1</v>
      </c>
      <c r="U2468" s="2">
        <v>1</v>
      </c>
      <c r="V2468" s="2">
        <v>3</v>
      </c>
      <c r="W2468" s="2">
        <v>1</v>
      </c>
      <c r="X2468" s="2">
        <v>2</v>
      </c>
      <c r="Z2468" s="2">
        <v>1</v>
      </c>
      <c r="AA2468" s="3" t="s">
        <v>57</v>
      </c>
      <c r="AB2468" s="2">
        <v>1</v>
      </c>
      <c r="AF2468" s="2">
        <v>38</v>
      </c>
      <c r="AG2468" s="2">
        <v>1</v>
      </c>
      <c r="AH2468" s="3" t="s">
        <v>2454</v>
      </c>
      <c r="AI2468" s="4">
        <v>45062</v>
      </c>
      <c r="AJ2468" s="3" t="s">
        <v>2588</v>
      </c>
      <c r="AK2468" s="3" t="s">
        <v>38</v>
      </c>
    </row>
    <row r="2469" spans="1:37" hidden="1" x14ac:dyDescent="0.25">
      <c r="A2469" t="str">
        <f t="shared" si="38"/>
        <v>2023_Vic_Dooen_Lentil_DetailedTOS1VarietyJumbo2WaterTrtIrrigated</v>
      </c>
      <c r="B2469" s="2">
        <v>2023026</v>
      </c>
      <c r="C2469" s="3" t="s">
        <v>2583</v>
      </c>
      <c r="D2469" s="3" t="s">
        <v>38</v>
      </c>
      <c r="F2469" s="3" t="s">
        <v>4176</v>
      </c>
      <c r="G2469" s="3" t="s">
        <v>43</v>
      </c>
      <c r="H2469" s="3" t="s">
        <v>250</v>
      </c>
      <c r="I2469" s="2">
        <v>6</v>
      </c>
      <c r="J2469" s="2">
        <v>2</v>
      </c>
      <c r="K2469" s="2">
        <v>1</v>
      </c>
      <c r="O2469" s="2">
        <v>1</v>
      </c>
      <c r="P2469" s="2">
        <v>1</v>
      </c>
      <c r="U2469" s="2">
        <v>2</v>
      </c>
      <c r="V2469" s="2">
        <v>3</v>
      </c>
      <c r="W2469" s="2">
        <v>2</v>
      </c>
      <c r="X2469" s="2">
        <v>2</v>
      </c>
      <c r="Z2469" s="2">
        <v>2</v>
      </c>
      <c r="AA2469" s="3" t="s">
        <v>57</v>
      </c>
      <c r="AB2469" s="2">
        <v>3</v>
      </c>
      <c r="AF2469" s="2">
        <v>38</v>
      </c>
      <c r="AG2469" s="2">
        <v>1</v>
      </c>
      <c r="AH2469" s="3" t="s">
        <v>2454</v>
      </c>
      <c r="AI2469" s="4">
        <v>45062</v>
      </c>
      <c r="AJ2469" s="3" t="s">
        <v>2589</v>
      </c>
      <c r="AK2469" s="3" t="s">
        <v>38</v>
      </c>
    </row>
    <row r="2470" spans="1:37" hidden="1" x14ac:dyDescent="0.25">
      <c r="A2470" t="str">
        <f t="shared" si="38"/>
        <v>2023_Vic_Dooen_Lentil_DetailedTOS1VarietyKelpieXTWaterTrtRainFed</v>
      </c>
      <c r="B2470" s="2">
        <v>2023026</v>
      </c>
      <c r="C2470" s="3" t="s">
        <v>2583</v>
      </c>
      <c r="D2470" s="3" t="s">
        <v>38</v>
      </c>
      <c r="F2470" s="3" t="s">
        <v>4188</v>
      </c>
      <c r="G2470" s="3" t="s">
        <v>43</v>
      </c>
      <c r="H2470" s="3" t="s">
        <v>250</v>
      </c>
      <c r="I2470" s="2">
        <v>7</v>
      </c>
      <c r="J2470" s="2">
        <v>3</v>
      </c>
      <c r="K2470" s="2">
        <v>1</v>
      </c>
      <c r="O2470" s="2">
        <v>1</v>
      </c>
      <c r="P2470" s="2">
        <v>2</v>
      </c>
      <c r="U2470" s="2">
        <v>3</v>
      </c>
      <c r="V2470" s="2">
        <v>3</v>
      </c>
      <c r="W2470" s="2">
        <v>3</v>
      </c>
      <c r="X2470" s="2">
        <v>2</v>
      </c>
      <c r="Z2470" s="2">
        <v>3</v>
      </c>
      <c r="AA2470" s="3" t="s">
        <v>40</v>
      </c>
      <c r="AB2470" s="2">
        <v>4</v>
      </c>
      <c r="AF2470" s="2">
        <v>38</v>
      </c>
      <c r="AG2470" s="2">
        <v>1</v>
      </c>
      <c r="AH2470" s="3" t="s">
        <v>2454</v>
      </c>
      <c r="AI2470" s="4">
        <v>45062</v>
      </c>
      <c r="AJ2470" s="3" t="s">
        <v>2590</v>
      </c>
      <c r="AK2470" s="3" t="s">
        <v>38</v>
      </c>
    </row>
    <row r="2471" spans="1:37" hidden="1" x14ac:dyDescent="0.25">
      <c r="A2471" t="str">
        <f t="shared" si="38"/>
        <v>2023_Vic_Dooen_Lentil_DetailedTOS1VarietyHallmarkXTWaterTrtRainFed</v>
      </c>
      <c r="B2471" s="2">
        <v>2023026</v>
      </c>
      <c r="C2471" s="3" t="s">
        <v>2583</v>
      </c>
      <c r="D2471" s="3" t="s">
        <v>38</v>
      </c>
      <c r="F2471" s="3" t="s">
        <v>4189</v>
      </c>
      <c r="G2471" s="3" t="s">
        <v>39</v>
      </c>
      <c r="H2471" s="3" t="s">
        <v>250</v>
      </c>
      <c r="I2471" s="2">
        <v>8</v>
      </c>
      <c r="J2471" s="2">
        <v>4</v>
      </c>
      <c r="K2471" s="2">
        <v>1</v>
      </c>
      <c r="O2471" s="2">
        <v>1</v>
      </c>
      <c r="P2471" s="2">
        <v>2</v>
      </c>
      <c r="U2471" s="2">
        <v>4</v>
      </c>
      <c r="V2471" s="2">
        <v>3</v>
      </c>
      <c r="W2471" s="2">
        <v>4</v>
      </c>
      <c r="X2471" s="2">
        <v>2</v>
      </c>
      <c r="Z2471" s="2">
        <v>4</v>
      </c>
      <c r="AA2471" s="3" t="s">
        <v>40</v>
      </c>
      <c r="AB2471" s="2">
        <v>2</v>
      </c>
      <c r="AF2471" s="2">
        <v>38</v>
      </c>
      <c r="AG2471" s="2">
        <v>1</v>
      </c>
      <c r="AH2471" s="3" t="s">
        <v>2454</v>
      </c>
      <c r="AI2471" s="4">
        <v>45062</v>
      </c>
      <c r="AJ2471" s="3" t="s">
        <v>2591</v>
      </c>
      <c r="AK2471" s="3" t="s">
        <v>38</v>
      </c>
    </row>
    <row r="2472" spans="1:37" hidden="1" x14ac:dyDescent="0.25">
      <c r="A2472" t="str">
        <f t="shared" si="38"/>
        <v>2023_Vic_Dooen_Lentil_DetailedTOS1VarietyKelpieXTWaterTrtIrrigated</v>
      </c>
      <c r="B2472" s="2">
        <v>2023026</v>
      </c>
      <c r="C2472" s="3" t="s">
        <v>2583</v>
      </c>
      <c r="D2472" s="3" t="s">
        <v>38</v>
      </c>
      <c r="F2472" s="3" t="s">
        <v>4188</v>
      </c>
      <c r="G2472" s="3" t="s">
        <v>43</v>
      </c>
      <c r="H2472" s="3" t="s">
        <v>253</v>
      </c>
      <c r="I2472" s="2">
        <v>9</v>
      </c>
      <c r="J2472" s="2">
        <v>5</v>
      </c>
      <c r="K2472" s="2">
        <v>1</v>
      </c>
      <c r="O2472" s="2">
        <v>1</v>
      </c>
      <c r="P2472" s="2">
        <v>1</v>
      </c>
      <c r="U2472" s="2">
        <v>1</v>
      </c>
      <c r="V2472" s="2">
        <v>4</v>
      </c>
      <c r="W2472" s="2">
        <v>1</v>
      </c>
      <c r="X2472" s="2">
        <v>3</v>
      </c>
      <c r="AA2472" s="3" t="s">
        <v>57</v>
      </c>
      <c r="AB2472" s="2">
        <v>4</v>
      </c>
      <c r="AF2472" s="2">
        <v>38</v>
      </c>
      <c r="AG2472" s="2">
        <v>1</v>
      </c>
      <c r="AH2472" s="3" t="s">
        <v>2454</v>
      </c>
      <c r="AI2472" s="4">
        <v>45062</v>
      </c>
      <c r="AJ2472" s="3" t="s">
        <v>2592</v>
      </c>
      <c r="AK2472" s="3" t="s">
        <v>38</v>
      </c>
    </row>
    <row r="2473" spans="1:37" hidden="1" x14ac:dyDescent="0.25">
      <c r="A2473" t="str">
        <f t="shared" si="38"/>
        <v>2023_Vic_Dooen_Lentil_DetailedTOS1VarietyHallmarkXTWaterTrtIrrigated</v>
      </c>
      <c r="B2473" s="2">
        <v>2023026</v>
      </c>
      <c r="C2473" s="3" t="s">
        <v>2583</v>
      </c>
      <c r="D2473" s="3" t="s">
        <v>38</v>
      </c>
      <c r="F2473" s="3" t="s">
        <v>4189</v>
      </c>
      <c r="G2473" s="3" t="s">
        <v>39</v>
      </c>
      <c r="H2473" s="3" t="s">
        <v>253</v>
      </c>
      <c r="I2473" s="2">
        <v>10</v>
      </c>
      <c r="J2473" s="2">
        <v>6</v>
      </c>
      <c r="K2473" s="2">
        <v>1</v>
      </c>
      <c r="O2473" s="2">
        <v>1</v>
      </c>
      <c r="P2473" s="2">
        <v>1</v>
      </c>
      <c r="U2473" s="2">
        <v>2</v>
      </c>
      <c r="V2473" s="2">
        <v>4</v>
      </c>
      <c r="W2473" s="2">
        <v>2</v>
      </c>
      <c r="X2473" s="2">
        <v>3</v>
      </c>
      <c r="AA2473" s="3" t="s">
        <v>57</v>
      </c>
      <c r="AB2473" s="2">
        <v>2</v>
      </c>
      <c r="AF2473" s="2">
        <v>38</v>
      </c>
      <c r="AG2473" s="2">
        <v>1</v>
      </c>
      <c r="AH2473" s="3" t="s">
        <v>2454</v>
      </c>
      <c r="AI2473" s="4">
        <v>45062</v>
      </c>
      <c r="AJ2473" s="3" t="s">
        <v>2593</v>
      </c>
      <c r="AK2473" s="3" t="s">
        <v>38</v>
      </c>
    </row>
    <row r="2474" spans="1:37" hidden="1" x14ac:dyDescent="0.25">
      <c r="A2474" t="str">
        <f t="shared" si="38"/>
        <v>2023_Vic_Dooen_Lentil_DetailedTOS1VarietyJumbo2WaterTrtRainFed</v>
      </c>
      <c r="B2474" s="2">
        <v>2023026</v>
      </c>
      <c r="C2474" s="3" t="s">
        <v>2583</v>
      </c>
      <c r="D2474" s="3" t="s">
        <v>38</v>
      </c>
      <c r="F2474" s="3" t="s">
        <v>4176</v>
      </c>
      <c r="G2474" s="3" t="s">
        <v>43</v>
      </c>
      <c r="H2474" s="3" t="s">
        <v>253</v>
      </c>
      <c r="I2474" s="2">
        <v>11</v>
      </c>
      <c r="J2474" s="2">
        <v>7</v>
      </c>
      <c r="K2474" s="2">
        <v>1</v>
      </c>
      <c r="O2474" s="2">
        <v>1</v>
      </c>
      <c r="P2474" s="2">
        <v>2</v>
      </c>
      <c r="U2474" s="2">
        <v>3</v>
      </c>
      <c r="V2474" s="2">
        <v>4</v>
      </c>
      <c r="W2474" s="2">
        <v>3</v>
      </c>
      <c r="X2474" s="2">
        <v>3</v>
      </c>
      <c r="AA2474" s="3" t="s">
        <v>40</v>
      </c>
      <c r="AB2474" s="2">
        <v>3</v>
      </c>
      <c r="AF2474" s="2">
        <v>38</v>
      </c>
      <c r="AG2474" s="2">
        <v>1</v>
      </c>
      <c r="AH2474" s="3" t="s">
        <v>2454</v>
      </c>
      <c r="AI2474" s="4">
        <v>45062</v>
      </c>
      <c r="AJ2474" s="3" t="s">
        <v>2594</v>
      </c>
      <c r="AK2474" s="3" t="s">
        <v>38</v>
      </c>
    </row>
    <row r="2475" spans="1:37" hidden="1" x14ac:dyDescent="0.25">
      <c r="A2475" t="str">
        <f t="shared" si="38"/>
        <v>2023_Vic_Dooen_Lentil_DetailedTOS1VarietyBoltWaterTrtRainFed</v>
      </c>
      <c r="B2475" s="2">
        <v>2023026</v>
      </c>
      <c r="C2475" s="3" t="s">
        <v>2583</v>
      </c>
      <c r="D2475" s="3" t="s">
        <v>38</v>
      </c>
      <c r="F2475" s="3" t="s">
        <v>4187</v>
      </c>
      <c r="G2475" s="3" t="s">
        <v>39</v>
      </c>
      <c r="H2475" s="3" t="s">
        <v>253</v>
      </c>
      <c r="I2475" s="2">
        <v>12</v>
      </c>
      <c r="J2475" s="2">
        <v>8</v>
      </c>
      <c r="K2475" s="2">
        <v>1</v>
      </c>
      <c r="O2475" s="2">
        <v>1</v>
      </c>
      <c r="P2475" s="2">
        <v>2</v>
      </c>
      <c r="U2475" s="2">
        <v>4</v>
      </c>
      <c r="V2475" s="2">
        <v>4</v>
      </c>
      <c r="W2475" s="2">
        <v>4</v>
      </c>
      <c r="X2475" s="2">
        <v>3</v>
      </c>
      <c r="AA2475" s="3" t="s">
        <v>40</v>
      </c>
      <c r="AB2475" s="2">
        <v>1</v>
      </c>
      <c r="AF2475" s="2">
        <v>38</v>
      </c>
      <c r="AG2475" s="2">
        <v>1</v>
      </c>
      <c r="AH2475" s="3" t="s">
        <v>2454</v>
      </c>
      <c r="AI2475" s="4">
        <v>45062</v>
      </c>
      <c r="AJ2475" s="3" t="s">
        <v>2595</v>
      </c>
      <c r="AK2475" s="3" t="s">
        <v>38</v>
      </c>
    </row>
    <row r="2476" spans="1:37" hidden="1" x14ac:dyDescent="0.25">
      <c r="A2476" t="str">
        <f t="shared" si="38"/>
        <v>2023_Vic_Dooen_Lentil_DetailedTOS1VarietyKelpieXTWaterTrtIrrigated</v>
      </c>
      <c r="B2476" s="2">
        <v>2023026</v>
      </c>
      <c r="C2476" s="3" t="s">
        <v>2583</v>
      </c>
      <c r="D2476" s="3" t="s">
        <v>38</v>
      </c>
      <c r="F2476" s="3" t="s">
        <v>4188</v>
      </c>
      <c r="G2476" s="3" t="s">
        <v>43</v>
      </c>
      <c r="H2476" s="3" t="s">
        <v>250</v>
      </c>
      <c r="I2476" s="2">
        <v>13</v>
      </c>
      <c r="J2476" s="2">
        <v>5</v>
      </c>
      <c r="K2476" s="2">
        <v>1</v>
      </c>
      <c r="O2476" s="2">
        <v>1</v>
      </c>
      <c r="P2476" s="2">
        <v>1</v>
      </c>
      <c r="U2476" s="2">
        <v>1</v>
      </c>
      <c r="V2476" s="2">
        <v>5</v>
      </c>
      <c r="W2476" s="2">
        <v>1</v>
      </c>
      <c r="X2476" s="2">
        <v>4</v>
      </c>
      <c r="Z2476" s="2">
        <v>8</v>
      </c>
      <c r="AA2476" s="3" t="s">
        <v>57</v>
      </c>
      <c r="AB2476" s="2">
        <v>4</v>
      </c>
      <c r="AF2476" s="2">
        <v>38</v>
      </c>
      <c r="AG2476" s="2">
        <v>1</v>
      </c>
      <c r="AH2476" s="3" t="s">
        <v>2454</v>
      </c>
      <c r="AI2476" s="4">
        <v>45062</v>
      </c>
      <c r="AJ2476" s="3" t="s">
        <v>2596</v>
      </c>
      <c r="AK2476" s="3" t="s">
        <v>38</v>
      </c>
    </row>
    <row r="2477" spans="1:37" hidden="1" x14ac:dyDescent="0.25">
      <c r="A2477" t="str">
        <f t="shared" si="38"/>
        <v>2023_Vic_Dooen_Lentil_DetailedTOS1VarietyHallmarkXTWaterTrtIrrigated</v>
      </c>
      <c r="B2477" s="2">
        <v>2023026</v>
      </c>
      <c r="C2477" s="3" t="s">
        <v>2583</v>
      </c>
      <c r="D2477" s="3" t="s">
        <v>38</v>
      </c>
      <c r="F2477" s="3" t="s">
        <v>4189</v>
      </c>
      <c r="G2477" s="3" t="s">
        <v>39</v>
      </c>
      <c r="H2477" s="3" t="s">
        <v>250</v>
      </c>
      <c r="I2477" s="2">
        <v>14</v>
      </c>
      <c r="J2477" s="2">
        <v>6</v>
      </c>
      <c r="K2477" s="2">
        <v>1</v>
      </c>
      <c r="O2477" s="2">
        <v>1</v>
      </c>
      <c r="P2477" s="2">
        <v>1</v>
      </c>
      <c r="U2477" s="2">
        <v>2</v>
      </c>
      <c r="V2477" s="2">
        <v>5</v>
      </c>
      <c r="W2477" s="2">
        <v>2</v>
      </c>
      <c r="X2477" s="2">
        <v>4</v>
      </c>
      <c r="Z2477" s="2">
        <v>7</v>
      </c>
      <c r="AA2477" s="3" t="s">
        <v>57</v>
      </c>
      <c r="AB2477" s="2">
        <v>2</v>
      </c>
      <c r="AF2477" s="2">
        <v>38</v>
      </c>
      <c r="AG2477" s="2">
        <v>1</v>
      </c>
      <c r="AH2477" s="3" t="s">
        <v>2454</v>
      </c>
      <c r="AI2477" s="4">
        <v>45062</v>
      </c>
      <c r="AJ2477" s="3" t="s">
        <v>2597</v>
      </c>
      <c r="AK2477" s="3" t="s">
        <v>38</v>
      </c>
    </row>
    <row r="2478" spans="1:37" hidden="1" x14ac:dyDescent="0.25">
      <c r="A2478" t="str">
        <f t="shared" si="38"/>
        <v>2023_Vic_Dooen_Lentil_DetailedTOS1VarietyJumbo2WaterTrtRainFed</v>
      </c>
      <c r="B2478" s="2">
        <v>2023026</v>
      </c>
      <c r="C2478" s="3" t="s">
        <v>2583</v>
      </c>
      <c r="D2478" s="3" t="s">
        <v>38</v>
      </c>
      <c r="F2478" s="3" t="s">
        <v>4176</v>
      </c>
      <c r="G2478" s="3" t="s">
        <v>43</v>
      </c>
      <c r="H2478" s="3" t="s">
        <v>250</v>
      </c>
      <c r="I2478" s="2">
        <v>15</v>
      </c>
      <c r="J2478" s="2">
        <v>7</v>
      </c>
      <c r="K2478" s="2">
        <v>1</v>
      </c>
      <c r="O2478" s="2">
        <v>1</v>
      </c>
      <c r="P2478" s="2">
        <v>2</v>
      </c>
      <c r="U2478" s="2">
        <v>3</v>
      </c>
      <c r="V2478" s="2">
        <v>5</v>
      </c>
      <c r="W2478" s="2">
        <v>3</v>
      </c>
      <c r="X2478" s="2">
        <v>4</v>
      </c>
      <c r="Z2478" s="2">
        <v>6</v>
      </c>
      <c r="AA2478" s="3" t="s">
        <v>40</v>
      </c>
      <c r="AB2478" s="2">
        <v>3</v>
      </c>
      <c r="AF2478" s="2">
        <v>38</v>
      </c>
      <c r="AG2478" s="2">
        <v>1</v>
      </c>
      <c r="AH2478" s="3" t="s">
        <v>2454</v>
      </c>
      <c r="AI2478" s="4">
        <v>45062</v>
      </c>
      <c r="AJ2478" s="3" t="s">
        <v>2598</v>
      </c>
      <c r="AK2478" s="3" t="s">
        <v>38</v>
      </c>
    </row>
    <row r="2479" spans="1:37" hidden="1" x14ac:dyDescent="0.25">
      <c r="A2479" t="str">
        <f t="shared" si="38"/>
        <v>2023_Vic_Dooen_Lentil_DetailedTOS1VarietyBoltWaterTrtRainFed</v>
      </c>
      <c r="B2479" s="2">
        <v>2023026</v>
      </c>
      <c r="C2479" s="3" t="s">
        <v>2583</v>
      </c>
      <c r="D2479" s="3" t="s">
        <v>38</v>
      </c>
      <c r="F2479" s="3" t="s">
        <v>4187</v>
      </c>
      <c r="G2479" s="3" t="s">
        <v>39</v>
      </c>
      <c r="H2479" s="3" t="s">
        <v>250</v>
      </c>
      <c r="I2479" s="2">
        <v>16</v>
      </c>
      <c r="J2479" s="2">
        <v>8</v>
      </c>
      <c r="K2479" s="2">
        <v>1</v>
      </c>
      <c r="O2479" s="2">
        <v>1</v>
      </c>
      <c r="P2479" s="2">
        <v>2</v>
      </c>
      <c r="U2479" s="2">
        <v>4</v>
      </c>
      <c r="V2479" s="2">
        <v>5</v>
      </c>
      <c r="W2479" s="2">
        <v>4</v>
      </c>
      <c r="X2479" s="2">
        <v>4</v>
      </c>
      <c r="Z2479" s="2">
        <v>5</v>
      </c>
      <c r="AA2479" s="3" t="s">
        <v>40</v>
      </c>
      <c r="AB2479" s="2">
        <v>1</v>
      </c>
      <c r="AF2479" s="2">
        <v>38</v>
      </c>
      <c r="AG2479" s="2">
        <v>1</v>
      </c>
      <c r="AH2479" s="3" t="s">
        <v>2454</v>
      </c>
      <c r="AI2479" s="4">
        <v>45062</v>
      </c>
      <c r="AJ2479" s="3" t="s">
        <v>2599</v>
      </c>
      <c r="AK2479" s="3" t="s">
        <v>38</v>
      </c>
    </row>
    <row r="2480" spans="1:37" hidden="1" x14ac:dyDescent="0.25">
      <c r="A2480" t="str">
        <f t="shared" si="38"/>
        <v>2023_Vic_Dooen_Lentil_DetailedTOS2VarietyKelpieXTWaterTrtIrrigated</v>
      </c>
      <c r="B2480" s="2">
        <v>2023026</v>
      </c>
      <c r="C2480" s="3" t="s">
        <v>2583</v>
      </c>
      <c r="D2480" s="3" t="s">
        <v>38</v>
      </c>
      <c r="F2480" s="3" t="s">
        <v>4188</v>
      </c>
      <c r="G2480" s="3" t="s">
        <v>43</v>
      </c>
      <c r="H2480" s="3" t="s">
        <v>253</v>
      </c>
      <c r="I2480" s="2">
        <v>17</v>
      </c>
      <c r="J2480" s="2">
        <v>9</v>
      </c>
      <c r="K2480" s="2">
        <v>1</v>
      </c>
      <c r="O2480" s="2">
        <v>2</v>
      </c>
      <c r="P2480" s="2">
        <v>3</v>
      </c>
      <c r="U2480" s="2">
        <v>1</v>
      </c>
      <c r="V2480" s="2">
        <v>7</v>
      </c>
      <c r="W2480" s="2">
        <v>1</v>
      </c>
      <c r="X2480" s="2">
        <v>5</v>
      </c>
      <c r="AA2480" s="3" t="s">
        <v>57</v>
      </c>
      <c r="AB2480" s="2">
        <v>4</v>
      </c>
      <c r="AF2480" s="2">
        <v>38</v>
      </c>
      <c r="AG2480" s="2">
        <v>2</v>
      </c>
      <c r="AH2480" s="3" t="s">
        <v>2063</v>
      </c>
      <c r="AI2480" s="4">
        <v>45110</v>
      </c>
      <c r="AJ2480" s="3" t="s">
        <v>2600</v>
      </c>
      <c r="AK2480" s="3" t="s">
        <v>38</v>
      </c>
    </row>
    <row r="2481" spans="1:37" hidden="1" x14ac:dyDescent="0.25">
      <c r="A2481" t="str">
        <f t="shared" si="38"/>
        <v>2023_Vic_Dooen_Lentil_DetailedTOS2VarietyBoltWaterTrtIrrigated</v>
      </c>
      <c r="B2481" s="2">
        <v>2023026</v>
      </c>
      <c r="C2481" s="3" t="s">
        <v>2583</v>
      </c>
      <c r="D2481" s="3" t="s">
        <v>38</v>
      </c>
      <c r="F2481" s="3" t="s">
        <v>4187</v>
      </c>
      <c r="G2481" s="3" t="s">
        <v>39</v>
      </c>
      <c r="H2481" s="3" t="s">
        <v>253</v>
      </c>
      <c r="I2481" s="2">
        <v>18</v>
      </c>
      <c r="J2481" s="2">
        <v>10</v>
      </c>
      <c r="K2481" s="2">
        <v>1</v>
      </c>
      <c r="O2481" s="2">
        <v>2</v>
      </c>
      <c r="P2481" s="2">
        <v>3</v>
      </c>
      <c r="U2481" s="2">
        <v>2</v>
      </c>
      <c r="V2481" s="2">
        <v>7</v>
      </c>
      <c r="W2481" s="2">
        <v>2</v>
      </c>
      <c r="X2481" s="2">
        <v>5</v>
      </c>
      <c r="AA2481" s="3" t="s">
        <v>57</v>
      </c>
      <c r="AB2481" s="2">
        <v>1</v>
      </c>
      <c r="AF2481" s="2">
        <v>38</v>
      </c>
      <c r="AG2481" s="2">
        <v>2</v>
      </c>
      <c r="AH2481" s="3" t="s">
        <v>2063</v>
      </c>
      <c r="AI2481" s="4">
        <v>45110</v>
      </c>
      <c r="AJ2481" s="3" t="s">
        <v>2601</v>
      </c>
      <c r="AK2481" s="3" t="s">
        <v>38</v>
      </c>
    </row>
    <row r="2482" spans="1:37" hidden="1" x14ac:dyDescent="0.25">
      <c r="A2482" t="str">
        <f t="shared" si="38"/>
        <v>2023_Vic_Dooen_Lentil_DetailedTOS2VarietyHallmarkXTWaterTrtRainFed</v>
      </c>
      <c r="B2482" s="2">
        <v>2023026</v>
      </c>
      <c r="C2482" s="3" t="s">
        <v>2583</v>
      </c>
      <c r="D2482" s="3" t="s">
        <v>38</v>
      </c>
      <c r="F2482" s="3" t="s">
        <v>4189</v>
      </c>
      <c r="G2482" s="3" t="s">
        <v>39</v>
      </c>
      <c r="H2482" s="3" t="s">
        <v>253</v>
      </c>
      <c r="I2482" s="2">
        <v>19</v>
      </c>
      <c r="J2482" s="2">
        <v>11</v>
      </c>
      <c r="K2482" s="2">
        <v>1</v>
      </c>
      <c r="O2482" s="2">
        <v>2</v>
      </c>
      <c r="P2482" s="2">
        <v>4</v>
      </c>
      <c r="U2482" s="2">
        <v>3</v>
      </c>
      <c r="V2482" s="2">
        <v>7</v>
      </c>
      <c r="W2482" s="2">
        <v>3</v>
      </c>
      <c r="X2482" s="2">
        <v>5</v>
      </c>
      <c r="AA2482" s="3" t="s">
        <v>40</v>
      </c>
      <c r="AB2482" s="2">
        <v>2</v>
      </c>
      <c r="AF2482" s="2">
        <v>38</v>
      </c>
      <c r="AG2482" s="2">
        <v>2</v>
      </c>
      <c r="AH2482" s="3" t="s">
        <v>2063</v>
      </c>
      <c r="AI2482" s="4">
        <v>45110</v>
      </c>
      <c r="AJ2482" s="3" t="s">
        <v>2602</v>
      </c>
      <c r="AK2482" s="3" t="s">
        <v>38</v>
      </c>
    </row>
    <row r="2483" spans="1:37" hidden="1" x14ac:dyDescent="0.25">
      <c r="A2483" t="str">
        <f t="shared" si="38"/>
        <v>2023_Vic_Dooen_Lentil_DetailedTOS2VarietyJumbo2WaterTrtRainFed</v>
      </c>
      <c r="B2483" s="2">
        <v>2023026</v>
      </c>
      <c r="C2483" s="3" t="s">
        <v>2583</v>
      </c>
      <c r="D2483" s="3" t="s">
        <v>38</v>
      </c>
      <c r="F2483" s="3" t="s">
        <v>4176</v>
      </c>
      <c r="G2483" s="3" t="s">
        <v>43</v>
      </c>
      <c r="H2483" s="3" t="s">
        <v>253</v>
      </c>
      <c r="I2483" s="2">
        <v>20</v>
      </c>
      <c r="J2483" s="2">
        <v>12</v>
      </c>
      <c r="K2483" s="2">
        <v>1</v>
      </c>
      <c r="O2483" s="2">
        <v>2</v>
      </c>
      <c r="P2483" s="2">
        <v>4</v>
      </c>
      <c r="U2483" s="2">
        <v>4</v>
      </c>
      <c r="V2483" s="2">
        <v>7</v>
      </c>
      <c r="W2483" s="2">
        <v>4</v>
      </c>
      <c r="X2483" s="2">
        <v>5</v>
      </c>
      <c r="AA2483" s="3" t="s">
        <v>40</v>
      </c>
      <c r="AB2483" s="2">
        <v>3</v>
      </c>
      <c r="AF2483" s="2">
        <v>38</v>
      </c>
      <c r="AG2483" s="2">
        <v>2</v>
      </c>
      <c r="AH2483" s="3" t="s">
        <v>2063</v>
      </c>
      <c r="AI2483" s="4">
        <v>45110</v>
      </c>
      <c r="AJ2483" s="3" t="s">
        <v>2603</v>
      </c>
      <c r="AK2483" s="3" t="s">
        <v>38</v>
      </c>
    </row>
    <row r="2484" spans="1:37" hidden="1" x14ac:dyDescent="0.25">
      <c r="A2484" t="str">
        <f t="shared" si="38"/>
        <v>2023_Vic_Dooen_Lentil_DetailedTOS2VarietyKelpieXTWaterTrtIrrigated</v>
      </c>
      <c r="B2484" s="2">
        <v>2023026</v>
      </c>
      <c r="C2484" s="3" t="s">
        <v>2583</v>
      </c>
      <c r="D2484" s="3" t="s">
        <v>38</v>
      </c>
      <c r="F2484" s="3" t="s">
        <v>4188</v>
      </c>
      <c r="G2484" s="3" t="s">
        <v>43</v>
      </c>
      <c r="H2484" s="3" t="s">
        <v>250</v>
      </c>
      <c r="I2484" s="2">
        <v>21</v>
      </c>
      <c r="J2484" s="2">
        <v>9</v>
      </c>
      <c r="K2484" s="2">
        <v>1</v>
      </c>
      <c r="O2484" s="2">
        <v>2</v>
      </c>
      <c r="P2484" s="2">
        <v>3</v>
      </c>
      <c r="U2484" s="2">
        <v>1</v>
      </c>
      <c r="V2484" s="2">
        <v>8</v>
      </c>
      <c r="W2484" s="2">
        <v>1</v>
      </c>
      <c r="X2484" s="2">
        <v>6</v>
      </c>
      <c r="Z2484" s="2">
        <v>9</v>
      </c>
      <c r="AA2484" s="3" t="s">
        <v>57</v>
      </c>
      <c r="AB2484" s="2">
        <v>4</v>
      </c>
      <c r="AF2484" s="2">
        <v>38</v>
      </c>
      <c r="AG2484" s="2">
        <v>2</v>
      </c>
      <c r="AH2484" s="3" t="s">
        <v>2063</v>
      </c>
      <c r="AI2484" s="4">
        <v>45110</v>
      </c>
      <c r="AJ2484" s="3" t="s">
        <v>2604</v>
      </c>
      <c r="AK2484" s="3" t="s">
        <v>38</v>
      </c>
    </row>
    <row r="2485" spans="1:37" hidden="1" x14ac:dyDescent="0.25">
      <c r="A2485" t="str">
        <f t="shared" si="38"/>
        <v>2023_Vic_Dooen_Lentil_DetailedTOS2VarietyBoltWaterTrtIrrigated</v>
      </c>
      <c r="B2485" s="2">
        <v>2023026</v>
      </c>
      <c r="C2485" s="3" t="s">
        <v>2583</v>
      </c>
      <c r="D2485" s="3" t="s">
        <v>38</v>
      </c>
      <c r="F2485" s="3" t="s">
        <v>4187</v>
      </c>
      <c r="G2485" s="3" t="s">
        <v>39</v>
      </c>
      <c r="H2485" s="3" t="s">
        <v>250</v>
      </c>
      <c r="I2485" s="2">
        <v>22</v>
      </c>
      <c r="J2485" s="2">
        <v>10</v>
      </c>
      <c r="K2485" s="2">
        <v>1</v>
      </c>
      <c r="O2485" s="2">
        <v>2</v>
      </c>
      <c r="P2485" s="2">
        <v>3</v>
      </c>
      <c r="U2485" s="2">
        <v>2</v>
      </c>
      <c r="V2485" s="2">
        <v>8</v>
      </c>
      <c r="W2485" s="2">
        <v>2</v>
      </c>
      <c r="X2485" s="2">
        <v>6</v>
      </c>
      <c r="Z2485" s="2">
        <v>10</v>
      </c>
      <c r="AA2485" s="3" t="s">
        <v>57</v>
      </c>
      <c r="AB2485" s="2">
        <v>1</v>
      </c>
      <c r="AF2485" s="2">
        <v>38</v>
      </c>
      <c r="AG2485" s="2">
        <v>2</v>
      </c>
      <c r="AH2485" s="3" t="s">
        <v>2063</v>
      </c>
      <c r="AI2485" s="4">
        <v>45110</v>
      </c>
      <c r="AJ2485" s="3" t="s">
        <v>2605</v>
      </c>
      <c r="AK2485" s="3" t="s">
        <v>38</v>
      </c>
    </row>
    <row r="2486" spans="1:37" hidden="1" x14ac:dyDescent="0.25">
      <c r="A2486" t="str">
        <f t="shared" si="38"/>
        <v>2023_Vic_Dooen_Lentil_DetailedTOS2VarietyHallmarkXTWaterTrtRainFed</v>
      </c>
      <c r="B2486" s="2">
        <v>2023026</v>
      </c>
      <c r="C2486" s="3" t="s">
        <v>2583</v>
      </c>
      <c r="D2486" s="3" t="s">
        <v>38</v>
      </c>
      <c r="F2486" s="3" t="s">
        <v>4189</v>
      </c>
      <c r="G2486" s="3" t="s">
        <v>39</v>
      </c>
      <c r="H2486" s="3" t="s">
        <v>250</v>
      </c>
      <c r="I2486" s="2">
        <v>23</v>
      </c>
      <c r="J2486" s="2">
        <v>11</v>
      </c>
      <c r="K2486" s="2">
        <v>1</v>
      </c>
      <c r="O2486" s="2">
        <v>2</v>
      </c>
      <c r="P2486" s="2">
        <v>4</v>
      </c>
      <c r="U2486" s="2">
        <v>3</v>
      </c>
      <c r="V2486" s="2">
        <v>8</v>
      </c>
      <c r="W2486" s="2">
        <v>3</v>
      </c>
      <c r="X2486" s="2">
        <v>6</v>
      </c>
      <c r="Z2486" s="2">
        <v>11</v>
      </c>
      <c r="AA2486" s="3" t="s">
        <v>40</v>
      </c>
      <c r="AB2486" s="2">
        <v>2</v>
      </c>
      <c r="AF2486" s="2">
        <v>38</v>
      </c>
      <c r="AG2486" s="2">
        <v>2</v>
      </c>
      <c r="AH2486" s="3" t="s">
        <v>2063</v>
      </c>
      <c r="AI2486" s="4">
        <v>45110</v>
      </c>
      <c r="AJ2486" s="3" t="s">
        <v>2606</v>
      </c>
      <c r="AK2486" s="3" t="s">
        <v>38</v>
      </c>
    </row>
    <row r="2487" spans="1:37" hidden="1" x14ac:dyDescent="0.25">
      <c r="A2487" t="str">
        <f t="shared" si="38"/>
        <v>2023_Vic_Dooen_Lentil_DetailedTOS2VarietyJumbo2WaterTrtRainFed</v>
      </c>
      <c r="B2487" s="2">
        <v>2023026</v>
      </c>
      <c r="C2487" s="3" t="s">
        <v>2583</v>
      </c>
      <c r="D2487" s="3" t="s">
        <v>38</v>
      </c>
      <c r="F2487" s="3" t="s">
        <v>4176</v>
      </c>
      <c r="G2487" s="3" t="s">
        <v>43</v>
      </c>
      <c r="H2487" s="3" t="s">
        <v>250</v>
      </c>
      <c r="I2487" s="2">
        <v>24</v>
      </c>
      <c r="J2487" s="2">
        <v>12</v>
      </c>
      <c r="K2487" s="2">
        <v>1</v>
      </c>
      <c r="O2487" s="2">
        <v>2</v>
      </c>
      <c r="P2487" s="2">
        <v>4</v>
      </c>
      <c r="U2487" s="2">
        <v>4</v>
      </c>
      <c r="V2487" s="2">
        <v>8</v>
      </c>
      <c r="W2487" s="2">
        <v>4</v>
      </c>
      <c r="X2487" s="2">
        <v>6</v>
      </c>
      <c r="Z2487" s="2">
        <v>12</v>
      </c>
      <c r="AA2487" s="3" t="s">
        <v>40</v>
      </c>
      <c r="AB2487" s="2">
        <v>3</v>
      </c>
      <c r="AF2487" s="2">
        <v>38</v>
      </c>
      <c r="AG2487" s="2">
        <v>2</v>
      </c>
      <c r="AH2487" s="3" t="s">
        <v>2063</v>
      </c>
      <c r="AI2487" s="4">
        <v>45110</v>
      </c>
      <c r="AJ2487" s="3" t="s">
        <v>2607</v>
      </c>
      <c r="AK2487" s="3" t="s">
        <v>38</v>
      </c>
    </row>
    <row r="2488" spans="1:37" hidden="1" x14ac:dyDescent="0.25">
      <c r="A2488" t="str">
        <f t="shared" si="38"/>
        <v>2023_Vic_Dooen_Lentil_DetailedTOS2VarietyHallmarkXTWaterTrtIrrigated</v>
      </c>
      <c r="B2488" s="2">
        <v>2023026</v>
      </c>
      <c r="C2488" s="3" t="s">
        <v>2583</v>
      </c>
      <c r="D2488" s="3" t="s">
        <v>38</v>
      </c>
      <c r="F2488" s="3" t="s">
        <v>4189</v>
      </c>
      <c r="G2488" s="3" t="s">
        <v>39</v>
      </c>
      <c r="H2488" s="3" t="s">
        <v>253</v>
      </c>
      <c r="I2488" s="2">
        <v>25</v>
      </c>
      <c r="J2488" s="2">
        <v>13</v>
      </c>
      <c r="K2488" s="2">
        <v>1</v>
      </c>
      <c r="O2488" s="2">
        <v>2</v>
      </c>
      <c r="P2488" s="2">
        <v>3</v>
      </c>
      <c r="U2488" s="2">
        <v>1</v>
      </c>
      <c r="V2488" s="2">
        <v>9</v>
      </c>
      <c r="W2488" s="2">
        <v>1</v>
      </c>
      <c r="X2488" s="2">
        <v>7</v>
      </c>
      <c r="AA2488" s="3" t="s">
        <v>57</v>
      </c>
      <c r="AB2488" s="2">
        <v>2</v>
      </c>
      <c r="AF2488" s="2">
        <v>38</v>
      </c>
      <c r="AG2488" s="2">
        <v>2</v>
      </c>
      <c r="AH2488" s="3" t="s">
        <v>2063</v>
      </c>
      <c r="AI2488" s="4">
        <v>45110</v>
      </c>
      <c r="AJ2488" s="3" t="s">
        <v>2608</v>
      </c>
      <c r="AK2488" s="3" t="s">
        <v>38</v>
      </c>
    </row>
    <row r="2489" spans="1:37" hidden="1" x14ac:dyDescent="0.25">
      <c r="A2489" t="str">
        <f t="shared" si="38"/>
        <v>2023_Vic_Dooen_Lentil_DetailedTOS2VarietyJumbo2WaterTrtIrrigated</v>
      </c>
      <c r="B2489" s="2">
        <v>2023026</v>
      </c>
      <c r="C2489" s="3" t="s">
        <v>2583</v>
      </c>
      <c r="D2489" s="3" t="s">
        <v>38</v>
      </c>
      <c r="F2489" s="3" t="s">
        <v>4176</v>
      </c>
      <c r="G2489" s="3" t="s">
        <v>43</v>
      </c>
      <c r="H2489" s="3" t="s">
        <v>253</v>
      </c>
      <c r="I2489" s="2">
        <v>26</v>
      </c>
      <c r="J2489" s="2">
        <v>14</v>
      </c>
      <c r="K2489" s="2">
        <v>1</v>
      </c>
      <c r="O2489" s="2">
        <v>2</v>
      </c>
      <c r="P2489" s="2">
        <v>3</v>
      </c>
      <c r="U2489" s="2">
        <v>2</v>
      </c>
      <c r="V2489" s="2">
        <v>9</v>
      </c>
      <c r="W2489" s="2">
        <v>2</v>
      </c>
      <c r="X2489" s="2">
        <v>7</v>
      </c>
      <c r="AA2489" s="3" t="s">
        <v>57</v>
      </c>
      <c r="AB2489" s="2">
        <v>3</v>
      </c>
      <c r="AF2489" s="2">
        <v>38</v>
      </c>
      <c r="AG2489" s="2">
        <v>2</v>
      </c>
      <c r="AH2489" s="3" t="s">
        <v>2063</v>
      </c>
      <c r="AI2489" s="4">
        <v>45110</v>
      </c>
      <c r="AJ2489" s="3" t="s">
        <v>2609</v>
      </c>
      <c r="AK2489" s="3" t="s">
        <v>38</v>
      </c>
    </row>
    <row r="2490" spans="1:37" hidden="1" x14ac:dyDescent="0.25">
      <c r="A2490" t="str">
        <f t="shared" si="38"/>
        <v>2023_Vic_Dooen_Lentil_DetailedTOS2VarietyBoltWaterTrtRainFed</v>
      </c>
      <c r="B2490" s="2">
        <v>2023026</v>
      </c>
      <c r="C2490" s="3" t="s">
        <v>2583</v>
      </c>
      <c r="D2490" s="3" t="s">
        <v>38</v>
      </c>
      <c r="F2490" s="3" t="s">
        <v>4187</v>
      </c>
      <c r="G2490" s="3" t="s">
        <v>39</v>
      </c>
      <c r="H2490" s="3" t="s">
        <v>253</v>
      </c>
      <c r="I2490" s="2">
        <v>27</v>
      </c>
      <c r="J2490" s="2">
        <v>15</v>
      </c>
      <c r="K2490" s="2">
        <v>1</v>
      </c>
      <c r="O2490" s="2">
        <v>2</v>
      </c>
      <c r="P2490" s="2">
        <v>4</v>
      </c>
      <c r="U2490" s="2">
        <v>3</v>
      </c>
      <c r="V2490" s="2">
        <v>9</v>
      </c>
      <c r="W2490" s="2">
        <v>3</v>
      </c>
      <c r="X2490" s="2">
        <v>7</v>
      </c>
      <c r="AA2490" s="3" t="s">
        <v>40</v>
      </c>
      <c r="AB2490" s="2">
        <v>1</v>
      </c>
      <c r="AF2490" s="2">
        <v>38</v>
      </c>
      <c r="AG2490" s="2">
        <v>2</v>
      </c>
      <c r="AH2490" s="3" t="s">
        <v>2063</v>
      </c>
      <c r="AI2490" s="4">
        <v>45110</v>
      </c>
      <c r="AJ2490" s="3" t="s">
        <v>2610</v>
      </c>
      <c r="AK2490" s="3" t="s">
        <v>38</v>
      </c>
    </row>
    <row r="2491" spans="1:37" hidden="1" x14ac:dyDescent="0.25">
      <c r="A2491" t="str">
        <f t="shared" si="38"/>
        <v>2023_Vic_Dooen_Lentil_DetailedTOS2VarietyKelpieXTWaterTrtRainFed</v>
      </c>
      <c r="B2491" s="2">
        <v>2023026</v>
      </c>
      <c r="C2491" s="3" t="s">
        <v>2583</v>
      </c>
      <c r="D2491" s="3" t="s">
        <v>38</v>
      </c>
      <c r="F2491" s="3" t="s">
        <v>4188</v>
      </c>
      <c r="G2491" s="3" t="s">
        <v>43</v>
      </c>
      <c r="H2491" s="3" t="s">
        <v>253</v>
      </c>
      <c r="I2491" s="2">
        <v>28</v>
      </c>
      <c r="J2491" s="2">
        <v>16</v>
      </c>
      <c r="K2491" s="2">
        <v>1</v>
      </c>
      <c r="O2491" s="2">
        <v>2</v>
      </c>
      <c r="P2491" s="2">
        <v>4</v>
      </c>
      <c r="U2491" s="2">
        <v>4</v>
      </c>
      <c r="V2491" s="2">
        <v>9</v>
      </c>
      <c r="W2491" s="2">
        <v>4</v>
      </c>
      <c r="X2491" s="2">
        <v>7</v>
      </c>
      <c r="AA2491" s="3" t="s">
        <v>40</v>
      </c>
      <c r="AB2491" s="2">
        <v>4</v>
      </c>
      <c r="AF2491" s="2">
        <v>38</v>
      </c>
      <c r="AG2491" s="2">
        <v>2</v>
      </c>
      <c r="AH2491" s="3" t="s">
        <v>2063</v>
      </c>
      <c r="AI2491" s="4">
        <v>45110</v>
      </c>
      <c r="AJ2491" s="3" t="s">
        <v>2611</v>
      </c>
      <c r="AK2491" s="3" t="s">
        <v>38</v>
      </c>
    </row>
    <row r="2492" spans="1:37" hidden="1" x14ac:dyDescent="0.25">
      <c r="A2492" t="str">
        <f t="shared" si="38"/>
        <v>2023_Vic_Dooen_Lentil_DetailedTOS2VarietyHallmarkXTWaterTrtIrrigated</v>
      </c>
      <c r="B2492" s="2">
        <v>2023026</v>
      </c>
      <c r="C2492" s="3" t="s">
        <v>2583</v>
      </c>
      <c r="D2492" s="3" t="s">
        <v>38</v>
      </c>
      <c r="F2492" s="3" t="s">
        <v>4189</v>
      </c>
      <c r="G2492" s="3" t="s">
        <v>39</v>
      </c>
      <c r="H2492" s="3" t="s">
        <v>250</v>
      </c>
      <c r="I2492" s="2">
        <v>29</v>
      </c>
      <c r="J2492" s="2">
        <v>13</v>
      </c>
      <c r="K2492" s="2">
        <v>1</v>
      </c>
      <c r="O2492" s="2">
        <v>2</v>
      </c>
      <c r="P2492" s="2">
        <v>3</v>
      </c>
      <c r="U2492" s="2">
        <v>1</v>
      </c>
      <c r="V2492" s="2">
        <v>10</v>
      </c>
      <c r="W2492" s="2">
        <v>1</v>
      </c>
      <c r="X2492" s="2">
        <v>8</v>
      </c>
      <c r="Z2492" s="2">
        <v>16</v>
      </c>
      <c r="AA2492" s="3" t="s">
        <v>57</v>
      </c>
      <c r="AB2492" s="2">
        <v>2</v>
      </c>
      <c r="AF2492" s="2">
        <v>38</v>
      </c>
      <c r="AG2492" s="2">
        <v>2</v>
      </c>
      <c r="AH2492" s="3" t="s">
        <v>2063</v>
      </c>
      <c r="AI2492" s="4">
        <v>45110</v>
      </c>
      <c r="AJ2492" s="3" t="s">
        <v>2612</v>
      </c>
      <c r="AK2492" s="3" t="s">
        <v>38</v>
      </c>
    </row>
    <row r="2493" spans="1:37" hidden="1" x14ac:dyDescent="0.25">
      <c r="A2493" t="str">
        <f t="shared" si="38"/>
        <v>2023_Vic_Dooen_Lentil_DetailedTOS2VarietyJumbo2WaterTrtIrrigated</v>
      </c>
      <c r="B2493" s="2">
        <v>2023026</v>
      </c>
      <c r="C2493" s="3" t="s">
        <v>2583</v>
      </c>
      <c r="D2493" s="3" t="s">
        <v>38</v>
      </c>
      <c r="F2493" s="3" t="s">
        <v>4176</v>
      </c>
      <c r="G2493" s="3" t="s">
        <v>43</v>
      </c>
      <c r="H2493" s="3" t="s">
        <v>250</v>
      </c>
      <c r="I2493" s="2">
        <v>30</v>
      </c>
      <c r="J2493" s="2">
        <v>14</v>
      </c>
      <c r="K2493" s="2">
        <v>1</v>
      </c>
      <c r="O2493" s="2">
        <v>2</v>
      </c>
      <c r="P2493" s="2">
        <v>3</v>
      </c>
      <c r="U2493" s="2">
        <v>2</v>
      </c>
      <c r="V2493" s="2">
        <v>10</v>
      </c>
      <c r="W2493" s="2">
        <v>2</v>
      </c>
      <c r="X2493" s="2">
        <v>8</v>
      </c>
      <c r="Z2493" s="2">
        <v>15</v>
      </c>
      <c r="AA2493" s="3" t="s">
        <v>57</v>
      </c>
      <c r="AB2493" s="2">
        <v>3</v>
      </c>
      <c r="AF2493" s="2">
        <v>38</v>
      </c>
      <c r="AG2493" s="2">
        <v>2</v>
      </c>
      <c r="AH2493" s="3" t="s">
        <v>2063</v>
      </c>
      <c r="AI2493" s="4">
        <v>45110</v>
      </c>
      <c r="AJ2493" s="3" t="s">
        <v>2613</v>
      </c>
      <c r="AK2493" s="3" t="s">
        <v>38</v>
      </c>
    </row>
    <row r="2494" spans="1:37" hidden="1" x14ac:dyDescent="0.25">
      <c r="A2494" t="str">
        <f t="shared" si="38"/>
        <v>2023_Vic_Dooen_Lentil_DetailedTOS2VarietyBoltWaterTrtRainFed</v>
      </c>
      <c r="B2494" s="2">
        <v>2023026</v>
      </c>
      <c r="C2494" s="3" t="s">
        <v>2583</v>
      </c>
      <c r="D2494" s="3" t="s">
        <v>38</v>
      </c>
      <c r="F2494" s="3" t="s">
        <v>4187</v>
      </c>
      <c r="G2494" s="3" t="s">
        <v>39</v>
      </c>
      <c r="H2494" s="3" t="s">
        <v>250</v>
      </c>
      <c r="I2494" s="2">
        <v>31</v>
      </c>
      <c r="J2494" s="2">
        <v>15</v>
      </c>
      <c r="K2494" s="2">
        <v>1</v>
      </c>
      <c r="O2494" s="2">
        <v>2</v>
      </c>
      <c r="P2494" s="2">
        <v>4</v>
      </c>
      <c r="U2494" s="2">
        <v>3</v>
      </c>
      <c r="V2494" s="2">
        <v>10</v>
      </c>
      <c r="W2494" s="2">
        <v>3</v>
      </c>
      <c r="X2494" s="2">
        <v>8</v>
      </c>
      <c r="Z2494" s="2">
        <v>14</v>
      </c>
      <c r="AA2494" s="3" t="s">
        <v>40</v>
      </c>
      <c r="AB2494" s="2">
        <v>1</v>
      </c>
      <c r="AF2494" s="2">
        <v>38</v>
      </c>
      <c r="AG2494" s="2">
        <v>2</v>
      </c>
      <c r="AH2494" s="3" t="s">
        <v>2063</v>
      </c>
      <c r="AI2494" s="4">
        <v>45110</v>
      </c>
      <c r="AJ2494" s="3" t="s">
        <v>2614</v>
      </c>
      <c r="AK2494" s="3" t="s">
        <v>38</v>
      </c>
    </row>
    <row r="2495" spans="1:37" hidden="1" x14ac:dyDescent="0.25">
      <c r="A2495" t="str">
        <f t="shared" si="38"/>
        <v>2023_Vic_Dooen_Lentil_DetailedTOS2VarietyKelpieXTWaterTrtRainFed</v>
      </c>
      <c r="B2495" s="2">
        <v>2023026</v>
      </c>
      <c r="C2495" s="3" t="s">
        <v>2583</v>
      </c>
      <c r="D2495" s="3" t="s">
        <v>38</v>
      </c>
      <c r="F2495" s="3" t="s">
        <v>4188</v>
      </c>
      <c r="G2495" s="3" t="s">
        <v>43</v>
      </c>
      <c r="H2495" s="3" t="s">
        <v>250</v>
      </c>
      <c r="I2495" s="2">
        <v>32</v>
      </c>
      <c r="J2495" s="2">
        <v>16</v>
      </c>
      <c r="K2495" s="2">
        <v>1</v>
      </c>
      <c r="O2495" s="2">
        <v>2</v>
      </c>
      <c r="P2495" s="2">
        <v>4</v>
      </c>
      <c r="U2495" s="2">
        <v>4</v>
      </c>
      <c r="V2495" s="2">
        <v>10</v>
      </c>
      <c r="W2495" s="2">
        <v>4</v>
      </c>
      <c r="X2495" s="2">
        <v>8</v>
      </c>
      <c r="Z2495" s="2">
        <v>13</v>
      </c>
      <c r="AA2495" s="3" t="s">
        <v>40</v>
      </c>
      <c r="AB2495" s="2">
        <v>4</v>
      </c>
      <c r="AF2495" s="2">
        <v>38</v>
      </c>
      <c r="AG2495" s="2">
        <v>2</v>
      </c>
      <c r="AH2495" s="3" t="s">
        <v>2063</v>
      </c>
      <c r="AI2495" s="4">
        <v>45110</v>
      </c>
      <c r="AJ2495" s="3" t="s">
        <v>2615</v>
      </c>
      <c r="AK2495" s="3" t="s">
        <v>38</v>
      </c>
    </row>
    <row r="2496" spans="1:37" hidden="1" x14ac:dyDescent="0.25">
      <c r="A2496" t="str">
        <f t="shared" si="38"/>
        <v>2023_Vic_Dooen_Lentil_DetailedTOS1VarietyKelpieXTWaterTrtRainFed</v>
      </c>
      <c r="B2496" s="2">
        <v>2023026</v>
      </c>
      <c r="C2496" s="3" t="s">
        <v>2583</v>
      </c>
      <c r="D2496" s="3" t="s">
        <v>38</v>
      </c>
      <c r="F2496" s="3" t="s">
        <v>4188</v>
      </c>
      <c r="G2496" s="3" t="s">
        <v>43</v>
      </c>
      <c r="H2496" s="3" t="s">
        <v>253</v>
      </c>
      <c r="I2496" s="2">
        <v>33</v>
      </c>
      <c r="J2496" s="2">
        <v>17</v>
      </c>
      <c r="K2496" s="2">
        <v>2</v>
      </c>
      <c r="O2496" s="2">
        <v>3</v>
      </c>
      <c r="P2496" s="2">
        <v>5</v>
      </c>
      <c r="U2496" s="2">
        <v>1</v>
      </c>
      <c r="V2496" s="2">
        <v>12</v>
      </c>
      <c r="W2496" s="2">
        <v>1</v>
      </c>
      <c r="X2496" s="2">
        <v>9</v>
      </c>
      <c r="AA2496" s="3" t="s">
        <v>40</v>
      </c>
      <c r="AB2496" s="2">
        <v>4</v>
      </c>
      <c r="AF2496" s="2">
        <v>38</v>
      </c>
      <c r="AG2496" s="2">
        <v>1</v>
      </c>
      <c r="AH2496" s="3" t="s">
        <v>2454</v>
      </c>
      <c r="AI2496" s="4">
        <v>45062</v>
      </c>
      <c r="AJ2496" s="3" t="s">
        <v>2616</v>
      </c>
      <c r="AK2496" s="3" t="s">
        <v>38</v>
      </c>
    </row>
    <row r="2497" spans="1:37" hidden="1" x14ac:dyDescent="0.25">
      <c r="A2497" t="str">
        <f t="shared" si="38"/>
        <v>2023_Vic_Dooen_Lentil_DetailedTOS1VarietyJumbo2WaterTrtRainFed</v>
      </c>
      <c r="B2497" s="2">
        <v>2023026</v>
      </c>
      <c r="C2497" s="3" t="s">
        <v>2583</v>
      </c>
      <c r="D2497" s="3" t="s">
        <v>38</v>
      </c>
      <c r="F2497" s="3" t="s">
        <v>4176</v>
      </c>
      <c r="G2497" s="3" t="s">
        <v>43</v>
      </c>
      <c r="H2497" s="3" t="s">
        <v>253</v>
      </c>
      <c r="I2497" s="2">
        <v>34</v>
      </c>
      <c r="J2497" s="2">
        <v>18</v>
      </c>
      <c r="K2497" s="2">
        <v>2</v>
      </c>
      <c r="O2497" s="2">
        <v>3</v>
      </c>
      <c r="P2497" s="2">
        <v>5</v>
      </c>
      <c r="U2497" s="2">
        <v>2</v>
      </c>
      <c r="V2497" s="2">
        <v>12</v>
      </c>
      <c r="W2497" s="2">
        <v>2</v>
      </c>
      <c r="X2497" s="2">
        <v>9</v>
      </c>
      <c r="AA2497" s="3" t="s">
        <v>40</v>
      </c>
      <c r="AB2497" s="2">
        <v>3</v>
      </c>
      <c r="AF2497" s="2">
        <v>38</v>
      </c>
      <c r="AG2497" s="2">
        <v>1</v>
      </c>
      <c r="AH2497" s="3" t="s">
        <v>2454</v>
      </c>
      <c r="AI2497" s="4">
        <v>45062</v>
      </c>
      <c r="AJ2497" s="3" t="s">
        <v>2617</v>
      </c>
      <c r="AK2497" s="3" t="s">
        <v>38</v>
      </c>
    </row>
    <row r="2498" spans="1:37" hidden="1" x14ac:dyDescent="0.25">
      <c r="A2498" t="str">
        <f t="shared" si="38"/>
        <v>2023_Vic_Dooen_Lentil_DetailedTOS1VarietyHallmarkXTWaterTrtIrrigated</v>
      </c>
      <c r="B2498" s="2">
        <v>2023026</v>
      </c>
      <c r="C2498" s="3" t="s">
        <v>2583</v>
      </c>
      <c r="D2498" s="3" t="s">
        <v>38</v>
      </c>
      <c r="F2498" s="3" t="s">
        <v>4189</v>
      </c>
      <c r="G2498" s="3" t="s">
        <v>39</v>
      </c>
      <c r="H2498" s="3" t="s">
        <v>253</v>
      </c>
      <c r="I2498" s="2">
        <v>35</v>
      </c>
      <c r="J2498" s="2">
        <v>19</v>
      </c>
      <c r="K2498" s="2">
        <v>2</v>
      </c>
      <c r="O2498" s="2">
        <v>3</v>
      </c>
      <c r="P2498" s="2">
        <v>6</v>
      </c>
      <c r="U2498" s="2">
        <v>3</v>
      </c>
      <c r="V2498" s="2">
        <v>12</v>
      </c>
      <c r="W2498" s="2">
        <v>3</v>
      </c>
      <c r="X2498" s="2">
        <v>9</v>
      </c>
      <c r="AA2498" s="3" t="s">
        <v>57</v>
      </c>
      <c r="AB2498" s="2">
        <v>2</v>
      </c>
      <c r="AF2498" s="2">
        <v>38</v>
      </c>
      <c r="AG2498" s="2">
        <v>1</v>
      </c>
      <c r="AH2498" s="3" t="s">
        <v>2454</v>
      </c>
      <c r="AI2498" s="4">
        <v>45062</v>
      </c>
      <c r="AJ2498" s="3" t="s">
        <v>2618</v>
      </c>
      <c r="AK2498" s="3" t="s">
        <v>38</v>
      </c>
    </row>
    <row r="2499" spans="1:37" hidden="1" x14ac:dyDescent="0.25">
      <c r="A2499" t="str">
        <f t="shared" ref="A2499:A2562" si="39">C2499&amp;"TOS"&amp;AG2499&amp;"Variety"&amp;F2499&amp;"WaterTrt"&amp;AA2499&amp;IF(AC2499="","","Agronomy"&amp;AC2499)</f>
        <v>2023_Vic_Dooen_Lentil_DetailedTOS1VarietyBoltWaterTrtIrrigated</v>
      </c>
      <c r="B2499" s="2">
        <v>2023026</v>
      </c>
      <c r="C2499" s="3" t="s">
        <v>2583</v>
      </c>
      <c r="D2499" s="3" t="s">
        <v>38</v>
      </c>
      <c r="F2499" s="3" t="s">
        <v>4187</v>
      </c>
      <c r="G2499" s="3" t="s">
        <v>39</v>
      </c>
      <c r="H2499" s="3" t="s">
        <v>253</v>
      </c>
      <c r="I2499" s="2">
        <v>36</v>
      </c>
      <c r="J2499" s="2">
        <v>20</v>
      </c>
      <c r="K2499" s="2">
        <v>2</v>
      </c>
      <c r="O2499" s="2">
        <v>3</v>
      </c>
      <c r="P2499" s="2">
        <v>6</v>
      </c>
      <c r="U2499" s="2">
        <v>4</v>
      </c>
      <c r="V2499" s="2">
        <v>12</v>
      </c>
      <c r="W2499" s="2">
        <v>4</v>
      </c>
      <c r="X2499" s="2">
        <v>9</v>
      </c>
      <c r="AA2499" s="3" t="s">
        <v>57</v>
      </c>
      <c r="AB2499" s="2">
        <v>1</v>
      </c>
      <c r="AF2499" s="2">
        <v>38</v>
      </c>
      <c r="AG2499" s="2">
        <v>1</v>
      </c>
      <c r="AH2499" s="3" t="s">
        <v>2454</v>
      </c>
      <c r="AI2499" s="4">
        <v>45062</v>
      </c>
      <c r="AJ2499" s="3" t="s">
        <v>2619</v>
      </c>
      <c r="AK2499" s="3" t="s">
        <v>38</v>
      </c>
    </row>
    <row r="2500" spans="1:37" hidden="1" x14ac:dyDescent="0.25">
      <c r="A2500" t="str">
        <f t="shared" si="39"/>
        <v>2023_Vic_Dooen_Lentil_DetailedTOS1VarietyKelpieXTWaterTrtRainFed</v>
      </c>
      <c r="B2500" s="2">
        <v>2023026</v>
      </c>
      <c r="C2500" s="3" t="s">
        <v>2583</v>
      </c>
      <c r="D2500" s="3" t="s">
        <v>38</v>
      </c>
      <c r="F2500" s="3" t="s">
        <v>4188</v>
      </c>
      <c r="G2500" s="3" t="s">
        <v>43</v>
      </c>
      <c r="H2500" s="3" t="s">
        <v>250</v>
      </c>
      <c r="I2500" s="2">
        <v>37</v>
      </c>
      <c r="J2500" s="2">
        <v>17</v>
      </c>
      <c r="K2500" s="2">
        <v>2</v>
      </c>
      <c r="O2500" s="2">
        <v>3</v>
      </c>
      <c r="P2500" s="2">
        <v>5</v>
      </c>
      <c r="U2500" s="2">
        <v>1</v>
      </c>
      <c r="V2500" s="2">
        <v>13</v>
      </c>
      <c r="W2500" s="2">
        <v>1</v>
      </c>
      <c r="X2500" s="2">
        <v>10</v>
      </c>
      <c r="Z2500" s="2">
        <v>17</v>
      </c>
      <c r="AA2500" s="3" t="s">
        <v>40</v>
      </c>
      <c r="AB2500" s="2">
        <v>4</v>
      </c>
      <c r="AF2500" s="2">
        <v>38</v>
      </c>
      <c r="AG2500" s="2">
        <v>1</v>
      </c>
      <c r="AH2500" s="3" t="s">
        <v>2454</v>
      </c>
      <c r="AI2500" s="4">
        <v>45062</v>
      </c>
      <c r="AJ2500" s="3" t="s">
        <v>2620</v>
      </c>
      <c r="AK2500" s="3" t="s">
        <v>38</v>
      </c>
    </row>
    <row r="2501" spans="1:37" hidden="1" x14ac:dyDescent="0.25">
      <c r="A2501" t="str">
        <f t="shared" si="39"/>
        <v>2023_Vic_Dooen_Lentil_DetailedTOS1VarietyJumbo2WaterTrtRainFed</v>
      </c>
      <c r="B2501" s="2">
        <v>2023026</v>
      </c>
      <c r="C2501" s="3" t="s">
        <v>2583</v>
      </c>
      <c r="D2501" s="3" t="s">
        <v>38</v>
      </c>
      <c r="F2501" s="3" t="s">
        <v>4176</v>
      </c>
      <c r="G2501" s="3" t="s">
        <v>43</v>
      </c>
      <c r="H2501" s="3" t="s">
        <v>250</v>
      </c>
      <c r="I2501" s="2">
        <v>38</v>
      </c>
      <c r="J2501" s="2">
        <v>18</v>
      </c>
      <c r="K2501" s="2">
        <v>2</v>
      </c>
      <c r="O2501" s="2">
        <v>3</v>
      </c>
      <c r="P2501" s="2">
        <v>5</v>
      </c>
      <c r="U2501" s="2">
        <v>2</v>
      </c>
      <c r="V2501" s="2">
        <v>13</v>
      </c>
      <c r="W2501" s="2">
        <v>2</v>
      </c>
      <c r="X2501" s="2">
        <v>10</v>
      </c>
      <c r="Z2501" s="2">
        <v>18</v>
      </c>
      <c r="AA2501" s="3" t="s">
        <v>40</v>
      </c>
      <c r="AB2501" s="2">
        <v>3</v>
      </c>
      <c r="AF2501" s="2">
        <v>38</v>
      </c>
      <c r="AG2501" s="2">
        <v>1</v>
      </c>
      <c r="AH2501" s="3" t="s">
        <v>2454</v>
      </c>
      <c r="AI2501" s="4">
        <v>45062</v>
      </c>
      <c r="AJ2501" s="3" t="s">
        <v>2621</v>
      </c>
      <c r="AK2501" s="3" t="s">
        <v>38</v>
      </c>
    </row>
    <row r="2502" spans="1:37" hidden="1" x14ac:dyDescent="0.25">
      <c r="A2502" t="str">
        <f t="shared" si="39"/>
        <v>2023_Vic_Dooen_Lentil_DetailedTOS1VarietyHallmarkXTWaterTrtIrrigated</v>
      </c>
      <c r="B2502" s="2">
        <v>2023026</v>
      </c>
      <c r="C2502" s="3" t="s">
        <v>2583</v>
      </c>
      <c r="D2502" s="3" t="s">
        <v>38</v>
      </c>
      <c r="F2502" s="3" t="s">
        <v>4189</v>
      </c>
      <c r="G2502" s="3" t="s">
        <v>39</v>
      </c>
      <c r="H2502" s="3" t="s">
        <v>250</v>
      </c>
      <c r="I2502" s="2">
        <v>39</v>
      </c>
      <c r="J2502" s="2">
        <v>19</v>
      </c>
      <c r="K2502" s="2">
        <v>2</v>
      </c>
      <c r="O2502" s="2">
        <v>3</v>
      </c>
      <c r="P2502" s="2">
        <v>6</v>
      </c>
      <c r="U2502" s="2">
        <v>3</v>
      </c>
      <c r="V2502" s="2">
        <v>13</v>
      </c>
      <c r="W2502" s="2">
        <v>3</v>
      </c>
      <c r="X2502" s="2">
        <v>10</v>
      </c>
      <c r="Z2502" s="2">
        <v>19</v>
      </c>
      <c r="AA2502" s="3" t="s">
        <v>57</v>
      </c>
      <c r="AB2502" s="2">
        <v>2</v>
      </c>
      <c r="AF2502" s="2">
        <v>38</v>
      </c>
      <c r="AG2502" s="2">
        <v>1</v>
      </c>
      <c r="AH2502" s="3" t="s">
        <v>2454</v>
      </c>
      <c r="AI2502" s="4">
        <v>45062</v>
      </c>
      <c r="AJ2502" s="3" t="s">
        <v>2622</v>
      </c>
      <c r="AK2502" s="3" t="s">
        <v>38</v>
      </c>
    </row>
    <row r="2503" spans="1:37" hidden="1" x14ac:dyDescent="0.25">
      <c r="A2503" t="str">
        <f t="shared" si="39"/>
        <v>2023_Vic_Dooen_Lentil_DetailedTOS1VarietyBoltWaterTrtIrrigated</v>
      </c>
      <c r="B2503" s="2">
        <v>2023026</v>
      </c>
      <c r="C2503" s="3" t="s">
        <v>2583</v>
      </c>
      <c r="D2503" s="3" t="s">
        <v>38</v>
      </c>
      <c r="F2503" s="3" t="s">
        <v>4187</v>
      </c>
      <c r="G2503" s="3" t="s">
        <v>39</v>
      </c>
      <c r="H2503" s="3" t="s">
        <v>250</v>
      </c>
      <c r="I2503" s="2">
        <v>40</v>
      </c>
      <c r="J2503" s="2">
        <v>20</v>
      </c>
      <c r="K2503" s="2">
        <v>2</v>
      </c>
      <c r="O2503" s="2">
        <v>3</v>
      </c>
      <c r="P2503" s="2">
        <v>6</v>
      </c>
      <c r="U2503" s="2">
        <v>4</v>
      </c>
      <c r="V2503" s="2">
        <v>13</v>
      </c>
      <c r="W2503" s="2">
        <v>4</v>
      </c>
      <c r="X2503" s="2">
        <v>10</v>
      </c>
      <c r="Z2503" s="2">
        <v>20</v>
      </c>
      <c r="AA2503" s="3" t="s">
        <v>57</v>
      </c>
      <c r="AB2503" s="2">
        <v>1</v>
      </c>
      <c r="AF2503" s="2">
        <v>38</v>
      </c>
      <c r="AG2503" s="2">
        <v>1</v>
      </c>
      <c r="AH2503" s="3" t="s">
        <v>2454</v>
      </c>
      <c r="AI2503" s="4">
        <v>45062</v>
      </c>
      <c r="AJ2503" s="3" t="s">
        <v>2623</v>
      </c>
      <c r="AK2503" s="3" t="s">
        <v>38</v>
      </c>
    </row>
    <row r="2504" spans="1:37" hidden="1" x14ac:dyDescent="0.25">
      <c r="A2504" t="str">
        <f t="shared" si="39"/>
        <v>2023_Vic_Dooen_Lentil_DetailedTOS1VarietyBoltWaterTrtRainFed</v>
      </c>
      <c r="B2504" s="2">
        <v>2023026</v>
      </c>
      <c r="C2504" s="3" t="s">
        <v>2583</v>
      </c>
      <c r="D2504" s="3" t="s">
        <v>38</v>
      </c>
      <c r="F2504" s="3" t="s">
        <v>4187</v>
      </c>
      <c r="G2504" s="3" t="s">
        <v>39</v>
      </c>
      <c r="H2504" s="3" t="s">
        <v>253</v>
      </c>
      <c r="I2504" s="2">
        <v>41</v>
      </c>
      <c r="J2504" s="2">
        <v>21</v>
      </c>
      <c r="K2504" s="2">
        <v>2</v>
      </c>
      <c r="O2504" s="2">
        <v>3</v>
      </c>
      <c r="P2504" s="2">
        <v>5</v>
      </c>
      <c r="U2504" s="2">
        <v>1</v>
      </c>
      <c r="V2504" s="2">
        <v>14</v>
      </c>
      <c r="W2504" s="2">
        <v>1</v>
      </c>
      <c r="X2504" s="2">
        <v>11</v>
      </c>
      <c r="AA2504" s="3" t="s">
        <v>40</v>
      </c>
      <c r="AB2504" s="2">
        <v>1</v>
      </c>
      <c r="AF2504" s="2">
        <v>38</v>
      </c>
      <c r="AG2504" s="2">
        <v>1</v>
      </c>
      <c r="AH2504" s="3" t="s">
        <v>2454</v>
      </c>
      <c r="AI2504" s="4">
        <v>45062</v>
      </c>
      <c r="AJ2504" s="3" t="s">
        <v>2624</v>
      </c>
      <c r="AK2504" s="3" t="s">
        <v>38</v>
      </c>
    </row>
    <row r="2505" spans="1:37" hidden="1" x14ac:dyDescent="0.25">
      <c r="A2505" t="str">
        <f t="shared" si="39"/>
        <v>2023_Vic_Dooen_Lentil_DetailedTOS1VarietyHallmarkXTWaterTrtRainFed</v>
      </c>
      <c r="B2505" s="2">
        <v>2023026</v>
      </c>
      <c r="C2505" s="3" t="s">
        <v>2583</v>
      </c>
      <c r="D2505" s="3" t="s">
        <v>38</v>
      </c>
      <c r="F2505" s="3" t="s">
        <v>4189</v>
      </c>
      <c r="G2505" s="3" t="s">
        <v>39</v>
      </c>
      <c r="H2505" s="3" t="s">
        <v>253</v>
      </c>
      <c r="I2505" s="2">
        <v>42</v>
      </c>
      <c r="J2505" s="2">
        <v>22</v>
      </c>
      <c r="K2505" s="2">
        <v>2</v>
      </c>
      <c r="O2505" s="2">
        <v>3</v>
      </c>
      <c r="P2505" s="2">
        <v>5</v>
      </c>
      <c r="U2505" s="2">
        <v>2</v>
      </c>
      <c r="V2505" s="2">
        <v>14</v>
      </c>
      <c r="W2505" s="2">
        <v>2</v>
      </c>
      <c r="X2505" s="2">
        <v>11</v>
      </c>
      <c r="AA2505" s="3" t="s">
        <v>40</v>
      </c>
      <c r="AB2505" s="2">
        <v>2</v>
      </c>
      <c r="AF2505" s="2">
        <v>38</v>
      </c>
      <c r="AG2505" s="2">
        <v>1</v>
      </c>
      <c r="AH2505" s="3" t="s">
        <v>2454</v>
      </c>
      <c r="AI2505" s="4">
        <v>45062</v>
      </c>
      <c r="AJ2505" s="3" t="s">
        <v>2625</v>
      </c>
      <c r="AK2505" s="3" t="s">
        <v>38</v>
      </c>
    </row>
    <row r="2506" spans="1:37" hidden="1" x14ac:dyDescent="0.25">
      <c r="A2506" t="str">
        <f t="shared" si="39"/>
        <v>2023_Vic_Dooen_Lentil_DetailedTOS1VarietyJumbo2WaterTrtIrrigated</v>
      </c>
      <c r="B2506" s="2">
        <v>2023026</v>
      </c>
      <c r="C2506" s="3" t="s">
        <v>2583</v>
      </c>
      <c r="D2506" s="3" t="s">
        <v>38</v>
      </c>
      <c r="F2506" s="3" t="s">
        <v>4176</v>
      </c>
      <c r="G2506" s="3" t="s">
        <v>43</v>
      </c>
      <c r="H2506" s="3" t="s">
        <v>253</v>
      </c>
      <c r="I2506" s="2">
        <v>43</v>
      </c>
      <c r="J2506" s="2">
        <v>23</v>
      </c>
      <c r="K2506" s="2">
        <v>2</v>
      </c>
      <c r="O2506" s="2">
        <v>3</v>
      </c>
      <c r="P2506" s="2">
        <v>6</v>
      </c>
      <c r="U2506" s="2">
        <v>3</v>
      </c>
      <c r="V2506" s="2">
        <v>14</v>
      </c>
      <c r="W2506" s="2">
        <v>3</v>
      </c>
      <c r="X2506" s="2">
        <v>11</v>
      </c>
      <c r="AA2506" s="3" t="s">
        <v>57</v>
      </c>
      <c r="AB2506" s="2">
        <v>3</v>
      </c>
      <c r="AF2506" s="2">
        <v>38</v>
      </c>
      <c r="AG2506" s="2">
        <v>1</v>
      </c>
      <c r="AH2506" s="3" t="s">
        <v>2454</v>
      </c>
      <c r="AI2506" s="4">
        <v>45062</v>
      </c>
      <c r="AJ2506" s="3" t="s">
        <v>2626</v>
      </c>
      <c r="AK2506" s="3" t="s">
        <v>38</v>
      </c>
    </row>
    <row r="2507" spans="1:37" hidden="1" x14ac:dyDescent="0.25">
      <c r="A2507" t="str">
        <f t="shared" si="39"/>
        <v>2023_Vic_Dooen_Lentil_DetailedTOS1VarietyKelpieXTWaterTrtIrrigated</v>
      </c>
      <c r="B2507" s="2">
        <v>2023026</v>
      </c>
      <c r="C2507" s="3" t="s">
        <v>2583</v>
      </c>
      <c r="D2507" s="3" t="s">
        <v>38</v>
      </c>
      <c r="F2507" s="3" t="s">
        <v>4188</v>
      </c>
      <c r="G2507" s="3" t="s">
        <v>43</v>
      </c>
      <c r="H2507" s="3" t="s">
        <v>253</v>
      </c>
      <c r="I2507" s="2">
        <v>44</v>
      </c>
      <c r="J2507" s="2">
        <v>24</v>
      </c>
      <c r="K2507" s="2">
        <v>2</v>
      </c>
      <c r="O2507" s="2">
        <v>3</v>
      </c>
      <c r="P2507" s="2">
        <v>6</v>
      </c>
      <c r="U2507" s="2">
        <v>4</v>
      </c>
      <c r="V2507" s="2">
        <v>14</v>
      </c>
      <c r="W2507" s="2">
        <v>4</v>
      </c>
      <c r="X2507" s="2">
        <v>11</v>
      </c>
      <c r="AA2507" s="3" t="s">
        <v>57</v>
      </c>
      <c r="AB2507" s="2">
        <v>4</v>
      </c>
      <c r="AF2507" s="2">
        <v>38</v>
      </c>
      <c r="AG2507" s="2">
        <v>1</v>
      </c>
      <c r="AH2507" s="3" t="s">
        <v>2454</v>
      </c>
      <c r="AI2507" s="4">
        <v>45062</v>
      </c>
      <c r="AJ2507" s="3" t="s">
        <v>2627</v>
      </c>
      <c r="AK2507" s="3" t="s">
        <v>38</v>
      </c>
    </row>
    <row r="2508" spans="1:37" hidden="1" x14ac:dyDescent="0.25">
      <c r="A2508" t="str">
        <f t="shared" si="39"/>
        <v>2023_Vic_Dooen_Lentil_DetailedTOS1VarietyBoltWaterTrtRainFed</v>
      </c>
      <c r="B2508" s="2">
        <v>2023026</v>
      </c>
      <c r="C2508" s="3" t="s">
        <v>2583</v>
      </c>
      <c r="D2508" s="3" t="s">
        <v>38</v>
      </c>
      <c r="F2508" s="3" t="s">
        <v>4187</v>
      </c>
      <c r="G2508" s="3" t="s">
        <v>39</v>
      </c>
      <c r="H2508" s="3" t="s">
        <v>250</v>
      </c>
      <c r="I2508" s="2">
        <v>45</v>
      </c>
      <c r="J2508" s="2">
        <v>21</v>
      </c>
      <c r="K2508" s="2">
        <v>2</v>
      </c>
      <c r="O2508" s="2">
        <v>3</v>
      </c>
      <c r="P2508" s="2">
        <v>5</v>
      </c>
      <c r="U2508" s="2">
        <v>1</v>
      </c>
      <c r="V2508" s="2">
        <v>15</v>
      </c>
      <c r="W2508" s="2">
        <v>1</v>
      </c>
      <c r="X2508" s="2">
        <v>12</v>
      </c>
      <c r="Z2508" s="2">
        <v>24</v>
      </c>
      <c r="AA2508" s="3" t="s">
        <v>40</v>
      </c>
      <c r="AB2508" s="2">
        <v>1</v>
      </c>
      <c r="AF2508" s="2">
        <v>38</v>
      </c>
      <c r="AG2508" s="2">
        <v>1</v>
      </c>
      <c r="AH2508" s="3" t="s">
        <v>2454</v>
      </c>
      <c r="AI2508" s="4">
        <v>45062</v>
      </c>
      <c r="AJ2508" s="3" t="s">
        <v>2628</v>
      </c>
      <c r="AK2508" s="3" t="s">
        <v>38</v>
      </c>
    </row>
    <row r="2509" spans="1:37" hidden="1" x14ac:dyDescent="0.25">
      <c r="A2509" t="str">
        <f t="shared" si="39"/>
        <v>2023_Vic_Dooen_Lentil_DetailedTOS1VarietyHallmarkXTWaterTrtRainFed</v>
      </c>
      <c r="B2509" s="2">
        <v>2023026</v>
      </c>
      <c r="C2509" s="3" t="s">
        <v>2583</v>
      </c>
      <c r="D2509" s="3" t="s">
        <v>38</v>
      </c>
      <c r="F2509" s="3" t="s">
        <v>4189</v>
      </c>
      <c r="G2509" s="3" t="s">
        <v>39</v>
      </c>
      <c r="H2509" s="3" t="s">
        <v>250</v>
      </c>
      <c r="I2509" s="2">
        <v>46</v>
      </c>
      <c r="J2509" s="2">
        <v>22</v>
      </c>
      <c r="K2509" s="2">
        <v>2</v>
      </c>
      <c r="O2509" s="2">
        <v>3</v>
      </c>
      <c r="P2509" s="2">
        <v>5</v>
      </c>
      <c r="U2509" s="2">
        <v>2</v>
      </c>
      <c r="V2509" s="2">
        <v>15</v>
      </c>
      <c r="W2509" s="2">
        <v>2</v>
      </c>
      <c r="X2509" s="2">
        <v>12</v>
      </c>
      <c r="Z2509" s="2">
        <v>23</v>
      </c>
      <c r="AA2509" s="3" t="s">
        <v>40</v>
      </c>
      <c r="AB2509" s="2">
        <v>2</v>
      </c>
      <c r="AF2509" s="2">
        <v>38</v>
      </c>
      <c r="AG2509" s="2">
        <v>1</v>
      </c>
      <c r="AH2509" s="3" t="s">
        <v>2454</v>
      </c>
      <c r="AI2509" s="4">
        <v>45062</v>
      </c>
      <c r="AJ2509" s="3" t="s">
        <v>2629</v>
      </c>
      <c r="AK2509" s="3" t="s">
        <v>38</v>
      </c>
    </row>
    <row r="2510" spans="1:37" hidden="1" x14ac:dyDescent="0.25">
      <c r="A2510" t="str">
        <f t="shared" si="39"/>
        <v>2023_Vic_Dooen_Lentil_DetailedTOS1VarietyJumbo2WaterTrtIrrigated</v>
      </c>
      <c r="B2510" s="2">
        <v>2023026</v>
      </c>
      <c r="C2510" s="3" t="s">
        <v>2583</v>
      </c>
      <c r="D2510" s="3" t="s">
        <v>38</v>
      </c>
      <c r="F2510" s="3" t="s">
        <v>4176</v>
      </c>
      <c r="G2510" s="3" t="s">
        <v>43</v>
      </c>
      <c r="H2510" s="3" t="s">
        <v>250</v>
      </c>
      <c r="I2510" s="2">
        <v>47</v>
      </c>
      <c r="J2510" s="2">
        <v>23</v>
      </c>
      <c r="K2510" s="2">
        <v>2</v>
      </c>
      <c r="O2510" s="2">
        <v>3</v>
      </c>
      <c r="P2510" s="2">
        <v>6</v>
      </c>
      <c r="U2510" s="2">
        <v>3</v>
      </c>
      <c r="V2510" s="2">
        <v>15</v>
      </c>
      <c r="W2510" s="2">
        <v>3</v>
      </c>
      <c r="X2510" s="2">
        <v>12</v>
      </c>
      <c r="Z2510" s="2">
        <v>22</v>
      </c>
      <c r="AA2510" s="3" t="s">
        <v>57</v>
      </c>
      <c r="AB2510" s="2">
        <v>3</v>
      </c>
      <c r="AF2510" s="2">
        <v>38</v>
      </c>
      <c r="AG2510" s="2">
        <v>1</v>
      </c>
      <c r="AH2510" s="3" t="s">
        <v>2454</v>
      </c>
      <c r="AI2510" s="4">
        <v>45062</v>
      </c>
      <c r="AJ2510" s="3" t="s">
        <v>2630</v>
      </c>
      <c r="AK2510" s="3" t="s">
        <v>38</v>
      </c>
    </row>
    <row r="2511" spans="1:37" hidden="1" x14ac:dyDescent="0.25">
      <c r="A2511" t="str">
        <f t="shared" si="39"/>
        <v>2023_Vic_Dooen_Lentil_DetailedTOS1VarietyKelpieXTWaterTrtIrrigated</v>
      </c>
      <c r="B2511" s="2">
        <v>2023026</v>
      </c>
      <c r="C2511" s="3" t="s">
        <v>2583</v>
      </c>
      <c r="D2511" s="3" t="s">
        <v>38</v>
      </c>
      <c r="F2511" s="3" t="s">
        <v>4188</v>
      </c>
      <c r="G2511" s="3" t="s">
        <v>43</v>
      </c>
      <c r="H2511" s="3" t="s">
        <v>250</v>
      </c>
      <c r="I2511" s="2">
        <v>48</v>
      </c>
      <c r="J2511" s="2">
        <v>24</v>
      </c>
      <c r="K2511" s="2">
        <v>2</v>
      </c>
      <c r="O2511" s="2">
        <v>3</v>
      </c>
      <c r="P2511" s="2">
        <v>6</v>
      </c>
      <c r="U2511" s="2">
        <v>4</v>
      </c>
      <c r="V2511" s="2">
        <v>15</v>
      </c>
      <c r="W2511" s="2">
        <v>4</v>
      </c>
      <c r="X2511" s="2">
        <v>12</v>
      </c>
      <c r="Z2511" s="2">
        <v>21</v>
      </c>
      <c r="AA2511" s="3" t="s">
        <v>57</v>
      </c>
      <c r="AB2511" s="2">
        <v>4</v>
      </c>
      <c r="AF2511" s="2">
        <v>38</v>
      </c>
      <c r="AG2511" s="2">
        <v>1</v>
      </c>
      <c r="AH2511" s="3" t="s">
        <v>2454</v>
      </c>
      <c r="AI2511" s="4">
        <v>45062</v>
      </c>
      <c r="AJ2511" s="3" t="s">
        <v>2631</v>
      </c>
      <c r="AK2511" s="3" t="s">
        <v>38</v>
      </c>
    </row>
    <row r="2512" spans="1:37" hidden="1" x14ac:dyDescent="0.25">
      <c r="A2512" t="str">
        <f t="shared" si="39"/>
        <v>2023_Vic_Dooen_Lentil_DetailedTOS2VarietyJumbo2WaterTrtRainFed</v>
      </c>
      <c r="B2512" s="2">
        <v>2023026</v>
      </c>
      <c r="C2512" s="3" t="s">
        <v>2583</v>
      </c>
      <c r="D2512" s="3" t="s">
        <v>38</v>
      </c>
      <c r="F2512" s="3" t="s">
        <v>4176</v>
      </c>
      <c r="G2512" s="3" t="s">
        <v>43</v>
      </c>
      <c r="H2512" s="3" t="s">
        <v>253</v>
      </c>
      <c r="I2512" s="2">
        <v>49</v>
      </c>
      <c r="J2512" s="2">
        <v>25</v>
      </c>
      <c r="K2512" s="2">
        <v>2</v>
      </c>
      <c r="O2512" s="2">
        <v>4</v>
      </c>
      <c r="P2512" s="2">
        <v>7</v>
      </c>
      <c r="U2512" s="2">
        <v>1</v>
      </c>
      <c r="V2512" s="2">
        <v>17</v>
      </c>
      <c r="W2512" s="2">
        <v>1</v>
      </c>
      <c r="X2512" s="2">
        <v>13</v>
      </c>
      <c r="AA2512" s="3" t="s">
        <v>40</v>
      </c>
      <c r="AB2512" s="2">
        <v>3</v>
      </c>
      <c r="AF2512" s="2">
        <v>38</v>
      </c>
      <c r="AG2512" s="2">
        <v>2</v>
      </c>
      <c r="AH2512" s="3" t="s">
        <v>2063</v>
      </c>
      <c r="AI2512" s="4">
        <v>45110</v>
      </c>
      <c r="AJ2512" s="3" t="s">
        <v>2632</v>
      </c>
      <c r="AK2512" s="3" t="s">
        <v>38</v>
      </c>
    </row>
    <row r="2513" spans="1:37" hidden="1" x14ac:dyDescent="0.25">
      <c r="A2513" t="str">
        <f t="shared" si="39"/>
        <v>2023_Vic_Dooen_Lentil_DetailedTOS2VarietyBoltWaterTrtRainFed</v>
      </c>
      <c r="B2513" s="2">
        <v>2023026</v>
      </c>
      <c r="C2513" s="3" t="s">
        <v>2583</v>
      </c>
      <c r="D2513" s="3" t="s">
        <v>38</v>
      </c>
      <c r="F2513" s="3" t="s">
        <v>4187</v>
      </c>
      <c r="G2513" s="3" t="s">
        <v>39</v>
      </c>
      <c r="H2513" s="3" t="s">
        <v>253</v>
      </c>
      <c r="I2513" s="2">
        <v>50</v>
      </c>
      <c r="J2513" s="2">
        <v>26</v>
      </c>
      <c r="K2513" s="2">
        <v>2</v>
      </c>
      <c r="O2513" s="2">
        <v>4</v>
      </c>
      <c r="P2513" s="2">
        <v>7</v>
      </c>
      <c r="U2513" s="2">
        <v>2</v>
      </c>
      <c r="V2513" s="2">
        <v>17</v>
      </c>
      <c r="W2513" s="2">
        <v>2</v>
      </c>
      <c r="X2513" s="2">
        <v>13</v>
      </c>
      <c r="AA2513" s="3" t="s">
        <v>40</v>
      </c>
      <c r="AB2513" s="2">
        <v>1</v>
      </c>
      <c r="AF2513" s="2">
        <v>38</v>
      </c>
      <c r="AG2513" s="2">
        <v>2</v>
      </c>
      <c r="AH2513" s="3" t="s">
        <v>2063</v>
      </c>
      <c r="AI2513" s="4">
        <v>45110</v>
      </c>
      <c r="AJ2513" s="3" t="s">
        <v>2633</v>
      </c>
      <c r="AK2513" s="3" t="s">
        <v>38</v>
      </c>
    </row>
    <row r="2514" spans="1:37" hidden="1" x14ac:dyDescent="0.25">
      <c r="A2514" t="str">
        <f t="shared" si="39"/>
        <v>2023_Vic_Dooen_Lentil_DetailedTOS2VarietyHallmarkXTWaterTrtIrrigated</v>
      </c>
      <c r="B2514" s="2">
        <v>2023026</v>
      </c>
      <c r="C2514" s="3" t="s">
        <v>2583</v>
      </c>
      <c r="D2514" s="3" t="s">
        <v>38</v>
      </c>
      <c r="F2514" s="3" t="s">
        <v>4189</v>
      </c>
      <c r="G2514" s="3" t="s">
        <v>39</v>
      </c>
      <c r="H2514" s="3" t="s">
        <v>253</v>
      </c>
      <c r="I2514" s="2">
        <v>51</v>
      </c>
      <c r="J2514" s="2">
        <v>27</v>
      </c>
      <c r="K2514" s="2">
        <v>2</v>
      </c>
      <c r="O2514" s="2">
        <v>4</v>
      </c>
      <c r="P2514" s="2">
        <v>8</v>
      </c>
      <c r="U2514" s="2">
        <v>3</v>
      </c>
      <c r="V2514" s="2">
        <v>17</v>
      </c>
      <c r="W2514" s="2">
        <v>3</v>
      </c>
      <c r="X2514" s="2">
        <v>13</v>
      </c>
      <c r="AA2514" s="3" t="s">
        <v>57</v>
      </c>
      <c r="AB2514" s="2">
        <v>2</v>
      </c>
      <c r="AF2514" s="2">
        <v>38</v>
      </c>
      <c r="AG2514" s="2">
        <v>2</v>
      </c>
      <c r="AH2514" s="3" t="s">
        <v>2063</v>
      </c>
      <c r="AI2514" s="4">
        <v>45110</v>
      </c>
      <c r="AJ2514" s="3" t="s">
        <v>2634</v>
      </c>
      <c r="AK2514" s="3" t="s">
        <v>38</v>
      </c>
    </row>
    <row r="2515" spans="1:37" hidden="1" x14ac:dyDescent="0.25">
      <c r="A2515" t="str">
        <f t="shared" si="39"/>
        <v>2023_Vic_Dooen_Lentil_DetailedTOS2VarietyKelpieXTWaterTrtIrrigated</v>
      </c>
      <c r="B2515" s="2">
        <v>2023026</v>
      </c>
      <c r="C2515" s="3" t="s">
        <v>2583</v>
      </c>
      <c r="D2515" s="3" t="s">
        <v>38</v>
      </c>
      <c r="F2515" s="3" t="s">
        <v>4188</v>
      </c>
      <c r="G2515" s="3" t="s">
        <v>43</v>
      </c>
      <c r="H2515" s="3" t="s">
        <v>253</v>
      </c>
      <c r="I2515" s="2">
        <v>52</v>
      </c>
      <c r="J2515" s="2">
        <v>28</v>
      </c>
      <c r="K2515" s="2">
        <v>2</v>
      </c>
      <c r="O2515" s="2">
        <v>4</v>
      </c>
      <c r="P2515" s="2">
        <v>8</v>
      </c>
      <c r="U2515" s="2">
        <v>4</v>
      </c>
      <c r="V2515" s="2">
        <v>17</v>
      </c>
      <c r="W2515" s="2">
        <v>4</v>
      </c>
      <c r="X2515" s="2">
        <v>13</v>
      </c>
      <c r="AA2515" s="3" t="s">
        <v>57</v>
      </c>
      <c r="AB2515" s="2">
        <v>4</v>
      </c>
      <c r="AF2515" s="2">
        <v>38</v>
      </c>
      <c r="AG2515" s="2">
        <v>2</v>
      </c>
      <c r="AH2515" s="3" t="s">
        <v>2063</v>
      </c>
      <c r="AI2515" s="4">
        <v>45110</v>
      </c>
      <c r="AJ2515" s="3" t="s">
        <v>2635</v>
      </c>
      <c r="AK2515" s="3" t="s">
        <v>38</v>
      </c>
    </row>
    <row r="2516" spans="1:37" hidden="1" x14ac:dyDescent="0.25">
      <c r="A2516" t="str">
        <f t="shared" si="39"/>
        <v>2023_Vic_Dooen_Lentil_DetailedTOS2VarietyJumbo2WaterTrtRainFed</v>
      </c>
      <c r="B2516" s="2">
        <v>2023026</v>
      </c>
      <c r="C2516" s="3" t="s">
        <v>2583</v>
      </c>
      <c r="D2516" s="3" t="s">
        <v>38</v>
      </c>
      <c r="F2516" s="3" t="s">
        <v>4176</v>
      </c>
      <c r="G2516" s="3" t="s">
        <v>43</v>
      </c>
      <c r="H2516" s="3" t="s">
        <v>250</v>
      </c>
      <c r="I2516" s="2">
        <v>53</v>
      </c>
      <c r="J2516" s="2">
        <v>25</v>
      </c>
      <c r="K2516" s="2">
        <v>2</v>
      </c>
      <c r="O2516" s="2">
        <v>4</v>
      </c>
      <c r="P2516" s="2">
        <v>7</v>
      </c>
      <c r="U2516" s="2">
        <v>1</v>
      </c>
      <c r="V2516" s="2">
        <v>18</v>
      </c>
      <c r="W2516" s="2">
        <v>1</v>
      </c>
      <c r="X2516" s="2">
        <v>14</v>
      </c>
      <c r="Z2516" s="2">
        <v>25</v>
      </c>
      <c r="AA2516" s="3" t="s">
        <v>40</v>
      </c>
      <c r="AB2516" s="2">
        <v>3</v>
      </c>
      <c r="AF2516" s="2">
        <v>38</v>
      </c>
      <c r="AG2516" s="2">
        <v>2</v>
      </c>
      <c r="AH2516" s="3" t="s">
        <v>2063</v>
      </c>
      <c r="AI2516" s="4">
        <v>45110</v>
      </c>
      <c r="AJ2516" s="3" t="s">
        <v>2636</v>
      </c>
      <c r="AK2516" s="3" t="s">
        <v>38</v>
      </c>
    </row>
    <row r="2517" spans="1:37" hidden="1" x14ac:dyDescent="0.25">
      <c r="A2517" t="str">
        <f t="shared" si="39"/>
        <v>2023_Vic_Dooen_Lentil_DetailedTOS2VarietyBoltWaterTrtRainFed</v>
      </c>
      <c r="B2517" s="2">
        <v>2023026</v>
      </c>
      <c r="C2517" s="3" t="s">
        <v>2583</v>
      </c>
      <c r="D2517" s="3" t="s">
        <v>38</v>
      </c>
      <c r="F2517" s="3" t="s">
        <v>4187</v>
      </c>
      <c r="G2517" s="3" t="s">
        <v>39</v>
      </c>
      <c r="H2517" s="3" t="s">
        <v>250</v>
      </c>
      <c r="I2517" s="2">
        <v>54</v>
      </c>
      <c r="J2517" s="2">
        <v>26</v>
      </c>
      <c r="K2517" s="2">
        <v>2</v>
      </c>
      <c r="O2517" s="2">
        <v>4</v>
      </c>
      <c r="P2517" s="2">
        <v>7</v>
      </c>
      <c r="U2517" s="2">
        <v>2</v>
      </c>
      <c r="V2517" s="2">
        <v>18</v>
      </c>
      <c r="W2517" s="2">
        <v>2</v>
      </c>
      <c r="X2517" s="2">
        <v>14</v>
      </c>
      <c r="Z2517" s="2">
        <v>26</v>
      </c>
      <c r="AA2517" s="3" t="s">
        <v>40</v>
      </c>
      <c r="AB2517" s="2">
        <v>1</v>
      </c>
      <c r="AF2517" s="2">
        <v>38</v>
      </c>
      <c r="AG2517" s="2">
        <v>2</v>
      </c>
      <c r="AH2517" s="3" t="s">
        <v>2063</v>
      </c>
      <c r="AI2517" s="4">
        <v>45110</v>
      </c>
      <c r="AJ2517" s="3" t="s">
        <v>2637</v>
      </c>
      <c r="AK2517" s="3" t="s">
        <v>38</v>
      </c>
    </row>
    <row r="2518" spans="1:37" hidden="1" x14ac:dyDescent="0.25">
      <c r="A2518" t="str">
        <f t="shared" si="39"/>
        <v>2023_Vic_Dooen_Lentil_DetailedTOS2VarietyHallmarkXTWaterTrtIrrigated</v>
      </c>
      <c r="B2518" s="2">
        <v>2023026</v>
      </c>
      <c r="C2518" s="3" t="s">
        <v>2583</v>
      </c>
      <c r="D2518" s="3" t="s">
        <v>38</v>
      </c>
      <c r="F2518" s="3" t="s">
        <v>4189</v>
      </c>
      <c r="G2518" s="3" t="s">
        <v>39</v>
      </c>
      <c r="H2518" s="3" t="s">
        <v>250</v>
      </c>
      <c r="I2518" s="2">
        <v>55</v>
      </c>
      <c r="J2518" s="2">
        <v>27</v>
      </c>
      <c r="K2518" s="2">
        <v>2</v>
      </c>
      <c r="O2518" s="2">
        <v>4</v>
      </c>
      <c r="P2518" s="2">
        <v>8</v>
      </c>
      <c r="U2518" s="2">
        <v>3</v>
      </c>
      <c r="V2518" s="2">
        <v>18</v>
      </c>
      <c r="W2518" s="2">
        <v>3</v>
      </c>
      <c r="X2518" s="2">
        <v>14</v>
      </c>
      <c r="Z2518" s="2">
        <v>27</v>
      </c>
      <c r="AA2518" s="3" t="s">
        <v>57</v>
      </c>
      <c r="AB2518" s="2">
        <v>2</v>
      </c>
      <c r="AF2518" s="2">
        <v>38</v>
      </c>
      <c r="AG2518" s="2">
        <v>2</v>
      </c>
      <c r="AH2518" s="3" t="s">
        <v>2063</v>
      </c>
      <c r="AI2518" s="4">
        <v>45110</v>
      </c>
      <c r="AJ2518" s="3" t="s">
        <v>2638</v>
      </c>
      <c r="AK2518" s="3" t="s">
        <v>38</v>
      </c>
    </row>
    <row r="2519" spans="1:37" hidden="1" x14ac:dyDescent="0.25">
      <c r="A2519" t="str">
        <f t="shared" si="39"/>
        <v>2023_Vic_Dooen_Lentil_DetailedTOS2VarietyKelpieXTWaterTrtIrrigated</v>
      </c>
      <c r="B2519" s="2">
        <v>2023026</v>
      </c>
      <c r="C2519" s="3" t="s">
        <v>2583</v>
      </c>
      <c r="D2519" s="3" t="s">
        <v>38</v>
      </c>
      <c r="F2519" s="3" t="s">
        <v>4188</v>
      </c>
      <c r="G2519" s="3" t="s">
        <v>43</v>
      </c>
      <c r="H2519" s="3" t="s">
        <v>250</v>
      </c>
      <c r="I2519" s="2">
        <v>56</v>
      </c>
      <c r="J2519" s="2">
        <v>28</v>
      </c>
      <c r="K2519" s="2">
        <v>2</v>
      </c>
      <c r="O2519" s="2">
        <v>4</v>
      </c>
      <c r="P2519" s="2">
        <v>8</v>
      </c>
      <c r="U2519" s="2">
        <v>4</v>
      </c>
      <c r="V2519" s="2">
        <v>18</v>
      </c>
      <c r="W2519" s="2">
        <v>4</v>
      </c>
      <c r="X2519" s="2">
        <v>14</v>
      </c>
      <c r="Z2519" s="2">
        <v>28</v>
      </c>
      <c r="AA2519" s="3" t="s">
        <v>57</v>
      </c>
      <c r="AB2519" s="2">
        <v>4</v>
      </c>
      <c r="AF2519" s="2">
        <v>38</v>
      </c>
      <c r="AG2519" s="2">
        <v>2</v>
      </c>
      <c r="AH2519" s="3" t="s">
        <v>2063</v>
      </c>
      <c r="AI2519" s="4">
        <v>45110</v>
      </c>
      <c r="AJ2519" s="3" t="s">
        <v>2639</v>
      </c>
      <c r="AK2519" s="3" t="s">
        <v>38</v>
      </c>
    </row>
    <row r="2520" spans="1:37" hidden="1" x14ac:dyDescent="0.25">
      <c r="A2520" t="str">
        <f t="shared" si="39"/>
        <v>2023_Vic_Dooen_Lentil_DetailedTOS2VarietyKelpieXTWaterTrtRainFed</v>
      </c>
      <c r="B2520" s="2">
        <v>2023026</v>
      </c>
      <c r="C2520" s="3" t="s">
        <v>2583</v>
      </c>
      <c r="D2520" s="3" t="s">
        <v>38</v>
      </c>
      <c r="F2520" s="3" t="s">
        <v>4188</v>
      </c>
      <c r="G2520" s="3" t="s">
        <v>43</v>
      </c>
      <c r="H2520" s="3" t="s">
        <v>253</v>
      </c>
      <c r="I2520" s="2">
        <v>57</v>
      </c>
      <c r="J2520" s="2">
        <v>29</v>
      </c>
      <c r="K2520" s="2">
        <v>2</v>
      </c>
      <c r="O2520" s="2">
        <v>4</v>
      </c>
      <c r="P2520" s="2">
        <v>7</v>
      </c>
      <c r="U2520" s="2">
        <v>1</v>
      </c>
      <c r="V2520" s="2">
        <v>19</v>
      </c>
      <c r="W2520" s="2">
        <v>1</v>
      </c>
      <c r="X2520" s="2">
        <v>15</v>
      </c>
      <c r="AA2520" s="3" t="s">
        <v>40</v>
      </c>
      <c r="AB2520" s="2">
        <v>4</v>
      </c>
      <c r="AF2520" s="2">
        <v>38</v>
      </c>
      <c r="AG2520" s="2">
        <v>2</v>
      </c>
      <c r="AH2520" s="3" t="s">
        <v>2063</v>
      </c>
      <c r="AI2520" s="4">
        <v>45110</v>
      </c>
      <c r="AJ2520" s="3" t="s">
        <v>2640</v>
      </c>
      <c r="AK2520" s="3" t="s">
        <v>38</v>
      </c>
    </row>
    <row r="2521" spans="1:37" hidden="1" x14ac:dyDescent="0.25">
      <c r="A2521" t="str">
        <f t="shared" si="39"/>
        <v>2023_Vic_Dooen_Lentil_DetailedTOS2VarietyHallmarkXTWaterTrtRainFed</v>
      </c>
      <c r="B2521" s="2">
        <v>2023026</v>
      </c>
      <c r="C2521" s="3" t="s">
        <v>2583</v>
      </c>
      <c r="D2521" s="3" t="s">
        <v>38</v>
      </c>
      <c r="F2521" s="3" t="s">
        <v>4189</v>
      </c>
      <c r="G2521" s="3" t="s">
        <v>39</v>
      </c>
      <c r="H2521" s="3" t="s">
        <v>253</v>
      </c>
      <c r="I2521" s="2">
        <v>58</v>
      </c>
      <c r="J2521" s="2">
        <v>30</v>
      </c>
      <c r="K2521" s="2">
        <v>2</v>
      </c>
      <c r="O2521" s="2">
        <v>4</v>
      </c>
      <c r="P2521" s="2">
        <v>7</v>
      </c>
      <c r="U2521" s="2">
        <v>2</v>
      </c>
      <c r="V2521" s="2">
        <v>19</v>
      </c>
      <c r="W2521" s="2">
        <v>2</v>
      </c>
      <c r="X2521" s="2">
        <v>15</v>
      </c>
      <c r="AA2521" s="3" t="s">
        <v>40</v>
      </c>
      <c r="AB2521" s="2">
        <v>2</v>
      </c>
      <c r="AF2521" s="2">
        <v>38</v>
      </c>
      <c r="AG2521" s="2">
        <v>2</v>
      </c>
      <c r="AH2521" s="3" t="s">
        <v>2063</v>
      </c>
      <c r="AI2521" s="4">
        <v>45110</v>
      </c>
      <c r="AJ2521" s="3" t="s">
        <v>2641</v>
      </c>
      <c r="AK2521" s="3" t="s">
        <v>38</v>
      </c>
    </row>
    <row r="2522" spans="1:37" hidden="1" x14ac:dyDescent="0.25">
      <c r="A2522" t="str">
        <f t="shared" si="39"/>
        <v>2023_Vic_Dooen_Lentil_DetailedTOS2VarietyBoltWaterTrtIrrigated</v>
      </c>
      <c r="B2522" s="2">
        <v>2023026</v>
      </c>
      <c r="C2522" s="3" t="s">
        <v>2583</v>
      </c>
      <c r="D2522" s="3" t="s">
        <v>38</v>
      </c>
      <c r="F2522" s="3" t="s">
        <v>4187</v>
      </c>
      <c r="G2522" s="3" t="s">
        <v>39</v>
      </c>
      <c r="H2522" s="3" t="s">
        <v>253</v>
      </c>
      <c r="I2522" s="2">
        <v>59</v>
      </c>
      <c r="J2522" s="2">
        <v>31</v>
      </c>
      <c r="K2522" s="2">
        <v>2</v>
      </c>
      <c r="O2522" s="2">
        <v>4</v>
      </c>
      <c r="P2522" s="2">
        <v>8</v>
      </c>
      <c r="U2522" s="2">
        <v>3</v>
      </c>
      <c r="V2522" s="2">
        <v>19</v>
      </c>
      <c r="W2522" s="2">
        <v>3</v>
      </c>
      <c r="X2522" s="2">
        <v>15</v>
      </c>
      <c r="AA2522" s="3" t="s">
        <v>57</v>
      </c>
      <c r="AB2522" s="2">
        <v>1</v>
      </c>
      <c r="AF2522" s="2">
        <v>38</v>
      </c>
      <c r="AG2522" s="2">
        <v>2</v>
      </c>
      <c r="AH2522" s="3" t="s">
        <v>2063</v>
      </c>
      <c r="AI2522" s="4">
        <v>45110</v>
      </c>
      <c r="AJ2522" s="3" t="s">
        <v>2642</v>
      </c>
      <c r="AK2522" s="3" t="s">
        <v>38</v>
      </c>
    </row>
    <row r="2523" spans="1:37" hidden="1" x14ac:dyDescent="0.25">
      <c r="A2523" t="str">
        <f t="shared" si="39"/>
        <v>2023_Vic_Dooen_Lentil_DetailedTOS2VarietyJumbo2WaterTrtIrrigated</v>
      </c>
      <c r="B2523" s="2">
        <v>2023026</v>
      </c>
      <c r="C2523" s="3" t="s">
        <v>2583</v>
      </c>
      <c r="D2523" s="3" t="s">
        <v>38</v>
      </c>
      <c r="F2523" s="3" t="s">
        <v>4176</v>
      </c>
      <c r="G2523" s="3" t="s">
        <v>43</v>
      </c>
      <c r="H2523" s="3" t="s">
        <v>253</v>
      </c>
      <c r="I2523" s="2">
        <v>60</v>
      </c>
      <c r="J2523" s="2">
        <v>32</v>
      </c>
      <c r="K2523" s="2">
        <v>2</v>
      </c>
      <c r="O2523" s="2">
        <v>4</v>
      </c>
      <c r="P2523" s="2">
        <v>8</v>
      </c>
      <c r="U2523" s="2">
        <v>4</v>
      </c>
      <c r="V2523" s="2">
        <v>19</v>
      </c>
      <c r="W2523" s="2">
        <v>4</v>
      </c>
      <c r="X2523" s="2">
        <v>15</v>
      </c>
      <c r="AA2523" s="3" t="s">
        <v>57</v>
      </c>
      <c r="AB2523" s="2">
        <v>3</v>
      </c>
      <c r="AF2523" s="2">
        <v>38</v>
      </c>
      <c r="AG2523" s="2">
        <v>2</v>
      </c>
      <c r="AH2523" s="3" t="s">
        <v>2063</v>
      </c>
      <c r="AI2523" s="4">
        <v>45110</v>
      </c>
      <c r="AJ2523" s="3" t="s">
        <v>2643</v>
      </c>
      <c r="AK2523" s="3" t="s">
        <v>38</v>
      </c>
    </row>
    <row r="2524" spans="1:37" hidden="1" x14ac:dyDescent="0.25">
      <c r="A2524" t="str">
        <f t="shared" si="39"/>
        <v>2023_Vic_Dooen_Lentil_DetailedTOS2VarietyKelpieXTWaterTrtRainFed</v>
      </c>
      <c r="B2524" s="2">
        <v>2023026</v>
      </c>
      <c r="C2524" s="3" t="s">
        <v>2583</v>
      </c>
      <c r="D2524" s="3" t="s">
        <v>38</v>
      </c>
      <c r="F2524" s="3" t="s">
        <v>4188</v>
      </c>
      <c r="G2524" s="3" t="s">
        <v>43</v>
      </c>
      <c r="H2524" s="3" t="s">
        <v>250</v>
      </c>
      <c r="I2524" s="2">
        <v>61</v>
      </c>
      <c r="J2524" s="2">
        <v>29</v>
      </c>
      <c r="K2524" s="2">
        <v>2</v>
      </c>
      <c r="O2524" s="2">
        <v>4</v>
      </c>
      <c r="P2524" s="2">
        <v>7</v>
      </c>
      <c r="U2524" s="2">
        <v>1</v>
      </c>
      <c r="V2524" s="2">
        <v>20</v>
      </c>
      <c r="W2524" s="2">
        <v>1</v>
      </c>
      <c r="X2524" s="2">
        <v>16</v>
      </c>
      <c r="Z2524" s="2">
        <v>32</v>
      </c>
      <c r="AA2524" s="3" t="s">
        <v>40</v>
      </c>
      <c r="AB2524" s="2">
        <v>4</v>
      </c>
      <c r="AF2524" s="2">
        <v>38</v>
      </c>
      <c r="AG2524" s="2">
        <v>2</v>
      </c>
      <c r="AH2524" s="3" t="s">
        <v>2063</v>
      </c>
      <c r="AI2524" s="4">
        <v>45110</v>
      </c>
      <c r="AJ2524" s="3" t="s">
        <v>2644</v>
      </c>
      <c r="AK2524" s="3" t="s">
        <v>38</v>
      </c>
    </row>
    <row r="2525" spans="1:37" hidden="1" x14ac:dyDescent="0.25">
      <c r="A2525" t="str">
        <f t="shared" si="39"/>
        <v>2023_Vic_Dooen_Lentil_DetailedTOS2VarietyHallmarkXTWaterTrtRainFed</v>
      </c>
      <c r="B2525" s="2">
        <v>2023026</v>
      </c>
      <c r="C2525" s="3" t="s">
        <v>2583</v>
      </c>
      <c r="D2525" s="3" t="s">
        <v>38</v>
      </c>
      <c r="F2525" s="3" t="s">
        <v>4189</v>
      </c>
      <c r="G2525" s="3" t="s">
        <v>39</v>
      </c>
      <c r="H2525" s="3" t="s">
        <v>250</v>
      </c>
      <c r="I2525" s="2">
        <v>62</v>
      </c>
      <c r="J2525" s="2">
        <v>30</v>
      </c>
      <c r="K2525" s="2">
        <v>2</v>
      </c>
      <c r="O2525" s="2">
        <v>4</v>
      </c>
      <c r="P2525" s="2">
        <v>7</v>
      </c>
      <c r="U2525" s="2">
        <v>2</v>
      </c>
      <c r="V2525" s="2">
        <v>20</v>
      </c>
      <c r="W2525" s="2">
        <v>2</v>
      </c>
      <c r="X2525" s="2">
        <v>16</v>
      </c>
      <c r="Z2525" s="2">
        <v>31</v>
      </c>
      <c r="AA2525" s="3" t="s">
        <v>40</v>
      </c>
      <c r="AB2525" s="2">
        <v>2</v>
      </c>
      <c r="AF2525" s="2">
        <v>38</v>
      </c>
      <c r="AG2525" s="2">
        <v>2</v>
      </c>
      <c r="AH2525" s="3" t="s">
        <v>2063</v>
      </c>
      <c r="AI2525" s="4">
        <v>45110</v>
      </c>
      <c r="AJ2525" s="3" t="s">
        <v>2645</v>
      </c>
      <c r="AK2525" s="3" t="s">
        <v>38</v>
      </c>
    </row>
    <row r="2526" spans="1:37" hidden="1" x14ac:dyDescent="0.25">
      <c r="A2526" t="str">
        <f t="shared" si="39"/>
        <v>2023_Vic_Dooen_Lentil_DetailedTOS2VarietyBoltWaterTrtIrrigated</v>
      </c>
      <c r="B2526" s="2">
        <v>2023026</v>
      </c>
      <c r="C2526" s="3" t="s">
        <v>2583</v>
      </c>
      <c r="D2526" s="3" t="s">
        <v>38</v>
      </c>
      <c r="F2526" s="3" t="s">
        <v>4187</v>
      </c>
      <c r="G2526" s="3" t="s">
        <v>39</v>
      </c>
      <c r="H2526" s="3" t="s">
        <v>250</v>
      </c>
      <c r="I2526" s="2">
        <v>63</v>
      </c>
      <c r="J2526" s="2">
        <v>31</v>
      </c>
      <c r="K2526" s="2">
        <v>2</v>
      </c>
      <c r="O2526" s="2">
        <v>4</v>
      </c>
      <c r="P2526" s="2">
        <v>8</v>
      </c>
      <c r="U2526" s="2">
        <v>3</v>
      </c>
      <c r="V2526" s="2">
        <v>20</v>
      </c>
      <c r="W2526" s="2">
        <v>3</v>
      </c>
      <c r="X2526" s="2">
        <v>16</v>
      </c>
      <c r="Z2526" s="2">
        <v>30</v>
      </c>
      <c r="AA2526" s="3" t="s">
        <v>57</v>
      </c>
      <c r="AB2526" s="2">
        <v>1</v>
      </c>
      <c r="AF2526" s="2">
        <v>38</v>
      </c>
      <c r="AG2526" s="2">
        <v>2</v>
      </c>
      <c r="AH2526" s="3" t="s">
        <v>2063</v>
      </c>
      <c r="AI2526" s="4">
        <v>45110</v>
      </c>
      <c r="AJ2526" s="3" t="s">
        <v>2646</v>
      </c>
      <c r="AK2526" s="3" t="s">
        <v>38</v>
      </c>
    </row>
    <row r="2527" spans="1:37" hidden="1" x14ac:dyDescent="0.25">
      <c r="A2527" t="str">
        <f t="shared" si="39"/>
        <v>2023_Vic_Dooen_Lentil_DetailedTOS2VarietyJumbo2WaterTrtIrrigated</v>
      </c>
      <c r="B2527" s="2">
        <v>2023026</v>
      </c>
      <c r="C2527" s="3" t="s">
        <v>2583</v>
      </c>
      <c r="D2527" s="3" t="s">
        <v>38</v>
      </c>
      <c r="F2527" s="3" t="s">
        <v>4176</v>
      </c>
      <c r="G2527" s="3" t="s">
        <v>43</v>
      </c>
      <c r="H2527" s="3" t="s">
        <v>250</v>
      </c>
      <c r="I2527" s="2">
        <v>64</v>
      </c>
      <c r="J2527" s="2">
        <v>32</v>
      </c>
      <c r="K2527" s="2">
        <v>2</v>
      </c>
      <c r="O2527" s="2">
        <v>4</v>
      </c>
      <c r="P2527" s="2">
        <v>8</v>
      </c>
      <c r="U2527" s="2">
        <v>4</v>
      </c>
      <c r="V2527" s="2">
        <v>20</v>
      </c>
      <c r="W2527" s="2">
        <v>4</v>
      </c>
      <c r="X2527" s="2">
        <v>16</v>
      </c>
      <c r="Z2527" s="2">
        <v>29</v>
      </c>
      <c r="AA2527" s="3" t="s">
        <v>57</v>
      </c>
      <c r="AB2527" s="2">
        <v>3</v>
      </c>
      <c r="AF2527" s="2">
        <v>38</v>
      </c>
      <c r="AG2527" s="2">
        <v>2</v>
      </c>
      <c r="AH2527" s="3" t="s">
        <v>2063</v>
      </c>
      <c r="AI2527" s="4">
        <v>45110</v>
      </c>
      <c r="AJ2527" s="3" t="s">
        <v>2647</v>
      </c>
      <c r="AK2527" s="3" t="s">
        <v>38</v>
      </c>
    </row>
    <row r="2528" spans="1:37" hidden="1" x14ac:dyDescent="0.25">
      <c r="A2528" t="str">
        <f t="shared" si="39"/>
        <v>2023_Vic_Dooen_Lentil_DetailedTOS2VarietyBoltWaterTrtRainFed</v>
      </c>
      <c r="B2528" s="2">
        <v>2023026</v>
      </c>
      <c r="C2528" s="3" t="s">
        <v>2583</v>
      </c>
      <c r="D2528" s="3" t="s">
        <v>38</v>
      </c>
      <c r="F2528" s="3" t="s">
        <v>4187</v>
      </c>
      <c r="G2528" s="3" t="s">
        <v>39</v>
      </c>
      <c r="H2528" s="3" t="s">
        <v>253</v>
      </c>
      <c r="I2528" s="2">
        <v>65</v>
      </c>
      <c r="J2528" s="2">
        <v>33</v>
      </c>
      <c r="K2528" s="2">
        <v>3</v>
      </c>
      <c r="O2528" s="2">
        <v>5</v>
      </c>
      <c r="P2528" s="2">
        <v>9</v>
      </c>
      <c r="U2528" s="2">
        <v>1</v>
      </c>
      <c r="V2528" s="2">
        <v>22</v>
      </c>
      <c r="W2528" s="2">
        <v>1</v>
      </c>
      <c r="X2528" s="2">
        <v>17</v>
      </c>
      <c r="AA2528" s="3" t="s">
        <v>40</v>
      </c>
      <c r="AB2528" s="2">
        <v>1</v>
      </c>
      <c r="AF2528" s="2">
        <v>38</v>
      </c>
      <c r="AG2528" s="2">
        <v>2</v>
      </c>
      <c r="AH2528" s="3" t="s">
        <v>2063</v>
      </c>
      <c r="AI2528" s="4">
        <v>45110</v>
      </c>
      <c r="AJ2528" s="3" t="s">
        <v>2648</v>
      </c>
      <c r="AK2528" s="3" t="s">
        <v>38</v>
      </c>
    </row>
    <row r="2529" spans="1:37" hidden="1" x14ac:dyDescent="0.25">
      <c r="A2529" t="str">
        <f t="shared" si="39"/>
        <v>2023_Vic_Dooen_Lentil_DetailedTOS2VarietyHallmarkXTWaterTrtRainFed</v>
      </c>
      <c r="B2529" s="2">
        <v>2023026</v>
      </c>
      <c r="C2529" s="3" t="s">
        <v>2583</v>
      </c>
      <c r="D2529" s="3" t="s">
        <v>38</v>
      </c>
      <c r="F2529" s="3" t="s">
        <v>4189</v>
      </c>
      <c r="G2529" s="3" t="s">
        <v>39</v>
      </c>
      <c r="H2529" s="3" t="s">
        <v>253</v>
      </c>
      <c r="I2529" s="2">
        <v>66</v>
      </c>
      <c r="J2529" s="2">
        <v>34</v>
      </c>
      <c r="K2529" s="2">
        <v>3</v>
      </c>
      <c r="O2529" s="2">
        <v>5</v>
      </c>
      <c r="P2529" s="2">
        <v>9</v>
      </c>
      <c r="U2529" s="2">
        <v>2</v>
      </c>
      <c r="V2529" s="2">
        <v>22</v>
      </c>
      <c r="W2529" s="2">
        <v>2</v>
      </c>
      <c r="X2529" s="2">
        <v>17</v>
      </c>
      <c r="AA2529" s="3" t="s">
        <v>40</v>
      </c>
      <c r="AB2529" s="2">
        <v>2</v>
      </c>
      <c r="AF2529" s="2">
        <v>38</v>
      </c>
      <c r="AG2529" s="2">
        <v>2</v>
      </c>
      <c r="AH2529" s="3" t="s">
        <v>2063</v>
      </c>
      <c r="AI2529" s="4">
        <v>45110</v>
      </c>
      <c r="AJ2529" s="3" t="s">
        <v>2649</v>
      </c>
      <c r="AK2529" s="3" t="s">
        <v>38</v>
      </c>
    </row>
    <row r="2530" spans="1:37" hidden="1" x14ac:dyDescent="0.25">
      <c r="A2530" t="str">
        <f t="shared" si="39"/>
        <v>2023_Vic_Dooen_Lentil_DetailedTOS2VarietyKelpieXTWaterTrtIrrigated</v>
      </c>
      <c r="B2530" s="2">
        <v>2023026</v>
      </c>
      <c r="C2530" s="3" t="s">
        <v>2583</v>
      </c>
      <c r="D2530" s="3" t="s">
        <v>38</v>
      </c>
      <c r="F2530" s="3" t="s">
        <v>4188</v>
      </c>
      <c r="G2530" s="3" t="s">
        <v>43</v>
      </c>
      <c r="H2530" s="3" t="s">
        <v>253</v>
      </c>
      <c r="I2530" s="2">
        <v>67</v>
      </c>
      <c r="J2530" s="2">
        <v>35</v>
      </c>
      <c r="K2530" s="2">
        <v>3</v>
      </c>
      <c r="O2530" s="2">
        <v>5</v>
      </c>
      <c r="P2530" s="2">
        <v>10</v>
      </c>
      <c r="U2530" s="2">
        <v>3</v>
      </c>
      <c r="V2530" s="2">
        <v>22</v>
      </c>
      <c r="W2530" s="2">
        <v>3</v>
      </c>
      <c r="X2530" s="2">
        <v>17</v>
      </c>
      <c r="AA2530" s="3" t="s">
        <v>57</v>
      </c>
      <c r="AB2530" s="2">
        <v>4</v>
      </c>
      <c r="AF2530" s="2">
        <v>38</v>
      </c>
      <c r="AG2530" s="2">
        <v>2</v>
      </c>
      <c r="AH2530" s="3" t="s">
        <v>2063</v>
      </c>
      <c r="AI2530" s="4">
        <v>45110</v>
      </c>
      <c r="AJ2530" s="3" t="s">
        <v>2650</v>
      </c>
      <c r="AK2530" s="3" t="s">
        <v>38</v>
      </c>
    </row>
    <row r="2531" spans="1:37" hidden="1" x14ac:dyDescent="0.25">
      <c r="A2531" t="str">
        <f t="shared" si="39"/>
        <v>2023_Vic_Dooen_Lentil_DetailedTOS2VarietyJumbo2WaterTrtIrrigated</v>
      </c>
      <c r="B2531" s="2">
        <v>2023026</v>
      </c>
      <c r="C2531" s="3" t="s">
        <v>2583</v>
      </c>
      <c r="D2531" s="3" t="s">
        <v>38</v>
      </c>
      <c r="F2531" s="3" t="s">
        <v>4176</v>
      </c>
      <c r="G2531" s="3" t="s">
        <v>43</v>
      </c>
      <c r="H2531" s="3" t="s">
        <v>253</v>
      </c>
      <c r="I2531" s="2">
        <v>68</v>
      </c>
      <c r="J2531" s="2">
        <v>36</v>
      </c>
      <c r="K2531" s="2">
        <v>3</v>
      </c>
      <c r="O2531" s="2">
        <v>5</v>
      </c>
      <c r="P2531" s="2">
        <v>10</v>
      </c>
      <c r="U2531" s="2">
        <v>4</v>
      </c>
      <c r="V2531" s="2">
        <v>22</v>
      </c>
      <c r="W2531" s="2">
        <v>4</v>
      </c>
      <c r="X2531" s="2">
        <v>17</v>
      </c>
      <c r="AA2531" s="3" t="s">
        <v>57</v>
      </c>
      <c r="AB2531" s="2">
        <v>3</v>
      </c>
      <c r="AF2531" s="2">
        <v>38</v>
      </c>
      <c r="AG2531" s="2">
        <v>2</v>
      </c>
      <c r="AH2531" s="3" t="s">
        <v>2063</v>
      </c>
      <c r="AI2531" s="4">
        <v>45110</v>
      </c>
      <c r="AJ2531" s="3" t="s">
        <v>2651</v>
      </c>
      <c r="AK2531" s="3" t="s">
        <v>38</v>
      </c>
    </row>
    <row r="2532" spans="1:37" hidden="1" x14ac:dyDescent="0.25">
      <c r="A2532" t="str">
        <f t="shared" si="39"/>
        <v>2023_Vic_Dooen_Lentil_DetailedTOS2VarietyBoltWaterTrtRainFed</v>
      </c>
      <c r="B2532" s="2">
        <v>2023026</v>
      </c>
      <c r="C2532" s="3" t="s">
        <v>2583</v>
      </c>
      <c r="D2532" s="3" t="s">
        <v>38</v>
      </c>
      <c r="F2532" s="3" t="s">
        <v>4187</v>
      </c>
      <c r="G2532" s="3" t="s">
        <v>39</v>
      </c>
      <c r="H2532" s="3" t="s">
        <v>250</v>
      </c>
      <c r="I2532" s="2">
        <v>69</v>
      </c>
      <c r="J2532" s="2">
        <v>33</v>
      </c>
      <c r="K2532" s="2">
        <v>3</v>
      </c>
      <c r="O2532" s="2">
        <v>5</v>
      </c>
      <c r="P2532" s="2">
        <v>9</v>
      </c>
      <c r="U2532" s="2">
        <v>1</v>
      </c>
      <c r="V2532" s="2">
        <v>23</v>
      </c>
      <c r="W2532" s="2">
        <v>1</v>
      </c>
      <c r="X2532" s="2">
        <v>18</v>
      </c>
      <c r="Z2532" s="2">
        <v>33</v>
      </c>
      <c r="AA2532" s="3" t="s">
        <v>40</v>
      </c>
      <c r="AB2532" s="2">
        <v>1</v>
      </c>
      <c r="AF2532" s="2">
        <v>38</v>
      </c>
      <c r="AG2532" s="2">
        <v>2</v>
      </c>
      <c r="AH2532" s="3" t="s">
        <v>2063</v>
      </c>
      <c r="AI2532" s="4">
        <v>45110</v>
      </c>
      <c r="AJ2532" s="3" t="s">
        <v>2652</v>
      </c>
      <c r="AK2532" s="3" t="s">
        <v>38</v>
      </c>
    </row>
    <row r="2533" spans="1:37" hidden="1" x14ac:dyDescent="0.25">
      <c r="A2533" t="str">
        <f t="shared" si="39"/>
        <v>2023_Vic_Dooen_Lentil_DetailedTOS2VarietyHallmarkXTWaterTrtRainFed</v>
      </c>
      <c r="B2533" s="2">
        <v>2023026</v>
      </c>
      <c r="C2533" s="3" t="s">
        <v>2583</v>
      </c>
      <c r="D2533" s="3" t="s">
        <v>38</v>
      </c>
      <c r="F2533" s="3" t="s">
        <v>4189</v>
      </c>
      <c r="G2533" s="3" t="s">
        <v>39</v>
      </c>
      <c r="H2533" s="3" t="s">
        <v>250</v>
      </c>
      <c r="I2533" s="2">
        <v>70</v>
      </c>
      <c r="J2533" s="2">
        <v>34</v>
      </c>
      <c r="K2533" s="2">
        <v>3</v>
      </c>
      <c r="O2533" s="2">
        <v>5</v>
      </c>
      <c r="P2533" s="2">
        <v>9</v>
      </c>
      <c r="U2533" s="2">
        <v>2</v>
      </c>
      <c r="V2533" s="2">
        <v>23</v>
      </c>
      <c r="W2533" s="2">
        <v>2</v>
      </c>
      <c r="X2533" s="2">
        <v>18</v>
      </c>
      <c r="Z2533" s="2">
        <v>34</v>
      </c>
      <c r="AA2533" s="3" t="s">
        <v>40</v>
      </c>
      <c r="AB2533" s="2">
        <v>2</v>
      </c>
      <c r="AF2533" s="2">
        <v>38</v>
      </c>
      <c r="AG2533" s="2">
        <v>2</v>
      </c>
      <c r="AH2533" s="3" t="s">
        <v>2063</v>
      </c>
      <c r="AI2533" s="4">
        <v>45110</v>
      </c>
      <c r="AJ2533" s="3" t="s">
        <v>2653</v>
      </c>
      <c r="AK2533" s="3" t="s">
        <v>38</v>
      </c>
    </row>
    <row r="2534" spans="1:37" hidden="1" x14ac:dyDescent="0.25">
      <c r="A2534" t="str">
        <f t="shared" si="39"/>
        <v>2023_Vic_Dooen_Lentil_DetailedTOS2VarietyKelpieXTWaterTrtIrrigated</v>
      </c>
      <c r="B2534" s="2">
        <v>2023026</v>
      </c>
      <c r="C2534" s="3" t="s">
        <v>2583</v>
      </c>
      <c r="D2534" s="3" t="s">
        <v>38</v>
      </c>
      <c r="F2534" s="3" t="s">
        <v>4188</v>
      </c>
      <c r="G2534" s="3" t="s">
        <v>43</v>
      </c>
      <c r="H2534" s="3" t="s">
        <v>250</v>
      </c>
      <c r="I2534" s="2">
        <v>71</v>
      </c>
      <c r="J2534" s="2">
        <v>35</v>
      </c>
      <c r="K2534" s="2">
        <v>3</v>
      </c>
      <c r="O2534" s="2">
        <v>5</v>
      </c>
      <c r="P2534" s="2">
        <v>10</v>
      </c>
      <c r="U2534" s="2">
        <v>3</v>
      </c>
      <c r="V2534" s="2">
        <v>23</v>
      </c>
      <c r="W2534" s="2">
        <v>3</v>
      </c>
      <c r="X2534" s="2">
        <v>18</v>
      </c>
      <c r="Z2534" s="2">
        <v>35</v>
      </c>
      <c r="AA2534" s="3" t="s">
        <v>57</v>
      </c>
      <c r="AB2534" s="2">
        <v>4</v>
      </c>
      <c r="AF2534" s="2">
        <v>38</v>
      </c>
      <c r="AG2534" s="2">
        <v>2</v>
      </c>
      <c r="AH2534" s="3" t="s">
        <v>2063</v>
      </c>
      <c r="AI2534" s="4">
        <v>45110</v>
      </c>
      <c r="AJ2534" s="3" t="s">
        <v>2654</v>
      </c>
      <c r="AK2534" s="3" t="s">
        <v>38</v>
      </c>
    </row>
    <row r="2535" spans="1:37" hidden="1" x14ac:dyDescent="0.25">
      <c r="A2535" t="str">
        <f t="shared" si="39"/>
        <v>2023_Vic_Dooen_Lentil_DetailedTOS2VarietyJumbo2WaterTrtIrrigated</v>
      </c>
      <c r="B2535" s="2">
        <v>2023026</v>
      </c>
      <c r="C2535" s="3" t="s">
        <v>2583</v>
      </c>
      <c r="D2535" s="3" t="s">
        <v>38</v>
      </c>
      <c r="F2535" s="3" t="s">
        <v>4176</v>
      </c>
      <c r="G2535" s="3" t="s">
        <v>43</v>
      </c>
      <c r="H2535" s="3" t="s">
        <v>250</v>
      </c>
      <c r="I2535" s="2">
        <v>72</v>
      </c>
      <c r="J2535" s="2">
        <v>36</v>
      </c>
      <c r="K2535" s="2">
        <v>3</v>
      </c>
      <c r="O2535" s="2">
        <v>5</v>
      </c>
      <c r="P2535" s="2">
        <v>10</v>
      </c>
      <c r="U2535" s="2">
        <v>4</v>
      </c>
      <c r="V2535" s="2">
        <v>23</v>
      </c>
      <c r="W2535" s="2">
        <v>4</v>
      </c>
      <c r="X2535" s="2">
        <v>18</v>
      </c>
      <c r="Z2535" s="2">
        <v>36</v>
      </c>
      <c r="AA2535" s="3" t="s">
        <v>57</v>
      </c>
      <c r="AB2535" s="2">
        <v>3</v>
      </c>
      <c r="AF2535" s="2">
        <v>38</v>
      </c>
      <c r="AG2535" s="2">
        <v>2</v>
      </c>
      <c r="AH2535" s="3" t="s">
        <v>2063</v>
      </c>
      <c r="AI2535" s="4">
        <v>45110</v>
      </c>
      <c r="AJ2535" s="3" t="s">
        <v>2655</v>
      </c>
      <c r="AK2535" s="3" t="s">
        <v>38</v>
      </c>
    </row>
    <row r="2536" spans="1:37" hidden="1" x14ac:dyDescent="0.25">
      <c r="A2536" t="str">
        <f t="shared" si="39"/>
        <v>2023_Vic_Dooen_Lentil_DetailedTOS2VarietyJumbo2WaterTrtRainFed</v>
      </c>
      <c r="B2536" s="2">
        <v>2023026</v>
      </c>
      <c r="C2536" s="3" t="s">
        <v>2583</v>
      </c>
      <c r="D2536" s="3" t="s">
        <v>38</v>
      </c>
      <c r="F2536" s="3" t="s">
        <v>4176</v>
      </c>
      <c r="G2536" s="3" t="s">
        <v>43</v>
      </c>
      <c r="H2536" s="3" t="s">
        <v>253</v>
      </c>
      <c r="I2536" s="2">
        <v>73</v>
      </c>
      <c r="J2536" s="2">
        <v>37</v>
      </c>
      <c r="K2536" s="2">
        <v>3</v>
      </c>
      <c r="O2536" s="2">
        <v>5</v>
      </c>
      <c r="P2536" s="2">
        <v>9</v>
      </c>
      <c r="U2536" s="2">
        <v>1</v>
      </c>
      <c r="V2536" s="2">
        <v>24</v>
      </c>
      <c r="W2536" s="2">
        <v>1</v>
      </c>
      <c r="X2536" s="2">
        <v>19</v>
      </c>
      <c r="AA2536" s="3" t="s">
        <v>40</v>
      </c>
      <c r="AB2536" s="2">
        <v>3</v>
      </c>
      <c r="AF2536" s="2">
        <v>38</v>
      </c>
      <c r="AG2536" s="2">
        <v>2</v>
      </c>
      <c r="AH2536" s="3" t="s">
        <v>2063</v>
      </c>
      <c r="AI2536" s="4">
        <v>45110</v>
      </c>
      <c r="AJ2536" s="3" t="s">
        <v>2656</v>
      </c>
      <c r="AK2536" s="3" t="s">
        <v>38</v>
      </c>
    </row>
    <row r="2537" spans="1:37" hidden="1" x14ac:dyDescent="0.25">
      <c r="A2537" t="str">
        <f t="shared" si="39"/>
        <v>2023_Vic_Dooen_Lentil_DetailedTOS2VarietyKelpieXTWaterTrtRainFed</v>
      </c>
      <c r="B2537" s="2">
        <v>2023026</v>
      </c>
      <c r="C2537" s="3" t="s">
        <v>2583</v>
      </c>
      <c r="D2537" s="3" t="s">
        <v>38</v>
      </c>
      <c r="F2537" s="3" t="s">
        <v>4188</v>
      </c>
      <c r="G2537" s="3" t="s">
        <v>43</v>
      </c>
      <c r="H2537" s="3" t="s">
        <v>253</v>
      </c>
      <c r="I2537" s="2">
        <v>74</v>
      </c>
      <c r="J2537" s="2">
        <v>38</v>
      </c>
      <c r="K2537" s="2">
        <v>3</v>
      </c>
      <c r="O2537" s="2">
        <v>5</v>
      </c>
      <c r="P2537" s="2">
        <v>9</v>
      </c>
      <c r="U2537" s="2">
        <v>2</v>
      </c>
      <c r="V2537" s="2">
        <v>24</v>
      </c>
      <c r="W2537" s="2">
        <v>2</v>
      </c>
      <c r="X2537" s="2">
        <v>19</v>
      </c>
      <c r="AA2537" s="3" t="s">
        <v>40</v>
      </c>
      <c r="AB2537" s="2">
        <v>4</v>
      </c>
      <c r="AF2537" s="2">
        <v>38</v>
      </c>
      <c r="AG2537" s="2">
        <v>2</v>
      </c>
      <c r="AH2537" s="3" t="s">
        <v>2063</v>
      </c>
      <c r="AI2537" s="4">
        <v>45110</v>
      </c>
      <c r="AJ2537" s="3" t="s">
        <v>2657</v>
      </c>
      <c r="AK2537" s="3" t="s">
        <v>38</v>
      </c>
    </row>
    <row r="2538" spans="1:37" hidden="1" x14ac:dyDescent="0.25">
      <c r="A2538" t="str">
        <f t="shared" si="39"/>
        <v>2023_Vic_Dooen_Lentil_DetailedTOS2VarietyBoltWaterTrtIrrigated</v>
      </c>
      <c r="B2538" s="2">
        <v>2023026</v>
      </c>
      <c r="C2538" s="3" t="s">
        <v>2583</v>
      </c>
      <c r="D2538" s="3" t="s">
        <v>38</v>
      </c>
      <c r="F2538" s="3" t="s">
        <v>4187</v>
      </c>
      <c r="G2538" s="3" t="s">
        <v>39</v>
      </c>
      <c r="H2538" s="3" t="s">
        <v>253</v>
      </c>
      <c r="I2538" s="2">
        <v>75</v>
      </c>
      <c r="J2538" s="2">
        <v>39</v>
      </c>
      <c r="K2538" s="2">
        <v>3</v>
      </c>
      <c r="O2538" s="2">
        <v>5</v>
      </c>
      <c r="P2538" s="2">
        <v>10</v>
      </c>
      <c r="U2538" s="2">
        <v>3</v>
      </c>
      <c r="V2538" s="2">
        <v>24</v>
      </c>
      <c r="W2538" s="2">
        <v>3</v>
      </c>
      <c r="X2538" s="2">
        <v>19</v>
      </c>
      <c r="AA2538" s="3" t="s">
        <v>57</v>
      </c>
      <c r="AB2538" s="2">
        <v>1</v>
      </c>
      <c r="AF2538" s="2">
        <v>38</v>
      </c>
      <c r="AG2538" s="2">
        <v>2</v>
      </c>
      <c r="AH2538" s="3" t="s">
        <v>2063</v>
      </c>
      <c r="AI2538" s="4">
        <v>45110</v>
      </c>
      <c r="AJ2538" s="3" t="s">
        <v>2658</v>
      </c>
      <c r="AK2538" s="3" t="s">
        <v>38</v>
      </c>
    </row>
    <row r="2539" spans="1:37" hidden="1" x14ac:dyDescent="0.25">
      <c r="A2539" t="str">
        <f t="shared" si="39"/>
        <v>2023_Vic_Dooen_Lentil_DetailedTOS2VarietyHallmarkXTWaterTrtIrrigated</v>
      </c>
      <c r="B2539" s="2">
        <v>2023026</v>
      </c>
      <c r="C2539" s="3" t="s">
        <v>2583</v>
      </c>
      <c r="D2539" s="3" t="s">
        <v>38</v>
      </c>
      <c r="F2539" s="3" t="s">
        <v>4189</v>
      </c>
      <c r="G2539" s="3" t="s">
        <v>39</v>
      </c>
      <c r="H2539" s="3" t="s">
        <v>253</v>
      </c>
      <c r="I2539" s="2">
        <v>76</v>
      </c>
      <c r="J2539" s="2">
        <v>40</v>
      </c>
      <c r="K2539" s="2">
        <v>3</v>
      </c>
      <c r="O2539" s="2">
        <v>5</v>
      </c>
      <c r="P2539" s="2">
        <v>10</v>
      </c>
      <c r="U2539" s="2">
        <v>4</v>
      </c>
      <c r="V2539" s="2">
        <v>24</v>
      </c>
      <c r="W2539" s="2">
        <v>4</v>
      </c>
      <c r="X2539" s="2">
        <v>19</v>
      </c>
      <c r="AA2539" s="3" t="s">
        <v>57</v>
      </c>
      <c r="AB2539" s="2">
        <v>2</v>
      </c>
      <c r="AF2539" s="2">
        <v>38</v>
      </c>
      <c r="AG2539" s="2">
        <v>2</v>
      </c>
      <c r="AH2539" s="3" t="s">
        <v>2063</v>
      </c>
      <c r="AI2539" s="4">
        <v>45110</v>
      </c>
      <c r="AJ2539" s="3" t="s">
        <v>2659</v>
      </c>
      <c r="AK2539" s="3" t="s">
        <v>38</v>
      </c>
    </row>
    <row r="2540" spans="1:37" hidden="1" x14ac:dyDescent="0.25">
      <c r="A2540" t="str">
        <f t="shared" si="39"/>
        <v>2023_Vic_Dooen_Lentil_DetailedTOS2VarietyJumbo2WaterTrtRainFed</v>
      </c>
      <c r="B2540" s="2">
        <v>2023026</v>
      </c>
      <c r="C2540" s="3" t="s">
        <v>2583</v>
      </c>
      <c r="D2540" s="3" t="s">
        <v>38</v>
      </c>
      <c r="F2540" s="3" t="s">
        <v>4176</v>
      </c>
      <c r="G2540" s="3" t="s">
        <v>43</v>
      </c>
      <c r="H2540" s="3" t="s">
        <v>250</v>
      </c>
      <c r="I2540" s="2">
        <v>77</v>
      </c>
      <c r="J2540" s="2">
        <v>37</v>
      </c>
      <c r="K2540" s="2">
        <v>3</v>
      </c>
      <c r="O2540" s="2">
        <v>5</v>
      </c>
      <c r="P2540" s="2">
        <v>9</v>
      </c>
      <c r="U2540" s="2">
        <v>1</v>
      </c>
      <c r="V2540" s="2">
        <v>25</v>
      </c>
      <c r="W2540" s="2">
        <v>1</v>
      </c>
      <c r="X2540" s="2">
        <v>20</v>
      </c>
      <c r="Z2540" s="2">
        <v>40</v>
      </c>
      <c r="AA2540" s="3" t="s">
        <v>40</v>
      </c>
      <c r="AB2540" s="2">
        <v>3</v>
      </c>
      <c r="AF2540" s="2">
        <v>38</v>
      </c>
      <c r="AG2540" s="2">
        <v>2</v>
      </c>
      <c r="AH2540" s="3" t="s">
        <v>2063</v>
      </c>
      <c r="AI2540" s="4">
        <v>45110</v>
      </c>
      <c r="AJ2540" s="3" t="s">
        <v>2660</v>
      </c>
      <c r="AK2540" s="3" t="s">
        <v>38</v>
      </c>
    </row>
    <row r="2541" spans="1:37" hidden="1" x14ac:dyDescent="0.25">
      <c r="A2541" t="str">
        <f t="shared" si="39"/>
        <v>2023_Vic_Dooen_Lentil_DetailedTOS2VarietyKelpieXTWaterTrtRainFed</v>
      </c>
      <c r="B2541" s="2">
        <v>2023026</v>
      </c>
      <c r="C2541" s="3" t="s">
        <v>2583</v>
      </c>
      <c r="D2541" s="3" t="s">
        <v>38</v>
      </c>
      <c r="F2541" s="3" t="s">
        <v>4188</v>
      </c>
      <c r="G2541" s="3" t="s">
        <v>43</v>
      </c>
      <c r="H2541" s="3" t="s">
        <v>250</v>
      </c>
      <c r="I2541" s="2">
        <v>78</v>
      </c>
      <c r="J2541" s="2">
        <v>38</v>
      </c>
      <c r="K2541" s="2">
        <v>3</v>
      </c>
      <c r="O2541" s="2">
        <v>5</v>
      </c>
      <c r="P2541" s="2">
        <v>9</v>
      </c>
      <c r="U2541" s="2">
        <v>2</v>
      </c>
      <c r="V2541" s="2">
        <v>25</v>
      </c>
      <c r="W2541" s="2">
        <v>2</v>
      </c>
      <c r="X2541" s="2">
        <v>20</v>
      </c>
      <c r="Z2541" s="2">
        <v>39</v>
      </c>
      <c r="AA2541" s="3" t="s">
        <v>40</v>
      </c>
      <c r="AB2541" s="2">
        <v>4</v>
      </c>
      <c r="AF2541" s="2">
        <v>38</v>
      </c>
      <c r="AG2541" s="2">
        <v>2</v>
      </c>
      <c r="AH2541" s="3" t="s">
        <v>2063</v>
      </c>
      <c r="AI2541" s="4">
        <v>45110</v>
      </c>
      <c r="AJ2541" s="3" t="s">
        <v>2661</v>
      </c>
      <c r="AK2541" s="3" t="s">
        <v>38</v>
      </c>
    </row>
    <row r="2542" spans="1:37" hidden="1" x14ac:dyDescent="0.25">
      <c r="A2542" t="str">
        <f t="shared" si="39"/>
        <v>2023_Vic_Dooen_Lentil_DetailedTOS2VarietyBoltWaterTrtIrrigated</v>
      </c>
      <c r="B2542" s="2">
        <v>2023026</v>
      </c>
      <c r="C2542" s="3" t="s">
        <v>2583</v>
      </c>
      <c r="D2542" s="3" t="s">
        <v>38</v>
      </c>
      <c r="F2542" s="3" t="s">
        <v>4187</v>
      </c>
      <c r="G2542" s="3" t="s">
        <v>39</v>
      </c>
      <c r="H2542" s="3" t="s">
        <v>250</v>
      </c>
      <c r="I2542" s="2">
        <v>79</v>
      </c>
      <c r="J2542" s="2">
        <v>39</v>
      </c>
      <c r="K2542" s="2">
        <v>3</v>
      </c>
      <c r="O2542" s="2">
        <v>5</v>
      </c>
      <c r="P2542" s="2">
        <v>10</v>
      </c>
      <c r="U2542" s="2">
        <v>3</v>
      </c>
      <c r="V2542" s="2">
        <v>25</v>
      </c>
      <c r="W2542" s="2">
        <v>3</v>
      </c>
      <c r="X2542" s="2">
        <v>20</v>
      </c>
      <c r="Z2542" s="2">
        <v>38</v>
      </c>
      <c r="AA2542" s="3" t="s">
        <v>57</v>
      </c>
      <c r="AB2542" s="2">
        <v>1</v>
      </c>
      <c r="AF2542" s="2">
        <v>38</v>
      </c>
      <c r="AG2542" s="2">
        <v>2</v>
      </c>
      <c r="AH2542" s="3" t="s">
        <v>2063</v>
      </c>
      <c r="AI2542" s="4">
        <v>45110</v>
      </c>
      <c r="AJ2542" s="3" t="s">
        <v>2662</v>
      </c>
      <c r="AK2542" s="3" t="s">
        <v>38</v>
      </c>
    </row>
    <row r="2543" spans="1:37" hidden="1" x14ac:dyDescent="0.25">
      <c r="A2543" t="str">
        <f t="shared" si="39"/>
        <v>2023_Vic_Dooen_Lentil_DetailedTOS2VarietyHallmarkXTWaterTrtIrrigated</v>
      </c>
      <c r="B2543" s="2">
        <v>2023026</v>
      </c>
      <c r="C2543" s="3" t="s">
        <v>2583</v>
      </c>
      <c r="D2543" s="3" t="s">
        <v>38</v>
      </c>
      <c r="F2543" s="3" t="s">
        <v>4189</v>
      </c>
      <c r="G2543" s="3" t="s">
        <v>39</v>
      </c>
      <c r="H2543" s="3" t="s">
        <v>250</v>
      </c>
      <c r="I2543" s="2">
        <v>80</v>
      </c>
      <c r="J2543" s="2">
        <v>40</v>
      </c>
      <c r="K2543" s="2">
        <v>3</v>
      </c>
      <c r="O2543" s="2">
        <v>5</v>
      </c>
      <c r="P2543" s="2">
        <v>10</v>
      </c>
      <c r="U2543" s="2">
        <v>4</v>
      </c>
      <c r="V2543" s="2">
        <v>25</v>
      </c>
      <c r="W2543" s="2">
        <v>4</v>
      </c>
      <c r="X2543" s="2">
        <v>20</v>
      </c>
      <c r="Z2543" s="2">
        <v>37</v>
      </c>
      <c r="AA2543" s="3" t="s">
        <v>57</v>
      </c>
      <c r="AB2543" s="2">
        <v>2</v>
      </c>
      <c r="AF2543" s="2">
        <v>38</v>
      </c>
      <c r="AG2543" s="2">
        <v>2</v>
      </c>
      <c r="AH2543" s="3" t="s">
        <v>2063</v>
      </c>
      <c r="AI2543" s="4">
        <v>45110</v>
      </c>
      <c r="AJ2543" s="3" t="s">
        <v>2663</v>
      </c>
      <c r="AK2543" s="3" t="s">
        <v>38</v>
      </c>
    </row>
    <row r="2544" spans="1:37" hidden="1" x14ac:dyDescent="0.25">
      <c r="A2544" t="str">
        <f t="shared" si="39"/>
        <v>2023_Vic_Dooen_Lentil_DetailedTOS1VarietyBoltWaterTrtRainFed</v>
      </c>
      <c r="B2544" s="2">
        <v>2023026</v>
      </c>
      <c r="C2544" s="3" t="s">
        <v>2583</v>
      </c>
      <c r="D2544" s="3" t="s">
        <v>38</v>
      </c>
      <c r="F2544" s="3" t="s">
        <v>4187</v>
      </c>
      <c r="G2544" s="3" t="s">
        <v>39</v>
      </c>
      <c r="H2544" s="3" t="s">
        <v>253</v>
      </c>
      <c r="I2544" s="2">
        <v>81</v>
      </c>
      <c r="J2544" s="2">
        <v>41</v>
      </c>
      <c r="K2544" s="2">
        <v>3</v>
      </c>
      <c r="O2544" s="2">
        <v>6</v>
      </c>
      <c r="P2544" s="2">
        <v>11</v>
      </c>
      <c r="U2544" s="2">
        <v>1</v>
      </c>
      <c r="V2544" s="2">
        <v>27</v>
      </c>
      <c r="W2544" s="2">
        <v>1</v>
      </c>
      <c r="X2544" s="2">
        <v>21</v>
      </c>
      <c r="AA2544" s="3" t="s">
        <v>40</v>
      </c>
      <c r="AB2544" s="2">
        <v>1</v>
      </c>
      <c r="AF2544" s="2">
        <v>38</v>
      </c>
      <c r="AG2544" s="2">
        <v>1</v>
      </c>
      <c r="AH2544" s="3" t="s">
        <v>2454</v>
      </c>
      <c r="AI2544" s="4">
        <v>45062</v>
      </c>
      <c r="AJ2544" s="3" t="s">
        <v>2664</v>
      </c>
      <c r="AK2544" s="3" t="s">
        <v>38</v>
      </c>
    </row>
    <row r="2545" spans="1:37" hidden="1" x14ac:dyDescent="0.25">
      <c r="A2545" t="str">
        <f t="shared" si="39"/>
        <v>2023_Vic_Dooen_Lentil_DetailedTOS1VarietyKelpieXTWaterTrtRainFed</v>
      </c>
      <c r="B2545" s="2">
        <v>2023026</v>
      </c>
      <c r="C2545" s="3" t="s">
        <v>2583</v>
      </c>
      <c r="D2545" s="3" t="s">
        <v>38</v>
      </c>
      <c r="F2545" s="3" t="s">
        <v>4188</v>
      </c>
      <c r="G2545" s="3" t="s">
        <v>43</v>
      </c>
      <c r="H2545" s="3" t="s">
        <v>253</v>
      </c>
      <c r="I2545" s="2">
        <v>82</v>
      </c>
      <c r="J2545" s="2">
        <v>42</v>
      </c>
      <c r="K2545" s="2">
        <v>3</v>
      </c>
      <c r="O2545" s="2">
        <v>6</v>
      </c>
      <c r="P2545" s="2">
        <v>11</v>
      </c>
      <c r="U2545" s="2">
        <v>2</v>
      </c>
      <c r="V2545" s="2">
        <v>27</v>
      </c>
      <c r="W2545" s="2">
        <v>2</v>
      </c>
      <c r="X2545" s="2">
        <v>21</v>
      </c>
      <c r="AA2545" s="3" t="s">
        <v>40</v>
      </c>
      <c r="AB2545" s="2">
        <v>4</v>
      </c>
      <c r="AF2545" s="2">
        <v>38</v>
      </c>
      <c r="AG2545" s="2">
        <v>1</v>
      </c>
      <c r="AH2545" s="3" t="s">
        <v>2454</v>
      </c>
      <c r="AI2545" s="4">
        <v>45062</v>
      </c>
      <c r="AJ2545" s="3" t="s">
        <v>2665</v>
      </c>
      <c r="AK2545" s="3" t="s">
        <v>38</v>
      </c>
    </row>
    <row r="2546" spans="1:37" hidden="1" x14ac:dyDescent="0.25">
      <c r="A2546" t="str">
        <f t="shared" si="39"/>
        <v>2023_Vic_Dooen_Lentil_DetailedTOS1VarietyJumbo2WaterTrtIrrigated</v>
      </c>
      <c r="B2546" s="2">
        <v>2023026</v>
      </c>
      <c r="C2546" s="3" t="s">
        <v>2583</v>
      </c>
      <c r="D2546" s="3" t="s">
        <v>38</v>
      </c>
      <c r="F2546" s="3" t="s">
        <v>4176</v>
      </c>
      <c r="G2546" s="3" t="s">
        <v>43</v>
      </c>
      <c r="H2546" s="3" t="s">
        <v>253</v>
      </c>
      <c r="I2546" s="2">
        <v>83</v>
      </c>
      <c r="J2546" s="2">
        <v>43</v>
      </c>
      <c r="K2546" s="2">
        <v>3</v>
      </c>
      <c r="O2546" s="2">
        <v>6</v>
      </c>
      <c r="P2546" s="2">
        <v>12</v>
      </c>
      <c r="U2546" s="2">
        <v>3</v>
      </c>
      <c r="V2546" s="2">
        <v>27</v>
      </c>
      <c r="W2546" s="2">
        <v>3</v>
      </c>
      <c r="X2546" s="2">
        <v>21</v>
      </c>
      <c r="AA2546" s="3" t="s">
        <v>57</v>
      </c>
      <c r="AB2546" s="2">
        <v>3</v>
      </c>
      <c r="AF2546" s="2">
        <v>38</v>
      </c>
      <c r="AG2546" s="2">
        <v>1</v>
      </c>
      <c r="AH2546" s="3" t="s">
        <v>2454</v>
      </c>
      <c r="AI2546" s="4">
        <v>45062</v>
      </c>
      <c r="AJ2546" s="3" t="s">
        <v>2666</v>
      </c>
      <c r="AK2546" s="3" t="s">
        <v>38</v>
      </c>
    </row>
    <row r="2547" spans="1:37" hidden="1" x14ac:dyDescent="0.25">
      <c r="A2547" t="str">
        <f t="shared" si="39"/>
        <v>2023_Vic_Dooen_Lentil_DetailedTOS1VarietyHallmarkXTWaterTrtIrrigated</v>
      </c>
      <c r="B2547" s="2">
        <v>2023026</v>
      </c>
      <c r="C2547" s="3" t="s">
        <v>2583</v>
      </c>
      <c r="D2547" s="3" t="s">
        <v>38</v>
      </c>
      <c r="F2547" s="3" t="s">
        <v>4189</v>
      </c>
      <c r="G2547" s="3" t="s">
        <v>39</v>
      </c>
      <c r="H2547" s="3" t="s">
        <v>253</v>
      </c>
      <c r="I2547" s="2">
        <v>84</v>
      </c>
      <c r="J2547" s="2">
        <v>44</v>
      </c>
      <c r="K2547" s="2">
        <v>3</v>
      </c>
      <c r="O2547" s="2">
        <v>6</v>
      </c>
      <c r="P2547" s="2">
        <v>12</v>
      </c>
      <c r="U2547" s="2">
        <v>4</v>
      </c>
      <c r="V2547" s="2">
        <v>27</v>
      </c>
      <c r="W2547" s="2">
        <v>4</v>
      </c>
      <c r="X2547" s="2">
        <v>21</v>
      </c>
      <c r="AA2547" s="3" t="s">
        <v>57</v>
      </c>
      <c r="AB2547" s="2">
        <v>2</v>
      </c>
      <c r="AF2547" s="2">
        <v>38</v>
      </c>
      <c r="AG2547" s="2">
        <v>1</v>
      </c>
      <c r="AH2547" s="3" t="s">
        <v>2454</v>
      </c>
      <c r="AI2547" s="4">
        <v>45062</v>
      </c>
      <c r="AJ2547" s="3" t="s">
        <v>2667</v>
      </c>
      <c r="AK2547" s="3" t="s">
        <v>38</v>
      </c>
    </row>
    <row r="2548" spans="1:37" hidden="1" x14ac:dyDescent="0.25">
      <c r="A2548" t="str">
        <f t="shared" si="39"/>
        <v>2023_Vic_Dooen_Lentil_DetailedTOS1VarietyBoltWaterTrtRainFed</v>
      </c>
      <c r="B2548" s="2">
        <v>2023026</v>
      </c>
      <c r="C2548" s="3" t="s">
        <v>2583</v>
      </c>
      <c r="D2548" s="3" t="s">
        <v>38</v>
      </c>
      <c r="F2548" s="3" t="s">
        <v>4187</v>
      </c>
      <c r="G2548" s="3" t="s">
        <v>39</v>
      </c>
      <c r="H2548" s="3" t="s">
        <v>250</v>
      </c>
      <c r="I2548" s="2">
        <v>85</v>
      </c>
      <c r="J2548" s="2">
        <v>41</v>
      </c>
      <c r="K2548" s="2">
        <v>3</v>
      </c>
      <c r="O2548" s="2">
        <v>6</v>
      </c>
      <c r="P2548" s="2">
        <v>11</v>
      </c>
      <c r="U2548" s="2">
        <v>1</v>
      </c>
      <c r="V2548" s="2">
        <v>28</v>
      </c>
      <c r="W2548" s="2">
        <v>1</v>
      </c>
      <c r="X2548" s="2">
        <v>22</v>
      </c>
      <c r="Z2548" s="2">
        <v>41</v>
      </c>
      <c r="AA2548" s="3" t="s">
        <v>40</v>
      </c>
      <c r="AB2548" s="2">
        <v>1</v>
      </c>
      <c r="AF2548" s="2">
        <v>38</v>
      </c>
      <c r="AG2548" s="2">
        <v>1</v>
      </c>
      <c r="AH2548" s="3" t="s">
        <v>2454</v>
      </c>
      <c r="AI2548" s="4">
        <v>45062</v>
      </c>
      <c r="AJ2548" s="3" t="s">
        <v>2668</v>
      </c>
      <c r="AK2548" s="3" t="s">
        <v>38</v>
      </c>
    </row>
    <row r="2549" spans="1:37" hidden="1" x14ac:dyDescent="0.25">
      <c r="A2549" t="str">
        <f t="shared" si="39"/>
        <v>2023_Vic_Dooen_Lentil_DetailedTOS1VarietyKelpieXTWaterTrtRainFed</v>
      </c>
      <c r="B2549" s="2">
        <v>2023026</v>
      </c>
      <c r="C2549" s="3" t="s">
        <v>2583</v>
      </c>
      <c r="D2549" s="3" t="s">
        <v>38</v>
      </c>
      <c r="F2549" s="3" t="s">
        <v>4188</v>
      </c>
      <c r="G2549" s="3" t="s">
        <v>43</v>
      </c>
      <c r="H2549" s="3" t="s">
        <v>250</v>
      </c>
      <c r="I2549" s="2">
        <v>86</v>
      </c>
      <c r="J2549" s="2">
        <v>42</v>
      </c>
      <c r="K2549" s="2">
        <v>3</v>
      </c>
      <c r="O2549" s="2">
        <v>6</v>
      </c>
      <c r="P2549" s="2">
        <v>11</v>
      </c>
      <c r="U2549" s="2">
        <v>2</v>
      </c>
      <c r="V2549" s="2">
        <v>28</v>
      </c>
      <c r="W2549" s="2">
        <v>2</v>
      </c>
      <c r="X2549" s="2">
        <v>22</v>
      </c>
      <c r="Z2549" s="2">
        <v>42</v>
      </c>
      <c r="AA2549" s="3" t="s">
        <v>40</v>
      </c>
      <c r="AB2549" s="2">
        <v>4</v>
      </c>
      <c r="AF2549" s="2">
        <v>38</v>
      </c>
      <c r="AG2549" s="2">
        <v>1</v>
      </c>
      <c r="AH2549" s="3" t="s">
        <v>2454</v>
      </c>
      <c r="AI2549" s="4">
        <v>45062</v>
      </c>
      <c r="AJ2549" s="3" t="s">
        <v>2669</v>
      </c>
      <c r="AK2549" s="3" t="s">
        <v>38</v>
      </c>
    </row>
    <row r="2550" spans="1:37" hidden="1" x14ac:dyDescent="0.25">
      <c r="A2550" t="str">
        <f t="shared" si="39"/>
        <v>2023_Vic_Dooen_Lentil_DetailedTOS1VarietyJumbo2WaterTrtIrrigated</v>
      </c>
      <c r="B2550" s="2">
        <v>2023026</v>
      </c>
      <c r="C2550" s="3" t="s">
        <v>2583</v>
      </c>
      <c r="D2550" s="3" t="s">
        <v>38</v>
      </c>
      <c r="F2550" s="3" t="s">
        <v>4176</v>
      </c>
      <c r="G2550" s="3" t="s">
        <v>43</v>
      </c>
      <c r="H2550" s="3" t="s">
        <v>250</v>
      </c>
      <c r="I2550" s="2">
        <v>87</v>
      </c>
      <c r="J2550" s="2">
        <v>43</v>
      </c>
      <c r="K2550" s="2">
        <v>3</v>
      </c>
      <c r="O2550" s="2">
        <v>6</v>
      </c>
      <c r="P2550" s="2">
        <v>12</v>
      </c>
      <c r="U2550" s="2">
        <v>3</v>
      </c>
      <c r="V2550" s="2">
        <v>28</v>
      </c>
      <c r="W2550" s="2">
        <v>3</v>
      </c>
      <c r="X2550" s="2">
        <v>22</v>
      </c>
      <c r="Z2550" s="2">
        <v>43</v>
      </c>
      <c r="AA2550" s="3" t="s">
        <v>57</v>
      </c>
      <c r="AB2550" s="2">
        <v>3</v>
      </c>
      <c r="AF2550" s="2">
        <v>38</v>
      </c>
      <c r="AG2550" s="2">
        <v>1</v>
      </c>
      <c r="AH2550" s="3" t="s">
        <v>2454</v>
      </c>
      <c r="AI2550" s="4">
        <v>45062</v>
      </c>
      <c r="AJ2550" s="3" t="s">
        <v>2670</v>
      </c>
      <c r="AK2550" s="3" t="s">
        <v>38</v>
      </c>
    </row>
    <row r="2551" spans="1:37" hidden="1" x14ac:dyDescent="0.25">
      <c r="A2551" t="str">
        <f t="shared" si="39"/>
        <v>2023_Vic_Dooen_Lentil_DetailedTOS1VarietyHallmarkXTWaterTrtIrrigated</v>
      </c>
      <c r="B2551" s="2">
        <v>2023026</v>
      </c>
      <c r="C2551" s="3" t="s">
        <v>2583</v>
      </c>
      <c r="D2551" s="3" t="s">
        <v>38</v>
      </c>
      <c r="F2551" s="3" t="s">
        <v>4189</v>
      </c>
      <c r="G2551" s="3" t="s">
        <v>39</v>
      </c>
      <c r="H2551" s="3" t="s">
        <v>250</v>
      </c>
      <c r="I2551" s="2">
        <v>88</v>
      </c>
      <c r="J2551" s="2">
        <v>44</v>
      </c>
      <c r="K2551" s="2">
        <v>3</v>
      </c>
      <c r="O2551" s="2">
        <v>6</v>
      </c>
      <c r="P2551" s="2">
        <v>12</v>
      </c>
      <c r="U2551" s="2">
        <v>4</v>
      </c>
      <c r="V2551" s="2">
        <v>28</v>
      </c>
      <c r="W2551" s="2">
        <v>4</v>
      </c>
      <c r="X2551" s="2">
        <v>22</v>
      </c>
      <c r="Z2551" s="2">
        <v>44</v>
      </c>
      <c r="AA2551" s="3" t="s">
        <v>57</v>
      </c>
      <c r="AB2551" s="2">
        <v>2</v>
      </c>
      <c r="AF2551" s="2">
        <v>38</v>
      </c>
      <c r="AG2551" s="2">
        <v>1</v>
      </c>
      <c r="AH2551" s="3" t="s">
        <v>2454</v>
      </c>
      <c r="AI2551" s="4">
        <v>45062</v>
      </c>
      <c r="AJ2551" s="3" t="s">
        <v>2671</v>
      </c>
      <c r="AK2551" s="3" t="s">
        <v>38</v>
      </c>
    </row>
    <row r="2552" spans="1:37" hidden="1" x14ac:dyDescent="0.25">
      <c r="A2552" t="str">
        <f t="shared" si="39"/>
        <v>2023_Vic_Dooen_Lentil_DetailedTOS1VarietyHallmarkXTWaterTrtRainFed</v>
      </c>
      <c r="B2552" s="2">
        <v>2023026</v>
      </c>
      <c r="C2552" s="3" t="s">
        <v>2583</v>
      </c>
      <c r="D2552" s="3" t="s">
        <v>38</v>
      </c>
      <c r="F2552" s="3" t="s">
        <v>4189</v>
      </c>
      <c r="G2552" s="3" t="s">
        <v>39</v>
      </c>
      <c r="H2552" s="3" t="s">
        <v>253</v>
      </c>
      <c r="I2552" s="2">
        <v>89</v>
      </c>
      <c r="J2552" s="2">
        <v>45</v>
      </c>
      <c r="K2552" s="2">
        <v>3</v>
      </c>
      <c r="O2552" s="2">
        <v>6</v>
      </c>
      <c r="P2552" s="2">
        <v>11</v>
      </c>
      <c r="U2552" s="2">
        <v>1</v>
      </c>
      <c r="V2552" s="2">
        <v>29</v>
      </c>
      <c r="W2552" s="2">
        <v>1</v>
      </c>
      <c r="X2552" s="2">
        <v>23</v>
      </c>
      <c r="AA2552" s="3" t="s">
        <v>40</v>
      </c>
      <c r="AB2552" s="2">
        <v>2</v>
      </c>
      <c r="AF2552" s="2">
        <v>38</v>
      </c>
      <c r="AG2552" s="2">
        <v>1</v>
      </c>
      <c r="AH2552" s="3" t="s">
        <v>2454</v>
      </c>
      <c r="AI2552" s="4">
        <v>45062</v>
      </c>
      <c r="AJ2552" s="3" t="s">
        <v>2672</v>
      </c>
      <c r="AK2552" s="3" t="s">
        <v>38</v>
      </c>
    </row>
    <row r="2553" spans="1:37" hidden="1" x14ac:dyDescent="0.25">
      <c r="A2553" t="str">
        <f t="shared" si="39"/>
        <v>2023_Vic_Dooen_Lentil_DetailedTOS1VarietyJumbo2WaterTrtRainFed</v>
      </c>
      <c r="B2553" s="2">
        <v>2023026</v>
      </c>
      <c r="C2553" s="3" t="s">
        <v>2583</v>
      </c>
      <c r="D2553" s="3" t="s">
        <v>38</v>
      </c>
      <c r="F2553" s="3" t="s">
        <v>4176</v>
      </c>
      <c r="G2553" s="3" t="s">
        <v>43</v>
      </c>
      <c r="H2553" s="3" t="s">
        <v>253</v>
      </c>
      <c r="I2553" s="2">
        <v>90</v>
      </c>
      <c r="J2553" s="2">
        <v>46</v>
      </c>
      <c r="K2553" s="2">
        <v>3</v>
      </c>
      <c r="O2553" s="2">
        <v>6</v>
      </c>
      <c r="P2553" s="2">
        <v>11</v>
      </c>
      <c r="U2553" s="2">
        <v>2</v>
      </c>
      <c r="V2553" s="2">
        <v>29</v>
      </c>
      <c r="W2553" s="2">
        <v>2</v>
      </c>
      <c r="X2553" s="2">
        <v>23</v>
      </c>
      <c r="AA2553" s="3" t="s">
        <v>40</v>
      </c>
      <c r="AB2553" s="2">
        <v>3</v>
      </c>
      <c r="AF2553" s="2">
        <v>38</v>
      </c>
      <c r="AG2553" s="2">
        <v>1</v>
      </c>
      <c r="AH2553" s="3" t="s">
        <v>2454</v>
      </c>
      <c r="AI2553" s="4">
        <v>45062</v>
      </c>
      <c r="AJ2553" s="3" t="s">
        <v>2673</v>
      </c>
      <c r="AK2553" s="3" t="s">
        <v>38</v>
      </c>
    </row>
    <row r="2554" spans="1:37" hidden="1" x14ac:dyDescent="0.25">
      <c r="A2554" t="str">
        <f t="shared" si="39"/>
        <v>2023_Vic_Dooen_Lentil_DetailedTOS1VarietyBoltWaterTrtIrrigated</v>
      </c>
      <c r="B2554" s="2">
        <v>2023026</v>
      </c>
      <c r="C2554" s="3" t="s">
        <v>2583</v>
      </c>
      <c r="D2554" s="3" t="s">
        <v>38</v>
      </c>
      <c r="F2554" s="3" t="s">
        <v>4187</v>
      </c>
      <c r="G2554" s="3" t="s">
        <v>39</v>
      </c>
      <c r="H2554" s="3" t="s">
        <v>253</v>
      </c>
      <c r="I2554" s="2">
        <v>91</v>
      </c>
      <c r="J2554" s="2">
        <v>47</v>
      </c>
      <c r="K2554" s="2">
        <v>3</v>
      </c>
      <c r="O2554" s="2">
        <v>6</v>
      </c>
      <c r="P2554" s="2">
        <v>12</v>
      </c>
      <c r="U2554" s="2">
        <v>3</v>
      </c>
      <c r="V2554" s="2">
        <v>29</v>
      </c>
      <c r="W2554" s="2">
        <v>3</v>
      </c>
      <c r="X2554" s="2">
        <v>23</v>
      </c>
      <c r="AA2554" s="3" t="s">
        <v>57</v>
      </c>
      <c r="AB2554" s="2">
        <v>1</v>
      </c>
      <c r="AF2554" s="2">
        <v>38</v>
      </c>
      <c r="AG2554" s="2">
        <v>1</v>
      </c>
      <c r="AH2554" s="3" t="s">
        <v>2454</v>
      </c>
      <c r="AI2554" s="4">
        <v>45062</v>
      </c>
      <c r="AJ2554" s="3" t="s">
        <v>2674</v>
      </c>
      <c r="AK2554" s="3" t="s">
        <v>38</v>
      </c>
    </row>
    <row r="2555" spans="1:37" hidden="1" x14ac:dyDescent="0.25">
      <c r="A2555" t="str">
        <f t="shared" si="39"/>
        <v>2023_Vic_Dooen_Lentil_DetailedTOS1VarietyKelpieXTWaterTrtIrrigated</v>
      </c>
      <c r="B2555" s="2">
        <v>2023026</v>
      </c>
      <c r="C2555" s="3" t="s">
        <v>2583</v>
      </c>
      <c r="D2555" s="3" t="s">
        <v>38</v>
      </c>
      <c r="F2555" s="3" t="s">
        <v>4188</v>
      </c>
      <c r="G2555" s="3" t="s">
        <v>43</v>
      </c>
      <c r="H2555" s="3" t="s">
        <v>253</v>
      </c>
      <c r="I2555" s="2">
        <v>92</v>
      </c>
      <c r="J2555" s="2">
        <v>48</v>
      </c>
      <c r="K2555" s="2">
        <v>3</v>
      </c>
      <c r="O2555" s="2">
        <v>6</v>
      </c>
      <c r="P2555" s="2">
        <v>12</v>
      </c>
      <c r="U2555" s="2">
        <v>4</v>
      </c>
      <c r="V2555" s="2">
        <v>29</v>
      </c>
      <c r="W2555" s="2">
        <v>4</v>
      </c>
      <c r="X2555" s="2">
        <v>23</v>
      </c>
      <c r="AA2555" s="3" t="s">
        <v>57</v>
      </c>
      <c r="AB2555" s="2">
        <v>4</v>
      </c>
      <c r="AF2555" s="2">
        <v>38</v>
      </c>
      <c r="AG2555" s="2">
        <v>1</v>
      </c>
      <c r="AH2555" s="3" t="s">
        <v>2454</v>
      </c>
      <c r="AI2555" s="4">
        <v>45062</v>
      </c>
      <c r="AJ2555" s="3" t="s">
        <v>2675</v>
      </c>
      <c r="AK2555" s="3" t="s">
        <v>38</v>
      </c>
    </row>
    <row r="2556" spans="1:37" hidden="1" x14ac:dyDescent="0.25">
      <c r="A2556" t="str">
        <f t="shared" si="39"/>
        <v>2023_Vic_Dooen_Lentil_DetailedTOS1VarietyHallmarkXTWaterTrtRainFed</v>
      </c>
      <c r="B2556" s="2">
        <v>2023026</v>
      </c>
      <c r="C2556" s="3" t="s">
        <v>2583</v>
      </c>
      <c r="D2556" s="3" t="s">
        <v>38</v>
      </c>
      <c r="F2556" s="3" t="s">
        <v>4189</v>
      </c>
      <c r="G2556" s="3" t="s">
        <v>39</v>
      </c>
      <c r="H2556" s="3" t="s">
        <v>250</v>
      </c>
      <c r="I2556" s="2">
        <v>93</v>
      </c>
      <c r="J2556" s="2">
        <v>45</v>
      </c>
      <c r="K2556" s="2">
        <v>3</v>
      </c>
      <c r="O2556" s="2">
        <v>6</v>
      </c>
      <c r="P2556" s="2">
        <v>11</v>
      </c>
      <c r="U2556" s="2">
        <v>1</v>
      </c>
      <c r="V2556" s="2">
        <v>30</v>
      </c>
      <c r="W2556" s="2">
        <v>1</v>
      </c>
      <c r="X2556" s="2">
        <v>24</v>
      </c>
      <c r="Z2556" s="2">
        <v>48</v>
      </c>
      <c r="AA2556" s="3" t="s">
        <v>40</v>
      </c>
      <c r="AB2556" s="2">
        <v>2</v>
      </c>
      <c r="AF2556" s="2">
        <v>38</v>
      </c>
      <c r="AG2556" s="2">
        <v>1</v>
      </c>
      <c r="AH2556" s="3" t="s">
        <v>2454</v>
      </c>
      <c r="AI2556" s="4">
        <v>45062</v>
      </c>
      <c r="AJ2556" s="3" t="s">
        <v>2676</v>
      </c>
      <c r="AK2556" s="3" t="s">
        <v>38</v>
      </c>
    </row>
    <row r="2557" spans="1:37" hidden="1" x14ac:dyDescent="0.25">
      <c r="A2557" t="str">
        <f t="shared" si="39"/>
        <v>2023_Vic_Dooen_Lentil_DetailedTOS1VarietyJumbo2WaterTrtRainFed</v>
      </c>
      <c r="B2557" s="2">
        <v>2023026</v>
      </c>
      <c r="C2557" s="3" t="s">
        <v>2583</v>
      </c>
      <c r="D2557" s="3" t="s">
        <v>38</v>
      </c>
      <c r="F2557" s="3" t="s">
        <v>4176</v>
      </c>
      <c r="G2557" s="3" t="s">
        <v>43</v>
      </c>
      <c r="H2557" s="3" t="s">
        <v>250</v>
      </c>
      <c r="I2557" s="2">
        <v>94</v>
      </c>
      <c r="J2557" s="2">
        <v>46</v>
      </c>
      <c r="K2557" s="2">
        <v>3</v>
      </c>
      <c r="O2557" s="2">
        <v>6</v>
      </c>
      <c r="P2557" s="2">
        <v>11</v>
      </c>
      <c r="U2557" s="2">
        <v>2</v>
      </c>
      <c r="V2557" s="2">
        <v>30</v>
      </c>
      <c r="W2557" s="2">
        <v>2</v>
      </c>
      <c r="X2557" s="2">
        <v>24</v>
      </c>
      <c r="Z2557" s="2">
        <v>47</v>
      </c>
      <c r="AA2557" s="3" t="s">
        <v>40</v>
      </c>
      <c r="AB2557" s="2">
        <v>3</v>
      </c>
      <c r="AF2557" s="2">
        <v>38</v>
      </c>
      <c r="AG2557" s="2">
        <v>1</v>
      </c>
      <c r="AH2557" s="3" t="s">
        <v>2454</v>
      </c>
      <c r="AI2557" s="4">
        <v>45062</v>
      </c>
      <c r="AJ2557" s="3" t="s">
        <v>2677</v>
      </c>
      <c r="AK2557" s="3" t="s">
        <v>38</v>
      </c>
    </row>
    <row r="2558" spans="1:37" hidden="1" x14ac:dyDescent="0.25">
      <c r="A2558" t="str">
        <f t="shared" si="39"/>
        <v>2023_Vic_Dooen_Lentil_DetailedTOS1VarietyBoltWaterTrtIrrigated</v>
      </c>
      <c r="B2558" s="2">
        <v>2023026</v>
      </c>
      <c r="C2558" s="3" t="s">
        <v>2583</v>
      </c>
      <c r="D2558" s="3" t="s">
        <v>38</v>
      </c>
      <c r="F2558" s="3" t="s">
        <v>4187</v>
      </c>
      <c r="G2558" s="3" t="s">
        <v>39</v>
      </c>
      <c r="H2558" s="3" t="s">
        <v>250</v>
      </c>
      <c r="I2558" s="2">
        <v>95</v>
      </c>
      <c r="J2558" s="2">
        <v>47</v>
      </c>
      <c r="K2558" s="2">
        <v>3</v>
      </c>
      <c r="O2558" s="2">
        <v>6</v>
      </c>
      <c r="P2558" s="2">
        <v>12</v>
      </c>
      <c r="U2558" s="2">
        <v>3</v>
      </c>
      <c r="V2558" s="2">
        <v>30</v>
      </c>
      <c r="W2558" s="2">
        <v>3</v>
      </c>
      <c r="X2558" s="2">
        <v>24</v>
      </c>
      <c r="Z2558" s="2">
        <v>46</v>
      </c>
      <c r="AA2558" s="3" t="s">
        <v>57</v>
      </c>
      <c r="AB2558" s="2">
        <v>1</v>
      </c>
      <c r="AF2558" s="2">
        <v>38</v>
      </c>
      <c r="AG2558" s="2">
        <v>1</v>
      </c>
      <c r="AH2558" s="3" t="s">
        <v>2454</v>
      </c>
      <c r="AI2558" s="4">
        <v>45062</v>
      </c>
      <c r="AJ2558" s="3" t="s">
        <v>2678</v>
      </c>
      <c r="AK2558" s="3" t="s">
        <v>38</v>
      </c>
    </row>
    <row r="2559" spans="1:37" hidden="1" x14ac:dyDescent="0.25">
      <c r="A2559" t="str">
        <f t="shared" si="39"/>
        <v>2023_Vic_Dooen_Lentil_DetailedTOS1VarietyKelpieXTWaterTrtIrrigated</v>
      </c>
      <c r="B2559" s="2">
        <v>2023026</v>
      </c>
      <c r="C2559" s="3" t="s">
        <v>2583</v>
      </c>
      <c r="D2559" s="3" t="s">
        <v>38</v>
      </c>
      <c r="F2559" s="3" t="s">
        <v>4188</v>
      </c>
      <c r="G2559" s="3" t="s">
        <v>43</v>
      </c>
      <c r="H2559" s="3" t="s">
        <v>250</v>
      </c>
      <c r="I2559" s="2">
        <v>96</v>
      </c>
      <c r="J2559" s="2">
        <v>48</v>
      </c>
      <c r="K2559" s="2">
        <v>3</v>
      </c>
      <c r="O2559" s="2">
        <v>6</v>
      </c>
      <c r="P2559" s="2">
        <v>12</v>
      </c>
      <c r="U2559" s="2">
        <v>4</v>
      </c>
      <c r="V2559" s="2">
        <v>30</v>
      </c>
      <c r="W2559" s="2">
        <v>4</v>
      </c>
      <c r="X2559" s="2">
        <v>24</v>
      </c>
      <c r="Z2559" s="2">
        <v>45</v>
      </c>
      <c r="AA2559" s="3" t="s">
        <v>57</v>
      </c>
      <c r="AB2559" s="2">
        <v>4</v>
      </c>
      <c r="AF2559" s="2">
        <v>38</v>
      </c>
      <c r="AG2559" s="2">
        <v>1</v>
      </c>
      <c r="AH2559" s="3" t="s">
        <v>2454</v>
      </c>
      <c r="AI2559" s="4">
        <v>45062</v>
      </c>
      <c r="AJ2559" s="3" t="s">
        <v>2679</v>
      </c>
      <c r="AK2559" s="3" t="s">
        <v>38</v>
      </c>
    </row>
    <row r="2560" spans="1:37" hidden="1" x14ac:dyDescent="0.25">
      <c r="A2560" t="str">
        <f t="shared" si="39"/>
        <v>2023_Vic_Dooen_Lentil_DetailedTOS2VarietyHallmarkXTWaterTrtIrrigated</v>
      </c>
      <c r="B2560" s="2">
        <v>2023026</v>
      </c>
      <c r="C2560" s="3" t="s">
        <v>2583</v>
      </c>
      <c r="D2560" s="3" t="s">
        <v>38</v>
      </c>
      <c r="F2560" s="3" t="s">
        <v>4189</v>
      </c>
      <c r="G2560" s="3" t="s">
        <v>39</v>
      </c>
      <c r="H2560" s="3" t="s">
        <v>253</v>
      </c>
      <c r="I2560" s="2">
        <v>97</v>
      </c>
      <c r="J2560" s="2">
        <v>49</v>
      </c>
      <c r="K2560" s="2">
        <v>4</v>
      </c>
      <c r="O2560" s="2">
        <v>7</v>
      </c>
      <c r="P2560" s="2">
        <v>13</v>
      </c>
      <c r="U2560" s="2">
        <v>1</v>
      </c>
      <c r="V2560" s="2">
        <v>32</v>
      </c>
      <c r="W2560" s="2">
        <v>1</v>
      </c>
      <c r="X2560" s="2">
        <v>25</v>
      </c>
      <c r="AA2560" s="3" t="s">
        <v>57</v>
      </c>
      <c r="AB2560" s="2">
        <v>2</v>
      </c>
      <c r="AF2560" s="2">
        <v>38</v>
      </c>
      <c r="AG2560" s="2">
        <v>2</v>
      </c>
      <c r="AH2560" s="3" t="s">
        <v>2063</v>
      </c>
      <c r="AI2560" s="4">
        <v>45110</v>
      </c>
      <c r="AJ2560" s="3" t="s">
        <v>2680</v>
      </c>
      <c r="AK2560" s="3" t="s">
        <v>38</v>
      </c>
    </row>
    <row r="2561" spans="1:37" hidden="1" x14ac:dyDescent="0.25">
      <c r="A2561" t="str">
        <f t="shared" si="39"/>
        <v>2023_Vic_Dooen_Lentil_DetailedTOS2VarietyBoltWaterTrtIrrigated</v>
      </c>
      <c r="B2561" s="2">
        <v>2023026</v>
      </c>
      <c r="C2561" s="3" t="s">
        <v>2583</v>
      </c>
      <c r="D2561" s="3" t="s">
        <v>38</v>
      </c>
      <c r="F2561" s="3" t="s">
        <v>4187</v>
      </c>
      <c r="G2561" s="3" t="s">
        <v>39</v>
      </c>
      <c r="H2561" s="3" t="s">
        <v>253</v>
      </c>
      <c r="I2561" s="2">
        <v>98</v>
      </c>
      <c r="J2561" s="2">
        <v>50</v>
      </c>
      <c r="K2561" s="2">
        <v>4</v>
      </c>
      <c r="O2561" s="2">
        <v>7</v>
      </c>
      <c r="P2561" s="2">
        <v>13</v>
      </c>
      <c r="U2561" s="2">
        <v>2</v>
      </c>
      <c r="V2561" s="2">
        <v>32</v>
      </c>
      <c r="W2561" s="2">
        <v>2</v>
      </c>
      <c r="X2561" s="2">
        <v>25</v>
      </c>
      <c r="AA2561" s="3" t="s">
        <v>57</v>
      </c>
      <c r="AB2561" s="2">
        <v>1</v>
      </c>
      <c r="AF2561" s="2">
        <v>38</v>
      </c>
      <c r="AG2561" s="2">
        <v>2</v>
      </c>
      <c r="AH2561" s="3" t="s">
        <v>2063</v>
      </c>
      <c r="AI2561" s="4">
        <v>45110</v>
      </c>
      <c r="AJ2561" s="3" t="s">
        <v>2681</v>
      </c>
      <c r="AK2561" s="3" t="s">
        <v>38</v>
      </c>
    </row>
    <row r="2562" spans="1:37" hidden="1" x14ac:dyDescent="0.25">
      <c r="A2562" t="str">
        <f t="shared" si="39"/>
        <v>2023_Vic_Dooen_Lentil_DetailedTOS2VarietyKelpieXTWaterTrtRainFed</v>
      </c>
      <c r="B2562" s="2">
        <v>2023026</v>
      </c>
      <c r="C2562" s="3" t="s">
        <v>2583</v>
      </c>
      <c r="D2562" s="3" t="s">
        <v>38</v>
      </c>
      <c r="F2562" s="3" t="s">
        <v>4188</v>
      </c>
      <c r="G2562" s="3" t="s">
        <v>43</v>
      </c>
      <c r="H2562" s="3" t="s">
        <v>253</v>
      </c>
      <c r="I2562" s="2">
        <v>99</v>
      </c>
      <c r="J2562" s="2">
        <v>51</v>
      </c>
      <c r="K2562" s="2">
        <v>4</v>
      </c>
      <c r="O2562" s="2">
        <v>7</v>
      </c>
      <c r="P2562" s="2">
        <v>14</v>
      </c>
      <c r="U2562" s="2">
        <v>3</v>
      </c>
      <c r="V2562" s="2">
        <v>32</v>
      </c>
      <c r="W2562" s="2">
        <v>3</v>
      </c>
      <c r="X2562" s="2">
        <v>25</v>
      </c>
      <c r="AA2562" s="3" t="s">
        <v>40</v>
      </c>
      <c r="AB2562" s="2">
        <v>4</v>
      </c>
      <c r="AF2562" s="2">
        <v>38</v>
      </c>
      <c r="AG2562" s="2">
        <v>2</v>
      </c>
      <c r="AH2562" s="3" t="s">
        <v>2063</v>
      </c>
      <c r="AI2562" s="4">
        <v>45110</v>
      </c>
      <c r="AJ2562" s="3" t="s">
        <v>2682</v>
      </c>
      <c r="AK2562" s="3" t="s">
        <v>38</v>
      </c>
    </row>
    <row r="2563" spans="1:37" hidden="1" x14ac:dyDescent="0.25">
      <c r="A2563" t="str">
        <f t="shared" ref="A2563:A2626" si="40">C2563&amp;"TOS"&amp;AG2563&amp;"Variety"&amp;F2563&amp;"WaterTrt"&amp;AA2563&amp;IF(AC2563="","","Agronomy"&amp;AC2563)</f>
        <v>2023_Vic_Dooen_Lentil_DetailedTOS2VarietyJumbo2WaterTrtRainFed</v>
      </c>
      <c r="B2563" s="2">
        <v>2023026</v>
      </c>
      <c r="C2563" s="3" t="s">
        <v>2583</v>
      </c>
      <c r="D2563" s="3" t="s">
        <v>38</v>
      </c>
      <c r="F2563" s="3" t="s">
        <v>4176</v>
      </c>
      <c r="G2563" s="3" t="s">
        <v>43</v>
      </c>
      <c r="H2563" s="3" t="s">
        <v>253</v>
      </c>
      <c r="I2563" s="2">
        <v>100</v>
      </c>
      <c r="J2563" s="2">
        <v>52</v>
      </c>
      <c r="K2563" s="2">
        <v>4</v>
      </c>
      <c r="O2563" s="2">
        <v>7</v>
      </c>
      <c r="P2563" s="2">
        <v>14</v>
      </c>
      <c r="U2563" s="2">
        <v>4</v>
      </c>
      <c r="V2563" s="2">
        <v>32</v>
      </c>
      <c r="W2563" s="2">
        <v>4</v>
      </c>
      <c r="X2563" s="2">
        <v>25</v>
      </c>
      <c r="AA2563" s="3" t="s">
        <v>40</v>
      </c>
      <c r="AB2563" s="2">
        <v>3</v>
      </c>
      <c r="AF2563" s="2">
        <v>38</v>
      </c>
      <c r="AG2563" s="2">
        <v>2</v>
      </c>
      <c r="AH2563" s="3" t="s">
        <v>2063</v>
      </c>
      <c r="AI2563" s="4">
        <v>45110</v>
      </c>
      <c r="AJ2563" s="3" t="s">
        <v>2683</v>
      </c>
      <c r="AK2563" s="3" t="s">
        <v>38</v>
      </c>
    </row>
    <row r="2564" spans="1:37" hidden="1" x14ac:dyDescent="0.25">
      <c r="A2564" t="str">
        <f t="shared" si="40"/>
        <v>2023_Vic_Dooen_Lentil_DetailedTOS2VarietyHallmarkXTWaterTrtIrrigated</v>
      </c>
      <c r="B2564" s="2">
        <v>2023026</v>
      </c>
      <c r="C2564" s="3" t="s">
        <v>2583</v>
      </c>
      <c r="D2564" s="3" t="s">
        <v>38</v>
      </c>
      <c r="F2564" s="3" t="s">
        <v>4189</v>
      </c>
      <c r="G2564" s="3" t="s">
        <v>39</v>
      </c>
      <c r="H2564" s="3" t="s">
        <v>250</v>
      </c>
      <c r="I2564" s="2">
        <v>101</v>
      </c>
      <c r="J2564" s="2">
        <v>49</v>
      </c>
      <c r="K2564" s="2">
        <v>4</v>
      </c>
      <c r="O2564" s="2">
        <v>7</v>
      </c>
      <c r="P2564" s="2">
        <v>13</v>
      </c>
      <c r="U2564" s="2">
        <v>1</v>
      </c>
      <c r="V2564" s="2">
        <v>33</v>
      </c>
      <c r="W2564" s="2">
        <v>1</v>
      </c>
      <c r="X2564" s="2">
        <v>26</v>
      </c>
      <c r="Z2564" s="2">
        <v>49</v>
      </c>
      <c r="AA2564" s="3" t="s">
        <v>57</v>
      </c>
      <c r="AB2564" s="2">
        <v>2</v>
      </c>
      <c r="AF2564" s="2">
        <v>38</v>
      </c>
      <c r="AG2564" s="2">
        <v>2</v>
      </c>
      <c r="AH2564" s="3" t="s">
        <v>2063</v>
      </c>
      <c r="AI2564" s="4">
        <v>45110</v>
      </c>
      <c r="AJ2564" s="3" t="s">
        <v>2684</v>
      </c>
      <c r="AK2564" s="3" t="s">
        <v>38</v>
      </c>
    </row>
    <row r="2565" spans="1:37" hidden="1" x14ac:dyDescent="0.25">
      <c r="A2565" t="str">
        <f t="shared" si="40"/>
        <v>2023_Vic_Dooen_Lentil_DetailedTOS2VarietyBoltWaterTrtIrrigated</v>
      </c>
      <c r="B2565" s="2">
        <v>2023026</v>
      </c>
      <c r="C2565" s="3" t="s">
        <v>2583</v>
      </c>
      <c r="D2565" s="3" t="s">
        <v>38</v>
      </c>
      <c r="F2565" s="3" t="s">
        <v>4187</v>
      </c>
      <c r="G2565" s="3" t="s">
        <v>39</v>
      </c>
      <c r="H2565" s="3" t="s">
        <v>250</v>
      </c>
      <c r="I2565" s="2">
        <v>102</v>
      </c>
      <c r="J2565" s="2">
        <v>50</v>
      </c>
      <c r="K2565" s="2">
        <v>4</v>
      </c>
      <c r="O2565" s="2">
        <v>7</v>
      </c>
      <c r="P2565" s="2">
        <v>13</v>
      </c>
      <c r="U2565" s="2">
        <v>2</v>
      </c>
      <c r="V2565" s="2">
        <v>33</v>
      </c>
      <c r="W2565" s="2">
        <v>2</v>
      </c>
      <c r="X2565" s="2">
        <v>26</v>
      </c>
      <c r="Z2565" s="2">
        <v>50</v>
      </c>
      <c r="AA2565" s="3" t="s">
        <v>57</v>
      </c>
      <c r="AB2565" s="2">
        <v>1</v>
      </c>
      <c r="AF2565" s="2">
        <v>38</v>
      </c>
      <c r="AG2565" s="2">
        <v>2</v>
      </c>
      <c r="AH2565" s="3" t="s">
        <v>2063</v>
      </c>
      <c r="AI2565" s="4">
        <v>45110</v>
      </c>
      <c r="AJ2565" s="3" t="s">
        <v>2685</v>
      </c>
      <c r="AK2565" s="3" t="s">
        <v>38</v>
      </c>
    </row>
    <row r="2566" spans="1:37" hidden="1" x14ac:dyDescent="0.25">
      <c r="A2566" t="str">
        <f t="shared" si="40"/>
        <v>2023_Vic_Dooen_Lentil_DetailedTOS2VarietyKelpieXTWaterTrtRainFed</v>
      </c>
      <c r="B2566" s="2">
        <v>2023026</v>
      </c>
      <c r="C2566" s="3" t="s">
        <v>2583</v>
      </c>
      <c r="D2566" s="3" t="s">
        <v>38</v>
      </c>
      <c r="F2566" s="3" t="s">
        <v>4188</v>
      </c>
      <c r="G2566" s="3" t="s">
        <v>43</v>
      </c>
      <c r="H2566" s="3" t="s">
        <v>250</v>
      </c>
      <c r="I2566" s="2">
        <v>103</v>
      </c>
      <c r="J2566" s="2">
        <v>51</v>
      </c>
      <c r="K2566" s="2">
        <v>4</v>
      </c>
      <c r="O2566" s="2">
        <v>7</v>
      </c>
      <c r="P2566" s="2">
        <v>14</v>
      </c>
      <c r="U2566" s="2">
        <v>3</v>
      </c>
      <c r="V2566" s="2">
        <v>33</v>
      </c>
      <c r="W2566" s="2">
        <v>3</v>
      </c>
      <c r="X2566" s="2">
        <v>26</v>
      </c>
      <c r="Z2566" s="2">
        <v>51</v>
      </c>
      <c r="AA2566" s="3" t="s">
        <v>40</v>
      </c>
      <c r="AB2566" s="2">
        <v>4</v>
      </c>
      <c r="AF2566" s="2">
        <v>38</v>
      </c>
      <c r="AG2566" s="2">
        <v>2</v>
      </c>
      <c r="AH2566" s="3" t="s">
        <v>2063</v>
      </c>
      <c r="AI2566" s="4">
        <v>45110</v>
      </c>
      <c r="AJ2566" s="3" t="s">
        <v>2686</v>
      </c>
      <c r="AK2566" s="3" t="s">
        <v>38</v>
      </c>
    </row>
    <row r="2567" spans="1:37" hidden="1" x14ac:dyDescent="0.25">
      <c r="A2567" t="str">
        <f t="shared" si="40"/>
        <v>2023_Vic_Dooen_Lentil_DetailedTOS2VarietyJumbo2WaterTrtRainFed</v>
      </c>
      <c r="B2567" s="2">
        <v>2023026</v>
      </c>
      <c r="C2567" s="3" t="s">
        <v>2583</v>
      </c>
      <c r="D2567" s="3" t="s">
        <v>38</v>
      </c>
      <c r="F2567" s="3" t="s">
        <v>4176</v>
      </c>
      <c r="G2567" s="3" t="s">
        <v>43</v>
      </c>
      <c r="H2567" s="3" t="s">
        <v>250</v>
      </c>
      <c r="I2567" s="2">
        <v>104</v>
      </c>
      <c r="J2567" s="2">
        <v>52</v>
      </c>
      <c r="K2567" s="2">
        <v>4</v>
      </c>
      <c r="O2567" s="2">
        <v>7</v>
      </c>
      <c r="P2567" s="2">
        <v>14</v>
      </c>
      <c r="U2567" s="2">
        <v>4</v>
      </c>
      <c r="V2567" s="2">
        <v>33</v>
      </c>
      <c r="W2567" s="2">
        <v>4</v>
      </c>
      <c r="X2567" s="2">
        <v>26</v>
      </c>
      <c r="Z2567" s="2">
        <v>52</v>
      </c>
      <c r="AA2567" s="3" t="s">
        <v>40</v>
      </c>
      <c r="AB2567" s="2">
        <v>3</v>
      </c>
      <c r="AF2567" s="2">
        <v>38</v>
      </c>
      <c r="AG2567" s="2">
        <v>2</v>
      </c>
      <c r="AH2567" s="3" t="s">
        <v>2063</v>
      </c>
      <c r="AI2567" s="4">
        <v>45110</v>
      </c>
      <c r="AJ2567" s="3" t="s">
        <v>2687</v>
      </c>
      <c r="AK2567" s="3" t="s">
        <v>38</v>
      </c>
    </row>
    <row r="2568" spans="1:37" hidden="1" x14ac:dyDescent="0.25">
      <c r="A2568" t="str">
        <f t="shared" si="40"/>
        <v>2023_Vic_Dooen_Lentil_DetailedTOS2VarietyJumbo2WaterTrtIrrigated</v>
      </c>
      <c r="B2568" s="2">
        <v>2023026</v>
      </c>
      <c r="C2568" s="3" t="s">
        <v>2583</v>
      </c>
      <c r="D2568" s="3" t="s">
        <v>38</v>
      </c>
      <c r="F2568" s="3" t="s">
        <v>4176</v>
      </c>
      <c r="G2568" s="3" t="s">
        <v>43</v>
      </c>
      <c r="H2568" s="3" t="s">
        <v>253</v>
      </c>
      <c r="I2568" s="2">
        <v>105</v>
      </c>
      <c r="J2568" s="2">
        <v>53</v>
      </c>
      <c r="K2568" s="2">
        <v>4</v>
      </c>
      <c r="O2568" s="2">
        <v>7</v>
      </c>
      <c r="P2568" s="2">
        <v>13</v>
      </c>
      <c r="U2568" s="2">
        <v>1</v>
      </c>
      <c r="V2568" s="2">
        <v>34</v>
      </c>
      <c r="W2568" s="2">
        <v>1</v>
      </c>
      <c r="X2568" s="2">
        <v>27</v>
      </c>
      <c r="AA2568" s="3" t="s">
        <v>57</v>
      </c>
      <c r="AB2568" s="2">
        <v>3</v>
      </c>
      <c r="AF2568" s="2">
        <v>38</v>
      </c>
      <c r="AG2568" s="2">
        <v>2</v>
      </c>
      <c r="AH2568" s="3" t="s">
        <v>2063</v>
      </c>
      <c r="AI2568" s="4">
        <v>45110</v>
      </c>
      <c r="AJ2568" s="3" t="s">
        <v>2688</v>
      </c>
      <c r="AK2568" s="3" t="s">
        <v>38</v>
      </c>
    </row>
    <row r="2569" spans="1:37" hidden="1" x14ac:dyDescent="0.25">
      <c r="A2569" t="str">
        <f t="shared" si="40"/>
        <v>2023_Vic_Dooen_Lentil_DetailedTOS2VarietyKelpieXTWaterTrtIrrigated</v>
      </c>
      <c r="B2569" s="2">
        <v>2023026</v>
      </c>
      <c r="C2569" s="3" t="s">
        <v>2583</v>
      </c>
      <c r="D2569" s="3" t="s">
        <v>38</v>
      </c>
      <c r="F2569" s="3" t="s">
        <v>4188</v>
      </c>
      <c r="G2569" s="3" t="s">
        <v>43</v>
      </c>
      <c r="H2569" s="3" t="s">
        <v>253</v>
      </c>
      <c r="I2569" s="2">
        <v>106</v>
      </c>
      <c r="J2569" s="2">
        <v>54</v>
      </c>
      <c r="K2569" s="2">
        <v>4</v>
      </c>
      <c r="O2569" s="2">
        <v>7</v>
      </c>
      <c r="P2569" s="2">
        <v>13</v>
      </c>
      <c r="U2569" s="2">
        <v>2</v>
      </c>
      <c r="V2569" s="2">
        <v>34</v>
      </c>
      <c r="W2569" s="2">
        <v>2</v>
      </c>
      <c r="X2569" s="2">
        <v>27</v>
      </c>
      <c r="AA2569" s="3" t="s">
        <v>57</v>
      </c>
      <c r="AB2569" s="2">
        <v>4</v>
      </c>
      <c r="AF2569" s="2">
        <v>38</v>
      </c>
      <c r="AG2569" s="2">
        <v>2</v>
      </c>
      <c r="AH2569" s="3" t="s">
        <v>2063</v>
      </c>
      <c r="AI2569" s="4">
        <v>45110</v>
      </c>
      <c r="AJ2569" s="3" t="s">
        <v>2689</v>
      </c>
      <c r="AK2569" s="3" t="s">
        <v>38</v>
      </c>
    </row>
    <row r="2570" spans="1:37" hidden="1" x14ac:dyDescent="0.25">
      <c r="A2570" t="str">
        <f t="shared" si="40"/>
        <v>2023_Vic_Dooen_Lentil_DetailedTOS2VarietyHallmarkXTWaterTrtRainFed</v>
      </c>
      <c r="B2570" s="2">
        <v>2023026</v>
      </c>
      <c r="C2570" s="3" t="s">
        <v>2583</v>
      </c>
      <c r="D2570" s="3" t="s">
        <v>38</v>
      </c>
      <c r="F2570" s="3" t="s">
        <v>4189</v>
      </c>
      <c r="G2570" s="3" t="s">
        <v>39</v>
      </c>
      <c r="H2570" s="3" t="s">
        <v>253</v>
      </c>
      <c r="I2570" s="2">
        <v>107</v>
      </c>
      <c r="J2570" s="2">
        <v>55</v>
      </c>
      <c r="K2570" s="2">
        <v>4</v>
      </c>
      <c r="O2570" s="2">
        <v>7</v>
      </c>
      <c r="P2570" s="2">
        <v>14</v>
      </c>
      <c r="U2570" s="2">
        <v>3</v>
      </c>
      <c r="V2570" s="2">
        <v>34</v>
      </c>
      <c r="W2570" s="2">
        <v>3</v>
      </c>
      <c r="X2570" s="2">
        <v>27</v>
      </c>
      <c r="AA2570" s="3" t="s">
        <v>40</v>
      </c>
      <c r="AB2570" s="2">
        <v>2</v>
      </c>
      <c r="AF2570" s="2">
        <v>38</v>
      </c>
      <c r="AG2570" s="2">
        <v>2</v>
      </c>
      <c r="AH2570" s="3" t="s">
        <v>2063</v>
      </c>
      <c r="AI2570" s="4">
        <v>45110</v>
      </c>
      <c r="AJ2570" s="3" t="s">
        <v>2690</v>
      </c>
      <c r="AK2570" s="3" t="s">
        <v>38</v>
      </c>
    </row>
    <row r="2571" spans="1:37" hidden="1" x14ac:dyDescent="0.25">
      <c r="A2571" t="str">
        <f t="shared" si="40"/>
        <v>2023_Vic_Dooen_Lentil_DetailedTOS2VarietyBoltWaterTrtRainFed</v>
      </c>
      <c r="B2571" s="2">
        <v>2023026</v>
      </c>
      <c r="C2571" s="3" t="s">
        <v>2583</v>
      </c>
      <c r="D2571" s="3" t="s">
        <v>38</v>
      </c>
      <c r="F2571" s="3" t="s">
        <v>4187</v>
      </c>
      <c r="G2571" s="3" t="s">
        <v>39</v>
      </c>
      <c r="H2571" s="3" t="s">
        <v>253</v>
      </c>
      <c r="I2571" s="2">
        <v>108</v>
      </c>
      <c r="J2571" s="2">
        <v>56</v>
      </c>
      <c r="K2571" s="2">
        <v>4</v>
      </c>
      <c r="O2571" s="2">
        <v>7</v>
      </c>
      <c r="P2571" s="2">
        <v>14</v>
      </c>
      <c r="U2571" s="2">
        <v>4</v>
      </c>
      <c r="V2571" s="2">
        <v>34</v>
      </c>
      <c r="W2571" s="2">
        <v>4</v>
      </c>
      <c r="X2571" s="2">
        <v>27</v>
      </c>
      <c r="AA2571" s="3" t="s">
        <v>40</v>
      </c>
      <c r="AB2571" s="2">
        <v>1</v>
      </c>
      <c r="AF2571" s="2">
        <v>38</v>
      </c>
      <c r="AG2571" s="2">
        <v>2</v>
      </c>
      <c r="AH2571" s="3" t="s">
        <v>2063</v>
      </c>
      <c r="AI2571" s="4">
        <v>45110</v>
      </c>
      <c r="AJ2571" s="3" t="s">
        <v>2691</v>
      </c>
      <c r="AK2571" s="3" t="s">
        <v>38</v>
      </c>
    </row>
    <row r="2572" spans="1:37" hidden="1" x14ac:dyDescent="0.25">
      <c r="A2572" t="str">
        <f t="shared" si="40"/>
        <v>2023_Vic_Dooen_Lentil_DetailedTOS2VarietyJumbo2WaterTrtIrrigated</v>
      </c>
      <c r="B2572" s="2">
        <v>2023026</v>
      </c>
      <c r="C2572" s="3" t="s">
        <v>2583</v>
      </c>
      <c r="D2572" s="3" t="s">
        <v>38</v>
      </c>
      <c r="F2572" s="3" t="s">
        <v>4176</v>
      </c>
      <c r="G2572" s="3" t="s">
        <v>43</v>
      </c>
      <c r="H2572" s="3" t="s">
        <v>250</v>
      </c>
      <c r="I2572" s="2">
        <v>109</v>
      </c>
      <c r="J2572" s="2">
        <v>53</v>
      </c>
      <c r="K2572" s="2">
        <v>4</v>
      </c>
      <c r="O2572" s="2">
        <v>7</v>
      </c>
      <c r="P2572" s="2">
        <v>13</v>
      </c>
      <c r="U2572" s="2">
        <v>1</v>
      </c>
      <c r="V2572" s="2">
        <v>35</v>
      </c>
      <c r="W2572" s="2">
        <v>1</v>
      </c>
      <c r="X2572" s="2">
        <v>28</v>
      </c>
      <c r="Z2572" s="2">
        <v>56</v>
      </c>
      <c r="AA2572" s="3" t="s">
        <v>57</v>
      </c>
      <c r="AB2572" s="2">
        <v>3</v>
      </c>
      <c r="AF2572" s="2">
        <v>38</v>
      </c>
      <c r="AG2572" s="2">
        <v>2</v>
      </c>
      <c r="AH2572" s="3" t="s">
        <v>2063</v>
      </c>
      <c r="AI2572" s="4">
        <v>45110</v>
      </c>
      <c r="AJ2572" s="3" t="s">
        <v>2692</v>
      </c>
      <c r="AK2572" s="3" t="s">
        <v>38</v>
      </c>
    </row>
    <row r="2573" spans="1:37" hidden="1" x14ac:dyDescent="0.25">
      <c r="A2573" t="str">
        <f t="shared" si="40"/>
        <v>2023_Vic_Dooen_Lentil_DetailedTOS2VarietyKelpieXTWaterTrtIrrigated</v>
      </c>
      <c r="B2573" s="2">
        <v>2023026</v>
      </c>
      <c r="C2573" s="3" t="s">
        <v>2583</v>
      </c>
      <c r="D2573" s="3" t="s">
        <v>38</v>
      </c>
      <c r="F2573" s="3" t="s">
        <v>4188</v>
      </c>
      <c r="G2573" s="3" t="s">
        <v>43</v>
      </c>
      <c r="H2573" s="3" t="s">
        <v>250</v>
      </c>
      <c r="I2573" s="2">
        <v>110</v>
      </c>
      <c r="J2573" s="2">
        <v>54</v>
      </c>
      <c r="K2573" s="2">
        <v>4</v>
      </c>
      <c r="O2573" s="2">
        <v>7</v>
      </c>
      <c r="P2573" s="2">
        <v>13</v>
      </c>
      <c r="U2573" s="2">
        <v>2</v>
      </c>
      <c r="V2573" s="2">
        <v>35</v>
      </c>
      <c r="W2573" s="2">
        <v>2</v>
      </c>
      <c r="X2573" s="2">
        <v>28</v>
      </c>
      <c r="Z2573" s="2">
        <v>55</v>
      </c>
      <c r="AA2573" s="3" t="s">
        <v>57</v>
      </c>
      <c r="AB2573" s="2">
        <v>4</v>
      </c>
      <c r="AF2573" s="2">
        <v>38</v>
      </c>
      <c r="AG2573" s="2">
        <v>2</v>
      </c>
      <c r="AH2573" s="3" t="s">
        <v>2063</v>
      </c>
      <c r="AI2573" s="4">
        <v>45110</v>
      </c>
      <c r="AJ2573" s="3" t="s">
        <v>2693</v>
      </c>
      <c r="AK2573" s="3" t="s">
        <v>38</v>
      </c>
    </row>
    <row r="2574" spans="1:37" hidden="1" x14ac:dyDescent="0.25">
      <c r="A2574" t="str">
        <f t="shared" si="40"/>
        <v>2023_Vic_Dooen_Lentil_DetailedTOS2VarietyHallmarkXTWaterTrtRainFed</v>
      </c>
      <c r="B2574" s="2">
        <v>2023026</v>
      </c>
      <c r="C2574" s="3" t="s">
        <v>2583</v>
      </c>
      <c r="D2574" s="3" t="s">
        <v>38</v>
      </c>
      <c r="F2574" s="3" t="s">
        <v>4189</v>
      </c>
      <c r="G2574" s="3" t="s">
        <v>39</v>
      </c>
      <c r="H2574" s="3" t="s">
        <v>250</v>
      </c>
      <c r="I2574" s="2">
        <v>111</v>
      </c>
      <c r="J2574" s="2">
        <v>55</v>
      </c>
      <c r="K2574" s="2">
        <v>4</v>
      </c>
      <c r="O2574" s="2">
        <v>7</v>
      </c>
      <c r="P2574" s="2">
        <v>14</v>
      </c>
      <c r="U2574" s="2">
        <v>3</v>
      </c>
      <c r="V2574" s="2">
        <v>35</v>
      </c>
      <c r="W2574" s="2">
        <v>3</v>
      </c>
      <c r="X2574" s="2">
        <v>28</v>
      </c>
      <c r="Z2574" s="2">
        <v>54</v>
      </c>
      <c r="AA2574" s="3" t="s">
        <v>40</v>
      </c>
      <c r="AB2574" s="2">
        <v>2</v>
      </c>
      <c r="AF2574" s="2">
        <v>38</v>
      </c>
      <c r="AG2574" s="2">
        <v>2</v>
      </c>
      <c r="AH2574" s="3" t="s">
        <v>2063</v>
      </c>
      <c r="AI2574" s="4">
        <v>45110</v>
      </c>
      <c r="AJ2574" s="3" t="s">
        <v>2694</v>
      </c>
      <c r="AK2574" s="3" t="s">
        <v>38</v>
      </c>
    </row>
    <row r="2575" spans="1:37" hidden="1" x14ac:dyDescent="0.25">
      <c r="A2575" t="str">
        <f t="shared" si="40"/>
        <v>2023_Vic_Dooen_Lentil_DetailedTOS2VarietyBoltWaterTrtRainFed</v>
      </c>
      <c r="B2575" s="2">
        <v>2023026</v>
      </c>
      <c r="C2575" s="3" t="s">
        <v>2583</v>
      </c>
      <c r="D2575" s="3" t="s">
        <v>38</v>
      </c>
      <c r="F2575" s="3" t="s">
        <v>4187</v>
      </c>
      <c r="G2575" s="3" t="s">
        <v>39</v>
      </c>
      <c r="H2575" s="3" t="s">
        <v>250</v>
      </c>
      <c r="I2575" s="2">
        <v>112</v>
      </c>
      <c r="J2575" s="2">
        <v>56</v>
      </c>
      <c r="K2575" s="2">
        <v>4</v>
      </c>
      <c r="O2575" s="2">
        <v>7</v>
      </c>
      <c r="P2575" s="2">
        <v>14</v>
      </c>
      <c r="U2575" s="2">
        <v>4</v>
      </c>
      <c r="V2575" s="2">
        <v>35</v>
      </c>
      <c r="W2575" s="2">
        <v>4</v>
      </c>
      <c r="X2575" s="2">
        <v>28</v>
      </c>
      <c r="Z2575" s="2">
        <v>53</v>
      </c>
      <c r="AA2575" s="3" t="s">
        <v>40</v>
      </c>
      <c r="AB2575" s="2">
        <v>1</v>
      </c>
      <c r="AF2575" s="2">
        <v>38</v>
      </c>
      <c r="AG2575" s="2">
        <v>2</v>
      </c>
      <c r="AH2575" s="3" t="s">
        <v>2063</v>
      </c>
      <c r="AI2575" s="4">
        <v>45110</v>
      </c>
      <c r="AJ2575" s="3" t="s">
        <v>2695</v>
      </c>
      <c r="AK2575" s="3" t="s">
        <v>38</v>
      </c>
    </row>
    <row r="2576" spans="1:37" hidden="1" x14ac:dyDescent="0.25">
      <c r="A2576" t="str">
        <f t="shared" si="40"/>
        <v>2023_Vic_Dooen_Lentil_DetailedTOS1VarietyJumbo2WaterTrtIrrigated</v>
      </c>
      <c r="B2576" s="2">
        <v>2023026</v>
      </c>
      <c r="C2576" s="3" t="s">
        <v>2583</v>
      </c>
      <c r="D2576" s="3" t="s">
        <v>38</v>
      </c>
      <c r="F2576" s="3" t="s">
        <v>4176</v>
      </c>
      <c r="G2576" s="3" t="s">
        <v>43</v>
      </c>
      <c r="H2576" s="3" t="s">
        <v>253</v>
      </c>
      <c r="I2576" s="2">
        <v>113</v>
      </c>
      <c r="J2576" s="2">
        <v>57</v>
      </c>
      <c r="K2576" s="2">
        <v>4</v>
      </c>
      <c r="O2576" s="2">
        <v>8</v>
      </c>
      <c r="P2576" s="2">
        <v>15</v>
      </c>
      <c r="U2576" s="2">
        <v>1</v>
      </c>
      <c r="V2576" s="2">
        <v>37</v>
      </c>
      <c r="W2576" s="2">
        <v>1</v>
      </c>
      <c r="X2576" s="2">
        <v>29</v>
      </c>
      <c r="AA2576" s="3" t="s">
        <v>57</v>
      </c>
      <c r="AB2576" s="2">
        <v>3</v>
      </c>
      <c r="AF2576" s="2">
        <v>38</v>
      </c>
      <c r="AG2576" s="2">
        <v>1</v>
      </c>
      <c r="AH2576" s="3" t="s">
        <v>2454</v>
      </c>
      <c r="AI2576" s="4">
        <v>45062</v>
      </c>
      <c r="AJ2576" s="3" t="s">
        <v>2696</v>
      </c>
      <c r="AK2576" s="3" t="s">
        <v>38</v>
      </c>
    </row>
    <row r="2577" spans="1:37" hidden="1" x14ac:dyDescent="0.25">
      <c r="A2577" t="str">
        <f t="shared" si="40"/>
        <v>2023_Vic_Dooen_Lentil_DetailedTOS1VarietyBoltWaterTrtIrrigated</v>
      </c>
      <c r="B2577" s="2">
        <v>2023026</v>
      </c>
      <c r="C2577" s="3" t="s">
        <v>2583</v>
      </c>
      <c r="D2577" s="3" t="s">
        <v>38</v>
      </c>
      <c r="F2577" s="3" t="s">
        <v>4187</v>
      </c>
      <c r="G2577" s="3" t="s">
        <v>39</v>
      </c>
      <c r="H2577" s="3" t="s">
        <v>253</v>
      </c>
      <c r="I2577" s="2">
        <v>114</v>
      </c>
      <c r="J2577" s="2">
        <v>58</v>
      </c>
      <c r="K2577" s="2">
        <v>4</v>
      </c>
      <c r="O2577" s="2">
        <v>8</v>
      </c>
      <c r="P2577" s="2">
        <v>15</v>
      </c>
      <c r="U2577" s="2">
        <v>2</v>
      </c>
      <c r="V2577" s="2">
        <v>37</v>
      </c>
      <c r="W2577" s="2">
        <v>2</v>
      </c>
      <c r="X2577" s="2">
        <v>29</v>
      </c>
      <c r="AA2577" s="3" t="s">
        <v>57</v>
      </c>
      <c r="AB2577" s="2">
        <v>1</v>
      </c>
      <c r="AF2577" s="2">
        <v>38</v>
      </c>
      <c r="AG2577" s="2">
        <v>1</v>
      </c>
      <c r="AH2577" s="3" t="s">
        <v>2454</v>
      </c>
      <c r="AI2577" s="4">
        <v>45062</v>
      </c>
      <c r="AJ2577" s="3" t="s">
        <v>2697</v>
      </c>
      <c r="AK2577" s="3" t="s">
        <v>38</v>
      </c>
    </row>
    <row r="2578" spans="1:37" hidden="1" x14ac:dyDescent="0.25">
      <c r="A2578" t="str">
        <f t="shared" si="40"/>
        <v>2023_Vic_Dooen_Lentil_DetailedTOS1VarietyKelpieXTWaterTrtRainFed</v>
      </c>
      <c r="B2578" s="2">
        <v>2023026</v>
      </c>
      <c r="C2578" s="3" t="s">
        <v>2583</v>
      </c>
      <c r="D2578" s="3" t="s">
        <v>38</v>
      </c>
      <c r="F2578" s="3" t="s">
        <v>4188</v>
      </c>
      <c r="G2578" s="3" t="s">
        <v>43</v>
      </c>
      <c r="H2578" s="3" t="s">
        <v>253</v>
      </c>
      <c r="I2578" s="2">
        <v>115</v>
      </c>
      <c r="J2578" s="2">
        <v>59</v>
      </c>
      <c r="K2578" s="2">
        <v>4</v>
      </c>
      <c r="O2578" s="2">
        <v>8</v>
      </c>
      <c r="P2578" s="2">
        <v>16</v>
      </c>
      <c r="U2578" s="2">
        <v>3</v>
      </c>
      <c r="V2578" s="2">
        <v>37</v>
      </c>
      <c r="W2578" s="2">
        <v>3</v>
      </c>
      <c r="X2578" s="2">
        <v>29</v>
      </c>
      <c r="AA2578" s="3" t="s">
        <v>40</v>
      </c>
      <c r="AB2578" s="2">
        <v>4</v>
      </c>
      <c r="AF2578" s="2">
        <v>38</v>
      </c>
      <c r="AG2578" s="2">
        <v>1</v>
      </c>
      <c r="AH2578" s="3" t="s">
        <v>2454</v>
      </c>
      <c r="AI2578" s="4">
        <v>45062</v>
      </c>
      <c r="AJ2578" s="3" t="s">
        <v>2698</v>
      </c>
      <c r="AK2578" s="3" t="s">
        <v>38</v>
      </c>
    </row>
    <row r="2579" spans="1:37" hidden="1" x14ac:dyDescent="0.25">
      <c r="A2579" t="str">
        <f t="shared" si="40"/>
        <v>2023_Vic_Dooen_Lentil_DetailedTOS1VarietyHallmarkXTWaterTrtRainFed</v>
      </c>
      <c r="B2579" s="2">
        <v>2023026</v>
      </c>
      <c r="C2579" s="3" t="s">
        <v>2583</v>
      </c>
      <c r="D2579" s="3" t="s">
        <v>38</v>
      </c>
      <c r="F2579" s="3" t="s">
        <v>4189</v>
      </c>
      <c r="G2579" s="3" t="s">
        <v>39</v>
      </c>
      <c r="H2579" s="3" t="s">
        <v>253</v>
      </c>
      <c r="I2579" s="2">
        <v>116</v>
      </c>
      <c r="J2579" s="2">
        <v>60</v>
      </c>
      <c r="K2579" s="2">
        <v>4</v>
      </c>
      <c r="O2579" s="2">
        <v>8</v>
      </c>
      <c r="P2579" s="2">
        <v>16</v>
      </c>
      <c r="U2579" s="2">
        <v>4</v>
      </c>
      <c r="V2579" s="2">
        <v>37</v>
      </c>
      <c r="W2579" s="2">
        <v>4</v>
      </c>
      <c r="X2579" s="2">
        <v>29</v>
      </c>
      <c r="AA2579" s="3" t="s">
        <v>40</v>
      </c>
      <c r="AB2579" s="2">
        <v>2</v>
      </c>
      <c r="AF2579" s="2">
        <v>38</v>
      </c>
      <c r="AG2579" s="2">
        <v>1</v>
      </c>
      <c r="AH2579" s="3" t="s">
        <v>2454</v>
      </c>
      <c r="AI2579" s="4">
        <v>45062</v>
      </c>
      <c r="AJ2579" s="3" t="s">
        <v>2699</v>
      </c>
      <c r="AK2579" s="3" t="s">
        <v>38</v>
      </c>
    </row>
    <row r="2580" spans="1:37" hidden="1" x14ac:dyDescent="0.25">
      <c r="A2580" t="str">
        <f t="shared" si="40"/>
        <v>2023_Vic_Dooen_Lentil_DetailedTOS1VarietyJumbo2WaterTrtIrrigated</v>
      </c>
      <c r="B2580" s="2">
        <v>2023026</v>
      </c>
      <c r="C2580" s="3" t="s">
        <v>2583</v>
      </c>
      <c r="D2580" s="3" t="s">
        <v>38</v>
      </c>
      <c r="F2580" s="3" t="s">
        <v>4176</v>
      </c>
      <c r="G2580" s="3" t="s">
        <v>43</v>
      </c>
      <c r="H2580" s="3" t="s">
        <v>250</v>
      </c>
      <c r="I2580" s="2">
        <v>117</v>
      </c>
      <c r="J2580" s="2">
        <v>57</v>
      </c>
      <c r="K2580" s="2">
        <v>4</v>
      </c>
      <c r="O2580" s="2">
        <v>8</v>
      </c>
      <c r="P2580" s="2">
        <v>15</v>
      </c>
      <c r="U2580" s="2">
        <v>1</v>
      </c>
      <c r="V2580" s="2">
        <v>38</v>
      </c>
      <c r="W2580" s="2">
        <v>1</v>
      </c>
      <c r="X2580" s="2">
        <v>30</v>
      </c>
      <c r="Z2580" s="2">
        <v>57</v>
      </c>
      <c r="AA2580" s="3" t="s">
        <v>57</v>
      </c>
      <c r="AB2580" s="2">
        <v>3</v>
      </c>
      <c r="AF2580" s="2">
        <v>38</v>
      </c>
      <c r="AG2580" s="2">
        <v>1</v>
      </c>
      <c r="AH2580" s="3" t="s">
        <v>2454</v>
      </c>
      <c r="AI2580" s="4">
        <v>45062</v>
      </c>
      <c r="AJ2580" s="3" t="s">
        <v>2700</v>
      </c>
      <c r="AK2580" s="3" t="s">
        <v>38</v>
      </c>
    </row>
    <row r="2581" spans="1:37" hidden="1" x14ac:dyDescent="0.25">
      <c r="A2581" t="str">
        <f t="shared" si="40"/>
        <v>2023_Vic_Dooen_Lentil_DetailedTOS1VarietyBoltWaterTrtIrrigated</v>
      </c>
      <c r="B2581" s="2">
        <v>2023026</v>
      </c>
      <c r="C2581" s="3" t="s">
        <v>2583</v>
      </c>
      <c r="D2581" s="3" t="s">
        <v>38</v>
      </c>
      <c r="F2581" s="3" t="s">
        <v>4187</v>
      </c>
      <c r="G2581" s="3" t="s">
        <v>39</v>
      </c>
      <c r="H2581" s="3" t="s">
        <v>250</v>
      </c>
      <c r="I2581" s="2">
        <v>118</v>
      </c>
      <c r="J2581" s="2">
        <v>58</v>
      </c>
      <c r="K2581" s="2">
        <v>4</v>
      </c>
      <c r="O2581" s="2">
        <v>8</v>
      </c>
      <c r="P2581" s="2">
        <v>15</v>
      </c>
      <c r="U2581" s="2">
        <v>2</v>
      </c>
      <c r="V2581" s="2">
        <v>38</v>
      </c>
      <c r="W2581" s="2">
        <v>2</v>
      </c>
      <c r="X2581" s="2">
        <v>30</v>
      </c>
      <c r="Z2581" s="2">
        <v>58</v>
      </c>
      <c r="AA2581" s="3" t="s">
        <v>57</v>
      </c>
      <c r="AB2581" s="2">
        <v>1</v>
      </c>
      <c r="AF2581" s="2">
        <v>38</v>
      </c>
      <c r="AG2581" s="2">
        <v>1</v>
      </c>
      <c r="AH2581" s="3" t="s">
        <v>2454</v>
      </c>
      <c r="AI2581" s="4">
        <v>45062</v>
      </c>
      <c r="AJ2581" s="3" t="s">
        <v>2701</v>
      </c>
      <c r="AK2581" s="3" t="s">
        <v>38</v>
      </c>
    </row>
    <row r="2582" spans="1:37" hidden="1" x14ac:dyDescent="0.25">
      <c r="A2582" t="str">
        <f t="shared" si="40"/>
        <v>2023_Vic_Dooen_Lentil_DetailedTOS1VarietyKelpieXTWaterTrtRainFed</v>
      </c>
      <c r="B2582" s="2">
        <v>2023026</v>
      </c>
      <c r="C2582" s="3" t="s">
        <v>2583</v>
      </c>
      <c r="D2582" s="3" t="s">
        <v>38</v>
      </c>
      <c r="F2582" s="3" t="s">
        <v>4188</v>
      </c>
      <c r="G2582" s="3" t="s">
        <v>43</v>
      </c>
      <c r="H2582" s="3" t="s">
        <v>250</v>
      </c>
      <c r="I2582" s="2">
        <v>119</v>
      </c>
      <c r="J2582" s="2">
        <v>59</v>
      </c>
      <c r="K2582" s="2">
        <v>4</v>
      </c>
      <c r="O2582" s="2">
        <v>8</v>
      </c>
      <c r="P2582" s="2">
        <v>16</v>
      </c>
      <c r="U2582" s="2">
        <v>3</v>
      </c>
      <c r="V2582" s="2">
        <v>38</v>
      </c>
      <c r="W2582" s="2">
        <v>3</v>
      </c>
      <c r="X2582" s="2">
        <v>30</v>
      </c>
      <c r="Z2582" s="2">
        <v>59</v>
      </c>
      <c r="AA2582" s="3" t="s">
        <v>40</v>
      </c>
      <c r="AB2582" s="2">
        <v>4</v>
      </c>
      <c r="AF2582" s="2">
        <v>38</v>
      </c>
      <c r="AG2582" s="2">
        <v>1</v>
      </c>
      <c r="AH2582" s="3" t="s">
        <v>2454</v>
      </c>
      <c r="AI2582" s="4">
        <v>45062</v>
      </c>
      <c r="AJ2582" s="3" t="s">
        <v>2702</v>
      </c>
      <c r="AK2582" s="3" t="s">
        <v>38</v>
      </c>
    </row>
    <row r="2583" spans="1:37" hidden="1" x14ac:dyDescent="0.25">
      <c r="A2583" t="str">
        <f t="shared" si="40"/>
        <v>2023_Vic_Dooen_Lentil_DetailedTOS1VarietyHallmarkXTWaterTrtRainFed</v>
      </c>
      <c r="B2583" s="2">
        <v>2023026</v>
      </c>
      <c r="C2583" s="3" t="s">
        <v>2583</v>
      </c>
      <c r="D2583" s="3" t="s">
        <v>38</v>
      </c>
      <c r="F2583" s="3" t="s">
        <v>4189</v>
      </c>
      <c r="G2583" s="3" t="s">
        <v>39</v>
      </c>
      <c r="H2583" s="3" t="s">
        <v>250</v>
      </c>
      <c r="I2583" s="2">
        <v>120</v>
      </c>
      <c r="J2583" s="2">
        <v>60</v>
      </c>
      <c r="K2583" s="2">
        <v>4</v>
      </c>
      <c r="O2583" s="2">
        <v>8</v>
      </c>
      <c r="P2583" s="2">
        <v>16</v>
      </c>
      <c r="U2583" s="2">
        <v>4</v>
      </c>
      <c r="V2583" s="2">
        <v>38</v>
      </c>
      <c r="W2583" s="2">
        <v>4</v>
      </c>
      <c r="X2583" s="2">
        <v>30</v>
      </c>
      <c r="Z2583" s="2">
        <v>60</v>
      </c>
      <c r="AA2583" s="3" t="s">
        <v>40</v>
      </c>
      <c r="AB2583" s="2">
        <v>2</v>
      </c>
      <c r="AF2583" s="2">
        <v>38</v>
      </c>
      <c r="AG2583" s="2">
        <v>1</v>
      </c>
      <c r="AH2583" s="3" t="s">
        <v>2454</v>
      </c>
      <c r="AI2583" s="4">
        <v>45062</v>
      </c>
      <c r="AJ2583" s="3" t="s">
        <v>2703</v>
      </c>
      <c r="AK2583" s="3" t="s">
        <v>38</v>
      </c>
    </row>
    <row r="2584" spans="1:37" hidden="1" x14ac:dyDescent="0.25">
      <c r="A2584" t="str">
        <f t="shared" si="40"/>
        <v>2023_Vic_Dooen_Lentil_DetailedTOS1VarietyHallmarkXTWaterTrtIrrigated</v>
      </c>
      <c r="B2584" s="2">
        <v>2023026</v>
      </c>
      <c r="C2584" s="3" t="s">
        <v>2583</v>
      </c>
      <c r="D2584" s="3" t="s">
        <v>38</v>
      </c>
      <c r="F2584" s="3" t="s">
        <v>4189</v>
      </c>
      <c r="G2584" s="3" t="s">
        <v>39</v>
      </c>
      <c r="H2584" s="3" t="s">
        <v>253</v>
      </c>
      <c r="I2584" s="2">
        <v>121</v>
      </c>
      <c r="J2584" s="2">
        <v>61</v>
      </c>
      <c r="K2584" s="2">
        <v>4</v>
      </c>
      <c r="O2584" s="2">
        <v>8</v>
      </c>
      <c r="P2584" s="2">
        <v>15</v>
      </c>
      <c r="U2584" s="2">
        <v>1</v>
      </c>
      <c r="V2584" s="2">
        <v>39</v>
      </c>
      <c r="W2584" s="2">
        <v>1</v>
      </c>
      <c r="X2584" s="2">
        <v>31</v>
      </c>
      <c r="AA2584" s="3" t="s">
        <v>57</v>
      </c>
      <c r="AB2584" s="2">
        <v>2</v>
      </c>
      <c r="AF2584" s="2">
        <v>38</v>
      </c>
      <c r="AG2584" s="2">
        <v>1</v>
      </c>
      <c r="AH2584" s="3" t="s">
        <v>2454</v>
      </c>
      <c r="AI2584" s="4">
        <v>45062</v>
      </c>
      <c r="AJ2584" s="3" t="s">
        <v>2704</v>
      </c>
      <c r="AK2584" s="3" t="s">
        <v>38</v>
      </c>
    </row>
    <row r="2585" spans="1:37" hidden="1" x14ac:dyDescent="0.25">
      <c r="A2585" t="str">
        <f t="shared" si="40"/>
        <v>2023_Vic_Dooen_Lentil_DetailedTOS1VarietyKelpieXTWaterTrtIrrigated</v>
      </c>
      <c r="B2585" s="2">
        <v>2023026</v>
      </c>
      <c r="C2585" s="3" t="s">
        <v>2583</v>
      </c>
      <c r="D2585" s="3" t="s">
        <v>38</v>
      </c>
      <c r="F2585" s="3" t="s">
        <v>4188</v>
      </c>
      <c r="G2585" s="3" t="s">
        <v>43</v>
      </c>
      <c r="H2585" s="3" t="s">
        <v>253</v>
      </c>
      <c r="I2585" s="2">
        <v>122</v>
      </c>
      <c r="J2585" s="2">
        <v>62</v>
      </c>
      <c r="K2585" s="2">
        <v>4</v>
      </c>
      <c r="O2585" s="2">
        <v>8</v>
      </c>
      <c r="P2585" s="2">
        <v>15</v>
      </c>
      <c r="U2585" s="2">
        <v>2</v>
      </c>
      <c r="V2585" s="2">
        <v>39</v>
      </c>
      <c r="W2585" s="2">
        <v>2</v>
      </c>
      <c r="X2585" s="2">
        <v>31</v>
      </c>
      <c r="AA2585" s="3" t="s">
        <v>57</v>
      </c>
      <c r="AB2585" s="2">
        <v>4</v>
      </c>
      <c r="AF2585" s="2">
        <v>38</v>
      </c>
      <c r="AG2585" s="2">
        <v>1</v>
      </c>
      <c r="AH2585" s="3" t="s">
        <v>2454</v>
      </c>
      <c r="AI2585" s="4">
        <v>45062</v>
      </c>
      <c r="AJ2585" s="3" t="s">
        <v>2705</v>
      </c>
      <c r="AK2585" s="3" t="s">
        <v>38</v>
      </c>
    </row>
    <row r="2586" spans="1:37" hidden="1" x14ac:dyDescent="0.25">
      <c r="A2586" t="str">
        <f t="shared" si="40"/>
        <v>2023_Vic_Dooen_Lentil_DetailedTOS1VarietyJumbo2WaterTrtRainFed</v>
      </c>
      <c r="B2586" s="2">
        <v>2023026</v>
      </c>
      <c r="C2586" s="3" t="s">
        <v>2583</v>
      </c>
      <c r="D2586" s="3" t="s">
        <v>38</v>
      </c>
      <c r="F2586" s="3" t="s">
        <v>4176</v>
      </c>
      <c r="G2586" s="3" t="s">
        <v>43</v>
      </c>
      <c r="H2586" s="3" t="s">
        <v>253</v>
      </c>
      <c r="I2586" s="2">
        <v>123</v>
      </c>
      <c r="J2586" s="2">
        <v>63</v>
      </c>
      <c r="K2586" s="2">
        <v>4</v>
      </c>
      <c r="O2586" s="2">
        <v>8</v>
      </c>
      <c r="P2586" s="2">
        <v>16</v>
      </c>
      <c r="U2586" s="2">
        <v>3</v>
      </c>
      <c r="V2586" s="2">
        <v>39</v>
      </c>
      <c r="W2586" s="2">
        <v>3</v>
      </c>
      <c r="X2586" s="2">
        <v>31</v>
      </c>
      <c r="AA2586" s="3" t="s">
        <v>40</v>
      </c>
      <c r="AB2586" s="2">
        <v>3</v>
      </c>
      <c r="AF2586" s="2">
        <v>38</v>
      </c>
      <c r="AG2586" s="2">
        <v>1</v>
      </c>
      <c r="AH2586" s="3" t="s">
        <v>2454</v>
      </c>
      <c r="AI2586" s="4">
        <v>45062</v>
      </c>
      <c r="AJ2586" s="3" t="s">
        <v>2706</v>
      </c>
      <c r="AK2586" s="3" t="s">
        <v>38</v>
      </c>
    </row>
    <row r="2587" spans="1:37" hidden="1" x14ac:dyDescent="0.25">
      <c r="A2587" t="str">
        <f t="shared" si="40"/>
        <v>2023_Vic_Dooen_Lentil_DetailedTOS1VarietyBoltWaterTrtRainFed</v>
      </c>
      <c r="B2587" s="2">
        <v>2023026</v>
      </c>
      <c r="C2587" s="3" t="s">
        <v>2583</v>
      </c>
      <c r="D2587" s="3" t="s">
        <v>38</v>
      </c>
      <c r="F2587" s="3" t="s">
        <v>4187</v>
      </c>
      <c r="G2587" s="3" t="s">
        <v>39</v>
      </c>
      <c r="H2587" s="3" t="s">
        <v>253</v>
      </c>
      <c r="I2587" s="2">
        <v>124</v>
      </c>
      <c r="J2587" s="2">
        <v>64</v>
      </c>
      <c r="K2587" s="2">
        <v>4</v>
      </c>
      <c r="O2587" s="2">
        <v>8</v>
      </c>
      <c r="P2587" s="2">
        <v>16</v>
      </c>
      <c r="U2587" s="2">
        <v>4</v>
      </c>
      <c r="V2587" s="2">
        <v>39</v>
      </c>
      <c r="W2587" s="2">
        <v>4</v>
      </c>
      <c r="X2587" s="2">
        <v>31</v>
      </c>
      <c r="AA2587" s="3" t="s">
        <v>40</v>
      </c>
      <c r="AB2587" s="2">
        <v>1</v>
      </c>
      <c r="AF2587" s="2">
        <v>38</v>
      </c>
      <c r="AG2587" s="2">
        <v>1</v>
      </c>
      <c r="AH2587" s="3" t="s">
        <v>2454</v>
      </c>
      <c r="AI2587" s="4">
        <v>45062</v>
      </c>
      <c r="AJ2587" s="3" t="s">
        <v>2707</v>
      </c>
      <c r="AK2587" s="3" t="s">
        <v>38</v>
      </c>
    </row>
    <row r="2588" spans="1:37" hidden="1" x14ac:dyDescent="0.25">
      <c r="A2588" t="str">
        <f t="shared" si="40"/>
        <v>2023_Vic_Dooen_Lentil_DetailedTOS1VarietyHallmarkXTWaterTrtIrrigated</v>
      </c>
      <c r="B2588" s="2">
        <v>2023026</v>
      </c>
      <c r="C2588" s="3" t="s">
        <v>2583</v>
      </c>
      <c r="D2588" s="3" t="s">
        <v>38</v>
      </c>
      <c r="F2588" s="3" t="s">
        <v>4189</v>
      </c>
      <c r="G2588" s="3" t="s">
        <v>39</v>
      </c>
      <c r="H2588" s="3" t="s">
        <v>250</v>
      </c>
      <c r="I2588" s="2">
        <v>125</v>
      </c>
      <c r="J2588" s="2">
        <v>61</v>
      </c>
      <c r="K2588" s="2">
        <v>4</v>
      </c>
      <c r="O2588" s="2">
        <v>8</v>
      </c>
      <c r="P2588" s="2">
        <v>15</v>
      </c>
      <c r="U2588" s="2">
        <v>1</v>
      </c>
      <c r="V2588" s="2">
        <v>40</v>
      </c>
      <c r="W2588" s="2">
        <v>1</v>
      </c>
      <c r="X2588" s="2">
        <v>32</v>
      </c>
      <c r="Z2588" s="2">
        <v>64</v>
      </c>
      <c r="AA2588" s="3" t="s">
        <v>57</v>
      </c>
      <c r="AB2588" s="2">
        <v>2</v>
      </c>
      <c r="AF2588" s="2">
        <v>38</v>
      </c>
      <c r="AG2588" s="2">
        <v>1</v>
      </c>
      <c r="AH2588" s="3" t="s">
        <v>2454</v>
      </c>
      <c r="AI2588" s="4">
        <v>45062</v>
      </c>
      <c r="AJ2588" s="3" t="s">
        <v>2708</v>
      </c>
      <c r="AK2588" s="3" t="s">
        <v>38</v>
      </c>
    </row>
    <row r="2589" spans="1:37" hidden="1" x14ac:dyDescent="0.25">
      <c r="A2589" t="str">
        <f t="shared" si="40"/>
        <v>2023_Vic_Dooen_Lentil_DetailedTOS1VarietyKelpieXTWaterTrtIrrigated</v>
      </c>
      <c r="B2589" s="2">
        <v>2023026</v>
      </c>
      <c r="C2589" s="3" t="s">
        <v>2583</v>
      </c>
      <c r="D2589" s="3" t="s">
        <v>38</v>
      </c>
      <c r="F2589" s="3" t="s">
        <v>4188</v>
      </c>
      <c r="G2589" s="3" t="s">
        <v>43</v>
      </c>
      <c r="H2589" s="3" t="s">
        <v>250</v>
      </c>
      <c r="I2589" s="2">
        <v>126</v>
      </c>
      <c r="J2589" s="2">
        <v>62</v>
      </c>
      <c r="K2589" s="2">
        <v>4</v>
      </c>
      <c r="O2589" s="2">
        <v>8</v>
      </c>
      <c r="P2589" s="2">
        <v>15</v>
      </c>
      <c r="U2589" s="2">
        <v>2</v>
      </c>
      <c r="V2589" s="2">
        <v>40</v>
      </c>
      <c r="W2589" s="2">
        <v>2</v>
      </c>
      <c r="X2589" s="2">
        <v>32</v>
      </c>
      <c r="Z2589" s="2">
        <v>63</v>
      </c>
      <c r="AA2589" s="3" t="s">
        <v>57</v>
      </c>
      <c r="AB2589" s="2">
        <v>4</v>
      </c>
      <c r="AF2589" s="2">
        <v>38</v>
      </c>
      <c r="AG2589" s="2">
        <v>1</v>
      </c>
      <c r="AH2589" s="3" t="s">
        <v>2454</v>
      </c>
      <c r="AI2589" s="4">
        <v>45062</v>
      </c>
      <c r="AJ2589" s="3" t="s">
        <v>2709</v>
      </c>
      <c r="AK2589" s="3" t="s">
        <v>38</v>
      </c>
    </row>
    <row r="2590" spans="1:37" hidden="1" x14ac:dyDescent="0.25">
      <c r="A2590" t="str">
        <f t="shared" si="40"/>
        <v>2023_Vic_Dooen_Lentil_DetailedTOS1VarietyJumbo2WaterTrtRainFed</v>
      </c>
      <c r="B2590" s="2">
        <v>2023026</v>
      </c>
      <c r="C2590" s="3" t="s">
        <v>2583</v>
      </c>
      <c r="D2590" s="3" t="s">
        <v>38</v>
      </c>
      <c r="F2590" s="3" t="s">
        <v>4176</v>
      </c>
      <c r="G2590" s="3" t="s">
        <v>43</v>
      </c>
      <c r="H2590" s="3" t="s">
        <v>250</v>
      </c>
      <c r="I2590" s="2">
        <v>127</v>
      </c>
      <c r="J2590" s="2">
        <v>63</v>
      </c>
      <c r="K2590" s="2">
        <v>4</v>
      </c>
      <c r="O2590" s="2">
        <v>8</v>
      </c>
      <c r="P2590" s="2">
        <v>16</v>
      </c>
      <c r="U2590" s="2">
        <v>3</v>
      </c>
      <c r="V2590" s="2">
        <v>40</v>
      </c>
      <c r="W2590" s="2">
        <v>3</v>
      </c>
      <c r="X2590" s="2">
        <v>32</v>
      </c>
      <c r="Z2590" s="2">
        <v>62</v>
      </c>
      <c r="AA2590" s="3" t="s">
        <v>40</v>
      </c>
      <c r="AB2590" s="2">
        <v>3</v>
      </c>
      <c r="AF2590" s="2">
        <v>38</v>
      </c>
      <c r="AG2590" s="2">
        <v>1</v>
      </c>
      <c r="AH2590" s="3" t="s">
        <v>2454</v>
      </c>
      <c r="AI2590" s="4">
        <v>45062</v>
      </c>
      <c r="AJ2590" s="3" t="s">
        <v>2710</v>
      </c>
      <c r="AK2590" s="3" t="s">
        <v>38</v>
      </c>
    </row>
    <row r="2591" spans="1:37" hidden="1" x14ac:dyDescent="0.25">
      <c r="A2591" t="str">
        <f t="shared" si="40"/>
        <v>2023_Vic_Dooen_Lentil_DetailedTOS1VarietyBoltWaterTrtRainFed</v>
      </c>
      <c r="B2591" s="2">
        <v>2023026</v>
      </c>
      <c r="C2591" s="3" t="s">
        <v>2583</v>
      </c>
      <c r="D2591" s="3" t="s">
        <v>38</v>
      </c>
      <c r="F2591" s="3" t="s">
        <v>4187</v>
      </c>
      <c r="G2591" s="3" t="s">
        <v>39</v>
      </c>
      <c r="H2591" s="3" t="s">
        <v>250</v>
      </c>
      <c r="I2591" s="2">
        <v>128</v>
      </c>
      <c r="J2591" s="2">
        <v>64</v>
      </c>
      <c r="K2591" s="2">
        <v>4</v>
      </c>
      <c r="O2591" s="2">
        <v>8</v>
      </c>
      <c r="P2591" s="2">
        <v>16</v>
      </c>
      <c r="U2591" s="2">
        <v>4</v>
      </c>
      <c r="V2591" s="2">
        <v>40</v>
      </c>
      <c r="W2591" s="2">
        <v>4</v>
      </c>
      <c r="X2591" s="2">
        <v>32</v>
      </c>
      <c r="Z2591" s="2">
        <v>61</v>
      </c>
      <c r="AA2591" s="3" t="s">
        <v>40</v>
      </c>
      <c r="AB2591" s="2">
        <v>1</v>
      </c>
      <c r="AF2591" s="2">
        <v>38</v>
      </c>
      <c r="AG2591" s="2">
        <v>1</v>
      </c>
      <c r="AH2591" s="3" t="s">
        <v>2454</v>
      </c>
      <c r="AI2591" s="4">
        <v>45062</v>
      </c>
      <c r="AJ2591" s="3" t="s">
        <v>2711</v>
      </c>
      <c r="AK2591" s="3" t="s">
        <v>38</v>
      </c>
    </row>
    <row r="2592" spans="1:37" hidden="1" x14ac:dyDescent="0.25">
      <c r="A2592" t="str">
        <f t="shared" si="40"/>
        <v>2023_WA_Northam_Chickpea_DetailedTOS2VarietyStrikerWaterTrtRainFed</v>
      </c>
      <c r="B2592" s="2">
        <v>2023027</v>
      </c>
      <c r="C2592" s="3" t="s">
        <v>2712</v>
      </c>
      <c r="D2592" s="3" t="s">
        <v>248</v>
      </c>
      <c r="F2592" s="3" t="s">
        <v>4179</v>
      </c>
      <c r="G2592" s="3" t="s">
        <v>43</v>
      </c>
      <c r="H2592" s="3" t="s">
        <v>250</v>
      </c>
      <c r="I2592" s="2">
        <v>1</v>
      </c>
      <c r="J2592" s="2">
        <v>1</v>
      </c>
      <c r="K2592" s="2">
        <v>1</v>
      </c>
      <c r="O2592" s="2">
        <v>1</v>
      </c>
      <c r="P2592" s="2">
        <v>1</v>
      </c>
      <c r="U2592" s="2">
        <v>1</v>
      </c>
      <c r="V2592" s="2">
        <v>2</v>
      </c>
      <c r="W2592" s="2">
        <v>1</v>
      </c>
      <c r="X2592" s="2">
        <v>1</v>
      </c>
      <c r="Z2592" s="2">
        <v>1</v>
      </c>
      <c r="AA2592" s="3" t="s">
        <v>40</v>
      </c>
      <c r="AB2592" s="2">
        <v>4</v>
      </c>
      <c r="AF2592" s="2">
        <v>22</v>
      </c>
      <c r="AG2592" s="2">
        <v>2</v>
      </c>
      <c r="AH2592" s="3" t="s">
        <v>2713</v>
      </c>
      <c r="AI2592" s="4">
        <v>45091</v>
      </c>
      <c r="AJ2592" s="3" t="s">
        <v>2714</v>
      </c>
      <c r="AK2592" s="3" t="s">
        <v>248</v>
      </c>
    </row>
    <row r="2593" spans="1:37" hidden="1" x14ac:dyDescent="0.25">
      <c r="A2593" t="str">
        <f t="shared" si="40"/>
        <v>2023_WA_Northam_Chickpea_DetailedTOS2VarietyStrikerWaterTrtRainFed</v>
      </c>
      <c r="B2593" s="2">
        <v>2023027</v>
      </c>
      <c r="C2593" s="3" t="s">
        <v>2712</v>
      </c>
      <c r="D2593" s="3" t="s">
        <v>248</v>
      </c>
      <c r="F2593" s="3" t="s">
        <v>4179</v>
      </c>
      <c r="G2593" s="3" t="s">
        <v>43</v>
      </c>
      <c r="H2593" s="3" t="s">
        <v>253</v>
      </c>
      <c r="I2593" s="2">
        <v>2</v>
      </c>
      <c r="J2593" s="2">
        <v>1</v>
      </c>
      <c r="K2593" s="2">
        <v>1</v>
      </c>
      <c r="O2593" s="2">
        <v>1</v>
      </c>
      <c r="P2593" s="2">
        <v>1</v>
      </c>
      <c r="U2593" s="2">
        <v>2</v>
      </c>
      <c r="V2593" s="2">
        <v>2</v>
      </c>
      <c r="W2593" s="2">
        <v>2</v>
      </c>
      <c r="X2593" s="2">
        <v>1</v>
      </c>
      <c r="AA2593" s="3" t="s">
        <v>40</v>
      </c>
      <c r="AB2593" s="2">
        <v>4</v>
      </c>
      <c r="AF2593" s="2">
        <v>22</v>
      </c>
      <c r="AG2593" s="2">
        <v>2</v>
      </c>
      <c r="AH2593" s="3" t="s">
        <v>2713</v>
      </c>
      <c r="AI2593" s="4">
        <v>45091</v>
      </c>
      <c r="AJ2593" s="3" t="s">
        <v>2715</v>
      </c>
      <c r="AK2593" s="3" t="s">
        <v>248</v>
      </c>
    </row>
    <row r="2594" spans="1:37" hidden="1" x14ac:dyDescent="0.25">
      <c r="A2594" t="str">
        <f t="shared" si="40"/>
        <v>2023_WA_Northam_Chickpea_DetailedTOS2VarietyCBA_CaptainWaterTrtRainFed</v>
      </c>
      <c r="B2594" s="2">
        <v>2023027</v>
      </c>
      <c r="C2594" s="3" t="s">
        <v>2712</v>
      </c>
      <c r="D2594" s="3" t="s">
        <v>248</v>
      </c>
      <c r="F2594" s="3" t="s">
        <v>249</v>
      </c>
      <c r="G2594" s="3" t="s">
        <v>43</v>
      </c>
      <c r="H2594" s="3" t="s">
        <v>253</v>
      </c>
      <c r="I2594" s="2">
        <v>3</v>
      </c>
      <c r="J2594" s="2">
        <v>2</v>
      </c>
      <c r="K2594" s="2">
        <v>1</v>
      </c>
      <c r="O2594" s="2">
        <v>1</v>
      </c>
      <c r="P2594" s="2">
        <v>1</v>
      </c>
      <c r="U2594" s="2">
        <v>4</v>
      </c>
      <c r="V2594" s="2">
        <v>2</v>
      </c>
      <c r="W2594" s="2">
        <v>3</v>
      </c>
      <c r="X2594" s="2">
        <v>1</v>
      </c>
      <c r="AA2594" s="3" t="s">
        <v>40</v>
      </c>
      <c r="AB2594" s="2">
        <v>1</v>
      </c>
      <c r="AF2594" s="2">
        <v>22</v>
      </c>
      <c r="AG2594" s="2">
        <v>2</v>
      </c>
      <c r="AH2594" s="3" t="s">
        <v>2713</v>
      </c>
      <c r="AI2594" s="4">
        <v>45091</v>
      </c>
      <c r="AJ2594" s="3" t="s">
        <v>2716</v>
      </c>
      <c r="AK2594" s="3" t="s">
        <v>248</v>
      </c>
    </row>
    <row r="2595" spans="1:37" hidden="1" x14ac:dyDescent="0.25">
      <c r="A2595" t="str">
        <f t="shared" si="40"/>
        <v>2023_WA_Northam_Chickpea_DetailedTOS2VarietyCBA_CaptainWaterTrtRainFed</v>
      </c>
      <c r="B2595" s="2">
        <v>2023027</v>
      </c>
      <c r="C2595" s="3" t="s">
        <v>2712</v>
      </c>
      <c r="D2595" s="3" t="s">
        <v>248</v>
      </c>
      <c r="F2595" s="3" t="s">
        <v>249</v>
      </c>
      <c r="G2595" s="3" t="s">
        <v>43</v>
      </c>
      <c r="H2595" s="3" t="s">
        <v>250</v>
      </c>
      <c r="I2595" s="2">
        <v>4</v>
      </c>
      <c r="J2595" s="2">
        <v>2</v>
      </c>
      <c r="K2595" s="2">
        <v>1</v>
      </c>
      <c r="O2595" s="2">
        <v>1</v>
      </c>
      <c r="P2595" s="2">
        <v>1</v>
      </c>
      <c r="U2595" s="2">
        <v>5</v>
      </c>
      <c r="V2595" s="2">
        <v>2</v>
      </c>
      <c r="W2595" s="2">
        <v>4</v>
      </c>
      <c r="X2595" s="2">
        <v>1</v>
      </c>
      <c r="Z2595" s="2">
        <v>48</v>
      </c>
      <c r="AA2595" s="3" t="s">
        <v>40</v>
      </c>
      <c r="AB2595" s="2">
        <v>1</v>
      </c>
      <c r="AF2595" s="2">
        <v>22</v>
      </c>
      <c r="AG2595" s="2">
        <v>2</v>
      </c>
      <c r="AH2595" s="3" t="s">
        <v>2713</v>
      </c>
      <c r="AI2595" s="4">
        <v>45091</v>
      </c>
      <c r="AJ2595" s="3" t="s">
        <v>2717</v>
      </c>
      <c r="AK2595" s="3" t="s">
        <v>248</v>
      </c>
    </row>
    <row r="2596" spans="1:37" hidden="1" x14ac:dyDescent="0.25">
      <c r="A2596" t="str">
        <f t="shared" si="40"/>
        <v>2023_WA_Northam_Chickpea_DetailedTOS2VarietyHatTrickWaterTrtRainFed</v>
      </c>
      <c r="B2596" s="2">
        <v>2023027</v>
      </c>
      <c r="C2596" s="3" t="s">
        <v>2712</v>
      </c>
      <c r="D2596" s="3" t="s">
        <v>248</v>
      </c>
      <c r="F2596" s="3" t="s">
        <v>4178</v>
      </c>
      <c r="G2596" s="3" t="s">
        <v>39</v>
      </c>
      <c r="H2596" s="3" t="s">
        <v>250</v>
      </c>
      <c r="I2596" s="2">
        <v>5</v>
      </c>
      <c r="J2596" s="2">
        <v>3</v>
      </c>
      <c r="K2596" s="2">
        <v>1</v>
      </c>
      <c r="O2596" s="2">
        <v>1</v>
      </c>
      <c r="P2596" s="2">
        <v>1</v>
      </c>
      <c r="U2596" s="2">
        <v>1</v>
      </c>
      <c r="V2596" s="2">
        <v>3</v>
      </c>
      <c r="W2596" s="2">
        <v>1</v>
      </c>
      <c r="X2596" s="2">
        <v>2</v>
      </c>
      <c r="Z2596" s="2">
        <v>2</v>
      </c>
      <c r="AA2596" s="3" t="s">
        <v>40</v>
      </c>
      <c r="AB2596" s="2">
        <v>3</v>
      </c>
      <c r="AF2596" s="2">
        <v>22</v>
      </c>
      <c r="AG2596" s="2">
        <v>2</v>
      </c>
      <c r="AH2596" s="3" t="s">
        <v>2713</v>
      </c>
      <c r="AI2596" s="4">
        <v>45091</v>
      </c>
      <c r="AJ2596" s="3" t="s">
        <v>2718</v>
      </c>
      <c r="AK2596" s="3" t="s">
        <v>248</v>
      </c>
    </row>
    <row r="2597" spans="1:37" hidden="1" x14ac:dyDescent="0.25">
      <c r="A2597" t="str">
        <f t="shared" si="40"/>
        <v>2023_WA_Northam_Chickpea_DetailedTOS2VarietyHatTrickWaterTrtRainFed</v>
      </c>
      <c r="B2597" s="2">
        <v>2023027</v>
      </c>
      <c r="C2597" s="3" t="s">
        <v>2712</v>
      </c>
      <c r="D2597" s="3" t="s">
        <v>248</v>
      </c>
      <c r="F2597" s="3" t="s">
        <v>4178</v>
      </c>
      <c r="G2597" s="3" t="s">
        <v>39</v>
      </c>
      <c r="H2597" s="3" t="s">
        <v>253</v>
      </c>
      <c r="I2597" s="2">
        <v>6</v>
      </c>
      <c r="J2597" s="2">
        <v>3</v>
      </c>
      <c r="K2597" s="2">
        <v>1</v>
      </c>
      <c r="O2597" s="2">
        <v>1</v>
      </c>
      <c r="P2597" s="2">
        <v>1</v>
      </c>
      <c r="U2597" s="2">
        <v>2</v>
      </c>
      <c r="V2597" s="2">
        <v>3</v>
      </c>
      <c r="W2597" s="2">
        <v>2</v>
      </c>
      <c r="X2597" s="2">
        <v>2</v>
      </c>
      <c r="AA2597" s="3" t="s">
        <v>40</v>
      </c>
      <c r="AB2597" s="2">
        <v>3</v>
      </c>
      <c r="AF2597" s="2">
        <v>22</v>
      </c>
      <c r="AG2597" s="2">
        <v>2</v>
      </c>
      <c r="AH2597" s="3" t="s">
        <v>2713</v>
      </c>
      <c r="AI2597" s="4">
        <v>45091</v>
      </c>
      <c r="AJ2597" s="3" t="s">
        <v>2719</v>
      </c>
      <c r="AK2597" s="3" t="s">
        <v>248</v>
      </c>
    </row>
    <row r="2598" spans="1:37" hidden="1" x14ac:dyDescent="0.25">
      <c r="A2598" t="str">
        <f t="shared" si="40"/>
        <v>2023_WA_Northam_Chickpea_DetailedTOS2VarietyDrummondWaterTrtRainFed</v>
      </c>
      <c r="B2598" s="2">
        <v>2023027</v>
      </c>
      <c r="C2598" s="3" t="s">
        <v>2712</v>
      </c>
      <c r="D2598" s="3" t="s">
        <v>248</v>
      </c>
      <c r="F2598" s="3" t="s">
        <v>4182</v>
      </c>
      <c r="G2598" s="3" t="s">
        <v>39</v>
      </c>
      <c r="H2598" s="3" t="s">
        <v>253</v>
      </c>
      <c r="I2598" s="2">
        <v>7</v>
      </c>
      <c r="J2598" s="2">
        <v>4</v>
      </c>
      <c r="K2598" s="2">
        <v>1</v>
      </c>
      <c r="O2598" s="2">
        <v>1</v>
      </c>
      <c r="P2598" s="2">
        <v>1</v>
      </c>
      <c r="U2598" s="2">
        <v>4</v>
      </c>
      <c r="V2598" s="2">
        <v>3</v>
      </c>
      <c r="W2598" s="2">
        <v>3</v>
      </c>
      <c r="X2598" s="2">
        <v>2</v>
      </c>
      <c r="AA2598" s="3" t="s">
        <v>40</v>
      </c>
      <c r="AB2598" s="2">
        <v>2</v>
      </c>
      <c r="AF2598" s="2">
        <v>22</v>
      </c>
      <c r="AG2598" s="2">
        <v>2</v>
      </c>
      <c r="AH2598" s="3" t="s">
        <v>2713</v>
      </c>
      <c r="AI2598" s="4">
        <v>45091</v>
      </c>
      <c r="AJ2598" s="3" t="s">
        <v>2720</v>
      </c>
      <c r="AK2598" s="3" t="s">
        <v>248</v>
      </c>
    </row>
    <row r="2599" spans="1:37" hidden="1" x14ac:dyDescent="0.25">
      <c r="A2599" t="str">
        <f t="shared" si="40"/>
        <v>2023_WA_Northam_Chickpea_DetailedTOS2VarietyDrummondWaterTrtRainFed</v>
      </c>
      <c r="B2599" s="2">
        <v>2023027</v>
      </c>
      <c r="C2599" s="3" t="s">
        <v>2712</v>
      </c>
      <c r="D2599" s="3" t="s">
        <v>248</v>
      </c>
      <c r="F2599" s="3" t="s">
        <v>4182</v>
      </c>
      <c r="G2599" s="3" t="s">
        <v>39</v>
      </c>
      <c r="H2599" s="3" t="s">
        <v>250</v>
      </c>
      <c r="I2599" s="2">
        <v>8</v>
      </c>
      <c r="J2599" s="2">
        <v>4</v>
      </c>
      <c r="K2599" s="2">
        <v>1</v>
      </c>
      <c r="O2599" s="2">
        <v>1</v>
      </c>
      <c r="P2599" s="2">
        <v>1</v>
      </c>
      <c r="U2599" s="2">
        <v>5</v>
      </c>
      <c r="V2599" s="2">
        <v>3</v>
      </c>
      <c r="W2599" s="2">
        <v>4</v>
      </c>
      <c r="X2599" s="2">
        <v>2</v>
      </c>
      <c r="Z2599" s="2">
        <v>47</v>
      </c>
      <c r="AA2599" s="3" t="s">
        <v>40</v>
      </c>
      <c r="AB2599" s="2">
        <v>2</v>
      </c>
      <c r="AF2599" s="2">
        <v>22</v>
      </c>
      <c r="AG2599" s="2">
        <v>2</v>
      </c>
      <c r="AH2599" s="3" t="s">
        <v>2713</v>
      </c>
      <c r="AI2599" s="4">
        <v>45091</v>
      </c>
      <c r="AJ2599" s="3" t="s">
        <v>2721</v>
      </c>
      <c r="AK2599" s="3" t="s">
        <v>248</v>
      </c>
    </row>
    <row r="2600" spans="1:37" hidden="1" x14ac:dyDescent="0.25">
      <c r="A2600" t="str">
        <f t="shared" si="40"/>
        <v>2023_WA_Northam_Chickpea_DetailedTOS1VarietyCBA_CaptainWaterTrtRainFed</v>
      </c>
      <c r="B2600" s="2">
        <v>2023027</v>
      </c>
      <c r="C2600" s="3" t="s">
        <v>2712</v>
      </c>
      <c r="D2600" s="3" t="s">
        <v>248</v>
      </c>
      <c r="F2600" s="3" t="s">
        <v>249</v>
      </c>
      <c r="G2600" s="3" t="s">
        <v>43</v>
      </c>
      <c r="H2600" s="3" t="s">
        <v>250</v>
      </c>
      <c r="I2600" s="2">
        <v>9</v>
      </c>
      <c r="J2600" s="2">
        <v>5</v>
      </c>
      <c r="K2600" s="2">
        <v>1</v>
      </c>
      <c r="O2600" s="2">
        <v>1</v>
      </c>
      <c r="P2600" s="2">
        <v>2</v>
      </c>
      <c r="U2600" s="2">
        <v>1</v>
      </c>
      <c r="V2600" s="2">
        <v>4</v>
      </c>
      <c r="W2600" s="2">
        <v>1</v>
      </c>
      <c r="X2600" s="2">
        <v>3</v>
      </c>
      <c r="Z2600" s="2">
        <v>3</v>
      </c>
      <c r="AA2600" s="3" t="s">
        <v>40</v>
      </c>
      <c r="AB2600" s="2">
        <v>1</v>
      </c>
      <c r="AF2600" s="2">
        <v>22</v>
      </c>
      <c r="AG2600" s="2">
        <v>1</v>
      </c>
      <c r="AH2600" s="3" t="s">
        <v>2722</v>
      </c>
      <c r="AI2600" s="4">
        <v>45063</v>
      </c>
      <c r="AJ2600" s="3" t="s">
        <v>2723</v>
      </c>
      <c r="AK2600" s="3" t="s">
        <v>248</v>
      </c>
    </row>
    <row r="2601" spans="1:37" hidden="1" x14ac:dyDescent="0.25">
      <c r="A2601" t="str">
        <f t="shared" si="40"/>
        <v>2023_WA_Northam_Chickpea_DetailedTOS1VarietyCBA_CaptainWaterTrtRainFed</v>
      </c>
      <c r="B2601" s="2">
        <v>2023027</v>
      </c>
      <c r="C2601" s="3" t="s">
        <v>2712</v>
      </c>
      <c r="D2601" s="3" t="s">
        <v>248</v>
      </c>
      <c r="F2601" s="3" t="s">
        <v>249</v>
      </c>
      <c r="G2601" s="3" t="s">
        <v>43</v>
      </c>
      <c r="H2601" s="3" t="s">
        <v>253</v>
      </c>
      <c r="I2601" s="2">
        <v>10</v>
      </c>
      <c r="J2601" s="2">
        <v>5</v>
      </c>
      <c r="K2601" s="2">
        <v>1</v>
      </c>
      <c r="O2601" s="2">
        <v>1</v>
      </c>
      <c r="P2601" s="2">
        <v>2</v>
      </c>
      <c r="U2601" s="2">
        <v>2</v>
      </c>
      <c r="V2601" s="2">
        <v>4</v>
      </c>
      <c r="W2601" s="2">
        <v>2</v>
      </c>
      <c r="X2601" s="2">
        <v>3</v>
      </c>
      <c r="AA2601" s="3" t="s">
        <v>40</v>
      </c>
      <c r="AB2601" s="2">
        <v>1</v>
      </c>
      <c r="AF2601" s="2">
        <v>22</v>
      </c>
      <c r="AG2601" s="2">
        <v>1</v>
      </c>
      <c r="AH2601" s="3" t="s">
        <v>2722</v>
      </c>
      <c r="AI2601" s="4">
        <v>45063</v>
      </c>
      <c r="AJ2601" s="3" t="s">
        <v>2724</v>
      </c>
      <c r="AK2601" s="3" t="s">
        <v>248</v>
      </c>
    </row>
    <row r="2602" spans="1:37" hidden="1" x14ac:dyDescent="0.25">
      <c r="A2602" t="str">
        <f t="shared" si="40"/>
        <v>2023_WA_Northam_Chickpea_DetailedTOS1VarietyDrummondWaterTrtRainFed</v>
      </c>
      <c r="B2602" s="2">
        <v>2023027</v>
      </c>
      <c r="C2602" s="3" t="s">
        <v>2712</v>
      </c>
      <c r="D2602" s="3" t="s">
        <v>248</v>
      </c>
      <c r="F2602" s="3" t="s">
        <v>4182</v>
      </c>
      <c r="G2602" s="3" t="s">
        <v>39</v>
      </c>
      <c r="H2602" s="3" t="s">
        <v>253</v>
      </c>
      <c r="I2602" s="2">
        <v>11</v>
      </c>
      <c r="J2602" s="2">
        <v>6</v>
      </c>
      <c r="K2602" s="2">
        <v>1</v>
      </c>
      <c r="O2602" s="2">
        <v>1</v>
      </c>
      <c r="P2602" s="2">
        <v>2</v>
      </c>
      <c r="U2602" s="2">
        <v>4</v>
      </c>
      <c r="V2602" s="2">
        <v>4</v>
      </c>
      <c r="W2602" s="2">
        <v>3</v>
      </c>
      <c r="X2602" s="2">
        <v>3</v>
      </c>
      <c r="AA2602" s="3" t="s">
        <v>40</v>
      </c>
      <c r="AB2602" s="2">
        <v>2</v>
      </c>
      <c r="AF2602" s="2">
        <v>22</v>
      </c>
      <c r="AG2602" s="2">
        <v>1</v>
      </c>
      <c r="AH2602" s="3" t="s">
        <v>2722</v>
      </c>
      <c r="AI2602" s="4">
        <v>45063</v>
      </c>
      <c r="AJ2602" s="3" t="s">
        <v>2725</v>
      </c>
      <c r="AK2602" s="3" t="s">
        <v>248</v>
      </c>
    </row>
    <row r="2603" spans="1:37" hidden="1" x14ac:dyDescent="0.25">
      <c r="A2603" t="str">
        <f t="shared" si="40"/>
        <v>2023_WA_Northam_Chickpea_DetailedTOS1VarietyDrummondWaterTrtRainFed</v>
      </c>
      <c r="B2603" s="2">
        <v>2023027</v>
      </c>
      <c r="C2603" s="3" t="s">
        <v>2712</v>
      </c>
      <c r="D2603" s="3" t="s">
        <v>248</v>
      </c>
      <c r="F2603" s="3" t="s">
        <v>4182</v>
      </c>
      <c r="G2603" s="3" t="s">
        <v>39</v>
      </c>
      <c r="H2603" s="3" t="s">
        <v>250</v>
      </c>
      <c r="I2603" s="2">
        <v>12</v>
      </c>
      <c r="J2603" s="2">
        <v>6</v>
      </c>
      <c r="K2603" s="2">
        <v>1</v>
      </c>
      <c r="O2603" s="2">
        <v>1</v>
      </c>
      <c r="P2603" s="2">
        <v>2</v>
      </c>
      <c r="U2603" s="2">
        <v>5</v>
      </c>
      <c r="V2603" s="2">
        <v>4</v>
      </c>
      <c r="W2603" s="2">
        <v>4</v>
      </c>
      <c r="X2603" s="2">
        <v>3</v>
      </c>
      <c r="Z2603" s="2">
        <v>46</v>
      </c>
      <c r="AA2603" s="3" t="s">
        <v>40</v>
      </c>
      <c r="AB2603" s="2">
        <v>2</v>
      </c>
      <c r="AF2603" s="2">
        <v>22</v>
      </c>
      <c r="AG2603" s="2">
        <v>1</v>
      </c>
      <c r="AH2603" s="3" t="s">
        <v>2722</v>
      </c>
      <c r="AI2603" s="4">
        <v>45063</v>
      </c>
      <c r="AJ2603" s="3" t="s">
        <v>2726</v>
      </c>
      <c r="AK2603" s="3" t="s">
        <v>248</v>
      </c>
    </row>
    <row r="2604" spans="1:37" hidden="1" x14ac:dyDescent="0.25">
      <c r="A2604" t="str">
        <f t="shared" si="40"/>
        <v>2023_WA_Northam_Chickpea_DetailedTOS1VarietyHatTrickWaterTrtRainFed</v>
      </c>
      <c r="B2604" s="2">
        <v>2023027</v>
      </c>
      <c r="C2604" s="3" t="s">
        <v>2712</v>
      </c>
      <c r="D2604" s="3" t="s">
        <v>248</v>
      </c>
      <c r="F2604" s="3" t="s">
        <v>4178</v>
      </c>
      <c r="G2604" s="3" t="s">
        <v>39</v>
      </c>
      <c r="H2604" s="3" t="s">
        <v>250</v>
      </c>
      <c r="I2604" s="2">
        <v>13</v>
      </c>
      <c r="J2604" s="2">
        <v>7</v>
      </c>
      <c r="K2604" s="2">
        <v>1</v>
      </c>
      <c r="O2604" s="2">
        <v>1</v>
      </c>
      <c r="P2604" s="2">
        <v>2</v>
      </c>
      <c r="U2604" s="2">
        <v>1</v>
      </c>
      <c r="V2604" s="2">
        <v>5</v>
      </c>
      <c r="W2604" s="2">
        <v>1</v>
      </c>
      <c r="X2604" s="2">
        <v>4</v>
      </c>
      <c r="Z2604" s="2">
        <v>4</v>
      </c>
      <c r="AA2604" s="3" t="s">
        <v>40</v>
      </c>
      <c r="AB2604" s="2">
        <v>3</v>
      </c>
      <c r="AF2604" s="2">
        <v>22</v>
      </c>
      <c r="AG2604" s="2">
        <v>1</v>
      </c>
      <c r="AH2604" s="3" t="s">
        <v>2722</v>
      </c>
      <c r="AI2604" s="4">
        <v>45063</v>
      </c>
      <c r="AJ2604" s="3" t="s">
        <v>2727</v>
      </c>
      <c r="AK2604" s="3" t="s">
        <v>248</v>
      </c>
    </row>
    <row r="2605" spans="1:37" hidden="1" x14ac:dyDescent="0.25">
      <c r="A2605" t="str">
        <f t="shared" si="40"/>
        <v>2023_WA_Northam_Chickpea_DetailedTOS1VarietyHatTrickWaterTrtRainFed</v>
      </c>
      <c r="B2605" s="2">
        <v>2023027</v>
      </c>
      <c r="C2605" s="3" t="s">
        <v>2712</v>
      </c>
      <c r="D2605" s="3" t="s">
        <v>248</v>
      </c>
      <c r="F2605" s="3" t="s">
        <v>4178</v>
      </c>
      <c r="G2605" s="3" t="s">
        <v>39</v>
      </c>
      <c r="H2605" s="3" t="s">
        <v>253</v>
      </c>
      <c r="I2605" s="2">
        <v>14</v>
      </c>
      <c r="J2605" s="2">
        <v>7</v>
      </c>
      <c r="K2605" s="2">
        <v>1</v>
      </c>
      <c r="O2605" s="2">
        <v>1</v>
      </c>
      <c r="P2605" s="2">
        <v>2</v>
      </c>
      <c r="U2605" s="2">
        <v>2</v>
      </c>
      <c r="V2605" s="2">
        <v>5</v>
      </c>
      <c r="W2605" s="2">
        <v>2</v>
      </c>
      <c r="X2605" s="2">
        <v>4</v>
      </c>
      <c r="AA2605" s="3" t="s">
        <v>40</v>
      </c>
      <c r="AB2605" s="2">
        <v>3</v>
      </c>
      <c r="AF2605" s="2">
        <v>22</v>
      </c>
      <c r="AG2605" s="2">
        <v>1</v>
      </c>
      <c r="AH2605" s="3" t="s">
        <v>2722</v>
      </c>
      <c r="AI2605" s="4">
        <v>45063</v>
      </c>
      <c r="AJ2605" s="3" t="s">
        <v>2728</v>
      </c>
      <c r="AK2605" s="3" t="s">
        <v>248</v>
      </c>
    </row>
    <row r="2606" spans="1:37" hidden="1" x14ac:dyDescent="0.25">
      <c r="A2606" t="str">
        <f t="shared" si="40"/>
        <v>2023_WA_Northam_Chickpea_DetailedTOS1VarietyStrikerWaterTrtRainFed</v>
      </c>
      <c r="B2606" s="2">
        <v>2023027</v>
      </c>
      <c r="C2606" s="3" t="s">
        <v>2712</v>
      </c>
      <c r="D2606" s="3" t="s">
        <v>248</v>
      </c>
      <c r="F2606" s="3" t="s">
        <v>4179</v>
      </c>
      <c r="G2606" s="3" t="s">
        <v>43</v>
      </c>
      <c r="H2606" s="3" t="s">
        <v>253</v>
      </c>
      <c r="I2606" s="2">
        <v>15</v>
      </c>
      <c r="J2606" s="2">
        <v>8</v>
      </c>
      <c r="K2606" s="2">
        <v>1</v>
      </c>
      <c r="O2606" s="2">
        <v>1</v>
      </c>
      <c r="P2606" s="2">
        <v>2</v>
      </c>
      <c r="U2606" s="2">
        <v>4</v>
      </c>
      <c r="V2606" s="2">
        <v>5</v>
      </c>
      <c r="W2606" s="2">
        <v>3</v>
      </c>
      <c r="X2606" s="2">
        <v>4</v>
      </c>
      <c r="AA2606" s="3" t="s">
        <v>40</v>
      </c>
      <c r="AB2606" s="2">
        <v>4</v>
      </c>
      <c r="AF2606" s="2">
        <v>22</v>
      </c>
      <c r="AG2606" s="2">
        <v>1</v>
      </c>
      <c r="AH2606" s="3" t="s">
        <v>2722</v>
      </c>
      <c r="AI2606" s="4">
        <v>45063</v>
      </c>
      <c r="AJ2606" s="3" t="s">
        <v>2729</v>
      </c>
      <c r="AK2606" s="3" t="s">
        <v>248</v>
      </c>
    </row>
    <row r="2607" spans="1:37" hidden="1" x14ac:dyDescent="0.25">
      <c r="A2607" t="str">
        <f t="shared" si="40"/>
        <v>2023_WA_Northam_Chickpea_DetailedTOS1VarietyStrikerWaterTrtRainFed</v>
      </c>
      <c r="B2607" s="2">
        <v>2023027</v>
      </c>
      <c r="C2607" s="3" t="s">
        <v>2712</v>
      </c>
      <c r="D2607" s="3" t="s">
        <v>248</v>
      </c>
      <c r="F2607" s="3" t="s">
        <v>4179</v>
      </c>
      <c r="G2607" s="3" t="s">
        <v>43</v>
      </c>
      <c r="H2607" s="3" t="s">
        <v>250</v>
      </c>
      <c r="I2607" s="2">
        <v>16</v>
      </c>
      <c r="J2607" s="2">
        <v>8</v>
      </c>
      <c r="K2607" s="2">
        <v>1</v>
      </c>
      <c r="O2607" s="2">
        <v>1</v>
      </c>
      <c r="P2607" s="2">
        <v>2</v>
      </c>
      <c r="U2607" s="2">
        <v>5</v>
      </c>
      <c r="V2607" s="2">
        <v>5</v>
      </c>
      <c r="W2607" s="2">
        <v>4</v>
      </c>
      <c r="X2607" s="2">
        <v>4</v>
      </c>
      <c r="Z2607" s="2">
        <v>45</v>
      </c>
      <c r="AA2607" s="3" t="s">
        <v>40</v>
      </c>
      <c r="AB2607" s="2">
        <v>4</v>
      </c>
      <c r="AF2607" s="2">
        <v>22</v>
      </c>
      <c r="AG2607" s="2">
        <v>1</v>
      </c>
      <c r="AH2607" s="3" t="s">
        <v>2722</v>
      </c>
      <c r="AI2607" s="4">
        <v>45063</v>
      </c>
      <c r="AJ2607" s="3" t="s">
        <v>2730</v>
      </c>
      <c r="AK2607" s="3" t="s">
        <v>248</v>
      </c>
    </row>
    <row r="2608" spans="1:37" hidden="1" x14ac:dyDescent="0.25">
      <c r="A2608" t="str">
        <f t="shared" si="40"/>
        <v>2023_WA_Northam_Chickpea_DetailedTOS1VarietyHatTrickWaterTrtIrrigated</v>
      </c>
      <c r="B2608" s="2">
        <v>2023027</v>
      </c>
      <c r="C2608" s="3" t="s">
        <v>2712</v>
      </c>
      <c r="D2608" s="3" t="s">
        <v>248</v>
      </c>
      <c r="F2608" s="3" t="s">
        <v>4178</v>
      </c>
      <c r="G2608" s="3" t="s">
        <v>39</v>
      </c>
      <c r="H2608" s="3" t="s">
        <v>250</v>
      </c>
      <c r="I2608" s="2">
        <v>17</v>
      </c>
      <c r="J2608" s="2">
        <v>9</v>
      </c>
      <c r="K2608" s="2">
        <v>1</v>
      </c>
      <c r="O2608" s="2">
        <v>2</v>
      </c>
      <c r="P2608" s="2">
        <v>3</v>
      </c>
      <c r="U2608" s="2">
        <v>1</v>
      </c>
      <c r="V2608" s="2">
        <v>8</v>
      </c>
      <c r="W2608" s="2">
        <v>1</v>
      </c>
      <c r="X2608" s="2">
        <v>5</v>
      </c>
      <c r="Z2608" s="2">
        <v>5</v>
      </c>
      <c r="AA2608" s="3" t="s">
        <v>57</v>
      </c>
      <c r="AB2608" s="2">
        <v>3</v>
      </c>
      <c r="AF2608" s="2">
        <v>22</v>
      </c>
      <c r="AG2608" s="2">
        <v>1</v>
      </c>
      <c r="AH2608" s="3" t="s">
        <v>2722</v>
      </c>
      <c r="AI2608" s="4">
        <v>45063</v>
      </c>
      <c r="AJ2608" s="3" t="s">
        <v>2731</v>
      </c>
      <c r="AK2608" s="3" t="s">
        <v>248</v>
      </c>
    </row>
    <row r="2609" spans="1:37" hidden="1" x14ac:dyDescent="0.25">
      <c r="A2609" t="str">
        <f t="shared" si="40"/>
        <v>2023_WA_Northam_Chickpea_DetailedTOS1VarietyHatTrickWaterTrtIrrigated</v>
      </c>
      <c r="B2609" s="2">
        <v>2023027</v>
      </c>
      <c r="C2609" s="3" t="s">
        <v>2712</v>
      </c>
      <c r="D2609" s="3" t="s">
        <v>248</v>
      </c>
      <c r="F2609" s="3" t="s">
        <v>4178</v>
      </c>
      <c r="G2609" s="3" t="s">
        <v>39</v>
      </c>
      <c r="H2609" s="3" t="s">
        <v>253</v>
      </c>
      <c r="I2609" s="2">
        <v>18</v>
      </c>
      <c r="J2609" s="2">
        <v>9</v>
      </c>
      <c r="K2609" s="2">
        <v>1</v>
      </c>
      <c r="O2609" s="2">
        <v>2</v>
      </c>
      <c r="P2609" s="2">
        <v>3</v>
      </c>
      <c r="U2609" s="2">
        <v>2</v>
      </c>
      <c r="V2609" s="2">
        <v>8</v>
      </c>
      <c r="W2609" s="2">
        <v>2</v>
      </c>
      <c r="X2609" s="2">
        <v>5</v>
      </c>
      <c r="AA2609" s="3" t="s">
        <v>57</v>
      </c>
      <c r="AB2609" s="2">
        <v>3</v>
      </c>
      <c r="AF2609" s="2">
        <v>22</v>
      </c>
      <c r="AG2609" s="2">
        <v>1</v>
      </c>
      <c r="AH2609" s="3" t="s">
        <v>2722</v>
      </c>
      <c r="AI2609" s="4">
        <v>45063</v>
      </c>
      <c r="AJ2609" s="3" t="s">
        <v>2732</v>
      </c>
      <c r="AK2609" s="3" t="s">
        <v>248</v>
      </c>
    </row>
    <row r="2610" spans="1:37" hidden="1" x14ac:dyDescent="0.25">
      <c r="A2610" t="str">
        <f t="shared" si="40"/>
        <v>2023_WA_Northam_Chickpea_DetailedTOS1VarietyStrikerWaterTrtIrrigated</v>
      </c>
      <c r="B2610" s="2">
        <v>2023027</v>
      </c>
      <c r="C2610" s="3" t="s">
        <v>2712</v>
      </c>
      <c r="D2610" s="3" t="s">
        <v>248</v>
      </c>
      <c r="F2610" s="3" t="s">
        <v>4179</v>
      </c>
      <c r="G2610" s="3" t="s">
        <v>43</v>
      </c>
      <c r="H2610" s="3" t="s">
        <v>253</v>
      </c>
      <c r="I2610" s="2">
        <v>19</v>
      </c>
      <c r="J2610" s="2">
        <v>10</v>
      </c>
      <c r="K2610" s="2">
        <v>1</v>
      </c>
      <c r="O2610" s="2">
        <v>2</v>
      </c>
      <c r="P2610" s="2">
        <v>3</v>
      </c>
      <c r="U2610" s="2">
        <v>4</v>
      </c>
      <c r="V2610" s="2">
        <v>8</v>
      </c>
      <c r="W2610" s="2">
        <v>3</v>
      </c>
      <c r="X2610" s="2">
        <v>5</v>
      </c>
      <c r="AA2610" s="3" t="s">
        <v>57</v>
      </c>
      <c r="AB2610" s="2">
        <v>4</v>
      </c>
      <c r="AF2610" s="2">
        <v>22</v>
      </c>
      <c r="AG2610" s="2">
        <v>1</v>
      </c>
      <c r="AH2610" s="3" t="s">
        <v>2722</v>
      </c>
      <c r="AI2610" s="4">
        <v>45063</v>
      </c>
      <c r="AJ2610" s="3" t="s">
        <v>2733</v>
      </c>
      <c r="AK2610" s="3" t="s">
        <v>248</v>
      </c>
    </row>
    <row r="2611" spans="1:37" hidden="1" x14ac:dyDescent="0.25">
      <c r="A2611" t="str">
        <f t="shared" si="40"/>
        <v>2023_WA_Northam_Chickpea_DetailedTOS1VarietyStrikerWaterTrtIrrigated</v>
      </c>
      <c r="B2611" s="2">
        <v>2023027</v>
      </c>
      <c r="C2611" s="3" t="s">
        <v>2712</v>
      </c>
      <c r="D2611" s="3" t="s">
        <v>248</v>
      </c>
      <c r="F2611" s="3" t="s">
        <v>4179</v>
      </c>
      <c r="G2611" s="3" t="s">
        <v>43</v>
      </c>
      <c r="H2611" s="3" t="s">
        <v>250</v>
      </c>
      <c r="I2611" s="2">
        <v>20</v>
      </c>
      <c r="J2611" s="2">
        <v>10</v>
      </c>
      <c r="K2611" s="2">
        <v>1</v>
      </c>
      <c r="O2611" s="2">
        <v>2</v>
      </c>
      <c r="P2611" s="2">
        <v>3</v>
      </c>
      <c r="U2611" s="2">
        <v>5</v>
      </c>
      <c r="V2611" s="2">
        <v>8</v>
      </c>
      <c r="W2611" s="2">
        <v>4</v>
      </c>
      <c r="X2611" s="2">
        <v>5</v>
      </c>
      <c r="Z2611" s="2">
        <v>44</v>
      </c>
      <c r="AA2611" s="3" t="s">
        <v>57</v>
      </c>
      <c r="AB2611" s="2">
        <v>4</v>
      </c>
      <c r="AF2611" s="2">
        <v>22</v>
      </c>
      <c r="AG2611" s="2">
        <v>1</v>
      </c>
      <c r="AH2611" s="3" t="s">
        <v>2722</v>
      </c>
      <c r="AI2611" s="4">
        <v>45063</v>
      </c>
      <c r="AJ2611" s="3" t="s">
        <v>2734</v>
      </c>
      <c r="AK2611" s="3" t="s">
        <v>248</v>
      </c>
    </row>
    <row r="2612" spans="1:37" hidden="1" x14ac:dyDescent="0.25">
      <c r="A2612" t="str">
        <f t="shared" si="40"/>
        <v>2023_WA_Northam_Chickpea_DetailedTOS1VarietyDrummondWaterTrtIrrigated</v>
      </c>
      <c r="B2612" s="2">
        <v>2023027</v>
      </c>
      <c r="C2612" s="3" t="s">
        <v>2712</v>
      </c>
      <c r="D2612" s="3" t="s">
        <v>248</v>
      </c>
      <c r="F2612" s="3" t="s">
        <v>4182</v>
      </c>
      <c r="G2612" s="3" t="s">
        <v>39</v>
      </c>
      <c r="H2612" s="3" t="s">
        <v>250</v>
      </c>
      <c r="I2612" s="2">
        <v>21</v>
      </c>
      <c r="J2612" s="2">
        <v>11</v>
      </c>
      <c r="K2612" s="2">
        <v>1</v>
      </c>
      <c r="O2612" s="2">
        <v>2</v>
      </c>
      <c r="P2612" s="2">
        <v>3</v>
      </c>
      <c r="U2612" s="2">
        <v>1</v>
      </c>
      <c r="V2612" s="2">
        <v>9</v>
      </c>
      <c r="W2612" s="2">
        <v>1</v>
      </c>
      <c r="X2612" s="2">
        <v>6</v>
      </c>
      <c r="Z2612" s="2">
        <v>6</v>
      </c>
      <c r="AA2612" s="3" t="s">
        <v>57</v>
      </c>
      <c r="AB2612" s="2">
        <v>2</v>
      </c>
      <c r="AF2612" s="2">
        <v>22</v>
      </c>
      <c r="AG2612" s="2">
        <v>1</v>
      </c>
      <c r="AH2612" s="3" t="s">
        <v>2722</v>
      </c>
      <c r="AI2612" s="4">
        <v>45063</v>
      </c>
      <c r="AJ2612" s="3" t="s">
        <v>2735</v>
      </c>
      <c r="AK2612" s="3" t="s">
        <v>248</v>
      </c>
    </row>
    <row r="2613" spans="1:37" hidden="1" x14ac:dyDescent="0.25">
      <c r="A2613" t="str">
        <f t="shared" si="40"/>
        <v>2023_WA_Northam_Chickpea_DetailedTOS1VarietyDrummondWaterTrtIrrigated</v>
      </c>
      <c r="B2613" s="2">
        <v>2023027</v>
      </c>
      <c r="C2613" s="3" t="s">
        <v>2712</v>
      </c>
      <c r="D2613" s="3" t="s">
        <v>248</v>
      </c>
      <c r="F2613" s="3" t="s">
        <v>4182</v>
      </c>
      <c r="G2613" s="3" t="s">
        <v>39</v>
      </c>
      <c r="H2613" s="3" t="s">
        <v>253</v>
      </c>
      <c r="I2613" s="2">
        <v>22</v>
      </c>
      <c r="J2613" s="2">
        <v>11</v>
      </c>
      <c r="K2613" s="2">
        <v>1</v>
      </c>
      <c r="O2613" s="2">
        <v>2</v>
      </c>
      <c r="P2613" s="2">
        <v>3</v>
      </c>
      <c r="U2613" s="2">
        <v>2</v>
      </c>
      <c r="V2613" s="2">
        <v>9</v>
      </c>
      <c r="W2613" s="2">
        <v>2</v>
      </c>
      <c r="X2613" s="2">
        <v>6</v>
      </c>
      <c r="AA2613" s="3" t="s">
        <v>57</v>
      </c>
      <c r="AB2613" s="2">
        <v>2</v>
      </c>
      <c r="AF2613" s="2">
        <v>22</v>
      </c>
      <c r="AG2613" s="2">
        <v>1</v>
      </c>
      <c r="AH2613" s="3" t="s">
        <v>2722</v>
      </c>
      <c r="AI2613" s="4">
        <v>45063</v>
      </c>
      <c r="AJ2613" s="3" t="s">
        <v>2736</v>
      </c>
      <c r="AK2613" s="3" t="s">
        <v>248</v>
      </c>
    </row>
    <row r="2614" spans="1:37" hidden="1" x14ac:dyDescent="0.25">
      <c r="A2614" t="str">
        <f t="shared" si="40"/>
        <v>2023_WA_Northam_Chickpea_DetailedTOS1VarietyCBA_CaptainWaterTrtIrrigated</v>
      </c>
      <c r="B2614" s="2">
        <v>2023027</v>
      </c>
      <c r="C2614" s="3" t="s">
        <v>2712</v>
      </c>
      <c r="D2614" s="3" t="s">
        <v>248</v>
      </c>
      <c r="F2614" s="3" t="s">
        <v>249</v>
      </c>
      <c r="G2614" s="3" t="s">
        <v>43</v>
      </c>
      <c r="H2614" s="3" t="s">
        <v>253</v>
      </c>
      <c r="I2614" s="2">
        <v>23</v>
      </c>
      <c r="J2614" s="2">
        <v>12</v>
      </c>
      <c r="K2614" s="2">
        <v>1</v>
      </c>
      <c r="O2614" s="2">
        <v>2</v>
      </c>
      <c r="P2614" s="2">
        <v>3</v>
      </c>
      <c r="U2614" s="2">
        <v>4</v>
      </c>
      <c r="V2614" s="2">
        <v>9</v>
      </c>
      <c r="W2614" s="2">
        <v>3</v>
      </c>
      <c r="X2614" s="2">
        <v>6</v>
      </c>
      <c r="AA2614" s="3" t="s">
        <v>57</v>
      </c>
      <c r="AB2614" s="2">
        <v>1</v>
      </c>
      <c r="AF2614" s="2">
        <v>22</v>
      </c>
      <c r="AG2614" s="2">
        <v>1</v>
      </c>
      <c r="AH2614" s="3" t="s">
        <v>2722</v>
      </c>
      <c r="AI2614" s="4">
        <v>45063</v>
      </c>
      <c r="AJ2614" s="3" t="s">
        <v>2737</v>
      </c>
      <c r="AK2614" s="3" t="s">
        <v>248</v>
      </c>
    </row>
    <row r="2615" spans="1:37" hidden="1" x14ac:dyDescent="0.25">
      <c r="A2615" t="str">
        <f t="shared" si="40"/>
        <v>2023_WA_Northam_Chickpea_DetailedTOS1VarietyCBA_CaptainWaterTrtIrrigated</v>
      </c>
      <c r="B2615" s="2">
        <v>2023027</v>
      </c>
      <c r="C2615" s="3" t="s">
        <v>2712</v>
      </c>
      <c r="D2615" s="3" t="s">
        <v>248</v>
      </c>
      <c r="F2615" s="3" t="s">
        <v>249</v>
      </c>
      <c r="G2615" s="3" t="s">
        <v>43</v>
      </c>
      <c r="H2615" s="3" t="s">
        <v>250</v>
      </c>
      <c r="I2615" s="2">
        <v>24</v>
      </c>
      <c r="J2615" s="2">
        <v>12</v>
      </c>
      <c r="K2615" s="2">
        <v>1</v>
      </c>
      <c r="O2615" s="2">
        <v>2</v>
      </c>
      <c r="P2615" s="2">
        <v>3</v>
      </c>
      <c r="U2615" s="2">
        <v>5</v>
      </c>
      <c r="V2615" s="2">
        <v>9</v>
      </c>
      <c r="W2615" s="2">
        <v>4</v>
      </c>
      <c r="X2615" s="2">
        <v>6</v>
      </c>
      <c r="Z2615" s="2">
        <v>43</v>
      </c>
      <c r="AA2615" s="3" t="s">
        <v>57</v>
      </c>
      <c r="AB2615" s="2">
        <v>1</v>
      </c>
      <c r="AF2615" s="2">
        <v>22</v>
      </c>
      <c r="AG2615" s="2">
        <v>1</v>
      </c>
      <c r="AH2615" s="3" t="s">
        <v>2722</v>
      </c>
      <c r="AI2615" s="4">
        <v>45063</v>
      </c>
      <c r="AJ2615" s="3" t="s">
        <v>2738</v>
      </c>
      <c r="AK2615" s="3" t="s">
        <v>248</v>
      </c>
    </row>
    <row r="2616" spans="1:37" hidden="1" x14ac:dyDescent="0.25">
      <c r="A2616" t="str">
        <f t="shared" si="40"/>
        <v>2023_WA_Northam_Chickpea_DetailedTOS2VarietyCBA_CaptainWaterTrtIrrigated</v>
      </c>
      <c r="B2616" s="2">
        <v>2023027</v>
      </c>
      <c r="C2616" s="3" t="s">
        <v>2712</v>
      </c>
      <c r="D2616" s="3" t="s">
        <v>248</v>
      </c>
      <c r="F2616" s="3" t="s">
        <v>249</v>
      </c>
      <c r="G2616" s="3" t="s">
        <v>43</v>
      </c>
      <c r="H2616" s="3" t="s">
        <v>250</v>
      </c>
      <c r="I2616" s="2">
        <v>25</v>
      </c>
      <c r="J2616" s="2">
        <v>13</v>
      </c>
      <c r="K2616" s="2">
        <v>1</v>
      </c>
      <c r="O2616" s="2">
        <v>2</v>
      </c>
      <c r="P2616" s="2">
        <v>4</v>
      </c>
      <c r="U2616" s="2">
        <v>1</v>
      </c>
      <c r="V2616" s="2">
        <v>10</v>
      </c>
      <c r="W2616" s="2">
        <v>1</v>
      </c>
      <c r="X2616" s="2">
        <v>7</v>
      </c>
      <c r="Z2616" s="2">
        <v>7</v>
      </c>
      <c r="AA2616" s="3" t="s">
        <v>57</v>
      </c>
      <c r="AB2616" s="2">
        <v>1</v>
      </c>
      <c r="AF2616" s="2">
        <v>22</v>
      </c>
      <c r="AG2616" s="2">
        <v>2</v>
      </c>
      <c r="AH2616" s="3" t="s">
        <v>2713</v>
      </c>
      <c r="AI2616" s="4">
        <v>45091</v>
      </c>
      <c r="AJ2616" s="3" t="s">
        <v>2739</v>
      </c>
      <c r="AK2616" s="3" t="s">
        <v>248</v>
      </c>
    </row>
    <row r="2617" spans="1:37" hidden="1" x14ac:dyDescent="0.25">
      <c r="A2617" t="str">
        <f t="shared" si="40"/>
        <v>2023_WA_Northam_Chickpea_DetailedTOS2VarietyCBA_CaptainWaterTrtIrrigated</v>
      </c>
      <c r="B2617" s="2">
        <v>2023027</v>
      </c>
      <c r="C2617" s="3" t="s">
        <v>2712</v>
      </c>
      <c r="D2617" s="3" t="s">
        <v>248</v>
      </c>
      <c r="F2617" s="3" t="s">
        <v>249</v>
      </c>
      <c r="G2617" s="3" t="s">
        <v>43</v>
      </c>
      <c r="H2617" s="3" t="s">
        <v>253</v>
      </c>
      <c r="I2617" s="2">
        <v>26</v>
      </c>
      <c r="J2617" s="2">
        <v>13</v>
      </c>
      <c r="K2617" s="2">
        <v>1</v>
      </c>
      <c r="O2617" s="2">
        <v>2</v>
      </c>
      <c r="P2617" s="2">
        <v>4</v>
      </c>
      <c r="U2617" s="2">
        <v>2</v>
      </c>
      <c r="V2617" s="2">
        <v>10</v>
      </c>
      <c r="W2617" s="2">
        <v>2</v>
      </c>
      <c r="X2617" s="2">
        <v>7</v>
      </c>
      <c r="AA2617" s="3" t="s">
        <v>57</v>
      </c>
      <c r="AB2617" s="2">
        <v>1</v>
      </c>
      <c r="AF2617" s="2">
        <v>22</v>
      </c>
      <c r="AG2617" s="2">
        <v>2</v>
      </c>
      <c r="AH2617" s="3" t="s">
        <v>2713</v>
      </c>
      <c r="AI2617" s="4">
        <v>45091</v>
      </c>
      <c r="AJ2617" s="3" t="s">
        <v>2740</v>
      </c>
      <c r="AK2617" s="3" t="s">
        <v>248</v>
      </c>
    </row>
    <row r="2618" spans="1:37" hidden="1" x14ac:dyDescent="0.25">
      <c r="A2618" t="str">
        <f t="shared" si="40"/>
        <v>2023_WA_Northam_Chickpea_DetailedTOS2VarietyDrummondWaterTrtIrrigated</v>
      </c>
      <c r="B2618" s="2">
        <v>2023027</v>
      </c>
      <c r="C2618" s="3" t="s">
        <v>2712</v>
      </c>
      <c r="D2618" s="3" t="s">
        <v>248</v>
      </c>
      <c r="F2618" s="3" t="s">
        <v>4182</v>
      </c>
      <c r="G2618" s="3" t="s">
        <v>39</v>
      </c>
      <c r="H2618" s="3" t="s">
        <v>253</v>
      </c>
      <c r="I2618" s="2">
        <v>27</v>
      </c>
      <c r="J2618" s="2">
        <v>14</v>
      </c>
      <c r="K2618" s="2">
        <v>1</v>
      </c>
      <c r="O2618" s="2">
        <v>2</v>
      </c>
      <c r="P2618" s="2">
        <v>4</v>
      </c>
      <c r="U2618" s="2">
        <v>4</v>
      </c>
      <c r="V2618" s="2">
        <v>10</v>
      </c>
      <c r="W2618" s="2">
        <v>3</v>
      </c>
      <c r="X2618" s="2">
        <v>7</v>
      </c>
      <c r="AA2618" s="3" t="s">
        <v>57</v>
      </c>
      <c r="AB2618" s="2">
        <v>2</v>
      </c>
      <c r="AF2618" s="2">
        <v>22</v>
      </c>
      <c r="AG2618" s="2">
        <v>2</v>
      </c>
      <c r="AH2618" s="3" t="s">
        <v>2713</v>
      </c>
      <c r="AI2618" s="4">
        <v>45091</v>
      </c>
      <c r="AJ2618" s="3" t="s">
        <v>2741</v>
      </c>
      <c r="AK2618" s="3" t="s">
        <v>248</v>
      </c>
    </row>
    <row r="2619" spans="1:37" hidden="1" x14ac:dyDescent="0.25">
      <c r="A2619" t="str">
        <f t="shared" si="40"/>
        <v>2023_WA_Northam_Chickpea_DetailedTOS2VarietyDrummondWaterTrtIrrigated</v>
      </c>
      <c r="B2619" s="2">
        <v>2023027</v>
      </c>
      <c r="C2619" s="3" t="s">
        <v>2712</v>
      </c>
      <c r="D2619" s="3" t="s">
        <v>248</v>
      </c>
      <c r="F2619" s="3" t="s">
        <v>4182</v>
      </c>
      <c r="G2619" s="3" t="s">
        <v>39</v>
      </c>
      <c r="H2619" s="3" t="s">
        <v>250</v>
      </c>
      <c r="I2619" s="2">
        <v>28</v>
      </c>
      <c r="J2619" s="2">
        <v>14</v>
      </c>
      <c r="K2619" s="2">
        <v>1</v>
      </c>
      <c r="O2619" s="2">
        <v>2</v>
      </c>
      <c r="P2619" s="2">
        <v>4</v>
      </c>
      <c r="U2619" s="2">
        <v>5</v>
      </c>
      <c r="V2619" s="2">
        <v>10</v>
      </c>
      <c r="W2619" s="2">
        <v>4</v>
      </c>
      <c r="X2619" s="2">
        <v>7</v>
      </c>
      <c r="Z2619" s="2">
        <v>42</v>
      </c>
      <c r="AA2619" s="3" t="s">
        <v>57</v>
      </c>
      <c r="AB2619" s="2">
        <v>2</v>
      </c>
      <c r="AF2619" s="2">
        <v>22</v>
      </c>
      <c r="AG2619" s="2">
        <v>2</v>
      </c>
      <c r="AH2619" s="3" t="s">
        <v>2713</v>
      </c>
      <c r="AI2619" s="4">
        <v>45091</v>
      </c>
      <c r="AJ2619" s="3" t="s">
        <v>2742</v>
      </c>
      <c r="AK2619" s="3" t="s">
        <v>248</v>
      </c>
    </row>
    <row r="2620" spans="1:37" hidden="1" x14ac:dyDescent="0.25">
      <c r="A2620" t="str">
        <f t="shared" si="40"/>
        <v>2023_WA_Northam_Chickpea_DetailedTOS2VarietyStrikerWaterTrtIrrigated</v>
      </c>
      <c r="B2620" s="2">
        <v>2023027</v>
      </c>
      <c r="C2620" s="3" t="s">
        <v>2712</v>
      </c>
      <c r="D2620" s="3" t="s">
        <v>248</v>
      </c>
      <c r="F2620" s="3" t="s">
        <v>4179</v>
      </c>
      <c r="G2620" s="3" t="s">
        <v>43</v>
      </c>
      <c r="H2620" s="3" t="s">
        <v>250</v>
      </c>
      <c r="I2620" s="2">
        <v>29</v>
      </c>
      <c r="J2620" s="2">
        <v>15</v>
      </c>
      <c r="K2620" s="2">
        <v>1</v>
      </c>
      <c r="O2620" s="2">
        <v>2</v>
      </c>
      <c r="P2620" s="2">
        <v>4</v>
      </c>
      <c r="U2620" s="2">
        <v>1</v>
      </c>
      <c r="V2620" s="2">
        <v>12</v>
      </c>
      <c r="W2620" s="2">
        <v>1</v>
      </c>
      <c r="X2620" s="2">
        <v>8</v>
      </c>
      <c r="Z2620" s="2">
        <v>8</v>
      </c>
      <c r="AA2620" s="3" t="s">
        <v>57</v>
      </c>
      <c r="AB2620" s="2">
        <v>4</v>
      </c>
      <c r="AF2620" s="2">
        <v>22</v>
      </c>
      <c r="AG2620" s="2">
        <v>2</v>
      </c>
      <c r="AH2620" s="3" t="s">
        <v>2713</v>
      </c>
      <c r="AI2620" s="4">
        <v>45091</v>
      </c>
      <c r="AJ2620" s="3" t="s">
        <v>2743</v>
      </c>
      <c r="AK2620" s="3" t="s">
        <v>248</v>
      </c>
    </row>
    <row r="2621" spans="1:37" hidden="1" x14ac:dyDescent="0.25">
      <c r="A2621" t="str">
        <f t="shared" si="40"/>
        <v>2023_WA_Northam_Chickpea_DetailedTOS2VarietyStrikerWaterTrtIrrigated</v>
      </c>
      <c r="B2621" s="2">
        <v>2023027</v>
      </c>
      <c r="C2621" s="3" t="s">
        <v>2712</v>
      </c>
      <c r="D2621" s="3" t="s">
        <v>248</v>
      </c>
      <c r="F2621" s="3" t="s">
        <v>4179</v>
      </c>
      <c r="G2621" s="3" t="s">
        <v>43</v>
      </c>
      <c r="H2621" s="3" t="s">
        <v>253</v>
      </c>
      <c r="I2621" s="2">
        <v>30</v>
      </c>
      <c r="J2621" s="2">
        <v>15</v>
      </c>
      <c r="K2621" s="2">
        <v>1</v>
      </c>
      <c r="O2621" s="2">
        <v>2</v>
      </c>
      <c r="P2621" s="2">
        <v>4</v>
      </c>
      <c r="U2621" s="2">
        <v>2</v>
      </c>
      <c r="V2621" s="2">
        <v>12</v>
      </c>
      <c r="W2621" s="2">
        <v>2</v>
      </c>
      <c r="X2621" s="2">
        <v>8</v>
      </c>
      <c r="AA2621" s="3" t="s">
        <v>57</v>
      </c>
      <c r="AB2621" s="2">
        <v>4</v>
      </c>
      <c r="AF2621" s="2">
        <v>22</v>
      </c>
      <c r="AG2621" s="2">
        <v>2</v>
      </c>
      <c r="AH2621" s="3" t="s">
        <v>2713</v>
      </c>
      <c r="AI2621" s="4">
        <v>45091</v>
      </c>
      <c r="AJ2621" s="3" t="s">
        <v>2744</v>
      </c>
      <c r="AK2621" s="3" t="s">
        <v>248</v>
      </c>
    </row>
    <row r="2622" spans="1:37" hidden="1" x14ac:dyDescent="0.25">
      <c r="A2622" t="str">
        <f t="shared" si="40"/>
        <v>2023_WA_Northam_Chickpea_DetailedTOS2VarietyHatTrickWaterTrtIrrigated</v>
      </c>
      <c r="B2622" s="2">
        <v>2023027</v>
      </c>
      <c r="C2622" s="3" t="s">
        <v>2712</v>
      </c>
      <c r="D2622" s="3" t="s">
        <v>248</v>
      </c>
      <c r="F2622" s="3" t="s">
        <v>4178</v>
      </c>
      <c r="G2622" s="3" t="s">
        <v>39</v>
      </c>
      <c r="H2622" s="3" t="s">
        <v>253</v>
      </c>
      <c r="I2622" s="2">
        <v>31</v>
      </c>
      <c r="J2622" s="2">
        <v>16</v>
      </c>
      <c r="K2622" s="2">
        <v>1</v>
      </c>
      <c r="O2622" s="2">
        <v>2</v>
      </c>
      <c r="P2622" s="2">
        <v>4</v>
      </c>
      <c r="U2622" s="2">
        <v>4</v>
      </c>
      <c r="V2622" s="2">
        <v>12</v>
      </c>
      <c r="W2622" s="2">
        <v>3</v>
      </c>
      <c r="X2622" s="2">
        <v>8</v>
      </c>
      <c r="AA2622" s="3" t="s">
        <v>57</v>
      </c>
      <c r="AB2622" s="2">
        <v>3</v>
      </c>
      <c r="AF2622" s="2">
        <v>22</v>
      </c>
      <c r="AG2622" s="2">
        <v>2</v>
      </c>
      <c r="AH2622" s="3" t="s">
        <v>2713</v>
      </c>
      <c r="AI2622" s="4">
        <v>45091</v>
      </c>
      <c r="AJ2622" s="3" t="s">
        <v>2745</v>
      </c>
      <c r="AK2622" s="3" t="s">
        <v>248</v>
      </c>
    </row>
    <row r="2623" spans="1:37" hidden="1" x14ac:dyDescent="0.25">
      <c r="A2623" t="str">
        <f t="shared" si="40"/>
        <v>2023_WA_Northam_Chickpea_DetailedTOS2VarietyHatTrickWaterTrtIrrigated</v>
      </c>
      <c r="B2623" s="2">
        <v>2023027</v>
      </c>
      <c r="C2623" s="3" t="s">
        <v>2712</v>
      </c>
      <c r="D2623" s="3" t="s">
        <v>248</v>
      </c>
      <c r="F2623" s="3" t="s">
        <v>4178</v>
      </c>
      <c r="G2623" s="3" t="s">
        <v>39</v>
      </c>
      <c r="H2623" s="3" t="s">
        <v>250</v>
      </c>
      <c r="I2623" s="2">
        <v>32</v>
      </c>
      <c r="J2623" s="2">
        <v>16</v>
      </c>
      <c r="K2623" s="2">
        <v>1</v>
      </c>
      <c r="O2623" s="2">
        <v>2</v>
      </c>
      <c r="P2623" s="2">
        <v>4</v>
      </c>
      <c r="U2623" s="2">
        <v>5</v>
      </c>
      <c r="V2623" s="2">
        <v>12</v>
      </c>
      <c r="W2623" s="2">
        <v>4</v>
      </c>
      <c r="X2623" s="2">
        <v>8</v>
      </c>
      <c r="Z2623" s="2">
        <v>41</v>
      </c>
      <c r="AA2623" s="3" t="s">
        <v>57</v>
      </c>
      <c r="AB2623" s="2">
        <v>3</v>
      </c>
      <c r="AF2623" s="2">
        <v>22</v>
      </c>
      <c r="AG2623" s="2">
        <v>2</v>
      </c>
      <c r="AH2623" s="3" t="s">
        <v>2713</v>
      </c>
      <c r="AI2623" s="4">
        <v>45091</v>
      </c>
      <c r="AJ2623" s="3" t="s">
        <v>2746</v>
      </c>
      <c r="AK2623" s="3" t="s">
        <v>248</v>
      </c>
    </row>
    <row r="2624" spans="1:37" hidden="1" x14ac:dyDescent="0.25">
      <c r="A2624" t="str">
        <f t="shared" si="40"/>
        <v>2023_WA_Northam_Chickpea_DetailedTOS2VarietyDrummondWaterTrtIrrigated</v>
      </c>
      <c r="B2624" s="2">
        <v>2023027</v>
      </c>
      <c r="C2624" s="3" t="s">
        <v>2712</v>
      </c>
      <c r="D2624" s="3" t="s">
        <v>248</v>
      </c>
      <c r="F2624" s="3" t="s">
        <v>4182</v>
      </c>
      <c r="G2624" s="3" t="s">
        <v>39</v>
      </c>
      <c r="H2624" s="3" t="s">
        <v>250</v>
      </c>
      <c r="I2624" s="2">
        <v>33</v>
      </c>
      <c r="J2624" s="2">
        <v>17</v>
      </c>
      <c r="K2624" s="2">
        <v>2</v>
      </c>
      <c r="O2624" s="2">
        <v>3</v>
      </c>
      <c r="P2624" s="2">
        <v>5</v>
      </c>
      <c r="U2624" s="2">
        <v>1</v>
      </c>
      <c r="V2624" s="2">
        <v>14</v>
      </c>
      <c r="W2624" s="2">
        <v>1</v>
      </c>
      <c r="X2624" s="2">
        <v>9</v>
      </c>
      <c r="Z2624" s="2">
        <v>9</v>
      </c>
      <c r="AA2624" s="3" t="s">
        <v>57</v>
      </c>
      <c r="AB2624" s="2">
        <v>2</v>
      </c>
      <c r="AF2624" s="2">
        <v>22</v>
      </c>
      <c r="AG2624" s="2">
        <v>2</v>
      </c>
      <c r="AH2624" s="3" t="s">
        <v>2713</v>
      </c>
      <c r="AI2624" s="4">
        <v>45091</v>
      </c>
      <c r="AJ2624" s="3" t="s">
        <v>2747</v>
      </c>
      <c r="AK2624" s="3" t="s">
        <v>248</v>
      </c>
    </row>
    <row r="2625" spans="1:37" hidden="1" x14ac:dyDescent="0.25">
      <c r="A2625" t="str">
        <f t="shared" si="40"/>
        <v>2023_WA_Northam_Chickpea_DetailedTOS2VarietyDrummondWaterTrtIrrigated</v>
      </c>
      <c r="B2625" s="2">
        <v>2023027</v>
      </c>
      <c r="C2625" s="3" t="s">
        <v>2712</v>
      </c>
      <c r="D2625" s="3" t="s">
        <v>248</v>
      </c>
      <c r="F2625" s="3" t="s">
        <v>4182</v>
      </c>
      <c r="G2625" s="3" t="s">
        <v>39</v>
      </c>
      <c r="H2625" s="3" t="s">
        <v>253</v>
      </c>
      <c r="I2625" s="2">
        <v>34</v>
      </c>
      <c r="J2625" s="2">
        <v>17</v>
      </c>
      <c r="K2625" s="2">
        <v>2</v>
      </c>
      <c r="O2625" s="2">
        <v>3</v>
      </c>
      <c r="P2625" s="2">
        <v>5</v>
      </c>
      <c r="U2625" s="2">
        <v>2</v>
      </c>
      <c r="V2625" s="2">
        <v>14</v>
      </c>
      <c r="W2625" s="2">
        <v>2</v>
      </c>
      <c r="X2625" s="2">
        <v>9</v>
      </c>
      <c r="AA2625" s="3" t="s">
        <v>57</v>
      </c>
      <c r="AB2625" s="2">
        <v>2</v>
      </c>
      <c r="AF2625" s="2">
        <v>22</v>
      </c>
      <c r="AG2625" s="2">
        <v>2</v>
      </c>
      <c r="AH2625" s="3" t="s">
        <v>2713</v>
      </c>
      <c r="AI2625" s="4">
        <v>45091</v>
      </c>
      <c r="AJ2625" s="3" t="s">
        <v>2748</v>
      </c>
      <c r="AK2625" s="3" t="s">
        <v>248</v>
      </c>
    </row>
    <row r="2626" spans="1:37" hidden="1" x14ac:dyDescent="0.25">
      <c r="A2626" t="str">
        <f t="shared" si="40"/>
        <v>2023_WA_Northam_Chickpea_DetailedTOS2VarietyStrikerWaterTrtIrrigated</v>
      </c>
      <c r="B2626" s="2">
        <v>2023027</v>
      </c>
      <c r="C2626" s="3" t="s">
        <v>2712</v>
      </c>
      <c r="D2626" s="3" t="s">
        <v>248</v>
      </c>
      <c r="F2626" s="3" t="s">
        <v>4179</v>
      </c>
      <c r="G2626" s="3" t="s">
        <v>43</v>
      </c>
      <c r="H2626" s="3" t="s">
        <v>253</v>
      </c>
      <c r="I2626" s="2">
        <v>35</v>
      </c>
      <c r="J2626" s="2">
        <v>18</v>
      </c>
      <c r="K2626" s="2">
        <v>2</v>
      </c>
      <c r="O2626" s="2">
        <v>3</v>
      </c>
      <c r="P2626" s="2">
        <v>5</v>
      </c>
      <c r="U2626" s="2">
        <v>4</v>
      </c>
      <c r="V2626" s="2">
        <v>14</v>
      </c>
      <c r="W2626" s="2">
        <v>3</v>
      </c>
      <c r="X2626" s="2">
        <v>9</v>
      </c>
      <c r="AA2626" s="3" t="s">
        <v>57</v>
      </c>
      <c r="AB2626" s="2">
        <v>4</v>
      </c>
      <c r="AF2626" s="2">
        <v>22</v>
      </c>
      <c r="AG2626" s="2">
        <v>2</v>
      </c>
      <c r="AH2626" s="3" t="s">
        <v>2713</v>
      </c>
      <c r="AI2626" s="4">
        <v>45091</v>
      </c>
      <c r="AJ2626" s="3" t="s">
        <v>2749</v>
      </c>
      <c r="AK2626" s="3" t="s">
        <v>248</v>
      </c>
    </row>
    <row r="2627" spans="1:37" hidden="1" x14ac:dyDescent="0.25">
      <c r="A2627" t="str">
        <f t="shared" ref="A2627:A2690" si="41">C2627&amp;"TOS"&amp;AG2627&amp;"Variety"&amp;F2627&amp;"WaterTrt"&amp;AA2627&amp;IF(AC2627="","","Agronomy"&amp;AC2627)</f>
        <v>2023_WA_Northam_Chickpea_DetailedTOS2VarietyStrikerWaterTrtIrrigated</v>
      </c>
      <c r="B2627" s="2">
        <v>2023027</v>
      </c>
      <c r="C2627" s="3" t="s">
        <v>2712</v>
      </c>
      <c r="D2627" s="3" t="s">
        <v>248</v>
      </c>
      <c r="F2627" s="3" t="s">
        <v>4179</v>
      </c>
      <c r="G2627" s="3" t="s">
        <v>43</v>
      </c>
      <c r="H2627" s="3" t="s">
        <v>250</v>
      </c>
      <c r="I2627" s="2">
        <v>36</v>
      </c>
      <c r="J2627" s="2">
        <v>18</v>
      </c>
      <c r="K2627" s="2">
        <v>2</v>
      </c>
      <c r="O2627" s="2">
        <v>3</v>
      </c>
      <c r="P2627" s="2">
        <v>5</v>
      </c>
      <c r="U2627" s="2">
        <v>5</v>
      </c>
      <c r="V2627" s="2">
        <v>14</v>
      </c>
      <c r="W2627" s="2">
        <v>4</v>
      </c>
      <c r="X2627" s="2">
        <v>9</v>
      </c>
      <c r="Z2627" s="2">
        <v>40</v>
      </c>
      <c r="AA2627" s="3" t="s">
        <v>57</v>
      </c>
      <c r="AB2627" s="2">
        <v>4</v>
      </c>
      <c r="AF2627" s="2">
        <v>22</v>
      </c>
      <c r="AG2627" s="2">
        <v>2</v>
      </c>
      <c r="AH2627" s="3" t="s">
        <v>2713</v>
      </c>
      <c r="AI2627" s="4">
        <v>45091</v>
      </c>
      <c r="AJ2627" s="3" t="s">
        <v>2750</v>
      </c>
      <c r="AK2627" s="3" t="s">
        <v>248</v>
      </c>
    </row>
    <row r="2628" spans="1:37" hidden="1" x14ac:dyDescent="0.25">
      <c r="A2628" t="str">
        <f t="shared" si="41"/>
        <v>2023_WA_Northam_Chickpea_DetailedTOS2VarietyCBA_CaptainWaterTrtIrrigated</v>
      </c>
      <c r="B2628" s="2">
        <v>2023027</v>
      </c>
      <c r="C2628" s="3" t="s">
        <v>2712</v>
      </c>
      <c r="D2628" s="3" t="s">
        <v>248</v>
      </c>
      <c r="F2628" s="3" t="s">
        <v>249</v>
      </c>
      <c r="G2628" s="3" t="s">
        <v>43</v>
      </c>
      <c r="H2628" s="3" t="s">
        <v>250</v>
      </c>
      <c r="I2628" s="2">
        <v>37</v>
      </c>
      <c r="J2628" s="2">
        <v>19</v>
      </c>
      <c r="K2628" s="2">
        <v>2</v>
      </c>
      <c r="O2628" s="2">
        <v>3</v>
      </c>
      <c r="P2628" s="2">
        <v>5</v>
      </c>
      <c r="U2628" s="2">
        <v>1</v>
      </c>
      <c r="V2628" s="2">
        <v>15</v>
      </c>
      <c r="W2628" s="2">
        <v>1</v>
      </c>
      <c r="X2628" s="2">
        <v>10</v>
      </c>
      <c r="Z2628" s="2">
        <v>10</v>
      </c>
      <c r="AA2628" s="3" t="s">
        <v>57</v>
      </c>
      <c r="AB2628" s="2">
        <v>1</v>
      </c>
      <c r="AF2628" s="2">
        <v>22</v>
      </c>
      <c r="AG2628" s="2">
        <v>2</v>
      </c>
      <c r="AH2628" s="3" t="s">
        <v>2713</v>
      </c>
      <c r="AI2628" s="4">
        <v>45091</v>
      </c>
      <c r="AJ2628" s="3" t="s">
        <v>2751</v>
      </c>
      <c r="AK2628" s="3" t="s">
        <v>248</v>
      </c>
    </row>
    <row r="2629" spans="1:37" hidden="1" x14ac:dyDescent="0.25">
      <c r="A2629" t="str">
        <f t="shared" si="41"/>
        <v>2023_WA_Northam_Chickpea_DetailedTOS2VarietyCBA_CaptainWaterTrtIrrigated</v>
      </c>
      <c r="B2629" s="2">
        <v>2023027</v>
      </c>
      <c r="C2629" s="3" t="s">
        <v>2712</v>
      </c>
      <c r="D2629" s="3" t="s">
        <v>248</v>
      </c>
      <c r="F2629" s="3" t="s">
        <v>249</v>
      </c>
      <c r="G2629" s="3" t="s">
        <v>43</v>
      </c>
      <c r="H2629" s="3" t="s">
        <v>253</v>
      </c>
      <c r="I2629" s="2">
        <v>38</v>
      </c>
      <c r="J2629" s="2">
        <v>19</v>
      </c>
      <c r="K2629" s="2">
        <v>2</v>
      </c>
      <c r="O2629" s="2">
        <v>3</v>
      </c>
      <c r="P2629" s="2">
        <v>5</v>
      </c>
      <c r="U2629" s="2">
        <v>2</v>
      </c>
      <c r="V2629" s="2">
        <v>15</v>
      </c>
      <c r="W2629" s="2">
        <v>2</v>
      </c>
      <c r="X2629" s="2">
        <v>10</v>
      </c>
      <c r="AA2629" s="3" t="s">
        <v>57</v>
      </c>
      <c r="AB2629" s="2">
        <v>1</v>
      </c>
      <c r="AF2629" s="2">
        <v>22</v>
      </c>
      <c r="AG2629" s="2">
        <v>2</v>
      </c>
      <c r="AH2629" s="3" t="s">
        <v>2713</v>
      </c>
      <c r="AI2629" s="4">
        <v>45091</v>
      </c>
      <c r="AJ2629" s="3" t="s">
        <v>2752</v>
      </c>
      <c r="AK2629" s="3" t="s">
        <v>248</v>
      </c>
    </row>
    <row r="2630" spans="1:37" hidden="1" x14ac:dyDescent="0.25">
      <c r="A2630" t="str">
        <f t="shared" si="41"/>
        <v>2023_WA_Northam_Chickpea_DetailedTOS2VarietyHatTrickWaterTrtIrrigated</v>
      </c>
      <c r="B2630" s="2">
        <v>2023027</v>
      </c>
      <c r="C2630" s="3" t="s">
        <v>2712</v>
      </c>
      <c r="D2630" s="3" t="s">
        <v>248</v>
      </c>
      <c r="F2630" s="3" t="s">
        <v>4178</v>
      </c>
      <c r="G2630" s="3" t="s">
        <v>39</v>
      </c>
      <c r="H2630" s="3" t="s">
        <v>253</v>
      </c>
      <c r="I2630" s="2">
        <v>39</v>
      </c>
      <c r="J2630" s="2">
        <v>20</v>
      </c>
      <c r="K2630" s="2">
        <v>2</v>
      </c>
      <c r="O2630" s="2">
        <v>3</v>
      </c>
      <c r="P2630" s="2">
        <v>5</v>
      </c>
      <c r="U2630" s="2">
        <v>4</v>
      </c>
      <c r="V2630" s="2">
        <v>15</v>
      </c>
      <c r="W2630" s="2">
        <v>3</v>
      </c>
      <c r="X2630" s="2">
        <v>10</v>
      </c>
      <c r="AA2630" s="3" t="s">
        <v>57</v>
      </c>
      <c r="AB2630" s="2">
        <v>3</v>
      </c>
      <c r="AF2630" s="2">
        <v>22</v>
      </c>
      <c r="AG2630" s="2">
        <v>2</v>
      </c>
      <c r="AH2630" s="3" t="s">
        <v>2713</v>
      </c>
      <c r="AI2630" s="4">
        <v>45091</v>
      </c>
      <c r="AJ2630" s="3" t="s">
        <v>2753</v>
      </c>
      <c r="AK2630" s="3" t="s">
        <v>248</v>
      </c>
    </row>
    <row r="2631" spans="1:37" hidden="1" x14ac:dyDescent="0.25">
      <c r="A2631" t="str">
        <f t="shared" si="41"/>
        <v>2023_WA_Northam_Chickpea_DetailedTOS2VarietyHatTrickWaterTrtIrrigated</v>
      </c>
      <c r="B2631" s="2">
        <v>2023027</v>
      </c>
      <c r="C2631" s="3" t="s">
        <v>2712</v>
      </c>
      <c r="D2631" s="3" t="s">
        <v>248</v>
      </c>
      <c r="F2631" s="3" t="s">
        <v>4178</v>
      </c>
      <c r="G2631" s="3" t="s">
        <v>39</v>
      </c>
      <c r="H2631" s="3" t="s">
        <v>250</v>
      </c>
      <c r="I2631" s="2">
        <v>40</v>
      </c>
      <c r="J2631" s="2">
        <v>20</v>
      </c>
      <c r="K2631" s="2">
        <v>2</v>
      </c>
      <c r="O2631" s="2">
        <v>3</v>
      </c>
      <c r="P2631" s="2">
        <v>5</v>
      </c>
      <c r="U2631" s="2">
        <v>5</v>
      </c>
      <c r="V2631" s="2">
        <v>15</v>
      </c>
      <c r="W2631" s="2">
        <v>4</v>
      </c>
      <c r="X2631" s="2">
        <v>10</v>
      </c>
      <c r="Z2631" s="2">
        <v>39</v>
      </c>
      <c r="AA2631" s="3" t="s">
        <v>57</v>
      </c>
      <c r="AB2631" s="2">
        <v>3</v>
      </c>
      <c r="AF2631" s="2">
        <v>22</v>
      </c>
      <c r="AG2631" s="2">
        <v>2</v>
      </c>
      <c r="AH2631" s="3" t="s">
        <v>2713</v>
      </c>
      <c r="AI2631" s="4">
        <v>45091</v>
      </c>
      <c r="AJ2631" s="3" t="s">
        <v>2754</v>
      </c>
      <c r="AK2631" s="3" t="s">
        <v>248</v>
      </c>
    </row>
    <row r="2632" spans="1:37" hidden="1" x14ac:dyDescent="0.25">
      <c r="A2632" t="str">
        <f t="shared" si="41"/>
        <v>2023_WA_Northam_Chickpea_DetailedTOS1VarietyCBA_CaptainWaterTrtIrrigated</v>
      </c>
      <c r="B2632" s="2">
        <v>2023027</v>
      </c>
      <c r="C2632" s="3" t="s">
        <v>2712</v>
      </c>
      <c r="D2632" s="3" t="s">
        <v>248</v>
      </c>
      <c r="F2632" s="3" t="s">
        <v>249</v>
      </c>
      <c r="G2632" s="3" t="s">
        <v>43</v>
      </c>
      <c r="H2632" s="3" t="s">
        <v>250</v>
      </c>
      <c r="I2632" s="2">
        <v>41</v>
      </c>
      <c r="J2632" s="2">
        <v>21</v>
      </c>
      <c r="K2632" s="2">
        <v>2</v>
      </c>
      <c r="O2632" s="2">
        <v>3</v>
      </c>
      <c r="P2632" s="2">
        <v>6</v>
      </c>
      <c r="U2632" s="2">
        <v>1</v>
      </c>
      <c r="V2632" s="2">
        <v>17</v>
      </c>
      <c r="W2632" s="2">
        <v>1</v>
      </c>
      <c r="X2632" s="2">
        <v>11</v>
      </c>
      <c r="Z2632" s="2">
        <v>11</v>
      </c>
      <c r="AA2632" s="3" t="s">
        <v>57</v>
      </c>
      <c r="AB2632" s="2">
        <v>1</v>
      </c>
      <c r="AF2632" s="2">
        <v>22</v>
      </c>
      <c r="AG2632" s="2">
        <v>1</v>
      </c>
      <c r="AH2632" s="3" t="s">
        <v>2722</v>
      </c>
      <c r="AI2632" s="4">
        <v>45063</v>
      </c>
      <c r="AJ2632" s="3" t="s">
        <v>2755</v>
      </c>
      <c r="AK2632" s="3" t="s">
        <v>248</v>
      </c>
    </row>
    <row r="2633" spans="1:37" hidden="1" x14ac:dyDescent="0.25">
      <c r="A2633" t="str">
        <f t="shared" si="41"/>
        <v>2023_WA_Northam_Chickpea_DetailedTOS1VarietyCBA_CaptainWaterTrtIrrigated</v>
      </c>
      <c r="B2633" s="2">
        <v>2023027</v>
      </c>
      <c r="C2633" s="3" t="s">
        <v>2712</v>
      </c>
      <c r="D2633" s="3" t="s">
        <v>248</v>
      </c>
      <c r="F2633" s="3" t="s">
        <v>249</v>
      </c>
      <c r="G2633" s="3" t="s">
        <v>43</v>
      </c>
      <c r="H2633" s="3" t="s">
        <v>253</v>
      </c>
      <c r="I2633" s="2">
        <v>42</v>
      </c>
      <c r="J2633" s="2">
        <v>21</v>
      </c>
      <c r="K2633" s="2">
        <v>2</v>
      </c>
      <c r="O2633" s="2">
        <v>3</v>
      </c>
      <c r="P2633" s="2">
        <v>6</v>
      </c>
      <c r="U2633" s="2">
        <v>2</v>
      </c>
      <c r="V2633" s="2">
        <v>17</v>
      </c>
      <c r="W2633" s="2">
        <v>2</v>
      </c>
      <c r="X2633" s="2">
        <v>11</v>
      </c>
      <c r="AA2633" s="3" t="s">
        <v>57</v>
      </c>
      <c r="AB2633" s="2">
        <v>1</v>
      </c>
      <c r="AF2633" s="2">
        <v>22</v>
      </c>
      <c r="AG2633" s="2">
        <v>1</v>
      </c>
      <c r="AH2633" s="3" t="s">
        <v>2722</v>
      </c>
      <c r="AI2633" s="4">
        <v>45063</v>
      </c>
      <c r="AJ2633" s="3" t="s">
        <v>2756</v>
      </c>
      <c r="AK2633" s="3" t="s">
        <v>248</v>
      </c>
    </row>
    <row r="2634" spans="1:37" hidden="1" x14ac:dyDescent="0.25">
      <c r="A2634" t="str">
        <f t="shared" si="41"/>
        <v>2023_WA_Northam_Chickpea_DetailedTOS1VarietyDrummondWaterTrtIrrigated</v>
      </c>
      <c r="B2634" s="2">
        <v>2023027</v>
      </c>
      <c r="C2634" s="3" t="s">
        <v>2712</v>
      </c>
      <c r="D2634" s="3" t="s">
        <v>248</v>
      </c>
      <c r="F2634" s="3" t="s">
        <v>4182</v>
      </c>
      <c r="G2634" s="3" t="s">
        <v>39</v>
      </c>
      <c r="H2634" s="3" t="s">
        <v>253</v>
      </c>
      <c r="I2634" s="2">
        <v>43</v>
      </c>
      <c r="J2634" s="2">
        <v>22</v>
      </c>
      <c r="K2634" s="2">
        <v>2</v>
      </c>
      <c r="O2634" s="2">
        <v>3</v>
      </c>
      <c r="P2634" s="2">
        <v>6</v>
      </c>
      <c r="U2634" s="2">
        <v>4</v>
      </c>
      <c r="V2634" s="2">
        <v>17</v>
      </c>
      <c r="W2634" s="2">
        <v>3</v>
      </c>
      <c r="X2634" s="2">
        <v>11</v>
      </c>
      <c r="AA2634" s="3" t="s">
        <v>57</v>
      </c>
      <c r="AB2634" s="2">
        <v>2</v>
      </c>
      <c r="AF2634" s="2">
        <v>22</v>
      </c>
      <c r="AG2634" s="2">
        <v>1</v>
      </c>
      <c r="AH2634" s="3" t="s">
        <v>2722</v>
      </c>
      <c r="AI2634" s="4">
        <v>45063</v>
      </c>
      <c r="AJ2634" s="3" t="s">
        <v>2757</v>
      </c>
      <c r="AK2634" s="3" t="s">
        <v>248</v>
      </c>
    </row>
    <row r="2635" spans="1:37" hidden="1" x14ac:dyDescent="0.25">
      <c r="A2635" t="str">
        <f t="shared" si="41"/>
        <v>2023_WA_Northam_Chickpea_DetailedTOS1VarietyDrummondWaterTrtIrrigated</v>
      </c>
      <c r="B2635" s="2">
        <v>2023027</v>
      </c>
      <c r="C2635" s="3" t="s">
        <v>2712</v>
      </c>
      <c r="D2635" s="3" t="s">
        <v>248</v>
      </c>
      <c r="F2635" s="3" t="s">
        <v>4182</v>
      </c>
      <c r="G2635" s="3" t="s">
        <v>39</v>
      </c>
      <c r="H2635" s="3" t="s">
        <v>250</v>
      </c>
      <c r="I2635" s="2">
        <v>44</v>
      </c>
      <c r="J2635" s="2">
        <v>22</v>
      </c>
      <c r="K2635" s="2">
        <v>2</v>
      </c>
      <c r="O2635" s="2">
        <v>3</v>
      </c>
      <c r="P2635" s="2">
        <v>6</v>
      </c>
      <c r="U2635" s="2">
        <v>5</v>
      </c>
      <c r="V2635" s="2">
        <v>17</v>
      </c>
      <c r="W2635" s="2">
        <v>4</v>
      </c>
      <c r="X2635" s="2">
        <v>11</v>
      </c>
      <c r="Z2635" s="2">
        <v>38</v>
      </c>
      <c r="AA2635" s="3" t="s">
        <v>57</v>
      </c>
      <c r="AB2635" s="2">
        <v>2</v>
      </c>
      <c r="AF2635" s="2">
        <v>22</v>
      </c>
      <c r="AG2635" s="2">
        <v>1</v>
      </c>
      <c r="AH2635" s="3" t="s">
        <v>2722</v>
      </c>
      <c r="AI2635" s="4">
        <v>45063</v>
      </c>
      <c r="AJ2635" s="3" t="s">
        <v>2758</v>
      </c>
      <c r="AK2635" s="3" t="s">
        <v>248</v>
      </c>
    </row>
    <row r="2636" spans="1:37" hidden="1" x14ac:dyDescent="0.25">
      <c r="A2636" t="str">
        <f t="shared" si="41"/>
        <v>2023_WA_Northam_Chickpea_DetailedTOS1VarietyStrikerWaterTrtIrrigated</v>
      </c>
      <c r="B2636" s="2">
        <v>2023027</v>
      </c>
      <c r="C2636" s="3" t="s">
        <v>2712</v>
      </c>
      <c r="D2636" s="3" t="s">
        <v>248</v>
      </c>
      <c r="F2636" s="3" t="s">
        <v>4179</v>
      </c>
      <c r="G2636" s="3" t="s">
        <v>43</v>
      </c>
      <c r="H2636" s="3" t="s">
        <v>250</v>
      </c>
      <c r="I2636" s="2">
        <v>45</v>
      </c>
      <c r="J2636" s="2">
        <v>23</v>
      </c>
      <c r="K2636" s="2">
        <v>2</v>
      </c>
      <c r="O2636" s="2">
        <v>3</v>
      </c>
      <c r="P2636" s="2">
        <v>6</v>
      </c>
      <c r="U2636" s="2">
        <v>1</v>
      </c>
      <c r="V2636" s="2">
        <v>18</v>
      </c>
      <c r="W2636" s="2">
        <v>1</v>
      </c>
      <c r="X2636" s="2">
        <v>12</v>
      </c>
      <c r="Z2636" s="2">
        <v>12</v>
      </c>
      <c r="AA2636" s="3" t="s">
        <v>57</v>
      </c>
      <c r="AB2636" s="2">
        <v>4</v>
      </c>
      <c r="AF2636" s="2">
        <v>22</v>
      </c>
      <c r="AG2636" s="2">
        <v>1</v>
      </c>
      <c r="AH2636" s="3" t="s">
        <v>2722</v>
      </c>
      <c r="AI2636" s="4">
        <v>45063</v>
      </c>
      <c r="AJ2636" s="3" t="s">
        <v>2759</v>
      </c>
      <c r="AK2636" s="3" t="s">
        <v>248</v>
      </c>
    </row>
    <row r="2637" spans="1:37" hidden="1" x14ac:dyDescent="0.25">
      <c r="A2637" t="str">
        <f t="shared" si="41"/>
        <v>2023_WA_Northam_Chickpea_DetailedTOS1VarietyStrikerWaterTrtIrrigated</v>
      </c>
      <c r="B2637" s="2">
        <v>2023027</v>
      </c>
      <c r="C2637" s="3" t="s">
        <v>2712</v>
      </c>
      <c r="D2637" s="3" t="s">
        <v>248</v>
      </c>
      <c r="F2637" s="3" t="s">
        <v>4179</v>
      </c>
      <c r="G2637" s="3" t="s">
        <v>43</v>
      </c>
      <c r="H2637" s="3" t="s">
        <v>253</v>
      </c>
      <c r="I2637" s="2">
        <v>46</v>
      </c>
      <c r="J2637" s="2">
        <v>23</v>
      </c>
      <c r="K2637" s="2">
        <v>2</v>
      </c>
      <c r="O2637" s="2">
        <v>3</v>
      </c>
      <c r="P2637" s="2">
        <v>6</v>
      </c>
      <c r="U2637" s="2">
        <v>2</v>
      </c>
      <c r="V2637" s="2">
        <v>18</v>
      </c>
      <c r="W2637" s="2">
        <v>2</v>
      </c>
      <c r="X2637" s="2">
        <v>12</v>
      </c>
      <c r="AA2637" s="3" t="s">
        <v>57</v>
      </c>
      <c r="AB2637" s="2">
        <v>4</v>
      </c>
      <c r="AF2637" s="2">
        <v>22</v>
      </c>
      <c r="AG2637" s="2">
        <v>1</v>
      </c>
      <c r="AH2637" s="3" t="s">
        <v>2722</v>
      </c>
      <c r="AI2637" s="4">
        <v>45063</v>
      </c>
      <c r="AJ2637" s="3" t="s">
        <v>2760</v>
      </c>
      <c r="AK2637" s="3" t="s">
        <v>248</v>
      </c>
    </row>
    <row r="2638" spans="1:37" hidden="1" x14ac:dyDescent="0.25">
      <c r="A2638" t="str">
        <f t="shared" si="41"/>
        <v>2023_WA_Northam_Chickpea_DetailedTOS1VarietyHatTrickWaterTrtIrrigated</v>
      </c>
      <c r="B2638" s="2">
        <v>2023027</v>
      </c>
      <c r="C2638" s="3" t="s">
        <v>2712</v>
      </c>
      <c r="D2638" s="3" t="s">
        <v>248</v>
      </c>
      <c r="F2638" s="3" t="s">
        <v>4178</v>
      </c>
      <c r="G2638" s="3" t="s">
        <v>39</v>
      </c>
      <c r="H2638" s="3" t="s">
        <v>253</v>
      </c>
      <c r="I2638" s="2">
        <v>47</v>
      </c>
      <c r="J2638" s="2">
        <v>24</v>
      </c>
      <c r="K2638" s="2">
        <v>2</v>
      </c>
      <c r="O2638" s="2">
        <v>3</v>
      </c>
      <c r="P2638" s="2">
        <v>6</v>
      </c>
      <c r="U2638" s="2">
        <v>4</v>
      </c>
      <c r="V2638" s="2">
        <v>18</v>
      </c>
      <c r="W2638" s="2">
        <v>3</v>
      </c>
      <c r="X2638" s="2">
        <v>12</v>
      </c>
      <c r="AA2638" s="3" t="s">
        <v>57</v>
      </c>
      <c r="AB2638" s="2">
        <v>3</v>
      </c>
      <c r="AF2638" s="2">
        <v>22</v>
      </c>
      <c r="AG2638" s="2">
        <v>1</v>
      </c>
      <c r="AH2638" s="3" t="s">
        <v>2722</v>
      </c>
      <c r="AI2638" s="4">
        <v>45063</v>
      </c>
      <c r="AJ2638" s="3" t="s">
        <v>2761</v>
      </c>
      <c r="AK2638" s="3" t="s">
        <v>248</v>
      </c>
    </row>
    <row r="2639" spans="1:37" hidden="1" x14ac:dyDescent="0.25">
      <c r="A2639" t="str">
        <f t="shared" si="41"/>
        <v>2023_WA_Northam_Chickpea_DetailedTOS1VarietyHatTrickWaterTrtIrrigated</v>
      </c>
      <c r="B2639" s="2">
        <v>2023027</v>
      </c>
      <c r="C2639" s="3" t="s">
        <v>2712</v>
      </c>
      <c r="D2639" s="3" t="s">
        <v>248</v>
      </c>
      <c r="F2639" s="3" t="s">
        <v>4178</v>
      </c>
      <c r="G2639" s="3" t="s">
        <v>39</v>
      </c>
      <c r="H2639" s="3" t="s">
        <v>250</v>
      </c>
      <c r="I2639" s="2">
        <v>48</v>
      </c>
      <c r="J2639" s="2">
        <v>24</v>
      </c>
      <c r="K2639" s="2">
        <v>2</v>
      </c>
      <c r="O2639" s="2">
        <v>3</v>
      </c>
      <c r="P2639" s="2">
        <v>6</v>
      </c>
      <c r="U2639" s="2">
        <v>5</v>
      </c>
      <c r="V2639" s="2">
        <v>18</v>
      </c>
      <c r="W2639" s="2">
        <v>4</v>
      </c>
      <c r="X2639" s="2">
        <v>12</v>
      </c>
      <c r="Z2639" s="2">
        <v>37</v>
      </c>
      <c r="AA2639" s="3" t="s">
        <v>57</v>
      </c>
      <c r="AB2639" s="2">
        <v>3</v>
      </c>
      <c r="AF2639" s="2">
        <v>22</v>
      </c>
      <c r="AG2639" s="2">
        <v>1</v>
      </c>
      <c r="AH2639" s="3" t="s">
        <v>2722</v>
      </c>
      <c r="AI2639" s="4">
        <v>45063</v>
      </c>
      <c r="AJ2639" s="3" t="s">
        <v>2762</v>
      </c>
      <c r="AK2639" s="3" t="s">
        <v>248</v>
      </c>
    </row>
    <row r="2640" spans="1:37" hidden="1" x14ac:dyDescent="0.25">
      <c r="A2640" t="str">
        <f t="shared" si="41"/>
        <v>2023_WA_Northam_Chickpea_DetailedTOS2VarietyHatTrickWaterTrtRainFed</v>
      </c>
      <c r="B2640" s="2">
        <v>2023027</v>
      </c>
      <c r="C2640" s="3" t="s">
        <v>2712</v>
      </c>
      <c r="D2640" s="3" t="s">
        <v>248</v>
      </c>
      <c r="F2640" s="3" t="s">
        <v>4178</v>
      </c>
      <c r="G2640" s="3" t="s">
        <v>39</v>
      </c>
      <c r="H2640" s="3" t="s">
        <v>250</v>
      </c>
      <c r="I2640" s="2">
        <v>49</v>
      </c>
      <c r="J2640" s="2">
        <v>25</v>
      </c>
      <c r="K2640" s="2">
        <v>2</v>
      </c>
      <c r="O2640" s="2">
        <v>4</v>
      </c>
      <c r="P2640" s="2">
        <v>7</v>
      </c>
      <c r="U2640" s="2">
        <v>1</v>
      </c>
      <c r="V2640" s="2">
        <v>22</v>
      </c>
      <c r="W2640" s="2">
        <v>1</v>
      </c>
      <c r="X2640" s="2">
        <v>13</v>
      </c>
      <c r="Z2640" s="2">
        <v>13</v>
      </c>
      <c r="AA2640" s="3" t="s">
        <v>40</v>
      </c>
      <c r="AB2640" s="2">
        <v>3</v>
      </c>
      <c r="AF2640" s="2">
        <v>22</v>
      </c>
      <c r="AG2640" s="2">
        <v>2</v>
      </c>
      <c r="AH2640" s="3" t="s">
        <v>2713</v>
      </c>
      <c r="AI2640" s="4">
        <v>45091</v>
      </c>
      <c r="AJ2640" s="3" t="s">
        <v>2763</v>
      </c>
      <c r="AK2640" s="3" t="s">
        <v>248</v>
      </c>
    </row>
    <row r="2641" spans="1:37" hidden="1" x14ac:dyDescent="0.25">
      <c r="A2641" t="str">
        <f t="shared" si="41"/>
        <v>2023_WA_Northam_Chickpea_DetailedTOS2VarietyHatTrickWaterTrtRainFed</v>
      </c>
      <c r="B2641" s="2">
        <v>2023027</v>
      </c>
      <c r="C2641" s="3" t="s">
        <v>2712</v>
      </c>
      <c r="D2641" s="3" t="s">
        <v>248</v>
      </c>
      <c r="F2641" s="3" t="s">
        <v>4178</v>
      </c>
      <c r="G2641" s="3" t="s">
        <v>39</v>
      </c>
      <c r="H2641" s="3" t="s">
        <v>253</v>
      </c>
      <c r="I2641" s="2">
        <v>50</v>
      </c>
      <c r="J2641" s="2">
        <v>25</v>
      </c>
      <c r="K2641" s="2">
        <v>2</v>
      </c>
      <c r="O2641" s="2">
        <v>4</v>
      </c>
      <c r="P2641" s="2">
        <v>7</v>
      </c>
      <c r="U2641" s="2">
        <v>2</v>
      </c>
      <c r="V2641" s="2">
        <v>22</v>
      </c>
      <c r="W2641" s="2">
        <v>2</v>
      </c>
      <c r="X2641" s="2">
        <v>13</v>
      </c>
      <c r="AA2641" s="3" t="s">
        <v>40</v>
      </c>
      <c r="AB2641" s="2">
        <v>3</v>
      </c>
      <c r="AF2641" s="2">
        <v>22</v>
      </c>
      <c r="AG2641" s="2">
        <v>2</v>
      </c>
      <c r="AH2641" s="3" t="s">
        <v>2713</v>
      </c>
      <c r="AI2641" s="4">
        <v>45091</v>
      </c>
      <c r="AJ2641" s="3" t="s">
        <v>2764</v>
      </c>
      <c r="AK2641" s="3" t="s">
        <v>248</v>
      </c>
    </row>
    <row r="2642" spans="1:37" hidden="1" x14ac:dyDescent="0.25">
      <c r="A2642" t="str">
        <f t="shared" si="41"/>
        <v>2023_WA_Northam_Chickpea_DetailedTOS2VarietyDrummondWaterTrtRainFed</v>
      </c>
      <c r="B2642" s="2">
        <v>2023027</v>
      </c>
      <c r="C2642" s="3" t="s">
        <v>2712</v>
      </c>
      <c r="D2642" s="3" t="s">
        <v>248</v>
      </c>
      <c r="F2642" s="3" t="s">
        <v>4182</v>
      </c>
      <c r="G2642" s="3" t="s">
        <v>39</v>
      </c>
      <c r="H2642" s="3" t="s">
        <v>253</v>
      </c>
      <c r="I2642" s="2">
        <v>51</v>
      </c>
      <c r="J2642" s="2">
        <v>26</v>
      </c>
      <c r="K2642" s="2">
        <v>2</v>
      </c>
      <c r="O2642" s="2">
        <v>4</v>
      </c>
      <c r="P2642" s="2">
        <v>7</v>
      </c>
      <c r="U2642" s="2">
        <v>4</v>
      </c>
      <c r="V2642" s="2">
        <v>22</v>
      </c>
      <c r="W2642" s="2">
        <v>3</v>
      </c>
      <c r="X2642" s="2">
        <v>13</v>
      </c>
      <c r="AA2642" s="3" t="s">
        <v>40</v>
      </c>
      <c r="AB2642" s="2">
        <v>2</v>
      </c>
      <c r="AF2642" s="2">
        <v>22</v>
      </c>
      <c r="AG2642" s="2">
        <v>2</v>
      </c>
      <c r="AH2642" s="3" t="s">
        <v>2713</v>
      </c>
      <c r="AI2642" s="4">
        <v>45091</v>
      </c>
      <c r="AJ2642" s="3" t="s">
        <v>2765</v>
      </c>
      <c r="AK2642" s="3" t="s">
        <v>248</v>
      </c>
    </row>
    <row r="2643" spans="1:37" hidden="1" x14ac:dyDescent="0.25">
      <c r="A2643" t="str">
        <f t="shared" si="41"/>
        <v>2023_WA_Northam_Chickpea_DetailedTOS2VarietyDrummondWaterTrtRainFed</v>
      </c>
      <c r="B2643" s="2">
        <v>2023027</v>
      </c>
      <c r="C2643" s="3" t="s">
        <v>2712</v>
      </c>
      <c r="D2643" s="3" t="s">
        <v>248</v>
      </c>
      <c r="F2643" s="3" t="s">
        <v>4182</v>
      </c>
      <c r="G2643" s="3" t="s">
        <v>39</v>
      </c>
      <c r="H2643" s="3" t="s">
        <v>250</v>
      </c>
      <c r="I2643" s="2">
        <v>52</v>
      </c>
      <c r="J2643" s="2">
        <v>26</v>
      </c>
      <c r="K2643" s="2">
        <v>2</v>
      </c>
      <c r="O2643" s="2">
        <v>4</v>
      </c>
      <c r="P2643" s="2">
        <v>7</v>
      </c>
      <c r="U2643" s="2">
        <v>5</v>
      </c>
      <c r="V2643" s="2">
        <v>22</v>
      </c>
      <c r="W2643" s="2">
        <v>4</v>
      </c>
      <c r="X2643" s="2">
        <v>13</v>
      </c>
      <c r="Z2643" s="2">
        <v>36</v>
      </c>
      <c r="AA2643" s="3" t="s">
        <v>40</v>
      </c>
      <c r="AB2643" s="2">
        <v>2</v>
      </c>
      <c r="AF2643" s="2">
        <v>22</v>
      </c>
      <c r="AG2643" s="2">
        <v>2</v>
      </c>
      <c r="AH2643" s="3" t="s">
        <v>2713</v>
      </c>
      <c r="AI2643" s="4">
        <v>45091</v>
      </c>
      <c r="AJ2643" s="3" t="s">
        <v>2766</v>
      </c>
      <c r="AK2643" s="3" t="s">
        <v>248</v>
      </c>
    </row>
    <row r="2644" spans="1:37" hidden="1" x14ac:dyDescent="0.25">
      <c r="A2644" t="str">
        <f t="shared" si="41"/>
        <v>2023_WA_Northam_Chickpea_DetailedTOS2VarietyCBA_CaptainWaterTrtRainFed</v>
      </c>
      <c r="B2644" s="2">
        <v>2023027</v>
      </c>
      <c r="C2644" s="3" t="s">
        <v>2712</v>
      </c>
      <c r="D2644" s="3" t="s">
        <v>248</v>
      </c>
      <c r="F2644" s="3" t="s">
        <v>249</v>
      </c>
      <c r="G2644" s="3" t="s">
        <v>43</v>
      </c>
      <c r="H2644" s="3" t="s">
        <v>250</v>
      </c>
      <c r="I2644" s="2">
        <v>53</v>
      </c>
      <c r="J2644" s="2">
        <v>27</v>
      </c>
      <c r="K2644" s="2">
        <v>2</v>
      </c>
      <c r="O2644" s="2">
        <v>4</v>
      </c>
      <c r="P2644" s="2">
        <v>7</v>
      </c>
      <c r="U2644" s="2">
        <v>1</v>
      </c>
      <c r="V2644" s="2">
        <v>23</v>
      </c>
      <c r="W2644" s="2">
        <v>1</v>
      </c>
      <c r="X2644" s="2">
        <v>14</v>
      </c>
      <c r="Z2644" s="2">
        <v>14</v>
      </c>
      <c r="AA2644" s="3" t="s">
        <v>40</v>
      </c>
      <c r="AB2644" s="2">
        <v>1</v>
      </c>
      <c r="AF2644" s="2">
        <v>22</v>
      </c>
      <c r="AG2644" s="2">
        <v>2</v>
      </c>
      <c r="AH2644" s="3" t="s">
        <v>2713</v>
      </c>
      <c r="AI2644" s="4">
        <v>45091</v>
      </c>
      <c r="AJ2644" s="3" t="s">
        <v>2767</v>
      </c>
      <c r="AK2644" s="3" t="s">
        <v>248</v>
      </c>
    </row>
    <row r="2645" spans="1:37" hidden="1" x14ac:dyDescent="0.25">
      <c r="A2645" t="str">
        <f t="shared" si="41"/>
        <v>2023_WA_Northam_Chickpea_DetailedTOS2VarietyCBA_CaptainWaterTrtRainFed</v>
      </c>
      <c r="B2645" s="2">
        <v>2023027</v>
      </c>
      <c r="C2645" s="3" t="s">
        <v>2712</v>
      </c>
      <c r="D2645" s="3" t="s">
        <v>248</v>
      </c>
      <c r="F2645" s="3" t="s">
        <v>249</v>
      </c>
      <c r="G2645" s="3" t="s">
        <v>43</v>
      </c>
      <c r="H2645" s="3" t="s">
        <v>253</v>
      </c>
      <c r="I2645" s="2">
        <v>54</v>
      </c>
      <c r="J2645" s="2">
        <v>27</v>
      </c>
      <c r="K2645" s="2">
        <v>2</v>
      </c>
      <c r="O2645" s="2">
        <v>4</v>
      </c>
      <c r="P2645" s="2">
        <v>7</v>
      </c>
      <c r="U2645" s="2">
        <v>2</v>
      </c>
      <c r="V2645" s="2">
        <v>23</v>
      </c>
      <c r="W2645" s="2">
        <v>2</v>
      </c>
      <c r="X2645" s="2">
        <v>14</v>
      </c>
      <c r="AA2645" s="3" t="s">
        <v>40</v>
      </c>
      <c r="AB2645" s="2">
        <v>1</v>
      </c>
      <c r="AF2645" s="2">
        <v>22</v>
      </c>
      <c r="AG2645" s="2">
        <v>2</v>
      </c>
      <c r="AH2645" s="3" t="s">
        <v>2713</v>
      </c>
      <c r="AI2645" s="4">
        <v>45091</v>
      </c>
      <c r="AJ2645" s="3" t="s">
        <v>2768</v>
      </c>
      <c r="AK2645" s="3" t="s">
        <v>248</v>
      </c>
    </row>
    <row r="2646" spans="1:37" hidden="1" x14ac:dyDescent="0.25">
      <c r="A2646" t="str">
        <f t="shared" si="41"/>
        <v>2023_WA_Northam_Chickpea_DetailedTOS2VarietyStrikerWaterTrtRainFed</v>
      </c>
      <c r="B2646" s="2">
        <v>2023027</v>
      </c>
      <c r="C2646" s="3" t="s">
        <v>2712</v>
      </c>
      <c r="D2646" s="3" t="s">
        <v>248</v>
      </c>
      <c r="F2646" s="3" t="s">
        <v>4179</v>
      </c>
      <c r="G2646" s="3" t="s">
        <v>43</v>
      </c>
      <c r="H2646" s="3" t="s">
        <v>253</v>
      </c>
      <c r="I2646" s="2">
        <v>55</v>
      </c>
      <c r="J2646" s="2">
        <v>28</v>
      </c>
      <c r="K2646" s="2">
        <v>2</v>
      </c>
      <c r="O2646" s="2">
        <v>4</v>
      </c>
      <c r="P2646" s="2">
        <v>7</v>
      </c>
      <c r="U2646" s="2">
        <v>4</v>
      </c>
      <c r="V2646" s="2">
        <v>23</v>
      </c>
      <c r="W2646" s="2">
        <v>3</v>
      </c>
      <c r="X2646" s="2">
        <v>14</v>
      </c>
      <c r="AA2646" s="3" t="s">
        <v>40</v>
      </c>
      <c r="AB2646" s="2">
        <v>4</v>
      </c>
      <c r="AF2646" s="2">
        <v>22</v>
      </c>
      <c r="AG2646" s="2">
        <v>2</v>
      </c>
      <c r="AH2646" s="3" t="s">
        <v>2713</v>
      </c>
      <c r="AI2646" s="4">
        <v>45091</v>
      </c>
      <c r="AJ2646" s="3" t="s">
        <v>2769</v>
      </c>
      <c r="AK2646" s="3" t="s">
        <v>248</v>
      </c>
    </row>
    <row r="2647" spans="1:37" hidden="1" x14ac:dyDescent="0.25">
      <c r="A2647" t="str">
        <f t="shared" si="41"/>
        <v>2023_WA_Northam_Chickpea_DetailedTOS2VarietyStrikerWaterTrtRainFed</v>
      </c>
      <c r="B2647" s="2">
        <v>2023027</v>
      </c>
      <c r="C2647" s="3" t="s">
        <v>2712</v>
      </c>
      <c r="D2647" s="3" t="s">
        <v>248</v>
      </c>
      <c r="F2647" s="3" t="s">
        <v>4179</v>
      </c>
      <c r="G2647" s="3" t="s">
        <v>43</v>
      </c>
      <c r="H2647" s="3" t="s">
        <v>250</v>
      </c>
      <c r="I2647" s="2">
        <v>56</v>
      </c>
      <c r="J2647" s="2">
        <v>28</v>
      </c>
      <c r="K2647" s="2">
        <v>2</v>
      </c>
      <c r="O2647" s="2">
        <v>4</v>
      </c>
      <c r="P2647" s="2">
        <v>7</v>
      </c>
      <c r="U2647" s="2">
        <v>5</v>
      </c>
      <c r="V2647" s="2">
        <v>23</v>
      </c>
      <c r="W2647" s="2">
        <v>4</v>
      </c>
      <c r="X2647" s="2">
        <v>14</v>
      </c>
      <c r="Z2647" s="2">
        <v>35</v>
      </c>
      <c r="AA2647" s="3" t="s">
        <v>40</v>
      </c>
      <c r="AB2647" s="2">
        <v>4</v>
      </c>
      <c r="AF2647" s="2">
        <v>22</v>
      </c>
      <c r="AG2647" s="2">
        <v>2</v>
      </c>
      <c r="AH2647" s="3" t="s">
        <v>2713</v>
      </c>
      <c r="AI2647" s="4">
        <v>45091</v>
      </c>
      <c r="AJ2647" s="3" t="s">
        <v>2770</v>
      </c>
      <c r="AK2647" s="3" t="s">
        <v>248</v>
      </c>
    </row>
    <row r="2648" spans="1:37" hidden="1" x14ac:dyDescent="0.25">
      <c r="A2648" t="str">
        <f t="shared" si="41"/>
        <v>2023_WA_Northam_Chickpea_DetailedTOS1VarietyStrikerWaterTrtRainFed</v>
      </c>
      <c r="B2648" s="2">
        <v>2023027</v>
      </c>
      <c r="C2648" s="3" t="s">
        <v>2712</v>
      </c>
      <c r="D2648" s="3" t="s">
        <v>248</v>
      </c>
      <c r="F2648" s="3" t="s">
        <v>4179</v>
      </c>
      <c r="G2648" s="3" t="s">
        <v>43</v>
      </c>
      <c r="H2648" s="3" t="s">
        <v>250</v>
      </c>
      <c r="I2648" s="2">
        <v>57</v>
      </c>
      <c r="J2648" s="2">
        <v>29</v>
      </c>
      <c r="K2648" s="2">
        <v>2</v>
      </c>
      <c r="O2648" s="2">
        <v>4</v>
      </c>
      <c r="P2648" s="2">
        <v>8</v>
      </c>
      <c r="U2648" s="2">
        <v>1</v>
      </c>
      <c r="V2648" s="2">
        <v>24</v>
      </c>
      <c r="W2648" s="2">
        <v>1</v>
      </c>
      <c r="X2648" s="2">
        <v>15</v>
      </c>
      <c r="Z2648" s="2">
        <v>15</v>
      </c>
      <c r="AA2648" s="3" t="s">
        <v>40</v>
      </c>
      <c r="AB2648" s="2">
        <v>4</v>
      </c>
      <c r="AF2648" s="2">
        <v>22</v>
      </c>
      <c r="AG2648" s="2">
        <v>1</v>
      </c>
      <c r="AH2648" s="3" t="s">
        <v>2722</v>
      </c>
      <c r="AI2648" s="4">
        <v>45063</v>
      </c>
      <c r="AJ2648" s="3" t="s">
        <v>2771</v>
      </c>
      <c r="AK2648" s="3" t="s">
        <v>248</v>
      </c>
    </row>
    <row r="2649" spans="1:37" hidden="1" x14ac:dyDescent="0.25">
      <c r="A2649" t="str">
        <f t="shared" si="41"/>
        <v>2023_WA_Northam_Chickpea_DetailedTOS1VarietyStrikerWaterTrtRainFed</v>
      </c>
      <c r="B2649" s="2">
        <v>2023027</v>
      </c>
      <c r="C2649" s="3" t="s">
        <v>2712</v>
      </c>
      <c r="D2649" s="3" t="s">
        <v>248</v>
      </c>
      <c r="F2649" s="3" t="s">
        <v>4179</v>
      </c>
      <c r="G2649" s="3" t="s">
        <v>43</v>
      </c>
      <c r="H2649" s="3" t="s">
        <v>253</v>
      </c>
      <c r="I2649" s="2">
        <v>58</v>
      </c>
      <c r="J2649" s="2">
        <v>29</v>
      </c>
      <c r="K2649" s="2">
        <v>2</v>
      </c>
      <c r="O2649" s="2">
        <v>4</v>
      </c>
      <c r="P2649" s="2">
        <v>8</v>
      </c>
      <c r="U2649" s="2">
        <v>2</v>
      </c>
      <c r="V2649" s="2">
        <v>24</v>
      </c>
      <c r="W2649" s="2">
        <v>2</v>
      </c>
      <c r="X2649" s="2">
        <v>15</v>
      </c>
      <c r="AA2649" s="3" t="s">
        <v>40</v>
      </c>
      <c r="AB2649" s="2">
        <v>4</v>
      </c>
      <c r="AF2649" s="2">
        <v>22</v>
      </c>
      <c r="AG2649" s="2">
        <v>1</v>
      </c>
      <c r="AH2649" s="3" t="s">
        <v>2722</v>
      </c>
      <c r="AI2649" s="4">
        <v>45063</v>
      </c>
      <c r="AJ2649" s="3" t="s">
        <v>2772</v>
      </c>
      <c r="AK2649" s="3" t="s">
        <v>248</v>
      </c>
    </row>
    <row r="2650" spans="1:37" hidden="1" x14ac:dyDescent="0.25">
      <c r="A2650" t="str">
        <f t="shared" si="41"/>
        <v>2023_WA_Northam_Chickpea_DetailedTOS1VarietyCBA_CaptainWaterTrtRainFed</v>
      </c>
      <c r="B2650" s="2">
        <v>2023027</v>
      </c>
      <c r="C2650" s="3" t="s">
        <v>2712</v>
      </c>
      <c r="D2650" s="3" t="s">
        <v>248</v>
      </c>
      <c r="F2650" s="3" t="s">
        <v>249</v>
      </c>
      <c r="G2650" s="3" t="s">
        <v>43</v>
      </c>
      <c r="H2650" s="3" t="s">
        <v>253</v>
      </c>
      <c r="I2650" s="2">
        <v>59</v>
      </c>
      <c r="J2650" s="2">
        <v>30</v>
      </c>
      <c r="K2650" s="2">
        <v>2</v>
      </c>
      <c r="O2650" s="2">
        <v>4</v>
      </c>
      <c r="P2650" s="2">
        <v>8</v>
      </c>
      <c r="U2650" s="2">
        <v>4</v>
      </c>
      <c r="V2650" s="2">
        <v>24</v>
      </c>
      <c r="W2650" s="2">
        <v>3</v>
      </c>
      <c r="X2650" s="2">
        <v>15</v>
      </c>
      <c r="AA2650" s="3" t="s">
        <v>40</v>
      </c>
      <c r="AB2650" s="2">
        <v>1</v>
      </c>
      <c r="AF2650" s="2">
        <v>22</v>
      </c>
      <c r="AG2650" s="2">
        <v>1</v>
      </c>
      <c r="AH2650" s="3" t="s">
        <v>2722</v>
      </c>
      <c r="AI2650" s="4">
        <v>45063</v>
      </c>
      <c r="AJ2650" s="3" t="s">
        <v>2773</v>
      </c>
      <c r="AK2650" s="3" t="s">
        <v>248</v>
      </c>
    </row>
    <row r="2651" spans="1:37" hidden="1" x14ac:dyDescent="0.25">
      <c r="A2651" t="str">
        <f t="shared" si="41"/>
        <v>2023_WA_Northam_Chickpea_DetailedTOS1VarietyCBA_CaptainWaterTrtRainFed</v>
      </c>
      <c r="B2651" s="2">
        <v>2023027</v>
      </c>
      <c r="C2651" s="3" t="s">
        <v>2712</v>
      </c>
      <c r="D2651" s="3" t="s">
        <v>248</v>
      </c>
      <c r="F2651" s="3" t="s">
        <v>249</v>
      </c>
      <c r="G2651" s="3" t="s">
        <v>43</v>
      </c>
      <c r="H2651" s="3" t="s">
        <v>250</v>
      </c>
      <c r="I2651" s="2">
        <v>60</v>
      </c>
      <c r="J2651" s="2">
        <v>30</v>
      </c>
      <c r="K2651" s="2">
        <v>2</v>
      </c>
      <c r="O2651" s="2">
        <v>4</v>
      </c>
      <c r="P2651" s="2">
        <v>8</v>
      </c>
      <c r="U2651" s="2">
        <v>5</v>
      </c>
      <c r="V2651" s="2">
        <v>24</v>
      </c>
      <c r="W2651" s="2">
        <v>4</v>
      </c>
      <c r="X2651" s="2">
        <v>15</v>
      </c>
      <c r="Z2651" s="2">
        <v>34</v>
      </c>
      <c r="AA2651" s="3" t="s">
        <v>40</v>
      </c>
      <c r="AB2651" s="2">
        <v>1</v>
      </c>
      <c r="AF2651" s="2">
        <v>22</v>
      </c>
      <c r="AG2651" s="2">
        <v>1</v>
      </c>
      <c r="AH2651" s="3" t="s">
        <v>2722</v>
      </c>
      <c r="AI2651" s="4">
        <v>45063</v>
      </c>
      <c r="AJ2651" s="3" t="s">
        <v>2774</v>
      </c>
      <c r="AK2651" s="3" t="s">
        <v>248</v>
      </c>
    </row>
    <row r="2652" spans="1:37" hidden="1" x14ac:dyDescent="0.25">
      <c r="A2652" t="str">
        <f t="shared" si="41"/>
        <v>2023_WA_Northam_Chickpea_DetailedTOS1VarietyDrummondWaterTrtRainFed</v>
      </c>
      <c r="B2652" s="2">
        <v>2023027</v>
      </c>
      <c r="C2652" s="3" t="s">
        <v>2712</v>
      </c>
      <c r="D2652" s="3" t="s">
        <v>248</v>
      </c>
      <c r="F2652" s="3" t="s">
        <v>4182</v>
      </c>
      <c r="G2652" s="3" t="s">
        <v>39</v>
      </c>
      <c r="H2652" s="3" t="s">
        <v>250</v>
      </c>
      <c r="I2652" s="2">
        <v>61</v>
      </c>
      <c r="J2652" s="2">
        <v>31</v>
      </c>
      <c r="K2652" s="2">
        <v>2</v>
      </c>
      <c r="O2652" s="2">
        <v>4</v>
      </c>
      <c r="P2652" s="2">
        <v>8</v>
      </c>
      <c r="U2652" s="2">
        <v>1</v>
      </c>
      <c r="V2652" s="2">
        <v>25</v>
      </c>
      <c r="W2652" s="2">
        <v>1</v>
      </c>
      <c r="X2652" s="2">
        <v>16</v>
      </c>
      <c r="Z2652" s="2">
        <v>16</v>
      </c>
      <c r="AA2652" s="3" t="s">
        <v>40</v>
      </c>
      <c r="AB2652" s="2">
        <v>2</v>
      </c>
      <c r="AF2652" s="2">
        <v>22</v>
      </c>
      <c r="AG2652" s="2">
        <v>1</v>
      </c>
      <c r="AH2652" s="3" t="s">
        <v>2722</v>
      </c>
      <c r="AI2652" s="4">
        <v>45063</v>
      </c>
      <c r="AJ2652" s="3" t="s">
        <v>2775</v>
      </c>
      <c r="AK2652" s="3" t="s">
        <v>248</v>
      </c>
    </row>
    <row r="2653" spans="1:37" hidden="1" x14ac:dyDescent="0.25">
      <c r="A2653" t="str">
        <f t="shared" si="41"/>
        <v>2023_WA_Northam_Chickpea_DetailedTOS1VarietyDrummondWaterTrtRainFed</v>
      </c>
      <c r="B2653" s="2">
        <v>2023027</v>
      </c>
      <c r="C2653" s="3" t="s">
        <v>2712</v>
      </c>
      <c r="D2653" s="3" t="s">
        <v>248</v>
      </c>
      <c r="F2653" s="3" t="s">
        <v>4182</v>
      </c>
      <c r="G2653" s="3" t="s">
        <v>39</v>
      </c>
      <c r="H2653" s="3" t="s">
        <v>253</v>
      </c>
      <c r="I2653" s="2">
        <v>62</v>
      </c>
      <c r="J2653" s="2">
        <v>31</v>
      </c>
      <c r="K2653" s="2">
        <v>2</v>
      </c>
      <c r="O2653" s="2">
        <v>4</v>
      </c>
      <c r="P2653" s="2">
        <v>8</v>
      </c>
      <c r="U2653" s="2">
        <v>2</v>
      </c>
      <c r="V2653" s="2">
        <v>25</v>
      </c>
      <c r="W2653" s="2">
        <v>2</v>
      </c>
      <c r="X2653" s="2">
        <v>16</v>
      </c>
      <c r="AA2653" s="3" t="s">
        <v>40</v>
      </c>
      <c r="AB2653" s="2">
        <v>2</v>
      </c>
      <c r="AF2653" s="2">
        <v>22</v>
      </c>
      <c r="AG2653" s="2">
        <v>1</v>
      </c>
      <c r="AH2653" s="3" t="s">
        <v>2722</v>
      </c>
      <c r="AI2653" s="4">
        <v>45063</v>
      </c>
      <c r="AJ2653" s="3" t="s">
        <v>2776</v>
      </c>
      <c r="AK2653" s="3" t="s">
        <v>248</v>
      </c>
    </row>
    <row r="2654" spans="1:37" hidden="1" x14ac:dyDescent="0.25">
      <c r="A2654" t="str">
        <f t="shared" si="41"/>
        <v>2023_WA_Northam_Chickpea_DetailedTOS1VarietyHatTrickWaterTrtRainFed</v>
      </c>
      <c r="B2654" s="2">
        <v>2023027</v>
      </c>
      <c r="C2654" s="3" t="s">
        <v>2712</v>
      </c>
      <c r="D2654" s="3" t="s">
        <v>248</v>
      </c>
      <c r="F2654" s="3" t="s">
        <v>4178</v>
      </c>
      <c r="G2654" s="3" t="s">
        <v>39</v>
      </c>
      <c r="H2654" s="3" t="s">
        <v>253</v>
      </c>
      <c r="I2654" s="2">
        <v>63</v>
      </c>
      <c r="J2654" s="2">
        <v>32</v>
      </c>
      <c r="K2654" s="2">
        <v>2</v>
      </c>
      <c r="O2654" s="2">
        <v>4</v>
      </c>
      <c r="P2654" s="2">
        <v>8</v>
      </c>
      <c r="U2654" s="2">
        <v>4</v>
      </c>
      <c r="V2654" s="2">
        <v>25</v>
      </c>
      <c r="W2654" s="2">
        <v>3</v>
      </c>
      <c r="X2654" s="2">
        <v>16</v>
      </c>
      <c r="AA2654" s="3" t="s">
        <v>40</v>
      </c>
      <c r="AB2654" s="2">
        <v>3</v>
      </c>
      <c r="AF2654" s="2">
        <v>22</v>
      </c>
      <c r="AG2654" s="2">
        <v>1</v>
      </c>
      <c r="AH2654" s="3" t="s">
        <v>2722</v>
      </c>
      <c r="AI2654" s="4">
        <v>45063</v>
      </c>
      <c r="AJ2654" s="3" t="s">
        <v>2777</v>
      </c>
      <c r="AK2654" s="3" t="s">
        <v>248</v>
      </c>
    </row>
    <row r="2655" spans="1:37" hidden="1" x14ac:dyDescent="0.25">
      <c r="A2655" t="str">
        <f t="shared" si="41"/>
        <v>2023_WA_Northam_Chickpea_DetailedTOS1VarietyHatTrickWaterTrtRainFed</v>
      </c>
      <c r="B2655" s="2">
        <v>2023027</v>
      </c>
      <c r="C2655" s="3" t="s">
        <v>2712</v>
      </c>
      <c r="D2655" s="3" t="s">
        <v>248</v>
      </c>
      <c r="F2655" s="3" t="s">
        <v>4178</v>
      </c>
      <c r="G2655" s="3" t="s">
        <v>39</v>
      </c>
      <c r="H2655" s="3" t="s">
        <v>250</v>
      </c>
      <c r="I2655" s="2">
        <v>64</v>
      </c>
      <c r="J2655" s="2">
        <v>32</v>
      </c>
      <c r="K2655" s="2">
        <v>2</v>
      </c>
      <c r="O2655" s="2">
        <v>4</v>
      </c>
      <c r="P2655" s="2">
        <v>8</v>
      </c>
      <c r="U2655" s="2">
        <v>5</v>
      </c>
      <c r="V2655" s="2">
        <v>25</v>
      </c>
      <c r="W2655" s="2">
        <v>4</v>
      </c>
      <c r="X2655" s="2">
        <v>16</v>
      </c>
      <c r="Z2655" s="2">
        <v>33</v>
      </c>
      <c r="AA2655" s="3" t="s">
        <v>40</v>
      </c>
      <c r="AB2655" s="2">
        <v>3</v>
      </c>
      <c r="AF2655" s="2">
        <v>22</v>
      </c>
      <c r="AG2655" s="2">
        <v>1</v>
      </c>
      <c r="AH2655" s="3" t="s">
        <v>2722</v>
      </c>
      <c r="AI2655" s="4">
        <v>45063</v>
      </c>
      <c r="AJ2655" s="3" t="s">
        <v>2778</v>
      </c>
      <c r="AK2655" s="3" t="s">
        <v>248</v>
      </c>
    </row>
    <row r="2656" spans="1:37" hidden="1" x14ac:dyDescent="0.25">
      <c r="A2656" t="str">
        <f t="shared" si="41"/>
        <v>2023_WA_Northam_Chickpea_DetailedTOS1VarietyHatTrickWaterTrtRainFed</v>
      </c>
      <c r="B2656" s="2">
        <v>2023027</v>
      </c>
      <c r="C2656" s="3" t="s">
        <v>2712</v>
      </c>
      <c r="D2656" s="3" t="s">
        <v>248</v>
      </c>
      <c r="F2656" s="3" t="s">
        <v>4178</v>
      </c>
      <c r="G2656" s="3" t="s">
        <v>39</v>
      </c>
      <c r="H2656" s="3" t="s">
        <v>250</v>
      </c>
      <c r="I2656" s="2">
        <v>65</v>
      </c>
      <c r="J2656" s="2">
        <v>33</v>
      </c>
      <c r="K2656" s="2">
        <v>3</v>
      </c>
      <c r="O2656" s="2">
        <v>5</v>
      </c>
      <c r="P2656" s="2">
        <v>9</v>
      </c>
      <c r="U2656" s="2">
        <v>1</v>
      </c>
      <c r="V2656" s="2">
        <v>27</v>
      </c>
      <c r="W2656" s="2">
        <v>1</v>
      </c>
      <c r="X2656" s="2">
        <v>17</v>
      </c>
      <c r="Z2656" s="2">
        <v>17</v>
      </c>
      <c r="AA2656" s="3" t="s">
        <v>40</v>
      </c>
      <c r="AB2656" s="2">
        <v>3</v>
      </c>
      <c r="AF2656" s="2">
        <v>22</v>
      </c>
      <c r="AG2656" s="2">
        <v>1</v>
      </c>
      <c r="AH2656" s="3" t="s">
        <v>2722</v>
      </c>
      <c r="AI2656" s="4">
        <v>45063</v>
      </c>
      <c r="AJ2656" s="3" t="s">
        <v>2779</v>
      </c>
      <c r="AK2656" s="3" t="s">
        <v>248</v>
      </c>
    </row>
    <row r="2657" spans="1:37" hidden="1" x14ac:dyDescent="0.25">
      <c r="A2657" t="str">
        <f t="shared" si="41"/>
        <v>2023_WA_Northam_Chickpea_DetailedTOS1VarietyHatTrickWaterTrtRainFed</v>
      </c>
      <c r="B2657" s="2">
        <v>2023027</v>
      </c>
      <c r="C2657" s="3" t="s">
        <v>2712</v>
      </c>
      <c r="D2657" s="3" t="s">
        <v>248</v>
      </c>
      <c r="F2657" s="3" t="s">
        <v>4178</v>
      </c>
      <c r="G2657" s="3" t="s">
        <v>39</v>
      </c>
      <c r="H2657" s="3" t="s">
        <v>253</v>
      </c>
      <c r="I2657" s="2">
        <v>66</v>
      </c>
      <c r="J2657" s="2">
        <v>33</v>
      </c>
      <c r="K2657" s="2">
        <v>3</v>
      </c>
      <c r="O2657" s="2">
        <v>5</v>
      </c>
      <c r="P2657" s="2">
        <v>9</v>
      </c>
      <c r="U2657" s="2">
        <v>2</v>
      </c>
      <c r="V2657" s="2">
        <v>27</v>
      </c>
      <c r="W2657" s="2">
        <v>2</v>
      </c>
      <c r="X2657" s="2">
        <v>17</v>
      </c>
      <c r="AA2657" s="3" t="s">
        <v>40</v>
      </c>
      <c r="AB2657" s="2">
        <v>3</v>
      </c>
      <c r="AF2657" s="2">
        <v>22</v>
      </c>
      <c r="AG2657" s="2">
        <v>1</v>
      </c>
      <c r="AH2657" s="3" t="s">
        <v>2722</v>
      </c>
      <c r="AI2657" s="4">
        <v>45063</v>
      </c>
      <c r="AJ2657" s="3" t="s">
        <v>2780</v>
      </c>
      <c r="AK2657" s="3" t="s">
        <v>248</v>
      </c>
    </row>
    <row r="2658" spans="1:37" hidden="1" x14ac:dyDescent="0.25">
      <c r="A2658" t="str">
        <f t="shared" si="41"/>
        <v>2023_WA_Northam_Chickpea_DetailedTOS1VarietyCBA_CaptainWaterTrtRainFed</v>
      </c>
      <c r="B2658" s="2">
        <v>2023027</v>
      </c>
      <c r="C2658" s="3" t="s">
        <v>2712</v>
      </c>
      <c r="D2658" s="3" t="s">
        <v>248</v>
      </c>
      <c r="F2658" s="3" t="s">
        <v>249</v>
      </c>
      <c r="G2658" s="3" t="s">
        <v>43</v>
      </c>
      <c r="H2658" s="3" t="s">
        <v>253</v>
      </c>
      <c r="I2658" s="2">
        <v>67</v>
      </c>
      <c r="J2658" s="2">
        <v>34</v>
      </c>
      <c r="K2658" s="2">
        <v>3</v>
      </c>
      <c r="O2658" s="2">
        <v>5</v>
      </c>
      <c r="P2658" s="2">
        <v>9</v>
      </c>
      <c r="U2658" s="2">
        <v>4</v>
      </c>
      <c r="V2658" s="2">
        <v>27</v>
      </c>
      <c r="W2658" s="2">
        <v>3</v>
      </c>
      <c r="X2658" s="2">
        <v>17</v>
      </c>
      <c r="AA2658" s="3" t="s">
        <v>40</v>
      </c>
      <c r="AB2658" s="2">
        <v>1</v>
      </c>
      <c r="AF2658" s="2">
        <v>22</v>
      </c>
      <c r="AG2658" s="2">
        <v>1</v>
      </c>
      <c r="AH2658" s="3" t="s">
        <v>2722</v>
      </c>
      <c r="AI2658" s="4">
        <v>45063</v>
      </c>
      <c r="AJ2658" s="3" t="s">
        <v>2781</v>
      </c>
      <c r="AK2658" s="3" t="s">
        <v>248</v>
      </c>
    </row>
    <row r="2659" spans="1:37" hidden="1" x14ac:dyDescent="0.25">
      <c r="A2659" t="str">
        <f t="shared" si="41"/>
        <v>2023_WA_Northam_Chickpea_DetailedTOS1VarietyCBA_CaptainWaterTrtRainFed</v>
      </c>
      <c r="B2659" s="2">
        <v>2023027</v>
      </c>
      <c r="C2659" s="3" t="s">
        <v>2712</v>
      </c>
      <c r="D2659" s="3" t="s">
        <v>248</v>
      </c>
      <c r="F2659" s="3" t="s">
        <v>249</v>
      </c>
      <c r="G2659" s="3" t="s">
        <v>43</v>
      </c>
      <c r="H2659" s="3" t="s">
        <v>250</v>
      </c>
      <c r="I2659" s="2">
        <v>68</v>
      </c>
      <c r="J2659" s="2">
        <v>34</v>
      </c>
      <c r="K2659" s="2">
        <v>3</v>
      </c>
      <c r="O2659" s="2">
        <v>5</v>
      </c>
      <c r="P2659" s="2">
        <v>9</v>
      </c>
      <c r="U2659" s="2">
        <v>5</v>
      </c>
      <c r="V2659" s="2">
        <v>27</v>
      </c>
      <c r="W2659" s="2">
        <v>4</v>
      </c>
      <c r="X2659" s="2">
        <v>17</v>
      </c>
      <c r="Z2659" s="2">
        <v>32</v>
      </c>
      <c r="AA2659" s="3" t="s">
        <v>40</v>
      </c>
      <c r="AB2659" s="2">
        <v>1</v>
      </c>
      <c r="AF2659" s="2">
        <v>22</v>
      </c>
      <c r="AG2659" s="2">
        <v>1</v>
      </c>
      <c r="AH2659" s="3" t="s">
        <v>2722</v>
      </c>
      <c r="AI2659" s="4">
        <v>45063</v>
      </c>
      <c r="AJ2659" s="3" t="s">
        <v>2782</v>
      </c>
      <c r="AK2659" s="3" t="s">
        <v>248</v>
      </c>
    </row>
    <row r="2660" spans="1:37" hidden="1" x14ac:dyDescent="0.25">
      <c r="A2660" t="str">
        <f t="shared" si="41"/>
        <v>2023_WA_Northam_Chickpea_DetailedTOS1VarietyStrikerWaterTrtRainFed</v>
      </c>
      <c r="B2660" s="2">
        <v>2023027</v>
      </c>
      <c r="C2660" s="3" t="s">
        <v>2712</v>
      </c>
      <c r="D2660" s="3" t="s">
        <v>248</v>
      </c>
      <c r="F2660" s="3" t="s">
        <v>4179</v>
      </c>
      <c r="G2660" s="3" t="s">
        <v>43</v>
      </c>
      <c r="H2660" s="3" t="s">
        <v>250</v>
      </c>
      <c r="I2660" s="2">
        <v>69</v>
      </c>
      <c r="J2660" s="2">
        <v>35</v>
      </c>
      <c r="K2660" s="2">
        <v>3</v>
      </c>
      <c r="O2660" s="2">
        <v>5</v>
      </c>
      <c r="P2660" s="2">
        <v>9</v>
      </c>
      <c r="U2660" s="2">
        <v>1</v>
      </c>
      <c r="V2660" s="2">
        <v>28</v>
      </c>
      <c r="W2660" s="2">
        <v>1</v>
      </c>
      <c r="X2660" s="2">
        <v>18</v>
      </c>
      <c r="Z2660" s="2">
        <v>18</v>
      </c>
      <c r="AA2660" s="3" t="s">
        <v>40</v>
      </c>
      <c r="AB2660" s="2">
        <v>4</v>
      </c>
      <c r="AF2660" s="2">
        <v>22</v>
      </c>
      <c r="AG2660" s="2">
        <v>1</v>
      </c>
      <c r="AH2660" s="3" t="s">
        <v>2722</v>
      </c>
      <c r="AI2660" s="4">
        <v>45063</v>
      </c>
      <c r="AJ2660" s="3" t="s">
        <v>2783</v>
      </c>
      <c r="AK2660" s="3" t="s">
        <v>248</v>
      </c>
    </row>
    <row r="2661" spans="1:37" hidden="1" x14ac:dyDescent="0.25">
      <c r="A2661" t="str">
        <f t="shared" si="41"/>
        <v>2023_WA_Northam_Chickpea_DetailedTOS1VarietyStrikerWaterTrtRainFed</v>
      </c>
      <c r="B2661" s="2">
        <v>2023027</v>
      </c>
      <c r="C2661" s="3" t="s">
        <v>2712</v>
      </c>
      <c r="D2661" s="3" t="s">
        <v>248</v>
      </c>
      <c r="F2661" s="3" t="s">
        <v>4179</v>
      </c>
      <c r="G2661" s="3" t="s">
        <v>43</v>
      </c>
      <c r="H2661" s="3" t="s">
        <v>253</v>
      </c>
      <c r="I2661" s="2">
        <v>70</v>
      </c>
      <c r="J2661" s="2">
        <v>35</v>
      </c>
      <c r="K2661" s="2">
        <v>3</v>
      </c>
      <c r="O2661" s="2">
        <v>5</v>
      </c>
      <c r="P2661" s="2">
        <v>9</v>
      </c>
      <c r="U2661" s="2">
        <v>2</v>
      </c>
      <c r="V2661" s="2">
        <v>28</v>
      </c>
      <c r="W2661" s="2">
        <v>2</v>
      </c>
      <c r="X2661" s="2">
        <v>18</v>
      </c>
      <c r="AA2661" s="3" t="s">
        <v>40</v>
      </c>
      <c r="AB2661" s="2">
        <v>4</v>
      </c>
      <c r="AF2661" s="2">
        <v>22</v>
      </c>
      <c r="AG2661" s="2">
        <v>1</v>
      </c>
      <c r="AH2661" s="3" t="s">
        <v>2722</v>
      </c>
      <c r="AI2661" s="4">
        <v>45063</v>
      </c>
      <c r="AJ2661" s="3" t="s">
        <v>2784</v>
      </c>
      <c r="AK2661" s="3" t="s">
        <v>248</v>
      </c>
    </row>
    <row r="2662" spans="1:37" hidden="1" x14ac:dyDescent="0.25">
      <c r="A2662" t="str">
        <f t="shared" si="41"/>
        <v>2023_WA_Northam_Chickpea_DetailedTOS1VarietyDrummondWaterTrtRainFed</v>
      </c>
      <c r="B2662" s="2">
        <v>2023027</v>
      </c>
      <c r="C2662" s="3" t="s">
        <v>2712</v>
      </c>
      <c r="D2662" s="3" t="s">
        <v>248</v>
      </c>
      <c r="F2662" s="3" t="s">
        <v>4182</v>
      </c>
      <c r="G2662" s="3" t="s">
        <v>39</v>
      </c>
      <c r="H2662" s="3" t="s">
        <v>253</v>
      </c>
      <c r="I2662" s="2">
        <v>71</v>
      </c>
      <c r="J2662" s="2">
        <v>36</v>
      </c>
      <c r="K2662" s="2">
        <v>3</v>
      </c>
      <c r="O2662" s="2">
        <v>5</v>
      </c>
      <c r="P2662" s="2">
        <v>9</v>
      </c>
      <c r="U2662" s="2">
        <v>4</v>
      </c>
      <c r="V2662" s="2">
        <v>28</v>
      </c>
      <c r="W2662" s="2">
        <v>3</v>
      </c>
      <c r="X2662" s="2">
        <v>18</v>
      </c>
      <c r="AA2662" s="3" t="s">
        <v>40</v>
      </c>
      <c r="AB2662" s="2">
        <v>2</v>
      </c>
      <c r="AF2662" s="2">
        <v>22</v>
      </c>
      <c r="AG2662" s="2">
        <v>1</v>
      </c>
      <c r="AH2662" s="3" t="s">
        <v>2722</v>
      </c>
      <c r="AI2662" s="4">
        <v>45063</v>
      </c>
      <c r="AJ2662" s="3" t="s">
        <v>2785</v>
      </c>
      <c r="AK2662" s="3" t="s">
        <v>248</v>
      </c>
    </row>
    <row r="2663" spans="1:37" hidden="1" x14ac:dyDescent="0.25">
      <c r="A2663" t="str">
        <f t="shared" si="41"/>
        <v>2023_WA_Northam_Chickpea_DetailedTOS1VarietyDrummondWaterTrtRainFed</v>
      </c>
      <c r="B2663" s="2">
        <v>2023027</v>
      </c>
      <c r="C2663" s="3" t="s">
        <v>2712</v>
      </c>
      <c r="D2663" s="3" t="s">
        <v>248</v>
      </c>
      <c r="F2663" s="3" t="s">
        <v>4182</v>
      </c>
      <c r="G2663" s="3" t="s">
        <v>39</v>
      </c>
      <c r="H2663" s="3" t="s">
        <v>250</v>
      </c>
      <c r="I2663" s="2">
        <v>72</v>
      </c>
      <c r="J2663" s="2">
        <v>36</v>
      </c>
      <c r="K2663" s="2">
        <v>3</v>
      </c>
      <c r="O2663" s="2">
        <v>5</v>
      </c>
      <c r="P2663" s="2">
        <v>9</v>
      </c>
      <c r="U2663" s="2">
        <v>5</v>
      </c>
      <c r="V2663" s="2">
        <v>28</v>
      </c>
      <c r="W2663" s="2">
        <v>4</v>
      </c>
      <c r="X2663" s="2">
        <v>18</v>
      </c>
      <c r="Z2663" s="2">
        <v>31</v>
      </c>
      <c r="AA2663" s="3" t="s">
        <v>40</v>
      </c>
      <c r="AB2663" s="2">
        <v>2</v>
      </c>
      <c r="AF2663" s="2">
        <v>22</v>
      </c>
      <c r="AG2663" s="2">
        <v>1</v>
      </c>
      <c r="AH2663" s="3" t="s">
        <v>2722</v>
      </c>
      <c r="AI2663" s="4">
        <v>45063</v>
      </c>
      <c r="AJ2663" s="3" t="s">
        <v>2786</v>
      </c>
      <c r="AK2663" s="3" t="s">
        <v>248</v>
      </c>
    </row>
    <row r="2664" spans="1:37" hidden="1" x14ac:dyDescent="0.25">
      <c r="A2664" t="str">
        <f t="shared" si="41"/>
        <v>2023_WA_Northam_Chickpea_DetailedTOS2VarietyHatTrickWaterTrtRainFed</v>
      </c>
      <c r="B2664" s="2">
        <v>2023027</v>
      </c>
      <c r="C2664" s="3" t="s">
        <v>2712</v>
      </c>
      <c r="D2664" s="3" t="s">
        <v>248</v>
      </c>
      <c r="F2664" s="3" t="s">
        <v>4178</v>
      </c>
      <c r="G2664" s="3" t="s">
        <v>39</v>
      </c>
      <c r="H2664" s="3" t="s">
        <v>250</v>
      </c>
      <c r="I2664" s="2">
        <v>73</v>
      </c>
      <c r="J2664" s="2">
        <v>37</v>
      </c>
      <c r="K2664" s="2">
        <v>3</v>
      </c>
      <c r="O2664" s="2">
        <v>5</v>
      </c>
      <c r="P2664" s="2">
        <v>10</v>
      </c>
      <c r="U2664" s="2">
        <v>1</v>
      </c>
      <c r="V2664" s="2">
        <v>29</v>
      </c>
      <c r="W2664" s="2">
        <v>1</v>
      </c>
      <c r="X2664" s="2">
        <v>19</v>
      </c>
      <c r="Z2664" s="2">
        <v>19</v>
      </c>
      <c r="AA2664" s="3" t="s">
        <v>40</v>
      </c>
      <c r="AB2664" s="2">
        <v>3</v>
      </c>
      <c r="AF2664" s="2">
        <v>22</v>
      </c>
      <c r="AG2664" s="2">
        <v>2</v>
      </c>
      <c r="AH2664" s="3" t="s">
        <v>2713</v>
      </c>
      <c r="AI2664" s="4">
        <v>45091</v>
      </c>
      <c r="AJ2664" s="3" t="s">
        <v>2787</v>
      </c>
      <c r="AK2664" s="3" t="s">
        <v>248</v>
      </c>
    </row>
    <row r="2665" spans="1:37" hidden="1" x14ac:dyDescent="0.25">
      <c r="A2665" t="str">
        <f t="shared" si="41"/>
        <v>2023_WA_Northam_Chickpea_DetailedTOS2VarietyHatTrickWaterTrtRainFed</v>
      </c>
      <c r="B2665" s="2">
        <v>2023027</v>
      </c>
      <c r="C2665" s="3" t="s">
        <v>2712</v>
      </c>
      <c r="D2665" s="3" t="s">
        <v>248</v>
      </c>
      <c r="F2665" s="3" t="s">
        <v>4178</v>
      </c>
      <c r="G2665" s="3" t="s">
        <v>39</v>
      </c>
      <c r="H2665" s="3" t="s">
        <v>253</v>
      </c>
      <c r="I2665" s="2">
        <v>74</v>
      </c>
      <c r="J2665" s="2">
        <v>37</v>
      </c>
      <c r="K2665" s="2">
        <v>3</v>
      </c>
      <c r="O2665" s="2">
        <v>5</v>
      </c>
      <c r="P2665" s="2">
        <v>10</v>
      </c>
      <c r="U2665" s="2">
        <v>2</v>
      </c>
      <c r="V2665" s="2">
        <v>29</v>
      </c>
      <c r="W2665" s="2">
        <v>2</v>
      </c>
      <c r="X2665" s="2">
        <v>19</v>
      </c>
      <c r="AA2665" s="3" t="s">
        <v>40</v>
      </c>
      <c r="AB2665" s="2">
        <v>3</v>
      </c>
      <c r="AF2665" s="2">
        <v>22</v>
      </c>
      <c r="AG2665" s="2">
        <v>2</v>
      </c>
      <c r="AH2665" s="3" t="s">
        <v>2713</v>
      </c>
      <c r="AI2665" s="4">
        <v>45091</v>
      </c>
      <c r="AJ2665" s="3" t="s">
        <v>2788</v>
      </c>
      <c r="AK2665" s="3" t="s">
        <v>248</v>
      </c>
    </row>
    <row r="2666" spans="1:37" hidden="1" x14ac:dyDescent="0.25">
      <c r="A2666" t="str">
        <f t="shared" si="41"/>
        <v>2023_WA_Northam_Chickpea_DetailedTOS2VarietyCBA_CaptainWaterTrtRainFed</v>
      </c>
      <c r="B2666" s="2">
        <v>2023027</v>
      </c>
      <c r="C2666" s="3" t="s">
        <v>2712</v>
      </c>
      <c r="D2666" s="3" t="s">
        <v>248</v>
      </c>
      <c r="F2666" s="3" t="s">
        <v>249</v>
      </c>
      <c r="G2666" s="3" t="s">
        <v>43</v>
      </c>
      <c r="H2666" s="3" t="s">
        <v>253</v>
      </c>
      <c r="I2666" s="2">
        <v>75</v>
      </c>
      <c r="J2666" s="2">
        <v>38</v>
      </c>
      <c r="K2666" s="2">
        <v>3</v>
      </c>
      <c r="O2666" s="2">
        <v>5</v>
      </c>
      <c r="P2666" s="2">
        <v>10</v>
      </c>
      <c r="U2666" s="2">
        <v>4</v>
      </c>
      <c r="V2666" s="2">
        <v>29</v>
      </c>
      <c r="W2666" s="2">
        <v>3</v>
      </c>
      <c r="X2666" s="2">
        <v>19</v>
      </c>
      <c r="AA2666" s="3" t="s">
        <v>40</v>
      </c>
      <c r="AB2666" s="2">
        <v>1</v>
      </c>
      <c r="AF2666" s="2">
        <v>22</v>
      </c>
      <c r="AG2666" s="2">
        <v>2</v>
      </c>
      <c r="AH2666" s="3" t="s">
        <v>2713</v>
      </c>
      <c r="AI2666" s="4">
        <v>45091</v>
      </c>
      <c r="AJ2666" s="3" t="s">
        <v>2789</v>
      </c>
      <c r="AK2666" s="3" t="s">
        <v>248</v>
      </c>
    </row>
    <row r="2667" spans="1:37" hidden="1" x14ac:dyDescent="0.25">
      <c r="A2667" t="str">
        <f t="shared" si="41"/>
        <v>2023_WA_Northam_Chickpea_DetailedTOS2VarietyCBA_CaptainWaterTrtRainFed</v>
      </c>
      <c r="B2667" s="2">
        <v>2023027</v>
      </c>
      <c r="C2667" s="3" t="s">
        <v>2712</v>
      </c>
      <c r="D2667" s="3" t="s">
        <v>248</v>
      </c>
      <c r="F2667" s="3" t="s">
        <v>249</v>
      </c>
      <c r="G2667" s="3" t="s">
        <v>43</v>
      </c>
      <c r="H2667" s="3" t="s">
        <v>250</v>
      </c>
      <c r="I2667" s="2">
        <v>76</v>
      </c>
      <c r="J2667" s="2">
        <v>38</v>
      </c>
      <c r="K2667" s="2">
        <v>3</v>
      </c>
      <c r="O2667" s="2">
        <v>5</v>
      </c>
      <c r="P2667" s="2">
        <v>10</v>
      </c>
      <c r="U2667" s="2">
        <v>5</v>
      </c>
      <c r="V2667" s="2">
        <v>29</v>
      </c>
      <c r="W2667" s="2">
        <v>4</v>
      </c>
      <c r="X2667" s="2">
        <v>19</v>
      </c>
      <c r="Z2667" s="2">
        <v>30</v>
      </c>
      <c r="AA2667" s="3" t="s">
        <v>40</v>
      </c>
      <c r="AB2667" s="2">
        <v>1</v>
      </c>
      <c r="AF2667" s="2">
        <v>22</v>
      </c>
      <c r="AG2667" s="2">
        <v>2</v>
      </c>
      <c r="AH2667" s="3" t="s">
        <v>2713</v>
      </c>
      <c r="AI2667" s="4">
        <v>45091</v>
      </c>
      <c r="AJ2667" s="3" t="s">
        <v>2790</v>
      </c>
      <c r="AK2667" s="3" t="s">
        <v>248</v>
      </c>
    </row>
    <row r="2668" spans="1:37" hidden="1" x14ac:dyDescent="0.25">
      <c r="A2668" t="str">
        <f t="shared" si="41"/>
        <v>2023_WA_Northam_Chickpea_DetailedTOS2VarietyDrummondWaterTrtRainFed</v>
      </c>
      <c r="B2668" s="2">
        <v>2023027</v>
      </c>
      <c r="C2668" s="3" t="s">
        <v>2712</v>
      </c>
      <c r="D2668" s="3" t="s">
        <v>248</v>
      </c>
      <c r="F2668" s="3" t="s">
        <v>4182</v>
      </c>
      <c r="G2668" s="3" t="s">
        <v>39</v>
      </c>
      <c r="H2668" s="3" t="s">
        <v>250</v>
      </c>
      <c r="I2668" s="2">
        <v>77</v>
      </c>
      <c r="J2668" s="2">
        <v>39</v>
      </c>
      <c r="K2668" s="2">
        <v>3</v>
      </c>
      <c r="O2668" s="2">
        <v>5</v>
      </c>
      <c r="P2668" s="2">
        <v>10</v>
      </c>
      <c r="U2668" s="2">
        <v>1</v>
      </c>
      <c r="V2668" s="2">
        <v>30</v>
      </c>
      <c r="W2668" s="2">
        <v>1</v>
      </c>
      <c r="X2668" s="2">
        <v>20</v>
      </c>
      <c r="Z2668" s="2">
        <v>20</v>
      </c>
      <c r="AA2668" s="3" t="s">
        <v>40</v>
      </c>
      <c r="AB2668" s="2">
        <v>2</v>
      </c>
      <c r="AF2668" s="2">
        <v>22</v>
      </c>
      <c r="AG2668" s="2">
        <v>2</v>
      </c>
      <c r="AH2668" s="3" t="s">
        <v>2713</v>
      </c>
      <c r="AI2668" s="4">
        <v>45091</v>
      </c>
      <c r="AJ2668" s="3" t="s">
        <v>2791</v>
      </c>
      <c r="AK2668" s="3" t="s">
        <v>248</v>
      </c>
    </row>
    <row r="2669" spans="1:37" hidden="1" x14ac:dyDescent="0.25">
      <c r="A2669" t="str">
        <f t="shared" si="41"/>
        <v>2023_WA_Northam_Chickpea_DetailedTOS2VarietyDrummondWaterTrtRainFed</v>
      </c>
      <c r="B2669" s="2">
        <v>2023027</v>
      </c>
      <c r="C2669" s="3" t="s">
        <v>2712</v>
      </c>
      <c r="D2669" s="3" t="s">
        <v>248</v>
      </c>
      <c r="F2669" s="3" t="s">
        <v>4182</v>
      </c>
      <c r="G2669" s="3" t="s">
        <v>39</v>
      </c>
      <c r="H2669" s="3" t="s">
        <v>253</v>
      </c>
      <c r="I2669" s="2">
        <v>78</v>
      </c>
      <c r="J2669" s="2">
        <v>39</v>
      </c>
      <c r="K2669" s="2">
        <v>3</v>
      </c>
      <c r="O2669" s="2">
        <v>5</v>
      </c>
      <c r="P2669" s="2">
        <v>10</v>
      </c>
      <c r="U2669" s="2">
        <v>2</v>
      </c>
      <c r="V2669" s="2">
        <v>30</v>
      </c>
      <c r="W2669" s="2">
        <v>2</v>
      </c>
      <c r="X2669" s="2">
        <v>20</v>
      </c>
      <c r="AA2669" s="3" t="s">
        <v>40</v>
      </c>
      <c r="AB2669" s="2">
        <v>2</v>
      </c>
      <c r="AF2669" s="2">
        <v>22</v>
      </c>
      <c r="AG2669" s="2">
        <v>2</v>
      </c>
      <c r="AH2669" s="3" t="s">
        <v>2713</v>
      </c>
      <c r="AI2669" s="4">
        <v>45091</v>
      </c>
      <c r="AJ2669" s="3" t="s">
        <v>2792</v>
      </c>
      <c r="AK2669" s="3" t="s">
        <v>248</v>
      </c>
    </row>
    <row r="2670" spans="1:37" hidden="1" x14ac:dyDescent="0.25">
      <c r="A2670" t="str">
        <f t="shared" si="41"/>
        <v>2023_WA_Northam_Chickpea_DetailedTOS2VarietyStrikerWaterTrtRainFed</v>
      </c>
      <c r="B2670" s="2">
        <v>2023027</v>
      </c>
      <c r="C2670" s="3" t="s">
        <v>2712</v>
      </c>
      <c r="D2670" s="3" t="s">
        <v>248</v>
      </c>
      <c r="F2670" s="3" t="s">
        <v>4179</v>
      </c>
      <c r="G2670" s="3" t="s">
        <v>43</v>
      </c>
      <c r="H2670" s="3" t="s">
        <v>253</v>
      </c>
      <c r="I2670" s="2">
        <v>79</v>
      </c>
      <c r="J2670" s="2">
        <v>40</v>
      </c>
      <c r="K2670" s="2">
        <v>3</v>
      </c>
      <c r="O2670" s="2">
        <v>5</v>
      </c>
      <c r="P2670" s="2">
        <v>10</v>
      </c>
      <c r="U2670" s="2">
        <v>4</v>
      </c>
      <c r="V2670" s="2">
        <v>30</v>
      </c>
      <c r="W2670" s="2">
        <v>3</v>
      </c>
      <c r="X2670" s="2">
        <v>20</v>
      </c>
      <c r="AA2670" s="3" t="s">
        <v>40</v>
      </c>
      <c r="AB2670" s="2">
        <v>4</v>
      </c>
      <c r="AF2670" s="2">
        <v>22</v>
      </c>
      <c r="AG2670" s="2">
        <v>2</v>
      </c>
      <c r="AH2670" s="3" t="s">
        <v>2713</v>
      </c>
      <c r="AI2670" s="4">
        <v>45091</v>
      </c>
      <c r="AJ2670" s="3" t="s">
        <v>2793</v>
      </c>
      <c r="AK2670" s="3" t="s">
        <v>248</v>
      </c>
    </row>
    <row r="2671" spans="1:37" hidden="1" x14ac:dyDescent="0.25">
      <c r="A2671" t="str">
        <f t="shared" si="41"/>
        <v>2023_WA_Northam_Chickpea_DetailedTOS2VarietyStrikerWaterTrtRainFed</v>
      </c>
      <c r="B2671" s="2">
        <v>2023027</v>
      </c>
      <c r="C2671" s="3" t="s">
        <v>2712</v>
      </c>
      <c r="D2671" s="3" t="s">
        <v>248</v>
      </c>
      <c r="F2671" s="3" t="s">
        <v>4179</v>
      </c>
      <c r="G2671" s="3" t="s">
        <v>43</v>
      </c>
      <c r="H2671" s="3" t="s">
        <v>250</v>
      </c>
      <c r="I2671" s="2">
        <v>80</v>
      </c>
      <c r="J2671" s="2">
        <v>40</v>
      </c>
      <c r="K2671" s="2">
        <v>3</v>
      </c>
      <c r="O2671" s="2">
        <v>5</v>
      </c>
      <c r="P2671" s="2">
        <v>10</v>
      </c>
      <c r="U2671" s="2">
        <v>5</v>
      </c>
      <c r="V2671" s="2">
        <v>30</v>
      </c>
      <c r="W2671" s="2">
        <v>4</v>
      </c>
      <c r="X2671" s="2">
        <v>20</v>
      </c>
      <c r="Z2671" s="2">
        <v>29</v>
      </c>
      <c r="AA2671" s="3" t="s">
        <v>40</v>
      </c>
      <c r="AB2671" s="2">
        <v>4</v>
      </c>
      <c r="AF2671" s="2">
        <v>22</v>
      </c>
      <c r="AG2671" s="2">
        <v>2</v>
      </c>
      <c r="AH2671" s="3" t="s">
        <v>2713</v>
      </c>
      <c r="AI2671" s="4">
        <v>45091</v>
      </c>
      <c r="AJ2671" s="3" t="s">
        <v>2794</v>
      </c>
      <c r="AK2671" s="3" t="s">
        <v>248</v>
      </c>
    </row>
    <row r="2672" spans="1:37" hidden="1" x14ac:dyDescent="0.25">
      <c r="A2672" t="str">
        <f t="shared" si="41"/>
        <v>2023_WA_Northam_Chickpea_DetailedTOS1VarietyDrummondWaterTrtIrrigated</v>
      </c>
      <c r="B2672" s="2">
        <v>2023027</v>
      </c>
      <c r="C2672" s="3" t="s">
        <v>2712</v>
      </c>
      <c r="D2672" s="3" t="s">
        <v>248</v>
      </c>
      <c r="F2672" s="3" t="s">
        <v>4182</v>
      </c>
      <c r="G2672" s="3" t="s">
        <v>39</v>
      </c>
      <c r="H2672" s="3" t="s">
        <v>250</v>
      </c>
      <c r="I2672" s="2">
        <v>81</v>
      </c>
      <c r="J2672" s="2">
        <v>41</v>
      </c>
      <c r="K2672" s="2">
        <v>3</v>
      </c>
      <c r="O2672" s="2">
        <v>6</v>
      </c>
      <c r="P2672" s="2">
        <v>11</v>
      </c>
      <c r="U2672" s="2">
        <v>1</v>
      </c>
      <c r="V2672" s="2">
        <v>33</v>
      </c>
      <c r="W2672" s="2">
        <v>1</v>
      </c>
      <c r="X2672" s="2">
        <v>21</v>
      </c>
      <c r="Z2672" s="2">
        <v>21</v>
      </c>
      <c r="AA2672" s="3" t="s">
        <v>57</v>
      </c>
      <c r="AB2672" s="2">
        <v>2</v>
      </c>
      <c r="AF2672" s="2">
        <v>22</v>
      </c>
      <c r="AG2672" s="2">
        <v>1</v>
      </c>
      <c r="AH2672" s="3" t="s">
        <v>2722</v>
      </c>
      <c r="AI2672" s="4">
        <v>45063</v>
      </c>
      <c r="AJ2672" s="3" t="s">
        <v>2795</v>
      </c>
      <c r="AK2672" s="3" t="s">
        <v>248</v>
      </c>
    </row>
    <row r="2673" spans="1:37" hidden="1" x14ac:dyDescent="0.25">
      <c r="A2673" t="str">
        <f t="shared" si="41"/>
        <v>2023_WA_Northam_Chickpea_DetailedTOS1VarietyDrummondWaterTrtIrrigated</v>
      </c>
      <c r="B2673" s="2">
        <v>2023027</v>
      </c>
      <c r="C2673" s="3" t="s">
        <v>2712</v>
      </c>
      <c r="D2673" s="3" t="s">
        <v>248</v>
      </c>
      <c r="F2673" s="3" t="s">
        <v>4182</v>
      </c>
      <c r="G2673" s="3" t="s">
        <v>39</v>
      </c>
      <c r="H2673" s="3" t="s">
        <v>253</v>
      </c>
      <c r="I2673" s="2">
        <v>82</v>
      </c>
      <c r="J2673" s="2">
        <v>41</v>
      </c>
      <c r="K2673" s="2">
        <v>3</v>
      </c>
      <c r="O2673" s="2">
        <v>6</v>
      </c>
      <c r="P2673" s="2">
        <v>11</v>
      </c>
      <c r="U2673" s="2">
        <v>2</v>
      </c>
      <c r="V2673" s="2">
        <v>33</v>
      </c>
      <c r="W2673" s="2">
        <v>2</v>
      </c>
      <c r="X2673" s="2">
        <v>21</v>
      </c>
      <c r="AA2673" s="3" t="s">
        <v>57</v>
      </c>
      <c r="AB2673" s="2">
        <v>2</v>
      </c>
      <c r="AF2673" s="2">
        <v>22</v>
      </c>
      <c r="AG2673" s="2">
        <v>1</v>
      </c>
      <c r="AH2673" s="3" t="s">
        <v>2722</v>
      </c>
      <c r="AI2673" s="4">
        <v>45063</v>
      </c>
      <c r="AJ2673" s="3" t="s">
        <v>2796</v>
      </c>
      <c r="AK2673" s="3" t="s">
        <v>248</v>
      </c>
    </row>
    <row r="2674" spans="1:37" hidden="1" x14ac:dyDescent="0.25">
      <c r="A2674" t="str">
        <f t="shared" si="41"/>
        <v>2023_WA_Northam_Chickpea_DetailedTOS1VarietyStrikerWaterTrtIrrigated</v>
      </c>
      <c r="B2674" s="2">
        <v>2023027</v>
      </c>
      <c r="C2674" s="3" t="s">
        <v>2712</v>
      </c>
      <c r="D2674" s="3" t="s">
        <v>248</v>
      </c>
      <c r="F2674" s="3" t="s">
        <v>4179</v>
      </c>
      <c r="G2674" s="3" t="s">
        <v>43</v>
      </c>
      <c r="H2674" s="3" t="s">
        <v>253</v>
      </c>
      <c r="I2674" s="2">
        <v>83</v>
      </c>
      <c r="J2674" s="2">
        <v>42</v>
      </c>
      <c r="K2674" s="2">
        <v>3</v>
      </c>
      <c r="O2674" s="2">
        <v>6</v>
      </c>
      <c r="P2674" s="2">
        <v>11</v>
      </c>
      <c r="U2674" s="2">
        <v>4</v>
      </c>
      <c r="V2674" s="2">
        <v>33</v>
      </c>
      <c r="W2674" s="2">
        <v>3</v>
      </c>
      <c r="X2674" s="2">
        <v>21</v>
      </c>
      <c r="AA2674" s="3" t="s">
        <v>57</v>
      </c>
      <c r="AB2674" s="2">
        <v>4</v>
      </c>
      <c r="AF2674" s="2">
        <v>22</v>
      </c>
      <c r="AG2674" s="2">
        <v>1</v>
      </c>
      <c r="AH2674" s="3" t="s">
        <v>2722</v>
      </c>
      <c r="AI2674" s="4">
        <v>45063</v>
      </c>
      <c r="AJ2674" s="3" t="s">
        <v>2797</v>
      </c>
      <c r="AK2674" s="3" t="s">
        <v>248</v>
      </c>
    </row>
    <row r="2675" spans="1:37" hidden="1" x14ac:dyDescent="0.25">
      <c r="A2675" t="str">
        <f t="shared" si="41"/>
        <v>2023_WA_Northam_Chickpea_DetailedTOS1VarietyStrikerWaterTrtIrrigated</v>
      </c>
      <c r="B2675" s="2">
        <v>2023027</v>
      </c>
      <c r="C2675" s="3" t="s">
        <v>2712</v>
      </c>
      <c r="D2675" s="3" t="s">
        <v>248</v>
      </c>
      <c r="F2675" s="3" t="s">
        <v>4179</v>
      </c>
      <c r="G2675" s="3" t="s">
        <v>43</v>
      </c>
      <c r="H2675" s="3" t="s">
        <v>250</v>
      </c>
      <c r="I2675" s="2">
        <v>84</v>
      </c>
      <c r="J2675" s="2">
        <v>42</v>
      </c>
      <c r="K2675" s="2">
        <v>3</v>
      </c>
      <c r="O2675" s="2">
        <v>6</v>
      </c>
      <c r="P2675" s="2">
        <v>11</v>
      </c>
      <c r="U2675" s="2">
        <v>5</v>
      </c>
      <c r="V2675" s="2">
        <v>33</v>
      </c>
      <c r="W2675" s="2">
        <v>4</v>
      </c>
      <c r="X2675" s="2">
        <v>21</v>
      </c>
      <c r="Z2675" s="2">
        <v>28</v>
      </c>
      <c r="AA2675" s="3" t="s">
        <v>57</v>
      </c>
      <c r="AB2675" s="2">
        <v>4</v>
      </c>
      <c r="AF2675" s="2">
        <v>22</v>
      </c>
      <c r="AG2675" s="2">
        <v>1</v>
      </c>
      <c r="AH2675" s="3" t="s">
        <v>2722</v>
      </c>
      <c r="AI2675" s="4">
        <v>45063</v>
      </c>
      <c r="AJ2675" s="3" t="s">
        <v>2798</v>
      </c>
      <c r="AK2675" s="3" t="s">
        <v>248</v>
      </c>
    </row>
    <row r="2676" spans="1:37" hidden="1" x14ac:dyDescent="0.25">
      <c r="A2676" t="str">
        <f t="shared" si="41"/>
        <v>2023_WA_Northam_Chickpea_DetailedTOS1VarietyCBA_CaptainWaterTrtIrrigated</v>
      </c>
      <c r="B2676" s="2">
        <v>2023027</v>
      </c>
      <c r="C2676" s="3" t="s">
        <v>2712</v>
      </c>
      <c r="D2676" s="3" t="s">
        <v>248</v>
      </c>
      <c r="F2676" s="3" t="s">
        <v>249</v>
      </c>
      <c r="G2676" s="3" t="s">
        <v>43</v>
      </c>
      <c r="H2676" s="3" t="s">
        <v>250</v>
      </c>
      <c r="I2676" s="2">
        <v>85</v>
      </c>
      <c r="J2676" s="2">
        <v>43</v>
      </c>
      <c r="K2676" s="2">
        <v>3</v>
      </c>
      <c r="O2676" s="2">
        <v>6</v>
      </c>
      <c r="P2676" s="2">
        <v>11</v>
      </c>
      <c r="U2676" s="2">
        <v>1</v>
      </c>
      <c r="V2676" s="2">
        <v>34</v>
      </c>
      <c r="W2676" s="2">
        <v>1</v>
      </c>
      <c r="X2676" s="2">
        <v>22</v>
      </c>
      <c r="Z2676" s="2">
        <v>22</v>
      </c>
      <c r="AA2676" s="3" t="s">
        <v>57</v>
      </c>
      <c r="AB2676" s="2">
        <v>1</v>
      </c>
      <c r="AF2676" s="2">
        <v>22</v>
      </c>
      <c r="AG2676" s="2">
        <v>1</v>
      </c>
      <c r="AH2676" s="3" t="s">
        <v>2722</v>
      </c>
      <c r="AI2676" s="4">
        <v>45063</v>
      </c>
      <c r="AJ2676" s="3" t="s">
        <v>2799</v>
      </c>
      <c r="AK2676" s="3" t="s">
        <v>248</v>
      </c>
    </row>
    <row r="2677" spans="1:37" hidden="1" x14ac:dyDescent="0.25">
      <c r="A2677" t="str">
        <f t="shared" si="41"/>
        <v>2023_WA_Northam_Chickpea_DetailedTOS1VarietyCBA_CaptainWaterTrtIrrigated</v>
      </c>
      <c r="B2677" s="2">
        <v>2023027</v>
      </c>
      <c r="C2677" s="3" t="s">
        <v>2712</v>
      </c>
      <c r="D2677" s="3" t="s">
        <v>248</v>
      </c>
      <c r="F2677" s="3" t="s">
        <v>249</v>
      </c>
      <c r="G2677" s="3" t="s">
        <v>43</v>
      </c>
      <c r="H2677" s="3" t="s">
        <v>253</v>
      </c>
      <c r="I2677" s="2">
        <v>86</v>
      </c>
      <c r="J2677" s="2">
        <v>43</v>
      </c>
      <c r="K2677" s="2">
        <v>3</v>
      </c>
      <c r="O2677" s="2">
        <v>6</v>
      </c>
      <c r="P2677" s="2">
        <v>11</v>
      </c>
      <c r="U2677" s="2">
        <v>2</v>
      </c>
      <c r="V2677" s="2">
        <v>34</v>
      </c>
      <c r="W2677" s="2">
        <v>2</v>
      </c>
      <c r="X2677" s="2">
        <v>22</v>
      </c>
      <c r="AA2677" s="3" t="s">
        <v>57</v>
      </c>
      <c r="AB2677" s="2">
        <v>1</v>
      </c>
      <c r="AF2677" s="2">
        <v>22</v>
      </c>
      <c r="AG2677" s="2">
        <v>1</v>
      </c>
      <c r="AH2677" s="3" t="s">
        <v>2722</v>
      </c>
      <c r="AI2677" s="4">
        <v>45063</v>
      </c>
      <c r="AJ2677" s="3" t="s">
        <v>2800</v>
      </c>
      <c r="AK2677" s="3" t="s">
        <v>248</v>
      </c>
    </row>
    <row r="2678" spans="1:37" hidden="1" x14ac:dyDescent="0.25">
      <c r="A2678" t="str">
        <f t="shared" si="41"/>
        <v>2023_WA_Northam_Chickpea_DetailedTOS1VarietyHatTrickWaterTrtIrrigated</v>
      </c>
      <c r="B2678" s="2">
        <v>2023027</v>
      </c>
      <c r="C2678" s="3" t="s">
        <v>2712</v>
      </c>
      <c r="D2678" s="3" t="s">
        <v>248</v>
      </c>
      <c r="F2678" s="3" t="s">
        <v>4178</v>
      </c>
      <c r="G2678" s="3" t="s">
        <v>39</v>
      </c>
      <c r="H2678" s="3" t="s">
        <v>253</v>
      </c>
      <c r="I2678" s="2">
        <v>87</v>
      </c>
      <c r="J2678" s="2">
        <v>44</v>
      </c>
      <c r="K2678" s="2">
        <v>3</v>
      </c>
      <c r="O2678" s="2">
        <v>6</v>
      </c>
      <c r="P2678" s="2">
        <v>11</v>
      </c>
      <c r="U2678" s="2">
        <v>4</v>
      </c>
      <c r="V2678" s="2">
        <v>34</v>
      </c>
      <c r="W2678" s="2">
        <v>3</v>
      </c>
      <c r="X2678" s="2">
        <v>22</v>
      </c>
      <c r="AA2678" s="3" t="s">
        <v>57</v>
      </c>
      <c r="AB2678" s="2">
        <v>3</v>
      </c>
      <c r="AF2678" s="2">
        <v>22</v>
      </c>
      <c r="AG2678" s="2">
        <v>1</v>
      </c>
      <c r="AH2678" s="3" t="s">
        <v>2722</v>
      </c>
      <c r="AI2678" s="4">
        <v>45063</v>
      </c>
      <c r="AJ2678" s="3" t="s">
        <v>2801</v>
      </c>
      <c r="AK2678" s="3" t="s">
        <v>248</v>
      </c>
    </row>
    <row r="2679" spans="1:37" hidden="1" x14ac:dyDescent="0.25">
      <c r="A2679" t="str">
        <f t="shared" si="41"/>
        <v>2023_WA_Northam_Chickpea_DetailedTOS1VarietyHatTrickWaterTrtIrrigated</v>
      </c>
      <c r="B2679" s="2">
        <v>2023027</v>
      </c>
      <c r="C2679" s="3" t="s">
        <v>2712</v>
      </c>
      <c r="D2679" s="3" t="s">
        <v>248</v>
      </c>
      <c r="F2679" s="3" t="s">
        <v>4178</v>
      </c>
      <c r="G2679" s="3" t="s">
        <v>39</v>
      </c>
      <c r="H2679" s="3" t="s">
        <v>250</v>
      </c>
      <c r="I2679" s="2">
        <v>88</v>
      </c>
      <c r="J2679" s="2">
        <v>44</v>
      </c>
      <c r="K2679" s="2">
        <v>3</v>
      </c>
      <c r="O2679" s="2">
        <v>6</v>
      </c>
      <c r="P2679" s="2">
        <v>11</v>
      </c>
      <c r="U2679" s="2">
        <v>5</v>
      </c>
      <c r="V2679" s="2">
        <v>34</v>
      </c>
      <c r="W2679" s="2">
        <v>4</v>
      </c>
      <c r="X2679" s="2">
        <v>22</v>
      </c>
      <c r="Z2679" s="2">
        <v>27</v>
      </c>
      <c r="AA2679" s="3" t="s">
        <v>57</v>
      </c>
      <c r="AB2679" s="2">
        <v>3</v>
      </c>
      <c r="AF2679" s="2">
        <v>22</v>
      </c>
      <c r="AG2679" s="2">
        <v>1</v>
      </c>
      <c r="AH2679" s="3" t="s">
        <v>2722</v>
      </c>
      <c r="AI2679" s="4">
        <v>45063</v>
      </c>
      <c r="AJ2679" s="3" t="s">
        <v>2802</v>
      </c>
      <c r="AK2679" s="3" t="s">
        <v>248</v>
      </c>
    </row>
    <row r="2680" spans="1:37" hidden="1" x14ac:dyDescent="0.25">
      <c r="A2680" t="str">
        <f t="shared" si="41"/>
        <v>2023_WA_Northam_Chickpea_DetailedTOS2VarietyDrummondWaterTrtIrrigated</v>
      </c>
      <c r="B2680" s="2">
        <v>2023027</v>
      </c>
      <c r="C2680" s="3" t="s">
        <v>2712</v>
      </c>
      <c r="D2680" s="3" t="s">
        <v>248</v>
      </c>
      <c r="F2680" s="3" t="s">
        <v>4182</v>
      </c>
      <c r="G2680" s="3" t="s">
        <v>39</v>
      </c>
      <c r="H2680" s="3" t="s">
        <v>250</v>
      </c>
      <c r="I2680" s="2">
        <v>89</v>
      </c>
      <c r="J2680" s="2">
        <v>45</v>
      </c>
      <c r="K2680" s="2">
        <v>3</v>
      </c>
      <c r="O2680" s="2">
        <v>6</v>
      </c>
      <c r="P2680" s="2">
        <v>12</v>
      </c>
      <c r="U2680" s="2">
        <v>1</v>
      </c>
      <c r="V2680" s="2">
        <v>37</v>
      </c>
      <c r="W2680" s="2">
        <v>1</v>
      </c>
      <c r="X2680" s="2">
        <v>23</v>
      </c>
      <c r="Z2680" s="2">
        <v>23</v>
      </c>
      <c r="AA2680" s="3" t="s">
        <v>57</v>
      </c>
      <c r="AB2680" s="2">
        <v>2</v>
      </c>
      <c r="AF2680" s="2">
        <v>22</v>
      </c>
      <c r="AG2680" s="2">
        <v>2</v>
      </c>
      <c r="AH2680" s="3" t="s">
        <v>2713</v>
      </c>
      <c r="AI2680" s="4">
        <v>45091</v>
      </c>
      <c r="AJ2680" s="3" t="s">
        <v>2803</v>
      </c>
      <c r="AK2680" s="3" t="s">
        <v>248</v>
      </c>
    </row>
    <row r="2681" spans="1:37" hidden="1" x14ac:dyDescent="0.25">
      <c r="A2681" t="str">
        <f t="shared" si="41"/>
        <v>2023_WA_Northam_Chickpea_DetailedTOS2VarietyDrummondWaterTrtIrrigated</v>
      </c>
      <c r="B2681" s="2">
        <v>2023027</v>
      </c>
      <c r="C2681" s="3" t="s">
        <v>2712</v>
      </c>
      <c r="D2681" s="3" t="s">
        <v>248</v>
      </c>
      <c r="F2681" s="3" t="s">
        <v>4182</v>
      </c>
      <c r="G2681" s="3" t="s">
        <v>39</v>
      </c>
      <c r="H2681" s="3" t="s">
        <v>253</v>
      </c>
      <c r="I2681" s="2">
        <v>90</v>
      </c>
      <c r="J2681" s="2">
        <v>45</v>
      </c>
      <c r="K2681" s="2">
        <v>3</v>
      </c>
      <c r="O2681" s="2">
        <v>6</v>
      </c>
      <c r="P2681" s="2">
        <v>12</v>
      </c>
      <c r="U2681" s="2">
        <v>2</v>
      </c>
      <c r="V2681" s="2">
        <v>37</v>
      </c>
      <c r="W2681" s="2">
        <v>2</v>
      </c>
      <c r="X2681" s="2">
        <v>23</v>
      </c>
      <c r="AA2681" s="3" t="s">
        <v>57</v>
      </c>
      <c r="AB2681" s="2">
        <v>2</v>
      </c>
      <c r="AF2681" s="2">
        <v>22</v>
      </c>
      <c r="AG2681" s="2">
        <v>2</v>
      </c>
      <c r="AH2681" s="3" t="s">
        <v>2713</v>
      </c>
      <c r="AI2681" s="4">
        <v>45091</v>
      </c>
      <c r="AJ2681" s="3" t="s">
        <v>2804</v>
      </c>
      <c r="AK2681" s="3" t="s">
        <v>248</v>
      </c>
    </row>
    <row r="2682" spans="1:37" hidden="1" x14ac:dyDescent="0.25">
      <c r="A2682" t="str">
        <f t="shared" si="41"/>
        <v>2023_WA_Northam_Chickpea_DetailedTOS2VarietyHatTrickWaterTrtIrrigated</v>
      </c>
      <c r="B2682" s="2">
        <v>2023027</v>
      </c>
      <c r="C2682" s="3" t="s">
        <v>2712</v>
      </c>
      <c r="D2682" s="3" t="s">
        <v>248</v>
      </c>
      <c r="F2682" s="3" t="s">
        <v>4178</v>
      </c>
      <c r="G2682" s="3" t="s">
        <v>39</v>
      </c>
      <c r="H2682" s="3" t="s">
        <v>253</v>
      </c>
      <c r="I2682" s="2">
        <v>91</v>
      </c>
      <c r="J2682" s="2">
        <v>46</v>
      </c>
      <c r="K2682" s="2">
        <v>3</v>
      </c>
      <c r="O2682" s="2">
        <v>6</v>
      </c>
      <c r="P2682" s="2">
        <v>12</v>
      </c>
      <c r="U2682" s="2">
        <v>4</v>
      </c>
      <c r="V2682" s="2">
        <v>37</v>
      </c>
      <c r="W2682" s="2">
        <v>3</v>
      </c>
      <c r="X2682" s="2">
        <v>23</v>
      </c>
      <c r="AA2682" s="3" t="s">
        <v>57</v>
      </c>
      <c r="AB2682" s="2">
        <v>3</v>
      </c>
      <c r="AF2682" s="2">
        <v>22</v>
      </c>
      <c r="AG2682" s="2">
        <v>2</v>
      </c>
      <c r="AH2682" s="3" t="s">
        <v>2713</v>
      </c>
      <c r="AI2682" s="4">
        <v>45091</v>
      </c>
      <c r="AJ2682" s="3" t="s">
        <v>2805</v>
      </c>
      <c r="AK2682" s="3" t="s">
        <v>248</v>
      </c>
    </row>
    <row r="2683" spans="1:37" hidden="1" x14ac:dyDescent="0.25">
      <c r="A2683" t="str">
        <f t="shared" si="41"/>
        <v>2023_WA_Northam_Chickpea_DetailedTOS2VarietyHatTrickWaterTrtIrrigated</v>
      </c>
      <c r="B2683" s="2">
        <v>2023027</v>
      </c>
      <c r="C2683" s="3" t="s">
        <v>2712</v>
      </c>
      <c r="D2683" s="3" t="s">
        <v>248</v>
      </c>
      <c r="F2683" s="3" t="s">
        <v>4178</v>
      </c>
      <c r="G2683" s="3" t="s">
        <v>39</v>
      </c>
      <c r="H2683" s="3" t="s">
        <v>250</v>
      </c>
      <c r="I2683" s="2">
        <v>92</v>
      </c>
      <c r="J2683" s="2">
        <v>46</v>
      </c>
      <c r="K2683" s="2">
        <v>3</v>
      </c>
      <c r="O2683" s="2">
        <v>6</v>
      </c>
      <c r="P2683" s="2">
        <v>12</v>
      </c>
      <c r="U2683" s="2">
        <v>5</v>
      </c>
      <c r="V2683" s="2">
        <v>37</v>
      </c>
      <c r="W2683" s="2">
        <v>4</v>
      </c>
      <c r="X2683" s="2">
        <v>23</v>
      </c>
      <c r="Z2683" s="2">
        <v>26</v>
      </c>
      <c r="AA2683" s="3" t="s">
        <v>57</v>
      </c>
      <c r="AB2683" s="2">
        <v>3</v>
      </c>
      <c r="AF2683" s="2">
        <v>22</v>
      </c>
      <c r="AG2683" s="2">
        <v>2</v>
      </c>
      <c r="AH2683" s="3" t="s">
        <v>2713</v>
      </c>
      <c r="AI2683" s="4">
        <v>45091</v>
      </c>
      <c r="AJ2683" s="3" t="s">
        <v>2806</v>
      </c>
      <c r="AK2683" s="3" t="s">
        <v>248</v>
      </c>
    </row>
    <row r="2684" spans="1:37" hidden="1" x14ac:dyDescent="0.25">
      <c r="A2684" t="str">
        <f t="shared" si="41"/>
        <v>2023_WA_Northam_Chickpea_DetailedTOS2VarietyStrikerWaterTrtIrrigated</v>
      </c>
      <c r="B2684" s="2">
        <v>2023027</v>
      </c>
      <c r="C2684" s="3" t="s">
        <v>2712</v>
      </c>
      <c r="D2684" s="3" t="s">
        <v>248</v>
      </c>
      <c r="F2684" s="3" t="s">
        <v>4179</v>
      </c>
      <c r="G2684" s="3" t="s">
        <v>43</v>
      </c>
      <c r="H2684" s="3" t="s">
        <v>250</v>
      </c>
      <c r="I2684" s="2">
        <v>93</v>
      </c>
      <c r="J2684" s="2">
        <v>47</v>
      </c>
      <c r="K2684" s="2">
        <v>3</v>
      </c>
      <c r="O2684" s="2">
        <v>6</v>
      </c>
      <c r="P2684" s="2">
        <v>12</v>
      </c>
      <c r="U2684" s="2">
        <v>1</v>
      </c>
      <c r="V2684" s="2">
        <v>38</v>
      </c>
      <c r="W2684" s="2">
        <v>1</v>
      </c>
      <c r="X2684" s="2">
        <v>24</v>
      </c>
      <c r="Z2684" s="2">
        <v>24</v>
      </c>
      <c r="AA2684" s="3" t="s">
        <v>57</v>
      </c>
      <c r="AB2684" s="2">
        <v>4</v>
      </c>
      <c r="AF2684" s="2">
        <v>22</v>
      </c>
      <c r="AG2684" s="2">
        <v>2</v>
      </c>
      <c r="AH2684" s="3" t="s">
        <v>2713</v>
      </c>
      <c r="AI2684" s="4">
        <v>45091</v>
      </c>
      <c r="AJ2684" s="3" t="s">
        <v>2807</v>
      </c>
      <c r="AK2684" s="3" t="s">
        <v>248</v>
      </c>
    </row>
    <row r="2685" spans="1:37" hidden="1" x14ac:dyDescent="0.25">
      <c r="A2685" t="str">
        <f t="shared" si="41"/>
        <v>2023_WA_Northam_Chickpea_DetailedTOS2VarietyStrikerWaterTrtIrrigated</v>
      </c>
      <c r="B2685" s="2">
        <v>2023027</v>
      </c>
      <c r="C2685" s="3" t="s">
        <v>2712</v>
      </c>
      <c r="D2685" s="3" t="s">
        <v>248</v>
      </c>
      <c r="F2685" s="3" t="s">
        <v>4179</v>
      </c>
      <c r="G2685" s="3" t="s">
        <v>43</v>
      </c>
      <c r="H2685" s="3" t="s">
        <v>253</v>
      </c>
      <c r="I2685" s="2">
        <v>94</v>
      </c>
      <c r="J2685" s="2">
        <v>47</v>
      </c>
      <c r="K2685" s="2">
        <v>3</v>
      </c>
      <c r="O2685" s="2">
        <v>6</v>
      </c>
      <c r="P2685" s="2">
        <v>12</v>
      </c>
      <c r="U2685" s="2">
        <v>2</v>
      </c>
      <c r="V2685" s="2">
        <v>38</v>
      </c>
      <c r="W2685" s="2">
        <v>2</v>
      </c>
      <c r="X2685" s="2">
        <v>24</v>
      </c>
      <c r="AA2685" s="3" t="s">
        <v>57</v>
      </c>
      <c r="AB2685" s="2">
        <v>4</v>
      </c>
      <c r="AF2685" s="2">
        <v>22</v>
      </c>
      <c r="AG2685" s="2">
        <v>2</v>
      </c>
      <c r="AH2685" s="3" t="s">
        <v>2713</v>
      </c>
      <c r="AI2685" s="4">
        <v>45091</v>
      </c>
      <c r="AJ2685" s="3" t="s">
        <v>2808</v>
      </c>
      <c r="AK2685" s="3" t="s">
        <v>248</v>
      </c>
    </row>
    <row r="2686" spans="1:37" hidden="1" x14ac:dyDescent="0.25">
      <c r="A2686" t="str">
        <f t="shared" si="41"/>
        <v>2023_WA_Northam_Chickpea_DetailedTOS2VarietyCBA_CaptainWaterTrtIrrigated</v>
      </c>
      <c r="B2686" s="2">
        <v>2023027</v>
      </c>
      <c r="C2686" s="3" t="s">
        <v>2712</v>
      </c>
      <c r="D2686" s="3" t="s">
        <v>248</v>
      </c>
      <c r="F2686" s="3" t="s">
        <v>249</v>
      </c>
      <c r="G2686" s="3" t="s">
        <v>43</v>
      </c>
      <c r="H2686" s="3" t="s">
        <v>253</v>
      </c>
      <c r="I2686" s="2">
        <v>95</v>
      </c>
      <c r="J2686" s="2">
        <v>48</v>
      </c>
      <c r="K2686" s="2">
        <v>3</v>
      </c>
      <c r="O2686" s="2">
        <v>6</v>
      </c>
      <c r="P2686" s="2">
        <v>12</v>
      </c>
      <c r="U2686" s="2">
        <v>4</v>
      </c>
      <c r="V2686" s="2">
        <v>38</v>
      </c>
      <c r="W2686" s="2">
        <v>3</v>
      </c>
      <c r="X2686" s="2">
        <v>24</v>
      </c>
      <c r="AA2686" s="3" t="s">
        <v>57</v>
      </c>
      <c r="AB2686" s="2">
        <v>1</v>
      </c>
      <c r="AF2686" s="2">
        <v>22</v>
      </c>
      <c r="AG2686" s="2">
        <v>2</v>
      </c>
      <c r="AH2686" s="3" t="s">
        <v>2713</v>
      </c>
      <c r="AI2686" s="4">
        <v>45091</v>
      </c>
      <c r="AJ2686" s="3" t="s">
        <v>2809</v>
      </c>
      <c r="AK2686" s="3" t="s">
        <v>248</v>
      </c>
    </row>
    <row r="2687" spans="1:37" hidden="1" x14ac:dyDescent="0.25">
      <c r="A2687" t="str">
        <f t="shared" si="41"/>
        <v>2023_WA_Northam_Chickpea_DetailedTOS2VarietyCBA_CaptainWaterTrtIrrigated</v>
      </c>
      <c r="B2687" s="2">
        <v>2023027</v>
      </c>
      <c r="C2687" s="3" t="s">
        <v>2712</v>
      </c>
      <c r="D2687" s="3" t="s">
        <v>248</v>
      </c>
      <c r="F2687" s="3" t="s">
        <v>249</v>
      </c>
      <c r="G2687" s="3" t="s">
        <v>43</v>
      </c>
      <c r="H2687" s="3" t="s">
        <v>250</v>
      </c>
      <c r="I2687" s="2">
        <v>96</v>
      </c>
      <c r="J2687" s="2">
        <v>48</v>
      </c>
      <c r="K2687" s="2">
        <v>3</v>
      </c>
      <c r="O2687" s="2">
        <v>6</v>
      </c>
      <c r="P2687" s="2">
        <v>12</v>
      </c>
      <c r="U2687" s="2">
        <v>5</v>
      </c>
      <c r="V2687" s="2">
        <v>38</v>
      </c>
      <c r="W2687" s="2">
        <v>4</v>
      </c>
      <c r="X2687" s="2">
        <v>24</v>
      </c>
      <c r="Z2687" s="2">
        <v>25</v>
      </c>
      <c r="AA2687" s="3" t="s">
        <v>57</v>
      </c>
      <c r="AB2687" s="2">
        <v>1</v>
      </c>
      <c r="AF2687" s="2">
        <v>22</v>
      </c>
      <c r="AG2687" s="2">
        <v>2</v>
      </c>
      <c r="AH2687" s="3" t="s">
        <v>2713</v>
      </c>
      <c r="AI2687" s="4">
        <v>45091</v>
      </c>
      <c r="AJ2687" s="3" t="s">
        <v>2810</v>
      </c>
      <c r="AK2687" s="3" t="s">
        <v>248</v>
      </c>
    </row>
    <row r="2688" spans="1:37" hidden="1" x14ac:dyDescent="0.25">
      <c r="A2688" t="str">
        <f t="shared" si="41"/>
        <v>2023_NSW_RankinsSprings_Fababean_SatelliteTOS2VarietyNanuWaterTrtRainFed</v>
      </c>
      <c r="B2688" s="2">
        <v>2023028</v>
      </c>
      <c r="C2688" s="3" t="s">
        <v>2811</v>
      </c>
      <c r="D2688" s="3" t="s">
        <v>645</v>
      </c>
      <c r="F2688" s="3" t="s">
        <v>4196</v>
      </c>
      <c r="G2688" s="3" t="s">
        <v>39</v>
      </c>
      <c r="H2688" s="3" t="s">
        <v>253</v>
      </c>
      <c r="I2688" s="2">
        <v>1</v>
      </c>
      <c r="J2688" s="2">
        <v>1</v>
      </c>
      <c r="K2688" s="2">
        <v>1</v>
      </c>
      <c r="O2688" s="2">
        <v>1</v>
      </c>
      <c r="U2688" s="2">
        <v>1</v>
      </c>
      <c r="V2688" s="2">
        <v>2</v>
      </c>
      <c r="W2688" s="2">
        <v>1</v>
      </c>
      <c r="X2688" s="2">
        <v>1</v>
      </c>
      <c r="Z2688" s="2">
        <v>1</v>
      </c>
      <c r="AA2688" s="3" t="s">
        <v>40</v>
      </c>
      <c r="AB2688" s="2">
        <v>4</v>
      </c>
      <c r="AF2688" s="2">
        <v>30</v>
      </c>
      <c r="AG2688" s="2">
        <v>2</v>
      </c>
      <c r="AH2688" s="3" t="s">
        <v>2812</v>
      </c>
      <c r="AI2688" s="4">
        <v>45064</v>
      </c>
      <c r="AJ2688" s="3" t="s">
        <v>2813</v>
      </c>
      <c r="AK2688" s="3" t="s">
        <v>645</v>
      </c>
    </row>
    <row r="2689" spans="1:37" hidden="1" x14ac:dyDescent="0.25">
      <c r="A2689" t="str">
        <f t="shared" si="41"/>
        <v>2023_NSW_RankinsSprings_Fababean_SatelliteTOS2VarietySamiraWaterTrtRainFed</v>
      </c>
      <c r="B2689" s="2">
        <v>2023028</v>
      </c>
      <c r="C2689" s="3" t="s">
        <v>2811</v>
      </c>
      <c r="D2689" s="3" t="s">
        <v>645</v>
      </c>
      <c r="F2689" s="3" t="s">
        <v>4183</v>
      </c>
      <c r="G2689" s="3" t="s">
        <v>43</v>
      </c>
      <c r="H2689" s="3" t="s">
        <v>253</v>
      </c>
      <c r="I2689" s="2">
        <v>2</v>
      </c>
      <c r="J2689" s="2">
        <v>2</v>
      </c>
      <c r="K2689" s="2">
        <v>1</v>
      </c>
      <c r="O2689" s="2">
        <v>1</v>
      </c>
      <c r="U2689" s="2">
        <v>2</v>
      </c>
      <c r="V2689" s="2">
        <v>2</v>
      </c>
      <c r="W2689" s="2">
        <v>2</v>
      </c>
      <c r="X2689" s="2">
        <v>1</v>
      </c>
      <c r="Z2689" s="2">
        <v>2</v>
      </c>
      <c r="AA2689" s="3" t="s">
        <v>40</v>
      </c>
      <c r="AB2689" s="2">
        <v>6</v>
      </c>
      <c r="AF2689" s="2">
        <v>30</v>
      </c>
      <c r="AG2689" s="2">
        <v>2</v>
      </c>
      <c r="AH2689" s="3" t="s">
        <v>2812</v>
      </c>
      <c r="AI2689" s="4">
        <v>45064</v>
      </c>
      <c r="AJ2689" s="3" t="s">
        <v>2814</v>
      </c>
      <c r="AK2689" s="3" t="s">
        <v>645</v>
      </c>
    </row>
    <row r="2690" spans="1:37" hidden="1" x14ac:dyDescent="0.25">
      <c r="A2690" t="str">
        <f t="shared" si="41"/>
        <v>2023_NSW_RankinsSprings_Fababean_SatelliteTOS2VarietyNasmaWaterTrtRainFed</v>
      </c>
      <c r="B2690" s="2">
        <v>2023028</v>
      </c>
      <c r="C2690" s="3" t="s">
        <v>2811</v>
      </c>
      <c r="D2690" s="3" t="s">
        <v>645</v>
      </c>
      <c r="F2690" s="3" t="s">
        <v>4186</v>
      </c>
      <c r="G2690" s="3" t="s">
        <v>43</v>
      </c>
      <c r="H2690" s="3" t="s">
        <v>253</v>
      </c>
      <c r="I2690" s="2">
        <v>3</v>
      </c>
      <c r="J2690" s="2">
        <v>3</v>
      </c>
      <c r="K2690" s="2">
        <v>1</v>
      </c>
      <c r="O2690" s="2">
        <v>1</v>
      </c>
      <c r="U2690" s="2">
        <v>3</v>
      </c>
      <c r="V2690" s="2">
        <v>2</v>
      </c>
      <c r="W2690" s="2">
        <v>3</v>
      </c>
      <c r="X2690" s="2">
        <v>1</v>
      </c>
      <c r="Z2690" s="2">
        <v>3</v>
      </c>
      <c r="AA2690" s="3" t="s">
        <v>40</v>
      </c>
      <c r="AB2690" s="2">
        <v>5</v>
      </c>
      <c r="AF2690" s="2">
        <v>30</v>
      </c>
      <c r="AG2690" s="2">
        <v>2</v>
      </c>
      <c r="AH2690" s="3" t="s">
        <v>2812</v>
      </c>
      <c r="AI2690" s="4">
        <v>45064</v>
      </c>
      <c r="AJ2690" s="3" t="s">
        <v>2815</v>
      </c>
      <c r="AK2690" s="3" t="s">
        <v>645</v>
      </c>
    </row>
    <row r="2691" spans="1:37" hidden="1" x14ac:dyDescent="0.25">
      <c r="A2691" t="str">
        <f t="shared" ref="A2691:A2754" si="42">C2691&amp;"TOS"&amp;AG2691&amp;"Variety"&amp;F2691&amp;"WaterTrt"&amp;AA2691&amp;IF(AC2691="","","Agronomy"&amp;AC2691)</f>
        <v>2023_NSW_RankinsSprings_Fababean_SatelliteTOS2VarietyMarneWaterTrtRainFed</v>
      </c>
      <c r="B2691" s="2">
        <v>2023028</v>
      </c>
      <c r="C2691" s="3" t="s">
        <v>2811</v>
      </c>
      <c r="D2691" s="3" t="s">
        <v>645</v>
      </c>
      <c r="F2691" s="3" t="s">
        <v>4184</v>
      </c>
      <c r="G2691" s="3" t="s">
        <v>39</v>
      </c>
      <c r="H2691" s="3" t="s">
        <v>253</v>
      </c>
      <c r="I2691" s="2">
        <v>4</v>
      </c>
      <c r="J2691" s="2">
        <v>4</v>
      </c>
      <c r="K2691" s="2">
        <v>1</v>
      </c>
      <c r="O2691" s="2">
        <v>1</v>
      </c>
      <c r="U2691" s="2">
        <v>4</v>
      </c>
      <c r="V2691" s="2">
        <v>2</v>
      </c>
      <c r="W2691" s="2">
        <v>4</v>
      </c>
      <c r="X2691" s="2">
        <v>1</v>
      </c>
      <c r="Z2691" s="2">
        <v>4</v>
      </c>
      <c r="AA2691" s="3" t="s">
        <v>40</v>
      </c>
      <c r="AB2691" s="2">
        <v>3</v>
      </c>
      <c r="AF2691" s="2">
        <v>30</v>
      </c>
      <c r="AG2691" s="2">
        <v>2</v>
      </c>
      <c r="AH2691" s="3" t="s">
        <v>2812</v>
      </c>
      <c r="AI2691" s="4">
        <v>45064</v>
      </c>
      <c r="AJ2691" s="3" t="s">
        <v>2816</v>
      </c>
      <c r="AK2691" s="3" t="s">
        <v>645</v>
      </c>
    </row>
    <row r="2692" spans="1:37" hidden="1" x14ac:dyDescent="0.25">
      <c r="A2692" t="str">
        <f t="shared" si="42"/>
        <v>2023_NSW_RankinsSprings_Fababean_SatelliteTOS2VarietyAylaWaterTrtRainFed</v>
      </c>
      <c r="B2692" s="2">
        <v>2023028</v>
      </c>
      <c r="C2692" s="3" t="s">
        <v>2811</v>
      </c>
      <c r="D2692" s="3" t="s">
        <v>645</v>
      </c>
      <c r="F2692" s="3" t="s">
        <v>4197</v>
      </c>
      <c r="G2692" s="3" t="s">
        <v>39</v>
      </c>
      <c r="H2692" s="3" t="s">
        <v>253</v>
      </c>
      <c r="I2692" s="2">
        <v>5</v>
      </c>
      <c r="J2692" s="2">
        <v>5</v>
      </c>
      <c r="K2692" s="2">
        <v>1</v>
      </c>
      <c r="O2692" s="2">
        <v>1</v>
      </c>
      <c r="U2692" s="2">
        <v>5</v>
      </c>
      <c r="V2692" s="2">
        <v>2</v>
      </c>
      <c r="W2692" s="2">
        <v>5</v>
      </c>
      <c r="X2692" s="2">
        <v>1</v>
      </c>
      <c r="Z2692" s="2">
        <v>5</v>
      </c>
      <c r="AA2692" s="3" t="s">
        <v>40</v>
      </c>
      <c r="AB2692" s="2">
        <v>2</v>
      </c>
      <c r="AF2692" s="2">
        <v>30</v>
      </c>
      <c r="AG2692" s="2">
        <v>2</v>
      </c>
      <c r="AH2692" s="3" t="s">
        <v>2812</v>
      </c>
      <c r="AI2692" s="4">
        <v>45064</v>
      </c>
      <c r="AJ2692" s="3" t="s">
        <v>2817</v>
      </c>
      <c r="AK2692" s="3" t="s">
        <v>645</v>
      </c>
    </row>
    <row r="2693" spans="1:37" hidden="1" x14ac:dyDescent="0.25">
      <c r="A2693" t="str">
        <f t="shared" si="42"/>
        <v>2023_NSW_RankinsSprings_Fababean_SatelliteTOS2VarietyAmberleyWaterTrtRainFed</v>
      </c>
      <c r="B2693" s="2">
        <v>2023028</v>
      </c>
      <c r="C2693" s="3" t="s">
        <v>2811</v>
      </c>
      <c r="D2693" s="3" t="s">
        <v>645</v>
      </c>
      <c r="F2693" s="3" t="s">
        <v>4185</v>
      </c>
      <c r="G2693" s="3" t="s">
        <v>39</v>
      </c>
      <c r="H2693" s="3" t="s">
        <v>253</v>
      </c>
      <c r="I2693" s="2">
        <v>6</v>
      </c>
      <c r="J2693" s="2">
        <v>6</v>
      </c>
      <c r="K2693" s="2">
        <v>1</v>
      </c>
      <c r="O2693" s="2">
        <v>1</v>
      </c>
      <c r="U2693" s="2">
        <v>6</v>
      </c>
      <c r="V2693" s="2">
        <v>2</v>
      </c>
      <c r="W2693" s="2">
        <v>6</v>
      </c>
      <c r="X2693" s="2">
        <v>1</v>
      </c>
      <c r="Z2693" s="2">
        <v>6</v>
      </c>
      <c r="AA2693" s="3" t="s">
        <v>40</v>
      </c>
      <c r="AB2693" s="2">
        <v>1</v>
      </c>
      <c r="AF2693" s="2">
        <v>30</v>
      </c>
      <c r="AG2693" s="2">
        <v>2</v>
      </c>
      <c r="AH2693" s="3" t="s">
        <v>2812</v>
      </c>
      <c r="AI2693" s="4">
        <v>45064</v>
      </c>
      <c r="AJ2693" s="3" t="s">
        <v>2818</v>
      </c>
      <c r="AK2693" s="3" t="s">
        <v>645</v>
      </c>
    </row>
    <row r="2694" spans="1:37" hidden="1" x14ac:dyDescent="0.25">
      <c r="A2694" t="str">
        <f t="shared" si="42"/>
        <v>2023_NSW_RankinsSprings_Fababean_SatelliteTOS1VarietyAmberleyWaterTrtRainFed</v>
      </c>
      <c r="B2694" s="2">
        <v>2023028</v>
      </c>
      <c r="C2694" s="3" t="s">
        <v>2811</v>
      </c>
      <c r="D2694" s="3" t="s">
        <v>645</v>
      </c>
      <c r="F2694" s="3" t="s">
        <v>4185</v>
      </c>
      <c r="G2694" s="3" t="s">
        <v>39</v>
      </c>
      <c r="H2694" s="3" t="s">
        <v>253</v>
      </c>
      <c r="I2694" s="2">
        <v>7</v>
      </c>
      <c r="J2694" s="2">
        <v>7</v>
      </c>
      <c r="K2694" s="2">
        <v>1</v>
      </c>
      <c r="O2694" s="2">
        <v>2</v>
      </c>
      <c r="U2694" s="2">
        <v>1</v>
      </c>
      <c r="V2694" s="2">
        <v>5</v>
      </c>
      <c r="W2694" s="2">
        <v>1</v>
      </c>
      <c r="X2694" s="2">
        <v>2</v>
      </c>
      <c r="Z2694" s="2">
        <v>12</v>
      </c>
      <c r="AA2694" s="3" t="s">
        <v>40</v>
      </c>
      <c r="AB2694" s="2">
        <v>1</v>
      </c>
      <c r="AF2694" s="2">
        <v>30</v>
      </c>
      <c r="AG2694" s="2">
        <v>1</v>
      </c>
      <c r="AH2694" s="3" t="s">
        <v>2819</v>
      </c>
      <c r="AI2694" s="4">
        <v>45040</v>
      </c>
      <c r="AJ2694" s="3" t="s">
        <v>2820</v>
      </c>
      <c r="AK2694" s="3" t="s">
        <v>645</v>
      </c>
    </row>
    <row r="2695" spans="1:37" hidden="1" x14ac:dyDescent="0.25">
      <c r="A2695" t="str">
        <f t="shared" si="42"/>
        <v>2023_NSW_RankinsSprings_Fababean_SatelliteTOS1VarietyMarneWaterTrtRainFed</v>
      </c>
      <c r="B2695" s="2">
        <v>2023028</v>
      </c>
      <c r="C2695" s="3" t="s">
        <v>2811</v>
      </c>
      <c r="D2695" s="3" t="s">
        <v>645</v>
      </c>
      <c r="F2695" s="3" t="s">
        <v>4184</v>
      </c>
      <c r="G2695" s="3" t="s">
        <v>39</v>
      </c>
      <c r="H2695" s="3" t="s">
        <v>253</v>
      </c>
      <c r="I2695" s="2">
        <v>8</v>
      </c>
      <c r="J2695" s="2">
        <v>8</v>
      </c>
      <c r="K2695" s="2">
        <v>1</v>
      </c>
      <c r="O2695" s="2">
        <v>2</v>
      </c>
      <c r="U2695" s="2">
        <v>2</v>
      </c>
      <c r="V2695" s="2">
        <v>5</v>
      </c>
      <c r="W2695" s="2">
        <v>2</v>
      </c>
      <c r="X2695" s="2">
        <v>2</v>
      </c>
      <c r="Z2695" s="2">
        <v>11</v>
      </c>
      <c r="AA2695" s="3" t="s">
        <v>40</v>
      </c>
      <c r="AB2695" s="2">
        <v>3</v>
      </c>
      <c r="AF2695" s="2">
        <v>30</v>
      </c>
      <c r="AG2695" s="2">
        <v>1</v>
      </c>
      <c r="AH2695" s="3" t="s">
        <v>2819</v>
      </c>
      <c r="AI2695" s="4">
        <v>45040</v>
      </c>
      <c r="AJ2695" s="3" t="s">
        <v>2821</v>
      </c>
      <c r="AK2695" s="3" t="s">
        <v>645</v>
      </c>
    </row>
    <row r="2696" spans="1:37" hidden="1" x14ac:dyDescent="0.25">
      <c r="A2696" t="str">
        <f t="shared" si="42"/>
        <v>2023_NSW_RankinsSprings_Fababean_SatelliteTOS1VarietyAylaWaterTrtRainFed</v>
      </c>
      <c r="B2696" s="2">
        <v>2023028</v>
      </c>
      <c r="C2696" s="3" t="s">
        <v>2811</v>
      </c>
      <c r="D2696" s="3" t="s">
        <v>645</v>
      </c>
      <c r="F2696" s="3" t="s">
        <v>4197</v>
      </c>
      <c r="G2696" s="3" t="s">
        <v>39</v>
      </c>
      <c r="H2696" s="3" t="s">
        <v>253</v>
      </c>
      <c r="I2696" s="2">
        <v>9</v>
      </c>
      <c r="J2696" s="2">
        <v>9</v>
      </c>
      <c r="K2696" s="2">
        <v>1</v>
      </c>
      <c r="O2696" s="2">
        <v>2</v>
      </c>
      <c r="U2696" s="2">
        <v>3</v>
      </c>
      <c r="V2696" s="2">
        <v>5</v>
      </c>
      <c r="W2696" s="2">
        <v>3</v>
      </c>
      <c r="X2696" s="2">
        <v>2</v>
      </c>
      <c r="Z2696" s="2">
        <v>10</v>
      </c>
      <c r="AA2696" s="3" t="s">
        <v>40</v>
      </c>
      <c r="AB2696" s="2">
        <v>2</v>
      </c>
      <c r="AF2696" s="2">
        <v>30</v>
      </c>
      <c r="AG2696" s="2">
        <v>1</v>
      </c>
      <c r="AH2696" s="3" t="s">
        <v>2819</v>
      </c>
      <c r="AI2696" s="4">
        <v>45040</v>
      </c>
      <c r="AJ2696" s="3" t="s">
        <v>2822</v>
      </c>
      <c r="AK2696" s="3" t="s">
        <v>645</v>
      </c>
    </row>
    <row r="2697" spans="1:37" hidden="1" x14ac:dyDescent="0.25">
      <c r="A2697" t="str">
        <f t="shared" si="42"/>
        <v>2023_NSW_RankinsSprings_Fababean_SatelliteTOS1VarietyNanuWaterTrtRainFed</v>
      </c>
      <c r="B2697" s="2">
        <v>2023028</v>
      </c>
      <c r="C2697" s="3" t="s">
        <v>2811</v>
      </c>
      <c r="D2697" s="3" t="s">
        <v>645</v>
      </c>
      <c r="F2697" s="3" t="s">
        <v>4196</v>
      </c>
      <c r="G2697" s="3" t="s">
        <v>39</v>
      </c>
      <c r="H2697" s="3" t="s">
        <v>253</v>
      </c>
      <c r="I2697" s="2">
        <v>10</v>
      </c>
      <c r="J2697" s="2">
        <v>10</v>
      </c>
      <c r="K2697" s="2">
        <v>1</v>
      </c>
      <c r="O2697" s="2">
        <v>2</v>
      </c>
      <c r="U2697" s="2">
        <v>4</v>
      </c>
      <c r="V2697" s="2">
        <v>5</v>
      </c>
      <c r="W2697" s="2">
        <v>4</v>
      </c>
      <c r="X2697" s="2">
        <v>2</v>
      </c>
      <c r="Z2697" s="2">
        <v>9</v>
      </c>
      <c r="AA2697" s="3" t="s">
        <v>40</v>
      </c>
      <c r="AB2697" s="2">
        <v>4</v>
      </c>
      <c r="AF2697" s="2">
        <v>30</v>
      </c>
      <c r="AG2697" s="2">
        <v>1</v>
      </c>
      <c r="AH2697" s="3" t="s">
        <v>2819</v>
      </c>
      <c r="AI2697" s="4">
        <v>45040</v>
      </c>
      <c r="AJ2697" s="3" t="s">
        <v>2823</v>
      </c>
      <c r="AK2697" s="3" t="s">
        <v>645</v>
      </c>
    </row>
    <row r="2698" spans="1:37" hidden="1" x14ac:dyDescent="0.25">
      <c r="A2698" t="str">
        <f t="shared" si="42"/>
        <v>2023_NSW_RankinsSprings_Fababean_SatelliteTOS1VarietyNasmaWaterTrtRainFed</v>
      </c>
      <c r="B2698" s="2">
        <v>2023028</v>
      </c>
      <c r="C2698" s="3" t="s">
        <v>2811</v>
      </c>
      <c r="D2698" s="3" t="s">
        <v>645</v>
      </c>
      <c r="F2698" s="3" t="s">
        <v>4186</v>
      </c>
      <c r="G2698" s="3" t="s">
        <v>43</v>
      </c>
      <c r="H2698" s="3" t="s">
        <v>253</v>
      </c>
      <c r="I2698" s="2">
        <v>11</v>
      </c>
      <c r="J2698" s="2">
        <v>11</v>
      </c>
      <c r="K2698" s="2">
        <v>1</v>
      </c>
      <c r="O2698" s="2">
        <v>2</v>
      </c>
      <c r="U2698" s="2">
        <v>5</v>
      </c>
      <c r="V2698" s="2">
        <v>5</v>
      </c>
      <c r="W2698" s="2">
        <v>5</v>
      </c>
      <c r="X2698" s="2">
        <v>2</v>
      </c>
      <c r="Z2698" s="2">
        <v>8</v>
      </c>
      <c r="AA2698" s="3" t="s">
        <v>40</v>
      </c>
      <c r="AB2698" s="2">
        <v>5</v>
      </c>
      <c r="AF2698" s="2">
        <v>30</v>
      </c>
      <c r="AG2698" s="2">
        <v>1</v>
      </c>
      <c r="AH2698" s="3" t="s">
        <v>2819</v>
      </c>
      <c r="AI2698" s="4">
        <v>45040</v>
      </c>
      <c r="AJ2698" s="3" t="s">
        <v>2824</v>
      </c>
      <c r="AK2698" s="3" t="s">
        <v>645</v>
      </c>
    </row>
    <row r="2699" spans="1:37" hidden="1" x14ac:dyDescent="0.25">
      <c r="A2699" t="str">
        <f t="shared" si="42"/>
        <v>2023_NSW_RankinsSprings_Fababean_SatelliteTOS1VarietySamiraWaterTrtRainFed</v>
      </c>
      <c r="B2699" s="2">
        <v>2023028</v>
      </c>
      <c r="C2699" s="3" t="s">
        <v>2811</v>
      </c>
      <c r="D2699" s="3" t="s">
        <v>645</v>
      </c>
      <c r="F2699" s="3" t="s">
        <v>4183</v>
      </c>
      <c r="G2699" s="3" t="s">
        <v>43</v>
      </c>
      <c r="H2699" s="3" t="s">
        <v>253</v>
      </c>
      <c r="I2699" s="2">
        <v>12</v>
      </c>
      <c r="J2699" s="2">
        <v>12</v>
      </c>
      <c r="K2699" s="2">
        <v>1</v>
      </c>
      <c r="O2699" s="2">
        <v>2</v>
      </c>
      <c r="U2699" s="2">
        <v>6</v>
      </c>
      <c r="V2699" s="2">
        <v>5</v>
      </c>
      <c r="W2699" s="2">
        <v>6</v>
      </c>
      <c r="X2699" s="2">
        <v>2</v>
      </c>
      <c r="Z2699" s="2">
        <v>7</v>
      </c>
      <c r="AA2699" s="3" t="s">
        <v>40</v>
      </c>
      <c r="AB2699" s="2">
        <v>6</v>
      </c>
      <c r="AF2699" s="2">
        <v>30</v>
      </c>
      <c r="AG2699" s="2">
        <v>1</v>
      </c>
      <c r="AH2699" s="3" t="s">
        <v>2819</v>
      </c>
      <c r="AI2699" s="4">
        <v>45040</v>
      </c>
      <c r="AJ2699" s="3" t="s">
        <v>2825</v>
      </c>
      <c r="AK2699" s="3" t="s">
        <v>645</v>
      </c>
    </row>
    <row r="2700" spans="1:37" hidden="1" x14ac:dyDescent="0.25">
      <c r="A2700" t="str">
        <f t="shared" si="42"/>
        <v>2023_NSW_RankinsSprings_Fababean_SatelliteTOS1VarietySamiraWaterTrtRainFed</v>
      </c>
      <c r="B2700" s="2">
        <v>2023028</v>
      </c>
      <c r="C2700" s="3" t="s">
        <v>2811</v>
      </c>
      <c r="D2700" s="3" t="s">
        <v>645</v>
      </c>
      <c r="F2700" s="3" t="s">
        <v>4183</v>
      </c>
      <c r="G2700" s="3" t="s">
        <v>43</v>
      </c>
      <c r="H2700" s="3" t="s">
        <v>253</v>
      </c>
      <c r="I2700" s="2">
        <v>13</v>
      </c>
      <c r="J2700" s="2">
        <v>13</v>
      </c>
      <c r="K2700" s="2">
        <v>2</v>
      </c>
      <c r="O2700" s="2">
        <v>3</v>
      </c>
      <c r="U2700" s="2">
        <v>1</v>
      </c>
      <c r="V2700" s="2">
        <v>8</v>
      </c>
      <c r="W2700" s="2">
        <v>1</v>
      </c>
      <c r="X2700" s="2">
        <v>3</v>
      </c>
      <c r="Z2700" s="2">
        <v>13</v>
      </c>
      <c r="AA2700" s="3" t="s">
        <v>40</v>
      </c>
      <c r="AB2700" s="2">
        <v>6</v>
      </c>
      <c r="AF2700" s="2">
        <v>30</v>
      </c>
      <c r="AG2700" s="2">
        <v>1</v>
      </c>
      <c r="AH2700" s="3" t="s">
        <v>2819</v>
      </c>
      <c r="AI2700" s="4">
        <v>45040</v>
      </c>
      <c r="AJ2700" s="3" t="s">
        <v>2826</v>
      </c>
      <c r="AK2700" s="3" t="s">
        <v>645</v>
      </c>
    </row>
    <row r="2701" spans="1:37" hidden="1" x14ac:dyDescent="0.25">
      <c r="A2701" t="str">
        <f t="shared" si="42"/>
        <v>2023_NSW_RankinsSprings_Fababean_SatelliteTOS1VarietyAylaWaterTrtRainFed</v>
      </c>
      <c r="B2701" s="2">
        <v>2023028</v>
      </c>
      <c r="C2701" s="3" t="s">
        <v>2811</v>
      </c>
      <c r="D2701" s="3" t="s">
        <v>645</v>
      </c>
      <c r="F2701" s="3" t="s">
        <v>4197</v>
      </c>
      <c r="G2701" s="3" t="s">
        <v>39</v>
      </c>
      <c r="H2701" s="3" t="s">
        <v>253</v>
      </c>
      <c r="I2701" s="2">
        <v>14</v>
      </c>
      <c r="J2701" s="2">
        <v>14</v>
      </c>
      <c r="K2701" s="2">
        <v>2</v>
      </c>
      <c r="O2701" s="2">
        <v>3</v>
      </c>
      <c r="U2701" s="2">
        <v>2</v>
      </c>
      <c r="V2701" s="2">
        <v>8</v>
      </c>
      <c r="W2701" s="2">
        <v>2</v>
      </c>
      <c r="X2701" s="2">
        <v>3</v>
      </c>
      <c r="Z2701" s="2">
        <v>14</v>
      </c>
      <c r="AA2701" s="3" t="s">
        <v>40</v>
      </c>
      <c r="AB2701" s="2">
        <v>2</v>
      </c>
      <c r="AF2701" s="2">
        <v>30</v>
      </c>
      <c r="AG2701" s="2">
        <v>1</v>
      </c>
      <c r="AH2701" s="3" t="s">
        <v>2819</v>
      </c>
      <c r="AI2701" s="4">
        <v>45040</v>
      </c>
      <c r="AJ2701" s="3" t="s">
        <v>2827</v>
      </c>
      <c r="AK2701" s="3" t="s">
        <v>645</v>
      </c>
    </row>
    <row r="2702" spans="1:37" hidden="1" x14ac:dyDescent="0.25">
      <c r="A2702" t="str">
        <f t="shared" si="42"/>
        <v>2023_NSW_RankinsSprings_Fababean_SatelliteTOS1VarietyNanuWaterTrtRainFed</v>
      </c>
      <c r="B2702" s="2">
        <v>2023028</v>
      </c>
      <c r="C2702" s="3" t="s">
        <v>2811</v>
      </c>
      <c r="D2702" s="3" t="s">
        <v>645</v>
      </c>
      <c r="F2702" s="3" t="s">
        <v>4196</v>
      </c>
      <c r="G2702" s="3" t="s">
        <v>39</v>
      </c>
      <c r="H2702" s="3" t="s">
        <v>253</v>
      </c>
      <c r="I2702" s="2">
        <v>15</v>
      </c>
      <c r="J2702" s="2">
        <v>15</v>
      </c>
      <c r="K2702" s="2">
        <v>2</v>
      </c>
      <c r="O2702" s="2">
        <v>3</v>
      </c>
      <c r="U2702" s="2">
        <v>3</v>
      </c>
      <c r="V2702" s="2">
        <v>8</v>
      </c>
      <c r="W2702" s="2">
        <v>3</v>
      </c>
      <c r="X2702" s="2">
        <v>3</v>
      </c>
      <c r="Z2702" s="2">
        <v>15</v>
      </c>
      <c r="AA2702" s="3" t="s">
        <v>40</v>
      </c>
      <c r="AB2702" s="2">
        <v>4</v>
      </c>
      <c r="AF2702" s="2">
        <v>30</v>
      </c>
      <c r="AG2702" s="2">
        <v>1</v>
      </c>
      <c r="AH2702" s="3" t="s">
        <v>2819</v>
      </c>
      <c r="AI2702" s="4">
        <v>45040</v>
      </c>
      <c r="AJ2702" s="3" t="s">
        <v>2828</v>
      </c>
      <c r="AK2702" s="3" t="s">
        <v>645</v>
      </c>
    </row>
    <row r="2703" spans="1:37" hidden="1" x14ac:dyDescent="0.25">
      <c r="A2703" t="str">
        <f t="shared" si="42"/>
        <v>2023_NSW_RankinsSprings_Fababean_SatelliteTOS1VarietyMarneWaterTrtRainFed</v>
      </c>
      <c r="B2703" s="2">
        <v>2023028</v>
      </c>
      <c r="C2703" s="3" t="s">
        <v>2811</v>
      </c>
      <c r="D2703" s="3" t="s">
        <v>645</v>
      </c>
      <c r="F2703" s="3" t="s">
        <v>4184</v>
      </c>
      <c r="G2703" s="3" t="s">
        <v>39</v>
      </c>
      <c r="H2703" s="3" t="s">
        <v>253</v>
      </c>
      <c r="I2703" s="2">
        <v>16</v>
      </c>
      <c r="J2703" s="2">
        <v>16</v>
      </c>
      <c r="K2703" s="2">
        <v>2</v>
      </c>
      <c r="O2703" s="2">
        <v>3</v>
      </c>
      <c r="U2703" s="2">
        <v>4</v>
      </c>
      <c r="V2703" s="2">
        <v>8</v>
      </c>
      <c r="W2703" s="2">
        <v>4</v>
      </c>
      <c r="X2703" s="2">
        <v>3</v>
      </c>
      <c r="Z2703" s="2">
        <v>16</v>
      </c>
      <c r="AA2703" s="3" t="s">
        <v>40</v>
      </c>
      <c r="AB2703" s="2">
        <v>3</v>
      </c>
      <c r="AF2703" s="2">
        <v>30</v>
      </c>
      <c r="AG2703" s="2">
        <v>1</v>
      </c>
      <c r="AH2703" s="3" t="s">
        <v>2819</v>
      </c>
      <c r="AI2703" s="4">
        <v>45040</v>
      </c>
      <c r="AJ2703" s="3" t="s">
        <v>2829</v>
      </c>
      <c r="AK2703" s="3" t="s">
        <v>645</v>
      </c>
    </row>
    <row r="2704" spans="1:37" hidden="1" x14ac:dyDescent="0.25">
      <c r="A2704" t="str">
        <f t="shared" si="42"/>
        <v>2023_NSW_RankinsSprings_Fababean_SatelliteTOS1VarietyAmberleyWaterTrtRainFed</v>
      </c>
      <c r="B2704" s="2">
        <v>2023028</v>
      </c>
      <c r="C2704" s="3" t="s">
        <v>2811</v>
      </c>
      <c r="D2704" s="3" t="s">
        <v>645</v>
      </c>
      <c r="F2704" s="3" t="s">
        <v>4185</v>
      </c>
      <c r="G2704" s="3" t="s">
        <v>39</v>
      </c>
      <c r="H2704" s="3" t="s">
        <v>253</v>
      </c>
      <c r="I2704" s="2">
        <v>17</v>
      </c>
      <c r="J2704" s="2">
        <v>17</v>
      </c>
      <c r="K2704" s="2">
        <v>2</v>
      </c>
      <c r="O2704" s="2">
        <v>3</v>
      </c>
      <c r="U2704" s="2">
        <v>5</v>
      </c>
      <c r="V2704" s="2">
        <v>8</v>
      </c>
      <c r="W2704" s="2">
        <v>5</v>
      </c>
      <c r="X2704" s="2">
        <v>3</v>
      </c>
      <c r="Z2704" s="2">
        <v>17</v>
      </c>
      <c r="AA2704" s="3" t="s">
        <v>40</v>
      </c>
      <c r="AB2704" s="2">
        <v>1</v>
      </c>
      <c r="AF2704" s="2">
        <v>30</v>
      </c>
      <c r="AG2704" s="2">
        <v>1</v>
      </c>
      <c r="AH2704" s="3" t="s">
        <v>2819</v>
      </c>
      <c r="AI2704" s="4">
        <v>45040</v>
      </c>
      <c r="AJ2704" s="3" t="s">
        <v>2830</v>
      </c>
      <c r="AK2704" s="3" t="s">
        <v>645</v>
      </c>
    </row>
    <row r="2705" spans="1:37" hidden="1" x14ac:dyDescent="0.25">
      <c r="A2705" t="str">
        <f t="shared" si="42"/>
        <v>2023_NSW_RankinsSprings_Fababean_SatelliteTOS1VarietyNasmaWaterTrtRainFed</v>
      </c>
      <c r="B2705" s="2">
        <v>2023028</v>
      </c>
      <c r="C2705" s="3" t="s">
        <v>2811</v>
      </c>
      <c r="D2705" s="3" t="s">
        <v>645</v>
      </c>
      <c r="F2705" s="3" t="s">
        <v>4186</v>
      </c>
      <c r="G2705" s="3" t="s">
        <v>43</v>
      </c>
      <c r="H2705" s="3" t="s">
        <v>253</v>
      </c>
      <c r="I2705" s="2">
        <v>18</v>
      </c>
      <c r="J2705" s="2">
        <v>18</v>
      </c>
      <c r="K2705" s="2">
        <v>2</v>
      </c>
      <c r="O2705" s="2">
        <v>3</v>
      </c>
      <c r="U2705" s="2">
        <v>6</v>
      </c>
      <c r="V2705" s="2">
        <v>8</v>
      </c>
      <c r="W2705" s="2">
        <v>6</v>
      </c>
      <c r="X2705" s="2">
        <v>3</v>
      </c>
      <c r="Z2705" s="2">
        <v>18</v>
      </c>
      <c r="AA2705" s="3" t="s">
        <v>40</v>
      </c>
      <c r="AB2705" s="2">
        <v>5</v>
      </c>
      <c r="AF2705" s="2">
        <v>30</v>
      </c>
      <c r="AG2705" s="2">
        <v>1</v>
      </c>
      <c r="AH2705" s="3" t="s">
        <v>2819</v>
      </c>
      <c r="AI2705" s="4">
        <v>45040</v>
      </c>
      <c r="AJ2705" s="3" t="s">
        <v>2831</v>
      </c>
      <c r="AK2705" s="3" t="s">
        <v>645</v>
      </c>
    </row>
    <row r="2706" spans="1:37" hidden="1" x14ac:dyDescent="0.25">
      <c r="A2706" t="str">
        <f t="shared" si="42"/>
        <v>2023_NSW_RankinsSprings_Fababean_SatelliteTOS2VarietyAylaWaterTrtRainFed</v>
      </c>
      <c r="B2706" s="2">
        <v>2023028</v>
      </c>
      <c r="C2706" s="3" t="s">
        <v>2811</v>
      </c>
      <c r="D2706" s="3" t="s">
        <v>645</v>
      </c>
      <c r="F2706" s="3" t="s">
        <v>4197</v>
      </c>
      <c r="G2706" s="3" t="s">
        <v>39</v>
      </c>
      <c r="H2706" s="3" t="s">
        <v>253</v>
      </c>
      <c r="I2706" s="2">
        <v>19</v>
      </c>
      <c r="J2706" s="2">
        <v>19</v>
      </c>
      <c r="K2706" s="2">
        <v>2</v>
      </c>
      <c r="O2706" s="2">
        <v>4</v>
      </c>
      <c r="U2706" s="2">
        <v>1</v>
      </c>
      <c r="V2706" s="2">
        <v>11</v>
      </c>
      <c r="W2706" s="2">
        <v>1</v>
      </c>
      <c r="X2706" s="2">
        <v>4</v>
      </c>
      <c r="Z2706" s="2">
        <v>24</v>
      </c>
      <c r="AA2706" s="3" t="s">
        <v>40</v>
      </c>
      <c r="AB2706" s="2">
        <v>2</v>
      </c>
      <c r="AF2706" s="2">
        <v>30</v>
      </c>
      <c r="AG2706" s="2">
        <v>2</v>
      </c>
      <c r="AH2706" s="3" t="s">
        <v>2812</v>
      </c>
      <c r="AI2706" s="4">
        <v>45064</v>
      </c>
      <c r="AJ2706" s="3" t="s">
        <v>2832</v>
      </c>
      <c r="AK2706" s="3" t="s">
        <v>645</v>
      </c>
    </row>
    <row r="2707" spans="1:37" hidden="1" x14ac:dyDescent="0.25">
      <c r="A2707" t="str">
        <f t="shared" si="42"/>
        <v>2023_NSW_RankinsSprings_Fababean_SatelliteTOS2VarietyAmberleyWaterTrtRainFed</v>
      </c>
      <c r="B2707" s="2">
        <v>2023028</v>
      </c>
      <c r="C2707" s="3" t="s">
        <v>2811</v>
      </c>
      <c r="D2707" s="3" t="s">
        <v>645</v>
      </c>
      <c r="F2707" s="3" t="s">
        <v>4185</v>
      </c>
      <c r="G2707" s="3" t="s">
        <v>39</v>
      </c>
      <c r="H2707" s="3" t="s">
        <v>253</v>
      </c>
      <c r="I2707" s="2">
        <v>20</v>
      </c>
      <c r="J2707" s="2">
        <v>20</v>
      </c>
      <c r="K2707" s="2">
        <v>2</v>
      </c>
      <c r="O2707" s="2">
        <v>4</v>
      </c>
      <c r="U2707" s="2">
        <v>2</v>
      </c>
      <c r="V2707" s="2">
        <v>11</v>
      </c>
      <c r="W2707" s="2">
        <v>2</v>
      </c>
      <c r="X2707" s="2">
        <v>4</v>
      </c>
      <c r="Z2707" s="2">
        <v>23</v>
      </c>
      <c r="AA2707" s="3" t="s">
        <v>40</v>
      </c>
      <c r="AB2707" s="2">
        <v>1</v>
      </c>
      <c r="AF2707" s="2">
        <v>30</v>
      </c>
      <c r="AG2707" s="2">
        <v>2</v>
      </c>
      <c r="AH2707" s="3" t="s">
        <v>2812</v>
      </c>
      <c r="AI2707" s="4">
        <v>45064</v>
      </c>
      <c r="AJ2707" s="3" t="s">
        <v>2833</v>
      </c>
      <c r="AK2707" s="3" t="s">
        <v>645</v>
      </c>
    </row>
    <row r="2708" spans="1:37" hidden="1" x14ac:dyDescent="0.25">
      <c r="A2708" t="str">
        <f t="shared" si="42"/>
        <v>2023_NSW_RankinsSprings_Fababean_SatelliteTOS2VarietySamiraWaterTrtRainFed</v>
      </c>
      <c r="B2708" s="2">
        <v>2023028</v>
      </c>
      <c r="C2708" s="3" t="s">
        <v>2811</v>
      </c>
      <c r="D2708" s="3" t="s">
        <v>645</v>
      </c>
      <c r="F2708" s="3" t="s">
        <v>4183</v>
      </c>
      <c r="G2708" s="3" t="s">
        <v>43</v>
      </c>
      <c r="H2708" s="3" t="s">
        <v>253</v>
      </c>
      <c r="I2708" s="2">
        <v>21</v>
      </c>
      <c r="J2708" s="2">
        <v>21</v>
      </c>
      <c r="K2708" s="2">
        <v>2</v>
      </c>
      <c r="O2708" s="2">
        <v>4</v>
      </c>
      <c r="U2708" s="2">
        <v>3</v>
      </c>
      <c r="V2708" s="2">
        <v>11</v>
      </c>
      <c r="W2708" s="2">
        <v>3</v>
      </c>
      <c r="X2708" s="2">
        <v>4</v>
      </c>
      <c r="Z2708" s="2">
        <v>22</v>
      </c>
      <c r="AA2708" s="3" t="s">
        <v>40</v>
      </c>
      <c r="AB2708" s="2">
        <v>6</v>
      </c>
      <c r="AF2708" s="2">
        <v>30</v>
      </c>
      <c r="AG2708" s="2">
        <v>2</v>
      </c>
      <c r="AH2708" s="3" t="s">
        <v>2812</v>
      </c>
      <c r="AI2708" s="4">
        <v>45064</v>
      </c>
      <c r="AJ2708" s="3" t="s">
        <v>2834</v>
      </c>
      <c r="AK2708" s="3" t="s">
        <v>645</v>
      </c>
    </row>
    <row r="2709" spans="1:37" hidden="1" x14ac:dyDescent="0.25">
      <c r="A2709" t="str">
        <f t="shared" si="42"/>
        <v>2023_NSW_RankinsSprings_Fababean_SatelliteTOS2VarietyNasmaWaterTrtRainFed</v>
      </c>
      <c r="B2709" s="2">
        <v>2023028</v>
      </c>
      <c r="C2709" s="3" t="s">
        <v>2811</v>
      </c>
      <c r="D2709" s="3" t="s">
        <v>645</v>
      </c>
      <c r="F2709" s="3" t="s">
        <v>4186</v>
      </c>
      <c r="G2709" s="3" t="s">
        <v>43</v>
      </c>
      <c r="H2709" s="3" t="s">
        <v>253</v>
      </c>
      <c r="I2709" s="2">
        <v>22</v>
      </c>
      <c r="J2709" s="2">
        <v>22</v>
      </c>
      <c r="K2709" s="2">
        <v>2</v>
      </c>
      <c r="O2709" s="2">
        <v>4</v>
      </c>
      <c r="U2709" s="2">
        <v>4</v>
      </c>
      <c r="V2709" s="2">
        <v>11</v>
      </c>
      <c r="W2709" s="2">
        <v>4</v>
      </c>
      <c r="X2709" s="2">
        <v>4</v>
      </c>
      <c r="Z2709" s="2">
        <v>21</v>
      </c>
      <c r="AA2709" s="3" t="s">
        <v>40</v>
      </c>
      <c r="AB2709" s="2">
        <v>5</v>
      </c>
      <c r="AF2709" s="2">
        <v>30</v>
      </c>
      <c r="AG2709" s="2">
        <v>2</v>
      </c>
      <c r="AH2709" s="3" t="s">
        <v>2812</v>
      </c>
      <c r="AI2709" s="4">
        <v>45064</v>
      </c>
      <c r="AJ2709" s="3" t="s">
        <v>2835</v>
      </c>
      <c r="AK2709" s="3" t="s">
        <v>645</v>
      </c>
    </row>
    <row r="2710" spans="1:37" hidden="1" x14ac:dyDescent="0.25">
      <c r="A2710" t="str">
        <f t="shared" si="42"/>
        <v>2023_NSW_RankinsSprings_Fababean_SatelliteTOS2VarietyNanuWaterTrtRainFed</v>
      </c>
      <c r="B2710" s="2">
        <v>2023028</v>
      </c>
      <c r="C2710" s="3" t="s">
        <v>2811</v>
      </c>
      <c r="D2710" s="3" t="s">
        <v>645</v>
      </c>
      <c r="F2710" s="3" t="s">
        <v>4196</v>
      </c>
      <c r="G2710" s="3" t="s">
        <v>39</v>
      </c>
      <c r="H2710" s="3" t="s">
        <v>253</v>
      </c>
      <c r="I2710" s="2">
        <v>23</v>
      </c>
      <c r="J2710" s="2">
        <v>23</v>
      </c>
      <c r="K2710" s="2">
        <v>2</v>
      </c>
      <c r="O2710" s="2">
        <v>4</v>
      </c>
      <c r="U2710" s="2">
        <v>5</v>
      </c>
      <c r="V2710" s="2">
        <v>11</v>
      </c>
      <c r="W2710" s="2">
        <v>5</v>
      </c>
      <c r="X2710" s="2">
        <v>4</v>
      </c>
      <c r="Z2710" s="2">
        <v>20</v>
      </c>
      <c r="AA2710" s="3" t="s">
        <v>40</v>
      </c>
      <c r="AB2710" s="2">
        <v>4</v>
      </c>
      <c r="AF2710" s="2">
        <v>30</v>
      </c>
      <c r="AG2710" s="2">
        <v>2</v>
      </c>
      <c r="AH2710" s="3" t="s">
        <v>2812</v>
      </c>
      <c r="AI2710" s="4">
        <v>45064</v>
      </c>
      <c r="AJ2710" s="3" t="s">
        <v>2836</v>
      </c>
      <c r="AK2710" s="3" t="s">
        <v>645</v>
      </c>
    </row>
    <row r="2711" spans="1:37" hidden="1" x14ac:dyDescent="0.25">
      <c r="A2711" t="str">
        <f t="shared" si="42"/>
        <v>2023_NSW_RankinsSprings_Fababean_SatelliteTOS2VarietyMarneWaterTrtRainFed</v>
      </c>
      <c r="B2711" s="2">
        <v>2023028</v>
      </c>
      <c r="C2711" s="3" t="s">
        <v>2811</v>
      </c>
      <c r="D2711" s="3" t="s">
        <v>645</v>
      </c>
      <c r="F2711" s="3" t="s">
        <v>4184</v>
      </c>
      <c r="G2711" s="3" t="s">
        <v>39</v>
      </c>
      <c r="H2711" s="3" t="s">
        <v>253</v>
      </c>
      <c r="I2711" s="2">
        <v>24</v>
      </c>
      <c r="J2711" s="2">
        <v>24</v>
      </c>
      <c r="K2711" s="2">
        <v>2</v>
      </c>
      <c r="O2711" s="2">
        <v>4</v>
      </c>
      <c r="U2711" s="2">
        <v>6</v>
      </c>
      <c r="V2711" s="2">
        <v>11</v>
      </c>
      <c r="W2711" s="2">
        <v>6</v>
      </c>
      <c r="X2711" s="2">
        <v>4</v>
      </c>
      <c r="Z2711" s="2">
        <v>19</v>
      </c>
      <c r="AA2711" s="3" t="s">
        <v>40</v>
      </c>
      <c r="AB2711" s="2">
        <v>3</v>
      </c>
      <c r="AF2711" s="2">
        <v>30</v>
      </c>
      <c r="AG2711" s="2">
        <v>2</v>
      </c>
      <c r="AH2711" s="3" t="s">
        <v>2812</v>
      </c>
      <c r="AI2711" s="4">
        <v>45064</v>
      </c>
      <c r="AJ2711" s="3" t="s">
        <v>2837</v>
      </c>
      <c r="AK2711" s="3" t="s">
        <v>645</v>
      </c>
    </row>
    <row r="2712" spans="1:37" hidden="1" x14ac:dyDescent="0.25">
      <c r="A2712" t="str">
        <f t="shared" si="42"/>
        <v>2023_NSW_RankinsSprings_Fababean_SatelliteTOS2VarietyAmberleyWaterTrtRainFed</v>
      </c>
      <c r="B2712" s="2">
        <v>2023028</v>
      </c>
      <c r="C2712" s="3" t="s">
        <v>2811</v>
      </c>
      <c r="D2712" s="3" t="s">
        <v>645</v>
      </c>
      <c r="F2712" s="3" t="s">
        <v>4185</v>
      </c>
      <c r="G2712" s="3" t="s">
        <v>39</v>
      </c>
      <c r="H2712" s="3" t="s">
        <v>253</v>
      </c>
      <c r="I2712" s="2">
        <v>25</v>
      </c>
      <c r="J2712" s="2">
        <v>25</v>
      </c>
      <c r="K2712" s="2">
        <v>3</v>
      </c>
      <c r="O2712" s="2">
        <v>5</v>
      </c>
      <c r="U2712" s="2">
        <v>1</v>
      </c>
      <c r="V2712" s="2">
        <v>14</v>
      </c>
      <c r="W2712" s="2">
        <v>1</v>
      </c>
      <c r="X2712" s="2">
        <v>5</v>
      </c>
      <c r="Z2712" s="2">
        <v>25</v>
      </c>
      <c r="AA2712" s="3" t="s">
        <v>40</v>
      </c>
      <c r="AB2712" s="2">
        <v>1</v>
      </c>
      <c r="AF2712" s="2">
        <v>30</v>
      </c>
      <c r="AG2712" s="2">
        <v>2</v>
      </c>
      <c r="AH2712" s="3" t="s">
        <v>2812</v>
      </c>
      <c r="AI2712" s="4">
        <v>45064</v>
      </c>
      <c r="AJ2712" s="3" t="s">
        <v>2838</v>
      </c>
      <c r="AK2712" s="3" t="s">
        <v>645</v>
      </c>
    </row>
    <row r="2713" spans="1:37" hidden="1" x14ac:dyDescent="0.25">
      <c r="A2713" t="str">
        <f t="shared" si="42"/>
        <v>2023_NSW_RankinsSprings_Fababean_SatelliteTOS2VarietyMarneWaterTrtRainFed</v>
      </c>
      <c r="B2713" s="2">
        <v>2023028</v>
      </c>
      <c r="C2713" s="3" t="s">
        <v>2811</v>
      </c>
      <c r="D2713" s="3" t="s">
        <v>645</v>
      </c>
      <c r="F2713" s="3" t="s">
        <v>4184</v>
      </c>
      <c r="G2713" s="3" t="s">
        <v>39</v>
      </c>
      <c r="H2713" s="3" t="s">
        <v>253</v>
      </c>
      <c r="I2713" s="2">
        <v>26</v>
      </c>
      <c r="J2713" s="2">
        <v>26</v>
      </c>
      <c r="K2713" s="2">
        <v>3</v>
      </c>
      <c r="O2713" s="2">
        <v>5</v>
      </c>
      <c r="U2713" s="2">
        <v>2</v>
      </c>
      <c r="V2713" s="2">
        <v>14</v>
      </c>
      <c r="W2713" s="2">
        <v>2</v>
      </c>
      <c r="X2713" s="2">
        <v>5</v>
      </c>
      <c r="Z2713" s="2">
        <v>26</v>
      </c>
      <c r="AA2713" s="3" t="s">
        <v>40</v>
      </c>
      <c r="AB2713" s="2">
        <v>3</v>
      </c>
      <c r="AF2713" s="2">
        <v>30</v>
      </c>
      <c r="AG2713" s="2">
        <v>2</v>
      </c>
      <c r="AH2713" s="3" t="s">
        <v>2812</v>
      </c>
      <c r="AI2713" s="4">
        <v>45064</v>
      </c>
      <c r="AJ2713" s="3" t="s">
        <v>2839</v>
      </c>
      <c r="AK2713" s="3" t="s">
        <v>645</v>
      </c>
    </row>
    <row r="2714" spans="1:37" hidden="1" x14ac:dyDescent="0.25">
      <c r="A2714" t="str">
        <f t="shared" si="42"/>
        <v>2023_NSW_RankinsSprings_Fababean_SatelliteTOS2VarietyNanuWaterTrtRainFed</v>
      </c>
      <c r="B2714" s="2">
        <v>2023028</v>
      </c>
      <c r="C2714" s="3" t="s">
        <v>2811</v>
      </c>
      <c r="D2714" s="3" t="s">
        <v>645</v>
      </c>
      <c r="F2714" s="3" t="s">
        <v>4196</v>
      </c>
      <c r="G2714" s="3" t="s">
        <v>39</v>
      </c>
      <c r="H2714" s="3" t="s">
        <v>253</v>
      </c>
      <c r="I2714" s="2">
        <v>27</v>
      </c>
      <c r="J2714" s="2">
        <v>27</v>
      </c>
      <c r="K2714" s="2">
        <v>3</v>
      </c>
      <c r="O2714" s="2">
        <v>5</v>
      </c>
      <c r="U2714" s="2">
        <v>3</v>
      </c>
      <c r="V2714" s="2">
        <v>14</v>
      </c>
      <c r="W2714" s="2">
        <v>3</v>
      </c>
      <c r="X2714" s="2">
        <v>5</v>
      </c>
      <c r="Z2714" s="2">
        <v>27</v>
      </c>
      <c r="AA2714" s="3" t="s">
        <v>40</v>
      </c>
      <c r="AB2714" s="2">
        <v>4</v>
      </c>
      <c r="AF2714" s="2">
        <v>30</v>
      </c>
      <c r="AG2714" s="2">
        <v>2</v>
      </c>
      <c r="AH2714" s="3" t="s">
        <v>2812</v>
      </c>
      <c r="AI2714" s="4">
        <v>45064</v>
      </c>
      <c r="AJ2714" s="3" t="s">
        <v>2840</v>
      </c>
      <c r="AK2714" s="3" t="s">
        <v>645</v>
      </c>
    </row>
    <row r="2715" spans="1:37" hidden="1" x14ac:dyDescent="0.25">
      <c r="A2715" t="str">
        <f t="shared" si="42"/>
        <v>2023_NSW_RankinsSprings_Fababean_SatelliteTOS2VarietyAylaWaterTrtRainFed</v>
      </c>
      <c r="B2715" s="2">
        <v>2023028</v>
      </c>
      <c r="C2715" s="3" t="s">
        <v>2811</v>
      </c>
      <c r="D2715" s="3" t="s">
        <v>645</v>
      </c>
      <c r="F2715" s="3" t="s">
        <v>4197</v>
      </c>
      <c r="G2715" s="3" t="s">
        <v>39</v>
      </c>
      <c r="H2715" s="3" t="s">
        <v>253</v>
      </c>
      <c r="I2715" s="2">
        <v>28</v>
      </c>
      <c r="J2715" s="2">
        <v>28</v>
      </c>
      <c r="K2715" s="2">
        <v>3</v>
      </c>
      <c r="O2715" s="2">
        <v>5</v>
      </c>
      <c r="U2715" s="2">
        <v>4</v>
      </c>
      <c r="V2715" s="2">
        <v>14</v>
      </c>
      <c r="W2715" s="2">
        <v>4</v>
      </c>
      <c r="X2715" s="2">
        <v>5</v>
      </c>
      <c r="Z2715" s="2">
        <v>28</v>
      </c>
      <c r="AA2715" s="3" t="s">
        <v>40</v>
      </c>
      <c r="AB2715" s="2">
        <v>2</v>
      </c>
      <c r="AF2715" s="2">
        <v>30</v>
      </c>
      <c r="AG2715" s="2">
        <v>2</v>
      </c>
      <c r="AH2715" s="3" t="s">
        <v>2812</v>
      </c>
      <c r="AI2715" s="4">
        <v>45064</v>
      </c>
      <c r="AJ2715" s="3" t="s">
        <v>2841</v>
      </c>
      <c r="AK2715" s="3" t="s">
        <v>645</v>
      </c>
    </row>
    <row r="2716" spans="1:37" hidden="1" x14ac:dyDescent="0.25">
      <c r="A2716" t="str">
        <f t="shared" si="42"/>
        <v>2023_NSW_RankinsSprings_Fababean_SatelliteTOS2VarietyNasmaWaterTrtRainFed</v>
      </c>
      <c r="B2716" s="2">
        <v>2023028</v>
      </c>
      <c r="C2716" s="3" t="s">
        <v>2811</v>
      </c>
      <c r="D2716" s="3" t="s">
        <v>645</v>
      </c>
      <c r="F2716" s="3" t="s">
        <v>4186</v>
      </c>
      <c r="G2716" s="3" t="s">
        <v>43</v>
      </c>
      <c r="H2716" s="3" t="s">
        <v>253</v>
      </c>
      <c r="I2716" s="2">
        <v>29</v>
      </c>
      <c r="J2716" s="2">
        <v>29</v>
      </c>
      <c r="K2716" s="2">
        <v>3</v>
      </c>
      <c r="O2716" s="2">
        <v>5</v>
      </c>
      <c r="U2716" s="2">
        <v>5</v>
      </c>
      <c r="V2716" s="2">
        <v>14</v>
      </c>
      <c r="W2716" s="2">
        <v>5</v>
      </c>
      <c r="X2716" s="2">
        <v>5</v>
      </c>
      <c r="Z2716" s="2">
        <v>29</v>
      </c>
      <c r="AA2716" s="3" t="s">
        <v>40</v>
      </c>
      <c r="AB2716" s="2">
        <v>5</v>
      </c>
      <c r="AF2716" s="2">
        <v>30</v>
      </c>
      <c r="AG2716" s="2">
        <v>2</v>
      </c>
      <c r="AH2716" s="3" t="s">
        <v>2812</v>
      </c>
      <c r="AI2716" s="4">
        <v>45064</v>
      </c>
      <c r="AJ2716" s="3" t="s">
        <v>2842</v>
      </c>
      <c r="AK2716" s="3" t="s">
        <v>645</v>
      </c>
    </row>
    <row r="2717" spans="1:37" hidden="1" x14ac:dyDescent="0.25">
      <c r="A2717" t="str">
        <f t="shared" si="42"/>
        <v>2023_NSW_RankinsSprings_Fababean_SatelliteTOS2VarietySamiraWaterTrtRainFed</v>
      </c>
      <c r="B2717" s="2">
        <v>2023028</v>
      </c>
      <c r="C2717" s="3" t="s">
        <v>2811</v>
      </c>
      <c r="D2717" s="3" t="s">
        <v>645</v>
      </c>
      <c r="F2717" s="3" t="s">
        <v>4183</v>
      </c>
      <c r="G2717" s="3" t="s">
        <v>43</v>
      </c>
      <c r="H2717" s="3" t="s">
        <v>253</v>
      </c>
      <c r="I2717" s="2">
        <v>30</v>
      </c>
      <c r="J2717" s="2">
        <v>30</v>
      </c>
      <c r="K2717" s="2">
        <v>3</v>
      </c>
      <c r="O2717" s="2">
        <v>5</v>
      </c>
      <c r="U2717" s="2">
        <v>6</v>
      </c>
      <c r="V2717" s="2">
        <v>14</v>
      </c>
      <c r="W2717" s="2">
        <v>6</v>
      </c>
      <c r="X2717" s="2">
        <v>5</v>
      </c>
      <c r="Z2717" s="2">
        <v>30</v>
      </c>
      <c r="AA2717" s="3" t="s">
        <v>40</v>
      </c>
      <c r="AB2717" s="2">
        <v>6</v>
      </c>
      <c r="AF2717" s="2">
        <v>30</v>
      </c>
      <c r="AG2717" s="2">
        <v>2</v>
      </c>
      <c r="AH2717" s="3" t="s">
        <v>2812</v>
      </c>
      <c r="AI2717" s="4">
        <v>45064</v>
      </c>
      <c r="AJ2717" s="3" t="s">
        <v>2843</v>
      </c>
      <c r="AK2717" s="3" t="s">
        <v>645</v>
      </c>
    </row>
    <row r="2718" spans="1:37" hidden="1" x14ac:dyDescent="0.25">
      <c r="A2718" t="str">
        <f t="shared" si="42"/>
        <v>2023_NSW_RankinsSprings_Fababean_SatelliteTOS1VarietyNasmaWaterTrtRainFed</v>
      </c>
      <c r="B2718" s="2">
        <v>2023028</v>
      </c>
      <c r="C2718" s="3" t="s">
        <v>2811</v>
      </c>
      <c r="D2718" s="3" t="s">
        <v>645</v>
      </c>
      <c r="F2718" s="3" t="s">
        <v>4186</v>
      </c>
      <c r="G2718" s="3" t="s">
        <v>43</v>
      </c>
      <c r="H2718" s="3" t="s">
        <v>253</v>
      </c>
      <c r="I2718" s="2">
        <v>31</v>
      </c>
      <c r="J2718" s="2">
        <v>31</v>
      </c>
      <c r="K2718" s="2">
        <v>3</v>
      </c>
      <c r="O2718" s="2">
        <v>6</v>
      </c>
      <c r="U2718" s="2">
        <v>1</v>
      </c>
      <c r="V2718" s="2">
        <v>17</v>
      </c>
      <c r="W2718" s="2">
        <v>1</v>
      </c>
      <c r="X2718" s="2">
        <v>6</v>
      </c>
      <c r="Z2718" s="2">
        <v>36</v>
      </c>
      <c r="AA2718" s="3" t="s">
        <v>40</v>
      </c>
      <c r="AB2718" s="2">
        <v>5</v>
      </c>
      <c r="AF2718" s="2">
        <v>30</v>
      </c>
      <c r="AG2718" s="2">
        <v>1</v>
      </c>
      <c r="AH2718" s="3" t="s">
        <v>2819</v>
      </c>
      <c r="AI2718" s="4">
        <v>45040</v>
      </c>
      <c r="AJ2718" s="3" t="s">
        <v>2844</v>
      </c>
      <c r="AK2718" s="3" t="s">
        <v>645</v>
      </c>
    </row>
    <row r="2719" spans="1:37" hidden="1" x14ac:dyDescent="0.25">
      <c r="A2719" t="str">
        <f t="shared" si="42"/>
        <v>2023_NSW_RankinsSprings_Fababean_SatelliteTOS1VarietyNanuWaterTrtRainFed</v>
      </c>
      <c r="B2719" s="2">
        <v>2023028</v>
      </c>
      <c r="C2719" s="3" t="s">
        <v>2811</v>
      </c>
      <c r="D2719" s="3" t="s">
        <v>645</v>
      </c>
      <c r="F2719" s="3" t="s">
        <v>4196</v>
      </c>
      <c r="G2719" s="3" t="s">
        <v>39</v>
      </c>
      <c r="H2719" s="3" t="s">
        <v>253</v>
      </c>
      <c r="I2719" s="2">
        <v>32</v>
      </c>
      <c r="J2719" s="2">
        <v>32</v>
      </c>
      <c r="K2719" s="2">
        <v>3</v>
      </c>
      <c r="O2719" s="2">
        <v>6</v>
      </c>
      <c r="U2719" s="2">
        <v>2</v>
      </c>
      <c r="V2719" s="2">
        <v>17</v>
      </c>
      <c r="W2719" s="2">
        <v>2</v>
      </c>
      <c r="X2719" s="2">
        <v>6</v>
      </c>
      <c r="Z2719" s="2">
        <v>35</v>
      </c>
      <c r="AA2719" s="3" t="s">
        <v>40</v>
      </c>
      <c r="AB2719" s="2">
        <v>4</v>
      </c>
      <c r="AF2719" s="2">
        <v>30</v>
      </c>
      <c r="AG2719" s="2">
        <v>1</v>
      </c>
      <c r="AH2719" s="3" t="s">
        <v>2819</v>
      </c>
      <c r="AI2719" s="4">
        <v>45040</v>
      </c>
      <c r="AJ2719" s="3" t="s">
        <v>2845</v>
      </c>
      <c r="AK2719" s="3" t="s">
        <v>645</v>
      </c>
    </row>
    <row r="2720" spans="1:37" hidden="1" x14ac:dyDescent="0.25">
      <c r="A2720" t="str">
        <f t="shared" si="42"/>
        <v>2023_NSW_RankinsSprings_Fababean_SatelliteTOS1VarietyAmberleyWaterTrtRainFed</v>
      </c>
      <c r="B2720" s="2">
        <v>2023028</v>
      </c>
      <c r="C2720" s="3" t="s">
        <v>2811</v>
      </c>
      <c r="D2720" s="3" t="s">
        <v>645</v>
      </c>
      <c r="F2720" s="3" t="s">
        <v>4185</v>
      </c>
      <c r="G2720" s="3" t="s">
        <v>39</v>
      </c>
      <c r="H2720" s="3" t="s">
        <v>253</v>
      </c>
      <c r="I2720" s="2">
        <v>33</v>
      </c>
      <c r="J2720" s="2">
        <v>33</v>
      </c>
      <c r="K2720" s="2">
        <v>3</v>
      </c>
      <c r="O2720" s="2">
        <v>6</v>
      </c>
      <c r="U2720" s="2">
        <v>3</v>
      </c>
      <c r="V2720" s="2">
        <v>17</v>
      </c>
      <c r="W2720" s="2">
        <v>3</v>
      </c>
      <c r="X2720" s="2">
        <v>6</v>
      </c>
      <c r="Z2720" s="2">
        <v>34</v>
      </c>
      <c r="AA2720" s="3" t="s">
        <v>40</v>
      </c>
      <c r="AB2720" s="2">
        <v>1</v>
      </c>
      <c r="AF2720" s="2">
        <v>30</v>
      </c>
      <c r="AG2720" s="2">
        <v>1</v>
      </c>
      <c r="AH2720" s="3" t="s">
        <v>2819</v>
      </c>
      <c r="AI2720" s="4">
        <v>45040</v>
      </c>
      <c r="AJ2720" s="3" t="s">
        <v>2846</v>
      </c>
      <c r="AK2720" s="3" t="s">
        <v>645</v>
      </c>
    </row>
    <row r="2721" spans="1:37" hidden="1" x14ac:dyDescent="0.25">
      <c r="A2721" t="str">
        <f t="shared" si="42"/>
        <v>2023_NSW_RankinsSprings_Fababean_SatelliteTOS1VarietySamiraWaterTrtRainFed</v>
      </c>
      <c r="B2721" s="2">
        <v>2023028</v>
      </c>
      <c r="C2721" s="3" t="s">
        <v>2811</v>
      </c>
      <c r="D2721" s="3" t="s">
        <v>645</v>
      </c>
      <c r="F2721" s="3" t="s">
        <v>4183</v>
      </c>
      <c r="G2721" s="3" t="s">
        <v>43</v>
      </c>
      <c r="H2721" s="3" t="s">
        <v>253</v>
      </c>
      <c r="I2721" s="2">
        <v>34</v>
      </c>
      <c r="J2721" s="2">
        <v>34</v>
      </c>
      <c r="K2721" s="2">
        <v>3</v>
      </c>
      <c r="O2721" s="2">
        <v>6</v>
      </c>
      <c r="U2721" s="2">
        <v>4</v>
      </c>
      <c r="V2721" s="2">
        <v>17</v>
      </c>
      <c r="W2721" s="2">
        <v>4</v>
      </c>
      <c r="X2721" s="2">
        <v>6</v>
      </c>
      <c r="Z2721" s="2">
        <v>33</v>
      </c>
      <c r="AA2721" s="3" t="s">
        <v>40</v>
      </c>
      <c r="AB2721" s="2">
        <v>6</v>
      </c>
      <c r="AF2721" s="2">
        <v>30</v>
      </c>
      <c r="AG2721" s="2">
        <v>1</v>
      </c>
      <c r="AH2721" s="3" t="s">
        <v>2819</v>
      </c>
      <c r="AI2721" s="4">
        <v>45040</v>
      </c>
      <c r="AJ2721" s="3" t="s">
        <v>2847</v>
      </c>
      <c r="AK2721" s="3" t="s">
        <v>645</v>
      </c>
    </row>
    <row r="2722" spans="1:37" hidden="1" x14ac:dyDescent="0.25">
      <c r="A2722" t="str">
        <f t="shared" si="42"/>
        <v>2023_NSW_RankinsSprings_Fababean_SatelliteTOS1VarietyMarneWaterTrtRainFed</v>
      </c>
      <c r="B2722" s="2">
        <v>2023028</v>
      </c>
      <c r="C2722" s="3" t="s">
        <v>2811</v>
      </c>
      <c r="D2722" s="3" t="s">
        <v>645</v>
      </c>
      <c r="F2722" s="3" t="s">
        <v>4184</v>
      </c>
      <c r="G2722" s="3" t="s">
        <v>39</v>
      </c>
      <c r="H2722" s="3" t="s">
        <v>253</v>
      </c>
      <c r="I2722" s="2">
        <v>35</v>
      </c>
      <c r="J2722" s="2">
        <v>35</v>
      </c>
      <c r="K2722" s="2">
        <v>3</v>
      </c>
      <c r="O2722" s="2">
        <v>6</v>
      </c>
      <c r="U2722" s="2">
        <v>5</v>
      </c>
      <c r="V2722" s="2">
        <v>17</v>
      </c>
      <c r="W2722" s="2">
        <v>5</v>
      </c>
      <c r="X2722" s="2">
        <v>6</v>
      </c>
      <c r="Z2722" s="2">
        <v>32</v>
      </c>
      <c r="AA2722" s="3" t="s">
        <v>40</v>
      </c>
      <c r="AB2722" s="2">
        <v>3</v>
      </c>
      <c r="AF2722" s="2">
        <v>30</v>
      </c>
      <c r="AG2722" s="2">
        <v>1</v>
      </c>
      <c r="AH2722" s="3" t="s">
        <v>2819</v>
      </c>
      <c r="AI2722" s="4">
        <v>45040</v>
      </c>
      <c r="AJ2722" s="3" t="s">
        <v>2848</v>
      </c>
      <c r="AK2722" s="3" t="s">
        <v>645</v>
      </c>
    </row>
    <row r="2723" spans="1:37" hidden="1" x14ac:dyDescent="0.25">
      <c r="A2723" t="str">
        <f t="shared" si="42"/>
        <v>2023_NSW_RankinsSprings_Fababean_SatelliteTOS1VarietyAylaWaterTrtRainFed</v>
      </c>
      <c r="B2723" s="2">
        <v>2023028</v>
      </c>
      <c r="C2723" s="3" t="s">
        <v>2811</v>
      </c>
      <c r="D2723" s="3" t="s">
        <v>645</v>
      </c>
      <c r="F2723" s="3" t="s">
        <v>4197</v>
      </c>
      <c r="G2723" s="3" t="s">
        <v>39</v>
      </c>
      <c r="H2723" s="3" t="s">
        <v>253</v>
      </c>
      <c r="I2723" s="2">
        <v>36</v>
      </c>
      <c r="J2723" s="2">
        <v>36</v>
      </c>
      <c r="K2723" s="2">
        <v>3</v>
      </c>
      <c r="O2723" s="2">
        <v>6</v>
      </c>
      <c r="U2723" s="2">
        <v>6</v>
      </c>
      <c r="V2723" s="2">
        <v>17</v>
      </c>
      <c r="W2723" s="2">
        <v>6</v>
      </c>
      <c r="X2723" s="2">
        <v>6</v>
      </c>
      <c r="Z2723" s="2">
        <v>31</v>
      </c>
      <c r="AA2723" s="3" t="s">
        <v>40</v>
      </c>
      <c r="AB2723" s="2">
        <v>2</v>
      </c>
      <c r="AF2723" s="2">
        <v>30</v>
      </c>
      <c r="AG2723" s="2">
        <v>1</v>
      </c>
      <c r="AH2723" s="3" t="s">
        <v>2819</v>
      </c>
      <c r="AI2723" s="4">
        <v>45040</v>
      </c>
      <c r="AJ2723" s="3" t="s">
        <v>2849</v>
      </c>
      <c r="AK2723" s="3" t="s">
        <v>645</v>
      </c>
    </row>
    <row r="2724" spans="1:37" hidden="1" x14ac:dyDescent="0.25">
      <c r="A2724" t="str">
        <f t="shared" si="42"/>
        <v>2023_NSW_RankinsSprings_Fababean_SatelliteTOS1VarietyAylaWaterTrtRainFed</v>
      </c>
      <c r="B2724" s="2">
        <v>2023028</v>
      </c>
      <c r="C2724" s="3" t="s">
        <v>2811</v>
      </c>
      <c r="D2724" s="3" t="s">
        <v>645</v>
      </c>
      <c r="F2724" s="3" t="s">
        <v>4197</v>
      </c>
      <c r="G2724" s="3" t="s">
        <v>39</v>
      </c>
      <c r="H2724" s="3" t="s">
        <v>253</v>
      </c>
      <c r="I2724" s="2">
        <v>37</v>
      </c>
      <c r="J2724" s="2">
        <v>37</v>
      </c>
      <c r="K2724" s="2">
        <v>4</v>
      </c>
      <c r="O2724" s="2">
        <v>7</v>
      </c>
      <c r="U2724" s="2">
        <v>1</v>
      </c>
      <c r="V2724" s="2">
        <v>20</v>
      </c>
      <c r="W2724" s="2">
        <v>1</v>
      </c>
      <c r="X2724" s="2">
        <v>7</v>
      </c>
      <c r="Z2724" s="2">
        <v>37</v>
      </c>
      <c r="AA2724" s="3" t="s">
        <v>40</v>
      </c>
      <c r="AB2724" s="2">
        <v>2</v>
      </c>
      <c r="AF2724" s="2">
        <v>30</v>
      </c>
      <c r="AG2724" s="2">
        <v>1</v>
      </c>
      <c r="AH2724" s="3" t="s">
        <v>2819</v>
      </c>
      <c r="AI2724" s="4">
        <v>45040</v>
      </c>
      <c r="AJ2724" s="3" t="s">
        <v>2850</v>
      </c>
      <c r="AK2724" s="3" t="s">
        <v>645</v>
      </c>
    </row>
    <row r="2725" spans="1:37" hidden="1" x14ac:dyDescent="0.25">
      <c r="A2725" t="str">
        <f t="shared" si="42"/>
        <v>2023_NSW_RankinsSprings_Fababean_SatelliteTOS1VarietySamiraWaterTrtRainFed</v>
      </c>
      <c r="B2725" s="2">
        <v>2023028</v>
      </c>
      <c r="C2725" s="3" t="s">
        <v>2811</v>
      </c>
      <c r="D2725" s="3" t="s">
        <v>645</v>
      </c>
      <c r="F2725" s="3" t="s">
        <v>4183</v>
      </c>
      <c r="G2725" s="3" t="s">
        <v>43</v>
      </c>
      <c r="H2725" s="3" t="s">
        <v>253</v>
      </c>
      <c r="I2725" s="2">
        <v>38</v>
      </c>
      <c r="J2725" s="2">
        <v>38</v>
      </c>
      <c r="K2725" s="2">
        <v>4</v>
      </c>
      <c r="O2725" s="2">
        <v>7</v>
      </c>
      <c r="U2725" s="2">
        <v>2</v>
      </c>
      <c r="V2725" s="2">
        <v>20</v>
      </c>
      <c r="W2725" s="2">
        <v>2</v>
      </c>
      <c r="X2725" s="2">
        <v>7</v>
      </c>
      <c r="Z2725" s="2">
        <v>38</v>
      </c>
      <c r="AA2725" s="3" t="s">
        <v>40</v>
      </c>
      <c r="AB2725" s="2">
        <v>6</v>
      </c>
      <c r="AF2725" s="2">
        <v>30</v>
      </c>
      <c r="AG2725" s="2">
        <v>1</v>
      </c>
      <c r="AH2725" s="3" t="s">
        <v>2819</v>
      </c>
      <c r="AI2725" s="4">
        <v>45040</v>
      </c>
      <c r="AJ2725" s="3" t="s">
        <v>2851</v>
      </c>
      <c r="AK2725" s="3" t="s">
        <v>645</v>
      </c>
    </row>
    <row r="2726" spans="1:37" hidden="1" x14ac:dyDescent="0.25">
      <c r="A2726" t="str">
        <f t="shared" si="42"/>
        <v>2023_NSW_RankinsSprings_Fababean_SatelliteTOS1VarietyMarneWaterTrtRainFed</v>
      </c>
      <c r="B2726" s="2">
        <v>2023028</v>
      </c>
      <c r="C2726" s="3" t="s">
        <v>2811</v>
      </c>
      <c r="D2726" s="3" t="s">
        <v>645</v>
      </c>
      <c r="F2726" s="3" t="s">
        <v>4184</v>
      </c>
      <c r="G2726" s="3" t="s">
        <v>39</v>
      </c>
      <c r="H2726" s="3" t="s">
        <v>253</v>
      </c>
      <c r="I2726" s="2">
        <v>39</v>
      </c>
      <c r="J2726" s="2">
        <v>39</v>
      </c>
      <c r="K2726" s="2">
        <v>4</v>
      </c>
      <c r="O2726" s="2">
        <v>7</v>
      </c>
      <c r="U2726" s="2">
        <v>3</v>
      </c>
      <c r="V2726" s="2">
        <v>20</v>
      </c>
      <c r="W2726" s="2">
        <v>3</v>
      </c>
      <c r="X2726" s="2">
        <v>7</v>
      </c>
      <c r="Z2726" s="2">
        <v>39</v>
      </c>
      <c r="AA2726" s="3" t="s">
        <v>40</v>
      </c>
      <c r="AB2726" s="2">
        <v>3</v>
      </c>
      <c r="AF2726" s="2">
        <v>30</v>
      </c>
      <c r="AG2726" s="2">
        <v>1</v>
      </c>
      <c r="AH2726" s="3" t="s">
        <v>2819</v>
      </c>
      <c r="AI2726" s="4">
        <v>45040</v>
      </c>
      <c r="AJ2726" s="3" t="s">
        <v>2852</v>
      </c>
      <c r="AK2726" s="3" t="s">
        <v>645</v>
      </c>
    </row>
    <row r="2727" spans="1:37" hidden="1" x14ac:dyDescent="0.25">
      <c r="A2727" t="str">
        <f t="shared" si="42"/>
        <v>2023_NSW_RankinsSprings_Fababean_SatelliteTOS1VarietyNasmaWaterTrtRainFed</v>
      </c>
      <c r="B2727" s="2">
        <v>2023028</v>
      </c>
      <c r="C2727" s="3" t="s">
        <v>2811</v>
      </c>
      <c r="D2727" s="3" t="s">
        <v>645</v>
      </c>
      <c r="F2727" s="3" t="s">
        <v>4186</v>
      </c>
      <c r="G2727" s="3" t="s">
        <v>43</v>
      </c>
      <c r="H2727" s="3" t="s">
        <v>253</v>
      </c>
      <c r="I2727" s="2">
        <v>40</v>
      </c>
      <c r="J2727" s="2">
        <v>40</v>
      </c>
      <c r="K2727" s="2">
        <v>4</v>
      </c>
      <c r="O2727" s="2">
        <v>7</v>
      </c>
      <c r="U2727" s="2">
        <v>4</v>
      </c>
      <c r="V2727" s="2">
        <v>20</v>
      </c>
      <c r="W2727" s="2">
        <v>4</v>
      </c>
      <c r="X2727" s="2">
        <v>7</v>
      </c>
      <c r="Z2727" s="2">
        <v>40</v>
      </c>
      <c r="AA2727" s="3" t="s">
        <v>40</v>
      </c>
      <c r="AB2727" s="2">
        <v>5</v>
      </c>
      <c r="AF2727" s="2">
        <v>30</v>
      </c>
      <c r="AG2727" s="2">
        <v>1</v>
      </c>
      <c r="AH2727" s="3" t="s">
        <v>2819</v>
      </c>
      <c r="AI2727" s="4">
        <v>45040</v>
      </c>
      <c r="AJ2727" s="3" t="s">
        <v>2853</v>
      </c>
      <c r="AK2727" s="3" t="s">
        <v>645</v>
      </c>
    </row>
    <row r="2728" spans="1:37" hidden="1" x14ac:dyDescent="0.25">
      <c r="A2728" t="str">
        <f t="shared" si="42"/>
        <v>2023_NSW_RankinsSprings_Fababean_SatelliteTOS1VarietyNanuWaterTrtRainFed</v>
      </c>
      <c r="B2728" s="2">
        <v>2023028</v>
      </c>
      <c r="C2728" s="3" t="s">
        <v>2811</v>
      </c>
      <c r="D2728" s="3" t="s">
        <v>645</v>
      </c>
      <c r="F2728" s="3" t="s">
        <v>4196</v>
      </c>
      <c r="G2728" s="3" t="s">
        <v>39</v>
      </c>
      <c r="H2728" s="3" t="s">
        <v>253</v>
      </c>
      <c r="I2728" s="2">
        <v>41</v>
      </c>
      <c r="J2728" s="2">
        <v>41</v>
      </c>
      <c r="K2728" s="2">
        <v>4</v>
      </c>
      <c r="O2728" s="2">
        <v>7</v>
      </c>
      <c r="U2728" s="2">
        <v>5</v>
      </c>
      <c r="V2728" s="2">
        <v>20</v>
      </c>
      <c r="W2728" s="2">
        <v>5</v>
      </c>
      <c r="X2728" s="2">
        <v>7</v>
      </c>
      <c r="Z2728" s="2">
        <v>41</v>
      </c>
      <c r="AA2728" s="3" t="s">
        <v>40</v>
      </c>
      <c r="AB2728" s="2">
        <v>4</v>
      </c>
      <c r="AF2728" s="2">
        <v>30</v>
      </c>
      <c r="AG2728" s="2">
        <v>1</v>
      </c>
      <c r="AH2728" s="3" t="s">
        <v>2819</v>
      </c>
      <c r="AI2728" s="4">
        <v>45040</v>
      </c>
      <c r="AJ2728" s="3" t="s">
        <v>2854</v>
      </c>
      <c r="AK2728" s="3" t="s">
        <v>645</v>
      </c>
    </row>
    <row r="2729" spans="1:37" hidden="1" x14ac:dyDescent="0.25">
      <c r="A2729" t="str">
        <f t="shared" si="42"/>
        <v>2023_NSW_RankinsSprings_Fababean_SatelliteTOS1VarietyAmberleyWaterTrtRainFed</v>
      </c>
      <c r="B2729" s="2">
        <v>2023028</v>
      </c>
      <c r="C2729" s="3" t="s">
        <v>2811</v>
      </c>
      <c r="D2729" s="3" t="s">
        <v>645</v>
      </c>
      <c r="F2729" s="3" t="s">
        <v>4185</v>
      </c>
      <c r="G2729" s="3" t="s">
        <v>39</v>
      </c>
      <c r="H2729" s="3" t="s">
        <v>253</v>
      </c>
      <c r="I2729" s="2">
        <v>42</v>
      </c>
      <c r="J2729" s="2">
        <v>42</v>
      </c>
      <c r="K2729" s="2">
        <v>4</v>
      </c>
      <c r="O2729" s="2">
        <v>7</v>
      </c>
      <c r="U2729" s="2">
        <v>6</v>
      </c>
      <c r="V2729" s="2">
        <v>20</v>
      </c>
      <c r="W2729" s="2">
        <v>6</v>
      </c>
      <c r="X2729" s="2">
        <v>7</v>
      </c>
      <c r="Z2729" s="2">
        <v>42</v>
      </c>
      <c r="AA2729" s="3" t="s">
        <v>40</v>
      </c>
      <c r="AB2729" s="2">
        <v>1</v>
      </c>
      <c r="AF2729" s="2">
        <v>30</v>
      </c>
      <c r="AG2729" s="2">
        <v>1</v>
      </c>
      <c r="AH2729" s="3" t="s">
        <v>2819</v>
      </c>
      <c r="AI2729" s="4">
        <v>45040</v>
      </c>
      <c r="AJ2729" s="3" t="s">
        <v>2855</v>
      </c>
      <c r="AK2729" s="3" t="s">
        <v>645</v>
      </c>
    </row>
    <row r="2730" spans="1:37" hidden="1" x14ac:dyDescent="0.25">
      <c r="A2730" t="str">
        <f t="shared" si="42"/>
        <v>2023_NSW_RankinsSprings_Fababean_SatelliteTOS2VarietyMarneWaterTrtRainFed</v>
      </c>
      <c r="B2730" s="2">
        <v>2023028</v>
      </c>
      <c r="C2730" s="3" t="s">
        <v>2811</v>
      </c>
      <c r="D2730" s="3" t="s">
        <v>645</v>
      </c>
      <c r="F2730" s="3" t="s">
        <v>4184</v>
      </c>
      <c r="G2730" s="3" t="s">
        <v>39</v>
      </c>
      <c r="H2730" s="3" t="s">
        <v>253</v>
      </c>
      <c r="I2730" s="2">
        <v>43</v>
      </c>
      <c r="J2730" s="2">
        <v>43</v>
      </c>
      <c r="K2730" s="2">
        <v>4</v>
      </c>
      <c r="O2730" s="2">
        <v>8</v>
      </c>
      <c r="U2730" s="2">
        <v>1</v>
      </c>
      <c r="V2730" s="2">
        <v>23</v>
      </c>
      <c r="W2730" s="2">
        <v>1</v>
      </c>
      <c r="X2730" s="2">
        <v>8</v>
      </c>
      <c r="Z2730" s="2">
        <v>48</v>
      </c>
      <c r="AA2730" s="3" t="s">
        <v>40</v>
      </c>
      <c r="AB2730" s="2">
        <v>3</v>
      </c>
      <c r="AF2730" s="2">
        <v>30</v>
      </c>
      <c r="AG2730" s="2">
        <v>2</v>
      </c>
      <c r="AH2730" s="3" t="s">
        <v>2812</v>
      </c>
      <c r="AI2730" s="4">
        <v>45064</v>
      </c>
      <c r="AJ2730" s="3" t="s">
        <v>2856</v>
      </c>
      <c r="AK2730" s="3" t="s">
        <v>645</v>
      </c>
    </row>
    <row r="2731" spans="1:37" hidden="1" x14ac:dyDescent="0.25">
      <c r="A2731" t="str">
        <f t="shared" si="42"/>
        <v>2023_NSW_RankinsSprings_Fababean_SatelliteTOS2VarietyNasmaWaterTrtRainFed</v>
      </c>
      <c r="B2731" s="2">
        <v>2023028</v>
      </c>
      <c r="C2731" s="3" t="s">
        <v>2811</v>
      </c>
      <c r="D2731" s="3" t="s">
        <v>645</v>
      </c>
      <c r="F2731" s="3" t="s">
        <v>4186</v>
      </c>
      <c r="G2731" s="3" t="s">
        <v>43</v>
      </c>
      <c r="H2731" s="3" t="s">
        <v>253</v>
      </c>
      <c r="I2731" s="2">
        <v>44</v>
      </c>
      <c r="J2731" s="2">
        <v>44</v>
      </c>
      <c r="K2731" s="2">
        <v>4</v>
      </c>
      <c r="O2731" s="2">
        <v>8</v>
      </c>
      <c r="U2731" s="2">
        <v>2</v>
      </c>
      <c r="V2731" s="2">
        <v>23</v>
      </c>
      <c r="W2731" s="2">
        <v>2</v>
      </c>
      <c r="X2731" s="2">
        <v>8</v>
      </c>
      <c r="Z2731" s="2">
        <v>47</v>
      </c>
      <c r="AA2731" s="3" t="s">
        <v>40</v>
      </c>
      <c r="AB2731" s="2">
        <v>5</v>
      </c>
      <c r="AF2731" s="2">
        <v>30</v>
      </c>
      <c r="AG2731" s="2">
        <v>2</v>
      </c>
      <c r="AH2731" s="3" t="s">
        <v>2812</v>
      </c>
      <c r="AI2731" s="4">
        <v>45064</v>
      </c>
      <c r="AJ2731" s="3" t="s">
        <v>2857</v>
      </c>
      <c r="AK2731" s="3" t="s">
        <v>645</v>
      </c>
    </row>
    <row r="2732" spans="1:37" hidden="1" x14ac:dyDescent="0.25">
      <c r="A2732" t="str">
        <f t="shared" si="42"/>
        <v>2023_NSW_RankinsSprings_Fababean_SatelliteTOS2VarietyAylaWaterTrtRainFed</v>
      </c>
      <c r="B2732" s="2">
        <v>2023028</v>
      </c>
      <c r="C2732" s="3" t="s">
        <v>2811</v>
      </c>
      <c r="D2732" s="3" t="s">
        <v>645</v>
      </c>
      <c r="F2732" s="3" t="s">
        <v>4197</v>
      </c>
      <c r="G2732" s="3" t="s">
        <v>39</v>
      </c>
      <c r="H2732" s="3" t="s">
        <v>253</v>
      </c>
      <c r="I2732" s="2">
        <v>45</v>
      </c>
      <c r="J2732" s="2">
        <v>45</v>
      </c>
      <c r="K2732" s="2">
        <v>4</v>
      </c>
      <c r="O2732" s="2">
        <v>8</v>
      </c>
      <c r="U2732" s="2">
        <v>3</v>
      </c>
      <c r="V2732" s="2">
        <v>23</v>
      </c>
      <c r="W2732" s="2">
        <v>3</v>
      </c>
      <c r="X2732" s="2">
        <v>8</v>
      </c>
      <c r="Z2732" s="2">
        <v>46</v>
      </c>
      <c r="AA2732" s="3" t="s">
        <v>40</v>
      </c>
      <c r="AB2732" s="2">
        <v>2</v>
      </c>
      <c r="AF2732" s="2">
        <v>30</v>
      </c>
      <c r="AG2732" s="2">
        <v>2</v>
      </c>
      <c r="AH2732" s="3" t="s">
        <v>2812</v>
      </c>
      <c r="AI2732" s="4">
        <v>45064</v>
      </c>
      <c r="AJ2732" s="3" t="s">
        <v>2858</v>
      </c>
      <c r="AK2732" s="3" t="s">
        <v>645</v>
      </c>
    </row>
    <row r="2733" spans="1:37" hidden="1" x14ac:dyDescent="0.25">
      <c r="A2733" t="str">
        <f t="shared" si="42"/>
        <v>2023_NSW_RankinsSprings_Fababean_SatelliteTOS2VarietyAmberleyWaterTrtRainFed</v>
      </c>
      <c r="B2733" s="2">
        <v>2023028</v>
      </c>
      <c r="C2733" s="3" t="s">
        <v>2811</v>
      </c>
      <c r="D2733" s="3" t="s">
        <v>645</v>
      </c>
      <c r="F2733" s="3" t="s">
        <v>4185</v>
      </c>
      <c r="G2733" s="3" t="s">
        <v>39</v>
      </c>
      <c r="H2733" s="3" t="s">
        <v>253</v>
      </c>
      <c r="I2733" s="2">
        <v>46</v>
      </c>
      <c r="J2733" s="2">
        <v>46</v>
      </c>
      <c r="K2733" s="2">
        <v>4</v>
      </c>
      <c r="O2733" s="2">
        <v>8</v>
      </c>
      <c r="U2733" s="2">
        <v>4</v>
      </c>
      <c r="V2733" s="2">
        <v>23</v>
      </c>
      <c r="W2733" s="2">
        <v>4</v>
      </c>
      <c r="X2733" s="2">
        <v>8</v>
      </c>
      <c r="Z2733" s="2">
        <v>45</v>
      </c>
      <c r="AA2733" s="3" t="s">
        <v>40</v>
      </c>
      <c r="AB2733" s="2">
        <v>1</v>
      </c>
      <c r="AF2733" s="2">
        <v>30</v>
      </c>
      <c r="AG2733" s="2">
        <v>2</v>
      </c>
      <c r="AH2733" s="3" t="s">
        <v>2812</v>
      </c>
      <c r="AI2733" s="4">
        <v>45064</v>
      </c>
      <c r="AJ2733" s="3" t="s">
        <v>2859</v>
      </c>
      <c r="AK2733" s="3" t="s">
        <v>645</v>
      </c>
    </row>
    <row r="2734" spans="1:37" hidden="1" x14ac:dyDescent="0.25">
      <c r="A2734" t="str">
        <f t="shared" si="42"/>
        <v>2023_NSW_RankinsSprings_Fababean_SatelliteTOS2VarietySamiraWaterTrtRainFed</v>
      </c>
      <c r="B2734" s="2">
        <v>2023028</v>
      </c>
      <c r="C2734" s="3" t="s">
        <v>2811</v>
      </c>
      <c r="D2734" s="3" t="s">
        <v>645</v>
      </c>
      <c r="F2734" s="3" t="s">
        <v>4183</v>
      </c>
      <c r="G2734" s="3" t="s">
        <v>43</v>
      </c>
      <c r="H2734" s="3" t="s">
        <v>253</v>
      </c>
      <c r="I2734" s="2">
        <v>47</v>
      </c>
      <c r="J2734" s="2">
        <v>47</v>
      </c>
      <c r="K2734" s="2">
        <v>4</v>
      </c>
      <c r="O2734" s="2">
        <v>8</v>
      </c>
      <c r="U2734" s="2">
        <v>5</v>
      </c>
      <c r="V2734" s="2">
        <v>23</v>
      </c>
      <c r="W2734" s="2">
        <v>5</v>
      </c>
      <c r="X2734" s="2">
        <v>8</v>
      </c>
      <c r="Z2734" s="2">
        <v>44</v>
      </c>
      <c r="AA2734" s="3" t="s">
        <v>40</v>
      </c>
      <c r="AB2734" s="2">
        <v>6</v>
      </c>
      <c r="AF2734" s="2">
        <v>30</v>
      </c>
      <c r="AG2734" s="2">
        <v>2</v>
      </c>
      <c r="AH2734" s="3" t="s">
        <v>2812</v>
      </c>
      <c r="AI2734" s="4">
        <v>45064</v>
      </c>
      <c r="AJ2734" s="3" t="s">
        <v>2860</v>
      </c>
      <c r="AK2734" s="3" t="s">
        <v>645</v>
      </c>
    </row>
    <row r="2735" spans="1:37" hidden="1" x14ac:dyDescent="0.25">
      <c r="A2735" t="str">
        <f t="shared" si="42"/>
        <v>2023_NSW_RankinsSprings_Fababean_SatelliteTOS2VarietyNanuWaterTrtRainFed</v>
      </c>
      <c r="B2735" s="2">
        <v>2023028</v>
      </c>
      <c r="C2735" s="3" t="s">
        <v>2811</v>
      </c>
      <c r="D2735" s="3" t="s">
        <v>645</v>
      </c>
      <c r="F2735" s="3" t="s">
        <v>4196</v>
      </c>
      <c r="G2735" s="3" t="s">
        <v>39</v>
      </c>
      <c r="H2735" s="3" t="s">
        <v>253</v>
      </c>
      <c r="I2735" s="2">
        <v>48</v>
      </c>
      <c r="J2735" s="2">
        <v>48</v>
      </c>
      <c r="K2735" s="2">
        <v>4</v>
      </c>
      <c r="O2735" s="2">
        <v>8</v>
      </c>
      <c r="U2735" s="2">
        <v>6</v>
      </c>
      <c r="V2735" s="2">
        <v>23</v>
      </c>
      <c r="W2735" s="2">
        <v>6</v>
      </c>
      <c r="X2735" s="2">
        <v>8</v>
      </c>
      <c r="Z2735" s="2">
        <v>43</v>
      </c>
      <c r="AA2735" s="3" t="s">
        <v>40</v>
      </c>
      <c r="AB2735" s="2">
        <v>4</v>
      </c>
      <c r="AF2735" s="2">
        <v>30</v>
      </c>
      <c r="AG2735" s="2">
        <v>2</v>
      </c>
      <c r="AH2735" s="3" t="s">
        <v>2812</v>
      </c>
      <c r="AI2735" s="4">
        <v>45064</v>
      </c>
      <c r="AJ2735" s="3" t="s">
        <v>2861</v>
      </c>
      <c r="AK2735" s="3" t="s">
        <v>645</v>
      </c>
    </row>
    <row r="2736" spans="1:37" hidden="1" x14ac:dyDescent="0.25">
      <c r="A2736" t="str">
        <f t="shared" si="42"/>
        <v>2023_NSW_RankinsSprings_Lupin_SatelliteTOS2VarietyGunyidiWaterTrtRainFed</v>
      </c>
      <c r="B2736" s="2">
        <v>2023029</v>
      </c>
      <c r="C2736" s="3" t="s">
        <v>2862</v>
      </c>
      <c r="D2736" s="3" t="s">
        <v>1931</v>
      </c>
      <c r="F2736" s="3" t="s">
        <v>4198</v>
      </c>
      <c r="G2736" s="3" t="s">
        <v>39</v>
      </c>
      <c r="H2736" s="3" t="s">
        <v>253</v>
      </c>
      <c r="I2736" s="2">
        <v>1</v>
      </c>
      <c r="J2736" s="2">
        <v>1</v>
      </c>
      <c r="K2736" s="2">
        <v>1</v>
      </c>
      <c r="O2736" s="2">
        <v>1</v>
      </c>
      <c r="U2736" s="2">
        <v>1</v>
      </c>
      <c r="V2736" s="2">
        <v>2</v>
      </c>
      <c r="W2736" s="2">
        <v>1</v>
      </c>
      <c r="X2736" s="2">
        <v>1</v>
      </c>
      <c r="Z2736" s="2">
        <v>1</v>
      </c>
      <c r="AA2736" s="3" t="s">
        <v>40</v>
      </c>
      <c r="AB2736" s="2">
        <v>4</v>
      </c>
      <c r="AF2736" s="2">
        <v>30</v>
      </c>
      <c r="AG2736" s="2">
        <v>2</v>
      </c>
      <c r="AH2736" s="3" t="s">
        <v>2812</v>
      </c>
      <c r="AI2736" s="4">
        <v>45064</v>
      </c>
      <c r="AJ2736" s="3" t="s">
        <v>2863</v>
      </c>
      <c r="AK2736" s="3" t="s">
        <v>1931</v>
      </c>
    </row>
    <row r="2737" spans="1:37" hidden="1" x14ac:dyDescent="0.25">
      <c r="A2737" t="str">
        <f t="shared" si="42"/>
        <v>2023_NSW_RankinsSprings_Lupin_SatelliteTOS2VarietyBatemanWaterTrtRainFed</v>
      </c>
      <c r="B2737" s="2">
        <v>2023029</v>
      </c>
      <c r="C2737" s="3" t="s">
        <v>2862</v>
      </c>
      <c r="D2737" s="3" t="s">
        <v>1931</v>
      </c>
      <c r="F2737" s="3" t="s">
        <v>4195</v>
      </c>
      <c r="G2737" s="3" t="s">
        <v>43</v>
      </c>
      <c r="H2737" s="3" t="s">
        <v>253</v>
      </c>
      <c r="I2737" s="2">
        <v>2</v>
      </c>
      <c r="J2737" s="2">
        <v>2</v>
      </c>
      <c r="K2737" s="2">
        <v>1</v>
      </c>
      <c r="O2737" s="2">
        <v>1</v>
      </c>
      <c r="U2737" s="2">
        <v>2</v>
      </c>
      <c r="V2737" s="2">
        <v>2</v>
      </c>
      <c r="W2737" s="2">
        <v>2</v>
      </c>
      <c r="X2737" s="2">
        <v>1</v>
      </c>
      <c r="Z2737" s="2">
        <v>2</v>
      </c>
      <c r="AA2737" s="3" t="s">
        <v>40</v>
      </c>
      <c r="AB2737" s="2">
        <v>3</v>
      </c>
      <c r="AF2737" s="2">
        <v>30</v>
      </c>
      <c r="AG2737" s="2">
        <v>2</v>
      </c>
      <c r="AH2737" s="3" t="s">
        <v>2812</v>
      </c>
      <c r="AI2737" s="4">
        <v>45064</v>
      </c>
      <c r="AJ2737" s="3" t="s">
        <v>2864</v>
      </c>
      <c r="AK2737" s="3" t="s">
        <v>1931</v>
      </c>
    </row>
    <row r="2738" spans="1:37" hidden="1" x14ac:dyDescent="0.25">
      <c r="A2738" t="str">
        <f t="shared" si="42"/>
        <v>2023_NSW_RankinsSprings_Lupin_SatelliteTOS2VarietyMandelupWaterTrtRainFed</v>
      </c>
      <c r="B2738" s="2">
        <v>2023029</v>
      </c>
      <c r="C2738" s="3" t="s">
        <v>2862</v>
      </c>
      <c r="D2738" s="3" t="s">
        <v>1931</v>
      </c>
      <c r="F2738" s="3" t="s">
        <v>1939</v>
      </c>
      <c r="G2738" s="3" t="s">
        <v>39</v>
      </c>
      <c r="H2738" s="3" t="s">
        <v>253</v>
      </c>
      <c r="I2738" s="2">
        <v>3</v>
      </c>
      <c r="J2738" s="2">
        <v>3</v>
      </c>
      <c r="K2738" s="2">
        <v>1</v>
      </c>
      <c r="O2738" s="2">
        <v>1</v>
      </c>
      <c r="U2738" s="2">
        <v>3</v>
      </c>
      <c r="V2738" s="2">
        <v>2</v>
      </c>
      <c r="W2738" s="2">
        <v>3</v>
      </c>
      <c r="X2738" s="2">
        <v>1</v>
      </c>
      <c r="Z2738" s="2">
        <v>3</v>
      </c>
      <c r="AA2738" s="3" t="s">
        <v>40</v>
      </c>
      <c r="AB2738" s="2">
        <v>2</v>
      </c>
      <c r="AF2738" s="2">
        <v>30</v>
      </c>
      <c r="AG2738" s="2">
        <v>2</v>
      </c>
      <c r="AH2738" s="3" t="s">
        <v>2812</v>
      </c>
      <c r="AI2738" s="4">
        <v>45064</v>
      </c>
      <c r="AJ2738" s="3" t="s">
        <v>2865</v>
      </c>
      <c r="AK2738" s="3" t="s">
        <v>1931</v>
      </c>
    </row>
    <row r="2739" spans="1:37" hidden="1" x14ac:dyDescent="0.25">
      <c r="A2739" t="str">
        <f t="shared" si="42"/>
        <v>2023_NSW_RankinsSprings_Lupin_SatelliteTOS2VarietyJurienWaterTrtRainFed</v>
      </c>
      <c r="B2739" s="2">
        <v>2023029</v>
      </c>
      <c r="C2739" s="3" t="s">
        <v>2862</v>
      </c>
      <c r="D2739" s="3" t="s">
        <v>1931</v>
      </c>
      <c r="F2739" s="3" t="s">
        <v>4194</v>
      </c>
      <c r="G2739" s="3" t="s">
        <v>39</v>
      </c>
      <c r="H2739" s="3" t="s">
        <v>253</v>
      </c>
      <c r="I2739" s="2">
        <v>4</v>
      </c>
      <c r="J2739" s="2">
        <v>4</v>
      </c>
      <c r="K2739" s="2">
        <v>1</v>
      </c>
      <c r="O2739" s="2">
        <v>1</v>
      </c>
      <c r="U2739" s="2">
        <v>4</v>
      </c>
      <c r="V2739" s="2">
        <v>2</v>
      </c>
      <c r="W2739" s="2">
        <v>4</v>
      </c>
      <c r="X2739" s="2">
        <v>1</v>
      </c>
      <c r="Z2739" s="2">
        <v>4</v>
      </c>
      <c r="AA2739" s="3" t="s">
        <v>40</v>
      </c>
      <c r="AB2739" s="2">
        <v>5</v>
      </c>
      <c r="AF2739" s="2">
        <v>30</v>
      </c>
      <c r="AG2739" s="2">
        <v>2</v>
      </c>
      <c r="AH2739" s="3" t="s">
        <v>2812</v>
      </c>
      <c r="AI2739" s="4">
        <v>45064</v>
      </c>
      <c r="AJ2739" s="3" t="s">
        <v>2866</v>
      </c>
      <c r="AK2739" s="3" t="s">
        <v>1931</v>
      </c>
    </row>
    <row r="2740" spans="1:37" hidden="1" x14ac:dyDescent="0.25">
      <c r="A2740" t="str">
        <f t="shared" si="42"/>
        <v>2023_NSW_RankinsSprings_Lupin_SatelliteTOS2VarietyWongaWaterTrtRainFed</v>
      </c>
      <c r="B2740" s="2">
        <v>2023029</v>
      </c>
      <c r="C2740" s="3" t="s">
        <v>2862</v>
      </c>
      <c r="D2740" s="3" t="s">
        <v>1931</v>
      </c>
      <c r="F2740" s="3" t="s">
        <v>1932</v>
      </c>
      <c r="G2740" s="3" t="s">
        <v>39</v>
      </c>
      <c r="H2740" s="3" t="s">
        <v>253</v>
      </c>
      <c r="I2740" s="2">
        <v>5</v>
      </c>
      <c r="J2740" s="2">
        <v>5</v>
      </c>
      <c r="K2740" s="2">
        <v>1</v>
      </c>
      <c r="O2740" s="2">
        <v>1</v>
      </c>
      <c r="U2740" s="2">
        <v>5</v>
      </c>
      <c r="V2740" s="2">
        <v>2</v>
      </c>
      <c r="W2740" s="2">
        <v>5</v>
      </c>
      <c r="X2740" s="2">
        <v>1</v>
      </c>
      <c r="Z2740" s="2">
        <v>5</v>
      </c>
      <c r="AA2740" s="3" t="s">
        <v>40</v>
      </c>
      <c r="AB2740" s="2">
        <v>6</v>
      </c>
      <c r="AF2740" s="2">
        <v>30</v>
      </c>
      <c r="AG2740" s="2">
        <v>2</v>
      </c>
      <c r="AH2740" s="3" t="s">
        <v>2812</v>
      </c>
      <c r="AI2740" s="4">
        <v>45064</v>
      </c>
      <c r="AJ2740" s="3" t="s">
        <v>2867</v>
      </c>
      <c r="AK2740" s="3" t="s">
        <v>1931</v>
      </c>
    </row>
    <row r="2741" spans="1:37" hidden="1" x14ac:dyDescent="0.25">
      <c r="A2741" t="str">
        <f t="shared" si="42"/>
        <v>2023_NSW_RankinsSprings_Lupin_SatelliteTOS2VarietyJindaleeWaterTrtRainFed</v>
      </c>
      <c r="B2741" s="2">
        <v>2023029</v>
      </c>
      <c r="C2741" s="3" t="s">
        <v>2862</v>
      </c>
      <c r="D2741" s="3" t="s">
        <v>1931</v>
      </c>
      <c r="F2741" s="3" t="s">
        <v>2868</v>
      </c>
      <c r="G2741" s="3" t="s">
        <v>39</v>
      </c>
      <c r="H2741" s="3" t="s">
        <v>253</v>
      </c>
      <c r="I2741" s="2">
        <v>6</v>
      </c>
      <c r="J2741" s="2">
        <v>6</v>
      </c>
      <c r="K2741" s="2">
        <v>1</v>
      </c>
      <c r="O2741" s="2">
        <v>1</v>
      </c>
      <c r="U2741" s="2">
        <v>6</v>
      </c>
      <c r="V2741" s="2">
        <v>2</v>
      </c>
      <c r="W2741" s="2">
        <v>6</v>
      </c>
      <c r="X2741" s="2">
        <v>1</v>
      </c>
      <c r="Z2741" s="2">
        <v>6</v>
      </c>
      <c r="AA2741" s="3" t="s">
        <v>40</v>
      </c>
      <c r="AB2741" s="2">
        <v>1</v>
      </c>
      <c r="AF2741" s="2">
        <v>30</v>
      </c>
      <c r="AG2741" s="2">
        <v>2</v>
      </c>
      <c r="AH2741" s="3" t="s">
        <v>2812</v>
      </c>
      <c r="AI2741" s="4">
        <v>45064</v>
      </c>
      <c r="AJ2741" s="3" t="s">
        <v>2869</v>
      </c>
      <c r="AK2741" s="3" t="s">
        <v>1931</v>
      </c>
    </row>
    <row r="2742" spans="1:37" hidden="1" x14ac:dyDescent="0.25">
      <c r="A2742" t="str">
        <f t="shared" si="42"/>
        <v>2023_NSW_RankinsSprings_Lupin_SatelliteTOS1VarietyMandelupWaterTrtRainFed</v>
      </c>
      <c r="B2742" s="2">
        <v>2023029</v>
      </c>
      <c r="C2742" s="3" t="s">
        <v>2862</v>
      </c>
      <c r="D2742" s="3" t="s">
        <v>1931</v>
      </c>
      <c r="F2742" s="3" t="s">
        <v>1939</v>
      </c>
      <c r="G2742" s="3" t="s">
        <v>39</v>
      </c>
      <c r="H2742" s="3" t="s">
        <v>253</v>
      </c>
      <c r="I2742" s="2">
        <v>7</v>
      </c>
      <c r="J2742" s="2">
        <v>7</v>
      </c>
      <c r="K2742" s="2">
        <v>1</v>
      </c>
      <c r="O2742" s="2">
        <v>2</v>
      </c>
      <c r="U2742" s="2">
        <v>1</v>
      </c>
      <c r="V2742" s="2">
        <v>5</v>
      </c>
      <c r="W2742" s="2">
        <v>1</v>
      </c>
      <c r="X2742" s="2">
        <v>2</v>
      </c>
      <c r="Z2742" s="2">
        <v>12</v>
      </c>
      <c r="AA2742" s="3" t="s">
        <v>40</v>
      </c>
      <c r="AB2742" s="2">
        <v>2</v>
      </c>
      <c r="AF2742" s="2">
        <v>30</v>
      </c>
      <c r="AG2742" s="2">
        <v>1</v>
      </c>
      <c r="AH2742" s="3" t="s">
        <v>2819</v>
      </c>
      <c r="AI2742" s="4">
        <v>45040</v>
      </c>
      <c r="AJ2742" s="3" t="s">
        <v>2870</v>
      </c>
      <c r="AK2742" s="3" t="s">
        <v>1931</v>
      </c>
    </row>
    <row r="2743" spans="1:37" hidden="1" x14ac:dyDescent="0.25">
      <c r="A2743" t="str">
        <f t="shared" si="42"/>
        <v>2023_NSW_RankinsSprings_Lupin_SatelliteTOS1VarietyWongaWaterTrtRainFed</v>
      </c>
      <c r="B2743" s="2">
        <v>2023029</v>
      </c>
      <c r="C2743" s="3" t="s">
        <v>2862</v>
      </c>
      <c r="D2743" s="3" t="s">
        <v>1931</v>
      </c>
      <c r="F2743" s="3" t="s">
        <v>1932</v>
      </c>
      <c r="G2743" s="3" t="s">
        <v>39</v>
      </c>
      <c r="H2743" s="3" t="s">
        <v>253</v>
      </c>
      <c r="I2743" s="2">
        <v>8</v>
      </c>
      <c r="J2743" s="2">
        <v>8</v>
      </c>
      <c r="K2743" s="2">
        <v>1</v>
      </c>
      <c r="O2743" s="2">
        <v>2</v>
      </c>
      <c r="U2743" s="2">
        <v>2</v>
      </c>
      <c r="V2743" s="2">
        <v>5</v>
      </c>
      <c r="W2743" s="2">
        <v>2</v>
      </c>
      <c r="X2743" s="2">
        <v>2</v>
      </c>
      <c r="Z2743" s="2">
        <v>11</v>
      </c>
      <c r="AA2743" s="3" t="s">
        <v>40</v>
      </c>
      <c r="AB2743" s="2">
        <v>6</v>
      </c>
      <c r="AF2743" s="2">
        <v>30</v>
      </c>
      <c r="AG2743" s="2">
        <v>1</v>
      </c>
      <c r="AH2743" s="3" t="s">
        <v>2819</v>
      </c>
      <c r="AI2743" s="4">
        <v>45040</v>
      </c>
      <c r="AJ2743" s="3" t="s">
        <v>2871</v>
      </c>
      <c r="AK2743" s="3" t="s">
        <v>1931</v>
      </c>
    </row>
    <row r="2744" spans="1:37" hidden="1" x14ac:dyDescent="0.25">
      <c r="A2744" t="str">
        <f t="shared" si="42"/>
        <v>2023_NSW_RankinsSprings_Lupin_SatelliteTOS1VarietyJindaleeWaterTrtRainFed</v>
      </c>
      <c r="B2744" s="2">
        <v>2023029</v>
      </c>
      <c r="C2744" s="3" t="s">
        <v>2862</v>
      </c>
      <c r="D2744" s="3" t="s">
        <v>1931</v>
      </c>
      <c r="F2744" s="3" t="s">
        <v>2868</v>
      </c>
      <c r="G2744" s="3" t="s">
        <v>39</v>
      </c>
      <c r="H2744" s="3" t="s">
        <v>253</v>
      </c>
      <c r="I2744" s="2">
        <v>9</v>
      </c>
      <c r="J2744" s="2">
        <v>9</v>
      </c>
      <c r="K2744" s="2">
        <v>1</v>
      </c>
      <c r="O2744" s="2">
        <v>2</v>
      </c>
      <c r="U2744" s="2">
        <v>3</v>
      </c>
      <c r="V2744" s="2">
        <v>5</v>
      </c>
      <c r="W2744" s="2">
        <v>3</v>
      </c>
      <c r="X2744" s="2">
        <v>2</v>
      </c>
      <c r="Z2744" s="2">
        <v>10</v>
      </c>
      <c r="AA2744" s="3" t="s">
        <v>40</v>
      </c>
      <c r="AB2744" s="2">
        <v>1</v>
      </c>
      <c r="AF2744" s="2">
        <v>30</v>
      </c>
      <c r="AG2744" s="2">
        <v>1</v>
      </c>
      <c r="AH2744" s="3" t="s">
        <v>2819</v>
      </c>
      <c r="AI2744" s="4">
        <v>45040</v>
      </c>
      <c r="AJ2744" s="3" t="s">
        <v>2872</v>
      </c>
      <c r="AK2744" s="3" t="s">
        <v>1931</v>
      </c>
    </row>
    <row r="2745" spans="1:37" hidden="1" x14ac:dyDescent="0.25">
      <c r="A2745" t="str">
        <f t="shared" si="42"/>
        <v>2023_NSW_RankinsSprings_Lupin_SatelliteTOS1VarietyBatemanWaterTrtRainFed</v>
      </c>
      <c r="B2745" s="2">
        <v>2023029</v>
      </c>
      <c r="C2745" s="3" t="s">
        <v>2862</v>
      </c>
      <c r="D2745" s="3" t="s">
        <v>1931</v>
      </c>
      <c r="F2745" s="3" t="s">
        <v>4195</v>
      </c>
      <c r="G2745" s="3" t="s">
        <v>43</v>
      </c>
      <c r="H2745" s="3" t="s">
        <v>253</v>
      </c>
      <c r="I2745" s="2">
        <v>10</v>
      </c>
      <c r="J2745" s="2">
        <v>10</v>
      </c>
      <c r="K2745" s="2">
        <v>1</v>
      </c>
      <c r="O2745" s="2">
        <v>2</v>
      </c>
      <c r="U2745" s="2">
        <v>4</v>
      </c>
      <c r="V2745" s="2">
        <v>5</v>
      </c>
      <c r="W2745" s="2">
        <v>4</v>
      </c>
      <c r="X2745" s="2">
        <v>2</v>
      </c>
      <c r="Z2745" s="2">
        <v>9</v>
      </c>
      <c r="AA2745" s="3" t="s">
        <v>40</v>
      </c>
      <c r="AB2745" s="2">
        <v>3</v>
      </c>
      <c r="AF2745" s="2">
        <v>30</v>
      </c>
      <c r="AG2745" s="2">
        <v>1</v>
      </c>
      <c r="AH2745" s="3" t="s">
        <v>2819</v>
      </c>
      <c r="AI2745" s="4">
        <v>45040</v>
      </c>
      <c r="AJ2745" s="3" t="s">
        <v>2873</v>
      </c>
      <c r="AK2745" s="3" t="s">
        <v>1931</v>
      </c>
    </row>
    <row r="2746" spans="1:37" hidden="1" x14ac:dyDescent="0.25">
      <c r="A2746" t="str">
        <f t="shared" si="42"/>
        <v>2023_NSW_RankinsSprings_Lupin_SatelliteTOS1VarietyJurienWaterTrtRainFed</v>
      </c>
      <c r="B2746" s="2">
        <v>2023029</v>
      </c>
      <c r="C2746" s="3" t="s">
        <v>2862</v>
      </c>
      <c r="D2746" s="3" t="s">
        <v>1931</v>
      </c>
      <c r="F2746" s="3" t="s">
        <v>4194</v>
      </c>
      <c r="G2746" s="3" t="s">
        <v>39</v>
      </c>
      <c r="H2746" s="3" t="s">
        <v>253</v>
      </c>
      <c r="I2746" s="2">
        <v>11</v>
      </c>
      <c r="J2746" s="2">
        <v>11</v>
      </c>
      <c r="K2746" s="2">
        <v>1</v>
      </c>
      <c r="O2746" s="2">
        <v>2</v>
      </c>
      <c r="U2746" s="2">
        <v>5</v>
      </c>
      <c r="V2746" s="2">
        <v>5</v>
      </c>
      <c r="W2746" s="2">
        <v>5</v>
      </c>
      <c r="X2746" s="2">
        <v>2</v>
      </c>
      <c r="Z2746" s="2">
        <v>8</v>
      </c>
      <c r="AA2746" s="3" t="s">
        <v>40</v>
      </c>
      <c r="AB2746" s="2">
        <v>5</v>
      </c>
      <c r="AF2746" s="2">
        <v>30</v>
      </c>
      <c r="AG2746" s="2">
        <v>1</v>
      </c>
      <c r="AH2746" s="3" t="s">
        <v>2819</v>
      </c>
      <c r="AI2746" s="4">
        <v>45040</v>
      </c>
      <c r="AJ2746" s="3" t="s">
        <v>2874</v>
      </c>
      <c r="AK2746" s="3" t="s">
        <v>1931</v>
      </c>
    </row>
    <row r="2747" spans="1:37" hidden="1" x14ac:dyDescent="0.25">
      <c r="A2747" t="str">
        <f t="shared" si="42"/>
        <v>2023_NSW_RankinsSprings_Lupin_SatelliteTOS1VarietyGunyidiWaterTrtRainFed</v>
      </c>
      <c r="B2747" s="2">
        <v>2023029</v>
      </c>
      <c r="C2747" s="3" t="s">
        <v>2862</v>
      </c>
      <c r="D2747" s="3" t="s">
        <v>1931</v>
      </c>
      <c r="F2747" s="3" t="s">
        <v>4198</v>
      </c>
      <c r="G2747" s="3" t="s">
        <v>39</v>
      </c>
      <c r="H2747" s="3" t="s">
        <v>253</v>
      </c>
      <c r="I2747" s="2">
        <v>12</v>
      </c>
      <c r="J2747" s="2">
        <v>12</v>
      </c>
      <c r="K2747" s="2">
        <v>1</v>
      </c>
      <c r="O2747" s="2">
        <v>2</v>
      </c>
      <c r="U2747" s="2">
        <v>6</v>
      </c>
      <c r="V2747" s="2">
        <v>5</v>
      </c>
      <c r="W2747" s="2">
        <v>6</v>
      </c>
      <c r="X2747" s="2">
        <v>2</v>
      </c>
      <c r="Z2747" s="2">
        <v>7</v>
      </c>
      <c r="AA2747" s="3" t="s">
        <v>40</v>
      </c>
      <c r="AB2747" s="2">
        <v>4</v>
      </c>
      <c r="AF2747" s="2">
        <v>30</v>
      </c>
      <c r="AG2747" s="2">
        <v>1</v>
      </c>
      <c r="AH2747" s="3" t="s">
        <v>2819</v>
      </c>
      <c r="AI2747" s="4">
        <v>45040</v>
      </c>
      <c r="AJ2747" s="3" t="s">
        <v>2875</v>
      </c>
      <c r="AK2747" s="3" t="s">
        <v>1931</v>
      </c>
    </row>
    <row r="2748" spans="1:37" hidden="1" x14ac:dyDescent="0.25">
      <c r="A2748" t="str">
        <f t="shared" si="42"/>
        <v>2023_NSW_RankinsSprings_Lupin_SatelliteTOS2VarietyBatemanWaterTrtRainFed</v>
      </c>
      <c r="B2748" s="2">
        <v>2023029</v>
      </c>
      <c r="C2748" s="3" t="s">
        <v>2862</v>
      </c>
      <c r="D2748" s="3" t="s">
        <v>1931</v>
      </c>
      <c r="F2748" s="3" t="s">
        <v>4195</v>
      </c>
      <c r="G2748" s="3" t="s">
        <v>43</v>
      </c>
      <c r="H2748" s="3" t="s">
        <v>253</v>
      </c>
      <c r="I2748" s="2">
        <v>13</v>
      </c>
      <c r="J2748" s="2">
        <v>13</v>
      </c>
      <c r="K2748" s="2">
        <v>2</v>
      </c>
      <c r="O2748" s="2">
        <v>3</v>
      </c>
      <c r="U2748" s="2">
        <v>1</v>
      </c>
      <c r="V2748" s="2">
        <v>8</v>
      </c>
      <c r="W2748" s="2">
        <v>1</v>
      </c>
      <c r="X2748" s="2">
        <v>3</v>
      </c>
      <c r="Z2748" s="2">
        <v>13</v>
      </c>
      <c r="AA2748" s="3" t="s">
        <v>40</v>
      </c>
      <c r="AB2748" s="2">
        <v>3</v>
      </c>
      <c r="AF2748" s="2">
        <v>30</v>
      </c>
      <c r="AG2748" s="2">
        <v>2</v>
      </c>
      <c r="AH2748" s="3" t="s">
        <v>2812</v>
      </c>
      <c r="AI2748" s="4">
        <v>45064</v>
      </c>
      <c r="AJ2748" s="3" t="s">
        <v>2876</v>
      </c>
      <c r="AK2748" s="3" t="s">
        <v>1931</v>
      </c>
    </row>
    <row r="2749" spans="1:37" hidden="1" x14ac:dyDescent="0.25">
      <c r="A2749" t="str">
        <f t="shared" si="42"/>
        <v>2023_NSW_RankinsSprings_Lupin_SatelliteTOS2VarietyJindaleeWaterTrtRainFed</v>
      </c>
      <c r="B2749" s="2">
        <v>2023029</v>
      </c>
      <c r="C2749" s="3" t="s">
        <v>2862</v>
      </c>
      <c r="D2749" s="3" t="s">
        <v>1931</v>
      </c>
      <c r="F2749" s="3" t="s">
        <v>2868</v>
      </c>
      <c r="G2749" s="3" t="s">
        <v>39</v>
      </c>
      <c r="H2749" s="3" t="s">
        <v>253</v>
      </c>
      <c r="I2749" s="2">
        <v>14</v>
      </c>
      <c r="J2749" s="2">
        <v>14</v>
      </c>
      <c r="K2749" s="2">
        <v>2</v>
      </c>
      <c r="O2749" s="2">
        <v>3</v>
      </c>
      <c r="U2749" s="2">
        <v>2</v>
      </c>
      <c r="V2749" s="2">
        <v>8</v>
      </c>
      <c r="W2749" s="2">
        <v>2</v>
      </c>
      <c r="X2749" s="2">
        <v>3</v>
      </c>
      <c r="Z2749" s="2">
        <v>14</v>
      </c>
      <c r="AA2749" s="3" t="s">
        <v>40</v>
      </c>
      <c r="AB2749" s="2">
        <v>1</v>
      </c>
      <c r="AF2749" s="2">
        <v>30</v>
      </c>
      <c r="AG2749" s="2">
        <v>2</v>
      </c>
      <c r="AH2749" s="3" t="s">
        <v>2812</v>
      </c>
      <c r="AI2749" s="4">
        <v>45064</v>
      </c>
      <c r="AJ2749" s="3" t="s">
        <v>2877</v>
      </c>
      <c r="AK2749" s="3" t="s">
        <v>1931</v>
      </c>
    </row>
    <row r="2750" spans="1:37" hidden="1" x14ac:dyDescent="0.25">
      <c r="A2750" t="str">
        <f t="shared" si="42"/>
        <v>2023_NSW_RankinsSprings_Lupin_SatelliteTOS2VarietyGunyidiWaterTrtRainFed</v>
      </c>
      <c r="B2750" s="2">
        <v>2023029</v>
      </c>
      <c r="C2750" s="3" t="s">
        <v>2862</v>
      </c>
      <c r="D2750" s="3" t="s">
        <v>1931</v>
      </c>
      <c r="F2750" s="3" t="s">
        <v>4198</v>
      </c>
      <c r="G2750" s="3" t="s">
        <v>39</v>
      </c>
      <c r="H2750" s="3" t="s">
        <v>253</v>
      </c>
      <c r="I2750" s="2">
        <v>15</v>
      </c>
      <c r="J2750" s="2">
        <v>15</v>
      </c>
      <c r="K2750" s="2">
        <v>2</v>
      </c>
      <c r="O2750" s="2">
        <v>3</v>
      </c>
      <c r="U2750" s="2">
        <v>3</v>
      </c>
      <c r="V2750" s="2">
        <v>8</v>
      </c>
      <c r="W2750" s="2">
        <v>3</v>
      </c>
      <c r="X2750" s="2">
        <v>3</v>
      </c>
      <c r="Z2750" s="2">
        <v>15</v>
      </c>
      <c r="AA2750" s="3" t="s">
        <v>40</v>
      </c>
      <c r="AB2750" s="2">
        <v>4</v>
      </c>
      <c r="AF2750" s="2">
        <v>30</v>
      </c>
      <c r="AG2750" s="2">
        <v>2</v>
      </c>
      <c r="AH2750" s="3" t="s">
        <v>2812</v>
      </c>
      <c r="AI2750" s="4">
        <v>45064</v>
      </c>
      <c r="AJ2750" s="3" t="s">
        <v>2878</v>
      </c>
      <c r="AK2750" s="3" t="s">
        <v>1931</v>
      </c>
    </row>
    <row r="2751" spans="1:37" hidden="1" x14ac:dyDescent="0.25">
      <c r="A2751" t="str">
        <f t="shared" si="42"/>
        <v>2023_NSW_RankinsSprings_Lupin_SatelliteTOS2VarietyWongaWaterTrtRainFed</v>
      </c>
      <c r="B2751" s="2">
        <v>2023029</v>
      </c>
      <c r="C2751" s="3" t="s">
        <v>2862</v>
      </c>
      <c r="D2751" s="3" t="s">
        <v>1931</v>
      </c>
      <c r="F2751" s="3" t="s">
        <v>1932</v>
      </c>
      <c r="G2751" s="3" t="s">
        <v>39</v>
      </c>
      <c r="H2751" s="3" t="s">
        <v>253</v>
      </c>
      <c r="I2751" s="2">
        <v>16</v>
      </c>
      <c r="J2751" s="2">
        <v>16</v>
      </c>
      <c r="K2751" s="2">
        <v>2</v>
      </c>
      <c r="O2751" s="2">
        <v>3</v>
      </c>
      <c r="U2751" s="2">
        <v>4</v>
      </c>
      <c r="V2751" s="2">
        <v>8</v>
      </c>
      <c r="W2751" s="2">
        <v>4</v>
      </c>
      <c r="X2751" s="2">
        <v>3</v>
      </c>
      <c r="Z2751" s="2">
        <v>16</v>
      </c>
      <c r="AA2751" s="3" t="s">
        <v>40</v>
      </c>
      <c r="AB2751" s="2">
        <v>6</v>
      </c>
      <c r="AF2751" s="2">
        <v>30</v>
      </c>
      <c r="AG2751" s="2">
        <v>2</v>
      </c>
      <c r="AH2751" s="3" t="s">
        <v>2812</v>
      </c>
      <c r="AI2751" s="4">
        <v>45064</v>
      </c>
      <c r="AJ2751" s="3" t="s">
        <v>2879</v>
      </c>
      <c r="AK2751" s="3" t="s">
        <v>1931</v>
      </c>
    </row>
    <row r="2752" spans="1:37" hidden="1" x14ac:dyDescent="0.25">
      <c r="A2752" t="str">
        <f t="shared" si="42"/>
        <v>2023_NSW_RankinsSprings_Lupin_SatelliteTOS2VarietyMandelupWaterTrtRainFed</v>
      </c>
      <c r="B2752" s="2">
        <v>2023029</v>
      </c>
      <c r="C2752" s="3" t="s">
        <v>2862</v>
      </c>
      <c r="D2752" s="3" t="s">
        <v>1931</v>
      </c>
      <c r="F2752" s="3" t="s">
        <v>1939</v>
      </c>
      <c r="G2752" s="3" t="s">
        <v>39</v>
      </c>
      <c r="H2752" s="3" t="s">
        <v>253</v>
      </c>
      <c r="I2752" s="2">
        <v>17</v>
      </c>
      <c r="J2752" s="2">
        <v>17</v>
      </c>
      <c r="K2752" s="2">
        <v>2</v>
      </c>
      <c r="O2752" s="2">
        <v>3</v>
      </c>
      <c r="U2752" s="2">
        <v>5</v>
      </c>
      <c r="V2752" s="2">
        <v>8</v>
      </c>
      <c r="W2752" s="2">
        <v>5</v>
      </c>
      <c r="X2752" s="2">
        <v>3</v>
      </c>
      <c r="Z2752" s="2">
        <v>17</v>
      </c>
      <c r="AA2752" s="3" t="s">
        <v>40</v>
      </c>
      <c r="AB2752" s="2">
        <v>2</v>
      </c>
      <c r="AF2752" s="2">
        <v>30</v>
      </c>
      <c r="AG2752" s="2">
        <v>2</v>
      </c>
      <c r="AH2752" s="3" t="s">
        <v>2812</v>
      </c>
      <c r="AI2752" s="4">
        <v>45064</v>
      </c>
      <c r="AJ2752" s="3" t="s">
        <v>2880</v>
      </c>
      <c r="AK2752" s="3" t="s">
        <v>1931</v>
      </c>
    </row>
    <row r="2753" spans="1:37" hidden="1" x14ac:dyDescent="0.25">
      <c r="A2753" t="str">
        <f t="shared" si="42"/>
        <v>2023_NSW_RankinsSprings_Lupin_SatelliteTOS2VarietyJurienWaterTrtRainFed</v>
      </c>
      <c r="B2753" s="2">
        <v>2023029</v>
      </c>
      <c r="C2753" s="3" t="s">
        <v>2862</v>
      </c>
      <c r="D2753" s="3" t="s">
        <v>1931</v>
      </c>
      <c r="F2753" s="3" t="s">
        <v>4194</v>
      </c>
      <c r="G2753" s="3" t="s">
        <v>39</v>
      </c>
      <c r="H2753" s="3" t="s">
        <v>253</v>
      </c>
      <c r="I2753" s="2">
        <v>18</v>
      </c>
      <c r="J2753" s="2">
        <v>18</v>
      </c>
      <c r="K2753" s="2">
        <v>2</v>
      </c>
      <c r="O2753" s="2">
        <v>3</v>
      </c>
      <c r="U2753" s="2">
        <v>6</v>
      </c>
      <c r="V2753" s="2">
        <v>8</v>
      </c>
      <c r="W2753" s="2">
        <v>6</v>
      </c>
      <c r="X2753" s="2">
        <v>3</v>
      </c>
      <c r="Z2753" s="2">
        <v>18</v>
      </c>
      <c r="AA2753" s="3" t="s">
        <v>40</v>
      </c>
      <c r="AB2753" s="2">
        <v>5</v>
      </c>
      <c r="AF2753" s="2">
        <v>30</v>
      </c>
      <c r="AG2753" s="2">
        <v>2</v>
      </c>
      <c r="AH2753" s="3" t="s">
        <v>2812</v>
      </c>
      <c r="AI2753" s="4">
        <v>45064</v>
      </c>
      <c r="AJ2753" s="3" t="s">
        <v>2881</v>
      </c>
      <c r="AK2753" s="3" t="s">
        <v>1931</v>
      </c>
    </row>
    <row r="2754" spans="1:37" hidden="1" x14ac:dyDescent="0.25">
      <c r="A2754" t="str">
        <f t="shared" si="42"/>
        <v>2023_NSW_RankinsSprings_Lupin_SatelliteTOS1VarietyGunyidiWaterTrtRainFed</v>
      </c>
      <c r="B2754" s="2">
        <v>2023029</v>
      </c>
      <c r="C2754" s="3" t="s">
        <v>2862</v>
      </c>
      <c r="D2754" s="3" t="s">
        <v>1931</v>
      </c>
      <c r="F2754" s="3" t="s">
        <v>4198</v>
      </c>
      <c r="G2754" s="3" t="s">
        <v>39</v>
      </c>
      <c r="H2754" s="3" t="s">
        <v>253</v>
      </c>
      <c r="I2754" s="2">
        <v>19</v>
      </c>
      <c r="J2754" s="2">
        <v>19</v>
      </c>
      <c r="K2754" s="2">
        <v>2</v>
      </c>
      <c r="O2754" s="2">
        <v>4</v>
      </c>
      <c r="U2754" s="2">
        <v>1</v>
      </c>
      <c r="V2754" s="2">
        <v>11</v>
      </c>
      <c r="W2754" s="2">
        <v>1</v>
      </c>
      <c r="X2754" s="2">
        <v>4</v>
      </c>
      <c r="Z2754" s="2">
        <v>24</v>
      </c>
      <c r="AA2754" s="3" t="s">
        <v>40</v>
      </c>
      <c r="AB2754" s="2">
        <v>4</v>
      </c>
      <c r="AF2754" s="2">
        <v>30</v>
      </c>
      <c r="AG2754" s="2">
        <v>1</v>
      </c>
      <c r="AH2754" s="3" t="s">
        <v>2819</v>
      </c>
      <c r="AI2754" s="4">
        <v>45040</v>
      </c>
      <c r="AJ2754" s="3" t="s">
        <v>2882</v>
      </c>
      <c r="AK2754" s="3" t="s">
        <v>1931</v>
      </c>
    </row>
    <row r="2755" spans="1:37" hidden="1" x14ac:dyDescent="0.25">
      <c r="A2755" t="str">
        <f t="shared" ref="A2755:A2818" si="43">C2755&amp;"TOS"&amp;AG2755&amp;"Variety"&amp;F2755&amp;"WaterTrt"&amp;AA2755&amp;IF(AC2755="","","Agronomy"&amp;AC2755)</f>
        <v>2023_NSW_RankinsSprings_Lupin_SatelliteTOS1VarietyJurienWaterTrtRainFed</v>
      </c>
      <c r="B2755" s="2">
        <v>2023029</v>
      </c>
      <c r="C2755" s="3" t="s">
        <v>2862</v>
      </c>
      <c r="D2755" s="3" t="s">
        <v>1931</v>
      </c>
      <c r="F2755" s="3" t="s">
        <v>4194</v>
      </c>
      <c r="G2755" s="3" t="s">
        <v>39</v>
      </c>
      <c r="H2755" s="3" t="s">
        <v>253</v>
      </c>
      <c r="I2755" s="2">
        <v>20</v>
      </c>
      <c r="J2755" s="2">
        <v>20</v>
      </c>
      <c r="K2755" s="2">
        <v>2</v>
      </c>
      <c r="O2755" s="2">
        <v>4</v>
      </c>
      <c r="U2755" s="2">
        <v>2</v>
      </c>
      <c r="V2755" s="2">
        <v>11</v>
      </c>
      <c r="W2755" s="2">
        <v>2</v>
      </c>
      <c r="X2755" s="2">
        <v>4</v>
      </c>
      <c r="Z2755" s="2">
        <v>23</v>
      </c>
      <c r="AA2755" s="3" t="s">
        <v>40</v>
      </c>
      <c r="AB2755" s="2">
        <v>5</v>
      </c>
      <c r="AF2755" s="2">
        <v>30</v>
      </c>
      <c r="AG2755" s="2">
        <v>1</v>
      </c>
      <c r="AH2755" s="3" t="s">
        <v>2819</v>
      </c>
      <c r="AI2755" s="4">
        <v>45040</v>
      </c>
      <c r="AJ2755" s="3" t="s">
        <v>2883</v>
      </c>
      <c r="AK2755" s="3" t="s">
        <v>1931</v>
      </c>
    </row>
    <row r="2756" spans="1:37" hidden="1" x14ac:dyDescent="0.25">
      <c r="A2756" t="str">
        <f t="shared" si="43"/>
        <v>2023_NSW_RankinsSprings_Lupin_SatelliteTOS1VarietyBatemanWaterTrtRainFed</v>
      </c>
      <c r="B2756" s="2">
        <v>2023029</v>
      </c>
      <c r="C2756" s="3" t="s">
        <v>2862</v>
      </c>
      <c r="D2756" s="3" t="s">
        <v>1931</v>
      </c>
      <c r="F2756" s="3" t="s">
        <v>4195</v>
      </c>
      <c r="G2756" s="3" t="s">
        <v>43</v>
      </c>
      <c r="H2756" s="3" t="s">
        <v>253</v>
      </c>
      <c r="I2756" s="2">
        <v>21</v>
      </c>
      <c r="J2756" s="2">
        <v>21</v>
      </c>
      <c r="K2756" s="2">
        <v>2</v>
      </c>
      <c r="O2756" s="2">
        <v>4</v>
      </c>
      <c r="U2756" s="2">
        <v>3</v>
      </c>
      <c r="V2756" s="2">
        <v>11</v>
      </c>
      <c r="W2756" s="2">
        <v>3</v>
      </c>
      <c r="X2756" s="2">
        <v>4</v>
      </c>
      <c r="Z2756" s="2">
        <v>22</v>
      </c>
      <c r="AA2756" s="3" t="s">
        <v>40</v>
      </c>
      <c r="AB2756" s="2">
        <v>3</v>
      </c>
      <c r="AF2756" s="2">
        <v>30</v>
      </c>
      <c r="AG2756" s="2">
        <v>1</v>
      </c>
      <c r="AH2756" s="3" t="s">
        <v>2819</v>
      </c>
      <c r="AI2756" s="4">
        <v>45040</v>
      </c>
      <c r="AJ2756" s="3" t="s">
        <v>2884</v>
      </c>
      <c r="AK2756" s="3" t="s">
        <v>1931</v>
      </c>
    </row>
    <row r="2757" spans="1:37" hidden="1" x14ac:dyDescent="0.25">
      <c r="A2757" t="str">
        <f t="shared" si="43"/>
        <v>2023_NSW_RankinsSprings_Lupin_SatelliteTOS1VarietyJindaleeWaterTrtRainFed</v>
      </c>
      <c r="B2757" s="2">
        <v>2023029</v>
      </c>
      <c r="C2757" s="3" t="s">
        <v>2862</v>
      </c>
      <c r="D2757" s="3" t="s">
        <v>1931</v>
      </c>
      <c r="F2757" s="3" t="s">
        <v>2868</v>
      </c>
      <c r="G2757" s="3" t="s">
        <v>39</v>
      </c>
      <c r="H2757" s="3" t="s">
        <v>253</v>
      </c>
      <c r="I2757" s="2">
        <v>22</v>
      </c>
      <c r="J2757" s="2">
        <v>22</v>
      </c>
      <c r="K2757" s="2">
        <v>2</v>
      </c>
      <c r="O2757" s="2">
        <v>4</v>
      </c>
      <c r="U2757" s="2">
        <v>4</v>
      </c>
      <c r="V2757" s="2">
        <v>11</v>
      </c>
      <c r="W2757" s="2">
        <v>4</v>
      </c>
      <c r="X2757" s="2">
        <v>4</v>
      </c>
      <c r="Z2757" s="2">
        <v>21</v>
      </c>
      <c r="AA2757" s="3" t="s">
        <v>40</v>
      </c>
      <c r="AB2757" s="2">
        <v>1</v>
      </c>
      <c r="AF2757" s="2">
        <v>30</v>
      </c>
      <c r="AG2757" s="2">
        <v>1</v>
      </c>
      <c r="AH2757" s="3" t="s">
        <v>2819</v>
      </c>
      <c r="AI2757" s="4">
        <v>45040</v>
      </c>
      <c r="AJ2757" s="3" t="s">
        <v>2885</v>
      </c>
      <c r="AK2757" s="3" t="s">
        <v>1931</v>
      </c>
    </row>
    <row r="2758" spans="1:37" hidden="1" x14ac:dyDescent="0.25">
      <c r="A2758" t="str">
        <f t="shared" si="43"/>
        <v>2023_NSW_RankinsSprings_Lupin_SatelliteTOS1VarietyWongaWaterTrtRainFed</v>
      </c>
      <c r="B2758" s="2">
        <v>2023029</v>
      </c>
      <c r="C2758" s="3" t="s">
        <v>2862</v>
      </c>
      <c r="D2758" s="3" t="s">
        <v>1931</v>
      </c>
      <c r="F2758" s="3" t="s">
        <v>1932</v>
      </c>
      <c r="G2758" s="3" t="s">
        <v>39</v>
      </c>
      <c r="H2758" s="3" t="s">
        <v>253</v>
      </c>
      <c r="I2758" s="2">
        <v>23</v>
      </c>
      <c r="J2758" s="2">
        <v>23</v>
      </c>
      <c r="K2758" s="2">
        <v>2</v>
      </c>
      <c r="O2758" s="2">
        <v>4</v>
      </c>
      <c r="U2758" s="2">
        <v>5</v>
      </c>
      <c r="V2758" s="2">
        <v>11</v>
      </c>
      <c r="W2758" s="2">
        <v>5</v>
      </c>
      <c r="X2758" s="2">
        <v>4</v>
      </c>
      <c r="Z2758" s="2">
        <v>20</v>
      </c>
      <c r="AA2758" s="3" t="s">
        <v>40</v>
      </c>
      <c r="AB2758" s="2">
        <v>6</v>
      </c>
      <c r="AF2758" s="2">
        <v>30</v>
      </c>
      <c r="AG2758" s="2">
        <v>1</v>
      </c>
      <c r="AH2758" s="3" t="s">
        <v>2819</v>
      </c>
      <c r="AI2758" s="4">
        <v>45040</v>
      </c>
      <c r="AJ2758" s="3" t="s">
        <v>2886</v>
      </c>
      <c r="AK2758" s="3" t="s">
        <v>1931</v>
      </c>
    </row>
    <row r="2759" spans="1:37" hidden="1" x14ac:dyDescent="0.25">
      <c r="A2759" t="str">
        <f t="shared" si="43"/>
        <v>2023_NSW_RankinsSprings_Lupin_SatelliteTOS1VarietyMandelupWaterTrtRainFed</v>
      </c>
      <c r="B2759" s="2">
        <v>2023029</v>
      </c>
      <c r="C2759" s="3" t="s">
        <v>2862</v>
      </c>
      <c r="D2759" s="3" t="s">
        <v>1931</v>
      </c>
      <c r="F2759" s="3" t="s">
        <v>1939</v>
      </c>
      <c r="G2759" s="3" t="s">
        <v>39</v>
      </c>
      <c r="H2759" s="3" t="s">
        <v>253</v>
      </c>
      <c r="I2759" s="2">
        <v>24</v>
      </c>
      <c r="J2759" s="2">
        <v>24</v>
      </c>
      <c r="K2759" s="2">
        <v>2</v>
      </c>
      <c r="O2759" s="2">
        <v>4</v>
      </c>
      <c r="U2759" s="2">
        <v>6</v>
      </c>
      <c r="V2759" s="2">
        <v>11</v>
      </c>
      <c r="W2759" s="2">
        <v>6</v>
      </c>
      <c r="X2759" s="2">
        <v>4</v>
      </c>
      <c r="Z2759" s="2">
        <v>19</v>
      </c>
      <c r="AA2759" s="3" t="s">
        <v>40</v>
      </c>
      <c r="AB2759" s="2">
        <v>2</v>
      </c>
      <c r="AF2759" s="2">
        <v>30</v>
      </c>
      <c r="AG2759" s="2">
        <v>1</v>
      </c>
      <c r="AH2759" s="3" t="s">
        <v>2819</v>
      </c>
      <c r="AI2759" s="4">
        <v>45040</v>
      </c>
      <c r="AJ2759" s="3" t="s">
        <v>2887</v>
      </c>
      <c r="AK2759" s="3" t="s">
        <v>1931</v>
      </c>
    </row>
    <row r="2760" spans="1:37" hidden="1" x14ac:dyDescent="0.25">
      <c r="A2760" t="str">
        <f t="shared" si="43"/>
        <v>2023_NSW_RankinsSprings_Lupin_SatelliteTOS1VarietyWongaWaterTrtRainFed</v>
      </c>
      <c r="B2760" s="2">
        <v>2023029</v>
      </c>
      <c r="C2760" s="3" t="s">
        <v>2862</v>
      </c>
      <c r="D2760" s="3" t="s">
        <v>1931</v>
      </c>
      <c r="F2760" s="3" t="s">
        <v>1932</v>
      </c>
      <c r="G2760" s="3" t="s">
        <v>39</v>
      </c>
      <c r="H2760" s="3" t="s">
        <v>253</v>
      </c>
      <c r="I2760" s="2">
        <v>25</v>
      </c>
      <c r="J2760" s="2">
        <v>25</v>
      </c>
      <c r="K2760" s="2">
        <v>3</v>
      </c>
      <c r="O2760" s="2">
        <v>5</v>
      </c>
      <c r="U2760" s="2">
        <v>1</v>
      </c>
      <c r="V2760" s="2">
        <v>14</v>
      </c>
      <c r="W2760" s="2">
        <v>1</v>
      </c>
      <c r="X2760" s="2">
        <v>5</v>
      </c>
      <c r="Z2760" s="2">
        <v>25</v>
      </c>
      <c r="AA2760" s="3" t="s">
        <v>40</v>
      </c>
      <c r="AB2760" s="2">
        <v>6</v>
      </c>
      <c r="AF2760" s="2">
        <v>30</v>
      </c>
      <c r="AG2760" s="2">
        <v>1</v>
      </c>
      <c r="AH2760" s="3" t="s">
        <v>2819</v>
      </c>
      <c r="AI2760" s="4">
        <v>45040</v>
      </c>
      <c r="AJ2760" s="3" t="s">
        <v>2888</v>
      </c>
      <c r="AK2760" s="3" t="s">
        <v>1931</v>
      </c>
    </row>
    <row r="2761" spans="1:37" hidden="1" x14ac:dyDescent="0.25">
      <c r="A2761" t="str">
        <f t="shared" si="43"/>
        <v>2023_NSW_RankinsSprings_Lupin_SatelliteTOS1VarietyGunyidiWaterTrtRainFed</v>
      </c>
      <c r="B2761" s="2">
        <v>2023029</v>
      </c>
      <c r="C2761" s="3" t="s">
        <v>2862</v>
      </c>
      <c r="D2761" s="3" t="s">
        <v>1931</v>
      </c>
      <c r="F2761" s="3" t="s">
        <v>4198</v>
      </c>
      <c r="G2761" s="3" t="s">
        <v>39</v>
      </c>
      <c r="H2761" s="3" t="s">
        <v>253</v>
      </c>
      <c r="I2761" s="2">
        <v>26</v>
      </c>
      <c r="J2761" s="2">
        <v>26</v>
      </c>
      <c r="K2761" s="2">
        <v>3</v>
      </c>
      <c r="O2761" s="2">
        <v>5</v>
      </c>
      <c r="U2761" s="2">
        <v>2</v>
      </c>
      <c r="V2761" s="2">
        <v>14</v>
      </c>
      <c r="W2761" s="2">
        <v>2</v>
      </c>
      <c r="X2761" s="2">
        <v>5</v>
      </c>
      <c r="Z2761" s="2">
        <v>26</v>
      </c>
      <c r="AA2761" s="3" t="s">
        <v>40</v>
      </c>
      <c r="AB2761" s="2">
        <v>4</v>
      </c>
      <c r="AF2761" s="2">
        <v>30</v>
      </c>
      <c r="AG2761" s="2">
        <v>1</v>
      </c>
      <c r="AH2761" s="3" t="s">
        <v>2819</v>
      </c>
      <c r="AI2761" s="4">
        <v>45040</v>
      </c>
      <c r="AJ2761" s="3" t="s">
        <v>2889</v>
      </c>
      <c r="AK2761" s="3" t="s">
        <v>1931</v>
      </c>
    </row>
    <row r="2762" spans="1:37" hidden="1" x14ac:dyDescent="0.25">
      <c r="A2762" t="str">
        <f t="shared" si="43"/>
        <v>2023_NSW_RankinsSprings_Lupin_SatelliteTOS1VarietyJurienWaterTrtRainFed</v>
      </c>
      <c r="B2762" s="2">
        <v>2023029</v>
      </c>
      <c r="C2762" s="3" t="s">
        <v>2862</v>
      </c>
      <c r="D2762" s="3" t="s">
        <v>1931</v>
      </c>
      <c r="F2762" s="3" t="s">
        <v>4194</v>
      </c>
      <c r="G2762" s="3" t="s">
        <v>39</v>
      </c>
      <c r="H2762" s="3" t="s">
        <v>253</v>
      </c>
      <c r="I2762" s="2">
        <v>27</v>
      </c>
      <c r="J2762" s="2">
        <v>27</v>
      </c>
      <c r="K2762" s="2">
        <v>3</v>
      </c>
      <c r="O2762" s="2">
        <v>5</v>
      </c>
      <c r="U2762" s="2">
        <v>3</v>
      </c>
      <c r="V2762" s="2">
        <v>14</v>
      </c>
      <c r="W2762" s="2">
        <v>3</v>
      </c>
      <c r="X2762" s="2">
        <v>5</v>
      </c>
      <c r="Z2762" s="2">
        <v>27</v>
      </c>
      <c r="AA2762" s="3" t="s">
        <v>40</v>
      </c>
      <c r="AB2762" s="2">
        <v>5</v>
      </c>
      <c r="AF2762" s="2">
        <v>30</v>
      </c>
      <c r="AG2762" s="2">
        <v>1</v>
      </c>
      <c r="AH2762" s="3" t="s">
        <v>2819</v>
      </c>
      <c r="AI2762" s="4">
        <v>45040</v>
      </c>
      <c r="AJ2762" s="3" t="s">
        <v>2890</v>
      </c>
      <c r="AK2762" s="3" t="s">
        <v>1931</v>
      </c>
    </row>
    <row r="2763" spans="1:37" hidden="1" x14ac:dyDescent="0.25">
      <c r="A2763" t="str">
        <f t="shared" si="43"/>
        <v>2023_NSW_RankinsSprings_Lupin_SatelliteTOS1VarietyMandelupWaterTrtRainFed</v>
      </c>
      <c r="B2763" s="2">
        <v>2023029</v>
      </c>
      <c r="C2763" s="3" t="s">
        <v>2862</v>
      </c>
      <c r="D2763" s="3" t="s">
        <v>1931</v>
      </c>
      <c r="F2763" s="3" t="s">
        <v>1939</v>
      </c>
      <c r="G2763" s="3" t="s">
        <v>39</v>
      </c>
      <c r="H2763" s="3" t="s">
        <v>253</v>
      </c>
      <c r="I2763" s="2">
        <v>28</v>
      </c>
      <c r="J2763" s="2">
        <v>28</v>
      </c>
      <c r="K2763" s="2">
        <v>3</v>
      </c>
      <c r="O2763" s="2">
        <v>5</v>
      </c>
      <c r="U2763" s="2">
        <v>4</v>
      </c>
      <c r="V2763" s="2">
        <v>14</v>
      </c>
      <c r="W2763" s="2">
        <v>4</v>
      </c>
      <c r="X2763" s="2">
        <v>5</v>
      </c>
      <c r="Z2763" s="2">
        <v>28</v>
      </c>
      <c r="AA2763" s="3" t="s">
        <v>40</v>
      </c>
      <c r="AB2763" s="2">
        <v>2</v>
      </c>
      <c r="AF2763" s="2">
        <v>30</v>
      </c>
      <c r="AG2763" s="2">
        <v>1</v>
      </c>
      <c r="AH2763" s="3" t="s">
        <v>2819</v>
      </c>
      <c r="AI2763" s="4">
        <v>45040</v>
      </c>
      <c r="AJ2763" s="3" t="s">
        <v>2891</v>
      </c>
      <c r="AK2763" s="3" t="s">
        <v>1931</v>
      </c>
    </row>
    <row r="2764" spans="1:37" hidden="1" x14ac:dyDescent="0.25">
      <c r="A2764" t="str">
        <f t="shared" si="43"/>
        <v>2023_NSW_RankinsSprings_Lupin_SatelliteTOS1VarietyJindaleeWaterTrtRainFed</v>
      </c>
      <c r="B2764" s="2">
        <v>2023029</v>
      </c>
      <c r="C2764" s="3" t="s">
        <v>2862</v>
      </c>
      <c r="D2764" s="3" t="s">
        <v>1931</v>
      </c>
      <c r="F2764" s="3" t="s">
        <v>2868</v>
      </c>
      <c r="G2764" s="3" t="s">
        <v>39</v>
      </c>
      <c r="H2764" s="3" t="s">
        <v>253</v>
      </c>
      <c r="I2764" s="2">
        <v>29</v>
      </c>
      <c r="J2764" s="2">
        <v>29</v>
      </c>
      <c r="K2764" s="2">
        <v>3</v>
      </c>
      <c r="O2764" s="2">
        <v>5</v>
      </c>
      <c r="U2764" s="2">
        <v>5</v>
      </c>
      <c r="V2764" s="2">
        <v>14</v>
      </c>
      <c r="W2764" s="2">
        <v>5</v>
      </c>
      <c r="X2764" s="2">
        <v>5</v>
      </c>
      <c r="Z2764" s="2">
        <v>29</v>
      </c>
      <c r="AA2764" s="3" t="s">
        <v>40</v>
      </c>
      <c r="AB2764" s="2">
        <v>1</v>
      </c>
      <c r="AF2764" s="2">
        <v>30</v>
      </c>
      <c r="AG2764" s="2">
        <v>1</v>
      </c>
      <c r="AH2764" s="3" t="s">
        <v>2819</v>
      </c>
      <c r="AI2764" s="4">
        <v>45040</v>
      </c>
      <c r="AJ2764" s="3" t="s">
        <v>2892</v>
      </c>
      <c r="AK2764" s="3" t="s">
        <v>1931</v>
      </c>
    </row>
    <row r="2765" spans="1:37" hidden="1" x14ac:dyDescent="0.25">
      <c r="A2765" t="str">
        <f t="shared" si="43"/>
        <v>2023_NSW_RankinsSprings_Lupin_SatelliteTOS1VarietyBatemanWaterTrtRainFed</v>
      </c>
      <c r="B2765" s="2">
        <v>2023029</v>
      </c>
      <c r="C2765" s="3" t="s">
        <v>2862</v>
      </c>
      <c r="D2765" s="3" t="s">
        <v>1931</v>
      </c>
      <c r="F2765" s="3" t="s">
        <v>4195</v>
      </c>
      <c r="G2765" s="3" t="s">
        <v>43</v>
      </c>
      <c r="H2765" s="3" t="s">
        <v>253</v>
      </c>
      <c r="I2765" s="2">
        <v>30</v>
      </c>
      <c r="J2765" s="2">
        <v>30</v>
      </c>
      <c r="K2765" s="2">
        <v>3</v>
      </c>
      <c r="O2765" s="2">
        <v>5</v>
      </c>
      <c r="U2765" s="2">
        <v>6</v>
      </c>
      <c r="V2765" s="2">
        <v>14</v>
      </c>
      <c r="W2765" s="2">
        <v>6</v>
      </c>
      <c r="X2765" s="2">
        <v>5</v>
      </c>
      <c r="Z2765" s="2">
        <v>30</v>
      </c>
      <c r="AA2765" s="3" t="s">
        <v>40</v>
      </c>
      <c r="AB2765" s="2">
        <v>3</v>
      </c>
      <c r="AF2765" s="2">
        <v>30</v>
      </c>
      <c r="AG2765" s="2">
        <v>1</v>
      </c>
      <c r="AH2765" s="3" t="s">
        <v>2819</v>
      </c>
      <c r="AI2765" s="4">
        <v>45040</v>
      </c>
      <c r="AJ2765" s="3" t="s">
        <v>2893</v>
      </c>
      <c r="AK2765" s="3" t="s">
        <v>1931</v>
      </c>
    </row>
    <row r="2766" spans="1:37" hidden="1" x14ac:dyDescent="0.25">
      <c r="A2766" t="str">
        <f t="shared" si="43"/>
        <v>2023_NSW_RankinsSprings_Lupin_SatelliteTOS2VarietyJurienWaterTrtRainFed</v>
      </c>
      <c r="B2766" s="2">
        <v>2023029</v>
      </c>
      <c r="C2766" s="3" t="s">
        <v>2862</v>
      </c>
      <c r="D2766" s="3" t="s">
        <v>1931</v>
      </c>
      <c r="F2766" s="3" t="s">
        <v>4194</v>
      </c>
      <c r="G2766" s="3" t="s">
        <v>39</v>
      </c>
      <c r="H2766" s="3" t="s">
        <v>253</v>
      </c>
      <c r="I2766" s="2">
        <v>31</v>
      </c>
      <c r="J2766" s="2">
        <v>31</v>
      </c>
      <c r="K2766" s="2">
        <v>3</v>
      </c>
      <c r="O2766" s="2">
        <v>6</v>
      </c>
      <c r="U2766" s="2">
        <v>1</v>
      </c>
      <c r="V2766" s="2">
        <v>17</v>
      </c>
      <c r="W2766" s="2">
        <v>1</v>
      </c>
      <c r="X2766" s="2">
        <v>6</v>
      </c>
      <c r="Z2766" s="2">
        <v>36</v>
      </c>
      <c r="AA2766" s="3" t="s">
        <v>40</v>
      </c>
      <c r="AB2766" s="2">
        <v>5</v>
      </c>
      <c r="AF2766" s="2">
        <v>30</v>
      </c>
      <c r="AG2766" s="2">
        <v>2</v>
      </c>
      <c r="AH2766" s="3" t="s">
        <v>2812</v>
      </c>
      <c r="AI2766" s="4">
        <v>45064</v>
      </c>
      <c r="AJ2766" s="3" t="s">
        <v>2894</v>
      </c>
      <c r="AK2766" s="3" t="s">
        <v>1931</v>
      </c>
    </row>
    <row r="2767" spans="1:37" hidden="1" x14ac:dyDescent="0.25">
      <c r="A2767" t="str">
        <f t="shared" si="43"/>
        <v>2023_NSW_RankinsSprings_Lupin_SatelliteTOS2VarietyMandelupWaterTrtRainFed</v>
      </c>
      <c r="B2767" s="2">
        <v>2023029</v>
      </c>
      <c r="C2767" s="3" t="s">
        <v>2862</v>
      </c>
      <c r="D2767" s="3" t="s">
        <v>1931</v>
      </c>
      <c r="F2767" s="3" t="s">
        <v>1939</v>
      </c>
      <c r="G2767" s="3" t="s">
        <v>39</v>
      </c>
      <c r="H2767" s="3" t="s">
        <v>253</v>
      </c>
      <c r="I2767" s="2">
        <v>32</v>
      </c>
      <c r="J2767" s="2">
        <v>32</v>
      </c>
      <c r="K2767" s="2">
        <v>3</v>
      </c>
      <c r="O2767" s="2">
        <v>6</v>
      </c>
      <c r="U2767" s="2">
        <v>2</v>
      </c>
      <c r="V2767" s="2">
        <v>17</v>
      </c>
      <c r="W2767" s="2">
        <v>2</v>
      </c>
      <c r="X2767" s="2">
        <v>6</v>
      </c>
      <c r="Z2767" s="2">
        <v>35</v>
      </c>
      <c r="AA2767" s="3" t="s">
        <v>40</v>
      </c>
      <c r="AB2767" s="2">
        <v>2</v>
      </c>
      <c r="AF2767" s="2">
        <v>30</v>
      </c>
      <c r="AG2767" s="2">
        <v>2</v>
      </c>
      <c r="AH2767" s="3" t="s">
        <v>2812</v>
      </c>
      <c r="AI2767" s="4">
        <v>45064</v>
      </c>
      <c r="AJ2767" s="3" t="s">
        <v>2895</v>
      </c>
      <c r="AK2767" s="3" t="s">
        <v>1931</v>
      </c>
    </row>
    <row r="2768" spans="1:37" hidden="1" x14ac:dyDescent="0.25">
      <c r="A2768" t="str">
        <f t="shared" si="43"/>
        <v>2023_NSW_RankinsSprings_Lupin_SatelliteTOS2VarietyWongaWaterTrtRainFed</v>
      </c>
      <c r="B2768" s="2">
        <v>2023029</v>
      </c>
      <c r="C2768" s="3" t="s">
        <v>2862</v>
      </c>
      <c r="D2768" s="3" t="s">
        <v>1931</v>
      </c>
      <c r="F2768" s="3" t="s">
        <v>1932</v>
      </c>
      <c r="G2768" s="3" t="s">
        <v>39</v>
      </c>
      <c r="H2768" s="3" t="s">
        <v>253</v>
      </c>
      <c r="I2768" s="2">
        <v>33</v>
      </c>
      <c r="J2768" s="2">
        <v>33</v>
      </c>
      <c r="K2768" s="2">
        <v>3</v>
      </c>
      <c r="O2768" s="2">
        <v>6</v>
      </c>
      <c r="U2768" s="2">
        <v>3</v>
      </c>
      <c r="V2768" s="2">
        <v>17</v>
      </c>
      <c r="W2768" s="2">
        <v>3</v>
      </c>
      <c r="X2768" s="2">
        <v>6</v>
      </c>
      <c r="Z2768" s="2">
        <v>34</v>
      </c>
      <c r="AA2768" s="3" t="s">
        <v>40</v>
      </c>
      <c r="AB2768" s="2">
        <v>6</v>
      </c>
      <c r="AF2768" s="2">
        <v>30</v>
      </c>
      <c r="AG2768" s="2">
        <v>2</v>
      </c>
      <c r="AH2768" s="3" t="s">
        <v>2812</v>
      </c>
      <c r="AI2768" s="4">
        <v>45064</v>
      </c>
      <c r="AJ2768" s="3" t="s">
        <v>2896</v>
      </c>
      <c r="AK2768" s="3" t="s">
        <v>1931</v>
      </c>
    </row>
    <row r="2769" spans="1:37" hidden="1" x14ac:dyDescent="0.25">
      <c r="A2769" t="str">
        <f t="shared" si="43"/>
        <v>2023_NSW_RankinsSprings_Lupin_SatelliteTOS2VarietyJindaleeWaterTrtRainFed</v>
      </c>
      <c r="B2769" s="2">
        <v>2023029</v>
      </c>
      <c r="C2769" s="3" t="s">
        <v>2862</v>
      </c>
      <c r="D2769" s="3" t="s">
        <v>1931</v>
      </c>
      <c r="F2769" s="3" t="s">
        <v>2868</v>
      </c>
      <c r="G2769" s="3" t="s">
        <v>39</v>
      </c>
      <c r="H2769" s="3" t="s">
        <v>253</v>
      </c>
      <c r="I2769" s="2">
        <v>34</v>
      </c>
      <c r="J2769" s="2">
        <v>34</v>
      </c>
      <c r="K2769" s="2">
        <v>3</v>
      </c>
      <c r="O2769" s="2">
        <v>6</v>
      </c>
      <c r="U2769" s="2">
        <v>4</v>
      </c>
      <c r="V2769" s="2">
        <v>17</v>
      </c>
      <c r="W2769" s="2">
        <v>4</v>
      </c>
      <c r="X2769" s="2">
        <v>6</v>
      </c>
      <c r="Z2769" s="2">
        <v>33</v>
      </c>
      <c r="AA2769" s="3" t="s">
        <v>40</v>
      </c>
      <c r="AB2769" s="2">
        <v>1</v>
      </c>
      <c r="AF2769" s="2">
        <v>30</v>
      </c>
      <c r="AG2769" s="2">
        <v>2</v>
      </c>
      <c r="AH2769" s="3" t="s">
        <v>2812</v>
      </c>
      <c r="AI2769" s="4">
        <v>45064</v>
      </c>
      <c r="AJ2769" s="3" t="s">
        <v>2897</v>
      </c>
      <c r="AK2769" s="3" t="s">
        <v>1931</v>
      </c>
    </row>
    <row r="2770" spans="1:37" hidden="1" x14ac:dyDescent="0.25">
      <c r="A2770" t="str">
        <f t="shared" si="43"/>
        <v>2023_NSW_RankinsSprings_Lupin_SatelliteTOS2VarietyBatemanWaterTrtRainFed</v>
      </c>
      <c r="B2770" s="2">
        <v>2023029</v>
      </c>
      <c r="C2770" s="3" t="s">
        <v>2862</v>
      </c>
      <c r="D2770" s="3" t="s">
        <v>1931</v>
      </c>
      <c r="F2770" s="3" t="s">
        <v>4195</v>
      </c>
      <c r="G2770" s="3" t="s">
        <v>43</v>
      </c>
      <c r="H2770" s="3" t="s">
        <v>253</v>
      </c>
      <c r="I2770" s="2">
        <v>35</v>
      </c>
      <c r="J2770" s="2">
        <v>35</v>
      </c>
      <c r="K2770" s="2">
        <v>3</v>
      </c>
      <c r="O2770" s="2">
        <v>6</v>
      </c>
      <c r="U2770" s="2">
        <v>5</v>
      </c>
      <c r="V2770" s="2">
        <v>17</v>
      </c>
      <c r="W2770" s="2">
        <v>5</v>
      </c>
      <c r="X2770" s="2">
        <v>6</v>
      </c>
      <c r="Z2770" s="2">
        <v>32</v>
      </c>
      <c r="AA2770" s="3" t="s">
        <v>40</v>
      </c>
      <c r="AB2770" s="2">
        <v>3</v>
      </c>
      <c r="AF2770" s="2">
        <v>30</v>
      </c>
      <c r="AG2770" s="2">
        <v>2</v>
      </c>
      <c r="AH2770" s="3" t="s">
        <v>2812</v>
      </c>
      <c r="AI2770" s="4">
        <v>45064</v>
      </c>
      <c r="AJ2770" s="3" t="s">
        <v>2898</v>
      </c>
      <c r="AK2770" s="3" t="s">
        <v>1931</v>
      </c>
    </row>
    <row r="2771" spans="1:37" hidden="1" x14ac:dyDescent="0.25">
      <c r="A2771" t="str">
        <f t="shared" si="43"/>
        <v>2023_NSW_RankinsSprings_Lupin_SatelliteTOS2VarietyGunyidiWaterTrtRainFed</v>
      </c>
      <c r="B2771" s="2">
        <v>2023029</v>
      </c>
      <c r="C2771" s="3" t="s">
        <v>2862</v>
      </c>
      <c r="D2771" s="3" t="s">
        <v>1931</v>
      </c>
      <c r="F2771" s="3" t="s">
        <v>4198</v>
      </c>
      <c r="G2771" s="3" t="s">
        <v>39</v>
      </c>
      <c r="H2771" s="3" t="s">
        <v>253</v>
      </c>
      <c r="I2771" s="2">
        <v>36</v>
      </c>
      <c r="J2771" s="2">
        <v>36</v>
      </c>
      <c r="K2771" s="2">
        <v>3</v>
      </c>
      <c r="O2771" s="2">
        <v>6</v>
      </c>
      <c r="U2771" s="2">
        <v>6</v>
      </c>
      <c r="V2771" s="2">
        <v>17</v>
      </c>
      <c r="W2771" s="2">
        <v>6</v>
      </c>
      <c r="X2771" s="2">
        <v>6</v>
      </c>
      <c r="Z2771" s="2">
        <v>31</v>
      </c>
      <c r="AA2771" s="3" t="s">
        <v>40</v>
      </c>
      <c r="AB2771" s="2">
        <v>4</v>
      </c>
      <c r="AF2771" s="2">
        <v>30</v>
      </c>
      <c r="AG2771" s="2">
        <v>2</v>
      </c>
      <c r="AH2771" s="3" t="s">
        <v>2812</v>
      </c>
      <c r="AI2771" s="4">
        <v>45064</v>
      </c>
      <c r="AJ2771" s="3" t="s">
        <v>2899</v>
      </c>
      <c r="AK2771" s="3" t="s">
        <v>1931</v>
      </c>
    </row>
    <row r="2772" spans="1:37" hidden="1" x14ac:dyDescent="0.25">
      <c r="A2772" t="str">
        <f t="shared" si="43"/>
        <v>2023_NSW_RankinsSprings_Lupin_SatelliteTOS1VarietyJindaleeWaterTrtRainFed</v>
      </c>
      <c r="B2772" s="2">
        <v>2023029</v>
      </c>
      <c r="C2772" s="3" t="s">
        <v>2862</v>
      </c>
      <c r="D2772" s="3" t="s">
        <v>1931</v>
      </c>
      <c r="F2772" s="3" t="s">
        <v>2868</v>
      </c>
      <c r="G2772" s="3" t="s">
        <v>39</v>
      </c>
      <c r="H2772" s="3" t="s">
        <v>253</v>
      </c>
      <c r="I2772" s="2">
        <v>37</v>
      </c>
      <c r="J2772" s="2">
        <v>37</v>
      </c>
      <c r="K2772" s="2">
        <v>4</v>
      </c>
      <c r="O2772" s="2">
        <v>7</v>
      </c>
      <c r="U2772" s="2">
        <v>1</v>
      </c>
      <c r="V2772" s="2">
        <v>20</v>
      </c>
      <c r="W2772" s="2">
        <v>1</v>
      </c>
      <c r="X2772" s="2">
        <v>7</v>
      </c>
      <c r="Z2772" s="2">
        <v>37</v>
      </c>
      <c r="AA2772" s="3" t="s">
        <v>40</v>
      </c>
      <c r="AB2772" s="2">
        <v>1</v>
      </c>
      <c r="AF2772" s="2">
        <v>30</v>
      </c>
      <c r="AG2772" s="2">
        <v>1</v>
      </c>
      <c r="AH2772" s="3" t="s">
        <v>2819</v>
      </c>
      <c r="AI2772" s="4">
        <v>45040</v>
      </c>
      <c r="AJ2772" s="3" t="s">
        <v>2900</v>
      </c>
      <c r="AK2772" s="3" t="s">
        <v>1931</v>
      </c>
    </row>
    <row r="2773" spans="1:37" hidden="1" x14ac:dyDescent="0.25">
      <c r="A2773" t="str">
        <f t="shared" si="43"/>
        <v>2023_NSW_RankinsSprings_Lupin_SatelliteTOS1VarietyBatemanWaterTrtRainFed</v>
      </c>
      <c r="B2773" s="2">
        <v>2023029</v>
      </c>
      <c r="C2773" s="3" t="s">
        <v>2862</v>
      </c>
      <c r="D2773" s="3" t="s">
        <v>1931</v>
      </c>
      <c r="F2773" s="3" t="s">
        <v>4195</v>
      </c>
      <c r="G2773" s="3" t="s">
        <v>43</v>
      </c>
      <c r="H2773" s="3" t="s">
        <v>253</v>
      </c>
      <c r="I2773" s="2">
        <v>38</v>
      </c>
      <c r="J2773" s="2">
        <v>38</v>
      </c>
      <c r="K2773" s="2">
        <v>4</v>
      </c>
      <c r="O2773" s="2">
        <v>7</v>
      </c>
      <c r="U2773" s="2">
        <v>2</v>
      </c>
      <c r="V2773" s="2">
        <v>20</v>
      </c>
      <c r="W2773" s="2">
        <v>2</v>
      </c>
      <c r="X2773" s="2">
        <v>7</v>
      </c>
      <c r="Z2773" s="2">
        <v>38</v>
      </c>
      <c r="AA2773" s="3" t="s">
        <v>40</v>
      </c>
      <c r="AB2773" s="2">
        <v>3</v>
      </c>
      <c r="AF2773" s="2">
        <v>30</v>
      </c>
      <c r="AG2773" s="2">
        <v>1</v>
      </c>
      <c r="AH2773" s="3" t="s">
        <v>2819</v>
      </c>
      <c r="AI2773" s="4">
        <v>45040</v>
      </c>
      <c r="AJ2773" s="3" t="s">
        <v>2901</v>
      </c>
      <c r="AK2773" s="3" t="s">
        <v>1931</v>
      </c>
    </row>
    <row r="2774" spans="1:37" hidden="1" x14ac:dyDescent="0.25">
      <c r="A2774" t="str">
        <f t="shared" si="43"/>
        <v>2023_NSW_RankinsSprings_Lupin_SatelliteTOS1VarietyMandelupWaterTrtRainFed</v>
      </c>
      <c r="B2774" s="2">
        <v>2023029</v>
      </c>
      <c r="C2774" s="3" t="s">
        <v>2862</v>
      </c>
      <c r="D2774" s="3" t="s">
        <v>1931</v>
      </c>
      <c r="F2774" s="3" t="s">
        <v>1939</v>
      </c>
      <c r="G2774" s="3" t="s">
        <v>39</v>
      </c>
      <c r="H2774" s="3" t="s">
        <v>253</v>
      </c>
      <c r="I2774" s="2">
        <v>39</v>
      </c>
      <c r="J2774" s="2">
        <v>39</v>
      </c>
      <c r="K2774" s="2">
        <v>4</v>
      </c>
      <c r="O2774" s="2">
        <v>7</v>
      </c>
      <c r="U2774" s="2">
        <v>3</v>
      </c>
      <c r="V2774" s="2">
        <v>20</v>
      </c>
      <c r="W2774" s="2">
        <v>3</v>
      </c>
      <c r="X2774" s="2">
        <v>7</v>
      </c>
      <c r="Z2774" s="2">
        <v>39</v>
      </c>
      <c r="AA2774" s="3" t="s">
        <v>40</v>
      </c>
      <c r="AB2774" s="2">
        <v>2</v>
      </c>
      <c r="AF2774" s="2">
        <v>30</v>
      </c>
      <c r="AG2774" s="2">
        <v>1</v>
      </c>
      <c r="AH2774" s="3" t="s">
        <v>2819</v>
      </c>
      <c r="AI2774" s="4">
        <v>45040</v>
      </c>
      <c r="AJ2774" s="3" t="s">
        <v>2902</v>
      </c>
      <c r="AK2774" s="3" t="s">
        <v>1931</v>
      </c>
    </row>
    <row r="2775" spans="1:37" hidden="1" x14ac:dyDescent="0.25">
      <c r="A2775" t="str">
        <f t="shared" si="43"/>
        <v>2023_NSW_RankinsSprings_Lupin_SatelliteTOS1VarietyJurienWaterTrtRainFed</v>
      </c>
      <c r="B2775" s="2">
        <v>2023029</v>
      </c>
      <c r="C2775" s="3" t="s">
        <v>2862</v>
      </c>
      <c r="D2775" s="3" t="s">
        <v>1931</v>
      </c>
      <c r="F2775" s="3" t="s">
        <v>4194</v>
      </c>
      <c r="G2775" s="3" t="s">
        <v>39</v>
      </c>
      <c r="H2775" s="3" t="s">
        <v>253</v>
      </c>
      <c r="I2775" s="2">
        <v>40</v>
      </c>
      <c r="J2775" s="2">
        <v>40</v>
      </c>
      <c r="K2775" s="2">
        <v>4</v>
      </c>
      <c r="O2775" s="2">
        <v>7</v>
      </c>
      <c r="U2775" s="2">
        <v>4</v>
      </c>
      <c r="V2775" s="2">
        <v>20</v>
      </c>
      <c r="W2775" s="2">
        <v>4</v>
      </c>
      <c r="X2775" s="2">
        <v>7</v>
      </c>
      <c r="Z2775" s="2">
        <v>40</v>
      </c>
      <c r="AA2775" s="3" t="s">
        <v>40</v>
      </c>
      <c r="AB2775" s="2">
        <v>5</v>
      </c>
      <c r="AF2775" s="2">
        <v>30</v>
      </c>
      <c r="AG2775" s="2">
        <v>1</v>
      </c>
      <c r="AH2775" s="3" t="s">
        <v>2819</v>
      </c>
      <c r="AI2775" s="4">
        <v>45040</v>
      </c>
      <c r="AJ2775" s="3" t="s">
        <v>2903</v>
      </c>
      <c r="AK2775" s="3" t="s">
        <v>1931</v>
      </c>
    </row>
    <row r="2776" spans="1:37" hidden="1" x14ac:dyDescent="0.25">
      <c r="A2776" t="str">
        <f t="shared" si="43"/>
        <v>2023_NSW_RankinsSprings_Lupin_SatelliteTOS1VarietyGunyidiWaterTrtRainFed</v>
      </c>
      <c r="B2776" s="2">
        <v>2023029</v>
      </c>
      <c r="C2776" s="3" t="s">
        <v>2862</v>
      </c>
      <c r="D2776" s="3" t="s">
        <v>1931</v>
      </c>
      <c r="F2776" s="3" t="s">
        <v>4198</v>
      </c>
      <c r="G2776" s="3" t="s">
        <v>39</v>
      </c>
      <c r="H2776" s="3" t="s">
        <v>253</v>
      </c>
      <c r="I2776" s="2">
        <v>41</v>
      </c>
      <c r="J2776" s="2">
        <v>41</v>
      </c>
      <c r="K2776" s="2">
        <v>4</v>
      </c>
      <c r="O2776" s="2">
        <v>7</v>
      </c>
      <c r="U2776" s="2">
        <v>5</v>
      </c>
      <c r="V2776" s="2">
        <v>20</v>
      </c>
      <c r="W2776" s="2">
        <v>5</v>
      </c>
      <c r="X2776" s="2">
        <v>7</v>
      </c>
      <c r="Z2776" s="2">
        <v>41</v>
      </c>
      <c r="AA2776" s="3" t="s">
        <v>40</v>
      </c>
      <c r="AB2776" s="2">
        <v>4</v>
      </c>
      <c r="AF2776" s="2">
        <v>30</v>
      </c>
      <c r="AG2776" s="2">
        <v>1</v>
      </c>
      <c r="AH2776" s="3" t="s">
        <v>2819</v>
      </c>
      <c r="AI2776" s="4">
        <v>45040</v>
      </c>
      <c r="AJ2776" s="3" t="s">
        <v>2904</v>
      </c>
      <c r="AK2776" s="3" t="s">
        <v>1931</v>
      </c>
    </row>
    <row r="2777" spans="1:37" hidden="1" x14ac:dyDescent="0.25">
      <c r="A2777" t="str">
        <f t="shared" si="43"/>
        <v>2023_NSW_RankinsSprings_Lupin_SatelliteTOS1VarietyWongaWaterTrtRainFed</v>
      </c>
      <c r="B2777" s="2">
        <v>2023029</v>
      </c>
      <c r="C2777" s="3" t="s">
        <v>2862</v>
      </c>
      <c r="D2777" s="3" t="s">
        <v>1931</v>
      </c>
      <c r="F2777" s="3" t="s">
        <v>1932</v>
      </c>
      <c r="G2777" s="3" t="s">
        <v>39</v>
      </c>
      <c r="H2777" s="3" t="s">
        <v>253</v>
      </c>
      <c r="I2777" s="2">
        <v>42</v>
      </c>
      <c r="J2777" s="2">
        <v>42</v>
      </c>
      <c r="K2777" s="2">
        <v>4</v>
      </c>
      <c r="O2777" s="2">
        <v>7</v>
      </c>
      <c r="U2777" s="2">
        <v>6</v>
      </c>
      <c r="V2777" s="2">
        <v>20</v>
      </c>
      <c r="W2777" s="2">
        <v>6</v>
      </c>
      <c r="X2777" s="2">
        <v>7</v>
      </c>
      <c r="Z2777" s="2">
        <v>42</v>
      </c>
      <c r="AA2777" s="3" t="s">
        <v>40</v>
      </c>
      <c r="AB2777" s="2">
        <v>6</v>
      </c>
      <c r="AF2777" s="2">
        <v>30</v>
      </c>
      <c r="AG2777" s="2">
        <v>1</v>
      </c>
      <c r="AH2777" s="3" t="s">
        <v>2819</v>
      </c>
      <c r="AI2777" s="4">
        <v>45040</v>
      </c>
      <c r="AJ2777" s="3" t="s">
        <v>2905</v>
      </c>
      <c r="AK2777" s="3" t="s">
        <v>1931</v>
      </c>
    </row>
    <row r="2778" spans="1:37" hidden="1" x14ac:dyDescent="0.25">
      <c r="A2778" t="str">
        <f t="shared" si="43"/>
        <v>2023_NSW_RankinsSprings_Lupin_SatelliteTOS2VarietyMandelupWaterTrtRainFed</v>
      </c>
      <c r="B2778" s="2">
        <v>2023029</v>
      </c>
      <c r="C2778" s="3" t="s">
        <v>2862</v>
      </c>
      <c r="D2778" s="3" t="s">
        <v>1931</v>
      </c>
      <c r="F2778" s="3" t="s">
        <v>1939</v>
      </c>
      <c r="G2778" s="3" t="s">
        <v>39</v>
      </c>
      <c r="H2778" s="3" t="s">
        <v>253</v>
      </c>
      <c r="I2778" s="2">
        <v>43</v>
      </c>
      <c r="J2778" s="2">
        <v>43</v>
      </c>
      <c r="K2778" s="2">
        <v>4</v>
      </c>
      <c r="O2778" s="2">
        <v>8</v>
      </c>
      <c r="U2778" s="2">
        <v>1</v>
      </c>
      <c r="V2778" s="2">
        <v>23</v>
      </c>
      <c r="W2778" s="2">
        <v>1</v>
      </c>
      <c r="X2778" s="2">
        <v>8</v>
      </c>
      <c r="Z2778" s="2">
        <v>48</v>
      </c>
      <c r="AA2778" s="3" t="s">
        <v>40</v>
      </c>
      <c r="AB2778" s="2">
        <v>2</v>
      </c>
      <c r="AF2778" s="2">
        <v>30</v>
      </c>
      <c r="AG2778" s="2">
        <v>2</v>
      </c>
      <c r="AH2778" s="3" t="s">
        <v>2812</v>
      </c>
      <c r="AI2778" s="4">
        <v>45064</v>
      </c>
      <c r="AJ2778" s="3" t="s">
        <v>2906</v>
      </c>
      <c r="AK2778" s="3" t="s">
        <v>1931</v>
      </c>
    </row>
    <row r="2779" spans="1:37" hidden="1" x14ac:dyDescent="0.25">
      <c r="A2779" t="str">
        <f t="shared" si="43"/>
        <v>2023_NSW_RankinsSprings_Lupin_SatelliteTOS2VarietyWongaWaterTrtRainFed</v>
      </c>
      <c r="B2779" s="2">
        <v>2023029</v>
      </c>
      <c r="C2779" s="3" t="s">
        <v>2862</v>
      </c>
      <c r="D2779" s="3" t="s">
        <v>1931</v>
      </c>
      <c r="F2779" s="3" t="s">
        <v>1932</v>
      </c>
      <c r="G2779" s="3" t="s">
        <v>39</v>
      </c>
      <c r="H2779" s="3" t="s">
        <v>253</v>
      </c>
      <c r="I2779" s="2">
        <v>44</v>
      </c>
      <c r="J2779" s="2">
        <v>44</v>
      </c>
      <c r="K2779" s="2">
        <v>4</v>
      </c>
      <c r="O2779" s="2">
        <v>8</v>
      </c>
      <c r="U2779" s="2">
        <v>2</v>
      </c>
      <c r="V2779" s="2">
        <v>23</v>
      </c>
      <c r="W2779" s="2">
        <v>2</v>
      </c>
      <c r="X2779" s="2">
        <v>8</v>
      </c>
      <c r="Z2779" s="2">
        <v>47</v>
      </c>
      <c r="AA2779" s="3" t="s">
        <v>40</v>
      </c>
      <c r="AB2779" s="2">
        <v>6</v>
      </c>
      <c r="AF2779" s="2">
        <v>30</v>
      </c>
      <c r="AG2779" s="2">
        <v>2</v>
      </c>
      <c r="AH2779" s="3" t="s">
        <v>2812</v>
      </c>
      <c r="AI2779" s="4">
        <v>45064</v>
      </c>
      <c r="AJ2779" s="3" t="s">
        <v>2907</v>
      </c>
      <c r="AK2779" s="3" t="s">
        <v>1931</v>
      </c>
    </row>
    <row r="2780" spans="1:37" hidden="1" x14ac:dyDescent="0.25">
      <c r="A2780" t="str">
        <f t="shared" si="43"/>
        <v>2023_NSW_RankinsSprings_Lupin_SatelliteTOS2VarietyJurienWaterTrtRainFed</v>
      </c>
      <c r="B2780" s="2">
        <v>2023029</v>
      </c>
      <c r="C2780" s="3" t="s">
        <v>2862</v>
      </c>
      <c r="D2780" s="3" t="s">
        <v>1931</v>
      </c>
      <c r="F2780" s="3" t="s">
        <v>4194</v>
      </c>
      <c r="G2780" s="3" t="s">
        <v>39</v>
      </c>
      <c r="H2780" s="3" t="s">
        <v>253</v>
      </c>
      <c r="I2780" s="2">
        <v>45</v>
      </c>
      <c r="J2780" s="2">
        <v>45</v>
      </c>
      <c r="K2780" s="2">
        <v>4</v>
      </c>
      <c r="O2780" s="2">
        <v>8</v>
      </c>
      <c r="U2780" s="2">
        <v>3</v>
      </c>
      <c r="V2780" s="2">
        <v>23</v>
      </c>
      <c r="W2780" s="2">
        <v>3</v>
      </c>
      <c r="X2780" s="2">
        <v>8</v>
      </c>
      <c r="Z2780" s="2">
        <v>46</v>
      </c>
      <c r="AA2780" s="3" t="s">
        <v>40</v>
      </c>
      <c r="AB2780" s="2">
        <v>5</v>
      </c>
      <c r="AF2780" s="2">
        <v>30</v>
      </c>
      <c r="AG2780" s="2">
        <v>2</v>
      </c>
      <c r="AH2780" s="3" t="s">
        <v>2812</v>
      </c>
      <c r="AI2780" s="4">
        <v>45064</v>
      </c>
      <c r="AJ2780" s="3" t="s">
        <v>2908</v>
      </c>
      <c r="AK2780" s="3" t="s">
        <v>1931</v>
      </c>
    </row>
    <row r="2781" spans="1:37" hidden="1" x14ac:dyDescent="0.25">
      <c r="A2781" t="str">
        <f t="shared" si="43"/>
        <v>2023_NSW_RankinsSprings_Lupin_SatelliteTOS2VarietyGunyidiWaterTrtRainFed</v>
      </c>
      <c r="B2781" s="2">
        <v>2023029</v>
      </c>
      <c r="C2781" s="3" t="s">
        <v>2862</v>
      </c>
      <c r="D2781" s="3" t="s">
        <v>1931</v>
      </c>
      <c r="F2781" s="3" t="s">
        <v>4198</v>
      </c>
      <c r="G2781" s="3" t="s">
        <v>39</v>
      </c>
      <c r="H2781" s="3" t="s">
        <v>253</v>
      </c>
      <c r="I2781" s="2">
        <v>46</v>
      </c>
      <c r="J2781" s="2">
        <v>46</v>
      </c>
      <c r="K2781" s="2">
        <v>4</v>
      </c>
      <c r="O2781" s="2">
        <v>8</v>
      </c>
      <c r="U2781" s="2">
        <v>4</v>
      </c>
      <c r="V2781" s="2">
        <v>23</v>
      </c>
      <c r="W2781" s="2">
        <v>4</v>
      </c>
      <c r="X2781" s="2">
        <v>8</v>
      </c>
      <c r="Z2781" s="2">
        <v>45</v>
      </c>
      <c r="AA2781" s="3" t="s">
        <v>40</v>
      </c>
      <c r="AB2781" s="2">
        <v>4</v>
      </c>
      <c r="AF2781" s="2">
        <v>30</v>
      </c>
      <c r="AG2781" s="2">
        <v>2</v>
      </c>
      <c r="AH2781" s="3" t="s">
        <v>2812</v>
      </c>
      <c r="AI2781" s="4">
        <v>45064</v>
      </c>
      <c r="AJ2781" s="3" t="s">
        <v>2909</v>
      </c>
      <c r="AK2781" s="3" t="s">
        <v>1931</v>
      </c>
    </row>
    <row r="2782" spans="1:37" hidden="1" x14ac:dyDescent="0.25">
      <c r="A2782" t="str">
        <f t="shared" si="43"/>
        <v>2023_NSW_RankinsSprings_Lupin_SatelliteTOS2VarietyJindaleeWaterTrtRainFed</v>
      </c>
      <c r="B2782" s="2">
        <v>2023029</v>
      </c>
      <c r="C2782" s="3" t="s">
        <v>2862</v>
      </c>
      <c r="D2782" s="3" t="s">
        <v>1931</v>
      </c>
      <c r="F2782" s="3" t="s">
        <v>2868</v>
      </c>
      <c r="G2782" s="3" t="s">
        <v>39</v>
      </c>
      <c r="H2782" s="3" t="s">
        <v>253</v>
      </c>
      <c r="I2782" s="2">
        <v>47</v>
      </c>
      <c r="J2782" s="2">
        <v>47</v>
      </c>
      <c r="K2782" s="2">
        <v>4</v>
      </c>
      <c r="O2782" s="2">
        <v>8</v>
      </c>
      <c r="U2782" s="2">
        <v>5</v>
      </c>
      <c r="V2782" s="2">
        <v>23</v>
      </c>
      <c r="W2782" s="2">
        <v>5</v>
      </c>
      <c r="X2782" s="2">
        <v>8</v>
      </c>
      <c r="Z2782" s="2">
        <v>44</v>
      </c>
      <c r="AA2782" s="3" t="s">
        <v>40</v>
      </c>
      <c r="AB2782" s="2">
        <v>1</v>
      </c>
      <c r="AF2782" s="2">
        <v>30</v>
      </c>
      <c r="AG2782" s="2">
        <v>2</v>
      </c>
      <c r="AH2782" s="3" t="s">
        <v>2812</v>
      </c>
      <c r="AI2782" s="4">
        <v>45064</v>
      </c>
      <c r="AJ2782" s="3" t="s">
        <v>2910</v>
      </c>
      <c r="AK2782" s="3" t="s">
        <v>1931</v>
      </c>
    </row>
    <row r="2783" spans="1:37" hidden="1" x14ac:dyDescent="0.25">
      <c r="A2783" t="str">
        <f t="shared" si="43"/>
        <v>2023_NSW_RankinsSprings_Lupin_SatelliteTOS2VarietyBatemanWaterTrtRainFed</v>
      </c>
      <c r="B2783" s="2">
        <v>2023029</v>
      </c>
      <c r="C2783" s="3" t="s">
        <v>2862</v>
      </c>
      <c r="D2783" s="3" t="s">
        <v>1931</v>
      </c>
      <c r="F2783" s="3" t="s">
        <v>4195</v>
      </c>
      <c r="G2783" s="3" t="s">
        <v>43</v>
      </c>
      <c r="H2783" s="3" t="s">
        <v>253</v>
      </c>
      <c r="I2783" s="2">
        <v>48</v>
      </c>
      <c r="J2783" s="2">
        <v>48</v>
      </c>
      <c r="K2783" s="2">
        <v>4</v>
      </c>
      <c r="O2783" s="2">
        <v>8</v>
      </c>
      <c r="U2783" s="2">
        <v>6</v>
      </c>
      <c r="V2783" s="2">
        <v>23</v>
      </c>
      <c r="W2783" s="2">
        <v>6</v>
      </c>
      <c r="X2783" s="2">
        <v>8</v>
      </c>
      <c r="Z2783" s="2">
        <v>43</v>
      </c>
      <c r="AA2783" s="3" t="s">
        <v>40</v>
      </c>
      <c r="AB2783" s="2">
        <v>3</v>
      </c>
      <c r="AF2783" s="2">
        <v>30</v>
      </c>
      <c r="AG2783" s="2">
        <v>2</v>
      </c>
      <c r="AH2783" s="3" t="s">
        <v>2812</v>
      </c>
      <c r="AI2783" s="4">
        <v>45064</v>
      </c>
      <c r="AJ2783" s="3" t="s">
        <v>2911</v>
      </c>
      <c r="AK2783" s="3" t="s">
        <v>1931</v>
      </c>
    </row>
    <row r="2784" spans="1:37" hidden="1" x14ac:dyDescent="0.25">
      <c r="A2784" t="str">
        <f t="shared" si="43"/>
        <v>2023_Qld_Emerald_Chickpea_SatelliteTOS1VarietyCBA_CaptainWaterTrtRainFed</v>
      </c>
      <c r="B2784" s="2">
        <v>2023030</v>
      </c>
      <c r="C2784" s="3" t="s">
        <v>2912</v>
      </c>
      <c r="D2784" s="3" t="s">
        <v>248</v>
      </c>
      <c r="F2784" s="3" t="s">
        <v>249</v>
      </c>
      <c r="G2784" s="3" t="s">
        <v>43</v>
      </c>
      <c r="H2784" s="3" t="s">
        <v>253</v>
      </c>
      <c r="I2784" s="2">
        <v>1</v>
      </c>
      <c r="J2784" s="2">
        <v>1</v>
      </c>
      <c r="K2784" s="2">
        <v>1</v>
      </c>
      <c r="O2784" s="2">
        <v>1</v>
      </c>
      <c r="U2784" s="2">
        <v>3</v>
      </c>
      <c r="V2784" s="2">
        <v>3</v>
      </c>
      <c r="W2784" s="2">
        <v>1</v>
      </c>
      <c r="X2784" s="2">
        <v>1</v>
      </c>
      <c r="Z2784" s="2">
        <v>1</v>
      </c>
      <c r="AA2784" s="3" t="s">
        <v>40</v>
      </c>
      <c r="AB2784" s="2">
        <v>2</v>
      </c>
      <c r="AF2784" s="2">
        <v>50</v>
      </c>
      <c r="AG2784" s="2">
        <v>1</v>
      </c>
      <c r="AH2784" s="3" t="s">
        <v>2913</v>
      </c>
      <c r="AI2784" s="4">
        <v>45069</v>
      </c>
      <c r="AJ2784" s="3" t="s">
        <v>2914</v>
      </c>
      <c r="AK2784" s="3" t="s">
        <v>248</v>
      </c>
    </row>
    <row r="2785" spans="1:37" hidden="1" x14ac:dyDescent="0.25">
      <c r="A2785" t="str">
        <f t="shared" si="43"/>
        <v>2023_Qld_Emerald_Chickpea_SatelliteTOS1VarietyDrummondWaterTrtRainFed</v>
      </c>
      <c r="B2785" s="2">
        <v>2023030</v>
      </c>
      <c r="C2785" s="3" t="s">
        <v>2912</v>
      </c>
      <c r="D2785" s="3" t="s">
        <v>248</v>
      </c>
      <c r="F2785" s="3" t="s">
        <v>4182</v>
      </c>
      <c r="G2785" s="3" t="s">
        <v>39</v>
      </c>
      <c r="H2785" s="3" t="s">
        <v>253</v>
      </c>
      <c r="I2785" s="2">
        <v>2</v>
      </c>
      <c r="J2785" s="2">
        <v>2</v>
      </c>
      <c r="K2785" s="2">
        <v>1</v>
      </c>
      <c r="O2785" s="2">
        <v>1</v>
      </c>
      <c r="U2785" s="2">
        <v>4</v>
      </c>
      <c r="V2785" s="2">
        <v>3</v>
      </c>
      <c r="W2785" s="2">
        <v>2</v>
      </c>
      <c r="X2785" s="2">
        <v>1</v>
      </c>
      <c r="Z2785" s="2">
        <v>2</v>
      </c>
      <c r="AA2785" s="3" t="s">
        <v>40</v>
      </c>
      <c r="AB2785" s="2">
        <v>4</v>
      </c>
      <c r="AF2785" s="2">
        <v>50</v>
      </c>
      <c r="AG2785" s="2">
        <v>1</v>
      </c>
      <c r="AH2785" s="3" t="s">
        <v>2913</v>
      </c>
      <c r="AI2785" s="4">
        <v>45069</v>
      </c>
      <c r="AJ2785" s="3" t="s">
        <v>2915</v>
      </c>
      <c r="AK2785" s="3" t="s">
        <v>248</v>
      </c>
    </row>
    <row r="2786" spans="1:37" hidden="1" x14ac:dyDescent="0.25">
      <c r="A2786" t="str">
        <f t="shared" si="43"/>
        <v>2023_Qld_Emerald_Chickpea_SatelliteTOS1VarietyStrikerWaterTrtRainFed</v>
      </c>
      <c r="B2786" s="2">
        <v>2023030</v>
      </c>
      <c r="C2786" s="3" t="s">
        <v>2912</v>
      </c>
      <c r="D2786" s="3" t="s">
        <v>248</v>
      </c>
      <c r="F2786" s="3" t="s">
        <v>4179</v>
      </c>
      <c r="G2786" s="3" t="s">
        <v>43</v>
      </c>
      <c r="H2786" s="3" t="s">
        <v>253</v>
      </c>
      <c r="I2786" s="2">
        <v>3</v>
      </c>
      <c r="J2786" s="2">
        <v>3</v>
      </c>
      <c r="K2786" s="2">
        <v>1</v>
      </c>
      <c r="O2786" s="2">
        <v>1</v>
      </c>
      <c r="U2786" s="2">
        <v>5</v>
      </c>
      <c r="V2786" s="2">
        <v>3</v>
      </c>
      <c r="W2786" s="2">
        <v>3</v>
      </c>
      <c r="X2786" s="2">
        <v>1</v>
      </c>
      <c r="Z2786" s="2">
        <v>3</v>
      </c>
      <c r="AA2786" s="3" t="s">
        <v>40</v>
      </c>
      <c r="AB2786" s="2">
        <v>3</v>
      </c>
      <c r="AF2786" s="2">
        <v>50</v>
      </c>
      <c r="AG2786" s="2">
        <v>1</v>
      </c>
      <c r="AH2786" s="3" t="s">
        <v>2913</v>
      </c>
      <c r="AI2786" s="4">
        <v>45069</v>
      </c>
      <c r="AJ2786" s="3" t="s">
        <v>2916</v>
      </c>
      <c r="AK2786" s="3" t="s">
        <v>248</v>
      </c>
    </row>
    <row r="2787" spans="1:37" hidden="1" x14ac:dyDescent="0.25">
      <c r="A2787" t="str">
        <f t="shared" si="43"/>
        <v>2023_Qld_Emerald_Chickpea_SatelliteTOS1VarietyHatTrickWaterTrtRainFed</v>
      </c>
      <c r="B2787" s="2">
        <v>2023030</v>
      </c>
      <c r="C2787" s="3" t="s">
        <v>2912</v>
      </c>
      <c r="D2787" s="3" t="s">
        <v>248</v>
      </c>
      <c r="F2787" s="3" t="s">
        <v>4178</v>
      </c>
      <c r="G2787" s="3" t="s">
        <v>39</v>
      </c>
      <c r="H2787" s="3" t="s">
        <v>253</v>
      </c>
      <c r="I2787" s="2">
        <v>4</v>
      </c>
      <c r="J2787" s="2">
        <v>4</v>
      </c>
      <c r="K2787" s="2">
        <v>1</v>
      </c>
      <c r="O2787" s="2">
        <v>1</v>
      </c>
      <c r="U2787" s="2">
        <v>6</v>
      </c>
      <c r="V2787" s="2">
        <v>3</v>
      </c>
      <c r="W2787" s="2">
        <v>4</v>
      </c>
      <c r="X2787" s="2">
        <v>1</v>
      </c>
      <c r="Z2787" s="2">
        <v>4</v>
      </c>
      <c r="AA2787" s="3" t="s">
        <v>40</v>
      </c>
      <c r="AB2787" s="2">
        <v>1</v>
      </c>
      <c r="AF2787" s="2">
        <v>50</v>
      </c>
      <c r="AG2787" s="2">
        <v>1</v>
      </c>
      <c r="AH2787" s="3" t="s">
        <v>2913</v>
      </c>
      <c r="AI2787" s="4">
        <v>45069</v>
      </c>
      <c r="AJ2787" s="3" t="s">
        <v>2917</v>
      </c>
      <c r="AK2787" s="3" t="s">
        <v>248</v>
      </c>
    </row>
    <row r="2788" spans="1:37" hidden="1" x14ac:dyDescent="0.25">
      <c r="A2788" t="str">
        <f t="shared" si="43"/>
        <v>2023_Qld_Emerald_Chickpea_SatelliteTOS2VarietyHatTrickWaterTrtRainFed</v>
      </c>
      <c r="B2788" s="2">
        <v>2023030</v>
      </c>
      <c r="C2788" s="3" t="s">
        <v>2912</v>
      </c>
      <c r="D2788" s="3" t="s">
        <v>248</v>
      </c>
      <c r="F2788" s="3" t="s">
        <v>4178</v>
      </c>
      <c r="G2788" s="3" t="s">
        <v>39</v>
      </c>
      <c r="H2788" s="3" t="s">
        <v>253</v>
      </c>
      <c r="I2788" s="2">
        <v>5</v>
      </c>
      <c r="J2788" s="2">
        <v>5</v>
      </c>
      <c r="K2788" s="2">
        <v>1</v>
      </c>
      <c r="O2788" s="2">
        <v>2</v>
      </c>
      <c r="U2788" s="2">
        <v>3</v>
      </c>
      <c r="V2788" s="2">
        <v>6</v>
      </c>
      <c r="W2788" s="2">
        <v>1</v>
      </c>
      <c r="X2788" s="2">
        <v>2</v>
      </c>
      <c r="Z2788" s="2">
        <v>8</v>
      </c>
      <c r="AA2788" s="3" t="s">
        <v>40</v>
      </c>
      <c r="AB2788" s="2">
        <v>1</v>
      </c>
      <c r="AF2788" s="2">
        <v>50</v>
      </c>
      <c r="AG2788" s="2">
        <v>2</v>
      </c>
      <c r="AH2788" s="3" t="s">
        <v>2918</v>
      </c>
      <c r="AI2788" s="4">
        <v>45089</v>
      </c>
      <c r="AJ2788" s="3" t="s">
        <v>2919</v>
      </c>
      <c r="AK2788" s="3" t="s">
        <v>248</v>
      </c>
    </row>
    <row r="2789" spans="1:37" hidden="1" x14ac:dyDescent="0.25">
      <c r="A2789" t="str">
        <f t="shared" si="43"/>
        <v>2023_Qld_Emerald_Chickpea_SatelliteTOS2VarietyStrikerWaterTrtRainFed</v>
      </c>
      <c r="B2789" s="2">
        <v>2023030</v>
      </c>
      <c r="C2789" s="3" t="s">
        <v>2912</v>
      </c>
      <c r="D2789" s="3" t="s">
        <v>248</v>
      </c>
      <c r="F2789" s="3" t="s">
        <v>4179</v>
      </c>
      <c r="G2789" s="3" t="s">
        <v>43</v>
      </c>
      <c r="H2789" s="3" t="s">
        <v>253</v>
      </c>
      <c r="I2789" s="2">
        <v>6</v>
      </c>
      <c r="J2789" s="2">
        <v>6</v>
      </c>
      <c r="K2789" s="2">
        <v>1</v>
      </c>
      <c r="O2789" s="2">
        <v>2</v>
      </c>
      <c r="U2789" s="2">
        <v>4</v>
      </c>
      <c r="V2789" s="2">
        <v>6</v>
      </c>
      <c r="W2789" s="2">
        <v>2</v>
      </c>
      <c r="X2789" s="2">
        <v>2</v>
      </c>
      <c r="Z2789" s="2">
        <v>7</v>
      </c>
      <c r="AA2789" s="3" t="s">
        <v>40</v>
      </c>
      <c r="AB2789" s="2">
        <v>3</v>
      </c>
      <c r="AF2789" s="2">
        <v>50</v>
      </c>
      <c r="AG2789" s="2">
        <v>2</v>
      </c>
      <c r="AH2789" s="3" t="s">
        <v>2918</v>
      </c>
      <c r="AI2789" s="4">
        <v>45089</v>
      </c>
      <c r="AJ2789" s="3" t="s">
        <v>2920</v>
      </c>
      <c r="AK2789" s="3" t="s">
        <v>248</v>
      </c>
    </row>
    <row r="2790" spans="1:37" hidden="1" x14ac:dyDescent="0.25">
      <c r="A2790" t="str">
        <f t="shared" si="43"/>
        <v>2023_Qld_Emerald_Chickpea_SatelliteTOS2VarietyDrummondWaterTrtRainFed</v>
      </c>
      <c r="B2790" s="2">
        <v>2023030</v>
      </c>
      <c r="C2790" s="3" t="s">
        <v>2912</v>
      </c>
      <c r="D2790" s="3" t="s">
        <v>248</v>
      </c>
      <c r="F2790" s="3" t="s">
        <v>4182</v>
      </c>
      <c r="G2790" s="3" t="s">
        <v>39</v>
      </c>
      <c r="H2790" s="3" t="s">
        <v>253</v>
      </c>
      <c r="I2790" s="2">
        <v>7</v>
      </c>
      <c r="J2790" s="2">
        <v>7</v>
      </c>
      <c r="K2790" s="2">
        <v>1</v>
      </c>
      <c r="O2790" s="2">
        <v>2</v>
      </c>
      <c r="U2790" s="2">
        <v>5</v>
      </c>
      <c r="V2790" s="2">
        <v>6</v>
      </c>
      <c r="W2790" s="2">
        <v>3</v>
      </c>
      <c r="X2790" s="2">
        <v>2</v>
      </c>
      <c r="Z2790" s="2">
        <v>6</v>
      </c>
      <c r="AA2790" s="3" t="s">
        <v>40</v>
      </c>
      <c r="AB2790" s="2">
        <v>4</v>
      </c>
      <c r="AF2790" s="2">
        <v>50</v>
      </c>
      <c r="AG2790" s="2">
        <v>2</v>
      </c>
      <c r="AH2790" s="3" t="s">
        <v>2918</v>
      </c>
      <c r="AI2790" s="4">
        <v>45089</v>
      </c>
      <c r="AJ2790" s="3" t="s">
        <v>2921</v>
      </c>
      <c r="AK2790" s="3" t="s">
        <v>248</v>
      </c>
    </row>
    <row r="2791" spans="1:37" hidden="1" x14ac:dyDescent="0.25">
      <c r="A2791" t="str">
        <f t="shared" si="43"/>
        <v>2023_Qld_Emerald_Chickpea_SatelliteTOS2VarietyCBA_CaptainWaterTrtRainFed</v>
      </c>
      <c r="B2791" s="2">
        <v>2023030</v>
      </c>
      <c r="C2791" s="3" t="s">
        <v>2912</v>
      </c>
      <c r="D2791" s="3" t="s">
        <v>248</v>
      </c>
      <c r="F2791" s="3" t="s">
        <v>249</v>
      </c>
      <c r="G2791" s="3" t="s">
        <v>43</v>
      </c>
      <c r="H2791" s="3" t="s">
        <v>253</v>
      </c>
      <c r="I2791" s="2">
        <v>8</v>
      </c>
      <c r="J2791" s="2">
        <v>8</v>
      </c>
      <c r="K2791" s="2">
        <v>1</v>
      </c>
      <c r="O2791" s="2">
        <v>2</v>
      </c>
      <c r="U2791" s="2">
        <v>6</v>
      </c>
      <c r="V2791" s="2">
        <v>6</v>
      </c>
      <c r="W2791" s="2">
        <v>4</v>
      </c>
      <c r="X2791" s="2">
        <v>2</v>
      </c>
      <c r="Z2791" s="2">
        <v>5</v>
      </c>
      <c r="AA2791" s="3" t="s">
        <v>40</v>
      </c>
      <c r="AB2791" s="2">
        <v>2</v>
      </c>
      <c r="AF2791" s="2">
        <v>50</v>
      </c>
      <c r="AG2791" s="2">
        <v>2</v>
      </c>
      <c r="AH2791" s="3" t="s">
        <v>2918</v>
      </c>
      <c r="AI2791" s="4">
        <v>45089</v>
      </c>
      <c r="AJ2791" s="3" t="s">
        <v>2922</v>
      </c>
      <c r="AK2791" s="3" t="s">
        <v>248</v>
      </c>
    </row>
    <row r="2792" spans="1:37" hidden="1" x14ac:dyDescent="0.25">
      <c r="A2792" t="str">
        <f t="shared" si="43"/>
        <v>2023_Qld_Emerald_Chickpea_SatelliteTOS1VarietyDrummondWaterTrtRainFed</v>
      </c>
      <c r="B2792" s="2">
        <v>2023030</v>
      </c>
      <c r="C2792" s="3" t="s">
        <v>2912</v>
      </c>
      <c r="D2792" s="3" t="s">
        <v>248</v>
      </c>
      <c r="F2792" s="3" t="s">
        <v>4182</v>
      </c>
      <c r="G2792" s="3" t="s">
        <v>39</v>
      </c>
      <c r="H2792" s="3" t="s">
        <v>253</v>
      </c>
      <c r="I2792" s="2">
        <v>9</v>
      </c>
      <c r="J2792" s="2">
        <v>9</v>
      </c>
      <c r="K2792" s="2">
        <v>2</v>
      </c>
      <c r="O2792" s="2">
        <v>3</v>
      </c>
      <c r="U2792" s="2">
        <v>3</v>
      </c>
      <c r="V2792" s="2">
        <v>9</v>
      </c>
      <c r="W2792" s="2">
        <v>1</v>
      </c>
      <c r="X2792" s="2">
        <v>3</v>
      </c>
      <c r="Z2792" s="2">
        <v>9</v>
      </c>
      <c r="AA2792" s="3" t="s">
        <v>40</v>
      </c>
      <c r="AB2792" s="2">
        <v>4</v>
      </c>
      <c r="AF2792" s="2">
        <v>50</v>
      </c>
      <c r="AG2792" s="2">
        <v>1</v>
      </c>
      <c r="AH2792" s="3" t="s">
        <v>2913</v>
      </c>
      <c r="AI2792" s="4">
        <v>45069</v>
      </c>
      <c r="AJ2792" s="3" t="s">
        <v>2923</v>
      </c>
      <c r="AK2792" s="3" t="s">
        <v>248</v>
      </c>
    </row>
    <row r="2793" spans="1:37" hidden="1" x14ac:dyDescent="0.25">
      <c r="A2793" t="str">
        <f t="shared" si="43"/>
        <v>2023_Qld_Emerald_Chickpea_SatelliteTOS1VarietyHatTrickWaterTrtRainFed</v>
      </c>
      <c r="B2793" s="2">
        <v>2023030</v>
      </c>
      <c r="C2793" s="3" t="s">
        <v>2912</v>
      </c>
      <c r="D2793" s="3" t="s">
        <v>248</v>
      </c>
      <c r="F2793" s="3" t="s">
        <v>4178</v>
      </c>
      <c r="G2793" s="3" t="s">
        <v>39</v>
      </c>
      <c r="H2793" s="3" t="s">
        <v>253</v>
      </c>
      <c r="I2793" s="2">
        <v>10</v>
      </c>
      <c r="J2793" s="2">
        <v>10</v>
      </c>
      <c r="K2793" s="2">
        <v>2</v>
      </c>
      <c r="O2793" s="2">
        <v>3</v>
      </c>
      <c r="U2793" s="2">
        <v>4</v>
      </c>
      <c r="V2793" s="2">
        <v>9</v>
      </c>
      <c r="W2793" s="2">
        <v>2</v>
      </c>
      <c r="X2793" s="2">
        <v>3</v>
      </c>
      <c r="Z2793" s="2">
        <v>10</v>
      </c>
      <c r="AA2793" s="3" t="s">
        <v>40</v>
      </c>
      <c r="AB2793" s="2">
        <v>1</v>
      </c>
      <c r="AF2793" s="2">
        <v>50</v>
      </c>
      <c r="AG2793" s="2">
        <v>1</v>
      </c>
      <c r="AH2793" s="3" t="s">
        <v>2913</v>
      </c>
      <c r="AI2793" s="4">
        <v>45069</v>
      </c>
      <c r="AJ2793" s="3" t="s">
        <v>2924</v>
      </c>
      <c r="AK2793" s="3" t="s">
        <v>248</v>
      </c>
    </row>
    <row r="2794" spans="1:37" hidden="1" x14ac:dyDescent="0.25">
      <c r="A2794" t="str">
        <f t="shared" si="43"/>
        <v>2023_Qld_Emerald_Chickpea_SatelliteTOS1VarietyCBA_CaptainWaterTrtRainFed</v>
      </c>
      <c r="B2794" s="2">
        <v>2023030</v>
      </c>
      <c r="C2794" s="3" t="s">
        <v>2912</v>
      </c>
      <c r="D2794" s="3" t="s">
        <v>248</v>
      </c>
      <c r="F2794" s="3" t="s">
        <v>249</v>
      </c>
      <c r="G2794" s="3" t="s">
        <v>43</v>
      </c>
      <c r="H2794" s="3" t="s">
        <v>253</v>
      </c>
      <c r="I2794" s="2">
        <v>11</v>
      </c>
      <c r="J2794" s="2">
        <v>11</v>
      </c>
      <c r="K2794" s="2">
        <v>2</v>
      </c>
      <c r="O2794" s="2">
        <v>3</v>
      </c>
      <c r="U2794" s="2">
        <v>5</v>
      </c>
      <c r="V2794" s="2">
        <v>9</v>
      </c>
      <c r="W2794" s="2">
        <v>3</v>
      </c>
      <c r="X2794" s="2">
        <v>3</v>
      </c>
      <c r="Z2794" s="2">
        <v>11</v>
      </c>
      <c r="AA2794" s="3" t="s">
        <v>40</v>
      </c>
      <c r="AB2794" s="2">
        <v>2</v>
      </c>
      <c r="AF2794" s="2">
        <v>50</v>
      </c>
      <c r="AG2794" s="2">
        <v>1</v>
      </c>
      <c r="AH2794" s="3" t="s">
        <v>2913</v>
      </c>
      <c r="AI2794" s="4">
        <v>45069</v>
      </c>
      <c r="AJ2794" s="3" t="s">
        <v>2925</v>
      </c>
      <c r="AK2794" s="3" t="s">
        <v>248</v>
      </c>
    </row>
    <row r="2795" spans="1:37" hidden="1" x14ac:dyDescent="0.25">
      <c r="A2795" t="str">
        <f t="shared" si="43"/>
        <v>2023_Qld_Emerald_Chickpea_SatelliteTOS1VarietyStrikerWaterTrtRainFed</v>
      </c>
      <c r="B2795" s="2">
        <v>2023030</v>
      </c>
      <c r="C2795" s="3" t="s">
        <v>2912</v>
      </c>
      <c r="D2795" s="3" t="s">
        <v>248</v>
      </c>
      <c r="F2795" s="3" t="s">
        <v>4179</v>
      </c>
      <c r="G2795" s="3" t="s">
        <v>43</v>
      </c>
      <c r="H2795" s="3" t="s">
        <v>253</v>
      </c>
      <c r="I2795" s="2">
        <v>12</v>
      </c>
      <c r="J2795" s="2">
        <v>12</v>
      </c>
      <c r="K2795" s="2">
        <v>2</v>
      </c>
      <c r="O2795" s="2">
        <v>3</v>
      </c>
      <c r="U2795" s="2">
        <v>6</v>
      </c>
      <c r="V2795" s="2">
        <v>9</v>
      </c>
      <c r="W2795" s="2">
        <v>4</v>
      </c>
      <c r="X2795" s="2">
        <v>3</v>
      </c>
      <c r="Z2795" s="2">
        <v>12</v>
      </c>
      <c r="AA2795" s="3" t="s">
        <v>40</v>
      </c>
      <c r="AB2795" s="2">
        <v>3</v>
      </c>
      <c r="AF2795" s="2">
        <v>50</v>
      </c>
      <c r="AG2795" s="2">
        <v>1</v>
      </c>
      <c r="AH2795" s="3" t="s">
        <v>2913</v>
      </c>
      <c r="AI2795" s="4">
        <v>45069</v>
      </c>
      <c r="AJ2795" s="3" t="s">
        <v>2926</v>
      </c>
      <c r="AK2795" s="3" t="s">
        <v>248</v>
      </c>
    </row>
    <row r="2796" spans="1:37" hidden="1" x14ac:dyDescent="0.25">
      <c r="A2796" t="str">
        <f t="shared" si="43"/>
        <v>2023_Qld_Emerald_Chickpea_SatelliteTOS2VarietyCBA_CaptainWaterTrtRainFed</v>
      </c>
      <c r="B2796" s="2">
        <v>2023030</v>
      </c>
      <c r="C2796" s="3" t="s">
        <v>2912</v>
      </c>
      <c r="D2796" s="3" t="s">
        <v>248</v>
      </c>
      <c r="F2796" s="3" t="s">
        <v>249</v>
      </c>
      <c r="G2796" s="3" t="s">
        <v>43</v>
      </c>
      <c r="H2796" s="3" t="s">
        <v>253</v>
      </c>
      <c r="I2796" s="2">
        <v>13</v>
      </c>
      <c r="J2796" s="2">
        <v>13</v>
      </c>
      <c r="K2796" s="2">
        <v>2</v>
      </c>
      <c r="O2796" s="2">
        <v>4</v>
      </c>
      <c r="U2796" s="2">
        <v>3</v>
      </c>
      <c r="V2796" s="2">
        <v>12</v>
      </c>
      <c r="W2796" s="2">
        <v>1</v>
      </c>
      <c r="X2796" s="2">
        <v>4</v>
      </c>
      <c r="Z2796" s="2">
        <v>16</v>
      </c>
      <c r="AA2796" s="3" t="s">
        <v>40</v>
      </c>
      <c r="AB2796" s="2">
        <v>2</v>
      </c>
      <c r="AF2796" s="2">
        <v>50</v>
      </c>
      <c r="AG2796" s="2">
        <v>2</v>
      </c>
      <c r="AH2796" s="3" t="s">
        <v>2918</v>
      </c>
      <c r="AI2796" s="4">
        <v>45089</v>
      </c>
      <c r="AJ2796" s="3" t="s">
        <v>2927</v>
      </c>
      <c r="AK2796" s="3" t="s">
        <v>248</v>
      </c>
    </row>
    <row r="2797" spans="1:37" hidden="1" x14ac:dyDescent="0.25">
      <c r="A2797" t="str">
        <f t="shared" si="43"/>
        <v>2023_Qld_Emerald_Chickpea_SatelliteTOS2VarietyDrummondWaterTrtRainFed</v>
      </c>
      <c r="B2797" s="2">
        <v>2023030</v>
      </c>
      <c r="C2797" s="3" t="s">
        <v>2912</v>
      </c>
      <c r="D2797" s="3" t="s">
        <v>248</v>
      </c>
      <c r="F2797" s="3" t="s">
        <v>4182</v>
      </c>
      <c r="G2797" s="3" t="s">
        <v>39</v>
      </c>
      <c r="H2797" s="3" t="s">
        <v>253</v>
      </c>
      <c r="I2797" s="2">
        <v>14</v>
      </c>
      <c r="J2797" s="2">
        <v>14</v>
      </c>
      <c r="K2797" s="2">
        <v>2</v>
      </c>
      <c r="O2797" s="2">
        <v>4</v>
      </c>
      <c r="U2797" s="2">
        <v>4</v>
      </c>
      <c r="V2797" s="2">
        <v>12</v>
      </c>
      <c r="W2797" s="2">
        <v>2</v>
      </c>
      <c r="X2797" s="2">
        <v>4</v>
      </c>
      <c r="Z2797" s="2">
        <v>15</v>
      </c>
      <c r="AA2797" s="3" t="s">
        <v>40</v>
      </c>
      <c r="AB2797" s="2">
        <v>4</v>
      </c>
      <c r="AF2797" s="2">
        <v>50</v>
      </c>
      <c r="AG2797" s="2">
        <v>2</v>
      </c>
      <c r="AH2797" s="3" t="s">
        <v>2918</v>
      </c>
      <c r="AI2797" s="4">
        <v>45089</v>
      </c>
      <c r="AJ2797" s="3" t="s">
        <v>2928</v>
      </c>
      <c r="AK2797" s="3" t="s">
        <v>248</v>
      </c>
    </row>
    <row r="2798" spans="1:37" hidden="1" x14ac:dyDescent="0.25">
      <c r="A2798" t="str">
        <f t="shared" si="43"/>
        <v>2023_Qld_Emerald_Chickpea_SatelliteTOS2VarietyStrikerWaterTrtRainFed</v>
      </c>
      <c r="B2798" s="2">
        <v>2023030</v>
      </c>
      <c r="C2798" s="3" t="s">
        <v>2912</v>
      </c>
      <c r="D2798" s="3" t="s">
        <v>248</v>
      </c>
      <c r="F2798" s="3" t="s">
        <v>4179</v>
      </c>
      <c r="G2798" s="3" t="s">
        <v>43</v>
      </c>
      <c r="H2798" s="3" t="s">
        <v>253</v>
      </c>
      <c r="I2798" s="2">
        <v>15</v>
      </c>
      <c r="J2798" s="2">
        <v>15</v>
      </c>
      <c r="K2798" s="2">
        <v>2</v>
      </c>
      <c r="O2798" s="2">
        <v>4</v>
      </c>
      <c r="U2798" s="2">
        <v>5</v>
      </c>
      <c r="V2798" s="2">
        <v>12</v>
      </c>
      <c r="W2798" s="2">
        <v>3</v>
      </c>
      <c r="X2798" s="2">
        <v>4</v>
      </c>
      <c r="Z2798" s="2">
        <v>14</v>
      </c>
      <c r="AA2798" s="3" t="s">
        <v>40</v>
      </c>
      <c r="AB2798" s="2">
        <v>3</v>
      </c>
      <c r="AF2798" s="2">
        <v>50</v>
      </c>
      <c r="AG2798" s="2">
        <v>2</v>
      </c>
      <c r="AH2798" s="3" t="s">
        <v>2918</v>
      </c>
      <c r="AI2798" s="4">
        <v>45089</v>
      </c>
      <c r="AJ2798" s="3" t="s">
        <v>2929</v>
      </c>
      <c r="AK2798" s="3" t="s">
        <v>248</v>
      </c>
    </row>
    <row r="2799" spans="1:37" hidden="1" x14ac:dyDescent="0.25">
      <c r="A2799" t="str">
        <f t="shared" si="43"/>
        <v>2023_Qld_Emerald_Chickpea_SatelliteTOS2VarietyHatTrickWaterTrtRainFed</v>
      </c>
      <c r="B2799" s="2">
        <v>2023030</v>
      </c>
      <c r="C2799" s="3" t="s">
        <v>2912</v>
      </c>
      <c r="D2799" s="3" t="s">
        <v>248</v>
      </c>
      <c r="F2799" s="3" t="s">
        <v>4178</v>
      </c>
      <c r="G2799" s="3" t="s">
        <v>39</v>
      </c>
      <c r="H2799" s="3" t="s">
        <v>253</v>
      </c>
      <c r="I2799" s="2">
        <v>16</v>
      </c>
      <c r="J2799" s="2">
        <v>16</v>
      </c>
      <c r="K2799" s="2">
        <v>2</v>
      </c>
      <c r="O2799" s="2">
        <v>4</v>
      </c>
      <c r="U2799" s="2">
        <v>6</v>
      </c>
      <c r="V2799" s="2">
        <v>12</v>
      </c>
      <c r="W2799" s="2">
        <v>4</v>
      </c>
      <c r="X2799" s="2">
        <v>4</v>
      </c>
      <c r="Z2799" s="2">
        <v>13</v>
      </c>
      <c r="AA2799" s="3" t="s">
        <v>40</v>
      </c>
      <c r="AB2799" s="2">
        <v>1</v>
      </c>
      <c r="AF2799" s="2">
        <v>50</v>
      </c>
      <c r="AG2799" s="2">
        <v>2</v>
      </c>
      <c r="AH2799" s="3" t="s">
        <v>2918</v>
      </c>
      <c r="AI2799" s="4">
        <v>45089</v>
      </c>
      <c r="AJ2799" s="3" t="s">
        <v>2930</v>
      </c>
      <c r="AK2799" s="3" t="s">
        <v>248</v>
      </c>
    </row>
    <row r="2800" spans="1:37" hidden="1" x14ac:dyDescent="0.25">
      <c r="A2800" t="str">
        <f t="shared" si="43"/>
        <v>2023_Qld_Emerald_Chickpea_SatelliteTOS2VarietyStrikerWaterTrtRainFed</v>
      </c>
      <c r="B2800" s="2">
        <v>2023030</v>
      </c>
      <c r="C2800" s="3" t="s">
        <v>2912</v>
      </c>
      <c r="D2800" s="3" t="s">
        <v>248</v>
      </c>
      <c r="F2800" s="3" t="s">
        <v>4179</v>
      </c>
      <c r="G2800" s="3" t="s">
        <v>43</v>
      </c>
      <c r="H2800" s="3" t="s">
        <v>253</v>
      </c>
      <c r="I2800" s="2">
        <v>17</v>
      </c>
      <c r="J2800" s="2">
        <v>17</v>
      </c>
      <c r="K2800" s="2">
        <v>3</v>
      </c>
      <c r="O2800" s="2">
        <v>5</v>
      </c>
      <c r="U2800" s="2">
        <v>3</v>
      </c>
      <c r="V2800" s="2">
        <v>15</v>
      </c>
      <c r="W2800" s="2">
        <v>1</v>
      </c>
      <c r="X2800" s="2">
        <v>5</v>
      </c>
      <c r="Z2800" s="2">
        <v>17</v>
      </c>
      <c r="AA2800" s="3" t="s">
        <v>40</v>
      </c>
      <c r="AB2800" s="2">
        <v>3</v>
      </c>
      <c r="AF2800" s="2">
        <v>50</v>
      </c>
      <c r="AG2800" s="2">
        <v>2</v>
      </c>
      <c r="AH2800" s="3" t="s">
        <v>2918</v>
      </c>
      <c r="AI2800" s="4">
        <v>45089</v>
      </c>
      <c r="AJ2800" s="3" t="s">
        <v>2931</v>
      </c>
      <c r="AK2800" s="3" t="s">
        <v>248</v>
      </c>
    </row>
    <row r="2801" spans="1:37" hidden="1" x14ac:dyDescent="0.25">
      <c r="A2801" t="str">
        <f t="shared" si="43"/>
        <v>2023_Qld_Emerald_Chickpea_SatelliteTOS2VarietyCBA_CaptainWaterTrtRainFed</v>
      </c>
      <c r="B2801" s="2">
        <v>2023030</v>
      </c>
      <c r="C2801" s="3" t="s">
        <v>2912</v>
      </c>
      <c r="D2801" s="3" t="s">
        <v>248</v>
      </c>
      <c r="F2801" s="3" t="s">
        <v>249</v>
      </c>
      <c r="G2801" s="3" t="s">
        <v>43</v>
      </c>
      <c r="H2801" s="3" t="s">
        <v>253</v>
      </c>
      <c r="I2801" s="2">
        <v>18</v>
      </c>
      <c r="J2801" s="2">
        <v>18</v>
      </c>
      <c r="K2801" s="2">
        <v>3</v>
      </c>
      <c r="O2801" s="2">
        <v>5</v>
      </c>
      <c r="U2801" s="2">
        <v>4</v>
      </c>
      <c r="V2801" s="2">
        <v>15</v>
      </c>
      <c r="W2801" s="2">
        <v>2</v>
      </c>
      <c r="X2801" s="2">
        <v>5</v>
      </c>
      <c r="Z2801" s="2">
        <v>18</v>
      </c>
      <c r="AA2801" s="3" t="s">
        <v>40</v>
      </c>
      <c r="AB2801" s="2">
        <v>2</v>
      </c>
      <c r="AF2801" s="2">
        <v>50</v>
      </c>
      <c r="AG2801" s="2">
        <v>2</v>
      </c>
      <c r="AH2801" s="3" t="s">
        <v>2918</v>
      </c>
      <c r="AI2801" s="4">
        <v>45089</v>
      </c>
      <c r="AJ2801" s="3" t="s">
        <v>2932</v>
      </c>
      <c r="AK2801" s="3" t="s">
        <v>248</v>
      </c>
    </row>
    <row r="2802" spans="1:37" hidden="1" x14ac:dyDescent="0.25">
      <c r="A2802" t="str">
        <f t="shared" si="43"/>
        <v>2023_Qld_Emerald_Chickpea_SatelliteTOS2VarietyHatTrickWaterTrtRainFed</v>
      </c>
      <c r="B2802" s="2">
        <v>2023030</v>
      </c>
      <c r="C2802" s="3" t="s">
        <v>2912</v>
      </c>
      <c r="D2802" s="3" t="s">
        <v>248</v>
      </c>
      <c r="F2802" s="3" t="s">
        <v>4178</v>
      </c>
      <c r="G2802" s="3" t="s">
        <v>39</v>
      </c>
      <c r="H2802" s="3" t="s">
        <v>253</v>
      </c>
      <c r="I2802" s="2">
        <v>19</v>
      </c>
      <c r="J2802" s="2">
        <v>19</v>
      </c>
      <c r="K2802" s="2">
        <v>3</v>
      </c>
      <c r="O2802" s="2">
        <v>5</v>
      </c>
      <c r="U2802" s="2">
        <v>5</v>
      </c>
      <c r="V2802" s="2">
        <v>15</v>
      </c>
      <c r="W2802" s="2">
        <v>3</v>
      </c>
      <c r="X2802" s="2">
        <v>5</v>
      </c>
      <c r="Z2802" s="2">
        <v>19</v>
      </c>
      <c r="AA2802" s="3" t="s">
        <v>40</v>
      </c>
      <c r="AB2802" s="2">
        <v>1</v>
      </c>
      <c r="AF2802" s="2">
        <v>50</v>
      </c>
      <c r="AG2802" s="2">
        <v>2</v>
      </c>
      <c r="AH2802" s="3" t="s">
        <v>2918</v>
      </c>
      <c r="AI2802" s="4">
        <v>45089</v>
      </c>
      <c r="AJ2802" s="3" t="s">
        <v>2933</v>
      </c>
      <c r="AK2802" s="3" t="s">
        <v>248</v>
      </c>
    </row>
    <row r="2803" spans="1:37" hidden="1" x14ac:dyDescent="0.25">
      <c r="A2803" t="str">
        <f t="shared" si="43"/>
        <v>2023_Qld_Emerald_Chickpea_SatelliteTOS2VarietyDrummondWaterTrtRainFed</v>
      </c>
      <c r="B2803" s="2">
        <v>2023030</v>
      </c>
      <c r="C2803" s="3" t="s">
        <v>2912</v>
      </c>
      <c r="D2803" s="3" t="s">
        <v>248</v>
      </c>
      <c r="F2803" s="3" t="s">
        <v>4182</v>
      </c>
      <c r="G2803" s="3" t="s">
        <v>39</v>
      </c>
      <c r="H2803" s="3" t="s">
        <v>253</v>
      </c>
      <c r="I2803" s="2">
        <v>20</v>
      </c>
      <c r="J2803" s="2">
        <v>20</v>
      </c>
      <c r="K2803" s="2">
        <v>3</v>
      </c>
      <c r="O2803" s="2">
        <v>5</v>
      </c>
      <c r="U2803" s="2">
        <v>6</v>
      </c>
      <c r="V2803" s="2">
        <v>15</v>
      </c>
      <c r="W2803" s="2">
        <v>4</v>
      </c>
      <c r="X2803" s="2">
        <v>5</v>
      </c>
      <c r="Z2803" s="2">
        <v>20</v>
      </c>
      <c r="AA2803" s="3" t="s">
        <v>40</v>
      </c>
      <c r="AB2803" s="2">
        <v>4</v>
      </c>
      <c r="AF2803" s="2">
        <v>50</v>
      </c>
      <c r="AG2803" s="2">
        <v>2</v>
      </c>
      <c r="AH2803" s="3" t="s">
        <v>2918</v>
      </c>
      <c r="AI2803" s="4">
        <v>45089</v>
      </c>
      <c r="AJ2803" s="3" t="s">
        <v>2934</v>
      </c>
      <c r="AK2803" s="3" t="s">
        <v>248</v>
      </c>
    </row>
    <row r="2804" spans="1:37" hidden="1" x14ac:dyDescent="0.25">
      <c r="A2804" t="str">
        <f t="shared" si="43"/>
        <v>2023_Qld_Emerald_Chickpea_SatelliteTOS1VarietyHatTrickWaterTrtRainFed</v>
      </c>
      <c r="B2804" s="2">
        <v>2023030</v>
      </c>
      <c r="C2804" s="3" t="s">
        <v>2912</v>
      </c>
      <c r="D2804" s="3" t="s">
        <v>248</v>
      </c>
      <c r="F2804" s="3" t="s">
        <v>4178</v>
      </c>
      <c r="G2804" s="3" t="s">
        <v>39</v>
      </c>
      <c r="H2804" s="3" t="s">
        <v>253</v>
      </c>
      <c r="I2804" s="2">
        <v>21</v>
      </c>
      <c r="J2804" s="2">
        <v>21</v>
      </c>
      <c r="K2804" s="2">
        <v>3</v>
      </c>
      <c r="O2804" s="2">
        <v>6</v>
      </c>
      <c r="U2804" s="2">
        <v>3</v>
      </c>
      <c r="V2804" s="2">
        <v>18</v>
      </c>
      <c r="W2804" s="2">
        <v>1</v>
      </c>
      <c r="X2804" s="2">
        <v>6</v>
      </c>
      <c r="Z2804" s="2">
        <v>24</v>
      </c>
      <c r="AA2804" s="3" t="s">
        <v>40</v>
      </c>
      <c r="AB2804" s="2">
        <v>1</v>
      </c>
      <c r="AF2804" s="2">
        <v>50</v>
      </c>
      <c r="AG2804" s="2">
        <v>1</v>
      </c>
      <c r="AH2804" s="3" t="s">
        <v>2913</v>
      </c>
      <c r="AI2804" s="4">
        <v>45069</v>
      </c>
      <c r="AJ2804" s="3" t="s">
        <v>2935</v>
      </c>
      <c r="AK2804" s="3" t="s">
        <v>248</v>
      </c>
    </row>
    <row r="2805" spans="1:37" hidden="1" x14ac:dyDescent="0.25">
      <c r="A2805" t="str">
        <f t="shared" si="43"/>
        <v>2023_Qld_Emerald_Chickpea_SatelliteTOS1VarietyStrikerWaterTrtRainFed</v>
      </c>
      <c r="B2805" s="2">
        <v>2023030</v>
      </c>
      <c r="C2805" s="3" t="s">
        <v>2912</v>
      </c>
      <c r="D2805" s="3" t="s">
        <v>248</v>
      </c>
      <c r="F2805" s="3" t="s">
        <v>4179</v>
      </c>
      <c r="G2805" s="3" t="s">
        <v>43</v>
      </c>
      <c r="H2805" s="3" t="s">
        <v>253</v>
      </c>
      <c r="I2805" s="2">
        <v>22</v>
      </c>
      <c r="J2805" s="2">
        <v>22</v>
      </c>
      <c r="K2805" s="2">
        <v>3</v>
      </c>
      <c r="O2805" s="2">
        <v>6</v>
      </c>
      <c r="U2805" s="2">
        <v>4</v>
      </c>
      <c r="V2805" s="2">
        <v>18</v>
      </c>
      <c r="W2805" s="2">
        <v>2</v>
      </c>
      <c r="X2805" s="2">
        <v>6</v>
      </c>
      <c r="Z2805" s="2">
        <v>23</v>
      </c>
      <c r="AA2805" s="3" t="s">
        <v>40</v>
      </c>
      <c r="AB2805" s="2">
        <v>3</v>
      </c>
      <c r="AF2805" s="2">
        <v>50</v>
      </c>
      <c r="AG2805" s="2">
        <v>1</v>
      </c>
      <c r="AH2805" s="3" t="s">
        <v>2913</v>
      </c>
      <c r="AI2805" s="4">
        <v>45069</v>
      </c>
      <c r="AJ2805" s="3" t="s">
        <v>2936</v>
      </c>
      <c r="AK2805" s="3" t="s">
        <v>248</v>
      </c>
    </row>
    <row r="2806" spans="1:37" hidden="1" x14ac:dyDescent="0.25">
      <c r="A2806" t="str">
        <f t="shared" si="43"/>
        <v>2023_Qld_Emerald_Chickpea_SatelliteTOS1VarietyDrummondWaterTrtRainFed</v>
      </c>
      <c r="B2806" s="2">
        <v>2023030</v>
      </c>
      <c r="C2806" s="3" t="s">
        <v>2912</v>
      </c>
      <c r="D2806" s="3" t="s">
        <v>248</v>
      </c>
      <c r="F2806" s="3" t="s">
        <v>4182</v>
      </c>
      <c r="G2806" s="3" t="s">
        <v>39</v>
      </c>
      <c r="H2806" s="3" t="s">
        <v>253</v>
      </c>
      <c r="I2806" s="2">
        <v>23</v>
      </c>
      <c r="J2806" s="2">
        <v>23</v>
      </c>
      <c r="K2806" s="2">
        <v>3</v>
      </c>
      <c r="O2806" s="2">
        <v>6</v>
      </c>
      <c r="U2806" s="2">
        <v>5</v>
      </c>
      <c r="V2806" s="2">
        <v>18</v>
      </c>
      <c r="W2806" s="2">
        <v>3</v>
      </c>
      <c r="X2806" s="2">
        <v>6</v>
      </c>
      <c r="Z2806" s="2">
        <v>22</v>
      </c>
      <c r="AA2806" s="3" t="s">
        <v>40</v>
      </c>
      <c r="AB2806" s="2">
        <v>4</v>
      </c>
      <c r="AF2806" s="2">
        <v>50</v>
      </c>
      <c r="AG2806" s="2">
        <v>1</v>
      </c>
      <c r="AH2806" s="3" t="s">
        <v>2913</v>
      </c>
      <c r="AI2806" s="4">
        <v>45069</v>
      </c>
      <c r="AJ2806" s="3" t="s">
        <v>2937</v>
      </c>
      <c r="AK2806" s="3" t="s">
        <v>248</v>
      </c>
    </row>
    <row r="2807" spans="1:37" hidden="1" x14ac:dyDescent="0.25">
      <c r="A2807" t="str">
        <f t="shared" si="43"/>
        <v>2023_Qld_Emerald_Chickpea_SatelliteTOS1VarietyCBA_CaptainWaterTrtRainFed</v>
      </c>
      <c r="B2807" s="2">
        <v>2023030</v>
      </c>
      <c r="C2807" s="3" t="s">
        <v>2912</v>
      </c>
      <c r="D2807" s="3" t="s">
        <v>248</v>
      </c>
      <c r="F2807" s="3" t="s">
        <v>249</v>
      </c>
      <c r="G2807" s="3" t="s">
        <v>43</v>
      </c>
      <c r="H2807" s="3" t="s">
        <v>253</v>
      </c>
      <c r="I2807" s="2">
        <v>24</v>
      </c>
      <c r="J2807" s="2">
        <v>24</v>
      </c>
      <c r="K2807" s="2">
        <v>3</v>
      </c>
      <c r="O2807" s="2">
        <v>6</v>
      </c>
      <c r="U2807" s="2">
        <v>6</v>
      </c>
      <c r="V2807" s="2">
        <v>18</v>
      </c>
      <c r="W2807" s="2">
        <v>4</v>
      </c>
      <c r="X2807" s="2">
        <v>6</v>
      </c>
      <c r="Z2807" s="2">
        <v>21</v>
      </c>
      <c r="AA2807" s="3" t="s">
        <v>40</v>
      </c>
      <c r="AB2807" s="2">
        <v>2</v>
      </c>
      <c r="AF2807" s="2">
        <v>50</v>
      </c>
      <c r="AG2807" s="2">
        <v>1</v>
      </c>
      <c r="AH2807" s="3" t="s">
        <v>2913</v>
      </c>
      <c r="AI2807" s="4">
        <v>45069</v>
      </c>
      <c r="AJ2807" s="3" t="s">
        <v>2938</v>
      </c>
      <c r="AK2807" s="3" t="s">
        <v>248</v>
      </c>
    </row>
    <row r="2808" spans="1:37" hidden="1" x14ac:dyDescent="0.25">
      <c r="A2808" t="str">
        <f t="shared" si="43"/>
        <v>2023_Qld_Emerald_Chickpea_SatelliteTOS2VarietyDrummondWaterTrtRainFed</v>
      </c>
      <c r="B2808" s="2">
        <v>2023030</v>
      </c>
      <c r="C2808" s="3" t="s">
        <v>2912</v>
      </c>
      <c r="D2808" s="3" t="s">
        <v>248</v>
      </c>
      <c r="F2808" s="3" t="s">
        <v>4182</v>
      </c>
      <c r="G2808" s="3" t="s">
        <v>39</v>
      </c>
      <c r="H2808" s="3" t="s">
        <v>253</v>
      </c>
      <c r="I2808" s="2">
        <v>25</v>
      </c>
      <c r="J2808" s="2">
        <v>25</v>
      </c>
      <c r="K2808" s="2">
        <v>4</v>
      </c>
      <c r="O2808" s="2">
        <v>7</v>
      </c>
      <c r="U2808" s="2">
        <v>3</v>
      </c>
      <c r="V2808" s="2">
        <v>21</v>
      </c>
      <c r="W2808" s="2">
        <v>1</v>
      </c>
      <c r="X2808" s="2">
        <v>7</v>
      </c>
      <c r="Z2808" s="2">
        <v>25</v>
      </c>
      <c r="AA2808" s="3" t="s">
        <v>40</v>
      </c>
      <c r="AB2808" s="2">
        <v>4</v>
      </c>
      <c r="AF2808" s="2">
        <v>50</v>
      </c>
      <c r="AG2808" s="2">
        <v>2</v>
      </c>
      <c r="AH2808" s="3" t="s">
        <v>2918</v>
      </c>
      <c r="AI2808" s="4">
        <v>45089</v>
      </c>
      <c r="AJ2808" s="3" t="s">
        <v>2939</v>
      </c>
      <c r="AK2808" s="3" t="s">
        <v>248</v>
      </c>
    </row>
    <row r="2809" spans="1:37" hidden="1" x14ac:dyDescent="0.25">
      <c r="A2809" t="str">
        <f t="shared" si="43"/>
        <v>2023_Qld_Emerald_Chickpea_SatelliteTOS2VarietyHatTrickWaterTrtRainFed</v>
      </c>
      <c r="B2809" s="2">
        <v>2023030</v>
      </c>
      <c r="C2809" s="3" t="s">
        <v>2912</v>
      </c>
      <c r="D2809" s="3" t="s">
        <v>248</v>
      </c>
      <c r="F2809" s="3" t="s">
        <v>4178</v>
      </c>
      <c r="G2809" s="3" t="s">
        <v>39</v>
      </c>
      <c r="H2809" s="3" t="s">
        <v>253</v>
      </c>
      <c r="I2809" s="2">
        <v>26</v>
      </c>
      <c r="J2809" s="2">
        <v>26</v>
      </c>
      <c r="K2809" s="2">
        <v>4</v>
      </c>
      <c r="O2809" s="2">
        <v>7</v>
      </c>
      <c r="U2809" s="2">
        <v>4</v>
      </c>
      <c r="V2809" s="2">
        <v>21</v>
      </c>
      <c r="W2809" s="2">
        <v>2</v>
      </c>
      <c r="X2809" s="2">
        <v>7</v>
      </c>
      <c r="Z2809" s="2">
        <v>26</v>
      </c>
      <c r="AA2809" s="3" t="s">
        <v>40</v>
      </c>
      <c r="AB2809" s="2">
        <v>1</v>
      </c>
      <c r="AF2809" s="2">
        <v>50</v>
      </c>
      <c r="AG2809" s="2">
        <v>2</v>
      </c>
      <c r="AH2809" s="3" t="s">
        <v>2918</v>
      </c>
      <c r="AI2809" s="4">
        <v>45089</v>
      </c>
      <c r="AJ2809" s="3" t="s">
        <v>2940</v>
      </c>
      <c r="AK2809" s="3" t="s">
        <v>248</v>
      </c>
    </row>
    <row r="2810" spans="1:37" hidden="1" x14ac:dyDescent="0.25">
      <c r="A2810" t="str">
        <f t="shared" si="43"/>
        <v>2023_Qld_Emerald_Chickpea_SatelliteTOS2VarietyCBA_CaptainWaterTrtRainFed</v>
      </c>
      <c r="B2810" s="2">
        <v>2023030</v>
      </c>
      <c r="C2810" s="3" t="s">
        <v>2912</v>
      </c>
      <c r="D2810" s="3" t="s">
        <v>248</v>
      </c>
      <c r="F2810" s="3" t="s">
        <v>249</v>
      </c>
      <c r="G2810" s="3" t="s">
        <v>43</v>
      </c>
      <c r="H2810" s="3" t="s">
        <v>253</v>
      </c>
      <c r="I2810" s="2">
        <v>27</v>
      </c>
      <c r="J2810" s="2">
        <v>27</v>
      </c>
      <c r="K2810" s="2">
        <v>4</v>
      </c>
      <c r="O2810" s="2">
        <v>7</v>
      </c>
      <c r="U2810" s="2">
        <v>5</v>
      </c>
      <c r="V2810" s="2">
        <v>21</v>
      </c>
      <c r="W2810" s="2">
        <v>3</v>
      </c>
      <c r="X2810" s="2">
        <v>7</v>
      </c>
      <c r="Z2810" s="2">
        <v>27</v>
      </c>
      <c r="AA2810" s="3" t="s">
        <v>40</v>
      </c>
      <c r="AB2810" s="2">
        <v>2</v>
      </c>
      <c r="AF2810" s="2">
        <v>50</v>
      </c>
      <c r="AG2810" s="2">
        <v>2</v>
      </c>
      <c r="AH2810" s="3" t="s">
        <v>2918</v>
      </c>
      <c r="AI2810" s="4">
        <v>45089</v>
      </c>
      <c r="AJ2810" s="3" t="s">
        <v>2941</v>
      </c>
      <c r="AK2810" s="3" t="s">
        <v>248</v>
      </c>
    </row>
    <row r="2811" spans="1:37" hidden="1" x14ac:dyDescent="0.25">
      <c r="A2811" t="str">
        <f t="shared" si="43"/>
        <v>2023_Qld_Emerald_Chickpea_SatelliteTOS2VarietyStrikerWaterTrtRainFed</v>
      </c>
      <c r="B2811" s="2">
        <v>2023030</v>
      </c>
      <c r="C2811" s="3" t="s">
        <v>2912</v>
      </c>
      <c r="D2811" s="3" t="s">
        <v>248</v>
      </c>
      <c r="F2811" s="3" t="s">
        <v>4179</v>
      </c>
      <c r="G2811" s="3" t="s">
        <v>43</v>
      </c>
      <c r="H2811" s="3" t="s">
        <v>253</v>
      </c>
      <c r="I2811" s="2">
        <v>28</v>
      </c>
      <c r="J2811" s="2">
        <v>28</v>
      </c>
      <c r="K2811" s="2">
        <v>4</v>
      </c>
      <c r="O2811" s="2">
        <v>7</v>
      </c>
      <c r="U2811" s="2">
        <v>6</v>
      </c>
      <c r="V2811" s="2">
        <v>21</v>
      </c>
      <c r="W2811" s="2">
        <v>4</v>
      </c>
      <c r="X2811" s="2">
        <v>7</v>
      </c>
      <c r="Z2811" s="2">
        <v>28</v>
      </c>
      <c r="AA2811" s="3" t="s">
        <v>40</v>
      </c>
      <c r="AB2811" s="2">
        <v>3</v>
      </c>
      <c r="AF2811" s="2">
        <v>50</v>
      </c>
      <c r="AG2811" s="2">
        <v>2</v>
      </c>
      <c r="AH2811" s="3" t="s">
        <v>2918</v>
      </c>
      <c r="AI2811" s="4">
        <v>45089</v>
      </c>
      <c r="AJ2811" s="3" t="s">
        <v>2942</v>
      </c>
      <c r="AK2811" s="3" t="s">
        <v>248</v>
      </c>
    </row>
    <row r="2812" spans="1:37" hidden="1" x14ac:dyDescent="0.25">
      <c r="A2812" t="str">
        <f t="shared" si="43"/>
        <v>2023_Qld_Emerald_Chickpea_SatelliteTOS1VarietyStrikerWaterTrtRainFed</v>
      </c>
      <c r="B2812" s="2">
        <v>2023030</v>
      </c>
      <c r="C2812" s="3" t="s">
        <v>2912</v>
      </c>
      <c r="D2812" s="3" t="s">
        <v>248</v>
      </c>
      <c r="F2812" s="3" t="s">
        <v>4179</v>
      </c>
      <c r="G2812" s="3" t="s">
        <v>43</v>
      </c>
      <c r="H2812" s="3" t="s">
        <v>253</v>
      </c>
      <c r="I2812" s="2">
        <v>29</v>
      </c>
      <c r="J2812" s="2">
        <v>29</v>
      </c>
      <c r="K2812" s="2">
        <v>4</v>
      </c>
      <c r="O2812" s="2">
        <v>8</v>
      </c>
      <c r="U2812" s="2">
        <v>3</v>
      </c>
      <c r="V2812" s="2">
        <v>24</v>
      </c>
      <c r="W2812" s="2">
        <v>1</v>
      </c>
      <c r="X2812" s="2">
        <v>8</v>
      </c>
      <c r="Z2812" s="2">
        <v>32</v>
      </c>
      <c r="AA2812" s="3" t="s">
        <v>40</v>
      </c>
      <c r="AB2812" s="2">
        <v>3</v>
      </c>
      <c r="AF2812" s="2">
        <v>50</v>
      </c>
      <c r="AG2812" s="2">
        <v>1</v>
      </c>
      <c r="AH2812" s="3" t="s">
        <v>2913</v>
      </c>
      <c r="AI2812" s="4">
        <v>45069</v>
      </c>
      <c r="AJ2812" s="3" t="s">
        <v>2943</v>
      </c>
      <c r="AK2812" s="3" t="s">
        <v>248</v>
      </c>
    </row>
    <row r="2813" spans="1:37" hidden="1" x14ac:dyDescent="0.25">
      <c r="A2813" t="str">
        <f t="shared" si="43"/>
        <v>2023_Qld_Emerald_Chickpea_SatelliteTOS1VarietyCBA_CaptainWaterTrtRainFed</v>
      </c>
      <c r="B2813" s="2">
        <v>2023030</v>
      </c>
      <c r="C2813" s="3" t="s">
        <v>2912</v>
      </c>
      <c r="D2813" s="3" t="s">
        <v>248</v>
      </c>
      <c r="F2813" s="3" t="s">
        <v>249</v>
      </c>
      <c r="G2813" s="3" t="s">
        <v>43</v>
      </c>
      <c r="H2813" s="3" t="s">
        <v>253</v>
      </c>
      <c r="I2813" s="2">
        <v>30</v>
      </c>
      <c r="J2813" s="2">
        <v>30</v>
      </c>
      <c r="K2813" s="2">
        <v>4</v>
      </c>
      <c r="O2813" s="2">
        <v>8</v>
      </c>
      <c r="U2813" s="2">
        <v>4</v>
      </c>
      <c r="V2813" s="2">
        <v>24</v>
      </c>
      <c r="W2813" s="2">
        <v>2</v>
      </c>
      <c r="X2813" s="2">
        <v>8</v>
      </c>
      <c r="Z2813" s="2">
        <v>31</v>
      </c>
      <c r="AA2813" s="3" t="s">
        <v>40</v>
      </c>
      <c r="AB2813" s="2">
        <v>2</v>
      </c>
      <c r="AF2813" s="2">
        <v>50</v>
      </c>
      <c r="AG2813" s="2">
        <v>1</v>
      </c>
      <c r="AH2813" s="3" t="s">
        <v>2913</v>
      </c>
      <c r="AI2813" s="4">
        <v>45069</v>
      </c>
      <c r="AJ2813" s="3" t="s">
        <v>2944</v>
      </c>
      <c r="AK2813" s="3" t="s">
        <v>248</v>
      </c>
    </row>
    <row r="2814" spans="1:37" hidden="1" x14ac:dyDescent="0.25">
      <c r="A2814" t="str">
        <f t="shared" si="43"/>
        <v>2023_Qld_Emerald_Chickpea_SatelliteTOS1VarietyHatTrickWaterTrtRainFed</v>
      </c>
      <c r="B2814" s="2">
        <v>2023030</v>
      </c>
      <c r="C2814" s="3" t="s">
        <v>2912</v>
      </c>
      <c r="D2814" s="3" t="s">
        <v>248</v>
      </c>
      <c r="F2814" s="3" t="s">
        <v>4178</v>
      </c>
      <c r="G2814" s="3" t="s">
        <v>39</v>
      </c>
      <c r="H2814" s="3" t="s">
        <v>253</v>
      </c>
      <c r="I2814" s="2">
        <v>31</v>
      </c>
      <c r="J2814" s="2">
        <v>31</v>
      </c>
      <c r="K2814" s="2">
        <v>4</v>
      </c>
      <c r="O2814" s="2">
        <v>8</v>
      </c>
      <c r="U2814" s="2">
        <v>5</v>
      </c>
      <c r="V2814" s="2">
        <v>24</v>
      </c>
      <c r="W2814" s="2">
        <v>3</v>
      </c>
      <c r="X2814" s="2">
        <v>8</v>
      </c>
      <c r="Z2814" s="2">
        <v>30</v>
      </c>
      <c r="AA2814" s="3" t="s">
        <v>40</v>
      </c>
      <c r="AB2814" s="2">
        <v>1</v>
      </c>
      <c r="AF2814" s="2">
        <v>50</v>
      </c>
      <c r="AG2814" s="2">
        <v>1</v>
      </c>
      <c r="AH2814" s="3" t="s">
        <v>2913</v>
      </c>
      <c r="AI2814" s="4">
        <v>45069</v>
      </c>
      <c r="AJ2814" s="3" t="s">
        <v>2945</v>
      </c>
      <c r="AK2814" s="3" t="s">
        <v>248</v>
      </c>
    </row>
    <row r="2815" spans="1:37" hidden="1" x14ac:dyDescent="0.25">
      <c r="A2815" t="str">
        <f t="shared" si="43"/>
        <v>2023_Qld_Emerald_Chickpea_SatelliteTOS1VarietyDrummondWaterTrtRainFed</v>
      </c>
      <c r="B2815" s="2">
        <v>2023030</v>
      </c>
      <c r="C2815" s="3" t="s">
        <v>2912</v>
      </c>
      <c r="D2815" s="3" t="s">
        <v>248</v>
      </c>
      <c r="F2815" s="3" t="s">
        <v>4182</v>
      </c>
      <c r="G2815" s="3" t="s">
        <v>39</v>
      </c>
      <c r="H2815" s="3" t="s">
        <v>253</v>
      </c>
      <c r="I2815" s="2">
        <v>32</v>
      </c>
      <c r="J2815" s="2">
        <v>32</v>
      </c>
      <c r="K2815" s="2">
        <v>4</v>
      </c>
      <c r="O2815" s="2">
        <v>8</v>
      </c>
      <c r="U2815" s="2">
        <v>6</v>
      </c>
      <c r="V2815" s="2">
        <v>24</v>
      </c>
      <c r="W2815" s="2">
        <v>4</v>
      </c>
      <c r="X2815" s="2">
        <v>8</v>
      </c>
      <c r="Z2815" s="2">
        <v>29</v>
      </c>
      <c r="AA2815" s="3" t="s">
        <v>40</v>
      </c>
      <c r="AB2815" s="2">
        <v>4</v>
      </c>
      <c r="AF2815" s="2">
        <v>50</v>
      </c>
      <c r="AG2815" s="2">
        <v>1</v>
      </c>
      <c r="AH2815" s="3" t="s">
        <v>2913</v>
      </c>
      <c r="AI2815" s="4">
        <v>45069</v>
      </c>
      <c r="AJ2815" s="3" t="s">
        <v>2946</v>
      </c>
      <c r="AK2815" s="3" t="s">
        <v>248</v>
      </c>
    </row>
    <row r="2816" spans="1:37" hidden="1" x14ac:dyDescent="0.25">
      <c r="A2816" t="str">
        <f t="shared" si="43"/>
        <v>2023_Qld_Warra_Chickpea_SatelliteTOS2VarietyHatTrickWaterTrtRainFed</v>
      </c>
      <c r="B2816" s="2">
        <v>2023031</v>
      </c>
      <c r="C2816" s="3" t="s">
        <v>2947</v>
      </c>
      <c r="D2816" s="3" t="s">
        <v>248</v>
      </c>
      <c r="F2816" s="3" t="s">
        <v>4178</v>
      </c>
      <c r="G2816" s="3" t="s">
        <v>39</v>
      </c>
      <c r="H2816" s="3" t="s">
        <v>253</v>
      </c>
      <c r="I2816" s="2">
        <v>1</v>
      </c>
      <c r="J2816" s="2">
        <v>1</v>
      </c>
      <c r="K2816" s="2">
        <v>1</v>
      </c>
      <c r="O2816" s="2">
        <v>1</v>
      </c>
      <c r="U2816" s="2">
        <v>3</v>
      </c>
      <c r="V2816" s="2">
        <v>2</v>
      </c>
      <c r="W2816" s="2">
        <v>1</v>
      </c>
      <c r="X2816" s="2">
        <v>1</v>
      </c>
      <c r="Z2816" s="2">
        <v>1</v>
      </c>
      <c r="AA2816" s="3" t="s">
        <v>40</v>
      </c>
      <c r="AB2816" s="2">
        <v>1</v>
      </c>
      <c r="AF2816" s="2">
        <v>50</v>
      </c>
      <c r="AG2816" s="2">
        <v>2</v>
      </c>
      <c r="AH2816" s="3" t="s">
        <v>2948</v>
      </c>
      <c r="AI2816" s="4">
        <v>45134</v>
      </c>
      <c r="AJ2816" s="3" t="s">
        <v>2949</v>
      </c>
      <c r="AK2816" s="3" t="s">
        <v>248</v>
      </c>
    </row>
    <row r="2817" spans="1:37" hidden="1" x14ac:dyDescent="0.25">
      <c r="A2817" t="str">
        <f t="shared" si="43"/>
        <v>2023_Qld_Warra_Chickpea_SatelliteTOS2VarietyStrikerWaterTrtRainFed</v>
      </c>
      <c r="B2817" s="2">
        <v>2023031</v>
      </c>
      <c r="C2817" s="3" t="s">
        <v>2947</v>
      </c>
      <c r="D2817" s="3" t="s">
        <v>248</v>
      </c>
      <c r="F2817" s="3" t="s">
        <v>4179</v>
      </c>
      <c r="G2817" s="3" t="s">
        <v>43</v>
      </c>
      <c r="H2817" s="3" t="s">
        <v>253</v>
      </c>
      <c r="I2817" s="2">
        <v>2</v>
      </c>
      <c r="J2817" s="2">
        <v>2</v>
      </c>
      <c r="K2817" s="2">
        <v>1</v>
      </c>
      <c r="O2817" s="2">
        <v>1</v>
      </c>
      <c r="U2817" s="2">
        <v>4</v>
      </c>
      <c r="V2817" s="2">
        <v>2</v>
      </c>
      <c r="W2817" s="2">
        <v>2</v>
      </c>
      <c r="X2817" s="2">
        <v>1</v>
      </c>
      <c r="Z2817" s="2">
        <v>2</v>
      </c>
      <c r="AA2817" s="3" t="s">
        <v>40</v>
      </c>
      <c r="AB2817" s="2">
        <v>3</v>
      </c>
      <c r="AF2817" s="2">
        <v>50</v>
      </c>
      <c r="AG2817" s="2">
        <v>2</v>
      </c>
      <c r="AH2817" s="3" t="s">
        <v>2948</v>
      </c>
      <c r="AI2817" s="4">
        <v>45134</v>
      </c>
      <c r="AJ2817" s="3" t="s">
        <v>2950</v>
      </c>
      <c r="AK2817" s="3" t="s">
        <v>248</v>
      </c>
    </row>
    <row r="2818" spans="1:37" hidden="1" x14ac:dyDescent="0.25">
      <c r="A2818" t="str">
        <f t="shared" si="43"/>
        <v>2023_Qld_Warra_Chickpea_SatelliteTOS2VarietyCBA_CaptainWaterTrtRainFed</v>
      </c>
      <c r="B2818" s="2">
        <v>2023031</v>
      </c>
      <c r="C2818" s="3" t="s">
        <v>2947</v>
      </c>
      <c r="D2818" s="3" t="s">
        <v>248</v>
      </c>
      <c r="F2818" s="3" t="s">
        <v>249</v>
      </c>
      <c r="G2818" s="3" t="s">
        <v>43</v>
      </c>
      <c r="H2818" s="3" t="s">
        <v>253</v>
      </c>
      <c r="I2818" s="2">
        <v>3</v>
      </c>
      <c r="J2818" s="2">
        <v>3</v>
      </c>
      <c r="K2818" s="2">
        <v>1</v>
      </c>
      <c r="O2818" s="2">
        <v>1</v>
      </c>
      <c r="U2818" s="2">
        <v>5</v>
      </c>
      <c r="V2818" s="2">
        <v>2</v>
      </c>
      <c r="W2818" s="2">
        <v>3</v>
      </c>
      <c r="X2818" s="2">
        <v>1</v>
      </c>
      <c r="Z2818" s="2">
        <v>3</v>
      </c>
      <c r="AA2818" s="3" t="s">
        <v>40</v>
      </c>
      <c r="AB2818" s="2">
        <v>2</v>
      </c>
      <c r="AF2818" s="2">
        <v>50</v>
      </c>
      <c r="AG2818" s="2">
        <v>2</v>
      </c>
      <c r="AH2818" s="3" t="s">
        <v>2948</v>
      </c>
      <c r="AI2818" s="4">
        <v>45134</v>
      </c>
      <c r="AJ2818" s="3" t="s">
        <v>2951</v>
      </c>
      <c r="AK2818" s="3" t="s">
        <v>248</v>
      </c>
    </row>
    <row r="2819" spans="1:37" hidden="1" x14ac:dyDescent="0.25">
      <c r="A2819" t="str">
        <f t="shared" ref="A2819:A2882" si="44">C2819&amp;"TOS"&amp;AG2819&amp;"Variety"&amp;F2819&amp;"WaterTrt"&amp;AA2819&amp;IF(AC2819="","","Agronomy"&amp;AC2819)</f>
        <v>2023_Qld_Warra_Chickpea_SatelliteTOS2VarietyDrummondWaterTrtRainFed</v>
      </c>
      <c r="B2819" s="2">
        <v>2023031</v>
      </c>
      <c r="C2819" s="3" t="s">
        <v>2947</v>
      </c>
      <c r="D2819" s="3" t="s">
        <v>248</v>
      </c>
      <c r="F2819" s="3" t="s">
        <v>4182</v>
      </c>
      <c r="G2819" s="3" t="s">
        <v>39</v>
      </c>
      <c r="H2819" s="3" t="s">
        <v>253</v>
      </c>
      <c r="I2819" s="2">
        <v>4</v>
      </c>
      <c r="J2819" s="2">
        <v>4</v>
      </c>
      <c r="K2819" s="2">
        <v>1</v>
      </c>
      <c r="O2819" s="2">
        <v>1</v>
      </c>
      <c r="U2819" s="2">
        <v>6</v>
      </c>
      <c r="V2819" s="2">
        <v>2</v>
      </c>
      <c r="W2819" s="2">
        <v>4</v>
      </c>
      <c r="X2819" s="2">
        <v>1</v>
      </c>
      <c r="Z2819" s="2">
        <v>4</v>
      </c>
      <c r="AA2819" s="3" t="s">
        <v>40</v>
      </c>
      <c r="AB2819" s="2">
        <v>4</v>
      </c>
      <c r="AF2819" s="2">
        <v>50</v>
      </c>
      <c r="AG2819" s="2">
        <v>2</v>
      </c>
      <c r="AH2819" s="3" t="s">
        <v>2948</v>
      </c>
      <c r="AI2819" s="4">
        <v>45134</v>
      </c>
      <c r="AJ2819" s="3" t="s">
        <v>2952</v>
      </c>
      <c r="AK2819" s="3" t="s">
        <v>248</v>
      </c>
    </row>
    <row r="2820" spans="1:37" hidden="1" x14ac:dyDescent="0.25">
      <c r="A2820" t="str">
        <f t="shared" si="44"/>
        <v>2023_Qld_Warra_Chickpea_SatelliteTOS1VarietyCBA_CaptainWaterTrtRainFed</v>
      </c>
      <c r="B2820" s="2">
        <v>2023031</v>
      </c>
      <c r="C2820" s="3" t="s">
        <v>2947</v>
      </c>
      <c r="D2820" s="3" t="s">
        <v>248</v>
      </c>
      <c r="F2820" s="3" t="s">
        <v>249</v>
      </c>
      <c r="G2820" s="3" t="s">
        <v>43</v>
      </c>
      <c r="H2820" s="3" t="s">
        <v>253</v>
      </c>
      <c r="I2820" s="2">
        <v>5</v>
      </c>
      <c r="J2820" s="2">
        <v>5</v>
      </c>
      <c r="K2820" s="2">
        <v>1</v>
      </c>
      <c r="O2820" s="2">
        <v>2</v>
      </c>
      <c r="U2820" s="2">
        <v>3</v>
      </c>
      <c r="V2820" s="2">
        <v>5</v>
      </c>
      <c r="W2820" s="2">
        <v>1</v>
      </c>
      <c r="X2820" s="2">
        <v>2</v>
      </c>
      <c r="Z2820" s="2">
        <v>8</v>
      </c>
      <c r="AA2820" s="3" t="s">
        <v>40</v>
      </c>
      <c r="AB2820" s="2">
        <v>2</v>
      </c>
      <c r="AF2820" s="2">
        <v>50</v>
      </c>
      <c r="AG2820" s="2">
        <v>1</v>
      </c>
      <c r="AH2820" s="3" t="s">
        <v>2953</v>
      </c>
      <c r="AI2820" s="4">
        <v>45120</v>
      </c>
      <c r="AJ2820" s="3" t="s">
        <v>2954</v>
      </c>
      <c r="AK2820" s="3" t="s">
        <v>248</v>
      </c>
    </row>
    <row r="2821" spans="1:37" hidden="1" x14ac:dyDescent="0.25">
      <c r="A2821" t="str">
        <f t="shared" si="44"/>
        <v>2023_Qld_Warra_Chickpea_SatelliteTOS1VarietyDrummondWaterTrtRainFed</v>
      </c>
      <c r="B2821" s="2">
        <v>2023031</v>
      </c>
      <c r="C2821" s="3" t="s">
        <v>2947</v>
      </c>
      <c r="D2821" s="3" t="s">
        <v>248</v>
      </c>
      <c r="F2821" s="3" t="s">
        <v>4182</v>
      </c>
      <c r="G2821" s="3" t="s">
        <v>39</v>
      </c>
      <c r="H2821" s="3" t="s">
        <v>253</v>
      </c>
      <c r="I2821" s="2">
        <v>6</v>
      </c>
      <c r="J2821" s="2">
        <v>6</v>
      </c>
      <c r="K2821" s="2">
        <v>1</v>
      </c>
      <c r="O2821" s="2">
        <v>2</v>
      </c>
      <c r="U2821" s="2">
        <v>4</v>
      </c>
      <c r="V2821" s="2">
        <v>5</v>
      </c>
      <c r="W2821" s="2">
        <v>2</v>
      </c>
      <c r="X2821" s="2">
        <v>2</v>
      </c>
      <c r="Z2821" s="2">
        <v>7</v>
      </c>
      <c r="AA2821" s="3" t="s">
        <v>40</v>
      </c>
      <c r="AB2821" s="2">
        <v>4</v>
      </c>
      <c r="AF2821" s="2">
        <v>50</v>
      </c>
      <c r="AG2821" s="2">
        <v>1</v>
      </c>
      <c r="AH2821" s="3" t="s">
        <v>2953</v>
      </c>
      <c r="AI2821" s="4">
        <v>45120</v>
      </c>
      <c r="AJ2821" s="3" t="s">
        <v>2955</v>
      </c>
      <c r="AK2821" s="3" t="s">
        <v>248</v>
      </c>
    </row>
    <row r="2822" spans="1:37" hidden="1" x14ac:dyDescent="0.25">
      <c r="A2822" t="str">
        <f t="shared" si="44"/>
        <v>2023_Qld_Warra_Chickpea_SatelliteTOS1VarietyStrikerWaterTrtRainFed</v>
      </c>
      <c r="B2822" s="2">
        <v>2023031</v>
      </c>
      <c r="C2822" s="3" t="s">
        <v>2947</v>
      </c>
      <c r="D2822" s="3" t="s">
        <v>248</v>
      </c>
      <c r="F2822" s="3" t="s">
        <v>4179</v>
      </c>
      <c r="G2822" s="3" t="s">
        <v>43</v>
      </c>
      <c r="H2822" s="3" t="s">
        <v>253</v>
      </c>
      <c r="I2822" s="2">
        <v>7</v>
      </c>
      <c r="J2822" s="2">
        <v>7</v>
      </c>
      <c r="K2822" s="2">
        <v>1</v>
      </c>
      <c r="O2822" s="2">
        <v>2</v>
      </c>
      <c r="U2822" s="2">
        <v>5</v>
      </c>
      <c r="V2822" s="2">
        <v>5</v>
      </c>
      <c r="W2822" s="2">
        <v>3</v>
      </c>
      <c r="X2822" s="2">
        <v>2</v>
      </c>
      <c r="Z2822" s="2">
        <v>6</v>
      </c>
      <c r="AA2822" s="3" t="s">
        <v>40</v>
      </c>
      <c r="AB2822" s="2">
        <v>3</v>
      </c>
      <c r="AF2822" s="2">
        <v>50</v>
      </c>
      <c r="AG2822" s="2">
        <v>1</v>
      </c>
      <c r="AH2822" s="3" t="s">
        <v>2953</v>
      </c>
      <c r="AI2822" s="4">
        <v>45120</v>
      </c>
      <c r="AJ2822" s="3" t="s">
        <v>2956</v>
      </c>
      <c r="AK2822" s="3" t="s">
        <v>248</v>
      </c>
    </row>
    <row r="2823" spans="1:37" hidden="1" x14ac:dyDescent="0.25">
      <c r="A2823" t="str">
        <f t="shared" si="44"/>
        <v>2023_Qld_Warra_Chickpea_SatelliteTOS1VarietyHatTrickWaterTrtRainFed</v>
      </c>
      <c r="B2823" s="2">
        <v>2023031</v>
      </c>
      <c r="C2823" s="3" t="s">
        <v>2947</v>
      </c>
      <c r="D2823" s="3" t="s">
        <v>248</v>
      </c>
      <c r="F2823" s="3" t="s">
        <v>4178</v>
      </c>
      <c r="G2823" s="3" t="s">
        <v>39</v>
      </c>
      <c r="H2823" s="3" t="s">
        <v>253</v>
      </c>
      <c r="I2823" s="2">
        <v>8</v>
      </c>
      <c r="J2823" s="2">
        <v>8</v>
      </c>
      <c r="K2823" s="2">
        <v>1</v>
      </c>
      <c r="O2823" s="2">
        <v>2</v>
      </c>
      <c r="U2823" s="2">
        <v>6</v>
      </c>
      <c r="V2823" s="2">
        <v>5</v>
      </c>
      <c r="W2823" s="2">
        <v>4</v>
      </c>
      <c r="X2823" s="2">
        <v>2</v>
      </c>
      <c r="Z2823" s="2">
        <v>5</v>
      </c>
      <c r="AA2823" s="3" t="s">
        <v>40</v>
      </c>
      <c r="AB2823" s="2">
        <v>1</v>
      </c>
      <c r="AF2823" s="2">
        <v>50</v>
      </c>
      <c r="AG2823" s="2">
        <v>1</v>
      </c>
      <c r="AH2823" s="3" t="s">
        <v>2953</v>
      </c>
      <c r="AI2823" s="4">
        <v>45120</v>
      </c>
      <c r="AJ2823" s="3" t="s">
        <v>2957</v>
      </c>
      <c r="AK2823" s="3" t="s">
        <v>248</v>
      </c>
    </row>
    <row r="2824" spans="1:37" hidden="1" x14ac:dyDescent="0.25">
      <c r="A2824" t="str">
        <f t="shared" si="44"/>
        <v>2023_Qld_Warra_Chickpea_SatelliteTOS1VarietyDrummondWaterTrtRainFed</v>
      </c>
      <c r="B2824" s="2">
        <v>2023031</v>
      </c>
      <c r="C2824" s="3" t="s">
        <v>2947</v>
      </c>
      <c r="D2824" s="3" t="s">
        <v>248</v>
      </c>
      <c r="F2824" s="3" t="s">
        <v>4182</v>
      </c>
      <c r="G2824" s="3" t="s">
        <v>39</v>
      </c>
      <c r="H2824" s="3" t="s">
        <v>253</v>
      </c>
      <c r="I2824" s="2">
        <v>9</v>
      </c>
      <c r="J2824" s="2">
        <v>9</v>
      </c>
      <c r="K2824" s="2">
        <v>2</v>
      </c>
      <c r="O2824" s="2">
        <v>3</v>
      </c>
      <c r="U2824" s="2">
        <v>3</v>
      </c>
      <c r="V2824" s="2">
        <v>8</v>
      </c>
      <c r="W2824" s="2">
        <v>1</v>
      </c>
      <c r="X2824" s="2">
        <v>3</v>
      </c>
      <c r="Z2824" s="2">
        <v>9</v>
      </c>
      <c r="AA2824" s="3" t="s">
        <v>40</v>
      </c>
      <c r="AB2824" s="2">
        <v>4</v>
      </c>
      <c r="AF2824" s="2">
        <v>50</v>
      </c>
      <c r="AG2824" s="2">
        <v>1</v>
      </c>
      <c r="AH2824" s="3" t="s">
        <v>2953</v>
      </c>
      <c r="AI2824" s="4">
        <v>45120</v>
      </c>
      <c r="AJ2824" s="3" t="s">
        <v>2958</v>
      </c>
      <c r="AK2824" s="3" t="s">
        <v>248</v>
      </c>
    </row>
    <row r="2825" spans="1:37" hidden="1" x14ac:dyDescent="0.25">
      <c r="A2825" t="str">
        <f t="shared" si="44"/>
        <v>2023_Qld_Warra_Chickpea_SatelliteTOS1VarietyStrikerWaterTrtRainFed</v>
      </c>
      <c r="B2825" s="2">
        <v>2023031</v>
      </c>
      <c r="C2825" s="3" t="s">
        <v>2947</v>
      </c>
      <c r="D2825" s="3" t="s">
        <v>248</v>
      </c>
      <c r="F2825" s="3" t="s">
        <v>4179</v>
      </c>
      <c r="G2825" s="3" t="s">
        <v>43</v>
      </c>
      <c r="H2825" s="3" t="s">
        <v>253</v>
      </c>
      <c r="I2825" s="2">
        <v>10</v>
      </c>
      <c r="J2825" s="2">
        <v>10</v>
      </c>
      <c r="K2825" s="2">
        <v>2</v>
      </c>
      <c r="O2825" s="2">
        <v>3</v>
      </c>
      <c r="U2825" s="2">
        <v>4</v>
      </c>
      <c r="V2825" s="2">
        <v>8</v>
      </c>
      <c r="W2825" s="2">
        <v>2</v>
      </c>
      <c r="X2825" s="2">
        <v>3</v>
      </c>
      <c r="Z2825" s="2">
        <v>10</v>
      </c>
      <c r="AA2825" s="3" t="s">
        <v>40</v>
      </c>
      <c r="AB2825" s="2">
        <v>3</v>
      </c>
      <c r="AF2825" s="2">
        <v>50</v>
      </c>
      <c r="AG2825" s="2">
        <v>1</v>
      </c>
      <c r="AH2825" s="3" t="s">
        <v>2953</v>
      </c>
      <c r="AI2825" s="4">
        <v>45120</v>
      </c>
      <c r="AJ2825" s="3" t="s">
        <v>2959</v>
      </c>
      <c r="AK2825" s="3" t="s">
        <v>248</v>
      </c>
    </row>
    <row r="2826" spans="1:37" hidden="1" x14ac:dyDescent="0.25">
      <c r="A2826" t="str">
        <f t="shared" si="44"/>
        <v>2023_Qld_Warra_Chickpea_SatelliteTOS1VarietyHatTrickWaterTrtRainFed</v>
      </c>
      <c r="B2826" s="2">
        <v>2023031</v>
      </c>
      <c r="C2826" s="3" t="s">
        <v>2947</v>
      </c>
      <c r="D2826" s="3" t="s">
        <v>248</v>
      </c>
      <c r="F2826" s="3" t="s">
        <v>4178</v>
      </c>
      <c r="G2826" s="3" t="s">
        <v>39</v>
      </c>
      <c r="H2826" s="3" t="s">
        <v>253</v>
      </c>
      <c r="I2826" s="2">
        <v>11</v>
      </c>
      <c r="J2826" s="2">
        <v>11</v>
      </c>
      <c r="K2826" s="2">
        <v>2</v>
      </c>
      <c r="O2826" s="2">
        <v>3</v>
      </c>
      <c r="U2826" s="2">
        <v>5</v>
      </c>
      <c r="V2826" s="2">
        <v>8</v>
      </c>
      <c r="W2826" s="2">
        <v>3</v>
      </c>
      <c r="X2826" s="2">
        <v>3</v>
      </c>
      <c r="Z2826" s="2">
        <v>11</v>
      </c>
      <c r="AA2826" s="3" t="s">
        <v>40</v>
      </c>
      <c r="AB2826" s="2">
        <v>1</v>
      </c>
      <c r="AF2826" s="2">
        <v>50</v>
      </c>
      <c r="AG2826" s="2">
        <v>1</v>
      </c>
      <c r="AH2826" s="3" t="s">
        <v>2953</v>
      </c>
      <c r="AI2826" s="4">
        <v>45120</v>
      </c>
      <c r="AJ2826" s="3" t="s">
        <v>2960</v>
      </c>
      <c r="AK2826" s="3" t="s">
        <v>248</v>
      </c>
    </row>
    <row r="2827" spans="1:37" hidden="1" x14ac:dyDescent="0.25">
      <c r="A2827" t="str">
        <f t="shared" si="44"/>
        <v>2023_Qld_Warra_Chickpea_SatelliteTOS1VarietyCBA_CaptainWaterTrtRainFed</v>
      </c>
      <c r="B2827" s="2">
        <v>2023031</v>
      </c>
      <c r="C2827" s="3" t="s">
        <v>2947</v>
      </c>
      <c r="D2827" s="3" t="s">
        <v>248</v>
      </c>
      <c r="F2827" s="3" t="s">
        <v>249</v>
      </c>
      <c r="G2827" s="3" t="s">
        <v>43</v>
      </c>
      <c r="H2827" s="3" t="s">
        <v>253</v>
      </c>
      <c r="I2827" s="2">
        <v>12</v>
      </c>
      <c r="J2827" s="2">
        <v>12</v>
      </c>
      <c r="K2827" s="2">
        <v>2</v>
      </c>
      <c r="O2827" s="2">
        <v>3</v>
      </c>
      <c r="U2827" s="2">
        <v>6</v>
      </c>
      <c r="V2827" s="2">
        <v>8</v>
      </c>
      <c r="W2827" s="2">
        <v>4</v>
      </c>
      <c r="X2827" s="2">
        <v>3</v>
      </c>
      <c r="Z2827" s="2">
        <v>12</v>
      </c>
      <c r="AA2827" s="3" t="s">
        <v>40</v>
      </c>
      <c r="AB2827" s="2">
        <v>2</v>
      </c>
      <c r="AF2827" s="2">
        <v>50</v>
      </c>
      <c r="AG2827" s="2">
        <v>1</v>
      </c>
      <c r="AH2827" s="3" t="s">
        <v>2953</v>
      </c>
      <c r="AI2827" s="4">
        <v>45120</v>
      </c>
      <c r="AJ2827" s="3" t="s">
        <v>2961</v>
      </c>
      <c r="AK2827" s="3" t="s">
        <v>248</v>
      </c>
    </row>
    <row r="2828" spans="1:37" hidden="1" x14ac:dyDescent="0.25">
      <c r="A2828" t="str">
        <f t="shared" si="44"/>
        <v>2023_Qld_Warra_Chickpea_SatelliteTOS2VarietyCBA_CaptainWaterTrtRainFed</v>
      </c>
      <c r="B2828" s="2">
        <v>2023031</v>
      </c>
      <c r="C2828" s="3" t="s">
        <v>2947</v>
      </c>
      <c r="D2828" s="3" t="s">
        <v>248</v>
      </c>
      <c r="F2828" s="3" t="s">
        <v>249</v>
      </c>
      <c r="G2828" s="3" t="s">
        <v>43</v>
      </c>
      <c r="H2828" s="3" t="s">
        <v>253</v>
      </c>
      <c r="I2828" s="2">
        <v>13</v>
      </c>
      <c r="J2828" s="2">
        <v>13</v>
      </c>
      <c r="K2828" s="2">
        <v>2</v>
      </c>
      <c r="O2828" s="2">
        <v>4</v>
      </c>
      <c r="U2828" s="2">
        <v>3</v>
      </c>
      <c r="V2828" s="2">
        <v>11</v>
      </c>
      <c r="W2828" s="2">
        <v>1</v>
      </c>
      <c r="X2828" s="2">
        <v>4</v>
      </c>
      <c r="Z2828" s="2">
        <v>16</v>
      </c>
      <c r="AA2828" s="3" t="s">
        <v>40</v>
      </c>
      <c r="AB2828" s="2">
        <v>2</v>
      </c>
      <c r="AF2828" s="2">
        <v>50</v>
      </c>
      <c r="AG2828" s="2">
        <v>2</v>
      </c>
      <c r="AH2828" s="3" t="s">
        <v>2948</v>
      </c>
      <c r="AI2828" s="4">
        <v>45134</v>
      </c>
      <c r="AJ2828" s="3" t="s">
        <v>2962</v>
      </c>
      <c r="AK2828" s="3" t="s">
        <v>248</v>
      </c>
    </row>
    <row r="2829" spans="1:37" hidden="1" x14ac:dyDescent="0.25">
      <c r="A2829" t="str">
        <f t="shared" si="44"/>
        <v>2023_Qld_Warra_Chickpea_SatelliteTOS2VarietyHatTrickWaterTrtRainFed</v>
      </c>
      <c r="B2829" s="2">
        <v>2023031</v>
      </c>
      <c r="C2829" s="3" t="s">
        <v>2947</v>
      </c>
      <c r="D2829" s="3" t="s">
        <v>248</v>
      </c>
      <c r="F2829" s="3" t="s">
        <v>4178</v>
      </c>
      <c r="G2829" s="3" t="s">
        <v>39</v>
      </c>
      <c r="H2829" s="3" t="s">
        <v>253</v>
      </c>
      <c r="I2829" s="2">
        <v>14</v>
      </c>
      <c r="J2829" s="2">
        <v>14</v>
      </c>
      <c r="K2829" s="2">
        <v>2</v>
      </c>
      <c r="O2829" s="2">
        <v>4</v>
      </c>
      <c r="U2829" s="2">
        <v>4</v>
      </c>
      <c r="V2829" s="2">
        <v>11</v>
      </c>
      <c r="W2829" s="2">
        <v>2</v>
      </c>
      <c r="X2829" s="2">
        <v>4</v>
      </c>
      <c r="Z2829" s="2">
        <v>15</v>
      </c>
      <c r="AA2829" s="3" t="s">
        <v>40</v>
      </c>
      <c r="AB2829" s="2">
        <v>1</v>
      </c>
      <c r="AF2829" s="2">
        <v>50</v>
      </c>
      <c r="AG2829" s="2">
        <v>2</v>
      </c>
      <c r="AH2829" s="3" t="s">
        <v>2948</v>
      </c>
      <c r="AI2829" s="4">
        <v>45134</v>
      </c>
      <c r="AJ2829" s="3" t="s">
        <v>2963</v>
      </c>
      <c r="AK2829" s="3" t="s">
        <v>248</v>
      </c>
    </row>
    <row r="2830" spans="1:37" hidden="1" x14ac:dyDescent="0.25">
      <c r="A2830" t="str">
        <f t="shared" si="44"/>
        <v>2023_Qld_Warra_Chickpea_SatelliteTOS2VarietyDrummondWaterTrtRainFed</v>
      </c>
      <c r="B2830" s="2">
        <v>2023031</v>
      </c>
      <c r="C2830" s="3" t="s">
        <v>2947</v>
      </c>
      <c r="D2830" s="3" t="s">
        <v>248</v>
      </c>
      <c r="F2830" s="3" t="s">
        <v>4182</v>
      </c>
      <c r="G2830" s="3" t="s">
        <v>39</v>
      </c>
      <c r="H2830" s="3" t="s">
        <v>253</v>
      </c>
      <c r="I2830" s="2">
        <v>15</v>
      </c>
      <c r="J2830" s="2">
        <v>15</v>
      </c>
      <c r="K2830" s="2">
        <v>2</v>
      </c>
      <c r="O2830" s="2">
        <v>4</v>
      </c>
      <c r="U2830" s="2">
        <v>5</v>
      </c>
      <c r="V2830" s="2">
        <v>11</v>
      </c>
      <c r="W2830" s="2">
        <v>3</v>
      </c>
      <c r="X2830" s="2">
        <v>4</v>
      </c>
      <c r="Z2830" s="2">
        <v>14</v>
      </c>
      <c r="AA2830" s="3" t="s">
        <v>40</v>
      </c>
      <c r="AB2830" s="2">
        <v>4</v>
      </c>
      <c r="AF2830" s="2">
        <v>50</v>
      </c>
      <c r="AG2830" s="2">
        <v>2</v>
      </c>
      <c r="AH2830" s="3" t="s">
        <v>2948</v>
      </c>
      <c r="AI2830" s="4">
        <v>45134</v>
      </c>
      <c r="AJ2830" s="3" t="s">
        <v>2964</v>
      </c>
      <c r="AK2830" s="3" t="s">
        <v>248</v>
      </c>
    </row>
    <row r="2831" spans="1:37" hidden="1" x14ac:dyDescent="0.25">
      <c r="A2831" t="str">
        <f t="shared" si="44"/>
        <v>2023_Qld_Warra_Chickpea_SatelliteTOS2VarietyStrikerWaterTrtRainFed</v>
      </c>
      <c r="B2831" s="2">
        <v>2023031</v>
      </c>
      <c r="C2831" s="3" t="s">
        <v>2947</v>
      </c>
      <c r="D2831" s="3" t="s">
        <v>248</v>
      </c>
      <c r="F2831" s="3" t="s">
        <v>4179</v>
      </c>
      <c r="G2831" s="3" t="s">
        <v>43</v>
      </c>
      <c r="H2831" s="3" t="s">
        <v>253</v>
      </c>
      <c r="I2831" s="2">
        <v>16</v>
      </c>
      <c r="J2831" s="2">
        <v>16</v>
      </c>
      <c r="K2831" s="2">
        <v>2</v>
      </c>
      <c r="O2831" s="2">
        <v>4</v>
      </c>
      <c r="U2831" s="2">
        <v>6</v>
      </c>
      <c r="V2831" s="2">
        <v>11</v>
      </c>
      <c r="W2831" s="2">
        <v>4</v>
      </c>
      <c r="X2831" s="2">
        <v>4</v>
      </c>
      <c r="Z2831" s="2">
        <v>13</v>
      </c>
      <c r="AA2831" s="3" t="s">
        <v>40</v>
      </c>
      <c r="AB2831" s="2">
        <v>3</v>
      </c>
      <c r="AF2831" s="2">
        <v>50</v>
      </c>
      <c r="AG2831" s="2">
        <v>2</v>
      </c>
      <c r="AH2831" s="3" t="s">
        <v>2948</v>
      </c>
      <c r="AI2831" s="4">
        <v>45134</v>
      </c>
      <c r="AJ2831" s="3" t="s">
        <v>2965</v>
      </c>
      <c r="AK2831" s="3" t="s">
        <v>248</v>
      </c>
    </row>
    <row r="2832" spans="1:37" hidden="1" x14ac:dyDescent="0.25">
      <c r="A2832" t="str">
        <f t="shared" si="44"/>
        <v>2023_Qld_Warra_Chickpea_SatelliteTOS1VarietyStrikerWaterTrtRainFed</v>
      </c>
      <c r="B2832" s="2">
        <v>2023031</v>
      </c>
      <c r="C2832" s="3" t="s">
        <v>2947</v>
      </c>
      <c r="D2832" s="3" t="s">
        <v>248</v>
      </c>
      <c r="F2832" s="3" t="s">
        <v>4179</v>
      </c>
      <c r="G2832" s="3" t="s">
        <v>43</v>
      </c>
      <c r="H2832" s="3" t="s">
        <v>253</v>
      </c>
      <c r="I2832" s="2">
        <v>17</v>
      </c>
      <c r="J2832" s="2">
        <v>17</v>
      </c>
      <c r="K2832" s="2">
        <v>3</v>
      </c>
      <c r="O2832" s="2">
        <v>5</v>
      </c>
      <c r="U2832" s="2">
        <v>3</v>
      </c>
      <c r="V2832" s="2">
        <v>14</v>
      </c>
      <c r="W2832" s="2">
        <v>1</v>
      </c>
      <c r="X2832" s="2">
        <v>5</v>
      </c>
      <c r="Z2832" s="2">
        <v>17</v>
      </c>
      <c r="AA2832" s="3" t="s">
        <v>40</v>
      </c>
      <c r="AB2832" s="2">
        <v>3</v>
      </c>
      <c r="AF2832" s="2">
        <v>50</v>
      </c>
      <c r="AG2832" s="2">
        <v>1</v>
      </c>
      <c r="AH2832" s="3" t="s">
        <v>2953</v>
      </c>
      <c r="AI2832" s="4">
        <v>45120</v>
      </c>
      <c r="AJ2832" s="3" t="s">
        <v>2966</v>
      </c>
      <c r="AK2832" s="3" t="s">
        <v>248</v>
      </c>
    </row>
    <row r="2833" spans="1:37" hidden="1" x14ac:dyDescent="0.25">
      <c r="A2833" t="str">
        <f t="shared" si="44"/>
        <v>2023_Qld_Warra_Chickpea_SatelliteTOS1VarietyHatTrickWaterTrtRainFed</v>
      </c>
      <c r="B2833" s="2">
        <v>2023031</v>
      </c>
      <c r="C2833" s="3" t="s">
        <v>2947</v>
      </c>
      <c r="D2833" s="3" t="s">
        <v>248</v>
      </c>
      <c r="F2833" s="3" t="s">
        <v>4178</v>
      </c>
      <c r="G2833" s="3" t="s">
        <v>39</v>
      </c>
      <c r="H2833" s="3" t="s">
        <v>253</v>
      </c>
      <c r="I2833" s="2">
        <v>18</v>
      </c>
      <c r="J2833" s="2">
        <v>18</v>
      </c>
      <c r="K2833" s="2">
        <v>3</v>
      </c>
      <c r="O2833" s="2">
        <v>5</v>
      </c>
      <c r="U2833" s="2">
        <v>4</v>
      </c>
      <c r="V2833" s="2">
        <v>14</v>
      </c>
      <c r="W2833" s="2">
        <v>2</v>
      </c>
      <c r="X2833" s="2">
        <v>5</v>
      </c>
      <c r="Z2833" s="2">
        <v>18</v>
      </c>
      <c r="AA2833" s="3" t="s">
        <v>40</v>
      </c>
      <c r="AB2833" s="2">
        <v>1</v>
      </c>
      <c r="AF2833" s="2">
        <v>50</v>
      </c>
      <c r="AG2833" s="2">
        <v>1</v>
      </c>
      <c r="AH2833" s="3" t="s">
        <v>2953</v>
      </c>
      <c r="AI2833" s="4">
        <v>45120</v>
      </c>
      <c r="AJ2833" s="3" t="s">
        <v>2967</v>
      </c>
      <c r="AK2833" s="3" t="s">
        <v>248</v>
      </c>
    </row>
    <row r="2834" spans="1:37" hidden="1" x14ac:dyDescent="0.25">
      <c r="A2834" t="str">
        <f t="shared" si="44"/>
        <v>2023_Qld_Warra_Chickpea_SatelliteTOS1VarietyCBA_CaptainWaterTrtRainFed</v>
      </c>
      <c r="B2834" s="2">
        <v>2023031</v>
      </c>
      <c r="C2834" s="3" t="s">
        <v>2947</v>
      </c>
      <c r="D2834" s="3" t="s">
        <v>248</v>
      </c>
      <c r="F2834" s="3" t="s">
        <v>249</v>
      </c>
      <c r="G2834" s="3" t="s">
        <v>43</v>
      </c>
      <c r="H2834" s="3" t="s">
        <v>253</v>
      </c>
      <c r="I2834" s="2">
        <v>19</v>
      </c>
      <c r="J2834" s="2">
        <v>19</v>
      </c>
      <c r="K2834" s="2">
        <v>3</v>
      </c>
      <c r="O2834" s="2">
        <v>5</v>
      </c>
      <c r="U2834" s="2">
        <v>5</v>
      </c>
      <c r="V2834" s="2">
        <v>14</v>
      </c>
      <c r="W2834" s="2">
        <v>3</v>
      </c>
      <c r="X2834" s="2">
        <v>5</v>
      </c>
      <c r="Z2834" s="2">
        <v>19</v>
      </c>
      <c r="AA2834" s="3" t="s">
        <v>40</v>
      </c>
      <c r="AB2834" s="2">
        <v>2</v>
      </c>
      <c r="AF2834" s="2">
        <v>50</v>
      </c>
      <c r="AG2834" s="2">
        <v>1</v>
      </c>
      <c r="AH2834" s="3" t="s">
        <v>2953</v>
      </c>
      <c r="AI2834" s="4">
        <v>45120</v>
      </c>
      <c r="AJ2834" s="3" t="s">
        <v>2968</v>
      </c>
      <c r="AK2834" s="3" t="s">
        <v>248</v>
      </c>
    </row>
    <row r="2835" spans="1:37" hidden="1" x14ac:dyDescent="0.25">
      <c r="A2835" t="str">
        <f t="shared" si="44"/>
        <v>2023_Qld_Warra_Chickpea_SatelliteTOS1VarietyDrummondWaterTrtRainFed</v>
      </c>
      <c r="B2835" s="2">
        <v>2023031</v>
      </c>
      <c r="C2835" s="3" t="s">
        <v>2947</v>
      </c>
      <c r="D2835" s="3" t="s">
        <v>248</v>
      </c>
      <c r="F2835" s="3" t="s">
        <v>4182</v>
      </c>
      <c r="G2835" s="3" t="s">
        <v>39</v>
      </c>
      <c r="H2835" s="3" t="s">
        <v>253</v>
      </c>
      <c r="I2835" s="2">
        <v>20</v>
      </c>
      <c r="J2835" s="2">
        <v>20</v>
      </c>
      <c r="K2835" s="2">
        <v>3</v>
      </c>
      <c r="O2835" s="2">
        <v>5</v>
      </c>
      <c r="U2835" s="2">
        <v>6</v>
      </c>
      <c r="V2835" s="2">
        <v>14</v>
      </c>
      <c r="W2835" s="2">
        <v>4</v>
      </c>
      <c r="X2835" s="2">
        <v>5</v>
      </c>
      <c r="Z2835" s="2">
        <v>20</v>
      </c>
      <c r="AA2835" s="3" t="s">
        <v>40</v>
      </c>
      <c r="AB2835" s="2">
        <v>4</v>
      </c>
      <c r="AF2835" s="2">
        <v>50</v>
      </c>
      <c r="AG2835" s="2">
        <v>1</v>
      </c>
      <c r="AH2835" s="3" t="s">
        <v>2953</v>
      </c>
      <c r="AI2835" s="4">
        <v>45120</v>
      </c>
      <c r="AJ2835" s="3" t="s">
        <v>2969</v>
      </c>
      <c r="AK2835" s="3" t="s">
        <v>248</v>
      </c>
    </row>
    <row r="2836" spans="1:37" hidden="1" x14ac:dyDescent="0.25">
      <c r="A2836" t="str">
        <f t="shared" si="44"/>
        <v>2023_Qld_Warra_Chickpea_SatelliteTOS2VarietyDrummondWaterTrtRainFed</v>
      </c>
      <c r="B2836" s="2">
        <v>2023031</v>
      </c>
      <c r="C2836" s="3" t="s">
        <v>2947</v>
      </c>
      <c r="D2836" s="3" t="s">
        <v>248</v>
      </c>
      <c r="F2836" s="3" t="s">
        <v>4182</v>
      </c>
      <c r="G2836" s="3" t="s">
        <v>39</v>
      </c>
      <c r="H2836" s="3" t="s">
        <v>253</v>
      </c>
      <c r="I2836" s="2">
        <v>21</v>
      </c>
      <c r="J2836" s="2">
        <v>21</v>
      </c>
      <c r="K2836" s="2">
        <v>3</v>
      </c>
      <c r="O2836" s="2">
        <v>6</v>
      </c>
      <c r="U2836" s="2">
        <v>3</v>
      </c>
      <c r="V2836" s="2">
        <v>17</v>
      </c>
      <c r="W2836" s="2">
        <v>1</v>
      </c>
      <c r="X2836" s="2">
        <v>6</v>
      </c>
      <c r="Z2836" s="2">
        <v>24</v>
      </c>
      <c r="AA2836" s="3" t="s">
        <v>40</v>
      </c>
      <c r="AB2836" s="2">
        <v>4</v>
      </c>
      <c r="AF2836" s="2">
        <v>50</v>
      </c>
      <c r="AG2836" s="2">
        <v>2</v>
      </c>
      <c r="AH2836" s="3" t="s">
        <v>2948</v>
      </c>
      <c r="AI2836" s="4">
        <v>45134</v>
      </c>
      <c r="AJ2836" s="3" t="s">
        <v>2970</v>
      </c>
      <c r="AK2836" s="3" t="s">
        <v>248</v>
      </c>
    </row>
    <row r="2837" spans="1:37" hidden="1" x14ac:dyDescent="0.25">
      <c r="A2837" t="str">
        <f t="shared" si="44"/>
        <v>2023_Qld_Warra_Chickpea_SatelliteTOS2VarietyCBA_CaptainWaterTrtRainFed</v>
      </c>
      <c r="B2837" s="2">
        <v>2023031</v>
      </c>
      <c r="C2837" s="3" t="s">
        <v>2947</v>
      </c>
      <c r="D2837" s="3" t="s">
        <v>248</v>
      </c>
      <c r="F2837" s="3" t="s">
        <v>249</v>
      </c>
      <c r="G2837" s="3" t="s">
        <v>43</v>
      </c>
      <c r="H2837" s="3" t="s">
        <v>253</v>
      </c>
      <c r="I2837" s="2">
        <v>22</v>
      </c>
      <c r="J2837" s="2">
        <v>22</v>
      </c>
      <c r="K2837" s="2">
        <v>3</v>
      </c>
      <c r="O2837" s="2">
        <v>6</v>
      </c>
      <c r="U2837" s="2">
        <v>4</v>
      </c>
      <c r="V2837" s="2">
        <v>17</v>
      </c>
      <c r="W2837" s="2">
        <v>2</v>
      </c>
      <c r="X2837" s="2">
        <v>6</v>
      </c>
      <c r="Z2837" s="2">
        <v>23</v>
      </c>
      <c r="AA2837" s="3" t="s">
        <v>40</v>
      </c>
      <c r="AB2837" s="2">
        <v>2</v>
      </c>
      <c r="AF2837" s="2">
        <v>50</v>
      </c>
      <c r="AG2837" s="2">
        <v>2</v>
      </c>
      <c r="AH2837" s="3" t="s">
        <v>2948</v>
      </c>
      <c r="AI2837" s="4">
        <v>45134</v>
      </c>
      <c r="AJ2837" s="3" t="s">
        <v>2971</v>
      </c>
      <c r="AK2837" s="3" t="s">
        <v>248</v>
      </c>
    </row>
    <row r="2838" spans="1:37" hidden="1" x14ac:dyDescent="0.25">
      <c r="A2838" t="str">
        <f t="shared" si="44"/>
        <v>2023_Qld_Warra_Chickpea_SatelliteTOS2VarietyStrikerWaterTrtRainFed</v>
      </c>
      <c r="B2838" s="2">
        <v>2023031</v>
      </c>
      <c r="C2838" s="3" t="s">
        <v>2947</v>
      </c>
      <c r="D2838" s="3" t="s">
        <v>248</v>
      </c>
      <c r="F2838" s="3" t="s">
        <v>4179</v>
      </c>
      <c r="G2838" s="3" t="s">
        <v>43</v>
      </c>
      <c r="H2838" s="3" t="s">
        <v>253</v>
      </c>
      <c r="I2838" s="2">
        <v>23</v>
      </c>
      <c r="J2838" s="2">
        <v>23</v>
      </c>
      <c r="K2838" s="2">
        <v>3</v>
      </c>
      <c r="O2838" s="2">
        <v>6</v>
      </c>
      <c r="U2838" s="2">
        <v>5</v>
      </c>
      <c r="V2838" s="2">
        <v>17</v>
      </c>
      <c r="W2838" s="2">
        <v>3</v>
      </c>
      <c r="X2838" s="2">
        <v>6</v>
      </c>
      <c r="Z2838" s="2">
        <v>22</v>
      </c>
      <c r="AA2838" s="3" t="s">
        <v>40</v>
      </c>
      <c r="AB2838" s="2">
        <v>3</v>
      </c>
      <c r="AF2838" s="2">
        <v>50</v>
      </c>
      <c r="AG2838" s="2">
        <v>2</v>
      </c>
      <c r="AH2838" s="3" t="s">
        <v>2948</v>
      </c>
      <c r="AI2838" s="4">
        <v>45134</v>
      </c>
      <c r="AJ2838" s="3" t="s">
        <v>2972</v>
      </c>
      <c r="AK2838" s="3" t="s">
        <v>248</v>
      </c>
    </row>
    <row r="2839" spans="1:37" hidden="1" x14ac:dyDescent="0.25">
      <c r="A2839" t="str">
        <f t="shared" si="44"/>
        <v>2023_Qld_Warra_Chickpea_SatelliteTOS2VarietyHatTrickWaterTrtRainFed</v>
      </c>
      <c r="B2839" s="2">
        <v>2023031</v>
      </c>
      <c r="C2839" s="3" t="s">
        <v>2947</v>
      </c>
      <c r="D2839" s="3" t="s">
        <v>248</v>
      </c>
      <c r="F2839" s="3" t="s">
        <v>4178</v>
      </c>
      <c r="G2839" s="3" t="s">
        <v>39</v>
      </c>
      <c r="H2839" s="3" t="s">
        <v>253</v>
      </c>
      <c r="I2839" s="2">
        <v>24</v>
      </c>
      <c r="J2839" s="2">
        <v>24</v>
      </c>
      <c r="K2839" s="2">
        <v>3</v>
      </c>
      <c r="O2839" s="2">
        <v>6</v>
      </c>
      <c r="U2839" s="2">
        <v>6</v>
      </c>
      <c r="V2839" s="2">
        <v>17</v>
      </c>
      <c r="W2839" s="2">
        <v>4</v>
      </c>
      <c r="X2839" s="2">
        <v>6</v>
      </c>
      <c r="Z2839" s="2">
        <v>21</v>
      </c>
      <c r="AA2839" s="3" t="s">
        <v>40</v>
      </c>
      <c r="AB2839" s="2">
        <v>1</v>
      </c>
      <c r="AF2839" s="2">
        <v>50</v>
      </c>
      <c r="AG2839" s="2">
        <v>2</v>
      </c>
      <c r="AH2839" s="3" t="s">
        <v>2948</v>
      </c>
      <c r="AI2839" s="4">
        <v>45134</v>
      </c>
      <c r="AJ2839" s="3" t="s">
        <v>2973</v>
      </c>
      <c r="AK2839" s="3" t="s">
        <v>248</v>
      </c>
    </row>
    <row r="2840" spans="1:37" hidden="1" x14ac:dyDescent="0.25">
      <c r="A2840" t="str">
        <f t="shared" si="44"/>
        <v>2023_Qld_Warra_Chickpea_SatelliteTOS2VarietyStrikerWaterTrtRainFed</v>
      </c>
      <c r="B2840" s="2">
        <v>2023031</v>
      </c>
      <c r="C2840" s="3" t="s">
        <v>2947</v>
      </c>
      <c r="D2840" s="3" t="s">
        <v>248</v>
      </c>
      <c r="F2840" s="3" t="s">
        <v>4179</v>
      </c>
      <c r="G2840" s="3" t="s">
        <v>43</v>
      </c>
      <c r="H2840" s="3" t="s">
        <v>253</v>
      </c>
      <c r="I2840" s="2">
        <v>25</v>
      </c>
      <c r="J2840" s="2">
        <v>25</v>
      </c>
      <c r="K2840" s="2">
        <v>4</v>
      </c>
      <c r="O2840" s="2">
        <v>7</v>
      </c>
      <c r="U2840" s="2">
        <v>3</v>
      </c>
      <c r="V2840" s="2">
        <v>20</v>
      </c>
      <c r="W2840" s="2">
        <v>1</v>
      </c>
      <c r="X2840" s="2">
        <v>7</v>
      </c>
      <c r="Z2840" s="2">
        <v>25</v>
      </c>
      <c r="AA2840" s="3" t="s">
        <v>40</v>
      </c>
      <c r="AB2840" s="2">
        <v>3</v>
      </c>
      <c r="AF2840" s="2">
        <v>50</v>
      </c>
      <c r="AG2840" s="2">
        <v>2</v>
      </c>
      <c r="AH2840" s="3" t="s">
        <v>2948</v>
      </c>
      <c r="AI2840" s="4">
        <v>45134</v>
      </c>
      <c r="AJ2840" s="3" t="s">
        <v>2974</v>
      </c>
      <c r="AK2840" s="3" t="s">
        <v>248</v>
      </c>
    </row>
    <row r="2841" spans="1:37" hidden="1" x14ac:dyDescent="0.25">
      <c r="A2841" t="str">
        <f t="shared" si="44"/>
        <v>2023_Qld_Warra_Chickpea_SatelliteTOS2VarietyDrummondWaterTrtRainFed</v>
      </c>
      <c r="B2841" s="2">
        <v>2023031</v>
      </c>
      <c r="C2841" s="3" t="s">
        <v>2947</v>
      </c>
      <c r="D2841" s="3" t="s">
        <v>248</v>
      </c>
      <c r="F2841" s="3" t="s">
        <v>4182</v>
      </c>
      <c r="G2841" s="3" t="s">
        <v>39</v>
      </c>
      <c r="H2841" s="3" t="s">
        <v>253</v>
      </c>
      <c r="I2841" s="2">
        <v>26</v>
      </c>
      <c r="J2841" s="2">
        <v>26</v>
      </c>
      <c r="K2841" s="2">
        <v>4</v>
      </c>
      <c r="O2841" s="2">
        <v>7</v>
      </c>
      <c r="U2841" s="2">
        <v>4</v>
      </c>
      <c r="V2841" s="2">
        <v>20</v>
      </c>
      <c r="W2841" s="2">
        <v>2</v>
      </c>
      <c r="X2841" s="2">
        <v>7</v>
      </c>
      <c r="Z2841" s="2">
        <v>26</v>
      </c>
      <c r="AA2841" s="3" t="s">
        <v>40</v>
      </c>
      <c r="AB2841" s="2">
        <v>4</v>
      </c>
      <c r="AF2841" s="2">
        <v>50</v>
      </c>
      <c r="AG2841" s="2">
        <v>2</v>
      </c>
      <c r="AH2841" s="3" t="s">
        <v>2948</v>
      </c>
      <c r="AI2841" s="4">
        <v>45134</v>
      </c>
      <c r="AJ2841" s="3" t="s">
        <v>2975</v>
      </c>
      <c r="AK2841" s="3" t="s">
        <v>248</v>
      </c>
    </row>
    <row r="2842" spans="1:37" hidden="1" x14ac:dyDescent="0.25">
      <c r="A2842" t="str">
        <f t="shared" si="44"/>
        <v>2023_Qld_Warra_Chickpea_SatelliteTOS2VarietyHatTrickWaterTrtRainFed</v>
      </c>
      <c r="B2842" s="2">
        <v>2023031</v>
      </c>
      <c r="C2842" s="3" t="s">
        <v>2947</v>
      </c>
      <c r="D2842" s="3" t="s">
        <v>248</v>
      </c>
      <c r="F2842" s="3" t="s">
        <v>4178</v>
      </c>
      <c r="G2842" s="3" t="s">
        <v>39</v>
      </c>
      <c r="H2842" s="3" t="s">
        <v>253</v>
      </c>
      <c r="I2842" s="2">
        <v>27</v>
      </c>
      <c r="J2842" s="2">
        <v>27</v>
      </c>
      <c r="K2842" s="2">
        <v>4</v>
      </c>
      <c r="O2842" s="2">
        <v>7</v>
      </c>
      <c r="U2842" s="2">
        <v>5</v>
      </c>
      <c r="V2842" s="2">
        <v>20</v>
      </c>
      <c r="W2842" s="2">
        <v>3</v>
      </c>
      <c r="X2842" s="2">
        <v>7</v>
      </c>
      <c r="Z2842" s="2">
        <v>27</v>
      </c>
      <c r="AA2842" s="3" t="s">
        <v>40</v>
      </c>
      <c r="AB2842" s="2">
        <v>1</v>
      </c>
      <c r="AF2842" s="2">
        <v>50</v>
      </c>
      <c r="AG2842" s="2">
        <v>2</v>
      </c>
      <c r="AH2842" s="3" t="s">
        <v>2948</v>
      </c>
      <c r="AI2842" s="4">
        <v>45134</v>
      </c>
      <c r="AJ2842" s="3" t="s">
        <v>2976</v>
      </c>
      <c r="AK2842" s="3" t="s">
        <v>248</v>
      </c>
    </row>
    <row r="2843" spans="1:37" hidden="1" x14ac:dyDescent="0.25">
      <c r="A2843" t="str">
        <f t="shared" si="44"/>
        <v>2023_Qld_Warra_Chickpea_SatelliteTOS2VarietyCBA_CaptainWaterTrtRainFed</v>
      </c>
      <c r="B2843" s="2">
        <v>2023031</v>
      </c>
      <c r="C2843" s="3" t="s">
        <v>2947</v>
      </c>
      <c r="D2843" s="3" t="s">
        <v>248</v>
      </c>
      <c r="F2843" s="3" t="s">
        <v>249</v>
      </c>
      <c r="G2843" s="3" t="s">
        <v>43</v>
      </c>
      <c r="H2843" s="3" t="s">
        <v>253</v>
      </c>
      <c r="I2843" s="2">
        <v>28</v>
      </c>
      <c r="J2843" s="2">
        <v>28</v>
      </c>
      <c r="K2843" s="2">
        <v>4</v>
      </c>
      <c r="O2843" s="2">
        <v>7</v>
      </c>
      <c r="U2843" s="2">
        <v>6</v>
      </c>
      <c r="V2843" s="2">
        <v>20</v>
      </c>
      <c r="W2843" s="2">
        <v>4</v>
      </c>
      <c r="X2843" s="2">
        <v>7</v>
      </c>
      <c r="Z2843" s="2">
        <v>28</v>
      </c>
      <c r="AA2843" s="3" t="s">
        <v>40</v>
      </c>
      <c r="AB2843" s="2">
        <v>2</v>
      </c>
      <c r="AF2843" s="2">
        <v>50</v>
      </c>
      <c r="AG2843" s="2">
        <v>2</v>
      </c>
      <c r="AH2843" s="3" t="s">
        <v>2948</v>
      </c>
      <c r="AI2843" s="4">
        <v>45134</v>
      </c>
      <c r="AJ2843" s="3" t="s">
        <v>2977</v>
      </c>
      <c r="AK2843" s="3" t="s">
        <v>248</v>
      </c>
    </row>
    <row r="2844" spans="1:37" hidden="1" x14ac:dyDescent="0.25">
      <c r="A2844" t="str">
        <f t="shared" si="44"/>
        <v>2023_Qld_Warra_Chickpea_SatelliteTOS1VarietyHatTrickWaterTrtRainFed</v>
      </c>
      <c r="B2844" s="2">
        <v>2023031</v>
      </c>
      <c r="C2844" s="3" t="s">
        <v>2947</v>
      </c>
      <c r="D2844" s="3" t="s">
        <v>248</v>
      </c>
      <c r="F2844" s="3" t="s">
        <v>4178</v>
      </c>
      <c r="G2844" s="3" t="s">
        <v>39</v>
      </c>
      <c r="H2844" s="3" t="s">
        <v>253</v>
      </c>
      <c r="I2844" s="2">
        <v>29</v>
      </c>
      <c r="J2844" s="2">
        <v>29</v>
      </c>
      <c r="K2844" s="2">
        <v>4</v>
      </c>
      <c r="O2844" s="2">
        <v>8</v>
      </c>
      <c r="U2844" s="2">
        <v>3</v>
      </c>
      <c r="V2844" s="2">
        <v>23</v>
      </c>
      <c r="W2844" s="2">
        <v>1</v>
      </c>
      <c r="X2844" s="2">
        <v>8</v>
      </c>
      <c r="Z2844" s="2">
        <v>32</v>
      </c>
      <c r="AA2844" s="3" t="s">
        <v>40</v>
      </c>
      <c r="AB2844" s="2">
        <v>1</v>
      </c>
      <c r="AF2844" s="2">
        <v>50</v>
      </c>
      <c r="AG2844" s="2">
        <v>1</v>
      </c>
      <c r="AH2844" s="3" t="s">
        <v>2953</v>
      </c>
      <c r="AI2844" s="4">
        <v>45120</v>
      </c>
      <c r="AJ2844" s="3" t="s">
        <v>2978</v>
      </c>
      <c r="AK2844" s="3" t="s">
        <v>248</v>
      </c>
    </row>
    <row r="2845" spans="1:37" hidden="1" x14ac:dyDescent="0.25">
      <c r="A2845" t="str">
        <f t="shared" si="44"/>
        <v>2023_Qld_Warra_Chickpea_SatelliteTOS1VarietyCBA_CaptainWaterTrtRainFed</v>
      </c>
      <c r="B2845" s="2">
        <v>2023031</v>
      </c>
      <c r="C2845" s="3" t="s">
        <v>2947</v>
      </c>
      <c r="D2845" s="3" t="s">
        <v>248</v>
      </c>
      <c r="F2845" s="3" t="s">
        <v>249</v>
      </c>
      <c r="G2845" s="3" t="s">
        <v>43</v>
      </c>
      <c r="H2845" s="3" t="s">
        <v>253</v>
      </c>
      <c r="I2845" s="2">
        <v>30</v>
      </c>
      <c r="J2845" s="2">
        <v>30</v>
      </c>
      <c r="K2845" s="2">
        <v>4</v>
      </c>
      <c r="O2845" s="2">
        <v>8</v>
      </c>
      <c r="U2845" s="2">
        <v>4</v>
      </c>
      <c r="V2845" s="2">
        <v>23</v>
      </c>
      <c r="W2845" s="2">
        <v>2</v>
      </c>
      <c r="X2845" s="2">
        <v>8</v>
      </c>
      <c r="Z2845" s="2">
        <v>31</v>
      </c>
      <c r="AA2845" s="3" t="s">
        <v>40</v>
      </c>
      <c r="AB2845" s="2">
        <v>2</v>
      </c>
      <c r="AF2845" s="2">
        <v>50</v>
      </c>
      <c r="AG2845" s="2">
        <v>1</v>
      </c>
      <c r="AH2845" s="3" t="s">
        <v>2953</v>
      </c>
      <c r="AI2845" s="4">
        <v>45120</v>
      </c>
      <c r="AJ2845" s="3" t="s">
        <v>2979</v>
      </c>
      <c r="AK2845" s="3" t="s">
        <v>248</v>
      </c>
    </row>
    <row r="2846" spans="1:37" hidden="1" x14ac:dyDescent="0.25">
      <c r="A2846" t="str">
        <f t="shared" si="44"/>
        <v>2023_Qld_Warra_Chickpea_SatelliteTOS1VarietyDrummondWaterTrtRainFed</v>
      </c>
      <c r="B2846" s="2">
        <v>2023031</v>
      </c>
      <c r="C2846" s="3" t="s">
        <v>2947</v>
      </c>
      <c r="D2846" s="3" t="s">
        <v>248</v>
      </c>
      <c r="F2846" s="3" t="s">
        <v>4182</v>
      </c>
      <c r="G2846" s="3" t="s">
        <v>39</v>
      </c>
      <c r="H2846" s="3" t="s">
        <v>253</v>
      </c>
      <c r="I2846" s="2">
        <v>31</v>
      </c>
      <c r="J2846" s="2">
        <v>31</v>
      </c>
      <c r="K2846" s="2">
        <v>4</v>
      </c>
      <c r="O2846" s="2">
        <v>8</v>
      </c>
      <c r="U2846" s="2">
        <v>5</v>
      </c>
      <c r="V2846" s="2">
        <v>23</v>
      </c>
      <c r="W2846" s="2">
        <v>3</v>
      </c>
      <c r="X2846" s="2">
        <v>8</v>
      </c>
      <c r="Z2846" s="2">
        <v>30</v>
      </c>
      <c r="AA2846" s="3" t="s">
        <v>40</v>
      </c>
      <c r="AB2846" s="2">
        <v>4</v>
      </c>
      <c r="AF2846" s="2">
        <v>50</v>
      </c>
      <c r="AG2846" s="2">
        <v>1</v>
      </c>
      <c r="AH2846" s="3" t="s">
        <v>2953</v>
      </c>
      <c r="AI2846" s="4">
        <v>45120</v>
      </c>
      <c r="AJ2846" s="3" t="s">
        <v>2980</v>
      </c>
      <c r="AK2846" s="3" t="s">
        <v>248</v>
      </c>
    </row>
    <row r="2847" spans="1:37" hidden="1" x14ac:dyDescent="0.25">
      <c r="A2847" t="str">
        <f t="shared" si="44"/>
        <v>2023_Qld_Warra_Chickpea_SatelliteTOS1VarietyStrikerWaterTrtRainFed</v>
      </c>
      <c r="B2847" s="2">
        <v>2023031</v>
      </c>
      <c r="C2847" s="3" t="s">
        <v>2947</v>
      </c>
      <c r="D2847" s="3" t="s">
        <v>248</v>
      </c>
      <c r="F2847" s="3" t="s">
        <v>4179</v>
      </c>
      <c r="G2847" s="3" t="s">
        <v>43</v>
      </c>
      <c r="H2847" s="3" t="s">
        <v>253</v>
      </c>
      <c r="I2847" s="2">
        <v>32</v>
      </c>
      <c r="J2847" s="2">
        <v>32</v>
      </c>
      <c r="K2847" s="2">
        <v>4</v>
      </c>
      <c r="O2847" s="2">
        <v>8</v>
      </c>
      <c r="U2847" s="2">
        <v>6</v>
      </c>
      <c r="V2847" s="2">
        <v>23</v>
      </c>
      <c r="W2847" s="2">
        <v>4</v>
      </c>
      <c r="X2847" s="2">
        <v>8</v>
      </c>
      <c r="Z2847" s="2">
        <v>29</v>
      </c>
      <c r="AA2847" s="3" t="s">
        <v>40</v>
      </c>
      <c r="AB2847" s="2">
        <v>3</v>
      </c>
      <c r="AF2847" s="2">
        <v>50</v>
      </c>
      <c r="AG2847" s="2">
        <v>1</v>
      </c>
      <c r="AH2847" s="3" t="s">
        <v>2953</v>
      </c>
      <c r="AI2847" s="4">
        <v>45120</v>
      </c>
      <c r="AJ2847" s="3" t="s">
        <v>2981</v>
      </c>
      <c r="AK2847" s="3" t="s">
        <v>248</v>
      </c>
    </row>
    <row r="2848" spans="1:37" hidden="1" x14ac:dyDescent="0.25">
      <c r="A2848" t="str">
        <f t="shared" si="44"/>
        <v>2023_SA_Warnertown_Fababean_SatelliteTOS2VarietySamiraWaterTrtRainFedAgronomyDensity_1</v>
      </c>
      <c r="B2848" s="2">
        <v>2023032</v>
      </c>
      <c r="C2848" s="3" t="s">
        <v>2982</v>
      </c>
      <c r="D2848" s="3" t="s">
        <v>645</v>
      </c>
      <c r="F2848" s="3" t="s">
        <v>4183</v>
      </c>
      <c r="G2848" s="3" t="s">
        <v>43</v>
      </c>
      <c r="H2848" s="3" t="s">
        <v>253</v>
      </c>
      <c r="I2848" s="2">
        <v>1</v>
      </c>
      <c r="J2848" s="2">
        <v>1</v>
      </c>
      <c r="K2848" s="2">
        <v>1</v>
      </c>
      <c r="O2848" s="2">
        <v>1</v>
      </c>
      <c r="U2848" s="2">
        <v>1</v>
      </c>
      <c r="V2848" s="2">
        <v>2</v>
      </c>
      <c r="W2848" s="2">
        <v>1</v>
      </c>
      <c r="X2848" s="2">
        <v>1</v>
      </c>
      <c r="Z2848" s="2">
        <v>1</v>
      </c>
      <c r="AA2848" s="3" t="s">
        <v>40</v>
      </c>
      <c r="AB2848" s="2">
        <v>4</v>
      </c>
      <c r="AC2848" s="3" t="s">
        <v>1513</v>
      </c>
      <c r="AF2848" s="2">
        <v>23</v>
      </c>
      <c r="AG2848" s="2">
        <v>2</v>
      </c>
      <c r="AH2848" s="3" t="s">
        <v>2983</v>
      </c>
      <c r="AI2848" s="4">
        <v>45054</v>
      </c>
      <c r="AJ2848" s="3" t="s">
        <v>2984</v>
      </c>
      <c r="AK2848" s="3" t="s">
        <v>645</v>
      </c>
    </row>
    <row r="2849" spans="1:37" hidden="1" x14ac:dyDescent="0.25">
      <c r="A2849" t="str">
        <f t="shared" si="44"/>
        <v>2023_SA_Warnertown_Fababean_SatelliteTOS2VarietyNasmaWaterTrtRainFedAgronomyDensity_1</v>
      </c>
      <c r="B2849" s="2">
        <v>2023032</v>
      </c>
      <c r="C2849" s="3" t="s">
        <v>2982</v>
      </c>
      <c r="D2849" s="3" t="s">
        <v>645</v>
      </c>
      <c r="F2849" s="3" t="s">
        <v>4186</v>
      </c>
      <c r="G2849" s="3" t="s">
        <v>43</v>
      </c>
      <c r="H2849" s="3" t="s">
        <v>253</v>
      </c>
      <c r="I2849" s="2">
        <v>2</v>
      </c>
      <c r="J2849" s="2">
        <v>2</v>
      </c>
      <c r="K2849" s="2">
        <v>1</v>
      </c>
      <c r="O2849" s="2">
        <v>1</v>
      </c>
      <c r="U2849" s="2">
        <v>2</v>
      </c>
      <c r="V2849" s="2">
        <v>2</v>
      </c>
      <c r="W2849" s="2">
        <v>2</v>
      </c>
      <c r="X2849" s="2">
        <v>1</v>
      </c>
      <c r="Z2849" s="2">
        <v>2</v>
      </c>
      <c r="AA2849" s="3" t="s">
        <v>40</v>
      </c>
      <c r="AB2849" s="2">
        <v>3</v>
      </c>
      <c r="AC2849" s="3" t="s">
        <v>1513</v>
      </c>
      <c r="AF2849" s="2">
        <v>23</v>
      </c>
      <c r="AG2849" s="2">
        <v>2</v>
      </c>
      <c r="AH2849" s="3" t="s">
        <v>2983</v>
      </c>
      <c r="AI2849" s="4">
        <v>45054</v>
      </c>
      <c r="AJ2849" s="3" t="s">
        <v>2985</v>
      </c>
      <c r="AK2849" s="3" t="s">
        <v>645</v>
      </c>
    </row>
    <row r="2850" spans="1:37" hidden="1" x14ac:dyDescent="0.25">
      <c r="A2850" t="str">
        <f t="shared" si="44"/>
        <v>2023_SA_Warnertown_Fababean_SatelliteTOS2VarietyAmberleyWaterTrtRainFedAgronomyDensity_0.66</v>
      </c>
      <c r="B2850" s="2">
        <v>2023032</v>
      </c>
      <c r="C2850" s="3" t="s">
        <v>2982</v>
      </c>
      <c r="D2850" s="3" t="s">
        <v>645</v>
      </c>
      <c r="F2850" s="3" t="s">
        <v>4185</v>
      </c>
      <c r="G2850" s="3" t="s">
        <v>39</v>
      </c>
      <c r="H2850" s="3" t="s">
        <v>253</v>
      </c>
      <c r="I2850" s="2">
        <v>3</v>
      </c>
      <c r="J2850" s="2">
        <v>3</v>
      </c>
      <c r="K2850" s="2">
        <v>1</v>
      </c>
      <c r="O2850" s="2">
        <v>1</v>
      </c>
      <c r="U2850" s="2">
        <v>3</v>
      </c>
      <c r="V2850" s="2">
        <v>2</v>
      </c>
      <c r="W2850" s="2">
        <v>3</v>
      </c>
      <c r="X2850" s="2">
        <v>1</v>
      </c>
      <c r="Z2850" s="2">
        <v>3</v>
      </c>
      <c r="AA2850" s="3" t="s">
        <v>40</v>
      </c>
      <c r="AB2850" s="2">
        <v>5</v>
      </c>
      <c r="AC2850" s="3" t="s">
        <v>1511</v>
      </c>
      <c r="AF2850" s="2">
        <v>23</v>
      </c>
      <c r="AG2850" s="2">
        <v>2</v>
      </c>
      <c r="AH2850" s="3" t="s">
        <v>2983</v>
      </c>
      <c r="AI2850" s="4">
        <v>45054</v>
      </c>
      <c r="AJ2850" s="3" t="s">
        <v>2986</v>
      </c>
      <c r="AK2850" s="3" t="s">
        <v>645</v>
      </c>
    </row>
    <row r="2851" spans="1:37" hidden="1" x14ac:dyDescent="0.25">
      <c r="A2851" t="str">
        <f t="shared" si="44"/>
        <v>2023_SA_Warnertown_Fababean_SatelliteTOS2VarietyMarneWaterTrtRainFedAgronomyDensity_0.66</v>
      </c>
      <c r="B2851" s="2">
        <v>2023032</v>
      </c>
      <c r="C2851" s="3" t="s">
        <v>2982</v>
      </c>
      <c r="D2851" s="3" t="s">
        <v>645</v>
      </c>
      <c r="F2851" s="3" t="s">
        <v>4184</v>
      </c>
      <c r="G2851" s="3" t="s">
        <v>39</v>
      </c>
      <c r="H2851" s="3" t="s">
        <v>253</v>
      </c>
      <c r="I2851" s="2">
        <v>4</v>
      </c>
      <c r="J2851" s="2">
        <v>4</v>
      </c>
      <c r="K2851" s="2">
        <v>1</v>
      </c>
      <c r="O2851" s="2">
        <v>1</v>
      </c>
      <c r="U2851" s="2">
        <v>1</v>
      </c>
      <c r="V2851" s="2">
        <v>3</v>
      </c>
      <c r="W2851" s="2">
        <v>1</v>
      </c>
      <c r="X2851" s="2">
        <v>2</v>
      </c>
      <c r="Z2851" s="2">
        <v>6</v>
      </c>
      <c r="AA2851" s="3" t="s">
        <v>40</v>
      </c>
      <c r="AB2851" s="2">
        <v>6</v>
      </c>
      <c r="AC2851" s="3" t="s">
        <v>1511</v>
      </c>
      <c r="AF2851" s="2">
        <v>23</v>
      </c>
      <c r="AG2851" s="2">
        <v>2</v>
      </c>
      <c r="AH2851" s="3" t="s">
        <v>2983</v>
      </c>
      <c r="AI2851" s="4">
        <v>45054</v>
      </c>
      <c r="AJ2851" s="3" t="s">
        <v>2987</v>
      </c>
      <c r="AK2851" s="3" t="s">
        <v>645</v>
      </c>
    </row>
    <row r="2852" spans="1:37" hidden="1" x14ac:dyDescent="0.25">
      <c r="A2852" t="str">
        <f t="shared" si="44"/>
        <v>2023_SA_Warnertown_Fababean_SatelliteTOS2VarietyMarneWaterTrtRainFedAgronomyDensity_1</v>
      </c>
      <c r="B2852" s="2">
        <v>2023032</v>
      </c>
      <c r="C2852" s="3" t="s">
        <v>2982</v>
      </c>
      <c r="D2852" s="3" t="s">
        <v>645</v>
      </c>
      <c r="F2852" s="3" t="s">
        <v>4184</v>
      </c>
      <c r="G2852" s="3" t="s">
        <v>39</v>
      </c>
      <c r="H2852" s="3" t="s">
        <v>253</v>
      </c>
      <c r="I2852" s="2">
        <v>5</v>
      </c>
      <c r="J2852" s="2">
        <v>5</v>
      </c>
      <c r="K2852" s="2">
        <v>1</v>
      </c>
      <c r="O2852" s="2">
        <v>1</v>
      </c>
      <c r="U2852" s="2">
        <v>2</v>
      </c>
      <c r="V2852" s="2">
        <v>3</v>
      </c>
      <c r="W2852" s="2">
        <v>2</v>
      </c>
      <c r="X2852" s="2">
        <v>2</v>
      </c>
      <c r="Z2852" s="2">
        <v>5</v>
      </c>
      <c r="AA2852" s="3" t="s">
        <v>40</v>
      </c>
      <c r="AB2852" s="2">
        <v>2</v>
      </c>
      <c r="AC2852" s="3" t="s">
        <v>1513</v>
      </c>
      <c r="AF2852" s="2">
        <v>23</v>
      </c>
      <c r="AG2852" s="2">
        <v>2</v>
      </c>
      <c r="AH2852" s="3" t="s">
        <v>2983</v>
      </c>
      <c r="AI2852" s="4">
        <v>45054</v>
      </c>
      <c r="AJ2852" s="3" t="s">
        <v>2988</v>
      </c>
      <c r="AK2852" s="3" t="s">
        <v>645</v>
      </c>
    </row>
    <row r="2853" spans="1:37" hidden="1" x14ac:dyDescent="0.25">
      <c r="A2853" t="str">
        <f t="shared" si="44"/>
        <v>2023_SA_Warnertown_Fababean_SatelliteTOS2VarietyAmberleyWaterTrtRainFedAgronomyDensity_1</v>
      </c>
      <c r="B2853" s="2">
        <v>2023032</v>
      </c>
      <c r="C2853" s="3" t="s">
        <v>2982</v>
      </c>
      <c r="D2853" s="3" t="s">
        <v>645</v>
      </c>
      <c r="F2853" s="3" t="s">
        <v>4185</v>
      </c>
      <c r="G2853" s="3" t="s">
        <v>39</v>
      </c>
      <c r="H2853" s="3" t="s">
        <v>253</v>
      </c>
      <c r="I2853" s="2">
        <v>6</v>
      </c>
      <c r="J2853" s="2">
        <v>6</v>
      </c>
      <c r="K2853" s="2">
        <v>1</v>
      </c>
      <c r="O2853" s="2">
        <v>1</v>
      </c>
      <c r="U2853" s="2">
        <v>3</v>
      </c>
      <c r="V2853" s="2">
        <v>3</v>
      </c>
      <c r="W2853" s="2">
        <v>3</v>
      </c>
      <c r="X2853" s="2">
        <v>2</v>
      </c>
      <c r="Z2853" s="2">
        <v>4</v>
      </c>
      <c r="AA2853" s="3" t="s">
        <v>40</v>
      </c>
      <c r="AB2853" s="2">
        <v>1</v>
      </c>
      <c r="AC2853" s="3" t="s">
        <v>1513</v>
      </c>
      <c r="AF2853" s="2">
        <v>23</v>
      </c>
      <c r="AG2853" s="2">
        <v>2</v>
      </c>
      <c r="AH2853" s="3" t="s">
        <v>2983</v>
      </c>
      <c r="AI2853" s="4">
        <v>45054</v>
      </c>
      <c r="AJ2853" s="3" t="s">
        <v>2989</v>
      </c>
      <c r="AK2853" s="3" t="s">
        <v>645</v>
      </c>
    </row>
    <row r="2854" spans="1:37" hidden="1" x14ac:dyDescent="0.25">
      <c r="A2854" t="str">
        <f t="shared" si="44"/>
        <v>2023_SA_Warnertown_Fababean_SatelliteTOS1VarietyMarneWaterTrtRainFedAgronomyDensity_1</v>
      </c>
      <c r="B2854" s="2">
        <v>2023032</v>
      </c>
      <c r="C2854" s="3" t="s">
        <v>2982</v>
      </c>
      <c r="D2854" s="3" t="s">
        <v>645</v>
      </c>
      <c r="F2854" s="3" t="s">
        <v>4184</v>
      </c>
      <c r="G2854" s="3" t="s">
        <v>39</v>
      </c>
      <c r="H2854" s="3" t="s">
        <v>253</v>
      </c>
      <c r="I2854" s="2">
        <v>7</v>
      </c>
      <c r="J2854" s="2">
        <v>7</v>
      </c>
      <c r="K2854" s="2">
        <v>1</v>
      </c>
      <c r="O2854" s="2">
        <v>2</v>
      </c>
      <c r="U2854" s="2">
        <v>1</v>
      </c>
      <c r="V2854" s="2">
        <v>5</v>
      </c>
      <c r="W2854" s="2">
        <v>1</v>
      </c>
      <c r="X2854" s="2">
        <v>3</v>
      </c>
      <c r="Z2854" s="2">
        <v>7</v>
      </c>
      <c r="AA2854" s="3" t="s">
        <v>40</v>
      </c>
      <c r="AB2854" s="2">
        <v>2</v>
      </c>
      <c r="AC2854" s="3" t="s">
        <v>1513</v>
      </c>
      <c r="AF2854" s="2">
        <v>23</v>
      </c>
      <c r="AG2854" s="2">
        <v>1</v>
      </c>
      <c r="AH2854" s="3" t="s">
        <v>2990</v>
      </c>
      <c r="AI2854" s="4">
        <v>45029</v>
      </c>
      <c r="AJ2854" s="3" t="s">
        <v>2991</v>
      </c>
      <c r="AK2854" s="3" t="s">
        <v>645</v>
      </c>
    </row>
    <row r="2855" spans="1:37" hidden="1" x14ac:dyDescent="0.25">
      <c r="A2855" t="str">
        <f t="shared" si="44"/>
        <v>2023_SA_Warnertown_Fababean_SatelliteTOS1VarietyMarneWaterTrtRainFedAgronomyDensity_0.66</v>
      </c>
      <c r="B2855" s="2">
        <v>2023032</v>
      </c>
      <c r="C2855" s="3" t="s">
        <v>2982</v>
      </c>
      <c r="D2855" s="3" t="s">
        <v>645</v>
      </c>
      <c r="F2855" s="3" t="s">
        <v>4184</v>
      </c>
      <c r="G2855" s="3" t="s">
        <v>39</v>
      </c>
      <c r="H2855" s="3" t="s">
        <v>253</v>
      </c>
      <c r="I2855" s="2">
        <v>8</v>
      </c>
      <c r="J2855" s="2">
        <v>8</v>
      </c>
      <c r="K2855" s="2">
        <v>1</v>
      </c>
      <c r="O2855" s="2">
        <v>2</v>
      </c>
      <c r="U2855" s="2">
        <v>2</v>
      </c>
      <c r="V2855" s="2">
        <v>5</v>
      </c>
      <c r="W2855" s="2">
        <v>2</v>
      </c>
      <c r="X2855" s="2">
        <v>3</v>
      </c>
      <c r="Z2855" s="2">
        <v>8</v>
      </c>
      <c r="AA2855" s="3" t="s">
        <v>40</v>
      </c>
      <c r="AB2855" s="2">
        <v>6</v>
      </c>
      <c r="AC2855" s="3" t="s">
        <v>1511</v>
      </c>
      <c r="AF2855" s="2">
        <v>23</v>
      </c>
      <c r="AG2855" s="2">
        <v>1</v>
      </c>
      <c r="AH2855" s="3" t="s">
        <v>2990</v>
      </c>
      <c r="AI2855" s="4">
        <v>45029</v>
      </c>
      <c r="AJ2855" s="3" t="s">
        <v>2992</v>
      </c>
      <c r="AK2855" s="3" t="s">
        <v>645</v>
      </c>
    </row>
    <row r="2856" spans="1:37" hidden="1" x14ac:dyDescent="0.25">
      <c r="A2856" t="str">
        <f t="shared" si="44"/>
        <v>2023_SA_Warnertown_Fababean_SatelliteTOS1VarietyNasmaWaterTrtRainFedAgronomyDensity_1</v>
      </c>
      <c r="B2856" s="2">
        <v>2023032</v>
      </c>
      <c r="C2856" s="3" t="s">
        <v>2982</v>
      </c>
      <c r="D2856" s="3" t="s">
        <v>645</v>
      </c>
      <c r="F2856" s="3" t="s">
        <v>4186</v>
      </c>
      <c r="G2856" s="3" t="s">
        <v>43</v>
      </c>
      <c r="H2856" s="3" t="s">
        <v>253</v>
      </c>
      <c r="I2856" s="2">
        <v>9</v>
      </c>
      <c r="J2856" s="2">
        <v>9</v>
      </c>
      <c r="K2856" s="2">
        <v>1</v>
      </c>
      <c r="O2856" s="2">
        <v>2</v>
      </c>
      <c r="U2856" s="2">
        <v>3</v>
      </c>
      <c r="V2856" s="2">
        <v>5</v>
      </c>
      <c r="W2856" s="2">
        <v>3</v>
      </c>
      <c r="X2856" s="2">
        <v>3</v>
      </c>
      <c r="Z2856" s="2">
        <v>9</v>
      </c>
      <c r="AA2856" s="3" t="s">
        <v>40</v>
      </c>
      <c r="AB2856" s="2">
        <v>3</v>
      </c>
      <c r="AC2856" s="3" t="s">
        <v>1513</v>
      </c>
      <c r="AF2856" s="2">
        <v>23</v>
      </c>
      <c r="AG2856" s="2">
        <v>1</v>
      </c>
      <c r="AH2856" s="3" t="s">
        <v>2990</v>
      </c>
      <c r="AI2856" s="4">
        <v>45029</v>
      </c>
      <c r="AJ2856" s="3" t="s">
        <v>2993</v>
      </c>
      <c r="AK2856" s="3" t="s">
        <v>645</v>
      </c>
    </row>
    <row r="2857" spans="1:37" hidden="1" x14ac:dyDescent="0.25">
      <c r="A2857" t="str">
        <f t="shared" si="44"/>
        <v>2023_SA_Warnertown_Fababean_SatelliteTOS1VarietyAmberleyWaterTrtRainFedAgronomyDensity_0.66</v>
      </c>
      <c r="B2857" s="2">
        <v>2023032</v>
      </c>
      <c r="C2857" s="3" t="s">
        <v>2982</v>
      </c>
      <c r="D2857" s="3" t="s">
        <v>645</v>
      </c>
      <c r="F2857" s="3" t="s">
        <v>4185</v>
      </c>
      <c r="G2857" s="3" t="s">
        <v>39</v>
      </c>
      <c r="H2857" s="3" t="s">
        <v>253</v>
      </c>
      <c r="I2857" s="2">
        <v>10</v>
      </c>
      <c r="J2857" s="2">
        <v>10</v>
      </c>
      <c r="K2857" s="2">
        <v>1</v>
      </c>
      <c r="O2857" s="2">
        <v>2</v>
      </c>
      <c r="U2857" s="2">
        <v>1</v>
      </c>
      <c r="V2857" s="2">
        <v>6</v>
      </c>
      <c r="W2857" s="2">
        <v>1</v>
      </c>
      <c r="X2857" s="2">
        <v>4</v>
      </c>
      <c r="Z2857" s="2">
        <v>12</v>
      </c>
      <c r="AA2857" s="3" t="s">
        <v>40</v>
      </c>
      <c r="AB2857" s="2">
        <v>5</v>
      </c>
      <c r="AC2857" s="3" t="s">
        <v>1511</v>
      </c>
      <c r="AF2857" s="2">
        <v>23</v>
      </c>
      <c r="AG2857" s="2">
        <v>1</v>
      </c>
      <c r="AH2857" s="3" t="s">
        <v>2990</v>
      </c>
      <c r="AI2857" s="4">
        <v>45029</v>
      </c>
      <c r="AJ2857" s="3" t="s">
        <v>2994</v>
      </c>
      <c r="AK2857" s="3" t="s">
        <v>645</v>
      </c>
    </row>
    <row r="2858" spans="1:37" hidden="1" x14ac:dyDescent="0.25">
      <c r="A2858" t="str">
        <f t="shared" si="44"/>
        <v>2023_SA_Warnertown_Fababean_SatelliteTOS1VarietyAmberleyWaterTrtRainFedAgronomyDensity_1</v>
      </c>
      <c r="B2858" s="2">
        <v>2023032</v>
      </c>
      <c r="C2858" s="3" t="s">
        <v>2982</v>
      </c>
      <c r="D2858" s="3" t="s">
        <v>645</v>
      </c>
      <c r="F2858" s="3" t="s">
        <v>4185</v>
      </c>
      <c r="G2858" s="3" t="s">
        <v>39</v>
      </c>
      <c r="H2858" s="3" t="s">
        <v>253</v>
      </c>
      <c r="I2858" s="2">
        <v>11</v>
      </c>
      <c r="J2858" s="2">
        <v>11</v>
      </c>
      <c r="K2858" s="2">
        <v>1</v>
      </c>
      <c r="O2858" s="2">
        <v>2</v>
      </c>
      <c r="U2858" s="2">
        <v>2</v>
      </c>
      <c r="V2858" s="2">
        <v>6</v>
      </c>
      <c r="W2858" s="2">
        <v>2</v>
      </c>
      <c r="X2858" s="2">
        <v>4</v>
      </c>
      <c r="Z2858" s="2">
        <v>11</v>
      </c>
      <c r="AA2858" s="3" t="s">
        <v>40</v>
      </c>
      <c r="AB2858" s="2">
        <v>1</v>
      </c>
      <c r="AC2858" s="3" t="s">
        <v>1513</v>
      </c>
      <c r="AF2858" s="2">
        <v>23</v>
      </c>
      <c r="AG2858" s="2">
        <v>1</v>
      </c>
      <c r="AH2858" s="3" t="s">
        <v>2990</v>
      </c>
      <c r="AI2858" s="4">
        <v>45029</v>
      </c>
      <c r="AJ2858" s="3" t="s">
        <v>2995</v>
      </c>
      <c r="AK2858" s="3" t="s">
        <v>645</v>
      </c>
    </row>
    <row r="2859" spans="1:37" hidden="1" x14ac:dyDescent="0.25">
      <c r="A2859" t="str">
        <f t="shared" si="44"/>
        <v>2023_SA_Warnertown_Fababean_SatelliteTOS1VarietySamiraWaterTrtRainFedAgronomyDensity_1</v>
      </c>
      <c r="B2859" s="2">
        <v>2023032</v>
      </c>
      <c r="C2859" s="3" t="s">
        <v>2982</v>
      </c>
      <c r="D2859" s="3" t="s">
        <v>645</v>
      </c>
      <c r="F2859" s="3" t="s">
        <v>4183</v>
      </c>
      <c r="G2859" s="3" t="s">
        <v>43</v>
      </c>
      <c r="H2859" s="3" t="s">
        <v>253</v>
      </c>
      <c r="I2859" s="2">
        <v>12</v>
      </c>
      <c r="J2859" s="2">
        <v>12</v>
      </c>
      <c r="K2859" s="2">
        <v>1</v>
      </c>
      <c r="O2859" s="2">
        <v>2</v>
      </c>
      <c r="U2859" s="2">
        <v>3</v>
      </c>
      <c r="V2859" s="2">
        <v>6</v>
      </c>
      <c r="W2859" s="2">
        <v>3</v>
      </c>
      <c r="X2859" s="2">
        <v>4</v>
      </c>
      <c r="Z2859" s="2">
        <v>10</v>
      </c>
      <c r="AA2859" s="3" t="s">
        <v>40</v>
      </c>
      <c r="AB2859" s="2">
        <v>4</v>
      </c>
      <c r="AC2859" s="3" t="s">
        <v>1513</v>
      </c>
      <c r="AF2859" s="2">
        <v>23</v>
      </c>
      <c r="AG2859" s="2">
        <v>1</v>
      </c>
      <c r="AH2859" s="3" t="s">
        <v>2990</v>
      </c>
      <c r="AI2859" s="4">
        <v>45029</v>
      </c>
      <c r="AJ2859" s="3" t="s">
        <v>2996</v>
      </c>
      <c r="AK2859" s="3" t="s">
        <v>645</v>
      </c>
    </row>
    <row r="2860" spans="1:37" hidden="1" x14ac:dyDescent="0.25">
      <c r="A2860" t="str">
        <f t="shared" si="44"/>
        <v>2023_SA_Warnertown_Fababean_SatelliteTOS1VarietyAmberleyWaterTrtRainFedAgronomyDensity_1</v>
      </c>
      <c r="B2860" s="2">
        <v>2023032</v>
      </c>
      <c r="C2860" s="3" t="s">
        <v>2982</v>
      </c>
      <c r="D2860" s="3" t="s">
        <v>645</v>
      </c>
      <c r="F2860" s="3" t="s">
        <v>4185</v>
      </c>
      <c r="G2860" s="3" t="s">
        <v>39</v>
      </c>
      <c r="H2860" s="3" t="s">
        <v>253</v>
      </c>
      <c r="I2860" s="2">
        <v>13</v>
      </c>
      <c r="J2860" s="2">
        <v>13</v>
      </c>
      <c r="K2860" s="2">
        <v>2</v>
      </c>
      <c r="O2860" s="2">
        <v>3</v>
      </c>
      <c r="U2860" s="2">
        <v>1</v>
      </c>
      <c r="V2860" s="2">
        <v>8</v>
      </c>
      <c r="W2860" s="2">
        <v>1</v>
      </c>
      <c r="X2860" s="2">
        <v>5</v>
      </c>
      <c r="Z2860" s="2">
        <v>13</v>
      </c>
      <c r="AA2860" s="3" t="s">
        <v>40</v>
      </c>
      <c r="AB2860" s="2">
        <v>1</v>
      </c>
      <c r="AC2860" s="3" t="s">
        <v>1513</v>
      </c>
      <c r="AF2860" s="2">
        <v>23</v>
      </c>
      <c r="AG2860" s="2">
        <v>1</v>
      </c>
      <c r="AH2860" s="3" t="s">
        <v>2990</v>
      </c>
      <c r="AI2860" s="4">
        <v>45029</v>
      </c>
      <c r="AJ2860" s="3" t="s">
        <v>2997</v>
      </c>
      <c r="AK2860" s="3" t="s">
        <v>645</v>
      </c>
    </row>
    <row r="2861" spans="1:37" hidden="1" x14ac:dyDescent="0.25">
      <c r="A2861" t="str">
        <f t="shared" si="44"/>
        <v>2023_SA_Warnertown_Fababean_SatelliteTOS1VarietyMarneWaterTrtRainFedAgronomyDensity_0.66</v>
      </c>
      <c r="B2861" s="2">
        <v>2023032</v>
      </c>
      <c r="C2861" s="3" t="s">
        <v>2982</v>
      </c>
      <c r="D2861" s="3" t="s">
        <v>645</v>
      </c>
      <c r="F2861" s="3" t="s">
        <v>4184</v>
      </c>
      <c r="G2861" s="3" t="s">
        <v>39</v>
      </c>
      <c r="H2861" s="3" t="s">
        <v>253</v>
      </c>
      <c r="I2861" s="2">
        <v>14</v>
      </c>
      <c r="J2861" s="2">
        <v>14</v>
      </c>
      <c r="K2861" s="2">
        <v>2</v>
      </c>
      <c r="O2861" s="2">
        <v>3</v>
      </c>
      <c r="U2861" s="2">
        <v>2</v>
      </c>
      <c r="V2861" s="2">
        <v>8</v>
      </c>
      <c r="W2861" s="2">
        <v>2</v>
      </c>
      <c r="X2861" s="2">
        <v>5</v>
      </c>
      <c r="Z2861" s="2">
        <v>14</v>
      </c>
      <c r="AA2861" s="3" t="s">
        <v>40</v>
      </c>
      <c r="AB2861" s="2">
        <v>6</v>
      </c>
      <c r="AC2861" s="3" t="s">
        <v>1511</v>
      </c>
      <c r="AF2861" s="2">
        <v>23</v>
      </c>
      <c r="AG2861" s="2">
        <v>1</v>
      </c>
      <c r="AH2861" s="3" t="s">
        <v>2990</v>
      </c>
      <c r="AI2861" s="4">
        <v>45029</v>
      </c>
      <c r="AJ2861" s="3" t="s">
        <v>2998</v>
      </c>
      <c r="AK2861" s="3" t="s">
        <v>645</v>
      </c>
    </row>
    <row r="2862" spans="1:37" hidden="1" x14ac:dyDescent="0.25">
      <c r="A2862" t="str">
        <f t="shared" si="44"/>
        <v>2023_SA_Warnertown_Fababean_SatelliteTOS1VarietyAmberleyWaterTrtRainFedAgronomyDensity_0.66</v>
      </c>
      <c r="B2862" s="2">
        <v>2023032</v>
      </c>
      <c r="C2862" s="3" t="s">
        <v>2982</v>
      </c>
      <c r="D2862" s="3" t="s">
        <v>645</v>
      </c>
      <c r="F2862" s="3" t="s">
        <v>4185</v>
      </c>
      <c r="G2862" s="3" t="s">
        <v>39</v>
      </c>
      <c r="H2862" s="3" t="s">
        <v>253</v>
      </c>
      <c r="I2862" s="2">
        <v>15</v>
      </c>
      <c r="J2862" s="2">
        <v>15</v>
      </c>
      <c r="K2862" s="2">
        <v>2</v>
      </c>
      <c r="O2862" s="2">
        <v>3</v>
      </c>
      <c r="U2862" s="2">
        <v>3</v>
      </c>
      <c r="V2862" s="2">
        <v>8</v>
      </c>
      <c r="W2862" s="2">
        <v>3</v>
      </c>
      <c r="X2862" s="2">
        <v>5</v>
      </c>
      <c r="Z2862" s="2">
        <v>15</v>
      </c>
      <c r="AA2862" s="3" t="s">
        <v>40</v>
      </c>
      <c r="AB2862" s="2">
        <v>5</v>
      </c>
      <c r="AC2862" s="3" t="s">
        <v>1511</v>
      </c>
      <c r="AF2862" s="2">
        <v>23</v>
      </c>
      <c r="AG2862" s="2">
        <v>1</v>
      </c>
      <c r="AH2862" s="3" t="s">
        <v>2990</v>
      </c>
      <c r="AI2862" s="4">
        <v>45029</v>
      </c>
      <c r="AJ2862" s="3" t="s">
        <v>2999</v>
      </c>
      <c r="AK2862" s="3" t="s">
        <v>645</v>
      </c>
    </row>
    <row r="2863" spans="1:37" hidden="1" x14ac:dyDescent="0.25">
      <c r="A2863" t="str">
        <f t="shared" si="44"/>
        <v>2023_SA_Warnertown_Fababean_SatelliteTOS1VarietyNasmaWaterTrtRainFedAgronomyDensity_1</v>
      </c>
      <c r="B2863" s="2">
        <v>2023032</v>
      </c>
      <c r="C2863" s="3" t="s">
        <v>2982</v>
      </c>
      <c r="D2863" s="3" t="s">
        <v>645</v>
      </c>
      <c r="F2863" s="3" t="s">
        <v>4186</v>
      </c>
      <c r="G2863" s="3" t="s">
        <v>43</v>
      </c>
      <c r="H2863" s="3" t="s">
        <v>253</v>
      </c>
      <c r="I2863" s="2">
        <v>16</v>
      </c>
      <c r="J2863" s="2">
        <v>16</v>
      </c>
      <c r="K2863" s="2">
        <v>2</v>
      </c>
      <c r="O2863" s="2">
        <v>3</v>
      </c>
      <c r="U2863" s="2">
        <v>1</v>
      </c>
      <c r="V2863" s="2">
        <v>9</v>
      </c>
      <c r="W2863" s="2">
        <v>1</v>
      </c>
      <c r="X2863" s="2">
        <v>6</v>
      </c>
      <c r="Z2863" s="2">
        <v>18</v>
      </c>
      <c r="AA2863" s="3" t="s">
        <v>40</v>
      </c>
      <c r="AB2863" s="2">
        <v>3</v>
      </c>
      <c r="AC2863" s="3" t="s">
        <v>1513</v>
      </c>
      <c r="AF2863" s="2">
        <v>23</v>
      </c>
      <c r="AG2863" s="2">
        <v>1</v>
      </c>
      <c r="AH2863" s="3" t="s">
        <v>2990</v>
      </c>
      <c r="AI2863" s="4">
        <v>45029</v>
      </c>
      <c r="AJ2863" s="3" t="s">
        <v>3000</v>
      </c>
      <c r="AK2863" s="3" t="s">
        <v>645</v>
      </c>
    </row>
    <row r="2864" spans="1:37" hidden="1" x14ac:dyDescent="0.25">
      <c r="A2864" t="str">
        <f t="shared" si="44"/>
        <v>2023_SA_Warnertown_Fababean_SatelliteTOS1VarietyMarneWaterTrtRainFedAgronomyDensity_1</v>
      </c>
      <c r="B2864" s="2">
        <v>2023032</v>
      </c>
      <c r="C2864" s="3" t="s">
        <v>2982</v>
      </c>
      <c r="D2864" s="3" t="s">
        <v>645</v>
      </c>
      <c r="F2864" s="3" t="s">
        <v>4184</v>
      </c>
      <c r="G2864" s="3" t="s">
        <v>39</v>
      </c>
      <c r="H2864" s="3" t="s">
        <v>253</v>
      </c>
      <c r="I2864" s="2">
        <v>17</v>
      </c>
      <c r="J2864" s="2">
        <v>17</v>
      </c>
      <c r="K2864" s="2">
        <v>2</v>
      </c>
      <c r="O2864" s="2">
        <v>3</v>
      </c>
      <c r="U2864" s="2">
        <v>2</v>
      </c>
      <c r="V2864" s="2">
        <v>9</v>
      </c>
      <c r="W2864" s="2">
        <v>2</v>
      </c>
      <c r="X2864" s="2">
        <v>6</v>
      </c>
      <c r="Z2864" s="2">
        <v>17</v>
      </c>
      <c r="AA2864" s="3" t="s">
        <v>40</v>
      </c>
      <c r="AB2864" s="2">
        <v>2</v>
      </c>
      <c r="AC2864" s="3" t="s">
        <v>1513</v>
      </c>
      <c r="AF2864" s="2">
        <v>23</v>
      </c>
      <c r="AG2864" s="2">
        <v>1</v>
      </c>
      <c r="AH2864" s="3" t="s">
        <v>2990</v>
      </c>
      <c r="AI2864" s="4">
        <v>45029</v>
      </c>
      <c r="AJ2864" s="3" t="s">
        <v>3001</v>
      </c>
      <c r="AK2864" s="3" t="s">
        <v>645</v>
      </c>
    </row>
    <row r="2865" spans="1:37" hidden="1" x14ac:dyDescent="0.25">
      <c r="A2865" t="str">
        <f t="shared" si="44"/>
        <v>2023_SA_Warnertown_Fababean_SatelliteTOS1VarietySamiraWaterTrtRainFedAgronomyDensity_1</v>
      </c>
      <c r="B2865" s="2">
        <v>2023032</v>
      </c>
      <c r="C2865" s="3" t="s">
        <v>2982</v>
      </c>
      <c r="D2865" s="3" t="s">
        <v>645</v>
      </c>
      <c r="F2865" s="3" t="s">
        <v>4183</v>
      </c>
      <c r="G2865" s="3" t="s">
        <v>43</v>
      </c>
      <c r="H2865" s="3" t="s">
        <v>253</v>
      </c>
      <c r="I2865" s="2">
        <v>18</v>
      </c>
      <c r="J2865" s="2">
        <v>18</v>
      </c>
      <c r="K2865" s="2">
        <v>2</v>
      </c>
      <c r="O2865" s="2">
        <v>3</v>
      </c>
      <c r="U2865" s="2">
        <v>3</v>
      </c>
      <c r="V2865" s="2">
        <v>9</v>
      </c>
      <c r="W2865" s="2">
        <v>3</v>
      </c>
      <c r="X2865" s="2">
        <v>6</v>
      </c>
      <c r="Z2865" s="2">
        <v>16</v>
      </c>
      <c r="AA2865" s="3" t="s">
        <v>40</v>
      </c>
      <c r="AB2865" s="2">
        <v>4</v>
      </c>
      <c r="AC2865" s="3" t="s">
        <v>1513</v>
      </c>
      <c r="AF2865" s="2">
        <v>23</v>
      </c>
      <c r="AG2865" s="2">
        <v>1</v>
      </c>
      <c r="AH2865" s="3" t="s">
        <v>2990</v>
      </c>
      <c r="AI2865" s="4">
        <v>45029</v>
      </c>
      <c r="AJ2865" s="3" t="s">
        <v>3002</v>
      </c>
      <c r="AK2865" s="3" t="s">
        <v>645</v>
      </c>
    </row>
    <row r="2866" spans="1:37" hidden="1" x14ac:dyDescent="0.25">
      <c r="A2866" t="str">
        <f t="shared" si="44"/>
        <v>2023_SA_Warnertown_Fababean_SatelliteTOS2VarietyMarneWaterTrtRainFedAgronomyDensity_0.66</v>
      </c>
      <c r="B2866" s="2">
        <v>2023032</v>
      </c>
      <c r="C2866" s="3" t="s">
        <v>2982</v>
      </c>
      <c r="D2866" s="3" t="s">
        <v>645</v>
      </c>
      <c r="F2866" s="3" t="s">
        <v>4184</v>
      </c>
      <c r="G2866" s="3" t="s">
        <v>39</v>
      </c>
      <c r="H2866" s="3" t="s">
        <v>253</v>
      </c>
      <c r="I2866" s="2">
        <v>19</v>
      </c>
      <c r="J2866" s="2">
        <v>19</v>
      </c>
      <c r="K2866" s="2">
        <v>2</v>
      </c>
      <c r="O2866" s="2">
        <v>4</v>
      </c>
      <c r="U2866" s="2">
        <v>1</v>
      </c>
      <c r="V2866" s="2">
        <v>11</v>
      </c>
      <c r="W2866" s="2">
        <v>1</v>
      </c>
      <c r="X2866" s="2">
        <v>7</v>
      </c>
      <c r="Z2866" s="2">
        <v>19</v>
      </c>
      <c r="AA2866" s="3" t="s">
        <v>40</v>
      </c>
      <c r="AB2866" s="2">
        <v>6</v>
      </c>
      <c r="AC2866" s="3" t="s">
        <v>1511</v>
      </c>
      <c r="AF2866" s="2">
        <v>23</v>
      </c>
      <c r="AG2866" s="2">
        <v>2</v>
      </c>
      <c r="AH2866" s="3" t="s">
        <v>2983</v>
      </c>
      <c r="AI2866" s="4">
        <v>45054</v>
      </c>
      <c r="AJ2866" s="3" t="s">
        <v>3003</v>
      </c>
      <c r="AK2866" s="3" t="s">
        <v>645</v>
      </c>
    </row>
    <row r="2867" spans="1:37" hidden="1" x14ac:dyDescent="0.25">
      <c r="A2867" t="str">
        <f t="shared" si="44"/>
        <v>2023_SA_Warnertown_Fababean_SatelliteTOS2VarietyAmberleyWaterTrtRainFedAgronomyDensity_0.66</v>
      </c>
      <c r="B2867" s="2">
        <v>2023032</v>
      </c>
      <c r="C2867" s="3" t="s">
        <v>2982</v>
      </c>
      <c r="D2867" s="3" t="s">
        <v>645</v>
      </c>
      <c r="F2867" s="3" t="s">
        <v>4185</v>
      </c>
      <c r="G2867" s="3" t="s">
        <v>39</v>
      </c>
      <c r="H2867" s="3" t="s">
        <v>253</v>
      </c>
      <c r="I2867" s="2">
        <v>20</v>
      </c>
      <c r="J2867" s="2">
        <v>20</v>
      </c>
      <c r="K2867" s="2">
        <v>2</v>
      </c>
      <c r="O2867" s="2">
        <v>4</v>
      </c>
      <c r="U2867" s="2">
        <v>2</v>
      </c>
      <c r="V2867" s="2">
        <v>11</v>
      </c>
      <c r="W2867" s="2">
        <v>2</v>
      </c>
      <c r="X2867" s="2">
        <v>7</v>
      </c>
      <c r="Z2867" s="2">
        <v>20</v>
      </c>
      <c r="AA2867" s="3" t="s">
        <v>40</v>
      </c>
      <c r="AB2867" s="2">
        <v>5</v>
      </c>
      <c r="AC2867" s="3" t="s">
        <v>1511</v>
      </c>
      <c r="AF2867" s="2">
        <v>23</v>
      </c>
      <c r="AG2867" s="2">
        <v>2</v>
      </c>
      <c r="AH2867" s="3" t="s">
        <v>2983</v>
      </c>
      <c r="AI2867" s="4">
        <v>45054</v>
      </c>
      <c r="AJ2867" s="3" t="s">
        <v>3004</v>
      </c>
      <c r="AK2867" s="3" t="s">
        <v>645</v>
      </c>
    </row>
    <row r="2868" spans="1:37" hidden="1" x14ac:dyDescent="0.25">
      <c r="A2868" t="str">
        <f t="shared" si="44"/>
        <v>2023_SA_Warnertown_Fababean_SatelliteTOS2VarietyMarneWaterTrtRainFedAgronomyDensity_1</v>
      </c>
      <c r="B2868" s="2">
        <v>2023032</v>
      </c>
      <c r="C2868" s="3" t="s">
        <v>2982</v>
      </c>
      <c r="D2868" s="3" t="s">
        <v>645</v>
      </c>
      <c r="F2868" s="3" t="s">
        <v>4184</v>
      </c>
      <c r="G2868" s="3" t="s">
        <v>39</v>
      </c>
      <c r="H2868" s="3" t="s">
        <v>253</v>
      </c>
      <c r="I2868" s="2">
        <v>21</v>
      </c>
      <c r="J2868" s="2">
        <v>21</v>
      </c>
      <c r="K2868" s="2">
        <v>2</v>
      </c>
      <c r="O2868" s="2">
        <v>4</v>
      </c>
      <c r="U2868" s="2">
        <v>3</v>
      </c>
      <c r="V2868" s="2">
        <v>11</v>
      </c>
      <c r="W2868" s="2">
        <v>3</v>
      </c>
      <c r="X2868" s="2">
        <v>7</v>
      </c>
      <c r="Z2868" s="2">
        <v>21</v>
      </c>
      <c r="AA2868" s="3" t="s">
        <v>40</v>
      </c>
      <c r="AB2868" s="2">
        <v>2</v>
      </c>
      <c r="AC2868" s="3" t="s">
        <v>1513</v>
      </c>
      <c r="AF2868" s="2">
        <v>23</v>
      </c>
      <c r="AG2868" s="2">
        <v>2</v>
      </c>
      <c r="AH2868" s="3" t="s">
        <v>2983</v>
      </c>
      <c r="AI2868" s="4">
        <v>45054</v>
      </c>
      <c r="AJ2868" s="3" t="s">
        <v>3005</v>
      </c>
      <c r="AK2868" s="3" t="s">
        <v>645</v>
      </c>
    </row>
    <row r="2869" spans="1:37" hidden="1" x14ac:dyDescent="0.25">
      <c r="A2869" t="str">
        <f t="shared" si="44"/>
        <v>2023_SA_Warnertown_Fababean_SatelliteTOS2VarietyAmberleyWaterTrtRainFedAgronomyDensity_1</v>
      </c>
      <c r="B2869" s="2">
        <v>2023032</v>
      </c>
      <c r="C2869" s="3" t="s">
        <v>2982</v>
      </c>
      <c r="D2869" s="3" t="s">
        <v>645</v>
      </c>
      <c r="F2869" s="3" t="s">
        <v>4185</v>
      </c>
      <c r="G2869" s="3" t="s">
        <v>39</v>
      </c>
      <c r="H2869" s="3" t="s">
        <v>253</v>
      </c>
      <c r="I2869" s="2">
        <v>22</v>
      </c>
      <c r="J2869" s="2">
        <v>22</v>
      </c>
      <c r="K2869" s="2">
        <v>2</v>
      </c>
      <c r="O2869" s="2">
        <v>4</v>
      </c>
      <c r="U2869" s="2">
        <v>1</v>
      </c>
      <c r="V2869" s="2">
        <v>12</v>
      </c>
      <c r="W2869" s="2">
        <v>1</v>
      </c>
      <c r="X2869" s="2">
        <v>8</v>
      </c>
      <c r="Z2869" s="2">
        <v>24</v>
      </c>
      <c r="AA2869" s="3" t="s">
        <v>40</v>
      </c>
      <c r="AB2869" s="2">
        <v>1</v>
      </c>
      <c r="AC2869" s="3" t="s">
        <v>1513</v>
      </c>
      <c r="AF2869" s="2">
        <v>23</v>
      </c>
      <c r="AG2869" s="2">
        <v>2</v>
      </c>
      <c r="AH2869" s="3" t="s">
        <v>2983</v>
      </c>
      <c r="AI2869" s="4">
        <v>45054</v>
      </c>
      <c r="AJ2869" s="3" t="s">
        <v>3006</v>
      </c>
      <c r="AK2869" s="3" t="s">
        <v>645</v>
      </c>
    </row>
    <row r="2870" spans="1:37" hidden="1" x14ac:dyDescent="0.25">
      <c r="A2870" t="str">
        <f t="shared" si="44"/>
        <v>2023_SA_Warnertown_Fababean_SatelliteTOS2VarietyNasmaWaterTrtRainFedAgronomyDensity_1</v>
      </c>
      <c r="B2870" s="2">
        <v>2023032</v>
      </c>
      <c r="C2870" s="3" t="s">
        <v>2982</v>
      </c>
      <c r="D2870" s="3" t="s">
        <v>645</v>
      </c>
      <c r="F2870" s="3" t="s">
        <v>4186</v>
      </c>
      <c r="G2870" s="3" t="s">
        <v>43</v>
      </c>
      <c r="H2870" s="3" t="s">
        <v>253</v>
      </c>
      <c r="I2870" s="2">
        <v>23</v>
      </c>
      <c r="J2870" s="2">
        <v>23</v>
      </c>
      <c r="K2870" s="2">
        <v>2</v>
      </c>
      <c r="O2870" s="2">
        <v>4</v>
      </c>
      <c r="U2870" s="2">
        <v>2</v>
      </c>
      <c r="V2870" s="2">
        <v>12</v>
      </c>
      <c r="W2870" s="2">
        <v>2</v>
      </c>
      <c r="X2870" s="2">
        <v>8</v>
      </c>
      <c r="Z2870" s="2">
        <v>23</v>
      </c>
      <c r="AA2870" s="3" t="s">
        <v>40</v>
      </c>
      <c r="AB2870" s="2">
        <v>3</v>
      </c>
      <c r="AC2870" s="3" t="s">
        <v>1513</v>
      </c>
      <c r="AF2870" s="2">
        <v>23</v>
      </c>
      <c r="AG2870" s="2">
        <v>2</v>
      </c>
      <c r="AH2870" s="3" t="s">
        <v>2983</v>
      </c>
      <c r="AI2870" s="4">
        <v>45054</v>
      </c>
      <c r="AJ2870" s="3" t="s">
        <v>3007</v>
      </c>
      <c r="AK2870" s="3" t="s">
        <v>645</v>
      </c>
    </row>
    <row r="2871" spans="1:37" hidden="1" x14ac:dyDescent="0.25">
      <c r="A2871" t="str">
        <f t="shared" si="44"/>
        <v>2023_SA_Warnertown_Fababean_SatelliteTOS2VarietySamiraWaterTrtRainFedAgronomyDensity_1</v>
      </c>
      <c r="B2871" s="2">
        <v>2023032</v>
      </c>
      <c r="C2871" s="3" t="s">
        <v>2982</v>
      </c>
      <c r="D2871" s="3" t="s">
        <v>645</v>
      </c>
      <c r="F2871" s="3" t="s">
        <v>4183</v>
      </c>
      <c r="G2871" s="3" t="s">
        <v>43</v>
      </c>
      <c r="H2871" s="3" t="s">
        <v>253</v>
      </c>
      <c r="I2871" s="2">
        <v>24</v>
      </c>
      <c r="J2871" s="2">
        <v>24</v>
      </c>
      <c r="K2871" s="2">
        <v>2</v>
      </c>
      <c r="O2871" s="2">
        <v>4</v>
      </c>
      <c r="U2871" s="2">
        <v>3</v>
      </c>
      <c r="V2871" s="2">
        <v>12</v>
      </c>
      <c r="W2871" s="2">
        <v>3</v>
      </c>
      <c r="X2871" s="2">
        <v>8</v>
      </c>
      <c r="Z2871" s="2">
        <v>22</v>
      </c>
      <c r="AA2871" s="3" t="s">
        <v>40</v>
      </c>
      <c r="AB2871" s="2">
        <v>4</v>
      </c>
      <c r="AC2871" s="3" t="s">
        <v>1513</v>
      </c>
      <c r="AF2871" s="2">
        <v>23</v>
      </c>
      <c r="AG2871" s="2">
        <v>2</v>
      </c>
      <c r="AH2871" s="3" t="s">
        <v>2983</v>
      </c>
      <c r="AI2871" s="4">
        <v>45054</v>
      </c>
      <c r="AJ2871" s="3" t="s">
        <v>3008</v>
      </c>
      <c r="AK2871" s="3" t="s">
        <v>645</v>
      </c>
    </row>
    <row r="2872" spans="1:37" hidden="1" x14ac:dyDescent="0.25">
      <c r="A2872" t="str">
        <f t="shared" si="44"/>
        <v>2023_SA_Warnertown_Fababean_SatelliteTOS1VarietyAmberleyWaterTrtRainFedAgronomyDensity_0.66</v>
      </c>
      <c r="B2872" s="2">
        <v>2023032</v>
      </c>
      <c r="C2872" s="3" t="s">
        <v>2982</v>
      </c>
      <c r="D2872" s="3" t="s">
        <v>645</v>
      </c>
      <c r="F2872" s="3" t="s">
        <v>4185</v>
      </c>
      <c r="G2872" s="3" t="s">
        <v>39</v>
      </c>
      <c r="H2872" s="3" t="s">
        <v>253</v>
      </c>
      <c r="I2872" s="2">
        <v>25</v>
      </c>
      <c r="J2872" s="2">
        <v>25</v>
      </c>
      <c r="K2872" s="2">
        <v>3</v>
      </c>
      <c r="O2872" s="2">
        <v>5</v>
      </c>
      <c r="U2872" s="2">
        <v>1</v>
      </c>
      <c r="V2872" s="2">
        <v>14</v>
      </c>
      <c r="W2872" s="2">
        <v>1</v>
      </c>
      <c r="X2872" s="2">
        <v>9</v>
      </c>
      <c r="Z2872" s="2">
        <v>25</v>
      </c>
      <c r="AA2872" s="3" t="s">
        <v>40</v>
      </c>
      <c r="AB2872" s="2">
        <v>5</v>
      </c>
      <c r="AC2872" s="3" t="s">
        <v>1511</v>
      </c>
      <c r="AF2872" s="2">
        <v>23</v>
      </c>
      <c r="AG2872" s="2">
        <v>1</v>
      </c>
      <c r="AH2872" s="3" t="s">
        <v>2990</v>
      </c>
      <c r="AI2872" s="4">
        <v>45029</v>
      </c>
      <c r="AJ2872" s="3" t="s">
        <v>3009</v>
      </c>
      <c r="AK2872" s="3" t="s">
        <v>645</v>
      </c>
    </row>
    <row r="2873" spans="1:37" hidden="1" x14ac:dyDescent="0.25">
      <c r="A2873" t="str">
        <f t="shared" si="44"/>
        <v>2023_SA_Warnertown_Fababean_SatelliteTOS1VarietySamiraWaterTrtRainFedAgronomyDensity_1</v>
      </c>
      <c r="B2873" s="2">
        <v>2023032</v>
      </c>
      <c r="C2873" s="3" t="s">
        <v>2982</v>
      </c>
      <c r="D2873" s="3" t="s">
        <v>645</v>
      </c>
      <c r="F2873" s="3" t="s">
        <v>4183</v>
      </c>
      <c r="G2873" s="3" t="s">
        <v>43</v>
      </c>
      <c r="H2873" s="3" t="s">
        <v>253</v>
      </c>
      <c r="I2873" s="2">
        <v>26</v>
      </c>
      <c r="J2873" s="2">
        <v>26</v>
      </c>
      <c r="K2873" s="2">
        <v>3</v>
      </c>
      <c r="O2873" s="2">
        <v>5</v>
      </c>
      <c r="U2873" s="2">
        <v>2</v>
      </c>
      <c r="V2873" s="2">
        <v>14</v>
      </c>
      <c r="W2873" s="2">
        <v>2</v>
      </c>
      <c r="X2873" s="2">
        <v>9</v>
      </c>
      <c r="Z2873" s="2">
        <v>26</v>
      </c>
      <c r="AA2873" s="3" t="s">
        <v>40</v>
      </c>
      <c r="AB2873" s="2">
        <v>4</v>
      </c>
      <c r="AC2873" s="3" t="s">
        <v>1513</v>
      </c>
      <c r="AF2873" s="2">
        <v>23</v>
      </c>
      <c r="AG2873" s="2">
        <v>1</v>
      </c>
      <c r="AH2873" s="3" t="s">
        <v>2990</v>
      </c>
      <c r="AI2873" s="4">
        <v>45029</v>
      </c>
      <c r="AJ2873" s="3" t="s">
        <v>3010</v>
      </c>
      <c r="AK2873" s="3" t="s">
        <v>645</v>
      </c>
    </row>
    <row r="2874" spans="1:37" hidden="1" x14ac:dyDescent="0.25">
      <c r="A2874" t="str">
        <f t="shared" si="44"/>
        <v>2023_SA_Warnertown_Fababean_SatelliteTOS1VarietyMarneWaterTrtRainFedAgronomyDensity_0.66</v>
      </c>
      <c r="B2874" s="2">
        <v>2023032</v>
      </c>
      <c r="C2874" s="3" t="s">
        <v>2982</v>
      </c>
      <c r="D2874" s="3" t="s">
        <v>645</v>
      </c>
      <c r="F2874" s="3" t="s">
        <v>4184</v>
      </c>
      <c r="G2874" s="3" t="s">
        <v>39</v>
      </c>
      <c r="H2874" s="3" t="s">
        <v>253</v>
      </c>
      <c r="I2874" s="2">
        <v>27</v>
      </c>
      <c r="J2874" s="2">
        <v>27</v>
      </c>
      <c r="K2874" s="2">
        <v>3</v>
      </c>
      <c r="O2874" s="2">
        <v>5</v>
      </c>
      <c r="U2874" s="2">
        <v>3</v>
      </c>
      <c r="V2874" s="2">
        <v>14</v>
      </c>
      <c r="W2874" s="2">
        <v>3</v>
      </c>
      <c r="X2874" s="2">
        <v>9</v>
      </c>
      <c r="Z2874" s="2">
        <v>27</v>
      </c>
      <c r="AA2874" s="3" t="s">
        <v>40</v>
      </c>
      <c r="AB2874" s="2">
        <v>6</v>
      </c>
      <c r="AC2874" s="3" t="s">
        <v>1511</v>
      </c>
      <c r="AF2874" s="2">
        <v>23</v>
      </c>
      <c r="AG2874" s="2">
        <v>1</v>
      </c>
      <c r="AH2874" s="3" t="s">
        <v>2990</v>
      </c>
      <c r="AI2874" s="4">
        <v>45029</v>
      </c>
      <c r="AJ2874" s="3" t="s">
        <v>3011</v>
      </c>
      <c r="AK2874" s="3" t="s">
        <v>645</v>
      </c>
    </row>
    <row r="2875" spans="1:37" hidden="1" x14ac:dyDescent="0.25">
      <c r="A2875" t="str">
        <f t="shared" si="44"/>
        <v>2023_SA_Warnertown_Fababean_SatelliteTOS1VarietyMarneWaterTrtRainFedAgronomyDensity_1</v>
      </c>
      <c r="B2875" s="2">
        <v>2023032</v>
      </c>
      <c r="C2875" s="3" t="s">
        <v>2982</v>
      </c>
      <c r="D2875" s="3" t="s">
        <v>645</v>
      </c>
      <c r="F2875" s="3" t="s">
        <v>4184</v>
      </c>
      <c r="G2875" s="3" t="s">
        <v>39</v>
      </c>
      <c r="H2875" s="3" t="s">
        <v>253</v>
      </c>
      <c r="I2875" s="2">
        <v>28</v>
      </c>
      <c r="J2875" s="2">
        <v>28</v>
      </c>
      <c r="K2875" s="2">
        <v>3</v>
      </c>
      <c r="O2875" s="2">
        <v>5</v>
      </c>
      <c r="U2875" s="2">
        <v>1</v>
      </c>
      <c r="V2875" s="2">
        <v>15</v>
      </c>
      <c r="W2875" s="2">
        <v>1</v>
      </c>
      <c r="X2875" s="2">
        <v>10</v>
      </c>
      <c r="Z2875" s="2">
        <v>30</v>
      </c>
      <c r="AA2875" s="3" t="s">
        <v>40</v>
      </c>
      <c r="AB2875" s="2">
        <v>2</v>
      </c>
      <c r="AC2875" s="3" t="s">
        <v>1513</v>
      </c>
      <c r="AF2875" s="2">
        <v>23</v>
      </c>
      <c r="AG2875" s="2">
        <v>1</v>
      </c>
      <c r="AH2875" s="3" t="s">
        <v>2990</v>
      </c>
      <c r="AI2875" s="4">
        <v>45029</v>
      </c>
      <c r="AJ2875" s="3" t="s">
        <v>3012</v>
      </c>
      <c r="AK2875" s="3" t="s">
        <v>645</v>
      </c>
    </row>
    <row r="2876" spans="1:37" hidden="1" x14ac:dyDescent="0.25">
      <c r="A2876" t="str">
        <f t="shared" si="44"/>
        <v>2023_SA_Warnertown_Fababean_SatelliteTOS1VarietyAmberleyWaterTrtRainFedAgronomyDensity_1</v>
      </c>
      <c r="B2876" s="2">
        <v>2023032</v>
      </c>
      <c r="C2876" s="3" t="s">
        <v>2982</v>
      </c>
      <c r="D2876" s="3" t="s">
        <v>645</v>
      </c>
      <c r="F2876" s="3" t="s">
        <v>4185</v>
      </c>
      <c r="G2876" s="3" t="s">
        <v>39</v>
      </c>
      <c r="H2876" s="3" t="s">
        <v>253</v>
      </c>
      <c r="I2876" s="2">
        <v>29</v>
      </c>
      <c r="J2876" s="2">
        <v>29</v>
      </c>
      <c r="K2876" s="2">
        <v>3</v>
      </c>
      <c r="O2876" s="2">
        <v>5</v>
      </c>
      <c r="U2876" s="2">
        <v>2</v>
      </c>
      <c r="V2876" s="2">
        <v>15</v>
      </c>
      <c r="W2876" s="2">
        <v>2</v>
      </c>
      <c r="X2876" s="2">
        <v>10</v>
      </c>
      <c r="Z2876" s="2">
        <v>29</v>
      </c>
      <c r="AA2876" s="3" t="s">
        <v>40</v>
      </c>
      <c r="AB2876" s="2">
        <v>1</v>
      </c>
      <c r="AC2876" s="3" t="s">
        <v>1513</v>
      </c>
      <c r="AF2876" s="2">
        <v>23</v>
      </c>
      <c r="AG2876" s="2">
        <v>1</v>
      </c>
      <c r="AH2876" s="3" t="s">
        <v>2990</v>
      </c>
      <c r="AI2876" s="4">
        <v>45029</v>
      </c>
      <c r="AJ2876" s="3" t="s">
        <v>3013</v>
      </c>
      <c r="AK2876" s="3" t="s">
        <v>645</v>
      </c>
    </row>
    <row r="2877" spans="1:37" hidden="1" x14ac:dyDescent="0.25">
      <c r="A2877" t="str">
        <f t="shared" si="44"/>
        <v>2023_SA_Warnertown_Fababean_SatelliteTOS1VarietyNasmaWaterTrtRainFedAgronomyDensity_1</v>
      </c>
      <c r="B2877" s="2">
        <v>2023032</v>
      </c>
      <c r="C2877" s="3" t="s">
        <v>2982</v>
      </c>
      <c r="D2877" s="3" t="s">
        <v>645</v>
      </c>
      <c r="F2877" s="3" t="s">
        <v>4186</v>
      </c>
      <c r="G2877" s="3" t="s">
        <v>43</v>
      </c>
      <c r="H2877" s="3" t="s">
        <v>253</v>
      </c>
      <c r="I2877" s="2">
        <v>30</v>
      </c>
      <c r="J2877" s="2">
        <v>30</v>
      </c>
      <c r="K2877" s="2">
        <v>3</v>
      </c>
      <c r="O2877" s="2">
        <v>5</v>
      </c>
      <c r="U2877" s="2">
        <v>3</v>
      </c>
      <c r="V2877" s="2">
        <v>15</v>
      </c>
      <c r="W2877" s="2">
        <v>3</v>
      </c>
      <c r="X2877" s="2">
        <v>10</v>
      </c>
      <c r="Z2877" s="2">
        <v>28</v>
      </c>
      <c r="AA2877" s="3" t="s">
        <v>40</v>
      </c>
      <c r="AB2877" s="2">
        <v>3</v>
      </c>
      <c r="AC2877" s="3" t="s">
        <v>1513</v>
      </c>
      <c r="AF2877" s="2">
        <v>23</v>
      </c>
      <c r="AG2877" s="2">
        <v>1</v>
      </c>
      <c r="AH2877" s="3" t="s">
        <v>2990</v>
      </c>
      <c r="AI2877" s="4">
        <v>45029</v>
      </c>
      <c r="AJ2877" s="3" t="s">
        <v>3014</v>
      </c>
      <c r="AK2877" s="3" t="s">
        <v>645</v>
      </c>
    </row>
    <row r="2878" spans="1:37" hidden="1" x14ac:dyDescent="0.25">
      <c r="A2878" t="str">
        <f t="shared" si="44"/>
        <v>2023_SA_Warnertown_Fababean_SatelliteTOS2VarietySamiraWaterTrtRainFedAgronomyDensity_1</v>
      </c>
      <c r="B2878" s="2">
        <v>2023032</v>
      </c>
      <c r="C2878" s="3" t="s">
        <v>2982</v>
      </c>
      <c r="D2878" s="3" t="s">
        <v>645</v>
      </c>
      <c r="F2878" s="3" t="s">
        <v>4183</v>
      </c>
      <c r="G2878" s="3" t="s">
        <v>43</v>
      </c>
      <c r="H2878" s="3" t="s">
        <v>253</v>
      </c>
      <c r="I2878" s="2">
        <v>31</v>
      </c>
      <c r="J2878" s="2">
        <v>31</v>
      </c>
      <c r="K2878" s="2">
        <v>3</v>
      </c>
      <c r="O2878" s="2">
        <v>6</v>
      </c>
      <c r="U2878" s="2">
        <v>1</v>
      </c>
      <c r="V2878" s="2">
        <v>17</v>
      </c>
      <c r="W2878" s="2">
        <v>1</v>
      </c>
      <c r="X2878" s="2">
        <v>11</v>
      </c>
      <c r="Z2878" s="2">
        <v>31</v>
      </c>
      <c r="AA2878" s="3" t="s">
        <v>40</v>
      </c>
      <c r="AB2878" s="2">
        <v>4</v>
      </c>
      <c r="AC2878" s="3" t="s">
        <v>1513</v>
      </c>
      <c r="AF2878" s="2">
        <v>23</v>
      </c>
      <c r="AG2878" s="2">
        <v>2</v>
      </c>
      <c r="AH2878" s="3" t="s">
        <v>2983</v>
      </c>
      <c r="AI2878" s="4">
        <v>45054</v>
      </c>
      <c r="AJ2878" s="3" t="s">
        <v>3015</v>
      </c>
      <c r="AK2878" s="3" t="s">
        <v>645</v>
      </c>
    </row>
    <row r="2879" spans="1:37" hidden="1" x14ac:dyDescent="0.25">
      <c r="A2879" t="str">
        <f t="shared" si="44"/>
        <v>2023_SA_Warnertown_Fababean_SatelliteTOS2VarietyMarneWaterTrtRainFedAgronomyDensity_0.66</v>
      </c>
      <c r="B2879" s="2">
        <v>2023032</v>
      </c>
      <c r="C2879" s="3" t="s">
        <v>2982</v>
      </c>
      <c r="D2879" s="3" t="s">
        <v>645</v>
      </c>
      <c r="F2879" s="3" t="s">
        <v>4184</v>
      </c>
      <c r="G2879" s="3" t="s">
        <v>39</v>
      </c>
      <c r="H2879" s="3" t="s">
        <v>253</v>
      </c>
      <c r="I2879" s="2">
        <v>32</v>
      </c>
      <c r="J2879" s="2">
        <v>32</v>
      </c>
      <c r="K2879" s="2">
        <v>3</v>
      </c>
      <c r="O2879" s="2">
        <v>6</v>
      </c>
      <c r="U2879" s="2">
        <v>2</v>
      </c>
      <c r="V2879" s="2">
        <v>17</v>
      </c>
      <c r="W2879" s="2">
        <v>2</v>
      </c>
      <c r="X2879" s="2">
        <v>11</v>
      </c>
      <c r="Z2879" s="2">
        <v>32</v>
      </c>
      <c r="AA2879" s="3" t="s">
        <v>40</v>
      </c>
      <c r="AB2879" s="2">
        <v>6</v>
      </c>
      <c r="AC2879" s="3" t="s">
        <v>1511</v>
      </c>
      <c r="AF2879" s="2">
        <v>23</v>
      </c>
      <c r="AG2879" s="2">
        <v>2</v>
      </c>
      <c r="AH2879" s="3" t="s">
        <v>2983</v>
      </c>
      <c r="AI2879" s="4">
        <v>45054</v>
      </c>
      <c r="AJ2879" s="3" t="s">
        <v>3016</v>
      </c>
      <c r="AK2879" s="3" t="s">
        <v>645</v>
      </c>
    </row>
    <row r="2880" spans="1:37" hidden="1" x14ac:dyDescent="0.25">
      <c r="A2880" t="str">
        <f t="shared" si="44"/>
        <v>2023_SA_Warnertown_Fababean_SatelliteTOS2VarietyNasmaWaterTrtRainFedAgronomyDensity_1</v>
      </c>
      <c r="B2880" s="2">
        <v>2023032</v>
      </c>
      <c r="C2880" s="3" t="s">
        <v>2982</v>
      </c>
      <c r="D2880" s="3" t="s">
        <v>645</v>
      </c>
      <c r="F2880" s="3" t="s">
        <v>4186</v>
      </c>
      <c r="G2880" s="3" t="s">
        <v>43</v>
      </c>
      <c r="H2880" s="3" t="s">
        <v>253</v>
      </c>
      <c r="I2880" s="2">
        <v>33</v>
      </c>
      <c r="J2880" s="2">
        <v>33</v>
      </c>
      <c r="K2880" s="2">
        <v>3</v>
      </c>
      <c r="O2880" s="2">
        <v>6</v>
      </c>
      <c r="U2880" s="2">
        <v>3</v>
      </c>
      <c r="V2880" s="2">
        <v>17</v>
      </c>
      <c r="W2880" s="2">
        <v>3</v>
      </c>
      <c r="X2880" s="2">
        <v>11</v>
      </c>
      <c r="Z2880" s="2">
        <v>33</v>
      </c>
      <c r="AA2880" s="3" t="s">
        <v>40</v>
      </c>
      <c r="AB2880" s="2">
        <v>3</v>
      </c>
      <c r="AC2880" s="3" t="s">
        <v>1513</v>
      </c>
      <c r="AF2880" s="2">
        <v>23</v>
      </c>
      <c r="AG2880" s="2">
        <v>2</v>
      </c>
      <c r="AH2880" s="3" t="s">
        <v>2983</v>
      </c>
      <c r="AI2880" s="4">
        <v>45054</v>
      </c>
      <c r="AJ2880" s="3" t="s">
        <v>3017</v>
      </c>
      <c r="AK2880" s="3" t="s">
        <v>645</v>
      </c>
    </row>
    <row r="2881" spans="1:37" hidden="1" x14ac:dyDescent="0.25">
      <c r="A2881" t="str">
        <f t="shared" si="44"/>
        <v>2023_SA_Warnertown_Fababean_SatelliteTOS2VarietyMarneWaterTrtRainFedAgronomyDensity_1</v>
      </c>
      <c r="B2881" s="2">
        <v>2023032</v>
      </c>
      <c r="C2881" s="3" t="s">
        <v>2982</v>
      </c>
      <c r="D2881" s="3" t="s">
        <v>645</v>
      </c>
      <c r="F2881" s="3" t="s">
        <v>4184</v>
      </c>
      <c r="G2881" s="3" t="s">
        <v>39</v>
      </c>
      <c r="H2881" s="3" t="s">
        <v>253</v>
      </c>
      <c r="I2881" s="2">
        <v>34</v>
      </c>
      <c r="J2881" s="2">
        <v>34</v>
      </c>
      <c r="K2881" s="2">
        <v>3</v>
      </c>
      <c r="O2881" s="2">
        <v>6</v>
      </c>
      <c r="U2881" s="2">
        <v>1</v>
      </c>
      <c r="V2881" s="2">
        <v>18</v>
      </c>
      <c r="W2881" s="2">
        <v>1</v>
      </c>
      <c r="X2881" s="2">
        <v>12</v>
      </c>
      <c r="Z2881" s="2">
        <v>36</v>
      </c>
      <c r="AA2881" s="3" t="s">
        <v>40</v>
      </c>
      <c r="AB2881" s="2">
        <v>2</v>
      </c>
      <c r="AC2881" s="3" t="s">
        <v>1513</v>
      </c>
      <c r="AF2881" s="2">
        <v>23</v>
      </c>
      <c r="AG2881" s="2">
        <v>2</v>
      </c>
      <c r="AH2881" s="3" t="s">
        <v>2983</v>
      </c>
      <c r="AI2881" s="4">
        <v>45054</v>
      </c>
      <c r="AJ2881" s="3" t="s">
        <v>3018</v>
      </c>
      <c r="AK2881" s="3" t="s">
        <v>645</v>
      </c>
    </row>
    <row r="2882" spans="1:37" hidden="1" x14ac:dyDescent="0.25">
      <c r="A2882" t="str">
        <f t="shared" si="44"/>
        <v>2023_SA_Warnertown_Fababean_SatelliteTOS2VarietyAmberleyWaterTrtRainFedAgronomyDensity_0.66</v>
      </c>
      <c r="B2882" s="2">
        <v>2023032</v>
      </c>
      <c r="C2882" s="3" t="s">
        <v>2982</v>
      </c>
      <c r="D2882" s="3" t="s">
        <v>645</v>
      </c>
      <c r="F2882" s="3" t="s">
        <v>4185</v>
      </c>
      <c r="G2882" s="3" t="s">
        <v>39</v>
      </c>
      <c r="H2882" s="3" t="s">
        <v>253</v>
      </c>
      <c r="I2882" s="2">
        <v>35</v>
      </c>
      <c r="J2882" s="2">
        <v>35</v>
      </c>
      <c r="K2882" s="2">
        <v>3</v>
      </c>
      <c r="O2882" s="2">
        <v>6</v>
      </c>
      <c r="U2882" s="2">
        <v>2</v>
      </c>
      <c r="V2882" s="2">
        <v>18</v>
      </c>
      <c r="W2882" s="2">
        <v>2</v>
      </c>
      <c r="X2882" s="2">
        <v>12</v>
      </c>
      <c r="Z2882" s="2">
        <v>35</v>
      </c>
      <c r="AA2882" s="3" t="s">
        <v>40</v>
      </c>
      <c r="AB2882" s="2">
        <v>5</v>
      </c>
      <c r="AC2882" s="3" t="s">
        <v>1511</v>
      </c>
      <c r="AF2882" s="2">
        <v>23</v>
      </c>
      <c r="AG2882" s="2">
        <v>2</v>
      </c>
      <c r="AH2882" s="3" t="s">
        <v>2983</v>
      </c>
      <c r="AI2882" s="4">
        <v>45054</v>
      </c>
      <c r="AJ2882" s="3" t="s">
        <v>3019</v>
      </c>
      <c r="AK2882" s="3" t="s">
        <v>645</v>
      </c>
    </row>
    <row r="2883" spans="1:37" hidden="1" x14ac:dyDescent="0.25">
      <c r="A2883" t="str">
        <f t="shared" ref="A2883:A2946" si="45">C2883&amp;"TOS"&amp;AG2883&amp;"Variety"&amp;F2883&amp;"WaterTrt"&amp;AA2883&amp;IF(AC2883="","","Agronomy"&amp;AC2883)</f>
        <v>2023_SA_Warnertown_Fababean_SatelliteTOS2VarietyAmberleyWaterTrtRainFedAgronomyDensity_1</v>
      </c>
      <c r="B2883" s="2">
        <v>2023032</v>
      </c>
      <c r="C2883" s="3" t="s">
        <v>2982</v>
      </c>
      <c r="D2883" s="3" t="s">
        <v>645</v>
      </c>
      <c r="F2883" s="3" t="s">
        <v>4185</v>
      </c>
      <c r="G2883" s="3" t="s">
        <v>39</v>
      </c>
      <c r="H2883" s="3" t="s">
        <v>253</v>
      </c>
      <c r="I2883" s="2">
        <v>36</v>
      </c>
      <c r="J2883" s="2">
        <v>36</v>
      </c>
      <c r="K2883" s="2">
        <v>3</v>
      </c>
      <c r="O2883" s="2">
        <v>6</v>
      </c>
      <c r="U2883" s="2">
        <v>3</v>
      </c>
      <c r="V2883" s="2">
        <v>18</v>
      </c>
      <c r="W2883" s="2">
        <v>3</v>
      </c>
      <c r="X2883" s="2">
        <v>12</v>
      </c>
      <c r="Z2883" s="2">
        <v>34</v>
      </c>
      <c r="AA2883" s="3" t="s">
        <v>40</v>
      </c>
      <c r="AB2883" s="2">
        <v>1</v>
      </c>
      <c r="AC2883" s="3" t="s">
        <v>1513</v>
      </c>
      <c r="AF2883" s="2">
        <v>23</v>
      </c>
      <c r="AG2883" s="2">
        <v>2</v>
      </c>
      <c r="AH2883" s="3" t="s">
        <v>2983</v>
      </c>
      <c r="AI2883" s="4">
        <v>45054</v>
      </c>
      <c r="AJ2883" s="3" t="s">
        <v>3020</v>
      </c>
      <c r="AK2883" s="3" t="s">
        <v>645</v>
      </c>
    </row>
    <row r="2884" spans="1:37" hidden="1" x14ac:dyDescent="0.25">
      <c r="A2884" t="str">
        <f t="shared" si="45"/>
        <v>2023_SA_Warnertown_Fababean_SatelliteTOS2VarietyNasmaWaterTrtRainFedAgronomyDensity_1</v>
      </c>
      <c r="B2884" s="2">
        <v>2023032</v>
      </c>
      <c r="C2884" s="3" t="s">
        <v>2982</v>
      </c>
      <c r="D2884" s="3" t="s">
        <v>645</v>
      </c>
      <c r="F2884" s="3" t="s">
        <v>4186</v>
      </c>
      <c r="G2884" s="3" t="s">
        <v>43</v>
      </c>
      <c r="H2884" s="3" t="s">
        <v>253</v>
      </c>
      <c r="I2884" s="2">
        <v>37</v>
      </c>
      <c r="J2884" s="2">
        <v>37</v>
      </c>
      <c r="K2884" s="2">
        <v>4</v>
      </c>
      <c r="O2884" s="2">
        <v>7</v>
      </c>
      <c r="U2884" s="2">
        <v>1</v>
      </c>
      <c r="V2884" s="2">
        <v>20</v>
      </c>
      <c r="W2884" s="2">
        <v>1</v>
      </c>
      <c r="X2884" s="2">
        <v>13</v>
      </c>
      <c r="Z2884" s="2">
        <v>37</v>
      </c>
      <c r="AA2884" s="3" t="s">
        <v>40</v>
      </c>
      <c r="AB2884" s="2">
        <v>3</v>
      </c>
      <c r="AC2884" s="3" t="s">
        <v>1513</v>
      </c>
      <c r="AF2884" s="2">
        <v>23</v>
      </c>
      <c r="AG2884" s="2">
        <v>2</v>
      </c>
      <c r="AH2884" s="3" t="s">
        <v>2983</v>
      </c>
      <c r="AI2884" s="4">
        <v>45054</v>
      </c>
      <c r="AJ2884" s="3" t="s">
        <v>3021</v>
      </c>
      <c r="AK2884" s="3" t="s">
        <v>645</v>
      </c>
    </row>
    <row r="2885" spans="1:37" hidden="1" x14ac:dyDescent="0.25">
      <c r="A2885" t="str">
        <f t="shared" si="45"/>
        <v>2023_SA_Warnertown_Fababean_SatelliteTOS2VarietyAmberleyWaterTrtRainFedAgronomyDensity_1</v>
      </c>
      <c r="B2885" s="2">
        <v>2023032</v>
      </c>
      <c r="C2885" s="3" t="s">
        <v>2982</v>
      </c>
      <c r="D2885" s="3" t="s">
        <v>645</v>
      </c>
      <c r="F2885" s="3" t="s">
        <v>4185</v>
      </c>
      <c r="G2885" s="3" t="s">
        <v>39</v>
      </c>
      <c r="H2885" s="3" t="s">
        <v>253</v>
      </c>
      <c r="I2885" s="2">
        <v>38</v>
      </c>
      <c r="J2885" s="2">
        <v>38</v>
      </c>
      <c r="K2885" s="2">
        <v>4</v>
      </c>
      <c r="O2885" s="2">
        <v>7</v>
      </c>
      <c r="U2885" s="2">
        <v>2</v>
      </c>
      <c r="V2885" s="2">
        <v>20</v>
      </c>
      <c r="W2885" s="2">
        <v>2</v>
      </c>
      <c r="X2885" s="2">
        <v>13</v>
      </c>
      <c r="Z2885" s="2">
        <v>38</v>
      </c>
      <c r="AA2885" s="3" t="s">
        <v>40</v>
      </c>
      <c r="AB2885" s="2">
        <v>1</v>
      </c>
      <c r="AC2885" s="3" t="s">
        <v>1513</v>
      </c>
      <c r="AF2885" s="2">
        <v>23</v>
      </c>
      <c r="AG2885" s="2">
        <v>2</v>
      </c>
      <c r="AH2885" s="3" t="s">
        <v>2983</v>
      </c>
      <c r="AI2885" s="4">
        <v>45054</v>
      </c>
      <c r="AJ2885" s="3" t="s">
        <v>3022</v>
      </c>
      <c r="AK2885" s="3" t="s">
        <v>645</v>
      </c>
    </row>
    <row r="2886" spans="1:37" hidden="1" x14ac:dyDescent="0.25">
      <c r="A2886" t="str">
        <f t="shared" si="45"/>
        <v>2023_SA_Warnertown_Fababean_SatelliteTOS2VarietyMarneWaterTrtRainFedAgronomyDensity_0.66</v>
      </c>
      <c r="B2886" s="2">
        <v>2023032</v>
      </c>
      <c r="C2886" s="3" t="s">
        <v>2982</v>
      </c>
      <c r="D2886" s="3" t="s">
        <v>645</v>
      </c>
      <c r="F2886" s="3" t="s">
        <v>4184</v>
      </c>
      <c r="G2886" s="3" t="s">
        <v>39</v>
      </c>
      <c r="H2886" s="3" t="s">
        <v>253</v>
      </c>
      <c r="I2886" s="2">
        <v>39</v>
      </c>
      <c r="J2886" s="2">
        <v>39</v>
      </c>
      <c r="K2886" s="2">
        <v>4</v>
      </c>
      <c r="O2886" s="2">
        <v>7</v>
      </c>
      <c r="U2886" s="2">
        <v>3</v>
      </c>
      <c r="V2886" s="2">
        <v>20</v>
      </c>
      <c r="W2886" s="2">
        <v>3</v>
      </c>
      <c r="X2886" s="2">
        <v>13</v>
      </c>
      <c r="Z2886" s="2">
        <v>39</v>
      </c>
      <c r="AA2886" s="3" t="s">
        <v>40</v>
      </c>
      <c r="AB2886" s="2">
        <v>6</v>
      </c>
      <c r="AC2886" s="3" t="s">
        <v>1511</v>
      </c>
      <c r="AF2886" s="2">
        <v>23</v>
      </c>
      <c r="AG2886" s="2">
        <v>2</v>
      </c>
      <c r="AH2886" s="3" t="s">
        <v>2983</v>
      </c>
      <c r="AI2886" s="4">
        <v>45054</v>
      </c>
      <c r="AJ2886" s="3" t="s">
        <v>3023</v>
      </c>
      <c r="AK2886" s="3" t="s">
        <v>645</v>
      </c>
    </row>
    <row r="2887" spans="1:37" hidden="1" x14ac:dyDescent="0.25">
      <c r="A2887" t="str">
        <f t="shared" si="45"/>
        <v>2023_SA_Warnertown_Fababean_SatelliteTOS2VarietyAmberleyWaterTrtRainFedAgronomyDensity_0.66</v>
      </c>
      <c r="B2887" s="2">
        <v>2023032</v>
      </c>
      <c r="C2887" s="3" t="s">
        <v>2982</v>
      </c>
      <c r="D2887" s="3" t="s">
        <v>645</v>
      </c>
      <c r="F2887" s="3" t="s">
        <v>4185</v>
      </c>
      <c r="G2887" s="3" t="s">
        <v>39</v>
      </c>
      <c r="H2887" s="3" t="s">
        <v>253</v>
      </c>
      <c r="I2887" s="2">
        <v>40</v>
      </c>
      <c r="J2887" s="2">
        <v>40</v>
      </c>
      <c r="K2887" s="2">
        <v>4</v>
      </c>
      <c r="O2887" s="2">
        <v>7</v>
      </c>
      <c r="U2887" s="2">
        <v>1</v>
      </c>
      <c r="V2887" s="2">
        <v>21</v>
      </c>
      <c r="W2887" s="2">
        <v>1</v>
      </c>
      <c r="X2887" s="2">
        <v>14</v>
      </c>
      <c r="Z2887" s="2">
        <v>42</v>
      </c>
      <c r="AA2887" s="3" t="s">
        <v>40</v>
      </c>
      <c r="AB2887" s="2">
        <v>5</v>
      </c>
      <c r="AC2887" s="3" t="s">
        <v>1511</v>
      </c>
      <c r="AF2887" s="2">
        <v>23</v>
      </c>
      <c r="AG2887" s="2">
        <v>2</v>
      </c>
      <c r="AH2887" s="3" t="s">
        <v>2983</v>
      </c>
      <c r="AI2887" s="4">
        <v>45054</v>
      </c>
      <c r="AJ2887" s="3" t="s">
        <v>3024</v>
      </c>
      <c r="AK2887" s="3" t="s">
        <v>645</v>
      </c>
    </row>
    <row r="2888" spans="1:37" hidden="1" x14ac:dyDescent="0.25">
      <c r="A2888" t="str">
        <f t="shared" si="45"/>
        <v>2023_SA_Warnertown_Fababean_SatelliteTOS2VarietySamiraWaterTrtRainFedAgronomyDensity_1</v>
      </c>
      <c r="B2888" s="2">
        <v>2023032</v>
      </c>
      <c r="C2888" s="3" t="s">
        <v>2982</v>
      </c>
      <c r="D2888" s="3" t="s">
        <v>645</v>
      </c>
      <c r="F2888" s="3" t="s">
        <v>4183</v>
      </c>
      <c r="G2888" s="3" t="s">
        <v>43</v>
      </c>
      <c r="H2888" s="3" t="s">
        <v>253</v>
      </c>
      <c r="I2888" s="2">
        <v>41</v>
      </c>
      <c r="J2888" s="2">
        <v>41</v>
      </c>
      <c r="K2888" s="2">
        <v>4</v>
      </c>
      <c r="O2888" s="2">
        <v>7</v>
      </c>
      <c r="U2888" s="2">
        <v>2</v>
      </c>
      <c r="V2888" s="2">
        <v>21</v>
      </c>
      <c r="W2888" s="2">
        <v>2</v>
      </c>
      <c r="X2888" s="2">
        <v>14</v>
      </c>
      <c r="Z2888" s="2">
        <v>41</v>
      </c>
      <c r="AA2888" s="3" t="s">
        <v>40</v>
      </c>
      <c r="AB2888" s="2">
        <v>4</v>
      </c>
      <c r="AC2888" s="3" t="s">
        <v>1513</v>
      </c>
      <c r="AF2888" s="2">
        <v>23</v>
      </c>
      <c r="AG2888" s="2">
        <v>2</v>
      </c>
      <c r="AH2888" s="3" t="s">
        <v>2983</v>
      </c>
      <c r="AI2888" s="4">
        <v>45054</v>
      </c>
      <c r="AJ2888" s="3" t="s">
        <v>3025</v>
      </c>
      <c r="AK2888" s="3" t="s">
        <v>645</v>
      </c>
    </row>
    <row r="2889" spans="1:37" hidden="1" x14ac:dyDescent="0.25">
      <c r="A2889" t="str">
        <f t="shared" si="45"/>
        <v>2023_SA_Warnertown_Fababean_SatelliteTOS2VarietyMarneWaterTrtRainFedAgronomyDensity_1</v>
      </c>
      <c r="B2889" s="2">
        <v>2023032</v>
      </c>
      <c r="C2889" s="3" t="s">
        <v>2982</v>
      </c>
      <c r="D2889" s="3" t="s">
        <v>645</v>
      </c>
      <c r="F2889" s="3" t="s">
        <v>4184</v>
      </c>
      <c r="G2889" s="3" t="s">
        <v>39</v>
      </c>
      <c r="H2889" s="3" t="s">
        <v>253</v>
      </c>
      <c r="I2889" s="2">
        <v>42</v>
      </c>
      <c r="J2889" s="2">
        <v>42</v>
      </c>
      <c r="K2889" s="2">
        <v>4</v>
      </c>
      <c r="O2889" s="2">
        <v>7</v>
      </c>
      <c r="U2889" s="2">
        <v>3</v>
      </c>
      <c r="V2889" s="2">
        <v>21</v>
      </c>
      <c r="W2889" s="2">
        <v>3</v>
      </c>
      <c r="X2889" s="2">
        <v>14</v>
      </c>
      <c r="Z2889" s="2">
        <v>40</v>
      </c>
      <c r="AA2889" s="3" t="s">
        <v>40</v>
      </c>
      <c r="AB2889" s="2">
        <v>2</v>
      </c>
      <c r="AC2889" s="3" t="s">
        <v>1513</v>
      </c>
      <c r="AF2889" s="2">
        <v>23</v>
      </c>
      <c r="AG2889" s="2">
        <v>2</v>
      </c>
      <c r="AH2889" s="3" t="s">
        <v>2983</v>
      </c>
      <c r="AI2889" s="4">
        <v>45054</v>
      </c>
      <c r="AJ2889" s="3" t="s">
        <v>3026</v>
      </c>
      <c r="AK2889" s="3" t="s">
        <v>645</v>
      </c>
    </row>
    <row r="2890" spans="1:37" hidden="1" x14ac:dyDescent="0.25">
      <c r="A2890" t="str">
        <f t="shared" si="45"/>
        <v>2023_SA_Warnertown_Fababean_SatelliteTOS1VarietyMarneWaterTrtRainFedAgronomyDensity_0.66</v>
      </c>
      <c r="B2890" s="2">
        <v>2023032</v>
      </c>
      <c r="C2890" s="3" t="s">
        <v>2982</v>
      </c>
      <c r="D2890" s="3" t="s">
        <v>645</v>
      </c>
      <c r="F2890" s="3" t="s">
        <v>4184</v>
      </c>
      <c r="G2890" s="3" t="s">
        <v>39</v>
      </c>
      <c r="H2890" s="3" t="s">
        <v>253</v>
      </c>
      <c r="I2890" s="2">
        <v>43</v>
      </c>
      <c r="J2890" s="2">
        <v>43</v>
      </c>
      <c r="K2890" s="2">
        <v>4</v>
      </c>
      <c r="O2890" s="2">
        <v>8</v>
      </c>
      <c r="U2890" s="2">
        <v>1</v>
      </c>
      <c r="V2890" s="2">
        <v>23</v>
      </c>
      <c r="W2890" s="2">
        <v>1</v>
      </c>
      <c r="X2890" s="2">
        <v>15</v>
      </c>
      <c r="Z2890" s="2">
        <v>43</v>
      </c>
      <c r="AA2890" s="3" t="s">
        <v>40</v>
      </c>
      <c r="AB2890" s="2">
        <v>6</v>
      </c>
      <c r="AC2890" s="3" t="s">
        <v>1511</v>
      </c>
      <c r="AF2890" s="2">
        <v>23</v>
      </c>
      <c r="AG2890" s="2">
        <v>1</v>
      </c>
      <c r="AH2890" s="3" t="s">
        <v>2990</v>
      </c>
      <c r="AI2890" s="4">
        <v>45029</v>
      </c>
      <c r="AJ2890" s="3" t="s">
        <v>3027</v>
      </c>
      <c r="AK2890" s="3" t="s">
        <v>645</v>
      </c>
    </row>
    <row r="2891" spans="1:37" hidden="1" x14ac:dyDescent="0.25">
      <c r="A2891" t="str">
        <f t="shared" si="45"/>
        <v>2023_SA_Warnertown_Fababean_SatelliteTOS1VarietyNasmaWaterTrtRainFedAgronomyDensity_1</v>
      </c>
      <c r="B2891" s="2">
        <v>2023032</v>
      </c>
      <c r="C2891" s="3" t="s">
        <v>2982</v>
      </c>
      <c r="D2891" s="3" t="s">
        <v>645</v>
      </c>
      <c r="F2891" s="3" t="s">
        <v>4186</v>
      </c>
      <c r="G2891" s="3" t="s">
        <v>43</v>
      </c>
      <c r="H2891" s="3" t="s">
        <v>253</v>
      </c>
      <c r="I2891" s="2">
        <v>44</v>
      </c>
      <c r="J2891" s="2">
        <v>44</v>
      </c>
      <c r="K2891" s="2">
        <v>4</v>
      </c>
      <c r="O2891" s="2">
        <v>8</v>
      </c>
      <c r="U2891" s="2">
        <v>2</v>
      </c>
      <c r="V2891" s="2">
        <v>23</v>
      </c>
      <c r="W2891" s="2">
        <v>2</v>
      </c>
      <c r="X2891" s="2">
        <v>15</v>
      </c>
      <c r="Z2891" s="2">
        <v>44</v>
      </c>
      <c r="AA2891" s="3" t="s">
        <v>40</v>
      </c>
      <c r="AB2891" s="2">
        <v>3</v>
      </c>
      <c r="AC2891" s="3" t="s">
        <v>1513</v>
      </c>
      <c r="AF2891" s="2">
        <v>23</v>
      </c>
      <c r="AG2891" s="2">
        <v>1</v>
      </c>
      <c r="AH2891" s="3" t="s">
        <v>2990</v>
      </c>
      <c r="AI2891" s="4">
        <v>45029</v>
      </c>
      <c r="AJ2891" s="3" t="s">
        <v>3028</v>
      </c>
      <c r="AK2891" s="3" t="s">
        <v>645</v>
      </c>
    </row>
    <row r="2892" spans="1:37" hidden="1" x14ac:dyDescent="0.25">
      <c r="A2892" t="str">
        <f t="shared" si="45"/>
        <v>2023_SA_Warnertown_Fababean_SatelliteTOS1VarietyAmberleyWaterTrtRainFedAgronomyDensity_0.66</v>
      </c>
      <c r="B2892" s="2">
        <v>2023032</v>
      </c>
      <c r="C2892" s="3" t="s">
        <v>2982</v>
      </c>
      <c r="D2892" s="3" t="s">
        <v>645</v>
      </c>
      <c r="F2892" s="3" t="s">
        <v>4185</v>
      </c>
      <c r="G2892" s="3" t="s">
        <v>39</v>
      </c>
      <c r="H2892" s="3" t="s">
        <v>253</v>
      </c>
      <c r="I2892" s="2">
        <v>45</v>
      </c>
      <c r="J2892" s="2">
        <v>45</v>
      </c>
      <c r="K2892" s="2">
        <v>4</v>
      </c>
      <c r="O2892" s="2">
        <v>8</v>
      </c>
      <c r="U2892" s="2">
        <v>3</v>
      </c>
      <c r="V2892" s="2">
        <v>23</v>
      </c>
      <c r="W2892" s="2">
        <v>3</v>
      </c>
      <c r="X2892" s="2">
        <v>15</v>
      </c>
      <c r="Z2892" s="2">
        <v>45</v>
      </c>
      <c r="AA2892" s="3" t="s">
        <v>40</v>
      </c>
      <c r="AB2892" s="2">
        <v>5</v>
      </c>
      <c r="AC2892" s="3" t="s">
        <v>1511</v>
      </c>
      <c r="AF2892" s="2">
        <v>23</v>
      </c>
      <c r="AG2892" s="2">
        <v>1</v>
      </c>
      <c r="AH2892" s="3" t="s">
        <v>2990</v>
      </c>
      <c r="AI2892" s="4">
        <v>45029</v>
      </c>
      <c r="AJ2892" s="3" t="s">
        <v>3029</v>
      </c>
      <c r="AK2892" s="3" t="s">
        <v>645</v>
      </c>
    </row>
    <row r="2893" spans="1:37" hidden="1" x14ac:dyDescent="0.25">
      <c r="A2893" t="str">
        <f t="shared" si="45"/>
        <v>2023_SA_Warnertown_Fababean_SatelliteTOS1VarietySamiraWaterTrtRainFedAgronomyDensity_1</v>
      </c>
      <c r="B2893" s="2">
        <v>2023032</v>
      </c>
      <c r="C2893" s="3" t="s">
        <v>2982</v>
      </c>
      <c r="D2893" s="3" t="s">
        <v>645</v>
      </c>
      <c r="F2893" s="3" t="s">
        <v>4183</v>
      </c>
      <c r="G2893" s="3" t="s">
        <v>43</v>
      </c>
      <c r="H2893" s="3" t="s">
        <v>253</v>
      </c>
      <c r="I2893" s="2">
        <v>46</v>
      </c>
      <c r="J2893" s="2">
        <v>46</v>
      </c>
      <c r="K2893" s="2">
        <v>4</v>
      </c>
      <c r="O2893" s="2">
        <v>8</v>
      </c>
      <c r="U2893" s="2">
        <v>1</v>
      </c>
      <c r="V2893" s="2">
        <v>24</v>
      </c>
      <c r="W2893" s="2">
        <v>1</v>
      </c>
      <c r="X2893" s="2">
        <v>16</v>
      </c>
      <c r="Z2893" s="2">
        <v>48</v>
      </c>
      <c r="AA2893" s="3" t="s">
        <v>40</v>
      </c>
      <c r="AB2893" s="2">
        <v>4</v>
      </c>
      <c r="AC2893" s="3" t="s">
        <v>1513</v>
      </c>
      <c r="AF2893" s="2">
        <v>23</v>
      </c>
      <c r="AG2893" s="2">
        <v>1</v>
      </c>
      <c r="AH2893" s="3" t="s">
        <v>2990</v>
      </c>
      <c r="AI2893" s="4">
        <v>45029</v>
      </c>
      <c r="AJ2893" s="3" t="s">
        <v>3030</v>
      </c>
      <c r="AK2893" s="3" t="s">
        <v>645</v>
      </c>
    </row>
    <row r="2894" spans="1:37" hidden="1" x14ac:dyDescent="0.25">
      <c r="A2894" t="str">
        <f t="shared" si="45"/>
        <v>2023_SA_Warnertown_Fababean_SatelliteTOS1VarietyMarneWaterTrtRainFedAgronomyDensity_1</v>
      </c>
      <c r="B2894" s="2">
        <v>2023032</v>
      </c>
      <c r="C2894" s="3" t="s">
        <v>2982</v>
      </c>
      <c r="D2894" s="3" t="s">
        <v>645</v>
      </c>
      <c r="F2894" s="3" t="s">
        <v>4184</v>
      </c>
      <c r="G2894" s="3" t="s">
        <v>39</v>
      </c>
      <c r="H2894" s="3" t="s">
        <v>253</v>
      </c>
      <c r="I2894" s="2">
        <v>47</v>
      </c>
      <c r="J2894" s="2">
        <v>47</v>
      </c>
      <c r="K2894" s="2">
        <v>4</v>
      </c>
      <c r="O2894" s="2">
        <v>8</v>
      </c>
      <c r="U2894" s="2">
        <v>2</v>
      </c>
      <c r="V2894" s="2">
        <v>24</v>
      </c>
      <c r="W2894" s="2">
        <v>2</v>
      </c>
      <c r="X2894" s="2">
        <v>16</v>
      </c>
      <c r="Z2894" s="2">
        <v>47</v>
      </c>
      <c r="AA2894" s="3" t="s">
        <v>40</v>
      </c>
      <c r="AB2894" s="2">
        <v>2</v>
      </c>
      <c r="AC2894" s="3" t="s">
        <v>1513</v>
      </c>
      <c r="AF2894" s="2">
        <v>23</v>
      </c>
      <c r="AG2894" s="2">
        <v>1</v>
      </c>
      <c r="AH2894" s="3" t="s">
        <v>2990</v>
      </c>
      <c r="AI2894" s="4">
        <v>45029</v>
      </c>
      <c r="AJ2894" s="3" t="s">
        <v>3031</v>
      </c>
      <c r="AK2894" s="3" t="s">
        <v>645</v>
      </c>
    </row>
    <row r="2895" spans="1:37" hidden="1" x14ac:dyDescent="0.25">
      <c r="A2895" t="str">
        <f t="shared" si="45"/>
        <v>2023_SA_Warnertown_Fababean_SatelliteTOS1VarietyAmberleyWaterTrtRainFedAgronomyDensity_1</v>
      </c>
      <c r="B2895" s="2">
        <v>2023032</v>
      </c>
      <c r="C2895" s="3" t="s">
        <v>2982</v>
      </c>
      <c r="D2895" s="3" t="s">
        <v>645</v>
      </c>
      <c r="F2895" s="3" t="s">
        <v>4185</v>
      </c>
      <c r="G2895" s="3" t="s">
        <v>39</v>
      </c>
      <c r="H2895" s="3" t="s">
        <v>253</v>
      </c>
      <c r="I2895" s="2">
        <v>48</v>
      </c>
      <c r="J2895" s="2">
        <v>48</v>
      </c>
      <c r="K2895" s="2">
        <v>4</v>
      </c>
      <c r="O2895" s="2">
        <v>8</v>
      </c>
      <c r="U2895" s="2">
        <v>3</v>
      </c>
      <c r="V2895" s="2">
        <v>24</v>
      </c>
      <c r="W2895" s="2">
        <v>3</v>
      </c>
      <c r="X2895" s="2">
        <v>16</v>
      </c>
      <c r="Z2895" s="2">
        <v>46</v>
      </c>
      <c r="AA2895" s="3" t="s">
        <v>40</v>
      </c>
      <c r="AB2895" s="2">
        <v>1</v>
      </c>
      <c r="AC2895" s="3" t="s">
        <v>1513</v>
      </c>
      <c r="AF2895" s="2">
        <v>23</v>
      </c>
      <c r="AG2895" s="2">
        <v>1</v>
      </c>
      <c r="AH2895" s="3" t="s">
        <v>2990</v>
      </c>
      <c r="AI2895" s="4">
        <v>45029</v>
      </c>
      <c r="AJ2895" s="3" t="s">
        <v>3032</v>
      </c>
      <c r="AK2895" s="3" t="s">
        <v>645</v>
      </c>
    </row>
    <row r="2896" spans="1:37" hidden="1" x14ac:dyDescent="0.25">
      <c r="A2896" t="str">
        <f t="shared" si="45"/>
        <v>2023_SA_Warnertown_Lentil_SatelliteTOS1VarietyBoltWaterTrtRainFedAgronomyDensity_0.66</v>
      </c>
      <c r="B2896" s="2">
        <v>2023033</v>
      </c>
      <c r="C2896" s="3" t="s">
        <v>3033</v>
      </c>
      <c r="D2896" s="3" t="s">
        <v>38</v>
      </c>
      <c r="F2896" s="3" t="s">
        <v>4187</v>
      </c>
      <c r="G2896" s="3" t="s">
        <v>39</v>
      </c>
      <c r="H2896" s="3" t="s">
        <v>253</v>
      </c>
      <c r="I2896" s="2">
        <v>1</v>
      </c>
      <c r="J2896" s="2">
        <v>1</v>
      </c>
      <c r="K2896" s="2">
        <v>1</v>
      </c>
      <c r="O2896" s="2">
        <v>1</v>
      </c>
      <c r="U2896" s="2">
        <v>1</v>
      </c>
      <c r="V2896" s="2">
        <v>2</v>
      </c>
      <c r="W2896" s="2">
        <v>1</v>
      </c>
      <c r="X2896" s="2">
        <v>1</v>
      </c>
      <c r="Z2896" s="2">
        <v>1</v>
      </c>
      <c r="AA2896" s="3" t="s">
        <v>40</v>
      </c>
      <c r="AB2896" s="2">
        <v>5</v>
      </c>
      <c r="AC2896" s="3" t="s">
        <v>1511</v>
      </c>
      <c r="AF2896" s="2">
        <v>23</v>
      </c>
      <c r="AG2896" s="2">
        <v>1</v>
      </c>
      <c r="AH2896" s="3" t="s">
        <v>2990</v>
      </c>
      <c r="AI2896" s="4">
        <v>45029</v>
      </c>
      <c r="AJ2896" s="3" t="s">
        <v>3034</v>
      </c>
      <c r="AK2896" s="3" t="s">
        <v>38</v>
      </c>
    </row>
    <row r="2897" spans="1:37" hidden="1" x14ac:dyDescent="0.25">
      <c r="A2897" t="str">
        <f t="shared" si="45"/>
        <v>2023_SA_Warnertown_Lentil_SatelliteTOS1VarietyHallmarkXTWaterTrtRainFedAgronomyDensity_1</v>
      </c>
      <c r="B2897" s="2">
        <v>2023033</v>
      </c>
      <c r="C2897" s="3" t="s">
        <v>3033</v>
      </c>
      <c r="D2897" s="3" t="s">
        <v>38</v>
      </c>
      <c r="F2897" s="3" t="s">
        <v>4189</v>
      </c>
      <c r="G2897" s="3" t="s">
        <v>39</v>
      </c>
      <c r="H2897" s="3" t="s">
        <v>253</v>
      </c>
      <c r="I2897" s="2">
        <v>2</v>
      </c>
      <c r="J2897" s="2">
        <v>2</v>
      </c>
      <c r="K2897" s="2">
        <v>1</v>
      </c>
      <c r="O2897" s="2">
        <v>1</v>
      </c>
      <c r="U2897" s="2">
        <v>2</v>
      </c>
      <c r="V2897" s="2">
        <v>2</v>
      </c>
      <c r="W2897" s="2">
        <v>2</v>
      </c>
      <c r="X2897" s="2">
        <v>1</v>
      </c>
      <c r="Z2897" s="2">
        <v>2</v>
      </c>
      <c r="AA2897" s="3" t="s">
        <v>40</v>
      </c>
      <c r="AB2897" s="2">
        <v>1</v>
      </c>
      <c r="AC2897" s="3" t="s">
        <v>1513</v>
      </c>
      <c r="AF2897" s="2">
        <v>23</v>
      </c>
      <c r="AG2897" s="2">
        <v>1</v>
      </c>
      <c r="AH2897" s="3" t="s">
        <v>2990</v>
      </c>
      <c r="AI2897" s="4">
        <v>45029</v>
      </c>
      <c r="AJ2897" s="3" t="s">
        <v>3035</v>
      </c>
      <c r="AK2897" s="3" t="s">
        <v>38</v>
      </c>
    </row>
    <row r="2898" spans="1:37" hidden="1" x14ac:dyDescent="0.25">
      <c r="A2898" t="str">
        <f t="shared" si="45"/>
        <v>2023_SA_Warnertown_Lentil_SatelliteTOS1VarietyJumbo2WaterTrtRainFedAgronomyDensity_1</v>
      </c>
      <c r="B2898" s="2">
        <v>2023033</v>
      </c>
      <c r="C2898" s="3" t="s">
        <v>3033</v>
      </c>
      <c r="D2898" s="3" t="s">
        <v>38</v>
      </c>
      <c r="F2898" s="3" t="s">
        <v>4176</v>
      </c>
      <c r="G2898" s="3" t="s">
        <v>43</v>
      </c>
      <c r="H2898" s="3" t="s">
        <v>253</v>
      </c>
      <c r="I2898" s="2">
        <v>3</v>
      </c>
      <c r="J2898" s="2">
        <v>3</v>
      </c>
      <c r="K2898" s="2">
        <v>1</v>
      </c>
      <c r="O2898" s="2">
        <v>1</v>
      </c>
      <c r="U2898" s="2">
        <v>3</v>
      </c>
      <c r="V2898" s="2">
        <v>2</v>
      </c>
      <c r="W2898" s="2">
        <v>3</v>
      </c>
      <c r="X2898" s="2">
        <v>1</v>
      </c>
      <c r="Z2898" s="2">
        <v>3</v>
      </c>
      <c r="AA2898" s="3" t="s">
        <v>40</v>
      </c>
      <c r="AB2898" s="2">
        <v>3</v>
      </c>
      <c r="AC2898" s="3" t="s">
        <v>1513</v>
      </c>
      <c r="AF2898" s="2">
        <v>23</v>
      </c>
      <c r="AG2898" s="2">
        <v>1</v>
      </c>
      <c r="AH2898" s="3" t="s">
        <v>2990</v>
      </c>
      <c r="AI2898" s="4">
        <v>45029</v>
      </c>
      <c r="AJ2898" s="3" t="s">
        <v>3036</v>
      </c>
      <c r="AK2898" s="3" t="s">
        <v>38</v>
      </c>
    </row>
    <row r="2899" spans="1:37" hidden="1" x14ac:dyDescent="0.25">
      <c r="A2899" t="str">
        <f t="shared" si="45"/>
        <v>2023_SA_Warnertown_Lentil_SatelliteTOS1VarietyBoltWaterTrtRainFedAgronomyDensity_1</v>
      </c>
      <c r="B2899" s="2">
        <v>2023033</v>
      </c>
      <c r="C2899" s="3" t="s">
        <v>3033</v>
      </c>
      <c r="D2899" s="3" t="s">
        <v>38</v>
      </c>
      <c r="F2899" s="3" t="s">
        <v>4187</v>
      </c>
      <c r="G2899" s="3" t="s">
        <v>39</v>
      </c>
      <c r="H2899" s="3" t="s">
        <v>253</v>
      </c>
      <c r="I2899" s="2">
        <v>4</v>
      </c>
      <c r="J2899" s="2">
        <v>4</v>
      </c>
      <c r="K2899" s="2">
        <v>1</v>
      </c>
      <c r="O2899" s="2">
        <v>1</v>
      </c>
      <c r="U2899" s="2">
        <v>1</v>
      </c>
      <c r="V2899" s="2">
        <v>3</v>
      </c>
      <c r="W2899" s="2">
        <v>1</v>
      </c>
      <c r="X2899" s="2">
        <v>2</v>
      </c>
      <c r="Z2899" s="2">
        <v>6</v>
      </c>
      <c r="AA2899" s="3" t="s">
        <v>40</v>
      </c>
      <c r="AB2899" s="2">
        <v>2</v>
      </c>
      <c r="AC2899" s="3" t="s">
        <v>1513</v>
      </c>
      <c r="AF2899" s="2">
        <v>23</v>
      </c>
      <c r="AG2899" s="2">
        <v>1</v>
      </c>
      <c r="AH2899" s="3" t="s">
        <v>2990</v>
      </c>
      <c r="AI2899" s="4">
        <v>45029</v>
      </c>
      <c r="AJ2899" s="3" t="s">
        <v>3037</v>
      </c>
      <c r="AK2899" s="3" t="s">
        <v>38</v>
      </c>
    </row>
    <row r="2900" spans="1:37" hidden="1" x14ac:dyDescent="0.25">
      <c r="A2900" t="str">
        <f t="shared" si="45"/>
        <v>2023_SA_Warnertown_Lentil_SatelliteTOS1VarietyKelpieXTWaterTrtRainFedAgronomyDensity_1</v>
      </c>
      <c r="B2900" s="2">
        <v>2023033</v>
      </c>
      <c r="C2900" s="3" t="s">
        <v>3033</v>
      </c>
      <c r="D2900" s="3" t="s">
        <v>38</v>
      </c>
      <c r="F2900" s="3" t="s">
        <v>4188</v>
      </c>
      <c r="G2900" s="3" t="s">
        <v>43</v>
      </c>
      <c r="H2900" s="3" t="s">
        <v>253</v>
      </c>
      <c r="I2900" s="2">
        <v>5</v>
      </c>
      <c r="J2900" s="2">
        <v>5</v>
      </c>
      <c r="K2900" s="2">
        <v>1</v>
      </c>
      <c r="O2900" s="2">
        <v>1</v>
      </c>
      <c r="U2900" s="2">
        <v>2</v>
      </c>
      <c r="V2900" s="2">
        <v>3</v>
      </c>
      <c r="W2900" s="2">
        <v>2</v>
      </c>
      <c r="X2900" s="2">
        <v>2</v>
      </c>
      <c r="Z2900" s="2">
        <v>5</v>
      </c>
      <c r="AA2900" s="3" t="s">
        <v>40</v>
      </c>
      <c r="AB2900" s="2">
        <v>4</v>
      </c>
      <c r="AC2900" s="3" t="s">
        <v>1513</v>
      </c>
      <c r="AF2900" s="2">
        <v>23</v>
      </c>
      <c r="AG2900" s="2">
        <v>1</v>
      </c>
      <c r="AH2900" s="3" t="s">
        <v>2990</v>
      </c>
      <c r="AI2900" s="4">
        <v>45029</v>
      </c>
      <c r="AJ2900" s="3" t="s">
        <v>3038</v>
      </c>
      <c r="AK2900" s="3" t="s">
        <v>38</v>
      </c>
    </row>
    <row r="2901" spans="1:37" hidden="1" x14ac:dyDescent="0.25">
      <c r="A2901" t="str">
        <f t="shared" si="45"/>
        <v>2023_SA_Warnertown_Lentil_SatelliteTOS1VarietyJumbo2WaterTrtRainFedAgronomyDensity_0.66</v>
      </c>
      <c r="B2901" s="2">
        <v>2023033</v>
      </c>
      <c r="C2901" s="3" t="s">
        <v>3033</v>
      </c>
      <c r="D2901" s="3" t="s">
        <v>38</v>
      </c>
      <c r="F2901" s="3" t="s">
        <v>4176</v>
      </c>
      <c r="G2901" s="3" t="s">
        <v>43</v>
      </c>
      <c r="H2901" s="3" t="s">
        <v>253</v>
      </c>
      <c r="I2901" s="2">
        <v>6</v>
      </c>
      <c r="J2901" s="2">
        <v>6</v>
      </c>
      <c r="K2901" s="2">
        <v>1</v>
      </c>
      <c r="O2901" s="2">
        <v>1</v>
      </c>
      <c r="U2901" s="2">
        <v>3</v>
      </c>
      <c r="V2901" s="2">
        <v>3</v>
      </c>
      <c r="W2901" s="2">
        <v>3</v>
      </c>
      <c r="X2901" s="2">
        <v>2</v>
      </c>
      <c r="Z2901" s="2">
        <v>4</v>
      </c>
      <c r="AA2901" s="3" t="s">
        <v>40</v>
      </c>
      <c r="AB2901" s="2">
        <v>6</v>
      </c>
      <c r="AC2901" s="3" t="s">
        <v>1511</v>
      </c>
      <c r="AF2901" s="2">
        <v>23</v>
      </c>
      <c r="AG2901" s="2">
        <v>1</v>
      </c>
      <c r="AH2901" s="3" t="s">
        <v>2990</v>
      </c>
      <c r="AI2901" s="4">
        <v>45029</v>
      </c>
      <c r="AJ2901" s="3" t="s">
        <v>3039</v>
      </c>
      <c r="AK2901" s="3" t="s">
        <v>38</v>
      </c>
    </row>
    <row r="2902" spans="1:37" hidden="1" x14ac:dyDescent="0.25">
      <c r="A2902" t="str">
        <f t="shared" si="45"/>
        <v>2023_SA_Warnertown_Lentil_SatelliteTOS2VarietyJumbo2WaterTrtRainFedAgronomyDensity_1</v>
      </c>
      <c r="B2902" s="2">
        <v>2023033</v>
      </c>
      <c r="C2902" s="3" t="s">
        <v>3033</v>
      </c>
      <c r="D2902" s="3" t="s">
        <v>38</v>
      </c>
      <c r="F2902" s="3" t="s">
        <v>4176</v>
      </c>
      <c r="G2902" s="3" t="s">
        <v>43</v>
      </c>
      <c r="H2902" s="3" t="s">
        <v>253</v>
      </c>
      <c r="I2902" s="2">
        <v>7</v>
      </c>
      <c r="J2902" s="2">
        <v>7</v>
      </c>
      <c r="K2902" s="2">
        <v>1</v>
      </c>
      <c r="O2902" s="2">
        <v>2</v>
      </c>
      <c r="U2902" s="2">
        <v>1</v>
      </c>
      <c r="V2902" s="2">
        <v>5</v>
      </c>
      <c r="W2902" s="2">
        <v>1</v>
      </c>
      <c r="X2902" s="2">
        <v>3</v>
      </c>
      <c r="Z2902" s="2">
        <v>7</v>
      </c>
      <c r="AA2902" s="3" t="s">
        <v>40</v>
      </c>
      <c r="AB2902" s="2">
        <v>3</v>
      </c>
      <c r="AC2902" s="3" t="s">
        <v>1513</v>
      </c>
      <c r="AF2902" s="2">
        <v>23</v>
      </c>
      <c r="AG2902" s="2">
        <v>2</v>
      </c>
      <c r="AH2902" s="3" t="s">
        <v>2983</v>
      </c>
      <c r="AI2902" s="4">
        <v>45054</v>
      </c>
      <c r="AJ2902" s="3" t="s">
        <v>3040</v>
      </c>
      <c r="AK2902" s="3" t="s">
        <v>38</v>
      </c>
    </row>
    <row r="2903" spans="1:37" hidden="1" x14ac:dyDescent="0.25">
      <c r="A2903" t="str">
        <f t="shared" si="45"/>
        <v>2023_SA_Warnertown_Lentil_SatelliteTOS2VarietyBoltWaterTrtRainFedAgronomyDensity_1</v>
      </c>
      <c r="B2903" s="2">
        <v>2023033</v>
      </c>
      <c r="C2903" s="3" t="s">
        <v>3033</v>
      </c>
      <c r="D2903" s="3" t="s">
        <v>38</v>
      </c>
      <c r="F2903" s="3" t="s">
        <v>4187</v>
      </c>
      <c r="G2903" s="3" t="s">
        <v>39</v>
      </c>
      <c r="H2903" s="3" t="s">
        <v>253</v>
      </c>
      <c r="I2903" s="2">
        <v>8</v>
      </c>
      <c r="J2903" s="2">
        <v>8</v>
      </c>
      <c r="K2903" s="2">
        <v>1</v>
      </c>
      <c r="O2903" s="2">
        <v>2</v>
      </c>
      <c r="U2903" s="2">
        <v>2</v>
      </c>
      <c r="V2903" s="2">
        <v>5</v>
      </c>
      <c r="W2903" s="2">
        <v>2</v>
      </c>
      <c r="X2903" s="2">
        <v>3</v>
      </c>
      <c r="Z2903" s="2">
        <v>8</v>
      </c>
      <c r="AA2903" s="3" t="s">
        <v>40</v>
      </c>
      <c r="AB2903" s="2">
        <v>2</v>
      </c>
      <c r="AC2903" s="3" t="s">
        <v>1513</v>
      </c>
      <c r="AF2903" s="2">
        <v>23</v>
      </c>
      <c r="AG2903" s="2">
        <v>2</v>
      </c>
      <c r="AH2903" s="3" t="s">
        <v>2983</v>
      </c>
      <c r="AI2903" s="4">
        <v>45054</v>
      </c>
      <c r="AJ2903" s="3" t="s">
        <v>3041</v>
      </c>
      <c r="AK2903" s="3" t="s">
        <v>38</v>
      </c>
    </row>
    <row r="2904" spans="1:37" hidden="1" x14ac:dyDescent="0.25">
      <c r="A2904" t="str">
        <f t="shared" si="45"/>
        <v>2023_SA_Warnertown_Lentil_SatelliteTOS2VarietyHallmarkXTWaterTrtRainFedAgronomyDensity_1</v>
      </c>
      <c r="B2904" s="2">
        <v>2023033</v>
      </c>
      <c r="C2904" s="3" t="s">
        <v>3033</v>
      </c>
      <c r="D2904" s="3" t="s">
        <v>38</v>
      </c>
      <c r="F2904" s="3" t="s">
        <v>4189</v>
      </c>
      <c r="G2904" s="3" t="s">
        <v>39</v>
      </c>
      <c r="H2904" s="3" t="s">
        <v>253</v>
      </c>
      <c r="I2904" s="2">
        <v>9</v>
      </c>
      <c r="J2904" s="2">
        <v>9</v>
      </c>
      <c r="K2904" s="2">
        <v>1</v>
      </c>
      <c r="O2904" s="2">
        <v>2</v>
      </c>
      <c r="U2904" s="2">
        <v>3</v>
      </c>
      <c r="V2904" s="2">
        <v>5</v>
      </c>
      <c r="W2904" s="2">
        <v>3</v>
      </c>
      <c r="X2904" s="2">
        <v>3</v>
      </c>
      <c r="Z2904" s="2">
        <v>9</v>
      </c>
      <c r="AA2904" s="3" t="s">
        <v>40</v>
      </c>
      <c r="AB2904" s="2">
        <v>1</v>
      </c>
      <c r="AC2904" s="3" t="s">
        <v>1513</v>
      </c>
      <c r="AF2904" s="2">
        <v>23</v>
      </c>
      <c r="AG2904" s="2">
        <v>2</v>
      </c>
      <c r="AH2904" s="3" t="s">
        <v>2983</v>
      </c>
      <c r="AI2904" s="4">
        <v>45054</v>
      </c>
      <c r="AJ2904" s="3" t="s">
        <v>3042</v>
      </c>
      <c r="AK2904" s="3" t="s">
        <v>38</v>
      </c>
    </row>
    <row r="2905" spans="1:37" hidden="1" x14ac:dyDescent="0.25">
      <c r="A2905" t="str">
        <f t="shared" si="45"/>
        <v>2023_SA_Warnertown_Lentil_SatelliteTOS2VarietyKelpieXTWaterTrtRainFedAgronomyDensity_1</v>
      </c>
      <c r="B2905" s="2">
        <v>2023033</v>
      </c>
      <c r="C2905" s="3" t="s">
        <v>3033</v>
      </c>
      <c r="D2905" s="3" t="s">
        <v>38</v>
      </c>
      <c r="F2905" s="3" t="s">
        <v>4188</v>
      </c>
      <c r="G2905" s="3" t="s">
        <v>43</v>
      </c>
      <c r="H2905" s="3" t="s">
        <v>253</v>
      </c>
      <c r="I2905" s="2">
        <v>10</v>
      </c>
      <c r="J2905" s="2">
        <v>10</v>
      </c>
      <c r="K2905" s="2">
        <v>1</v>
      </c>
      <c r="O2905" s="2">
        <v>2</v>
      </c>
      <c r="U2905" s="2">
        <v>1</v>
      </c>
      <c r="V2905" s="2">
        <v>6</v>
      </c>
      <c r="W2905" s="2">
        <v>1</v>
      </c>
      <c r="X2905" s="2">
        <v>4</v>
      </c>
      <c r="Z2905" s="2">
        <v>12</v>
      </c>
      <c r="AA2905" s="3" t="s">
        <v>40</v>
      </c>
      <c r="AB2905" s="2">
        <v>4</v>
      </c>
      <c r="AC2905" s="3" t="s">
        <v>1513</v>
      </c>
      <c r="AF2905" s="2">
        <v>23</v>
      </c>
      <c r="AG2905" s="2">
        <v>2</v>
      </c>
      <c r="AH2905" s="3" t="s">
        <v>2983</v>
      </c>
      <c r="AI2905" s="4">
        <v>45054</v>
      </c>
      <c r="AJ2905" s="3" t="s">
        <v>3043</v>
      </c>
      <c r="AK2905" s="3" t="s">
        <v>38</v>
      </c>
    </row>
    <row r="2906" spans="1:37" hidden="1" x14ac:dyDescent="0.25">
      <c r="A2906" t="str">
        <f t="shared" si="45"/>
        <v>2023_SA_Warnertown_Lentil_SatelliteTOS2VarietyBoltWaterTrtRainFedAgronomyDensity_0.66</v>
      </c>
      <c r="B2906" s="2">
        <v>2023033</v>
      </c>
      <c r="C2906" s="3" t="s">
        <v>3033</v>
      </c>
      <c r="D2906" s="3" t="s">
        <v>38</v>
      </c>
      <c r="F2906" s="3" t="s">
        <v>4187</v>
      </c>
      <c r="G2906" s="3" t="s">
        <v>39</v>
      </c>
      <c r="H2906" s="3" t="s">
        <v>253</v>
      </c>
      <c r="I2906" s="2">
        <v>11</v>
      </c>
      <c r="J2906" s="2">
        <v>11</v>
      </c>
      <c r="K2906" s="2">
        <v>1</v>
      </c>
      <c r="O2906" s="2">
        <v>2</v>
      </c>
      <c r="U2906" s="2">
        <v>2</v>
      </c>
      <c r="V2906" s="2">
        <v>6</v>
      </c>
      <c r="W2906" s="2">
        <v>2</v>
      </c>
      <c r="X2906" s="2">
        <v>4</v>
      </c>
      <c r="Z2906" s="2">
        <v>11</v>
      </c>
      <c r="AA2906" s="3" t="s">
        <v>40</v>
      </c>
      <c r="AB2906" s="2">
        <v>5</v>
      </c>
      <c r="AC2906" s="3" t="s">
        <v>1511</v>
      </c>
      <c r="AF2906" s="2">
        <v>23</v>
      </c>
      <c r="AG2906" s="2">
        <v>2</v>
      </c>
      <c r="AH2906" s="3" t="s">
        <v>2983</v>
      </c>
      <c r="AI2906" s="4">
        <v>45054</v>
      </c>
      <c r="AJ2906" s="3" t="s">
        <v>3044</v>
      </c>
      <c r="AK2906" s="3" t="s">
        <v>38</v>
      </c>
    </row>
    <row r="2907" spans="1:37" hidden="1" x14ac:dyDescent="0.25">
      <c r="A2907" t="str">
        <f t="shared" si="45"/>
        <v>2023_SA_Warnertown_Lentil_SatelliteTOS2VarietyJumbo2WaterTrtRainFedAgronomyDensity_0.66</v>
      </c>
      <c r="B2907" s="2">
        <v>2023033</v>
      </c>
      <c r="C2907" s="3" t="s">
        <v>3033</v>
      </c>
      <c r="D2907" s="3" t="s">
        <v>38</v>
      </c>
      <c r="F2907" s="3" t="s">
        <v>4176</v>
      </c>
      <c r="G2907" s="3" t="s">
        <v>43</v>
      </c>
      <c r="H2907" s="3" t="s">
        <v>253</v>
      </c>
      <c r="I2907" s="2">
        <v>12</v>
      </c>
      <c r="J2907" s="2">
        <v>12</v>
      </c>
      <c r="K2907" s="2">
        <v>1</v>
      </c>
      <c r="O2907" s="2">
        <v>2</v>
      </c>
      <c r="U2907" s="2">
        <v>3</v>
      </c>
      <c r="V2907" s="2">
        <v>6</v>
      </c>
      <c r="W2907" s="2">
        <v>3</v>
      </c>
      <c r="X2907" s="2">
        <v>4</v>
      </c>
      <c r="Z2907" s="2">
        <v>10</v>
      </c>
      <c r="AA2907" s="3" t="s">
        <v>40</v>
      </c>
      <c r="AB2907" s="2">
        <v>6</v>
      </c>
      <c r="AC2907" s="3" t="s">
        <v>1511</v>
      </c>
      <c r="AF2907" s="2">
        <v>23</v>
      </c>
      <c r="AG2907" s="2">
        <v>2</v>
      </c>
      <c r="AH2907" s="3" t="s">
        <v>2983</v>
      </c>
      <c r="AI2907" s="4">
        <v>45054</v>
      </c>
      <c r="AJ2907" s="3" t="s">
        <v>3045</v>
      </c>
      <c r="AK2907" s="3" t="s">
        <v>38</v>
      </c>
    </row>
    <row r="2908" spans="1:37" hidden="1" x14ac:dyDescent="0.25">
      <c r="A2908" t="str">
        <f t="shared" si="45"/>
        <v>2023_SA_Warnertown_Lentil_SatelliteTOS2VarietyHallmarkXTWaterTrtRainFedAgronomyDensity_1</v>
      </c>
      <c r="B2908" s="2">
        <v>2023033</v>
      </c>
      <c r="C2908" s="3" t="s">
        <v>3033</v>
      </c>
      <c r="D2908" s="3" t="s">
        <v>38</v>
      </c>
      <c r="F2908" s="3" t="s">
        <v>4189</v>
      </c>
      <c r="G2908" s="3" t="s">
        <v>39</v>
      </c>
      <c r="H2908" s="3" t="s">
        <v>253</v>
      </c>
      <c r="I2908" s="2">
        <v>13</v>
      </c>
      <c r="J2908" s="2">
        <v>13</v>
      </c>
      <c r="K2908" s="2">
        <v>2</v>
      </c>
      <c r="O2908" s="2">
        <v>3</v>
      </c>
      <c r="U2908" s="2">
        <v>1</v>
      </c>
      <c r="V2908" s="2">
        <v>8</v>
      </c>
      <c r="W2908" s="2">
        <v>1</v>
      </c>
      <c r="X2908" s="2">
        <v>5</v>
      </c>
      <c r="Z2908" s="2">
        <v>13</v>
      </c>
      <c r="AA2908" s="3" t="s">
        <v>40</v>
      </c>
      <c r="AB2908" s="2">
        <v>1</v>
      </c>
      <c r="AC2908" s="3" t="s">
        <v>1513</v>
      </c>
      <c r="AF2908" s="2">
        <v>23</v>
      </c>
      <c r="AG2908" s="2">
        <v>2</v>
      </c>
      <c r="AH2908" s="3" t="s">
        <v>2983</v>
      </c>
      <c r="AI2908" s="4">
        <v>45054</v>
      </c>
      <c r="AJ2908" s="3" t="s">
        <v>3046</v>
      </c>
      <c r="AK2908" s="3" t="s">
        <v>38</v>
      </c>
    </row>
    <row r="2909" spans="1:37" hidden="1" x14ac:dyDescent="0.25">
      <c r="A2909" t="str">
        <f t="shared" si="45"/>
        <v>2023_SA_Warnertown_Lentil_SatelliteTOS2VarietyJumbo2WaterTrtRainFedAgronomyDensity_0.66</v>
      </c>
      <c r="B2909" s="2">
        <v>2023033</v>
      </c>
      <c r="C2909" s="3" t="s">
        <v>3033</v>
      </c>
      <c r="D2909" s="3" t="s">
        <v>38</v>
      </c>
      <c r="F2909" s="3" t="s">
        <v>4176</v>
      </c>
      <c r="G2909" s="3" t="s">
        <v>43</v>
      </c>
      <c r="H2909" s="3" t="s">
        <v>253</v>
      </c>
      <c r="I2909" s="2">
        <v>14</v>
      </c>
      <c r="J2909" s="2">
        <v>14</v>
      </c>
      <c r="K2909" s="2">
        <v>2</v>
      </c>
      <c r="O2909" s="2">
        <v>3</v>
      </c>
      <c r="U2909" s="2">
        <v>2</v>
      </c>
      <c r="V2909" s="2">
        <v>8</v>
      </c>
      <c r="W2909" s="2">
        <v>2</v>
      </c>
      <c r="X2909" s="2">
        <v>5</v>
      </c>
      <c r="Z2909" s="2">
        <v>14</v>
      </c>
      <c r="AA2909" s="3" t="s">
        <v>40</v>
      </c>
      <c r="AB2909" s="2">
        <v>6</v>
      </c>
      <c r="AC2909" s="3" t="s">
        <v>1511</v>
      </c>
      <c r="AF2909" s="2">
        <v>23</v>
      </c>
      <c r="AG2909" s="2">
        <v>2</v>
      </c>
      <c r="AH2909" s="3" t="s">
        <v>2983</v>
      </c>
      <c r="AI2909" s="4">
        <v>45054</v>
      </c>
      <c r="AJ2909" s="3" t="s">
        <v>3047</v>
      </c>
      <c r="AK2909" s="3" t="s">
        <v>38</v>
      </c>
    </row>
    <row r="2910" spans="1:37" hidden="1" x14ac:dyDescent="0.25">
      <c r="A2910" t="str">
        <f t="shared" si="45"/>
        <v>2023_SA_Warnertown_Lentil_SatelliteTOS2VarietyBoltWaterTrtRainFedAgronomyDensity_1</v>
      </c>
      <c r="B2910" s="2">
        <v>2023033</v>
      </c>
      <c r="C2910" s="3" t="s">
        <v>3033</v>
      </c>
      <c r="D2910" s="3" t="s">
        <v>38</v>
      </c>
      <c r="F2910" s="3" t="s">
        <v>4187</v>
      </c>
      <c r="G2910" s="3" t="s">
        <v>39</v>
      </c>
      <c r="H2910" s="3" t="s">
        <v>253</v>
      </c>
      <c r="I2910" s="2">
        <v>15</v>
      </c>
      <c r="J2910" s="2">
        <v>15</v>
      </c>
      <c r="K2910" s="2">
        <v>2</v>
      </c>
      <c r="O2910" s="2">
        <v>3</v>
      </c>
      <c r="U2910" s="2">
        <v>3</v>
      </c>
      <c r="V2910" s="2">
        <v>8</v>
      </c>
      <c r="W2910" s="2">
        <v>3</v>
      </c>
      <c r="X2910" s="2">
        <v>5</v>
      </c>
      <c r="Z2910" s="2">
        <v>15</v>
      </c>
      <c r="AA2910" s="3" t="s">
        <v>40</v>
      </c>
      <c r="AB2910" s="2">
        <v>2</v>
      </c>
      <c r="AC2910" s="3" t="s">
        <v>1513</v>
      </c>
      <c r="AF2910" s="2">
        <v>23</v>
      </c>
      <c r="AG2910" s="2">
        <v>2</v>
      </c>
      <c r="AH2910" s="3" t="s">
        <v>2983</v>
      </c>
      <c r="AI2910" s="4">
        <v>45054</v>
      </c>
      <c r="AJ2910" s="3" t="s">
        <v>3048</v>
      </c>
      <c r="AK2910" s="3" t="s">
        <v>38</v>
      </c>
    </row>
    <row r="2911" spans="1:37" hidden="1" x14ac:dyDescent="0.25">
      <c r="A2911" t="str">
        <f t="shared" si="45"/>
        <v>2023_SA_Warnertown_Lentil_SatelliteTOS2VarietyKelpieXTWaterTrtRainFedAgronomyDensity_1</v>
      </c>
      <c r="B2911" s="2">
        <v>2023033</v>
      </c>
      <c r="C2911" s="3" t="s">
        <v>3033</v>
      </c>
      <c r="D2911" s="3" t="s">
        <v>38</v>
      </c>
      <c r="F2911" s="3" t="s">
        <v>4188</v>
      </c>
      <c r="G2911" s="3" t="s">
        <v>43</v>
      </c>
      <c r="H2911" s="3" t="s">
        <v>253</v>
      </c>
      <c r="I2911" s="2">
        <v>16</v>
      </c>
      <c r="J2911" s="2">
        <v>16</v>
      </c>
      <c r="K2911" s="2">
        <v>2</v>
      </c>
      <c r="O2911" s="2">
        <v>3</v>
      </c>
      <c r="U2911" s="2">
        <v>1</v>
      </c>
      <c r="V2911" s="2">
        <v>9</v>
      </c>
      <c r="W2911" s="2">
        <v>1</v>
      </c>
      <c r="X2911" s="2">
        <v>6</v>
      </c>
      <c r="Z2911" s="2">
        <v>18</v>
      </c>
      <c r="AA2911" s="3" t="s">
        <v>40</v>
      </c>
      <c r="AB2911" s="2">
        <v>4</v>
      </c>
      <c r="AC2911" s="3" t="s">
        <v>1513</v>
      </c>
      <c r="AF2911" s="2">
        <v>23</v>
      </c>
      <c r="AG2911" s="2">
        <v>2</v>
      </c>
      <c r="AH2911" s="3" t="s">
        <v>2983</v>
      </c>
      <c r="AI2911" s="4">
        <v>45054</v>
      </c>
      <c r="AJ2911" s="3" t="s">
        <v>3049</v>
      </c>
      <c r="AK2911" s="3" t="s">
        <v>38</v>
      </c>
    </row>
    <row r="2912" spans="1:37" hidden="1" x14ac:dyDescent="0.25">
      <c r="A2912" t="str">
        <f t="shared" si="45"/>
        <v>2023_SA_Warnertown_Lentil_SatelliteTOS2VarietyBoltWaterTrtRainFedAgronomyDensity_0.66</v>
      </c>
      <c r="B2912" s="2">
        <v>2023033</v>
      </c>
      <c r="C2912" s="3" t="s">
        <v>3033</v>
      </c>
      <c r="D2912" s="3" t="s">
        <v>38</v>
      </c>
      <c r="F2912" s="3" t="s">
        <v>4187</v>
      </c>
      <c r="G2912" s="3" t="s">
        <v>39</v>
      </c>
      <c r="H2912" s="3" t="s">
        <v>253</v>
      </c>
      <c r="I2912" s="2">
        <v>17</v>
      </c>
      <c r="J2912" s="2">
        <v>17</v>
      </c>
      <c r="K2912" s="2">
        <v>2</v>
      </c>
      <c r="O2912" s="2">
        <v>3</v>
      </c>
      <c r="U2912" s="2">
        <v>2</v>
      </c>
      <c r="V2912" s="2">
        <v>9</v>
      </c>
      <c r="W2912" s="2">
        <v>2</v>
      </c>
      <c r="X2912" s="2">
        <v>6</v>
      </c>
      <c r="Z2912" s="2">
        <v>17</v>
      </c>
      <c r="AA2912" s="3" t="s">
        <v>40</v>
      </c>
      <c r="AB2912" s="2">
        <v>5</v>
      </c>
      <c r="AC2912" s="3" t="s">
        <v>1511</v>
      </c>
      <c r="AF2912" s="2">
        <v>23</v>
      </c>
      <c r="AG2912" s="2">
        <v>2</v>
      </c>
      <c r="AH2912" s="3" t="s">
        <v>2983</v>
      </c>
      <c r="AI2912" s="4">
        <v>45054</v>
      </c>
      <c r="AJ2912" s="3" t="s">
        <v>3050</v>
      </c>
      <c r="AK2912" s="3" t="s">
        <v>38</v>
      </c>
    </row>
    <row r="2913" spans="1:37" hidden="1" x14ac:dyDescent="0.25">
      <c r="A2913" t="str">
        <f t="shared" si="45"/>
        <v>2023_SA_Warnertown_Lentil_SatelliteTOS2VarietyJumbo2WaterTrtRainFedAgronomyDensity_1</v>
      </c>
      <c r="B2913" s="2">
        <v>2023033</v>
      </c>
      <c r="C2913" s="3" t="s">
        <v>3033</v>
      </c>
      <c r="D2913" s="3" t="s">
        <v>38</v>
      </c>
      <c r="F2913" s="3" t="s">
        <v>4176</v>
      </c>
      <c r="G2913" s="3" t="s">
        <v>43</v>
      </c>
      <c r="H2913" s="3" t="s">
        <v>253</v>
      </c>
      <c r="I2913" s="2">
        <v>18</v>
      </c>
      <c r="J2913" s="2">
        <v>18</v>
      </c>
      <c r="K2913" s="2">
        <v>2</v>
      </c>
      <c r="O2913" s="2">
        <v>3</v>
      </c>
      <c r="U2913" s="2">
        <v>3</v>
      </c>
      <c r="V2913" s="2">
        <v>9</v>
      </c>
      <c r="W2913" s="2">
        <v>3</v>
      </c>
      <c r="X2913" s="2">
        <v>6</v>
      </c>
      <c r="Z2913" s="2">
        <v>16</v>
      </c>
      <c r="AA2913" s="3" t="s">
        <v>40</v>
      </c>
      <c r="AB2913" s="2">
        <v>3</v>
      </c>
      <c r="AC2913" s="3" t="s">
        <v>1513</v>
      </c>
      <c r="AF2913" s="2">
        <v>23</v>
      </c>
      <c r="AG2913" s="2">
        <v>2</v>
      </c>
      <c r="AH2913" s="3" t="s">
        <v>2983</v>
      </c>
      <c r="AI2913" s="4">
        <v>45054</v>
      </c>
      <c r="AJ2913" s="3" t="s">
        <v>3051</v>
      </c>
      <c r="AK2913" s="3" t="s">
        <v>38</v>
      </c>
    </row>
    <row r="2914" spans="1:37" hidden="1" x14ac:dyDescent="0.25">
      <c r="A2914" t="str">
        <f t="shared" si="45"/>
        <v>2023_SA_Warnertown_Lentil_SatelliteTOS1VarietyBoltWaterTrtRainFedAgronomyDensity_0.66</v>
      </c>
      <c r="B2914" s="2">
        <v>2023033</v>
      </c>
      <c r="C2914" s="3" t="s">
        <v>3033</v>
      </c>
      <c r="D2914" s="3" t="s">
        <v>38</v>
      </c>
      <c r="F2914" s="3" t="s">
        <v>4187</v>
      </c>
      <c r="G2914" s="3" t="s">
        <v>39</v>
      </c>
      <c r="H2914" s="3" t="s">
        <v>253</v>
      </c>
      <c r="I2914" s="2">
        <v>19</v>
      </c>
      <c r="J2914" s="2">
        <v>19</v>
      </c>
      <c r="K2914" s="2">
        <v>2</v>
      </c>
      <c r="O2914" s="2">
        <v>4</v>
      </c>
      <c r="U2914" s="2">
        <v>1</v>
      </c>
      <c r="V2914" s="2">
        <v>11</v>
      </c>
      <c r="W2914" s="2">
        <v>1</v>
      </c>
      <c r="X2914" s="2">
        <v>7</v>
      </c>
      <c r="Z2914" s="2">
        <v>19</v>
      </c>
      <c r="AA2914" s="3" t="s">
        <v>40</v>
      </c>
      <c r="AB2914" s="2">
        <v>5</v>
      </c>
      <c r="AC2914" s="3" t="s">
        <v>1511</v>
      </c>
      <c r="AF2914" s="2">
        <v>23</v>
      </c>
      <c r="AG2914" s="2">
        <v>1</v>
      </c>
      <c r="AH2914" s="3" t="s">
        <v>2990</v>
      </c>
      <c r="AI2914" s="4">
        <v>45029</v>
      </c>
      <c r="AJ2914" s="3" t="s">
        <v>3052</v>
      </c>
      <c r="AK2914" s="3" t="s">
        <v>38</v>
      </c>
    </row>
    <row r="2915" spans="1:37" hidden="1" x14ac:dyDescent="0.25">
      <c r="A2915" t="str">
        <f t="shared" si="45"/>
        <v>2023_SA_Warnertown_Lentil_SatelliteTOS1VarietyKelpieXTWaterTrtRainFedAgronomyDensity_1</v>
      </c>
      <c r="B2915" s="2">
        <v>2023033</v>
      </c>
      <c r="C2915" s="3" t="s">
        <v>3033</v>
      </c>
      <c r="D2915" s="3" t="s">
        <v>38</v>
      </c>
      <c r="F2915" s="3" t="s">
        <v>4188</v>
      </c>
      <c r="G2915" s="3" t="s">
        <v>43</v>
      </c>
      <c r="H2915" s="3" t="s">
        <v>253</v>
      </c>
      <c r="I2915" s="2">
        <v>20</v>
      </c>
      <c r="J2915" s="2">
        <v>20</v>
      </c>
      <c r="K2915" s="2">
        <v>2</v>
      </c>
      <c r="O2915" s="2">
        <v>4</v>
      </c>
      <c r="U2915" s="2">
        <v>2</v>
      </c>
      <c r="V2915" s="2">
        <v>11</v>
      </c>
      <c r="W2915" s="2">
        <v>2</v>
      </c>
      <c r="X2915" s="2">
        <v>7</v>
      </c>
      <c r="Z2915" s="2">
        <v>20</v>
      </c>
      <c r="AA2915" s="3" t="s">
        <v>40</v>
      </c>
      <c r="AB2915" s="2">
        <v>4</v>
      </c>
      <c r="AC2915" s="3" t="s">
        <v>1513</v>
      </c>
      <c r="AF2915" s="2">
        <v>23</v>
      </c>
      <c r="AG2915" s="2">
        <v>1</v>
      </c>
      <c r="AH2915" s="3" t="s">
        <v>2990</v>
      </c>
      <c r="AI2915" s="4">
        <v>45029</v>
      </c>
      <c r="AJ2915" s="3" t="s">
        <v>3053</v>
      </c>
      <c r="AK2915" s="3" t="s">
        <v>38</v>
      </c>
    </row>
    <row r="2916" spans="1:37" hidden="1" x14ac:dyDescent="0.25">
      <c r="A2916" t="str">
        <f t="shared" si="45"/>
        <v>2023_SA_Warnertown_Lentil_SatelliteTOS1VarietyHallmarkXTWaterTrtRainFedAgronomyDensity_1</v>
      </c>
      <c r="B2916" s="2">
        <v>2023033</v>
      </c>
      <c r="C2916" s="3" t="s">
        <v>3033</v>
      </c>
      <c r="D2916" s="3" t="s">
        <v>38</v>
      </c>
      <c r="F2916" s="3" t="s">
        <v>4189</v>
      </c>
      <c r="G2916" s="3" t="s">
        <v>39</v>
      </c>
      <c r="H2916" s="3" t="s">
        <v>253</v>
      </c>
      <c r="I2916" s="2">
        <v>21</v>
      </c>
      <c r="J2916" s="2">
        <v>21</v>
      </c>
      <c r="K2916" s="2">
        <v>2</v>
      </c>
      <c r="O2916" s="2">
        <v>4</v>
      </c>
      <c r="U2916" s="2">
        <v>3</v>
      </c>
      <c r="V2916" s="2">
        <v>11</v>
      </c>
      <c r="W2916" s="2">
        <v>3</v>
      </c>
      <c r="X2916" s="2">
        <v>7</v>
      </c>
      <c r="Z2916" s="2">
        <v>21</v>
      </c>
      <c r="AA2916" s="3" t="s">
        <v>40</v>
      </c>
      <c r="AB2916" s="2">
        <v>1</v>
      </c>
      <c r="AC2916" s="3" t="s">
        <v>1513</v>
      </c>
      <c r="AF2916" s="2">
        <v>23</v>
      </c>
      <c r="AG2916" s="2">
        <v>1</v>
      </c>
      <c r="AH2916" s="3" t="s">
        <v>2990</v>
      </c>
      <c r="AI2916" s="4">
        <v>45029</v>
      </c>
      <c r="AJ2916" s="3" t="s">
        <v>3054</v>
      </c>
      <c r="AK2916" s="3" t="s">
        <v>38</v>
      </c>
    </row>
    <row r="2917" spans="1:37" hidden="1" x14ac:dyDescent="0.25">
      <c r="A2917" t="str">
        <f t="shared" si="45"/>
        <v>2023_SA_Warnertown_Lentil_SatelliteTOS1VarietyJumbo2WaterTrtRainFedAgronomyDensity_0.66</v>
      </c>
      <c r="B2917" s="2">
        <v>2023033</v>
      </c>
      <c r="C2917" s="3" t="s">
        <v>3033</v>
      </c>
      <c r="D2917" s="3" t="s">
        <v>38</v>
      </c>
      <c r="F2917" s="3" t="s">
        <v>4176</v>
      </c>
      <c r="G2917" s="3" t="s">
        <v>43</v>
      </c>
      <c r="H2917" s="3" t="s">
        <v>253</v>
      </c>
      <c r="I2917" s="2">
        <v>22</v>
      </c>
      <c r="J2917" s="2">
        <v>22</v>
      </c>
      <c r="K2917" s="2">
        <v>2</v>
      </c>
      <c r="O2917" s="2">
        <v>4</v>
      </c>
      <c r="U2917" s="2">
        <v>1</v>
      </c>
      <c r="V2917" s="2">
        <v>12</v>
      </c>
      <c r="W2917" s="2">
        <v>1</v>
      </c>
      <c r="X2917" s="2">
        <v>8</v>
      </c>
      <c r="Z2917" s="2">
        <v>24</v>
      </c>
      <c r="AA2917" s="3" t="s">
        <v>40</v>
      </c>
      <c r="AB2917" s="2">
        <v>6</v>
      </c>
      <c r="AC2917" s="3" t="s">
        <v>1511</v>
      </c>
      <c r="AF2917" s="2">
        <v>23</v>
      </c>
      <c r="AG2917" s="2">
        <v>1</v>
      </c>
      <c r="AH2917" s="3" t="s">
        <v>2990</v>
      </c>
      <c r="AI2917" s="4">
        <v>45029</v>
      </c>
      <c r="AJ2917" s="3" t="s">
        <v>3055</v>
      </c>
      <c r="AK2917" s="3" t="s">
        <v>38</v>
      </c>
    </row>
    <row r="2918" spans="1:37" hidden="1" x14ac:dyDescent="0.25">
      <c r="A2918" t="str">
        <f t="shared" si="45"/>
        <v>2023_SA_Warnertown_Lentil_SatelliteTOS1VarietyBoltWaterTrtRainFedAgronomyDensity_1</v>
      </c>
      <c r="B2918" s="2">
        <v>2023033</v>
      </c>
      <c r="C2918" s="3" t="s">
        <v>3033</v>
      </c>
      <c r="D2918" s="3" t="s">
        <v>38</v>
      </c>
      <c r="F2918" s="3" t="s">
        <v>4187</v>
      </c>
      <c r="G2918" s="3" t="s">
        <v>39</v>
      </c>
      <c r="H2918" s="3" t="s">
        <v>253</v>
      </c>
      <c r="I2918" s="2">
        <v>23</v>
      </c>
      <c r="J2918" s="2">
        <v>23</v>
      </c>
      <c r="K2918" s="2">
        <v>2</v>
      </c>
      <c r="O2918" s="2">
        <v>4</v>
      </c>
      <c r="U2918" s="2">
        <v>2</v>
      </c>
      <c r="V2918" s="2">
        <v>12</v>
      </c>
      <c r="W2918" s="2">
        <v>2</v>
      </c>
      <c r="X2918" s="2">
        <v>8</v>
      </c>
      <c r="Z2918" s="2">
        <v>23</v>
      </c>
      <c r="AA2918" s="3" t="s">
        <v>40</v>
      </c>
      <c r="AB2918" s="2">
        <v>2</v>
      </c>
      <c r="AC2918" s="3" t="s">
        <v>1513</v>
      </c>
      <c r="AF2918" s="2">
        <v>23</v>
      </c>
      <c r="AG2918" s="2">
        <v>1</v>
      </c>
      <c r="AH2918" s="3" t="s">
        <v>2990</v>
      </c>
      <c r="AI2918" s="4">
        <v>45029</v>
      </c>
      <c r="AJ2918" s="3" t="s">
        <v>3056</v>
      </c>
      <c r="AK2918" s="3" t="s">
        <v>38</v>
      </c>
    </row>
    <row r="2919" spans="1:37" hidden="1" x14ac:dyDescent="0.25">
      <c r="A2919" t="str">
        <f t="shared" si="45"/>
        <v>2023_SA_Warnertown_Lentil_SatelliteTOS1VarietyJumbo2WaterTrtRainFedAgronomyDensity_1</v>
      </c>
      <c r="B2919" s="2">
        <v>2023033</v>
      </c>
      <c r="C2919" s="3" t="s">
        <v>3033</v>
      </c>
      <c r="D2919" s="3" t="s">
        <v>38</v>
      </c>
      <c r="F2919" s="3" t="s">
        <v>4176</v>
      </c>
      <c r="G2919" s="3" t="s">
        <v>43</v>
      </c>
      <c r="H2919" s="3" t="s">
        <v>253</v>
      </c>
      <c r="I2919" s="2">
        <v>24</v>
      </c>
      <c r="J2919" s="2">
        <v>24</v>
      </c>
      <c r="K2919" s="2">
        <v>2</v>
      </c>
      <c r="O2919" s="2">
        <v>4</v>
      </c>
      <c r="U2919" s="2">
        <v>3</v>
      </c>
      <c r="V2919" s="2">
        <v>12</v>
      </c>
      <c r="W2919" s="2">
        <v>3</v>
      </c>
      <c r="X2919" s="2">
        <v>8</v>
      </c>
      <c r="Z2919" s="2">
        <v>22</v>
      </c>
      <c r="AA2919" s="3" t="s">
        <v>40</v>
      </c>
      <c r="AB2919" s="2">
        <v>3</v>
      </c>
      <c r="AC2919" s="3" t="s">
        <v>1513</v>
      </c>
      <c r="AF2919" s="2">
        <v>23</v>
      </c>
      <c r="AG2919" s="2">
        <v>1</v>
      </c>
      <c r="AH2919" s="3" t="s">
        <v>2990</v>
      </c>
      <c r="AI2919" s="4">
        <v>45029</v>
      </c>
      <c r="AJ2919" s="3" t="s">
        <v>3057</v>
      </c>
      <c r="AK2919" s="3" t="s">
        <v>38</v>
      </c>
    </row>
    <row r="2920" spans="1:37" hidden="1" x14ac:dyDescent="0.25">
      <c r="A2920" t="str">
        <f t="shared" si="45"/>
        <v>2023_SA_Warnertown_Lentil_SatelliteTOS2VarietyJumbo2WaterTrtRainFedAgronomyDensity_0.66</v>
      </c>
      <c r="B2920" s="2">
        <v>2023033</v>
      </c>
      <c r="C2920" s="3" t="s">
        <v>3033</v>
      </c>
      <c r="D2920" s="3" t="s">
        <v>38</v>
      </c>
      <c r="F2920" s="3" t="s">
        <v>4176</v>
      </c>
      <c r="G2920" s="3" t="s">
        <v>43</v>
      </c>
      <c r="H2920" s="3" t="s">
        <v>253</v>
      </c>
      <c r="I2920" s="2">
        <v>25</v>
      </c>
      <c r="J2920" s="2">
        <v>25</v>
      </c>
      <c r="K2920" s="2">
        <v>3</v>
      </c>
      <c r="O2920" s="2">
        <v>5</v>
      </c>
      <c r="U2920" s="2">
        <v>1</v>
      </c>
      <c r="V2920" s="2">
        <v>14</v>
      </c>
      <c r="W2920" s="2">
        <v>1</v>
      </c>
      <c r="X2920" s="2">
        <v>9</v>
      </c>
      <c r="Z2920" s="2">
        <v>25</v>
      </c>
      <c r="AA2920" s="3" t="s">
        <v>40</v>
      </c>
      <c r="AB2920" s="2">
        <v>6</v>
      </c>
      <c r="AC2920" s="3" t="s">
        <v>1511</v>
      </c>
      <c r="AF2920" s="2">
        <v>23</v>
      </c>
      <c r="AG2920" s="2">
        <v>2</v>
      </c>
      <c r="AH2920" s="3" t="s">
        <v>2983</v>
      </c>
      <c r="AI2920" s="4">
        <v>45054</v>
      </c>
      <c r="AJ2920" s="3" t="s">
        <v>3058</v>
      </c>
      <c r="AK2920" s="3" t="s">
        <v>38</v>
      </c>
    </row>
    <row r="2921" spans="1:37" hidden="1" x14ac:dyDescent="0.25">
      <c r="A2921" t="str">
        <f t="shared" si="45"/>
        <v>2023_SA_Warnertown_Lentil_SatelliteTOS2VarietyBoltWaterTrtRainFedAgronomyDensity_1</v>
      </c>
      <c r="B2921" s="2">
        <v>2023033</v>
      </c>
      <c r="C2921" s="3" t="s">
        <v>3033</v>
      </c>
      <c r="D2921" s="3" t="s">
        <v>38</v>
      </c>
      <c r="F2921" s="3" t="s">
        <v>4187</v>
      </c>
      <c r="G2921" s="3" t="s">
        <v>39</v>
      </c>
      <c r="H2921" s="3" t="s">
        <v>253</v>
      </c>
      <c r="I2921" s="2">
        <v>26</v>
      </c>
      <c r="J2921" s="2">
        <v>26</v>
      </c>
      <c r="K2921" s="2">
        <v>3</v>
      </c>
      <c r="O2921" s="2">
        <v>5</v>
      </c>
      <c r="U2921" s="2">
        <v>2</v>
      </c>
      <c r="V2921" s="2">
        <v>14</v>
      </c>
      <c r="W2921" s="2">
        <v>2</v>
      </c>
      <c r="X2921" s="2">
        <v>9</v>
      </c>
      <c r="Z2921" s="2">
        <v>26</v>
      </c>
      <c r="AA2921" s="3" t="s">
        <v>40</v>
      </c>
      <c r="AB2921" s="2">
        <v>2</v>
      </c>
      <c r="AC2921" s="3" t="s">
        <v>1513</v>
      </c>
      <c r="AF2921" s="2">
        <v>23</v>
      </c>
      <c r="AG2921" s="2">
        <v>2</v>
      </c>
      <c r="AH2921" s="3" t="s">
        <v>2983</v>
      </c>
      <c r="AI2921" s="4">
        <v>45054</v>
      </c>
      <c r="AJ2921" s="3" t="s">
        <v>3059</v>
      </c>
      <c r="AK2921" s="3" t="s">
        <v>38</v>
      </c>
    </row>
    <row r="2922" spans="1:37" hidden="1" x14ac:dyDescent="0.25">
      <c r="A2922" t="str">
        <f t="shared" si="45"/>
        <v>2023_SA_Warnertown_Lentil_SatelliteTOS2VarietyKelpieXTWaterTrtRainFedAgronomyDensity_1</v>
      </c>
      <c r="B2922" s="2">
        <v>2023033</v>
      </c>
      <c r="C2922" s="3" t="s">
        <v>3033</v>
      </c>
      <c r="D2922" s="3" t="s">
        <v>38</v>
      </c>
      <c r="F2922" s="3" t="s">
        <v>4188</v>
      </c>
      <c r="G2922" s="3" t="s">
        <v>43</v>
      </c>
      <c r="H2922" s="3" t="s">
        <v>253</v>
      </c>
      <c r="I2922" s="2">
        <v>27</v>
      </c>
      <c r="J2922" s="2">
        <v>27</v>
      </c>
      <c r="K2922" s="2">
        <v>3</v>
      </c>
      <c r="O2922" s="2">
        <v>5</v>
      </c>
      <c r="U2922" s="2">
        <v>3</v>
      </c>
      <c r="V2922" s="2">
        <v>14</v>
      </c>
      <c r="W2922" s="2">
        <v>3</v>
      </c>
      <c r="X2922" s="2">
        <v>9</v>
      </c>
      <c r="Z2922" s="2">
        <v>27</v>
      </c>
      <c r="AA2922" s="3" t="s">
        <v>40</v>
      </c>
      <c r="AB2922" s="2">
        <v>4</v>
      </c>
      <c r="AC2922" s="3" t="s">
        <v>1513</v>
      </c>
      <c r="AF2922" s="2">
        <v>23</v>
      </c>
      <c r="AG2922" s="2">
        <v>2</v>
      </c>
      <c r="AH2922" s="3" t="s">
        <v>2983</v>
      </c>
      <c r="AI2922" s="4">
        <v>45054</v>
      </c>
      <c r="AJ2922" s="3" t="s">
        <v>3060</v>
      </c>
      <c r="AK2922" s="3" t="s">
        <v>38</v>
      </c>
    </row>
    <row r="2923" spans="1:37" hidden="1" x14ac:dyDescent="0.25">
      <c r="A2923" t="str">
        <f t="shared" si="45"/>
        <v>2023_SA_Warnertown_Lentil_SatelliteTOS2VarietyJumbo2WaterTrtRainFedAgronomyDensity_1</v>
      </c>
      <c r="B2923" s="2">
        <v>2023033</v>
      </c>
      <c r="C2923" s="3" t="s">
        <v>3033</v>
      </c>
      <c r="D2923" s="3" t="s">
        <v>38</v>
      </c>
      <c r="F2923" s="3" t="s">
        <v>4176</v>
      </c>
      <c r="G2923" s="3" t="s">
        <v>43</v>
      </c>
      <c r="H2923" s="3" t="s">
        <v>253</v>
      </c>
      <c r="I2923" s="2">
        <v>28</v>
      </c>
      <c r="J2923" s="2">
        <v>28</v>
      </c>
      <c r="K2923" s="2">
        <v>3</v>
      </c>
      <c r="O2923" s="2">
        <v>5</v>
      </c>
      <c r="U2923" s="2">
        <v>1</v>
      </c>
      <c r="V2923" s="2">
        <v>15</v>
      </c>
      <c r="W2923" s="2">
        <v>1</v>
      </c>
      <c r="X2923" s="2">
        <v>10</v>
      </c>
      <c r="Z2923" s="2">
        <v>30</v>
      </c>
      <c r="AA2923" s="3" t="s">
        <v>40</v>
      </c>
      <c r="AB2923" s="2">
        <v>3</v>
      </c>
      <c r="AC2923" s="3" t="s">
        <v>1513</v>
      </c>
      <c r="AF2923" s="2">
        <v>23</v>
      </c>
      <c r="AG2923" s="2">
        <v>2</v>
      </c>
      <c r="AH2923" s="3" t="s">
        <v>2983</v>
      </c>
      <c r="AI2923" s="4">
        <v>45054</v>
      </c>
      <c r="AJ2923" s="3" t="s">
        <v>3061</v>
      </c>
      <c r="AK2923" s="3" t="s">
        <v>38</v>
      </c>
    </row>
    <row r="2924" spans="1:37" hidden="1" x14ac:dyDescent="0.25">
      <c r="A2924" t="str">
        <f t="shared" si="45"/>
        <v>2023_SA_Warnertown_Lentil_SatelliteTOS2VarietyHallmarkXTWaterTrtRainFedAgronomyDensity_1</v>
      </c>
      <c r="B2924" s="2">
        <v>2023033</v>
      </c>
      <c r="C2924" s="3" t="s">
        <v>3033</v>
      </c>
      <c r="D2924" s="3" t="s">
        <v>38</v>
      </c>
      <c r="F2924" s="3" t="s">
        <v>4189</v>
      </c>
      <c r="G2924" s="3" t="s">
        <v>39</v>
      </c>
      <c r="H2924" s="3" t="s">
        <v>253</v>
      </c>
      <c r="I2924" s="2">
        <v>29</v>
      </c>
      <c r="J2924" s="2">
        <v>29</v>
      </c>
      <c r="K2924" s="2">
        <v>3</v>
      </c>
      <c r="O2924" s="2">
        <v>5</v>
      </c>
      <c r="U2924" s="2">
        <v>2</v>
      </c>
      <c r="V2924" s="2">
        <v>15</v>
      </c>
      <c r="W2924" s="2">
        <v>2</v>
      </c>
      <c r="X2924" s="2">
        <v>10</v>
      </c>
      <c r="Z2924" s="2">
        <v>29</v>
      </c>
      <c r="AA2924" s="3" t="s">
        <v>40</v>
      </c>
      <c r="AB2924" s="2">
        <v>1</v>
      </c>
      <c r="AC2924" s="3" t="s">
        <v>1513</v>
      </c>
      <c r="AF2924" s="2">
        <v>23</v>
      </c>
      <c r="AG2924" s="2">
        <v>2</v>
      </c>
      <c r="AH2924" s="3" t="s">
        <v>2983</v>
      </c>
      <c r="AI2924" s="4">
        <v>45054</v>
      </c>
      <c r="AJ2924" s="3" t="s">
        <v>3062</v>
      </c>
      <c r="AK2924" s="3" t="s">
        <v>38</v>
      </c>
    </row>
    <row r="2925" spans="1:37" hidden="1" x14ac:dyDescent="0.25">
      <c r="A2925" t="str">
        <f t="shared" si="45"/>
        <v>2023_SA_Warnertown_Lentil_SatelliteTOS2VarietyBoltWaterTrtRainFedAgronomyDensity_0.66</v>
      </c>
      <c r="B2925" s="2">
        <v>2023033</v>
      </c>
      <c r="C2925" s="3" t="s">
        <v>3033</v>
      </c>
      <c r="D2925" s="3" t="s">
        <v>38</v>
      </c>
      <c r="F2925" s="3" t="s">
        <v>4187</v>
      </c>
      <c r="G2925" s="3" t="s">
        <v>39</v>
      </c>
      <c r="H2925" s="3" t="s">
        <v>253</v>
      </c>
      <c r="I2925" s="2">
        <v>30</v>
      </c>
      <c r="J2925" s="2">
        <v>30</v>
      </c>
      <c r="K2925" s="2">
        <v>3</v>
      </c>
      <c r="O2925" s="2">
        <v>5</v>
      </c>
      <c r="U2925" s="2">
        <v>3</v>
      </c>
      <c r="V2925" s="2">
        <v>15</v>
      </c>
      <c r="W2925" s="2">
        <v>3</v>
      </c>
      <c r="X2925" s="2">
        <v>10</v>
      </c>
      <c r="Z2925" s="2">
        <v>28</v>
      </c>
      <c r="AA2925" s="3" t="s">
        <v>40</v>
      </c>
      <c r="AB2925" s="2">
        <v>5</v>
      </c>
      <c r="AC2925" s="3" t="s">
        <v>1511</v>
      </c>
      <c r="AF2925" s="2">
        <v>23</v>
      </c>
      <c r="AG2925" s="2">
        <v>2</v>
      </c>
      <c r="AH2925" s="3" t="s">
        <v>2983</v>
      </c>
      <c r="AI2925" s="4">
        <v>45054</v>
      </c>
      <c r="AJ2925" s="3" t="s">
        <v>3063</v>
      </c>
      <c r="AK2925" s="3" t="s">
        <v>38</v>
      </c>
    </row>
    <row r="2926" spans="1:37" hidden="1" x14ac:dyDescent="0.25">
      <c r="A2926" t="str">
        <f t="shared" si="45"/>
        <v>2023_SA_Warnertown_Lentil_SatelliteTOS1VarietyJumbo2WaterTrtRainFedAgronomyDensity_0.66</v>
      </c>
      <c r="B2926" s="2">
        <v>2023033</v>
      </c>
      <c r="C2926" s="3" t="s">
        <v>3033</v>
      </c>
      <c r="D2926" s="3" t="s">
        <v>38</v>
      </c>
      <c r="F2926" s="3" t="s">
        <v>4176</v>
      </c>
      <c r="G2926" s="3" t="s">
        <v>43</v>
      </c>
      <c r="H2926" s="3" t="s">
        <v>253</v>
      </c>
      <c r="I2926" s="2">
        <v>31</v>
      </c>
      <c r="J2926" s="2">
        <v>31</v>
      </c>
      <c r="K2926" s="2">
        <v>3</v>
      </c>
      <c r="O2926" s="2">
        <v>6</v>
      </c>
      <c r="U2926" s="2">
        <v>1</v>
      </c>
      <c r="V2926" s="2">
        <v>17</v>
      </c>
      <c r="W2926" s="2">
        <v>1</v>
      </c>
      <c r="X2926" s="2">
        <v>11</v>
      </c>
      <c r="Z2926" s="2">
        <v>31</v>
      </c>
      <c r="AA2926" s="3" t="s">
        <v>40</v>
      </c>
      <c r="AB2926" s="2">
        <v>6</v>
      </c>
      <c r="AC2926" s="3" t="s">
        <v>1511</v>
      </c>
      <c r="AF2926" s="2">
        <v>23</v>
      </c>
      <c r="AG2926" s="2">
        <v>1</v>
      </c>
      <c r="AH2926" s="3" t="s">
        <v>2990</v>
      </c>
      <c r="AI2926" s="4">
        <v>45029</v>
      </c>
      <c r="AJ2926" s="3" t="s">
        <v>3064</v>
      </c>
      <c r="AK2926" s="3" t="s">
        <v>38</v>
      </c>
    </row>
    <row r="2927" spans="1:37" hidden="1" x14ac:dyDescent="0.25">
      <c r="A2927" t="str">
        <f t="shared" si="45"/>
        <v>2023_SA_Warnertown_Lentil_SatelliteTOS1VarietyBoltWaterTrtRainFedAgronomyDensity_0.66</v>
      </c>
      <c r="B2927" s="2">
        <v>2023033</v>
      </c>
      <c r="C2927" s="3" t="s">
        <v>3033</v>
      </c>
      <c r="D2927" s="3" t="s">
        <v>38</v>
      </c>
      <c r="F2927" s="3" t="s">
        <v>4187</v>
      </c>
      <c r="G2927" s="3" t="s">
        <v>39</v>
      </c>
      <c r="H2927" s="3" t="s">
        <v>253</v>
      </c>
      <c r="I2927" s="2">
        <v>32</v>
      </c>
      <c r="J2927" s="2">
        <v>32</v>
      </c>
      <c r="K2927" s="2">
        <v>3</v>
      </c>
      <c r="O2927" s="2">
        <v>6</v>
      </c>
      <c r="U2927" s="2">
        <v>2</v>
      </c>
      <c r="V2927" s="2">
        <v>17</v>
      </c>
      <c r="W2927" s="2">
        <v>2</v>
      </c>
      <c r="X2927" s="2">
        <v>11</v>
      </c>
      <c r="Z2927" s="2">
        <v>32</v>
      </c>
      <c r="AA2927" s="3" t="s">
        <v>40</v>
      </c>
      <c r="AB2927" s="2">
        <v>5</v>
      </c>
      <c r="AC2927" s="3" t="s">
        <v>1511</v>
      </c>
      <c r="AF2927" s="2">
        <v>23</v>
      </c>
      <c r="AG2927" s="2">
        <v>1</v>
      </c>
      <c r="AH2927" s="3" t="s">
        <v>2990</v>
      </c>
      <c r="AI2927" s="4">
        <v>45029</v>
      </c>
      <c r="AJ2927" s="3" t="s">
        <v>3065</v>
      </c>
      <c r="AK2927" s="3" t="s">
        <v>38</v>
      </c>
    </row>
    <row r="2928" spans="1:37" hidden="1" x14ac:dyDescent="0.25">
      <c r="A2928" t="str">
        <f t="shared" si="45"/>
        <v>2023_SA_Warnertown_Lentil_SatelliteTOS1VarietyBoltWaterTrtRainFedAgronomyDensity_1</v>
      </c>
      <c r="B2928" s="2">
        <v>2023033</v>
      </c>
      <c r="C2928" s="3" t="s">
        <v>3033</v>
      </c>
      <c r="D2928" s="3" t="s">
        <v>38</v>
      </c>
      <c r="F2928" s="3" t="s">
        <v>4187</v>
      </c>
      <c r="G2928" s="3" t="s">
        <v>39</v>
      </c>
      <c r="H2928" s="3" t="s">
        <v>253</v>
      </c>
      <c r="I2928" s="2">
        <v>33</v>
      </c>
      <c r="J2928" s="2">
        <v>33</v>
      </c>
      <c r="K2928" s="2">
        <v>3</v>
      </c>
      <c r="O2928" s="2">
        <v>6</v>
      </c>
      <c r="U2928" s="2">
        <v>3</v>
      </c>
      <c r="V2928" s="2">
        <v>17</v>
      </c>
      <c r="W2928" s="2">
        <v>3</v>
      </c>
      <c r="X2928" s="2">
        <v>11</v>
      </c>
      <c r="Z2928" s="2">
        <v>33</v>
      </c>
      <c r="AA2928" s="3" t="s">
        <v>40</v>
      </c>
      <c r="AB2928" s="2">
        <v>2</v>
      </c>
      <c r="AC2928" s="3" t="s">
        <v>1513</v>
      </c>
      <c r="AF2928" s="2">
        <v>23</v>
      </c>
      <c r="AG2928" s="2">
        <v>1</v>
      </c>
      <c r="AH2928" s="3" t="s">
        <v>2990</v>
      </c>
      <c r="AI2928" s="4">
        <v>45029</v>
      </c>
      <c r="AJ2928" s="3" t="s">
        <v>3066</v>
      </c>
      <c r="AK2928" s="3" t="s">
        <v>38</v>
      </c>
    </row>
    <row r="2929" spans="1:37" hidden="1" x14ac:dyDescent="0.25">
      <c r="A2929" t="str">
        <f t="shared" si="45"/>
        <v>2023_SA_Warnertown_Lentil_SatelliteTOS1VarietyKelpieXTWaterTrtRainFedAgronomyDensity_1</v>
      </c>
      <c r="B2929" s="2">
        <v>2023033</v>
      </c>
      <c r="C2929" s="3" t="s">
        <v>3033</v>
      </c>
      <c r="D2929" s="3" t="s">
        <v>38</v>
      </c>
      <c r="F2929" s="3" t="s">
        <v>4188</v>
      </c>
      <c r="G2929" s="3" t="s">
        <v>43</v>
      </c>
      <c r="H2929" s="3" t="s">
        <v>253</v>
      </c>
      <c r="I2929" s="2">
        <v>34</v>
      </c>
      <c r="J2929" s="2">
        <v>34</v>
      </c>
      <c r="K2929" s="2">
        <v>3</v>
      </c>
      <c r="O2929" s="2">
        <v>6</v>
      </c>
      <c r="U2929" s="2">
        <v>1</v>
      </c>
      <c r="V2929" s="2">
        <v>18</v>
      </c>
      <c r="W2929" s="2">
        <v>1</v>
      </c>
      <c r="X2929" s="2">
        <v>12</v>
      </c>
      <c r="Z2929" s="2">
        <v>36</v>
      </c>
      <c r="AA2929" s="3" t="s">
        <v>40</v>
      </c>
      <c r="AB2929" s="2">
        <v>4</v>
      </c>
      <c r="AC2929" s="3" t="s">
        <v>1513</v>
      </c>
      <c r="AF2929" s="2">
        <v>23</v>
      </c>
      <c r="AG2929" s="2">
        <v>1</v>
      </c>
      <c r="AH2929" s="3" t="s">
        <v>2990</v>
      </c>
      <c r="AI2929" s="4">
        <v>45029</v>
      </c>
      <c r="AJ2929" s="3" t="s">
        <v>3067</v>
      </c>
      <c r="AK2929" s="3" t="s">
        <v>38</v>
      </c>
    </row>
    <row r="2930" spans="1:37" hidden="1" x14ac:dyDescent="0.25">
      <c r="A2930" t="str">
        <f t="shared" si="45"/>
        <v>2023_SA_Warnertown_Lentil_SatelliteTOS1VarietyJumbo2WaterTrtRainFedAgronomyDensity_1</v>
      </c>
      <c r="B2930" s="2">
        <v>2023033</v>
      </c>
      <c r="C2930" s="3" t="s">
        <v>3033</v>
      </c>
      <c r="D2930" s="3" t="s">
        <v>38</v>
      </c>
      <c r="F2930" s="3" t="s">
        <v>4176</v>
      </c>
      <c r="G2930" s="3" t="s">
        <v>43</v>
      </c>
      <c r="H2930" s="3" t="s">
        <v>253</v>
      </c>
      <c r="I2930" s="2">
        <v>35</v>
      </c>
      <c r="J2930" s="2">
        <v>35</v>
      </c>
      <c r="K2930" s="2">
        <v>3</v>
      </c>
      <c r="O2930" s="2">
        <v>6</v>
      </c>
      <c r="U2930" s="2">
        <v>2</v>
      </c>
      <c r="V2930" s="2">
        <v>18</v>
      </c>
      <c r="W2930" s="2">
        <v>2</v>
      </c>
      <c r="X2930" s="2">
        <v>12</v>
      </c>
      <c r="Z2930" s="2">
        <v>35</v>
      </c>
      <c r="AA2930" s="3" t="s">
        <v>40</v>
      </c>
      <c r="AB2930" s="2">
        <v>3</v>
      </c>
      <c r="AC2930" s="3" t="s">
        <v>1513</v>
      </c>
      <c r="AF2930" s="2">
        <v>23</v>
      </c>
      <c r="AG2930" s="2">
        <v>1</v>
      </c>
      <c r="AH2930" s="3" t="s">
        <v>2990</v>
      </c>
      <c r="AI2930" s="4">
        <v>45029</v>
      </c>
      <c r="AJ2930" s="3" t="s">
        <v>3068</v>
      </c>
      <c r="AK2930" s="3" t="s">
        <v>38</v>
      </c>
    </row>
    <row r="2931" spans="1:37" hidden="1" x14ac:dyDescent="0.25">
      <c r="A2931" t="str">
        <f t="shared" si="45"/>
        <v>2023_SA_Warnertown_Lentil_SatelliteTOS1VarietyHallmarkXTWaterTrtRainFedAgronomyDensity_1</v>
      </c>
      <c r="B2931" s="2">
        <v>2023033</v>
      </c>
      <c r="C2931" s="3" t="s">
        <v>3033</v>
      </c>
      <c r="D2931" s="3" t="s">
        <v>38</v>
      </c>
      <c r="F2931" s="3" t="s">
        <v>4189</v>
      </c>
      <c r="G2931" s="3" t="s">
        <v>39</v>
      </c>
      <c r="H2931" s="3" t="s">
        <v>253</v>
      </c>
      <c r="I2931" s="2">
        <v>36</v>
      </c>
      <c r="J2931" s="2">
        <v>36</v>
      </c>
      <c r="K2931" s="2">
        <v>3</v>
      </c>
      <c r="O2931" s="2">
        <v>6</v>
      </c>
      <c r="U2931" s="2">
        <v>3</v>
      </c>
      <c r="V2931" s="2">
        <v>18</v>
      </c>
      <c r="W2931" s="2">
        <v>3</v>
      </c>
      <c r="X2931" s="2">
        <v>12</v>
      </c>
      <c r="Z2931" s="2">
        <v>34</v>
      </c>
      <c r="AA2931" s="3" t="s">
        <v>40</v>
      </c>
      <c r="AB2931" s="2">
        <v>1</v>
      </c>
      <c r="AC2931" s="3" t="s">
        <v>1513</v>
      </c>
      <c r="AF2931" s="2">
        <v>23</v>
      </c>
      <c r="AG2931" s="2">
        <v>1</v>
      </c>
      <c r="AH2931" s="3" t="s">
        <v>2990</v>
      </c>
      <c r="AI2931" s="4">
        <v>45029</v>
      </c>
      <c r="AJ2931" s="3" t="s">
        <v>3069</v>
      </c>
      <c r="AK2931" s="3" t="s">
        <v>38</v>
      </c>
    </row>
    <row r="2932" spans="1:37" hidden="1" x14ac:dyDescent="0.25">
      <c r="A2932" t="str">
        <f t="shared" si="45"/>
        <v>2023_SA_Warnertown_Lentil_SatelliteTOS1VarietyHallmarkXTWaterTrtRainFedAgronomyDensity_1</v>
      </c>
      <c r="B2932" s="2">
        <v>2023033</v>
      </c>
      <c r="C2932" s="3" t="s">
        <v>3033</v>
      </c>
      <c r="D2932" s="3" t="s">
        <v>38</v>
      </c>
      <c r="F2932" s="3" t="s">
        <v>4189</v>
      </c>
      <c r="G2932" s="3" t="s">
        <v>39</v>
      </c>
      <c r="H2932" s="3" t="s">
        <v>253</v>
      </c>
      <c r="I2932" s="2">
        <v>37</v>
      </c>
      <c r="J2932" s="2">
        <v>37</v>
      </c>
      <c r="K2932" s="2">
        <v>4</v>
      </c>
      <c r="O2932" s="2">
        <v>7</v>
      </c>
      <c r="U2932" s="2">
        <v>1</v>
      </c>
      <c r="V2932" s="2">
        <v>20</v>
      </c>
      <c r="W2932" s="2">
        <v>1</v>
      </c>
      <c r="X2932" s="2">
        <v>13</v>
      </c>
      <c r="Z2932" s="2">
        <v>37</v>
      </c>
      <c r="AA2932" s="3" t="s">
        <v>40</v>
      </c>
      <c r="AB2932" s="2">
        <v>1</v>
      </c>
      <c r="AC2932" s="3" t="s">
        <v>1513</v>
      </c>
      <c r="AF2932" s="2">
        <v>23</v>
      </c>
      <c r="AG2932" s="2">
        <v>1</v>
      </c>
      <c r="AH2932" s="3" t="s">
        <v>2990</v>
      </c>
      <c r="AI2932" s="4">
        <v>45029</v>
      </c>
      <c r="AJ2932" s="3" t="s">
        <v>3070</v>
      </c>
      <c r="AK2932" s="3" t="s">
        <v>38</v>
      </c>
    </row>
    <row r="2933" spans="1:37" hidden="1" x14ac:dyDescent="0.25">
      <c r="A2933" t="str">
        <f t="shared" si="45"/>
        <v>2023_SA_Warnertown_Lentil_SatelliteTOS1VarietyKelpieXTWaterTrtRainFedAgronomyDensity_1</v>
      </c>
      <c r="B2933" s="2">
        <v>2023033</v>
      </c>
      <c r="C2933" s="3" t="s">
        <v>3033</v>
      </c>
      <c r="D2933" s="3" t="s">
        <v>38</v>
      </c>
      <c r="F2933" s="3" t="s">
        <v>4188</v>
      </c>
      <c r="G2933" s="3" t="s">
        <v>43</v>
      </c>
      <c r="H2933" s="3" t="s">
        <v>253</v>
      </c>
      <c r="I2933" s="2">
        <v>38</v>
      </c>
      <c r="J2933" s="2">
        <v>38</v>
      </c>
      <c r="K2933" s="2">
        <v>4</v>
      </c>
      <c r="O2933" s="2">
        <v>7</v>
      </c>
      <c r="U2933" s="2">
        <v>2</v>
      </c>
      <c r="V2933" s="2">
        <v>20</v>
      </c>
      <c r="W2933" s="2">
        <v>2</v>
      </c>
      <c r="X2933" s="2">
        <v>13</v>
      </c>
      <c r="Z2933" s="2">
        <v>38</v>
      </c>
      <c r="AA2933" s="3" t="s">
        <v>40</v>
      </c>
      <c r="AB2933" s="2">
        <v>4</v>
      </c>
      <c r="AC2933" s="3" t="s">
        <v>1513</v>
      </c>
      <c r="AF2933" s="2">
        <v>23</v>
      </c>
      <c r="AG2933" s="2">
        <v>1</v>
      </c>
      <c r="AH2933" s="3" t="s">
        <v>2990</v>
      </c>
      <c r="AI2933" s="4">
        <v>45029</v>
      </c>
      <c r="AJ2933" s="3" t="s">
        <v>3071</v>
      </c>
      <c r="AK2933" s="3" t="s">
        <v>38</v>
      </c>
    </row>
    <row r="2934" spans="1:37" hidden="1" x14ac:dyDescent="0.25">
      <c r="A2934" t="str">
        <f t="shared" si="45"/>
        <v>2023_SA_Warnertown_Lentil_SatelliteTOS1VarietyJumbo2WaterTrtRainFedAgronomyDensity_0.66</v>
      </c>
      <c r="B2934" s="2">
        <v>2023033</v>
      </c>
      <c r="C2934" s="3" t="s">
        <v>3033</v>
      </c>
      <c r="D2934" s="3" t="s">
        <v>38</v>
      </c>
      <c r="F2934" s="3" t="s">
        <v>4176</v>
      </c>
      <c r="G2934" s="3" t="s">
        <v>43</v>
      </c>
      <c r="H2934" s="3" t="s">
        <v>253</v>
      </c>
      <c r="I2934" s="2">
        <v>39</v>
      </c>
      <c r="J2934" s="2">
        <v>39</v>
      </c>
      <c r="K2934" s="2">
        <v>4</v>
      </c>
      <c r="O2934" s="2">
        <v>7</v>
      </c>
      <c r="U2934" s="2">
        <v>3</v>
      </c>
      <c r="V2934" s="2">
        <v>20</v>
      </c>
      <c r="W2934" s="2">
        <v>3</v>
      </c>
      <c r="X2934" s="2">
        <v>13</v>
      </c>
      <c r="Z2934" s="2">
        <v>39</v>
      </c>
      <c r="AA2934" s="3" t="s">
        <v>40</v>
      </c>
      <c r="AB2934" s="2">
        <v>6</v>
      </c>
      <c r="AC2934" s="3" t="s">
        <v>1511</v>
      </c>
      <c r="AF2934" s="2">
        <v>23</v>
      </c>
      <c r="AG2934" s="2">
        <v>1</v>
      </c>
      <c r="AH2934" s="3" t="s">
        <v>2990</v>
      </c>
      <c r="AI2934" s="4">
        <v>45029</v>
      </c>
      <c r="AJ2934" s="3" t="s">
        <v>3072</v>
      </c>
      <c r="AK2934" s="3" t="s">
        <v>38</v>
      </c>
    </row>
    <row r="2935" spans="1:37" hidden="1" x14ac:dyDescent="0.25">
      <c r="A2935" t="str">
        <f t="shared" si="45"/>
        <v>2023_SA_Warnertown_Lentil_SatelliteTOS1VarietyBoltWaterTrtRainFedAgronomyDensity_0.66</v>
      </c>
      <c r="B2935" s="2">
        <v>2023033</v>
      </c>
      <c r="C2935" s="3" t="s">
        <v>3033</v>
      </c>
      <c r="D2935" s="3" t="s">
        <v>38</v>
      </c>
      <c r="F2935" s="3" t="s">
        <v>4187</v>
      </c>
      <c r="G2935" s="3" t="s">
        <v>39</v>
      </c>
      <c r="H2935" s="3" t="s">
        <v>253</v>
      </c>
      <c r="I2935" s="2">
        <v>40</v>
      </c>
      <c r="J2935" s="2">
        <v>40</v>
      </c>
      <c r="K2935" s="2">
        <v>4</v>
      </c>
      <c r="O2935" s="2">
        <v>7</v>
      </c>
      <c r="U2935" s="2">
        <v>1</v>
      </c>
      <c r="V2935" s="2">
        <v>21</v>
      </c>
      <c r="W2935" s="2">
        <v>1</v>
      </c>
      <c r="X2935" s="2">
        <v>14</v>
      </c>
      <c r="Z2935" s="2">
        <v>42</v>
      </c>
      <c r="AA2935" s="3" t="s">
        <v>40</v>
      </c>
      <c r="AB2935" s="2">
        <v>5</v>
      </c>
      <c r="AC2935" s="3" t="s">
        <v>1511</v>
      </c>
      <c r="AF2935" s="2">
        <v>23</v>
      </c>
      <c r="AG2935" s="2">
        <v>1</v>
      </c>
      <c r="AH2935" s="3" t="s">
        <v>2990</v>
      </c>
      <c r="AI2935" s="4">
        <v>45029</v>
      </c>
      <c r="AJ2935" s="3" t="s">
        <v>3073</v>
      </c>
      <c r="AK2935" s="3" t="s">
        <v>38</v>
      </c>
    </row>
    <row r="2936" spans="1:37" hidden="1" x14ac:dyDescent="0.25">
      <c r="A2936" t="str">
        <f t="shared" si="45"/>
        <v>2023_SA_Warnertown_Lentil_SatelliteTOS1VarietyJumbo2WaterTrtRainFedAgronomyDensity_1</v>
      </c>
      <c r="B2936" s="2">
        <v>2023033</v>
      </c>
      <c r="C2936" s="3" t="s">
        <v>3033</v>
      </c>
      <c r="D2936" s="3" t="s">
        <v>38</v>
      </c>
      <c r="F2936" s="3" t="s">
        <v>4176</v>
      </c>
      <c r="G2936" s="3" t="s">
        <v>43</v>
      </c>
      <c r="H2936" s="3" t="s">
        <v>253</v>
      </c>
      <c r="I2936" s="2">
        <v>41</v>
      </c>
      <c r="J2936" s="2">
        <v>41</v>
      </c>
      <c r="K2936" s="2">
        <v>4</v>
      </c>
      <c r="O2936" s="2">
        <v>7</v>
      </c>
      <c r="U2936" s="2">
        <v>2</v>
      </c>
      <c r="V2936" s="2">
        <v>21</v>
      </c>
      <c r="W2936" s="2">
        <v>2</v>
      </c>
      <c r="X2936" s="2">
        <v>14</v>
      </c>
      <c r="Z2936" s="2">
        <v>41</v>
      </c>
      <c r="AA2936" s="3" t="s">
        <v>40</v>
      </c>
      <c r="AB2936" s="2">
        <v>3</v>
      </c>
      <c r="AC2936" s="3" t="s">
        <v>1513</v>
      </c>
      <c r="AF2936" s="2">
        <v>23</v>
      </c>
      <c r="AG2936" s="2">
        <v>1</v>
      </c>
      <c r="AH2936" s="3" t="s">
        <v>2990</v>
      </c>
      <c r="AI2936" s="4">
        <v>45029</v>
      </c>
      <c r="AJ2936" s="3" t="s">
        <v>3074</v>
      </c>
      <c r="AK2936" s="3" t="s">
        <v>38</v>
      </c>
    </row>
    <row r="2937" spans="1:37" hidden="1" x14ac:dyDescent="0.25">
      <c r="A2937" t="str">
        <f t="shared" si="45"/>
        <v>2023_SA_Warnertown_Lentil_SatelliteTOS1VarietyBoltWaterTrtRainFedAgronomyDensity_1</v>
      </c>
      <c r="B2937" s="2">
        <v>2023033</v>
      </c>
      <c r="C2937" s="3" t="s">
        <v>3033</v>
      </c>
      <c r="D2937" s="3" t="s">
        <v>38</v>
      </c>
      <c r="F2937" s="3" t="s">
        <v>4187</v>
      </c>
      <c r="G2937" s="3" t="s">
        <v>39</v>
      </c>
      <c r="H2937" s="3" t="s">
        <v>253</v>
      </c>
      <c r="I2937" s="2">
        <v>42</v>
      </c>
      <c r="J2937" s="2">
        <v>42</v>
      </c>
      <c r="K2937" s="2">
        <v>4</v>
      </c>
      <c r="O2937" s="2">
        <v>7</v>
      </c>
      <c r="U2937" s="2">
        <v>3</v>
      </c>
      <c r="V2937" s="2">
        <v>21</v>
      </c>
      <c r="W2937" s="2">
        <v>3</v>
      </c>
      <c r="X2937" s="2">
        <v>14</v>
      </c>
      <c r="Z2937" s="2">
        <v>40</v>
      </c>
      <c r="AA2937" s="3" t="s">
        <v>40</v>
      </c>
      <c r="AB2937" s="2">
        <v>2</v>
      </c>
      <c r="AC2937" s="3" t="s">
        <v>1513</v>
      </c>
      <c r="AF2937" s="2">
        <v>23</v>
      </c>
      <c r="AG2937" s="2">
        <v>1</v>
      </c>
      <c r="AH2937" s="3" t="s">
        <v>2990</v>
      </c>
      <c r="AI2937" s="4">
        <v>45029</v>
      </c>
      <c r="AJ2937" s="3" t="s">
        <v>3075</v>
      </c>
      <c r="AK2937" s="3" t="s">
        <v>38</v>
      </c>
    </row>
    <row r="2938" spans="1:37" hidden="1" x14ac:dyDescent="0.25">
      <c r="A2938" t="str">
        <f t="shared" si="45"/>
        <v>2023_SA_Warnertown_Lentil_SatelliteTOS2VarietyBoltWaterTrtRainFedAgronomyDensity_1</v>
      </c>
      <c r="B2938" s="2">
        <v>2023033</v>
      </c>
      <c r="C2938" s="3" t="s">
        <v>3033</v>
      </c>
      <c r="D2938" s="3" t="s">
        <v>38</v>
      </c>
      <c r="F2938" s="3" t="s">
        <v>4187</v>
      </c>
      <c r="G2938" s="3" t="s">
        <v>39</v>
      </c>
      <c r="H2938" s="3" t="s">
        <v>253</v>
      </c>
      <c r="I2938" s="2">
        <v>43</v>
      </c>
      <c r="J2938" s="2">
        <v>43</v>
      </c>
      <c r="K2938" s="2">
        <v>4</v>
      </c>
      <c r="O2938" s="2">
        <v>8</v>
      </c>
      <c r="U2938" s="2">
        <v>1</v>
      </c>
      <c r="V2938" s="2">
        <v>23</v>
      </c>
      <c r="W2938" s="2">
        <v>1</v>
      </c>
      <c r="X2938" s="2">
        <v>15</v>
      </c>
      <c r="Z2938" s="2">
        <v>43</v>
      </c>
      <c r="AA2938" s="3" t="s">
        <v>40</v>
      </c>
      <c r="AB2938" s="2">
        <v>2</v>
      </c>
      <c r="AC2938" s="3" t="s">
        <v>1513</v>
      </c>
      <c r="AF2938" s="2">
        <v>23</v>
      </c>
      <c r="AG2938" s="2">
        <v>2</v>
      </c>
      <c r="AH2938" s="3" t="s">
        <v>2983</v>
      </c>
      <c r="AI2938" s="4">
        <v>45054</v>
      </c>
      <c r="AJ2938" s="3" t="s">
        <v>3076</v>
      </c>
      <c r="AK2938" s="3" t="s">
        <v>38</v>
      </c>
    </row>
    <row r="2939" spans="1:37" hidden="1" x14ac:dyDescent="0.25">
      <c r="A2939" t="str">
        <f t="shared" si="45"/>
        <v>2023_SA_Warnertown_Lentil_SatelliteTOS2VarietyHallmarkXTWaterTrtRainFedAgronomyDensity_1</v>
      </c>
      <c r="B2939" s="2">
        <v>2023033</v>
      </c>
      <c r="C2939" s="3" t="s">
        <v>3033</v>
      </c>
      <c r="D2939" s="3" t="s">
        <v>38</v>
      </c>
      <c r="F2939" s="3" t="s">
        <v>4189</v>
      </c>
      <c r="G2939" s="3" t="s">
        <v>39</v>
      </c>
      <c r="H2939" s="3" t="s">
        <v>253</v>
      </c>
      <c r="I2939" s="2">
        <v>44</v>
      </c>
      <c r="J2939" s="2">
        <v>44</v>
      </c>
      <c r="K2939" s="2">
        <v>4</v>
      </c>
      <c r="O2939" s="2">
        <v>8</v>
      </c>
      <c r="U2939" s="2">
        <v>2</v>
      </c>
      <c r="V2939" s="2">
        <v>23</v>
      </c>
      <c r="W2939" s="2">
        <v>2</v>
      </c>
      <c r="X2939" s="2">
        <v>15</v>
      </c>
      <c r="Z2939" s="2">
        <v>44</v>
      </c>
      <c r="AA2939" s="3" t="s">
        <v>40</v>
      </c>
      <c r="AB2939" s="2">
        <v>1</v>
      </c>
      <c r="AC2939" s="3" t="s">
        <v>1513</v>
      </c>
      <c r="AF2939" s="2">
        <v>23</v>
      </c>
      <c r="AG2939" s="2">
        <v>2</v>
      </c>
      <c r="AH2939" s="3" t="s">
        <v>2983</v>
      </c>
      <c r="AI2939" s="4">
        <v>45054</v>
      </c>
      <c r="AJ2939" s="3" t="s">
        <v>3077</v>
      </c>
      <c r="AK2939" s="3" t="s">
        <v>38</v>
      </c>
    </row>
    <row r="2940" spans="1:37" hidden="1" x14ac:dyDescent="0.25">
      <c r="A2940" t="str">
        <f t="shared" si="45"/>
        <v>2023_SA_Warnertown_Lentil_SatelliteTOS2VarietyBoltWaterTrtRainFedAgronomyDensity_0.66</v>
      </c>
      <c r="B2940" s="2">
        <v>2023033</v>
      </c>
      <c r="C2940" s="3" t="s">
        <v>3033</v>
      </c>
      <c r="D2940" s="3" t="s">
        <v>38</v>
      </c>
      <c r="F2940" s="3" t="s">
        <v>4187</v>
      </c>
      <c r="G2940" s="3" t="s">
        <v>39</v>
      </c>
      <c r="H2940" s="3" t="s">
        <v>253</v>
      </c>
      <c r="I2940" s="2">
        <v>45</v>
      </c>
      <c r="J2940" s="2">
        <v>45</v>
      </c>
      <c r="K2940" s="2">
        <v>4</v>
      </c>
      <c r="O2940" s="2">
        <v>8</v>
      </c>
      <c r="U2940" s="2">
        <v>3</v>
      </c>
      <c r="V2940" s="2">
        <v>23</v>
      </c>
      <c r="W2940" s="2">
        <v>3</v>
      </c>
      <c r="X2940" s="2">
        <v>15</v>
      </c>
      <c r="Z2940" s="2">
        <v>45</v>
      </c>
      <c r="AA2940" s="3" t="s">
        <v>40</v>
      </c>
      <c r="AB2940" s="2">
        <v>5</v>
      </c>
      <c r="AC2940" s="3" t="s">
        <v>1511</v>
      </c>
      <c r="AF2940" s="2">
        <v>23</v>
      </c>
      <c r="AG2940" s="2">
        <v>2</v>
      </c>
      <c r="AH2940" s="3" t="s">
        <v>2983</v>
      </c>
      <c r="AI2940" s="4">
        <v>45054</v>
      </c>
      <c r="AJ2940" s="3" t="s">
        <v>3078</v>
      </c>
      <c r="AK2940" s="3" t="s">
        <v>38</v>
      </c>
    </row>
    <row r="2941" spans="1:37" hidden="1" x14ac:dyDescent="0.25">
      <c r="A2941" t="str">
        <f t="shared" si="45"/>
        <v>2023_SA_Warnertown_Lentil_SatelliteTOS2VarietyJumbo2WaterTrtRainFedAgronomyDensity_1</v>
      </c>
      <c r="B2941" s="2">
        <v>2023033</v>
      </c>
      <c r="C2941" s="3" t="s">
        <v>3033</v>
      </c>
      <c r="D2941" s="3" t="s">
        <v>38</v>
      </c>
      <c r="F2941" s="3" t="s">
        <v>4176</v>
      </c>
      <c r="G2941" s="3" t="s">
        <v>43</v>
      </c>
      <c r="H2941" s="3" t="s">
        <v>253</v>
      </c>
      <c r="I2941" s="2">
        <v>46</v>
      </c>
      <c r="J2941" s="2">
        <v>46</v>
      </c>
      <c r="K2941" s="2">
        <v>4</v>
      </c>
      <c r="O2941" s="2">
        <v>8</v>
      </c>
      <c r="U2941" s="2">
        <v>1</v>
      </c>
      <c r="V2941" s="2">
        <v>24</v>
      </c>
      <c r="W2941" s="2">
        <v>1</v>
      </c>
      <c r="X2941" s="2">
        <v>16</v>
      </c>
      <c r="Z2941" s="2">
        <v>48</v>
      </c>
      <c r="AA2941" s="3" t="s">
        <v>40</v>
      </c>
      <c r="AB2941" s="2">
        <v>3</v>
      </c>
      <c r="AC2941" s="3" t="s">
        <v>1513</v>
      </c>
      <c r="AF2941" s="2">
        <v>23</v>
      </c>
      <c r="AG2941" s="2">
        <v>2</v>
      </c>
      <c r="AH2941" s="3" t="s">
        <v>2983</v>
      </c>
      <c r="AI2941" s="4">
        <v>45054</v>
      </c>
      <c r="AJ2941" s="3" t="s">
        <v>3079</v>
      </c>
      <c r="AK2941" s="3" t="s">
        <v>38</v>
      </c>
    </row>
    <row r="2942" spans="1:37" hidden="1" x14ac:dyDescent="0.25">
      <c r="A2942" t="str">
        <f t="shared" si="45"/>
        <v>2023_SA_Warnertown_Lentil_SatelliteTOS2VarietyJumbo2WaterTrtRainFedAgronomyDensity_0.66</v>
      </c>
      <c r="B2942" s="2">
        <v>2023033</v>
      </c>
      <c r="C2942" s="3" t="s">
        <v>3033</v>
      </c>
      <c r="D2942" s="3" t="s">
        <v>38</v>
      </c>
      <c r="F2942" s="3" t="s">
        <v>4176</v>
      </c>
      <c r="G2942" s="3" t="s">
        <v>43</v>
      </c>
      <c r="H2942" s="3" t="s">
        <v>253</v>
      </c>
      <c r="I2942" s="2">
        <v>47</v>
      </c>
      <c r="J2942" s="2">
        <v>47</v>
      </c>
      <c r="K2942" s="2">
        <v>4</v>
      </c>
      <c r="O2942" s="2">
        <v>8</v>
      </c>
      <c r="U2942" s="2">
        <v>2</v>
      </c>
      <c r="V2942" s="2">
        <v>24</v>
      </c>
      <c r="W2942" s="2">
        <v>2</v>
      </c>
      <c r="X2942" s="2">
        <v>16</v>
      </c>
      <c r="Z2942" s="2">
        <v>47</v>
      </c>
      <c r="AA2942" s="3" t="s">
        <v>40</v>
      </c>
      <c r="AB2942" s="2">
        <v>6</v>
      </c>
      <c r="AC2942" s="3" t="s">
        <v>1511</v>
      </c>
      <c r="AF2942" s="2">
        <v>23</v>
      </c>
      <c r="AG2942" s="2">
        <v>2</v>
      </c>
      <c r="AH2942" s="3" t="s">
        <v>2983</v>
      </c>
      <c r="AI2942" s="4">
        <v>45054</v>
      </c>
      <c r="AJ2942" s="3" t="s">
        <v>3080</v>
      </c>
      <c r="AK2942" s="3" t="s">
        <v>38</v>
      </c>
    </row>
    <row r="2943" spans="1:37" hidden="1" x14ac:dyDescent="0.25">
      <c r="A2943" t="str">
        <f t="shared" si="45"/>
        <v>2023_SA_Warnertown_Lentil_SatelliteTOS2VarietyKelpieXTWaterTrtRainFedAgronomyDensity_1</v>
      </c>
      <c r="B2943" s="2">
        <v>2023033</v>
      </c>
      <c r="C2943" s="3" t="s">
        <v>3033</v>
      </c>
      <c r="D2943" s="3" t="s">
        <v>38</v>
      </c>
      <c r="F2943" s="3" t="s">
        <v>4188</v>
      </c>
      <c r="G2943" s="3" t="s">
        <v>43</v>
      </c>
      <c r="H2943" s="3" t="s">
        <v>253</v>
      </c>
      <c r="I2943" s="2">
        <v>48</v>
      </c>
      <c r="J2943" s="2">
        <v>48</v>
      </c>
      <c r="K2943" s="2">
        <v>4</v>
      </c>
      <c r="O2943" s="2">
        <v>8</v>
      </c>
      <c r="U2943" s="2">
        <v>3</v>
      </c>
      <c r="V2943" s="2">
        <v>24</v>
      </c>
      <c r="W2943" s="2">
        <v>3</v>
      </c>
      <c r="X2943" s="2">
        <v>16</v>
      </c>
      <c r="Z2943" s="2">
        <v>46</v>
      </c>
      <c r="AA2943" s="3" t="s">
        <v>40</v>
      </c>
      <c r="AB2943" s="2">
        <v>4</v>
      </c>
      <c r="AC2943" s="3" t="s">
        <v>1513</v>
      </c>
      <c r="AF2943" s="2">
        <v>23</v>
      </c>
      <c r="AG2943" s="2">
        <v>2</v>
      </c>
      <c r="AH2943" s="3" t="s">
        <v>2983</v>
      </c>
      <c r="AI2943" s="4">
        <v>45054</v>
      </c>
      <c r="AJ2943" s="3" t="s">
        <v>3081</v>
      </c>
      <c r="AK2943" s="3" t="s">
        <v>38</v>
      </c>
    </row>
    <row r="2944" spans="1:37" hidden="1" x14ac:dyDescent="0.25">
      <c r="A2944" t="str">
        <f t="shared" si="45"/>
        <v>2023_Vic_Ouyen_Chickpea_SatelliteTOS1VarietyHatTrickWaterTrtRainFed</v>
      </c>
      <c r="B2944" s="2">
        <v>2023034</v>
      </c>
      <c r="C2944" s="3" t="s">
        <v>3082</v>
      </c>
      <c r="D2944" s="3" t="s">
        <v>248</v>
      </c>
      <c r="F2944" s="3" t="s">
        <v>4178</v>
      </c>
      <c r="G2944" s="3" t="s">
        <v>39</v>
      </c>
      <c r="H2944" s="3" t="s">
        <v>253</v>
      </c>
      <c r="I2944" s="2">
        <v>1</v>
      </c>
      <c r="J2944" s="2">
        <v>1</v>
      </c>
      <c r="K2944" s="2">
        <v>1</v>
      </c>
      <c r="O2944" s="2">
        <v>1</v>
      </c>
      <c r="U2944" s="2">
        <v>1</v>
      </c>
      <c r="V2944" s="2">
        <v>2</v>
      </c>
      <c r="W2944" s="2">
        <v>1</v>
      </c>
      <c r="X2944" s="2">
        <v>1</v>
      </c>
      <c r="Z2944" s="2">
        <v>1</v>
      </c>
      <c r="AA2944" s="3" t="s">
        <v>40</v>
      </c>
      <c r="AB2944" s="2">
        <v>3</v>
      </c>
      <c r="AF2944" s="2">
        <v>28</v>
      </c>
      <c r="AG2944" s="2">
        <v>1</v>
      </c>
      <c r="AH2944" s="3" t="s">
        <v>3083</v>
      </c>
      <c r="AI2944" s="4">
        <v>45050</v>
      </c>
      <c r="AJ2944" s="3" t="s">
        <v>3084</v>
      </c>
      <c r="AK2944" s="3" t="s">
        <v>248</v>
      </c>
    </row>
    <row r="2945" spans="1:37" hidden="1" x14ac:dyDescent="0.25">
      <c r="A2945" t="str">
        <f t="shared" si="45"/>
        <v>2023_Vic_Ouyen_Chickpea_SatelliteTOS1VarietyStrikerWaterTrtRainFed</v>
      </c>
      <c r="B2945" s="2">
        <v>2023034</v>
      </c>
      <c r="C2945" s="3" t="s">
        <v>3082</v>
      </c>
      <c r="D2945" s="3" t="s">
        <v>248</v>
      </c>
      <c r="F2945" s="3" t="s">
        <v>4179</v>
      </c>
      <c r="G2945" s="3" t="s">
        <v>43</v>
      </c>
      <c r="H2945" s="3" t="s">
        <v>253</v>
      </c>
      <c r="I2945" s="2">
        <v>2</v>
      </c>
      <c r="J2945" s="2">
        <v>2</v>
      </c>
      <c r="K2945" s="2">
        <v>1</v>
      </c>
      <c r="O2945" s="2">
        <v>1</v>
      </c>
      <c r="U2945" s="2">
        <v>2</v>
      </c>
      <c r="V2945" s="2">
        <v>2</v>
      </c>
      <c r="W2945" s="2">
        <v>2</v>
      </c>
      <c r="X2945" s="2">
        <v>1</v>
      </c>
      <c r="Z2945" s="2">
        <v>2</v>
      </c>
      <c r="AA2945" s="3" t="s">
        <v>40</v>
      </c>
      <c r="AB2945" s="2">
        <v>2</v>
      </c>
      <c r="AF2945" s="2">
        <v>28</v>
      </c>
      <c r="AG2945" s="2">
        <v>1</v>
      </c>
      <c r="AH2945" s="3" t="s">
        <v>3083</v>
      </c>
      <c r="AI2945" s="4">
        <v>45050</v>
      </c>
      <c r="AJ2945" s="3" t="s">
        <v>3085</v>
      </c>
      <c r="AK2945" s="3" t="s">
        <v>248</v>
      </c>
    </row>
    <row r="2946" spans="1:37" hidden="1" x14ac:dyDescent="0.25">
      <c r="A2946" t="str">
        <f t="shared" si="45"/>
        <v>2023_Vic_Ouyen_Chickpea_SatelliteTOS1VarietyDrummondWaterTrtRainFed</v>
      </c>
      <c r="B2946" s="2">
        <v>2023034</v>
      </c>
      <c r="C2946" s="3" t="s">
        <v>3082</v>
      </c>
      <c r="D2946" s="3" t="s">
        <v>248</v>
      </c>
      <c r="F2946" s="3" t="s">
        <v>4182</v>
      </c>
      <c r="G2946" s="3" t="s">
        <v>39</v>
      </c>
      <c r="H2946" s="3" t="s">
        <v>253</v>
      </c>
      <c r="I2946" s="2">
        <v>3</v>
      </c>
      <c r="J2946" s="2">
        <v>3</v>
      </c>
      <c r="K2946" s="2">
        <v>1</v>
      </c>
      <c r="O2946" s="2">
        <v>1</v>
      </c>
      <c r="U2946" s="2">
        <v>3</v>
      </c>
      <c r="V2946" s="2">
        <v>2</v>
      </c>
      <c r="W2946" s="2">
        <v>3</v>
      </c>
      <c r="X2946" s="2">
        <v>1</v>
      </c>
      <c r="Z2946" s="2">
        <v>3</v>
      </c>
      <c r="AA2946" s="3" t="s">
        <v>40</v>
      </c>
      <c r="AB2946" s="2">
        <v>4</v>
      </c>
      <c r="AF2946" s="2">
        <v>28</v>
      </c>
      <c r="AG2946" s="2">
        <v>1</v>
      </c>
      <c r="AH2946" s="3" t="s">
        <v>3083</v>
      </c>
      <c r="AI2946" s="4">
        <v>45050</v>
      </c>
      <c r="AJ2946" s="3" t="s">
        <v>3086</v>
      </c>
      <c r="AK2946" s="3" t="s">
        <v>248</v>
      </c>
    </row>
    <row r="2947" spans="1:37" hidden="1" x14ac:dyDescent="0.25">
      <c r="A2947" t="str">
        <f t="shared" ref="A2947:A3010" si="46">C2947&amp;"TOS"&amp;AG2947&amp;"Variety"&amp;F2947&amp;"WaterTrt"&amp;AA2947&amp;IF(AC2947="","","Agronomy"&amp;AC2947)</f>
        <v>2023_Vic_Ouyen_Chickpea_SatelliteTOS1VarietyCBA_CaptainWaterTrtRainFed</v>
      </c>
      <c r="B2947" s="2">
        <v>2023034</v>
      </c>
      <c r="C2947" s="3" t="s">
        <v>3082</v>
      </c>
      <c r="D2947" s="3" t="s">
        <v>248</v>
      </c>
      <c r="F2947" s="3" t="s">
        <v>249</v>
      </c>
      <c r="G2947" s="3" t="s">
        <v>43</v>
      </c>
      <c r="H2947" s="3" t="s">
        <v>253</v>
      </c>
      <c r="I2947" s="2">
        <v>4</v>
      </c>
      <c r="J2947" s="2">
        <v>4</v>
      </c>
      <c r="K2947" s="2">
        <v>1</v>
      </c>
      <c r="O2947" s="2">
        <v>1</v>
      </c>
      <c r="U2947" s="2">
        <v>4</v>
      </c>
      <c r="V2947" s="2">
        <v>2</v>
      </c>
      <c r="W2947" s="2">
        <v>4</v>
      </c>
      <c r="X2947" s="2">
        <v>1</v>
      </c>
      <c r="Z2947" s="2">
        <v>4</v>
      </c>
      <c r="AA2947" s="3" t="s">
        <v>40</v>
      </c>
      <c r="AB2947" s="2">
        <v>1</v>
      </c>
      <c r="AF2947" s="2">
        <v>28</v>
      </c>
      <c r="AG2947" s="2">
        <v>1</v>
      </c>
      <c r="AH2947" s="3" t="s">
        <v>3083</v>
      </c>
      <c r="AI2947" s="4">
        <v>45050</v>
      </c>
      <c r="AJ2947" s="3" t="s">
        <v>3087</v>
      </c>
      <c r="AK2947" s="3" t="s">
        <v>248</v>
      </c>
    </row>
    <row r="2948" spans="1:37" hidden="1" x14ac:dyDescent="0.25">
      <c r="A2948" t="str">
        <f t="shared" si="46"/>
        <v>2023_Vic_Ouyen_Chickpea_SatelliteTOS2VarietyCBA_CaptainWaterTrtRainFed</v>
      </c>
      <c r="B2948" s="2">
        <v>2023034</v>
      </c>
      <c r="C2948" s="3" t="s">
        <v>3082</v>
      </c>
      <c r="D2948" s="3" t="s">
        <v>248</v>
      </c>
      <c r="F2948" s="3" t="s">
        <v>249</v>
      </c>
      <c r="G2948" s="3" t="s">
        <v>43</v>
      </c>
      <c r="H2948" s="3" t="s">
        <v>253</v>
      </c>
      <c r="I2948" s="2">
        <v>5</v>
      </c>
      <c r="J2948" s="2">
        <v>5</v>
      </c>
      <c r="K2948" s="2">
        <v>1</v>
      </c>
      <c r="O2948" s="2">
        <v>2</v>
      </c>
      <c r="U2948" s="2">
        <v>1</v>
      </c>
      <c r="V2948" s="2">
        <v>4</v>
      </c>
      <c r="W2948" s="2">
        <v>1</v>
      </c>
      <c r="X2948" s="2">
        <v>2</v>
      </c>
      <c r="Z2948" s="2">
        <v>8</v>
      </c>
      <c r="AA2948" s="3" t="s">
        <v>40</v>
      </c>
      <c r="AB2948" s="2">
        <v>1</v>
      </c>
      <c r="AF2948" s="2">
        <v>28</v>
      </c>
      <c r="AG2948" s="2">
        <v>2</v>
      </c>
      <c r="AH2948" s="3" t="s">
        <v>3088</v>
      </c>
      <c r="AI2948" s="4">
        <v>45093</v>
      </c>
      <c r="AJ2948" s="3" t="s">
        <v>3089</v>
      </c>
      <c r="AK2948" s="3" t="s">
        <v>248</v>
      </c>
    </row>
    <row r="2949" spans="1:37" hidden="1" x14ac:dyDescent="0.25">
      <c r="A2949" t="str">
        <f t="shared" si="46"/>
        <v>2023_Vic_Ouyen_Chickpea_SatelliteTOS2VarietyDrummondWaterTrtRainFed</v>
      </c>
      <c r="B2949" s="2">
        <v>2023034</v>
      </c>
      <c r="C2949" s="3" t="s">
        <v>3082</v>
      </c>
      <c r="D2949" s="3" t="s">
        <v>248</v>
      </c>
      <c r="F2949" s="3" t="s">
        <v>4182</v>
      </c>
      <c r="G2949" s="3" t="s">
        <v>39</v>
      </c>
      <c r="H2949" s="3" t="s">
        <v>253</v>
      </c>
      <c r="I2949" s="2">
        <v>6</v>
      </c>
      <c r="J2949" s="2">
        <v>6</v>
      </c>
      <c r="K2949" s="2">
        <v>1</v>
      </c>
      <c r="O2949" s="2">
        <v>2</v>
      </c>
      <c r="U2949" s="2">
        <v>2</v>
      </c>
      <c r="V2949" s="2">
        <v>4</v>
      </c>
      <c r="W2949" s="2">
        <v>2</v>
      </c>
      <c r="X2949" s="2">
        <v>2</v>
      </c>
      <c r="Z2949" s="2">
        <v>7</v>
      </c>
      <c r="AA2949" s="3" t="s">
        <v>40</v>
      </c>
      <c r="AB2949" s="2">
        <v>4</v>
      </c>
      <c r="AF2949" s="2">
        <v>28</v>
      </c>
      <c r="AG2949" s="2">
        <v>2</v>
      </c>
      <c r="AH2949" s="3" t="s">
        <v>3088</v>
      </c>
      <c r="AI2949" s="4">
        <v>45093</v>
      </c>
      <c r="AJ2949" s="3" t="s">
        <v>3090</v>
      </c>
      <c r="AK2949" s="3" t="s">
        <v>248</v>
      </c>
    </row>
    <row r="2950" spans="1:37" hidden="1" x14ac:dyDescent="0.25">
      <c r="A2950" t="str">
        <f t="shared" si="46"/>
        <v>2023_Vic_Ouyen_Chickpea_SatelliteTOS2VarietyStrikerWaterTrtRainFed</v>
      </c>
      <c r="B2950" s="2">
        <v>2023034</v>
      </c>
      <c r="C2950" s="3" t="s">
        <v>3082</v>
      </c>
      <c r="D2950" s="3" t="s">
        <v>248</v>
      </c>
      <c r="F2950" s="3" t="s">
        <v>4179</v>
      </c>
      <c r="G2950" s="3" t="s">
        <v>43</v>
      </c>
      <c r="H2950" s="3" t="s">
        <v>253</v>
      </c>
      <c r="I2950" s="2">
        <v>7</v>
      </c>
      <c r="J2950" s="2">
        <v>7</v>
      </c>
      <c r="K2950" s="2">
        <v>1</v>
      </c>
      <c r="O2950" s="2">
        <v>2</v>
      </c>
      <c r="U2950" s="2">
        <v>3</v>
      </c>
      <c r="V2950" s="2">
        <v>4</v>
      </c>
      <c r="W2950" s="2">
        <v>3</v>
      </c>
      <c r="X2950" s="2">
        <v>2</v>
      </c>
      <c r="Z2950" s="2">
        <v>6</v>
      </c>
      <c r="AA2950" s="3" t="s">
        <v>40</v>
      </c>
      <c r="AB2950" s="2">
        <v>3</v>
      </c>
      <c r="AF2950" s="2">
        <v>28</v>
      </c>
      <c r="AG2950" s="2">
        <v>2</v>
      </c>
      <c r="AH2950" s="3" t="s">
        <v>3088</v>
      </c>
      <c r="AI2950" s="4">
        <v>45093</v>
      </c>
      <c r="AJ2950" s="3" t="s">
        <v>3091</v>
      </c>
      <c r="AK2950" s="3" t="s">
        <v>248</v>
      </c>
    </row>
    <row r="2951" spans="1:37" hidden="1" x14ac:dyDescent="0.25">
      <c r="A2951" t="str">
        <f t="shared" si="46"/>
        <v>2023_Vic_Ouyen_Chickpea_SatelliteTOS2VarietyHatTrickWaterTrtRainFed</v>
      </c>
      <c r="B2951" s="2">
        <v>2023034</v>
      </c>
      <c r="C2951" s="3" t="s">
        <v>3082</v>
      </c>
      <c r="D2951" s="3" t="s">
        <v>248</v>
      </c>
      <c r="F2951" s="3" t="s">
        <v>4178</v>
      </c>
      <c r="G2951" s="3" t="s">
        <v>39</v>
      </c>
      <c r="H2951" s="3" t="s">
        <v>253</v>
      </c>
      <c r="I2951" s="2">
        <v>8</v>
      </c>
      <c r="J2951" s="2">
        <v>8</v>
      </c>
      <c r="K2951" s="2">
        <v>1</v>
      </c>
      <c r="O2951" s="2">
        <v>2</v>
      </c>
      <c r="U2951" s="2">
        <v>4</v>
      </c>
      <c r="V2951" s="2">
        <v>4</v>
      </c>
      <c r="W2951" s="2">
        <v>4</v>
      </c>
      <c r="X2951" s="2">
        <v>2</v>
      </c>
      <c r="Z2951" s="2">
        <v>5</v>
      </c>
      <c r="AA2951" s="3" t="s">
        <v>40</v>
      </c>
      <c r="AB2951" s="2">
        <v>2</v>
      </c>
      <c r="AF2951" s="2">
        <v>28</v>
      </c>
      <c r="AG2951" s="2">
        <v>2</v>
      </c>
      <c r="AH2951" s="3" t="s">
        <v>3088</v>
      </c>
      <c r="AI2951" s="4">
        <v>45093</v>
      </c>
      <c r="AJ2951" s="3" t="s">
        <v>3092</v>
      </c>
      <c r="AK2951" s="3" t="s">
        <v>248</v>
      </c>
    </row>
    <row r="2952" spans="1:37" hidden="1" x14ac:dyDescent="0.25">
      <c r="A2952" t="str">
        <f t="shared" si="46"/>
        <v>2023_Vic_Ouyen_Chickpea_SatelliteTOS2VarietyDrummondWaterTrtRainFed</v>
      </c>
      <c r="B2952" s="2">
        <v>2023034</v>
      </c>
      <c r="C2952" s="3" t="s">
        <v>3082</v>
      </c>
      <c r="D2952" s="3" t="s">
        <v>248</v>
      </c>
      <c r="F2952" s="3" t="s">
        <v>4182</v>
      </c>
      <c r="G2952" s="3" t="s">
        <v>39</v>
      </c>
      <c r="H2952" s="3" t="s">
        <v>253</v>
      </c>
      <c r="I2952" s="2">
        <v>9</v>
      </c>
      <c r="J2952" s="2">
        <v>9</v>
      </c>
      <c r="K2952" s="2">
        <v>2</v>
      </c>
      <c r="O2952" s="2">
        <v>3</v>
      </c>
      <c r="U2952" s="2">
        <v>1</v>
      </c>
      <c r="V2952" s="2">
        <v>6</v>
      </c>
      <c r="W2952" s="2">
        <v>1</v>
      </c>
      <c r="X2952" s="2">
        <v>3</v>
      </c>
      <c r="Z2952" s="2">
        <v>9</v>
      </c>
      <c r="AA2952" s="3" t="s">
        <v>40</v>
      </c>
      <c r="AB2952" s="2">
        <v>4</v>
      </c>
      <c r="AF2952" s="2">
        <v>28</v>
      </c>
      <c r="AG2952" s="2">
        <v>2</v>
      </c>
      <c r="AH2952" s="3" t="s">
        <v>3088</v>
      </c>
      <c r="AI2952" s="4">
        <v>45093</v>
      </c>
      <c r="AJ2952" s="3" t="s">
        <v>3093</v>
      </c>
      <c r="AK2952" s="3" t="s">
        <v>248</v>
      </c>
    </row>
    <row r="2953" spans="1:37" hidden="1" x14ac:dyDescent="0.25">
      <c r="A2953" t="str">
        <f t="shared" si="46"/>
        <v>2023_Vic_Ouyen_Chickpea_SatelliteTOS2VarietyHatTrickWaterTrtRainFed</v>
      </c>
      <c r="B2953" s="2">
        <v>2023034</v>
      </c>
      <c r="C2953" s="3" t="s">
        <v>3082</v>
      </c>
      <c r="D2953" s="3" t="s">
        <v>248</v>
      </c>
      <c r="F2953" s="3" t="s">
        <v>4178</v>
      </c>
      <c r="G2953" s="3" t="s">
        <v>39</v>
      </c>
      <c r="H2953" s="3" t="s">
        <v>253</v>
      </c>
      <c r="I2953" s="2">
        <v>10</v>
      </c>
      <c r="J2953" s="2">
        <v>10</v>
      </c>
      <c r="K2953" s="2">
        <v>2</v>
      </c>
      <c r="O2953" s="2">
        <v>3</v>
      </c>
      <c r="U2953" s="2">
        <v>2</v>
      </c>
      <c r="V2953" s="2">
        <v>6</v>
      </c>
      <c r="W2953" s="2">
        <v>2</v>
      </c>
      <c r="X2953" s="2">
        <v>3</v>
      </c>
      <c r="Z2953" s="2">
        <v>10</v>
      </c>
      <c r="AA2953" s="3" t="s">
        <v>40</v>
      </c>
      <c r="AB2953" s="2">
        <v>3</v>
      </c>
      <c r="AF2953" s="2">
        <v>28</v>
      </c>
      <c r="AG2953" s="2">
        <v>2</v>
      </c>
      <c r="AH2953" s="3" t="s">
        <v>3088</v>
      </c>
      <c r="AI2953" s="4">
        <v>45093</v>
      </c>
      <c r="AJ2953" s="3" t="s">
        <v>3094</v>
      </c>
      <c r="AK2953" s="3" t="s">
        <v>248</v>
      </c>
    </row>
    <row r="2954" spans="1:37" hidden="1" x14ac:dyDescent="0.25">
      <c r="A2954" t="str">
        <f t="shared" si="46"/>
        <v>2023_Vic_Ouyen_Chickpea_SatelliteTOS2VarietyCBA_CaptainWaterTrtRainFed</v>
      </c>
      <c r="B2954" s="2">
        <v>2023034</v>
      </c>
      <c r="C2954" s="3" t="s">
        <v>3082</v>
      </c>
      <c r="D2954" s="3" t="s">
        <v>248</v>
      </c>
      <c r="F2954" s="3" t="s">
        <v>249</v>
      </c>
      <c r="G2954" s="3" t="s">
        <v>43</v>
      </c>
      <c r="H2954" s="3" t="s">
        <v>253</v>
      </c>
      <c r="I2954" s="2">
        <v>11</v>
      </c>
      <c r="J2954" s="2">
        <v>11</v>
      </c>
      <c r="K2954" s="2">
        <v>2</v>
      </c>
      <c r="O2954" s="2">
        <v>3</v>
      </c>
      <c r="U2954" s="2">
        <v>3</v>
      </c>
      <c r="V2954" s="2">
        <v>6</v>
      </c>
      <c r="W2954" s="2">
        <v>3</v>
      </c>
      <c r="X2954" s="2">
        <v>3</v>
      </c>
      <c r="Z2954" s="2">
        <v>11</v>
      </c>
      <c r="AA2954" s="3" t="s">
        <v>40</v>
      </c>
      <c r="AB2954" s="2">
        <v>2</v>
      </c>
      <c r="AF2954" s="2">
        <v>28</v>
      </c>
      <c r="AG2954" s="2">
        <v>2</v>
      </c>
      <c r="AH2954" s="3" t="s">
        <v>3088</v>
      </c>
      <c r="AI2954" s="4">
        <v>45093</v>
      </c>
      <c r="AJ2954" s="3" t="s">
        <v>3095</v>
      </c>
      <c r="AK2954" s="3" t="s">
        <v>248</v>
      </c>
    </row>
    <row r="2955" spans="1:37" hidden="1" x14ac:dyDescent="0.25">
      <c r="A2955" t="str">
        <f t="shared" si="46"/>
        <v>2023_Vic_Ouyen_Chickpea_SatelliteTOS2VarietyStrikerWaterTrtRainFed</v>
      </c>
      <c r="B2955" s="2">
        <v>2023034</v>
      </c>
      <c r="C2955" s="3" t="s">
        <v>3082</v>
      </c>
      <c r="D2955" s="3" t="s">
        <v>248</v>
      </c>
      <c r="F2955" s="3" t="s">
        <v>4179</v>
      </c>
      <c r="G2955" s="3" t="s">
        <v>43</v>
      </c>
      <c r="H2955" s="3" t="s">
        <v>253</v>
      </c>
      <c r="I2955" s="2">
        <v>12</v>
      </c>
      <c r="J2955" s="2">
        <v>12</v>
      </c>
      <c r="K2955" s="2">
        <v>2</v>
      </c>
      <c r="O2955" s="2">
        <v>3</v>
      </c>
      <c r="U2955" s="2">
        <v>4</v>
      </c>
      <c r="V2955" s="2">
        <v>6</v>
      </c>
      <c r="W2955" s="2">
        <v>4</v>
      </c>
      <c r="X2955" s="2">
        <v>3</v>
      </c>
      <c r="Z2955" s="2">
        <v>12</v>
      </c>
      <c r="AA2955" s="3" t="s">
        <v>40</v>
      </c>
      <c r="AB2955" s="2">
        <v>1</v>
      </c>
      <c r="AF2955" s="2">
        <v>28</v>
      </c>
      <c r="AG2955" s="2">
        <v>2</v>
      </c>
      <c r="AH2955" s="3" t="s">
        <v>3088</v>
      </c>
      <c r="AI2955" s="4">
        <v>45093</v>
      </c>
      <c r="AJ2955" s="3" t="s">
        <v>3096</v>
      </c>
      <c r="AK2955" s="3" t="s">
        <v>248</v>
      </c>
    </row>
    <row r="2956" spans="1:37" hidden="1" x14ac:dyDescent="0.25">
      <c r="A2956" t="str">
        <f t="shared" si="46"/>
        <v>2023_Vic_Ouyen_Chickpea_SatelliteTOS1VarietyCBA_CaptainWaterTrtRainFed</v>
      </c>
      <c r="B2956" s="2">
        <v>2023034</v>
      </c>
      <c r="C2956" s="3" t="s">
        <v>3082</v>
      </c>
      <c r="D2956" s="3" t="s">
        <v>248</v>
      </c>
      <c r="F2956" s="3" t="s">
        <v>249</v>
      </c>
      <c r="G2956" s="3" t="s">
        <v>43</v>
      </c>
      <c r="H2956" s="3" t="s">
        <v>253</v>
      </c>
      <c r="I2956" s="2">
        <v>13</v>
      </c>
      <c r="J2956" s="2">
        <v>13</v>
      </c>
      <c r="K2956" s="2">
        <v>2</v>
      </c>
      <c r="O2956" s="2">
        <v>4</v>
      </c>
      <c r="U2956" s="2">
        <v>1</v>
      </c>
      <c r="V2956" s="2">
        <v>8</v>
      </c>
      <c r="W2956" s="2">
        <v>1</v>
      </c>
      <c r="X2956" s="2">
        <v>4</v>
      </c>
      <c r="Z2956" s="2">
        <v>16</v>
      </c>
      <c r="AA2956" s="3" t="s">
        <v>40</v>
      </c>
      <c r="AB2956" s="2">
        <v>2</v>
      </c>
      <c r="AF2956" s="2">
        <v>28</v>
      </c>
      <c r="AG2956" s="2">
        <v>1</v>
      </c>
      <c r="AH2956" s="3" t="s">
        <v>3083</v>
      </c>
      <c r="AI2956" s="4">
        <v>45050</v>
      </c>
      <c r="AJ2956" s="3" t="s">
        <v>3097</v>
      </c>
      <c r="AK2956" s="3" t="s">
        <v>248</v>
      </c>
    </row>
    <row r="2957" spans="1:37" hidden="1" x14ac:dyDescent="0.25">
      <c r="A2957" t="str">
        <f t="shared" si="46"/>
        <v>2023_Vic_Ouyen_Chickpea_SatelliteTOS1VarietyDrummondWaterTrtRainFed</v>
      </c>
      <c r="B2957" s="2">
        <v>2023034</v>
      </c>
      <c r="C2957" s="3" t="s">
        <v>3082</v>
      </c>
      <c r="D2957" s="3" t="s">
        <v>248</v>
      </c>
      <c r="F2957" s="3" t="s">
        <v>4182</v>
      </c>
      <c r="G2957" s="3" t="s">
        <v>39</v>
      </c>
      <c r="H2957" s="3" t="s">
        <v>253</v>
      </c>
      <c r="I2957" s="2">
        <v>14</v>
      </c>
      <c r="J2957" s="2">
        <v>14</v>
      </c>
      <c r="K2957" s="2">
        <v>2</v>
      </c>
      <c r="O2957" s="2">
        <v>4</v>
      </c>
      <c r="U2957" s="2">
        <v>2</v>
      </c>
      <c r="V2957" s="2">
        <v>8</v>
      </c>
      <c r="W2957" s="2">
        <v>2</v>
      </c>
      <c r="X2957" s="2">
        <v>4</v>
      </c>
      <c r="Z2957" s="2">
        <v>15</v>
      </c>
      <c r="AA2957" s="3" t="s">
        <v>40</v>
      </c>
      <c r="AB2957" s="2">
        <v>4</v>
      </c>
      <c r="AF2957" s="2">
        <v>28</v>
      </c>
      <c r="AG2957" s="2">
        <v>1</v>
      </c>
      <c r="AH2957" s="3" t="s">
        <v>3083</v>
      </c>
      <c r="AI2957" s="4">
        <v>45050</v>
      </c>
      <c r="AJ2957" s="3" t="s">
        <v>3098</v>
      </c>
      <c r="AK2957" s="3" t="s">
        <v>248</v>
      </c>
    </row>
    <row r="2958" spans="1:37" hidden="1" x14ac:dyDescent="0.25">
      <c r="A2958" t="str">
        <f t="shared" si="46"/>
        <v>2023_Vic_Ouyen_Chickpea_SatelliteTOS1VarietyStrikerWaterTrtRainFed</v>
      </c>
      <c r="B2958" s="2">
        <v>2023034</v>
      </c>
      <c r="C2958" s="3" t="s">
        <v>3082</v>
      </c>
      <c r="D2958" s="3" t="s">
        <v>248</v>
      </c>
      <c r="F2958" s="3" t="s">
        <v>4179</v>
      </c>
      <c r="G2958" s="3" t="s">
        <v>43</v>
      </c>
      <c r="H2958" s="3" t="s">
        <v>253</v>
      </c>
      <c r="I2958" s="2">
        <v>15</v>
      </c>
      <c r="J2958" s="2">
        <v>15</v>
      </c>
      <c r="K2958" s="2">
        <v>2</v>
      </c>
      <c r="O2958" s="2">
        <v>4</v>
      </c>
      <c r="U2958" s="2">
        <v>3</v>
      </c>
      <c r="V2958" s="2">
        <v>8</v>
      </c>
      <c r="W2958" s="2">
        <v>3</v>
      </c>
      <c r="X2958" s="2">
        <v>4</v>
      </c>
      <c r="Z2958" s="2">
        <v>14</v>
      </c>
      <c r="AA2958" s="3" t="s">
        <v>40</v>
      </c>
      <c r="AB2958" s="2">
        <v>1</v>
      </c>
      <c r="AF2958" s="2">
        <v>28</v>
      </c>
      <c r="AG2958" s="2">
        <v>1</v>
      </c>
      <c r="AH2958" s="3" t="s">
        <v>3083</v>
      </c>
      <c r="AI2958" s="4">
        <v>45050</v>
      </c>
      <c r="AJ2958" s="3" t="s">
        <v>3099</v>
      </c>
      <c r="AK2958" s="3" t="s">
        <v>248</v>
      </c>
    </row>
    <row r="2959" spans="1:37" hidden="1" x14ac:dyDescent="0.25">
      <c r="A2959" t="str">
        <f t="shared" si="46"/>
        <v>2023_Vic_Ouyen_Chickpea_SatelliteTOS1VarietyHatTrickWaterTrtRainFed</v>
      </c>
      <c r="B2959" s="2">
        <v>2023034</v>
      </c>
      <c r="C2959" s="3" t="s">
        <v>3082</v>
      </c>
      <c r="D2959" s="3" t="s">
        <v>248</v>
      </c>
      <c r="F2959" s="3" t="s">
        <v>4178</v>
      </c>
      <c r="G2959" s="3" t="s">
        <v>39</v>
      </c>
      <c r="H2959" s="3" t="s">
        <v>253</v>
      </c>
      <c r="I2959" s="2">
        <v>16</v>
      </c>
      <c r="J2959" s="2">
        <v>16</v>
      </c>
      <c r="K2959" s="2">
        <v>2</v>
      </c>
      <c r="O2959" s="2">
        <v>4</v>
      </c>
      <c r="U2959" s="2">
        <v>4</v>
      </c>
      <c r="V2959" s="2">
        <v>8</v>
      </c>
      <c r="W2959" s="2">
        <v>4</v>
      </c>
      <c r="X2959" s="2">
        <v>4</v>
      </c>
      <c r="Z2959" s="2">
        <v>13</v>
      </c>
      <c r="AA2959" s="3" t="s">
        <v>40</v>
      </c>
      <c r="AB2959" s="2">
        <v>3</v>
      </c>
      <c r="AF2959" s="2">
        <v>28</v>
      </c>
      <c r="AG2959" s="2">
        <v>1</v>
      </c>
      <c r="AH2959" s="3" t="s">
        <v>3083</v>
      </c>
      <c r="AI2959" s="4">
        <v>45050</v>
      </c>
      <c r="AJ2959" s="3" t="s">
        <v>3100</v>
      </c>
      <c r="AK2959" s="3" t="s">
        <v>248</v>
      </c>
    </row>
    <row r="2960" spans="1:37" hidden="1" x14ac:dyDescent="0.25">
      <c r="A2960" t="str">
        <f t="shared" si="46"/>
        <v>2023_Vic_Ouyen_Chickpea_SatelliteTOS2VarietyHatTrickWaterTrtRainFed</v>
      </c>
      <c r="B2960" s="2">
        <v>2023034</v>
      </c>
      <c r="C2960" s="3" t="s">
        <v>3082</v>
      </c>
      <c r="D2960" s="3" t="s">
        <v>248</v>
      </c>
      <c r="F2960" s="3" t="s">
        <v>4178</v>
      </c>
      <c r="G2960" s="3" t="s">
        <v>39</v>
      </c>
      <c r="H2960" s="3" t="s">
        <v>253</v>
      </c>
      <c r="I2960" s="2">
        <v>17</v>
      </c>
      <c r="J2960" s="2">
        <v>17</v>
      </c>
      <c r="K2960" s="2">
        <v>3</v>
      </c>
      <c r="O2960" s="2">
        <v>5</v>
      </c>
      <c r="U2960" s="2">
        <v>1</v>
      </c>
      <c r="V2960" s="2">
        <v>10</v>
      </c>
      <c r="W2960" s="2">
        <v>1</v>
      </c>
      <c r="X2960" s="2">
        <v>5</v>
      </c>
      <c r="Z2960" s="2">
        <v>17</v>
      </c>
      <c r="AA2960" s="3" t="s">
        <v>40</v>
      </c>
      <c r="AB2960" s="2">
        <v>2</v>
      </c>
      <c r="AF2960" s="2">
        <v>28</v>
      </c>
      <c r="AG2960" s="2">
        <v>2</v>
      </c>
      <c r="AH2960" s="3" t="s">
        <v>3088</v>
      </c>
      <c r="AI2960" s="4">
        <v>45093</v>
      </c>
      <c r="AJ2960" s="3" t="s">
        <v>3101</v>
      </c>
      <c r="AK2960" s="3" t="s">
        <v>248</v>
      </c>
    </row>
    <row r="2961" spans="1:37" hidden="1" x14ac:dyDescent="0.25">
      <c r="A2961" t="str">
        <f t="shared" si="46"/>
        <v>2023_Vic_Ouyen_Chickpea_SatelliteTOS2VarietyStrikerWaterTrtRainFed</v>
      </c>
      <c r="B2961" s="2">
        <v>2023034</v>
      </c>
      <c r="C2961" s="3" t="s">
        <v>3082</v>
      </c>
      <c r="D2961" s="3" t="s">
        <v>248</v>
      </c>
      <c r="F2961" s="3" t="s">
        <v>4179</v>
      </c>
      <c r="G2961" s="3" t="s">
        <v>43</v>
      </c>
      <c r="H2961" s="3" t="s">
        <v>253</v>
      </c>
      <c r="I2961" s="2">
        <v>18</v>
      </c>
      <c r="J2961" s="2">
        <v>18</v>
      </c>
      <c r="K2961" s="2">
        <v>3</v>
      </c>
      <c r="O2961" s="2">
        <v>5</v>
      </c>
      <c r="U2961" s="2">
        <v>2</v>
      </c>
      <c r="V2961" s="2">
        <v>10</v>
      </c>
      <c r="W2961" s="2">
        <v>2</v>
      </c>
      <c r="X2961" s="2">
        <v>5</v>
      </c>
      <c r="Z2961" s="2">
        <v>18</v>
      </c>
      <c r="AA2961" s="3" t="s">
        <v>40</v>
      </c>
      <c r="AB2961" s="2">
        <v>1</v>
      </c>
      <c r="AF2961" s="2">
        <v>28</v>
      </c>
      <c r="AG2961" s="2">
        <v>2</v>
      </c>
      <c r="AH2961" s="3" t="s">
        <v>3088</v>
      </c>
      <c r="AI2961" s="4">
        <v>45093</v>
      </c>
      <c r="AJ2961" s="3" t="s">
        <v>3102</v>
      </c>
      <c r="AK2961" s="3" t="s">
        <v>248</v>
      </c>
    </row>
    <row r="2962" spans="1:37" hidden="1" x14ac:dyDescent="0.25">
      <c r="A2962" t="str">
        <f t="shared" si="46"/>
        <v>2023_Vic_Ouyen_Chickpea_SatelliteTOS2VarietyDrummondWaterTrtRainFed</v>
      </c>
      <c r="B2962" s="2">
        <v>2023034</v>
      </c>
      <c r="C2962" s="3" t="s">
        <v>3082</v>
      </c>
      <c r="D2962" s="3" t="s">
        <v>248</v>
      </c>
      <c r="F2962" s="3" t="s">
        <v>4182</v>
      </c>
      <c r="G2962" s="3" t="s">
        <v>39</v>
      </c>
      <c r="H2962" s="3" t="s">
        <v>253</v>
      </c>
      <c r="I2962" s="2">
        <v>19</v>
      </c>
      <c r="J2962" s="2">
        <v>19</v>
      </c>
      <c r="K2962" s="2">
        <v>3</v>
      </c>
      <c r="O2962" s="2">
        <v>5</v>
      </c>
      <c r="U2962" s="2">
        <v>3</v>
      </c>
      <c r="V2962" s="2">
        <v>10</v>
      </c>
      <c r="W2962" s="2">
        <v>3</v>
      </c>
      <c r="X2962" s="2">
        <v>5</v>
      </c>
      <c r="Z2962" s="2">
        <v>19</v>
      </c>
      <c r="AA2962" s="3" t="s">
        <v>40</v>
      </c>
      <c r="AB2962" s="2">
        <v>4</v>
      </c>
      <c r="AF2962" s="2">
        <v>28</v>
      </c>
      <c r="AG2962" s="2">
        <v>2</v>
      </c>
      <c r="AH2962" s="3" t="s">
        <v>3088</v>
      </c>
      <c r="AI2962" s="4">
        <v>45093</v>
      </c>
      <c r="AJ2962" s="3" t="s">
        <v>3103</v>
      </c>
      <c r="AK2962" s="3" t="s">
        <v>248</v>
      </c>
    </row>
    <row r="2963" spans="1:37" hidden="1" x14ac:dyDescent="0.25">
      <c r="A2963" t="str">
        <f t="shared" si="46"/>
        <v>2023_Vic_Ouyen_Chickpea_SatelliteTOS2VarietyCBA_CaptainWaterTrtRainFed</v>
      </c>
      <c r="B2963" s="2">
        <v>2023034</v>
      </c>
      <c r="C2963" s="3" t="s">
        <v>3082</v>
      </c>
      <c r="D2963" s="3" t="s">
        <v>248</v>
      </c>
      <c r="F2963" s="3" t="s">
        <v>249</v>
      </c>
      <c r="G2963" s="3" t="s">
        <v>43</v>
      </c>
      <c r="H2963" s="3" t="s">
        <v>253</v>
      </c>
      <c r="I2963" s="2">
        <v>20</v>
      </c>
      <c r="J2963" s="2">
        <v>20</v>
      </c>
      <c r="K2963" s="2">
        <v>3</v>
      </c>
      <c r="O2963" s="2">
        <v>5</v>
      </c>
      <c r="U2963" s="2">
        <v>4</v>
      </c>
      <c r="V2963" s="2">
        <v>10</v>
      </c>
      <c r="W2963" s="2">
        <v>4</v>
      </c>
      <c r="X2963" s="2">
        <v>5</v>
      </c>
      <c r="Z2963" s="2">
        <v>20</v>
      </c>
      <c r="AA2963" s="3" t="s">
        <v>40</v>
      </c>
      <c r="AB2963" s="2">
        <v>3</v>
      </c>
      <c r="AF2963" s="2">
        <v>28</v>
      </c>
      <c r="AG2963" s="2">
        <v>2</v>
      </c>
      <c r="AH2963" s="3" t="s">
        <v>3088</v>
      </c>
      <c r="AI2963" s="4">
        <v>45093</v>
      </c>
      <c r="AJ2963" s="3" t="s">
        <v>3104</v>
      </c>
      <c r="AK2963" s="3" t="s">
        <v>248</v>
      </c>
    </row>
    <row r="2964" spans="1:37" hidden="1" x14ac:dyDescent="0.25">
      <c r="A2964" t="str">
        <f t="shared" si="46"/>
        <v>2023_Vic_Ouyen_Chickpea_SatelliteTOS1VarietyStrikerWaterTrtRainFed</v>
      </c>
      <c r="B2964" s="2">
        <v>2023034</v>
      </c>
      <c r="C2964" s="3" t="s">
        <v>3082</v>
      </c>
      <c r="D2964" s="3" t="s">
        <v>248</v>
      </c>
      <c r="F2964" s="3" t="s">
        <v>4179</v>
      </c>
      <c r="G2964" s="3" t="s">
        <v>43</v>
      </c>
      <c r="H2964" s="3" t="s">
        <v>253</v>
      </c>
      <c r="I2964" s="2">
        <v>21</v>
      </c>
      <c r="J2964" s="2">
        <v>21</v>
      </c>
      <c r="K2964" s="2">
        <v>3</v>
      </c>
      <c r="O2964" s="2">
        <v>6</v>
      </c>
      <c r="U2964" s="2">
        <v>1</v>
      </c>
      <c r="V2964" s="2">
        <v>12</v>
      </c>
      <c r="W2964" s="2">
        <v>1</v>
      </c>
      <c r="X2964" s="2">
        <v>6</v>
      </c>
      <c r="Z2964" s="2">
        <v>24</v>
      </c>
      <c r="AA2964" s="3" t="s">
        <v>40</v>
      </c>
      <c r="AB2964" s="2">
        <v>1</v>
      </c>
      <c r="AF2964" s="2">
        <v>28</v>
      </c>
      <c r="AG2964" s="2">
        <v>1</v>
      </c>
      <c r="AH2964" s="3" t="s">
        <v>3083</v>
      </c>
      <c r="AI2964" s="4">
        <v>45050</v>
      </c>
      <c r="AJ2964" s="3" t="s">
        <v>3105</v>
      </c>
      <c r="AK2964" s="3" t="s">
        <v>248</v>
      </c>
    </row>
    <row r="2965" spans="1:37" hidden="1" x14ac:dyDescent="0.25">
      <c r="A2965" t="str">
        <f t="shared" si="46"/>
        <v>2023_Vic_Ouyen_Chickpea_SatelliteTOS1VarietyCBA_CaptainWaterTrtRainFed</v>
      </c>
      <c r="B2965" s="2">
        <v>2023034</v>
      </c>
      <c r="C2965" s="3" t="s">
        <v>3082</v>
      </c>
      <c r="D2965" s="3" t="s">
        <v>248</v>
      </c>
      <c r="F2965" s="3" t="s">
        <v>249</v>
      </c>
      <c r="G2965" s="3" t="s">
        <v>43</v>
      </c>
      <c r="H2965" s="3" t="s">
        <v>253</v>
      </c>
      <c r="I2965" s="2">
        <v>22</v>
      </c>
      <c r="J2965" s="2">
        <v>22</v>
      </c>
      <c r="K2965" s="2">
        <v>3</v>
      </c>
      <c r="O2965" s="2">
        <v>6</v>
      </c>
      <c r="U2965" s="2">
        <v>2</v>
      </c>
      <c r="V2965" s="2">
        <v>12</v>
      </c>
      <c r="W2965" s="2">
        <v>2</v>
      </c>
      <c r="X2965" s="2">
        <v>6</v>
      </c>
      <c r="Z2965" s="2">
        <v>23</v>
      </c>
      <c r="AA2965" s="3" t="s">
        <v>40</v>
      </c>
      <c r="AB2965" s="2">
        <v>3</v>
      </c>
      <c r="AF2965" s="2">
        <v>28</v>
      </c>
      <c r="AG2965" s="2">
        <v>1</v>
      </c>
      <c r="AH2965" s="3" t="s">
        <v>3083</v>
      </c>
      <c r="AI2965" s="4">
        <v>45050</v>
      </c>
      <c r="AJ2965" s="3" t="s">
        <v>3106</v>
      </c>
      <c r="AK2965" s="3" t="s">
        <v>248</v>
      </c>
    </row>
    <row r="2966" spans="1:37" hidden="1" x14ac:dyDescent="0.25">
      <c r="A2966" t="str">
        <f t="shared" si="46"/>
        <v>2023_Vic_Ouyen_Chickpea_SatelliteTOS1VarietyHatTrickWaterTrtRainFed</v>
      </c>
      <c r="B2966" s="2">
        <v>2023034</v>
      </c>
      <c r="C2966" s="3" t="s">
        <v>3082</v>
      </c>
      <c r="D2966" s="3" t="s">
        <v>248</v>
      </c>
      <c r="F2966" s="3" t="s">
        <v>4178</v>
      </c>
      <c r="G2966" s="3" t="s">
        <v>39</v>
      </c>
      <c r="H2966" s="3" t="s">
        <v>253</v>
      </c>
      <c r="I2966" s="2">
        <v>23</v>
      </c>
      <c r="J2966" s="2">
        <v>23</v>
      </c>
      <c r="K2966" s="2">
        <v>3</v>
      </c>
      <c r="O2966" s="2">
        <v>6</v>
      </c>
      <c r="U2966" s="2">
        <v>3</v>
      </c>
      <c r="V2966" s="2">
        <v>12</v>
      </c>
      <c r="W2966" s="2">
        <v>3</v>
      </c>
      <c r="X2966" s="2">
        <v>6</v>
      </c>
      <c r="Z2966" s="2">
        <v>22</v>
      </c>
      <c r="AA2966" s="3" t="s">
        <v>40</v>
      </c>
      <c r="AB2966" s="2">
        <v>2</v>
      </c>
      <c r="AF2966" s="2">
        <v>28</v>
      </c>
      <c r="AG2966" s="2">
        <v>1</v>
      </c>
      <c r="AH2966" s="3" t="s">
        <v>3083</v>
      </c>
      <c r="AI2966" s="4">
        <v>45050</v>
      </c>
      <c r="AJ2966" s="3" t="s">
        <v>3107</v>
      </c>
      <c r="AK2966" s="3" t="s">
        <v>248</v>
      </c>
    </row>
    <row r="2967" spans="1:37" hidden="1" x14ac:dyDescent="0.25">
      <c r="A2967" t="str">
        <f t="shared" si="46"/>
        <v>2023_Vic_Ouyen_Chickpea_SatelliteTOS1VarietyDrummondWaterTrtRainFed</v>
      </c>
      <c r="B2967" s="2">
        <v>2023034</v>
      </c>
      <c r="C2967" s="3" t="s">
        <v>3082</v>
      </c>
      <c r="D2967" s="3" t="s">
        <v>248</v>
      </c>
      <c r="F2967" s="3" t="s">
        <v>4182</v>
      </c>
      <c r="G2967" s="3" t="s">
        <v>39</v>
      </c>
      <c r="H2967" s="3" t="s">
        <v>253</v>
      </c>
      <c r="I2967" s="2">
        <v>24</v>
      </c>
      <c r="J2967" s="2">
        <v>24</v>
      </c>
      <c r="K2967" s="2">
        <v>3</v>
      </c>
      <c r="O2967" s="2">
        <v>6</v>
      </c>
      <c r="U2967" s="2">
        <v>4</v>
      </c>
      <c r="V2967" s="2">
        <v>12</v>
      </c>
      <c r="W2967" s="2">
        <v>4</v>
      </c>
      <c r="X2967" s="2">
        <v>6</v>
      </c>
      <c r="Z2967" s="2">
        <v>21</v>
      </c>
      <c r="AA2967" s="3" t="s">
        <v>40</v>
      </c>
      <c r="AB2967" s="2">
        <v>4</v>
      </c>
      <c r="AF2967" s="2">
        <v>28</v>
      </c>
      <c r="AG2967" s="2">
        <v>1</v>
      </c>
      <c r="AH2967" s="3" t="s">
        <v>3083</v>
      </c>
      <c r="AI2967" s="4">
        <v>45050</v>
      </c>
      <c r="AJ2967" s="3" t="s">
        <v>3108</v>
      </c>
      <c r="AK2967" s="3" t="s">
        <v>248</v>
      </c>
    </row>
    <row r="2968" spans="1:37" hidden="1" x14ac:dyDescent="0.25">
      <c r="A2968" t="str">
        <f t="shared" si="46"/>
        <v>2023_Vic_Ouyen_Chickpea_SatelliteTOS1VarietyDrummondWaterTrtRainFed</v>
      </c>
      <c r="B2968" s="2">
        <v>2023034</v>
      </c>
      <c r="C2968" s="3" t="s">
        <v>3082</v>
      </c>
      <c r="D2968" s="3" t="s">
        <v>248</v>
      </c>
      <c r="F2968" s="3" t="s">
        <v>4182</v>
      </c>
      <c r="G2968" s="3" t="s">
        <v>39</v>
      </c>
      <c r="H2968" s="3" t="s">
        <v>253</v>
      </c>
      <c r="I2968" s="2">
        <v>25</v>
      </c>
      <c r="J2968" s="2">
        <v>25</v>
      </c>
      <c r="K2968" s="2">
        <v>4</v>
      </c>
      <c r="O2968" s="2">
        <v>7</v>
      </c>
      <c r="U2968" s="2">
        <v>1</v>
      </c>
      <c r="V2968" s="2">
        <v>14</v>
      </c>
      <c r="W2968" s="2">
        <v>1</v>
      </c>
      <c r="X2968" s="2">
        <v>7</v>
      </c>
      <c r="Z2968" s="2">
        <v>25</v>
      </c>
      <c r="AA2968" s="3" t="s">
        <v>40</v>
      </c>
      <c r="AB2968" s="2">
        <v>4</v>
      </c>
      <c r="AF2968" s="2">
        <v>28</v>
      </c>
      <c r="AG2968" s="2">
        <v>1</v>
      </c>
      <c r="AH2968" s="3" t="s">
        <v>3083</v>
      </c>
      <c r="AI2968" s="4">
        <v>45050</v>
      </c>
      <c r="AJ2968" s="3" t="s">
        <v>3109</v>
      </c>
      <c r="AK2968" s="3" t="s">
        <v>248</v>
      </c>
    </row>
    <row r="2969" spans="1:37" hidden="1" x14ac:dyDescent="0.25">
      <c r="A2969" t="str">
        <f t="shared" si="46"/>
        <v>2023_Vic_Ouyen_Chickpea_SatelliteTOS1VarietyHatTrickWaterTrtRainFed</v>
      </c>
      <c r="B2969" s="2">
        <v>2023034</v>
      </c>
      <c r="C2969" s="3" t="s">
        <v>3082</v>
      </c>
      <c r="D2969" s="3" t="s">
        <v>248</v>
      </c>
      <c r="F2969" s="3" t="s">
        <v>4178</v>
      </c>
      <c r="G2969" s="3" t="s">
        <v>39</v>
      </c>
      <c r="H2969" s="3" t="s">
        <v>253</v>
      </c>
      <c r="I2969" s="2">
        <v>26</v>
      </c>
      <c r="J2969" s="2">
        <v>26</v>
      </c>
      <c r="K2969" s="2">
        <v>4</v>
      </c>
      <c r="O2969" s="2">
        <v>7</v>
      </c>
      <c r="U2969" s="2">
        <v>2</v>
      </c>
      <c r="V2969" s="2">
        <v>14</v>
      </c>
      <c r="W2969" s="2">
        <v>2</v>
      </c>
      <c r="X2969" s="2">
        <v>7</v>
      </c>
      <c r="Z2969" s="2">
        <v>26</v>
      </c>
      <c r="AA2969" s="3" t="s">
        <v>40</v>
      </c>
      <c r="AB2969" s="2">
        <v>1</v>
      </c>
      <c r="AF2969" s="2">
        <v>28</v>
      </c>
      <c r="AG2969" s="2">
        <v>1</v>
      </c>
      <c r="AH2969" s="3" t="s">
        <v>3083</v>
      </c>
      <c r="AI2969" s="4">
        <v>45050</v>
      </c>
      <c r="AJ2969" s="3" t="s">
        <v>3110</v>
      </c>
      <c r="AK2969" s="3" t="s">
        <v>248</v>
      </c>
    </row>
    <row r="2970" spans="1:37" hidden="1" x14ac:dyDescent="0.25">
      <c r="A2970" t="str">
        <f t="shared" si="46"/>
        <v>2023_Vic_Ouyen_Chickpea_SatelliteTOS1VarietyCBA_CaptainWaterTrtRainFed</v>
      </c>
      <c r="B2970" s="2">
        <v>2023034</v>
      </c>
      <c r="C2970" s="3" t="s">
        <v>3082</v>
      </c>
      <c r="D2970" s="3" t="s">
        <v>248</v>
      </c>
      <c r="F2970" s="3" t="s">
        <v>249</v>
      </c>
      <c r="G2970" s="3" t="s">
        <v>43</v>
      </c>
      <c r="H2970" s="3" t="s">
        <v>253</v>
      </c>
      <c r="I2970" s="2">
        <v>27</v>
      </c>
      <c r="J2970" s="2">
        <v>27</v>
      </c>
      <c r="K2970" s="2">
        <v>4</v>
      </c>
      <c r="O2970" s="2">
        <v>7</v>
      </c>
      <c r="U2970" s="2">
        <v>3</v>
      </c>
      <c r="V2970" s="2">
        <v>14</v>
      </c>
      <c r="W2970" s="2">
        <v>3</v>
      </c>
      <c r="X2970" s="2">
        <v>7</v>
      </c>
      <c r="Z2970" s="2">
        <v>27</v>
      </c>
      <c r="AA2970" s="3" t="s">
        <v>40</v>
      </c>
      <c r="AB2970" s="2">
        <v>3</v>
      </c>
      <c r="AF2970" s="2">
        <v>28</v>
      </c>
      <c r="AG2970" s="2">
        <v>1</v>
      </c>
      <c r="AH2970" s="3" t="s">
        <v>3083</v>
      </c>
      <c r="AI2970" s="4">
        <v>45050</v>
      </c>
      <c r="AJ2970" s="3" t="s">
        <v>3111</v>
      </c>
      <c r="AK2970" s="3" t="s">
        <v>248</v>
      </c>
    </row>
    <row r="2971" spans="1:37" hidden="1" x14ac:dyDescent="0.25">
      <c r="A2971" t="str">
        <f t="shared" si="46"/>
        <v>2023_Vic_Ouyen_Chickpea_SatelliteTOS1VarietyStrikerWaterTrtRainFed</v>
      </c>
      <c r="B2971" s="2">
        <v>2023034</v>
      </c>
      <c r="C2971" s="3" t="s">
        <v>3082</v>
      </c>
      <c r="D2971" s="3" t="s">
        <v>248</v>
      </c>
      <c r="F2971" s="3" t="s">
        <v>4179</v>
      </c>
      <c r="G2971" s="3" t="s">
        <v>43</v>
      </c>
      <c r="H2971" s="3" t="s">
        <v>253</v>
      </c>
      <c r="I2971" s="2">
        <v>28</v>
      </c>
      <c r="J2971" s="2">
        <v>28</v>
      </c>
      <c r="K2971" s="2">
        <v>4</v>
      </c>
      <c r="O2971" s="2">
        <v>7</v>
      </c>
      <c r="U2971" s="2">
        <v>4</v>
      </c>
      <c r="V2971" s="2">
        <v>14</v>
      </c>
      <c r="W2971" s="2">
        <v>4</v>
      </c>
      <c r="X2971" s="2">
        <v>7</v>
      </c>
      <c r="Z2971" s="2">
        <v>28</v>
      </c>
      <c r="AA2971" s="3" t="s">
        <v>40</v>
      </c>
      <c r="AB2971" s="2">
        <v>2</v>
      </c>
      <c r="AF2971" s="2">
        <v>28</v>
      </c>
      <c r="AG2971" s="2">
        <v>1</v>
      </c>
      <c r="AH2971" s="3" t="s">
        <v>3083</v>
      </c>
      <c r="AI2971" s="4">
        <v>45050</v>
      </c>
      <c r="AJ2971" s="3" t="s">
        <v>3112</v>
      </c>
      <c r="AK2971" s="3" t="s">
        <v>248</v>
      </c>
    </row>
    <row r="2972" spans="1:37" hidden="1" x14ac:dyDescent="0.25">
      <c r="A2972" t="str">
        <f t="shared" si="46"/>
        <v>2023_Vic_Ouyen_Chickpea_SatelliteTOS2VarietyStrikerWaterTrtRainFed</v>
      </c>
      <c r="B2972" s="2">
        <v>2023034</v>
      </c>
      <c r="C2972" s="3" t="s">
        <v>3082</v>
      </c>
      <c r="D2972" s="3" t="s">
        <v>248</v>
      </c>
      <c r="F2972" s="3" t="s">
        <v>4179</v>
      </c>
      <c r="G2972" s="3" t="s">
        <v>43</v>
      </c>
      <c r="H2972" s="3" t="s">
        <v>253</v>
      </c>
      <c r="I2972" s="2">
        <v>29</v>
      </c>
      <c r="J2972" s="2">
        <v>29</v>
      </c>
      <c r="K2972" s="2">
        <v>4</v>
      </c>
      <c r="O2972" s="2">
        <v>8</v>
      </c>
      <c r="U2972" s="2">
        <v>1</v>
      </c>
      <c r="V2972" s="2">
        <v>16</v>
      </c>
      <c r="W2972" s="2">
        <v>1</v>
      </c>
      <c r="X2972" s="2">
        <v>8</v>
      </c>
      <c r="Z2972" s="2">
        <v>32</v>
      </c>
      <c r="AA2972" s="3" t="s">
        <v>40</v>
      </c>
      <c r="AB2972" s="2">
        <v>3</v>
      </c>
      <c r="AF2972" s="2">
        <v>28</v>
      </c>
      <c r="AG2972" s="2">
        <v>2</v>
      </c>
      <c r="AH2972" s="3" t="s">
        <v>3088</v>
      </c>
      <c r="AI2972" s="4">
        <v>45093</v>
      </c>
      <c r="AJ2972" s="3" t="s">
        <v>3113</v>
      </c>
      <c r="AK2972" s="3" t="s">
        <v>248</v>
      </c>
    </row>
    <row r="2973" spans="1:37" hidden="1" x14ac:dyDescent="0.25">
      <c r="A2973" t="str">
        <f t="shared" si="46"/>
        <v>2023_Vic_Ouyen_Chickpea_SatelliteTOS2VarietyCBA_CaptainWaterTrtRainFed</v>
      </c>
      <c r="B2973" s="2">
        <v>2023034</v>
      </c>
      <c r="C2973" s="3" t="s">
        <v>3082</v>
      </c>
      <c r="D2973" s="3" t="s">
        <v>248</v>
      </c>
      <c r="F2973" s="3" t="s">
        <v>249</v>
      </c>
      <c r="G2973" s="3" t="s">
        <v>43</v>
      </c>
      <c r="H2973" s="3" t="s">
        <v>253</v>
      </c>
      <c r="I2973" s="2">
        <v>30</v>
      </c>
      <c r="J2973" s="2">
        <v>30</v>
      </c>
      <c r="K2973" s="2">
        <v>4</v>
      </c>
      <c r="O2973" s="2">
        <v>8</v>
      </c>
      <c r="U2973" s="2">
        <v>2</v>
      </c>
      <c r="V2973" s="2">
        <v>16</v>
      </c>
      <c r="W2973" s="2">
        <v>2</v>
      </c>
      <c r="X2973" s="2">
        <v>8</v>
      </c>
      <c r="Z2973" s="2">
        <v>31</v>
      </c>
      <c r="AA2973" s="3" t="s">
        <v>40</v>
      </c>
      <c r="AB2973" s="2">
        <v>2</v>
      </c>
      <c r="AF2973" s="2">
        <v>28</v>
      </c>
      <c r="AG2973" s="2">
        <v>2</v>
      </c>
      <c r="AH2973" s="3" t="s">
        <v>3088</v>
      </c>
      <c r="AI2973" s="4">
        <v>45093</v>
      </c>
      <c r="AJ2973" s="3" t="s">
        <v>3114</v>
      </c>
      <c r="AK2973" s="3" t="s">
        <v>248</v>
      </c>
    </row>
    <row r="2974" spans="1:37" hidden="1" x14ac:dyDescent="0.25">
      <c r="A2974" t="str">
        <f t="shared" si="46"/>
        <v>2023_Vic_Ouyen_Chickpea_SatelliteTOS2VarietyHatTrickWaterTrtRainFed</v>
      </c>
      <c r="B2974" s="2">
        <v>2023034</v>
      </c>
      <c r="C2974" s="3" t="s">
        <v>3082</v>
      </c>
      <c r="D2974" s="3" t="s">
        <v>248</v>
      </c>
      <c r="F2974" s="3" t="s">
        <v>4178</v>
      </c>
      <c r="G2974" s="3" t="s">
        <v>39</v>
      </c>
      <c r="H2974" s="3" t="s">
        <v>253</v>
      </c>
      <c r="I2974" s="2">
        <v>31</v>
      </c>
      <c r="J2974" s="2">
        <v>31</v>
      </c>
      <c r="K2974" s="2">
        <v>4</v>
      </c>
      <c r="O2974" s="2">
        <v>8</v>
      </c>
      <c r="U2974" s="2">
        <v>3</v>
      </c>
      <c r="V2974" s="2">
        <v>16</v>
      </c>
      <c r="W2974" s="2">
        <v>3</v>
      </c>
      <c r="X2974" s="2">
        <v>8</v>
      </c>
      <c r="Z2974" s="2">
        <v>30</v>
      </c>
      <c r="AA2974" s="3" t="s">
        <v>40</v>
      </c>
      <c r="AB2974" s="2">
        <v>1</v>
      </c>
      <c r="AF2974" s="2">
        <v>28</v>
      </c>
      <c r="AG2974" s="2">
        <v>2</v>
      </c>
      <c r="AH2974" s="3" t="s">
        <v>3088</v>
      </c>
      <c r="AI2974" s="4">
        <v>45093</v>
      </c>
      <c r="AJ2974" s="3" t="s">
        <v>3115</v>
      </c>
      <c r="AK2974" s="3" t="s">
        <v>248</v>
      </c>
    </row>
    <row r="2975" spans="1:37" hidden="1" x14ac:dyDescent="0.25">
      <c r="A2975" t="str">
        <f t="shared" si="46"/>
        <v>2023_Vic_Ouyen_Chickpea_SatelliteTOS2VarietyDrummondWaterTrtRainFed</v>
      </c>
      <c r="B2975" s="2">
        <v>2023034</v>
      </c>
      <c r="C2975" s="3" t="s">
        <v>3082</v>
      </c>
      <c r="D2975" s="3" t="s">
        <v>248</v>
      </c>
      <c r="F2975" s="3" t="s">
        <v>4182</v>
      </c>
      <c r="G2975" s="3" t="s">
        <v>39</v>
      </c>
      <c r="H2975" s="3" t="s">
        <v>253</v>
      </c>
      <c r="I2975" s="2">
        <v>32</v>
      </c>
      <c r="J2975" s="2">
        <v>32</v>
      </c>
      <c r="K2975" s="2">
        <v>4</v>
      </c>
      <c r="O2975" s="2">
        <v>8</v>
      </c>
      <c r="U2975" s="2">
        <v>4</v>
      </c>
      <c r="V2975" s="2">
        <v>16</v>
      </c>
      <c r="W2975" s="2">
        <v>4</v>
      </c>
      <c r="X2975" s="2">
        <v>8</v>
      </c>
      <c r="Z2975" s="2">
        <v>29</v>
      </c>
      <c r="AA2975" s="3" t="s">
        <v>40</v>
      </c>
      <c r="AB2975" s="2">
        <v>4</v>
      </c>
      <c r="AF2975" s="2">
        <v>28</v>
      </c>
      <c r="AG2975" s="2">
        <v>2</v>
      </c>
      <c r="AH2975" s="3" t="s">
        <v>3088</v>
      </c>
      <c r="AI2975" s="4">
        <v>45093</v>
      </c>
      <c r="AJ2975" s="3" t="s">
        <v>3116</v>
      </c>
      <c r="AK2975" s="3" t="s">
        <v>248</v>
      </c>
    </row>
    <row r="2976" spans="1:37" hidden="1" x14ac:dyDescent="0.25">
      <c r="A2976" t="str">
        <f t="shared" si="46"/>
        <v>2023_Vic_Ouyen_Lentil_SatelliteTOS1VarietyHallmarkXTWaterTrtRainFed</v>
      </c>
      <c r="B2976" s="2">
        <v>2023035</v>
      </c>
      <c r="C2976" s="3" t="s">
        <v>3117</v>
      </c>
      <c r="D2976" s="3" t="s">
        <v>38</v>
      </c>
      <c r="F2976" s="3" t="s">
        <v>4189</v>
      </c>
      <c r="G2976" s="3" t="s">
        <v>39</v>
      </c>
      <c r="H2976" s="3" t="s">
        <v>253</v>
      </c>
      <c r="I2976" s="2">
        <v>1</v>
      </c>
      <c r="J2976" s="2">
        <v>1</v>
      </c>
      <c r="K2976" s="2">
        <v>1</v>
      </c>
      <c r="O2976" s="2">
        <v>1</v>
      </c>
      <c r="U2976" s="2">
        <v>1</v>
      </c>
      <c r="V2976" s="2">
        <v>2</v>
      </c>
      <c r="W2976" s="2">
        <v>1</v>
      </c>
      <c r="X2976" s="2">
        <v>1</v>
      </c>
      <c r="Z2976" s="2">
        <v>1</v>
      </c>
      <c r="AA2976" s="3" t="s">
        <v>40</v>
      </c>
      <c r="AB2976" s="2">
        <v>2</v>
      </c>
      <c r="AF2976" s="2">
        <v>28</v>
      </c>
      <c r="AG2976" s="2">
        <v>1</v>
      </c>
      <c r="AH2976" s="3" t="s">
        <v>3083</v>
      </c>
      <c r="AI2976" s="4">
        <v>45050</v>
      </c>
      <c r="AJ2976" s="3" t="s">
        <v>3118</v>
      </c>
      <c r="AK2976" s="3" t="s">
        <v>38</v>
      </c>
    </row>
    <row r="2977" spans="1:37" hidden="1" x14ac:dyDescent="0.25">
      <c r="A2977" t="str">
        <f t="shared" si="46"/>
        <v>2023_Vic_Ouyen_Lentil_SatelliteTOS1VarietyBoltWaterTrtRainFed</v>
      </c>
      <c r="B2977" s="2">
        <v>2023035</v>
      </c>
      <c r="C2977" s="3" t="s">
        <v>3117</v>
      </c>
      <c r="D2977" s="3" t="s">
        <v>38</v>
      </c>
      <c r="F2977" s="3" t="s">
        <v>4187</v>
      </c>
      <c r="G2977" s="3" t="s">
        <v>39</v>
      </c>
      <c r="H2977" s="3" t="s">
        <v>253</v>
      </c>
      <c r="I2977" s="2">
        <v>2</v>
      </c>
      <c r="J2977" s="2">
        <v>2</v>
      </c>
      <c r="K2977" s="2">
        <v>1</v>
      </c>
      <c r="O2977" s="2">
        <v>1</v>
      </c>
      <c r="U2977" s="2">
        <v>2</v>
      </c>
      <c r="V2977" s="2">
        <v>2</v>
      </c>
      <c r="W2977" s="2">
        <v>2</v>
      </c>
      <c r="X2977" s="2">
        <v>1</v>
      </c>
      <c r="Z2977" s="2">
        <v>2</v>
      </c>
      <c r="AA2977" s="3" t="s">
        <v>40</v>
      </c>
      <c r="AB2977" s="2">
        <v>1</v>
      </c>
      <c r="AF2977" s="2">
        <v>28</v>
      </c>
      <c r="AG2977" s="2">
        <v>1</v>
      </c>
      <c r="AH2977" s="3" t="s">
        <v>3083</v>
      </c>
      <c r="AI2977" s="4">
        <v>45050</v>
      </c>
      <c r="AJ2977" s="3" t="s">
        <v>3119</v>
      </c>
      <c r="AK2977" s="3" t="s">
        <v>38</v>
      </c>
    </row>
    <row r="2978" spans="1:37" hidden="1" x14ac:dyDescent="0.25">
      <c r="A2978" t="str">
        <f t="shared" si="46"/>
        <v>2023_Vic_Ouyen_Lentil_SatelliteTOS1VarietyKelpieXTWaterTrtRainFed</v>
      </c>
      <c r="B2978" s="2">
        <v>2023035</v>
      </c>
      <c r="C2978" s="3" t="s">
        <v>3117</v>
      </c>
      <c r="D2978" s="3" t="s">
        <v>38</v>
      </c>
      <c r="F2978" s="3" t="s">
        <v>4188</v>
      </c>
      <c r="G2978" s="3" t="s">
        <v>43</v>
      </c>
      <c r="H2978" s="3" t="s">
        <v>253</v>
      </c>
      <c r="I2978" s="2">
        <v>3</v>
      </c>
      <c r="J2978" s="2">
        <v>3</v>
      </c>
      <c r="K2978" s="2">
        <v>1</v>
      </c>
      <c r="O2978" s="2">
        <v>1</v>
      </c>
      <c r="U2978" s="2">
        <v>3</v>
      </c>
      <c r="V2978" s="2">
        <v>2</v>
      </c>
      <c r="W2978" s="2">
        <v>3</v>
      </c>
      <c r="X2978" s="2">
        <v>1</v>
      </c>
      <c r="Z2978" s="2">
        <v>3</v>
      </c>
      <c r="AA2978" s="3" t="s">
        <v>40</v>
      </c>
      <c r="AB2978" s="2">
        <v>4</v>
      </c>
      <c r="AF2978" s="2">
        <v>28</v>
      </c>
      <c r="AG2978" s="2">
        <v>1</v>
      </c>
      <c r="AH2978" s="3" t="s">
        <v>3083</v>
      </c>
      <c r="AI2978" s="4">
        <v>45050</v>
      </c>
      <c r="AJ2978" s="3" t="s">
        <v>3120</v>
      </c>
      <c r="AK2978" s="3" t="s">
        <v>38</v>
      </c>
    </row>
    <row r="2979" spans="1:37" hidden="1" x14ac:dyDescent="0.25">
      <c r="A2979" t="str">
        <f t="shared" si="46"/>
        <v>2023_Vic_Ouyen_Lentil_SatelliteTOS1VarietyJumbo2WaterTrtRainFed</v>
      </c>
      <c r="B2979" s="2">
        <v>2023035</v>
      </c>
      <c r="C2979" s="3" t="s">
        <v>3117</v>
      </c>
      <c r="D2979" s="3" t="s">
        <v>38</v>
      </c>
      <c r="F2979" s="3" t="s">
        <v>4176</v>
      </c>
      <c r="G2979" s="3" t="s">
        <v>43</v>
      </c>
      <c r="H2979" s="3" t="s">
        <v>253</v>
      </c>
      <c r="I2979" s="2">
        <v>4</v>
      </c>
      <c r="J2979" s="2">
        <v>4</v>
      </c>
      <c r="K2979" s="2">
        <v>1</v>
      </c>
      <c r="O2979" s="2">
        <v>1</v>
      </c>
      <c r="U2979" s="2">
        <v>4</v>
      </c>
      <c r="V2979" s="2">
        <v>2</v>
      </c>
      <c r="W2979" s="2">
        <v>4</v>
      </c>
      <c r="X2979" s="2">
        <v>1</v>
      </c>
      <c r="Z2979" s="2">
        <v>4</v>
      </c>
      <c r="AA2979" s="3" t="s">
        <v>40</v>
      </c>
      <c r="AB2979" s="2">
        <v>3</v>
      </c>
      <c r="AF2979" s="2">
        <v>28</v>
      </c>
      <c r="AG2979" s="2">
        <v>1</v>
      </c>
      <c r="AH2979" s="3" t="s">
        <v>3083</v>
      </c>
      <c r="AI2979" s="4">
        <v>45050</v>
      </c>
      <c r="AJ2979" s="3" t="s">
        <v>3121</v>
      </c>
      <c r="AK2979" s="3" t="s">
        <v>38</v>
      </c>
    </row>
    <row r="2980" spans="1:37" hidden="1" x14ac:dyDescent="0.25">
      <c r="A2980" t="str">
        <f t="shared" si="46"/>
        <v>2023_Vic_Ouyen_Lentil_SatelliteTOS2VarietyKelpieXTWaterTrtRainFed</v>
      </c>
      <c r="B2980" s="2">
        <v>2023035</v>
      </c>
      <c r="C2980" s="3" t="s">
        <v>3117</v>
      </c>
      <c r="D2980" s="3" t="s">
        <v>38</v>
      </c>
      <c r="F2980" s="3" t="s">
        <v>4188</v>
      </c>
      <c r="G2980" s="3" t="s">
        <v>43</v>
      </c>
      <c r="H2980" s="3" t="s">
        <v>253</v>
      </c>
      <c r="I2980" s="2">
        <v>5</v>
      </c>
      <c r="J2980" s="2">
        <v>5</v>
      </c>
      <c r="K2980" s="2">
        <v>1</v>
      </c>
      <c r="O2980" s="2">
        <v>2</v>
      </c>
      <c r="U2980" s="2">
        <v>1</v>
      </c>
      <c r="V2980" s="2">
        <v>4</v>
      </c>
      <c r="W2980" s="2">
        <v>1</v>
      </c>
      <c r="X2980" s="2">
        <v>2</v>
      </c>
      <c r="Z2980" s="2">
        <v>8</v>
      </c>
      <c r="AA2980" s="3" t="s">
        <v>40</v>
      </c>
      <c r="AB2980" s="2">
        <v>4</v>
      </c>
      <c r="AF2980" s="2">
        <v>28</v>
      </c>
      <c r="AG2980" s="2">
        <v>2</v>
      </c>
      <c r="AH2980" s="3" t="s">
        <v>3088</v>
      </c>
      <c r="AI2980" s="4">
        <v>45093</v>
      </c>
      <c r="AJ2980" s="3" t="s">
        <v>3122</v>
      </c>
      <c r="AK2980" s="3" t="s">
        <v>38</v>
      </c>
    </row>
    <row r="2981" spans="1:37" hidden="1" x14ac:dyDescent="0.25">
      <c r="A2981" t="str">
        <f t="shared" si="46"/>
        <v>2023_Vic_Ouyen_Lentil_SatelliteTOS2VarietyJumbo2WaterTrtRainFed</v>
      </c>
      <c r="B2981" s="2">
        <v>2023035</v>
      </c>
      <c r="C2981" s="3" t="s">
        <v>3117</v>
      </c>
      <c r="D2981" s="3" t="s">
        <v>38</v>
      </c>
      <c r="F2981" s="3" t="s">
        <v>4176</v>
      </c>
      <c r="G2981" s="3" t="s">
        <v>43</v>
      </c>
      <c r="H2981" s="3" t="s">
        <v>253</v>
      </c>
      <c r="I2981" s="2">
        <v>6</v>
      </c>
      <c r="J2981" s="2">
        <v>6</v>
      </c>
      <c r="K2981" s="2">
        <v>1</v>
      </c>
      <c r="O2981" s="2">
        <v>2</v>
      </c>
      <c r="U2981" s="2">
        <v>2</v>
      </c>
      <c r="V2981" s="2">
        <v>4</v>
      </c>
      <c r="W2981" s="2">
        <v>2</v>
      </c>
      <c r="X2981" s="2">
        <v>2</v>
      </c>
      <c r="Z2981" s="2">
        <v>7</v>
      </c>
      <c r="AA2981" s="3" t="s">
        <v>40</v>
      </c>
      <c r="AB2981" s="2">
        <v>3</v>
      </c>
      <c r="AF2981" s="2">
        <v>28</v>
      </c>
      <c r="AG2981" s="2">
        <v>2</v>
      </c>
      <c r="AH2981" s="3" t="s">
        <v>3088</v>
      </c>
      <c r="AI2981" s="4">
        <v>45093</v>
      </c>
      <c r="AJ2981" s="3" t="s">
        <v>3123</v>
      </c>
      <c r="AK2981" s="3" t="s">
        <v>38</v>
      </c>
    </row>
    <row r="2982" spans="1:37" hidden="1" x14ac:dyDescent="0.25">
      <c r="A2982" t="str">
        <f t="shared" si="46"/>
        <v>2023_Vic_Ouyen_Lentil_SatelliteTOS2VarietyHallmarkXTWaterTrtRainFed</v>
      </c>
      <c r="B2982" s="2">
        <v>2023035</v>
      </c>
      <c r="C2982" s="3" t="s">
        <v>3117</v>
      </c>
      <c r="D2982" s="3" t="s">
        <v>38</v>
      </c>
      <c r="F2982" s="3" t="s">
        <v>4189</v>
      </c>
      <c r="G2982" s="3" t="s">
        <v>39</v>
      </c>
      <c r="H2982" s="3" t="s">
        <v>253</v>
      </c>
      <c r="I2982" s="2">
        <v>7</v>
      </c>
      <c r="J2982" s="2">
        <v>7</v>
      </c>
      <c r="K2982" s="2">
        <v>1</v>
      </c>
      <c r="O2982" s="2">
        <v>2</v>
      </c>
      <c r="U2982" s="2">
        <v>3</v>
      </c>
      <c r="V2982" s="2">
        <v>4</v>
      </c>
      <c r="W2982" s="2">
        <v>3</v>
      </c>
      <c r="X2982" s="2">
        <v>2</v>
      </c>
      <c r="Z2982" s="2">
        <v>6</v>
      </c>
      <c r="AA2982" s="3" t="s">
        <v>40</v>
      </c>
      <c r="AB2982" s="2">
        <v>2</v>
      </c>
      <c r="AF2982" s="2">
        <v>28</v>
      </c>
      <c r="AG2982" s="2">
        <v>2</v>
      </c>
      <c r="AH2982" s="3" t="s">
        <v>3088</v>
      </c>
      <c r="AI2982" s="4">
        <v>45093</v>
      </c>
      <c r="AJ2982" s="3" t="s">
        <v>3124</v>
      </c>
      <c r="AK2982" s="3" t="s">
        <v>38</v>
      </c>
    </row>
    <row r="2983" spans="1:37" hidden="1" x14ac:dyDescent="0.25">
      <c r="A2983" t="str">
        <f t="shared" si="46"/>
        <v>2023_Vic_Ouyen_Lentil_SatelliteTOS2VarietyBoltWaterTrtRainFed</v>
      </c>
      <c r="B2983" s="2">
        <v>2023035</v>
      </c>
      <c r="C2983" s="3" t="s">
        <v>3117</v>
      </c>
      <c r="D2983" s="3" t="s">
        <v>38</v>
      </c>
      <c r="F2983" s="3" t="s">
        <v>4187</v>
      </c>
      <c r="G2983" s="3" t="s">
        <v>39</v>
      </c>
      <c r="H2983" s="3" t="s">
        <v>253</v>
      </c>
      <c r="I2983" s="2">
        <v>8</v>
      </c>
      <c r="J2983" s="2">
        <v>8</v>
      </c>
      <c r="K2983" s="2">
        <v>1</v>
      </c>
      <c r="O2983" s="2">
        <v>2</v>
      </c>
      <c r="U2983" s="2">
        <v>4</v>
      </c>
      <c r="V2983" s="2">
        <v>4</v>
      </c>
      <c r="W2983" s="2">
        <v>4</v>
      </c>
      <c r="X2983" s="2">
        <v>2</v>
      </c>
      <c r="Z2983" s="2">
        <v>5</v>
      </c>
      <c r="AA2983" s="3" t="s">
        <v>40</v>
      </c>
      <c r="AB2983" s="2">
        <v>1</v>
      </c>
      <c r="AF2983" s="2">
        <v>28</v>
      </c>
      <c r="AG2983" s="2">
        <v>2</v>
      </c>
      <c r="AH2983" s="3" t="s">
        <v>3088</v>
      </c>
      <c r="AI2983" s="4">
        <v>45093</v>
      </c>
      <c r="AJ2983" s="3" t="s">
        <v>3125</v>
      </c>
      <c r="AK2983" s="3" t="s">
        <v>38</v>
      </c>
    </row>
    <row r="2984" spans="1:37" hidden="1" x14ac:dyDescent="0.25">
      <c r="A2984" t="str">
        <f t="shared" si="46"/>
        <v>2023_Vic_Ouyen_Lentil_SatelliteTOS2VarietyBoltWaterTrtRainFed</v>
      </c>
      <c r="B2984" s="2">
        <v>2023035</v>
      </c>
      <c r="C2984" s="3" t="s">
        <v>3117</v>
      </c>
      <c r="D2984" s="3" t="s">
        <v>38</v>
      </c>
      <c r="F2984" s="3" t="s">
        <v>4187</v>
      </c>
      <c r="G2984" s="3" t="s">
        <v>39</v>
      </c>
      <c r="H2984" s="3" t="s">
        <v>253</v>
      </c>
      <c r="I2984" s="2">
        <v>9</v>
      </c>
      <c r="J2984" s="2">
        <v>9</v>
      </c>
      <c r="K2984" s="2">
        <v>2</v>
      </c>
      <c r="O2984" s="2">
        <v>3</v>
      </c>
      <c r="U2984" s="2">
        <v>1</v>
      </c>
      <c r="V2984" s="2">
        <v>6</v>
      </c>
      <c r="W2984" s="2">
        <v>1</v>
      </c>
      <c r="X2984" s="2">
        <v>3</v>
      </c>
      <c r="Z2984" s="2">
        <v>9</v>
      </c>
      <c r="AA2984" s="3" t="s">
        <v>40</v>
      </c>
      <c r="AB2984" s="2">
        <v>1</v>
      </c>
      <c r="AF2984" s="2">
        <v>28</v>
      </c>
      <c r="AG2984" s="2">
        <v>2</v>
      </c>
      <c r="AH2984" s="3" t="s">
        <v>3088</v>
      </c>
      <c r="AI2984" s="4">
        <v>45093</v>
      </c>
      <c r="AJ2984" s="3" t="s">
        <v>3126</v>
      </c>
      <c r="AK2984" s="3" t="s">
        <v>38</v>
      </c>
    </row>
    <row r="2985" spans="1:37" hidden="1" x14ac:dyDescent="0.25">
      <c r="A2985" t="str">
        <f t="shared" si="46"/>
        <v>2023_Vic_Ouyen_Lentil_SatelliteTOS2VarietyKelpieXTWaterTrtRainFed</v>
      </c>
      <c r="B2985" s="2">
        <v>2023035</v>
      </c>
      <c r="C2985" s="3" t="s">
        <v>3117</v>
      </c>
      <c r="D2985" s="3" t="s">
        <v>38</v>
      </c>
      <c r="F2985" s="3" t="s">
        <v>4188</v>
      </c>
      <c r="G2985" s="3" t="s">
        <v>43</v>
      </c>
      <c r="H2985" s="3" t="s">
        <v>253</v>
      </c>
      <c r="I2985" s="2">
        <v>10</v>
      </c>
      <c r="J2985" s="2">
        <v>10</v>
      </c>
      <c r="K2985" s="2">
        <v>2</v>
      </c>
      <c r="O2985" s="2">
        <v>3</v>
      </c>
      <c r="U2985" s="2">
        <v>2</v>
      </c>
      <c r="V2985" s="2">
        <v>6</v>
      </c>
      <c r="W2985" s="2">
        <v>2</v>
      </c>
      <c r="X2985" s="2">
        <v>3</v>
      </c>
      <c r="Z2985" s="2">
        <v>10</v>
      </c>
      <c r="AA2985" s="3" t="s">
        <v>40</v>
      </c>
      <c r="AB2985" s="2">
        <v>4</v>
      </c>
      <c r="AF2985" s="2">
        <v>28</v>
      </c>
      <c r="AG2985" s="2">
        <v>2</v>
      </c>
      <c r="AH2985" s="3" t="s">
        <v>3088</v>
      </c>
      <c r="AI2985" s="4">
        <v>45093</v>
      </c>
      <c r="AJ2985" s="3" t="s">
        <v>3127</v>
      </c>
      <c r="AK2985" s="3" t="s">
        <v>38</v>
      </c>
    </row>
    <row r="2986" spans="1:37" hidden="1" x14ac:dyDescent="0.25">
      <c r="A2986" t="str">
        <f t="shared" si="46"/>
        <v>2023_Vic_Ouyen_Lentil_SatelliteTOS2VarietyJumbo2WaterTrtRainFed</v>
      </c>
      <c r="B2986" s="2">
        <v>2023035</v>
      </c>
      <c r="C2986" s="3" t="s">
        <v>3117</v>
      </c>
      <c r="D2986" s="3" t="s">
        <v>38</v>
      </c>
      <c r="F2986" s="3" t="s">
        <v>4176</v>
      </c>
      <c r="G2986" s="3" t="s">
        <v>43</v>
      </c>
      <c r="H2986" s="3" t="s">
        <v>253</v>
      </c>
      <c r="I2986" s="2">
        <v>11</v>
      </c>
      <c r="J2986" s="2">
        <v>11</v>
      </c>
      <c r="K2986" s="2">
        <v>2</v>
      </c>
      <c r="O2986" s="2">
        <v>3</v>
      </c>
      <c r="U2986" s="2">
        <v>3</v>
      </c>
      <c r="V2986" s="2">
        <v>6</v>
      </c>
      <c r="W2986" s="2">
        <v>3</v>
      </c>
      <c r="X2986" s="2">
        <v>3</v>
      </c>
      <c r="Z2986" s="2">
        <v>11</v>
      </c>
      <c r="AA2986" s="3" t="s">
        <v>40</v>
      </c>
      <c r="AB2986" s="2">
        <v>3</v>
      </c>
      <c r="AF2986" s="2">
        <v>28</v>
      </c>
      <c r="AG2986" s="2">
        <v>2</v>
      </c>
      <c r="AH2986" s="3" t="s">
        <v>3088</v>
      </c>
      <c r="AI2986" s="4">
        <v>45093</v>
      </c>
      <c r="AJ2986" s="3" t="s">
        <v>3128</v>
      </c>
      <c r="AK2986" s="3" t="s">
        <v>38</v>
      </c>
    </row>
    <row r="2987" spans="1:37" hidden="1" x14ac:dyDescent="0.25">
      <c r="A2987" t="str">
        <f t="shared" si="46"/>
        <v>2023_Vic_Ouyen_Lentil_SatelliteTOS2VarietyHallmarkXTWaterTrtRainFed</v>
      </c>
      <c r="B2987" s="2">
        <v>2023035</v>
      </c>
      <c r="C2987" s="3" t="s">
        <v>3117</v>
      </c>
      <c r="D2987" s="3" t="s">
        <v>38</v>
      </c>
      <c r="F2987" s="3" t="s">
        <v>4189</v>
      </c>
      <c r="G2987" s="3" t="s">
        <v>39</v>
      </c>
      <c r="H2987" s="3" t="s">
        <v>253</v>
      </c>
      <c r="I2987" s="2">
        <v>12</v>
      </c>
      <c r="J2987" s="2">
        <v>12</v>
      </c>
      <c r="K2987" s="2">
        <v>2</v>
      </c>
      <c r="O2987" s="2">
        <v>3</v>
      </c>
      <c r="U2987" s="2">
        <v>4</v>
      </c>
      <c r="V2987" s="2">
        <v>6</v>
      </c>
      <c r="W2987" s="2">
        <v>4</v>
      </c>
      <c r="X2987" s="2">
        <v>3</v>
      </c>
      <c r="Z2987" s="2">
        <v>12</v>
      </c>
      <c r="AA2987" s="3" t="s">
        <v>40</v>
      </c>
      <c r="AB2987" s="2">
        <v>2</v>
      </c>
      <c r="AF2987" s="2">
        <v>28</v>
      </c>
      <c r="AG2987" s="2">
        <v>2</v>
      </c>
      <c r="AH2987" s="3" t="s">
        <v>3088</v>
      </c>
      <c r="AI2987" s="4">
        <v>45093</v>
      </c>
      <c r="AJ2987" s="3" t="s">
        <v>3129</v>
      </c>
      <c r="AK2987" s="3" t="s">
        <v>38</v>
      </c>
    </row>
    <row r="2988" spans="1:37" hidden="1" x14ac:dyDescent="0.25">
      <c r="A2988" t="str">
        <f t="shared" si="46"/>
        <v>2023_Vic_Ouyen_Lentil_SatelliteTOS1VarietyKelpieXTWaterTrtRainFed</v>
      </c>
      <c r="B2988" s="2">
        <v>2023035</v>
      </c>
      <c r="C2988" s="3" t="s">
        <v>3117</v>
      </c>
      <c r="D2988" s="3" t="s">
        <v>38</v>
      </c>
      <c r="F2988" s="3" t="s">
        <v>4188</v>
      </c>
      <c r="G2988" s="3" t="s">
        <v>43</v>
      </c>
      <c r="H2988" s="3" t="s">
        <v>253</v>
      </c>
      <c r="I2988" s="2">
        <v>13</v>
      </c>
      <c r="J2988" s="2">
        <v>13</v>
      </c>
      <c r="K2988" s="2">
        <v>2</v>
      </c>
      <c r="O2988" s="2">
        <v>4</v>
      </c>
      <c r="U2988" s="2">
        <v>1</v>
      </c>
      <c r="V2988" s="2">
        <v>8</v>
      </c>
      <c r="W2988" s="2">
        <v>1</v>
      </c>
      <c r="X2988" s="2">
        <v>4</v>
      </c>
      <c r="Z2988" s="2">
        <v>16</v>
      </c>
      <c r="AA2988" s="3" t="s">
        <v>40</v>
      </c>
      <c r="AB2988" s="2">
        <v>4</v>
      </c>
      <c r="AF2988" s="2">
        <v>28</v>
      </c>
      <c r="AG2988" s="2">
        <v>1</v>
      </c>
      <c r="AH2988" s="3" t="s">
        <v>3083</v>
      </c>
      <c r="AI2988" s="4">
        <v>45050</v>
      </c>
      <c r="AJ2988" s="3" t="s">
        <v>3130</v>
      </c>
      <c r="AK2988" s="3" t="s">
        <v>38</v>
      </c>
    </row>
    <row r="2989" spans="1:37" hidden="1" x14ac:dyDescent="0.25">
      <c r="A2989" t="str">
        <f t="shared" si="46"/>
        <v>2023_Vic_Ouyen_Lentil_SatelliteTOS1VarietyJumbo2WaterTrtRainFed</v>
      </c>
      <c r="B2989" s="2">
        <v>2023035</v>
      </c>
      <c r="C2989" s="3" t="s">
        <v>3117</v>
      </c>
      <c r="D2989" s="3" t="s">
        <v>38</v>
      </c>
      <c r="F2989" s="3" t="s">
        <v>4176</v>
      </c>
      <c r="G2989" s="3" t="s">
        <v>43</v>
      </c>
      <c r="H2989" s="3" t="s">
        <v>253</v>
      </c>
      <c r="I2989" s="2">
        <v>14</v>
      </c>
      <c r="J2989" s="2">
        <v>14</v>
      </c>
      <c r="K2989" s="2">
        <v>2</v>
      </c>
      <c r="O2989" s="2">
        <v>4</v>
      </c>
      <c r="U2989" s="2">
        <v>2</v>
      </c>
      <c r="V2989" s="2">
        <v>8</v>
      </c>
      <c r="W2989" s="2">
        <v>2</v>
      </c>
      <c r="X2989" s="2">
        <v>4</v>
      </c>
      <c r="Z2989" s="2">
        <v>15</v>
      </c>
      <c r="AA2989" s="3" t="s">
        <v>40</v>
      </c>
      <c r="AB2989" s="2">
        <v>3</v>
      </c>
      <c r="AF2989" s="2">
        <v>28</v>
      </c>
      <c r="AG2989" s="2">
        <v>1</v>
      </c>
      <c r="AH2989" s="3" t="s">
        <v>3083</v>
      </c>
      <c r="AI2989" s="4">
        <v>45050</v>
      </c>
      <c r="AJ2989" s="3" t="s">
        <v>3131</v>
      </c>
      <c r="AK2989" s="3" t="s">
        <v>38</v>
      </c>
    </row>
    <row r="2990" spans="1:37" hidden="1" x14ac:dyDescent="0.25">
      <c r="A2990" t="str">
        <f t="shared" si="46"/>
        <v>2023_Vic_Ouyen_Lentil_SatelliteTOS1VarietyHallmarkXTWaterTrtRainFed</v>
      </c>
      <c r="B2990" s="2">
        <v>2023035</v>
      </c>
      <c r="C2990" s="3" t="s">
        <v>3117</v>
      </c>
      <c r="D2990" s="3" t="s">
        <v>38</v>
      </c>
      <c r="F2990" s="3" t="s">
        <v>4189</v>
      </c>
      <c r="G2990" s="3" t="s">
        <v>39</v>
      </c>
      <c r="H2990" s="3" t="s">
        <v>253</v>
      </c>
      <c r="I2990" s="2">
        <v>15</v>
      </c>
      <c r="J2990" s="2">
        <v>15</v>
      </c>
      <c r="K2990" s="2">
        <v>2</v>
      </c>
      <c r="O2990" s="2">
        <v>4</v>
      </c>
      <c r="U2990" s="2">
        <v>3</v>
      </c>
      <c r="V2990" s="2">
        <v>8</v>
      </c>
      <c r="W2990" s="2">
        <v>3</v>
      </c>
      <c r="X2990" s="2">
        <v>4</v>
      </c>
      <c r="Z2990" s="2">
        <v>14</v>
      </c>
      <c r="AA2990" s="3" t="s">
        <v>40</v>
      </c>
      <c r="AB2990" s="2">
        <v>2</v>
      </c>
      <c r="AF2990" s="2">
        <v>28</v>
      </c>
      <c r="AG2990" s="2">
        <v>1</v>
      </c>
      <c r="AH2990" s="3" t="s">
        <v>3083</v>
      </c>
      <c r="AI2990" s="4">
        <v>45050</v>
      </c>
      <c r="AJ2990" s="3" t="s">
        <v>3132</v>
      </c>
      <c r="AK2990" s="3" t="s">
        <v>38</v>
      </c>
    </row>
    <row r="2991" spans="1:37" hidden="1" x14ac:dyDescent="0.25">
      <c r="A2991" t="str">
        <f t="shared" si="46"/>
        <v>2023_Vic_Ouyen_Lentil_SatelliteTOS1VarietyBoltWaterTrtRainFed</v>
      </c>
      <c r="B2991" s="2">
        <v>2023035</v>
      </c>
      <c r="C2991" s="3" t="s">
        <v>3117</v>
      </c>
      <c r="D2991" s="3" t="s">
        <v>38</v>
      </c>
      <c r="F2991" s="3" t="s">
        <v>4187</v>
      </c>
      <c r="G2991" s="3" t="s">
        <v>39</v>
      </c>
      <c r="H2991" s="3" t="s">
        <v>253</v>
      </c>
      <c r="I2991" s="2">
        <v>16</v>
      </c>
      <c r="J2991" s="2">
        <v>16</v>
      </c>
      <c r="K2991" s="2">
        <v>2</v>
      </c>
      <c r="O2991" s="2">
        <v>4</v>
      </c>
      <c r="U2991" s="2">
        <v>4</v>
      </c>
      <c r="V2991" s="2">
        <v>8</v>
      </c>
      <c r="W2991" s="2">
        <v>4</v>
      </c>
      <c r="X2991" s="2">
        <v>4</v>
      </c>
      <c r="Z2991" s="2">
        <v>13</v>
      </c>
      <c r="AA2991" s="3" t="s">
        <v>40</v>
      </c>
      <c r="AB2991" s="2">
        <v>1</v>
      </c>
      <c r="AF2991" s="2">
        <v>28</v>
      </c>
      <c r="AG2991" s="2">
        <v>1</v>
      </c>
      <c r="AH2991" s="3" t="s">
        <v>3083</v>
      </c>
      <c r="AI2991" s="4">
        <v>45050</v>
      </c>
      <c r="AJ2991" s="3" t="s">
        <v>3133</v>
      </c>
      <c r="AK2991" s="3" t="s">
        <v>38</v>
      </c>
    </row>
    <row r="2992" spans="1:37" hidden="1" x14ac:dyDescent="0.25">
      <c r="A2992" t="str">
        <f t="shared" si="46"/>
        <v>2023_Vic_Ouyen_Lentil_SatelliteTOS2VarietyHallmarkXTWaterTrtRainFed</v>
      </c>
      <c r="B2992" s="2">
        <v>2023035</v>
      </c>
      <c r="C2992" s="3" t="s">
        <v>3117</v>
      </c>
      <c r="D2992" s="3" t="s">
        <v>38</v>
      </c>
      <c r="F2992" s="3" t="s">
        <v>4189</v>
      </c>
      <c r="G2992" s="3" t="s">
        <v>39</v>
      </c>
      <c r="H2992" s="3" t="s">
        <v>253</v>
      </c>
      <c r="I2992" s="2">
        <v>17</v>
      </c>
      <c r="J2992" s="2">
        <v>17</v>
      </c>
      <c r="K2992" s="2">
        <v>3</v>
      </c>
      <c r="O2992" s="2">
        <v>5</v>
      </c>
      <c r="U2992" s="2">
        <v>1</v>
      </c>
      <c r="V2992" s="2">
        <v>10</v>
      </c>
      <c r="W2992" s="2">
        <v>1</v>
      </c>
      <c r="X2992" s="2">
        <v>5</v>
      </c>
      <c r="Z2992" s="2">
        <v>17</v>
      </c>
      <c r="AA2992" s="3" t="s">
        <v>40</v>
      </c>
      <c r="AB2992" s="2">
        <v>2</v>
      </c>
      <c r="AF2992" s="2">
        <v>28</v>
      </c>
      <c r="AG2992" s="2">
        <v>2</v>
      </c>
      <c r="AH2992" s="3" t="s">
        <v>3088</v>
      </c>
      <c r="AI2992" s="4">
        <v>45093</v>
      </c>
      <c r="AJ2992" s="3" t="s">
        <v>3134</v>
      </c>
      <c r="AK2992" s="3" t="s">
        <v>38</v>
      </c>
    </row>
    <row r="2993" spans="1:37" hidden="1" x14ac:dyDescent="0.25">
      <c r="A2993" t="str">
        <f t="shared" si="46"/>
        <v>2023_Vic_Ouyen_Lentil_SatelliteTOS2VarietyBoltWaterTrtRainFed</v>
      </c>
      <c r="B2993" s="2">
        <v>2023035</v>
      </c>
      <c r="C2993" s="3" t="s">
        <v>3117</v>
      </c>
      <c r="D2993" s="3" t="s">
        <v>38</v>
      </c>
      <c r="F2993" s="3" t="s">
        <v>4187</v>
      </c>
      <c r="G2993" s="3" t="s">
        <v>39</v>
      </c>
      <c r="H2993" s="3" t="s">
        <v>253</v>
      </c>
      <c r="I2993" s="2">
        <v>18</v>
      </c>
      <c r="J2993" s="2">
        <v>18</v>
      </c>
      <c r="K2993" s="2">
        <v>3</v>
      </c>
      <c r="O2993" s="2">
        <v>5</v>
      </c>
      <c r="U2993" s="2">
        <v>2</v>
      </c>
      <c r="V2993" s="2">
        <v>10</v>
      </c>
      <c r="W2993" s="2">
        <v>2</v>
      </c>
      <c r="X2993" s="2">
        <v>5</v>
      </c>
      <c r="Z2993" s="2">
        <v>18</v>
      </c>
      <c r="AA2993" s="3" t="s">
        <v>40</v>
      </c>
      <c r="AB2993" s="2">
        <v>1</v>
      </c>
      <c r="AF2993" s="2">
        <v>28</v>
      </c>
      <c r="AG2993" s="2">
        <v>2</v>
      </c>
      <c r="AH2993" s="3" t="s">
        <v>3088</v>
      </c>
      <c r="AI2993" s="4">
        <v>45093</v>
      </c>
      <c r="AJ2993" s="3" t="s">
        <v>3135</v>
      </c>
      <c r="AK2993" s="3" t="s">
        <v>38</v>
      </c>
    </row>
    <row r="2994" spans="1:37" hidden="1" x14ac:dyDescent="0.25">
      <c r="A2994" t="str">
        <f t="shared" si="46"/>
        <v>2023_Vic_Ouyen_Lentil_SatelliteTOS2VarietyKelpieXTWaterTrtRainFed</v>
      </c>
      <c r="B2994" s="2">
        <v>2023035</v>
      </c>
      <c r="C2994" s="3" t="s">
        <v>3117</v>
      </c>
      <c r="D2994" s="3" t="s">
        <v>38</v>
      </c>
      <c r="F2994" s="3" t="s">
        <v>4188</v>
      </c>
      <c r="G2994" s="3" t="s">
        <v>43</v>
      </c>
      <c r="H2994" s="3" t="s">
        <v>253</v>
      </c>
      <c r="I2994" s="2">
        <v>19</v>
      </c>
      <c r="J2994" s="2">
        <v>19</v>
      </c>
      <c r="K2994" s="2">
        <v>3</v>
      </c>
      <c r="O2994" s="2">
        <v>5</v>
      </c>
      <c r="U2994" s="2">
        <v>3</v>
      </c>
      <c r="V2994" s="2">
        <v>10</v>
      </c>
      <c r="W2994" s="2">
        <v>3</v>
      </c>
      <c r="X2994" s="2">
        <v>5</v>
      </c>
      <c r="Z2994" s="2">
        <v>19</v>
      </c>
      <c r="AA2994" s="3" t="s">
        <v>40</v>
      </c>
      <c r="AB2994" s="2">
        <v>4</v>
      </c>
      <c r="AF2994" s="2">
        <v>28</v>
      </c>
      <c r="AG2994" s="2">
        <v>2</v>
      </c>
      <c r="AH2994" s="3" t="s">
        <v>3088</v>
      </c>
      <c r="AI2994" s="4">
        <v>45093</v>
      </c>
      <c r="AJ2994" s="3" t="s">
        <v>3136</v>
      </c>
      <c r="AK2994" s="3" t="s">
        <v>38</v>
      </c>
    </row>
    <row r="2995" spans="1:37" hidden="1" x14ac:dyDescent="0.25">
      <c r="A2995" t="str">
        <f t="shared" si="46"/>
        <v>2023_Vic_Ouyen_Lentil_SatelliteTOS2VarietyJumbo2WaterTrtRainFed</v>
      </c>
      <c r="B2995" s="2">
        <v>2023035</v>
      </c>
      <c r="C2995" s="3" t="s">
        <v>3117</v>
      </c>
      <c r="D2995" s="3" t="s">
        <v>38</v>
      </c>
      <c r="F2995" s="3" t="s">
        <v>4176</v>
      </c>
      <c r="G2995" s="3" t="s">
        <v>43</v>
      </c>
      <c r="H2995" s="3" t="s">
        <v>253</v>
      </c>
      <c r="I2995" s="2">
        <v>20</v>
      </c>
      <c r="J2995" s="2">
        <v>20</v>
      </c>
      <c r="K2995" s="2">
        <v>3</v>
      </c>
      <c r="O2995" s="2">
        <v>5</v>
      </c>
      <c r="U2995" s="2">
        <v>4</v>
      </c>
      <c r="V2995" s="2">
        <v>10</v>
      </c>
      <c r="W2995" s="2">
        <v>4</v>
      </c>
      <c r="X2995" s="2">
        <v>5</v>
      </c>
      <c r="Z2995" s="2">
        <v>20</v>
      </c>
      <c r="AA2995" s="3" t="s">
        <v>40</v>
      </c>
      <c r="AB2995" s="2">
        <v>3</v>
      </c>
      <c r="AF2995" s="2">
        <v>28</v>
      </c>
      <c r="AG2995" s="2">
        <v>2</v>
      </c>
      <c r="AH2995" s="3" t="s">
        <v>3088</v>
      </c>
      <c r="AI2995" s="4">
        <v>45093</v>
      </c>
      <c r="AJ2995" s="3" t="s">
        <v>3137</v>
      </c>
      <c r="AK2995" s="3" t="s">
        <v>38</v>
      </c>
    </row>
    <row r="2996" spans="1:37" hidden="1" x14ac:dyDescent="0.25">
      <c r="A2996" t="str">
        <f t="shared" si="46"/>
        <v>2023_Vic_Ouyen_Lentil_SatelliteTOS1VarietyJumbo2WaterTrtRainFed</v>
      </c>
      <c r="B2996" s="2">
        <v>2023035</v>
      </c>
      <c r="C2996" s="3" t="s">
        <v>3117</v>
      </c>
      <c r="D2996" s="3" t="s">
        <v>38</v>
      </c>
      <c r="F2996" s="3" t="s">
        <v>4176</v>
      </c>
      <c r="G2996" s="3" t="s">
        <v>43</v>
      </c>
      <c r="H2996" s="3" t="s">
        <v>253</v>
      </c>
      <c r="I2996" s="2">
        <v>21</v>
      </c>
      <c r="J2996" s="2">
        <v>21</v>
      </c>
      <c r="K2996" s="2">
        <v>3</v>
      </c>
      <c r="O2996" s="2">
        <v>6</v>
      </c>
      <c r="U2996" s="2">
        <v>1</v>
      </c>
      <c r="V2996" s="2">
        <v>12</v>
      </c>
      <c r="W2996" s="2">
        <v>1</v>
      </c>
      <c r="X2996" s="2">
        <v>6</v>
      </c>
      <c r="Z2996" s="2">
        <v>24</v>
      </c>
      <c r="AA2996" s="3" t="s">
        <v>40</v>
      </c>
      <c r="AB2996" s="2">
        <v>3</v>
      </c>
      <c r="AF2996" s="2">
        <v>28</v>
      </c>
      <c r="AG2996" s="2">
        <v>1</v>
      </c>
      <c r="AH2996" s="3" t="s">
        <v>3083</v>
      </c>
      <c r="AI2996" s="4">
        <v>45050</v>
      </c>
      <c r="AJ2996" s="3" t="s">
        <v>3138</v>
      </c>
      <c r="AK2996" s="3" t="s">
        <v>38</v>
      </c>
    </row>
    <row r="2997" spans="1:37" hidden="1" x14ac:dyDescent="0.25">
      <c r="A2997" t="str">
        <f t="shared" si="46"/>
        <v>2023_Vic_Ouyen_Lentil_SatelliteTOS1VarietyHallmarkXTWaterTrtRainFed</v>
      </c>
      <c r="B2997" s="2">
        <v>2023035</v>
      </c>
      <c r="C2997" s="3" t="s">
        <v>3117</v>
      </c>
      <c r="D2997" s="3" t="s">
        <v>38</v>
      </c>
      <c r="F2997" s="3" t="s">
        <v>4189</v>
      </c>
      <c r="G2997" s="3" t="s">
        <v>39</v>
      </c>
      <c r="H2997" s="3" t="s">
        <v>253</v>
      </c>
      <c r="I2997" s="2">
        <v>22</v>
      </c>
      <c r="J2997" s="2">
        <v>22</v>
      </c>
      <c r="K2997" s="2">
        <v>3</v>
      </c>
      <c r="O2997" s="2">
        <v>6</v>
      </c>
      <c r="U2997" s="2">
        <v>2</v>
      </c>
      <c r="V2997" s="2">
        <v>12</v>
      </c>
      <c r="W2997" s="2">
        <v>2</v>
      </c>
      <c r="X2997" s="2">
        <v>6</v>
      </c>
      <c r="Z2997" s="2">
        <v>23</v>
      </c>
      <c r="AA2997" s="3" t="s">
        <v>40</v>
      </c>
      <c r="AB2997" s="2">
        <v>2</v>
      </c>
      <c r="AF2997" s="2">
        <v>28</v>
      </c>
      <c r="AG2997" s="2">
        <v>1</v>
      </c>
      <c r="AH2997" s="3" t="s">
        <v>3083</v>
      </c>
      <c r="AI2997" s="4">
        <v>45050</v>
      </c>
      <c r="AJ2997" s="3" t="s">
        <v>3139</v>
      </c>
      <c r="AK2997" s="3" t="s">
        <v>38</v>
      </c>
    </row>
    <row r="2998" spans="1:37" hidden="1" x14ac:dyDescent="0.25">
      <c r="A2998" t="str">
        <f t="shared" si="46"/>
        <v>2023_Vic_Ouyen_Lentil_SatelliteTOS1VarietyBoltWaterTrtRainFed</v>
      </c>
      <c r="B2998" s="2">
        <v>2023035</v>
      </c>
      <c r="C2998" s="3" t="s">
        <v>3117</v>
      </c>
      <c r="D2998" s="3" t="s">
        <v>38</v>
      </c>
      <c r="F2998" s="3" t="s">
        <v>4187</v>
      </c>
      <c r="G2998" s="3" t="s">
        <v>39</v>
      </c>
      <c r="H2998" s="3" t="s">
        <v>253</v>
      </c>
      <c r="I2998" s="2">
        <v>23</v>
      </c>
      <c r="J2998" s="2">
        <v>23</v>
      </c>
      <c r="K2998" s="2">
        <v>3</v>
      </c>
      <c r="O2998" s="2">
        <v>6</v>
      </c>
      <c r="U2998" s="2">
        <v>3</v>
      </c>
      <c r="V2998" s="2">
        <v>12</v>
      </c>
      <c r="W2998" s="2">
        <v>3</v>
      </c>
      <c r="X2998" s="2">
        <v>6</v>
      </c>
      <c r="Z2998" s="2">
        <v>22</v>
      </c>
      <c r="AA2998" s="3" t="s">
        <v>40</v>
      </c>
      <c r="AB2998" s="2">
        <v>1</v>
      </c>
      <c r="AF2998" s="2">
        <v>28</v>
      </c>
      <c r="AG2998" s="2">
        <v>1</v>
      </c>
      <c r="AH2998" s="3" t="s">
        <v>3083</v>
      </c>
      <c r="AI2998" s="4">
        <v>45050</v>
      </c>
      <c r="AJ2998" s="3" t="s">
        <v>3140</v>
      </c>
      <c r="AK2998" s="3" t="s">
        <v>38</v>
      </c>
    </row>
    <row r="2999" spans="1:37" hidden="1" x14ac:dyDescent="0.25">
      <c r="A2999" t="str">
        <f t="shared" si="46"/>
        <v>2023_Vic_Ouyen_Lentil_SatelliteTOS1VarietyKelpieXTWaterTrtRainFed</v>
      </c>
      <c r="B2999" s="2">
        <v>2023035</v>
      </c>
      <c r="C2999" s="3" t="s">
        <v>3117</v>
      </c>
      <c r="D2999" s="3" t="s">
        <v>38</v>
      </c>
      <c r="F2999" s="3" t="s">
        <v>4188</v>
      </c>
      <c r="G2999" s="3" t="s">
        <v>43</v>
      </c>
      <c r="H2999" s="3" t="s">
        <v>253</v>
      </c>
      <c r="I2999" s="2">
        <v>24</v>
      </c>
      <c r="J2999" s="2">
        <v>24</v>
      </c>
      <c r="K2999" s="2">
        <v>3</v>
      </c>
      <c r="O2999" s="2">
        <v>6</v>
      </c>
      <c r="U2999" s="2">
        <v>4</v>
      </c>
      <c r="V2999" s="2">
        <v>12</v>
      </c>
      <c r="W2999" s="2">
        <v>4</v>
      </c>
      <c r="X2999" s="2">
        <v>6</v>
      </c>
      <c r="Z2999" s="2">
        <v>21</v>
      </c>
      <c r="AA2999" s="3" t="s">
        <v>40</v>
      </c>
      <c r="AB2999" s="2">
        <v>4</v>
      </c>
      <c r="AF2999" s="2">
        <v>28</v>
      </c>
      <c r="AG2999" s="2">
        <v>1</v>
      </c>
      <c r="AH2999" s="3" t="s">
        <v>3083</v>
      </c>
      <c r="AI2999" s="4">
        <v>45050</v>
      </c>
      <c r="AJ2999" s="3" t="s">
        <v>3141</v>
      </c>
      <c r="AK2999" s="3" t="s">
        <v>38</v>
      </c>
    </row>
    <row r="3000" spans="1:37" hidden="1" x14ac:dyDescent="0.25">
      <c r="A3000" t="str">
        <f t="shared" si="46"/>
        <v>2023_Vic_Ouyen_Lentil_SatelliteTOS1VarietyBoltWaterTrtRainFed</v>
      </c>
      <c r="B3000" s="2">
        <v>2023035</v>
      </c>
      <c r="C3000" s="3" t="s">
        <v>3117</v>
      </c>
      <c r="D3000" s="3" t="s">
        <v>38</v>
      </c>
      <c r="F3000" s="3" t="s">
        <v>4187</v>
      </c>
      <c r="G3000" s="3" t="s">
        <v>39</v>
      </c>
      <c r="H3000" s="3" t="s">
        <v>253</v>
      </c>
      <c r="I3000" s="2">
        <v>25</v>
      </c>
      <c r="J3000" s="2">
        <v>25</v>
      </c>
      <c r="K3000" s="2">
        <v>4</v>
      </c>
      <c r="O3000" s="2">
        <v>7</v>
      </c>
      <c r="U3000" s="2">
        <v>1</v>
      </c>
      <c r="V3000" s="2">
        <v>14</v>
      </c>
      <c r="W3000" s="2">
        <v>1</v>
      </c>
      <c r="X3000" s="2">
        <v>7</v>
      </c>
      <c r="Z3000" s="2">
        <v>25</v>
      </c>
      <c r="AA3000" s="3" t="s">
        <v>40</v>
      </c>
      <c r="AB3000" s="2">
        <v>1</v>
      </c>
      <c r="AF3000" s="2">
        <v>28</v>
      </c>
      <c r="AG3000" s="2">
        <v>1</v>
      </c>
      <c r="AH3000" s="3" t="s">
        <v>3083</v>
      </c>
      <c r="AI3000" s="4">
        <v>45050</v>
      </c>
      <c r="AJ3000" s="3" t="s">
        <v>3142</v>
      </c>
      <c r="AK3000" s="3" t="s">
        <v>38</v>
      </c>
    </row>
    <row r="3001" spans="1:37" hidden="1" x14ac:dyDescent="0.25">
      <c r="A3001" t="str">
        <f t="shared" si="46"/>
        <v>2023_Vic_Ouyen_Lentil_SatelliteTOS1VarietyKelpieXTWaterTrtRainFed</v>
      </c>
      <c r="B3001" s="2">
        <v>2023035</v>
      </c>
      <c r="C3001" s="3" t="s">
        <v>3117</v>
      </c>
      <c r="D3001" s="3" t="s">
        <v>38</v>
      </c>
      <c r="F3001" s="3" t="s">
        <v>4188</v>
      </c>
      <c r="G3001" s="3" t="s">
        <v>43</v>
      </c>
      <c r="H3001" s="3" t="s">
        <v>253</v>
      </c>
      <c r="I3001" s="2">
        <v>26</v>
      </c>
      <c r="J3001" s="2">
        <v>26</v>
      </c>
      <c r="K3001" s="2">
        <v>4</v>
      </c>
      <c r="O3001" s="2">
        <v>7</v>
      </c>
      <c r="U3001" s="2">
        <v>2</v>
      </c>
      <c r="V3001" s="2">
        <v>14</v>
      </c>
      <c r="W3001" s="2">
        <v>2</v>
      </c>
      <c r="X3001" s="2">
        <v>7</v>
      </c>
      <c r="Z3001" s="2">
        <v>26</v>
      </c>
      <c r="AA3001" s="3" t="s">
        <v>40</v>
      </c>
      <c r="AB3001" s="2">
        <v>4</v>
      </c>
      <c r="AF3001" s="2">
        <v>28</v>
      </c>
      <c r="AG3001" s="2">
        <v>1</v>
      </c>
      <c r="AH3001" s="3" t="s">
        <v>3083</v>
      </c>
      <c r="AI3001" s="4">
        <v>45050</v>
      </c>
      <c r="AJ3001" s="3" t="s">
        <v>3143</v>
      </c>
      <c r="AK3001" s="3" t="s">
        <v>38</v>
      </c>
    </row>
    <row r="3002" spans="1:37" hidden="1" x14ac:dyDescent="0.25">
      <c r="A3002" t="str">
        <f t="shared" si="46"/>
        <v>2023_Vic_Ouyen_Lentil_SatelliteTOS1VarietyJumbo2WaterTrtRainFed</v>
      </c>
      <c r="B3002" s="2">
        <v>2023035</v>
      </c>
      <c r="C3002" s="3" t="s">
        <v>3117</v>
      </c>
      <c r="D3002" s="3" t="s">
        <v>38</v>
      </c>
      <c r="F3002" s="3" t="s">
        <v>4176</v>
      </c>
      <c r="G3002" s="3" t="s">
        <v>43</v>
      </c>
      <c r="H3002" s="3" t="s">
        <v>253</v>
      </c>
      <c r="I3002" s="2">
        <v>27</v>
      </c>
      <c r="J3002" s="2">
        <v>27</v>
      </c>
      <c r="K3002" s="2">
        <v>4</v>
      </c>
      <c r="O3002" s="2">
        <v>7</v>
      </c>
      <c r="U3002" s="2">
        <v>3</v>
      </c>
      <c r="V3002" s="2">
        <v>14</v>
      </c>
      <c r="W3002" s="2">
        <v>3</v>
      </c>
      <c r="X3002" s="2">
        <v>7</v>
      </c>
      <c r="Z3002" s="2">
        <v>27</v>
      </c>
      <c r="AA3002" s="3" t="s">
        <v>40</v>
      </c>
      <c r="AB3002" s="2">
        <v>3</v>
      </c>
      <c r="AF3002" s="2">
        <v>28</v>
      </c>
      <c r="AG3002" s="2">
        <v>1</v>
      </c>
      <c r="AH3002" s="3" t="s">
        <v>3083</v>
      </c>
      <c r="AI3002" s="4">
        <v>45050</v>
      </c>
      <c r="AJ3002" s="3" t="s">
        <v>3144</v>
      </c>
      <c r="AK3002" s="3" t="s">
        <v>38</v>
      </c>
    </row>
    <row r="3003" spans="1:37" hidden="1" x14ac:dyDescent="0.25">
      <c r="A3003" t="str">
        <f t="shared" si="46"/>
        <v>2023_Vic_Ouyen_Lentil_SatelliteTOS1VarietyHallmarkXTWaterTrtRainFed</v>
      </c>
      <c r="B3003" s="2">
        <v>2023035</v>
      </c>
      <c r="C3003" s="3" t="s">
        <v>3117</v>
      </c>
      <c r="D3003" s="3" t="s">
        <v>38</v>
      </c>
      <c r="F3003" s="3" t="s">
        <v>4189</v>
      </c>
      <c r="G3003" s="3" t="s">
        <v>39</v>
      </c>
      <c r="H3003" s="3" t="s">
        <v>253</v>
      </c>
      <c r="I3003" s="2">
        <v>28</v>
      </c>
      <c r="J3003" s="2">
        <v>28</v>
      </c>
      <c r="K3003" s="2">
        <v>4</v>
      </c>
      <c r="O3003" s="2">
        <v>7</v>
      </c>
      <c r="U3003" s="2">
        <v>4</v>
      </c>
      <c r="V3003" s="2">
        <v>14</v>
      </c>
      <c r="W3003" s="2">
        <v>4</v>
      </c>
      <c r="X3003" s="2">
        <v>7</v>
      </c>
      <c r="Z3003" s="2">
        <v>28</v>
      </c>
      <c r="AA3003" s="3" t="s">
        <v>40</v>
      </c>
      <c r="AB3003" s="2">
        <v>2</v>
      </c>
      <c r="AF3003" s="2">
        <v>28</v>
      </c>
      <c r="AG3003" s="2">
        <v>1</v>
      </c>
      <c r="AH3003" s="3" t="s">
        <v>3083</v>
      </c>
      <c r="AI3003" s="4">
        <v>45050</v>
      </c>
      <c r="AJ3003" s="3" t="s">
        <v>3145</v>
      </c>
      <c r="AK3003" s="3" t="s">
        <v>38</v>
      </c>
    </row>
    <row r="3004" spans="1:37" hidden="1" x14ac:dyDescent="0.25">
      <c r="A3004" t="str">
        <f t="shared" si="46"/>
        <v>2023_Vic_Ouyen_Lentil_SatelliteTOS2VarietyJumbo2WaterTrtRainFed</v>
      </c>
      <c r="B3004" s="2">
        <v>2023035</v>
      </c>
      <c r="C3004" s="3" t="s">
        <v>3117</v>
      </c>
      <c r="D3004" s="3" t="s">
        <v>38</v>
      </c>
      <c r="F3004" s="3" t="s">
        <v>4176</v>
      </c>
      <c r="G3004" s="3" t="s">
        <v>43</v>
      </c>
      <c r="H3004" s="3" t="s">
        <v>253</v>
      </c>
      <c r="I3004" s="2">
        <v>29</v>
      </c>
      <c r="J3004" s="2">
        <v>29</v>
      </c>
      <c r="K3004" s="2">
        <v>4</v>
      </c>
      <c r="O3004" s="2">
        <v>8</v>
      </c>
      <c r="U3004" s="2">
        <v>1</v>
      </c>
      <c r="V3004" s="2">
        <v>16</v>
      </c>
      <c r="W3004" s="2">
        <v>1</v>
      </c>
      <c r="X3004" s="2">
        <v>8</v>
      </c>
      <c r="Z3004" s="2">
        <v>32</v>
      </c>
      <c r="AA3004" s="3" t="s">
        <v>40</v>
      </c>
      <c r="AB3004" s="2">
        <v>3</v>
      </c>
      <c r="AF3004" s="2">
        <v>28</v>
      </c>
      <c r="AG3004" s="2">
        <v>2</v>
      </c>
      <c r="AH3004" s="3" t="s">
        <v>3088</v>
      </c>
      <c r="AI3004" s="4">
        <v>45093</v>
      </c>
      <c r="AJ3004" s="3" t="s">
        <v>3146</v>
      </c>
      <c r="AK3004" s="3" t="s">
        <v>38</v>
      </c>
    </row>
    <row r="3005" spans="1:37" hidden="1" x14ac:dyDescent="0.25">
      <c r="A3005" t="str">
        <f t="shared" si="46"/>
        <v>2023_Vic_Ouyen_Lentil_SatelliteTOS2VarietyHallmarkXTWaterTrtRainFed</v>
      </c>
      <c r="B3005" s="2">
        <v>2023035</v>
      </c>
      <c r="C3005" s="3" t="s">
        <v>3117</v>
      </c>
      <c r="D3005" s="3" t="s">
        <v>38</v>
      </c>
      <c r="F3005" s="3" t="s">
        <v>4189</v>
      </c>
      <c r="G3005" s="3" t="s">
        <v>39</v>
      </c>
      <c r="H3005" s="3" t="s">
        <v>253</v>
      </c>
      <c r="I3005" s="2">
        <v>30</v>
      </c>
      <c r="J3005" s="2">
        <v>30</v>
      </c>
      <c r="K3005" s="2">
        <v>4</v>
      </c>
      <c r="O3005" s="2">
        <v>8</v>
      </c>
      <c r="U3005" s="2">
        <v>2</v>
      </c>
      <c r="V3005" s="2">
        <v>16</v>
      </c>
      <c r="W3005" s="2">
        <v>2</v>
      </c>
      <c r="X3005" s="2">
        <v>8</v>
      </c>
      <c r="Z3005" s="2">
        <v>31</v>
      </c>
      <c r="AA3005" s="3" t="s">
        <v>40</v>
      </c>
      <c r="AB3005" s="2">
        <v>2</v>
      </c>
      <c r="AF3005" s="2">
        <v>28</v>
      </c>
      <c r="AG3005" s="2">
        <v>2</v>
      </c>
      <c r="AH3005" s="3" t="s">
        <v>3088</v>
      </c>
      <c r="AI3005" s="4">
        <v>45093</v>
      </c>
      <c r="AJ3005" s="3" t="s">
        <v>3147</v>
      </c>
      <c r="AK3005" s="3" t="s">
        <v>38</v>
      </c>
    </row>
    <row r="3006" spans="1:37" hidden="1" x14ac:dyDescent="0.25">
      <c r="A3006" t="str">
        <f t="shared" si="46"/>
        <v>2023_Vic_Ouyen_Lentil_SatelliteTOS2VarietyBoltWaterTrtRainFed</v>
      </c>
      <c r="B3006" s="2">
        <v>2023035</v>
      </c>
      <c r="C3006" s="3" t="s">
        <v>3117</v>
      </c>
      <c r="D3006" s="3" t="s">
        <v>38</v>
      </c>
      <c r="F3006" s="3" t="s">
        <v>4187</v>
      </c>
      <c r="G3006" s="3" t="s">
        <v>39</v>
      </c>
      <c r="H3006" s="3" t="s">
        <v>253</v>
      </c>
      <c r="I3006" s="2">
        <v>31</v>
      </c>
      <c r="J3006" s="2">
        <v>31</v>
      </c>
      <c r="K3006" s="2">
        <v>4</v>
      </c>
      <c r="O3006" s="2">
        <v>8</v>
      </c>
      <c r="U3006" s="2">
        <v>3</v>
      </c>
      <c r="V3006" s="2">
        <v>16</v>
      </c>
      <c r="W3006" s="2">
        <v>3</v>
      </c>
      <c r="X3006" s="2">
        <v>8</v>
      </c>
      <c r="Z3006" s="2">
        <v>30</v>
      </c>
      <c r="AA3006" s="3" t="s">
        <v>40</v>
      </c>
      <c r="AB3006" s="2">
        <v>1</v>
      </c>
      <c r="AF3006" s="2">
        <v>28</v>
      </c>
      <c r="AG3006" s="2">
        <v>2</v>
      </c>
      <c r="AH3006" s="3" t="s">
        <v>3088</v>
      </c>
      <c r="AI3006" s="4">
        <v>45093</v>
      </c>
      <c r="AJ3006" s="3" t="s">
        <v>3148</v>
      </c>
      <c r="AK3006" s="3" t="s">
        <v>38</v>
      </c>
    </row>
    <row r="3007" spans="1:37" hidden="1" x14ac:dyDescent="0.25">
      <c r="A3007" t="str">
        <f t="shared" si="46"/>
        <v>2023_Vic_Ouyen_Lentil_SatelliteTOS2VarietyKelpieXTWaterTrtRainFed</v>
      </c>
      <c r="B3007" s="2">
        <v>2023035</v>
      </c>
      <c r="C3007" s="3" t="s">
        <v>3117</v>
      </c>
      <c r="D3007" s="3" t="s">
        <v>38</v>
      </c>
      <c r="F3007" s="3" t="s">
        <v>4188</v>
      </c>
      <c r="G3007" s="3" t="s">
        <v>43</v>
      </c>
      <c r="H3007" s="3" t="s">
        <v>253</v>
      </c>
      <c r="I3007" s="2">
        <v>32</v>
      </c>
      <c r="J3007" s="2">
        <v>32</v>
      </c>
      <c r="K3007" s="2">
        <v>4</v>
      </c>
      <c r="O3007" s="2">
        <v>8</v>
      </c>
      <c r="U3007" s="2">
        <v>4</v>
      </c>
      <c r="V3007" s="2">
        <v>16</v>
      </c>
      <c r="W3007" s="2">
        <v>4</v>
      </c>
      <c r="X3007" s="2">
        <v>8</v>
      </c>
      <c r="Z3007" s="2">
        <v>29</v>
      </c>
      <c r="AA3007" s="3" t="s">
        <v>40</v>
      </c>
      <c r="AB3007" s="2">
        <v>4</v>
      </c>
      <c r="AF3007" s="2">
        <v>28</v>
      </c>
      <c r="AG3007" s="2">
        <v>2</v>
      </c>
      <c r="AH3007" s="3" t="s">
        <v>3088</v>
      </c>
      <c r="AI3007" s="4">
        <v>45093</v>
      </c>
      <c r="AJ3007" s="3" t="s">
        <v>3149</v>
      </c>
      <c r="AK3007" s="3" t="s">
        <v>38</v>
      </c>
    </row>
    <row r="3008" spans="1:37" hidden="1" x14ac:dyDescent="0.25">
      <c r="A3008" t="str">
        <f t="shared" si="46"/>
        <v>2023_Qld_Gatton_Mixed_LightTOS1VarietySamiraWaterTrtIrrigatedAgronomy16_hr</v>
      </c>
      <c r="B3008" s="2">
        <v>2023036</v>
      </c>
      <c r="C3008" s="3" t="s">
        <v>3150</v>
      </c>
      <c r="D3008" s="3" t="s">
        <v>37</v>
      </c>
      <c r="E3008" s="3" t="s">
        <v>645</v>
      </c>
      <c r="F3008" s="3" t="s">
        <v>4183</v>
      </c>
      <c r="G3008" s="3" t="s">
        <v>43</v>
      </c>
      <c r="H3008" s="3" t="s">
        <v>253</v>
      </c>
      <c r="I3008" s="2">
        <v>1</v>
      </c>
      <c r="J3008" s="2">
        <v>1</v>
      </c>
      <c r="K3008" s="2">
        <v>1</v>
      </c>
      <c r="O3008" s="2">
        <v>1</v>
      </c>
      <c r="U3008" s="2">
        <v>1</v>
      </c>
      <c r="V3008" s="2">
        <v>3</v>
      </c>
      <c r="W3008" s="2">
        <v>1</v>
      </c>
      <c r="X3008" s="2">
        <v>1</v>
      </c>
      <c r="Z3008" s="2">
        <v>1</v>
      </c>
      <c r="AA3008" s="3" t="s">
        <v>57</v>
      </c>
      <c r="AB3008" s="2">
        <v>1</v>
      </c>
      <c r="AC3008" s="3" t="s">
        <v>3151</v>
      </c>
      <c r="AD3008" s="3" t="s">
        <v>3152</v>
      </c>
      <c r="AG3008" s="2">
        <v>1</v>
      </c>
      <c r="AH3008" s="3" t="s">
        <v>2072</v>
      </c>
      <c r="AI3008" s="4">
        <v>45072</v>
      </c>
      <c r="AJ3008" s="3" t="s">
        <v>3153</v>
      </c>
      <c r="AK3008" s="3" t="s">
        <v>645</v>
      </c>
    </row>
    <row r="3009" spans="1:37" hidden="1" x14ac:dyDescent="0.25">
      <c r="A3009" t="str">
        <f t="shared" si="46"/>
        <v>2023_Qld_Gatton_Mixed_LightTOS1VarietyMarneWaterTrtIrrigatedAgronomy16_hr</v>
      </c>
      <c r="B3009" s="2">
        <v>2023036</v>
      </c>
      <c r="C3009" s="3" t="s">
        <v>3150</v>
      </c>
      <c r="D3009" s="3" t="s">
        <v>37</v>
      </c>
      <c r="E3009" s="3" t="s">
        <v>645</v>
      </c>
      <c r="F3009" s="3" t="s">
        <v>4184</v>
      </c>
      <c r="G3009" s="3" t="s">
        <v>39</v>
      </c>
      <c r="H3009" s="3" t="s">
        <v>253</v>
      </c>
      <c r="I3009" s="2">
        <v>2</v>
      </c>
      <c r="J3009" s="2">
        <v>2</v>
      </c>
      <c r="K3009" s="2">
        <v>1</v>
      </c>
      <c r="O3009" s="2">
        <v>1</v>
      </c>
      <c r="U3009" s="2">
        <v>2</v>
      </c>
      <c r="V3009" s="2">
        <v>3</v>
      </c>
      <c r="W3009" s="2">
        <v>2</v>
      </c>
      <c r="X3009" s="2">
        <v>1</v>
      </c>
      <c r="Z3009" s="2">
        <v>2</v>
      </c>
      <c r="AA3009" s="3" t="s">
        <v>57</v>
      </c>
      <c r="AB3009" s="2">
        <v>3</v>
      </c>
      <c r="AC3009" s="3" t="s">
        <v>3151</v>
      </c>
      <c r="AD3009" s="3" t="s">
        <v>3152</v>
      </c>
      <c r="AG3009" s="2">
        <v>1</v>
      </c>
      <c r="AH3009" s="3" t="s">
        <v>2072</v>
      </c>
      <c r="AI3009" s="4">
        <v>45072</v>
      </c>
      <c r="AJ3009" s="3" t="s">
        <v>3154</v>
      </c>
      <c r="AK3009" s="3" t="s">
        <v>645</v>
      </c>
    </row>
    <row r="3010" spans="1:37" hidden="1" x14ac:dyDescent="0.25">
      <c r="A3010" t="str">
        <f t="shared" si="46"/>
        <v>2023_Qld_Gatton_Mixed_LightTOS1VarietyAmberleyWaterTrtIrrigatedAgronomy16_hr</v>
      </c>
      <c r="B3010" s="2">
        <v>2023036</v>
      </c>
      <c r="C3010" s="3" t="s">
        <v>3150</v>
      </c>
      <c r="D3010" s="3" t="s">
        <v>37</v>
      </c>
      <c r="E3010" s="3" t="s">
        <v>645</v>
      </c>
      <c r="F3010" s="3" t="s">
        <v>4185</v>
      </c>
      <c r="G3010" s="3" t="s">
        <v>39</v>
      </c>
      <c r="H3010" s="3" t="s">
        <v>253</v>
      </c>
      <c r="I3010" s="2">
        <v>3</v>
      </c>
      <c r="J3010" s="2">
        <v>3</v>
      </c>
      <c r="K3010" s="2">
        <v>1</v>
      </c>
      <c r="O3010" s="2">
        <v>1</v>
      </c>
      <c r="U3010" s="2">
        <v>3</v>
      </c>
      <c r="V3010" s="2">
        <v>3</v>
      </c>
      <c r="W3010" s="2">
        <v>3</v>
      </c>
      <c r="X3010" s="2">
        <v>1</v>
      </c>
      <c r="Z3010" s="2">
        <v>3</v>
      </c>
      <c r="AA3010" s="3" t="s">
        <v>57</v>
      </c>
      <c r="AB3010" s="2">
        <v>4</v>
      </c>
      <c r="AC3010" s="3" t="s">
        <v>3151</v>
      </c>
      <c r="AD3010" s="3" t="s">
        <v>3152</v>
      </c>
      <c r="AG3010" s="2">
        <v>1</v>
      </c>
      <c r="AH3010" s="3" t="s">
        <v>2072</v>
      </c>
      <c r="AI3010" s="4">
        <v>45072</v>
      </c>
      <c r="AJ3010" s="3" t="s">
        <v>3155</v>
      </c>
      <c r="AK3010" s="3" t="s">
        <v>645</v>
      </c>
    </row>
    <row r="3011" spans="1:37" hidden="1" x14ac:dyDescent="0.25">
      <c r="A3011" t="str">
        <f t="shared" ref="A3011:A3074" si="47">C3011&amp;"TOS"&amp;AG3011&amp;"Variety"&amp;F3011&amp;"WaterTrt"&amp;AA3011&amp;IF(AC3011="","","Agronomy"&amp;AC3011)</f>
        <v>2023_Qld_Gatton_Mixed_LightTOS1VarietyNasmaWaterTrtIrrigatedAgronomy16_hr</v>
      </c>
      <c r="B3011" s="2">
        <v>2023036</v>
      </c>
      <c r="C3011" s="3" t="s">
        <v>3150</v>
      </c>
      <c r="D3011" s="3" t="s">
        <v>37</v>
      </c>
      <c r="E3011" s="3" t="s">
        <v>645</v>
      </c>
      <c r="F3011" s="3" t="s">
        <v>4186</v>
      </c>
      <c r="G3011" s="3" t="s">
        <v>43</v>
      </c>
      <c r="H3011" s="3" t="s">
        <v>253</v>
      </c>
      <c r="I3011" s="2">
        <v>4</v>
      </c>
      <c r="J3011" s="2">
        <v>4</v>
      </c>
      <c r="K3011" s="2">
        <v>1</v>
      </c>
      <c r="O3011" s="2">
        <v>1</v>
      </c>
      <c r="U3011" s="2">
        <v>4</v>
      </c>
      <c r="V3011" s="2">
        <v>3</v>
      </c>
      <c r="W3011" s="2">
        <v>4</v>
      </c>
      <c r="X3011" s="2">
        <v>1</v>
      </c>
      <c r="Z3011" s="2">
        <v>4</v>
      </c>
      <c r="AA3011" s="3" t="s">
        <v>57</v>
      </c>
      <c r="AB3011" s="2">
        <v>2</v>
      </c>
      <c r="AC3011" s="3" t="s">
        <v>3151</v>
      </c>
      <c r="AD3011" s="3" t="s">
        <v>3152</v>
      </c>
      <c r="AG3011" s="2">
        <v>1</v>
      </c>
      <c r="AH3011" s="3" t="s">
        <v>2072</v>
      </c>
      <c r="AI3011" s="4">
        <v>45072</v>
      </c>
      <c r="AJ3011" s="3" t="s">
        <v>3156</v>
      </c>
      <c r="AK3011" s="3" t="s">
        <v>645</v>
      </c>
    </row>
    <row r="3012" spans="1:37" hidden="1" x14ac:dyDescent="0.25">
      <c r="A3012" t="str">
        <f t="shared" si="47"/>
        <v>2023_Qld_Gatton_Mixed_LightTOS1VarietyJindaleeWaterTrtIrrigatedAgronomy16_hr</v>
      </c>
      <c r="B3012" s="2">
        <v>2023036</v>
      </c>
      <c r="C3012" s="3" t="s">
        <v>3150</v>
      </c>
      <c r="D3012" s="3" t="s">
        <v>37</v>
      </c>
      <c r="E3012" s="3" t="s">
        <v>1931</v>
      </c>
      <c r="F3012" s="3" t="s">
        <v>2868</v>
      </c>
      <c r="G3012" s="3" t="s">
        <v>39</v>
      </c>
      <c r="H3012" s="3" t="s">
        <v>253</v>
      </c>
      <c r="I3012" s="2">
        <v>5</v>
      </c>
      <c r="J3012" s="2">
        <v>5</v>
      </c>
      <c r="K3012" s="2">
        <v>1</v>
      </c>
      <c r="O3012" s="2">
        <v>2</v>
      </c>
      <c r="U3012" s="2">
        <v>5</v>
      </c>
      <c r="V3012" s="2">
        <v>3</v>
      </c>
      <c r="W3012" s="2">
        <v>5</v>
      </c>
      <c r="X3012" s="2">
        <v>1</v>
      </c>
      <c r="Z3012" s="2">
        <v>5</v>
      </c>
      <c r="AA3012" s="3" t="s">
        <v>57</v>
      </c>
      <c r="AB3012" s="2">
        <v>11</v>
      </c>
      <c r="AC3012" s="3" t="s">
        <v>3151</v>
      </c>
      <c r="AD3012" s="3" t="s">
        <v>3152</v>
      </c>
      <c r="AG3012" s="2">
        <v>1</v>
      </c>
      <c r="AH3012" s="3" t="s">
        <v>2072</v>
      </c>
      <c r="AI3012" s="4">
        <v>45072</v>
      </c>
      <c r="AJ3012" s="3" t="s">
        <v>3157</v>
      </c>
      <c r="AK3012" s="3" t="s">
        <v>1931</v>
      </c>
    </row>
    <row r="3013" spans="1:37" hidden="1" x14ac:dyDescent="0.25">
      <c r="A3013" t="str">
        <f t="shared" si="47"/>
        <v>2023_Qld_Gatton_Mixed_LightTOS1VarietyWongaWaterTrtIrrigatedAgronomy16_hr</v>
      </c>
      <c r="B3013" s="2">
        <v>2023036</v>
      </c>
      <c r="C3013" s="3" t="s">
        <v>3150</v>
      </c>
      <c r="D3013" s="3" t="s">
        <v>37</v>
      </c>
      <c r="E3013" s="3" t="s">
        <v>1931</v>
      </c>
      <c r="F3013" s="3" t="s">
        <v>1932</v>
      </c>
      <c r="G3013" s="3" t="s">
        <v>39</v>
      </c>
      <c r="H3013" s="3" t="s">
        <v>253</v>
      </c>
      <c r="I3013" s="2">
        <v>6</v>
      </c>
      <c r="J3013" s="2">
        <v>6</v>
      </c>
      <c r="K3013" s="2">
        <v>1</v>
      </c>
      <c r="O3013" s="2">
        <v>2</v>
      </c>
      <c r="U3013" s="2">
        <v>6</v>
      </c>
      <c r="V3013" s="2">
        <v>3</v>
      </c>
      <c r="W3013" s="2">
        <v>6</v>
      </c>
      <c r="X3013" s="2">
        <v>1</v>
      </c>
      <c r="Z3013" s="2">
        <v>6</v>
      </c>
      <c r="AA3013" s="3" t="s">
        <v>57</v>
      </c>
      <c r="AB3013" s="2">
        <v>10</v>
      </c>
      <c r="AC3013" s="3" t="s">
        <v>3151</v>
      </c>
      <c r="AD3013" s="3" t="s">
        <v>3152</v>
      </c>
      <c r="AG3013" s="2">
        <v>1</v>
      </c>
      <c r="AH3013" s="3" t="s">
        <v>2072</v>
      </c>
      <c r="AI3013" s="4">
        <v>45072</v>
      </c>
      <c r="AJ3013" s="3" t="s">
        <v>3158</v>
      </c>
      <c r="AK3013" s="3" t="s">
        <v>1931</v>
      </c>
    </row>
    <row r="3014" spans="1:37" hidden="1" x14ac:dyDescent="0.25">
      <c r="A3014" t="str">
        <f t="shared" si="47"/>
        <v>2023_Qld_Gatton_Mixed_LightTOS1VarietyBatemanWaterTrtIrrigatedAgronomy16_hr</v>
      </c>
      <c r="B3014" s="2">
        <v>2023036</v>
      </c>
      <c r="C3014" s="3" t="s">
        <v>3150</v>
      </c>
      <c r="D3014" s="3" t="s">
        <v>37</v>
      </c>
      <c r="E3014" s="3" t="s">
        <v>1931</v>
      </c>
      <c r="F3014" s="3" t="s">
        <v>4195</v>
      </c>
      <c r="G3014" s="3" t="s">
        <v>43</v>
      </c>
      <c r="H3014" s="3" t="s">
        <v>253</v>
      </c>
      <c r="I3014" s="2">
        <v>7</v>
      </c>
      <c r="J3014" s="2">
        <v>7</v>
      </c>
      <c r="K3014" s="2">
        <v>1</v>
      </c>
      <c r="O3014" s="2">
        <v>2</v>
      </c>
      <c r="U3014" s="2">
        <v>7</v>
      </c>
      <c r="V3014" s="2">
        <v>3</v>
      </c>
      <c r="W3014" s="2">
        <v>7</v>
      </c>
      <c r="X3014" s="2">
        <v>1</v>
      </c>
      <c r="Z3014" s="2">
        <v>7</v>
      </c>
      <c r="AA3014" s="3" t="s">
        <v>57</v>
      </c>
      <c r="AB3014" s="2">
        <v>9</v>
      </c>
      <c r="AC3014" s="3" t="s">
        <v>3151</v>
      </c>
      <c r="AD3014" s="3" t="s">
        <v>3152</v>
      </c>
      <c r="AG3014" s="2">
        <v>1</v>
      </c>
      <c r="AH3014" s="3" t="s">
        <v>2072</v>
      </c>
      <c r="AI3014" s="4">
        <v>45072</v>
      </c>
      <c r="AJ3014" s="3" t="s">
        <v>3159</v>
      </c>
      <c r="AK3014" s="3" t="s">
        <v>1931</v>
      </c>
    </row>
    <row r="3015" spans="1:37" hidden="1" x14ac:dyDescent="0.25">
      <c r="A3015" t="str">
        <f t="shared" si="47"/>
        <v>2023_Qld_Gatton_Mixed_LightTOS1VarietyJurienWaterTrtIrrigatedAgronomy16_hr</v>
      </c>
      <c r="B3015" s="2">
        <v>2023036</v>
      </c>
      <c r="C3015" s="3" t="s">
        <v>3150</v>
      </c>
      <c r="D3015" s="3" t="s">
        <v>37</v>
      </c>
      <c r="E3015" s="3" t="s">
        <v>1931</v>
      </c>
      <c r="F3015" s="3" t="s">
        <v>4194</v>
      </c>
      <c r="G3015" s="3" t="s">
        <v>39</v>
      </c>
      <c r="H3015" s="3" t="s">
        <v>253</v>
      </c>
      <c r="I3015" s="2">
        <v>8</v>
      </c>
      <c r="J3015" s="2">
        <v>8</v>
      </c>
      <c r="K3015" s="2">
        <v>1</v>
      </c>
      <c r="O3015" s="2">
        <v>3</v>
      </c>
      <c r="U3015" s="2">
        <v>8</v>
      </c>
      <c r="V3015" s="2">
        <v>3</v>
      </c>
      <c r="W3015" s="2">
        <v>8</v>
      </c>
      <c r="X3015" s="2">
        <v>1</v>
      </c>
      <c r="Z3015" s="2">
        <v>8</v>
      </c>
      <c r="AA3015" s="3" t="s">
        <v>57</v>
      </c>
      <c r="AB3015" s="2">
        <v>5</v>
      </c>
      <c r="AC3015" s="3" t="s">
        <v>3151</v>
      </c>
      <c r="AD3015" s="3" t="s">
        <v>3152</v>
      </c>
      <c r="AG3015" s="2">
        <v>1</v>
      </c>
      <c r="AH3015" s="3" t="s">
        <v>2072</v>
      </c>
      <c r="AI3015" s="4">
        <v>45072</v>
      </c>
      <c r="AJ3015" s="3" t="s">
        <v>3160</v>
      </c>
      <c r="AK3015" s="3" t="s">
        <v>1931</v>
      </c>
    </row>
    <row r="3016" spans="1:37" hidden="1" x14ac:dyDescent="0.25">
      <c r="A3016" t="str">
        <f t="shared" si="47"/>
        <v>2023_Qld_Gatton_Mixed_LightTOS1VarietyHatTrickWaterTrtIrrigatedAgronomy16_hr</v>
      </c>
      <c r="B3016" s="2">
        <v>2023036</v>
      </c>
      <c r="C3016" s="3" t="s">
        <v>3150</v>
      </c>
      <c r="D3016" s="3" t="s">
        <v>37</v>
      </c>
      <c r="E3016" s="3" t="s">
        <v>248</v>
      </c>
      <c r="F3016" s="3" t="s">
        <v>4178</v>
      </c>
      <c r="G3016" s="3" t="s">
        <v>39</v>
      </c>
      <c r="H3016" s="3" t="s">
        <v>253</v>
      </c>
      <c r="I3016" s="2">
        <v>9</v>
      </c>
      <c r="J3016" s="2">
        <v>9</v>
      </c>
      <c r="K3016" s="2">
        <v>1</v>
      </c>
      <c r="O3016" s="2">
        <v>3</v>
      </c>
      <c r="U3016" s="2">
        <v>9</v>
      </c>
      <c r="V3016" s="2">
        <v>3</v>
      </c>
      <c r="W3016" s="2">
        <v>9</v>
      </c>
      <c r="X3016" s="2">
        <v>1</v>
      </c>
      <c r="Z3016" s="2">
        <v>9</v>
      </c>
      <c r="AA3016" s="3" t="s">
        <v>57</v>
      </c>
      <c r="AB3016" s="2">
        <v>6</v>
      </c>
      <c r="AC3016" s="3" t="s">
        <v>3151</v>
      </c>
      <c r="AD3016" s="3" t="s">
        <v>3152</v>
      </c>
      <c r="AG3016" s="2">
        <v>1</v>
      </c>
      <c r="AH3016" s="3" t="s">
        <v>2072</v>
      </c>
      <c r="AI3016" s="4">
        <v>45072</v>
      </c>
      <c r="AJ3016" s="3" t="s">
        <v>3161</v>
      </c>
      <c r="AK3016" s="3" t="s">
        <v>248</v>
      </c>
    </row>
    <row r="3017" spans="1:37" hidden="1" x14ac:dyDescent="0.25">
      <c r="A3017" t="str">
        <f t="shared" si="47"/>
        <v>2023_Qld_Gatton_Mixed_LightTOS1VarietyDrummondWaterTrtIrrigatedAgronomy16_hr</v>
      </c>
      <c r="B3017" s="2">
        <v>2023036</v>
      </c>
      <c r="C3017" s="3" t="s">
        <v>3150</v>
      </c>
      <c r="D3017" s="3" t="s">
        <v>37</v>
      </c>
      <c r="E3017" s="3" t="s">
        <v>248</v>
      </c>
      <c r="F3017" s="3" t="s">
        <v>4182</v>
      </c>
      <c r="G3017" s="3" t="s">
        <v>39</v>
      </c>
      <c r="H3017" s="3" t="s">
        <v>253</v>
      </c>
      <c r="I3017" s="2">
        <v>10</v>
      </c>
      <c r="J3017" s="2">
        <v>10</v>
      </c>
      <c r="K3017" s="2">
        <v>1</v>
      </c>
      <c r="O3017" s="2">
        <v>3</v>
      </c>
      <c r="U3017" s="2">
        <v>10</v>
      </c>
      <c r="V3017" s="2">
        <v>3</v>
      </c>
      <c r="W3017" s="2">
        <v>10</v>
      </c>
      <c r="X3017" s="2">
        <v>1</v>
      </c>
      <c r="Z3017" s="2">
        <v>10</v>
      </c>
      <c r="AA3017" s="3" t="s">
        <v>57</v>
      </c>
      <c r="AB3017" s="2">
        <v>7</v>
      </c>
      <c r="AC3017" s="3" t="s">
        <v>3151</v>
      </c>
      <c r="AD3017" s="3" t="s">
        <v>3152</v>
      </c>
      <c r="AG3017" s="2">
        <v>1</v>
      </c>
      <c r="AH3017" s="3" t="s">
        <v>2072</v>
      </c>
      <c r="AI3017" s="4">
        <v>45072</v>
      </c>
      <c r="AJ3017" s="3" t="s">
        <v>3162</v>
      </c>
      <c r="AK3017" s="3" t="s">
        <v>248</v>
      </c>
    </row>
    <row r="3018" spans="1:37" hidden="1" x14ac:dyDescent="0.25">
      <c r="A3018" t="str">
        <f t="shared" si="47"/>
        <v>2023_Qld_Gatton_Mixed_LightTOS1VarietyCBA_CaptainWaterTrtIrrigatedAgronomy16_hr</v>
      </c>
      <c r="B3018" s="2">
        <v>2023036</v>
      </c>
      <c r="C3018" s="3" t="s">
        <v>3150</v>
      </c>
      <c r="D3018" s="3" t="s">
        <v>37</v>
      </c>
      <c r="E3018" s="3" t="s">
        <v>248</v>
      </c>
      <c r="F3018" s="3" t="s">
        <v>249</v>
      </c>
      <c r="G3018" s="3" t="s">
        <v>43</v>
      </c>
      <c r="H3018" s="3" t="s">
        <v>253</v>
      </c>
      <c r="I3018" s="2">
        <v>11</v>
      </c>
      <c r="J3018" s="2">
        <v>11</v>
      </c>
      <c r="K3018" s="2">
        <v>1</v>
      </c>
      <c r="O3018" s="2">
        <v>3</v>
      </c>
      <c r="U3018" s="2">
        <v>11</v>
      </c>
      <c r="V3018" s="2">
        <v>3</v>
      </c>
      <c r="W3018" s="2">
        <v>11</v>
      </c>
      <c r="X3018" s="2">
        <v>1</v>
      </c>
      <c r="Z3018" s="2">
        <v>11</v>
      </c>
      <c r="AA3018" s="3" t="s">
        <v>57</v>
      </c>
      <c r="AB3018" s="2">
        <v>8</v>
      </c>
      <c r="AC3018" s="3" t="s">
        <v>3151</v>
      </c>
      <c r="AD3018" s="3" t="s">
        <v>3152</v>
      </c>
      <c r="AG3018" s="2">
        <v>1</v>
      </c>
      <c r="AH3018" s="3" t="s">
        <v>2072</v>
      </c>
      <c r="AI3018" s="4">
        <v>45072</v>
      </c>
      <c r="AJ3018" s="3" t="s">
        <v>3163</v>
      </c>
      <c r="AK3018" s="3" t="s">
        <v>248</v>
      </c>
    </row>
    <row r="3019" spans="1:37" hidden="1" x14ac:dyDescent="0.25">
      <c r="A3019" t="str">
        <f t="shared" si="47"/>
        <v>2023_Qld_Gatton_Mixed_LightTOS1VarietyKelpieXTWaterTrtIrrigatedAgronomy16_hr</v>
      </c>
      <c r="B3019" s="2">
        <v>2023036</v>
      </c>
      <c r="C3019" s="3" t="s">
        <v>3150</v>
      </c>
      <c r="D3019" s="3" t="s">
        <v>37</v>
      </c>
      <c r="E3019" s="3" t="s">
        <v>38</v>
      </c>
      <c r="F3019" s="3" t="s">
        <v>4188</v>
      </c>
      <c r="G3019" s="3" t="s">
        <v>43</v>
      </c>
      <c r="H3019" s="3" t="s">
        <v>253</v>
      </c>
      <c r="I3019" s="2">
        <v>12</v>
      </c>
      <c r="J3019" s="2">
        <v>12</v>
      </c>
      <c r="K3019" s="2">
        <v>1</v>
      </c>
      <c r="O3019" s="2">
        <v>4</v>
      </c>
      <c r="U3019" s="2">
        <v>12</v>
      </c>
      <c r="V3019" s="2">
        <v>3</v>
      </c>
      <c r="W3019" s="2">
        <v>12</v>
      </c>
      <c r="X3019" s="2">
        <v>1</v>
      </c>
      <c r="Z3019" s="2">
        <v>12</v>
      </c>
      <c r="AA3019" s="3" t="s">
        <v>57</v>
      </c>
      <c r="AB3019" s="2">
        <v>12</v>
      </c>
      <c r="AC3019" s="3" t="s">
        <v>3151</v>
      </c>
      <c r="AD3019" s="3" t="s">
        <v>3152</v>
      </c>
      <c r="AG3019" s="2">
        <v>1</v>
      </c>
      <c r="AH3019" s="3" t="s">
        <v>2072</v>
      </c>
      <c r="AI3019" s="4">
        <v>45072</v>
      </c>
      <c r="AJ3019" s="3" t="s">
        <v>3164</v>
      </c>
      <c r="AK3019" s="3" t="s">
        <v>38</v>
      </c>
    </row>
    <row r="3020" spans="1:37" hidden="1" x14ac:dyDescent="0.25">
      <c r="A3020" t="str">
        <f t="shared" si="47"/>
        <v>2023_Qld_Gatton_Mixed_LightTOS1VarietyMarneWaterTrtIrrigatedAgronomy16_hr</v>
      </c>
      <c r="B3020" s="2">
        <v>2023036</v>
      </c>
      <c r="C3020" s="3" t="s">
        <v>3150</v>
      </c>
      <c r="D3020" s="3" t="s">
        <v>37</v>
      </c>
      <c r="E3020" s="3" t="s">
        <v>645</v>
      </c>
      <c r="F3020" s="3" t="s">
        <v>4184</v>
      </c>
      <c r="G3020" s="3" t="s">
        <v>39</v>
      </c>
      <c r="H3020" s="3" t="s">
        <v>253</v>
      </c>
      <c r="I3020" s="2">
        <v>13</v>
      </c>
      <c r="J3020" s="2">
        <v>13</v>
      </c>
      <c r="K3020" s="2">
        <v>2</v>
      </c>
      <c r="O3020" s="2">
        <v>5</v>
      </c>
      <c r="U3020" s="2">
        <v>1</v>
      </c>
      <c r="V3020" s="2">
        <v>4</v>
      </c>
      <c r="W3020" s="2">
        <v>1</v>
      </c>
      <c r="X3020" s="2">
        <v>2</v>
      </c>
      <c r="Z3020" s="2">
        <v>24</v>
      </c>
      <c r="AA3020" s="3" t="s">
        <v>57</v>
      </c>
      <c r="AB3020" s="2">
        <v>12</v>
      </c>
      <c r="AC3020" s="3" t="s">
        <v>3151</v>
      </c>
      <c r="AD3020" s="3" t="s">
        <v>3152</v>
      </c>
      <c r="AG3020" s="2">
        <v>1</v>
      </c>
      <c r="AH3020" s="3" t="s">
        <v>2072</v>
      </c>
      <c r="AI3020" s="4">
        <v>45072</v>
      </c>
      <c r="AJ3020" s="3" t="s">
        <v>3165</v>
      </c>
      <c r="AK3020" s="3" t="s">
        <v>645</v>
      </c>
    </row>
    <row r="3021" spans="1:37" hidden="1" x14ac:dyDescent="0.25">
      <c r="A3021" t="str">
        <f t="shared" si="47"/>
        <v>2023_Qld_Gatton_Mixed_LightTOS1VarietyAmberleyWaterTrtIrrigatedAgronomy16_hr</v>
      </c>
      <c r="B3021" s="2">
        <v>2023036</v>
      </c>
      <c r="C3021" s="3" t="s">
        <v>3150</v>
      </c>
      <c r="D3021" s="3" t="s">
        <v>37</v>
      </c>
      <c r="E3021" s="3" t="s">
        <v>645</v>
      </c>
      <c r="F3021" s="3" t="s">
        <v>4185</v>
      </c>
      <c r="G3021" s="3" t="s">
        <v>39</v>
      </c>
      <c r="H3021" s="3" t="s">
        <v>253</v>
      </c>
      <c r="I3021" s="2">
        <v>14</v>
      </c>
      <c r="J3021" s="2">
        <v>14</v>
      </c>
      <c r="K3021" s="2">
        <v>2</v>
      </c>
      <c r="O3021" s="2">
        <v>6</v>
      </c>
      <c r="U3021" s="2">
        <v>2</v>
      </c>
      <c r="V3021" s="2">
        <v>4</v>
      </c>
      <c r="W3021" s="2">
        <v>2</v>
      </c>
      <c r="X3021" s="2">
        <v>2</v>
      </c>
      <c r="Z3021" s="2">
        <v>23</v>
      </c>
      <c r="AA3021" s="3" t="s">
        <v>57</v>
      </c>
      <c r="AB3021" s="2">
        <v>6</v>
      </c>
      <c r="AC3021" s="3" t="s">
        <v>3151</v>
      </c>
      <c r="AD3021" s="3" t="s">
        <v>3152</v>
      </c>
      <c r="AG3021" s="2">
        <v>1</v>
      </c>
      <c r="AH3021" s="3" t="s">
        <v>2072</v>
      </c>
      <c r="AI3021" s="4">
        <v>45072</v>
      </c>
      <c r="AJ3021" s="3" t="s">
        <v>3166</v>
      </c>
      <c r="AK3021" s="3" t="s">
        <v>645</v>
      </c>
    </row>
    <row r="3022" spans="1:37" hidden="1" x14ac:dyDescent="0.25">
      <c r="A3022" t="str">
        <f t="shared" si="47"/>
        <v>2023_Qld_Gatton_Mixed_LightTOS1VarietyNasmaWaterTrtIrrigatedAgronomy16_hr</v>
      </c>
      <c r="B3022" s="2">
        <v>2023036</v>
      </c>
      <c r="C3022" s="3" t="s">
        <v>3150</v>
      </c>
      <c r="D3022" s="3" t="s">
        <v>37</v>
      </c>
      <c r="E3022" s="3" t="s">
        <v>645</v>
      </c>
      <c r="F3022" s="3" t="s">
        <v>4186</v>
      </c>
      <c r="G3022" s="3" t="s">
        <v>43</v>
      </c>
      <c r="H3022" s="3" t="s">
        <v>253</v>
      </c>
      <c r="I3022" s="2">
        <v>15</v>
      </c>
      <c r="J3022" s="2">
        <v>15</v>
      </c>
      <c r="K3022" s="2">
        <v>2</v>
      </c>
      <c r="O3022" s="2">
        <v>6</v>
      </c>
      <c r="U3022" s="2">
        <v>3</v>
      </c>
      <c r="V3022" s="2">
        <v>4</v>
      </c>
      <c r="W3022" s="2">
        <v>3</v>
      </c>
      <c r="X3022" s="2">
        <v>2</v>
      </c>
      <c r="Z3022" s="2">
        <v>22</v>
      </c>
      <c r="AA3022" s="3" t="s">
        <v>57</v>
      </c>
      <c r="AB3022" s="2">
        <v>5</v>
      </c>
      <c r="AC3022" s="3" t="s">
        <v>3151</v>
      </c>
      <c r="AD3022" s="3" t="s">
        <v>3152</v>
      </c>
      <c r="AG3022" s="2">
        <v>1</v>
      </c>
      <c r="AH3022" s="3" t="s">
        <v>2072</v>
      </c>
      <c r="AI3022" s="4">
        <v>45072</v>
      </c>
      <c r="AJ3022" s="3" t="s">
        <v>3167</v>
      </c>
      <c r="AK3022" s="3" t="s">
        <v>645</v>
      </c>
    </row>
    <row r="3023" spans="1:37" hidden="1" x14ac:dyDescent="0.25">
      <c r="A3023" t="str">
        <f t="shared" si="47"/>
        <v>2023_Qld_Gatton_Mixed_LightTOS1VarietySamiraWaterTrtIrrigatedAgronomy16_hr</v>
      </c>
      <c r="B3023" s="2">
        <v>2023036</v>
      </c>
      <c r="C3023" s="3" t="s">
        <v>3150</v>
      </c>
      <c r="D3023" s="3" t="s">
        <v>37</v>
      </c>
      <c r="E3023" s="3" t="s">
        <v>645</v>
      </c>
      <c r="F3023" s="3" t="s">
        <v>4183</v>
      </c>
      <c r="G3023" s="3" t="s">
        <v>43</v>
      </c>
      <c r="H3023" s="3" t="s">
        <v>253</v>
      </c>
      <c r="I3023" s="2">
        <v>16</v>
      </c>
      <c r="J3023" s="2">
        <v>16</v>
      </c>
      <c r="K3023" s="2">
        <v>2</v>
      </c>
      <c r="O3023" s="2">
        <v>6</v>
      </c>
      <c r="U3023" s="2">
        <v>4</v>
      </c>
      <c r="V3023" s="2">
        <v>4</v>
      </c>
      <c r="W3023" s="2">
        <v>4</v>
      </c>
      <c r="X3023" s="2">
        <v>2</v>
      </c>
      <c r="Z3023" s="2">
        <v>21</v>
      </c>
      <c r="AA3023" s="3" t="s">
        <v>57</v>
      </c>
      <c r="AB3023" s="2">
        <v>8</v>
      </c>
      <c r="AC3023" s="3" t="s">
        <v>3151</v>
      </c>
      <c r="AD3023" s="3" t="s">
        <v>3152</v>
      </c>
      <c r="AG3023" s="2">
        <v>1</v>
      </c>
      <c r="AH3023" s="3" t="s">
        <v>2072</v>
      </c>
      <c r="AI3023" s="4">
        <v>45072</v>
      </c>
      <c r="AJ3023" s="3" t="s">
        <v>3168</v>
      </c>
      <c r="AK3023" s="3" t="s">
        <v>645</v>
      </c>
    </row>
    <row r="3024" spans="1:37" hidden="1" x14ac:dyDescent="0.25">
      <c r="A3024" t="str">
        <f t="shared" si="47"/>
        <v>2023_Qld_Gatton_Mixed_LightTOS1VarietyJurienWaterTrtIrrigatedAgronomy16_hr</v>
      </c>
      <c r="B3024" s="2">
        <v>2023036</v>
      </c>
      <c r="C3024" s="3" t="s">
        <v>3150</v>
      </c>
      <c r="D3024" s="3" t="s">
        <v>37</v>
      </c>
      <c r="E3024" s="3" t="s">
        <v>1931</v>
      </c>
      <c r="F3024" s="3" t="s">
        <v>4194</v>
      </c>
      <c r="G3024" s="3" t="s">
        <v>39</v>
      </c>
      <c r="H3024" s="3" t="s">
        <v>253</v>
      </c>
      <c r="I3024" s="2">
        <v>17</v>
      </c>
      <c r="J3024" s="2">
        <v>17</v>
      </c>
      <c r="K3024" s="2">
        <v>2</v>
      </c>
      <c r="O3024" s="2">
        <v>6</v>
      </c>
      <c r="U3024" s="2">
        <v>5</v>
      </c>
      <c r="V3024" s="2">
        <v>4</v>
      </c>
      <c r="W3024" s="2">
        <v>5</v>
      </c>
      <c r="X3024" s="2">
        <v>2</v>
      </c>
      <c r="Z3024" s="2">
        <v>20</v>
      </c>
      <c r="AA3024" s="3" t="s">
        <v>57</v>
      </c>
      <c r="AB3024" s="2">
        <v>7</v>
      </c>
      <c r="AC3024" s="3" t="s">
        <v>3151</v>
      </c>
      <c r="AD3024" s="3" t="s">
        <v>3152</v>
      </c>
      <c r="AG3024" s="2">
        <v>1</v>
      </c>
      <c r="AH3024" s="3" t="s">
        <v>2072</v>
      </c>
      <c r="AI3024" s="4">
        <v>45072</v>
      </c>
      <c r="AJ3024" s="3" t="s">
        <v>3169</v>
      </c>
      <c r="AK3024" s="3" t="s">
        <v>1931</v>
      </c>
    </row>
    <row r="3025" spans="1:37" hidden="1" x14ac:dyDescent="0.25">
      <c r="A3025" t="str">
        <f t="shared" si="47"/>
        <v>2023_Qld_Gatton_Mixed_LightTOS1VarietyJindaleeWaterTrtIrrigatedAgronomy16_hr</v>
      </c>
      <c r="B3025" s="2">
        <v>2023036</v>
      </c>
      <c r="C3025" s="3" t="s">
        <v>3150</v>
      </c>
      <c r="D3025" s="3" t="s">
        <v>37</v>
      </c>
      <c r="E3025" s="3" t="s">
        <v>1931</v>
      </c>
      <c r="F3025" s="3" t="s">
        <v>2868</v>
      </c>
      <c r="G3025" s="3" t="s">
        <v>39</v>
      </c>
      <c r="H3025" s="3" t="s">
        <v>253</v>
      </c>
      <c r="I3025" s="2">
        <v>18</v>
      </c>
      <c r="J3025" s="2">
        <v>18</v>
      </c>
      <c r="K3025" s="2">
        <v>2</v>
      </c>
      <c r="O3025" s="2">
        <v>7</v>
      </c>
      <c r="U3025" s="2">
        <v>6</v>
      </c>
      <c r="V3025" s="2">
        <v>4</v>
      </c>
      <c r="W3025" s="2">
        <v>6</v>
      </c>
      <c r="X3025" s="2">
        <v>2</v>
      </c>
      <c r="Z3025" s="2">
        <v>19</v>
      </c>
      <c r="AA3025" s="3" t="s">
        <v>57</v>
      </c>
      <c r="AB3025" s="2">
        <v>9</v>
      </c>
      <c r="AC3025" s="3" t="s">
        <v>3151</v>
      </c>
      <c r="AD3025" s="3" t="s">
        <v>3152</v>
      </c>
      <c r="AG3025" s="2">
        <v>1</v>
      </c>
      <c r="AH3025" s="3" t="s">
        <v>2072</v>
      </c>
      <c r="AI3025" s="4">
        <v>45072</v>
      </c>
      <c r="AJ3025" s="3" t="s">
        <v>3170</v>
      </c>
      <c r="AK3025" s="3" t="s">
        <v>1931</v>
      </c>
    </row>
    <row r="3026" spans="1:37" hidden="1" x14ac:dyDescent="0.25">
      <c r="A3026" t="str">
        <f t="shared" si="47"/>
        <v>2023_Qld_Gatton_Mixed_LightTOS1VarietyWongaWaterTrtIrrigatedAgronomy16_hr</v>
      </c>
      <c r="B3026" s="2">
        <v>2023036</v>
      </c>
      <c r="C3026" s="3" t="s">
        <v>3150</v>
      </c>
      <c r="D3026" s="3" t="s">
        <v>37</v>
      </c>
      <c r="E3026" s="3" t="s">
        <v>1931</v>
      </c>
      <c r="F3026" s="3" t="s">
        <v>1932</v>
      </c>
      <c r="G3026" s="3" t="s">
        <v>39</v>
      </c>
      <c r="H3026" s="3" t="s">
        <v>253</v>
      </c>
      <c r="I3026" s="2">
        <v>19</v>
      </c>
      <c r="J3026" s="2">
        <v>19</v>
      </c>
      <c r="K3026" s="2">
        <v>2</v>
      </c>
      <c r="O3026" s="2">
        <v>7</v>
      </c>
      <c r="U3026" s="2">
        <v>7</v>
      </c>
      <c r="V3026" s="2">
        <v>4</v>
      </c>
      <c r="W3026" s="2">
        <v>7</v>
      </c>
      <c r="X3026" s="2">
        <v>2</v>
      </c>
      <c r="Z3026" s="2">
        <v>18</v>
      </c>
      <c r="AA3026" s="3" t="s">
        <v>57</v>
      </c>
      <c r="AB3026" s="2">
        <v>11</v>
      </c>
      <c r="AC3026" s="3" t="s">
        <v>3151</v>
      </c>
      <c r="AD3026" s="3" t="s">
        <v>3152</v>
      </c>
      <c r="AG3026" s="2">
        <v>1</v>
      </c>
      <c r="AH3026" s="3" t="s">
        <v>2072</v>
      </c>
      <c r="AI3026" s="4">
        <v>45072</v>
      </c>
      <c r="AJ3026" s="3" t="s">
        <v>3171</v>
      </c>
      <c r="AK3026" s="3" t="s">
        <v>1931</v>
      </c>
    </row>
    <row r="3027" spans="1:37" hidden="1" x14ac:dyDescent="0.25">
      <c r="A3027" t="str">
        <f t="shared" si="47"/>
        <v>2023_Qld_Gatton_Mixed_LightTOS1VarietyBatemanWaterTrtIrrigatedAgronomy16_hr</v>
      </c>
      <c r="B3027" s="2">
        <v>2023036</v>
      </c>
      <c r="C3027" s="3" t="s">
        <v>3150</v>
      </c>
      <c r="D3027" s="3" t="s">
        <v>37</v>
      </c>
      <c r="E3027" s="3" t="s">
        <v>1931</v>
      </c>
      <c r="F3027" s="3" t="s">
        <v>4195</v>
      </c>
      <c r="G3027" s="3" t="s">
        <v>43</v>
      </c>
      <c r="H3027" s="3" t="s">
        <v>253</v>
      </c>
      <c r="I3027" s="2">
        <v>20</v>
      </c>
      <c r="J3027" s="2">
        <v>20</v>
      </c>
      <c r="K3027" s="2">
        <v>2</v>
      </c>
      <c r="O3027" s="2">
        <v>7</v>
      </c>
      <c r="U3027" s="2">
        <v>8</v>
      </c>
      <c r="V3027" s="2">
        <v>4</v>
      </c>
      <c r="W3027" s="2">
        <v>8</v>
      </c>
      <c r="X3027" s="2">
        <v>2</v>
      </c>
      <c r="Z3027" s="2">
        <v>17</v>
      </c>
      <c r="AA3027" s="3" t="s">
        <v>57</v>
      </c>
      <c r="AB3027" s="2">
        <v>10</v>
      </c>
      <c r="AC3027" s="3" t="s">
        <v>3151</v>
      </c>
      <c r="AD3027" s="3" t="s">
        <v>3152</v>
      </c>
      <c r="AG3027" s="2">
        <v>1</v>
      </c>
      <c r="AH3027" s="3" t="s">
        <v>2072</v>
      </c>
      <c r="AI3027" s="4">
        <v>45072</v>
      </c>
      <c r="AJ3027" s="3" t="s">
        <v>3172</v>
      </c>
      <c r="AK3027" s="3" t="s">
        <v>1931</v>
      </c>
    </row>
    <row r="3028" spans="1:37" hidden="1" x14ac:dyDescent="0.25">
      <c r="A3028" t="str">
        <f t="shared" si="47"/>
        <v>2023_Qld_Gatton_Mixed_LightTOS1VarietyKelpieXTWaterTrtIrrigatedAgronomy16_hr</v>
      </c>
      <c r="B3028" s="2">
        <v>2023036</v>
      </c>
      <c r="C3028" s="3" t="s">
        <v>3150</v>
      </c>
      <c r="D3028" s="3" t="s">
        <v>37</v>
      </c>
      <c r="E3028" s="3" t="s">
        <v>38</v>
      </c>
      <c r="F3028" s="3" t="s">
        <v>4188</v>
      </c>
      <c r="G3028" s="3" t="s">
        <v>43</v>
      </c>
      <c r="H3028" s="3" t="s">
        <v>253</v>
      </c>
      <c r="I3028" s="2">
        <v>21</v>
      </c>
      <c r="J3028" s="2">
        <v>21</v>
      </c>
      <c r="K3028" s="2">
        <v>2</v>
      </c>
      <c r="O3028" s="2">
        <v>8</v>
      </c>
      <c r="U3028" s="2">
        <v>9</v>
      </c>
      <c r="V3028" s="2">
        <v>4</v>
      </c>
      <c r="W3028" s="2">
        <v>9</v>
      </c>
      <c r="X3028" s="2">
        <v>2</v>
      </c>
      <c r="Z3028" s="2">
        <v>16</v>
      </c>
      <c r="AA3028" s="3" t="s">
        <v>57</v>
      </c>
      <c r="AB3028" s="2">
        <v>3</v>
      </c>
      <c r="AC3028" s="3" t="s">
        <v>3151</v>
      </c>
      <c r="AD3028" s="3" t="s">
        <v>3152</v>
      </c>
      <c r="AG3028" s="2">
        <v>1</v>
      </c>
      <c r="AH3028" s="3" t="s">
        <v>2072</v>
      </c>
      <c r="AI3028" s="4">
        <v>45072</v>
      </c>
      <c r="AJ3028" s="3" t="s">
        <v>3173</v>
      </c>
      <c r="AK3028" s="3" t="s">
        <v>38</v>
      </c>
    </row>
    <row r="3029" spans="1:37" hidden="1" x14ac:dyDescent="0.25">
      <c r="A3029" t="str">
        <f t="shared" si="47"/>
        <v>2023_Qld_Gatton_Mixed_LightTOS1VarietyHatTrickWaterTrtIrrigatedAgronomy16_hr</v>
      </c>
      <c r="B3029" s="2">
        <v>2023036</v>
      </c>
      <c r="C3029" s="3" t="s">
        <v>3150</v>
      </c>
      <c r="D3029" s="3" t="s">
        <v>37</v>
      </c>
      <c r="E3029" s="3" t="s">
        <v>248</v>
      </c>
      <c r="F3029" s="3" t="s">
        <v>4178</v>
      </c>
      <c r="G3029" s="3" t="s">
        <v>39</v>
      </c>
      <c r="H3029" s="3" t="s">
        <v>253</v>
      </c>
      <c r="I3029" s="2">
        <v>22</v>
      </c>
      <c r="J3029" s="2">
        <v>22</v>
      </c>
      <c r="K3029" s="2">
        <v>2</v>
      </c>
      <c r="O3029" s="2">
        <v>8</v>
      </c>
      <c r="U3029" s="2">
        <v>10</v>
      </c>
      <c r="V3029" s="2">
        <v>4</v>
      </c>
      <c r="W3029" s="2">
        <v>10</v>
      </c>
      <c r="X3029" s="2">
        <v>2</v>
      </c>
      <c r="Z3029" s="2">
        <v>15</v>
      </c>
      <c r="AA3029" s="3" t="s">
        <v>57</v>
      </c>
      <c r="AB3029" s="2">
        <v>4</v>
      </c>
      <c r="AC3029" s="3" t="s">
        <v>3151</v>
      </c>
      <c r="AD3029" s="3" t="s">
        <v>3152</v>
      </c>
      <c r="AG3029" s="2">
        <v>1</v>
      </c>
      <c r="AH3029" s="3" t="s">
        <v>2072</v>
      </c>
      <c r="AI3029" s="4">
        <v>45072</v>
      </c>
      <c r="AJ3029" s="3" t="s">
        <v>3174</v>
      </c>
      <c r="AK3029" s="3" t="s">
        <v>248</v>
      </c>
    </row>
    <row r="3030" spans="1:37" hidden="1" x14ac:dyDescent="0.25">
      <c r="A3030" t="str">
        <f t="shared" si="47"/>
        <v>2023_Qld_Gatton_Mixed_LightTOS1VarietyDrummondWaterTrtIrrigatedAgronomy16_hr</v>
      </c>
      <c r="B3030" s="2">
        <v>2023036</v>
      </c>
      <c r="C3030" s="3" t="s">
        <v>3150</v>
      </c>
      <c r="D3030" s="3" t="s">
        <v>37</v>
      </c>
      <c r="E3030" s="3" t="s">
        <v>248</v>
      </c>
      <c r="F3030" s="3" t="s">
        <v>4182</v>
      </c>
      <c r="G3030" s="3" t="s">
        <v>39</v>
      </c>
      <c r="H3030" s="3" t="s">
        <v>253</v>
      </c>
      <c r="I3030" s="2">
        <v>23</v>
      </c>
      <c r="J3030" s="2">
        <v>23</v>
      </c>
      <c r="K3030" s="2">
        <v>2</v>
      </c>
      <c r="O3030" s="2">
        <v>8</v>
      </c>
      <c r="U3030" s="2">
        <v>11</v>
      </c>
      <c r="V3030" s="2">
        <v>4</v>
      </c>
      <c r="W3030" s="2">
        <v>11</v>
      </c>
      <c r="X3030" s="2">
        <v>2</v>
      </c>
      <c r="Z3030" s="2">
        <v>14</v>
      </c>
      <c r="AA3030" s="3" t="s">
        <v>57</v>
      </c>
      <c r="AB3030" s="2">
        <v>2</v>
      </c>
      <c r="AC3030" s="3" t="s">
        <v>3151</v>
      </c>
      <c r="AD3030" s="3" t="s">
        <v>3152</v>
      </c>
      <c r="AG3030" s="2">
        <v>1</v>
      </c>
      <c r="AH3030" s="3" t="s">
        <v>2072</v>
      </c>
      <c r="AI3030" s="4">
        <v>45072</v>
      </c>
      <c r="AJ3030" s="3" t="s">
        <v>3175</v>
      </c>
      <c r="AK3030" s="3" t="s">
        <v>248</v>
      </c>
    </row>
    <row r="3031" spans="1:37" hidden="1" x14ac:dyDescent="0.25">
      <c r="A3031" t="str">
        <f t="shared" si="47"/>
        <v>2023_Qld_Gatton_Mixed_LightTOS1VarietyCBA_CaptainWaterTrtIrrigatedAgronomy16_hr</v>
      </c>
      <c r="B3031" s="2">
        <v>2023036</v>
      </c>
      <c r="C3031" s="3" t="s">
        <v>3150</v>
      </c>
      <c r="D3031" s="3" t="s">
        <v>37</v>
      </c>
      <c r="E3031" s="3" t="s">
        <v>248</v>
      </c>
      <c r="F3031" s="3" t="s">
        <v>249</v>
      </c>
      <c r="G3031" s="3" t="s">
        <v>43</v>
      </c>
      <c r="H3031" s="3" t="s">
        <v>253</v>
      </c>
      <c r="I3031" s="2">
        <v>24</v>
      </c>
      <c r="J3031" s="2">
        <v>24</v>
      </c>
      <c r="K3031" s="2">
        <v>2</v>
      </c>
      <c r="O3031" s="2">
        <v>8</v>
      </c>
      <c r="U3031" s="2">
        <v>12</v>
      </c>
      <c r="V3031" s="2">
        <v>4</v>
      </c>
      <c r="W3031" s="2">
        <v>12</v>
      </c>
      <c r="X3031" s="2">
        <v>2</v>
      </c>
      <c r="Z3031" s="2">
        <v>13</v>
      </c>
      <c r="AA3031" s="3" t="s">
        <v>57</v>
      </c>
      <c r="AB3031" s="2">
        <v>1</v>
      </c>
      <c r="AC3031" s="3" t="s">
        <v>3151</v>
      </c>
      <c r="AD3031" s="3" t="s">
        <v>3152</v>
      </c>
      <c r="AG3031" s="2">
        <v>1</v>
      </c>
      <c r="AH3031" s="3" t="s">
        <v>2072</v>
      </c>
      <c r="AI3031" s="4">
        <v>45072</v>
      </c>
      <c r="AJ3031" s="3" t="s">
        <v>3176</v>
      </c>
      <c r="AK3031" s="3" t="s">
        <v>248</v>
      </c>
    </row>
    <row r="3032" spans="1:37" hidden="1" x14ac:dyDescent="0.25">
      <c r="A3032" t="str">
        <f t="shared" si="47"/>
        <v>2023_Qld_Gatton_Mixed_LightTOS1VarietyHatTrickWaterTrtIrrigatedAgronomy16_hr</v>
      </c>
      <c r="B3032" s="2">
        <v>2023036</v>
      </c>
      <c r="C3032" s="3" t="s">
        <v>3150</v>
      </c>
      <c r="D3032" s="3" t="s">
        <v>37</v>
      </c>
      <c r="E3032" s="3" t="s">
        <v>248</v>
      </c>
      <c r="F3032" s="3" t="s">
        <v>4178</v>
      </c>
      <c r="G3032" s="3" t="s">
        <v>39</v>
      </c>
      <c r="H3032" s="3" t="s">
        <v>253</v>
      </c>
      <c r="I3032" s="2">
        <v>25</v>
      </c>
      <c r="J3032" s="2">
        <v>25</v>
      </c>
      <c r="K3032" s="2">
        <v>3</v>
      </c>
      <c r="O3032" s="2">
        <v>9</v>
      </c>
      <c r="U3032" s="2">
        <v>1</v>
      </c>
      <c r="V3032" s="2">
        <v>5</v>
      </c>
      <c r="W3032" s="2">
        <v>1</v>
      </c>
      <c r="X3032" s="2">
        <v>3</v>
      </c>
      <c r="Z3032" s="2">
        <v>25</v>
      </c>
      <c r="AA3032" s="3" t="s">
        <v>57</v>
      </c>
      <c r="AB3032" s="2">
        <v>10</v>
      </c>
      <c r="AC3032" s="3" t="s">
        <v>3151</v>
      </c>
      <c r="AD3032" s="3" t="s">
        <v>3152</v>
      </c>
      <c r="AG3032" s="2">
        <v>1</v>
      </c>
      <c r="AH3032" s="3" t="s">
        <v>2072</v>
      </c>
      <c r="AI3032" s="4">
        <v>45072</v>
      </c>
      <c r="AJ3032" s="3" t="s">
        <v>3177</v>
      </c>
      <c r="AK3032" s="3" t="s">
        <v>248</v>
      </c>
    </row>
    <row r="3033" spans="1:37" hidden="1" x14ac:dyDescent="0.25">
      <c r="A3033" t="str">
        <f t="shared" si="47"/>
        <v>2023_Qld_Gatton_Mixed_LightTOS1VarietyDrummondWaterTrtIrrigatedAgronomy16_hr</v>
      </c>
      <c r="B3033" s="2">
        <v>2023036</v>
      </c>
      <c r="C3033" s="3" t="s">
        <v>3150</v>
      </c>
      <c r="D3033" s="3" t="s">
        <v>37</v>
      </c>
      <c r="E3033" s="3" t="s">
        <v>248</v>
      </c>
      <c r="F3033" s="3" t="s">
        <v>4182</v>
      </c>
      <c r="G3033" s="3" t="s">
        <v>39</v>
      </c>
      <c r="H3033" s="3" t="s">
        <v>253</v>
      </c>
      <c r="I3033" s="2">
        <v>26</v>
      </c>
      <c r="J3033" s="2">
        <v>26</v>
      </c>
      <c r="K3033" s="2">
        <v>3</v>
      </c>
      <c r="O3033" s="2">
        <v>9</v>
      </c>
      <c r="U3033" s="2">
        <v>2</v>
      </c>
      <c r="V3033" s="2">
        <v>5</v>
      </c>
      <c r="W3033" s="2">
        <v>2</v>
      </c>
      <c r="X3033" s="2">
        <v>3</v>
      </c>
      <c r="Z3033" s="2">
        <v>26</v>
      </c>
      <c r="AA3033" s="3" t="s">
        <v>57</v>
      </c>
      <c r="AB3033" s="2">
        <v>11</v>
      </c>
      <c r="AC3033" s="3" t="s">
        <v>3151</v>
      </c>
      <c r="AD3033" s="3" t="s">
        <v>3152</v>
      </c>
      <c r="AG3033" s="2">
        <v>1</v>
      </c>
      <c r="AH3033" s="3" t="s">
        <v>2072</v>
      </c>
      <c r="AI3033" s="4">
        <v>45072</v>
      </c>
      <c r="AJ3033" s="3" t="s">
        <v>3178</v>
      </c>
      <c r="AK3033" s="3" t="s">
        <v>248</v>
      </c>
    </row>
    <row r="3034" spans="1:37" hidden="1" x14ac:dyDescent="0.25">
      <c r="A3034" t="str">
        <f t="shared" si="47"/>
        <v>2023_Qld_Gatton_Mixed_LightTOS1VarietyCBA_CaptainWaterTrtIrrigatedAgronomy16_hr</v>
      </c>
      <c r="B3034" s="2">
        <v>2023036</v>
      </c>
      <c r="C3034" s="3" t="s">
        <v>3150</v>
      </c>
      <c r="D3034" s="3" t="s">
        <v>37</v>
      </c>
      <c r="E3034" s="3" t="s">
        <v>248</v>
      </c>
      <c r="F3034" s="3" t="s">
        <v>249</v>
      </c>
      <c r="G3034" s="3" t="s">
        <v>43</v>
      </c>
      <c r="H3034" s="3" t="s">
        <v>253</v>
      </c>
      <c r="I3034" s="2">
        <v>27</v>
      </c>
      <c r="J3034" s="2">
        <v>27</v>
      </c>
      <c r="K3034" s="2">
        <v>3</v>
      </c>
      <c r="O3034" s="2">
        <v>9</v>
      </c>
      <c r="U3034" s="2">
        <v>3</v>
      </c>
      <c r="V3034" s="2">
        <v>5</v>
      </c>
      <c r="W3034" s="2">
        <v>3</v>
      </c>
      <c r="X3034" s="2">
        <v>3</v>
      </c>
      <c r="Z3034" s="2">
        <v>27</v>
      </c>
      <c r="AA3034" s="3" t="s">
        <v>57</v>
      </c>
      <c r="AB3034" s="2">
        <v>9</v>
      </c>
      <c r="AC3034" s="3" t="s">
        <v>3151</v>
      </c>
      <c r="AD3034" s="3" t="s">
        <v>3152</v>
      </c>
      <c r="AG3034" s="2">
        <v>1</v>
      </c>
      <c r="AH3034" s="3" t="s">
        <v>2072</v>
      </c>
      <c r="AI3034" s="4">
        <v>45072</v>
      </c>
      <c r="AJ3034" s="3" t="s">
        <v>3179</v>
      </c>
      <c r="AK3034" s="3" t="s">
        <v>248</v>
      </c>
    </row>
    <row r="3035" spans="1:37" hidden="1" x14ac:dyDescent="0.25">
      <c r="A3035" t="str">
        <f t="shared" si="47"/>
        <v>2023_Qld_Gatton_Mixed_LightTOS1VarietyKelpieXTWaterTrtIrrigatedAgronomy16_hr</v>
      </c>
      <c r="B3035" s="2">
        <v>2023036</v>
      </c>
      <c r="C3035" s="3" t="s">
        <v>3150</v>
      </c>
      <c r="D3035" s="3" t="s">
        <v>37</v>
      </c>
      <c r="E3035" s="3" t="s">
        <v>38</v>
      </c>
      <c r="F3035" s="3" t="s">
        <v>4188</v>
      </c>
      <c r="G3035" s="3" t="s">
        <v>43</v>
      </c>
      <c r="H3035" s="3" t="s">
        <v>253</v>
      </c>
      <c r="I3035" s="2">
        <v>28</v>
      </c>
      <c r="J3035" s="2">
        <v>28</v>
      </c>
      <c r="K3035" s="2">
        <v>3</v>
      </c>
      <c r="O3035" s="2">
        <v>10</v>
      </c>
      <c r="U3035" s="2">
        <v>4</v>
      </c>
      <c r="V3035" s="2">
        <v>5</v>
      </c>
      <c r="W3035" s="2">
        <v>4</v>
      </c>
      <c r="X3035" s="2">
        <v>3</v>
      </c>
      <c r="Z3035" s="2">
        <v>28</v>
      </c>
      <c r="AA3035" s="3" t="s">
        <v>57</v>
      </c>
      <c r="AB3035" s="2">
        <v>12</v>
      </c>
      <c r="AC3035" s="3" t="s">
        <v>3151</v>
      </c>
      <c r="AD3035" s="3" t="s">
        <v>3152</v>
      </c>
      <c r="AG3035" s="2">
        <v>1</v>
      </c>
      <c r="AH3035" s="3" t="s">
        <v>2072</v>
      </c>
      <c r="AI3035" s="4">
        <v>45072</v>
      </c>
      <c r="AJ3035" s="3" t="s">
        <v>3180</v>
      </c>
      <c r="AK3035" s="3" t="s">
        <v>38</v>
      </c>
    </row>
    <row r="3036" spans="1:37" hidden="1" x14ac:dyDescent="0.25">
      <c r="A3036" t="str">
        <f t="shared" si="47"/>
        <v>2023_Qld_Gatton_Mixed_LightTOS1VarietySamiraWaterTrtIrrigatedAgronomy16_hr</v>
      </c>
      <c r="B3036" s="2">
        <v>2023036</v>
      </c>
      <c r="C3036" s="3" t="s">
        <v>3150</v>
      </c>
      <c r="D3036" s="3" t="s">
        <v>37</v>
      </c>
      <c r="E3036" s="3" t="s">
        <v>645</v>
      </c>
      <c r="F3036" s="3" t="s">
        <v>4183</v>
      </c>
      <c r="G3036" s="3" t="s">
        <v>43</v>
      </c>
      <c r="H3036" s="3" t="s">
        <v>253</v>
      </c>
      <c r="I3036" s="2">
        <v>29</v>
      </c>
      <c r="J3036" s="2">
        <v>29</v>
      </c>
      <c r="K3036" s="2">
        <v>3</v>
      </c>
      <c r="O3036" s="2">
        <v>11</v>
      </c>
      <c r="U3036" s="2">
        <v>5</v>
      </c>
      <c r="V3036" s="2">
        <v>5</v>
      </c>
      <c r="W3036" s="2">
        <v>5</v>
      </c>
      <c r="X3036" s="2">
        <v>3</v>
      </c>
      <c r="Z3036" s="2">
        <v>29</v>
      </c>
      <c r="AA3036" s="3" t="s">
        <v>57</v>
      </c>
      <c r="AB3036" s="2">
        <v>3</v>
      </c>
      <c r="AC3036" s="3" t="s">
        <v>3151</v>
      </c>
      <c r="AD3036" s="3" t="s">
        <v>3152</v>
      </c>
      <c r="AG3036" s="2">
        <v>1</v>
      </c>
      <c r="AH3036" s="3" t="s">
        <v>2072</v>
      </c>
      <c r="AI3036" s="4">
        <v>45072</v>
      </c>
      <c r="AJ3036" s="3" t="s">
        <v>3181</v>
      </c>
      <c r="AK3036" s="3" t="s">
        <v>645</v>
      </c>
    </row>
    <row r="3037" spans="1:37" hidden="1" x14ac:dyDescent="0.25">
      <c r="A3037" t="str">
        <f t="shared" si="47"/>
        <v>2023_Qld_Gatton_Mixed_LightTOS1VarietyMarneWaterTrtIrrigatedAgronomy16_hr</v>
      </c>
      <c r="B3037" s="2">
        <v>2023036</v>
      </c>
      <c r="C3037" s="3" t="s">
        <v>3150</v>
      </c>
      <c r="D3037" s="3" t="s">
        <v>37</v>
      </c>
      <c r="E3037" s="3" t="s">
        <v>645</v>
      </c>
      <c r="F3037" s="3" t="s">
        <v>4184</v>
      </c>
      <c r="G3037" s="3" t="s">
        <v>39</v>
      </c>
      <c r="H3037" s="3" t="s">
        <v>253</v>
      </c>
      <c r="I3037" s="2">
        <v>30</v>
      </c>
      <c r="J3037" s="2">
        <v>30</v>
      </c>
      <c r="K3037" s="2">
        <v>3</v>
      </c>
      <c r="O3037" s="2">
        <v>11</v>
      </c>
      <c r="U3037" s="2">
        <v>6</v>
      </c>
      <c r="V3037" s="2">
        <v>5</v>
      </c>
      <c r="W3037" s="2">
        <v>6</v>
      </c>
      <c r="X3037" s="2">
        <v>3</v>
      </c>
      <c r="Z3037" s="2">
        <v>30</v>
      </c>
      <c r="AA3037" s="3" t="s">
        <v>57</v>
      </c>
      <c r="AB3037" s="2">
        <v>2</v>
      </c>
      <c r="AC3037" s="3" t="s">
        <v>3151</v>
      </c>
      <c r="AD3037" s="3" t="s">
        <v>3152</v>
      </c>
      <c r="AG3037" s="2">
        <v>1</v>
      </c>
      <c r="AH3037" s="3" t="s">
        <v>2072</v>
      </c>
      <c r="AI3037" s="4">
        <v>45072</v>
      </c>
      <c r="AJ3037" s="3" t="s">
        <v>3182</v>
      </c>
      <c r="AK3037" s="3" t="s">
        <v>645</v>
      </c>
    </row>
    <row r="3038" spans="1:37" hidden="1" x14ac:dyDescent="0.25">
      <c r="A3038" t="str">
        <f t="shared" si="47"/>
        <v>2023_Qld_Gatton_Mixed_LightTOS1VarietyAmberleyWaterTrtIrrigatedAgronomy16_hr</v>
      </c>
      <c r="B3038" s="2">
        <v>2023036</v>
      </c>
      <c r="C3038" s="3" t="s">
        <v>3150</v>
      </c>
      <c r="D3038" s="3" t="s">
        <v>37</v>
      </c>
      <c r="E3038" s="3" t="s">
        <v>645</v>
      </c>
      <c r="F3038" s="3" t="s">
        <v>4185</v>
      </c>
      <c r="G3038" s="3" t="s">
        <v>39</v>
      </c>
      <c r="H3038" s="3" t="s">
        <v>253</v>
      </c>
      <c r="I3038" s="2">
        <v>31</v>
      </c>
      <c r="J3038" s="2">
        <v>31</v>
      </c>
      <c r="K3038" s="2">
        <v>3</v>
      </c>
      <c r="O3038" s="2">
        <v>11</v>
      </c>
      <c r="U3038" s="2">
        <v>7</v>
      </c>
      <c r="V3038" s="2">
        <v>5</v>
      </c>
      <c r="W3038" s="2">
        <v>7</v>
      </c>
      <c r="X3038" s="2">
        <v>3</v>
      </c>
      <c r="Z3038" s="2">
        <v>31</v>
      </c>
      <c r="AA3038" s="3" t="s">
        <v>57</v>
      </c>
      <c r="AB3038" s="2">
        <v>1</v>
      </c>
      <c r="AC3038" s="3" t="s">
        <v>3151</v>
      </c>
      <c r="AD3038" s="3" t="s">
        <v>3152</v>
      </c>
      <c r="AG3038" s="2">
        <v>1</v>
      </c>
      <c r="AH3038" s="3" t="s">
        <v>2072</v>
      </c>
      <c r="AI3038" s="4">
        <v>45072</v>
      </c>
      <c r="AJ3038" s="3" t="s">
        <v>3183</v>
      </c>
      <c r="AK3038" s="3" t="s">
        <v>645</v>
      </c>
    </row>
    <row r="3039" spans="1:37" hidden="1" x14ac:dyDescent="0.25">
      <c r="A3039" t="str">
        <f t="shared" si="47"/>
        <v>2023_Qld_Gatton_Mixed_LightTOS1VarietyNasmaWaterTrtIrrigatedAgronomy16_hr</v>
      </c>
      <c r="B3039" s="2">
        <v>2023036</v>
      </c>
      <c r="C3039" s="3" t="s">
        <v>3150</v>
      </c>
      <c r="D3039" s="3" t="s">
        <v>37</v>
      </c>
      <c r="E3039" s="3" t="s">
        <v>645</v>
      </c>
      <c r="F3039" s="3" t="s">
        <v>4186</v>
      </c>
      <c r="G3039" s="3" t="s">
        <v>43</v>
      </c>
      <c r="H3039" s="3" t="s">
        <v>253</v>
      </c>
      <c r="I3039" s="2">
        <v>32</v>
      </c>
      <c r="J3039" s="2">
        <v>32</v>
      </c>
      <c r="K3039" s="2">
        <v>3</v>
      </c>
      <c r="O3039" s="2">
        <v>11</v>
      </c>
      <c r="U3039" s="2">
        <v>8</v>
      </c>
      <c r="V3039" s="2">
        <v>5</v>
      </c>
      <c r="W3039" s="2">
        <v>8</v>
      </c>
      <c r="X3039" s="2">
        <v>3</v>
      </c>
      <c r="Z3039" s="2">
        <v>32</v>
      </c>
      <c r="AA3039" s="3" t="s">
        <v>57</v>
      </c>
      <c r="AB3039" s="2">
        <v>4</v>
      </c>
      <c r="AC3039" s="3" t="s">
        <v>3151</v>
      </c>
      <c r="AD3039" s="3" t="s">
        <v>3152</v>
      </c>
      <c r="AG3039" s="2">
        <v>1</v>
      </c>
      <c r="AH3039" s="3" t="s">
        <v>2072</v>
      </c>
      <c r="AI3039" s="4">
        <v>45072</v>
      </c>
      <c r="AJ3039" s="3" t="s">
        <v>3184</v>
      </c>
      <c r="AK3039" s="3" t="s">
        <v>645</v>
      </c>
    </row>
    <row r="3040" spans="1:37" hidden="1" x14ac:dyDescent="0.25">
      <c r="A3040" t="str">
        <f t="shared" si="47"/>
        <v>2023_Qld_Gatton_Mixed_LightTOS1VarietyJindaleeWaterTrtIrrigatedAgronomy16_hr</v>
      </c>
      <c r="B3040" s="2">
        <v>2023036</v>
      </c>
      <c r="C3040" s="3" t="s">
        <v>3150</v>
      </c>
      <c r="D3040" s="3" t="s">
        <v>37</v>
      </c>
      <c r="E3040" s="3" t="s">
        <v>1931</v>
      </c>
      <c r="F3040" s="3" t="s">
        <v>2868</v>
      </c>
      <c r="G3040" s="3" t="s">
        <v>39</v>
      </c>
      <c r="H3040" s="3" t="s">
        <v>253</v>
      </c>
      <c r="I3040" s="2">
        <v>33</v>
      </c>
      <c r="J3040" s="2">
        <v>33</v>
      </c>
      <c r="K3040" s="2">
        <v>3</v>
      </c>
      <c r="O3040" s="2">
        <v>12</v>
      </c>
      <c r="U3040" s="2">
        <v>9</v>
      </c>
      <c r="V3040" s="2">
        <v>5</v>
      </c>
      <c r="W3040" s="2">
        <v>9</v>
      </c>
      <c r="X3040" s="2">
        <v>3</v>
      </c>
      <c r="Z3040" s="2">
        <v>33</v>
      </c>
      <c r="AA3040" s="3" t="s">
        <v>57</v>
      </c>
      <c r="AB3040" s="2">
        <v>5</v>
      </c>
      <c r="AC3040" s="3" t="s">
        <v>3151</v>
      </c>
      <c r="AD3040" s="3" t="s">
        <v>3152</v>
      </c>
      <c r="AG3040" s="2">
        <v>1</v>
      </c>
      <c r="AH3040" s="3" t="s">
        <v>2072</v>
      </c>
      <c r="AI3040" s="4">
        <v>45072</v>
      </c>
      <c r="AJ3040" s="3" t="s">
        <v>3185</v>
      </c>
      <c r="AK3040" s="3" t="s">
        <v>1931</v>
      </c>
    </row>
    <row r="3041" spans="1:37" hidden="1" x14ac:dyDescent="0.25">
      <c r="A3041" t="str">
        <f t="shared" si="47"/>
        <v>2023_Qld_Gatton_Mixed_LightTOS1VarietyWongaWaterTrtIrrigatedAgronomy16_hr</v>
      </c>
      <c r="B3041" s="2">
        <v>2023036</v>
      </c>
      <c r="C3041" s="3" t="s">
        <v>3150</v>
      </c>
      <c r="D3041" s="3" t="s">
        <v>37</v>
      </c>
      <c r="E3041" s="3" t="s">
        <v>1931</v>
      </c>
      <c r="F3041" s="3" t="s">
        <v>1932</v>
      </c>
      <c r="G3041" s="3" t="s">
        <v>39</v>
      </c>
      <c r="H3041" s="3" t="s">
        <v>253</v>
      </c>
      <c r="I3041" s="2">
        <v>34</v>
      </c>
      <c r="J3041" s="2">
        <v>34</v>
      </c>
      <c r="K3041" s="2">
        <v>3</v>
      </c>
      <c r="O3041" s="2">
        <v>12</v>
      </c>
      <c r="U3041" s="2">
        <v>10</v>
      </c>
      <c r="V3041" s="2">
        <v>5</v>
      </c>
      <c r="W3041" s="2">
        <v>10</v>
      </c>
      <c r="X3041" s="2">
        <v>3</v>
      </c>
      <c r="Z3041" s="2">
        <v>34</v>
      </c>
      <c r="AA3041" s="3" t="s">
        <v>57</v>
      </c>
      <c r="AB3041" s="2">
        <v>6</v>
      </c>
      <c r="AC3041" s="3" t="s">
        <v>3151</v>
      </c>
      <c r="AD3041" s="3" t="s">
        <v>3152</v>
      </c>
      <c r="AG3041" s="2">
        <v>1</v>
      </c>
      <c r="AH3041" s="3" t="s">
        <v>2072</v>
      </c>
      <c r="AI3041" s="4">
        <v>45072</v>
      </c>
      <c r="AJ3041" s="3" t="s">
        <v>3186</v>
      </c>
      <c r="AK3041" s="3" t="s">
        <v>1931</v>
      </c>
    </row>
    <row r="3042" spans="1:37" hidden="1" x14ac:dyDescent="0.25">
      <c r="A3042" t="str">
        <f t="shared" si="47"/>
        <v>2023_Qld_Gatton_Mixed_LightTOS1VarietyBatemanWaterTrtIrrigatedAgronomy16_hr</v>
      </c>
      <c r="B3042" s="2">
        <v>2023036</v>
      </c>
      <c r="C3042" s="3" t="s">
        <v>3150</v>
      </c>
      <c r="D3042" s="3" t="s">
        <v>37</v>
      </c>
      <c r="E3042" s="3" t="s">
        <v>1931</v>
      </c>
      <c r="F3042" s="3" t="s">
        <v>4195</v>
      </c>
      <c r="G3042" s="3" t="s">
        <v>43</v>
      </c>
      <c r="H3042" s="3" t="s">
        <v>253</v>
      </c>
      <c r="I3042" s="2">
        <v>35</v>
      </c>
      <c r="J3042" s="2">
        <v>35</v>
      </c>
      <c r="K3042" s="2">
        <v>3</v>
      </c>
      <c r="O3042" s="2">
        <v>12</v>
      </c>
      <c r="U3042" s="2">
        <v>11</v>
      </c>
      <c r="V3042" s="2">
        <v>5</v>
      </c>
      <c r="W3042" s="2">
        <v>11</v>
      </c>
      <c r="X3042" s="2">
        <v>3</v>
      </c>
      <c r="Z3042" s="2">
        <v>35</v>
      </c>
      <c r="AA3042" s="3" t="s">
        <v>57</v>
      </c>
      <c r="AB3042" s="2">
        <v>7</v>
      </c>
      <c r="AC3042" s="3" t="s">
        <v>3151</v>
      </c>
      <c r="AD3042" s="3" t="s">
        <v>3152</v>
      </c>
      <c r="AG3042" s="2">
        <v>1</v>
      </c>
      <c r="AH3042" s="3" t="s">
        <v>2072</v>
      </c>
      <c r="AI3042" s="4">
        <v>45072</v>
      </c>
      <c r="AJ3042" s="3" t="s">
        <v>3187</v>
      </c>
      <c r="AK3042" s="3" t="s">
        <v>1931</v>
      </c>
    </row>
    <row r="3043" spans="1:37" hidden="1" x14ac:dyDescent="0.25">
      <c r="A3043" t="str">
        <f t="shared" si="47"/>
        <v>2023_Qld_Gatton_Mixed_LightTOS1VarietyJurienWaterTrtIrrigatedAgronomy16_hr</v>
      </c>
      <c r="B3043" s="2">
        <v>2023036</v>
      </c>
      <c r="C3043" s="3" t="s">
        <v>3150</v>
      </c>
      <c r="D3043" s="3" t="s">
        <v>37</v>
      </c>
      <c r="E3043" s="3" t="s">
        <v>1931</v>
      </c>
      <c r="F3043" s="3" t="s">
        <v>4194</v>
      </c>
      <c r="G3043" s="3" t="s">
        <v>39</v>
      </c>
      <c r="H3043" s="3" t="s">
        <v>253</v>
      </c>
      <c r="I3043" s="2">
        <v>36</v>
      </c>
      <c r="J3043" s="2">
        <v>36</v>
      </c>
      <c r="K3043" s="2">
        <v>3</v>
      </c>
      <c r="O3043" s="2">
        <v>12</v>
      </c>
      <c r="U3043" s="2">
        <v>12</v>
      </c>
      <c r="V3043" s="2">
        <v>5</v>
      </c>
      <c r="W3043" s="2">
        <v>12</v>
      </c>
      <c r="X3043" s="2">
        <v>3</v>
      </c>
      <c r="Z3043" s="2">
        <v>36</v>
      </c>
      <c r="AA3043" s="3" t="s">
        <v>57</v>
      </c>
      <c r="AB3043" s="2">
        <v>8</v>
      </c>
      <c r="AC3043" s="3" t="s">
        <v>3151</v>
      </c>
      <c r="AD3043" s="3" t="s">
        <v>3152</v>
      </c>
      <c r="AG3043" s="2">
        <v>1</v>
      </c>
      <c r="AH3043" s="3" t="s">
        <v>2072</v>
      </c>
      <c r="AI3043" s="4">
        <v>45072</v>
      </c>
      <c r="AJ3043" s="3" t="s">
        <v>3188</v>
      </c>
      <c r="AK3043" s="3" t="s">
        <v>1931</v>
      </c>
    </row>
    <row r="3044" spans="1:37" hidden="1" x14ac:dyDescent="0.25">
      <c r="A3044" t="str">
        <f t="shared" si="47"/>
        <v>2023_Qld_Gatton_Mixed_LightTOS1VarietyKelpieXTWaterTrtIrrigatedAgronomy16_hr</v>
      </c>
      <c r="B3044" s="2">
        <v>2023036</v>
      </c>
      <c r="C3044" s="3" t="s">
        <v>3150</v>
      </c>
      <c r="D3044" s="3" t="s">
        <v>37</v>
      </c>
      <c r="E3044" s="3" t="s">
        <v>38</v>
      </c>
      <c r="F3044" s="3" t="s">
        <v>4188</v>
      </c>
      <c r="G3044" s="3" t="s">
        <v>43</v>
      </c>
      <c r="H3044" s="3" t="s">
        <v>253</v>
      </c>
      <c r="I3044" s="2">
        <v>37</v>
      </c>
      <c r="J3044" s="2">
        <v>37</v>
      </c>
      <c r="K3044" s="2">
        <v>4</v>
      </c>
      <c r="O3044" s="2">
        <v>13</v>
      </c>
      <c r="U3044" s="2">
        <v>1</v>
      </c>
      <c r="V3044" s="2">
        <v>6</v>
      </c>
      <c r="W3044" s="2">
        <v>1</v>
      </c>
      <c r="X3044" s="2">
        <v>4</v>
      </c>
      <c r="Z3044" s="2">
        <v>48</v>
      </c>
      <c r="AA3044" s="3" t="s">
        <v>57</v>
      </c>
      <c r="AB3044" s="2">
        <v>6</v>
      </c>
      <c r="AC3044" s="3" t="s">
        <v>3151</v>
      </c>
      <c r="AD3044" s="3" t="s">
        <v>3152</v>
      </c>
      <c r="AG3044" s="2">
        <v>1</v>
      </c>
      <c r="AH3044" s="3" t="s">
        <v>2072</v>
      </c>
      <c r="AI3044" s="4">
        <v>45072</v>
      </c>
      <c r="AJ3044" s="3" t="s">
        <v>3189</v>
      </c>
      <c r="AK3044" s="3" t="s">
        <v>38</v>
      </c>
    </row>
    <row r="3045" spans="1:37" hidden="1" x14ac:dyDescent="0.25">
      <c r="A3045" t="str">
        <f t="shared" si="47"/>
        <v>2023_Qld_Gatton_Mixed_LightTOS1VarietyHatTrickWaterTrtIrrigatedAgronomy16_hr</v>
      </c>
      <c r="B3045" s="2">
        <v>2023036</v>
      </c>
      <c r="C3045" s="3" t="s">
        <v>3150</v>
      </c>
      <c r="D3045" s="3" t="s">
        <v>37</v>
      </c>
      <c r="E3045" s="3" t="s">
        <v>248</v>
      </c>
      <c r="F3045" s="3" t="s">
        <v>4178</v>
      </c>
      <c r="G3045" s="3" t="s">
        <v>39</v>
      </c>
      <c r="H3045" s="3" t="s">
        <v>253</v>
      </c>
      <c r="I3045" s="2">
        <v>38</v>
      </c>
      <c r="J3045" s="2">
        <v>38</v>
      </c>
      <c r="K3045" s="2">
        <v>4</v>
      </c>
      <c r="O3045" s="2">
        <v>13</v>
      </c>
      <c r="U3045" s="2">
        <v>2</v>
      </c>
      <c r="V3045" s="2">
        <v>6</v>
      </c>
      <c r="W3045" s="2">
        <v>2</v>
      </c>
      <c r="X3045" s="2">
        <v>4</v>
      </c>
      <c r="Z3045" s="2">
        <v>47</v>
      </c>
      <c r="AA3045" s="3" t="s">
        <v>57</v>
      </c>
      <c r="AB3045" s="2">
        <v>8</v>
      </c>
      <c r="AC3045" s="3" t="s">
        <v>3151</v>
      </c>
      <c r="AD3045" s="3" t="s">
        <v>3152</v>
      </c>
      <c r="AG3045" s="2">
        <v>1</v>
      </c>
      <c r="AH3045" s="3" t="s">
        <v>2072</v>
      </c>
      <c r="AI3045" s="4">
        <v>45072</v>
      </c>
      <c r="AJ3045" s="3" t="s">
        <v>3190</v>
      </c>
      <c r="AK3045" s="3" t="s">
        <v>248</v>
      </c>
    </row>
    <row r="3046" spans="1:37" hidden="1" x14ac:dyDescent="0.25">
      <c r="A3046" t="str">
        <f t="shared" si="47"/>
        <v>2023_Qld_Gatton_Mixed_LightTOS1VarietyDrummondWaterTrtIrrigatedAgronomy16_hr</v>
      </c>
      <c r="B3046" s="2">
        <v>2023036</v>
      </c>
      <c r="C3046" s="3" t="s">
        <v>3150</v>
      </c>
      <c r="D3046" s="3" t="s">
        <v>37</v>
      </c>
      <c r="E3046" s="3" t="s">
        <v>248</v>
      </c>
      <c r="F3046" s="3" t="s">
        <v>4182</v>
      </c>
      <c r="G3046" s="3" t="s">
        <v>39</v>
      </c>
      <c r="H3046" s="3" t="s">
        <v>253</v>
      </c>
      <c r="I3046" s="2">
        <v>39</v>
      </c>
      <c r="J3046" s="2">
        <v>39</v>
      </c>
      <c r="K3046" s="2">
        <v>4</v>
      </c>
      <c r="O3046" s="2">
        <v>13</v>
      </c>
      <c r="U3046" s="2">
        <v>3</v>
      </c>
      <c r="V3046" s="2">
        <v>6</v>
      </c>
      <c r="W3046" s="2">
        <v>3</v>
      </c>
      <c r="X3046" s="2">
        <v>4</v>
      </c>
      <c r="Z3046" s="2">
        <v>46</v>
      </c>
      <c r="AA3046" s="3" t="s">
        <v>57</v>
      </c>
      <c r="AB3046" s="2">
        <v>5</v>
      </c>
      <c r="AC3046" s="3" t="s">
        <v>3151</v>
      </c>
      <c r="AD3046" s="3" t="s">
        <v>3152</v>
      </c>
      <c r="AG3046" s="2">
        <v>1</v>
      </c>
      <c r="AH3046" s="3" t="s">
        <v>2072</v>
      </c>
      <c r="AI3046" s="4">
        <v>45072</v>
      </c>
      <c r="AJ3046" s="3" t="s">
        <v>3191</v>
      </c>
      <c r="AK3046" s="3" t="s">
        <v>248</v>
      </c>
    </row>
    <row r="3047" spans="1:37" hidden="1" x14ac:dyDescent="0.25">
      <c r="A3047" t="str">
        <f t="shared" si="47"/>
        <v>2023_Qld_Gatton_Mixed_LightTOS1VarietyCBA_CaptainWaterTrtIrrigatedAgronomy16_hr</v>
      </c>
      <c r="B3047" s="2">
        <v>2023036</v>
      </c>
      <c r="C3047" s="3" t="s">
        <v>3150</v>
      </c>
      <c r="D3047" s="3" t="s">
        <v>37</v>
      </c>
      <c r="E3047" s="3" t="s">
        <v>248</v>
      </c>
      <c r="F3047" s="3" t="s">
        <v>249</v>
      </c>
      <c r="G3047" s="3" t="s">
        <v>43</v>
      </c>
      <c r="H3047" s="3" t="s">
        <v>253</v>
      </c>
      <c r="I3047" s="2">
        <v>40</v>
      </c>
      <c r="J3047" s="2">
        <v>40</v>
      </c>
      <c r="K3047" s="2">
        <v>4</v>
      </c>
      <c r="O3047" s="2">
        <v>13</v>
      </c>
      <c r="U3047" s="2">
        <v>4</v>
      </c>
      <c r="V3047" s="2">
        <v>6</v>
      </c>
      <c r="W3047" s="2">
        <v>4</v>
      </c>
      <c r="X3047" s="2">
        <v>4</v>
      </c>
      <c r="Z3047" s="2">
        <v>45</v>
      </c>
      <c r="AA3047" s="3" t="s">
        <v>57</v>
      </c>
      <c r="AB3047" s="2">
        <v>7</v>
      </c>
      <c r="AC3047" s="3" t="s">
        <v>3151</v>
      </c>
      <c r="AD3047" s="3" t="s">
        <v>3152</v>
      </c>
      <c r="AG3047" s="2">
        <v>1</v>
      </c>
      <c r="AH3047" s="3" t="s">
        <v>2072</v>
      </c>
      <c r="AI3047" s="4">
        <v>45072</v>
      </c>
      <c r="AJ3047" s="3" t="s">
        <v>3192</v>
      </c>
      <c r="AK3047" s="3" t="s">
        <v>248</v>
      </c>
    </row>
    <row r="3048" spans="1:37" hidden="1" x14ac:dyDescent="0.25">
      <c r="A3048" t="str">
        <f t="shared" si="47"/>
        <v>2023_Qld_Gatton_Mixed_LightTOS1VarietyMarneWaterTrtIrrigatedAgronomy16_hr</v>
      </c>
      <c r="B3048" s="2">
        <v>2023036</v>
      </c>
      <c r="C3048" s="3" t="s">
        <v>3150</v>
      </c>
      <c r="D3048" s="3" t="s">
        <v>37</v>
      </c>
      <c r="E3048" s="3" t="s">
        <v>645</v>
      </c>
      <c r="F3048" s="3" t="s">
        <v>4184</v>
      </c>
      <c r="G3048" s="3" t="s">
        <v>39</v>
      </c>
      <c r="H3048" s="3" t="s">
        <v>253</v>
      </c>
      <c r="I3048" s="2">
        <v>41</v>
      </c>
      <c r="J3048" s="2">
        <v>41</v>
      </c>
      <c r="K3048" s="2">
        <v>4</v>
      </c>
      <c r="O3048" s="2">
        <v>14</v>
      </c>
      <c r="U3048" s="2">
        <v>5</v>
      </c>
      <c r="V3048" s="2">
        <v>6</v>
      </c>
      <c r="W3048" s="2">
        <v>5</v>
      </c>
      <c r="X3048" s="2">
        <v>4</v>
      </c>
      <c r="Z3048" s="2">
        <v>44</v>
      </c>
      <c r="AA3048" s="3" t="s">
        <v>57</v>
      </c>
      <c r="AB3048" s="2">
        <v>4</v>
      </c>
      <c r="AC3048" s="3" t="s">
        <v>3151</v>
      </c>
      <c r="AD3048" s="3" t="s">
        <v>3152</v>
      </c>
      <c r="AG3048" s="2">
        <v>1</v>
      </c>
      <c r="AH3048" s="3" t="s">
        <v>2072</v>
      </c>
      <c r="AI3048" s="4">
        <v>45072</v>
      </c>
      <c r="AJ3048" s="3" t="s">
        <v>3193</v>
      </c>
      <c r="AK3048" s="3" t="s">
        <v>645</v>
      </c>
    </row>
    <row r="3049" spans="1:37" hidden="1" x14ac:dyDescent="0.25">
      <c r="A3049" t="str">
        <f t="shared" si="47"/>
        <v>2023_Qld_Gatton_Mixed_LightTOS1VarietyAmberleyWaterTrtIrrigatedAgronomy16_hr</v>
      </c>
      <c r="B3049" s="2">
        <v>2023036</v>
      </c>
      <c r="C3049" s="3" t="s">
        <v>3150</v>
      </c>
      <c r="D3049" s="3" t="s">
        <v>37</v>
      </c>
      <c r="E3049" s="3" t="s">
        <v>645</v>
      </c>
      <c r="F3049" s="3" t="s">
        <v>4185</v>
      </c>
      <c r="G3049" s="3" t="s">
        <v>39</v>
      </c>
      <c r="H3049" s="3" t="s">
        <v>253</v>
      </c>
      <c r="I3049" s="2">
        <v>42</v>
      </c>
      <c r="J3049" s="2">
        <v>42</v>
      </c>
      <c r="K3049" s="2">
        <v>4</v>
      </c>
      <c r="O3049" s="2">
        <v>14</v>
      </c>
      <c r="U3049" s="2">
        <v>6</v>
      </c>
      <c r="V3049" s="2">
        <v>6</v>
      </c>
      <c r="W3049" s="2">
        <v>6</v>
      </c>
      <c r="X3049" s="2">
        <v>4</v>
      </c>
      <c r="Z3049" s="2">
        <v>43</v>
      </c>
      <c r="AA3049" s="3" t="s">
        <v>57</v>
      </c>
      <c r="AB3049" s="2">
        <v>3</v>
      </c>
      <c r="AC3049" s="3" t="s">
        <v>3151</v>
      </c>
      <c r="AD3049" s="3" t="s">
        <v>3152</v>
      </c>
      <c r="AG3049" s="2">
        <v>1</v>
      </c>
      <c r="AH3049" s="3" t="s">
        <v>2072</v>
      </c>
      <c r="AI3049" s="4">
        <v>45072</v>
      </c>
      <c r="AJ3049" s="3" t="s">
        <v>3194</v>
      </c>
      <c r="AK3049" s="3" t="s">
        <v>645</v>
      </c>
    </row>
    <row r="3050" spans="1:37" hidden="1" x14ac:dyDescent="0.25">
      <c r="A3050" t="str">
        <f t="shared" si="47"/>
        <v>2023_Qld_Gatton_Mixed_LightTOS1VarietyNasmaWaterTrtIrrigatedAgronomy16_hr</v>
      </c>
      <c r="B3050" s="2">
        <v>2023036</v>
      </c>
      <c r="C3050" s="3" t="s">
        <v>3150</v>
      </c>
      <c r="D3050" s="3" t="s">
        <v>37</v>
      </c>
      <c r="E3050" s="3" t="s">
        <v>645</v>
      </c>
      <c r="F3050" s="3" t="s">
        <v>4186</v>
      </c>
      <c r="G3050" s="3" t="s">
        <v>43</v>
      </c>
      <c r="H3050" s="3" t="s">
        <v>253</v>
      </c>
      <c r="I3050" s="2">
        <v>43</v>
      </c>
      <c r="J3050" s="2">
        <v>43</v>
      </c>
      <c r="K3050" s="2">
        <v>4</v>
      </c>
      <c r="O3050" s="2">
        <v>14</v>
      </c>
      <c r="U3050" s="2">
        <v>7</v>
      </c>
      <c r="V3050" s="2">
        <v>6</v>
      </c>
      <c r="W3050" s="2">
        <v>7</v>
      </c>
      <c r="X3050" s="2">
        <v>4</v>
      </c>
      <c r="Z3050" s="2">
        <v>42</v>
      </c>
      <c r="AA3050" s="3" t="s">
        <v>57</v>
      </c>
      <c r="AB3050" s="2">
        <v>2</v>
      </c>
      <c r="AC3050" s="3" t="s">
        <v>3151</v>
      </c>
      <c r="AD3050" s="3" t="s">
        <v>3152</v>
      </c>
      <c r="AG3050" s="2">
        <v>1</v>
      </c>
      <c r="AH3050" s="3" t="s">
        <v>2072</v>
      </c>
      <c r="AI3050" s="4">
        <v>45072</v>
      </c>
      <c r="AJ3050" s="3" t="s">
        <v>3195</v>
      </c>
      <c r="AK3050" s="3" t="s">
        <v>645</v>
      </c>
    </row>
    <row r="3051" spans="1:37" hidden="1" x14ac:dyDescent="0.25">
      <c r="A3051" t="str">
        <f t="shared" si="47"/>
        <v>2023_Qld_Gatton_Mixed_LightTOS1VarietySamiraWaterTrtIrrigatedAgronomy16_hr</v>
      </c>
      <c r="B3051" s="2">
        <v>2023036</v>
      </c>
      <c r="C3051" s="3" t="s">
        <v>3150</v>
      </c>
      <c r="D3051" s="3" t="s">
        <v>37</v>
      </c>
      <c r="E3051" s="3" t="s">
        <v>645</v>
      </c>
      <c r="F3051" s="3" t="s">
        <v>4183</v>
      </c>
      <c r="G3051" s="3" t="s">
        <v>43</v>
      </c>
      <c r="H3051" s="3" t="s">
        <v>253</v>
      </c>
      <c r="I3051" s="2">
        <v>44</v>
      </c>
      <c r="J3051" s="2">
        <v>44</v>
      </c>
      <c r="K3051" s="2">
        <v>4</v>
      </c>
      <c r="O3051" s="2">
        <v>14</v>
      </c>
      <c r="U3051" s="2">
        <v>8</v>
      </c>
      <c r="V3051" s="2">
        <v>6</v>
      </c>
      <c r="W3051" s="2">
        <v>8</v>
      </c>
      <c r="X3051" s="2">
        <v>4</v>
      </c>
      <c r="Z3051" s="2">
        <v>41</v>
      </c>
      <c r="AA3051" s="3" t="s">
        <v>57</v>
      </c>
      <c r="AB3051" s="2">
        <v>1</v>
      </c>
      <c r="AC3051" s="3" t="s">
        <v>3151</v>
      </c>
      <c r="AD3051" s="3" t="s">
        <v>3152</v>
      </c>
      <c r="AG3051" s="2">
        <v>1</v>
      </c>
      <c r="AH3051" s="3" t="s">
        <v>2072</v>
      </c>
      <c r="AI3051" s="4">
        <v>45072</v>
      </c>
      <c r="AJ3051" s="3" t="s">
        <v>3196</v>
      </c>
      <c r="AK3051" s="3" t="s">
        <v>645</v>
      </c>
    </row>
    <row r="3052" spans="1:37" hidden="1" x14ac:dyDescent="0.25">
      <c r="A3052" t="str">
        <f t="shared" si="47"/>
        <v>2023_Qld_Gatton_Mixed_LightTOS1VarietyJurienWaterTrtIrrigatedAgronomy16_hr</v>
      </c>
      <c r="B3052" s="2">
        <v>2023036</v>
      </c>
      <c r="C3052" s="3" t="s">
        <v>3150</v>
      </c>
      <c r="D3052" s="3" t="s">
        <v>37</v>
      </c>
      <c r="E3052" s="3" t="s">
        <v>1931</v>
      </c>
      <c r="F3052" s="3" t="s">
        <v>4194</v>
      </c>
      <c r="G3052" s="3" t="s">
        <v>39</v>
      </c>
      <c r="H3052" s="3" t="s">
        <v>253</v>
      </c>
      <c r="I3052" s="2">
        <v>45</v>
      </c>
      <c r="J3052" s="2">
        <v>45</v>
      </c>
      <c r="K3052" s="2">
        <v>4</v>
      </c>
      <c r="O3052" s="2">
        <v>15</v>
      </c>
      <c r="U3052" s="2">
        <v>9</v>
      </c>
      <c r="V3052" s="2">
        <v>6</v>
      </c>
      <c r="W3052" s="2">
        <v>9</v>
      </c>
      <c r="X3052" s="2">
        <v>4</v>
      </c>
      <c r="Z3052" s="2">
        <v>40</v>
      </c>
      <c r="AA3052" s="3" t="s">
        <v>57</v>
      </c>
      <c r="AB3052" s="2">
        <v>12</v>
      </c>
      <c r="AC3052" s="3" t="s">
        <v>3151</v>
      </c>
      <c r="AD3052" s="3" t="s">
        <v>3152</v>
      </c>
      <c r="AG3052" s="2">
        <v>1</v>
      </c>
      <c r="AH3052" s="3" t="s">
        <v>2072</v>
      </c>
      <c r="AI3052" s="4">
        <v>45072</v>
      </c>
      <c r="AJ3052" s="3" t="s">
        <v>3197</v>
      </c>
      <c r="AK3052" s="3" t="s">
        <v>1931</v>
      </c>
    </row>
    <row r="3053" spans="1:37" hidden="1" x14ac:dyDescent="0.25">
      <c r="A3053" t="str">
        <f t="shared" si="47"/>
        <v>2023_Qld_Gatton_Mixed_LightTOS1VarietyJindaleeWaterTrtIrrigatedAgronomy16_hr</v>
      </c>
      <c r="B3053" s="2">
        <v>2023036</v>
      </c>
      <c r="C3053" s="3" t="s">
        <v>3150</v>
      </c>
      <c r="D3053" s="3" t="s">
        <v>37</v>
      </c>
      <c r="E3053" s="3" t="s">
        <v>1931</v>
      </c>
      <c r="F3053" s="3" t="s">
        <v>2868</v>
      </c>
      <c r="G3053" s="3" t="s">
        <v>39</v>
      </c>
      <c r="H3053" s="3" t="s">
        <v>253</v>
      </c>
      <c r="I3053" s="2">
        <v>46</v>
      </c>
      <c r="J3053" s="2">
        <v>46</v>
      </c>
      <c r="K3053" s="2">
        <v>4</v>
      </c>
      <c r="O3053" s="2">
        <v>16</v>
      </c>
      <c r="U3053" s="2">
        <v>10</v>
      </c>
      <c r="V3053" s="2">
        <v>6</v>
      </c>
      <c r="W3053" s="2">
        <v>10</v>
      </c>
      <c r="X3053" s="2">
        <v>4</v>
      </c>
      <c r="Z3053" s="2">
        <v>39</v>
      </c>
      <c r="AA3053" s="3" t="s">
        <v>57</v>
      </c>
      <c r="AB3053" s="2">
        <v>9</v>
      </c>
      <c r="AC3053" s="3" t="s">
        <v>3151</v>
      </c>
      <c r="AD3053" s="3" t="s">
        <v>3152</v>
      </c>
      <c r="AG3053" s="2">
        <v>1</v>
      </c>
      <c r="AH3053" s="3" t="s">
        <v>2072</v>
      </c>
      <c r="AI3053" s="4">
        <v>45072</v>
      </c>
      <c r="AJ3053" s="3" t="s">
        <v>3198</v>
      </c>
      <c r="AK3053" s="3" t="s">
        <v>1931</v>
      </c>
    </row>
    <row r="3054" spans="1:37" hidden="1" x14ac:dyDescent="0.25">
      <c r="A3054" t="str">
        <f t="shared" si="47"/>
        <v>2023_Qld_Gatton_Mixed_LightTOS1VarietyWongaWaterTrtIrrigatedAgronomy16_hr</v>
      </c>
      <c r="B3054" s="2">
        <v>2023036</v>
      </c>
      <c r="C3054" s="3" t="s">
        <v>3150</v>
      </c>
      <c r="D3054" s="3" t="s">
        <v>37</v>
      </c>
      <c r="E3054" s="3" t="s">
        <v>1931</v>
      </c>
      <c r="F3054" s="3" t="s">
        <v>1932</v>
      </c>
      <c r="G3054" s="3" t="s">
        <v>39</v>
      </c>
      <c r="H3054" s="3" t="s">
        <v>253</v>
      </c>
      <c r="I3054" s="2">
        <v>47</v>
      </c>
      <c r="J3054" s="2">
        <v>47</v>
      </c>
      <c r="K3054" s="2">
        <v>4</v>
      </c>
      <c r="O3054" s="2">
        <v>16</v>
      </c>
      <c r="U3054" s="2">
        <v>11</v>
      </c>
      <c r="V3054" s="2">
        <v>6</v>
      </c>
      <c r="W3054" s="2">
        <v>11</v>
      </c>
      <c r="X3054" s="2">
        <v>4</v>
      </c>
      <c r="Z3054" s="2">
        <v>38</v>
      </c>
      <c r="AA3054" s="3" t="s">
        <v>57</v>
      </c>
      <c r="AB3054" s="2">
        <v>11</v>
      </c>
      <c r="AC3054" s="3" t="s">
        <v>3151</v>
      </c>
      <c r="AD3054" s="3" t="s">
        <v>3152</v>
      </c>
      <c r="AG3054" s="2">
        <v>1</v>
      </c>
      <c r="AH3054" s="3" t="s">
        <v>2072</v>
      </c>
      <c r="AI3054" s="4">
        <v>45072</v>
      </c>
      <c r="AJ3054" s="3" t="s">
        <v>3199</v>
      </c>
      <c r="AK3054" s="3" t="s">
        <v>1931</v>
      </c>
    </row>
    <row r="3055" spans="1:37" hidden="1" x14ac:dyDescent="0.25">
      <c r="A3055" t="str">
        <f t="shared" si="47"/>
        <v>2023_Qld_Gatton_Mixed_LightTOS1VarietyBatemanWaterTrtIrrigatedAgronomy16_hr</v>
      </c>
      <c r="B3055" s="2">
        <v>2023036</v>
      </c>
      <c r="C3055" s="3" t="s">
        <v>3150</v>
      </c>
      <c r="D3055" s="3" t="s">
        <v>37</v>
      </c>
      <c r="E3055" s="3" t="s">
        <v>1931</v>
      </c>
      <c r="F3055" s="3" t="s">
        <v>4195</v>
      </c>
      <c r="G3055" s="3" t="s">
        <v>43</v>
      </c>
      <c r="H3055" s="3" t="s">
        <v>253</v>
      </c>
      <c r="I3055" s="2">
        <v>48</v>
      </c>
      <c r="J3055" s="2">
        <v>48</v>
      </c>
      <c r="K3055" s="2">
        <v>4</v>
      </c>
      <c r="O3055" s="2">
        <v>16</v>
      </c>
      <c r="U3055" s="2">
        <v>12</v>
      </c>
      <c r="V3055" s="2">
        <v>6</v>
      </c>
      <c r="W3055" s="2">
        <v>12</v>
      </c>
      <c r="X3055" s="2">
        <v>4</v>
      </c>
      <c r="Z3055" s="2">
        <v>37</v>
      </c>
      <c r="AA3055" s="3" t="s">
        <v>57</v>
      </c>
      <c r="AB3055" s="2">
        <v>10</v>
      </c>
      <c r="AC3055" s="3" t="s">
        <v>3151</v>
      </c>
      <c r="AD3055" s="3" t="s">
        <v>3152</v>
      </c>
      <c r="AG3055" s="2">
        <v>1</v>
      </c>
      <c r="AH3055" s="3" t="s">
        <v>2072</v>
      </c>
      <c r="AI3055" s="4">
        <v>45072</v>
      </c>
      <c r="AJ3055" s="3" t="s">
        <v>3200</v>
      </c>
      <c r="AK3055" s="3" t="s">
        <v>1931</v>
      </c>
    </row>
    <row r="3056" spans="1:37" hidden="1" x14ac:dyDescent="0.25">
      <c r="A3056" t="str">
        <f t="shared" si="47"/>
        <v>2023_Qld_Gatton_Mixed_LightTOS2VarietyBatemanWaterTrtIrrigatedAgronomy16_hr</v>
      </c>
      <c r="B3056" s="2">
        <v>2023036</v>
      </c>
      <c r="C3056" s="3" t="s">
        <v>3150</v>
      </c>
      <c r="D3056" s="3" t="s">
        <v>37</v>
      </c>
      <c r="E3056" s="3" t="s">
        <v>1931</v>
      </c>
      <c r="F3056" s="3" t="s">
        <v>4195</v>
      </c>
      <c r="G3056" s="3" t="s">
        <v>43</v>
      </c>
      <c r="H3056" s="3" t="s">
        <v>253</v>
      </c>
      <c r="I3056" s="2">
        <v>49</v>
      </c>
      <c r="J3056" s="2">
        <v>49</v>
      </c>
      <c r="K3056" s="2">
        <v>1</v>
      </c>
      <c r="O3056" s="2">
        <v>17</v>
      </c>
      <c r="U3056" s="2">
        <v>1</v>
      </c>
      <c r="V3056" s="2">
        <v>7</v>
      </c>
      <c r="W3056" s="2">
        <v>1</v>
      </c>
      <c r="X3056" s="2">
        <v>5</v>
      </c>
      <c r="Z3056" s="2">
        <v>49</v>
      </c>
      <c r="AA3056" s="3" t="s">
        <v>57</v>
      </c>
      <c r="AB3056" s="2">
        <v>5</v>
      </c>
      <c r="AC3056" s="3" t="s">
        <v>3151</v>
      </c>
      <c r="AD3056" s="3" t="s">
        <v>3152</v>
      </c>
      <c r="AG3056" s="2">
        <v>2</v>
      </c>
      <c r="AH3056" s="3" t="s">
        <v>3201</v>
      </c>
      <c r="AI3056" s="4">
        <v>45118</v>
      </c>
      <c r="AJ3056" s="3" t="s">
        <v>3202</v>
      </c>
      <c r="AK3056" s="3" t="s">
        <v>1931</v>
      </c>
    </row>
    <row r="3057" spans="1:37" hidden="1" x14ac:dyDescent="0.25">
      <c r="A3057" t="str">
        <f t="shared" si="47"/>
        <v>2023_Qld_Gatton_Mixed_LightTOS2VarietyJurienWaterTrtIrrigatedAgronomy16_hr</v>
      </c>
      <c r="B3057" s="2">
        <v>2023036</v>
      </c>
      <c r="C3057" s="3" t="s">
        <v>3150</v>
      </c>
      <c r="D3057" s="3" t="s">
        <v>37</v>
      </c>
      <c r="E3057" s="3" t="s">
        <v>1931</v>
      </c>
      <c r="F3057" s="3" t="s">
        <v>4194</v>
      </c>
      <c r="G3057" s="3" t="s">
        <v>39</v>
      </c>
      <c r="H3057" s="3" t="s">
        <v>253</v>
      </c>
      <c r="I3057" s="2">
        <v>50</v>
      </c>
      <c r="J3057" s="2">
        <v>50</v>
      </c>
      <c r="K3057" s="2">
        <v>1</v>
      </c>
      <c r="O3057" s="2">
        <v>17</v>
      </c>
      <c r="U3057" s="2">
        <v>2</v>
      </c>
      <c r="V3057" s="2">
        <v>7</v>
      </c>
      <c r="W3057" s="2">
        <v>2</v>
      </c>
      <c r="X3057" s="2">
        <v>5</v>
      </c>
      <c r="Z3057" s="2">
        <v>50</v>
      </c>
      <c r="AA3057" s="3" t="s">
        <v>57</v>
      </c>
      <c r="AB3057" s="2">
        <v>6</v>
      </c>
      <c r="AC3057" s="3" t="s">
        <v>3151</v>
      </c>
      <c r="AD3057" s="3" t="s">
        <v>3152</v>
      </c>
      <c r="AG3057" s="2">
        <v>2</v>
      </c>
      <c r="AH3057" s="3" t="s">
        <v>3201</v>
      </c>
      <c r="AI3057" s="4">
        <v>45118</v>
      </c>
      <c r="AJ3057" s="3" t="s">
        <v>3203</v>
      </c>
      <c r="AK3057" s="3" t="s">
        <v>1931</v>
      </c>
    </row>
    <row r="3058" spans="1:37" hidden="1" x14ac:dyDescent="0.25">
      <c r="A3058" t="str">
        <f t="shared" si="47"/>
        <v>2023_Qld_Gatton_Mixed_LightTOS2VarietyJindaleeWaterTrtIrrigatedAgronomy16_hr</v>
      </c>
      <c r="B3058" s="2">
        <v>2023036</v>
      </c>
      <c r="C3058" s="3" t="s">
        <v>3150</v>
      </c>
      <c r="D3058" s="3" t="s">
        <v>37</v>
      </c>
      <c r="E3058" s="3" t="s">
        <v>1931</v>
      </c>
      <c r="F3058" s="3" t="s">
        <v>2868</v>
      </c>
      <c r="G3058" s="3" t="s">
        <v>39</v>
      </c>
      <c r="H3058" s="3" t="s">
        <v>253</v>
      </c>
      <c r="I3058" s="2">
        <v>51</v>
      </c>
      <c r="J3058" s="2">
        <v>51</v>
      </c>
      <c r="K3058" s="2">
        <v>1</v>
      </c>
      <c r="O3058" s="2">
        <v>17</v>
      </c>
      <c r="U3058" s="2">
        <v>3</v>
      </c>
      <c r="V3058" s="2">
        <v>7</v>
      </c>
      <c r="W3058" s="2">
        <v>3</v>
      </c>
      <c r="X3058" s="2">
        <v>5</v>
      </c>
      <c r="Z3058" s="2">
        <v>51</v>
      </c>
      <c r="AA3058" s="3" t="s">
        <v>57</v>
      </c>
      <c r="AB3058" s="2">
        <v>8</v>
      </c>
      <c r="AC3058" s="3" t="s">
        <v>3151</v>
      </c>
      <c r="AD3058" s="3" t="s">
        <v>3152</v>
      </c>
      <c r="AG3058" s="2">
        <v>2</v>
      </c>
      <c r="AH3058" s="3" t="s">
        <v>3201</v>
      </c>
      <c r="AI3058" s="4">
        <v>45118</v>
      </c>
      <c r="AJ3058" s="3" t="s">
        <v>3204</v>
      </c>
      <c r="AK3058" s="3" t="s">
        <v>1931</v>
      </c>
    </row>
    <row r="3059" spans="1:37" hidden="1" x14ac:dyDescent="0.25">
      <c r="A3059" t="str">
        <f t="shared" si="47"/>
        <v>2023_Qld_Gatton_Mixed_LightTOS2VarietyWongaWaterTrtIrrigatedAgronomy16_hr</v>
      </c>
      <c r="B3059" s="2">
        <v>2023036</v>
      </c>
      <c r="C3059" s="3" t="s">
        <v>3150</v>
      </c>
      <c r="D3059" s="3" t="s">
        <v>37</v>
      </c>
      <c r="E3059" s="3" t="s">
        <v>1931</v>
      </c>
      <c r="F3059" s="3" t="s">
        <v>1932</v>
      </c>
      <c r="G3059" s="3" t="s">
        <v>39</v>
      </c>
      <c r="H3059" s="3" t="s">
        <v>253</v>
      </c>
      <c r="I3059" s="2">
        <v>52</v>
      </c>
      <c r="J3059" s="2">
        <v>52</v>
      </c>
      <c r="K3059" s="2">
        <v>1</v>
      </c>
      <c r="O3059" s="2">
        <v>17</v>
      </c>
      <c r="U3059" s="2">
        <v>4</v>
      </c>
      <c r="V3059" s="2">
        <v>7</v>
      </c>
      <c r="W3059" s="2">
        <v>4</v>
      </c>
      <c r="X3059" s="2">
        <v>5</v>
      </c>
      <c r="Z3059" s="2">
        <v>52</v>
      </c>
      <c r="AA3059" s="3" t="s">
        <v>57</v>
      </c>
      <c r="AB3059" s="2">
        <v>7</v>
      </c>
      <c r="AC3059" s="3" t="s">
        <v>3151</v>
      </c>
      <c r="AD3059" s="3" t="s">
        <v>3152</v>
      </c>
      <c r="AG3059" s="2">
        <v>2</v>
      </c>
      <c r="AH3059" s="3" t="s">
        <v>3201</v>
      </c>
      <c r="AI3059" s="4">
        <v>45118</v>
      </c>
      <c r="AJ3059" s="3" t="s">
        <v>3205</v>
      </c>
      <c r="AK3059" s="3" t="s">
        <v>1931</v>
      </c>
    </row>
    <row r="3060" spans="1:37" hidden="1" x14ac:dyDescent="0.25">
      <c r="A3060" t="str">
        <f t="shared" si="47"/>
        <v>2023_Qld_Gatton_Mixed_LightTOS2VarietyCBA_CaptainWaterTrtIrrigatedAgronomy16_hr</v>
      </c>
      <c r="B3060" s="2">
        <v>2023036</v>
      </c>
      <c r="C3060" s="3" t="s">
        <v>3150</v>
      </c>
      <c r="D3060" s="3" t="s">
        <v>37</v>
      </c>
      <c r="E3060" s="3" t="s">
        <v>248</v>
      </c>
      <c r="F3060" s="3" t="s">
        <v>249</v>
      </c>
      <c r="G3060" s="3" t="s">
        <v>43</v>
      </c>
      <c r="H3060" s="3" t="s">
        <v>253</v>
      </c>
      <c r="I3060" s="2">
        <v>53</v>
      </c>
      <c r="J3060" s="2">
        <v>53</v>
      </c>
      <c r="K3060" s="2">
        <v>1</v>
      </c>
      <c r="O3060" s="2">
        <v>18</v>
      </c>
      <c r="U3060" s="2">
        <v>5</v>
      </c>
      <c r="V3060" s="2">
        <v>7</v>
      </c>
      <c r="W3060" s="2">
        <v>5</v>
      </c>
      <c r="X3060" s="2">
        <v>5</v>
      </c>
      <c r="Z3060" s="2">
        <v>53</v>
      </c>
      <c r="AA3060" s="3" t="s">
        <v>57</v>
      </c>
      <c r="AB3060" s="2">
        <v>9</v>
      </c>
      <c r="AC3060" s="3" t="s">
        <v>3151</v>
      </c>
      <c r="AD3060" s="3" t="s">
        <v>3152</v>
      </c>
      <c r="AG3060" s="2">
        <v>2</v>
      </c>
      <c r="AH3060" s="3" t="s">
        <v>3201</v>
      </c>
      <c r="AI3060" s="4">
        <v>45118</v>
      </c>
      <c r="AJ3060" s="3" t="s">
        <v>3206</v>
      </c>
      <c r="AK3060" s="3" t="s">
        <v>248</v>
      </c>
    </row>
    <row r="3061" spans="1:37" hidden="1" x14ac:dyDescent="0.25">
      <c r="A3061" t="str">
        <f t="shared" si="47"/>
        <v>2023_Qld_Gatton_Mixed_LightTOS2VarietyKelpieXTWaterTrtIrrigatedAgronomy16_hr</v>
      </c>
      <c r="B3061" s="2">
        <v>2023036</v>
      </c>
      <c r="C3061" s="3" t="s">
        <v>3150</v>
      </c>
      <c r="D3061" s="3" t="s">
        <v>37</v>
      </c>
      <c r="E3061" s="3" t="s">
        <v>38</v>
      </c>
      <c r="F3061" s="3" t="s">
        <v>4188</v>
      </c>
      <c r="G3061" s="3" t="s">
        <v>43</v>
      </c>
      <c r="H3061" s="3" t="s">
        <v>253</v>
      </c>
      <c r="I3061" s="2">
        <v>54</v>
      </c>
      <c r="J3061" s="2">
        <v>54</v>
      </c>
      <c r="K3061" s="2">
        <v>1</v>
      </c>
      <c r="O3061" s="2">
        <v>18</v>
      </c>
      <c r="U3061" s="2">
        <v>6</v>
      </c>
      <c r="V3061" s="2">
        <v>7</v>
      </c>
      <c r="W3061" s="2">
        <v>6</v>
      </c>
      <c r="X3061" s="2">
        <v>5</v>
      </c>
      <c r="Z3061" s="2">
        <v>54</v>
      </c>
      <c r="AA3061" s="3" t="s">
        <v>57</v>
      </c>
      <c r="AB3061" s="2">
        <v>10</v>
      </c>
      <c r="AC3061" s="3" t="s">
        <v>3151</v>
      </c>
      <c r="AD3061" s="3" t="s">
        <v>3152</v>
      </c>
      <c r="AG3061" s="2">
        <v>2</v>
      </c>
      <c r="AH3061" s="3" t="s">
        <v>3201</v>
      </c>
      <c r="AI3061" s="4">
        <v>45118</v>
      </c>
      <c r="AJ3061" s="3" t="s">
        <v>3207</v>
      </c>
      <c r="AK3061" s="3" t="s">
        <v>38</v>
      </c>
    </row>
    <row r="3062" spans="1:37" hidden="1" x14ac:dyDescent="0.25">
      <c r="A3062" t="str">
        <f t="shared" si="47"/>
        <v>2023_Qld_Gatton_Mixed_LightTOS2VarietyHatTrickWaterTrtIrrigatedAgronomy16_hr</v>
      </c>
      <c r="B3062" s="2">
        <v>2023036</v>
      </c>
      <c r="C3062" s="3" t="s">
        <v>3150</v>
      </c>
      <c r="D3062" s="3" t="s">
        <v>37</v>
      </c>
      <c r="E3062" s="3" t="s">
        <v>248</v>
      </c>
      <c r="F3062" s="3" t="s">
        <v>4178</v>
      </c>
      <c r="G3062" s="3" t="s">
        <v>39</v>
      </c>
      <c r="H3062" s="3" t="s">
        <v>253</v>
      </c>
      <c r="I3062" s="2">
        <v>55</v>
      </c>
      <c r="J3062" s="2">
        <v>55</v>
      </c>
      <c r="K3062" s="2">
        <v>1</v>
      </c>
      <c r="O3062" s="2">
        <v>18</v>
      </c>
      <c r="U3062" s="2">
        <v>7</v>
      </c>
      <c r="V3062" s="2">
        <v>7</v>
      </c>
      <c r="W3062" s="2">
        <v>7</v>
      </c>
      <c r="X3062" s="2">
        <v>5</v>
      </c>
      <c r="Z3062" s="2">
        <v>55</v>
      </c>
      <c r="AA3062" s="3" t="s">
        <v>57</v>
      </c>
      <c r="AB3062" s="2">
        <v>11</v>
      </c>
      <c r="AC3062" s="3" t="s">
        <v>3151</v>
      </c>
      <c r="AD3062" s="3" t="s">
        <v>3152</v>
      </c>
      <c r="AG3062" s="2">
        <v>2</v>
      </c>
      <c r="AH3062" s="3" t="s">
        <v>3201</v>
      </c>
      <c r="AI3062" s="4">
        <v>45118</v>
      </c>
      <c r="AJ3062" s="3" t="s">
        <v>3208</v>
      </c>
      <c r="AK3062" s="3" t="s">
        <v>248</v>
      </c>
    </row>
    <row r="3063" spans="1:37" hidden="1" x14ac:dyDescent="0.25">
      <c r="A3063" t="str">
        <f t="shared" si="47"/>
        <v>2023_Qld_Gatton_Mixed_LightTOS2VarietyDrummondWaterTrtIrrigatedAgronomy16_hr</v>
      </c>
      <c r="B3063" s="2">
        <v>2023036</v>
      </c>
      <c r="C3063" s="3" t="s">
        <v>3150</v>
      </c>
      <c r="D3063" s="3" t="s">
        <v>37</v>
      </c>
      <c r="E3063" s="3" t="s">
        <v>248</v>
      </c>
      <c r="F3063" s="3" t="s">
        <v>4182</v>
      </c>
      <c r="G3063" s="3" t="s">
        <v>39</v>
      </c>
      <c r="H3063" s="3" t="s">
        <v>253</v>
      </c>
      <c r="I3063" s="2">
        <v>56</v>
      </c>
      <c r="J3063" s="2">
        <v>56</v>
      </c>
      <c r="K3063" s="2">
        <v>1</v>
      </c>
      <c r="O3063" s="2">
        <v>19</v>
      </c>
      <c r="U3063" s="2">
        <v>8</v>
      </c>
      <c r="V3063" s="2">
        <v>7</v>
      </c>
      <c r="W3063" s="2">
        <v>8</v>
      </c>
      <c r="X3063" s="2">
        <v>5</v>
      </c>
      <c r="Z3063" s="2">
        <v>56</v>
      </c>
      <c r="AA3063" s="3" t="s">
        <v>57</v>
      </c>
      <c r="AB3063" s="2">
        <v>12</v>
      </c>
      <c r="AC3063" s="3" t="s">
        <v>3151</v>
      </c>
      <c r="AD3063" s="3" t="s">
        <v>3152</v>
      </c>
      <c r="AG3063" s="2">
        <v>2</v>
      </c>
      <c r="AH3063" s="3" t="s">
        <v>3201</v>
      </c>
      <c r="AI3063" s="4">
        <v>45118</v>
      </c>
      <c r="AJ3063" s="3" t="s">
        <v>3209</v>
      </c>
      <c r="AK3063" s="3" t="s">
        <v>248</v>
      </c>
    </row>
    <row r="3064" spans="1:37" hidden="1" x14ac:dyDescent="0.25">
      <c r="A3064" t="str">
        <f t="shared" si="47"/>
        <v>2023_Qld_Gatton_Mixed_LightTOS2VarietyAmberleyWaterTrtIrrigatedAgronomy16_hr</v>
      </c>
      <c r="B3064" s="2">
        <v>2023036</v>
      </c>
      <c r="C3064" s="3" t="s">
        <v>3150</v>
      </c>
      <c r="D3064" s="3" t="s">
        <v>37</v>
      </c>
      <c r="E3064" s="3" t="s">
        <v>645</v>
      </c>
      <c r="F3064" s="3" t="s">
        <v>4185</v>
      </c>
      <c r="G3064" s="3" t="s">
        <v>39</v>
      </c>
      <c r="H3064" s="3" t="s">
        <v>253</v>
      </c>
      <c r="I3064" s="2">
        <v>57</v>
      </c>
      <c r="J3064" s="2">
        <v>57</v>
      </c>
      <c r="K3064" s="2">
        <v>1</v>
      </c>
      <c r="O3064" s="2">
        <v>20</v>
      </c>
      <c r="U3064" s="2">
        <v>9</v>
      </c>
      <c r="V3064" s="2">
        <v>7</v>
      </c>
      <c r="W3064" s="2">
        <v>9</v>
      </c>
      <c r="X3064" s="2">
        <v>5</v>
      </c>
      <c r="Z3064" s="2">
        <v>57</v>
      </c>
      <c r="AA3064" s="3" t="s">
        <v>57</v>
      </c>
      <c r="AB3064" s="2">
        <v>1</v>
      </c>
      <c r="AC3064" s="3" t="s">
        <v>3151</v>
      </c>
      <c r="AD3064" s="3" t="s">
        <v>3152</v>
      </c>
      <c r="AG3064" s="2">
        <v>2</v>
      </c>
      <c r="AH3064" s="3" t="s">
        <v>3201</v>
      </c>
      <c r="AI3064" s="4">
        <v>45118</v>
      </c>
      <c r="AJ3064" s="3" t="s">
        <v>3210</v>
      </c>
      <c r="AK3064" s="3" t="s">
        <v>645</v>
      </c>
    </row>
    <row r="3065" spans="1:37" hidden="1" x14ac:dyDescent="0.25">
      <c r="A3065" t="str">
        <f t="shared" si="47"/>
        <v>2023_Qld_Gatton_Mixed_LightTOS2VarietyNasmaWaterTrtIrrigatedAgronomy16_hr</v>
      </c>
      <c r="B3065" s="2">
        <v>2023036</v>
      </c>
      <c r="C3065" s="3" t="s">
        <v>3150</v>
      </c>
      <c r="D3065" s="3" t="s">
        <v>37</v>
      </c>
      <c r="E3065" s="3" t="s">
        <v>645</v>
      </c>
      <c r="F3065" s="3" t="s">
        <v>4186</v>
      </c>
      <c r="G3065" s="3" t="s">
        <v>43</v>
      </c>
      <c r="H3065" s="3" t="s">
        <v>253</v>
      </c>
      <c r="I3065" s="2">
        <v>58</v>
      </c>
      <c r="J3065" s="2">
        <v>58</v>
      </c>
      <c r="K3065" s="2">
        <v>1</v>
      </c>
      <c r="O3065" s="2">
        <v>20</v>
      </c>
      <c r="U3065" s="2">
        <v>10</v>
      </c>
      <c r="V3065" s="2">
        <v>7</v>
      </c>
      <c r="W3065" s="2">
        <v>10</v>
      </c>
      <c r="X3065" s="2">
        <v>5</v>
      </c>
      <c r="Z3065" s="2">
        <v>58</v>
      </c>
      <c r="AA3065" s="3" t="s">
        <v>57</v>
      </c>
      <c r="AB3065" s="2">
        <v>2</v>
      </c>
      <c r="AC3065" s="3" t="s">
        <v>3151</v>
      </c>
      <c r="AD3065" s="3" t="s">
        <v>3152</v>
      </c>
      <c r="AG3065" s="2">
        <v>2</v>
      </c>
      <c r="AH3065" s="3" t="s">
        <v>3201</v>
      </c>
      <c r="AI3065" s="4">
        <v>45118</v>
      </c>
      <c r="AJ3065" s="3" t="s">
        <v>3211</v>
      </c>
      <c r="AK3065" s="3" t="s">
        <v>645</v>
      </c>
    </row>
    <row r="3066" spans="1:37" hidden="1" x14ac:dyDescent="0.25">
      <c r="A3066" t="str">
        <f t="shared" si="47"/>
        <v>2023_Qld_Gatton_Mixed_LightTOS2VarietySamiraWaterTrtIrrigatedAgronomy16_hr</v>
      </c>
      <c r="B3066" s="2">
        <v>2023036</v>
      </c>
      <c r="C3066" s="3" t="s">
        <v>3150</v>
      </c>
      <c r="D3066" s="3" t="s">
        <v>37</v>
      </c>
      <c r="E3066" s="3" t="s">
        <v>645</v>
      </c>
      <c r="F3066" s="3" t="s">
        <v>4183</v>
      </c>
      <c r="G3066" s="3" t="s">
        <v>43</v>
      </c>
      <c r="H3066" s="3" t="s">
        <v>253</v>
      </c>
      <c r="I3066" s="2">
        <v>59</v>
      </c>
      <c r="J3066" s="2">
        <v>59</v>
      </c>
      <c r="K3066" s="2">
        <v>1</v>
      </c>
      <c r="O3066" s="2">
        <v>20</v>
      </c>
      <c r="U3066" s="2">
        <v>11</v>
      </c>
      <c r="V3066" s="2">
        <v>7</v>
      </c>
      <c r="W3066" s="2">
        <v>11</v>
      </c>
      <c r="X3066" s="2">
        <v>5</v>
      </c>
      <c r="Z3066" s="2">
        <v>59</v>
      </c>
      <c r="AA3066" s="3" t="s">
        <v>57</v>
      </c>
      <c r="AB3066" s="2">
        <v>4</v>
      </c>
      <c r="AC3066" s="3" t="s">
        <v>3151</v>
      </c>
      <c r="AD3066" s="3" t="s">
        <v>3152</v>
      </c>
      <c r="AG3066" s="2">
        <v>2</v>
      </c>
      <c r="AH3066" s="3" t="s">
        <v>3201</v>
      </c>
      <c r="AI3066" s="4">
        <v>45118</v>
      </c>
      <c r="AJ3066" s="3" t="s">
        <v>3212</v>
      </c>
      <c r="AK3066" s="3" t="s">
        <v>645</v>
      </c>
    </row>
    <row r="3067" spans="1:37" hidden="1" x14ac:dyDescent="0.25">
      <c r="A3067" t="str">
        <f t="shared" si="47"/>
        <v>2023_Qld_Gatton_Mixed_LightTOS2VarietyMarneWaterTrtIrrigatedAgronomy16_hr</v>
      </c>
      <c r="B3067" s="2">
        <v>2023036</v>
      </c>
      <c r="C3067" s="3" t="s">
        <v>3150</v>
      </c>
      <c r="D3067" s="3" t="s">
        <v>37</v>
      </c>
      <c r="E3067" s="3" t="s">
        <v>645</v>
      </c>
      <c r="F3067" s="3" t="s">
        <v>4184</v>
      </c>
      <c r="G3067" s="3" t="s">
        <v>39</v>
      </c>
      <c r="H3067" s="3" t="s">
        <v>253</v>
      </c>
      <c r="I3067" s="2">
        <v>60</v>
      </c>
      <c r="J3067" s="2">
        <v>60</v>
      </c>
      <c r="K3067" s="2">
        <v>1</v>
      </c>
      <c r="O3067" s="2">
        <v>20</v>
      </c>
      <c r="U3067" s="2">
        <v>12</v>
      </c>
      <c r="V3067" s="2">
        <v>7</v>
      </c>
      <c r="W3067" s="2">
        <v>12</v>
      </c>
      <c r="X3067" s="2">
        <v>5</v>
      </c>
      <c r="Z3067" s="2">
        <v>60</v>
      </c>
      <c r="AA3067" s="3" t="s">
        <v>57</v>
      </c>
      <c r="AB3067" s="2">
        <v>3</v>
      </c>
      <c r="AC3067" s="3" t="s">
        <v>3151</v>
      </c>
      <c r="AD3067" s="3" t="s">
        <v>3152</v>
      </c>
      <c r="AG3067" s="2">
        <v>2</v>
      </c>
      <c r="AH3067" s="3" t="s">
        <v>3201</v>
      </c>
      <c r="AI3067" s="4">
        <v>45118</v>
      </c>
      <c r="AJ3067" s="3" t="s">
        <v>3213</v>
      </c>
      <c r="AK3067" s="3" t="s">
        <v>645</v>
      </c>
    </row>
    <row r="3068" spans="1:37" hidden="1" x14ac:dyDescent="0.25">
      <c r="A3068" t="str">
        <f t="shared" si="47"/>
        <v>2023_Qld_Gatton_Mixed_LightTOS2VarietyBatemanWaterTrtIrrigatedAgronomy16_hr</v>
      </c>
      <c r="B3068" s="2">
        <v>2023036</v>
      </c>
      <c r="C3068" s="3" t="s">
        <v>3150</v>
      </c>
      <c r="D3068" s="3" t="s">
        <v>37</v>
      </c>
      <c r="E3068" s="3" t="s">
        <v>1931</v>
      </c>
      <c r="F3068" s="3" t="s">
        <v>4195</v>
      </c>
      <c r="G3068" s="3" t="s">
        <v>43</v>
      </c>
      <c r="H3068" s="3" t="s">
        <v>253</v>
      </c>
      <c r="I3068" s="2">
        <v>61</v>
      </c>
      <c r="J3068" s="2">
        <v>61</v>
      </c>
      <c r="K3068" s="2">
        <v>2</v>
      </c>
      <c r="O3068" s="2">
        <v>21</v>
      </c>
      <c r="U3068" s="2">
        <v>1</v>
      </c>
      <c r="V3068" s="2">
        <v>8</v>
      </c>
      <c r="W3068" s="2">
        <v>1</v>
      </c>
      <c r="X3068" s="2">
        <v>6</v>
      </c>
      <c r="Z3068" s="2">
        <v>72</v>
      </c>
      <c r="AA3068" s="3" t="s">
        <v>57</v>
      </c>
      <c r="AB3068" s="2">
        <v>9</v>
      </c>
      <c r="AC3068" s="3" t="s">
        <v>3151</v>
      </c>
      <c r="AD3068" s="3" t="s">
        <v>3152</v>
      </c>
      <c r="AG3068" s="2">
        <v>2</v>
      </c>
      <c r="AH3068" s="3" t="s">
        <v>3201</v>
      </c>
      <c r="AI3068" s="4">
        <v>45118</v>
      </c>
      <c r="AJ3068" s="3" t="s">
        <v>3214</v>
      </c>
      <c r="AK3068" s="3" t="s">
        <v>1931</v>
      </c>
    </row>
    <row r="3069" spans="1:37" hidden="1" x14ac:dyDescent="0.25">
      <c r="A3069" t="str">
        <f t="shared" si="47"/>
        <v>2023_Qld_Gatton_Mixed_LightTOS2VarietyJurienWaterTrtIrrigatedAgronomy16_hr</v>
      </c>
      <c r="B3069" s="2">
        <v>2023036</v>
      </c>
      <c r="C3069" s="3" t="s">
        <v>3150</v>
      </c>
      <c r="D3069" s="3" t="s">
        <v>37</v>
      </c>
      <c r="E3069" s="3" t="s">
        <v>1931</v>
      </c>
      <c r="F3069" s="3" t="s">
        <v>4194</v>
      </c>
      <c r="G3069" s="3" t="s">
        <v>39</v>
      </c>
      <c r="H3069" s="3" t="s">
        <v>253</v>
      </c>
      <c r="I3069" s="2">
        <v>62</v>
      </c>
      <c r="J3069" s="2">
        <v>62</v>
      </c>
      <c r="K3069" s="2">
        <v>2</v>
      </c>
      <c r="O3069" s="2">
        <v>21</v>
      </c>
      <c r="U3069" s="2">
        <v>2</v>
      </c>
      <c r="V3069" s="2">
        <v>8</v>
      </c>
      <c r="W3069" s="2">
        <v>2</v>
      </c>
      <c r="X3069" s="2">
        <v>6</v>
      </c>
      <c r="Z3069" s="2">
        <v>71</v>
      </c>
      <c r="AA3069" s="3" t="s">
        <v>57</v>
      </c>
      <c r="AB3069" s="2">
        <v>10</v>
      </c>
      <c r="AC3069" s="3" t="s">
        <v>3151</v>
      </c>
      <c r="AD3069" s="3" t="s">
        <v>3152</v>
      </c>
      <c r="AG3069" s="2">
        <v>2</v>
      </c>
      <c r="AH3069" s="3" t="s">
        <v>3201</v>
      </c>
      <c r="AI3069" s="4">
        <v>45118</v>
      </c>
      <c r="AJ3069" s="3" t="s">
        <v>3215</v>
      </c>
      <c r="AK3069" s="3" t="s">
        <v>1931</v>
      </c>
    </row>
    <row r="3070" spans="1:37" hidden="1" x14ac:dyDescent="0.25">
      <c r="A3070" t="str">
        <f t="shared" si="47"/>
        <v>2023_Qld_Gatton_Mixed_LightTOS2VarietyJindaleeWaterTrtIrrigatedAgronomy16_hr</v>
      </c>
      <c r="B3070" s="2">
        <v>2023036</v>
      </c>
      <c r="C3070" s="3" t="s">
        <v>3150</v>
      </c>
      <c r="D3070" s="3" t="s">
        <v>37</v>
      </c>
      <c r="E3070" s="3" t="s">
        <v>1931</v>
      </c>
      <c r="F3070" s="3" t="s">
        <v>2868</v>
      </c>
      <c r="G3070" s="3" t="s">
        <v>39</v>
      </c>
      <c r="H3070" s="3" t="s">
        <v>253</v>
      </c>
      <c r="I3070" s="2">
        <v>63</v>
      </c>
      <c r="J3070" s="2">
        <v>63</v>
      </c>
      <c r="K3070" s="2">
        <v>2</v>
      </c>
      <c r="O3070" s="2">
        <v>21</v>
      </c>
      <c r="U3070" s="2">
        <v>3</v>
      </c>
      <c r="V3070" s="2">
        <v>8</v>
      </c>
      <c r="W3070" s="2">
        <v>3</v>
      </c>
      <c r="X3070" s="2">
        <v>6</v>
      </c>
      <c r="Z3070" s="2">
        <v>70</v>
      </c>
      <c r="AA3070" s="3" t="s">
        <v>57</v>
      </c>
      <c r="AB3070" s="2">
        <v>11</v>
      </c>
      <c r="AC3070" s="3" t="s">
        <v>3151</v>
      </c>
      <c r="AD3070" s="3" t="s">
        <v>3152</v>
      </c>
      <c r="AG3070" s="2">
        <v>2</v>
      </c>
      <c r="AH3070" s="3" t="s">
        <v>3201</v>
      </c>
      <c r="AI3070" s="4">
        <v>45118</v>
      </c>
      <c r="AJ3070" s="3" t="s">
        <v>3216</v>
      </c>
      <c r="AK3070" s="3" t="s">
        <v>1931</v>
      </c>
    </row>
    <row r="3071" spans="1:37" hidden="1" x14ac:dyDescent="0.25">
      <c r="A3071" t="str">
        <f t="shared" si="47"/>
        <v>2023_Qld_Gatton_Mixed_LightTOS2VarietyWongaWaterTrtIrrigatedAgronomy16_hr</v>
      </c>
      <c r="B3071" s="2">
        <v>2023036</v>
      </c>
      <c r="C3071" s="3" t="s">
        <v>3150</v>
      </c>
      <c r="D3071" s="3" t="s">
        <v>37</v>
      </c>
      <c r="E3071" s="3" t="s">
        <v>1931</v>
      </c>
      <c r="F3071" s="3" t="s">
        <v>1932</v>
      </c>
      <c r="G3071" s="3" t="s">
        <v>39</v>
      </c>
      <c r="H3071" s="3" t="s">
        <v>253</v>
      </c>
      <c r="I3071" s="2">
        <v>64</v>
      </c>
      <c r="J3071" s="2">
        <v>64</v>
      </c>
      <c r="K3071" s="2">
        <v>2</v>
      </c>
      <c r="O3071" s="2">
        <v>22</v>
      </c>
      <c r="U3071" s="2">
        <v>4</v>
      </c>
      <c r="V3071" s="2">
        <v>8</v>
      </c>
      <c r="W3071" s="2">
        <v>4</v>
      </c>
      <c r="X3071" s="2">
        <v>6</v>
      </c>
      <c r="Z3071" s="2">
        <v>69</v>
      </c>
      <c r="AA3071" s="3" t="s">
        <v>57</v>
      </c>
      <c r="AB3071" s="2">
        <v>6</v>
      </c>
      <c r="AC3071" s="3" t="s">
        <v>3151</v>
      </c>
      <c r="AD3071" s="3" t="s">
        <v>3152</v>
      </c>
      <c r="AG3071" s="2">
        <v>2</v>
      </c>
      <c r="AH3071" s="3" t="s">
        <v>3201</v>
      </c>
      <c r="AI3071" s="4">
        <v>45118</v>
      </c>
      <c r="AJ3071" s="3" t="s">
        <v>3217</v>
      </c>
      <c r="AK3071" s="3" t="s">
        <v>1931</v>
      </c>
    </row>
    <row r="3072" spans="1:37" hidden="1" x14ac:dyDescent="0.25">
      <c r="A3072" t="str">
        <f t="shared" si="47"/>
        <v>2023_Qld_Gatton_Mixed_LightTOS2VarietyDrummondWaterTrtIrrigatedAgronomy16_hr</v>
      </c>
      <c r="B3072" s="2">
        <v>2023036</v>
      </c>
      <c r="C3072" s="3" t="s">
        <v>3150</v>
      </c>
      <c r="D3072" s="3" t="s">
        <v>37</v>
      </c>
      <c r="E3072" s="3" t="s">
        <v>248</v>
      </c>
      <c r="F3072" s="3" t="s">
        <v>4182</v>
      </c>
      <c r="G3072" s="3" t="s">
        <v>39</v>
      </c>
      <c r="H3072" s="3" t="s">
        <v>253</v>
      </c>
      <c r="I3072" s="2">
        <v>65</v>
      </c>
      <c r="J3072" s="2">
        <v>65</v>
      </c>
      <c r="K3072" s="2">
        <v>2</v>
      </c>
      <c r="O3072" s="2">
        <v>22</v>
      </c>
      <c r="U3072" s="2">
        <v>5</v>
      </c>
      <c r="V3072" s="2">
        <v>8</v>
      </c>
      <c r="W3072" s="2">
        <v>5</v>
      </c>
      <c r="X3072" s="2">
        <v>6</v>
      </c>
      <c r="Z3072" s="2">
        <v>68</v>
      </c>
      <c r="AA3072" s="3" t="s">
        <v>57</v>
      </c>
      <c r="AB3072" s="2">
        <v>5</v>
      </c>
      <c r="AC3072" s="3" t="s">
        <v>3151</v>
      </c>
      <c r="AD3072" s="3" t="s">
        <v>3152</v>
      </c>
      <c r="AG3072" s="2">
        <v>2</v>
      </c>
      <c r="AH3072" s="3" t="s">
        <v>3201</v>
      </c>
      <c r="AI3072" s="4">
        <v>45118</v>
      </c>
      <c r="AJ3072" s="3" t="s">
        <v>3218</v>
      </c>
      <c r="AK3072" s="3" t="s">
        <v>248</v>
      </c>
    </row>
    <row r="3073" spans="1:37" hidden="1" x14ac:dyDescent="0.25">
      <c r="A3073" t="str">
        <f t="shared" si="47"/>
        <v>2023_Qld_Gatton_Mixed_LightTOS2VarietyCBA_CaptainWaterTrtIrrigatedAgronomy16_hr</v>
      </c>
      <c r="B3073" s="2">
        <v>2023036</v>
      </c>
      <c r="C3073" s="3" t="s">
        <v>3150</v>
      </c>
      <c r="D3073" s="3" t="s">
        <v>37</v>
      </c>
      <c r="E3073" s="3" t="s">
        <v>248</v>
      </c>
      <c r="F3073" s="3" t="s">
        <v>249</v>
      </c>
      <c r="G3073" s="3" t="s">
        <v>43</v>
      </c>
      <c r="H3073" s="3" t="s">
        <v>253</v>
      </c>
      <c r="I3073" s="2">
        <v>66</v>
      </c>
      <c r="J3073" s="2">
        <v>66</v>
      </c>
      <c r="K3073" s="2">
        <v>2</v>
      </c>
      <c r="O3073" s="2">
        <v>22</v>
      </c>
      <c r="U3073" s="2">
        <v>6</v>
      </c>
      <c r="V3073" s="2">
        <v>8</v>
      </c>
      <c r="W3073" s="2">
        <v>6</v>
      </c>
      <c r="X3073" s="2">
        <v>6</v>
      </c>
      <c r="Z3073" s="2">
        <v>67</v>
      </c>
      <c r="AA3073" s="3" t="s">
        <v>57</v>
      </c>
      <c r="AB3073" s="2">
        <v>8</v>
      </c>
      <c r="AC3073" s="3" t="s">
        <v>3151</v>
      </c>
      <c r="AD3073" s="3" t="s">
        <v>3152</v>
      </c>
      <c r="AG3073" s="2">
        <v>2</v>
      </c>
      <c r="AH3073" s="3" t="s">
        <v>3201</v>
      </c>
      <c r="AI3073" s="4">
        <v>45118</v>
      </c>
      <c r="AJ3073" s="3" t="s">
        <v>3219</v>
      </c>
      <c r="AK3073" s="3" t="s">
        <v>248</v>
      </c>
    </row>
    <row r="3074" spans="1:37" hidden="1" x14ac:dyDescent="0.25">
      <c r="A3074" t="str">
        <f t="shared" si="47"/>
        <v>2023_Qld_Gatton_Mixed_LightTOS2VarietyKelpieXTWaterTrtIrrigatedAgronomy16_hr</v>
      </c>
      <c r="B3074" s="2">
        <v>2023036</v>
      </c>
      <c r="C3074" s="3" t="s">
        <v>3150</v>
      </c>
      <c r="D3074" s="3" t="s">
        <v>37</v>
      </c>
      <c r="E3074" s="3" t="s">
        <v>38</v>
      </c>
      <c r="F3074" s="3" t="s">
        <v>4188</v>
      </c>
      <c r="G3074" s="3" t="s">
        <v>43</v>
      </c>
      <c r="H3074" s="3" t="s">
        <v>253</v>
      </c>
      <c r="I3074" s="2">
        <v>67</v>
      </c>
      <c r="J3074" s="2">
        <v>67</v>
      </c>
      <c r="K3074" s="2">
        <v>2</v>
      </c>
      <c r="O3074" s="2">
        <v>22</v>
      </c>
      <c r="U3074" s="2">
        <v>7</v>
      </c>
      <c r="V3074" s="2">
        <v>8</v>
      </c>
      <c r="W3074" s="2">
        <v>7</v>
      </c>
      <c r="X3074" s="2">
        <v>6</v>
      </c>
      <c r="Z3074" s="2">
        <v>66</v>
      </c>
      <c r="AA3074" s="3" t="s">
        <v>57</v>
      </c>
      <c r="AB3074" s="2">
        <v>7</v>
      </c>
      <c r="AC3074" s="3" t="s">
        <v>3151</v>
      </c>
      <c r="AD3074" s="3" t="s">
        <v>3152</v>
      </c>
      <c r="AG3074" s="2">
        <v>2</v>
      </c>
      <c r="AH3074" s="3" t="s">
        <v>3201</v>
      </c>
      <c r="AI3074" s="4">
        <v>45118</v>
      </c>
      <c r="AJ3074" s="3" t="s">
        <v>3220</v>
      </c>
      <c r="AK3074" s="3" t="s">
        <v>38</v>
      </c>
    </row>
    <row r="3075" spans="1:37" hidden="1" x14ac:dyDescent="0.25">
      <c r="A3075" t="str">
        <f t="shared" ref="A3075:A3138" si="48">C3075&amp;"TOS"&amp;AG3075&amp;"Variety"&amp;F3075&amp;"WaterTrt"&amp;AA3075&amp;IF(AC3075="","","Agronomy"&amp;AC3075)</f>
        <v>2023_Qld_Gatton_Mixed_LightTOS2VarietyHatTrickWaterTrtIrrigatedAgronomy16_hr</v>
      </c>
      <c r="B3075" s="2">
        <v>2023036</v>
      </c>
      <c r="C3075" s="3" t="s">
        <v>3150</v>
      </c>
      <c r="D3075" s="3" t="s">
        <v>37</v>
      </c>
      <c r="E3075" s="3" t="s">
        <v>248</v>
      </c>
      <c r="F3075" s="3" t="s">
        <v>4178</v>
      </c>
      <c r="G3075" s="3" t="s">
        <v>39</v>
      </c>
      <c r="H3075" s="3" t="s">
        <v>253</v>
      </c>
      <c r="I3075" s="2">
        <v>68</v>
      </c>
      <c r="J3075" s="2">
        <v>68</v>
      </c>
      <c r="K3075" s="2">
        <v>2</v>
      </c>
      <c r="O3075" s="2">
        <v>23</v>
      </c>
      <c r="U3075" s="2">
        <v>8</v>
      </c>
      <c r="V3075" s="2">
        <v>8</v>
      </c>
      <c r="W3075" s="2">
        <v>8</v>
      </c>
      <c r="X3075" s="2">
        <v>6</v>
      </c>
      <c r="Z3075" s="2">
        <v>65</v>
      </c>
      <c r="AA3075" s="3" t="s">
        <v>57</v>
      </c>
      <c r="AB3075" s="2">
        <v>2</v>
      </c>
      <c r="AC3075" s="3" t="s">
        <v>3151</v>
      </c>
      <c r="AD3075" s="3" t="s">
        <v>3152</v>
      </c>
      <c r="AG3075" s="2">
        <v>2</v>
      </c>
      <c r="AH3075" s="3" t="s">
        <v>3201</v>
      </c>
      <c r="AI3075" s="4">
        <v>45118</v>
      </c>
      <c r="AJ3075" s="3" t="s">
        <v>3221</v>
      </c>
      <c r="AK3075" s="3" t="s">
        <v>248</v>
      </c>
    </row>
    <row r="3076" spans="1:37" hidden="1" x14ac:dyDescent="0.25">
      <c r="A3076" t="str">
        <f t="shared" si="48"/>
        <v>2023_Qld_Gatton_Mixed_LightTOS2VarietyNasmaWaterTrtIrrigatedAgronomy16_hr</v>
      </c>
      <c r="B3076" s="2">
        <v>2023036</v>
      </c>
      <c r="C3076" s="3" t="s">
        <v>3150</v>
      </c>
      <c r="D3076" s="3" t="s">
        <v>37</v>
      </c>
      <c r="E3076" s="3" t="s">
        <v>645</v>
      </c>
      <c r="F3076" s="3" t="s">
        <v>4186</v>
      </c>
      <c r="G3076" s="3" t="s">
        <v>43</v>
      </c>
      <c r="H3076" s="3" t="s">
        <v>253</v>
      </c>
      <c r="I3076" s="2">
        <v>69</v>
      </c>
      <c r="J3076" s="2">
        <v>69</v>
      </c>
      <c r="K3076" s="2">
        <v>2</v>
      </c>
      <c r="O3076" s="2">
        <v>23</v>
      </c>
      <c r="U3076" s="2">
        <v>9</v>
      </c>
      <c r="V3076" s="2">
        <v>8</v>
      </c>
      <c r="W3076" s="2">
        <v>9</v>
      </c>
      <c r="X3076" s="2">
        <v>6</v>
      </c>
      <c r="Z3076" s="2">
        <v>64</v>
      </c>
      <c r="AA3076" s="3" t="s">
        <v>57</v>
      </c>
      <c r="AB3076" s="2">
        <v>4</v>
      </c>
      <c r="AC3076" s="3" t="s">
        <v>3151</v>
      </c>
      <c r="AD3076" s="3" t="s">
        <v>3152</v>
      </c>
      <c r="AG3076" s="2">
        <v>2</v>
      </c>
      <c r="AH3076" s="3" t="s">
        <v>3201</v>
      </c>
      <c r="AI3076" s="4">
        <v>45118</v>
      </c>
      <c r="AJ3076" s="3" t="s">
        <v>3222</v>
      </c>
      <c r="AK3076" s="3" t="s">
        <v>645</v>
      </c>
    </row>
    <row r="3077" spans="1:37" hidden="1" x14ac:dyDescent="0.25">
      <c r="A3077" t="str">
        <f t="shared" si="48"/>
        <v>2023_Qld_Gatton_Mixed_LightTOS2VarietySamiraWaterTrtIrrigatedAgronomy16_hr</v>
      </c>
      <c r="B3077" s="2">
        <v>2023036</v>
      </c>
      <c r="C3077" s="3" t="s">
        <v>3150</v>
      </c>
      <c r="D3077" s="3" t="s">
        <v>37</v>
      </c>
      <c r="E3077" s="3" t="s">
        <v>645</v>
      </c>
      <c r="F3077" s="3" t="s">
        <v>4183</v>
      </c>
      <c r="G3077" s="3" t="s">
        <v>43</v>
      </c>
      <c r="H3077" s="3" t="s">
        <v>253</v>
      </c>
      <c r="I3077" s="2">
        <v>70</v>
      </c>
      <c r="J3077" s="2">
        <v>70</v>
      </c>
      <c r="K3077" s="2">
        <v>2</v>
      </c>
      <c r="O3077" s="2">
        <v>23</v>
      </c>
      <c r="U3077" s="2">
        <v>10</v>
      </c>
      <c r="V3077" s="2">
        <v>8</v>
      </c>
      <c r="W3077" s="2">
        <v>10</v>
      </c>
      <c r="X3077" s="2">
        <v>6</v>
      </c>
      <c r="Z3077" s="2">
        <v>63</v>
      </c>
      <c r="AA3077" s="3" t="s">
        <v>57</v>
      </c>
      <c r="AB3077" s="2">
        <v>3</v>
      </c>
      <c r="AC3077" s="3" t="s">
        <v>3151</v>
      </c>
      <c r="AD3077" s="3" t="s">
        <v>3152</v>
      </c>
      <c r="AG3077" s="2">
        <v>2</v>
      </c>
      <c r="AH3077" s="3" t="s">
        <v>3201</v>
      </c>
      <c r="AI3077" s="4">
        <v>45118</v>
      </c>
      <c r="AJ3077" s="3" t="s">
        <v>3223</v>
      </c>
      <c r="AK3077" s="3" t="s">
        <v>645</v>
      </c>
    </row>
    <row r="3078" spans="1:37" hidden="1" x14ac:dyDescent="0.25">
      <c r="A3078" t="str">
        <f t="shared" si="48"/>
        <v>2023_Qld_Gatton_Mixed_LightTOS2VarietyMarneWaterTrtIrrigatedAgronomy16_hr</v>
      </c>
      <c r="B3078" s="2">
        <v>2023036</v>
      </c>
      <c r="C3078" s="3" t="s">
        <v>3150</v>
      </c>
      <c r="D3078" s="3" t="s">
        <v>37</v>
      </c>
      <c r="E3078" s="3" t="s">
        <v>645</v>
      </c>
      <c r="F3078" s="3" t="s">
        <v>4184</v>
      </c>
      <c r="G3078" s="3" t="s">
        <v>39</v>
      </c>
      <c r="H3078" s="3" t="s">
        <v>253</v>
      </c>
      <c r="I3078" s="2">
        <v>71</v>
      </c>
      <c r="J3078" s="2">
        <v>71</v>
      </c>
      <c r="K3078" s="2">
        <v>2</v>
      </c>
      <c r="O3078" s="2">
        <v>23</v>
      </c>
      <c r="U3078" s="2">
        <v>11</v>
      </c>
      <c r="V3078" s="2">
        <v>8</v>
      </c>
      <c r="W3078" s="2">
        <v>11</v>
      </c>
      <c r="X3078" s="2">
        <v>6</v>
      </c>
      <c r="Z3078" s="2">
        <v>62</v>
      </c>
      <c r="AA3078" s="3" t="s">
        <v>57</v>
      </c>
      <c r="AB3078" s="2">
        <v>1</v>
      </c>
      <c r="AC3078" s="3" t="s">
        <v>3151</v>
      </c>
      <c r="AD3078" s="3" t="s">
        <v>3152</v>
      </c>
      <c r="AG3078" s="2">
        <v>2</v>
      </c>
      <c r="AH3078" s="3" t="s">
        <v>3201</v>
      </c>
      <c r="AI3078" s="4">
        <v>45118</v>
      </c>
      <c r="AJ3078" s="3" t="s">
        <v>3224</v>
      </c>
      <c r="AK3078" s="3" t="s">
        <v>645</v>
      </c>
    </row>
    <row r="3079" spans="1:37" hidden="1" x14ac:dyDescent="0.25">
      <c r="A3079" t="str">
        <f t="shared" si="48"/>
        <v>2023_Qld_Gatton_Mixed_LightTOS2VarietyAmberleyWaterTrtIrrigatedAgronomy16_hr</v>
      </c>
      <c r="B3079" s="2">
        <v>2023036</v>
      </c>
      <c r="C3079" s="3" t="s">
        <v>3150</v>
      </c>
      <c r="D3079" s="3" t="s">
        <v>37</v>
      </c>
      <c r="E3079" s="3" t="s">
        <v>645</v>
      </c>
      <c r="F3079" s="3" t="s">
        <v>4185</v>
      </c>
      <c r="G3079" s="3" t="s">
        <v>39</v>
      </c>
      <c r="H3079" s="3" t="s">
        <v>253</v>
      </c>
      <c r="I3079" s="2">
        <v>72</v>
      </c>
      <c r="J3079" s="2">
        <v>72</v>
      </c>
      <c r="K3079" s="2">
        <v>2</v>
      </c>
      <c r="O3079" s="2">
        <v>24</v>
      </c>
      <c r="U3079" s="2">
        <v>12</v>
      </c>
      <c r="V3079" s="2">
        <v>8</v>
      </c>
      <c r="W3079" s="2">
        <v>12</v>
      </c>
      <c r="X3079" s="2">
        <v>6</v>
      </c>
      <c r="Z3079" s="2">
        <v>61</v>
      </c>
      <c r="AA3079" s="3" t="s">
        <v>57</v>
      </c>
      <c r="AB3079" s="2">
        <v>12</v>
      </c>
      <c r="AC3079" s="3" t="s">
        <v>3151</v>
      </c>
      <c r="AD3079" s="3" t="s">
        <v>3152</v>
      </c>
      <c r="AG3079" s="2">
        <v>2</v>
      </c>
      <c r="AH3079" s="3" t="s">
        <v>3201</v>
      </c>
      <c r="AI3079" s="4">
        <v>45118</v>
      </c>
      <c r="AJ3079" s="3" t="s">
        <v>3225</v>
      </c>
      <c r="AK3079" s="3" t="s">
        <v>645</v>
      </c>
    </row>
    <row r="3080" spans="1:37" hidden="1" x14ac:dyDescent="0.25">
      <c r="A3080" t="str">
        <f t="shared" si="48"/>
        <v>2023_Qld_Gatton_Mixed_LightTOS2VarietyNasmaWaterTrtIrrigatedAgronomy16_hr</v>
      </c>
      <c r="B3080" s="2">
        <v>2023036</v>
      </c>
      <c r="C3080" s="3" t="s">
        <v>3150</v>
      </c>
      <c r="D3080" s="3" t="s">
        <v>37</v>
      </c>
      <c r="E3080" s="3" t="s">
        <v>645</v>
      </c>
      <c r="F3080" s="3" t="s">
        <v>4186</v>
      </c>
      <c r="G3080" s="3" t="s">
        <v>43</v>
      </c>
      <c r="H3080" s="3" t="s">
        <v>253</v>
      </c>
      <c r="I3080" s="2">
        <v>73</v>
      </c>
      <c r="J3080" s="2">
        <v>73</v>
      </c>
      <c r="K3080" s="2">
        <v>3</v>
      </c>
      <c r="O3080" s="2">
        <v>25</v>
      </c>
      <c r="U3080" s="2">
        <v>1</v>
      </c>
      <c r="V3080" s="2">
        <v>9</v>
      </c>
      <c r="W3080" s="2">
        <v>1</v>
      </c>
      <c r="X3080" s="2">
        <v>7</v>
      </c>
      <c r="Z3080" s="2">
        <v>73</v>
      </c>
      <c r="AA3080" s="3" t="s">
        <v>57</v>
      </c>
      <c r="AB3080" s="2">
        <v>12</v>
      </c>
      <c r="AC3080" s="3" t="s">
        <v>3151</v>
      </c>
      <c r="AD3080" s="3" t="s">
        <v>3152</v>
      </c>
      <c r="AG3080" s="2">
        <v>2</v>
      </c>
      <c r="AH3080" s="3" t="s">
        <v>3201</v>
      </c>
      <c r="AI3080" s="4">
        <v>45118</v>
      </c>
      <c r="AJ3080" s="3" t="s">
        <v>3226</v>
      </c>
      <c r="AK3080" s="3" t="s">
        <v>645</v>
      </c>
    </row>
    <row r="3081" spans="1:37" hidden="1" x14ac:dyDescent="0.25">
      <c r="A3081" t="str">
        <f t="shared" si="48"/>
        <v>2023_Qld_Gatton_Mixed_LightTOS2VarietySamiraWaterTrtIrrigatedAgronomy16_hr</v>
      </c>
      <c r="B3081" s="2">
        <v>2023036</v>
      </c>
      <c r="C3081" s="3" t="s">
        <v>3150</v>
      </c>
      <c r="D3081" s="3" t="s">
        <v>37</v>
      </c>
      <c r="E3081" s="3" t="s">
        <v>645</v>
      </c>
      <c r="F3081" s="3" t="s">
        <v>4183</v>
      </c>
      <c r="G3081" s="3" t="s">
        <v>43</v>
      </c>
      <c r="H3081" s="3" t="s">
        <v>253</v>
      </c>
      <c r="I3081" s="2">
        <v>74</v>
      </c>
      <c r="J3081" s="2">
        <v>74</v>
      </c>
      <c r="K3081" s="2">
        <v>3</v>
      </c>
      <c r="O3081" s="2">
        <v>26</v>
      </c>
      <c r="U3081" s="2">
        <v>2</v>
      </c>
      <c r="V3081" s="2">
        <v>9</v>
      </c>
      <c r="W3081" s="2">
        <v>2</v>
      </c>
      <c r="X3081" s="2">
        <v>7</v>
      </c>
      <c r="Z3081" s="2">
        <v>74</v>
      </c>
      <c r="AA3081" s="3" t="s">
        <v>57</v>
      </c>
      <c r="AB3081" s="2">
        <v>4</v>
      </c>
      <c r="AC3081" s="3" t="s">
        <v>3151</v>
      </c>
      <c r="AD3081" s="3" t="s">
        <v>3152</v>
      </c>
      <c r="AG3081" s="2">
        <v>2</v>
      </c>
      <c r="AH3081" s="3" t="s">
        <v>3201</v>
      </c>
      <c r="AI3081" s="4">
        <v>45118</v>
      </c>
      <c r="AJ3081" s="3" t="s">
        <v>3227</v>
      </c>
      <c r="AK3081" s="3" t="s">
        <v>645</v>
      </c>
    </row>
    <row r="3082" spans="1:37" hidden="1" x14ac:dyDescent="0.25">
      <c r="A3082" t="str">
        <f t="shared" si="48"/>
        <v>2023_Qld_Gatton_Mixed_LightTOS2VarietyMarneWaterTrtIrrigatedAgronomy16_hr</v>
      </c>
      <c r="B3082" s="2">
        <v>2023036</v>
      </c>
      <c r="C3082" s="3" t="s">
        <v>3150</v>
      </c>
      <c r="D3082" s="3" t="s">
        <v>37</v>
      </c>
      <c r="E3082" s="3" t="s">
        <v>645</v>
      </c>
      <c r="F3082" s="3" t="s">
        <v>4184</v>
      </c>
      <c r="G3082" s="3" t="s">
        <v>39</v>
      </c>
      <c r="H3082" s="3" t="s">
        <v>253</v>
      </c>
      <c r="I3082" s="2">
        <v>75</v>
      </c>
      <c r="J3082" s="2">
        <v>75</v>
      </c>
      <c r="K3082" s="2">
        <v>3</v>
      </c>
      <c r="O3082" s="2">
        <v>26</v>
      </c>
      <c r="U3082" s="2">
        <v>3</v>
      </c>
      <c r="V3082" s="2">
        <v>9</v>
      </c>
      <c r="W3082" s="2">
        <v>3</v>
      </c>
      <c r="X3082" s="2">
        <v>7</v>
      </c>
      <c r="Z3082" s="2">
        <v>75</v>
      </c>
      <c r="AA3082" s="3" t="s">
        <v>57</v>
      </c>
      <c r="AB3082" s="2">
        <v>2</v>
      </c>
      <c r="AC3082" s="3" t="s">
        <v>3151</v>
      </c>
      <c r="AD3082" s="3" t="s">
        <v>3152</v>
      </c>
      <c r="AG3082" s="2">
        <v>2</v>
      </c>
      <c r="AH3082" s="3" t="s">
        <v>3201</v>
      </c>
      <c r="AI3082" s="4">
        <v>45118</v>
      </c>
      <c r="AJ3082" s="3" t="s">
        <v>3228</v>
      </c>
      <c r="AK3082" s="3" t="s">
        <v>645</v>
      </c>
    </row>
    <row r="3083" spans="1:37" hidden="1" x14ac:dyDescent="0.25">
      <c r="A3083" t="str">
        <f t="shared" si="48"/>
        <v>2023_Qld_Gatton_Mixed_LightTOS2VarietyAmberleyWaterTrtIrrigatedAgronomy16_hr</v>
      </c>
      <c r="B3083" s="2">
        <v>2023036</v>
      </c>
      <c r="C3083" s="3" t="s">
        <v>3150</v>
      </c>
      <c r="D3083" s="3" t="s">
        <v>37</v>
      </c>
      <c r="E3083" s="3" t="s">
        <v>645</v>
      </c>
      <c r="F3083" s="3" t="s">
        <v>4185</v>
      </c>
      <c r="G3083" s="3" t="s">
        <v>39</v>
      </c>
      <c r="H3083" s="3" t="s">
        <v>253</v>
      </c>
      <c r="I3083" s="2">
        <v>76</v>
      </c>
      <c r="J3083" s="2">
        <v>76</v>
      </c>
      <c r="K3083" s="2">
        <v>3</v>
      </c>
      <c r="O3083" s="2">
        <v>26</v>
      </c>
      <c r="U3083" s="2">
        <v>4</v>
      </c>
      <c r="V3083" s="2">
        <v>9</v>
      </c>
      <c r="W3083" s="2">
        <v>4</v>
      </c>
      <c r="X3083" s="2">
        <v>7</v>
      </c>
      <c r="Z3083" s="2">
        <v>76</v>
      </c>
      <c r="AA3083" s="3" t="s">
        <v>57</v>
      </c>
      <c r="AB3083" s="2">
        <v>1</v>
      </c>
      <c r="AC3083" s="3" t="s">
        <v>3151</v>
      </c>
      <c r="AD3083" s="3" t="s">
        <v>3152</v>
      </c>
      <c r="AG3083" s="2">
        <v>2</v>
      </c>
      <c r="AH3083" s="3" t="s">
        <v>3201</v>
      </c>
      <c r="AI3083" s="4">
        <v>45118</v>
      </c>
      <c r="AJ3083" s="3" t="s">
        <v>3229</v>
      </c>
      <c r="AK3083" s="3" t="s">
        <v>645</v>
      </c>
    </row>
    <row r="3084" spans="1:37" hidden="1" x14ac:dyDescent="0.25">
      <c r="A3084" t="str">
        <f t="shared" si="48"/>
        <v>2023_Qld_Gatton_Mixed_LightTOS2VarietyBatemanWaterTrtIrrigatedAgronomy16_hr</v>
      </c>
      <c r="B3084" s="2">
        <v>2023036</v>
      </c>
      <c r="C3084" s="3" t="s">
        <v>3150</v>
      </c>
      <c r="D3084" s="3" t="s">
        <v>37</v>
      </c>
      <c r="E3084" s="3" t="s">
        <v>1931</v>
      </c>
      <c r="F3084" s="3" t="s">
        <v>4195</v>
      </c>
      <c r="G3084" s="3" t="s">
        <v>43</v>
      </c>
      <c r="H3084" s="3" t="s">
        <v>253</v>
      </c>
      <c r="I3084" s="2">
        <v>77</v>
      </c>
      <c r="J3084" s="2">
        <v>77</v>
      </c>
      <c r="K3084" s="2">
        <v>3</v>
      </c>
      <c r="O3084" s="2">
        <v>26</v>
      </c>
      <c r="U3084" s="2">
        <v>5</v>
      </c>
      <c r="V3084" s="2">
        <v>9</v>
      </c>
      <c r="W3084" s="2">
        <v>5</v>
      </c>
      <c r="X3084" s="2">
        <v>7</v>
      </c>
      <c r="Z3084" s="2">
        <v>77</v>
      </c>
      <c r="AA3084" s="3" t="s">
        <v>57</v>
      </c>
      <c r="AB3084" s="2">
        <v>3</v>
      </c>
      <c r="AC3084" s="3" t="s">
        <v>3151</v>
      </c>
      <c r="AD3084" s="3" t="s">
        <v>3152</v>
      </c>
      <c r="AG3084" s="2">
        <v>2</v>
      </c>
      <c r="AH3084" s="3" t="s">
        <v>3201</v>
      </c>
      <c r="AI3084" s="4">
        <v>45118</v>
      </c>
      <c r="AJ3084" s="3" t="s">
        <v>3230</v>
      </c>
      <c r="AK3084" s="3" t="s">
        <v>1931</v>
      </c>
    </row>
    <row r="3085" spans="1:37" hidden="1" x14ac:dyDescent="0.25">
      <c r="A3085" t="str">
        <f t="shared" si="48"/>
        <v>2023_Qld_Gatton_Mixed_LightTOS2VarietyJurienWaterTrtIrrigatedAgronomy16_hr</v>
      </c>
      <c r="B3085" s="2">
        <v>2023036</v>
      </c>
      <c r="C3085" s="3" t="s">
        <v>3150</v>
      </c>
      <c r="D3085" s="3" t="s">
        <v>37</v>
      </c>
      <c r="E3085" s="3" t="s">
        <v>1931</v>
      </c>
      <c r="F3085" s="3" t="s">
        <v>4194</v>
      </c>
      <c r="G3085" s="3" t="s">
        <v>39</v>
      </c>
      <c r="H3085" s="3" t="s">
        <v>253</v>
      </c>
      <c r="I3085" s="2">
        <v>78</v>
      </c>
      <c r="J3085" s="2">
        <v>78</v>
      </c>
      <c r="K3085" s="2">
        <v>3</v>
      </c>
      <c r="O3085" s="2">
        <v>27</v>
      </c>
      <c r="U3085" s="2">
        <v>6</v>
      </c>
      <c r="V3085" s="2">
        <v>9</v>
      </c>
      <c r="W3085" s="2">
        <v>6</v>
      </c>
      <c r="X3085" s="2">
        <v>7</v>
      </c>
      <c r="Z3085" s="2">
        <v>78</v>
      </c>
      <c r="AA3085" s="3" t="s">
        <v>57</v>
      </c>
      <c r="AB3085" s="2">
        <v>11</v>
      </c>
      <c r="AC3085" s="3" t="s">
        <v>3151</v>
      </c>
      <c r="AD3085" s="3" t="s">
        <v>3152</v>
      </c>
      <c r="AG3085" s="2">
        <v>2</v>
      </c>
      <c r="AH3085" s="3" t="s">
        <v>3201</v>
      </c>
      <c r="AI3085" s="4">
        <v>45118</v>
      </c>
      <c r="AJ3085" s="3" t="s">
        <v>3231</v>
      </c>
      <c r="AK3085" s="3" t="s">
        <v>1931</v>
      </c>
    </row>
    <row r="3086" spans="1:37" hidden="1" x14ac:dyDescent="0.25">
      <c r="A3086" t="str">
        <f t="shared" si="48"/>
        <v>2023_Qld_Gatton_Mixed_LightTOS2VarietyJindaleeWaterTrtIrrigatedAgronomy16_hr</v>
      </c>
      <c r="B3086" s="2">
        <v>2023036</v>
      </c>
      <c r="C3086" s="3" t="s">
        <v>3150</v>
      </c>
      <c r="D3086" s="3" t="s">
        <v>37</v>
      </c>
      <c r="E3086" s="3" t="s">
        <v>1931</v>
      </c>
      <c r="F3086" s="3" t="s">
        <v>2868</v>
      </c>
      <c r="G3086" s="3" t="s">
        <v>39</v>
      </c>
      <c r="H3086" s="3" t="s">
        <v>253</v>
      </c>
      <c r="I3086" s="2">
        <v>79</v>
      </c>
      <c r="J3086" s="2">
        <v>79</v>
      </c>
      <c r="K3086" s="2">
        <v>3</v>
      </c>
      <c r="O3086" s="2">
        <v>27</v>
      </c>
      <c r="U3086" s="2">
        <v>7</v>
      </c>
      <c r="V3086" s="2">
        <v>9</v>
      </c>
      <c r="W3086" s="2">
        <v>7</v>
      </c>
      <c r="X3086" s="2">
        <v>7</v>
      </c>
      <c r="Z3086" s="2">
        <v>79</v>
      </c>
      <c r="AA3086" s="3" t="s">
        <v>57</v>
      </c>
      <c r="AB3086" s="2">
        <v>10</v>
      </c>
      <c r="AC3086" s="3" t="s">
        <v>3151</v>
      </c>
      <c r="AD3086" s="3" t="s">
        <v>3152</v>
      </c>
      <c r="AG3086" s="2">
        <v>2</v>
      </c>
      <c r="AH3086" s="3" t="s">
        <v>3201</v>
      </c>
      <c r="AI3086" s="4">
        <v>45118</v>
      </c>
      <c r="AJ3086" s="3" t="s">
        <v>3232</v>
      </c>
      <c r="AK3086" s="3" t="s">
        <v>1931</v>
      </c>
    </row>
    <row r="3087" spans="1:37" hidden="1" x14ac:dyDescent="0.25">
      <c r="A3087" t="str">
        <f t="shared" si="48"/>
        <v>2023_Qld_Gatton_Mixed_LightTOS2VarietyWongaWaterTrtIrrigatedAgronomy16_hr</v>
      </c>
      <c r="B3087" s="2">
        <v>2023036</v>
      </c>
      <c r="C3087" s="3" t="s">
        <v>3150</v>
      </c>
      <c r="D3087" s="3" t="s">
        <v>37</v>
      </c>
      <c r="E3087" s="3" t="s">
        <v>1931</v>
      </c>
      <c r="F3087" s="3" t="s">
        <v>1932</v>
      </c>
      <c r="G3087" s="3" t="s">
        <v>39</v>
      </c>
      <c r="H3087" s="3" t="s">
        <v>253</v>
      </c>
      <c r="I3087" s="2">
        <v>80</v>
      </c>
      <c r="J3087" s="2">
        <v>80</v>
      </c>
      <c r="K3087" s="2">
        <v>3</v>
      </c>
      <c r="O3087" s="2">
        <v>27</v>
      </c>
      <c r="U3087" s="2">
        <v>8</v>
      </c>
      <c r="V3087" s="2">
        <v>9</v>
      </c>
      <c r="W3087" s="2">
        <v>8</v>
      </c>
      <c r="X3087" s="2">
        <v>7</v>
      </c>
      <c r="Z3087" s="2">
        <v>80</v>
      </c>
      <c r="AA3087" s="3" t="s">
        <v>57</v>
      </c>
      <c r="AB3087" s="2">
        <v>9</v>
      </c>
      <c r="AC3087" s="3" t="s">
        <v>3151</v>
      </c>
      <c r="AD3087" s="3" t="s">
        <v>3152</v>
      </c>
      <c r="AG3087" s="2">
        <v>2</v>
      </c>
      <c r="AH3087" s="3" t="s">
        <v>3201</v>
      </c>
      <c r="AI3087" s="4">
        <v>45118</v>
      </c>
      <c r="AJ3087" s="3" t="s">
        <v>3233</v>
      </c>
      <c r="AK3087" s="3" t="s">
        <v>1931</v>
      </c>
    </row>
    <row r="3088" spans="1:37" hidden="1" x14ac:dyDescent="0.25">
      <c r="A3088" t="str">
        <f t="shared" si="48"/>
        <v>2023_Qld_Gatton_Mixed_LightTOS2VarietyDrummondWaterTrtIrrigatedAgronomy16_hr</v>
      </c>
      <c r="B3088" s="2">
        <v>2023036</v>
      </c>
      <c r="C3088" s="3" t="s">
        <v>3150</v>
      </c>
      <c r="D3088" s="3" t="s">
        <v>37</v>
      </c>
      <c r="E3088" s="3" t="s">
        <v>248</v>
      </c>
      <c r="F3088" s="3" t="s">
        <v>4182</v>
      </c>
      <c r="G3088" s="3" t="s">
        <v>39</v>
      </c>
      <c r="H3088" s="3" t="s">
        <v>253</v>
      </c>
      <c r="I3088" s="2">
        <v>81</v>
      </c>
      <c r="J3088" s="2">
        <v>81</v>
      </c>
      <c r="K3088" s="2">
        <v>3</v>
      </c>
      <c r="O3088" s="2">
        <v>28</v>
      </c>
      <c r="U3088" s="2">
        <v>9</v>
      </c>
      <c r="V3088" s="2">
        <v>9</v>
      </c>
      <c r="W3088" s="2">
        <v>9</v>
      </c>
      <c r="X3088" s="2">
        <v>7</v>
      </c>
      <c r="Z3088" s="2">
        <v>81</v>
      </c>
      <c r="AA3088" s="3" t="s">
        <v>57</v>
      </c>
      <c r="AB3088" s="2">
        <v>8</v>
      </c>
      <c r="AC3088" s="3" t="s">
        <v>3151</v>
      </c>
      <c r="AD3088" s="3" t="s">
        <v>3152</v>
      </c>
      <c r="AG3088" s="2">
        <v>2</v>
      </c>
      <c r="AH3088" s="3" t="s">
        <v>3201</v>
      </c>
      <c r="AI3088" s="4">
        <v>45118</v>
      </c>
      <c r="AJ3088" s="3" t="s">
        <v>3234</v>
      </c>
      <c r="AK3088" s="3" t="s">
        <v>248</v>
      </c>
    </row>
    <row r="3089" spans="1:37" hidden="1" x14ac:dyDescent="0.25">
      <c r="A3089" t="str">
        <f t="shared" si="48"/>
        <v>2023_Qld_Gatton_Mixed_LightTOS2VarietyCBA_CaptainWaterTrtIrrigatedAgronomy16_hr</v>
      </c>
      <c r="B3089" s="2">
        <v>2023036</v>
      </c>
      <c r="C3089" s="3" t="s">
        <v>3150</v>
      </c>
      <c r="D3089" s="3" t="s">
        <v>37</v>
      </c>
      <c r="E3089" s="3" t="s">
        <v>248</v>
      </c>
      <c r="F3089" s="3" t="s">
        <v>249</v>
      </c>
      <c r="G3089" s="3" t="s">
        <v>43</v>
      </c>
      <c r="H3089" s="3" t="s">
        <v>253</v>
      </c>
      <c r="I3089" s="2">
        <v>82</v>
      </c>
      <c r="J3089" s="2">
        <v>82</v>
      </c>
      <c r="K3089" s="2">
        <v>3</v>
      </c>
      <c r="O3089" s="2">
        <v>28</v>
      </c>
      <c r="U3089" s="2">
        <v>10</v>
      </c>
      <c r="V3089" s="2">
        <v>9</v>
      </c>
      <c r="W3089" s="2">
        <v>10</v>
      </c>
      <c r="X3089" s="2">
        <v>7</v>
      </c>
      <c r="Z3089" s="2">
        <v>82</v>
      </c>
      <c r="AA3089" s="3" t="s">
        <v>57</v>
      </c>
      <c r="AB3089" s="2">
        <v>5</v>
      </c>
      <c r="AC3089" s="3" t="s">
        <v>3151</v>
      </c>
      <c r="AD3089" s="3" t="s">
        <v>3152</v>
      </c>
      <c r="AG3089" s="2">
        <v>2</v>
      </c>
      <c r="AH3089" s="3" t="s">
        <v>3201</v>
      </c>
      <c r="AI3089" s="4">
        <v>45118</v>
      </c>
      <c r="AJ3089" s="3" t="s">
        <v>3235</v>
      </c>
      <c r="AK3089" s="3" t="s">
        <v>248</v>
      </c>
    </row>
    <row r="3090" spans="1:37" hidden="1" x14ac:dyDescent="0.25">
      <c r="A3090" t="str">
        <f t="shared" si="48"/>
        <v>2023_Qld_Gatton_Mixed_LightTOS2VarietyKelpieXTWaterTrtIrrigatedAgronomy16_hr</v>
      </c>
      <c r="B3090" s="2">
        <v>2023036</v>
      </c>
      <c r="C3090" s="3" t="s">
        <v>3150</v>
      </c>
      <c r="D3090" s="3" t="s">
        <v>37</v>
      </c>
      <c r="E3090" s="3" t="s">
        <v>38</v>
      </c>
      <c r="F3090" s="3" t="s">
        <v>4188</v>
      </c>
      <c r="G3090" s="3" t="s">
        <v>43</v>
      </c>
      <c r="H3090" s="3" t="s">
        <v>253</v>
      </c>
      <c r="I3090" s="2">
        <v>83</v>
      </c>
      <c r="J3090" s="2">
        <v>83</v>
      </c>
      <c r="K3090" s="2">
        <v>3</v>
      </c>
      <c r="O3090" s="2">
        <v>28</v>
      </c>
      <c r="U3090" s="2">
        <v>11</v>
      </c>
      <c r="V3090" s="2">
        <v>9</v>
      </c>
      <c r="W3090" s="2">
        <v>11</v>
      </c>
      <c r="X3090" s="2">
        <v>7</v>
      </c>
      <c r="Z3090" s="2">
        <v>83</v>
      </c>
      <c r="AA3090" s="3" t="s">
        <v>57</v>
      </c>
      <c r="AB3090" s="2">
        <v>6</v>
      </c>
      <c r="AC3090" s="3" t="s">
        <v>3151</v>
      </c>
      <c r="AD3090" s="3" t="s">
        <v>3152</v>
      </c>
      <c r="AG3090" s="2">
        <v>2</v>
      </c>
      <c r="AH3090" s="3" t="s">
        <v>3201</v>
      </c>
      <c r="AI3090" s="4">
        <v>45118</v>
      </c>
      <c r="AJ3090" s="3" t="s">
        <v>3236</v>
      </c>
      <c r="AK3090" s="3" t="s">
        <v>38</v>
      </c>
    </row>
    <row r="3091" spans="1:37" hidden="1" x14ac:dyDescent="0.25">
      <c r="A3091" t="str">
        <f t="shared" si="48"/>
        <v>2023_Qld_Gatton_Mixed_LightTOS2VarietyHatTrickWaterTrtIrrigatedAgronomy16_hr</v>
      </c>
      <c r="B3091" s="2">
        <v>2023036</v>
      </c>
      <c r="C3091" s="3" t="s">
        <v>3150</v>
      </c>
      <c r="D3091" s="3" t="s">
        <v>37</v>
      </c>
      <c r="E3091" s="3" t="s">
        <v>248</v>
      </c>
      <c r="F3091" s="3" t="s">
        <v>4178</v>
      </c>
      <c r="G3091" s="3" t="s">
        <v>39</v>
      </c>
      <c r="H3091" s="3" t="s">
        <v>253</v>
      </c>
      <c r="I3091" s="2">
        <v>84</v>
      </c>
      <c r="J3091" s="2">
        <v>84</v>
      </c>
      <c r="K3091" s="2">
        <v>3</v>
      </c>
      <c r="O3091" s="2">
        <v>28</v>
      </c>
      <c r="U3091" s="2">
        <v>12</v>
      </c>
      <c r="V3091" s="2">
        <v>9</v>
      </c>
      <c r="W3091" s="2">
        <v>12</v>
      </c>
      <c r="X3091" s="2">
        <v>7</v>
      </c>
      <c r="Z3091" s="2">
        <v>84</v>
      </c>
      <c r="AA3091" s="3" t="s">
        <v>57</v>
      </c>
      <c r="AB3091" s="2">
        <v>7</v>
      </c>
      <c r="AC3091" s="3" t="s">
        <v>3151</v>
      </c>
      <c r="AD3091" s="3" t="s">
        <v>3152</v>
      </c>
      <c r="AG3091" s="2">
        <v>2</v>
      </c>
      <c r="AH3091" s="3" t="s">
        <v>3201</v>
      </c>
      <c r="AI3091" s="4">
        <v>45118</v>
      </c>
      <c r="AJ3091" s="3" t="s">
        <v>3237</v>
      </c>
      <c r="AK3091" s="3" t="s">
        <v>248</v>
      </c>
    </row>
    <row r="3092" spans="1:37" hidden="1" x14ac:dyDescent="0.25">
      <c r="A3092" t="str">
        <f t="shared" si="48"/>
        <v>2023_Qld_Gatton_Mixed_LightTOS2VarietyAmberleyWaterTrtIrrigatedAgronomy16_hr</v>
      </c>
      <c r="B3092" s="2">
        <v>2023036</v>
      </c>
      <c r="C3092" s="3" t="s">
        <v>3150</v>
      </c>
      <c r="D3092" s="3" t="s">
        <v>37</v>
      </c>
      <c r="E3092" s="3" t="s">
        <v>645</v>
      </c>
      <c r="F3092" s="3" t="s">
        <v>4185</v>
      </c>
      <c r="G3092" s="3" t="s">
        <v>39</v>
      </c>
      <c r="H3092" s="3" t="s">
        <v>253</v>
      </c>
      <c r="I3092" s="2">
        <v>85</v>
      </c>
      <c r="J3092" s="2">
        <v>85</v>
      </c>
      <c r="K3092" s="2">
        <v>4</v>
      </c>
      <c r="O3092" s="2">
        <v>29</v>
      </c>
      <c r="U3092" s="2">
        <v>1</v>
      </c>
      <c r="V3092" s="2">
        <v>10</v>
      </c>
      <c r="W3092" s="2">
        <v>1</v>
      </c>
      <c r="X3092" s="2">
        <v>8</v>
      </c>
      <c r="Z3092" s="2">
        <v>96</v>
      </c>
      <c r="AA3092" s="3" t="s">
        <v>57</v>
      </c>
      <c r="AB3092" s="2">
        <v>2</v>
      </c>
      <c r="AC3092" s="3" t="s">
        <v>3151</v>
      </c>
      <c r="AD3092" s="3" t="s">
        <v>3152</v>
      </c>
      <c r="AG3092" s="2">
        <v>2</v>
      </c>
      <c r="AH3092" s="3" t="s">
        <v>3201</v>
      </c>
      <c r="AI3092" s="4">
        <v>45118</v>
      </c>
      <c r="AJ3092" s="3" t="s">
        <v>3238</v>
      </c>
      <c r="AK3092" s="3" t="s">
        <v>645</v>
      </c>
    </row>
    <row r="3093" spans="1:37" hidden="1" x14ac:dyDescent="0.25">
      <c r="A3093" t="str">
        <f t="shared" si="48"/>
        <v>2023_Qld_Gatton_Mixed_LightTOS2VarietyNasmaWaterTrtIrrigatedAgronomy16_hr</v>
      </c>
      <c r="B3093" s="2">
        <v>2023036</v>
      </c>
      <c r="C3093" s="3" t="s">
        <v>3150</v>
      </c>
      <c r="D3093" s="3" t="s">
        <v>37</v>
      </c>
      <c r="E3093" s="3" t="s">
        <v>645</v>
      </c>
      <c r="F3093" s="3" t="s">
        <v>4186</v>
      </c>
      <c r="G3093" s="3" t="s">
        <v>43</v>
      </c>
      <c r="H3093" s="3" t="s">
        <v>253</v>
      </c>
      <c r="I3093" s="2">
        <v>86</v>
      </c>
      <c r="J3093" s="2">
        <v>86</v>
      </c>
      <c r="K3093" s="2">
        <v>4</v>
      </c>
      <c r="O3093" s="2">
        <v>29</v>
      </c>
      <c r="U3093" s="2">
        <v>2</v>
      </c>
      <c r="V3093" s="2">
        <v>10</v>
      </c>
      <c r="W3093" s="2">
        <v>2</v>
      </c>
      <c r="X3093" s="2">
        <v>8</v>
      </c>
      <c r="Z3093" s="2">
        <v>95</v>
      </c>
      <c r="AA3093" s="3" t="s">
        <v>57</v>
      </c>
      <c r="AB3093" s="2">
        <v>1</v>
      </c>
      <c r="AC3093" s="3" t="s">
        <v>3151</v>
      </c>
      <c r="AD3093" s="3" t="s">
        <v>3152</v>
      </c>
      <c r="AG3093" s="2">
        <v>2</v>
      </c>
      <c r="AH3093" s="3" t="s">
        <v>3201</v>
      </c>
      <c r="AI3093" s="4">
        <v>45118</v>
      </c>
      <c r="AJ3093" s="3" t="s">
        <v>3239</v>
      </c>
      <c r="AK3093" s="3" t="s">
        <v>645</v>
      </c>
    </row>
    <row r="3094" spans="1:37" hidden="1" x14ac:dyDescent="0.25">
      <c r="A3094" t="str">
        <f t="shared" si="48"/>
        <v>2023_Qld_Gatton_Mixed_LightTOS2VarietySamiraWaterTrtIrrigatedAgronomy16_hr</v>
      </c>
      <c r="B3094" s="2">
        <v>2023036</v>
      </c>
      <c r="C3094" s="3" t="s">
        <v>3150</v>
      </c>
      <c r="D3094" s="3" t="s">
        <v>37</v>
      </c>
      <c r="E3094" s="3" t="s">
        <v>645</v>
      </c>
      <c r="F3094" s="3" t="s">
        <v>4183</v>
      </c>
      <c r="G3094" s="3" t="s">
        <v>43</v>
      </c>
      <c r="H3094" s="3" t="s">
        <v>253</v>
      </c>
      <c r="I3094" s="2">
        <v>87</v>
      </c>
      <c r="J3094" s="2">
        <v>87</v>
      </c>
      <c r="K3094" s="2">
        <v>4</v>
      </c>
      <c r="O3094" s="2">
        <v>29</v>
      </c>
      <c r="U3094" s="2">
        <v>3</v>
      </c>
      <c r="V3094" s="2">
        <v>10</v>
      </c>
      <c r="W3094" s="2">
        <v>3</v>
      </c>
      <c r="X3094" s="2">
        <v>8</v>
      </c>
      <c r="Z3094" s="2">
        <v>94</v>
      </c>
      <c r="AA3094" s="3" t="s">
        <v>57</v>
      </c>
      <c r="AB3094" s="2">
        <v>3</v>
      </c>
      <c r="AC3094" s="3" t="s">
        <v>3151</v>
      </c>
      <c r="AD3094" s="3" t="s">
        <v>3152</v>
      </c>
      <c r="AG3094" s="2">
        <v>2</v>
      </c>
      <c r="AH3094" s="3" t="s">
        <v>3201</v>
      </c>
      <c r="AI3094" s="4">
        <v>45118</v>
      </c>
      <c r="AJ3094" s="3" t="s">
        <v>3240</v>
      </c>
      <c r="AK3094" s="3" t="s">
        <v>645</v>
      </c>
    </row>
    <row r="3095" spans="1:37" hidden="1" x14ac:dyDescent="0.25">
      <c r="A3095" t="str">
        <f t="shared" si="48"/>
        <v>2023_Qld_Gatton_Mixed_LightTOS2VarietyMarneWaterTrtIrrigatedAgronomy16_hr</v>
      </c>
      <c r="B3095" s="2">
        <v>2023036</v>
      </c>
      <c r="C3095" s="3" t="s">
        <v>3150</v>
      </c>
      <c r="D3095" s="3" t="s">
        <v>37</v>
      </c>
      <c r="E3095" s="3" t="s">
        <v>645</v>
      </c>
      <c r="F3095" s="3" t="s">
        <v>4184</v>
      </c>
      <c r="G3095" s="3" t="s">
        <v>39</v>
      </c>
      <c r="H3095" s="3" t="s">
        <v>253</v>
      </c>
      <c r="I3095" s="2">
        <v>88</v>
      </c>
      <c r="J3095" s="2">
        <v>88</v>
      </c>
      <c r="K3095" s="2">
        <v>4</v>
      </c>
      <c r="O3095" s="2">
        <v>29</v>
      </c>
      <c r="U3095" s="2">
        <v>4</v>
      </c>
      <c r="V3095" s="2">
        <v>10</v>
      </c>
      <c r="W3095" s="2">
        <v>4</v>
      </c>
      <c r="X3095" s="2">
        <v>8</v>
      </c>
      <c r="Z3095" s="2">
        <v>93</v>
      </c>
      <c r="AA3095" s="3" t="s">
        <v>57</v>
      </c>
      <c r="AB3095" s="2">
        <v>4</v>
      </c>
      <c r="AC3095" s="3" t="s">
        <v>3151</v>
      </c>
      <c r="AD3095" s="3" t="s">
        <v>3152</v>
      </c>
      <c r="AG3095" s="2">
        <v>2</v>
      </c>
      <c r="AH3095" s="3" t="s">
        <v>3201</v>
      </c>
      <c r="AI3095" s="4">
        <v>45118</v>
      </c>
      <c r="AJ3095" s="3" t="s">
        <v>3241</v>
      </c>
      <c r="AK3095" s="3" t="s">
        <v>645</v>
      </c>
    </row>
    <row r="3096" spans="1:37" hidden="1" x14ac:dyDescent="0.25">
      <c r="A3096" t="str">
        <f t="shared" si="48"/>
        <v>2023_Qld_Gatton_Mixed_LightTOS2VarietyBatemanWaterTrtIrrigatedAgronomy16_hr</v>
      </c>
      <c r="B3096" s="2">
        <v>2023036</v>
      </c>
      <c r="C3096" s="3" t="s">
        <v>3150</v>
      </c>
      <c r="D3096" s="3" t="s">
        <v>37</v>
      </c>
      <c r="E3096" s="3" t="s">
        <v>1931</v>
      </c>
      <c r="F3096" s="3" t="s">
        <v>4195</v>
      </c>
      <c r="G3096" s="3" t="s">
        <v>43</v>
      </c>
      <c r="H3096" s="3" t="s">
        <v>253</v>
      </c>
      <c r="I3096" s="2">
        <v>89</v>
      </c>
      <c r="J3096" s="2">
        <v>89</v>
      </c>
      <c r="K3096" s="2">
        <v>4</v>
      </c>
      <c r="O3096" s="2">
        <v>30</v>
      </c>
      <c r="U3096" s="2">
        <v>5</v>
      </c>
      <c r="V3096" s="2">
        <v>10</v>
      </c>
      <c r="W3096" s="2">
        <v>5</v>
      </c>
      <c r="X3096" s="2">
        <v>8</v>
      </c>
      <c r="Z3096" s="2">
        <v>92</v>
      </c>
      <c r="AA3096" s="3" t="s">
        <v>57</v>
      </c>
      <c r="AB3096" s="2">
        <v>12</v>
      </c>
      <c r="AC3096" s="3" t="s">
        <v>3151</v>
      </c>
      <c r="AD3096" s="3" t="s">
        <v>3152</v>
      </c>
      <c r="AG3096" s="2">
        <v>2</v>
      </c>
      <c r="AH3096" s="3" t="s">
        <v>3201</v>
      </c>
      <c r="AI3096" s="4">
        <v>45118</v>
      </c>
      <c r="AJ3096" s="3" t="s">
        <v>3242</v>
      </c>
      <c r="AK3096" s="3" t="s">
        <v>1931</v>
      </c>
    </row>
    <row r="3097" spans="1:37" hidden="1" x14ac:dyDescent="0.25">
      <c r="A3097" t="str">
        <f t="shared" si="48"/>
        <v>2023_Qld_Gatton_Mixed_LightTOS2VarietyJurienWaterTrtIrrigatedAgronomy16_hr</v>
      </c>
      <c r="B3097" s="2">
        <v>2023036</v>
      </c>
      <c r="C3097" s="3" t="s">
        <v>3150</v>
      </c>
      <c r="D3097" s="3" t="s">
        <v>37</v>
      </c>
      <c r="E3097" s="3" t="s">
        <v>1931</v>
      </c>
      <c r="F3097" s="3" t="s">
        <v>4194</v>
      </c>
      <c r="G3097" s="3" t="s">
        <v>39</v>
      </c>
      <c r="H3097" s="3" t="s">
        <v>253</v>
      </c>
      <c r="I3097" s="2">
        <v>90</v>
      </c>
      <c r="J3097" s="2">
        <v>90</v>
      </c>
      <c r="K3097" s="2">
        <v>4</v>
      </c>
      <c r="O3097" s="2">
        <v>31</v>
      </c>
      <c r="U3097" s="2">
        <v>6</v>
      </c>
      <c r="V3097" s="2">
        <v>10</v>
      </c>
      <c r="W3097" s="2">
        <v>6</v>
      </c>
      <c r="X3097" s="2">
        <v>8</v>
      </c>
      <c r="Z3097" s="2">
        <v>91</v>
      </c>
      <c r="AA3097" s="3" t="s">
        <v>57</v>
      </c>
      <c r="AB3097" s="2">
        <v>6</v>
      </c>
      <c r="AC3097" s="3" t="s">
        <v>3151</v>
      </c>
      <c r="AD3097" s="3" t="s">
        <v>3152</v>
      </c>
      <c r="AG3097" s="2">
        <v>2</v>
      </c>
      <c r="AH3097" s="3" t="s">
        <v>3201</v>
      </c>
      <c r="AI3097" s="4">
        <v>45118</v>
      </c>
      <c r="AJ3097" s="3" t="s">
        <v>3243</v>
      </c>
      <c r="AK3097" s="3" t="s">
        <v>1931</v>
      </c>
    </row>
    <row r="3098" spans="1:37" hidden="1" x14ac:dyDescent="0.25">
      <c r="A3098" t="str">
        <f t="shared" si="48"/>
        <v>2023_Qld_Gatton_Mixed_LightTOS2VarietyJindaleeWaterTrtIrrigatedAgronomy16_hr</v>
      </c>
      <c r="B3098" s="2">
        <v>2023036</v>
      </c>
      <c r="C3098" s="3" t="s">
        <v>3150</v>
      </c>
      <c r="D3098" s="3" t="s">
        <v>37</v>
      </c>
      <c r="E3098" s="3" t="s">
        <v>1931</v>
      </c>
      <c r="F3098" s="3" t="s">
        <v>2868</v>
      </c>
      <c r="G3098" s="3" t="s">
        <v>39</v>
      </c>
      <c r="H3098" s="3" t="s">
        <v>253</v>
      </c>
      <c r="I3098" s="2">
        <v>91</v>
      </c>
      <c r="J3098" s="2">
        <v>91</v>
      </c>
      <c r="K3098" s="2">
        <v>4</v>
      </c>
      <c r="O3098" s="2">
        <v>31</v>
      </c>
      <c r="U3098" s="2">
        <v>7</v>
      </c>
      <c r="V3098" s="2">
        <v>10</v>
      </c>
      <c r="W3098" s="2">
        <v>7</v>
      </c>
      <c r="X3098" s="2">
        <v>8</v>
      </c>
      <c r="Z3098" s="2">
        <v>90</v>
      </c>
      <c r="AA3098" s="3" t="s">
        <v>57</v>
      </c>
      <c r="AB3098" s="2">
        <v>5</v>
      </c>
      <c r="AC3098" s="3" t="s">
        <v>3151</v>
      </c>
      <c r="AD3098" s="3" t="s">
        <v>3152</v>
      </c>
      <c r="AG3098" s="2">
        <v>2</v>
      </c>
      <c r="AH3098" s="3" t="s">
        <v>3201</v>
      </c>
      <c r="AI3098" s="4">
        <v>45118</v>
      </c>
      <c r="AJ3098" s="3" t="s">
        <v>3244</v>
      </c>
      <c r="AK3098" s="3" t="s">
        <v>1931</v>
      </c>
    </row>
    <row r="3099" spans="1:37" hidden="1" x14ac:dyDescent="0.25">
      <c r="A3099" t="str">
        <f t="shared" si="48"/>
        <v>2023_Qld_Gatton_Mixed_LightTOS2VarietyWongaWaterTrtIrrigatedAgronomy16_hr</v>
      </c>
      <c r="B3099" s="2">
        <v>2023036</v>
      </c>
      <c r="C3099" s="3" t="s">
        <v>3150</v>
      </c>
      <c r="D3099" s="3" t="s">
        <v>37</v>
      </c>
      <c r="E3099" s="3" t="s">
        <v>1931</v>
      </c>
      <c r="F3099" s="3" t="s">
        <v>1932</v>
      </c>
      <c r="G3099" s="3" t="s">
        <v>39</v>
      </c>
      <c r="H3099" s="3" t="s">
        <v>253</v>
      </c>
      <c r="I3099" s="2">
        <v>92</v>
      </c>
      <c r="J3099" s="2">
        <v>92</v>
      </c>
      <c r="K3099" s="2">
        <v>4</v>
      </c>
      <c r="O3099" s="2">
        <v>31</v>
      </c>
      <c r="U3099" s="2">
        <v>8</v>
      </c>
      <c r="V3099" s="2">
        <v>10</v>
      </c>
      <c r="W3099" s="2">
        <v>8</v>
      </c>
      <c r="X3099" s="2">
        <v>8</v>
      </c>
      <c r="Z3099" s="2">
        <v>89</v>
      </c>
      <c r="AA3099" s="3" t="s">
        <v>57</v>
      </c>
      <c r="AB3099" s="2">
        <v>8</v>
      </c>
      <c r="AC3099" s="3" t="s">
        <v>3151</v>
      </c>
      <c r="AD3099" s="3" t="s">
        <v>3152</v>
      </c>
      <c r="AG3099" s="2">
        <v>2</v>
      </c>
      <c r="AH3099" s="3" t="s">
        <v>3201</v>
      </c>
      <c r="AI3099" s="4">
        <v>45118</v>
      </c>
      <c r="AJ3099" s="3" t="s">
        <v>3245</v>
      </c>
      <c r="AK3099" s="3" t="s">
        <v>1931</v>
      </c>
    </row>
    <row r="3100" spans="1:37" hidden="1" x14ac:dyDescent="0.25">
      <c r="A3100" t="str">
        <f t="shared" si="48"/>
        <v>2023_Qld_Gatton_Mixed_LightTOS2VarietyCBA_CaptainWaterTrtIrrigatedAgronomy16_hr</v>
      </c>
      <c r="B3100" s="2">
        <v>2023036</v>
      </c>
      <c r="C3100" s="3" t="s">
        <v>3150</v>
      </c>
      <c r="D3100" s="3" t="s">
        <v>37</v>
      </c>
      <c r="E3100" s="3" t="s">
        <v>248</v>
      </c>
      <c r="F3100" s="3" t="s">
        <v>249</v>
      </c>
      <c r="G3100" s="3" t="s">
        <v>43</v>
      </c>
      <c r="H3100" s="3" t="s">
        <v>253</v>
      </c>
      <c r="I3100" s="2">
        <v>93</v>
      </c>
      <c r="J3100" s="2">
        <v>93</v>
      </c>
      <c r="K3100" s="2">
        <v>4</v>
      </c>
      <c r="O3100" s="2">
        <v>31</v>
      </c>
      <c r="U3100" s="2">
        <v>9</v>
      </c>
      <c r="V3100" s="2">
        <v>10</v>
      </c>
      <c r="W3100" s="2">
        <v>9</v>
      </c>
      <c r="X3100" s="2">
        <v>8</v>
      </c>
      <c r="Z3100" s="2">
        <v>88</v>
      </c>
      <c r="AA3100" s="3" t="s">
        <v>57</v>
      </c>
      <c r="AB3100" s="2">
        <v>7</v>
      </c>
      <c r="AC3100" s="3" t="s">
        <v>3151</v>
      </c>
      <c r="AD3100" s="3" t="s">
        <v>3152</v>
      </c>
      <c r="AG3100" s="2">
        <v>2</v>
      </c>
      <c r="AH3100" s="3" t="s">
        <v>3201</v>
      </c>
      <c r="AI3100" s="4">
        <v>45118</v>
      </c>
      <c r="AJ3100" s="3" t="s">
        <v>3246</v>
      </c>
      <c r="AK3100" s="3" t="s">
        <v>248</v>
      </c>
    </row>
    <row r="3101" spans="1:37" hidden="1" x14ac:dyDescent="0.25">
      <c r="A3101" t="str">
        <f t="shared" si="48"/>
        <v>2023_Qld_Gatton_Mixed_LightTOS2VarietyKelpieXTWaterTrtIrrigatedAgronomy16_hr</v>
      </c>
      <c r="B3101" s="2">
        <v>2023036</v>
      </c>
      <c r="C3101" s="3" t="s">
        <v>3150</v>
      </c>
      <c r="D3101" s="3" t="s">
        <v>37</v>
      </c>
      <c r="E3101" s="3" t="s">
        <v>38</v>
      </c>
      <c r="F3101" s="3" t="s">
        <v>4188</v>
      </c>
      <c r="G3101" s="3" t="s">
        <v>43</v>
      </c>
      <c r="H3101" s="3" t="s">
        <v>253</v>
      </c>
      <c r="I3101" s="2">
        <v>94</v>
      </c>
      <c r="J3101" s="2">
        <v>94</v>
      </c>
      <c r="K3101" s="2">
        <v>4</v>
      </c>
      <c r="O3101" s="2">
        <v>32</v>
      </c>
      <c r="U3101" s="2">
        <v>10</v>
      </c>
      <c r="V3101" s="2">
        <v>10</v>
      </c>
      <c r="W3101" s="2">
        <v>10</v>
      </c>
      <c r="X3101" s="2">
        <v>8</v>
      </c>
      <c r="Z3101" s="2">
        <v>87</v>
      </c>
      <c r="AA3101" s="3" t="s">
        <v>57</v>
      </c>
      <c r="AB3101" s="2">
        <v>10</v>
      </c>
      <c r="AC3101" s="3" t="s">
        <v>3151</v>
      </c>
      <c r="AD3101" s="3" t="s">
        <v>3152</v>
      </c>
      <c r="AG3101" s="2">
        <v>2</v>
      </c>
      <c r="AH3101" s="3" t="s">
        <v>3201</v>
      </c>
      <c r="AI3101" s="4">
        <v>45118</v>
      </c>
      <c r="AJ3101" s="3" t="s">
        <v>3247</v>
      </c>
      <c r="AK3101" s="3" t="s">
        <v>38</v>
      </c>
    </row>
    <row r="3102" spans="1:37" hidden="1" x14ac:dyDescent="0.25">
      <c r="A3102" t="str">
        <f t="shared" si="48"/>
        <v>2023_Qld_Gatton_Mixed_LightTOS2VarietyHatTrickWaterTrtIrrigatedAgronomy16_hr</v>
      </c>
      <c r="B3102" s="2">
        <v>2023036</v>
      </c>
      <c r="C3102" s="3" t="s">
        <v>3150</v>
      </c>
      <c r="D3102" s="3" t="s">
        <v>37</v>
      </c>
      <c r="E3102" s="3" t="s">
        <v>248</v>
      </c>
      <c r="F3102" s="3" t="s">
        <v>4178</v>
      </c>
      <c r="G3102" s="3" t="s">
        <v>39</v>
      </c>
      <c r="H3102" s="3" t="s">
        <v>253</v>
      </c>
      <c r="I3102" s="2">
        <v>95</v>
      </c>
      <c r="J3102" s="2">
        <v>95</v>
      </c>
      <c r="K3102" s="2">
        <v>4</v>
      </c>
      <c r="O3102" s="2">
        <v>32</v>
      </c>
      <c r="U3102" s="2">
        <v>11</v>
      </c>
      <c r="V3102" s="2">
        <v>10</v>
      </c>
      <c r="W3102" s="2">
        <v>11</v>
      </c>
      <c r="X3102" s="2">
        <v>8</v>
      </c>
      <c r="Z3102" s="2">
        <v>86</v>
      </c>
      <c r="AA3102" s="3" t="s">
        <v>57</v>
      </c>
      <c r="AB3102" s="2">
        <v>9</v>
      </c>
      <c r="AC3102" s="3" t="s">
        <v>3151</v>
      </c>
      <c r="AD3102" s="3" t="s">
        <v>3152</v>
      </c>
      <c r="AG3102" s="2">
        <v>2</v>
      </c>
      <c r="AH3102" s="3" t="s">
        <v>3201</v>
      </c>
      <c r="AI3102" s="4">
        <v>45118</v>
      </c>
      <c r="AJ3102" s="3" t="s">
        <v>3248</v>
      </c>
      <c r="AK3102" s="3" t="s">
        <v>248</v>
      </c>
    </row>
    <row r="3103" spans="1:37" hidden="1" x14ac:dyDescent="0.25">
      <c r="A3103" t="str">
        <f t="shared" si="48"/>
        <v>2023_Qld_Gatton_Mixed_LightTOS2VarietyDrummondWaterTrtIrrigatedAgronomy16_hr</v>
      </c>
      <c r="B3103" s="2">
        <v>2023036</v>
      </c>
      <c r="C3103" s="3" t="s">
        <v>3150</v>
      </c>
      <c r="D3103" s="3" t="s">
        <v>37</v>
      </c>
      <c r="E3103" s="3" t="s">
        <v>248</v>
      </c>
      <c r="F3103" s="3" t="s">
        <v>4182</v>
      </c>
      <c r="G3103" s="3" t="s">
        <v>39</v>
      </c>
      <c r="H3103" s="3" t="s">
        <v>253</v>
      </c>
      <c r="I3103" s="2">
        <v>96</v>
      </c>
      <c r="J3103" s="2">
        <v>96</v>
      </c>
      <c r="K3103" s="2">
        <v>4</v>
      </c>
      <c r="O3103" s="2">
        <v>32</v>
      </c>
      <c r="U3103" s="2">
        <v>12</v>
      </c>
      <c r="V3103" s="2">
        <v>10</v>
      </c>
      <c r="W3103" s="2">
        <v>12</v>
      </c>
      <c r="X3103" s="2">
        <v>8</v>
      </c>
      <c r="Z3103" s="2">
        <v>85</v>
      </c>
      <c r="AA3103" s="3" t="s">
        <v>57</v>
      </c>
      <c r="AB3103" s="2">
        <v>11</v>
      </c>
      <c r="AC3103" s="3" t="s">
        <v>3151</v>
      </c>
      <c r="AD3103" s="3" t="s">
        <v>3152</v>
      </c>
      <c r="AG3103" s="2">
        <v>2</v>
      </c>
      <c r="AH3103" s="3" t="s">
        <v>3201</v>
      </c>
      <c r="AI3103" s="4">
        <v>45118</v>
      </c>
      <c r="AJ3103" s="3" t="s">
        <v>3249</v>
      </c>
      <c r="AK3103" s="3" t="s">
        <v>248</v>
      </c>
    </row>
    <row r="3104" spans="1:37" hidden="1" x14ac:dyDescent="0.25">
      <c r="A3104" t="str">
        <f t="shared" si="48"/>
        <v>2023_Qld_Gatton_Mixed_LightTOS1VarietyJindaleeWaterTrtIrrigatedAgronomyNatural</v>
      </c>
      <c r="B3104" s="2">
        <v>2023036</v>
      </c>
      <c r="C3104" s="3" t="s">
        <v>3150</v>
      </c>
      <c r="D3104" s="3" t="s">
        <v>37</v>
      </c>
      <c r="E3104" s="3" t="s">
        <v>1931</v>
      </c>
      <c r="F3104" s="3" t="s">
        <v>2868</v>
      </c>
      <c r="G3104" s="3" t="s">
        <v>39</v>
      </c>
      <c r="H3104" s="3" t="s">
        <v>253</v>
      </c>
      <c r="I3104" s="2">
        <v>97</v>
      </c>
      <c r="J3104" s="2">
        <v>97</v>
      </c>
      <c r="K3104" s="2">
        <v>1</v>
      </c>
      <c r="O3104" s="2">
        <v>33</v>
      </c>
      <c r="U3104" s="2">
        <v>1</v>
      </c>
      <c r="V3104" s="2">
        <v>13</v>
      </c>
      <c r="W3104" s="2">
        <v>1</v>
      </c>
      <c r="X3104" s="2">
        <v>9</v>
      </c>
      <c r="Z3104" s="2">
        <v>97</v>
      </c>
      <c r="AA3104" s="3" t="s">
        <v>57</v>
      </c>
      <c r="AB3104" s="2">
        <v>8</v>
      </c>
      <c r="AC3104" s="3" t="s">
        <v>3250</v>
      </c>
      <c r="AD3104" s="3" t="s">
        <v>3251</v>
      </c>
      <c r="AG3104" s="2">
        <v>1</v>
      </c>
      <c r="AH3104" s="3" t="s">
        <v>2072</v>
      </c>
      <c r="AI3104" s="4">
        <v>45072</v>
      </c>
      <c r="AJ3104" s="3" t="s">
        <v>3252</v>
      </c>
      <c r="AK3104" s="3" t="s">
        <v>1931</v>
      </c>
    </row>
    <row r="3105" spans="1:37" hidden="1" x14ac:dyDescent="0.25">
      <c r="A3105" t="str">
        <f t="shared" si="48"/>
        <v>2023_Qld_Gatton_Mixed_LightTOS1VarietyWongaWaterTrtIrrigatedAgronomyNatural</v>
      </c>
      <c r="B3105" s="2">
        <v>2023036</v>
      </c>
      <c r="C3105" s="3" t="s">
        <v>3150</v>
      </c>
      <c r="D3105" s="3" t="s">
        <v>37</v>
      </c>
      <c r="E3105" s="3" t="s">
        <v>1931</v>
      </c>
      <c r="F3105" s="3" t="s">
        <v>1932</v>
      </c>
      <c r="G3105" s="3" t="s">
        <v>39</v>
      </c>
      <c r="H3105" s="3" t="s">
        <v>253</v>
      </c>
      <c r="I3105" s="2">
        <v>98</v>
      </c>
      <c r="J3105" s="2">
        <v>98</v>
      </c>
      <c r="K3105" s="2">
        <v>1</v>
      </c>
      <c r="O3105" s="2">
        <v>33</v>
      </c>
      <c r="U3105" s="2">
        <v>2</v>
      </c>
      <c r="V3105" s="2">
        <v>13</v>
      </c>
      <c r="W3105" s="2">
        <v>2</v>
      </c>
      <c r="X3105" s="2">
        <v>9</v>
      </c>
      <c r="Z3105" s="2">
        <v>98</v>
      </c>
      <c r="AA3105" s="3" t="s">
        <v>57</v>
      </c>
      <c r="AB3105" s="2">
        <v>7</v>
      </c>
      <c r="AC3105" s="3" t="s">
        <v>3250</v>
      </c>
      <c r="AD3105" s="3" t="s">
        <v>3251</v>
      </c>
      <c r="AG3105" s="2">
        <v>1</v>
      </c>
      <c r="AH3105" s="3" t="s">
        <v>2072</v>
      </c>
      <c r="AI3105" s="4">
        <v>45072</v>
      </c>
      <c r="AJ3105" s="3" t="s">
        <v>3253</v>
      </c>
      <c r="AK3105" s="3" t="s">
        <v>1931</v>
      </c>
    </row>
    <row r="3106" spans="1:37" hidden="1" x14ac:dyDescent="0.25">
      <c r="A3106" t="str">
        <f t="shared" si="48"/>
        <v>2023_Qld_Gatton_Mixed_LightTOS1VarietyBatemanWaterTrtIrrigatedAgronomyNatural</v>
      </c>
      <c r="B3106" s="2">
        <v>2023036</v>
      </c>
      <c r="C3106" s="3" t="s">
        <v>3150</v>
      </c>
      <c r="D3106" s="3" t="s">
        <v>37</v>
      </c>
      <c r="E3106" s="3" t="s">
        <v>1931</v>
      </c>
      <c r="F3106" s="3" t="s">
        <v>4195</v>
      </c>
      <c r="G3106" s="3" t="s">
        <v>43</v>
      </c>
      <c r="H3106" s="3" t="s">
        <v>253</v>
      </c>
      <c r="I3106" s="2">
        <v>99</v>
      </c>
      <c r="J3106" s="2">
        <v>99</v>
      </c>
      <c r="K3106" s="2">
        <v>1</v>
      </c>
      <c r="O3106" s="2">
        <v>33</v>
      </c>
      <c r="U3106" s="2">
        <v>3</v>
      </c>
      <c r="V3106" s="2">
        <v>13</v>
      </c>
      <c r="W3106" s="2">
        <v>3</v>
      </c>
      <c r="X3106" s="2">
        <v>9</v>
      </c>
      <c r="Z3106" s="2">
        <v>99</v>
      </c>
      <c r="AA3106" s="3" t="s">
        <v>57</v>
      </c>
      <c r="AB3106" s="2">
        <v>6</v>
      </c>
      <c r="AC3106" s="3" t="s">
        <v>3250</v>
      </c>
      <c r="AD3106" s="3" t="s">
        <v>3251</v>
      </c>
      <c r="AG3106" s="2">
        <v>1</v>
      </c>
      <c r="AH3106" s="3" t="s">
        <v>2072</v>
      </c>
      <c r="AI3106" s="4">
        <v>45072</v>
      </c>
      <c r="AJ3106" s="3" t="s">
        <v>3254</v>
      </c>
      <c r="AK3106" s="3" t="s">
        <v>1931</v>
      </c>
    </row>
    <row r="3107" spans="1:37" hidden="1" x14ac:dyDescent="0.25">
      <c r="A3107" t="str">
        <f t="shared" si="48"/>
        <v>2023_Qld_Gatton_Mixed_LightTOS1VarietyJurienWaterTrtIrrigatedAgronomyNatural</v>
      </c>
      <c r="B3107" s="2">
        <v>2023036</v>
      </c>
      <c r="C3107" s="3" t="s">
        <v>3150</v>
      </c>
      <c r="D3107" s="3" t="s">
        <v>37</v>
      </c>
      <c r="E3107" s="3" t="s">
        <v>1931</v>
      </c>
      <c r="F3107" s="3" t="s">
        <v>4194</v>
      </c>
      <c r="G3107" s="3" t="s">
        <v>39</v>
      </c>
      <c r="H3107" s="3" t="s">
        <v>253</v>
      </c>
      <c r="I3107" s="2">
        <v>100</v>
      </c>
      <c r="J3107" s="2">
        <v>100</v>
      </c>
      <c r="K3107" s="2">
        <v>1</v>
      </c>
      <c r="O3107" s="2">
        <v>33</v>
      </c>
      <c r="U3107" s="2">
        <v>4</v>
      </c>
      <c r="V3107" s="2">
        <v>13</v>
      </c>
      <c r="W3107" s="2">
        <v>4</v>
      </c>
      <c r="X3107" s="2">
        <v>9</v>
      </c>
      <c r="Z3107" s="2">
        <v>100</v>
      </c>
      <c r="AA3107" s="3" t="s">
        <v>57</v>
      </c>
      <c r="AB3107" s="2">
        <v>5</v>
      </c>
      <c r="AC3107" s="3" t="s">
        <v>3250</v>
      </c>
      <c r="AD3107" s="3" t="s">
        <v>3251</v>
      </c>
      <c r="AG3107" s="2">
        <v>1</v>
      </c>
      <c r="AH3107" s="3" t="s">
        <v>2072</v>
      </c>
      <c r="AI3107" s="4">
        <v>45072</v>
      </c>
      <c r="AJ3107" s="3" t="s">
        <v>3255</v>
      </c>
      <c r="AK3107" s="3" t="s">
        <v>1931</v>
      </c>
    </row>
    <row r="3108" spans="1:37" hidden="1" x14ac:dyDescent="0.25">
      <c r="A3108" t="str">
        <f t="shared" si="48"/>
        <v>2023_Qld_Gatton_Mixed_LightTOS1VarietyHatTrickWaterTrtIrrigatedAgronomyNatural</v>
      </c>
      <c r="B3108" s="2">
        <v>2023036</v>
      </c>
      <c r="C3108" s="3" t="s">
        <v>3150</v>
      </c>
      <c r="D3108" s="3" t="s">
        <v>37</v>
      </c>
      <c r="E3108" s="3" t="s">
        <v>248</v>
      </c>
      <c r="F3108" s="3" t="s">
        <v>4178</v>
      </c>
      <c r="G3108" s="3" t="s">
        <v>39</v>
      </c>
      <c r="H3108" s="3" t="s">
        <v>253</v>
      </c>
      <c r="I3108" s="2">
        <v>101</v>
      </c>
      <c r="J3108" s="2">
        <v>101</v>
      </c>
      <c r="K3108" s="2">
        <v>1</v>
      </c>
      <c r="O3108" s="2">
        <v>34</v>
      </c>
      <c r="U3108" s="2">
        <v>5</v>
      </c>
      <c r="V3108" s="2">
        <v>13</v>
      </c>
      <c r="W3108" s="2">
        <v>5</v>
      </c>
      <c r="X3108" s="2">
        <v>9</v>
      </c>
      <c r="Z3108" s="2">
        <v>101</v>
      </c>
      <c r="AA3108" s="3" t="s">
        <v>57</v>
      </c>
      <c r="AB3108" s="2">
        <v>2</v>
      </c>
      <c r="AC3108" s="3" t="s">
        <v>3250</v>
      </c>
      <c r="AD3108" s="3" t="s">
        <v>3251</v>
      </c>
      <c r="AG3108" s="2">
        <v>1</v>
      </c>
      <c r="AH3108" s="3" t="s">
        <v>2072</v>
      </c>
      <c r="AI3108" s="4">
        <v>45072</v>
      </c>
      <c r="AJ3108" s="3" t="s">
        <v>3256</v>
      </c>
      <c r="AK3108" s="3" t="s">
        <v>248</v>
      </c>
    </row>
    <row r="3109" spans="1:37" hidden="1" x14ac:dyDescent="0.25">
      <c r="A3109" t="str">
        <f t="shared" si="48"/>
        <v>2023_Qld_Gatton_Mixed_LightTOS1VarietyDrummondWaterTrtIrrigatedAgronomyNatural</v>
      </c>
      <c r="B3109" s="2">
        <v>2023036</v>
      </c>
      <c r="C3109" s="3" t="s">
        <v>3150</v>
      </c>
      <c r="D3109" s="3" t="s">
        <v>37</v>
      </c>
      <c r="E3109" s="3" t="s">
        <v>248</v>
      </c>
      <c r="F3109" s="3" t="s">
        <v>4182</v>
      </c>
      <c r="G3109" s="3" t="s">
        <v>39</v>
      </c>
      <c r="H3109" s="3" t="s">
        <v>253</v>
      </c>
      <c r="I3109" s="2">
        <v>102</v>
      </c>
      <c r="J3109" s="2">
        <v>102</v>
      </c>
      <c r="K3109" s="2">
        <v>1</v>
      </c>
      <c r="O3109" s="2">
        <v>34</v>
      </c>
      <c r="U3109" s="2">
        <v>6</v>
      </c>
      <c r="V3109" s="2">
        <v>13</v>
      </c>
      <c r="W3109" s="2">
        <v>6</v>
      </c>
      <c r="X3109" s="2">
        <v>9</v>
      </c>
      <c r="Z3109" s="2">
        <v>102</v>
      </c>
      <c r="AA3109" s="3" t="s">
        <v>57</v>
      </c>
      <c r="AB3109" s="2">
        <v>4</v>
      </c>
      <c r="AC3109" s="3" t="s">
        <v>3250</v>
      </c>
      <c r="AD3109" s="3" t="s">
        <v>3251</v>
      </c>
      <c r="AG3109" s="2">
        <v>1</v>
      </c>
      <c r="AH3109" s="3" t="s">
        <v>2072</v>
      </c>
      <c r="AI3109" s="4">
        <v>45072</v>
      </c>
      <c r="AJ3109" s="3" t="s">
        <v>3257</v>
      </c>
      <c r="AK3109" s="3" t="s">
        <v>248</v>
      </c>
    </row>
    <row r="3110" spans="1:37" hidden="1" x14ac:dyDescent="0.25">
      <c r="A3110" t="str">
        <f t="shared" si="48"/>
        <v>2023_Qld_Gatton_Mixed_LightTOS1VarietyCBA_CaptainWaterTrtIrrigatedAgronomyNatural</v>
      </c>
      <c r="B3110" s="2">
        <v>2023036</v>
      </c>
      <c r="C3110" s="3" t="s">
        <v>3150</v>
      </c>
      <c r="D3110" s="3" t="s">
        <v>37</v>
      </c>
      <c r="E3110" s="3" t="s">
        <v>248</v>
      </c>
      <c r="F3110" s="3" t="s">
        <v>249</v>
      </c>
      <c r="G3110" s="3" t="s">
        <v>43</v>
      </c>
      <c r="H3110" s="3" t="s">
        <v>253</v>
      </c>
      <c r="I3110" s="2">
        <v>103</v>
      </c>
      <c r="J3110" s="2">
        <v>103</v>
      </c>
      <c r="K3110" s="2">
        <v>1</v>
      </c>
      <c r="O3110" s="2">
        <v>34</v>
      </c>
      <c r="U3110" s="2">
        <v>7</v>
      </c>
      <c r="V3110" s="2">
        <v>13</v>
      </c>
      <c r="W3110" s="2">
        <v>7</v>
      </c>
      <c r="X3110" s="2">
        <v>9</v>
      </c>
      <c r="Z3110" s="2">
        <v>103</v>
      </c>
      <c r="AA3110" s="3" t="s">
        <v>57</v>
      </c>
      <c r="AB3110" s="2">
        <v>1</v>
      </c>
      <c r="AC3110" s="3" t="s">
        <v>3250</v>
      </c>
      <c r="AD3110" s="3" t="s">
        <v>3251</v>
      </c>
      <c r="AG3110" s="2">
        <v>1</v>
      </c>
      <c r="AH3110" s="3" t="s">
        <v>2072</v>
      </c>
      <c r="AI3110" s="4">
        <v>45072</v>
      </c>
      <c r="AJ3110" s="3" t="s">
        <v>3258</v>
      </c>
      <c r="AK3110" s="3" t="s">
        <v>248</v>
      </c>
    </row>
    <row r="3111" spans="1:37" hidden="1" x14ac:dyDescent="0.25">
      <c r="A3111" t="str">
        <f t="shared" si="48"/>
        <v>2023_Qld_Gatton_Mixed_LightTOS1VarietyKelpieXTWaterTrtIrrigatedAgronomyNatural</v>
      </c>
      <c r="B3111" s="2">
        <v>2023036</v>
      </c>
      <c r="C3111" s="3" t="s">
        <v>3150</v>
      </c>
      <c r="D3111" s="3" t="s">
        <v>37</v>
      </c>
      <c r="E3111" s="3" t="s">
        <v>38</v>
      </c>
      <c r="F3111" s="3" t="s">
        <v>4188</v>
      </c>
      <c r="G3111" s="3" t="s">
        <v>43</v>
      </c>
      <c r="H3111" s="3" t="s">
        <v>253</v>
      </c>
      <c r="I3111" s="2">
        <v>104</v>
      </c>
      <c r="J3111" s="2">
        <v>104</v>
      </c>
      <c r="K3111" s="2">
        <v>1</v>
      </c>
      <c r="O3111" s="2">
        <v>34</v>
      </c>
      <c r="U3111" s="2">
        <v>8</v>
      </c>
      <c r="V3111" s="2">
        <v>13</v>
      </c>
      <c r="W3111" s="2">
        <v>8</v>
      </c>
      <c r="X3111" s="2">
        <v>9</v>
      </c>
      <c r="Z3111" s="2">
        <v>104</v>
      </c>
      <c r="AA3111" s="3" t="s">
        <v>57</v>
      </c>
      <c r="AB3111" s="2">
        <v>3</v>
      </c>
      <c r="AC3111" s="3" t="s">
        <v>3250</v>
      </c>
      <c r="AD3111" s="3" t="s">
        <v>3251</v>
      </c>
      <c r="AG3111" s="2">
        <v>1</v>
      </c>
      <c r="AH3111" s="3" t="s">
        <v>2072</v>
      </c>
      <c r="AI3111" s="4">
        <v>45072</v>
      </c>
      <c r="AJ3111" s="3" t="s">
        <v>3259</v>
      </c>
      <c r="AK3111" s="3" t="s">
        <v>38</v>
      </c>
    </row>
    <row r="3112" spans="1:37" hidden="1" x14ac:dyDescent="0.25">
      <c r="A3112" t="str">
        <f t="shared" si="48"/>
        <v>2023_Qld_Gatton_Mixed_LightTOS1VarietySamiraWaterTrtIrrigatedAgronomyNatural</v>
      </c>
      <c r="B3112" s="2">
        <v>2023036</v>
      </c>
      <c r="C3112" s="3" t="s">
        <v>3150</v>
      </c>
      <c r="D3112" s="3" t="s">
        <v>37</v>
      </c>
      <c r="E3112" s="3" t="s">
        <v>645</v>
      </c>
      <c r="F3112" s="3" t="s">
        <v>4183</v>
      </c>
      <c r="G3112" s="3" t="s">
        <v>43</v>
      </c>
      <c r="H3112" s="3" t="s">
        <v>253</v>
      </c>
      <c r="I3112" s="2">
        <v>105</v>
      </c>
      <c r="J3112" s="2">
        <v>105</v>
      </c>
      <c r="K3112" s="2">
        <v>1</v>
      </c>
      <c r="O3112" s="2">
        <v>35</v>
      </c>
      <c r="U3112" s="2">
        <v>9</v>
      </c>
      <c r="V3112" s="2">
        <v>13</v>
      </c>
      <c r="W3112" s="2">
        <v>9</v>
      </c>
      <c r="X3112" s="2">
        <v>9</v>
      </c>
      <c r="Z3112" s="2">
        <v>105</v>
      </c>
      <c r="AA3112" s="3" t="s">
        <v>57</v>
      </c>
      <c r="AB3112" s="2">
        <v>12</v>
      </c>
      <c r="AC3112" s="3" t="s">
        <v>3250</v>
      </c>
      <c r="AD3112" s="3" t="s">
        <v>3251</v>
      </c>
      <c r="AG3112" s="2">
        <v>1</v>
      </c>
      <c r="AH3112" s="3" t="s">
        <v>2072</v>
      </c>
      <c r="AI3112" s="4">
        <v>45072</v>
      </c>
      <c r="AJ3112" s="3" t="s">
        <v>3260</v>
      </c>
      <c r="AK3112" s="3" t="s">
        <v>645</v>
      </c>
    </row>
    <row r="3113" spans="1:37" hidden="1" x14ac:dyDescent="0.25">
      <c r="A3113" t="str">
        <f t="shared" si="48"/>
        <v>2023_Qld_Gatton_Mixed_LightTOS1VarietyMarneWaterTrtIrrigatedAgronomyNatural</v>
      </c>
      <c r="B3113" s="2">
        <v>2023036</v>
      </c>
      <c r="C3113" s="3" t="s">
        <v>3150</v>
      </c>
      <c r="D3113" s="3" t="s">
        <v>37</v>
      </c>
      <c r="E3113" s="3" t="s">
        <v>645</v>
      </c>
      <c r="F3113" s="3" t="s">
        <v>4184</v>
      </c>
      <c r="G3113" s="3" t="s">
        <v>39</v>
      </c>
      <c r="H3113" s="3" t="s">
        <v>253</v>
      </c>
      <c r="I3113" s="2">
        <v>106</v>
      </c>
      <c r="J3113" s="2">
        <v>106</v>
      </c>
      <c r="K3113" s="2">
        <v>1</v>
      </c>
      <c r="O3113" s="2">
        <v>36</v>
      </c>
      <c r="U3113" s="2">
        <v>10</v>
      </c>
      <c r="V3113" s="2">
        <v>13</v>
      </c>
      <c r="W3113" s="2">
        <v>10</v>
      </c>
      <c r="X3113" s="2">
        <v>9</v>
      </c>
      <c r="Z3113" s="2">
        <v>106</v>
      </c>
      <c r="AA3113" s="3" t="s">
        <v>57</v>
      </c>
      <c r="AB3113" s="2">
        <v>9</v>
      </c>
      <c r="AC3113" s="3" t="s">
        <v>3250</v>
      </c>
      <c r="AD3113" s="3" t="s">
        <v>3251</v>
      </c>
      <c r="AG3113" s="2">
        <v>1</v>
      </c>
      <c r="AH3113" s="3" t="s">
        <v>2072</v>
      </c>
      <c r="AI3113" s="4">
        <v>45072</v>
      </c>
      <c r="AJ3113" s="3" t="s">
        <v>3261</v>
      </c>
      <c r="AK3113" s="3" t="s">
        <v>645</v>
      </c>
    </row>
    <row r="3114" spans="1:37" hidden="1" x14ac:dyDescent="0.25">
      <c r="A3114" t="str">
        <f t="shared" si="48"/>
        <v>2023_Qld_Gatton_Mixed_LightTOS1VarietyAmberleyWaterTrtIrrigatedAgronomyNatural</v>
      </c>
      <c r="B3114" s="2">
        <v>2023036</v>
      </c>
      <c r="C3114" s="3" t="s">
        <v>3150</v>
      </c>
      <c r="D3114" s="3" t="s">
        <v>37</v>
      </c>
      <c r="E3114" s="3" t="s">
        <v>645</v>
      </c>
      <c r="F3114" s="3" t="s">
        <v>4185</v>
      </c>
      <c r="G3114" s="3" t="s">
        <v>39</v>
      </c>
      <c r="H3114" s="3" t="s">
        <v>253</v>
      </c>
      <c r="I3114" s="2">
        <v>107</v>
      </c>
      <c r="J3114" s="2">
        <v>107</v>
      </c>
      <c r="K3114" s="2">
        <v>1</v>
      </c>
      <c r="O3114" s="2">
        <v>36</v>
      </c>
      <c r="U3114" s="2">
        <v>11</v>
      </c>
      <c r="V3114" s="2">
        <v>13</v>
      </c>
      <c r="W3114" s="2">
        <v>11</v>
      </c>
      <c r="X3114" s="2">
        <v>9</v>
      </c>
      <c r="Z3114" s="2">
        <v>107</v>
      </c>
      <c r="AA3114" s="3" t="s">
        <v>57</v>
      </c>
      <c r="AB3114" s="2">
        <v>11</v>
      </c>
      <c r="AC3114" s="3" t="s">
        <v>3250</v>
      </c>
      <c r="AD3114" s="3" t="s">
        <v>3251</v>
      </c>
      <c r="AG3114" s="2">
        <v>1</v>
      </c>
      <c r="AH3114" s="3" t="s">
        <v>2072</v>
      </c>
      <c r="AI3114" s="4">
        <v>45072</v>
      </c>
      <c r="AJ3114" s="3" t="s">
        <v>3262</v>
      </c>
      <c r="AK3114" s="3" t="s">
        <v>645</v>
      </c>
    </row>
    <row r="3115" spans="1:37" hidden="1" x14ac:dyDescent="0.25">
      <c r="A3115" t="str">
        <f t="shared" si="48"/>
        <v>2023_Qld_Gatton_Mixed_LightTOS1VarietyNasmaWaterTrtIrrigatedAgronomyNatural</v>
      </c>
      <c r="B3115" s="2">
        <v>2023036</v>
      </c>
      <c r="C3115" s="3" t="s">
        <v>3150</v>
      </c>
      <c r="D3115" s="3" t="s">
        <v>37</v>
      </c>
      <c r="E3115" s="3" t="s">
        <v>645</v>
      </c>
      <c r="F3115" s="3" t="s">
        <v>4186</v>
      </c>
      <c r="G3115" s="3" t="s">
        <v>43</v>
      </c>
      <c r="H3115" s="3" t="s">
        <v>253</v>
      </c>
      <c r="I3115" s="2">
        <v>108</v>
      </c>
      <c r="J3115" s="2">
        <v>108</v>
      </c>
      <c r="K3115" s="2">
        <v>1</v>
      </c>
      <c r="O3115" s="2">
        <v>36</v>
      </c>
      <c r="U3115" s="2">
        <v>12</v>
      </c>
      <c r="V3115" s="2">
        <v>13</v>
      </c>
      <c r="W3115" s="2">
        <v>12</v>
      </c>
      <c r="X3115" s="2">
        <v>9</v>
      </c>
      <c r="Z3115" s="2">
        <v>108</v>
      </c>
      <c r="AA3115" s="3" t="s">
        <v>57</v>
      </c>
      <c r="AB3115" s="2">
        <v>10</v>
      </c>
      <c r="AC3115" s="3" t="s">
        <v>3250</v>
      </c>
      <c r="AD3115" s="3" t="s">
        <v>3251</v>
      </c>
      <c r="AG3115" s="2">
        <v>1</v>
      </c>
      <c r="AH3115" s="3" t="s">
        <v>2072</v>
      </c>
      <c r="AI3115" s="4">
        <v>45072</v>
      </c>
      <c r="AJ3115" s="3" t="s">
        <v>3263</v>
      </c>
      <c r="AK3115" s="3" t="s">
        <v>645</v>
      </c>
    </row>
    <row r="3116" spans="1:37" hidden="1" x14ac:dyDescent="0.25">
      <c r="A3116" t="str">
        <f t="shared" si="48"/>
        <v>2023_Qld_Gatton_Mixed_LightTOS1VarietyJurienWaterTrtIrrigatedAgronomyNatural</v>
      </c>
      <c r="B3116" s="2">
        <v>2023036</v>
      </c>
      <c r="C3116" s="3" t="s">
        <v>3150</v>
      </c>
      <c r="D3116" s="3" t="s">
        <v>37</v>
      </c>
      <c r="E3116" s="3" t="s">
        <v>1931</v>
      </c>
      <c r="F3116" s="3" t="s">
        <v>4194</v>
      </c>
      <c r="G3116" s="3" t="s">
        <v>39</v>
      </c>
      <c r="H3116" s="3" t="s">
        <v>253</v>
      </c>
      <c r="I3116" s="2">
        <v>109</v>
      </c>
      <c r="J3116" s="2">
        <v>109</v>
      </c>
      <c r="K3116" s="2">
        <v>2</v>
      </c>
      <c r="O3116" s="2">
        <v>37</v>
      </c>
      <c r="U3116" s="2">
        <v>1</v>
      </c>
      <c r="V3116" s="2">
        <v>14</v>
      </c>
      <c r="W3116" s="2">
        <v>1</v>
      </c>
      <c r="X3116" s="2">
        <v>10</v>
      </c>
      <c r="Z3116" s="2">
        <v>120</v>
      </c>
      <c r="AA3116" s="3" t="s">
        <v>57</v>
      </c>
      <c r="AB3116" s="2">
        <v>4</v>
      </c>
      <c r="AC3116" s="3" t="s">
        <v>3250</v>
      </c>
      <c r="AD3116" s="3" t="s">
        <v>3251</v>
      </c>
      <c r="AG3116" s="2">
        <v>1</v>
      </c>
      <c r="AH3116" s="3" t="s">
        <v>2072</v>
      </c>
      <c r="AI3116" s="4">
        <v>45072</v>
      </c>
      <c r="AJ3116" s="3" t="s">
        <v>3264</v>
      </c>
      <c r="AK3116" s="3" t="s">
        <v>1931</v>
      </c>
    </row>
    <row r="3117" spans="1:37" hidden="1" x14ac:dyDescent="0.25">
      <c r="A3117" t="str">
        <f t="shared" si="48"/>
        <v>2023_Qld_Gatton_Mixed_LightTOS1VarietyJindaleeWaterTrtIrrigatedAgronomyNatural</v>
      </c>
      <c r="B3117" s="2">
        <v>2023036</v>
      </c>
      <c r="C3117" s="3" t="s">
        <v>3150</v>
      </c>
      <c r="D3117" s="3" t="s">
        <v>37</v>
      </c>
      <c r="E3117" s="3" t="s">
        <v>1931</v>
      </c>
      <c r="F3117" s="3" t="s">
        <v>2868</v>
      </c>
      <c r="G3117" s="3" t="s">
        <v>39</v>
      </c>
      <c r="H3117" s="3" t="s">
        <v>253</v>
      </c>
      <c r="I3117" s="2">
        <v>110</v>
      </c>
      <c r="J3117" s="2">
        <v>110</v>
      </c>
      <c r="K3117" s="2">
        <v>2</v>
      </c>
      <c r="O3117" s="2">
        <v>37</v>
      </c>
      <c r="U3117" s="2">
        <v>2</v>
      </c>
      <c r="V3117" s="2">
        <v>14</v>
      </c>
      <c r="W3117" s="2">
        <v>2</v>
      </c>
      <c r="X3117" s="2">
        <v>10</v>
      </c>
      <c r="Z3117" s="2">
        <v>119</v>
      </c>
      <c r="AA3117" s="3" t="s">
        <v>57</v>
      </c>
      <c r="AB3117" s="2">
        <v>2</v>
      </c>
      <c r="AC3117" s="3" t="s">
        <v>3250</v>
      </c>
      <c r="AD3117" s="3" t="s">
        <v>3251</v>
      </c>
      <c r="AG3117" s="2">
        <v>1</v>
      </c>
      <c r="AH3117" s="3" t="s">
        <v>2072</v>
      </c>
      <c r="AI3117" s="4">
        <v>45072</v>
      </c>
      <c r="AJ3117" s="3" t="s">
        <v>3265</v>
      </c>
      <c r="AK3117" s="3" t="s">
        <v>1931</v>
      </c>
    </row>
    <row r="3118" spans="1:37" hidden="1" x14ac:dyDescent="0.25">
      <c r="A3118" t="str">
        <f t="shared" si="48"/>
        <v>2023_Qld_Gatton_Mixed_LightTOS1VarietyWongaWaterTrtIrrigatedAgronomyNatural</v>
      </c>
      <c r="B3118" s="2">
        <v>2023036</v>
      </c>
      <c r="C3118" s="3" t="s">
        <v>3150</v>
      </c>
      <c r="D3118" s="3" t="s">
        <v>37</v>
      </c>
      <c r="E3118" s="3" t="s">
        <v>1931</v>
      </c>
      <c r="F3118" s="3" t="s">
        <v>1932</v>
      </c>
      <c r="G3118" s="3" t="s">
        <v>39</v>
      </c>
      <c r="H3118" s="3" t="s">
        <v>253</v>
      </c>
      <c r="I3118" s="2">
        <v>111</v>
      </c>
      <c r="J3118" s="2">
        <v>111</v>
      </c>
      <c r="K3118" s="2">
        <v>2</v>
      </c>
      <c r="O3118" s="2">
        <v>37</v>
      </c>
      <c r="U3118" s="2">
        <v>3</v>
      </c>
      <c r="V3118" s="2">
        <v>14</v>
      </c>
      <c r="W3118" s="2">
        <v>3</v>
      </c>
      <c r="X3118" s="2">
        <v>10</v>
      </c>
      <c r="Z3118" s="2">
        <v>118</v>
      </c>
      <c r="AA3118" s="3" t="s">
        <v>57</v>
      </c>
      <c r="AB3118" s="2">
        <v>1</v>
      </c>
      <c r="AC3118" s="3" t="s">
        <v>3250</v>
      </c>
      <c r="AD3118" s="3" t="s">
        <v>3251</v>
      </c>
      <c r="AG3118" s="2">
        <v>1</v>
      </c>
      <c r="AH3118" s="3" t="s">
        <v>2072</v>
      </c>
      <c r="AI3118" s="4">
        <v>45072</v>
      </c>
      <c r="AJ3118" s="3" t="s">
        <v>3266</v>
      </c>
      <c r="AK3118" s="3" t="s">
        <v>1931</v>
      </c>
    </row>
    <row r="3119" spans="1:37" hidden="1" x14ac:dyDescent="0.25">
      <c r="A3119" t="str">
        <f t="shared" si="48"/>
        <v>2023_Qld_Gatton_Mixed_LightTOS1VarietyBatemanWaterTrtIrrigatedAgronomyNatural</v>
      </c>
      <c r="B3119" s="2">
        <v>2023036</v>
      </c>
      <c r="C3119" s="3" t="s">
        <v>3150</v>
      </c>
      <c r="D3119" s="3" t="s">
        <v>37</v>
      </c>
      <c r="E3119" s="3" t="s">
        <v>1931</v>
      </c>
      <c r="F3119" s="3" t="s">
        <v>4195</v>
      </c>
      <c r="G3119" s="3" t="s">
        <v>43</v>
      </c>
      <c r="H3119" s="3" t="s">
        <v>253</v>
      </c>
      <c r="I3119" s="2">
        <v>112</v>
      </c>
      <c r="J3119" s="2">
        <v>112</v>
      </c>
      <c r="K3119" s="2">
        <v>2</v>
      </c>
      <c r="O3119" s="2">
        <v>37</v>
      </c>
      <c r="U3119" s="2">
        <v>4</v>
      </c>
      <c r="V3119" s="2">
        <v>14</v>
      </c>
      <c r="W3119" s="2">
        <v>4</v>
      </c>
      <c r="X3119" s="2">
        <v>10</v>
      </c>
      <c r="Z3119" s="2">
        <v>117</v>
      </c>
      <c r="AA3119" s="3" t="s">
        <v>57</v>
      </c>
      <c r="AB3119" s="2">
        <v>3</v>
      </c>
      <c r="AC3119" s="3" t="s">
        <v>3250</v>
      </c>
      <c r="AD3119" s="3" t="s">
        <v>3251</v>
      </c>
      <c r="AG3119" s="2">
        <v>1</v>
      </c>
      <c r="AH3119" s="3" t="s">
        <v>2072</v>
      </c>
      <c r="AI3119" s="4">
        <v>45072</v>
      </c>
      <c r="AJ3119" s="3" t="s">
        <v>3267</v>
      </c>
      <c r="AK3119" s="3" t="s">
        <v>1931</v>
      </c>
    </row>
    <row r="3120" spans="1:37" hidden="1" x14ac:dyDescent="0.25">
      <c r="A3120" t="str">
        <f t="shared" si="48"/>
        <v>2023_Qld_Gatton_Mixed_LightTOS1VarietyKelpieXTWaterTrtIrrigatedAgronomyNatural</v>
      </c>
      <c r="B3120" s="2">
        <v>2023036</v>
      </c>
      <c r="C3120" s="3" t="s">
        <v>3150</v>
      </c>
      <c r="D3120" s="3" t="s">
        <v>37</v>
      </c>
      <c r="E3120" s="3" t="s">
        <v>38</v>
      </c>
      <c r="F3120" s="3" t="s">
        <v>4188</v>
      </c>
      <c r="G3120" s="3" t="s">
        <v>43</v>
      </c>
      <c r="H3120" s="3" t="s">
        <v>253</v>
      </c>
      <c r="I3120" s="2">
        <v>113</v>
      </c>
      <c r="J3120" s="2">
        <v>113</v>
      </c>
      <c r="K3120" s="2">
        <v>2</v>
      </c>
      <c r="O3120" s="2">
        <v>38</v>
      </c>
      <c r="U3120" s="2">
        <v>5</v>
      </c>
      <c r="V3120" s="2">
        <v>14</v>
      </c>
      <c r="W3120" s="2">
        <v>5</v>
      </c>
      <c r="X3120" s="2">
        <v>10</v>
      </c>
      <c r="Z3120" s="2">
        <v>116</v>
      </c>
      <c r="AA3120" s="3" t="s">
        <v>57</v>
      </c>
      <c r="AB3120" s="2">
        <v>10</v>
      </c>
      <c r="AC3120" s="3" t="s">
        <v>3250</v>
      </c>
      <c r="AD3120" s="3" t="s">
        <v>3251</v>
      </c>
      <c r="AG3120" s="2">
        <v>1</v>
      </c>
      <c r="AH3120" s="3" t="s">
        <v>2072</v>
      </c>
      <c r="AI3120" s="4">
        <v>45072</v>
      </c>
      <c r="AJ3120" s="3" t="s">
        <v>3268</v>
      </c>
      <c r="AK3120" s="3" t="s">
        <v>38</v>
      </c>
    </row>
    <row r="3121" spans="1:37" hidden="1" x14ac:dyDescent="0.25">
      <c r="A3121" t="str">
        <f t="shared" si="48"/>
        <v>2023_Qld_Gatton_Mixed_LightTOS1VarietyHatTrickWaterTrtIrrigatedAgronomyNatural</v>
      </c>
      <c r="B3121" s="2">
        <v>2023036</v>
      </c>
      <c r="C3121" s="3" t="s">
        <v>3150</v>
      </c>
      <c r="D3121" s="3" t="s">
        <v>37</v>
      </c>
      <c r="E3121" s="3" t="s">
        <v>248</v>
      </c>
      <c r="F3121" s="3" t="s">
        <v>4178</v>
      </c>
      <c r="G3121" s="3" t="s">
        <v>39</v>
      </c>
      <c r="H3121" s="3" t="s">
        <v>253</v>
      </c>
      <c r="I3121" s="2">
        <v>114</v>
      </c>
      <c r="J3121" s="2">
        <v>114</v>
      </c>
      <c r="K3121" s="2">
        <v>2</v>
      </c>
      <c r="O3121" s="2">
        <v>38</v>
      </c>
      <c r="U3121" s="2">
        <v>6</v>
      </c>
      <c r="V3121" s="2">
        <v>14</v>
      </c>
      <c r="W3121" s="2">
        <v>6</v>
      </c>
      <c r="X3121" s="2">
        <v>10</v>
      </c>
      <c r="Z3121" s="2">
        <v>115</v>
      </c>
      <c r="AA3121" s="3" t="s">
        <v>57</v>
      </c>
      <c r="AB3121" s="2">
        <v>11</v>
      </c>
      <c r="AC3121" s="3" t="s">
        <v>3250</v>
      </c>
      <c r="AD3121" s="3" t="s">
        <v>3251</v>
      </c>
      <c r="AG3121" s="2">
        <v>1</v>
      </c>
      <c r="AH3121" s="3" t="s">
        <v>2072</v>
      </c>
      <c r="AI3121" s="4">
        <v>45072</v>
      </c>
      <c r="AJ3121" s="3" t="s">
        <v>3269</v>
      </c>
      <c r="AK3121" s="3" t="s">
        <v>248</v>
      </c>
    </row>
    <row r="3122" spans="1:37" hidden="1" x14ac:dyDescent="0.25">
      <c r="A3122" t="str">
        <f t="shared" si="48"/>
        <v>2023_Qld_Gatton_Mixed_LightTOS1VarietyDrummondWaterTrtIrrigatedAgronomyNatural</v>
      </c>
      <c r="B3122" s="2">
        <v>2023036</v>
      </c>
      <c r="C3122" s="3" t="s">
        <v>3150</v>
      </c>
      <c r="D3122" s="3" t="s">
        <v>37</v>
      </c>
      <c r="E3122" s="3" t="s">
        <v>248</v>
      </c>
      <c r="F3122" s="3" t="s">
        <v>4182</v>
      </c>
      <c r="G3122" s="3" t="s">
        <v>39</v>
      </c>
      <c r="H3122" s="3" t="s">
        <v>253</v>
      </c>
      <c r="I3122" s="2">
        <v>115</v>
      </c>
      <c r="J3122" s="2">
        <v>115</v>
      </c>
      <c r="K3122" s="2">
        <v>2</v>
      </c>
      <c r="O3122" s="2">
        <v>38</v>
      </c>
      <c r="U3122" s="2">
        <v>7</v>
      </c>
      <c r="V3122" s="2">
        <v>14</v>
      </c>
      <c r="W3122" s="2">
        <v>7</v>
      </c>
      <c r="X3122" s="2">
        <v>10</v>
      </c>
      <c r="Z3122" s="2">
        <v>114</v>
      </c>
      <c r="AA3122" s="3" t="s">
        <v>57</v>
      </c>
      <c r="AB3122" s="2">
        <v>9</v>
      </c>
      <c r="AC3122" s="3" t="s">
        <v>3250</v>
      </c>
      <c r="AD3122" s="3" t="s">
        <v>3251</v>
      </c>
      <c r="AG3122" s="2">
        <v>1</v>
      </c>
      <c r="AH3122" s="3" t="s">
        <v>2072</v>
      </c>
      <c r="AI3122" s="4">
        <v>45072</v>
      </c>
      <c r="AJ3122" s="3" t="s">
        <v>3270</v>
      </c>
      <c r="AK3122" s="3" t="s">
        <v>248</v>
      </c>
    </row>
    <row r="3123" spans="1:37" hidden="1" x14ac:dyDescent="0.25">
      <c r="A3123" t="str">
        <f t="shared" si="48"/>
        <v>2023_Qld_Gatton_Mixed_LightTOS1VarietyCBA_CaptainWaterTrtIrrigatedAgronomyNatural</v>
      </c>
      <c r="B3123" s="2">
        <v>2023036</v>
      </c>
      <c r="C3123" s="3" t="s">
        <v>3150</v>
      </c>
      <c r="D3123" s="3" t="s">
        <v>37</v>
      </c>
      <c r="E3123" s="3" t="s">
        <v>248</v>
      </c>
      <c r="F3123" s="3" t="s">
        <v>249</v>
      </c>
      <c r="G3123" s="3" t="s">
        <v>43</v>
      </c>
      <c r="H3123" s="3" t="s">
        <v>253</v>
      </c>
      <c r="I3123" s="2">
        <v>116</v>
      </c>
      <c r="J3123" s="2">
        <v>116</v>
      </c>
      <c r="K3123" s="2">
        <v>2</v>
      </c>
      <c r="O3123" s="2">
        <v>39</v>
      </c>
      <c r="U3123" s="2">
        <v>8</v>
      </c>
      <c r="V3123" s="2">
        <v>14</v>
      </c>
      <c r="W3123" s="2">
        <v>8</v>
      </c>
      <c r="X3123" s="2">
        <v>10</v>
      </c>
      <c r="Z3123" s="2">
        <v>113</v>
      </c>
      <c r="AA3123" s="3" t="s">
        <v>57</v>
      </c>
      <c r="AB3123" s="2">
        <v>6</v>
      </c>
      <c r="AC3123" s="3" t="s">
        <v>3250</v>
      </c>
      <c r="AD3123" s="3" t="s">
        <v>3251</v>
      </c>
      <c r="AG3123" s="2">
        <v>1</v>
      </c>
      <c r="AH3123" s="3" t="s">
        <v>2072</v>
      </c>
      <c r="AI3123" s="4">
        <v>45072</v>
      </c>
      <c r="AJ3123" s="3" t="s">
        <v>3271</v>
      </c>
      <c r="AK3123" s="3" t="s">
        <v>248</v>
      </c>
    </row>
    <row r="3124" spans="1:37" hidden="1" x14ac:dyDescent="0.25">
      <c r="A3124" t="str">
        <f t="shared" si="48"/>
        <v>2023_Qld_Gatton_Mixed_LightTOS1VarietyMarneWaterTrtIrrigatedAgronomyNatural</v>
      </c>
      <c r="B3124" s="2">
        <v>2023036</v>
      </c>
      <c r="C3124" s="3" t="s">
        <v>3150</v>
      </c>
      <c r="D3124" s="3" t="s">
        <v>37</v>
      </c>
      <c r="E3124" s="3" t="s">
        <v>645</v>
      </c>
      <c r="F3124" s="3" t="s">
        <v>4184</v>
      </c>
      <c r="G3124" s="3" t="s">
        <v>39</v>
      </c>
      <c r="H3124" s="3" t="s">
        <v>253</v>
      </c>
      <c r="I3124" s="2">
        <v>117</v>
      </c>
      <c r="J3124" s="2">
        <v>117</v>
      </c>
      <c r="K3124" s="2">
        <v>2</v>
      </c>
      <c r="O3124" s="2">
        <v>39</v>
      </c>
      <c r="U3124" s="2">
        <v>9</v>
      </c>
      <c r="V3124" s="2">
        <v>14</v>
      </c>
      <c r="W3124" s="2">
        <v>9</v>
      </c>
      <c r="X3124" s="2">
        <v>10</v>
      </c>
      <c r="Z3124" s="2">
        <v>112</v>
      </c>
      <c r="AA3124" s="3" t="s">
        <v>57</v>
      </c>
      <c r="AB3124" s="2">
        <v>5</v>
      </c>
      <c r="AC3124" s="3" t="s">
        <v>3250</v>
      </c>
      <c r="AD3124" s="3" t="s">
        <v>3251</v>
      </c>
      <c r="AG3124" s="2">
        <v>1</v>
      </c>
      <c r="AH3124" s="3" t="s">
        <v>2072</v>
      </c>
      <c r="AI3124" s="4">
        <v>45072</v>
      </c>
      <c r="AJ3124" s="3" t="s">
        <v>3272</v>
      </c>
      <c r="AK3124" s="3" t="s">
        <v>645</v>
      </c>
    </row>
    <row r="3125" spans="1:37" hidden="1" x14ac:dyDescent="0.25">
      <c r="A3125" t="str">
        <f t="shared" si="48"/>
        <v>2023_Qld_Gatton_Mixed_LightTOS1VarietyAmberleyWaterTrtIrrigatedAgronomyNatural</v>
      </c>
      <c r="B3125" s="2">
        <v>2023036</v>
      </c>
      <c r="C3125" s="3" t="s">
        <v>3150</v>
      </c>
      <c r="D3125" s="3" t="s">
        <v>37</v>
      </c>
      <c r="E3125" s="3" t="s">
        <v>645</v>
      </c>
      <c r="F3125" s="3" t="s">
        <v>4185</v>
      </c>
      <c r="G3125" s="3" t="s">
        <v>39</v>
      </c>
      <c r="H3125" s="3" t="s">
        <v>253</v>
      </c>
      <c r="I3125" s="2">
        <v>118</v>
      </c>
      <c r="J3125" s="2">
        <v>118</v>
      </c>
      <c r="K3125" s="2">
        <v>2</v>
      </c>
      <c r="O3125" s="2">
        <v>39</v>
      </c>
      <c r="U3125" s="2">
        <v>10</v>
      </c>
      <c r="V3125" s="2">
        <v>14</v>
      </c>
      <c r="W3125" s="2">
        <v>10</v>
      </c>
      <c r="X3125" s="2">
        <v>10</v>
      </c>
      <c r="Z3125" s="2">
        <v>111</v>
      </c>
      <c r="AA3125" s="3" t="s">
        <v>57</v>
      </c>
      <c r="AB3125" s="2">
        <v>8</v>
      </c>
      <c r="AC3125" s="3" t="s">
        <v>3250</v>
      </c>
      <c r="AD3125" s="3" t="s">
        <v>3251</v>
      </c>
      <c r="AG3125" s="2">
        <v>1</v>
      </c>
      <c r="AH3125" s="3" t="s">
        <v>2072</v>
      </c>
      <c r="AI3125" s="4">
        <v>45072</v>
      </c>
      <c r="AJ3125" s="3" t="s">
        <v>3273</v>
      </c>
      <c r="AK3125" s="3" t="s">
        <v>645</v>
      </c>
    </row>
    <row r="3126" spans="1:37" hidden="1" x14ac:dyDescent="0.25">
      <c r="A3126" t="str">
        <f t="shared" si="48"/>
        <v>2023_Qld_Gatton_Mixed_LightTOS1VarietyNasmaWaterTrtIrrigatedAgronomyNatural</v>
      </c>
      <c r="B3126" s="2">
        <v>2023036</v>
      </c>
      <c r="C3126" s="3" t="s">
        <v>3150</v>
      </c>
      <c r="D3126" s="3" t="s">
        <v>37</v>
      </c>
      <c r="E3126" s="3" t="s">
        <v>645</v>
      </c>
      <c r="F3126" s="3" t="s">
        <v>4186</v>
      </c>
      <c r="G3126" s="3" t="s">
        <v>43</v>
      </c>
      <c r="H3126" s="3" t="s">
        <v>253</v>
      </c>
      <c r="I3126" s="2">
        <v>119</v>
      </c>
      <c r="J3126" s="2">
        <v>119</v>
      </c>
      <c r="K3126" s="2">
        <v>2</v>
      </c>
      <c r="O3126" s="2">
        <v>39</v>
      </c>
      <c r="U3126" s="2">
        <v>11</v>
      </c>
      <c r="V3126" s="2">
        <v>14</v>
      </c>
      <c r="W3126" s="2">
        <v>11</v>
      </c>
      <c r="X3126" s="2">
        <v>10</v>
      </c>
      <c r="Z3126" s="2">
        <v>110</v>
      </c>
      <c r="AA3126" s="3" t="s">
        <v>57</v>
      </c>
      <c r="AB3126" s="2">
        <v>7</v>
      </c>
      <c r="AC3126" s="3" t="s">
        <v>3250</v>
      </c>
      <c r="AD3126" s="3" t="s">
        <v>3251</v>
      </c>
      <c r="AG3126" s="2">
        <v>1</v>
      </c>
      <c r="AH3126" s="3" t="s">
        <v>2072</v>
      </c>
      <c r="AI3126" s="4">
        <v>45072</v>
      </c>
      <c r="AJ3126" s="3" t="s">
        <v>3274</v>
      </c>
      <c r="AK3126" s="3" t="s">
        <v>645</v>
      </c>
    </row>
    <row r="3127" spans="1:37" hidden="1" x14ac:dyDescent="0.25">
      <c r="A3127" t="str">
        <f t="shared" si="48"/>
        <v>2023_Qld_Gatton_Mixed_LightTOS1VarietySamiraWaterTrtIrrigatedAgronomyNatural</v>
      </c>
      <c r="B3127" s="2">
        <v>2023036</v>
      </c>
      <c r="C3127" s="3" t="s">
        <v>3150</v>
      </c>
      <c r="D3127" s="3" t="s">
        <v>37</v>
      </c>
      <c r="E3127" s="3" t="s">
        <v>645</v>
      </c>
      <c r="F3127" s="3" t="s">
        <v>4183</v>
      </c>
      <c r="G3127" s="3" t="s">
        <v>43</v>
      </c>
      <c r="H3127" s="3" t="s">
        <v>253</v>
      </c>
      <c r="I3127" s="2">
        <v>120</v>
      </c>
      <c r="J3127" s="2">
        <v>120</v>
      </c>
      <c r="K3127" s="2">
        <v>2</v>
      </c>
      <c r="O3127" s="2">
        <v>40</v>
      </c>
      <c r="U3127" s="2">
        <v>12</v>
      </c>
      <c r="V3127" s="2">
        <v>14</v>
      </c>
      <c r="W3127" s="2">
        <v>12</v>
      </c>
      <c r="X3127" s="2">
        <v>10</v>
      </c>
      <c r="Z3127" s="2">
        <v>109</v>
      </c>
      <c r="AA3127" s="3" t="s">
        <v>57</v>
      </c>
      <c r="AB3127" s="2">
        <v>12</v>
      </c>
      <c r="AC3127" s="3" t="s">
        <v>3250</v>
      </c>
      <c r="AD3127" s="3" t="s">
        <v>3251</v>
      </c>
      <c r="AG3127" s="2">
        <v>1</v>
      </c>
      <c r="AH3127" s="3" t="s">
        <v>2072</v>
      </c>
      <c r="AI3127" s="4">
        <v>45072</v>
      </c>
      <c r="AJ3127" s="3" t="s">
        <v>3275</v>
      </c>
      <c r="AK3127" s="3" t="s">
        <v>645</v>
      </c>
    </row>
    <row r="3128" spans="1:37" hidden="1" x14ac:dyDescent="0.25">
      <c r="A3128" t="str">
        <f t="shared" si="48"/>
        <v>2023_Qld_Gatton_Mixed_LightTOS1VarietyMarneWaterTrtIrrigatedAgronomyNatural</v>
      </c>
      <c r="B3128" s="2">
        <v>2023036</v>
      </c>
      <c r="C3128" s="3" t="s">
        <v>3150</v>
      </c>
      <c r="D3128" s="3" t="s">
        <v>37</v>
      </c>
      <c r="E3128" s="3" t="s">
        <v>645</v>
      </c>
      <c r="F3128" s="3" t="s">
        <v>4184</v>
      </c>
      <c r="G3128" s="3" t="s">
        <v>39</v>
      </c>
      <c r="H3128" s="3" t="s">
        <v>253</v>
      </c>
      <c r="I3128" s="2">
        <v>121</v>
      </c>
      <c r="J3128" s="2">
        <v>121</v>
      </c>
      <c r="K3128" s="2">
        <v>3</v>
      </c>
      <c r="O3128" s="2">
        <v>41</v>
      </c>
      <c r="U3128" s="2">
        <v>1</v>
      </c>
      <c r="V3128" s="2">
        <v>15</v>
      </c>
      <c r="W3128" s="2">
        <v>1</v>
      </c>
      <c r="X3128" s="2">
        <v>11</v>
      </c>
      <c r="Z3128" s="2">
        <v>121</v>
      </c>
      <c r="AA3128" s="3" t="s">
        <v>57</v>
      </c>
      <c r="AB3128" s="2">
        <v>12</v>
      </c>
      <c r="AC3128" s="3" t="s">
        <v>3250</v>
      </c>
      <c r="AD3128" s="3" t="s">
        <v>3251</v>
      </c>
      <c r="AG3128" s="2">
        <v>1</v>
      </c>
      <c r="AH3128" s="3" t="s">
        <v>2072</v>
      </c>
      <c r="AI3128" s="4">
        <v>45072</v>
      </c>
      <c r="AJ3128" s="3" t="s">
        <v>3276</v>
      </c>
      <c r="AK3128" s="3" t="s">
        <v>645</v>
      </c>
    </row>
    <row r="3129" spans="1:37" hidden="1" x14ac:dyDescent="0.25">
      <c r="A3129" t="str">
        <f t="shared" si="48"/>
        <v>2023_Qld_Gatton_Mixed_LightTOS1VarietyAmberleyWaterTrtIrrigatedAgronomyNatural</v>
      </c>
      <c r="B3129" s="2">
        <v>2023036</v>
      </c>
      <c r="C3129" s="3" t="s">
        <v>3150</v>
      </c>
      <c r="D3129" s="3" t="s">
        <v>37</v>
      </c>
      <c r="E3129" s="3" t="s">
        <v>645</v>
      </c>
      <c r="F3129" s="3" t="s">
        <v>4185</v>
      </c>
      <c r="G3129" s="3" t="s">
        <v>39</v>
      </c>
      <c r="H3129" s="3" t="s">
        <v>253</v>
      </c>
      <c r="I3129" s="2">
        <v>122</v>
      </c>
      <c r="J3129" s="2">
        <v>122</v>
      </c>
      <c r="K3129" s="2">
        <v>3</v>
      </c>
      <c r="O3129" s="2">
        <v>42</v>
      </c>
      <c r="U3129" s="2">
        <v>2</v>
      </c>
      <c r="V3129" s="2">
        <v>15</v>
      </c>
      <c r="W3129" s="2">
        <v>2</v>
      </c>
      <c r="X3129" s="2">
        <v>11</v>
      </c>
      <c r="Z3129" s="2">
        <v>122</v>
      </c>
      <c r="AA3129" s="3" t="s">
        <v>57</v>
      </c>
      <c r="AB3129" s="2">
        <v>5</v>
      </c>
      <c r="AC3129" s="3" t="s">
        <v>3250</v>
      </c>
      <c r="AD3129" s="3" t="s">
        <v>3251</v>
      </c>
      <c r="AG3129" s="2">
        <v>1</v>
      </c>
      <c r="AH3129" s="3" t="s">
        <v>2072</v>
      </c>
      <c r="AI3129" s="4">
        <v>45072</v>
      </c>
      <c r="AJ3129" s="3" t="s">
        <v>3277</v>
      </c>
      <c r="AK3129" s="3" t="s">
        <v>645</v>
      </c>
    </row>
    <row r="3130" spans="1:37" hidden="1" x14ac:dyDescent="0.25">
      <c r="A3130" t="str">
        <f t="shared" si="48"/>
        <v>2023_Qld_Gatton_Mixed_LightTOS1VarietyNasmaWaterTrtIrrigatedAgronomyNatural</v>
      </c>
      <c r="B3130" s="2">
        <v>2023036</v>
      </c>
      <c r="C3130" s="3" t="s">
        <v>3150</v>
      </c>
      <c r="D3130" s="3" t="s">
        <v>37</v>
      </c>
      <c r="E3130" s="3" t="s">
        <v>645</v>
      </c>
      <c r="F3130" s="3" t="s">
        <v>4186</v>
      </c>
      <c r="G3130" s="3" t="s">
        <v>43</v>
      </c>
      <c r="H3130" s="3" t="s">
        <v>253</v>
      </c>
      <c r="I3130" s="2">
        <v>123</v>
      </c>
      <c r="J3130" s="2">
        <v>123</v>
      </c>
      <c r="K3130" s="2">
        <v>3</v>
      </c>
      <c r="O3130" s="2">
        <v>42</v>
      </c>
      <c r="U3130" s="2">
        <v>3</v>
      </c>
      <c r="V3130" s="2">
        <v>15</v>
      </c>
      <c r="W3130" s="2">
        <v>3</v>
      </c>
      <c r="X3130" s="2">
        <v>11</v>
      </c>
      <c r="Z3130" s="2">
        <v>123</v>
      </c>
      <c r="AA3130" s="3" t="s">
        <v>57</v>
      </c>
      <c r="AB3130" s="2">
        <v>7</v>
      </c>
      <c r="AC3130" s="3" t="s">
        <v>3250</v>
      </c>
      <c r="AD3130" s="3" t="s">
        <v>3251</v>
      </c>
      <c r="AG3130" s="2">
        <v>1</v>
      </c>
      <c r="AH3130" s="3" t="s">
        <v>2072</v>
      </c>
      <c r="AI3130" s="4">
        <v>45072</v>
      </c>
      <c r="AJ3130" s="3" t="s">
        <v>3278</v>
      </c>
      <c r="AK3130" s="3" t="s">
        <v>645</v>
      </c>
    </row>
    <row r="3131" spans="1:37" hidden="1" x14ac:dyDescent="0.25">
      <c r="A3131" t="str">
        <f t="shared" si="48"/>
        <v>2023_Qld_Gatton_Mixed_LightTOS1VarietySamiraWaterTrtIrrigatedAgronomyNatural</v>
      </c>
      <c r="B3131" s="2">
        <v>2023036</v>
      </c>
      <c r="C3131" s="3" t="s">
        <v>3150</v>
      </c>
      <c r="D3131" s="3" t="s">
        <v>37</v>
      </c>
      <c r="E3131" s="3" t="s">
        <v>645</v>
      </c>
      <c r="F3131" s="3" t="s">
        <v>4183</v>
      </c>
      <c r="G3131" s="3" t="s">
        <v>43</v>
      </c>
      <c r="H3131" s="3" t="s">
        <v>253</v>
      </c>
      <c r="I3131" s="2">
        <v>124</v>
      </c>
      <c r="J3131" s="2">
        <v>124</v>
      </c>
      <c r="K3131" s="2">
        <v>3</v>
      </c>
      <c r="O3131" s="2">
        <v>42</v>
      </c>
      <c r="U3131" s="2">
        <v>4</v>
      </c>
      <c r="V3131" s="2">
        <v>15</v>
      </c>
      <c r="W3131" s="2">
        <v>4</v>
      </c>
      <c r="X3131" s="2">
        <v>11</v>
      </c>
      <c r="Z3131" s="2">
        <v>124</v>
      </c>
      <c r="AA3131" s="3" t="s">
        <v>57</v>
      </c>
      <c r="AB3131" s="2">
        <v>6</v>
      </c>
      <c r="AC3131" s="3" t="s">
        <v>3250</v>
      </c>
      <c r="AD3131" s="3" t="s">
        <v>3251</v>
      </c>
      <c r="AG3131" s="2">
        <v>1</v>
      </c>
      <c r="AH3131" s="3" t="s">
        <v>2072</v>
      </c>
      <c r="AI3131" s="4">
        <v>45072</v>
      </c>
      <c r="AJ3131" s="3" t="s">
        <v>3279</v>
      </c>
      <c r="AK3131" s="3" t="s">
        <v>645</v>
      </c>
    </row>
    <row r="3132" spans="1:37" hidden="1" x14ac:dyDescent="0.25">
      <c r="A3132" t="str">
        <f t="shared" si="48"/>
        <v>2023_Qld_Gatton_Mixed_LightTOS1VarietyJurienWaterTrtIrrigatedAgronomyNatural</v>
      </c>
      <c r="B3132" s="2">
        <v>2023036</v>
      </c>
      <c r="C3132" s="3" t="s">
        <v>3150</v>
      </c>
      <c r="D3132" s="3" t="s">
        <v>37</v>
      </c>
      <c r="E3132" s="3" t="s">
        <v>1931</v>
      </c>
      <c r="F3132" s="3" t="s">
        <v>4194</v>
      </c>
      <c r="G3132" s="3" t="s">
        <v>39</v>
      </c>
      <c r="H3132" s="3" t="s">
        <v>253</v>
      </c>
      <c r="I3132" s="2">
        <v>125</v>
      </c>
      <c r="J3132" s="2">
        <v>125</v>
      </c>
      <c r="K3132" s="2">
        <v>3</v>
      </c>
      <c r="O3132" s="2">
        <v>42</v>
      </c>
      <c r="U3132" s="2">
        <v>5</v>
      </c>
      <c r="V3132" s="2">
        <v>15</v>
      </c>
      <c r="W3132" s="2">
        <v>5</v>
      </c>
      <c r="X3132" s="2">
        <v>11</v>
      </c>
      <c r="Z3132" s="2">
        <v>125</v>
      </c>
      <c r="AA3132" s="3" t="s">
        <v>57</v>
      </c>
      <c r="AB3132" s="2">
        <v>8</v>
      </c>
      <c r="AC3132" s="3" t="s">
        <v>3250</v>
      </c>
      <c r="AD3132" s="3" t="s">
        <v>3251</v>
      </c>
      <c r="AG3132" s="2">
        <v>1</v>
      </c>
      <c r="AH3132" s="3" t="s">
        <v>2072</v>
      </c>
      <c r="AI3132" s="4">
        <v>45072</v>
      </c>
      <c r="AJ3132" s="3" t="s">
        <v>3280</v>
      </c>
      <c r="AK3132" s="3" t="s">
        <v>1931</v>
      </c>
    </row>
    <row r="3133" spans="1:37" hidden="1" x14ac:dyDescent="0.25">
      <c r="A3133" t="str">
        <f t="shared" si="48"/>
        <v>2023_Qld_Gatton_Mixed_LightTOS1VarietyJindaleeWaterTrtIrrigatedAgronomyNatural</v>
      </c>
      <c r="B3133" s="2">
        <v>2023036</v>
      </c>
      <c r="C3133" s="3" t="s">
        <v>3150</v>
      </c>
      <c r="D3133" s="3" t="s">
        <v>37</v>
      </c>
      <c r="E3133" s="3" t="s">
        <v>1931</v>
      </c>
      <c r="F3133" s="3" t="s">
        <v>2868</v>
      </c>
      <c r="G3133" s="3" t="s">
        <v>39</v>
      </c>
      <c r="H3133" s="3" t="s">
        <v>253</v>
      </c>
      <c r="I3133" s="2">
        <v>126</v>
      </c>
      <c r="J3133" s="2">
        <v>126</v>
      </c>
      <c r="K3133" s="2">
        <v>3</v>
      </c>
      <c r="O3133" s="2">
        <v>43</v>
      </c>
      <c r="U3133" s="2">
        <v>6</v>
      </c>
      <c r="V3133" s="2">
        <v>15</v>
      </c>
      <c r="W3133" s="2">
        <v>6</v>
      </c>
      <c r="X3133" s="2">
        <v>11</v>
      </c>
      <c r="Z3133" s="2">
        <v>126</v>
      </c>
      <c r="AA3133" s="3" t="s">
        <v>57</v>
      </c>
      <c r="AB3133" s="2">
        <v>9</v>
      </c>
      <c r="AC3133" s="3" t="s">
        <v>3250</v>
      </c>
      <c r="AD3133" s="3" t="s">
        <v>3251</v>
      </c>
      <c r="AG3133" s="2">
        <v>1</v>
      </c>
      <c r="AH3133" s="3" t="s">
        <v>2072</v>
      </c>
      <c r="AI3133" s="4">
        <v>45072</v>
      </c>
      <c r="AJ3133" s="3" t="s">
        <v>3281</v>
      </c>
      <c r="AK3133" s="3" t="s">
        <v>1931</v>
      </c>
    </row>
    <row r="3134" spans="1:37" hidden="1" x14ac:dyDescent="0.25">
      <c r="A3134" t="str">
        <f t="shared" si="48"/>
        <v>2023_Qld_Gatton_Mixed_LightTOS1VarietyWongaWaterTrtIrrigatedAgronomyNatural</v>
      </c>
      <c r="B3134" s="2">
        <v>2023036</v>
      </c>
      <c r="C3134" s="3" t="s">
        <v>3150</v>
      </c>
      <c r="D3134" s="3" t="s">
        <v>37</v>
      </c>
      <c r="E3134" s="3" t="s">
        <v>1931</v>
      </c>
      <c r="F3134" s="3" t="s">
        <v>1932</v>
      </c>
      <c r="G3134" s="3" t="s">
        <v>39</v>
      </c>
      <c r="H3134" s="3" t="s">
        <v>253</v>
      </c>
      <c r="I3134" s="2">
        <v>127</v>
      </c>
      <c r="J3134" s="2">
        <v>127</v>
      </c>
      <c r="K3134" s="2">
        <v>3</v>
      </c>
      <c r="O3134" s="2">
        <v>43</v>
      </c>
      <c r="U3134" s="2">
        <v>7</v>
      </c>
      <c r="V3134" s="2">
        <v>15</v>
      </c>
      <c r="W3134" s="2">
        <v>7</v>
      </c>
      <c r="X3134" s="2">
        <v>11</v>
      </c>
      <c r="Z3134" s="2">
        <v>127</v>
      </c>
      <c r="AA3134" s="3" t="s">
        <v>57</v>
      </c>
      <c r="AB3134" s="2">
        <v>11</v>
      </c>
      <c r="AC3134" s="3" t="s">
        <v>3250</v>
      </c>
      <c r="AD3134" s="3" t="s">
        <v>3251</v>
      </c>
      <c r="AG3134" s="2">
        <v>1</v>
      </c>
      <c r="AH3134" s="3" t="s">
        <v>2072</v>
      </c>
      <c r="AI3134" s="4">
        <v>45072</v>
      </c>
      <c r="AJ3134" s="3" t="s">
        <v>3282</v>
      </c>
      <c r="AK3134" s="3" t="s">
        <v>1931</v>
      </c>
    </row>
    <row r="3135" spans="1:37" hidden="1" x14ac:dyDescent="0.25">
      <c r="A3135" t="str">
        <f t="shared" si="48"/>
        <v>2023_Qld_Gatton_Mixed_LightTOS1VarietyBatemanWaterTrtIrrigatedAgronomyNatural</v>
      </c>
      <c r="B3135" s="2">
        <v>2023036</v>
      </c>
      <c r="C3135" s="3" t="s">
        <v>3150</v>
      </c>
      <c r="D3135" s="3" t="s">
        <v>37</v>
      </c>
      <c r="E3135" s="3" t="s">
        <v>1931</v>
      </c>
      <c r="F3135" s="3" t="s">
        <v>4195</v>
      </c>
      <c r="G3135" s="3" t="s">
        <v>43</v>
      </c>
      <c r="H3135" s="3" t="s">
        <v>253</v>
      </c>
      <c r="I3135" s="2">
        <v>128</v>
      </c>
      <c r="J3135" s="2">
        <v>128</v>
      </c>
      <c r="K3135" s="2">
        <v>3</v>
      </c>
      <c r="O3135" s="2">
        <v>43</v>
      </c>
      <c r="U3135" s="2">
        <v>8</v>
      </c>
      <c r="V3135" s="2">
        <v>15</v>
      </c>
      <c r="W3135" s="2">
        <v>8</v>
      </c>
      <c r="X3135" s="2">
        <v>11</v>
      </c>
      <c r="Z3135" s="2">
        <v>128</v>
      </c>
      <c r="AA3135" s="3" t="s">
        <v>57</v>
      </c>
      <c r="AB3135" s="2">
        <v>10</v>
      </c>
      <c r="AC3135" s="3" t="s">
        <v>3250</v>
      </c>
      <c r="AD3135" s="3" t="s">
        <v>3251</v>
      </c>
      <c r="AG3135" s="2">
        <v>1</v>
      </c>
      <c r="AH3135" s="3" t="s">
        <v>2072</v>
      </c>
      <c r="AI3135" s="4">
        <v>45072</v>
      </c>
      <c r="AJ3135" s="3" t="s">
        <v>3283</v>
      </c>
      <c r="AK3135" s="3" t="s">
        <v>1931</v>
      </c>
    </row>
    <row r="3136" spans="1:37" hidden="1" x14ac:dyDescent="0.25">
      <c r="A3136" t="str">
        <f t="shared" si="48"/>
        <v>2023_Qld_Gatton_Mixed_LightTOS1VarietyKelpieXTWaterTrtIrrigatedAgronomyNatural</v>
      </c>
      <c r="B3136" s="2">
        <v>2023036</v>
      </c>
      <c r="C3136" s="3" t="s">
        <v>3150</v>
      </c>
      <c r="D3136" s="3" t="s">
        <v>37</v>
      </c>
      <c r="E3136" s="3" t="s">
        <v>38</v>
      </c>
      <c r="F3136" s="3" t="s">
        <v>4188</v>
      </c>
      <c r="G3136" s="3" t="s">
        <v>43</v>
      </c>
      <c r="H3136" s="3" t="s">
        <v>253</v>
      </c>
      <c r="I3136" s="2">
        <v>129</v>
      </c>
      <c r="J3136" s="2">
        <v>129</v>
      </c>
      <c r="K3136" s="2">
        <v>3</v>
      </c>
      <c r="O3136" s="2">
        <v>44</v>
      </c>
      <c r="U3136" s="2">
        <v>9</v>
      </c>
      <c r="V3136" s="2">
        <v>15</v>
      </c>
      <c r="W3136" s="2">
        <v>9</v>
      </c>
      <c r="X3136" s="2">
        <v>11</v>
      </c>
      <c r="Z3136" s="2">
        <v>129</v>
      </c>
      <c r="AA3136" s="3" t="s">
        <v>57</v>
      </c>
      <c r="AB3136" s="2">
        <v>2</v>
      </c>
      <c r="AC3136" s="3" t="s">
        <v>3250</v>
      </c>
      <c r="AD3136" s="3" t="s">
        <v>3251</v>
      </c>
      <c r="AG3136" s="2">
        <v>1</v>
      </c>
      <c r="AH3136" s="3" t="s">
        <v>2072</v>
      </c>
      <c r="AI3136" s="4">
        <v>45072</v>
      </c>
      <c r="AJ3136" s="3" t="s">
        <v>3284</v>
      </c>
      <c r="AK3136" s="3" t="s">
        <v>38</v>
      </c>
    </row>
    <row r="3137" spans="1:37" hidden="1" x14ac:dyDescent="0.25">
      <c r="A3137" t="str">
        <f t="shared" si="48"/>
        <v>2023_Qld_Gatton_Mixed_LightTOS1VarietyHatTrickWaterTrtIrrigatedAgronomyNatural</v>
      </c>
      <c r="B3137" s="2">
        <v>2023036</v>
      </c>
      <c r="C3137" s="3" t="s">
        <v>3150</v>
      </c>
      <c r="D3137" s="3" t="s">
        <v>37</v>
      </c>
      <c r="E3137" s="3" t="s">
        <v>248</v>
      </c>
      <c r="F3137" s="3" t="s">
        <v>4178</v>
      </c>
      <c r="G3137" s="3" t="s">
        <v>39</v>
      </c>
      <c r="H3137" s="3" t="s">
        <v>253</v>
      </c>
      <c r="I3137" s="2">
        <v>130</v>
      </c>
      <c r="J3137" s="2">
        <v>130</v>
      </c>
      <c r="K3137" s="2">
        <v>3</v>
      </c>
      <c r="O3137" s="2">
        <v>44</v>
      </c>
      <c r="U3137" s="2">
        <v>10</v>
      </c>
      <c r="V3137" s="2">
        <v>15</v>
      </c>
      <c r="W3137" s="2">
        <v>10</v>
      </c>
      <c r="X3137" s="2">
        <v>11</v>
      </c>
      <c r="Z3137" s="2">
        <v>130</v>
      </c>
      <c r="AA3137" s="3" t="s">
        <v>57</v>
      </c>
      <c r="AB3137" s="2">
        <v>1</v>
      </c>
      <c r="AC3137" s="3" t="s">
        <v>3250</v>
      </c>
      <c r="AD3137" s="3" t="s">
        <v>3251</v>
      </c>
      <c r="AG3137" s="2">
        <v>1</v>
      </c>
      <c r="AH3137" s="3" t="s">
        <v>2072</v>
      </c>
      <c r="AI3137" s="4">
        <v>45072</v>
      </c>
      <c r="AJ3137" s="3" t="s">
        <v>3285</v>
      </c>
      <c r="AK3137" s="3" t="s">
        <v>248</v>
      </c>
    </row>
    <row r="3138" spans="1:37" hidden="1" x14ac:dyDescent="0.25">
      <c r="A3138" t="str">
        <f t="shared" si="48"/>
        <v>2023_Qld_Gatton_Mixed_LightTOS1VarietyDrummondWaterTrtIrrigatedAgronomyNatural</v>
      </c>
      <c r="B3138" s="2">
        <v>2023036</v>
      </c>
      <c r="C3138" s="3" t="s">
        <v>3150</v>
      </c>
      <c r="D3138" s="3" t="s">
        <v>37</v>
      </c>
      <c r="E3138" s="3" t="s">
        <v>248</v>
      </c>
      <c r="F3138" s="3" t="s">
        <v>4182</v>
      </c>
      <c r="G3138" s="3" t="s">
        <v>39</v>
      </c>
      <c r="H3138" s="3" t="s">
        <v>253</v>
      </c>
      <c r="I3138" s="2">
        <v>131</v>
      </c>
      <c r="J3138" s="2">
        <v>131</v>
      </c>
      <c r="K3138" s="2">
        <v>3</v>
      </c>
      <c r="O3138" s="2">
        <v>44</v>
      </c>
      <c r="U3138" s="2">
        <v>11</v>
      </c>
      <c r="V3138" s="2">
        <v>15</v>
      </c>
      <c r="W3138" s="2">
        <v>11</v>
      </c>
      <c r="X3138" s="2">
        <v>11</v>
      </c>
      <c r="Z3138" s="2">
        <v>131</v>
      </c>
      <c r="AA3138" s="3" t="s">
        <v>57</v>
      </c>
      <c r="AB3138" s="2">
        <v>3</v>
      </c>
      <c r="AC3138" s="3" t="s">
        <v>3250</v>
      </c>
      <c r="AD3138" s="3" t="s">
        <v>3251</v>
      </c>
      <c r="AG3138" s="2">
        <v>1</v>
      </c>
      <c r="AH3138" s="3" t="s">
        <v>2072</v>
      </c>
      <c r="AI3138" s="4">
        <v>45072</v>
      </c>
      <c r="AJ3138" s="3" t="s">
        <v>3286</v>
      </c>
      <c r="AK3138" s="3" t="s">
        <v>248</v>
      </c>
    </row>
    <row r="3139" spans="1:37" hidden="1" x14ac:dyDescent="0.25">
      <c r="A3139" t="str">
        <f t="shared" ref="A3139:A3202" si="49">C3139&amp;"TOS"&amp;AG3139&amp;"Variety"&amp;F3139&amp;"WaterTrt"&amp;AA3139&amp;IF(AC3139="","","Agronomy"&amp;AC3139)</f>
        <v>2023_Qld_Gatton_Mixed_LightTOS1VarietyCBA_CaptainWaterTrtIrrigatedAgronomyNatural</v>
      </c>
      <c r="B3139" s="2">
        <v>2023036</v>
      </c>
      <c r="C3139" s="3" t="s">
        <v>3150</v>
      </c>
      <c r="D3139" s="3" t="s">
        <v>37</v>
      </c>
      <c r="E3139" s="3" t="s">
        <v>248</v>
      </c>
      <c r="F3139" s="3" t="s">
        <v>249</v>
      </c>
      <c r="G3139" s="3" t="s">
        <v>43</v>
      </c>
      <c r="H3139" s="3" t="s">
        <v>253</v>
      </c>
      <c r="I3139" s="2">
        <v>132</v>
      </c>
      <c r="J3139" s="2">
        <v>132</v>
      </c>
      <c r="K3139" s="2">
        <v>3</v>
      </c>
      <c r="O3139" s="2">
        <v>44</v>
      </c>
      <c r="U3139" s="2">
        <v>12</v>
      </c>
      <c r="V3139" s="2">
        <v>15</v>
      </c>
      <c r="W3139" s="2">
        <v>12</v>
      </c>
      <c r="X3139" s="2">
        <v>11</v>
      </c>
      <c r="Z3139" s="2">
        <v>132</v>
      </c>
      <c r="AA3139" s="3" t="s">
        <v>57</v>
      </c>
      <c r="AB3139" s="2">
        <v>4</v>
      </c>
      <c r="AC3139" s="3" t="s">
        <v>3250</v>
      </c>
      <c r="AD3139" s="3" t="s">
        <v>3251</v>
      </c>
      <c r="AG3139" s="2">
        <v>1</v>
      </c>
      <c r="AH3139" s="3" t="s">
        <v>2072</v>
      </c>
      <c r="AI3139" s="4">
        <v>45072</v>
      </c>
      <c r="AJ3139" s="3" t="s">
        <v>3287</v>
      </c>
      <c r="AK3139" s="3" t="s">
        <v>248</v>
      </c>
    </row>
    <row r="3140" spans="1:37" hidden="1" x14ac:dyDescent="0.25">
      <c r="A3140" t="str">
        <f t="shared" si="49"/>
        <v>2023_Qld_Gatton_Mixed_LightTOS1VarietySamiraWaterTrtIrrigatedAgronomyNatural</v>
      </c>
      <c r="B3140" s="2">
        <v>2023036</v>
      </c>
      <c r="C3140" s="3" t="s">
        <v>3150</v>
      </c>
      <c r="D3140" s="3" t="s">
        <v>37</v>
      </c>
      <c r="E3140" s="3" t="s">
        <v>645</v>
      </c>
      <c r="F3140" s="3" t="s">
        <v>4183</v>
      </c>
      <c r="G3140" s="3" t="s">
        <v>43</v>
      </c>
      <c r="H3140" s="3" t="s">
        <v>253</v>
      </c>
      <c r="I3140" s="2">
        <v>133</v>
      </c>
      <c r="J3140" s="2">
        <v>133</v>
      </c>
      <c r="K3140" s="2">
        <v>4</v>
      </c>
      <c r="O3140" s="2">
        <v>45</v>
      </c>
      <c r="U3140" s="2">
        <v>1</v>
      </c>
      <c r="V3140" s="2">
        <v>16</v>
      </c>
      <c r="W3140" s="2">
        <v>1</v>
      </c>
      <c r="X3140" s="2">
        <v>12</v>
      </c>
      <c r="Z3140" s="2">
        <v>144</v>
      </c>
      <c r="AA3140" s="3" t="s">
        <v>57</v>
      </c>
      <c r="AB3140" s="2">
        <v>11</v>
      </c>
      <c r="AC3140" s="3" t="s">
        <v>3250</v>
      </c>
      <c r="AD3140" s="3" t="s">
        <v>3251</v>
      </c>
      <c r="AG3140" s="2">
        <v>1</v>
      </c>
      <c r="AH3140" s="3" t="s">
        <v>2072</v>
      </c>
      <c r="AI3140" s="4">
        <v>45072</v>
      </c>
      <c r="AJ3140" s="3" t="s">
        <v>3288</v>
      </c>
      <c r="AK3140" s="3" t="s">
        <v>645</v>
      </c>
    </row>
    <row r="3141" spans="1:37" hidden="1" x14ac:dyDescent="0.25">
      <c r="A3141" t="str">
        <f t="shared" si="49"/>
        <v>2023_Qld_Gatton_Mixed_LightTOS1VarietyMarneWaterTrtIrrigatedAgronomyNatural</v>
      </c>
      <c r="B3141" s="2">
        <v>2023036</v>
      </c>
      <c r="C3141" s="3" t="s">
        <v>3150</v>
      </c>
      <c r="D3141" s="3" t="s">
        <v>37</v>
      </c>
      <c r="E3141" s="3" t="s">
        <v>645</v>
      </c>
      <c r="F3141" s="3" t="s">
        <v>4184</v>
      </c>
      <c r="G3141" s="3" t="s">
        <v>39</v>
      </c>
      <c r="H3141" s="3" t="s">
        <v>253</v>
      </c>
      <c r="I3141" s="2">
        <v>134</v>
      </c>
      <c r="J3141" s="2">
        <v>134</v>
      </c>
      <c r="K3141" s="2">
        <v>4</v>
      </c>
      <c r="O3141" s="2">
        <v>45</v>
      </c>
      <c r="U3141" s="2">
        <v>2</v>
      </c>
      <c r="V3141" s="2">
        <v>16</v>
      </c>
      <c r="W3141" s="2">
        <v>2</v>
      </c>
      <c r="X3141" s="2">
        <v>12</v>
      </c>
      <c r="Z3141" s="2">
        <v>143</v>
      </c>
      <c r="AA3141" s="3" t="s">
        <v>57</v>
      </c>
      <c r="AB3141" s="2">
        <v>9</v>
      </c>
      <c r="AC3141" s="3" t="s">
        <v>3250</v>
      </c>
      <c r="AD3141" s="3" t="s">
        <v>3251</v>
      </c>
      <c r="AG3141" s="2">
        <v>1</v>
      </c>
      <c r="AH3141" s="3" t="s">
        <v>2072</v>
      </c>
      <c r="AI3141" s="4">
        <v>45072</v>
      </c>
      <c r="AJ3141" s="3" t="s">
        <v>3289</v>
      </c>
      <c r="AK3141" s="3" t="s">
        <v>645</v>
      </c>
    </row>
    <row r="3142" spans="1:37" hidden="1" x14ac:dyDescent="0.25">
      <c r="A3142" t="str">
        <f t="shared" si="49"/>
        <v>2023_Qld_Gatton_Mixed_LightTOS1VarietyAmberleyWaterTrtIrrigatedAgronomyNatural</v>
      </c>
      <c r="B3142" s="2">
        <v>2023036</v>
      </c>
      <c r="C3142" s="3" t="s">
        <v>3150</v>
      </c>
      <c r="D3142" s="3" t="s">
        <v>37</v>
      </c>
      <c r="E3142" s="3" t="s">
        <v>645</v>
      </c>
      <c r="F3142" s="3" t="s">
        <v>4185</v>
      </c>
      <c r="G3142" s="3" t="s">
        <v>39</v>
      </c>
      <c r="H3142" s="3" t="s">
        <v>253</v>
      </c>
      <c r="I3142" s="2">
        <v>135</v>
      </c>
      <c r="J3142" s="2">
        <v>135</v>
      </c>
      <c r="K3142" s="2">
        <v>4</v>
      </c>
      <c r="O3142" s="2">
        <v>45</v>
      </c>
      <c r="U3142" s="2">
        <v>3</v>
      </c>
      <c r="V3142" s="2">
        <v>16</v>
      </c>
      <c r="W3142" s="2">
        <v>3</v>
      </c>
      <c r="X3142" s="2">
        <v>12</v>
      </c>
      <c r="Z3142" s="2">
        <v>142</v>
      </c>
      <c r="AA3142" s="3" t="s">
        <v>57</v>
      </c>
      <c r="AB3142" s="2">
        <v>10</v>
      </c>
      <c r="AC3142" s="3" t="s">
        <v>3250</v>
      </c>
      <c r="AD3142" s="3" t="s">
        <v>3251</v>
      </c>
      <c r="AG3142" s="2">
        <v>1</v>
      </c>
      <c r="AH3142" s="3" t="s">
        <v>2072</v>
      </c>
      <c r="AI3142" s="4">
        <v>45072</v>
      </c>
      <c r="AJ3142" s="3" t="s">
        <v>3290</v>
      </c>
      <c r="AK3142" s="3" t="s">
        <v>645</v>
      </c>
    </row>
    <row r="3143" spans="1:37" hidden="1" x14ac:dyDescent="0.25">
      <c r="A3143" t="str">
        <f t="shared" si="49"/>
        <v>2023_Qld_Gatton_Mixed_LightTOS1VarietyNasmaWaterTrtIrrigatedAgronomyNatural</v>
      </c>
      <c r="B3143" s="2">
        <v>2023036</v>
      </c>
      <c r="C3143" s="3" t="s">
        <v>3150</v>
      </c>
      <c r="D3143" s="3" t="s">
        <v>37</v>
      </c>
      <c r="E3143" s="3" t="s">
        <v>645</v>
      </c>
      <c r="F3143" s="3" t="s">
        <v>4186</v>
      </c>
      <c r="G3143" s="3" t="s">
        <v>43</v>
      </c>
      <c r="H3143" s="3" t="s">
        <v>253</v>
      </c>
      <c r="I3143" s="2">
        <v>136</v>
      </c>
      <c r="J3143" s="2">
        <v>136</v>
      </c>
      <c r="K3143" s="2">
        <v>4</v>
      </c>
      <c r="O3143" s="2">
        <v>46</v>
      </c>
      <c r="U3143" s="2">
        <v>4</v>
      </c>
      <c r="V3143" s="2">
        <v>16</v>
      </c>
      <c r="W3143" s="2">
        <v>4</v>
      </c>
      <c r="X3143" s="2">
        <v>12</v>
      </c>
      <c r="Z3143" s="2">
        <v>141</v>
      </c>
      <c r="AA3143" s="3" t="s">
        <v>57</v>
      </c>
      <c r="AB3143" s="2">
        <v>12</v>
      </c>
      <c r="AC3143" s="3" t="s">
        <v>3250</v>
      </c>
      <c r="AD3143" s="3" t="s">
        <v>3251</v>
      </c>
      <c r="AG3143" s="2">
        <v>1</v>
      </c>
      <c r="AH3143" s="3" t="s">
        <v>2072</v>
      </c>
      <c r="AI3143" s="4">
        <v>45072</v>
      </c>
      <c r="AJ3143" s="3" t="s">
        <v>3291</v>
      </c>
      <c r="AK3143" s="3" t="s">
        <v>645</v>
      </c>
    </row>
    <row r="3144" spans="1:37" hidden="1" x14ac:dyDescent="0.25">
      <c r="A3144" t="str">
        <f t="shared" si="49"/>
        <v>2023_Qld_Gatton_Mixed_LightTOS1VarietyJindaleeWaterTrtIrrigatedAgronomyNatural</v>
      </c>
      <c r="B3144" s="2">
        <v>2023036</v>
      </c>
      <c r="C3144" s="3" t="s">
        <v>3150</v>
      </c>
      <c r="D3144" s="3" t="s">
        <v>37</v>
      </c>
      <c r="E3144" s="3" t="s">
        <v>1931</v>
      </c>
      <c r="F3144" s="3" t="s">
        <v>2868</v>
      </c>
      <c r="G3144" s="3" t="s">
        <v>39</v>
      </c>
      <c r="H3144" s="3" t="s">
        <v>253</v>
      </c>
      <c r="I3144" s="2">
        <v>137</v>
      </c>
      <c r="J3144" s="2">
        <v>137</v>
      </c>
      <c r="K3144" s="2">
        <v>4</v>
      </c>
      <c r="O3144" s="2">
        <v>47</v>
      </c>
      <c r="U3144" s="2">
        <v>5</v>
      </c>
      <c r="V3144" s="2">
        <v>16</v>
      </c>
      <c r="W3144" s="2">
        <v>5</v>
      </c>
      <c r="X3144" s="2">
        <v>12</v>
      </c>
      <c r="Z3144" s="2">
        <v>140</v>
      </c>
      <c r="AA3144" s="3" t="s">
        <v>57</v>
      </c>
      <c r="AB3144" s="2">
        <v>1</v>
      </c>
      <c r="AC3144" s="3" t="s">
        <v>3250</v>
      </c>
      <c r="AD3144" s="3" t="s">
        <v>3251</v>
      </c>
      <c r="AG3144" s="2">
        <v>1</v>
      </c>
      <c r="AH3144" s="3" t="s">
        <v>2072</v>
      </c>
      <c r="AI3144" s="4">
        <v>45072</v>
      </c>
      <c r="AJ3144" s="3" t="s">
        <v>3292</v>
      </c>
      <c r="AK3144" s="3" t="s">
        <v>1931</v>
      </c>
    </row>
    <row r="3145" spans="1:37" hidden="1" x14ac:dyDescent="0.25">
      <c r="A3145" t="str">
        <f t="shared" si="49"/>
        <v>2023_Qld_Gatton_Mixed_LightTOS1VarietyWongaWaterTrtIrrigatedAgronomyNatural</v>
      </c>
      <c r="B3145" s="2">
        <v>2023036</v>
      </c>
      <c r="C3145" s="3" t="s">
        <v>3150</v>
      </c>
      <c r="D3145" s="3" t="s">
        <v>37</v>
      </c>
      <c r="E3145" s="3" t="s">
        <v>1931</v>
      </c>
      <c r="F3145" s="3" t="s">
        <v>1932</v>
      </c>
      <c r="G3145" s="3" t="s">
        <v>39</v>
      </c>
      <c r="H3145" s="3" t="s">
        <v>253</v>
      </c>
      <c r="I3145" s="2">
        <v>138</v>
      </c>
      <c r="J3145" s="2">
        <v>138</v>
      </c>
      <c r="K3145" s="2">
        <v>4</v>
      </c>
      <c r="O3145" s="2">
        <v>47</v>
      </c>
      <c r="U3145" s="2">
        <v>6</v>
      </c>
      <c r="V3145" s="2">
        <v>16</v>
      </c>
      <c r="W3145" s="2">
        <v>6</v>
      </c>
      <c r="X3145" s="2">
        <v>12</v>
      </c>
      <c r="Z3145" s="2">
        <v>139</v>
      </c>
      <c r="AA3145" s="3" t="s">
        <v>57</v>
      </c>
      <c r="AB3145" s="2">
        <v>3</v>
      </c>
      <c r="AC3145" s="3" t="s">
        <v>3250</v>
      </c>
      <c r="AD3145" s="3" t="s">
        <v>3251</v>
      </c>
      <c r="AG3145" s="2">
        <v>1</v>
      </c>
      <c r="AH3145" s="3" t="s">
        <v>2072</v>
      </c>
      <c r="AI3145" s="4">
        <v>45072</v>
      </c>
      <c r="AJ3145" s="3" t="s">
        <v>3293</v>
      </c>
      <c r="AK3145" s="3" t="s">
        <v>1931</v>
      </c>
    </row>
    <row r="3146" spans="1:37" hidden="1" x14ac:dyDescent="0.25">
      <c r="A3146" t="str">
        <f t="shared" si="49"/>
        <v>2023_Qld_Gatton_Mixed_LightTOS1VarietyBatemanWaterTrtIrrigatedAgronomyNatural</v>
      </c>
      <c r="B3146" s="2">
        <v>2023036</v>
      </c>
      <c r="C3146" s="3" t="s">
        <v>3150</v>
      </c>
      <c r="D3146" s="3" t="s">
        <v>37</v>
      </c>
      <c r="E3146" s="3" t="s">
        <v>1931</v>
      </c>
      <c r="F3146" s="3" t="s">
        <v>4195</v>
      </c>
      <c r="G3146" s="3" t="s">
        <v>43</v>
      </c>
      <c r="H3146" s="3" t="s">
        <v>253</v>
      </c>
      <c r="I3146" s="2">
        <v>139</v>
      </c>
      <c r="J3146" s="2">
        <v>139</v>
      </c>
      <c r="K3146" s="2">
        <v>4</v>
      </c>
      <c r="O3146" s="2">
        <v>47</v>
      </c>
      <c r="U3146" s="2">
        <v>7</v>
      </c>
      <c r="V3146" s="2">
        <v>16</v>
      </c>
      <c r="W3146" s="2">
        <v>7</v>
      </c>
      <c r="X3146" s="2">
        <v>12</v>
      </c>
      <c r="Z3146" s="2">
        <v>138</v>
      </c>
      <c r="AA3146" s="3" t="s">
        <v>57</v>
      </c>
      <c r="AB3146" s="2">
        <v>4</v>
      </c>
      <c r="AC3146" s="3" t="s">
        <v>3250</v>
      </c>
      <c r="AD3146" s="3" t="s">
        <v>3251</v>
      </c>
      <c r="AG3146" s="2">
        <v>1</v>
      </c>
      <c r="AH3146" s="3" t="s">
        <v>2072</v>
      </c>
      <c r="AI3146" s="4">
        <v>45072</v>
      </c>
      <c r="AJ3146" s="3" t="s">
        <v>3294</v>
      </c>
      <c r="AK3146" s="3" t="s">
        <v>1931</v>
      </c>
    </row>
    <row r="3147" spans="1:37" hidden="1" x14ac:dyDescent="0.25">
      <c r="A3147" t="str">
        <f t="shared" si="49"/>
        <v>2023_Qld_Gatton_Mixed_LightTOS1VarietyJurienWaterTrtIrrigatedAgronomyNatural</v>
      </c>
      <c r="B3147" s="2">
        <v>2023036</v>
      </c>
      <c r="C3147" s="3" t="s">
        <v>3150</v>
      </c>
      <c r="D3147" s="3" t="s">
        <v>37</v>
      </c>
      <c r="E3147" s="3" t="s">
        <v>1931</v>
      </c>
      <c r="F3147" s="3" t="s">
        <v>4194</v>
      </c>
      <c r="G3147" s="3" t="s">
        <v>39</v>
      </c>
      <c r="H3147" s="3" t="s">
        <v>253</v>
      </c>
      <c r="I3147" s="2">
        <v>140</v>
      </c>
      <c r="J3147" s="2">
        <v>140</v>
      </c>
      <c r="K3147" s="2">
        <v>4</v>
      </c>
      <c r="O3147" s="2">
        <v>47</v>
      </c>
      <c r="U3147" s="2">
        <v>8</v>
      </c>
      <c r="V3147" s="2">
        <v>16</v>
      </c>
      <c r="W3147" s="2">
        <v>8</v>
      </c>
      <c r="X3147" s="2">
        <v>12</v>
      </c>
      <c r="Z3147" s="2">
        <v>137</v>
      </c>
      <c r="AA3147" s="3" t="s">
        <v>57</v>
      </c>
      <c r="AB3147" s="2">
        <v>2</v>
      </c>
      <c r="AC3147" s="3" t="s">
        <v>3250</v>
      </c>
      <c r="AD3147" s="3" t="s">
        <v>3251</v>
      </c>
      <c r="AG3147" s="2">
        <v>1</v>
      </c>
      <c r="AH3147" s="3" t="s">
        <v>2072</v>
      </c>
      <c r="AI3147" s="4">
        <v>45072</v>
      </c>
      <c r="AJ3147" s="3" t="s">
        <v>3295</v>
      </c>
      <c r="AK3147" s="3" t="s">
        <v>1931</v>
      </c>
    </row>
    <row r="3148" spans="1:37" hidden="1" x14ac:dyDescent="0.25">
      <c r="A3148" t="str">
        <f t="shared" si="49"/>
        <v>2023_Qld_Gatton_Mixed_LightTOS1VarietyHatTrickWaterTrtIrrigatedAgronomyNatural</v>
      </c>
      <c r="B3148" s="2">
        <v>2023036</v>
      </c>
      <c r="C3148" s="3" t="s">
        <v>3150</v>
      </c>
      <c r="D3148" s="3" t="s">
        <v>37</v>
      </c>
      <c r="E3148" s="3" t="s">
        <v>248</v>
      </c>
      <c r="F3148" s="3" t="s">
        <v>4178</v>
      </c>
      <c r="G3148" s="3" t="s">
        <v>39</v>
      </c>
      <c r="H3148" s="3" t="s">
        <v>253</v>
      </c>
      <c r="I3148" s="2">
        <v>141</v>
      </c>
      <c r="J3148" s="2">
        <v>141</v>
      </c>
      <c r="K3148" s="2">
        <v>4</v>
      </c>
      <c r="O3148" s="2">
        <v>48</v>
      </c>
      <c r="U3148" s="2">
        <v>9</v>
      </c>
      <c r="V3148" s="2">
        <v>16</v>
      </c>
      <c r="W3148" s="2">
        <v>9</v>
      </c>
      <c r="X3148" s="2">
        <v>12</v>
      </c>
      <c r="Z3148" s="2">
        <v>136</v>
      </c>
      <c r="AA3148" s="3" t="s">
        <v>57</v>
      </c>
      <c r="AB3148" s="2">
        <v>6</v>
      </c>
      <c r="AC3148" s="3" t="s">
        <v>3250</v>
      </c>
      <c r="AD3148" s="3" t="s">
        <v>3251</v>
      </c>
      <c r="AG3148" s="2">
        <v>1</v>
      </c>
      <c r="AH3148" s="3" t="s">
        <v>2072</v>
      </c>
      <c r="AI3148" s="4">
        <v>45072</v>
      </c>
      <c r="AJ3148" s="3" t="s">
        <v>3296</v>
      </c>
      <c r="AK3148" s="3" t="s">
        <v>248</v>
      </c>
    </row>
    <row r="3149" spans="1:37" hidden="1" x14ac:dyDescent="0.25">
      <c r="A3149" t="str">
        <f t="shared" si="49"/>
        <v>2023_Qld_Gatton_Mixed_LightTOS1VarietyDrummondWaterTrtIrrigatedAgronomyNatural</v>
      </c>
      <c r="B3149" s="2">
        <v>2023036</v>
      </c>
      <c r="C3149" s="3" t="s">
        <v>3150</v>
      </c>
      <c r="D3149" s="3" t="s">
        <v>37</v>
      </c>
      <c r="E3149" s="3" t="s">
        <v>248</v>
      </c>
      <c r="F3149" s="3" t="s">
        <v>4182</v>
      </c>
      <c r="G3149" s="3" t="s">
        <v>39</v>
      </c>
      <c r="H3149" s="3" t="s">
        <v>253</v>
      </c>
      <c r="I3149" s="2">
        <v>142</v>
      </c>
      <c r="J3149" s="2">
        <v>142</v>
      </c>
      <c r="K3149" s="2">
        <v>4</v>
      </c>
      <c r="O3149" s="2">
        <v>48</v>
      </c>
      <c r="U3149" s="2">
        <v>10</v>
      </c>
      <c r="V3149" s="2">
        <v>16</v>
      </c>
      <c r="W3149" s="2">
        <v>10</v>
      </c>
      <c r="X3149" s="2">
        <v>12</v>
      </c>
      <c r="Z3149" s="2">
        <v>135</v>
      </c>
      <c r="AA3149" s="3" t="s">
        <v>57</v>
      </c>
      <c r="AB3149" s="2">
        <v>7</v>
      </c>
      <c r="AC3149" s="3" t="s">
        <v>3250</v>
      </c>
      <c r="AD3149" s="3" t="s">
        <v>3251</v>
      </c>
      <c r="AG3149" s="2">
        <v>1</v>
      </c>
      <c r="AH3149" s="3" t="s">
        <v>2072</v>
      </c>
      <c r="AI3149" s="4">
        <v>45072</v>
      </c>
      <c r="AJ3149" s="3" t="s">
        <v>3297</v>
      </c>
      <c r="AK3149" s="3" t="s">
        <v>248</v>
      </c>
    </row>
    <row r="3150" spans="1:37" hidden="1" x14ac:dyDescent="0.25">
      <c r="A3150" t="str">
        <f t="shared" si="49"/>
        <v>2023_Qld_Gatton_Mixed_LightTOS1VarietyCBA_CaptainWaterTrtIrrigatedAgronomyNatural</v>
      </c>
      <c r="B3150" s="2">
        <v>2023036</v>
      </c>
      <c r="C3150" s="3" t="s">
        <v>3150</v>
      </c>
      <c r="D3150" s="3" t="s">
        <v>37</v>
      </c>
      <c r="E3150" s="3" t="s">
        <v>248</v>
      </c>
      <c r="F3150" s="3" t="s">
        <v>249</v>
      </c>
      <c r="G3150" s="3" t="s">
        <v>43</v>
      </c>
      <c r="H3150" s="3" t="s">
        <v>253</v>
      </c>
      <c r="I3150" s="2">
        <v>143</v>
      </c>
      <c r="J3150" s="2">
        <v>143</v>
      </c>
      <c r="K3150" s="2">
        <v>4</v>
      </c>
      <c r="O3150" s="2">
        <v>48</v>
      </c>
      <c r="U3150" s="2">
        <v>11</v>
      </c>
      <c r="V3150" s="2">
        <v>16</v>
      </c>
      <c r="W3150" s="2">
        <v>11</v>
      </c>
      <c r="X3150" s="2">
        <v>12</v>
      </c>
      <c r="Z3150" s="2">
        <v>134</v>
      </c>
      <c r="AA3150" s="3" t="s">
        <v>57</v>
      </c>
      <c r="AB3150" s="2">
        <v>8</v>
      </c>
      <c r="AC3150" s="3" t="s">
        <v>3250</v>
      </c>
      <c r="AD3150" s="3" t="s">
        <v>3251</v>
      </c>
      <c r="AG3150" s="2">
        <v>1</v>
      </c>
      <c r="AH3150" s="3" t="s">
        <v>2072</v>
      </c>
      <c r="AI3150" s="4">
        <v>45072</v>
      </c>
      <c r="AJ3150" s="3" t="s">
        <v>3298</v>
      </c>
      <c r="AK3150" s="3" t="s">
        <v>248</v>
      </c>
    </row>
    <row r="3151" spans="1:37" hidden="1" x14ac:dyDescent="0.25">
      <c r="A3151" t="str">
        <f t="shared" si="49"/>
        <v>2023_Qld_Gatton_Mixed_LightTOS1VarietyKelpieXTWaterTrtIrrigatedAgronomyNatural</v>
      </c>
      <c r="B3151" s="2">
        <v>2023036</v>
      </c>
      <c r="C3151" s="3" t="s">
        <v>3150</v>
      </c>
      <c r="D3151" s="3" t="s">
        <v>37</v>
      </c>
      <c r="E3151" s="3" t="s">
        <v>38</v>
      </c>
      <c r="F3151" s="3" t="s">
        <v>4188</v>
      </c>
      <c r="G3151" s="3" t="s">
        <v>43</v>
      </c>
      <c r="H3151" s="3" t="s">
        <v>253</v>
      </c>
      <c r="I3151" s="2">
        <v>144</v>
      </c>
      <c r="J3151" s="2">
        <v>144</v>
      </c>
      <c r="K3151" s="2">
        <v>4</v>
      </c>
      <c r="O3151" s="2">
        <v>48</v>
      </c>
      <c r="U3151" s="2">
        <v>12</v>
      </c>
      <c r="V3151" s="2">
        <v>16</v>
      </c>
      <c r="W3151" s="2">
        <v>12</v>
      </c>
      <c r="X3151" s="2">
        <v>12</v>
      </c>
      <c r="Z3151" s="2">
        <v>133</v>
      </c>
      <c r="AA3151" s="3" t="s">
        <v>57</v>
      </c>
      <c r="AB3151" s="2">
        <v>5</v>
      </c>
      <c r="AC3151" s="3" t="s">
        <v>3250</v>
      </c>
      <c r="AD3151" s="3" t="s">
        <v>3251</v>
      </c>
      <c r="AG3151" s="2">
        <v>1</v>
      </c>
      <c r="AH3151" s="3" t="s">
        <v>2072</v>
      </c>
      <c r="AI3151" s="4">
        <v>45072</v>
      </c>
      <c r="AJ3151" s="3" t="s">
        <v>3299</v>
      </c>
      <c r="AK3151" s="3" t="s">
        <v>38</v>
      </c>
    </row>
    <row r="3152" spans="1:37" hidden="1" x14ac:dyDescent="0.25">
      <c r="A3152" t="str">
        <f t="shared" si="49"/>
        <v>2023_Qld_Gatton_Mixed_LightTOS2VarietyCBA_CaptainWaterTrtIrrigatedAgronomyNatural</v>
      </c>
      <c r="B3152" s="2">
        <v>2023036</v>
      </c>
      <c r="C3152" s="3" t="s">
        <v>3150</v>
      </c>
      <c r="D3152" s="3" t="s">
        <v>37</v>
      </c>
      <c r="E3152" s="3" t="s">
        <v>248</v>
      </c>
      <c r="F3152" s="3" t="s">
        <v>249</v>
      </c>
      <c r="G3152" s="3" t="s">
        <v>43</v>
      </c>
      <c r="H3152" s="3" t="s">
        <v>253</v>
      </c>
      <c r="I3152" s="2">
        <v>145</v>
      </c>
      <c r="J3152" s="2">
        <v>145</v>
      </c>
      <c r="K3152" s="2">
        <v>1</v>
      </c>
      <c r="O3152" s="2">
        <v>49</v>
      </c>
      <c r="U3152" s="2">
        <v>1</v>
      </c>
      <c r="V3152" s="2">
        <v>17</v>
      </c>
      <c r="W3152" s="2">
        <v>1</v>
      </c>
      <c r="X3152" s="2">
        <v>13</v>
      </c>
      <c r="Z3152" s="2">
        <v>145</v>
      </c>
      <c r="AA3152" s="3" t="s">
        <v>57</v>
      </c>
      <c r="AB3152" s="2">
        <v>3</v>
      </c>
      <c r="AC3152" s="3" t="s">
        <v>3250</v>
      </c>
      <c r="AD3152" s="3" t="s">
        <v>3251</v>
      </c>
      <c r="AG3152" s="2">
        <v>2</v>
      </c>
      <c r="AH3152" s="3" t="s">
        <v>3201</v>
      </c>
      <c r="AI3152" s="4">
        <v>45118</v>
      </c>
      <c r="AJ3152" s="3" t="s">
        <v>3300</v>
      </c>
      <c r="AK3152" s="3" t="s">
        <v>248</v>
      </c>
    </row>
    <row r="3153" spans="1:37" hidden="1" x14ac:dyDescent="0.25">
      <c r="A3153" t="str">
        <f t="shared" si="49"/>
        <v>2023_Qld_Gatton_Mixed_LightTOS2VarietyKelpieXTWaterTrtIrrigatedAgronomyNatural</v>
      </c>
      <c r="B3153" s="2">
        <v>2023036</v>
      </c>
      <c r="C3153" s="3" t="s">
        <v>3150</v>
      </c>
      <c r="D3153" s="3" t="s">
        <v>37</v>
      </c>
      <c r="E3153" s="3" t="s">
        <v>38</v>
      </c>
      <c r="F3153" s="3" t="s">
        <v>4188</v>
      </c>
      <c r="G3153" s="3" t="s">
        <v>43</v>
      </c>
      <c r="H3153" s="3" t="s">
        <v>253</v>
      </c>
      <c r="I3153" s="2">
        <v>146</v>
      </c>
      <c r="J3153" s="2">
        <v>146</v>
      </c>
      <c r="K3153" s="2">
        <v>1</v>
      </c>
      <c r="O3153" s="2">
        <v>49</v>
      </c>
      <c r="U3153" s="2">
        <v>2</v>
      </c>
      <c r="V3153" s="2">
        <v>17</v>
      </c>
      <c r="W3153" s="2">
        <v>2</v>
      </c>
      <c r="X3153" s="2">
        <v>13</v>
      </c>
      <c r="Z3153" s="2">
        <v>146</v>
      </c>
      <c r="AA3153" s="3" t="s">
        <v>57</v>
      </c>
      <c r="AB3153" s="2">
        <v>4</v>
      </c>
      <c r="AC3153" s="3" t="s">
        <v>3250</v>
      </c>
      <c r="AD3153" s="3" t="s">
        <v>3251</v>
      </c>
      <c r="AG3153" s="2">
        <v>2</v>
      </c>
      <c r="AH3153" s="3" t="s">
        <v>3201</v>
      </c>
      <c r="AI3153" s="4">
        <v>45118</v>
      </c>
      <c r="AJ3153" s="3" t="s">
        <v>3301</v>
      </c>
      <c r="AK3153" s="3" t="s">
        <v>38</v>
      </c>
    </row>
    <row r="3154" spans="1:37" hidden="1" x14ac:dyDescent="0.25">
      <c r="A3154" t="str">
        <f t="shared" si="49"/>
        <v>2023_Qld_Gatton_Mixed_LightTOS2VarietyHatTrickWaterTrtIrrigatedAgronomyNatural</v>
      </c>
      <c r="B3154" s="2">
        <v>2023036</v>
      </c>
      <c r="C3154" s="3" t="s">
        <v>3150</v>
      </c>
      <c r="D3154" s="3" t="s">
        <v>37</v>
      </c>
      <c r="E3154" s="3" t="s">
        <v>248</v>
      </c>
      <c r="F3154" s="3" t="s">
        <v>4178</v>
      </c>
      <c r="G3154" s="3" t="s">
        <v>39</v>
      </c>
      <c r="H3154" s="3" t="s">
        <v>253</v>
      </c>
      <c r="I3154" s="2">
        <v>147</v>
      </c>
      <c r="J3154" s="2">
        <v>147</v>
      </c>
      <c r="K3154" s="2">
        <v>1</v>
      </c>
      <c r="O3154" s="2">
        <v>49</v>
      </c>
      <c r="U3154" s="2">
        <v>3</v>
      </c>
      <c r="V3154" s="2">
        <v>17</v>
      </c>
      <c r="W3154" s="2">
        <v>3</v>
      </c>
      <c r="X3154" s="2">
        <v>13</v>
      </c>
      <c r="Z3154" s="2">
        <v>147</v>
      </c>
      <c r="AA3154" s="3" t="s">
        <v>57</v>
      </c>
      <c r="AB3154" s="2">
        <v>2</v>
      </c>
      <c r="AC3154" s="3" t="s">
        <v>3250</v>
      </c>
      <c r="AD3154" s="3" t="s">
        <v>3251</v>
      </c>
      <c r="AG3154" s="2">
        <v>2</v>
      </c>
      <c r="AH3154" s="3" t="s">
        <v>3201</v>
      </c>
      <c r="AI3154" s="4">
        <v>45118</v>
      </c>
      <c r="AJ3154" s="3" t="s">
        <v>3302</v>
      </c>
      <c r="AK3154" s="3" t="s">
        <v>248</v>
      </c>
    </row>
    <row r="3155" spans="1:37" hidden="1" x14ac:dyDescent="0.25">
      <c r="A3155" t="str">
        <f t="shared" si="49"/>
        <v>2023_Qld_Gatton_Mixed_LightTOS2VarietyDrummondWaterTrtIrrigatedAgronomyNatural</v>
      </c>
      <c r="B3155" s="2">
        <v>2023036</v>
      </c>
      <c r="C3155" s="3" t="s">
        <v>3150</v>
      </c>
      <c r="D3155" s="3" t="s">
        <v>37</v>
      </c>
      <c r="E3155" s="3" t="s">
        <v>248</v>
      </c>
      <c r="F3155" s="3" t="s">
        <v>4182</v>
      </c>
      <c r="G3155" s="3" t="s">
        <v>39</v>
      </c>
      <c r="H3155" s="3" t="s">
        <v>253</v>
      </c>
      <c r="I3155" s="2">
        <v>148</v>
      </c>
      <c r="J3155" s="2">
        <v>148</v>
      </c>
      <c r="K3155" s="2">
        <v>1</v>
      </c>
      <c r="O3155" s="2">
        <v>49</v>
      </c>
      <c r="U3155" s="2">
        <v>4</v>
      </c>
      <c r="V3155" s="2">
        <v>17</v>
      </c>
      <c r="W3155" s="2">
        <v>4</v>
      </c>
      <c r="X3155" s="2">
        <v>13</v>
      </c>
      <c r="Z3155" s="2">
        <v>148</v>
      </c>
      <c r="AA3155" s="3" t="s">
        <v>57</v>
      </c>
      <c r="AB3155" s="2">
        <v>1</v>
      </c>
      <c r="AC3155" s="3" t="s">
        <v>3250</v>
      </c>
      <c r="AD3155" s="3" t="s">
        <v>3251</v>
      </c>
      <c r="AG3155" s="2">
        <v>2</v>
      </c>
      <c r="AH3155" s="3" t="s">
        <v>3201</v>
      </c>
      <c r="AI3155" s="4">
        <v>45118</v>
      </c>
      <c r="AJ3155" s="3" t="s">
        <v>3303</v>
      </c>
      <c r="AK3155" s="3" t="s">
        <v>248</v>
      </c>
    </row>
    <row r="3156" spans="1:37" hidden="1" x14ac:dyDescent="0.25">
      <c r="A3156" t="str">
        <f t="shared" si="49"/>
        <v>2023_Qld_Gatton_Mixed_LightTOS2VarietyAmberleyWaterTrtIrrigatedAgronomyNatural</v>
      </c>
      <c r="B3156" s="2">
        <v>2023036</v>
      </c>
      <c r="C3156" s="3" t="s">
        <v>3150</v>
      </c>
      <c r="D3156" s="3" t="s">
        <v>37</v>
      </c>
      <c r="E3156" s="3" t="s">
        <v>645</v>
      </c>
      <c r="F3156" s="3" t="s">
        <v>4185</v>
      </c>
      <c r="G3156" s="3" t="s">
        <v>39</v>
      </c>
      <c r="H3156" s="3" t="s">
        <v>253</v>
      </c>
      <c r="I3156" s="2">
        <v>149</v>
      </c>
      <c r="J3156" s="2">
        <v>149</v>
      </c>
      <c r="K3156" s="2">
        <v>1</v>
      </c>
      <c r="O3156" s="2">
        <v>50</v>
      </c>
      <c r="U3156" s="2">
        <v>5</v>
      </c>
      <c r="V3156" s="2">
        <v>17</v>
      </c>
      <c r="W3156" s="2">
        <v>5</v>
      </c>
      <c r="X3156" s="2">
        <v>13</v>
      </c>
      <c r="Z3156" s="2">
        <v>149</v>
      </c>
      <c r="AA3156" s="3" t="s">
        <v>57</v>
      </c>
      <c r="AB3156" s="2">
        <v>9</v>
      </c>
      <c r="AC3156" s="3" t="s">
        <v>3250</v>
      </c>
      <c r="AD3156" s="3" t="s">
        <v>3251</v>
      </c>
      <c r="AG3156" s="2">
        <v>2</v>
      </c>
      <c r="AH3156" s="3" t="s">
        <v>3201</v>
      </c>
      <c r="AI3156" s="4">
        <v>45118</v>
      </c>
      <c r="AJ3156" s="3" t="s">
        <v>3304</v>
      </c>
      <c r="AK3156" s="3" t="s">
        <v>645</v>
      </c>
    </row>
    <row r="3157" spans="1:37" hidden="1" x14ac:dyDescent="0.25">
      <c r="A3157" t="str">
        <f t="shared" si="49"/>
        <v>2023_Qld_Gatton_Mixed_LightTOS2VarietyNasmaWaterTrtIrrigatedAgronomyNatural</v>
      </c>
      <c r="B3157" s="2">
        <v>2023036</v>
      </c>
      <c r="C3157" s="3" t="s">
        <v>3150</v>
      </c>
      <c r="D3157" s="3" t="s">
        <v>37</v>
      </c>
      <c r="E3157" s="3" t="s">
        <v>645</v>
      </c>
      <c r="F3157" s="3" t="s">
        <v>4186</v>
      </c>
      <c r="G3157" s="3" t="s">
        <v>43</v>
      </c>
      <c r="H3157" s="3" t="s">
        <v>253</v>
      </c>
      <c r="I3157" s="2">
        <v>150</v>
      </c>
      <c r="J3157" s="2">
        <v>150</v>
      </c>
      <c r="K3157" s="2">
        <v>1</v>
      </c>
      <c r="O3157" s="2">
        <v>50</v>
      </c>
      <c r="U3157" s="2">
        <v>6</v>
      </c>
      <c r="V3157" s="2">
        <v>17</v>
      </c>
      <c r="W3157" s="2">
        <v>6</v>
      </c>
      <c r="X3157" s="2">
        <v>13</v>
      </c>
      <c r="Z3157" s="2">
        <v>150</v>
      </c>
      <c r="AA3157" s="3" t="s">
        <v>57</v>
      </c>
      <c r="AB3157" s="2">
        <v>11</v>
      </c>
      <c r="AC3157" s="3" t="s">
        <v>3250</v>
      </c>
      <c r="AD3157" s="3" t="s">
        <v>3251</v>
      </c>
      <c r="AG3157" s="2">
        <v>2</v>
      </c>
      <c r="AH3157" s="3" t="s">
        <v>3201</v>
      </c>
      <c r="AI3157" s="4">
        <v>45118</v>
      </c>
      <c r="AJ3157" s="3" t="s">
        <v>3305</v>
      </c>
      <c r="AK3157" s="3" t="s">
        <v>645</v>
      </c>
    </row>
    <row r="3158" spans="1:37" hidden="1" x14ac:dyDescent="0.25">
      <c r="A3158" t="str">
        <f t="shared" si="49"/>
        <v>2023_Qld_Gatton_Mixed_LightTOS2VarietySamiraWaterTrtIrrigatedAgronomyNatural</v>
      </c>
      <c r="B3158" s="2">
        <v>2023036</v>
      </c>
      <c r="C3158" s="3" t="s">
        <v>3150</v>
      </c>
      <c r="D3158" s="3" t="s">
        <v>37</v>
      </c>
      <c r="E3158" s="3" t="s">
        <v>645</v>
      </c>
      <c r="F3158" s="3" t="s">
        <v>4183</v>
      </c>
      <c r="G3158" s="3" t="s">
        <v>43</v>
      </c>
      <c r="H3158" s="3" t="s">
        <v>253</v>
      </c>
      <c r="I3158" s="2">
        <v>151</v>
      </c>
      <c r="J3158" s="2">
        <v>151</v>
      </c>
      <c r="K3158" s="2">
        <v>1</v>
      </c>
      <c r="O3158" s="2">
        <v>50</v>
      </c>
      <c r="U3158" s="2">
        <v>7</v>
      </c>
      <c r="V3158" s="2">
        <v>17</v>
      </c>
      <c r="W3158" s="2">
        <v>7</v>
      </c>
      <c r="X3158" s="2">
        <v>13</v>
      </c>
      <c r="Z3158" s="2">
        <v>151</v>
      </c>
      <c r="AA3158" s="3" t="s">
        <v>57</v>
      </c>
      <c r="AB3158" s="2">
        <v>10</v>
      </c>
      <c r="AC3158" s="3" t="s">
        <v>3250</v>
      </c>
      <c r="AD3158" s="3" t="s">
        <v>3251</v>
      </c>
      <c r="AG3158" s="2">
        <v>2</v>
      </c>
      <c r="AH3158" s="3" t="s">
        <v>3201</v>
      </c>
      <c r="AI3158" s="4">
        <v>45118</v>
      </c>
      <c r="AJ3158" s="3" t="s">
        <v>3306</v>
      </c>
      <c r="AK3158" s="3" t="s">
        <v>645</v>
      </c>
    </row>
    <row r="3159" spans="1:37" hidden="1" x14ac:dyDescent="0.25">
      <c r="A3159" t="str">
        <f t="shared" si="49"/>
        <v>2023_Qld_Gatton_Mixed_LightTOS2VarietyMarneWaterTrtIrrigatedAgronomyNatural</v>
      </c>
      <c r="B3159" s="2">
        <v>2023036</v>
      </c>
      <c r="C3159" s="3" t="s">
        <v>3150</v>
      </c>
      <c r="D3159" s="3" t="s">
        <v>37</v>
      </c>
      <c r="E3159" s="3" t="s">
        <v>645</v>
      </c>
      <c r="F3159" s="3" t="s">
        <v>4184</v>
      </c>
      <c r="G3159" s="3" t="s">
        <v>39</v>
      </c>
      <c r="H3159" s="3" t="s">
        <v>253</v>
      </c>
      <c r="I3159" s="2">
        <v>152</v>
      </c>
      <c r="J3159" s="2">
        <v>152</v>
      </c>
      <c r="K3159" s="2">
        <v>1</v>
      </c>
      <c r="O3159" s="2">
        <v>51</v>
      </c>
      <c r="U3159" s="2">
        <v>8</v>
      </c>
      <c r="V3159" s="2">
        <v>17</v>
      </c>
      <c r="W3159" s="2">
        <v>8</v>
      </c>
      <c r="X3159" s="2">
        <v>13</v>
      </c>
      <c r="Z3159" s="2">
        <v>152</v>
      </c>
      <c r="AA3159" s="3" t="s">
        <v>57</v>
      </c>
      <c r="AB3159" s="2">
        <v>7</v>
      </c>
      <c r="AC3159" s="3" t="s">
        <v>3250</v>
      </c>
      <c r="AD3159" s="3" t="s">
        <v>3251</v>
      </c>
      <c r="AG3159" s="2">
        <v>2</v>
      </c>
      <c r="AH3159" s="3" t="s">
        <v>3201</v>
      </c>
      <c r="AI3159" s="4">
        <v>45118</v>
      </c>
      <c r="AJ3159" s="3" t="s">
        <v>3307</v>
      </c>
      <c r="AK3159" s="3" t="s">
        <v>645</v>
      </c>
    </row>
    <row r="3160" spans="1:37" hidden="1" x14ac:dyDescent="0.25">
      <c r="A3160" t="str">
        <f t="shared" si="49"/>
        <v>2023_Qld_Gatton_Mixed_LightTOS2VarietyBatemanWaterTrtIrrigatedAgronomyNatural</v>
      </c>
      <c r="B3160" s="2">
        <v>2023036</v>
      </c>
      <c r="C3160" s="3" t="s">
        <v>3150</v>
      </c>
      <c r="D3160" s="3" t="s">
        <v>37</v>
      </c>
      <c r="E3160" s="3" t="s">
        <v>1931</v>
      </c>
      <c r="F3160" s="3" t="s">
        <v>4195</v>
      </c>
      <c r="G3160" s="3" t="s">
        <v>43</v>
      </c>
      <c r="H3160" s="3" t="s">
        <v>253</v>
      </c>
      <c r="I3160" s="2">
        <v>153</v>
      </c>
      <c r="J3160" s="2">
        <v>153</v>
      </c>
      <c r="K3160" s="2">
        <v>1</v>
      </c>
      <c r="O3160" s="2">
        <v>51</v>
      </c>
      <c r="U3160" s="2">
        <v>9</v>
      </c>
      <c r="V3160" s="2">
        <v>17</v>
      </c>
      <c r="W3160" s="2">
        <v>9</v>
      </c>
      <c r="X3160" s="2">
        <v>13</v>
      </c>
      <c r="Z3160" s="2">
        <v>153</v>
      </c>
      <c r="AA3160" s="3" t="s">
        <v>57</v>
      </c>
      <c r="AB3160" s="2">
        <v>8</v>
      </c>
      <c r="AC3160" s="3" t="s">
        <v>3250</v>
      </c>
      <c r="AD3160" s="3" t="s">
        <v>3251</v>
      </c>
      <c r="AG3160" s="2">
        <v>2</v>
      </c>
      <c r="AH3160" s="3" t="s">
        <v>3201</v>
      </c>
      <c r="AI3160" s="4">
        <v>45118</v>
      </c>
      <c r="AJ3160" s="3" t="s">
        <v>3308</v>
      </c>
      <c r="AK3160" s="3" t="s">
        <v>1931</v>
      </c>
    </row>
    <row r="3161" spans="1:37" hidden="1" x14ac:dyDescent="0.25">
      <c r="A3161" t="str">
        <f t="shared" si="49"/>
        <v>2023_Qld_Gatton_Mixed_LightTOS2VarietyJurienWaterTrtIrrigatedAgronomyNatural</v>
      </c>
      <c r="B3161" s="2">
        <v>2023036</v>
      </c>
      <c r="C3161" s="3" t="s">
        <v>3150</v>
      </c>
      <c r="D3161" s="3" t="s">
        <v>37</v>
      </c>
      <c r="E3161" s="3" t="s">
        <v>1931</v>
      </c>
      <c r="F3161" s="3" t="s">
        <v>4194</v>
      </c>
      <c r="G3161" s="3" t="s">
        <v>39</v>
      </c>
      <c r="H3161" s="3" t="s">
        <v>253</v>
      </c>
      <c r="I3161" s="2">
        <v>154</v>
      </c>
      <c r="J3161" s="2">
        <v>154</v>
      </c>
      <c r="K3161" s="2">
        <v>1</v>
      </c>
      <c r="O3161" s="2">
        <v>51</v>
      </c>
      <c r="U3161" s="2">
        <v>10</v>
      </c>
      <c r="V3161" s="2">
        <v>17</v>
      </c>
      <c r="W3161" s="2">
        <v>10</v>
      </c>
      <c r="X3161" s="2">
        <v>13</v>
      </c>
      <c r="Z3161" s="2">
        <v>154</v>
      </c>
      <c r="AA3161" s="3" t="s">
        <v>57</v>
      </c>
      <c r="AB3161" s="2">
        <v>5</v>
      </c>
      <c r="AC3161" s="3" t="s">
        <v>3250</v>
      </c>
      <c r="AD3161" s="3" t="s">
        <v>3251</v>
      </c>
      <c r="AG3161" s="2">
        <v>2</v>
      </c>
      <c r="AH3161" s="3" t="s">
        <v>3201</v>
      </c>
      <c r="AI3161" s="4">
        <v>45118</v>
      </c>
      <c r="AJ3161" s="3" t="s">
        <v>3309</v>
      </c>
      <c r="AK3161" s="3" t="s">
        <v>1931</v>
      </c>
    </row>
    <row r="3162" spans="1:37" hidden="1" x14ac:dyDescent="0.25">
      <c r="A3162" t="str">
        <f t="shared" si="49"/>
        <v>2023_Qld_Gatton_Mixed_LightTOS2VarietyJindaleeWaterTrtIrrigatedAgronomyNatural</v>
      </c>
      <c r="B3162" s="2">
        <v>2023036</v>
      </c>
      <c r="C3162" s="3" t="s">
        <v>3150</v>
      </c>
      <c r="D3162" s="3" t="s">
        <v>37</v>
      </c>
      <c r="E3162" s="3" t="s">
        <v>1931</v>
      </c>
      <c r="F3162" s="3" t="s">
        <v>2868</v>
      </c>
      <c r="G3162" s="3" t="s">
        <v>39</v>
      </c>
      <c r="H3162" s="3" t="s">
        <v>253</v>
      </c>
      <c r="I3162" s="2">
        <v>155</v>
      </c>
      <c r="J3162" s="2">
        <v>155</v>
      </c>
      <c r="K3162" s="2">
        <v>1</v>
      </c>
      <c r="O3162" s="2">
        <v>51</v>
      </c>
      <c r="U3162" s="2">
        <v>11</v>
      </c>
      <c r="V3162" s="2">
        <v>17</v>
      </c>
      <c r="W3162" s="2">
        <v>11</v>
      </c>
      <c r="X3162" s="2">
        <v>13</v>
      </c>
      <c r="Z3162" s="2">
        <v>155</v>
      </c>
      <c r="AA3162" s="3" t="s">
        <v>57</v>
      </c>
      <c r="AB3162" s="2">
        <v>6</v>
      </c>
      <c r="AC3162" s="3" t="s">
        <v>3250</v>
      </c>
      <c r="AD3162" s="3" t="s">
        <v>3251</v>
      </c>
      <c r="AG3162" s="2">
        <v>2</v>
      </c>
      <c r="AH3162" s="3" t="s">
        <v>3201</v>
      </c>
      <c r="AI3162" s="4">
        <v>45118</v>
      </c>
      <c r="AJ3162" s="3" t="s">
        <v>3310</v>
      </c>
      <c r="AK3162" s="3" t="s">
        <v>1931</v>
      </c>
    </row>
    <row r="3163" spans="1:37" hidden="1" x14ac:dyDescent="0.25">
      <c r="A3163" t="str">
        <f t="shared" si="49"/>
        <v>2023_Qld_Gatton_Mixed_LightTOS2VarietyWongaWaterTrtIrrigatedAgronomyNatural</v>
      </c>
      <c r="B3163" s="2">
        <v>2023036</v>
      </c>
      <c r="C3163" s="3" t="s">
        <v>3150</v>
      </c>
      <c r="D3163" s="3" t="s">
        <v>37</v>
      </c>
      <c r="E3163" s="3" t="s">
        <v>1931</v>
      </c>
      <c r="F3163" s="3" t="s">
        <v>1932</v>
      </c>
      <c r="G3163" s="3" t="s">
        <v>39</v>
      </c>
      <c r="H3163" s="3" t="s">
        <v>253</v>
      </c>
      <c r="I3163" s="2">
        <v>156</v>
      </c>
      <c r="J3163" s="2">
        <v>156</v>
      </c>
      <c r="K3163" s="2">
        <v>1</v>
      </c>
      <c r="O3163" s="2">
        <v>52</v>
      </c>
      <c r="U3163" s="2">
        <v>12</v>
      </c>
      <c r="V3163" s="2">
        <v>17</v>
      </c>
      <c r="W3163" s="2">
        <v>12</v>
      </c>
      <c r="X3163" s="2">
        <v>13</v>
      </c>
      <c r="Z3163" s="2">
        <v>156</v>
      </c>
      <c r="AA3163" s="3" t="s">
        <v>57</v>
      </c>
      <c r="AB3163" s="2">
        <v>12</v>
      </c>
      <c r="AC3163" s="3" t="s">
        <v>3250</v>
      </c>
      <c r="AD3163" s="3" t="s">
        <v>3251</v>
      </c>
      <c r="AG3163" s="2">
        <v>2</v>
      </c>
      <c r="AH3163" s="3" t="s">
        <v>3201</v>
      </c>
      <c r="AI3163" s="4">
        <v>45118</v>
      </c>
      <c r="AJ3163" s="3" t="s">
        <v>3311</v>
      </c>
      <c r="AK3163" s="3" t="s">
        <v>1931</v>
      </c>
    </row>
    <row r="3164" spans="1:37" hidden="1" x14ac:dyDescent="0.25">
      <c r="A3164" t="str">
        <f t="shared" si="49"/>
        <v>2023_Qld_Gatton_Mixed_LightTOS2VarietyDrummondWaterTrtIrrigatedAgronomyNatural</v>
      </c>
      <c r="B3164" s="2">
        <v>2023036</v>
      </c>
      <c r="C3164" s="3" t="s">
        <v>3150</v>
      </c>
      <c r="D3164" s="3" t="s">
        <v>37</v>
      </c>
      <c r="E3164" s="3" t="s">
        <v>248</v>
      </c>
      <c r="F3164" s="3" t="s">
        <v>4182</v>
      </c>
      <c r="G3164" s="3" t="s">
        <v>39</v>
      </c>
      <c r="H3164" s="3" t="s">
        <v>253</v>
      </c>
      <c r="I3164" s="2">
        <v>157</v>
      </c>
      <c r="J3164" s="2">
        <v>157</v>
      </c>
      <c r="K3164" s="2">
        <v>2</v>
      </c>
      <c r="O3164" s="2">
        <v>53</v>
      </c>
      <c r="U3164" s="2">
        <v>1</v>
      </c>
      <c r="V3164" s="2">
        <v>18</v>
      </c>
      <c r="W3164" s="2">
        <v>1</v>
      </c>
      <c r="X3164" s="2">
        <v>14</v>
      </c>
      <c r="Z3164" s="2">
        <v>168</v>
      </c>
      <c r="AA3164" s="3" t="s">
        <v>57</v>
      </c>
      <c r="AB3164" s="2">
        <v>7</v>
      </c>
      <c r="AC3164" s="3" t="s">
        <v>3250</v>
      </c>
      <c r="AD3164" s="3" t="s">
        <v>3251</v>
      </c>
      <c r="AG3164" s="2">
        <v>2</v>
      </c>
      <c r="AH3164" s="3" t="s">
        <v>3201</v>
      </c>
      <c r="AI3164" s="4">
        <v>45118</v>
      </c>
      <c r="AJ3164" s="3" t="s">
        <v>3312</v>
      </c>
      <c r="AK3164" s="3" t="s">
        <v>248</v>
      </c>
    </row>
    <row r="3165" spans="1:37" hidden="1" x14ac:dyDescent="0.25">
      <c r="A3165" t="str">
        <f t="shared" si="49"/>
        <v>2023_Qld_Gatton_Mixed_LightTOS2VarietyCBA_CaptainWaterTrtIrrigatedAgronomyNatural</v>
      </c>
      <c r="B3165" s="2">
        <v>2023036</v>
      </c>
      <c r="C3165" s="3" t="s">
        <v>3150</v>
      </c>
      <c r="D3165" s="3" t="s">
        <v>37</v>
      </c>
      <c r="E3165" s="3" t="s">
        <v>248</v>
      </c>
      <c r="F3165" s="3" t="s">
        <v>249</v>
      </c>
      <c r="G3165" s="3" t="s">
        <v>43</v>
      </c>
      <c r="H3165" s="3" t="s">
        <v>253</v>
      </c>
      <c r="I3165" s="2">
        <v>158</v>
      </c>
      <c r="J3165" s="2">
        <v>158</v>
      </c>
      <c r="K3165" s="2">
        <v>2</v>
      </c>
      <c r="O3165" s="2">
        <v>53</v>
      </c>
      <c r="U3165" s="2">
        <v>2</v>
      </c>
      <c r="V3165" s="2">
        <v>18</v>
      </c>
      <c r="W3165" s="2">
        <v>2</v>
      </c>
      <c r="X3165" s="2">
        <v>14</v>
      </c>
      <c r="Z3165" s="2">
        <v>167</v>
      </c>
      <c r="AA3165" s="3" t="s">
        <v>57</v>
      </c>
      <c r="AB3165" s="2">
        <v>5</v>
      </c>
      <c r="AC3165" s="3" t="s">
        <v>3250</v>
      </c>
      <c r="AD3165" s="3" t="s">
        <v>3251</v>
      </c>
      <c r="AG3165" s="2">
        <v>2</v>
      </c>
      <c r="AH3165" s="3" t="s">
        <v>3201</v>
      </c>
      <c r="AI3165" s="4">
        <v>45118</v>
      </c>
      <c r="AJ3165" s="3" t="s">
        <v>3313</v>
      </c>
      <c r="AK3165" s="3" t="s">
        <v>248</v>
      </c>
    </row>
    <row r="3166" spans="1:37" hidden="1" x14ac:dyDescent="0.25">
      <c r="A3166" t="str">
        <f t="shared" si="49"/>
        <v>2023_Qld_Gatton_Mixed_LightTOS2VarietyKelpieXTWaterTrtIrrigatedAgronomyNatural</v>
      </c>
      <c r="B3166" s="2">
        <v>2023036</v>
      </c>
      <c r="C3166" s="3" t="s">
        <v>3150</v>
      </c>
      <c r="D3166" s="3" t="s">
        <v>37</v>
      </c>
      <c r="E3166" s="3" t="s">
        <v>38</v>
      </c>
      <c r="F3166" s="3" t="s">
        <v>4188</v>
      </c>
      <c r="G3166" s="3" t="s">
        <v>43</v>
      </c>
      <c r="H3166" s="3" t="s">
        <v>253</v>
      </c>
      <c r="I3166" s="2">
        <v>159</v>
      </c>
      <c r="J3166" s="2">
        <v>159</v>
      </c>
      <c r="K3166" s="2">
        <v>2</v>
      </c>
      <c r="O3166" s="2">
        <v>53</v>
      </c>
      <c r="U3166" s="2">
        <v>3</v>
      </c>
      <c r="V3166" s="2">
        <v>18</v>
      </c>
      <c r="W3166" s="2">
        <v>3</v>
      </c>
      <c r="X3166" s="2">
        <v>14</v>
      </c>
      <c r="Z3166" s="2">
        <v>166</v>
      </c>
      <c r="AA3166" s="3" t="s">
        <v>57</v>
      </c>
      <c r="AB3166" s="2">
        <v>6</v>
      </c>
      <c r="AC3166" s="3" t="s">
        <v>3250</v>
      </c>
      <c r="AD3166" s="3" t="s">
        <v>3251</v>
      </c>
      <c r="AG3166" s="2">
        <v>2</v>
      </c>
      <c r="AH3166" s="3" t="s">
        <v>3201</v>
      </c>
      <c r="AI3166" s="4">
        <v>45118</v>
      </c>
      <c r="AJ3166" s="3" t="s">
        <v>3314</v>
      </c>
      <c r="AK3166" s="3" t="s">
        <v>38</v>
      </c>
    </row>
    <row r="3167" spans="1:37" hidden="1" x14ac:dyDescent="0.25">
      <c r="A3167" t="str">
        <f t="shared" si="49"/>
        <v>2023_Qld_Gatton_Mixed_LightTOS2VarietyHatTrickWaterTrtIrrigatedAgronomyNatural</v>
      </c>
      <c r="B3167" s="2">
        <v>2023036</v>
      </c>
      <c r="C3167" s="3" t="s">
        <v>3150</v>
      </c>
      <c r="D3167" s="3" t="s">
        <v>37</v>
      </c>
      <c r="E3167" s="3" t="s">
        <v>248</v>
      </c>
      <c r="F3167" s="3" t="s">
        <v>4178</v>
      </c>
      <c r="G3167" s="3" t="s">
        <v>39</v>
      </c>
      <c r="H3167" s="3" t="s">
        <v>253</v>
      </c>
      <c r="I3167" s="2">
        <v>160</v>
      </c>
      <c r="J3167" s="2">
        <v>160</v>
      </c>
      <c r="K3167" s="2">
        <v>2</v>
      </c>
      <c r="O3167" s="2">
        <v>53</v>
      </c>
      <c r="U3167" s="2">
        <v>4</v>
      </c>
      <c r="V3167" s="2">
        <v>18</v>
      </c>
      <c r="W3167" s="2">
        <v>4</v>
      </c>
      <c r="X3167" s="2">
        <v>14</v>
      </c>
      <c r="Z3167" s="2">
        <v>165</v>
      </c>
      <c r="AA3167" s="3" t="s">
        <v>57</v>
      </c>
      <c r="AB3167" s="2">
        <v>8</v>
      </c>
      <c r="AC3167" s="3" t="s">
        <v>3250</v>
      </c>
      <c r="AD3167" s="3" t="s">
        <v>3251</v>
      </c>
      <c r="AG3167" s="2">
        <v>2</v>
      </c>
      <c r="AH3167" s="3" t="s">
        <v>3201</v>
      </c>
      <c r="AI3167" s="4">
        <v>45118</v>
      </c>
      <c r="AJ3167" s="3" t="s">
        <v>3315</v>
      </c>
      <c r="AK3167" s="3" t="s">
        <v>248</v>
      </c>
    </row>
    <row r="3168" spans="1:37" hidden="1" x14ac:dyDescent="0.25">
      <c r="A3168" t="str">
        <f t="shared" si="49"/>
        <v>2023_Qld_Gatton_Mixed_LightTOS2VarietyNasmaWaterTrtIrrigatedAgronomyNatural</v>
      </c>
      <c r="B3168" s="2">
        <v>2023036</v>
      </c>
      <c r="C3168" s="3" t="s">
        <v>3150</v>
      </c>
      <c r="D3168" s="3" t="s">
        <v>37</v>
      </c>
      <c r="E3168" s="3" t="s">
        <v>645</v>
      </c>
      <c r="F3168" s="3" t="s">
        <v>4186</v>
      </c>
      <c r="G3168" s="3" t="s">
        <v>43</v>
      </c>
      <c r="H3168" s="3" t="s">
        <v>253</v>
      </c>
      <c r="I3168" s="2">
        <v>161</v>
      </c>
      <c r="J3168" s="2">
        <v>161</v>
      </c>
      <c r="K3168" s="2">
        <v>2</v>
      </c>
      <c r="O3168" s="2">
        <v>54</v>
      </c>
      <c r="U3168" s="2">
        <v>5</v>
      </c>
      <c r="V3168" s="2">
        <v>18</v>
      </c>
      <c r="W3168" s="2">
        <v>5</v>
      </c>
      <c r="X3168" s="2">
        <v>14</v>
      </c>
      <c r="Z3168" s="2">
        <v>164</v>
      </c>
      <c r="AA3168" s="3" t="s">
        <v>57</v>
      </c>
      <c r="AB3168" s="2">
        <v>4</v>
      </c>
      <c r="AC3168" s="3" t="s">
        <v>3250</v>
      </c>
      <c r="AD3168" s="3" t="s">
        <v>3251</v>
      </c>
      <c r="AG3168" s="2">
        <v>2</v>
      </c>
      <c r="AH3168" s="3" t="s">
        <v>3201</v>
      </c>
      <c r="AI3168" s="4">
        <v>45118</v>
      </c>
      <c r="AJ3168" s="3" t="s">
        <v>3316</v>
      </c>
      <c r="AK3168" s="3" t="s">
        <v>645</v>
      </c>
    </row>
    <row r="3169" spans="1:37" hidden="1" x14ac:dyDescent="0.25">
      <c r="A3169" t="str">
        <f t="shared" si="49"/>
        <v>2023_Qld_Gatton_Mixed_LightTOS2VarietySamiraWaterTrtIrrigatedAgronomyNatural</v>
      </c>
      <c r="B3169" s="2">
        <v>2023036</v>
      </c>
      <c r="C3169" s="3" t="s">
        <v>3150</v>
      </c>
      <c r="D3169" s="3" t="s">
        <v>37</v>
      </c>
      <c r="E3169" s="3" t="s">
        <v>645</v>
      </c>
      <c r="F3169" s="3" t="s">
        <v>4183</v>
      </c>
      <c r="G3169" s="3" t="s">
        <v>43</v>
      </c>
      <c r="H3169" s="3" t="s">
        <v>253</v>
      </c>
      <c r="I3169" s="2">
        <v>162</v>
      </c>
      <c r="J3169" s="2">
        <v>162</v>
      </c>
      <c r="K3169" s="2">
        <v>2</v>
      </c>
      <c r="O3169" s="2">
        <v>54</v>
      </c>
      <c r="U3169" s="2">
        <v>6</v>
      </c>
      <c r="V3169" s="2">
        <v>18</v>
      </c>
      <c r="W3169" s="2">
        <v>6</v>
      </c>
      <c r="X3169" s="2">
        <v>14</v>
      </c>
      <c r="Z3169" s="2">
        <v>163</v>
      </c>
      <c r="AA3169" s="3" t="s">
        <v>57</v>
      </c>
      <c r="AB3169" s="2">
        <v>1</v>
      </c>
      <c r="AC3169" s="3" t="s">
        <v>3250</v>
      </c>
      <c r="AD3169" s="3" t="s">
        <v>3251</v>
      </c>
      <c r="AG3169" s="2">
        <v>2</v>
      </c>
      <c r="AH3169" s="3" t="s">
        <v>3201</v>
      </c>
      <c r="AI3169" s="4">
        <v>45118</v>
      </c>
      <c r="AJ3169" s="3" t="s">
        <v>3317</v>
      </c>
      <c r="AK3169" s="3" t="s">
        <v>645</v>
      </c>
    </row>
    <row r="3170" spans="1:37" hidden="1" x14ac:dyDescent="0.25">
      <c r="A3170" t="str">
        <f t="shared" si="49"/>
        <v>2023_Qld_Gatton_Mixed_LightTOS2VarietyMarneWaterTrtIrrigatedAgronomyNatural</v>
      </c>
      <c r="B3170" s="2">
        <v>2023036</v>
      </c>
      <c r="C3170" s="3" t="s">
        <v>3150</v>
      </c>
      <c r="D3170" s="3" t="s">
        <v>37</v>
      </c>
      <c r="E3170" s="3" t="s">
        <v>645</v>
      </c>
      <c r="F3170" s="3" t="s">
        <v>4184</v>
      </c>
      <c r="G3170" s="3" t="s">
        <v>39</v>
      </c>
      <c r="H3170" s="3" t="s">
        <v>253</v>
      </c>
      <c r="I3170" s="2">
        <v>163</v>
      </c>
      <c r="J3170" s="2">
        <v>163</v>
      </c>
      <c r="K3170" s="2">
        <v>2</v>
      </c>
      <c r="O3170" s="2">
        <v>54</v>
      </c>
      <c r="U3170" s="2">
        <v>7</v>
      </c>
      <c r="V3170" s="2">
        <v>18</v>
      </c>
      <c r="W3170" s="2">
        <v>7</v>
      </c>
      <c r="X3170" s="2">
        <v>14</v>
      </c>
      <c r="Z3170" s="2">
        <v>162</v>
      </c>
      <c r="AA3170" s="3" t="s">
        <v>57</v>
      </c>
      <c r="AB3170" s="2">
        <v>2</v>
      </c>
      <c r="AC3170" s="3" t="s">
        <v>3250</v>
      </c>
      <c r="AD3170" s="3" t="s">
        <v>3251</v>
      </c>
      <c r="AG3170" s="2">
        <v>2</v>
      </c>
      <c r="AH3170" s="3" t="s">
        <v>3201</v>
      </c>
      <c r="AI3170" s="4">
        <v>45118</v>
      </c>
      <c r="AJ3170" s="3" t="s">
        <v>3318</v>
      </c>
      <c r="AK3170" s="3" t="s">
        <v>645</v>
      </c>
    </row>
    <row r="3171" spans="1:37" hidden="1" x14ac:dyDescent="0.25">
      <c r="A3171" t="str">
        <f t="shared" si="49"/>
        <v>2023_Qld_Gatton_Mixed_LightTOS2VarietyAmberleyWaterTrtIrrigatedAgronomyNatural</v>
      </c>
      <c r="B3171" s="2">
        <v>2023036</v>
      </c>
      <c r="C3171" s="3" t="s">
        <v>3150</v>
      </c>
      <c r="D3171" s="3" t="s">
        <v>37</v>
      </c>
      <c r="E3171" s="3" t="s">
        <v>645</v>
      </c>
      <c r="F3171" s="3" t="s">
        <v>4185</v>
      </c>
      <c r="G3171" s="3" t="s">
        <v>39</v>
      </c>
      <c r="H3171" s="3" t="s">
        <v>253</v>
      </c>
      <c r="I3171" s="2">
        <v>164</v>
      </c>
      <c r="J3171" s="2">
        <v>164</v>
      </c>
      <c r="K3171" s="2">
        <v>2</v>
      </c>
      <c r="O3171" s="2">
        <v>54</v>
      </c>
      <c r="U3171" s="2">
        <v>8</v>
      </c>
      <c r="V3171" s="2">
        <v>18</v>
      </c>
      <c r="W3171" s="2">
        <v>8</v>
      </c>
      <c r="X3171" s="2">
        <v>14</v>
      </c>
      <c r="Z3171" s="2">
        <v>161</v>
      </c>
      <c r="AA3171" s="3" t="s">
        <v>57</v>
      </c>
      <c r="AB3171" s="2">
        <v>3</v>
      </c>
      <c r="AC3171" s="3" t="s">
        <v>3250</v>
      </c>
      <c r="AD3171" s="3" t="s">
        <v>3251</v>
      </c>
      <c r="AG3171" s="2">
        <v>2</v>
      </c>
      <c r="AH3171" s="3" t="s">
        <v>3201</v>
      </c>
      <c r="AI3171" s="4">
        <v>45118</v>
      </c>
      <c r="AJ3171" s="3" t="s">
        <v>3319</v>
      </c>
      <c r="AK3171" s="3" t="s">
        <v>645</v>
      </c>
    </row>
    <row r="3172" spans="1:37" hidden="1" x14ac:dyDescent="0.25">
      <c r="A3172" t="str">
        <f t="shared" si="49"/>
        <v>2023_Qld_Gatton_Mixed_LightTOS2VarietyBatemanWaterTrtIrrigatedAgronomyNatural</v>
      </c>
      <c r="B3172" s="2">
        <v>2023036</v>
      </c>
      <c r="C3172" s="3" t="s">
        <v>3150</v>
      </c>
      <c r="D3172" s="3" t="s">
        <v>37</v>
      </c>
      <c r="E3172" s="3" t="s">
        <v>1931</v>
      </c>
      <c r="F3172" s="3" t="s">
        <v>4195</v>
      </c>
      <c r="G3172" s="3" t="s">
        <v>43</v>
      </c>
      <c r="H3172" s="3" t="s">
        <v>253</v>
      </c>
      <c r="I3172" s="2">
        <v>165</v>
      </c>
      <c r="J3172" s="2">
        <v>165</v>
      </c>
      <c r="K3172" s="2">
        <v>2</v>
      </c>
      <c r="O3172" s="2">
        <v>55</v>
      </c>
      <c r="U3172" s="2">
        <v>9</v>
      </c>
      <c r="V3172" s="2">
        <v>18</v>
      </c>
      <c r="W3172" s="2">
        <v>9</v>
      </c>
      <c r="X3172" s="2">
        <v>14</v>
      </c>
      <c r="Z3172" s="2">
        <v>160</v>
      </c>
      <c r="AA3172" s="3" t="s">
        <v>57</v>
      </c>
      <c r="AB3172" s="2">
        <v>12</v>
      </c>
      <c r="AC3172" s="3" t="s">
        <v>3250</v>
      </c>
      <c r="AD3172" s="3" t="s">
        <v>3251</v>
      </c>
      <c r="AG3172" s="2">
        <v>2</v>
      </c>
      <c r="AH3172" s="3" t="s">
        <v>3201</v>
      </c>
      <c r="AI3172" s="4">
        <v>45118</v>
      </c>
      <c r="AJ3172" s="3" t="s">
        <v>3320</v>
      </c>
      <c r="AK3172" s="3" t="s">
        <v>1931</v>
      </c>
    </row>
    <row r="3173" spans="1:37" hidden="1" x14ac:dyDescent="0.25">
      <c r="A3173" t="str">
        <f t="shared" si="49"/>
        <v>2023_Qld_Gatton_Mixed_LightTOS2VarietyJurienWaterTrtIrrigatedAgronomyNatural</v>
      </c>
      <c r="B3173" s="2">
        <v>2023036</v>
      </c>
      <c r="C3173" s="3" t="s">
        <v>3150</v>
      </c>
      <c r="D3173" s="3" t="s">
        <v>37</v>
      </c>
      <c r="E3173" s="3" t="s">
        <v>1931</v>
      </c>
      <c r="F3173" s="3" t="s">
        <v>4194</v>
      </c>
      <c r="G3173" s="3" t="s">
        <v>39</v>
      </c>
      <c r="H3173" s="3" t="s">
        <v>253</v>
      </c>
      <c r="I3173" s="2">
        <v>166</v>
      </c>
      <c r="J3173" s="2">
        <v>166</v>
      </c>
      <c r="K3173" s="2">
        <v>2</v>
      </c>
      <c r="O3173" s="2">
        <v>56</v>
      </c>
      <c r="U3173" s="2">
        <v>10</v>
      </c>
      <c r="V3173" s="2">
        <v>18</v>
      </c>
      <c r="W3173" s="2">
        <v>10</v>
      </c>
      <c r="X3173" s="2">
        <v>14</v>
      </c>
      <c r="Z3173" s="2">
        <v>159</v>
      </c>
      <c r="AA3173" s="3" t="s">
        <v>57</v>
      </c>
      <c r="AB3173" s="2">
        <v>11</v>
      </c>
      <c r="AC3173" s="3" t="s">
        <v>3250</v>
      </c>
      <c r="AD3173" s="3" t="s">
        <v>3251</v>
      </c>
      <c r="AG3173" s="2">
        <v>2</v>
      </c>
      <c r="AH3173" s="3" t="s">
        <v>3201</v>
      </c>
      <c r="AI3173" s="4">
        <v>45118</v>
      </c>
      <c r="AJ3173" s="3" t="s">
        <v>3321</v>
      </c>
      <c r="AK3173" s="3" t="s">
        <v>1931</v>
      </c>
    </row>
    <row r="3174" spans="1:37" hidden="1" x14ac:dyDescent="0.25">
      <c r="A3174" t="str">
        <f t="shared" si="49"/>
        <v>2023_Qld_Gatton_Mixed_LightTOS2VarietyJindaleeWaterTrtIrrigatedAgronomyNatural</v>
      </c>
      <c r="B3174" s="2">
        <v>2023036</v>
      </c>
      <c r="C3174" s="3" t="s">
        <v>3150</v>
      </c>
      <c r="D3174" s="3" t="s">
        <v>37</v>
      </c>
      <c r="E3174" s="3" t="s">
        <v>1931</v>
      </c>
      <c r="F3174" s="3" t="s">
        <v>2868</v>
      </c>
      <c r="G3174" s="3" t="s">
        <v>39</v>
      </c>
      <c r="H3174" s="3" t="s">
        <v>253</v>
      </c>
      <c r="I3174" s="2">
        <v>167</v>
      </c>
      <c r="J3174" s="2">
        <v>167</v>
      </c>
      <c r="K3174" s="2">
        <v>2</v>
      </c>
      <c r="O3174" s="2">
        <v>56</v>
      </c>
      <c r="U3174" s="2">
        <v>11</v>
      </c>
      <c r="V3174" s="2">
        <v>18</v>
      </c>
      <c r="W3174" s="2">
        <v>11</v>
      </c>
      <c r="X3174" s="2">
        <v>14</v>
      </c>
      <c r="Z3174" s="2">
        <v>158</v>
      </c>
      <c r="AA3174" s="3" t="s">
        <v>57</v>
      </c>
      <c r="AB3174" s="2">
        <v>10</v>
      </c>
      <c r="AC3174" s="3" t="s">
        <v>3250</v>
      </c>
      <c r="AD3174" s="3" t="s">
        <v>3251</v>
      </c>
      <c r="AG3174" s="2">
        <v>2</v>
      </c>
      <c r="AH3174" s="3" t="s">
        <v>3201</v>
      </c>
      <c r="AI3174" s="4">
        <v>45118</v>
      </c>
      <c r="AJ3174" s="3" t="s">
        <v>3322</v>
      </c>
      <c r="AK3174" s="3" t="s">
        <v>1931</v>
      </c>
    </row>
    <row r="3175" spans="1:37" hidden="1" x14ac:dyDescent="0.25">
      <c r="A3175" t="str">
        <f t="shared" si="49"/>
        <v>2023_Qld_Gatton_Mixed_LightTOS2VarietyWongaWaterTrtIrrigatedAgronomyNatural</v>
      </c>
      <c r="B3175" s="2">
        <v>2023036</v>
      </c>
      <c r="C3175" s="3" t="s">
        <v>3150</v>
      </c>
      <c r="D3175" s="3" t="s">
        <v>37</v>
      </c>
      <c r="E3175" s="3" t="s">
        <v>1931</v>
      </c>
      <c r="F3175" s="3" t="s">
        <v>1932</v>
      </c>
      <c r="G3175" s="3" t="s">
        <v>39</v>
      </c>
      <c r="H3175" s="3" t="s">
        <v>253</v>
      </c>
      <c r="I3175" s="2">
        <v>168</v>
      </c>
      <c r="J3175" s="2">
        <v>168</v>
      </c>
      <c r="K3175" s="2">
        <v>2</v>
      </c>
      <c r="O3175" s="2">
        <v>56</v>
      </c>
      <c r="U3175" s="2">
        <v>12</v>
      </c>
      <c r="V3175" s="2">
        <v>18</v>
      </c>
      <c r="W3175" s="2">
        <v>12</v>
      </c>
      <c r="X3175" s="2">
        <v>14</v>
      </c>
      <c r="Z3175" s="2">
        <v>157</v>
      </c>
      <c r="AA3175" s="3" t="s">
        <v>57</v>
      </c>
      <c r="AB3175" s="2">
        <v>9</v>
      </c>
      <c r="AC3175" s="3" t="s">
        <v>3250</v>
      </c>
      <c r="AD3175" s="3" t="s">
        <v>3251</v>
      </c>
      <c r="AG3175" s="2">
        <v>2</v>
      </c>
      <c r="AH3175" s="3" t="s">
        <v>3201</v>
      </c>
      <c r="AI3175" s="4">
        <v>45118</v>
      </c>
      <c r="AJ3175" s="3" t="s">
        <v>3323</v>
      </c>
      <c r="AK3175" s="3" t="s">
        <v>1931</v>
      </c>
    </row>
    <row r="3176" spans="1:37" hidden="1" x14ac:dyDescent="0.25">
      <c r="A3176" t="str">
        <f t="shared" si="49"/>
        <v>2023_Qld_Gatton_Mixed_LightTOS2VarietyNasmaWaterTrtIrrigatedAgronomyNatural</v>
      </c>
      <c r="B3176" s="2">
        <v>2023036</v>
      </c>
      <c r="C3176" s="3" t="s">
        <v>3150</v>
      </c>
      <c r="D3176" s="3" t="s">
        <v>37</v>
      </c>
      <c r="E3176" s="3" t="s">
        <v>645</v>
      </c>
      <c r="F3176" s="3" t="s">
        <v>4186</v>
      </c>
      <c r="G3176" s="3" t="s">
        <v>43</v>
      </c>
      <c r="H3176" s="3" t="s">
        <v>253</v>
      </c>
      <c r="I3176" s="2">
        <v>169</v>
      </c>
      <c r="J3176" s="2">
        <v>169</v>
      </c>
      <c r="K3176" s="2">
        <v>3</v>
      </c>
      <c r="O3176" s="2">
        <v>57</v>
      </c>
      <c r="U3176" s="2">
        <v>1</v>
      </c>
      <c r="V3176" s="2">
        <v>19</v>
      </c>
      <c r="W3176" s="2">
        <v>1</v>
      </c>
      <c r="X3176" s="2">
        <v>15</v>
      </c>
      <c r="Z3176" s="2">
        <v>169</v>
      </c>
      <c r="AA3176" s="3" t="s">
        <v>57</v>
      </c>
      <c r="AB3176" s="2">
        <v>12</v>
      </c>
      <c r="AC3176" s="3" t="s">
        <v>3250</v>
      </c>
      <c r="AD3176" s="3" t="s">
        <v>3251</v>
      </c>
      <c r="AG3176" s="2">
        <v>2</v>
      </c>
      <c r="AH3176" s="3" t="s">
        <v>3201</v>
      </c>
      <c r="AI3176" s="4">
        <v>45118</v>
      </c>
      <c r="AJ3176" s="3" t="s">
        <v>3324</v>
      </c>
      <c r="AK3176" s="3" t="s">
        <v>645</v>
      </c>
    </row>
    <row r="3177" spans="1:37" hidden="1" x14ac:dyDescent="0.25">
      <c r="A3177" t="str">
        <f t="shared" si="49"/>
        <v>2023_Qld_Gatton_Mixed_LightTOS2VarietySamiraWaterTrtIrrigatedAgronomyNatural</v>
      </c>
      <c r="B3177" s="2">
        <v>2023036</v>
      </c>
      <c r="C3177" s="3" t="s">
        <v>3150</v>
      </c>
      <c r="D3177" s="3" t="s">
        <v>37</v>
      </c>
      <c r="E3177" s="3" t="s">
        <v>645</v>
      </c>
      <c r="F3177" s="3" t="s">
        <v>4183</v>
      </c>
      <c r="G3177" s="3" t="s">
        <v>43</v>
      </c>
      <c r="H3177" s="3" t="s">
        <v>253</v>
      </c>
      <c r="I3177" s="2">
        <v>170</v>
      </c>
      <c r="J3177" s="2">
        <v>170</v>
      </c>
      <c r="K3177" s="2">
        <v>3</v>
      </c>
      <c r="O3177" s="2">
        <v>58</v>
      </c>
      <c r="U3177" s="2">
        <v>2</v>
      </c>
      <c r="V3177" s="2">
        <v>19</v>
      </c>
      <c r="W3177" s="2">
        <v>2</v>
      </c>
      <c r="X3177" s="2">
        <v>15</v>
      </c>
      <c r="Z3177" s="2">
        <v>170</v>
      </c>
      <c r="AA3177" s="3" t="s">
        <v>57</v>
      </c>
      <c r="AB3177" s="2">
        <v>7</v>
      </c>
      <c r="AC3177" s="3" t="s">
        <v>3250</v>
      </c>
      <c r="AD3177" s="3" t="s">
        <v>3251</v>
      </c>
      <c r="AG3177" s="2">
        <v>2</v>
      </c>
      <c r="AH3177" s="3" t="s">
        <v>3201</v>
      </c>
      <c r="AI3177" s="4">
        <v>45118</v>
      </c>
      <c r="AJ3177" s="3" t="s">
        <v>3325</v>
      </c>
      <c r="AK3177" s="3" t="s">
        <v>645</v>
      </c>
    </row>
    <row r="3178" spans="1:37" hidden="1" x14ac:dyDescent="0.25">
      <c r="A3178" t="str">
        <f t="shared" si="49"/>
        <v>2023_Qld_Gatton_Mixed_LightTOS2VarietyMarneWaterTrtIrrigatedAgronomyNatural</v>
      </c>
      <c r="B3178" s="2">
        <v>2023036</v>
      </c>
      <c r="C3178" s="3" t="s">
        <v>3150</v>
      </c>
      <c r="D3178" s="3" t="s">
        <v>37</v>
      </c>
      <c r="E3178" s="3" t="s">
        <v>645</v>
      </c>
      <c r="F3178" s="3" t="s">
        <v>4184</v>
      </c>
      <c r="G3178" s="3" t="s">
        <v>39</v>
      </c>
      <c r="H3178" s="3" t="s">
        <v>253</v>
      </c>
      <c r="I3178" s="2">
        <v>171</v>
      </c>
      <c r="J3178" s="2">
        <v>171</v>
      </c>
      <c r="K3178" s="2">
        <v>3</v>
      </c>
      <c r="O3178" s="2">
        <v>58</v>
      </c>
      <c r="U3178" s="2">
        <v>3</v>
      </c>
      <c r="V3178" s="2">
        <v>19</v>
      </c>
      <c r="W3178" s="2">
        <v>3</v>
      </c>
      <c r="X3178" s="2">
        <v>15</v>
      </c>
      <c r="Z3178" s="2">
        <v>171</v>
      </c>
      <c r="AA3178" s="3" t="s">
        <v>57</v>
      </c>
      <c r="AB3178" s="2">
        <v>8</v>
      </c>
      <c r="AC3178" s="3" t="s">
        <v>3250</v>
      </c>
      <c r="AD3178" s="3" t="s">
        <v>3251</v>
      </c>
      <c r="AG3178" s="2">
        <v>2</v>
      </c>
      <c r="AH3178" s="3" t="s">
        <v>3201</v>
      </c>
      <c r="AI3178" s="4">
        <v>45118</v>
      </c>
      <c r="AJ3178" s="3" t="s">
        <v>3326</v>
      </c>
      <c r="AK3178" s="3" t="s">
        <v>645</v>
      </c>
    </row>
    <row r="3179" spans="1:37" hidden="1" x14ac:dyDescent="0.25">
      <c r="A3179" t="str">
        <f t="shared" si="49"/>
        <v>2023_Qld_Gatton_Mixed_LightTOS2VarietyAmberleyWaterTrtIrrigatedAgronomyNatural</v>
      </c>
      <c r="B3179" s="2">
        <v>2023036</v>
      </c>
      <c r="C3179" s="3" t="s">
        <v>3150</v>
      </c>
      <c r="D3179" s="3" t="s">
        <v>37</v>
      </c>
      <c r="E3179" s="3" t="s">
        <v>645</v>
      </c>
      <c r="F3179" s="3" t="s">
        <v>4185</v>
      </c>
      <c r="G3179" s="3" t="s">
        <v>39</v>
      </c>
      <c r="H3179" s="3" t="s">
        <v>253</v>
      </c>
      <c r="I3179" s="2">
        <v>172</v>
      </c>
      <c r="J3179" s="2">
        <v>172</v>
      </c>
      <c r="K3179" s="2">
        <v>3</v>
      </c>
      <c r="O3179" s="2">
        <v>58</v>
      </c>
      <c r="U3179" s="2">
        <v>4</v>
      </c>
      <c r="V3179" s="2">
        <v>19</v>
      </c>
      <c r="W3179" s="2">
        <v>4</v>
      </c>
      <c r="X3179" s="2">
        <v>15</v>
      </c>
      <c r="Z3179" s="2">
        <v>172</v>
      </c>
      <c r="AA3179" s="3" t="s">
        <v>57</v>
      </c>
      <c r="AB3179" s="2">
        <v>5</v>
      </c>
      <c r="AC3179" s="3" t="s">
        <v>3250</v>
      </c>
      <c r="AD3179" s="3" t="s">
        <v>3251</v>
      </c>
      <c r="AG3179" s="2">
        <v>2</v>
      </c>
      <c r="AH3179" s="3" t="s">
        <v>3201</v>
      </c>
      <c r="AI3179" s="4">
        <v>45118</v>
      </c>
      <c r="AJ3179" s="3" t="s">
        <v>3327</v>
      </c>
      <c r="AK3179" s="3" t="s">
        <v>645</v>
      </c>
    </row>
    <row r="3180" spans="1:37" hidden="1" x14ac:dyDescent="0.25">
      <c r="A3180" t="str">
        <f t="shared" si="49"/>
        <v>2023_Qld_Gatton_Mixed_LightTOS2VarietyBatemanWaterTrtIrrigatedAgronomyNatural</v>
      </c>
      <c r="B3180" s="2">
        <v>2023036</v>
      </c>
      <c r="C3180" s="3" t="s">
        <v>3150</v>
      </c>
      <c r="D3180" s="3" t="s">
        <v>37</v>
      </c>
      <c r="E3180" s="3" t="s">
        <v>1931</v>
      </c>
      <c r="F3180" s="3" t="s">
        <v>4195</v>
      </c>
      <c r="G3180" s="3" t="s">
        <v>43</v>
      </c>
      <c r="H3180" s="3" t="s">
        <v>253</v>
      </c>
      <c r="I3180" s="2">
        <v>173</v>
      </c>
      <c r="J3180" s="2">
        <v>173</v>
      </c>
      <c r="K3180" s="2">
        <v>3</v>
      </c>
      <c r="O3180" s="2">
        <v>58</v>
      </c>
      <c r="U3180" s="2">
        <v>5</v>
      </c>
      <c r="V3180" s="2">
        <v>19</v>
      </c>
      <c r="W3180" s="2">
        <v>5</v>
      </c>
      <c r="X3180" s="2">
        <v>15</v>
      </c>
      <c r="Z3180" s="2">
        <v>173</v>
      </c>
      <c r="AA3180" s="3" t="s">
        <v>57</v>
      </c>
      <c r="AB3180" s="2">
        <v>6</v>
      </c>
      <c r="AC3180" s="3" t="s">
        <v>3250</v>
      </c>
      <c r="AD3180" s="3" t="s">
        <v>3251</v>
      </c>
      <c r="AG3180" s="2">
        <v>2</v>
      </c>
      <c r="AH3180" s="3" t="s">
        <v>3201</v>
      </c>
      <c r="AI3180" s="4">
        <v>45118</v>
      </c>
      <c r="AJ3180" s="3" t="s">
        <v>3328</v>
      </c>
      <c r="AK3180" s="3" t="s">
        <v>1931</v>
      </c>
    </row>
    <row r="3181" spans="1:37" hidden="1" x14ac:dyDescent="0.25">
      <c r="A3181" t="str">
        <f t="shared" si="49"/>
        <v>2023_Qld_Gatton_Mixed_LightTOS2VarietyJurienWaterTrtIrrigatedAgronomyNatural</v>
      </c>
      <c r="B3181" s="2">
        <v>2023036</v>
      </c>
      <c r="C3181" s="3" t="s">
        <v>3150</v>
      </c>
      <c r="D3181" s="3" t="s">
        <v>37</v>
      </c>
      <c r="E3181" s="3" t="s">
        <v>1931</v>
      </c>
      <c r="F3181" s="3" t="s">
        <v>4194</v>
      </c>
      <c r="G3181" s="3" t="s">
        <v>39</v>
      </c>
      <c r="H3181" s="3" t="s">
        <v>253</v>
      </c>
      <c r="I3181" s="2">
        <v>174</v>
      </c>
      <c r="J3181" s="2">
        <v>174</v>
      </c>
      <c r="K3181" s="2">
        <v>3</v>
      </c>
      <c r="O3181" s="2">
        <v>59</v>
      </c>
      <c r="U3181" s="2">
        <v>6</v>
      </c>
      <c r="V3181" s="2">
        <v>19</v>
      </c>
      <c r="W3181" s="2">
        <v>6</v>
      </c>
      <c r="X3181" s="2">
        <v>15</v>
      </c>
      <c r="Z3181" s="2">
        <v>174</v>
      </c>
      <c r="AA3181" s="3" t="s">
        <v>57</v>
      </c>
      <c r="AB3181" s="2">
        <v>10</v>
      </c>
      <c r="AC3181" s="3" t="s">
        <v>3250</v>
      </c>
      <c r="AD3181" s="3" t="s">
        <v>3251</v>
      </c>
      <c r="AG3181" s="2">
        <v>2</v>
      </c>
      <c r="AH3181" s="3" t="s">
        <v>3201</v>
      </c>
      <c r="AI3181" s="4">
        <v>45118</v>
      </c>
      <c r="AJ3181" s="3" t="s">
        <v>3329</v>
      </c>
      <c r="AK3181" s="3" t="s">
        <v>1931</v>
      </c>
    </row>
    <row r="3182" spans="1:37" hidden="1" x14ac:dyDescent="0.25">
      <c r="A3182" t="str">
        <f t="shared" si="49"/>
        <v>2023_Qld_Gatton_Mixed_LightTOS2VarietyJindaleeWaterTrtIrrigatedAgronomyNatural</v>
      </c>
      <c r="B3182" s="2">
        <v>2023036</v>
      </c>
      <c r="C3182" s="3" t="s">
        <v>3150</v>
      </c>
      <c r="D3182" s="3" t="s">
        <v>37</v>
      </c>
      <c r="E3182" s="3" t="s">
        <v>1931</v>
      </c>
      <c r="F3182" s="3" t="s">
        <v>2868</v>
      </c>
      <c r="G3182" s="3" t="s">
        <v>39</v>
      </c>
      <c r="H3182" s="3" t="s">
        <v>253</v>
      </c>
      <c r="I3182" s="2">
        <v>175</v>
      </c>
      <c r="J3182" s="2">
        <v>175</v>
      </c>
      <c r="K3182" s="2">
        <v>3</v>
      </c>
      <c r="O3182" s="2">
        <v>59</v>
      </c>
      <c r="U3182" s="2">
        <v>7</v>
      </c>
      <c r="V3182" s="2">
        <v>19</v>
      </c>
      <c r="W3182" s="2">
        <v>7</v>
      </c>
      <c r="X3182" s="2">
        <v>15</v>
      </c>
      <c r="Z3182" s="2">
        <v>175</v>
      </c>
      <c r="AA3182" s="3" t="s">
        <v>57</v>
      </c>
      <c r="AB3182" s="2">
        <v>9</v>
      </c>
      <c r="AC3182" s="3" t="s">
        <v>3250</v>
      </c>
      <c r="AD3182" s="3" t="s">
        <v>3251</v>
      </c>
      <c r="AG3182" s="2">
        <v>2</v>
      </c>
      <c r="AH3182" s="3" t="s">
        <v>3201</v>
      </c>
      <c r="AI3182" s="4">
        <v>45118</v>
      </c>
      <c r="AJ3182" s="3" t="s">
        <v>3330</v>
      </c>
      <c r="AK3182" s="3" t="s">
        <v>1931</v>
      </c>
    </row>
    <row r="3183" spans="1:37" hidden="1" x14ac:dyDescent="0.25">
      <c r="A3183" t="str">
        <f t="shared" si="49"/>
        <v>2023_Qld_Gatton_Mixed_LightTOS2VarietyWongaWaterTrtIrrigatedAgronomyNatural</v>
      </c>
      <c r="B3183" s="2">
        <v>2023036</v>
      </c>
      <c r="C3183" s="3" t="s">
        <v>3150</v>
      </c>
      <c r="D3183" s="3" t="s">
        <v>37</v>
      </c>
      <c r="E3183" s="3" t="s">
        <v>1931</v>
      </c>
      <c r="F3183" s="3" t="s">
        <v>1932</v>
      </c>
      <c r="G3183" s="3" t="s">
        <v>39</v>
      </c>
      <c r="H3183" s="3" t="s">
        <v>253</v>
      </c>
      <c r="I3183" s="2">
        <v>176</v>
      </c>
      <c r="J3183" s="2">
        <v>176</v>
      </c>
      <c r="K3183" s="2">
        <v>3</v>
      </c>
      <c r="O3183" s="2">
        <v>59</v>
      </c>
      <c r="U3183" s="2">
        <v>8</v>
      </c>
      <c r="V3183" s="2">
        <v>19</v>
      </c>
      <c r="W3183" s="2">
        <v>8</v>
      </c>
      <c r="X3183" s="2">
        <v>15</v>
      </c>
      <c r="Z3183" s="2">
        <v>176</v>
      </c>
      <c r="AA3183" s="3" t="s">
        <v>57</v>
      </c>
      <c r="AB3183" s="2">
        <v>11</v>
      </c>
      <c r="AC3183" s="3" t="s">
        <v>3250</v>
      </c>
      <c r="AD3183" s="3" t="s">
        <v>3251</v>
      </c>
      <c r="AG3183" s="2">
        <v>2</v>
      </c>
      <c r="AH3183" s="3" t="s">
        <v>3201</v>
      </c>
      <c r="AI3183" s="4">
        <v>45118</v>
      </c>
      <c r="AJ3183" s="3" t="s">
        <v>3331</v>
      </c>
      <c r="AK3183" s="3" t="s">
        <v>1931</v>
      </c>
    </row>
    <row r="3184" spans="1:37" hidden="1" x14ac:dyDescent="0.25">
      <c r="A3184" t="str">
        <f t="shared" si="49"/>
        <v>2023_Qld_Gatton_Mixed_LightTOS2VarietyDrummondWaterTrtIrrigatedAgronomyNatural</v>
      </c>
      <c r="B3184" s="2">
        <v>2023036</v>
      </c>
      <c r="C3184" s="3" t="s">
        <v>3150</v>
      </c>
      <c r="D3184" s="3" t="s">
        <v>37</v>
      </c>
      <c r="E3184" s="3" t="s">
        <v>248</v>
      </c>
      <c r="F3184" s="3" t="s">
        <v>4182</v>
      </c>
      <c r="G3184" s="3" t="s">
        <v>39</v>
      </c>
      <c r="H3184" s="3" t="s">
        <v>253</v>
      </c>
      <c r="I3184" s="2">
        <v>177</v>
      </c>
      <c r="J3184" s="2">
        <v>177</v>
      </c>
      <c r="K3184" s="2">
        <v>3</v>
      </c>
      <c r="O3184" s="2">
        <v>60</v>
      </c>
      <c r="U3184" s="2">
        <v>9</v>
      </c>
      <c r="V3184" s="2">
        <v>19</v>
      </c>
      <c r="W3184" s="2">
        <v>9</v>
      </c>
      <c r="X3184" s="2">
        <v>15</v>
      </c>
      <c r="Z3184" s="2">
        <v>177</v>
      </c>
      <c r="AA3184" s="3" t="s">
        <v>57</v>
      </c>
      <c r="AB3184" s="2">
        <v>4</v>
      </c>
      <c r="AC3184" s="3" t="s">
        <v>3250</v>
      </c>
      <c r="AD3184" s="3" t="s">
        <v>3251</v>
      </c>
      <c r="AG3184" s="2">
        <v>2</v>
      </c>
      <c r="AH3184" s="3" t="s">
        <v>3201</v>
      </c>
      <c r="AI3184" s="4">
        <v>45118</v>
      </c>
      <c r="AJ3184" s="3" t="s">
        <v>3332</v>
      </c>
      <c r="AK3184" s="3" t="s">
        <v>248</v>
      </c>
    </row>
    <row r="3185" spans="1:37" hidden="1" x14ac:dyDescent="0.25">
      <c r="A3185" t="str">
        <f t="shared" si="49"/>
        <v>2023_Qld_Gatton_Mixed_LightTOS2VarietyCBA_CaptainWaterTrtIrrigatedAgronomyNatural</v>
      </c>
      <c r="B3185" s="2">
        <v>2023036</v>
      </c>
      <c r="C3185" s="3" t="s">
        <v>3150</v>
      </c>
      <c r="D3185" s="3" t="s">
        <v>37</v>
      </c>
      <c r="E3185" s="3" t="s">
        <v>248</v>
      </c>
      <c r="F3185" s="3" t="s">
        <v>249</v>
      </c>
      <c r="G3185" s="3" t="s">
        <v>43</v>
      </c>
      <c r="H3185" s="3" t="s">
        <v>253</v>
      </c>
      <c r="I3185" s="2">
        <v>178</v>
      </c>
      <c r="J3185" s="2">
        <v>178</v>
      </c>
      <c r="K3185" s="2">
        <v>3</v>
      </c>
      <c r="O3185" s="2">
        <v>60</v>
      </c>
      <c r="U3185" s="2">
        <v>10</v>
      </c>
      <c r="V3185" s="2">
        <v>19</v>
      </c>
      <c r="W3185" s="2">
        <v>10</v>
      </c>
      <c r="X3185" s="2">
        <v>15</v>
      </c>
      <c r="Z3185" s="2">
        <v>178</v>
      </c>
      <c r="AA3185" s="3" t="s">
        <v>57</v>
      </c>
      <c r="AB3185" s="2">
        <v>3</v>
      </c>
      <c r="AC3185" s="3" t="s">
        <v>3250</v>
      </c>
      <c r="AD3185" s="3" t="s">
        <v>3251</v>
      </c>
      <c r="AG3185" s="2">
        <v>2</v>
      </c>
      <c r="AH3185" s="3" t="s">
        <v>3201</v>
      </c>
      <c r="AI3185" s="4">
        <v>45118</v>
      </c>
      <c r="AJ3185" s="3" t="s">
        <v>3333</v>
      </c>
      <c r="AK3185" s="3" t="s">
        <v>248</v>
      </c>
    </row>
    <row r="3186" spans="1:37" hidden="1" x14ac:dyDescent="0.25">
      <c r="A3186" t="str">
        <f t="shared" si="49"/>
        <v>2023_Qld_Gatton_Mixed_LightTOS2VarietyKelpieXTWaterTrtIrrigatedAgronomyNatural</v>
      </c>
      <c r="B3186" s="2">
        <v>2023036</v>
      </c>
      <c r="C3186" s="3" t="s">
        <v>3150</v>
      </c>
      <c r="D3186" s="3" t="s">
        <v>37</v>
      </c>
      <c r="E3186" s="3" t="s">
        <v>38</v>
      </c>
      <c r="F3186" s="3" t="s">
        <v>4188</v>
      </c>
      <c r="G3186" s="3" t="s">
        <v>43</v>
      </c>
      <c r="H3186" s="3" t="s">
        <v>253</v>
      </c>
      <c r="I3186" s="2">
        <v>179</v>
      </c>
      <c r="J3186" s="2">
        <v>179</v>
      </c>
      <c r="K3186" s="2">
        <v>3</v>
      </c>
      <c r="O3186" s="2">
        <v>60</v>
      </c>
      <c r="U3186" s="2">
        <v>11</v>
      </c>
      <c r="V3186" s="2">
        <v>19</v>
      </c>
      <c r="W3186" s="2">
        <v>11</v>
      </c>
      <c r="X3186" s="2">
        <v>15</v>
      </c>
      <c r="Z3186" s="2">
        <v>179</v>
      </c>
      <c r="AA3186" s="3" t="s">
        <v>57</v>
      </c>
      <c r="AB3186" s="2">
        <v>1</v>
      </c>
      <c r="AC3186" s="3" t="s">
        <v>3250</v>
      </c>
      <c r="AD3186" s="3" t="s">
        <v>3251</v>
      </c>
      <c r="AG3186" s="2">
        <v>2</v>
      </c>
      <c r="AH3186" s="3" t="s">
        <v>3201</v>
      </c>
      <c r="AI3186" s="4">
        <v>45118</v>
      </c>
      <c r="AJ3186" s="3" t="s">
        <v>3334</v>
      </c>
      <c r="AK3186" s="3" t="s">
        <v>38</v>
      </c>
    </row>
    <row r="3187" spans="1:37" hidden="1" x14ac:dyDescent="0.25">
      <c r="A3187" t="str">
        <f t="shared" si="49"/>
        <v>2023_Qld_Gatton_Mixed_LightTOS2VarietyHatTrickWaterTrtIrrigatedAgronomyNatural</v>
      </c>
      <c r="B3187" s="2">
        <v>2023036</v>
      </c>
      <c r="C3187" s="3" t="s">
        <v>3150</v>
      </c>
      <c r="D3187" s="3" t="s">
        <v>37</v>
      </c>
      <c r="E3187" s="3" t="s">
        <v>248</v>
      </c>
      <c r="F3187" s="3" t="s">
        <v>4178</v>
      </c>
      <c r="G3187" s="3" t="s">
        <v>39</v>
      </c>
      <c r="H3187" s="3" t="s">
        <v>253</v>
      </c>
      <c r="I3187" s="2">
        <v>180</v>
      </c>
      <c r="J3187" s="2">
        <v>180</v>
      </c>
      <c r="K3187" s="2">
        <v>3</v>
      </c>
      <c r="O3187" s="2">
        <v>60</v>
      </c>
      <c r="U3187" s="2">
        <v>12</v>
      </c>
      <c r="V3187" s="2">
        <v>19</v>
      </c>
      <c r="W3187" s="2">
        <v>12</v>
      </c>
      <c r="X3187" s="2">
        <v>15</v>
      </c>
      <c r="Z3187" s="2">
        <v>180</v>
      </c>
      <c r="AA3187" s="3" t="s">
        <v>57</v>
      </c>
      <c r="AB3187" s="2">
        <v>2</v>
      </c>
      <c r="AC3187" s="3" t="s">
        <v>3250</v>
      </c>
      <c r="AD3187" s="3" t="s">
        <v>3251</v>
      </c>
      <c r="AG3187" s="2">
        <v>2</v>
      </c>
      <c r="AH3187" s="3" t="s">
        <v>3201</v>
      </c>
      <c r="AI3187" s="4">
        <v>45118</v>
      </c>
      <c r="AJ3187" s="3" t="s">
        <v>3335</v>
      </c>
      <c r="AK3187" s="3" t="s">
        <v>248</v>
      </c>
    </row>
    <row r="3188" spans="1:37" hidden="1" x14ac:dyDescent="0.25">
      <c r="A3188" t="str">
        <f t="shared" si="49"/>
        <v>2023_Qld_Gatton_Mixed_LightTOS2VarietyAmberleyWaterTrtIrrigatedAgronomyNatural</v>
      </c>
      <c r="B3188" s="2">
        <v>2023036</v>
      </c>
      <c r="C3188" s="3" t="s">
        <v>3150</v>
      </c>
      <c r="D3188" s="3" t="s">
        <v>37</v>
      </c>
      <c r="E3188" s="3" t="s">
        <v>645</v>
      </c>
      <c r="F3188" s="3" t="s">
        <v>4185</v>
      </c>
      <c r="G3188" s="3" t="s">
        <v>39</v>
      </c>
      <c r="H3188" s="3" t="s">
        <v>253</v>
      </c>
      <c r="I3188" s="2">
        <v>181</v>
      </c>
      <c r="J3188" s="2">
        <v>181</v>
      </c>
      <c r="K3188" s="2">
        <v>4</v>
      </c>
      <c r="O3188" s="2">
        <v>61</v>
      </c>
      <c r="U3188" s="2">
        <v>1</v>
      </c>
      <c r="V3188" s="2">
        <v>20</v>
      </c>
      <c r="W3188" s="2">
        <v>1</v>
      </c>
      <c r="X3188" s="2">
        <v>16</v>
      </c>
      <c r="Z3188" s="2">
        <v>192</v>
      </c>
      <c r="AA3188" s="3" t="s">
        <v>57</v>
      </c>
      <c r="AB3188" s="2">
        <v>9</v>
      </c>
      <c r="AC3188" s="3" t="s">
        <v>3250</v>
      </c>
      <c r="AD3188" s="3" t="s">
        <v>3251</v>
      </c>
      <c r="AG3188" s="2">
        <v>2</v>
      </c>
      <c r="AH3188" s="3" t="s">
        <v>3201</v>
      </c>
      <c r="AI3188" s="4">
        <v>45118</v>
      </c>
      <c r="AJ3188" s="3" t="s">
        <v>3336</v>
      </c>
      <c r="AK3188" s="3" t="s">
        <v>645</v>
      </c>
    </row>
    <row r="3189" spans="1:37" hidden="1" x14ac:dyDescent="0.25">
      <c r="A3189" t="str">
        <f t="shared" si="49"/>
        <v>2023_Qld_Gatton_Mixed_LightTOS2VarietyNasmaWaterTrtIrrigatedAgronomyNatural</v>
      </c>
      <c r="B3189" s="2">
        <v>2023036</v>
      </c>
      <c r="C3189" s="3" t="s">
        <v>3150</v>
      </c>
      <c r="D3189" s="3" t="s">
        <v>37</v>
      </c>
      <c r="E3189" s="3" t="s">
        <v>645</v>
      </c>
      <c r="F3189" s="3" t="s">
        <v>4186</v>
      </c>
      <c r="G3189" s="3" t="s">
        <v>43</v>
      </c>
      <c r="H3189" s="3" t="s">
        <v>253</v>
      </c>
      <c r="I3189" s="2">
        <v>182</v>
      </c>
      <c r="J3189" s="2">
        <v>182</v>
      </c>
      <c r="K3189" s="2">
        <v>4</v>
      </c>
      <c r="O3189" s="2">
        <v>61</v>
      </c>
      <c r="U3189" s="2">
        <v>2</v>
      </c>
      <c r="V3189" s="2">
        <v>20</v>
      </c>
      <c r="W3189" s="2">
        <v>2</v>
      </c>
      <c r="X3189" s="2">
        <v>16</v>
      </c>
      <c r="Z3189" s="2">
        <v>191</v>
      </c>
      <c r="AA3189" s="3" t="s">
        <v>57</v>
      </c>
      <c r="AB3189" s="2">
        <v>10</v>
      </c>
      <c r="AC3189" s="3" t="s">
        <v>3250</v>
      </c>
      <c r="AD3189" s="3" t="s">
        <v>3251</v>
      </c>
      <c r="AG3189" s="2">
        <v>2</v>
      </c>
      <c r="AH3189" s="3" t="s">
        <v>3201</v>
      </c>
      <c r="AI3189" s="4">
        <v>45118</v>
      </c>
      <c r="AJ3189" s="3" t="s">
        <v>3337</v>
      </c>
      <c r="AK3189" s="3" t="s">
        <v>645</v>
      </c>
    </row>
    <row r="3190" spans="1:37" hidden="1" x14ac:dyDescent="0.25">
      <c r="A3190" t="str">
        <f t="shared" si="49"/>
        <v>2023_Qld_Gatton_Mixed_LightTOS2VarietySamiraWaterTrtIrrigatedAgronomyNatural</v>
      </c>
      <c r="B3190" s="2">
        <v>2023036</v>
      </c>
      <c r="C3190" s="3" t="s">
        <v>3150</v>
      </c>
      <c r="D3190" s="3" t="s">
        <v>37</v>
      </c>
      <c r="E3190" s="3" t="s">
        <v>645</v>
      </c>
      <c r="F3190" s="3" t="s">
        <v>4183</v>
      </c>
      <c r="G3190" s="3" t="s">
        <v>43</v>
      </c>
      <c r="H3190" s="3" t="s">
        <v>253</v>
      </c>
      <c r="I3190" s="2">
        <v>183</v>
      </c>
      <c r="J3190" s="2">
        <v>183</v>
      </c>
      <c r="K3190" s="2">
        <v>4</v>
      </c>
      <c r="O3190" s="2">
        <v>61</v>
      </c>
      <c r="U3190" s="2">
        <v>3</v>
      </c>
      <c r="V3190" s="2">
        <v>20</v>
      </c>
      <c r="W3190" s="2">
        <v>3</v>
      </c>
      <c r="X3190" s="2">
        <v>16</v>
      </c>
      <c r="Z3190" s="2">
        <v>190</v>
      </c>
      <c r="AA3190" s="3" t="s">
        <v>57</v>
      </c>
      <c r="AB3190" s="2">
        <v>11</v>
      </c>
      <c r="AC3190" s="3" t="s">
        <v>3250</v>
      </c>
      <c r="AD3190" s="3" t="s">
        <v>3251</v>
      </c>
      <c r="AG3190" s="2">
        <v>2</v>
      </c>
      <c r="AH3190" s="3" t="s">
        <v>3201</v>
      </c>
      <c r="AI3190" s="4">
        <v>45118</v>
      </c>
      <c r="AJ3190" s="3" t="s">
        <v>3338</v>
      </c>
      <c r="AK3190" s="3" t="s">
        <v>645</v>
      </c>
    </row>
    <row r="3191" spans="1:37" hidden="1" x14ac:dyDescent="0.25">
      <c r="A3191" t="str">
        <f t="shared" si="49"/>
        <v>2023_Qld_Gatton_Mixed_LightTOS2VarietyMarneWaterTrtIrrigatedAgronomyNatural</v>
      </c>
      <c r="B3191" s="2">
        <v>2023036</v>
      </c>
      <c r="C3191" s="3" t="s">
        <v>3150</v>
      </c>
      <c r="D3191" s="3" t="s">
        <v>37</v>
      </c>
      <c r="E3191" s="3" t="s">
        <v>645</v>
      </c>
      <c r="F3191" s="3" t="s">
        <v>4184</v>
      </c>
      <c r="G3191" s="3" t="s">
        <v>39</v>
      </c>
      <c r="H3191" s="3" t="s">
        <v>253</v>
      </c>
      <c r="I3191" s="2">
        <v>184</v>
      </c>
      <c r="J3191" s="2">
        <v>184</v>
      </c>
      <c r="K3191" s="2">
        <v>4</v>
      </c>
      <c r="O3191" s="2">
        <v>62</v>
      </c>
      <c r="U3191" s="2">
        <v>4</v>
      </c>
      <c r="V3191" s="2">
        <v>20</v>
      </c>
      <c r="W3191" s="2">
        <v>4</v>
      </c>
      <c r="X3191" s="2">
        <v>16</v>
      </c>
      <c r="Z3191" s="2">
        <v>189</v>
      </c>
      <c r="AA3191" s="3" t="s">
        <v>57</v>
      </c>
      <c r="AB3191" s="2">
        <v>12</v>
      </c>
      <c r="AC3191" s="3" t="s">
        <v>3250</v>
      </c>
      <c r="AD3191" s="3" t="s">
        <v>3251</v>
      </c>
      <c r="AG3191" s="2">
        <v>2</v>
      </c>
      <c r="AH3191" s="3" t="s">
        <v>3201</v>
      </c>
      <c r="AI3191" s="4">
        <v>45118</v>
      </c>
      <c r="AJ3191" s="3" t="s">
        <v>3339</v>
      </c>
      <c r="AK3191" s="3" t="s">
        <v>645</v>
      </c>
    </row>
    <row r="3192" spans="1:37" hidden="1" x14ac:dyDescent="0.25">
      <c r="A3192" t="str">
        <f t="shared" si="49"/>
        <v>2023_Qld_Gatton_Mixed_LightTOS2VarietyBatemanWaterTrtIrrigatedAgronomyNatural</v>
      </c>
      <c r="B3192" s="2">
        <v>2023036</v>
      </c>
      <c r="C3192" s="3" t="s">
        <v>3150</v>
      </c>
      <c r="D3192" s="3" t="s">
        <v>37</v>
      </c>
      <c r="E3192" s="3" t="s">
        <v>1931</v>
      </c>
      <c r="F3192" s="3" t="s">
        <v>4195</v>
      </c>
      <c r="G3192" s="3" t="s">
        <v>43</v>
      </c>
      <c r="H3192" s="3" t="s">
        <v>253</v>
      </c>
      <c r="I3192" s="2">
        <v>185</v>
      </c>
      <c r="J3192" s="2">
        <v>185</v>
      </c>
      <c r="K3192" s="2">
        <v>4</v>
      </c>
      <c r="O3192" s="2">
        <v>63</v>
      </c>
      <c r="U3192" s="2">
        <v>5</v>
      </c>
      <c r="V3192" s="2">
        <v>20</v>
      </c>
      <c r="W3192" s="2">
        <v>5</v>
      </c>
      <c r="X3192" s="2">
        <v>16</v>
      </c>
      <c r="Z3192" s="2">
        <v>188</v>
      </c>
      <c r="AA3192" s="3" t="s">
        <v>57</v>
      </c>
      <c r="AB3192" s="2">
        <v>2</v>
      </c>
      <c r="AC3192" s="3" t="s">
        <v>3250</v>
      </c>
      <c r="AD3192" s="3" t="s">
        <v>3251</v>
      </c>
      <c r="AG3192" s="2">
        <v>2</v>
      </c>
      <c r="AH3192" s="3" t="s">
        <v>3201</v>
      </c>
      <c r="AI3192" s="4">
        <v>45118</v>
      </c>
      <c r="AJ3192" s="3" t="s">
        <v>3340</v>
      </c>
      <c r="AK3192" s="3" t="s">
        <v>1931</v>
      </c>
    </row>
    <row r="3193" spans="1:37" hidden="1" x14ac:dyDescent="0.25">
      <c r="A3193" t="str">
        <f t="shared" si="49"/>
        <v>2023_Qld_Gatton_Mixed_LightTOS2VarietyJurienWaterTrtIrrigatedAgronomyNatural</v>
      </c>
      <c r="B3193" s="2">
        <v>2023036</v>
      </c>
      <c r="C3193" s="3" t="s">
        <v>3150</v>
      </c>
      <c r="D3193" s="3" t="s">
        <v>37</v>
      </c>
      <c r="E3193" s="3" t="s">
        <v>1931</v>
      </c>
      <c r="F3193" s="3" t="s">
        <v>4194</v>
      </c>
      <c r="G3193" s="3" t="s">
        <v>39</v>
      </c>
      <c r="H3193" s="3" t="s">
        <v>253</v>
      </c>
      <c r="I3193" s="2">
        <v>186</v>
      </c>
      <c r="J3193" s="2">
        <v>186</v>
      </c>
      <c r="K3193" s="2">
        <v>4</v>
      </c>
      <c r="O3193" s="2">
        <v>63</v>
      </c>
      <c r="U3193" s="2">
        <v>6</v>
      </c>
      <c r="V3193" s="2">
        <v>20</v>
      </c>
      <c r="W3193" s="2">
        <v>6</v>
      </c>
      <c r="X3193" s="2">
        <v>16</v>
      </c>
      <c r="Z3193" s="2">
        <v>187</v>
      </c>
      <c r="AA3193" s="3" t="s">
        <v>57</v>
      </c>
      <c r="AB3193" s="2">
        <v>4</v>
      </c>
      <c r="AC3193" s="3" t="s">
        <v>3250</v>
      </c>
      <c r="AD3193" s="3" t="s">
        <v>3251</v>
      </c>
      <c r="AG3193" s="2">
        <v>2</v>
      </c>
      <c r="AH3193" s="3" t="s">
        <v>3201</v>
      </c>
      <c r="AI3193" s="4">
        <v>45118</v>
      </c>
      <c r="AJ3193" s="3" t="s">
        <v>3341</v>
      </c>
      <c r="AK3193" s="3" t="s">
        <v>1931</v>
      </c>
    </row>
    <row r="3194" spans="1:37" hidden="1" x14ac:dyDescent="0.25">
      <c r="A3194" t="str">
        <f t="shared" si="49"/>
        <v>2023_Qld_Gatton_Mixed_LightTOS2VarietyJindaleeWaterTrtIrrigatedAgronomyNatural</v>
      </c>
      <c r="B3194" s="2">
        <v>2023036</v>
      </c>
      <c r="C3194" s="3" t="s">
        <v>3150</v>
      </c>
      <c r="D3194" s="3" t="s">
        <v>37</v>
      </c>
      <c r="E3194" s="3" t="s">
        <v>1931</v>
      </c>
      <c r="F3194" s="3" t="s">
        <v>2868</v>
      </c>
      <c r="G3194" s="3" t="s">
        <v>39</v>
      </c>
      <c r="H3194" s="3" t="s">
        <v>253</v>
      </c>
      <c r="I3194" s="2">
        <v>187</v>
      </c>
      <c r="J3194" s="2">
        <v>187</v>
      </c>
      <c r="K3194" s="2">
        <v>4</v>
      </c>
      <c r="O3194" s="2">
        <v>63</v>
      </c>
      <c r="U3194" s="2">
        <v>7</v>
      </c>
      <c r="V3194" s="2">
        <v>20</v>
      </c>
      <c r="W3194" s="2">
        <v>7</v>
      </c>
      <c r="X3194" s="2">
        <v>16</v>
      </c>
      <c r="Z3194" s="2">
        <v>186</v>
      </c>
      <c r="AA3194" s="3" t="s">
        <v>57</v>
      </c>
      <c r="AB3194" s="2">
        <v>3</v>
      </c>
      <c r="AC3194" s="3" t="s">
        <v>3250</v>
      </c>
      <c r="AD3194" s="3" t="s">
        <v>3251</v>
      </c>
      <c r="AG3194" s="2">
        <v>2</v>
      </c>
      <c r="AH3194" s="3" t="s">
        <v>3201</v>
      </c>
      <c r="AI3194" s="4">
        <v>45118</v>
      </c>
      <c r="AJ3194" s="3" t="s">
        <v>3342</v>
      </c>
      <c r="AK3194" s="3" t="s">
        <v>1931</v>
      </c>
    </row>
    <row r="3195" spans="1:37" hidden="1" x14ac:dyDescent="0.25">
      <c r="A3195" t="str">
        <f t="shared" si="49"/>
        <v>2023_Qld_Gatton_Mixed_LightTOS2VarietyWongaWaterTrtIrrigatedAgronomyNatural</v>
      </c>
      <c r="B3195" s="2">
        <v>2023036</v>
      </c>
      <c r="C3195" s="3" t="s">
        <v>3150</v>
      </c>
      <c r="D3195" s="3" t="s">
        <v>37</v>
      </c>
      <c r="E3195" s="3" t="s">
        <v>1931</v>
      </c>
      <c r="F3195" s="3" t="s">
        <v>1932</v>
      </c>
      <c r="G3195" s="3" t="s">
        <v>39</v>
      </c>
      <c r="H3195" s="3" t="s">
        <v>253</v>
      </c>
      <c r="I3195" s="2">
        <v>188</v>
      </c>
      <c r="J3195" s="2">
        <v>188</v>
      </c>
      <c r="K3195" s="2">
        <v>4</v>
      </c>
      <c r="O3195" s="2">
        <v>63</v>
      </c>
      <c r="U3195" s="2">
        <v>8</v>
      </c>
      <c r="V3195" s="2">
        <v>20</v>
      </c>
      <c r="W3195" s="2">
        <v>8</v>
      </c>
      <c r="X3195" s="2">
        <v>16</v>
      </c>
      <c r="Z3195" s="2">
        <v>185</v>
      </c>
      <c r="AA3195" s="3" t="s">
        <v>57</v>
      </c>
      <c r="AB3195" s="2">
        <v>1</v>
      </c>
      <c r="AC3195" s="3" t="s">
        <v>3250</v>
      </c>
      <c r="AD3195" s="3" t="s">
        <v>3251</v>
      </c>
      <c r="AG3195" s="2">
        <v>2</v>
      </c>
      <c r="AH3195" s="3" t="s">
        <v>3201</v>
      </c>
      <c r="AI3195" s="4">
        <v>45118</v>
      </c>
      <c r="AJ3195" s="3" t="s">
        <v>3343</v>
      </c>
      <c r="AK3195" s="3" t="s">
        <v>1931</v>
      </c>
    </row>
    <row r="3196" spans="1:37" hidden="1" x14ac:dyDescent="0.25">
      <c r="A3196" t="str">
        <f t="shared" si="49"/>
        <v>2023_Qld_Gatton_Mixed_LightTOS2VarietyCBA_CaptainWaterTrtIrrigatedAgronomyNatural</v>
      </c>
      <c r="B3196" s="2">
        <v>2023036</v>
      </c>
      <c r="C3196" s="3" t="s">
        <v>3150</v>
      </c>
      <c r="D3196" s="3" t="s">
        <v>37</v>
      </c>
      <c r="E3196" s="3" t="s">
        <v>248</v>
      </c>
      <c r="F3196" s="3" t="s">
        <v>249</v>
      </c>
      <c r="G3196" s="3" t="s">
        <v>43</v>
      </c>
      <c r="H3196" s="3" t="s">
        <v>253</v>
      </c>
      <c r="I3196" s="2">
        <v>189</v>
      </c>
      <c r="J3196" s="2">
        <v>189</v>
      </c>
      <c r="K3196" s="2">
        <v>4</v>
      </c>
      <c r="O3196" s="2">
        <v>64</v>
      </c>
      <c r="U3196" s="2">
        <v>9</v>
      </c>
      <c r="V3196" s="2">
        <v>20</v>
      </c>
      <c r="W3196" s="2">
        <v>9</v>
      </c>
      <c r="X3196" s="2">
        <v>16</v>
      </c>
      <c r="Z3196" s="2">
        <v>184</v>
      </c>
      <c r="AA3196" s="3" t="s">
        <v>57</v>
      </c>
      <c r="AB3196" s="2">
        <v>7</v>
      </c>
      <c r="AC3196" s="3" t="s">
        <v>3250</v>
      </c>
      <c r="AD3196" s="3" t="s">
        <v>3251</v>
      </c>
      <c r="AG3196" s="2">
        <v>2</v>
      </c>
      <c r="AH3196" s="3" t="s">
        <v>3201</v>
      </c>
      <c r="AI3196" s="4">
        <v>45118</v>
      </c>
      <c r="AJ3196" s="3" t="s">
        <v>3344</v>
      </c>
      <c r="AK3196" s="3" t="s">
        <v>248</v>
      </c>
    </row>
    <row r="3197" spans="1:37" hidden="1" x14ac:dyDescent="0.25">
      <c r="A3197" t="str">
        <f t="shared" si="49"/>
        <v>2023_Qld_Gatton_Mixed_LightTOS2VarietyKelpieXTWaterTrtIrrigatedAgronomyNatural</v>
      </c>
      <c r="B3197" s="2">
        <v>2023036</v>
      </c>
      <c r="C3197" s="3" t="s">
        <v>3150</v>
      </c>
      <c r="D3197" s="3" t="s">
        <v>37</v>
      </c>
      <c r="E3197" s="3" t="s">
        <v>38</v>
      </c>
      <c r="F3197" s="3" t="s">
        <v>4188</v>
      </c>
      <c r="G3197" s="3" t="s">
        <v>43</v>
      </c>
      <c r="H3197" s="3" t="s">
        <v>253</v>
      </c>
      <c r="I3197" s="2">
        <v>190</v>
      </c>
      <c r="J3197" s="2">
        <v>190</v>
      </c>
      <c r="K3197" s="2">
        <v>4</v>
      </c>
      <c r="O3197" s="2">
        <v>64</v>
      </c>
      <c r="U3197" s="2">
        <v>10</v>
      </c>
      <c r="V3197" s="2">
        <v>20</v>
      </c>
      <c r="W3197" s="2">
        <v>10</v>
      </c>
      <c r="X3197" s="2">
        <v>16</v>
      </c>
      <c r="Z3197" s="2">
        <v>183</v>
      </c>
      <c r="AA3197" s="3" t="s">
        <v>57</v>
      </c>
      <c r="AB3197" s="2">
        <v>8</v>
      </c>
      <c r="AC3197" s="3" t="s">
        <v>3250</v>
      </c>
      <c r="AD3197" s="3" t="s">
        <v>3251</v>
      </c>
      <c r="AG3197" s="2">
        <v>2</v>
      </c>
      <c r="AH3197" s="3" t="s">
        <v>3201</v>
      </c>
      <c r="AI3197" s="4">
        <v>45118</v>
      </c>
      <c r="AJ3197" s="3" t="s">
        <v>3345</v>
      </c>
      <c r="AK3197" s="3" t="s">
        <v>38</v>
      </c>
    </row>
    <row r="3198" spans="1:37" hidden="1" x14ac:dyDescent="0.25">
      <c r="A3198" t="str">
        <f t="shared" si="49"/>
        <v>2023_Qld_Gatton_Mixed_LightTOS2VarietyHatTrickWaterTrtIrrigatedAgronomyNatural</v>
      </c>
      <c r="B3198" s="2">
        <v>2023036</v>
      </c>
      <c r="C3198" s="3" t="s">
        <v>3150</v>
      </c>
      <c r="D3198" s="3" t="s">
        <v>37</v>
      </c>
      <c r="E3198" s="3" t="s">
        <v>248</v>
      </c>
      <c r="F3198" s="3" t="s">
        <v>4178</v>
      </c>
      <c r="G3198" s="3" t="s">
        <v>39</v>
      </c>
      <c r="H3198" s="3" t="s">
        <v>253</v>
      </c>
      <c r="I3198" s="2">
        <v>191</v>
      </c>
      <c r="J3198" s="2">
        <v>191</v>
      </c>
      <c r="K3198" s="2">
        <v>4</v>
      </c>
      <c r="O3198" s="2">
        <v>64</v>
      </c>
      <c r="U3198" s="2">
        <v>11</v>
      </c>
      <c r="V3198" s="2">
        <v>20</v>
      </c>
      <c r="W3198" s="2">
        <v>11</v>
      </c>
      <c r="X3198" s="2">
        <v>16</v>
      </c>
      <c r="Z3198" s="2">
        <v>182</v>
      </c>
      <c r="AA3198" s="3" t="s">
        <v>57</v>
      </c>
      <c r="AB3198" s="2">
        <v>5</v>
      </c>
      <c r="AC3198" s="3" t="s">
        <v>3250</v>
      </c>
      <c r="AD3198" s="3" t="s">
        <v>3251</v>
      </c>
      <c r="AG3198" s="2">
        <v>2</v>
      </c>
      <c r="AH3198" s="3" t="s">
        <v>3201</v>
      </c>
      <c r="AI3198" s="4">
        <v>45118</v>
      </c>
      <c r="AJ3198" s="3" t="s">
        <v>3346</v>
      </c>
      <c r="AK3198" s="3" t="s">
        <v>248</v>
      </c>
    </row>
    <row r="3199" spans="1:37" hidden="1" x14ac:dyDescent="0.25">
      <c r="A3199" t="str">
        <f t="shared" si="49"/>
        <v>2023_Qld_Gatton_Mixed_LightTOS2VarietyDrummondWaterTrtIrrigatedAgronomyNatural</v>
      </c>
      <c r="B3199" s="2">
        <v>2023036</v>
      </c>
      <c r="C3199" s="3" t="s">
        <v>3150</v>
      </c>
      <c r="D3199" s="3" t="s">
        <v>37</v>
      </c>
      <c r="E3199" s="3" t="s">
        <v>248</v>
      </c>
      <c r="F3199" s="3" t="s">
        <v>4182</v>
      </c>
      <c r="G3199" s="3" t="s">
        <v>39</v>
      </c>
      <c r="H3199" s="3" t="s">
        <v>253</v>
      </c>
      <c r="I3199" s="2">
        <v>192</v>
      </c>
      <c r="J3199" s="2">
        <v>192</v>
      </c>
      <c r="K3199" s="2">
        <v>4</v>
      </c>
      <c r="O3199" s="2">
        <v>64</v>
      </c>
      <c r="U3199" s="2">
        <v>12</v>
      </c>
      <c r="V3199" s="2">
        <v>20</v>
      </c>
      <c r="W3199" s="2">
        <v>12</v>
      </c>
      <c r="X3199" s="2">
        <v>16</v>
      </c>
      <c r="Z3199" s="2">
        <v>181</v>
      </c>
      <c r="AA3199" s="3" t="s">
        <v>57</v>
      </c>
      <c r="AB3199" s="2">
        <v>6</v>
      </c>
      <c r="AC3199" s="3" t="s">
        <v>3250</v>
      </c>
      <c r="AD3199" s="3" t="s">
        <v>3251</v>
      </c>
      <c r="AG3199" s="2">
        <v>2</v>
      </c>
      <c r="AH3199" s="3" t="s">
        <v>3201</v>
      </c>
      <c r="AI3199" s="4">
        <v>45118</v>
      </c>
      <c r="AJ3199" s="3" t="s">
        <v>3347</v>
      </c>
      <c r="AK3199" s="3" t="s">
        <v>248</v>
      </c>
    </row>
    <row r="3200" spans="1:37" hidden="1" x14ac:dyDescent="0.25">
      <c r="A3200" t="str">
        <f t="shared" si="49"/>
        <v>2024_Qld_Gatton_Chickpea_DetailedTOS2VarietyStrikerWaterTrtRainFed</v>
      </c>
      <c r="B3200" s="2">
        <v>2024037</v>
      </c>
      <c r="C3200" s="3" t="s">
        <v>3348</v>
      </c>
      <c r="D3200" s="3" t="s">
        <v>248</v>
      </c>
      <c r="F3200" s="3" t="s">
        <v>4179</v>
      </c>
      <c r="G3200" s="3" t="s">
        <v>43</v>
      </c>
      <c r="H3200" s="3" t="s">
        <v>253</v>
      </c>
      <c r="I3200" s="2">
        <v>1</v>
      </c>
      <c r="J3200" s="2">
        <v>1</v>
      </c>
      <c r="K3200" s="2">
        <v>1</v>
      </c>
      <c r="O3200" s="2">
        <v>1</v>
      </c>
      <c r="U3200" s="2">
        <v>2</v>
      </c>
      <c r="V3200" s="2">
        <v>3</v>
      </c>
      <c r="W3200" s="2">
        <v>1</v>
      </c>
      <c r="X3200" s="2">
        <v>1</v>
      </c>
      <c r="Z3200" s="2">
        <v>1</v>
      </c>
      <c r="AA3200" s="3" t="s">
        <v>40</v>
      </c>
      <c r="AB3200" s="2">
        <v>4</v>
      </c>
      <c r="AF3200" s="2">
        <v>30</v>
      </c>
      <c r="AG3200" s="2">
        <v>2</v>
      </c>
      <c r="AH3200" s="3" t="s">
        <v>3349</v>
      </c>
      <c r="AI3200" s="4">
        <v>45460</v>
      </c>
      <c r="AJ3200" s="3" t="s">
        <v>3350</v>
      </c>
      <c r="AK3200" s="3" t="s">
        <v>248</v>
      </c>
    </row>
    <row r="3201" spans="1:37" hidden="1" x14ac:dyDescent="0.25">
      <c r="A3201" t="str">
        <f t="shared" si="49"/>
        <v>2024_Qld_Gatton_Chickpea_DetailedTOS2VarietyHatTrickWaterTrtRainFed</v>
      </c>
      <c r="B3201" s="2">
        <v>2024037</v>
      </c>
      <c r="C3201" s="3" t="s">
        <v>3348</v>
      </c>
      <c r="D3201" s="3" t="s">
        <v>248</v>
      </c>
      <c r="F3201" s="3" t="s">
        <v>4178</v>
      </c>
      <c r="G3201" s="3" t="s">
        <v>39</v>
      </c>
      <c r="H3201" s="3" t="s">
        <v>253</v>
      </c>
      <c r="I3201" s="2">
        <v>2</v>
      </c>
      <c r="J3201" s="2">
        <v>2</v>
      </c>
      <c r="K3201" s="2">
        <v>1</v>
      </c>
      <c r="O3201" s="2">
        <v>1</v>
      </c>
      <c r="U3201" s="2">
        <v>3</v>
      </c>
      <c r="V3201" s="2">
        <v>3</v>
      </c>
      <c r="W3201" s="2">
        <v>2</v>
      </c>
      <c r="X3201" s="2">
        <v>1</v>
      </c>
      <c r="Z3201" s="2">
        <v>2</v>
      </c>
      <c r="AA3201" s="3" t="s">
        <v>40</v>
      </c>
      <c r="AB3201" s="2">
        <v>3</v>
      </c>
      <c r="AF3201" s="2">
        <v>30</v>
      </c>
      <c r="AG3201" s="2">
        <v>2</v>
      </c>
      <c r="AH3201" s="3" t="s">
        <v>3349</v>
      </c>
      <c r="AI3201" s="4">
        <v>45460</v>
      </c>
      <c r="AJ3201" s="3" t="s">
        <v>3351</v>
      </c>
      <c r="AK3201" s="3" t="s">
        <v>248</v>
      </c>
    </row>
    <row r="3202" spans="1:37" hidden="1" x14ac:dyDescent="0.25">
      <c r="A3202" t="str">
        <f t="shared" si="49"/>
        <v>2024_Qld_Gatton_Chickpea_DetailedTOS2VarietyCBA_CaptainWaterTrtRainFed</v>
      </c>
      <c r="B3202" s="2">
        <v>2024037</v>
      </c>
      <c r="C3202" s="3" t="s">
        <v>3348</v>
      </c>
      <c r="D3202" s="3" t="s">
        <v>248</v>
      </c>
      <c r="F3202" s="3" t="s">
        <v>249</v>
      </c>
      <c r="G3202" s="3" t="s">
        <v>43</v>
      </c>
      <c r="H3202" s="3" t="s">
        <v>253</v>
      </c>
      <c r="I3202" s="2">
        <v>3</v>
      </c>
      <c r="J3202" s="2">
        <v>3</v>
      </c>
      <c r="K3202" s="2">
        <v>1</v>
      </c>
      <c r="O3202" s="2">
        <v>1</v>
      </c>
      <c r="U3202" s="2">
        <v>5</v>
      </c>
      <c r="V3202" s="2">
        <v>3</v>
      </c>
      <c r="W3202" s="2">
        <v>3</v>
      </c>
      <c r="X3202" s="2">
        <v>1</v>
      </c>
      <c r="Z3202" s="2">
        <v>3</v>
      </c>
      <c r="AA3202" s="3" t="s">
        <v>40</v>
      </c>
      <c r="AB3202" s="2">
        <v>1</v>
      </c>
      <c r="AF3202" s="2">
        <v>30</v>
      </c>
      <c r="AG3202" s="2">
        <v>2</v>
      </c>
      <c r="AH3202" s="3" t="s">
        <v>3349</v>
      </c>
      <c r="AI3202" s="4">
        <v>45460</v>
      </c>
      <c r="AJ3202" s="3" t="s">
        <v>3352</v>
      </c>
      <c r="AK3202" s="3" t="s">
        <v>248</v>
      </c>
    </row>
    <row r="3203" spans="1:37" hidden="1" x14ac:dyDescent="0.25">
      <c r="A3203" t="str">
        <f t="shared" ref="A3203:A3266" si="50">C3203&amp;"TOS"&amp;AG3203&amp;"Variety"&amp;F3203&amp;"WaterTrt"&amp;AA3203&amp;IF(AC3203="","","Agronomy"&amp;AC3203)</f>
        <v>2024_Qld_Gatton_Chickpea_DetailedTOS2VarietyDrummondWaterTrtRainFed</v>
      </c>
      <c r="B3203" s="2">
        <v>2024037</v>
      </c>
      <c r="C3203" s="3" t="s">
        <v>3348</v>
      </c>
      <c r="D3203" s="3" t="s">
        <v>248</v>
      </c>
      <c r="F3203" s="3" t="s">
        <v>4182</v>
      </c>
      <c r="G3203" s="3" t="s">
        <v>39</v>
      </c>
      <c r="H3203" s="3" t="s">
        <v>253</v>
      </c>
      <c r="I3203" s="2">
        <v>4</v>
      </c>
      <c r="J3203" s="2">
        <v>4</v>
      </c>
      <c r="K3203" s="2">
        <v>1</v>
      </c>
      <c r="O3203" s="2">
        <v>1</v>
      </c>
      <c r="U3203" s="2">
        <v>6</v>
      </c>
      <c r="V3203" s="2">
        <v>3</v>
      </c>
      <c r="W3203" s="2">
        <v>4</v>
      </c>
      <c r="X3203" s="2">
        <v>1</v>
      </c>
      <c r="Z3203" s="2">
        <v>4</v>
      </c>
      <c r="AA3203" s="3" t="s">
        <v>40</v>
      </c>
      <c r="AB3203" s="2">
        <v>2</v>
      </c>
      <c r="AF3203" s="2">
        <v>30</v>
      </c>
      <c r="AG3203" s="2">
        <v>2</v>
      </c>
      <c r="AH3203" s="3" t="s">
        <v>3349</v>
      </c>
      <c r="AI3203" s="4">
        <v>45460</v>
      </c>
      <c r="AJ3203" s="3" t="s">
        <v>3353</v>
      </c>
      <c r="AK3203" s="3" t="s">
        <v>248</v>
      </c>
    </row>
    <row r="3204" spans="1:37" hidden="1" x14ac:dyDescent="0.25">
      <c r="A3204" t="str">
        <f t="shared" si="50"/>
        <v>2024_Qld_Gatton_Chickpea_DetailedTOS2VarietyStrikerWaterTrtRainFed</v>
      </c>
      <c r="B3204" s="2">
        <v>2024037</v>
      </c>
      <c r="C3204" s="3" t="s">
        <v>3348</v>
      </c>
      <c r="D3204" s="3" t="s">
        <v>248</v>
      </c>
      <c r="F3204" s="3" t="s">
        <v>4179</v>
      </c>
      <c r="G3204" s="3" t="s">
        <v>43</v>
      </c>
      <c r="H3204" s="3" t="s">
        <v>250</v>
      </c>
      <c r="I3204" s="2">
        <v>5</v>
      </c>
      <c r="J3204" s="2">
        <v>1</v>
      </c>
      <c r="K3204" s="2">
        <v>1</v>
      </c>
      <c r="O3204" s="2">
        <v>1</v>
      </c>
      <c r="U3204" s="2">
        <v>2</v>
      </c>
      <c r="V3204" s="2">
        <v>4</v>
      </c>
      <c r="W3204" s="2">
        <v>1</v>
      </c>
      <c r="X3204" s="2">
        <v>2</v>
      </c>
      <c r="AA3204" s="3" t="s">
        <v>40</v>
      </c>
      <c r="AB3204" s="2">
        <v>4</v>
      </c>
      <c r="AF3204" s="2">
        <v>30</v>
      </c>
      <c r="AG3204" s="2">
        <v>2</v>
      </c>
      <c r="AH3204" s="3" t="s">
        <v>3349</v>
      </c>
      <c r="AI3204" s="4">
        <v>45460</v>
      </c>
      <c r="AJ3204" s="3" t="s">
        <v>3354</v>
      </c>
      <c r="AK3204" s="3" t="s">
        <v>248</v>
      </c>
    </row>
    <row r="3205" spans="1:37" hidden="1" x14ac:dyDescent="0.25">
      <c r="A3205" t="str">
        <f t="shared" si="50"/>
        <v>2024_Qld_Gatton_Chickpea_DetailedTOS2VarietyHatTrickWaterTrtRainFed</v>
      </c>
      <c r="B3205" s="2">
        <v>2024037</v>
      </c>
      <c r="C3205" s="3" t="s">
        <v>3348</v>
      </c>
      <c r="D3205" s="3" t="s">
        <v>248</v>
      </c>
      <c r="F3205" s="3" t="s">
        <v>4178</v>
      </c>
      <c r="G3205" s="3" t="s">
        <v>39</v>
      </c>
      <c r="H3205" s="3" t="s">
        <v>250</v>
      </c>
      <c r="I3205" s="2">
        <v>6</v>
      </c>
      <c r="J3205" s="2">
        <v>2</v>
      </c>
      <c r="K3205" s="2">
        <v>1</v>
      </c>
      <c r="O3205" s="2">
        <v>1</v>
      </c>
      <c r="U3205" s="2">
        <v>3</v>
      </c>
      <c r="V3205" s="2">
        <v>4</v>
      </c>
      <c r="W3205" s="2">
        <v>2</v>
      </c>
      <c r="X3205" s="2">
        <v>2</v>
      </c>
      <c r="AA3205" s="3" t="s">
        <v>40</v>
      </c>
      <c r="AB3205" s="2">
        <v>3</v>
      </c>
      <c r="AF3205" s="2">
        <v>30</v>
      </c>
      <c r="AG3205" s="2">
        <v>2</v>
      </c>
      <c r="AH3205" s="3" t="s">
        <v>3349</v>
      </c>
      <c r="AI3205" s="4">
        <v>45460</v>
      </c>
      <c r="AJ3205" s="3" t="s">
        <v>3355</v>
      </c>
      <c r="AK3205" s="3" t="s">
        <v>248</v>
      </c>
    </row>
    <row r="3206" spans="1:37" hidden="1" x14ac:dyDescent="0.25">
      <c r="A3206" t="str">
        <f t="shared" si="50"/>
        <v>2024_Qld_Gatton_Chickpea_DetailedTOS2VarietyCBA_CaptainWaterTrtRainFed</v>
      </c>
      <c r="B3206" s="2">
        <v>2024037</v>
      </c>
      <c r="C3206" s="3" t="s">
        <v>3348</v>
      </c>
      <c r="D3206" s="3" t="s">
        <v>248</v>
      </c>
      <c r="F3206" s="3" t="s">
        <v>249</v>
      </c>
      <c r="G3206" s="3" t="s">
        <v>43</v>
      </c>
      <c r="H3206" s="3" t="s">
        <v>250</v>
      </c>
      <c r="I3206" s="2">
        <v>7</v>
      </c>
      <c r="J3206" s="2">
        <v>3</v>
      </c>
      <c r="K3206" s="2">
        <v>1</v>
      </c>
      <c r="O3206" s="2">
        <v>1</v>
      </c>
      <c r="U3206" s="2">
        <v>5</v>
      </c>
      <c r="V3206" s="2">
        <v>4</v>
      </c>
      <c r="W3206" s="2">
        <v>3</v>
      </c>
      <c r="X3206" s="2">
        <v>2</v>
      </c>
      <c r="AA3206" s="3" t="s">
        <v>40</v>
      </c>
      <c r="AB3206" s="2">
        <v>1</v>
      </c>
      <c r="AF3206" s="2">
        <v>30</v>
      </c>
      <c r="AG3206" s="2">
        <v>2</v>
      </c>
      <c r="AH3206" s="3" t="s">
        <v>3349</v>
      </c>
      <c r="AI3206" s="4">
        <v>45460</v>
      </c>
      <c r="AJ3206" s="3" t="s">
        <v>3356</v>
      </c>
      <c r="AK3206" s="3" t="s">
        <v>248</v>
      </c>
    </row>
    <row r="3207" spans="1:37" hidden="1" x14ac:dyDescent="0.25">
      <c r="A3207" t="str">
        <f t="shared" si="50"/>
        <v>2024_Qld_Gatton_Chickpea_DetailedTOS2VarietyDrummondWaterTrtRainFed</v>
      </c>
      <c r="B3207" s="2">
        <v>2024037</v>
      </c>
      <c r="C3207" s="3" t="s">
        <v>3348</v>
      </c>
      <c r="D3207" s="3" t="s">
        <v>248</v>
      </c>
      <c r="F3207" s="3" t="s">
        <v>4182</v>
      </c>
      <c r="G3207" s="3" t="s">
        <v>39</v>
      </c>
      <c r="H3207" s="3" t="s">
        <v>250</v>
      </c>
      <c r="I3207" s="2">
        <v>8</v>
      </c>
      <c r="J3207" s="2">
        <v>4</v>
      </c>
      <c r="K3207" s="2">
        <v>1</v>
      </c>
      <c r="O3207" s="2">
        <v>1</v>
      </c>
      <c r="U3207" s="2">
        <v>6</v>
      </c>
      <c r="V3207" s="2">
        <v>4</v>
      </c>
      <c r="W3207" s="2">
        <v>4</v>
      </c>
      <c r="X3207" s="2">
        <v>2</v>
      </c>
      <c r="AA3207" s="3" t="s">
        <v>40</v>
      </c>
      <c r="AB3207" s="2">
        <v>2</v>
      </c>
      <c r="AF3207" s="2">
        <v>30</v>
      </c>
      <c r="AG3207" s="2">
        <v>2</v>
      </c>
      <c r="AH3207" s="3" t="s">
        <v>3349</v>
      </c>
      <c r="AI3207" s="4">
        <v>45460</v>
      </c>
      <c r="AJ3207" s="3" t="s">
        <v>3357</v>
      </c>
      <c r="AK3207" s="3" t="s">
        <v>248</v>
      </c>
    </row>
    <row r="3208" spans="1:37" hidden="1" x14ac:dyDescent="0.25">
      <c r="A3208" t="str">
        <f t="shared" si="50"/>
        <v>2024_Qld_Gatton_Chickpea_DetailedTOS1VarietyDrummondWaterTrtRainFed</v>
      </c>
      <c r="B3208" s="2">
        <v>2024037</v>
      </c>
      <c r="C3208" s="3" t="s">
        <v>3348</v>
      </c>
      <c r="D3208" s="3" t="s">
        <v>248</v>
      </c>
      <c r="F3208" s="3" t="s">
        <v>4182</v>
      </c>
      <c r="G3208" s="3" t="s">
        <v>39</v>
      </c>
      <c r="H3208" s="3" t="s">
        <v>250</v>
      </c>
      <c r="I3208" s="2">
        <v>9</v>
      </c>
      <c r="J3208" s="2">
        <v>5</v>
      </c>
      <c r="K3208" s="2">
        <v>1</v>
      </c>
      <c r="O3208" s="2">
        <v>2</v>
      </c>
      <c r="U3208" s="2">
        <v>2</v>
      </c>
      <c r="V3208" s="2">
        <v>7</v>
      </c>
      <c r="W3208" s="2">
        <v>1</v>
      </c>
      <c r="X3208" s="2">
        <v>3</v>
      </c>
      <c r="AA3208" s="3" t="s">
        <v>40</v>
      </c>
      <c r="AB3208" s="2">
        <v>2</v>
      </c>
      <c r="AF3208" s="2">
        <v>30</v>
      </c>
      <c r="AG3208" s="2">
        <v>1</v>
      </c>
      <c r="AH3208" s="3" t="s">
        <v>3358</v>
      </c>
      <c r="AI3208" s="4">
        <v>45427</v>
      </c>
      <c r="AJ3208" s="3" t="s">
        <v>3359</v>
      </c>
      <c r="AK3208" s="3" t="s">
        <v>248</v>
      </c>
    </row>
    <row r="3209" spans="1:37" hidden="1" x14ac:dyDescent="0.25">
      <c r="A3209" t="str">
        <f t="shared" si="50"/>
        <v>2024_Qld_Gatton_Chickpea_DetailedTOS1VarietyCBA_CaptainWaterTrtRainFed</v>
      </c>
      <c r="B3209" s="2">
        <v>2024037</v>
      </c>
      <c r="C3209" s="3" t="s">
        <v>3348</v>
      </c>
      <c r="D3209" s="3" t="s">
        <v>248</v>
      </c>
      <c r="F3209" s="3" t="s">
        <v>249</v>
      </c>
      <c r="G3209" s="3" t="s">
        <v>43</v>
      </c>
      <c r="H3209" s="3" t="s">
        <v>250</v>
      </c>
      <c r="I3209" s="2">
        <v>10</v>
      </c>
      <c r="J3209" s="2">
        <v>6</v>
      </c>
      <c r="K3209" s="2">
        <v>1</v>
      </c>
      <c r="O3209" s="2">
        <v>2</v>
      </c>
      <c r="U3209" s="2">
        <v>3</v>
      </c>
      <c r="V3209" s="2">
        <v>7</v>
      </c>
      <c r="W3209" s="2">
        <v>2</v>
      </c>
      <c r="X3209" s="2">
        <v>3</v>
      </c>
      <c r="AA3209" s="3" t="s">
        <v>40</v>
      </c>
      <c r="AB3209" s="2">
        <v>1</v>
      </c>
      <c r="AF3209" s="2">
        <v>30</v>
      </c>
      <c r="AG3209" s="2">
        <v>1</v>
      </c>
      <c r="AH3209" s="3" t="s">
        <v>3358</v>
      </c>
      <c r="AI3209" s="4">
        <v>45427</v>
      </c>
      <c r="AJ3209" s="3" t="s">
        <v>3360</v>
      </c>
      <c r="AK3209" s="3" t="s">
        <v>248</v>
      </c>
    </row>
    <row r="3210" spans="1:37" hidden="1" x14ac:dyDescent="0.25">
      <c r="A3210" t="str">
        <f t="shared" si="50"/>
        <v>2024_Qld_Gatton_Chickpea_DetailedTOS1VarietyHatTrickWaterTrtRainFed</v>
      </c>
      <c r="B3210" s="2">
        <v>2024037</v>
      </c>
      <c r="C3210" s="3" t="s">
        <v>3348</v>
      </c>
      <c r="D3210" s="3" t="s">
        <v>248</v>
      </c>
      <c r="F3210" s="3" t="s">
        <v>4178</v>
      </c>
      <c r="G3210" s="3" t="s">
        <v>39</v>
      </c>
      <c r="H3210" s="3" t="s">
        <v>250</v>
      </c>
      <c r="I3210" s="2">
        <v>11</v>
      </c>
      <c r="J3210" s="2">
        <v>7</v>
      </c>
      <c r="K3210" s="2">
        <v>1</v>
      </c>
      <c r="O3210" s="2">
        <v>2</v>
      </c>
      <c r="U3210" s="2">
        <v>5</v>
      </c>
      <c r="V3210" s="2">
        <v>7</v>
      </c>
      <c r="W3210" s="2">
        <v>3</v>
      </c>
      <c r="X3210" s="2">
        <v>3</v>
      </c>
      <c r="AA3210" s="3" t="s">
        <v>40</v>
      </c>
      <c r="AB3210" s="2">
        <v>3</v>
      </c>
      <c r="AF3210" s="2">
        <v>30</v>
      </c>
      <c r="AG3210" s="2">
        <v>1</v>
      </c>
      <c r="AH3210" s="3" t="s">
        <v>3358</v>
      </c>
      <c r="AI3210" s="4">
        <v>45427</v>
      </c>
      <c r="AJ3210" s="3" t="s">
        <v>3361</v>
      </c>
      <c r="AK3210" s="3" t="s">
        <v>248</v>
      </c>
    </row>
    <row r="3211" spans="1:37" hidden="1" x14ac:dyDescent="0.25">
      <c r="A3211" t="str">
        <f t="shared" si="50"/>
        <v>2024_Qld_Gatton_Chickpea_DetailedTOS1VarietyStrikerWaterTrtRainFed</v>
      </c>
      <c r="B3211" s="2">
        <v>2024037</v>
      </c>
      <c r="C3211" s="3" t="s">
        <v>3348</v>
      </c>
      <c r="D3211" s="3" t="s">
        <v>248</v>
      </c>
      <c r="F3211" s="3" t="s">
        <v>4179</v>
      </c>
      <c r="G3211" s="3" t="s">
        <v>43</v>
      </c>
      <c r="H3211" s="3" t="s">
        <v>250</v>
      </c>
      <c r="I3211" s="2">
        <v>12</v>
      </c>
      <c r="J3211" s="2">
        <v>8</v>
      </c>
      <c r="K3211" s="2">
        <v>1</v>
      </c>
      <c r="O3211" s="2">
        <v>2</v>
      </c>
      <c r="U3211" s="2">
        <v>6</v>
      </c>
      <c r="V3211" s="2">
        <v>7</v>
      </c>
      <c r="W3211" s="2">
        <v>4</v>
      </c>
      <c r="X3211" s="2">
        <v>3</v>
      </c>
      <c r="AA3211" s="3" t="s">
        <v>40</v>
      </c>
      <c r="AB3211" s="2">
        <v>4</v>
      </c>
      <c r="AF3211" s="2">
        <v>30</v>
      </c>
      <c r="AG3211" s="2">
        <v>1</v>
      </c>
      <c r="AH3211" s="3" t="s">
        <v>3358</v>
      </c>
      <c r="AI3211" s="4">
        <v>45427</v>
      </c>
      <c r="AJ3211" s="3" t="s">
        <v>3362</v>
      </c>
      <c r="AK3211" s="3" t="s">
        <v>248</v>
      </c>
    </row>
    <row r="3212" spans="1:37" hidden="1" x14ac:dyDescent="0.25">
      <c r="A3212" t="str">
        <f t="shared" si="50"/>
        <v>2024_Qld_Gatton_Chickpea_DetailedTOS1VarietyDrummondWaterTrtRainFed</v>
      </c>
      <c r="B3212" s="2">
        <v>2024037</v>
      </c>
      <c r="C3212" s="3" t="s">
        <v>3348</v>
      </c>
      <c r="D3212" s="3" t="s">
        <v>248</v>
      </c>
      <c r="F3212" s="3" t="s">
        <v>4182</v>
      </c>
      <c r="G3212" s="3" t="s">
        <v>39</v>
      </c>
      <c r="H3212" s="3" t="s">
        <v>253</v>
      </c>
      <c r="I3212" s="2">
        <v>13</v>
      </c>
      <c r="J3212" s="2">
        <v>5</v>
      </c>
      <c r="K3212" s="2">
        <v>1</v>
      </c>
      <c r="O3212" s="2">
        <v>2</v>
      </c>
      <c r="U3212" s="2">
        <v>2</v>
      </c>
      <c r="V3212" s="2">
        <v>8</v>
      </c>
      <c r="W3212" s="2">
        <v>1</v>
      </c>
      <c r="X3212" s="2">
        <v>4</v>
      </c>
      <c r="Z3212" s="2">
        <v>8</v>
      </c>
      <c r="AA3212" s="3" t="s">
        <v>40</v>
      </c>
      <c r="AB3212" s="2">
        <v>2</v>
      </c>
      <c r="AF3212" s="2">
        <v>30</v>
      </c>
      <c r="AG3212" s="2">
        <v>1</v>
      </c>
      <c r="AH3212" s="3" t="s">
        <v>3358</v>
      </c>
      <c r="AI3212" s="4">
        <v>45427</v>
      </c>
      <c r="AJ3212" s="3" t="s">
        <v>3363</v>
      </c>
      <c r="AK3212" s="3" t="s">
        <v>248</v>
      </c>
    </row>
    <row r="3213" spans="1:37" hidden="1" x14ac:dyDescent="0.25">
      <c r="A3213" t="str">
        <f t="shared" si="50"/>
        <v>2024_Qld_Gatton_Chickpea_DetailedTOS1VarietyCBA_CaptainWaterTrtRainFed</v>
      </c>
      <c r="B3213" s="2">
        <v>2024037</v>
      </c>
      <c r="C3213" s="3" t="s">
        <v>3348</v>
      </c>
      <c r="D3213" s="3" t="s">
        <v>248</v>
      </c>
      <c r="F3213" s="3" t="s">
        <v>249</v>
      </c>
      <c r="G3213" s="3" t="s">
        <v>43</v>
      </c>
      <c r="H3213" s="3" t="s">
        <v>253</v>
      </c>
      <c r="I3213" s="2">
        <v>14</v>
      </c>
      <c r="J3213" s="2">
        <v>6</v>
      </c>
      <c r="K3213" s="2">
        <v>1</v>
      </c>
      <c r="O3213" s="2">
        <v>2</v>
      </c>
      <c r="U3213" s="2">
        <v>3</v>
      </c>
      <c r="V3213" s="2">
        <v>8</v>
      </c>
      <c r="W3213" s="2">
        <v>2</v>
      </c>
      <c r="X3213" s="2">
        <v>4</v>
      </c>
      <c r="Z3213" s="2">
        <v>7</v>
      </c>
      <c r="AA3213" s="3" t="s">
        <v>40</v>
      </c>
      <c r="AB3213" s="2">
        <v>1</v>
      </c>
      <c r="AF3213" s="2">
        <v>30</v>
      </c>
      <c r="AG3213" s="2">
        <v>1</v>
      </c>
      <c r="AH3213" s="3" t="s">
        <v>3358</v>
      </c>
      <c r="AI3213" s="4">
        <v>45427</v>
      </c>
      <c r="AJ3213" s="3" t="s">
        <v>3364</v>
      </c>
      <c r="AK3213" s="3" t="s">
        <v>248</v>
      </c>
    </row>
    <row r="3214" spans="1:37" hidden="1" x14ac:dyDescent="0.25">
      <c r="A3214" t="str">
        <f t="shared" si="50"/>
        <v>2024_Qld_Gatton_Chickpea_DetailedTOS1VarietyHatTrickWaterTrtRainFed</v>
      </c>
      <c r="B3214" s="2">
        <v>2024037</v>
      </c>
      <c r="C3214" s="3" t="s">
        <v>3348</v>
      </c>
      <c r="D3214" s="3" t="s">
        <v>248</v>
      </c>
      <c r="F3214" s="3" t="s">
        <v>4178</v>
      </c>
      <c r="G3214" s="3" t="s">
        <v>39</v>
      </c>
      <c r="H3214" s="3" t="s">
        <v>253</v>
      </c>
      <c r="I3214" s="2">
        <v>15</v>
      </c>
      <c r="J3214" s="2">
        <v>7</v>
      </c>
      <c r="K3214" s="2">
        <v>1</v>
      </c>
      <c r="O3214" s="2">
        <v>2</v>
      </c>
      <c r="U3214" s="2">
        <v>5</v>
      </c>
      <c r="V3214" s="2">
        <v>8</v>
      </c>
      <c r="W3214" s="2">
        <v>3</v>
      </c>
      <c r="X3214" s="2">
        <v>4</v>
      </c>
      <c r="Z3214" s="2">
        <v>6</v>
      </c>
      <c r="AA3214" s="3" t="s">
        <v>40</v>
      </c>
      <c r="AB3214" s="2">
        <v>3</v>
      </c>
      <c r="AF3214" s="2">
        <v>30</v>
      </c>
      <c r="AG3214" s="2">
        <v>1</v>
      </c>
      <c r="AH3214" s="3" t="s">
        <v>3358</v>
      </c>
      <c r="AI3214" s="4">
        <v>45427</v>
      </c>
      <c r="AJ3214" s="3" t="s">
        <v>3365</v>
      </c>
      <c r="AK3214" s="3" t="s">
        <v>248</v>
      </c>
    </row>
    <row r="3215" spans="1:37" hidden="1" x14ac:dyDescent="0.25">
      <c r="A3215" t="str">
        <f t="shared" si="50"/>
        <v>2024_Qld_Gatton_Chickpea_DetailedTOS1VarietyStrikerWaterTrtRainFed</v>
      </c>
      <c r="B3215" s="2">
        <v>2024037</v>
      </c>
      <c r="C3215" s="3" t="s">
        <v>3348</v>
      </c>
      <c r="D3215" s="3" t="s">
        <v>248</v>
      </c>
      <c r="F3215" s="3" t="s">
        <v>4179</v>
      </c>
      <c r="G3215" s="3" t="s">
        <v>43</v>
      </c>
      <c r="H3215" s="3" t="s">
        <v>253</v>
      </c>
      <c r="I3215" s="2">
        <v>16</v>
      </c>
      <c r="J3215" s="2">
        <v>8</v>
      </c>
      <c r="K3215" s="2">
        <v>1</v>
      </c>
      <c r="O3215" s="2">
        <v>2</v>
      </c>
      <c r="U3215" s="2">
        <v>6</v>
      </c>
      <c r="V3215" s="2">
        <v>8</v>
      </c>
      <c r="W3215" s="2">
        <v>4</v>
      </c>
      <c r="X3215" s="2">
        <v>4</v>
      </c>
      <c r="Z3215" s="2">
        <v>5</v>
      </c>
      <c r="AA3215" s="3" t="s">
        <v>40</v>
      </c>
      <c r="AB3215" s="2">
        <v>4</v>
      </c>
      <c r="AF3215" s="2">
        <v>30</v>
      </c>
      <c r="AG3215" s="2">
        <v>1</v>
      </c>
      <c r="AH3215" s="3" t="s">
        <v>3358</v>
      </c>
      <c r="AI3215" s="4">
        <v>45427</v>
      </c>
      <c r="AJ3215" s="3" t="s">
        <v>3366</v>
      </c>
      <c r="AK3215" s="3" t="s">
        <v>248</v>
      </c>
    </row>
    <row r="3216" spans="1:37" hidden="1" x14ac:dyDescent="0.25">
      <c r="A3216" t="str">
        <f t="shared" si="50"/>
        <v>2024_Qld_Gatton_Chickpea_DetailedTOS2VarietyHatTrickWaterTrtIrrigated</v>
      </c>
      <c r="B3216" s="2">
        <v>2024037</v>
      </c>
      <c r="C3216" s="3" t="s">
        <v>3348</v>
      </c>
      <c r="D3216" s="3" t="s">
        <v>248</v>
      </c>
      <c r="F3216" s="3" t="s">
        <v>4178</v>
      </c>
      <c r="G3216" s="3" t="s">
        <v>39</v>
      </c>
      <c r="H3216" s="3" t="s">
        <v>253</v>
      </c>
      <c r="I3216" s="2">
        <v>17</v>
      </c>
      <c r="J3216" s="2">
        <v>9</v>
      </c>
      <c r="K3216" s="2">
        <v>1</v>
      </c>
      <c r="O3216" s="2">
        <v>3</v>
      </c>
      <c r="U3216" s="2">
        <v>2</v>
      </c>
      <c r="V3216" s="2">
        <v>11</v>
      </c>
      <c r="W3216" s="2">
        <v>1</v>
      </c>
      <c r="X3216" s="2">
        <v>5</v>
      </c>
      <c r="Z3216" s="2">
        <v>9</v>
      </c>
      <c r="AA3216" s="3" t="s">
        <v>57</v>
      </c>
      <c r="AB3216" s="2">
        <v>3</v>
      </c>
      <c r="AF3216" s="2">
        <v>30</v>
      </c>
      <c r="AG3216" s="2">
        <v>2</v>
      </c>
      <c r="AH3216" s="3" t="s">
        <v>3349</v>
      </c>
      <c r="AI3216" s="4">
        <v>45460</v>
      </c>
      <c r="AJ3216" s="3" t="s">
        <v>3367</v>
      </c>
      <c r="AK3216" s="3" t="s">
        <v>248</v>
      </c>
    </row>
    <row r="3217" spans="1:37" hidden="1" x14ac:dyDescent="0.25">
      <c r="A3217" t="str">
        <f t="shared" si="50"/>
        <v>2024_Qld_Gatton_Chickpea_DetailedTOS2VarietyDrummondWaterTrtIrrigated</v>
      </c>
      <c r="B3217" s="2">
        <v>2024037</v>
      </c>
      <c r="C3217" s="3" t="s">
        <v>3348</v>
      </c>
      <c r="D3217" s="3" t="s">
        <v>248</v>
      </c>
      <c r="F3217" s="3" t="s">
        <v>4182</v>
      </c>
      <c r="G3217" s="3" t="s">
        <v>39</v>
      </c>
      <c r="H3217" s="3" t="s">
        <v>253</v>
      </c>
      <c r="I3217" s="2">
        <v>18</v>
      </c>
      <c r="J3217" s="2">
        <v>10</v>
      </c>
      <c r="K3217" s="2">
        <v>1</v>
      </c>
      <c r="O3217" s="2">
        <v>3</v>
      </c>
      <c r="U3217" s="2">
        <v>3</v>
      </c>
      <c r="V3217" s="2">
        <v>11</v>
      </c>
      <c r="W3217" s="2">
        <v>2</v>
      </c>
      <c r="X3217" s="2">
        <v>5</v>
      </c>
      <c r="Z3217" s="2">
        <v>10</v>
      </c>
      <c r="AA3217" s="3" t="s">
        <v>57</v>
      </c>
      <c r="AB3217" s="2">
        <v>2</v>
      </c>
      <c r="AF3217" s="2">
        <v>30</v>
      </c>
      <c r="AG3217" s="2">
        <v>2</v>
      </c>
      <c r="AH3217" s="3" t="s">
        <v>3349</v>
      </c>
      <c r="AI3217" s="4">
        <v>45460</v>
      </c>
      <c r="AJ3217" s="3" t="s">
        <v>3368</v>
      </c>
      <c r="AK3217" s="3" t="s">
        <v>248</v>
      </c>
    </row>
    <row r="3218" spans="1:37" hidden="1" x14ac:dyDescent="0.25">
      <c r="A3218" t="str">
        <f t="shared" si="50"/>
        <v>2024_Qld_Gatton_Chickpea_DetailedTOS2VarietyStrikerWaterTrtIrrigated</v>
      </c>
      <c r="B3218" s="2">
        <v>2024037</v>
      </c>
      <c r="C3218" s="3" t="s">
        <v>3348</v>
      </c>
      <c r="D3218" s="3" t="s">
        <v>248</v>
      </c>
      <c r="F3218" s="3" t="s">
        <v>4179</v>
      </c>
      <c r="G3218" s="3" t="s">
        <v>43</v>
      </c>
      <c r="H3218" s="3" t="s">
        <v>253</v>
      </c>
      <c r="I3218" s="2">
        <v>19</v>
      </c>
      <c r="J3218" s="2">
        <v>11</v>
      </c>
      <c r="K3218" s="2">
        <v>1</v>
      </c>
      <c r="O3218" s="2">
        <v>3</v>
      </c>
      <c r="U3218" s="2">
        <v>5</v>
      </c>
      <c r="V3218" s="2">
        <v>11</v>
      </c>
      <c r="W3218" s="2">
        <v>3</v>
      </c>
      <c r="X3218" s="2">
        <v>5</v>
      </c>
      <c r="Z3218" s="2">
        <v>11</v>
      </c>
      <c r="AA3218" s="3" t="s">
        <v>57</v>
      </c>
      <c r="AB3218" s="2">
        <v>4</v>
      </c>
      <c r="AF3218" s="2">
        <v>30</v>
      </c>
      <c r="AG3218" s="2">
        <v>2</v>
      </c>
      <c r="AH3218" s="3" t="s">
        <v>3349</v>
      </c>
      <c r="AI3218" s="4">
        <v>45460</v>
      </c>
      <c r="AJ3218" s="3" t="s">
        <v>3369</v>
      </c>
      <c r="AK3218" s="3" t="s">
        <v>248</v>
      </c>
    </row>
    <row r="3219" spans="1:37" hidden="1" x14ac:dyDescent="0.25">
      <c r="A3219" t="str">
        <f t="shared" si="50"/>
        <v>2024_Qld_Gatton_Chickpea_DetailedTOS2VarietyCBA_CaptainWaterTrtIrrigated</v>
      </c>
      <c r="B3219" s="2">
        <v>2024037</v>
      </c>
      <c r="C3219" s="3" t="s">
        <v>3348</v>
      </c>
      <c r="D3219" s="3" t="s">
        <v>248</v>
      </c>
      <c r="F3219" s="3" t="s">
        <v>249</v>
      </c>
      <c r="G3219" s="3" t="s">
        <v>43</v>
      </c>
      <c r="H3219" s="3" t="s">
        <v>253</v>
      </c>
      <c r="I3219" s="2">
        <v>20</v>
      </c>
      <c r="J3219" s="2">
        <v>12</v>
      </c>
      <c r="K3219" s="2">
        <v>1</v>
      </c>
      <c r="O3219" s="2">
        <v>3</v>
      </c>
      <c r="U3219" s="2">
        <v>6</v>
      </c>
      <c r="V3219" s="2">
        <v>11</v>
      </c>
      <c r="W3219" s="2">
        <v>4</v>
      </c>
      <c r="X3219" s="2">
        <v>5</v>
      </c>
      <c r="Z3219" s="2">
        <v>12</v>
      </c>
      <c r="AA3219" s="3" t="s">
        <v>57</v>
      </c>
      <c r="AB3219" s="2">
        <v>1</v>
      </c>
      <c r="AF3219" s="2">
        <v>30</v>
      </c>
      <c r="AG3219" s="2">
        <v>2</v>
      </c>
      <c r="AH3219" s="3" t="s">
        <v>3349</v>
      </c>
      <c r="AI3219" s="4">
        <v>45460</v>
      </c>
      <c r="AJ3219" s="3" t="s">
        <v>3370</v>
      </c>
      <c r="AK3219" s="3" t="s">
        <v>248</v>
      </c>
    </row>
    <row r="3220" spans="1:37" hidden="1" x14ac:dyDescent="0.25">
      <c r="A3220" t="str">
        <f t="shared" si="50"/>
        <v>2024_Qld_Gatton_Chickpea_DetailedTOS2VarietyHatTrickWaterTrtIrrigated</v>
      </c>
      <c r="B3220" s="2">
        <v>2024037</v>
      </c>
      <c r="C3220" s="3" t="s">
        <v>3348</v>
      </c>
      <c r="D3220" s="3" t="s">
        <v>248</v>
      </c>
      <c r="F3220" s="3" t="s">
        <v>4178</v>
      </c>
      <c r="G3220" s="3" t="s">
        <v>39</v>
      </c>
      <c r="H3220" s="3" t="s">
        <v>250</v>
      </c>
      <c r="I3220" s="2">
        <v>21</v>
      </c>
      <c r="J3220" s="2">
        <v>9</v>
      </c>
      <c r="K3220" s="2">
        <v>1</v>
      </c>
      <c r="O3220" s="2">
        <v>3</v>
      </c>
      <c r="U3220" s="2">
        <v>2</v>
      </c>
      <c r="V3220" s="2">
        <v>12</v>
      </c>
      <c r="W3220" s="2">
        <v>1</v>
      </c>
      <c r="X3220" s="2">
        <v>6</v>
      </c>
      <c r="AA3220" s="3" t="s">
        <v>57</v>
      </c>
      <c r="AB3220" s="2">
        <v>3</v>
      </c>
      <c r="AF3220" s="2">
        <v>30</v>
      </c>
      <c r="AG3220" s="2">
        <v>2</v>
      </c>
      <c r="AH3220" s="3" t="s">
        <v>3349</v>
      </c>
      <c r="AI3220" s="4">
        <v>45460</v>
      </c>
      <c r="AJ3220" s="3" t="s">
        <v>3371</v>
      </c>
      <c r="AK3220" s="3" t="s">
        <v>248</v>
      </c>
    </row>
    <row r="3221" spans="1:37" hidden="1" x14ac:dyDescent="0.25">
      <c r="A3221" t="str">
        <f t="shared" si="50"/>
        <v>2024_Qld_Gatton_Chickpea_DetailedTOS2VarietyDrummondWaterTrtIrrigated</v>
      </c>
      <c r="B3221" s="2">
        <v>2024037</v>
      </c>
      <c r="C3221" s="3" t="s">
        <v>3348</v>
      </c>
      <c r="D3221" s="3" t="s">
        <v>248</v>
      </c>
      <c r="F3221" s="3" t="s">
        <v>4182</v>
      </c>
      <c r="G3221" s="3" t="s">
        <v>39</v>
      </c>
      <c r="H3221" s="3" t="s">
        <v>250</v>
      </c>
      <c r="I3221" s="2">
        <v>22</v>
      </c>
      <c r="J3221" s="2">
        <v>10</v>
      </c>
      <c r="K3221" s="2">
        <v>1</v>
      </c>
      <c r="O3221" s="2">
        <v>3</v>
      </c>
      <c r="U3221" s="2">
        <v>3</v>
      </c>
      <c r="V3221" s="2">
        <v>12</v>
      </c>
      <c r="W3221" s="2">
        <v>2</v>
      </c>
      <c r="X3221" s="2">
        <v>6</v>
      </c>
      <c r="AA3221" s="3" t="s">
        <v>57</v>
      </c>
      <c r="AB3221" s="2">
        <v>2</v>
      </c>
      <c r="AF3221" s="2">
        <v>30</v>
      </c>
      <c r="AG3221" s="2">
        <v>2</v>
      </c>
      <c r="AH3221" s="3" t="s">
        <v>3349</v>
      </c>
      <c r="AI3221" s="4">
        <v>45460</v>
      </c>
      <c r="AJ3221" s="3" t="s">
        <v>3372</v>
      </c>
      <c r="AK3221" s="3" t="s">
        <v>248</v>
      </c>
    </row>
    <row r="3222" spans="1:37" hidden="1" x14ac:dyDescent="0.25">
      <c r="A3222" t="str">
        <f t="shared" si="50"/>
        <v>2024_Qld_Gatton_Chickpea_DetailedTOS2VarietyStrikerWaterTrtIrrigated</v>
      </c>
      <c r="B3222" s="2">
        <v>2024037</v>
      </c>
      <c r="C3222" s="3" t="s">
        <v>3348</v>
      </c>
      <c r="D3222" s="3" t="s">
        <v>248</v>
      </c>
      <c r="F3222" s="3" t="s">
        <v>4179</v>
      </c>
      <c r="G3222" s="3" t="s">
        <v>43</v>
      </c>
      <c r="H3222" s="3" t="s">
        <v>250</v>
      </c>
      <c r="I3222" s="2">
        <v>23</v>
      </c>
      <c r="J3222" s="2">
        <v>11</v>
      </c>
      <c r="K3222" s="2">
        <v>1</v>
      </c>
      <c r="O3222" s="2">
        <v>3</v>
      </c>
      <c r="U3222" s="2">
        <v>5</v>
      </c>
      <c r="V3222" s="2">
        <v>12</v>
      </c>
      <c r="W3222" s="2">
        <v>3</v>
      </c>
      <c r="X3222" s="2">
        <v>6</v>
      </c>
      <c r="AA3222" s="3" t="s">
        <v>57</v>
      </c>
      <c r="AB3222" s="2">
        <v>4</v>
      </c>
      <c r="AF3222" s="2">
        <v>30</v>
      </c>
      <c r="AG3222" s="2">
        <v>2</v>
      </c>
      <c r="AH3222" s="3" t="s">
        <v>3349</v>
      </c>
      <c r="AI3222" s="4">
        <v>45460</v>
      </c>
      <c r="AJ3222" s="3" t="s">
        <v>3373</v>
      </c>
      <c r="AK3222" s="3" t="s">
        <v>248</v>
      </c>
    </row>
    <row r="3223" spans="1:37" hidden="1" x14ac:dyDescent="0.25">
      <c r="A3223" t="str">
        <f t="shared" si="50"/>
        <v>2024_Qld_Gatton_Chickpea_DetailedTOS2VarietyCBA_CaptainWaterTrtIrrigated</v>
      </c>
      <c r="B3223" s="2">
        <v>2024037</v>
      </c>
      <c r="C3223" s="3" t="s">
        <v>3348</v>
      </c>
      <c r="D3223" s="3" t="s">
        <v>248</v>
      </c>
      <c r="F3223" s="3" t="s">
        <v>249</v>
      </c>
      <c r="G3223" s="3" t="s">
        <v>43</v>
      </c>
      <c r="H3223" s="3" t="s">
        <v>250</v>
      </c>
      <c r="I3223" s="2">
        <v>24</v>
      </c>
      <c r="J3223" s="2">
        <v>12</v>
      </c>
      <c r="K3223" s="2">
        <v>1</v>
      </c>
      <c r="O3223" s="2">
        <v>3</v>
      </c>
      <c r="U3223" s="2">
        <v>6</v>
      </c>
      <c r="V3223" s="2">
        <v>12</v>
      </c>
      <c r="W3223" s="2">
        <v>4</v>
      </c>
      <c r="X3223" s="2">
        <v>6</v>
      </c>
      <c r="AA3223" s="3" t="s">
        <v>57</v>
      </c>
      <c r="AB3223" s="2">
        <v>1</v>
      </c>
      <c r="AF3223" s="2">
        <v>30</v>
      </c>
      <c r="AG3223" s="2">
        <v>2</v>
      </c>
      <c r="AH3223" s="3" t="s">
        <v>3349</v>
      </c>
      <c r="AI3223" s="4">
        <v>45460</v>
      </c>
      <c r="AJ3223" s="3" t="s">
        <v>3374</v>
      </c>
      <c r="AK3223" s="3" t="s">
        <v>248</v>
      </c>
    </row>
    <row r="3224" spans="1:37" hidden="1" x14ac:dyDescent="0.25">
      <c r="A3224" t="str">
        <f t="shared" si="50"/>
        <v>2024_Qld_Gatton_Chickpea_DetailedTOS1VarietyCBA_CaptainWaterTrtIrrigated</v>
      </c>
      <c r="B3224" s="2">
        <v>2024037</v>
      </c>
      <c r="C3224" s="3" t="s">
        <v>3348</v>
      </c>
      <c r="D3224" s="3" t="s">
        <v>248</v>
      </c>
      <c r="F3224" s="3" t="s">
        <v>249</v>
      </c>
      <c r="G3224" s="3" t="s">
        <v>43</v>
      </c>
      <c r="H3224" s="3" t="s">
        <v>250</v>
      </c>
      <c r="I3224" s="2">
        <v>25</v>
      </c>
      <c r="J3224" s="2">
        <v>13</v>
      </c>
      <c r="K3224" s="2">
        <v>1</v>
      </c>
      <c r="O3224" s="2">
        <v>4</v>
      </c>
      <c r="U3224" s="2">
        <v>2</v>
      </c>
      <c r="V3224" s="2">
        <v>15</v>
      </c>
      <c r="W3224" s="2">
        <v>1</v>
      </c>
      <c r="X3224" s="2">
        <v>7</v>
      </c>
      <c r="AA3224" s="3" t="s">
        <v>57</v>
      </c>
      <c r="AB3224" s="2">
        <v>1</v>
      </c>
      <c r="AF3224" s="2">
        <v>30</v>
      </c>
      <c r="AG3224" s="2">
        <v>1</v>
      </c>
      <c r="AH3224" s="3" t="s">
        <v>3358</v>
      </c>
      <c r="AI3224" s="4">
        <v>45427</v>
      </c>
      <c r="AJ3224" s="3" t="s">
        <v>3375</v>
      </c>
      <c r="AK3224" s="3" t="s">
        <v>248</v>
      </c>
    </row>
    <row r="3225" spans="1:37" hidden="1" x14ac:dyDescent="0.25">
      <c r="A3225" t="str">
        <f t="shared" si="50"/>
        <v>2024_Qld_Gatton_Chickpea_DetailedTOS1VarietyStrikerWaterTrtIrrigated</v>
      </c>
      <c r="B3225" s="2">
        <v>2024037</v>
      </c>
      <c r="C3225" s="3" t="s">
        <v>3348</v>
      </c>
      <c r="D3225" s="3" t="s">
        <v>248</v>
      </c>
      <c r="F3225" s="3" t="s">
        <v>4179</v>
      </c>
      <c r="G3225" s="3" t="s">
        <v>43</v>
      </c>
      <c r="H3225" s="3" t="s">
        <v>250</v>
      </c>
      <c r="I3225" s="2">
        <v>26</v>
      </c>
      <c r="J3225" s="2">
        <v>14</v>
      </c>
      <c r="K3225" s="2">
        <v>1</v>
      </c>
      <c r="O3225" s="2">
        <v>4</v>
      </c>
      <c r="U3225" s="2">
        <v>3</v>
      </c>
      <c r="V3225" s="2">
        <v>15</v>
      </c>
      <c r="W3225" s="2">
        <v>2</v>
      </c>
      <c r="X3225" s="2">
        <v>7</v>
      </c>
      <c r="AA3225" s="3" t="s">
        <v>57</v>
      </c>
      <c r="AB3225" s="2">
        <v>4</v>
      </c>
      <c r="AF3225" s="2">
        <v>30</v>
      </c>
      <c r="AG3225" s="2">
        <v>1</v>
      </c>
      <c r="AH3225" s="3" t="s">
        <v>3358</v>
      </c>
      <c r="AI3225" s="4">
        <v>45427</v>
      </c>
      <c r="AJ3225" s="3" t="s">
        <v>3376</v>
      </c>
      <c r="AK3225" s="3" t="s">
        <v>248</v>
      </c>
    </row>
    <row r="3226" spans="1:37" hidden="1" x14ac:dyDescent="0.25">
      <c r="A3226" t="str">
        <f t="shared" si="50"/>
        <v>2024_Qld_Gatton_Chickpea_DetailedTOS1VarietyDrummondWaterTrtIrrigated</v>
      </c>
      <c r="B3226" s="2">
        <v>2024037</v>
      </c>
      <c r="C3226" s="3" t="s">
        <v>3348</v>
      </c>
      <c r="D3226" s="3" t="s">
        <v>248</v>
      </c>
      <c r="F3226" s="3" t="s">
        <v>4182</v>
      </c>
      <c r="G3226" s="3" t="s">
        <v>39</v>
      </c>
      <c r="H3226" s="3" t="s">
        <v>250</v>
      </c>
      <c r="I3226" s="2">
        <v>27</v>
      </c>
      <c r="J3226" s="2">
        <v>15</v>
      </c>
      <c r="K3226" s="2">
        <v>1</v>
      </c>
      <c r="O3226" s="2">
        <v>4</v>
      </c>
      <c r="U3226" s="2">
        <v>5</v>
      </c>
      <c r="V3226" s="2">
        <v>15</v>
      </c>
      <c r="W3226" s="2">
        <v>3</v>
      </c>
      <c r="X3226" s="2">
        <v>7</v>
      </c>
      <c r="AA3226" s="3" t="s">
        <v>57</v>
      </c>
      <c r="AB3226" s="2">
        <v>2</v>
      </c>
      <c r="AF3226" s="2">
        <v>30</v>
      </c>
      <c r="AG3226" s="2">
        <v>1</v>
      </c>
      <c r="AH3226" s="3" t="s">
        <v>3358</v>
      </c>
      <c r="AI3226" s="4">
        <v>45427</v>
      </c>
      <c r="AJ3226" s="3" t="s">
        <v>3377</v>
      </c>
      <c r="AK3226" s="3" t="s">
        <v>248</v>
      </c>
    </row>
    <row r="3227" spans="1:37" hidden="1" x14ac:dyDescent="0.25">
      <c r="A3227" t="str">
        <f t="shared" si="50"/>
        <v>2024_Qld_Gatton_Chickpea_DetailedTOS1VarietyHatTrickWaterTrtIrrigated</v>
      </c>
      <c r="B3227" s="2">
        <v>2024037</v>
      </c>
      <c r="C3227" s="3" t="s">
        <v>3348</v>
      </c>
      <c r="D3227" s="3" t="s">
        <v>248</v>
      </c>
      <c r="F3227" s="3" t="s">
        <v>4178</v>
      </c>
      <c r="G3227" s="3" t="s">
        <v>39</v>
      </c>
      <c r="H3227" s="3" t="s">
        <v>250</v>
      </c>
      <c r="I3227" s="2">
        <v>28</v>
      </c>
      <c r="J3227" s="2">
        <v>16</v>
      </c>
      <c r="K3227" s="2">
        <v>1</v>
      </c>
      <c r="O3227" s="2">
        <v>4</v>
      </c>
      <c r="U3227" s="2">
        <v>6</v>
      </c>
      <c r="V3227" s="2">
        <v>15</v>
      </c>
      <c r="W3227" s="2">
        <v>4</v>
      </c>
      <c r="X3227" s="2">
        <v>7</v>
      </c>
      <c r="AA3227" s="3" t="s">
        <v>57</v>
      </c>
      <c r="AB3227" s="2">
        <v>3</v>
      </c>
      <c r="AF3227" s="2">
        <v>30</v>
      </c>
      <c r="AG3227" s="2">
        <v>1</v>
      </c>
      <c r="AH3227" s="3" t="s">
        <v>3358</v>
      </c>
      <c r="AI3227" s="4">
        <v>45427</v>
      </c>
      <c r="AJ3227" s="3" t="s">
        <v>3378</v>
      </c>
      <c r="AK3227" s="3" t="s">
        <v>248</v>
      </c>
    </row>
    <row r="3228" spans="1:37" hidden="1" x14ac:dyDescent="0.25">
      <c r="A3228" t="str">
        <f t="shared" si="50"/>
        <v>2024_Qld_Gatton_Chickpea_DetailedTOS1VarietyCBA_CaptainWaterTrtIrrigated</v>
      </c>
      <c r="B3228" s="2">
        <v>2024037</v>
      </c>
      <c r="C3228" s="3" t="s">
        <v>3348</v>
      </c>
      <c r="D3228" s="3" t="s">
        <v>248</v>
      </c>
      <c r="F3228" s="3" t="s">
        <v>249</v>
      </c>
      <c r="G3228" s="3" t="s">
        <v>43</v>
      </c>
      <c r="H3228" s="3" t="s">
        <v>253</v>
      </c>
      <c r="I3228" s="2">
        <v>29</v>
      </c>
      <c r="J3228" s="2">
        <v>13</v>
      </c>
      <c r="K3228" s="2">
        <v>1</v>
      </c>
      <c r="O3228" s="2">
        <v>4</v>
      </c>
      <c r="U3228" s="2">
        <v>2</v>
      </c>
      <c r="V3228" s="2">
        <v>16</v>
      </c>
      <c r="W3228" s="2">
        <v>1</v>
      </c>
      <c r="X3228" s="2">
        <v>8</v>
      </c>
      <c r="Z3228" s="2">
        <v>16</v>
      </c>
      <c r="AA3228" s="3" t="s">
        <v>57</v>
      </c>
      <c r="AB3228" s="2">
        <v>1</v>
      </c>
      <c r="AF3228" s="2">
        <v>30</v>
      </c>
      <c r="AG3228" s="2">
        <v>1</v>
      </c>
      <c r="AH3228" s="3" t="s">
        <v>3358</v>
      </c>
      <c r="AI3228" s="4">
        <v>45427</v>
      </c>
      <c r="AJ3228" s="3" t="s">
        <v>3379</v>
      </c>
      <c r="AK3228" s="3" t="s">
        <v>248</v>
      </c>
    </row>
    <row r="3229" spans="1:37" hidden="1" x14ac:dyDescent="0.25">
      <c r="A3229" t="str">
        <f t="shared" si="50"/>
        <v>2024_Qld_Gatton_Chickpea_DetailedTOS1VarietyStrikerWaterTrtIrrigated</v>
      </c>
      <c r="B3229" s="2">
        <v>2024037</v>
      </c>
      <c r="C3229" s="3" t="s">
        <v>3348</v>
      </c>
      <c r="D3229" s="3" t="s">
        <v>248</v>
      </c>
      <c r="F3229" s="3" t="s">
        <v>4179</v>
      </c>
      <c r="G3229" s="3" t="s">
        <v>43</v>
      </c>
      <c r="H3229" s="3" t="s">
        <v>253</v>
      </c>
      <c r="I3229" s="2">
        <v>30</v>
      </c>
      <c r="J3229" s="2">
        <v>14</v>
      </c>
      <c r="K3229" s="2">
        <v>1</v>
      </c>
      <c r="O3229" s="2">
        <v>4</v>
      </c>
      <c r="U3229" s="2">
        <v>3</v>
      </c>
      <c r="V3229" s="2">
        <v>16</v>
      </c>
      <c r="W3229" s="2">
        <v>2</v>
      </c>
      <c r="X3229" s="2">
        <v>8</v>
      </c>
      <c r="Z3229" s="2">
        <v>15</v>
      </c>
      <c r="AA3229" s="3" t="s">
        <v>57</v>
      </c>
      <c r="AB3229" s="2">
        <v>4</v>
      </c>
      <c r="AF3229" s="2">
        <v>30</v>
      </c>
      <c r="AG3229" s="2">
        <v>1</v>
      </c>
      <c r="AH3229" s="3" t="s">
        <v>3358</v>
      </c>
      <c r="AI3229" s="4">
        <v>45427</v>
      </c>
      <c r="AJ3229" s="3" t="s">
        <v>3380</v>
      </c>
      <c r="AK3229" s="3" t="s">
        <v>248</v>
      </c>
    </row>
    <row r="3230" spans="1:37" hidden="1" x14ac:dyDescent="0.25">
      <c r="A3230" t="str">
        <f t="shared" si="50"/>
        <v>2024_Qld_Gatton_Chickpea_DetailedTOS1VarietyDrummondWaterTrtIrrigated</v>
      </c>
      <c r="B3230" s="2">
        <v>2024037</v>
      </c>
      <c r="C3230" s="3" t="s">
        <v>3348</v>
      </c>
      <c r="D3230" s="3" t="s">
        <v>248</v>
      </c>
      <c r="F3230" s="3" t="s">
        <v>4182</v>
      </c>
      <c r="G3230" s="3" t="s">
        <v>39</v>
      </c>
      <c r="H3230" s="3" t="s">
        <v>253</v>
      </c>
      <c r="I3230" s="2">
        <v>31</v>
      </c>
      <c r="J3230" s="2">
        <v>15</v>
      </c>
      <c r="K3230" s="2">
        <v>1</v>
      </c>
      <c r="O3230" s="2">
        <v>4</v>
      </c>
      <c r="U3230" s="2">
        <v>5</v>
      </c>
      <c r="V3230" s="2">
        <v>16</v>
      </c>
      <c r="W3230" s="2">
        <v>3</v>
      </c>
      <c r="X3230" s="2">
        <v>8</v>
      </c>
      <c r="Z3230" s="2">
        <v>14</v>
      </c>
      <c r="AA3230" s="3" t="s">
        <v>57</v>
      </c>
      <c r="AB3230" s="2">
        <v>2</v>
      </c>
      <c r="AF3230" s="2">
        <v>30</v>
      </c>
      <c r="AG3230" s="2">
        <v>1</v>
      </c>
      <c r="AH3230" s="3" t="s">
        <v>3358</v>
      </c>
      <c r="AI3230" s="4">
        <v>45427</v>
      </c>
      <c r="AJ3230" s="3" t="s">
        <v>3381</v>
      </c>
      <c r="AK3230" s="3" t="s">
        <v>248</v>
      </c>
    </row>
    <row r="3231" spans="1:37" hidden="1" x14ac:dyDescent="0.25">
      <c r="A3231" t="str">
        <f t="shared" si="50"/>
        <v>2024_Qld_Gatton_Chickpea_DetailedTOS1VarietyHatTrickWaterTrtIrrigated</v>
      </c>
      <c r="B3231" s="2">
        <v>2024037</v>
      </c>
      <c r="C3231" s="3" t="s">
        <v>3348</v>
      </c>
      <c r="D3231" s="3" t="s">
        <v>248</v>
      </c>
      <c r="F3231" s="3" t="s">
        <v>4178</v>
      </c>
      <c r="G3231" s="3" t="s">
        <v>39</v>
      </c>
      <c r="H3231" s="3" t="s">
        <v>253</v>
      </c>
      <c r="I3231" s="2">
        <v>32</v>
      </c>
      <c r="J3231" s="2">
        <v>16</v>
      </c>
      <c r="K3231" s="2">
        <v>1</v>
      </c>
      <c r="O3231" s="2">
        <v>4</v>
      </c>
      <c r="U3231" s="2">
        <v>6</v>
      </c>
      <c r="V3231" s="2">
        <v>16</v>
      </c>
      <c r="W3231" s="2">
        <v>4</v>
      </c>
      <c r="X3231" s="2">
        <v>8</v>
      </c>
      <c r="Z3231" s="2">
        <v>13</v>
      </c>
      <c r="AA3231" s="3" t="s">
        <v>57</v>
      </c>
      <c r="AB3231" s="2">
        <v>3</v>
      </c>
      <c r="AF3231" s="2">
        <v>30</v>
      </c>
      <c r="AG3231" s="2">
        <v>1</v>
      </c>
      <c r="AH3231" s="3" t="s">
        <v>3358</v>
      </c>
      <c r="AI3231" s="4">
        <v>45427</v>
      </c>
      <c r="AJ3231" s="3" t="s">
        <v>3382</v>
      </c>
      <c r="AK3231" s="3" t="s">
        <v>248</v>
      </c>
    </row>
    <row r="3232" spans="1:37" hidden="1" x14ac:dyDescent="0.25">
      <c r="A3232" t="str">
        <f t="shared" si="50"/>
        <v>2024_Qld_Gatton_Chickpea_DetailedTOS1VarietyHatTrickWaterTrtRainFed</v>
      </c>
      <c r="B3232" s="2">
        <v>2024037</v>
      </c>
      <c r="C3232" s="3" t="s">
        <v>3348</v>
      </c>
      <c r="D3232" s="3" t="s">
        <v>248</v>
      </c>
      <c r="F3232" s="3" t="s">
        <v>4178</v>
      </c>
      <c r="G3232" s="3" t="s">
        <v>39</v>
      </c>
      <c r="H3232" s="3" t="s">
        <v>253</v>
      </c>
      <c r="I3232" s="2">
        <v>33</v>
      </c>
      <c r="J3232" s="2">
        <v>17</v>
      </c>
      <c r="K3232" s="2">
        <v>2</v>
      </c>
      <c r="O3232" s="2">
        <v>5</v>
      </c>
      <c r="U3232" s="2">
        <v>2</v>
      </c>
      <c r="V3232" s="2">
        <v>19</v>
      </c>
      <c r="W3232" s="2">
        <v>1</v>
      </c>
      <c r="X3232" s="2">
        <v>9</v>
      </c>
      <c r="Z3232" s="2">
        <v>17</v>
      </c>
      <c r="AA3232" s="3" t="s">
        <v>40</v>
      </c>
      <c r="AB3232" s="2">
        <v>3</v>
      </c>
      <c r="AF3232" s="2">
        <v>30</v>
      </c>
      <c r="AG3232" s="2">
        <v>1</v>
      </c>
      <c r="AH3232" s="3" t="s">
        <v>3358</v>
      </c>
      <c r="AI3232" s="4">
        <v>45427</v>
      </c>
      <c r="AJ3232" s="3" t="s">
        <v>3383</v>
      </c>
      <c r="AK3232" s="3" t="s">
        <v>248</v>
      </c>
    </row>
    <row r="3233" spans="1:37" hidden="1" x14ac:dyDescent="0.25">
      <c r="A3233" t="str">
        <f t="shared" si="50"/>
        <v>2024_Qld_Gatton_Chickpea_DetailedTOS1VarietyStrikerWaterTrtRainFed</v>
      </c>
      <c r="B3233" s="2">
        <v>2024037</v>
      </c>
      <c r="C3233" s="3" t="s">
        <v>3348</v>
      </c>
      <c r="D3233" s="3" t="s">
        <v>248</v>
      </c>
      <c r="F3233" s="3" t="s">
        <v>4179</v>
      </c>
      <c r="G3233" s="3" t="s">
        <v>43</v>
      </c>
      <c r="H3233" s="3" t="s">
        <v>253</v>
      </c>
      <c r="I3233" s="2">
        <v>34</v>
      </c>
      <c r="J3233" s="2">
        <v>18</v>
      </c>
      <c r="K3233" s="2">
        <v>2</v>
      </c>
      <c r="O3233" s="2">
        <v>5</v>
      </c>
      <c r="U3233" s="2">
        <v>3</v>
      </c>
      <c r="V3233" s="2">
        <v>19</v>
      </c>
      <c r="W3233" s="2">
        <v>2</v>
      </c>
      <c r="X3233" s="2">
        <v>9</v>
      </c>
      <c r="Z3233" s="2">
        <v>18</v>
      </c>
      <c r="AA3233" s="3" t="s">
        <v>40</v>
      </c>
      <c r="AB3233" s="2">
        <v>4</v>
      </c>
      <c r="AF3233" s="2">
        <v>30</v>
      </c>
      <c r="AG3233" s="2">
        <v>1</v>
      </c>
      <c r="AH3233" s="3" t="s">
        <v>3358</v>
      </c>
      <c r="AI3233" s="4">
        <v>45427</v>
      </c>
      <c r="AJ3233" s="3" t="s">
        <v>3384</v>
      </c>
      <c r="AK3233" s="3" t="s">
        <v>248</v>
      </c>
    </row>
    <row r="3234" spans="1:37" hidden="1" x14ac:dyDescent="0.25">
      <c r="A3234" t="str">
        <f t="shared" si="50"/>
        <v>2024_Qld_Gatton_Chickpea_DetailedTOS1VarietyDrummondWaterTrtRainFed</v>
      </c>
      <c r="B3234" s="2">
        <v>2024037</v>
      </c>
      <c r="C3234" s="3" t="s">
        <v>3348</v>
      </c>
      <c r="D3234" s="3" t="s">
        <v>248</v>
      </c>
      <c r="F3234" s="3" t="s">
        <v>4182</v>
      </c>
      <c r="G3234" s="3" t="s">
        <v>39</v>
      </c>
      <c r="H3234" s="3" t="s">
        <v>253</v>
      </c>
      <c r="I3234" s="2">
        <v>35</v>
      </c>
      <c r="J3234" s="2">
        <v>19</v>
      </c>
      <c r="K3234" s="2">
        <v>2</v>
      </c>
      <c r="O3234" s="2">
        <v>5</v>
      </c>
      <c r="U3234" s="2">
        <v>5</v>
      </c>
      <c r="V3234" s="2">
        <v>19</v>
      </c>
      <c r="W3234" s="2">
        <v>3</v>
      </c>
      <c r="X3234" s="2">
        <v>9</v>
      </c>
      <c r="Z3234" s="2">
        <v>19</v>
      </c>
      <c r="AA3234" s="3" t="s">
        <v>40</v>
      </c>
      <c r="AB3234" s="2">
        <v>2</v>
      </c>
      <c r="AF3234" s="2">
        <v>30</v>
      </c>
      <c r="AG3234" s="2">
        <v>1</v>
      </c>
      <c r="AH3234" s="3" t="s">
        <v>3358</v>
      </c>
      <c r="AI3234" s="4">
        <v>45427</v>
      </c>
      <c r="AJ3234" s="3" t="s">
        <v>3385</v>
      </c>
      <c r="AK3234" s="3" t="s">
        <v>248</v>
      </c>
    </row>
    <row r="3235" spans="1:37" hidden="1" x14ac:dyDescent="0.25">
      <c r="A3235" t="str">
        <f t="shared" si="50"/>
        <v>2024_Qld_Gatton_Chickpea_DetailedTOS1VarietyCBA_CaptainWaterTrtRainFed</v>
      </c>
      <c r="B3235" s="2">
        <v>2024037</v>
      </c>
      <c r="C3235" s="3" t="s">
        <v>3348</v>
      </c>
      <c r="D3235" s="3" t="s">
        <v>248</v>
      </c>
      <c r="F3235" s="3" t="s">
        <v>249</v>
      </c>
      <c r="G3235" s="3" t="s">
        <v>43</v>
      </c>
      <c r="H3235" s="3" t="s">
        <v>253</v>
      </c>
      <c r="I3235" s="2">
        <v>36</v>
      </c>
      <c r="J3235" s="2">
        <v>20</v>
      </c>
      <c r="K3235" s="2">
        <v>2</v>
      </c>
      <c r="O3235" s="2">
        <v>5</v>
      </c>
      <c r="U3235" s="2">
        <v>6</v>
      </c>
      <c r="V3235" s="2">
        <v>19</v>
      </c>
      <c r="W3235" s="2">
        <v>4</v>
      </c>
      <c r="X3235" s="2">
        <v>9</v>
      </c>
      <c r="Z3235" s="2">
        <v>20</v>
      </c>
      <c r="AA3235" s="3" t="s">
        <v>40</v>
      </c>
      <c r="AB3235" s="2">
        <v>1</v>
      </c>
      <c r="AF3235" s="2">
        <v>30</v>
      </c>
      <c r="AG3235" s="2">
        <v>1</v>
      </c>
      <c r="AH3235" s="3" t="s">
        <v>3358</v>
      </c>
      <c r="AI3235" s="4">
        <v>45427</v>
      </c>
      <c r="AJ3235" s="3" t="s">
        <v>3386</v>
      </c>
      <c r="AK3235" s="3" t="s">
        <v>248</v>
      </c>
    </row>
    <row r="3236" spans="1:37" hidden="1" x14ac:dyDescent="0.25">
      <c r="A3236" t="str">
        <f t="shared" si="50"/>
        <v>2024_Qld_Gatton_Chickpea_DetailedTOS1VarietyHatTrickWaterTrtRainFed</v>
      </c>
      <c r="B3236" s="2">
        <v>2024037</v>
      </c>
      <c r="C3236" s="3" t="s">
        <v>3348</v>
      </c>
      <c r="D3236" s="3" t="s">
        <v>248</v>
      </c>
      <c r="F3236" s="3" t="s">
        <v>4178</v>
      </c>
      <c r="G3236" s="3" t="s">
        <v>39</v>
      </c>
      <c r="H3236" s="3" t="s">
        <v>250</v>
      </c>
      <c r="I3236" s="2">
        <v>37</v>
      </c>
      <c r="J3236" s="2">
        <v>17</v>
      </c>
      <c r="K3236" s="2">
        <v>2</v>
      </c>
      <c r="O3236" s="2">
        <v>5</v>
      </c>
      <c r="U3236" s="2">
        <v>2</v>
      </c>
      <c r="V3236" s="2">
        <v>20</v>
      </c>
      <c r="W3236" s="2">
        <v>1</v>
      </c>
      <c r="X3236" s="2">
        <v>10</v>
      </c>
      <c r="AA3236" s="3" t="s">
        <v>40</v>
      </c>
      <c r="AB3236" s="2">
        <v>3</v>
      </c>
      <c r="AF3236" s="2">
        <v>30</v>
      </c>
      <c r="AG3236" s="2">
        <v>1</v>
      </c>
      <c r="AH3236" s="3" t="s">
        <v>3358</v>
      </c>
      <c r="AI3236" s="4">
        <v>45427</v>
      </c>
      <c r="AJ3236" s="3" t="s">
        <v>3387</v>
      </c>
      <c r="AK3236" s="3" t="s">
        <v>248</v>
      </c>
    </row>
    <row r="3237" spans="1:37" hidden="1" x14ac:dyDescent="0.25">
      <c r="A3237" t="str">
        <f t="shared" si="50"/>
        <v>2024_Qld_Gatton_Chickpea_DetailedTOS1VarietyStrikerWaterTrtRainFed</v>
      </c>
      <c r="B3237" s="2">
        <v>2024037</v>
      </c>
      <c r="C3237" s="3" t="s">
        <v>3348</v>
      </c>
      <c r="D3237" s="3" t="s">
        <v>248</v>
      </c>
      <c r="F3237" s="3" t="s">
        <v>4179</v>
      </c>
      <c r="G3237" s="3" t="s">
        <v>43</v>
      </c>
      <c r="H3237" s="3" t="s">
        <v>250</v>
      </c>
      <c r="I3237" s="2">
        <v>38</v>
      </c>
      <c r="J3237" s="2">
        <v>18</v>
      </c>
      <c r="K3237" s="2">
        <v>2</v>
      </c>
      <c r="O3237" s="2">
        <v>5</v>
      </c>
      <c r="U3237" s="2">
        <v>3</v>
      </c>
      <c r="V3237" s="2">
        <v>20</v>
      </c>
      <c r="W3237" s="2">
        <v>2</v>
      </c>
      <c r="X3237" s="2">
        <v>10</v>
      </c>
      <c r="AA3237" s="3" t="s">
        <v>40</v>
      </c>
      <c r="AB3237" s="2">
        <v>4</v>
      </c>
      <c r="AF3237" s="2">
        <v>30</v>
      </c>
      <c r="AG3237" s="2">
        <v>1</v>
      </c>
      <c r="AH3237" s="3" t="s">
        <v>3358</v>
      </c>
      <c r="AI3237" s="4">
        <v>45427</v>
      </c>
      <c r="AJ3237" s="3" t="s">
        <v>3388</v>
      </c>
      <c r="AK3237" s="3" t="s">
        <v>248</v>
      </c>
    </row>
    <row r="3238" spans="1:37" hidden="1" x14ac:dyDescent="0.25">
      <c r="A3238" t="str">
        <f t="shared" si="50"/>
        <v>2024_Qld_Gatton_Chickpea_DetailedTOS1VarietyDrummondWaterTrtRainFed</v>
      </c>
      <c r="B3238" s="2">
        <v>2024037</v>
      </c>
      <c r="C3238" s="3" t="s">
        <v>3348</v>
      </c>
      <c r="D3238" s="3" t="s">
        <v>248</v>
      </c>
      <c r="F3238" s="3" t="s">
        <v>4182</v>
      </c>
      <c r="G3238" s="3" t="s">
        <v>39</v>
      </c>
      <c r="H3238" s="3" t="s">
        <v>250</v>
      </c>
      <c r="I3238" s="2">
        <v>39</v>
      </c>
      <c r="J3238" s="2">
        <v>19</v>
      </c>
      <c r="K3238" s="2">
        <v>2</v>
      </c>
      <c r="O3238" s="2">
        <v>5</v>
      </c>
      <c r="U3238" s="2">
        <v>5</v>
      </c>
      <c r="V3238" s="2">
        <v>20</v>
      </c>
      <c r="W3238" s="2">
        <v>3</v>
      </c>
      <c r="X3238" s="2">
        <v>10</v>
      </c>
      <c r="AA3238" s="3" t="s">
        <v>40</v>
      </c>
      <c r="AB3238" s="2">
        <v>2</v>
      </c>
      <c r="AF3238" s="2">
        <v>30</v>
      </c>
      <c r="AG3238" s="2">
        <v>1</v>
      </c>
      <c r="AH3238" s="3" t="s">
        <v>3358</v>
      </c>
      <c r="AI3238" s="4">
        <v>45427</v>
      </c>
      <c r="AJ3238" s="3" t="s">
        <v>3389</v>
      </c>
      <c r="AK3238" s="3" t="s">
        <v>248</v>
      </c>
    </row>
    <row r="3239" spans="1:37" hidden="1" x14ac:dyDescent="0.25">
      <c r="A3239" t="str">
        <f t="shared" si="50"/>
        <v>2024_Qld_Gatton_Chickpea_DetailedTOS1VarietyCBA_CaptainWaterTrtRainFed</v>
      </c>
      <c r="B3239" s="2">
        <v>2024037</v>
      </c>
      <c r="C3239" s="3" t="s">
        <v>3348</v>
      </c>
      <c r="D3239" s="3" t="s">
        <v>248</v>
      </c>
      <c r="F3239" s="3" t="s">
        <v>249</v>
      </c>
      <c r="G3239" s="3" t="s">
        <v>43</v>
      </c>
      <c r="H3239" s="3" t="s">
        <v>250</v>
      </c>
      <c r="I3239" s="2">
        <v>40</v>
      </c>
      <c r="J3239" s="2">
        <v>20</v>
      </c>
      <c r="K3239" s="2">
        <v>2</v>
      </c>
      <c r="O3239" s="2">
        <v>5</v>
      </c>
      <c r="U3239" s="2">
        <v>6</v>
      </c>
      <c r="V3239" s="2">
        <v>20</v>
      </c>
      <c r="W3239" s="2">
        <v>4</v>
      </c>
      <c r="X3239" s="2">
        <v>10</v>
      </c>
      <c r="AA3239" s="3" t="s">
        <v>40</v>
      </c>
      <c r="AB3239" s="2">
        <v>1</v>
      </c>
      <c r="AF3239" s="2">
        <v>30</v>
      </c>
      <c r="AG3239" s="2">
        <v>1</v>
      </c>
      <c r="AH3239" s="3" t="s">
        <v>3358</v>
      </c>
      <c r="AI3239" s="4">
        <v>45427</v>
      </c>
      <c r="AJ3239" s="3" t="s">
        <v>3390</v>
      </c>
      <c r="AK3239" s="3" t="s">
        <v>248</v>
      </c>
    </row>
    <row r="3240" spans="1:37" hidden="1" x14ac:dyDescent="0.25">
      <c r="A3240" t="str">
        <f t="shared" si="50"/>
        <v>2024_Qld_Gatton_Chickpea_DetailedTOS1VarietyHatTrickWaterTrtIrrigated</v>
      </c>
      <c r="B3240" s="2">
        <v>2024037</v>
      </c>
      <c r="C3240" s="3" t="s">
        <v>3348</v>
      </c>
      <c r="D3240" s="3" t="s">
        <v>248</v>
      </c>
      <c r="F3240" s="3" t="s">
        <v>4178</v>
      </c>
      <c r="G3240" s="3" t="s">
        <v>39</v>
      </c>
      <c r="H3240" s="3" t="s">
        <v>253</v>
      </c>
      <c r="I3240" s="2">
        <v>41</v>
      </c>
      <c r="J3240" s="2">
        <v>21</v>
      </c>
      <c r="K3240" s="2">
        <v>2</v>
      </c>
      <c r="O3240" s="2">
        <v>6</v>
      </c>
      <c r="U3240" s="2">
        <v>2</v>
      </c>
      <c r="V3240" s="2">
        <v>23</v>
      </c>
      <c r="W3240" s="2">
        <v>1</v>
      </c>
      <c r="X3240" s="2">
        <v>11</v>
      </c>
      <c r="Z3240" s="2">
        <v>24</v>
      </c>
      <c r="AA3240" s="3" t="s">
        <v>57</v>
      </c>
      <c r="AB3240" s="2">
        <v>3</v>
      </c>
      <c r="AF3240" s="2">
        <v>30</v>
      </c>
      <c r="AG3240" s="2">
        <v>1</v>
      </c>
      <c r="AH3240" s="3" t="s">
        <v>3358</v>
      </c>
      <c r="AI3240" s="4">
        <v>45427</v>
      </c>
      <c r="AJ3240" s="3" t="s">
        <v>3391</v>
      </c>
      <c r="AK3240" s="3" t="s">
        <v>248</v>
      </c>
    </row>
    <row r="3241" spans="1:37" hidden="1" x14ac:dyDescent="0.25">
      <c r="A3241" t="str">
        <f t="shared" si="50"/>
        <v>2024_Qld_Gatton_Chickpea_DetailedTOS1VarietyDrummondWaterTrtIrrigated</v>
      </c>
      <c r="B3241" s="2">
        <v>2024037</v>
      </c>
      <c r="C3241" s="3" t="s">
        <v>3348</v>
      </c>
      <c r="D3241" s="3" t="s">
        <v>248</v>
      </c>
      <c r="F3241" s="3" t="s">
        <v>4182</v>
      </c>
      <c r="G3241" s="3" t="s">
        <v>39</v>
      </c>
      <c r="H3241" s="3" t="s">
        <v>253</v>
      </c>
      <c r="I3241" s="2">
        <v>42</v>
      </c>
      <c r="J3241" s="2">
        <v>22</v>
      </c>
      <c r="K3241" s="2">
        <v>2</v>
      </c>
      <c r="O3241" s="2">
        <v>6</v>
      </c>
      <c r="U3241" s="2">
        <v>3</v>
      </c>
      <c r="V3241" s="2">
        <v>23</v>
      </c>
      <c r="W3241" s="2">
        <v>2</v>
      </c>
      <c r="X3241" s="2">
        <v>11</v>
      </c>
      <c r="Z3241" s="2">
        <v>23</v>
      </c>
      <c r="AA3241" s="3" t="s">
        <v>57</v>
      </c>
      <c r="AB3241" s="2">
        <v>2</v>
      </c>
      <c r="AF3241" s="2">
        <v>30</v>
      </c>
      <c r="AG3241" s="2">
        <v>1</v>
      </c>
      <c r="AH3241" s="3" t="s">
        <v>3358</v>
      </c>
      <c r="AI3241" s="4">
        <v>45427</v>
      </c>
      <c r="AJ3241" s="3" t="s">
        <v>3392</v>
      </c>
      <c r="AK3241" s="3" t="s">
        <v>248</v>
      </c>
    </row>
    <row r="3242" spans="1:37" hidden="1" x14ac:dyDescent="0.25">
      <c r="A3242" t="str">
        <f t="shared" si="50"/>
        <v>2024_Qld_Gatton_Chickpea_DetailedTOS1VarietyCBA_CaptainWaterTrtIrrigated</v>
      </c>
      <c r="B3242" s="2">
        <v>2024037</v>
      </c>
      <c r="C3242" s="3" t="s">
        <v>3348</v>
      </c>
      <c r="D3242" s="3" t="s">
        <v>248</v>
      </c>
      <c r="F3242" s="3" t="s">
        <v>249</v>
      </c>
      <c r="G3242" s="3" t="s">
        <v>43</v>
      </c>
      <c r="H3242" s="3" t="s">
        <v>253</v>
      </c>
      <c r="I3242" s="2">
        <v>43</v>
      </c>
      <c r="J3242" s="2">
        <v>23</v>
      </c>
      <c r="K3242" s="2">
        <v>2</v>
      </c>
      <c r="O3242" s="2">
        <v>6</v>
      </c>
      <c r="U3242" s="2">
        <v>5</v>
      </c>
      <c r="V3242" s="2">
        <v>23</v>
      </c>
      <c r="W3242" s="2">
        <v>3</v>
      </c>
      <c r="X3242" s="2">
        <v>11</v>
      </c>
      <c r="Z3242" s="2">
        <v>22</v>
      </c>
      <c r="AA3242" s="3" t="s">
        <v>57</v>
      </c>
      <c r="AB3242" s="2">
        <v>1</v>
      </c>
      <c r="AF3242" s="2">
        <v>30</v>
      </c>
      <c r="AG3242" s="2">
        <v>1</v>
      </c>
      <c r="AH3242" s="3" t="s">
        <v>3358</v>
      </c>
      <c r="AI3242" s="4">
        <v>45427</v>
      </c>
      <c r="AJ3242" s="3" t="s">
        <v>3393</v>
      </c>
      <c r="AK3242" s="3" t="s">
        <v>248</v>
      </c>
    </row>
    <row r="3243" spans="1:37" hidden="1" x14ac:dyDescent="0.25">
      <c r="A3243" t="str">
        <f t="shared" si="50"/>
        <v>2024_Qld_Gatton_Chickpea_DetailedTOS1VarietyStrikerWaterTrtIrrigated</v>
      </c>
      <c r="B3243" s="2">
        <v>2024037</v>
      </c>
      <c r="C3243" s="3" t="s">
        <v>3348</v>
      </c>
      <c r="D3243" s="3" t="s">
        <v>248</v>
      </c>
      <c r="F3243" s="3" t="s">
        <v>4179</v>
      </c>
      <c r="G3243" s="3" t="s">
        <v>43</v>
      </c>
      <c r="H3243" s="3" t="s">
        <v>253</v>
      </c>
      <c r="I3243" s="2">
        <v>44</v>
      </c>
      <c r="J3243" s="2">
        <v>24</v>
      </c>
      <c r="K3243" s="2">
        <v>2</v>
      </c>
      <c r="O3243" s="2">
        <v>6</v>
      </c>
      <c r="U3243" s="2">
        <v>6</v>
      </c>
      <c r="V3243" s="2">
        <v>23</v>
      </c>
      <c r="W3243" s="2">
        <v>4</v>
      </c>
      <c r="X3243" s="2">
        <v>11</v>
      </c>
      <c r="Z3243" s="2">
        <v>21</v>
      </c>
      <c r="AA3243" s="3" t="s">
        <v>57</v>
      </c>
      <c r="AB3243" s="2">
        <v>4</v>
      </c>
      <c r="AF3243" s="2">
        <v>30</v>
      </c>
      <c r="AG3243" s="2">
        <v>1</v>
      </c>
      <c r="AH3243" s="3" t="s">
        <v>3358</v>
      </c>
      <c r="AI3243" s="4">
        <v>45427</v>
      </c>
      <c r="AJ3243" s="3" t="s">
        <v>3394</v>
      </c>
      <c r="AK3243" s="3" t="s">
        <v>248</v>
      </c>
    </row>
    <row r="3244" spans="1:37" hidden="1" x14ac:dyDescent="0.25">
      <c r="A3244" t="str">
        <f t="shared" si="50"/>
        <v>2024_Qld_Gatton_Chickpea_DetailedTOS1VarietyHatTrickWaterTrtIrrigated</v>
      </c>
      <c r="B3244" s="2">
        <v>2024037</v>
      </c>
      <c r="C3244" s="3" t="s">
        <v>3348</v>
      </c>
      <c r="D3244" s="3" t="s">
        <v>248</v>
      </c>
      <c r="F3244" s="3" t="s">
        <v>4178</v>
      </c>
      <c r="G3244" s="3" t="s">
        <v>39</v>
      </c>
      <c r="H3244" s="3" t="s">
        <v>250</v>
      </c>
      <c r="I3244" s="2">
        <v>45</v>
      </c>
      <c r="J3244" s="2">
        <v>21</v>
      </c>
      <c r="K3244" s="2">
        <v>2</v>
      </c>
      <c r="O3244" s="2">
        <v>6</v>
      </c>
      <c r="U3244" s="2">
        <v>2</v>
      </c>
      <c r="V3244" s="2">
        <v>24</v>
      </c>
      <c r="W3244" s="2">
        <v>1</v>
      </c>
      <c r="X3244" s="2">
        <v>12</v>
      </c>
      <c r="AA3244" s="3" t="s">
        <v>57</v>
      </c>
      <c r="AB3244" s="2">
        <v>3</v>
      </c>
      <c r="AF3244" s="2">
        <v>30</v>
      </c>
      <c r="AG3244" s="2">
        <v>1</v>
      </c>
      <c r="AH3244" s="3" t="s">
        <v>3358</v>
      </c>
      <c r="AI3244" s="4">
        <v>45427</v>
      </c>
      <c r="AJ3244" s="3" t="s">
        <v>3395</v>
      </c>
      <c r="AK3244" s="3" t="s">
        <v>248</v>
      </c>
    </row>
    <row r="3245" spans="1:37" hidden="1" x14ac:dyDescent="0.25">
      <c r="A3245" t="str">
        <f t="shared" si="50"/>
        <v>2024_Qld_Gatton_Chickpea_DetailedTOS1VarietyDrummondWaterTrtIrrigated</v>
      </c>
      <c r="B3245" s="2">
        <v>2024037</v>
      </c>
      <c r="C3245" s="3" t="s">
        <v>3348</v>
      </c>
      <c r="D3245" s="3" t="s">
        <v>248</v>
      </c>
      <c r="F3245" s="3" t="s">
        <v>4182</v>
      </c>
      <c r="G3245" s="3" t="s">
        <v>39</v>
      </c>
      <c r="H3245" s="3" t="s">
        <v>250</v>
      </c>
      <c r="I3245" s="2">
        <v>46</v>
      </c>
      <c r="J3245" s="2">
        <v>22</v>
      </c>
      <c r="K3245" s="2">
        <v>2</v>
      </c>
      <c r="O3245" s="2">
        <v>6</v>
      </c>
      <c r="U3245" s="2">
        <v>3</v>
      </c>
      <c r="V3245" s="2">
        <v>24</v>
      </c>
      <c r="W3245" s="2">
        <v>2</v>
      </c>
      <c r="X3245" s="2">
        <v>12</v>
      </c>
      <c r="AA3245" s="3" t="s">
        <v>57</v>
      </c>
      <c r="AB3245" s="2">
        <v>2</v>
      </c>
      <c r="AF3245" s="2">
        <v>30</v>
      </c>
      <c r="AG3245" s="2">
        <v>1</v>
      </c>
      <c r="AH3245" s="3" t="s">
        <v>3358</v>
      </c>
      <c r="AI3245" s="4">
        <v>45427</v>
      </c>
      <c r="AJ3245" s="3" t="s">
        <v>3396</v>
      </c>
      <c r="AK3245" s="3" t="s">
        <v>248</v>
      </c>
    </row>
    <row r="3246" spans="1:37" hidden="1" x14ac:dyDescent="0.25">
      <c r="A3246" t="str">
        <f t="shared" si="50"/>
        <v>2024_Qld_Gatton_Chickpea_DetailedTOS1VarietyCBA_CaptainWaterTrtIrrigated</v>
      </c>
      <c r="B3246" s="2">
        <v>2024037</v>
      </c>
      <c r="C3246" s="3" t="s">
        <v>3348</v>
      </c>
      <c r="D3246" s="3" t="s">
        <v>248</v>
      </c>
      <c r="F3246" s="3" t="s">
        <v>249</v>
      </c>
      <c r="G3246" s="3" t="s">
        <v>43</v>
      </c>
      <c r="H3246" s="3" t="s">
        <v>250</v>
      </c>
      <c r="I3246" s="2">
        <v>47</v>
      </c>
      <c r="J3246" s="2">
        <v>23</v>
      </c>
      <c r="K3246" s="2">
        <v>2</v>
      </c>
      <c r="O3246" s="2">
        <v>6</v>
      </c>
      <c r="U3246" s="2">
        <v>5</v>
      </c>
      <c r="V3246" s="2">
        <v>24</v>
      </c>
      <c r="W3246" s="2">
        <v>3</v>
      </c>
      <c r="X3246" s="2">
        <v>12</v>
      </c>
      <c r="AA3246" s="3" t="s">
        <v>57</v>
      </c>
      <c r="AB3246" s="2">
        <v>1</v>
      </c>
      <c r="AF3246" s="2">
        <v>30</v>
      </c>
      <c r="AG3246" s="2">
        <v>1</v>
      </c>
      <c r="AH3246" s="3" t="s">
        <v>3358</v>
      </c>
      <c r="AI3246" s="4">
        <v>45427</v>
      </c>
      <c r="AJ3246" s="3" t="s">
        <v>3397</v>
      </c>
      <c r="AK3246" s="3" t="s">
        <v>248</v>
      </c>
    </row>
    <row r="3247" spans="1:37" hidden="1" x14ac:dyDescent="0.25">
      <c r="A3247" t="str">
        <f t="shared" si="50"/>
        <v>2024_Qld_Gatton_Chickpea_DetailedTOS1VarietyStrikerWaterTrtIrrigated</v>
      </c>
      <c r="B3247" s="2">
        <v>2024037</v>
      </c>
      <c r="C3247" s="3" t="s">
        <v>3348</v>
      </c>
      <c r="D3247" s="3" t="s">
        <v>248</v>
      </c>
      <c r="F3247" s="3" t="s">
        <v>4179</v>
      </c>
      <c r="G3247" s="3" t="s">
        <v>43</v>
      </c>
      <c r="H3247" s="3" t="s">
        <v>250</v>
      </c>
      <c r="I3247" s="2">
        <v>48</v>
      </c>
      <c r="J3247" s="2">
        <v>24</v>
      </c>
      <c r="K3247" s="2">
        <v>2</v>
      </c>
      <c r="O3247" s="2">
        <v>6</v>
      </c>
      <c r="U3247" s="2">
        <v>6</v>
      </c>
      <c r="V3247" s="2">
        <v>24</v>
      </c>
      <c r="W3247" s="2">
        <v>4</v>
      </c>
      <c r="X3247" s="2">
        <v>12</v>
      </c>
      <c r="AA3247" s="3" t="s">
        <v>57</v>
      </c>
      <c r="AB3247" s="2">
        <v>4</v>
      </c>
      <c r="AF3247" s="2">
        <v>30</v>
      </c>
      <c r="AG3247" s="2">
        <v>1</v>
      </c>
      <c r="AH3247" s="3" t="s">
        <v>3358</v>
      </c>
      <c r="AI3247" s="4">
        <v>45427</v>
      </c>
      <c r="AJ3247" s="3" t="s">
        <v>3398</v>
      </c>
      <c r="AK3247" s="3" t="s">
        <v>248</v>
      </c>
    </row>
    <row r="3248" spans="1:37" hidden="1" x14ac:dyDescent="0.25">
      <c r="A3248" t="str">
        <f t="shared" si="50"/>
        <v>2024_Qld_Gatton_Chickpea_DetailedTOS2VarietyCBA_CaptainWaterTrtRainFed</v>
      </c>
      <c r="B3248" s="2">
        <v>2024037</v>
      </c>
      <c r="C3248" s="3" t="s">
        <v>3348</v>
      </c>
      <c r="D3248" s="3" t="s">
        <v>248</v>
      </c>
      <c r="F3248" s="3" t="s">
        <v>249</v>
      </c>
      <c r="G3248" s="3" t="s">
        <v>43</v>
      </c>
      <c r="H3248" s="3" t="s">
        <v>253</v>
      </c>
      <c r="I3248" s="2">
        <v>49</v>
      </c>
      <c r="J3248" s="2">
        <v>25</v>
      </c>
      <c r="K3248" s="2">
        <v>2</v>
      </c>
      <c r="O3248" s="2">
        <v>7</v>
      </c>
      <c r="U3248" s="2">
        <v>2</v>
      </c>
      <c r="V3248" s="2">
        <v>27</v>
      </c>
      <c r="W3248" s="2">
        <v>1</v>
      </c>
      <c r="X3248" s="2">
        <v>13</v>
      </c>
      <c r="Z3248" s="2">
        <v>25</v>
      </c>
      <c r="AA3248" s="3" t="s">
        <v>40</v>
      </c>
      <c r="AB3248" s="2">
        <v>1</v>
      </c>
      <c r="AF3248" s="2">
        <v>30</v>
      </c>
      <c r="AG3248" s="2">
        <v>2</v>
      </c>
      <c r="AH3248" s="3" t="s">
        <v>3349</v>
      </c>
      <c r="AI3248" s="4">
        <v>45460</v>
      </c>
      <c r="AJ3248" s="3" t="s">
        <v>3399</v>
      </c>
      <c r="AK3248" s="3" t="s">
        <v>248</v>
      </c>
    </row>
    <row r="3249" spans="1:37" hidden="1" x14ac:dyDescent="0.25">
      <c r="A3249" t="str">
        <f t="shared" si="50"/>
        <v>2024_Qld_Gatton_Chickpea_DetailedTOS2VarietyDrummondWaterTrtRainFed</v>
      </c>
      <c r="B3249" s="2">
        <v>2024037</v>
      </c>
      <c r="C3249" s="3" t="s">
        <v>3348</v>
      </c>
      <c r="D3249" s="3" t="s">
        <v>248</v>
      </c>
      <c r="F3249" s="3" t="s">
        <v>4182</v>
      </c>
      <c r="G3249" s="3" t="s">
        <v>39</v>
      </c>
      <c r="H3249" s="3" t="s">
        <v>253</v>
      </c>
      <c r="I3249" s="2">
        <v>50</v>
      </c>
      <c r="J3249" s="2">
        <v>26</v>
      </c>
      <c r="K3249" s="2">
        <v>2</v>
      </c>
      <c r="O3249" s="2">
        <v>7</v>
      </c>
      <c r="U3249" s="2">
        <v>3</v>
      </c>
      <c r="V3249" s="2">
        <v>27</v>
      </c>
      <c r="W3249" s="2">
        <v>2</v>
      </c>
      <c r="X3249" s="2">
        <v>13</v>
      </c>
      <c r="Z3249" s="2">
        <v>26</v>
      </c>
      <c r="AA3249" s="3" t="s">
        <v>40</v>
      </c>
      <c r="AB3249" s="2">
        <v>2</v>
      </c>
      <c r="AF3249" s="2">
        <v>30</v>
      </c>
      <c r="AG3249" s="2">
        <v>2</v>
      </c>
      <c r="AH3249" s="3" t="s">
        <v>3349</v>
      </c>
      <c r="AI3249" s="4">
        <v>45460</v>
      </c>
      <c r="AJ3249" s="3" t="s">
        <v>3400</v>
      </c>
      <c r="AK3249" s="3" t="s">
        <v>248</v>
      </c>
    </row>
    <row r="3250" spans="1:37" hidden="1" x14ac:dyDescent="0.25">
      <c r="A3250" t="str">
        <f t="shared" si="50"/>
        <v>2024_Qld_Gatton_Chickpea_DetailedTOS2VarietyHatTrickWaterTrtRainFed</v>
      </c>
      <c r="B3250" s="2">
        <v>2024037</v>
      </c>
      <c r="C3250" s="3" t="s">
        <v>3348</v>
      </c>
      <c r="D3250" s="3" t="s">
        <v>248</v>
      </c>
      <c r="F3250" s="3" t="s">
        <v>4178</v>
      </c>
      <c r="G3250" s="3" t="s">
        <v>39</v>
      </c>
      <c r="H3250" s="3" t="s">
        <v>253</v>
      </c>
      <c r="I3250" s="2">
        <v>51</v>
      </c>
      <c r="J3250" s="2">
        <v>27</v>
      </c>
      <c r="K3250" s="2">
        <v>2</v>
      </c>
      <c r="O3250" s="2">
        <v>7</v>
      </c>
      <c r="U3250" s="2">
        <v>5</v>
      </c>
      <c r="V3250" s="2">
        <v>27</v>
      </c>
      <c r="W3250" s="2">
        <v>3</v>
      </c>
      <c r="X3250" s="2">
        <v>13</v>
      </c>
      <c r="Z3250" s="2">
        <v>27</v>
      </c>
      <c r="AA3250" s="3" t="s">
        <v>40</v>
      </c>
      <c r="AB3250" s="2">
        <v>3</v>
      </c>
      <c r="AF3250" s="2">
        <v>30</v>
      </c>
      <c r="AG3250" s="2">
        <v>2</v>
      </c>
      <c r="AH3250" s="3" t="s">
        <v>3349</v>
      </c>
      <c r="AI3250" s="4">
        <v>45460</v>
      </c>
      <c r="AJ3250" s="3" t="s">
        <v>3401</v>
      </c>
      <c r="AK3250" s="3" t="s">
        <v>248</v>
      </c>
    </row>
    <row r="3251" spans="1:37" hidden="1" x14ac:dyDescent="0.25">
      <c r="A3251" t="str">
        <f t="shared" si="50"/>
        <v>2024_Qld_Gatton_Chickpea_DetailedTOS2VarietyStrikerWaterTrtRainFed</v>
      </c>
      <c r="B3251" s="2">
        <v>2024037</v>
      </c>
      <c r="C3251" s="3" t="s">
        <v>3348</v>
      </c>
      <c r="D3251" s="3" t="s">
        <v>248</v>
      </c>
      <c r="F3251" s="3" t="s">
        <v>4179</v>
      </c>
      <c r="G3251" s="3" t="s">
        <v>43</v>
      </c>
      <c r="H3251" s="3" t="s">
        <v>253</v>
      </c>
      <c r="I3251" s="2">
        <v>52</v>
      </c>
      <c r="J3251" s="2">
        <v>28</v>
      </c>
      <c r="K3251" s="2">
        <v>2</v>
      </c>
      <c r="O3251" s="2">
        <v>7</v>
      </c>
      <c r="U3251" s="2">
        <v>6</v>
      </c>
      <c r="V3251" s="2">
        <v>27</v>
      </c>
      <c r="W3251" s="2">
        <v>4</v>
      </c>
      <c r="X3251" s="2">
        <v>13</v>
      </c>
      <c r="Z3251" s="2">
        <v>28</v>
      </c>
      <c r="AA3251" s="3" t="s">
        <v>40</v>
      </c>
      <c r="AB3251" s="2">
        <v>4</v>
      </c>
      <c r="AF3251" s="2">
        <v>30</v>
      </c>
      <c r="AG3251" s="2">
        <v>2</v>
      </c>
      <c r="AH3251" s="3" t="s">
        <v>3349</v>
      </c>
      <c r="AI3251" s="4">
        <v>45460</v>
      </c>
      <c r="AJ3251" s="3" t="s">
        <v>3402</v>
      </c>
      <c r="AK3251" s="3" t="s">
        <v>248</v>
      </c>
    </row>
    <row r="3252" spans="1:37" hidden="1" x14ac:dyDescent="0.25">
      <c r="A3252" t="str">
        <f t="shared" si="50"/>
        <v>2024_Qld_Gatton_Chickpea_DetailedTOS2VarietyCBA_CaptainWaterTrtRainFed</v>
      </c>
      <c r="B3252" s="2">
        <v>2024037</v>
      </c>
      <c r="C3252" s="3" t="s">
        <v>3348</v>
      </c>
      <c r="D3252" s="3" t="s">
        <v>248</v>
      </c>
      <c r="F3252" s="3" t="s">
        <v>249</v>
      </c>
      <c r="G3252" s="3" t="s">
        <v>43</v>
      </c>
      <c r="H3252" s="3" t="s">
        <v>250</v>
      </c>
      <c r="I3252" s="2">
        <v>53</v>
      </c>
      <c r="J3252" s="2">
        <v>25</v>
      </c>
      <c r="K3252" s="2">
        <v>2</v>
      </c>
      <c r="O3252" s="2">
        <v>7</v>
      </c>
      <c r="U3252" s="2">
        <v>2</v>
      </c>
      <c r="V3252" s="2">
        <v>28</v>
      </c>
      <c r="W3252" s="2">
        <v>1</v>
      </c>
      <c r="X3252" s="2">
        <v>14</v>
      </c>
      <c r="AA3252" s="3" t="s">
        <v>40</v>
      </c>
      <c r="AB3252" s="2">
        <v>1</v>
      </c>
      <c r="AF3252" s="2">
        <v>30</v>
      </c>
      <c r="AG3252" s="2">
        <v>2</v>
      </c>
      <c r="AH3252" s="3" t="s">
        <v>3349</v>
      </c>
      <c r="AI3252" s="4">
        <v>45460</v>
      </c>
      <c r="AJ3252" s="3" t="s">
        <v>3403</v>
      </c>
      <c r="AK3252" s="3" t="s">
        <v>248</v>
      </c>
    </row>
    <row r="3253" spans="1:37" hidden="1" x14ac:dyDescent="0.25">
      <c r="A3253" t="str">
        <f t="shared" si="50"/>
        <v>2024_Qld_Gatton_Chickpea_DetailedTOS2VarietyDrummondWaterTrtRainFed</v>
      </c>
      <c r="B3253" s="2">
        <v>2024037</v>
      </c>
      <c r="C3253" s="3" t="s">
        <v>3348</v>
      </c>
      <c r="D3253" s="3" t="s">
        <v>248</v>
      </c>
      <c r="F3253" s="3" t="s">
        <v>4182</v>
      </c>
      <c r="G3253" s="3" t="s">
        <v>39</v>
      </c>
      <c r="H3253" s="3" t="s">
        <v>250</v>
      </c>
      <c r="I3253" s="2">
        <v>54</v>
      </c>
      <c r="J3253" s="2">
        <v>26</v>
      </c>
      <c r="K3253" s="2">
        <v>2</v>
      </c>
      <c r="O3253" s="2">
        <v>7</v>
      </c>
      <c r="U3253" s="2">
        <v>3</v>
      </c>
      <c r="V3253" s="2">
        <v>28</v>
      </c>
      <c r="W3253" s="2">
        <v>2</v>
      </c>
      <c r="X3253" s="2">
        <v>14</v>
      </c>
      <c r="AA3253" s="3" t="s">
        <v>40</v>
      </c>
      <c r="AB3253" s="2">
        <v>2</v>
      </c>
      <c r="AF3253" s="2">
        <v>30</v>
      </c>
      <c r="AG3253" s="2">
        <v>2</v>
      </c>
      <c r="AH3253" s="3" t="s">
        <v>3349</v>
      </c>
      <c r="AI3253" s="4">
        <v>45460</v>
      </c>
      <c r="AJ3253" s="3" t="s">
        <v>3404</v>
      </c>
      <c r="AK3253" s="3" t="s">
        <v>248</v>
      </c>
    </row>
    <row r="3254" spans="1:37" hidden="1" x14ac:dyDescent="0.25">
      <c r="A3254" t="str">
        <f t="shared" si="50"/>
        <v>2024_Qld_Gatton_Chickpea_DetailedTOS2VarietyHatTrickWaterTrtRainFed</v>
      </c>
      <c r="B3254" s="2">
        <v>2024037</v>
      </c>
      <c r="C3254" s="3" t="s">
        <v>3348</v>
      </c>
      <c r="D3254" s="3" t="s">
        <v>248</v>
      </c>
      <c r="F3254" s="3" t="s">
        <v>4178</v>
      </c>
      <c r="G3254" s="3" t="s">
        <v>39</v>
      </c>
      <c r="H3254" s="3" t="s">
        <v>250</v>
      </c>
      <c r="I3254" s="2">
        <v>55</v>
      </c>
      <c r="J3254" s="2">
        <v>27</v>
      </c>
      <c r="K3254" s="2">
        <v>2</v>
      </c>
      <c r="O3254" s="2">
        <v>7</v>
      </c>
      <c r="U3254" s="2">
        <v>5</v>
      </c>
      <c r="V3254" s="2">
        <v>28</v>
      </c>
      <c r="W3254" s="2">
        <v>3</v>
      </c>
      <c r="X3254" s="2">
        <v>14</v>
      </c>
      <c r="AA3254" s="3" t="s">
        <v>40</v>
      </c>
      <c r="AB3254" s="2">
        <v>3</v>
      </c>
      <c r="AF3254" s="2">
        <v>30</v>
      </c>
      <c r="AG3254" s="2">
        <v>2</v>
      </c>
      <c r="AH3254" s="3" t="s">
        <v>3349</v>
      </c>
      <c r="AI3254" s="4">
        <v>45460</v>
      </c>
      <c r="AJ3254" s="3" t="s">
        <v>3405</v>
      </c>
      <c r="AK3254" s="3" t="s">
        <v>248</v>
      </c>
    </row>
    <row r="3255" spans="1:37" hidden="1" x14ac:dyDescent="0.25">
      <c r="A3255" t="str">
        <f t="shared" si="50"/>
        <v>2024_Qld_Gatton_Chickpea_DetailedTOS2VarietyStrikerWaterTrtRainFed</v>
      </c>
      <c r="B3255" s="2">
        <v>2024037</v>
      </c>
      <c r="C3255" s="3" t="s">
        <v>3348</v>
      </c>
      <c r="D3255" s="3" t="s">
        <v>248</v>
      </c>
      <c r="F3255" s="3" t="s">
        <v>4179</v>
      </c>
      <c r="G3255" s="3" t="s">
        <v>43</v>
      </c>
      <c r="H3255" s="3" t="s">
        <v>250</v>
      </c>
      <c r="I3255" s="2">
        <v>56</v>
      </c>
      <c r="J3255" s="2">
        <v>28</v>
      </c>
      <c r="K3255" s="2">
        <v>2</v>
      </c>
      <c r="O3255" s="2">
        <v>7</v>
      </c>
      <c r="U3255" s="2">
        <v>6</v>
      </c>
      <c r="V3255" s="2">
        <v>28</v>
      </c>
      <c r="W3255" s="2">
        <v>4</v>
      </c>
      <c r="X3255" s="2">
        <v>14</v>
      </c>
      <c r="AA3255" s="3" t="s">
        <v>40</v>
      </c>
      <c r="AB3255" s="2">
        <v>4</v>
      </c>
      <c r="AF3255" s="2">
        <v>30</v>
      </c>
      <c r="AG3255" s="2">
        <v>2</v>
      </c>
      <c r="AH3255" s="3" t="s">
        <v>3349</v>
      </c>
      <c r="AI3255" s="4">
        <v>45460</v>
      </c>
      <c r="AJ3255" s="3" t="s">
        <v>3406</v>
      </c>
      <c r="AK3255" s="3" t="s">
        <v>248</v>
      </c>
    </row>
    <row r="3256" spans="1:37" hidden="1" x14ac:dyDescent="0.25">
      <c r="A3256" t="str">
        <f t="shared" si="50"/>
        <v>2024_Qld_Gatton_Chickpea_DetailedTOS2VarietyDrummondWaterTrtIrrigated</v>
      </c>
      <c r="B3256" s="2">
        <v>2024037</v>
      </c>
      <c r="C3256" s="3" t="s">
        <v>3348</v>
      </c>
      <c r="D3256" s="3" t="s">
        <v>248</v>
      </c>
      <c r="F3256" s="3" t="s">
        <v>4182</v>
      </c>
      <c r="G3256" s="3" t="s">
        <v>39</v>
      </c>
      <c r="H3256" s="3" t="s">
        <v>253</v>
      </c>
      <c r="I3256" s="2">
        <v>57</v>
      </c>
      <c r="J3256" s="2">
        <v>29</v>
      </c>
      <c r="K3256" s="2">
        <v>2</v>
      </c>
      <c r="O3256" s="2">
        <v>8</v>
      </c>
      <c r="U3256" s="2">
        <v>2</v>
      </c>
      <c r="V3256" s="2">
        <v>31</v>
      </c>
      <c r="W3256" s="2">
        <v>1</v>
      </c>
      <c r="X3256" s="2">
        <v>15</v>
      </c>
      <c r="Z3256" s="2">
        <v>32</v>
      </c>
      <c r="AA3256" s="3" t="s">
        <v>57</v>
      </c>
      <c r="AB3256" s="2">
        <v>2</v>
      </c>
      <c r="AF3256" s="2">
        <v>30</v>
      </c>
      <c r="AG3256" s="2">
        <v>2</v>
      </c>
      <c r="AH3256" s="3" t="s">
        <v>3349</v>
      </c>
      <c r="AI3256" s="4">
        <v>45460</v>
      </c>
      <c r="AJ3256" s="3" t="s">
        <v>3407</v>
      </c>
      <c r="AK3256" s="3" t="s">
        <v>248</v>
      </c>
    </row>
    <row r="3257" spans="1:37" hidden="1" x14ac:dyDescent="0.25">
      <c r="A3257" t="str">
        <f t="shared" si="50"/>
        <v>2024_Qld_Gatton_Chickpea_DetailedTOS2VarietyCBA_CaptainWaterTrtIrrigated</v>
      </c>
      <c r="B3257" s="2">
        <v>2024037</v>
      </c>
      <c r="C3257" s="3" t="s">
        <v>3348</v>
      </c>
      <c r="D3257" s="3" t="s">
        <v>248</v>
      </c>
      <c r="F3257" s="3" t="s">
        <v>249</v>
      </c>
      <c r="G3257" s="3" t="s">
        <v>43</v>
      </c>
      <c r="H3257" s="3" t="s">
        <v>253</v>
      </c>
      <c r="I3257" s="2">
        <v>58</v>
      </c>
      <c r="J3257" s="2">
        <v>30</v>
      </c>
      <c r="K3257" s="2">
        <v>2</v>
      </c>
      <c r="O3257" s="2">
        <v>8</v>
      </c>
      <c r="U3257" s="2">
        <v>3</v>
      </c>
      <c r="V3257" s="2">
        <v>31</v>
      </c>
      <c r="W3257" s="2">
        <v>2</v>
      </c>
      <c r="X3257" s="2">
        <v>15</v>
      </c>
      <c r="Z3257" s="2">
        <v>31</v>
      </c>
      <c r="AA3257" s="3" t="s">
        <v>57</v>
      </c>
      <c r="AB3257" s="2">
        <v>1</v>
      </c>
      <c r="AF3257" s="2">
        <v>30</v>
      </c>
      <c r="AG3257" s="2">
        <v>2</v>
      </c>
      <c r="AH3257" s="3" t="s">
        <v>3349</v>
      </c>
      <c r="AI3257" s="4">
        <v>45460</v>
      </c>
      <c r="AJ3257" s="3" t="s">
        <v>3408</v>
      </c>
      <c r="AK3257" s="3" t="s">
        <v>248</v>
      </c>
    </row>
    <row r="3258" spans="1:37" hidden="1" x14ac:dyDescent="0.25">
      <c r="A3258" t="str">
        <f t="shared" si="50"/>
        <v>2024_Qld_Gatton_Chickpea_DetailedTOS2VarietyStrikerWaterTrtIrrigated</v>
      </c>
      <c r="B3258" s="2">
        <v>2024037</v>
      </c>
      <c r="C3258" s="3" t="s">
        <v>3348</v>
      </c>
      <c r="D3258" s="3" t="s">
        <v>248</v>
      </c>
      <c r="F3258" s="3" t="s">
        <v>4179</v>
      </c>
      <c r="G3258" s="3" t="s">
        <v>43</v>
      </c>
      <c r="H3258" s="3" t="s">
        <v>253</v>
      </c>
      <c r="I3258" s="2">
        <v>59</v>
      </c>
      <c r="J3258" s="2">
        <v>31</v>
      </c>
      <c r="K3258" s="2">
        <v>2</v>
      </c>
      <c r="O3258" s="2">
        <v>8</v>
      </c>
      <c r="U3258" s="2">
        <v>5</v>
      </c>
      <c r="V3258" s="2">
        <v>31</v>
      </c>
      <c r="W3258" s="2">
        <v>3</v>
      </c>
      <c r="X3258" s="2">
        <v>15</v>
      </c>
      <c r="Z3258" s="2">
        <v>30</v>
      </c>
      <c r="AA3258" s="3" t="s">
        <v>57</v>
      </c>
      <c r="AB3258" s="2">
        <v>4</v>
      </c>
      <c r="AF3258" s="2">
        <v>30</v>
      </c>
      <c r="AG3258" s="2">
        <v>2</v>
      </c>
      <c r="AH3258" s="3" t="s">
        <v>3349</v>
      </c>
      <c r="AI3258" s="4">
        <v>45460</v>
      </c>
      <c r="AJ3258" s="3" t="s">
        <v>3409</v>
      </c>
      <c r="AK3258" s="3" t="s">
        <v>248</v>
      </c>
    </row>
    <row r="3259" spans="1:37" hidden="1" x14ac:dyDescent="0.25">
      <c r="A3259" t="str">
        <f t="shared" si="50"/>
        <v>2024_Qld_Gatton_Chickpea_DetailedTOS2VarietyHatTrickWaterTrtIrrigated</v>
      </c>
      <c r="B3259" s="2">
        <v>2024037</v>
      </c>
      <c r="C3259" s="3" t="s">
        <v>3348</v>
      </c>
      <c r="D3259" s="3" t="s">
        <v>248</v>
      </c>
      <c r="F3259" s="3" t="s">
        <v>4178</v>
      </c>
      <c r="G3259" s="3" t="s">
        <v>39</v>
      </c>
      <c r="H3259" s="3" t="s">
        <v>253</v>
      </c>
      <c r="I3259" s="2">
        <v>60</v>
      </c>
      <c r="J3259" s="2">
        <v>32</v>
      </c>
      <c r="K3259" s="2">
        <v>2</v>
      </c>
      <c r="O3259" s="2">
        <v>8</v>
      </c>
      <c r="U3259" s="2">
        <v>6</v>
      </c>
      <c r="V3259" s="2">
        <v>31</v>
      </c>
      <c r="W3259" s="2">
        <v>4</v>
      </c>
      <c r="X3259" s="2">
        <v>15</v>
      </c>
      <c r="Z3259" s="2">
        <v>29</v>
      </c>
      <c r="AA3259" s="3" t="s">
        <v>57</v>
      </c>
      <c r="AB3259" s="2">
        <v>3</v>
      </c>
      <c r="AF3259" s="2">
        <v>30</v>
      </c>
      <c r="AG3259" s="2">
        <v>2</v>
      </c>
      <c r="AH3259" s="3" t="s">
        <v>3349</v>
      </c>
      <c r="AI3259" s="4">
        <v>45460</v>
      </c>
      <c r="AJ3259" s="3" t="s">
        <v>3410</v>
      </c>
      <c r="AK3259" s="3" t="s">
        <v>248</v>
      </c>
    </row>
    <row r="3260" spans="1:37" hidden="1" x14ac:dyDescent="0.25">
      <c r="A3260" t="str">
        <f t="shared" si="50"/>
        <v>2024_Qld_Gatton_Chickpea_DetailedTOS2VarietyDrummondWaterTrtIrrigated</v>
      </c>
      <c r="B3260" s="2">
        <v>2024037</v>
      </c>
      <c r="C3260" s="3" t="s">
        <v>3348</v>
      </c>
      <c r="D3260" s="3" t="s">
        <v>248</v>
      </c>
      <c r="F3260" s="3" t="s">
        <v>4182</v>
      </c>
      <c r="G3260" s="3" t="s">
        <v>39</v>
      </c>
      <c r="H3260" s="3" t="s">
        <v>250</v>
      </c>
      <c r="I3260" s="2">
        <v>61</v>
      </c>
      <c r="J3260" s="2">
        <v>29</v>
      </c>
      <c r="K3260" s="2">
        <v>2</v>
      </c>
      <c r="O3260" s="2">
        <v>8</v>
      </c>
      <c r="U3260" s="2">
        <v>2</v>
      </c>
      <c r="V3260" s="2">
        <v>32</v>
      </c>
      <c r="W3260" s="2">
        <v>1</v>
      </c>
      <c r="X3260" s="2">
        <v>16</v>
      </c>
      <c r="AA3260" s="3" t="s">
        <v>57</v>
      </c>
      <c r="AB3260" s="2">
        <v>2</v>
      </c>
      <c r="AF3260" s="2">
        <v>30</v>
      </c>
      <c r="AG3260" s="2">
        <v>2</v>
      </c>
      <c r="AH3260" s="3" t="s">
        <v>3349</v>
      </c>
      <c r="AI3260" s="4">
        <v>45460</v>
      </c>
      <c r="AJ3260" s="3" t="s">
        <v>3411</v>
      </c>
      <c r="AK3260" s="3" t="s">
        <v>248</v>
      </c>
    </row>
    <row r="3261" spans="1:37" hidden="1" x14ac:dyDescent="0.25">
      <c r="A3261" t="str">
        <f t="shared" si="50"/>
        <v>2024_Qld_Gatton_Chickpea_DetailedTOS2VarietyCBA_CaptainWaterTrtIrrigated</v>
      </c>
      <c r="B3261" s="2">
        <v>2024037</v>
      </c>
      <c r="C3261" s="3" t="s">
        <v>3348</v>
      </c>
      <c r="D3261" s="3" t="s">
        <v>248</v>
      </c>
      <c r="F3261" s="3" t="s">
        <v>249</v>
      </c>
      <c r="G3261" s="3" t="s">
        <v>43</v>
      </c>
      <c r="H3261" s="3" t="s">
        <v>250</v>
      </c>
      <c r="I3261" s="2">
        <v>62</v>
      </c>
      <c r="J3261" s="2">
        <v>30</v>
      </c>
      <c r="K3261" s="2">
        <v>2</v>
      </c>
      <c r="O3261" s="2">
        <v>8</v>
      </c>
      <c r="U3261" s="2">
        <v>3</v>
      </c>
      <c r="V3261" s="2">
        <v>32</v>
      </c>
      <c r="W3261" s="2">
        <v>2</v>
      </c>
      <c r="X3261" s="2">
        <v>16</v>
      </c>
      <c r="AA3261" s="3" t="s">
        <v>57</v>
      </c>
      <c r="AB3261" s="2">
        <v>1</v>
      </c>
      <c r="AF3261" s="2">
        <v>30</v>
      </c>
      <c r="AG3261" s="2">
        <v>2</v>
      </c>
      <c r="AH3261" s="3" t="s">
        <v>3349</v>
      </c>
      <c r="AI3261" s="4">
        <v>45460</v>
      </c>
      <c r="AJ3261" s="3" t="s">
        <v>3412</v>
      </c>
      <c r="AK3261" s="3" t="s">
        <v>248</v>
      </c>
    </row>
    <row r="3262" spans="1:37" hidden="1" x14ac:dyDescent="0.25">
      <c r="A3262" t="str">
        <f t="shared" si="50"/>
        <v>2024_Qld_Gatton_Chickpea_DetailedTOS2VarietyStrikerWaterTrtIrrigated</v>
      </c>
      <c r="B3262" s="2">
        <v>2024037</v>
      </c>
      <c r="C3262" s="3" t="s">
        <v>3348</v>
      </c>
      <c r="D3262" s="3" t="s">
        <v>248</v>
      </c>
      <c r="F3262" s="3" t="s">
        <v>4179</v>
      </c>
      <c r="G3262" s="3" t="s">
        <v>43</v>
      </c>
      <c r="H3262" s="3" t="s">
        <v>250</v>
      </c>
      <c r="I3262" s="2">
        <v>63</v>
      </c>
      <c r="J3262" s="2">
        <v>31</v>
      </c>
      <c r="K3262" s="2">
        <v>2</v>
      </c>
      <c r="O3262" s="2">
        <v>8</v>
      </c>
      <c r="U3262" s="2">
        <v>5</v>
      </c>
      <c r="V3262" s="2">
        <v>32</v>
      </c>
      <c r="W3262" s="2">
        <v>3</v>
      </c>
      <c r="X3262" s="2">
        <v>16</v>
      </c>
      <c r="AA3262" s="3" t="s">
        <v>57</v>
      </c>
      <c r="AB3262" s="2">
        <v>4</v>
      </c>
      <c r="AF3262" s="2">
        <v>30</v>
      </c>
      <c r="AG3262" s="2">
        <v>2</v>
      </c>
      <c r="AH3262" s="3" t="s">
        <v>3349</v>
      </c>
      <c r="AI3262" s="4">
        <v>45460</v>
      </c>
      <c r="AJ3262" s="3" t="s">
        <v>3413</v>
      </c>
      <c r="AK3262" s="3" t="s">
        <v>248</v>
      </c>
    </row>
    <row r="3263" spans="1:37" hidden="1" x14ac:dyDescent="0.25">
      <c r="A3263" t="str">
        <f t="shared" si="50"/>
        <v>2024_Qld_Gatton_Chickpea_DetailedTOS2VarietyHatTrickWaterTrtIrrigated</v>
      </c>
      <c r="B3263" s="2">
        <v>2024037</v>
      </c>
      <c r="C3263" s="3" t="s">
        <v>3348</v>
      </c>
      <c r="D3263" s="3" t="s">
        <v>248</v>
      </c>
      <c r="F3263" s="3" t="s">
        <v>4178</v>
      </c>
      <c r="G3263" s="3" t="s">
        <v>39</v>
      </c>
      <c r="H3263" s="3" t="s">
        <v>250</v>
      </c>
      <c r="I3263" s="2">
        <v>64</v>
      </c>
      <c r="J3263" s="2">
        <v>32</v>
      </c>
      <c r="K3263" s="2">
        <v>2</v>
      </c>
      <c r="O3263" s="2">
        <v>8</v>
      </c>
      <c r="U3263" s="2">
        <v>6</v>
      </c>
      <c r="V3263" s="2">
        <v>32</v>
      </c>
      <c r="W3263" s="2">
        <v>4</v>
      </c>
      <c r="X3263" s="2">
        <v>16</v>
      </c>
      <c r="AA3263" s="3" t="s">
        <v>57</v>
      </c>
      <c r="AB3263" s="2">
        <v>3</v>
      </c>
      <c r="AF3263" s="2">
        <v>30</v>
      </c>
      <c r="AG3263" s="2">
        <v>2</v>
      </c>
      <c r="AH3263" s="3" t="s">
        <v>3349</v>
      </c>
      <c r="AI3263" s="4">
        <v>45460</v>
      </c>
      <c r="AJ3263" s="3" t="s">
        <v>3414</v>
      </c>
      <c r="AK3263" s="3" t="s">
        <v>248</v>
      </c>
    </row>
    <row r="3264" spans="1:37" hidden="1" x14ac:dyDescent="0.25">
      <c r="A3264" t="str">
        <f t="shared" si="50"/>
        <v>2024_Qld_Gatton_Chickpea_DetailedTOS1VarietyStrikerWaterTrtIrrigated</v>
      </c>
      <c r="B3264" s="2">
        <v>2024037</v>
      </c>
      <c r="C3264" s="3" t="s">
        <v>3348</v>
      </c>
      <c r="D3264" s="3" t="s">
        <v>248</v>
      </c>
      <c r="F3264" s="3" t="s">
        <v>4179</v>
      </c>
      <c r="G3264" s="3" t="s">
        <v>43</v>
      </c>
      <c r="H3264" s="3" t="s">
        <v>253</v>
      </c>
      <c r="I3264" s="2">
        <v>65</v>
      </c>
      <c r="J3264" s="2">
        <v>33</v>
      </c>
      <c r="K3264" s="2">
        <v>3</v>
      </c>
      <c r="O3264" s="2">
        <v>9</v>
      </c>
      <c r="U3264" s="2">
        <v>2</v>
      </c>
      <c r="V3264" s="2">
        <v>35</v>
      </c>
      <c r="W3264" s="2">
        <v>1</v>
      </c>
      <c r="X3264" s="2">
        <v>17</v>
      </c>
      <c r="Z3264" s="2">
        <v>33</v>
      </c>
      <c r="AA3264" s="3" t="s">
        <v>57</v>
      </c>
      <c r="AB3264" s="2">
        <v>4</v>
      </c>
      <c r="AF3264" s="2">
        <v>30</v>
      </c>
      <c r="AG3264" s="2">
        <v>1</v>
      </c>
      <c r="AH3264" s="3" t="s">
        <v>3358</v>
      </c>
      <c r="AI3264" s="4">
        <v>45427</v>
      </c>
      <c r="AJ3264" s="3" t="s">
        <v>3415</v>
      </c>
      <c r="AK3264" s="3" t="s">
        <v>248</v>
      </c>
    </row>
    <row r="3265" spans="1:37" hidden="1" x14ac:dyDescent="0.25">
      <c r="A3265" t="str">
        <f t="shared" si="50"/>
        <v>2024_Qld_Gatton_Chickpea_DetailedTOS1VarietyDrummondWaterTrtIrrigated</v>
      </c>
      <c r="B3265" s="2">
        <v>2024037</v>
      </c>
      <c r="C3265" s="3" t="s">
        <v>3348</v>
      </c>
      <c r="D3265" s="3" t="s">
        <v>248</v>
      </c>
      <c r="F3265" s="3" t="s">
        <v>4182</v>
      </c>
      <c r="G3265" s="3" t="s">
        <v>39</v>
      </c>
      <c r="H3265" s="3" t="s">
        <v>253</v>
      </c>
      <c r="I3265" s="2">
        <v>66</v>
      </c>
      <c r="J3265" s="2">
        <v>34</v>
      </c>
      <c r="K3265" s="2">
        <v>3</v>
      </c>
      <c r="O3265" s="2">
        <v>9</v>
      </c>
      <c r="U3265" s="2">
        <v>3</v>
      </c>
      <c r="V3265" s="2">
        <v>35</v>
      </c>
      <c r="W3265" s="2">
        <v>2</v>
      </c>
      <c r="X3265" s="2">
        <v>17</v>
      </c>
      <c r="Z3265" s="2">
        <v>34</v>
      </c>
      <c r="AA3265" s="3" t="s">
        <v>57</v>
      </c>
      <c r="AB3265" s="2">
        <v>2</v>
      </c>
      <c r="AF3265" s="2">
        <v>30</v>
      </c>
      <c r="AG3265" s="2">
        <v>1</v>
      </c>
      <c r="AH3265" s="3" t="s">
        <v>3358</v>
      </c>
      <c r="AI3265" s="4">
        <v>45427</v>
      </c>
      <c r="AJ3265" s="3" t="s">
        <v>3416</v>
      </c>
      <c r="AK3265" s="3" t="s">
        <v>248</v>
      </c>
    </row>
    <row r="3266" spans="1:37" hidden="1" x14ac:dyDescent="0.25">
      <c r="A3266" t="str">
        <f t="shared" si="50"/>
        <v>2024_Qld_Gatton_Chickpea_DetailedTOS1VarietyHatTrickWaterTrtIrrigated</v>
      </c>
      <c r="B3266" s="2">
        <v>2024037</v>
      </c>
      <c r="C3266" s="3" t="s">
        <v>3348</v>
      </c>
      <c r="D3266" s="3" t="s">
        <v>248</v>
      </c>
      <c r="F3266" s="3" t="s">
        <v>4178</v>
      </c>
      <c r="G3266" s="3" t="s">
        <v>39</v>
      </c>
      <c r="H3266" s="3" t="s">
        <v>253</v>
      </c>
      <c r="I3266" s="2">
        <v>67</v>
      </c>
      <c r="J3266" s="2">
        <v>35</v>
      </c>
      <c r="K3266" s="2">
        <v>3</v>
      </c>
      <c r="O3266" s="2">
        <v>9</v>
      </c>
      <c r="U3266" s="2">
        <v>5</v>
      </c>
      <c r="V3266" s="2">
        <v>35</v>
      </c>
      <c r="W3266" s="2">
        <v>3</v>
      </c>
      <c r="X3266" s="2">
        <v>17</v>
      </c>
      <c r="Z3266" s="2">
        <v>35</v>
      </c>
      <c r="AA3266" s="3" t="s">
        <v>57</v>
      </c>
      <c r="AB3266" s="2">
        <v>3</v>
      </c>
      <c r="AF3266" s="2">
        <v>30</v>
      </c>
      <c r="AG3266" s="2">
        <v>1</v>
      </c>
      <c r="AH3266" s="3" t="s">
        <v>3358</v>
      </c>
      <c r="AI3266" s="4">
        <v>45427</v>
      </c>
      <c r="AJ3266" s="3" t="s">
        <v>3417</v>
      </c>
      <c r="AK3266" s="3" t="s">
        <v>248</v>
      </c>
    </row>
    <row r="3267" spans="1:37" hidden="1" x14ac:dyDescent="0.25">
      <c r="A3267" t="str">
        <f t="shared" ref="A3267:A3330" si="51">C3267&amp;"TOS"&amp;AG3267&amp;"Variety"&amp;F3267&amp;"WaterTrt"&amp;AA3267&amp;IF(AC3267="","","Agronomy"&amp;AC3267)</f>
        <v>2024_Qld_Gatton_Chickpea_DetailedTOS1VarietyCBA_CaptainWaterTrtIrrigated</v>
      </c>
      <c r="B3267" s="2">
        <v>2024037</v>
      </c>
      <c r="C3267" s="3" t="s">
        <v>3348</v>
      </c>
      <c r="D3267" s="3" t="s">
        <v>248</v>
      </c>
      <c r="F3267" s="3" t="s">
        <v>249</v>
      </c>
      <c r="G3267" s="3" t="s">
        <v>43</v>
      </c>
      <c r="H3267" s="3" t="s">
        <v>253</v>
      </c>
      <c r="I3267" s="2">
        <v>68</v>
      </c>
      <c r="J3267" s="2">
        <v>36</v>
      </c>
      <c r="K3267" s="2">
        <v>3</v>
      </c>
      <c r="O3267" s="2">
        <v>9</v>
      </c>
      <c r="U3267" s="2">
        <v>6</v>
      </c>
      <c r="V3267" s="2">
        <v>35</v>
      </c>
      <c r="W3267" s="2">
        <v>4</v>
      </c>
      <c r="X3267" s="2">
        <v>17</v>
      </c>
      <c r="Z3267" s="2">
        <v>36</v>
      </c>
      <c r="AA3267" s="3" t="s">
        <v>57</v>
      </c>
      <c r="AB3267" s="2">
        <v>1</v>
      </c>
      <c r="AF3267" s="2">
        <v>30</v>
      </c>
      <c r="AG3267" s="2">
        <v>1</v>
      </c>
      <c r="AH3267" s="3" t="s">
        <v>3358</v>
      </c>
      <c r="AI3267" s="4">
        <v>45427</v>
      </c>
      <c r="AJ3267" s="3" t="s">
        <v>3418</v>
      </c>
      <c r="AK3267" s="3" t="s">
        <v>248</v>
      </c>
    </row>
    <row r="3268" spans="1:37" hidden="1" x14ac:dyDescent="0.25">
      <c r="A3268" t="str">
        <f t="shared" si="51"/>
        <v>2024_Qld_Gatton_Chickpea_DetailedTOS1VarietyStrikerWaterTrtIrrigated</v>
      </c>
      <c r="B3268" s="2">
        <v>2024037</v>
      </c>
      <c r="C3268" s="3" t="s">
        <v>3348</v>
      </c>
      <c r="D3268" s="3" t="s">
        <v>248</v>
      </c>
      <c r="F3268" s="3" t="s">
        <v>4179</v>
      </c>
      <c r="G3268" s="3" t="s">
        <v>43</v>
      </c>
      <c r="H3268" s="3" t="s">
        <v>250</v>
      </c>
      <c r="I3268" s="2">
        <v>69</v>
      </c>
      <c r="J3268" s="2">
        <v>33</v>
      </c>
      <c r="K3268" s="2">
        <v>3</v>
      </c>
      <c r="O3268" s="2">
        <v>9</v>
      </c>
      <c r="U3268" s="2">
        <v>2</v>
      </c>
      <c r="V3268" s="2">
        <v>36</v>
      </c>
      <c r="W3268" s="2">
        <v>1</v>
      </c>
      <c r="X3268" s="2">
        <v>18</v>
      </c>
      <c r="AA3268" s="3" t="s">
        <v>57</v>
      </c>
      <c r="AB3268" s="2">
        <v>4</v>
      </c>
      <c r="AF3268" s="2">
        <v>30</v>
      </c>
      <c r="AG3268" s="2">
        <v>1</v>
      </c>
      <c r="AH3268" s="3" t="s">
        <v>3358</v>
      </c>
      <c r="AI3268" s="4">
        <v>45427</v>
      </c>
      <c r="AJ3268" s="3" t="s">
        <v>3419</v>
      </c>
      <c r="AK3268" s="3" t="s">
        <v>248</v>
      </c>
    </row>
    <row r="3269" spans="1:37" hidden="1" x14ac:dyDescent="0.25">
      <c r="A3269" t="str">
        <f t="shared" si="51"/>
        <v>2024_Qld_Gatton_Chickpea_DetailedTOS1VarietyDrummondWaterTrtIrrigated</v>
      </c>
      <c r="B3269" s="2">
        <v>2024037</v>
      </c>
      <c r="C3269" s="3" t="s">
        <v>3348</v>
      </c>
      <c r="D3269" s="3" t="s">
        <v>248</v>
      </c>
      <c r="F3269" s="3" t="s">
        <v>4182</v>
      </c>
      <c r="G3269" s="3" t="s">
        <v>39</v>
      </c>
      <c r="H3269" s="3" t="s">
        <v>250</v>
      </c>
      <c r="I3269" s="2">
        <v>70</v>
      </c>
      <c r="J3269" s="2">
        <v>34</v>
      </c>
      <c r="K3269" s="2">
        <v>3</v>
      </c>
      <c r="O3269" s="2">
        <v>9</v>
      </c>
      <c r="U3269" s="2">
        <v>3</v>
      </c>
      <c r="V3269" s="2">
        <v>36</v>
      </c>
      <c r="W3269" s="2">
        <v>2</v>
      </c>
      <c r="X3269" s="2">
        <v>18</v>
      </c>
      <c r="AA3269" s="3" t="s">
        <v>57</v>
      </c>
      <c r="AB3269" s="2">
        <v>2</v>
      </c>
      <c r="AF3269" s="2">
        <v>30</v>
      </c>
      <c r="AG3269" s="2">
        <v>1</v>
      </c>
      <c r="AH3269" s="3" t="s">
        <v>3358</v>
      </c>
      <c r="AI3269" s="4">
        <v>45427</v>
      </c>
      <c r="AJ3269" s="3" t="s">
        <v>3420</v>
      </c>
      <c r="AK3269" s="3" t="s">
        <v>248</v>
      </c>
    </row>
    <row r="3270" spans="1:37" hidden="1" x14ac:dyDescent="0.25">
      <c r="A3270" t="str">
        <f t="shared" si="51"/>
        <v>2024_Qld_Gatton_Chickpea_DetailedTOS1VarietyHatTrickWaterTrtIrrigated</v>
      </c>
      <c r="B3270" s="2">
        <v>2024037</v>
      </c>
      <c r="C3270" s="3" t="s">
        <v>3348</v>
      </c>
      <c r="D3270" s="3" t="s">
        <v>248</v>
      </c>
      <c r="F3270" s="3" t="s">
        <v>4178</v>
      </c>
      <c r="G3270" s="3" t="s">
        <v>39</v>
      </c>
      <c r="H3270" s="3" t="s">
        <v>250</v>
      </c>
      <c r="I3270" s="2">
        <v>71</v>
      </c>
      <c r="J3270" s="2">
        <v>35</v>
      </c>
      <c r="K3270" s="2">
        <v>3</v>
      </c>
      <c r="O3270" s="2">
        <v>9</v>
      </c>
      <c r="U3270" s="2">
        <v>5</v>
      </c>
      <c r="V3270" s="2">
        <v>36</v>
      </c>
      <c r="W3270" s="2">
        <v>3</v>
      </c>
      <c r="X3270" s="2">
        <v>18</v>
      </c>
      <c r="AA3270" s="3" t="s">
        <v>57</v>
      </c>
      <c r="AB3270" s="2">
        <v>3</v>
      </c>
      <c r="AF3270" s="2">
        <v>30</v>
      </c>
      <c r="AG3270" s="2">
        <v>1</v>
      </c>
      <c r="AH3270" s="3" t="s">
        <v>3358</v>
      </c>
      <c r="AI3270" s="4">
        <v>45427</v>
      </c>
      <c r="AJ3270" s="3" t="s">
        <v>3421</v>
      </c>
      <c r="AK3270" s="3" t="s">
        <v>248</v>
      </c>
    </row>
    <row r="3271" spans="1:37" hidden="1" x14ac:dyDescent="0.25">
      <c r="A3271" t="str">
        <f t="shared" si="51"/>
        <v>2024_Qld_Gatton_Chickpea_DetailedTOS1VarietyCBA_CaptainWaterTrtIrrigated</v>
      </c>
      <c r="B3271" s="2">
        <v>2024037</v>
      </c>
      <c r="C3271" s="3" t="s">
        <v>3348</v>
      </c>
      <c r="D3271" s="3" t="s">
        <v>248</v>
      </c>
      <c r="F3271" s="3" t="s">
        <v>249</v>
      </c>
      <c r="G3271" s="3" t="s">
        <v>43</v>
      </c>
      <c r="H3271" s="3" t="s">
        <v>250</v>
      </c>
      <c r="I3271" s="2">
        <v>72</v>
      </c>
      <c r="J3271" s="2">
        <v>36</v>
      </c>
      <c r="K3271" s="2">
        <v>3</v>
      </c>
      <c r="O3271" s="2">
        <v>9</v>
      </c>
      <c r="U3271" s="2">
        <v>6</v>
      </c>
      <c r="V3271" s="2">
        <v>36</v>
      </c>
      <c r="W3271" s="2">
        <v>4</v>
      </c>
      <c r="X3271" s="2">
        <v>18</v>
      </c>
      <c r="AA3271" s="3" t="s">
        <v>57</v>
      </c>
      <c r="AB3271" s="2">
        <v>1</v>
      </c>
      <c r="AF3271" s="2">
        <v>30</v>
      </c>
      <c r="AG3271" s="2">
        <v>1</v>
      </c>
      <c r="AH3271" s="3" t="s">
        <v>3358</v>
      </c>
      <c r="AI3271" s="4">
        <v>45427</v>
      </c>
      <c r="AJ3271" s="3" t="s">
        <v>3422</v>
      </c>
      <c r="AK3271" s="3" t="s">
        <v>248</v>
      </c>
    </row>
    <row r="3272" spans="1:37" hidden="1" x14ac:dyDescent="0.25">
      <c r="A3272" t="str">
        <f t="shared" si="51"/>
        <v>2024_Qld_Gatton_Chickpea_DetailedTOS2VarietyHatTrickWaterTrtIrrigated</v>
      </c>
      <c r="B3272" s="2">
        <v>2024037</v>
      </c>
      <c r="C3272" s="3" t="s">
        <v>3348</v>
      </c>
      <c r="D3272" s="3" t="s">
        <v>248</v>
      </c>
      <c r="F3272" s="3" t="s">
        <v>4178</v>
      </c>
      <c r="G3272" s="3" t="s">
        <v>39</v>
      </c>
      <c r="H3272" s="3" t="s">
        <v>250</v>
      </c>
      <c r="I3272" s="2">
        <v>73</v>
      </c>
      <c r="J3272" s="2">
        <v>37</v>
      </c>
      <c r="K3272" s="2">
        <v>3</v>
      </c>
      <c r="O3272" s="2">
        <v>10</v>
      </c>
      <c r="U3272" s="2">
        <v>2</v>
      </c>
      <c r="V3272" s="2">
        <v>39</v>
      </c>
      <c r="W3272" s="2">
        <v>1</v>
      </c>
      <c r="X3272" s="2">
        <v>19</v>
      </c>
      <c r="AA3272" s="3" t="s">
        <v>57</v>
      </c>
      <c r="AB3272" s="2">
        <v>3</v>
      </c>
      <c r="AF3272" s="2">
        <v>30</v>
      </c>
      <c r="AG3272" s="2">
        <v>2</v>
      </c>
      <c r="AH3272" s="3" t="s">
        <v>3349</v>
      </c>
      <c r="AI3272" s="4">
        <v>45460</v>
      </c>
      <c r="AJ3272" s="3" t="s">
        <v>3423</v>
      </c>
      <c r="AK3272" s="3" t="s">
        <v>248</v>
      </c>
    </row>
    <row r="3273" spans="1:37" hidden="1" x14ac:dyDescent="0.25">
      <c r="A3273" t="str">
        <f t="shared" si="51"/>
        <v>2024_Qld_Gatton_Chickpea_DetailedTOS2VarietyStrikerWaterTrtIrrigated</v>
      </c>
      <c r="B3273" s="2">
        <v>2024037</v>
      </c>
      <c r="C3273" s="3" t="s">
        <v>3348</v>
      </c>
      <c r="D3273" s="3" t="s">
        <v>248</v>
      </c>
      <c r="F3273" s="3" t="s">
        <v>4179</v>
      </c>
      <c r="G3273" s="3" t="s">
        <v>43</v>
      </c>
      <c r="H3273" s="3" t="s">
        <v>250</v>
      </c>
      <c r="I3273" s="2">
        <v>74</v>
      </c>
      <c r="J3273" s="2">
        <v>38</v>
      </c>
      <c r="K3273" s="2">
        <v>3</v>
      </c>
      <c r="O3273" s="2">
        <v>10</v>
      </c>
      <c r="U3273" s="2">
        <v>3</v>
      </c>
      <c r="V3273" s="2">
        <v>39</v>
      </c>
      <c r="W3273" s="2">
        <v>2</v>
      </c>
      <c r="X3273" s="2">
        <v>19</v>
      </c>
      <c r="AA3273" s="3" t="s">
        <v>57</v>
      </c>
      <c r="AB3273" s="2">
        <v>4</v>
      </c>
      <c r="AF3273" s="2">
        <v>30</v>
      </c>
      <c r="AG3273" s="2">
        <v>2</v>
      </c>
      <c r="AH3273" s="3" t="s">
        <v>3349</v>
      </c>
      <c r="AI3273" s="4">
        <v>45460</v>
      </c>
      <c r="AJ3273" s="3" t="s">
        <v>3424</v>
      </c>
      <c r="AK3273" s="3" t="s">
        <v>248</v>
      </c>
    </row>
    <row r="3274" spans="1:37" hidden="1" x14ac:dyDescent="0.25">
      <c r="A3274" t="str">
        <f t="shared" si="51"/>
        <v>2024_Qld_Gatton_Chickpea_DetailedTOS2VarietyCBA_CaptainWaterTrtIrrigated</v>
      </c>
      <c r="B3274" s="2">
        <v>2024037</v>
      </c>
      <c r="C3274" s="3" t="s">
        <v>3348</v>
      </c>
      <c r="D3274" s="3" t="s">
        <v>248</v>
      </c>
      <c r="F3274" s="3" t="s">
        <v>249</v>
      </c>
      <c r="G3274" s="3" t="s">
        <v>43</v>
      </c>
      <c r="H3274" s="3" t="s">
        <v>250</v>
      </c>
      <c r="I3274" s="2">
        <v>75</v>
      </c>
      <c r="J3274" s="2">
        <v>39</v>
      </c>
      <c r="K3274" s="2">
        <v>3</v>
      </c>
      <c r="O3274" s="2">
        <v>10</v>
      </c>
      <c r="U3274" s="2">
        <v>5</v>
      </c>
      <c r="V3274" s="2">
        <v>39</v>
      </c>
      <c r="W3274" s="2">
        <v>3</v>
      </c>
      <c r="X3274" s="2">
        <v>19</v>
      </c>
      <c r="AA3274" s="3" t="s">
        <v>57</v>
      </c>
      <c r="AB3274" s="2">
        <v>1</v>
      </c>
      <c r="AF3274" s="2">
        <v>30</v>
      </c>
      <c r="AG3274" s="2">
        <v>2</v>
      </c>
      <c r="AH3274" s="3" t="s">
        <v>3349</v>
      </c>
      <c r="AI3274" s="4">
        <v>45460</v>
      </c>
      <c r="AJ3274" s="3" t="s">
        <v>3425</v>
      </c>
      <c r="AK3274" s="3" t="s">
        <v>248</v>
      </c>
    </row>
    <row r="3275" spans="1:37" hidden="1" x14ac:dyDescent="0.25">
      <c r="A3275" t="str">
        <f t="shared" si="51"/>
        <v>2024_Qld_Gatton_Chickpea_DetailedTOS2VarietyDrummondWaterTrtIrrigated</v>
      </c>
      <c r="B3275" s="2">
        <v>2024037</v>
      </c>
      <c r="C3275" s="3" t="s">
        <v>3348</v>
      </c>
      <c r="D3275" s="3" t="s">
        <v>248</v>
      </c>
      <c r="F3275" s="3" t="s">
        <v>4182</v>
      </c>
      <c r="G3275" s="3" t="s">
        <v>39</v>
      </c>
      <c r="H3275" s="3" t="s">
        <v>250</v>
      </c>
      <c r="I3275" s="2">
        <v>76</v>
      </c>
      <c r="J3275" s="2">
        <v>40</v>
      </c>
      <c r="K3275" s="2">
        <v>3</v>
      </c>
      <c r="O3275" s="2">
        <v>10</v>
      </c>
      <c r="U3275" s="2">
        <v>6</v>
      </c>
      <c r="V3275" s="2">
        <v>39</v>
      </c>
      <c r="W3275" s="2">
        <v>4</v>
      </c>
      <c r="X3275" s="2">
        <v>19</v>
      </c>
      <c r="AA3275" s="3" t="s">
        <v>57</v>
      </c>
      <c r="AB3275" s="2">
        <v>2</v>
      </c>
      <c r="AF3275" s="2">
        <v>30</v>
      </c>
      <c r="AG3275" s="2">
        <v>2</v>
      </c>
      <c r="AH3275" s="3" t="s">
        <v>3349</v>
      </c>
      <c r="AI3275" s="4">
        <v>45460</v>
      </c>
      <c r="AJ3275" s="3" t="s">
        <v>3426</v>
      </c>
      <c r="AK3275" s="3" t="s">
        <v>248</v>
      </c>
    </row>
    <row r="3276" spans="1:37" hidden="1" x14ac:dyDescent="0.25">
      <c r="A3276" t="str">
        <f t="shared" si="51"/>
        <v>2024_Qld_Gatton_Chickpea_DetailedTOS2VarietyHatTrickWaterTrtIrrigated</v>
      </c>
      <c r="B3276" s="2">
        <v>2024037</v>
      </c>
      <c r="C3276" s="3" t="s">
        <v>3348</v>
      </c>
      <c r="D3276" s="3" t="s">
        <v>248</v>
      </c>
      <c r="F3276" s="3" t="s">
        <v>4178</v>
      </c>
      <c r="G3276" s="3" t="s">
        <v>39</v>
      </c>
      <c r="H3276" s="3" t="s">
        <v>253</v>
      </c>
      <c r="I3276" s="2">
        <v>77</v>
      </c>
      <c r="J3276" s="2">
        <v>37</v>
      </c>
      <c r="K3276" s="2">
        <v>3</v>
      </c>
      <c r="O3276" s="2">
        <v>10</v>
      </c>
      <c r="U3276" s="2">
        <v>2</v>
      </c>
      <c r="V3276" s="2">
        <v>40</v>
      </c>
      <c r="W3276" s="2">
        <v>1</v>
      </c>
      <c r="X3276" s="2">
        <v>20</v>
      </c>
      <c r="Z3276" s="2">
        <v>40</v>
      </c>
      <c r="AA3276" s="3" t="s">
        <v>57</v>
      </c>
      <c r="AB3276" s="2">
        <v>3</v>
      </c>
      <c r="AF3276" s="2">
        <v>30</v>
      </c>
      <c r="AG3276" s="2">
        <v>2</v>
      </c>
      <c r="AH3276" s="3" t="s">
        <v>3349</v>
      </c>
      <c r="AI3276" s="4">
        <v>45460</v>
      </c>
      <c r="AJ3276" s="3" t="s">
        <v>3427</v>
      </c>
      <c r="AK3276" s="3" t="s">
        <v>248</v>
      </c>
    </row>
    <row r="3277" spans="1:37" hidden="1" x14ac:dyDescent="0.25">
      <c r="A3277" t="str">
        <f t="shared" si="51"/>
        <v>2024_Qld_Gatton_Chickpea_DetailedTOS2VarietyStrikerWaterTrtIrrigated</v>
      </c>
      <c r="B3277" s="2">
        <v>2024037</v>
      </c>
      <c r="C3277" s="3" t="s">
        <v>3348</v>
      </c>
      <c r="D3277" s="3" t="s">
        <v>248</v>
      </c>
      <c r="F3277" s="3" t="s">
        <v>4179</v>
      </c>
      <c r="G3277" s="3" t="s">
        <v>43</v>
      </c>
      <c r="H3277" s="3" t="s">
        <v>253</v>
      </c>
      <c r="I3277" s="2">
        <v>78</v>
      </c>
      <c r="J3277" s="2">
        <v>38</v>
      </c>
      <c r="K3277" s="2">
        <v>3</v>
      </c>
      <c r="O3277" s="2">
        <v>10</v>
      </c>
      <c r="U3277" s="2">
        <v>3</v>
      </c>
      <c r="V3277" s="2">
        <v>40</v>
      </c>
      <c r="W3277" s="2">
        <v>2</v>
      </c>
      <c r="X3277" s="2">
        <v>20</v>
      </c>
      <c r="Z3277" s="2">
        <v>39</v>
      </c>
      <c r="AA3277" s="3" t="s">
        <v>57</v>
      </c>
      <c r="AB3277" s="2">
        <v>4</v>
      </c>
      <c r="AF3277" s="2">
        <v>30</v>
      </c>
      <c r="AG3277" s="2">
        <v>2</v>
      </c>
      <c r="AH3277" s="3" t="s">
        <v>3349</v>
      </c>
      <c r="AI3277" s="4">
        <v>45460</v>
      </c>
      <c r="AJ3277" s="3" t="s">
        <v>3428</v>
      </c>
      <c r="AK3277" s="3" t="s">
        <v>248</v>
      </c>
    </row>
    <row r="3278" spans="1:37" hidden="1" x14ac:dyDescent="0.25">
      <c r="A3278" t="str">
        <f t="shared" si="51"/>
        <v>2024_Qld_Gatton_Chickpea_DetailedTOS2VarietyCBA_CaptainWaterTrtIrrigated</v>
      </c>
      <c r="B3278" s="2">
        <v>2024037</v>
      </c>
      <c r="C3278" s="3" t="s">
        <v>3348</v>
      </c>
      <c r="D3278" s="3" t="s">
        <v>248</v>
      </c>
      <c r="F3278" s="3" t="s">
        <v>249</v>
      </c>
      <c r="G3278" s="3" t="s">
        <v>43</v>
      </c>
      <c r="H3278" s="3" t="s">
        <v>253</v>
      </c>
      <c r="I3278" s="2">
        <v>79</v>
      </c>
      <c r="J3278" s="2">
        <v>39</v>
      </c>
      <c r="K3278" s="2">
        <v>3</v>
      </c>
      <c r="O3278" s="2">
        <v>10</v>
      </c>
      <c r="U3278" s="2">
        <v>5</v>
      </c>
      <c r="V3278" s="2">
        <v>40</v>
      </c>
      <c r="W3278" s="2">
        <v>3</v>
      </c>
      <c r="X3278" s="2">
        <v>20</v>
      </c>
      <c r="Z3278" s="2">
        <v>38</v>
      </c>
      <c r="AA3278" s="3" t="s">
        <v>57</v>
      </c>
      <c r="AB3278" s="2">
        <v>1</v>
      </c>
      <c r="AF3278" s="2">
        <v>30</v>
      </c>
      <c r="AG3278" s="2">
        <v>2</v>
      </c>
      <c r="AH3278" s="3" t="s">
        <v>3349</v>
      </c>
      <c r="AI3278" s="4">
        <v>45460</v>
      </c>
      <c r="AJ3278" s="3" t="s">
        <v>3429</v>
      </c>
      <c r="AK3278" s="3" t="s">
        <v>248</v>
      </c>
    </row>
    <row r="3279" spans="1:37" hidden="1" x14ac:dyDescent="0.25">
      <c r="A3279" t="str">
        <f t="shared" si="51"/>
        <v>2024_Qld_Gatton_Chickpea_DetailedTOS2VarietyDrummondWaterTrtIrrigated</v>
      </c>
      <c r="B3279" s="2">
        <v>2024037</v>
      </c>
      <c r="C3279" s="3" t="s">
        <v>3348</v>
      </c>
      <c r="D3279" s="3" t="s">
        <v>248</v>
      </c>
      <c r="F3279" s="3" t="s">
        <v>4182</v>
      </c>
      <c r="G3279" s="3" t="s">
        <v>39</v>
      </c>
      <c r="H3279" s="3" t="s">
        <v>253</v>
      </c>
      <c r="I3279" s="2">
        <v>80</v>
      </c>
      <c r="J3279" s="2">
        <v>40</v>
      </c>
      <c r="K3279" s="2">
        <v>3</v>
      </c>
      <c r="O3279" s="2">
        <v>10</v>
      </c>
      <c r="U3279" s="2">
        <v>6</v>
      </c>
      <c r="V3279" s="2">
        <v>40</v>
      </c>
      <c r="W3279" s="2">
        <v>4</v>
      </c>
      <c r="X3279" s="2">
        <v>20</v>
      </c>
      <c r="Z3279" s="2">
        <v>37</v>
      </c>
      <c r="AA3279" s="3" t="s">
        <v>57</v>
      </c>
      <c r="AB3279" s="2">
        <v>2</v>
      </c>
      <c r="AF3279" s="2">
        <v>30</v>
      </c>
      <c r="AG3279" s="2">
        <v>2</v>
      </c>
      <c r="AH3279" s="3" t="s">
        <v>3349</v>
      </c>
      <c r="AI3279" s="4">
        <v>45460</v>
      </c>
      <c r="AJ3279" s="3" t="s">
        <v>3430</v>
      </c>
      <c r="AK3279" s="3" t="s">
        <v>248</v>
      </c>
    </row>
    <row r="3280" spans="1:37" hidden="1" x14ac:dyDescent="0.25">
      <c r="A3280" t="str">
        <f t="shared" si="51"/>
        <v>2024_Qld_Gatton_Chickpea_DetailedTOS1VarietyCBA_CaptainWaterTrtRainFed</v>
      </c>
      <c r="B3280" s="2">
        <v>2024037</v>
      </c>
      <c r="C3280" s="3" t="s">
        <v>3348</v>
      </c>
      <c r="D3280" s="3" t="s">
        <v>248</v>
      </c>
      <c r="F3280" s="3" t="s">
        <v>249</v>
      </c>
      <c r="G3280" s="3" t="s">
        <v>43</v>
      </c>
      <c r="H3280" s="3" t="s">
        <v>253</v>
      </c>
      <c r="I3280" s="2">
        <v>81</v>
      </c>
      <c r="J3280" s="2">
        <v>41</v>
      </c>
      <c r="K3280" s="2">
        <v>3</v>
      </c>
      <c r="O3280" s="2">
        <v>11</v>
      </c>
      <c r="U3280" s="2">
        <v>2</v>
      </c>
      <c r="V3280" s="2">
        <v>43</v>
      </c>
      <c r="W3280" s="2">
        <v>1</v>
      </c>
      <c r="X3280" s="2">
        <v>21</v>
      </c>
      <c r="Z3280" s="2">
        <v>41</v>
      </c>
      <c r="AA3280" s="3" t="s">
        <v>40</v>
      </c>
      <c r="AB3280" s="2">
        <v>1</v>
      </c>
      <c r="AF3280" s="2">
        <v>30</v>
      </c>
      <c r="AG3280" s="2">
        <v>1</v>
      </c>
      <c r="AH3280" s="3" t="s">
        <v>3358</v>
      </c>
      <c r="AI3280" s="4">
        <v>45427</v>
      </c>
      <c r="AJ3280" s="3" t="s">
        <v>3431</v>
      </c>
      <c r="AK3280" s="3" t="s">
        <v>248</v>
      </c>
    </row>
    <row r="3281" spans="1:37" hidden="1" x14ac:dyDescent="0.25">
      <c r="A3281" t="str">
        <f t="shared" si="51"/>
        <v>2024_Qld_Gatton_Chickpea_DetailedTOS1VarietyHatTrickWaterTrtRainFed</v>
      </c>
      <c r="B3281" s="2">
        <v>2024037</v>
      </c>
      <c r="C3281" s="3" t="s">
        <v>3348</v>
      </c>
      <c r="D3281" s="3" t="s">
        <v>248</v>
      </c>
      <c r="F3281" s="3" t="s">
        <v>4178</v>
      </c>
      <c r="G3281" s="3" t="s">
        <v>39</v>
      </c>
      <c r="H3281" s="3" t="s">
        <v>253</v>
      </c>
      <c r="I3281" s="2">
        <v>82</v>
      </c>
      <c r="J3281" s="2">
        <v>42</v>
      </c>
      <c r="K3281" s="2">
        <v>3</v>
      </c>
      <c r="O3281" s="2">
        <v>11</v>
      </c>
      <c r="U3281" s="2">
        <v>3</v>
      </c>
      <c r="V3281" s="2">
        <v>43</v>
      </c>
      <c r="W3281" s="2">
        <v>2</v>
      </c>
      <c r="X3281" s="2">
        <v>21</v>
      </c>
      <c r="Z3281" s="2">
        <v>42</v>
      </c>
      <c r="AA3281" s="3" t="s">
        <v>40</v>
      </c>
      <c r="AB3281" s="2">
        <v>3</v>
      </c>
      <c r="AF3281" s="2">
        <v>30</v>
      </c>
      <c r="AG3281" s="2">
        <v>1</v>
      </c>
      <c r="AH3281" s="3" t="s">
        <v>3358</v>
      </c>
      <c r="AI3281" s="4">
        <v>45427</v>
      </c>
      <c r="AJ3281" s="3" t="s">
        <v>3432</v>
      </c>
      <c r="AK3281" s="3" t="s">
        <v>248</v>
      </c>
    </row>
    <row r="3282" spans="1:37" hidden="1" x14ac:dyDescent="0.25">
      <c r="A3282" t="str">
        <f t="shared" si="51"/>
        <v>2024_Qld_Gatton_Chickpea_DetailedTOS1VarietyStrikerWaterTrtRainFed</v>
      </c>
      <c r="B3282" s="2">
        <v>2024037</v>
      </c>
      <c r="C3282" s="3" t="s">
        <v>3348</v>
      </c>
      <c r="D3282" s="3" t="s">
        <v>248</v>
      </c>
      <c r="F3282" s="3" t="s">
        <v>4179</v>
      </c>
      <c r="G3282" s="3" t="s">
        <v>43</v>
      </c>
      <c r="H3282" s="3" t="s">
        <v>253</v>
      </c>
      <c r="I3282" s="2">
        <v>83</v>
      </c>
      <c r="J3282" s="2">
        <v>43</v>
      </c>
      <c r="K3282" s="2">
        <v>3</v>
      </c>
      <c r="O3282" s="2">
        <v>11</v>
      </c>
      <c r="U3282" s="2">
        <v>5</v>
      </c>
      <c r="V3282" s="2">
        <v>43</v>
      </c>
      <c r="W3282" s="2">
        <v>3</v>
      </c>
      <c r="X3282" s="2">
        <v>21</v>
      </c>
      <c r="Z3282" s="2">
        <v>43</v>
      </c>
      <c r="AA3282" s="3" t="s">
        <v>40</v>
      </c>
      <c r="AB3282" s="2">
        <v>4</v>
      </c>
      <c r="AF3282" s="2">
        <v>30</v>
      </c>
      <c r="AG3282" s="2">
        <v>1</v>
      </c>
      <c r="AH3282" s="3" t="s">
        <v>3358</v>
      </c>
      <c r="AI3282" s="4">
        <v>45427</v>
      </c>
      <c r="AJ3282" s="3" t="s">
        <v>3433</v>
      </c>
      <c r="AK3282" s="3" t="s">
        <v>248</v>
      </c>
    </row>
    <row r="3283" spans="1:37" hidden="1" x14ac:dyDescent="0.25">
      <c r="A3283" t="str">
        <f t="shared" si="51"/>
        <v>2024_Qld_Gatton_Chickpea_DetailedTOS1VarietyDrummondWaterTrtRainFed</v>
      </c>
      <c r="B3283" s="2">
        <v>2024037</v>
      </c>
      <c r="C3283" s="3" t="s">
        <v>3348</v>
      </c>
      <c r="D3283" s="3" t="s">
        <v>248</v>
      </c>
      <c r="F3283" s="3" t="s">
        <v>4182</v>
      </c>
      <c r="G3283" s="3" t="s">
        <v>39</v>
      </c>
      <c r="H3283" s="3" t="s">
        <v>253</v>
      </c>
      <c r="I3283" s="2">
        <v>84</v>
      </c>
      <c r="J3283" s="2">
        <v>44</v>
      </c>
      <c r="K3283" s="2">
        <v>3</v>
      </c>
      <c r="O3283" s="2">
        <v>11</v>
      </c>
      <c r="U3283" s="2">
        <v>6</v>
      </c>
      <c r="V3283" s="2">
        <v>43</v>
      </c>
      <c r="W3283" s="2">
        <v>4</v>
      </c>
      <c r="X3283" s="2">
        <v>21</v>
      </c>
      <c r="Z3283" s="2">
        <v>44</v>
      </c>
      <c r="AA3283" s="3" t="s">
        <v>40</v>
      </c>
      <c r="AB3283" s="2">
        <v>2</v>
      </c>
      <c r="AF3283" s="2">
        <v>30</v>
      </c>
      <c r="AG3283" s="2">
        <v>1</v>
      </c>
      <c r="AH3283" s="3" t="s">
        <v>3358</v>
      </c>
      <c r="AI3283" s="4">
        <v>45427</v>
      </c>
      <c r="AJ3283" s="3" t="s">
        <v>3434</v>
      </c>
      <c r="AK3283" s="3" t="s">
        <v>248</v>
      </c>
    </row>
    <row r="3284" spans="1:37" hidden="1" x14ac:dyDescent="0.25">
      <c r="A3284" t="str">
        <f t="shared" si="51"/>
        <v>2024_Qld_Gatton_Chickpea_DetailedTOS1VarietyCBA_CaptainWaterTrtRainFed</v>
      </c>
      <c r="B3284" s="2">
        <v>2024037</v>
      </c>
      <c r="C3284" s="3" t="s">
        <v>3348</v>
      </c>
      <c r="D3284" s="3" t="s">
        <v>248</v>
      </c>
      <c r="F3284" s="3" t="s">
        <v>249</v>
      </c>
      <c r="G3284" s="3" t="s">
        <v>43</v>
      </c>
      <c r="H3284" s="3" t="s">
        <v>250</v>
      </c>
      <c r="I3284" s="2">
        <v>85</v>
      </c>
      <c r="J3284" s="2">
        <v>41</v>
      </c>
      <c r="K3284" s="2">
        <v>3</v>
      </c>
      <c r="O3284" s="2">
        <v>11</v>
      </c>
      <c r="U3284" s="2">
        <v>2</v>
      </c>
      <c r="V3284" s="2">
        <v>44</v>
      </c>
      <c r="W3284" s="2">
        <v>1</v>
      </c>
      <c r="X3284" s="2">
        <v>22</v>
      </c>
      <c r="AA3284" s="3" t="s">
        <v>40</v>
      </c>
      <c r="AB3284" s="2">
        <v>1</v>
      </c>
      <c r="AF3284" s="2">
        <v>30</v>
      </c>
      <c r="AG3284" s="2">
        <v>1</v>
      </c>
      <c r="AH3284" s="3" t="s">
        <v>3358</v>
      </c>
      <c r="AI3284" s="4">
        <v>45427</v>
      </c>
      <c r="AJ3284" s="3" t="s">
        <v>3435</v>
      </c>
      <c r="AK3284" s="3" t="s">
        <v>248</v>
      </c>
    </row>
    <row r="3285" spans="1:37" hidden="1" x14ac:dyDescent="0.25">
      <c r="A3285" t="str">
        <f t="shared" si="51"/>
        <v>2024_Qld_Gatton_Chickpea_DetailedTOS1VarietyHatTrickWaterTrtRainFed</v>
      </c>
      <c r="B3285" s="2">
        <v>2024037</v>
      </c>
      <c r="C3285" s="3" t="s">
        <v>3348</v>
      </c>
      <c r="D3285" s="3" t="s">
        <v>248</v>
      </c>
      <c r="F3285" s="3" t="s">
        <v>4178</v>
      </c>
      <c r="G3285" s="3" t="s">
        <v>39</v>
      </c>
      <c r="H3285" s="3" t="s">
        <v>250</v>
      </c>
      <c r="I3285" s="2">
        <v>86</v>
      </c>
      <c r="J3285" s="2">
        <v>42</v>
      </c>
      <c r="K3285" s="2">
        <v>3</v>
      </c>
      <c r="O3285" s="2">
        <v>11</v>
      </c>
      <c r="U3285" s="2">
        <v>3</v>
      </c>
      <c r="V3285" s="2">
        <v>44</v>
      </c>
      <c r="W3285" s="2">
        <v>2</v>
      </c>
      <c r="X3285" s="2">
        <v>22</v>
      </c>
      <c r="AA3285" s="3" t="s">
        <v>40</v>
      </c>
      <c r="AB3285" s="2">
        <v>3</v>
      </c>
      <c r="AF3285" s="2">
        <v>30</v>
      </c>
      <c r="AG3285" s="2">
        <v>1</v>
      </c>
      <c r="AH3285" s="3" t="s">
        <v>3358</v>
      </c>
      <c r="AI3285" s="4">
        <v>45427</v>
      </c>
      <c r="AJ3285" s="3" t="s">
        <v>3436</v>
      </c>
      <c r="AK3285" s="3" t="s">
        <v>248</v>
      </c>
    </row>
    <row r="3286" spans="1:37" hidden="1" x14ac:dyDescent="0.25">
      <c r="A3286" t="str">
        <f t="shared" si="51"/>
        <v>2024_Qld_Gatton_Chickpea_DetailedTOS1VarietyStrikerWaterTrtRainFed</v>
      </c>
      <c r="B3286" s="2">
        <v>2024037</v>
      </c>
      <c r="C3286" s="3" t="s">
        <v>3348</v>
      </c>
      <c r="D3286" s="3" t="s">
        <v>248</v>
      </c>
      <c r="F3286" s="3" t="s">
        <v>4179</v>
      </c>
      <c r="G3286" s="3" t="s">
        <v>43</v>
      </c>
      <c r="H3286" s="3" t="s">
        <v>250</v>
      </c>
      <c r="I3286" s="2">
        <v>87</v>
      </c>
      <c r="J3286" s="2">
        <v>43</v>
      </c>
      <c r="K3286" s="2">
        <v>3</v>
      </c>
      <c r="O3286" s="2">
        <v>11</v>
      </c>
      <c r="U3286" s="2">
        <v>5</v>
      </c>
      <c r="V3286" s="2">
        <v>44</v>
      </c>
      <c r="W3286" s="2">
        <v>3</v>
      </c>
      <c r="X3286" s="2">
        <v>22</v>
      </c>
      <c r="AA3286" s="3" t="s">
        <v>40</v>
      </c>
      <c r="AB3286" s="2">
        <v>4</v>
      </c>
      <c r="AF3286" s="2">
        <v>30</v>
      </c>
      <c r="AG3286" s="2">
        <v>1</v>
      </c>
      <c r="AH3286" s="3" t="s">
        <v>3358</v>
      </c>
      <c r="AI3286" s="4">
        <v>45427</v>
      </c>
      <c r="AJ3286" s="3" t="s">
        <v>3437</v>
      </c>
      <c r="AK3286" s="3" t="s">
        <v>248</v>
      </c>
    </row>
    <row r="3287" spans="1:37" hidden="1" x14ac:dyDescent="0.25">
      <c r="A3287" t="str">
        <f t="shared" si="51"/>
        <v>2024_Qld_Gatton_Chickpea_DetailedTOS1VarietyDrummondWaterTrtRainFed</v>
      </c>
      <c r="B3287" s="2">
        <v>2024037</v>
      </c>
      <c r="C3287" s="3" t="s">
        <v>3348</v>
      </c>
      <c r="D3287" s="3" t="s">
        <v>248</v>
      </c>
      <c r="F3287" s="3" t="s">
        <v>4182</v>
      </c>
      <c r="G3287" s="3" t="s">
        <v>39</v>
      </c>
      <c r="H3287" s="3" t="s">
        <v>250</v>
      </c>
      <c r="I3287" s="2">
        <v>88</v>
      </c>
      <c r="J3287" s="2">
        <v>44</v>
      </c>
      <c r="K3287" s="2">
        <v>3</v>
      </c>
      <c r="O3287" s="2">
        <v>11</v>
      </c>
      <c r="U3287" s="2">
        <v>6</v>
      </c>
      <c r="V3287" s="2">
        <v>44</v>
      </c>
      <c r="W3287" s="2">
        <v>4</v>
      </c>
      <c r="X3287" s="2">
        <v>22</v>
      </c>
      <c r="AA3287" s="3" t="s">
        <v>40</v>
      </c>
      <c r="AB3287" s="2">
        <v>2</v>
      </c>
      <c r="AF3287" s="2">
        <v>30</v>
      </c>
      <c r="AG3287" s="2">
        <v>1</v>
      </c>
      <c r="AH3287" s="3" t="s">
        <v>3358</v>
      </c>
      <c r="AI3287" s="4">
        <v>45427</v>
      </c>
      <c r="AJ3287" s="3" t="s">
        <v>3438</v>
      </c>
      <c r="AK3287" s="3" t="s">
        <v>248</v>
      </c>
    </row>
    <row r="3288" spans="1:37" hidden="1" x14ac:dyDescent="0.25">
      <c r="A3288" t="str">
        <f t="shared" si="51"/>
        <v>2024_Qld_Gatton_Chickpea_DetailedTOS2VarietyStrikerWaterTrtRainFed</v>
      </c>
      <c r="B3288" s="2">
        <v>2024037</v>
      </c>
      <c r="C3288" s="3" t="s">
        <v>3348</v>
      </c>
      <c r="D3288" s="3" t="s">
        <v>248</v>
      </c>
      <c r="F3288" s="3" t="s">
        <v>4179</v>
      </c>
      <c r="G3288" s="3" t="s">
        <v>43</v>
      </c>
      <c r="H3288" s="3" t="s">
        <v>250</v>
      </c>
      <c r="I3288" s="2">
        <v>89</v>
      </c>
      <c r="J3288" s="2">
        <v>45</v>
      </c>
      <c r="K3288" s="2">
        <v>3</v>
      </c>
      <c r="O3288" s="2">
        <v>12</v>
      </c>
      <c r="U3288" s="2">
        <v>2</v>
      </c>
      <c r="V3288" s="2">
        <v>47</v>
      </c>
      <c r="W3288" s="2">
        <v>1</v>
      </c>
      <c r="X3288" s="2">
        <v>23</v>
      </c>
      <c r="AA3288" s="3" t="s">
        <v>40</v>
      </c>
      <c r="AB3288" s="2">
        <v>4</v>
      </c>
      <c r="AF3288" s="2">
        <v>30</v>
      </c>
      <c r="AG3288" s="2">
        <v>2</v>
      </c>
      <c r="AH3288" s="3" t="s">
        <v>3349</v>
      </c>
      <c r="AI3288" s="4">
        <v>45460</v>
      </c>
      <c r="AJ3288" s="3" t="s">
        <v>3439</v>
      </c>
      <c r="AK3288" s="3" t="s">
        <v>248</v>
      </c>
    </row>
    <row r="3289" spans="1:37" hidden="1" x14ac:dyDescent="0.25">
      <c r="A3289" t="str">
        <f t="shared" si="51"/>
        <v>2024_Qld_Gatton_Chickpea_DetailedTOS2VarietyCBA_CaptainWaterTrtRainFed</v>
      </c>
      <c r="B3289" s="2">
        <v>2024037</v>
      </c>
      <c r="C3289" s="3" t="s">
        <v>3348</v>
      </c>
      <c r="D3289" s="3" t="s">
        <v>248</v>
      </c>
      <c r="F3289" s="3" t="s">
        <v>249</v>
      </c>
      <c r="G3289" s="3" t="s">
        <v>43</v>
      </c>
      <c r="H3289" s="3" t="s">
        <v>250</v>
      </c>
      <c r="I3289" s="2">
        <v>90</v>
      </c>
      <c r="J3289" s="2">
        <v>46</v>
      </c>
      <c r="K3289" s="2">
        <v>3</v>
      </c>
      <c r="O3289" s="2">
        <v>12</v>
      </c>
      <c r="U3289" s="2">
        <v>3</v>
      </c>
      <c r="V3289" s="2">
        <v>47</v>
      </c>
      <c r="W3289" s="2">
        <v>2</v>
      </c>
      <c r="X3289" s="2">
        <v>23</v>
      </c>
      <c r="AA3289" s="3" t="s">
        <v>40</v>
      </c>
      <c r="AB3289" s="2">
        <v>1</v>
      </c>
      <c r="AF3289" s="2">
        <v>30</v>
      </c>
      <c r="AG3289" s="2">
        <v>2</v>
      </c>
      <c r="AH3289" s="3" t="s">
        <v>3349</v>
      </c>
      <c r="AI3289" s="4">
        <v>45460</v>
      </c>
      <c r="AJ3289" s="3" t="s">
        <v>3440</v>
      </c>
      <c r="AK3289" s="3" t="s">
        <v>248</v>
      </c>
    </row>
    <row r="3290" spans="1:37" hidden="1" x14ac:dyDescent="0.25">
      <c r="A3290" t="str">
        <f t="shared" si="51"/>
        <v>2024_Qld_Gatton_Chickpea_DetailedTOS2VarietyDrummondWaterTrtRainFed</v>
      </c>
      <c r="B3290" s="2">
        <v>2024037</v>
      </c>
      <c r="C3290" s="3" t="s">
        <v>3348</v>
      </c>
      <c r="D3290" s="3" t="s">
        <v>248</v>
      </c>
      <c r="F3290" s="3" t="s">
        <v>4182</v>
      </c>
      <c r="G3290" s="3" t="s">
        <v>39</v>
      </c>
      <c r="H3290" s="3" t="s">
        <v>250</v>
      </c>
      <c r="I3290" s="2">
        <v>91</v>
      </c>
      <c r="J3290" s="2">
        <v>47</v>
      </c>
      <c r="K3290" s="2">
        <v>3</v>
      </c>
      <c r="O3290" s="2">
        <v>12</v>
      </c>
      <c r="U3290" s="2">
        <v>5</v>
      </c>
      <c r="V3290" s="2">
        <v>47</v>
      </c>
      <c r="W3290" s="2">
        <v>3</v>
      </c>
      <c r="X3290" s="2">
        <v>23</v>
      </c>
      <c r="AA3290" s="3" t="s">
        <v>40</v>
      </c>
      <c r="AB3290" s="2">
        <v>2</v>
      </c>
      <c r="AF3290" s="2">
        <v>30</v>
      </c>
      <c r="AG3290" s="2">
        <v>2</v>
      </c>
      <c r="AH3290" s="3" t="s">
        <v>3349</v>
      </c>
      <c r="AI3290" s="4">
        <v>45460</v>
      </c>
      <c r="AJ3290" s="3" t="s">
        <v>3441</v>
      </c>
      <c r="AK3290" s="3" t="s">
        <v>248</v>
      </c>
    </row>
    <row r="3291" spans="1:37" hidden="1" x14ac:dyDescent="0.25">
      <c r="A3291" t="str">
        <f t="shared" si="51"/>
        <v>2024_Qld_Gatton_Chickpea_DetailedTOS2VarietyHatTrickWaterTrtRainFed</v>
      </c>
      <c r="B3291" s="2">
        <v>2024037</v>
      </c>
      <c r="C3291" s="3" t="s">
        <v>3348</v>
      </c>
      <c r="D3291" s="3" t="s">
        <v>248</v>
      </c>
      <c r="F3291" s="3" t="s">
        <v>4178</v>
      </c>
      <c r="G3291" s="3" t="s">
        <v>39</v>
      </c>
      <c r="H3291" s="3" t="s">
        <v>250</v>
      </c>
      <c r="I3291" s="2">
        <v>92</v>
      </c>
      <c r="J3291" s="2">
        <v>48</v>
      </c>
      <c r="K3291" s="2">
        <v>3</v>
      </c>
      <c r="O3291" s="2">
        <v>12</v>
      </c>
      <c r="U3291" s="2">
        <v>6</v>
      </c>
      <c r="V3291" s="2">
        <v>47</v>
      </c>
      <c r="W3291" s="2">
        <v>4</v>
      </c>
      <c r="X3291" s="2">
        <v>23</v>
      </c>
      <c r="AA3291" s="3" t="s">
        <v>40</v>
      </c>
      <c r="AB3291" s="2">
        <v>3</v>
      </c>
      <c r="AF3291" s="2">
        <v>30</v>
      </c>
      <c r="AG3291" s="2">
        <v>2</v>
      </c>
      <c r="AH3291" s="3" t="s">
        <v>3349</v>
      </c>
      <c r="AI3291" s="4">
        <v>45460</v>
      </c>
      <c r="AJ3291" s="3" t="s">
        <v>3442</v>
      </c>
      <c r="AK3291" s="3" t="s">
        <v>248</v>
      </c>
    </row>
    <row r="3292" spans="1:37" hidden="1" x14ac:dyDescent="0.25">
      <c r="A3292" t="str">
        <f t="shared" si="51"/>
        <v>2024_Qld_Gatton_Chickpea_DetailedTOS2VarietyStrikerWaterTrtRainFed</v>
      </c>
      <c r="B3292" s="2">
        <v>2024037</v>
      </c>
      <c r="C3292" s="3" t="s">
        <v>3348</v>
      </c>
      <c r="D3292" s="3" t="s">
        <v>248</v>
      </c>
      <c r="F3292" s="3" t="s">
        <v>4179</v>
      </c>
      <c r="G3292" s="3" t="s">
        <v>43</v>
      </c>
      <c r="H3292" s="3" t="s">
        <v>253</v>
      </c>
      <c r="I3292" s="2">
        <v>93</v>
      </c>
      <c r="J3292" s="2">
        <v>45</v>
      </c>
      <c r="K3292" s="2">
        <v>3</v>
      </c>
      <c r="O3292" s="2">
        <v>12</v>
      </c>
      <c r="U3292" s="2">
        <v>2</v>
      </c>
      <c r="V3292" s="2">
        <v>48</v>
      </c>
      <c r="W3292" s="2">
        <v>1</v>
      </c>
      <c r="X3292" s="2">
        <v>24</v>
      </c>
      <c r="Z3292" s="2">
        <v>48</v>
      </c>
      <c r="AA3292" s="3" t="s">
        <v>40</v>
      </c>
      <c r="AB3292" s="2">
        <v>4</v>
      </c>
      <c r="AF3292" s="2">
        <v>30</v>
      </c>
      <c r="AG3292" s="2">
        <v>2</v>
      </c>
      <c r="AH3292" s="3" t="s">
        <v>3349</v>
      </c>
      <c r="AI3292" s="4">
        <v>45460</v>
      </c>
      <c r="AJ3292" s="3" t="s">
        <v>3443</v>
      </c>
      <c r="AK3292" s="3" t="s">
        <v>248</v>
      </c>
    </row>
    <row r="3293" spans="1:37" hidden="1" x14ac:dyDescent="0.25">
      <c r="A3293" t="str">
        <f t="shared" si="51"/>
        <v>2024_Qld_Gatton_Chickpea_DetailedTOS2VarietyCBA_CaptainWaterTrtRainFed</v>
      </c>
      <c r="B3293" s="2">
        <v>2024037</v>
      </c>
      <c r="C3293" s="3" t="s">
        <v>3348</v>
      </c>
      <c r="D3293" s="3" t="s">
        <v>248</v>
      </c>
      <c r="F3293" s="3" t="s">
        <v>249</v>
      </c>
      <c r="G3293" s="3" t="s">
        <v>43</v>
      </c>
      <c r="H3293" s="3" t="s">
        <v>253</v>
      </c>
      <c r="I3293" s="2">
        <v>94</v>
      </c>
      <c r="J3293" s="2">
        <v>46</v>
      </c>
      <c r="K3293" s="2">
        <v>3</v>
      </c>
      <c r="O3293" s="2">
        <v>12</v>
      </c>
      <c r="U3293" s="2">
        <v>3</v>
      </c>
      <c r="V3293" s="2">
        <v>48</v>
      </c>
      <c r="W3293" s="2">
        <v>2</v>
      </c>
      <c r="X3293" s="2">
        <v>24</v>
      </c>
      <c r="Z3293" s="2">
        <v>47</v>
      </c>
      <c r="AA3293" s="3" t="s">
        <v>40</v>
      </c>
      <c r="AB3293" s="2">
        <v>1</v>
      </c>
      <c r="AF3293" s="2">
        <v>30</v>
      </c>
      <c r="AG3293" s="2">
        <v>2</v>
      </c>
      <c r="AH3293" s="3" t="s">
        <v>3349</v>
      </c>
      <c r="AI3293" s="4">
        <v>45460</v>
      </c>
      <c r="AJ3293" s="3" t="s">
        <v>3444</v>
      </c>
      <c r="AK3293" s="3" t="s">
        <v>248</v>
      </c>
    </row>
    <row r="3294" spans="1:37" hidden="1" x14ac:dyDescent="0.25">
      <c r="A3294" t="str">
        <f t="shared" si="51"/>
        <v>2024_Qld_Gatton_Chickpea_DetailedTOS2VarietyDrummondWaterTrtRainFed</v>
      </c>
      <c r="B3294" s="2">
        <v>2024037</v>
      </c>
      <c r="C3294" s="3" t="s">
        <v>3348</v>
      </c>
      <c r="D3294" s="3" t="s">
        <v>248</v>
      </c>
      <c r="F3294" s="3" t="s">
        <v>4182</v>
      </c>
      <c r="G3294" s="3" t="s">
        <v>39</v>
      </c>
      <c r="H3294" s="3" t="s">
        <v>253</v>
      </c>
      <c r="I3294" s="2">
        <v>95</v>
      </c>
      <c r="J3294" s="2">
        <v>47</v>
      </c>
      <c r="K3294" s="2">
        <v>3</v>
      </c>
      <c r="O3294" s="2">
        <v>12</v>
      </c>
      <c r="U3294" s="2">
        <v>5</v>
      </c>
      <c r="V3294" s="2">
        <v>48</v>
      </c>
      <c r="W3294" s="2">
        <v>3</v>
      </c>
      <c r="X3294" s="2">
        <v>24</v>
      </c>
      <c r="Z3294" s="2">
        <v>46</v>
      </c>
      <c r="AA3294" s="3" t="s">
        <v>40</v>
      </c>
      <c r="AB3294" s="2">
        <v>2</v>
      </c>
      <c r="AF3294" s="2">
        <v>30</v>
      </c>
      <c r="AG3294" s="2">
        <v>2</v>
      </c>
      <c r="AH3294" s="3" t="s">
        <v>3349</v>
      </c>
      <c r="AI3294" s="4">
        <v>45460</v>
      </c>
      <c r="AJ3294" s="3" t="s">
        <v>3445</v>
      </c>
      <c r="AK3294" s="3" t="s">
        <v>248</v>
      </c>
    </row>
    <row r="3295" spans="1:37" hidden="1" x14ac:dyDescent="0.25">
      <c r="A3295" t="str">
        <f t="shared" si="51"/>
        <v>2024_Qld_Gatton_Chickpea_DetailedTOS2VarietyHatTrickWaterTrtRainFed</v>
      </c>
      <c r="B3295" s="2">
        <v>2024037</v>
      </c>
      <c r="C3295" s="3" t="s">
        <v>3348</v>
      </c>
      <c r="D3295" s="3" t="s">
        <v>248</v>
      </c>
      <c r="F3295" s="3" t="s">
        <v>4178</v>
      </c>
      <c r="G3295" s="3" t="s">
        <v>39</v>
      </c>
      <c r="H3295" s="3" t="s">
        <v>253</v>
      </c>
      <c r="I3295" s="2">
        <v>96</v>
      </c>
      <c r="J3295" s="2">
        <v>48</v>
      </c>
      <c r="K3295" s="2">
        <v>3</v>
      </c>
      <c r="O3295" s="2">
        <v>12</v>
      </c>
      <c r="U3295" s="2">
        <v>6</v>
      </c>
      <c r="V3295" s="2">
        <v>48</v>
      </c>
      <c r="W3295" s="2">
        <v>4</v>
      </c>
      <c r="X3295" s="2">
        <v>24</v>
      </c>
      <c r="Z3295" s="2">
        <v>45</v>
      </c>
      <c r="AA3295" s="3" t="s">
        <v>40</v>
      </c>
      <c r="AB3295" s="2">
        <v>3</v>
      </c>
      <c r="AF3295" s="2">
        <v>30</v>
      </c>
      <c r="AG3295" s="2">
        <v>2</v>
      </c>
      <c r="AH3295" s="3" t="s">
        <v>3349</v>
      </c>
      <c r="AI3295" s="4">
        <v>45460</v>
      </c>
      <c r="AJ3295" s="3" t="s">
        <v>3446</v>
      </c>
      <c r="AK3295" s="3" t="s">
        <v>248</v>
      </c>
    </row>
    <row r="3296" spans="1:37" hidden="1" x14ac:dyDescent="0.25">
      <c r="A3296" t="str">
        <f t="shared" si="51"/>
        <v>2024_Qld_Gatton_Chickpea_DetailedTOS2VarietyCBA_CaptainWaterTrtIrrigated</v>
      </c>
      <c r="B3296" s="2">
        <v>2024037</v>
      </c>
      <c r="C3296" s="3" t="s">
        <v>3348</v>
      </c>
      <c r="D3296" s="3" t="s">
        <v>248</v>
      </c>
      <c r="F3296" s="3" t="s">
        <v>249</v>
      </c>
      <c r="G3296" s="3" t="s">
        <v>43</v>
      </c>
      <c r="H3296" s="3" t="s">
        <v>253</v>
      </c>
      <c r="I3296" s="2">
        <v>97</v>
      </c>
      <c r="J3296" s="2">
        <v>49</v>
      </c>
      <c r="K3296" s="2">
        <v>4</v>
      </c>
      <c r="O3296" s="2">
        <v>13</v>
      </c>
      <c r="U3296" s="2">
        <v>2</v>
      </c>
      <c r="V3296" s="2">
        <v>51</v>
      </c>
      <c r="W3296" s="2">
        <v>1</v>
      </c>
      <c r="X3296" s="2">
        <v>25</v>
      </c>
      <c r="Z3296" s="2">
        <v>49</v>
      </c>
      <c r="AA3296" s="3" t="s">
        <v>57</v>
      </c>
      <c r="AB3296" s="2">
        <v>1</v>
      </c>
      <c r="AF3296" s="2">
        <v>30</v>
      </c>
      <c r="AG3296" s="2">
        <v>2</v>
      </c>
      <c r="AH3296" s="3" t="s">
        <v>3349</v>
      </c>
      <c r="AI3296" s="4">
        <v>45460</v>
      </c>
      <c r="AJ3296" s="3" t="s">
        <v>3447</v>
      </c>
      <c r="AK3296" s="3" t="s">
        <v>248</v>
      </c>
    </row>
    <row r="3297" spans="1:37" hidden="1" x14ac:dyDescent="0.25">
      <c r="A3297" t="str">
        <f t="shared" si="51"/>
        <v>2024_Qld_Gatton_Chickpea_DetailedTOS2VarietyHatTrickWaterTrtIrrigated</v>
      </c>
      <c r="B3297" s="2">
        <v>2024037</v>
      </c>
      <c r="C3297" s="3" t="s">
        <v>3348</v>
      </c>
      <c r="D3297" s="3" t="s">
        <v>248</v>
      </c>
      <c r="F3297" s="3" t="s">
        <v>4178</v>
      </c>
      <c r="G3297" s="3" t="s">
        <v>39</v>
      </c>
      <c r="H3297" s="3" t="s">
        <v>253</v>
      </c>
      <c r="I3297" s="2">
        <v>98</v>
      </c>
      <c r="J3297" s="2">
        <v>50</v>
      </c>
      <c r="K3297" s="2">
        <v>4</v>
      </c>
      <c r="O3297" s="2">
        <v>13</v>
      </c>
      <c r="U3297" s="2">
        <v>3</v>
      </c>
      <c r="V3297" s="2">
        <v>51</v>
      </c>
      <c r="W3297" s="2">
        <v>2</v>
      </c>
      <c r="X3297" s="2">
        <v>25</v>
      </c>
      <c r="Z3297" s="2">
        <v>50</v>
      </c>
      <c r="AA3297" s="3" t="s">
        <v>57</v>
      </c>
      <c r="AB3297" s="2">
        <v>3</v>
      </c>
      <c r="AF3297" s="2">
        <v>30</v>
      </c>
      <c r="AG3297" s="2">
        <v>2</v>
      </c>
      <c r="AH3297" s="3" t="s">
        <v>3349</v>
      </c>
      <c r="AI3297" s="4">
        <v>45460</v>
      </c>
      <c r="AJ3297" s="3" t="s">
        <v>3448</v>
      </c>
      <c r="AK3297" s="3" t="s">
        <v>248</v>
      </c>
    </row>
    <row r="3298" spans="1:37" hidden="1" x14ac:dyDescent="0.25">
      <c r="A3298" t="str">
        <f t="shared" si="51"/>
        <v>2024_Qld_Gatton_Chickpea_DetailedTOS2VarietyDrummondWaterTrtIrrigated</v>
      </c>
      <c r="B3298" s="2">
        <v>2024037</v>
      </c>
      <c r="C3298" s="3" t="s">
        <v>3348</v>
      </c>
      <c r="D3298" s="3" t="s">
        <v>248</v>
      </c>
      <c r="F3298" s="3" t="s">
        <v>4182</v>
      </c>
      <c r="G3298" s="3" t="s">
        <v>39</v>
      </c>
      <c r="H3298" s="3" t="s">
        <v>253</v>
      </c>
      <c r="I3298" s="2">
        <v>99</v>
      </c>
      <c r="J3298" s="2">
        <v>51</v>
      </c>
      <c r="K3298" s="2">
        <v>4</v>
      </c>
      <c r="O3298" s="2">
        <v>13</v>
      </c>
      <c r="U3298" s="2">
        <v>5</v>
      </c>
      <c r="V3298" s="2">
        <v>51</v>
      </c>
      <c r="W3298" s="2">
        <v>3</v>
      </c>
      <c r="X3298" s="2">
        <v>25</v>
      </c>
      <c r="Z3298" s="2">
        <v>51</v>
      </c>
      <c r="AA3298" s="3" t="s">
        <v>57</v>
      </c>
      <c r="AB3298" s="2">
        <v>2</v>
      </c>
      <c r="AF3298" s="2">
        <v>30</v>
      </c>
      <c r="AG3298" s="2">
        <v>2</v>
      </c>
      <c r="AH3298" s="3" t="s">
        <v>3349</v>
      </c>
      <c r="AI3298" s="4">
        <v>45460</v>
      </c>
      <c r="AJ3298" s="3" t="s">
        <v>3449</v>
      </c>
      <c r="AK3298" s="3" t="s">
        <v>248</v>
      </c>
    </row>
    <row r="3299" spans="1:37" hidden="1" x14ac:dyDescent="0.25">
      <c r="A3299" t="str">
        <f t="shared" si="51"/>
        <v>2024_Qld_Gatton_Chickpea_DetailedTOS2VarietyStrikerWaterTrtIrrigated</v>
      </c>
      <c r="B3299" s="2">
        <v>2024037</v>
      </c>
      <c r="C3299" s="3" t="s">
        <v>3348</v>
      </c>
      <c r="D3299" s="3" t="s">
        <v>248</v>
      </c>
      <c r="F3299" s="3" t="s">
        <v>4179</v>
      </c>
      <c r="G3299" s="3" t="s">
        <v>43</v>
      </c>
      <c r="H3299" s="3" t="s">
        <v>253</v>
      </c>
      <c r="I3299" s="2">
        <v>100</v>
      </c>
      <c r="J3299" s="2">
        <v>52</v>
      </c>
      <c r="K3299" s="2">
        <v>4</v>
      </c>
      <c r="O3299" s="2">
        <v>13</v>
      </c>
      <c r="U3299" s="2">
        <v>6</v>
      </c>
      <c r="V3299" s="2">
        <v>51</v>
      </c>
      <c r="W3299" s="2">
        <v>4</v>
      </c>
      <c r="X3299" s="2">
        <v>25</v>
      </c>
      <c r="Z3299" s="2">
        <v>52</v>
      </c>
      <c r="AA3299" s="3" t="s">
        <v>57</v>
      </c>
      <c r="AB3299" s="2">
        <v>4</v>
      </c>
      <c r="AF3299" s="2">
        <v>30</v>
      </c>
      <c r="AG3299" s="2">
        <v>2</v>
      </c>
      <c r="AH3299" s="3" t="s">
        <v>3349</v>
      </c>
      <c r="AI3299" s="4">
        <v>45460</v>
      </c>
      <c r="AJ3299" s="3" t="s">
        <v>3450</v>
      </c>
      <c r="AK3299" s="3" t="s">
        <v>248</v>
      </c>
    </row>
    <row r="3300" spans="1:37" hidden="1" x14ac:dyDescent="0.25">
      <c r="A3300" t="str">
        <f t="shared" si="51"/>
        <v>2024_Qld_Gatton_Chickpea_DetailedTOS2VarietyCBA_CaptainWaterTrtIrrigated</v>
      </c>
      <c r="B3300" s="2">
        <v>2024037</v>
      </c>
      <c r="C3300" s="3" t="s">
        <v>3348</v>
      </c>
      <c r="D3300" s="3" t="s">
        <v>248</v>
      </c>
      <c r="F3300" s="3" t="s">
        <v>249</v>
      </c>
      <c r="G3300" s="3" t="s">
        <v>43</v>
      </c>
      <c r="H3300" s="3" t="s">
        <v>250</v>
      </c>
      <c r="I3300" s="2">
        <v>101</v>
      </c>
      <c r="J3300" s="2">
        <v>49</v>
      </c>
      <c r="K3300" s="2">
        <v>4</v>
      </c>
      <c r="O3300" s="2">
        <v>13</v>
      </c>
      <c r="U3300" s="2">
        <v>2</v>
      </c>
      <c r="V3300" s="2">
        <v>52</v>
      </c>
      <c r="W3300" s="2">
        <v>1</v>
      </c>
      <c r="X3300" s="2">
        <v>26</v>
      </c>
      <c r="AA3300" s="3" t="s">
        <v>57</v>
      </c>
      <c r="AB3300" s="2">
        <v>1</v>
      </c>
      <c r="AF3300" s="2">
        <v>30</v>
      </c>
      <c r="AG3300" s="2">
        <v>2</v>
      </c>
      <c r="AH3300" s="3" t="s">
        <v>3349</v>
      </c>
      <c r="AI3300" s="4">
        <v>45460</v>
      </c>
      <c r="AJ3300" s="3" t="s">
        <v>3451</v>
      </c>
      <c r="AK3300" s="3" t="s">
        <v>248</v>
      </c>
    </row>
    <row r="3301" spans="1:37" hidden="1" x14ac:dyDescent="0.25">
      <c r="A3301" t="str">
        <f t="shared" si="51"/>
        <v>2024_Qld_Gatton_Chickpea_DetailedTOS2VarietyHatTrickWaterTrtIrrigated</v>
      </c>
      <c r="B3301" s="2">
        <v>2024037</v>
      </c>
      <c r="C3301" s="3" t="s">
        <v>3348</v>
      </c>
      <c r="D3301" s="3" t="s">
        <v>248</v>
      </c>
      <c r="F3301" s="3" t="s">
        <v>4178</v>
      </c>
      <c r="G3301" s="3" t="s">
        <v>39</v>
      </c>
      <c r="H3301" s="3" t="s">
        <v>250</v>
      </c>
      <c r="I3301" s="2">
        <v>102</v>
      </c>
      <c r="J3301" s="2">
        <v>50</v>
      </c>
      <c r="K3301" s="2">
        <v>4</v>
      </c>
      <c r="O3301" s="2">
        <v>13</v>
      </c>
      <c r="U3301" s="2">
        <v>3</v>
      </c>
      <c r="V3301" s="2">
        <v>52</v>
      </c>
      <c r="W3301" s="2">
        <v>2</v>
      </c>
      <c r="X3301" s="2">
        <v>26</v>
      </c>
      <c r="AA3301" s="3" t="s">
        <v>57</v>
      </c>
      <c r="AB3301" s="2">
        <v>3</v>
      </c>
      <c r="AF3301" s="2">
        <v>30</v>
      </c>
      <c r="AG3301" s="2">
        <v>2</v>
      </c>
      <c r="AH3301" s="3" t="s">
        <v>3349</v>
      </c>
      <c r="AI3301" s="4">
        <v>45460</v>
      </c>
      <c r="AJ3301" s="3" t="s">
        <v>3452</v>
      </c>
      <c r="AK3301" s="3" t="s">
        <v>248</v>
      </c>
    </row>
    <row r="3302" spans="1:37" hidden="1" x14ac:dyDescent="0.25">
      <c r="A3302" t="str">
        <f t="shared" si="51"/>
        <v>2024_Qld_Gatton_Chickpea_DetailedTOS2VarietyDrummondWaterTrtIrrigated</v>
      </c>
      <c r="B3302" s="2">
        <v>2024037</v>
      </c>
      <c r="C3302" s="3" t="s">
        <v>3348</v>
      </c>
      <c r="D3302" s="3" t="s">
        <v>248</v>
      </c>
      <c r="F3302" s="3" t="s">
        <v>4182</v>
      </c>
      <c r="G3302" s="3" t="s">
        <v>39</v>
      </c>
      <c r="H3302" s="3" t="s">
        <v>250</v>
      </c>
      <c r="I3302" s="2">
        <v>103</v>
      </c>
      <c r="J3302" s="2">
        <v>51</v>
      </c>
      <c r="K3302" s="2">
        <v>4</v>
      </c>
      <c r="O3302" s="2">
        <v>13</v>
      </c>
      <c r="U3302" s="2">
        <v>5</v>
      </c>
      <c r="V3302" s="2">
        <v>52</v>
      </c>
      <c r="W3302" s="2">
        <v>3</v>
      </c>
      <c r="X3302" s="2">
        <v>26</v>
      </c>
      <c r="AA3302" s="3" t="s">
        <v>57</v>
      </c>
      <c r="AB3302" s="2">
        <v>2</v>
      </c>
      <c r="AF3302" s="2">
        <v>30</v>
      </c>
      <c r="AG3302" s="2">
        <v>2</v>
      </c>
      <c r="AH3302" s="3" t="s">
        <v>3349</v>
      </c>
      <c r="AI3302" s="4">
        <v>45460</v>
      </c>
      <c r="AJ3302" s="3" t="s">
        <v>3453</v>
      </c>
      <c r="AK3302" s="3" t="s">
        <v>248</v>
      </c>
    </row>
    <row r="3303" spans="1:37" hidden="1" x14ac:dyDescent="0.25">
      <c r="A3303" t="str">
        <f t="shared" si="51"/>
        <v>2024_Qld_Gatton_Chickpea_DetailedTOS2VarietyStrikerWaterTrtIrrigated</v>
      </c>
      <c r="B3303" s="2">
        <v>2024037</v>
      </c>
      <c r="C3303" s="3" t="s">
        <v>3348</v>
      </c>
      <c r="D3303" s="3" t="s">
        <v>248</v>
      </c>
      <c r="F3303" s="3" t="s">
        <v>4179</v>
      </c>
      <c r="G3303" s="3" t="s">
        <v>43</v>
      </c>
      <c r="H3303" s="3" t="s">
        <v>250</v>
      </c>
      <c r="I3303" s="2">
        <v>104</v>
      </c>
      <c r="J3303" s="2">
        <v>52</v>
      </c>
      <c r="K3303" s="2">
        <v>4</v>
      </c>
      <c r="O3303" s="2">
        <v>13</v>
      </c>
      <c r="U3303" s="2">
        <v>6</v>
      </c>
      <c r="V3303" s="2">
        <v>52</v>
      </c>
      <c r="W3303" s="2">
        <v>4</v>
      </c>
      <c r="X3303" s="2">
        <v>26</v>
      </c>
      <c r="AA3303" s="3" t="s">
        <v>57</v>
      </c>
      <c r="AB3303" s="2">
        <v>4</v>
      </c>
      <c r="AF3303" s="2">
        <v>30</v>
      </c>
      <c r="AG3303" s="2">
        <v>2</v>
      </c>
      <c r="AH3303" s="3" t="s">
        <v>3349</v>
      </c>
      <c r="AI3303" s="4">
        <v>45460</v>
      </c>
      <c r="AJ3303" s="3" t="s">
        <v>3454</v>
      </c>
      <c r="AK3303" s="3" t="s">
        <v>248</v>
      </c>
    </row>
    <row r="3304" spans="1:37" hidden="1" x14ac:dyDescent="0.25">
      <c r="A3304" t="str">
        <f t="shared" si="51"/>
        <v>2024_Qld_Gatton_Chickpea_DetailedTOS2VarietyDrummondWaterTrtRainFed</v>
      </c>
      <c r="B3304" s="2">
        <v>2024037</v>
      </c>
      <c r="C3304" s="3" t="s">
        <v>3348</v>
      </c>
      <c r="D3304" s="3" t="s">
        <v>248</v>
      </c>
      <c r="F3304" s="3" t="s">
        <v>4182</v>
      </c>
      <c r="G3304" s="3" t="s">
        <v>39</v>
      </c>
      <c r="H3304" s="3" t="s">
        <v>253</v>
      </c>
      <c r="I3304" s="2">
        <v>105</v>
      </c>
      <c r="J3304" s="2">
        <v>53</v>
      </c>
      <c r="K3304" s="2">
        <v>4</v>
      </c>
      <c r="O3304" s="2">
        <v>14</v>
      </c>
      <c r="U3304" s="2">
        <v>2</v>
      </c>
      <c r="V3304" s="2">
        <v>55</v>
      </c>
      <c r="W3304" s="2">
        <v>1</v>
      </c>
      <c r="X3304" s="2">
        <v>27</v>
      </c>
      <c r="Z3304" s="2">
        <v>56</v>
      </c>
      <c r="AA3304" s="3" t="s">
        <v>40</v>
      </c>
      <c r="AB3304" s="2">
        <v>2</v>
      </c>
      <c r="AF3304" s="2">
        <v>30</v>
      </c>
      <c r="AG3304" s="2">
        <v>2</v>
      </c>
      <c r="AH3304" s="3" t="s">
        <v>3349</v>
      </c>
      <c r="AI3304" s="4">
        <v>45460</v>
      </c>
      <c r="AJ3304" s="3" t="s">
        <v>3455</v>
      </c>
      <c r="AK3304" s="3" t="s">
        <v>248</v>
      </c>
    </row>
    <row r="3305" spans="1:37" hidden="1" x14ac:dyDescent="0.25">
      <c r="A3305" t="str">
        <f t="shared" si="51"/>
        <v>2024_Qld_Gatton_Chickpea_DetailedTOS2VarietyHatTrickWaterTrtRainFed</v>
      </c>
      <c r="B3305" s="2">
        <v>2024037</v>
      </c>
      <c r="C3305" s="3" t="s">
        <v>3348</v>
      </c>
      <c r="D3305" s="3" t="s">
        <v>248</v>
      </c>
      <c r="F3305" s="3" t="s">
        <v>4178</v>
      </c>
      <c r="G3305" s="3" t="s">
        <v>39</v>
      </c>
      <c r="H3305" s="3" t="s">
        <v>253</v>
      </c>
      <c r="I3305" s="2">
        <v>106</v>
      </c>
      <c r="J3305" s="2">
        <v>54</v>
      </c>
      <c r="K3305" s="2">
        <v>4</v>
      </c>
      <c r="O3305" s="2">
        <v>14</v>
      </c>
      <c r="U3305" s="2">
        <v>3</v>
      </c>
      <c r="V3305" s="2">
        <v>55</v>
      </c>
      <c r="W3305" s="2">
        <v>2</v>
      </c>
      <c r="X3305" s="2">
        <v>27</v>
      </c>
      <c r="Z3305" s="2">
        <v>55</v>
      </c>
      <c r="AA3305" s="3" t="s">
        <v>40</v>
      </c>
      <c r="AB3305" s="2">
        <v>3</v>
      </c>
      <c r="AF3305" s="2">
        <v>30</v>
      </c>
      <c r="AG3305" s="2">
        <v>2</v>
      </c>
      <c r="AH3305" s="3" t="s">
        <v>3349</v>
      </c>
      <c r="AI3305" s="4">
        <v>45460</v>
      </c>
      <c r="AJ3305" s="3" t="s">
        <v>3456</v>
      </c>
      <c r="AK3305" s="3" t="s">
        <v>248</v>
      </c>
    </row>
    <row r="3306" spans="1:37" hidden="1" x14ac:dyDescent="0.25">
      <c r="A3306" t="str">
        <f t="shared" si="51"/>
        <v>2024_Qld_Gatton_Chickpea_DetailedTOS2VarietyStrikerWaterTrtRainFed</v>
      </c>
      <c r="B3306" s="2">
        <v>2024037</v>
      </c>
      <c r="C3306" s="3" t="s">
        <v>3348</v>
      </c>
      <c r="D3306" s="3" t="s">
        <v>248</v>
      </c>
      <c r="F3306" s="3" t="s">
        <v>4179</v>
      </c>
      <c r="G3306" s="3" t="s">
        <v>43</v>
      </c>
      <c r="H3306" s="3" t="s">
        <v>253</v>
      </c>
      <c r="I3306" s="2">
        <v>107</v>
      </c>
      <c r="J3306" s="2">
        <v>55</v>
      </c>
      <c r="K3306" s="2">
        <v>4</v>
      </c>
      <c r="O3306" s="2">
        <v>14</v>
      </c>
      <c r="U3306" s="2">
        <v>5</v>
      </c>
      <c r="V3306" s="2">
        <v>55</v>
      </c>
      <c r="W3306" s="2">
        <v>3</v>
      </c>
      <c r="X3306" s="2">
        <v>27</v>
      </c>
      <c r="Z3306" s="2">
        <v>54</v>
      </c>
      <c r="AA3306" s="3" t="s">
        <v>40</v>
      </c>
      <c r="AB3306" s="2">
        <v>4</v>
      </c>
      <c r="AF3306" s="2">
        <v>30</v>
      </c>
      <c r="AG3306" s="2">
        <v>2</v>
      </c>
      <c r="AH3306" s="3" t="s">
        <v>3349</v>
      </c>
      <c r="AI3306" s="4">
        <v>45460</v>
      </c>
      <c r="AJ3306" s="3" t="s">
        <v>3457</v>
      </c>
      <c r="AK3306" s="3" t="s">
        <v>248</v>
      </c>
    </row>
    <row r="3307" spans="1:37" hidden="1" x14ac:dyDescent="0.25">
      <c r="A3307" t="str">
        <f t="shared" si="51"/>
        <v>2024_Qld_Gatton_Chickpea_DetailedTOS2VarietyCBA_CaptainWaterTrtRainFed</v>
      </c>
      <c r="B3307" s="2">
        <v>2024037</v>
      </c>
      <c r="C3307" s="3" t="s">
        <v>3348</v>
      </c>
      <c r="D3307" s="3" t="s">
        <v>248</v>
      </c>
      <c r="F3307" s="3" t="s">
        <v>249</v>
      </c>
      <c r="G3307" s="3" t="s">
        <v>43</v>
      </c>
      <c r="H3307" s="3" t="s">
        <v>253</v>
      </c>
      <c r="I3307" s="2">
        <v>108</v>
      </c>
      <c r="J3307" s="2">
        <v>56</v>
      </c>
      <c r="K3307" s="2">
        <v>4</v>
      </c>
      <c r="O3307" s="2">
        <v>14</v>
      </c>
      <c r="U3307" s="2">
        <v>6</v>
      </c>
      <c r="V3307" s="2">
        <v>55</v>
      </c>
      <c r="W3307" s="2">
        <v>4</v>
      </c>
      <c r="X3307" s="2">
        <v>27</v>
      </c>
      <c r="Z3307" s="2">
        <v>53</v>
      </c>
      <c r="AA3307" s="3" t="s">
        <v>40</v>
      </c>
      <c r="AB3307" s="2">
        <v>1</v>
      </c>
      <c r="AF3307" s="2">
        <v>30</v>
      </c>
      <c r="AG3307" s="2">
        <v>2</v>
      </c>
      <c r="AH3307" s="3" t="s">
        <v>3349</v>
      </c>
      <c r="AI3307" s="4">
        <v>45460</v>
      </c>
      <c r="AJ3307" s="3" t="s">
        <v>3458</v>
      </c>
      <c r="AK3307" s="3" t="s">
        <v>248</v>
      </c>
    </row>
    <row r="3308" spans="1:37" hidden="1" x14ac:dyDescent="0.25">
      <c r="A3308" t="str">
        <f t="shared" si="51"/>
        <v>2024_Qld_Gatton_Chickpea_DetailedTOS2VarietyDrummondWaterTrtRainFed</v>
      </c>
      <c r="B3308" s="2">
        <v>2024037</v>
      </c>
      <c r="C3308" s="3" t="s">
        <v>3348</v>
      </c>
      <c r="D3308" s="3" t="s">
        <v>248</v>
      </c>
      <c r="F3308" s="3" t="s">
        <v>4182</v>
      </c>
      <c r="G3308" s="3" t="s">
        <v>39</v>
      </c>
      <c r="H3308" s="3" t="s">
        <v>250</v>
      </c>
      <c r="I3308" s="2">
        <v>109</v>
      </c>
      <c r="J3308" s="2">
        <v>53</v>
      </c>
      <c r="K3308" s="2">
        <v>4</v>
      </c>
      <c r="O3308" s="2">
        <v>14</v>
      </c>
      <c r="U3308" s="2">
        <v>2</v>
      </c>
      <c r="V3308" s="2">
        <v>56</v>
      </c>
      <c r="W3308" s="2">
        <v>1</v>
      </c>
      <c r="X3308" s="2">
        <v>28</v>
      </c>
      <c r="AA3308" s="3" t="s">
        <v>40</v>
      </c>
      <c r="AB3308" s="2">
        <v>2</v>
      </c>
      <c r="AF3308" s="2">
        <v>30</v>
      </c>
      <c r="AG3308" s="2">
        <v>2</v>
      </c>
      <c r="AH3308" s="3" t="s">
        <v>3349</v>
      </c>
      <c r="AI3308" s="4">
        <v>45460</v>
      </c>
      <c r="AJ3308" s="3" t="s">
        <v>3459</v>
      </c>
      <c r="AK3308" s="3" t="s">
        <v>248</v>
      </c>
    </row>
    <row r="3309" spans="1:37" hidden="1" x14ac:dyDescent="0.25">
      <c r="A3309" t="str">
        <f t="shared" si="51"/>
        <v>2024_Qld_Gatton_Chickpea_DetailedTOS2VarietyHatTrickWaterTrtRainFed</v>
      </c>
      <c r="B3309" s="2">
        <v>2024037</v>
      </c>
      <c r="C3309" s="3" t="s">
        <v>3348</v>
      </c>
      <c r="D3309" s="3" t="s">
        <v>248</v>
      </c>
      <c r="F3309" s="3" t="s">
        <v>4178</v>
      </c>
      <c r="G3309" s="3" t="s">
        <v>39</v>
      </c>
      <c r="H3309" s="3" t="s">
        <v>250</v>
      </c>
      <c r="I3309" s="2">
        <v>110</v>
      </c>
      <c r="J3309" s="2">
        <v>54</v>
      </c>
      <c r="K3309" s="2">
        <v>4</v>
      </c>
      <c r="O3309" s="2">
        <v>14</v>
      </c>
      <c r="U3309" s="2">
        <v>3</v>
      </c>
      <c r="V3309" s="2">
        <v>56</v>
      </c>
      <c r="W3309" s="2">
        <v>2</v>
      </c>
      <c r="X3309" s="2">
        <v>28</v>
      </c>
      <c r="AA3309" s="3" t="s">
        <v>40</v>
      </c>
      <c r="AB3309" s="2">
        <v>3</v>
      </c>
      <c r="AF3309" s="2">
        <v>30</v>
      </c>
      <c r="AG3309" s="2">
        <v>2</v>
      </c>
      <c r="AH3309" s="3" t="s">
        <v>3349</v>
      </c>
      <c r="AI3309" s="4">
        <v>45460</v>
      </c>
      <c r="AJ3309" s="3" t="s">
        <v>3460</v>
      </c>
      <c r="AK3309" s="3" t="s">
        <v>248</v>
      </c>
    </row>
    <row r="3310" spans="1:37" hidden="1" x14ac:dyDescent="0.25">
      <c r="A3310" t="str">
        <f t="shared" si="51"/>
        <v>2024_Qld_Gatton_Chickpea_DetailedTOS2VarietyStrikerWaterTrtRainFed</v>
      </c>
      <c r="B3310" s="2">
        <v>2024037</v>
      </c>
      <c r="C3310" s="3" t="s">
        <v>3348</v>
      </c>
      <c r="D3310" s="3" t="s">
        <v>248</v>
      </c>
      <c r="F3310" s="3" t="s">
        <v>4179</v>
      </c>
      <c r="G3310" s="3" t="s">
        <v>43</v>
      </c>
      <c r="H3310" s="3" t="s">
        <v>250</v>
      </c>
      <c r="I3310" s="2">
        <v>111</v>
      </c>
      <c r="J3310" s="2">
        <v>55</v>
      </c>
      <c r="K3310" s="2">
        <v>4</v>
      </c>
      <c r="O3310" s="2">
        <v>14</v>
      </c>
      <c r="U3310" s="2">
        <v>5</v>
      </c>
      <c r="V3310" s="2">
        <v>56</v>
      </c>
      <c r="W3310" s="2">
        <v>3</v>
      </c>
      <c r="X3310" s="2">
        <v>28</v>
      </c>
      <c r="AA3310" s="3" t="s">
        <v>40</v>
      </c>
      <c r="AB3310" s="2">
        <v>4</v>
      </c>
      <c r="AF3310" s="2">
        <v>30</v>
      </c>
      <c r="AG3310" s="2">
        <v>2</v>
      </c>
      <c r="AH3310" s="3" t="s">
        <v>3349</v>
      </c>
      <c r="AI3310" s="4">
        <v>45460</v>
      </c>
      <c r="AJ3310" s="3" t="s">
        <v>3461</v>
      </c>
      <c r="AK3310" s="3" t="s">
        <v>248</v>
      </c>
    </row>
    <row r="3311" spans="1:37" hidden="1" x14ac:dyDescent="0.25">
      <c r="A3311" t="str">
        <f t="shared" si="51"/>
        <v>2024_Qld_Gatton_Chickpea_DetailedTOS2VarietyCBA_CaptainWaterTrtRainFed</v>
      </c>
      <c r="B3311" s="2">
        <v>2024037</v>
      </c>
      <c r="C3311" s="3" t="s">
        <v>3348</v>
      </c>
      <c r="D3311" s="3" t="s">
        <v>248</v>
      </c>
      <c r="F3311" s="3" t="s">
        <v>249</v>
      </c>
      <c r="G3311" s="3" t="s">
        <v>43</v>
      </c>
      <c r="H3311" s="3" t="s">
        <v>250</v>
      </c>
      <c r="I3311" s="2">
        <v>112</v>
      </c>
      <c r="J3311" s="2">
        <v>56</v>
      </c>
      <c r="K3311" s="2">
        <v>4</v>
      </c>
      <c r="O3311" s="2">
        <v>14</v>
      </c>
      <c r="U3311" s="2">
        <v>6</v>
      </c>
      <c r="V3311" s="2">
        <v>56</v>
      </c>
      <c r="W3311" s="2">
        <v>4</v>
      </c>
      <c r="X3311" s="2">
        <v>28</v>
      </c>
      <c r="AA3311" s="3" t="s">
        <v>40</v>
      </c>
      <c r="AB3311" s="2">
        <v>1</v>
      </c>
      <c r="AF3311" s="2">
        <v>30</v>
      </c>
      <c r="AG3311" s="2">
        <v>2</v>
      </c>
      <c r="AH3311" s="3" t="s">
        <v>3349</v>
      </c>
      <c r="AI3311" s="4">
        <v>45460</v>
      </c>
      <c r="AJ3311" s="3" t="s">
        <v>3462</v>
      </c>
      <c r="AK3311" s="3" t="s">
        <v>248</v>
      </c>
    </row>
    <row r="3312" spans="1:37" hidden="1" x14ac:dyDescent="0.25">
      <c r="A3312" t="str">
        <f t="shared" si="51"/>
        <v>2024_Qld_Gatton_Chickpea_DetailedTOS1VarietyStrikerWaterTrtIrrigated</v>
      </c>
      <c r="B3312" s="2">
        <v>2024037</v>
      </c>
      <c r="C3312" s="3" t="s">
        <v>3348</v>
      </c>
      <c r="D3312" s="3" t="s">
        <v>248</v>
      </c>
      <c r="F3312" s="3" t="s">
        <v>4179</v>
      </c>
      <c r="G3312" s="3" t="s">
        <v>43</v>
      </c>
      <c r="H3312" s="3" t="s">
        <v>253</v>
      </c>
      <c r="I3312" s="2">
        <v>113</v>
      </c>
      <c r="J3312" s="2">
        <v>57</v>
      </c>
      <c r="K3312" s="2">
        <v>4</v>
      </c>
      <c r="O3312" s="2">
        <v>15</v>
      </c>
      <c r="U3312" s="2">
        <v>2</v>
      </c>
      <c r="V3312" s="2">
        <v>59</v>
      </c>
      <c r="W3312" s="2">
        <v>1</v>
      </c>
      <c r="X3312" s="2">
        <v>29</v>
      </c>
      <c r="Z3312" s="2">
        <v>57</v>
      </c>
      <c r="AA3312" s="3" t="s">
        <v>57</v>
      </c>
      <c r="AB3312" s="2">
        <v>4</v>
      </c>
      <c r="AF3312" s="2">
        <v>30</v>
      </c>
      <c r="AG3312" s="2">
        <v>1</v>
      </c>
      <c r="AH3312" s="3" t="s">
        <v>3358</v>
      </c>
      <c r="AI3312" s="4">
        <v>45427</v>
      </c>
      <c r="AJ3312" s="3" t="s">
        <v>3463</v>
      </c>
      <c r="AK3312" s="3" t="s">
        <v>248</v>
      </c>
    </row>
    <row r="3313" spans="1:37" hidden="1" x14ac:dyDescent="0.25">
      <c r="A3313" t="str">
        <f t="shared" si="51"/>
        <v>2024_Qld_Gatton_Chickpea_DetailedTOS1VarietyCBA_CaptainWaterTrtIrrigated</v>
      </c>
      <c r="B3313" s="2">
        <v>2024037</v>
      </c>
      <c r="C3313" s="3" t="s">
        <v>3348</v>
      </c>
      <c r="D3313" s="3" t="s">
        <v>248</v>
      </c>
      <c r="F3313" s="3" t="s">
        <v>249</v>
      </c>
      <c r="G3313" s="3" t="s">
        <v>43</v>
      </c>
      <c r="H3313" s="3" t="s">
        <v>253</v>
      </c>
      <c r="I3313" s="2">
        <v>114</v>
      </c>
      <c r="J3313" s="2">
        <v>58</v>
      </c>
      <c r="K3313" s="2">
        <v>4</v>
      </c>
      <c r="O3313" s="2">
        <v>15</v>
      </c>
      <c r="U3313" s="2">
        <v>3</v>
      </c>
      <c r="V3313" s="2">
        <v>59</v>
      </c>
      <c r="W3313" s="2">
        <v>2</v>
      </c>
      <c r="X3313" s="2">
        <v>29</v>
      </c>
      <c r="Z3313" s="2">
        <v>58</v>
      </c>
      <c r="AA3313" s="3" t="s">
        <v>57</v>
      </c>
      <c r="AB3313" s="2">
        <v>1</v>
      </c>
      <c r="AF3313" s="2">
        <v>30</v>
      </c>
      <c r="AG3313" s="2">
        <v>1</v>
      </c>
      <c r="AH3313" s="3" t="s">
        <v>3358</v>
      </c>
      <c r="AI3313" s="4">
        <v>45427</v>
      </c>
      <c r="AJ3313" s="3" t="s">
        <v>3464</v>
      </c>
      <c r="AK3313" s="3" t="s">
        <v>248</v>
      </c>
    </row>
    <row r="3314" spans="1:37" hidden="1" x14ac:dyDescent="0.25">
      <c r="A3314" t="str">
        <f t="shared" si="51"/>
        <v>2024_Qld_Gatton_Chickpea_DetailedTOS1VarietyHatTrickWaterTrtIrrigated</v>
      </c>
      <c r="B3314" s="2">
        <v>2024037</v>
      </c>
      <c r="C3314" s="3" t="s">
        <v>3348</v>
      </c>
      <c r="D3314" s="3" t="s">
        <v>248</v>
      </c>
      <c r="F3314" s="3" t="s">
        <v>4178</v>
      </c>
      <c r="G3314" s="3" t="s">
        <v>39</v>
      </c>
      <c r="H3314" s="3" t="s">
        <v>253</v>
      </c>
      <c r="I3314" s="2">
        <v>115</v>
      </c>
      <c r="J3314" s="2">
        <v>59</v>
      </c>
      <c r="K3314" s="2">
        <v>4</v>
      </c>
      <c r="O3314" s="2">
        <v>15</v>
      </c>
      <c r="U3314" s="2">
        <v>5</v>
      </c>
      <c r="V3314" s="2">
        <v>59</v>
      </c>
      <c r="W3314" s="2">
        <v>3</v>
      </c>
      <c r="X3314" s="2">
        <v>29</v>
      </c>
      <c r="Z3314" s="2">
        <v>59</v>
      </c>
      <c r="AA3314" s="3" t="s">
        <v>57</v>
      </c>
      <c r="AB3314" s="2">
        <v>3</v>
      </c>
      <c r="AF3314" s="2">
        <v>30</v>
      </c>
      <c r="AG3314" s="2">
        <v>1</v>
      </c>
      <c r="AH3314" s="3" t="s">
        <v>3358</v>
      </c>
      <c r="AI3314" s="4">
        <v>45427</v>
      </c>
      <c r="AJ3314" s="3" t="s">
        <v>3465</v>
      </c>
      <c r="AK3314" s="3" t="s">
        <v>248</v>
      </c>
    </row>
    <row r="3315" spans="1:37" hidden="1" x14ac:dyDescent="0.25">
      <c r="A3315" t="str">
        <f t="shared" si="51"/>
        <v>2024_Qld_Gatton_Chickpea_DetailedTOS1VarietyDrummondWaterTrtIrrigated</v>
      </c>
      <c r="B3315" s="2">
        <v>2024037</v>
      </c>
      <c r="C3315" s="3" t="s">
        <v>3348</v>
      </c>
      <c r="D3315" s="3" t="s">
        <v>248</v>
      </c>
      <c r="F3315" s="3" t="s">
        <v>4182</v>
      </c>
      <c r="G3315" s="3" t="s">
        <v>39</v>
      </c>
      <c r="H3315" s="3" t="s">
        <v>253</v>
      </c>
      <c r="I3315" s="2">
        <v>116</v>
      </c>
      <c r="J3315" s="2">
        <v>60</v>
      </c>
      <c r="K3315" s="2">
        <v>4</v>
      </c>
      <c r="O3315" s="2">
        <v>15</v>
      </c>
      <c r="U3315" s="2">
        <v>6</v>
      </c>
      <c r="V3315" s="2">
        <v>59</v>
      </c>
      <c r="W3315" s="2">
        <v>4</v>
      </c>
      <c r="X3315" s="2">
        <v>29</v>
      </c>
      <c r="Z3315" s="2">
        <v>60</v>
      </c>
      <c r="AA3315" s="3" t="s">
        <v>57</v>
      </c>
      <c r="AB3315" s="2">
        <v>2</v>
      </c>
      <c r="AF3315" s="2">
        <v>30</v>
      </c>
      <c r="AG3315" s="2">
        <v>1</v>
      </c>
      <c r="AH3315" s="3" t="s">
        <v>3358</v>
      </c>
      <c r="AI3315" s="4">
        <v>45427</v>
      </c>
      <c r="AJ3315" s="3" t="s">
        <v>3466</v>
      </c>
      <c r="AK3315" s="3" t="s">
        <v>248</v>
      </c>
    </row>
    <row r="3316" spans="1:37" hidden="1" x14ac:dyDescent="0.25">
      <c r="A3316" t="str">
        <f t="shared" si="51"/>
        <v>2024_Qld_Gatton_Chickpea_DetailedTOS1VarietyStrikerWaterTrtIrrigated</v>
      </c>
      <c r="B3316" s="2">
        <v>2024037</v>
      </c>
      <c r="C3316" s="3" t="s">
        <v>3348</v>
      </c>
      <c r="D3316" s="3" t="s">
        <v>248</v>
      </c>
      <c r="F3316" s="3" t="s">
        <v>4179</v>
      </c>
      <c r="G3316" s="3" t="s">
        <v>43</v>
      </c>
      <c r="H3316" s="3" t="s">
        <v>250</v>
      </c>
      <c r="I3316" s="2">
        <v>117</v>
      </c>
      <c r="J3316" s="2">
        <v>57</v>
      </c>
      <c r="K3316" s="2">
        <v>4</v>
      </c>
      <c r="O3316" s="2">
        <v>15</v>
      </c>
      <c r="U3316" s="2">
        <v>2</v>
      </c>
      <c r="V3316" s="2">
        <v>60</v>
      </c>
      <c r="W3316" s="2">
        <v>1</v>
      </c>
      <c r="X3316" s="2">
        <v>30</v>
      </c>
      <c r="AA3316" s="3" t="s">
        <v>57</v>
      </c>
      <c r="AB3316" s="2">
        <v>4</v>
      </c>
      <c r="AF3316" s="2">
        <v>30</v>
      </c>
      <c r="AG3316" s="2">
        <v>1</v>
      </c>
      <c r="AH3316" s="3" t="s">
        <v>3358</v>
      </c>
      <c r="AI3316" s="4">
        <v>45427</v>
      </c>
      <c r="AJ3316" s="3" t="s">
        <v>3467</v>
      </c>
      <c r="AK3316" s="3" t="s">
        <v>248</v>
      </c>
    </row>
    <row r="3317" spans="1:37" hidden="1" x14ac:dyDescent="0.25">
      <c r="A3317" t="str">
        <f t="shared" si="51"/>
        <v>2024_Qld_Gatton_Chickpea_DetailedTOS1VarietyCBA_CaptainWaterTrtIrrigated</v>
      </c>
      <c r="B3317" s="2">
        <v>2024037</v>
      </c>
      <c r="C3317" s="3" t="s">
        <v>3348</v>
      </c>
      <c r="D3317" s="3" t="s">
        <v>248</v>
      </c>
      <c r="F3317" s="3" t="s">
        <v>249</v>
      </c>
      <c r="G3317" s="3" t="s">
        <v>43</v>
      </c>
      <c r="H3317" s="3" t="s">
        <v>250</v>
      </c>
      <c r="I3317" s="2">
        <v>118</v>
      </c>
      <c r="J3317" s="2">
        <v>58</v>
      </c>
      <c r="K3317" s="2">
        <v>4</v>
      </c>
      <c r="O3317" s="2">
        <v>15</v>
      </c>
      <c r="U3317" s="2">
        <v>3</v>
      </c>
      <c r="V3317" s="2">
        <v>60</v>
      </c>
      <c r="W3317" s="2">
        <v>2</v>
      </c>
      <c r="X3317" s="2">
        <v>30</v>
      </c>
      <c r="AA3317" s="3" t="s">
        <v>57</v>
      </c>
      <c r="AB3317" s="2">
        <v>1</v>
      </c>
      <c r="AF3317" s="2">
        <v>30</v>
      </c>
      <c r="AG3317" s="2">
        <v>1</v>
      </c>
      <c r="AH3317" s="3" t="s">
        <v>3358</v>
      </c>
      <c r="AI3317" s="4">
        <v>45427</v>
      </c>
      <c r="AJ3317" s="3" t="s">
        <v>3468</v>
      </c>
      <c r="AK3317" s="3" t="s">
        <v>248</v>
      </c>
    </row>
    <row r="3318" spans="1:37" hidden="1" x14ac:dyDescent="0.25">
      <c r="A3318" t="str">
        <f t="shared" si="51"/>
        <v>2024_Qld_Gatton_Chickpea_DetailedTOS1VarietyHatTrickWaterTrtIrrigated</v>
      </c>
      <c r="B3318" s="2">
        <v>2024037</v>
      </c>
      <c r="C3318" s="3" t="s">
        <v>3348</v>
      </c>
      <c r="D3318" s="3" t="s">
        <v>248</v>
      </c>
      <c r="F3318" s="3" t="s">
        <v>4178</v>
      </c>
      <c r="G3318" s="3" t="s">
        <v>39</v>
      </c>
      <c r="H3318" s="3" t="s">
        <v>250</v>
      </c>
      <c r="I3318" s="2">
        <v>119</v>
      </c>
      <c r="J3318" s="2">
        <v>59</v>
      </c>
      <c r="K3318" s="2">
        <v>4</v>
      </c>
      <c r="O3318" s="2">
        <v>15</v>
      </c>
      <c r="U3318" s="2">
        <v>5</v>
      </c>
      <c r="V3318" s="2">
        <v>60</v>
      </c>
      <c r="W3318" s="2">
        <v>3</v>
      </c>
      <c r="X3318" s="2">
        <v>30</v>
      </c>
      <c r="AA3318" s="3" t="s">
        <v>57</v>
      </c>
      <c r="AB3318" s="2">
        <v>3</v>
      </c>
      <c r="AF3318" s="2">
        <v>30</v>
      </c>
      <c r="AG3318" s="2">
        <v>1</v>
      </c>
      <c r="AH3318" s="3" t="s">
        <v>3358</v>
      </c>
      <c r="AI3318" s="4">
        <v>45427</v>
      </c>
      <c r="AJ3318" s="3" t="s">
        <v>3469</v>
      </c>
      <c r="AK3318" s="3" t="s">
        <v>248</v>
      </c>
    </row>
    <row r="3319" spans="1:37" hidden="1" x14ac:dyDescent="0.25">
      <c r="A3319" t="str">
        <f t="shared" si="51"/>
        <v>2024_Qld_Gatton_Chickpea_DetailedTOS1VarietyDrummondWaterTrtIrrigated</v>
      </c>
      <c r="B3319" s="2">
        <v>2024037</v>
      </c>
      <c r="C3319" s="3" t="s">
        <v>3348</v>
      </c>
      <c r="D3319" s="3" t="s">
        <v>248</v>
      </c>
      <c r="F3319" s="3" t="s">
        <v>4182</v>
      </c>
      <c r="G3319" s="3" t="s">
        <v>39</v>
      </c>
      <c r="H3319" s="3" t="s">
        <v>250</v>
      </c>
      <c r="I3319" s="2">
        <v>120</v>
      </c>
      <c r="J3319" s="2">
        <v>60</v>
      </c>
      <c r="K3319" s="2">
        <v>4</v>
      </c>
      <c r="O3319" s="2">
        <v>15</v>
      </c>
      <c r="U3319" s="2">
        <v>6</v>
      </c>
      <c r="V3319" s="2">
        <v>60</v>
      </c>
      <c r="W3319" s="2">
        <v>4</v>
      </c>
      <c r="X3319" s="2">
        <v>30</v>
      </c>
      <c r="AA3319" s="3" t="s">
        <v>57</v>
      </c>
      <c r="AB3319" s="2">
        <v>2</v>
      </c>
      <c r="AF3319" s="2">
        <v>30</v>
      </c>
      <c r="AG3319" s="2">
        <v>1</v>
      </c>
      <c r="AH3319" s="3" t="s">
        <v>3358</v>
      </c>
      <c r="AI3319" s="4">
        <v>45427</v>
      </c>
      <c r="AJ3319" s="3" t="s">
        <v>3470</v>
      </c>
      <c r="AK3319" s="3" t="s">
        <v>248</v>
      </c>
    </row>
    <row r="3320" spans="1:37" hidden="1" x14ac:dyDescent="0.25">
      <c r="A3320" t="str">
        <f t="shared" si="51"/>
        <v>2024_Qld_Gatton_Chickpea_DetailedTOS1VarietyDrummondWaterTrtRainFed</v>
      </c>
      <c r="B3320" s="2">
        <v>2024037</v>
      </c>
      <c r="C3320" s="3" t="s">
        <v>3348</v>
      </c>
      <c r="D3320" s="3" t="s">
        <v>248</v>
      </c>
      <c r="F3320" s="3" t="s">
        <v>4182</v>
      </c>
      <c r="G3320" s="3" t="s">
        <v>39</v>
      </c>
      <c r="H3320" s="3" t="s">
        <v>253</v>
      </c>
      <c r="I3320" s="2">
        <v>121</v>
      </c>
      <c r="J3320" s="2">
        <v>61</v>
      </c>
      <c r="K3320" s="2">
        <v>4</v>
      </c>
      <c r="O3320" s="2">
        <v>16</v>
      </c>
      <c r="U3320" s="2">
        <v>2</v>
      </c>
      <c r="V3320" s="2">
        <v>63</v>
      </c>
      <c r="W3320" s="2">
        <v>1</v>
      </c>
      <c r="X3320" s="2">
        <v>31</v>
      </c>
      <c r="Z3320" s="2">
        <v>64</v>
      </c>
      <c r="AA3320" s="3" t="s">
        <v>40</v>
      </c>
      <c r="AB3320" s="2">
        <v>2</v>
      </c>
      <c r="AF3320" s="2">
        <v>30</v>
      </c>
      <c r="AG3320" s="2">
        <v>1</v>
      </c>
      <c r="AH3320" s="3" t="s">
        <v>3358</v>
      </c>
      <c r="AI3320" s="4">
        <v>45427</v>
      </c>
      <c r="AJ3320" s="3" t="s">
        <v>3471</v>
      </c>
      <c r="AK3320" s="3" t="s">
        <v>248</v>
      </c>
    </row>
    <row r="3321" spans="1:37" hidden="1" x14ac:dyDescent="0.25">
      <c r="A3321" t="str">
        <f t="shared" si="51"/>
        <v>2024_Qld_Gatton_Chickpea_DetailedTOS1VarietyStrikerWaterTrtRainFed</v>
      </c>
      <c r="B3321" s="2">
        <v>2024037</v>
      </c>
      <c r="C3321" s="3" t="s">
        <v>3348</v>
      </c>
      <c r="D3321" s="3" t="s">
        <v>248</v>
      </c>
      <c r="F3321" s="3" t="s">
        <v>4179</v>
      </c>
      <c r="G3321" s="3" t="s">
        <v>43</v>
      </c>
      <c r="H3321" s="3" t="s">
        <v>253</v>
      </c>
      <c r="I3321" s="2">
        <v>122</v>
      </c>
      <c r="J3321" s="2">
        <v>62</v>
      </c>
      <c r="K3321" s="2">
        <v>4</v>
      </c>
      <c r="O3321" s="2">
        <v>16</v>
      </c>
      <c r="U3321" s="2">
        <v>3</v>
      </c>
      <c r="V3321" s="2">
        <v>63</v>
      </c>
      <c r="W3321" s="2">
        <v>2</v>
      </c>
      <c r="X3321" s="2">
        <v>31</v>
      </c>
      <c r="Z3321" s="2">
        <v>63</v>
      </c>
      <c r="AA3321" s="3" t="s">
        <v>40</v>
      </c>
      <c r="AB3321" s="2">
        <v>4</v>
      </c>
      <c r="AF3321" s="2">
        <v>30</v>
      </c>
      <c r="AG3321" s="2">
        <v>1</v>
      </c>
      <c r="AH3321" s="3" t="s">
        <v>3358</v>
      </c>
      <c r="AI3321" s="4">
        <v>45427</v>
      </c>
      <c r="AJ3321" s="3" t="s">
        <v>3472</v>
      </c>
      <c r="AK3321" s="3" t="s">
        <v>248</v>
      </c>
    </row>
    <row r="3322" spans="1:37" hidden="1" x14ac:dyDescent="0.25">
      <c r="A3322" t="str">
        <f t="shared" si="51"/>
        <v>2024_Qld_Gatton_Chickpea_DetailedTOS1VarietyCBA_CaptainWaterTrtRainFed</v>
      </c>
      <c r="B3322" s="2">
        <v>2024037</v>
      </c>
      <c r="C3322" s="3" t="s">
        <v>3348</v>
      </c>
      <c r="D3322" s="3" t="s">
        <v>248</v>
      </c>
      <c r="F3322" s="3" t="s">
        <v>249</v>
      </c>
      <c r="G3322" s="3" t="s">
        <v>43</v>
      </c>
      <c r="H3322" s="3" t="s">
        <v>253</v>
      </c>
      <c r="I3322" s="2">
        <v>123</v>
      </c>
      <c r="J3322" s="2">
        <v>63</v>
      </c>
      <c r="K3322" s="2">
        <v>4</v>
      </c>
      <c r="O3322" s="2">
        <v>16</v>
      </c>
      <c r="U3322" s="2">
        <v>5</v>
      </c>
      <c r="V3322" s="2">
        <v>63</v>
      </c>
      <c r="W3322" s="2">
        <v>3</v>
      </c>
      <c r="X3322" s="2">
        <v>31</v>
      </c>
      <c r="Z3322" s="2">
        <v>62</v>
      </c>
      <c r="AA3322" s="3" t="s">
        <v>40</v>
      </c>
      <c r="AB3322" s="2">
        <v>1</v>
      </c>
      <c r="AF3322" s="2">
        <v>30</v>
      </c>
      <c r="AG3322" s="2">
        <v>1</v>
      </c>
      <c r="AH3322" s="3" t="s">
        <v>3358</v>
      </c>
      <c r="AI3322" s="4">
        <v>45427</v>
      </c>
      <c r="AJ3322" s="3" t="s">
        <v>3473</v>
      </c>
      <c r="AK3322" s="3" t="s">
        <v>248</v>
      </c>
    </row>
    <row r="3323" spans="1:37" hidden="1" x14ac:dyDescent="0.25">
      <c r="A3323" t="str">
        <f t="shared" si="51"/>
        <v>2024_Qld_Gatton_Chickpea_DetailedTOS1VarietyHatTrickWaterTrtRainFed</v>
      </c>
      <c r="B3323" s="2">
        <v>2024037</v>
      </c>
      <c r="C3323" s="3" t="s">
        <v>3348</v>
      </c>
      <c r="D3323" s="3" t="s">
        <v>248</v>
      </c>
      <c r="F3323" s="3" t="s">
        <v>4178</v>
      </c>
      <c r="G3323" s="3" t="s">
        <v>39</v>
      </c>
      <c r="H3323" s="3" t="s">
        <v>253</v>
      </c>
      <c r="I3323" s="2">
        <v>124</v>
      </c>
      <c r="J3323" s="2">
        <v>64</v>
      </c>
      <c r="K3323" s="2">
        <v>4</v>
      </c>
      <c r="O3323" s="2">
        <v>16</v>
      </c>
      <c r="U3323" s="2">
        <v>6</v>
      </c>
      <c r="V3323" s="2">
        <v>63</v>
      </c>
      <c r="W3323" s="2">
        <v>4</v>
      </c>
      <c r="X3323" s="2">
        <v>31</v>
      </c>
      <c r="Z3323" s="2">
        <v>61</v>
      </c>
      <c r="AA3323" s="3" t="s">
        <v>40</v>
      </c>
      <c r="AB3323" s="2">
        <v>3</v>
      </c>
      <c r="AF3323" s="2">
        <v>30</v>
      </c>
      <c r="AG3323" s="2">
        <v>1</v>
      </c>
      <c r="AH3323" s="3" t="s">
        <v>3358</v>
      </c>
      <c r="AI3323" s="4">
        <v>45427</v>
      </c>
      <c r="AJ3323" s="3" t="s">
        <v>3474</v>
      </c>
      <c r="AK3323" s="3" t="s">
        <v>248</v>
      </c>
    </row>
    <row r="3324" spans="1:37" hidden="1" x14ac:dyDescent="0.25">
      <c r="A3324" t="str">
        <f t="shared" si="51"/>
        <v>2024_Qld_Gatton_Chickpea_DetailedTOS1VarietyDrummondWaterTrtRainFed</v>
      </c>
      <c r="B3324" s="2">
        <v>2024037</v>
      </c>
      <c r="C3324" s="3" t="s">
        <v>3348</v>
      </c>
      <c r="D3324" s="3" t="s">
        <v>248</v>
      </c>
      <c r="F3324" s="3" t="s">
        <v>4182</v>
      </c>
      <c r="G3324" s="3" t="s">
        <v>39</v>
      </c>
      <c r="H3324" s="3" t="s">
        <v>250</v>
      </c>
      <c r="I3324" s="2">
        <v>125</v>
      </c>
      <c r="J3324" s="2">
        <v>61</v>
      </c>
      <c r="K3324" s="2">
        <v>4</v>
      </c>
      <c r="O3324" s="2">
        <v>16</v>
      </c>
      <c r="U3324" s="2">
        <v>2</v>
      </c>
      <c r="V3324" s="2">
        <v>64</v>
      </c>
      <c r="W3324" s="2">
        <v>1</v>
      </c>
      <c r="X3324" s="2">
        <v>32</v>
      </c>
      <c r="AA3324" s="3" t="s">
        <v>40</v>
      </c>
      <c r="AB3324" s="2">
        <v>2</v>
      </c>
      <c r="AF3324" s="2">
        <v>30</v>
      </c>
      <c r="AG3324" s="2">
        <v>1</v>
      </c>
      <c r="AH3324" s="3" t="s">
        <v>3358</v>
      </c>
      <c r="AI3324" s="4">
        <v>45427</v>
      </c>
      <c r="AJ3324" s="3" t="s">
        <v>3475</v>
      </c>
      <c r="AK3324" s="3" t="s">
        <v>248</v>
      </c>
    </row>
    <row r="3325" spans="1:37" hidden="1" x14ac:dyDescent="0.25">
      <c r="A3325" t="str">
        <f t="shared" si="51"/>
        <v>2024_Qld_Gatton_Chickpea_DetailedTOS1VarietyStrikerWaterTrtRainFed</v>
      </c>
      <c r="B3325" s="2">
        <v>2024037</v>
      </c>
      <c r="C3325" s="3" t="s">
        <v>3348</v>
      </c>
      <c r="D3325" s="3" t="s">
        <v>248</v>
      </c>
      <c r="F3325" s="3" t="s">
        <v>4179</v>
      </c>
      <c r="G3325" s="3" t="s">
        <v>43</v>
      </c>
      <c r="H3325" s="3" t="s">
        <v>250</v>
      </c>
      <c r="I3325" s="2">
        <v>126</v>
      </c>
      <c r="J3325" s="2">
        <v>62</v>
      </c>
      <c r="K3325" s="2">
        <v>4</v>
      </c>
      <c r="O3325" s="2">
        <v>16</v>
      </c>
      <c r="U3325" s="2">
        <v>3</v>
      </c>
      <c r="V3325" s="2">
        <v>64</v>
      </c>
      <c r="W3325" s="2">
        <v>2</v>
      </c>
      <c r="X3325" s="2">
        <v>32</v>
      </c>
      <c r="AA3325" s="3" t="s">
        <v>40</v>
      </c>
      <c r="AB3325" s="2">
        <v>4</v>
      </c>
      <c r="AF3325" s="2">
        <v>30</v>
      </c>
      <c r="AG3325" s="2">
        <v>1</v>
      </c>
      <c r="AH3325" s="3" t="s">
        <v>3358</v>
      </c>
      <c r="AI3325" s="4">
        <v>45427</v>
      </c>
      <c r="AJ3325" s="3" t="s">
        <v>3476</v>
      </c>
      <c r="AK3325" s="3" t="s">
        <v>248</v>
      </c>
    </row>
    <row r="3326" spans="1:37" hidden="1" x14ac:dyDescent="0.25">
      <c r="A3326" t="str">
        <f t="shared" si="51"/>
        <v>2024_Qld_Gatton_Chickpea_DetailedTOS1VarietyCBA_CaptainWaterTrtRainFed</v>
      </c>
      <c r="B3326" s="2">
        <v>2024037</v>
      </c>
      <c r="C3326" s="3" t="s">
        <v>3348</v>
      </c>
      <c r="D3326" s="3" t="s">
        <v>248</v>
      </c>
      <c r="F3326" s="3" t="s">
        <v>249</v>
      </c>
      <c r="G3326" s="3" t="s">
        <v>43</v>
      </c>
      <c r="H3326" s="3" t="s">
        <v>250</v>
      </c>
      <c r="I3326" s="2">
        <v>127</v>
      </c>
      <c r="J3326" s="2">
        <v>63</v>
      </c>
      <c r="K3326" s="2">
        <v>4</v>
      </c>
      <c r="O3326" s="2">
        <v>16</v>
      </c>
      <c r="U3326" s="2">
        <v>5</v>
      </c>
      <c r="V3326" s="2">
        <v>64</v>
      </c>
      <c r="W3326" s="2">
        <v>3</v>
      </c>
      <c r="X3326" s="2">
        <v>32</v>
      </c>
      <c r="AA3326" s="3" t="s">
        <v>40</v>
      </c>
      <c r="AB3326" s="2">
        <v>1</v>
      </c>
      <c r="AF3326" s="2">
        <v>30</v>
      </c>
      <c r="AG3326" s="2">
        <v>1</v>
      </c>
      <c r="AH3326" s="3" t="s">
        <v>3358</v>
      </c>
      <c r="AI3326" s="4">
        <v>45427</v>
      </c>
      <c r="AJ3326" s="3" t="s">
        <v>3477</v>
      </c>
      <c r="AK3326" s="3" t="s">
        <v>248</v>
      </c>
    </row>
    <row r="3327" spans="1:37" hidden="1" x14ac:dyDescent="0.25">
      <c r="A3327" t="str">
        <f t="shared" si="51"/>
        <v>2024_Qld_Gatton_Chickpea_DetailedTOS1VarietyHatTrickWaterTrtRainFed</v>
      </c>
      <c r="B3327" s="2">
        <v>2024037</v>
      </c>
      <c r="C3327" s="3" t="s">
        <v>3348</v>
      </c>
      <c r="D3327" s="3" t="s">
        <v>248</v>
      </c>
      <c r="F3327" s="3" t="s">
        <v>4178</v>
      </c>
      <c r="G3327" s="3" t="s">
        <v>39</v>
      </c>
      <c r="H3327" s="3" t="s">
        <v>250</v>
      </c>
      <c r="I3327" s="2">
        <v>128</v>
      </c>
      <c r="J3327" s="2">
        <v>64</v>
      </c>
      <c r="K3327" s="2">
        <v>4</v>
      </c>
      <c r="O3327" s="2">
        <v>16</v>
      </c>
      <c r="U3327" s="2">
        <v>6</v>
      </c>
      <c r="V3327" s="2">
        <v>64</v>
      </c>
      <c r="W3327" s="2">
        <v>4</v>
      </c>
      <c r="X3327" s="2">
        <v>32</v>
      </c>
      <c r="AA3327" s="3" t="s">
        <v>40</v>
      </c>
      <c r="AB3327" s="2">
        <v>3</v>
      </c>
      <c r="AF3327" s="2">
        <v>30</v>
      </c>
      <c r="AG3327" s="2">
        <v>1</v>
      </c>
      <c r="AH3327" s="3" t="s">
        <v>3358</v>
      </c>
      <c r="AI3327" s="4">
        <v>45427</v>
      </c>
      <c r="AJ3327" s="3" t="s">
        <v>3478</v>
      </c>
      <c r="AK3327" s="3" t="s">
        <v>248</v>
      </c>
    </row>
    <row r="3328" spans="1:37" hidden="1" x14ac:dyDescent="0.25">
      <c r="A3328" t="str">
        <f t="shared" si="51"/>
        <v>2024_Vic_Kalkee_Chickpea_DetailedTOS1VarietyCBA_CaptainWaterTrtRainFed</v>
      </c>
      <c r="B3328" s="2">
        <v>2024038</v>
      </c>
      <c r="C3328" s="3" t="s">
        <v>3479</v>
      </c>
      <c r="D3328" s="3" t="s">
        <v>248</v>
      </c>
      <c r="F3328" s="3" t="s">
        <v>249</v>
      </c>
      <c r="G3328" s="3" t="s">
        <v>43</v>
      </c>
      <c r="H3328" s="3" t="s">
        <v>253</v>
      </c>
      <c r="I3328" s="2">
        <v>1</v>
      </c>
      <c r="J3328" s="2">
        <v>1</v>
      </c>
      <c r="K3328" s="2">
        <v>1</v>
      </c>
      <c r="O3328" s="2">
        <v>1</v>
      </c>
      <c r="P3328" s="2">
        <v>1</v>
      </c>
      <c r="U3328" s="2">
        <v>1</v>
      </c>
      <c r="V3328" s="2">
        <v>2</v>
      </c>
      <c r="W3328" s="2">
        <v>1</v>
      </c>
      <c r="X3328" s="2">
        <v>1</v>
      </c>
      <c r="AA3328" s="3" t="s">
        <v>40</v>
      </c>
      <c r="AB3328" s="2">
        <v>3</v>
      </c>
      <c r="AF3328" s="2">
        <v>30.5</v>
      </c>
      <c r="AG3328" s="2">
        <v>1</v>
      </c>
      <c r="AH3328" s="3" t="s">
        <v>3480</v>
      </c>
      <c r="AI3328" s="4">
        <v>45434</v>
      </c>
      <c r="AJ3328" s="3" t="s">
        <v>3481</v>
      </c>
      <c r="AK3328" s="3" t="s">
        <v>248</v>
      </c>
    </row>
    <row r="3329" spans="1:37" hidden="1" x14ac:dyDescent="0.25">
      <c r="A3329" t="str">
        <f t="shared" si="51"/>
        <v>2024_Vic_Kalkee_Chickpea_DetailedTOS1VarietyStrikerWaterTrtRainFed</v>
      </c>
      <c r="B3329" s="2">
        <v>2024038</v>
      </c>
      <c r="C3329" s="3" t="s">
        <v>3479</v>
      </c>
      <c r="D3329" s="3" t="s">
        <v>248</v>
      </c>
      <c r="F3329" s="3" t="s">
        <v>4179</v>
      </c>
      <c r="G3329" s="3" t="s">
        <v>43</v>
      </c>
      <c r="H3329" s="3" t="s">
        <v>253</v>
      </c>
      <c r="I3329" s="2">
        <v>2</v>
      </c>
      <c r="J3329" s="2">
        <v>2</v>
      </c>
      <c r="K3329" s="2">
        <v>1</v>
      </c>
      <c r="O3329" s="2">
        <v>1</v>
      </c>
      <c r="P3329" s="2">
        <v>1</v>
      </c>
      <c r="U3329" s="2">
        <v>2</v>
      </c>
      <c r="V3329" s="2">
        <v>2</v>
      </c>
      <c r="W3329" s="2">
        <v>2</v>
      </c>
      <c r="X3329" s="2">
        <v>1</v>
      </c>
      <c r="AA3329" s="3" t="s">
        <v>40</v>
      </c>
      <c r="AB3329" s="2">
        <v>4</v>
      </c>
      <c r="AF3329" s="2">
        <v>30.5</v>
      </c>
      <c r="AG3329" s="2">
        <v>1</v>
      </c>
      <c r="AH3329" s="3" t="s">
        <v>3480</v>
      </c>
      <c r="AI3329" s="4">
        <v>45434</v>
      </c>
      <c r="AJ3329" s="3" t="s">
        <v>3482</v>
      </c>
      <c r="AK3329" s="3" t="s">
        <v>248</v>
      </c>
    </row>
    <row r="3330" spans="1:37" hidden="1" x14ac:dyDescent="0.25">
      <c r="A3330" t="str">
        <f t="shared" si="51"/>
        <v>2024_Vic_Kalkee_Chickpea_DetailedTOS1VarietyDrummondWaterTrtIrrigated</v>
      </c>
      <c r="B3330" s="2">
        <v>2024038</v>
      </c>
      <c r="C3330" s="3" t="s">
        <v>3479</v>
      </c>
      <c r="D3330" s="3" t="s">
        <v>248</v>
      </c>
      <c r="F3330" s="3" t="s">
        <v>4182</v>
      </c>
      <c r="G3330" s="3" t="s">
        <v>39</v>
      </c>
      <c r="H3330" s="3" t="s">
        <v>253</v>
      </c>
      <c r="I3330" s="2">
        <v>3</v>
      </c>
      <c r="J3330" s="2">
        <v>3</v>
      </c>
      <c r="K3330" s="2">
        <v>1</v>
      </c>
      <c r="O3330" s="2">
        <v>1</v>
      </c>
      <c r="P3330" s="2">
        <v>2</v>
      </c>
      <c r="U3330" s="2">
        <v>3</v>
      </c>
      <c r="V3330" s="2">
        <v>2</v>
      </c>
      <c r="W3330" s="2">
        <v>3</v>
      </c>
      <c r="X3330" s="2">
        <v>1</v>
      </c>
      <c r="AA3330" s="3" t="s">
        <v>57</v>
      </c>
      <c r="AB3330" s="2">
        <v>1</v>
      </c>
      <c r="AF3330" s="2">
        <v>30.5</v>
      </c>
      <c r="AG3330" s="2">
        <v>1</v>
      </c>
      <c r="AH3330" s="3" t="s">
        <v>3480</v>
      </c>
      <c r="AI3330" s="4">
        <v>45434</v>
      </c>
      <c r="AJ3330" s="3" t="s">
        <v>3483</v>
      </c>
      <c r="AK3330" s="3" t="s">
        <v>248</v>
      </c>
    </row>
    <row r="3331" spans="1:37" hidden="1" x14ac:dyDescent="0.25">
      <c r="A3331" t="str">
        <f t="shared" ref="A3331:A3394" si="52">C3331&amp;"TOS"&amp;AG3331&amp;"Variety"&amp;F3331&amp;"WaterTrt"&amp;AA3331&amp;IF(AC3331="","","Agronomy"&amp;AC3331)</f>
        <v>2024_Vic_Kalkee_Chickpea_DetailedTOS1VarietyHatTrickWaterTrtIrrigated</v>
      </c>
      <c r="B3331" s="2">
        <v>2024038</v>
      </c>
      <c r="C3331" s="3" t="s">
        <v>3479</v>
      </c>
      <c r="D3331" s="3" t="s">
        <v>248</v>
      </c>
      <c r="F3331" s="3" t="s">
        <v>4178</v>
      </c>
      <c r="G3331" s="3" t="s">
        <v>39</v>
      </c>
      <c r="H3331" s="3" t="s">
        <v>253</v>
      </c>
      <c r="I3331" s="2">
        <v>4</v>
      </c>
      <c r="J3331" s="2">
        <v>4</v>
      </c>
      <c r="K3331" s="2">
        <v>1</v>
      </c>
      <c r="O3331" s="2">
        <v>1</v>
      </c>
      <c r="P3331" s="2">
        <v>2</v>
      </c>
      <c r="U3331" s="2">
        <v>4</v>
      </c>
      <c r="V3331" s="2">
        <v>2</v>
      </c>
      <c r="W3331" s="2">
        <v>4</v>
      </c>
      <c r="X3331" s="2">
        <v>1</v>
      </c>
      <c r="AA3331" s="3" t="s">
        <v>57</v>
      </c>
      <c r="AB3331" s="2">
        <v>2</v>
      </c>
      <c r="AF3331" s="2">
        <v>30.5</v>
      </c>
      <c r="AG3331" s="2">
        <v>1</v>
      </c>
      <c r="AH3331" s="3" t="s">
        <v>3480</v>
      </c>
      <c r="AI3331" s="4">
        <v>45434</v>
      </c>
      <c r="AJ3331" s="3" t="s">
        <v>3484</v>
      </c>
      <c r="AK3331" s="3" t="s">
        <v>248</v>
      </c>
    </row>
    <row r="3332" spans="1:37" hidden="1" x14ac:dyDescent="0.25">
      <c r="A3332" t="str">
        <f t="shared" si="52"/>
        <v>2024_Vic_Kalkee_Chickpea_DetailedTOS1VarietyCBA_CaptainWaterTrtRainFed</v>
      </c>
      <c r="B3332" s="2">
        <v>2024038</v>
      </c>
      <c r="C3332" s="3" t="s">
        <v>3479</v>
      </c>
      <c r="D3332" s="3" t="s">
        <v>248</v>
      </c>
      <c r="F3332" s="3" t="s">
        <v>249</v>
      </c>
      <c r="G3332" s="3" t="s">
        <v>43</v>
      </c>
      <c r="H3332" s="3" t="s">
        <v>250</v>
      </c>
      <c r="I3332" s="2">
        <v>5</v>
      </c>
      <c r="J3332" s="2">
        <v>1</v>
      </c>
      <c r="K3332" s="2">
        <v>1</v>
      </c>
      <c r="O3332" s="2">
        <v>1</v>
      </c>
      <c r="P3332" s="2">
        <v>1</v>
      </c>
      <c r="U3332" s="2">
        <v>1</v>
      </c>
      <c r="V3332" s="2">
        <v>3</v>
      </c>
      <c r="W3332" s="2">
        <v>1</v>
      </c>
      <c r="X3332" s="2">
        <v>2</v>
      </c>
      <c r="Z3332" s="2">
        <v>1</v>
      </c>
      <c r="AA3332" s="3" t="s">
        <v>40</v>
      </c>
      <c r="AB3332" s="2">
        <v>3</v>
      </c>
      <c r="AF3332" s="2">
        <v>30.5</v>
      </c>
      <c r="AG3332" s="2">
        <v>1</v>
      </c>
      <c r="AH3332" s="3" t="s">
        <v>3480</v>
      </c>
      <c r="AI3332" s="4">
        <v>45434</v>
      </c>
      <c r="AJ3332" s="3" t="s">
        <v>3485</v>
      </c>
      <c r="AK3332" s="3" t="s">
        <v>248</v>
      </c>
    </row>
    <row r="3333" spans="1:37" hidden="1" x14ac:dyDescent="0.25">
      <c r="A3333" t="str">
        <f t="shared" si="52"/>
        <v>2024_Vic_Kalkee_Chickpea_DetailedTOS1VarietyStrikerWaterTrtRainFed</v>
      </c>
      <c r="B3333" s="2">
        <v>2024038</v>
      </c>
      <c r="C3333" s="3" t="s">
        <v>3479</v>
      </c>
      <c r="D3333" s="3" t="s">
        <v>248</v>
      </c>
      <c r="F3333" s="3" t="s">
        <v>4179</v>
      </c>
      <c r="G3333" s="3" t="s">
        <v>43</v>
      </c>
      <c r="H3333" s="3" t="s">
        <v>250</v>
      </c>
      <c r="I3333" s="2">
        <v>6</v>
      </c>
      <c r="J3333" s="2">
        <v>2</v>
      </c>
      <c r="K3333" s="2">
        <v>1</v>
      </c>
      <c r="O3333" s="2">
        <v>1</v>
      </c>
      <c r="P3333" s="2">
        <v>1</v>
      </c>
      <c r="U3333" s="2">
        <v>2</v>
      </c>
      <c r="V3333" s="2">
        <v>3</v>
      </c>
      <c r="W3333" s="2">
        <v>2</v>
      </c>
      <c r="X3333" s="2">
        <v>2</v>
      </c>
      <c r="Z3333" s="2">
        <v>2</v>
      </c>
      <c r="AA3333" s="3" t="s">
        <v>40</v>
      </c>
      <c r="AB3333" s="2">
        <v>4</v>
      </c>
      <c r="AF3333" s="2">
        <v>30.5</v>
      </c>
      <c r="AG3333" s="2">
        <v>1</v>
      </c>
      <c r="AH3333" s="3" t="s">
        <v>3480</v>
      </c>
      <c r="AI3333" s="4">
        <v>45434</v>
      </c>
      <c r="AJ3333" s="3" t="s">
        <v>3486</v>
      </c>
      <c r="AK3333" s="3" t="s">
        <v>248</v>
      </c>
    </row>
    <row r="3334" spans="1:37" hidden="1" x14ac:dyDescent="0.25">
      <c r="A3334" t="str">
        <f t="shared" si="52"/>
        <v>2024_Vic_Kalkee_Chickpea_DetailedTOS1VarietyDrummondWaterTrtIrrigated</v>
      </c>
      <c r="B3334" s="2">
        <v>2024038</v>
      </c>
      <c r="C3334" s="3" t="s">
        <v>3479</v>
      </c>
      <c r="D3334" s="3" t="s">
        <v>248</v>
      </c>
      <c r="F3334" s="3" t="s">
        <v>4182</v>
      </c>
      <c r="G3334" s="3" t="s">
        <v>39</v>
      </c>
      <c r="H3334" s="3" t="s">
        <v>250</v>
      </c>
      <c r="I3334" s="2">
        <v>7</v>
      </c>
      <c r="J3334" s="2">
        <v>3</v>
      </c>
      <c r="K3334" s="2">
        <v>1</v>
      </c>
      <c r="O3334" s="2">
        <v>1</v>
      </c>
      <c r="P3334" s="2">
        <v>2</v>
      </c>
      <c r="U3334" s="2">
        <v>3</v>
      </c>
      <c r="V3334" s="2">
        <v>3</v>
      </c>
      <c r="W3334" s="2">
        <v>3</v>
      </c>
      <c r="X3334" s="2">
        <v>2</v>
      </c>
      <c r="Z3334" s="2">
        <v>3</v>
      </c>
      <c r="AA3334" s="3" t="s">
        <v>57</v>
      </c>
      <c r="AB3334" s="2">
        <v>1</v>
      </c>
      <c r="AF3334" s="2">
        <v>30.5</v>
      </c>
      <c r="AG3334" s="2">
        <v>1</v>
      </c>
      <c r="AH3334" s="3" t="s">
        <v>3480</v>
      </c>
      <c r="AI3334" s="4">
        <v>45434</v>
      </c>
      <c r="AJ3334" s="3" t="s">
        <v>3487</v>
      </c>
      <c r="AK3334" s="3" t="s">
        <v>248</v>
      </c>
    </row>
    <row r="3335" spans="1:37" hidden="1" x14ac:dyDescent="0.25">
      <c r="A3335" t="str">
        <f t="shared" si="52"/>
        <v>2024_Vic_Kalkee_Chickpea_DetailedTOS1VarietyHatTrickWaterTrtIrrigated</v>
      </c>
      <c r="B3335" s="2">
        <v>2024038</v>
      </c>
      <c r="C3335" s="3" t="s">
        <v>3479</v>
      </c>
      <c r="D3335" s="3" t="s">
        <v>248</v>
      </c>
      <c r="F3335" s="3" t="s">
        <v>4178</v>
      </c>
      <c r="G3335" s="3" t="s">
        <v>39</v>
      </c>
      <c r="H3335" s="3" t="s">
        <v>250</v>
      </c>
      <c r="I3335" s="2">
        <v>8</v>
      </c>
      <c r="J3335" s="2">
        <v>4</v>
      </c>
      <c r="K3335" s="2">
        <v>1</v>
      </c>
      <c r="O3335" s="2">
        <v>1</v>
      </c>
      <c r="P3335" s="2">
        <v>2</v>
      </c>
      <c r="U3335" s="2">
        <v>4</v>
      </c>
      <c r="V3335" s="2">
        <v>3</v>
      </c>
      <c r="W3335" s="2">
        <v>4</v>
      </c>
      <c r="X3335" s="2">
        <v>2</v>
      </c>
      <c r="Z3335" s="2">
        <v>4</v>
      </c>
      <c r="AA3335" s="3" t="s">
        <v>57</v>
      </c>
      <c r="AB3335" s="2">
        <v>2</v>
      </c>
      <c r="AF3335" s="2">
        <v>30.5</v>
      </c>
      <c r="AG3335" s="2">
        <v>1</v>
      </c>
      <c r="AH3335" s="3" t="s">
        <v>3480</v>
      </c>
      <c r="AI3335" s="4">
        <v>45434</v>
      </c>
      <c r="AJ3335" s="3" t="s">
        <v>3488</v>
      </c>
      <c r="AK3335" s="3" t="s">
        <v>248</v>
      </c>
    </row>
    <row r="3336" spans="1:37" hidden="1" x14ac:dyDescent="0.25">
      <c r="A3336" t="str">
        <f t="shared" si="52"/>
        <v>2024_Vic_Kalkee_Chickpea_DetailedTOS1VarietyDrummondWaterTrtRainFed</v>
      </c>
      <c r="B3336" s="2">
        <v>2024038</v>
      </c>
      <c r="C3336" s="3" t="s">
        <v>3479</v>
      </c>
      <c r="D3336" s="3" t="s">
        <v>248</v>
      </c>
      <c r="F3336" s="3" t="s">
        <v>4182</v>
      </c>
      <c r="G3336" s="3" t="s">
        <v>39</v>
      </c>
      <c r="H3336" s="3" t="s">
        <v>253</v>
      </c>
      <c r="I3336" s="2">
        <v>9</v>
      </c>
      <c r="J3336" s="2">
        <v>5</v>
      </c>
      <c r="K3336" s="2">
        <v>1</v>
      </c>
      <c r="O3336" s="2">
        <v>1</v>
      </c>
      <c r="P3336" s="2">
        <v>1</v>
      </c>
      <c r="U3336" s="2">
        <v>1</v>
      </c>
      <c r="V3336" s="2">
        <v>4</v>
      </c>
      <c r="W3336" s="2">
        <v>1</v>
      </c>
      <c r="X3336" s="2">
        <v>3</v>
      </c>
      <c r="AA3336" s="3" t="s">
        <v>40</v>
      </c>
      <c r="AB3336" s="2">
        <v>1</v>
      </c>
      <c r="AF3336" s="2">
        <v>30.5</v>
      </c>
      <c r="AG3336" s="2">
        <v>1</v>
      </c>
      <c r="AH3336" s="3" t="s">
        <v>3480</v>
      </c>
      <c r="AI3336" s="4">
        <v>45434</v>
      </c>
      <c r="AJ3336" s="3" t="s">
        <v>3489</v>
      </c>
      <c r="AK3336" s="3" t="s">
        <v>248</v>
      </c>
    </row>
    <row r="3337" spans="1:37" hidden="1" x14ac:dyDescent="0.25">
      <c r="A3337" t="str">
        <f t="shared" si="52"/>
        <v>2024_Vic_Kalkee_Chickpea_DetailedTOS1VarietyHatTrickWaterTrtRainFed</v>
      </c>
      <c r="B3337" s="2">
        <v>2024038</v>
      </c>
      <c r="C3337" s="3" t="s">
        <v>3479</v>
      </c>
      <c r="D3337" s="3" t="s">
        <v>248</v>
      </c>
      <c r="F3337" s="3" t="s">
        <v>4178</v>
      </c>
      <c r="G3337" s="3" t="s">
        <v>39</v>
      </c>
      <c r="H3337" s="3" t="s">
        <v>253</v>
      </c>
      <c r="I3337" s="2">
        <v>10</v>
      </c>
      <c r="J3337" s="2">
        <v>6</v>
      </c>
      <c r="K3337" s="2">
        <v>1</v>
      </c>
      <c r="O3337" s="2">
        <v>1</v>
      </c>
      <c r="P3337" s="2">
        <v>1</v>
      </c>
      <c r="U3337" s="2">
        <v>2</v>
      </c>
      <c r="V3337" s="2">
        <v>4</v>
      </c>
      <c r="W3337" s="2">
        <v>2</v>
      </c>
      <c r="X3337" s="2">
        <v>3</v>
      </c>
      <c r="AA3337" s="3" t="s">
        <v>40</v>
      </c>
      <c r="AB3337" s="2">
        <v>2</v>
      </c>
      <c r="AF3337" s="2">
        <v>30.5</v>
      </c>
      <c r="AG3337" s="2">
        <v>1</v>
      </c>
      <c r="AH3337" s="3" t="s">
        <v>3480</v>
      </c>
      <c r="AI3337" s="4">
        <v>45434</v>
      </c>
      <c r="AJ3337" s="3" t="s">
        <v>3490</v>
      </c>
      <c r="AK3337" s="3" t="s">
        <v>248</v>
      </c>
    </row>
    <row r="3338" spans="1:37" hidden="1" x14ac:dyDescent="0.25">
      <c r="A3338" t="str">
        <f t="shared" si="52"/>
        <v>2024_Vic_Kalkee_Chickpea_DetailedTOS1VarietyStrikerWaterTrtIrrigated</v>
      </c>
      <c r="B3338" s="2">
        <v>2024038</v>
      </c>
      <c r="C3338" s="3" t="s">
        <v>3479</v>
      </c>
      <c r="D3338" s="3" t="s">
        <v>248</v>
      </c>
      <c r="F3338" s="3" t="s">
        <v>4179</v>
      </c>
      <c r="G3338" s="3" t="s">
        <v>43</v>
      </c>
      <c r="H3338" s="3" t="s">
        <v>253</v>
      </c>
      <c r="I3338" s="2">
        <v>11</v>
      </c>
      <c r="J3338" s="2">
        <v>7</v>
      </c>
      <c r="K3338" s="2">
        <v>1</v>
      </c>
      <c r="O3338" s="2">
        <v>1</v>
      </c>
      <c r="P3338" s="2">
        <v>2</v>
      </c>
      <c r="U3338" s="2">
        <v>3</v>
      </c>
      <c r="V3338" s="2">
        <v>4</v>
      </c>
      <c r="W3338" s="2">
        <v>3</v>
      </c>
      <c r="X3338" s="2">
        <v>3</v>
      </c>
      <c r="AA3338" s="3" t="s">
        <v>57</v>
      </c>
      <c r="AB3338" s="2">
        <v>4</v>
      </c>
      <c r="AF3338" s="2">
        <v>30.5</v>
      </c>
      <c r="AG3338" s="2">
        <v>1</v>
      </c>
      <c r="AH3338" s="3" t="s">
        <v>3480</v>
      </c>
      <c r="AI3338" s="4">
        <v>45434</v>
      </c>
      <c r="AJ3338" s="3" t="s">
        <v>3491</v>
      </c>
      <c r="AK3338" s="3" t="s">
        <v>248</v>
      </c>
    </row>
    <row r="3339" spans="1:37" hidden="1" x14ac:dyDescent="0.25">
      <c r="A3339" t="str">
        <f t="shared" si="52"/>
        <v>2024_Vic_Kalkee_Chickpea_DetailedTOS1VarietyCBA_CaptainWaterTrtIrrigated</v>
      </c>
      <c r="B3339" s="2">
        <v>2024038</v>
      </c>
      <c r="C3339" s="3" t="s">
        <v>3479</v>
      </c>
      <c r="D3339" s="3" t="s">
        <v>248</v>
      </c>
      <c r="F3339" s="3" t="s">
        <v>249</v>
      </c>
      <c r="G3339" s="3" t="s">
        <v>43</v>
      </c>
      <c r="H3339" s="3" t="s">
        <v>253</v>
      </c>
      <c r="I3339" s="2">
        <v>12</v>
      </c>
      <c r="J3339" s="2">
        <v>8</v>
      </c>
      <c r="K3339" s="2">
        <v>1</v>
      </c>
      <c r="O3339" s="2">
        <v>1</v>
      </c>
      <c r="P3339" s="2">
        <v>2</v>
      </c>
      <c r="U3339" s="2">
        <v>4</v>
      </c>
      <c r="V3339" s="2">
        <v>4</v>
      </c>
      <c r="W3339" s="2">
        <v>4</v>
      </c>
      <c r="X3339" s="2">
        <v>3</v>
      </c>
      <c r="AA3339" s="3" t="s">
        <v>57</v>
      </c>
      <c r="AB3339" s="2">
        <v>3</v>
      </c>
      <c r="AF3339" s="2">
        <v>30.5</v>
      </c>
      <c r="AG3339" s="2">
        <v>1</v>
      </c>
      <c r="AH3339" s="3" t="s">
        <v>3480</v>
      </c>
      <c r="AI3339" s="4">
        <v>45434</v>
      </c>
      <c r="AJ3339" s="3" t="s">
        <v>3492</v>
      </c>
      <c r="AK3339" s="3" t="s">
        <v>248</v>
      </c>
    </row>
    <row r="3340" spans="1:37" hidden="1" x14ac:dyDescent="0.25">
      <c r="A3340" t="str">
        <f t="shared" si="52"/>
        <v>2024_Vic_Kalkee_Chickpea_DetailedTOS1VarietyDrummondWaterTrtRainFed</v>
      </c>
      <c r="B3340" s="2">
        <v>2024038</v>
      </c>
      <c r="C3340" s="3" t="s">
        <v>3479</v>
      </c>
      <c r="D3340" s="3" t="s">
        <v>248</v>
      </c>
      <c r="F3340" s="3" t="s">
        <v>4182</v>
      </c>
      <c r="G3340" s="3" t="s">
        <v>39</v>
      </c>
      <c r="H3340" s="3" t="s">
        <v>250</v>
      </c>
      <c r="I3340" s="2">
        <v>13</v>
      </c>
      <c r="J3340" s="2">
        <v>5</v>
      </c>
      <c r="K3340" s="2">
        <v>1</v>
      </c>
      <c r="O3340" s="2">
        <v>1</v>
      </c>
      <c r="P3340" s="2">
        <v>1</v>
      </c>
      <c r="U3340" s="2">
        <v>1</v>
      </c>
      <c r="V3340" s="2">
        <v>5</v>
      </c>
      <c r="W3340" s="2">
        <v>1</v>
      </c>
      <c r="X3340" s="2">
        <v>4</v>
      </c>
      <c r="Z3340" s="2">
        <v>8</v>
      </c>
      <c r="AA3340" s="3" t="s">
        <v>40</v>
      </c>
      <c r="AB3340" s="2">
        <v>1</v>
      </c>
      <c r="AF3340" s="2">
        <v>30.5</v>
      </c>
      <c r="AG3340" s="2">
        <v>1</v>
      </c>
      <c r="AH3340" s="3" t="s">
        <v>3480</v>
      </c>
      <c r="AI3340" s="4">
        <v>45434</v>
      </c>
      <c r="AJ3340" s="3" t="s">
        <v>3493</v>
      </c>
      <c r="AK3340" s="3" t="s">
        <v>248</v>
      </c>
    </row>
    <row r="3341" spans="1:37" hidden="1" x14ac:dyDescent="0.25">
      <c r="A3341" t="str">
        <f t="shared" si="52"/>
        <v>2024_Vic_Kalkee_Chickpea_DetailedTOS1VarietyHatTrickWaterTrtRainFed</v>
      </c>
      <c r="B3341" s="2">
        <v>2024038</v>
      </c>
      <c r="C3341" s="3" t="s">
        <v>3479</v>
      </c>
      <c r="D3341" s="3" t="s">
        <v>248</v>
      </c>
      <c r="F3341" s="3" t="s">
        <v>4178</v>
      </c>
      <c r="G3341" s="3" t="s">
        <v>39</v>
      </c>
      <c r="H3341" s="3" t="s">
        <v>250</v>
      </c>
      <c r="I3341" s="2">
        <v>14</v>
      </c>
      <c r="J3341" s="2">
        <v>6</v>
      </c>
      <c r="K3341" s="2">
        <v>1</v>
      </c>
      <c r="O3341" s="2">
        <v>1</v>
      </c>
      <c r="P3341" s="2">
        <v>1</v>
      </c>
      <c r="U3341" s="2">
        <v>2</v>
      </c>
      <c r="V3341" s="2">
        <v>5</v>
      </c>
      <c r="W3341" s="2">
        <v>2</v>
      </c>
      <c r="X3341" s="2">
        <v>4</v>
      </c>
      <c r="Z3341" s="2">
        <v>7</v>
      </c>
      <c r="AA3341" s="3" t="s">
        <v>40</v>
      </c>
      <c r="AB3341" s="2">
        <v>2</v>
      </c>
      <c r="AF3341" s="2">
        <v>30.5</v>
      </c>
      <c r="AG3341" s="2">
        <v>1</v>
      </c>
      <c r="AH3341" s="3" t="s">
        <v>3480</v>
      </c>
      <c r="AI3341" s="4">
        <v>45434</v>
      </c>
      <c r="AJ3341" s="3" t="s">
        <v>3494</v>
      </c>
      <c r="AK3341" s="3" t="s">
        <v>248</v>
      </c>
    </row>
    <row r="3342" spans="1:37" hidden="1" x14ac:dyDescent="0.25">
      <c r="A3342" t="str">
        <f t="shared" si="52"/>
        <v>2024_Vic_Kalkee_Chickpea_DetailedTOS1VarietyStrikerWaterTrtIrrigated</v>
      </c>
      <c r="B3342" s="2">
        <v>2024038</v>
      </c>
      <c r="C3342" s="3" t="s">
        <v>3479</v>
      </c>
      <c r="D3342" s="3" t="s">
        <v>248</v>
      </c>
      <c r="F3342" s="3" t="s">
        <v>4179</v>
      </c>
      <c r="G3342" s="3" t="s">
        <v>43</v>
      </c>
      <c r="H3342" s="3" t="s">
        <v>250</v>
      </c>
      <c r="I3342" s="2">
        <v>15</v>
      </c>
      <c r="J3342" s="2">
        <v>7</v>
      </c>
      <c r="K3342" s="2">
        <v>1</v>
      </c>
      <c r="O3342" s="2">
        <v>1</v>
      </c>
      <c r="P3342" s="2">
        <v>2</v>
      </c>
      <c r="U3342" s="2">
        <v>3</v>
      </c>
      <c r="V3342" s="2">
        <v>5</v>
      </c>
      <c r="W3342" s="2">
        <v>3</v>
      </c>
      <c r="X3342" s="2">
        <v>4</v>
      </c>
      <c r="Z3342" s="2">
        <v>6</v>
      </c>
      <c r="AA3342" s="3" t="s">
        <v>57</v>
      </c>
      <c r="AB3342" s="2">
        <v>4</v>
      </c>
      <c r="AF3342" s="2">
        <v>30.5</v>
      </c>
      <c r="AG3342" s="2">
        <v>1</v>
      </c>
      <c r="AH3342" s="3" t="s">
        <v>3480</v>
      </c>
      <c r="AI3342" s="4">
        <v>45434</v>
      </c>
      <c r="AJ3342" s="3" t="s">
        <v>3495</v>
      </c>
      <c r="AK3342" s="3" t="s">
        <v>248</v>
      </c>
    </row>
    <row r="3343" spans="1:37" hidden="1" x14ac:dyDescent="0.25">
      <c r="A3343" t="str">
        <f t="shared" si="52"/>
        <v>2024_Vic_Kalkee_Chickpea_DetailedTOS1VarietyCBA_CaptainWaterTrtIrrigated</v>
      </c>
      <c r="B3343" s="2">
        <v>2024038</v>
      </c>
      <c r="C3343" s="3" t="s">
        <v>3479</v>
      </c>
      <c r="D3343" s="3" t="s">
        <v>248</v>
      </c>
      <c r="F3343" s="3" t="s">
        <v>249</v>
      </c>
      <c r="G3343" s="3" t="s">
        <v>43</v>
      </c>
      <c r="H3343" s="3" t="s">
        <v>250</v>
      </c>
      <c r="I3343" s="2">
        <v>16</v>
      </c>
      <c r="J3343" s="2">
        <v>8</v>
      </c>
      <c r="K3343" s="2">
        <v>1</v>
      </c>
      <c r="O3343" s="2">
        <v>1</v>
      </c>
      <c r="P3343" s="2">
        <v>2</v>
      </c>
      <c r="U3343" s="2">
        <v>4</v>
      </c>
      <c r="V3343" s="2">
        <v>5</v>
      </c>
      <c r="W3343" s="2">
        <v>4</v>
      </c>
      <c r="X3343" s="2">
        <v>4</v>
      </c>
      <c r="Z3343" s="2">
        <v>5</v>
      </c>
      <c r="AA3343" s="3" t="s">
        <v>57</v>
      </c>
      <c r="AB3343" s="2">
        <v>3</v>
      </c>
      <c r="AF3343" s="2">
        <v>30.5</v>
      </c>
      <c r="AG3343" s="2">
        <v>1</v>
      </c>
      <c r="AH3343" s="3" t="s">
        <v>3480</v>
      </c>
      <c r="AI3343" s="4">
        <v>45434</v>
      </c>
      <c r="AJ3343" s="3" t="s">
        <v>3496</v>
      </c>
      <c r="AK3343" s="3" t="s">
        <v>248</v>
      </c>
    </row>
    <row r="3344" spans="1:37" hidden="1" x14ac:dyDescent="0.25">
      <c r="A3344" t="str">
        <f t="shared" si="52"/>
        <v>2024_Vic_Kalkee_Chickpea_DetailedTOS2VarietyCBA_CaptainWaterTrtIrrigated</v>
      </c>
      <c r="B3344" s="2">
        <v>2024038</v>
      </c>
      <c r="C3344" s="3" t="s">
        <v>3479</v>
      </c>
      <c r="D3344" s="3" t="s">
        <v>248</v>
      </c>
      <c r="F3344" s="3" t="s">
        <v>249</v>
      </c>
      <c r="G3344" s="3" t="s">
        <v>43</v>
      </c>
      <c r="H3344" s="3" t="s">
        <v>253</v>
      </c>
      <c r="I3344" s="2">
        <v>17</v>
      </c>
      <c r="J3344" s="2">
        <v>9</v>
      </c>
      <c r="K3344" s="2">
        <v>1</v>
      </c>
      <c r="O3344" s="2">
        <v>2</v>
      </c>
      <c r="P3344" s="2">
        <v>3</v>
      </c>
      <c r="U3344" s="2">
        <v>1</v>
      </c>
      <c r="V3344" s="2">
        <v>7</v>
      </c>
      <c r="W3344" s="2">
        <v>1</v>
      </c>
      <c r="X3344" s="2">
        <v>5</v>
      </c>
      <c r="AA3344" s="3" t="s">
        <v>57</v>
      </c>
      <c r="AB3344" s="2">
        <v>3</v>
      </c>
      <c r="AF3344" s="2">
        <v>30.5</v>
      </c>
      <c r="AG3344" s="2">
        <v>2</v>
      </c>
      <c r="AH3344" s="3" t="s">
        <v>3497</v>
      </c>
      <c r="AI3344" s="4">
        <v>45477</v>
      </c>
      <c r="AJ3344" s="3" t="s">
        <v>3498</v>
      </c>
      <c r="AK3344" s="3" t="s">
        <v>248</v>
      </c>
    </row>
    <row r="3345" spans="1:37" hidden="1" x14ac:dyDescent="0.25">
      <c r="A3345" t="str">
        <f t="shared" si="52"/>
        <v>2024_Vic_Kalkee_Chickpea_DetailedTOS2VarietyHatTrickWaterTrtIrrigated</v>
      </c>
      <c r="B3345" s="2">
        <v>2024038</v>
      </c>
      <c r="C3345" s="3" t="s">
        <v>3479</v>
      </c>
      <c r="D3345" s="3" t="s">
        <v>248</v>
      </c>
      <c r="F3345" s="3" t="s">
        <v>4178</v>
      </c>
      <c r="G3345" s="3" t="s">
        <v>39</v>
      </c>
      <c r="H3345" s="3" t="s">
        <v>253</v>
      </c>
      <c r="I3345" s="2">
        <v>18</v>
      </c>
      <c r="J3345" s="2">
        <v>10</v>
      </c>
      <c r="K3345" s="2">
        <v>1</v>
      </c>
      <c r="O3345" s="2">
        <v>2</v>
      </c>
      <c r="P3345" s="2">
        <v>3</v>
      </c>
      <c r="U3345" s="2">
        <v>2</v>
      </c>
      <c r="V3345" s="2">
        <v>7</v>
      </c>
      <c r="W3345" s="2">
        <v>2</v>
      </c>
      <c r="X3345" s="2">
        <v>5</v>
      </c>
      <c r="AA3345" s="3" t="s">
        <v>57</v>
      </c>
      <c r="AB3345" s="2">
        <v>2</v>
      </c>
      <c r="AF3345" s="2">
        <v>30.5</v>
      </c>
      <c r="AG3345" s="2">
        <v>2</v>
      </c>
      <c r="AH3345" s="3" t="s">
        <v>3497</v>
      </c>
      <c r="AI3345" s="4">
        <v>45477</v>
      </c>
      <c r="AJ3345" s="3" t="s">
        <v>3499</v>
      </c>
      <c r="AK3345" s="3" t="s">
        <v>248</v>
      </c>
    </row>
    <row r="3346" spans="1:37" hidden="1" x14ac:dyDescent="0.25">
      <c r="A3346" t="str">
        <f t="shared" si="52"/>
        <v>2024_Vic_Kalkee_Chickpea_DetailedTOS2VarietyStrikerWaterTrtRainFed</v>
      </c>
      <c r="B3346" s="2">
        <v>2024038</v>
      </c>
      <c r="C3346" s="3" t="s">
        <v>3479</v>
      </c>
      <c r="D3346" s="3" t="s">
        <v>248</v>
      </c>
      <c r="F3346" s="3" t="s">
        <v>4179</v>
      </c>
      <c r="G3346" s="3" t="s">
        <v>43</v>
      </c>
      <c r="H3346" s="3" t="s">
        <v>253</v>
      </c>
      <c r="I3346" s="2">
        <v>19</v>
      </c>
      <c r="J3346" s="2">
        <v>11</v>
      </c>
      <c r="K3346" s="2">
        <v>1</v>
      </c>
      <c r="O3346" s="2">
        <v>2</v>
      </c>
      <c r="P3346" s="2">
        <v>4</v>
      </c>
      <c r="U3346" s="2">
        <v>3</v>
      </c>
      <c r="V3346" s="2">
        <v>7</v>
      </c>
      <c r="W3346" s="2">
        <v>3</v>
      </c>
      <c r="X3346" s="2">
        <v>5</v>
      </c>
      <c r="AA3346" s="3" t="s">
        <v>40</v>
      </c>
      <c r="AB3346" s="2">
        <v>4</v>
      </c>
      <c r="AF3346" s="2">
        <v>30.5</v>
      </c>
      <c r="AG3346" s="2">
        <v>2</v>
      </c>
      <c r="AH3346" s="3" t="s">
        <v>3497</v>
      </c>
      <c r="AI3346" s="4">
        <v>45477</v>
      </c>
      <c r="AJ3346" s="3" t="s">
        <v>3500</v>
      </c>
      <c r="AK3346" s="3" t="s">
        <v>248</v>
      </c>
    </row>
    <row r="3347" spans="1:37" hidden="1" x14ac:dyDescent="0.25">
      <c r="A3347" t="str">
        <f t="shared" si="52"/>
        <v>2024_Vic_Kalkee_Chickpea_DetailedTOS2VarietyDrummondWaterTrtRainFed</v>
      </c>
      <c r="B3347" s="2">
        <v>2024038</v>
      </c>
      <c r="C3347" s="3" t="s">
        <v>3479</v>
      </c>
      <c r="D3347" s="3" t="s">
        <v>248</v>
      </c>
      <c r="F3347" s="3" t="s">
        <v>4182</v>
      </c>
      <c r="G3347" s="3" t="s">
        <v>39</v>
      </c>
      <c r="H3347" s="3" t="s">
        <v>253</v>
      </c>
      <c r="I3347" s="2">
        <v>20</v>
      </c>
      <c r="J3347" s="2">
        <v>12</v>
      </c>
      <c r="K3347" s="2">
        <v>1</v>
      </c>
      <c r="O3347" s="2">
        <v>2</v>
      </c>
      <c r="P3347" s="2">
        <v>4</v>
      </c>
      <c r="U3347" s="2">
        <v>4</v>
      </c>
      <c r="V3347" s="2">
        <v>7</v>
      </c>
      <c r="W3347" s="2">
        <v>4</v>
      </c>
      <c r="X3347" s="2">
        <v>5</v>
      </c>
      <c r="AA3347" s="3" t="s">
        <v>40</v>
      </c>
      <c r="AB3347" s="2">
        <v>1</v>
      </c>
      <c r="AF3347" s="2">
        <v>30.5</v>
      </c>
      <c r="AG3347" s="2">
        <v>2</v>
      </c>
      <c r="AH3347" s="3" t="s">
        <v>3497</v>
      </c>
      <c r="AI3347" s="4">
        <v>45477</v>
      </c>
      <c r="AJ3347" s="3" t="s">
        <v>3501</v>
      </c>
      <c r="AK3347" s="3" t="s">
        <v>248</v>
      </c>
    </row>
    <row r="3348" spans="1:37" hidden="1" x14ac:dyDescent="0.25">
      <c r="A3348" t="str">
        <f t="shared" si="52"/>
        <v>2024_Vic_Kalkee_Chickpea_DetailedTOS2VarietyCBA_CaptainWaterTrtIrrigated</v>
      </c>
      <c r="B3348" s="2">
        <v>2024038</v>
      </c>
      <c r="C3348" s="3" t="s">
        <v>3479</v>
      </c>
      <c r="D3348" s="3" t="s">
        <v>248</v>
      </c>
      <c r="F3348" s="3" t="s">
        <v>249</v>
      </c>
      <c r="G3348" s="3" t="s">
        <v>43</v>
      </c>
      <c r="H3348" s="3" t="s">
        <v>250</v>
      </c>
      <c r="I3348" s="2">
        <v>21</v>
      </c>
      <c r="J3348" s="2">
        <v>9</v>
      </c>
      <c r="K3348" s="2">
        <v>1</v>
      </c>
      <c r="O3348" s="2">
        <v>2</v>
      </c>
      <c r="P3348" s="2">
        <v>3</v>
      </c>
      <c r="U3348" s="2">
        <v>1</v>
      </c>
      <c r="V3348" s="2">
        <v>8</v>
      </c>
      <c r="W3348" s="2">
        <v>1</v>
      </c>
      <c r="X3348" s="2">
        <v>6</v>
      </c>
      <c r="Z3348" s="2">
        <v>9</v>
      </c>
      <c r="AA3348" s="3" t="s">
        <v>57</v>
      </c>
      <c r="AB3348" s="2">
        <v>3</v>
      </c>
      <c r="AF3348" s="2">
        <v>30.5</v>
      </c>
      <c r="AG3348" s="2">
        <v>2</v>
      </c>
      <c r="AH3348" s="3" t="s">
        <v>3497</v>
      </c>
      <c r="AI3348" s="4">
        <v>45477</v>
      </c>
      <c r="AJ3348" s="3" t="s">
        <v>3502</v>
      </c>
      <c r="AK3348" s="3" t="s">
        <v>248</v>
      </c>
    </row>
    <row r="3349" spans="1:37" hidden="1" x14ac:dyDescent="0.25">
      <c r="A3349" t="str">
        <f t="shared" si="52"/>
        <v>2024_Vic_Kalkee_Chickpea_DetailedTOS2VarietyHatTrickWaterTrtIrrigated</v>
      </c>
      <c r="B3349" s="2">
        <v>2024038</v>
      </c>
      <c r="C3349" s="3" t="s">
        <v>3479</v>
      </c>
      <c r="D3349" s="3" t="s">
        <v>248</v>
      </c>
      <c r="F3349" s="3" t="s">
        <v>4178</v>
      </c>
      <c r="G3349" s="3" t="s">
        <v>39</v>
      </c>
      <c r="H3349" s="3" t="s">
        <v>250</v>
      </c>
      <c r="I3349" s="2">
        <v>22</v>
      </c>
      <c r="J3349" s="2">
        <v>10</v>
      </c>
      <c r="K3349" s="2">
        <v>1</v>
      </c>
      <c r="O3349" s="2">
        <v>2</v>
      </c>
      <c r="P3349" s="2">
        <v>3</v>
      </c>
      <c r="U3349" s="2">
        <v>2</v>
      </c>
      <c r="V3349" s="2">
        <v>8</v>
      </c>
      <c r="W3349" s="2">
        <v>2</v>
      </c>
      <c r="X3349" s="2">
        <v>6</v>
      </c>
      <c r="Z3349" s="2">
        <v>10</v>
      </c>
      <c r="AA3349" s="3" t="s">
        <v>57</v>
      </c>
      <c r="AB3349" s="2">
        <v>2</v>
      </c>
      <c r="AF3349" s="2">
        <v>30.5</v>
      </c>
      <c r="AG3349" s="2">
        <v>2</v>
      </c>
      <c r="AH3349" s="3" t="s">
        <v>3497</v>
      </c>
      <c r="AI3349" s="4">
        <v>45477</v>
      </c>
      <c r="AJ3349" s="3" t="s">
        <v>3503</v>
      </c>
      <c r="AK3349" s="3" t="s">
        <v>248</v>
      </c>
    </row>
    <row r="3350" spans="1:37" hidden="1" x14ac:dyDescent="0.25">
      <c r="A3350" t="str">
        <f t="shared" si="52"/>
        <v>2024_Vic_Kalkee_Chickpea_DetailedTOS2VarietyStrikerWaterTrtRainFed</v>
      </c>
      <c r="B3350" s="2">
        <v>2024038</v>
      </c>
      <c r="C3350" s="3" t="s">
        <v>3479</v>
      </c>
      <c r="D3350" s="3" t="s">
        <v>248</v>
      </c>
      <c r="F3350" s="3" t="s">
        <v>4179</v>
      </c>
      <c r="G3350" s="3" t="s">
        <v>43</v>
      </c>
      <c r="H3350" s="3" t="s">
        <v>250</v>
      </c>
      <c r="I3350" s="2">
        <v>23</v>
      </c>
      <c r="J3350" s="2">
        <v>11</v>
      </c>
      <c r="K3350" s="2">
        <v>1</v>
      </c>
      <c r="O3350" s="2">
        <v>2</v>
      </c>
      <c r="P3350" s="2">
        <v>4</v>
      </c>
      <c r="U3350" s="2">
        <v>3</v>
      </c>
      <c r="V3350" s="2">
        <v>8</v>
      </c>
      <c r="W3350" s="2">
        <v>3</v>
      </c>
      <c r="X3350" s="2">
        <v>6</v>
      </c>
      <c r="Z3350" s="2">
        <v>11</v>
      </c>
      <c r="AA3350" s="3" t="s">
        <v>40</v>
      </c>
      <c r="AB3350" s="2">
        <v>4</v>
      </c>
      <c r="AF3350" s="2">
        <v>30.5</v>
      </c>
      <c r="AG3350" s="2">
        <v>2</v>
      </c>
      <c r="AH3350" s="3" t="s">
        <v>3497</v>
      </c>
      <c r="AI3350" s="4">
        <v>45477</v>
      </c>
      <c r="AJ3350" s="3" t="s">
        <v>3504</v>
      </c>
      <c r="AK3350" s="3" t="s">
        <v>248</v>
      </c>
    </row>
    <row r="3351" spans="1:37" hidden="1" x14ac:dyDescent="0.25">
      <c r="A3351" t="str">
        <f t="shared" si="52"/>
        <v>2024_Vic_Kalkee_Chickpea_DetailedTOS2VarietyDrummondWaterTrtRainFed</v>
      </c>
      <c r="B3351" s="2">
        <v>2024038</v>
      </c>
      <c r="C3351" s="3" t="s">
        <v>3479</v>
      </c>
      <c r="D3351" s="3" t="s">
        <v>248</v>
      </c>
      <c r="F3351" s="3" t="s">
        <v>4182</v>
      </c>
      <c r="G3351" s="3" t="s">
        <v>39</v>
      </c>
      <c r="H3351" s="3" t="s">
        <v>250</v>
      </c>
      <c r="I3351" s="2">
        <v>24</v>
      </c>
      <c r="J3351" s="2">
        <v>12</v>
      </c>
      <c r="K3351" s="2">
        <v>1</v>
      </c>
      <c r="O3351" s="2">
        <v>2</v>
      </c>
      <c r="P3351" s="2">
        <v>4</v>
      </c>
      <c r="U3351" s="2">
        <v>4</v>
      </c>
      <c r="V3351" s="2">
        <v>8</v>
      </c>
      <c r="W3351" s="2">
        <v>4</v>
      </c>
      <c r="X3351" s="2">
        <v>6</v>
      </c>
      <c r="Z3351" s="2">
        <v>12</v>
      </c>
      <c r="AA3351" s="3" t="s">
        <v>40</v>
      </c>
      <c r="AB3351" s="2">
        <v>1</v>
      </c>
      <c r="AF3351" s="2">
        <v>30.5</v>
      </c>
      <c r="AG3351" s="2">
        <v>2</v>
      </c>
      <c r="AH3351" s="3" t="s">
        <v>3497</v>
      </c>
      <c r="AI3351" s="4">
        <v>45477</v>
      </c>
      <c r="AJ3351" s="3" t="s">
        <v>3505</v>
      </c>
      <c r="AK3351" s="3" t="s">
        <v>248</v>
      </c>
    </row>
    <row r="3352" spans="1:37" hidden="1" x14ac:dyDescent="0.25">
      <c r="A3352" t="str">
        <f t="shared" si="52"/>
        <v>2024_Vic_Kalkee_Chickpea_DetailedTOS2VarietyDrummondWaterTrtIrrigated</v>
      </c>
      <c r="B3352" s="2">
        <v>2024038</v>
      </c>
      <c r="C3352" s="3" t="s">
        <v>3479</v>
      </c>
      <c r="D3352" s="3" t="s">
        <v>248</v>
      </c>
      <c r="F3352" s="3" t="s">
        <v>4182</v>
      </c>
      <c r="G3352" s="3" t="s">
        <v>39</v>
      </c>
      <c r="H3352" s="3" t="s">
        <v>253</v>
      </c>
      <c r="I3352" s="2">
        <v>25</v>
      </c>
      <c r="J3352" s="2">
        <v>13</v>
      </c>
      <c r="K3352" s="2">
        <v>1</v>
      </c>
      <c r="O3352" s="2">
        <v>2</v>
      </c>
      <c r="P3352" s="2">
        <v>3</v>
      </c>
      <c r="U3352" s="2">
        <v>1</v>
      </c>
      <c r="V3352" s="2">
        <v>9</v>
      </c>
      <c r="W3352" s="2">
        <v>1</v>
      </c>
      <c r="X3352" s="2">
        <v>7</v>
      </c>
      <c r="AA3352" s="3" t="s">
        <v>57</v>
      </c>
      <c r="AB3352" s="2">
        <v>1</v>
      </c>
      <c r="AF3352" s="2">
        <v>30.5</v>
      </c>
      <c r="AG3352" s="2">
        <v>2</v>
      </c>
      <c r="AH3352" s="3" t="s">
        <v>3497</v>
      </c>
      <c r="AI3352" s="4">
        <v>45477</v>
      </c>
      <c r="AJ3352" s="3" t="s">
        <v>3506</v>
      </c>
      <c r="AK3352" s="3" t="s">
        <v>248</v>
      </c>
    </row>
    <row r="3353" spans="1:37" hidden="1" x14ac:dyDescent="0.25">
      <c r="A3353" t="str">
        <f t="shared" si="52"/>
        <v>2024_Vic_Kalkee_Chickpea_DetailedTOS2VarietyStrikerWaterTrtIrrigated</v>
      </c>
      <c r="B3353" s="2">
        <v>2024038</v>
      </c>
      <c r="C3353" s="3" t="s">
        <v>3479</v>
      </c>
      <c r="D3353" s="3" t="s">
        <v>248</v>
      </c>
      <c r="F3353" s="3" t="s">
        <v>4179</v>
      </c>
      <c r="G3353" s="3" t="s">
        <v>43</v>
      </c>
      <c r="H3353" s="3" t="s">
        <v>253</v>
      </c>
      <c r="I3353" s="2">
        <v>26</v>
      </c>
      <c r="J3353" s="2">
        <v>14</v>
      </c>
      <c r="K3353" s="2">
        <v>1</v>
      </c>
      <c r="O3353" s="2">
        <v>2</v>
      </c>
      <c r="P3353" s="2">
        <v>3</v>
      </c>
      <c r="U3353" s="2">
        <v>2</v>
      </c>
      <c r="V3353" s="2">
        <v>9</v>
      </c>
      <c r="W3353" s="2">
        <v>2</v>
      </c>
      <c r="X3353" s="2">
        <v>7</v>
      </c>
      <c r="AA3353" s="3" t="s">
        <v>57</v>
      </c>
      <c r="AB3353" s="2">
        <v>4</v>
      </c>
      <c r="AF3353" s="2">
        <v>30.5</v>
      </c>
      <c r="AG3353" s="2">
        <v>2</v>
      </c>
      <c r="AH3353" s="3" t="s">
        <v>3497</v>
      </c>
      <c r="AI3353" s="4">
        <v>45477</v>
      </c>
      <c r="AJ3353" s="3" t="s">
        <v>3507</v>
      </c>
      <c r="AK3353" s="3" t="s">
        <v>248</v>
      </c>
    </row>
    <row r="3354" spans="1:37" hidden="1" x14ac:dyDescent="0.25">
      <c r="A3354" t="str">
        <f t="shared" si="52"/>
        <v>2024_Vic_Kalkee_Chickpea_DetailedTOS2VarietyCBA_CaptainWaterTrtRainFed</v>
      </c>
      <c r="B3354" s="2">
        <v>2024038</v>
      </c>
      <c r="C3354" s="3" t="s">
        <v>3479</v>
      </c>
      <c r="D3354" s="3" t="s">
        <v>248</v>
      </c>
      <c r="F3354" s="3" t="s">
        <v>249</v>
      </c>
      <c r="G3354" s="3" t="s">
        <v>43</v>
      </c>
      <c r="H3354" s="3" t="s">
        <v>253</v>
      </c>
      <c r="I3354" s="2">
        <v>27</v>
      </c>
      <c r="J3354" s="2">
        <v>15</v>
      </c>
      <c r="K3354" s="2">
        <v>1</v>
      </c>
      <c r="O3354" s="2">
        <v>2</v>
      </c>
      <c r="P3354" s="2">
        <v>4</v>
      </c>
      <c r="U3354" s="2">
        <v>3</v>
      </c>
      <c r="V3354" s="2">
        <v>9</v>
      </c>
      <c r="W3354" s="2">
        <v>3</v>
      </c>
      <c r="X3354" s="2">
        <v>7</v>
      </c>
      <c r="AA3354" s="3" t="s">
        <v>40</v>
      </c>
      <c r="AB3354" s="2">
        <v>3</v>
      </c>
      <c r="AF3354" s="2">
        <v>30.5</v>
      </c>
      <c r="AG3354" s="2">
        <v>2</v>
      </c>
      <c r="AH3354" s="3" t="s">
        <v>3497</v>
      </c>
      <c r="AI3354" s="4">
        <v>45477</v>
      </c>
      <c r="AJ3354" s="3" t="s">
        <v>3508</v>
      </c>
      <c r="AK3354" s="3" t="s">
        <v>248</v>
      </c>
    </row>
    <row r="3355" spans="1:37" hidden="1" x14ac:dyDescent="0.25">
      <c r="A3355" t="str">
        <f t="shared" si="52"/>
        <v>2024_Vic_Kalkee_Chickpea_DetailedTOS2VarietyHatTrickWaterTrtRainFed</v>
      </c>
      <c r="B3355" s="2">
        <v>2024038</v>
      </c>
      <c r="C3355" s="3" t="s">
        <v>3479</v>
      </c>
      <c r="D3355" s="3" t="s">
        <v>248</v>
      </c>
      <c r="F3355" s="3" t="s">
        <v>4178</v>
      </c>
      <c r="G3355" s="3" t="s">
        <v>39</v>
      </c>
      <c r="H3355" s="3" t="s">
        <v>253</v>
      </c>
      <c r="I3355" s="2">
        <v>28</v>
      </c>
      <c r="J3355" s="2">
        <v>16</v>
      </c>
      <c r="K3355" s="2">
        <v>1</v>
      </c>
      <c r="O3355" s="2">
        <v>2</v>
      </c>
      <c r="P3355" s="2">
        <v>4</v>
      </c>
      <c r="U3355" s="2">
        <v>4</v>
      </c>
      <c r="V3355" s="2">
        <v>9</v>
      </c>
      <c r="W3355" s="2">
        <v>4</v>
      </c>
      <c r="X3355" s="2">
        <v>7</v>
      </c>
      <c r="AA3355" s="3" t="s">
        <v>40</v>
      </c>
      <c r="AB3355" s="2">
        <v>2</v>
      </c>
      <c r="AF3355" s="2">
        <v>30.5</v>
      </c>
      <c r="AG3355" s="2">
        <v>2</v>
      </c>
      <c r="AH3355" s="3" t="s">
        <v>3497</v>
      </c>
      <c r="AI3355" s="4">
        <v>45477</v>
      </c>
      <c r="AJ3355" s="3" t="s">
        <v>3509</v>
      </c>
      <c r="AK3355" s="3" t="s">
        <v>248</v>
      </c>
    </row>
    <row r="3356" spans="1:37" hidden="1" x14ac:dyDescent="0.25">
      <c r="A3356" t="str">
        <f t="shared" si="52"/>
        <v>2024_Vic_Kalkee_Chickpea_DetailedTOS2VarietyDrummondWaterTrtIrrigated</v>
      </c>
      <c r="B3356" s="2">
        <v>2024038</v>
      </c>
      <c r="C3356" s="3" t="s">
        <v>3479</v>
      </c>
      <c r="D3356" s="3" t="s">
        <v>248</v>
      </c>
      <c r="F3356" s="3" t="s">
        <v>4182</v>
      </c>
      <c r="G3356" s="3" t="s">
        <v>39</v>
      </c>
      <c r="H3356" s="3" t="s">
        <v>250</v>
      </c>
      <c r="I3356" s="2">
        <v>29</v>
      </c>
      <c r="J3356" s="2">
        <v>13</v>
      </c>
      <c r="K3356" s="2">
        <v>1</v>
      </c>
      <c r="O3356" s="2">
        <v>2</v>
      </c>
      <c r="P3356" s="2">
        <v>3</v>
      </c>
      <c r="U3356" s="2">
        <v>1</v>
      </c>
      <c r="V3356" s="2">
        <v>10</v>
      </c>
      <c r="W3356" s="2">
        <v>1</v>
      </c>
      <c r="X3356" s="2">
        <v>8</v>
      </c>
      <c r="Z3356" s="2">
        <v>16</v>
      </c>
      <c r="AA3356" s="3" t="s">
        <v>57</v>
      </c>
      <c r="AB3356" s="2">
        <v>1</v>
      </c>
      <c r="AF3356" s="2">
        <v>30.5</v>
      </c>
      <c r="AG3356" s="2">
        <v>2</v>
      </c>
      <c r="AH3356" s="3" t="s">
        <v>3497</v>
      </c>
      <c r="AI3356" s="4">
        <v>45477</v>
      </c>
      <c r="AJ3356" s="3" t="s">
        <v>3510</v>
      </c>
      <c r="AK3356" s="3" t="s">
        <v>248</v>
      </c>
    </row>
    <row r="3357" spans="1:37" hidden="1" x14ac:dyDescent="0.25">
      <c r="A3357" t="str">
        <f t="shared" si="52"/>
        <v>2024_Vic_Kalkee_Chickpea_DetailedTOS2VarietyStrikerWaterTrtIrrigated</v>
      </c>
      <c r="B3357" s="2">
        <v>2024038</v>
      </c>
      <c r="C3357" s="3" t="s">
        <v>3479</v>
      </c>
      <c r="D3357" s="3" t="s">
        <v>248</v>
      </c>
      <c r="F3357" s="3" t="s">
        <v>4179</v>
      </c>
      <c r="G3357" s="3" t="s">
        <v>43</v>
      </c>
      <c r="H3357" s="3" t="s">
        <v>250</v>
      </c>
      <c r="I3357" s="2">
        <v>30</v>
      </c>
      <c r="J3357" s="2">
        <v>14</v>
      </c>
      <c r="K3357" s="2">
        <v>1</v>
      </c>
      <c r="O3357" s="2">
        <v>2</v>
      </c>
      <c r="P3357" s="2">
        <v>3</v>
      </c>
      <c r="U3357" s="2">
        <v>2</v>
      </c>
      <c r="V3357" s="2">
        <v>10</v>
      </c>
      <c r="W3357" s="2">
        <v>2</v>
      </c>
      <c r="X3357" s="2">
        <v>8</v>
      </c>
      <c r="Z3357" s="2">
        <v>15</v>
      </c>
      <c r="AA3357" s="3" t="s">
        <v>57</v>
      </c>
      <c r="AB3357" s="2">
        <v>4</v>
      </c>
      <c r="AF3357" s="2">
        <v>30.5</v>
      </c>
      <c r="AG3357" s="2">
        <v>2</v>
      </c>
      <c r="AH3357" s="3" t="s">
        <v>3497</v>
      </c>
      <c r="AI3357" s="4">
        <v>45477</v>
      </c>
      <c r="AJ3357" s="3" t="s">
        <v>3511</v>
      </c>
      <c r="AK3357" s="3" t="s">
        <v>248</v>
      </c>
    </row>
    <row r="3358" spans="1:37" hidden="1" x14ac:dyDescent="0.25">
      <c r="A3358" t="str">
        <f t="shared" si="52"/>
        <v>2024_Vic_Kalkee_Chickpea_DetailedTOS2VarietyCBA_CaptainWaterTrtRainFed</v>
      </c>
      <c r="B3358" s="2">
        <v>2024038</v>
      </c>
      <c r="C3358" s="3" t="s">
        <v>3479</v>
      </c>
      <c r="D3358" s="3" t="s">
        <v>248</v>
      </c>
      <c r="F3358" s="3" t="s">
        <v>249</v>
      </c>
      <c r="G3358" s="3" t="s">
        <v>43</v>
      </c>
      <c r="H3358" s="3" t="s">
        <v>250</v>
      </c>
      <c r="I3358" s="2">
        <v>31</v>
      </c>
      <c r="J3358" s="2">
        <v>15</v>
      </c>
      <c r="K3358" s="2">
        <v>1</v>
      </c>
      <c r="O3358" s="2">
        <v>2</v>
      </c>
      <c r="P3358" s="2">
        <v>4</v>
      </c>
      <c r="U3358" s="2">
        <v>3</v>
      </c>
      <c r="V3358" s="2">
        <v>10</v>
      </c>
      <c r="W3358" s="2">
        <v>3</v>
      </c>
      <c r="X3358" s="2">
        <v>8</v>
      </c>
      <c r="Z3358" s="2">
        <v>14</v>
      </c>
      <c r="AA3358" s="3" t="s">
        <v>40</v>
      </c>
      <c r="AB3358" s="2">
        <v>3</v>
      </c>
      <c r="AF3358" s="2">
        <v>30.5</v>
      </c>
      <c r="AG3358" s="2">
        <v>2</v>
      </c>
      <c r="AH3358" s="3" t="s">
        <v>3497</v>
      </c>
      <c r="AI3358" s="4">
        <v>45477</v>
      </c>
      <c r="AJ3358" s="3" t="s">
        <v>3512</v>
      </c>
      <c r="AK3358" s="3" t="s">
        <v>248</v>
      </c>
    </row>
    <row r="3359" spans="1:37" hidden="1" x14ac:dyDescent="0.25">
      <c r="A3359" t="str">
        <f t="shared" si="52"/>
        <v>2024_Vic_Kalkee_Chickpea_DetailedTOS2VarietyHatTrickWaterTrtRainFed</v>
      </c>
      <c r="B3359" s="2">
        <v>2024038</v>
      </c>
      <c r="C3359" s="3" t="s">
        <v>3479</v>
      </c>
      <c r="D3359" s="3" t="s">
        <v>248</v>
      </c>
      <c r="F3359" s="3" t="s">
        <v>4178</v>
      </c>
      <c r="G3359" s="3" t="s">
        <v>39</v>
      </c>
      <c r="H3359" s="3" t="s">
        <v>250</v>
      </c>
      <c r="I3359" s="2">
        <v>32</v>
      </c>
      <c r="J3359" s="2">
        <v>16</v>
      </c>
      <c r="K3359" s="2">
        <v>1</v>
      </c>
      <c r="O3359" s="2">
        <v>2</v>
      </c>
      <c r="P3359" s="2">
        <v>4</v>
      </c>
      <c r="U3359" s="2">
        <v>4</v>
      </c>
      <c r="V3359" s="2">
        <v>10</v>
      </c>
      <c r="W3359" s="2">
        <v>4</v>
      </c>
      <c r="X3359" s="2">
        <v>8</v>
      </c>
      <c r="Z3359" s="2">
        <v>13</v>
      </c>
      <c r="AA3359" s="3" t="s">
        <v>40</v>
      </c>
      <c r="AB3359" s="2">
        <v>2</v>
      </c>
      <c r="AF3359" s="2">
        <v>30.5</v>
      </c>
      <c r="AG3359" s="2">
        <v>2</v>
      </c>
      <c r="AH3359" s="3" t="s">
        <v>3497</v>
      </c>
      <c r="AI3359" s="4">
        <v>45477</v>
      </c>
      <c r="AJ3359" s="3" t="s">
        <v>3513</v>
      </c>
      <c r="AK3359" s="3" t="s">
        <v>248</v>
      </c>
    </row>
    <row r="3360" spans="1:37" hidden="1" x14ac:dyDescent="0.25">
      <c r="A3360" t="str">
        <f t="shared" si="52"/>
        <v>2024_Vic_Kalkee_Chickpea_DetailedTOS2VarietyHatTrickWaterTrtIrrigated</v>
      </c>
      <c r="B3360" s="2">
        <v>2024038</v>
      </c>
      <c r="C3360" s="3" t="s">
        <v>3479</v>
      </c>
      <c r="D3360" s="3" t="s">
        <v>248</v>
      </c>
      <c r="F3360" s="3" t="s">
        <v>4178</v>
      </c>
      <c r="G3360" s="3" t="s">
        <v>39</v>
      </c>
      <c r="H3360" s="3" t="s">
        <v>253</v>
      </c>
      <c r="I3360" s="2">
        <v>33</v>
      </c>
      <c r="J3360" s="2">
        <v>17</v>
      </c>
      <c r="K3360" s="2">
        <v>2</v>
      </c>
      <c r="O3360" s="2">
        <v>3</v>
      </c>
      <c r="P3360" s="2">
        <v>5</v>
      </c>
      <c r="U3360" s="2">
        <v>1</v>
      </c>
      <c r="V3360" s="2">
        <v>12</v>
      </c>
      <c r="W3360" s="2">
        <v>1</v>
      </c>
      <c r="X3360" s="2">
        <v>9</v>
      </c>
      <c r="AA3360" s="3" t="s">
        <v>57</v>
      </c>
      <c r="AB3360" s="2">
        <v>2</v>
      </c>
      <c r="AF3360" s="2">
        <v>30.5</v>
      </c>
      <c r="AG3360" s="2">
        <v>2</v>
      </c>
      <c r="AH3360" s="3" t="s">
        <v>3497</v>
      </c>
      <c r="AI3360" s="4">
        <v>45477</v>
      </c>
      <c r="AJ3360" s="3" t="s">
        <v>3514</v>
      </c>
      <c r="AK3360" s="3" t="s">
        <v>248</v>
      </c>
    </row>
    <row r="3361" spans="1:37" hidden="1" x14ac:dyDescent="0.25">
      <c r="A3361" t="str">
        <f t="shared" si="52"/>
        <v>2024_Vic_Kalkee_Chickpea_DetailedTOS2VarietyCBA_CaptainWaterTrtIrrigated</v>
      </c>
      <c r="B3361" s="2">
        <v>2024038</v>
      </c>
      <c r="C3361" s="3" t="s">
        <v>3479</v>
      </c>
      <c r="D3361" s="3" t="s">
        <v>248</v>
      </c>
      <c r="F3361" s="3" t="s">
        <v>249</v>
      </c>
      <c r="G3361" s="3" t="s">
        <v>43</v>
      </c>
      <c r="H3361" s="3" t="s">
        <v>253</v>
      </c>
      <c r="I3361" s="2">
        <v>34</v>
      </c>
      <c r="J3361" s="2">
        <v>18</v>
      </c>
      <c r="K3361" s="2">
        <v>2</v>
      </c>
      <c r="O3361" s="2">
        <v>3</v>
      </c>
      <c r="P3361" s="2">
        <v>5</v>
      </c>
      <c r="U3361" s="2">
        <v>2</v>
      </c>
      <c r="V3361" s="2">
        <v>12</v>
      </c>
      <c r="W3361" s="2">
        <v>2</v>
      </c>
      <c r="X3361" s="2">
        <v>9</v>
      </c>
      <c r="AA3361" s="3" t="s">
        <v>57</v>
      </c>
      <c r="AB3361" s="2">
        <v>3</v>
      </c>
      <c r="AF3361" s="2">
        <v>30.5</v>
      </c>
      <c r="AG3361" s="2">
        <v>2</v>
      </c>
      <c r="AH3361" s="3" t="s">
        <v>3497</v>
      </c>
      <c r="AI3361" s="4">
        <v>45477</v>
      </c>
      <c r="AJ3361" s="3" t="s">
        <v>3515</v>
      </c>
      <c r="AK3361" s="3" t="s">
        <v>248</v>
      </c>
    </row>
    <row r="3362" spans="1:37" hidden="1" x14ac:dyDescent="0.25">
      <c r="A3362" t="str">
        <f t="shared" si="52"/>
        <v>2024_Vic_Kalkee_Chickpea_DetailedTOS2VarietyDrummondWaterTrtRainFed</v>
      </c>
      <c r="B3362" s="2">
        <v>2024038</v>
      </c>
      <c r="C3362" s="3" t="s">
        <v>3479</v>
      </c>
      <c r="D3362" s="3" t="s">
        <v>248</v>
      </c>
      <c r="F3362" s="3" t="s">
        <v>4182</v>
      </c>
      <c r="G3362" s="3" t="s">
        <v>39</v>
      </c>
      <c r="H3362" s="3" t="s">
        <v>253</v>
      </c>
      <c r="I3362" s="2">
        <v>35</v>
      </c>
      <c r="J3362" s="2">
        <v>19</v>
      </c>
      <c r="K3362" s="2">
        <v>2</v>
      </c>
      <c r="O3362" s="2">
        <v>3</v>
      </c>
      <c r="P3362" s="2">
        <v>6</v>
      </c>
      <c r="U3362" s="2">
        <v>3</v>
      </c>
      <c r="V3362" s="2">
        <v>12</v>
      </c>
      <c r="W3362" s="2">
        <v>3</v>
      </c>
      <c r="X3362" s="2">
        <v>9</v>
      </c>
      <c r="AA3362" s="3" t="s">
        <v>40</v>
      </c>
      <c r="AB3362" s="2">
        <v>1</v>
      </c>
      <c r="AF3362" s="2">
        <v>30.5</v>
      </c>
      <c r="AG3362" s="2">
        <v>2</v>
      </c>
      <c r="AH3362" s="3" t="s">
        <v>3497</v>
      </c>
      <c r="AI3362" s="4">
        <v>45477</v>
      </c>
      <c r="AJ3362" s="3" t="s">
        <v>3516</v>
      </c>
      <c r="AK3362" s="3" t="s">
        <v>248</v>
      </c>
    </row>
    <row r="3363" spans="1:37" hidden="1" x14ac:dyDescent="0.25">
      <c r="A3363" t="str">
        <f t="shared" si="52"/>
        <v>2024_Vic_Kalkee_Chickpea_DetailedTOS2VarietyStrikerWaterTrtRainFed</v>
      </c>
      <c r="B3363" s="2">
        <v>2024038</v>
      </c>
      <c r="C3363" s="3" t="s">
        <v>3479</v>
      </c>
      <c r="D3363" s="3" t="s">
        <v>248</v>
      </c>
      <c r="F3363" s="3" t="s">
        <v>4179</v>
      </c>
      <c r="G3363" s="3" t="s">
        <v>43</v>
      </c>
      <c r="H3363" s="3" t="s">
        <v>253</v>
      </c>
      <c r="I3363" s="2">
        <v>36</v>
      </c>
      <c r="J3363" s="2">
        <v>20</v>
      </c>
      <c r="K3363" s="2">
        <v>2</v>
      </c>
      <c r="O3363" s="2">
        <v>3</v>
      </c>
      <c r="P3363" s="2">
        <v>6</v>
      </c>
      <c r="U3363" s="2">
        <v>4</v>
      </c>
      <c r="V3363" s="2">
        <v>12</v>
      </c>
      <c r="W3363" s="2">
        <v>4</v>
      </c>
      <c r="X3363" s="2">
        <v>9</v>
      </c>
      <c r="AA3363" s="3" t="s">
        <v>40</v>
      </c>
      <c r="AB3363" s="2">
        <v>4</v>
      </c>
      <c r="AF3363" s="2">
        <v>30.5</v>
      </c>
      <c r="AG3363" s="2">
        <v>2</v>
      </c>
      <c r="AH3363" s="3" t="s">
        <v>3497</v>
      </c>
      <c r="AI3363" s="4">
        <v>45477</v>
      </c>
      <c r="AJ3363" s="3" t="s">
        <v>3517</v>
      </c>
      <c r="AK3363" s="3" t="s">
        <v>248</v>
      </c>
    </row>
    <row r="3364" spans="1:37" hidden="1" x14ac:dyDescent="0.25">
      <c r="A3364" t="str">
        <f t="shared" si="52"/>
        <v>2024_Vic_Kalkee_Chickpea_DetailedTOS2VarietyHatTrickWaterTrtIrrigated</v>
      </c>
      <c r="B3364" s="2">
        <v>2024038</v>
      </c>
      <c r="C3364" s="3" t="s">
        <v>3479</v>
      </c>
      <c r="D3364" s="3" t="s">
        <v>248</v>
      </c>
      <c r="F3364" s="3" t="s">
        <v>4178</v>
      </c>
      <c r="G3364" s="3" t="s">
        <v>39</v>
      </c>
      <c r="H3364" s="3" t="s">
        <v>250</v>
      </c>
      <c r="I3364" s="2">
        <v>37</v>
      </c>
      <c r="J3364" s="2">
        <v>17</v>
      </c>
      <c r="K3364" s="2">
        <v>2</v>
      </c>
      <c r="O3364" s="2">
        <v>3</v>
      </c>
      <c r="P3364" s="2">
        <v>5</v>
      </c>
      <c r="U3364" s="2">
        <v>1</v>
      </c>
      <c r="V3364" s="2">
        <v>13</v>
      </c>
      <c r="W3364" s="2">
        <v>1</v>
      </c>
      <c r="X3364" s="2">
        <v>10</v>
      </c>
      <c r="Z3364" s="2">
        <v>17</v>
      </c>
      <c r="AA3364" s="3" t="s">
        <v>57</v>
      </c>
      <c r="AB3364" s="2">
        <v>2</v>
      </c>
      <c r="AF3364" s="2">
        <v>30.5</v>
      </c>
      <c r="AG3364" s="2">
        <v>2</v>
      </c>
      <c r="AH3364" s="3" t="s">
        <v>3497</v>
      </c>
      <c r="AI3364" s="4">
        <v>45477</v>
      </c>
      <c r="AJ3364" s="3" t="s">
        <v>3518</v>
      </c>
      <c r="AK3364" s="3" t="s">
        <v>248</v>
      </c>
    </row>
    <row r="3365" spans="1:37" hidden="1" x14ac:dyDescent="0.25">
      <c r="A3365" t="str">
        <f t="shared" si="52"/>
        <v>2024_Vic_Kalkee_Chickpea_DetailedTOS2VarietyCBA_CaptainWaterTrtIrrigated</v>
      </c>
      <c r="B3365" s="2">
        <v>2024038</v>
      </c>
      <c r="C3365" s="3" t="s">
        <v>3479</v>
      </c>
      <c r="D3365" s="3" t="s">
        <v>248</v>
      </c>
      <c r="F3365" s="3" t="s">
        <v>249</v>
      </c>
      <c r="G3365" s="3" t="s">
        <v>43</v>
      </c>
      <c r="H3365" s="3" t="s">
        <v>250</v>
      </c>
      <c r="I3365" s="2">
        <v>38</v>
      </c>
      <c r="J3365" s="2">
        <v>18</v>
      </c>
      <c r="K3365" s="2">
        <v>2</v>
      </c>
      <c r="O3365" s="2">
        <v>3</v>
      </c>
      <c r="P3365" s="2">
        <v>5</v>
      </c>
      <c r="U3365" s="2">
        <v>2</v>
      </c>
      <c r="V3365" s="2">
        <v>13</v>
      </c>
      <c r="W3365" s="2">
        <v>2</v>
      </c>
      <c r="X3365" s="2">
        <v>10</v>
      </c>
      <c r="Z3365" s="2">
        <v>18</v>
      </c>
      <c r="AA3365" s="3" t="s">
        <v>57</v>
      </c>
      <c r="AB3365" s="2">
        <v>3</v>
      </c>
      <c r="AF3365" s="2">
        <v>30.5</v>
      </c>
      <c r="AG3365" s="2">
        <v>2</v>
      </c>
      <c r="AH3365" s="3" t="s">
        <v>3497</v>
      </c>
      <c r="AI3365" s="4">
        <v>45477</v>
      </c>
      <c r="AJ3365" s="3" t="s">
        <v>3519</v>
      </c>
      <c r="AK3365" s="3" t="s">
        <v>248</v>
      </c>
    </row>
    <row r="3366" spans="1:37" hidden="1" x14ac:dyDescent="0.25">
      <c r="A3366" t="str">
        <f t="shared" si="52"/>
        <v>2024_Vic_Kalkee_Chickpea_DetailedTOS2VarietyDrummondWaterTrtRainFed</v>
      </c>
      <c r="B3366" s="2">
        <v>2024038</v>
      </c>
      <c r="C3366" s="3" t="s">
        <v>3479</v>
      </c>
      <c r="D3366" s="3" t="s">
        <v>248</v>
      </c>
      <c r="F3366" s="3" t="s">
        <v>4182</v>
      </c>
      <c r="G3366" s="3" t="s">
        <v>39</v>
      </c>
      <c r="H3366" s="3" t="s">
        <v>250</v>
      </c>
      <c r="I3366" s="2">
        <v>39</v>
      </c>
      <c r="J3366" s="2">
        <v>19</v>
      </c>
      <c r="K3366" s="2">
        <v>2</v>
      </c>
      <c r="O3366" s="2">
        <v>3</v>
      </c>
      <c r="P3366" s="2">
        <v>6</v>
      </c>
      <c r="U3366" s="2">
        <v>3</v>
      </c>
      <c r="V3366" s="2">
        <v>13</v>
      </c>
      <c r="W3366" s="2">
        <v>3</v>
      </c>
      <c r="X3366" s="2">
        <v>10</v>
      </c>
      <c r="Z3366" s="2">
        <v>19</v>
      </c>
      <c r="AA3366" s="3" t="s">
        <v>40</v>
      </c>
      <c r="AB3366" s="2">
        <v>1</v>
      </c>
      <c r="AF3366" s="2">
        <v>30.5</v>
      </c>
      <c r="AG3366" s="2">
        <v>2</v>
      </c>
      <c r="AH3366" s="3" t="s">
        <v>3497</v>
      </c>
      <c r="AI3366" s="4">
        <v>45477</v>
      </c>
      <c r="AJ3366" s="3" t="s">
        <v>3520</v>
      </c>
      <c r="AK3366" s="3" t="s">
        <v>248</v>
      </c>
    </row>
    <row r="3367" spans="1:37" hidden="1" x14ac:dyDescent="0.25">
      <c r="A3367" t="str">
        <f t="shared" si="52"/>
        <v>2024_Vic_Kalkee_Chickpea_DetailedTOS2VarietyStrikerWaterTrtRainFed</v>
      </c>
      <c r="B3367" s="2">
        <v>2024038</v>
      </c>
      <c r="C3367" s="3" t="s">
        <v>3479</v>
      </c>
      <c r="D3367" s="3" t="s">
        <v>248</v>
      </c>
      <c r="F3367" s="3" t="s">
        <v>4179</v>
      </c>
      <c r="G3367" s="3" t="s">
        <v>43</v>
      </c>
      <c r="H3367" s="3" t="s">
        <v>250</v>
      </c>
      <c r="I3367" s="2">
        <v>40</v>
      </c>
      <c r="J3367" s="2">
        <v>20</v>
      </c>
      <c r="K3367" s="2">
        <v>2</v>
      </c>
      <c r="O3367" s="2">
        <v>3</v>
      </c>
      <c r="P3367" s="2">
        <v>6</v>
      </c>
      <c r="U3367" s="2">
        <v>4</v>
      </c>
      <c r="V3367" s="2">
        <v>13</v>
      </c>
      <c r="W3367" s="2">
        <v>4</v>
      </c>
      <c r="X3367" s="2">
        <v>10</v>
      </c>
      <c r="Z3367" s="2">
        <v>20</v>
      </c>
      <c r="AA3367" s="3" t="s">
        <v>40</v>
      </c>
      <c r="AB3367" s="2">
        <v>4</v>
      </c>
      <c r="AF3367" s="2">
        <v>30.5</v>
      </c>
      <c r="AG3367" s="2">
        <v>2</v>
      </c>
      <c r="AH3367" s="3" t="s">
        <v>3497</v>
      </c>
      <c r="AI3367" s="4">
        <v>45477</v>
      </c>
      <c r="AJ3367" s="3" t="s">
        <v>3521</v>
      </c>
      <c r="AK3367" s="3" t="s">
        <v>248</v>
      </c>
    </row>
    <row r="3368" spans="1:37" hidden="1" x14ac:dyDescent="0.25">
      <c r="A3368" t="str">
        <f t="shared" si="52"/>
        <v>2024_Vic_Kalkee_Chickpea_DetailedTOS2VarietyStrikerWaterTrtIrrigated</v>
      </c>
      <c r="B3368" s="2">
        <v>2024038</v>
      </c>
      <c r="C3368" s="3" t="s">
        <v>3479</v>
      </c>
      <c r="D3368" s="3" t="s">
        <v>248</v>
      </c>
      <c r="F3368" s="3" t="s">
        <v>4179</v>
      </c>
      <c r="G3368" s="3" t="s">
        <v>43</v>
      </c>
      <c r="H3368" s="3" t="s">
        <v>253</v>
      </c>
      <c r="I3368" s="2">
        <v>41</v>
      </c>
      <c r="J3368" s="2">
        <v>21</v>
      </c>
      <c r="K3368" s="2">
        <v>2</v>
      </c>
      <c r="O3368" s="2">
        <v>3</v>
      </c>
      <c r="P3368" s="2">
        <v>5</v>
      </c>
      <c r="U3368" s="2">
        <v>1</v>
      </c>
      <c r="V3368" s="2">
        <v>14</v>
      </c>
      <c r="W3368" s="2">
        <v>1</v>
      </c>
      <c r="X3368" s="2">
        <v>11</v>
      </c>
      <c r="AA3368" s="3" t="s">
        <v>57</v>
      </c>
      <c r="AB3368" s="2">
        <v>4</v>
      </c>
      <c r="AF3368" s="2">
        <v>30.5</v>
      </c>
      <c r="AG3368" s="2">
        <v>2</v>
      </c>
      <c r="AH3368" s="3" t="s">
        <v>3497</v>
      </c>
      <c r="AI3368" s="4">
        <v>45477</v>
      </c>
      <c r="AJ3368" s="3" t="s">
        <v>3522</v>
      </c>
      <c r="AK3368" s="3" t="s">
        <v>248</v>
      </c>
    </row>
    <row r="3369" spans="1:37" hidden="1" x14ac:dyDescent="0.25">
      <c r="A3369" t="str">
        <f t="shared" si="52"/>
        <v>2024_Vic_Kalkee_Chickpea_DetailedTOS2VarietyDrummondWaterTrtIrrigated</v>
      </c>
      <c r="B3369" s="2">
        <v>2024038</v>
      </c>
      <c r="C3369" s="3" t="s">
        <v>3479</v>
      </c>
      <c r="D3369" s="3" t="s">
        <v>248</v>
      </c>
      <c r="F3369" s="3" t="s">
        <v>4182</v>
      </c>
      <c r="G3369" s="3" t="s">
        <v>39</v>
      </c>
      <c r="H3369" s="3" t="s">
        <v>253</v>
      </c>
      <c r="I3369" s="2">
        <v>42</v>
      </c>
      <c r="J3369" s="2">
        <v>22</v>
      </c>
      <c r="K3369" s="2">
        <v>2</v>
      </c>
      <c r="O3369" s="2">
        <v>3</v>
      </c>
      <c r="P3369" s="2">
        <v>5</v>
      </c>
      <c r="U3369" s="2">
        <v>2</v>
      </c>
      <c r="V3369" s="2">
        <v>14</v>
      </c>
      <c r="W3369" s="2">
        <v>2</v>
      </c>
      <c r="X3369" s="2">
        <v>11</v>
      </c>
      <c r="AA3369" s="3" t="s">
        <v>57</v>
      </c>
      <c r="AB3369" s="2">
        <v>1</v>
      </c>
      <c r="AF3369" s="2">
        <v>30.5</v>
      </c>
      <c r="AG3369" s="2">
        <v>2</v>
      </c>
      <c r="AH3369" s="3" t="s">
        <v>3497</v>
      </c>
      <c r="AI3369" s="4">
        <v>45477</v>
      </c>
      <c r="AJ3369" s="3" t="s">
        <v>3523</v>
      </c>
      <c r="AK3369" s="3" t="s">
        <v>248</v>
      </c>
    </row>
    <row r="3370" spans="1:37" hidden="1" x14ac:dyDescent="0.25">
      <c r="A3370" t="str">
        <f t="shared" si="52"/>
        <v>2024_Vic_Kalkee_Chickpea_DetailedTOS2VarietyHatTrickWaterTrtRainFed</v>
      </c>
      <c r="B3370" s="2">
        <v>2024038</v>
      </c>
      <c r="C3370" s="3" t="s">
        <v>3479</v>
      </c>
      <c r="D3370" s="3" t="s">
        <v>248</v>
      </c>
      <c r="F3370" s="3" t="s">
        <v>4178</v>
      </c>
      <c r="G3370" s="3" t="s">
        <v>39</v>
      </c>
      <c r="H3370" s="3" t="s">
        <v>253</v>
      </c>
      <c r="I3370" s="2">
        <v>43</v>
      </c>
      <c r="J3370" s="2">
        <v>23</v>
      </c>
      <c r="K3370" s="2">
        <v>2</v>
      </c>
      <c r="O3370" s="2">
        <v>3</v>
      </c>
      <c r="P3370" s="2">
        <v>6</v>
      </c>
      <c r="U3370" s="2">
        <v>3</v>
      </c>
      <c r="V3370" s="2">
        <v>14</v>
      </c>
      <c r="W3370" s="2">
        <v>3</v>
      </c>
      <c r="X3370" s="2">
        <v>11</v>
      </c>
      <c r="AA3370" s="3" t="s">
        <v>40</v>
      </c>
      <c r="AB3370" s="2">
        <v>2</v>
      </c>
      <c r="AF3370" s="2">
        <v>30.5</v>
      </c>
      <c r="AG3370" s="2">
        <v>2</v>
      </c>
      <c r="AH3370" s="3" t="s">
        <v>3497</v>
      </c>
      <c r="AI3370" s="4">
        <v>45477</v>
      </c>
      <c r="AJ3370" s="3" t="s">
        <v>3524</v>
      </c>
      <c r="AK3370" s="3" t="s">
        <v>248</v>
      </c>
    </row>
    <row r="3371" spans="1:37" hidden="1" x14ac:dyDescent="0.25">
      <c r="A3371" t="str">
        <f t="shared" si="52"/>
        <v>2024_Vic_Kalkee_Chickpea_DetailedTOS2VarietyCBA_CaptainWaterTrtRainFed</v>
      </c>
      <c r="B3371" s="2">
        <v>2024038</v>
      </c>
      <c r="C3371" s="3" t="s">
        <v>3479</v>
      </c>
      <c r="D3371" s="3" t="s">
        <v>248</v>
      </c>
      <c r="F3371" s="3" t="s">
        <v>249</v>
      </c>
      <c r="G3371" s="3" t="s">
        <v>43</v>
      </c>
      <c r="H3371" s="3" t="s">
        <v>253</v>
      </c>
      <c r="I3371" s="2">
        <v>44</v>
      </c>
      <c r="J3371" s="2">
        <v>24</v>
      </c>
      <c r="K3371" s="2">
        <v>2</v>
      </c>
      <c r="O3371" s="2">
        <v>3</v>
      </c>
      <c r="P3371" s="2">
        <v>6</v>
      </c>
      <c r="U3371" s="2">
        <v>4</v>
      </c>
      <c r="V3371" s="2">
        <v>14</v>
      </c>
      <c r="W3371" s="2">
        <v>4</v>
      </c>
      <c r="X3371" s="2">
        <v>11</v>
      </c>
      <c r="AA3371" s="3" t="s">
        <v>40</v>
      </c>
      <c r="AB3371" s="2">
        <v>3</v>
      </c>
      <c r="AF3371" s="2">
        <v>30.5</v>
      </c>
      <c r="AG3371" s="2">
        <v>2</v>
      </c>
      <c r="AH3371" s="3" t="s">
        <v>3497</v>
      </c>
      <c r="AI3371" s="4">
        <v>45477</v>
      </c>
      <c r="AJ3371" s="3" t="s">
        <v>3525</v>
      </c>
      <c r="AK3371" s="3" t="s">
        <v>248</v>
      </c>
    </row>
    <row r="3372" spans="1:37" hidden="1" x14ac:dyDescent="0.25">
      <c r="A3372" t="str">
        <f t="shared" si="52"/>
        <v>2024_Vic_Kalkee_Chickpea_DetailedTOS2VarietyStrikerWaterTrtIrrigated</v>
      </c>
      <c r="B3372" s="2">
        <v>2024038</v>
      </c>
      <c r="C3372" s="3" t="s">
        <v>3479</v>
      </c>
      <c r="D3372" s="3" t="s">
        <v>248</v>
      </c>
      <c r="F3372" s="3" t="s">
        <v>4179</v>
      </c>
      <c r="G3372" s="3" t="s">
        <v>43</v>
      </c>
      <c r="H3372" s="3" t="s">
        <v>250</v>
      </c>
      <c r="I3372" s="2">
        <v>45</v>
      </c>
      <c r="J3372" s="2">
        <v>21</v>
      </c>
      <c r="K3372" s="2">
        <v>2</v>
      </c>
      <c r="O3372" s="2">
        <v>3</v>
      </c>
      <c r="P3372" s="2">
        <v>5</v>
      </c>
      <c r="U3372" s="2">
        <v>1</v>
      </c>
      <c r="V3372" s="2">
        <v>15</v>
      </c>
      <c r="W3372" s="2">
        <v>1</v>
      </c>
      <c r="X3372" s="2">
        <v>12</v>
      </c>
      <c r="Z3372" s="2">
        <v>24</v>
      </c>
      <c r="AA3372" s="3" t="s">
        <v>57</v>
      </c>
      <c r="AB3372" s="2">
        <v>4</v>
      </c>
      <c r="AF3372" s="2">
        <v>30.5</v>
      </c>
      <c r="AG3372" s="2">
        <v>2</v>
      </c>
      <c r="AH3372" s="3" t="s">
        <v>3497</v>
      </c>
      <c r="AI3372" s="4">
        <v>45477</v>
      </c>
      <c r="AJ3372" s="3" t="s">
        <v>3526</v>
      </c>
      <c r="AK3372" s="3" t="s">
        <v>248</v>
      </c>
    </row>
    <row r="3373" spans="1:37" hidden="1" x14ac:dyDescent="0.25">
      <c r="A3373" t="str">
        <f t="shared" si="52"/>
        <v>2024_Vic_Kalkee_Chickpea_DetailedTOS2VarietyDrummondWaterTrtIrrigated</v>
      </c>
      <c r="B3373" s="2">
        <v>2024038</v>
      </c>
      <c r="C3373" s="3" t="s">
        <v>3479</v>
      </c>
      <c r="D3373" s="3" t="s">
        <v>248</v>
      </c>
      <c r="F3373" s="3" t="s">
        <v>4182</v>
      </c>
      <c r="G3373" s="3" t="s">
        <v>39</v>
      </c>
      <c r="H3373" s="3" t="s">
        <v>250</v>
      </c>
      <c r="I3373" s="2">
        <v>46</v>
      </c>
      <c r="J3373" s="2">
        <v>22</v>
      </c>
      <c r="K3373" s="2">
        <v>2</v>
      </c>
      <c r="O3373" s="2">
        <v>3</v>
      </c>
      <c r="P3373" s="2">
        <v>5</v>
      </c>
      <c r="U3373" s="2">
        <v>2</v>
      </c>
      <c r="V3373" s="2">
        <v>15</v>
      </c>
      <c r="W3373" s="2">
        <v>2</v>
      </c>
      <c r="X3373" s="2">
        <v>12</v>
      </c>
      <c r="Z3373" s="2">
        <v>23</v>
      </c>
      <c r="AA3373" s="3" t="s">
        <v>57</v>
      </c>
      <c r="AB3373" s="2">
        <v>1</v>
      </c>
      <c r="AF3373" s="2">
        <v>30.5</v>
      </c>
      <c r="AG3373" s="2">
        <v>2</v>
      </c>
      <c r="AH3373" s="3" t="s">
        <v>3497</v>
      </c>
      <c r="AI3373" s="4">
        <v>45477</v>
      </c>
      <c r="AJ3373" s="3" t="s">
        <v>3527</v>
      </c>
      <c r="AK3373" s="3" t="s">
        <v>248</v>
      </c>
    </row>
    <row r="3374" spans="1:37" hidden="1" x14ac:dyDescent="0.25">
      <c r="A3374" t="str">
        <f t="shared" si="52"/>
        <v>2024_Vic_Kalkee_Chickpea_DetailedTOS2VarietyHatTrickWaterTrtRainFed</v>
      </c>
      <c r="B3374" s="2">
        <v>2024038</v>
      </c>
      <c r="C3374" s="3" t="s">
        <v>3479</v>
      </c>
      <c r="D3374" s="3" t="s">
        <v>248</v>
      </c>
      <c r="F3374" s="3" t="s">
        <v>4178</v>
      </c>
      <c r="G3374" s="3" t="s">
        <v>39</v>
      </c>
      <c r="H3374" s="3" t="s">
        <v>250</v>
      </c>
      <c r="I3374" s="2">
        <v>47</v>
      </c>
      <c r="J3374" s="2">
        <v>23</v>
      </c>
      <c r="K3374" s="2">
        <v>2</v>
      </c>
      <c r="O3374" s="2">
        <v>3</v>
      </c>
      <c r="P3374" s="2">
        <v>6</v>
      </c>
      <c r="U3374" s="2">
        <v>3</v>
      </c>
      <c r="V3374" s="2">
        <v>15</v>
      </c>
      <c r="W3374" s="2">
        <v>3</v>
      </c>
      <c r="X3374" s="2">
        <v>12</v>
      </c>
      <c r="Z3374" s="2">
        <v>22</v>
      </c>
      <c r="AA3374" s="3" t="s">
        <v>40</v>
      </c>
      <c r="AB3374" s="2">
        <v>2</v>
      </c>
      <c r="AF3374" s="2">
        <v>30.5</v>
      </c>
      <c r="AG3374" s="2">
        <v>2</v>
      </c>
      <c r="AH3374" s="3" t="s">
        <v>3497</v>
      </c>
      <c r="AI3374" s="4">
        <v>45477</v>
      </c>
      <c r="AJ3374" s="3" t="s">
        <v>3528</v>
      </c>
      <c r="AK3374" s="3" t="s">
        <v>248</v>
      </c>
    </row>
    <row r="3375" spans="1:37" hidden="1" x14ac:dyDescent="0.25">
      <c r="A3375" t="str">
        <f t="shared" si="52"/>
        <v>2024_Vic_Kalkee_Chickpea_DetailedTOS2VarietyCBA_CaptainWaterTrtRainFed</v>
      </c>
      <c r="B3375" s="2">
        <v>2024038</v>
      </c>
      <c r="C3375" s="3" t="s">
        <v>3479</v>
      </c>
      <c r="D3375" s="3" t="s">
        <v>248</v>
      </c>
      <c r="F3375" s="3" t="s">
        <v>249</v>
      </c>
      <c r="G3375" s="3" t="s">
        <v>43</v>
      </c>
      <c r="H3375" s="3" t="s">
        <v>250</v>
      </c>
      <c r="I3375" s="2">
        <v>48</v>
      </c>
      <c r="J3375" s="2">
        <v>24</v>
      </c>
      <c r="K3375" s="2">
        <v>2</v>
      </c>
      <c r="O3375" s="2">
        <v>3</v>
      </c>
      <c r="P3375" s="2">
        <v>6</v>
      </c>
      <c r="U3375" s="2">
        <v>4</v>
      </c>
      <c r="V3375" s="2">
        <v>15</v>
      </c>
      <c r="W3375" s="2">
        <v>4</v>
      </c>
      <c r="X3375" s="2">
        <v>12</v>
      </c>
      <c r="Z3375" s="2">
        <v>21</v>
      </c>
      <c r="AA3375" s="3" t="s">
        <v>40</v>
      </c>
      <c r="AB3375" s="2">
        <v>3</v>
      </c>
      <c r="AF3375" s="2">
        <v>30.5</v>
      </c>
      <c r="AG3375" s="2">
        <v>2</v>
      </c>
      <c r="AH3375" s="3" t="s">
        <v>3497</v>
      </c>
      <c r="AI3375" s="4">
        <v>45477</v>
      </c>
      <c r="AJ3375" s="3" t="s">
        <v>3529</v>
      </c>
      <c r="AK3375" s="3" t="s">
        <v>248</v>
      </c>
    </row>
    <row r="3376" spans="1:37" hidden="1" x14ac:dyDescent="0.25">
      <c r="A3376" t="str">
        <f t="shared" si="52"/>
        <v>2024_Vic_Kalkee_Chickpea_DetailedTOS1VarietyDrummondWaterTrtRainFed</v>
      </c>
      <c r="B3376" s="2">
        <v>2024038</v>
      </c>
      <c r="C3376" s="3" t="s">
        <v>3479</v>
      </c>
      <c r="D3376" s="3" t="s">
        <v>248</v>
      </c>
      <c r="F3376" s="3" t="s">
        <v>4182</v>
      </c>
      <c r="G3376" s="3" t="s">
        <v>39</v>
      </c>
      <c r="H3376" s="3" t="s">
        <v>253</v>
      </c>
      <c r="I3376" s="2">
        <v>49</v>
      </c>
      <c r="J3376" s="2">
        <v>25</v>
      </c>
      <c r="K3376" s="2">
        <v>2</v>
      </c>
      <c r="O3376" s="2">
        <v>4</v>
      </c>
      <c r="P3376" s="2">
        <v>7</v>
      </c>
      <c r="U3376" s="2">
        <v>1</v>
      </c>
      <c r="V3376" s="2">
        <v>17</v>
      </c>
      <c r="W3376" s="2">
        <v>1</v>
      </c>
      <c r="X3376" s="2">
        <v>13</v>
      </c>
      <c r="AA3376" s="3" t="s">
        <v>40</v>
      </c>
      <c r="AB3376" s="2">
        <v>1</v>
      </c>
      <c r="AF3376" s="2">
        <v>30.5</v>
      </c>
      <c r="AG3376" s="2">
        <v>1</v>
      </c>
      <c r="AH3376" s="3" t="s">
        <v>3480</v>
      </c>
      <c r="AI3376" s="4">
        <v>45434</v>
      </c>
      <c r="AJ3376" s="3" t="s">
        <v>3530</v>
      </c>
      <c r="AK3376" s="3" t="s">
        <v>248</v>
      </c>
    </row>
    <row r="3377" spans="1:37" hidden="1" x14ac:dyDescent="0.25">
      <c r="A3377" t="str">
        <f t="shared" si="52"/>
        <v>2024_Vic_Kalkee_Chickpea_DetailedTOS1VarietyStrikerWaterTrtRainFed</v>
      </c>
      <c r="B3377" s="2">
        <v>2024038</v>
      </c>
      <c r="C3377" s="3" t="s">
        <v>3479</v>
      </c>
      <c r="D3377" s="3" t="s">
        <v>248</v>
      </c>
      <c r="F3377" s="3" t="s">
        <v>4179</v>
      </c>
      <c r="G3377" s="3" t="s">
        <v>43</v>
      </c>
      <c r="H3377" s="3" t="s">
        <v>253</v>
      </c>
      <c r="I3377" s="2">
        <v>50</v>
      </c>
      <c r="J3377" s="2">
        <v>26</v>
      </c>
      <c r="K3377" s="2">
        <v>2</v>
      </c>
      <c r="O3377" s="2">
        <v>4</v>
      </c>
      <c r="P3377" s="2">
        <v>7</v>
      </c>
      <c r="U3377" s="2">
        <v>2</v>
      </c>
      <c r="V3377" s="2">
        <v>17</v>
      </c>
      <c r="W3377" s="2">
        <v>2</v>
      </c>
      <c r="X3377" s="2">
        <v>13</v>
      </c>
      <c r="AA3377" s="3" t="s">
        <v>40</v>
      </c>
      <c r="AB3377" s="2">
        <v>4</v>
      </c>
      <c r="AF3377" s="2">
        <v>30.5</v>
      </c>
      <c r="AG3377" s="2">
        <v>1</v>
      </c>
      <c r="AH3377" s="3" t="s">
        <v>3480</v>
      </c>
      <c r="AI3377" s="4">
        <v>45434</v>
      </c>
      <c r="AJ3377" s="3" t="s">
        <v>3531</v>
      </c>
      <c r="AK3377" s="3" t="s">
        <v>248</v>
      </c>
    </row>
    <row r="3378" spans="1:37" hidden="1" x14ac:dyDescent="0.25">
      <c r="A3378" t="str">
        <f t="shared" si="52"/>
        <v>2024_Vic_Kalkee_Chickpea_DetailedTOS1VarietyCBA_CaptainWaterTrtIrrigated</v>
      </c>
      <c r="B3378" s="2">
        <v>2024038</v>
      </c>
      <c r="C3378" s="3" t="s">
        <v>3479</v>
      </c>
      <c r="D3378" s="3" t="s">
        <v>248</v>
      </c>
      <c r="F3378" s="3" t="s">
        <v>249</v>
      </c>
      <c r="G3378" s="3" t="s">
        <v>43</v>
      </c>
      <c r="H3378" s="3" t="s">
        <v>253</v>
      </c>
      <c r="I3378" s="2">
        <v>51</v>
      </c>
      <c r="J3378" s="2">
        <v>27</v>
      </c>
      <c r="K3378" s="2">
        <v>2</v>
      </c>
      <c r="O3378" s="2">
        <v>4</v>
      </c>
      <c r="P3378" s="2">
        <v>8</v>
      </c>
      <c r="U3378" s="2">
        <v>3</v>
      </c>
      <c r="V3378" s="2">
        <v>17</v>
      </c>
      <c r="W3378" s="2">
        <v>3</v>
      </c>
      <c r="X3378" s="2">
        <v>13</v>
      </c>
      <c r="AA3378" s="3" t="s">
        <v>57</v>
      </c>
      <c r="AB3378" s="2">
        <v>3</v>
      </c>
      <c r="AF3378" s="2">
        <v>30.5</v>
      </c>
      <c r="AG3378" s="2">
        <v>1</v>
      </c>
      <c r="AH3378" s="3" t="s">
        <v>3480</v>
      </c>
      <c r="AI3378" s="4">
        <v>45434</v>
      </c>
      <c r="AJ3378" s="3" t="s">
        <v>3532</v>
      </c>
      <c r="AK3378" s="3" t="s">
        <v>248</v>
      </c>
    </row>
    <row r="3379" spans="1:37" hidden="1" x14ac:dyDescent="0.25">
      <c r="A3379" t="str">
        <f t="shared" si="52"/>
        <v>2024_Vic_Kalkee_Chickpea_DetailedTOS1VarietyHatTrickWaterTrtIrrigated</v>
      </c>
      <c r="B3379" s="2">
        <v>2024038</v>
      </c>
      <c r="C3379" s="3" t="s">
        <v>3479</v>
      </c>
      <c r="D3379" s="3" t="s">
        <v>248</v>
      </c>
      <c r="F3379" s="3" t="s">
        <v>4178</v>
      </c>
      <c r="G3379" s="3" t="s">
        <v>39</v>
      </c>
      <c r="H3379" s="3" t="s">
        <v>253</v>
      </c>
      <c r="I3379" s="2">
        <v>52</v>
      </c>
      <c r="J3379" s="2">
        <v>28</v>
      </c>
      <c r="K3379" s="2">
        <v>2</v>
      </c>
      <c r="O3379" s="2">
        <v>4</v>
      </c>
      <c r="P3379" s="2">
        <v>8</v>
      </c>
      <c r="U3379" s="2">
        <v>4</v>
      </c>
      <c r="V3379" s="2">
        <v>17</v>
      </c>
      <c r="W3379" s="2">
        <v>4</v>
      </c>
      <c r="X3379" s="2">
        <v>13</v>
      </c>
      <c r="AA3379" s="3" t="s">
        <v>57</v>
      </c>
      <c r="AB3379" s="2">
        <v>2</v>
      </c>
      <c r="AF3379" s="2">
        <v>30.5</v>
      </c>
      <c r="AG3379" s="2">
        <v>1</v>
      </c>
      <c r="AH3379" s="3" t="s">
        <v>3480</v>
      </c>
      <c r="AI3379" s="4">
        <v>45434</v>
      </c>
      <c r="AJ3379" s="3" t="s">
        <v>3533</v>
      </c>
      <c r="AK3379" s="3" t="s">
        <v>248</v>
      </c>
    </row>
    <row r="3380" spans="1:37" hidden="1" x14ac:dyDescent="0.25">
      <c r="A3380" t="str">
        <f t="shared" si="52"/>
        <v>2024_Vic_Kalkee_Chickpea_DetailedTOS1VarietyDrummondWaterTrtRainFed</v>
      </c>
      <c r="B3380" s="2">
        <v>2024038</v>
      </c>
      <c r="C3380" s="3" t="s">
        <v>3479</v>
      </c>
      <c r="D3380" s="3" t="s">
        <v>248</v>
      </c>
      <c r="F3380" s="3" t="s">
        <v>4182</v>
      </c>
      <c r="G3380" s="3" t="s">
        <v>39</v>
      </c>
      <c r="H3380" s="3" t="s">
        <v>250</v>
      </c>
      <c r="I3380" s="2">
        <v>53</v>
      </c>
      <c r="J3380" s="2">
        <v>25</v>
      </c>
      <c r="K3380" s="2">
        <v>2</v>
      </c>
      <c r="O3380" s="2">
        <v>4</v>
      </c>
      <c r="P3380" s="2">
        <v>7</v>
      </c>
      <c r="U3380" s="2">
        <v>1</v>
      </c>
      <c r="V3380" s="2">
        <v>18</v>
      </c>
      <c r="W3380" s="2">
        <v>1</v>
      </c>
      <c r="X3380" s="2">
        <v>14</v>
      </c>
      <c r="Z3380" s="2">
        <v>25</v>
      </c>
      <c r="AA3380" s="3" t="s">
        <v>40</v>
      </c>
      <c r="AB3380" s="2">
        <v>1</v>
      </c>
      <c r="AF3380" s="2">
        <v>30.5</v>
      </c>
      <c r="AG3380" s="2">
        <v>1</v>
      </c>
      <c r="AH3380" s="3" t="s">
        <v>3480</v>
      </c>
      <c r="AI3380" s="4">
        <v>45434</v>
      </c>
      <c r="AJ3380" s="3" t="s">
        <v>3534</v>
      </c>
      <c r="AK3380" s="3" t="s">
        <v>248</v>
      </c>
    </row>
    <row r="3381" spans="1:37" hidden="1" x14ac:dyDescent="0.25">
      <c r="A3381" t="str">
        <f t="shared" si="52"/>
        <v>2024_Vic_Kalkee_Chickpea_DetailedTOS1VarietyStrikerWaterTrtRainFed</v>
      </c>
      <c r="B3381" s="2">
        <v>2024038</v>
      </c>
      <c r="C3381" s="3" t="s">
        <v>3479</v>
      </c>
      <c r="D3381" s="3" t="s">
        <v>248</v>
      </c>
      <c r="F3381" s="3" t="s">
        <v>4179</v>
      </c>
      <c r="G3381" s="3" t="s">
        <v>43</v>
      </c>
      <c r="H3381" s="3" t="s">
        <v>250</v>
      </c>
      <c r="I3381" s="2">
        <v>54</v>
      </c>
      <c r="J3381" s="2">
        <v>26</v>
      </c>
      <c r="K3381" s="2">
        <v>2</v>
      </c>
      <c r="O3381" s="2">
        <v>4</v>
      </c>
      <c r="P3381" s="2">
        <v>7</v>
      </c>
      <c r="U3381" s="2">
        <v>2</v>
      </c>
      <c r="V3381" s="2">
        <v>18</v>
      </c>
      <c r="W3381" s="2">
        <v>2</v>
      </c>
      <c r="X3381" s="2">
        <v>14</v>
      </c>
      <c r="Z3381" s="2">
        <v>26</v>
      </c>
      <c r="AA3381" s="3" t="s">
        <v>40</v>
      </c>
      <c r="AB3381" s="2">
        <v>4</v>
      </c>
      <c r="AF3381" s="2">
        <v>30.5</v>
      </c>
      <c r="AG3381" s="2">
        <v>1</v>
      </c>
      <c r="AH3381" s="3" t="s">
        <v>3480</v>
      </c>
      <c r="AI3381" s="4">
        <v>45434</v>
      </c>
      <c r="AJ3381" s="3" t="s">
        <v>3535</v>
      </c>
      <c r="AK3381" s="3" t="s">
        <v>248</v>
      </c>
    </row>
    <row r="3382" spans="1:37" hidden="1" x14ac:dyDescent="0.25">
      <c r="A3382" t="str">
        <f t="shared" si="52"/>
        <v>2024_Vic_Kalkee_Chickpea_DetailedTOS1VarietyCBA_CaptainWaterTrtIrrigated</v>
      </c>
      <c r="B3382" s="2">
        <v>2024038</v>
      </c>
      <c r="C3382" s="3" t="s">
        <v>3479</v>
      </c>
      <c r="D3382" s="3" t="s">
        <v>248</v>
      </c>
      <c r="F3382" s="3" t="s">
        <v>249</v>
      </c>
      <c r="G3382" s="3" t="s">
        <v>43</v>
      </c>
      <c r="H3382" s="3" t="s">
        <v>250</v>
      </c>
      <c r="I3382" s="2">
        <v>55</v>
      </c>
      <c r="J3382" s="2">
        <v>27</v>
      </c>
      <c r="K3382" s="2">
        <v>2</v>
      </c>
      <c r="O3382" s="2">
        <v>4</v>
      </c>
      <c r="P3382" s="2">
        <v>8</v>
      </c>
      <c r="U3382" s="2">
        <v>3</v>
      </c>
      <c r="V3382" s="2">
        <v>18</v>
      </c>
      <c r="W3382" s="2">
        <v>3</v>
      </c>
      <c r="X3382" s="2">
        <v>14</v>
      </c>
      <c r="Z3382" s="2">
        <v>27</v>
      </c>
      <c r="AA3382" s="3" t="s">
        <v>57</v>
      </c>
      <c r="AB3382" s="2">
        <v>3</v>
      </c>
      <c r="AF3382" s="2">
        <v>30.5</v>
      </c>
      <c r="AG3382" s="2">
        <v>1</v>
      </c>
      <c r="AH3382" s="3" t="s">
        <v>3480</v>
      </c>
      <c r="AI3382" s="4">
        <v>45434</v>
      </c>
      <c r="AJ3382" s="3" t="s">
        <v>3536</v>
      </c>
      <c r="AK3382" s="3" t="s">
        <v>248</v>
      </c>
    </row>
    <row r="3383" spans="1:37" hidden="1" x14ac:dyDescent="0.25">
      <c r="A3383" t="str">
        <f t="shared" si="52"/>
        <v>2024_Vic_Kalkee_Chickpea_DetailedTOS1VarietyHatTrickWaterTrtIrrigated</v>
      </c>
      <c r="B3383" s="2">
        <v>2024038</v>
      </c>
      <c r="C3383" s="3" t="s">
        <v>3479</v>
      </c>
      <c r="D3383" s="3" t="s">
        <v>248</v>
      </c>
      <c r="F3383" s="3" t="s">
        <v>4178</v>
      </c>
      <c r="G3383" s="3" t="s">
        <v>39</v>
      </c>
      <c r="H3383" s="3" t="s">
        <v>250</v>
      </c>
      <c r="I3383" s="2">
        <v>56</v>
      </c>
      <c r="J3383" s="2">
        <v>28</v>
      </c>
      <c r="K3383" s="2">
        <v>2</v>
      </c>
      <c r="O3383" s="2">
        <v>4</v>
      </c>
      <c r="P3383" s="2">
        <v>8</v>
      </c>
      <c r="U3383" s="2">
        <v>4</v>
      </c>
      <c r="V3383" s="2">
        <v>18</v>
      </c>
      <c r="W3383" s="2">
        <v>4</v>
      </c>
      <c r="X3383" s="2">
        <v>14</v>
      </c>
      <c r="Z3383" s="2">
        <v>28</v>
      </c>
      <c r="AA3383" s="3" t="s">
        <v>57</v>
      </c>
      <c r="AB3383" s="2">
        <v>2</v>
      </c>
      <c r="AF3383" s="2">
        <v>30.5</v>
      </c>
      <c r="AG3383" s="2">
        <v>1</v>
      </c>
      <c r="AH3383" s="3" t="s">
        <v>3480</v>
      </c>
      <c r="AI3383" s="4">
        <v>45434</v>
      </c>
      <c r="AJ3383" s="3" t="s">
        <v>3537</v>
      </c>
      <c r="AK3383" s="3" t="s">
        <v>248</v>
      </c>
    </row>
    <row r="3384" spans="1:37" hidden="1" x14ac:dyDescent="0.25">
      <c r="A3384" t="str">
        <f t="shared" si="52"/>
        <v>2024_Vic_Kalkee_Chickpea_DetailedTOS1VarietyHatTrickWaterTrtRainFed</v>
      </c>
      <c r="B3384" s="2">
        <v>2024038</v>
      </c>
      <c r="C3384" s="3" t="s">
        <v>3479</v>
      </c>
      <c r="D3384" s="3" t="s">
        <v>248</v>
      </c>
      <c r="F3384" s="3" t="s">
        <v>4178</v>
      </c>
      <c r="G3384" s="3" t="s">
        <v>39</v>
      </c>
      <c r="H3384" s="3" t="s">
        <v>253</v>
      </c>
      <c r="I3384" s="2">
        <v>57</v>
      </c>
      <c r="J3384" s="2">
        <v>29</v>
      </c>
      <c r="K3384" s="2">
        <v>2</v>
      </c>
      <c r="O3384" s="2">
        <v>4</v>
      </c>
      <c r="P3384" s="2">
        <v>7</v>
      </c>
      <c r="U3384" s="2">
        <v>1</v>
      </c>
      <c r="V3384" s="2">
        <v>19</v>
      </c>
      <c r="W3384" s="2">
        <v>1</v>
      </c>
      <c r="X3384" s="2">
        <v>15</v>
      </c>
      <c r="AA3384" s="3" t="s">
        <v>40</v>
      </c>
      <c r="AB3384" s="2">
        <v>2</v>
      </c>
      <c r="AF3384" s="2">
        <v>30.5</v>
      </c>
      <c r="AG3384" s="2">
        <v>1</v>
      </c>
      <c r="AH3384" s="3" t="s">
        <v>3480</v>
      </c>
      <c r="AI3384" s="4">
        <v>45434</v>
      </c>
      <c r="AJ3384" s="3" t="s">
        <v>3538</v>
      </c>
      <c r="AK3384" s="3" t="s">
        <v>248</v>
      </c>
    </row>
    <row r="3385" spans="1:37" hidden="1" x14ac:dyDescent="0.25">
      <c r="A3385" t="str">
        <f t="shared" si="52"/>
        <v>2024_Vic_Kalkee_Chickpea_DetailedTOS1VarietyCBA_CaptainWaterTrtRainFed</v>
      </c>
      <c r="B3385" s="2">
        <v>2024038</v>
      </c>
      <c r="C3385" s="3" t="s">
        <v>3479</v>
      </c>
      <c r="D3385" s="3" t="s">
        <v>248</v>
      </c>
      <c r="F3385" s="3" t="s">
        <v>249</v>
      </c>
      <c r="G3385" s="3" t="s">
        <v>43</v>
      </c>
      <c r="H3385" s="3" t="s">
        <v>253</v>
      </c>
      <c r="I3385" s="2">
        <v>58</v>
      </c>
      <c r="J3385" s="2">
        <v>30</v>
      </c>
      <c r="K3385" s="2">
        <v>2</v>
      </c>
      <c r="O3385" s="2">
        <v>4</v>
      </c>
      <c r="P3385" s="2">
        <v>7</v>
      </c>
      <c r="U3385" s="2">
        <v>2</v>
      </c>
      <c r="V3385" s="2">
        <v>19</v>
      </c>
      <c r="W3385" s="2">
        <v>2</v>
      </c>
      <c r="X3385" s="2">
        <v>15</v>
      </c>
      <c r="AA3385" s="3" t="s">
        <v>40</v>
      </c>
      <c r="AB3385" s="2">
        <v>3</v>
      </c>
      <c r="AF3385" s="2">
        <v>30.5</v>
      </c>
      <c r="AG3385" s="2">
        <v>1</v>
      </c>
      <c r="AH3385" s="3" t="s">
        <v>3480</v>
      </c>
      <c r="AI3385" s="4">
        <v>45434</v>
      </c>
      <c r="AJ3385" s="3" t="s">
        <v>3539</v>
      </c>
      <c r="AK3385" s="3" t="s">
        <v>248</v>
      </c>
    </row>
    <row r="3386" spans="1:37" hidden="1" x14ac:dyDescent="0.25">
      <c r="A3386" t="str">
        <f t="shared" si="52"/>
        <v>2024_Vic_Kalkee_Chickpea_DetailedTOS1VarietyStrikerWaterTrtIrrigated</v>
      </c>
      <c r="B3386" s="2">
        <v>2024038</v>
      </c>
      <c r="C3386" s="3" t="s">
        <v>3479</v>
      </c>
      <c r="D3386" s="3" t="s">
        <v>248</v>
      </c>
      <c r="F3386" s="3" t="s">
        <v>4179</v>
      </c>
      <c r="G3386" s="3" t="s">
        <v>43</v>
      </c>
      <c r="H3386" s="3" t="s">
        <v>253</v>
      </c>
      <c r="I3386" s="2">
        <v>59</v>
      </c>
      <c r="J3386" s="2">
        <v>31</v>
      </c>
      <c r="K3386" s="2">
        <v>2</v>
      </c>
      <c r="O3386" s="2">
        <v>4</v>
      </c>
      <c r="P3386" s="2">
        <v>8</v>
      </c>
      <c r="U3386" s="2">
        <v>3</v>
      </c>
      <c r="V3386" s="2">
        <v>19</v>
      </c>
      <c r="W3386" s="2">
        <v>3</v>
      </c>
      <c r="X3386" s="2">
        <v>15</v>
      </c>
      <c r="AA3386" s="3" t="s">
        <v>57</v>
      </c>
      <c r="AB3386" s="2">
        <v>4</v>
      </c>
      <c r="AF3386" s="2">
        <v>30.5</v>
      </c>
      <c r="AG3386" s="2">
        <v>1</v>
      </c>
      <c r="AH3386" s="3" t="s">
        <v>3480</v>
      </c>
      <c r="AI3386" s="4">
        <v>45434</v>
      </c>
      <c r="AJ3386" s="3" t="s">
        <v>3540</v>
      </c>
      <c r="AK3386" s="3" t="s">
        <v>248</v>
      </c>
    </row>
    <row r="3387" spans="1:37" hidden="1" x14ac:dyDescent="0.25">
      <c r="A3387" t="str">
        <f t="shared" si="52"/>
        <v>2024_Vic_Kalkee_Chickpea_DetailedTOS1VarietyDrummondWaterTrtIrrigated</v>
      </c>
      <c r="B3387" s="2">
        <v>2024038</v>
      </c>
      <c r="C3387" s="3" t="s">
        <v>3479</v>
      </c>
      <c r="D3387" s="3" t="s">
        <v>248</v>
      </c>
      <c r="F3387" s="3" t="s">
        <v>4182</v>
      </c>
      <c r="G3387" s="3" t="s">
        <v>39</v>
      </c>
      <c r="H3387" s="3" t="s">
        <v>253</v>
      </c>
      <c r="I3387" s="2">
        <v>60</v>
      </c>
      <c r="J3387" s="2">
        <v>32</v>
      </c>
      <c r="K3387" s="2">
        <v>2</v>
      </c>
      <c r="O3387" s="2">
        <v>4</v>
      </c>
      <c r="P3387" s="2">
        <v>8</v>
      </c>
      <c r="U3387" s="2">
        <v>4</v>
      </c>
      <c r="V3387" s="2">
        <v>19</v>
      </c>
      <c r="W3387" s="2">
        <v>4</v>
      </c>
      <c r="X3387" s="2">
        <v>15</v>
      </c>
      <c r="AA3387" s="3" t="s">
        <v>57</v>
      </c>
      <c r="AB3387" s="2">
        <v>1</v>
      </c>
      <c r="AF3387" s="2">
        <v>30.5</v>
      </c>
      <c r="AG3387" s="2">
        <v>1</v>
      </c>
      <c r="AH3387" s="3" t="s">
        <v>3480</v>
      </c>
      <c r="AI3387" s="4">
        <v>45434</v>
      </c>
      <c r="AJ3387" s="3" t="s">
        <v>3541</v>
      </c>
      <c r="AK3387" s="3" t="s">
        <v>248</v>
      </c>
    </row>
    <row r="3388" spans="1:37" hidden="1" x14ac:dyDescent="0.25">
      <c r="A3388" t="str">
        <f t="shared" si="52"/>
        <v>2024_Vic_Kalkee_Chickpea_DetailedTOS1VarietyHatTrickWaterTrtRainFed</v>
      </c>
      <c r="B3388" s="2">
        <v>2024038</v>
      </c>
      <c r="C3388" s="3" t="s">
        <v>3479</v>
      </c>
      <c r="D3388" s="3" t="s">
        <v>248</v>
      </c>
      <c r="F3388" s="3" t="s">
        <v>4178</v>
      </c>
      <c r="G3388" s="3" t="s">
        <v>39</v>
      </c>
      <c r="H3388" s="3" t="s">
        <v>250</v>
      </c>
      <c r="I3388" s="2">
        <v>61</v>
      </c>
      <c r="J3388" s="2">
        <v>29</v>
      </c>
      <c r="K3388" s="2">
        <v>2</v>
      </c>
      <c r="O3388" s="2">
        <v>4</v>
      </c>
      <c r="P3388" s="2">
        <v>7</v>
      </c>
      <c r="U3388" s="2">
        <v>1</v>
      </c>
      <c r="V3388" s="2">
        <v>20</v>
      </c>
      <c r="W3388" s="2">
        <v>1</v>
      </c>
      <c r="X3388" s="2">
        <v>16</v>
      </c>
      <c r="Z3388" s="2">
        <v>32</v>
      </c>
      <c r="AA3388" s="3" t="s">
        <v>40</v>
      </c>
      <c r="AB3388" s="2">
        <v>2</v>
      </c>
      <c r="AF3388" s="2">
        <v>30.5</v>
      </c>
      <c r="AG3388" s="2">
        <v>1</v>
      </c>
      <c r="AH3388" s="3" t="s">
        <v>3480</v>
      </c>
      <c r="AI3388" s="4">
        <v>45434</v>
      </c>
      <c r="AJ3388" s="3" t="s">
        <v>3542</v>
      </c>
      <c r="AK3388" s="3" t="s">
        <v>248</v>
      </c>
    </row>
    <row r="3389" spans="1:37" hidden="1" x14ac:dyDescent="0.25">
      <c r="A3389" t="str">
        <f t="shared" si="52"/>
        <v>2024_Vic_Kalkee_Chickpea_DetailedTOS1VarietyCBA_CaptainWaterTrtRainFed</v>
      </c>
      <c r="B3389" s="2">
        <v>2024038</v>
      </c>
      <c r="C3389" s="3" t="s">
        <v>3479</v>
      </c>
      <c r="D3389" s="3" t="s">
        <v>248</v>
      </c>
      <c r="F3389" s="3" t="s">
        <v>249</v>
      </c>
      <c r="G3389" s="3" t="s">
        <v>43</v>
      </c>
      <c r="H3389" s="3" t="s">
        <v>250</v>
      </c>
      <c r="I3389" s="2">
        <v>62</v>
      </c>
      <c r="J3389" s="2">
        <v>30</v>
      </c>
      <c r="K3389" s="2">
        <v>2</v>
      </c>
      <c r="O3389" s="2">
        <v>4</v>
      </c>
      <c r="P3389" s="2">
        <v>7</v>
      </c>
      <c r="U3389" s="2">
        <v>2</v>
      </c>
      <c r="V3389" s="2">
        <v>20</v>
      </c>
      <c r="W3389" s="2">
        <v>2</v>
      </c>
      <c r="X3389" s="2">
        <v>16</v>
      </c>
      <c r="Z3389" s="2">
        <v>31</v>
      </c>
      <c r="AA3389" s="3" t="s">
        <v>40</v>
      </c>
      <c r="AB3389" s="2">
        <v>3</v>
      </c>
      <c r="AF3389" s="2">
        <v>30.5</v>
      </c>
      <c r="AG3389" s="2">
        <v>1</v>
      </c>
      <c r="AH3389" s="3" t="s">
        <v>3480</v>
      </c>
      <c r="AI3389" s="4">
        <v>45434</v>
      </c>
      <c r="AJ3389" s="3" t="s">
        <v>3543</v>
      </c>
      <c r="AK3389" s="3" t="s">
        <v>248</v>
      </c>
    </row>
    <row r="3390" spans="1:37" hidden="1" x14ac:dyDescent="0.25">
      <c r="A3390" t="str">
        <f t="shared" si="52"/>
        <v>2024_Vic_Kalkee_Chickpea_DetailedTOS1VarietyStrikerWaterTrtIrrigated</v>
      </c>
      <c r="B3390" s="2">
        <v>2024038</v>
      </c>
      <c r="C3390" s="3" t="s">
        <v>3479</v>
      </c>
      <c r="D3390" s="3" t="s">
        <v>248</v>
      </c>
      <c r="F3390" s="3" t="s">
        <v>4179</v>
      </c>
      <c r="G3390" s="3" t="s">
        <v>43</v>
      </c>
      <c r="H3390" s="3" t="s">
        <v>250</v>
      </c>
      <c r="I3390" s="2">
        <v>63</v>
      </c>
      <c r="J3390" s="2">
        <v>31</v>
      </c>
      <c r="K3390" s="2">
        <v>2</v>
      </c>
      <c r="O3390" s="2">
        <v>4</v>
      </c>
      <c r="P3390" s="2">
        <v>8</v>
      </c>
      <c r="U3390" s="2">
        <v>3</v>
      </c>
      <c r="V3390" s="2">
        <v>20</v>
      </c>
      <c r="W3390" s="2">
        <v>3</v>
      </c>
      <c r="X3390" s="2">
        <v>16</v>
      </c>
      <c r="Z3390" s="2">
        <v>30</v>
      </c>
      <c r="AA3390" s="3" t="s">
        <v>57</v>
      </c>
      <c r="AB3390" s="2">
        <v>4</v>
      </c>
      <c r="AF3390" s="2">
        <v>30.5</v>
      </c>
      <c r="AG3390" s="2">
        <v>1</v>
      </c>
      <c r="AH3390" s="3" t="s">
        <v>3480</v>
      </c>
      <c r="AI3390" s="4">
        <v>45434</v>
      </c>
      <c r="AJ3390" s="3" t="s">
        <v>3544</v>
      </c>
      <c r="AK3390" s="3" t="s">
        <v>248</v>
      </c>
    </row>
    <row r="3391" spans="1:37" hidden="1" x14ac:dyDescent="0.25">
      <c r="A3391" t="str">
        <f t="shared" si="52"/>
        <v>2024_Vic_Kalkee_Chickpea_DetailedTOS1VarietyDrummondWaterTrtIrrigated</v>
      </c>
      <c r="B3391" s="2">
        <v>2024038</v>
      </c>
      <c r="C3391" s="3" t="s">
        <v>3479</v>
      </c>
      <c r="D3391" s="3" t="s">
        <v>248</v>
      </c>
      <c r="F3391" s="3" t="s">
        <v>4182</v>
      </c>
      <c r="G3391" s="3" t="s">
        <v>39</v>
      </c>
      <c r="H3391" s="3" t="s">
        <v>250</v>
      </c>
      <c r="I3391" s="2">
        <v>64</v>
      </c>
      <c r="J3391" s="2">
        <v>32</v>
      </c>
      <c r="K3391" s="2">
        <v>2</v>
      </c>
      <c r="O3391" s="2">
        <v>4</v>
      </c>
      <c r="P3391" s="2">
        <v>8</v>
      </c>
      <c r="U3391" s="2">
        <v>4</v>
      </c>
      <c r="V3391" s="2">
        <v>20</v>
      </c>
      <c r="W3391" s="2">
        <v>4</v>
      </c>
      <c r="X3391" s="2">
        <v>16</v>
      </c>
      <c r="Z3391" s="2">
        <v>29</v>
      </c>
      <c r="AA3391" s="3" t="s">
        <v>57</v>
      </c>
      <c r="AB3391" s="2">
        <v>1</v>
      </c>
      <c r="AF3391" s="2">
        <v>30.5</v>
      </c>
      <c r="AG3391" s="2">
        <v>1</v>
      </c>
      <c r="AH3391" s="3" t="s">
        <v>3480</v>
      </c>
      <c r="AI3391" s="4">
        <v>45434</v>
      </c>
      <c r="AJ3391" s="3" t="s">
        <v>3545</v>
      </c>
      <c r="AK3391" s="3" t="s">
        <v>248</v>
      </c>
    </row>
    <row r="3392" spans="1:37" hidden="1" x14ac:dyDescent="0.25">
      <c r="A3392" t="str">
        <f t="shared" si="52"/>
        <v>2024_Vic_Kalkee_Chickpea_DetailedTOS1VarietyHatTrickWaterTrtIrrigated</v>
      </c>
      <c r="B3392" s="2">
        <v>2024038</v>
      </c>
      <c r="C3392" s="3" t="s">
        <v>3479</v>
      </c>
      <c r="D3392" s="3" t="s">
        <v>248</v>
      </c>
      <c r="F3392" s="3" t="s">
        <v>4178</v>
      </c>
      <c r="G3392" s="3" t="s">
        <v>39</v>
      </c>
      <c r="H3392" s="3" t="s">
        <v>253</v>
      </c>
      <c r="I3392" s="2">
        <v>65</v>
      </c>
      <c r="J3392" s="2">
        <v>33</v>
      </c>
      <c r="K3392" s="2">
        <v>3</v>
      </c>
      <c r="O3392" s="2">
        <v>5</v>
      </c>
      <c r="P3392" s="2">
        <v>9</v>
      </c>
      <c r="U3392" s="2">
        <v>1</v>
      </c>
      <c r="V3392" s="2">
        <v>22</v>
      </c>
      <c r="W3392" s="2">
        <v>1</v>
      </c>
      <c r="X3392" s="2">
        <v>17</v>
      </c>
      <c r="AA3392" s="3" t="s">
        <v>57</v>
      </c>
      <c r="AB3392" s="2">
        <v>2</v>
      </c>
      <c r="AF3392" s="2">
        <v>30.5</v>
      </c>
      <c r="AG3392" s="2">
        <v>1</v>
      </c>
      <c r="AH3392" s="3" t="s">
        <v>3480</v>
      </c>
      <c r="AI3392" s="4">
        <v>45434</v>
      </c>
      <c r="AJ3392" s="3" t="s">
        <v>3546</v>
      </c>
      <c r="AK3392" s="3" t="s">
        <v>248</v>
      </c>
    </row>
    <row r="3393" spans="1:37" hidden="1" x14ac:dyDescent="0.25">
      <c r="A3393" t="str">
        <f t="shared" si="52"/>
        <v>2024_Vic_Kalkee_Chickpea_DetailedTOS1VarietyStrikerWaterTrtIrrigated</v>
      </c>
      <c r="B3393" s="2">
        <v>2024038</v>
      </c>
      <c r="C3393" s="3" t="s">
        <v>3479</v>
      </c>
      <c r="D3393" s="3" t="s">
        <v>248</v>
      </c>
      <c r="F3393" s="3" t="s">
        <v>4179</v>
      </c>
      <c r="G3393" s="3" t="s">
        <v>43</v>
      </c>
      <c r="H3393" s="3" t="s">
        <v>253</v>
      </c>
      <c r="I3393" s="2">
        <v>66</v>
      </c>
      <c r="J3393" s="2">
        <v>34</v>
      </c>
      <c r="K3393" s="2">
        <v>3</v>
      </c>
      <c r="O3393" s="2">
        <v>5</v>
      </c>
      <c r="P3393" s="2">
        <v>9</v>
      </c>
      <c r="U3393" s="2">
        <v>2</v>
      </c>
      <c r="V3393" s="2">
        <v>22</v>
      </c>
      <c r="W3393" s="2">
        <v>2</v>
      </c>
      <c r="X3393" s="2">
        <v>17</v>
      </c>
      <c r="AA3393" s="3" t="s">
        <v>57</v>
      </c>
      <c r="AB3393" s="2">
        <v>4</v>
      </c>
      <c r="AF3393" s="2">
        <v>30.5</v>
      </c>
      <c r="AG3393" s="2">
        <v>1</v>
      </c>
      <c r="AH3393" s="3" t="s">
        <v>3480</v>
      </c>
      <c r="AI3393" s="4">
        <v>45434</v>
      </c>
      <c r="AJ3393" s="3" t="s">
        <v>3547</v>
      </c>
      <c r="AK3393" s="3" t="s">
        <v>248</v>
      </c>
    </row>
    <row r="3394" spans="1:37" hidden="1" x14ac:dyDescent="0.25">
      <c r="A3394" t="str">
        <f t="shared" si="52"/>
        <v>2024_Vic_Kalkee_Chickpea_DetailedTOS1VarietyDrummondWaterTrtRainFed</v>
      </c>
      <c r="B3394" s="2">
        <v>2024038</v>
      </c>
      <c r="C3394" s="3" t="s">
        <v>3479</v>
      </c>
      <c r="D3394" s="3" t="s">
        <v>248</v>
      </c>
      <c r="F3394" s="3" t="s">
        <v>4182</v>
      </c>
      <c r="G3394" s="3" t="s">
        <v>39</v>
      </c>
      <c r="H3394" s="3" t="s">
        <v>253</v>
      </c>
      <c r="I3394" s="2">
        <v>67</v>
      </c>
      <c r="J3394" s="2">
        <v>35</v>
      </c>
      <c r="K3394" s="2">
        <v>3</v>
      </c>
      <c r="O3394" s="2">
        <v>5</v>
      </c>
      <c r="P3394" s="2">
        <v>10</v>
      </c>
      <c r="U3394" s="2">
        <v>3</v>
      </c>
      <c r="V3394" s="2">
        <v>22</v>
      </c>
      <c r="W3394" s="2">
        <v>3</v>
      </c>
      <c r="X3394" s="2">
        <v>17</v>
      </c>
      <c r="AA3394" s="3" t="s">
        <v>40</v>
      </c>
      <c r="AB3394" s="2">
        <v>1</v>
      </c>
      <c r="AF3394" s="2">
        <v>30.5</v>
      </c>
      <c r="AG3394" s="2">
        <v>1</v>
      </c>
      <c r="AH3394" s="3" t="s">
        <v>3480</v>
      </c>
      <c r="AI3394" s="4">
        <v>45434</v>
      </c>
      <c r="AJ3394" s="3" t="s">
        <v>3548</v>
      </c>
      <c r="AK3394" s="3" t="s">
        <v>248</v>
      </c>
    </row>
    <row r="3395" spans="1:37" hidden="1" x14ac:dyDescent="0.25">
      <c r="A3395" t="str">
        <f t="shared" ref="A3395:A3458" si="53">C3395&amp;"TOS"&amp;AG3395&amp;"Variety"&amp;F3395&amp;"WaterTrt"&amp;AA3395&amp;IF(AC3395="","","Agronomy"&amp;AC3395)</f>
        <v>2024_Vic_Kalkee_Chickpea_DetailedTOS1VarietyCBA_CaptainWaterTrtRainFed</v>
      </c>
      <c r="B3395" s="2">
        <v>2024038</v>
      </c>
      <c r="C3395" s="3" t="s">
        <v>3479</v>
      </c>
      <c r="D3395" s="3" t="s">
        <v>248</v>
      </c>
      <c r="F3395" s="3" t="s">
        <v>249</v>
      </c>
      <c r="G3395" s="3" t="s">
        <v>43</v>
      </c>
      <c r="H3395" s="3" t="s">
        <v>253</v>
      </c>
      <c r="I3395" s="2">
        <v>68</v>
      </c>
      <c r="J3395" s="2">
        <v>36</v>
      </c>
      <c r="K3395" s="2">
        <v>3</v>
      </c>
      <c r="O3395" s="2">
        <v>5</v>
      </c>
      <c r="P3395" s="2">
        <v>10</v>
      </c>
      <c r="U3395" s="2">
        <v>4</v>
      </c>
      <c r="V3395" s="2">
        <v>22</v>
      </c>
      <c r="W3395" s="2">
        <v>4</v>
      </c>
      <c r="X3395" s="2">
        <v>17</v>
      </c>
      <c r="AA3395" s="3" t="s">
        <v>40</v>
      </c>
      <c r="AB3395" s="2">
        <v>3</v>
      </c>
      <c r="AF3395" s="2">
        <v>30.5</v>
      </c>
      <c r="AG3395" s="2">
        <v>1</v>
      </c>
      <c r="AH3395" s="3" t="s">
        <v>3480</v>
      </c>
      <c r="AI3395" s="4">
        <v>45434</v>
      </c>
      <c r="AJ3395" s="3" t="s">
        <v>3549</v>
      </c>
      <c r="AK3395" s="3" t="s">
        <v>248</v>
      </c>
    </row>
    <row r="3396" spans="1:37" hidden="1" x14ac:dyDescent="0.25">
      <c r="A3396" t="str">
        <f t="shared" si="53"/>
        <v>2024_Vic_Kalkee_Chickpea_DetailedTOS1VarietyHatTrickWaterTrtIrrigated</v>
      </c>
      <c r="B3396" s="2">
        <v>2024038</v>
      </c>
      <c r="C3396" s="3" t="s">
        <v>3479</v>
      </c>
      <c r="D3396" s="3" t="s">
        <v>248</v>
      </c>
      <c r="F3396" s="3" t="s">
        <v>4178</v>
      </c>
      <c r="G3396" s="3" t="s">
        <v>39</v>
      </c>
      <c r="H3396" s="3" t="s">
        <v>250</v>
      </c>
      <c r="I3396" s="2">
        <v>69</v>
      </c>
      <c r="J3396" s="2">
        <v>33</v>
      </c>
      <c r="K3396" s="2">
        <v>3</v>
      </c>
      <c r="O3396" s="2">
        <v>5</v>
      </c>
      <c r="P3396" s="2">
        <v>9</v>
      </c>
      <c r="U3396" s="2">
        <v>1</v>
      </c>
      <c r="V3396" s="2">
        <v>23</v>
      </c>
      <c r="W3396" s="2">
        <v>1</v>
      </c>
      <c r="X3396" s="2">
        <v>18</v>
      </c>
      <c r="Z3396" s="2">
        <v>33</v>
      </c>
      <c r="AA3396" s="3" t="s">
        <v>57</v>
      </c>
      <c r="AB3396" s="2">
        <v>2</v>
      </c>
      <c r="AF3396" s="2">
        <v>30.5</v>
      </c>
      <c r="AG3396" s="2">
        <v>1</v>
      </c>
      <c r="AH3396" s="3" t="s">
        <v>3480</v>
      </c>
      <c r="AI3396" s="4">
        <v>45434</v>
      </c>
      <c r="AJ3396" s="3" t="s">
        <v>3550</v>
      </c>
      <c r="AK3396" s="3" t="s">
        <v>248</v>
      </c>
    </row>
    <row r="3397" spans="1:37" hidden="1" x14ac:dyDescent="0.25">
      <c r="A3397" t="str">
        <f t="shared" si="53"/>
        <v>2024_Vic_Kalkee_Chickpea_DetailedTOS1VarietyStrikerWaterTrtIrrigated</v>
      </c>
      <c r="B3397" s="2">
        <v>2024038</v>
      </c>
      <c r="C3397" s="3" t="s">
        <v>3479</v>
      </c>
      <c r="D3397" s="3" t="s">
        <v>248</v>
      </c>
      <c r="F3397" s="3" t="s">
        <v>4179</v>
      </c>
      <c r="G3397" s="3" t="s">
        <v>43</v>
      </c>
      <c r="H3397" s="3" t="s">
        <v>250</v>
      </c>
      <c r="I3397" s="2">
        <v>70</v>
      </c>
      <c r="J3397" s="2">
        <v>34</v>
      </c>
      <c r="K3397" s="2">
        <v>3</v>
      </c>
      <c r="O3397" s="2">
        <v>5</v>
      </c>
      <c r="P3397" s="2">
        <v>9</v>
      </c>
      <c r="U3397" s="2">
        <v>2</v>
      </c>
      <c r="V3397" s="2">
        <v>23</v>
      </c>
      <c r="W3397" s="2">
        <v>2</v>
      </c>
      <c r="X3397" s="2">
        <v>18</v>
      </c>
      <c r="Z3397" s="2">
        <v>34</v>
      </c>
      <c r="AA3397" s="3" t="s">
        <v>57</v>
      </c>
      <c r="AB3397" s="2">
        <v>4</v>
      </c>
      <c r="AF3397" s="2">
        <v>30.5</v>
      </c>
      <c r="AG3397" s="2">
        <v>1</v>
      </c>
      <c r="AH3397" s="3" t="s">
        <v>3480</v>
      </c>
      <c r="AI3397" s="4">
        <v>45434</v>
      </c>
      <c r="AJ3397" s="3" t="s">
        <v>3551</v>
      </c>
      <c r="AK3397" s="3" t="s">
        <v>248</v>
      </c>
    </row>
    <row r="3398" spans="1:37" hidden="1" x14ac:dyDescent="0.25">
      <c r="A3398" t="str">
        <f t="shared" si="53"/>
        <v>2024_Vic_Kalkee_Chickpea_DetailedTOS1VarietyDrummondWaterTrtRainFed</v>
      </c>
      <c r="B3398" s="2">
        <v>2024038</v>
      </c>
      <c r="C3398" s="3" t="s">
        <v>3479</v>
      </c>
      <c r="D3398" s="3" t="s">
        <v>248</v>
      </c>
      <c r="F3398" s="3" t="s">
        <v>4182</v>
      </c>
      <c r="G3398" s="3" t="s">
        <v>39</v>
      </c>
      <c r="H3398" s="3" t="s">
        <v>250</v>
      </c>
      <c r="I3398" s="2">
        <v>71</v>
      </c>
      <c r="J3398" s="2">
        <v>35</v>
      </c>
      <c r="K3398" s="2">
        <v>3</v>
      </c>
      <c r="O3398" s="2">
        <v>5</v>
      </c>
      <c r="P3398" s="2">
        <v>10</v>
      </c>
      <c r="U3398" s="2">
        <v>3</v>
      </c>
      <c r="V3398" s="2">
        <v>23</v>
      </c>
      <c r="W3398" s="2">
        <v>3</v>
      </c>
      <c r="X3398" s="2">
        <v>18</v>
      </c>
      <c r="Z3398" s="2">
        <v>35</v>
      </c>
      <c r="AA3398" s="3" t="s">
        <v>40</v>
      </c>
      <c r="AB3398" s="2">
        <v>1</v>
      </c>
      <c r="AF3398" s="2">
        <v>30.5</v>
      </c>
      <c r="AG3398" s="2">
        <v>1</v>
      </c>
      <c r="AH3398" s="3" t="s">
        <v>3480</v>
      </c>
      <c r="AI3398" s="4">
        <v>45434</v>
      </c>
      <c r="AJ3398" s="3" t="s">
        <v>3552</v>
      </c>
      <c r="AK3398" s="3" t="s">
        <v>248</v>
      </c>
    </row>
    <row r="3399" spans="1:37" hidden="1" x14ac:dyDescent="0.25">
      <c r="A3399" t="str">
        <f t="shared" si="53"/>
        <v>2024_Vic_Kalkee_Chickpea_DetailedTOS1VarietyCBA_CaptainWaterTrtRainFed</v>
      </c>
      <c r="B3399" s="2">
        <v>2024038</v>
      </c>
      <c r="C3399" s="3" t="s">
        <v>3479</v>
      </c>
      <c r="D3399" s="3" t="s">
        <v>248</v>
      </c>
      <c r="F3399" s="3" t="s">
        <v>249</v>
      </c>
      <c r="G3399" s="3" t="s">
        <v>43</v>
      </c>
      <c r="H3399" s="3" t="s">
        <v>250</v>
      </c>
      <c r="I3399" s="2">
        <v>72</v>
      </c>
      <c r="J3399" s="2">
        <v>36</v>
      </c>
      <c r="K3399" s="2">
        <v>3</v>
      </c>
      <c r="O3399" s="2">
        <v>5</v>
      </c>
      <c r="P3399" s="2">
        <v>10</v>
      </c>
      <c r="U3399" s="2">
        <v>4</v>
      </c>
      <c r="V3399" s="2">
        <v>23</v>
      </c>
      <c r="W3399" s="2">
        <v>4</v>
      </c>
      <c r="X3399" s="2">
        <v>18</v>
      </c>
      <c r="Z3399" s="2">
        <v>36</v>
      </c>
      <c r="AA3399" s="3" t="s">
        <v>40</v>
      </c>
      <c r="AB3399" s="2">
        <v>3</v>
      </c>
      <c r="AF3399" s="2">
        <v>30.5</v>
      </c>
      <c r="AG3399" s="2">
        <v>1</v>
      </c>
      <c r="AH3399" s="3" t="s">
        <v>3480</v>
      </c>
      <c r="AI3399" s="4">
        <v>45434</v>
      </c>
      <c r="AJ3399" s="3" t="s">
        <v>3553</v>
      </c>
      <c r="AK3399" s="3" t="s">
        <v>248</v>
      </c>
    </row>
    <row r="3400" spans="1:37" hidden="1" x14ac:dyDescent="0.25">
      <c r="A3400" t="str">
        <f t="shared" si="53"/>
        <v>2024_Vic_Kalkee_Chickpea_DetailedTOS1VarietyCBA_CaptainWaterTrtIrrigated</v>
      </c>
      <c r="B3400" s="2">
        <v>2024038</v>
      </c>
      <c r="C3400" s="3" t="s">
        <v>3479</v>
      </c>
      <c r="D3400" s="3" t="s">
        <v>248</v>
      </c>
      <c r="F3400" s="3" t="s">
        <v>249</v>
      </c>
      <c r="G3400" s="3" t="s">
        <v>43</v>
      </c>
      <c r="H3400" s="3" t="s">
        <v>253</v>
      </c>
      <c r="I3400" s="2">
        <v>73</v>
      </c>
      <c r="J3400" s="2">
        <v>37</v>
      </c>
      <c r="K3400" s="2">
        <v>3</v>
      </c>
      <c r="O3400" s="2">
        <v>5</v>
      </c>
      <c r="P3400" s="2">
        <v>9</v>
      </c>
      <c r="U3400" s="2">
        <v>1</v>
      </c>
      <c r="V3400" s="2">
        <v>24</v>
      </c>
      <c r="W3400" s="2">
        <v>1</v>
      </c>
      <c r="X3400" s="2">
        <v>19</v>
      </c>
      <c r="AA3400" s="3" t="s">
        <v>57</v>
      </c>
      <c r="AB3400" s="2">
        <v>3</v>
      </c>
      <c r="AF3400" s="2">
        <v>30.5</v>
      </c>
      <c r="AG3400" s="2">
        <v>1</v>
      </c>
      <c r="AH3400" s="3" t="s">
        <v>3480</v>
      </c>
      <c r="AI3400" s="4">
        <v>45434</v>
      </c>
      <c r="AJ3400" s="3" t="s">
        <v>3554</v>
      </c>
      <c r="AK3400" s="3" t="s">
        <v>248</v>
      </c>
    </row>
    <row r="3401" spans="1:37" hidden="1" x14ac:dyDescent="0.25">
      <c r="A3401" t="str">
        <f t="shared" si="53"/>
        <v>2024_Vic_Kalkee_Chickpea_DetailedTOS1VarietyDrummondWaterTrtIrrigated</v>
      </c>
      <c r="B3401" s="2">
        <v>2024038</v>
      </c>
      <c r="C3401" s="3" t="s">
        <v>3479</v>
      </c>
      <c r="D3401" s="3" t="s">
        <v>248</v>
      </c>
      <c r="F3401" s="3" t="s">
        <v>4182</v>
      </c>
      <c r="G3401" s="3" t="s">
        <v>39</v>
      </c>
      <c r="H3401" s="3" t="s">
        <v>253</v>
      </c>
      <c r="I3401" s="2">
        <v>74</v>
      </c>
      <c r="J3401" s="2">
        <v>38</v>
      </c>
      <c r="K3401" s="2">
        <v>3</v>
      </c>
      <c r="O3401" s="2">
        <v>5</v>
      </c>
      <c r="P3401" s="2">
        <v>9</v>
      </c>
      <c r="U3401" s="2">
        <v>2</v>
      </c>
      <c r="V3401" s="2">
        <v>24</v>
      </c>
      <c r="W3401" s="2">
        <v>2</v>
      </c>
      <c r="X3401" s="2">
        <v>19</v>
      </c>
      <c r="AA3401" s="3" t="s">
        <v>57</v>
      </c>
      <c r="AB3401" s="2">
        <v>1</v>
      </c>
      <c r="AF3401" s="2">
        <v>30.5</v>
      </c>
      <c r="AG3401" s="2">
        <v>1</v>
      </c>
      <c r="AH3401" s="3" t="s">
        <v>3480</v>
      </c>
      <c r="AI3401" s="4">
        <v>45434</v>
      </c>
      <c r="AJ3401" s="3" t="s">
        <v>3555</v>
      </c>
      <c r="AK3401" s="3" t="s">
        <v>248</v>
      </c>
    </row>
    <row r="3402" spans="1:37" hidden="1" x14ac:dyDescent="0.25">
      <c r="A3402" t="str">
        <f t="shared" si="53"/>
        <v>2024_Vic_Kalkee_Chickpea_DetailedTOS1VarietyHatTrickWaterTrtRainFed</v>
      </c>
      <c r="B3402" s="2">
        <v>2024038</v>
      </c>
      <c r="C3402" s="3" t="s">
        <v>3479</v>
      </c>
      <c r="D3402" s="3" t="s">
        <v>248</v>
      </c>
      <c r="F3402" s="3" t="s">
        <v>4178</v>
      </c>
      <c r="G3402" s="3" t="s">
        <v>39</v>
      </c>
      <c r="H3402" s="3" t="s">
        <v>253</v>
      </c>
      <c r="I3402" s="2">
        <v>75</v>
      </c>
      <c r="J3402" s="2">
        <v>39</v>
      </c>
      <c r="K3402" s="2">
        <v>3</v>
      </c>
      <c r="O3402" s="2">
        <v>5</v>
      </c>
      <c r="P3402" s="2">
        <v>10</v>
      </c>
      <c r="U3402" s="2">
        <v>3</v>
      </c>
      <c r="V3402" s="2">
        <v>24</v>
      </c>
      <c r="W3402" s="2">
        <v>3</v>
      </c>
      <c r="X3402" s="2">
        <v>19</v>
      </c>
      <c r="AA3402" s="3" t="s">
        <v>40</v>
      </c>
      <c r="AB3402" s="2">
        <v>2</v>
      </c>
      <c r="AF3402" s="2">
        <v>30.5</v>
      </c>
      <c r="AG3402" s="2">
        <v>1</v>
      </c>
      <c r="AH3402" s="3" t="s">
        <v>3480</v>
      </c>
      <c r="AI3402" s="4">
        <v>45434</v>
      </c>
      <c r="AJ3402" s="3" t="s">
        <v>3556</v>
      </c>
      <c r="AK3402" s="3" t="s">
        <v>248</v>
      </c>
    </row>
    <row r="3403" spans="1:37" hidden="1" x14ac:dyDescent="0.25">
      <c r="A3403" t="str">
        <f t="shared" si="53"/>
        <v>2024_Vic_Kalkee_Chickpea_DetailedTOS1VarietyStrikerWaterTrtRainFed</v>
      </c>
      <c r="B3403" s="2">
        <v>2024038</v>
      </c>
      <c r="C3403" s="3" t="s">
        <v>3479</v>
      </c>
      <c r="D3403" s="3" t="s">
        <v>248</v>
      </c>
      <c r="F3403" s="3" t="s">
        <v>4179</v>
      </c>
      <c r="G3403" s="3" t="s">
        <v>43</v>
      </c>
      <c r="H3403" s="3" t="s">
        <v>253</v>
      </c>
      <c r="I3403" s="2">
        <v>76</v>
      </c>
      <c r="J3403" s="2">
        <v>40</v>
      </c>
      <c r="K3403" s="2">
        <v>3</v>
      </c>
      <c r="O3403" s="2">
        <v>5</v>
      </c>
      <c r="P3403" s="2">
        <v>10</v>
      </c>
      <c r="U3403" s="2">
        <v>4</v>
      </c>
      <c r="V3403" s="2">
        <v>24</v>
      </c>
      <c r="W3403" s="2">
        <v>4</v>
      </c>
      <c r="X3403" s="2">
        <v>19</v>
      </c>
      <c r="AA3403" s="3" t="s">
        <v>40</v>
      </c>
      <c r="AB3403" s="2">
        <v>4</v>
      </c>
      <c r="AF3403" s="2">
        <v>30.5</v>
      </c>
      <c r="AG3403" s="2">
        <v>1</v>
      </c>
      <c r="AH3403" s="3" t="s">
        <v>3480</v>
      </c>
      <c r="AI3403" s="4">
        <v>45434</v>
      </c>
      <c r="AJ3403" s="3" t="s">
        <v>3557</v>
      </c>
      <c r="AK3403" s="3" t="s">
        <v>248</v>
      </c>
    </row>
    <row r="3404" spans="1:37" hidden="1" x14ac:dyDescent="0.25">
      <c r="A3404" t="str">
        <f t="shared" si="53"/>
        <v>2024_Vic_Kalkee_Chickpea_DetailedTOS1VarietyCBA_CaptainWaterTrtIrrigated</v>
      </c>
      <c r="B3404" s="2">
        <v>2024038</v>
      </c>
      <c r="C3404" s="3" t="s">
        <v>3479</v>
      </c>
      <c r="D3404" s="3" t="s">
        <v>248</v>
      </c>
      <c r="F3404" s="3" t="s">
        <v>249</v>
      </c>
      <c r="G3404" s="3" t="s">
        <v>43</v>
      </c>
      <c r="H3404" s="3" t="s">
        <v>250</v>
      </c>
      <c r="I3404" s="2">
        <v>77</v>
      </c>
      <c r="J3404" s="2">
        <v>37</v>
      </c>
      <c r="K3404" s="2">
        <v>3</v>
      </c>
      <c r="O3404" s="2">
        <v>5</v>
      </c>
      <c r="P3404" s="2">
        <v>9</v>
      </c>
      <c r="U3404" s="2">
        <v>1</v>
      </c>
      <c r="V3404" s="2">
        <v>25</v>
      </c>
      <c r="W3404" s="2">
        <v>1</v>
      </c>
      <c r="X3404" s="2">
        <v>20</v>
      </c>
      <c r="Z3404" s="2">
        <v>40</v>
      </c>
      <c r="AA3404" s="3" t="s">
        <v>57</v>
      </c>
      <c r="AB3404" s="2">
        <v>3</v>
      </c>
      <c r="AF3404" s="2">
        <v>30.5</v>
      </c>
      <c r="AG3404" s="2">
        <v>1</v>
      </c>
      <c r="AH3404" s="3" t="s">
        <v>3480</v>
      </c>
      <c r="AI3404" s="4">
        <v>45434</v>
      </c>
      <c r="AJ3404" s="3" t="s">
        <v>3558</v>
      </c>
      <c r="AK3404" s="3" t="s">
        <v>248</v>
      </c>
    </row>
    <row r="3405" spans="1:37" hidden="1" x14ac:dyDescent="0.25">
      <c r="A3405" t="str">
        <f t="shared" si="53"/>
        <v>2024_Vic_Kalkee_Chickpea_DetailedTOS1VarietyDrummondWaterTrtIrrigated</v>
      </c>
      <c r="B3405" s="2">
        <v>2024038</v>
      </c>
      <c r="C3405" s="3" t="s">
        <v>3479</v>
      </c>
      <c r="D3405" s="3" t="s">
        <v>248</v>
      </c>
      <c r="F3405" s="3" t="s">
        <v>4182</v>
      </c>
      <c r="G3405" s="3" t="s">
        <v>39</v>
      </c>
      <c r="H3405" s="3" t="s">
        <v>250</v>
      </c>
      <c r="I3405" s="2">
        <v>78</v>
      </c>
      <c r="J3405" s="2">
        <v>38</v>
      </c>
      <c r="K3405" s="2">
        <v>3</v>
      </c>
      <c r="O3405" s="2">
        <v>5</v>
      </c>
      <c r="P3405" s="2">
        <v>9</v>
      </c>
      <c r="U3405" s="2">
        <v>2</v>
      </c>
      <c r="V3405" s="2">
        <v>25</v>
      </c>
      <c r="W3405" s="2">
        <v>2</v>
      </c>
      <c r="X3405" s="2">
        <v>20</v>
      </c>
      <c r="Z3405" s="2">
        <v>39</v>
      </c>
      <c r="AA3405" s="3" t="s">
        <v>57</v>
      </c>
      <c r="AB3405" s="2">
        <v>1</v>
      </c>
      <c r="AF3405" s="2">
        <v>30.5</v>
      </c>
      <c r="AG3405" s="2">
        <v>1</v>
      </c>
      <c r="AH3405" s="3" t="s">
        <v>3480</v>
      </c>
      <c r="AI3405" s="4">
        <v>45434</v>
      </c>
      <c r="AJ3405" s="3" t="s">
        <v>3559</v>
      </c>
      <c r="AK3405" s="3" t="s">
        <v>248</v>
      </c>
    </row>
    <row r="3406" spans="1:37" hidden="1" x14ac:dyDescent="0.25">
      <c r="A3406" t="str">
        <f t="shared" si="53"/>
        <v>2024_Vic_Kalkee_Chickpea_DetailedTOS1VarietyHatTrickWaterTrtRainFed</v>
      </c>
      <c r="B3406" s="2">
        <v>2024038</v>
      </c>
      <c r="C3406" s="3" t="s">
        <v>3479</v>
      </c>
      <c r="D3406" s="3" t="s">
        <v>248</v>
      </c>
      <c r="F3406" s="3" t="s">
        <v>4178</v>
      </c>
      <c r="G3406" s="3" t="s">
        <v>39</v>
      </c>
      <c r="H3406" s="3" t="s">
        <v>250</v>
      </c>
      <c r="I3406" s="2">
        <v>79</v>
      </c>
      <c r="J3406" s="2">
        <v>39</v>
      </c>
      <c r="K3406" s="2">
        <v>3</v>
      </c>
      <c r="O3406" s="2">
        <v>5</v>
      </c>
      <c r="P3406" s="2">
        <v>10</v>
      </c>
      <c r="U3406" s="2">
        <v>3</v>
      </c>
      <c r="V3406" s="2">
        <v>25</v>
      </c>
      <c r="W3406" s="2">
        <v>3</v>
      </c>
      <c r="X3406" s="2">
        <v>20</v>
      </c>
      <c r="Z3406" s="2">
        <v>38</v>
      </c>
      <c r="AA3406" s="3" t="s">
        <v>40</v>
      </c>
      <c r="AB3406" s="2">
        <v>2</v>
      </c>
      <c r="AF3406" s="2">
        <v>30.5</v>
      </c>
      <c r="AG3406" s="2">
        <v>1</v>
      </c>
      <c r="AH3406" s="3" t="s">
        <v>3480</v>
      </c>
      <c r="AI3406" s="4">
        <v>45434</v>
      </c>
      <c r="AJ3406" s="3" t="s">
        <v>3560</v>
      </c>
      <c r="AK3406" s="3" t="s">
        <v>248</v>
      </c>
    </row>
    <row r="3407" spans="1:37" hidden="1" x14ac:dyDescent="0.25">
      <c r="A3407" t="str">
        <f t="shared" si="53"/>
        <v>2024_Vic_Kalkee_Chickpea_DetailedTOS1VarietyStrikerWaterTrtRainFed</v>
      </c>
      <c r="B3407" s="2">
        <v>2024038</v>
      </c>
      <c r="C3407" s="3" t="s">
        <v>3479</v>
      </c>
      <c r="D3407" s="3" t="s">
        <v>248</v>
      </c>
      <c r="F3407" s="3" t="s">
        <v>4179</v>
      </c>
      <c r="G3407" s="3" t="s">
        <v>43</v>
      </c>
      <c r="H3407" s="3" t="s">
        <v>250</v>
      </c>
      <c r="I3407" s="2">
        <v>80</v>
      </c>
      <c r="J3407" s="2">
        <v>40</v>
      </c>
      <c r="K3407" s="2">
        <v>3</v>
      </c>
      <c r="O3407" s="2">
        <v>5</v>
      </c>
      <c r="P3407" s="2">
        <v>10</v>
      </c>
      <c r="U3407" s="2">
        <v>4</v>
      </c>
      <c r="V3407" s="2">
        <v>25</v>
      </c>
      <c r="W3407" s="2">
        <v>4</v>
      </c>
      <c r="X3407" s="2">
        <v>20</v>
      </c>
      <c r="Z3407" s="2">
        <v>37</v>
      </c>
      <c r="AA3407" s="3" t="s">
        <v>40</v>
      </c>
      <c r="AB3407" s="2">
        <v>4</v>
      </c>
      <c r="AF3407" s="2">
        <v>30.5</v>
      </c>
      <c r="AG3407" s="2">
        <v>1</v>
      </c>
      <c r="AH3407" s="3" t="s">
        <v>3480</v>
      </c>
      <c r="AI3407" s="4">
        <v>45434</v>
      </c>
      <c r="AJ3407" s="3" t="s">
        <v>3561</v>
      </c>
      <c r="AK3407" s="3" t="s">
        <v>248</v>
      </c>
    </row>
    <row r="3408" spans="1:37" hidden="1" x14ac:dyDescent="0.25">
      <c r="A3408" t="str">
        <f t="shared" si="53"/>
        <v>2024_Vic_Kalkee_Chickpea_DetailedTOS2VarietyDrummondWaterTrtRainFed</v>
      </c>
      <c r="B3408" s="2">
        <v>2024038</v>
      </c>
      <c r="C3408" s="3" t="s">
        <v>3479</v>
      </c>
      <c r="D3408" s="3" t="s">
        <v>248</v>
      </c>
      <c r="F3408" s="3" t="s">
        <v>4182</v>
      </c>
      <c r="G3408" s="3" t="s">
        <v>39</v>
      </c>
      <c r="H3408" s="3" t="s">
        <v>253</v>
      </c>
      <c r="I3408" s="2">
        <v>81</v>
      </c>
      <c r="J3408" s="2">
        <v>41</v>
      </c>
      <c r="K3408" s="2">
        <v>3</v>
      </c>
      <c r="O3408" s="2">
        <v>6</v>
      </c>
      <c r="P3408" s="2">
        <v>11</v>
      </c>
      <c r="U3408" s="2">
        <v>1</v>
      </c>
      <c r="V3408" s="2">
        <v>27</v>
      </c>
      <c r="W3408" s="2">
        <v>1</v>
      </c>
      <c r="X3408" s="2">
        <v>21</v>
      </c>
      <c r="AA3408" s="3" t="s">
        <v>40</v>
      </c>
      <c r="AB3408" s="2">
        <v>1</v>
      </c>
      <c r="AF3408" s="2">
        <v>30.5</v>
      </c>
      <c r="AG3408" s="2">
        <v>2</v>
      </c>
      <c r="AH3408" s="3" t="s">
        <v>3497</v>
      </c>
      <c r="AI3408" s="4">
        <v>45477</v>
      </c>
      <c r="AJ3408" s="3" t="s">
        <v>3562</v>
      </c>
      <c r="AK3408" s="3" t="s">
        <v>248</v>
      </c>
    </row>
    <row r="3409" spans="1:37" hidden="1" x14ac:dyDescent="0.25">
      <c r="A3409" t="str">
        <f t="shared" si="53"/>
        <v>2024_Vic_Kalkee_Chickpea_DetailedTOS2VarietyCBA_CaptainWaterTrtRainFed</v>
      </c>
      <c r="B3409" s="2">
        <v>2024038</v>
      </c>
      <c r="C3409" s="3" t="s">
        <v>3479</v>
      </c>
      <c r="D3409" s="3" t="s">
        <v>248</v>
      </c>
      <c r="F3409" s="3" t="s">
        <v>249</v>
      </c>
      <c r="G3409" s="3" t="s">
        <v>43</v>
      </c>
      <c r="H3409" s="3" t="s">
        <v>253</v>
      </c>
      <c r="I3409" s="2">
        <v>82</v>
      </c>
      <c r="J3409" s="2">
        <v>42</v>
      </c>
      <c r="K3409" s="2">
        <v>3</v>
      </c>
      <c r="O3409" s="2">
        <v>6</v>
      </c>
      <c r="P3409" s="2">
        <v>11</v>
      </c>
      <c r="U3409" s="2">
        <v>2</v>
      </c>
      <c r="V3409" s="2">
        <v>27</v>
      </c>
      <c r="W3409" s="2">
        <v>2</v>
      </c>
      <c r="X3409" s="2">
        <v>21</v>
      </c>
      <c r="AA3409" s="3" t="s">
        <v>40</v>
      </c>
      <c r="AB3409" s="2">
        <v>3</v>
      </c>
      <c r="AF3409" s="2">
        <v>30.5</v>
      </c>
      <c r="AG3409" s="2">
        <v>2</v>
      </c>
      <c r="AH3409" s="3" t="s">
        <v>3497</v>
      </c>
      <c r="AI3409" s="4">
        <v>45477</v>
      </c>
      <c r="AJ3409" s="3" t="s">
        <v>3563</v>
      </c>
      <c r="AK3409" s="3" t="s">
        <v>248</v>
      </c>
    </row>
    <row r="3410" spans="1:37" hidden="1" x14ac:dyDescent="0.25">
      <c r="A3410" t="str">
        <f t="shared" si="53"/>
        <v>2024_Vic_Kalkee_Chickpea_DetailedTOS2VarietyHatTrickWaterTrtIrrigated</v>
      </c>
      <c r="B3410" s="2">
        <v>2024038</v>
      </c>
      <c r="C3410" s="3" t="s">
        <v>3479</v>
      </c>
      <c r="D3410" s="3" t="s">
        <v>248</v>
      </c>
      <c r="F3410" s="3" t="s">
        <v>4178</v>
      </c>
      <c r="G3410" s="3" t="s">
        <v>39</v>
      </c>
      <c r="H3410" s="3" t="s">
        <v>253</v>
      </c>
      <c r="I3410" s="2">
        <v>83</v>
      </c>
      <c r="J3410" s="2">
        <v>43</v>
      </c>
      <c r="K3410" s="2">
        <v>3</v>
      </c>
      <c r="O3410" s="2">
        <v>6</v>
      </c>
      <c r="P3410" s="2">
        <v>12</v>
      </c>
      <c r="U3410" s="2">
        <v>3</v>
      </c>
      <c r="V3410" s="2">
        <v>27</v>
      </c>
      <c r="W3410" s="2">
        <v>3</v>
      </c>
      <c r="X3410" s="2">
        <v>21</v>
      </c>
      <c r="AA3410" s="3" t="s">
        <v>57</v>
      </c>
      <c r="AB3410" s="2">
        <v>2</v>
      </c>
      <c r="AF3410" s="2">
        <v>30.5</v>
      </c>
      <c r="AG3410" s="2">
        <v>2</v>
      </c>
      <c r="AH3410" s="3" t="s">
        <v>3497</v>
      </c>
      <c r="AI3410" s="4">
        <v>45477</v>
      </c>
      <c r="AJ3410" s="3" t="s">
        <v>3564</v>
      </c>
      <c r="AK3410" s="3" t="s">
        <v>248</v>
      </c>
    </row>
    <row r="3411" spans="1:37" hidden="1" x14ac:dyDescent="0.25">
      <c r="A3411" t="str">
        <f t="shared" si="53"/>
        <v>2024_Vic_Kalkee_Chickpea_DetailedTOS2VarietyStrikerWaterTrtIrrigated</v>
      </c>
      <c r="B3411" s="2">
        <v>2024038</v>
      </c>
      <c r="C3411" s="3" t="s">
        <v>3479</v>
      </c>
      <c r="D3411" s="3" t="s">
        <v>248</v>
      </c>
      <c r="F3411" s="3" t="s">
        <v>4179</v>
      </c>
      <c r="G3411" s="3" t="s">
        <v>43</v>
      </c>
      <c r="H3411" s="3" t="s">
        <v>253</v>
      </c>
      <c r="I3411" s="2">
        <v>84</v>
      </c>
      <c r="J3411" s="2">
        <v>44</v>
      </c>
      <c r="K3411" s="2">
        <v>3</v>
      </c>
      <c r="O3411" s="2">
        <v>6</v>
      </c>
      <c r="P3411" s="2">
        <v>12</v>
      </c>
      <c r="U3411" s="2">
        <v>4</v>
      </c>
      <c r="V3411" s="2">
        <v>27</v>
      </c>
      <c r="W3411" s="2">
        <v>4</v>
      </c>
      <c r="X3411" s="2">
        <v>21</v>
      </c>
      <c r="AA3411" s="3" t="s">
        <v>57</v>
      </c>
      <c r="AB3411" s="2">
        <v>4</v>
      </c>
      <c r="AF3411" s="2">
        <v>30.5</v>
      </c>
      <c r="AG3411" s="2">
        <v>2</v>
      </c>
      <c r="AH3411" s="3" t="s">
        <v>3497</v>
      </c>
      <c r="AI3411" s="4">
        <v>45477</v>
      </c>
      <c r="AJ3411" s="3" t="s">
        <v>3565</v>
      </c>
      <c r="AK3411" s="3" t="s">
        <v>248</v>
      </c>
    </row>
    <row r="3412" spans="1:37" hidden="1" x14ac:dyDescent="0.25">
      <c r="A3412" t="str">
        <f t="shared" si="53"/>
        <v>2024_Vic_Kalkee_Chickpea_DetailedTOS2VarietyDrummondWaterTrtRainFed</v>
      </c>
      <c r="B3412" s="2">
        <v>2024038</v>
      </c>
      <c r="C3412" s="3" t="s">
        <v>3479</v>
      </c>
      <c r="D3412" s="3" t="s">
        <v>248</v>
      </c>
      <c r="F3412" s="3" t="s">
        <v>4182</v>
      </c>
      <c r="G3412" s="3" t="s">
        <v>39</v>
      </c>
      <c r="H3412" s="3" t="s">
        <v>250</v>
      </c>
      <c r="I3412" s="2">
        <v>85</v>
      </c>
      <c r="J3412" s="2">
        <v>41</v>
      </c>
      <c r="K3412" s="2">
        <v>3</v>
      </c>
      <c r="O3412" s="2">
        <v>6</v>
      </c>
      <c r="P3412" s="2">
        <v>11</v>
      </c>
      <c r="U3412" s="2">
        <v>1</v>
      </c>
      <c r="V3412" s="2">
        <v>28</v>
      </c>
      <c r="W3412" s="2">
        <v>1</v>
      </c>
      <c r="X3412" s="2">
        <v>22</v>
      </c>
      <c r="Z3412" s="2">
        <v>41</v>
      </c>
      <c r="AA3412" s="3" t="s">
        <v>40</v>
      </c>
      <c r="AB3412" s="2">
        <v>1</v>
      </c>
      <c r="AF3412" s="2">
        <v>30.5</v>
      </c>
      <c r="AG3412" s="2">
        <v>2</v>
      </c>
      <c r="AH3412" s="3" t="s">
        <v>3497</v>
      </c>
      <c r="AI3412" s="4">
        <v>45477</v>
      </c>
      <c r="AJ3412" s="3" t="s">
        <v>3566</v>
      </c>
      <c r="AK3412" s="3" t="s">
        <v>248</v>
      </c>
    </row>
    <row r="3413" spans="1:37" hidden="1" x14ac:dyDescent="0.25">
      <c r="A3413" t="str">
        <f t="shared" si="53"/>
        <v>2024_Vic_Kalkee_Chickpea_DetailedTOS2VarietyCBA_CaptainWaterTrtRainFed</v>
      </c>
      <c r="B3413" s="2">
        <v>2024038</v>
      </c>
      <c r="C3413" s="3" t="s">
        <v>3479</v>
      </c>
      <c r="D3413" s="3" t="s">
        <v>248</v>
      </c>
      <c r="F3413" s="3" t="s">
        <v>249</v>
      </c>
      <c r="G3413" s="3" t="s">
        <v>43</v>
      </c>
      <c r="H3413" s="3" t="s">
        <v>250</v>
      </c>
      <c r="I3413" s="2">
        <v>86</v>
      </c>
      <c r="J3413" s="2">
        <v>42</v>
      </c>
      <c r="K3413" s="2">
        <v>3</v>
      </c>
      <c r="O3413" s="2">
        <v>6</v>
      </c>
      <c r="P3413" s="2">
        <v>11</v>
      </c>
      <c r="U3413" s="2">
        <v>2</v>
      </c>
      <c r="V3413" s="2">
        <v>28</v>
      </c>
      <c r="W3413" s="2">
        <v>2</v>
      </c>
      <c r="X3413" s="2">
        <v>22</v>
      </c>
      <c r="Z3413" s="2">
        <v>42</v>
      </c>
      <c r="AA3413" s="3" t="s">
        <v>40</v>
      </c>
      <c r="AB3413" s="2">
        <v>3</v>
      </c>
      <c r="AF3413" s="2">
        <v>30.5</v>
      </c>
      <c r="AG3413" s="2">
        <v>2</v>
      </c>
      <c r="AH3413" s="3" t="s">
        <v>3497</v>
      </c>
      <c r="AI3413" s="4">
        <v>45477</v>
      </c>
      <c r="AJ3413" s="3" t="s">
        <v>3567</v>
      </c>
      <c r="AK3413" s="3" t="s">
        <v>248</v>
      </c>
    </row>
    <row r="3414" spans="1:37" hidden="1" x14ac:dyDescent="0.25">
      <c r="A3414" t="str">
        <f t="shared" si="53"/>
        <v>2024_Vic_Kalkee_Chickpea_DetailedTOS2VarietyHatTrickWaterTrtIrrigated</v>
      </c>
      <c r="B3414" s="2">
        <v>2024038</v>
      </c>
      <c r="C3414" s="3" t="s">
        <v>3479</v>
      </c>
      <c r="D3414" s="3" t="s">
        <v>248</v>
      </c>
      <c r="F3414" s="3" t="s">
        <v>4178</v>
      </c>
      <c r="G3414" s="3" t="s">
        <v>39</v>
      </c>
      <c r="H3414" s="3" t="s">
        <v>250</v>
      </c>
      <c r="I3414" s="2">
        <v>87</v>
      </c>
      <c r="J3414" s="2">
        <v>43</v>
      </c>
      <c r="K3414" s="2">
        <v>3</v>
      </c>
      <c r="O3414" s="2">
        <v>6</v>
      </c>
      <c r="P3414" s="2">
        <v>12</v>
      </c>
      <c r="U3414" s="2">
        <v>3</v>
      </c>
      <c r="V3414" s="2">
        <v>28</v>
      </c>
      <c r="W3414" s="2">
        <v>3</v>
      </c>
      <c r="X3414" s="2">
        <v>22</v>
      </c>
      <c r="Z3414" s="2">
        <v>43</v>
      </c>
      <c r="AA3414" s="3" t="s">
        <v>57</v>
      </c>
      <c r="AB3414" s="2">
        <v>2</v>
      </c>
      <c r="AF3414" s="2">
        <v>30.5</v>
      </c>
      <c r="AG3414" s="2">
        <v>2</v>
      </c>
      <c r="AH3414" s="3" t="s">
        <v>3497</v>
      </c>
      <c r="AI3414" s="4">
        <v>45477</v>
      </c>
      <c r="AJ3414" s="3" t="s">
        <v>3568</v>
      </c>
      <c r="AK3414" s="3" t="s">
        <v>248</v>
      </c>
    </row>
    <row r="3415" spans="1:37" hidden="1" x14ac:dyDescent="0.25">
      <c r="A3415" t="str">
        <f t="shared" si="53"/>
        <v>2024_Vic_Kalkee_Chickpea_DetailedTOS2VarietyStrikerWaterTrtIrrigated</v>
      </c>
      <c r="B3415" s="2">
        <v>2024038</v>
      </c>
      <c r="C3415" s="3" t="s">
        <v>3479</v>
      </c>
      <c r="D3415" s="3" t="s">
        <v>248</v>
      </c>
      <c r="F3415" s="3" t="s">
        <v>4179</v>
      </c>
      <c r="G3415" s="3" t="s">
        <v>43</v>
      </c>
      <c r="H3415" s="3" t="s">
        <v>250</v>
      </c>
      <c r="I3415" s="2">
        <v>88</v>
      </c>
      <c r="J3415" s="2">
        <v>44</v>
      </c>
      <c r="K3415" s="2">
        <v>3</v>
      </c>
      <c r="O3415" s="2">
        <v>6</v>
      </c>
      <c r="P3415" s="2">
        <v>12</v>
      </c>
      <c r="U3415" s="2">
        <v>4</v>
      </c>
      <c r="V3415" s="2">
        <v>28</v>
      </c>
      <c r="W3415" s="2">
        <v>4</v>
      </c>
      <c r="X3415" s="2">
        <v>22</v>
      </c>
      <c r="Z3415" s="2">
        <v>44</v>
      </c>
      <c r="AA3415" s="3" t="s">
        <v>57</v>
      </c>
      <c r="AB3415" s="2">
        <v>4</v>
      </c>
      <c r="AF3415" s="2">
        <v>30.5</v>
      </c>
      <c r="AG3415" s="2">
        <v>2</v>
      </c>
      <c r="AH3415" s="3" t="s">
        <v>3497</v>
      </c>
      <c r="AI3415" s="4">
        <v>45477</v>
      </c>
      <c r="AJ3415" s="3" t="s">
        <v>3569</v>
      </c>
      <c r="AK3415" s="3" t="s">
        <v>248</v>
      </c>
    </row>
    <row r="3416" spans="1:37" hidden="1" x14ac:dyDescent="0.25">
      <c r="A3416" t="str">
        <f t="shared" si="53"/>
        <v>2024_Vic_Kalkee_Chickpea_DetailedTOS2VarietyStrikerWaterTrtRainFed</v>
      </c>
      <c r="B3416" s="2">
        <v>2024038</v>
      </c>
      <c r="C3416" s="3" t="s">
        <v>3479</v>
      </c>
      <c r="D3416" s="3" t="s">
        <v>248</v>
      </c>
      <c r="F3416" s="3" t="s">
        <v>4179</v>
      </c>
      <c r="G3416" s="3" t="s">
        <v>43</v>
      </c>
      <c r="H3416" s="3" t="s">
        <v>253</v>
      </c>
      <c r="I3416" s="2">
        <v>89</v>
      </c>
      <c r="J3416" s="2">
        <v>45</v>
      </c>
      <c r="K3416" s="2">
        <v>3</v>
      </c>
      <c r="O3416" s="2">
        <v>6</v>
      </c>
      <c r="P3416" s="2">
        <v>11</v>
      </c>
      <c r="U3416" s="2">
        <v>1</v>
      </c>
      <c r="V3416" s="2">
        <v>29</v>
      </c>
      <c r="W3416" s="2">
        <v>1</v>
      </c>
      <c r="X3416" s="2">
        <v>23</v>
      </c>
      <c r="AA3416" s="3" t="s">
        <v>40</v>
      </c>
      <c r="AB3416" s="2">
        <v>4</v>
      </c>
      <c r="AF3416" s="2">
        <v>30.5</v>
      </c>
      <c r="AG3416" s="2">
        <v>2</v>
      </c>
      <c r="AH3416" s="3" t="s">
        <v>3497</v>
      </c>
      <c r="AI3416" s="4">
        <v>45477</v>
      </c>
      <c r="AJ3416" s="3" t="s">
        <v>3570</v>
      </c>
      <c r="AK3416" s="3" t="s">
        <v>248</v>
      </c>
    </row>
    <row r="3417" spans="1:37" hidden="1" x14ac:dyDescent="0.25">
      <c r="A3417" t="str">
        <f t="shared" si="53"/>
        <v>2024_Vic_Kalkee_Chickpea_DetailedTOS2VarietyHatTrickWaterTrtRainFed</v>
      </c>
      <c r="B3417" s="2">
        <v>2024038</v>
      </c>
      <c r="C3417" s="3" t="s">
        <v>3479</v>
      </c>
      <c r="D3417" s="3" t="s">
        <v>248</v>
      </c>
      <c r="F3417" s="3" t="s">
        <v>4178</v>
      </c>
      <c r="G3417" s="3" t="s">
        <v>39</v>
      </c>
      <c r="H3417" s="3" t="s">
        <v>253</v>
      </c>
      <c r="I3417" s="2">
        <v>90</v>
      </c>
      <c r="J3417" s="2">
        <v>46</v>
      </c>
      <c r="K3417" s="2">
        <v>3</v>
      </c>
      <c r="O3417" s="2">
        <v>6</v>
      </c>
      <c r="P3417" s="2">
        <v>11</v>
      </c>
      <c r="U3417" s="2">
        <v>2</v>
      </c>
      <c r="V3417" s="2">
        <v>29</v>
      </c>
      <c r="W3417" s="2">
        <v>2</v>
      </c>
      <c r="X3417" s="2">
        <v>23</v>
      </c>
      <c r="AA3417" s="3" t="s">
        <v>40</v>
      </c>
      <c r="AB3417" s="2">
        <v>2</v>
      </c>
      <c r="AF3417" s="2">
        <v>30.5</v>
      </c>
      <c r="AG3417" s="2">
        <v>2</v>
      </c>
      <c r="AH3417" s="3" t="s">
        <v>3497</v>
      </c>
      <c r="AI3417" s="4">
        <v>45477</v>
      </c>
      <c r="AJ3417" s="3" t="s">
        <v>3571</v>
      </c>
      <c r="AK3417" s="3" t="s">
        <v>248</v>
      </c>
    </row>
    <row r="3418" spans="1:37" hidden="1" x14ac:dyDescent="0.25">
      <c r="A3418" t="str">
        <f t="shared" si="53"/>
        <v>2024_Vic_Kalkee_Chickpea_DetailedTOS2VarietyCBA_CaptainWaterTrtIrrigated</v>
      </c>
      <c r="B3418" s="2">
        <v>2024038</v>
      </c>
      <c r="C3418" s="3" t="s">
        <v>3479</v>
      </c>
      <c r="D3418" s="3" t="s">
        <v>248</v>
      </c>
      <c r="F3418" s="3" t="s">
        <v>249</v>
      </c>
      <c r="G3418" s="3" t="s">
        <v>43</v>
      </c>
      <c r="H3418" s="3" t="s">
        <v>253</v>
      </c>
      <c r="I3418" s="2">
        <v>91</v>
      </c>
      <c r="J3418" s="2">
        <v>47</v>
      </c>
      <c r="K3418" s="2">
        <v>3</v>
      </c>
      <c r="O3418" s="2">
        <v>6</v>
      </c>
      <c r="P3418" s="2">
        <v>12</v>
      </c>
      <c r="U3418" s="2">
        <v>3</v>
      </c>
      <c r="V3418" s="2">
        <v>29</v>
      </c>
      <c r="W3418" s="2">
        <v>3</v>
      </c>
      <c r="X3418" s="2">
        <v>23</v>
      </c>
      <c r="AA3418" s="3" t="s">
        <v>57</v>
      </c>
      <c r="AB3418" s="2">
        <v>3</v>
      </c>
      <c r="AF3418" s="2">
        <v>30.5</v>
      </c>
      <c r="AG3418" s="2">
        <v>2</v>
      </c>
      <c r="AH3418" s="3" t="s">
        <v>3497</v>
      </c>
      <c r="AI3418" s="4">
        <v>45477</v>
      </c>
      <c r="AJ3418" s="3" t="s">
        <v>3572</v>
      </c>
      <c r="AK3418" s="3" t="s">
        <v>248</v>
      </c>
    </row>
    <row r="3419" spans="1:37" hidden="1" x14ac:dyDescent="0.25">
      <c r="A3419" t="str">
        <f t="shared" si="53"/>
        <v>2024_Vic_Kalkee_Chickpea_DetailedTOS2VarietyDrummondWaterTrtIrrigated</v>
      </c>
      <c r="B3419" s="2">
        <v>2024038</v>
      </c>
      <c r="C3419" s="3" t="s">
        <v>3479</v>
      </c>
      <c r="D3419" s="3" t="s">
        <v>248</v>
      </c>
      <c r="F3419" s="3" t="s">
        <v>4182</v>
      </c>
      <c r="G3419" s="3" t="s">
        <v>39</v>
      </c>
      <c r="H3419" s="3" t="s">
        <v>253</v>
      </c>
      <c r="I3419" s="2">
        <v>92</v>
      </c>
      <c r="J3419" s="2">
        <v>48</v>
      </c>
      <c r="K3419" s="2">
        <v>3</v>
      </c>
      <c r="O3419" s="2">
        <v>6</v>
      </c>
      <c r="P3419" s="2">
        <v>12</v>
      </c>
      <c r="U3419" s="2">
        <v>4</v>
      </c>
      <c r="V3419" s="2">
        <v>29</v>
      </c>
      <c r="W3419" s="2">
        <v>4</v>
      </c>
      <c r="X3419" s="2">
        <v>23</v>
      </c>
      <c r="AA3419" s="3" t="s">
        <v>57</v>
      </c>
      <c r="AB3419" s="2">
        <v>1</v>
      </c>
      <c r="AF3419" s="2">
        <v>30.5</v>
      </c>
      <c r="AG3419" s="2">
        <v>2</v>
      </c>
      <c r="AH3419" s="3" t="s">
        <v>3497</v>
      </c>
      <c r="AI3419" s="4">
        <v>45477</v>
      </c>
      <c r="AJ3419" s="3" t="s">
        <v>3573</v>
      </c>
      <c r="AK3419" s="3" t="s">
        <v>248</v>
      </c>
    </row>
    <row r="3420" spans="1:37" hidden="1" x14ac:dyDescent="0.25">
      <c r="A3420" t="str">
        <f t="shared" si="53"/>
        <v>2024_Vic_Kalkee_Chickpea_DetailedTOS2VarietyStrikerWaterTrtRainFed</v>
      </c>
      <c r="B3420" s="2">
        <v>2024038</v>
      </c>
      <c r="C3420" s="3" t="s">
        <v>3479</v>
      </c>
      <c r="D3420" s="3" t="s">
        <v>248</v>
      </c>
      <c r="F3420" s="3" t="s">
        <v>4179</v>
      </c>
      <c r="G3420" s="3" t="s">
        <v>43</v>
      </c>
      <c r="H3420" s="3" t="s">
        <v>250</v>
      </c>
      <c r="I3420" s="2">
        <v>93</v>
      </c>
      <c r="J3420" s="2">
        <v>45</v>
      </c>
      <c r="K3420" s="2">
        <v>3</v>
      </c>
      <c r="O3420" s="2">
        <v>6</v>
      </c>
      <c r="P3420" s="2">
        <v>11</v>
      </c>
      <c r="U3420" s="2">
        <v>1</v>
      </c>
      <c r="V3420" s="2">
        <v>30</v>
      </c>
      <c r="W3420" s="2">
        <v>1</v>
      </c>
      <c r="X3420" s="2">
        <v>24</v>
      </c>
      <c r="Z3420" s="2">
        <v>48</v>
      </c>
      <c r="AA3420" s="3" t="s">
        <v>40</v>
      </c>
      <c r="AB3420" s="2">
        <v>4</v>
      </c>
      <c r="AF3420" s="2">
        <v>30.5</v>
      </c>
      <c r="AG3420" s="2">
        <v>2</v>
      </c>
      <c r="AH3420" s="3" t="s">
        <v>3497</v>
      </c>
      <c r="AI3420" s="4">
        <v>45477</v>
      </c>
      <c r="AJ3420" s="3" t="s">
        <v>3574</v>
      </c>
      <c r="AK3420" s="3" t="s">
        <v>248</v>
      </c>
    </row>
    <row r="3421" spans="1:37" hidden="1" x14ac:dyDescent="0.25">
      <c r="A3421" t="str">
        <f t="shared" si="53"/>
        <v>2024_Vic_Kalkee_Chickpea_DetailedTOS2VarietyHatTrickWaterTrtRainFed</v>
      </c>
      <c r="B3421" s="2">
        <v>2024038</v>
      </c>
      <c r="C3421" s="3" t="s">
        <v>3479</v>
      </c>
      <c r="D3421" s="3" t="s">
        <v>248</v>
      </c>
      <c r="F3421" s="3" t="s">
        <v>4178</v>
      </c>
      <c r="G3421" s="3" t="s">
        <v>39</v>
      </c>
      <c r="H3421" s="3" t="s">
        <v>250</v>
      </c>
      <c r="I3421" s="2">
        <v>94</v>
      </c>
      <c r="J3421" s="2">
        <v>46</v>
      </c>
      <c r="K3421" s="2">
        <v>3</v>
      </c>
      <c r="O3421" s="2">
        <v>6</v>
      </c>
      <c r="P3421" s="2">
        <v>11</v>
      </c>
      <c r="U3421" s="2">
        <v>2</v>
      </c>
      <c r="V3421" s="2">
        <v>30</v>
      </c>
      <c r="W3421" s="2">
        <v>2</v>
      </c>
      <c r="X3421" s="2">
        <v>24</v>
      </c>
      <c r="Z3421" s="2">
        <v>47</v>
      </c>
      <c r="AA3421" s="3" t="s">
        <v>40</v>
      </c>
      <c r="AB3421" s="2">
        <v>2</v>
      </c>
      <c r="AF3421" s="2">
        <v>30.5</v>
      </c>
      <c r="AG3421" s="2">
        <v>2</v>
      </c>
      <c r="AH3421" s="3" t="s">
        <v>3497</v>
      </c>
      <c r="AI3421" s="4">
        <v>45477</v>
      </c>
      <c r="AJ3421" s="3" t="s">
        <v>3575</v>
      </c>
      <c r="AK3421" s="3" t="s">
        <v>248</v>
      </c>
    </row>
    <row r="3422" spans="1:37" hidden="1" x14ac:dyDescent="0.25">
      <c r="A3422" t="str">
        <f t="shared" si="53"/>
        <v>2024_Vic_Kalkee_Chickpea_DetailedTOS2VarietyCBA_CaptainWaterTrtIrrigated</v>
      </c>
      <c r="B3422" s="2">
        <v>2024038</v>
      </c>
      <c r="C3422" s="3" t="s">
        <v>3479</v>
      </c>
      <c r="D3422" s="3" t="s">
        <v>248</v>
      </c>
      <c r="F3422" s="3" t="s">
        <v>249</v>
      </c>
      <c r="G3422" s="3" t="s">
        <v>43</v>
      </c>
      <c r="H3422" s="3" t="s">
        <v>250</v>
      </c>
      <c r="I3422" s="2">
        <v>95</v>
      </c>
      <c r="J3422" s="2">
        <v>47</v>
      </c>
      <c r="K3422" s="2">
        <v>3</v>
      </c>
      <c r="O3422" s="2">
        <v>6</v>
      </c>
      <c r="P3422" s="2">
        <v>12</v>
      </c>
      <c r="U3422" s="2">
        <v>3</v>
      </c>
      <c r="V3422" s="2">
        <v>30</v>
      </c>
      <c r="W3422" s="2">
        <v>3</v>
      </c>
      <c r="X3422" s="2">
        <v>24</v>
      </c>
      <c r="Z3422" s="2">
        <v>46</v>
      </c>
      <c r="AA3422" s="3" t="s">
        <v>57</v>
      </c>
      <c r="AB3422" s="2">
        <v>3</v>
      </c>
      <c r="AF3422" s="2">
        <v>30.5</v>
      </c>
      <c r="AG3422" s="2">
        <v>2</v>
      </c>
      <c r="AH3422" s="3" t="s">
        <v>3497</v>
      </c>
      <c r="AI3422" s="4">
        <v>45477</v>
      </c>
      <c r="AJ3422" s="3" t="s">
        <v>3576</v>
      </c>
      <c r="AK3422" s="3" t="s">
        <v>248</v>
      </c>
    </row>
    <row r="3423" spans="1:37" hidden="1" x14ac:dyDescent="0.25">
      <c r="A3423" t="str">
        <f t="shared" si="53"/>
        <v>2024_Vic_Kalkee_Chickpea_DetailedTOS2VarietyDrummondWaterTrtIrrigated</v>
      </c>
      <c r="B3423" s="2">
        <v>2024038</v>
      </c>
      <c r="C3423" s="3" t="s">
        <v>3479</v>
      </c>
      <c r="D3423" s="3" t="s">
        <v>248</v>
      </c>
      <c r="F3423" s="3" t="s">
        <v>4182</v>
      </c>
      <c r="G3423" s="3" t="s">
        <v>39</v>
      </c>
      <c r="H3423" s="3" t="s">
        <v>250</v>
      </c>
      <c r="I3423" s="2">
        <v>96</v>
      </c>
      <c r="J3423" s="2">
        <v>48</v>
      </c>
      <c r="K3423" s="2">
        <v>3</v>
      </c>
      <c r="O3423" s="2">
        <v>6</v>
      </c>
      <c r="P3423" s="2">
        <v>12</v>
      </c>
      <c r="U3423" s="2">
        <v>4</v>
      </c>
      <c r="V3423" s="2">
        <v>30</v>
      </c>
      <c r="W3423" s="2">
        <v>4</v>
      </c>
      <c r="X3423" s="2">
        <v>24</v>
      </c>
      <c r="Z3423" s="2">
        <v>45</v>
      </c>
      <c r="AA3423" s="3" t="s">
        <v>57</v>
      </c>
      <c r="AB3423" s="2">
        <v>1</v>
      </c>
      <c r="AF3423" s="2">
        <v>30.5</v>
      </c>
      <c r="AG3423" s="2">
        <v>2</v>
      </c>
      <c r="AH3423" s="3" t="s">
        <v>3497</v>
      </c>
      <c r="AI3423" s="4">
        <v>45477</v>
      </c>
      <c r="AJ3423" s="3" t="s">
        <v>3577</v>
      </c>
      <c r="AK3423" s="3" t="s">
        <v>248</v>
      </c>
    </row>
    <row r="3424" spans="1:37" hidden="1" x14ac:dyDescent="0.25">
      <c r="A3424" t="str">
        <f t="shared" si="53"/>
        <v>2024_Vic_Kalkee_Chickpea_DetailedTOS2VarietyCBA_CaptainWaterTrtRainFed</v>
      </c>
      <c r="B3424" s="2">
        <v>2024038</v>
      </c>
      <c r="C3424" s="3" t="s">
        <v>3479</v>
      </c>
      <c r="D3424" s="3" t="s">
        <v>248</v>
      </c>
      <c r="F3424" s="3" t="s">
        <v>249</v>
      </c>
      <c r="G3424" s="3" t="s">
        <v>43</v>
      </c>
      <c r="H3424" s="3" t="s">
        <v>253</v>
      </c>
      <c r="I3424" s="2">
        <v>97</v>
      </c>
      <c r="J3424" s="2">
        <v>49</v>
      </c>
      <c r="K3424" s="2">
        <v>4</v>
      </c>
      <c r="O3424" s="2">
        <v>7</v>
      </c>
      <c r="P3424" s="2">
        <v>13</v>
      </c>
      <c r="U3424" s="2">
        <v>1</v>
      </c>
      <c r="V3424" s="2">
        <v>32</v>
      </c>
      <c r="W3424" s="2">
        <v>1</v>
      </c>
      <c r="X3424" s="2">
        <v>25</v>
      </c>
      <c r="AA3424" s="3" t="s">
        <v>40</v>
      </c>
      <c r="AB3424" s="2">
        <v>3</v>
      </c>
      <c r="AF3424" s="2">
        <v>30.5</v>
      </c>
      <c r="AG3424" s="2">
        <v>2</v>
      </c>
      <c r="AH3424" s="3" t="s">
        <v>3497</v>
      </c>
      <c r="AI3424" s="4">
        <v>45477</v>
      </c>
      <c r="AJ3424" s="3" t="s">
        <v>3578</v>
      </c>
      <c r="AK3424" s="3" t="s">
        <v>248</v>
      </c>
    </row>
    <row r="3425" spans="1:37" hidden="1" x14ac:dyDescent="0.25">
      <c r="A3425" t="str">
        <f t="shared" si="53"/>
        <v>2024_Vic_Kalkee_Chickpea_DetailedTOS2VarietyDrummondWaterTrtRainFed</v>
      </c>
      <c r="B3425" s="2">
        <v>2024038</v>
      </c>
      <c r="C3425" s="3" t="s">
        <v>3479</v>
      </c>
      <c r="D3425" s="3" t="s">
        <v>248</v>
      </c>
      <c r="F3425" s="3" t="s">
        <v>4182</v>
      </c>
      <c r="G3425" s="3" t="s">
        <v>39</v>
      </c>
      <c r="H3425" s="3" t="s">
        <v>253</v>
      </c>
      <c r="I3425" s="2">
        <v>98</v>
      </c>
      <c r="J3425" s="2">
        <v>50</v>
      </c>
      <c r="K3425" s="2">
        <v>4</v>
      </c>
      <c r="O3425" s="2">
        <v>7</v>
      </c>
      <c r="P3425" s="2">
        <v>13</v>
      </c>
      <c r="U3425" s="2">
        <v>2</v>
      </c>
      <c r="V3425" s="2">
        <v>32</v>
      </c>
      <c r="W3425" s="2">
        <v>2</v>
      </c>
      <c r="X3425" s="2">
        <v>25</v>
      </c>
      <c r="AA3425" s="3" t="s">
        <v>40</v>
      </c>
      <c r="AB3425" s="2">
        <v>1</v>
      </c>
      <c r="AF3425" s="2">
        <v>30.5</v>
      </c>
      <c r="AG3425" s="2">
        <v>2</v>
      </c>
      <c r="AH3425" s="3" t="s">
        <v>3497</v>
      </c>
      <c r="AI3425" s="4">
        <v>45477</v>
      </c>
      <c r="AJ3425" s="3" t="s">
        <v>3579</v>
      </c>
      <c r="AK3425" s="3" t="s">
        <v>248</v>
      </c>
    </row>
    <row r="3426" spans="1:37" hidden="1" x14ac:dyDescent="0.25">
      <c r="A3426" t="str">
        <f t="shared" si="53"/>
        <v>2024_Vic_Kalkee_Chickpea_DetailedTOS2VarietyStrikerWaterTrtIrrigated</v>
      </c>
      <c r="B3426" s="2">
        <v>2024038</v>
      </c>
      <c r="C3426" s="3" t="s">
        <v>3479</v>
      </c>
      <c r="D3426" s="3" t="s">
        <v>248</v>
      </c>
      <c r="F3426" s="3" t="s">
        <v>4179</v>
      </c>
      <c r="G3426" s="3" t="s">
        <v>43</v>
      </c>
      <c r="H3426" s="3" t="s">
        <v>253</v>
      </c>
      <c r="I3426" s="2">
        <v>99</v>
      </c>
      <c r="J3426" s="2">
        <v>51</v>
      </c>
      <c r="K3426" s="2">
        <v>4</v>
      </c>
      <c r="O3426" s="2">
        <v>7</v>
      </c>
      <c r="P3426" s="2">
        <v>14</v>
      </c>
      <c r="U3426" s="2">
        <v>3</v>
      </c>
      <c r="V3426" s="2">
        <v>32</v>
      </c>
      <c r="W3426" s="2">
        <v>3</v>
      </c>
      <c r="X3426" s="2">
        <v>25</v>
      </c>
      <c r="AA3426" s="3" t="s">
        <v>57</v>
      </c>
      <c r="AB3426" s="2">
        <v>4</v>
      </c>
      <c r="AF3426" s="2">
        <v>30.5</v>
      </c>
      <c r="AG3426" s="2">
        <v>2</v>
      </c>
      <c r="AH3426" s="3" t="s">
        <v>3497</v>
      </c>
      <c r="AI3426" s="4">
        <v>45477</v>
      </c>
      <c r="AJ3426" s="3" t="s">
        <v>3580</v>
      </c>
      <c r="AK3426" s="3" t="s">
        <v>248</v>
      </c>
    </row>
    <row r="3427" spans="1:37" hidden="1" x14ac:dyDescent="0.25">
      <c r="A3427" t="str">
        <f t="shared" si="53"/>
        <v>2024_Vic_Kalkee_Chickpea_DetailedTOS2VarietyHatTrickWaterTrtIrrigated</v>
      </c>
      <c r="B3427" s="2">
        <v>2024038</v>
      </c>
      <c r="C3427" s="3" t="s">
        <v>3479</v>
      </c>
      <c r="D3427" s="3" t="s">
        <v>248</v>
      </c>
      <c r="F3427" s="3" t="s">
        <v>4178</v>
      </c>
      <c r="G3427" s="3" t="s">
        <v>39</v>
      </c>
      <c r="H3427" s="3" t="s">
        <v>253</v>
      </c>
      <c r="I3427" s="2">
        <v>100</v>
      </c>
      <c r="J3427" s="2">
        <v>52</v>
      </c>
      <c r="K3427" s="2">
        <v>4</v>
      </c>
      <c r="O3427" s="2">
        <v>7</v>
      </c>
      <c r="P3427" s="2">
        <v>14</v>
      </c>
      <c r="U3427" s="2">
        <v>4</v>
      </c>
      <c r="V3427" s="2">
        <v>32</v>
      </c>
      <c r="W3427" s="2">
        <v>4</v>
      </c>
      <c r="X3427" s="2">
        <v>25</v>
      </c>
      <c r="AA3427" s="3" t="s">
        <v>57</v>
      </c>
      <c r="AB3427" s="2">
        <v>2</v>
      </c>
      <c r="AF3427" s="2">
        <v>30.5</v>
      </c>
      <c r="AG3427" s="2">
        <v>2</v>
      </c>
      <c r="AH3427" s="3" t="s">
        <v>3497</v>
      </c>
      <c r="AI3427" s="4">
        <v>45477</v>
      </c>
      <c r="AJ3427" s="3" t="s">
        <v>3581</v>
      </c>
      <c r="AK3427" s="3" t="s">
        <v>248</v>
      </c>
    </row>
    <row r="3428" spans="1:37" hidden="1" x14ac:dyDescent="0.25">
      <c r="A3428" t="str">
        <f t="shared" si="53"/>
        <v>2024_Vic_Kalkee_Chickpea_DetailedTOS2VarietyCBA_CaptainWaterTrtRainFed</v>
      </c>
      <c r="B3428" s="2">
        <v>2024038</v>
      </c>
      <c r="C3428" s="3" t="s">
        <v>3479</v>
      </c>
      <c r="D3428" s="3" t="s">
        <v>248</v>
      </c>
      <c r="F3428" s="3" t="s">
        <v>249</v>
      </c>
      <c r="G3428" s="3" t="s">
        <v>43</v>
      </c>
      <c r="H3428" s="3" t="s">
        <v>250</v>
      </c>
      <c r="I3428" s="2">
        <v>101</v>
      </c>
      <c r="J3428" s="2">
        <v>49</v>
      </c>
      <c r="K3428" s="2">
        <v>4</v>
      </c>
      <c r="O3428" s="2">
        <v>7</v>
      </c>
      <c r="P3428" s="2">
        <v>13</v>
      </c>
      <c r="U3428" s="2">
        <v>1</v>
      </c>
      <c r="V3428" s="2">
        <v>33</v>
      </c>
      <c r="W3428" s="2">
        <v>1</v>
      </c>
      <c r="X3428" s="2">
        <v>26</v>
      </c>
      <c r="Z3428" s="2">
        <v>49</v>
      </c>
      <c r="AA3428" s="3" t="s">
        <v>40</v>
      </c>
      <c r="AB3428" s="2">
        <v>3</v>
      </c>
      <c r="AF3428" s="2">
        <v>30.5</v>
      </c>
      <c r="AG3428" s="2">
        <v>2</v>
      </c>
      <c r="AH3428" s="3" t="s">
        <v>3497</v>
      </c>
      <c r="AI3428" s="4">
        <v>45477</v>
      </c>
      <c r="AJ3428" s="3" t="s">
        <v>3582</v>
      </c>
      <c r="AK3428" s="3" t="s">
        <v>248</v>
      </c>
    </row>
    <row r="3429" spans="1:37" hidden="1" x14ac:dyDescent="0.25">
      <c r="A3429" t="str">
        <f t="shared" si="53"/>
        <v>2024_Vic_Kalkee_Chickpea_DetailedTOS2VarietyDrummondWaterTrtRainFed</v>
      </c>
      <c r="B3429" s="2">
        <v>2024038</v>
      </c>
      <c r="C3429" s="3" t="s">
        <v>3479</v>
      </c>
      <c r="D3429" s="3" t="s">
        <v>248</v>
      </c>
      <c r="F3429" s="3" t="s">
        <v>4182</v>
      </c>
      <c r="G3429" s="3" t="s">
        <v>39</v>
      </c>
      <c r="H3429" s="3" t="s">
        <v>250</v>
      </c>
      <c r="I3429" s="2">
        <v>102</v>
      </c>
      <c r="J3429" s="2">
        <v>50</v>
      </c>
      <c r="K3429" s="2">
        <v>4</v>
      </c>
      <c r="O3429" s="2">
        <v>7</v>
      </c>
      <c r="P3429" s="2">
        <v>13</v>
      </c>
      <c r="U3429" s="2">
        <v>2</v>
      </c>
      <c r="V3429" s="2">
        <v>33</v>
      </c>
      <c r="W3429" s="2">
        <v>2</v>
      </c>
      <c r="X3429" s="2">
        <v>26</v>
      </c>
      <c r="Z3429" s="2">
        <v>50</v>
      </c>
      <c r="AA3429" s="3" t="s">
        <v>40</v>
      </c>
      <c r="AB3429" s="2">
        <v>1</v>
      </c>
      <c r="AF3429" s="2">
        <v>30.5</v>
      </c>
      <c r="AG3429" s="2">
        <v>2</v>
      </c>
      <c r="AH3429" s="3" t="s">
        <v>3497</v>
      </c>
      <c r="AI3429" s="4">
        <v>45477</v>
      </c>
      <c r="AJ3429" s="3" t="s">
        <v>3583</v>
      </c>
      <c r="AK3429" s="3" t="s">
        <v>248</v>
      </c>
    </row>
    <row r="3430" spans="1:37" hidden="1" x14ac:dyDescent="0.25">
      <c r="A3430" t="str">
        <f t="shared" si="53"/>
        <v>2024_Vic_Kalkee_Chickpea_DetailedTOS2VarietyStrikerWaterTrtIrrigated</v>
      </c>
      <c r="B3430" s="2">
        <v>2024038</v>
      </c>
      <c r="C3430" s="3" t="s">
        <v>3479</v>
      </c>
      <c r="D3430" s="3" t="s">
        <v>248</v>
      </c>
      <c r="F3430" s="3" t="s">
        <v>4179</v>
      </c>
      <c r="G3430" s="3" t="s">
        <v>43</v>
      </c>
      <c r="H3430" s="3" t="s">
        <v>250</v>
      </c>
      <c r="I3430" s="2">
        <v>103</v>
      </c>
      <c r="J3430" s="2">
        <v>51</v>
      </c>
      <c r="K3430" s="2">
        <v>4</v>
      </c>
      <c r="O3430" s="2">
        <v>7</v>
      </c>
      <c r="P3430" s="2">
        <v>14</v>
      </c>
      <c r="U3430" s="2">
        <v>3</v>
      </c>
      <c r="V3430" s="2">
        <v>33</v>
      </c>
      <c r="W3430" s="2">
        <v>3</v>
      </c>
      <c r="X3430" s="2">
        <v>26</v>
      </c>
      <c r="Z3430" s="2">
        <v>51</v>
      </c>
      <c r="AA3430" s="3" t="s">
        <v>57</v>
      </c>
      <c r="AB3430" s="2">
        <v>4</v>
      </c>
      <c r="AF3430" s="2">
        <v>30.5</v>
      </c>
      <c r="AG3430" s="2">
        <v>2</v>
      </c>
      <c r="AH3430" s="3" t="s">
        <v>3497</v>
      </c>
      <c r="AI3430" s="4">
        <v>45477</v>
      </c>
      <c r="AJ3430" s="3" t="s">
        <v>3584</v>
      </c>
      <c r="AK3430" s="3" t="s">
        <v>248</v>
      </c>
    </row>
    <row r="3431" spans="1:37" hidden="1" x14ac:dyDescent="0.25">
      <c r="A3431" t="str">
        <f t="shared" si="53"/>
        <v>2024_Vic_Kalkee_Chickpea_DetailedTOS2VarietyHatTrickWaterTrtIrrigated</v>
      </c>
      <c r="B3431" s="2">
        <v>2024038</v>
      </c>
      <c r="C3431" s="3" t="s">
        <v>3479</v>
      </c>
      <c r="D3431" s="3" t="s">
        <v>248</v>
      </c>
      <c r="F3431" s="3" t="s">
        <v>4178</v>
      </c>
      <c r="G3431" s="3" t="s">
        <v>39</v>
      </c>
      <c r="H3431" s="3" t="s">
        <v>250</v>
      </c>
      <c r="I3431" s="2">
        <v>104</v>
      </c>
      <c r="J3431" s="2">
        <v>52</v>
      </c>
      <c r="K3431" s="2">
        <v>4</v>
      </c>
      <c r="O3431" s="2">
        <v>7</v>
      </c>
      <c r="P3431" s="2">
        <v>14</v>
      </c>
      <c r="U3431" s="2">
        <v>4</v>
      </c>
      <c r="V3431" s="2">
        <v>33</v>
      </c>
      <c r="W3431" s="2">
        <v>4</v>
      </c>
      <c r="X3431" s="2">
        <v>26</v>
      </c>
      <c r="Z3431" s="2">
        <v>52</v>
      </c>
      <c r="AA3431" s="3" t="s">
        <v>57</v>
      </c>
      <c r="AB3431" s="2">
        <v>2</v>
      </c>
      <c r="AF3431" s="2">
        <v>30.5</v>
      </c>
      <c r="AG3431" s="2">
        <v>2</v>
      </c>
      <c r="AH3431" s="3" t="s">
        <v>3497</v>
      </c>
      <c r="AI3431" s="4">
        <v>45477</v>
      </c>
      <c r="AJ3431" s="3" t="s">
        <v>3585</v>
      </c>
      <c r="AK3431" s="3" t="s">
        <v>248</v>
      </c>
    </row>
    <row r="3432" spans="1:37" hidden="1" x14ac:dyDescent="0.25">
      <c r="A3432" t="str">
        <f t="shared" si="53"/>
        <v>2024_Vic_Kalkee_Chickpea_DetailedTOS2VarietyStrikerWaterTrtRainFed</v>
      </c>
      <c r="B3432" s="2">
        <v>2024038</v>
      </c>
      <c r="C3432" s="3" t="s">
        <v>3479</v>
      </c>
      <c r="D3432" s="3" t="s">
        <v>248</v>
      </c>
      <c r="F3432" s="3" t="s">
        <v>4179</v>
      </c>
      <c r="G3432" s="3" t="s">
        <v>43</v>
      </c>
      <c r="H3432" s="3" t="s">
        <v>253</v>
      </c>
      <c r="I3432" s="2">
        <v>105</v>
      </c>
      <c r="J3432" s="2">
        <v>53</v>
      </c>
      <c r="K3432" s="2">
        <v>4</v>
      </c>
      <c r="O3432" s="2">
        <v>7</v>
      </c>
      <c r="P3432" s="2">
        <v>13</v>
      </c>
      <c r="U3432" s="2">
        <v>1</v>
      </c>
      <c r="V3432" s="2">
        <v>34</v>
      </c>
      <c r="W3432" s="2">
        <v>1</v>
      </c>
      <c r="X3432" s="2">
        <v>27</v>
      </c>
      <c r="AA3432" s="3" t="s">
        <v>40</v>
      </c>
      <c r="AB3432" s="2">
        <v>4</v>
      </c>
      <c r="AF3432" s="2">
        <v>30.5</v>
      </c>
      <c r="AG3432" s="2">
        <v>2</v>
      </c>
      <c r="AH3432" s="3" t="s">
        <v>3497</v>
      </c>
      <c r="AI3432" s="4">
        <v>45477</v>
      </c>
      <c r="AJ3432" s="3" t="s">
        <v>3586</v>
      </c>
      <c r="AK3432" s="3" t="s">
        <v>248</v>
      </c>
    </row>
    <row r="3433" spans="1:37" hidden="1" x14ac:dyDescent="0.25">
      <c r="A3433" t="str">
        <f t="shared" si="53"/>
        <v>2024_Vic_Kalkee_Chickpea_DetailedTOS2VarietyHatTrickWaterTrtRainFed</v>
      </c>
      <c r="B3433" s="2">
        <v>2024038</v>
      </c>
      <c r="C3433" s="3" t="s">
        <v>3479</v>
      </c>
      <c r="D3433" s="3" t="s">
        <v>248</v>
      </c>
      <c r="F3433" s="3" t="s">
        <v>4178</v>
      </c>
      <c r="G3433" s="3" t="s">
        <v>39</v>
      </c>
      <c r="H3433" s="3" t="s">
        <v>253</v>
      </c>
      <c r="I3433" s="2">
        <v>106</v>
      </c>
      <c r="J3433" s="2">
        <v>54</v>
      </c>
      <c r="K3433" s="2">
        <v>4</v>
      </c>
      <c r="O3433" s="2">
        <v>7</v>
      </c>
      <c r="P3433" s="2">
        <v>13</v>
      </c>
      <c r="U3433" s="2">
        <v>2</v>
      </c>
      <c r="V3433" s="2">
        <v>34</v>
      </c>
      <c r="W3433" s="2">
        <v>2</v>
      </c>
      <c r="X3433" s="2">
        <v>27</v>
      </c>
      <c r="AA3433" s="3" t="s">
        <v>40</v>
      </c>
      <c r="AB3433" s="2">
        <v>2</v>
      </c>
      <c r="AF3433" s="2">
        <v>30.5</v>
      </c>
      <c r="AG3433" s="2">
        <v>2</v>
      </c>
      <c r="AH3433" s="3" t="s">
        <v>3497</v>
      </c>
      <c r="AI3433" s="4">
        <v>45477</v>
      </c>
      <c r="AJ3433" s="3" t="s">
        <v>3587</v>
      </c>
      <c r="AK3433" s="3" t="s">
        <v>248</v>
      </c>
    </row>
    <row r="3434" spans="1:37" hidden="1" x14ac:dyDescent="0.25">
      <c r="A3434" t="str">
        <f t="shared" si="53"/>
        <v>2024_Vic_Kalkee_Chickpea_DetailedTOS2VarietyDrummondWaterTrtIrrigated</v>
      </c>
      <c r="B3434" s="2">
        <v>2024038</v>
      </c>
      <c r="C3434" s="3" t="s">
        <v>3479</v>
      </c>
      <c r="D3434" s="3" t="s">
        <v>248</v>
      </c>
      <c r="F3434" s="3" t="s">
        <v>4182</v>
      </c>
      <c r="G3434" s="3" t="s">
        <v>39</v>
      </c>
      <c r="H3434" s="3" t="s">
        <v>253</v>
      </c>
      <c r="I3434" s="2">
        <v>107</v>
      </c>
      <c r="J3434" s="2">
        <v>55</v>
      </c>
      <c r="K3434" s="2">
        <v>4</v>
      </c>
      <c r="O3434" s="2">
        <v>7</v>
      </c>
      <c r="P3434" s="2">
        <v>14</v>
      </c>
      <c r="U3434" s="2">
        <v>3</v>
      </c>
      <c r="V3434" s="2">
        <v>34</v>
      </c>
      <c r="W3434" s="2">
        <v>3</v>
      </c>
      <c r="X3434" s="2">
        <v>27</v>
      </c>
      <c r="AA3434" s="3" t="s">
        <v>57</v>
      </c>
      <c r="AB3434" s="2">
        <v>1</v>
      </c>
      <c r="AF3434" s="2">
        <v>30.5</v>
      </c>
      <c r="AG3434" s="2">
        <v>2</v>
      </c>
      <c r="AH3434" s="3" t="s">
        <v>3497</v>
      </c>
      <c r="AI3434" s="4">
        <v>45477</v>
      </c>
      <c r="AJ3434" s="3" t="s">
        <v>3588</v>
      </c>
      <c r="AK3434" s="3" t="s">
        <v>248</v>
      </c>
    </row>
    <row r="3435" spans="1:37" hidden="1" x14ac:dyDescent="0.25">
      <c r="A3435" t="str">
        <f t="shared" si="53"/>
        <v>2024_Vic_Kalkee_Chickpea_DetailedTOS2VarietyCBA_CaptainWaterTrtIrrigated</v>
      </c>
      <c r="B3435" s="2">
        <v>2024038</v>
      </c>
      <c r="C3435" s="3" t="s">
        <v>3479</v>
      </c>
      <c r="D3435" s="3" t="s">
        <v>248</v>
      </c>
      <c r="F3435" s="3" t="s">
        <v>249</v>
      </c>
      <c r="G3435" s="3" t="s">
        <v>43</v>
      </c>
      <c r="H3435" s="3" t="s">
        <v>253</v>
      </c>
      <c r="I3435" s="2">
        <v>108</v>
      </c>
      <c r="J3435" s="2">
        <v>56</v>
      </c>
      <c r="K3435" s="2">
        <v>4</v>
      </c>
      <c r="O3435" s="2">
        <v>7</v>
      </c>
      <c r="P3435" s="2">
        <v>14</v>
      </c>
      <c r="U3435" s="2">
        <v>4</v>
      </c>
      <c r="V3435" s="2">
        <v>34</v>
      </c>
      <c r="W3435" s="2">
        <v>4</v>
      </c>
      <c r="X3435" s="2">
        <v>27</v>
      </c>
      <c r="AA3435" s="3" t="s">
        <v>57</v>
      </c>
      <c r="AB3435" s="2">
        <v>3</v>
      </c>
      <c r="AF3435" s="2">
        <v>30.5</v>
      </c>
      <c r="AG3435" s="2">
        <v>2</v>
      </c>
      <c r="AH3435" s="3" t="s">
        <v>3497</v>
      </c>
      <c r="AI3435" s="4">
        <v>45477</v>
      </c>
      <c r="AJ3435" s="3" t="s">
        <v>3589</v>
      </c>
      <c r="AK3435" s="3" t="s">
        <v>248</v>
      </c>
    </row>
    <row r="3436" spans="1:37" hidden="1" x14ac:dyDescent="0.25">
      <c r="A3436" t="str">
        <f t="shared" si="53"/>
        <v>2024_Vic_Kalkee_Chickpea_DetailedTOS2VarietyStrikerWaterTrtRainFed</v>
      </c>
      <c r="B3436" s="2">
        <v>2024038</v>
      </c>
      <c r="C3436" s="3" t="s">
        <v>3479</v>
      </c>
      <c r="D3436" s="3" t="s">
        <v>248</v>
      </c>
      <c r="F3436" s="3" t="s">
        <v>4179</v>
      </c>
      <c r="G3436" s="3" t="s">
        <v>43</v>
      </c>
      <c r="H3436" s="3" t="s">
        <v>250</v>
      </c>
      <c r="I3436" s="2">
        <v>109</v>
      </c>
      <c r="J3436" s="2">
        <v>53</v>
      </c>
      <c r="K3436" s="2">
        <v>4</v>
      </c>
      <c r="O3436" s="2">
        <v>7</v>
      </c>
      <c r="P3436" s="2">
        <v>13</v>
      </c>
      <c r="U3436" s="2">
        <v>1</v>
      </c>
      <c r="V3436" s="2">
        <v>35</v>
      </c>
      <c r="W3436" s="2">
        <v>1</v>
      </c>
      <c r="X3436" s="2">
        <v>28</v>
      </c>
      <c r="Z3436" s="2">
        <v>56</v>
      </c>
      <c r="AA3436" s="3" t="s">
        <v>40</v>
      </c>
      <c r="AB3436" s="2">
        <v>4</v>
      </c>
      <c r="AF3436" s="2">
        <v>30.5</v>
      </c>
      <c r="AG3436" s="2">
        <v>2</v>
      </c>
      <c r="AH3436" s="3" t="s">
        <v>3497</v>
      </c>
      <c r="AI3436" s="4">
        <v>45477</v>
      </c>
      <c r="AJ3436" s="3" t="s">
        <v>3590</v>
      </c>
      <c r="AK3436" s="3" t="s">
        <v>248</v>
      </c>
    </row>
    <row r="3437" spans="1:37" hidden="1" x14ac:dyDescent="0.25">
      <c r="A3437" t="str">
        <f t="shared" si="53"/>
        <v>2024_Vic_Kalkee_Chickpea_DetailedTOS2VarietyHatTrickWaterTrtRainFed</v>
      </c>
      <c r="B3437" s="2">
        <v>2024038</v>
      </c>
      <c r="C3437" s="3" t="s">
        <v>3479</v>
      </c>
      <c r="D3437" s="3" t="s">
        <v>248</v>
      </c>
      <c r="F3437" s="3" t="s">
        <v>4178</v>
      </c>
      <c r="G3437" s="3" t="s">
        <v>39</v>
      </c>
      <c r="H3437" s="3" t="s">
        <v>250</v>
      </c>
      <c r="I3437" s="2">
        <v>110</v>
      </c>
      <c r="J3437" s="2">
        <v>54</v>
      </c>
      <c r="K3437" s="2">
        <v>4</v>
      </c>
      <c r="O3437" s="2">
        <v>7</v>
      </c>
      <c r="P3437" s="2">
        <v>13</v>
      </c>
      <c r="U3437" s="2">
        <v>2</v>
      </c>
      <c r="V3437" s="2">
        <v>35</v>
      </c>
      <c r="W3437" s="2">
        <v>2</v>
      </c>
      <c r="X3437" s="2">
        <v>28</v>
      </c>
      <c r="Z3437" s="2">
        <v>55</v>
      </c>
      <c r="AA3437" s="3" t="s">
        <v>40</v>
      </c>
      <c r="AB3437" s="2">
        <v>2</v>
      </c>
      <c r="AF3437" s="2">
        <v>30.5</v>
      </c>
      <c r="AG3437" s="2">
        <v>2</v>
      </c>
      <c r="AH3437" s="3" t="s">
        <v>3497</v>
      </c>
      <c r="AI3437" s="4">
        <v>45477</v>
      </c>
      <c r="AJ3437" s="3" t="s">
        <v>3591</v>
      </c>
      <c r="AK3437" s="3" t="s">
        <v>248</v>
      </c>
    </row>
    <row r="3438" spans="1:37" hidden="1" x14ac:dyDescent="0.25">
      <c r="A3438" t="str">
        <f t="shared" si="53"/>
        <v>2024_Vic_Kalkee_Chickpea_DetailedTOS2VarietyDrummondWaterTrtIrrigated</v>
      </c>
      <c r="B3438" s="2">
        <v>2024038</v>
      </c>
      <c r="C3438" s="3" t="s">
        <v>3479</v>
      </c>
      <c r="D3438" s="3" t="s">
        <v>248</v>
      </c>
      <c r="F3438" s="3" t="s">
        <v>4182</v>
      </c>
      <c r="G3438" s="3" t="s">
        <v>39</v>
      </c>
      <c r="H3438" s="3" t="s">
        <v>250</v>
      </c>
      <c r="I3438" s="2">
        <v>111</v>
      </c>
      <c r="J3438" s="2">
        <v>55</v>
      </c>
      <c r="K3438" s="2">
        <v>4</v>
      </c>
      <c r="O3438" s="2">
        <v>7</v>
      </c>
      <c r="P3438" s="2">
        <v>14</v>
      </c>
      <c r="U3438" s="2">
        <v>3</v>
      </c>
      <c r="V3438" s="2">
        <v>35</v>
      </c>
      <c r="W3438" s="2">
        <v>3</v>
      </c>
      <c r="X3438" s="2">
        <v>28</v>
      </c>
      <c r="Z3438" s="2">
        <v>54</v>
      </c>
      <c r="AA3438" s="3" t="s">
        <v>57</v>
      </c>
      <c r="AB3438" s="2">
        <v>1</v>
      </c>
      <c r="AF3438" s="2">
        <v>30.5</v>
      </c>
      <c r="AG3438" s="2">
        <v>2</v>
      </c>
      <c r="AH3438" s="3" t="s">
        <v>3497</v>
      </c>
      <c r="AI3438" s="4">
        <v>45477</v>
      </c>
      <c r="AJ3438" s="3" t="s">
        <v>3592</v>
      </c>
      <c r="AK3438" s="3" t="s">
        <v>248</v>
      </c>
    </row>
    <row r="3439" spans="1:37" hidden="1" x14ac:dyDescent="0.25">
      <c r="A3439" t="str">
        <f t="shared" si="53"/>
        <v>2024_Vic_Kalkee_Chickpea_DetailedTOS2VarietyCBA_CaptainWaterTrtIrrigated</v>
      </c>
      <c r="B3439" s="2">
        <v>2024038</v>
      </c>
      <c r="C3439" s="3" t="s">
        <v>3479</v>
      </c>
      <c r="D3439" s="3" t="s">
        <v>248</v>
      </c>
      <c r="F3439" s="3" t="s">
        <v>249</v>
      </c>
      <c r="G3439" s="3" t="s">
        <v>43</v>
      </c>
      <c r="H3439" s="3" t="s">
        <v>250</v>
      </c>
      <c r="I3439" s="2">
        <v>112</v>
      </c>
      <c r="J3439" s="2">
        <v>56</v>
      </c>
      <c r="K3439" s="2">
        <v>4</v>
      </c>
      <c r="O3439" s="2">
        <v>7</v>
      </c>
      <c r="P3439" s="2">
        <v>14</v>
      </c>
      <c r="U3439" s="2">
        <v>4</v>
      </c>
      <c r="V3439" s="2">
        <v>35</v>
      </c>
      <c r="W3439" s="2">
        <v>4</v>
      </c>
      <c r="X3439" s="2">
        <v>28</v>
      </c>
      <c r="Z3439" s="2">
        <v>53</v>
      </c>
      <c r="AA3439" s="3" t="s">
        <v>57</v>
      </c>
      <c r="AB3439" s="2">
        <v>3</v>
      </c>
      <c r="AF3439" s="2">
        <v>30.5</v>
      </c>
      <c r="AG3439" s="2">
        <v>2</v>
      </c>
      <c r="AH3439" s="3" t="s">
        <v>3497</v>
      </c>
      <c r="AI3439" s="4">
        <v>45477</v>
      </c>
      <c r="AJ3439" s="3" t="s">
        <v>3593</v>
      </c>
      <c r="AK3439" s="3" t="s">
        <v>248</v>
      </c>
    </row>
    <row r="3440" spans="1:37" hidden="1" x14ac:dyDescent="0.25">
      <c r="A3440" t="str">
        <f t="shared" si="53"/>
        <v>2024_Vic_Kalkee_Chickpea_DetailedTOS1VarietyHatTrickWaterTrtIrrigated</v>
      </c>
      <c r="B3440" s="2">
        <v>2024038</v>
      </c>
      <c r="C3440" s="3" t="s">
        <v>3479</v>
      </c>
      <c r="D3440" s="3" t="s">
        <v>248</v>
      </c>
      <c r="F3440" s="3" t="s">
        <v>4178</v>
      </c>
      <c r="G3440" s="3" t="s">
        <v>39</v>
      </c>
      <c r="H3440" s="3" t="s">
        <v>253</v>
      </c>
      <c r="I3440" s="2">
        <v>113</v>
      </c>
      <c r="J3440" s="2">
        <v>57</v>
      </c>
      <c r="K3440" s="2">
        <v>4</v>
      </c>
      <c r="O3440" s="2">
        <v>8</v>
      </c>
      <c r="P3440" s="2">
        <v>15</v>
      </c>
      <c r="U3440" s="2">
        <v>1</v>
      </c>
      <c r="V3440" s="2">
        <v>37</v>
      </c>
      <c r="W3440" s="2">
        <v>1</v>
      </c>
      <c r="X3440" s="2">
        <v>29</v>
      </c>
      <c r="AA3440" s="3" t="s">
        <v>57</v>
      </c>
      <c r="AB3440" s="2">
        <v>2</v>
      </c>
      <c r="AF3440" s="2">
        <v>30.5</v>
      </c>
      <c r="AG3440" s="2">
        <v>1</v>
      </c>
      <c r="AH3440" s="3" t="s">
        <v>3480</v>
      </c>
      <c r="AI3440" s="4">
        <v>45434</v>
      </c>
      <c r="AJ3440" s="3" t="s">
        <v>3594</v>
      </c>
      <c r="AK3440" s="3" t="s">
        <v>248</v>
      </c>
    </row>
    <row r="3441" spans="1:37" hidden="1" x14ac:dyDescent="0.25">
      <c r="A3441" t="str">
        <f t="shared" si="53"/>
        <v>2024_Vic_Kalkee_Chickpea_DetailedTOS1VarietyDrummondWaterTrtIrrigated</v>
      </c>
      <c r="B3441" s="2">
        <v>2024038</v>
      </c>
      <c r="C3441" s="3" t="s">
        <v>3479</v>
      </c>
      <c r="D3441" s="3" t="s">
        <v>248</v>
      </c>
      <c r="F3441" s="3" t="s">
        <v>4182</v>
      </c>
      <c r="G3441" s="3" t="s">
        <v>39</v>
      </c>
      <c r="H3441" s="3" t="s">
        <v>253</v>
      </c>
      <c r="I3441" s="2">
        <v>114</v>
      </c>
      <c r="J3441" s="2">
        <v>58</v>
      </c>
      <c r="K3441" s="2">
        <v>4</v>
      </c>
      <c r="O3441" s="2">
        <v>8</v>
      </c>
      <c r="P3441" s="2">
        <v>15</v>
      </c>
      <c r="U3441" s="2">
        <v>2</v>
      </c>
      <c r="V3441" s="2">
        <v>37</v>
      </c>
      <c r="W3441" s="2">
        <v>2</v>
      </c>
      <c r="X3441" s="2">
        <v>29</v>
      </c>
      <c r="AA3441" s="3" t="s">
        <v>57</v>
      </c>
      <c r="AB3441" s="2">
        <v>1</v>
      </c>
      <c r="AF3441" s="2">
        <v>30.5</v>
      </c>
      <c r="AG3441" s="2">
        <v>1</v>
      </c>
      <c r="AH3441" s="3" t="s">
        <v>3480</v>
      </c>
      <c r="AI3441" s="4">
        <v>45434</v>
      </c>
      <c r="AJ3441" s="3" t="s">
        <v>3595</v>
      </c>
      <c r="AK3441" s="3" t="s">
        <v>248</v>
      </c>
    </row>
    <row r="3442" spans="1:37" hidden="1" x14ac:dyDescent="0.25">
      <c r="A3442" t="str">
        <f t="shared" si="53"/>
        <v>2024_Vic_Kalkee_Chickpea_DetailedTOS1VarietyCBA_CaptainWaterTrtRainFed</v>
      </c>
      <c r="B3442" s="2">
        <v>2024038</v>
      </c>
      <c r="C3442" s="3" t="s">
        <v>3479</v>
      </c>
      <c r="D3442" s="3" t="s">
        <v>248</v>
      </c>
      <c r="F3442" s="3" t="s">
        <v>249</v>
      </c>
      <c r="G3442" s="3" t="s">
        <v>43</v>
      </c>
      <c r="H3442" s="3" t="s">
        <v>253</v>
      </c>
      <c r="I3442" s="2">
        <v>115</v>
      </c>
      <c r="J3442" s="2">
        <v>59</v>
      </c>
      <c r="K3442" s="2">
        <v>4</v>
      </c>
      <c r="O3442" s="2">
        <v>8</v>
      </c>
      <c r="P3442" s="2">
        <v>16</v>
      </c>
      <c r="U3442" s="2">
        <v>3</v>
      </c>
      <c r="V3442" s="2">
        <v>37</v>
      </c>
      <c r="W3442" s="2">
        <v>3</v>
      </c>
      <c r="X3442" s="2">
        <v>29</v>
      </c>
      <c r="AA3442" s="3" t="s">
        <v>40</v>
      </c>
      <c r="AB3442" s="2">
        <v>3</v>
      </c>
      <c r="AF3442" s="2">
        <v>30.5</v>
      </c>
      <c r="AG3442" s="2">
        <v>1</v>
      </c>
      <c r="AH3442" s="3" t="s">
        <v>3480</v>
      </c>
      <c r="AI3442" s="4">
        <v>45434</v>
      </c>
      <c r="AJ3442" s="3" t="s">
        <v>3596</v>
      </c>
      <c r="AK3442" s="3" t="s">
        <v>248</v>
      </c>
    </row>
    <row r="3443" spans="1:37" hidden="1" x14ac:dyDescent="0.25">
      <c r="A3443" t="str">
        <f t="shared" si="53"/>
        <v>2024_Vic_Kalkee_Chickpea_DetailedTOS1VarietyStrikerWaterTrtRainFed</v>
      </c>
      <c r="B3443" s="2">
        <v>2024038</v>
      </c>
      <c r="C3443" s="3" t="s">
        <v>3479</v>
      </c>
      <c r="D3443" s="3" t="s">
        <v>248</v>
      </c>
      <c r="F3443" s="3" t="s">
        <v>4179</v>
      </c>
      <c r="G3443" s="3" t="s">
        <v>43</v>
      </c>
      <c r="H3443" s="3" t="s">
        <v>253</v>
      </c>
      <c r="I3443" s="2">
        <v>116</v>
      </c>
      <c r="J3443" s="2">
        <v>60</v>
      </c>
      <c r="K3443" s="2">
        <v>4</v>
      </c>
      <c r="O3443" s="2">
        <v>8</v>
      </c>
      <c r="P3443" s="2">
        <v>16</v>
      </c>
      <c r="U3443" s="2">
        <v>4</v>
      </c>
      <c r="V3443" s="2">
        <v>37</v>
      </c>
      <c r="W3443" s="2">
        <v>4</v>
      </c>
      <c r="X3443" s="2">
        <v>29</v>
      </c>
      <c r="AA3443" s="3" t="s">
        <v>40</v>
      </c>
      <c r="AB3443" s="2">
        <v>4</v>
      </c>
      <c r="AF3443" s="2">
        <v>30.5</v>
      </c>
      <c r="AG3443" s="2">
        <v>1</v>
      </c>
      <c r="AH3443" s="3" t="s">
        <v>3480</v>
      </c>
      <c r="AI3443" s="4">
        <v>45434</v>
      </c>
      <c r="AJ3443" s="3" t="s">
        <v>3597</v>
      </c>
      <c r="AK3443" s="3" t="s">
        <v>248</v>
      </c>
    </row>
    <row r="3444" spans="1:37" hidden="1" x14ac:dyDescent="0.25">
      <c r="A3444" t="str">
        <f t="shared" si="53"/>
        <v>2024_Vic_Kalkee_Chickpea_DetailedTOS1VarietyHatTrickWaterTrtIrrigated</v>
      </c>
      <c r="B3444" s="2">
        <v>2024038</v>
      </c>
      <c r="C3444" s="3" t="s">
        <v>3479</v>
      </c>
      <c r="D3444" s="3" t="s">
        <v>248</v>
      </c>
      <c r="F3444" s="3" t="s">
        <v>4178</v>
      </c>
      <c r="G3444" s="3" t="s">
        <v>39</v>
      </c>
      <c r="H3444" s="3" t="s">
        <v>250</v>
      </c>
      <c r="I3444" s="2">
        <v>117</v>
      </c>
      <c r="J3444" s="2">
        <v>57</v>
      </c>
      <c r="K3444" s="2">
        <v>4</v>
      </c>
      <c r="O3444" s="2">
        <v>8</v>
      </c>
      <c r="P3444" s="2">
        <v>15</v>
      </c>
      <c r="U3444" s="2">
        <v>1</v>
      </c>
      <c r="V3444" s="2">
        <v>38</v>
      </c>
      <c r="W3444" s="2">
        <v>1</v>
      </c>
      <c r="X3444" s="2">
        <v>30</v>
      </c>
      <c r="Z3444" s="2">
        <v>57</v>
      </c>
      <c r="AA3444" s="3" t="s">
        <v>57</v>
      </c>
      <c r="AB3444" s="2">
        <v>2</v>
      </c>
      <c r="AF3444" s="2">
        <v>30.5</v>
      </c>
      <c r="AG3444" s="2">
        <v>1</v>
      </c>
      <c r="AH3444" s="3" t="s">
        <v>3480</v>
      </c>
      <c r="AI3444" s="4">
        <v>45434</v>
      </c>
      <c r="AJ3444" s="3" t="s">
        <v>3598</v>
      </c>
      <c r="AK3444" s="3" t="s">
        <v>248</v>
      </c>
    </row>
    <row r="3445" spans="1:37" hidden="1" x14ac:dyDescent="0.25">
      <c r="A3445" t="str">
        <f t="shared" si="53"/>
        <v>2024_Vic_Kalkee_Chickpea_DetailedTOS1VarietyDrummondWaterTrtIrrigated</v>
      </c>
      <c r="B3445" s="2">
        <v>2024038</v>
      </c>
      <c r="C3445" s="3" t="s">
        <v>3479</v>
      </c>
      <c r="D3445" s="3" t="s">
        <v>248</v>
      </c>
      <c r="F3445" s="3" t="s">
        <v>4182</v>
      </c>
      <c r="G3445" s="3" t="s">
        <v>39</v>
      </c>
      <c r="H3445" s="3" t="s">
        <v>250</v>
      </c>
      <c r="I3445" s="2">
        <v>118</v>
      </c>
      <c r="J3445" s="2">
        <v>58</v>
      </c>
      <c r="K3445" s="2">
        <v>4</v>
      </c>
      <c r="O3445" s="2">
        <v>8</v>
      </c>
      <c r="P3445" s="2">
        <v>15</v>
      </c>
      <c r="U3445" s="2">
        <v>2</v>
      </c>
      <c r="V3445" s="2">
        <v>38</v>
      </c>
      <c r="W3445" s="2">
        <v>2</v>
      </c>
      <c r="X3445" s="2">
        <v>30</v>
      </c>
      <c r="Z3445" s="2">
        <v>58</v>
      </c>
      <c r="AA3445" s="3" t="s">
        <v>57</v>
      </c>
      <c r="AB3445" s="2">
        <v>1</v>
      </c>
      <c r="AF3445" s="2">
        <v>30.5</v>
      </c>
      <c r="AG3445" s="2">
        <v>1</v>
      </c>
      <c r="AH3445" s="3" t="s">
        <v>3480</v>
      </c>
      <c r="AI3445" s="4">
        <v>45434</v>
      </c>
      <c r="AJ3445" s="3" t="s">
        <v>3599</v>
      </c>
      <c r="AK3445" s="3" t="s">
        <v>248</v>
      </c>
    </row>
    <row r="3446" spans="1:37" hidden="1" x14ac:dyDescent="0.25">
      <c r="A3446" t="str">
        <f t="shared" si="53"/>
        <v>2024_Vic_Kalkee_Chickpea_DetailedTOS1VarietyCBA_CaptainWaterTrtRainFed</v>
      </c>
      <c r="B3446" s="2">
        <v>2024038</v>
      </c>
      <c r="C3446" s="3" t="s">
        <v>3479</v>
      </c>
      <c r="D3446" s="3" t="s">
        <v>248</v>
      </c>
      <c r="F3446" s="3" t="s">
        <v>249</v>
      </c>
      <c r="G3446" s="3" t="s">
        <v>43</v>
      </c>
      <c r="H3446" s="3" t="s">
        <v>250</v>
      </c>
      <c r="I3446" s="2">
        <v>119</v>
      </c>
      <c r="J3446" s="2">
        <v>59</v>
      </c>
      <c r="K3446" s="2">
        <v>4</v>
      </c>
      <c r="O3446" s="2">
        <v>8</v>
      </c>
      <c r="P3446" s="2">
        <v>16</v>
      </c>
      <c r="U3446" s="2">
        <v>3</v>
      </c>
      <c r="V3446" s="2">
        <v>38</v>
      </c>
      <c r="W3446" s="2">
        <v>3</v>
      </c>
      <c r="X3446" s="2">
        <v>30</v>
      </c>
      <c r="Z3446" s="2">
        <v>59</v>
      </c>
      <c r="AA3446" s="3" t="s">
        <v>40</v>
      </c>
      <c r="AB3446" s="2">
        <v>3</v>
      </c>
      <c r="AF3446" s="2">
        <v>30.5</v>
      </c>
      <c r="AG3446" s="2">
        <v>1</v>
      </c>
      <c r="AH3446" s="3" t="s">
        <v>3480</v>
      </c>
      <c r="AI3446" s="4">
        <v>45434</v>
      </c>
      <c r="AJ3446" s="3" t="s">
        <v>3600</v>
      </c>
      <c r="AK3446" s="3" t="s">
        <v>248</v>
      </c>
    </row>
    <row r="3447" spans="1:37" hidden="1" x14ac:dyDescent="0.25">
      <c r="A3447" t="str">
        <f t="shared" si="53"/>
        <v>2024_Vic_Kalkee_Chickpea_DetailedTOS1VarietyStrikerWaterTrtRainFed</v>
      </c>
      <c r="B3447" s="2">
        <v>2024038</v>
      </c>
      <c r="C3447" s="3" t="s">
        <v>3479</v>
      </c>
      <c r="D3447" s="3" t="s">
        <v>248</v>
      </c>
      <c r="F3447" s="3" t="s">
        <v>4179</v>
      </c>
      <c r="G3447" s="3" t="s">
        <v>43</v>
      </c>
      <c r="H3447" s="3" t="s">
        <v>250</v>
      </c>
      <c r="I3447" s="2">
        <v>120</v>
      </c>
      <c r="J3447" s="2">
        <v>60</v>
      </c>
      <c r="K3447" s="2">
        <v>4</v>
      </c>
      <c r="O3447" s="2">
        <v>8</v>
      </c>
      <c r="P3447" s="2">
        <v>16</v>
      </c>
      <c r="U3447" s="2">
        <v>4</v>
      </c>
      <c r="V3447" s="2">
        <v>38</v>
      </c>
      <c r="W3447" s="2">
        <v>4</v>
      </c>
      <c r="X3447" s="2">
        <v>30</v>
      </c>
      <c r="Z3447" s="2">
        <v>60</v>
      </c>
      <c r="AA3447" s="3" t="s">
        <v>40</v>
      </c>
      <c r="AB3447" s="2">
        <v>4</v>
      </c>
      <c r="AF3447" s="2">
        <v>30.5</v>
      </c>
      <c r="AG3447" s="2">
        <v>1</v>
      </c>
      <c r="AH3447" s="3" t="s">
        <v>3480</v>
      </c>
      <c r="AI3447" s="4">
        <v>45434</v>
      </c>
      <c r="AJ3447" s="3" t="s">
        <v>3601</v>
      </c>
      <c r="AK3447" s="3" t="s">
        <v>248</v>
      </c>
    </row>
    <row r="3448" spans="1:37" hidden="1" x14ac:dyDescent="0.25">
      <c r="A3448" t="str">
        <f t="shared" si="53"/>
        <v>2024_Vic_Kalkee_Chickpea_DetailedTOS1VarietyStrikerWaterTrtIrrigated</v>
      </c>
      <c r="B3448" s="2">
        <v>2024038</v>
      </c>
      <c r="C3448" s="3" t="s">
        <v>3479</v>
      </c>
      <c r="D3448" s="3" t="s">
        <v>248</v>
      </c>
      <c r="F3448" s="3" t="s">
        <v>4179</v>
      </c>
      <c r="G3448" s="3" t="s">
        <v>43</v>
      </c>
      <c r="H3448" s="3" t="s">
        <v>253</v>
      </c>
      <c r="I3448" s="2">
        <v>121</v>
      </c>
      <c r="J3448" s="2">
        <v>61</v>
      </c>
      <c r="K3448" s="2">
        <v>4</v>
      </c>
      <c r="O3448" s="2">
        <v>8</v>
      </c>
      <c r="P3448" s="2">
        <v>15</v>
      </c>
      <c r="U3448" s="2">
        <v>1</v>
      </c>
      <c r="V3448" s="2">
        <v>39</v>
      </c>
      <c r="W3448" s="2">
        <v>1</v>
      </c>
      <c r="X3448" s="2">
        <v>31</v>
      </c>
      <c r="AA3448" s="3" t="s">
        <v>57</v>
      </c>
      <c r="AB3448" s="2">
        <v>4</v>
      </c>
      <c r="AF3448" s="2">
        <v>30.5</v>
      </c>
      <c r="AG3448" s="2">
        <v>1</v>
      </c>
      <c r="AH3448" s="3" t="s">
        <v>3480</v>
      </c>
      <c r="AI3448" s="4">
        <v>45434</v>
      </c>
      <c r="AJ3448" s="3" t="s">
        <v>3602</v>
      </c>
      <c r="AK3448" s="3" t="s">
        <v>248</v>
      </c>
    </row>
    <row r="3449" spans="1:37" hidden="1" x14ac:dyDescent="0.25">
      <c r="A3449" t="str">
        <f t="shared" si="53"/>
        <v>2024_Vic_Kalkee_Chickpea_DetailedTOS1VarietyCBA_CaptainWaterTrtIrrigated</v>
      </c>
      <c r="B3449" s="2">
        <v>2024038</v>
      </c>
      <c r="C3449" s="3" t="s">
        <v>3479</v>
      </c>
      <c r="D3449" s="3" t="s">
        <v>248</v>
      </c>
      <c r="F3449" s="3" t="s">
        <v>249</v>
      </c>
      <c r="G3449" s="3" t="s">
        <v>43</v>
      </c>
      <c r="H3449" s="3" t="s">
        <v>253</v>
      </c>
      <c r="I3449" s="2">
        <v>122</v>
      </c>
      <c r="J3449" s="2">
        <v>62</v>
      </c>
      <c r="K3449" s="2">
        <v>4</v>
      </c>
      <c r="O3449" s="2">
        <v>8</v>
      </c>
      <c r="P3449" s="2">
        <v>15</v>
      </c>
      <c r="U3449" s="2">
        <v>2</v>
      </c>
      <c r="V3449" s="2">
        <v>39</v>
      </c>
      <c r="W3449" s="2">
        <v>2</v>
      </c>
      <c r="X3449" s="2">
        <v>31</v>
      </c>
      <c r="AA3449" s="3" t="s">
        <v>57</v>
      </c>
      <c r="AB3449" s="2">
        <v>3</v>
      </c>
      <c r="AF3449" s="2">
        <v>30.5</v>
      </c>
      <c r="AG3449" s="2">
        <v>1</v>
      </c>
      <c r="AH3449" s="3" t="s">
        <v>3480</v>
      </c>
      <c r="AI3449" s="4">
        <v>45434</v>
      </c>
      <c r="AJ3449" s="3" t="s">
        <v>3603</v>
      </c>
      <c r="AK3449" s="3" t="s">
        <v>248</v>
      </c>
    </row>
    <row r="3450" spans="1:37" hidden="1" x14ac:dyDescent="0.25">
      <c r="A3450" t="str">
        <f t="shared" si="53"/>
        <v>2024_Vic_Kalkee_Chickpea_DetailedTOS1VarietyHatTrickWaterTrtRainFed</v>
      </c>
      <c r="B3450" s="2">
        <v>2024038</v>
      </c>
      <c r="C3450" s="3" t="s">
        <v>3479</v>
      </c>
      <c r="D3450" s="3" t="s">
        <v>248</v>
      </c>
      <c r="F3450" s="3" t="s">
        <v>4178</v>
      </c>
      <c r="G3450" s="3" t="s">
        <v>39</v>
      </c>
      <c r="H3450" s="3" t="s">
        <v>253</v>
      </c>
      <c r="I3450" s="2">
        <v>123</v>
      </c>
      <c r="J3450" s="2">
        <v>63</v>
      </c>
      <c r="K3450" s="2">
        <v>4</v>
      </c>
      <c r="O3450" s="2">
        <v>8</v>
      </c>
      <c r="P3450" s="2">
        <v>16</v>
      </c>
      <c r="U3450" s="2">
        <v>3</v>
      </c>
      <c r="V3450" s="2">
        <v>39</v>
      </c>
      <c r="W3450" s="2">
        <v>3</v>
      </c>
      <c r="X3450" s="2">
        <v>31</v>
      </c>
      <c r="AA3450" s="3" t="s">
        <v>40</v>
      </c>
      <c r="AB3450" s="2">
        <v>2</v>
      </c>
      <c r="AF3450" s="2">
        <v>30.5</v>
      </c>
      <c r="AG3450" s="2">
        <v>1</v>
      </c>
      <c r="AH3450" s="3" t="s">
        <v>3480</v>
      </c>
      <c r="AI3450" s="4">
        <v>45434</v>
      </c>
      <c r="AJ3450" s="3" t="s">
        <v>3604</v>
      </c>
      <c r="AK3450" s="3" t="s">
        <v>248</v>
      </c>
    </row>
    <row r="3451" spans="1:37" hidden="1" x14ac:dyDescent="0.25">
      <c r="A3451" t="str">
        <f t="shared" si="53"/>
        <v>2024_Vic_Kalkee_Chickpea_DetailedTOS1VarietyDrummondWaterTrtRainFed</v>
      </c>
      <c r="B3451" s="2">
        <v>2024038</v>
      </c>
      <c r="C3451" s="3" t="s">
        <v>3479</v>
      </c>
      <c r="D3451" s="3" t="s">
        <v>248</v>
      </c>
      <c r="F3451" s="3" t="s">
        <v>4182</v>
      </c>
      <c r="G3451" s="3" t="s">
        <v>39</v>
      </c>
      <c r="H3451" s="3" t="s">
        <v>253</v>
      </c>
      <c r="I3451" s="2">
        <v>124</v>
      </c>
      <c r="J3451" s="2">
        <v>64</v>
      </c>
      <c r="K3451" s="2">
        <v>4</v>
      </c>
      <c r="O3451" s="2">
        <v>8</v>
      </c>
      <c r="P3451" s="2">
        <v>16</v>
      </c>
      <c r="U3451" s="2">
        <v>4</v>
      </c>
      <c r="V3451" s="2">
        <v>39</v>
      </c>
      <c r="W3451" s="2">
        <v>4</v>
      </c>
      <c r="X3451" s="2">
        <v>31</v>
      </c>
      <c r="AA3451" s="3" t="s">
        <v>40</v>
      </c>
      <c r="AB3451" s="2">
        <v>1</v>
      </c>
      <c r="AF3451" s="2">
        <v>30.5</v>
      </c>
      <c r="AG3451" s="2">
        <v>1</v>
      </c>
      <c r="AH3451" s="3" t="s">
        <v>3480</v>
      </c>
      <c r="AI3451" s="4">
        <v>45434</v>
      </c>
      <c r="AJ3451" s="3" t="s">
        <v>3605</v>
      </c>
      <c r="AK3451" s="3" t="s">
        <v>248</v>
      </c>
    </row>
    <row r="3452" spans="1:37" hidden="1" x14ac:dyDescent="0.25">
      <c r="A3452" t="str">
        <f t="shared" si="53"/>
        <v>2024_Vic_Kalkee_Chickpea_DetailedTOS1VarietyStrikerWaterTrtIrrigated</v>
      </c>
      <c r="B3452" s="2">
        <v>2024038</v>
      </c>
      <c r="C3452" s="3" t="s">
        <v>3479</v>
      </c>
      <c r="D3452" s="3" t="s">
        <v>248</v>
      </c>
      <c r="F3452" s="3" t="s">
        <v>4179</v>
      </c>
      <c r="G3452" s="3" t="s">
        <v>43</v>
      </c>
      <c r="H3452" s="3" t="s">
        <v>250</v>
      </c>
      <c r="I3452" s="2">
        <v>125</v>
      </c>
      <c r="J3452" s="2">
        <v>61</v>
      </c>
      <c r="K3452" s="2">
        <v>4</v>
      </c>
      <c r="O3452" s="2">
        <v>8</v>
      </c>
      <c r="P3452" s="2">
        <v>15</v>
      </c>
      <c r="U3452" s="2">
        <v>1</v>
      </c>
      <c r="V3452" s="2">
        <v>40</v>
      </c>
      <c r="W3452" s="2">
        <v>1</v>
      </c>
      <c r="X3452" s="2">
        <v>32</v>
      </c>
      <c r="Z3452" s="2">
        <v>64</v>
      </c>
      <c r="AA3452" s="3" t="s">
        <v>57</v>
      </c>
      <c r="AB3452" s="2">
        <v>4</v>
      </c>
      <c r="AF3452" s="2">
        <v>30.5</v>
      </c>
      <c r="AG3452" s="2">
        <v>1</v>
      </c>
      <c r="AH3452" s="3" t="s">
        <v>3480</v>
      </c>
      <c r="AI3452" s="4">
        <v>45434</v>
      </c>
      <c r="AJ3452" s="3" t="s">
        <v>3606</v>
      </c>
      <c r="AK3452" s="3" t="s">
        <v>248</v>
      </c>
    </row>
    <row r="3453" spans="1:37" hidden="1" x14ac:dyDescent="0.25">
      <c r="A3453" t="str">
        <f t="shared" si="53"/>
        <v>2024_Vic_Kalkee_Chickpea_DetailedTOS1VarietyCBA_CaptainWaterTrtIrrigated</v>
      </c>
      <c r="B3453" s="2">
        <v>2024038</v>
      </c>
      <c r="C3453" s="3" t="s">
        <v>3479</v>
      </c>
      <c r="D3453" s="3" t="s">
        <v>248</v>
      </c>
      <c r="F3453" s="3" t="s">
        <v>249</v>
      </c>
      <c r="G3453" s="3" t="s">
        <v>43</v>
      </c>
      <c r="H3453" s="3" t="s">
        <v>250</v>
      </c>
      <c r="I3453" s="2">
        <v>126</v>
      </c>
      <c r="J3453" s="2">
        <v>62</v>
      </c>
      <c r="K3453" s="2">
        <v>4</v>
      </c>
      <c r="O3453" s="2">
        <v>8</v>
      </c>
      <c r="P3453" s="2">
        <v>15</v>
      </c>
      <c r="U3453" s="2">
        <v>2</v>
      </c>
      <c r="V3453" s="2">
        <v>40</v>
      </c>
      <c r="W3453" s="2">
        <v>2</v>
      </c>
      <c r="X3453" s="2">
        <v>32</v>
      </c>
      <c r="Z3453" s="2">
        <v>63</v>
      </c>
      <c r="AA3453" s="3" t="s">
        <v>57</v>
      </c>
      <c r="AB3453" s="2">
        <v>3</v>
      </c>
      <c r="AF3453" s="2">
        <v>30.5</v>
      </c>
      <c r="AG3453" s="2">
        <v>1</v>
      </c>
      <c r="AH3453" s="3" t="s">
        <v>3480</v>
      </c>
      <c r="AI3453" s="4">
        <v>45434</v>
      </c>
      <c r="AJ3453" s="3" t="s">
        <v>3607</v>
      </c>
      <c r="AK3453" s="3" t="s">
        <v>248</v>
      </c>
    </row>
    <row r="3454" spans="1:37" hidden="1" x14ac:dyDescent="0.25">
      <c r="A3454" t="str">
        <f t="shared" si="53"/>
        <v>2024_Vic_Kalkee_Chickpea_DetailedTOS1VarietyHatTrickWaterTrtRainFed</v>
      </c>
      <c r="B3454" s="2">
        <v>2024038</v>
      </c>
      <c r="C3454" s="3" t="s">
        <v>3479</v>
      </c>
      <c r="D3454" s="3" t="s">
        <v>248</v>
      </c>
      <c r="F3454" s="3" t="s">
        <v>4178</v>
      </c>
      <c r="G3454" s="3" t="s">
        <v>39</v>
      </c>
      <c r="H3454" s="3" t="s">
        <v>250</v>
      </c>
      <c r="I3454" s="2">
        <v>127</v>
      </c>
      <c r="J3454" s="2">
        <v>63</v>
      </c>
      <c r="K3454" s="2">
        <v>4</v>
      </c>
      <c r="O3454" s="2">
        <v>8</v>
      </c>
      <c r="P3454" s="2">
        <v>16</v>
      </c>
      <c r="U3454" s="2">
        <v>3</v>
      </c>
      <c r="V3454" s="2">
        <v>40</v>
      </c>
      <c r="W3454" s="2">
        <v>3</v>
      </c>
      <c r="X3454" s="2">
        <v>32</v>
      </c>
      <c r="Z3454" s="2">
        <v>62</v>
      </c>
      <c r="AA3454" s="3" t="s">
        <v>40</v>
      </c>
      <c r="AB3454" s="2">
        <v>2</v>
      </c>
      <c r="AF3454" s="2">
        <v>30.5</v>
      </c>
      <c r="AG3454" s="2">
        <v>1</v>
      </c>
      <c r="AH3454" s="3" t="s">
        <v>3480</v>
      </c>
      <c r="AI3454" s="4">
        <v>45434</v>
      </c>
      <c r="AJ3454" s="3" t="s">
        <v>3608</v>
      </c>
      <c r="AK3454" s="3" t="s">
        <v>248</v>
      </c>
    </row>
    <row r="3455" spans="1:37" hidden="1" x14ac:dyDescent="0.25">
      <c r="A3455" t="str">
        <f t="shared" si="53"/>
        <v>2024_Vic_Kalkee_Chickpea_DetailedTOS1VarietyDrummondWaterTrtRainFed</v>
      </c>
      <c r="B3455" s="2">
        <v>2024038</v>
      </c>
      <c r="C3455" s="3" t="s">
        <v>3479</v>
      </c>
      <c r="D3455" s="3" t="s">
        <v>248</v>
      </c>
      <c r="F3455" s="3" t="s">
        <v>4182</v>
      </c>
      <c r="G3455" s="3" t="s">
        <v>39</v>
      </c>
      <c r="H3455" s="3" t="s">
        <v>250</v>
      </c>
      <c r="I3455" s="2">
        <v>128</v>
      </c>
      <c r="J3455" s="2">
        <v>64</v>
      </c>
      <c r="K3455" s="2">
        <v>4</v>
      </c>
      <c r="O3455" s="2">
        <v>8</v>
      </c>
      <c r="P3455" s="2">
        <v>16</v>
      </c>
      <c r="U3455" s="2">
        <v>4</v>
      </c>
      <c r="V3455" s="2">
        <v>40</v>
      </c>
      <c r="W3455" s="2">
        <v>4</v>
      </c>
      <c r="X3455" s="2">
        <v>32</v>
      </c>
      <c r="Z3455" s="2">
        <v>61</v>
      </c>
      <c r="AA3455" s="3" t="s">
        <v>40</v>
      </c>
      <c r="AB3455" s="2">
        <v>1</v>
      </c>
      <c r="AF3455" s="2">
        <v>30.5</v>
      </c>
      <c r="AG3455" s="2">
        <v>1</v>
      </c>
      <c r="AH3455" s="3" t="s">
        <v>3480</v>
      </c>
      <c r="AI3455" s="4">
        <v>45434</v>
      </c>
      <c r="AJ3455" s="3" t="s">
        <v>3609</v>
      </c>
      <c r="AK3455" s="3" t="s">
        <v>248</v>
      </c>
    </row>
    <row r="3456" spans="1:37" hidden="1" x14ac:dyDescent="0.25">
      <c r="A3456" t="str">
        <f t="shared" si="53"/>
        <v>2024_Vic_Kalkee_Fababean_DetailedTOS1VarietySamiraWaterTrtRainFed</v>
      </c>
      <c r="B3456" s="2">
        <v>2024039</v>
      </c>
      <c r="C3456" s="3" t="s">
        <v>3610</v>
      </c>
      <c r="D3456" s="3" t="s">
        <v>645</v>
      </c>
      <c r="F3456" s="3" t="s">
        <v>4183</v>
      </c>
      <c r="G3456" s="3" t="s">
        <v>43</v>
      </c>
      <c r="H3456" s="3" t="s">
        <v>253</v>
      </c>
      <c r="I3456" s="2">
        <v>1</v>
      </c>
      <c r="J3456" s="2">
        <v>1</v>
      </c>
      <c r="K3456" s="2">
        <v>1</v>
      </c>
      <c r="O3456" s="2">
        <v>1</v>
      </c>
      <c r="P3456" s="2">
        <v>1</v>
      </c>
      <c r="U3456" s="2">
        <v>1</v>
      </c>
      <c r="W3456" s="2">
        <v>1</v>
      </c>
      <c r="X3456" s="2">
        <v>1</v>
      </c>
      <c r="AA3456" s="3" t="s">
        <v>40</v>
      </c>
      <c r="AB3456" s="2">
        <v>4</v>
      </c>
      <c r="AF3456" s="2">
        <v>30.5</v>
      </c>
      <c r="AG3456" s="2">
        <v>1</v>
      </c>
      <c r="AH3456" s="3" t="s">
        <v>3611</v>
      </c>
      <c r="AI3456" s="4">
        <v>45436</v>
      </c>
      <c r="AJ3456" s="3" t="s">
        <v>3612</v>
      </c>
      <c r="AK3456" s="3" t="s">
        <v>645</v>
      </c>
    </row>
    <row r="3457" spans="1:37" hidden="1" x14ac:dyDescent="0.25">
      <c r="A3457" t="str">
        <f t="shared" si="53"/>
        <v>2024_Vic_Kalkee_Fababean_DetailedTOS1VarietyMarneWaterTrtRainFed</v>
      </c>
      <c r="B3457" s="2">
        <v>2024039</v>
      </c>
      <c r="C3457" s="3" t="s">
        <v>3610</v>
      </c>
      <c r="D3457" s="3" t="s">
        <v>645</v>
      </c>
      <c r="F3457" s="3" t="s">
        <v>4184</v>
      </c>
      <c r="G3457" s="3" t="s">
        <v>39</v>
      </c>
      <c r="H3457" s="3" t="s">
        <v>253</v>
      </c>
      <c r="I3457" s="2">
        <v>2</v>
      </c>
      <c r="J3457" s="2">
        <v>2</v>
      </c>
      <c r="K3457" s="2">
        <v>1</v>
      </c>
      <c r="O3457" s="2">
        <v>1</v>
      </c>
      <c r="P3457" s="2">
        <v>1</v>
      </c>
      <c r="U3457" s="2">
        <v>2</v>
      </c>
      <c r="W3457" s="2">
        <v>2</v>
      </c>
      <c r="X3457" s="2">
        <v>1</v>
      </c>
      <c r="AA3457" s="3" t="s">
        <v>40</v>
      </c>
      <c r="AB3457" s="2">
        <v>2</v>
      </c>
      <c r="AF3457" s="2">
        <v>30.5</v>
      </c>
      <c r="AG3457" s="2">
        <v>1</v>
      </c>
      <c r="AH3457" s="3" t="s">
        <v>3611</v>
      </c>
      <c r="AI3457" s="4">
        <v>45436</v>
      </c>
      <c r="AJ3457" s="3" t="s">
        <v>3613</v>
      </c>
      <c r="AK3457" s="3" t="s">
        <v>645</v>
      </c>
    </row>
    <row r="3458" spans="1:37" hidden="1" x14ac:dyDescent="0.25">
      <c r="A3458" t="str">
        <f t="shared" si="53"/>
        <v>2024_Vic_Kalkee_Fababean_DetailedTOS1VarietyAmberleyWaterTrtIrrigated</v>
      </c>
      <c r="B3458" s="2">
        <v>2024039</v>
      </c>
      <c r="C3458" s="3" t="s">
        <v>3610</v>
      </c>
      <c r="D3458" s="3" t="s">
        <v>645</v>
      </c>
      <c r="F3458" s="3" t="s">
        <v>4185</v>
      </c>
      <c r="G3458" s="3" t="s">
        <v>39</v>
      </c>
      <c r="H3458" s="3" t="s">
        <v>253</v>
      </c>
      <c r="I3458" s="2">
        <v>3</v>
      </c>
      <c r="J3458" s="2">
        <v>3</v>
      </c>
      <c r="K3458" s="2">
        <v>1</v>
      </c>
      <c r="O3458" s="2">
        <v>1</v>
      </c>
      <c r="P3458" s="2">
        <v>2</v>
      </c>
      <c r="U3458" s="2">
        <v>3</v>
      </c>
      <c r="W3458" s="2">
        <v>3</v>
      </c>
      <c r="X3458" s="2">
        <v>1</v>
      </c>
      <c r="AA3458" s="3" t="s">
        <v>57</v>
      </c>
      <c r="AB3458" s="2">
        <v>1</v>
      </c>
      <c r="AF3458" s="2">
        <v>30.5</v>
      </c>
      <c r="AG3458" s="2">
        <v>1</v>
      </c>
      <c r="AH3458" s="3" t="s">
        <v>3611</v>
      </c>
      <c r="AI3458" s="4">
        <v>45436</v>
      </c>
      <c r="AJ3458" s="3" t="s">
        <v>3614</v>
      </c>
      <c r="AK3458" s="3" t="s">
        <v>645</v>
      </c>
    </row>
    <row r="3459" spans="1:37" hidden="1" x14ac:dyDescent="0.25">
      <c r="A3459" t="str">
        <f t="shared" ref="A3459:A3522" si="54">C3459&amp;"TOS"&amp;AG3459&amp;"Variety"&amp;F3459&amp;"WaterTrt"&amp;AA3459&amp;IF(AC3459="","","Agronomy"&amp;AC3459)</f>
        <v>2024_Vic_Kalkee_Fababean_DetailedTOS1VarietyNasmaWaterTrtIrrigated</v>
      </c>
      <c r="B3459" s="2">
        <v>2024039</v>
      </c>
      <c r="C3459" s="3" t="s">
        <v>3610</v>
      </c>
      <c r="D3459" s="3" t="s">
        <v>645</v>
      </c>
      <c r="F3459" s="3" t="s">
        <v>4186</v>
      </c>
      <c r="G3459" s="3" t="s">
        <v>43</v>
      </c>
      <c r="H3459" s="3" t="s">
        <v>253</v>
      </c>
      <c r="I3459" s="2">
        <v>4</v>
      </c>
      <c r="J3459" s="2">
        <v>4</v>
      </c>
      <c r="K3459" s="2">
        <v>1</v>
      </c>
      <c r="O3459" s="2">
        <v>1</v>
      </c>
      <c r="P3459" s="2">
        <v>2</v>
      </c>
      <c r="U3459" s="2">
        <v>4</v>
      </c>
      <c r="W3459" s="2">
        <v>4</v>
      </c>
      <c r="X3459" s="2">
        <v>1</v>
      </c>
      <c r="AA3459" s="3" t="s">
        <v>57</v>
      </c>
      <c r="AB3459" s="2">
        <v>3</v>
      </c>
      <c r="AF3459" s="2">
        <v>30.5</v>
      </c>
      <c r="AG3459" s="2">
        <v>1</v>
      </c>
      <c r="AH3459" s="3" t="s">
        <v>3611</v>
      </c>
      <c r="AI3459" s="4">
        <v>45436</v>
      </c>
      <c r="AJ3459" s="3" t="s">
        <v>3615</v>
      </c>
      <c r="AK3459" s="3" t="s">
        <v>645</v>
      </c>
    </row>
    <row r="3460" spans="1:37" hidden="1" x14ac:dyDescent="0.25">
      <c r="A3460" t="str">
        <f t="shared" si="54"/>
        <v>2024_Vic_Kalkee_Fababean_DetailedTOS1VarietySamiraWaterTrtRainFed</v>
      </c>
      <c r="B3460" s="2">
        <v>2024039</v>
      </c>
      <c r="C3460" s="3" t="s">
        <v>3610</v>
      </c>
      <c r="D3460" s="3" t="s">
        <v>645</v>
      </c>
      <c r="F3460" s="3" t="s">
        <v>4183</v>
      </c>
      <c r="G3460" s="3" t="s">
        <v>43</v>
      </c>
      <c r="H3460" s="3" t="s">
        <v>250</v>
      </c>
      <c r="I3460" s="2">
        <v>5</v>
      </c>
      <c r="J3460" s="2">
        <v>1</v>
      </c>
      <c r="K3460" s="2">
        <v>1</v>
      </c>
      <c r="O3460" s="2">
        <v>1</v>
      </c>
      <c r="P3460" s="2">
        <v>1</v>
      </c>
      <c r="U3460" s="2">
        <v>1</v>
      </c>
      <c r="W3460" s="2">
        <v>1</v>
      </c>
      <c r="X3460" s="2">
        <v>2</v>
      </c>
      <c r="Z3460" s="2">
        <v>1</v>
      </c>
      <c r="AA3460" s="3" t="s">
        <v>40</v>
      </c>
      <c r="AB3460" s="2">
        <v>4</v>
      </c>
      <c r="AF3460" s="2">
        <v>30.5</v>
      </c>
      <c r="AG3460" s="2">
        <v>1</v>
      </c>
      <c r="AH3460" s="3" t="s">
        <v>3611</v>
      </c>
      <c r="AI3460" s="4">
        <v>45436</v>
      </c>
      <c r="AJ3460" s="3" t="s">
        <v>3616</v>
      </c>
      <c r="AK3460" s="3" t="s">
        <v>645</v>
      </c>
    </row>
    <row r="3461" spans="1:37" hidden="1" x14ac:dyDescent="0.25">
      <c r="A3461" t="str">
        <f t="shared" si="54"/>
        <v>2024_Vic_Kalkee_Fababean_DetailedTOS1VarietyMarneWaterTrtRainFed</v>
      </c>
      <c r="B3461" s="2">
        <v>2024039</v>
      </c>
      <c r="C3461" s="3" t="s">
        <v>3610</v>
      </c>
      <c r="D3461" s="3" t="s">
        <v>645</v>
      </c>
      <c r="F3461" s="3" t="s">
        <v>4184</v>
      </c>
      <c r="G3461" s="3" t="s">
        <v>39</v>
      </c>
      <c r="H3461" s="3" t="s">
        <v>250</v>
      </c>
      <c r="I3461" s="2">
        <v>6</v>
      </c>
      <c r="J3461" s="2">
        <v>2</v>
      </c>
      <c r="K3461" s="2">
        <v>1</v>
      </c>
      <c r="O3461" s="2">
        <v>1</v>
      </c>
      <c r="P3461" s="2">
        <v>1</v>
      </c>
      <c r="U3461" s="2">
        <v>2</v>
      </c>
      <c r="W3461" s="2">
        <v>2</v>
      </c>
      <c r="X3461" s="2">
        <v>2</v>
      </c>
      <c r="Z3461" s="2">
        <v>2</v>
      </c>
      <c r="AA3461" s="3" t="s">
        <v>40</v>
      </c>
      <c r="AB3461" s="2">
        <v>2</v>
      </c>
      <c r="AF3461" s="2">
        <v>30.5</v>
      </c>
      <c r="AG3461" s="2">
        <v>1</v>
      </c>
      <c r="AH3461" s="3" t="s">
        <v>3611</v>
      </c>
      <c r="AI3461" s="4">
        <v>45436</v>
      </c>
      <c r="AJ3461" s="3" t="s">
        <v>3617</v>
      </c>
      <c r="AK3461" s="3" t="s">
        <v>645</v>
      </c>
    </row>
    <row r="3462" spans="1:37" hidden="1" x14ac:dyDescent="0.25">
      <c r="A3462" t="str">
        <f t="shared" si="54"/>
        <v>2024_Vic_Kalkee_Fababean_DetailedTOS1VarietyAmberleyWaterTrtIrrigated</v>
      </c>
      <c r="B3462" s="2">
        <v>2024039</v>
      </c>
      <c r="C3462" s="3" t="s">
        <v>3610</v>
      </c>
      <c r="D3462" s="3" t="s">
        <v>645</v>
      </c>
      <c r="F3462" s="3" t="s">
        <v>4185</v>
      </c>
      <c r="G3462" s="3" t="s">
        <v>39</v>
      </c>
      <c r="H3462" s="3" t="s">
        <v>250</v>
      </c>
      <c r="I3462" s="2">
        <v>7</v>
      </c>
      <c r="J3462" s="2">
        <v>3</v>
      </c>
      <c r="K3462" s="2">
        <v>1</v>
      </c>
      <c r="O3462" s="2">
        <v>1</v>
      </c>
      <c r="P3462" s="2">
        <v>2</v>
      </c>
      <c r="U3462" s="2">
        <v>3</v>
      </c>
      <c r="W3462" s="2">
        <v>3</v>
      </c>
      <c r="X3462" s="2">
        <v>2</v>
      </c>
      <c r="Z3462" s="2">
        <v>3</v>
      </c>
      <c r="AA3462" s="3" t="s">
        <v>57</v>
      </c>
      <c r="AB3462" s="2">
        <v>1</v>
      </c>
      <c r="AF3462" s="2">
        <v>30.5</v>
      </c>
      <c r="AG3462" s="2">
        <v>1</v>
      </c>
      <c r="AH3462" s="3" t="s">
        <v>3611</v>
      </c>
      <c r="AI3462" s="4">
        <v>45436</v>
      </c>
      <c r="AJ3462" s="3" t="s">
        <v>3618</v>
      </c>
      <c r="AK3462" s="3" t="s">
        <v>645</v>
      </c>
    </row>
    <row r="3463" spans="1:37" hidden="1" x14ac:dyDescent="0.25">
      <c r="A3463" t="str">
        <f t="shared" si="54"/>
        <v>2024_Vic_Kalkee_Fababean_DetailedTOS1VarietyNasmaWaterTrtIrrigated</v>
      </c>
      <c r="B3463" s="2">
        <v>2024039</v>
      </c>
      <c r="C3463" s="3" t="s">
        <v>3610</v>
      </c>
      <c r="D3463" s="3" t="s">
        <v>645</v>
      </c>
      <c r="F3463" s="3" t="s">
        <v>4186</v>
      </c>
      <c r="G3463" s="3" t="s">
        <v>43</v>
      </c>
      <c r="H3463" s="3" t="s">
        <v>250</v>
      </c>
      <c r="I3463" s="2">
        <v>8</v>
      </c>
      <c r="J3463" s="2">
        <v>4</v>
      </c>
      <c r="K3463" s="2">
        <v>1</v>
      </c>
      <c r="O3463" s="2">
        <v>1</v>
      </c>
      <c r="P3463" s="2">
        <v>2</v>
      </c>
      <c r="U3463" s="2">
        <v>4</v>
      </c>
      <c r="W3463" s="2">
        <v>4</v>
      </c>
      <c r="X3463" s="2">
        <v>2</v>
      </c>
      <c r="Z3463" s="2">
        <v>4</v>
      </c>
      <c r="AA3463" s="3" t="s">
        <v>57</v>
      </c>
      <c r="AB3463" s="2">
        <v>3</v>
      </c>
      <c r="AF3463" s="2">
        <v>30.5</v>
      </c>
      <c r="AG3463" s="2">
        <v>1</v>
      </c>
      <c r="AH3463" s="3" t="s">
        <v>3611</v>
      </c>
      <c r="AI3463" s="4">
        <v>45436</v>
      </c>
      <c r="AJ3463" s="3" t="s">
        <v>3619</v>
      </c>
      <c r="AK3463" s="3" t="s">
        <v>645</v>
      </c>
    </row>
    <row r="3464" spans="1:37" hidden="1" x14ac:dyDescent="0.25">
      <c r="A3464" t="str">
        <f t="shared" si="54"/>
        <v>2024_Vic_Kalkee_Fababean_DetailedTOS1VarietyAmberleyWaterTrtRainFed</v>
      </c>
      <c r="B3464" s="2">
        <v>2024039</v>
      </c>
      <c r="C3464" s="3" t="s">
        <v>3610</v>
      </c>
      <c r="D3464" s="3" t="s">
        <v>645</v>
      </c>
      <c r="F3464" s="3" t="s">
        <v>4185</v>
      </c>
      <c r="G3464" s="3" t="s">
        <v>39</v>
      </c>
      <c r="H3464" s="3" t="s">
        <v>253</v>
      </c>
      <c r="I3464" s="2">
        <v>9</v>
      </c>
      <c r="J3464" s="2">
        <v>5</v>
      </c>
      <c r="K3464" s="2">
        <v>1</v>
      </c>
      <c r="O3464" s="2">
        <v>1</v>
      </c>
      <c r="P3464" s="2">
        <v>1</v>
      </c>
      <c r="U3464" s="2">
        <v>1</v>
      </c>
      <c r="W3464" s="2">
        <v>1</v>
      </c>
      <c r="X3464" s="2">
        <v>3</v>
      </c>
      <c r="AA3464" s="3" t="s">
        <v>40</v>
      </c>
      <c r="AB3464" s="2">
        <v>1</v>
      </c>
      <c r="AF3464" s="2">
        <v>30.5</v>
      </c>
      <c r="AG3464" s="2">
        <v>1</v>
      </c>
      <c r="AH3464" s="3" t="s">
        <v>3611</v>
      </c>
      <c r="AI3464" s="4">
        <v>45436</v>
      </c>
      <c r="AJ3464" s="3" t="s">
        <v>3620</v>
      </c>
      <c r="AK3464" s="3" t="s">
        <v>645</v>
      </c>
    </row>
    <row r="3465" spans="1:37" hidden="1" x14ac:dyDescent="0.25">
      <c r="A3465" t="str">
        <f t="shared" si="54"/>
        <v>2024_Vic_Kalkee_Fababean_DetailedTOS1VarietyNasmaWaterTrtRainFed</v>
      </c>
      <c r="B3465" s="2">
        <v>2024039</v>
      </c>
      <c r="C3465" s="3" t="s">
        <v>3610</v>
      </c>
      <c r="D3465" s="3" t="s">
        <v>645</v>
      </c>
      <c r="F3465" s="3" t="s">
        <v>4186</v>
      </c>
      <c r="G3465" s="3" t="s">
        <v>43</v>
      </c>
      <c r="H3465" s="3" t="s">
        <v>253</v>
      </c>
      <c r="I3465" s="2">
        <v>10</v>
      </c>
      <c r="J3465" s="2">
        <v>6</v>
      </c>
      <c r="K3465" s="2">
        <v>1</v>
      </c>
      <c r="O3465" s="2">
        <v>1</v>
      </c>
      <c r="P3465" s="2">
        <v>1</v>
      </c>
      <c r="U3465" s="2">
        <v>2</v>
      </c>
      <c r="W3465" s="2">
        <v>2</v>
      </c>
      <c r="X3465" s="2">
        <v>3</v>
      </c>
      <c r="AA3465" s="3" t="s">
        <v>40</v>
      </c>
      <c r="AB3465" s="2">
        <v>3</v>
      </c>
      <c r="AF3465" s="2">
        <v>30.5</v>
      </c>
      <c r="AG3465" s="2">
        <v>1</v>
      </c>
      <c r="AH3465" s="3" t="s">
        <v>3611</v>
      </c>
      <c r="AI3465" s="4">
        <v>45436</v>
      </c>
      <c r="AJ3465" s="3" t="s">
        <v>3621</v>
      </c>
      <c r="AK3465" s="3" t="s">
        <v>645</v>
      </c>
    </row>
    <row r="3466" spans="1:37" hidden="1" x14ac:dyDescent="0.25">
      <c r="A3466" t="str">
        <f t="shared" si="54"/>
        <v>2024_Vic_Kalkee_Fababean_DetailedTOS1VarietyMarneWaterTrtIrrigated</v>
      </c>
      <c r="B3466" s="2">
        <v>2024039</v>
      </c>
      <c r="C3466" s="3" t="s">
        <v>3610</v>
      </c>
      <c r="D3466" s="3" t="s">
        <v>645</v>
      </c>
      <c r="F3466" s="3" t="s">
        <v>4184</v>
      </c>
      <c r="G3466" s="3" t="s">
        <v>39</v>
      </c>
      <c r="H3466" s="3" t="s">
        <v>253</v>
      </c>
      <c r="I3466" s="2">
        <v>11</v>
      </c>
      <c r="J3466" s="2">
        <v>7</v>
      </c>
      <c r="K3466" s="2">
        <v>1</v>
      </c>
      <c r="O3466" s="2">
        <v>1</v>
      </c>
      <c r="P3466" s="2">
        <v>2</v>
      </c>
      <c r="U3466" s="2">
        <v>3</v>
      </c>
      <c r="W3466" s="2">
        <v>3</v>
      </c>
      <c r="X3466" s="2">
        <v>3</v>
      </c>
      <c r="AA3466" s="3" t="s">
        <v>57</v>
      </c>
      <c r="AB3466" s="2">
        <v>2</v>
      </c>
      <c r="AF3466" s="2">
        <v>30.5</v>
      </c>
      <c r="AG3466" s="2">
        <v>1</v>
      </c>
      <c r="AH3466" s="3" t="s">
        <v>3611</v>
      </c>
      <c r="AI3466" s="4">
        <v>45436</v>
      </c>
      <c r="AJ3466" s="3" t="s">
        <v>3622</v>
      </c>
      <c r="AK3466" s="3" t="s">
        <v>645</v>
      </c>
    </row>
    <row r="3467" spans="1:37" hidden="1" x14ac:dyDescent="0.25">
      <c r="A3467" t="str">
        <f t="shared" si="54"/>
        <v>2024_Vic_Kalkee_Fababean_DetailedTOS1VarietySamiraWaterTrtIrrigated</v>
      </c>
      <c r="B3467" s="2">
        <v>2024039</v>
      </c>
      <c r="C3467" s="3" t="s">
        <v>3610</v>
      </c>
      <c r="D3467" s="3" t="s">
        <v>645</v>
      </c>
      <c r="F3467" s="3" t="s">
        <v>4183</v>
      </c>
      <c r="G3467" s="3" t="s">
        <v>43</v>
      </c>
      <c r="H3467" s="3" t="s">
        <v>253</v>
      </c>
      <c r="I3467" s="2">
        <v>12</v>
      </c>
      <c r="J3467" s="2">
        <v>8</v>
      </c>
      <c r="K3467" s="2">
        <v>1</v>
      </c>
      <c r="O3467" s="2">
        <v>1</v>
      </c>
      <c r="P3467" s="2">
        <v>2</v>
      </c>
      <c r="U3467" s="2">
        <v>4</v>
      </c>
      <c r="W3467" s="2">
        <v>4</v>
      </c>
      <c r="X3467" s="2">
        <v>3</v>
      </c>
      <c r="AA3467" s="3" t="s">
        <v>57</v>
      </c>
      <c r="AB3467" s="2">
        <v>4</v>
      </c>
      <c r="AF3467" s="2">
        <v>30.5</v>
      </c>
      <c r="AG3467" s="2">
        <v>1</v>
      </c>
      <c r="AH3467" s="3" t="s">
        <v>3611</v>
      </c>
      <c r="AI3467" s="4">
        <v>45436</v>
      </c>
      <c r="AJ3467" s="3" t="s">
        <v>3623</v>
      </c>
      <c r="AK3467" s="3" t="s">
        <v>645</v>
      </c>
    </row>
    <row r="3468" spans="1:37" hidden="1" x14ac:dyDescent="0.25">
      <c r="A3468" t="str">
        <f t="shared" si="54"/>
        <v>2024_Vic_Kalkee_Fababean_DetailedTOS1VarietyAmberleyWaterTrtRainFed</v>
      </c>
      <c r="B3468" s="2">
        <v>2024039</v>
      </c>
      <c r="C3468" s="3" t="s">
        <v>3610</v>
      </c>
      <c r="D3468" s="3" t="s">
        <v>645</v>
      </c>
      <c r="F3468" s="3" t="s">
        <v>4185</v>
      </c>
      <c r="G3468" s="3" t="s">
        <v>39</v>
      </c>
      <c r="H3468" s="3" t="s">
        <v>250</v>
      </c>
      <c r="I3468" s="2">
        <v>13</v>
      </c>
      <c r="J3468" s="2">
        <v>5</v>
      </c>
      <c r="K3468" s="2">
        <v>1</v>
      </c>
      <c r="O3468" s="2">
        <v>1</v>
      </c>
      <c r="P3468" s="2">
        <v>1</v>
      </c>
      <c r="U3468" s="2">
        <v>1</v>
      </c>
      <c r="W3468" s="2">
        <v>1</v>
      </c>
      <c r="X3468" s="2">
        <v>4</v>
      </c>
      <c r="Z3468" s="2">
        <v>8</v>
      </c>
      <c r="AA3468" s="3" t="s">
        <v>40</v>
      </c>
      <c r="AB3468" s="2">
        <v>1</v>
      </c>
      <c r="AF3468" s="2">
        <v>30.5</v>
      </c>
      <c r="AG3468" s="2">
        <v>1</v>
      </c>
      <c r="AH3468" s="3" t="s">
        <v>3611</v>
      </c>
      <c r="AI3468" s="4">
        <v>45436</v>
      </c>
      <c r="AJ3468" s="3" t="s">
        <v>3624</v>
      </c>
      <c r="AK3468" s="3" t="s">
        <v>645</v>
      </c>
    </row>
    <row r="3469" spans="1:37" hidden="1" x14ac:dyDescent="0.25">
      <c r="A3469" t="str">
        <f t="shared" si="54"/>
        <v>2024_Vic_Kalkee_Fababean_DetailedTOS1VarietyNasmaWaterTrtRainFed</v>
      </c>
      <c r="B3469" s="2">
        <v>2024039</v>
      </c>
      <c r="C3469" s="3" t="s">
        <v>3610</v>
      </c>
      <c r="D3469" s="3" t="s">
        <v>645</v>
      </c>
      <c r="F3469" s="3" t="s">
        <v>4186</v>
      </c>
      <c r="G3469" s="3" t="s">
        <v>43</v>
      </c>
      <c r="H3469" s="3" t="s">
        <v>250</v>
      </c>
      <c r="I3469" s="2">
        <v>14</v>
      </c>
      <c r="J3469" s="2">
        <v>6</v>
      </c>
      <c r="K3469" s="2">
        <v>1</v>
      </c>
      <c r="O3469" s="2">
        <v>1</v>
      </c>
      <c r="P3469" s="2">
        <v>1</v>
      </c>
      <c r="U3469" s="2">
        <v>2</v>
      </c>
      <c r="W3469" s="2">
        <v>2</v>
      </c>
      <c r="X3469" s="2">
        <v>4</v>
      </c>
      <c r="Z3469" s="2">
        <v>7</v>
      </c>
      <c r="AA3469" s="3" t="s">
        <v>40</v>
      </c>
      <c r="AB3469" s="2">
        <v>3</v>
      </c>
      <c r="AF3469" s="2">
        <v>30.5</v>
      </c>
      <c r="AG3469" s="2">
        <v>1</v>
      </c>
      <c r="AH3469" s="3" t="s">
        <v>3611</v>
      </c>
      <c r="AI3469" s="4">
        <v>45436</v>
      </c>
      <c r="AJ3469" s="3" t="s">
        <v>3625</v>
      </c>
      <c r="AK3469" s="3" t="s">
        <v>645</v>
      </c>
    </row>
    <row r="3470" spans="1:37" hidden="1" x14ac:dyDescent="0.25">
      <c r="A3470" t="str">
        <f t="shared" si="54"/>
        <v>2024_Vic_Kalkee_Fababean_DetailedTOS1VarietyMarneWaterTrtIrrigated</v>
      </c>
      <c r="B3470" s="2">
        <v>2024039</v>
      </c>
      <c r="C3470" s="3" t="s">
        <v>3610</v>
      </c>
      <c r="D3470" s="3" t="s">
        <v>645</v>
      </c>
      <c r="F3470" s="3" t="s">
        <v>4184</v>
      </c>
      <c r="G3470" s="3" t="s">
        <v>39</v>
      </c>
      <c r="H3470" s="3" t="s">
        <v>250</v>
      </c>
      <c r="I3470" s="2">
        <v>15</v>
      </c>
      <c r="J3470" s="2">
        <v>7</v>
      </c>
      <c r="K3470" s="2">
        <v>1</v>
      </c>
      <c r="O3470" s="2">
        <v>1</v>
      </c>
      <c r="P3470" s="2">
        <v>2</v>
      </c>
      <c r="U3470" s="2">
        <v>3</v>
      </c>
      <c r="W3470" s="2">
        <v>3</v>
      </c>
      <c r="X3470" s="2">
        <v>4</v>
      </c>
      <c r="Z3470" s="2">
        <v>6</v>
      </c>
      <c r="AA3470" s="3" t="s">
        <v>57</v>
      </c>
      <c r="AB3470" s="2">
        <v>2</v>
      </c>
      <c r="AF3470" s="2">
        <v>30.5</v>
      </c>
      <c r="AG3470" s="2">
        <v>1</v>
      </c>
      <c r="AH3470" s="3" t="s">
        <v>3611</v>
      </c>
      <c r="AI3470" s="4">
        <v>45436</v>
      </c>
      <c r="AJ3470" s="3" t="s">
        <v>3626</v>
      </c>
      <c r="AK3470" s="3" t="s">
        <v>645</v>
      </c>
    </row>
    <row r="3471" spans="1:37" hidden="1" x14ac:dyDescent="0.25">
      <c r="A3471" t="str">
        <f t="shared" si="54"/>
        <v>2024_Vic_Kalkee_Fababean_DetailedTOS1VarietySamiraWaterTrtIrrigated</v>
      </c>
      <c r="B3471" s="2">
        <v>2024039</v>
      </c>
      <c r="C3471" s="3" t="s">
        <v>3610</v>
      </c>
      <c r="D3471" s="3" t="s">
        <v>645</v>
      </c>
      <c r="F3471" s="3" t="s">
        <v>4183</v>
      </c>
      <c r="G3471" s="3" t="s">
        <v>43</v>
      </c>
      <c r="H3471" s="3" t="s">
        <v>250</v>
      </c>
      <c r="I3471" s="2">
        <v>16</v>
      </c>
      <c r="J3471" s="2">
        <v>8</v>
      </c>
      <c r="K3471" s="2">
        <v>1</v>
      </c>
      <c r="O3471" s="2">
        <v>1</v>
      </c>
      <c r="P3471" s="2">
        <v>2</v>
      </c>
      <c r="U3471" s="2">
        <v>4</v>
      </c>
      <c r="W3471" s="2">
        <v>4</v>
      </c>
      <c r="X3471" s="2">
        <v>4</v>
      </c>
      <c r="Z3471" s="2">
        <v>5</v>
      </c>
      <c r="AA3471" s="3" t="s">
        <v>57</v>
      </c>
      <c r="AB3471" s="2">
        <v>4</v>
      </c>
      <c r="AF3471" s="2">
        <v>30.5</v>
      </c>
      <c r="AG3471" s="2">
        <v>1</v>
      </c>
      <c r="AH3471" s="3" t="s">
        <v>3611</v>
      </c>
      <c r="AI3471" s="4">
        <v>45436</v>
      </c>
      <c r="AJ3471" s="3" t="s">
        <v>3627</v>
      </c>
      <c r="AK3471" s="3" t="s">
        <v>645</v>
      </c>
    </row>
    <row r="3472" spans="1:37" hidden="1" x14ac:dyDescent="0.25">
      <c r="A3472" t="str">
        <f t="shared" si="54"/>
        <v>2024_Vic_Kalkee_Fababean_DetailedTOS2VarietySamiraWaterTrtRainFed</v>
      </c>
      <c r="B3472" s="2">
        <v>2024039</v>
      </c>
      <c r="C3472" s="3" t="s">
        <v>3610</v>
      </c>
      <c r="D3472" s="3" t="s">
        <v>645</v>
      </c>
      <c r="F3472" s="3" t="s">
        <v>4183</v>
      </c>
      <c r="G3472" s="3" t="s">
        <v>43</v>
      </c>
      <c r="H3472" s="3" t="s">
        <v>253</v>
      </c>
      <c r="I3472" s="2">
        <v>17</v>
      </c>
      <c r="J3472" s="2">
        <v>9</v>
      </c>
      <c r="K3472" s="2">
        <v>1</v>
      </c>
      <c r="O3472" s="2">
        <v>2</v>
      </c>
      <c r="P3472" s="2">
        <v>3</v>
      </c>
      <c r="U3472" s="2">
        <v>1</v>
      </c>
      <c r="W3472" s="2">
        <v>1</v>
      </c>
      <c r="X3472" s="2">
        <v>5</v>
      </c>
      <c r="AA3472" s="3" t="s">
        <v>40</v>
      </c>
      <c r="AB3472" s="2">
        <v>4</v>
      </c>
      <c r="AF3472" s="2">
        <v>30.5</v>
      </c>
      <c r="AG3472" s="2">
        <v>2</v>
      </c>
      <c r="AH3472" s="3" t="s">
        <v>3497</v>
      </c>
      <c r="AI3472" s="4">
        <v>45477</v>
      </c>
      <c r="AJ3472" s="3" t="s">
        <v>3628</v>
      </c>
      <c r="AK3472" s="3" t="s">
        <v>645</v>
      </c>
    </row>
    <row r="3473" spans="1:37" hidden="1" x14ac:dyDescent="0.25">
      <c r="A3473" t="str">
        <f t="shared" si="54"/>
        <v>2024_Vic_Kalkee_Fababean_DetailedTOS2VarietyNasmaWaterTrtRainFed</v>
      </c>
      <c r="B3473" s="2">
        <v>2024039</v>
      </c>
      <c r="C3473" s="3" t="s">
        <v>3610</v>
      </c>
      <c r="D3473" s="3" t="s">
        <v>645</v>
      </c>
      <c r="F3473" s="3" t="s">
        <v>4186</v>
      </c>
      <c r="G3473" s="3" t="s">
        <v>43</v>
      </c>
      <c r="H3473" s="3" t="s">
        <v>253</v>
      </c>
      <c r="I3473" s="2">
        <v>18</v>
      </c>
      <c r="J3473" s="2">
        <v>10</v>
      </c>
      <c r="K3473" s="2">
        <v>1</v>
      </c>
      <c r="O3473" s="2">
        <v>2</v>
      </c>
      <c r="P3473" s="2">
        <v>3</v>
      </c>
      <c r="U3473" s="2">
        <v>2</v>
      </c>
      <c r="W3473" s="2">
        <v>2</v>
      </c>
      <c r="X3473" s="2">
        <v>5</v>
      </c>
      <c r="AA3473" s="3" t="s">
        <v>40</v>
      </c>
      <c r="AB3473" s="2">
        <v>3</v>
      </c>
      <c r="AF3473" s="2">
        <v>30.5</v>
      </c>
      <c r="AG3473" s="2">
        <v>2</v>
      </c>
      <c r="AH3473" s="3" t="s">
        <v>3497</v>
      </c>
      <c r="AI3473" s="4">
        <v>45477</v>
      </c>
      <c r="AJ3473" s="3" t="s">
        <v>3629</v>
      </c>
      <c r="AK3473" s="3" t="s">
        <v>645</v>
      </c>
    </row>
    <row r="3474" spans="1:37" hidden="1" x14ac:dyDescent="0.25">
      <c r="A3474" t="str">
        <f t="shared" si="54"/>
        <v>2024_Vic_Kalkee_Fababean_DetailedTOS2VarietyAmberleyWaterTrtIrrigated</v>
      </c>
      <c r="B3474" s="2">
        <v>2024039</v>
      </c>
      <c r="C3474" s="3" t="s">
        <v>3610</v>
      </c>
      <c r="D3474" s="3" t="s">
        <v>645</v>
      </c>
      <c r="F3474" s="3" t="s">
        <v>4185</v>
      </c>
      <c r="G3474" s="3" t="s">
        <v>39</v>
      </c>
      <c r="H3474" s="3" t="s">
        <v>253</v>
      </c>
      <c r="I3474" s="2">
        <v>19</v>
      </c>
      <c r="J3474" s="2">
        <v>11</v>
      </c>
      <c r="K3474" s="2">
        <v>1</v>
      </c>
      <c r="O3474" s="2">
        <v>2</v>
      </c>
      <c r="P3474" s="2">
        <v>4</v>
      </c>
      <c r="U3474" s="2">
        <v>3</v>
      </c>
      <c r="W3474" s="2">
        <v>3</v>
      </c>
      <c r="X3474" s="2">
        <v>5</v>
      </c>
      <c r="AA3474" s="3" t="s">
        <v>57</v>
      </c>
      <c r="AB3474" s="2">
        <v>1</v>
      </c>
      <c r="AF3474" s="2">
        <v>30.5</v>
      </c>
      <c r="AG3474" s="2">
        <v>2</v>
      </c>
      <c r="AH3474" s="3" t="s">
        <v>3497</v>
      </c>
      <c r="AI3474" s="4">
        <v>45477</v>
      </c>
      <c r="AJ3474" s="3" t="s">
        <v>3630</v>
      </c>
      <c r="AK3474" s="3" t="s">
        <v>645</v>
      </c>
    </row>
    <row r="3475" spans="1:37" hidden="1" x14ac:dyDescent="0.25">
      <c r="A3475" t="str">
        <f t="shared" si="54"/>
        <v>2024_Vic_Kalkee_Fababean_DetailedTOS2VarietyMarneWaterTrtIrrigated</v>
      </c>
      <c r="B3475" s="2">
        <v>2024039</v>
      </c>
      <c r="C3475" s="3" t="s">
        <v>3610</v>
      </c>
      <c r="D3475" s="3" t="s">
        <v>645</v>
      </c>
      <c r="F3475" s="3" t="s">
        <v>4184</v>
      </c>
      <c r="G3475" s="3" t="s">
        <v>39</v>
      </c>
      <c r="H3475" s="3" t="s">
        <v>253</v>
      </c>
      <c r="I3475" s="2">
        <v>20</v>
      </c>
      <c r="J3475" s="2">
        <v>12</v>
      </c>
      <c r="K3475" s="2">
        <v>1</v>
      </c>
      <c r="O3475" s="2">
        <v>2</v>
      </c>
      <c r="P3475" s="2">
        <v>4</v>
      </c>
      <c r="U3475" s="2">
        <v>4</v>
      </c>
      <c r="W3475" s="2">
        <v>4</v>
      </c>
      <c r="X3475" s="2">
        <v>5</v>
      </c>
      <c r="AA3475" s="3" t="s">
        <v>57</v>
      </c>
      <c r="AB3475" s="2">
        <v>2</v>
      </c>
      <c r="AF3475" s="2">
        <v>30.5</v>
      </c>
      <c r="AG3475" s="2">
        <v>2</v>
      </c>
      <c r="AH3475" s="3" t="s">
        <v>3497</v>
      </c>
      <c r="AI3475" s="4">
        <v>45477</v>
      </c>
      <c r="AJ3475" s="3" t="s">
        <v>3631</v>
      </c>
      <c r="AK3475" s="3" t="s">
        <v>645</v>
      </c>
    </row>
    <row r="3476" spans="1:37" hidden="1" x14ac:dyDescent="0.25">
      <c r="A3476" t="str">
        <f t="shared" si="54"/>
        <v>2024_Vic_Kalkee_Fababean_DetailedTOS2VarietySamiraWaterTrtRainFed</v>
      </c>
      <c r="B3476" s="2">
        <v>2024039</v>
      </c>
      <c r="C3476" s="3" t="s">
        <v>3610</v>
      </c>
      <c r="D3476" s="3" t="s">
        <v>645</v>
      </c>
      <c r="F3476" s="3" t="s">
        <v>4183</v>
      </c>
      <c r="G3476" s="3" t="s">
        <v>43</v>
      </c>
      <c r="H3476" s="3" t="s">
        <v>250</v>
      </c>
      <c r="I3476" s="2">
        <v>21</v>
      </c>
      <c r="J3476" s="2">
        <v>9</v>
      </c>
      <c r="K3476" s="2">
        <v>1</v>
      </c>
      <c r="O3476" s="2">
        <v>2</v>
      </c>
      <c r="P3476" s="2">
        <v>3</v>
      </c>
      <c r="U3476" s="2">
        <v>1</v>
      </c>
      <c r="W3476" s="2">
        <v>1</v>
      </c>
      <c r="X3476" s="2">
        <v>6</v>
      </c>
      <c r="Z3476" s="2">
        <v>9</v>
      </c>
      <c r="AA3476" s="3" t="s">
        <v>40</v>
      </c>
      <c r="AB3476" s="2">
        <v>4</v>
      </c>
      <c r="AF3476" s="2">
        <v>30.5</v>
      </c>
      <c r="AG3476" s="2">
        <v>2</v>
      </c>
      <c r="AH3476" s="3" t="s">
        <v>3497</v>
      </c>
      <c r="AI3476" s="4">
        <v>45477</v>
      </c>
      <c r="AJ3476" s="3" t="s">
        <v>3632</v>
      </c>
      <c r="AK3476" s="3" t="s">
        <v>645</v>
      </c>
    </row>
    <row r="3477" spans="1:37" hidden="1" x14ac:dyDescent="0.25">
      <c r="A3477" t="str">
        <f t="shared" si="54"/>
        <v>2024_Vic_Kalkee_Fababean_DetailedTOS2VarietyNasmaWaterTrtRainFed</v>
      </c>
      <c r="B3477" s="2">
        <v>2024039</v>
      </c>
      <c r="C3477" s="3" t="s">
        <v>3610</v>
      </c>
      <c r="D3477" s="3" t="s">
        <v>645</v>
      </c>
      <c r="F3477" s="3" t="s">
        <v>4186</v>
      </c>
      <c r="G3477" s="3" t="s">
        <v>43</v>
      </c>
      <c r="H3477" s="3" t="s">
        <v>250</v>
      </c>
      <c r="I3477" s="2">
        <v>22</v>
      </c>
      <c r="J3477" s="2">
        <v>10</v>
      </c>
      <c r="K3477" s="2">
        <v>1</v>
      </c>
      <c r="O3477" s="2">
        <v>2</v>
      </c>
      <c r="P3477" s="2">
        <v>3</v>
      </c>
      <c r="U3477" s="2">
        <v>2</v>
      </c>
      <c r="W3477" s="2">
        <v>2</v>
      </c>
      <c r="X3477" s="2">
        <v>6</v>
      </c>
      <c r="Z3477" s="2">
        <v>10</v>
      </c>
      <c r="AA3477" s="3" t="s">
        <v>40</v>
      </c>
      <c r="AB3477" s="2">
        <v>3</v>
      </c>
      <c r="AF3477" s="2">
        <v>30.5</v>
      </c>
      <c r="AG3477" s="2">
        <v>2</v>
      </c>
      <c r="AH3477" s="3" t="s">
        <v>3497</v>
      </c>
      <c r="AI3477" s="4">
        <v>45477</v>
      </c>
      <c r="AJ3477" s="3" t="s">
        <v>3633</v>
      </c>
      <c r="AK3477" s="3" t="s">
        <v>645</v>
      </c>
    </row>
    <row r="3478" spans="1:37" hidden="1" x14ac:dyDescent="0.25">
      <c r="A3478" t="str">
        <f t="shared" si="54"/>
        <v>2024_Vic_Kalkee_Fababean_DetailedTOS2VarietyAmberleyWaterTrtIrrigated</v>
      </c>
      <c r="B3478" s="2">
        <v>2024039</v>
      </c>
      <c r="C3478" s="3" t="s">
        <v>3610</v>
      </c>
      <c r="D3478" s="3" t="s">
        <v>645</v>
      </c>
      <c r="F3478" s="3" t="s">
        <v>4185</v>
      </c>
      <c r="G3478" s="3" t="s">
        <v>39</v>
      </c>
      <c r="H3478" s="3" t="s">
        <v>250</v>
      </c>
      <c r="I3478" s="2">
        <v>23</v>
      </c>
      <c r="J3478" s="2">
        <v>11</v>
      </c>
      <c r="K3478" s="2">
        <v>1</v>
      </c>
      <c r="O3478" s="2">
        <v>2</v>
      </c>
      <c r="P3478" s="2">
        <v>4</v>
      </c>
      <c r="U3478" s="2">
        <v>3</v>
      </c>
      <c r="W3478" s="2">
        <v>3</v>
      </c>
      <c r="X3478" s="2">
        <v>6</v>
      </c>
      <c r="Z3478" s="2">
        <v>11</v>
      </c>
      <c r="AA3478" s="3" t="s">
        <v>57</v>
      </c>
      <c r="AB3478" s="2">
        <v>1</v>
      </c>
      <c r="AF3478" s="2">
        <v>30.5</v>
      </c>
      <c r="AG3478" s="2">
        <v>2</v>
      </c>
      <c r="AH3478" s="3" t="s">
        <v>3497</v>
      </c>
      <c r="AI3478" s="4">
        <v>45477</v>
      </c>
      <c r="AJ3478" s="3" t="s">
        <v>3634</v>
      </c>
      <c r="AK3478" s="3" t="s">
        <v>645</v>
      </c>
    </row>
    <row r="3479" spans="1:37" hidden="1" x14ac:dyDescent="0.25">
      <c r="A3479" t="str">
        <f t="shared" si="54"/>
        <v>2024_Vic_Kalkee_Fababean_DetailedTOS2VarietyMarneWaterTrtIrrigated</v>
      </c>
      <c r="B3479" s="2">
        <v>2024039</v>
      </c>
      <c r="C3479" s="3" t="s">
        <v>3610</v>
      </c>
      <c r="D3479" s="3" t="s">
        <v>645</v>
      </c>
      <c r="F3479" s="3" t="s">
        <v>4184</v>
      </c>
      <c r="G3479" s="3" t="s">
        <v>39</v>
      </c>
      <c r="H3479" s="3" t="s">
        <v>250</v>
      </c>
      <c r="I3479" s="2">
        <v>24</v>
      </c>
      <c r="J3479" s="2">
        <v>12</v>
      </c>
      <c r="K3479" s="2">
        <v>1</v>
      </c>
      <c r="O3479" s="2">
        <v>2</v>
      </c>
      <c r="P3479" s="2">
        <v>4</v>
      </c>
      <c r="U3479" s="2">
        <v>4</v>
      </c>
      <c r="W3479" s="2">
        <v>4</v>
      </c>
      <c r="X3479" s="2">
        <v>6</v>
      </c>
      <c r="Z3479" s="2">
        <v>12</v>
      </c>
      <c r="AA3479" s="3" t="s">
        <v>57</v>
      </c>
      <c r="AB3479" s="2">
        <v>2</v>
      </c>
      <c r="AF3479" s="2">
        <v>30.5</v>
      </c>
      <c r="AG3479" s="2">
        <v>2</v>
      </c>
      <c r="AH3479" s="3" t="s">
        <v>3497</v>
      </c>
      <c r="AI3479" s="4">
        <v>45477</v>
      </c>
      <c r="AJ3479" s="3" t="s">
        <v>3635</v>
      </c>
      <c r="AK3479" s="3" t="s">
        <v>645</v>
      </c>
    </row>
    <row r="3480" spans="1:37" hidden="1" x14ac:dyDescent="0.25">
      <c r="A3480" t="str">
        <f t="shared" si="54"/>
        <v>2024_Vic_Kalkee_Fababean_DetailedTOS2VarietyAmberleyWaterTrtRainFed</v>
      </c>
      <c r="B3480" s="2">
        <v>2024039</v>
      </c>
      <c r="C3480" s="3" t="s">
        <v>3610</v>
      </c>
      <c r="D3480" s="3" t="s">
        <v>645</v>
      </c>
      <c r="F3480" s="3" t="s">
        <v>4185</v>
      </c>
      <c r="G3480" s="3" t="s">
        <v>39</v>
      </c>
      <c r="H3480" s="3" t="s">
        <v>253</v>
      </c>
      <c r="I3480" s="2">
        <v>25</v>
      </c>
      <c r="J3480" s="2">
        <v>13</v>
      </c>
      <c r="K3480" s="2">
        <v>1</v>
      </c>
      <c r="O3480" s="2">
        <v>2</v>
      </c>
      <c r="P3480" s="2">
        <v>3</v>
      </c>
      <c r="U3480" s="2">
        <v>1</v>
      </c>
      <c r="W3480" s="2">
        <v>1</v>
      </c>
      <c r="X3480" s="2">
        <v>7</v>
      </c>
      <c r="AA3480" s="3" t="s">
        <v>40</v>
      </c>
      <c r="AB3480" s="2">
        <v>1</v>
      </c>
      <c r="AF3480" s="2">
        <v>30.5</v>
      </c>
      <c r="AG3480" s="2">
        <v>2</v>
      </c>
      <c r="AH3480" s="3" t="s">
        <v>3497</v>
      </c>
      <c r="AI3480" s="4">
        <v>45477</v>
      </c>
      <c r="AJ3480" s="3" t="s">
        <v>3636</v>
      </c>
      <c r="AK3480" s="3" t="s">
        <v>645</v>
      </c>
    </row>
    <row r="3481" spans="1:37" hidden="1" x14ac:dyDescent="0.25">
      <c r="A3481" t="str">
        <f t="shared" si="54"/>
        <v>2024_Vic_Kalkee_Fababean_DetailedTOS2VarietyMarneWaterTrtRainFed</v>
      </c>
      <c r="B3481" s="2">
        <v>2024039</v>
      </c>
      <c r="C3481" s="3" t="s">
        <v>3610</v>
      </c>
      <c r="D3481" s="3" t="s">
        <v>645</v>
      </c>
      <c r="F3481" s="3" t="s">
        <v>4184</v>
      </c>
      <c r="G3481" s="3" t="s">
        <v>39</v>
      </c>
      <c r="H3481" s="3" t="s">
        <v>253</v>
      </c>
      <c r="I3481" s="2">
        <v>26</v>
      </c>
      <c r="J3481" s="2">
        <v>14</v>
      </c>
      <c r="K3481" s="2">
        <v>1</v>
      </c>
      <c r="O3481" s="2">
        <v>2</v>
      </c>
      <c r="P3481" s="2">
        <v>3</v>
      </c>
      <c r="U3481" s="2">
        <v>2</v>
      </c>
      <c r="W3481" s="2">
        <v>2</v>
      </c>
      <c r="X3481" s="2">
        <v>7</v>
      </c>
      <c r="AA3481" s="3" t="s">
        <v>40</v>
      </c>
      <c r="AB3481" s="2">
        <v>2</v>
      </c>
      <c r="AF3481" s="2">
        <v>30.5</v>
      </c>
      <c r="AG3481" s="2">
        <v>2</v>
      </c>
      <c r="AH3481" s="3" t="s">
        <v>3497</v>
      </c>
      <c r="AI3481" s="4">
        <v>45477</v>
      </c>
      <c r="AJ3481" s="3" t="s">
        <v>3637</v>
      </c>
      <c r="AK3481" s="3" t="s">
        <v>645</v>
      </c>
    </row>
    <row r="3482" spans="1:37" hidden="1" x14ac:dyDescent="0.25">
      <c r="A3482" t="str">
        <f t="shared" si="54"/>
        <v>2024_Vic_Kalkee_Fababean_DetailedTOS2VarietyNasmaWaterTrtIrrigated</v>
      </c>
      <c r="B3482" s="2">
        <v>2024039</v>
      </c>
      <c r="C3482" s="3" t="s">
        <v>3610</v>
      </c>
      <c r="D3482" s="3" t="s">
        <v>645</v>
      </c>
      <c r="F3482" s="3" t="s">
        <v>4186</v>
      </c>
      <c r="G3482" s="3" t="s">
        <v>43</v>
      </c>
      <c r="H3482" s="3" t="s">
        <v>253</v>
      </c>
      <c r="I3482" s="2">
        <v>27</v>
      </c>
      <c r="J3482" s="2">
        <v>15</v>
      </c>
      <c r="K3482" s="2">
        <v>1</v>
      </c>
      <c r="O3482" s="2">
        <v>2</v>
      </c>
      <c r="P3482" s="2">
        <v>4</v>
      </c>
      <c r="U3482" s="2">
        <v>3</v>
      </c>
      <c r="W3482" s="2">
        <v>3</v>
      </c>
      <c r="X3482" s="2">
        <v>7</v>
      </c>
      <c r="AA3482" s="3" t="s">
        <v>57</v>
      </c>
      <c r="AB3482" s="2">
        <v>3</v>
      </c>
      <c r="AF3482" s="2">
        <v>30.5</v>
      </c>
      <c r="AG3482" s="2">
        <v>2</v>
      </c>
      <c r="AH3482" s="3" t="s">
        <v>3497</v>
      </c>
      <c r="AI3482" s="4">
        <v>45477</v>
      </c>
      <c r="AJ3482" s="3" t="s">
        <v>3638</v>
      </c>
      <c r="AK3482" s="3" t="s">
        <v>645</v>
      </c>
    </row>
    <row r="3483" spans="1:37" hidden="1" x14ac:dyDescent="0.25">
      <c r="A3483" t="str">
        <f t="shared" si="54"/>
        <v>2024_Vic_Kalkee_Fababean_DetailedTOS2VarietySamiraWaterTrtIrrigated</v>
      </c>
      <c r="B3483" s="2">
        <v>2024039</v>
      </c>
      <c r="C3483" s="3" t="s">
        <v>3610</v>
      </c>
      <c r="D3483" s="3" t="s">
        <v>645</v>
      </c>
      <c r="F3483" s="3" t="s">
        <v>4183</v>
      </c>
      <c r="G3483" s="3" t="s">
        <v>43</v>
      </c>
      <c r="H3483" s="3" t="s">
        <v>253</v>
      </c>
      <c r="I3483" s="2">
        <v>28</v>
      </c>
      <c r="J3483" s="2">
        <v>16</v>
      </c>
      <c r="K3483" s="2">
        <v>1</v>
      </c>
      <c r="O3483" s="2">
        <v>2</v>
      </c>
      <c r="P3483" s="2">
        <v>4</v>
      </c>
      <c r="U3483" s="2">
        <v>4</v>
      </c>
      <c r="W3483" s="2">
        <v>4</v>
      </c>
      <c r="X3483" s="2">
        <v>7</v>
      </c>
      <c r="AA3483" s="3" t="s">
        <v>57</v>
      </c>
      <c r="AB3483" s="2">
        <v>4</v>
      </c>
      <c r="AF3483" s="2">
        <v>30.5</v>
      </c>
      <c r="AG3483" s="2">
        <v>2</v>
      </c>
      <c r="AH3483" s="3" t="s">
        <v>3497</v>
      </c>
      <c r="AI3483" s="4">
        <v>45477</v>
      </c>
      <c r="AJ3483" s="3" t="s">
        <v>3639</v>
      </c>
      <c r="AK3483" s="3" t="s">
        <v>645</v>
      </c>
    </row>
    <row r="3484" spans="1:37" hidden="1" x14ac:dyDescent="0.25">
      <c r="A3484" t="str">
        <f t="shared" si="54"/>
        <v>2024_Vic_Kalkee_Fababean_DetailedTOS2VarietyAmberleyWaterTrtRainFed</v>
      </c>
      <c r="B3484" s="2">
        <v>2024039</v>
      </c>
      <c r="C3484" s="3" t="s">
        <v>3610</v>
      </c>
      <c r="D3484" s="3" t="s">
        <v>645</v>
      </c>
      <c r="F3484" s="3" t="s">
        <v>4185</v>
      </c>
      <c r="G3484" s="3" t="s">
        <v>39</v>
      </c>
      <c r="H3484" s="3" t="s">
        <v>250</v>
      </c>
      <c r="I3484" s="2">
        <v>29</v>
      </c>
      <c r="J3484" s="2">
        <v>13</v>
      </c>
      <c r="K3484" s="2">
        <v>1</v>
      </c>
      <c r="O3484" s="2">
        <v>2</v>
      </c>
      <c r="P3484" s="2">
        <v>3</v>
      </c>
      <c r="U3484" s="2">
        <v>1</v>
      </c>
      <c r="W3484" s="2">
        <v>1</v>
      </c>
      <c r="X3484" s="2">
        <v>8</v>
      </c>
      <c r="Z3484" s="2">
        <v>16</v>
      </c>
      <c r="AA3484" s="3" t="s">
        <v>40</v>
      </c>
      <c r="AB3484" s="2">
        <v>1</v>
      </c>
      <c r="AF3484" s="2">
        <v>30.5</v>
      </c>
      <c r="AG3484" s="2">
        <v>2</v>
      </c>
      <c r="AH3484" s="3" t="s">
        <v>3497</v>
      </c>
      <c r="AI3484" s="4">
        <v>45477</v>
      </c>
      <c r="AJ3484" s="3" t="s">
        <v>3640</v>
      </c>
      <c r="AK3484" s="3" t="s">
        <v>645</v>
      </c>
    </row>
    <row r="3485" spans="1:37" hidden="1" x14ac:dyDescent="0.25">
      <c r="A3485" t="str">
        <f t="shared" si="54"/>
        <v>2024_Vic_Kalkee_Fababean_DetailedTOS2VarietyMarneWaterTrtRainFed</v>
      </c>
      <c r="B3485" s="2">
        <v>2024039</v>
      </c>
      <c r="C3485" s="3" t="s">
        <v>3610</v>
      </c>
      <c r="D3485" s="3" t="s">
        <v>645</v>
      </c>
      <c r="F3485" s="3" t="s">
        <v>4184</v>
      </c>
      <c r="G3485" s="3" t="s">
        <v>39</v>
      </c>
      <c r="H3485" s="3" t="s">
        <v>250</v>
      </c>
      <c r="I3485" s="2">
        <v>30</v>
      </c>
      <c r="J3485" s="2">
        <v>14</v>
      </c>
      <c r="K3485" s="2">
        <v>1</v>
      </c>
      <c r="O3485" s="2">
        <v>2</v>
      </c>
      <c r="P3485" s="2">
        <v>3</v>
      </c>
      <c r="U3485" s="2">
        <v>2</v>
      </c>
      <c r="W3485" s="2">
        <v>2</v>
      </c>
      <c r="X3485" s="2">
        <v>8</v>
      </c>
      <c r="Z3485" s="2">
        <v>15</v>
      </c>
      <c r="AA3485" s="3" t="s">
        <v>40</v>
      </c>
      <c r="AB3485" s="2">
        <v>2</v>
      </c>
      <c r="AF3485" s="2">
        <v>30.5</v>
      </c>
      <c r="AG3485" s="2">
        <v>2</v>
      </c>
      <c r="AH3485" s="3" t="s">
        <v>3497</v>
      </c>
      <c r="AI3485" s="4">
        <v>45477</v>
      </c>
      <c r="AJ3485" s="3" t="s">
        <v>3641</v>
      </c>
      <c r="AK3485" s="3" t="s">
        <v>645</v>
      </c>
    </row>
    <row r="3486" spans="1:37" hidden="1" x14ac:dyDescent="0.25">
      <c r="A3486" t="str">
        <f t="shared" si="54"/>
        <v>2024_Vic_Kalkee_Fababean_DetailedTOS2VarietyNasmaWaterTrtIrrigated</v>
      </c>
      <c r="B3486" s="2">
        <v>2024039</v>
      </c>
      <c r="C3486" s="3" t="s">
        <v>3610</v>
      </c>
      <c r="D3486" s="3" t="s">
        <v>645</v>
      </c>
      <c r="F3486" s="3" t="s">
        <v>4186</v>
      </c>
      <c r="G3486" s="3" t="s">
        <v>43</v>
      </c>
      <c r="H3486" s="3" t="s">
        <v>250</v>
      </c>
      <c r="I3486" s="2">
        <v>31</v>
      </c>
      <c r="J3486" s="2">
        <v>15</v>
      </c>
      <c r="K3486" s="2">
        <v>1</v>
      </c>
      <c r="O3486" s="2">
        <v>2</v>
      </c>
      <c r="P3486" s="2">
        <v>4</v>
      </c>
      <c r="U3486" s="2">
        <v>3</v>
      </c>
      <c r="W3486" s="2">
        <v>3</v>
      </c>
      <c r="X3486" s="2">
        <v>8</v>
      </c>
      <c r="Z3486" s="2">
        <v>14</v>
      </c>
      <c r="AA3486" s="3" t="s">
        <v>57</v>
      </c>
      <c r="AB3486" s="2">
        <v>3</v>
      </c>
      <c r="AF3486" s="2">
        <v>30.5</v>
      </c>
      <c r="AG3486" s="2">
        <v>2</v>
      </c>
      <c r="AH3486" s="3" t="s">
        <v>3497</v>
      </c>
      <c r="AI3486" s="4">
        <v>45477</v>
      </c>
      <c r="AJ3486" s="3" t="s">
        <v>3642</v>
      </c>
      <c r="AK3486" s="3" t="s">
        <v>645</v>
      </c>
    </row>
    <row r="3487" spans="1:37" hidden="1" x14ac:dyDescent="0.25">
      <c r="A3487" t="str">
        <f t="shared" si="54"/>
        <v>2024_Vic_Kalkee_Fababean_DetailedTOS2VarietySamiraWaterTrtIrrigated</v>
      </c>
      <c r="B3487" s="2">
        <v>2024039</v>
      </c>
      <c r="C3487" s="3" t="s">
        <v>3610</v>
      </c>
      <c r="D3487" s="3" t="s">
        <v>645</v>
      </c>
      <c r="F3487" s="3" t="s">
        <v>4183</v>
      </c>
      <c r="G3487" s="3" t="s">
        <v>43</v>
      </c>
      <c r="H3487" s="3" t="s">
        <v>250</v>
      </c>
      <c r="I3487" s="2">
        <v>32</v>
      </c>
      <c r="J3487" s="2">
        <v>16</v>
      </c>
      <c r="K3487" s="2">
        <v>1</v>
      </c>
      <c r="O3487" s="2">
        <v>2</v>
      </c>
      <c r="P3487" s="2">
        <v>4</v>
      </c>
      <c r="U3487" s="2">
        <v>4</v>
      </c>
      <c r="W3487" s="2">
        <v>4</v>
      </c>
      <c r="X3487" s="2">
        <v>8</v>
      </c>
      <c r="Z3487" s="2">
        <v>13</v>
      </c>
      <c r="AA3487" s="3" t="s">
        <v>57</v>
      </c>
      <c r="AB3487" s="2">
        <v>4</v>
      </c>
      <c r="AF3487" s="2">
        <v>30.5</v>
      </c>
      <c r="AG3487" s="2">
        <v>2</v>
      </c>
      <c r="AH3487" s="3" t="s">
        <v>3497</v>
      </c>
      <c r="AI3487" s="4">
        <v>45477</v>
      </c>
      <c r="AJ3487" s="3" t="s">
        <v>3643</v>
      </c>
      <c r="AK3487" s="3" t="s">
        <v>645</v>
      </c>
    </row>
    <row r="3488" spans="1:37" hidden="1" x14ac:dyDescent="0.25">
      <c r="A3488" t="str">
        <f t="shared" si="54"/>
        <v>2024_Vic_Kalkee_Fababean_DetailedTOS2VarietyMarneWaterTrtIrrigated</v>
      </c>
      <c r="B3488" s="2">
        <v>2024039</v>
      </c>
      <c r="C3488" s="3" t="s">
        <v>3610</v>
      </c>
      <c r="D3488" s="3" t="s">
        <v>645</v>
      </c>
      <c r="F3488" s="3" t="s">
        <v>4184</v>
      </c>
      <c r="G3488" s="3" t="s">
        <v>39</v>
      </c>
      <c r="H3488" s="3" t="s">
        <v>253</v>
      </c>
      <c r="I3488" s="2">
        <v>33</v>
      </c>
      <c r="J3488" s="2">
        <v>17</v>
      </c>
      <c r="K3488" s="2">
        <v>2</v>
      </c>
      <c r="O3488" s="2">
        <v>3</v>
      </c>
      <c r="P3488" s="2">
        <v>5</v>
      </c>
      <c r="U3488" s="2">
        <v>1</v>
      </c>
      <c r="W3488" s="2">
        <v>1</v>
      </c>
      <c r="X3488" s="2">
        <v>9</v>
      </c>
      <c r="AA3488" s="3" t="s">
        <v>57</v>
      </c>
      <c r="AB3488" s="2">
        <v>2</v>
      </c>
      <c r="AF3488" s="2">
        <v>30.5</v>
      </c>
      <c r="AG3488" s="2">
        <v>2</v>
      </c>
      <c r="AH3488" s="3" t="s">
        <v>3497</v>
      </c>
      <c r="AI3488" s="4">
        <v>45477</v>
      </c>
      <c r="AJ3488" s="3" t="s">
        <v>3644</v>
      </c>
      <c r="AK3488" s="3" t="s">
        <v>645</v>
      </c>
    </row>
    <row r="3489" spans="1:37" hidden="1" x14ac:dyDescent="0.25">
      <c r="A3489" t="str">
        <f t="shared" si="54"/>
        <v>2024_Vic_Kalkee_Fababean_DetailedTOS2VarietyAmberleyWaterTrtIrrigated</v>
      </c>
      <c r="B3489" s="2">
        <v>2024039</v>
      </c>
      <c r="C3489" s="3" t="s">
        <v>3610</v>
      </c>
      <c r="D3489" s="3" t="s">
        <v>645</v>
      </c>
      <c r="F3489" s="3" t="s">
        <v>4185</v>
      </c>
      <c r="G3489" s="3" t="s">
        <v>39</v>
      </c>
      <c r="H3489" s="3" t="s">
        <v>253</v>
      </c>
      <c r="I3489" s="2">
        <v>34</v>
      </c>
      <c r="J3489" s="2">
        <v>18</v>
      </c>
      <c r="K3489" s="2">
        <v>2</v>
      </c>
      <c r="O3489" s="2">
        <v>3</v>
      </c>
      <c r="P3489" s="2">
        <v>5</v>
      </c>
      <c r="U3489" s="2">
        <v>2</v>
      </c>
      <c r="W3489" s="2">
        <v>2</v>
      </c>
      <c r="X3489" s="2">
        <v>9</v>
      </c>
      <c r="AA3489" s="3" t="s">
        <v>57</v>
      </c>
      <c r="AB3489" s="2">
        <v>1</v>
      </c>
      <c r="AF3489" s="2">
        <v>30.5</v>
      </c>
      <c r="AG3489" s="2">
        <v>2</v>
      </c>
      <c r="AH3489" s="3" t="s">
        <v>3497</v>
      </c>
      <c r="AI3489" s="4">
        <v>45477</v>
      </c>
      <c r="AJ3489" s="3" t="s">
        <v>3645</v>
      </c>
      <c r="AK3489" s="3" t="s">
        <v>645</v>
      </c>
    </row>
    <row r="3490" spans="1:37" hidden="1" x14ac:dyDescent="0.25">
      <c r="A3490" t="str">
        <f t="shared" si="54"/>
        <v>2024_Vic_Kalkee_Fababean_DetailedTOS2VarietySamiraWaterTrtRainFed</v>
      </c>
      <c r="B3490" s="2">
        <v>2024039</v>
      </c>
      <c r="C3490" s="3" t="s">
        <v>3610</v>
      </c>
      <c r="D3490" s="3" t="s">
        <v>645</v>
      </c>
      <c r="F3490" s="3" t="s">
        <v>4183</v>
      </c>
      <c r="G3490" s="3" t="s">
        <v>43</v>
      </c>
      <c r="H3490" s="3" t="s">
        <v>253</v>
      </c>
      <c r="I3490" s="2">
        <v>35</v>
      </c>
      <c r="J3490" s="2">
        <v>19</v>
      </c>
      <c r="K3490" s="2">
        <v>2</v>
      </c>
      <c r="O3490" s="2">
        <v>3</v>
      </c>
      <c r="P3490" s="2">
        <v>6</v>
      </c>
      <c r="U3490" s="2">
        <v>3</v>
      </c>
      <c r="W3490" s="2">
        <v>3</v>
      </c>
      <c r="X3490" s="2">
        <v>9</v>
      </c>
      <c r="AA3490" s="3" t="s">
        <v>40</v>
      </c>
      <c r="AB3490" s="2">
        <v>4</v>
      </c>
      <c r="AF3490" s="2">
        <v>30.5</v>
      </c>
      <c r="AG3490" s="2">
        <v>2</v>
      </c>
      <c r="AH3490" s="3" t="s">
        <v>3497</v>
      </c>
      <c r="AI3490" s="4">
        <v>45477</v>
      </c>
      <c r="AJ3490" s="3" t="s">
        <v>3646</v>
      </c>
      <c r="AK3490" s="3" t="s">
        <v>645</v>
      </c>
    </row>
    <row r="3491" spans="1:37" hidden="1" x14ac:dyDescent="0.25">
      <c r="A3491" t="str">
        <f t="shared" si="54"/>
        <v>2024_Vic_Kalkee_Fababean_DetailedTOS2VarietyNasmaWaterTrtRainFed</v>
      </c>
      <c r="B3491" s="2">
        <v>2024039</v>
      </c>
      <c r="C3491" s="3" t="s">
        <v>3610</v>
      </c>
      <c r="D3491" s="3" t="s">
        <v>645</v>
      </c>
      <c r="F3491" s="3" t="s">
        <v>4186</v>
      </c>
      <c r="G3491" s="3" t="s">
        <v>43</v>
      </c>
      <c r="H3491" s="3" t="s">
        <v>253</v>
      </c>
      <c r="I3491" s="2">
        <v>36</v>
      </c>
      <c r="J3491" s="2">
        <v>20</v>
      </c>
      <c r="K3491" s="2">
        <v>2</v>
      </c>
      <c r="O3491" s="2">
        <v>3</v>
      </c>
      <c r="P3491" s="2">
        <v>6</v>
      </c>
      <c r="U3491" s="2">
        <v>4</v>
      </c>
      <c r="W3491" s="2">
        <v>4</v>
      </c>
      <c r="X3491" s="2">
        <v>9</v>
      </c>
      <c r="AA3491" s="3" t="s">
        <v>40</v>
      </c>
      <c r="AB3491" s="2">
        <v>3</v>
      </c>
      <c r="AF3491" s="2">
        <v>30.5</v>
      </c>
      <c r="AG3491" s="2">
        <v>2</v>
      </c>
      <c r="AH3491" s="3" t="s">
        <v>3497</v>
      </c>
      <c r="AI3491" s="4">
        <v>45477</v>
      </c>
      <c r="AJ3491" s="3" t="s">
        <v>3647</v>
      </c>
      <c r="AK3491" s="3" t="s">
        <v>645</v>
      </c>
    </row>
    <row r="3492" spans="1:37" hidden="1" x14ac:dyDescent="0.25">
      <c r="A3492" t="str">
        <f t="shared" si="54"/>
        <v>2024_Vic_Kalkee_Fababean_DetailedTOS2VarietyMarneWaterTrtIrrigated</v>
      </c>
      <c r="B3492" s="2">
        <v>2024039</v>
      </c>
      <c r="C3492" s="3" t="s">
        <v>3610</v>
      </c>
      <c r="D3492" s="3" t="s">
        <v>645</v>
      </c>
      <c r="F3492" s="3" t="s">
        <v>4184</v>
      </c>
      <c r="G3492" s="3" t="s">
        <v>39</v>
      </c>
      <c r="H3492" s="3" t="s">
        <v>250</v>
      </c>
      <c r="I3492" s="2">
        <v>37</v>
      </c>
      <c r="J3492" s="2">
        <v>17</v>
      </c>
      <c r="K3492" s="2">
        <v>2</v>
      </c>
      <c r="O3492" s="2">
        <v>3</v>
      </c>
      <c r="P3492" s="2">
        <v>5</v>
      </c>
      <c r="U3492" s="2">
        <v>1</v>
      </c>
      <c r="W3492" s="2">
        <v>1</v>
      </c>
      <c r="X3492" s="2">
        <v>10</v>
      </c>
      <c r="Z3492" s="2">
        <v>17</v>
      </c>
      <c r="AA3492" s="3" t="s">
        <v>57</v>
      </c>
      <c r="AB3492" s="2">
        <v>2</v>
      </c>
      <c r="AF3492" s="2">
        <v>30.5</v>
      </c>
      <c r="AG3492" s="2">
        <v>2</v>
      </c>
      <c r="AH3492" s="3" t="s">
        <v>3497</v>
      </c>
      <c r="AI3492" s="4">
        <v>45477</v>
      </c>
      <c r="AJ3492" s="3" t="s">
        <v>3648</v>
      </c>
      <c r="AK3492" s="3" t="s">
        <v>645</v>
      </c>
    </row>
    <row r="3493" spans="1:37" hidden="1" x14ac:dyDescent="0.25">
      <c r="A3493" t="str">
        <f t="shared" si="54"/>
        <v>2024_Vic_Kalkee_Fababean_DetailedTOS2VarietyAmberleyWaterTrtIrrigated</v>
      </c>
      <c r="B3493" s="2">
        <v>2024039</v>
      </c>
      <c r="C3493" s="3" t="s">
        <v>3610</v>
      </c>
      <c r="D3493" s="3" t="s">
        <v>645</v>
      </c>
      <c r="F3493" s="3" t="s">
        <v>4185</v>
      </c>
      <c r="G3493" s="3" t="s">
        <v>39</v>
      </c>
      <c r="H3493" s="3" t="s">
        <v>250</v>
      </c>
      <c r="I3493" s="2">
        <v>38</v>
      </c>
      <c r="J3493" s="2">
        <v>18</v>
      </c>
      <c r="K3493" s="2">
        <v>2</v>
      </c>
      <c r="O3493" s="2">
        <v>3</v>
      </c>
      <c r="P3493" s="2">
        <v>5</v>
      </c>
      <c r="U3493" s="2">
        <v>2</v>
      </c>
      <c r="W3493" s="2">
        <v>2</v>
      </c>
      <c r="X3493" s="2">
        <v>10</v>
      </c>
      <c r="Z3493" s="2">
        <v>18</v>
      </c>
      <c r="AA3493" s="3" t="s">
        <v>57</v>
      </c>
      <c r="AB3493" s="2">
        <v>1</v>
      </c>
      <c r="AF3493" s="2">
        <v>30.5</v>
      </c>
      <c r="AG3493" s="2">
        <v>2</v>
      </c>
      <c r="AH3493" s="3" t="s">
        <v>3497</v>
      </c>
      <c r="AI3493" s="4">
        <v>45477</v>
      </c>
      <c r="AJ3493" s="3" t="s">
        <v>3649</v>
      </c>
      <c r="AK3493" s="3" t="s">
        <v>645</v>
      </c>
    </row>
    <row r="3494" spans="1:37" hidden="1" x14ac:dyDescent="0.25">
      <c r="A3494" t="str">
        <f t="shared" si="54"/>
        <v>2024_Vic_Kalkee_Fababean_DetailedTOS2VarietySamiraWaterTrtRainFed</v>
      </c>
      <c r="B3494" s="2">
        <v>2024039</v>
      </c>
      <c r="C3494" s="3" t="s">
        <v>3610</v>
      </c>
      <c r="D3494" s="3" t="s">
        <v>645</v>
      </c>
      <c r="F3494" s="3" t="s">
        <v>4183</v>
      </c>
      <c r="G3494" s="3" t="s">
        <v>43</v>
      </c>
      <c r="H3494" s="3" t="s">
        <v>250</v>
      </c>
      <c r="I3494" s="2">
        <v>39</v>
      </c>
      <c r="J3494" s="2">
        <v>19</v>
      </c>
      <c r="K3494" s="2">
        <v>2</v>
      </c>
      <c r="O3494" s="2">
        <v>3</v>
      </c>
      <c r="P3494" s="2">
        <v>6</v>
      </c>
      <c r="U3494" s="2">
        <v>3</v>
      </c>
      <c r="W3494" s="2">
        <v>3</v>
      </c>
      <c r="X3494" s="2">
        <v>10</v>
      </c>
      <c r="Z3494" s="2">
        <v>19</v>
      </c>
      <c r="AA3494" s="3" t="s">
        <v>40</v>
      </c>
      <c r="AB3494" s="2">
        <v>4</v>
      </c>
      <c r="AF3494" s="2">
        <v>30.5</v>
      </c>
      <c r="AG3494" s="2">
        <v>2</v>
      </c>
      <c r="AH3494" s="3" t="s">
        <v>3497</v>
      </c>
      <c r="AI3494" s="4">
        <v>45477</v>
      </c>
      <c r="AJ3494" s="3" t="s">
        <v>3650</v>
      </c>
      <c r="AK3494" s="3" t="s">
        <v>645</v>
      </c>
    </row>
    <row r="3495" spans="1:37" hidden="1" x14ac:dyDescent="0.25">
      <c r="A3495" t="str">
        <f t="shared" si="54"/>
        <v>2024_Vic_Kalkee_Fababean_DetailedTOS2VarietyNasmaWaterTrtRainFed</v>
      </c>
      <c r="B3495" s="2">
        <v>2024039</v>
      </c>
      <c r="C3495" s="3" t="s">
        <v>3610</v>
      </c>
      <c r="D3495" s="3" t="s">
        <v>645</v>
      </c>
      <c r="F3495" s="3" t="s">
        <v>4186</v>
      </c>
      <c r="G3495" s="3" t="s">
        <v>43</v>
      </c>
      <c r="H3495" s="3" t="s">
        <v>250</v>
      </c>
      <c r="I3495" s="2">
        <v>40</v>
      </c>
      <c r="J3495" s="2">
        <v>20</v>
      </c>
      <c r="K3495" s="2">
        <v>2</v>
      </c>
      <c r="O3495" s="2">
        <v>3</v>
      </c>
      <c r="P3495" s="2">
        <v>6</v>
      </c>
      <c r="U3495" s="2">
        <v>4</v>
      </c>
      <c r="W3495" s="2">
        <v>4</v>
      </c>
      <c r="X3495" s="2">
        <v>10</v>
      </c>
      <c r="Z3495" s="2">
        <v>20</v>
      </c>
      <c r="AA3495" s="3" t="s">
        <v>40</v>
      </c>
      <c r="AB3495" s="2">
        <v>3</v>
      </c>
      <c r="AF3495" s="2">
        <v>30.5</v>
      </c>
      <c r="AG3495" s="2">
        <v>2</v>
      </c>
      <c r="AH3495" s="3" t="s">
        <v>3497</v>
      </c>
      <c r="AI3495" s="4">
        <v>45477</v>
      </c>
      <c r="AJ3495" s="3" t="s">
        <v>3651</v>
      </c>
      <c r="AK3495" s="3" t="s">
        <v>645</v>
      </c>
    </row>
    <row r="3496" spans="1:37" hidden="1" x14ac:dyDescent="0.25">
      <c r="A3496" t="str">
        <f t="shared" si="54"/>
        <v>2024_Vic_Kalkee_Fababean_DetailedTOS2VarietyNasmaWaterTrtIrrigated</v>
      </c>
      <c r="B3496" s="2">
        <v>2024039</v>
      </c>
      <c r="C3496" s="3" t="s">
        <v>3610</v>
      </c>
      <c r="D3496" s="3" t="s">
        <v>645</v>
      </c>
      <c r="F3496" s="3" t="s">
        <v>4186</v>
      </c>
      <c r="G3496" s="3" t="s">
        <v>43</v>
      </c>
      <c r="H3496" s="3" t="s">
        <v>253</v>
      </c>
      <c r="I3496" s="2">
        <v>41</v>
      </c>
      <c r="J3496" s="2">
        <v>21</v>
      </c>
      <c r="K3496" s="2">
        <v>2</v>
      </c>
      <c r="O3496" s="2">
        <v>3</v>
      </c>
      <c r="P3496" s="2">
        <v>5</v>
      </c>
      <c r="U3496" s="2">
        <v>1</v>
      </c>
      <c r="W3496" s="2">
        <v>1</v>
      </c>
      <c r="X3496" s="2">
        <v>11</v>
      </c>
      <c r="AA3496" s="3" t="s">
        <v>57</v>
      </c>
      <c r="AB3496" s="2">
        <v>3</v>
      </c>
      <c r="AF3496" s="2">
        <v>30.5</v>
      </c>
      <c r="AG3496" s="2">
        <v>2</v>
      </c>
      <c r="AH3496" s="3" t="s">
        <v>3497</v>
      </c>
      <c r="AI3496" s="4">
        <v>45477</v>
      </c>
      <c r="AJ3496" s="3" t="s">
        <v>3652</v>
      </c>
      <c r="AK3496" s="3" t="s">
        <v>645</v>
      </c>
    </row>
    <row r="3497" spans="1:37" hidden="1" x14ac:dyDescent="0.25">
      <c r="A3497" t="str">
        <f t="shared" si="54"/>
        <v>2024_Vic_Kalkee_Fababean_DetailedTOS2VarietySamiraWaterTrtIrrigated</v>
      </c>
      <c r="B3497" s="2">
        <v>2024039</v>
      </c>
      <c r="C3497" s="3" t="s">
        <v>3610</v>
      </c>
      <c r="D3497" s="3" t="s">
        <v>645</v>
      </c>
      <c r="F3497" s="3" t="s">
        <v>4183</v>
      </c>
      <c r="G3497" s="3" t="s">
        <v>43</v>
      </c>
      <c r="H3497" s="3" t="s">
        <v>253</v>
      </c>
      <c r="I3497" s="2">
        <v>42</v>
      </c>
      <c r="J3497" s="2">
        <v>22</v>
      </c>
      <c r="K3497" s="2">
        <v>2</v>
      </c>
      <c r="O3497" s="2">
        <v>3</v>
      </c>
      <c r="P3497" s="2">
        <v>5</v>
      </c>
      <c r="U3497" s="2">
        <v>2</v>
      </c>
      <c r="W3497" s="2">
        <v>2</v>
      </c>
      <c r="X3497" s="2">
        <v>11</v>
      </c>
      <c r="AA3497" s="3" t="s">
        <v>57</v>
      </c>
      <c r="AB3497" s="2">
        <v>4</v>
      </c>
      <c r="AF3497" s="2">
        <v>30.5</v>
      </c>
      <c r="AG3497" s="2">
        <v>2</v>
      </c>
      <c r="AH3497" s="3" t="s">
        <v>3497</v>
      </c>
      <c r="AI3497" s="4">
        <v>45477</v>
      </c>
      <c r="AJ3497" s="3" t="s">
        <v>3653</v>
      </c>
      <c r="AK3497" s="3" t="s">
        <v>645</v>
      </c>
    </row>
    <row r="3498" spans="1:37" hidden="1" x14ac:dyDescent="0.25">
      <c r="A3498" t="str">
        <f t="shared" si="54"/>
        <v>2024_Vic_Kalkee_Fababean_DetailedTOS2VarietyMarneWaterTrtRainFed</v>
      </c>
      <c r="B3498" s="2">
        <v>2024039</v>
      </c>
      <c r="C3498" s="3" t="s">
        <v>3610</v>
      </c>
      <c r="D3498" s="3" t="s">
        <v>645</v>
      </c>
      <c r="F3498" s="3" t="s">
        <v>4184</v>
      </c>
      <c r="G3498" s="3" t="s">
        <v>39</v>
      </c>
      <c r="H3498" s="3" t="s">
        <v>253</v>
      </c>
      <c r="I3498" s="2">
        <v>43</v>
      </c>
      <c r="J3498" s="2">
        <v>23</v>
      </c>
      <c r="K3498" s="2">
        <v>2</v>
      </c>
      <c r="O3498" s="2">
        <v>3</v>
      </c>
      <c r="P3498" s="2">
        <v>6</v>
      </c>
      <c r="U3498" s="2">
        <v>3</v>
      </c>
      <c r="W3498" s="2">
        <v>3</v>
      </c>
      <c r="X3498" s="2">
        <v>11</v>
      </c>
      <c r="AA3498" s="3" t="s">
        <v>40</v>
      </c>
      <c r="AB3498" s="2">
        <v>2</v>
      </c>
      <c r="AF3498" s="2">
        <v>30.5</v>
      </c>
      <c r="AG3498" s="2">
        <v>2</v>
      </c>
      <c r="AH3498" s="3" t="s">
        <v>3497</v>
      </c>
      <c r="AI3498" s="4">
        <v>45477</v>
      </c>
      <c r="AJ3498" s="3" t="s">
        <v>3654</v>
      </c>
      <c r="AK3498" s="3" t="s">
        <v>645</v>
      </c>
    </row>
    <row r="3499" spans="1:37" hidden="1" x14ac:dyDescent="0.25">
      <c r="A3499" t="str">
        <f t="shared" si="54"/>
        <v>2024_Vic_Kalkee_Fababean_DetailedTOS2VarietyAmberleyWaterTrtRainFed</v>
      </c>
      <c r="B3499" s="2">
        <v>2024039</v>
      </c>
      <c r="C3499" s="3" t="s">
        <v>3610</v>
      </c>
      <c r="D3499" s="3" t="s">
        <v>645</v>
      </c>
      <c r="F3499" s="3" t="s">
        <v>4185</v>
      </c>
      <c r="G3499" s="3" t="s">
        <v>39</v>
      </c>
      <c r="H3499" s="3" t="s">
        <v>253</v>
      </c>
      <c r="I3499" s="2">
        <v>44</v>
      </c>
      <c r="J3499" s="2">
        <v>24</v>
      </c>
      <c r="K3499" s="2">
        <v>2</v>
      </c>
      <c r="O3499" s="2">
        <v>3</v>
      </c>
      <c r="P3499" s="2">
        <v>6</v>
      </c>
      <c r="U3499" s="2">
        <v>4</v>
      </c>
      <c r="W3499" s="2">
        <v>4</v>
      </c>
      <c r="X3499" s="2">
        <v>11</v>
      </c>
      <c r="AA3499" s="3" t="s">
        <v>40</v>
      </c>
      <c r="AB3499" s="2">
        <v>1</v>
      </c>
      <c r="AF3499" s="2">
        <v>30.5</v>
      </c>
      <c r="AG3499" s="2">
        <v>2</v>
      </c>
      <c r="AH3499" s="3" t="s">
        <v>3497</v>
      </c>
      <c r="AI3499" s="4">
        <v>45477</v>
      </c>
      <c r="AJ3499" s="3" t="s">
        <v>3655</v>
      </c>
      <c r="AK3499" s="3" t="s">
        <v>645</v>
      </c>
    </row>
    <row r="3500" spans="1:37" hidden="1" x14ac:dyDescent="0.25">
      <c r="A3500" t="str">
        <f t="shared" si="54"/>
        <v>2024_Vic_Kalkee_Fababean_DetailedTOS2VarietyNasmaWaterTrtIrrigated</v>
      </c>
      <c r="B3500" s="2">
        <v>2024039</v>
      </c>
      <c r="C3500" s="3" t="s">
        <v>3610</v>
      </c>
      <c r="D3500" s="3" t="s">
        <v>645</v>
      </c>
      <c r="F3500" s="3" t="s">
        <v>4186</v>
      </c>
      <c r="G3500" s="3" t="s">
        <v>43</v>
      </c>
      <c r="H3500" s="3" t="s">
        <v>250</v>
      </c>
      <c r="I3500" s="2">
        <v>45</v>
      </c>
      <c r="J3500" s="2">
        <v>21</v>
      </c>
      <c r="K3500" s="2">
        <v>2</v>
      </c>
      <c r="O3500" s="2">
        <v>3</v>
      </c>
      <c r="P3500" s="2">
        <v>5</v>
      </c>
      <c r="U3500" s="2">
        <v>1</v>
      </c>
      <c r="W3500" s="2">
        <v>1</v>
      </c>
      <c r="X3500" s="2">
        <v>12</v>
      </c>
      <c r="Z3500" s="2">
        <v>24</v>
      </c>
      <c r="AA3500" s="3" t="s">
        <v>57</v>
      </c>
      <c r="AB3500" s="2">
        <v>3</v>
      </c>
      <c r="AF3500" s="2">
        <v>30.5</v>
      </c>
      <c r="AG3500" s="2">
        <v>2</v>
      </c>
      <c r="AH3500" s="3" t="s">
        <v>3497</v>
      </c>
      <c r="AI3500" s="4">
        <v>45477</v>
      </c>
      <c r="AJ3500" s="3" t="s">
        <v>3656</v>
      </c>
      <c r="AK3500" s="3" t="s">
        <v>645</v>
      </c>
    </row>
    <row r="3501" spans="1:37" hidden="1" x14ac:dyDescent="0.25">
      <c r="A3501" t="str">
        <f t="shared" si="54"/>
        <v>2024_Vic_Kalkee_Fababean_DetailedTOS2VarietySamiraWaterTrtIrrigated</v>
      </c>
      <c r="B3501" s="2">
        <v>2024039</v>
      </c>
      <c r="C3501" s="3" t="s">
        <v>3610</v>
      </c>
      <c r="D3501" s="3" t="s">
        <v>645</v>
      </c>
      <c r="F3501" s="3" t="s">
        <v>4183</v>
      </c>
      <c r="G3501" s="3" t="s">
        <v>43</v>
      </c>
      <c r="H3501" s="3" t="s">
        <v>250</v>
      </c>
      <c r="I3501" s="2">
        <v>46</v>
      </c>
      <c r="J3501" s="2">
        <v>22</v>
      </c>
      <c r="K3501" s="2">
        <v>2</v>
      </c>
      <c r="O3501" s="2">
        <v>3</v>
      </c>
      <c r="P3501" s="2">
        <v>5</v>
      </c>
      <c r="U3501" s="2">
        <v>2</v>
      </c>
      <c r="W3501" s="2">
        <v>2</v>
      </c>
      <c r="X3501" s="2">
        <v>12</v>
      </c>
      <c r="Z3501" s="2">
        <v>23</v>
      </c>
      <c r="AA3501" s="3" t="s">
        <v>57</v>
      </c>
      <c r="AB3501" s="2">
        <v>4</v>
      </c>
      <c r="AF3501" s="2">
        <v>30.5</v>
      </c>
      <c r="AG3501" s="2">
        <v>2</v>
      </c>
      <c r="AH3501" s="3" t="s">
        <v>3497</v>
      </c>
      <c r="AI3501" s="4">
        <v>45477</v>
      </c>
      <c r="AJ3501" s="3" t="s">
        <v>3657</v>
      </c>
      <c r="AK3501" s="3" t="s">
        <v>645</v>
      </c>
    </row>
    <row r="3502" spans="1:37" hidden="1" x14ac:dyDescent="0.25">
      <c r="A3502" t="str">
        <f t="shared" si="54"/>
        <v>2024_Vic_Kalkee_Fababean_DetailedTOS2VarietyMarneWaterTrtRainFed</v>
      </c>
      <c r="B3502" s="2">
        <v>2024039</v>
      </c>
      <c r="C3502" s="3" t="s">
        <v>3610</v>
      </c>
      <c r="D3502" s="3" t="s">
        <v>645</v>
      </c>
      <c r="F3502" s="3" t="s">
        <v>4184</v>
      </c>
      <c r="G3502" s="3" t="s">
        <v>39</v>
      </c>
      <c r="H3502" s="3" t="s">
        <v>250</v>
      </c>
      <c r="I3502" s="2">
        <v>47</v>
      </c>
      <c r="J3502" s="2">
        <v>23</v>
      </c>
      <c r="K3502" s="2">
        <v>2</v>
      </c>
      <c r="O3502" s="2">
        <v>3</v>
      </c>
      <c r="P3502" s="2">
        <v>6</v>
      </c>
      <c r="U3502" s="2">
        <v>3</v>
      </c>
      <c r="W3502" s="2">
        <v>3</v>
      </c>
      <c r="X3502" s="2">
        <v>12</v>
      </c>
      <c r="Z3502" s="2">
        <v>22</v>
      </c>
      <c r="AA3502" s="3" t="s">
        <v>40</v>
      </c>
      <c r="AB3502" s="2">
        <v>2</v>
      </c>
      <c r="AF3502" s="2">
        <v>30.5</v>
      </c>
      <c r="AG3502" s="2">
        <v>2</v>
      </c>
      <c r="AH3502" s="3" t="s">
        <v>3497</v>
      </c>
      <c r="AI3502" s="4">
        <v>45477</v>
      </c>
      <c r="AJ3502" s="3" t="s">
        <v>3658</v>
      </c>
      <c r="AK3502" s="3" t="s">
        <v>645</v>
      </c>
    </row>
    <row r="3503" spans="1:37" hidden="1" x14ac:dyDescent="0.25">
      <c r="A3503" t="str">
        <f t="shared" si="54"/>
        <v>2024_Vic_Kalkee_Fababean_DetailedTOS2VarietyAmberleyWaterTrtRainFed</v>
      </c>
      <c r="B3503" s="2">
        <v>2024039</v>
      </c>
      <c r="C3503" s="3" t="s">
        <v>3610</v>
      </c>
      <c r="D3503" s="3" t="s">
        <v>645</v>
      </c>
      <c r="F3503" s="3" t="s">
        <v>4185</v>
      </c>
      <c r="G3503" s="3" t="s">
        <v>39</v>
      </c>
      <c r="H3503" s="3" t="s">
        <v>250</v>
      </c>
      <c r="I3503" s="2">
        <v>48</v>
      </c>
      <c r="J3503" s="2">
        <v>24</v>
      </c>
      <c r="K3503" s="2">
        <v>2</v>
      </c>
      <c r="O3503" s="2">
        <v>3</v>
      </c>
      <c r="P3503" s="2">
        <v>6</v>
      </c>
      <c r="U3503" s="2">
        <v>4</v>
      </c>
      <c r="W3503" s="2">
        <v>4</v>
      </c>
      <c r="X3503" s="2">
        <v>12</v>
      </c>
      <c r="Z3503" s="2">
        <v>21</v>
      </c>
      <c r="AA3503" s="3" t="s">
        <v>40</v>
      </c>
      <c r="AB3503" s="2">
        <v>1</v>
      </c>
      <c r="AF3503" s="2">
        <v>30.5</v>
      </c>
      <c r="AG3503" s="2">
        <v>2</v>
      </c>
      <c r="AH3503" s="3" t="s">
        <v>3497</v>
      </c>
      <c r="AI3503" s="4">
        <v>45477</v>
      </c>
      <c r="AJ3503" s="3" t="s">
        <v>3659</v>
      </c>
      <c r="AK3503" s="3" t="s">
        <v>645</v>
      </c>
    </row>
    <row r="3504" spans="1:37" hidden="1" x14ac:dyDescent="0.25">
      <c r="A3504" t="str">
        <f t="shared" si="54"/>
        <v>2024_Vic_Kalkee_Fababean_DetailedTOS1VarietySamiraWaterTrtIrrigated</v>
      </c>
      <c r="B3504" s="2">
        <v>2024039</v>
      </c>
      <c r="C3504" s="3" t="s">
        <v>3610</v>
      </c>
      <c r="D3504" s="3" t="s">
        <v>645</v>
      </c>
      <c r="F3504" s="3" t="s">
        <v>4183</v>
      </c>
      <c r="G3504" s="3" t="s">
        <v>43</v>
      </c>
      <c r="H3504" s="3" t="s">
        <v>253</v>
      </c>
      <c r="I3504" s="2">
        <v>49</v>
      </c>
      <c r="J3504" s="2">
        <v>25</v>
      </c>
      <c r="K3504" s="2">
        <v>2</v>
      </c>
      <c r="O3504" s="2">
        <v>4</v>
      </c>
      <c r="P3504" s="2">
        <v>7</v>
      </c>
      <c r="U3504" s="2">
        <v>1</v>
      </c>
      <c r="W3504" s="2">
        <v>1</v>
      </c>
      <c r="X3504" s="2">
        <v>13</v>
      </c>
      <c r="AA3504" s="3" t="s">
        <v>57</v>
      </c>
      <c r="AB3504" s="2">
        <v>4</v>
      </c>
      <c r="AF3504" s="2">
        <v>30.5</v>
      </c>
      <c r="AG3504" s="2">
        <v>1</v>
      </c>
      <c r="AH3504" s="3" t="s">
        <v>3611</v>
      </c>
      <c r="AI3504" s="4">
        <v>45436</v>
      </c>
      <c r="AJ3504" s="3" t="s">
        <v>3660</v>
      </c>
      <c r="AK3504" s="3" t="s">
        <v>645</v>
      </c>
    </row>
    <row r="3505" spans="1:37" hidden="1" x14ac:dyDescent="0.25">
      <c r="A3505" t="str">
        <f t="shared" si="54"/>
        <v>2024_Vic_Kalkee_Fababean_DetailedTOS1VarietyNasmaWaterTrtIrrigated</v>
      </c>
      <c r="B3505" s="2">
        <v>2024039</v>
      </c>
      <c r="C3505" s="3" t="s">
        <v>3610</v>
      </c>
      <c r="D3505" s="3" t="s">
        <v>645</v>
      </c>
      <c r="F3505" s="3" t="s">
        <v>4186</v>
      </c>
      <c r="G3505" s="3" t="s">
        <v>43</v>
      </c>
      <c r="H3505" s="3" t="s">
        <v>253</v>
      </c>
      <c r="I3505" s="2">
        <v>50</v>
      </c>
      <c r="J3505" s="2">
        <v>26</v>
      </c>
      <c r="K3505" s="2">
        <v>2</v>
      </c>
      <c r="O3505" s="2">
        <v>4</v>
      </c>
      <c r="P3505" s="2">
        <v>7</v>
      </c>
      <c r="U3505" s="2">
        <v>2</v>
      </c>
      <c r="W3505" s="2">
        <v>2</v>
      </c>
      <c r="X3505" s="2">
        <v>13</v>
      </c>
      <c r="AA3505" s="3" t="s">
        <v>57</v>
      </c>
      <c r="AB3505" s="2">
        <v>3</v>
      </c>
      <c r="AF3505" s="2">
        <v>30.5</v>
      </c>
      <c r="AG3505" s="2">
        <v>1</v>
      </c>
      <c r="AH3505" s="3" t="s">
        <v>3611</v>
      </c>
      <c r="AI3505" s="4">
        <v>45436</v>
      </c>
      <c r="AJ3505" s="3" t="s">
        <v>3661</v>
      </c>
      <c r="AK3505" s="3" t="s">
        <v>645</v>
      </c>
    </row>
    <row r="3506" spans="1:37" hidden="1" x14ac:dyDescent="0.25">
      <c r="A3506" t="str">
        <f t="shared" si="54"/>
        <v>2024_Vic_Kalkee_Fababean_DetailedTOS1VarietyAmberleyWaterTrtRainFed</v>
      </c>
      <c r="B3506" s="2">
        <v>2024039</v>
      </c>
      <c r="C3506" s="3" t="s">
        <v>3610</v>
      </c>
      <c r="D3506" s="3" t="s">
        <v>645</v>
      </c>
      <c r="F3506" s="3" t="s">
        <v>4185</v>
      </c>
      <c r="G3506" s="3" t="s">
        <v>39</v>
      </c>
      <c r="H3506" s="3" t="s">
        <v>253</v>
      </c>
      <c r="I3506" s="2">
        <v>51</v>
      </c>
      <c r="J3506" s="2">
        <v>27</v>
      </c>
      <c r="K3506" s="2">
        <v>2</v>
      </c>
      <c r="O3506" s="2">
        <v>4</v>
      </c>
      <c r="P3506" s="2">
        <v>8</v>
      </c>
      <c r="U3506" s="2">
        <v>3</v>
      </c>
      <c r="W3506" s="2">
        <v>3</v>
      </c>
      <c r="X3506" s="2">
        <v>13</v>
      </c>
      <c r="AA3506" s="3" t="s">
        <v>40</v>
      </c>
      <c r="AB3506" s="2">
        <v>1</v>
      </c>
      <c r="AF3506" s="2">
        <v>30.5</v>
      </c>
      <c r="AG3506" s="2">
        <v>1</v>
      </c>
      <c r="AH3506" s="3" t="s">
        <v>3611</v>
      </c>
      <c r="AI3506" s="4">
        <v>45436</v>
      </c>
      <c r="AJ3506" s="3" t="s">
        <v>3662</v>
      </c>
      <c r="AK3506" s="3" t="s">
        <v>645</v>
      </c>
    </row>
    <row r="3507" spans="1:37" hidden="1" x14ac:dyDescent="0.25">
      <c r="A3507" t="str">
        <f t="shared" si="54"/>
        <v>2024_Vic_Kalkee_Fababean_DetailedTOS1VarietyMarneWaterTrtRainFed</v>
      </c>
      <c r="B3507" s="2">
        <v>2024039</v>
      </c>
      <c r="C3507" s="3" t="s">
        <v>3610</v>
      </c>
      <c r="D3507" s="3" t="s">
        <v>645</v>
      </c>
      <c r="F3507" s="3" t="s">
        <v>4184</v>
      </c>
      <c r="G3507" s="3" t="s">
        <v>39</v>
      </c>
      <c r="H3507" s="3" t="s">
        <v>253</v>
      </c>
      <c r="I3507" s="2">
        <v>52</v>
      </c>
      <c r="J3507" s="2">
        <v>28</v>
      </c>
      <c r="K3507" s="2">
        <v>2</v>
      </c>
      <c r="O3507" s="2">
        <v>4</v>
      </c>
      <c r="P3507" s="2">
        <v>8</v>
      </c>
      <c r="U3507" s="2">
        <v>4</v>
      </c>
      <c r="W3507" s="2">
        <v>4</v>
      </c>
      <c r="X3507" s="2">
        <v>13</v>
      </c>
      <c r="AA3507" s="3" t="s">
        <v>40</v>
      </c>
      <c r="AB3507" s="2">
        <v>2</v>
      </c>
      <c r="AF3507" s="2">
        <v>30.5</v>
      </c>
      <c r="AG3507" s="2">
        <v>1</v>
      </c>
      <c r="AH3507" s="3" t="s">
        <v>3611</v>
      </c>
      <c r="AI3507" s="4">
        <v>45436</v>
      </c>
      <c r="AJ3507" s="3" t="s">
        <v>3663</v>
      </c>
      <c r="AK3507" s="3" t="s">
        <v>645</v>
      </c>
    </row>
    <row r="3508" spans="1:37" hidden="1" x14ac:dyDescent="0.25">
      <c r="A3508" t="str">
        <f t="shared" si="54"/>
        <v>2024_Vic_Kalkee_Fababean_DetailedTOS1VarietySamiraWaterTrtIrrigated</v>
      </c>
      <c r="B3508" s="2">
        <v>2024039</v>
      </c>
      <c r="C3508" s="3" t="s">
        <v>3610</v>
      </c>
      <c r="D3508" s="3" t="s">
        <v>645</v>
      </c>
      <c r="F3508" s="3" t="s">
        <v>4183</v>
      </c>
      <c r="G3508" s="3" t="s">
        <v>43</v>
      </c>
      <c r="H3508" s="3" t="s">
        <v>250</v>
      </c>
      <c r="I3508" s="2">
        <v>53</v>
      </c>
      <c r="J3508" s="2">
        <v>25</v>
      </c>
      <c r="K3508" s="2">
        <v>2</v>
      </c>
      <c r="O3508" s="2">
        <v>4</v>
      </c>
      <c r="P3508" s="2">
        <v>7</v>
      </c>
      <c r="U3508" s="2">
        <v>1</v>
      </c>
      <c r="W3508" s="2">
        <v>1</v>
      </c>
      <c r="X3508" s="2">
        <v>14</v>
      </c>
      <c r="Z3508" s="2">
        <v>25</v>
      </c>
      <c r="AA3508" s="3" t="s">
        <v>57</v>
      </c>
      <c r="AB3508" s="2">
        <v>4</v>
      </c>
      <c r="AF3508" s="2">
        <v>30.5</v>
      </c>
      <c r="AG3508" s="2">
        <v>1</v>
      </c>
      <c r="AH3508" s="3" t="s">
        <v>3611</v>
      </c>
      <c r="AI3508" s="4">
        <v>45436</v>
      </c>
      <c r="AJ3508" s="3" t="s">
        <v>3664</v>
      </c>
      <c r="AK3508" s="3" t="s">
        <v>645</v>
      </c>
    </row>
    <row r="3509" spans="1:37" hidden="1" x14ac:dyDescent="0.25">
      <c r="A3509" t="str">
        <f t="shared" si="54"/>
        <v>2024_Vic_Kalkee_Fababean_DetailedTOS1VarietyNasmaWaterTrtIrrigated</v>
      </c>
      <c r="B3509" s="2">
        <v>2024039</v>
      </c>
      <c r="C3509" s="3" t="s">
        <v>3610</v>
      </c>
      <c r="D3509" s="3" t="s">
        <v>645</v>
      </c>
      <c r="F3509" s="3" t="s">
        <v>4186</v>
      </c>
      <c r="G3509" s="3" t="s">
        <v>43</v>
      </c>
      <c r="H3509" s="3" t="s">
        <v>250</v>
      </c>
      <c r="I3509" s="2">
        <v>54</v>
      </c>
      <c r="J3509" s="2">
        <v>26</v>
      </c>
      <c r="K3509" s="2">
        <v>2</v>
      </c>
      <c r="O3509" s="2">
        <v>4</v>
      </c>
      <c r="P3509" s="2">
        <v>7</v>
      </c>
      <c r="U3509" s="2">
        <v>2</v>
      </c>
      <c r="W3509" s="2">
        <v>2</v>
      </c>
      <c r="X3509" s="2">
        <v>14</v>
      </c>
      <c r="Z3509" s="2">
        <v>26</v>
      </c>
      <c r="AA3509" s="3" t="s">
        <v>57</v>
      </c>
      <c r="AB3509" s="2">
        <v>3</v>
      </c>
      <c r="AF3509" s="2">
        <v>30.5</v>
      </c>
      <c r="AG3509" s="2">
        <v>1</v>
      </c>
      <c r="AH3509" s="3" t="s">
        <v>3611</v>
      </c>
      <c r="AI3509" s="4">
        <v>45436</v>
      </c>
      <c r="AJ3509" s="3" t="s">
        <v>3665</v>
      </c>
      <c r="AK3509" s="3" t="s">
        <v>645</v>
      </c>
    </row>
    <row r="3510" spans="1:37" hidden="1" x14ac:dyDescent="0.25">
      <c r="A3510" t="str">
        <f t="shared" si="54"/>
        <v>2024_Vic_Kalkee_Fababean_DetailedTOS1VarietyAmberleyWaterTrtRainFed</v>
      </c>
      <c r="B3510" s="2">
        <v>2024039</v>
      </c>
      <c r="C3510" s="3" t="s">
        <v>3610</v>
      </c>
      <c r="D3510" s="3" t="s">
        <v>645</v>
      </c>
      <c r="F3510" s="3" t="s">
        <v>4185</v>
      </c>
      <c r="G3510" s="3" t="s">
        <v>39</v>
      </c>
      <c r="H3510" s="3" t="s">
        <v>250</v>
      </c>
      <c r="I3510" s="2">
        <v>55</v>
      </c>
      <c r="J3510" s="2">
        <v>27</v>
      </c>
      <c r="K3510" s="2">
        <v>2</v>
      </c>
      <c r="O3510" s="2">
        <v>4</v>
      </c>
      <c r="P3510" s="2">
        <v>8</v>
      </c>
      <c r="U3510" s="2">
        <v>3</v>
      </c>
      <c r="W3510" s="2">
        <v>3</v>
      </c>
      <c r="X3510" s="2">
        <v>14</v>
      </c>
      <c r="Z3510" s="2">
        <v>27</v>
      </c>
      <c r="AA3510" s="3" t="s">
        <v>40</v>
      </c>
      <c r="AB3510" s="2">
        <v>1</v>
      </c>
      <c r="AF3510" s="2">
        <v>30.5</v>
      </c>
      <c r="AG3510" s="2">
        <v>1</v>
      </c>
      <c r="AH3510" s="3" t="s">
        <v>3611</v>
      </c>
      <c r="AI3510" s="4">
        <v>45436</v>
      </c>
      <c r="AJ3510" s="3" t="s">
        <v>3666</v>
      </c>
      <c r="AK3510" s="3" t="s">
        <v>645</v>
      </c>
    </row>
    <row r="3511" spans="1:37" hidden="1" x14ac:dyDescent="0.25">
      <c r="A3511" t="str">
        <f t="shared" si="54"/>
        <v>2024_Vic_Kalkee_Fababean_DetailedTOS1VarietyMarneWaterTrtRainFed</v>
      </c>
      <c r="B3511" s="2">
        <v>2024039</v>
      </c>
      <c r="C3511" s="3" t="s">
        <v>3610</v>
      </c>
      <c r="D3511" s="3" t="s">
        <v>645</v>
      </c>
      <c r="F3511" s="3" t="s">
        <v>4184</v>
      </c>
      <c r="G3511" s="3" t="s">
        <v>39</v>
      </c>
      <c r="H3511" s="3" t="s">
        <v>250</v>
      </c>
      <c r="I3511" s="2">
        <v>56</v>
      </c>
      <c r="J3511" s="2">
        <v>28</v>
      </c>
      <c r="K3511" s="2">
        <v>2</v>
      </c>
      <c r="O3511" s="2">
        <v>4</v>
      </c>
      <c r="P3511" s="2">
        <v>8</v>
      </c>
      <c r="U3511" s="2">
        <v>4</v>
      </c>
      <c r="W3511" s="2">
        <v>4</v>
      </c>
      <c r="X3511" s="2">
        <v>14</v>
      </c>
      <c r="Z3511" s="2">
        <v>28</v>
      </c>
      <c r="AA3511" s="3" t="s">
        <v>40</v>
      </c>
      <c r="AB3511" s="2">
        <v>2</v>
      </c>
      <c r="AF3511" s="2">
        <v>30.5</v>
      </c>
      <c r="AG3511" s="2">
        <v>1</v>
      </c>
      <c r="AH3511" s="3" t="s">
        <v>3611</v>
      </c>
      <c r="AI3511" s="4">
        <v>45436</v>
      </c>
      <c r="AJ3511" s="3" t="s">
        <v>3667</v>
      </c>
      <c r="AK3511" s="3" t="s">
        <v>645</v>
      </c>
    </row>
    <row r="3512" spans="1:37" hidden="1" x14ac:dyDescent="0.25">
      <c r="A3512" t="str">
        <f t="shared" si="54"/>
        <v>2024_Vic_Kalkee_Fababean_DetailedTOS1VarietyMarneWaterTrtIrrigated</v>
      </c>
      <c r="B3512" s="2">
        <v>2024039</v>
      </c>
      <c r="C3512" s="3" t="s">
        <v>3610</v>
      </c>
      <c r="D3512" s="3" t="s">
        <v>645</v>
      </c>
      <c r="F3512" s="3" t="s">
        <v>4184</v>
      </c>
      <c r="G3512" s="3" t="s">
        <v>39</v>
      </c>
      <c r="H3512" s="3" t="s">
        <v>253</v>
      </c>
      <c r="I3512" s="2">
        <v>57</v>
      </c>
      <c r="J3512" s="2">
        <v>29</v>
      </c>
      <c r="K3512" s="2">
        <v>2</v>
      </c>
      <c r="O3512" s="2">
        <v>4</v>
      </c>
      <c r="P3512" s="2">
        <v>7</v>
      </c>
      <c r="U3512" s="2">
        <v>1</v>
      </c>
      <c r="W3512" s="2">
        <v>1</v>
      </c>
      <c r="X3512" s="2">
        <v>15</v>
      </c>
      <c r="AA3512" s="3" t="s">
        <v>57</v>
      </c>
      <c r="AB3512" s="2">
        <v>2</v>
      </c>
      <c r="AF3512" s="2">
        <v>30.5</v>
      </c>
      <c r="AG3512" s="2">
        <v>1</v>
      </c>
      <c r="AH3512" s="3" t="s">
        <v>3611</v>
      </c>
      <c r="AI3512" s="4">
        <v>45436</v>
      </c>
      <c r="AJ3512" s="3" t="s">
        <v>3668</v>
      </c>
      <c r="AK3512" s="3" t="s">
        <v>645</v>
      </c>
    </row>
    <row r="3513" spans="1:37" hidden="1" x14ac:dyDescent="0.25">
      <c r="A3513" t="str">
        <f t="shared" si="54"/>
        <v>2024_Vic_Kalkee_Fababean_DetailedTOS1VarietyAmberleyWaterTrtIrrigated</v>
      </c>
      <c r="B3513" s="2">
        <v>2024039</v>
      </c>
      <c r="C3513" s="3" t="s">
        <v>3610</v>
      </c>
      <c r="D3513" s="3" t="s">
        <v>645</v>
      </c>
      <c r="F3513" s="3" t="s">
        <v>4185</v>
      </c>
      <c r="G3513" s="3" t="s">
        <v>39</v>
      </c>
      <c r="H3513" s="3" t="s">
        <v>253</v>
      </c>
      <c r="I3513" s="2">
        <v>58</v>
      </c>
      <c r="J3513" s="2">
        <v>30</v>
      </c>
      <c r="K3513" s="2">
        <v>2</v>
      </c>
      <c r="O3513" s="2">
        <v>4</v>
      </c>
      <c r="P3513" s="2">
        <v>7</v>
      </c>
      <c r="U3513" s="2">
        <v>2</v>
      </c>
      <c r="W3513" s="2">
        <v>2</v>
      </c>
      <c r="X3513" s="2">
        <v>15</v>
      </c>
      <c r="AA3513" s="3" t="s">
        <v>57</v>
      </c>
      <c r="AB3513" s="2">
        <v>1</v>
      </c>
      <c r="AF3513" s="2">
        <v>30.5</v>
      </c>
      <c r="AG3513" s="2">
        <v>1</v>
      </c>
      <c r="AH3513" s="3" t="s">
        <v>3611</v>
      </c>
      <c r="AI3513" s="4">
        <v>45436</v>
      </c>
      <c r="AJ3513" s="3" t="s">
        <v>3669</v>
      </c>
      <c r="AK3513" s="3" t="s">
        <v>645</v>
      </c>
    </row>
    <row r="3514" spans="1:37" hidden="1" x14ac:dyDescent="0.25">
      <c r="A3514" t="str">
        <f t="shared" si="54"/>
        <v>2024_Vic_Kalkee_Fababean_DetailedTOS1VarietyNasmaWaterTrtRainFed</v>
      </c>
      <c r="B3514" s="2">
        <v>2024039</v>
      </c>
      <c r="C3514" s="3" t="s">
        <v>3610</v>
      </c>
      <c r="D3514" s="3" t="s">
        <v>645</v>
      </c>
      <c r="F3514" s="3" t="s">
        <v>4186</v>
      </c>
      <c r="G3514" s="3" t="s">
        <v>43</v>
      </c>
      <c r="H3514" s="3" t="s">
        <v>253</v>
      </c>
      <c r="I3514" s="2">
        <v>59</v>
      </c>
      <c r="J3514" s="2">
        <v>31</v>
      </c>
      <c r="K3514" s="2">
        <v>2</v>
      </c>
      <c r="O3514" s="2">
        <v>4</v>
      </c>
      <c r="P3514" s="2">
        <v>8</v>
      </c>
      <c r="U3514" s="2">
        <v>3</v>
      </c>
      <c r="W3514" s="2">
        <v>3</v>
      </c>
      <c r="X3514" s="2">
        <v>15</v>
      </c>
      <c r="AA3514" s="3" t="s">
        <v>40</v>
      </c>
      <c r="AB3514" s="2">
        <v>3</v>
      </c>
      <c r="AF3514" s="2">
        <v>30.5</v>
      </c>
      <c r="AG3514" s="2">
        <v>1</v>
      </c>
      <c r="AH3514" s="3" t="s">
        <v>3611</v>
      </c>
      <c r="AI3514" s="4">
        <v>45436</v>
      </c>
      <c r="AJ3514" s="3" t="s">
        <v>3670</v>
      </c>
      <c r="AK3514" s="3" t="s">
        <v>645</v>
      </c>
    </row>
    <row r="3515" spans="1:37" hidden="1" x14ac:dyDescent="0.25">
      <c r="A3515" t="str">
        <f t="shared" si="54"/>
        <v>2024_Vic_Kalkee_Fababean_DetailedTOS1VarietySamiraWaterTrtRainFed</v>
      </c>
      <c r="B3515" s="2">
        <v>2024039</v>
      </c>
      <c r="C3515" s="3" t="s">
        <v>3610</v>
      </c>
      <c r="D3515" s="3" t="s">
        <v>645</v>
      </c>
      <c r="F3515" s="3" t="s">
        <v>4183</v>
      </c>
      <c r="G3515" s="3" t="s">
        <v>43</v>
      </c>
      <c r="H3515" s="3" t="s">
        <v>253</v>
      </c>
      <c r="I3515" s="2">
        <v>60</v>
      </c>
      <c r="J3515" s="2">
        <v>32</v>
      </c>
      <c r="K3515" s="2">
        <v>2</v>
      </c>
      <c r="O3515" s="2">
        <v>4</v>
      </c>
      <c r="P3515" s="2">
        <v>8</v>
      </c>
      <c r="U3515" s="2">
        <v>4</v>
      </c>
      <c r="W3515" s="2">
        <v>4</v>
      </c>
      <c r="X3515" s="2">
        <v>15</v>
      </c>
      <c r="AA3515" s="3" t="s">
        <v>40</v>
      </c>
      <c r="AB3515" s="2">
        <v>4</v>
      </c>
      <c r="AF3515" s="2">
        <v>30.5</v>
      </c>
      <c r="AG3515" s="2">
        <v>1</v>
      </c>
      <c r="AH3515" s="3" t="s">
        <v>3611</v>
      </c>
      <c r="AI3515" s="4">
        <v>45436</v>
      </c>
      <c r="AJ3515" s="3" t="s">
        <v>3671</v>
      </c>
      <c r="AK3515" s="3" t="s">
        <v>645</v>
      </c>
    </row>
    <row r="3516" spans="1:37" hidden="1" x14ac:dyDescent="0.25">
      <c r="A3516" t="str">
        <f t="shared" si="54"/>
        <v>2024_Vic_Kalkee_Fababean_DetailedTOS1VarietyMarneWaterTrtIrrigated</v>
      </c>
      <c r="B3516" s="2">
        <v>2024039</v>
      </c>
      <c r="C3516" s="3" t="s">
        <v>3610</v>
      </c>
      <c r="D3516" s="3" t="s">
        <v>645</v>
      </c>
      <c r="F3516" s="3" t="s">
        <v>4184</v>
      </c>
      <c r="G3516" s="3" t="s">
        <v>39</v>
      </c>
      <c r="H3516" s="3" t="s">
        <v>250</v>
      </c>
      <c r="I3516" s="2">
        <v>61</v>
      </c>
      <c r="J3516" s="2">
        <v>29</v>
      </c>
      <c r="K3516" s="2">
        <v>2</v>
      </c>
      <c r="O3516" s="2">
        <v>4</v>
      </c>
      <c r="P3516" s="2">
        <v>7</v>
      </c>
      <c r="U3516" s="2">
        <v>1</v>
      </c>
      <c r="W3516" s="2">
        <v>1</v>
      </c>
      <c r="X3516" s="2">
        <v>16</v>
      </c>
      <c r="Z3516" s="2">
        <v>32</v>
      </c>
      <c r="AA3516" s="3" t="s">
        <v>57</v>
      </c>
      <c r="AB3516" s="2">
        <v>2</v>
      </c>
      <c r="AF3516" s="2">
        <v>30.5</v>
      </c>
      <c r="AG3516" s="2">
        <v>1</v>
      </c>
      <c r="AH3516" s="3" t="s">
        <v>3611</v>
      </c>
      <c r="AI3516" s="4">
        <v>45436</v>
      </c>
      <c r="AJ3516" s="3" t="s">
        <v>3672</v>
      </c>
      <c r="AK3516" s="3" t="s">
        <v>645</v>
      </c>
    </row>
    <row r="3517" spans="1:37" hidden="1" x14ac:dyDescent="0.25">
      <c r="A3517" t="str">
        <f t="shared" si="54"/>
        <v>2024_Vic_Kalkee_Fababean_DetailedTOS1VarietyAmberleyWaterTrtIrrigated</v>
      </c>
      <c r="B3517" s="2">
        <v>2024039</v>
      </c>
      <c r="C3517" s="3" t="s">
        <v>3610</v>
      </c>
      <c r="D3517" s="3" t="s">
        <v>645</v>
      </c>
      <c r="F3517" s="3" t="s">
        <v>4185</v>
      </c>
      <c r="G3517" s="3" t="s">
        <v>39</v>
      </c>
      <c r="H3517" s="3" t="s">
        <v>250</v>
      </c>
      <c r="I3517" s="2">
        <v>62</v>
      </c>
      <c r="J3517" s="2">
        <v>30</v>
      </c>
      <c r="K3517" s="2">
        <v>2</v>
      </c>
      <c r="O3517" s="2">
        <v>4</v>
      </c>
      <c r="P3517" s="2">
        <v>7</v>
      </c>
      <c r="U3517" s="2">
        <v>2</v>
      </c>
      <c r="W3517" s="2">
        <v>2</v>
      </c>
      <c r="X3517" s="2">
        <v>16</v>
      </c>
      <c r="Z3517" s="2">
        <v>31</v>
      </c>
      <c r="AA3517" s="3" t="s">
        <v>57</v>
      </c>
      <c r="AB3517" s="2">
        <v>1</v>
      </c>
      <c r="AF3517" s="2">
        <v>30.5</v>
      </c>
      <c r="AG3517" s="2">
        <v>1</v>
      </c>
      <c r="AH3517" s="3" t="s">
        <v>3611</v>
      </c>
      <c r="AI3517" s="4">
        <v>45436</v>
      </c>
      <c r="AJ3517" s="3" t="s">
        <v>3673</v>
      </c>
      <c r="AK3517" s="3" t="s">
        <v>645</v>
      </c>
    </row>
    <row r="3518" spans="1:37" hidden="1" x14ac:dyDescent="0.25">
      <c r="A3518" t="str">
        <f t="shared" si="54"/>
        <v>2024_Vic_Kalkee_Fababean_DetailedTOS1VarietyNasmaWaterTrtRainFed</v>
      </c>
      <c r="B3518" s="2">
        <v>2024039</v>
      </c>
      <c r="C3518" s="3" t="s">
        <v>3610</v>
      </c>
      <c r="D3518" s="3" t="s">
        <v>645</v>
      </c>
      <c r="F3518" s="3" t="s">
        <v>4186</v>
      </c>
      <c r="G3518" s="3" t="s">
        <v>43</v>
      </c>
      <c r="H3518" s="3" t="s">
        <v>250</v>
      </c>
      <c r="I3518" s="2">
        <v>63</v>
      </c>
      <c r="J3518" s="2">
        <v>31</v>
      </c>
      <c r="K3518" s="2">
        <v>2</v>
      </c>
      <c r="O3518" s="2">
        <v>4</v>
      </c>
      <c r="P3518" s="2">
        <v>8</v>
      </c>
      <c r="U3518" s="2">
        <v>3</v>
      </c>
      <c r="W3518" s="2">
        <v>3</v>
      </c>
      <c r="X3518" s="2">
        <v>16</v>
      </c>
      <c r="Z3518" s="2">
        <v>30</v>
      </c>
      <c r="AA3518" s="3" t="s">
        <v>40</v>
      </c>
      <c r="AB3518" s="2">
        <v>3</v>
      </c>
      <c r="AF3518" s="2">
        <v>30.5</v>
      </c>
      <c r="AG3518" s="2">
        <v>1</v>
      </c>
      <c r="AH3518" s="3" t="s">
        <v>3611</v>
      </c>
      <c r="AI3518" s="4">
        <v>45436</v>
      </c>
      <c r="AJ3518" s="3" t="s">
        <v>3674</v>
      </c>
      <c r="AK3518" s="3" t="s">
        <v>645</v>
      </c>
    </row>
    <row r="3519" spans="1:37" hidden="1" x14ac:dyDescent="0.25">
      <c r="A3519" t="str">
        <f t="shared" si="54"/>
        <v>2024_Vic_Kalkee_Fababean_DetailedTOS1VarietySamiraWaterTrtRainFed</v>
      </c>
      <c r="B3519" s="2">
        <v>2024039</v>
      </c>
      <c r="C3519" s="3" t="s">
        <v>3610</v>
      </c>
      <c r="D3519" s="3" t="s">
        <v>645</v>
      </c>
      <c r="F3519" s="3" t="s">
        <v>4183</v>
      </c>
      <c r="G3519" s="3" t="s">
        <v>43</v>
      </c>
      <c r="H3519" s="3" t="s">
        <v>250</v>
      </c>
      <c r="I3519" s="2">
        <v>64</v>
      </c>
      <c r="J3519" s="2">
        <v>32</v>
      </c>
      <c r="K3519" s="2">
        <v>2</v>
      </c>
      <c r="O3519" s="2">
        <v>4</v>
      </c>
      <c r="P3519" s="2">
        <v>8</v>
      </c>
      <c r="U3519" s="2">
        <v>4</v>
      </c>
      <c r="W3519" s="2">
        <v>4</v>
      </c>
      <c r="X3519" s="2">
        <v>16</v>
      </c>
      <c r="Z3519" s="2">
        <v>29</v>
      </c>
      <c r="AA3519" s="3" t="s">
        <v>40</v>
      </c>
      <c r="AB3519" s="2">
        <v>4</v>
      </c>
      <c r="AF3519" s="2">
        <v>30.5</v>
      </c>
      <c r="AG3519" s="2">
        <v>1</v>
      </c>
      <c r="AH3519" s="3" t="s">
        <v>3611</v>
      </c>
      <c r="AI3519" s="4">
        <v>45436</v>
      </c>
      <c r="AJ3519" s="3" t="s">
        <v>3675</v>
      </c>
      <c r="AK3519" s="3" t="s">
        <v>645</v>
      </c>
    </row>
    <row r="3520" spans="1:37" hidden="1" x14ac:dyDescent="0.25">
      <c r="A3520" t="str">
        <f t="shared" si="54"/>
        <v>2024_Vic_Kalkee_Fababean_DetailedTOS2VarietyNasmaWaterTrtRainFed</v>
      </c>
      <c r="B3520" s="2">
        <v>2024039</v>
      </c>
      <c r="C3520" s="3" t="s">
        <v>3610</v>
      </c>
      <c r="D3520" s="3" t="s">
        <v>645</v>
      </c>
      <c r="F3520" s="3" t="s">
        <v>4186</v>
      </c>
      <c r="G3520" s="3" t="s">
        <v>43</v>
      </c>
      <c r="H3520" s="3" t="s">
        <v>253</v>
      </c>
      <c r="I3520" s="2">
        <v>65</v>
      </c>
      <c r="J3520" s="2">
        <v>33</v>
      </c>
      <c r="K3520" s="2">
        <v>3</v>
      </c>
      <c r="O3520" s="2">
        <v>5</v>
      </c>
      <c r="P3520" s="2">
        <v>9</v>
      </c>
      <c r="U3520" s="2">
        <v>1</v>
      </c>
      <c r="W3520" s="2">
        <v>1</v>
      </c>
      <c r="X3520" s="2">
        <v>17</v>
      </c>
      <c r="AA3520" s="3" t="s">
        <v>40</v>
      </c>
      <c r="AB3520" s="2">
        <v>3</v>
      </c>
      <c r="AF3520" s="2">
        <v>30.5</v>
      </c>
      <c r="AG3520" s="2">
        <v>2</v>
      </c>
      <c r="AH3520" s="3" t="s">
        <v>3497</v>
      </c>
      <c r="AI3520" s="4">
        <v>45477</v>
      </c>
      <c r="AJ3520" s="3" t="s">
        <v>3676</v>
      </c>
      <c r="AK3520" s="3" t="s">
        <v>645</v>
      </c>
    </row>
    <row r="3521" spans="1:37" hidden="1" x14ac:dyDescent="0.25">
      <c r="A3521" t="str">
        <f t="shared" si="54"/>
        <v>2024_Vic_Kalkee_Fababean_DetailedTOS2VarietyMarneWaterTrtRainFed</v>
      </c>
      <c r="B3521" s="2">
        <v>2024039</v>
      </c>
      <c r="C3521" s="3" t="s">
        <v>3610</v>
      </c>
      <c r="D3521" s="3" t="s">
        <v>645</v>
      </c>
      <c r="F3521" s="3" t="s">
        <v>4184</v>
      </c>
      <c r="G3521" s="3" t="s">
        <v>39</v>
      </c>
      <c r="H3521" s="3" t="s">
        <v>253</v>
      </c>
      <c r="I3521" s="2">
        <v>66</v>
      </c>
      <c r="J3521" s="2">
        <v>34</v>
      </c>
      <c r="K3521" s="2">
        <v>3</v>
      </c>
      <c r="O3521" s="2">
        <v>5</v>
      </c>
      <c r="P3521" s="2">
        <v>9</v>
      </c>
      <c r="U3521" s="2">
        <v>2</v>
      </c>
      <c r="W3521" s="2">
        <v>2</v>
      </c>
      <c r="X3521" s="2">
        <v>17</v>
      </c>
      <c r="AA3521" s="3" t="s">
        <v>40</v>
      </c>
      <c r="AB3521" s="2">
        <v>2</v>
      </c>
      <c r="AF3521" s="2">
        <v>30.5</v>
      </c>
      <c r="AG3521" s="2">
        <v>2</v>
      </c>
      <c r="AH3521" s="3" t="s">
        <v>3497</v>
      </c>
      <c r="AI3521" s="4">
        <v>45477</v>
      </c>
      <c r="AJ3521" s="3" t="s">
        <v>3677</v>
      </c>
      <c r="AK3521" s="3" t="s">
        <v>645</v>
      </c>
    </row>
    <row r="3522" spans="1:37" hidden="1" x14ac:dyDescent="0.25">
      <c r="A3522" t="str">
        <f t="shared" si="54"/>
        <v>2024_Vic_Kalkee_Fababean_DetailedTOS2VarietySamiraWaterTrtIrrigated</v>
      </c>
      <c r="B3522" s="2">
        <v>2024039</v>
      </c>
      <c r="C3522" s="3" t="s">
        <v>3610</v>
      </c>
      <c r="D3522" s="3" t="s">
        <v>645</v>
      </c>
      <c r="F3522" s="3" t="s">
        <v>4183</v>
      </c>
      <c r="G3522" s="3" t="s">
        <v>43</v>
      </c>
      <c r="H3522" s="3" t="s">
        <v>253</v>
      </c>
      <c r="I3522" s="2">
        <v>67</v>
      </c>
      <c r="J3522" s="2">
        <v>35</v>
      </c>
      <c r="K3522" s="2">
        <v>3</v>
      </c>
      <c r="O3522" s="2">
        <v>5</v>
      </c>
      <c r="P3522" s="2">
        <v>10</v>
      </c>
      <c r="U3522" s="2">
        <v>3</v>
      </c>
      <c r="W3522" s="2">
        <v>3</v>
      </c>
      <c r="X3522" s="2">
        <v>17</v>
      </c>
      <c r="AA3522" s="3" t="s">
        <v>57</v>
      </c>
      <c r="AB3522" s="2">
        <v>4</v>
      </c>
      <c r="AF3522" s="2">
        <v>30.5</v>
      </c>
      <c r="AG3522" s="2">
        <v>2</v>
      </c>
      <c r="AH3522" s="3" t="s">
        <v>3497</v>
      </c>
      <c r="AI3522" s="4">
        <v>45477</v>
      </c>
      <c r="AJ3522" s="3" t="s">
        <v>3678</v>
      </c>
      <c r="AK3522" s="3" t="s">
        <v>645</v>
      </c>
    </row>
    <row r="3523" spans="1:37" hidden="1" x14ac:dyDescent="0.25">
      <c r="A3523" t="str">
        <f t="shared" ref="A3523:A3586" si="55">C3523&amp;"TOS"&amp;AG3523&amp;"Variety"&amp;F3523&amp;"WaterTrt"&amp;AA3523&amp;IF(AC3523="","","Agronomy"&amp;AC3523)</f>
        <v>2024_Vic_Kalkee_Fababean_DetailedTOS2VarietyAmberleyWaterTrtIrrigated</v>
      </c>
      <c r="B3523" s="2">
        <v>2024039</v>
      </c>
      <c r="C3523" s="3" t="s">
        <v>3610</v>
      </c>
      <c r="D3523" s="3" t="s">
        <v>645</v>
      </c>
      <c r="F3523" s="3" t="s">
        <v>4185</v>
      </c>
      <c r="G3523" s="3" t="s">
        <v>39</v>
      </c>
      <c r="H3523" s="3" t="s">
        <v>253</v>
      </c>
      <c r="I3523" s="2">
        <v>68</v>
      </c>
      <c r="J3523" s="2">
        <v>36</v>
      </c>
      <c r="K3523" s="2">
        <v>3</v>
      </c>
      <c r="O3523" s="2">
        <v>5</v>
      </c>
      <c r="P3523" s="2">
        <v>10</v>
      </c>
      <c r="U3523" s="2">
        <v>4</v>
      </c>
      <c r="W3523" s="2">
        <v>4</v>
      </c>
      <c r="X3523" s="2">
        <v>17</v>
      </c>
      <c r="AA3523" s="3" t="s">
        <v>57</v>
      </c>
      <c r="AB3523" s="2">
        <v>1</v>
      </c>
      <c r="AF3523" s="2">
        <v>30.5</v>
      </c>
      <c r="AG3523" s="2">
        <v>2</v>
      </c>
      <c r="AH3523" s="3" t="s">
        <v>3497</v>
      </c>
      <c r="AI3523" s="4">
        <v>45477</v>
      </c>
      <c r="AJ3523" s="3" t="s">
        <v>3679</v>
      </c>
      <c r="AK3523" s="3" t="s">
        <v>645</v>
      </c>
    </row>
    <row r="3524" spans="1:37" hidden="1" x14ac:dyDescent="0.25">
      <c r="A3524" t="str">
        <f t="shared" si="55"/>
        <v>2024_Vic_Kalkee_Fababean_DetailedTOS2VarietyNasmaWaterTrtRainFed</v>
      </c>
      <c r="B3524" s="2">
        <v>2024039</v>
      </c>
      <c r="C3524" s="3" t="s">
        <v>3610</v>
      </c>
      <c r="D3524" s="3" t="s">
        <v>645</v>
      </c>
      <c r="F3524" s="3" t="s">
        <v>4186</v>
      </c>
      <c r="G3524" s="3" t="s">
        <v>43</v>
      </c>
      <c r="H3524" s="3" t="s">
        <v>250</v>
      </c>
      <c r="I3524" s="2">
        <v>69</v>
      </c>
      <c r="J3524" s="2">
        <v>33</v>
      </c>
      <c r="K3524" s="2">
        <v>3</v>
      </c>
      <c r="O3524" s="2">
        <v>5</v>
      </c>
      <c r="P3524" s="2">
        <v>9</v>
      </c>
      <c r="U3524" s="2">
        <v>1</v>
      </c>
      <c r="W3524" s="2">
        <v>1</v>
      </c>
      <c r="X3524" s="2">
        <v>18</v>
      </c>
      <c r="Z3524" s="2">
        <v>33</v>
      </c>
      <c r="AA3524" s="3" t="s">
        <v>40</v>
      </c>
      <c r="AB3524" s="2">
        <v>3</v>
      </c>
      <c r="AF3524" s="2">
        <v>30.5</v>
      </c>
      <c r="AG3524" s="2">
        <v>2</v>
      </c>
      <c r="AH3524" s="3" t="s">
        <v>3497</v>
      </c>
      <c r="AI3524" s="4">
        <v>45477</v>
      </c>
      <c r="AJ3524" s="3" t="s">
        <v>3680</v>
      </c>
      <c r="AK3524" s="3" t="s">
        <v>645</v>
      </c>
    </row>
    <row r="3525" spans="1:37" hidden="1" x14ac:dyDescent="0.25">
      <c r="A3525" t="str">
        <f t="shared" si="55"/>
        <v>2024_Vic_Kalkee_Fababean_DetailedTOS2VarietyMarneWaterTrtRainFed</v>
      </c>
      <c r="B3525" s="2">
        <v>2024039</v>
      </c>
      <c r="C3525" s="3" t="s">
        <v>3610</v>
      </c>
      <c r="D3525" s="3" t="s">
        <v>645</v>
      </c>
      <c r="F3525" s="3" t="s">
        <v>4184</v>
      </c>
      <c r="G3525" s="3" t="s">
        <v>39</v>
      </c>
      <c r="H3525" s="3" t="s">
        <v>250</v>
      </c>
      <c r="I3525" s="2">
        <v>70</v>
      </c>
      <c r="J3525" s="2">
        <v>34</v>
      </c>
      <c r="K3525" s="2">
        <v>3</v>
      </c>
      <c r="O3525" s="2">
        <v>5</v>
      </c>
      <c r="P3525" s="2">
        <v>9</v>
      </c>
      <c r="U3525" s="2">
        <v>2</v>
      </c>
      <c r="W3525" s="2">
        <v>2</v>
      </c>
      <c r="X3525" s="2">
        <v>18</v>
      </c>
      <c r="Z3525" s="2">
        <v>34</v>
      </c>
      <c r="AA3525" s="3" t="s">
        <v>40</v>
      </c>
      <c r="AB3525" s="2">
        <v>2</v>
      </c>
      <c r="AF3525" s="2">
        <v>30.5</v>
      </c>
      <c r="AG3525" s="2">
        <v>2</v>
      </c>
      <c r="AH3525" s="3" t="s">
        <v>3497</v>
      </c>
      <c r="AI3525" s="4">
        <v>45477</v>
      </c>
      <c r="AJ3525" s="3" t="s">
        <v>3681</v>
      </c>
      <c r="AK3525" s="3" t="s">
        <v>645</v>
      </c>
    </row>
    <row r="3526" spans="1:37" hidden="1" x14ac:dyDescent="0.25">
      <c r="A3526" t="str">
        <f t="shared" si="55"/>
        <v>2024_Vic_Kalkee_Fababean_DetailedTOS2VarietySamiraWaterTrtIrrigated</v>
      </c>
      <c r="B3526" s="2">
        <v>2024039</v>
      </c>
      <c r="C3526" s="3" t="s">
        <v>3610</v>
      </c>
      <c r="D3526" s="3" t="s">
        <v>645</v>
      </c>
      <c r="F3526" s="3" t="s">
        <v>4183</v>
      </c>
      <c r="G3526" s="3" t="s">
        <v>43</v>
      </c>
      <c r="H3526" s="3" t="s">
        <v>250</v>
      </c>
      <c r="I3526" s="2">
        <v>71</v>
      </c>
      <c r="J3526" s="2">
        <v>35</v>
      </c>
      <c r="K3526" s="2">
        <v>3</v>
      </c>
      <c r="O3526" s="2">
        <v>5</v>
      </c>
      <c r="P3526" s="2">
        <v>10</v>
      </c>
      <c r="U3526" s="2">
        <v>3</v>
      </c>
      <c r="W3526" s="2">
        <v>3</v>
      </c>
      <c r="X3526" s="2">
        <v>18</v>
      </c>
      <c r="Z3526" s="2">
        <v>35</v>
      </c>
      <c r="AA3526" s="3" t="s">
        <v>57</v>
      </c>
      <c r="AB3526" s="2">
        <v>4</v>
      </c>
      <c r="AF3526" s="2">
        <v>30.5</v>
      </c>
      <c r="AG3526" s="2">
        <v>2</v>
      </c>
      <c r="AH3526" s="3" t="s">
        <v>3497</v>
      </c>
      <c r="AI3526" s="4">
        <v>45477</v>
      </c>
      <c r="AJ3526" s="3" t="s">
        <v>3682</v>
      </c>
      <c r="AK3526" s="3" t="s">
        <v>645</v>
      </c>
    </row>
    <row r="3527" spans="1:37" hidden="1" x14ac:dyDescent="0.25">
      <c r="A3527" t="str">
        <f t="shared" si="55"/>
        <v>2024_Vic_Kalkee_Fababean_DetailedTOS2VarietyAmberleyWaterTrtIrrigated</v>
      </c>
      <c r="B3527" s="2">
        <v>2024039</v>
      </c>
      <c r="C3527" s="3" t="s">
        <v>3610</v>
      </c>
      <c r="D3527" s="3" t="s">
        <v>645</v>
      </c>
      <c r="F3527" s="3" t="s">
        <v>4185</v>
      </c>
      <c r="G3527" s="3" t="s">
        <v>39</v>
      </c>
      <c r="H3527" s="3" t="s">
        <v>250</v>
      </c>
      <c r="I3527" s="2">
        <v>72</v>
      </c>
      <c r="J3527" s="2">
        <v>36</v>
      </c>
      <c r="K3527" s="2">
        <v>3</v>
      </c>
      <c r="O3527" s="2">
        <v>5</v>
      </c>
      <c r="P3527" s="2">
        <v>10</v>
      </c>
      <c r="U3527" s="2">
        <v>4</v>
      </c>
      <c r="W3527" s="2">
        <v>4</v>
      </c>
      <c r="X3527" s="2">
        <v>18</v>
      </c>
      <c r="Z3527" s="2">
        <v>36</v>
      </c>
      <c r="AA3527" s="3" t="s">
        <v>57</v>
      </c>
      <c r="AB3527" s="2">
        <v>1</v>
      </c>
      <c r="AF3527" s="2">
        <v>30.5</v>
      </c>
      <c r="AG3527" s="2">
        <v>2</v>
      </c>
      <c r="AH3527" s="3" t="s">
        <v>3497</v>
      </c>
      <c r="AI3527" s="4">
        <v>45477</v>
      </c>
      <c r="AJ3527" s="3" t="s">
        <v>3683</v>
      </c>
      <c r="AK3527" s="3" t="s">
        <v>645</v>
      </c>
    </row>
    <row r="3528" spans="1:37" hidden="1" x14ac:dyDescent="0.25">
      <c r="A3528" t="str">
        <f t="shared" si="55"/>
        <v>2024_Vic_Kalkee_Fababean_DetailedTOS2VarietySamiraWaterTrtRainFed</v>
      </c>
      <c r="B3528" s="2">
        <v>2024039</v>
      </c>
      <c r="C3528" s="3" t="s">
        <v>3610</v>
      </c>
      <c r="D3528" s="3" t="s">
        <v>645</v>
      </c>
      <c r="F3528" s="3" t="s">
        <v>4183</v>
      </c>
      <c r="G3528" s="3" t="s">
        <v>43</v>
      </c>
      <c r="H3528" s="3" t="s">
        <v>253</v>
      </c>
      <c r="I3528" s="2">
        <v>73</v>
      </c>
      <c r="J3528" s="2">
        <v>37</v>
      </c>
      <c r="K3528" s="2">
        <v>3</v>
      </c>
      <c r="O3528" s="2">
        <v>5</v>
      </c>
      <c r="P3528" s="2">
        <v>9</v>
      </c>
      <c r="U3528" s="2">
        <v>1</v>
      </c>
      <c r="W3528" s="2">
        <v>1</v>
      </c>
      <c r="X3528" s="2">
        <v>19</v>
      </c>
      <c r="AA3528" s="3" t="s">
        <v>40</v>
      </c>
      <c r="AB3528" s="2">
        <v>4</v>
      </c>
      <c r="AF3528" s="2">
        <v>30.5</v>
      </c>
      <c r="AG3528" s="2">
        <v>2</v>
      </c>
      <c r="AH3528" s="3" t="s">
        <v>3497</v>
      </c>
      <c r="AI3528" s="4">
        <v>45477</v>
      </c>
      <c r="AJ3528" s="3" t="s">
        <v>3684</v>
      </c>
      <c r="AK3528" s="3" t="s">
        <v>645</v>
      </c>
    </row>
    <row r="3529" spans="1:37" hidden="1" x14ac:dyDescent="0.25">
      <c r="A3529" t="str">
        <f t="shared" si="55"/>
        <v>2024_Vic_Kalkee_Fababean_DetailedTOS2VarietyAmberleyWaterTrtRainFed</v>
      </c>
      <c r="B3529" s="2">
        <v>2024039</v>
      </c>
      <c r="C3529" s="3" t="s">
        <v>3610</v>
      </c>
      <c r="D3529" s="3" t="s">
        <v>645</v>
      </c>
      <c r="F3529" s="3" t="s">
        <v>4185</v>
      </c>
      <c r="G3529" s="3" t="s">
        <v>39</v>
      </c>
      <c r="H3529" s="3" t="s">
        <v>253</v>
      </c>
      <c r="I3529" s="2">
        <v>74</v>
      </c>
      <c r="J3529" s="2">
        <v>38</v>
      </c>
      <c r="K3529" s="2">
        <v>3</v>
      </c>
      <c r="O3529" s="2">
        <v>5</v>
      </c>
      <c r="P3529" s="2">
        <v>9</v>
      </c>
      <c r="U3529" s="2">
        <v>2</v>
      </c>
      <c r="W3529" s="2">
        <v>2</v>
      </c>
      <c r="X3529" s="2">
        <v>19</v>
      </c>
      <c r="AA3529" s="3" t="s">
        <v>40</v>
      </c>
      <c r="AB3529" s="2">
        <v>1</v>
      </c>
      <c r="AF3529" s="2">
        <v>30.5</v>
      </c>
      <c r="AG3529" s="2">
        <v>2</v>
      </c>
      <c r="AH3529" s="3" t="s">
        <v>3497</v>
      </c>
      <c r="AI3529" s="4">
        <v>45477</v>
      </c>
      <c r="AJ3529" s="3" t="s">
        <v>3685</v>
      </c>
      <c r="AK3529" s="3" t="s">
        <v>645</v>
      </c>
    </row>
    <row r="3530" spans="1:37" hidden="1" x14ac:dyDescent="0.25">
      <c r="A3530" t="str">
        <f t="shared" si="55"/>
        <v>2024_Vic_Kalkee_Fababean_DetailedTOS2VarietyMarneWaterTrtIrrigated</v>
      </c>
      <c r="B3530" s="2">
        <v>2024039</v>
      </c>
      <c r="C3530" s="3" t="s">
        <v>3610</v>
      </c>
      <c r="D3530" s="3" t="s">
        <v>645</v>
      </c>
      <c r="F3530" s="3" t="s">
        <v>4184</v>
      </c>
      <c r="G3530" s="3" t="s">
        <v>39</v>
      </c>
      <c r="H3530" s="3" t="s">
        <v>253</v>
      </c>
      <c r="I3530" s="2">
        <v>75</v>
      </c>
      <c r="J3530" s="2">
        <v>39</v>
      </c>
      <c r="K3530" s="2">
        <v>3</v>
      </c>
      <c r="O3530" s="2">
        <v>5</v>
      </c>
      <c r="P3530" s="2">
        <v>10</v>
      </c>
      <c r="U3530" s="2">
        <v>3</v>
      </c>
      <c r="W3530" s="2">
        <v>3</v>
      </c>
      <c r="X3530" s="2">
        <v>19</v>
      </c>
      <c r="AA3530" s="3" t="s">
        <v>57</v>
      </c>
      <c r="AB3530" s="2">
        <v>2</v>
      </c>
      <c r="AF3530" s="2">
        <v>30.5</v>
      </c>
      <c r="AG3530" s="2">
        <v>2</v>
      </c>
      <c r="AH3530" s="3" t="s">
        <v>3497</v>
      </c>
      <c r="AI3530" s="4">
        <v>45477</v>
      </c>
      <c r="AJ3530" s="3" t="s">
        <v>3686</v>
      </c>
      <c r="AK3530" s="3" t="s">
        <v>645</v>
      </c>
    </row>
    <row r="3531" spans="1:37" hidden="1" x14ac:dyDescent="0.25">
      <c r="A3531" t="str">
        <f t="shared" si="55"/>
        <v>2024_Vic_Kalkee_Fababean_DetailedTOS2VarietyNasmaWaterTrtIrrigated</v>
      </c>
      <c r="B3531" s="2">
        <v>2024039</v>
      </c>
      <c r="C3531" s="3" t="s">
        <v>3610</v>
      </c>
      <c r="D3531" s="3" t="s">
        <v>645</v>
      </c>
      <c r="F3531" s="3" t="s">
        <v>4186</v>
      </c>
      <c r="G3531" s="3" t="s">
        <v>43</v>
      </c>
      <c r="H3531" s="3" t="s">
        <v>253</v>
      </c>
      <c r="I3531" s="2">
        <v>76</v>
      </c>
      <c r="J3531" s="2">
        <v>40</v>
      </c>
      <c r="K3531" s="2">
        <v>3</v>
      </c>
      <c r="O3531" s="2">
        <v>5</v>
      </c>
      <c r="P3531" s="2">
        <v>10</v>
      </c>
      <c r="U3531" s="2">
        <v>4</v>
      </c>
      <c r="W3531" s="2">
        <v>4</v>
      </c>
      <c r="X3531" s="2">
        <v>19</v>
      </c>
      <c r="AA3531" s="3" t="s">
        <v>57</v>
      </c>
      <c r="AB3531" s="2">
        <v>3</v>
      </c>
      <c r="AF3531" s="2">
        <v>30.5</v>
      </c>
      <c r="AG3531" s="2">
        <v>2</v>
      </c>
      <c r="AH3531" s="3" t="s">
        <v>3497</v>
      </c>
      <c r="AI3531" s="4">
        <v>45477</v>
      </c>
      <c r="AJ3531" s="3" t="s">
        <v>3687</v>
      </c>
      <c r="AK3531" s="3" t="s">
        <v>645</v>
      </c>
    </row>
    <row r="3532" spans="1:37" hidden="1" x14ac:dyDescent="0.25">
      <c r="A3532" t="str">
        <f t="shared" si="55"/>
        <v>2024_Vic_Kalkee_Fababean_DetailedTOS2VarietySamiraWaterTrtRainFed</v>
      </c>
      <c r="B3532" s="2">
        <v>2024039</v>
      </c>
      <c r="C3532" s="3" t="s">
        <v>3610</v>
      </c>
      <c r="D3532" s="3" t="s">
        <v>645</v>
      </c>
      <c r="F3532" s="3" t="s">
        <v>4183</v>
      </c>
      <c r="G3532" s="3" t="s">
        <v>43</v>
      </c>
      <c r="H3532" s="3" t="s">
        <v>250</v>
      </c>
      <c r="I3532" s="2">
        <v>77</v>
      </c>
      <c r="J3532" s="2">
        <v>37</v>
      </c>
      <c r="K3532" s="2">
        <v>3</v>
      </c>
      <c r="O3532" s="2">
        <v>5</v>
      </c>
      <c r="P3532" s="2">
        <v>9</v>
      </c>
      <c r="U3532" s="2">
        <v>1</v>
      </c>
      <c r="W3532" s="2">
        <v>1</v>
      </c>
      <c r="X3532" s="2">
        <v>20</v>
      </c>
      <c r="Z3532" s="2">
        <v>40</v>
      </c>
      <c r="AA3532" s="3" t="s">
        <v>40</v>
      </c>
      <c r="AB3532" s="2">
        <v>4</v>
      </c>
      <c r="AF3532" s="2">
        <v>30.5</v>
      </c>
      <c r="AG3532" s="2">
        <v>2</v>
      </c>
      <c r="AH3532" s="3" t="s">
        <v>3497</v>
      </c>
      <c r="AI3532" s="4">
        <v>45477</v>
      </c>
      <c r="AJ3532" s="3" t="s">
        <v>3688</v>
      </c>
      <c r="AK3532" s="3" t="s">
        <v>645</v>
      </c>
    </row>
    <row r="3533" spans="1:37" hidden="1" x14ac:dyDescent="0.25">
      <c r="A3533" t="str">
        <f t="shared" si="55"/>
        <v>2024_Vic_Kalkee_Fababean_DetailedTOS2VarietyAmberleyWaterTrtRainFed</v>
      </c>
      <c r="B3533" s="2">
        <v>2024039</v>
      </c>
      <c r="C3533" s="3" t="s">
        <v>3610</v>
      </c>
      <c r="D3533" s="3" t="s">
        <v>645</v>
      </c>
      <c r="F3533" s="3" t="s">
        <v>4185</v>
      </c>
      <c r="G3533" s="3" t="s">
        <v>39</v>
      </c>
      <c r="H3533" s="3" t="s">
        <v>250</v>
      </c>
      <c r="I3533" s="2">
        <v>78</v>
      </c>
      <c r="J3533" s="2">
        <v>38</v>
      </c>
      <c r="K3533" s="2">
        <v>3</v>
      </c>
      <c r="O3533" s="2">
        <v>5</v>
      </c>
      <c r="P3533" s="2">
        <v>9</v>
      </c>
      <c r="U3533" s="2">
        <v>2</v>
      </c>
      <c r="W3533" s="2">
        <v>2</v>
      </c>
      <c r="X3533" s="2">
        <v>20</v>
      </c>
      <c r="Z3533" s="2">
        <v>39</v>
      </c>
      <c r="AA3533" s="3" t="s">
        <v>40</v>
      </c>
      <c r="AB3533" s="2">
        <v>1</v>
      </c>
      <c r="AF3533" s="2">
        <v>30.5</v>
      </c>
      <c r="AG3533" s="2">
        <v>2</v>
      </c>
      <c r="AH3533" s="3" t="s">
        <v>3497</v>
      </c>
      <c r="AI3533" s="4">
        <v>45477</v>
      </c>
      <c r="AJ3533" s="3" t="s">
        <v>3689</v>
      </c>
      <c r="AK3533" s="3" t="s">
        <v>645</v>
      </c>
    </row>
    <row r="3534" spans="1:37" hidden="1" x14ac:dyDescent="0.25">
      <c r="A3534" t="str">
        <f t="shared" si="55"/>
        <v>2024_Vic_Kalkee_Fababean_DetailedTOS2VarietyMarneWaterTrtIrrigated</v>
      </c>
      <c r="B3534" s="2">
        <v>2024039</v>
      </c>
      <c r="C3534" s="3" t="s">
        <v>3610</v>
      </c>
      <c r="D3534" s="3" t="s">
        <v>645</v>
      </c>
      <c r="F3534" s="3" t="s">
        <v>4184</v>
      </c>
      <c r="G3534" s="3" t="s">
        <v>39</v>
      </c>
      <c r="H3534" s="3" t="s">
        <v>250</v>
      </c>
      <c r="I3534" s="2">
        <v>79</v>
      </c>
      <c r="J3534" s="2">
        <v>39</v>
      </c>
      <c r="K3534" s="2">
        <v>3</v>
      </c>
      <c r="O3534" s="2">
        <v>5</v>
      </c>
      <c r="P3534" s="2">
        <v>10</v>
      </c>
      <c r="U3534" s="2">
        <v>3</v>
      </c>
      <c r="W3534" s="2">
        <v>3</v>
      </c>
      <c r="X3534" s="2">
        <v>20</v>
      </c>
      <c r="Z3534" s="2">
        <v>38</v>
      </c>
      <c r="AA3534" s="3" t="s">
        <v>57</v>
      </c>
      <c r="AB3534" s="2">
        <v>2</v>
      </c>
      <c r="AF3534" s="2">
        <v>30.5</v>
      </c>
      <c r="AG3534" s="2">
        <v>2</v>
      </c>
      <c r="AH3534" s="3" t="s">
        <v>3497</v>
      </c>
      <c r="AI3534" s="4">
        <v>45477</v>
      </c>
      <c r="AJ3534" s="3" t="s">
        <v>3690</v>
      </c>
      <c r="AK3534" s="3" t="s">
        <v>645</v>
      </c>
    </row>
    <row r="3535" spans="1:37" hidden="1" x14ac:dyDescent="0.25">
      <c r="A3535" t="str">
        <f t="shared" si="55"/>
        <v>2024_Vic_Kalkee_Fababean_DetailedTOS2VarietyNasmaWaterTrtIrrigated</v>
      </c>
      <c r="B3535" s="2">
        <v>2024039</v>
      </c>
      <c r="C3535" s="3" t="s">
        <v>3610</v>
      </c>
      <c r="D3535" s="3" t="s">
        <v>645</v>
      </c>
      <c r="F3535" s="3" t="s">
        <v>4186</v>
      </c>
      <c r="G3535" s="3" t="s">
        <v>43</v>
      </c>
      <c r="H3535" s="3" t="s">
        <v>250</v>
      </c>
      <c r="I3535" s="2">
        <v>80</v>
      </c>
      <c r="J3535" s="2">
        <v>40</v>
      </c>
      <c r="K3535" s="2">
        <v>3</v>
      </c>
      <c r="O3535" s="2">
        <v>5</v>
      </c>
      <c r="P3535" s="2">
        <v>10</v>
      </c>
      <c r="U3535" s="2">
        <v>4</v>
      </c>
      <c r="W3535" s="2">
        <v>4</v>
      </c>
      <c r="X3535" s="2">
        <v>20</v>
      </c>
      <c r="Z3535" s="2">
        <v>37</v>
      </c>
      <c r="AA3535" s="3" t="s">
        <v>57</v>
      </c>
      <c r="AB3535" s="2">
        <v>3</v>
      </c>
      <c r="AF3535" s="2">
        <v>30.5</v>
      </c>
      <c r="AG3535" s="2">
        <v>2</v>
      </c>
      <c r="AH3535" s="3" t="s">
        <v>3497</v>
      </c>
      <c r="AI3535" s="4">
        <v>45477</v>
      </c>
      <c r="AJ3535" s="3" t="s">
        <v>3691</v>
      </c>
      <c r="AK3535" s="3" t="s">
        <v>645</v>
      </c>
    </row>
    <row r="3536" spans="1:37" hidden="1" x14ac:dyDescent="0.25">
      <c r="A3536" t="str">
        <f t="shared" si="55"/>
        <v>2024_Vic_Kalkee_Fababean_DetailedTOS1VarietyAmberleyWaterTrtIrrigated</v>
      </c>
      <c r="B3536" s="2">
        <v>2024039</v>
      </c>
      <c r="C3536" s="3" t="s">
        <v>3610</v>
      </c>
      <c r="D3536" s="3" t="s">
        <v>645</v>
      </c>
      <c r="F3536" s="3" t="s">
        <v>4185</v>
      </c>
      <c r="G3536" s="3" t="s">
        <v>39</v>
      </c>
      <c r="H3536" s="3" t="s">
        <v>253</v>
      </c>
      <c r="I3536" s="2">
        <v>81</v>
      </c>
      <c r="J3536" s="2">
        <v>41</v>
      </c>
      <c r="K3536" s="2">
        <v>3</v>
      </c>
      <c r="O3536" s="2">
        <v>6</v>
      </c>
      <c r="P3536" s="2">
        <v>11</v>
      </c>
      <c r="U3536" s="2">
        <v>1</v>
      </c>
      <c r="W3536" s="2">
        <v>1</v>
      </c>
      <c r="X3536" s="2">
        <v>21</v>
      </c>
      <c r="AA3536" s="3" t="s">
        <v>57</v>
      </c>
      <c r="AB3536" s="2">
        <v>1</v>
      </c>
      <c r="AF3536" s="2">
        <v>30.5</v>
      </c>
      <c r="AG3536" s="2">
        <v>1</v>
      </c>
      <c r="AH3536" s="3" t="s">
        <v>3611</v>
      </c>
      <c r="AI3536" s="4">
        <v>45436</v>
      </c>
      <c r="AJ3536" s="3" t="s">
        <v>3692</v>
      </c>
      <c r="AK3536" s="3" t="s">
        <v>645</v>
      </c>
    </row>
    <row r="3537" spans="1:37" hidden="1" x14ac:dyDescent="0.25">
      <c r="A3537" t="str">
        <f t="shared" si="55"/>
        <v>2024_Vic_Kalkee_Fababean_DetailedTOS1VarietySamiraWaterTrtIrrigated</v>
      </c>
      <c r="B3537" s="2">
        <v>2024039</v>
      </c>
      <c r="C3537" s="3" t="s">
        <v>3610</v>
      </c>
      <c r="D3537" s="3" t="s">
        <v>645</v>
      </c>
      <c r="F3537" s="3" t="s">
        <v>4183</v>
      </c>
      <c r="G3537" s="3" t="s">
        <v>43</v>
      </c>
      <c r="H3537" s="3" t="s">
        <v>253</v>
      </c>
      <c r="I3537" s="2">
        <v>82</v>
      </c>
      <c r="J3537" s="2">
        <v>42</v>
      </c>
      <c r="K3537" s="2">
        <v>3</v>
      </c>
      <c r="O3537" s="2">
        <v>6</v>
      </c>
      <c r="P3537" s="2">
        <v>11</v>
      </c>
      <c r="U3537" s="2">
        <v>2</v>
      </c>
      <c r="W3537" s="2">
        <v>2</v>
      </c>
      <c r="X3537" s="2">
        <v>21</v>
      </c>
      <c r="AA3537" s="3" t="s">
        <v>57</v>
      </c>
      <c r="AB3537" s="2">
        <v>4</v>
      </c>
      <c r="AF3537" s="2">
        <v>30.5</v>
      </c>
      <c r="AG3537" s="2">
        <v>1</v>
      </c>
      <c r="AH3537" s="3" t="s">
        <v>3611</v>
      </c>
      <c r="AI3537" s="4">
        <v>45436</v>
      </c>
      <c r="AJ3537" s="3" t="s">
        <v>3693</v>
      </c>
      <c r="AK3537" s="3" t="s">
        <v>645</v>
      </c>
    </row>
    <row r="3538" spans="1:37" hidden="1" x14ac:dyDescent="0.25">
      <c r="A3538" t="str">
        <f t="shared" si="55"/>
        <v>2024_Vic_Kalkee_Fababean_DetailedTOS1VarietyNasmaWaterTrtRainFed</v>
      </c>
      <c r="B3538" s="2">
        <v>2024039</v>
      </c>
      <c r="C3538" s="3" t="s">
        <v>3610</v>
      </c>
      <c r="D3538" s="3" t="s">
        <v>645</v>
      </c>
      <c r="F3538" s="3" t="s">
        <v>4186</v>
      </c>
      <c r="G3538" s="3" t="s">
        <v>43</v>
      </c>
      <c r="H3538" s="3" t="s">
        <v>253</v>
      </c>
      <c r="I3538" s="2">
        <v>83</v>
      </c>
      <c r="J3538" s="2">
        <v>43</v>
      </c>
      <c r="K3538" s="2">
        <v>3</v>
      </c>
      <c r="O3538" s="2">
        <v>6</v>
      </c>
      <c r="P3538" s="2">
        <v>12</v>
      </c>
      <c r="U3538" s="2">
        <v>3</v>
      </c>
      <c r="W3538" s="2">
        <v>3</v>
      </c>
      <c r="X3538" s="2">
        <v>21</v>
      </c>
      <c r="AA3538" s="3" t="s">
        <v>40</v>
      </c>
      <c r="AB3538" s="2">
        <v>3</v>
      </c>
      <c r="AF3538" s="2">
        <v>30.5</v>
      </c>
      <c r="AG3538" s="2">
        <v>1</v>
      </c>
      <c r="AH3538" s="3" t="s">
        <v>3611</v>
      </c>
      <c r="AI3538" s="4">
        <v>45436</v>
      </c>
      <c r="AJ3538" s="3" t="s">
        <v>3694</v>
      </c>
      <c r="AK3538" s="3" t="s">
        <v>645</v>
      </c>
    </row>
    <row r="3539" spans="1:37" hidden="1" x14ac:dyDescent="0.25">
      <c r="A3539" t="str">
        <f t="shared" si="55"/>
        <v>2024_Vic_Kalkee_Fababean_DetailedTOS1VarietyMarneWaterTrtRainFed</v>
      </c>
      <c r="B3539" s="2">
        <v>2024039</v>
      </c>
      <c r="C3539" s="3" t="s">
        <v>3610</v>
      </c>
      <c r="D3539" s="3" t="s">
        <v>645</v>
      </c>
      <c r="F3539" s="3" t="s">
        <v>4184</v>
      </c>
      <c r="G3539" s="3" t="s">
        <v>39</v>
      </c>
      <c r="H3539" s="3" t="s">
        <v>253</v>
      </c>
      <c r="I3539" s="2">
        <v>84</v>
      </c>
      <c r="J3539" s="2">
        <v>44</v>
      </c>
      <c r="K3539" s="2">
        <v>3</v>
      </c>
      <c r="O3539" s="2">
        <v>6</v>
      </c>
      <c r="P3539" s="2">
        <v>12</v>
      </c>
      <c r="U3539" s="2">
        <v>4</v>
      </c>
      <c r="W3539" s="2">
        <v>4</v>
      </c>
      <c r="X3539" s="2">
        <v>21</v>
      </c>
      <c r="AA3539" s="3" t="s">
        <v>40</v>
      </c>
      <c r="AB3539" s="2">
        <v>2</v>
      </c>
      <c r="AF3539" s="2">
        <v>30.5</v>
      </c>
      <c r="AG3539" s="2">
        <v>1</v>
      </c>
      <c r="AH3539" s="3" t="s">
        <v>3611</v>
      </c>
      <c r="AI3539" s="4">
        <v>45436</v>
      </c>
      <c r="AJ3539" s="3" t="s">
        <v>3695</v>
      </c>
      <c r="AK3539" s="3" t="s">
        <v>645</v>
      </c>
    </row>
    <row r="3540" spans="1:37" hidden="1" x14ac:dyDescent="0.25">
      <c r="A3540" t="str">
        <f t="shared" si="55"/>
        <v>2024_Vic_Kalkee_Fababean_DetailedTOS1VarietyAmberleyWaterTrtIrrigated</v>
      </c>
      <c r="B3540" s="2">
        <v>2024039</v>
      </c>
      <c r="C3540" s="3" t="s">
        <v>3610</v>
      </c>
      <c r="D3540" s="3" t="s">
        <v>645</v>
      </c>
      <c r="F3540" s="3" t="s">
        <v>4185</v>
      </c>
      <c r="G3540" s="3" t="s">
        <v>39</v>
      </c>
      <c r="H3540" s="3" t="s">
        <v>250</v>
      </c>
      <c r="I3540" s="2">
        <v>85</v>
      </c>
      <c r="J3540" s="2">
        <v>41</v>
      </c>
      <c r="K3540" s="2">
        <v>3</v>
      </c>
      <c r="O3540" s="2">
        <v>6</v>
      </c>
      <c r="P3540" s="2">
        <v>11</v>
      </c>
      <c r="U3540" s="2">
        <v>1</v>
      </c>
      <c r="W3540" s="2">
        <v>1</v>
      </c>
      <c r="X3540" s="2">
        <v>22</v>
      </c>
      <c r="Z3540" s="2">
        <v>41</v>
      </c>
      <c r="AA3540" s="3" t="s">
        <v>57</v>
      </c>
      <c r="AB3540" s="2">
        <v>1</v>
      </c>
      <c r="AF3540" s="2">
        <v>30.5</v>
      </c>
      <c r="AG3540" s="2">
        <v>1</v>
      </c>
      <c r="AH3540" s="3" t="s">
        <v>3611</v>
      </c>
      <c r="AI3540" s="4">
        <v>45436</v>
      </c>
      <c r="AJ3540" s="3" t="s">
        <v>3696</v>
      </c>
      <c r="AK3540" s="3" t="s">
        <v>645</v>
      </c>
    </row>
    <row r="3541" spans="1:37" hidden="1" x14ac:dyDescent="0.25">
      <c r="A3541" t="str">
        <f t="shared" si="55"/>
        <v>2024_Vic_Kalkee_Fababean_DetailedTOS1VarietySamiraWaterTrtIrrigated</v>
      </c>
      <c r="B3541" s="2">
        <v>2024039</v>
      </c>
      <c r="C3541" s="3" t="s">
        <v>3610</v>
      </c>
      <c r="D3541" s="3" t="s">
        <v>645</v>
      </c>
      <c r="F3541" s="3" t="s">
        <v>4183</v>
      </c>
      <c r="G3541" s="3" t="s">
        <v>43</v>
      </c>
      <c r="H3541" s="3" t="s">
        <v>250</v>
      </c>
      <c r="I3541" s="2">
        <v>86</v>
      </c>
      <c r="J3541" s="2">
        <v>42</v>
      </c>
      <c r="K3541" s="2">
        <v>3</v>
      </c>
      <c r="O3541" s="2">
        <v>6</v>
      </c>
      <c r="P3541" s="2">
        <v>11</v>
      </c>
      <c r="U3541" s="2">
        <v>2</v>
      </c>
      <c r="W3541" s="2">
        <v>2</v>
      </c>
      <c r="X3541" s="2">
        <v>22</v>
      </c>
      <c r="Z3541" s="2">
        <v>42</v>
      </c>
      <c r="AA3541" s="3" t="s">
        <v>57</v>
      </c>
      <c r="AB3541" s="2">
        <v>4</v>
      </c>
      <c r="AF3541" s="2">
        <v>30.5</v>
      </c>
      <c r="AG3541" s="2">
        <v>1</v>
      </c>
      <c r="AH3541" s="3" t="s">
        <v>3611</v>
      </c>
      <c r="AI3541" s="4">
        <v>45436</v>
      </c>
      <c r="AJ3541" s="3" t="s">
        <v>3697</v>
      </c>
      <c r="AK3541" s="3" t="s">
        <v>645</v>
      </c>
    </row>
    <row r="3542" spans="1:37" hidden="1" x14ac:dyDescent="0.25">
      <c r="A3542" t="str">
        <f t="shared" si="55"/>
        <v>2024_Vic_Kalkee_Fababean_DetailedTOS1VarietyNasmaWaterTrtRainFed</v>
      </c>
      <c r="B3542" s="2">
        <v>2024039</v>
      </c>
      <c r="C3542" s="3" t="s">
        <v>3610</v>
      </c>
      <c r="D3542" s="3" t="s">
        <v>645</v>
      </c>
      <c r="F3542" s="3" t="s">
        <v>4186</v>
      </c>
      <c r="G3542" s="3" t="s">
        <v>43</v>
      </c>
      <c r="H3542" s="3" t="s">
        <v>250</v>
      </c>
      <c r="I3542" s="2">
        <v>87</v>
      </c>
      <c r="J3542" s="2">
        <v>43</v>
      </c>
      <c r="K3542" s="2">
        <v>3</v>
      </c>
      <c r="O3542" s="2">
        <v>6</v>
      </c>
      <c r="P3542" s="2">
        <v>12</v>
      </c>
      <c r="U3542" s="2">
        <v>3</v>
      </c>
      <c r="W3542" s="2">
        <v>3</v>
      </c>
      <c r="X3542" s="2">
        <v>22</v>
      </c>
      <c r="Z3542" s="2">
        <v>43</v>
      </c>
      <c r="AA3542" s="3" t="s">
        <v>40</v>
      </c>
      <c r="AB3542" s="2">
        <v>3</v>
      </c>
      <c r="AF3542" s="2">
        <v>30.5</v>
      </c>
      <c r="AG3542" s="2">
        <v>1</v>
      </c>
      <c r="AH3542" s="3" t="s">
        <v>3611</v>
      </c>
      <c r="AI3542" s="4">
        <v>45436</v>
      </c>
      <c r="AJ3542" s="3" t="s">
        <v>3698</v>
      </c>
      <c r="AK3542" s="3" t="s">
        <v>645</v>
      </c>
    </row>
    <row r="3543" spans="1:37" hidden="1" x14ac:dyDescent="0.25">
      <c r="A3543" t="str">
        <f t="shared" si="55"/>
        <v>2024_Vic_Kalkee_Fababean_DetailedTOS1VarietyMarneWaterTrtRainFed</v>
      </c>
      <c r="B3543" s="2">
        <v>2024039</v>
      </c>
      <c r="C3543" s="3" t="s">
        <v>3610</v>
      </c>
      <c r="D3543" s="3" t="s">
        <v>645</v>
      </c>
      <c r="F3543" s="3" t="s">
        <v>4184</v>
      </c>
      <c r="G3543" s="3" t="s">
        <v>39</v>
      </c>
      <c r="H3543" s="3" t="s">
        <v>250</v>
      </c>
      <c r="I3543" s="2">
        <v>88</v>
      </c>
      <c r="J3543" s="2">
        <v>44</v>
      </c>
      <c r="K3543" s="2">
        <v>3</v>
      </c>
      <c r="O3543" s="2">
        <v>6</v>
      </c>
      <c r="P3543" s="2">
        <v>12</v>
      </c>
      <c r="U3543" s="2">
        <v>4</v>
      </c>
      <c r="W3543" s="2">
        <v>4</v>
      </c>
      <c r="X3543" s="2">
        <v>22</v>
      </c>
      <c r="Z3543" s="2">
        <v>44</v>
      </c>
      <c r="AA3543" s="3" t="s">
        <v>40</v>
      </c>
      <c r="AB3543" s="2">
        <v>2</v>
      </c>
      <c r="AF3543" s="2">
        <v>30.5</v>
      </c>
      <c r="AG3543" s="2">
        <v>1</v>
      </c>
      <c r="AH3543" s="3" t="s">
        <v>3611</v>
      </c>
      <c r="AI3543" s="4">
        <v>45436</v>
      </c>
      <c r="AJ3543" s="3" t="s">
        <v>3699</v>
      </c>
      <c r="AK3543" s="3" t="s">
        <v>645</v>
      </c>
    </row>
    <row r="3544" spans="1:37" hidden="1" x14ac:dyDescent="0.25">
      <c r="A3544" t="str">
        <f t="shared" si="55"/>
        <v>2024_Vic_Kalkee_Fababean_DetailedTOS1VarietyMarneWaterTrtIrrigated</v>
      </c>
      <c r="B3544" s="2">
        <v>2024039</v>
      </c>
      <c r="C3544" s="3" t="s">
        <v>3610</v>
      </c>
      <c r="D3544" s="3" t="s">
        <v>645</v>
      </c>
      <c r="F3544" s="3" t="s">
        <v>4184</v>
      </c>
      <c r="G3544" s="3" t="s">
        <v>39</v>
      </c>
      <c r="H3544" s="3" t="s">
        <v>253</v>
      </c>
      <c r="I3544" s="2">
        <v>89</v>
      </c>
      <c r="J3544" s="2">
        <v>45</v>
      </c>
      <c r="K3544" s="2">
        <v>3</v>
      </c>
      <c r="O3544" s="2">
        <v>6</v>
      </c>
      <c r="P3544" s="2">
        <v>11</v>
      </c>
      <c r="U3544" s="2">
        <v>1</v>
      </c>
      <c r="W3544" s="2">
        <v>1</v>
      </c>
      <c r="X3544" s="2">
        <v>23</v>
      </c>
      <c r="AA3544" s="3" t="s">
        <v>57</v>
      </c>
      <c r="AB3544" s="2">
        <v>2</v>
      </c>
      <c r="AF3544" s="2">
        <v>30.5</v>
      </c>
      <c r="AG3544" s="2">
        <v>1</v>
      </c>
      <c r="AH3544" s="3" t="s">
        <v>3611</v>
      </c>
      <c r="AI3544" s="4">
        <v>45436</v>
      </c>
      <c r="AJ3544" s="3" t="s">
        <v>3700</v>
      </c>
      <c r="AK3544" s="3" t="s">
        <v>645</v>
      </c>
    </row>
    <row r="3545" spans="1:37" hidden="1" x14ac:dyDescent="0.25">
      <c r="A3545" t="str">
        <f t="shared" si="55"/>
        <v>2024_Vic_Kalkee_Fababean_DetailedTOS1VarietyNasmaWaterTrtIrrigated</v>
      </c>
      <c r="B3545" s="2">
        <v>2024039</v>
      </c>
      <c r="C3545" s="3" t="s">
        <v>3610</v>
      </c>
      <c r="D3545" s="3" t="s">
        <v>645</v>
      </c>
      <c r="F3545" s="3" t="s">
        <v>4186</v>
      </c>
      <c r="G3545" s="3" t="s">
        <v>43</v>
      </c>
      <c r="H3545" s="3" t="s">
        <v>253</v>
      </c>
      <c r="I3545" s="2">
        <v>90</v>
      </c>
      <c r="J3545" s="2">
        <v>46</v>
      </c>
      <c r="K3545" s="2">
        <v>3</v>
      </c>
      <c r="O3545" s="2">
        <v>6</v>
      </c>
      <c r="P3545" s="2">
        <v>11</v>
      </c>
      <c r="U3545" s="2">
        <v>2</v>
      </c>
      <c r="W3545" s="2">
        <v>2</v>
      </c>
      <c r="X3545" s="2">
        <v>23</v>
      </c>
      <c r="AA3545" s="3" t="s">
        <v>57</v>
      </c>
      <c r="AB3545" s="2">
        <v>3</v>
      </c>
      <c r="AF3545" s="2">
        <v>30.5</v>
      </c>
      <c r="AG3545" s="2">
        <v>1</v>
      </c>
      <c r="AH3545" s="3" t="s">
        <v>3611</v>
      </c>
      <c r="AI3545" s="4">
        <v>45436</v>
      </c>
      <c r="AJ3545" s="3" t="s">
        <v>3701</v>
      </c>
      <c r="AK3545" s="3" t="s">
        <v>645</v>
      </c>
    </row>
    <row r="3546" spans="1:37" hidden="1" x14ac:dyDescent="0.25">
      <c r="A3546" t="str">
        <f t="shared" si="55"/>
        <v>2024_Vic_Kalkee_Fababean_DetailedTOS1VarietySamiraWaterTrtRainFed</v>
      </c>
      <c r="B3546" s="2">
        <v>2024039</v>
      </c>
      <c r="C3546" s="3" t="s">
        <v>3610</v>
      </c>
      <c r="D3546" s="3" t="s">
        <v>645</v>
      </c>
      <c r="F3546" s="3" t="s">
        <v>4183</v>
      </c>
      <c r="G3546" s="3" t="s">
        <v>43</v>
      </c>
      <c r="H3546" s="3" t="s">
        <v>253</v>
      </c>
      <c r="I3546" s="2">
        <v>91</v>
      </c>
      <c r="J3546" s="2">
        <v>47</v>
      </c>
      <c r="K3546" s="2">
        <v>3</v>
      </c>
      <c r="O3546" s="2">
        <v>6</v>
      </c>
      <c r="P3546" s="2">
        <v>12</v>
      </c>
      <c r="U3546" s="2">
        <v>3</v>
      </c>
      <c r="W3546" s="2">
        <v>3</v>
      </c>
      <c r="X3546" s="2">
        <v>23</v>
      </c>
      <c r="AA3546" s="3" t="s">
        <v>40</v>
      </c>
      <c r="AB3546" s="2">
        <v>4</v>
      </c>
      <c r="AF3546" s="2">
        <v>30.5</v>
      </c>
      <c r="AG3546" s="2">
        <v>1</v>
      </c>
      <c r="AH3546" s="3" t="s">
        <v>3611</v>
      </c>
      <c r="AI3546" s="4">
        <v>45436</v>
      </c>
      <c r="AJ3546" s="3" t="s">
        <v>3702</v>
      </c>
      <c r="AK3546" s="3" t="s">
        <v>645</v>
      </c>
    </row>
    <row r="3547" spans="1:37" hidden="1" x14ac:dyDescent="0.25">
      <c r="A3547" t="str">
        <f t="shared" si="55"/>
        <v>2024_Vic_Kalkee_Fababean_DetailedTOS1VarietyAmberleyWaterTrtRainFed</v>
      </c>
      <c r="B3547" s="2">
        <v>2024039</v>
      </c>
      <c r="C3547" s="3" t="s">
        <v>3610</v>
      </c>
      <c r="D3547" s="3" t="s">
        <v>645</v>
      </c>
      <c r="F3547" s="3" t="s">
        <v>4185</v>
      </c>
      <c r="G3547" s="3" t="s">
        <v>39</v>
      </c>
      <c r="H3547" s="3" t="s">
        <v>253</v>
      </c>
      <c r="I3547" s="2">
        <v>92</v>
      </c>
      <c r="J3547" s="2">
        <v>48</v>
      </c>
      <c r="K3547" s="2">
        <v>3</v>
      </c>
      <c r="O3547" s="2">
        <v>6</v>
      </c>
      <c r="P3547" s="2">
        <v>12</v>
      </c>
      <c r="U3547" s="2">
        <v>4</v>
      </c>
      <c r="W3547" s="2">
        <v>4</v>
      </c>
      <c r="X3547" s="2">
        <v>23</v>
      </c>
      <c r="AA3547" s="3" t="s">
        <v>40</v>
      </c>
      <c r="AB3547" s="2">
        <v>1</v>
      </c>
      <c r="AF3547" s="2">
        <v>30.5</v>
      </c>
      <c r="AG3547" s="2">
        <v>1</v>
      </c>
      <c r="AH3547" s="3" t="s">
        <v>3611</v>
      </c>
      <c r="AI3547" s="4">
        <v>45436</v>
      </c>
      <c r="AJ3547" s="3" t="s">
        <v>3703</v>
      </c>
      <c r="AK3547" s="3" t="s">
        <v>645</v>
      </c>
    </row>
    <row r="3548" spans="1:37" hidden="1" x14ac:dyDescent="0.25">
      <c r="A3548" t="str">
        <f t="shared" si="55"/>
        <v>2024_Vic_Kalkee_Fababean_DetailedTOS1VarietyMarneWaterTrtIrrigated</v>
      </c>
      <c r="B3548" s="2">
        <v>2024039</v>
      </c>
      <c r="C3548" s="3" t="s">
        <v>3610</v>
      </c>
      <c r="D3548" s="3" t="s">
        <v>645</v>
      </c>
      <c r="F3548" s="3" t="s">
        <v>4184</v>
      </c>
      <c r="G3548" s="3" t="s">
        <v>39</v>
      </c>
      <c r="H3548" s="3" t="s">
        <v>250</v>
      </c>
      <c r="I3548" s="2">
        <v>93</v>
      </c>
      <c r="J3548" s="2">
        <v>45</v>
      </c>
      <c r="K3548" s="2">
        <v>3</v>
      </c>
      <c r="O3548" s="2">
        <v>6</v>
      </c>
      <c r="P3548" s="2">
        <v>11</v>
      </c>
      <c r="U3548" s="2">
        <v>1</v>
      </c>
      <c r="W3548" s="2">
        <v>1</v>
      </c>
      <c r="X3548" s="2">
        <v>24</v>
      </c>
      <c r="Z3548" s="2">
        <v>48</v>
      </c>
      <c r="AA3548" s="3" t="s">
        <v>57</v>
      </c>
      <c r="AB3548" s="2">
        <v>2</v>
      </c>
      <c r="AF3548" s="2">
        <v>30.5</v>
      </c>
      <c r="AG3548" s="2">
        <v>1</v>
      </c>
      <c r="AH3548" s="3" t="s">
        <v>3611</v>
      </c>
      <c r="AI3548" s="4">
        <v>45436</v>
      </c>
      <c r="AJ3548" s="3" t="s">
        <v>3704</v>
      </c>
      <c r="AK3548" s="3" t="s">
        <v>645</v>
      </c>
    </row>
    <row r="3549" spans="1:37" hidden="1" x14ac:dyDescent="0.25">
      <c r="A3549" t="str">
        <f t="shared" si="55"/>
        <v>2024_Vic_Kalkee_Fababean_DetailedTOS1VarietyNasmaWaterTrtIrrigated</v>
      </c>
      <c r="B3549" s="2">
        <v>2024039</v>
      </c>
      <c r="C3549" s="3" t="s">
        <v>3610</v>
      </c>
      <c r="D3549" s="3" t="s">
        <v>645</v>
      </c>
      <c r="F3549" s="3" t="s">
        <v>4186</v>
      </c>
      <c r="G3549" s="3" t="s">
        <v>43</v>
      </c>
      <c r="H3549" s="3" t="s">
        <v>250</v>
      </c>
      <c r="I3549" s="2">
        <v>94</v>
      </c>
      <c r="J3549" s="2">
        <v>46</v>
      </c>
      <c r="K3549" s="2">
        <v>3</v>
      </c>
      <c r="O3549" s="2">
        <v>6</v>
      </c>
      <c r="P3549" s="2">
        <v>11</v>
      </c>
      <c r="U3549" s="2">
        <v>2</v>
      </c>
      <c r="W3549" s="2">
        <v>2</v>
      </c>
      <c r="X3549" s="2">
        <v>24</v>
      </c>
      <c r="Z3549" s="2">
        <v>47</v>
      </c>
      <c r="AA3549" s="3" t="s">
        <v>57</v>
      </c>
      <c r="AB3549" s="2">
        <v>3</v>
      </c>
      <c r="AF3549" s="2">
        <v>30.5</v>
      </c>
      <c r="AG3549" s="2">
        <v>1</v>
      </c>
      <c r="AH3549" s="3" t="s">
        <v>3611</v>
      </c>
      <c r="AI3549" s="4">
        <v>45436</v>
      </c>
      <c r="AJ3549" s="3" t="s">
        <v>3705</v>
      </c>
      <c r="AK3549" s="3" t="s">
        <v>645</v>
      </c>
    </row>
    <row r="3550" spans="1:37" hidden="1" x14ac:dyDescent="0.25">
      <c r="A3550" t="str">
        <f t="shared" si="55"/>
        <v>2024_Vic_Kalkee_Fababean_DetailedTOS1VarietySamiraWaterTrtRainFed</v>
      </c>
      <c r="B3550" s="2">
        <v>2024039</v>
      </c>
      <c r="C3550" s="3" t="s">
        <v>3610</v>
      </c>
      <c r="D3550" s="3" t="s">
        <v>645</v>
      </c>
      <c r="F3550" s="3" t="s">
        <v>4183</v>
      </c>
      <c r="G3550" s="3" t="s">
        <v>43</v>
      </c>
      <c r="H3550" s="3" t="s">
        <v>250</v>
      </c>
      <c r="I3550" s="2">
        <v>95</v>
      </c>
      <c r="J3550" s="2">
        <v>47</v>
      </c>
      <c r="K3550" s="2">
        <v>3</v>
      </c>
      <c r="O3550" s="2">
        <v>6</v>
      </c>
      <c r="P3550" s="2">
        <v>12</v>
      </c>
      <c r="U3550" s="2">
        <v>3</v>
      </c>
      <c r="W3550" s="2">
        <v>3</v>
      </c>
      <c r="X3550" s="2">
        <v>24</v>
      </c>
      <c r="Z3550" s="2">
        <v>46</v>
      </c>
      <c r="AA3550" s="3" t="s">
        <v>40</v>
      </c>
      <c r="AB3550" s="2">
        <v>4</v>
      </c>
      <c r="AF3550" s="2">
        <v>30.5</v>
      </c>
      <c r="AG3550" s="2">
        <v>1</v>
      </c>
      <c r="AH3550" s="3" t="s">
        <v>3611</v>
      </c>
      <c r="AI3550" s="4">
        <v>45436</v>
      </c>
      <c r="AJ3550" s="3" t="s">
        <v>3706</v>
      </c>
      <c r="AK3550" s="3" t="s">
        <v>645</v>
      </c>
    </row>
    <row r="3551" spans="1:37" hidden="1" x14ac:dyDescent="0.25">
      <c r="A3551" t="str">
        <f t="shared" si="55"/>
        <v>2024_Vic_Kalkee_Fababean_DetailedTOS1VarietyAmberleyWaterTrtRainFed</v>
      </c>
      <c r="B3551" s="2">
        <v>2024039</v>
      </c>
      <c r="C3551" s="3" t="s">
        <v>3610</v>
      </c>
      <c r="D3551" s="3" t="s">
        <v>645</v>
      </c>
      <c r="F3551" s="3" t="s">
        <v>4185</v>
      </c>
      <c r="G3551" s="3" t="s">
        <v>39</v>
      </c>
      <c r="H3551" s="3" t="s">
        <v>250</v>
      </c>
      <c r="I3551" s="2">
        <v>96</v>
      </c>
      <c r="J3551" s="2">
        <v>48</v>
      </c>
      <c r="K3551" s="2">
        <v>3</v>
      </c>
      <c r="O3551" s="2">
        <v>6</v>
      </c>
      <c r="P3551" s="2">
        <v>12</v>
      </c>
      <c r="U3551" s="2">
        <v>4</v>
      </c>
      <c r="W3551" s="2">
        <v>4</v>
      </c>
      <c r="X3551" s="2">
        <v>24</v>
      </c>
      <c r="Z3551" s="2">
        <v>45</v>
      </c>
      <c r="AA3551" s="3" t="s">
        <v>40</v>
      </c>
      <c r="AB3551" s="2">
        <v>1</v>
      </c>
      <c r="AF3551" s="2">
        <v>30.5</v>
      </c>
      <c r="AG3551" s="2">
        <v>1</v>
      </c>
      <c r="AH3551" s="3" t="s">
        <v>3611</v>
      </c>
      <c r="AI3551" s="4">
        <v>45436</v>
      </c>
      <c r="AJ3551" s="3" t="s">
        <v>3707</v>
      </c>
      <c r="AK3551" s="3" t="s">
        <v>645</v>
      </c>
    </row>
    <row r="3552" spans="1:37" hidden="1" x14ac:dyDescent="0.25">
      <c r="A3552" t="str">
        <f t="shared" si="55"/>
        <v>2024_Vic_Kalkee_Fababean_DetailedTOS1VarietyAmberleyWaterTrtRainFed</v>
      </c>
      <c r="B3552" s="2">
        <v>2024039</v>
      </c>
      <c r="C3552" s="3" t="s">
        <v>3610</v>
      </c>
      <c r="D3552" s="3" t="s">
        <v>645</v>
      </c>
      <c r="F3552" s="3" t="s">
        <v>4185</v>
      </c>
      <c r="G3552" s="3" t="s">
        <v>39</v>
      </c>
      <c r="H3552" s="3" t="s">
        <v>253</v>
      </c>
      <c r="I3552" s="2">
        <v>97</v>
      </c>
      <c r="J3552" s="2">
        <v>49</v>
      </c>
      <c r="K3552" s="2">
        <v>4</v>
      </c>
      <c r="O3552" s="2">
        <v>7</v>
      </c>
      <c r="P3552" s="2">
        <v>13</v>
      </c>
      <c r="U3552" s="2">
        <v>1</v>
      </c>
      <c r="W3552" s="2">
        <v>1</v>
      </c>
      <c r="X3552" s="2">
        <v>25</v>
      </c>
      <c r="AA3552" s="3" t="s">
        <v>40</v>
      </c>
      <c r="AB3552" s="2">
        <v>1</v>
      </c>
      <c r="AF3552" s="2">
        <v>30.5</v>
      </c>
      <c r="AG3552" s="2">
        <v>1</v>
      </c>
      <c r="AH3552" s="3" t="s">
        <v>3611</v>
      </c>
      <c r="AI3552" s="4">
        <v>45436</v>
      </c>
      <c r="AJ3552" s="3" t="s">
        <v>3708</v>
      </c>
      <c r="AK3552" s="3" t="s">
        <v>645</v>
      </c>
    </row>
    <row r="3553" spans="1:37" hidden="1" x14ac:dyDescent="0.25">
      <c r="A3553" t="str">
        <f t="shared" si="55"/>
        <v>2024_Vic_Kalkee_Fababean_DetailedTOS1VarietySamiraWaterTrtRainFed</v>
      </c>
      <c r="B3553" s="2">
        <v>2024039</v>
      </c>
      <c r="C3553" s="3" t="s">
        <v>3610</v>
      </c>
      <c r="D3553" s="3" t="s">
        <v>645</v>
      </c>
      <c r="F3553" s="3" t="s">
        <v>4183</v>
      </c>
      <c r="G3553" s="3" t="s">
        <v>43</v>
      </c>
      <c r="H3553" s="3" t="s">
        <v>253</v>
      </c>
      <c r="I3553" s="2">
        <v>98</v>
      </c>
      <c r="J3553" s="2">
        <v>50</v>
      </c>
      <c r="K3553" s="2">
        <v>4</v>
      </c>
      <c r="O3553" s="2">
        <v>7</v>
      </c>
      <c r="P3553" s="2">
        <v>13</v>
      </c>
      <c r="U3553" s="2">
        <v>2</v>
      </c>
      <c r="W3553" s="2">
        <v>2</v>
      </c>
      <c r="X3553" s="2">
        <v>25</v>
      </c>
      <c r="AA3553" s="3" t="s">
        <v>40</v>
      </c>
      <c r="AB3553" s="2">
        <v>4</v>
      </c>
      <c r="AF3553" s="2">
        <v>30.5</v>
      </c>
      <c r="AG3553" s="2">
        <v>1</v>
      </c>
      <c r="AH3553" s="3" t="s">
        <v>3611</v>
      </c>
      <c r="AI3553" s="4">
        <v>45436</v>
      </c>
      <c r="AJ3553" s="3" t="s">
        <v>3709</v>
      </c>
      <c r="AK3553" s="3" t="s">
        <v>645</v>
      </c>
    </row>
    <row r="3554" spans="1:37" hidden="1" x14ac:dyDescent="0.25">
      <c r="A3554" t="str">
        <f t="shared" si="55"/>
        <v>2024_Vic_Kalkee_Fababean_DetailedTOS1VarietyMarneWaterTrtIrrigated</v>
      </c>
      <c r="B3554" s="2">
        <v>2024039</v>
      </c>
      <c r="C3554" s="3" t="s">
        <v>3610</v>
      </c>
      <c r="D3554" s="3" t="s">
        <v>645</v>
      </c>
      <c r="F3554" s="3" t="s">
        <v>4184</v>
      </c>
      <c r="G3554" s="3" t="s">
        <v>39</v>
      </c>
      <c r="H3554" s="3" t="s">
        <v>253</v>
      </c>
      <c r="I3554" s="2">
        <v>99</v>
      </c>
      <c r="J3554" s="2">
        <v>51</v>
      </c>
      <c r="K3554" s="2">
        <v>4</v>
      </c>
      <c r="O3554" s="2">
        <v>7</v>
      </c>
      <c r="P3554" s="2">
        <v>14</v>
      </c>
      <c r="U3554" s="2">
        <v>3</v>
      </c>
      <c r="W3554" s="2">
        <v>3</v>
      </c>
      <c r="X3554" s="2">
        <v>25</v>
      </c>
      <c r="AA3554" s="3" t="s">
        <v>57</v>
      </c>
      <c r="AB3554" s="2">
        <v>2</v>
      </c>
      <c r="AF3554" s="2">
        <v>30.5</v>
      </c>
      <c r="AG3554" s="2">
        <v>1</v>
      </c>
      <c r="AH3554" s="3" t="s">
        <v>3611</v>
      </c>
      <c r="AI3554" s="4">
        <v>45436</v>
      </c>
      <c r="AJ3554" s="3" t="s">
        <v>3710</v>
      </c>
      <c r="AK3554" s="3" t="s">
        <v>645</v>
      </c>
    </row>
    <row r="3555" spans="1:37" hidden="1" x14ac:dyDescent="0.25">
      <c r="A3555" t="str">
        <f t="shared" si="55"/>
        <v>2024_Vic_Kalkee_Fababean_DetailedTOS1VarietyNasmaWaterTrtIrrigated</v>
      </c>
      <c r="B3555" s="2">
        <v>2024039</v>
      </c>
      <c r="C3555" s="3" t="s">
        <v>3610</v>
      </c>
      <c r="D3555" s="3" t="s">
        <v>645</v>
      </c>
      <c r="F3555" s="3" t="s">
        <v>4186</v>
      </c>
      <c r="G3555" s="3" t="s">
        <v>43</v>
      </c>
      <c r="H3555" s="3" t="s">
        <v>253</v>
      </c>
      <c r="I3555" s="2">
        <v>100</v>
      </c>
      <c r="J3555" s="2">
        <v>52</v>
      </c>
      <c r="K3555" s="2">
        <v>4</v>
      </c>
      <c r="O3555" s="2">
        <v>7</v>
      </c>
      <c r="P3555" s="2">
        <v>14</v>
      </c>
      <c r="U3555" s="2">
        <v>4</v>
      </c>
      <c r="W3555" s="2">
        <v>4</v>
      </c>
      <c r="X3555" s="2">
        <v>25</v>
      </c>
      <c r="AA3555" s="3" t="s">
        <v>57</v>
      </c>
      <c r="AB3555" s="2">
        <v>3</v>
      </c>
      <c r="AF3555" s="2">
        <v>30.5</v>
      </c>
      <c r="AG3555" s="2">
        <v>1</v>
      </c>
      <c r="AH3555" s="3" t="s">
        <v>3611</v>
      </c>
      <c r="AI3555" s="4">
        <v>45436</v>
      </c>
      <c r="AJ3555" s="3" t="s">
        <v>3711</v>
      </c>
      <c r="AK3555" s="3" t="s">
        <v>645</v>
      </c>
    </row>
    <row r="3556" spans="1:37" hidden="1" x14ac:dyDescent="0.25">
      <c r="A3556" t="str">
        <f t="shared" si="55"/>
        <v>2024_Vic_Kalkee_Fababean_DetailedTOS1VarietyAmberleyWaterTrtRainFed</v>
      </c>
      <c r="B3556" s="2">
        <v>2024039</v>
      </c>
      <c r="C3556" s="3" t="s">
        <v>3610</v>
      </c>
      <c r="D3556" s="3" t="s">
        <v>645</v>
      </c>
      <c r="F3556" s="3" t="s">
        <v>4185</v>
      </c>
      <c r="G3556" s="3" t="s">
        <v>39</v>
      </c>
      <c r="H3556" s="3" t="s">
        <v>250</v>
      </c>
      <c r="I3556" s="2">
        <v>101</v>
      </c>
      <c r="J3556" s="2">
        <v>49</v>
      </c>
      <c r="K3556" s="2">
        <v>4</v>
      </c>
      <c r="O3556" s="2">
        <v>7</v>
      </c>
      <c r="P3556" s="2">
        <v>13</v>
      </c>
      <c r="U3556" s="2">
        <v>1</v>
      </c>
      <c r="W3556" s="2">
        <v>1</v>
      </c>
      <c r="X3556" s="2">
        <v>26</v>
      </c>
      <c r="Z3556" s="2">
        <v>49</v>
      </c>
      <c r="AA3556" s="3" t="s">
        <v>40</v>
      </c>
      <c r="AB3556" s="2">
        <v>1</v>
      </c>
      <c r="AF3556" s="2">
        <v>30.5</v>
      </c>
      <c r="AG3556" s="2">
        <v>1</v>
      </c>
      <c r="AH3556" s="3" t="s">
        <v>3611</v>
      </c>
      <c r="AI3556" s="4">
        <v>45436</v>
      </c>
      <c r="AJ3556" s="3" t="s">
        <v>3712</v>
      </c>
      <c r="AK3556" s="3" t="s">
        <v>645</v>
      </c>
    </row>
    <row r="3557" spans="1:37" hidden="1" x14ac:dyDescent="0.25">
      <c r="A3557" t="str">
        <f t="shared" si="55"/>
        <v>2024_Vic_Kalkee_Fababean_DetailedTOS1VarietySamiraWaterTrtRainFed</v>
      </c>
      <c r="B3557" s="2">
        <v>2024039</v>
      </c>
      <c r="C3557" s="3" t="s">
        <v>3610</v>
      </c>
      <c r="D3557" s="3" t="s">
        <v>645</v>
      </c>
      <c r="F3557" s="3" t="s">
        <v>4183</v>
      </c>
      <c r="G3557" s="3" t="s">
        <v>43</v>
      </c>
      <c r="H3557" s="3" t="s">
        <v>250</v>
      </c>
      <c r="I3557" s="2">
        <v>102</v>
      </c>
      <c r="J3557" s="2">
        <v>50</v>
      </c>
      <c r="K3557" s="2">
        <v>4</v>
      </c>
      <c r="O3557" s="2">
        <v>7</v>
      </c>
      <c r="P3557" s="2">
        <v>13</v>
      </c>
      <c r="U3557" s="2">
        <v>2</v>
      </c>
      <c r="W3557" s="2">
        <v>2</v>
      </c>
      <c r="X3557" s="2">
        <v>26</v>
      </c>
      <c r="Z3557" s="2">
        <v>50</v>
      </c>
      <c r="AA3557" s="3" t="s">
        <v>40</v>
      </c>
      <c r="AB3557" s="2">
        <v>4</v>
      </c>
      <c r="AF3557" s="2">
        <v>30.5</v>
      </c>
      <c r="AG3557" s="2">
        <v>1</v>
      </c>
      <c r="AH3557" s="3" t="s">
        <v>3611</v>
      </c>
      <c r="AI3557" s="4">
        <v>45436</v>
      </c>
      <c r="AJ3557" s="3" t="s">
        <v>3713</v>
      </c>
      <c r="AK3557" s="3" t="s">
        <v>645</v>
      </c>
    </row>
    <row r="3558" spans="1:37" hidden="1" x14ac:dyDescent="0.25">
      <c r="A3558" t="str">
        <f t="shared" si="55"/>
        <v>2024_Vic_Kalkee_Fababean_DetailedTOS1VarietyMarneWaterTrtIrrigated</v>
      </c>
      <c r="B3558" s="2">
        <v>2024039</v>
      </c>
      <c r="C3558" s="3" t="s">
        <v>3610</v>
      </c>
      <c r="D3558" s="3" t="s">
        <v>645</v>
      </c>
      <c r="F3558" s="3" t="s">
        <v>4184</v>
      </c>
      <c r="G3558" s="3" t="s">
        <v>39</v>
      </c>
      <c r="H3558" s="3" t="s">
        <v>250</v>
      </c>
      <c r="I3558" s="2">
        <v>103</v>
      </c>
      <c r="J3558" s="2">
        <v>51</v>
      </c>
      <c r="K3558" s="2">
        <v>4</v>
      </c>
      <c r="O3558" s="2">
        <v>7</v>
      </c>
      <c r="P3558" s="2">
        <v>14</v>
      </c>
      <c r="U3558" s="2">
        <v>3</v>
      </c>
      <c r="W3558" s="2">
        <v>3</v>
      </c>
      <c r="X3558" s="2">
        <v>26</v>
      </c>
      <c r="Z3558" s="2">
        <v>51</v>
      </c>
      <c r="AA3558" s="3" t="s">
        <v>57</v>
      </c>
      <c r="AB3558" s="2">
        <v>2</v>
      </c>
      <c r="AF3558" s="2">
        <v>30.5</v>
      </c>
      <c r="AG3558" s="2">
        <v>1</v>
      </c>
      <c r="AH3558" s="3" t="s">
        <v>3611</v>
      </c>
      <c r="AI3558" s="4">
        <v>45436</v>
      </c>
      <c r="AJ3558" s="3" t="s">
        <v>3714</v>
      </c>
      <c r="AK3558" s="3" t="s">
        <v>645</v>
      </c>
    </row>
    <row r="3559" spans="1:37" hidden="1" x14ac:dyDescent="0.25">
      <c r="A3559" t="str">
        <f t="shared" si="55"/>
        <v>2024_Vic_Kalkee_Fababean_DetailedTOS1VarietyNasmaWaterTrtIrrigated</v>
      </c>
      <c r="B3559" s="2">
        <v>2024039</v>
      </c>
      <c r="C3559" s="3" t="s">
        <v>3610</v>
      </c>
      <c r="D3559" s="3" t="s">
        <v>645</v>
      </c>
      <c r="F3559" s="3" t="s">
        <v>4186</v>
      </c>
      <c r="G3559" s="3" t="s">
        <v>43</v>
      </c>
      <c r="H3559" s="3" t="s">
        <v>250</v>
      </c>
      <c r="I3559" s="2">
        <v>104</v>
      </c>
      <c r="J3559" s="2">
        <v>52</v>
      </c>
      <c r="K3559" s="2">
        <v>4</v>
      </c>
      <c r="O3559" s="2">
        <v>7</v>
      </c>
      <c r="P3559" s="2">
        <v>14</v>
      </c>
      <c r="U3559" s="2">
        <v>4</v>
      </c>
      <c r="W3559" s="2">
        <v>4</v>
      </c>
      <c r="X3559" s="2">
        <v>26</v>
      </c>
      <c r="Z3559" s="2">
        <v>52</v>
      </c>
      <c r="AA3559" s="3" t="s">
        <v>57</v>
      </c>
      <c r="AB3559" s="2">
        <v>3</v>
      </c>
      <c r="AF3559" s="2">
        <v>30.5</v>
      </c>
      <c r="AG3559" s="2">
        <v>1</v>
      </c>
      <c r="AH3559" s="3" t="s">
        <v>3611</v>
      </c>
      <c r="AI3559" s="4">
        <v>45436</v>
      </c>
      <c r="AJ3559" s="3" t="s">
        <v>3715</v>
      </c>
      <c r="AK3559" s="3" t="s">
        <v>645</v>
      </c>
    </row>
    <row r="3560" spans="1:37" hidden="1" x14ac:dyDescent="0.25">
      <c r="A3560" t="str">
        <f t="shared" si="55"/>
        <v>2024_Vic_Kalkee_Fababean_DetailedTOS1VarietyNasmaWaterTrtRainFed</v>
      </c>
      <c r="B3560" s="2">
        <v>2024039</v>
      </c>
      <c r="C3560" s="3" t="s">
        <v>3610</v>
      </c>
      <c r="D3560" s="3" t="s">
        <v>645</v>
      </c>
      <c r="F3560" s="3" t="s">
        <v>4186</v>
      </c>
      <c r="G3560" s="3" t="s">
        <v>43</v>
      </c>
      <c r="H3560" s="3" t="s">
        <v>253</v>
      </c>
      <c r="I3560" s="2">
        <v>105</v>
      </c>
      <c r="J3560" s="2">
        <v>53</v>
      </c>
      <c r="K3560" s="2">
        <v>4</v>
      </c>
      <c r="O3560" s="2">
        <v>7</v>
      </c>
      <c r="P3560" s="2">
        <v>13</v>
      </c>
      <c r="U3560" s="2">
        <v>1</v>
      </c>
      <c r="W3560" s="2">
        <v>1</v>
      </c>
      <c r="X3560" s="2">
        <v>27</v>
      </c>
      <c r="AA3560" s="3" t="s">
        <v>40</v>
      </c>
      <c r="AB3560" s="2">
        <v>3</v>
      </c>
      <c r="AF3560" s="2">
        <v>30.5</v>
      </c>
      <c r="AG3560" s="2">
        <v>1</v>
      </c>
      <c r="AH3560" s="3" t="s">
        <v>3611</v>
      </c>
      <c r="AI3560" s="4">
        <v>45436</v>
      </c>
      <c r="AJ3560" s="3" t="s">
        <v>3716</v>
      </c>
      <c r="AK3560" s="3" t="s">
        <v>645</v>
      </c>
    </row>
    <row r="3561" spans="1:37" hidden="1" x14ac:dyDescent="0.25">
      <c r="A3561" t="str">
        <f t="shared" si="55"/>
        <v>2024_Vic_Kalkee_Fababean_DetailedTOS1VarietyMarneWaterTrtRainFed</v>
      </c>
      <c r="B3561" s="2">
        <v>2024039</v>
      </c>
      <c r="C3561" s="3" t="s">
        <v>3610</v>
      </c>
      <c r="D3561" s="3" t="s">
        <v>645</v>
      </c>
      <c r="F3561" s="3" t="s">
        <v>4184</v>
      </c>
      <c r="G3561" s="3" t="s">
        <v>39</v>
      </c>
      <c r="H3561" s="3" t="s">
        <v>253</v>
      </c>
      <c r="I3561" s="2">
        <v>106</v>
      </c>
      <c r="J3561" s="2">
        <v>54</v>
      </c>
      <c r="K3561" s="2">
        <v>4</v>
      </c>
      <c r="O3561" s="2">
        <v>7</v>
      </c>
      <c r="P3561" s="2">
        <v>13</v>
      </c>
      <c r="U3561" s="2">
        <v>2</v>
      </c>
      <c r="W3561" s="2">
        <v>2</v>
      </c>
      <c r="X3561" s="2">
        <v>27</v>
      </c>
      <c r="AA3561" s="3" t="s">
        <v>40</v>
      </c>
      <c r="AB3561" s="2">
        <v>2</v>
      </c>
      <c r="AF3561" s="2">
        <v>30.5</v>
      </c>
      <c r="AG3561" s="2">
        <v>1</v>
      </c>
      <c r="AH3561" s="3" t="s">
        <v>3611</v>
      </c>
      <c r="AI3561" s="4">
        <v>45436</v>
      </c>
      <c r="AJ3561" s="3" t="s">
        <v>3717</v>
      </c>
      <c r="AK3561" s="3" t="s">
        <v>645</v>
      </c>
    </row>
    <row r="3562" spans="1:37" hidden="1" x14ac:dyDescent="0.25">
      <c r="A3562" t="str">
        <f t="shared" si="55"/>
        <v>2024_Vic_Kalkee_Fababean_DetailedTOS1VarietyAmberleyWaterTrtIrrigated</v>
      </c>
      <c r="B3562" s="2">
        <v>2024039</v>
      </c>
      <c r="C3562" s="3" t="s">
        <v>3610</v>
      </c>
      <c r="D3562" s="3" t="s">
        <v>645</v>
      </c>
      <c r="F3562" s="3" t="s">
        <v>4185</v>
      </c>
      <c r="G3562" s="3" t="s">
        <v>39</v>
      </c>
      <c r="H3562" s="3" t="s">
        <v>253</v>
      </c>
      <c r="I3562" s="2">
        <v>107</v>
      </c>
      <c r="J3562" s="2">
        <v>55</v>
      </c>
      <c r="K3562" s="2">
        <v>4</v>
      </c>
      <c r="O3562" s="2">
        <v>7</v>
      </c>
      <c r="P3562" s="2">
        <v>14</v>
      </c>
      <c r="U3562" s="2">
        <v>3</v>
      </c>
      <c r="W3562" s="2">
        <v>3</v>
      </c>
      <c r="X3562" s="2">
        <v>27</v>
      </c>
      <c r="AA3562" s="3" t="s">
        <v>57</v>
      </c>
      <c r="AB3562" s="2">
        <v>1</v>
      </c>
      <c r="AF3562" s="2">
        <v>30.5</v>
      </c>
      <c r="AG3562" s="2">
        <v>1</v>
      </c>
      <c r="AH3562" s="3" t="s">
        <v>3611</v>
      </c>
      <c r="AI3562" s="4">
        <v>45436</v>
      </c>
      <c r="AJ3562" s="3" t="s">
        <v>3718</v>
      </c>
      <c r="AK3562" s="3" t="s">
        <v>645</v>
      </c>
    </row>
    <row r="3563" spans="1:37" hidden="1" x14ac:dyDescent="0.25">
      <c r="A3563" t="str">
        <f t="shared" si="55"/>
        <v>2024_Vic_Kalkee_Fababean_DetailedTOS1VarietySamiraWaterTrtIrrigated</v>
      </c>
      <c r="B3563" s="2">
        <v>2024039</v>
      </c>
      <c r="C3563" s="3" t="s">
        <v>3610</v>
      </c>
      <c r="D3563" s="3" t="s">
        <v>645</v>
      </c>
      <c r="F3563" s="3" t="s">
        <v>4183</v>
      </c>
      <c r="G3563" s="3" t="s">
        <v>43</v>
      </c>
      <c r="H3563" s="3" t="s">
        <v>253</v>
      </c>
      <c r="I3563" s="2">
        <v>108</v>
      </c>
      <c r="J3563" s="2">
        <v>56</v>
      </c>
      <c r="K3563" s="2">
        <v>4</v>
      </c>
      <c r="O3563" s="2">
        <v>7</v>
      </c>
      <c r="P3563" s="2">
        <v>14</v>
      </c>
      <c r="U3563" s="2">
        <v>4</v>
      </c>
      <c r="W3563" s="2">
        <v>4</v>
      </c>
      <c r="X3563" s="2">
        <v>27</v>
      </c>
      <c r="AA3563" s="3" t="s">
        <v>57</v>
      </c>
      <c r="AB3563" s="2">
        <v>4</v>
      </c>
      <c r="AF3563" s="2">
        <v>30.5</v>
      </c>
      <c r="AG3563" s="2">
        <v>1</v>
      </c>
      <c r="AH3563" s="3" t="s">
        <v>3611</v>
      </c>
      <c r="AI3563" s="4">
        <v>45436</v>
      </c>
      <c r="AJ3563" s="3" t="s">
        <v>3719</v>
      </c>
      <c r="AK3563" s="3" t="s">
        <v>645</v>
      </c>
    </row>
    <row r="3564" spans="1:37" hidden="1" x14ac:dyDescent="0.25">
      <c r="A3564" t="str">
        <f t="shared" si="55"/>
        <v>2024_Vic_Kalkee_Fababean_DetailedTOS1VarietyNasmaWaterTrtRainFed</v>
      </c>
      <c r="B3564" s="2">
        <v>2024039</v>
      </c>
      <c r="C3564" s="3" t="s">
        <v>3610</v>
      </c>
      <c r="D3564" s="3" t="s">
        <v>645</v>
      </c>
      <c r="F3564" s="3" t="s">
        <v>4186</v>
      </c>
      <c r="G3564" s="3" t="s">
        <v>43</v>
      </c>
      <c r="H3564" s="3" t="s">
        <v>250</v>
      </c>
      <c r="I3564" s="2">
        <v>109</v>
      </c>
      <c r="J3564" s="2">
        <v>53</v>
      </c>
      <c r="K3564" s="2">
        <v>4</v>
      </c>
      <c r="O3564" s="2">
        <v>7</v>
      </c>
      <c r="P3564" s="2">
        <v>13</v>
      </c>
      <c r="U3564" s="2">
        <v>1</v>
      </c>
      <c r="W3564" s="2">
        <v>1</v>
      </c>
      <c r="X3564" s="2">
        <v>28</v>
      </c>
      <c r="Z3564" s="2">
        <v>56</v>
      </c>
      <c r="AA3564" s="3" t="s">
        <v>40</v>
      </c>
      <c r="AB3564" s="2">
        <v>3</v>
      </c>
      <c r="AF3564" s="2">
        <v>30.5</v>
      </c>
      <c r="AG3564" s="2">
        <v>1</v>
      </c>
      <c r="AH3564" s="3" t="s">
        <v>3611</v>
      </c>
      <c r="AI3564" s="4">
        <v>45436</v>
      </c>
      <c r="AJ3564" s="3" t="s">
        <v>3720</v>
      </c>
      <c r="AK3564" s="3" t="s">
        <v>645</v>
      </c>
    </row>
    <row r="3565" spans="1:37" hidden="1" x14ac:dyDescent="0.25">
      <c r="A3565" t="str">
        <f t="shared" si="55"/>
        <v>2024_Vic_Kalkee_Fababean_DetailedTOS1VarietyMarneWaterTrtRainFed</v>
      </c>
      <c r="B3565" s="2">
        <v>2024039</v>
      </c>
      <c r="C3565" s="3" t="s">
        <v>3610</v>
      </c>
      <c r="D3565" s="3" t="s">
        <v>645</v>
      </c>
      <c r="F3565" s="3" t="s">
        <v>4184</v>
      </c>
      <c r="G3565" s="3" t="s">
        <v>39</v>
      </c>
      <c r="H3565" s="3" t="s">
        <v>250</v>
      </c>
      <c r="I3565" s="2">
        <v>110</v>
      </c>
      <c r="J3565" s="2">
        <v>54</v>
      </c>
      <c r="K3565" s="2">
        <v>4</v>
      </c>
      <c r="O3565" s="2">
        <v>7</v>
      </c>
      <c r="P3565" s="2">
        <v>13</v>
      </c>
      <c r="U3565" s="2">
        <v>2</v>
      </c>
      <c r="W3565" s="2">
        <v>2</v>
      </c>
      <c r="X3565" s="2">
        <v>28</v>
      </c>
      <c r="Z3565" s="2">
        <v>55</v>
      </c>
      <c r="AA3565" s="3" t="s">
        <v>40</v>
      </c>
      <c r="AB3565" s="2">
        <v>2</v>
      </c>
      <c r="AF3565" s="2">
        <v>30.5</v>
      </c>
      <c r="AG3565" s="2">
        <v>1</v>
      </c>
      <c r="AH3565" s="3" t="s">
        <v>3611</v>
      </c>
      <c r="AI3565" s="4">
        <v>45436</v>
      </c>
      <c r="AJ3565" s="3" t="s">
        <v>3721</v>
      </c>
      <c r="AK3565" s="3" t="s">
        <v>645</v>
      </c>
    </row>
    <row r="3566" spans="1:37" hidden="1" x14ac:dyDescent="0.25">
      <c r="A3566" t="str">
        <f t="shared" si="55"/>
        <v>2024_Vic_Kalkee_Fababean_DetailedTOS1VarietyAmberleyWaterTrtIrrigated</v>
      </c>
      <c r="B3566" s="2">
        <v>2024039</v>
      </c>
      <c r="C3566" s="3" t="s">
        <v>3610</v>
      </c>
      <c r="D3566" s="3" t="s">
        <v>645</v>
      </c>
      <c r="F3566" s="3" t="s">
        <v>4185</v>
      </c>
      <c r="G3566" s="3" t="s">
        <v>39</v>
      </c>
      <c r="H3566" s="3" t="s">
        <v>250</v>
      </c>
      <c r="I3566" s="2">
        <v>111</v>
      </c>
      <c r="J3566" s="2">
        <v>55</v>
      </c>
      <c r="K3566" s="2">
        <v>4</v>
      </c>
      <c r="O3566" s="2">
        <v>7</v>
      </c>
      <c r="P3566" s="2">
        <v>14</v>
      </c>
      <c r="U3566" s="2">
        <v>3</v>
      </c>
      <c r="W3566" s="2">
        <v>3</v>
      </c>
      <c r="X3566" s="2">
        <v>28</v>
      </c>
      <c r="Z3566" s="2">
        <v>54</v>
      </c>
      <c r="AA3566" s="3" t="s">
        <v>57</v>
      </c>
      <c r="AB3566" s="2">
        <v>1</v>
      </c>
      <c r="AF3566" s="2">
        <v>30.5</v>
      </c>
      <c r="AG3566" s="2">
        <v>1</v>
      </c>
      <c r="AH3566" s="3" t="s">
        <v>3611</v>
      </c>
      <c r="AI3566" s="4">
        <v>45436</v>
      </c>
      <c r="AJ3566" s="3" t="s">
        <v>3722</v>
      </c>
      <c r="AK3566" s="3" t="s">
        <v>645</v>
      </c>
    </row>
    <row r="3567" spans="1:37" hidden="1" x14ac:dyDescent="0.25">
      <c r="A3567" t="str">
        <f t="shared" si="55"/>
        <v>2024_Vic_Kalkee_Fababean_DetailedTOS1VarietySamiraWaterTrtIrrigated</v>
      </c>
      <c r="B3567" s="2">
        <v>2024039</v>
      </c>
      <c r="C3567" s="3" t="s">
        <v>3610</v>
      </c>
      <c r="D3567" s="3" t="s">
        <v>645</v>
      </c>
      <c r="F3567" s="3" t="s">
        <v>4183</v>
      </c>
      <c r="G3567" s="3" t="s">
        <v>43</v>
      </c>
      <c r="H3567" s="3" t="s">
        <v>250</v>
      </c>
      <c r="I3567" s="2">
        <v>112</v>
      </c>
      <c r="J3567" s="2">
        <v>56</v>
      </c>
      <c r="K3567" s="2">
        <v>4</v>
      </c>
      <c r="O3567" s="2">
        <v>7</v>
      </c>
      <c r="P3567" s="2">
        <v>14</v>
      </c>
      <c r="U3567" s="2">
        <v>4</v>
      </c>
      <c r="W3567" s="2">
        <v>4</v>
      </c>
      <c r="X3567" s="2">
        <v>28</v>
      </c>
      <c r="Z3567" s="2">
        <v>53</v>
      </c>
      <c r="AA3567" s="3" t="s">
        <v>57</v>
      </c>
      <c r="AB3567" s="2">
        <v>4</v>
      </c>
      <c r="AF3567" s="2">
        <v>30.5</v>
      </c>
      <c r="AG3567" s="2">
        <v>1</v>
      </c>
      <c r="AH3567" s="3" t="s">
        <v>3611</v>
      </c>
      <c r="AI3567" s="4">
        <v>45436</v>
      </c>
      <c r="AJ3567" s="3" t="s">
        <v>3723</v>
      </c>
      <c r="AK3567" s="3" t="s">
        <v>645</v>
      </c>
    </row>
    <row r="3568" spans="1:37" hidden="1" x14ac:dyDescent="0.25">
      <c r="A3568" t="str">
        <f t="shared" si="55"/>
        <v>2024_Vic_Kalkee_Fababean_DetailedTOS2VarietyNasmaWaterTrtIrrigated</v>
      </c>
      <c r="B3568" s="2">
        <v>2024039</v>
      </c>
      <c r="C3568" s="3" t="s">
        <v>3610</v>
      </c>
      <c r="D3568" s="3" t="s">
        <v>645</v>
      </c>
      <c r="F3568" s="3" t="s">
        <v>4186</v>
      </c>
      <c r="G3568" s="3" t="s">
        <v>43</v>
      </c>
      <c r="H3568" s="3" t="s">
        <v>253</v>
      </c>
      <c r="I3568" s="2">
        <v>113</v>
      </c>
      <c r="J3568" s="2">
        <v>57</v>
      </c>
      <c r="K3568" s="2">
        <v>4</v>
      </c>
      <c r="O3568" s="2">
        <v>8</v>
      </c>
      <c r="P3568" s="2">
        <v>15</v>
      </c>
      <c r="U3568" s="2">
        <v>1</v>
      </c>
      <c r="W3568" s="2">
        <v>1</v>
      </c>
      <c r="X3568" s="2">
        <v>29</v>
      </c>
      <c r="AA3568" s="3" t="s">
        <v>57</v>
      </c>
      <c r="AB3568" s="2">
        <v>3</v>
      </c>
      <c r="AF3568" s="2">
        <v>30.5</v>
      </c>
      <c r="AG3568" s="2">
        <v>2</v>
      </c>
      <c r="AH3568" s="3" t="s">
        <v>3497</v>
      </c>
      <c r="AI3568" s="4">
        <v>45477</v>
      </c>
      <c r="AJ3568" s="3" t="s">
        <v>3724</v>
      </c>
      <c r="AK3568" s="3" t="s">
        <v>645</v>
      </c>
    </row>
    <row r="3569" spans="1:37" hidden="1" x14ac:dyDescent="0.25">
      <c r="A3569" t="str">
        <f t="shared" si="55"/>
        <v>2024_Vic_Kalkee_Fababean_DetailedTOS2VarietyAmberleyWaterTrtIrrigated</v>
      </c>
      <c r="B3569" s="2">
        <v>2024039</v>
      </c>
      <c r="C3569" s="3" t="s">
        <v>3610</v>
      </c>
      <c r="D3569" s="3" t="s">
        <v>645</v>
      </c>
      <c r="F3569" s="3" t="s">
        <v>4185</v>
      </c>
      <c r="G3569" s="3" t="s">
        <v>39</v>
      </c>
      <c r="H3569" s="3" t="s">
        <v>253</v>
      </c>
      <c r="I3569" s="2">
        <v>114</v>
      </c>
      <c r="J3569" s="2">
        <v>58</v>
      </c>
      <c r="K3569" s="2">
        <v>4</v>
      </c>
      <c r="O3569" s="2">
        <v>8</v>
      </c>
      <c r="P3569" s="2">
        <v>15</v>
      </c>
      <c r="U3569" s="2">
        <v>2</v>
      </c>
      <c r="W3569" s="2">
        <v>2</v>
      </c>
      <c r="X3569" s="2">
        <v>29</v>
      </c>
      <c r="AA3569" s="3" t="s">
        <v>57</v>
      </c>
      <c r="AB3569" s="2">
        <v>1</v>
      </c>
      <c r="AF3569" s="2">
        <v>30.5</v>
      </c>
      <c r="AG3569" s="2">
        <v>2</v>
      </c>
      <c r="AH3569" s="3" t="s">
        <v>3497</v>
      </c>
      <c r="AI3569" s="4">
        <v>45477</v>
      </c>
      <c r="AJ3569" s="3" t="s">
        <v>3725</v>
      </c>
      <c r="AK3569" s="3" t="s">
        <v>645</v>
      </c>
    </row>
    <row r="3570" spans="1:37" hidden="1" x14ac:dyDescent="0.25">
      <c r="A3570" t="str">
        <f t="shared" si="55"/>
        <v>2024_Vic_Kalkee_Fababean_DetailedTOS2VarietySamiraWaterTrtRainFed</v>
      </c>
      <c r="B3570" s="2">
        <v>2024039</v>
      </c>
      <c r="C3570" s="3" t="s">
        <v>3610</v>
      </c>
      <c r="D3570" s="3" t="s">
        <v>645</v>
      </c>
      <c r="F3570" s="3" t="s">
        <v>4183</v>
      </c>
      <c r="G3570" s="3" t="s">
        <v>43</v>
      </c>
      <c r="H3570" s="3" t="s">
        <v>253</v>
      </c>
      <c r="I3570" s="2">
        <v>115</v>
      </c>
      <c r="J3570" s="2">
        <v>59</v>
      </c>
      <c r="K3570" s="2">
        <v>4</v>
      </c>
      <c r="O3570" s="2">
        <v>8</v>
      </c>
      <c r="P3570" s="2">
        <v>16</v>
      </c>
      <c r="U3570" s="2">
        <v>3</v>
      </c>
      <c r="W3570" s="2">
        <v>3</v>
      </c>
      <c r="X3570" s="2">
        <v>29</v>
      </c>
      <c r="AA3570" s="3" t="s">
        <v>40</v>
      </c>
      <c r="AB3570" s="2">
        <v>4</v>
      </c>
      <c r="AF3570" s="2">
        <v>30.5</v>
      </c>
      <c r="AG3570" s="2">
        <v>2</v>
      </c>
      <c r="AH3570" s="3" t="s">
        <v>3497</v>
      </c>
      <c r="AI3570" s="4">
        <v>45477</v>
      </c>
      <c r="AJ3570" s="3" t="s">
        <v>3726</v>
      </c>
      <c r="AK3570" s="3" t="s">
        <v>645</v>
      </c>
    </row>
    <row r="3571" spans="1:37" hidden="1" x14ac:dyDescent="0.25">
      <c r="A3571" t="str">
        <f t="shared" si="55"/>
        <v>2024_Vic_Kalkee_Fababean_DetailedTOS2VarietyMarneWaterTrtRainFed</v>
      </c>
      <c r="B3571" s="2">
        <v>2024039</v>
      </c>
      <c r="C3571" s="3" t="s">
        <v>3610</v>
      </c>
      <c r="D3571" s="3" t="s">
        <v>645</v>
      </c>
      <c r="F3571" s="3" t="s">
        <v>4184</v>
      </c>
      <c r="G3571" s="3" t="s">
        <v>39</v>
      </c>
      <c r="H3571" s="3" t="s">
        <v>253</v>
      </c>
      <c r="I3571" s="2">
        <v>116</v>
      </c>
      <c r="J3571" s="2">
        <v>60</v>
      </c>
      <c r="K3571" s="2">
        <v>4</v>
      </c>
      <c r="O3571" s="2">
        <v>8</v>
      </c>
      <c r="P3571" s="2">
        <v>16</v>
      </c>
      <c r="U3571" s="2">
        <v>4</v>
      </c>
      <c r="W3571" s="2">
        <v>4</v>
      </c>
      <c r="X3571" s="2">
        <v>29</v>
      </c>
      <c r="AA3571" s="3" t="s">
        <v>40</v>
      </c>
      <c r="AB3571" s="2">
        <v>2</v>
      </c>
      <c r="AF3571" s="2">
        <v>30.5</v>
      </c>
      <c r="AG3571" s="2">
        <v>2</v>
      </c>
      <c r="AH3571" s="3" t="s">
        <v>3497</v>
      </c>
      <c r="AI3571" s="4">
        <v>45477</v>
      </c>
      <c r="AJ3571" s="3" t="s">
        <v>3727</v>
      </c>
      <c r="AK3571" s="3" t="s">
        <v>645</v>
      </c>
    </row>
    <row r="3572" spans="1:37" hidden="1" x14ac:dyDescent="0.25">
      <c r="A3572" t="str">
        <f t="shared" si="55"/>
        <v>2024_Vic_Kalkee_Fababean_DetailedTOS2VarietyNasmaWaterTrtIrrigated</v>
      </c>
      <c r="B3572" s="2">
        <v>2024039</v>
      </c>
      <c r="C3572" s="3" t="s">
        <v>3610</v>
      </c>
      <c r="D3572" s="3" t="s">
        <v>645</v>
      </c>
      <c r="F3572" s="3" t="s">
        <v>4186</v>
      </c>
      <c r="G3572" s="3" t="s">
        <v>43</v>
      </c>
      <c r="H3572" s="3" t="s">
        <v>250</v>
      </c>
      <c r="I3572" s="2">
        <v>117</v>
      </c>
      <c r="J3572" s="2">
        <v>57</v>
      </c>
      <c r="K3572" s="2">
        <v>4</v>
      </c>
      <c r="O3572" s="2">
        <v>8</v>
      </c>
      <c r="P3572" s="2">
        <v>15</v>
      </c>
      <c r="U3572" s="2">
        <v>1</v>
      </c>
      <c r="W3572" s="2">
        <v>1</v>
      </c>
      <c r="X3572" s="2">
        <v>30</v>
      </c>
      <c r="Z3572" s="2">
        <v>57</v>
      </c>
      <c r="AA3572" s="3" t="s">
        <v>57</v>
      </c>
      <c r="AB3572" s="2">
        <v>3</v>
      </c>
      <c r="AF3572" s="2">
        <v>30.5</v>
      </c>
      <c r="AG3572" s="2">
        <v>2</v>
      </c>
      <c r="AH3572" s="3" t="s">
        <v>3497</v>
      </c>
      <c r="AI3572" s="4">
        <v>45477</v>
      </c>
      <c r="AJ3572" s="3" t="s">
        <v>3728</v>
      </c>
      <c r="AK3572" s="3" t="s">
        <v>645</v>
      </c>
    </row>
    <row r="3573" spans="1:37" hidden="1" x14ac:dyDescent="0.25">
      <c r="A3573" t="str">
        <f t="shared" si="55"/>
        <v>2024_Vic_Kalkee_Fababean_DetailedTOS2VarietyAmberleyWaterTrtIrrigated</v>
      </c>
      <c r="B3573" s="2">
        <v>2024039</v>
      </c>
      <c r="C3573" s="3" t="s">
        <v>3610</v>
      </c>
      <c r="D3573" s="3" t="s">
        <v>645</v>
      </c>
      <c r="F3573" s="3" t="s">
        <v>4185</v>
      </c>
      <c r="G3573" s="3" t="s">
        <v>39</v>
      </c>
      <c r="H3573" s="3" t="s">
        <v>250</v>
      </c>
      <c r="I3573" s="2">
        <v>118</v>
      </c>
      <c r="J3573" s="2">
        <v>58</v>
      </c>
      <c r="K3573" s="2">
        <v>4</v>
      </c>
      <c r="O3573" s="2">
        <v>8</v>
      </c>
      <c r="P3573" s="2">
        <v>15</v>
      </c>
      <c r="U3573" s="2">
        <v>2</v>
      </c>
      <c r="W3573" s="2">
        <v>2</v>
      </c>
      <c r="X3573" s="2">
        <v>30</v>
      </c>
      <c r="Z3573" s="2">
        <v>58</v>
      </c>
      <c r="AA3573" s="3" t="s">
        <v>57</v>
      </c>
      <c r="AB3573" s="2">
        <v>1</v>
      </c>
      <c r="AF3573" s="2">
        <v>30.5</v>
      </c>
      <c r="AG3573" s="2">
        <v>2</v>
      </c>
      <c r="AH3573" s="3" t="s">
        <v>3497</v>
      </c>
      <c r="AI3573" s="4">
        <v>45477</v>
      </c>
      <c r="AJ3573" s="3" t="s">
        <v>3729</v>
      </c>
      <c r="AK3573" s="3" t="s">
        <v>645</v>
      </c>
    </row>
    <row r="3574" spans="1:37" hidden="1" x14ac:dyDescent="0.25">
      <c r="A3574" t="str">
        <f t="shared" si="55"/>
        <v>2024_Vic_Kalkee_Fababean_DetailedTOS2VarietySamiraWaterTrtRainFed</v>
      </c>
      <c r="B3574" s="2">
        <v>2024039</v>
      </c>
      <c r="C3574" s="3" t="s">
        <v>3610</v>
      </c>
      <c r="D3574" s="3" t="s">
        <v>645</v>
      </c>
      <c r="F3574" s="3" t="s">
        <v>4183</v>
      </c>
      <c r="G3574" s="3" t="s">
        <v>43</v>
      </c>
      <c r="H3574" s="3" t="s">
        <v>250</v>
      </c>
      <c r="I3574" s="2">
        <v>119</v>
      </c>
      <c r="J3574" s="2">
        <v>59</v>
      </c>
      <c r="K3574" s="2">
        <v>4</v>
      </c>
      <c r="O3574" s="2">
        <v>8</v>
      </c>
      <c r="P3574" s="2">
        <v>16</v>
      </c>
      <c r="U3574" s="2">
        <v>3</v>
      </c>
      <c r="W3574" s="2">
        <v>3</v>
      </c>
      <c r="X3574" s="2">
        <v>30</v>
      </c>
      <c r="Z3574" s="2">
        <v>59</v>
      </c>
      <c r="AA3574" s="3" t="s">
        <v>40</v>
      </c>
      <c r="AB3574" s="2">
        <v>4</v>
      </c>
      <c r="AF3574" s="2">
        <v>30.5</v>
      </c>
      <c r="AG3574" s="2">
        <v>2</v>
      </c>
      <c r="AH3574" s="3" t="s">
        <v>3497</v>
      </c>
      <c r="AI3574" s="4">
        <v>45477</v>
      </c>
      <c r="AJ3574" s="3" t="s">
        <v>3730</v>
      </c>
      <c r="AK3574" s="3" t="s">
        <v>645</v>
      </c>
    </row>
    <row r="3575" spans="1:37" hidden="1" x14ac:dyDescent="0.25">
      <c r="A3575" t="str">
        <f t="shared" si="55"/>
        <v>2024_Vic_Kalkee_Fababean_DetailedTOS2VarietyMarneWaterTrtRainFed</v>
      </c>
      <c r="B3575" s="2">
        <v>2024039</v>
      </c>
      <c r="C3575" s="3" t="s">
        <v>3610</v>
      </c>
      <c r="D3575" s="3" t="s">
        <v>645</v>
      </c>
      <c r="F3575" s="3" t="s">
        <v>4184</v>
      </c>
      <c r="G3575" s="3" t="s">
        <v>39</v>
      </c>
      <c r="H3575" s="3" t="s">
        <v>250</v>
      </c>
      <c r="I3575" s="2">
        <v>120</v>
      </c>
      <c r="J3575" s="2">
        <v>60</v>
      </c>
      <c r="K3575" s="2">
        <v>4</v>
      </c>
      <c r="O3575" s="2">
        <v>8</v>
      </c>
      <c r="P3575" s="2">
        <v>16</v>
      </c>
      <c r="U3575" s="2">
        <v>4</v>
      </c>
      <c r="W3575" s="2">
        <v>4</v>
      </c>
      <c r="X3575" s="2">
        <v>30</v>
      </c>
      <c r="Z3575" s="2">
        <v>60</v>
      </c>
      <c r="AA3575" s="3" t="s">
        <v>40</v>
      </c>
      <c r="AB3575" s="2">
        <v>2</v>
      </c>
      <c r="AF3575" s="2">
        <v>30.5</v>
      </c>
      <c r="AG3575" s="2">
        <v>2</v>
      </c>
      <c r="AH3575" s="3" t="s">
        <v>3497</v>
      </c>
      <c r="AI3575" s="4">
        <v>45477</v>
      </c>
      <c r="AJ3575" s="3" t="s">
        <v>3731</v>
      </c>
      <c r="AK3575" s="3" t="s">
        <v>645</v>
      </c>
    </row>
    <row r="3576" spans="1:37" hidden="1" x14ac:dyDescent="0.25">
      <c r="A3576" t="str">
        <f t="shared" si="55"/>
        <v>2024_Vic_Kalkee_Fababean_DetailedTOS2VarietyMarneWaterTrtIrrigated</v>
      </c>
      <c r="B3576" s="2">
        <v>2024039</v>
      </c>
      <c r="C3576" s="3" t="s">
        <v>3610</v>
      </c>
      <c r="D3576" s="3" t="s">
        <v>645</v>
      </c>
      <c r="F3576" s="3" t="s">
        <v>4184</v>
      </c>
      <c r="G3576" s="3" t="s">
        <v>39</v>
      </c>
      <c r="H3576" s="3" t="s">
        <v>253</v>
      </c>
      <c r="I3576" s="2">
        <v>121</v>
      </c>
      <c r="J3576" s="2">
        <v>61</v>
      </c>
      <c r="K3576" s="2">
        <v>4</v>
      </c>
      <c r="O3576" s="2">
        <v>8</v>
      </c>
      <c r="P3576" s="2">
        <v>15</v>
      </c>
      <c r="U3576" s="2">
        <v>1</v>
      </c>
      <c r="W3576" s="2">
        <v>1</v>
      </c>
      <c r="X3576" s="2">
        <v>31</v>
      </c>
      <c r="AA3576" s="3" t="s">
        <v>57</v>
      </c>
      <c r="AB3576" s="2">
        <v>2</v>
      </c>
      <c r="AF3576" s="2">
        <v>30.5</v>
      </c>
      <c r="AG3576" s="2">
        <v>2</v>
      </c>
      <c r="AH3576" s="3" t="s">
        <v>3497</v>
      </c>
      <c r="AI3576" s="4">
        <v>45477</v>
      </c>
      <c r="AJ3576" s="3" t="s">
        <v>3732</v>
      </c>
      <c r="AK3576" s="3" t="s">
        <v>645</v>
      </c>
    </row>
    <row r="3577" spans="1:37" hidden="1" x14ac:dyDescent="0.25">
      <c r="A3577" t="str">
        <f t="shared" si="55"/>
        <v>2024_Vic_Kalkee_Fababean_DetailedTOS2VarietySamiraWaterTrtIrrigated</v>
      </c>
      <c r="B3577" s="2">
        <v>2024039</v>
      </c>
      <c r="C3577" s="3" t="s">
        <v>3610</v>
      </c>
      <c r="D3577" s="3" t="s">
        <v>645</v>
      </c>
      <c r="F3577" s="3" t="s">
        <v>4183</v>
      </c>
      <c r="G3577" s="3" t="s">
        <v>43</v>
      </c>
      <c r="H3577" s="3" t="s">
        <v>253</v>
      </c>
      <c r="I3577" s="2">
        <v>122</v>
      </c>
      <c r="J3577" s="2">
        <v>62</v>
      </c>
      <c r="K3577" s="2">
        <v>4</v>
      </c>
      <c r="O3577" s="2">
        <v>8</v>
      </c>
      <c r="P3577" s="2">
        <v>15</v>
      </c>
      <c r="U3577" s="2">
        <v>2</v>
      </c>
      <c r="W3577" s="2">
        <v>2</v>
      </c>
      <c r="X3577" s="2">
        <v>31</v>
      </c>
      <c r="AA3577" s="3" t="s">
        <v>57</v>
      </c>
      <c r="AB3577" s="2">
        <v>4</v>
      </c>
      <c r="AF3577" s="2">
        <v>30.5</v>
      </c>
      <c r="AG3577" s="2">
        <v>2</v>
      </c>
      <c r="AH3577" s="3" t="s">
        <v>3497</v>
      </c>
      <c r="AI3577" s="4">
        <v>45477</v>
      </c>
      <c r="AJ3577" s="3" t="s">
        <v>3733</v>
      </c>
      <c r="AK3577" s="3" t="s">
        <v>645</v>
      </c>
    </row>
    <row r="3578" spans="1:37" hidden="1" x14ac:dyDescent="0.25">
      <c r="A3578" t="str">
        <f t="shared" si="55"/>
        <v>2024_Vic_Kalkee_Fababean_DetailedTOS2VarietyNasmaWaterTrtRainFed</v>
      </c>
      <c r="B3578" s="2">
        <v>2024039</v>
      </c>
      <c r="C3578" s="3" t="s">
        <v>3610</v>
      </c>
      <c r="D3578" s="3" t="s">
        <v>645</v>
      </c>
      <c r="F3578" s="3" t="s">
        <v>4186</v>
      </c>
      <c r="G3578" s="3" t="s">
        <v>43</v>
      </c>
      <c r="H3578" s="3" t="s">
        <v>253</v>
      </c>
      <c r="I3578" s="2">
        <v>123</v>
      </c>
      <c r="J3578" s="2">
        <v>63</v>
      </c>
      <c r="K3578" s="2">
        <v>4</v>
      </c>
      <c r="O3578" s="2">
        <v>8</v>
      </c>
      <c r="P3578" s="2">
        <v>16</v>
      </c>
      <c r="U3578" s="2">
        <v>3</v>
      </c>
      <c r="W3578" s="2">
        <v>3</v>
      </c>
      <c r="X3578" s="2">
        <v>31</v>
      </c>
      <c r="AA3578" s="3" t="s">
        <v>40</v>
      </c>
      <c r="AB3578" s="2">
        <v>3</v>
      </c>
      <c r="AF3578" s="2">
        <v>30.5</v>
      </c>
      <c r="AG3578" s="2">
        <v>2</v>
      </c>
      <c r="AH3578" s="3" t="s">
        <v>3497</v>
      </c>
      <c r="AI3578" s="4">
        <v>45477</v>
      </c>
      <c r="AJ3578" s="3" t="s">
        <v>3734</v>
      </c>
      <c r="AK3578" s="3" t="s">
        <v>645</v>
      </c>
    </row>
    <row r="3579" spans="1:37" hidden="1" x14ac:dyDescent="0.25">
      <c r="A3579" t="str">
        <f t="shared" si="55"/>
        <v>2024_Vic_Kalkee_Fababean_DetailedTOS2VarietyAmberleyWaterTrtRainFed</v>
      </c>
      <c r="B3579" s="2">
        <v>2024039</v>
      </c>
      <c r="C3579" s="3" t="s">
        <v>3610</v>
      </c>
      <c r="D3579" s="3" t="s">
        <v>645</v>
      </c>
      <c r="F3579" s="3" t="s">
        <v>4185</v>
      </c>
      <c r="G3579" s="3" t="s">
        <v>39</v>
      </c>
      <c r="H3579" s="3" t="s">
        <v>253</v>
      </c>
      <c r="I3579" s="2">
        <v>124</v>
      </c>
      <c r="J3579" s="2">
        <v>64</v>
      </c>
      <c r="K3579" s="2">
        <v>4</v>
      </c>
      <c r="O3579" s="2">
        <v>8</v>
      </c>
      <c r="P3579" s="2">
        <v>16</v>
      </c>
      <c r="U3579" s="2">
        <v>4</v>
      </c>
      <c r="W3579" s="2">
        <v>4</v>
      </c>
      <c r="X3579" s="2">
        <v>31</v>
      </c>
      <c r="AA3579" s="3" t="s">
        <v>40</v>
      </c>
      <c r="AB3579" s="2">
        <v>1</v>
      </c>
      <c r="AF3579" s="2">
        <v>30.5</v>
      </c>
      <c r="AG3579" s="2">
        <v>2</v>
      </c>
      <c r="AH3579" s="3" t="s">
        <v>3497</v>
      </c>
      <c r="AI3579" s="4">
        <v>45477</v>
      </c>
      <c r="AJ3579" s="3" t="s">
        <v>3735</v>
      </c>
      <c r="AK3579" s="3" t="s">
        <v>645</v>
      </c>
    </row>
    <row r="3580" spans="1:37" hidden="1" x14ac:dyDescent="0.25">
      <c r="A3580" t="str">
        <f t="shared" si="55"/>
        <v>2024_Vic_Kalkee_Fababean_DetailedTOS2VarietyMarneWaterTrtIrrigated</v>
      </c>
      <c r="B3580" s="2">
        <v>2024039</v>
      </c>
      <c r="C3580" s="3" t="s">
        <v>3610</v>
      </c>
      <c r="D3580" s="3" t="s">
        <v>645</v>
      </c>
      <c r="F3580" s="3" t="s">
        <v>4184</v>
      </c>
      <c r="G3580" s="3" t="s">
        <v>39</v>
      </c>
      <c r="H3580" s="3" t="s">
        <v>250</v>
      </c>
      <c r="I3580" s="2">
        <v>125</v>
      </c>
      <c r="J3580" s="2">
        <v>61</v>
      </c>
      <c r="K3580" s="2">
        <v>4</v>
      </c>
      <c r="O3580" s="2">
        <v>8</v>
      </c>
      <c r="P3580" s="2">
        <v>15</v>
      </c>
      <c r="U3580" s="2">
        <v>1</v>
      </c>
      <c r="W3580" s="2">
        <v>1</v>
      </c>
      <c r="X3580" s="2">
        <v>32</v>
      </c>
      <c r="Z3580" s="2">
        <v>64</v>
      </c>
      <c r="AA3580" s="3" t="s">
        <v>57</v>
      </c>
      <c r="AB3580" s="2">
        <v>2</v>
      </c>
      <c r="AF3580" s="2">
        <v>30.5</v>
      </c>
      <c r="AG3580" s="2">
        <v>2</v>
      </c>
      <c r="AH3580" s="3" t="s">
        <v>3497</v>
      </c>
      <c r="AI3580" s="4">
        <v>45477</v>
      </c>
      <c r="AJ3580" s="3" t="s">
        <v>3736</v>
      </c>
      <c r="AK3580" s="3" t="s">
        <v>645</v>
      </c>
    </row>
    <row r="3581" spans="1:37" hidden="1" x14ac:dyDescent="0.25">
      <c r="A3581" t="str">
        <f t="shared" si="55"/>
        <v>2024_Vic_Kalkee_Fababean_DetailedTOS2VarietySamiraWaterTrtIrrigated</v>
      </c>
      <c r="B3581" s="2">
        <v>2024039</v>
      </c>
      <c r="C3581" s="3" t="s">
        <v>3610</v>
      </c>
      <c r="D3581" s="3" t="s">
        <v>645</v>
      </c>
      <c r="F3581" s="3" t="s">
        <v>4183</v>
      </c>
      <c r="G3581" s="3" t="s">
        <v>43</v>
      </c>
      <c r="H3581" s="3" t="s">
        <v>250</v>
      </c>
      <c r="I3581" s="2">
        <v>126</v>
      </c>
      <c r="J3581" s="2">
        <v>62</v>
      </c>
      <c r="K3581" s="2">
        <v>4</v>
      </c>
      <c r="O3581" s="2">
        <v>8</v>
      </c>
      <c r="P3581" s="2">
        <v>15</v>
      </c>
      <c r="U3581" s="2">
        <v>2</v>
      </c>
      <c r="W3581" s="2">
        <v>2</v>
      </c>
      <c r="X3581" s="2">
        <v>32</v>
      </c>
      <c r="Z3581" s="2">
        <v>63</v>
      </c>
      <c r="AA3581" s="3" t="s">
        <v>57</v>
      </c>
      <c r="AB3581" s="2">
        <v>4</v>
      </c>
      <c r="AF3581" s="2">
        <v>30.5</v>
      </c>
      <c r="AG3581" s="2">
        <v>2</v>
      </c>
      <c r="AH3581" s="3" t="s">
        <v>3497</v>
      </c>
      <c r="AI3581" s="4">
        <v>45477</v>
      </c>
      <c r="AJ3581" s="3" t="s">
        <v>3737</v>
      </c>
      <c r="AK3581" s="3" t="s">
        <v>645</v>
      </c>
    </row>
    <row r="3582" spans="1:37" hidden="1" x14ac:dyDescent="0.25">
      <c r="A3582" t="str">
        <f t="shared" si="55"/>
        <v>2024_Vic_Kalkee_Fababean_DetailedTOS2VarietyNasmaWaterTrtRainFed</v>
      </c>
      <c r="B3582" s="2">
        <v>2024039</v>
      </c>
      <c r="C3582" s="3" t="s">
        <v>3610</v>
      </c>
      <c r="D3582" s="3" t="s">
        <v>645</v>
      </c>
      <c r="F3582" s="3" t="s">
        <v>4186</v>
      </c>
      <c r="G3582" s="3" t="s">
        <v>43</v>
      </c>
      <c r="H3582" s="3" t="s">
        <v>250</v>
      </c>
      <c r="I3582" s="2">
        <v>127</v>
      </c>
      <c r="J3582" s="2">
        <v>63</v>
      </c>
      <c r="K3582" s="2">
        <v>4</v>
      </c>
      <c r="O3582" s="2">
        <v>8</v>
      </c>
      <c r="P3582" s="2">
        <v>16</v>
      </c>
      <c r="U3582" s="2">
        <v>3</v>
      </c>
      <c r="W3582" s="2">
        <v>3</v>
      </c>
      <c r="X3582" s="2">
        <v>32</v>
      </c>
      <c r="Z3582" s="2">
        <v>62</v>
      </c>
      <c r="AA3582" s="3" t="s">
        <v>40</v>
      </c>
      <c r="AB3582" s="2">
        <v>3</v>
      </c>
      <c r="AF3582" s="2">
        <v>30.5</v>
      </c>
      <c r="AG3582" s="2">
        <v>2</v>
      </c>
      <c r="AH3582" s="3" t="s">
        <v>3497</v>
      </c>
      <c r="AI3582" s="4">
        <v>45477</v>
      </c>
      <c r="AJ3582" s="3" t="s">
        <v>3738</v>
      </c>
      <c r="AK3582" s="3" t="s">
        <v>645</v>
      </c>
    </row>
    <row r="3583" spans="1:37" hidden="1" x14ac:dyDescent="0.25">
      <c r="A3583" t="str">
        <f t="shared" si="55"/>
        <v>2024_Vic_Kalkee_Fababean_DetailedTOS2VarietyAmberleyWaterTrtRainFed</v>
      </c>
      <c r="B3583" s="2">
        <v>2024039</v>
      </c>
      <c r="C3583" s="3" t="s">
        <v>3610</v>
      </c>
      <c r="D3583" s="3" t="s">
        <v>645</v>
      </c>
      <c r="F3583" s="3" t="s">
        <v>4185</v>
      </c>
      <c r="G3583" s="3" t="s">
        <v>39</v>
      </c>
      <c r="H3583" s="3" t="s">
        <v>250</v>
      </c>
      <c r="I3583" s="2">
        <v>128</v>
      </c>
      <c r="J3583" s="2">
        <v>64</v>
      </c>
      <c r="K3583" s="2">
        <v>4</v>
      </c>
      <c r="O3583" s="2">
        <v>8</v>
      </c>
      <c r="P3583" s="2">
        <v>16</v>
      </c>
      <c r="U3583" s="2">
        <v>4</v>
      </c>
      <c r="W3583" s="2">
        <v>4</v>
      </c>
      <c r="X3583" s="2">
        <v>32</v>
      </c>
      <c r="Z3583" s="2">
        <v>61</v>
      </c>
      <c r="AA3583" s="3" t="s">
        <v>40</v>
      </c>
      <c r="AB3583" s="2">
        <v>1</v>
      </c>
      <c r="AF3583" s="2">
        <v>30.5</v>
      </c>
      <c r="AG3583" s="2">
        <v>2</v>
      </c>
      <c r="AH3583" s="3" t="s">
        <v>3497</v>
      </c>
      <c r="AI3583" s="4">
        <v>45477</v>
      </c>
      <c r="AJ3583" s="3" t="s">
        <v>3739</v>
      </c>
      <c r="AK3583" s="3" t="s">
        <v>645</v>
      </c>
    </row>
    <row r="3584" spans="1:37" hidden="1" x14ac:dyDescent="0.25">
      <c r="A3584" t="str">
        <f t="shared" si="55"/>
        <v>2024_WA_Bolgart_Chickpea_DetailedTOS2VarietyStrikerWaterTrtIrrigated</v>
      </c>
      <c r="B3584" s="2">
        <v>2024040</v>
      </c>
      <c r="C3584" s="3" t="s">
        <v>3740</v>
      </c>
      <c r="D3584" s="3" t="s">
        <v>248</v>
      </c>
      <c r="F3584" s="3" t="s">
        <v>4179</v>
      </c>
      <c r="G3584" s="3" t="s">
        <v>43</v>
      </c>
      <c r="H3584" s="3" t="s">
        <v>250</v>
      </c>
      <c r="I3584" s="2">
        <v>1</v>
      </c>
      <c r="J3584" s="2">
        <v>1</v>
      </c>
      <c r="K3584" s="2">
        <v>1</v>
      </c>
      <c r="L3584" s="2">
        <v>1</v>
      </c>
      <c r="O3584" s="2">
        <v>1</v>
      </c>
      <c r="P3584" s="2">
        <v>1</v>
      </c>
      <c r="R3584" s="2">
        <v>1</v>
      </c>
      <c r="U3584" s="2">
        <v>1</v>
      </c>
      <c r="V3584" s="2">
        <v>2</v>
      </c>
      <c r="W3584" s="2">
        <v>1</v>
      </c>
      <c r="X3584" s="2">
        <v>1</v>
      </c>
      <c r="Z3584" s="2">
        <v>1</v>
      </c>
      <c r="AA3584" s="3" t="s">
        <v>57</v>
      </c>
      <c r="AB3584" s="2">
        <v>4</v>
      </c>
      <c r="AF3584" s="2">
        <v>22</v>
      </c>
      <c r="AG3584" s="2">
        <v>2</v>
      </c>
      <c r="AH3584" s="3" t="s">
        <v>3741</v>
      </c>
      <c r="AI3584" s="4">
        <v>45463</v>
      </c>
      <c r="AJ3584" s="3" t="s">
        <v>3742</v>
      </c>
      <c r="AK3584" s="3" t="s">
        <v>248</v>
      </c>
    </row>
    <row r="3585" spans="1:37" hidden="1" x14ac:dyDescent="0.25">
      <c r="A3585" t="str">
        <f t="shared" si="55"/>
        <v>2024_WA_Bolgart_Chickpea_DetailedTOS2VarietyStrikerWaterTrtIrrigated</v>
      </c>
      <c r="B3585" s="2">
        <v>2024040</v>
      </c>
      <c r="C3585" s="3" t="s">
        <v>3740</v>
      </c>
      <c r="D3585" s="3" t="s">
        <v>248</v>
      </c>
      <c r="F3585" s="3" t="s">
        <v>4179</v>
      </c>
      <c r="G3585" s="3" t="s">
        <v>43</v>
      </c>
      <c r="H3585" s="3" t="s">
        <v>253</v>
      </c>
      <c r="I3585" s="2">
        <v>2</v>
      </c>
      <c r="J3585" s="2">
        <v>1</v>
      </c>
      <c r="K3585" s="2">
        <v>1</v>
      </c>
      <c r="L3585" s="2">
        <v>1</v>
      </c>
      <c r="O3585" s="2">
        <v>1</v>
      </c>
      <c r="P3585" s="2">
        <v>1</v>
      </c>
      <c r="R3585" s="2">
        <v>1</v>
      </c>
      <c r="U3585" s="2">
        <v>2</v>
      </c>
      <c r="V3585" s="2">
        <v>2</v>
      </c>
      <c r="W3585" s="2">
        <v>2</v>
      </c>
      <c r="X3585" s="2">
        <v>1</v>
      </c>
      <c r="AA3585" s="3" t="s">
        <v>57</v>
      </c>
      <c r="AB3585" s="2">
        <v>4</v>
      </c>
      <c r="AF3585" s="2">
        <v>22</v>
      </c>
      <c r="AG3585" s="2">
        <v>2</v>
      </c>
      <c r="AH3585" s="3" t="s">
        <v>3741</v>
      </c>
      <c r="AI3585" s="4">
        <v>45463</v>
      </c>
      <c r="AJ3585" s="3" t="s">
        <v>3743</v>
      </c>
      <c r="AK3585" s="3" t="s">
        <v>248</v>
      </c>
    </row>
    <row r="3586" spans="1:37" hidden="1" x14ac:dyDescent="0.25">
      <c r="A3586" t="str">
        <f t="shared" si="55"/>
        <v>2024_WA_Bolgart_Chickpea_DetailedTOS2VarietyDrummondWaterTrtRainFed</v>
      </c>
      <c r="B3586" s="2">
        <v>2024040</v>
      </c>
      <c r="C3586" s="3" t="s">
        <v>3740</v>
      </c>
      <c r="D3586" s="3" t="s">
        <v>248</v>
      </c>
      <c r="F3586" s="3" t="s">
        <v>4182</v>
      </c>
      <c r="G3586" s="3" t="s">
        <v>39</v>
      </c>
      <c r="H3586" s="3" t="s">
        <v>253</v>
      </c>
      <c r="I3586" s="2">
        <v>3</v>
      </c>
      <c r="J3586" s="2">
        <v>2</v>
      </c>
      <c r="K3586" s="2">
        <v>1</v>
      </c>
      <c r="L3586" s="2">
        <v>1</v>
      </c>
      <c r="O3586" s="2">
        <v>1</v>
      </c>
      <c r="P3586" s="2">
        <v>2</v>
      </c>
      <c r="R3586" s="2">
        <v>2</v>
      </c>
      <c r="U3586" s="2">
        <v>5</v>
      </c>
      <c r="V3586" s="2">
        <v>2</v>
      </c>
      <c r="W3586" s="2">
        <v>3</v>
      </c>
      <c r="X3586" s="2">
        <v>1</v>
      </c>
      <c r="AA3586" s="3" t="s">
        <v>40</v>
      </c>
      <c r="AB3586" s="2">
        <v>2</v>
      </c>
      <c r="AF3586" s="2">
        <v>22</v>
      </c>
      <c r="AG3586" s="2">
        <v>2</v>
      </c>
      <c r="AH3586" s="3" t="s">
        <v>3741</v>
      </c>
      <c r="AI3586" s="4">
        <v>45463</v>
      </c>
      <c r="AJ3586" s="3" t="s">
        <v>3744</v>
      </c>
      <c r="AK3586" s="3" t="s">
        <v>248</v>
      </c>
    </row>
    <row r="3587" spans="1:37" hidden="1" x14ac:dyDescent="0.25">
      <c r="A3587" t="str">
        <f t="shared" ref="A3587:A3650" si="56">C3587&amp;"TOS"&amp;AG3587&amp;"Variety"&amp;F3587&amp;"WaterTrt"&amp;AA3587&amp;IF(AC3587="","","Agronomy"&amp;AC3587)</f>
        <v>2024_WA_Bolgart_Chickpea_DetailedTOS2VarietyDrummondWaterTrtRainFed</v>
      </c>
      <c r="B3587" s="2">
        <v>2024040</v>
      </c>
      <c r="C3587" s="3" t="s">
        <v>3740</v>
      </c>
      <c r="D3587" s="3" t="s">
        <v>248</v>
      </c>
      <c r="F3587" s="3" t="s">
        <v>4182</v>
      </c>
      <c r="G3587" s="3" t="s">
        <v>39</v>
      </c>
      <c r="H3587" s="3" t="s">
        <v>250</v>
      </c>
      <c r="I3587" s="2">
        <v>4</v>
      </c>
      <c r="J3587" s="2">
        <v>2</v>
      </c>
      <c r="K3587" s="2">
        <v>1</v>
      </c>
      <c r="L3587" s="2">
        <v>1</v>
      </c>
      <c r="O3587" s="2">
        <v>1</v>
      </c>
      <c r="P3587" s="2">
        <v>2</v>
      </c>
      <c r="R3587" s="2">
        <v>2</v>
      </c>
      <c r="U3587" s="2">
        <v>6</v>
      </c>
      <c r="V3587" s="2">
        <v>2</v>
      </c>
      <c r="W3587" s="2">
        <v>4</v>
      </c>
      <c r="X3587" s="2">
        <v>1</v>
      </c>
      <c r="Z3587" s="2">
        <v>64</v>
      </c>
      <c r="AA3587" s="3" t="s">
        <v>40</v>
      </c>
      <c r="AB3587" s="2">
        <v>2</v>
      </c>
      <c r="AF3587" s="2">
        <v>22</v>
      </c>
      <c r="AG3587" s="2">
        <v>2</v>
      </c>
      <c r="AH3587" s="3" t="s">
        <v>3741</v>
      </c>
      <c r="AI3587" s="4">
        <v>45463</v>
      </c>
      <c r="AJ3587" s="3" t="s">
        <v>3745</v>
      </c>
      <c r="AK3587" s="3" t="s">
        <v>248</v>
      </c>
    </row>
    <row r="3588" spans="1:37" hidden="1" x14ac:dyDescent="0.25">
      <c r="A3588" t="str">
        <f t="shared" si="56"/>
        <v>2024_WA_Bolgart_Chickpea_DetailedTOS2VarietyDrummondWaterTrtIrrigated</v>
      </c>
      <c r="B3588" s="2">
        <v>2024040</v>
      </c>
      <c r="C3588" s="3" t="s">
        <v>3740</v>
      </c>
      <c r="D3588" s="3" t="s">
        <v>248</v>
      </c>
      <c r="F3588" s="3" t="s">
        <v>4182</v>
      </c>
      <c r="G3588" s="3" t="s">
        <v>39</v>
      </c>
      <c r="H3588" s="3" t="s">
        <v>250</v>
      </c>
      <c r="I3588" s="2">
        <v>5</v>
      </c>
      <c r="J3588" s="2">
        <v>3</v>
      </c>
      <c r="K3588" s="2">
        <v>1</v>
      </c>
      <c r="L3588" s="2">
        <v>1</v>
      </c>
      <c r="O3588" s="2">
        <v>1</v>
      </c>
      <c r="P3588" s="2">
        <v>1</v>
      </c>
      <c r="R3588" s="2">
        <v>1</v>
      </c>
      <c r="U3588" s="2">
        <v>1</v>
      </c>
      <c r="V3588" s="2">
        <v>3</v>
      </c>
      <c r="W3588" s="2">
        <v>1</v>
      </c>
      <c r="X3588" s="2">
        <v>2</v>
      </c>
      <c r="Z3588" s="2">
        <v>2</v>
      </c>
      <c r="AA3588" s="3" t="s">
        <v>57</v>
      </c>
      <c r="AB3588" s="2">
        <v>2</v>
      </c>
      <c r="AF3588" s="2">
        <v>22</v>
      </c>
      <c r="AG3588" s="2">
        <v>2</v>
      </c>
      <c r="AH3588" s="3" t="s">
        <v>3741</v>
      </c>
      <c r="AI3588" s="4">
        <v>45463</v>
      </c>
      <c r="AJ3588" s="3" t="s">
        <v>3746</v>
      </c>
      <c r="AK3588" s="3" t="s">
        <v>248</v>
      </c>
    </row>
    <row r="3589" spans="1:37" hidden="1" x14ac:dyDescent="0.25">
      <c r="A3589" t="str">
        <f t="shared" si="56"/>
        <v>2024_WA_Bolgart_Chickpea_DetailedTOS2VarietyDrummondWaterTrtIrrigated</v>
      </c>
      <c r="B3589" s="2">
        <v>2024040</v>
      </c>
      <c r="C3589" s="3" t="s">
        <v>3740</v>
      </c>
      <c r="D3589" s="3" t="s">
        <v>248</v>
      </c>
      <c r="F3589" s="3" t="s">
        <v>4182</v>
      </c>
      <c r="G3589" s="3" t="s">
        <v>39</v>
      </c>
      <c r="H3589" s="3" t="s">
        <v>253</v>
      </c>
      <c r="I3589" s="2">
        <v>6</v>
      </c>
      <c r="J3589" s="2">
        <v>3</v>
      </c>
      <c r="K3589" s="2">
        <v>1</v>
      </c>
      <c r="L3589" s="2">
        <v>1</v>
      </c>
      <c r="O3589" s="2">
        <v>1</v>
      </c>
      <c r="P3589" s="2">
        <v>1</v>
      </c>
      <c r="R3589" s="2">
        <v>1</v>
      </c>
      <c r="U3589" s="2">
        <v>2</v>
      </c>
      <c r="V3589" s="2">
        <v>3</v>
      </c>
      <c r="W3589" s="2">
        <v>2</v>
      </c>
      <c r="X3589" s="2">
        <v>2</v>
      </c>
      <c r="AA3589" s="3" t="s">
        <v>57</v>
      </c>
      <c r="AB3589" s="2">
        <v>2</v>
      </c>
      <c r="AF3589" s="2">
        <v>22</v>
      </c>
      <c r="AG3589" s="2">
        <v>2</v>
      </c>
      <c r="AH3589" s="3" t="s">
        <v>3741</v>
      </c>
      <c r="AI3589" s="4">
        <v>45463</v>
      </c>
      <c r="AJ3589" s="3" t="s">
        <v>3747</v>
      </c>
      <c r="AK3589" s="3" t="s">
        <v>248</v>
      </c>
    </row>
    <row r="3590" spans="1:37" hidden="1" x14ac:dyDescent="0.25">
      <c r="A3590" t="str">
        <f t="shared" si="56"/>
        <v>2024_WA_Bolgart_Chickpea_DetailedTOS2VarietyCBA_CaptainWaterTrtRainFed</v>
      </c>
      <c r="B3590" s="2">
        <v>2024040</v>
      </c>
      <c r="C3590" s="3" t="s">
        <v>3740</v>
      </c>
      <c r="D3590" s="3" t="s">
        <v>248</v>
      </c>
      <c r="F3590" s="3" t="s">
        <v>249</v>
      </c>
      <c r="G3590" s="3" t="s">
        <v>43</v>
      </c>
      <c r="H3590" s="3" t="s">
        <v>253</v>
      </c>
      <c r="I3590" s="2">
        <v>7</v>
      </c>
      <c r="J3590" s="2">
        <v>4</v>
      </c>
      <c r="K3590" s="2">
        <v>1</v>
      </c>
      <c r="L3590" s="2">
        <v>1</v>
      </c>
      <c r="O3590" s="2">
        <v>1</v>
      </c>
      <c r="P3590" s="2">
        <v>2</v>
      </c>
      <c r="R3590" s="2">
        <v>2</v>
      </c>
      <c r="U3590" s="2">
        <v>5</v>
      </c>
      <c r="V3590" s="2">
        <v>3</v>
      </c>
      <c r="W3590" s="2">
        <v>3</v>
      </c>
      <c r="X3590" s="2">
        <v>2</v>
      </c>
      <c r="AA3590" s="3" t="s">
        <v>40</v>
      </c>
      <c r="AB3590" s="2">
        <v>1</v>
      </c>
      <c r="AF3590" s="2">
        <v>22</v>
      </c>
      <c r="AG3590" s="2">
        <v>2</v>
      </c>
      <c r="AH3590" s="3" t="s">
        <v>3741</v>
      </c>
      <c r="AI3590" s="4">
        <v>45463</v>
      </c>
      <c r="AJ3590" s="3" t="s">
        <v>3748</v>
      </c>
      <c r="AK3590" s="3" t="s">
        <v>248</v>
      </c>
    </row>
    <row r="3591" spans="1:37" hidden="1" x14ac:dyDescent="0.25">
      <c r="A3591" t="str">
        <f t="shared" si="56"/>
        <v>2024_WA_Bolgart_Chickpea_DetailedTOS2VarietyCBA_CaptainWaterTrtRainFed</v>
      </c>
      <c r="B3591" s="2">
        <v>2024040</v>
      </c>
      <c r="C3591" s="3" t="s">
        <v>3740</v>
      </c>
      <c r="D3591" s="3" t="s">
        <v>248</v>
      </c>
      <c r="F3591" s="3" t="s">
        <v>249</v>
      </c>
      <c r="G3591" s="3" t="s">
        <v>43</v>
      </c>
      <c r="H3591" s="3" t="s">
        <v>250</v>
      </c>
      <c r="I3591" s="2">
        <v>8</v>
      </c>
      <c r="J3591" s="2">
        <v>4</v>
      </c>
      <c r="K3591" s="2">
        <v>1</v>
      </c>
      <c r="L3591" s="2">
        <v>1</v>
      </c>
      <c r="O3591" s="2">
        <v>1</v>
      </c>
      <c r="P3591" s="2">
        <v>2</v>
      </c>
      <c r="R3591" s="2">
        <v>2</v>
      </c>
      <c r="U3591" s="2">
        <v>6</v>
      </c>
      <c r="V3591" s="2">
        <v>3</v>
      </c>
      <c r="W3591" s="2">
        <v>4</v>
      </c>
      <c r="X3591" s="2">
        <v>2</v>
      </c>
      <c r="Z3591" s="2">
        <v>63</v>
      </c>
      <c r="AA3591" s="3" t="s">
        <v>40</v>
      </c>
      <c r="AB3591" s="2">
        <v>1</v>
      </c>
      <c r="AF3591" s="2">
        <v>22</v>
      </c>
      <c r="AG3591" s="2">
        <v>2</v>
      </c>
      <c r="AH3591" s="3" t="s">
        <v>3741</v>
      </c>
      <c r="AI3591" s="4">
        <v>45463</v>
      </c>
      <c r="AJ3591" s="3" t="s">
        <v>3749</v>
      </c>
      <c r="AK3591" s="3" t="s">
        <v>248</v>
      </c>
    </row>
    <row r="3592" spans="1:37" hidden="1" x14ac:dyDescent="0.25">
      <c r="A3592" t="str">
        <f t="shared" si="56"/>
        <v>2024_WA_Bolgart_Chickpea_DetailedTOS2VarietyHatTrickWaterTrtIrrigated</v>
      </c>
      <c r="B3592" s="2">
        <v>2024040</v>
      </c>
      <c r="C3592" s="3" t="s">
        <v>3740</v>
      </c>
      <c r="D3592" s="3" t="s">
        <v>248</v>
      </c>
      <c r="F3592" s="3" t="s">
        <v>4178</v>
      </c>
      <c r="G3592" s="3" t="s">
        <v>39</v>
      </c>
      <c r="H3592" s="3" t="s">
        <v>250</v>
      </c>
      <c r="I3592" s="2">
        <v>9</v>
      </c>
      <c r="J3592" s="2">
        <v>5</v>
      </c>
      <c r="K3592" s="2">
        <v>1</v>
      </c>
      <c r="L3592" s="2">
        <v>1</v>
      </c>
      <c r="O3592" s="2">
        <v>1</v>
      </c>
      <c r="P3592" s="2">
        <v>1</v>
      </c>
      <c r="R3592" s="2">
        <v>1</v>
      </c>
      <c r="U3592" s="2">
        <v>1</v>
      </c>
      <c r="V3592" s="2">
        <v>4</v>
      </c>
      <c r="W3592" s="2">
        <v>1</v>
      </c>
      <c r="X3592" s="2">
        <v>3</v>
      </c>
      <c r="Z3592" s="2">
        <v>3</v>
      </c>
      <c r="AA3592" s="3" t="s">
        <v>57</v>
      </c>
      <c r="AB3592" s="2">
        <v>3</v>
      </c>
      <c r="AF3592" s="2">
        <v>22</v>
      </c>
      <c r="AG3592" s="2">
        <v>2</v>
      </c>
      <c r="AH3592" s="3" t="s">
        <v>3741</v>
      </c>
      <c r="AI3592" s="4">
        <v>45463</v>
      </c>
      <c r="AJ3592" s="3" t="s">
        <v>3750</v>
      </c>
      <c r="AK3592" s="3" t="s">
        <v>248</v>
      </c>
    </row>
    <row r="3593" spans="1:37" hidden="1" x14ac:dyDescent="0.25">
      <c r="A3593" t="str">
        <f t="shared" si="56"/>
        <v>2024_WA_Bolgart_Chickpea_DetailedTOS2VarietyHatTrickWaterTrtIrrigated</v>
      </c>
      <c r="B3593" s="2">
        <v>2024040</v>
      </c>
      <c r="C3593" s="3" t="s">
        <v>3740</v>
      </c>
      <c r="D3593" s="3" t="s">
        <v>248</v>
      </c>
      <c r="F3593" s="3" t="s">
        <v>4178</v>
      </c>
      <c r="G3593" s="3" t="s">
        <v>39</v>
      </c>
      <c r="H3593" s="3" t="s">
        <v>253</v>
      </c>
      <c r="I3593" s="2">
        <v>10</v>
      </c>
      <c r="J3593" s="2">
        <v>5</v>
      </c>
      <c r="K3593" s="2">
        <v>1</v>
      </c>
      <c r="L3593" s="2">
        <v>1</v>
      </c>
      <c r="O3593" s="2">
        <v>1</v>
      </c>
      <c r="P3593" s="2">
        <v>1</v>
      </c>
      <c r="R3593" s="2">
        <v>1</v>
      </c>
      <c r="U3593" s="2">
        <v>2</v>
      </c>
      <c r="V3593" s="2">
        <v>4</v>
      </c>
      <c r="W3593" s="2">
        <v>2</v>
      </c>
      <c r="X3593" s="2">
        <v>3</v>
      </c>
      <c r="AA3593" s="3" t="s">
        <v>57</v>
      </c>
      <c r="AB3593" s="2">
        <v>3</v>
      </c>
      <c r="AF3593" s="2">
        <v>22</v>
      </c>
      <c r="AG3593" s="2">
        <v>2</v>
      </c>
      <c r="AH3593" s="3" t="s">
        <v>3741</v>
      </c>
      <c r="AI3593" s="4">
        <v>45463</v>
      </c>
      <c r="AJ3593" s="3" t="s">
        <v>3751</v>
      </c>
      <c r="AK3593" s="3" t="s">
        <v>248</v>
      </c>
    </row>
    <row r="3594" spans="1:37" hidden="1" x14ac:dyDescent="0.25">
      <c r="A3594" t="str">
        <f t="shared" si="56"/>
        <v>2024_WA_Bolgart_Chickpea_DetailedTOS2VarietyStrikerWaterTrtRainFed</v>
      </c>
      <c r="B3594" s="2">
        <v>2024040</v>
      </c>
      <c r="C3594" s="3" t="s">
        <v>3740</v>
      </c>
      <c r="D3594" s="3" t="s">
        <v>248</v>
      </c>
      <c r="F3594" s="3" t="s">
        <v>4179</v>
      </c>
      <c r="G3594" s="3" t="s">
        <v>43</v>
      </c>
      <c r="H3594" s="3" t="s">
        <v>253</v>
      </c>
      <c r="I3594" s="2">
        <v>11</v>
      </c>
      <c r="J3594" s="2">
        <v>6</v>
      </c>
      <c r="K3594" s="2">
        <v>1</v>
      </c>
      <c r="L3594" s="2">
        <v>1</v>
      </c>
      <c r="O3594" s="2">
        <v>1</v>
      </c>
      <c r="P3594" s="2">
        <v>2</v>
      </c>
      <c r="R3594" s="2">
        <v>2</v>
      </c>
      <c r="U3594" s="2">
        <v>5</v>
      </c>
      <c r="V3594" s="2">
        <v>4</v>
      </c>
      <c r="W3594" s="2">
        <v>3</v>
      </c>
      <c r="X3594" s="2">
        <v>3</v>
      </c>
      <c r="AA3594" s="3" t="s">
        <v>40</v>
      </c>
      <c r="AB3594" s="2">
        <v>4</v>
      </c>
      <c r="AF3594" s="2">
        <v>22</v>
      </c>
      <c r="AG3594" s="2">
        <v>2</v>
      </c>
      <c r="AH3594" s="3" t="s">
        <v>3741</v>
      </c>
      <c r="AI3594" s="4">
        <v>45463</v>
      </c>
      <c r="AJ3594" s="3" t="s">
        <v>3752</v>
      </c>
      <c r="AK3594" s="3" t="s">
        <v>248</v>
      </c>
    </row>
    <row r="3595" spans="1:37" hidden="1" x14ac:dyDescent="0.25">
      <c r="A3595" t="str">
        <f t="shared" si="56"/>
        <v>2024_WA_Bolgart_Chickpea_DetailedTOS2VarietyStrikerWaterTrtRainFed</v>
      </c>
      <c r="B3595" s="2">
        <v>2024040</v>
      </c>
      <c r="C3595" s="3" t="s">
        <v>3740</v>
      </c>
      <c r="D3595" s="3" t="s">
        <v>248</v>
      </c>
      <c r="F3595" s="3" t="s">
        <v>4179</v>
      </c>
      <c r="G3595" s="3" t="s">
        <v>43</v>
      </c>
      <c r="H3595" s="3" t="s">
        <v>250</v>
      </c>
      <c r="I3595" s="2">
        <v>12</v>
      </c>
      <c r="J3595" s="2">
        <v>6</v>
      </c>
      <c r="K3595" s="2">
        <v>1</v>
      </c>
      <c r="L3595" s="2">
        <v>1</v>
      </c>
      <c r="O3595" s="2">
        <v>1</v>
      </c>
      <c r="P3595" s="2">
        <v>2</v>
      </c>
      <c r="R3595" s="2">
        <v>2</v>
      </c>
      <c r="U3595" s="2">
        <v>6</v>
      </c>
      <c r="V3595" s="2">
        <v>4</v>
      </c>
      <c r="W3595" s="2">
        <v>4</v>
      </c>
      <c r="X3595" s="2">
        <v>3</v>
      </c>
      <c r="Z3595" s="2">
        <v>62</v>
      </c>
      <c r="AA3595" s="3" t="s">
        <v>40</v>
      </c>
      <c r="AB3595" s="2">
        <v>4</v>
      </c>
      <c r="AF3595" s="2">
        <v>22</v>
      </c>
      <c r="AG3595" s="2">
        <v>2</v>
      </c>
      <c r="AH3595" s="3" t="s">
        <v>3741</v>
      </c>
      <c r="AI3595" s="4">
        <v>45463</v>
      </c>
      <c r="AJ3595" s="3" t="s">
        <v>3753</v>
      </c>
      <c r="AK3595" s="3" t="s">
        <v>248</v>
      </c>
    </row>
    <row r="3596" spans="1:37" hidden="1" x14ac:dyDescent="0.25">
      <c r="A3596" t="str">
        <f t="shared" si="56"/>
        <v>2024_WA_Bolgart_Chickpea_DetailedTOS2VarietyCBA_CaptainWaterTrtIrrigated</v>
      </c>
      <c r="B3596" s="2">
        <v>2024040</v>
      </c>
      <c r="C3596" s="3" t="s">
        <v>3740</v>
      </c>
      <c r="D3596" s="3" t="s">
        <v>248</v>
      </c>
      <c r="F3596" s="3" t="s">
        <v>249</v>
      </c>
      <c r="G3596" s="3" t="s">
        <v>43</v>
      </c>
      <c r="H3596" s="3" t="s">
        <v>250</v>
      </c>
      <c r="I3596" s="2">
        <v>13</v>
      </c>
      <c r="J3596" s="2">
        <v>7</v>
      </c>
      <c r="K3596" s="2">
        <v>1</v>
      </c>
      <c r="L3596" s="2">
        <v>1</v>
      </c>
      <c r="O3596" s="2">
        <v>1</v>
      </c>
      <c r="P3596" s="2">
        <v>1</v>
      </c>
      <c r="R3596" s="2">
        <v>1</v>
      </c>
      <c r="U3596" s="2">
        <v>1</v>
      </c>
      <c r="V3596" s="2">
        <v>5</v>
      </c>
      <c r="W3596" s="2">
        <v>1</v>
      </c>
      <c r="X3596" s="2">
        <v>4</v>
      </c>
      <c r="Z3596" s="2">
        <v>4</v>
      </c>
      <c r="AA3596" s="3" t="s">
        <v>57</v>
      </c>
      <c r="AB3596" s="2">
        <v>1</v>
      </c>
      <c r="AF3596" s="2">
        <v>22</v>
      </c>
      <c r="AG3596" s="2">
        <v>2</v>
      </c>
      <c r="AH3596" s="3" t="s">
        <v>3741</v>
      </c>
      <c r="AI3596" s="4">
        <v>45463</v>
      </c>
      <c r="AJ3596" s="3" t="s">
        <v>3754</v>
      </c>
      <c r="AK3596" s="3" t="s">
        <v>248</v>
      </c>
    </row>
    <row r="3597" spans="1:37" hidden="1" x14ac:dyDescent="0.25">
      <c r="A3597" t="str">
        <f t="shared" si="56"/>
        <v>2024_WA_Bolgart_Chickpea_DetailedTOS2VarietyCBA_CaptainWaterTrtIrrigated</v>
      </c>
      <c r="B3597" s="2">
        <v>2024040</v>
      </c>
      <c r="C3597" s="3" t="s">
        <v>3740</v>
      </c>
      <c r="D3597" s="3" t="s">
        <v>248</v>
      </c>
      <c r="F3597" s="3" t="s">
        <v>249</v>
      </c>
      <c r="G3597" s="3" t="s">
        <v>43</v>
      </c>
      <c r="H3597" s="3" t="s">
        <v>253</v>
      </c>
      <c r="I3597" s="2">
        <v>14</v>
      </c>
      <c r="J3597" s="2">
        <v>7</v>
      </c>
      <c r="K3597" s="2">
        <v>1</v>
      </c>
      <c r="L3597" s="2">
        <v>1</v>
      </c>
      <c r="O3597" s="2">
        <v>1</v>
      </c>
      <c r="P3597" s="2">
        <v>1</v>
      </c>
      <c r="R3597" s="2">
        <v>1</v>
      </c>
      <c r="U3597" s="2">
        <v>2</v>
      </c>
      <c r="V3597" s="2">
        <v>5</v>
      </c>
      <c r="W3597" s="2">
        <v>2</v>
      </c>
      <c r="X3597" s="2">
        <v>4</v>
      </c>
      <c r="AA3597" s="3" t="s">
        <v>57</v>
      </c>
      <c r="AB3597" s="2">
        <v>1</v>
      </c>
      <c r="AF3597" s="2">
        <v>22</v>
      </c>
      <c r="AG3597" s="2">
        <v>2</v>
      </c>
      <c r="AH3597" s="3" t="s">
        <v>3741</v>
      </c>
      <c r="AI3597" s="4">
        <v>45463</v>
      </c>
      <c r="AJ3597" s="3" t="s">
        <v>3755</v>
      </c>
      <c r="AK3597" s="3" t="s">
        <v>248</v>
      </c>
    </row>
    <row r="3598" spans="1:37" hidden="1" x14ac:dyDescent="0.25">
      <c r="A3598" t="str">
        <f t="shared" si="56"/>
        <v>2024_WA_Bolgart_Chickpea_DetailedTOS2VarietyHatTrickWaterTrtRainFed</v>
      </c>
      <c r="B3598" s="2">
        <v>2024040</v>
      </c>
      <c r="C3598" s="3" t="s">
        <v>3740</v>
      </c>
      <c r="D3598" s="3" t="s">
        <v>248</v>
      </c>
      <c r="F3598" s="3" t="s">
        <v>4178</v>
      </c>
      <c r="G3598" s="3" t="s">
        <v>39</v>
      </c>
      <c r="H3598" s="3" t="s">
        <v>253</v>
      </c>
      <c r="I3598" s="2">
        <v>15</v>
      </c>
      <c r="J3598" s="2">
        <v>8</v>
      </c>
      <c r="K3598" s="2">
        <v>1</v>
      </c>
      <c r="L3598" s="2">
        <v>1</v>
      </c>
      <c r="O3598" s="2">
        <v>1</v>
      </c>
      <c r="P3598" s="2">
        <v>2</v>
      </c>
      <c r="R3598" s="2">
        <v>2</v>
      </c>
      <c r="U3598" s="2">
        <v>5</v>
      </c>
      <c r="V3598" s="2">
        <v>5</v>
      </c>
      <c r="W3598" s="2">
        <v>3</v>
      </c>
      <c r="X3598" s="2">
        <v>4</v>
      </c>
      <c r="AA3598" s="3" t="s">
        <v>40</v>
      </c>
      <c r="AB3598" s="2">
        <v>3</v>
      </c>
      <c r="AF3598" s="2">
        <v>22</v>
      </c>
      <c r="AG3598" s="2">
        <v>2</v>
      </c>
      <c r="AH3598" s="3" t="s">
        <v>3741</v>
      </c>
      <c r="AI3598" s="4">
        <v>45463</v>
      </c>
      <c r="AJ3598" s="3" t="s">
        <v>3756</v>
      </c>
      <c r="AK3598" s="3" t="s">
        <v>248</v>
      </c>
    </row>
    <row r="3599" spans="1:37" hidden="1" x14ac:dyDescent="0.25">
      <c r="A3599" t="str">
        <f t="shared" si="56"/>
        <v>2024_WA_Bolgart_Chickpea_DetailedTOS2VarietyHatTrickWaterTrtRainFed</v>
      </c>
      <c r="B3599" s="2">
        <v>2024040</v>
      </c>
      <c r="C3599" s="3" t="s">
        <v>3740</v>
      </c>
      <c r="D3599" s="3" t="s">
        <v>248</v>
      </c>
      <c r="F3599" s="3" t="s">
        <v>4178</v>
      </c>
      <c r="G3599" s="3" t="s">
        <v>39</v>
      </c>
      <c r="H3599" s="3" t="s">
        <v>250</v>
      </c>
      <c r="I3599" s="2">
        <v>16</v>
      </c>
      <c r="J3599" s="2">
        <v>8</v>
      </c>
      <c r="K3599" s="2">
        <v>1</v>
      </c>
      <c r="L3599" s="2">
        <v>1</v>
      </c>
      <c r="O3599" s="2">
        <v>1</v>
      </c>
      <c r="P3599" s="2">
        <v>2</v>
      </c>
      <c r="R3599" s="2">
        <v>2</v>
      </c>
      <c r="U3599" s="2">
        <v>6</v>
      </c>
      <c r="V3599" s="2">
        <v>5</v>
      </c>
      <c r="W3599" s="2">
        <v>4</v>
      </c>
      <c r="X3599" s="2">
        <v>4</v>
      </c>
      <c r="Z3599" s="2">
        <v>61</v>
      </c>
      <c r="AA3599" s="3" t="s">
        <v>40</v>
      </c>
      <c r="AB3599" s="2">
        <v>3</v>
      </c>
      <c r="AF3599" s="2">
        <v>22</v>
      </c>
      <c r="AG3599" s="2">
        <v>2</v>
      </c>
      <c r="AH3599" s="3" t="s">
        <v>3741</v>
      </c>
      <c r="AI3599" s="4">
        <v>45463</v>
      </c>
      <c r="AJ3599" s="3" t="s">
        <v>3757</v>
      </c>
      <c r="AK3599" s="3" t="s">
        <v>248</v>
      </c>
    </row>
    <row r="3600" spans="1:37" hidden="1" x14ac:dyDescent="0.25">
      <c r="A3600" t="str">
        <f t="shared" si="56"/>
        <v>2024_WA_Bolgart_Chickpea_DetailedTOS1VarietyHatTrickWaterTrtIrrigated</v>
      </c>
      <c r="B3600" s="2">
        <v>2024040</v>
      </c>
      <c r="C3600" s="3" t="s">
        <v>3740</v>
      </c>
      <c r="D3600" s="3" t="s">
        <v>248</v>
      </c>
      <c r="F3600" s="3" t="s">
        <v>4178</v>
      </c>
      <c r="G3600" s="3" t="s">
        <v>39</v>
      </c>
      <c r="H3600" s="3" t="s">
        <v>250</v>
      </c>
      <c r="I3600" s="2">
        <v>17</v>
      </c>
      <c r="J3600" s="2">
        <v>9</v>
      </c>
      <c r="K3600" s="2">
        <v>1</v>
      </c>
      <c r="L3600" s="2">
        <v>1</v>
      </c>
      <c r="O3600" s="2">
        <v>2</v>
      </c>
      <c r="P3600" s="2">
        <v>3</v>
      </c>
      <c r="R3600" s="2">
        <v>1</v>
      </c>
      <c r="U3600" s="2">
        <v>1</v>
      </c>
      <c r="V3600" s="2">
        <v>10</v>
      </c>
      <c r="W3600" s="2">
        <v>1</v>
      </c>
      <c r="X3600" s="2">
        <v>5</v>
      </c>
      <c r="Z3600" s="2">
        <v>5</v>
      </c>
      <c r="AA3600" s="3" t="s">
        <v>57</v>
      </c>
      <c r="AB3600" s="2">
        <v>3</v>
      </c>
      <c r="AF3600" s="2">
        <v>22</v>
      </c>
      <c r="AG3600" s="2">
        <v>1</v>
      </c>
      <c r="AH3600" s="3" t="s">
        <v>3480</v>
      </c>
      <c r="AI3600" s="4">
        <v>45434</v>
      </c>
      <c r="AJ3600" s="3" t="s">
        <v>3758</v>
      </c>
      <c r="AK3600" s="3" t="s">
        <v>248</v>
      </c>
    </row>
    <row r="3601" spans="1:37" hidden="1" x14ac:dyDescent="0.25">
      <c r="A3601" t="str">
        <f t="shared" si="56"/>
        <v>2024_WA_Bolgart_Chickpea_DetailedTOS1VarietyHatTrickWaterTrtIrrigated</v>
      </c>
      <c r="B3601" s="2">
        <v>2024040</v>
      </c>
      <c r="C3601" s="3" t="s">
        <v>3740</v>
      </c>
      <c r="D3601" s="3" t="s">
        <v>248</v>
      </c>
      <c r="F3601" s="3" t="s">
        <v>4178</v>
      </c>
      <c r="G3601" s="3" t="s">
        <v>39</v>
      </c>
      <c r="H3601" s="3" t="s">
        <v>253</v>
      </c>
      <c r="I3601" s="2">
        <v>18</v>
      </c>
      <c r="J3601" s="2">
        <v>9</v>
      </c>
      <c r="K3601" s="2">
        <v>1</v>
      </c>
      <c r="L3601" s="2">
        <v>1</v>
      </c>
      <c r="O3601" s="2">
        <v>2</v>
      </c>
      <c r="P3601" s="2">
        <v>3</v>
      </c>
      <c r="R3601" s="2">
        <v>1</v>
      </c>
      <c r="U3601" s="2">
        <v>2</v>
      </c>
      <c r="V3601" s="2">
        <v>10</v>
      </c>
      <c r="W3601" s="2">
        <v>2</v>
      </c>
      <c r="X3601" s="2">
        <v>5</v>
      </c>
      <c r="AA3601" s="3" t="s">
        <v>57</v>
      </c>
      <c r="AB3601" s="2">
        <v>3</v>
      </c>
      <c r="AF3601" s="2">
        <v>22</v>
      </c>
      <c r="AG3601" s="2">
        <v>1</v>
      </c>
      <c r="AH3601" s="3" t="s">
        <v>3480</v>
      </c>
      <c r="AI3601" s="4">
        <v>45434</v>
      </c>
      <c r="AJ3601" s="3" t="s">
        <v>3759</v>
      </c>
      <c r="AK3601" s="3" t="s">
        <v>248</v>
      </c>
    </row>
    <row r="3602" spans="1:37" hidden="1" x14ac:dyDescent="0.25">
      <c r="A3602" t="str">
        <f t="shared" si="56"/>
        <v>2024_WA_Bolgart_Chickpea_DetailedTOS1VarietyDrummondWaterTrtRainFed</v>
      </c>
      <c r="B3602" s="2">
        <v>2024040</v>
      </c>
      <c r="C3602" s="3" t="s">
        <v>3740</v>
      </c>
      <c r="D3602" s="3" t="s">
        <v>248</v>
      </c>
      <c r="F3602" s="3" t="s">
        <v>4182</v>
      </c>
      <c r="G3602" s="3" t="s">
        <v>39</v>
      </c>
      <c r="H3602" s="3" t="s">
        <v>253</v>
      </c>
      <c r="I3602" s="2">
        <v>19</v>
      </c>
      <c r="J3602" s="2">
        <v>10</v>
      </c>
      <c r="K3602" s="2">
        <v>1</v>
      </c>
      <c r="L3602" s="2">
        <v>1</v>
      </c>
      <c r="O3602" s="2">
        <v>2</v>
      </c>
      <c r="P3602" s="2">
        <v>4</v>
      </c>
      <c r="R3602" s="2">
        <v>2</v>
      </c>
      <c r="U3602" s="2">
        <v>5</v>
      </c>
      <c r="V3602" s="2">
        <v>10</v>
      </c>
      <c r="W3602" s="2">
        <v>3</v>
      </c>
      <c r="X3602" s="2">
        <v>5</v>
      </c>
      <c r="AA3602" s="3" t="s">
        <v>40</v>
      </c>
      <c r="AB3602" s="2">
        <v>2</v>
      </c>
      <c r="AF3602" s="2">
        <v>22</v>
      </c>
      <c r="AG3602" s="2">
        <v>1</v>
      </c>
      <c r="AH3602" s="3" t="s">
        <v>3480</v>
      </c>
      <c r="AI3602" s="4">
        <v>45434</v>
      </c>
      <c r="AJ3602" s="3" t="s">
        <v>3760</v>
      </c>
      <c r="AK3602" s="3" t="s">
        <v>248</v>
      </c>
    </row>
    <row r="3603" spans="1:37" hidden="1" x14ac:dyDescent="0.25">
      <c r="A3603" t="str">
        <f t="shared" si="56"/>
        <v>2024_WA_Bolgart_Chickpea_DetailedTOS1VarietyDrummondWaterTrtRainFed</v>
      </c>
      <c r="B3603" s="2">
        <v>2024040</v>
      </c>
      <c r="C3603" s="3" t="s">
        <v>3740</v>
      </c>
      <c r="D3603" s="3" t="s">
        <v>248</v>
      </c>
      <c r="F3603" s="3" t="s">
        <v>4182</v>
      </c>
      <c r="G3603" s="3" t="s">
        <v>39</v>
      </c>
      <c r="H3603" s="3" t="s">
        <v>250</v>
      </c>
      <c r="I3603" s="2">
        <v>20</v>
      </c>
      <c r="J3603" s="2">
        <v>10</v>
      </c>
      <c r="K3603" s="2">
        <v>1</v>
      </c>
      <c r="L3603" s="2">
        <v>1</v>
      </c>
      <c r="O3603" s="2">
        <v>2</v>
      </c>
      <c r="P3603" s="2">
        <v>4</v>
      </c>
      <c r="R3603" s="2">
        <v>2</v>
      </c>
      <c r="U3603" s="2">
        <v>6</v>
      </c>
      <c r="V3603" s="2">
        <v>10</v>
      </c>
      <c r="W3603" s="2">
        <v>4</v>
      </c>
      <c r="X3603" s="2">
        <v>5</v>
      </c>
      <c r="Z3603" s="2">
        <v>60</v>
      </c>
      <c r="AA3603" s="3" t="s">
        <v>40</v>
      </c>
      <c r="AB3603" s="2">
        <v>2</v>
      </c>
      <c r="AF3603" s="2">
        <v>22</v>
      </c>
      <c r="AG3603" s="2">
        <v>1</v>
      </c>
      <c r="AH3603" s="3" t="s">
        <v>3480</v>
      </c>
      <c r="AI3603" s="4">
        <v>45434</v>
      </c>
      <c r="AJ3603" s="3" t="s">
        <v>3761</v>
      </c>
      <c r="AK3603" s="3" t="s">
        <v>248</v>
      </c>
    </row>
    <row r="3604" spans="1:37" hidden="1" x14ac:dyDescent="0.25">
      <c r="A3604" t="str">
        <f t="shared" si="56"/>
        <v>2024_WA_Bolgart_Chickpea_DetailedTOS1VarietyCBA_CaptainWaterTrtIrrigated</v>
      </c>
      <c r="B3604" s="2">
        <v>2024040</v>
      </c>
      <c r="C3604" s="3" t="s">
        <v>3740</v>
      </c>
      <c r="D3604" s="3" t="s">
        <v>248</v>
      </c>
      <c r="F3604" s="3" t="s">
        <v>249</v>
      </c>
      <c r="G3604" s="3" t="s">
        <v>43</v>
      </c>
      <c r="H3604" s="3" t="s">
        <v>250</v>
      </c>
      <c r="I3604" s="2">
        <v>21</v>
      </c>
      <c r="J3604" s="2">
        <v>11</v>
      </c>
      <c r="K3604" s="2">
        <v>1</v>
      </c>
      <c r="L3604" s="2">
        <v>1</v>
      </c>
      <c r="O3604" s="2">
        <v>2</v>
      </c>
      <c r="P3604" s="2">
        <v>3</v>
      </c>
      <c r="R3604" s="2">
        <v>1</v>
      </c>
      <c r="U3604" s="2">
        <v>1</v>
      </c>
      <c r="V3604" s="2">
        <v>11</v>
      </c>
      <c r="W3604" s="2">
        <v>1</v>
      </c>
      <c r="X3604" s="2">
        <v>6</v>
      </c>
      <c r="Z3604" s="2">
        <v>6</v>
      </c>
      <c r="AA3604" s="3" t="s">
        <v>57</v>
      </c>
      <c r="AB3604" s="2">
        <v>1</v>
      </c>
      <c r="AF3604" s="2">
        <v>22</v>
      </c>
      <c r="AG3604" s="2">
        <v>1</v>
      </c>
      <c r="AH3604" s="3" t="s">
        <v>3480</v>
      </c>
      <c r="AI3604" s="4">
        <v>45434</v>
      </c>
      <c r="AJ3604" s="3" t="s">
        <v>3762</v>
      </c>
      <c r="AK3604" s="3" t="s">
        <v>248</v>
      </c>
    </row>
    <row r="3605" spans="1:37" hidden="1" x14ac:dyDescent="0.25">
      <c r="A3605" t="str">
        <f t="shared" si="56"/>
        <v>2024_WA_Bolgart_Chickpea_DetailedTOS1VarietyCBA_CaptainWaterTrtIrrigated</v>
      </c>
      <c r="B3605" s="2">
        <v>2024040</v>
      </c>
      <c r="C3605" s="3" t="s">
        <v>3740</v>
      </c>
      <c r="D3605" s="3" t="s">
        <v>248</v>
      </c>
      <c r="F3605" s="3" t="s">
        <v>249</v>
      </c>
      <c r="G3605" s="3" t="s">
        <v>43</v>
      </c>
      <c r="H3605" s="3" t="s">
        <v>253</v>
      </c>
      <c r="I3605" s="2">
        <v>22</v>
      </c>
      <c r="J3605" s="2">
        <v>11</v>
      </c>
      <c r="K3605" s="2">
        <v>1</v>
      </c>
      <c r="L3605" s="2">
        <v>1</v>
      </c>
      <c r="O3605" s="2">
        <v>2</v>
      </c>
      <c r="P3605" s="2">
        <v>3</v>
      </c>
      <c r="R3605" s="2">
        <v>1</v>
      </c>
      <c r="U3605" s="2">
        <v>2</v>
      </c>
      <c r="V3605" s="2">
        <v>11</v>
      </c>
      <c r="W3605" s="2">
        <v>2</v>
      </c>
      <c r="X3605" s="2">
        <v>6</v>
      </c>
      <c r="AA3605" s="3" t="s">
        <v>57</v>
      </c>
      <c r="AB3605" s="2">
        <v>1</v>
      </c>
      <c r="AF3605" s="2">
        <v>22</v>
      </c>
      <c r="AG3605" s="2">
        <v>1</v>
      </c>
      <c r="AH3605" s="3" t="s">
        <v>3480</v>
      </c>
      <c r="AI3605" s="4">
        <v>45434</v>
      </c>
      <c r="AJ3605" s="3" t="s">
        <v>3763</v>
      </c>
      <c r="AK3605" s="3" t="s">
        <v>248</v>
      </c>
    </row>
    <row r="3606" spans="1:37" hidden="1" x14ac:dyDescent="0.25">
      <c r="A3606" t="str">
        <f t="shared" si="56"/>
        <v>2024_WA_Bolgart_Chickpea_DetailedTOS1VarietyStrikerWaterTrtRainFed</v>
      </c>
      <c r="B3606" s="2">
        <v>2024040</v>
      </c>
      <c r="C3606" s="3" t="s">
        <v>3740</v>
      </c>
      <c r="D3606" s="3" t="s">
        <v>248</v>
      </c>
      <c r="F3606" s="3" t="s">
        <v>4179</v>
      </c>
      <c r="G3606" s="3" t="s">
        <v>43</v>
      </c>
      <c r="H3606" s="3" t="s">
        <v>253</v>
      </c>
      <c r="I3606" s="2">
        <v>23</v>
      </c>
      <c r="J3606" s="2">
        <v>12</v>
      </c>
      <c r="K3606" s="2">
        <v>1</v>
      </c>
      <c r="L3606" s="2">
        <v>1</v>
      </c>
      <c r="O3606" s="2">
        <v>2</v>
      </c>
      <c r="P3606" s="2">
        <v>4</v>
      </c>
      <c r="R3606" s="2">
        <v>2</v>
      </c>
      <c r="U3606" s="2">
        <v>5</v>
      </c>
      <c r="V3606" s="2">
        <v>11</v>
      </c>
      <c r="W3606" s="2">
        <v>3</v>
      </c>
      <c r="X3606" s="2">
        <v>6</v>
      </c>
      <c r="AA3606" s="3" t="s">
        <v>40</v>
      </c>
      <c r="AB3606" s="2">
        <v>4</v>
      </c>
      <c r="AF3606" s="2">
        <v>22</v>
      </c>
      <c r="AG3606" s="2">
        <v>1</v>
      </c>
      <c r="AH3606" s="3" t="s">
        <v>3480</v>
      </c>
      <c r="AI3606" s="4">
        <v>45434</v>
      </c>
      <c r="AJ3606" s="3" t="s">
        <v>3764</v>
      </c>
      <c r="AK3606" s="3" t="s">
        <v>248</v>
      </c>
    </row>
    <row r="3607" spans="1:37" hidden="1" x14ac:dyDescent="0.25">
      <c r="A3607" t="str">
        <f t="shared" si="56"/>
        <v>2024_WA_Bolgart_Chickpea_DetailedTOS1VarietyStrikerWaterTrtRainFed</v>
      </c>
      <c r="B3607" s="2">
        <v>2024040</v>
      </c>
      <c r="C3607" s="3" t="s">
        <v>3740</v>
      </c>
      <c r="D3607" s="3" t="s">
        <v>248</v>
      </c>
      <c r="F3607" s="3" t="s">
        <v>4179</v>
      </c>
      <c r="G3607" s="3" t="s">
        <v>43</v>
      </c>
      <c r="H3607" s="3" t="s">
        <v>250</v>
      </c>
      <c r="I3607" s="2">
        <v>24</v>
      </c>
      <c r="J3607" s="2">
        <v>12</v>
      </c>
      <c r="K3607" s="2">
        <v>1</v>
      </c>
      <c r="L3607" s="2">
        <v>1</v>
      </c>
      <c r="O3607" s="2">
        <v>2</v>
      </c>
      <c r="P3607" s="2">
        <v>4</v>
      </c>
      <c r="R3607" s="2">
        <v>2</v>
      </c>
      <c r="U3607" s="2">
        <v>6</v>
      </c>
      <c r="V3607" s="2">
        <v>11</v>
      </c>
      <c r="W3607" s="2">
        <v>4</v>
      </c>
      <c r="X3607" s="2">
        <v>6</v>
      </c>
      <c r="Z3607" s="2">
        <v>59</v>
      </c>
      <c r="AA3607" s="3" t="s">
        <v>40</v>
      </c>
      <c r="AB3607" s="2">
        <v>4</v>
      </c>
      <c r="AF3607" s="2">
        <v>22</v>
      </c>
      <c r="AG3607" s="2">
        <v>1</v>
      </c>
      <c r="AH3607" s="3" t="s">
        <v>3480</v>
      </c>
      <c r="AI3607" s="4">
        <v>45434</v>
      </c>
      <c r="AJ3607" s="3" t="s">
        <v>3765</v>
      </c>
      <c r="AK3607" s="3" t="s">
        <v>248</v>
      </c>
    </row>
    <row r="3608" spans="1:37" hidden="1" x14ac:dyDescent="0.25">
      <c r="A3608" t="str">
        <f t="shared" si="56"/>
        <v>2024_WA_Bolgart_Chickpea_DetailedTOS1VarietyDrummondWaterTrtIrrigated</v>
      </c>
      <c r="B3608" s="2">
        <v>2024040</v>
      </c>
      <c r="C3608" s="3" t="s">
        <v>3740</v>
      </c>
      <c r="D3608" s="3" t="s">
        <v>248</v>
      </c>
      <c r="F3608" s="3" t="s">
        <v>4182</v>
      </c>
      <c r="G3608" s="3" t="s">
        <v>39</v>
      </c>
      <c r="H3608" s="3" t="s">
        <v>250</v>
      </c>
      <c r="I3608" s="2">
        <v>25</v>
      </c>
      <c r="J3608" s="2">
        <v>13</v>
      </c>
      <c r="K3608" s="2">
        <v>1</v>
      </c>
      <c r="L3608" s="2">
        <v>1</v>
      </c>
      <c r="O3608" s="2">
        <v>2</v>
      </c>
      <c r="P3608" s="2">
        <v>3</v>
      </c>
      <c r="R3608" s="2">
        <v>1</v>
      </c>
      <c r="U3608" s="2">
        <v>1</v>
      </c>
      <c r="V3608" s="2">
        <v>12</v>
      </c>
      <c r="W3608" s="2">
        <v>1</v>
      </c>
      <c r="X3608" s="2">
        <v>7</v>
      </c>
      <c r="Z3608" s="2">
        <v>7</v>
      </c>
      <c r="AA3608" s="3" t="s">
        <v>57</v>
      </c>
      <c r="AB3608" s="2">
        <v>2</v>
      </c>
      <c r="AF3608" s="2">
        <v>22</v>
      </c>
      <c r="AG3608" s="2">
        <v>1</v>
      </c>
      <c r="AH3608" s="3" t="s">
        <v>3480</v>
      </c>
      <c r="AI3608" s="4">
        <v>45434</v>
      </c>
      <c r="AJ3608" s="3" t="s">
        <v>3766</v>
      </c>
      <c r="AK3608" s="3" t="s">
        <v>248</v>
      </c>
    </row>
    <row r="3609" spans="1:37" hidden="1" x14ac:dyDescent="0.25">
      <c r="A3609" t="str">
        <f t="shared" si="56"/>
        <v>2024_WA_Bolgart_Chickpea_DetailedTOS1VarietyDrummondWaterTrtIrrigated</v>
      </c>
      <c r="B3609" s="2">
        <v>2024040</v>
      </c>
      <c r="C3609" s="3" t="s">
        <v>3740</v>
      </c>
      <c r="D3609" s="3" t="s">
        <v>248</v>
      </c>
      <c r="F3609" s="3" t="s">
        <v>4182</v>
      </c>
      <c r="G3609" s="3" t="s">
        <v>39</v>
      </c>
      <c r="H3609" s="3" t="s">
        <v>253</v>
      </c>
      <c r="I3609" s="2">
        <v>26</v>
      </c>
      <c r="J3609" s="2">
        <v>13</v>
      </c>
      <c r="K3609" s="2">
        <v>1</v>
      </c>
      <c r="L3609" s="2">
        <v>1</v>
      </c>
      <c r="O3609" s="2">
        <v>2</v>
      </c>
      <c r="P3609" s="2">
        <v>3</v>
      </c>
      <c r="R3609" s="2">
        <v>1</v>
      </c>
      <c r="U3609" s="2">
        <v>2</v>
      </c>
      <c r="V3609" s="2">
        <v>12</v>
      </c>
      <c r="W3609" s="2">
        <v>2</v>
      </c>
      <c r="X3609" s="2">
        <v>7</v>
      </c>
      <c r="AA3609" s="3" t="s">
        <v>57</v>
      </c>
      <c r="AB3609" s="2">
        <v>2</v>
      </c>
      <c r="AF3609" s="2">
        <v>22</v>
      </c>
      <c r="AG3609" s="2">
        <v>1</v>
      </c>
      <c r="AH3609" s="3" t="s">
        <v>3480</v>
      </c>
      <c r="AI3609" s="4">
        <v>45434</v>
      </c>
      <c r="AJ3609" s="3" t="s">
        <v>3767</v>
      </c>
      <c r="AK3609" s="3" t="s">
        <v>248</v>
      </c>
    </row>
    <row r="3610" spans="1:37" hidden="1" x14ac:dyDescent="0.25">
      <c r="A3610" t="str">
        <f t="shared" si="56"/>
        <v>2024_WA_Bolgart_Chickpea_DetailedTOS1VarietyHatTrickWaterTrtRainFed</v>
      </c>
      <c r="B3610" s="2">
        <v>2024040</v>
      </c>
      <c r="C3610" s="3" t="s">
        <v>3740</v>
      </c>
      <c r="D3610" s="3" t="s">
        <v>248</v>
      </c>
      <c r="F3610" s="3" t="s">
        <v>4178</v>
      </c>
      <c r="G3610" s="3" t="s">
        <v>39</v>
      </c>
      <c r="H3610" s="3" t="s">
        <v>253</v>
      </c>
      <c r="I3610" s="2">
        <v>27</v>
      </c>
      <c r="J3610" s="2">
        <v>14</v>
      </c>
      <c r="K3610" s="2">
        <v>1</v>
      </c>
      <c r="L3610" s="2">
        <v>1</v>
      </c>
      <c r="O3610" s="2">
        <v>2</v>
      </c>
      <c r="P3610" s="2">
        <v>4</v>
      </c>
      <c r="R3610" s="2">
        <v>2</v>
      </c>
      <c r="U3610" s="2">
        <v>5</v>
      </c>
      <c r="V3610" s="2">
        <v>12</v>
      </c>
      <c r="W3610" s="2">
        <v>3</v>
      </c>
      <c r="X3610" s="2">
        <v>7</v>
      </c>
      <c r="AA3610" s="3" t="s">
        <v>40</v>
      </c>
      <c r="AB3610" s="2">
        <v>3</v>
      </c>
      <c r="AF3610" s="2">
        <v>22</v>
      </c>
      <c r="AG3610" s="2">
        <v>1</v>
      </c>
      <c r="AH3610" s="3" t="s">
        <v>3480</v>
      </c>
      <c r="AI3610" s="4">
        <v>45434</v>
      </c>
      <c r="AJ3610" s="3" t="s">
        <v>3768</v>
      </c>
      <c r="AK3610" s="3" t="s">
        <v>248</v>
      </c>
    </row>
    <row r="3611" spans="1:37" hidden="1" x14ac:dyDescent="0.25">
      <c r="A3611" t="str">
        <f t="shared" si="56"/>
        <v>2024_WA_Bolgart_Chickpea_DetailedTOS1VarietyHatTrickWaterTrtRainFed</v>
      </c>
      <c r="B3611" s="2">
        <v>2024040</v>
      </c>
      <c r="C3611" s="3" t="s">
        <v>3740</v>
      </c>
      <c r="D3611" s="3" t="s">
        <v>248</v>
      </c>
      <c r="F3611" s="3" t="s">
        <v>4178</v>
      </c>
      <c r="G3611" s="3" t="s">
        <v>39</v>
      </c>
      <c r="H3611" s="3" t="s">
        <v>250</v>
      </c>
      <c r="I3611" s="2">
        <v>28</v>
      </c>
      <c r="J3611" s="2">
        <v>14</v>
      </c>
      <c r="K3611" s="2">
        <v>1</v>
      </c>
      <c r="L3611" s="2">
        <v>1</v>
      </c>
      <c r="O3611" s="2">
        <v>2</v>
      </c>
      <c r="P3611" s="2">
        <v>4</v>
      </c>
      <c r="R3611" s="2">
        <v>2</v>
      </c>
      <c r="U3611" s="2">
        <v>6</v>
      </c>
      <c r="V3611" s="2">
        <v>12</v>
      </c>
      <c r="W3611" s="2">
        <v>4</v>
      </c>
      <c r="X3611" s="2">
        <v>7</v>
      </c>
      <c r="Z3611" s="2">
        <v>58</v>
      </c>
      <c r="AA3611" s="3" t="s">
        <v>40</v>
      </c>
      <c r="AB3611" s="2">
        <v>3</v>
      </c>
      <c r="AF3611" s="2">
        <v>22</v>
      </c>
      <c r="AG3611" s="2">
        <v>1</v>
      </c>
      <c r="AH3611" s="3" t="s">
        <v>3480</v>
      </c>
      <c r="AI3611" s="4">
        <v>45434</v>
      </c>
      <c r="AJ3611" s="3" t="s">
        <v>3769</v>
      </c>
      <c r="AK3611" s="3" t="s">
        <v>248</v>
      </c>
    </row>
    <row r="3612" spans="1:37" hidden="1" x14ac:dyDescent="0.25">
      <c r="A3612" t="str">
        <f t="shared" si="56"/>
        <v>2024_WA_Bolgart_Chickpea_DetailedTOS1VarietyStrikerWaterTrtIrrigated</v>
      </c>
      <c r="B3612" s="2">
        <v>2024040</v>
      </c>
      <c r="C3612" s="3" t="s">
        <v>3740</v>
      </c>
      <c r="D3612" s="3" t="s">
        <v>248</v>
      </c>
      <c r="F3612" s="3" t="s">
        <v>4179</v>
      </c>
      <c r="G3612" s="3" t="s">
        <v>43</v>
      </c>
      <c r="H3612" s="3" t="s">
        <v>250</v>
      </c>
      <c r="I3612" s="2">
        <v>29</v>
      </c>
      <c r="J3612" s="2">
        <v>15</v>
      </c>
      <c r="K3612" s="2">
        <v>1</v>
      </c>
      <c r="L3612" s="2">
        <v>1</v>
      </c>
      <c r="O3612" s="2">
        <v>2</v>
      </c>
      <c r="P3612" s="2">
        <v>3</v>
      </c>
      <c r="R3612" s="2">
        <v>1</v>
      </c>
      <c r="U3612" s="2">
        <v>1</v>
      </c>
      <c r="V3612" s="2">
        <v>13</v>
      </c>
      <c r="W3612" s="2">
        <v>1</v>
      </c>
      <c r="X3612" s="2">
        <v>8</v>
      </c>
      <c r="Z3612" s="2">
        <v>8</v>
      </c>
      <c r="AA3612" s="3" t="s">
        <v>57</v>
      </c>
      <c r="AB3612" s="2">
        <v>4</v>
      </c>
      <c r="AF3612" s="2">
        <v>22</v>
      </c>
      <c r="AG3612" s="2">
        <v>1</v>
      </c>
      <c r="AH3612" s="3" t="s">
        <v>3480</v>
      </c>
      <c r="AI3612" s="4">
        <v>45434</v>
      </c>
      <c r="AJ3612" s="3" t="s">
        <v>3770</v>
      </c>
      <c r="AK3612" s="3" t="s">
        <v>248</v>
      </c>
    </row>
    <row r="3613" spans="1:37" hidden="1" x14ac:dyDescent="0.25">
      <c r="A3613" t="str">
        <f t="shared" si="56"/>
        <v>2024_WA_Bolgart_Chickpea_DetailedTOS1VarietyStrikerWaterTrtIrrigated</v>
      </c>
      <c r="B3613" s="2">
        <v>2024040</v>
      </c>
      <c r="C3613" s="3" t="s">
        <v>3740</v>
      </c>
      <c r="D3613" s="3" t="s">
        <v>248</v>
      </c>
      <c r="F3613" s="3" t="s">
        <v>4179</v>
      </c>
      <c r="G3613" s="3" t="s">
        <v>43</v>
      </c>
      <c r="H3613" s="3" t="s">
        <v>253</v>
      </c>
      <c r="I3613" s="2">
        <v>30</v>
      </c>
      <c r="J3613" s="2">
        <v>15</v>
      </c>
      <c r="K3613" s="2">
        <v>1</v>
      </c>
      <c r="L3613" s="2">
        <v>1</v>
      </c>
      <c r="O3613" s="2">
        <v>2</v>
      </c>
      <c r="P3613" s="2">
        <v>3</v>
      </c>
      <c r="R3613" s="2">
        <v>1</v>
      </c>
      <c r="U3613" s="2">
        <v>2</v>
      </c>
      <c r="V3613" s="2">
        <v>13</v>
      </c>
      <c r="W3613" s="2">
        <v>2</v>
      </c>
      <c r="X3613" s="2">
        <v>8</v>
      </c>
      <c r="AA3613" s="3" t="s">
        <v>57</v>
      </c>
      <c r="AB3613" s="2">
        <v>4</v>
      </c>
      <c r="AF3613" s="2">
        <v>22</v>
      </c>
      <c r="AG3613" s="2">
        <v>1</v>
      </c>
      <c r="AH3613" s="3" t="s">
        <v>3480</v>
      </c>
      <c r="AI3613" s="4">
        <v>45434</v>
      </c>
      <c r="AJ3613" s="3" t="s">
        <v>3771</v>
      </c>
      <c r="AK3613" s="3" t="s">
        <v>248</v>
      </c>
    </row>
    <row r="3614" spans="1:37" hidden="1" x14ac:dyDescent="0.25">
      <c r="A3614" t="str">
        <f t="shared" si="56"/>
        <v>2024_WA_Bolgart_Chickpea_DetailedTOS1VarietyCBA_CaptainWaterTrtRainFed</v>
      </c>
      <c r="B3614" s="2">
        <v>2024040</v>
      </c>
      <c r="C3614" s="3" t="s">
        <v>3740</v>
      </c>
      <c r="D3614" s="3" t="s">
        <v>248</v>
      </c>
      <c r="F3614" s="3" t="s">
        <v>249</v>
      </c>
      <c r="G3614" s="3" t="s">
        <v>43</v>
      </c>
      <c r="H3614" s="3" t="s">
        <v>253</v>
      </c>
      <c r="I3614" s="2">
        <v>31</v>
      </c>
      <c r="J3614" s="2">
        <v>16</v>
      </c>
      <c r="K3614" s="2">
        <v>1</v>
      </c>
      <c r="L3614" s="2">
        <v>1</v>
      </c>
      <c r="O3614" s="2">
        <v>2</v>
      </c>
      <c r="P3614" s="2">
        <v>4</v>
      </c>
      <c r="R3614" s="2">
        <v>2</v>
      </c>
      <c r="U3614" s="2">
        <v>5</v>
      </c>
      <c r="V3614" s="2">
        <v>13</v>
      </c>
      <c r="W3614" s="2">
        <v>3</v>
      </c>
      <c r="X3614" s="2">
        <v>8</v>
      </c>
      <c r="AA3614" s="3" t="s">
        <v>40</v>
      </c>
      <c r="AB3614" s="2">
        <v>1</v>
      </c>
      <c r="AF3614" s="2">
        <v>22</v>
      </c>
      <c r="AG3614" s="2">
        <v>1</v>
      </c>
      <c r="AH3614" s="3" t="s">
        <v>3480</v>
      </c>
      <c r="AI3614" s="4">
        <v>45434</v>
      </c>
      <c r="AJ3614" s="3" t="s">
        <v>3772</v>
      </c>
      <c r="AK3614" s="3" t="s">
        <v>248</v>
      </c>
    </row>
    <row r="3615" spans="1:37" hidden="1" x14ac:dyDescent="0.25">
      <c r="A3615" t="str">
        <f t="shared" si="56"/>
        <v>2024_WA_Bolgart_Chickpea_DetailedTOS1VarietyCBA_CaptainWaterTrtRainFed</v>
      </c>
      <c r="B3615" s="2">
        <v>2024040</v>
      </c>
      <c r="C3615" s="3" t="s">
        <v>3740</v>
      </c>
      <c r="D3615" s="3" t="s">
        <v>248</v>
      </c>
      <c r="F3615" s="3" t="s">
        <v>249</v>
      </c>
      <c r="G3615" s="3" t="s">
        <v>43</v>
      </c>
      <c r="H3615" s="3" t="s">
        <v>250</v>
      </c>
      <c r="I3615" s="2">
        <v>32</v>
      </c>
      <c r="J3615" s="2">
        <v>16</v>
      </c>
      <c r="K3615" s="2">
        <v>1</v>
      </c>
      <c r="L3615" s="2">
        <v>1</v>
      </c>
      <c r="O3615" s="2">
        <v>2</v>
      </c>
      <c r="P3615" s="2">
        <v>4</v>
      </c>
      <c r="R3615" s="2">
        <v>2</v>
      </c>
      <c r="U3615" s="2">
        <v>6</v>
      </c>
      <c r="V3615" s="2">
        <v>13</v>
      </c>
      <c r="W3615" s="2">
        <v>4</v>
      </c>
      <c r="X3615" s="2">
        <v>8</v>
      </c>
      <c r="Z3615" s="2">
        <v>57</v>
      </c>
      <c r="AA3615" s="3" t="s">
        <v>40</v>
      </c>
      <c r="AB3615" s="2">
        <v>1</v>
      </c>
      <c r="AF3615" s="2">
        <v>22</v>
      </c>
      <c r="AG3615" s="2">
        <v>1</v>
      </c>
      <c r="AH3615" s="3" t="s">
        <v>3480</v>
      </c>
      <c r="AI3615" s="4">
        <v>45434</v>
      </c>
      <c r="AJ3615" s="3" t="s">
        <v>3773</v>
      </c>
      <c r="AK3615" s="3" t="s">
        <v>248</v>
      </c>
    </row>
    <row r="3616" spans="1:37" hidden="1" x14ac:dyDescent="0.25">
      <c r="A3616" t="str">
        <f t="shared" si="56"/>
        <v>2024_WA_Bolgart_Chickpea_DetailedTOS1VarietyStrikerWaterTrtIrrigated</v>
      </c>
      <c r="B3616" s="2">
        <v>2024040</v>
      </c>
      <c r="C3616" s="3" t="s">
        <v>3740</v>
      </c>
      <c r="D3616" s="3" t="s">
        <v>248</v>
      </c>
      <c r="F3616" s="3" t="s">
        <v>4179</v>
      </c>
      <c r="G3616" s="3" t="s">
        <v>43</v>
      </c>
      <c r="H3616" s="3" t="s">
        <v>250</v>
      </c>
      <c r="I3616" s="2">
        <v>33</v>
      </c>
      <c r="J3616" s="2">
        <v>17</v>
      </c>
      <c r="K3616" s="2">
        <v>1</v>
      </c>
      <c r="L3616" s="2">
        <v>2</v>
      </c>
      <c r="O3616" s="2">
        <v>3</v>
      </c>
      <c r="P3616" s="2">
        <v>5</v>
      </c>
      <c r="R3616" s="2">
        <v>1</v>
      </c>
      <c r="U3616" s="2">
        <v>1</v>
      </c>
      <c r="V3616" s="2">
        <v>14</v>
      </c>
      <c r="W3616" s="2">
        <v>1</v>
      </c>
      <c r="X3616" s="2">
        <v>9</v>
      </c>
      <c r="Z3616" s="2">
        <v>9</v>
      </c>
      <c r="AA3616" s="3" t="s">
        <v>57</v>
      </c>
      <c r="AB3616" s="2">
        <v>4</v>
      </c>
      <c r="AF3616" s="2">
        <v>22</v>
      </c>
      <c r="AG3616" s="2">
        <v>1</v>
      </c>
      <c r="AH3616" s="3" t="s">
        <v>3480</v>
      </c>
      <c r="AI3616" s="4">
        <v>45434</v>
      </c>
      <c r="AJ3616" s="3" t="s">
        <v>3774</v>
      </c>
      <c r="AK3616" s="3" t="s">
        <v>248</v>
      </c>
    </row>
    <row r="3617" spans="1:37" hidden="1" x14ac:dyDescent="0.25">
      <c r="A3617" t="str">
        <f t="shared" si="56"/>
        <v>2024_WA_Bolgart_Chickpea_DetailedTOS1VarietyStrikerWaterTrtIrrigated</v>
      </c>
      <c r="B3617" s="2">
        <v>2024040</v>
      </c>
      <c r="C3617" s="3" t="s">
        <v>3740</v>
      </c>
      <c r="D3617" s="3" t="s">
        <v>248</v>
      </c>
      <c r="F3617" s="3" t="s">
        <v>4179</v>
      </c>
      <c r="G3617" s="3" t="s">
        <v>43</v>
      </c>
      <c r="H3617" s="3" t="s">
        <v>253</v>
      </c>
      <c r="I3617" s="2">
        <v>34</v>
      </c>
      <c r="J3617" s="2">
        <v>17</v>
      </c>
      <c r="K3617" s="2">
        <v>1</v>
      </c>
      <c r="L3617" s="2">
        <v>2</v>
      </c>
      <c r="O3617" s="2">
        <v>3</v>
      </c>
      <c r="P3617" s="2">
        <v>5</v>
      </c>
      <c r="R3617" s="2">
        <v>1</v>
      </c>
      <c r="U3617" s="2">
        <v>2</v>
      </c>
      <c r="V3617" s="2">
        <v>14</v>
      </c>
      <c r="W3617" s="2">
        <v>2</v>
      </c>
      <c r="X3617" s="2">
        <v>9</v>
      </c>
      <c r="AA3617" s="3" t="s">
        <v>57</v>
      </c>
      <c r="AB3617" s="2">
        <v>4</v>
      </c>
      <c r="AF3617" s="2">
        <v>22</v>
      </c>
      <c r="AG3617" s="2">
        <v>1</v>
      </c>
      <c r="AH3617" s="3" t="s">
        <v>3480</v>
      </c>
      <c r="AI3617" s="4">
        <v>45434</v>
      </c>
      <c r="AJ3617" s="3" t="s">
        <v>3775</v>
      </c>
      <c r="AK3617" s="3" t="s">
        <v>248</v>
      </c>
    </row>
    <row r="3618" spans="1:37" hidden="1" x14ac:dyDescent="0.25">
      <c r="A3618" t="str">
        <f t="shared" si="56"/>
        <v>2024_WA_Bolgart_Chickpea_DetailedTOS1VarietyHatTrickWaterTrtRainFed</v>
      </c>
      <c r="B3618" s="2">
        <v>2024040</v>
      </c>
      <c r="C3618" s="3" t="s">
        <v>3740</v>
      </c>
      <c r="D3618" s="3" t="s">
        <v>248</v>
      </c>
      <c r="F3618" s="3" t="s">
        <v>4178</v>
      </c>
      <c r="G3618" s="3" t="s">
        <v>39</v>
      </c>
      <c r="H3618" s="3" t="s">
        <v>253</v>
      </c>
      <c r="I3618" s="2">
        <v>35</v>
      </c>
      <c r="J3618" s="2">
        <v>18</v>
      </c>
      <c r="K3618" s="2">
        <v>1</v>
      </c>
      <c r="L3618" s="2">
        <v>2</v>
      </c>
      <c r="O3618" s="2">
        <v>3</v>
      </c>
      <c r="P3618" s="2">
        <v>6</v>
      </c>
      <c r="R3618" s="2">
        <v>2</v>
      </c>
      <c r="U3618" s="2">
        <v>5</v>
      </c>
      <c r="V3618" s="2">
        <v>14</v>
      </c>
      <c r="W3618" s="2">
        <v>3</v>
      </c>
      <c r="X3618" s="2">
        <v>9</v>
      </c>
      <c r="AA3618" s="3" t="s">
        <v>40</v>
      </c>
      <c r="AB3618" s="2">
        <v>3</v>
      </c>
      <c r="AF3618" s="2">
        <v>22</v>
      </c>
      <c r="AG3618" s="2">
        <v>1</v>
      </c>
      <c r="AH3618" s="3" t="s">
        <v>3480</v>
      </c>
      <c r="AI3618" s="4">
        <v>45434</v>
      </c>
      <c r="AJ3618" s="3" t="s">
        <v>3776</v>
      </c>
      <c r="AK3618" s="3" t="s">
        <v>248</v>
      </c>
    </row>
    <row r="3619" spans="1:37" hidden="1" x14ac:dyDescent="0.25">
      <c r="A3619" t="str">
        <f t="shared" si="56"/>
        <v>2024_WA_Bolgart_Chickpea_DetailedTOS1VarietyHatTrickWaterTrtRainFed</v>
      </c>
      <c r="B3619" s="2">
        <v>2024040</v>
      </c>
      <c r="C3619" s="3" t="s">
        <v>3740</v>
      </c>
      <c r="D3619" s="3" t="s">
        <v>248</v>
      </c>
      <c r="F3619" s="3" t="s">
        <v>4178</v>
      </c>
      <c r="G3619" s="3" t="s">
        <v>39</v>
      </c>
      <c r="H3619" s="3" t="s">
        <v>250</v>
      </c>
      <c r="I3619" s="2">
        <v>36</v>
      </c>
      <c r="J3619" s="2">
        <v>18</v>
      </c>
      <c r="K3619" s="2">
        <v>1</v>
      </c>
      <c r="L3619" s="2">
        <v>2</v>
      </c>
      <c r="O3619" s="2">
        <v>3</v>
      </c>
      <c r="P3619" s="2">
        <v>6</v>
      </c>
      <c r="R3619" s="2">
        <v>2</v>
      </c>
      <c r="U3619" s="2">
        <v>6</v>
      </c>
      <c r="V3619" s="2">
        <v>14</v>
      </c>
      <c r="W3619" s="2">
        <v>4</v>
      </c>
      <c r="X3619" s="2">
        <v>9</v>
      </c>
      <c r="Z3619" s="2">
        <v>56</v>
      </c>
      <c r="AA3619" s="3" t="s">
        <v>40</v>
      </c>
      <c r="AB3619" s="2">
        <v>3</v>
      </c>
      <c r="AF3619" s="2">
        <v>22</v>
      </c>
      <c r="AG3619" s="2">
        <v>1</v>
      </c>
      <c r="AH3619" s="3" t="s">
        <v>3480</v>
      </c>
      <c r="AI3619" s="4">
        <v>45434</v>
      </c>
      <c r="AJ3619" s="3" t="s">
        <v>3777</v>
      </c>
      <c r="AK3619" s="3" t="s">
        <v>248</v>
      </c>
    </row>
    <row r="3620" spans="1:37" hidden="1" x14ac:dyDescent="0.25">
      <c r="A3620" t="str">
        <f t="shared" si="56"/>
        <v>2024_WA_Bolgart_Chickpea_DetailedTOS1VarietyHatTrickWaterTrtIrrigated</v>
      </c>
      <c r="B3620" s="2">
        <v>2024040</v>
      </c>
      <c r="C3620" s="3" t="s">
        <v>3740</v>
      </c>
      <c r="D3620" s="3" t="s">
        <v>248</v>
      </c>
      <c r="F3620" s="3" t="s">
        <v>4178</v>
      </c>
      <c r="G3620" s="3" t="s">
        <v>39</v>
      </c>
      <c r="H3620" s="3" t="s">
        <v>250</v>
      </c>
      <c r="I3620" s="2">
        <v>37</v>
      </c>
      <c r="J3620" s="2">
        <v>19</v>
      </c>
      <c r="K3620" s="2">
        <v>1</v>
      </c>
      <c r="L3620" s="2">
        <v>2</v>
      </c>
      <c r="O3620" s="2">
        <v>3</v>
      </c>
      <c r="P3620" s="2">
        <v>5</v>
      </c>
      <c r="R3620" s="2">
        <v>1</v>
      </c>
      <c r="U3620" s="2">
        <v>1</v>
      </c>
      <c r="V3620" s="2">
        <v>15</v>
      </c>
      <c r="W3620" s="2">
        <v>1</v>
      </c>
      <c r="X3620" s="2">
        <v>10</v>
      </c>
      <c r="Z3620" s="2">
        <v>10</v>
      </c>
      <c r="AA3620" s="3" t="s">
        <v>57</v>
      </c>
      <c r="AB3620" s="2">
        <v>3</v>
      </c>
      <c r="AF3620" s="2">
        <v>22</v>
      </c>
      <c r="AG3620" s="2">
        <v>1</v>
      </c>
      <c r="AH3620" s="3" t="s">
        <v>3480</v>
      </c>
      <c r="AI3620" s="4">
        <v>45434</v>
      </c>
      <c r="AJ3620" s="3" t="s">
        <v>3778</v>
      </c>
      <c r="AK3620" s="3" t="s">
        <v>248</v>
      </c>
    </row>
    <row r="3621" spans="1:37" hidden="1" x14ac:dyDescent="0.25">
      <c r="A3621" t="str">
        <f t="shared" si="56"/>
        <v>2024_WA_Bolgart_Chickpea_DetailedTOS1VarietyHatTrickWaterTrtIrrigated</v>
      </c>
      <c r="B3621" s="2">
        <v>2024040</v>
      </c>
      <c r="C3621" s="3" t="s">
        <v>3740</v>
      </c>
      <c r="D3621" s="3" t="s">
        <v>248</v>
      </c>
      <c r="F3621" s="3" t="s">
        <v>4178</v>
      </c>
      <c r="G3621" s="3" t="s">
        <v>39</v>
      </c>
      <c r="H3621" s="3" t="s">
        <v>253</v>
      </c>
      <c r="I3621" s="2">
        <v>38</v>
      </c>
      <c r="J3621" s="2">
        <v>19</v>
      </c>
      <c r="K3621" s="2">
        <v>1</v>
      </c>
      <c r="L3621" s="2">
        <v>2</v>
      </c>
      <c r="O3621" s="2">
        <v>3</v>
      </c>
      <c r="P3621" s="2">
        <v>5</v>
      </c>
      <c r="R3621" s="2">
        <v>1</v>
      </c>
      <c r="U3621" s="2">
        <v>2</v>
      </c>
      <c r="V3621" s="2">
        <v>15</v>
      </c>
      <c r="W3621" s="2">
        <v>2</v>
      </c>
      <c r="X3621" s="2">
        <v>10</v>
      </c>
      <c r="AA3621" s="3" t="s">
        <v>57</v>
      </c>
      <c r="AB3621" s="2">
        <v>3</v>
      </c>
      <c r="AF3621" s="2">
        <v>22</v>
      </c>
      <c r="AG3621" s="2">
        <v>1</v>
      </c>
      <c r="AH3621" s="3" t="s">
        <v>3480</v>
      </c>
      <c r="AI3621" s="4">
        <v>45434</v>
      </c>
      <c r="AJ3621" s="3" t="s">
        <v>3779</v>
      </c>
      <c r="AK3621" s="3" t="s">
        <v>248</v>
      </c>
    </row>
    <row r="3622" spans="1:37" hidden="1" x14ac:dyDescent="0.25">
      <c r="A3622" t="str">
        <f t="shared" si="56"/>
        <v>2024_WA_Bolgart_Chickpea_DetailedTOS1VarietyCBA_CaptainWaterTrtRainFed</v>
      </c>
      <c r="B3622" s="2">
        <v>2024040</v>
      </c>
      <c r="C3622" s="3" t="s">
        <v>3740</v>
      </c>
      <c r="D3622" s="3" t="s">
        <v>248</v>
      </c>
      <c r="F3622" s="3" t="s">
        <v>249</v>
      </c>
      <c r="G3622" s="3" t="s">
        <v>43</v>
      </c>
      <c r="H3622" s="3" t="s">
        <v>253</v>
      </c>
      <c r="I3622" s="2">
        <v>39</v>
      </c>
      <c r="J3622" s="2">
        <v>20</v>
      </c>
      <c r="K3622" s="2">
        <v>1</v>
      </c>
      <c r="L3622" s="2">
        <v>2</v>
      </c>
      <c r="O3622" s="2">
        <v>3</v>
      </c>
      <c r="P3622" s="2">
        <v>6</v>
      </c>
      <c r="R3622" s="2">
        <v>2</v>
      </c>
      <c r="U3622" s="2">
        <v>5</v>
      </c>
      <c r="V3622" s="2">
        <v>15</v>
      </c>
      <c r="W3622" s="2">
        <v>3</v>
      </c>
      <c r="X3622" s="2">
        <v>10</v>
      </c>
      <c r="AA3622" s="3" t="s">
        <v>40</v>
      </c>
      <c r="AB3622" s="2">
        <v>1</v>
      </c>
      <c r="AF3622" s="2">
        <v>22</v>
      </c>
      <c r="AG3622" s="2">
        <v>1</v>
      </c>
      <c r="AH3622" s="3" t="s">
        <v>3480</v>
      </c>
      <c r="AI3622" s="4">
        <v>45434</v>
      </c>
      <c r="AJ3622" s="3" t="s">
        <v>3780</v>
      </c>
      <c r="AK3622" s="3" t="s">
        <v>248</v>
      </c>
    </row>
    <row r="3623" spans="1:37" hidden="1" x14ac:dyDescent="0.25">
      <c r="A3623" t="str">
        <f t="shared" si="56"/>
        <v>2024_WA_Bolgart_Chickpea_DetailedTOS1VarietyCBA_CaptainWaterTrtRainFed</v>
      </c>
      <c r="B3623" s="2">
        <v>2024040</v>
      </c>
      <c r="C3623" s="3" t="s">
        <v>3740</v>
      </c>
      <c r="D3623" s="3" t="s">
        <v>248</v>
      </c>
      <c r="F3623" s="3" t="s">
        <v>249</v>
      </c>
      <c r="G3623" s="3" t="s">
        <v>43</v>
      </c>
      <c r="H3623" s="3" t="s">
        <v>250</v>
      </c>
      <c r="I3623" s="2">
        <v>40</v>
      </c>
      <c r="J3623" s="2">
        <v>20</v>
      </c>
      <c r="K3623" s="2">
        <v>1</v>
      </c>
      <c r="L3623" s="2">
        <v>2</v>
      </c>
      <c r="O3623" s="2">
        <v>3</v>
      </c>
      <c r="P3623" s="2">
        <v>6</v>
      </c>
      <c r="R3623" s="2">
        <v>2</v>
      </c>
      <c r="U3623" s="2">
        <v>6</v>
      </c>
      <c r="V3623" s="2">
        <v>15</v>
      </c>
      <c r="W3623" s="2">
        <v>4</v>
      </c>
      <c r="X3623" s="2">
        <v>10</v>
      </c>
      <c r="Z3623" s="2">
        <v>55</v>
      </c>
      <c r="AA3623" s="3" t="s">
        <v>40</v>
      </c>
      <c r="AB3623" s="2">
        <v>1</v>
      </c>
      <c r="AF3623" s="2">
        <v>22</v>
      </c>
      <c r="AG3623" s="2">
        <v>1</v>
      </c>
      <c r="AH3623" s="3" t="s">
        <v>3480</v>
      </c>
      <c r="AI3623" s="4">
        <v>45434</v>
      </c>
      <c r="AJ3623" s="3" t="s">
        <v>3781</v>
      </c>
      <c r="AK3623" s="3" t="s">
        <v>248</v>
      </c>
    </row>
    <row r="3624" spans="1:37" hidden="1" x14ac:dyDescent="0.25">
      <c r="A3624" t="str">
        <f t="shared" si="56"/>
        <v>2024_WA_Bolgart_Chickpea_DetailedTOS1VarietyDrummondWaterTrtIrrigated</v>
      </c>
      <c r="B3624" s="2">
        <v>2024040</v>
      </c>
      <c r="C3624" s="3" t="s">
        <v>3740</v>
      </c>
      <c r="D3624" s="3" t="s">
        <v>248</v>
      </c>
      <c r="F3624" s="3" t="s">
        <v>4182</v>
      </c>
      <c r="G3624" s="3" t="s">
        <v>39</v>
      </c>
      <c r="H3624" s="3" t="s">
        <v>250</v>
      </c>
      <c r="I3624" s="2">
        <v>41</v>
      </c>
      <c r="J3624" s="2">
        <v>21</v>
      </c>
      <c r="K3624" s="2">
        <v>1</v>
      </c>
      <c r="L3624" s="2">
        <v>2</v>
      </c>
      <c r="O3624" s="2">
        <v>3</v>
      </c>
      <c r="P3624" s="2">
        <v>5</v>
      </c>
      <c r="R3624" s="2">
        <v>1</v>
      </c>
      <c r="U3624" s="2">
        <v>1</v>
      </c>
      <c r="V3624" s="2">
        <v>16</v>
      </c>
      <c r="W3624" s="2">
        <v>1</v>
      </c>
      <c r="X3624" s="2">
        <v>11</v>
      </c>
      <c r="Z3624" s="2">
        <v>11</v>
      </c>
      <c r="AA3624" s="3" t="s">
        <v>57</v>
      </c>
      <c r="AB3624" s="2">
        <v>2</v>
      </c>
      <c r="AF3624" s="2">
        <v>22</v>
      </c>
      <c r="AG3624" s="2">
        <v>1</v>
      </c>
      <c r="AH3624" s="3" t="s">
        <v>3480</v>
      </c>
      <c r="AI3624" s="4">
        <v>45434</v>
      </c>
      <c r="AJ3624" s="3" t="s">
        <v>3782</v>
      </c>
      <c r="AK3624" s="3" t="s">
        <v>248</v>
      </c>
    </row>
    <row r="3625" spans="1:37" hidden="1" x14ac:dyDescent="0.25">
      <c r="A3625" t="str">
        <f t="shared" si="56"/>
        <v>2024_WA_Bolgart_Chickpea_DetailedTOS1VarietyDrummondWaterTrtIrrigated</v>
      </c>
      <c r="B3625" s="2">
        <v>2024040</v>
      </c>
      <c r="C3625" s="3" t="s">
        <v>3740</v>
      </c>
      <c r="D3625" s="3" t="s">
        <v>248</v>
      </c>
      <c r="F3625" s="3" t="s">
        <v>4182</v>
      </c>
      <c r="G3625" s="3" t="s">
        <v>39</v>
      </c>
      <c r="H3625" s="3" t="s">
        <v>253</v>
      </c>
      <c r="I3625" s="2">
        <v>42</v>
      </c>
      <c r="J3625" s="2">
        <v>21</v>
      </c>
      <c r="K3625" s="2">
        <v>1</v>
      </c>
      <c r="L3625" s="2">
        <v>2</v>
      </c>
      <c r="O3625" s="2">
        <v>3</v>
      </c>
      <c r="P3625" s="2">
        <v>5</v>
      </c>
      <c r="R3625" s="2">
        <v>1</v>
      </c>
      <c r="U3625" s="2">
        <v>2</v>
      </c>
      <c r="V3625" s="2">
        <v>16</v>
      </c>
      <c r="W3625" s="2">
        <v>2</v>
      </c>
      <c r="X3625" s="2">
        <v>11</v>
      </c>
      <c r="AA3625" s="3" t="s">
        <v>57</v>
      </c>
      <c r="AB3625" s="2">
        <v>2</v>
      </c>
      <c r="AF3625" s="2">
        <v>22</v>
      </c>
      <c r="AG3625" s="2">
        <v>1</v>
      </c>
      <c r="AH3625" s="3" t="s">
        <v>3480</v>
      </c>
      <c r="AI3625" s="4">
        <v>45434</v>
      </c>
      <c r="AJ3625" s="3" t="s">
        <v>3783</v>
      </c>
      <c r="AK3625" s="3" t="s">
        <v>248</v>
      </c>
    </row>
    <row r="3626" spans="1:37" hidden="1" x14ac:dyDescent="0.25">
      <c r="A3626" t="str">
        <f t="shared" si="56"/>
        <v>2024_WA_Bolgart_Chickpea_DetailedTOS1VarietyStrikerWaterTrtRainFed</v>
      </c>
      <c r="B3626" s="2">
        <v>2024040</v>
      </c>
      <c r="C3626" s="3" t="s">
        <v>3740</v>
      </c>
      <c r="D3626" s="3" t="s">
        <v>248</v>
      </c>
      <c r="F3626" s="3" t="s">
        <v>4179</v>
      </c>
      <c r="G3626" s="3" t="s">
        <v>43</v>
      </c>
      <c r="H3626" s="3" t="s">
        <v>253</v>
      </c>
      <c r="I3626" s="2">
        <v>43</v>
      </c>
      <c r="J3626" s="2">
        <v>22</v>
      </c>
      <c r="K3626" s="2">
        <v>1</v>
      </c>
      <c r="L3626" s="2">
        <v>2</v>
      </c>
      <c r="O3626" s="2">
        <v>3</v>
      </c>
      <c r="P3626" s="2">
        <v>6</v>
      </c>
      <c r="R3626" s="2">
        <v>2</v>
      </c>
      <c r="U3626" s="2">
        <v>5</v>
      </c>
      <c r="V3626" s="2">
        <v>16</v>
      </c>
      <c r="W3626" s="2">
        <v>3</v>
      </c>
      <c r="X3626" s="2">
        <v>11</v>
      </c>
      <c r="AA3626" s="3" t="s">
        <v>40</v>
      </c>
      <c r="AB3626" s="2">
        <v>4</v>
      </c>
      <c r="AF3626" s="2">
        <v>22</v>
      </c>
      <c r="AG3626" s="2">
        <v>1</v>
      </c>
      <c r="AH3626" s="3" t="s">
        <v>3480</v>
      </c>
      <c r="AI3626" s="4">
        <v>45434</v>
      </c>
      <c r="AJ3626" s="3" t="s">
        <v>3784</v>
      </c>
      <c r="AK3626" s="3" t="s">
        <v>248</v>
      </c>
    </row>
    <row r="3627" spans="1:37" hidden="1" x14ac:dyDescent="0.25">
      <c r="A3627" t="str">
        <f t="shared" si="56"/>
        <v>2024_WA_Bolgart_Chickpea_DetailedTOS1VarietyStrikerWaterTrtRainFed</v>
      </c>
      <c r="B3627" s="2">
        <v>2024040</v>
      </c>
      <c r="C3627" s="3" t="s">
        <v>3740</v>
      </c>
      <c r="D3627" s="3" t="s">
        <v>248</v>
      </c>
      <c r="F3627" s="3" t="s">
        <v>4179</v>
      </c>
      <c r="G3627" s="3" t="s">
        <v>43</v>
      </c>
      <c r="H3627" s="3" t="s">
        <v>250</v>
      </c>
      <c r="I3627" s="2">
        <v>44</v>
      </c>
      <c r="J3627" s="2">
        <v>22</v>
      </c>
      <c r="K3627" s="2">
        <v>1</v>
      </c>
      <c r="L3627" s="2">
        <v>2</v>
      </c>
      <c r="O3627" s="2">
        <v>3</v>
      </c>
      <c r="P3627" s="2">
        <v>6</v>
      </c>
      <c r="R3627" s="2">
        <v>2</v>
      </c>
      <c r="U3627" s="2">
        <v>6</v>
      </c>
      <c r="V3627" s="2">
        <v>16</v>
      </c>
      <c r="W3627" s="2">
        <v>4</v>
      </c>
      <c r="X3627" s="2">
        <v>11</v>
      </c>
      <c r="Z3627" s="2">
        <v>54</v>
      </c>
      <c r="AA3627" s="3" t="s">
        <v>40</v>
      </c>
      <c r="AB3627" s="2">
        <v>4</v>
      </c>
      <c r="AF3627" s="2">
        <v>22</v>
      </c>
      <c r="AG3627" s="2">
        <v>1</v>
      </c>
      <c r="AH3627" s="3" t="s">
        <v>3480</v>
      </c>
      <c r="AI3627" s="4">
        <v>45434</v>
      </c>
      <c r="AJ3627" s="3" t="s">
        <v>3785</v>
      </c>
      <c r="AK3627" s="3" t="s">
        <v>248</v>
      </c>
    </row>
    <row r="3628" spans="1:37" hidden="1" x14ac:dyDescent="0.25">
      <c r="A3628" t="str">
        <f t="shared" si="56"/>
        <v>2024_WA_Bolgart_Chickpea_DetailedTOS1VarietyCBA_CaptainWaterTrtIrrigated</v>
      </c>
      <c r="B3628" s="2">
        <v>2024040</v>
      </c>
      <c r="C3628" s="3" t="s">
        <v>3740</v>
      </c>
      <c r="D3628" s="3" t="s">
        <v>248</v>
      </c>
      <c r="F3628" s="3" t="s">
        <v>249</v>
      </c>
      <c r="G3628" s="3" t="s">
        <v>43</v>
      </c>
      <c r="H3628" s="3" t="s">
        <v>250</v>
      </c>
      <c r="I3628" s="2">
        <v>45</v>
      </c>
      <c r="J3628" s="2">
        <v>23</v>
      </c>
      <c r="K3628" s="2">
        <v>1</v>
      </c>
      <c r="L3628" s="2">
        <v>2</v>
      </c>
      <c r="O3628" s="2">
        <v>3</v>
      </c>
      <c r="P3628" s="2">
        <v>5</v>
      </c>
      <c r="R3628" s="2">
        <v>1</v>
      </c>
      <c r="U3628" s="2">
        <v>1</v>
      </c>
      <c r="V3628" s="2">
        <v>17</v>
      </c>
      <c r="W3628" s="2">
        <v>1</v>
      </c>
      <c r="X3628" s="2">
        <v>12</v>
      </c>
      <c r="Z3628" s="2">
        <v>12</v>
      </c>
      <c r="AA3628" s="3" t="s">
        <v>57</v>
      </c>
      <c r="AB3628" s="2">
        <v>1</v>
      </c>
      <c r="AF3628" s="2">
        <v>22</v>
      </c>
      <c r="AG3628" s="2">
        <v>1</v>
      </c>
      <c r="AH3628" s="3" t="s">
        <v>3480</v>
      </c>
      <c r="AI3628" s="4">
        <v>45434</v>
      </c>
      <c r="AJ3628" s="3" t="s">
        <v>3786</v>
      </c>
      <c r="AK3628" s="3" t="s">
        <v>248</v>
      </c>
    </row>
    <row r="3629" spans="1:37" hidden="1" x14ac:dyDescent="0.25">
      <c r="A3629" t="str">
        <f t="shared" si="56"/>
        <v>2024_WA_Bolgart_Chickpea_DetailedTOS1VarietyCBA_CaptainWaterTrtIrrigated</v>
      </c>
      <c r="B3629" s="2">
        <v>2024040</v>
      </c>
      <c r="C3629" s="3" t="s">
        <v>3740</v>
      </c>
      <c r="D3629" s="3" t="s">
        <v>248</v>
      </c>
      <c r="F3629" s="3" t="s">
        <v>249</v>
      </c>
      <c r="G3629" s="3" t="s">
        <v>43</v>
      </c>
      <c r="H3629" s="3" t="s">
        <v>253</v>
      </c>
      <c r="I3629" s="2">
        <v>46</v>
      </c>
      <c r="J3629" s="2">
        <v>23</v>
      </c>
      <c r="K3629" s="2">
        <v>1</v>
      </c>
      <c r="L3629" s="2">
        <v>2</v>
      </c>
      <c r="O3629" s="2">
        <v>3</v>
      </c>
      <c r="P3629" s="2">
        <v>5</v>
      </c>
      <c r="R3629" s="2">
        <v>1</v>
      </c>
      <c r="U3629" s="2">
        <v>2</v>
      </c>
      <c r="V3629" s="2">
        <v>17</v>
      </c>
      <c r="W3629" s="2">
        <v>2</v>
      </c>
      <c r="X3629" s="2">
        <v>12</v>
      </c>
      <c r="AA3629" s="3" t="s">
        <v>57</v>
      </c>
      <c r="AB3629" s="2">
        <v>1</v>
      </c>
      <c r="AF3629" s="2">
        <v>22</v>
      </c>
      <c r="AG3629" s="2">
        <v>1</v>
      </c>
      <c r="AH3629" s="3" t="s">
        <v>3480</v>
      </c>
      <c r="AI3629" s="4">
        <v>45434</v>
      </c>
      <c r="AJ3629" s="3" t="s">
        <v>3787</v>
      </c>
      <c r="AK3629" s="3" t="s">
        <v>248</v>
      </c>
    </row>
    <row r="3630" spans="1:37" hidden="1" x14ac:dyDescent="0.25">
      <c r="A3630" t="str">
        <f t="shared" si="56"/>
        <v>2024_WA_Bolgart_Chickpea_DetailedTOS1VarietyDrummondWaterTrtRainFed</v>
      </c>
      <c r="B3630" s="2">
        <v>2024040</v>
      </c>
      <c r="C3630" s="3" t="s">
        <v>3740</v>
      </c>
      <c r="D3630" s="3" t="s">
        <v>248</v>
      </c>
      <c r="F3630" s="3" t="s">
        <v>4182</v>
      </c>
      <c r="G3630" s="3" t="s">
        <v>39</v>
      </c>
      <c r="H3630" s="3" t="s">
        <v>253</v>
      </c>
      <c r="I3630" s="2">
        <v>47</v>
      </c>
      <c r="J3630" s="2">
        <v>24</v>
      </c>
      <c r="K3630" s="2">
        <v>1</v>
      </c>
      <c r="L3630" s="2">
        <v>2</v>
      </c>
      <c r="O3630" s="2">
        <v>3</v>
      </c>
      <c r="P3630" s="2">
        <v>6</v>
      </c>
      <c r="R3630" s="2">
        <v>2</v>
      </c>
      <c r="U3630" s="2">
        <v>5</v>
      </c>
      <c r="V3630" s="2">
        <v>17</v>
      </c>
      <c r="W3630" s="2">
        <v>3</v>
      </c>
      <c r="X3630" s="2">
        <v>12</v>
      </c>
      <c r="AA3630" s="3" t="s">
        <v>40</v>
      </c>
      <c r="AB3630" s="2">
        <v>2</v>
      </c>
      <c r="AF3630" s="2">
        <v>22</v>
      </c>
      <c r="AG3630" s="2">
        <v>1</v>
      </c>
      <c r="AH3630" s="3" t="s">
        <v>3480</v>
      </c>
      <c r="AI3630" s="4">
        <v>45434</v>
      </c>
      <c r="AJ3630" s="3" t="s">
        <v>3788</v>
      </c>
      <c r="AK3630" s="3" t="s">
        <v>248</v>
      </c>
    </row>
    <row r="3631" spans="1:37" hidden="1" x14ac:dyDescent="0.25">
      <c r="A3631" t="str">
        <f t="shared" si="56"/>
        <v>2024_WA_Bolgart_Chickpea_DetailedTOS1VarietyDrummondWaterTrtRainFed</v>
      </c>
      <c r="B3631" s="2">
        <v>2024040</v>
      </c>
      <c r="C3631" s="3" t="s">
        <v>3740</v>
      </c>
      <c r="D3631" s="3" t="s">
        <v>248</v>
      </c>
      <c r="F3631" s="3" t="s">
        <v>4182</v>
      </c>
      <c r="G3631" s="3" t="s">
        <v>39</v>
      </c>
      <c r="H3631" s="3" t="s">
        <v>250</v>
      </c>
      <c r="I3631" s="2">
        <v>48</v>
      </c>
      <c r="J3631" s="2">
        <v>24</v>
      </c>
      <c r="K3631" s="2">
        <v>1</v>
      </c>
      <c r="L3631" s="2">
        <v>2</v>
      </c>
      <c r="O3631" s="2">
        <v>3</v>
      </c>
      <c r="P3631" s="2">
        <v>6</v>
      </c>
      <c r="R3631" s="2">
        <v>2</v>
      </c>
      <c r="U3631" s="2">
        <v>6</v>
      </c>
      <c r="V3631" s="2">
        <v>17</v>
      </c>
      <c r="W3631" s="2">
        <v>4</v>
      </c>
      <c r="X3631" s="2">
        <v>12</v>
      </c>
      <c r="Z3631" s="2">
        <v>53</v>
      </c>
      <c r="AA3631" s="3" t="s">
        <v>40</v>
      </c>
      <c r="AB3631" s="2">
        <v>2</v>
      </c>
      <c r="AF3631" s="2">
        <v>22</v>
      </c>
      <c r="AG3631" s="2">
        <v>1</v>
      </c>
      <c r="AH3631" s="3" t="s">
        <v>3480</v>
      </c>
      <c r="AI3631" s="4">
        <v>45434</v>
      </c>
      <c r="AJ3631" s="3" t="s">
        <v>3789</v>
      </c>
      <c r="AK3631" s="3" t="s">
        <v>248</v>
      </c>
    </row>
    <row r="3632" spans="1:37" hidden="1" x14ac:dyDescent="0.25">
      <c r="A3632" t="str">
        <f t="shared" si="56"/>
        <v>2024_WA_Bolgart_Chickpea_DetailedTOS2VarietyStrikerWaterTrtIrrigated</v>
      </c>
      <c r="B3632" s="2">
        <v>2024040</v>
      </c>
      <c r="C3632" s="3" t="s">
        <v>3740</v>
      </c>
      <c r="D3632" s="3" t="s">
        <v>248</v>
      </c>
      <c r="F3632" s="3" t="s">
        <v>4179</v>
      </c>
      <c r="G3632" s="3" t="s">
        <v>43</v>
      </c>
      <c r="H3632" s="3" t="s">
        <v>250</v>
      </c>
      <c r="I3632" s="2">
        <v>49</v>
      </c>
      <c r="J3632" s="2">
        <v>25</v>
      </c>
      <c r="K3632" s="2">
        <v>1</v>
      </c>
      <c r="L3632" s="2">
        <v>2</v>
      </c>
      <c r="O3632" s="2">
        <v>4</v>
      </c>
      <c r="P3632" s="2">
        <v>7</v>
      </c>
      <c r="R3632" s="2">
        <v>1</v>
      </c>
      <c r="U3632" s="2">
        <v>1</v>
      </c>
      <c r="V3632" s="2">
        <v>22</v>
      </c>
      <c r="W3632" s="2">
        <v>1</v>
      </c>
      <c r="X3632" s="2">
        <v>13</v>
      </c>
      <c r="Z3632" s="2">
        <v>13</v>
      </c>
      <c r="AA3632" s="3" t="s">
        <v>57</v>
      </c>
      <c r="AB3632" s="2">
        <v>4</v>
      </c>
      <c r="AF3632" s="2">
        <v>22</v>
      </c>
      <c r="AG3632" s="2">
        <v>2</v>
      </c>
      <c r="AH3632" s="3" t="s">
        <v>3741</v>
      </c>
      <c r="AI3632" s="4">
        <v>45463</v>
      </c>
      <c r="AJ3632" s="3" t="s">
        <v>3790</v>
      </c>
      <c r="AK3632" s="3" t="s">
        <v>248</v>
      </c>
    </row>
    <row r="3633" spans="1:37" hidden="1" x14ac:dyDescent="0.25">
      <c r="A3633" t="str">
        <f t="shared" si="56"/>
        <v>2024_WA_Bolgart_Chickpea_DetailedTOS2VarietyStrikerWaterTrtIrrigated</v>
      </c>
      <c r="B3633" s="2">
        <v>2024040</v>
      </c>
      <c r="C3633" s="3" t="s">
        <v>3740</v>
      </c>
      <c r="D3633" s="3" t="s">
        <v>248</v>
      </c>
      <c r="F3633" s="3" t="s">
        <v>4179</v>
      </c>
      <c r="G3633" s="3" t="s">
        <v>43</v>
      </c>
      <c r="H3633" s="3" t="s">
        <v>253</v>
      </c>
      <c r="I3633" s="2">
        <v>50</v>
      </c>
      <c r="J3633" s="2">
        <v>25</v>
      </c>
      <c r="K3633" s="2">
        <v>1</v>
      </c>
      <c r="L3633" s="2">
        <v>2</v>
      </c>
      <c r="O3633" s="2">
        <v>4</v>
      </c>
      <c r="P3633" s="2">
        <v>7</v>
      </c>
      <c r="R3633" s="2">
        <v>1</v>
      </c>
      <c r="U3633" s="2">
        <v>2</v>
      </c>
      <c r="V3633" s="2">
        <v>22</v>
      </c>
      <c r="W3633" s="2">
        <v>2</v>
      </c>
      <c r="X3633" s="2">
        <v>13</v>
      </c>
      <c r="AA3633" s="3" t="s">
        <v>57</v>
      </c>
      <c r="AB3633" s="2">
        <v>4</v>
      </c>
      <c r="AF3633" s="2">
        <v>22</v>
      </c>
      <c r="AG3633" s="2">
        <v>2</v>
      </c>
      <c r="AH3633" s="3" t="s">
        <v>3741</v>
      </c>
      <c r="AI3633" s="4">
        <v>45463</v>
      </c>
      <c r="AJ3633" s="3" t="s">
        <v>3791</v>
      </c>
      <c r="AK3633" s="3" t="s">
        <v>248</v>
      </c>
    </row>
    <row r="3634" spans="1:37" hidden="1" x14ac:dyDescent="0.25">
      <c r="A3634" t="str">
        <f t="shared" si="56"/>
        <v>2024_WA_Bolgart_Chickpea_DetailedTOS2VarietyHatTrickWaterTrtRainFed</v>
      </c>
      <c r="B3634" s="2">
        <v>2024040</v>
      </c>
      <c r="C3634" s="3" t="s">
        <v>3740</v>
      </c>
      <c r="D3634" s="3" t="s">
        <v>248</v>
      </c>
      <c r="F3634" s="3" t="s">
        <v>4178</v>
      </c>
      <c r="G3634" s="3" t="s">
        <v>39</v>
      </c>
      <c r="H3634" s="3" t="s">
        <v>253</v>
      </c>
      <c r="I3634" s="2">
        <v>51</v>
      </c>
      <c r="J3634" s="2">
        <v>26</v>
      </c>
      <c r="K3634" s="2">
        <v>1</v>
      </c>
      <c r="L3634" s="2">
        <v>2</v>
      </c>
      <c r="O3634" s="2">
        <v>4</v>
      </c>
      <c r="P3634" s="2">
        <v>8</v>
      </c>
      <c r="R3634" s="2">
        <v>2</v>
      </c>
      <c r="U3634" s="2">
        <v>5</v>
      </c>
      <c r="V3634" s="2">
        <v>22</v>
      </c>
      <c r="W3634" s="2">
        <v>3</v>
      </c>
      <c r="X3634" s="2">
        <v>13</v>
      </c>
      <c r="AA3634" s="3" t="s">
        <v>40</v>
      </c>
      <c r="AB3634" s="2">
        <v>3</v>
      </c>
      <c r="AF3634" s="2">
        <v>22</v>
      </c>
      <c r="AG3634" s="2">
        <v>2</v>
      </c>
      <c r="AH3634" s="3" t="s">
        <v>3741</v>
      </c>
      <c r="AI3634" s="4">
        <v>45463</v>
      </c>
      <c r="AJ3634" s="3" t="s">
        <v>3792</v>
      </c>
      <c r="AK3634" s="3" t="s">
        <v>248</v>
      </c>
    </row>
    <row r="3635" spans="1:37" hidden="1" x14ac:dyDescent="0.25">
      <c r="A3635" t="str">
        <f t="shared" si="56"/>
        <v>2024_WA_Bolgart_Chickpea_DetailedTOS2VarietyHatTrickWaterTrtRainFed</v>
      </c>
      <c r="B3635" s="2">
        <v>2024040</v>
      </c>
      <c r="C3635" s="3" t="s">
        <v>3740</v>
      </c>
      <c r="D3635" s="3" t="s">
        <v>248</v>
      </c>
      <c r="F3635" s="3" t="s">
        <v>4178</v>
      </c>
      <c r="G3635" s="3" t="s">
        <v>39</v>
      </c>
      <c r="H3635" s="3" t="s">
        <v>250</v>
      </c>
      <c r="I3635" s="2">
        <v>52</v>
      </c>
      <c r="J3635" s="2">
        <v>26</v>
      </c>
      <c r="K3635" s="2">
        <v>1</v>
      </c>
      <c r="L3635" s="2">
        <v>2</v>
      </c>
      <c r="O3635" s="2">
        <v>4</v>
      </c>
      <c r="P3635" s="2">
        <v>8</v>
      </c>
      <c r="R3635" s="2">
        <v>2</v>
      </c>
      <c r="U3635" s="2">
        <v>6</v>
      </c>
      <c r="V3635" s="2">
        <v>22</v>
      </c>
      <c r="W3635" s="2">
        <v>4</v>
      </c>
      <c r="X3635" s="2">
        <v>13</v>
      </c>
      <c r="Z3635" s="2">
        <v>52</v>
      </c>
      <c r="AA3635" s="3" t="s">
        <v>40</v>
      </c>
      <c r="AB3635" s="2">
        <v>3</v>
      </c>
      <c r="AF3635" s="2">
        <v>22</v>
      </c>
      <c r="AG3635" s="2">
        <v>2</v>
      </c>
      <c r="AH3635" s="3" t="s">
        <v>3741</v>
      </c>
      <c r="AI3635" s="4">
        <v>45463</v>
      </c>
      <c r="AJ3635" s="3" t="s">
        <v>3793</v>
      </c>
      <c r="AK3635" s="3" t="s">
        <v>248</v>
      </c>
    </row>
    <row r="3636" spans="1:37" hidden="1" x14ac:dyDescent="0.25">
      <c r="A3636" t="str">
        <f t="shared" si="56"/>
        <v>2024_WA_Bolgart_Chickpea_DetailedTOS2VarietyDrummondWaterTrtIrrigated</v>
      </c>
      <c r="B3636" s="2">
        <v>2024040</v>
      </c>
      <c r="C3636" s="3" t="s">
        <v>3740</v>
      </c>
      <c r="D3636" s="3" t="s">
        <v>248</v>
      </c>
      <c r="F3636" s="3" t="s">
        <v>4182</v>
      </c>
      <c r="G3636" s="3" t="s">
        <v>39</v>
      </c>
      <c r="H3636" s="3" t="s">
        <v>250</v>
      </c>
      <c r="I3636" s="2">
        <v>53</v>
      </c>
      <c r="J3636" s="2">
        <v>27</v>
      </c>
      <c r="K3636" s="2">
        <v>1</v>
      </c>
      <c r="L3636" s="2">
        <v>2</v>
      </c>
      <c r="O3636" s="2">
        <v>4</v>
      </c>
      <c r="P3636" s="2">
        <v>7</v>
      </c>
      <c r="R3636" s="2">
        <v>1</v>
      </c>
      <c r="U3636" s="2">
        <v>1</v>
      </c>
      <c r="V3636" s="2">
        <v>23</v>
      </c>
      <c r="W3636" s="2">
        <v>1</v>
      </c>
      <c r="X3636" s="2">
        <v>14</v>
      </c>
      <c r="Z3636" s="2">
        <v>14</v>
      </c>
      <c r="AA3636" s="3" t="s">
        <v>57</v>
      </c>
      <c r="AB3636" s="2">
        <v>2</v>
      </c>
      <c r="AF3636" s="2">
        <v>22</v>
      </c>
      <c r="AG3636" s="2">
        <v>2</v>
      </c>
      <c r="AH3636" s="3" t="s">
        <v>3741</v>
      </c>
      <c r="AI3636" s="4">
        <v>45463</v>
      </c>
      <c r="AJ3636" s="3" t="s">
        <v>3794</v>
      </c>
      <c r="AK3636" s="3" t="s">
        <v>248</v>
      </c>
    </row>
    <row r="3637" spans="1:37" hidden="1" x14ac:dyDescent="0.25">
      <c r="A3637" t="str">
        <f t="shared" si="56"/>
        <v>2024_WA_Bolgart_Chickpea_DetailedTOS2VarietyDrummondWaterTrtIrrigated</v>
      </c>
      <c r="B3637" s="2">
        <v>2024040</v>
      </c>
      <c r="C3637" s="3" t="s">
        <v>3740</v>
      </c>
      <c r="D3637" s="3" t="s">
        <v>248</v>
      </c>
      <c r="F3637" s="3" t="s">
        <v>4182</v>
      </c>
      <c r="G3637" s="3" t="s">
        <v>39</v>
      </c>
      <c r="H3637" s="3" t="s">
        <v>253</v>
      </c>
      <c r="I3637" s="2">
        <v>54</v>
      </c>
      <c r="J3637" s="2">
        <v>27</v>
      </c>
      <c r="K3637" s="2">
        <v>1</v>
      </c>
      <c r="L3637" s="2">
        <v>2</v>
      </c>
      <c r="O3637" s="2">
        <v>4</v>
      </c>
      <c r="P3637" s="2">
        <v>7</v>
      </c>
      <c r="R3637" s="2">
        <v>1</v>
      </c>
      <c r="U3637" s="2">
        <v>2</v>
      </c>
      <c r="V3637" s="2">
        <v>23</v>
      </c>
      <c r="W3637" s="2">
        <v>2</v>
      </c>
      <c r="X3637" s="2">
        <v>14</v>
      </c>
      <c r="AA3637" s="3" t="s">
        <v>57</v>
      </c>
      <c r="AB3637" s="2">
        <v>2</v>
      </c>
      <c r="AF3637" s="2">
        <v>22</v>
      </c>
      <c r="AG3637" s="2">
        <v>2</v>
      </c>
      <c r="AH3637" s="3" t="s">
        <v>3741</v>
      </c>
      <c r="AI3637" s="4">
        <v>45463</v>
      </c>
      <c r="AJ3637" s="3" t="s">
        <v>3795</v>
      </c>
      <c r="AK3637" s="3" t="s">
        <v>248</v>
      </c>
    </row>
    <row r="3638" spans="1:37" hidden="1" x14ac:dyDescent="0.25">
      <c r="A3638" t="str">
        <f t="shared" si="56"/>
        <v>2024_WA_Bolgart_Chickpea_DetailedTOS2VarietyCBA_CaptainWaterTrtRainFed</v>
      </c>
      <c r="B3638" s="2">
        <v>2024040</v>
      </c>
      <c r="C3638" s="3" t="s">
        <v>3740</v>
      </c>
      <c r="D3638" s="3" t="s">
        <v>248</v>
      </c>
      <c r="F3638" s="3" t="s">
        <v>249</v>
      </c>
      <c r="G3638" s="3" t="s">
        <v>43</v>
      </c>
      <c r="H3638" s="3" t="s">
        <v>253</v>
      </c>
      <c r="I3638" s="2">
        <v>55</v>
      </c>
      <c r="J3638" s="2">
        <v>28</v>
      </c>
      <c r="K3638" s="2">
        <v>1</v>
      </c>
      <c r="L3638" s="2">
        <v>2</v>
      </c>
      <c r="O3638" s="2">
        <v>4</v>
      </c>
      <c r="P3638" s="2">
        <v>8</v>
      </c>
      <c r="R3638" s="2">
        <v>2</v>
      </c>
      <c r="U3638" s="2">
        <v>5</v>
      </c>
      <c r="V3638" s="2">
        <v>23</v>
      </c>
      <c r="W3638" s="2">
        <v>3</v>
      </c>
      <c r="X3638" s="2">
        <v>14</v>
      </c>
      <c r="AA3638" s="3" t="s">
        <v>40</v>
      </c>
      <c r="AB3638" s="2">
        <v>1</v>
      </c>
      <c r="AF3638" s="2">
        <v>22</v>
      </c>
      <c r="AG3638" s="2">
        <v>2</v>
      </c>
      <c r="AH3638" s="3" t="s">
        <v>3741</v>
      </c>
      <c r="AI3638" s="4">
        <v>45463</v>
      </c>
      <c r="AJ3638" s="3" t="s">
        <v>3796</v>
      </c>
      <c r="AK3638" s="3" t="s">
        <v>248</v>
      </c>
    </row>
    <row r="3639" spans="1:37" hidden="1" x14ac:dyDescent="0.25">
      <c r="A3639" t="str">
        <f t="shared" si="56"/>
        <v>2024_WA_Bolgart_Chickpea_DetailedTOS2VarietyCBA_CaptainWaterTrtRainFed</v>
      </c>
      <c r="B3639" s="2">
        <v>2024040</v>
      </c>
      <c r="C3639" s="3" t="s">
        <v>3740</v>
      </c>
      <c r="D3639" s="3" t="s">
        <v>248</v>
      </c>
      <c r="F3639" s="3" t="s">
        <v>249</v>
      </c>
      <c r="G3639" s="3" t="s">
        <v>43</v>
      </c>
      <c r="H3639" s="3" t="s">
        <v>250</v>
      </c>
      <c r="I3639" s="2">
        <v>56</v>
      </c>
      <c r="J3639" s="2">
        <v>28</v>
      </c>
      <c r="K3639" s="2">
        <v>1</v>
      </c>
      <c r="L3639" s="2">
        <v>2</v>
      </c>
      <c r="O3639" s="2">
        <v>4</v>
      </c>
      <c r="P3639" s="2">
        <v>8</v>
      </c>
      <c r="R3639" s="2">
        <v>2</v>
      </c>
      <c r="U3639" s="2">
        <v>6</v>
      </c>
      <c r="V3639" s="2">
        <v>23</v>
      </c>
      <c r="W3639" s="2">
        <v>4</v>
      </c>
      <c r="X3639" s="2">
        <v>14</v>
      </c>
      <c r="Z3639" s="2">
        <v>51</v>
      </c>
      <c r="AA3639" s="3" t="s">
        <v>40</v>
      </c>
      <c r="AB3639" s="2">
        <v>1</v>
      </c>
      <c r="AF3639" s="2">
        <v>22</v>
      </c>
      <c r="AG3639" s="2">
        <v>2</v>
      </c>
      <c r="AH3639" s="3" t="s">
        <v>3741</v>
      </c>
      <c r="AI3639" s="4">
        <v>45463</v>
      </c>
      <c r="AJ3639" s="3" t="s">
        <v>3797</v>
      </c>
      <c r="AK3639" s="3" t="s">
        <v>248</v>
      </c>
    </row>
    <row r="3640" spans="1:37" hidden="1" x14ac:dyDescent="0.25">
      <c r="A3640" t="str">
        <f t="shared" si="56"/>
        <v>2024_WA_Bolgart_Chickpea_DetailedTOS2VarietyHatTrickWaterTrtIrrigated</v>
      </c>
      <c r="B3640" s="2">
        <v>2024040</v>
      </c>
      <c r="C3640" s="3" t="s">
        <v>3740</v>
      </c>
      <c r="D3640" s="3" t="s">
        <v>248</v>
      </c>
      <c r="F3640" s="3" t="s">
        <v>4178</v>
      </c>
      <c r="G3640" s="3" t="s">
        <v>39</v>
      </c>
      <c r="H3640" s="3" t="s">
        <v>250</v>
      </c>
      <c r="I3640" s="2">
        <v>57</v>
      </c>
      <c r="J3640" s="2">
        <v>29</v>
      </c>
      <c r="K3640" s="2">
        <v>1</v>
      </c>
      <c r="L3640" s="2">
        <v>2</v>
      </c>
      <c r="O3640" s="2">
        <v>4</v>
      </c>
      <c r="P3640" s="2">
        <v>7</v>
      </c>
      <c r="R3640" s="2">
        <v>1</v>
      </c>
      <c r="U3640" s="2">
        <v>1</v>
      </c>
      <c r="V3640" s="2">
        <v>24</v>
      </c>
      <c r="W3640" s="2">
        <v>1</v>
      </c>
      <c r="X3640" s="2">
        <v>15</v>
      </c>
      <c r="Z3640" s="2">
        <v>15</v>
      </c>
      <c r="AA3640" s="3" t="s">
        <v>57</v>
      </c>
      <c r="AB3640" s="2">
        <v>3</v>
      </c>
      <c r="AF3640" s="2">
        <v>22</v>
      </c>
      <c r="AG3640" s="2">
        <v>2</v>
      </c>
      <c r="AH3640" s="3" t="s">
        <v>3741</v>
      </c>
      <c r="AI3640" s="4">
        <v>45463</v>
      </c>
      <c r="AJ3640" s="3" t="s">
        <v>3798</v>
      </c>
      <c r="AK3640" s="3" t="s">
        <v>248</v>
      </c>
    </row>
    <row r="3641" spans="1:37" hidden="1" x14ac:dyDescent="0.25">
      <c r="A3641" t="str">
        <f t="shared" si="56"/>
        <v>2024_WA_Bolgart_Chickpea_DetailedTOS2VarietyHatTrickWaterTrtIrrigated</v>
      </c>
      <c r="B3641" s="2">
        <v>2024040</v>
      </c>
      <c r="C3641" s="3" t="s">
        <v>3740</v>
      </c>
      <c r="D3641" s="3" t="s">
        <v>248</v>
      </c>
      <c r="F3641" s="3" t="s">
        <v>4178</v>
      </c>
      <c r="G3641" s="3" t="s">
        <v>39</v>
      </c>
      <c r="H3641" s="3" t="s">
        <v>253</v>
      </c>
      <c r="I3641" s="2">
        <v>58</v>
      </c>
      <c r="J3641" s="2">
        <v>29</v>
      </c>
      <c r="K3641" s="2">
        <v>1</v>
      </c>
      <c r="L3641" s="2">
        <v>2</v>
      </c>
      <c r="O3641" s="2">
        <v>4</v>
      </c>
      <c r="P3641" s="2">
        <v>7</v>
      </c>
      <c r="R3641" s="2">
        <v>1</v>
      </c>
      <c r="U3641" s="2">
        <v>2</v>
      </c>
      <c r="V3641" s="2">
        <v>24</v>
      </c>
      <c r="W3641" s="2">
        <v>2</v>
      </c>
      <c r="X3641" s="2">
        <v>15</v>
      </c>
      <c r="AA3641" s="3" t="s">
        <v>57</v>
      </c>
      <c r="AB3641" s="2">
        <v>3</v>
      </c>
      <c r="AF3641" s="2">
        <v>22</v>
      </c>
      <c r="AG3641" s="2">
        <v>2</v>
      </c>
      <c r="AH3641" s="3" t="s">
        <v>3741</v>
      </c>
      <c r="AI3641" s="4">
        <v>45463</v>
      </c>
      <c r="AJ3641" s="3" t="s">
        <v>3799</v>
      </c>
      <c r="AK3641" s="3" t="s">
        <v>248</v>
      </c>
    </row>
    <row r="3642" spans="1:37" hidden="1" x14ac:dyDescent="0.25">
      <c r="A3642" t="str">
        <f t="shared" si="56"/>
        <v>2024_WA_Bolgart_Chickpea_DetailedTOS2VarietyStrikerWaterTrtRainFed</v>
      </c>
      <c r="B3642" s="2">
        <v>2024040</v>
      </c>
      <c r="C3642" s="3" t="s">
        <v>3740</v>
      </c>
      <c r="D3642" s="3" t="s">
        <v>248</v>
      </c>
      <c r="F3642" s="3" t="s">
        <v>4179</v>
      </c>
      <c r="G3642" s="3" t="s">
        <v>43</v>
      </c>
      <c r="H3642" s="3" t="s">
        <v>253</v>
      </c>
      <c r="I3642" s="2">
        <v>59</v>
      </c>
      <c r="J3642" s="2">
        <v>30</v>
      </c>
      <c r="K3642" s="2">
        <v>1</v>
      </c>
      <c r="L3642" s="2">
        <v>2</v>
      </c>
      <c r="O3642" s="2">
        <v>4</v>
      </c>
      <c r="P3642" s="2">
        <v>8</v>
      </c>
      <c r="R3642" s="2">
        <v>2</v>
      </c>
      <c r="U3642" s="2">
        <v>5</v>
      </c>
      <c r="V3642" s="2">
        <v>24</v>
      </c>
      <c r="W3642" s="2">
        <v>3</v>
      </c>
      <c r="X3642" s="2">
        <v>15</v>
      </c>
      <c r="AA3642" s="3" t="s">
        <v>40</v>
      </c>
      <c r="AB3642" s="2">
        <v>4</v>
      </c>
      <c r="AF3642" s="2">
        <v>22</v>
      </c>
      <c r="AG3642" s="2">
        <v>2</v>
      </c>
      <c r="AH3642" s="3" t="s">
        <v>3741</v>
      </c>
      <c r="AI3642" s="4">
        <v>45463</v>
      </c>
      <c r="AJ3642" s="3" t="s">
        <v>3800</v>
      </c>
      <c r="AK3642" s="3" t="s">
        <v>248</v>
      </c>
    </row>
    <row r="3643" spans="1:37" hidden="1" x14ac:dyDescent="0.25">
      <c r="A3643" t="str">
        <f t="shared" si="56"/>
        <v>2024_WA_Bolgart_Chickpea_DetailedTOS2VarietyStrikerWaterTrtRainFed</v>
      </c>
      <c r="B3643" s="2">
        <v>2024040</v>
      </c>
      <c r="C3643" s="3" t="s">
        <v>3740</v>
      </c>
      <c r="D3643" s="3" t="s">
        <v>248</v>
      </c>
      <c r="F3643" s="3" t="s">
        <v>4179</v>
      </c>
      <c r="G3643" s="3" t="s">
        <v>43</v>
      </c>
      <c r="H3643" s="3" t="s">
        <v>250</v>
      </c>
      <c r="I3643" s="2">
        <v>60</v>
      </c>
      <c r="J3643" s="2">
        <v>30</v>
      </c>
      <c r="K3643" s="2">
        <v>1</v>
      </c>
      <c r="L3643" s="2">
        <v>2</v>
      </c>
      <c r="O3643" s="2">
        <v>4</v>
      </c>
      <c r="P3643" s="2">
        <v>8</v>
      </c>
      <c r="R3643" s="2">
        <v>2</v>
      </c>
      <c r="U3643" s="2">
        <v>6</v>
      </c>
      <c r="V3643" s="2">
        <v>24</v>
      </c>
      <c r="W3643" s="2">
        <v>4</v>
      </c>
      <c r="X3643" s="2">
        <v>15</v>
      </c>
      <c r="Z3643" s="2">
        <v>50</v>
      </c>
      <c r="AA3643" s="3" t="s">
        <v>40</v>
      </c>
      <c r="AB3643" s="2">
        <v>4</v>
      </c>
      <c r="AF3643" s="2">
        <v>22</v>
      </c>
      <c r="AG3643" s="2">
        <v>2</v>
      </c>
      <c r="AH3643" s="3" t="s">
        <v>3741</v>
      </c>
      <c r="AI3643" s="4">
        <v>45463</v>
      </c>
      <c r="AJ3643" s="3" t="s">
        <v>3801</v>
      </c>
      <c r="AK3643" s="3" t="s">
        <v>248</v>
      </c>
    </row>
    <row r="3644" spans="1:37" hidden="1" x14ac:dyDescent="0.25">
      <c r="A3644" t="str">
        <f t="shared" si="56"/>
        <v>2024_WA_Bolgart_Chickpea_DetailedTOS2VarietyCBA_CaptainWaterTrtIrrigated</v>
      </c>
      <c r="B3644" s="2">
        <v>2024040</v>
      </c>
      <c r="C3644" s="3" t="s">
        <v>3740</v>
      </c>
      <c r="D3644" s="3" t="s">
        <v>248</v>
      </c>
      <c r="F3644" s="3" t="s">
        <v>249</v>
      </c>
      <c r="G3644" s="3" t="s">
        <v>43</v>
      </c>
      <c r="H3644" s="3" t="s">
        <v>250</v>
      </c>
      <c r="I3644" s="2">
        <v>61</v>
      </c>
      <c r="J3644" s="2">
        <v>31</v>
      </c>
      <c r="K3644" s="2">
        <v>1</v>
      </c>
      <c r="L3644" s="2">
        <v>2</v>
      </c>
      <c r="O3644" s="2">
        <v>4</v>
      </c>
      <c r="P3644" s="2">
        <v>7</v>
      </c>
      <c r="R3644" s="2">
        <v>1</v>
      </c>
      <c r="U3644" s="2">
        <v>1</v>
      </c>
      <c r="V3644" s="2">
        <v>25</v>
      </c>
      <c r="W3644" s="2">
        <v>1</v>
      </c>
      <c r="X3644" s="2">
        <v>16</v>
      </c>
      <c r="Z3644" s="2">
        <v>16</v>
      </c>
      <c r="AA3644" s="3" t="s">
        <v>57</v>
      </c>
      <c r="AB3644" s="2">
        <v>1</v>
      </c>
      <c r="AF3644" s="2">
        <v>22</v>
      </c>
      <c r="AG3644" s="2">
        <v>2</v>
      </c>
      <c r="AH3644" s="3" t="s">
        <v>3741</v>
      </c>
      <c r="AI3644" s="4">
        <v>45463</v>
      </c>
      <c r="AJ3644" s="3" t="s">
        <v>3802</v>
      </c>
      <c r="AK3644" s="3" t="s">
        <v>248</v>
      </c>
    </row>
    <row r="3645" spans="1:37" hidden="1" x14ac:dyDescent="0.25">
      <c r="A3645" t="str">
        <f t="shared" si="56"/>
        <v>2024_WA_Bolgart_Chickpea_DetailedTOS2VarietyCBA_CaptainWaterTrtIrrigated</v>
      </c>
      <c r="B3645" s="2">
        <v>2024040</v>
      </c>
      <c r="C3645" s="3" t="s">
        <v>3740</v>
      </c>
      <c r="D3645" s="3" t="s">
        <v>248</v>
      </c>
      <c r="F3645" s="3" t="s">
        <v>249</v>
      </c>
      <c r="G3645" s="3" t="s">
        <v>43</v>
      </c>
      <c r="H3645" s="3" t="s">
        <v>253</v>
      </c>
      <c r="I3645" s="2">
        <v>62</v>
      </c>
      <c r="J3645" s="2">
        <v>31</v>
      </c>
      <c r="K3645" s="2">
        <v>1</v>
      </c>
      <c r="L3645" s="2">
        <v>2</v>
      </c>
      <c r="O3645" s="2">
        <v>4</v>
      </c>
      <c r="P3645" s="2">
        <v>7</v>
      </c>
      <c r="R3645" s="2">
        <v>1</v>
      </c>
      <c r="U3645" s="2">
        <v>2</v>
      </c>
      <c r="V3645" s="2">
        <v>25</v>
      </c>
      <c r="W3645" s="2">
        <v>2</v>
      </c>
      <c r="X3645" s="2">
        <v>16</v>
      </c>
      <c r="AA3645" s="3" t="s">
        <v>57</v>
      </c>
      <c r="AB3645" s="2">
        <v>1</v>
      </c>
      <c r="AF3645" s="2">
        <v>22</v>
      </c>
      <c r="AG3645" s="2">
        <v>2</v>
      </c>
      <c r="AH3645" s="3" t="s">
        <v>3741</v>
      </c>
      <c r="AI3645" s="4">
        <v>45463</v>
      </c>
      <c r="AJ3645" s="3" t="s">
        <v>3803</v>
      </c>
      <c r="AK3645" s="3" t="s">
        <v>248</v>
      </c>
    </row>
    <row r="3646" spans="1:37" hidden="1" x14ac:dyDescent="0.25">
      <c r="A3646" t="str">
        <f t="shared" si="56"/>
        <v>2024_WA_Bolgart_Chickpea_DetailedTOS2VarietyDrummondWaterTrtRainFed</v>
      </c>
      <c r="B3646" s="2">
        <v>2024040</v>
      </c>
      <c r="C3646" s="3" t="s">
        <v>3740</v>
      </c>
      <c r="D3646" s="3" t="s">
        <v>248</v>
      </c>
      <c r="F3646" s="3" t="s">
        <v>4182</v>
      </c>
      <c r="G3646" s="3" t="s">
        <v>39</v>
      </c>
      <c r="H3646" s="3" t="s">
        <v>253</v>
      </c>
      <c r="I3646" s="2">
        <v>63</v>
      </c>
      <c r="J3646" s="2">
        <v>32</v>
      </c>
      <c r="K3646" s="2">
        <v>1</v>
      </c>
      <c r="L3646" s="2">
        <v>2</v>
      </c>
      <c r="O3646" s="2">
        <v>4</v>
      </c>
      <c r="P3646" s="2">
        <v>8</v>
      </c>
      <c r="R3646" s="2">
        <v>2</v>
      </c>
      <c r="U3646" s="2">
        <v>5</v>
      </c>
      <c r="V3646" s="2">
        <v>25</v>
      </c>
      <c r="W3646" s="2">
        <v>3</v>
      </c>
      <c r="X3646" s="2">
        <v>16</v>
      </c>
      <c r="AA3646" s="3" t="s">
        <v>40</v>
      </c>
      <c r="AB3646" s="2">
        <v>2</v>
      </c>
      <c r="AF3646" s="2">
        <v>22</v>
      </c>
      <c r="AG3646" s="2">
        <v>2</v>
      </c>
      <c r="AH3646" s="3" t="s">
        <v>3741</v>
      </c>
      <c r="AI3646" s="4">
        <v>45463</v>
      </c>
      <c r="AJ3646" s="3" t="s">
        <v>3804</v>
      </c>
      <c r="AK3646" s="3" t="s">
        <v>248</v>
      </c>
    </row>
    <row r="3647" spans="1:37" hidden="1" x14ac:dyDescent="0.25">
      <c r="A3647" t="str">
        <f t="shared" si="56"/>
        <v>2024_WA_Bolgart_Chickpea_DetailedTOS2VarietyDrummondWaterTrtRainFed</v>
      </c>
      <c r="B3647" s="2">
        <v>2024040</v>
      </c>
      <c r="C3647" s="3" t="s">
        <v>3740</v>
      </c>
      <c r="D3647" s="3" t="s">
        <v>248</v>
      </c>
      <c r="F3647" s="3" t="s">
        <v>4182</v>
      </c>
      <c r="G3647" s="3" t="s">
        <v>39</v>
      </c>
      <c r="H3647" s="3" t="s">
        <v>250</v>
      </c>
      <c r="I3647" s="2">
        <v>64</v>
      </c>
      <c r="J3647" s="2">
        <v>32</v>
      </c>
      <c r="K3647" s="2">
        <v>1</v>
      </c>
      <c r="L3647" s="2">
        <v>2</v>
      </c>
      <c r="O3647" s="2">
        <v>4</v>
      </c>
      <c r="P3647" s="2">
        <v>8</v>
      </c>
      <c r="R3647" s="2">
        <v>2</v>
      </c>
      <c r="U3647" s="2">
        <v>6</v>
      </c>
      <c r="V3647" s="2">
        <v>25</v>
      </c>
      <c r="W3647" s="2">
        <v>4</v>
      </c>
      <c r="X3647" s="2">
        <v>16</v>
      </c>
      <c r="Z3647" s="2">
        <v>49</v>
      </c>
      <c r="AA3647" s="3" t="s">
        <v>40</v>
      </c>
      <c r="AB3647" s="2">
        <v>2</v>
      </c>
      <c r="AF3647" s="2">
        <v>22</v>
      </c>
      <c r="AG3647" s="2">
        <v>2</v>
      </c>
      <c r="AH3647" s="3" t="s">
        <v>3741</v>
      </c>
      <c r="AI3647" s="4">
        <v>45463</v>
      </c>
      <c r="AJ3647" s="3" t="s">
        <v>3805</v>
      </c>
      <c r="AK3647" s="3" t="s">
        <v>248</v>
      </c>
    </row>
    <row r="3648" spans="1:37" hidden="1" x14ac:dyDescent="0.25">
      <c r="A3648" t="str">
        <f t="shared" si="56"/>
        <v>2024_WA_Bolgart_Chickpea_DetailedTOS2VarietyDrummondWaterTrtRainFed</v>
      </c>
      <c r="B3648" s="2">
        <v>2024040</v>
      </c>
      <c r="C3648" s="3" t="s">
        <v>3740</v>
      </c>
      <c r="D3648" s="3" t="s">
        <v>248</v>
      </c>
      <c r="F3648" s="3" t="s">
        <v>4182</v>
      </c>
      <c r="G3648" s="3" t="s">
        <v>39</v>
      </c>
      <c r="H3648" s="3" t="s">
        <v>250</v>
      </c>
      <c r="I3648" s="2">
        <v>65</v>
      </c>
      <c r="J3648" s="2">
        <v>33</v>
      </c>
      <c r="K3648" s="2">
        <v>2</v>
      </c>
      <c r="L3648" s="2">
        <v>3</v>
      </c>
      <c r="O3648" s="2">
        <v>5</v>
      </c>
      <c r="P3648" s="2">
        <v>9</v>
      </c>
      <c r="R3648" s="2">
        <v>3</v>
      </c>
      <c r="U3648" s="2">
        <v>1</v>
      </c>
      <c r="V3648" s="2">
        <v>32</v>
      </c>
      <c r="W3648" s="2">
        <v>1</v>
      </c>
      <c r="X3648" s="2">
        <v>17</v>
      </c>
      <c r="Z3648" s="2">
        <v>17</v>
      </c>
      <c r="AA3648" s="3" t="s">
        <v>40</v>
      </c>
      <c r="AB3648" s="2">
        <v>2</v>
      </c>
      <c r="AF3648" s="2">
        <v>22</v>
      </c>
      <c r="AG3648" s="2">
        <v>2</v>
      </c>
      <c r="AH3648" s="3" t="s">
        <v>3741</v>
      </c>
      <c r="AI3648" s="4">
        <v>45463</v>
      </c>
      <c r="AJ3648" s="3" t="s">
        <v>3806</v>
      </c>
      <c r="AK3648" s="3" t="s">
        <v>248</v>
      </c>
    </row>
    <row r="3649" spans="1:37" hidden="1" x14ac:dyDescent="0.25">
      <c r="A3649" t="str">
        <f t="shared" si="56"/>
        <v>2024_WA_Bolgart_Chickpea_DetailedTOS2VarietyDrummondWaterTrtRainFed</v>
      </c>
      <c r="B3649" s="2">
        <v>2024040</v>
      </c>
      <c r="C3649" s="3" t="s">
        <v>3740</v>
      </c>
      <c r="D3649" s="3" t="s">
        <v>248</v>
      </c>
      <c r="F3649" s="3" t="s">
        <v>4182</v>
      </c>
      <c r="G3649" s="3" t="s">
        <v>39</v>
      </c>
      <c r="H3649" s="3" t="s">
        <v>253</v>
      </c>
      <c r="I3649" s="2">
        <v>66</v>
      </c>
      <c r="J3649" s="2">
        <v>33</v>
      </c>
      <c r="K3649" s="2">
        <v>2</v>
      </c>
      <c r="L3649" s="2">
        <v>3</v>
      </c>
      <c r="O3649" s="2">
        <v>5</v>
      </c>
      <c r="P3649" s="2">
        <v>9</v>
      </c>
      <c r="R3649" s="2">
        <v>3</v>
      </c>
      <c r="U3649" s="2">
        <v>2</v>
      </c>
      <c r="V3649" s="2">
        <v>32</v>
      </c>
      <c r="W3649" s="2">
        <v>2</v>
      </c>
      <c r="X3649" s="2">
        <v>17</v>
      </c>
      <c r="AA3649" s="3" t="s">
        <v>40</v>
      </c>
      <c r="AB3649" s="2">
        <v>2</v>
      </c>
      <c r="AF3649" s="2">
        <v>22</v>
      </c>
      <c r="AG3649" s="2">
        <v>2</v>
      </c>
      <c r="AH3649" s="3" t="s">
        <v>3741</v>
      </c>
      <c r="AI3649" s="4">
        <v>45463</v>
      </c>
      <c r="AJ3649" s="3" t="s">
        <v>3807</v>
      </c>
      <c r="AK3649" s="3" t="s">
        <v>248</v>
      </c>
    </row>
    <row r="3650" spans="1:37" hidden="1" x14ac:dyDescent="0.25">
      <c r="A3650" t="str">
        <f t="shared" si="56"/>
        <v>2024_WA_Bolgart_Chickpea_DetailedTOS2VarietyHatTrickWaterTrtIrrigated</v>
      </c>
      <c r="B3650" s="2">
        <v>2024040</v>
      </c>
      <c r="C3650" s="3" t="s">
        <v>3740</v>
      </c>
      <c r="D3650" s="3" t="s">
        <v>248</v>
      </c>
      <c r="F3650" s="3" t="s">
        <v>4178</v>
      </c>
      <c r="G3650" s="3" t="s">
        <v>39</v>
      </c>
      <c r="H3650" s="3" t="s">
        <v>253</v>
      </c>
      <c r="I3650" s="2">
        <v>67</v>
      </c>
      <c r="J3650" s="2">
        <v>34</v>
      </c>
      <c r="K3650" s="2">
        <v>2</v>
      </c>
      <c r="L3650" s="2">
        <v>3</v>
      </c>
      <c r="O3650" s="2">
        <v>5</v>
      </c>
      <c r="P3650" s="2">
        <v>10</v>
      </c>
      <c r="R3650" s="2">
        <v>4</v>
      </c>
      <c r="U3650" s="2">
        <v>5</v>
      </c>
      <c r="V3650" s="2">
        <v>32</v>
      </c>
      <c r="W3650" s="2">
        <v>3</v>
      </c>
      <c r="X3650" s="2">
        <v>17</v>
      </c>
      <c r="AA3650" s="3" t="s">
        <v>57</v>
      </c>
      <c r="AB3650" s="2">
        <v>3</v>
      </c>
      <c r="AF3650" s="2">
        <v>22</v>
      </c>
      <c r="AG3650" s="2">
        <v>2</v>
      </c>
      <c r="AH3650" s="3" t="s">
        <v>3741</v>
      </c>
      <c r="AI3650" s="4">
        <v>45463</v>
      </c>
      <c r="AJ3650" s="3" t="s">
        <v>3808</v>
      </c>
      <c r="AK3650" s="3" t="s">
        <v>248</v>
      </c>
    </row>
    <row r="3651" spans="1:37" hidden="1" x14ac:dyDescent="0.25">
      <c r="A3651" t="str">
        <f t="shared" ref="A3651:A3714" si="57">C3651&amp;"TOS"&amp;AG3651&amp;"Variety"&amp;F3651&amp;"WaterTrt"&amp;AA3651&amp;IF(AC3651="","","Agronomy"&amp;AC3651)</f>
        <v>2024_WA_Bolgart_Chickpea_DetailedTOS2VarietyHatTrickWaterTrtIrrigated</v>
      </c>
      <c r="B3651" s="2">
        <v>2024040</v>
      </c>
      <c r="C3651" s="3" t="s">
        <v>3740</v>
      </c>
      <c r="D3651" s="3" t="s">
        <v>248</v>
      </c>
      <c r="F3651" s="3" t="s">
        <v>4178</v>
      </c>
      <c r="G3651" s="3" t="s">
        <v>39</v>
      </c>
      <c r="H3651" s="3" t="s">
        <v>250</v>
      </c>
      <c r="I3651" s="2">
        <v>68</v>
      </c>
      <c r="J3651" s="2">
        <v>34</v>
      </c>
      <c r="K3651" s="2">
        <v>2</v>
      </c>
      <c r="L3651" s="2">
        <v>3</v>
      </c>
      <c r="O3651" s="2">
        <v>5</v>
      </c>
      <c r="P3651" s="2">
        <v>10</v>
      </c>
      <c r="R3651" s="2">
        <v>4</v>
      </c>
      <c r="U3651" s="2">
        <v>6</v>
      </c>
      <c r="V3651" s="2">
        <v>32</v>
      </c>
      <c r="W3651" s="2">
        <v>4</v>
      </c>
      <c r="X3651" s="2">
        <v>17</v>
      </c>
      <c r="Z3651" s="2">
        <v>48</v>
      </c>
      <c r="AA3651" s="3" t="s">
        <v>57</v>
      </c>
      <c r="AB3651" s="2">
        <v>3</v>
      </c>
      <c r="AF3651" s="2">
        <v>22</v>
      </c>
      <c r="AG3651" s="2">
        <v>2</v>
      </c>
      <c r="AH3651" s="3" t="s">
        <v>3741</v>
      </c>
      <c r="AI3651" s="4">
        <v>45463</v>
      </c>
      <c r="AJ3651" s="3" t="s">
        <v>3809</v>
      </c>
      <c r="AK3651" s="3" t="s">
        <v>248</v>
      </c>
    </row>
    <row r="3652" spans="1:37" hidden="1" x14ac:dyDescent="0.25">
      <c r="A3652" t="str">
        <f t="shared" si="57"/>
        <v>2024_WA_Bolgart_Chickpea_DetailedTOS2VarietyCBA_CaptainWaterTrtRainFed</v>
      </c>
      <c r="B3652" s="2">
        <v>2024040</v>
      </c>
      <c r="C3652" s="3" t="s">
        <v>3740</v>
      </c>
      <c r="D3652" s="3" t="s">
        <v>248</v>
      </c>
      <c r="F3652" s="3" t="s">
        <v>249</v>
      </c>
      <c r="G3652" s="3" t="s">
        <v>43</v>
      </c>
      <c r="H3652" s="3" t="s">
        <v>250</v>
      </c>
      <c r="I3652" s="2">
        <v>69</v>
      </c>
      <c r="J3652" s="2">
        <v>35</v>
      </c>
      <c r="K3652" s="2">
        <v>2</v>
      </c>
      <c r="L3652" s="2">
        <v>3</v>
      </c>
      <c r="O3652" s="2">
        <v>5</v>
      </c>
      <c r="P3652" s="2">
        <v>9</v>
      </c>
      <c r="R3652" s="2">
        <v>3</v>
      </c>
      <c r="U3652" s="2">
        <v>1</v>
      </c>
      <c r="V3652" s="2">
        <v>33</v>
      </c>
      <c r="W3652" s="2">
        <v>1</v>
      </c>
      <c r="X3652" s="2">
        <v>18</v>
      </c>
      <c r="Z3652" s="2">
        <v>18</v>
      </c>
      <c r="AA3652" s="3" t="s">
        <v>40</v>
      </c>
      <c r="AB3652" s="2">
        <v>1</v>
      </c>
      <c r="AF3652" s="2">
        <v>22</v>
      </c>
      <c r="AG3652" s="2">
        <v>2</v>
      </c>
      <c r="AH3652" s="3" t="s">
        <v>3741</v>
      </c>
      <c r="AI3652" s="4">
        <v>45463</v>
      </c>
      <c r="AJ3652" s="3" t="s">
        <v>3810</v>
      </c>
      <c r="AK3652" s="3" t="s">
        <v>248</v>
      </c>
    </row>
    <row r="3653" spans="1:37" hidden="1" x14ac:dyDescent="0.25">
      <c r="A3653" t="str">
        <f t="shared" si="57"/>
        <v>2024_WA_Bolgart_Chickpea_DetailedTOS2VarietyCBA_CaptainWaterTrtRainFed</v>
      </c>
      <c r="B3653" s="2">
        <v>2024040</v>
      </c>
      <c r="C3653" s="3" t="s">
        <v>3740</v>
      </c>
      <c r="D3653" s="3" t="s">
        <v>248</v>
      </c>
      <c r="F3653" s="3" t="s">
        <v>249</v>
      </c>
      <c r="G3653" s="3" t="s">
        <v>43</v>
      </c>
      <c r="H3653" s="3" t="s">
        <v>253</v>
      </c>
      <c r="I3653" s="2">
        <v>70</v>
      </c>
      <c r="J3653" s="2">
        <v>35</v>
      </c>
      <c r="K3653" s="2">
        <v>2</v>
      </c>
      <c r="L3653" s="2">
        <v>3</v>
      </c>
      <c r="O3653" s="2">
        <v>5</v>
      </c>
      <c r="P3653" s="2">
        <v>9</v>
      </c>
      <c r="R3653" s="2">
        <v>3</v>
      </c>
      <c r="U3653" s="2">
        <v>2</v>
      </c>
      <c r="V3653" s="2">
        <v>33</v>
      </c>
      <c r="W3653" s="2">
        <v>2</v>
      </c>
      <c r="X3653" s="2">
        <v>18</v>
      </c>
      <c r="AA3653" s="3" t="s">
        <v>40</v>
      </c>
      <c r="AB3653" s="2">
        <v>1</v>
      </c>
      <c r="AF3653" s="2">
        <v>22</v>
      </c>
      <c r="AG3653" s="2">
        <v>2</v>
      </c>
      <c r="AH3653" s="3" t="s">
        <v>3741</v>
      </c>
      <c r="AI3653" s="4">
        <v>45463</v>
      </c>
      <c r="AJ3653" s="3" t="s">
        <v>3811</v>
      </c>
      <c r="AK3653" s="3" t="s">
        <v>248</v>
      </c>
    </row>
    <row r="3654" spans="1:37" hidden="1" x14ac:dyDescent="0.25">
      <c r="A3654" t="str">
        <f t="shared" si="57"/>
        <v>2024_WA_Bolgart_Chickpea_DetailedTOS2VarietyStrikerWaterTrtIrrigated</v>
      </c>
      <c r="B3654" s="2">
        <v>2024040</v>
      </c>
      <c r="C3654" s="3" t="s">
        <v>3740</v>
      </c>
      <c r="D3654" s="3" t="s">
        <v>248</v>
      </c>
      <c r="F3654" s="3" t="s">
        <v>4179</v>
      </c>
      <c r="G3654" s="3" t="s">
        <v>43</v>
      </c>
      <c r="H3654" s="3" t="s">
        <v>253</v>
      </c>
      <c r="I3654" s="2">
        <v>71</v>
      </c>
      <c r="J3654" s="2">
        <v>36</v>
      </c>
      <c r="K3654" s="2">
        <v>2</v>
      </c>
      <c r="L3654" s="2">
        <v>3</v>
      </c>
      <c r="O3654" s="2">
        <v>5</v>
      </c>
      <c r="P3654" s="2">
        <v>10</v>
      </c>
      <c r="R3654" s="2">
        <v>4</v>
      </c>
      <c r="U3654" s="2">
        <v>5</v>
      </c>
      <c r="V3654" s="2">
        <v>33</v>
      </c>
      <c r="W3654" s="2">
        <v>3</v>
      </c>
      <c r="X3654" s="2">
        <v>18</v>
      </c>
      <c r="AA3654" s="3" t="s">
        <v>57</v>
      </c>
      <c r="AB3654" s="2">
        <v>4</v>
      </c>
      <c r="AF3654" s="2">
        <v>22</v>
      </c>
      <c r="AG3654" s="2">
        <v>2</v>
      </c>
      <c r="AH3654" s="3" t="s">
        <v>3741</v>
      </c>
      <c r="AI3654" s="4">
        <v>45463</v>
      </c>
      <c r="AJ3654" s="3" t="s">
        <v>3812</v>
      </c>
      <c r="AK3654" s="3" t="s">
        <v>248</v>
      </c>
    </row>
    <row r="3655" spans="1:37" hidden="1" x14ac:dyDescent="0.25">
      <c r="A3655" t="str">
        <f t="shared" si="57"/>
        <v>2024_WA_Bolgart_Chickpea_DetailedTOS2VarietyStrikerWaterTrtIrrigated</v>
      </c>
      <c r="B3655" s="2">
        <v>2024040</v>
      </c>
      <c r="C3655" s="3" t="s">
        <v>3740</v>
      </c>
      <c r="D3655" s="3" t="s">
        <v>248</v>
      </c>
      <c r="F3655" s="3" t="s">
        <v>4179</v>
      </c>
      <c r="G3655" s="3" t="s">
        <v>43</v>
      </c>
      <c r="H3655" s="3" t="s">
        <v>250</v>
      </c>
      <c r="I3655" s="2">
        <v>72</v>
      </c>
      <c r="J3655" s="2">
        <v>36</v>
      </c>
      <c r="K3655" s="2">
        <v>2</v>
      </c>
      <c r="L3655" s="2">
        <v>3</v>
      </c>
      <c r="O3655" s="2">
        <v>5</v>
      </c>
      <c r="P3655" s="2">
        <v>10</v>
      </c>
      <c r="R3655" s="2">
        <v>4</v>
      </c>
      <c r="U3655" s="2">
        <v>6</v>
      </c>
      <c r="V3655" s="2">
        <v>33</v>
      </c>
      <c r="W3655" s="2">
        <v>4</v>
      </c>
      <c r="X3655" s="2">
        <v>18</v>
      </c>
      <c r="Z3655" s="2">
        <v>47</v>
      </c>
      <c r="AA3655" s="3" t="s">
        <v>57</v>
      </c>
      <c r="AB3655" s="2">
        <v>4</v>
      </c>
      <c r="AF3655" s="2">
        <v>22</v>
      </c>
      <c r="AG3655" s="2">
        <v>2</v>
      </c>
      <c r="AH3655" s="3" t="s">
        <v>3741</v>
      </c>
      <c r="AI3655" s="4">
        <v>45463</v>
      </c>
      <c r="AJ3655" s="3" t="s">
        <v>3813</v>
      </c>
      <c r="AK3655" s="3" t="s">
        <v>248</v>
      </c>
    </row>
    <row r="3656" spans="1:37" hidden="1" x14ac:dyDescent="0.25">
      <c r="A3656" t="str">
        <f t="shared" si="57"/>
        <v>2024_WA_Bolgart_Chickpea_DetailedTOS2VarietyHatTrickWaterTrtRainFed</v>
      </c>
      <c r="B3656" s="2">
        <v>2024040</v>
      </c>
      <c r="C3656" s="3" t="s">
        <v>3740</v>
      </c>
      <c r="D3656" s="3" t="s">
        <v>248</v>
      </c>
      <c r="F3656" s="3" t="s">
        <v>4178</v>
      </c>
      <c r="G3656" s="3" t="s">
        <v>39</v>
      </c>
      <c r="H3656" s="3" t="s">
        <v>250</v>
      </c>
      <c r="I3656" s="2">
        <v>73</v>
      </c>
      <c r="J3656" s="2">
        <v>37</v>
      </c>
      <c r="K3656" s="2">
        <v>2</v>
      </c>
      <c r="L3656" s="2">
        <v>3</v>
      </c>
      <c r="O3656" s="2">
        <v>5</v>
      </c>
      <c r="P3656" s="2">
        <v>9</v>
      </c>
      <c r="R3656" s="2">
        <v>3</v>
      </c>
      <c r="U3656" s="2">
        <v>1</v>
      </c>
      <c r="V3656" s="2">
        <v>34</v>
      </c>
      <c r="W3656" s="2">
        <v>1</v>
      </c>
      <c r="X3656" s="2">
        <v>19</v>
      </c>
      <c r="Z3656" s="2">
        <v>19</v>
      </c>
      <c r="AA3656" s="3" t="s">
        <v>40</v>
      </c>
      <c r="AB3656" s="2">
        <v>3</v>
      </c>
      <c r="AF3656" s="2">
        <v>22</v>
      </c>
      <c r="AG3656" s="2">
        <v>2</v>
      </c>
      <c r="AH3656" s="3" t="s">
        <v>3741</v>
      </c>
      <c r="AI3656" s="4">
        <v>45463</v>
      </c>
      <c r="AJ3656" s="3" t="s">
        <v>3814</v>
      </c>
      <c r="AK3656" s="3" t="s">
        <v>248</v>
      </c>
    </row>
    <row r="3657" spans="1:37" hidden="1" x14ac:dyDescent="0.25">
      <c r="A3657" t="str">
        <f t="shared" si="57"/>
        <v>2024_WA_Bolgart_Chickpea_DetailedTOS2VarietyHatTrickWaterTrtRainFed</v>
      </c>
      <c r="B3657" s="2">
        <v>2024040</v>
      </c>
      <c r="C3657" s="3" t="s">
        <v>3740</v>
      </c>
      <c r="D3657" s="3" t="s">
        <v>248</v>
      </c>
      <c r="F3657" s="3" t="s">
        <v>4178</v>
      </c>
      <c r="G3657" s="3" t="s">
        <v>39</v>
      </c>
      <c r="H3657" s="3" t="s">
        <v>253</v>
      </c>
      <c r="I3657" s="2">
        <v>74</v>
      </c>
      <c r="J3657" s="2">
        <v>37</v>
      </c>
      <c r="K3657" s="2">
        <v>2</v>
      </c>
      <c r="L3657" s="2">
        <v>3</v>
      </c>
      <c r="O3657" s="2">
        <v>5</v>
      </c>
      <c r="P3657" s="2">
        <v>9</v>
      </c>
      <c r="R3657" s="2">
        <v>3</v>
      </c>
      <c r="U3657" s="2">
        <v>2</v>
      </c>
      <c r="V3657" s="2">
        <v>34</v>
      </c>
      <c r="W3657" s="2">
        <v>2</v>
      </c>
      <c r="X3657" s="2">
        <v>19</v>
      </c>
      <c r="AA3657" s="3" t="s">
        <v>40</v>
      </c>
      <c r="AB3657" s="2">
        <v>3</v>
      </c>
      <c r="AF3657" s="2">
        <v>22</v>
      </c>
      <c r="AG3657" s="2">
        <v>2</v>
      </c>
      <c r="AH3657" s="3" t="s">
        <v>3741</v>
      </c>
      <c r="AI3657" s="4">
        <v>45463</v>
      </c>
      <c r="AJ3657" s="3" t="s">
        <v>3815</v>
      </c>
      <c r="AK3657" s="3" t="s">
        <v>248</v>
      </c>
    </row>
    <row r="3658" spans="1:37" hidden="1" x14ac:dyDescent="0.25">
      <c r="A3658" t="str">
        <f t="shared" si="57"/>
        <v>2024_WA_Bolgart_Chickpea_DetailedTOS2VarietyCBA_CaptainWaterTrtIrrigated</v>
      </c>
      <c r="B3658" s="2">
        <v>2024040</v>
      </c>
      <c r="C3658" s="3" t="s">
        <v>3740</v>
      </c>
      <c r="D3658" s="3" t="s">
        <v>248</v>
      </c>
      <c r="F3658" s="3" t="s">
        <v>249</v>
      </c>
      <c r="G3658" s="3" t="s">
        <v>43</v>
      </c>
      <c r="H3658" s="3" t="s">
        <v>253</v>
      </c>
      <c r="I3658" s="2">
        <v>75</v>
      </c>
      <c r="J3658" s="2">
        <v>38</v>
      </c>
      <c r="K3658" s="2">
        <v>2</v>
      </c>
      <c r="L3658" s="2">
        <v>3</v>
      </c>
      <c r="O3658" s="2">
        <v>5</v>
      </c>
      <c r="P3658" s="2">
        <v>10</v>
      </c>
      <c r="R3658" s="2">
        <v>4</v>
      </c>
      <c r="U3658" s="2">
        <v>5</v>
      </c>
      <c r="V3658" s="2">
        <v>34</v>
      </c>
      <c r="W3658" s="2">
        <v>3</v>
      </c>
      <c r="X3658" s="2">
        <v>19</v>
      </c>
      <c r="AA3658" s="3" t="s">
        <v>57</v>
      </c>
      <c r="AB3658" s="2">
        <v>1</v>
      </c>
      <c r="AF3658" s="2">
        <v>22</v>
      </c>
      <c r="AG3658" s="2">
        <v>2</v>
      </c>
      <c r="AH3658" s="3" t="s">
        <v>3741</v>
      </c>
      <c r="AI3658" s="4">
        <v>45463</v>
      </c>
      <c r="AJ3658" s="3" t="s">
        <v>3816</v>
      </c>
      <c r="AK3658" s="3" t="s">
        <v>248</v>
      </c>
    </row>
    <row r="3659" spans="1:37" hidden="1" x14ac:dyDescent="0.25">
      <c r="A3659" t="str">
        <f t="shared" si="57"/>
        <v>2024_WA_Bolgart_Chickpea_DetailedTOS2VarietyCBA_CaptainWaterTrtIrrigated</v>
      </c>
      <c r="B3659" s="2">
        <v>2024040</v>
      </c>
      <c r="C3659" s="3" t="s">
        <v>3740</v>
      </c>
      <c r="D3659" s="3" t="s">
        <v>248</v>
      </c>
      <c r="F3659" s="3" t="s">
        <v>249</v>
      </c>
      <c r="G3659" s="3" t="s">
        <v>43</v>
      </c>
      <c r="H3659" s="3" t="s">
        <v>250</v>
      </c>
      <c r="I3659" s="2">
        <v>76</v>
      </c>
      <c r="J3659" s="2">
        <v>38</v>
      </c>
      <c r="K3659" s="2">
        <v>2</v>
      </c>
      <c r="L3659" s="2">
        <v>3</v>
      </c>
      <c r="O3659" s="2">
        <v>5</v>
      </c>
      <c r="P3659" s="2">
        <v>10</v>
      </c>
      <c r="R3659" s="2">
        <v>4</v>
      </c>
      <c r="U3659" s="2">
        <v>6</v>
      </c>
      <c r="V3659" s="2">
        <v>34</v>
      </c>
      <c r="W3659" s="2">
        <v>4</v>
      </c>
      <c r="X3659" s="2">
        <v>19</v>
      </c>
      <c r="Z3659" s="2">
        <v>46</v>
      </c>
      <c r="AA3659" s="3" t="s">
        <v>57</v>
      </c>
      <c r="AB3659" s="2">
        <v>1</v>
      </c>
      <c r="AF3659" s="2">
        <v>22</v>
      </c>
      <c r="AG3659" s="2">
        <v>2</v>
      </c>
      <c r="AH3659" s="3" t="s">
        <v>3741</v>
      </c>
      <c r="AI3659" s="4">
        <v>45463</v>
      </c>
      <c r="AJ3659" s="3" t="s">
        <v>3817</v>
      </c>
      <c r="AK3659" s="3" t="s">
        <v>248</v>
      </c>
    </row>
    <row r="3660" spans="1:37" hidden="1" x14ac:dyDescent="0.25">
      <c r="A3660" t="str">
        <f t="shared" si="57"/>
        <v>2024_WA_Bolgart_Chickpea_DetailedTOS2VarietyStrikerWaterTrtRainFed</v>
      </c>
      <c r="B3660" s="2">
        <v>2024040</v>
      </c>
      <c r="C3660" s="3" t="s">
        <v>3740</v>
      </c>
      <c r="D3660" s="3" t="s">
        <v>248</v>
      </c>
      <c r="F3660" s="3" t="s">
        <v>4179</v>
      </c>
      <c r="G3660" s="3" t="s">
        <v>43</v>
      </c>
      <c r="H3660" s="3" t="s">
        <v>250</v>
      </c>
      <c r="I3660" s="2">
        <v>77</v>
      </c>
      <c r="J3660" s="2">
        <v>39</v>
      </c>
      <c r="K3660" s="2">
        <v>2</v>
      </c>
      <c r="L3660" s="2">
        <v>3</v>
      </c>
      <c r="O3660" s="2">
        <v>5</v>
      </c>
      <c r="P3660" s="2">
        <v>9</v>
      </c>
      <c r="R3660" s="2">
        <v>3</v>
      </c>
      <c r="U3660" s="2">
        <v>1</v>
      </c>
      <c r="V3660" s="2">
        <v>35</v>
      </c>
      <c r="W3660" s="2">
        <v>1</v>
      </c>
      <c r="X3660" s="2">
        <v>20</v>
      </c>
      <c r="Z3660" s="2">
        <v>20</v>
      </c>
      <c r="AA3660" s="3" t="s">
        <v>40</v>
      </c>
      <c r="AB3660" s="2">
        <v>4</v>
      </c>
      <c r="AF3660" s="2">
        <v>22</v>
      </c>
      <c r="AG3660" s="2">
        <v>2</v>
      </c>
      <c r="AH3660" s="3" t="s">
        <v>3741</v>
      </c>
      <c r="AI3660" s="4">
        <v>45463</v>
      </c>
      <c r="AJ3660" s="3" t="s">
        <v>3818</v>
      </c>
      <c r="AK3660" s="3" t="s">
        <v>248</v>
      </c>
    </row>
    <row r="3661" spans="1:37" hidden="1" x14ac:dyDescent="0.25">
      <c r="A3661" t="str">
        <f t="shared" si="57"/>
        <v>2024_WA_Bolgart_Chickpea_DetailedTOS2VarietyStrikerWaterTrtRainFed</v>
      </c>
      <c r="B3661" s="2">
        <v>2024040</v>
      </c>
      <c r="C3661" s="3" t="s">
        <v>3740</v>
      </c>
      <c r="D3661" s="3" t="s">
        <v>248</v>
      </c>
      <c r="F3661" s="3" t="s">
        <v>4179</v>
      </c>
      <c r="G3661" s="3" t="s">
        <v>43</v>
      </c>
      <c r="H3661" s="3" t="s">
        <v>253</v>
      </c>
      <c r="I3661" s="2">
        <v>78</v>
      </c>
      <c r="J3661" s="2">
        <v>39</v>
      </c>
      <c r="K3661" s="2">
        <v>2</v>
      </c>
      <c r="L3661" s="2">
        <v>3</v>
      </c>
      <c r="O3661" s="2">
        <v>5</v>
      </c>
      <c r="P3661" s="2">
        <v>9</v>
      </c>
      <c r="R3661" s="2">
        <v>3</v>
      </c>
      <c r="U3661" s="2">
        <v>2</v>
      </c>
      <c r="V3661" s="2">
        <v>35</v>
      </c>
      <c r="W3661" s="2">
        <v>2</v>
      </c>
      <c r="X3661" s="2">
        <v>20</v>
      </c>
      <c r="AA3661" s="3" t="s">
        <v>40</v>
      </c>
      <c r="AB3661" s="2">
        <v>4</v>
      </c>
      <c r="AF3661" s="2">
        <v>22</v>
      </c>
      <c r="AG3661" s="2">
        <v>2</v>
      </c>
      <c r="AH3661" s="3" t="s">
        <v>3741</v>
      </c>
      <c r="AI3661" s="4">
        <v>45463</v>
      </c>
      <c r="AJ3661" s="3" t="s">
        <v>3819</v>
      </c>
      <c r="AK3661" s="3" t="s">
        <v>248</v>
      </c>
    </row>
    <row r="3662" spans="1:37" hidden="1" x14ac:dyDescent="0.25">
      <c r="A3662" t="str">
        <f t="shared" si="57"/>
        <v>2024_WA_Bolgart_Chickpea_DetailedTOS2VarietyDrummondWaterTrtIrrigated</v>
      </c>
      <c r="B3662" s="2">
        <v>2024040</v>
      </c>
      <c r="C3662" s="3" t="s">
        <v>3740</v>
      </c>
      <c r="D3662" s="3" t="s">
        <v>248</v>
      </c>
      <c r="F3662" s="3" t="s">
        <v>4182</v>
      </c>
      <c r="G3662" s="3" t="s">
        <v>39</v>
      </c>
      <c r="H3662" s="3" t="s">
        <v>253</v>
      </c>
      <c r="I3662" s="2">
        <v>79</v>
      </c>
      <c r="J3662" s="2">
        <v>40</v>
      </c>
      <c r="K3662" s="2">
        <v>2</v>
      </c>
      <c r="L3662" s="2">
        <v>3</v>
      </c>
      <c r="O3662" s="2">
        <v>5</v>
      </c>
      <c r="P3662" s="2">
        <v>10</v>
      </c>
      <c r="R3662" s="2">
        <v>4</v>
      </c>
      <c r="U3662" s="2">
        <v>5</v>
      </c>
      <c r="V3662" s="2">
        <v>35</v>
      </c>
      <c r="W3662" s="2">
        <v>3</v>
      </c>
      <c r="X3662" s="2">
        <v>20</v>
      </c>
      <c r="AA3662" s="3" t="s">
        <v>57</v>
      </c>
      <c r="AB3662" s="2">
        <v>2</v>
      </c>
      <c r="AF3662" s="2">
        <v>22</v>
      </c>
      <c r="AG3662" s="2">
        <v>2</v>
      </c>
      <c r="AH3662" s="3" t="s">
        <v>3741</v>
      </c>
      <c r="AI3662" s="4">
        <v>45463</v>
      </c>
      <c r="AJ3662" s="3" t="s">
        <v>3820</v>
      </c>
      <c r="AK3662" s="3" t="s">
        <v>248</v>
      </c>
    </row>
    <row r="3663" spans="1:37" hidden="1" x14ac:dyDescent="0.25">
      <c r="A3663" t="str">
        <f t="shared" si="57"/>
        <v>2024_WA_Bolgart_Chickpea_DetailedTOS2VarietyDrummondWaterTrtIrrigated</v>
      </c>
      <c r="B3663" s="2">
        <v>2024040</v>
      </c>
      <c r="C3663" s="3" t="s">
        <v>3740</v>
      </c>
      <c r="D3663" s="3" t="s">
        <v>248</v>
      </c>
      <c r="F3663" s="3" t="s">
        <v>4182</v>
      </c>
      <c r="G3663" s="3" t="s">
        <v>39</v>
      </c>
      <c r="H3663" s="3" t="s">
        <v>250</v>
      </c>
      <c r="I3663" s="2">
        <v>80</v>
      </c>
      <c r="J3663" s="2">
        <v>40</v>
      </c>
      <c r="K3663" s="2">
        <v>2</v>
      </c>
      <c r="L3663" s="2">
        <v>3</v>
      </c>
      <c r="O3663" s="2">
        <v>5</v>
      </c>
      <c r="P3663" s="2">
        <v>10</v>
      </c>
      <c r="R3663" s="2">
        <v>4</v>
      </c>
      <c r="U3663" s="2">
        <v>6</v>
      </c>
      <c r="V3663" s="2">
        <v>35</v>
      </c>
      <c r="W3663" s="2">
        <v>4</v>
      </c>
      <c r="X3663" s="2">
        <v>20</v>
      </c>
      <c r="Z3663" s="2">
        <v>45</v>
      </c>
      <c r="AA3663" s="3" t="s">
        <v>57</v>
      </c>
      <c r="AB3663" s="2">
        <v>2</v>
      </c>
      <c r="AF3663" s="2">
        <v>22</v>
      </c>
      <c r="AG3663" s="2">
        <v>2</v>
      </c>
      <c r="AH3663" s="3" t="s">
        <v>3741</v>
      </c>
      <c r="AI3663" s="4">
        <v>45463</v>
      </c>
      <c r="AJ3663" s="3" t="s">
        <v>3821</v>
      </c>
      <c r="AK3663" s="3" t="s">
        <v>248</v>
      </c>
    </row>
    <row r="3664" spans="1:37" hidden="1" x14ac:dyDescent="0.25">
      <c r="A3664" t="str">
        <f t="shared" si="57"/>
        <v>2024_WA_Bolgart_Chickpea_DetailedTOS1VarietyHatTrickWaterTrtRainFed</v>
      </c>
      <c r="B3664" s="2">
        <v>2024040</v>
      </c>
      <c r="C3664" s="3" t="s">
        <v>3740</v>
      </c>
      <c r="D3664" s="3" t="s">
        <v>248</v>
      </c>
      <c r="F3664" s="3" t="s">
        <v>4178</v>
      </c>
      <c r="G3664" s="3" t="s">
        <v>39</v>
      </c>
      <c r="H3664" s="3" t="s">
        <v>250</v>
      </c>
      <c r="I3664" s="2">
        <v>81</v>
      </c>
      <c r="J3664" s="2">
        <v>41</v>
      </c>
      <c r="K3664" s="2">
        <v>2</v>
      </c>
      <c r="L3664" s="2">
        <v>3</v>
      </c>
      <c r="O3664" s="2">
        <v>6</v>
      </c>
      <c r="P3664" s="2">
        <v>11</v>
      </c>
      <c r="R3664" s="2">
        <v>3</v>
      </c>
      <c r="U3664" s="2">
        <v>1</v>
      </c>
      <c r="V3664" s="2">
        <v>40</v>
      </c>
      <c r="W3664" s="2">
        <v>1</v>
      </c>
      <c r="X3664" s="2">
        <v>21</v>
      </c>
      <c r="Z3664" s="2">
        <v>21</v>
      </c>
      <c r="AA3664" s="3" t="s">
        <v>40</v>
      </c>
      <c r="AB3664" s="2">
        <v>3</v>
      </c>
      <c r="AF3664" s="2">
        <v>22</v>
      </c>
      <c r="AG3664" s="2">
        <v>1</v>
      </c>
      <c r="AH3664" s="3" t="s">
        <v>3480</v>
      </c>
      <c r="AI3664" s="4">
        <v>45434</v>
      </c>
      <c r="AJ3664" s="3" t="s">
        <v>3822</v>
      </c>
      <c r="AK3664" s="3" t="s">
        <v>248</v>
      </c>
    </row>
    <row r="3665" spans="1:37" hidden="1" x14ac:dyDescent="0.25">
      <c r="A3665" t="str">
        <f t="shared" si="57"/>
        <v>2024_WA_Bolgart_Chickpea_DetailedTOS1VarietyHatTrickWaterTrtRainFed</v>
      </c>
      <c r="B3665" s="2">
        <v>2024040</v>
      </c>
      <c r="C3665" s="3" t="s">
        <v>3740</v>
      </c>
      <c r="D3665" s="3" t="s">
        <v>248</v>
      </c>
      <c r="F3665" s="3" t="s">
        <v>4178</v>
      </c>
      <c r="G3665" s="3" t="s">
        <v>39</v>
      </c>
      <c r="H3665" s="3" t="s">
        <v>253</v>
      </c>
      <c r="I3665" s="2">
        <v>82</v>
      </c>
      <c r="J3665" s="2">
        <v>41</v>
      </c>
      <c r="K3665" s="2">
        <v>2</v>
      </c>
      <c r="L3665" s="2">
        <v>3</v>
      </c>
      <c r="O3665" s="2">
        <v>6</v>
      </c>
      <c r="P3665" s="2">
        <v>11</v>
      </c>
      <c r="R3665" s="2">
        <v>3</v>
      </c>
      <c r="U3665" s="2">
        <v>2</v>
      </c>
      <c r="V3665" s="2">
        <v>40</v>
      </c>
      <c r="W3665" s="2">
        <v>2</v>
      </c>
      <c r="X3665" s="2">
        <v>21</v>
      </c>
      <c r="AA3665" s="3" t="s">
        <v>40</v>
      </c>
      <c r="AB3665" s="2">
        <v>3</v>
      </c>
      <c r="AF3665" s="2">
        <v>22</v>
      </c>
      <c r="AG3665" s="2">
        <v>1</v>
      </c>
      <c r="AH3665" s="3" t="s">
        <v>3480</v>
      </c>
      <c r="AI3665" s="4">
        <v>45434</v>
      </c>
      <c r="AJ3665" s="3" t="s">
        <v>3823</v>
      </c>
      <c r="AK3665" s="3" t="s">
        <v>248</v>
      </c>
    </row>
    <row r="3666" spans="1:37" hidden="1" x14ac:dyDescent="0.25">
      <c r="A3666" t="str">
        <f t="shared" si="57"/>
        <v>2024_WA_Bolgart_Chickpea_DetailedTOS1VarietyStrikerWaterTrtIrrigated</v>
      </c>
      <c r="B3666" s="2">
        <v>2024040</v>
      </c>
      <c r="C3666" s="3" t="s">
        <v>3740</v>
      </c>
      <c r="D3666" s="3" t="s">
        <v>248</v>
      </c>
      <c r="F3666" s="3" t="s">
        <v>4179</v>
      </c>
      <c r="G3666" s="3" t="s">
        <v>43</v>
      </c>
      <c r="H3666" s="3" t="s">
        <v>253</v>
      </c>
      <c r="I3666" s="2">
        <v>83</v>
      </c>
      <c r="J3666" s="2">
        <v>42</v>
      </c>
      <c r="K3666" s="2">
        <v>2</v>
      </c>
      <c r="L3666" s="2">
        <v>3</v>
      </c>
      <c r="O3666" s="2">
        <v>6</v>
      </c>
      <c r="P3666" s="2">
        <v>12</v>
      </c>
      <c r="R3666" s="2">
        <v>4</v>
      </c>
      <c r="U3666" s="2">
        <v>5</v>
      </c>
      <c r="V3666" s="2">
        <v>40</v>
      </c>
      <c r="W3666" s="2">
        <v>3</v>
      </c>
      <c r="X3666" s="2">
        <v>21</v>
      </c>
      <c r="AA3666" s="3" t="s">
        <v>57</v>
      </c>
      <c r="AB3666" s="2">
        <v>4</v>
      </c>
      <c r="AF3666" s="2">
        <v>22</v>
      </c>
      <c r="AG3666" s="2">
        <v>1</v>
      </c>
      <c r="AH3666" s="3" t="s">
        <v>3480</v>
      </c>
      <c r="AI3666" s="4">
        <v>45434</v>
      </c>
      <c r="AJ3666" s="3" t="s">
        <v>3824</v>
      </c>
      <c r="AK3666" s="3" t="s">
        <v>248</v>
      </c>
    </row>
    <row r="3667" spans="1:37" hidden="1" x14ac:dyDescent="0.25">
      <c r="A3667" t="str">
        <f t="shared" si="57"/>
        <v>2024_WA_Bolgart_Chickpea_DetailedTOS1VarietyStrikerWaterTrtIrrigated</v>
      </c>
      <c r="B3667" s="2">
        <v>2024040</v>
      </c>
      <c r="C3667" s="3" t="s">
        <v>3740</v>
      </c>
      <c r="D3667" s="3" t="s">
        <v>248</v>
      </c>
      <c r="F3667" s="3" t="s">
        <v>4179</v>
      </c>
      <c r="G3667" s="3" t="s">
        <v>43</v>
      </c>
      <c r="H3667" s="3" t="s">
        <v>250</v>
      </c>
      <c r="I3667" s="2">
        <v>84</v>
      </c>
      <c r="J3667" s="2">
        <v>42</v>
      </c>
      <c r="K3667" s="2">
        <v>2</v>
      </c>
      <c r="L3667" s="2">
        <v>3</v>
      </c>
      <c r="O3667" s="2">
        <v>6</v>
      </c>
      <c r="P3667" s="2">
        <v>12</v>
      </c>
      <c r="R3667" s="2">
        <v>4</v>
      </c>
      <c r="U3667" s="2">
        <v>6</v>
      </c>
      <c r="V3667" s="2">
        <v>40</v>
      </c>
      <c r="W3667" s="2">
        <v>4</v>
      </c>
      <c r="X3667" s="2">
        <v>21</v>
      </c>
      <c r="Z3667" s="2">
        <v>44</v>
      </c>
      <c r="AA3667" s="3" t="s">
        <v>57</v>
      </c>
      <c r="AB3667" s="2">
        <v>4</v>
      </c>
      <c r="AF3667" s="2">
        <v>22</v>
      </c>
      <c r="AG3667" s="2">
        <v>1</v>
      </c>
      <c r="AH3667" s="3" t="s">
        <v>3480</v>
      </c>
      <c r="AI3667" s="4">
        <v>45434</v>
      </c>
      <c r="AJ3667" s="3" t="s">
        <v>3825</v>
      </c>
      <c r="AK3667" s="3" t="s">
        <v>248</v>
      </c>
    </row>
    <row r="3668" spans="1:37" hidden="1" x14ac:dyDescent="0.25">
      <c r="A3668" t="str">
        <f t="shared" si="57"/>
        <v>2024_WA_Bolgart_Chickpea_DetailedTOS1VarietyCBA_CaptainWaterTrtRainFed</v>
      </c>
      <c r="B3668" s="2">
        <v>2024040</v>
      </c>
      <c r="C3668" s="3" t="s">
        <v>3740</v>
      </c>
      <c r="D3668" s="3" t="s">
        <v>248</v>
      </c>
      <c r="F3668" s="3" t="s">
        <v>249</v>
      </c>
      <c r="G3668" s="3" t="s">
        <v>43</v>
      </c>
      <c r="H3668" s="3" t="s">
        <v>250</v>
      </c>
      <c r="I3668" s="2">
        <v>85</v>
      </c>
      <c r="J3668" s="2">
        <v>43</v>
      </c>
      <c r="K3668" s="2">
        <v>2</v>
      </c>
      <c r="L3668" s="2">
        <v>3</v>
      </c>
      <c r="O3668" s="2">
        <v>6</v>
      </c>
      <c r="P3668" s="2">
        <v>11</v>
      </c>
      <c r="R3668" s="2">
        <v>3</v>
      </c>
      <c r="U3668" s="2">
        <v>1</v>
      </c>
      <c r="V3668" s="2">
        <v>41</v>
      </c>
      <c r="W3668" s="2">
        <v>1</v>
      </c>
      <c r="X3668" s="2">
        <v>22</v>
      </c>
      <c r="Z3668" s="2">
        <v>22</v>
      </c>
      <c r="AA3668" s="3" t="s">
        <v>40</v>
      </c>
      <c r="AB3668" s="2">
        <v>1</v>
      </c>
      <c r="AF3668" s="2">
        <v>22</v>
      </c>
      <c r="AG3668" s="2">
        <v>1</v>
      </c>
      <c r="AH3668" s="3" t="s">
        <v>3480</v>
      </c>
      <c r="AI3668" s="4">
        <v>45434</v>
      </c>
      <c r="AJ3668" s="3" t="s">
        <v>3826</v>
      </c>
      <c r="AK3668" s="3" t="s">
        <v>248</v>
      </c>
    </row>
    <row r="3669" spans="1:37" hidden="1" x14ac:dyDescent="0.25">
      <c r="A3669" t="str">
        <f t="shared" si="57"/>
        <v>2024_WA_Bolgart_Chickpea_DetailedTOS1VarietyCBA_CaptainWaterTrtRainFed</v>
      </c>
      <c r="B3669" s="2">
        <v>2024040</v>
      </c>
      <c r="C3669" s="3" t="s">
        <v>3740</v>
      </c>
      <c r="D3669" s="3" t="s">
        <v>248</v>
      </c>
      <c r="F3669" s="3" t="s">
        <v>249</v>
      </c>
      <c r="G3669" s="3" t="s">
        <v>43</v>
      </c>
      <c r="H3669" s="3" t="s">
        <v>253</v>
      </c>
      <c r="I3669" s="2">
        <v>86</v>
      </c>
      <c r="J3669" s="2">
        <v>43</v>
      </c>
      <c r="K3669" s="2">
        <v>2</v>
      </c>
      <c r="L3669" s="2">
        <v>3</v>
      </c>
      <c r="O3669" s="2">
        <v>6</v>
      </c>
      <c r="P3669" s="2">
        <v>11</v>
      </c>
      <c r="R3669" s="2">
        <v>3</v>
      </c>
      <c r="U3669" s="2">
        <v>2</v>
      </c>
      <c r="V3669" s="2">
        <v>41</v>
      </c>
      <c r="W3669" s="2">
        <v>2</v>
      </c>
      <c r="X3669" s="2">
        <v>22</v>
      </c>
      <c r="AA3669" s="3" t="s">
        <v>40</v>
      </c>
      <c r="AB3669" s="2">
        <v>1</v>
      </c>
      <c r="AF3669" s="2">
        <v>22</v>
      </c>
      <c r="AG3669" s="2">
        <v>1</v>
      </c>
      <c r="AH3669" s="3" t="s">
        <v>3480</v>
      </c>
      <c r="AI3669" s="4">
        <v>45434</v>
      </c>
      <c r="AJ3669" s="3" t="s">
        <v>3827</v>
      </c>
      <c r="AK3669" s="3" t="s">
        <v>248</v>
      </c>
    </row>
    <row r="3670" spans="1:37" hidden="1" x14ac:dyDescent="0.25">
      <c r="A3670" t="str">
        <f t="shared" si="57"/>
        <v>2024_WA_Bolgart_Chickpea_DetailedTOS1VarietyDrummondWaterTrtIrrigated</v>
      </c>
      <c r="B3670" s="2">
        <v>2024040</v>
      </c>
      <c r="C3670" s="3" t="s">
        <v>3740</v>
      </c>
      <c r="D3670" s="3" t="s">
        <v>248</v>
      </c>
      <c r="F3670" s="3" t="s">
        <v>4182</v>
      </c>
      <c r="G3670" s="3" t="s">
        <v>39</v>
      </c>
      <c r="H3670" s="3" t="s">
        <v>253</v>
      </c>
      <c r="I3670" s="2">
        <v>87</v>
      </c>
      <c r="J3670" s="2">
        <v>44</v>
      </c>
      <c r="K3670" s="2">
        <v>2</v>
      </c>
      <c r="L3670" s="2">
        <v>3</v>
      </c>
      <c r="O3670" s="2">
        <v>6</v>
      </c>
      <c r="P3670" s="2">
        <v>12</v>
      </c>
      <c r="R3670" s="2">
        <v>4</v>
      </c>
      <c r="U3670" s="2">
        <v>5</v>
      </c>
      <c r="V3670" s="2">
        <v>41</v>
      </c>
      <c r="W3670" s="2">
        <v>3</v>
      </c>
      <c r="X3670" s="2">
        <v>22</v>
      </c>
      <c r="AA3670" s="3" t="s">
        <v>57</v>
      </c>
      <c r="AB3670" s="2">
        <v>2</v>
      </c>
      <c r="AF3670" s="2">
        <v>22</v>
      </c>
      <c r="AG3670" s="2">
        <v>1</v>
      </c>
      <c r="AH3670" s="3" t="s">
        <v>3480</v>
      </c>
      <c r="AI3670" s="4">
        <v>45434</v>
      </c>
      <c r="AJ3670" s="3" t="s">
        <v>3828</v>
      </c>
      <c r="AK3670" s="3" t="s">
        <v>248</v>
      </c>
    </row>
    <row r="3671" spans="1:37" hidden="1" x14ac:dyDescent="0.25">
      <c r="A3671" t="str">
        <f t="shared" si="57"/>
        <v>2024_WA_Bolgart_Chickpea_DetailedTOS1VarietyDrummondWaterTrtIrrigated</v>
      </c>
      <c r="B3671" s="2">
        <v>2024040</v>
      </c>
      <c r="C3671" s="3" t="s">
        <v>3740</v>
      </c>
      <c r="D3671" s="3" t="s">
        <v>248</v>
      </c>
      <c r="F3671" s="3" t="s">
        <v>4182</v>
      </c>
      <c r="G3671" s="3" t="s">
        <v>39</v>
      </c>
      <c r="H3671" s="3" t="s">
        <v>250</v>
      </c>
      <c r="I3671" s="2">
        <v>88</v>
      </c>
      <c r="J3671" s="2">
        <v>44</v>
      </c>
      <c r="K3671" s="2">
        <v>2</v>
      </c>
      <c r="L3671" s="2">
        <v>3</v>
      </c>
      <c r="O3671" s="2">
        <v>6</v>
      </c>
      <c r="P3671" s="2">
        <v>12</v>
      </c>
      <c r="R3671" s="2">
        <v>4</v>
      </c>
      <c r="U3671" s="2">
        <v>6</v>
      </c>
      <c r="V3671" s="2">
        <v>41</v>
      </c>
      <c r="W3671" s="2">
        <v>4</v>
      </c>
      <c r="X3671" s="2">
        <v>22</v>
      </c>
      <c r="Z3671" s="2">
        <v>43</v>
      </c>
      <c r="AA3671" s="3" t="s">
        <v>57</v>
      </c>
      <c r="AB3671" s="2">
        <v>2</v>
      </c>
      <c r="AF3671" s="2">
        <v>22</v>
      </c>
      <c r="AG3671" s="2">
        <v>1</v>
      </c>
      <c r="AH3671" s="3" t="s">
        <v>3480</v>
      </c>
      <c r="AI3671" s="4">
        <v>45434</v>
      </c>
      <c r="AJ3671" s="3" t="s">
        <v>3829</v>
      </c>
      <c r="AK3671" s="3" t="s">
        <v>248</v>
      </c>
    </row>
    <row r="3672" spans="1:37" hidden="1" x14ac:dyDescent="0.25">
      <c r="A3672" t="str">
        <f t="shared" si="57"/>
        <v>2024_WA_Bolgart_Chickpea_DetailedTOS1VarietyDrummondWaterTrtRainFed</v>
      </c>
      <c r="B3672" s="2">
        <v>2024040</v>
      </c>
      <c r="C3672" s="3" t="s">
        <v>3740</v>
      </c>
      <c r="D3672" s="3" t="s">
        <v>248</v>
      </c>
      <c r="F3672" s="3" t="s">
        <v>4182</v>
      </c>
      <c r="G3672" s="3" t="s">
        <v>39</v>
      </c>
      <c r="H3672" s="3" t="s">
        <v>250</v>
      </c>
      <c r="I3672" s="2">
        <v>89</v>
      </c>
      <c r="J3672" s="2">
        <v>45</v>
      </c>
      <c r="K3672" s="2">
        <v>2</v>
      </c>
      <c r="L3672" s="2">
        <v>3</v>
      </c>
      <c r="O3672" s="2">
        <v>6</v>
      </c>
      <c r="P3672" s="2">
        <v>11</v>
      </c>
      <c r="R3672" s="2">
        <v>3</v>
      </c>
      <c r="U3672" s="2">
        <v>1</v>
      </c>
      <c r="V3672" s="2">
        <v>42</v>
      </c>
      <c r="W3672" s="2">
        <v>1</v>
      </c>
      <c r="X3672" s="2">
        <v>23</v>
      </c>
      <c r="Z3672" s="2">
        <v>23</v>
      </c>
      <c r="AA3672" s="3" t="s">
        <v>40</v>
      </c>
      <c r="AB3672" s="2">
        <v>2</v>
      </c>
      <c r="AF3672" s="2">
        <v>22</v>
      </c>
      <c r="AG3672" s="2">
        <v>1</v>
      </c>
      <c r="AH3672" s="3" t="s">
        <v>3480</v>
      </c>
      <c r="AI3672" s="4">
        <v>45434</v>
      </c>
      <c r="AJ3672" s="3" t="s">
        <v>3830</v>
      </c>
      <c r="AK3672" s="3" t="s">
        <v>248</v>
      </c>
    </row>
    <row r="3673" spans="1:37" hidden="1" x14ac:dyDescent="0.25">
      <c r="A3673" t="str">
        <f t="shared" si="57"/>
        <v>2024_WA_Bolgart_Chickpea_DetailedTOS1VarietyDrummondWaterTrtRainFed</v>
      </c>
      <c r="B3673" s="2">
        <v>2024040</v>
      </c>
      <c r="C3673" s="3" t="s">
        <v>3740</v>
      </c>
      <c r="D3673" s="3" t="s">
        <v>248</v>
      </c>
      <c r="F3673" s="3" t="s">
        <v>4182</v>
      </c>
      <c r="G3673" s="3" t="s">
        <v>39</v>
      </c>
      <c r="H3673" s="3" t="s">
        <v>253</v>
      </c>
      <c r="I3673" s="2">
        <v>90</v>
      </c>
      <c r="J3673" s="2">
        <v>45</v>
      </c>
      <c r="K3673" s="2">
        <v>2</v>
      </c>
      <c r="L3673" s="2">
        <v>3</v>
      </c>
      <c r="O3673" s="2">
        <v>6</v>
      </c>
      <c r="P3673" s="2">
        <v>11</v>
      </c>
      <c r="R3673" s="2">
        <v>3</v>
      </c>
      <c r="U3673" s="2">
        <v>2</v>
      </c>
      <c r="V3673" s="2">
        <v>42</v>
      </c>
      <c r="W3673" s="2">
        <v>2</v>
      </c>
      <c r="X3673" s="2">
        <v>23</v>
      </c>
      <c r="AA3673" s="3" t="s">
        <v>40</v>
      </c>
      <c r="AB3673" s="2">
        <v>2</v>
      </c>
      <c r="AF3673" s="2">
        <v>22</v>
      </c>
      <c r="AG3673" s="2">
        <v>1</v>
      </c>
      <c r="AH3673" s="3" t="s">
        <v>3480</v>
      </c>
      <c r="AI3673" s="4">
        <v>45434</v>
      </c>
      <c r="AJ3673" s="3" t="s">
        <v>3831</v>
      </c>
      <c r="AK3673" s="3" t="s">
        <v>248</v>
      </c>
    </row>
    <row r="3674" spans="1:37" hidden="1" x14ac:dyDescent="0.25">
      <c r="A3674" t="str">
        <f t="shared" si="57"/>
        <v>2024_WA_Bolgart_Chickpea_DetailedTOS1VarietyHatTrickWaterTrtIrrigated</v>
      </c>
      <c r="B3674" s="2">
        <v>2024040</v>
      </c>
      <c r="C3674" s="3" t="s">
        <v>3740</v>
      </c>
      <c r="D3674" s="3" t="s">
        <v>248</v>
      </c>
      <c r="F3674" s="3" t="s">
        <v>4178</v>
      </c>
      <c r="G3674" s="3" t="s">
        <v>39</v>
      </c>
      <c r="H3674" s="3" t="s">
        <v>253</v>
      </c>
      <c r="I3674" s="2">
        <v>91</v>
      </c>
      <c r="J3674" s="2">
        <v>46</v>
      </c>
      <c r="K3674" s="2">
        <v>2</v>
      </c>
      <c r="L3674" s="2">
        <v>3</v>
      </c>
      <c r="O3674" s="2">
        <v>6</v>
      </c>
      <c r="P3674" s="2">
        <v>12</v>
      </c>
      <c r="R3674" s="2">
        <v>4</v>
      </c>
      <c r="U3674" s="2">
        <v>5</v>
      </c>
      <c r="V3674" s="2">
        <v>42</v>
      </c>
      <c r="W3674" s="2">
        <v>3</v>
      </c>
      <c r="X3674" s="2">
        <v>23</v>
      </c>
      <c r="AA3674" s="3" t="s">
        <v>57</v>
      </c>
      <c r="AB3674" s="2">
        <v>3</v>
      </c>
      <c r="AF3674" s="2">
        <v>22</v>
      </c>
      <c r="AG3674" s="2">
        <v>1</v>
      </c>
      <c r="AH3674" s="3" t="s">
        <v>3480</v>
      </c>
      <c r="AI3674" s="4">
        <v>45434</v>
      </c>
      <c r="AJ3674" s="3" t="s">
        <v>3832</v>
      </c>
      <c r="AK3674" s="3" t="s">
        <v>248</v>
      </c>
    </row>
    <row r="3675" spans="1:37" hidden="1" x14ac:dyDescent="0.25">
      <c r="A3675" t="str">
        <f t="shared" si="57"/>
        <v>2024_WA_Bolgart_Chickpea_DetailedTOS1VarietyHatTrickWaterTrtIrrigated</v>
      </c>
      <c r="B3675" s="2">
        <v>2024040</v>
      </c>
      <c r="C3675" s="3" t="s">
        <v>3740</v>
      </c>
      <c r="D3675" s="3" t="s">
        <v>248</v>
      </c>
      <c r="F3675" s="3" t="s">
        <v>4178</v>
      </c>
      <c r="G3675" s="3" t="s">
        <v>39</v>
      </c>
      <c r="H3675" s="3" t="s">
        <v>250</v>
      </c>
      <c r="I3675" s="2">
        <v>92</v>
      </c>
      <c r="J3675" s="2">
        <v>46</v>
      </c>
      <c r="K3675" s="2">
        <v>2</v>
      </c>
      <c r="L3675" s="2">
        <v>3</v>
      </c>
      <c r="O3675" s="2">
        <v>6</v>
      </c>
      <c r="P3675" s="2">
        <v>12</v>
      </c>
      <c r="R3675" s="2">
        <v>4</v>
      </c>
      <c r="U3675" s="2">
        <v>6</v>
      </c>
      <c r="V3675" s="2">
        <v>42</v>
      </c>
      <c r="W3675" s="2">
        <v>4</v>
      </c>
      <c r="X3675" s="2">
        <v>23</v>
      </c>
      <c r="Z3675" s="2">
        <v>42</v>
      </c>
      <c r="AA3675" s="3" t="s">
        <v>57</v>
      </c>
      <c r="AB3675" s="2">
        <v>3</v>
      </c>
      <c r="AF3675" s="2">
        <v>22</v>
      </c>
      <c r="AG3675" s="2">
        <v>1</v>
      </c>
      <c r="AH3675" s="3" t="s">
        <v>3480</v>
      </c>
      <c r="AI3675" s="4">
        <v>45434</v>
      </c>
      <c r="AJ3675" s="3" t="s">
        <v>3833</v>
      </c>
      <c r="AK3675" s="3" t="s">
        <v>248</v>
      </c>
    </row>
    <row r="3676" spans="1:37" hidden="1" x14ac:dyDescent="0.25">
      <c r="A3676" t="str">
        <f t="shared" si="57"/>
        <v>2024_WA_Bolgart_Chickpea_DetailedTOS1VarietyStrikerWaterTrtRainFed</v>
      </c>
      <c r="B3676" s="2">
        <v>2024040</v>
      </c>
      <c r="C3676" s="3" t="s">
        <v>3740</v>
      </c>
      <c r="D3676" s="3" t="s">
        <v>248</v>
      </c>
      <c r="F3676" s="3" t="s">
        <v>4179</v>
      </c>
      <c r="G3676" s="3" t="s">
        <v>43</v>
      </c>
      <c r="H3676" s="3" t="s">
        <v>250</v>
      </c>
      <c r="I3676" s="2">
        <v>93</v>
      </c>
      <c r="J3676" s="2">
        <v>47</v>
      </c>
      <c r="K3676" s="2">
        <v>2</v>
      </c>
      <c r="L3676" s="2">
        <v>3</v>
      </c>
      <c r="O3676" s="2">
        <v>6</v>
      </c>
      <c r="P3676" s="2">
        <v>11</v>
      </c>
      <c r="R3676" s="2">
        <v>3</v>
      </c>
      <c r="U3676" s="2">
        <v>1</v>
      </c>
      <c r="V3676" s="2">
        <v>43</v>
      </c>
      <c r="W3676" s="2">
        <v>1</v>
      </c>
      <c r="X3676" s="2">
        <v>24</v>
      </c>
      <c r="Z3676" s="2">
        <v>24</v>
      </c>
      <c r="AA3676" s="3" t="s">
        <v>40</v>
      </c>
      <c r="AB3676" s="2">
        <v>4</v>
      </c>
      <c r="AF3676" s="2">
        <v>22</v>
      </c>
      <c r="AG3676" s="2">
        <v>1</v>
      </c>
      <c r="AH3676" s="3" t="s">
        <v>3480</v>
      </c>
      <c r="AI3676" s="4">
        <v>45434</v>
      </c>
      <c r="AJ3676" s="3" t="s">
        <v>3834</v>
      </c>
      <c r="AK3676" s="3" t="s">
        <v>248</v>
      </c>
    </row>
    <row r="3677" spans="1:37" hidden="1" x14ac:dyDescent="0.25">
      <c r="A3677" t="str">
        <f t="shared" si="57"/>
        <v>2024_WA_Bolgart_Chickpea_DetailedTOS1VarietyStrikerWaterTrtRainFed</v>
      </c>
      <c r="B3677" s="2">
        <v>2024040</v>
      </c>
      <c r="C3677" s="3" t="s">
        <v>3740</v>
      </c>
      <c r="D3677" s="3" t="s">
        <v>248</v>
      </c>
      <c r="F3677" s="3" t="s">
        <v>4179</v>
      </c>
      <c r="G3677" s="3" t="s">
        <v>43</v>
      </c>
      <c r="H3677" s="3" t="s">
        <v>253</v>
      </c>
      <c r="I3677" s="2">
        <v>94</v>
      </c>
      <c r="J3677" s="2">
        <v>47</v>
      </c>
      <c r="K3677" s="2">
        <v>2</v>
      </c>
      <c r="L3677" s="2">
        <v>3</v>
      </c>
      <c r="O3677" s="2">
        <v>6</v>
      </c>
      <c r="P3677" s="2">
        <v>11</v>
      </c>
      <c r="R3677" s="2">
        <v>3</v>
      </c>
      <c r="U3677" s="2">
        <v>2</v>
      </c>
      <c r="V3677" s="2">
        <v>43</v>
      </c>
      <c r="W3677" s="2">
        <v>2</v>
      </c>
      <c r="X3677" s="2">
        <v>24</v>
      </c>
      <c r="AA3677" s="3" t="s">
        <v>40</v>
      </c>
      <c r="AB3677" s="2">
        <v>4</v>
      </c>
      <c r="AF3677" s="2">
        <v>22</v>
      </c>
      <c r="AG3677" s="2">
        <v>1</v>
      </c>
      <c r="AH3677" s="3" t="s">
        <v>3480</v>
      </c>
      <c r="AI3677" s="4">
        <v>45434</v>
      </c>
      <c r="AJ3677" s="3" t="s">
        <v>3835</v>
      </c>
      <c r="AK3677" s="3" t="s">
        <v>248</v>
      </c>
    </row>
    <row r="3678" spans="1:37" hidden="1" x14ac:dyDescent="0.25">
      <c r="A3678" t="str">
        <f t="shared" si="57"/>
        <v>2024_WA_Bolgart_Chickpea_DetailedTOS1VarietyCBA_CaptainWaterTrtIrrigated</v>
      </c>
      <c r="B3678" s="2">
        <v>2024040</v>
      </c>
      <c r="C3678" s="3" t="s">
        <v>3740</v>
      </c>
      <c r="D3678" s="3" t="s">
        <v>248</v>
      </c>
      <c r="F3678" s="3" t="s">
        <v>249</v>
      </c>
      <c r="G3678" s="3" t="s">
        <v>43</v>
      </c>
      <c r="H3678" s="3" t="s">
        <v>253</v>
      </c>
      <c r="I3678" s="2">
        <v>95</v>
      </c>
      <c r="J3678" s="2">
        <v>48</v>
      </c>
      <c r="K3678" s="2">
        <v>2</v>
      </c>
      <c r="L3678" s="2">
        <v>3</v>
      </c>
      <c r="O3678" s="2">
        <v>6</v>
      </c>
      <c r="P3678" s="2">
        <v>12</v>
      </c>
      <c r="R3678" s="2">
        <v>4</v>
      </c>
      <c r="U3678" s="2">
        <v>5</v>
      </c>
      <c r="V3678" s="2">
        <v>43</v>
      </c>
      <c r="W3678" s="2">
        <v>3</v>
      </c>
      <c r="X3678" s="2">
        <v>24</v>
      </c>
      <c r="AA3678" s="3" t="s">
        <v>57</v>
      </c>
      <c r="AB3678" s="2">
        <v>1</v>
      </c>
      <c r="AF3678" s="2">
        <v>22</v>
      </c>
      <c r="AG3678" s="2">
        <v>1</v>
      </c>
      <c r="AH3678" s="3" t="s">
        <v>3480</v>
      </c>
      <c r="AI3678" s="4">
        <v>45434</v>
      </c>
      <c r="AJ3678" s="3" t="s">
        <v>3836</v>
      </c>
      <c r="AK3678" s="3" t="s">
        <v>248</v>
      </c>
    </row>
    <row r="3679" spans="1:37" hidden="1" x14ac:dyDescent="0.25">
      <c r="A3679" t="str">
        <f t="shared" si="57"/>
        <v>2024_WA_Bolgart_Chickpea_DetailedTOS1VarietyCBA_CaptainWaterTrtIrrigated</v>
      </c>
      <c r="B3679" s="2">
        <v>2024040</v>
      </c>
      <c r="C3679" s="3" t="s">
        <v>3740</v>
      </c>
      <c r="D3679" s="3" t="s">
        <v>248</v>
      </c>
      <c r="F3679" s="3" t="s">
        <v>249</v>
      </c>
      <c r="G3679" s="3" t="s">
        <v>43</v>
      </c>
      <c r="H3679" s="3" t="s">
        <v>250</v>
      </c>
      <c r="I3679" s="2">
        <v>96</v>
      </c>
      <c r="J3679" s="2">
        <v>48</v>
      </c>
      <c r="K3679" s="2">
        <v>2</v>
      </c>
      <c r="L3679" s="2">
        <v>3</v>
      </c>
      <c r="O3679" s="2">
        <v>6</v>
      </c>
      <c r="P3679" s="2">
        <v>12</v>
      </c>
      <c r="R3679" s="2">
        <v>4</v>
      </c>
      <c r="U3679" s="2">
        <v>6</v>
      </c>
      <c r="V3679" s="2">
        <v>43</v>
      </c>
      <c r="W3679" s="2">
        <v>4</v>
      </c>
      <c r="X3679" s="2">
        <v>24</v>
      </c>
      <c r="Z3679" s="2">
        <v>41</v>
      </c>
      <c r="AA3679" s="3" t="s">
        <v>57</v>
      </c>
      <c r="AB3679" s="2">
        <v>1</v>
      </c>
      <c r="AF3679" s="2">
        <v>22</v>
      </c>
      <c r="AG3679" s="2">
        <v>1</v>
      </c>
      <c r="AH3679" s="3" t="s">
        <v>3480</v>
      </c>
      <c r="AI3679" s="4">
        <v>45434</v>
      </c>
      <c r="AJ3679" s="3" t="s">
        <v>3837</v>
      </c>
      <c r="AK3679" s="3" t="s">
        <v>248</v>
      </c>
    </row>
    <row r="3680" spans="1:37" hidden="1" x14ac:dyDescent="0.25">
      <c r="A3680" t="str">
        <f t="shared" si="57"/>
        <v>2024_WA_Bolgart_Chickpea_DetailedTOS1VarietyCBA_CaptainWaterTrtRainFed</v>
      </c>
      <c r="B3680" s="2">
        <v>2024040</v>
      </c>
      <c r="C3680" s="3" t="s">
        <v>3740</v>
      </c>
      <c r="D3680" s="3" t="s">
        <v>248</v>
      </c>
      <c r="F3680" s="3" t="s">
        <v>249</v>
      </c>
      <c r="G3680" s="3" t="s">
        <v>43</v>
      </c>
      <c r="H3680" s="3" t="s">
        <v>250</v>
      </c>
      <c r="I3680" s="2">
        <v>97</v>
      </c>
      <c r="J3680" s="2">
        <v>49</v>
      </c>
      <c r="K3680" s="2">
        <v>2</v>
      </c>
      <c r="L3680" s="2">
        <v>4</v>
      </c>
      <c r="O3680" s="2">
        <v>7</v>
      </c>
      <c r="P3680" s="2">
        <v>13</v>
      </c>
      <c r="R3680" s="2">
        <v>3</v>
      </c>
      <c r="U3680" s="2">
        <v>1</v>
      </c>
      <c r="V3680" s="2">
        <v>44</v>
      </c>
      <c r="W3680" s="2">
        <v>1</v>
      </c>
      <c r="X3680" s="2">
        <v>25</v>
      </c>
      <c r="Z3680" s="2">
        <v>25</v>
      </c>
      <c r="AA3680" s="3" t="s">
        <v>40</v>
      </c>
      <c r="AB3680" s="2">
        <v>1</v>
      </c>
      <c r="AF3680" s="2">
        <v>22</v>
      </c>
      <c r="AG3680" s="2">
        <v>1</v>
      </c>
      <c r="AH3680" s="3" t="s">
        <v>3480</v>
      </c>
      <c r="AI3680" s="4">
        <v>45434</v>
      </c>
      <c r="AJ3680" s="3" t="s">
        <v>3838</v>
      </c>
      <c r="AK3680" s="3" t="s">
        <v>248</v>
      </c>
    </row>
    <row r="3681" spans="1:37" hidden="1" x14ac:dyDescent="0.25">
      <c r="A3681" t="str">
        <f t="shared" si="57"/>
        <v>2024_WA_Bolgart_Chickpea_DetailedTOS1VarietyCBA_CaptainWaterTrtRainFed</v>
      </c>
      <c r="B3681" s="2">
        <v>2024040</v>
      </c>
      <c r="C3681" s="3" t="s">
        <v>3740</v>
      </c>
      <c r="D3681" s="3" t="s">
        <v>248</v>
      </c>
      <c r="F3681" s="3" t="s">
        <v>249</v>
      </c>
      <c r="G3681" s="3" t="s">
        <v>43</v>
      </c>
      <c r="H3681" s="3" t="s">
        <v>253</v>
      </c>
      <c r="I3681" s="2">
        <v>98</v>
      </c>
      <c r="J3681" s="2">
        <v>49</v>
      </c>
      <c r="K3681" s="2">
        <v>2</v>
      </c>
      <c r="L3681" s="2">
        <v>4</v>
      </c>
      <c r="O3681" s="2">
        <v>7</v>
      </c>
      <c r="P3681" s="2">
        <v>13</v>
      </c>
      <c r="R3681" s="2">
        <v>3</v>
      </c>
      <c r="U3681" s="2">
        <v>2</v>
      </c>
      <c r="V3681" s="2">
        <v>44</v>
      </c>
      <c r="W3681" s="2">
        <v>2</v>
      </c>
      <c r="X3681" s="2">
        <v>25</v>
      </c>
      <c r="AA3681" s="3" t="s">
        <v>40</v>
      </c>
      <c r="AB3681" s="2">
        <v>1</v>
      </c>
      <c r="AF3681" s="2">
        <v>22</v>
      </c>
      <c r="AG3681" s="2">
        <v>1</v>
      </c>
      <c r="AH3681" s="3" t="s">
        <v>3480</v>
      </c>
      <c r="AI3681" s="4">
        <v>45434</v>
      </c>
      <c r="AJ3681" s="3" t="s">
        <v>3839</v>
      </c>
      <c r="AK3681" s="3" t="s">
        <v>248</v>
      </c>
    </row>
    <row r="3682" spans="1:37" hidden="1" x14ac:dyDescent="0.25">
      <c r="A3682" t="str">
        <f t="shared" si="57"/>
        <v>2024_WA_Bolgart_Chickpea_DetailedTOS1VarietyHatTrickWaterTrtIrrigated</v>
      </c>
      <c r="B3682" s="2">
        <v>2024040</v>
      </c>
      <c r="C3682" s="3" t="s">
        <v>3740</v>
      </c>
      <c r="D3682" s="3" t="s">
        <v>248</v>
      </c>
      <c r="F3682" s="3" t="s">
        <v>4178</v>
      </c>
      <c r="G3682" s="3" t="s">
        <v>39</v>
      </c>
      <c r="H3682" s="3" t="s">
        <v>253</v>
      </c>
      <c r="I3682" s="2">
        <v>99</v>
      </c>
      <c r="J3682" s="2">
        <v>50</v>
      </c>
      <c r="K3682" s="2">
        <v>2</v>
      </c>
      <c r="L3682" s="2">
        <v>4</v>
      </c>
      <c r="O3682" s="2">
        <v>7</v>
      </c>
      <c r="P3682" s="2">
        <v>14</v>
      </c>
      <c r="R3682" s="2">
        <v>4</v>
      </c>
      <c r="U3682" s="2">
        <v>5</v>
      </c>
      <c r="V3682" s="2">
        <v>44</v>
      </c>
      <c r="W3682" s="2">
        <v>3</v>
      </c>
      <c r="X3682" s="2">
        <v>25</v>
      </c>
      <c r="AA3682" s="3" t="s">
        <v>57</v>
      </c>
      <c r="AB3682" s="2">
        <v>3</v>
      </c>
      <c r="AF3682" s="2">
        <v>22</v>
      </c>
      <c r="AG3682" s="2">
        <v>1</v>
      </c>
      <c r="AH3682" s="3" t="s">
        <v>3480</v>
      </c>
      <c r="AI3682" s="4">
        <v>45434</v>
      </c>
      <c r="AJ3682" s="3" t="s">
        <v>3840</v>
      </c>
      <c r="AK3682" s="3" t="s">
        <v>248</v>
      </c>
    </row>
    <row r="3683" spans="1:37" hidden="1" x14ac:dyDescent="0.25">
      <c r="A3683" t="str">
        <f t="shared" si="57"/>
        <v>2024_WA_Bolgart_Chickpea_DetailedTOS1VarietyHatTrickWaterTrtIrrigated</v>
      </c>
      <c r="B3683" s="2">
        <v>2024040</v>
      </c>
      <c r="C3683" s="3" t="s">
        <v>3740</v>
      </c>
      <c r="D3683" s="3" t="s">
        <v>248</v>
      </c>
      <c r="F3683" s="3" t="s">
        <v>4178</v>
      </c>
      <c r="G3683" s="3" t="s">
        <v>39</v>
      </c>
      <c r="H3683" s="3" t="s">
        <v>250</v>
      </c>
      <c r="I3683" s="2">
        <v>100</v>
      </c>
      <c r="J3683" s="2">
        <v>50</v>
      </c>
      <c r="K3683" s="2">
        <v>2</v>
      </c>
      <c r="L3683" s="2">
        <v>4</v>
      </c>
      <c r="O3683" s="2">
        <v>7</v>
      </c>
      <c r="P3683" s="2">
        <v>14</v>
      </c>
      <c r="R3683" s="2">
        <v>4</v>
      </c>
      <c r="U3683" s="2">
        <v>6</v>
      </c>
      <c r="V3683" s="2">
        <v>44</v>
      </c>
      <c r="W3683" s="2">
        <v>4</v>
      </c>
      <c r="X3683" s="2">
        <v>25</v>
      </c>
      <c r="Z3683" s="2">
        <v>40</v>
      </c>
      <c r="AA3683" s="3" t="s">
        <v>57</v>
      </c>
      <c r="AB3683" s="2">
        <v>3</v>
      </c>
      <c r="AF3683" s="2">
        <v>22</v>
      </c>
      <c r="AG3683" s="2">
        <v>1</v>
      </c>
      <c r="AH3683" s="3" t="s">
        <v>3480</v>
      </c>
      <c r="AI3683" s="4">
        <v>45434</v>
      </c>
      <c r="AJ3683" s="3" t="s">
        <v>3841</v>
      </c>
      <c r="AK3683" s="3" t="s">
        <v>248</v>
      </c>
    </row>
    <row r="3684" spans="1:37" hidden="1" x14ac:dyDescent="0.25">
      <c r="A3684" t="str">
        <f t="shared" si="57"/>
        <v>2024_WA_Bolgart_Chickpea_DetailedTOS1VarietyStrikerWaterTrtRainFed</v>
      </c>
      <c r="B3684" s="2">
        <v>2024040</v>
      </c>
      <c r="C3684" s="3" t="s">
        <v>3740</v>
      </c>
      <c r="D3684" s="3" t="s">
        <v>248</v>
      </c>
      <c r="F3684" s="3" t="s">
        <v>4179</v>
      </c>
      <c r="G3684" s="3" t="s">
        <v>43</v>
      </c>
      <c r="H3684" s="3" t="s">
        <v>250</v>
      </c>
      <c r="I3684" s="2">
        <v>101</v>
      </c>
      <c r="J3684" s="2">
        <v>51</v>
      </c>
      <c r="K3684" s="2">
        <v>2</v>
      </c>
      <c r="L3684" s="2">
        <v>4</v>
      </c>
      <c r="O3684" s="2">
        <v>7</v>
      </c>
      <c r="P3684" s="2">
        <v>13</v>
      </c>
      <c r="R3684" s="2">
        <v>3</v>
      </c>
      <c r="U3684" s="2">
        <v>1</v>
      </c>
      <c r="V3684" s="2">
        <v>45</v>
      </c>
      <c r="W3684" s="2">
        <v>1</v>
      </c>
      <c r="X3684" s="2">
        <v>26</v>
      </c>
      <c r="Z3684" s="2">
        <v>26</v>
      </c>
      <c r="AA3684" s="3" t="s">
        <v>40</v>
      </c>
      <c r="AB3684" s="2">
        <v>4</v>
      </c>
      <c r="AF3684" s="2">
        <v>22</v>
      </c>
      <c r="AG3684" s="2">
        <v>1</v>
      </c>
      <c r="AH3684" s="3" t="s">
        <v>3480</v>
      </c>
      <c r="AI3684" s="4">
        <v>45434</v>
      </c>
      <c r="AJ3684" s="3" t="s">
        <v>3842</v>
      </c>
      <c r="AK3684" s="3" t="s">
        <v>248</v>
      </c>
    </row>
    <row r="3685" spans="1:37" hidden="1" x14ac:dyDescent="0.25">
      <c r="A3685" t="str">
        <f t="shared" si="57"/>
        <v>2024_WA_Bolgart_Chickpea_DetailedTOS1VarietyStrikerWaterTrtRainFed</v>
      </c>
      <c r="B3685" s="2">
        <v>2024040</v>
      </c>
      <c r="C3685" s="3" t="s">
        <v>3740</v>
      </c>
      <c r="D3685" s="3" t="s">
        <v>248</v>
      </c>
      <c r="F3685" s="3" t="s">
        <v>4179</v>
      </c>
      <c r="G3685" s="3" t="s">
        <v>43</v>
      </c>
      <c r="H3685" s="3" t="s">
        <v>253</v>
      </c>
      <c r="I3685" s="2">
        <v>102</v>
      </c>
      <c r="J3685" s="2">
        <v>51</v>
      </c>
      <c r="K3685" s="2">
        <v>2</v>
      </c>
      <c r="L3685" s="2">
        <v>4</v>
      </c>
      <c r="O3685" s="2">
        <v>7</v>
      </c>
      <c r="P3685" s="2">
        <v>13</v>
      </c>
      <c r="R3685" s="2">
        <v>3</v>
      </c>
      <c r="U3685" s="2">
        <v>2</v>
      </c>
      <c r="V3685" s="2">
        <v>45</v>
      </c>
      <c r="W3685" s="2">
        <v>2</v>
      </c>
      <c r="X3685" s="2">
        <v>26</v>
      </c>
      <c r="AA3685" s="3" t="s">
        <v>40</v>
      </c>
      <c r="AB3685" s="2">
        <v>4</v>
      </c>
      <c r="AF3685" s="2">
        <v>22</v>
      </c>
      <c r="AG3685" s="2">
        <v>1</v>
      </c>
      <c r="AH3685" s="3" t="s">
        <v>3480</v>
      </c>
      <c r="AI3685" s="4">
        <v>45434</v>
      </c>
      <c r="AJ3685" s="3" t="s">
        <v>3843</v>
      </c>
      <c r="AK3685" s="3" t="s">
        <v>248</v>
      </c>
    </row>
    <row r="3686" spans="1:37" hidden="1" x14ac:dyDescent="0.25">
      <c r="A3686" t="str">
        <f t="shared" si="57"/>
        <v>2024_WA_Bolgart_Chickpea_DetailedTOS1VarietyDrummondWaterTrtIrrigated</v>
      </c>
      <c r="B3686" s="2">
        <v>2024040</v>
      </c>
      <c r="C3686" s="3" t="s">
        <v>3740</v>
      </c>
      <c r="D3686" s="3" t="s">
        <v>248</v>
      </c>
      <c r="F3686" s="3" t="s">
        <v>4182</v>
      </c>
      <c r="G3686" s="3" t="s">
        <v>39</v>
      </c>
      <c r="H3686" s="3" t="s">
        <v>253</v>
      </c>
      <c r="I3686" s="2">
        <v>103</v>
      </c>
      <c r="J3686" s="2">
        <v>52</v>
      </c>
      <c r="K3686" s="2">
        <v>2</v>
      </c>
      <c r="L3686" s="2">
        <v>4</v>
      </c>
      <c r="O3686" s="2">
        <v>7</v>
      </c>
      <c r="P3686" s="2">
        <v>14</v>
      </c>
      <c r="R3686" s="2">
        <v>4</v>
      </c>
      <c r="U3686" s="2">
        <v>5</v>
      </c>
      <c r="V3686" s="2">
        <v>45</v>
      </c>
      <c r="W3686" s="2">
        <v>3</v>
      </c>
      <c r="X3686" s="2">
        <v>26</v>
      </c>
      <c r="AA3686" s="3" t="s">
        <v>57</v>
      </c>
      <c r="AB3686" s="2">
        <v>2</v>
      </c>
      <c r="AF3686" s="2">
        <v>22</v>
      </c>
      <c r="AG3686" s="2">
        <v>1</v>
      </c>
      <c r="AH3686" s="3" t="s">
        <v>3480</v>
      </c>
      <c r="AI3686" s="4">
        <v>45434</v>
      </c>
      <c r="AJ3686" s="3" t="s">
        <v>3844</v>
      </c>
      <c r="AK3686" s="3" t="s">
        <v>248</v>
      </c>
    </row>
    <row r="3687" spans="1:37" hidden="1" x14ac:dyDescent="0.25">
      <c r="A3687" t="str">
        <f t="shared" si="57"/>
        <v>2024_WA_Bolgart_Chickpea_DetailedTOS1VarietyDrummondWaterTrtIrrigated</v>
      </c>
      <c r="B3687" s="2">
        <v>2024040</v>
      </c>
      <c r="C3687" s="3" t="s">
        <v>3740</v>
      </c>
      <c r="D3687" s="3" t="s">
        <v>248</v>
      </c>
      <c r="F3687" s="3" t="s">
        <v>4182</v>
      </c>
      <c r="G3687" s="3" t="s">
        <v>39</v>
      </c>
      <c r="H3687" s="3" t="s">
        <v>250</v>
      </c>
      <c r="I3687" s="2">
        <v>104</v>
      </c>
      <c r="J3687" s="2">
        <v>52</v>
      </c>
      <c r="K3687" s="2">
        <v>2</v>
      </c>
      <c r="L3687" s="2">
        <v>4</v>
      </c>
      <c r="O3687" s="2">
        <v>7</v>
      </c>
      <c r="P3687" s="2">
        <v>14</v>
      </c>
      <c r="R3687" s="2">
        <v>4</v>
      </c>
      <c r="U3687" s="2">
        <v>6</v>
      </c>
      <c r="V3687" s="2">
        <v>45</v>
      </c>
      <c r="W3687" s="2">
        <v>4</v>
      </c>
      <c r="X3687" s="2">
        <v>26</v>
      </c>
      <c r="Z3687" s="2">
        <v>39</v>
      </c>
      <c r="AA3687" s="3" t="s">
        <v>57</v>
      </c>
      <c r="AB3687" s="2">
        <v>2</v>
      </c>
      <c r="AF3687" s="2">
        <v>22</v>
      </c>
      <c r="AG3687" s="2">
        <v>1</v>
      </c>
      <c r="AH3687" s="3" t="s">
        <v>3480</v>
      </c>
      <c r="AI3687" s="4">
        <v>45434</v>
      </c>
      <c r="AJ3687" s="3" t="s">
        <v>3845</v>
      </c>
      <c r="AK3687" s="3" t="s">
        <v>248</v>
      </c>
    </row>
    <row r="3688" spans="1:37" hidden="1" x14ac:dyDescent="0.25">
      <c r="A3688" t="str">
        <f t="shared" si="57"/>
        <v>2024_WA_Bolgart_Chickpea_DetailedTOS1VarietyDrummondWaterTrtRainFed</v>
      </c>
      <c r="B3688" s="2">
        <v>2024040</v>
      </c>
      <c r="C3688" s="3" t="s">
        <v>3740</v>
      </c>
      <c r="D3688" s="3" t="s">
        <v>248</v>
      </c>
      <c r="F3688" s="3" t="s">
        <v>4182</v>
      </c>
      <c r="G3688" s="3" t="s">
        <v>39</v>
      </c>
      <c r="H3688" s="3" t="s">
        <v>250</v>
      </c>
      <c r="I3688" s="2">
        <v>105</v>
      </c>
      <c r="J3688" s="2">
        <v>53</v>
      </c>
      <c r="K3688" s="2">
        <v>2</v>
      </c>
      <c r="L3688" s="2">
        <v>4</v>
      </c>
      <c r="O3688" s="2">
        <v>7</v>
      </c>
      <c r="P3688" s="2">
        <v>13</v>
      </c>
      <c r="R3688" s="2">
        <v>3</v>
      </c>
      <c r="U3688" s="2">
        <v>1</v>
      </c>
      <c r="V3688" s="2">
        <v>46</v>
      </c>
      <c r="W3688" s="2">
        <v>1</v>
      </c>
      <c r="X3688" s="2">
        <v>27</v>
      </c>
      <c r="Z3688" s="2">
        <v>27</v>
      </c>
      <c r="AA3688" s="3" t="s">
        <v>40</v>
      </c>
      <c r="AB3688" s="2">
        <v>2</v>
      </c>
      <c r="AF3688" s="2">
        <v>22</v>
      </c>
      <c r="AG3688" s="2">
        <v>1</v>
      </c>
      <c r="AH3688" s="3" t="s">
        <v>3480</v>
      </c>
      <c r="AI3688" s="4">
        <v>45434</v>
      </c>
      <c r="AJ3688" s="3" t="s">
        <v>3846</v>
      </c>
      <c r="AK3688" s="3" t="s">
        <v>248</v>
      </c>
    </row>
    <row r="3689" spans="1:37" hidden="1" x14ac:dyDescent="0.25">
      <c r="A3689" t="str">
        <f t="shared" si="57"/>
        <v>2024_WA_Bolgart_Chickpea_DetailedTOS1VarietyDrummondWaterTrtRainFed</v>
      </c>
      <c r="B3689" s="2">
        <v>2024040</v>
      </c>
      <c r="C3689" s="3" t="s">
        <v>3740</v>
      </c>
      <c r="D3689" s="3" t="s">
        <v>248</v>
      </c>
      <c r="F3689" s="3" t="s">
        <v>4182</v>
      </c>
      <c r="G3689" s="3" t="s">
        <v>39</v>
      </c>
      <c r="H3689" s="3" t="s">
        <v>253</v>
      </c>
      <c r="I3689" s="2">
        <v>106</v>
      </c>
      <c r="J3689" s="2">
        <v>53</v>
      </c>
      <c r="K3689" s="2">
        <v>2</v>
      </c>
      <c r="L3689" s="2">
        <v>4</v>
      </c>
      <c r="O3689" s="2">
        <v>7</v>
      </c>
      <c r="P3689" s="2">
        <v>13</v>
      </c>
      <c r="R3689" s="2">
        <v>3</v>
      </c>
      <c r="U3689" s="2">
        <v>2</v>
      </c>
      <c r="V3689" s="2">
        <v>46</v>
      </c>
      <c r="W3689" s="2">
        <v>2</v>
      </c>
      <c r="X3689" s="2">
        <v>27</v>
      </c>
      <c r="AA3689" s="3" t="s">
        <v>40</v>
      </c>
      <c r="AB3689" s="2">
        <v>2</v>
      </c>
      <c r="AF3689" s="2">
        <v>22</v>
      </c>
      <c r="AG3689" s="2">
        <v>1</v>
      </c>
      <c r="AH3689" s="3" t="s">
        <v>3480</v>
      </c>
      <c r="AI3689" s="4">
        <v>45434</v>
      </c>
      <c r="AJ3689" s="3" t="s">
        <v>3847</v>
      </c>
      <c r="AK3689" s="3" t="s">
        <v>248</v>
      </c>
    </row>
    <row r="3690" spans="1:37" hidden="1" x14ac:dyDescent="0.25">
      <c r="A3690" t="str">
        <f t="shared" si="57"/>
        <v>2024_WA_Bolgart_Chickpea_DetailedTOS1VarietyStrikerWaterTrtIrrigated</v>
      </c>
      <c r="B3690" s="2">
        <v>2024040</v>
      </c>
      <c r="C3690" s="3" t="s">
        <v>3740</v>
      </c>
      <c r="D3690" s="3" t="s">
        <v>248</v>
      </c>
      <c r="F3690" s="3" t="s">
        <v>4179</v>
      </c>
      <c r="G3690" s="3" t="s">
        <v>43</v>
      </c>
      <c r="H3690" s="3" t="s">
        <v>253</v>
      </c>
      <c r="I3690" s="2">
        <v>107</v>
      </c>
      <c r="J3690" s="2">
        <v>54</v>
      </c>
      <c r="K3690" s="2">
        <v>2</v>
      </c>
      <c r="L3690" s="2">
        <v>4</v>
      </c>
      <c r="O3690" s="2">
        <v>7</v>
      </c>
      <c r="P3690" s="2">
        <v>14</v>
      </c>
      <c r="R3690" s="2">
        <v>4</v>
      </c>
      <c r="U3690" s="2">
        <v>5</v>
      </c>
      <c r="V3690" s="2">
        <v>46</v>
      </c>
      <c r="W3690" s="2">
        <v>3</v>
      </c>
      <c r="X3690" s="2">
        <v>27</v>
      </c>
      <c r="AA3690" s="3" t="s">
        <v>57</v>
      </c>
      <c r="AB3690" s="2">
        <v>4</v>
      </c>
      <c r="AF3690" s="2">
        <v>22</v>
      </c>
      <c r="AG3690" s="2">
        <v>1</v>
      </c>
      <c r="AH3690" s="3" t="s">
        <v>3480</v>
      </c>
      <c r="AI3690" s="4">
        <v>45434</v>
      </c>
      <c r="AJ3690" s="3" t="s">
        <v>3848</v>
      </c>
      <c r="AK3690" s="3" t="s">
        <v>248</v>
      </c>
    </row>
    <row r="3691" spans="1:37" hidden="1" x14ac:dyDescent="0.25">
      <c r="A3691" t="str">
        <f t="shared" si="57"/>
        <v>2024_WA_Bolgart_Chickpea_DetailedTOS1VarietyStrikerWaterTrtIrrigated</v>
      </c>
      <c r="B3691" s="2">
        <v>2024040</v>
      </c>
      <c r="C3691" s="3" t="s">
        <v>3740</v>
      </c>
      <c r="D3691" s="3" t="s">
        <v>248</v>
      </c>
      <c r="F3691" s="3" t="s">
        <v>4179</v>
      </c>
      <c r="G3691" s="3" t="s">
        <v>43</v>
      </c>
      <c r="H3691" s="3" t="s">
        <v>250</v>
      </c>
      <c r="I3691" s="2">
        <v>108</v>
      </c>
      <c r="J3691" s="2">
        <v>54</v>
      </c>
      <c r="K3691" s="2">
        <v>2</v>
      </c>
      <c r="L3691" s="2">
        <v>4</v>
      </c>
      <c r="O3691" s="2">
        <v>7</v>
      </c>
      <c r="P3691" s="2">
        <v>14</v>
      </c>
      <c r="R3691" s="2">
        <v>4</v>
      </c>
      <c r="U3691" s="2">
        <v>6</v>
      </c>
      <c r="V3691" s="2">
        <v>46</v>
      </c>
      <c r="W3691" s="2">
        <v>4</v>
      </c>
      <c r="X3691" s="2">
        <v>27</v>
      </c>
      <c r="Z3691" s="2">
        <v>38</v>
      </c>
      <c r="AA3691" s="3" t="s">
        <v>57</v>
      </c>
      <c r="AB3691" s="2">
        <v>4</v>
      </c>
      <c r="AF3691" s="2">
        <v>22</v>
      </c>
      <c r="AG3691" s="2">
        <v>1</v>
      </c>
      <c r="AH3691" s="3" t="s">
        <v>3480</v>
      </c>
      <c r="AI3691" s="4">
        <v>45434</v>
      </c>
      <c r="AJ3691" s="3" t="s">
        <v>3849</v>
      </c>
      <c r="AK3691" s="3" t="s">
        <v>248</v>
      </c>
    </row>
    <row r="3692" spans="1:37" hidden="1" x14ac:dyDescent="0.25">
      <c r="A3692" t="str">
        <f t="shared" si="57"/>
        <v>2024_WA_Bolgart_Chickpea_DetailedTOS1VarietyHatTrickWaterTrtRainFed</v>
      </c>
      <c r="B3692" s="2">
        <v>2024040</v>
      </c>
      <c r="C3692" s="3" t="s">
        <v>3740</v>
      </c>
      <c r="D3692" s="3" t="s">
        <v>248</v>
      </c>
      <c r="F3692" s="3" t="s">
        <v>4178</v>
      </c>
      <c r="G3692" s="3" t="s">
        <v>39</v>
      </c>
      <c r="H3692" s="3" t="s">
        <v>250</v>
      </c>
      <c r="I3692" s="2">
        <v>109</v>
      </c>
      <c r="J3692" s="2">
        <v>55</v>
      </c>
      <c r="K3692" s="2">
        <v>2</v>
      </c>
      <c r="L3692" s="2">
        <v>4</v>
      </c>
      <c r="O3692" s="2">
        <v>7</v>
      </c>
      <c r="P3692" s="2">
        <v>13</v>
      </c>
      <c r="R3692" s="2">
        <v>3</v>
      </c>
      <c r="U3692" s="2">
        <v>1</v>
      </c>
      <c r="V3692" s="2">
        <v>47</v>
      </c>
      <c r="W3692" s="2">
        <v>1</v>
      </c>
      <c r="X3692" s="2">
        <v>28</v>
      </c>
      <c r="Z3692" s="2">
        <v>28</v>
      </c>
      <c r="AA3692" s="3" t="s">
        <v>40</v>
      </c>
      <c r="AB3692" s="2">
        <v>3</v>
      </c>
      <c r="AF3692" s="2">
        <v>22</v>
      </c>
      <c r="AG3692" s="2">
        <v>1</v>
      </c>
      <c r="AH3692" s="3" t="s">
        <v>3480</v>
      </c>
      <c r="AI3692" s="4">
        <v>45434</v>
      </c>
      <c r="AJ3692" s="3" t="s">
        <v>3850</v>
      </c>
      <c r="AK3692" s="3" t="s">
        <v>248</v>
      </c>
    </row>
    <row r="3693" spans="1:37" hidden="1" x14ac:dyDescent="0.25">
      <c r="A3693" t="str">
        <f t="shared" si="57"/>
        <v>2024_WA_Bolgart_Chickpea_DetailedTOS1VarietyHatTrickWaterTrtRainFed</v>
      </c>
      <c r="B3693" s="2">
        <v>2024040</v>
      </c>
      <c r="C3693" s="3" t="s">
        <v>3740</v>
      </c>
      <c r="D3693" s="3" t="s">
        <v>248</v>
      </c>
      <c r="F3693" s="3" t="s">
        <v>4178</v>
      </c>
      <c r="G3693" s="3" t="s">
        <v>39</v>
      </c>
      <c r="H3693" s="3" t="s">
        <v>253</v>
      </c>
      <c r="I3693" s="2">
        <v>110</v>
      </c>
      <c r="J3693" s="2">
        <v>55</v>
      </c>
      <c r="K3693" s="2">
        <v>2</v>
      </c>
      <c r="L3693" s="2">
        <v>4</v>
      </c>
      <c r="O3693" s="2">
        <v>7</v>
      </c>
      <c r="P3693" s="2">
        <v>13</v>
      </c>
      <c r="R3693" s="2">
        <v>3</v>
      </c>
      <c r="U3693" s="2">
        <v>2</v>
      </c>
      <c r="V3693" s="2">
        <v>47</v>
      </c>
      <c r="W3693" s="2">
        <v>2</v>
      </c>
      <c r="X3693" s="2">
        <v>28</v>
      </c>
      <c r="AA3693" s="3" t="s">
        <v>40</v>
      </c>
      <c r="AB3693" s="2">
        <v>3</v>
      </c>
      <c r="AF3693" s="2">
        <v>22</v>
      </c>
      <c r="AG3693" s="2">
        <v>1</v>
      </c>
      <c r="AH3693" s="3" t="s">
        <v>3480</v>
      </c>
      <c r="AI3693" s="4">
        <v>45434</v>
      </c>
      <c r="AJ3693" s="3" t="s">
        <v>3851</v>
      </c>
      <c r="AK3693" s="3" t="s">
        <v>248</v>
      </c>
    </row>
    <row r="3694" spans="1:37" hidden="1" x14ac:dyDescent="0.25">
      <c r="A3694" t="str">
        <f t="shared" si="57"/>
        <v>2024_WA_Bolgart_Chickpea_DetailedTOS1VarietyCBA_CaptainWaterTrtIrrigated</v>
      </c>
      <c r="B3694" s="2">
        <v>2024040</v>
      </c>
      <c r="C3694" s="3" t="s">
        <v>3740</v>
      </c>
      <c r="D3694" s="3" t="s">
        <v>248</v>
      </c>
      <c r="F3694" s="3" t="s">
        <v>249</v>
      </c>
      <c r="G3694" s="3" t="s">
        <v>43</v>
      </c>
      <c r="H3694" s="3" t="s">
        <v>253</v>
      </c>
      <c r="I3694" s="2">
        <v>111</v>
      </c>
      <c r="J3694" s="2">
        <v>56</v>
      </c>
      <c r="K3694" s="2">
        <v>2</v>
      </c>
      <c r="L3694" s="2">
        <v>4</v>
      </c>
      <c r="O3694" s="2">
        <v>7</v>
      </c>
      <c r="P3694" s="2">
        <v>14</v>
      </c>
      <c r="R3694" s="2">
        <v>4</v>
      </c>
      <c r="U3694" s="2">
        <v>5</v>
      </c>
      <c r="V3694" s="2">
        <v>47</v>
      </c>
      <c r="W3694" s="2">
        <v>3</v>
      </c>
      <c r="X3694" s="2">
        <v>28</v>
      </c>
      <c r="AA3694" s="3" t="s">
        <v>57</v>
      </c>
      <c r="AB3694" s="2">
        <v>1</v>
      </c>
      <c r="AF3694" s="2">
        <v>22</v>
      </c>
      <c r="AG3694" s="2">
        <v>1</v>
      </c>
      <c r="AH3694" s="3" t="s">
        <v>3480</v>
      </c>
      <c r="AI3694" s="4">
        <v>45434</v>
      </c>
      <c r="AJ3694" s="3" t="s">
        <v>3852</v>
      </c>
      <c r="AK3694" s="3" t="s">
        <v>248</v>
      </c>
    </row>
    <row r="3695" spans="1:37" hidden="1" x14ac:dyDescent="0.25">
      <c r="A3695" t="str">
        <f t="shared" si="57"/>
        <v>2024_WA_Bolgart_Chickpea_DetailedTOS1VarietyCBA_CaptainWaterTrtIrrigated</v>
      </c>
      <c r="B3695" s="2">
        <v>2024040</v>
      </c>
      <c r="C3695" s="3" t="s">
        <v>3740</v>
      </c>
      <c r="D3695" s="3" t="s">
        <v>248</v>
      </c>
      <c r="F3695" s="3" t="s">
        <v>249</v>
      </c>
      <c r="G3695" s="3" t="s">
        <v>43</v>
      </c>
      <c r="H3695" s="3" t="s">
        <v>250</v>
      </c>
      <c r="I3695" s="2">
        <v>112</v>
      </c>
      <c r="J3695" s="2">
        <v>56</v>
      </c>
      <c r="K3695" s="2">
        <v>2</v>
      </c>
      <c r="L3695" s="2">
        <v>4</v>
      </c>
      <c r="O3695" s="2">
        <v>7</v>
      </c>
      <c r="P3695" s="2">
        <v>14</v>
      </c>
      <c r="R3695" s="2">
        <v>4</v>
      </c>
      <c r="U3695" s="2">
        <v>6</v>
      </c>
      <c r="V3695" s="2">
        <v>47</v>
      </c>
      <c r="W3695" s="2">
        <v>4</v>
      </c>
      <c r="X3695" s="2">
        <v>28</v>
      </c>
      <c r="Z3695" s="2">
        <v>37</v>
      </c>
      <c r="AA3695" s="3" t="s">
        <v>57</v>
      </c>
      <c r="AB3695" s="2">
        <v>1</v>
      </c>
      <c r="AF3695" s="2">
        <v>22</v>
      </c>
      <c r="AG3695" s="2">
        <v>1</v>
      </c>
      <c r="AH3695" s="3" t="s">
        <v>3480</v>
      </c>
      <c r="AI3695" s="4">
        <v>45434</v>
      </c>
      <c r="AJ3695" s="3" t="s">
        <v>3853</v>
      </c>
      <c r="AK3695" s="3" t="s">
        <v>248</v>
      </c>
    </row>
    <row r="3696" spans="1:37" hidden="1" x14ac:dyDescent="0.25">
      <c r="A3696" t="str">
        <f t="shared" si="57"/>
        <v>2024_WA_Bolgart_Chickpea_DetailedTOS2VarietyHatTrickWaterTrtRainFed</v>
      </c>
      <c r="B3696" s="2">
        <v>2024040</v>
      </c>
      <c r="C3696" s="3" t="s">
        <v>3740</v>
      </c>
      <c r="D3696" s="3" t="s">
        <v>248</v>
      </c>
      <c r="F3696" s="3" t="s">
        <v>4178</v>
      </c>
      <c r="G3696" s="3" t="s">
        <v>39</v>
      </c>
      <c r="H3696" s="3" t="s">
        <v>250</v>
      </c>
      <c r="I3696" s="2">
        <v>113</v>
      </c>
      <c r="J3696" s="2">
        <v>59</v>
      </c>
      <c r="K3696" s="2">
        <v>2</v>
      </c>
      <c r="L3696" s="2">
        <v>4</v>
      </c>
      <c r="O3696" s="2">
        <v>8</v>
      </c>
      <c r="P3696" s="2">
        <v>15</v>
      </c>
      <c r="R3696" s="2">
        <v>3</v>
      </c>
      <c r="U3696" s="2">
        <v>1</v>
      </c>
      <c r="V3696" s="2">
        <v>52</v>
      </c>
      <c r="W3696" s="2">
        <v>1</v>
      </c>
      <c r="X3696" s="2">
        <v>29</v>
      </c>
      <c r="Z3696" s="2">
        <v>29</v>
      </c>
      <c r="AA3696" s="3" t="s">
        <v>40</v>
      </c>
      <c r="AB3696" s="2">
        <v>3</v>
      </c>
      <c r="AF3696" s="2">
        <v>22</v>
      </c>
      <c r="AG3696" s="2">
        <v>2</v>
      </c>
      <c r="AH3696" s="3" t="s">
        <v>3741</v>
      </c>
      <c r="AI3696" s="4">
        <v>45463</v>
      </c>
      <c r="AJ3696" s="3" t="s">
        <v>3854</v>
      </c>
      <c r="AK3696" s="3" t="s">
        <v>248</v>
      </c>
    </row>
    <row r="3697" spans="1:37" hidden="1" x14ac:dyDescent="0.25">
      <c r="A3697" t="str">
        <f t="shared" si="57"/>
        <v>2024_WA_Bolgart_Chickpea_DetailedTOS2VarietyCBA_CaptainWaterTrtRainFed</v>
      </c>
      <c r="B3697" s="2">
        <v>2024040</v>
      </c>
      <c r="C3697" s="3" t="s">
        <v>3740</v>
      </c>
      <c r="D3697" s="3" t="s">
        <v>248</v>
      </c>
      <c r="F3697" s="3" t="s">
        <v>249</v>
      </c>
      <c r="G3697" s="3" t="s">
        <v>43</v>
      </c>
      <c r="H3697" s="3" t="s">
        <v>253</v>
      </c>
      <c r="I3697" s="2">
        <v>114</v>
      </c>
      <c r="J3697" s="2">
        <v>57</v>
      </c>
      <c r="K3697" s="2">
        <v>2</v>
      </c>
      <c r="L3697" s="2">
        <v>4</v>
      </c>
      <c r="O3697" s="2">
        <v>8</v>
      </c>
      <c r="P3697" s="2">
        <v>15</v>
      </c>
      <c r="R3697" s="2">
        <v>3</v>
      </c>
      <c r="U3697" s="2">
        <v>2</v>
      </c>
      <c r="V3697" s="2">
        <v>52</v>
      </c>
      <c r="W3697" s="2">
        <v>2</v>
      </c>
      <c r="X3697" s="2">
        <v>29</v>
      </c>
      <c r="AA3697" s="3" t="s">
        <v>40</v>
      </c>
      <c r="AB3697" s="2">
        <v>1</v>
      </c>
      <c r="AF3697" s="2">
        <v>22</v>
      </c>
      <c r="AG3697" s="2">
        <v>2</v>
      </c>
      <c r="AH3697" s="3" t="s">
        <v>3741</v>
      </c>
      <c r="AI3697" s="4">
        <v>45463</v>
      </c>
      <c r="AJ3697" s="3" t="s">
        <v>3855</v>
      </c>
      <c r="AK3697" s="3" t="s">
        <v>248</v>
      </c>
    </row>
    <row r="3698" spans="1:37" hidden="1" x14ac:dyDescent="0.25">
      <c r="A3698" t="str">
        <f t="shared" si="57"/>
        <v>2024_WA_Bolgart_Chickpea_DetailedTOS2VarietyStrikerWaterTrtIrrigated</v>
      </c>
      <c r="B3698" s="2">
        <v>2024040</v>
      </c>
      <c r="C3698" s="3" t="s">
        <v>3740</v>
      </c>
      <c r="D3698" s="3" t="s">
        <v>248</v>
      </c>
      <c r="F3698" s="3" t="s">
        <v>4179</v>
      </c>
      <c r="G3698" s="3" t="s">
        <v>43</v>
      </c>
      <c r="H3698" s="3" t="s">
        <v>253</v>
      </c>
      <c r="I3698" s="2">
        <v>115</v>
      </c>
      <c r="J3698" s="2">
        <v>58</v>
      </c>
      <c r="K3698" s="2">
        <v>2</v>
      </c>
      <c r="L3698" s="2">
        <v>4</v>
      </c>
      <c r="O3698" s="2">
        <v>8</v>
      </c>
      <c r="P3698" s="2">
        <v>16</v>
      </c>
      <c r="R3698" s="2">
        <v>4</v>
      </c>
      <c r="U3698" s="2">
        <v>5</v>
      </c>
      <c r="V3698" s="2">
        <v>52</v>
      </c>
      <c r="W3698" s="2">
        <v>3</v>
      </c>
      <c r="X3698" s="2">
        <v>29</v>
      </c>
      <c r="AA3698" s="3" t="s">
        <v>57</v>
      </c>
      <c r="AB3698" s="2">
        <v>4</v>
      </c>
      <c r="AF3698" s="2">
        <v>22</v>
      </c>
      <c r="AG3698" s="2">
        <v>2</v>
      </c>
      <c r="AH3698" s="3" t="s">
        <v>3741</v>
      </c>
      <c r="AI3698" s="4">
        <v>45463</v>
      </c>
      <c r="AJ3698" s="3" t="s">
        <v>3856</v>
      </c>
      <c r="AK3698" s="3" t="s">
        <v>248</v>
      </c>
    </row>
    <row r="3699" spans="1:37" hidden="1" x14ac:dyDescent="0.25">
      <c r="A3699" t="str">
        <f t="shared" si="57"/>
        <v>2024_WA_Bolgart_Chickpea_DetailedTOS2VarietyStrikerWaterTrtIrrigated</v>
      </c>
      <c r="B3699" s="2">
        <v>2024040</v>
      </c>
      <c r="C3699" s="3" t="s">
        <v>3740</v>
      </c>
      <c r="D3699" s="3" t="s">
        <v>248</v>
      </c>
      <c r="F3699" s="3" t="s">
        <v>4179</v>
      </c>
      <c r="G3699" s="3" t="s">
        <v>43</v>
      </c>
      <c r="H3699" s="3" t="s">
        <v>250</v>
      </c>
      <c r="I3699" s="2">
        <v>116</v>
      </c>
      <c r="J3699" s="2">
        <v>58</v>
      </c>
      <c r="K3699" s="2">
        <v>2</v>
      </c>
      <c r="L3699" s="2">
        <v>4</v>
      </c>
      <c r="O3699" s="2">
        <v>8</v>
      </c>
      <c r="P3699" s="2">
        <v>16</v>
      </c>
      <c r="R3699" s="2">
        <v>4</v>
      </c>
      <c r="U3699" s="2">
        <v>6</v>
      </c>
      <c r="V3699" s="2">
        <v>52</v>
      </c>
      <c r="W3699" s="2">
        <v>4</v>
      </c>
      <c r="X3699" s="2">
        <v>29</v>
      </c>
      <c r="Z3699" s="2">
        <v>36</v>
      </c>
      <c r="AA3699" s="3" t="s">
        <v>57</v>
      </c>
      <c r="AB3699" s="2">
        <v>4</v>
      </c>
      <c r="AF3699" s="2">
        <v>22</v>
      </c>
      <c r="AG3699" s="2">
        <v>2</v>
      </c>
      <c r="AH3699" s="3" t="s">
        <v>3741</v>
      </c>
      <c r="AI3699" s="4">
        <v>45463</v>
      </c>
      <c r="AJ3699" s="3" t="s">
        <v>3857</v>
      </c>
      <c r="AK3699" s="3" t="s">
        <v>248</v>
      </c>
    </row>
    <row r="3700" spans="1:37" hidden="1" x14ac:dyDescent="0.25">
      <c r="A3700" t="str">
        <f t="shared" si="57"/>
        <v>2024_WA_Bolgart_Chickpea_DetailedTOS2VarietyCBA_CaptainWaterTrtRainFed</v>
      </c>
      <c r="B3700" s="2">
        <v>2024040</v>
      </c>
      <c r="C3700" s="3" t="s">
        <v>3740</v>
      </c>
      <c r="D3700" s="3" t="s">
        <v>248</v>
      </c>
      <c r="F3700" s="3" t="s">
        <v>249</v>
      </c>
      <c r="G3700" s="3" t="s">
        <v>43</v>
      </c>
      <c r="H3700" s="3" t="s">
        <v>250</v>
      </c>
      <c r="I3700" s="2">
        <v>117</v>
      </c>
      <c r="J3700" s="2">
        <v>57</v>
      </c>
      <c r="K3700" s="2">
        <v>2</v>
      </c>
      <c r="L3700" s="2">
        <v>4</v>
      </c>
      <c r="O3700" s="2">
        <v>8</v>
      </c>
      <c r="P3700" s="2">
        <v>15</v>
      </c>
      <c r="R3700" s="2">
        <v>3</v>
      </c>
      <c r="U3700" s="2">
        <v>1</v>
      </c>
      <c r="V3700" s="2">
        <v>53</v>
      </c>
      <c r="W3700" s="2">
        <v>1</v>
      </c>
      <c r="X3700" s="2">
        <v>30</v>
      </c>
      <c r="Z3700" s="2">
        <v>30</v>
      </c>
      <c r="AA3700" s="3" t="s">
        <v>40</v>
      </c>
      <c r="AB3700" s="2">
        <v>1</v>
      </c>
      <c r="AF3700" s="2">
        <v>22</v>
      </c>
      <c r="AG3700" s="2">
        <v>2</v>
      </c>
      <c r="AH3700" s="3" t="s">
        <v>3741</v>
      </c>
      <c r="AI3700" s="4">
        <v>45463</v>
      </c>
      <c r="AJ3700" s="3" t="s">
        <v>3858</v>
      </c>
      <c r="AK3700" s="3" t="s">
        <v>248</v>
      </c>
    </row>
    <row r="3701" spans="1:37" hidden="1" x14ac:dyDescent="0.25">
      <c r="A3701" t="str">
        <f t="shared" si="57"/>
        <v>2024_WA_Bolgart_Chickpea_DetailedTOS2VarietyHatTrickWaterTrtRainFed</v>
      </c>
      <c r="B3701" s="2">
        <v>2024040</v>
      </c>
      <c r="C3701" s="3" t="s">
        <v>3740</v>
      </c>
      <c r="D3701" s="3" t="s">
        <v>248</v>
      </c>
      <c r="F3701" s="3" t="s">
        <v>4178</v>
      </c>
      <c r="G3701" s="3" t="s">
        <v>39</v>
      </c>
      <c r="H3701" s="3" t="s">
        <v>253</v>
      </c>
      <c r="I3701" s="2">
        <v>118</v>
      </c>
      <c r="J3701" s="2">
        <v>59</v>
      </c>
      <c r="K3701" s="2">
        <v>2</v>
      </c>
      <c r="L3701" s="2">
        <v>4</v>
      </c>
      <c r="O3701" s="2">
        <v>8</v>
      </c>
      <c r="P3701" s="2">
        <v>15</v>
      </c>
      <c r="R3701" s="2">
        <v>3</v>
      </c>
      <c r="U3701" s="2">
        <v>2</v>
      </c>
      <c r="V3701" s="2">
        <v>53</v>
      </c>
      <c r="W3701" s="2">
        <v>2</v>
      </c>
      <c r="X3701" s="2">
        <v>30</v>
      </c>
      <c r="AA3701" s="3" t="s">
        <v>40</v>
      </c>
      <c r="AB3701" s="2">
        <v>3</v>
      </c>
      <c r="AF3701" s="2">
        <v>22</v>
      </c>
      <c r="AG3701" s="2">
        <v>2</v>
      </c>
      <c r="AH3701" s="3" t="s">
        <v>3741</v>
      </c>
      <c r="AI3701" s="4">
        <v>45463</v>
      </c>
      <c r="AJ3701" s="3" t="s">
        <v>3859</v>
      </c>
      <c r="AK3701" s="3" t="s">
        <v>248</v>
      </c>
    </row>
    <row r="3702" spans="1:37" hidden="1" x14ac:dyDescent="0.25">
      <c r="A3702" t="str">
        <f t="shared" si="57"/>
        <v>2024_WA_Bolgart_Chickpea_DetailedTOS2VarietyCBA_CaptainWaterTrtIrrigated</v>
      </c>
      <c r="B3702" s="2">
        <v>2024040</v>
      </c>
      <c r="C3702" s="3" t="s">
        <v>3740</v>
      </c>
      <c r="D3702" s="3" t="s">
        <v>248</v>
      </c>
      <c r="F3702" s="3" t="s">
        <v>249</v>
      </c>
      <c r="G3702" s="3" t="s">
        <v>43</v>
      </c>
      <c r="H3702" s="3" t="s">
        <v>253</v>
      </c>
      <c r="I3702" s="2">
        <v>119</v>
      </c>
      <c r="J3702" s="2">
        <v>60</v>
      </c>
      <c r="K3702" s="2">
        <v>2</v>
      </c>
      <c r="L3702" s="2">
        <v>4</v>
      </c>
      <c r="O3702" s="2">
        <v>8</v>
      </c>
      <c r="P3702" s="2">
        <v>16</v>
      </c>
      <c r="R3702" s="2">
        <v>4</v>
      </c>
      <c r="U3702" s="2">
        <v>5</v>
      </c>
      <c r="V3702" s="2">
        <v>53</v>
      </c>
      <c r="W3702" s="2">
        <v>3</v>
      </c>
      <c r="X3702" s="2">
        <v>30</v>
      </c>
      <c r="AA3702" s="3" t="s">
        <v>57</v>
      </c>
      <c r="AB3702" s="2">
        <v>1</v>
      </c>
      <c r="AF3702" s="2">
        <v>22</v>
      </c>
      <c r="AG3702" s="2">
        <v>2</v>
      </c>
      <c r="AH3702" s="3" t="s">
        <v>3741</v>
      </c>
      <c r="AI3702" s="4">
        <v>45463</v>
      </c>
      <c r="AJ3702" s="3" t="s">
        <v>3860</v>
      </c>
      <c r="AK3702" s="3" t="s">
        <v>248</v>
      </c>
    </row>
    <row r="3703" spans="1:37" hidden="1" x14ac:dyDescent="0.25">
      <c r="A3703" t="str">
        <f t="shared" si="57"/>
        <v>2024_WA_Bolgart_Chickpea_DetailedTOS2VarietyCBA_CaptainWaterTrtIrrigated</v>
      </c>
      <c r="B3703" s="2">
        <v>2024040</v>
      </c>
      <c r="C3703" s="3" t="s">
        <v>3740</v>
      </c>
      <c r="D3703" s="3" t="s">
        <v>248</v>
      </c>
      <c r="F3703" s="3" t="s">
        <v>249</v>
      </c>
      <c r="G3703" s="3" t="s">
        <v>43</v>
      </c>
      <c r="H3703" s="3" t="s">
        <v>250</v>
      </c>
      <c r="I3703" s="2">
        <v>120</v>
      </c>
      <c r="J3703" s="2">
        <v>60</v>
      </c>
      <c r="K3703" s="2">
        <v>2</v>
      </c>
      <c r="L3703" s="2">
        <v>4</v>
      </c>
      <c r="O3703" s="2">
        <v>8</v>
      </c>
      <c r="P3703" s="2">
        <v>16</v>
      </c>
      <c r="R3703" s="2">
        <v>4</v>
      </c>
      <c r="U3703" s="2">
        <v>6</v>
      </c>
      <c r="V3703" s="2">
        <v>53</v>
      </c>
      <c r="W3703" s="2">
        <v>4</v>
      </c>
      <c r="X3703" s="2">
        <v>30</v>
      </c>
      <c r="Z3703" s="2">
        <v>35</v>
      </c>
      <c r="AA3703" s="3" t="s">
        <v>57</v>
      </c>
      <c r="AB3703" s="2">
        <v>1</v>
      </c>
      <c r="AF3703" s="2">
        <v>22</v>
      </c>
      <c r="AG3703" s="2">
        <v>2</v>
      </c>
      <c r="AH3703" s="3" t="s">
        <v>3741</v>
      </c>
      <c r="AI3703" s="4">
        <v>45463</v>
      </c>
      <c r="AJ3703" s="3" t="s">
        <v>3861</v>
      </c>
      <c r="AK3703" s="3" t="s">
        <v>248</v>
      </c>
    </row>
    <row r="3704" spans="1:37" hidden="1" x14ac:dyDescent="0.25">
      <c r="A3704" t="str">
        <f t="shared" si="57"/>
        <v>2024_WA_Bolgart_Chickpea_DetailedTOS2VarietyDrummondWaterTrtRainFed</v>
      </c>
      <c r="B3704" s="2">
        <v>2024040</v>
      </c>
      <c r="C3704" s="3" t="s">
        <v>3740</v>
      </c>
      <c r="D3704" s="3" t="s">
        <v>248</v>
      </c>
      <c r="F3704" s="3" t="s">
        <v>4182</v>
      </c>
      <c r="G3704" s="3" t="s">
        <v>39</v>
      </c>
      <c r="H3704" s="3" t="s">
        <v>250</v>
      </c>
      <c r="I3704" s="2">
        <v>121</v>
      </c>
      <c r="J3704" s="2">
        <v>61</v>
      </c>
      <c r="K3704" s="2">
        <v>2</v>
      </c>
      <c r="L3704" s="2">
        <v>4</v>
      </c>
      <c r="O3704" s="2">
        <v>8</v>
      </c>
      <c r="P3704" s="2">
        <v>15</v>
      </c>
      <c r="R3704" s="2">
        <v>3</v>
      </c>
      <c r="U3704" s="2">
        <v>1</v>
      </c>
      <c r="V3704" s="2">
        <v>54</v>
      </c>
      <c r="W3704" s="2">
        <v>1</v>
      </c>
      <c r="X3704" s="2">
        <v>31</v>
      </c>
      <c r="Z3704" s="2">
        <v>31</v>
      </c>
      <c r="AA3704" s="3" t="s">
        <v>40</v>
      </c>
      <c r="AB3704" s="2">
        <v>2</v>
      </c>
      <c r="AF3704" s="2">
        <v>22</v>
      </c>
      <c r="AG3704" s="2">
        <v>2</v>
      </c>
      <c r="AH3704" s="3" t="s">
        <v>3741</v>
      </c>
      <c r="AI3704" s="4">
        <v>45463</v>
      </c>
      <c r="AJ3704" s="3" t="s">
        <v>3862</v>
      </c>
      <c r="AK3704" s="3" t="s">
        <v>248</v>
      </c>
    </row>
    <row r="3705" spans="1:37" hidden="1" x14ac:dyDescent="0.25">
      <c r="A3705" t="str">
        <f t="shared" si="57"/>
        <v>2024_WA_Bolgart_Chickpea_DetailedTOS2VarietyDrummondWaterTrtRainFed</v>
      </c>
      <c r="B3705" s="2">
        <v>2024040</v>
      </c>
      <c r="C3705" s="3" t="s">
        <v>3740</v>
      </c>
      <c r="D3705" s="3" t="s">
        <v>248</v>
      </c>
      <c r="F3705" s="3" t="s">
        <v>4182</v>
      </c>
      <c r="G3705" s="3" t="s">
        <v>39</v>
      </c>
      <c r="H3705" s="3" t="s">
        <v>253</v>
      </c>
      <c r="I3705" s="2">
        <v>122</v>
      </c>
      <c r="J3705" s="2">
        <v>61</v>
      </c>
      <c r="K3705" s="2">
        <v>2</v>
      </c>
      <c r="L3705" s="2">
        <v>4</v>
      </c>
      <c r="O3705" s="2">
        <v>8</v>
      </c>
      <c r="P3705" s="2">
        <v>15</v>
      </c>
      <c r="R3705" s="2">
        <v>3</v>
      </c>
      <c r="U3705" s="2">
        <v>2</v>
      </c>
      <c r="V3705" s="2">
        <v>54</v>
      </c>
      <c r="W3705" s="2">
        <v>2</v>
      </c>
      <c r="X3705" s="2">
        <v>31</v>
      </c>
      <c r="AA3705" s="3" t="s">
        <v>40</v>
      </c>
      <c r="AB3705" s="2">
        <v>2</v>
      </c>
      <c r="AF3705" s="2">
        <v>22</v>
      </c>
      <c r="AG3705" s="2">
        <v>2</v>
      </c>
      <c r="AH3705" s="3" t="s">
        <v>3741</v>
      </c>
      <c r="AI3705" s="4">
        <v>45463</v>
      </c>
      <c r="AJ3705" s="3" t="s">
        <v>3863</v>
      </c>
      <c r="AK3705" s="3" t="s">
        <v>248</v>
      </c>
    </row>
    <row r="3706" spans="1:37" hidden="1" x14ac:dyDescent="0.25">
      <c r="A3706" t="str">
        <f t="shared" si="57"/>
        <v>2024_WA_Bolgart_Chickpea_DetailedTOS2VarietyHatTrickWaterTrtIrrigated</v>
      </c>
      <c r="B3706" s="2">
        <v>2024040</v>
      </c>
      <c r="C3706" s="3" t="s">
        <v>3740</v>
      </c>
      <c r="D3706" s="3" t="s">
        <v>248</v>
      </c>
      <c r="F3706" s="3" t="s">
        <v>4178</v>
      </c>
      <c r="G3706" s="3" t="s">
        <v>39</v>
      </c>
      <c r="H3706" s="3" t="s">
        <v>253</v>
      </c>
      <c r="I3706" s="2">
        <v>123</v>
      </c>
      <c r="J3706" s="2">
        <v>62</v>
      </c>
      <c r="K3706" s="2">
        <v>2</v>
      </c>
      <c r="L3706" s="2">
        <v>4</v>
      </c>
      <c r="O3706" s="2">
        <v>8</v>
      </c>
      <c r="P3706" s="2">
        <v>16</v>
      </c>
      <c r="R3706" s="2">
        <v>4</v>
      </c>
      <c r="U3706" s="2">
        <v>5</v>
      </c>
      <c r="V3706" s="2">
        <v>54</v>
      </c>
      <c r="W3706" s="2">
        <v>3</v>
      </c>
      <c r="X3706" s="2">
        <v>31</v>
      </c>
      <c r="AA3706" s="3" t="s">
        <v>57</v>
      </c>
      <c r="AB3706" s="2">
        <v>3</v>
      </c>
      <c r="AF3706" s="2">
        <v>22</v>
      </c>
      <c r="AG3706" s="2">
        <v>2</v>
      </c>
      <c r="AH3706" s="3" t="s">
        <v>3741</v>
      </c>
      <c r="AI3706" s="4">
        <v>45463</v>
      </c>
      <c r="AJ3706" s="3" t="s">
        <v>3864</v>
      </c>
      <c r="AK3706" s="3" t="s">
        <v>248</v>
      </c>
    </row>
    <row r="3707" spans="1:37" hidden="1" x14ac:dyDescent="0.25">
      <c r="A3707" t="str">
        <f t="shared" si="57"/>
        <v>2024_WA_Bolgart_Chickpea_DetailedTOS2VarietyHatTrickWaterTrtIrrigated</v>
      </c>
      <c r="B3707" s="2">
        <v>2024040</v>
      </c>
      <c r="C3707" s="3" t="s">
        <v>3740</v>
      </c>
      <c r="D3707" s="3" t="s">
        <v>248</v>
      </c>
      <c r="F3707" s="3" t="s">
        <v>4178</v>
      </c>
      <c r="G3707" s="3" t="s">
        <v>39</v>
      </c>
      <c r="H3707" s="3" t="s">
        <v>250</v>
      </c>
      <c r="I3707" s="2">
        <v>124</v>
      </c>
      <c r="J3707" s="2">
        <v>62</v>
      </c>
      <c r="K3707" s="2">
        <v>2</v>
      </c>
      <c r="L3707" s="2">
        <v>4</v>
      </c>
      <c r="O3707" s="2">
        <v>8</v>
      </c>
      <c r="P3707" s="2">
        <v>16</v>
      </c>
      <c r="R3707" s="2">
        <v>4</v>
      </c>
      <c r="U3707" s="2">
        <v>6</v>
      </c>
      <c r="V3707" s="2">
        <v>54</v>
      </c>
      <c r="W3707" s="2">
        <v>4</v>
      </c>
      <c r="X3707" s="2">
        <v>31</v>
      </c>
      <c r="Z3707" s="2">
        <v>34</v>
      </c>
      <c r="AA3707" s="3" t="s">
        <v>57</v>
      </c>
      <c r="AB3707" s="2">
        <v>3</v>
      </c>
      <c r="AF3707" s="2">
        <v>22</v>
      </c>
      <c r="AG3707" s="2">
        <v>2</v>
      </c>
      <c r="AH3707" s="3" t="s">
        <v>3741</v>
      </c>
      <c r="AI3707" s="4">
        <v>45463</v>
      </c>
      <c r="AJ3707" s="3" t="s">
        <v>3865</v>
      </c>
      <c r="AK3707" s="3" t="s">
        <v>248</v>
      </c>
    </row>
    <row r="3708" spans="1:37" hidden="1" x14ac:dyDescent="0.25">
      <c r="A3708" t="str">
        <f t="shared" si="57"/>
        <v>2024_WA_Bolgart_Chickpea_DetailedTOS2VarietyStrikerWaterTrtRainFed</v>
      </c>
      <c r="B3708" s="2">
        <v>2024040</v>
      </c>
      <c r="C3708" s="3" t="s">
        <v>3740</v>
      </c>
      <c r="D3708" s="3" t="s">
        <v>248</v>
      </c>
      <c r="F3708" s="3" t="s">
        <v>4179</v>
      </c>
      <c r="G3708" s="3" t="s">
        <v>43</v>
      </c>
      <c r="H3708" s="3" t="s">
        <v>250</v>
      </c>
      <c r="I3708" s="2">
        <v>125</v>
      </c>
      <c r="J3708" s="2">
        <v>63</v>
      </c>
      <c r="K3708" s="2">
        <v>2</v>
      </c>
      <c r="L3708" s="2">
        <v>4</v>
      </c>
      <c r="O3708" s="2">
        <v>8</v>
      </c>
      <c r="P3708" s="2">
        <v>15</v>
      </c>
      <c r="R3708" s="2">
        <v>3</v>
      </c>
      <c r="U3708" s="2">
        <v>1</v>
      </c>
      <c r="V3708" s="2">
        <v>55</v>
      </c>
      <c r="W3708" s="2">
        <v>1</v>
      </c>
      <c r="X3708" s="2">
        <v>32</v>
      </c>
      <c r="Z3708" s="2">
        <v>32</v>
      </c>
      <c r="AA3708" s="3" t="s">
        <v>40</v>
      </c>
      <c r="AB3708" s="2">
        <v>4</v>
      </c>
      <c r="AF3708" s="2">
        <v>22</v>
      </c>
      <c r="AG3708" s="2">
        <v>2</v>
      </c>
      <c r="AH3708" s="3" t="s">
        <v>3741</v>
      </c>
      <c r="AI3708" s="4">
        <v>45463</v>
      </c>
      <c r="AJ3708" s="3" t="s">
        <v>3866</v>
      </c>
      <c r="AK3708" s="3" t="s">
        <v>248</v>
      </c>
    </row>
    <row r="3709" spans="1:37" hidden="1" x14ac:dyDescent="0.25">
      <c r="A3709" t="str">
        <f t="shared" si="57"/>
        <v>2024_WA_Bolgart_Chickpea_DetailedTOS2VarietyStrikerWaterTrtRainFed</v>
      </c>
      <c r="B3709" s="2">
        <v>2024040</v>
      </c>
      <c r="C3709" s="3" t="s">
        <v>3740</v>
      </c>
      <c r="D3709" s="3" t="s">
        <v>248</v>
      </c>
      <c r="F3709" s="3" t="s">
        <v>4179</v>
      </c>
      <c r="G3709" s="3" t="s">
        <v>43</v>
      </c>
      <c r="H3709" s="3" t="s">
        <v>253</v>
      </c>
      <c r="I3709" s="2">
        <v>126</v>
      </c>
      <c r="J3709" s="2">
        <v>63</v>
      </c>
      <c r="K3709" s="2">
        <v>2</v>
      </c>
      <c r="L3709" s="2">
        <v>4</v>
      </c>
      <c r="O3709" s="2">
        <v>8</v>
      </c>
      <c r="P3709" s="2">
        <v>15</v>
      </c>
      <c r="R3709" s="2">
        <v>3</v>
      </c>
      <c r="U3709" s="2">
        <v>2</v>
      </c>
      <c r="V3709" s="2">
        <v>55</v>
      </c>
      <c r="W3709" s="2">
        <v>2</v>
      </c>
      <c r="X3709" s="2">
        <v>32</v>
      </c>
      <c r="AA3709" s="3" t="s">
        <v>40</v>
      </c>
      <c r="AB3709" s="2">
        <v>4</v>
      </c>
      <c r="AF3709" s="2">
        <v>22</v>
      </c>
      <c r="AG3709" s="2">
        <v>2</v>
      </c>
      <c r="AH3709" s="3" t="s">
        <v>3741</v>
      </c>
      <c r="AI3709" s="4">
        <v>45463</v>
      </c>
      <c r="AJ3709" s="3" t="s">
        <v>3867</v>
      </c>
      <c r="AK3709" s="3" t="s">
        <v>248</v>
      </c>
    </row>
    <row r="3710" spans="1:37" hidden="1" x14ac:dyDescent="0.25">
      <c r="A3710" t="str">
        <f t="shared" si="57"/>
        <v>2024_WA_Bolgart_Chickpea_DetailedTOS2VarietyDrummondWaterTrtIrrigated</v>
      </c>
      <c r="B3710" s="2">
        <v>2024040</v>
      </c>
      <c r="C3710" s="3" t="s">
        <v>3740</v>
      </c>
      <c r="D3710" s="3" t="s">
        <v>248</v>
      </c>
      <c r="F3710" s="3" t="s">
        <v>4182</v>
      </c>
      <c r="G3710" s="3" t="s">
        <v>39</v>
      </c>
      <c r="H3710" s="3" t="s">
        <v>253</v>
      </c>
      <c r="I3710" s="2">
        <v>127</v>
      </c>
      <c r="J3710" s="2">
        <v>64</v>
      </c>
      <c r="K3710" s="2">
        <v>2</v>
      </c>
      <c r="L3710" s="2">
        <v>4</v>
      </c>
      <c r="O3710" s="2">
        <v>8</v>
      </c>
      <c r="P3710" s="2">
        <v>16</v>
      </c>
      <c r="R3710" s="2">
        <v>4</v>
      </c>
      <c r="U3710" s="2">
        <v>5</v>
      </c>
      <c r="V3710" s="2">
        <v>55</v>
      </c>
      <c r="W3710" s="2">
        <v>3</v>
      </c>
      <c r="X3710" s="2">
        <v>32</v>
      </c>
      <c r="AA3710" s="3" t="s">
        <v>57</v>
      </c>
      <c r="AB3710" s="2">
        <v>2</v>
      </c>
      <c r="AF3710" s="2">
        <v>22</v>
      </c>
      <c r="AG3710" s="2">
        <v>2</v>
      </c>
      <c r="AH3710" s="3" t="s">
        <v>3741</v>
      </c>
      <c r="AI3710" s="4">
        <v>45463</v>
      </c>
      <c r="AJ3710" s="3" t="s">
        <v>3868</v>
      </c>
      <c r="AK3710" s="3" t="s">
        <v>248</v>
      </c>
    </row>
    <row r="3711" spans="1:37" hidden="1" x14ac:dyDescent="0.25">
      <c r="A3711" t="str">
        <f t="shared" si="57"/>
        <v>2024_WA_Bolgart_Chickpea_DetailedTOS2VarietyDrummondWaterTrtIrrigated</v>
      </c>
      <c r="B3711" s="2">
        <v>2024040</v>
      </c>
      <c r="C3711" s="3" t="s">
        <v>3740</v>
      </c>
      <c r="D3711" s="3" t="s">
        <v>248</v>
      </c>
      <c r="F3711" s="3" t="s">
        <v>4182</v>
      </c>
      <c r="G3711" s="3" t="s">
        <v>39</v>
      </c>
      <c r="H3711" s="3" t="s">
        <v>250</v>
      </c>
      <c r="I3711" s="2">
        <v>128</v>
      </c>
      <c r="J3711" s="2">
        <v>64</v>
      </c>
      <c r="K3711" s="2">
        <v>2</v>
      </c>
      <c r="L3711" s="2">
        <v>4</v>
      </c>
      <c r="O3711" s="2">
        <v>8</v>
      </c>
      <c r="P3711" s="2">
        <v>16</v>
      </c>
      <c r="R3711" s="2">
        <v>4</v>
      </c>
      <c r="U3711" s="2">
        <v>6</v>
      </c>
      <c r="V3711" s="2">
        <v>55</v>
      </c>
      <c r="W3711" s="2">
        <v>4</v>
      </c>
      <c r="X3711" s="2">
        <v>32</v>
      </c>
      <c r="Z3711" s="2">
        <v>33</v>
      </c>
      <c r="AA3711" s="3" t="s">
        <v>57</v>
      </c>
      <c r="AB3711" s="2">
        <v>2</v>
      </c>
      <c r="AF3711" s="2">
        <v>22</v>
      </c>
      <c r="AG3711" s="2">
        <v>2</v>
      </c>
      <c r="AH3711" s="3" t="s">
        <v>3741</v>
      </c>
      <c r="AI3711" s="4">
        <v>45463</v>
      </c>
      <c r="AJ3711" s="3" t="s">
        <v>3869</v>
      </c>
      <c r="AK3711" s="3" t="s">
        <v>248</v>
      </c>
    </row>
    <row r="3712" spans="1:37" hidden="1" x14ac:dyDescent="0.25">
      <c r="A3712" t="str">
        <f t="shared" si="57"/>
        <v>2024_NSW_Greenethorpe_Mixed_NFixTOS1VarietySamiraWaterTrtRainFedAgronomy125kgN</v>
      </c>
      <c r="B3712" s="2">
        <v>2024041</v>
      </c>
      <c r="C3712" s="3" t="s">
        <v>3870</v>
      </c>
      <c r="D3712" s="3" t="s">
        <v>37</v>
      </c>
      <c r="E3712" s="3" t="s">
        <v>645</v>
      </c>
      <c r="F3712" s="3" t="s">
        <v>4183</v>
      </c>
      <c r="G3712" s="3" t="s">
        <v>43</v>
      </c>
      <c r="H3712" s="3" t="s">
        <v>253</v>
      </c>
      <c r="I3712" s="2">
        <v>1</v>
      </c>
      <c r="J3712" s="2">
        <v>1</v>
      </c>
      <c r="K3712" s="2">
        <v>1</v>
      </c>
      <c r="L3712" s="2">
        <v>1</v>
      </c>
      <c r="M3712" s="2">
        <v>1</v>
      </c>
      <c r="N3712" s="2">
        <v>1</v>
      </c>
      <c r="P3712" s="2">
        <v>1</v>
      </c>
      <c r="Q3712" s="2">
        <v>1</v>
      </c>
      <c r="S3712" s="3" t="s">
        <v>3871</v>
      </c>
      <c r="T3712" s="2">
        <v>1</v>
      </c>
      <c r="W3712" s="2">
        <v>1</v>
      </c>
      <c r="X3712" s="2">
        <v>1</v>
      </c>
      <c r="Y3712" s="2">
        <v>125</v>
      </c>
      <c r="Z3712" s="2">
        <v>1</v>
      </c>
      <c r="AA3712" s="3" t="s">
        <v>40</v>
      </c>
      <c r="AB3712" s="2">
        <v>6</v>
      </c>
      <c r="AC3712" s="3" t="s">
        <v>3872</v>
      </c>
      <c r="AF3712" s="2">
        <v>25</v>
      </c>
      <c r="AG3712" s="2">
        <v>1</v>
      </c>
      <c r="AH3712" s="3" t="s">
        <v>3873</v>
      </c>
      <c r="AI3712" s="4">
        <v>45420</v>
      </c>
      <c r="AJ3712" s="3" t="s">
        <v>3874</v>
      </c>
      <c r="AK3712" s="3" t="s">
        <v>645</v>
      </c>
    </row>
    <row r="3713" spans="1:37" hidden="1" x14ac:dyDescent="0.25">
      <c r="A3713" t="str">
        <f t="shared" si="57"/>
        <v>2024_NSW_Greenethorpe_Mixed_NFixTOS1VarietySamiraWaterTrtRainFedAgronomy125kgN</v>
      </c>
      <c r="B3713" s="2">
        <v>2024041</v>
      </c>
      <c r="C3713" s="3" t="s">
        <v>3870</v>
      </c>
      <c r="D3713" s="3" t="s">
        <v>37</v>
      </c>
      <c r="E3713" s="3" t="s">
        <v>645</v>
      </c>
      <c r="F3713" s="3" t="s">
        <v>4183</v>
      </c>
      <c r="G3713" s="3" t="s">
        <v>43</v>
      </c>
      <c r="H3713" s="3" t="s">
        <v>253</v>
      </c>
      <c r="I3713" s="2">
        <v>2</v>
      </c>
      <c r="J3713" s="2">
        <v>2</v>
      </c>
      <c r="K3713" s="2">
        <v>1</v>
      </c>
      <c r="L3713" s="2">
        <v>1</v>
      </c>
      <c r="M3713" s="2">
        <v>1</v>
      </c>
      <c r="N3713" s="2">
        <v>1</v>
      </c>
      <c r="P3713" s="2">
        <v>1</v>
      </c>
      <c r="Q3713" s="2">
        <v>2</v>
      </c>
      <c r="S3713" s="3" t="s">
        <v>3875</v>
      </c>
      <c r="T3713" s="2">
        <v>2</v>
      </c>
      <c r="W3713" s="2">
        <v>2</v>
      </c>
      <c r="X3713" s="2">
        <v>1</v>
      </c>
      <c r="Y3713" s="2">
        <v>125</v>
      </c>
      <c r="Z3713" s="2">
        <v>2</v>
      </c>
      <c r="AA3713" s="3" t="s">
        <v>40</v>
      </c>
      <c r="AB3713" s="2">
        <v>6</v>
      </c>
      <c r="AC3713" s="3" t="s">
        <v>3872</v>
      </c>
      <c r="AF3713" s="2">
        <v>25</v>
      </c>
      <c r="AG3713" s="2">
        <v>1</v>
      </c>
      <c r="AH3713" s="3" t="s">
        <v>3873</v>
      </c>
      <c r="AI3713" s="4">
        <v>45420</v>
      </c>
      <c r="AJ3713" s="3" t="s">
        <v>3876</v>
      </c>
      <c r="AK3713" s="3" t="s">
        <v>645</v>
      </c>
    </row>
    <row r="3714" spans="1:37" hidden="1" x14ac:dyDescent="0.25">
      <c r="A3714" t="str">
        <f t="shared" si="57"/>
        <v>2024_NSW_Greenethorpe_Mixed_NFixTOS1VarietyNasmaWaterTrtRainFedAgronomy125kgN</v>
      </c>
      <c r="B3714" s="2">
        <v>2024041</v>
      </c>
      <c r="C3714" s="3" t="s">
        <v>3870</v>
      </c>
      <c r="D3714" s="3" t="s">
        <v>37</v>
      </c>
      <c r="E3714" s="3" t="s">
        <v>645</v>
      </c>
      <c r="F3714" s="3" t="s">
        <v>4186</v>
      </c>
      <c r="G3714" s="3" t="s">
        <v>43</v>
      </c>
      <c r="H3714" s="3" t="s">
        <v>253</v>
      </c>
      <c r="I3714" s="2">
        <v>3</v>
      </c>
      <c r="J3714" s="2">
        <v>3</v>
      </c>
      <c r="K3714" s="2">
        <v>1</v>
      </c>
      <c r="L3714" s="2">
        <v>1</v>
      </c>
      <c r="M3714" s="2">
        <v>1</v>
      </c>
      <c r="N3714" s="2">
        <v>1</v>
      </c>
      <c r="P3714" s="2">
        <v>1</v>
      </c>
      <c r="Q3714" s="2">
        <v>2</v>
      </c>
      <c r="S3714" s="3" t="s">
        <v>3875</v>
      </c>
      <c r="T3714" s="2">
        <v>2</v>
      </c>
      <c r="W3714" s="2">
        <v>3</v>
      </c>
      <c r="X3714" s="2">
        <v>1</v>
      </c>
      <c r="Y3714" s="2">
        <v>125</v>
      </c>
      <c r="Z3714" s="2">
        <v>3</v>
      </c>
      <c r="AA3714" s="3" t="s">
        <v>40</v>
      </c>
      <c r="AB3714" s="2">
        <v>5</v>
      </c>
      <c r="AC3714" s="3" t="s">
        <v>3872</v>
      </c>
      <c r="AF3714" s="2">
        <v>25</v>
      </c>
      <c r="AG3714" s="2">
        <v>1</v>
      </c>
      <c r="AH3714" s="3" t="s">
        <v>3873</v>
      </c>
      <c r="AI3714" s="4">
        <v>45420</v>
      </c>
      <c r="AJ3714" s="3" t="s">
        <v>3877</v>
      </c>
      <c r="AK3714" s="3" t="s">
        <v>645</v>
      </c>
    </row>
    <row r="3715" spans="1:37" hidden="1" x14ac:dyDescent="0.25">
      <c r="A3715" t="str">
        <f t="shared" ref="A3715:A3778" si="58">C3715&amp;"TOS"&amp;AG3715&amp;"Variety"&amp;F3715&amp;"WaterTrt"&amp;AA3715&amp;IF(AC3715="","","Agronomy"&amp;AC3715)</f>
        <v>2024_NSW_Greenethorpe_Mixed_NFixTOS1VarietyNasmaWaterTrtRainFedAgronomy125kgN</v>
      </c>
      <c r="B3715" s="2">
        <v>2024041</v>
      </c>
      <c r="C3715" s="3" t="s">
        <v>3870</v>
      </c>
      <c r="D3715" s="3" t="s">
        <v>37</v>
      </c>
      <c r="E3715" s="3" t="s">
        <v>645</v>
      </c>
      <c r="F3715" s="3" t="s">
        <v>4186</v>
      </c>
      <c r="G3715" s="3" t="s">
        <v>43</v>
      </c>
      <c r="H3715" s="3" t="s">
        <v>253</v>
      </c>
      <c r="I3715" s="2">
        <v>4</v>
      </c>
      <c r="J3715" s="2">
        <v>4</v>
      </c>
      <c r="K3715" s="2">
        <v>1</v>
      </c>
      <c r="L3715" s="2">
        <v>1</v>
      </c>
      <c r="M3715" s="2">
        <v>1</v>
      </c>
      <c r="N3715" s="2">
        <v>1</v>
      </c>
      <c r="P3715" s="2">
        <v>1</v>
      </c>
      <c r="Q3715" s="2">
        <v>1</v>
      </c>
      <c r="S3715" s="3" t="s">
        <v>3871</v>
      </c>
      <c r="T3715" s="2">
        <v>1</v>
      </c>
      <c r="W3715" s="2">
        <v>4</v>
      </c>
      <c r="X3715" s="2">
        <v>1</v>
      </c>
      <c r="Y3715" s="2">
        <v>125</v>
      </c>
      <c r="Z3715" s="2">
        <v>4</v>
      </c>
      <c r="AA3715" s="3" t="s">
        <v>40</v>
      </c>
      <c r="AB3715" s="2">
        <v>5</v>
      </c>
      <c r="AC3715" s="3" t="s">
        <v>3872</v>
      </c>
      <c r="AF3715" s="2">
        <v>25</v>
      </c>
      <c r="AG3715" s="2">
        <v>1</v>
      </c>
      <c r="AH3715" s="3" t="s">
        <v>3873</v>
      </c>
      <c r="AI3715" s="4">
        <v>45420</v>
      </c>
      <c r="AJ3715" s="3" t="s">
        <v>3878</v>
      </c>
      <c r="AK3715" s="3" t="s">
        <v>645</v>
      </c>
    </row>
    <row r="3716" spans="1:37" hidden="1" x14ac:dyDescent="0.25">
      <c r="A3716" t="str">
        <f t="shared" si="58"/>
        <v>2024_NSW_Greenethorpe_Mixed_NFixTOS1VarietyCanolaWaterTrtRainFedAgronomy125kgN</v>
      </c>
      <c r="B3716" s="2">
        <v>2024041</v>
      </c>
      <c r="C3716" s="3" t="s">
        <v>3870</v>
      </c>
      <c r="D3716" s="3" t="s">
        <v>37</v>
      </c>
      <c r="E3716" s="3" t="s">
        <v>3879</v>
      </c>
      <c r="F3716" s="3" t="s">
        <v>3879</v>
      </c>
      <c r="G3716" s="3" t="s">
        <v>39</v>
      </c>
      <c r="H3716" s="3" t="s">
        <v>253</v>
      </c>
      <c r="I3716" s="2">
        <v>5</v>
      </c>
      <c r="J3716" s="2">
        <v>5</v>
      </c>
      <c r="K3716" s="2">
        <v>1</v>
      </c>
      <c r="L3716" s="2">
        <v>1</v>
      </c>
      <c r="M3716" s="2">
        <v>1</v>
      </c>
      <c r="N3716" s="2">
        <v>2</v>
      </c>
      <c r="P3716" s="2">
        <v>2</v>
      </c>
      <c r="Q3716" s="2">
        <v>3</v>
      </c>
      <c r="S3716" s="3" t="s">
        <v>3871</v>
      </c>
      <c r="T3716" s="2">
        <v>1</v>
      </c>
      <c r="W3716" s="2">
        <v>1</v>
      </c>
      <c r="X3716" s="2">
        <v>2</v>
      </c>
      <c r="Y3716" s="2">
        <v>125</v>
      </c>
      <c r="Z3716" s="2">
        <v>32</v>
      </c>
      <c r="AA3716" s="3" t="s">
        <v>40</v>
      </c>
      <c r="AB3716" s="2">
        <v>8</v>
      </c>
      <c r="AC3716" s="3" t="s">
        <v>3872</v>
      </c>
      <c r="AF3716" s="2">
        <v>25</v>
      </c>
      <c r="AG3716" s="2">
        <v>1</v>
      </c>
      <c r="AH3716" s="3" t="s">
        <v>3873</v>
      </c>
      <c r="AI3716" s="4">
        <v>45420</v>
      </c>
      <c r="AJ3716" s="3" t="s">
        <v>3880</v>
      </c>
      <c r="AK3716" s="3" t="s">
        <v>3879</v>
      </c>
    </row>
    <row r="3717" spans="1:37" hidden="1" x14ac:dyDescent="0.25">
      <c r="A3717" t="str">
        <f t="shared" si="58"/>
        <v>2024_NSW_Greenethorpe_Mixed_NFixTOS1VarietyBatemanWaterTrtRainFedAgronomy125kgN</v>
      </c>
      <c r="B3717" s="2">
        <v>2024041</v>
      </c>
      <c r="C3717" s="3" t="s">
        <v>3870</v>
      </c>
      <c r="D3717" s="3" t="s">
        <v>37</v>
      </c>
      <c r="E3717" s="3" t="s">
        <v>1931</v>
      </c>
      <c r="F3717" s="3" t="s">
        <v>4195</v>
      </c>
      <c r="G3717" s="3" t="s">
        <v>43</v>
      </c>
      <c r="H3717" s="3" t="s">
        <v>253</v>
      </c>
      <c r="I3717" s="2">
        <v>6</v>
      </c>
      <c r="J3717" s="2">
        <v>6</v>
      </c>
      <c r="K3717" s="2">
        <v>1</v>
      </c>
      <c r="L3717" s="2">
        <v>1</v>
      </c>
      <c r="M3717" s="2">
        <v>1</v>
      </c>
      <c r="N3717" s="2">
        <v>2</v>
      </c>
      <c r="P3717" s="2">
        <v>2</v>
      </c>
      <c r="Q3717" s="2">
        <v>4</v>
      </c>
      <c r="S3717" s="3" t="s">
        <v>3875</v>
      </c>
      <c r="T3717" s="2">
        <v>2</v>
      </c>
      <c r="W3717" s="2">
        <v>2</v>
      </c>
      <c r="X3717" s="2">
        <v>2</v>
      </c>
      <c r="Y3717" s="2">
        <v>125</v>
      </c>
      <c r="Z3717" s="2">
        <v>31</v>
      </c>
      <c r="AA3717" s="3" t="s">
        <v>40</v>
      </c>
      <c r="AB3717" s="2">
        <v>7</v>
      </c>
      <c r="AC3717" s="3" t="s">
        <v>3872</v>
      </c>
      <c r="AF3717" s="2">
        <v>25</v>
      </c>
      <c r="AG3717" s="2">
        <v>1</v>
      </c>
      <c r="AH3717" s="3" t="s">
        <v>3873</v>
      </c>
      <c r="AI3717" s="4">
        <v>45420</v>
      </c>
      <c r="AJ3717" s="3" t="s">
        <v>3881</v>
      </c>
      <c r="AK3717" s="3" t="s">
        <v>1931</v>
      </c>
    </row>
    <row r="3718" spans="1:37" hidden="1" x14ac:dyDescent="0.25">
      <c r="A3718" t="str">
        <f t="shared" si="58"/>
        <v>2024_NSW_Greenethorpe_Mixed_NFixTOS1VarietyBatemanWaterTrtRainFedAgronomy125kgN</v>
      </c>
      <c r="B3718" s="2">
        <v>2024041</v>
      </c>
      <c r="C3718" s="3" t="s">
        <v>3870</v>
      </c>
      <c r="D3718" s="3" t="s">
        <v>37</v>
      </c>
      <c r="E3718" s="3" t="s">
        <v>1931</v>
      </c>
      <c r="F3718" s="3" t="s">
        <v>4195</v>
      </c>
      <c r="G3718" s="3" t="s">
        <v>43</v>
      </c>
      <c r="H3718" s="3" t="s">
        <v>253</v>
      </c>
      <c r="I3718" s="2">
        <v>7</v>
      </c>
      <c r="J3718" s="2">
        <v>7</v>
      </c>
      <c r="K3718" s="2">
        <v>1</v>
      </c>
      <c r="L3718" s="2">
        <v>1</v>
      </c>
      <c r="M3718" s="2">
        <v>1</v>
      </c>
      <c r="N3718" s="2">
        <v>2</v>
      </c>
      <c r="P3718" s="2">
        <v>2</v>
      </c>
      <c r="Q3718" s="2">
        <v>4</v>
      </c>
      <c r="S3718" s="3" t="s">
        <v>3875</v>
      </c>
      <c r="T3718" s="2">
        <v>2</v>
      </c>
      <c r="W3718" s="2">
        <v>3</v>
      </c>
      <c r="X3718" s="2">
        <v>2</v>
      </c>
      <c r="Y3718" s="2">
        <v>125</v>
      </c>
      <c r="Z3718" s="2">
        <v>30</v>
      </c>
      <c r="AA3718" s="3" t="s">
        <v>40</v>
      </c>
      <c r="AB3718" s="2">
        <v>7</v>
      </c>
      <c r="AC3718" s="3" t="s">
        <v>3872</v>
      </c>
      <c r="AF3718" s="2">
        <v>25</v>
      </c>
      <c r="AG3718" s="2">
        <v>1</v>
      </c>
      <c r="AH3718" s="3" t="s">
        <v>3873</v>
      </c>
      <c r="AI3718" s="4">
        <v>45420</v>
      </c>
      <c r="AJ3718" s="3" t="s">
        <v>3882</v>
      </c>
      <c r="AK3718" s="3" t="s">
        <v>1931</v>
      </c>
    </row>
    <row r="3719" spans="1:37" hidden="1" x14ac:dyDescent="0.25">
      <c r="A3719" t="str">
        <f t="shared" si="58"/>
        <v>2024_NSW_Greenethorpe_Mixed_NFixTOS1VarietyBatemanWaterTrtRainFedAgronomy125kgN</v>
      </c>
      <c r="B3719" s="2">
        <v>2024041</v>
      </c>
      <c r="C3719" s="3" t="s">
        <v>3870</v>
      </c>
      <c r="D3719" s="3" t="s">
        <v>37</v>
      </c>
      <c r="E3719" s="3" t="s">
        <v>1931</v>
      </c>
      <c r="F3719" s="3" t="s">
        <v>4195</v>
      </c>
      <c r="G3719" s="3" t="s">
        <v>43</v>
      </c>
      <c r="H3719" s="3" t="s">
        <v>253</v>
      </c>
      <c r="I3719" s="2">
        <v>8</v>
      </c>
      <c r="J3719" s="2">
        <v>8</v>
      </c>
      <c r="K3719" s="2">
        <v>1</v>
      </c>
      <c r="L3719" s="2">
        <v>1</v>
      </c>
      <c r="M3719" s="2">
        <v>1</v>
      </c>
      <c r="N3719" s="2">
        <v>2</v>
      </c>
      <c r="P3719" s="2">
        <v>2</v>
      </c>
      <c r="Q3719" s="2">
        <v>3</v>
      </c>
      <c r="S3719" s="3" t="s">
        <v>3871</v>
      </c>
      <c r="T3719" s="2">
        <v>1</v>
      </c>
      <c r="W3719" s="2">
        <v>4</v>
      </c>
      <c r="X3719" s="2">
        <v>2</v>
      </c>
      <c r="Y3719" s="2">
        <v>125</v>
      </c>
      <c r="Z3719" s="2">
        <v>29</v>
      </c>
      <c r="AA3719" s="3" t="s">
        <v>40</v>
      </c>
      <c r="AB3719" s="2">
        <v>7</v>
      </c>
      <c r="AC3719" s="3" t="s">
        <v>3872</v>
      </c>
      <c r="AF3719" s="2">
        <v>25</v>
      </c>
      <c r="AG3719" s="2">
        <v>1</v>
      </c>
      <c r="AH3719" s="3" t="s">
        <v>3873</v>
      </c>
      <c r="AI3719" s="4">
        <v>45420</v>
      </c>
      <c r="AJ3719" s="3" t="s">
        <v>3883</v>
      </c>
      <c r="AK3719" s="3" t="s">
        <v>1931</v>
      </c>
    </row>
    <row r="3720" spans="1:37" hidden="1" x14ac:dyDescent="0.25">
      <c r="A3720" t="str">
        <f t="shared" si="58"/>
        <v>2024_NSW_Greenethorpe_Mixed_NFixTOS1VarietyKelpieXTWaterTrtRainFedAgronomy350kgN</v>
      </c>
      <c r="B3720" s="2">
        <v>2024041</v>
      </c>
      <c r="C3720" s="3" t="s">
        <v>3870</v>
      </c>
      <c r="D3720" s="3" t="s">
        <v>37</v>
      </c>
      <c r="E3720" s="3" t="s">
        <v>38</v>
      </c>
      <c r="F3720" s="3" t="s">
        <v>4188</v>
      </c>
      <c r="G3720" s="3" t="s">
        <v>43</v>
      </c>
      <c r="H3720" s="3" t="s">
        <v>253</v>
      </c>
      <c r="I3720" s="2">
        <v>9</v>
      </c>
      <c r="J3720" s="2">
        <v>9</v>
      </c>
      <c r="K3720" s="2">
        <v>1</v>
      </c>
      <c r="L3720" s="2">
        <v>1</v>
      </c>
      <c r="M3720" s="2">
        <v>2</v>
      </c>
      <c r="N3720" s="2">
        <v>1</v>
      </c>
      <c r="P3720" s="2">
        <v>3</v>
      </c>
      <c r="Q3720" s="2">
        <v>5</v>
      </c>
      <c r="S3720" s="3" t="s">
        <v>3871</v>
      </c>
      <c r="T3720" s="2">
        <v>1</v>
      </c>
      <c r="W3720" s="2">
        <v>5</v>
      </c>
      <c r="X3720" s="2">
        <v>1</v>
      </c>
      <c r="Y3720" s="2">
        <v>350</v>
      </c>
      <c r="Z3720" s="2">
        <v>5</v>
      </c>
      <c r="AA3720" s="3" t="s">
        <v>40</v>
      </c>
      <c r="AB3720" s="2">
        <v>4</v>
      </c>
      <c r="AC3720" s="3" t="s">
        <v>3884</v>
      </c>
      <c r="AF3720" s="2">
        <v>25</v>
      </c>
      <c r="AG3720" s="2">
        <v>1</v>
      </c>
      <c r="AH3720" s="3" t="s">
        <v>3873</v>
      </c>
      <c r="AI3720" s="4">
        <v>45420</v>
      </c>
      <c r="AJ3720" s="3" t="s">
        <v>3885</v>
      </c>
      <c r="AK3720" s="3" t="s">
        <v>38</v>
      </c>
    </row>
    <row r="3721" spans="1:37" hidden="1" x14ac:dyDescent="0.25">
      <c r="A3721" t="str">
        <f t="shared" si="58"/>
        <v>2024_NSW_Greenethorpe_Mixed_NFixTOS1VarietyKelpieXTWaterTrtRainFedAgronomy350kgN</v>
      </c>
      <c r="B3721" s="2">
        <v>2024041</v>
      </c>
      <c r="C3721" s="3" t="s">
        <v>3870</v>
      </c>
      <c r="D3721" s="3" t="s">
        <v>37</v>
      </c>
      <c r="E3721" s="3" t="s">
        <v>38</v>
      </c>
      <c r="F3721" s="3" t="s">
        <v>4188</v>
      </c>
      <c r="G3721" s="3" t="s">
        <v>43</v>
      </c>
      <c r="H3721" s="3" t="s">
        <v>253</v>
      </c>
      <c r="I3721" s="2">
        <v>10</v>
      </c>
      <c r="J3721" s="2">
        <v>10</v>
      </c>
      <c r="K3721" s="2">
        <v>1</v>
      </c>
      <c r="L3721" s="2">
        <v>1</v>
      </c>
      <c r="M3721" s="2">
        <v>2</v>
      </c>
      <c r="N3721" s="2">
        <v>1</v>
      </c>
      <c r="P3721" s="2">
        <v>3</v>
      </c>
      <c r="Q3721" s="2">
        <v>6</v>
      </c>
      <c r="S3721" s="3" t="s">
        <v>3875</v>
      </c>
      <c r="T3721" s="2">
        <v>2</v>
      </c>
      <c r="W3721" s="2">
        <v>6</v>
      </c>
      <c r="X3721" s="2">
        <v>1</v>
      </c>
      <c r="Y3721" s="2">
        <v>350</v>
      </c>
      <c r="Z3721" s="2">
        <v>6</v>
      </c>
      <c r="AA3721" s="3" t="s">
        <v>40</v>
      </c>
      <c r="AB3721" s="2">
        <v>4</v>
      </c>
      <c r="AC3721" s="3" t="s">
        <v>3884</v>
      </c>
      <c r="AF3721" s="2">
        <v>25</v>
      </c>
      <c r="AG3721" s="2">
        <v>1</v>
      </c>
      <c r="AH3721" s="3" t="s">
        <v>3873</v>
      </c>
      <c r="AI3721" s="4">
        <v>45420</v>
      </c>
      <c r="AJ3721" s="3" t="s">
        <v>3886</v>
      </c>
      <c r="AK3721" s="3" t="s">
        <v>38</v>
      </c>
    </row>
    <row r="3722" spans="1:37" hidden="1" x14ac:dyDescent="0.25">
      <c r="A3722" t="str">
        <f t="shared" si="58"/>
        <v>2024_NSW_Greenethorpe_Mixed_NFixTOS1VarietyJumbo2WaterTrtRainFedAgronomy350kgN</v>
      </c>
      <c r="B3722" s="2">
        <v>2024041</v>
      </c>
      <c r="C3722" s="3" t="s">
        <v>3870</v>
      </c>
      <c r="D3722" s="3" t="s">
        <v>37</v>
      </c>
      <c r="E3722" s="3" t="s">
        <v>38</v>
      </c>
      <c r="F3722" s="3" t="s">
        <v>4176</v>
      </c>
      <c r="G3722" s="3" t="s">
        <v>43</v>
      </c>
      <c r="H3722" s="3" t="s">
        <v>253</v>
      </c>
      <c r="I3722" s="2">
        <v>11</v>
      </c>
      <c r="J3722" s="2">
        <v>11</v>
      </c>
      <c r="K3722" s="2">
        <v>1</v>
      </c>
      <c r="L3722" s="2">
        <v>1</v>
      </c>
      <c r="M3722" s="2">
        <v>2</v>
      </c>
      <c r="N3722" s="2">
        <v>1</v>
      </c>
      <c r="P3722" s="2">
        <v>3</v>
      </c>
      <c r="Q3722" s="2">
        <v>6</v>
      </c>
      <c r="S3722" s="3" t="s">
        <v>3875</v>
      </c>
      <c r="T3722" s="2">
        <v>2</v>
      </c>
      <c r="W3722" s="2">
        <v>7</v>
      </c>
      <c r="X3722" s="2">
        <v>1</v>
      </c>
      <c r="Y3722" s="2">
        <v>350</v>
      </c>
      <c r="Z3722" s="2">
        <v>7</v>
      </c>
      <c r="AA3722" s="3" t="s">
        <v>40</v>
      </c>
      <c r="AB3722" s="2">
        <v>3</v>
      </c>
      <c r="AC3722" s="3" t="s">
        <v>3884</v>
      </c>
      <c r="AF3722" s="2">
        <v>25</v>
      </c>
      <c r="AG3722" s="2">
        <v>1</v>
      </c>
      <c r="AH3722" s="3" t="s">
        <v>3873</v>
      </c>
      <c r="AI3722" s="4">
        <v>45420</v>
      </c>
      <c r="AJ3722" s="3" t="s">
        <v>3887</v>
      </c>
      <c r="AK3722" s="3" t="s">
        <v>38</v>
      </c>
    </row>
    <row r="3723" spans="1:37" hidden="1" x14ac:dyDescent="0.25">
      <c r="A3723" t="str">
        <f t="shared" si="58"/>
        <v>2024_NSW_Greenethorpe_Mixed_NFixTOS1VarietyJumbo2WaterTrtRainFedAgronomy350kgN</v>
      </c>
      <c r="B3723" s="2">
        <v>2024041</v>
      </c>
      <c r="C3723" s="3" t="s">
        <v>3870</v>
      </c>
      <c r="D3723" s="3" t="s">
        <v>37</v>
      </c>
      <c r="E3723" s="3" t="s">
        <v>38</v>
      </c>
      <c r="F3723" s="3" t="s">
        <v>4176</v>
      </c>
      <c r="G3723" s="3" t="s">
        <v>43</v>
      </c>
      <c r="H3723" s="3" t="s">
        <v>253</v>
      </c>
      <c r="I3723" s="2">
        <v>12</v>
      </c>
      <c r="J3723" s="2">
        <v>12</v>
      </c>
      <c r="K3723" s="2">
        <v>1</v>
      </c>
      <c r="L3723" s="2">
        <v>1</v>
      </c>
      <c r="M3723" s="2">
        <v>2</v>
      </c>
      <c r="N3723" s="2">
        <v>1</v>
      </c>
      <c r="P3723" s="2">
        <v>3</v>
      </c>
      <c r="Q3723" s="2">
        <v>5</v>
      </c>
      <c r="S3723" s="3" t="s">
        <v>3871</v>
      </c>
      <c r="T3723" s="2">
        <v>1</v>
      </c>
      <c r="W3723" s="2">
        <v>8</v>
      </c>
      <c r="X3723" s="2">
        <v>1</v>
      </c>
      <c r="Y3723" s="2">
        <v>350</v>
      </c>
      <c r="Z3723" s="2">
        <v>8</v>
      </c>
      <c r="AA3723" s="3" t="s">
        <v>40</v>
      </c>
      <c r="AB3723" s="2">
        <v>3</v>
      </c>
      <c r="AC3723" s="3" t="s">
        <v>3884</v>
      </c>
      <c r="AF3723" s="2">
        <v>25</v>
      </c>
      <c r="AG3723" s="2">
        <v>1</v>
      </c>
      <c r="AH3723" s="3" t="s">
        <v>3873</v>
      </c>
      <c r="AI3723" s="4">
        <v>45420</v>
      </c>
      <c r="AJ3723" s="3" t="s">
        <v>3888</v>
      </c>
      <c r="AK3723" s="3" t="s">
        <v>38</v>
      </c>
    </row>
    <row r="3724" spans="1:37" hidden="1" x14ac:dyDescent="0.25">
      <c r="A3724" t="str">
        <f t="shared" si="58"/>
        <v>2024_NSW_Greenethorpe_Mixed_NFixTOS1VarietyStrikerWaterTrtRainFedAgronomy350kgN</v>
      </c>
      <c r="B3724" s="2">
        <v>2024041</v>
      </c>
      <c r="C3724" s="3" t="s">
        <v>3870</v>
      </c>
      <c r="D3724" s="3" t="s">
        <v>37</v>
      </c>
      <c r="E3724" s="3" t="s">
        <v>248</v>
      </c>
      <c r="F3724" s="3" t="s">
        <v>4179</v>
      </c>
      <c r="G3724" s="3" t="s">
        <v>43</v>
      </c>
      <c r="H3724" s="3" t="s">
        <v>253</v>
      </c>
      <c r="I3724" s="2">
        <v>13</v>
      </c>
      <c r="J3724" s="2">
        <v>13</v>
      </c>
      <c r="K3724" s="2">
        <v>1</v>
      </c>
      <c r="L3724" s="2">
        <v>1</v>
      </c>
      <c r="M3724" s="2">
        <v>2</v>
      </c>
      <c r="N3724" s="2">
        <v>2</v>
      </c>
      <c r="P3724" s="2">
        <v>4</v>
      </c>
      <c r="Q3724" s="2">
        <v>7</v>
      </c>
      <c r="S3724" s="3" t="s">
        <v>3871</v>
      </c>
      <c r="T3724" s="2">
        <v>1</v>
      </c>
      <c r="W3724" s="2">
        <v>5</v>
      </c>
      <c r="X3724" s="2">
        <v>2</v>
      </c>
      <c r="Y3724" s="2">
        <v>350</v>
      </c>
      <c r="Z3724" s="2">
        <v>28</v>
      </c>
      <c r="AA3724" s="3" t="s">
        <v>40</v>
      </c>
      <c r="AB3724" s="2">
        <v>2</v>
      </c>
      <c r="AC3724" s="3" t="s">
        <v>3884</v>
      </c>
      <c r="AF3724" s="2">
        <v>25</v>
      </c>
      <c r="AG3724" s="2">
        <v>1</v>
      </c>
      <c r="AH3724" s="3" t="s">
        <v>3873</v>
      </c>
      <c r="AI3724" s="4">
        <v>45420</v>
      </c>
      <c r="AJ3724" s="3" t="s">
        <v>3889</v>
      </c>
      <c r="AK3724" s="3" t="s">
        <v>248</v>
      </c>
    </row>
    <row r="3725" spans="1:37" hidden="1" x14ac:dyDescent="0.25">
      <c r="A3725" t="str">
        <f t="shared" si="58"/>
        <v>2024_NSW_Greenethorpe_Mixed_NFixTOS1VarietyCBA_CaptainWaterTrtRainFedAgronomy350kgN</v>
      </c>
      <c r="B3725" s="2">
        <v>2024041</v>
      </c>
      <c r="C3725" s="3" t="s">
        <v>3870</v>
      </c>
      <c r="D3725" s="3" t="s">
        <v>37</v>
      </c>
      <c r="E3725" s="3" t="s">
        <v>248</v>
      </c>
      <c r="F3725" s="3" t="s">
        <v>249</v>
      </c>
      <c r="G3725" s="3" t="s">
        <v>43</v>
      </c>
      <c r="H3725" s="3" t="s">
        <v>253</v>
      </c>
      <c r="I3725" s="2">
        <v>14</v>
      </c>
      <c r="J3725" s="2">
        <v>14</v>
      </c>
      <c r="K3725" s="2">
        <v>1</v>
      </c>
      <c r="L3725" s="2">
        <v>1</v>
      </c>
      <c r="M3725" s="2">
        <v>2</v>
      </c>
      <c r="N3725" s="2">
        <v>2</v>
      </c>
      <c r="P3725" s="2">
        <v>4</v>
      </c>
      <c r="Q3725" s="2">
        <v>8</v>
      </c>
      <c r="S3725" s="3" t="s">
        <v>3875</v>
      </c>
      <c r="T3725" s="2">
        <v>2</v>
      </c>
      <c r="W3725" s="2">
        <v>6</v>
      </c>
      <c r="X3725" s="2">
        <v>2</v>
      </c>
      <c r="Y3725" s="2">
        <v>350</v>
      </c>
      <c r="Z3725" s="2">
        <v>27</v>
      </c>
      <c r="AA3725" s="3" t="s">
        <v>40</v>
      </c>
      <c r="AB3725" s="2">
        <v>1</v>
      </c>
      <c r="AC3725" s="3" t="s">
        <v>3884</v>
      </c>
      <c r="AF3725" s="2">
        <v>25</v>
      </c>
      <c r="AG3725" s="2">
        <v>1</v>
      </c>
      <c r="AH3725" s="3" t="s">
        <v>3873</v>
      </c>
      <c r="AI3725" s="4">
        <v>45420</v>
      </c>
      <c r="AJ3725" s="3" t="s">
        <v>3890</v>
      </c>
      <c r="AK3725" s="3" t="s">
        <v>248</v>
      </c>
    </row>
    <row r="3726" spans="1:37" hidden="1" x14ac:dyDescent="0.25">
      <c r="A3726" t="str">
        <f t="shared" si="58"/>
        <v>2024_NSW_Greenethorpe_Mixed_NFixTOS1VarietyStrikerWaterTrtRainFedAgronomy350kgN</v>
      </c>
      <c r="B3726" s="2">
        <v>2024041</v>
      </c>
      <c r="C3726" s="3" t="s">
        <v>3870</v>
      </c>
      <c r="D3726" s="3" t="s">
        <v>37</v>
      </c>
      <c r="E3726" s="3" t="s">
        <v>248</v>
      </c>
      <c r="F3726" s="3" t="s">
        <v>4179</v>
      </c>
      <c r="G3726" s="3" t="s">
        <v>43</v>
      </c>
      <c r="H3726" s="3" t="s">
        <v>253</v>
      </c>
      <c r="I3726" s="2">
        <v>15</v>
      </c>
      <c r="J3726" s="2">
        <v>15</v>
      </c>
      <c r="K3726" s="2">
        <v>1</v>
      </c>
      <c r="L3726" s="2">
        <v>1</v>
      </c>
      <c r="M3726" s="2">
        <v>2</v>
      </c>
      <c r="N3726" s="2">
        <v>2</v>
      </c>
      <c r="P3726" s="2">
        <v>4</v>
      </c>
      <c r="Q3726" s="2">
        <v>8</v>
      </c>
      <c r="S3726" s="3" t="s">
        <v>3875</v>
      </c>
      <c r="T3726" s="2">
        <v>2</v>
      </c>
      <c r="W3726" s="2">
        <v>7</v>
      </c>
      <c r="X3726" s="2">
        <v>2</v>
      </c>
      <c r="Y3726" s="2">
        <v>350</v>
      </c>
      <c r="Z3726" s="2">
        <v>26</v>
      </c>
      <c r="AA3726" s="3" t="s">
        <v>40</v>
      </c>
      <c r="AB3726" s="2">
        <v>2</v>
      </c>
      <c r="AC3726" s="3" t="s">
        <v>3884</v>
      </c>
      <c r="AF3726" s="2">
        <v>25</v>
      </c>
      <c r="AG3726" s="2">
        <v>1</v>
      </c>
      <c r="AH3726" s="3" t="s">
        <v>3873</v>
      </c>
      <c r="AI3726" s="4">
        <v>45420</v>
      </c>
      <c r="AJ3726" s="3" t="s">
        <v>3891</v>
      </c>
      <c r="AK3726" s="3" t="s">
        <v>248</v>
      </c>
    </row>
    <row r="3727" spans="1:37" hidden="1" x14ac:dyDescent="0.25">
      <c r="A3727" t="str">
        <f t="shared" si="58"/>
        <v>2024_NSW_Greenethorpe_Mixed_NFixTOS1VarietyCBA_CaptainWaterTrtRainFedAgronomy350kgN</v>
      </c>
      <c r="B3727" s="2">
        <v>2024041</v>
      </c>
      <c r="C3727" s="3" t="s">
        <v>3870</v>
      </c>
      <c r="D3727" s="3" t="s">
        <v>37</v>
      </c>
      <c r="E3727" s="3" t="s">
        <v>248</v>
      </c>
      <c r="F3727" s="3" t="s">
        <v>249</v>
      </c>
      <c r="G3727" s="3" t="s">
        <v>43</v>
      </c>
      <c r="H3727" s="3" t="s">
        <v>253</v>
      </c>
      <c r="I3727" s="2">
        <v>16</v>
      </c>
      <c r="J3727" s="2">
        <v>16</v>
      </c>
      <c r="K3727" s="2">
        <v>1</v>
      </c>
      <c r="L3727" s="2">
        <v>1</v>
      </c>
      <c r="M3727" s="2">
        <v>2</v>
      </c>
      <c r="N3727" s="2">
        <v>2</v>
      </c>
      <c r="P3727" s="2">
        <v>4</v>
      </c>
      <c r="Q3727" s="2">
        <v>7</v>
      </c>
      <c r="S3727" s="3" t="s">
        <v>3871</v>
      </c>
      <c r="T3727" s="2">
        <v>1</v>
      </c>
      <c r="W3727" s="2">
        <v>8</v>
      </c>
      <c r="X3727" s="2">
        <v>2</v>
      </c>
      <c r="Y3727" s="2">
        <v>350</v>
      </c>
      <c r="Z3727" s="2">
        <v>25</v>
      </c>
      <c r="AA3727" s="3" t="s">
        <v>40</v>
      </c>
      <c r="AB3727" s="2">
        <v>1</v>
      </c>
      <c r="AC3727" s="3" t="s">
        <v>3884</v>
      </c>
      <c r="AF3727" s="2">
        <v>25</v>
      </c>
      <c r="AG3727" s="2">
        <v>1</v>
      </c>
      <c r="AH3727" s="3" t="s">
        <v>3873</v>
      </c>
      <c r="AI3727" s="4">
        <v>45420</v>
      </c>
      <c r="AJ3727" s="3" t="s">
        <v>3892</v>
      </c>
      <c r="AK3727" s="3" t="s">
        <v>248</v>
      </c>
    </row>
    <row r="3728" spans="1:37" hidden="1" x14ac:dyDescent="0.25">
      <c r="A3728" t="str">
        <f t="shared" si="58"/>
        <v>2024_NSW_Greenethorpe_Mixed_NFixTOS1VarietyStrikerWaterTrtRainFedAgronomy50kgN</v>
      </c>
      <c r="B3728" s="2">
        <v>2024041</v>
      </c>
      <c r="C3728" s="3" t="s">
        <v>3870</v>
      </c>
      <c r="D3728" s="3" t="s">
        <v>37</v>
      </c>
      <c r="E3728" s="3" t="s">
        <v>248</v>
      </c>
      <c r="F3728" s="3" t="s">
        <v>4179</v>
      </c>
      <c r="G3728" s="3" t="s">
        <v>43</v>
      </c>
      <c r="H3728" s="3" t="s">
        <v>253</v>
      </c>
      <c r="I3728" s="2">
        <v>17</v>
      </c>
      <c r="J3728" s="2">
        <v>17</v>
      </c>
      <c r="K3728" s="2">
        <v>1</v>
      </c>
      <c r="L3728" s="2">
        <v>1</v>
      </c>
      <c r="M3728" s="2">
        <v>3</v>
      </c>
      <c r="N3728" s="2">
        <v>1</v>
      </c>
      <c r="P3728" s="2">
        <v>5</v>
      </c>
      <c r="Q3728" s="2">
        <v>9</v>
      </c>
      <c r="S3728" s="3" t="s">
        <v>3871</v>
      </c>
      <c r="T3728" s="2">
        <v>1</v>
      </c>
      <c r="W3728" s="2">
        <v>9</v>
      </c>
      <c r="X3728" s="2">
        <v>1</v>
      </c>
      <c r="Y3728" s="2">
        <v>50</v>
      </c>
      <c r="Z3728" s="2">
        <v>9</v>
      </c>
      <c r="AA3728" s="3" t="s">
        <v>40</v>
      </c>
      <c r="AB3728" s="2">
        <v>2</v>
      </c>
      <c r="AC3728" s="3" t="s">
        <v>3893</v>
      </c>
      <c r="AF3728" s="2">
        <v>25</v>
      </c>
      <c r="AG3728" s="2">
        <v>1</v>
      </c>
      <c r="AH3728" s="3" t="s">
        <v>3873</v>
      </c>
      <c r="AI3728" s="4">
        <v>45420</v>
      </c>
      <c r="AJ3728" s="3" t="s">
        <v>3894</v>
      </c>
      <c r="AK3728" s="3" t="s">
        <v>248</v>
      </c>
    </row>
    <row r="3729" spans="1:37" hidden="1" x14ac:dyDescent="0.25">
      <c r="A3729" t="str">
        <f t="shared" si="58"/>
        <v>2024_NSW_Greenethorpe_Mixed_NFixTOS1VarietyCBA_CaptainWaterTrtRainFedAgronomy50kgN</v>
      </c>
      <c r="B3729" s="2">
        <v>2024041</v>
      </c>
      <c r="C3729" s="3" t="s">
        <v>3870</v>
      </c>
      <c r="D3729" s="3" t="s">
        <v>37</v>
      </c>
      <c r="E3729" s="3" t="s">
        <v>248</v>
      </c>
      <c r="F3729" s="3" t="s">
        <v>249</v>
      </c>
      <c r="G3729" s="3" t="s">
        <v>43</v>
      </c>
      <c r="H3729" s="3" t="s">
        <v>253</v>
      </c>
      <c r="I3729" s="2">
        <v>18</v>
      </c>
      <c r="J3729" s="2">
        <v>18</v>
      </c>
      <c r="K3729" s="2">
        <v>1</v>
      </c>
      <c r="L3729" s="2">
        <v>1</v>
      </c>
      <c r="M3729" s="2">
        <v>3</v>
      </c>
      <c r="N3729" s="2">
        <v>1</v>
      </c>
      <c r="P3729" s="2">
        <v>5</v>
      </c>
      <c r="Q3729" s="2">
        <v>10</v>
      </c>
      <c r="S3729" s="3" t="s">
        <v>3875</v>
      </c>
      <c r="T3729" s="2">
        <v>2</v>
      </c>
      <c r="W3729" s="2">
        <v>10</v>
      </c>
      <c r="X3729" s="2">
        <v>1</v>
      </c>
      <c r="Y3729" s="2">
        <v>50</v>
      </c>
      <c r="Z3729" s="2">
        <v>10</v>
      </c>
      <c r="AA3729" s="3" t="s">
        <v>40</v>
      </c>
      <c r="AB3729" s="2">
        <v>1</v>
      </c>
      <c r="AC3729" s="3" t="s">
        <v>3893</v>
      </c>
      <c r="AF3729" s="2">
        <v>25</v>
      </c>
      <c r="AG3729" s="2">
        <v>1</v>
      </c>
      <c r="AH3729" s="3" t="s">
        <v>3873</v>
      </c>
      <c r="AI3729" s="4">
        <v>45420</v>
      </c>
      <c r="AJ3729" s="3" t="s">
        <v>3895</v>
      </c>
      <c r="AK3729" s="3" t="s">
        <v>248</v>
      </c>
    </row>
    <row r="3730" spans="1:37" hidden="1" x14ac:dyDescent="0.25">
      <c r="A3730" t="str">
        <f t="shared" si="58"/>
        <v>2024_NSW_Greenethorpe_Mixed_NFixTOS1VarietyStrikerWaterTrtRainFedAgronomy50kgN</v>
      </c>
      <c r="B3730" s="2">
        <v>2024041</v>
      </c>
      <c r="C3730" s="3" t="s">
        <v>3870</v>
      </c>
      <c r="D3730" s="3" t="s">
        <v>37</v>
      </c>
      <c r="E3730" s="3" t="s">
        <v>248</v>
      </c>
      <c r="F3730" s="3" t="s">
        <v>4179</v>
      </c>
      <c r="G3730" s="3" t="s">
        <v>43</v>
      </c>
      <c r="H3730" s="3" t="s">
        <v>253</v>
      </c>
      <c r="I3730" s="2">
        <v>19</v>
      </c>
      <c r="J3730" s="2">
        <v>19</v>
      </c>
      <c r="K3730" s="2">
        <v>1</v>
      </c>
      <c r="L3730" s="2">
        <v>1</v>
      </c>
      <c r="M3730" s="2">
        <v>3</v>
      </c>
      <c r="N3730" s="2">
        <v>1</v>
      </c>
      <c r="P3730" s="2">
        <v>5</v>
      </c>
      <c r="Q3730" s="2">
        <v>10</v>
      </c>
      <c r="S3730" s="3" t="s">
        <v>3875</v>
      </c>
      <c r="T3730" s="2">
        <v>2</v>
      </c>
      <c r="W3730" s="2">
        <v>11</v>
      </c>
      <c r="X3730" s="2">
        <v>1</v>
      </c>
      <c r="Y3730" s="2">
        <v>50</v>
      </c>
      <c r="Z3730" s="2">
        <v>11</v>
      </c>
      <c r="AA3730" s="3" t="s">
        <v>40</v>
      </c>
      <c r="AB3730" s="2">
        <v>2</v>
      </c>
      <c r="AC3730" s="3" t="s">
        <v>3893</v>
      </c>
      <c r="AF3730" s="2">
        <v>25</v>
      </c>
      <c r="AG3730" s="2">
        <v>1</v>
      </c>
      <c r="AH3730" s="3" t="s">
        <v>3873</v>
      </c>
      <c r="AI3730" s="4">
        <v>45420</v>
      </c>
      <c r="AJ3730" s="3" t="s">
        <v>3896</v>
      </c>
      <c r="AK3730" s="3" t="s">
        <v>248</v>
      </c>
    </row>
    <row r="3731" spans="1:37" hidden="1" x14ac:dyDescent="0.25">
      <c r="A3731" t="str">
        <f t="shared" si="58"/>
        <v>2024_NSW_Greenethorpe_Mixed_NFixTOS1VarietyCBA_CaptainWaterTrtRainFedAgronomy50kgN</v>
      </c>
      <c r="B3731" s="2">
        <v>2024041</v>
      </c>
      <c r="C3731" s="3" t="s">
        <v>3870</v>
      </c>
      <c r="D3731" s="3" t="s">
        <v>37</v>
      </c>
      <c r="E3731" s="3" t="s">
        <v>248</v>
      </c>
      <c r="F3731" s="3" t="s">
        <v>249</v>
      </c>
      <c r="G3731" s="3" t="s">
        <v>43</v>
      </c>
      <c r="H3731" s="3" t="s">
        <v>253</v>
      </c>
      <c r="I3731" s="2">
        <v>20</v>
      </c>
      <c r="J3731" s="2">
        <v>20</v>
      </c>
      <c r="K3731" s="2">
        <v>1</v>
      </c>
      <c r="L3731" s="2">
        <v>1</v>
      </c>
      <c r="M3731" s="2">
        <v>3</v>
      </c>
      <c r="N3731" s="2">
        <v>1</v>
      </c>
      <c r="P3731" s="2">
        <v>5</v>
      </c>
      <c r="Q3731" s="2">
        <v>9</v>
      </c>
      <c r="S3731" s="3" t="s">
        <v>3871</v>
      </c>
      <c r="T3731" s="2">
        <v>1</v>
      </c>
      <c r="W3731" s="2">
        <v>12</v>
      </c>
      <c r="X3731" s="2">
        <v>1</v>
      </c>
      <c r="Y3731" s="2">
        <v>50</v>
      </c>
      <c r="Z3731" s="2">
        <v>12</v>
      </c>
      <c r="AA3731" s="3" t="s">
        <v>40</v>
      </c>
      <c r="AB3731" s="2">
        <v>1</v>
      </c>
      <c r="AC3731" s="3" t="s">
        <v>3893</v>
      </c>
      <c r="AF3731" s="2">
        <v>25</v>
      </c>
      <c r="AG3731" s="2">
        <v>1</v>
      </c>
      <c r="AH3731" s="3" t="s">
        <v>3873</v>
      </c>
      <c r="AI3731" s="4">
        <v>45420</v>
      </c>
      <c r="AJ3731" s="3" t="s">
        <v>3897</v>
      </c>
      <c r="AK3731" s="3" t="s">
        <v>248</v>
      </c>
    </row>
    <row r="3732" spans="1:37" hidden="1" x14ac:dyDescent="0.25">
      <c r="A3732" t="str">
        <f t="shared" si="58"/>
        <v>2024_NSW_Greenethorpe_Mixed_NFixTOS1VarietyNasmaWaterTrtRainFedAgronomy50kgN</v>
      </c>
      <c r="B3732" s="2">
        <v>2024041</v>
      </c>
      <c r="C3732" s="3" t="s">
        <v>3870</v>
      </c>
      <c r="D3732" s="3" t="s">
        <v>37</v>
      </c>
      <c r="E3732" s="3" t="s">
        <v>645</v>
      </c>
      <c r="F3732" s="3" t="s">
        <v>4186</v>
      </c>
      <c r="G3732" s="3" t="s">
        <v>43</v>
      </c>
      <c r="H3732" s="3" t="s">
        <v>253</v>
      </c>
      <c r="I3732" s="2">
        <v>21</v>
      </c>
      <c r="J3732" s="2">
        <v>21</v>
      </c>
      <c r="K3732" s="2">
        <v>1</v>
      </c>
      <c r="L3732" s="2">
        <v>1</v>
      </c>
      <c r="M3732" s="2">
        <v>3</v>
      </c>
      <c r="N3732" s="2">
        <v>2</v>
      </c>
      <c r="P3732" s="2">
        <v>6</v>
      </c>
      <c r="Q3732" s="2">
        <v>11</v>
      </c>
      <c r="S3732" s="3" t="s">
        <v>3871</v>
      </c>
      <c r="T3732" s="2">
        <v>1</v>
      </c>
      <c r="W3732" s="2">
        <v>9</v>
      </c>
      <c r="X3732" s="2">
        <v>2</v>
      </c>
      <c r="Y3732" s="2">
        <v>50</v>
      </c>
      <c r="Z3732" s="2">
        <v>24</v>
      </c>
      <c r="AA3732" s="3" t="s">
        <v>40</v>
      </c>
      <c r="AB3732" s="2">
        <v>5</v>
      </c>
      <c r="AC3732" s="3" t="s">
        <v>3893</v>
      </c>
      <c r="AF3732" s="2">
        <v>25</v>
      </c>
      <c r="AG3732" s="2">
        <v>1</v>
      </c>
      <c r="AH3732" s="3" t="s">
        <v>3873</v>
      </c>
      <c r="AI3732" s="4">
        <v>45420</v>
      </c>
      <c r="AJ3732" s="3" t="s">
        <v>3898</v>
      </c>
      <c r="AK3732" s="3" t="s">
        <v>645</v>
      </c>
    </row>
    <row r="3733" spans="1:37" hidden="1" x14ac:dyDescent="0.25">
      <c r="A3733" t="str">
        <f t="shared" si="58"/>
        <v>2024_NSW_Greenethorpe_Mixed_NFixTOS1VarietyNasmaWaterTrtRainFedAgronomy50kgN</v>
      </c>
      <c r="B3733" s="2">
        <v>2024041</v>
      </c>
      <c r="C3733" s="3" t="s">
        <v>3870</v>
      </c>
      <c r="D3733" s="3" t="s">
        <v>37</v>
      </c>
      <c r="E3733" s="3" t="s">
        <v>645</v>
      </c>
      <c r="F3733" s="3" t="s">
        <v>4186</v>
      </c>
      <c r="G3733" s="3" t="s">
        <v>43</v>
      </c>
      <c r="H3733" s="3" t="s">
        <v>253</v>
      </c>
      <c r="I3733" s="2">
        <v>22</v>
      </c>
      <c r="J3733" s="2">
        <v>22</v>
      </c>
      <c r="K3733" s="2">
        <v>1</v>
      </c>
      <c r="L3733" s="2">
        <v>1</v>
      </c>
      <c r="M3733" s="2">
        <v>3</v>
      </c>
      <c r="N3733" s="2">
        <v>2</v>
      </c>
      <c r="P3733" s="2">
        <v>6</v>
      </c>
      <c r="Q3733" s="2">
        <v>12</v>
      </c>
      <c r="S3733" s="3" t="s">
        <v>3875</v>
      </c>
      <c r="T3733" s="2">
        <v>2</v>
      </c>
      <c r="W3733" s="2">
        <v>10</v>
      </c>
      <c r="X3733" s="2">
        <v>2</v>
      </c>
      <c r="Y3733" s="2">
        <v>50</v>
      </c>
      <c r="Z3733" s="2">
        <v>23</v>
      </c>
      <c r="AA3733" s="3" t="s">
        <v>40</v>
      </c>
      <c r="AB3733" s="2">
        <v>5</v>
      </c>
      <c r="AC3733" s="3" t="s">
        <v>3893</v>
      </c>
      <c r="AF3733" s="2">
        <v>25</v>
      </c>
      <c r="AG3733" s="2">
        <v>1</v>
      </c>
      <c r="AH3733" s="3" t="s">
        <v>3873</v>
      </c>
      <c r="AI3733" s="4">
        <v>45420</v>
      </c>
      <c r="AJ3733" s="3" t="s">
        <v>3899</v>
      </c>
      <c r="AK3733" s="3" t="s">
        <v>645</v>
      </c>
    </row>
    <row r="3734" spans="1:37" hidden="1" x14ac:dyDescent="0.25">
      <c r="A3734" t="str">
        <f t="shared" si="58"/>
        <v>2024_NSW_Greenethorpe_Mixed_NFixTOS1VarietySamiraWaterTrtRainFedAgronomy50kgN</v>
      </c>
      <c r="B3734" s="2">
        <v>2024041</v>
      </c>
      <c r="C3734" s="3" t="s">
        <v>3870</v>
      </c>
      <c r="D3734" s="3" t="s">
        <v>37</v>
      </c>
      <c r="E3734" s="3" t="s">
        <v>645</v>
      </c>
      <c r="F3734" s="3" t="s">
        <v>4183</v>
      </c>
      <c r="G3734" s="3" t="s">
        <v>43</v>
      </c>
      <c r="H3734" s="3" t="s">
        <v>253</v>
      </c>
      <c r="I3734" s="2">
        <v>23</v>
      </c>
      <c r="J3734" s="2">
        <v>23</v>
      </c>
      <c r="K3734" s="2">
        <v>1</v>
      </c>
      <c r="L3734" s="2">
        <v>1</v>
      </c>
      <c r="M3734" s="2">
        <v>3</v>
      </c>
      <c r="N3734" s="2">
        <v>2</v>
      </c>
      <c r="P3734" s="2">
        <v>6</v>
      </c>
      <c r="Q3734" s="2">
        <v>12</v>
      </c>
      <c r="S3734" s="3" t="s">
        <v>3875</v>
      </c>
      <c r="T3734" s="2">
        <v>2</v>
      </c>
      <c r="W3734" s="2">
        <v>11</v>
      </c>
      <c r="X3734" s="2">
        <v>2</v>
      </c>
      <c r="Y3734" s="2">
        <v>50</v>
      </c>
      <c r="Z3734" s="2">
        <v>22</v>
      </c>
      <c r="AA3734" s="3" t="s">
        <v>40</v>
      </c>
      <c r="AB3734" s="2">
        <v>6</v>
      </c>
      <c r="AC3734" s="3" t="s">
        <v>3893</v>
      </c>
      <c r="AF3734" s="2">
        <v>25</v>
      </c>
      <c r="AG3734" s="2">
        <v>1</v>
      </c>
      <c r="AH3734" s="3" t="s">
        <v>3873</v>
      </c>
      <c r="AI3734" s="4">
        <v>45420</v>
      </c>
      <c r="AJ3734" s="3" t="s">
        <v>3900</v>
      </c>
      <c r="AK3734" s="3" t="s">
        <v>645</v>
      </c>
    </row>
    <row r="3735" spans="1:37" hidden="1" x14ac:dyDescent="0.25">
      <c r="A3735" t="str">
        <f t="shared" si="58"/>
        <v>2024_NSW_Greenethorpe_Mixed_NFixTOS1VarietySamiraWaterTrtRainFedAgronomy50kgN</v>
      </c>
      <c r="B3735" s="2">
        <v>2024041</v>
      </c>
      <c r="C3735" s="3" t="s">
        <v>3870</v>
      </c>
      <c r="D3735" s="3" t="s">
        <v>37</v>
      </c>
      <c r="E3735" s="3" t="s">
        <v>645</v>
      </c>
      <c r="F3735" s="3" t="s">
        <v>4183</v>
      </c>
      <c r="G3735" s="3" t="s">
        <v>43</v>
      </c>
      <c r="H3735" s="3" t="s">
        <v>253</v>
      </c>
      <c r="I3735" s="2">
        <v>24</v>
      </c>
      <c r="J3735" s="2">
        <v>24</v>
      </c>
      <c r="K3735" s="2">
        <v>1</v>
      </c>
      <c r="L3735" s="2">
        <v>1</v>
      </c>
      <c r="M3735" s="2">
        <v>3</v>
      </c>
      <c r="N3735" s="2">
        <v>2</v>
      </c>
      <c r="P3735" s="2">
        <v>6</v>
      </c>
      <c r="Q3735" s="2">
        <v>11</v>
      </c>
      <c r="S3735" s="3" t="s">
        <v>3871</v>
      </c>
      <c r="T3735" s="2">
        <v>1</v>
      </c>
      <c r="W3735" s="2">
        <v>12</v>
      </c>
      <c r="X3735" s="2">
        <v>2</v>
      </c>
      <c r="Y3735" s="2">
        <v>50</v>
      </c>
      <c r="Z3735" s="2">
        <v>21</v>
      </c>
      <c r="AA3735" s="3" t="s">
        <v>40</v>
      </c>
      <c r="AB3735" s="2">
        <v>6</v>
      </c>
      <c r="AC3735" s="3" t="s">
        <v>3893</v>
      </c>
      <c r="AF3735" s="2">
        <v>25</v>
      </c>
      <c r="AG3735" s="2">
        <v>1</v>
      </c>
      <c r="AH3735" s="3" t="s">
        <v>3873</v>
      </c>
      <c r="AI3735" s="4">
        <v>45420</v>
      </c>
      <c r="AJ3735" s="3" t="s">
        <v>3901</v>
      </c>
      <c r="AK3735" s="3" t="s">
        <v>645</v>
      </c>
    </row>
    <row r="3736" spans="1:37" hidden="1" x14ac:dyDescent="0.25">
      <c r="A3736" t="str">
        <f t="shared" si="58"/>
        <v>2024_NSW_Greenethorpe_Mixed_NFixTOS1VarietyCanolaWaterTrtRainFedAgronomy175kgN</v>
      </c>
      <c r="B3736" s="2">
        <v>2024041</v>
      </c>
      <c r="C3736" s="3" t="s">
        <v>3870</v>
      </c>
      <c r="D3736" s="3" t="s">
        <v>37</v>
      </c>
      <c r="E3736" s="3" t="s">
        <v>3879</v>
      </c>
      <c r="F3736" s="3" t="s">
        <v>3879</v>
      </c>
      <c r="G3736" s="3" t="s">
        <v>39</v>
      </c>
      <c r="H3736" s="3" t="s">
        <v>253</v>
      </c>
      <c r="I3736" s="2">
        <v>25</v>
      </c>
      <c r="J3736" s="2">
        <v>25</v>
      </c>
      <c r="K3736" s="2">
        <v>1</v>
      </c>
      <c r="L3736" s="2">
        <v>1</v>
      </c>
      <c r="M3736" s="2">
        <v>4</v>
      </c>
      <c r="N3736" s="2">
        <v>1</v>
      </c>
      <c r="P3736" s="2">
        <v>7</v>
      </c>
      <c r="Q3736" s="2">
        <v>13</v>
      </c>
      <c r="S3736" s="3" t="s">
        <v>3871</v>
      </c>
      <c r="T3736" s="2">
        <v>1</v>
      </c>
      <c r="W3736" s="2">
        <v>13</v>
      </c>
      <c r="X3736" s="2">
        <v>1</v>
      </c>
      <c r="Y3736" s="2">
        <v>175</v>
      </c>
      <c r="Z3736" s="2">
        <v>13</v>
      </c>
      <c r="AA3736" s="3" t="s">
        <v>40</v>
      </c>
      <c r="AB3736" s="2">
        <v>8</v>
      </c>
      <c r="AC3736" s="3" t="s">
        <v>3902</v>
      </c>
      <c r="AF3736" s="2">
        <v>25</v>
      </c>
      <c r="AG3736" s="2">
        <v>1</v>
      </c>
      <c r="AH3736" s="3" t="s">
        <v>3873</v>
      </c>
      <c r="AI3736" s="4">
        <v>45420</v>
      </c>
      <c r="AJ3736" s="3" t="s">
        <v>3903</v>
      </c>
      <c r="AK3736" s="3" t="s">
        <v>3879</v>
      </c>
    </row>
    <row r="3737" spans="1:37" hidden="1" x14ac:dyDescent="0.25">
      <c r="A3737" t="str">
        <f t="shared" si="58"/>
        <v>2024_NSW_Greenethorpe_Mixed_NFixTOS1VarietyBatemanWaterTrtRainFedAgronomy175kgN</v>
      </c>
      <c r="B3737" s="2">
        <v>2024041</v>
      </c>
      <c r="C3737" s="3" t="s">
        <v>3870</v>
      </c>
      <c r="D3737" s="3" t="s">
        <v>37</v>
      </c>
      <c r="E3737" s="3" t="s">
        <v>1931</v>
      </c>
      <c r="F3737" s="3" t="s">
        <v>4195</v>
      </c>
      <c r="G3737" s="3" t="s">
        <v>43</v>
      </c>
      <c r="H3737" s="3" t="s">
        <v>253</v>
      </c>
      <c r="I3737" s="2">
        <v>26</v>
      </c>
      <c r="J3737" s="2">
        <v>26</v>
      </c>
      <c r="K3737" s="2">
        <v>1</v>
      </c>
      <c r="L3737" s="2">
        <v>1</v>
      </c>
      <c r="M3737" s="2">
        <v>4</v>
      </c>
      <c r="N3737" s="2">
        <v>1</v>
      </c>
      <c r="P3737" s="2">
        <v>7</v>
      </c>
      <c r="Q3737" s="2">
        <v>14</v>
      </c>
      <c r="S3737" s="3" t="s">
        <v>3875</v>
      </c>
      <c r="T3737" s="2">
        <v>2</v>
      </c>
      <c r="W3737" s="2">
        <v>14</v>
      </c>
      <c r="X3737" s="2">
        <v>1</v>
      </c>
      <c r="Y3737" s="2">
        <v>175</v>
      </c>
      <c r="Z3737" s="2">
        <v>14</v>
      </c>
      <c r="AA3737" s="3" t="s">
        <v>40</v>
      </c>
      <c r="AB3737" s="2">
        <v>7</v>
      </c>
      <c r="AC3737" s="3" t="s">
        <v>3902</v>
      </c>
      <c r="AF3737" s="2">
        <v>25</v>
      </c>
      <c r="AG3737" s="2">
        <v>1</v>
      </c>
      <c r="AH3737" s="3" t="s">
        <v>3873</v>
      </c>
      <c r="AI3737" s="4">
        <v>45420</v>
      </c>
      <c r="AJ3737" s="3" t="s">
        <v>3904</v>
      </c>
      <c r="AK3737" s="3" t="s">
        <v>1931</v>
      </c>
    </row>
    <row r="3738" spans="1:37" hidden="1" x14ac:dyDescent="0.25">
      <c r="A3738" t="str">
        <f t="shared" si="58"/>
        <v>2024_NSW_Greenethorpe_Mixed_NFixTOS1VarietyBatemanWaterTrtRainFedAgronomy175kgN</v>
      </c>
      <c r="B3738" s="2">
        <v>2024041</v>
      </c>
      <c r="C3738" s="3" t="s">
        <v>3870</v>
      </c>
      <c r="D3738" s="3" t="s">
        <v>37</v>
      </c>
      <c r="E3738" s="3" t="s">
        <v>1931</v>
      </c>
      <c r="F3738" s="3" t="s">
        <v>4195</v>
      </c>
      <c r="G3738" s="3" t="s">
        <v>43</v>
      </c>
      <c r="H3738" s="3" t="s">
        <v>253</v>
      </c>
      <c r="I3738" s="2">
        <v>27</v>
      </c>
      <c r="J3738" s="2">
        <v>27</v>
      </c>
      <c r="K3738" s="2">
        <v>1</v>
      </c>
      <c r="L3738" s="2">
        <v>1</v>
      </c>
      <c r="M3738" s="2">
        <v>4</v>
      </c>
      <c r="N3738" s="2">
        <v>1</v>
      </c>
      <c r="P3738" s="2">
        <v>7</v>
      </c>
      <c r="Q3738" s="2">
        <v>14</v>
      </c>
      <c r="S3738" s="3" t="s">
        <v>3875</v>
      </c>
      <c r="T3738" s="2">
        <v>2</v>
      </c>
      <c r="W3738" s="2">
        <v>15</v>
      </c>
      <c r="X3738" s="2">
        <v>1</v>
      </c>
      <c r="Y3738" s="2">
        <v>175</v>
      </c>
      <c r="Z3738" s="2">
        <v>15</v>
      </c>
      <c r="AA3738" s="3" t="s">
        <v>40</v>
      </c>
      <c r="AB3738" s="2">
        <v>7</v>
      </c>
      <c r="AC3738" s="3" t="s">
        <v>3902</v>
      </c>
      <c r="AF3738" s="2">
        <v>25</v>
      </c>
      <c r="AG3738" s="2">
        <v>1</v>
      </c>
      <c r="AH3738" s="3" t="s">
        <v>3873</v>
      </c>
      <c r="AI3738" s="4">
        <v>45420</v>
      </c>
      <c r="AJ3738" s="3" t="s">
        <v>3905</v>
      </c>
      <c r="AK3738" s="3" t="s">
        <v>1931</v>
      </c>
    </row>
    <row r="3739" spans="1:37" hidden="1" x14ac:dyDescent="0.25">
      <c r="A3739" t="str">
        <f t="shared" si="58"/>
        <v>2024_NSW_Greenethorpe_Mixed_NFixTOS1VarietyBatemanWaterTrtRainFedAgronomy175kgN</v>
      </c>
      <c r="B3739" s="2">
        <v>2024041</v>
      </c>
      <c r="C3739" s="3" t="s">
        <v>3870</v>
      </c>
      <c r="D3739" s="3" t="s">
        <v>37</v>
      </c>
      <c r="E3739" s="3" t="s">
        <v>1931</v>
      </c>
      <c r="F3739" s="3" t="s">
        <v>4195</v>
      </c>
      <c r="G3739" s="3" t="s">
        <v>43</v>
      </c>
      <c r="H3739" s="3" t="s">
        <v>253</v>
      </c>
      <c r="I3739" s="2">
        <v>28</v>
      </c>
      <c r="J3739" s="2">
        <v>28</v>
      </c>
      <c r="K3739" s="2">
        <v>1</v>
      </c>
      <c r="L3739" s="2">
        <v>1</v>
      </c>
      <c r="M3739" s="2">
        <v>4</v>
      </c>
      <c r="N3739" s="2">
        <v>1</v>
      </c>
      <c r="P3739" s="2">
        <v>7</v>
      </c>
      <c r="Q3739" s="2">
        <v>13</v>
      </c>
      <c r="S3739" s="3" t="s">
        <v>3871</v>
      </c>
      <c r="T3739" s="2">
        <v>1</v>
      </c>
      <c r="W3739" s="2">
        <v>16</v>
      </c>
      <c r="X3739" s="2">
        <v>1</v>
      </c>
      <c r="Y3739" s="2">
        <v>175</v>
      </c>
      <c r="Z3739" s="2">
        <v>16</v>
      </c>
      <c r="AA3739" s="3" t="s">
        <v>40</v>
      </c>
      <c r="AB3739" s="2">
        <v>7</v>
      </c>
      <c r="AC3739" s="3" t="s">
        <v>3902</v>
      </c>
      <c r="AF3739" s="2">
        <v>25</v>
      </c>
      <c r="AG3739" s="2">
        <v>1</v>
      </c>
      <c r="AH3739" s="3" t="s">
        <v>3873</v>
      </c>
      <c r="AI3739" s="4">
        <v>45420</v>
      </c>
      <c r="AJ3739" s="3" t="s">
        <v>3906</v>
      </c>
      <c r="AK3739" s="3" t="s">
        <v>1931</v>
      </c>
    </row>
    <row r="3740" spans="1:37" hidden="1" x14ac:dyDescent="0.25">
      <c r="A3740" t="str">
        <f t="shared" si="58"/>
        <v>2024_NSW_Greenethorpe_Mixed_NFixTOS1VarietyJumbo2WaterTrtRainFedAgronomy175kgN</v>
      </c>
      <c r="B3740" s="2">
        <v>2024041</v>
      </c>
      <c r="C3740" s="3" t="s">
        <v>3870</v>
      </c>
      <c r="D3740" s="3" t="s">
        <v>37</v>
      </c>
      <c r="E3740" s="3" t="s">
        <v>38</v>
      </c>
      <c r="F3740" s="3" t="s">
        <v>4176</v>
      </c>
      <c r="G3740" s="3" t="s">
        <v>43</v>
      </c>
      <c r="H3740" s="3" t="s">
        <v>253</v>
      </c>
      <c r="I3740" s="2">
        <v>29</v>
      </c>
      <c r="J3740" s="2">
        <v>29</v>
      </c>
      <c r="K3740" s="2">
        <v>1</v>
      </c>
      <c r="L3740" s="2">
        <v>1</v>
      </c>
      <c r="M3740" s="2">
        <v>4</v>
      </c>
      <c r="N3740" s="2">
        <v>2</v>
      </c>
      <c r="P3740" s="2">
        <v>8</v>
      </c>
      <c r="Q3740" s="2">
        <v>15</v>
      </c>
      <c r="S3740" s="3" t="s">
        <v>3871</v>
      </c>
      <c r="T3740" s="2">
        <v>1</v>
      </c>
      <c r="W3740" s="2">
        <v>13</v>
      </c>
      <c r="X3740" s="2">
        <v>2</v>
      </c>
      <c r="Y3740" s="2">
        <v>175</v>
      </c>
      <c r="Z3740" s="2">
        <v>20</v>
      </c>
      <c r="AA3740" s="3" t="s">
        <v>40</v>
      </c>
      <c r="AB3740" s="2">
        <v>3</v>
      </c>
      <c r="AC3740" s="3" t="s">
        <v>3902</v>
      </c>
      <c r="AF3740" s="2">
        <v>25</v>
      </c>
      <c r="AG3740" s="2">
        <v>1</v>
      </c>
      <c r="AH3740" s="3" t="s">
        <v>3873</v>
      </c>
      <c r="AI3740" s="4">
        <v>45420</v>
      </c>
      <c r="AJ3740" s="3" t="s">
        <v>3907</v>
      </c>
      <c r="AK3740" s="3" t="s">
        <v>38</v>
      </c>
    </row>
    <row r="3741" spans="1:37" hidden="1" x14ac:dyDescent="0.25">
      <c r="A3741" t="str">
        <f t="shared" si="58"/>
        <v>2024_NSW_Greenethorpe_Mixed_NFixTOS1VarietyKelpieXTWaterTrtRainFedAgronomy175kgN</v>
      </c>
      <c r="B3741" s="2">
        <v>2024041</v>
      </c>
      <c r="C3741" s="3" t="s">
        <v>3870</v>
      </c>
      <c r="D3741" s="3" t="s">
        <v>37</v>
      </c>
      <c r="E3741" s="3" t="s">
        <v>38</v>
      </c>
      <c r="F3741" s="3" t="s">
        <v>4188</v>
      </c>
      <c r="G3741" s="3" t="s">
        <v>43</v>
      </c>
      <c r="H3741" s="3" t="s">
        <v>253</v>
      </c>
      <c r="I3741" s="2">
        <v>30</v>
      </c>
      <c r="J3741" s="2">
        <v>30</v>
      </c>
      <c r="K3741" s="2">
        <v>1</v>
      </c>
      <c r="L3741" s="2">
        <v>1</v>
      </c>
      <c r="M3741" s="2">
        <v>4</v>
      </c>
      <c r="N3741" s="2">
        <v>2</v>
      </c>
      <c r="P3741" s="2">
        <v>8</v>
      </c>
      <c r="Q3741" s="2">
        <v>16</v>
      </c>
      <c r="S3741" s="3" t="s">
        <v>3875</v>
      </c>
      <c r="T3741" s="2">
        <v>2</v>
      </c>
      <c r="W3741" s="2">
        <v>14</v>
      </c>
      <c r="X3741" s="2">
        <v>2</v>
      </c>
      <c r="Y3741" s="2">
        <v>175</v>
      </c>
      <c r="Z3741" s="2">
        <v>19</v>
      </c>
      <c r="AA3741" s="3" t="s">
        <v>40</v>
      </c>
      <c r="AB3741" s="2">
        <v>4</v>
      </c>
      <c r="AC3741" s="3" t="s">
        <v>3902</v>
      </c>
      <c r="AF3741" s="2">
        <v>25</v>
      </c>
      <c r="AG3741" s="2">
        <v>1</v>
      </c>
      <c r="AH3741" s="3" t="s">
        <v>3873</v>
      </c>
      <c r="AI3741" s="4">
        <v>45420</v>
      </c>
      <c r="AJ3741" s="3" t="s">
        <v>3908</v>
      </c>
      <c r="AK3741" s="3" t="s">
        <v>38</v>
      </c>
    </row>
    <row r="3742" spans="1:37" hidden="1" x14ac:dyDescent="0.25">
      <c r="A3742" t="str">
        <f t="shared" si="58"/>
        <v>2024_NSW_Greenethorpe_Mixed_NFixTOS1VarietyJumbo2WaterTrtRainFedAgronomy175kgN</v>
      </c>
      <c r="B3742" s="2">
        <v>2024041</v>
      </c>
      <c r="C3742" s="3" t="s">
        <v>3870</v>
      </c>
      <c r="D3742" s="3" t="s">
        <v>37</v>
      </c>
      <c r="E3742" s="3" t="s">
        <v>38</v>
      </c>
      <c r="F3742" s="3" t="s">
        <v>4176</v>
      </c>
      <c r="G3742" s="3" t="s">
        <v>43</v>
      </c>
      <c r="H3742" s="3" t="s">
        <v>253</v>
      </c>
      <c r="I3742" s="2">
        <v>31</v>
      </c>
      <c r="J3742" s="2">
        <v>31</v>
      </c>
      <c r="K3742" s="2">
        <v>1</v>
      </c>
      <c r="L3742" s="2">
        <v>1</v>
      </c>
      <c r="M3742" s="2">
        <v>4</v>
      </c>
      <c r="N3742" s="2">
        <v>2</v>
      </c>
      <c r="P3742" s="2">
        <v>8</v>
      </c>
      <c r="Q3742" s="2">
        <v>16</v>
      </c>
      <c r="S3742" s="3" t="s">
        <v>3875</v>
      </c>
      <c r="T3742" s="2">
        <v>2</v>
      </c>
      <c r="W3742" s="2">
        <v>15</v>
      </c>
      <c r="X3742" s="2">
        <v>2</v>
      </c>
      <c r="Y3742" s="2">
        <v>175</v>
      </c>
      <c r="Z3742" s="2">
        <v>18</v>
      </c>
      <c r="AA3742" s="3" t="s">
        <v>40</v>
      </c>
      <c r="AB3742" s="2">
        <v>3</v>
      </c>
      <c r="AC3742" s="3" t="s">
        <v>3902</v>
      </c>
      <c r="AF3742" s="2">
        <v>25</v>
      </c>
      <c r="AG3742" s="2">
        <v>1</v>
      </c>
      <c r="AH3742" s="3" t="s">
        <v>3873</v>
      </c>
      <c r="AI3742" s="4">
        <v>45420</v>
      </c>
      <c r="AJ3742" s="3" t="s">
        <v>3909</v>
      </c>
      <c r="AK3742" s="3" t="s">
        <v>38</v>
      </c>
    </row>
    <row r="3743" spans="1:37" hidden="1" x14ac:dyDescent="0.25">
      <c r="A3743" t="str">
        <f t="shared" si="58"/>
        <v>2024_NSW_Greenethorpe_Mixed_NFixTOS1VarietyKelpieXTWaterTrtRainFedAgronomy175kgN</v>
      </c>
      <c r="B3743" s="2">
        <v>2024041</v>
      </c>
      <c r="C3743" s="3" t="s">
        <v>3870</v>
      </c>
      <c r="D3743" s="3" t="s">
        <v>37</v>
      </c>
      <c r="E3743" s="3" t="s">
        <v>38</v>
      </c>
      <c r="F3743" s="3" t="s">
        <v>4188</v>
      </c>
      <c r="G3743" s="3" t="s">
        <v>43</v>
      </c>
      <c r="H3743" s="3" t="s">
        <v>253</v>
      </c>
      <c r="I3743" s="2">
        <v>32</v>
      </c>
      <c r="J3743" s="2">
        <v>32</v>
      </c>
      <c r="K3743" s="2">
        <v>1</v>
      </c>
      <c r="L3743" s="2">
        <v>1</v>
      </c>
      <c r="M3743" s="2">
        <v>4</v>
      </c>
      <c r="N3743" s="2">
        <v>2</v>
      </c>
      <c r="P3743" s="2">
        <v>8</v>
      </c>
      <c r="Q3743" s="2">
        <v>15</v>
      </c>
      <c r="S3743" s="3" t="s">
        <v>3871</v>
      </c>
      <c r="T3743" s="2">
        <v>1</v>
      </c>
      <c r="W3743" s="2">
        <v>16</v>
      </c>
      <c r="X3743" s="2">
        <v>2</v>
      </c>
      <c r="Y3743" s="2">
        <v>175</v>
      </c>
      <c r="Z3743" s="2">
        <v>17</v>
      </c>
      <c r="AA3743" s="3" t="s">
        <v>40</v>
      </c>
      <c r="AB3743" s="2">
        <v>4</v>
      </c>
      <c r="AC3743" s="3" t="s">
        <v>3902</v>
      </c>
      <c r="AF3743" s="2">
        <v>25</v>
      </c>
      <c r="AG3743" s="2">
        <v>1</v>
      </c>
      <c r="AH3743" s="3" t="s">
        <v>3873</v>
      </c>
      <c r="AI3743" s="4">
        <v>45420</v>
      </c>
      <c r="AJ3743" s="3" t="s">
        <v>3910</v>
      </c>
      <c r="AK3743" s="3" t="s">
        <v>38</v>
      </c>
    </row>
    <row r="3744" spans="1:37" hidden="1" x14ac:dyDescent="0.25">
      <c r="A3744" t="str">
        <f t="shared" si="58"/>
        <v>2024_NSW_Greenethorpe_Mixed_NFixTOS1VarietyStrikerWaterTrtRainFedAgronomy175kgN</v>
      </c>
      <c r="B3744" s="2">
        <v>2024041</v>
      </c>
      <c r="C3744" s="3" t="s">
        <v>3870</v>
      </c>
      <c r="D3744" s="3" t="s">
        <v>37</v>
      </c>
      <c r="E3744" s="3" t="s">
        <v>248</v>
      </c>
      <c r="F3744" s="3" t="s">
        <v>4179</v>
      </c>
      <c r="G3744" s="3" t="s">
        <v>43</v>
      </c>
      <c r="H3744" s="3" t="s">
        <v>253</v>
      </c>
      <c r="I3744" s="2">
        <v>33</v>
      </c>
      <c r="J3744" s="2">
        <v>33</v>
      </c>
      <c r="K3744" s="2">
        <v>1</v>
      </c>
      <c r="L3744" s="2">
        <v>2</v>
      </c>
      <c r="M3744" s="2">
        <v>5</v>
      </c>
      <c r="N3744" s="2">
        <v>3</v>
      </c>
      <c r="P3744" s="2">
        <v>9</v>
      </c>
      <c r="Q3744" s="2">
        <v>17</v>
      </c>
      <c r="S3744" s="3" t="s">
        <v>3871</v>
      </c>
      <c r="T3744" s="2">
        <v>1</v>
      </c>
      <c r="W3744" s="2">
        <v>1</v>
      </c>
      <c r="X3744" s="2">
        <v>3</v>
      </c>
      <c r="Y3744" s="2">
        <v>175</v>
      </c>
      <c r="Z3744" s="2">
        <v>33</v>
      </c>
      <c r="AA3744" s="3" t="s">
        <v>40</v>
      </c>
      <c r="AB3744" s="2">
        <v>2</v>
      </c>
      <c r="AC3744" s="3" t="s">
        <v>3902</v>
      </c>
      <c r="AF3744" s="2">
        <v>25</v>
      </c>
      <c r="AG3744" s="2">
        <v>1</v>
      </c>
      <c r="AH3744" s="3" t="s">
        <v>3873</v>
      </c>
      <c r="AI3744" s="4">
        <v>45420</v>
      </c>
      <c r="AJ3744" s="3" t="s">
        <v>3911</v>
      </c>
      <c r="AK3744" s="3" t="s">
        <v>248</v>
      </c>
    </row>
    <row r="3745" spans="1:37" hidden="1" x14ac:dyDescent="0.25">
      <c r="A3745" t="str">
        <f t="shared" si="58"/>
        <v>2024_NSW_Greenethorpe_Mixed_NFixTOS1VarietyCBA_CaptainWaterTrtRainFedAgronomy175kgN</v>
      </c>
      <c r="B3745" s="2">
        <v>2024041</v>
      </c>
      <c r="C3745" s="3" t="s">
        <v>3870</v>
      </c>
      <c r="D3745" s="3" t="s">
        <v>37</v>
      </c>
      <c r="E3745" s="3" t="s">
        <v>248</v>
      </c>
      <c r="F3745" s="3" t="s">
        <v>249</v>
      </c>
      <c r="G3745" s="3" t="s">
        <v>43</v>
      </c>
      <c r="H3745" s="3" t="s">
        <v>253</v>
      </c>
      <c r="I3745" s="2">
        <v>34</v>
      </c>
      <c r="J3745" s="2">
        <v>34</v>
      </c>
      <c r="K3745" s="2">
        <v>1</v>
      </c>
      <c r="L3745" s="2">
        <v>2</v>
      </c>
      <c r="M3745" s="2">
        <v>5</v>
      </c>
      <c r="N3745" s="2">
        <v>3</v>
      </c>
      <c r="P3745" s="2">
        <v>9</v>
      </c>
      <c r="Q3745" s="2">
        <v>18</v>
      </c>
      <c r="S3745" s="3" t="s">
        <v>3875</v>
      </c>
      <c r="T3745" s="2">
        <v>2</v>
      </c>
      <c r="W3745" s="2">
        <v>2</v>
      </c>
      <c r="X3745" s="2">
        <v>3</v>
      </c>
      <c r="Y3745" s="2">
        <v>175</v>
      </c>
      <c r="Z3745" s="2">
        <v>34</v>
      </c>
      <c r="AA3745" s="3" t="s">
        <v>40</v>
      </c>
      <c r="AB3745" s="2">
        <v>1</v>
      </c>
      <c r="AC3745" s="3" t="s">
        <v>3902</v>
      </c>
      <c r="AF3745" s="2">
        <v>25</v>
      </c>
      <c r="AG3745" s="2">
        <v>1</v>
      </c>
      <c r="AH3745" s="3" t="s">
        <v>3873</v>
      </c>
      <c r="AI3745" s="4">
        <v>45420</v>
      </c>
      <c r="AJ3745" s="3" t="s">
        <v>3912</v>
      </c>
      <c r="AK3745" s="3" t="s">
        <v>248</v>
      </c>
    </row>
    <row r="3746" spans="1:37" hidden="1" x14ac:dyDescent="0.25">
      <c r="A3746" t="str">
        <f t="shared" si="58"/>
        <v>2024_NSW_Greenethorpe_Mixed_NFixTOS1VarietyStrikerWaterTrtRainFedAgronomy175kgN</v>
      </c>
      <c r="B3746" s="2">
        <v>2024041</v>
      </c>
      <c r="C3746" s="3" t="s">
        <v>3870</v>
      </c>
      <c r="D3746" s="3" t="s">
        <v>37</v>
      </c>
      <c r="E3746" s="3" t="s">
        <v>248</v>
      </c>
      <c r="F3746" s="3" t="s">
        <v>4179</v>
      </c>
      <c r="G3746" s="3" t="s">
        <v>43</v>
      </c>
      <c r="H3746" s="3" t="s">
        <v>253</v>
      </c>
      <c r="I3746" s="2">
        <v>35</v>
      </c>
      <c r="J3746" s="2">
        <v>35</v>
      </c>
      <c r="K3746" s="2">
        <v>1</v>
      </c>
      <c r="L3746" s="2">
        <v>2</v>
      </c>
      <c r="M3746" s="2">
        <v>5</v>
      </c>
      <c r="N3746" s="2">
        <v>3</v>
      </c>
      <c r="P3746" s="2">
        <v>9</v>
      </c>
      <c r="Q3746" s="2">
        <v>18</v>
      </c>
      <c r="S3746" s="3" t="s">
        <v>3875</v>
      </c>
      <c r="T3746" s="2">
        <v>2</v>
      </c>
      <c r="W3746" s="2">
        <v>3</v>
      </c>
      <c r="X3746" s="2">
        <v>3</v>
      </c>
      <c r="Y3746" s="2">
        <v>175</v>
      </c>
      <c r="Z3746" s="2">
        <v>35</v>
      </c>
      <c r="AA3746" s="3" t="s">
        <v>40</v>
      </c>
      <c r="AB3746" s="2">
        <v>2</v>
      </c>
      <c r="AC3746" s="3" t="s">
        <v>3902</v>
      </c>
      <c r="AF3746" s="2">
        <v>25</v>
      </c>
      <c r="AG3746" s="2">
        <v>1</v>
      </c>
      <c r="AH3746" s="3" t="s">
        <v>3873</v>
      </c>
      <c r="AI3746" s="4">
        <v>45420</v>
      </c>
      <c r="AJ3746" s="3" t="s">
        <v>3913</v>
      </c>
      <c r="AK3746" s="3" t="s">
        <v>248</v>
      </c>
    </row>
    <row r="3747" spans="1:37" hidden="1" x14ac:dyDescent="0.25">
      <c r="A3747" t="str">
        <f t="shared" si="58"/>
        <v>2024_NSW_Greenethorpe_Mixed_NFixTOS1VarietyCBA_CaptainWaterTrtRainFedAgronomy175kgN</v>
      </c>
      <c r="B3747" s="2">
        <v>2024041</v>
      </c>
      <c r="C3747" s="3" t="s">
        <v>3870</v>
      </c>
      <c r="D3747" s="3" t="s">
        <v>37</v>
      </c>
      <c r="E3747" s="3" t="s">
        <v>248</v>
      </c>
      <c r="F3747" s="3" t="s">
        <v>249</v>
      </c>
      <c r="G3747" s="3" t="s">
        <v>43</v>
      </c>
      <c r="H3747" s="3" t="s">
        <v>253</v>
      </c>
      <c r="I3747" s="2">
        <v>36</v>
      </c>
      <c r="J3747" s="2">
        <v>36</v>
      </c>
      <c r="K3747" s="2">
        <v>1</v>
      </c>
      <c r="L3747" s="2">
        <v>2</v>
      </c>
      <c r="M3747" s="2">
        <v>5</v>
      </c>
      <c r="N3747" s="2">
        <v>3</v>
      </c>
      <c r="P3747" s="2">
        <v>9</v>
      </c>
      <c r="Q3747" s="2">
        <v>17</v>
      </c>
      <c r="S3747" s="3" t="s">
        <v>3871</v>
      </c>
      <c r="T3747" s="2">
        <v>1</v>
      </c>
      <c r="W3747" s="2">
        <v>4</v>
      </c>
      <c r="X3747" s="2">
        <v>3</v>
      </c>
      <c r="Y3747" s="2">
        <v>175</v>
      </c>
      <c r="Z3747" s="2">
        <v>36</v>
      </c>
      <c r="AA3747" s="3" t="s">
        <v>40</v>
      </c>
      <c r="AB3747" s="2">
        <v>1</v>
      </c>
      <c r="AC3747" s="3" t="s">
        <v>3902</v>
      </c>
      <c r="AF3747" s="2">
        <v>25</v>
      </c>
      <c r="AG3747" s="2">
        <v>1</v>
      </c>
      <c r="AH3747" s="3" t="s">
        <v>3873</v>
      </c>
      <c r="AI3747" s="4">
        <v>45420</v>
      </c>
      <c r="AJ3747" s="3" t="s">
        <v>3914</v>
      </c>
      <c r="AK3747" s="3" t="s">
        <v>248</v>
      </c>
    </row>
    <row r="3748" spans="1:37" hidden="1" x14ac:dyDescent="0.25">
      <c r="A3748" t="str">
        <f t="shared" si="58"/>
        <v>2024_NSW_Greenethorpe_Mixed_NFixTOS1VarietyNasmaWaterTrtRainFedAgronomy175kgN</v>
      </c>
      <c r="B3748" s="2">
        <v>2024041</v>
      </c>
      <c r="C3748" s="3" t="s">
        <v>3870</v>
      </c>
      <c r="D3748" s="3" t="s">
        <v>37</v>
      </c>
      <c r="E3748" s="3" t="s">
        <v>645</v>
      </c>
      <c r="F3748" s="3" t="s">
        <v>4186</v>
      </c>
      <c r="G3748" s="3" t="s">
        <v>43</v>
      </c>
      <c r="H3748" s="3" t="s">
        <v>253</v>
      </c>
      <c r="I3748" s="2">
        <v>37</v>
      </c>
      <c r="J3748" s="2">
        <v>37</v>
      </c>
      <c r="K3748" s="2">
        <v>1</v>
      </c>
      <c r="L3748" s="2">
        <v>2</v>
      </c>
      <c r="M3748" s="2">
        <v>5</v>
      </c>
      <c r="N3748" s="2">
        <v>4</v>
      </c>
      <c r="P3748" s="2">
        <v>10</v>
      </c>
      <c r="Q3748" s="2">
        <v>19</v>
      </c>
      <c r="S3748" s="3" t="s">
        <v>3871</v>
      </c>
      <c r="T3748" s="2">
        <v>1</v>
      </c>
      <c r="W3748" s="2">
        <v>1</v>
      </c>
      <c r="X3748" s="2">
        <v>4</v>
      </c>
      <c r="Y3748" s="2">
        <v>175</v>
      </c>
      <c r="Z3748" s="2">
        <v>64</v>
      </c>
      <c r="AA3748" s="3" t="s">
        <v>40</v>
      </c>
      <c r="AB3748" s="2">
        <v>5</v>
      </c>
      <c r="AC3748" s="3" t="s">
        <v>3902</v>
      </c>
      <c r="AF3748" s="2">
        <v>25</v>
      </c>
      <c r="AG3748" s="2">
        <v>1</v>
      </c>
      <c r="AH3748" s="3" t="s">
        <v>3873</v>
      </c>
      <c r="AI3748" s="4">
        <v>45420</v>
      </c>
      <c r="AJ3748" s="3" t="s">
        <v>3915</v>
      </c>
      <c r="AK3748" s="3" t="s">
        <v>645</v>
      </c>
    </row>
    <row r="3749" spans="1:37" hidden="1" x14ac:dyDescent="0.25">
      <c r="A3749" t="str">
        <f t="shared" si="58"/>
        <v>2024_NSW_Greenethorpe_Mixed_NFixTOS1VarietyNasmaWaterTrtRainFedAgronomy175kgN</v>
      </c>
      <c r="B3749" s="2">
        <v>2024041</v>
      </c>
      <c r="C3749" s="3" t="s">
        <v>3870</v>
      </c>
      <c r="D3749" s="3" t="s">
        <v>37</v>
      </c>
      <c r="E3749" s="3" t="s">
        <v>645</v>
      </c>
      <c r="F3749" s="3" t="s">
        <v>4186</v>
      </c>
      <c r="G3749" s="3" t="s">
        <v>43</v>
      </c>
      <c r="H3749" s="3" t="s">
        <v>253</v>
      </c>
      <c r="I3749" s="2">
        <v>38</v>
      </c>
      <c r="J3749" s="2">
        <v>38</v>
      </c>
      <c r="K3749" s="2">
        <v>1</v>
      </c>
      <c r="L3749" s="2">
        <v>2</v>
      </c>
      <c r="M3749" s="2">
        <v>5</v>
      </c>
      <c r="N3749" s="2">
        <v>4</v>
      </c>
      <c r="P3749" s="2">
        <v>10</v>
      </c>
      <c r="Q3749" s="2">
        <v>20</v>
      </c>
      <c r="S3749" s="3" t="s">
        <v>3875</v>
      </c>
      <c r="T3749" s="2">
        <v>2</v>
      </c>
      <c r="W3749" s="2">
        <v>2</v>
      </c>
      <c r="X3749" s="2">
        <v>4</v>
      </c>
      <c r="Y3749" s="2">
        <v>175</v>
      </c>
      <c r="Z3749" s="2">
        <v>63</v>
      </c>
      <c r="AA3749" s="3" t="s">
        <v>40</v>
      </c>
      <c r="AB3749" s="2">
        <v>5</v>
      </c>
      <c r="AC3749" s="3" t="s">
        <v>3902</v>
      </c>
      <c r="AF3749" s="2">
        <v>25</v>
      </c>
      <c r="AG3749" s="2">
        <v>1</v>
      </c>
      <c r="AH3749" s="3" t="s">
        <v>3873</v>
      </c>
      <c r="AI3749" s="4">
        <v>45420</v>
      </c>
      <c r="AJ3749" s="3" t="s">
        <v>3916</v>
      </c>
      <c r="AK3749" s="3" t="s">
        <v>645</v>
      </c>
    </row>
    <row r="3750" spans="1:37" hidden="1" x14ac:dyDescent="0.25">
      <c r="A3750" t="str">
        <f t="shared" si="58"/>
        <v>2024_NSW_Greenethorpe_Mixed_NFixTOS1VarietySamiraWaterTrtRainFedAgronomy175kgN</v>
      </c>
      <c r="B3750" s="2">
        <v>2024041</v>
      </c>
      <c r="C3750" s="3" t="s">
        <v>3870</v>
      </c>
      <c r="D3750" s="3" t="s">
        <v>37</v>
      </c>
      <c r="E3750" s="3" t="s">
        <v>645</v>
      </c>
      <c r="F3750" s="3" t="s">
        <v>4183</v>
      </c>
      <c r="G3750" s="3" t="s">
        <v>43</v>
      </c>
      <c r="H3750" s="3" t="s">
        <v>253</v>
      </c>
      <c r="I3750" s="2">
        <v>39</v>
      </c>
      <c r="J3750" s="2">
        <v>39</v>
      </c>
      <c r="K3750" s="2">
        <v>1</v>
      </c>
      <c r="L3750" s="2">
        <v>2</v>
      </c>
      <c r="M3750" s="2">
        <v>5</v>
      </c>
      <c r="N3750" s="2">
        <v>4</v>
      </c>
      <c r="P3750" s="2">
        <v>10</v>
      </c>
      <c r="Q3750" s="2">
        <v>20</v>
      </c>
      <c r="S3750" s="3" t="s">
        <v>3875</v>
      </c>
      <c r="T3750" s="2">
        <v>2</v>
      </c>
      <c r="W3750" s="2">
        <v>3</v>
      </c>
      <c r="X3750" s="2">
        <v>4</v>
      </c>
      <c r="Y3750" s="2">
        <v>175</v>
      </c>
      <c r="Z3750" s="2">
        <v>62</v>
      </c>
      <c r="AA3750" s="3" t="s">
        <v>40</v>
      </c>
      <c r="AB3750" s="2">
        <v>6</v>
      </c>
      <c r="AC3750" s="3" t="s">
        <v>3902</v>
      </c>
      <c r="AF3750" s="2">
        <v>25</v>
      </c>
      <c r="AG3750" s="2">
        <v>1</v>
      </c>
      <c r="AH3750" s="3" t="s">
        <v>3873</v>
      </c>
      <c r="AI3750" s="4">
        <v>45420</v>
      </c>
      <c r="AJ3750" s="3" t="s">
        <v>3917</v>
      </c>
      <c r="AK3750" s="3" t="s">
        <v>645</v>
      </c>
    </row>
    <row r="3751" spans="1:37" hidden="1" x14ac:dyDescent="0.25">
      <c r="A3751" t="str">
        <f t="shared" si="58"/>
        <v>2024_NSW_Greenethorpe_Mixed_NFixTOS1VarietySamiraWaterTrtRainFedAgronomy175kgN</v>
      </c>
      <c r="B3751" s="2">
        <v>2024041</v>
      </c>
      <c r="C3751" s="3" t="s">
        <v>3870</v>
      </c>
      <c r="D3751" s="3" t="s">
        <v>37</v>
      </c>
      <c r="E3751" s="3" t="s">
        <v>645</v>
      </c>
      <c r="F3751" s="3" t="s">
        <v>4183</v>
      </c>
      <c r="G3751" s="3" t="s">
        <v>43</v>
      </c>
      <c r="H3751" s="3" t="s">
        <v>253</v>
      </c>
      <c r="I3751" s="2">
        <v>40</v>
      </c>
      <c r="J3751" s="2">
        <v>40</v>
      </c>
      <c r="K3751" s="2">
        <v>1</v>
      </c>
      <c r="L3751" s="2">
        <v>2</v>
      </c>
      <c r="M3751" s="2">
        <v>5</v>
      </c>
      <c r="N3751" s="2">
        <v>4</v>
      </c>
      <c r="P3751" s="2">
        <v>10</v>
      </c>
      <c r="Q3751" s="2">
        <v>19</v>
      </c>
      <c r="S3751" s="3" t="s">
        <v>3871</v>
      </c>
      <c r="T3751" s="2">
        <v>1</v>
      </c>
      <c r="W3751" s="2">
        <v>4</v>
      </c>
      <c r="X3751" s="2">
        <v>4</v>
      </c>
      <c r="Y3751" s="2">
        <v>175</v>
      </c>
      <c r="Z3751" s="2">
        <v>61</v>
      </c>
      <c r="AA3751" s="3" t="s">
        <v>40</v>
      </c>
      <c r="AB3751" s="2">
        <v>6</v>
      </c>
      <c r="AC3751" s="3" t="s">
        <v>3902</v>
      </c>
      <c r="AF3751" s="2">
        <v>25</v>
      </c>
      <c r="AG3751" s="2">
        <v>1</v>
      </c>
      <c r="AH3751" s="3" t="s">
        <v>3873</v>
      </c>
      <c r="AI3751" s="4">
        <v>45420</v>
      </c>
      <c r="AJ3751" s="3" t="s">
        <v>3918</v>
      </c>
      <c r="AK3751" s="3" t="s">
        <v>645</v>
      </c>
    </row>
    <row r="3752" spans="1:37" hidden="1" x14ac:dyDescent="0.25">
      <c r="A3752" t="str">
        <f t="shared" si="58"/>
        <v>2024_NSW_Greenethorpe_Mixed_NFixTOS1VarietyBatemanWaterTrtRainFedAgronomy50kgN</v>
      </c>
      <c r="B3752" s="2">
        <v>2024041</v>
      </c>
      <c r="C3752" s="3" t="s">
        <v>3870</v>
      </c>
      <c r="D3752" s="3" t="s">
        <v>37</v>
      </c>
      <c r="E3752" s="3" t="s">
        <v>1931</v>
      </c>
      <c r="F3752" s="3" t="s">
        <v>4195</v>
      </c>
      <c r="G3752" s="3" t="s">
        <v>43</v>
      </c>
      <c r="H3752" s="3" t="s">
        <v>253</v>
      </c>
      <c r="I3752" s="2">
        <v>41</v>
      </c>
      <c r="J3752" s="2">
        <v>41</v>
      </c>
      <c r="K3752" s="2">
        <v>1</v>
      </c>
      <c r="L3752" s="2">
        <v>2</v>
      </c>
      <c r="M3752" s="2">
        <v>6</v>
      </c>
      <c r="N3752" s="2">
        <v>3</v>
      </c>
      <c r="P3752" s="2">
        <v>11</v>
      </c>
      <c r="Q3752" s="2">
        <v>21</v>
      </c>
      <c r="S3752" s="3" t="s">
        <v>3871</v>
      </c>
      <c r="T3752" s="2">
        <v>1</v>
      </c>
      <c r="W3752" s="2">
        <v>5</v>
      </c>
      <c r="X3752" s="2">
        <v>3</v>
      </c>
      <c r="Y3752" s="2">
        <v>50</v>
      </c>
      <c r="Z3752" s="2">
        <v>37</v>
      </c>
      <c r="AA3752" s="3" t="s">
        <v>40</v>
      </c>
      <c r="AB3752" s="2">
        <v>7</v>
      </c>
      <c r="AC3752" s="3" t="s">
        <v>3893</v>
      </c>
      <c r="AF3752" s="2">
        <v>25</v>
      </c>
      <c r="AG3752" s="2">
        <v>1</v>
      </c>
      <c r="AH3752" s="3" t="s">
        <v>3873</v>
      </c>
      <c r="AI3752" s="4">
        <v>45420</v>
      </c>
      <c r="AJ3752" s="3" t="s">
        <v>3919</v>
      </c>
      <c r="AK3752" s="3" t="s">
        <v>1931</v>
      </c>
    </row>
    <row r="3753" spans="1:37" hidden="1" x14ac:dyDescent="0.25">
      <c r="A3753" t="str">
        <f t="shared" si="58"/>
        <v>2024_NSW_Greenethorpe_Mixed_NFixTOS1VarietyBatemanWaterTrtRainFedAgronomy50kgN</v>
      </c>
      <c r="B3753" s="2">
        <v>2024041</v>
      </c>
      <c r="C3753" s="3" t="s">
        <v>3870</v>
      </c>
      <c r="D3753" s="3" t="s">
        <v>37</v>
      </c>
      <c r="E3753" s="3" t="s">
        <v>1931</v>
      </c>
      <c r="F3753" s="3" t="s">
        <v>4195</v>
      </c>
      <c r="G3753" s="3" t="s">
        <v>43</v>
      </c>
      <c r="H3753" s="3" t="s">
        <v>253</v>
      </c>
      <c r="I3753" s="2">
        <v>42</v>
      </c>
      <c r="J3753" s="2">
        <v>42</v>
      </c>
      <c r="K3753" s="2">
        <v>1</v>
      </c>
      <c r="L3753" s="2">
        <v>2</v>
      </c>
      <c r="M3753" s="2">
        <v>6</v>
      </c>
      <c r="N3753" s="2">
        <v>3</v>
      </c>
      <c r="P3753" s="2">
        <v>11</v>
      </c>
      <c r="Q3753" s="2">
        <v>22</v>
      </c>
      <c r="S3753" s="3" t="s">
        <v>3875</v>
      </c>
      <c r="T3753" s="2">
        <v>2</v>
      </c>
      <c r="W3753" s="2">
        <v>6</v>
      </c>
      <c r="X3753" s="2">
        <v>3</v>
      </c>
      <c r="Y3753" s="2">
        <v>50</v>
      </c>
      <c r="Z3753" s="2">
        <v>38</v>
      </c>
      <c r="AA3753" s="3" t="s">
        <v>40</v>
      </c>
      <c r="AB3753" s="2">
        <v>7</v>
      </c>
      <c r="AC3753" s="3" t="s">
        <v>3893</v>
      </c>
      <c r="AF3753" s="2">
        <v>25</v>
      </c>
      <c r="AG3753" s="2">
        <v>1</v>
      </c>
      <c r="AH3753" s="3" t="s">
        <v>3873</v>
      </c>
      <c r="AI3753" s="4">
        <v>45420</v>
      </c>
      <c r="AJ3753" s="3" t="s">
        <v>3920</v>
      </c>
      <c r="AK3753" s="3" t="s">
        <v>1931</v>
      </c>
    </row>
    <row r="3754" spans="1:37" hidden="1" x14ac:dyDescent="0.25">
      <c r="A3754" t="str">
        <f t="shared" si="58"/>
        <v>2024_NSW_Greenethorpe_Mixed_NFixTOS1VarietyBatemanWaterTrtRainFedAgronomy50kgN</v>
      </c>
      <c r="B3754" s="2">
        <v>2024041</v>
      </c>
      <c r="C3754" s="3" t="s">
        <v>3870</v>
      </c>
      <c r="D3754" s="3" t="s">
        <v>37</v>
      </c>
      <c r="E3754" s="3" t="s">
        <v>1931</v>
      </c>
      <c r="F3754" s="3" t="s">
        <v>4195</v>
      </c>
      <c r="G3754" s="3" t="s">
        <v>43</v>
      </c>
      <c r="H3754" s="3" t="s">
        <v>253</v>
      </c>
      <c r="I3754" s="2">
        <v>43</v>
      </c>
      <c r="J3754" s="2">
        <v>43</v>
      </c>
      <c r="K3754" s="2">
        <v>1</v>
      </c>
      <c r="L3754" s="2">
        <v>2</v>
      </c>
      <c r="M3754" s="2">
        <v>6</v>
      </c>
      <c r="N3754" s="2">
        <v>3</v>
      </c>
      <c r="P3754" s="2">
        <v>11</v>
      </c>
      <c r="Q3754" s="2">
        <v>22</v>
      </c>
      <c r="S3754" s="3" t="s">
        <v>3875</v>
      </c>
      <c r="T3754" s="2">
        <v>2</v>
      </c>
      <c r="W3754" s="2">
        <v>7</v>
      </c>
      <c r="X3754" s="2">
        <v>3</v>
      </c>
      <c r="Y3754" s="2">
        <v>50</v>
      </c>
      <c r="Z3754" s="2">
        <v>39</v>
      </c>
      <c r="AA3754" s="3" t="s">
        <v>40</v>
      </c>
      <c r="AB3754" s="2">
        <v>7</v>
      </c>
      <c r="AC3754" s="3" t="s">
        <v>3893</v>
      </c>
      <c r="AF3754" s="2">
        <v>25</v>
      </c>
      <c r="AG3754" s="2">
        <v>1</v>
      </c>
      <c r="AH3754" s="3" t="s">
        <v>3873</v>
      </c>
      <c r="AI3754" s="4">
        <v>45420</v>
      </c>
      <c r="AJ3754" s="3" t="s">
        <v>3921</v>
      </c>
      <c r="AK3754" s="3" t="s">
        <v>1931</v>
      </c>
    </row>
    <row r="3755" spans="1:37" hidden="1" x14ac:dyDescent="0.25">
      <c r="A3755" t="str">
        <f t="shared" si="58"/>
        <v>2024_NSW_Greenethorpe_Mixed_NFixTOS1VarietyCanolaWaterTrtRainFedAgronomy50kgN</v>
      </c>
      <c r="B3755" s="2">
        <v>2024041</v>
      </c>
      <c r="C3755" s="3" t="s">
        <v>3870</v>
      </c>
      <c r="D3755" s="3" t="s">
        <v>37</v>
      </c>
      <c r="E3755" s="3" t="s">
        <v>3879</v>
      </c>
      <c r="F3755" s="3" t="s">
        <v>3879</v>
      </c>
      <c r="G3755" s="3" t="s">
        <v>39</v>
      </c>
      <c r="H3755" s="3" t="s">
        <v>253</v>
      </c>
      <c r="I3755" s="2">
        <v>44</v>
      </c>
      <c r="J3755" s="2">
        <v>44</v>
      </c>
      <c r="K3755" s="2">
        <v>1</v>
      </c>
      <c r="L3755" s="2">
        <v>2</v>
      </c>
      <c r="M3755" s="2">
        <v>6</v>
      </c>
      <c r="N3755" s="2">
        <v>3</v>
      </c>
      <c r="P3755" s="2">
        <v>11</v>
      </c>
      <c r="Q3755" s="2">
        <v>21</v>
      </c>
      <c r="S3755" s="3" t="s">
        <v>3871</v>
      </c>
      <c r="T3755" s="2">
        <v>1</v>
      </c>
      <c r="W3755" s="2">
        <v>8</v>
      </c>
      <c r="X3755" s="2">
        <v>3</v>
      </c>
      <c r="Y3755" s="2">
        <v>50</v>
      </c>
      <c r="Z3755" s="2">
        <v>40</v>
      </c>
      <c r="AA3755" s="3" t="s">
        <v>40</v>
      </c>
      <c r="AB3755" s="2">
        <v>8</v>
      </c>
      <c r="AC3755" s="3" t="s">
        <v>3893</v>
      </c>
      <c r="AF3755" s="2">
        <v>25</v>
      </c>
      <c r="AG3755" s="2">
        <v>1</v>
      </c>
      <c r="AH3755" s="3" t="s">
        <v>3873</v>
      </c>
      <c r="AI3755" s="4">
        <v>45420</v>
      </c>
      <c r="AJ3755" s="3" t="s">
        <v>3922</v>
      </c>
      <c r="AK3755" s="3" t="s">
        <v>3879</v>
      </c>
    </row>
    <row r="3756" spans="1:37" hidden="1" x14ac:dyDescent="0.25">
      <c r="A3756" t="str">
        <f t="shared" si="58"/>
        <v>2024_NSW_Greenethorpe_Mixed_NFixTOS1VarietyJumbo2WaterTrtRainFedAgronomy50kgN</v>
      </c>
      <c r="B3756" s="2">
        <v>2024041</v>
      </c>
      <c r="C3756" s="3" t="s">
        <v>3870</v>
      </c>
      <c r="D3756" s="3" t="s">
        <v>37</v>
      </c>
      <c r="E3756" s="3" t="s">
        <v>38</v>
      </c>
      <c r="F3756" s="3" t="s">
        <v>4176</v>
      </c>
      <c r="G3756" s="3" t="s">
        <v>43</v>
      </c>
      <c r="H3756" s="3" t="s">
        <v>253</v>
      </c>
      <c r="I3756" s="2">
        <v>45</v>
      </c>
      <c r="J3756" s="2">
        <v>45</v>
      </c>
      <c r="K3756" s="2">
        <v>1</v>
      </c>
      <c r="L3756" s="2">
        <v>2</v>
      </c>
      <c r="M3756" s="2">
        <v>6</v>
      </c>
      <c r="N3756" s="2">
        <v>4</v>
      </c>
      <c r="P3756" s="2">
        <v>12</v>
      </c>
      <c r="Q3756" s="2">
        <v>23</v>
      </c>
      <c r="S3756" s="3" t="s">
        <v>3871</v>
      </c>
      <c r="T3756" s="2">
        <v>1</v>
      </c>
      <c r="W3756" s="2">
        <v>5</v>
      </c>
      <c r="X3756" s="2">
        <v>4</v>
      </c>
      <c r="Y3756" s="2">
        <v>50</v>
      </c>
      <c r="Z3756" s="2">
        <v>60</v>
      </c>
      <c r="AA3756" s="3" t="s">
        <v>40</v>
      </c>
      <c r="AB3756" s="2">
        <v>3</v>
      </c>
      <c r="AC3756" s="3" t="s">
        <v>3893</v>
      </c>
      <c r="AF3756" s="2">
        <v>25</v>
      </c>
      <c r="AG3756" s="2">
        <v>1</v>
      </c>
      <c r="AH3756" s="3" t="s">
        <v>3873</v>
      </c>
      <c r="AI3756" s="4">
        <v>45420</v>
      </c>
      <c r="AJ3756" s="3" t="s">
        <v>3923</v>
      </c>
      <c r="AK3756" s="3" t="s">
        <v>38</v>
      </c>
    </row>
    <row r="3757" spans="1:37" hidden="1" x14ac:dyDescent="0.25">
      <c r="A3757" t="str">
        <f t="shared" si="58"/>
        <v>2024_NSW_Greenethorpe_Mixed_NFixTOS1VarietyKelpieXTWaterTrtRainFedAgronomy50kgN</v>
      </c>
      <c r="B3757" s="2">
        <v>2024041</v>
      </c>
      <c r="C3757" s="3" t="s">
        <v>3870</v>
      </c>
      <c r="D3757" s="3" t="s">
        <v>37</v>
      </c>
      <c r="E3757" s="3" t="s">
        <v>38</v>
      </c>
      <c r="F3757" s="3" t="s">
        <v>4188</v>
      </c>
      <c r="G3757" s="3" t="s">
        <v>43</v>
      </c>
      <c r="H3757" s="3" t="s">
        <v>253</v>
      </c>
      <c r="I3757" s="2">
        <v>46</v>
      </c>
      <c r="J3757" s="2">
        <v>46</v>
      </c>
      <c r="K3757" s="2">
        <v>1</v>
      </c>
      <c r="L3757" s="2">
        <v>2</v>
      </c>
      <c r="M3757" s="2">
        <v>6</v>
      </c>
      <c r="N3757" s="2">
        <v>4</v>
      </c>
      <c r="P3757" s="2">
        <v>12</v>
      </c>
      <c r="Q3757" s="2">
        <v>24</v>
      </c>
      <c r="S3757" s="3" t="s">
        <v>3875</v>
      </c>
      <c r="T3757" s="2">
        <v>2</v>
      </c>
      <c r="W3757" s="2">
        <v>6</v>
      </c>
      <c r="X3757" s="2">
        <v>4</v>
      </c>
      <c r="Y3757" s="2">
        <v>50</v>
      </c>
      <c r="Z3757" s="2">
        <v>59</v>
      </c>
      <c r="AA3757" s="3" t="s">
        <v>40</v>
      </c>
      <c r="AB3757" s="2">
        <v>4</v>
      </c>
      <c r="AC3757" s="3" t="s">
        <v>3893</v>
      </c>
      <c r="AF3757" s="2">
        <v>25</v>
      </c>
      <c r="AG3757" s="2">
        <v>1</v>
      </c>
      <c r="AH3757" s="3" t="s">
        <v>3873</v>
      </c>
      <c r="AI3757" s="4">
        <v>45420</v>
      </c>
      <c r="AJ3757" s="3" t="s">
        <v>3924</v>
      </c>
      <c r="AK3757" s="3" t="s">
        <v>38</v>
      </c>
    </row>
    <row r="3758" spans="1:37" hidden="1" x14ac:dyDescent="0.25">
      <c r="A3758" t="str">
        <f t="shared" si="58"/>
        <v>2024_NSW_Greenethorpe_Mixed_NFixTOS1VarietyJumbo2WaterTrtRainFedAgronomy50kgN</v>
      </c>
      <c r="B3758" s="2">
        <v>2024041</v>
      </c>
      <c r="C3758" s="3" t="s">
        <v>3870</v>
      </c>
      <c r="D3758" s="3" t="s">
        <v>37</v>
      </c>
      <c r="E3758" s="3" t="s">
        <v>38</v>
      </c>
      <c r="F3758" s="3" t="s">
        <v>4176</v>
      </c>
      <c r="G3758" s="3" t="s">
        <v>43</v>
      </c>
      <c r="H3758" s="3" t="s">
        <v>253</v>
      </c>
      <c r="I3758" s="2">
        <v>47</v>
      </c>
      <c r="J3758" s="2">
        <v>47</v>
      </c>
      <c r="K3758" s="2">
        <v>1</v>
      </c>
      <c r="L3758" s="2">
        <v>2</v>
      </c>
      <c r="M3758" s="2">
        <v>6</v>
      </c>
      <c r="N3758" s="2">
        <v>4</v>
      </c>
      <c r="P3758" s="2">
        <v>12</v>
      </c>
      <c r="Q3758" s="2">
        <v>24</v>
      </c>
      <c r="S3758" s="3" t="s">
        <v>3875</v>
      </c>
      <c r="T3758" s="2">
        <v>2</v>
      </c>
      <c r="W3758" s="2">
        <v>7</v>
      </c>
      <c r="X3758" s="2">
        <v>4</v>
      </c>
      <c r="Y3758" s="2">
        <v>50</v>
      </c>
      <c r="Z3758" s="2">
        <v>58</v>
      </c>
      <c r="AA3758" s="3" t="s">
        <v>40</v>
      </c>
      <c r="AB3758" s="2">
        <v>3</v>
      </c>
      <c r="AC3758" s="3" t="s">
        <v>3893</v>
      </c>
      <c r="AF3758" s="2">
        <v>25</v>
      </c>
      <c r="AG3758" s="2">
        <v>1</v>
      </c>
      <c r="AH3758" s="3" t="s">
        <v>3873</v>
      </c>
      <c r="AI3758" s="4">
        <v>45420</v>
      </c>
      <c r="AJ3758" s="3" t="s">
        <v>3925</v>
      </c>
      <c r="AK3758" s="3" t="s">
        <v>38</v>
      </c>
    </row>
    <row r="3759" spans="1:37" hidden="1" x14ac:dyDescent="0.25">
      <c r="A3759" t="str">
        <f t="shared" si="58"/>
        <v>2024_NSW_Greenethorpe_Mixed_NFixTOS1VarietyKelpieXTWaterTrtRainFedAgronomy50kgN</v>
      </c>
      <c r="B3759" s="2">
        <v>2024041</v>
      </c>
      <c r="C3759" s="3" t="s">
        <v>3870</v>
      </c>
      <c r="D3759" s="3" t="s">
        <v>37</v>
      </c>
      <c r="E3759" s="3" t="s">
        <v>38</v>
      </c>
      <c r="F3759" s="3" t="s">
        <v>4188</v>
      </c>
      <c r="G3759" s="3" t="s">
        <v>43</v>
      </c>
      <c r="H3759" s="3" t="s">
        <v>253</v>
      </c>
      <c r="I3759" s="2">
        <v>48</v>
      </c>
      <c r="J3759" s="2">
        <v>48</v>
      </c>
      <c r="K3759" s="2">
        <v>1</v>
      </c>
      <c r="L3759" s="2">
        <v>2</v>
      </c>
      <c r="M3759" s="2">
        <v>6</v>
      </c>
      <c r="N3759" s="2">
        <v>4</v>
      </c>
      <c r="P3759" s="2">
        <v>12</v>
      </c>
      <c r="Q3759" s="2">
        <v>23</v>
      </c>
      <c r="S3759" s="3" t="s">
        <v>3871</v>
      </c>
      <c r="T3759" s="2">
        <v>1</v>
      </c>
      <c r="W3759" s="2">
        <v>8</v>
      </c>
      <c r="X3759" s="2">
        <v>4</v>
      </c>
      <c r="Y3759" s="2">
        <v>50</v>
      </c>
      <c r="Z3759" s="2">
        <v>57</v>
      </c>
      <c r="AA3759" s="3" t="s">
        <v>40</v>
      </c>
      <c r="AB3759" s="2">
        <v>4</v>
      </c>
      <c r="AC3759" s="3" t="s">
        <v>3893</v>
      </c>
      <c r="AF3759" s="2">
        <v>25</v>
      </c>
      <c r="AG3759" s="2">
        <v>1</v>
      </c>
      <c r="AH3759" s="3" t="s">
        <v>3873</v>
      </c>
      <c r="AI3759" s="4">
        <v>45420</v>
      </c>
      <c r="AJ3759" s="3" t="s">
        <v>3926</v>
      </c>
      <c r="AK3759" s="3" t="s">
        <v>38</v>
      </c>
    </row>
    <row r="3760" spans="1:37" hidden="1" x14ac:dyDescent="0.25">
      <c r="A3760" t="str">
        <f t="shared" si="58"/>
        <v>2024_NSW_Greenethorpe_Mixed_NFixTOS1VarietySamiraWaterTrtRainFedAgronomy350kgN</v>
      </c>
      <c r="B3760" s="2">
        <v>2024041</v>
      </c>
      <c r="C3760" s="3" t="s">
        <v>3870</v>
      </c>
      <c r="D3760" s="3" t="s">
        <v>37</v>
      </c>
      <c r="E3760" s="3" t="s">
        <v>645</v>
      </c>
      <c r="F3760" s="3" t="s">
        <v>4183</v>
      </c>
      <c r="G3760" s="3" t="s">
        <v>43</v>
      </c>
      <c r="H3760" s="3" t="s">
        <v>253</v>
      </c>
      <c r="I3760" s="2">
        <v>49</v>
      </c>
      <c r="J3760" s="2">
        <v>49</v>
      </c>
      <c r="K3760" s="2">
        <v>1</v>
      </c>
      <c r="L3760" s="2">
        <v>2</v>
      </c>
      <c r="M3760" s="2">
        <v>7</v>
      </c>
      <c r="N3760" s="2">
        <v>3</v>
      </c>
      <c r="P3760" s="2">
        <v>13</v>
      </c>
      <c r="Q3760" s="2">
        <v>25</v>
      </c>
      <c r="S3760" s="3" t="s">
        <v>3871</v>
      </c>
      <c r="T3760" s="2">
        <v>1</v>
      </c>
      <c r="W3760" s="2">
        <v>9</v>
      </c>
      <c r="X3760" s="2">
        <v>3</v>
      </c>
      <c r="Y3760" s="2">
        <v>350</v>
      </c>
      <c r="Z3760" s="2">
        <v>41</v>
      </c>
      <c r="AA3760" s="3" t="s">
        <v>40</v>
      </c>
      <c r="AB3760" s="2">
        <v>6</v>
      </c>
      <c r="AC3760" s="3" t="s">
        <v>3884</v>
      </c>
      <c r="AF3760" s="2">
        <v>25</v>
      </c>
      <c r="AG3760" s="2">
        <v>1</v>
      </c>
      <c r="AH3760" s="3" t="s">
        <v>3873</v>
      </c>
      <c r="AI3760" s="4">
        <v>45420</v>
      </c>
      <c r="AJ3760" s="3" t="s">
        <v>3927</v>
      </c>
      <c r="AK3760" s="3" t="s">
        <v>645</v>
      </c>
    </row>
    <row r="3761" spans="1:37" hidden="1" x14ac:dyDescent="0.25">
      <c r="A3761" t="str">
        <f t="shared" si="58"/>
        <v>2024_NSW_Greenethorpe_Mixed_NFixTOS1VarietySamiraWaterTrtRainFedAgronomy350kgN</v>
      </c>
      <c r="B3761" s="2">
        <v>2024041</v>
      </c>
      <c r="C3761" s="3" t="s">
        <v>3870</v>
      </c>
      <c r="D3761" s="3" t="s">
        <v>37</v>
      </c>
      <c r="E3761" s="3" t="s">
        <v>645</v>
      </c>
      <c r="F3761" s="3" t="s">
        <v>4183</v>
      </c>
      <c r="G3761" s="3" t="s">
        <v>43</v>
      </c>
      <c r="H3761" s="3" t="s">
        <v>253</v>
      </c>
      <c r="I3761" s="2">
        <v>50</v>
      </c>
      <c r="J3761" s="2">
        <v>50</v>
      </c>
      <c r="K3761" s="2">
        <v>1</v>
      </c>
      <c r="L3761" s="2">
        <v>2</v>
      </c>
      <c r="M3761" s="2">
        <v>7</v>
      </c>
      <c r="N3761" s="2">
        <v>3</v>
      </c>
      <c r="P3761" s="2">
        <v>13</v>
      </c>
      <c r="Q3761" s="2">
        <v>26</v>
      </c>
      <c r="S3761" s="3" t="s">
        <v>3875</v>
      </c>
      <c r="T3761" s="2">
        <v>2</v>
      </c>
      <c r="W3761" s="2">
        <v>10</v>
      </c>
      <c r="X3761" s="2">
        <v>3</v>
      </c>
      <c r="Y3761" s="2">
        <v>350</v>
      </c>
      <c r="Z3761" s="2">
        <v>42</v>
      </c>
      <c r="AA3761" s="3" t="s">
        <v>40</v>
      </c>
      <c r="AB3761" s="2">
        <v>6</v>
      </c>
      <c r="AC3761" s="3" t="s">
        <v>3884</v>
      </c>
      <c r="AF3761" s="2">
        <v>25</v>
      </c>
      <c r="AG3761" s="2">
        <v>1</v>
      </c>
      <c r="AH3761" s="3" t="s">
        <v>3873</v>
      </c>
      <c r="AI3761" s="4">
        <v>45420</v>
      </c>
      <c r="AJ3761" s="3" t="s">
        <v>3928</v>
      </c>
      <c r="AK3761" s="3" t="s">
        <v>645</v>
      </c>
    </row>
    <row r="3762" spans="1:37" hidden="1" x14ac:dyDescent="0.25">
      <c r="A3762" t="str">
        <f t="shared" si="58"/>
        <v>2024_NSW_Greenethorpe_Mixed_NFixTOS1VarietyNasmaWaterTrtRainFedAgronomy350kgN</v>
      </c>
      <c r="B3762" s="2">
        <v>2024041</v>
      </c>
      <c r="C3762" s="3" t="s">
        <v>3870</v>
      </c>
      <c r="D3762" s="3" t="s">
        <v>37</v>
      </c>
      <c r="E3762" s="3" t="s">
        <v>645</v>
      </c>
      <c r="F3762" s="3" t="s">
        <v>4186</v>
      </c>
      <c r="G3762" s="3" t="s">
        <v>43</v>
      </c>
      <c r="H3762" s="3" t="s">
        <v>253</v>
      </c>
      <c r="I3762" s="2">
        <v>51</v>
      </c>
      <c r="J3762" s="2">
        <v>51</v>
      </c>
      <c r="K3762" s="2">
        <v>1</v>
      </c>
      <c r="L3762" s="2">
        <v>2</v>
      </c>
      <c r="M3762" s="2">
        <v>7</v>
      </c>
      <c r="N3762" s="2">
        <v>3</v>
      </c>
      <c r="P3762" s="2">
        <v>13</v>
      </c>
      <c r="Q3762" s="2">
        <v>26</v>
      </c>
      <c r="S3762" s="3" t="s">
        <v>3875</v>
      </c>
      <c r="T3762" s="2">
        <v>2</v>
      </c>
      <c r="W3762" s="2">
        <v>11</v>
      </c>
      <c r="X3762" s="2">
        <v>3</v>
      </c>
      <c r="Y3762" s="2">
        <v>350</v>
      </c>
      <c r="Z3762" s="2">
        <v>43</v>
      </c>
      <c r="AA3762" s="3" t="s">
        <v>40</v>
      </c>
      <c r="AB3762" s="2">
        <v>5</v>
      </c>
      <c r="AC3762" s="3" t="s">
        <v>3884</v>
      </c>
      <c r="AF3762" s="2">
        <v>25</v>
      </c>
      <c r="AG3762" s="2">
        <v>1</v>
      </c>
      <c r="AH3762" s="3" t="s">
        <v>3873</v>
      </c>
      <c r="AI3762" s="4">
        <v>45420</v>
      </c>
      <c r="AJ3762" s="3" t="s">
        <v>3929</v>
      </c>
      <c r="AK3762" s="3" t="s">
        <v>645</v>
      </c>
    </row>
    <row r="3763" spans="1:37" hidden="1" x14ac:dyDescent="0.25">
      <c r="A3763" t="str">
        <f t="shared" si="58"/>
        <v>2024_NSW_Greenethorpe_Mixed_NFixTOS1VarietyNasmaWaterTrtRainFedAgronomy350kgN</v>
      </c>
      <c r="B3763" s="2">
        <v>2024041</v>
      </c>
      <c r="C3763" s="3" t="s">
        <v>3870</v>
      </c>
      <c r="D3763" s="3" t="s">
        <v>37</v>
      </c>
      <c r="E3763" s="3" t="s">
        <v>645</v>
      </c>
      <c r="F3763" s="3" t="s">
        <v>4186</v>
      </c>
      <c r="G3763" s="3" t="s">
        <v>43</v>
      </c>
      <c r="H3763" s="3" t="s">
        <v>253</v>
      </c>
      <c r="I3763" s="2">
        <v>52</v>
      </c>
      <c r="J3763" s="2">
        <v>52</v>
      </c>
      <c r="K3763" s="2">
        <v>1</v>
      </c>
      <c r="L3763" s="2">
        <v>2</v>
      </c>
      <c r="M3763" s="2">
        <v>7</v>
      </c>
      <c r="N3763" s="2">
        <v>3</v>
      </c>
      <c r="P3763" s="2">
        <v>13</v>
      </c>
      <c r="Q3763" s="2">
        <v>25</v>
      </c>
      <c r="S3763" s="3" t="s">
        <v>3871</v>
      </c>
      <c r="T3763" s="2">
        <v>1</v>
      </c>
      <c r="W3763" s="2">
        <v>12</v>
      </c>
      <c r="X3763" s="2">
        <v>3</v>
      </c>
      <c r="Y3763" s="2">
        <v>350</v>
      </c>
      <c r="Z3763" s="2">
        <v>44</v>
      </c>
      <c r="AA3763" s="3" t="s">
        <v>40</v>
      </c>
      <c r="AB3763" s="2">
        <v>5</v>
      </c>
      <c r="AC3763" s="3" t="s">
        <v>3884</v>
      </c>
      <c r="AF3763" s="2">
        <v>25</v>
      </c>
      <c r="AG3763" s="2">
        <v>1</v>
      </c>
      <c r="AH3763" s="3" t="s">
        <v>3873</v>
      </c>
      <c r="AI3763" s="4">
        <v>45420</v>
      </c>
      <c r="AJ3763" s="3" t="s">
        <v>3930</v>
      </c>
      <c r="AK3763" s="3" t="s">
        <v>645</v>
      </c>
    </row>
    <row r="3764" spans="1:37" hidden="1" x14ac:dyDescent="0.25">
      <c r="A3764" t="str">
        <f t="shared" si="58"/>
        <v>2024_NSW_Greenethorpe_Mixed_NFixTOS1VarietyBatemanWaterTrtRainFedAgronomy350kgN</v>
      </c>
      <c r="B3764" s="2">
        <v>2024041</v>
      </c>
      <c r="C3764" s="3" t="s">
        <v>3870</v>
      </c>
      <c r="D3764" s="3" t="s">
        <v>37</v>
      </c>
      <c r="E3764" s="3" t="s">
        <v>1931</v>
      </c>
      <c r="F3764" s="3" t="s">
        <v>4195</v>
      </c>
      <c r="G3764" s="3" t="s">
        <v>43</v>
      </c>
      <c r="H3764" s="3" t="s">
        <v>253</v>
      </c>
      <c r="I3764" s="2">
        <v>53</v>
      </c>
      <c r="J3764" s="2">
        <v>53</v>
      </c>
      <c r="K3764" s="2">
        <v>1</v>
      </c>
      <c r="L3764" s="2">
        <v>2</v>
      </c>
      <c r="M3764" s="2">
        <v>7</v>
      </c>
      <c r="N3764" s="2">
        <v>4</v>
      </c>
      <c r="P3764" s="2">
        <v>14</v>
      </c>
      <c r="Q3764" s="2">
        <v>27</v>
      </c>
      <c r="S3764" s="3" t="s">
        <v>3871</v>
      </c>
      <c r="T3764" s="2">
        <v>1</v>
      </c>
      <c r="W3764" s="2">
        <v>9</v>
      </c>
      <c r="X3764" s="2">
        <v>4</v>
      </c>
      <c r="Y3764" s="2">
        <v>350</v>
      </c>
      <c r="Z3764" s="2">
        <v>56</v>
      </c>
      <c r="AA3764" s="3" t="s">
        <v>40</v>
      </c>
      <c r="AB3764" s="2">
        <v>7</v>
      </c>
      <c r="AC3764" s="3" t="s">
        <v>3884</v>
      </c>
      <c r="AF3764" s="2">
        <v>25</v>
      </c>
      <c r="AG3764" s="2">
        <v>1</v>
      </c>
      <c r="AH3764" s="3" t="s">
        <v>3873</v>
      </c>
      <c r="AI3764" s="4">
        <v>45420</v>
      </c>
      <c r="AJ3764" s="3" t="s">
        <v>3931</v>
      </c>
      <c r="AK3764" s="3" t="s">
        <v>1931</v>
      </c>
    </row>
    <row r="3765" spans="1:37" hidden="1" x14ac:dyDescent="0.25">
      <c r="A3765" t="str">
        <f t="shared" si="58"/>
        <v>2024_NSW_Greenethorpe_Mixed_NFixTOS1VarietyBatemanWaterTrtRainFedAgronomy350kgN</v>
      </c>
      <c r="B3765" s="2">
        <v>2024041</v>
      </c>
      <c r="C3765" s="3" t="s">
        <v>3870</v>
      </c>
      <c r="D3765" s="3" t="s">
        <v>37</v>
      </c>
      <c r="E3765" s="3" t="s">
        <v>1931</v>
      </c>
      <c r="F3765" s="3" t="s">
        <v>4195</v>
      </c>
      <c r="G3765" s="3" t="s">
        <v>43</v>
      </c>
      <c r="H3765" s="3" t="s">
        <v>253</v>
      </c>
      <c r="I3765" s="2">
        <v>54</v>
      </c>
      <c r="J3765" s="2">
        <v>54</v>
      </c>
      <c r="K3765" s="2">
        <v>1</v>
      </c>
      <c r="L3765" s="2">
        <v>2</v>
      </c>
      <c r="M3765" s="2">
        <v>7</v>
      </c>
      <c r="N3765" s="2">
        <v>4</v>
      </c>
      <c r="P3765" s="2">
        <v>14</v>
      </c>
      <c r="Q3765" s="2">
        <v>28</v>
      </c>
      <c r="S3765" s="3" t="s">
        <v>3875</v>
      </c>
      <c r="T3765" s="2">
        <v>2</v>
      </c>
      <c r="W3765" s="2">
        <v>10</v>
      </c>
      <c r="X3765" s="2">
        <v>4</v>
      </c>
      <c r="Y3765" s="2">
        <v>350</v>
      </c>
      <c r="Z3765" s="2">
        <v>55</v>
      </c>
      <c r="AA3765" s="3" t="s">
        <v>40</v>
      </c>
      <c r="AB3765" s="2">
        <v>7</v>
      </c>
      <c r="AC3765" s="3" t="s">
        <v>3884</v>
      </c>
      <c r="AF3765" s="2">
        <v>25</v>
      </c>
      <c r="AG3765" s="2">
        <v>1</v>
      </c>
      <c r="AH3765" s="3" t="s">
        <v>3873</v>
      </c>
      <c r="AI3765" s="4">
        <v>45420</v>
      </c>
      <c r="AJ3765" s="3" t="s">
        <v>3932</v>
      </c>
      <c r="AK3765" s="3" t="s">
        <v>1931</v>
      </c>
    </row>
    <row r="3766" spans="1:37" hidden="1" x14ac:dyDescent="0.25">
      <c r="A3766" t="str">
        <f t="shared" si="58"/>
        <v>2024_NSW_Greenethorpe_Mixed_NFixTOS1VarietyBatemanWaterTrtRainFedAgronomy350kgN</v>
      </c>
      <c r="B3766" s="2">
        <v>2024041</v>
      </c>
      <c r="C3766" s="3" t="s">
        <v>3870</v>
      </c>
      <c r="D3766" s="3" t="s">
        <v>37</v>
      </c>
      <c r="E3766" s="3" t="s">
        <v>1931</v>
      </c>
      <c r="F3766" s="3" t="s">
        <v>4195</v>
      </c>
      <c r="G3766" s="3" t="s">
        <v>43</v>
      </c>
      <c r="H3766" s="3" t="s">
        <v>253</v>
      </c>
      <c r="I3766" s="2">
        <v>55</v>
      </c>
      <c r="J3766" s="2">
        <v>55</v>
      </c>
      <c r="K3766" s="2">
        <v>1</v>
      </c>
      <c r="L3766" s="2">
        <v>2</v>
      </c>
      <c r="M3766" s="2">
        <v>7</v>
      </c>
      <c r="N3766" s="2">
        <v>4</v>
      </c>
      <c r="P3766" s="2">
        <v>14</v>
      </c>
      <c r="Q3766" s="2">
        <v>28</v>
      </c>
      <c r="S3766" s="3" t="s">
        <v>3875</v>
      </c>
      <c r="T3766" s="2">
        <v>2</v>
      </c>
      <c r="W3766" s="2">
        <v>11</v>
      </c>
      <c r="X3766" s="2">
        <v>4</v>
      </c>
      <c r="Y3766" s="2">
        <v>350</v>
      </c>
      <c r="Z3766" s="2">
        <v>54</v>
      </c>
      <c r="AA3766" s="3" t="s">
        <v>40</v>
      </c>
      <c r="AB3766" s="2">
        <v>7</v>
      </c>
      <c r="AC3766" s="3" t="s">
        <v>3884</v>
      </c>
      <c r="AF3766" s="2">
        <v>25</v>
      </c>
      <c r="AG3766" s="2">
        <v>1</v>
      </c>
      <c r="AH3766" s="3" t="s">
        <v>3873</v>
      </c>
      <c r="AI3766" s="4">
        <v>45420</v>
      </c>
      <c r="AJ3766" s="3" t="s">
        <v>3933</v>
      </c>
      <c r="AK3766" s="3" t="s">
        <v>1931</v>
      </c>
    </row>
    <row r="3767" spans="1:37" hidden="1" x14ac:dyDescent="0.25">
      <c r="A3767" t="str">
        <f t="shared" si="58"/>
        <v>2024_NSW_Greenethorpe_Mixed_NFixTOS1VarietyCanolaWaterTrtRainFedAgronomy350kgN</v>
      </c>
      <c r="B3767" s="2">
        <v>2024041</v>
      </c>
      <c r="C3767" s="3" t="s">
        <v>3870</v>
      </c>
      <c r="D3767" s="3" t="s">
        <v>37</v>
      </c>
      <c r="E3767" s="3" t="s">
        <v>3879</v>
      </c>
      <c r="F3767" s="3" t="s">
        <v>3879</v>
      </c>
      <c r="G3767" s="3" t="s">
        <v>39</v>
      </c>
      <c r="H3767" s="3" t="s">
        <v>253</v>
      </c>
      <c r="I3767" s="2">
        <v>56</v>
      </c>
      <c r="J3767" s="2">
        <v>56</v>
      </c>
      <c r="K3767" s="2">
        <v>1</v>
      </c>
      <c r="L3767" s="2">
        <v>2</v>
      </c>
      <c r="M3767" s="2">
        <v>7</v>
      </c>
      <c r="N3767" s="2">
        <v>4</v>
      </c>
      <c r="P3767" s="2">
        <v>14</v>
      </c>
      <c r="Q3767" s="2">
        <v>27</v>
      </c>
      <c r="S3767" s="3" t="s">
        <v>3871</v>
      </c>
      <c r="T3767" s="2">
        <v>1</v>
      </c>
      <c r="W3767" s="2">
        <v>12</v>
      </c>
      <c r="X3767" s="2">
        <v>4</v>
      </c>
      <c r="Y3767" s="2">
        <v>350</v>
      </c>
      <c r="Z3767" s="2">
        <v>53</v>
      </c>
      <c r="AA3767" s="3" t="s">
        <v>40</v>
      </c>
      <c r="AB3767" s="2">
        <v>8</v>
      </c>
      <c r="AC3767" s="3" t="s">
        <v>3884</v>
      </c>
      <c r="AF3767" s="2">
        <v>25</v>
      </c>
      <c r="AG3767" s="2">
        <v>1</v>
      </c>
      <c r="AH3767" s="3" t="s">
        <v>3873</v>
      </c>
      <c r="AI3767" s="4">
        <v>45420</v>
      </c>
      <c r="AJ3767" s="3" t="s">
        <v>3934</v>
      </c>
      <c r="AK3767" s="3" t="s">
        <v>3879</v>
      </c>
    </row>
    <row r="3768" spans="1:37" hidden="1" x14ac:dyDescent="0.25">
      <c r="A3768" t="str">
        <f t="shared" si="58"/>
        <v>2024_NSW_Greenethorpe_Mixed_NFixTOS1VarietyKelpieXTWaterTrtRainFedAgronomy125kgN</v>
      </c>
      <c r="B3768" s="2">
        <v>2024041</v>
      </c>
      <c r="C3768" s="3" t="s">
        <v>3870</v>
      </c>
      <c r="D3768" s="3" t="s">
        <v>37</v>
      </c>
      <c r="E3768" s="3" t="s">
        <v>38</v>
      </c>
      <c r="F3768" s="3" t="s">
        <v>4188</v>
      </c>
      <c r="G3768" s="3" t="s">
        <v>43</v>
      </c>
      <c r="H3768" s="3" t="s">
        <v>253</v>
      </c>
      <c r="I3768" s="2">
        <v>57</v>
      </c>
      <c r="J3768" s="2">
        <v>57</v>
      </c>
      <c r="K3768" s="2">
        <v>1</v>
      </c>
      <c r="L3768" s="2">
        <v>2</v>
      </c>
      <c r="M3768" s="2">
        <v>8</v>
      </c>
      <c r="N3768" s="2">
        <v>3</v>
      </c>
      <c r="P3768" s="2">
        <v>15</v>
      </c>
      <c r="Q3768" s="2">
        <v>29</v>
      </c>
      <c r="S3768" s="3" t="s">
        <v>3871</v>
      </c>
      <c r="T3768" s="2">
        <v>1</v>
      </c>
      <c r="W3768" s="2">
        <v>13</v>
      </c>
      <c r="X3768" s="2">
        <v>3</v>
      </c>
      <c r="Y3768" s="2">
        <v>125</v>
      </c>
      <c r="Z3768" s="2">
        <v>45</v>
      </c>
      <c r="AA3768" s="3" t="s">
        <v>40</v>
      </c>
      <c r="AB3768" s="2">
        <v>4</v>
      </c>
      <c r="AC3768" s="3" t="s">
        <v>3872</v>
      </c>
      <c r="AF3768" s="2">
        <v>25</v>
      </c>
      <c r="AG3768" s="2">
        <v>1</v>
      </c>
      <c r="AH3768" s="3" t="s">
        <v>3873</v>
      </c>
      <c r="AI3768" s="4">
        <v>45420</v>
      </c>
      <c r="AJ3768" s="3" t="s">
        <v>3935</v>
      </c>
      <c r="AK3768" s="3" t="s">
        <v>38</v>
      </c>
    </row>
    <row r="3769" spans="1:37" hidden="1" x14ac:dyDescent="0.25">
      <c r="A3769" t="str">
        <f t="shared" si="58"/>
        <v>2024_NSW_Greenethorpe_Mixed_NFixTOS1VarietyJumbo2WaterTrtRainFedAgronomy125kgN</v>
      </c>
      <c r="B3769" s="2">
        <v>2024041</v>
      </c>
      <c r="C3769" s="3" t="s">
        <v>3870</v>
      </c>
      <c r="D3769" s="3" t="s">
        <v>37</v>
      </c>
      <c r="E3769" s="3" t="s">
        <v>38</v>
      </c>
      <c r="F3769" s="3" t="s">
        <v>4176</v>
      </c>
      <c r="G3769" s="3" t="s">
        <v>43</v>
      </c>
      <c r="H3769" s="3" t="s">
        <v>253</v>
      </c>
      <c r="I3769" s="2">
        <v>58</v>
      </c>
      <c r="J3769" s="2">
        <v>58</v>
      </c>
      <c r="K3769" s="2">
        <v>1</v>
      </c>
      <c r="L3769" s="2">
        <v>2</v>
      </c>
      <c r="M3769" s="2">
        <v>8</v>
      </c>
      <c r="N3769" s="2">
        <v>3</v>
      </c>
      <c r="P3769" s="2">
        <v>15</v>
      </c>
      <c r="Q3769" s="2">
        <v>30</v>
      </c>
      <c r="S3769" s="3" t="s">
        <v>3875</v>
      </c>
      <c r="T3769" s="2">
        <v>2</v>
      </c>
      <c r="W3769" s="2">
        <v>14</v>
      </c>
      <c r="X3769" s="2">
        <v>3</v>
      </c>
      <c r="Y3769" s="2">
        <v>125</v>
      </c>
      <c r="Z3769" s="2">
        <v>46</v>
      </c>
      <c r="AA3769" s="3" t="s">
        <v>40</v>
      </c>
      <c r="AB3769" s="2">
        <v>3</v>
      </c>
      <c r="AC3769" s="3" t="s">
        <v>3872</v>
      </c>
      <c r="AF3769" s="2">
        <v>25</v>
      </c>
      <c r="AG3769" s="2">
        <v>1</v>
      </c>
      <c r="AH3769" s="3" t="s">
        <v>3873</v>
      </c>
      <c r="AI3769" s="4">
        <v>45420</v>
      </c>
      <c r="AJ3769" s="3" t="s">
        <v>3936</v>
      </c>
      <c r="AK3769" s="3" t="s">
        <v>38</v>
      </c>
    </row>
    <row r="3770" spans="1:37" hidden="1" x14ac:dyDescent="0.25">
      <c r="A3770" t="str">
        <f t="shared" si="58"/>
        <v>2024_NSW_Greenethorpe_Mixed_NFixTOS1VarietyKelpieXTWaterTrtRainFedAgronomy125kgN</v>
      </c>
      <c r="B3770" s="2">
        <v>2024041</v>
      </c>
      <c r="C3770" s="3" t="s">
        <v>3870</v>
      </c>
      <c r="D3770" s="3" t="s">
        <v>37</v>
      </c>
      <c r="E3770" s="3" t="s">
        <v>38</v>
      </c>
      <c r="F3770" s="3" t="s">
        <v>4188</v>
      </c>
      <c r="G3770" s="3" t="s">
        <v>43</v>
      </c>
      <c r="H3770" s="3" t="s">
        <v>253</v>
      </c>
      <c r="I3770" s="2">
        <v>59</v>
      </c>
      <c r="J3770" s="2">
        <v>59</v>
      </c>
      <c r="K3770" s="2">
        <v>1</v>
      </c>
      <c r="L3770" s="2">
        <v>2</v>
      </c>
      <c r="M3770" s="2">
        <v>8</v>
      </c>
      <c r="N3770" s="2">
        <v>3</v>
      </c>
      <c r="P3770" s="2">
        <v>15</v>
      </c>
      <c r="Q3770" s="2">
        <v>30</v>
      </c>
      <c r="S3770" s="3" t="s">
        <v>3875</v>
      </c>
      <c r="T3770" s="2">
        <v>2</v>
      </c>
      <c r="W3770" s="2">
        <v>15</v>
      </c>
      <c r="X3770" s="2">
        <v>3</v>
      </c>
      <c r="Y3770" s="2">
        <v>125</v>
      </c>
      <c r="Z3770" s="2">
        <v>47</v>
      </c>
      <c r="AA3770" s="3" t="s">
        <v>40</v>
      </c>
      <c r="AB3770" s="2">
        <v>4</v>
      </c>
      <c r="AC3770" s="3" t="s">
        <v>3872</v>
      </c>
      <c r="AF3770" s="2">
        <v>25</v>
      </c>
      <c r="AG3770" s="2">
        <v>1</v>
      </c>
      <c r="AH3770" s="3" t="s">
        <v>3873</v>
      </c>
      <c r="AI3770" s="4">
        <v>45420</v>
      </c>
      <c r="AJ3770" s="3" t="s">
        <v>3937</v>
      </c>
      <c r="AK3770" s="3" t="s">
        <v>38</v>
      </c>
    </row>
    <row r="3771" spans="1:37" hidden="1" x14ac:dyDescent="0.25">
      <c r="A3771" t="str">
        <f t="shared" si="58"/>
        <v>2024_NSW_Greenethorpe_Mixed_NFixTOS1VarietyJumbo2WaterTrtRainFedAgronomy125kgN</v>
      </c>
      <c r="B3771" s="2">
        <v>2024041</v>
      </c>
      <c r="C3771" s="3" t="s">
        <v>3870</v>
      </c>
      <c r="D3771" s="3" t="s">
        <v>37</v>
      </c>
      <c r="E3771" s="3" t="s">
        <v>38</v>
      </c>
      <c r="F3771" s="3" t="s">
        <v>4176</v>
      </c>
      <c r="G3771" s="3" t="s">
        <v>43</v>
      </c>
      <c r="H3771" s="3" t="s">
        <v>253</v>
      </c>
      <c r="I3771" s="2">
        <v>60</v>
      </c>
      <c r="J3771" s="2">
        <v>60</v>
      </c>
      <c r="K3771" s="2">
        <v>1</v>
      </c>
      <c r="L3771" s="2">
        <v>2</v>
      </c>
      <c r="M3771" s="2">
        <v>8</v>
      </c>
      <c r="N3771" s="2">
        <v>3</v>
      </c>
      <c r="P3771" s="2">
        <v>15</v>
      </c>
      <c r="Q3771" s="2">
        <v>29</v>
      </c>
      <c r="S3771" s="3" t="s">
        <v>3871</v>
      </c>
      <c r="T3771" s="2">
        <v>1</v>
      </c>
      <c r="W3771" s="2">
        <v>16</v>
      </c>
      <c r="X3771" s="2">
        <v>3</v>
      </c>
      <c r="Y3771" s="2">
        <v>125</v>
      </c>
      <c r="Z3771" s="2">
        <v>48</v>
      </c>
      <c r="AA3771" s="3" t="s">
        <v>40</v>
      </c>
      <c r="AB3771" s="2">
        <v>3</v>
      </c>
      <c r="AC3771" s="3" t="s">
        <v>3872</v>
      </c>
      <c r="AF3771" s="2">
        <v>25</v>
      </c>
      <c r="AG3771" s="2">
        <v>1</v>
      </c>
      <c r="AH3771" s="3" t="s">
        <v>3873</v>
      </c>
      <c r="AI3771" s="4">
        <v>45420</v>
      </c>
      <c r="AJ3771" s="3" t="s">
        <v>3938</v>
      </c>
      <c r="AK3771" s="3" t="s">
        <v>38</v>
      </c>
    </row>
    <row r="3772" spans="1:37" hidden="1" x14ac:dyDescent="0.25">
      <c r="A3772" t="str">
        <f t="shared" si="58"/>
        <v>2024_NSW_Greenethorpe_Mixed_NFixTOS1VarietyCBA_CaptainWaterTrtRainFedAgronomy125kgN</v>
      </c>
      <c r="B3772" s="2">
        <v>2024041</v>
      </c>
      <c r="C3772" s="3" t="s">
        <v>3870</v>
      </c>
      <c r="D3772" s="3" t="s">
        <v>37</v>
      </c>
      <c r="E3772" s="3" t="s">
        <v>248</v>
      </c>
      <c r="F3772" s="3" t="s">
        <v>249</v>
      </c>
      <c r="G3772" s="3" t="s">
        <v>43</v>
      </c>
      <c r="H3772" s="3" t="s">
        <v>253</v>
      </c>
      <c r="I3772" s="2">
        <v>61</v>
      </c>
      <c r="J3772" s="2">
        <v>61</v>
      </c>
      <c r="K3772" s="2">
        <v>1</v>
      </c>
      <c r="L3772" s="2">
        <v>2</v>
      </c>
      <c r="M3772" s="2">
        <v>8</v>
      </c>
      <c r="N3772" s="2">
        <v>4</v>
      </c>
      <c r="P3772" s="2">
        <v>16</v>
      </c>
      <c r="Q3772" s="2">
        <v>31</v>
      </c>
      <c r="S3772" s="3" t="s">
        <v>3871</v>
      </c>
      <c r="T3772" s="2">
        <v>1</v>
      </c>
      <c r="W3772" s="2">
        <v>13</v>
      </c>
      <c r="X3772" s="2">
        <v>4</v>
      </c>
      <c r="Y3772" s="2">
        <v>125</v>
      </c>
      <c r="Z3772" s="2">
        <v>52</v>
      </c>
      <c r="AA3772" s="3" t="s">
        <v>40</v>
      </c>
      <c r="AB3772" s="2">
        <v>1</v>
      </c>
      <c r="AC3772" s="3" t="s">
        <v>3872</v>
      </c>
      <c r="AF3772" s="2">
        <v>25</v>
      </c>
      <c r="AG3772" s="2">
        <v>1</v>
      </c>
      <c r="AH3772" s="3" t="s">
        <v>3873</v>
      </c>
      <c r="AI3772" s="4">
        <v>45420</v>
      </c>
      <c r="AJ3772" s="3" t="s">
        <v>3939</v>
      </c>
      <c r="AK3772" s="3" t="s">
        <v>248</v>
      </c>
    </row>
    <row r="3773" spans="1:37" hidden="1" x14ac:dyDescent="0.25">
      <c r="A3773" t="str">
        <f t="shared" si="58"/>
        <v>2024_NSW_Greenethorpe_Mixed_NFixTOS1VarietyStrikerWaterTrtRainFedAgronomy125kgN</v>
      </c>
      <c r="B3773" s="2">
        <v>2024041</v>
      </c>
      <c r="C3773" s="3" t="s">
        <v>3870</v>
      </c>
      <c r="D3773" s="3" t="s">
        <v>37</v>
      </c>
      <c r="E3773" s="3" t="s">
        <v>248</v>
      </c>
      <c r="F3773" s="3" t="s">
        <v>4179</v>
      </c>
      <c r="G3773" s="3" t="s">
        <v>43</v>
      </c>
      <c r="H3773" s="3" t="s">
        <v>253</v>
      </c>
      <c r="I3773" s="2">
        <v>62</v>
      </c>
      <c r="J3773" s="2">
        <v>62</v>
      </c>
      <c r="K3773" s="2">
        <v>1</v>
      </c>
      <c r="L3773" s="2">
        <v>2</v>
      </c>
      <c r="M3773" s="2">
        <v>8</v>
      </c>
      <c r="N3773" s="2">
        <v>4</v>
      </c>
      <c r="P3773" s="2">
        <v>16</v>
      </c>
      <c r="Q3773" s="2">
        <v>32</v>
      </c>
      <c r="S3773" s="3" t="s">
        <v>3875</v>
      </c>
      <c r="T3773" s="2">
        <v>2</v>
      </c>
      <c r="W3773" s="2">
        <v>14</v>
      </c>
      <c r="X3773" s="2">
        <v>4</v>
      </c>
      <c r="Y3773" s="2">
        <v>125</v>
      </c>
      <c r="Z3773" s="2">
        <v>51</v>
      </c>
      <c r="AA3773" s="3" t="s">
        <v>40</v>
      </c>
      <c r="AB3773" s="2">
        <v>2</v>
      </c>
      <c r="AC3773" s="3" t="s">
        <v>3872</v>
      </c>
      <c r="AF3773" s="2">
        <v>25</v>
      </c>
      <c r="AG3773" s="2">
        <v>1</v>
      </c>
      <c r="AH3773" s="3" t="s">
        <v>3873</v>
      </c>
      <c r="AI3773" s="4">
        <v>45420</v>
      </c>
      <c r="AJ3773" s="3" t="s">
        <v>3940</v>
      </c>
      <c r="AK3773" s="3" t="s">
        <v>248</v>
      </c>
    </row>
    <row r="3774" spans="1:37" hidden="1" x14ac:dyDescent="0.25">
      <c r="A3774" t="str">
        <f t="shared" si="58"/>
        <v>2024_NSW_Greenethorpe_Mixed_NFixTOS1VarietyCBA_CaptainWaterTrtRainFedAgronomy125kgN</v>
      </c>
      <c r="B3774" s="2">
        <v>2024041</v>
      </c>
      <c r="C3774" s="3" t="s">
        <v>3870</v>
      </c>
      <c r="D3774" s="3" t="s">
        <v>37</v>
      </c>
      <c r="E3774" s="3" t="s">
        <v>248</v>
      </c>
      <c r="F3774" s="3" t="s">
        <v>249</v>
      </c>
      <c r="G3774" s="3" t="s">
        <v>43</v>
      </c>
      <c r="H3774" s="3" t="s">
        <v>253</v>
      </c>
      <c r="I3774" s="2">
        <v>63</v>
      </c>
      <c r="J3774" s="2">
        <v>63</v>
      </c>
      <c r="K3774" s="2">
        <v>1</v>
      </c>
      <c r="L3774" s="2">
        <v>2</v>
      </c>
      <c r="M3774" s="2">
        <v>8</v>
      </c>
      <c r="N3774" s="2">
        <v>4</v>
      </c>
      <c r="P3774" s="2">
        <v>16</v>
      </c>
      <c r="Q3774" s="2">
        <v>32</v>
      </c>
      <c r="S3774" s="3" t="s">
        <v>3875</v>
      </c>
      <c r="T3774" s="2">
        <v>2</v>
      </c>
      <c r="W3774" s="2">
        <v>15</v>
      </c>
      <c r="X3774" s="2">
        <v>4</v>
      </c>
      <c r="Y3774" s="2">
        <v>125</v>
      </c>
      <c r="Z3774" s="2">
        <v>50</v>
      </c>
      <c r="AA3774" s="3" t="s">
        <v>40</v>
      </c>
      <c r="AB3774" s="2">
        <v>1</v>
      </c>
      <c r="AC3774" s="3" t="s">
        <v>3872</v>
      </c>
      <c r="AF3774" s="2">
        <v>25</v>
      </c>
      <c r="AG3774" s="2">
        <v>1</v>
      </c>
      <c r="AH3774" s="3" t="s">
        <v>3873</v>
      </c>
      <c r="AI3774" s="4">
        <v>45420</v>
      </c>
      <c r="AJ3774" s="3" t="s">
        <v>3941</v>
      </c>
      <c r="AK3774" s="3" t="s">
        <v>248</v>
      </c>
    </row>
    <row r="3775" spans="1:37" hidden="1" x14ac:dyDescent="0.25">
      <c r="A3775" t="str">
        <f t="shared" si="58"/>
        <v>2024_NSW_Greenethorpe_Mixed_NFixTOS1VarietyStrikerWaterTrtRainFedAgronomy125kgN</v>
      </c>
      <c r="B3775" s="2">
        <v>2024041</v>
      </c>
      <c r="C3775" s="3" t="s">
        <v>3870</v>
      </c>
      <c r="D3775" s="3" t="s">
        <v>37</v>
      </c>
      <c r="E3775" s="3" t="s">
        <v>248</v>
      </c>
      <c r="F3775" s="3" t="s">
        <v>4179</v>
      </c>
      <c r="G3775" s="3" t="s">
        <v>43</v>
      </c>
      <c r="H3775" s="3" t="s">
        <v>253</v>
      </c>
      <c r="I3775" s="2">
        <v>64</v>
      </c>
      <c r="J3775" s="2">
        <v>64</v>
      </c>
      <c r="K3775" s="2">
        <v>1</v>
      </c>
      <c r="L3775" s="2">
        <v>2</v>
      </c>
      <c r="M3775" s="2">
        <v>8</v>
      </c>
      <c r="N3775" s="2">
        <v>4</v>
      </c>
      <c r="P3775" s="2">
        <v>16</v>
      </c>
      <c r="Q3775" s="2">
        <v>31</v>
      </c>
      <c r="S3775" s="3" t="s">
        <v>3871</v>
      </c>
      <c r="T3775" s="2">
        <v>1</v>
      </c>
      <c r="W3775" s="2">
        <v>16</v>
      </c>
      <c r="X3775" s="2">
        <v>4</v>
      </c>
      <c r="Y3775" s="2">
        <v>125</v>
      </c>
      <c r="Z3775" s="2">
        <v>49</v>
      </c>
      <c r="AA3775" s="3" t="s">
        <v>40</v>
      </c>
      <c r="AB3775" s="2">
        <v>2</v>
      </c>
      <c r="AC3775" s="3" t="s">
        <v>3872</v>
      </c>
      <c r="AF3775" s="2">
        <v>25</v>
      </c>
      <c r="AG3775" s="2">
        <v>1</v>
      </c>
      <c r="AH3775" s="3" t="s">
        <v>3873</v>
      </c>
      <c r="AI3775" s="4">
        <v>45420</v>
      </c>
      <c r="AJ3775" s="3" t="s">
        <v>3942</v>
      </c>
      <c r="AK3775" s="3" t="s">
        <v>248</v>
      </c>
    </row>
    <row r="3776" spans="1:37" hidden="1" x14ac:dyDescent="0.25">
      <c r="A3776" t="str">
        <f t="shared" si="58"/>
        <v>2024_NSW_Greenethorpe_Mixed_NFixTOS1VarietyCanolaWaterTrtRainFedAgronomy175kgN</v>
      </c>
      <c r="B3776" s="2">
        <v>2024041</v>
      </c>
      <c r="C3776" s="3" t="s">
        <v>3870</v>
      </c>
      <c r="D3776" s="3" t="s">
        <v>37</v>
      </c>
      <c r="E3776" s="3" t="s">
        <v>3879</v>
      </c>
      <c r="F3776" s="3" t="s">
        <v>3879</v>
      </c>
      <c r="G3776" s="3" t="s">
        <v>39</v>
      </c>
      <c r="H3776" s="3" t="s">
        <v>253</v>
      </c>
      <c r="I3776" s="2">
        <v>65</v>
      </c>
      <c r="J3776" s="2">
        <v>65</v>
      </c>
      <c r="K3776" s="2">
        <v>2</v>
      </c>
      <c r="L3776" s="2">
        <v>3</v>
      </c>
      <c r="M3776" s="2">
        <v>9</v>
      </c>
      <c r="N3776" s="2">
        <v>5</v>
      </c>
      <c r="P3776" s="2">
        <v>17</v>
      </c>
      <c r="Q3776" s="2">
        <v>33</v>
      </c>
      <c r="S3776" s="3" t="s">
        <v>3871</v>
      </c>
      <c r="T3776" s="2">
        <v>1</v>
      </c>
      <c r="W3776" s="2">
        <v>1</v>
      </c>
      <c r="X3776" s="2">
        <v>5</v>
      </c>
      <c r="Y3776" s="2">
        <v>175</v>
      </c>
      <c r="Z3776" s="2">
        <v>65</v>
      </c>
      <c r="AA3776" s="3" t="s">
        <v>40</v>
      </c>
      <c r="AB3776" s="2">
        <v>8</v>
      </c>
      <c r="AC3776" s="3" t="s">
        <v>3902</v>
      </c>
      <c r="AF3776" s="2">
        <v>25</v>
      </c>
      <c r="AG3776" s="2">
        <v>1</v>
      </c>
      <c r="AH3776" s="3" t="s">
        <v>3873</v>
      </c>
      <c r="AI3776" s="4">
        <v>45420</v>
      </c>
      <c r="AJ3776" s="3" t="s">
        <v>3943</v>
      </c>
      <c r="AK3776" s="3" t="s">
        <v>3879</v>
      </c>
    </row>
    <row r="3777" spans="1:37" hidden="1" x14ac:dyDescent="0.25">
      <c r="A3777" t="str">
        <f t="shared" si="58"/>
        <v>2024_NSW_Greenethorpe_Mixed_NFixTOS1VarietyBatemanWaterTrtRainFedAgronomy175kgN</v>
      </c>
      <c r="B3777" s="2">
        <v>2024041</v>
      </c>
      <c r="C3777" s="3" t="s">
        <v>3870</v>
      </c>
      <c r="D3777" s="3" t="s">
        <v>37</v>
      </c>
      <c r="E3777" s="3" t="s">
        <v>1931</v>
      </c>
      <c r="F3777" s="3" t="s">
        <v>4195</v>
      </c>
      <c r="G3777" s="3" t="s">
        <v>43</v>
      </c>
      <c r="H3777" s="3" t="s">
        <v>253</v>
      </c>
      <c r="I3777" s="2">
        <v>66</v>
      </c>
      <c r="J3777" s="2">
        <v>66</v>
      </c>
      <c r="K3777" s="2">
        <v>2</v>
      </c>
      <c r="L3777" s="2">
        <v>3</v>
      </c>
      <c r="M3777" s="2">
        <v>9</v>
      </c>
      <c r="N3777" s="2">
        <v>5</v>
      </c>
      <c r="P3777" s="2">
        <v>17</v>
      </c>
      <c r="Q3777" s="2">
        <v>34</v>
      </c>
      <c r="S3777" s="3" t="s">
        <v>3875</v>
      </c>
      <c r="T3777" s="2">
        <v>2</v>
      </c>
      <c r="W3777" s="2">
        <v>2</v>
      </c>
      <c r="X3777" s="2">
        <v>5</v>
      </c>
      <c r="Y3777" s="2">
        <v>175</v>
      </c>
      <c r="Z3777" s="2">
        <v>66</v>
      </c>
      <c r="AA3777" s="3" t="s">
        <v>40</v>
      </c>
      <c r="AB3777" s="2">
        <v>7</v>
      </c>
      <c r="AC3777" s="3" t="s">
        <v>3902</v>
      </c>
      <c r="AF3777" s="2">
        <v>25</v>
      </c>
      <c r="AG3777" s="2">
        <v>1</v>
      </c>
      <c r="AH3777" s="3" t="s">
        <v>3873</v>
      </c>
      <c r="AI3777" s="4">
        <v>45420</v>
      </c>
      <c r="AJ3777" s="3" t="s">
        <v>3944</v>
      </c>
      <c r="AK3777" s="3" t="s">
        <v>1931</v>
      </c>
    </row>
    <row r="3778" spans="1:37" hidden="1" x14ac:dyDescent="0.25">
      <c r="A3778" t="str">
        <f t="shared" si="58"/>
        <v>2024_NSW_Greenethorpe_Mixed_NFixTOS1VarietyBatemanWaterTrtRainFedAgronomy175kgN</v>
      </c>
      <c r="B3778" s="2">
        <v>2024041</v>
      </c>
      <c r="C3778" s="3" t="s">
        <v>3870</v>
      </c>
      <c r="D3778" s="3" t="s">
        <v>37</v>
      </c>
      <c r="E3778" s="3" t="s">
        <v>1931</v>
      </c>
      <c r="F3778" s="3" t="s">
        <v>4195</v>
      </c>
      <c r="G3778" s="3" t="s">
        <v>43</v>
      </c>
      <c r="H3778" s="3" t="s">
        <v>253</v>
      </c>
      <c r="I3778" s="2">
        <v>67</v>
      </c>
      <c r="J3778" s="2">
        <v>67</v>
      </c>
      <c r="K3778" s="2">
        <v>2</v>
      </c>
      <c r="L3778" s="2">
        <v>3</v>
      </c>
      <c r="M3778" s="2">
        <v>9</v>
      </c>
      <c r="N3778" s="2">
        <v>5</v>
      </c>
      <c r="P3778" s="2">
        <v>17</v>
      </c>
      <c r="Q3778" s="2">
        <v>34</v>
      </c>
      <c r="S3778" s="3" t="s">
        <v>3875</v>
      </c>
      <c r="T3778" s="2">
        <v>2</v>
      </c>
      <c r="W3778" s="2">
        <v>3</v>
      </c>
      <c r="X3778" s="2">
        <v>5</v>
      </c>
      <c r="Y3778" s="2">
        <v>175</v>
      </c>
      <c r="Z3778" s="2">
        <v>67</v>
      </c>
      <c r="AA3778" s="3" t="s">
        <v>40</v>
      </c>
      <c r="AB3778" s="2">
        <v>7</v>
      </c>
      <c r="AC3778" s="3" t="s">
        <v>3902</v>
      </c>
      <c r="AF3778" s="2">
        <v>25</v>
      </c>
      <c r="AG3778" s="2">
        <v>1</v>
      </c>
      <c r="AH3778" s="3" t="s">
        <v>3873</v>
      </c>
      <c r="AI3778" s="4">
        <v>45420</v>
      </c>
      <c r="AJ3778" s="3" t="s">
        <v>3945</v>
      </c>
      <c r="AK3778" s="3" t="s">
        <v>1931</v>
      </c>
    </row>
    <row r="3779" spans="1:37" hidden="1" x14ac:dyDescent="0.25">
      <c r="A3779" t="str">
        <f t="shared" ref="A3779:A3842" si="59">C3779&amp;"TOS"&amp;AG3779&amp;"Variety"&amp;F3779&amp;"WaterTrt"&amp;AA3779&amp;IF(AC3779="","","Agronomy"&amp;AC3779)</f>
        <v>2024_NSW_Greenethorpe_Mixed_NFixTOS1VarietyBatemanWaterTrtRainFedAgronomy175kgN</v>
      </c>
      <c r="B3779" s="2">
        <v>2024041</v>
      </c>
      <c r="C3779" s="3" t="s">
        <v>3870</v>
      </c>
      <c r="D3779" s="3" t="s">
        <v>37</v>
      </c>
      <c r="E3779" s="3" t="s">
        <v>1931</v>
      </c>
      <c r="F3779" s="3" t="s">
        <v>4195</v>
      </c>
      <c r="G3779" s="3" t="s">
        <v>43</v>
      </c>
      <c r="H3779" s="3" t="s">
        <v>253</v>
      </c>
      <c r="I3779" s="2">
        <v>68</v>
      </c>
      <c r="J3779" s="2">
        <v>68</v>
      </c>
      <c r="K3779" s="2">
        <v>2</v>
      </c>
      <c r="L3779" s="2">
        <v>3</v>
      </c>
      <c r="M3779" s="2">
        <v>9</v>
      </c>
      <c r="N3779" s="2">
        <v>5</v>
      </c>
      <c r="P3779" s="2">
        <v>17</v>
      </c>
      <c r="Q3779" s="2">
        <v>33</v>
      </c>
      <c r="S3779" s="3" t="s">
        <v>3871</v>
      </c>
      <c r="T3779" s="2">
        <v>1</v>
      </c>
      <c r="W3779" s="2">
        <v>4</v>
      </c>
      <c r="X3779" s="2">
        <v>5</v>
      </c>
      <c r="Y3779" s="2">
        <v>175</v>
      </c>
      <c r="Z3779" s="2">
        <v>68</v>
      </c>
      <c r="AA3779" s="3" t="s">
        <v>40</v>
      </c>
      <c r="AB3779" s="2">
        <v>7</v>
      </c>
      <c r="AC3779" s="3" t="s">
        <v>3902</v>
      </c>
      <c r="AF3779" s="2">
        <v>25</v>
      </c>
      <c r="AG3779" s="2">
        <v>1</v>
      </c>
      <c r="AH3779" s="3" t="s">
        <v>3873</v>
      </c>
      <c r="AI3779" s="4">
        <v>45420</v>
      </c>
      <c r="AJ3779" s="3" t="s">
        <v>3946</v>
      </c>
      <c r="AK3779" s="3" t="s">
        <v>1931</v>
      </c>
    </row>
    <row r="3780" spans="1:37" hidden="1" x14ac:dyDescent="0.25">
      <c r="A3780" t="str">
        <f t="shared" si="59"/>
        <v>2024_NSW_Greenethorpe_Mixed_NFixTOS1VarietyKelpieXTWaterTrtRainFedAgronomy175kgN</v>
      </c>
      <c r="B3780" s="2">
        <v>2024041</v>
      </c>
      <c r="C3780" s="3" t="s">
        <v>3870</v>
      </c>
      <c r="D3780" s="3" t="s">
        <v>37</v>
      </c>
      <c r="E3780" s="3" t="s">
        <v>38</v>
      </c>
      <c r="F3780" s="3" t="s">
        <v>4188</v>
      </c>
      <c r="G3780" s="3" t="s">
        <v>43</v>
      </c>
      <c r="H3780" s="3" t="s">
        <v>253</v>
      </c>
      <c r="I3780" s="2">
        <v>69</v>
      </c>
      <c r="J3780" s="2">
        <v>69</v>
      </c>
      <c r="K3780" s="2">
        <v>2</v>
      </c>
      <c r="L3780" s="2">
        <v>3</v>
      </c>
      <c r="M3780" s="2">
        <v>9</v>
      </c>
      <c r="N3780" s="2">
        <v>6</v>
      </c>
      <c r="P3780" s="2">
        <v>18</v>
      </c>
      <c r="Q3780" s="2">
        <v>35</v>
      </c>
      <c r="S3780" s="3" t="s">
        <v>3871</v>
      </c>
      <c r="T3780" s="2">
        <v>1</v>
      </c>
      <c r="W3780" s="2">
        <v>1</v>
      </c>
      <c r="X3780" s="2">
        <v>6</v>
      </c>
      <c r="Y3780" s="2">
        <v>175</v>
      </c>
      <c r="Z3780" s="2">
        <v>96</v>
      </c>
      <c r="AA3780" s="3" t="s">
        <v>40</v>
      </c>
      <c r="AB3780" s="2">
        <v>4</v>
      </c>
      <c r="AC3780" s="3" t="s">
        <v>3902</v>
      </c>
      <c r="AF3780" s="2">
        <v>25</v>
      </c>
      <c r="AG3780" s="2">
        <v>1</v>
      </c>
      <c r="AH3780" s="3" t="s">
        <v>3873</v>
      </c>
      <c r="AI3780" s="4">
        <v>45420</v>
      </c>
      <c r="AJ3780" s="3" t="s">
        <v>3947</v>
      </c>
      <c r="AK3780" s="3" t="s">
        <v>38</v>
      </c>
    </row>
    <row r="3781" spans="1:37" hidden="1" x14ac:dyDescent="0.25">
      <c r="A3781" t="str">
        <f t="shared" si="59"/>
        <v>2024_NSW_Greenethorpe_Mixed_NFixTOS1VarietyJumbo2WaterTrtRainFedAgronomy175kgN</v>
      </c>
      <c r="B3781" s="2">
        <v>2024041</v>
      </c>
      <c r="C3781" s="3" t="s">
        <v>3870</v>
      </c>
      <c r="D3781" s="3" t="s">
        <v>37</v>
      </c>
      <c r="E3781" s="3" t="s">
        <v>38</v>
      </c>
      <c r="F3781" s="3" t="s">
        <v>4176</v>
      </c>
      <c r="G3781" s="3" t="s">
        <v>43</v>
      </c>
      <c r="H3781" s="3" t="s">
        <v>253</v>
      </c>
      <c r="I3781" s="2">
        <v>70</v>
      </c>
      <c r="J3781" s="2">
        <v>70</v>
      </c>
      <c r="K3781" s="2">
        <v>2</v>
      </c>
      <c r="L3781" s="2">
        <v>3</v>
      </c>
      <c r="M3781" s="2">
        <v>9</v>
      </c>
      <c r="N3781" s="2">
        <v>6</v>
      </c>
      <c r="P3781" s="2">
        <v>18</v>
      </c>
      <c r="Q3781" s="2">
        <v>36</v>
      </c>
      <c r="S3781" s="3" t="s">
        <v>3875</v>
      </c>
      <c r="T3781" s="2">
        <v>2</v>
      </c>
      <c r="W3781" s="2">
        <v>2</v>
      </c>
      <c r="X3781" s="2">
        <v>6</v>
      </c>
      <c r="Y3781" s="2">
        <v>175</v>
      </c>
      <c r="Z3781" s="2">
        <v>95</v>
      </c>
      <c r="AA3781" s="3" t="s">
        <v>40</v>
      </c>
      <c r="AB3781" s="2">
        <v>3</v>
      </c>
      <c r="AC3781" s="3" t="s">
        <v>3902</v>
      </c>
      <c r="AF3781" s="2">
        <v>25</v>
      </c>
      <c r="AG3781" s="2">
        <v>1</v>
      </c>
      <c r="AH3781" s="3" t="s">
        <v>3873</v>
      </c>
      <c r="AI3781" s="4">
        <v>45420</v>
      </c>
      <c r="AJ3781" s="3" t="s">
        <v>3948</v>
      </c>
      <c r="AK3781" s="3" t="s">
        <v>38</v>
      </c>
    </row>
    <row r="3782" spans="1:37" hidden="1" x14ac:dyDescent="0.25">
      <c r="A3782" t="str">
        <f t="shared" si="59"/>
        <v>2024_NSW_Greenethorpe_Mixed_NFixTOS1VarietyKelpieXTWaterTrtRainFedAgronomy175kgN</v>
      </c>
      <c r="B3782" s="2">
        <v>2024041</v>
      </c>
      <c r="C3782" s="3" t="s">
        <v>3870</v>
      </c>
      <c r="D3782" s="3" t="s">
        <v>37</v>
      </c>
      <c r="E3782" s="3" t="s">
        <v>38</v>
      </c>
      <c r="F3782" s="3" t="s">
        <v>4188</v>
      </c>
      <c r="G3782" s="3" t="s">
        <v>43</v>
      </c>
      <c r="H3782" s="3" t="s">
        <v>253</v>
      </c>
      <c r="I3782" s="2">
        <v>71</v>
      </c>
      <c r="J3782" s="2">
        <v>71</v>
      </c>
      <c r="K3782" s="2">
        <v>2</v>
      </c>
      <c r="L3782" s="2">
        <v>3</v>
      </c>
      <c r="M3782" s="2">
        <v>9</v>
      </c>
      <c r="N3782" s="2">
        <v>6</v>
      </c>
      <c r="P3782" s="2">
        <v>18</v>
      </c>
      <c r="Q3782" s="2">
        <v>36</v>
      </c>
      <c r="S3782" s="3" t="s">
        <v>3875</v>
      </c>
      <c r="T3782" s="2">
        <v>2</v>
      </c>
      <c r="W3782" s="2">
        <v>3</v>
      </c>
      <c r="X3782" s="2">
        <v>6</v>
      </c>
      <c r="Y3782" s="2">
        <v>175</v>
      </c>
      <c r="Z3782" s="2">
        <v>94</v>
      </c>
      <c r="AA3782" s="3" t="s">
        <v>40</v>
      </c>
      <c r="AB3782" s="2">
        <v>4</v>
      </c>
      <c r="AC3782" s="3" t="s">
        <v>3902</v>
      </c>
      <c r="AF3782" s="2">
        <v>25</v>
      </c>
      <c r="AG3782" s="2">
        <v>1</v>
      </c>
      <c r="AH3782" s="3" t="s">
        <v>3873</v>
      </c>
      <c r="AI3782" s="4">
        <v>45420</v>
      </c>
      <c r="AJ3782" s="3" t="s">
        <v>3949</v>
      </c>
      <c r="AK3782" s="3" t="s">
        <v>38</v>
      </c>
    </row>
    <row r="3783" spans="1:37" hidden="1" x14ac:dyDescent="0.25">
      <c r="A3783" t="str">
        <f t="shared" si="59"/>
        <v>2024_NSW_Greenethorpe_Mixed_NFixTOS1VarietyJumbo2WaterTrtRainFedAgronomy175kgN</v>
      </c>
      <c r="B3783" s="2">
        <v>2024041</v>
      </c>
      <c r="C3783" s="3" t="s">
        <v>3870</v>
      </c>
      <c r="D3783" s="3" t="s">
        <v>37</v>
      </c>
      <c r="E3783" s="3" t="s">
        <v>38</v>
      </c>
      <c r="F3783" s="3" t="s">
        <v>4176</v>
      </c>
      <c r="G3783" s="3" t="s">
        <v>43</v>
      </c>
      <c r="H3783" s="3" t="s">
        <v>253</v>
      </c>
      <c r="I3783" s="2">
        <v>72</v>
      </c>
      <c r="J3783" s="2">
        <v>72</v>
      </c>
      <c r="K3783" s="2">
        <v>2</v>
      </c>
      <c r="L3783" s="2">
        <v>3</v>
      </c>
      <c r="M3783" s="2">
        <v>9</v>
      </c>
      <c r="N3783" s="2">
        <v>6</v>
      </c>
      <c r="P3783" s="2">
        <v>18</v>
      </c>
      <c r="Q3783" s="2">
        <v>35</v>
      </c>
      <c r="S3783" s="3" t="s">
        <v>3871</v>
      </c>
      <c r="T3783" s="2">
        <v>1</v>
      </c>
      <c r="W3783" s="2">
        <v>4</v>
      </c>
      <c r="X3783" s="2">
        <v>6</v>
      </c>
      <c r="Y3783" s="2">
        <v>175</v>
      </c>
      <c r="Z3783" s="2">
        <v>93</v>
      </c>
      <c r="AA3783" s="3" t="s">
        <v>40</v>
      </c>
      <c r="AB3783" s="2">
        <v>3</v>
      </c>
      <c r="AC3783" s="3" t="s">
        <v>3902</v>
      </c>
      <c r="AF3783" s="2">
        <v>25</v>
      </c>
      <c r="AG3783" s="2">
        <v>1</v>
      </c>
      <c r="AH3783" s="3" t="s">
        <v>3873</v>
      </c>
      <c r="AI3783" s="4">
        <v>45420</v>
      </c>
      <c r="AJ3783" s="3" t="s">
        <v>3950</v>
      </c>
      <c r="AK3783" s="3" t="s">
        <v>38</v>
      </c>
    </row>
    <row r="3784" spans="1:37" hidden="1" x14ac:dyDescent="0.25">
      <c r="A3784" t="str">
        <f t="shared" si="59"/>
        <v>2024_NSW_Greenethorpe_Mixed_NFixTOS1VarietyJumbo2WaterTrtRainFedAgronomy350kgN</v>
      </c>
      <c r="B3784" s="2">
        <v>2024041</v>
      </c>
      <c r="C3784" s="3" t="s">
        <v>3870</v>
      </c>
      <c r="D3784" s="3" t="s">
        <v>37</v>
      </c>
      <c r="E3784" s="3" t="s">
        <v>38</v>
      </c>
      <c r="F3784" s="3" t="s">
        <v>4176</v>
      </c>
      <c r="G3784" s="3" t="s">
        <v>43</v>
      </c>
      <c r="H3784" s="3" t="s">
        <v>253</v>
      </c>
      <c r="I3784" s="2">
        <v>73</v>
      </c>
      <c r="J3784" s="2">
        <v>73</v>
      </c>
      <c r="K3784" s="2">
        <v>2</v>
      </c>
      <c r="L3784" s="2">
        <v>3</v>
      </c>
      <c r="M3784" s="2">
        <v>10</v>
      </c>
      <c r="N3784" s="2">
        <v>5</v>
      </c>
      <c r="P3784" s="2">
        <v>19</v>
      </c>
      <c r="Q3784" s="2">
        <v>37</v>
      </c>
      <c r="S3784" s="3" t="s">
        <v>3871</v>
      </c>
      <c r="T3784" s="2">
        <v>1</v>
      </c>
      <c r="W3784" s="2">
        <v>5</v>
      </c>
      <c r="X3784" s="2">
        <v>5</v>
      </c>
      <c r="Y3784" s="2">
        <v>350</v>
      </c>
      <c r="Z3784" s="2">
        <v>69</v>
      </c>
      <c r="AA3784" s="3" t="s">
        <v>40</v>
      </c>
      <c r="AB3784" s="2">
        <v>3</v>
      </c>
      <c r="AC3784" s="3" t="s">
        <v>3884</v>
      </c>
      <c r="AF3784" s="2">
        <v>25</v>
      </c>
      <c r="AG3784" s="2">
        <v>1</v>
      </c>
      <c r="AH3784" s="3" t="s">
        <v>3873</v>
      </c>
      <c r="AI3784" s="4">
        <v>45420</v>
      </c>
      <c r="AJ3784" s="3" t="s">
        <v>3951</v>
      </c>
      <c r="AK3784" s="3" t="s">
        <v>38</v>
      </c>
    </row>
    <row r="3785" spans="1:37" hidden="1" x14ac:dyDescent="0.25">
      <c r="A3785" t="str">
        <f t="shared" si="59"/>
        <v>2024_NSW_Greenethorpe_Mixed_NFixTOS1VarietyJumbo2WaterTrtRainFedAgronomy350kgN</v>
      </c>
      <c r="B3785" s="2">
        <v>2024041</v>
      </c>
      <c r="C3785" s="3" t="s">
        <v>3870</v>
      </c>
      <c r="D3785" s="3" t="s">
        <v>37</v>
      </c>
      <c r="E3785" s="3" t="s">
        <v>38</v>
      </c>
      <c r="F3785" s="3" t="s">
        <v>4176</v>
      </c>
      <c r="G3785" s="3" t="s">
        <v>43</v>
      </c>
      <c r="H3785" s="3" t="s">
        <v>253</v>
      </c>
      <c r="I3785" s="2">
        <v>74</v>
      </c>
      <c r="J3785" s="2">
        <v>74</v>
      </c>
      <c r="K3785" s="2">
        <v>2</v>
      </c>
      <c r="L3785" s="2">
        <v>3</v>
      </c>
      <c r="M3785" s="2">
        <v>10</v>
      </c>
      <c r="N3785" s="2">
        <v>5</v>
      </c>
      <c r="P3785" s="2">
        <v>19</v>
      </c>
      <c r="Q3785" s="2">
        <v>38</v>
      </c>
      <c r="S3785" s="3" t="s">
        <v>3875</v>
      </c>
      <c r="T3785" s="2">
        <v>2</v>
      </c>
      <c r="W3785" s="2">
        <v>6</v>
      </c>
      <c r="X3785" s="2">
        <v>5</v>
      </c>
      <c r="Y3785" s="2">
        <v>350</v>
      </c>
      <c r="Z3785" s="2">
        <v>70</v>
      </c>
      <c r="AA3785" s="3" t="s">
        <v>40</v>
      </c>
      <c r="AB3785" s="2">
        <v>3</v>
      </c>
      <c r="AC3785" s="3" t="s">
        <v>3884</v>
      </c>
      <c r="AF3785" s="2">
        <v>25</v>
      </c>
      <c r="AG3785" s="2">
        <v>1</v>
      </c>
      <c r="AH3785" s="3" t="s">
        <v>3873</v>
      </c>
      <c r="AI3785" s="4">
        <v>45420</v>
      </c>
      <c r="AJ3785" s="3" t="s">
        <v>3952</v>
      </c>
      <c r="AK3785" s="3" t="s">
        <v>38</v>
      </c>
    </row>
    <row r="3786" spans="1:37" hidden="1" x14ac:dyDescent="0.25">
      <c r="A3786" t="str">
        <f t="shared" si="59"/>
        <v>2024_NSW_Greenethorpe_Mixed_NFixTOS1VarietyKelpieXTWaterTrtRainFedAgronomy350kgN</v>
      </c>
      <c r="B3786" s="2">
        <v>2024041</v>
      </c>
      <c r="C3786" s="3" t="s">
        <v>3870</v>
      </c>
      <c r="D3786" s="3" t="s">
        <v>37</v>
      </c>
      <c r="E3786" s="3" t="s">
        <v>38</v>
      </c>
      <c r="F3786" s="3" t="s">
        <v>4188</v>
      </c>
      <c r="G3786" s="3" t="s">
        <v>43</v>
      </c>
      <c r="H3786" s="3" t="s">
        <v>253</v>
      </c>
      <c r="I3786" s="2">
        <v>75</v>
      </c>
      <c r="J3786" s="2">
        <v>75</v>
      </c>
      <c r="K3786" s="2">
        <v>2</v>
      </c>
      <c r="L3786" s="2">
        <v>3</v>
      </c>
      <c r="M3786" s="2">
        <v>10</v>
      </c>
      <c r="N3786" s="2">
        <v>5</v>
      </c>
      <c r="P3786" s="2">
        <v>19</v>
      </c>
      <c r="Q3786" s="2">
        <v>38</v>
      </c>
      <c r="S3786" s="3" t="s">
        <v>3875</v>
      </c>
      <c r="T3786" s="2">
        <v>2</v>
      </c>
      <c r="W3786" s="2">
        <v>7</v>
      </c>
      <c r="X3786" s="2">
        <v>5</v>
      </c>
      <c r="Y3786" s="2">
        <v>350</v>
      </c>
      <c r="Z3786" s="2">
        <v>71</v>
      </c>
      <c r="AA3786" s="3" t="s">
        <v>40</v>
      </c>
      <c r="AB3786" s="2">
        <v>4</v>
      </c>
      <c r="AC3786" s="3" t="s">
        <v>3884</v>
      </c>
      <c r="AF3786" s="2">
        <v>25</v>
      </c>
      <c r="AG3786" s="2">
        <v>1</v>
      </c>
      <c r="AH3786" s="3" t="s">
        <v>3873</v>
      </c>
      <c r="AI3786" s="4">
        <v>45420</v>
      </c>
      <c r="AJ3786" s="3" t="s">
        <v>3953</v>
      </c>
      <c r="AK3786" s="3" t="s">
        <v>38</v>
      </c>
    </row>
    <row r="3787" spans="1:37" hidden="1" x14ac:dyDescent="0.25">
      <c r="A3787" t="str">
        <f t="shared" si="59"/>
        <v>2024_NSW_Greenethorpe_Mixed_NFixTOS1VarietyKelpieXTWaterTrtRainFedAgronomy350kgN</v>
      </c>
      <c r="B3787" s="2">
        <v>2024041</v>
      </c>
      <c r="C3787" s="3" t="s">
        <v>3870</v>
      </c>
      <c r="D3787" s="3" t="s">
        <v>37</v>
      </c>
      <c r="E3787" s="3" t="s">
        <v>38</v>
      </c>
      <c r="F3787" s="3" t="s">
        <v>4188</v>
      </c>
      <c r="G3787" s="3" t="s">
        <v>43</v>
      </c>
      <c r="H3787" s="3" t="s">
        <v>253</v>
      </c>
      <c r="I3787" s="2">
        <v>76</v>
      </c>
      <c r="J3787" s="2">
        <v>76</v>
      </c>
      <c r="K3787" s="2">
        <v>2</v>
      </c>
      <c r="L3787" s="2">
        <v>3</v>
      </c>
      <c r="M3787" s="2">
        <v>10</v>
      </c>
      <c r="N3787" s="2">
        <v>5</v>
      </c>
      <c r="P3787" s="2">
        <v>19</v>
      </c>
      <c r="Q3787" s="2">
        <v>37</v>
      </c>
      <c r="S3787" s="3" t="s">
        <v>3871</v>
      </c>
      <c r="T3787" s="2">
        <v>1</v>
      </c>
      <c r="W3787" s="2">
        <v>8</v>
      </c>
      <c r="X3787" s="2">
        <v>5</v>
      </c>
      <c r="Y3787" s="2">
        <v>350</v>
      </c>
      <c r="Z3787" s="2">
        <v>72</v>
      </c>
      <c r="AA3787" s="3" t="s">
        <v>40</v>
      </c>
      <c r="AB3787" s="2">
        <v>4</v>
      </c>
      <c r="AC3787" s="3" t="s">
        <v>3884</v>
      </c>
      <c r="AF3787" s="2">
        <v>25</v>
      </c>
      <c r="AG3787" s="2">
        <v>1</v>
      </c>
      <c r="AH3787" s="3" t="s">
        <v>3873</v>
      </c>
      <c r="AI3787" s="4">
        <v>45420</v>
      </c>
      <c r="AJ3787" s="3" t="s">
        <v>3954</v>
      </c>
      <c r="AK3787" s="3" t="s">
        <v>38</v>
      </c>
    </row>
    <row r="3788" spans="1:37" hidden="1" x14ac:dyDescent="0.25">
      <c r="A3788" t="str">
        <f t="shared" si="59"/>
        <v>2024_NSW_Greenethorpe_Mixed_NFixTOS1VarietySamiraWaterTrtRainFedAgronomy350kgN</v>
      </c>
      <c r="B3788" s="2">
        <v>2024041</v>
      </c>
      <c r="C3788" s="3" t="s">
        <v>3870</v>
      </c>
      <c r="D3788" s="3" t="s">
        <v>37</v>
      </c>
      <c r="E3788" s="3" t="s">
        <v>645</v>
      </c>
      <c r="F3788" s="3" t="s">
        <v>4183</v>
      </c>
      <c r="G3788" s="3" t="s">
        <v>43</v>
      </c>
      <c r="H3788" s="3" t="s">
        <v>253</v>
      </c>
      <c r="I3788" s="2">
        <v>77</v>
      </c>
      <c r="J3788" s="2">
        <v>77</v>
      </c>
      <c r="K3788" s="2">
        <v>2</v>
      </c>
      <c r="L3788" s="2">
        <v>3</v>
      </c>
      <c r="M3788" s="2">
        <v>10</v>
      </c>
      <c r="N3788" s="2">
        <v>6</v>
      </c>
      <c r="P3788" s="2">
        <v>20</v>
      </c>
      <c r="Q3788" s="2">
        <v>39</v>
      </c>
      <c r="S3788" s="3" t="s">
        <v>3871</v>
      </c>
      <c r="T3788" s="2">
        <v>1</v>
      </c>
      <c r="W3788" s="2">
        <v>5</v>
      </c>
      <c r="X3788" s="2">
        <v>6</v>
      </c>
      <c r="Y3788" s="2">
        <v>350</v>
      </c>
      <c r="Z3788" s="2">
        <v>92</v>
      </c>
      <c r="AA3788" s="3" t="s">
        <v>40</v>
      </c>
      <c r="AB3788" s="2">
        <v>6</v>
      </c>
      <c r="AC3788" s="3" t="s">
        <v>3884</v>
      </c>
      <c r="AF3788" s="2">
        <v>25</v>
      </c>
      <c r="AG3788" s="2">
        <v>1</v>
      </c>
      <c r="AH3788" s="3" t="s">
        <v>3873</v>
      </c>
      <c r="AI3788" s="4">
        <v>45420</v>
      </c>
      <c r="AJ3788" s="3" t="s">
        <v>3955</v>
      </c>
      <c r="AK3788" s="3" t="s">
        <v>645</v>
      </c>
    </row>
    <row r="3789" spans="1:37" hidden="1" x14ac:dyDescent="0.25">
      <c r="A3789" t="str">
        <f t="shared" si="59"/>
        <v>2024_NSW_Greenethorpe_Mixed_NFixTOS1VarietyNasmaWaterTrtRainFedAgronomy350kgN</v>
      </c>
      <c r="B3789" s="2">
        <v>2024041</v>
      </c>
      <c r="C3789" s="3" t="s">
        <v>3870</v>
      </c>
      <c r="D3789" s="3" t="s">
        <v>37</v>
      </c>
      <c r="E3789" s="3" t="s">
        <v>645</v>
      </c>
      <c r="F3789" s="3" t="s">
        <v>4186</v>
      </c>
      <c r="G3789" s="3" t="s">
        <v>43</v>
      </c>
      <c r="H3789" s="3" t="s">
        <v>253</v>
      </c>
      <c r="I3789" s="2">
        <v>78</v>
      </c>
      <c r="J3789" s="2">
        <v>78</v>
      </c>
      <c r="K3789" s="2">
        <v>2</v>
      </c>
      <c r="L3789" s="2">
        <v>3</v>
      </c>
      <c r="M3789" s="2">
        <v>10</v>
      </c>
      <c r="N3789" s="2">
        <v>6</v>
      </c>
      <c r="P3789" s="2">
        <v>20</v>
      </c>
      <c r="Q3789" s="2">
        <v>40</v>
      </c>
      <c r="S3789" s="3" t="s">
        <v>3875</v>
      </c>
      <c r="T3789" s="2">
        <v>2</v>
      </c>
      <c r="W3789" s="2">
        <v>6</v>
      </c>
      <c r="X3789" s="2">
        <v>6</v>
      </c>
      <c r="Y3789" s="2">
        <v>350</v>
      </c>
      <c r="Z3789" s="2">
        <v>91</v>
      </c>
      <c r="AA3789" s="3" t="s">
        <v>40</v>
      </c>
      <c r="AB3789" s="2">
        <v>5</v>
      </c>
      <c r="AC3789" s="3" t="s">
        <v>3884</v>
      </c>
      <c r="AF3789" s="2">
        <v>25</v>
      </c>
      <c r="AG3789" s="2">
        <v>1</v>
      </c>
      <c r="AH3789" s="3" t="s">
        <v>3873</v>
      </c>
      <c r="AI3789" s="4">
        <v>45420</v>
      </c>
      <c r="AJ3789" s="3" t="s">
        <v>3956</v>
      </c>
      <c r="AK3789" s="3" t="s">
        <v>645</v>
      </c>
    </row>
    <row r="3790" spans="1:37" hidden="1" x14ac:dyDescent="0.25">
      <c r="A3790" t="str">
        <f t="shared" si="59"/>
        <v>2024_NSW_Greenethorpe_Mixed_NFixTOS1VarietySamiraWaterTrtRainFedAgronomy350kgN</v>
      </c>
      <c r="B3790" s="2">
        <v>2024041</v>
      </c>
      <c r="C3790" s="3" t="s">
        <v>3870</v>
      </c>
      <c r="D3790" s="3" t="s">
        <v>37</v>
      </c>
      <c r="E3790" s="3" t="s">
        <v>645</v>
      </c>
      <c r="F3790" s="3" t="s">
        <v>4183</v>
      </c>
      <c r="G3790" s="3" t="s">
        <v>43</v>
      </c>
      <c r="H3790" s="3" t="s">
        <v>253</v>
      </c>
      <c r="I3790" s="2">
        <v>79</v>
      </c>
      <c r="J3790" s="2">
        <v>79</v>
      </c>
      <c r="K3790" s="2">
        <v>2</v>
      </c>
      <c r="L3790" s="2">
        <v>3</v>
      </c>
      <c r="M3790" s="2">
        <v>10</v>
      </c>
      <c r="N3790" s="2">
        <v>6</v>
      </c>
      <c r="P3790" s="2">
        <v>20</v>
      </c>
      <c r="Q3790" s="2">
        <v>40</v>
      </c>
      <c r="S3790" s="3" t="s">
        <v>3875</v>
      </c>
      <c r="T3790" s="2">
        <v>2</v>
      </c>
      <c r="W3790" s="2">
        <v>7</v>
      </c>
      <c r="X3790" s="2">
        <v>6</v>
      </c>
      <c r="Y3790" s="2">
        <v>350</v>
      </c>
      <c r="Z3790" s="2">
        <v>90</v>
      </c>
      <c r="AA3790" s="3" t="s">
        <v>40</v>
      </c>
      <c r="AB3790" s="2">
        <v>6</v>
      </c>
      <c r="AC3790" s="3" t="s">
        <v>3884</v>
      </c>
      <c r="AF3790" s="2">
        <v>25</v>
      </c>
      <c r="AG3790" s="2">
        <v>1</v>
      </c>
      <c r="AH3790" s="3" t="s">
        <v>3873</v>
      </c>
      <c r="AI3790" s="4">
        <v>45420</v>
      </c>
      <c r="AJ3790" s="3" t="s">
        <v>3957</v>
      </c>
      <c r="AK3790" s="3" t="s">
        <v>645</v>
      </c>
    </row>
    <row r="3791" spans="1:37" hidden="1" x14ac:dyDescent="0.25">
      <c r="A3791" t="str">
        <f t="shared" si="59"/>
        <v>2024_NSW_Greenethorpe_Mixed_NFixTOS1VarietyNasmaWaterTrtRainFedAgronomy350kgN</v>
      </c>
      <c r="B3791" s="2">
        <v>2024041</v>
      </c>
      <c r="C3791" s="3" t="s">
        <v>3870</v>
      </c>
      <c r="D3791" s="3" t="s">
        <v>37</v>
      </c>
      <c r="E3791" s="3" t="s">
        <v>645</v>
      </c>
      <c r="F3791" s="3" t="s">
        <v>4186</v>
      </c>
      <c r="G3791" s="3" t="s">
        <v>43</v>
      </c>
      <c r="H3791" s="3" t="s">
        <v>253</v>
      </c>
      <c r="I3791" s="2">
        <v>80</v>
      </c>
      <c r="J3791" s="2">
        <v>80</v>
      </c>
      <c r="K3791" s="2">
        <v>2</v>
      </c>
      <c r="L3791" s="2">
        <v>3</v>
      </c>
      <c r="M3791" s="2">
        <v>10</v>
      </c>
      <c r="N3791" s="2">
        <v>6</v>
      </c>
      <c r="P3791" s="2">
        <v>20</v>
      </c>
      <c r="Q3791" s="2">
        <v>39</v>
      </c>
      <c r="S3791" s="3" t="s">
        <v>3871</v>
      </c>
      <c r="T3791" s="2">
        <v>1</v>
      </c>
      <c r="W3791" s="2">
        <v>8</v>
      </c>
      <c r="X3791" s="2">
        <v>6</v>
      </c>
      <c r="Y3791" s="2">
        <v>350</v>
      </c>
      <c r="Z3791" s="2">
        <v>89</v>
      </c>
      <c r="AA3791" s="3" t="s">
        <v>40</v>
      </c>
      <c r="AB3791" s="2">
        <v>5</v>
      </c>
      <c r="AC3791" s="3" t="s">
        <v>3884</v>
      </c>
      <c r="AF3791" s="2">
        <v>25</v>
      </c>
      <c r="AG3791" s="2">
        <v>1</v>
      </c>
      <c r="AH3791" s="3" t="s">
        <v>3873</v>
      </c>
      <c r="AI3791" s="4">
        <v>45420</v>
      </c>
      <c r="AJ3791" s="3" t="s">
        <v>3958</v>
      </c>
      <c r="AK3791" s="3" t="s">
        <v>645</v>
      </c>
    </row>
    <row r="3792" spans="1:37" hidden="1" x14ac:dyDescent="0.25">
      <c r="A3792" t="str">
        <f t="shared" si="59"/>
        <v>2024_NSW_Greenethorpe_Mixed_NFixTOS1VarietyCBA_CaptainWaterTrtRainFedAgronomy125kgN</v>
      </c>
      <c r="B3792" s="2">
        <v>2024041</v>
      </c>
      <c r="C3792" s="3" t="s">
        <v>3870</v>
      </c>
      <c r="D3792" s="3" t="s">
        <v>37</v>
      </c>
      <c r="E3792" s="3" t="s">
        <v>248</v>
      </c>
      <c r="F3792" s="3" t="s">
        <v>249</v>
      </c>
      <c r="G3792" s="3" t="s">
        <v>43</v>
      </c>
      <c r="H3792" s="3" t="s">
        <v>253</v>
      </c>
      <c r="I3792" s="2">
        <v>81</v>
      </c>
      <c r="J3792" s="2">
        <v>81</v>
      </c>
      <c r="K3792" s="2">
        <v>2</v>
      </c>
      <c r="L3792" s="2">
        <v>3</v>
      </c>
      <c r="M3792" s="2">
        <v>11</v>
      </c>
      <c r="N3792" s="2">
        <v>5</v>
      </c>
      <c r="P3792" s="2">
        <v>21</v>
      </c>
      <c r="Q3792" s="2">
        <v>41</v>
      </c>
      <c r="S3792" s="3" t="s">
        <v>3871</v>
      </c>
      <c r="T3792" s="2">
        <v>1</v>
      </c>
      <c r="W3792" s="2">
        <v>9</v>
      </c>
      <c r="X3792" s="2">
        <v>5</v>
      </c>
      <c r="Y3792" s="2">
        <v>125</v>
      </c>
      <c r="Z3792" s="2">
        <v>73</v>
      </c>
      <c r="AA3792" s="3" t="s">
        <v>40</v>
      </c>
      <c r="AB3792" s="2">
        <v>1</v>
      </c>
      <c r="AC3792" s="3" t="s">
        <v>3872</v>
      </c>
      <c r="AF3792" s="2">
        <v>25</v>
      </c>
      <c r="AG3792" s="2">
        <v>1</v>
      </c>
      <c r="AH3792" s="3" t="s">
        <v>3873</v>
      </c>
      <c r="AI3792" s="4">
        <v>45420</v>
      </c>
      <c r="AJ3792" s="3" t="s">
        <v>3959</v>
      </c>
      <c r="AK3792" s="3" t="s">
        <v>248</v>
      </c>
    </row>
    <row r="3793" spans="1:37" hidden="1" x14ac:dyDescent="0.25">
      <c r="A3793" t="str">
        <f t="shared" si="59"/>
        <v>2024_NSW_Greenethorpe_Mixed_NFixTOS1VarietyStrikerWaterTrtRainFedAgronomy125kgN</v>
      </c>
      <c r="B3793" s="2">
        <v>2024041</v>
      </c>
      <c r="C3793" s="3" t="s">
        <v>3870</v>
      </c>
      <c r="D3793" s="3" t="s">
        <v>37</v>
      </c>
      <c r="E3793" s="3" t="s">
        <v>248</v>
      </c>
      <c r="F3793" s="3" t="s">
        <v>4179</v>
      </c>
      <c r="G3793" s="3" t="s">
        <v>43</v>
      </c>
      <c r="H3793" s="3" t="s">
        <v>253</v>
      </c>
      <c r="I3793" s="2">
        <v>82</v>
      </c>
      <c r="J3793" s="2">
        <v>82</v>
      </c>
      <c r="K3793" s="2">
        <v>2</v>
      </c>
      <c r="L3793" s="2">
        <v>3</v>
      </c>
      <c r="M3793" s="2">
        <v>11</v>
      </c>
      <c r="N3793" s="2">
        <v>5</v>
      </c>
      <c r="P3793" s="2">
        <v>21</v>
      </c>
      <c r="Q3793" s="2">
        <v>42</v>
      </c>
      <c r="S3793" s="3" t="s">
        <v>3875</v>
      </c>
      <c r="T3793" s="2">
        <v>2</v>
      </c>
      <c r="W3793" s="2">
        <v>10</v>
      </c>
      <c r="X3793" s="2">
        <v>5</v>
      </c>
      <c r="Y3793" s="2">
        <v>125</v>
      </c>
      <c r="Z3793" s="2">
        <v>74</v>
      </c>
      <c r="AA3793" s="3" t="s">
        <v>40</v>
      </c>
      <c r="AB3793" s="2">
        <v>2</v>
      </c>
      <c r="AC3793" s="3" t="s">
        <v>3872</v>
      </c>
      <c r="AF3793" s="2">
        <v>25</v>
      </c>
      <c r="AG3793" s="2">
        <v>1</v>
      </c>
      <c r="AH3793" s="3" t="s">
        <v>3873</v>
      </c>
      <c r="AI3793" s="4">
        <v>45420</v>
      </c>
      <c r="AJ3793" s="3" t="s">
        <v>3960</v>
      </c>
      <c r="AK3793" s="3" t="s">
        <v>248</v>
      </c>
    </row>
    <row r="3794" spans="1:37" hidden="1" x14ac:dyDescent="0.25">
      <c r="A3794" t="str">
        <f t="shared" si="59"/>
        <v>2024_NSW_Greenethorpe_Mixed_NFixTOS1VarietyCBA_CaptainWaterTrtRainFedAgronomy125kgN</v>
      </c>
      <c r="B3794" s="2">
        <v>2024041</v>
      </c>
      <c r="C3794" s="3" t="s">
        <v>3870</v>
      </c>
      <c r="D3794" s="3" t="s">
        <v>37</v>
      </c>
      <c r="E3794" s="3" t="s">
        <v>248</v>
      </c>
      <c r="F3794" s="3" t="s">
        <v>249</v>
      </c>
      <c r="G3794" s="3" t="s">
        <v>43</v>
      </c>
      <c r="H3794" s="3" t="s">
        <v>253</v>
      </c>
      <c r="I3794" s="2">
        <v>83</v>
      </c>
      <c r="J3794" s="2">
        <v>83</v>
      </c>
      <c r="K3794" s="2">
        <v>2</v>
      </c>
      <c r="L3794" s="2">
        <v>3</v>
      </c>
      <c r="M3794" s="2">
        <v>11</v>
      </c>
      <c r="N3794" s="2">
        <v>5</v>
      </c>
      <c r="P3794" s="2">
        <v>21</v>
      </c>
      <c r="Q3794" s="2">
        <v>42</v>
      </c>
      <c r="S3794" s="3" t="s">
        <v>3875</v>
      </c>
      <c r="T3794" s="2">
        <v>2</v>
      </c>
      <c r="W3794" s="2">
        <v>11</v>
      </c>
      <c r="X3794" s="2">
        <v>5</v>
      </c>
      <c r="Y3794" s="2">
        <v>125</v>
      </c>
      <c r="Z3794" s="2">
        <v>75</v>
      </c>
      <c r="AA3794" s="3" t="s">
        <v>40</v>
      </c>
      <c r="AB3794" s="2">
        <v>1</v>
      </c>
      <c r="AC3794" s="3" t="s">
        <v>3872</v>
      </c>
      <c r="AF3794" s="2">
        <v>25</v>
      </c>
      <c r="AG3794" s="2">
        <v>1</v>
      </c>
      <c r="AH3794" s="3" t="s">
        <v>3873</v>
      </c>
      <c r="AI3794" s="4">
        <v>45420</v>
      </c>
      <c r="AJ3794" s="3" t="s">
        <v>3961</v>
      </c>
      <c r="AK3794" s="3" t="s">
        <v>248</v>
      </c>
    </row>
    <row r="3795" spans="1:37" hidden="1" x14ac:dyDescent="0.25">
      <c r="A3795" t="str">
        <f t="shared" si="59"/>
        <v>2024_NSW_Greenethorpe_Mixed_NFixTOS1VarietyStrikerWaterTrtRainFedAgronomy125kgN</v>
      </c>
      <c r="B3795" s="2">
        <v>2024041</v>
      </c>
      <c r="C3795" s="3" t="s">
        <v>3870</v>
      </c>
      <c r="D3795" s="3" t="s">
        <v>37</v>
      </c>
      <c r="E3795" s="3" t="s">
        <v>248</v>
      </c>
      <c r="F3795" s="3" t="s">
        <v>4179</v>
      </c>
      <c r="G3795" s="3" t="s">
        <v>43</v>
      </c>
      <c r="H3795" s="3" t="s">
        <v>253</v>
      </c>
      <c r="I3795" s="2">
        <v>84</v>
      </c>
      <c r="J3795" s="2">
        <v>84</v>
      </c>
      <c r="K3795" s="2">
        <v>2</v>
      </c>
      <c r="L3795" s="2">
        <v>3</v>
      </c>
      <c r="M3795" s="2">
        <v>11</v>
      </c>
      <c r="N3795" s="2">
        <v>5</v>
      </c>
      <c r="P3795" s="2">
        <v>21</v>
      </c>
      <c r="Q3795" s="2">
        <v>41</v>
      </c>
      <c r="S3795" s="3" t="s">
        <v>3871</v>
      </c>
      <c r="T3795" s="2">
        <v>1</v>
      </c>
      <c r="W3795" s="2">
        <v>12</v>
      </c>
      <c r="X3795" s="2">
        <v>5</v>
      </c>
      <c r="Y3795" s="2">
        <v>125</v>
      </c>
      <c r="Z3795" s="2">
        <v>76</v>
      </c>
      <c r="AA3795" s="3" t="s">
        <v>40</v>
      </c>
      <c r="AB3795" s="2">
        <v>2</v>
      </c>
      <c r="AC3795" s="3" t="s">
        <v>3872</v>
      </c>
      <c r="AF3795" s="2">
        <v>25</v>
      </c>
      <c r="AG3795" s="2">
        <v>1</v>
      </c>
      <c r="AH3795" s="3" t="s">
        <v>3873</v>
      </c>
      <c r="AI3795" s="4">
        <v>45420</v>
      </c>
      <c r="AJ3795" s="3" t="s">
        <v>3962</v>
      </c>
      <c r="AK3795" s="3" t="s">
        <v>248</v>
      </c>
    </row>
    <row r="3796" spans="1:37" hidden="1" x14ac:dyDescent="0.25">
      <c r="A3796" t="str">
        <f t="shared" si="59"/>
        <v>2024_NSW_Greenethorpe_Mixed_NFixTOS1VarietyCanolaWaterTrtRainFedAgronomy125kgN</v>
      </c>
      <c r="B3796" s="2">
        <v>2024041</v>
      </c>
      <c r="C3796" s="3" t="s">
        <v>3870</v>
      </c>
      <c r="D3796" s="3" t="s">
        <v>37</v>
      </c>
      <c r="E3796" s="3" t="s">
        <v>3879</v>
      </c>
      <c r="F3796" s="3" t="s">
        <v>3879</v>
      </c>
      <c r="G3796" s="3" t="s">
        <v>39</v>
      </c>
      <c r="H3796" s="3" t="s">
        <v>253</v>
      </c>
      <c r="I3796" s="2">
        <v>85</v>
      </c>
      <c r="J3796" s="2">
        <v>85</v>
      </c>
      <c r="K3796" s="2">
        <v>2</v>
      </c>
      <c r="L3796" s="2">
        <v>3</v>
      </c>
      <c r="M3796" s="2">
        <v>11</v>
      </c>
      <c r="N3796" s="2">
        <v>6</v>
      </c>
      <c r="P3796" s="2">
        <v>22</v>
      </c>
      <c r="Q3796" s="2">
        <v>43</v>
      </c>
      <c r="S3796" s="3" t="s">
        <v>3871</v>
      </c>
      <c r="T3796" s="2">
        <v>1</v>
      </c>
      <c r="W3796" s="2">
        <v>9</v>
      </c>
      <c r="X3796" s="2">
        <v>6</v>
      </c>
      <c r="Y3796" s="2">
        <v>125</v>
      </c>
      <c r="Z3796" s="2">
        <v>88</v>
      </c>
      <c r="AA3796" s="3" t="s">
        <v>40</v>
      </c>
      <c r="AB3796" s="2">
        <v>8</v>
      </c>
      <c r="AC3796" s="3" t="s">
        <v>3872</v>
      </c>
      <c r="AF3796" s="2">
        <v>25</v>
      </c>
      <c r="AG3796" s="2">
        <v>1</v>
      </c>
      <c r="AH3796" s="3" t="s">
        <v>3873</v>
      </c>
      <c r="AI3796" s="4">
        <v>45420</v>
      </c>
      <c r="AJ3796" s="3" t="s">
        <v>3963</v>
      </c>
      <c r="AK3796" s="3" t="s">
        <v>3879</v>
      </c>
    </row>
    <row r="3797" spans="1:37" hidden="1" x14ac:dyDescent="0.25">
      <c r="A3797" t="str">
        <f t="shared" si="59"/>
        <v>2024_NSW_Greenethorpe_Mixed_NFixTOS1VarietyBatemanWaterTrtRainFedAgronomy125kgN</v>
      </c>
      <c r="B3797" s="2">
        <v>2024041</v>
      </c>
      <c r="C3797" s="3" t="s">
        <v>3870</v>
      </c>
      <c r="D3797" s="3" t="s">
        <v>37</v>
      </c>
      <c r="E3797" s="3" t="s">
        <v>1931</v>
      </c>
      <c r="F3797" s="3" t="s">
        <v>4195</v>
      </c>
      <c r="G3797" s="3" t="s">
        <v>43</v>
      </c>
      <c r="H3797" s="3" t="s">
        <v>253</v>
      </c>
      <c r="I3797" s="2">
        <v>86</v>
      </c>
      <c r="J3797" s="2">
        <v>86</v>
      </c>
      <c r="K3797" s="2">
        <v>2</v>
      </c>
      <c r="L3797" s="2">
        <v>3</v>
      </c>
      <c r="M3797" s="2">
        <v>11</v>
      </c>
      <c r="N3797" s="2">
        <v>6</v>
      </c>
      <c r="P3797" s="2">
        <v>22</v>
      </c>
      <c r="Q3797" s="2">
        <v>44</v>
      </c>
      <c r="S3797" s="3" t="s">
        <v>3875</v>
      </c>
      <c r="T3797" s="2">
        <v>2</v>
      </c>
      <c r="W3797" s="2">
        <v>10</v>
      </c>
      <c r="X3797" s="2">
        <v>6</v>
      </c>
      <c r="Y3797" s="2">
        <v>125</v>
      </c>
      <c r="Z3797" s="2">
        <v>87</v>
      </c>
      <c r="AA3797" s="3" t="s">
        <v>40</v>
      </c>
      <c r="AB3797" s="2">
        <v>7</v>
      </c>
      <c r="AC3797" s="3" t="s">
        <v>3872</v>
      </c>
      <c r="AF3797" s="2">
        <v>25</v>
      </c>
      <c r="AG3797" s="2">
        <v>1</v>
      </c>
      <c r="AH3797" s="3" t="s">
        <v>3873</v>
      </c>
      <c r="AI3797" s="4">
        <v>45420</v>
      </c>
      <c r="AJ3797" s="3" t="s">
        <v>3964</v>
      </c>
      <c r="AK3797" s="3" t="s">
        <v>1931</v>
      </c>
    </row>
    <row r="3798" spans="1:37" hidden="1" x14ac:dyDescent="0.25">
      <c r="A3798" t="str">
        <f t="shared" si="59"/>
        <v>2024_NSW_Greenethorpe_Mixed_NFixTOS1VarietyBatemanWaterTrtRainFedAgronomy125kgN</v>
      </c>
      <c r="B3798" s="2">
        <v>2024041</v>
      </c>
      <c r="C3798" s="3" t="s">
        <v>3870</v>
      </c>
      <c r="D3798" s="3" t="s">
        <v>37</v>
      </c>
      <c r="E3798" s="3" t="s">
        <v>1931</v>
      </c>
      <c r="F3798" s="3" t="s">
        <v>4195</v>
      </c>
      <c r="G3798" s="3" t="s">
        <v>43</v>
      </c>
      <c r="H3798" s="3" t="s">
        <v>253</v>
      </c>
      <c r="I3798" s="2">
        <v>87</v>
      </c>
      <c r="J3798" s="2">
        <v>87</v>
      </c>
      <c r="K3798" s="2">
        <v>2</v>
      </c>
      <c r="L3798" s="2">
        <v>3</v>
      </c>
      <c r="M3798" s="2">
        <v>11</v>
      </c>
      <c r="N3798" s="2">
        <v>6</v>
      </c>
      <c r="P3798" s="2">
        <v>22</v>
      </c>
      <c r="Q3798" s="2">
        <v>44</v>
      </c>
      <c r="S3798" s="3" t="s">
        <v>3875</v>
      </c>
      <c r="T3798" s="2">
        <v>2</v>
      </c>
      <c r="W3798" s="2">
        <v>11</v>
      </c>
      <c r="X3798" s="2">
        <v>6</v>
      </c>
      <c r="Y3798" s="2">
        <v>125</v>
      </c>
      <c r="Z3798" s="2">
        <v>86</v>
      </c>
      <c r="AA3798" s="3" t="s">
        <v>40</v>
      </c>
      <c r="AB3798" s="2">
        <v>7</v>
      </c>
      <c r="AC3798" s="3" t="s">
        <v>3872</v>
      </c>
      <c r="AF3798" s="2">
        <v>25</v>
      </c>
      <c r="AG3798" s="2">
        <v>1</v>
      </c>
      <c r="AH3798" s="3" t="s">
        <v>3873</v>
      </c>
      <c r="AI3798" s="4">
        <v>45420</v>
      </c>
      <c r="AJ3798" s="3" t="s">
        <v>3965</v>
      </c>
      <c r="AK3798" s="3" t="s">
        <v>1931</v>
      </c>
    </row>
    <row r="3799" spans="1:37" hidden="1" x14ac:dyDescent="0.25">
      <c r="A3799" t="str">
        <f t="shared" si="59"/>
        <v>2024_NSW_Greenethorpe_Mixed_NFixTOS1VarietyBatemanWaterTrtRainFedAgronomy125kgN</v>
      </c>
      <c r="B3799" s="2">
        <v>2024041</v>
      </c>
      <c r="C3799" s="3" t="s">
        <v>3870</v>
      </c>
      <c r="D3799" s="3" t="s">
        <v>37</v>
      </c>
      <c r="E3799" s="3" t="s">
        <v>1931</v>
      </c>
      <c r="F3799" s="3" t="s">
        <v>4195</v>
      </c>
      <c r="G3799" s="3" t="s">
        <v>43</v>
      </c>
      <c r="H3799" s="3" t="s">
        <v>253</v>
      </c>
      <c r="I3799" s="2">
        <v>88</v>
      </c>
      <c r="J3799" s="2">
        <v>88</v>
      </c>
      <c r="K3799" s="2">
        <v>2</v>
      </c>
      <c r="L3799" s="2">
        <v>3</v>
      </c>
      <c r="M3799" s="2">
        <v>11</v>
      </c>
      <c r="N3799" s="2">
        <v>6</v>
      </c>
      <c r="P3799" s="2">
        <v>22</v>
      </c>
      <c r="Q3799" s="2">
        <v>43</v>
      </c>
      <c r="S3799" s="3" t="s">
        <v>3871</v>
      </c>
      <c r="T3799" s="2">
        <v>1</v>
      </c>
      <c r="W3799" s="2">
        <v>12</v>
      </c>
      <c r="X3799" s="2">
        <v>6</v>
      </c>
      <c r="Y3799" s="2">
        <v>125</v>
      </c>
      <c r="Z3799" s="2">
        <v>85</v>
      </c>
      <c r="AA3799" s="3" t="s">
        <v>40</v>
      </c>
      <c r="AB3799" s="2">
        <v>7</v>
      </c>
      <c r="AC3799" s="3" t="s">
        <v>3872</v>
      </c>
      <c r="AF3799" s="2">
        <v>25</v>
      </c>
      <c r="AG3799" s="2">
        <v>1</v>
      </c>
      <c r="AH3799" s="3" t="s">
        <v>3873</v>
      </c>
      <c r="AI3799" s="4">
        <v>45420</v>
      </c>
      <c r="AJ3799" s="3" t="s">
        <v>3966</v>
      </c>
      <c r="AK3799" s="3" t="s">
        <v>1931</v>
      </c>
    </row>
    <row r="3800" spans="1:37" hidden="1" x14ac:dyDescent="0.25">
      <c r="A3800" t="str">
        <f t="shared" si="59"/>
        <v>2024_NSW_Greenethorpe_Mixed_NFixTOS1VarietyNasmaWaterTrtRainFedAgronomy50kgN</v>
      </c>
      <c r="B3800" s="2">
        <v>2024041</v>
      </c>
      <c r="C3800" s="3" t="s">
        <v>3870</v>
      </c>
      <c r="D3800" s="3" t="s">
        <v>37</v>
      </c>
      <c r="E3800" s="3" t="s">
        <v>645</v>
      </c>
      <c r="F3800" s="3" t="s">
        <v>4186</v>
      </c>
      <c r="G3800" s="3" t="s">
        <v>43</v>
      </c>
      <c r="H3800" s="3" t="s">
        <v>253</v>
      </c>
      <c r="I3800" s="2">
        <v>89</v>
      </c>
      <c r="J3800" s="2">
        <v>89</v>
      </c>
      <c r="K3800" s="2">
        <v>2</v>
      </c>
      <c r="L3800" s="2">
        <v>3</v>
      </c>
      <c r="M3800" s="2">
        <v>12</v>
      </c>
      <c r="N3800" s="2">
        <v>5</v>
      </c>
      <c r="P3800" s="2">
        <v>23</v>
      </c>
      <c r="Q3800" s="2">
        <v>45</v>
      </c>
      <c r="S3800" s="3" t="s">
        <v>3871</v>
      </c>
      <c r="T3800" s="2">
        <v>1</v>
      </c>
      <c r="W3800" s="2">
        <v>13</v>
      </c>
      <c r="X3800" s="2">
        <v>5</v>
      </c>
      <c r="Y3800" s="2">
        <v>50</v>
      </c>
      <c r="Z3800" s="2">
        <v>77</v>
      </c>
      <c r="AA3800" s="3" t="s">
        <v>40</v>
      </c>
      <c r="AB3800" s="2">
        <v>5</v>
      </c>
      <c r="AC3800" s="3" t="s">
        <v>3893</v>
      </c>
      <c r="AF3800" s="2">
        <v>25</v>
      </c>
      <c r="AG3800" s="2">
        <v>1</v>
      </c>
      <c r="AH3800" s="3" t="s">
        <v>3873</v>
      </c>
      <c r="AI3800" s="4">
        <v>45420</v>
      </c>
      <c r="AJ3800" s="3" t="s">
        <v>3967</v>
      </c>
      <c r="AK3800" s="3" t="s">
        <v>645</v>
      </c>
    </row>
    <row r="3801" spans="1:37" hidden="1" x14ac:dyDescent="0.25">
      <c r="A3801" t="str">
        <f t="shared" si="59"/>
        <v>2024_NSW_Greenethorpe_Mixed_NFixTOS1VarietyNasmaWaterTrtRainFedAgronomy50kgN</v>
      </c>
      <c r="B3801" s="2">
        <v>2024041</v>
      </c>
      <c r="C3801" s="3" t="s">
        <v>3870</v>
      </c>
      <c r="D3801" s="3" t="s">
        <v>37</v>
      </c>
      <c r="E3801" s="3" t="s">
        <v>645</v>
      </c>
      <c r="F3801" s="3" t="s">
        <v>4186</v>
      </c>
      <c r="G3801" s="3" t="s">
        <v>43</v>
      </c>
      <c r="H3801" s="3" t="s">
        <v>253</v>
      </c>
      <c r="I3801" s="2">
        <v>90</v>
      </c>
      <c r="J3801" s="2">
        <v>90</v>
      </c>
      <c r="K3801" s="2">
        <v>2</v>
      </c>
      <c r="L3801" s="2">
        <v>3</v>
      </c>
      <c r="M3801" s="2">
        <v>12</v>
      </c>
      <c r="N3801" s="2">
        <v>5</v>
      </c>
      <c r="P3801" s="2">
        <v>23</v>
      </c>
      <c r="Q3801" s="2">
        <v>46</v>
      </c>
      <c r="S3801" s="3" t="s">
        <v>3875</v>
      </c>
      <c r="T3801" s="2">
        <v>2</v>
      </c>
      <c r="W3801" s="2">
        <v>14</v>
      </c>
      <c r="X3801" s="2">
        <v>5</v>
      </c>
      <c r="Y3801" s="2">
        <v>50</v>
      </c>
      <c r="Z3801" s="2">
        <v>78</v>
      </c>
      <c r="AA3801" s="3" t="s">
        <v>40</v>
      </c>
      <c r="AB3801" s="2">
        <v>5</v>
      </c>
      <c r="AC3801" s="3" t="s">
        <v>3893</v>
      </c>
      <c r="AF3801" s="2">
        <v>25</v>
      </c>
      <c r="AG3801" s="2">
        <v>1</v>
      </c>
      <c r="AH3801" s="3" t="s">
        <v>3873</v>
      </c>
      <c r="AI3801" s="4">
        <v>45420</v>
      </c>
      <c r="AJ3801" s="3" t="s">
        <v>3968</v>
      </c>
      <c r="AK3801" s="3" t="s">
        <v>645</v>
      </c>
    </row>
    <row r="3802" spans="1:37" hidden="1" x14ac:dyDescent="0.25">
      <c r="A3802" t="str">
        <f t="shared" si="59"/>
        <v>2024_NSW_Greenethorpe_Mixed_NFixTOS1VarietySamiraWaterTrtRainFedAgronomy50kgN</v>
      </c>
      <c r="B3802" s="2">
        <v>2024041</v>
      </c>
      <c r="C3802" s="3" t="s">
        <v>3870</v>
      </c>
      <c r="D3802" s="3" t="s">
        <v>37</v>
      </c>
      <c r="E3802" s="3" t="s">
        <v>645</v>
      </c>
      <c r="F3802" s="3" t="s">
        <v>4183</v>
      </c>
      <c r="G3802" s="3" t="s">
        <v>43</v>
      </c>
      <c r="H3802" s="3" t="s">
        <v>253</v>
      </c>
      <c r="I3802" s="2">
        <v>91</v>
      </c>
      <c r="J3802" s="2">
        <v>91</v>
      </c>
      <c r="K3802" s="2">
        <v>2</v>
      </c>
      <c r="L3802" s="2">
        <v>3</v>
      </c>
      <c r="M3802" s="2">
        <v>12</v>
      </c>
      <c r="N3802" s="2">
        <v>5</v>
      </c>
      <c r="P3802" s="2">
        <v>23</v>
      </c>
      <c r="Q3802" s="2">
        <v>46</v>
      </c>
      <c r="S3802" s="3" t="s">
        <v>3875</v>
      </c>
      <c r="T3802" s="2">
        <v>2</v>
      </c>
      <c r="W3802" s="2">
        <v>15</v>
      </c>
      <c r="X3802" s="2">
        <v>5</v>
      </c>
      <c r="Y3802" s="2">
        <v>50</v>
      </c>
      <c r="Z3802" s="2">
        <v>79</v>
      </c>
      <c r="AA3802" s="3" t="s">
        <v>40</v>
      </c>
      <c r="AB3802" s="2">
        <v>6</v>
      </c>
      <c r="AC3802" s="3" t="s">
        <v>3893</v>
      </c>
      <c r="AF3802" s="2">
        <v>25</v>
      </c>
      <c r="AG3802" s="2">
        <v>1</v>
      </c>
      <c r="AH3802" s="3" t="s">
        <v>3873</v>
      </c>
      <c r="AI3802" s="4">
        <v>45420</v>
      </c>
      <c r="AJ3802" s="3" t="s">
        <v>3969</v>
      </c>
      <c r="AK3802" s="3" t="s">
        <v>645</v>
      </c>
    </row>
    <row r="3803" spans="1:37" hidden="1" x14ac:dyDescent="0.25">
      <c r="A3803" t="str">
        <f t="shared" si="59"/>
        <v>2024_NSW_Greenethorpe_Mixed_NFixTOS1VarietySamiraWaterTrtRainFedAgronomy50kgN</v>
      </c>
      <c r="B3803" s="2">
        <v>2024041</v>
      </c>
      <c r="C3803" s="3" t="s">
        <v>3870</v>
      </c>
      <c r="D3803" s="3" t="s">
        <v>37</v>
      </c>
      <c r="E3803" s="3" t="s">
        <v>645</v>
      </c>
      <c r="F3803" s="3" t="s">
        <v>4183</v>
      </c>
      <c r="G3803" s="3" t="s">
        <v>43</v>
      </c>
      <c r="H3803" s="3" t="s">
        <v>253</v>
      </c>
      <c r="I3803" s="2">
        <v>92</v>
      </c>
      <c r="J3803" s="2">
        <v>92</v>
      </c>
      <c r="K3803" s="2">
        <v>2</v>
      </c>
      <c r="L3803" s="2">
        <v>3</v>
      </c>
      <c r="M3803" s="2">
        <v>12</v>
      </c>
      <c r="N3803" s="2">
        <v>5</v>
      </c>
      <c r="P3803" s="2">
        <v>23</v>
      </c>
      <c r="Q3803" s="2">
        <v>45</v>
      </c>
      <c r="S3803" s="3" t="s">
        <v>3871</v>
      </c>
      <c r="T3803" s="2">
        <v>1</v>
      </c>
      <c r="W3803" s="2">
        <v>16</v>
      </c>
      <c r="X3803" s="2">
        <v>5</v>
      </c>
      <c r="Y3803" s="2">
        <v>50</v>
      </c>
      <c r="Z3803" s="2">
        <v>80</v>
      </c>
      <c r="AA3803" s="3" t="s">
        <v>40</v>
      </c>
      <c r="AB3803" s="2">
        <v>6</v>
      </c>
      <c r="AC3803" s="3" t="s">
        <v>3893</v>
      </c>
      <c r="AF3803" s="2">
        <v>25</v>
      </c>
      <c r="AG3803" s="2">
        <v>1</v>
      </c>
      <c r="AH3803" s="3" t="s">
        <v>3873</v>
      </c>
      <c r="AI3803" s="4">
        <v>45420</v>
      </c>
      <c r="AJ3803" s="3" t="s">
        <v>3970</v>
      </c>
      <c r="AK3803" s="3" t="s">
        <v>645</v>
      </c>
    </row>
    <row r="3804" spans="1:37" hidden="1" x14ac:dyDescent="0.25">
      <c r="A3804" t="str">
        <f t="shared" si="59"/>
        <v>2024_NSW_Greenethorpe_Mixed_NFixTOS1VarietyStrikerWaterTrtRainFedAgronomy50kgN</v>
      </c>
      <c r="B3804" s="2">
        <v>2024041</v>
      </c>
      <c r="C3804" s="3" t="s">
        <v>3870</v>
      </c>
      <c r="D3804" s="3" t="s">
        <v>37</v>
      </c>
      <c r="E3804" s="3" t="s">
        <v>248</v>
      </c>
      <c r="F3804" s="3" t="s">
        <v>4179</v>
      </c>
      <c r="G3804" s="3" t="s">
        <v>43</v>
      </c>
      <c r="H3804" s="3" t="s">
        <v>253</v>
      </c>
      <c r="I3804" s="2">
        <v>93</v>
      </c>
      <c r="J3804" s="2">
        <v>93</v>
      </c>
      <c r="K3804" s="2">
        <v>2</v>
      </c>
      <c r="L3804" s="2">
        <v>3</v>
      </c>
      <c r="M3804" s="2">
        <v>12</v>
      </c>
      <c r="N3804" s="2">
        <v>6</v>
      </c>
      <c r="P3804" s="2">
        <v>24</v>
      </c>
      <c r="Q3804" s="2">
        <v>47</v>
      </c>
      <c r="S3804" s="3" t="s">
        <v>3871</v>
      </c>
      <c r="T3804" s="2">
        <v>1</v>
      </c>
      <c r="W3804" s="2">
        <v>13</v>
      </c>
      <c r="X3804" s="2">
        <v>6</v>
      </c>
      <c r="Y3804" s="2">
        <v>50</v>
      </c>
      <c r="Z3804" s="2">
        <v>84</v>
      </c>
      <c r="AA3804" s="3" t="s">
        <v>40</v>
      </c>
      <c r="AB3804" s="2">
        <v>2</v>
      </c>
      <c r="AC3804" s="3" t="s">
        <v>3893</v>
      </c>
      <c r="AF3804" s="2">
        <v>25</v>
      </c>
      <c r="AG3804" s="2">
        <v>1</v>
      </c>
      <c r="AH3804" s="3" t="s">
        <v>3873</v>
      </c>
      <c r="AI3804" s="4">
        <v>45420</v>
      </c>
      <c r="AJ3804" s="3" t="s">
        <v>3971</v>
      </c>
      <c r="AK3804" s="3" t="s">
        <v>248</v>
      </c>
    </row>
    <row r="3805" spans="1:37" hidden="1" x14ac:dyDescent="0.25">
      <c r="A3805" t="str">
        <f t="shared" si="59"/>
        <v>2024_NSW_Greenethorpe_Mixed_NFixTOS1VarietyCBA_CaptainWaterTrtRainFedAgronomy50kgN</v>
      </c>
      <c r="B3805" s="2">
        <v>2024041</v>
      </c>
      <c r="C3805" s="3" t="s">
        <v>3870</v>
      </c>
      <c r="D3805" s="3" t="s">
        <v>37</v>
      </c>
      <c r="E3805" s="3" t="s">
        <v>248</v>
      </c>
      <c r="F3805" s="3" t="s">
        <v>249</v>
      </c>
      <c r="G3805" s="3" t="s">
        <v>43</v>
      </c>
      <c r="H3805" s="3" t="s">
        <v>253</v>
      </c>
      <c r="I3805" s="2">
        <v>94</v>
      </c>
      <c r="J3805" s="2">
        <v>94</v>
      </c>
      <c r="K3805" s="2">
        <v>2</v>
      </c>
      <c r="L3805" s="2">
        <v>3</v>
      </c>
      <c r="M3805" s="2">
        <v>12</v>
      </c>
      <c r="N3805" s="2">
        <v>6</v>
      </c>
      <c r="P3805" s="2">
        <v>24</v>
      </c>
      <c r="Q3805" s="2">
        <v>48</v>
      </c>
      <c r="S3805" s="3" t="s">
        <v>3875</v>
      </c>
      <c r="T3805" s="2">
        <v>2</v>
      </c>
      <c r="W3805" s="2">
        <v>14</v>
      </c>
      <c r="X3805" s="2">
        <v>6</v>
      </c>
      <c r="Y3805" s="2">
        <v>50</v>
      </c>
      <c r="Z3805" s="2">
        <v>83</v>
      </c>
      <c r="AA3805" s="3" t="s">
        <v>40</v>
      </c>
      <c r="AB3805" s="2">
        <v>1</v>
      </c>
      <c r="AC3805" s="3" t="s">
        <v>3893</v>
      </c>
      <c r="AF3805" s="2">
        <v>25</v>
      </c>
      <c r="AG3805" s="2">
        <v>1</v>
      </c>
      <c r="AH3805" s="3" t="s">
        <v>3873</v>
      </c>
      <c r="AI3805" s="4">
        <v>45420</v>
      </c>
      <c r="AJ3805" s="3" t="s">
        <v>3972</v>
      </c>
      <c r="AK3805" s="3" t="s">
        <v>248</v>
      </c>
    </row>
    <row r="3806" spans="1:37" hidden="1" x14ac:dyDescent="0.25">
      <c r="A3806" t="str">
        <f t="shared" si="59"/>
        <v>2024_NSW_Greenethorpe_Mixed_NFixTOS1VarietyStrikerWaterTrtRainFedAgronomy50kgN</v>
      </c>
      <c r="B3806" s="2">
        <v>2024041</v>
      </c>
      <c r="C3806" s="3" t="s">
        <v>3870</v>
      </c>
      <c r="D3806" s="3" t="s">
        <v>37</v>
      </c>
      <c r="E3806" s="3" t="s">
        <v>248</v>
      </c>
      <c r="F3806" s="3" t="s">
        <v>4179</v>
      </c>
      <c r="G3806" s="3" t="s">
        <v>43</v>
      </c>
      <c r="H3806" s="3" t="s">
        <v>253</v>
      </c>
      <c r="I3806" s="2">
        <v>95</v>
      </c>
      <c r="J3806" s="2">
        <v>95</v>
      </c>
      <c r="K3806" s="2">
        <v>2</v>
      </c>
      <c r="L3806" s="2">
        <v>3</v>
      </c>
      <c r="M3806" s="2">
        <v>12</v>
      </c>
      <c r="N3806" s="2">
        <v>6</v>
      </c>
      <c r="P3806" s="2">
        <v>24</v>
      </c>
      <c r="Q3806" s="2">
        <v>48</v>
      </c>
      <c r="S3806" s="3" t="s">
        <v>3875</v>
      </c>
      <c r="T3806" s="2">
        <v>2</v>
      </c>
      <c r="W3806" s="2">
        <v>15</v>
      </c>
      <c r="X3806" s="2">
        <v>6</v>
      </c>
      <c r="Y3806" s="2">
        <v>50</v>
      </c>
      <c r="Z3806" s="2">
        <v>82</v>
      </c>
      <c r="AA3806" s="3" t="s">
        <v>40</v>
      </c>
      <c r="AB3806" s="2">
        <v>2</v>
      </c>
      <c r="AC3806" s="3" t="s">
        <v>3893</v>
      </c>
      <c r="AF3806" s="2">
        <v>25</v>
      </c>
      <c r="AG3806" s="2">
        <v>1</v>
      </c>
      <c r="AH3806" s="3" t="s">
        <v>3873</v>
      </c>
      <c r="AI3806" s="4">
        <v>45420</v>
      </c>
      <c r="AJ3806" s="3" t="s">
        <v>3973</v>
      </c>
      <c r="AK3806" s="3" t="s">
        <v>248</v>
      </c>
    </row>
    <row r="3807" spans="1:37" hidden="1" x14ac:dyDescent="0.25">
      <c r="A3807" t="str">
        <f t="shared" si="59"/>
        <v>2024_NSW_Greenethorpe_Mixed_NFixTOS1VarietyCBA_CaptainWaterTrtRainFedAgronomy50kgN</v>
      </c>
      <c r="B3807" s="2">
        <v>2024041</v>
      </c>
      <c r="C3807" s="3" t="s">
        <v>3870</v>
      </c>
      <c r="D3807" s="3" t="s">
        <v>37</v>
      </c>
      <c r="E3807" s="3" t="s">
        <v>248</v>
      </c>
      <c r="F3807" s="3" t="s">
        <v>249</v>
      </c>
      <c r="G3807" s="3" t="s">
        <v>43</v>
      </c>
      <c r="H3807" s="3" t="s">
        <v>253</v>
      </c>
      <c r="I3807" s="2">
        <v>96</v>
      </c>
      <c r="J3807" s="2">
        <v>96</v>
      </c>
      <c r="K3807" s="2">
        <v>2</v>
      </c>
      <c r="L3807" s="2">
        <v>3</v>
      </c>
      <c r="M3807" s="2">
        <v>12</v>
      </c>
      <c r="N3807" s="2">
        <v>6</v>
      </c>
      <c r="P3807" s="2">
        <v>24</v>
      </c>
      <c r="Q3807" s="2">
        <v>47</v>
      </c>
      <c r="S3807" s="3" t="s">
        <v>3871</v>
      </c>
      <c r="T3807" s="2">
        <v>1</v>
      </c>
      <c r="W3807" s="2">
        <v>16</v>
      </c>
      <c r="X3807" s="2">
        <v>6</v>
      </c>
      <c r="Y3807" s="2">
        <v>50</v>
      </c>
      <c r="Z3807" s="2">
        <v>81</v>
      </c>
      <c r="AA3807" s="3" t="s">
        <v>40</v>
      </c>
      <c r="AB3807" s="2">
        <v>1</v>
      </c>
      <c r="AC3807" s="3" t="s">
        <v>3893</v>
      </c>
      <c r="AF3807" s="2">
        <v>25</v>
      </c>
      <c r="AG3807" s="2">
        <v>1</v>
      </c>
      <c r="AH3807" s="3" t="s">
        <v>3873</v>
      </c>
      <c r="AI3807" s="4">
        <v>45420</v>
      </c>
      <c r="AJ3807" s="3" t="s">
        <v>3974</v>
      </c>
      <c r="AK3807" s="3" t="s">
        <v>248</v>
      </c>
    </row>
    <row r="3808" spans="1:37" hidden="1" x14ac:dyDescent="0.25">
      <c r="A3808" t="str">
        <f t="shared" si="59"/>
        <v>2024_NSW_Greenethorpe_Mixed_NFixTOS1VarietyCBA_CaptainWaterTrtRainFedAgronomy350kgN</v>
      </c>
      <c r="B3808" s="2">
        <v>2024041</v>
      </c>
      <c r="C3808" s="3" t="s">
        <v>3870</v>
      </c>
      <c r="D3808" s="3" t="s">
        <v>37</v>
      </c>
      <c r="E3808" s="3" t="s">
        <v>248</v>
      </c>
      <c r="F3808" s="3" t="s">
        <v>249</v>
      </c>
      <c r="G3808" s="3" t="s">
        <v>43</v>
      </c>
      <c r="H3808" s="3" t="s">
        <v>253</v>
      </c>
      <c r="I3808" s="2">
        <v>97</v>
      </c>
      <c r="J3808" s="2">
        <v>97</v>
      </c>
      <c r="K3808" s="2">
        <v>2</v>
      </c>
      <c r="L3808" s="2">
        <v>4</v>
      </c>
      <c r="M3808" s="2">
        <v>13</v>
      </c>
      <c r="N3808" s="2">
        <v>7</v>
      </c>
      <c r="P3808" s="2">
        <v>25</v>
      </c>
      <c r="Q3808" s="2">
        <v>49</v>
      </c>
      <c r="S3808" s="3" t="s">
        <v>3871</v>
      </c>
      <c r="T3808" s="2">
        <v>1</v>
      </c>
      <c r="W3808" s="2">
        <v>1</v>
      </c>
      <c r="X3808" s="2">
        <v>7</v>
      </c>
      <c r="Y3808" s="2">
        <v>350</v>
      </c>
      <c r="Z3808" s="2">
        <v>97</v>
      </c>
      <c r="AA3808" s="3" t="s">
        <v>40</v>
      </c>
      <c r="AB3808" s="2">
        <v>1</v>
      </c>
      <c r="AC3808" s="3" t="s">
        <v>3884</v>
      </c>
      <c r="AF3808" s="2">
        <v>25</v>
      </c>
      <c r="AG3808" s="2">
        <v>1</v>
      </c>
      <c r="AH3808" s="3" t="s">
        <v>3873</v>
      </c>
      <c r="AI3808" s="4">
        <v>45420</v>
      </c>
      <c r="AJ3808" s="3" t="s">
        <v>3975</v>
      </c>
      <c r="AK3808" s="3" t="s">
        <v>248</v>
      </c>
    </row>
    <row r="3809" spans="1:37" hidden="1" x14ac:dyDescent="0.25">
      <c r="A3809" t="str">
        <f t="shared" si="59"/>
        <v>2024_NSW_Greenethorpe_Mixed_NFixTOS1VarietyStrikerWaterTrtRainFedAgronomy350kgN</v>
      </c>
      <c r="B3809" s="2">
        <v>2024041</v>
      </c>
      <c r="C3809" s="3" t="s">
        <v>3870</v>
      </c>
      <c r="D3809" s="3" t="s">
        <v>37</v>
      </c>
      <c r="E3809" s="3" t="s">
        <v>248</v>
      </c>
      <c r="F3809" s="3" t="s">
        <v>4179</v>
      </c>
      <c r="G3809" s="3" t="s">
        <v>43</v>
      </c>
      <c r="H3809" s="3" t="s">
        <v>253</v>
      </c>
      <c r="I3809" s="2">
        <v>98</v>
      </c>
      <c r="J3809" s="2">
        <v>98</v>
      </c>
      <c r="K3809" s="2">
        <v>2</v>
      </c>
      <c r="L3809" s="2">
        <v>4</v>
      </c>
      <c r="M3809" s="2">
        <v>13</v>
      </c>
      <c r="N3809" s="2">
        <v>7</v>
      </c>
      <c r="P3809" s="2">
        <v>25</v>
      </c>
      <c r="Q3809" s="2">
        <v>50</v>
      </c>
      <c r="S3809" s="3" t="s">
        <v>3875</v>
      </c>
      <c r="T3809" s="2">
        <v>2</v>
      </c>
      <c r="W3809" s="2">
        <v>2</v>
      </c>
      <c r="X3809" s="2">
        <v>7</v>
      </c>
      <c r="Y3809" s="2">
        <v>350</v>
      </c>
      <c r="Z3809" s="2">
        <v>98</v>
      </c>
      <c r="AA3809" s="3" t="s">
        <v>40</v>
      </c>
      <c r="AB3809" s="2">
        <v>2</v>
      </c>
      <c r="AC3809" s="3" t="s">
        <v>3884</v>
      </c>
      <c r="AF3809" s="2">
        <v>25</v>
      </c>
      <c r="AG3809" s="2">
        <v>1</v>
      </c>
      <c r="AH3809" s="3" t="s">
        <v>3873</v>
      </c>
      <c r="AI3809" s="4">
        <v>45420</v>
      </c>
      <c r="AJ3809" s="3" t="s">
        <v>3976</v>
      </c>
      <c r="AK3809" s="3" t="s">
        <v>248</v>
      </c>
    </row>
    <row r="3810" spans="1:37" hidden="1" x14ac:dyDescent="0.25">
      <c r="A3810" t="str">
        <f t="shared" si="59"/>
        <v>2024_NSW_Greenethorpe_Mixed_NFixTOS1VarietyCBA_CaptainWaterTrtRainFedAgronomy350kgN</v>
      </c>
      <c r="B3810" s="2">
        <v>2024041</v>
      </c>
      <c r="C3810" s="3" t="s">
        <v>3870</v>
      </c>
      <c r="D3810" s="3" t="s">
        <v>37</v>
      </c>
      <c r="E3810" s="3" t="s">
        <v>248</v>
      </c>
      <c r="F3810" s="3" t="s">
        <v>249</v>
      </c>
      <c r="G3810" s="3" t="s">
        <v>43</v>
      </c>
      <c r="H3810" s="3" t="s">
        <v>253</v>
      </c>
      <c r="I3810" s="2">
        <v>99</v>
      </c>
      <c r="J3810" s="2">
        <v>99</v>
      </c>
      <c r="K3810" s="2">
        <v>2</v>
      </c>
      <c r="L3810" s="2">
        <v>4</v>
      </c>
      <c r="M3810" s="2">
        <v>13</v>
      </c>
      <c r="N3810" s="2">
        <v>7</v>
      </c>
      <c r="P3810" s="2">
        <v>25</v>
      </c>
      <c r="Q3810" s="2">
        <v>50</v>
      </c>
      <c r="S3810" s="3" t="s">
        <v>3875</v>
      </c>
      <c r="T3810" s="2">
        <v>2</v>
      </c>
      <c r="W3810" s="2">
        <v>3</v>
      </c>
      <c r="X3810" s="2">
        <v>7</v>
      </c>
      <c r="Y3810" s="2">
        <v>350</v>
      </c>
      <c r="Z3810" s="2">
        <v>99</v>
      </c>
      <c r="AA3810" s="3" t="s">
        <v>40</v>
      </c>
      <c r="AB3810" s="2">
        <v>1</v>
      </c>
      <c r="AC3810" s="3" t="s">
        <v>3884</v>
      </c>
      <c r="AF3810" s="2">
        <v>25</v>
      </c>
      <c r="AG3810" s="2">
        <v>1</v>
      </c>
      <c r="AH3810" s="3" t="s">
        <v>3873</v>
      </c>
      <c r="AI3810" s="4">
        <v>45420</v>
      </c>
      <c r="AJ3810" s="3" t="s">
        <v>3977</v>
      </c>
      <c r="AK3810" s="3" t="s">
        <v>248</v>
      </c>
    </row>
    <row r="3811" spans="1:37" hidden="1" x14ac:dyDescent="0.25">
      <c r="A3811" t="str">
        <f t="shared" si="59"/>
        <v>2024_NSW_Greenethorpe_Mixed_NFixTOS1VarietyStrikerWaterTrtRainFedAgronomy350kgN</v>
      </c>
      <c r="B3811" s="2">
        <v>2024041</v>
      </c>
      <c r="C3811" s="3" t="s">
        <v>3870</v>
      </c>
      <c r="D3811" s="3" t="s">
        <v>37</v>
      </c>
      <c r="E3811" s="3" t="s">
        <v>248</v>
      </c>
      <c r="F3811" s="3" t="s">
        <v>4179</v>
      </c>
      <c r="G3811" s="3" t="s">
        <v>43</v>
      </c>
      <c r="H3811" s="3" t="s">
        <v>253</v>
      </c>
      <c r="I3811" s="2">
        <v>100</v>
      </c>
      <c r="J3811" s="2">
        <v>100</v>
      </c>
      <c r="K3811" s="2">
        <v>2</v>
      </c>
      <c r="L3811" s="2">
        <v>4</v>
      </c>
      <c r="M3811" s="2">
        <v>13</v>
      </c>
      <c r="N3811" s="2">
        <v>7</v>
      </c>
      <c r="P3811" s="2">
        <v>25</v>
      </c>
      <c r="Q3811" s="2">
        <v>49</v>
      </c>
      <c r="S3811" s="3" t="s">
        <v>3871</v>
      </c>
      <c r="T3811" s="2">
        <v>1</v>
      </c>
      <c r="W3811" s="2">
        <v>4</v>
      </c>
      <c r="X3811" s="2">
        <v>7</v>
      </c>
      <c r="Y3811" s="2">
        <v>350</v>
      </c>
      <c r="Z3811" s="2">
        <v>100</v>
      </c>
      <c r="AA3811" s="3" t="s">
        <v>40</v>
      </c>
      <c r="AB3811" s="2">
        <v>2</v>
      </c>
      <c r="AC3811" s="3" t="s">
        <v>3884</v>
      </c>
      <c r="AF3811" s="2">
        <v>25</v>
      </c>
      <c r="AG3811" s="2">
        <v>1</v>
      </c>
      <c r="AH3811" s="3" t="s">
        <v>3873</v>
      </c>
      <c r="AI3811" s="4">
        <v>45420</v>
      </c>
      <c r="AJ3811" s="3" t="s">
        <v>3978</v>
      </c>
      <c r="AK3811" s="3" t="s">
        <v>248</v>
      </c>
    </row>
    <row r="3812" spans="1:37" hidden="1" x14ac:dyDescent="0.25">
      <c r="A3812" t="str">
        <f t="shared" si="59"/>
        <v>2024_NSW_Greenethorpe_Mixed_NFixTOS1VarietyCanolaWaterTrtRainFedAgronomy350kgN</v>
      </c>
      <c r="B3812" s="2">
        <v>2024041</v>
      </c>
      <c r="C3812" s="3" t="s">
        <v>3870</v>
      </c>
      <c r="D3812" s="3" t="s">
        <v>37</v>
      </c>
      <c r="E3812" s="3" t="s">
        <v>3879</v>
      </c>
      <c r="F3812" s="3" t="s">
        <v>3879</v>
      </c>
      <c r="G3812" s="3" t="s">
        <v>39</v>
      </c>
      <c r="H3812" s="3" t="s">
        <v>253</v>
      </c>
      <c r="I3812" s="2">
        <v>101</v>
      </c>
      <c r="J3812" s="2">
        <v>101</v>
      </c>
      <c r="K3812" s="2">
        <v>2</v>
      </c>
      <c r="L3812" s="2">
        <v>4</v>
      </c>
      <c r="M3812" s="2">
        <v>13</v>
      </c>
      <c r="N3812" s="2">
        <v>8</v>
      </c>
      <c r="P3812" s="2">
        <v>26</v>
      </c>
      <c r="Q3812" s="2">
        <v>51</v>
      </c>
      <c r="S3812" s="3" t="s">
        <v>3871</v>
      </c>
      <c r="T3812" s="2">
        <v>1</v>
      </c>
      <c r="W3812" s="2">
        <v>1</v>
      </c>
      <c r="X3812" s="2">
        <v>8</v>
      </c>
      <c r="Y3812" s="2">
        <v>350</v>
      </c>
      <c r="Z3812" s="2">
        <v>128</v>
      </c>
      <c r="AA3812" s="3" t="s">
        <v>40</v>
      </c>
      <c r="AB3812" s="2">
        <v>8</v>
      </c>
      <c r="AC3812" s="3" t="s">
        <v>3884</v>
      </c>
      <c r="AF3812" s="2">
        <v>25</v>
      </c>
      <c r="AG3812" s="2">
        <v>1</v>
      </c>
      <c r="AH3812" s="3" t="s">
        <v>3873</v>
      </c>
      <c r="AI3812" s="4">
        <v>45420</v>
      </c>
      <c r="AJ3812" s="3" t="s">
        <v>3979</v>
      </c>
      <c r="AK3812" s="3" t="s">
        <v>3879</v>
      </c>
    </row>
    <row r="3813" spans="1:37" hidden="1" x14ac:dyDescent="0.25">
      <c r="A3813" t="str">
        <f t="shared" si="59"/>
        <v>2024_NSW_Greenethorpe_Mixed_NFixTOS1VarietyBatemanWaterTrtRainFedAgronomy350kgN</v>
      </c>
      <c r="B3813" s="2">
        <v>2024041</v>
      </c>
      <c r="C3813" s="3" t="s">
        <v>3870</v>
      </c>
      <c r="D3813" s="3" t="s">
        <v>37</v>
      </c>
      <c r="E3813" s="3" t="s">
        <v>1931</v>
      </c>
      <c r="F3813" s="3" t="s">
        <v>4195</v>
      </c>
      <c r="G3813" s="3" t="s">
        <v>43</v>
      </c>
      <c r="H3813" s="3" t="s">
        <v>253</v>
      </c>
      <c r="I3813" s="2">
        <v>102</v>
      </c>
      <c r="J3813" s="2">
        <v>102</v>
      </c>
      <c r="K3813" s="2">
        <v>2</v>
      </c>
      <c r="L3813" s="2">
        <v>4</v>
      </c>
      <c r="M3813" s="2">
        <v>13</v>
      </c>
      <c r="N3813" s="2">
        <v>8</v>
      </c>
      <c r="P3813" s="2">
        <v>26</v>
      </c>
      <c r="Q3813" s="2">
        <v>52</v>
      </c>
      <c r="S3813" s="3" t="s">
        <v>3875</v>
      </c>
      <c r="T3813" s="2">
        <v>2</v>
      </c>
      <c r="W3813" s="2">
        <v>2</v>
      </c>
      <c r="X3813" s="2">
        <v>8</v>
      </c>
      <c r="Y3813" s="2">
        <v>350</v>
      </c>
      <c r="Z3813" s="2">
        <v>127</v>
      </c>
      <c r="AA3813" s="3" t="s">
        <v>40</v>
      </c>
      <c r="AB3813" s="2">
        <v>7</v>
      </c>
      <c r="AC3813" s="3" t="s">
        <v>3884</v>
      </c>
      <c r="AF3813" s="2">
        <v>25</v>
      </c>
      <c r="AG3813" s="2">
        <v>1</v>
      </c>
      <c r="AH3813" s="3" t="s">
        <v>3873</v>
      </c>
      <c r="AI3813" s="4">
        <v>45420</v>
      </c>
      <c r="AJ3813" s="3" t="s">
        <v>3980</v>
      </c>
      <c r="AK3813" s="3" t="s">
        <v>1931</v>
      </c>
    </row>
    <row r="3814" spans="1:37" hidden="1" x14ac:dyDescent="0.25">
      <c r="A3814" t="str">
        <f t="shared" si="59"/>
        <v>2024_NSW_Greenethorpe_Mixed_NFixTOS1VarietyBatemanWaterTrtRainFedAgronomy350kgN</v>
      </c>
      <c r="B3814" s="2">
        <v>2024041</v>
      </c>
      <c r="C3814" s="3" t="s">
        <v>3870</v>
      </c>
      <c r="D3814" s="3" t="s">
        <v>37</v>
      </c>
      <c r="E3814" s="3" t="s">
        <v>1931</v>
      </c>
      <c r="F3814" s="3" t="s">
        <v>4195</v>
      </c>
      <c r="G3814" s="3" t="s">
        <v>43</v>
      </c>
      <c r="H3814" s="3" t="s">
        <v>253</v>
      </c>
      <c r="I3814" s="2">
        <v>103</v>
      </c>
      <c r="J3814" s="2">
        <v>103</v>
      </c>
      <c r="K3814" s="2">
        <v>2</v>
      </c>
      <c r="L3814" s="2">
        <v>4</v>
      </c>
      <c r="M3814" s="2">
        <v>13</v>
      </c>
      <c r="N3814" s="2">
        <v>8</v>
      </c>
      <c r="P3814" s="2">
        <v>26</v>
      </c>
      <c r="Q3814" s="2">
        <v>52</v>
      </c>
      <c r="S3814" s="3" t="s">
        <v>3875</v>
      </c>
      <c r="T3814" s="2">
        <v>2</v>
      </c>
      <c r="W3814" s="2">
        <v>3</v>
      </c>
      <c r="X3814" s="2">
        <v>8</v>
      </c>
      <c r="Y3814" s="2">
        <v>350</v>
      </c>
      <c r="Z3814" s="2">
        <v>126</v>
      </c>
      <c r="AA3814" s="3" t="s">
        <v>40</v>
      </c>
      <c r="AB3814" s="2">
        <v>7</v>
      </c>
      <c r="AC3814" s="3" t="s">
        <v>3884</v>
      </c>
      <c r="AF3814" s="2">
        <v>25</v>
      </c>
      <c r="AG3814" s="2">
        <v>1</v>
      </c>
      <c r="AH3814" s="3" t="s">
        <v>3873</v>
      </c>
      <c r="AI3814" s="4">
        <v>45420</v>
      </c>
      <c r="AJ3814" s="3" t="s">
        <v>3981</v>
      </c>
      <c r="AK3814" s="3" t="s">
        <v>1931</v>
      </c>
    </row>
    <row r="3815" spans="1:37" hidden="1" x14ac:dyDescent="0.25">
      <c r="A3815" t="str">
        <f t="shared" si="59"/>
        <v>2024_NSW_Greenethorpe_Mixed_NFixTOS1VarietyBatemanWaterTrtRainFedAgronomy350kgN</v>
      </c>
      <c r="B3815" s="2">
        <v>2024041</v>
      </c>
      <c r="C3815" s="3" t="s">
        <v>3870</v>
      </c>
      <c r="D3815" s="3" t="s">
        <v>37</v>
      </c>
      <c r="E3815" s="3" t="s">
        <v>1931</v>
      </c>
      <c r="F3815" s="3" t="s">
        <v>4195</v>
      </c>
      <c r="G3815" s="3" t="s">
        <v>43</v>
      </c>
      <c r="H3815" s="3" t="s">
        <v>253</v>
      </c>
      <c r="I3815" s="2">
        <v>104</v>
      </c>
      <c r="J3815" s="2">
        <v>104</v>
      </c>
      <c r="K3815" s="2">
        <v>2</v>
      </c>
      <c r="L3815" s="2">
        <v>4</v>
      </c>
      <c r="M3815" s="2">
        <v>13</v>
      </c>
      <c r="N3815" s="2">
        <v>8</v>
      </c>
      <c r="P3815" s="2">
        <v>26</v>
      </c>
      <c r="Q3815" s="2">
        <v>51</v>
      </c>
      <c r="S3815" s="3" t="s">
        <v>3871</v>
      </c>
      <c r="T3815" s="2">
        <v>1</v>
      </c>
      <c r="W3815" s="2">
        <v>4</v>
      </c>
      <c r="X3815" s="2">
        <v>8</v>
      </c>
      <c r="Y3815" s="2">
        <v>350</v>
      </c>
      <c r="Z3815" s="2">
        <v>125</v>
      </c>
      <c r="AA3815" s="3" t="s">
        <v>40</v>
      </c>
      <c r="AB3815" s="2">
        <v>7</v>
      </c>
      <c r="AC3815" s="3" t="s">
        <v>3884</v>
      </c>
      <c r="AF3815" s="2">
        <v>25</v>
      </c>
      <c r="AG3815" s="2">
        <v>1</v>
      </c>
      <c r="AH3815" s="3" t="s">
        <v>3873</v>
      </c>
      <c r="AI3815" s="4">
        <v>45420</v>
      </c>
      <c r="AJ3815" s="3" t="s">
        <v>3982</v>
      </c>
      <c r="AK3815" s="3" t="s">
        <v>1931</v>
      </c>
    </row>
    <row r="3816" spans="1:37" hidden="1" x14ac:dyDescent="0.25">
      <c r="A3816" t="str">
        <f t="shared" si="59"/>
        <v>2024_NSW_Greenethorpe_Mixed_NFixTOS1VarietyNasmaWaterTrtRainFedAgronomy175kgN</v>
      </c>
      <c r="B3816" s="2">
        <v>2024041</v>
      </c>
      <c r="C3816" s="3" t="s">
        <v>3870</v>
      </c>
      <c r="D3816" s="3" t="s">
        <v>37</v>
      </c>
      <c r="E3816" s="3" t="s">
        <v>645</v>
      </c>
      <c r="F3816" s="3" t="s">
        <v>4186</v>
      </c>
      <c r="G3816" s="3" t="s">
        <v>43</v>
      </c>
      <c r="H3816" s="3" t="s">
        <v>253</v>
      </c>
      <c r="I3816" s="2">
        <v>105</v>
      </c>
      <c r="J3816" s="2">
        <v>105</v>
      </c>
      <c r="K3816" s="2">
        <v>2</v>
      </c>
      <c r="L3816" s="2">
        <v>4</v>
      </c>
      <c r="M3816" s="2">
        <v>14</v>
      </c>
      <c r="N3816" s="2">
        <v>7</v>
      </c>
      <c r="P3816" s="2">
        <v>27</v>
      </c>
      <c r="Q3816" s="2">
        <v>53</v>
      </c>
      <c r="S3816" s="3" t="s">
        <v>3871</v>
      </c>
      <c r="T3816" s="2">
        <v>1</v>
      </c>
      <c r="W3816" s="2">
        <v>5</v>
      </c>
      <c r="X3816" s="2">
        <v>7</v>
      </c>
      <c r="Y3816" s="2">
        <v>175</v>
      </c>
      <c r="Z3816" s="2">
        <v>101</v>
      </c>
      <c r="AA3816" s="3" t="s">
        <v>40</v>
      </c>
      <c r="AB3816" s="2">
        <v>5</v>
      </c>
      <c r="AC3816" s="3" t="s">
        <v>3902</v>
      </c>
      <c r="AF3816" s="2">
        <v>25</v>
      </c>
      <c r="AG3816" s="2">
        <v>1</v>
      </c>
      <c r="AH3816" s="3" t="s">
        <v>3873</v>
      </c>
      <c r="AI3816" s="4">
        <v>45420</v>
      </c>
      <c r="AJ3816" s="3" t="s">
        <v>3983</v>
      </c>
      <c r="AK3816" s="3" t="s">
        <v>645</v>
      </c>
    </row>
    <row r="3817" spans="1:37" hidden="1" x14ac:dyDescent="0.25">
      <c r="A3817" t="str">
        <f t="shared" si="59"/>
        <v>2024_NSW_Greenethorpe_Mixed_NFixTOS1VarietySamiraWaterTrtRainFedAgronomy175kgN</v>
      </c>
      <c r="B3817" s="2">
        <v>2024041</v>
      </c>
      <c r="C3817" s="3" t="s">
        <v>3870</v>
      </c>
      <c r="D3817" s="3" t="s">
        <v>37</v>
      </c>
      <c r="E3817" s="3" t="s">
        <v>645</v>
      </c>
      <c r="F3817" s="3" t="s">
        <v>4183</v>
      </c>
      <c r="G3817" s="3" t="s">
        <v>43</v>
      </c>
      <c r="H3817" s="3" t="s">
        <v>253</v>
      </c>
      <c r="I3817" s="2">
        <v>106</v>
      </c>
      <c r="J3817" s="2">
        <v>106</v>
      </c>
      <c r="K3817" s="2">
        <v>2</v>
      </c>
      <c r="L3817" s="2">
        <v>4</v>
      </c>
      <c r="M3817" s="2">
        <v>14</v>
      </c>
      <c r="N3817" s="2">
        <v>7</v>
      </c>
      <c r="P3817" s="2">
        <v>27</v>
      </c>
      <c r="Q3817" s="2">
        <v>54</v>
      </c>
      <c r="S3817" s="3" t="s">
        <v>3875</v>
      </c>
      <c r="T3817" s="2">
        <v>2</v>
      </c>
      <c r="W3817" s="2">
        <v>6</v>
      </c>
      <c r="X3817" s="2">
        <v>7</v>
      </c>
      <c r="Y3817" s="2">
        <v>175</v>
      </c>
      <c r="Z3817" s="2">
        <v>102</v>
      </c>
      <c r="AA3817" s="3" t="s">
        <v>40</v>
      </c>
      <c r="AB3817" s="2">
        <v>6</v>
      </c>
      <c r="AC3817" s="3" t="s">
        <v>3902</v>
      </c>
      <c r="AF3817" s="2">
        <v>25</v>
      </c>
      <c r="AG3817" s="2">
        <v>1</v>
      </c>
      <c r="AH3817" s="3" t="s">
        <v>3873</v>
      </c>
      <c r="AI3817" s="4">
        <v>45420</v>
      </c>
      <c r="AJ3817" s="3" t="s">
        <v>3984</v>
      </c>
      <c r="AK3817" s="3" t="s">
        <v>645</v>
      </c>
    </row>
    <row r="3818" spans="1:37" hidden="1" x14ac:dyDescent="0.25">
      <c r="A3818" t="str">
        <f t="shared" si="59"/>
        <v>2024_NSW_Greenethorpe_Mixed_NFixTOS1VarietyNasmaWaterTrtRainFedAgronomy175kgN</v>
      </c>
      <c r="B3818" s="2">
        <v>2024041</v>
      </c>
      <c r="C3818" s="3" t="s">
        <v>3870</v>
      </c>
      <c r="D3818" s="3" t="s">
        <v>37</v>
      </c>
      <c r="E3818" s="3" t="s">
        <v>645</v>
      </c>
      <c r="F3818" s="3" t="s">
        <v>4186</v>
      </c>
      <c r="G3818" s="3" t="s">
        <v>43</v>
      </c>
      <c r="H3818" s="3" t="s">
        <v>253</v>
      </c>
      <c r="I3818" s="2">
        <v>107</v>
      </c>
      <c r="J3818" s="2">
        <v>107</v>
      </c>
      <c r="K3818" s="2">
        <v>2</v>
      </c>
      <c r="L3818" s="2">
        <v>4</v>
      </c>
      <c r="M3818" s="2">
        <v>14</v>
      </c>
      <c r="N3818" s="2">
        <v>7</v>
      </c>
      <c r="P3818" s="2">
        <v>27</v>
      </c>
      <c r="Q3818" s="2">
        <v>54</v>
      </c>
      <c r="S3818" s="3" t="s">
        <v>3875</v>
      </c>
      <c r="T3818" s="2">
        <v>2</v>
      </c>
      <c r="W3818" s="2">
        <v>7</v>
      </c>
      <c r="X3818" s="2">
        <v>7</v>
      </c>
      <c r="Y3818" s="2">
        <v>175</v>
      </c>
      <c r="Z3818" s="2">
        <v>103</v>
      </c>
      <c r="AA3818" s="3" t="s">
        <v>40</v>
      </c>
      <c r="AB3818" s="2">
        <v>5</v>
      </c>
      <c r="AC3818" s="3" t="s">
        <v>3902</v>
      </c>
      <c r="AF3818" s="2">
        <v>25</v>
      </c>
      <c r="AG3818" s="2">
        <v>1</v>
      </c>
      <c r="AH3818" s="3" t="s">
        <v>3873</v>
      </c>
      <c r="AI3818" s="4">
        <v>45420</v>
      </c>
      <c r="AJ3818" s="3" t="s">
        <v>3985</v>
      </c>
      <c r="AK3818" s="3" t="s">
        <v>645</v>
      </c>
    </row>
    <row r="3819" spans="1:37" hidden="1" x14ac:dyDescent="0.25">
      <c r="A3819" t="str">
        <f t="shared" si="59"/>
        <v>2024_NSW_Greenethorpe_Mixed_NFixTOS1VarietySamiraWaterTrtRainFedAgronomy175kgN</v>
      </c>
      <c r="B3819" s="2">
        <v>2024041</v>
      </c>
      <c r="C3819" s="3" t="s">
        <v>3870</v>
      </c>
      <c r="D3819" s="3" t="s">
        <v>37</v>
      </c>
      <c r="E3819" s="3" t="s">
        <v>645</v>
      </c>
      <c r="F3819" s="3" t="s">
        <v>4183</v>
      </c>
      <c r="G3819" s="3" t="s">
        <v>43</v>
      </c>
      <c r="H3819" s="3" t="s">
        <v>253</v>
      </c>
      <c r="I3819" s="2">
        <v>108</v>
      </c>
      <c r="J3819" s="2">
        <v>108</v>
      </c>
      <c r="K3819" s="2">
        <v>2</v>
      </c>
      <c r="L3819" s="2">
        <v>4</v>
      </c>
      <c r="M3819" s="2">
        <v>14</v>
      </c>
      <c r="N3819" s="2">
        <v>7</v>
      </c>
      <c r="P3819" s="2">
        <v>27</v>
      </c>
      <c r="Q3819" s="2">
        <v>53</v>
      </c>
      <c r="S3819" s="3" t="s">
        <v>3871</v>
      </c>
      <c r="T3819" s="2">
        <v>1</v>
      </c>
      <c r="W3819" s="2">
        <v>8</v>
      </c>
      <c r="X3819" s="2">
        <v>7</v>
      </c>
      <c r="Y3819" s="2">
        <v>175</v>
      </c>
      <c r="Z3819" s="2">
        <v>104</v>
      </c>
      <c r="AA3819" s="3" t="s">
        <v>40</v>
      </c>
      <c r="AB3819" s="2">
        <v>6</v>
      </c>
      <c r="AC3819" s="3" t="s">
        <v>3902</v>
      </c>
      <c r="AF3819" s="2">
        <v>25</v>
      </c>
      <c r="AG3819" s="2">
        <v>1</v>
      </c>
      <c r="AH3819" s="3" t="s">
        <v>3873</v>
      </c>
      <c r="AI3819" s="4">
        <v>45420</v>
      </c>
      <c r="AJ3819" s="3" t="s">
        <v>3986</v>
      </c>
      <c r="AK3819" s="3" t="s">
        <v>645</v>
      </c>
    </row>
    <row r="3820" spans="1:37" hidden="1" x14ac:dyDescent="0.25">
      <c r="A3820" t="str">
        <f t="shared" si="59"/>
        <v>2024_NSW_Greenethorpe_Mixed_NFixTOS1VarietyCBA_CaptainWaterTrtRainFedAgronomy175kgN</v>
      </c>
      <c r="B3820" s="2">
        <v>2024041</v>
      </c>
      <c r="C3820" s="3" t="s">
        <v>3870</v>
      </c>
      <c r="D3820" s="3" t="s">
        <v>37</v>
      </c>
      <c r="E3820" s="3" t="s">
        <v>248</v>
      </c>
      <c r="F3820" s="3" t="s">
        <v>249</v>
      </c>
      <c r="G3820" s="3" t="s">
        <v>43</v>
      </c>
      <c r="H3820" s="3" t="s">
        <v>253</v>
      </c>
      <c r="I3820" s="2">
        <v>109</v>
      </c>
      <c r="J3820" s="2">
        <v>109</v>
      </c>
      <c r="K3820" s="2">
        <v>2</v>
      </c>
      <c r="L3820" s="2">
        <v>4</v>
      </c>
      <c r="M3820" s="2">
        <v>14</v>
      </c>
      <c r="N3820" s="2">
        <v>8</v>
      </c>
      <c r="P3820" s="2">
        <v>28</v>
      </c>
      <c r="Q3820" s="2">
        <v>55</v>
      </c>
      <c r="S3820" s="3" t="s">
        <v>3871</v>
      </c>
      <c r="T3820" s="2">
        <v>1</v>
      </c>
      <c r="W3820" s="2">
        <v>5</v>
      </c>
      <c r="X3820" s="2">
        <v>8</v>
      </c>
      <c r="Y3820" s="2">
        <v>175</v>
      </c>
      <c r="Z3820" s="2">
        <v>124</v>
      </c>
      <c r="AA3820" s="3" t="s">
        <v>40</v>
      </c>
      <c r="AB3820" s="2">
        <v>1</v>
      </c>
      <c r="AC3820" s="3" t="s">
        <v>3902</v>
      </c>
      <c r="AF3820" s="2">
        <v>25</v>
      </c>
      <c r="AG3820" s="2">
        <v>1</v>
      </c>
      <c r="AH3820" s="3" t="s">
        <v>3873</v>
      </c>
      <c r="AI3820" s="4">
        <v>45420</v>
      </c>
      <c r="AJ3820" s="3" t="s">
        <v>3987</v>
      </c>
      <c r="AK3820" s="3" t="s">
        <v>248</v>
      </c>
    </row>
    <row r="3821" spans="1:37" hidden="1" x14ac:dyDescent="0.25">
      <c r="A3821" t="str">
        <f t="shared" si="59"/>
        <v>2024_NSW_Greenethorpe_Mixed_NFixTOS1VarietyStrikerWaterTrtRainFedAgronomy175kgN</v>
      </c>
      <c r="B3821" s="2">
        <v>2024041</v>
      </c>
      <c r="C3821" s="3" t="s">
        <v>3870</v>
      </c>
      <c r="D3821" s="3" t="s">
        <v>37</v>
      </c>
      <c r="E3821" s="3" t="s">
        <v>248</v>
      </c>
      <c r="F3821" s="3" t="s">
        <v>4179</v>
      </c>
      <c r="G3821" s="3" t="s">
        <v>43</v>
      </c>
      <c r="H3821" s="3" t="s">
        <v>253</v>
      </c>
      <c r="I3821" s="2">
        <v>110</v>
      </c>
      <c r="J3821" s="2">
        <v>110</v>
      </c>
      <c r="K3821" s="2">
        <v>2</v>
      </c>
      <c r="L3821" s="2">
        <v>4</v>
      </c>
      <c r="M3821" s="2">
        <v>14</v>
      </c>
      <c r="N3821" s="2">
        <v>8</v>
      </c>
      <c r="P3821" s="2">
        <v>28</v>
      </c>
      <c r="Q3821" s="2">
        <v>56</v>
      </c>
      <c r="S3821" s="3" t="s">
        <v>3875</v>
      </c>
      <c r="T3821" s="2">
        <v>2</v>
      </c>
      <c r="W3821" s="2">
        <v>6</v>
      </c>
      <c r="X3821" s="2">
        <v>8</v>
      </c>
      <c r="Y3821" s="2">
        <v>175</v>
      </c>
      <c r="Z3821" s="2">
        <v>123</v>
      </c>
      <c r="AA3821" s="3" t="s">
        <v>40</v>
      </c>
      <c r="AB3821" s="2">
        <v>2</v>
      </c>
      <c r="AC3821" s="3" t="s">
        <v>3902</v>
      </c>
      <c r="AF3821" s="2">
        <v>25</v>
      </c>
      <c r="AG3821" s="2">
        <v>1</v>
      </c>
      <c r="AH3821" s="3" t="s">
        <v>3873</v>
      </c>
      <c r="AI3821" s="4">
        <v>45420</v>
      </c>
      <c r="AJ3821" s="3" t="s">
        <v>3988</v>
      </c>
      <c r="AK3821" s="3" t="s">
        <v>248</v>
      </c>
    </row>
    <row r="3822" spans="1:37" hidden="1" x14ac:dyDescent="0.25">
      <c r="A3822" t="str">
        <f t="shared" si="59"/>
        <v>2024_NSW_Greenethorpe_Mixed_NFixTOS1VarietyCBA_CaptainWaterTrtRainFedAgronomy175kgN</v>
      </c>
      <c r="B3822" s="2">
        <v>2024041</v>
      </c>
      <c r="C3822" s="3" t="s">
        <v>3870</v>
      </c>
      <c r="D3822" s="3" t="s">
        <v>37</v>
      </c>
      <c r="E3822" s="3" t="s">
        <v>248</v>
      </c>
      <c r="F3822" s="3" t="s">
        <v>249</v>
      </c>
      <c r="G3822" s="3" t="s">
        <v>43</v>
      </c>
      <c r="H3822" s="3" t="s">
        <v>253</v>
      </c>
      <c r="I3822" s="2">
        <v>111</v>
      </c>
      <c r="J3822" s="2">
        <v>111</v>
      </c>
      <c r="K3822" s="2">
        <v>2</v>
      </c>
      <c r="L3822" s="2">
        <v>4</v>
      </c>
      <c r="M3822" s="2">
        <v>14</v>
      </c>
      <c r="N3822" s="2">
        <v>8</v>
      </c>
      <c r="P3822" s="2">
        <v>28</v>
      </c>
      <c r="Q3822" s="2">
        <v>56</v>
      </c>
      <c r="S3822" s="3" t="s">
        <v>3875</v>
      </c>
      <c r="T3822" s="2">
        <v>2</v>
      </c>
      <c r="W3822" s="2">
        <v>7</v>
      </c>
      <c r="X3822" s="2">
        <v>8</v>
      </c>
      <c r="Y3822" s="2">
        <v>175</v>
      </c>
      <c r="Z3822" s="2">
        <v>122</v>
      </c>
      <c r="AA3822" s="3" t="s">
        <v>40</v>
      </c>
      <c r="AB3822" s="2">
        <v>1</v>
      </c>
      <c r="AC3822" s="3" t="s">
        <v>3902</v>
      </c>
      <c r="AF3822" s="2">
        <v>25</v>
      </c>
      <c r="AG3822" s="2">
        <v>1</v>
      </c>
      <c r="AH3822" s="3" t="s">
        <v>3873</v>
      </c>
      <c r="AI3822" s="4">
        <v>45420</v>
      </c>
      <c r="AJ3822" s="3" t="s">
        <v>3989</v>
      </c>
      <c r="AK3822" s="3" t="s">
        <v>248</v>
      </c>
    </row>
    <row r="3823" spans="1:37" hidden="1" x14ac:dyDescent="0.25">
      <c r="A3823" t="str">
        <f t="shared" si="59"/>
        <v>2024_NSW_Greenethorpe_Mixed_NFixTOS1VarietyStrikerWaterTrtRainFedAgronomy175kgN</v>
      </c>
      <c r="B3823" s="2">
        <v>2024041</v>
      </c>
      <c r="C3823" s="3" t="s">
        <v>3870</v>
      </c>
      <c r="D3823" s="3" t="s">
        <v>37</v>
      </c>
      <c r="E3823" s="3" t="s">
        <v>248</v>
      </c>
      <c r="F3823" s="3" t="s">
        <v>4179</v>
      </c>
      <c r="G3823" s="3" t="s">
        <v>43</v>
      </c>
      <c r="H3823" s="3" t="s">
        <v>253</v>
      </c>
      <c r="I3823" s="2">
        <v>112</v>
      </c>
      <c r="J3823" s="2">
        <v>112</v>
      </c>
      <c r="K3823" s="2">
        <v>2</v>
      </c>
      <c r="L3823" s="2">
        <v>4</v>
      </c>
      <c r="M3823" s="2">
        <v>14</v>
      </c>
      <c r="N3823" s="2">
        <v>8</v>
      </c>
      <c r="P3823" s="2">
        <v>28</v>
      </c>
      <c r="Q3823" s="2">
        <v>55</v>
      </c>
      <c r="S3823" s="3" t="s">
        <v>3871</v>
      </c>
      <c r="T3823" s="2">
        <v>1</v>
      </c>
      <c r="W3823" s="2">
        <v>8</v>
      </c>
      <c r="X3823" s="2">
        <v>8</v>
      </c>
      <c r="Y3823" s="2">
        <v>175</v>
      </c>
      <c r="Z3823" s="2">
        <v>121</v>
      </c>
      <c r="AA3823" s="3" t="s">
        <v>40</v>
      </c>
      <c r="AB3823" s="2">
        <v>2</v>
      </c>
      <c r="AC3823" s="3" t="s">
        <v>3902</v>
      </c>
      <c r="AF3823" s="2">
        <v>25</v>
      </c>
      <c r="AG3823" s="2">
        <v>1</v>
      </c>
      <c r="AH3823" s="3" t="s">
        <v>3873</v>
      </c>
      <c r="AI3823" s="4">
        <v>45420</v>
      </c>
      <c r="AJ3823" s="3" t="s">
        <v>3990</v>
      </c>
      <c r="AK3823" s="3" t="s">
        <v>248</v>
      </c>
    </row>
    <row r="3824" spans="1:37" hidden="1" x14ac:dyDescent="0.25">
      <c r="A3824" t="str">
        <f t="shared" si="59"/>
        <v>2024_NSW_Greenethorpe_Mixed_NFixTOS1VarietyBatemanWaterTrtRainFedAgronomy50kgN</v>
      </c>
      <c r="B3824" s="2">
        <v>2024041</v>
      </c>
      <c r="C3824" s="3" t="s">
        <v>3870</v>
      </c>
      <c r="D3824" s="3" t="s">
        <v>37</v>
      </c>
      <c r="E3824" s="3" t="s">
        <v>1931</v>
      </c>
      <c r="F3824" s="3" t="s">
        <v>4195</v>
      </c>
      <c r="G3824" s="3" t="s">
        <v>43</v>
      </c>
      <c r="H3824" s="3" t="s">
        <v>253</v>
      </c>
      <c r="I3824" s="2">
        <v>113</v>
      </c>
      <c r="J3824" s="2">
        <v>113</v>
      </c>
      <c r="K3824" s="2">
        <v>2</v>
      </c>
      <c r="L3824" s="2">
        <v>4</v>
      </c>
      <c r="M3824" s="2">
        <v>15</v>
      </c>
      <c r="N3824" s="2">
        <v>7</v>
      </c>
      <c r="P3824" s="2">
        <v>29</v>
      </c>
      <c r="Q3824" s="2">
        <v>57</v>
      </c>
      <c r="S3824" s="3" t="s">
        <v>3871</v>
      </c>
      <c r="T3824" s="2">
        <v>1</v>
      </c>
      <c r="W3824" s="2">
        <v>9</v>
      </c>
      <c r="X3824" s="2">
        <v>7</v>
      </c>
      <c r="Y3824" s="2">
        <v>50</v>
      </c>
      <c r="Z3824" s="2">
        <v>105</v>
      </c>
      <c r="AA3824" s="3" t="s">
        <v>40</v>
      </c>
      <c r="AB3824" s="2">
        <v>7</v>
      </c>
      <c r="AC3824" s="3" t="s">
        <v>3893</v>
      </c>
      <c r="AF3824" s="2">
        <v>25</v>
      </c>
      <c r="AG3824" s="2">
        <v>1</v>
      </c>
      <c r="AH3824" s="3" t="s">
        <v>3873</v>
      </c>
      <c r="AI3824" s="4">
        <v>45420</v>
      </c>
      <c r="AJ3824" s="3" t="s">
        <v>3991</v>
      </c>
      <c r="AK3824" s="3" t="s">
        <v>1931</v>
      </c>
    </row>
    <row r="3825" spans="1:37" hidden="1" x14ac:dyDescent="0.25">
      <c r="A3825" t="str">
        <f t="shared" si="59"/>
        <v>2024_NSW_Greenethorpe_Mixed_NFixTOS1VarietyBatemanWaterTrtRainFedAgronomy50kgN</v>
      </c>
      <c r="B3825" s="2">
        <v>2024041</v>
      </c>
      <c r="C3825" s="3" t="s">
        <v>3870</v>
      </c>
      <c r="D3825" s="3" t="s">
        <v>37</v>
      </c>
      <c r="E3825" s="3" t="s">
        <v>1931</v>
      </c>
      <c r="F3825" s="3" t="s">
        <v>4195</v>
      </c>
      <c r="G3825" s="3" t="s">
        <v>43</v>
      </c>
      <c r="H3825" s="3" t="s">
        <v>253</v>
      </c>
      <c r="I3825" s="2">
        <v>114</v>
      </c>
      <c r="J3825" s="2">
        <v>114</v>
      </c>
      <c r="K3825" s="2">
        <v>2</v>
      </c>
      <c r="L3825" s="2">
        <v>4</v>
      </c>
      <c r="M3825" s="2">
        <v>15</v>
      </c>
      <c r="N3825" s="2">
        <v>7</v>
      </c>
      <c r="P3825" s="2">
        <v>29</v>
      </c>
      <c r="Q3825" s="2">
        <v>58</v>
      </c>
      <c r="S3825" s="3" t="s">
        <v>3875</v>
      </c>
      <c r="T3825" s="2">
        <v>2</v>
      </c>
      <c r="W3825" s="2">
        <v>10</v>
      </c>
      <c r="X3825" s="2">
        <v>7</v>
      </c>
      <c r="Y3825" s="2">
        <v>50</v>
      </c>
      <c r="Z3825" s="2">
        <v>106</v>
      </c>
      <c r="AA3825" s="3" t="s">
        <v>40</v>
      </c>
      <c r="AB3825" s="2">
        <v>7</v>
      </c>
      <c r="AC3825" s="3" t="s">
        <v>3893</v>
      </c>
      <c r="AF3825" s="2">
        <v>25</v>
      </c>
      <c r="AG3825" s="2">
        <v>1</v>
      </c>
      <c r="AH3825" s="3" t="s">
        <v>3873</v>
      </c>
      <c r="AI3825" s="4">
        <v>45420</v>
      </c>
      <c r="AJ3825" s="3" t="s">
        <v>3992</v>
      </c>
      <c r="AK3825" s="3" t="s">
        <v>1931</v>
      </c>
    </row>
    <row r="3826" spans="1:37" hidden="1" x14ac:dyDescent="0.25">
      <c r="A3826" t="str">
        <f t="shared" si="59"/>
        <v>2024_NSW_Greenethorpe_Mixed_NFixTOS1VarietyBatemanWaterTrtRainFedAgronomy50kgN</v>
      </c>
      <c r="B3826" s="2">
        <v>2024041</v>
      </c>
      <c r="C3826" s="3" t="s">
        <v>3870</v>
      </c>
      <c r="D3826" s="3" t="s">
        <v>37</v>
      </c>
      <c r="E3826" s="3" t="s">
        <v>1931</v>
      </c>
      <c r="F3826" s="3" t="s">
        <v>4195</v>
      </c>
      <c r="G3826" s="3" t="s">
        <v>43</v>
      </c>
      <c r="H3826" s="3" t="s">
        <v>253</v>
      </c>
      <c r="I3826" s="2">
        <v>115</v>
      </c>
      <c r="J3826" s="2">
        <v>115</v>
      </c>
      <c r="K3826" s="2">
        <v>2</v>
      </c>
      <c r="L3826" s="2">
        <v>4</v>
      </c>
      <c r="M3826" s="2">
        <v>15</v>
      </c>
      <c r="N3826" s="2">
        <v>7</v>
      </c>
      <c r="P3826" s="2">
        <v>29</v>
      </c>
      <c r="Q3826" s="2">
        <v>58</v>
      </c>
      <c r="S3826" s="3" t="s">
        <v>3875</v>
      </c>
      <c r="T3826" s="2">
        <v>2</v>
      </c>
      <c r="W3826" s="2">
        <v>11</v>
      </c>
      <c r="X3826" s="2">
        <v>7</v>
      </c>
      <c r="Y3826" s="2">
        <v>50</v>
      </c>
      <c r="Z3826" s="2">
        <v>107</v>
      </c>
      <c r="AA3826" s="3" t="s">
        <v>40</v>
      </c>
      <c r="AB3826" s="2">
        <v>7</v>
      </c>
      <c r="AC3826" s="3" t="s">
        <v>3893</v>
      </c>
      <c r="AF3826" s="2">
        <v>25</v>
      </c>
      <c r="AG3826" s="2">
        <v>1</v>
      </c>
      <c r="AH3826" s="3" t="s">
        <v>3873</v>
      </c>
      <c r="AI3826" s="4">
        <v>45420</v>
      </c>
      <c r="AJ3826" s="3" t="s">
        <v>3993</v>
      </c>
      <c r="AK3826" s="3" t="s">
        <v>1931</v>
      </c>
    </row>
    <row r="3827" spans="1:37" hidden="1" x14ac:dyDescent="0.25">
      <c r="A3827" t="str">
        <f t="shared" si="59"/>
        <v>2024_NSW_Greenethorpe_Mixed_NFixTOS1VarietyCanolaWaterTrtRainFedAgronomy50kgN</v>
      </c>
      <c r="B3827" s="2">
        <v>2024041</v>
      </c>
      <c r="C3827" s="3" t="s">
        <v>3870</v>
      </c>
      <c r="D3827" s="3" t="s">
        <v>37</v>
      </c>
      <c r="E3827" s="3" t="s">
        <v>3879</v>
      </c>
      <c r="F3827" s="3" t="s">
        <v>3879</v>
      </c>
      <c r="G3827" s="3" t="s">
        <v>39</v>
      </c>
      <c r="H3827" s="3" t="s">
        <v>253</v>
      </c>
      <c r="I3827" s="2">
        <v>116</v>
      </c>
      <c r="J3827" s="2">
        <v>116</v>
      </c>
      <c r="K3827" s="2">
        <v>2</v>
      </c>
      <c r="L3827" s="2">
        <v>4</v>
      </c>
      <c r="M3827" s="2">
        <v>15</v>
      </c>
      <c r="N3827" s="2">
        <v>7</v>
      </c>
      <c r="P3827" s="2">
        <v>29</v>
      </c>
      <c r="Q3827" s="2">
        <v>57</v>
      </c>
      <c r="S3827" s="3" t="s">
        <v>3871</v>
      </c>
      <c r="T3827" s="2">
        <v>1</v>
      </c>
      <c r="W3827" s="2">
        <v>12</v>
      </c>
      <c r="X3827" s="2">
        <v>7</v>
      </c>
      <c r="Y3827" s="2">
        <v>50</v>
      </c>
      <c r="Z3827" s="2">
        <v>108</v>
      </c>
      <c r="AA3827" s="3" t="s">
        <v>40</v>
      </c>
      <c r="AB3827" s="2">
        <v>8</v>
      </c>
      <c r="AC3827" s="3" t="s">
        <v>3893</v>
      </c>
      <c r="AF3827" s="2">
        <v>25</v>
      </c>
      <c r="AG3827" s="2">
        <v>1</v>
      </c>
      <c r="AH3827" s="3" t="s">
        <v>3873</v>
      </c>
      <c r="AI3827" s="4">
        <v>45420</v>
      </c>
      <c r="AJ3827" s="3" t="s">
        <v>3994</v>
      </c>
      <c r="AK3827" s="3" t="s">
        <v>3879</v>
      </c>
    </row>
    <row r="3828" spans="1:37" hidden="1" x14ac:dyDescent="0.25">
      <c r="A3828" t="str">
        <f t="shared" si="59"/>
        <v>2024_NSW_Greenethorpe_Mixed_NFixTOS1VarietyJumbo2WaterTrtRainFedAgronomy50kgN</v>
      </c>
      <c r="B3828" s="2">
        <v>2024041</v>
      </c>
      <c r="C3828" s="3" t="s">
        <v>3870</v>
      </c>
      <c r="D3828" s="3" t="s">
        <v>37</v>
      </c>
      <c r="E3828" s="3" t="s">
        <v>38</v>
      </c>
      <c r="F3828" s="3" t="s">
        <v>4176</v>
      </c>
      <c r="G3828" s="3" t="s">
        <v>43</v>
      </c>
      <c r="H3828" s="3" t="s">
        <v>253</v>
      </c>
      <c r="I3828" s="2">
        <v>117</v>
      </c>
      <c r="J3828" s="2">
        <v>117</v>
      </c>
      <c r="K3828" s="2">
        <v>2</v>
      </c>
      <c r="L3828" s="2">
        <v>4</v>
      </c>
      <c r="M3828" s="2">
        <v>15</v>
      </c>
      <c r="N3828" s="2">
        <v>8</v>
      </c>
      <c r="P3828" s="2">
        <v>30</v>
      </c>
      <c r="Q3828" s="2">
        <v>59</v>
      </c>
      <c r="S3828" s="3" t="s">
        <v>3871</v>
      </c>
      <c r="T3828" s="2">
        <v>1</v>
      </c>
      <c r="W3828" s="2">
        <v>9</v>
      </c>
      <c r="X3828" s="2">
        <v>8</v>
      </c>
      <c r="Y3828" s="2">
        <v>50</v>
      </c>
      <c r="Z3828" s="2">
        <v>120</v>
      </c>
      <c r="AA3828" s="3" t="s">
        <v>40</v>
      </c>
      <c r="AB3828" s="2">
        <v>3</v>
      </c>
      <c r="AC3828" s="3" t="s">
        <v>3893</v>
      </c>
      <c r="AF3828" s="2">
        <v>25</v>
      </c>
      <c r="AG3828" s="2">
        <v>1</v>
      </c>
      <c r="AH3828" s="3" t="s">
        <v>3873</v>
      </c>
      <c r="AI3828" s="4">
        <v>45420</v>
      </c>
      <c r="AJ3828" s="3" t="s">
        <v>3995</v>
      </c>
      <c r="AK3828" s="3" t="s">
        <v>38</v>
      </c>
    </row>
    <row r="3829" spans="1:37" hidden="1" x14ac:dyDescent="0.25">
      <c r="A3829" t="str">
        <f t="shared" si="59"/>
        <v>2024_NSW_Greenethorpe_Mixed_NFixTOS1VarietyJumbo2WaterTrtRainFedAgronomy50kgN</v>
      </c>
      <c r="B3829" s="2">
        <v>2024041</v>
      </c>
      <c r="C3829" s="3" t="s">
        <v>3870</v>
      </c>
      <c r="D3829" s="3" t="s">
        <v>37</v>
      </c>
      <c r="E3829" s="3" t="s">
        <v>38</v>
      </c>
      <c r="F3829" s="3" t="s">
        <v>4176</v>
      </c>
      <c r="G3829" s="3" t="s">
        <v>43</v>
      </c>
      <c r="H3829" s="3" t="s">
        <v>253</v>
      </c>
      <c r="I3829" s="2">
        <v>118</v>
      </c>
      <c r="J3829" s="2">
        <v>118</v>
      </c>
      <c r="K3829" s="2">
        <v>2</v>
      </c>
      <c r="L3829" s="2">
        <v>4</v>
      </c>
      <c r="M3829" s="2">
        <v>15</v>
      </c>
      <c r="N3829" s="2">
        <v>8</v>
      </c>
      <c r="P3829" s="2">
        <v>30</v>
      </c>
      <c r="Q3829" s="2">
        <v>60</v>
      </c>
      <c r="S3829" s="3" t="s">
        <v>3875</v>
      </c>
      <c r="T3829" s="2">
        <v>2</v>
      </c>
      <c r="W3829" s="2">
        <v>10</v>
      </c>
      <c r="X3829" s="2">
        <v>8</v>
      </c>
      <c r="Y3829" s="2">
        <v>50</v>
      </c>
      <c r="Z3829" s="2">
        <v>119</v>
      </c>
      <c r="AA3829" s="3" t="s">
        <v>40</v>
      </c>
      <c r="AB3829" s="2">
        <v>3</v>
      </c>
      <c r="AC3829" s="3" t="s">
        <v>3893</v>
      </c>
      <c r="AF3829" s="2">
        <v>25</v>
      </c>
      <c r="AG3829" s="2">
        <v>1</v>
      </c>
      <c r="AH3829" s="3" t="s">
        <v>3873</v>
      </c>
      <c r="AI3829" s="4">
        <v>45420</v>
      </c>
      <c r="AJ3829" s="3" t="s">
        <v>3996</v>
      </c>
      <c r="AK3829" s="3" t="s">
        <v>38</v>
      </c>
    </row>
    <row r="3830" spans="1:37" hidden="1" x14ac:dyDescent="0.25">
      <c r="A3830" t="str">
        <f t="shared" si="59"/>
        <v>2024_NSW_Greenethorpe_Mixed_NFixTOS1VarietyKelpieXTWaterTrtRainFedAgronomy50kgN</v>
      </c>
      <c r="B3830" s="2">
        <v>2024041</v>
      </c>
      <c r="C3830" s="3" t="s">
        <v>3870</v>
      </c>
      <c r="D3830" s="3" t="s">
        <v>37</v>
      </c>
      <c r="E3830" s="3" t="s">
        <v>38</v>
      </c>
      <c r="F3830" s="3" t="s">
        <v>4188</v>
      </c>
      <c r="G3830" s="3" t="s">
        <v>43</v>
      </c>
      <c r="H3830" s="3" t="s">
        <v>253</v>
      </c>
      <c r="I3830" s="2">
        <v>119</v>
      </c>
      <c r="J3830" s="2">
        <v>119</v>
      </c>
      <c r="K3830" s="2">
        <v>2</v>
      </c>
      <c r="L3830" s="2">
        <v>4</v>
      </c>
      <c r="M3830" s="2">
        <v>15</v>
      </c>
      <c r="N3830" s="2">
        <v>8</v>
      </c>
      <c r="P3830" s="2">
        <v>30</v>
      </c>
      <c r="Q3830" s="2">
        <v>60</v>
      </c>
      <c r="S3830" s="3" t="s">
        <v>3875</v>
      </c>
      <c r="T3830" s="2">
        <v>2</v>
      </c>
      <c r="W3830" s="2">
        <v>11</v>
      </c>
      <c r="X3830" s="2">
        <v>8</v>
      </c>
      <c r="Y3830" s="2">
        <v>50</v>
      </c>
      <c r="Z3830" s="2">
        <v>118</v>
      </c>
      <c r="AA3830" s="3" t="s">
        <v>40</v>
      </c>
      <c r="AB3830" s="2">
        <v>4</v>
      </c>
      <c r="AC3830" s="3" t="s">
        <v>3893</v>
      </c>
      <c r="AF3830" s="2">
        <v>25</v>
      </c>
      <c r="AG3830" s="2">
        <v>1</v>
      </c>
      <c r="AH3830" s="3" t="s">
        <v>3873</v>
      </c>
      <c r="AI3830" s="4">
        <v>45420</v>
      </c>
      <c r="AJ3830" s="3" t="s">
        <v>3997</v>
      </c>
      <c r="AK3830" s="3" t="s">
        <v>38</v>
      </c>
    </row>
    <row r="3831" spans="1:37" hidden="1" x14ac:dyDescent="0.25">
      <c r="A3831" t="str">
        <f t="shared" si="59"/>
        <v>2024_NSW_Greenethorpe_Mixed_NFixTOS1VarietyKelpieXTWaterTrtRainFedAgronomy50kgN</v>
      </c>
      <c r="B3831" s="2">
        <v>2024041</v>
      </c>
      <c r="C3831" s="3" t="s">
        <v>3870</v>
      </c>
      <c r="D3831" s="3" t="s">
        <v>37</v>
      </c>
      <c r="E3831" s="3" t="s">
        <v>38</v>
      </c>
      <c r="F3831" s="3" t="s">
        <v>4188</v>
      </c>
      <c r="G3831" s="3" t="s">
        <v>43</v>
      </c>
      <c r="H3831" s="3" t="s">
        <v>253</v>
      </c>
      <c r="I3831" s="2">
        <v>120</v>
      </c>
      <c r="J3831" s="2">
        <v>120</v>
      </c>
      <c r="K3831" s="2">
        <v>2</v>
      </c>
      <c r="L3831" s="2">
        <v>4</v>
      </c>
      <c r="M3831" s="2">
        <v>15</v>
      </c>
      <c r="N3831" s="2">
        <v>8</v>
      </c>
      <c r="P3831" s="2">
        <v>30</v>
      </c>
      <c r="Q3831" s="2">
        <v>59</v>
      </c>
      <c r="S3831" s="3" t="s">
        <v>3871</v>
      </c>
      <c r="T3831" s="2">
        <v>1</v>
      </c>
      <c r="W3831" s="2">
        <v>12</v>
      </c>
      <c r="X3831" s="2">
        <v>8</v>
      </c>
      <c r="Y3831" s="2">
        <v>50</v>
      </c>
      <c r="Z3831" s="2">
        <v>117</v>
      </c>
      <c r="AA3831" s="3" t="s">
        <v>40</v>
      </c>
      <c r="AB3831" s="2">
        <v>4</v>
      </c>
      <c r="AC3831" s="3" t="s">
        <v>3893</v>
      </c>
      <c r="AF3831" s="2">
        <v>25</v>
      </c>
      <c r="AG3831" s="2">
        <v>1</v>
      </c>
      <c r="AH3831" s="3" t="s">
        <v>3873</v>
      </c>
      <c r="AI3831" s="4">
        <v>45420</v>
      </c>
      <c r="AJ3831" s="3" t="s">
        <v>3998</v>
      </c>
      <c r="AK3831" s="3" t="s">
        <v>38</v>
      </c>
    </row>
    <row r="3832" spans="1:37" hidden="1" x14ac:dyDescent="0.25">
      <c r="A3832" t="str">
        <f t="shared" si="59"/>
        <v>2024_NSW_Greenethorpe_Mixed_NFixTOS1VarietyKelpieXTWaterTrtRainFedAgronomy125kgN</v>
      </c>
      <c r="B3832" s="2">
        <v>2024041</v>
      </c>
      <c r="C3832" s="3" t="s">
        <v>3870</v>
      </c>
      <c r="D3832" s="3" t="s">
        <v>37</v>
      </c>
      <c r="E3832" s="3" t="s">
        <v>38</v>
      </c>
      <c r="F3832" s="3" t="s">
        <v>4188</v>
      </c>
      <c r="G3832" s="3" t="s">
        <v>43</v>
      </c>
      <c r="H3832" s="3" t="s">
        <v>253</v>
      </c>
      <c r="I3832" s="2">
        <v>121</v>
      </c>
      <c r="J3832" s="2">
        <v>121</v>
      </c>
      <c r="K3832" s="2">
        <v>2</v>
      </c>
      <c r="L3832" s="2">
        <v>4</v>
      </c>
      <c r="M3832" s="2">
        <v>16</v>
      </c>
      <c r="N3832" s="2">
        <v>7</v>
      </c>
      <c r="P3832" s="2">
        <v>31</v>
      </c>
      <c r="Q3832" s="2">
        <v>61</v>
      </c>
      <c r="S3832" s="3" t="s">
        <v>3871</v>
      </c>
      <c r="T3832" s="2">
        <v>1</v>
      </c>
      <c r="W3832" s="2">
        <v>13</v>
      </c>
      <c r="X3832" s="2">
        <v>7</v>
      </c>
      <c r="Y3832" s="2">
        <v>125</v>
      </c>
      <c r="Z3832" s="2">
        <v>109</v>
      </c>
      <c r="AA3832" s="3" t="s">
        <v>40</v>
      </c>
      <c r="AB3832" s="2">
        <v>4</v>
      </c>
      <c r="AC3832" s="3" t="s">
        <v>3872</v>
      </c>
      <c r="AF3832" s="2">
        <v>25</v>
      </c>
      <c r="AG3832" s="2">
        <v>1</v>
      </c>
      <c r="AH3832" s="3" t="s">
        <v>3873</v>
      </c>
      <c r="AI3832" s="4">
        <v>45420</v>
      </c>
      <c r="AJ3832" s="3" t="s">
        <v>3999</v>
      </c>
      <c r="AK3832" s="3" t="s">
        <v>38</v>
      </c>
    </row>
    <row r="3833" spans="1:37" hidden="1" x14ac:dyDescent="0.25">
      <c r="A3833" t="str">
        <f t="shared" si="59"/>
        <v>2024_NSW_Greenethorpe_Mixed_NFixTOS1VarietyKelpieXTWaterTrtRainFedAgronomy125kgN</v>
      </c>
      <c r="B3833" s="2">
        <v>2024041</v>
      </c>
      <c r="C3833" s="3" t="s">
        <v>3870</v>
      </c>
      <c r="D3833" s="3" t="s">
        <v>37</v>
      </c>
      <c r="E3833" s="3" t="s">
        <v>38</v>
      </c>
      <c r="F3833" s="3" t="s">
        <v>4188</v>
      </c>
      <c r="G3833" s="3" t="s">
        <v>43</v>
      </c>
      <c r="H3833" s="3" t="s">
        <v>253</v>
      </c>
      <c r="I3833" s="2">
        <v>122</v>
      </c>
      <c r="J3833" s="2">
        <v>122</v>
      </c>
      <c r="K3833" s="2">
        <v>2</v>
      </c>
      <c r="L3833" s="2">
        <v>4</v>
      </c>
      <c r="M3833" s="2">
        <v>16</v>
      </c>
      <c r="N3833" s="2">
        <v>7</v>
      </c>
      <c r="P3833" s="2">
        <v>31</v>
      </c>
      <c r="Q3833" s="2">
        <v>62</v>
      </c>
      <c r="S3833" s="3" t="s">
        <v>3875</v>
      </c>
      <c r="T3833" s="2">
        <v>2</v>
      </c>
      <c r="W3833" s="2">
        <v>14</v>
      </c>
      <c r="X3833" s="2">
        <v>7</v>
      </c>
      <c r="Y3833" s="2">
        <v>125</v>
      </c>
      <c r="Z3833" s="2">
        <v>110</v>
      </c>
      <c r="AA3833" s="3" t="s">
        <v>40</v>
      </c>
      <c r="AB3833" s="2">
        <v>4</v>
      </c>
      <c r="AC3833" s="3" t="s">
        <v>3872</v>
      </c>
      <c r="AF3833" s="2">
        <v>25</v>
      </c>
      <c r="AG3833" s="2">
        <v>1</v>
      </c>
      <c r="AH3833" s="3" t="s">
        <v>3873</v>
      </c>
      <c r="AI3833" s="4">
        <v>45420</v>
      </c>
      <c r="AJ3833" s="3" t="s">
        <v>4000</v>
      </c>
      <c r="AK3833" s="3" t="s">
        <v>38</v>
      </c>
    </row>
    <row r="3834" spans="1:37" hidden="1" x14ac:dyDescent="0.25">
      <c r="A3834" t="str">
        <f t="shared" si="59"/>
        <v>2024_NSW_Greenethorpe_Mixed_NFixTOS1VarietyJumbo2WaterTrtRainFedAgronomy125kgN</v>
      </c>
      <c r="B3834" s="2">
        <v>2024041</v>
      </c>
      <c r="C3834" s="3" t="s">
        <v>3870</v>
      </c>
      <c r="D3834" s="3" t="s">
        <v>37</v>
      </c>
      <c r="E3834" s="3" t="s">
        <v>38</v>
      </c>
      <c r="F3834" s="3" t="s">
        <v>4176</v>
      </c>
      <c r="G3834" s="3" t="s">
        <v>43</v>
      </c>
      <c r="H3834" s="3" t="s">
        <v>253</v>
      </c>
      <c r="I3834" s="2">
        <v>123</v>
      </c>
      <c r="J3834" s="2">
        <v>123</v>
      </c>
      <c r="K3834" s="2">
        <v>2</v>
      </c>
      <c r="L3834" s="2">
        <v>4</v>
      </c>
      <c r="M3834" s="2">
        <v>16</v>
      </c>
      <c r="N3834" s="2">
        <v>7</v>
      </c>
      <c r="P3834" s="2">
        <v>31</v>
      </c>
      <c r="Q3834" s="2">
        <v>62</v>
      </c>
      <c r="S3834" s="3" t="s">
        <v>3875</v>
      </c>
      <c r="T3834" s="2">
        <v>2</v>
      </c>
      <c r="W3834" s="2">
        <v>15</v>
      </c>
      <c r="X3834" s="2">
        <v>7</v>
      </c>
      <c r="Y3834" s="2">
        <v>125</v>
      </c>
      <c r="Z3834" s="2">
        <v>111</v>
      </c>
      <c r="AA3834" s="3" t="s">
        <v>40</v>
      </c>
      <c r="AB3834" s="2">
        <v>3</v>
      </c>
      <c r="AC3834" s="3" t="s">
        <v>3872</v>
      </c>
      <c r="AF3834" s="2">
        <v>25</v>
      </c>
      <c r="AG3834" s="2">
        <v>1</v>
      </c>
      <c r="AH3834" s="3" t="s">
        <v>3873</v>
      </c>
      <c r="AI3834" s="4">
        <v>45420</v>
      </c>
      <c r="AJ3834" s="3" t="s">
        <v>4001</v>
      </c>
      <c r="AK3834" s="3" t="s">
        <v>38</v>
      </c>
    </row>
    <row r="3835" spans="1:37" hidden="1" x14ac:dyDescent="0.25">
      <c r="A3835" t="str">
        <f t="shared" si="59"/>
        <v>2024_NSW_Greenethorpe_Mixed_NFixTOS1VarietyJumbo2WaterTrtRainFedAgronomy125kgN</v>
      </c>
      <c r="B3835" s="2">
        <v>2024041</v>
      </c>
      <c r="C3835" s="3" t="s">
        <v>3870</v>
      </c>
      <c r="D3835" s="3" t="s">
        <v>37</v>
      </c>
      <c r="E3835" s="3" t="s">
        <v>38</v>
      </c>
      <c r="F3835" s="3" t="s">
        <v>4176</v>
      </c>
      <c r="G3835" s="3" t="s">
        <v>43</v>
      </c>
      <c r="H3835" s="3" t="s">
        <v>253</v>
      </c>
      <c r="I3835" s="2">
        <v>124</v>
      </c>
      <c r="J3835" s="2">
        <v>124</v>
      </c>
      <c r="K3835" s="2">
        <v>2</v>
      </c>
      <c r="L3835" s="2">
        <v>4</v>
      </c>
      <c r="M3835" s="2">
        <v>16</v>
      </c>
      <c r="N3835" s="2">
        <v>7</v>
      </c>
      <c r="P3835" s="2">
        <v>31</v>
      </c>
      <c r="Q3835" s="2">
        <v>61</v>
      </c>
      <c r="S3835" s="3" t="s">
        <v>3871</v>
      </c>
      <c r="T3835" s="2">
        <v>1</v>
      </c>
      <c r="W3835" s="2">
        <v>16</v>
      </c>
      <c r="X3835" s="2">
        <v>7</v>
      </c>
      <c r="Y3835" s="2">
        <v>125</v>
      </c>
      <c r="Z3835" s="2">
        <v>112</v>
      </c>
      <c r="AA3835" s="3" t="s">
        <v>40</v>
      </c>
      <c r="AB3835" s="2">
        <v>3</v>
      </c>
      <c r="AC3835" s="3" t="s">
        <v>3872</v>
      </c>
      <c r="AF3835" s="2">
        <v>25</v>
      </c>
      <c r="AG3835" s="2">
        <v>1</v>
      </c>
      <c r="AH3835" s="3" t="s">
        <v>3873</v>
      </c>
      <c r="AI3835" s="4">
        <v>45420</v>
      </c>
      <c r="AJ3835" s="3" t="s">
        <v>4002</v>
      </c>
      <c r="AK3835" s="3" t="s">
        <v>38</v>
      </c>
    </row>
    <row r="3836" spans="1:37" hidden="1" x14ac:dyDescent="0.25">
      <c r="A3836" t="str">
        <f t="shared" si="59"/>
        <v>2024_NSW_Greenethorpe_Mixed_NFixTOS1VarietySamiraWaterTrtRainFedAgronomy125kgN</v>
      </c>
      <c r="B3836" s="2">
        <v>2024041</v>
      </c>
      <c r="C3836" s="3" t="s">
        <v>3870</v>
      </c>
      <c r="D3836" s="3" t="s">
        <v>37</v>
      </c>
      <c r="E3836" s="3" t="s">
        <v>645</v>
      </c>
      <c r="F3836" s="3" t="s">
        <v>4183</v>
      </c>
      <c r="G3836" s="3" t="s">
        <v>43</v>
      </c>
      <c r="H3836" s="3" t="s">
        <v>253</v>
      </c>
      <c r="I3836" s="2">
        <v>125</v>
      </c>
      <c r="J3836" s="2">
        <v>125</v>
      </c>
      <c r="K3836" s="2">
        <v>2</v>
      </c>
      <c r="L3836" s="2">
        <v>4</v>
      </c>
      <c r="M3836" s="2">
        <v>16</v>
      </c>
      <c r="N3836" s="2">
        <v>8</v>
      </c>
      <c r="P3836" s="2">
        <v>32</v>
      </c>
      <c r="Q3836" s="2">
        <v>63</v>
      </c>
      <c r="S3836" s="3" t="s">
        <v>3871</v>
      </c>
      <c r="T3836" s="2">
        <v>1</v>
      </c>
      <c r="W3836" s="2">
        <v>13</v>
      </c>
      <c r="X3836" s="2">
        <v>8</v>
      </c>
      <c r="Y3836" s="2">
        <v>125</v>
      </c>
      <c r="Z3836" s="2">
        <v>116</v>
      </c>
      <c r="AA3836" s="3" t="s">
        <v>40</v>
      </c>
      <c r="AB3836" s="2">
        <v>6</v>
      </c>
      <c r="AC3836" s="3" t="s">
        <v>3872</v>
      </c>
      <c r="AF3836" s="2">
        <v>25</v>
      </c>
      <c r="AG3836" s="2">
        <v>1</v>
      </c>
      <c r="AH3836" s="3" t="s">
        <v>3873</v>
      </c>
      <c r="AI3836" s="4">
        <v>45420</v>
      </c>
      <c r="AJ3836" s="3" t="s">
        <v>4003</v>
      </c>
      <c r="AK3836" s="3" t="s">
        <v>645</v>
      </c>
    </row>
    <row r="3837" spans="1:37" hidden="1" x14ac:dyDescent="0.25">
      <c r="A3837" t="str">
        <f t="shared" si="59"/>
        <v>2024_NSW_Greenethorpe_Mixed_NFixTOS1VarietySamiraWaterTrtRainFedAgronomy125kgN</v>
      </c>
      <c r="B3837" s="2">
        <v>2024041</v>
      </c>
      <c r="C3837" s="3" t="s">
        <v>3870</v>
      </c>
      <c r="D3837" s="3" t="s">
        <v>37</v>
      </c>
      <c r="E3837" s="3" t="s">
        <v>645</v>
      </c>
      <c r="F3837" s="3" t="s">
        <v>4183</v>
      </c>
      <c r="G3837" s="3" t="s">
        <v>43</v>
      </c>
      <c r="H3837" s="3" t="s">
        <v>253</v>
      </c>
      <c r="I3837" s="2">
        <v>126</v>
      </c>
      <c r="J3837" s="2">
        <v>126</v>
      </c>
      <c r="K3837" s="2">
        <v>2</v>
      </c>
      <c r="L3837" s="2">
        <v>4</v>
      </c>
      <c r="M3837" s="2">
        <v>16</v>
      </c>
      <c r="N3837" s="2">
        <v>8</v>
      </c>
      <c r="P3837" s="2">
        <v>32</v>
      </c>
      <c r="Q3837" s="2">
        <v>64</v>
      </c>
      <c r="S3837" s="3" t="s">
        <v>3875</v>
      </c>
      <c r="T3837" s="2">
        <v>2</v>
      </c>
      <c r="W3837" s="2">
        <v>14</v>
      </c>
      <c r="X3837" s="2">
        <v>8</v>
      </c>
      <c r="Y3837" s="2">
        <v>125</v>
      </c>
      <c r="Z3837" s="2">
        <v>115</v>
      </c>
      <c r="AA3837" s="3" t="s">
        <v>40</v>
      </c>
      <c r="AB3837" s="2">
        <v>6</v>
      </c>
      <c r="AC3837" s="3" t="s">
        <v>3872</v>
      </c>
      <c r="AF3837" s="2">
        <v>25</v>
      </c>
      <c r="AG3837" s="2">
        <v>1</v>
      </c>
      <c r="AH3837" s="3" t="s">
        <v>3873</v>
      </c>
      <c r="AI3837" s="4">
        <v>45420</v>
      </c>
      <c r="AJ3837" s="3" t="s">
        <v>4004</v>
      </c>
      <c r="AK3837" s="3" t="s">
        <v>645</v>
      </c>
    </row>
    <row r="3838" spans="1:37" hidden="1" x14ac:dyDescent="0.25">
      <c r="A3838" t="str">
        <f t="shared" si="59"/>
        <v>2024_NSW_Greenethorpe_Mixed_NFixTOS1VarietyNasmaWaterTrtRainFedAgronomy125kgN</v>
      </c>
      <c r="B3838" s="2">
        <v>2024041</v>
      </c>
      <c r="C3838" s="3" t="s">
        <v>3870</v>
      </c>
      <c r="D3838" s="3" t="s">
        <v>37</v>
      </c>
      <c r="E3838" s="3" t="s">
        <v>645</v>
      </c>
      <c r="F3838" s="3" t="s">
        <v>4186</v>
      </c>
      <c r="G3838" s="3" t="s">
        <v>43</v>
      </c>
      <c r="H3838" s="3" t="s">
        <v>253</v>
      </c>
      <c r="I3838" s="2">
        <v>127</v>
      </c>
      <c r="J3838" s="2">
        <v>127</v>
      </c>
      <c r="K3838" s="2">
        <v>2</v>
      </c>
      <c r="L3838" s="2">
        <v>4</v>
      </c>
      <c r="M3838" s="2">
        <v>16</v>
      </c>
      <c r="N3838" s="2">
        <v>8</v>
      </c>
      <c r="P3838" s="2">
        <v>32</v>
      </c>
      <c r="Q3838" s="2">
        <v>64</v>
      </c>
      <c r="S3838" s="3" t="s">
        <v>3875</v>
      </c>
      <c r="T3838" s="2">
        <v>2</v>
      </c>
      <c r="W3838" s="2">
        <v>15</v>
      </c>
      <c r="X3838" s="2">
        <v>8</v>
      </c>
      <c r="Y3838" s="2">
        <v>125</v>
      </c>
      <c r="Z3838" s="2">
        <v>114</v>
      </c>
      <c r="AA3838" s="3" t="s">
        <v>40</v>
      </c>
      <c r="AB3838" s="2">
        <v>5</v>
      </c>
      <c r="AC3838" s="3" t="s">
        <v>3872</v>
      </c>
      <c r="AF3838" s="2">
        <v>25</v>
      </c>
      <c r="AG3838" s="2">
        <v>1</v>
      </c>
      <c r="AH3838" s="3" t="s">
        <v>3873</v>
      </c>
      <c r="AI3838" s="4">
        <v>45420</v>
      </c>
      <c r="AJ3838" s="3" t="s">
        <v>4005</v>
      </c>
      <c r="AK3838" s="3" t="s">
        <v>645</v>
      </c>
    </row>
    <row r="3839" spans="1:37" hidden="1" x14ac:dyDescent="0.25">
      <c r="A3839" t="str">
        <f t="shared" si="59"/>
        <v>2024_NSW_Greenethorpe_Mixed_NFixTOS1VarietyNasmaWaterTrtRainFedAgronomy125kgN</v>
      </c>
      <c r="B3839" s="2">
        <v>2024041</v>
      </c>
      <c r="C3839" s="3" t="s">
        <v>3870</v>
      </c>
      <c r="D3839" s="3" t="s">
        <v>37</v>
      </c>
      <c r="E3839" s="3" t="s">
        <v>645</v>
      </c>
      <c r="F3839" s="3" t="s">
        <v>4186</v>
      </c>
      <c r="G3839" s="3" t="s">
        <v>43</v>
      </c>
      <c r="H3839" s="3" t="s">
        <v>253</v>
      </c>
      <c r="I3839" s="2">
        <v>128</v>
      </c>
      <c r="J3839" s="2">
        <v>128</v>
      </c>
      <c r="K3839" s="2">
        <v>2</v>
      </c>
      <c r="L3839" s="2">
        <v>4</v>
      </c>
      <c r="M3839" s="2">
        <v>16</v>
      </c>
      <c r="N3839" s="2">
        <v>8</v>
      </c>
      <c r="P3839" s="2">
        <v>32</v>
      </c>
      <c r="Q3839" s="2">
        <v>63</v>
      </c>
      <c r="S3839" s="3" t="s">
        <v>3871</v>
      </c>
      <c r="T3839" s="2">
        <v>1</v>
      </c>
      <c r="W3839" s="2">
        <v>16</v>
      </c>
      <c r="X3839" s="2">
        <v>8</v>
      </c>
      <c r="Y3839" s="2">
        <v>125</v>
      </c>
      <c r="Z3839" s="2">
        <v>113</v>
      </c>
      <c r="AA3839" s="3" t="s">
        <v>40</v>
      </c>
      <c r="AB3839" s="2">
        <v>5</v>
      </c>
      <c r="AC3839" s="3" t="s">
        <v>3872</v>
      </c>
      <c r="AF3839" s="2">
        <v>25</v>
      </c>
      <c r="AG3839" s="2">
        <v>1</v>
      </c>
      <c r="AH3839" s="3" t="s">
        <v>3873</v>
      </c>
      <c r="AI3839" s="4">
        <v>45420</v>
      </c>
      <c r="AJ3839" s="3" t="s">
        <v>4006</v>
      </c>
      <c r="AK3839" s="3" t="s">
        <v>645</v>
      </c>
    </row>
    <row r="3840" spans="1:37" hidden="1" x14ac:dyDescent="0.25">
      <c r="A3840" t="str">
        <f t="shared" si="59"/>
        <v>2024_SA_Warnertown_Fababean_SatelliteTOS1VarietyMarneWaterTrtRainFedAgronomyDensity_0.66</v>
      </c>
      <c r="B3840" s="2">
        <v>2024042</v>
      </c>
      <c r="C3840" s="3" t="s">
        <v>4007</v>
      </c>
      <c r="D3840" s="3" t="s">
        <v>645</v>
      </c>
      <c r="F3840" s="3" t="s">
        <v>4184</v>
      </c>
      <c r="G3840" s="3" t="s">
        <v>39</v>
      </c>
      <c r="H3840" s="3" t="s">
        <v>253</v>
      </c>
      <c r="I3840" s="2">
        <v>1</v>
      </c>
      <c r="J3840" s="2">
        <v>1</v>
      </c>
      <c r="K3840" s="2">
        <v>1</v>
      </c>
      <c r="O3840" s="2">
        <v>1</v>
      </c>
      <c r="U3840" s="2">
        <v>1</v>
      </c>
      <c r="V3840" s="2">
        <v>2</v>
      </c>
      <c r="W3840" s="2">
        <v>1</v>
      </c>
      <c r="X3840" s="2">
        <v>1</v>
      </c>
      <c r="Z3840" s="2">
        <v>1</v>
      </c>
      <c r="AA3840" s="3" t="s">
        <v>40</v>
      </c>
      <c r="AB3840" s="2">
        <v>6</v>
      </c>
      <c r="AC3840" s="3" t="s">
        <v>1511</v>
      </c>
      <c r="AF3840" s="2">
        <v>23</v>
      </c>
      <c r="AG3840" s="2">
        <v>1</v>
      </c>
      <c r="AH3840" s="3" t="s">
        <v>4008</v>
      </c>
      <c r="AI3840" s="4">
        <v>45392</v>
      </c>
      <c r="AJ3840" s="3" t="s">
        <v>4009</v>
      </c>
      <c r="AK3840" s="3" t="s">
        <v>645</v>
      </c>
    </row>
    <row r="3841" spans="1:37" hidden="1" x14ac:dyDescent="0.25">
      <c r="A3841" t="str">
        <f t="shared" si="59"/>
        <v>2024_SA_Warnertown_Fababean_SatelliteTOS1VarietyAmberleyWaterTrtRainFedAgronomyDensity_0.66</v>
      </c>
      <c r="B3841" s="2">
        <v>2024042</v>
      </c>
      <c r="C3841" s="3" t="s">
        <v>4007</v>
      </c>
      <c r="D3841" s="3" t="s">
        <v>645</v>
      </c>
      <c r="F3841" s="3" t="s">
        <v>4185</v>
      </c>
      <c r="G3841" s="3" t="s">
        <v>39</v>
      </c>
      <c r="H3841" s="3" t="s">
        <v>253</v>
      </c>
      <c r="I3841" s="2">
        <v>2</v>
      </c>
      <c r="J3841" s="2">
        <v>2</v>
      </c>
      <c r="K3841" s="2">
        <v>1</v>
      </c>
      <c r="O3841" s="2">
        <v>1</v>
      </c>
      <c r="U3841" s="2">
        <v>2</v>
      </c>
      <c r="V3841" s="2">
        <v>2</v>
      </c>
      <c r="W3841" s="2">
        <v>2</v>
      </c>
      <c r="X3841" s="2">
        <v>1</v>
      </c>
      <c r="Z3841" s="2">
        <v>2</v>
      </c>
      <c r="AA3841" s="3" t="s">
        <v>40</v>
      </c>
      <c r="AB3841" s="2">
        <v>5</v>
      </c>
      <c r="AC3841" s="3" t="s">
        <v>1511</v>
      </c>
      <c r="AF3841" s="2">
        <v>23</v>
      </c>
      <c r="AG3841" s="2">
        <v>1</v>
      </c>
      <c r="AH3841" s="3" t="s">
        <v>4008</v>
      </c>
      <c r="AI3841" s="4">
        <v>45392</v>
      </c>
      <c r="AJ3841" s="3" t="s">
        <v>4010</v>
      </c>
      <c r="AK3841" s="3" t="s">
        <v>645</v>
      </c>
    </row>
    <row r="3842" spans="1:37" hidden="1" x14ac:dyDescent="0.25">
      <c r="A3842" t="str">
        <f t="shared" si="59"/>
        <v>2024_SA_Warnertown_Fababean_SatelliteTOS1VarietyNasmaWaterTrtRainFedAgronomyDensity_1</v>
      </c>
      <c r="B3842" s="2">
        <v>2024042</v>
      </c>
      <c r="C3842" s="3" t="s">
        <v>4007</v>
      </c>
      <c r="D3842" s="3" t="s">
        <v>645</v>
      </c>
      <c r="F3842" s="3" t="s">
        <v>4186</v>
      </c>
      <c r="G3842" s="3" t="s">
        <v>43</v>
      </c>
      <c r="H3842" s="3" t="s">
        <v>253</v>
      </c>
      <c r="I3842" s="2">
        <v>3</v>
      </c>
      <c r="J3842" s="2">
        <v>3</v>
      </c>
      <c r="K3842" s="2">
        <v>1</v>
      </c>
      <c r="O3842" s="2">
        <v>1</v>
      </c>
      <c r="U3842" s="2">
        <v>3</v>
      </c>
      <c r="V3842" s="2">
        <v>2</v>
      </c>
      <c r="W3842" s="2">
        <v>3</v>
      </c>
      <c r="X3842" s="2">
        <v>1</v>
      </c>
      <c r="Z3842" s="2">
        <v>3</v>
      </c>
      <c r="AA3842" s="3" t="s">
        <v>40</v>
      </c>
      <c r="AB3842" s="2">
        <v>3</v>
      </c>
      <c r="AC3842" s="3" t="s">
        <v>1513</v>
      </c>
      <c r="AF3842" s="2">
        <v>23</v>
      </c>
      <c r="AG3842" s="2">
        <v>1</v>
      </c>
      <c r="AH3842" s="3" t="s">
        <v>4008</v>
      </c>
      <c r="AI3842" s="4">
        <v>45392</v>
      </c>
      <c r="AJ3842" s="3" t="s">
        <v>4011</v>
      </c>
      <c r="AK3842" s="3" t="s">
        <v>645</v>
      </c>
    </row>
    <row r="3843" spans="1:37" hidden="1" x14ac:dyDescent="0.25">
      <c r="A3843" t="str">
        <f t="shared" ref="A3843:A3906" si="60">C3843&amp;"TOS"&amp;AG3843&amp;"Variety"&amp;F3843&amp;"WaterTrt"&amp;AA3843&amp;IF(AC3843="","","Agronomy"&amp;AC3843)</f>
        <v>2024_SA_Warnertown_Fababean_SatelliteTOS1VarietySamiraWaterTrtRainFedAgronomyDensity_1</v>
      </c>
      <c r="B3843" s="2">
        <v>2024042</v>
      </c>
      <c r="C3843" s="3" t="s">
        <v>4007</v>
      </c>
      <c r="D3843" s="3" t="s">
        <v>645</v>
      </c>
      <c r="F3843" s="3" t="s">
        <v>4183</v>
      </c>
      <c r="G3843" s="3" t="s">
        <v>43</v>
      </c>
      <c r="H3843" s="3" t="s">
        <v>253</v>
      </c>
      <c r="I3843" s="2">
        <v>4</v>
      </c>
      <c r="J3843" s="2">
        <v>4</v>
      </c>
      <c r="K3843" s="2">
        <v>1</v>
      </c>
      <c r="O3843" s="2">
        <v>1</v>
      </c>
      <c r="U3843" s="2">
        <v>1</v>
      </c>
      <c r="V3843" s="2">
        <v>3</v>
      </c>
      <c r="W3843" s="2">
        <v>1</v>
      </c>
      <c r="X3843" s="2">
        <v>2</v>
      </c>
      <c r="Z3843" s="2">
        <v>6</v>
      </c>
      <c r="AA3843" s="3" t="s">
        <v>40</v>
      </c>
      <c r="AB3843" s="2">
        <v>4</v>
      </c>
      <c r="AC3843" s="3" t="s">
        <v>1513</v>
      </c>
      <c r="AF3843" s="2">
        <v>23</v>
      </c>
      <c r="AG3843" s="2">
        <v>1</v>
      </c>
      <c r="AH3843" s="3" t="s">
        <v>4008</v>
      </c>
      <c r="AI3843" s="4">
        <v>45392</v>
      </c>
      <c r="AJ3843" s="3" t="s">
        <v>4012</v>
      </c>
      <c r="AK3843" s="3" t="s">
        <v>645</v>
      </c>
    </row>
    <row r="3844" spans="1:37" hidden="1" x14ac:dyDescent="0.25">
      <c r="A3844" t="str">
        <f t="shared" si="60"/>
        <v>2024_SA_Warnertown_Fababean_SatelliteTOS1VarietyMarneWaterTrtRainFedAgronomyDensity_1</v>
      </c>
      <c r="B3844" s="2">
        <v>2024042</v>
      </c>
      <c r="C3844" s="3" t="s">
        <v>4007</v>
      </c>
      <c r="D3844" s="3" t="s">
        <v>645</v>
      </c>
      <c r="F3844" s="3" t="s">
        <v>4184</v>
      </c>
      <c r="G3844" s="3" t="s">
        <v>39</v>
      </c>
      <c r="H3844" s="3" t="s">
        <v>253</v>
      </c>
      <c r="I3844" s="2">
        <v>5</v>
      </c>
      <c r="J3844" s="2">
        <v>5</v>
      </c>
      <c r="K3844" s="2">
        <v>1</v>
      </c>
      <c r="O3844" s="2">
        <v>1</v>
      </c>
      <c r="U3844" s="2">
        <v>2</v>
      </c>
      <c r="V3844" s="2">
        <v>3</v>
      </c>
      <c r="W3844" s="2">
        <v>2</v>
      </c>
      <c r="X3844" s="2">
        <v>2</v>
      </c>
      <c r="Z3844" s="2">
        <v>5</v>
      </c>
      <c r="AA3844" s="3" t="s">
        <v>40</v>
      </c>
      <c r="AB3844" s="2">
        <v>2</v>
      </c>
      <c r="AC3844" s="3" t="s">
        <v>1513</v>
      </c>
      <c r="AF3844" s="2">
        <v>23</v>
      </c>
      <c r="AG3844" s="2">
        <v>1</v>
      </c>
      <c r="AH3844" s="3" t="s">
        <v>4008</v>
      </c>
      <c r="AI3844" s="4">
        <v>45392</v>
      </c>
      <c r="AJ3844" s="3" t="s">
        <v>4013</v>
      </c>
      <c r="AK3844" s="3" t="s">
        <v>645</v>
      </c>
    </row>
    <row r="3845" spans="1:37" hidden="1" x14ac:dyDescent="0.25">
      <c r="A3845" t="str">
        <f t="shared" si="60"/>
        <v>2024_SA_Warnertown_Fababean_SatelliteTOS1VarietyAmberleyWaterTrtRainFedAgronomyDensity_1</v>
      </c>
      <c r="B3845" s="2">
        <v>2024042</v>
      </c>
      <c r="C3845" s="3" t="s">
        <v>4007</v>
      </c>
      <c r="D3845" s="3" t="s">
        <v>645</v>
      </c>
      <c r="F3845" s="3" t="s">
        <v>4185</v>
      </c>
      <c r="G3845" s="3" t="s">
        <v>39</v>
      </c>
      <c r="H3845" s="3" t="s">
        <v>253</v>
      </c>
      <c r="I3845" s="2">
        <v>6</v>
      </c>
      <c r="J3845" s="2">
        <v>6</v>
      </c>
      <c r="K3845" s="2">
        <v>1</v>
      </c>
      <c r="O3845" s="2">
        <v>1</v>
      </c>
      <c r="U3845" s="2">
        <v>3</v>
      </c>
      <c r="V3845" s="2">
        <v>3</v>
      </c>
      <c r="W3845" s="2">
        <v>3</v>
      </c>
      <c r="X3845" s="2">
        <v>2</v>
      </c>
      <c r="Z3845" s="2">
        <v>4</v>
      </c>
      <c r="AA3845" s="3" t="s">
        <v>40</v>
      </c>
      <c r="AB3845" s="2">
        <v>1</v>
      </c>
      <c r="AC3845" s="3" t="s">
        <v>1513</v>
      </c>
      <c r="AF3845" s="2">
        <v>23</v>
      </c>
      <c r="AG3845" s="2">
        <v>1</v>
      </c>
      <c r="AH3845" s="3" t="s">
        <v>4008</v>
      </c>
      <c r="AI3845" s="4">
        <v>45392</v>
      </c>
      <c r="AJ3845" s="3" t="s">
        <v>4014</v>
      </c>
      <c r="AK3845" s="3" t="s">
        <v>645</v>
      </c>
    </row>
    <row r="3846" spans="1:37" hidden="1" x14ac:dyDescent="0.25">
      <c r="A3846" t="str">
        <f t="shared" si="60"/>
        <v>2024_SA_Warnertown_Fababean_SatelliteTOS2VarietySamiraWaterTrtRainFedAgronomyDensity_1</v>
      </c>
      <c r="B3846" s="2">
        <v>2024042</v>
      </c>
      <c r="C3846" s="3" t="s">
        <v>4007</v>
      </c>
      <c r="D3846" s="3" t="s">
        <v>645</v>
      </c>
      <c r="F3846" s="3" t="s">
        <v>4183</v>
      </c>
      <c r="G3846" s="3" t="s">
        <v>43</v>
      </c>
      <c r="H3846" s="3" t="s">
        <v>253</v>
      </c>
      <c r="I3846" s="2">
        <v>7</v>
      </c>
      <c r="J3846" s="2">
        <v>7</v>
      </c>
      <c r="K3846" s="2">
        <v>2</v>
      </c>
      <c r="O3846" s="2">
        <v>2</v>
      </c>
      <c r="U3846" s="2">
        <v>1</v>
      </c>
      <c r="V3846" s="2">
        <v>5</v>
      </c>
      <c r="W3846" s="2">
        <v>1</v>
      </c>
      <c r="X3846" s="2">
        <v>3</v>
      </c>
      <c r="Z3846" s="2">
        <v>25</v>
      </c>
      <c r="AA3846" s="3" t="s">
        <v>40</v>
      </c>
      <c r="AB3846" s="2">
        <v>4</v>
      </c>
      <c r="AC3846" s="3" t="s">
        <v>1513</v>
      </c>
      <c r="AF3846" s="2">
        <v>23</v>
      </c>
      <c r="AG3846" s="2">
        <v>2</v>
      </c>
      <c r="AH3846" s="3" t="s">
        <v>3358</v>
      </c>
      <c r="AI3846" s="4">
        <v>45427</v>
      </c>
      <c r="AJ3846" s="3" t="s">
        <v>4015</v>
      </c>
      <c r="AK3846" s="3" t="s">
        <v>645</v>
      </c>
    </row>
    <row r="3847" spans="1:37" hidden="1" x14ac:dyDescent="0.25">
      <c r="A3847" t="str">
        <f t="shared" si="60"/>
        <v>2024_SA_Warnertown_Fababean_SatelliteTOS2VarietyAmberleyWaterTrtRainFedAgronomyDensity_0.66</v>
      </c>
      <c r="B3847" s="2">
        <v>2024042</v>
      </c>
      <c r="C3847" s="3" t="s">
        <v>4007</v>
      </c>
      <c r="D3847" s="3" t="s">
        <v>645</v>
      </c>
      <c r="F3847" s="3" t="s">
        <v>4185</v>
      </c>
      <c r="G3847" s="3" t="s">
        <v>39</v>
      </c>
      <c r="H3847" s="3" t="s">
        <v>253</v>
      </c>
      <c r="I3847" s="2">
        <v>8</v>
      </c>
      <c r="J3847" s="2">
        <v>8</v>
      </c>
      <c r="K3847" s="2">
        <v>2</v>
      </c>
      <c r="O3847" s="2">
        <v>2</v>
      </c>
      <c r="U3847" s="2">
        <v>2</v>
      </c>
      <c r="V3847" s="2">
        <v>5</v>
      </c>
      <c r="W3847" s="2">
        <v>2</v>
      </c>
      <c r="X3847" s="2">
        <v>3</v>
      </c>
      <c r="Z3847" s="2">
        <v>26</v>
      </c>
      <c r="AA3847" s="3" t="s">
        <v>40</v>
      </c>
      <c r="AB3847" s="2">
        <v>5</v>
      </c>
      <c r="AC3847" s="3" t="s">
        <v>1511</v>
      </c>
      <c r="AF3847" s="2">
        <v>23</v>
      </c>
      <c r="AG3847" s="2">
        <v>2</v>
      </c>
      <c r="AH3847" s="3" t="s">
        <v>3358</v>
      </c>
      <c r="AI3847" s="4">
        <v>45427</v>
      </c>
      <c r="AJ3847" s="3" t="s">
        <v>4016</v>
      </c>
      <c r="AK3847" s="3" t="s">
        <v>645</v>
      </c>
    </row>
    <row r="3848" spans="1:37" hidden="1" x14ac:dyDescent="0.25">
      <c r="A3848" t="str">
        <f t="shared" si="60"/>
        <v>2024_SA_Warnertown_Fababean_SatelliteTOS2VarietyMarneWaterTrtRainFedAgronomyDensity_1</v>
      </c>
      <c r="B3848" s="2">
        <v>2024042</v>
      </c>
      <c r="C3848" s="3" t="s">
        <v>4007</v>
      </c>
      <c r="D3848" s="3" t="s">
        <v>645</v>
      </c>
      <c r="F3848" s="3" t="s">
        <v>4184</v>
      </c>
      <c r="G3848" s="3" t="s">
        <v>39</v>
      </c>
      <c r="H3848" s="3" t="s">
        <v>253</v>
      </c>
      <c r="I3848" s="2">
        <v>9</v>
      </c>
      <c r="J3848" s="2">
        <v>9</v>
      </c>
      <c r="K3848" s="2">
        <v>2</v>
      </c>
      <c r="O3848" s="2">
        <v>2</v>
      </c>
      <c r="U3848" s="2">
        <v>3</v>
      </c>
      <c r="V3848" s="2">
        <v>5</v>
      </c>
      <c r="W3848" s="2">
        <v>3</v>
      </c>
      <c r="X3848" s="2">
        <v>3</v>
      </c>
      <c r="Z3848" s="2">
        <v>27</v>
      </c>
      <c r="AA3848" s="3" t="s">
        <v>40</v>
      </c>
      <c r="AB3848" s="2">
        <v>2</v>
      </c>
      <c r="AC3848" s="3" t="s">
        <v>1513</v>
      </c>
      <c r="AF3848" s="2">
        <v>23</v>
      </c>
      <c r="AG3848" s="2">
        <v>2</v>
      </c>
      <c r="AH3848" s="3" t="s">
        <v>3358</v>
      </c>
      <c r="AI3848" s="4">
        <v>45427</v>
      </c>
      <c r="AJ3848" s="3" t="s">
        <v>4017</v>
      </c>
      <c r="AK3848" s="3" t="s">
        <v>645</v>
      </c>
    </row>
    <row r="3849" spans="1:37" hidden="1" x14ac:dyDescent="0.25">
      <c r="A3849" t="str">
        <f t="shared" si="60"/>
        <v>2024_SA_Warnertown_Fababean_SatelliteTOS2VarietyMarneWaterTrtRainFedAgronomyDensity_0.66</v>
      </c>
      <c r="B3849" s="2">
        <v>2024042</v>
      </c>
      <c r="C3849" s="3" t="s">
        <v>4007</v>
      </c>
      <c r="D3849" s="3" t="s">
        <v>645</v>
      </c>
      <c r="F3849" s="3" t="s">
        <v>4184</v>
      </c>
      <c r="G3849" s="3" t="s">
        <v>39</v>
      </c>
      <c r="H3849" s="3" t="s">
        <v>253</v>
      </c>
      <c r="I3849" s="2">
        <v>10</v>
      </c>
      <c r="J3849" s="2">
        <v>10</v>
      </c>
      <c r="K3849" s="2">
        <v>2</v>
      </c>
      <c r="O3849" s="2">
        <v>2</v>
      </c>
      <c r="U3849" s="2">
        <v>1</v>
      </c>
      <c r="V3849" s="2">
        <v>6</v>
      </c>
      <c r="W3849" s="2">
        <v>1</v>
      </c>
      <c r="X3849" s="2">
        <v>4</v>
      </c>
      <c r="Z3849" s="2">
        <v>30</v>
      </c>
      <c r="AA3849" s="3" t="s">
        <v>40</v>
      </c>
      <c r="AB3849" s="2">
        <v>6</v>
      </c>
      <c r="AC3849" s="3" t="s">
        <v>1511</v>
      </c>
      <c r="AF3849" s="2">
        <v>23</v>
      </c>
      <c r="AG3849" s="2">
        <v>2</v>
      </c>
      <c r="AH3849" s="3" t="s">
        <v>3358</v>
      </c>
      <c r="AI3849" s="4">
        <v>45427</v>
      </c>
      <c r="AJ3849" s="3" t="s">
        <v>4018</v>
      </c>
      <c r="AK3849" s="3" t="s">
        <v>645</v>
      </c>
    </row>
    <row r="3850" spans="1:37" hidden="1" x14ac:dyDescent="0.25">
      <c r="A3850" t="str">
        <f t="shared" si="60"/>
        <v>2024_SA_Warnertown_Fababean_SatelliteTOS2VarietyNasmaWaterTrtRainFedAgronomyDensity_1</v>
      </c>
      <c r="B3850" s="2">
        <v>2024042</v>
      </c>
      <c r="C3850" s="3" t="s">
        <v>4007</v>
      </c>
      <c r="D3850" s="3" t="s">
        <v>645</v>
      </c>
      <c r="F3850" s="3" t="s">
        <v>4186</v>
      </c>
      <c r="G3850" s="3" t="s">
        <v>43</v>
      </c>
      <c r="H3850" s="3" t="s">
        <v>253</v>
      </c>
      <c r="I3850" s="2">
        <v>11</v>
      </c>
      <c r="J3850" s="2">
        <v>11</v>
      </c>
      <c r="K3850" s="2">
        <v>2</v>
      </c>
      <c r="O3850" s="2">
        <v>2</v>
      </c>
      <c r="U3850" s="2">
        <v>2</v>
      </c>
      <c r="V3850" s="2">
        <v>6</v>
      </c>
      <c r="W3850" s="2">
        <v>2</v>
      </c>
      <c r="X3850" s="2">
        <v>4</v>
      </c>
      <c r="Z3850" s="2">
        <v>29</v>
      </c>
      <c r="AA3850" s="3" t="s">
        <v>40</v>
      </c>
      <c r="AB3850" s="2">
        <v>3</v>
      </c>
      <c r="AC3850" s="3" t="s">
        <v>1513</v>
      </c>
      <c r="AF3850" s="2">
        <v>23</v>
      </c>
      <c r="AG3850" s="2">
        <v>2</v>
      </c>
      <c r="AH3850" s="3" t="s">
        <v>3358</v>
      </c>
      <c r="AI3850" s="4">
        <v>45427</v>
      </c>
      <c r="AJ3850" s="3" t="s">
        <v>4019</v>
      </c>
      <c r="AK3850" s="3" t="s">
        <v>645</v>
      </c>
    </row>
    <row r="3851" spans="1:37" hidden="1" x14ac:dyDescent="0.25">
      <c r="A3851" t="str">
        <f t="shared" si="60"/>
        <v>2024_SA_Warnertown_Fababean_SatelliteTOS2VarietyAmberleyWaterTrtRainFedAgronomyDensity_1</v>
      </c>
      <c r="B3851" s="2">
        <v>2024042</v>
      </c>
      <c r="C3851" s="3" t="s">
        <v>4007</v>
      </c>
      <c r="D3851" s="3" t="s">
        <v>645</v>
      </c>
      <c r="F3851" s="3" t="s">
        <v>4185</v>
      </c>
      <c r="G3851" s="3" t="s">
        <v>39</v>
      </c>
      <c r="H3851" s="3" t="s">
        <v>253</v>
      </c>
      <c r="I3851" s="2">
        <v>12</v>
      </c>
      <c r="J3851" s="2">
        <v>12</v>
      </c>
      <c r="K3851" s="2">
        <v>2</v>
      </c>
      <c r="O3851" s="2">
        <v>2</v>
      </c>
      <c r="U3851" s="2">
        <v>3</v>
      </c>
      <c r="V3851" s="2">
        <v>6</v>
      </c>
      <c r="W3851" s="2">
        <v>3</v>
      </c>
      <c r="X3851" s="2">
        <v>4</v>
      </c>
      <c r="Z3851" s="2">
        <v>28</v>
      </c>
      <c r="AA3851" s="3" t="s">
        <v>40</v>
      </c>
      <c r="AB3851" s="2">
        <v>1</v>
      </c>
      <c r="AC3851" s="3" t="s">
        <v>1513</v>
      </c>
      <c r="AF3851" s="2">
        <v>23</v>
      </c>
      <c r="AG3851" s="2">
        <v>2</v>
      </c>
      <c r="AH3851" s="3" t="s">
        <v>3358</v>
      </c>
      <c r="AI3851" s="4">
        <v>45427</v>
      </c>
      <c r="AJ3851" s="3" t="s">
        <v>4020</v>
      </c>
      <c r="AK3851" s="3" t="s">
        <v>645</v>
      </c>
    </row>
    <row r="3852" spans="1:37" hidden="1" x14ac:dyDescent="0.25">
      <c r="A3852" t="str">
        <f t="shared" si="60"/>
        <v>2024_SA_Warnertown_Fababean_SatelliteTOS1VarietySamiraWaterTrtRainFedAgronomyDensity_1</v>
      </c>
      <c r="B3852" s="2">
        <v>2024042</v>
      </c>
      <c r="C3852" s="3" t="s">
        <v>4007</v>
      </c>
      <c r="D3852" s="3" t="s">
        <v>645</v>
      </c>
      <c r="F3852" s="3" t="s">
        <v>4183</v>
      </c>
      <c r="G3852" s="3" t="s">
        <v>43</v>
      </c>
      <c r="H3852" s="3" t="s">
        <v>253</v>
      </c>
      <c r="I3852" s="2">
        <v>13</v>
      </c>
      <c r="J3852" s="2">
        <v>13</v>
      </c>
      <c r="K3852" s="2">
        <v>3</v>
      </c>
      <c r="O3852" s="2">
        <v>3</v>
      </c>
      <c r="U3852" s="2">
        <v>1</v>
      </c>
      <c r="V3852" s="2">
        <v>8</v>
      </c>
      <c r="W3852" s="2">
        <v>1</v>
      </c>
      <c r="X3852" s="2">
        <v>5</v>
      </c>
      <c r="Z3852" s="2">
        <v>7</v>
      </c>
      <c r="AA3852" s="3" t="s">
        <v>40</v>
      </c>
      <c r="AB3852" s="2">
        <v>4</v>
      </c>
      <c r="AC3852" s="3" t="s">
        <v>1513</v>
      </c>
      <c r="AF3852" s="2">
        <v>23</v>
      </c>
      <c r="AG3852" s="2">
        <v>1</v>
      </c>
      <c r="AH3852" s="3" t="s">
        <v>4008</v>
      </c>
      <c r="AI3852" s="4">
        <v>45392</v>
      </c>
      <c r="AJ3852" s="3" t="s">
        <v>4021</v>
      </c>
      <c r="AK3852" s="3" t="s">
        <v>645</v>
      </c>
    </row>
    <row r="3853" spans="1:37" hidden="1" x14ac:dyDescent="0.25">
      <c r="A3853" t="str">
        <f t="shared" si="60"/>
        <v>2024_SA_Warnertown_Fababean_SatelliteTOS1VarietyMarneWaterTrtRainFedAgronomyDensity_0.66</v>
      </c>
      <c r="B3853" s="2">
        <v>2024042</v>
      </c>
      <c r="C3853" s="3" t="s">
        <v>4007</v>
      </c>
      <c r="D3853" s="3" t="s">
        <v>645</v>
      </c>
      <c r="F3853" s="3" t="s">
        <v>4184</v>
      </c>
      <c r="G3853" s="3" t="s">
        <v>39</v>
      </c>
      <c r="H3853" s="3" t="s">
        <v>253</v>
      </c>
      <c r="I3853" s="2">
        <v>14</v>
      </c>
      <c r="J3853" s="2">
        <v>14</v>
      </c>
      <c r="K3853" s="2">
        <v>3</v>
      </c>
      <c r="O3853" s="2">
        <v>3</v>
      </c>
      <c r="U3853" s="2">
        <v>2</v>
      </c>
      <c r="V3853" s="2">
        <v>8</v>
      </c>
      <c r="W3853" s="2">
        <v>2</v>
      </c>
      <c r="X3853" s="2">
        <v>5</v>
      </c>
      <c r="Z3853" s="2">
        <v>8</v>
      </c>
      <c r="AA3853" s="3" t="s">
        <v>40</v>
      </c>
      <c r="AB3853" s="2">
        <v>6</v>
      </c>
      <c r="AC3853" s="3" t="s">
        <v>1511</v>
      </c>
      <c r="AF3853" s="2">
        <v>23</v>
      </c>
      <c r="AG3853" s="2">
        <v>1</v>
      </c>
      <c r="AH3853" s="3" t="s">
        <v>4008</v>
      </c>
      <c r="AI3853" s="4">
        <v>45392</v>
      </c>
      <c r="AJ3853" s="3" t="s">
        <v>4022</v>
      </c>
      <c r="AK3853" s="3" t="s">
        <v>645</v>
      </c>
    </row>
    <row r="3854" spans="1:37" hidden="1" x14ac:dyDescent="0.25">
      <c r="A3854" t="str">
        <f t="shared" si="60"/>
        <v>2024_SA_Warnertown_Fababean_SatelliteTOS1VarietyNasmaWaterTrtRainFedAgronomyDensity_1</v>
      </c>
      <c r="B3854" s="2">
        <v>2024042</v>
      </c>
      <c r="C3854" s="3" t="s">
        <v>4007</v>
      </c>
      <c r="D3854" s="3" t="s">
        <v>645</v>
      </c>
      <c r="F3854" s="3" t="s">
        <v>4186</v>
      </c>
      <c r="G3854" s="3" t="s">
        <v>43</v>
      </c>
      <c r="H3854" s="3" t="s">
        <v>253</v>
      </c>
      <c r="I3854" s="2">
        <v>15</v>
      </c>
      <c r="J3854" s="2">
        <v>15</v>
      </c>
      <c r="K3854" s="2">
        <v>3</v>
      </c>
      <c r="O3854" s="2">
        <v>3</v>
      </c>
      <c r="U3854" s="2">
        <v>3</v>
      </c>
      <c r="V3854" s="2">
        <v>8</v>
      </c>
      <c r="W3854" s="2">
        <v>3</v>
      </c>
      <c r="X3854" s="2">
        <v>5</v>
      </c>
      <c r="Z3854" s="2">
        <v>9</v>
      </c>
      <c r="AA3854" s="3" t="s">
        <v>40</v>
      </c>
      <c r="AB3854" s="2">
        <v>3</v>
      </c>
      <c r="AC3854" s="3" t="s">
        <v>1513</v>
      </c>
      <c r="AF3854" s="2">
        <v>23</v>
      </c>
      <c r="AG3854" s="2">
        <v>1</v>
      </c>
      <c r="AH3854" s="3" t="s">
        <v>4008</v>
      </c>
      <c r="AI3854" s="4">
        <v>45392</v>
      </c>
      <c r="AJ3854" s="3" t="s">
        <v>4023</v>
      </c>
      <c r="AK3854" s="3" t="s">
        <v>645</v>
      </c>
    </row>
    <row r="3855" spans="1:37" hidden="1" x14ac:dyDescent="0.25">
      <c r="A3855" t="str">
        <f t="shared" si="60"/>
        <v>2024_SA_Warnertown_Fababean_SatelliteTOS1VarietyAmberleyWaterTrtRainFedAgronomyDensity_0.66</v>
      </c>
      <c r="B3855" s="2">
        <v>2024042</v>
      </c>
      <c r="C3855" s="3" t="s">
        <v>4007</v>
      </c>
      <c r="D3855" s="3" t="s">
        <v>645</v>
      </c>
      <c r="F3855" s="3" t="s">
        <v>4185</v>
      </c>
      <c r="G3855" s="3" t="s">
        <v>39</v>
      </c>
      <c r="H3855" s="3" t="s">
        <v>253</v>
      </c>
      <c r="I3855" s="2">
        <v>16</v>
      </c>
      <c r="J3855" s="2">
        <v>16</v>
      </c>
      <c r="K3855" s="2">
        <v>3</v>
      </c>
      <c r="O3855" s="2">
        <v>3</v>
      </c>
      <c r="U3855" s="2">
        <v>1</v>
      </c>
      <c r="V3855" s="2">
        <v>9</v>
      </c>
      <c r="W3855" s="2">
        <v>1</v>
      </c>
      <c r="X3855" s="2">
        <v>6</v>
      </c>
      <c r="Z3855" s="2">
        <v>12</v>
      </c>
      <c r="AA3855" s="3" t="s">
        <v>40</v>
      </c>
      <c r="AB3855" s="2">
        <v>5</v>
      </c>
      <c r="AC3855" s="3" t="s">
        <v>1511</v>
      </c>
      <c r="AF3855" s="2">
        <v>23</v>
      </c>
      <c r="AG3855" s="2">
        <v>1</v>
      </c>
      <c r="AH3855" s="3" t="s">
        <v>4008</v>
      </c>
      <c r="AI3855" s="4">
        <v>45392</v>
      </c>
      <c r="AJ3855" s="3" t="s">
        <v>4024</v>
      </c>
      <c r="AK3855" s="3" t="s">
        <v>645</v>
      </c>
    </row>
    <row r="3856" spans="1:37" hidden="1" x14ac:dyDescent="0.25">
      <c r="A3856" t="str">
        <f t="shared" si="60"/>
        <v>2024_SA_Warnertown_Fababean_SatelliteTOS1VarietyAmberleyWaterTrtRainFedAgronomyDensity_1</v>
      </c>
      <c r="B3856" s="2">
        <v>2024042</v>
      </c>
      <c r="C3856" s="3" t="s">
        <v>4007</v>
      </c>
      <c r="D3856" s="3" t="s">
        <v>645</v>
      </c>
      <c r="F3856" s="3" t="s">
        <v>4185</v>
      </c>
      <c r="G3856" s="3" t="s">
        <v>39</v>
      </c>
      <c r="H3856" s="3" t="s">
        <v>253</v>
      </c>
      <c r="I3856" s="2">
        <v>17</v>
      </c>
      <c r="J3856" s="2">
        <v>17</v>
      </c>
      <c r="K3856" s="2">
        <v>3</v>
      </c>
      <c r="O3856" s="2">
        <v>3</v>
      </c>
      <c r="U3856" s="2">
        <v>2</v>
      </c>
      <c r="V3856" s="2">
        <v>9</v>
      </c>
      <c r="W3856" s="2">
        <v>2</v>
      </c>
      <c r="X3856" s="2">
        <v>6</v>
      </c>
      <c r="Z3856" s="2">
        <v>11</v>
      </c>
      <c r="AA3856" s="3" t="s">
        <v>40</v>
      </c>
      <c r="AB3856" s="2">
        <v>1</v>
      </c>
      <c r="AC3856" s="3" t="s">
        <v>1513</v>
      </c>
      <c r="AF3856" s="2">
        <v>23</v>
      </c>
      <c r="AG3856" s="2">
        <v>1</v>
      </c>
      <c r="AH3856" s="3" t="s">
        <v>4008</v>
      </c>
      <c r="AI3856" s="4">
        <v>45392</v>
      </c>
      <c r="AJ3856" s="3" t="s">
        <v>4025</v>
      </c>
      <c r="AK3856" s="3" t="s">
        <v>645</v>
      </c>
    </row>
    <row r="3857" spans="1:37" hidden="1" x14ac:dyDescent="0.25">
      <c r="A3857" t="str">
        <f t="shared" si="60"/>
        <v>2024_SA_Warnertown_Fababean_SatelliteTOS1VarietyMarneWaterTrtRainFedAgronomyDensity_1</v>
      </c>
      <c r="B3857" s="2">
        <v>2024042</v>
      </c>
      <c r="C3857" s="3" t="s">
        <v>4007</v>
      </c>
      <c r="D3857" s="3" t="s">
        <v>645</v>
      </c>
      <c r="F3857" s="3" t="s">
        <v>4184</v>
      </c>
      <c r="G3857" s="3" t="s">
        <v>39</v>
      </c>
      <c r="H3857" s="3" t="s">
        <v>253</v>
      </c>
      <c r="I3857" s="2">
        <v>18</v>
      </c>
      <c r="J3857" s="2">
        <v>18</v>
      </c>
      <c r="K3857" s="2">
        <v>3</v>
      </c>
      <c r="O3857" s="2">
        <v>3</v>
      </c>
      <c r="U3857" s="2">
        <v>3</v>
      </c>
      <c r="V3857" s="2">
        <v>9</v>
      </c>
      <c r="W3857" s="2">
        <v>3</v>
      </c>
      <c r="X3857" s="2">
        <v>6</v>
      </c>
      <c r="Z3857" s="2">
        <v>10</v>
      </c>
      <c r="AA3857" s="3" t="s">
        <v>40</v>
      </c>
      <c r="AB3857" s="2">
        <v>2</v>
      </c>
      <c r="AC3857" s="3" t="s">
        <v>1513</v>
      </c>
      <c r="AF3857" s="2">
        <v>23</v>
      </c>
      <c r="AG3857" s="2">
        <v>1</v>
      </c>
      <c r="AH3857" s="3" t="s">
        <v>4008</v>
      </c>
      <c r="AI3857" s="4">
        <v>45392</v>
      </c>
      <c r="AJ3857" s="3" t="s">
        <v>4026</v>
      </c>
      <c r="AK3857" s="3" t="s">
        <v>645</v>
      </c>
    </row>
    <row r="3858" spans="1:37" hidden="1" x14ac:dyDescent="0.25">
      <c r="A3858" t="str">
        <f t="shared" si="60"/>
        <v>2024_SA_Warnertown_Fababean_SatelliteTOS2VarietyMarneWaterTrtRainFedAgronomyDensity_0.66</v>
      </c>
      <c r="B3858" s="2">
        <v>2024042</v>
      </c>
      <c r="C3858" s="3" t="s">
        <v>4007</v>
      </c>
      <c r="D3858" s="3" t="s">
        <v>645</v>
      </c>
      <c r="F3858" s="3" t="s">
        <v>4184</v>
      </c>
      <c r="G3858" s="3" t="s">
        <v>39</v>
      </c>
      <c r="H3858" s="3" t="s">
        <v>253</v>
      </c>
      <c r="I3858" s="2">
        <v>19</v>
      </c>
      <c r="J3858" s="2">
        <v>19</v>
      </c>
      <c r="K3858" s="2">
        <v>4</v>
      </c>
      <c r="O3858" s="2">
        <v>4</v>
      </c>
      <c r="U3858" s="2">
        <v>1</v>
      </c>
      <c r="V3858" s="2">
        <v>11</v>
      </c>
      <c r="W3858" s="2">
        <v>1</v>
      </c>
      <c r="X3858" s="2">
        <v>7</v>
      </c>
      <c r="Z3858" s="2">
        <v>31</v>
      </c>
      <c r="AA3858" s="3" t="s">
        <v>40</v>
      </c>
      <c r="AB3858" s="2">
        <v>6</v>
      </c>
      <c r="AC3858" s="3" t="s">
        <v>1511</v>
      </c>
      <c r="AF3858" s="2">
        <v>23</v>
      </c>
      <c r="AG3858" s="2">
        <v>2</v>
      </c>
      <c r="AH3858" s="3" t="s">
        <v>3358</v>
      </c>
      <c r="AI3858" s="4">
        <v>45427</v>
      </c>
      <c r="AJ3858" s="3" t="s">
        <v>4027</v>
      </c>
      <c r="AK3858" s="3" t="s">
        <v>645</v>
      </c>
    </row>
    <row r="3859" spans="1:37" hidden="1" x14ac:dyDescent="0.25">
      <c r="A3859" t="str">
        <f t="shared" si="60"/>
        <v>2024_SA_Warnertown_Fababean_SatelliteTOS2VarietyAmberleyWaterTrtRainFedAgronomyDensity_0.66</v>
      </c>
      <c r="B3859" s="2">
        <v>2024042</v>
      </c>
      <c r="C3859" s="3" t="s">
        <v>4007</v>
      </c>
      <c r="D3859" s="3" t="s">
        <v>645</v>
      </c>
      <c r="F3859" s="3" t="s">
        <v>4185</v>
      </c>
      <c r="G3859" s="3" t="s">
        <v>39</v>
      </c>
      <c r="H3859" s="3" t="s">
        <v>253</v>
      </c>
      <c r="I3859" s="2">
        <v>20</v>
      </c>
      <c r="J3859" s="2">
        <v>20</v>
      </c>
      <c r="K3859" s="2">
        <v>4</v>
      </c>
      <c r="O3859" s="2">
        <v>4</v>
      </c>
      <c r="U3859" s="2">
        <v>2</v>
      </c>
      <c r="V3859" s="2">
        <v>11</v>
      </c>
      <c r="W3859" s="2">
        <v>2</v>
      </c>
      <c r="X3859" s="2">
        <v>7</v>
      </c>
      <c r="Z3859" s="2">
        <v>32</v>
      </c>
      <c r="AA3859" s="3" t="s">
        <v>40</v>
      </c>
      <c r="AB3859" s="2">
        <v>5</v>
      </c>
      <c r="AC3859" s="3" t="s">
        <v>1511</v>
      </c>
      <c r="AF3859" s="2">
        <v>23</v>
      </c>
      <c r="AG3859" s="2">
        <v>2</v>
      </c>
      <c r="AH3859" s="3" t="s">
        <v>3358</v>
      </c>
      <c r="AI3859" s="4">
        <v>45427</v>
      </c>
      <c r="AJ3859" s="3" t="s">
        <v>4028</v>
      </c>
      <c r="AK3859" s="3" t="s">
        <v>645</v>
      </c>
    </row>
    <row r="3860" spans="1:37" hidden="1" x14ac:dyDescent="0.25">
      <c r="A3860" t="str">
        <f t="shared" si="60"/>
        <v>2024_SA_Warnertown_Fababean_SatelliteTOS2VarietyAmberleyWaterTrtRainFedAgronomyDensity_1</v>
      </c>
      <c r="B3860" s="2">
        <v>2024042</v>
      </c>
      <c r="C3860" s="3" t="s">
        <v>4007</v>
      </c>
      <c r="D3860" s="3" t="s">
        <v>645</v>
      </c>
      <c r="F3860" s="3" t="s">
        <v>4185</v>
      </c>
      <c r="G3860" s="3" t="s">
        <v>39</v>
      </c>
      <c r="H3860" s="3" t="s">
        <v>253</v>
      </c>
      <c r="I3860" s="2">
        <v>21</v>
      </c>
      <c r="J3860" s="2">
        <v>21</v>
      </c>
      <c r="K3860" s="2">
        <v>4</v>
      </c>
      <c r="O3860" s="2">
        <v>4</v>
      </c>
      <c r="U3860" s="2">
        <v>3</v>
      </c>
      <c r="V3860" s="2">
        <v>11</v>
      </c>
      <c r="W3860" s="2">
        <v>3</v>
      </c>
      <c r="X3860" s="2">
        <v>7</v>
      </c>
      <c r="Z3860" s="2">
        <v>33</v>
      </c>
      <c r="AA3860" s="3" t="s">
        <v>40</v>
      </c>
      <c r="AB3860" s="2">
        <v>1</v>
      </c>
      <c r="AC3860" s="3" t="s">
        <v>1513</v>
      </c>
      <c r="AF3860" s="2">
        <v>23</v>
      </c>
      <c r="AG3860" s="2">
        <v>2</v>
      </c>
      <c r="AH3860" s="3" t="s">
        <v>3358</v>
      </c>
      <c r="AI3860" s="4">
        <v>45427</v>
      </c>
      <c r="AJ3860" s="3" t="s">
        <v>4029</v>
      </c>
      <c r="AK3860" s="3" t="s">
        <v>645</v>
      </c>
    </row>
    <row r="3861" spans="1:37" hidden="1" x14ac:dyDescent="0.25">
      <c r="A3861" t="str">
        <f t="shared" si="60"/>
        <v>2024_SA_Warnertown_Fababean_SatelliteTOS2VarietyMarneWaterTrtRainFedAgronomyDensity_1</v>
      </c>
      <c r="B3861" s="2">
        <v>2024042</v>
      </c>
      <c r="C3861" s="3" t="s">
        <v>4007</v>
      </c>
      <c r="D3861" s="3" t="s">
        <v>645</v>
      </c>
      <c r="F3861" s="3" t="s">
        <v>4184</v>
      </c>
      <c r="G3861" s="3" t="s">
        <v>39</v>
      </c>
      <c r="H3861" s="3" t="s">
        <v>253</v>
      </c>
      <c r="I3861" s="2">
        <v>22</v>
      </c>
      <c r="J3861" s="2">
        <v>22</v>
      </c>
      <c r="K3861" s="2">
        <v>4</v>
      </c>
      <c r="O3861" s="2">
        <v>4</v>
      </c>
      <c r="U3861" s="2">
        <v>1</v>
      </c>
      <c r="V3861" s="2">
        <v>12</v>
      </c>
      <c r="W3861" s="2">
        <v>1</v>
      </c>
      <c r="X3861" s="2">
        <v>8</v>
      </c>
      <c r="Z3861" s="2">
        <v>36</v>
      </c>
      <c r="AA3861" s="3" t="s">
        <v>40</v>
      </c>
      <c r="AB3861" s="2">
        <v>2</v>
      </c>
      <c r="AC3861" s="3" t="s">
        <v>1513</v>
      </c>
      <c r="AF3861" s="2">
        <v>23</v>
      </c>
      <c r="AG3861" s="2">
        <v>2</v>
      </c>
      <c r="AH3861" s="3" t="s">
        <v>3358</v>
      </c>
      <c r="AI3861" s="4">
        <v>45427</v>
      </c>
      <c r="AJ3861" s="3" t="s">
        <v>4030</v>
      </c>
      <c r="AK3861" s="3" t="s">
        <v>645</v>
      </c>
    </row>
    <row r="3862" spans="1:37" hidden="1" x14ac:dyDescent="0.25">
      <c r="A3862" t="str">
        <f t="shared" si="60"/>
        <v>2024_SA_Warnertown_Fababean_SatelliteTOS2VarietyNasmaWaterTrtRainFedAgronomyDensity_1</v>
      </c>
      <c r="B3862" s="2">
        <v>2024042</v>
      </c>
      <c r="C3862" s="3" t="s">
        <v>4007</v>
      </c>
      <c r="D3862" s="3" t="s">
        <v>645</v>
      </c>
      <c r="F3862" s="3" t="s">
        <v>4186</v>
      </c>
      <c r="G3862" s="3" t="s">
        <v>43</v>
      </c>
      <c r="H3862" s="3" t="s">
        <v>253</v>
      </c>
      <c r="I3862" s="2">
        <v>23</v>
      </c>
      <c r="J3862" s="2">
        <v>23</v>
      </c>
      <c r="K3862" s="2">
        <v>4</v>
      </c>
      <c r="O3862" s="2">
        <v>4</v>
      </c>
      <c r="U3862" s="2">
        <v>2</v>
      </c>
      <c r="V3862" s="2">
        <v>12</v>
      </c>
      <c r="W3862" s="2">
        <v>2</v>
      </c>
      <c r="X3862" s="2">
        <v>8</v>
      </c>
      <c r="Z3862" s="2">
        <v>35</v>
      </c>
      <c r="AA3862" s="3" t="s">
        <v>40</v>
      </c>
      <c r="AB3862" s="2">
        <v>3</v>
      </c>
      <c r="AC3862" s="3" t="s">
        <v>1513</v>
      </c>
      <c r="AF3862" s="2">
        <v>23</v>
      </c>
      <c r="AG3862" s="2">
        <v>2</v>
      </c>
      <c r="AH3862" s="3" t="s">
        <v>3358</v>
      </c>
      <c r="AI3862" s="4">
        <v>45427</v>
      </c>
      <c r="AJ3862" s="3" t="s">
        <v>4031</v>
      </c>
      <c r="AK3862" s="3" t="s">
        <v>645</v>
      </c>
    </row>
    <row r="3863" spans="1:37" hidden="1" x14ac:dyDescent="0.25">
      <c r="A3863" t="str">
        <f t="shared" si="60"/>
        <v>2024_SA_Warnertown_Fababean_SatelliteTOS2VarietySamiraWaterTrtRainFedAgronomyDensity_1</v>
      </c>
      <c r="B3863" s="2">
        <v>2024042</v>
      </c>
      <c r="C3863" s="3" t="s">
        <v>4007</v>
      </c>
      <c r="D3863" s="3" t="s">
        <v>645</v>
      </c>
      <c r="F3863" s="3" t="s">
        <v>4183</v>
      </c>
      <c r="G3863" s="3" t="s">
        <v>43</v>
      </c>
      <c r="H3863" s="3" t="s">
        <v>253</v>
      </c>
      <c r="I3863" s="2">
        <v>24</v>
      </c>
      <c r="J3863" s="2">
        <v>24</v>
      </c>
      <c r="K3863" s="2">
        <v>4</v>
      </c>
      <c r="O3863" s="2">
        <v>4</v>
      </c>
      <c r="U3863" s="2">
        <v>3</v>
      </c>
      <c r="V3863" s="2">
        <v>12</v>
      </c>
      <c r="W3863" s="2">
        <v>3</v>
      </c>
      <c r="X3863" s="2">
        <v>8</v>
      </c>
      <c r="Z3863" s="2">
        <v>34</v>
      </c>
      <c r="AA3863" s="3" t="s">
        <v>40</v>
      </c>
      <c r="AB3863" s="2">
        <v>4</v>
      </c>
      <c r="AC3863" s="3" t="s">
        <v>1513</v>
      </c>
      <c r="AF3863" s="2">
        <v>23</v>
      </c>
      <c r="AG3863" s="2">
        <v>2</v>
      </c>
      <c r="AH3863" s="3" t="s">
        <v>3358</v>
      </c>
      <c r="AI3863" s="4">
        <v>45427</v>
      </c>
      <c r="AJ3863" s="3" t="s">
        <v>4032</v>
      </c>
      <c r="AK3863" s="3" t="s">
        <v>645</v>
      </c>
    </row>
    <row r="3864" spans="1:37" hidden="1" x14ac:dyDescent="0.25">
      <c r="A3864" t="str">
        <f t="shared" si="60"/>
        <v>2024_SA_Warnertown_Fababean_SatelliteTOS2VarietyMarneWaterTrtRainFedAgronomyDensity_1</v>
      </c>
      <c r="B3864" s="2">
        <v>2024042</v>
      </c>
      <c r="C3864" s="3" t="s">
        <v>4007</v>
      </c>
      <c r="D3864" s="3" t="s">
        <v>645</v>
      </c>
      <c r="F3864" s="3" t="s">
        <v>4184</v>
      </c>
      <c r="G3864" s="3" t="s">
        <v>39</v>
      </c>
      <c r="H3864" s="3" t="s">
        <v>253</v>
      </c>
      <c r="I3864" s="2">
        <v>25</v>
      </c>
      <c r="J3864" s="2">
        <v>25</v>
      </c>
      <c r="K3864" s="2">
        <v>5</v>
      </c>
      <c r="O3864" s="2">
        <v>5</v>
      </c>
      <c r="U3864" s="2">
        <v>1</v>
      </c>
      <c r="V3864" s="2">
        <v>14</v>
      </c>
      <c r="W3864" s="2">
        <v>1</v>
      </c>
      <c r="X3864" s="2">
        <v>9</v>
      </c>
      <c r="Z3864" s="2">
        <v>37</v>
      </c>
      <c r="AA3864" s="3" t="s">
        <v>40</v>
      </c>
      <c r="AB3864" s="2">
        <v>2</v>
      </c>
      <c r="AC3864" s="3" t="s">
        <v>1513</v>
      </c>
      <c r="AF3864" s="2">
        <v>23</v>
      </c>
      <c r="AG3864" s="2">
        <v>2</v>
      </c>
      <c r="AH3864" s="3" t="s">
        <v>3358</v>
      </c>
      <c r="AI3864" s="4">
        <v>45427</v>
      </c>
      <c r="AJ3864" s="3" t="s">
        <v>4033</v>
      </c>
      <c r="AK3864" s="3" t="s">
        <v>645</v>
      </c>
    </row>
    <row r="3865" spans="1:37" hidden="1" x14ac:dyDescent="0.25">
      <c r="A3865" t="str">
        <f t="shared" si="60"/>
        <v>2024_SA_Warnertown_Fababean_SatelliteTOS2VarietySamiraWaterTrtRainFedAgronomyDensity_1</v>
      </c>
      <c r="B3865" s="2">
        <v>2024042</v>
      </c>
      <c r="C3865" s="3" t="s">
        <v>4007</v>
      </c>
      <c r="D3865" s="3" t="s">
        <v>645</v>
      </c>
      <c r="F3865" s="3" t="s">
        <v>4183</v>
      </c>
      <c r="G3865" s="3" t="s">
        <v>43</v>
      </c>
      <c r="H3865" s="3" t="s">
        <v>253</v>
      </c>
      <c r="I3865" s="2">
        <v>26</v>
      </c>
      <c r="J3865" s="2">
        <v>26</v>
      </c>
      <c r="K3865" s="2">
        <v>5</v>
      </c>
      <c r="O3865" s="2">
        <v>5</v>
      </c>
      <c r="U3865" s="2">
        <v>2</v>
      </c>
      <c r="V3865" s="2">
        <v>14</v>
      </c>
      <c r="W3865" s="2">
        <v>2</v>
      </c>
      <c r="X3865" s="2">
        <v>9</v>
      </c>
      <c r="Z3865" s="2">
        <v>38</v>
      </c>
      <c r="AA3865" s="3" t="s">
        <v>40</v>
      </c>
      <c r="AB3865" s="2">
        <v>4</v>
      </c>
      <c r="AC3865" s="3" t="s">
        <v>1513</v>
      </c>
      <c r="AF3865" s="2">
        <v>23</v>
      </c>
      <c r="AG3865" s="2">
        <v>2</v>
      </c>
      <c r="AH3865" s="3" t="s">
        <v>3358</v>
      </c>
      <c r="AI3865" s="4">
        <v>45427</v>
      </c>
      <c r="AJ3865" s="3" t="s">
        <v>4034</v>
      </c>
      <c r="AK3865" s="3" t="s">
        <v>645</v>
      </c>
    </row>
    <row r="3866" spans="1:37" hidden="1" x14ac:dyDescent="0.25">
      <c r="A3866" t="str">
        <f t="shared" si="60"/>
        <v>2024_SA_Warnertown_Fababean_SatelliteTOS2VarietyMarneWaterTrtRainFedAgronomyDensity_0.66</v>
      </c>
      <c r="B3866" s="2">
        <v>2024042</v>
      </c>
      <c r="C3866" s="3" t="s">
        <v>4007</v>
      </c>
      <c r="D3866" s="3" t="s">
        <v>645</v>
      </c>
      <c r="F3866" s="3" t="s">
        <v>4184</v>
      </c>
      <c r="G3866" s="3" t="s">
        <v>39</v>
      </c>
      <c r="H3866" s="3" t="s">
        <v>253</v>
      </c>
      <c r="I3866" s="2">
        <v>27</v>
      </c>
      <c r="J3866" s="2">
        <v>27</v>
      </c>
      <c r="K3866" s="2">
        <v>5</v>
      </c>
      <c r="O3866" s="2">
        <v>5</v>
      </c>
      <c r="U3866" s="2">
        <v>3</v>
      </c>
      <c r="V3866" s="2">
        <v>14</v>
      </c>
      <c r="W3866" s="2">
        <v>3</v>
      </c>
      <c r="X3866" s="2">
        <v>9</v>
      </c>
      <c r="Z3866" s="2">
        <v>39</v>
      </c>
      <c r="AA3866" s="3" t="s">
        <v>40</v>
      </c>
      <c r="AB3866" s="2">
        <v>6</v>
      </c>
      <c r="AC3866" s="3" t="s">
        <v>1511</v>
      </c>
      <c r="AF3866" s="2">
        <v>23</v>
      </c>
      <c r="AG3866" s="2">
        <v>2</v>
      </c>
      <c r="AH3866" s="3" t="s">
        <v>3358</v>
      </c>
      <c r="AI3866" s="4">
        <v>45427</v>
      </c>
      <c r="AJ3866" s="3" t="s">
        <v>4035</v>
      </c>
      <c r="AK3866" s="3" t="s">
        <v>645</v>
      </c>
    </row>
    <row r="3867" spans="1:37" hidden="1" x14ac:dyDescent="0.25">
      <c r="A3867" t="str">
        <f t="shared" si="60"/>
        <v>2024_SA_Warnertown_Fababean_SatelliteTOS2VarietyNasmaWaterTrtRainFedAgronomyDensity_1</v>
      </c>
      <c r="B3867" s="2">
        <v>2024042</v>
      </c>
      <c r="C3867" s="3" t="s">
        <v>4007</v>
      </c>
      <c r="D3867" s="3" t="s">
        <v>645</v>
      </c>
      <c r="F3867" s="3" t="s">
        <v>4186</v>
      </c>
      <c r="G3867" s="3" t="s">
        <v>43</v>
      </c>
      <c r="H3867" s="3" t="s">
        <v>253</v>
      </c>
      <c r="I3867" s="2">
        <v>28</v>
      </c>
      <c r="J3867" s="2">
        <v>28</v>
      </c>
      <c r="K3867" s="2">
        <v>5</v>
      </c>
      <c r="O3867" s="2">
        <v>5</v>
      </c>
      <c r="U3867" s="2">
        <v>1</v>
      </c>
      <c r="V3867" s="2">
        <v>15</v>
      </c>
      <c r="W3867" s="2">
        <v>1</v>
      </c>
      <c r="X3867" s="2">
        <v>10</v>
      </c>
      <c r="Z3867" s="2">
        <v>42</v>
      </c>
      <c r="AA3867" s="3" t="s">
        <v>40</v>
      </c>
      <c r="AB3867" s="2">
        <v>3</v>
      </c>
      <c r="AC3867" s="3" t="s">
        <v>1513</v>
      </c>
      <c r="AF3867" s="2">
        <v>23</v>
      </c>
      <c r="AG3867" s="2">
        <v>2</v>
      </c>
      <c r="AH3867" s="3" t="s">
        <v>3358</v>
      </c>
      <c r="AI3867" s="4">
        <v>45427</v>
      </c>
      <c r="AJ3867" s="3" t="s">
        <v>4036</v>
      </c>
      <c r="AK3867" s="3" t="s">
        <v>645</v>
      </c>
    </row>
    <row r="3868" spans="1:37" hidden="1" x14ac:dyDescent="0.25">
      <c r="A3868" t="str">
        <f t="shared" si="60"/>
        <v>2024_SA_Warnertown_Fababean_SatelliteTOS2VarietyAmberleyWaterTrtRainFedAgronomyDensity_1</v>
      </c>
      <c r="B3868" s="2">
        <v>2024042</v>
      </c>
      <c r="C3868" s="3" t="s">
        <v>4007</v>
      </c>
      <c r="D3868" s="3" t="s">
        <v>645</v>
      </c>
      <c r="F3868" s="3" t="s">
        <v>4185</v>
      </c>
      <c r="G3868" s="3" t="s">
        <v>39</v>
      </c>
      <c r="H3868" s="3" t="s">
        <v>253</v>
      </c>
      <c r="I3868" s="2">
        <v>29</v>
      </c>
      <c r="J3868" s="2">
        <v>29</v>
      </c>
      <c r="K3868" s="2">
        <v>5</v>
      </c>
      <c r="O3868" s="2">
        <v>5</v>
      </c>
      <c r="U3868" s="2">
        <v>2</v>
      </c>
      <c r="V3868" s="2">
        <v>15</v>
      </c>
      <c r="W3868" s="2">
        <v>2</v>
      </c>
      <c r="X3868" s="2">
        <v>10</v>
      </c>
      <c r="Z3868" s="2">
        <v>41</v>
      </c>
      <c r="AA3868" s="3" t="s">
        <v>40</v>
      </c>
      <c r="AB3868" s="2">
        <v>1</v>
      </c>
      <c r="AC3868" s="3" t="s">
        <v>1513</v>
      </c>
      <c r="AF3868" s="2">
        <v>23</v>
      </c>
      <c r="AG3868" s="2">
        <v>2</v>
      </c>
      <c r="AH3868" s="3" t="s">
        <v>3358</v>
      </c>
      <c r="AI3868" s="4">
        <v>45427</v>
      </c>
      <c r="AJ3868" s="3" t="s">
        <v>4037</v>
      </c>
      <c r="AK3868" s="3" t="s">
        <v>645</v>
      </c>
    </row>
    <row r="3869" spans="1:37" hidden="1" x14ac:dyDescent="0.25">
      <c r="A3869" t="str">
        <f t="shared" si="60"/>
        <v>2024_SA_Warnertown_Fababean_SatelliteTOS2VarietyAmberleyWaterTrtRainFedAgronomyDensity_0.66</v>
      </c>
      <c r="B3869" s="2">
        <v>2024042</v>
      </c>
      <c r="C3869" s="3" t="s">
        <v>4007</v>
      </c>
      <c r="D3869" s="3" t="s">
        <v>645</v>
      </c>
      <c r="F3869" s="3" t="s">
        <v>4185</v>
      </c>
      <c r="G3869" s="3" t="s">
        <v>39</v>
      </c>
      <c r="H3869" s="3" t="s">
        <v>253</v>
      </c>
      <c r="I3869" s="2">
        <v>30</v>
      </c>
      <c r="J3869" s="2">
        <v>30</v>
      </c>
      <c r="K3869" s="2">
        <v>5</v>
      </c>
      <c r="O3869" s="2">
        <v>5</v>
      </c>
      <c r="U3869" s="2">
        <v>3</v>
      </c>
      <c r="V3869" s="2">
        <v>15</v>
      </c>
      <c r="W3869" s="2">
        <v>3</v>
      </c>
      <c r="X3869" s="2">
        <v>10</v>
      </c>
      <c r="Z3869" s="2">
        <v>40</v>
      </c>
      <c r="AA3869" s="3" t="s">
        <v>40</v>
      </c>
      <c r="AB3869" s="2">
        <v>5</v>
      </c>
      <c r="AC3869" s="3" t="s">
        <v>1511</v>
      </c>
      <c r="AF3869" s="2">
        <v>23</v>
      </c>
      <c r="AG3869" s="2">
        <v>2</v>
      </c>
      <c r="AH3869" s="3" t="s">
        <v>3358</v>
      </c>
      <c r="AI3869" s="4">
        <v>45427</v>
      </c>
      <c r="AJ3869" s="3" t="s">
        <v>4038</v>
      </c>
      <c r="AK3869" s="3" t="s">
        <v>645</v>
      </c>
    </row>
    <row r="3870" spans="1:37" hidden="1" x14ac:dyDescent="0.25">
      <c r="A3870" t="str">
        <f t="shared" si="60"/>
        <v>2024_SA_Warnertown_Fababean_SatelliteTOS1VarietyAmberleyWaterTrtRainFedAgronomyDensity_1</v>
      </c>
      <c r="B3870" s="2">
        <v>2024042</v>
      </c>
      <c r="C3870" s="3" t="s">
        <v>4007</v>
      </c>
      <c r="D3870" s="3" t="s">
        <v>645</v>
      </c>
      <c r="F3870" s="3" t="s">
        <v>4185</v>
      </c>
      <c r="G3870" s="3" t="s">
        <v>39</v>
      </c>
      <c r="H3870" s="3" t="s">
        <v>253</v>
      </c>
      <c r="I3870" s="2">
        <v>31</v>
      </c>
      <c r="J3870" s="2">
        <v>31</v>
      </c>
      <c r="K3870" s="2">
        <v>6</v>
      </c>
      <c r="O3870" s="2">
        <v>6</v>
      </c>
      <c r="U3870" s="2">
        <v>1</v>
      </c>
      <c r="V3870" s="2">
        <v>17</v>
      </c>
      <c r="W3870" s="2">
        <v>1</v>
      </c>
      <c r="X3870" s="2">
        <v>11</v>
      </c>
      <c r="Z3870" s="2">
        <v>13</v>
      </c>
      <c r="AA3870" s="3" t="s">
        <v>40</v>
      </c>
      <c r="AB3870" s="2">
        <v>1</v>
      </c>
      <c r="AC3870" s="3" t="s">
        <v>1513</v>
      </c>
      <c r="AF3870" s="2">
        <v>23</v>
      </c>
      <c r="AG3870" s="2">
        <v>1</v>
      </c>
      <c r="AH3870" s="3" t="s">
        <v>4008</v>
      </c>
      <c r="AI3870" s="4">
        <v>45392</v>
      </c>
      <c r="AJ3870" s="3" t="s">
        <v>4039</v>
      </c>
      <c r="AK3870" s="3" t="s">
        <v>645</v>
      </c>
    </row>
    <row r="3871" spans="1:37" hidden="1" x14ac:dyDescent="0.25">
      <c r="A3871" t="str">
        <f t="shared" si="60"/>
        <v>2024_SA_Warnertown_Fababean_SatelliteTOS1VarietyNasmaWaterTrtRainFedAgronomyDensity_1</v>
      </c>
      <c r="B3871" s="2">
        <v>2024042</v>
      </c>
      <c r="C3871" s="3" t="s">
        <v>4007</v>
      </c>
      <c r="D3871" s="3" t="s">
        <v>645</v>
      </c>
      <c r="F3871" s="3" t="s">
        <v>4186</v>
      </c>
      <c r="G3871" s="3" t="s">
        <v>43</v>
      </c>
      <c r="H3871" s="3" t="s">
        <v>253</v>
      </c>
      <c r="I3871" s="2">
        <v>32</v>
      </c>
      <c r="J3871" s="2">
        <v>32</v>
      </c>
      <c r="K3871" s="2">
        <v>6</v>
      </c>
      <c r="O3871" s="2">
        <v>6</v>
      </c>
      <c r="U3871" s="2">
        <v>2</v>
      </c>
      <c r="V3871" s="2">
        <v>17</v>
      </c>
      <c r="W3871" s="2">
        <v>2</v>
      </c>
      <c r="X3871" s="2">
        <v>11</v>
      </c>
      <c r="Z3871" s="2">
        <v>14</v>
      </c>
      <c r="AA3871" s="3" t="s">
        <v>40</v>
      </c>
      <c r="AB3871" s="2">
        <v>3</v>
      </c>
      <c r="AC3871" s="3" t="s">
        <v>1513</v>
      </c>
      <c r="AF3871" s="2">
        <v>23</v>
      </c>
      <c r="AG3871" s="2">
        <v>1</v>
      </c>
      <c r="AH3871" s="3" t="s">
        <v>4008</v>
      </c>
      <c r="AI3871" s="4">
        <v>45392</v>
      </c>
      <c r="AJ3871" s="3" t="s">
        <v>4040</v>
      </c>
      <c r="AK3871" s="3" t="s">
        <v>645</v>
      </c>
    </row>
    <row r="3872" spans="1:37" hidden="1" x14ac:dyDescent="0.25">
      <c r="A3872" t="str">
        <f t="shared" si="60"/>
        <v>2024_SA_Warnertown_Fababean_SatelliteTOS1VarietyMarneWaterTrtRainFedAgronomyDensity_1</v>
      </c>
      <c r="B3872" s="2">
        <v>2024042</v>
      </c>
      <c r="C3872" s="3" t="s">
        <v>4007</v>
      </c>
      <c r="D3872" s="3" t="s">
        <v>645</v>
      </c>
      <c r="F3872" s="3" t="s">
        <v>4184</v>
      </c>
      <c r="G3872" s="3" t="s">
        <v>39</v>
      </c>
      <c r="H3872" s="3" t="s">
        <v>253</v>
      </c>
      <c r="I3872" s="2">
        <v>33</v>
      </c>
      <c r="J3872" s="2">
        <v>33</v>
      </c>
      <c r="K3872" s="2">
        <v>6</v>
      </c>
      <c r="O3872" s="2">
        <v>6</v>
      </c>
      <c r="U3872" s="2">
        <v>3</v>
      </c>
      <c r="V3872" s="2">
        <v>17</v>
      </c>
      <c r="W3872" s="2">
        <v>3</v>
      </c>
      <c r="X3872" s="2">
        <v>11</v>
      </c>
      <c r="Z3872" s="2">
        <v>15</v>
      </c>
      <c r="AA3872" s="3" t="s">
        <v>40</v>
      </c>
      <c r="AB3872" s="2">
        <v>2</v>
      </c>
      <c r="AC3872" s="3" t="s">
        <v>1513</v>
      </c>
      <c r="AF3872" s="2">
        <v>23</v>
      </c>
      <c r="AG3872" s="2">
        <v>1</v>
      </c>
      <c r="AH3872" s="3" t="s">
        <v>4008</v>
      </c>
      <c r="AI3872" s="4">
        <v>45392</v>
      </c>
      <c r="AJ3872" s="3" t="s">
        <v>4041</v>
      </c>
      <c r="AK3872" s="3" t="s">
        <v>645</v>
      </c>
    </row>
    <row r="3873" spans="1:37" hidden="1" x14ac:dyDescent="0.25">
      <c r="A3873" t="str">
        <f t="shared" si="60"/>
        <v>2024_SA_Warnertown_Fababean_SatelliteTOS1VarietyAmberleyWaterTrtRainFedAgronomyDensity_0.66</v>
      </c>
      <c r="B3873" s="2">
        <v>2024042</v>
      </c>
      <c r="C3873" s="3" t="s">
        <v>4007</v>
      </c>
      <c r="D3873" s="3" t="s">
        <v>645</v>
      </c>
      <c r="F3873" s="3" t="s">
        <v>4185</v>
      </c>
      <c r="G3873" s="3" t="s">
        <v>39</v>
      </c>
      <c r="H3873" s="3" t="s">
        <v>253</v>
      </c>
      <c r="I3873" s="2">
        <v>34</v>
      </c>
      <c r="J3873" s="2">
        <v>34</v>
      </c>
      <c r="K3873" s="2">
        <v>6</v>
      </c>
      <c r="O3873" s="2">
        <v>6</v>
      </c>
      <c r="U3873" s="2">
        <v>1</v>
      </c>
      <c r="V3873" s="2">
        <v>18</v>
      </c>
      <c r="W3873" s="2">
        <v>1</v>
      </c>
      <c r="X3873" s="2">
        <v>12</v>
      </c>
      <c r="Z3873" s="2">
        <v>18</v>
      </c>
      <c r="AA3873" s="3" t="s">
        <v>40</v>
      </c>
      <c r="AB3873" s="2">
        <v>5</v>
      </c>
      <c r="AC3873" s="3" t="s">
        <v>1511</v>
      </c>
      <c r="AF3873" s="2">
        <v>23</v>
      </c>
      <c r="AG3873" s="2">
        <v>1</v>
      </c>
      <c r="AH3873" s="3" t="s">
        <v>4008</v>
      </c>
      <c r="AI3873" s="4">
        <v>45392</v>
      </c>
      <c r="AJ3873" s="3" t="s">
        <v>4042</v>
      </c>
      <c r="AK3873" s="3" t="s">
        <v>645</v>
      </c>
    </row>
    <row r="3874" spans="1:37" hidden="1" x14ac:dyDescent="0.25">
      <c r="A3874" t="str">
        <f t="shared" si="60"/>
        <v>2024_SA_Warnertown_Fababean_SatelliteTOS1VarietySamiraWaterTrtRainFedAgronomyDensity_1</v>
      </c>
      <c r="B3874" s="2">
        <v>2024042</v>
      </c>
      <c r="C3874" s="3" t="s">
        <v>4007</v>
      </c>
      <c r="D3874" s="3" t="s">
        <v>645</v>
      </c>
      <c r="F3874" s="3" t="s">
        <v>4183</v>
      </c>
      <c r="G3874" s="3" t="s">
        <v>43</v>
      </c>
      <c r="H3874" s="3" t="s">
        <v>253</v>
      </c>
      <c r="I3874" s="2">
        <v>35</v>
      </c>
      <c r="J3874" s="2">
        <v>35</v>
      </c>
      <c r="K3874" s="2">
        <v>6</v>
      </c>
      <c r="O3874" s="2">
        <v>6</v>
      </c>
      <c r="U3874" s="2">
        <v>2</v>
      </c>
      <c r="V3874" s="2">
        <v>18</v>
      </c>
      <c r="W3874" s="2">
        <v>2</v>
      </c>
      <c r="X3874" s="2">
        <v>12</v>
      </c>
      <c r="Z3874" s="2">
        <v>17</v>
      </c>
      <c r="AA3874" s="3" t="s">
        <v>40</v>
      </c>
      <c r="AB3874" s="2">
        <v>4</v>
      </c>
      <c r="AC3874" s="3" t="s">
        <v>1513</v>
      </c>
      <c r="AF3874" s="2">
        <v>23</v>
      </c>
      <c r="AG3874" s="2">
        <v>1</v>
      </c>
      <c r="AH3874" s="3" t="s">
        <v>4008</v>
      </c>
      <c r="AI3874" s="4">
        <v>45392</v>
      </c>
      <c r="AJ3874" s="3" t="s">
        <v>4043</v>
      </c>
      <c r="AK3874" s="3" t="s">
        <v>645</v>
      </c>
    </row>
    <row r="3875" spans="1:37" hidden="1" x14ac:dyDescent="0.25">
      <c r="A3875" t="str">
        <f t="shared" si="60"/>
        <v>2024_SA_Warnertown_Fababean_SatelliteTOS1VarietyMarneWaterTrtRainFedAgronomyDensity_0.66</v>
      </c>
      <c r="B3875" s="2">
        <v>2024042</v>
      </c>
      <c r="C3875" s="3" t="s">
        <v>4007</v>
      </c>
      <c r="D3875" s="3" t="s">
        <v>645</v>
      </c>
      <c r="F3875" s="3" t="s">
        <v>4184</v>
      </c>
      <c r="G3875" s="3" t="s">
        <v>39</v>
      </c>
      <c r="H3875" s="3" t="s">
        <v>253</v>
      </c>
      <c r="I3875" s="2">
        <v>36</v>
      </c>
      <c r="J3875" s="2">
        <v>36</v>
      </c>
      <c r="K3875" s="2">
        <v>6</v>
      </c>
      <c r="O3875" s="2">
        <v>6</v>
      </c>
      <c r="U3875" s="2">
        <v>3</v>
      </c>
      <c r="V3875" s="2">
        <v>18</v>
      </c>
      <c r="W3875" s="2">
        <v>3</v>
      </c>
      <c r="X3875" s="2">
        <v>12</v>
      </c>
      <c r="Z3875" s="2">
        <v>16</v>
      </c>
      <c r="AA3875" s="3" t="s">
        <v>40</v>
      </c>
      <c r="AB3875" s="2">
        <v>6</v>
      </c>
      <c r="AC3875" s="3" t="s">
        <v>1511</v>
      </c>
      <c r="AF3875" s="2">
        <v>23</v>
      </c>
      <c r="AG3875" s="2">
        <v>1</v>
      </c>
      <c r="AH3875" s="3" t="s">
        <v>4008</v>
      </c>
      <c r="AI3875" s="4">
        <v>45392</v>
      </c>
      <c r="AJ3875" s="3" t="s">
        <v>4044</v>
      </c>
      <c r="AK3875" s="3" t="s">
        <v>645</v>
      </c>
    </row>
    <row r="3876" spans="1:37" hidden="1" x14ac:dyDescent="0.25">
      <c r="A3876" t="str">
        <f t="shared" si="60"/>
        <v>2024_SA_Warnertown_Fababean_SatelliteTOS2VarietyAmberleyWaterTrtRainFedAgronomyDensity_0.66</v>
      </c>
      <c r="B3876" s="2">
        <v>2024042</v>
      </c>
      <c r="C3876" s="3" t="s">
        <v>4007</v>
      </c>
      <c r="D3876" s="3" t="s">
        <v>645</v>
      </c>
      <c r="F3876" s="3" t="s">
        <v>4185</v>
      </c>
      <c r="G3876" s="3" t="s">
        <v>39</v>
      </c>
      <c r="H3876" s="3" t="s">
        <v>253</v>
      </c>
      <c r="I3876" s="2">
        <v>37</v>
      </c>
      <c r="J3876" s="2">
        <v>37</v>
      </c>
      <c r="K3876" s="2">
        <v>7</v>
      </c>
      <c r="O3876" s="2">
        <v>7</v>
      </c>
      <c r="U3876" s="2">
        <v>1</v>
      </c>
      <c r="V3876" s="2">
        <v>20</v>
      </c>
      <c r="W3876" s="2">
        <v>1</v>
      </c>
      <c r="X3876" s="2">
        <v>13</v>
      </c>
      <c r="Z3876" s="2">
        <v>43</v>
      </c>
      <c r="AA3876" s="3" t="s">
        <v>40</v>
      </c>
      <c r="AB3876" s="2">
        <v>5</v>
      </c>
      <c r="AC3876" s="3" t="s">
        <v>1511</v>
      </c>
      <c r="AF3876" s="2">
        <v>23</v>
      </c>
      <c r="AG3876" s="2">
        <v>2</v>
      </c>
      <c r="AH3876" s="3" t="s">
        <v>3358</v>
      </c>
      <c r="AI3876" s="4">
        <v>45427</v>
      </c>
      <c r="AJ3876" s="3" t="s">
        <v>4045</v>
      </c>
      <c r="AK3876" s="3" t="s">
        <v>645</v>
      </c>
    </row>
    <row r="3877" spans="1:37" hidden="1" x14ac:dyDescent="0.25">
      <c r="A3877" t="str">
        <f t="shared" si="60"/>
        <v>2024_SA_Warnertown_Fababean_SatelliteTOS2VarietyAmberleyWaterTrtRainFedAgronomyDensity_1</v>
      </c>
      <c r="B3877" s="2">
        <v>2024042</v>
      </c>
      <c r="C3877" s="3" t="s">
        <v>4007</v>
      </c>
      <c r="D3877" s="3" t="s">
        <v>645</v>
      </c>
      <c r="F3877" s="3" t="s">
        <v>4185</v>
      </c>
      <c r="G3877" s="3" t="s">
        <v>39</v>
      </c>
      <c r="H3877" s="3" t="s">
        <v>253</v>
      </c>
      <c r="I3877" s="2">
        <v>38</v>
      </c>
      <c r="J3877" s="2">
        <v>38</v>
      </c>
      <c r="K3877" s="2">
        <v>7</v>
      </c>
      <c r="O3877" s="2">
        <v>7</v>
      </c>
      <c r="U3877" s="2">
        <v>2</v>
      </c>
      <c r="V3877" s="2">
        <v>20</v>
      </c>
      <c r="W3877" s="2">
        <v>2</v>
      </c>
      <c r="X3877" s="2">
        <v>13</v>
      </c>
      <c r="Z3877" s="2">
        <v>44</v>
      </c>
      <c r="AA3877" s="3" t="s">
        <v>40</v>
      </c>
      <c r="AB3877" s="2">
        <v>1</v>
      </c>
      <c r="AC3877" s="3" t="s">
        <v>1513</v>
      </c>
      <c r="AF3877" s="2">
        <v>23</v>
      </c>
      <c r="AG3877" s="2">
        <v>2</v>
      </c>
      <c r="AH3877" s="3" t="s">
        <v>3358</v>
      </c>
      <c r="AI3877" s="4">
        <v>45427</v>
      </c>
      <c r="AJ3877" s="3" t="s">
        <v>4046</v>
      </c>
      <c r="AK3877" s="3" t="s">
        <v>645</v>
      </c>
    </row>
    <row r="3878" spans="1:37" hidden="1" x14ac:dyDescent="0.25">
      <c r="A3878" t="str">
        <f t="shared" si="60"/>
        <v>2024_SA_Warnertown_Fababean_SatelliteTOS2VarietySamiraWaterTrtRainFedAgronomyDensity_1</v>
      </c>
      <c r="B3878" s="2">
        <v>2024042</v>
      </c>
      <c r="C3878" s="3" t="s">
        <v>4007</v>
      </c>
      <c r="D3878" s="3" t="s">
        <v>645</v>
      </c>
      <c r="F3878" s="3" t="s">
        <v>4183</v>
      </c>
      <c r="G3878" s="3" t="s">
        <v>43</v>
      </c>
      <c r="H3878" s="3" t="s">
        <v>253</v>
      </c>
      <c r="I3878" s="2">
        <v>39</v>
      </c>
      <c r="J3878" s="2">
        <v>39</v>
      </c>
      <c r="K3878" s="2">
        <v>7</v>
      </c>
      <c r="O3878" s="2">
        <v>7</v>
      </c>
      <c r="U3878" s="2">
        <v>3</v>
      </c>
      <c r="V3878" s="2">
        <v>20</v>
      </c>
      <c r="W3878" s="2">
        <v>3</v>
      </c>
      <c r="X3878" s="2">
        <v>13</v>
      </c>
      <c r="Z3878" s="2">
        <v>45</v>
      </c>
      <c r="AA3878" s="3" t="s">
        <v>40</v>
      </c>
      <c r="AB3878" s="2">
        <v>4</v>
      </c>
      <c r="AC3878" s="3" t="s">
        <v>1513</v>
      </c>
      <c r="AF3878" s="2">
        <v>23</v>
      </c>
      <c r="AG3878" s="2">
        <v>2</v>
      </c>
      <c r="AH3878" s="3" t="s">
        <v>3358</v>
      </c>
      <c r="AI3878" s="4">
        <v>45427</v>
      </c>
      <c r="AJ3878" s="3" t="s">
        <v>4047</v>
      </c>
      <c r="AK3878" s="3" t="s">
        <v>645</v>
      </c>
    </row>
    <row r="3879" spans="1:37" hidden="1" x14ac:dyDescent="0.25">
      <c r="A3879" t="str">
        <f t="shared" si="60"/>
        <v>2024_SA_Warnertown_Fababean_SatelliteTOS2VarietyMarneWaterTrtRainFedAgronomyDensity_1</v>
      </c>
      <c r="B3879" s="2">
        <v>2024042</v>
      </c>
      <c r="C3879" s="3" t="s">
        <v>4007</v>
      </c>
      <c r="D3879" s="3" t="s">
        <v>645</v>
      </c>
      <c r="F3879" s="3" t="s">
        <v>4184</v>
      </c>
      <c r="G3879" s="3" t="s">
        <v>39</v>
      </c>
      <c r="H3879" s="3" t="s">
        <v>253</v>
      </c>
      <c r="I3879" s="2">
        <v>40</v>
      </c>
      <c r="J3879" s="2">
        <v>40</v>
      </c>
      <c r="K3879" s="2">
        <v>7</v>
      </c>
      <c r="O3879" s="2">
        <v>7</v>
      </c>
      <c r="U3879" s="2">
        <v>1</v>
      </c>
      <c r="V3879" s="2">
        <v>21</v>
      </c>
      <c r="W3879" s="2">
        <v>1</v>
      </c>
      <c r="X3879" s="2">
        <v>14</v>
      </c>
      <c r="Z3879" s="2">
        <v>48</v>
      </c>
      <c r="AA3879" s="3" t="s">
        <v>40</v>
      </c>
      <c r="AB3879" s="2">
        <v>2</v>
      </c>
      <c r="AC3879" s="3" t="s">
        <v>1513</v>
      </c>
      <c r="AF3879" s="2">
        <v>23</v>
      </c>
      <c r="AG3879" s="2">
        <v>2</v>
      </c>
      <c r="AH3879" s="3" t="s">
        <v>3358</v>
      </c>
      <c r="AI3879" s="4">
        <v>45427</v>
      </c>
      <c r="AJ3879" s="3" t="s">
        <v>4048</v>
      </c>
      <c r="AK3879" s="3" t="s">
        <v>645</v>
      </c>
    </row>
    <row r="3880" spans="1:37" hidden="1" x14ac:dyDescent="0.25">
      <c r="A3880" t="str">
        <f t="shared" si="60"/>
        <v>2024_SA_Warnertown_Fababean_SatelliteTOS2VarietyMarneWaterTrtRainFedAgronomyDensity_0.66</v>
      </c>
      <c r="B3880" s="2">
        <v>2024042</v>
      </c>
      <c r="C3880" s="3" t="s">
        <v>4007</v>
      </c>
      <c r="D3880" s="3" t="s">
        <v>645</v>
      </c>
      <c r="F3880" s="3" t="s">
        <v>4184</v>
      </c>
      <c r="G3880" s="3" t="s">
        <v>39</v>
      </c>
      <c r="H3880" s="3" t="s">
        <v>253</v>
      </c>
      <c r="I3880" s="2">
        <v>41</v>
      </c>
      <c r="J3880" s="2">
        <v>41</v>
      </c>
      <c r="K3880" s="2">
        <v>7</v>
      </c>
      <c r="O3880" s="2">
        <v>7</v>
      </c>
      <c r="U3880" s="2">
        <v>2</v>
      </c>
      <c r="V3880" s="2">
        <v>21</v>
      </c>
      <c r="W3880" s="2">
        <v>2</v>
      </c>
      <c r="X3880" s="2">
        <v>14</v>
      </c>
      <c r="Z3880" s="2">
        <v>47</v>
      </c>
      <c r="AA3880" s="3" t="s">
        <v>40</v>
      </c>
      <c r="AB3880" s="2">
        <v>6</v>
      </c>
      <c r="AC3880" s="3" t="s">
        <v>1511</v>
      </c>
      <c r="AF3880" s="2">
        <v>23</v>
      </c>
      <c r="AG3880" s="2">
        <v>2</v>
      </c>
      <c r="AH3880" s="3" t="s">
        <v>3358</v>
      </c>
      <c r="AI3880" s="4">
        <v>45427</v>
      </c>
      <c r="AJ3880" s="3" t="s">
        <v>4049</v>
      </c>
      <c r="AK3880" s="3" t="s">
        <v>645</v>
      </c>
    </row>
    <row r="3881" spans="1:37" hidden="1" x14ac:dyDescent="0.25">
      <c r="A3881" t="str">
        <f t="shared" si="60"/>
        <v>2024_SA_Warnertown_Fababean_SatelliteTOS2VarietyNasmaWaterTrtRainFedAgronomyDensity_1</v>
      </c>
      <c r="B3881" s="2">
        <v>2024042</v>
      </c>
      <c r="C3881" s="3" t="s">
        <v>4007</v>
      </c>
      <c r="D3881" s="3" t="s">
        <v>645</v>
      </c>
      <c r="F3881" s="3" t="s">
        <v>4186</v>
      </c>
      <c r="G3881" s="3" t="s">
        <v>43</v>
      </c>
      <c r="H3881" s="3" t="s">
        <v>253</v>
      </c>
      <c r="I3881" s="2">
        <v>42</v>
      </c>
      <c r="J3881" s="2">
        <v>42</v>
      </c>
      <c r="K3881" s="2">
        <v>7</v>
      </c>
      <c r="O3881" s="2">
        <v>7</v>
      </c>
      <c r="U3881" s="2">
        <v>3</v>
      </c>
      <c r="V3881" s="2">
        <v>21</v>
      </c>
      <c r="W3881" s="2">
        <v>3</v>
      </c>
      <c r="X3881" s="2">
        <v>14</v>
      </c>
      <c r="Z3881" s="2">
        <v>46</v>
      </c>
      <c r="AA3881" s="3" t="s">
        <v>40</v>
      </c>
      <c r="AB3881" s="2">
        <v>3</v>
      </c>
      <c r="AC3881" s="3" t="s">
        <v>1513</v>
      </c>
      <c r="AF3881" s="2">
        <v>23</v>
      </c>
      <c r="AG3881" s="2">
        <v>2</v>
      </c>
      <c r="AH3881" s="3" t="s">
        <v>3358</v>
      </c>
      <c r="AI3881" s="4">
        <v>45427</v>
      </c>
      <c r="AJ3881" s="3" t="s">
        <v>4050</v>
      </c>
      <c r="AK3881" s="3" t="s">
        <v>645</v>
      </c>
    </row>
    <row r="3882" spans="1:37" hidden="1" x14ac:dyDescent="0.25">
      <c r="A3882" t="str">
        <f t="shared" si="60"/>
        <v>2024_SA_Warnertown_Fababean_SatelliteTOS1VarietyAmberleyWaterTrtRainFedAgronomyDensity_1</v>
      </c>
      <c r="B3882" s="2">
        <v>2024042</v>
      </c>
      <c r="C3882" s="3" t="s">
        <v>4007</v>
      </c>
      <c r="D3882" s="3" t="s">
        <v>645</v>
      </c>
      <c r="F3882" s="3" t="s">
        <v>4185</v>
      </c>
      <c r="G3882" s="3" t="s">
        <v>39</v>
      </c>
      <c r="H3882" s="3" t="s">
        <v>253</v>
      </c>
      <c r="I3882" s="2">
        <v>43</v>
      </c>
      <c r="J3882" s="2">
        <v>43</v>
      </c>
      <c r="K3882" s="2">
        <v>8</v>
      </c>
      <c r="O3882" s="2">
        <v>8</v>
      </c>
      <c r="U3882" s="2">
        <v>1</v>
      </c>
      <c r="V3882" s="2">
        <v>23</v>
      </c>
      <c r="W3882" s="2">
        <v>1</v>
      </c>
      <c r="X3882" s="2">
        <v>15</v>
      </c>
      <c r="Z3882" s="2">
        <v>19</v>
      </c>
      <c r="AA3882" s="3" t="s">
        <v>40</v>
      </c>
      <c r="AB3882" s="2">
        <v>1</v>
      </c>
      <c r="AC3882" s="3" t="s">
        <v>1513</v>
      </c>
      <c r="AF3882" s="2">
        <v>23</v>
      </c>
      <c r="AG3882" s="2">
        <v>1</v>
      </c>
      <c r="AH3882" s="3" t="s">
        <v>4008</v>
      </c>
      <c r="AI3882" s="4">
        <v>45392</v>
      </c>
      <c r="AJ3882" s="3" t="s">
        <v>4051</v>
      </c>
      <c r="AK3882" s="3" t="s">
        <v>645</v>
      </c>
    </row>
    <row r="3883" spans="1:37" hidden="1" x14ac:dyDescent="0.25">
      <c r="A3883" t="str">
        <f t="shared" si="60"/>
        <v>2024_SA_Warnertown_Fababean_SatelliteTOS1VarietyMarneWaterTrtRainFedAgronomyDensity_1</v>
      </c>
      <c r="B3883" s="2">
        <v>2024042</v>
      </c>
      <c r="C3883" s="3" t="s">
        <v>4007</v>
      </c>
      <c r="D3883" s="3" t="s">
        <v>645</v>
      </c>
      <c r="F3883" s="3" t="s">
        <v>4184</v>
      </c>
      <c r="G3883" s="3" t="s">
        <v>39</v>
      </c>
      <c r="H3883" s="3" t="s">
        <v>253</v>
      </c>
      <c r="I3883" s="2">
        <v>44</v>
      </c>
      <c r="J3883" s="2">
        <v>44</v>
      </c>
      <c r="K3883" s="2">
        <v>8</v>
      </c>
      <c r="O3883" s="2">
        <v>8</v>
      </c>
      <c r="U3883" s="2">
        <v>2</v>
      </c>
      <c r="V3883" s="2">
        <v>23</v>
      </c>
      <c r="W3883" s="2">
        <v>2</v>
      </c>
      <c r="X3883" s="2">
        <v>15</v>
      </c>
      <c r="Z3883" s="2">
        <v>20</v>
      </c>
      <c r="AA3883" s="3" t="s">
        <v>40</v>
      </c>
      <c r="AB3883" s="2">
        <v>2</v>
      </c>
      <c r="AC3883" s="3" t="s">
        <v>1513</v>
      </c>
      <c r="AF3883" s="2">
        <v>23</v>
      </c>
      <c r="AG3883" s="2">
        <v>1</v>
      </c>
      <c r="AH3883" s="3" t="s">
        <v>4008</v>
      </c>
      <c r="AI3883" s="4">
        <v>45392</v>
      </c>
      <c r="AJ3883" s="3" t="s">
        <v>4052</v>
      </c>
      <c r="AK3883" s="3" t="s">
        <v>645</v>
      </c>
    </row>
    <row r="3884" spans="1:37" hidden="1" x14ac:dyDescent="0.25">
      <c r="A3884" t="str">
        <f t="shared" si="60"/>
        <v>2024_SA_Warnertown_Fababean_SatelliteTOS1VarietyMarneWaterTrtRainFedAgronomyDensity_0.66</v>
      </c>
      <c r="B3884" s="2">
        <v>2024042</v>
      </c>
      <c r="C3884" s="3" t="s">
        <v>4007</v>
      </c>
      <c r="D3884" s="3" t="s">
        <v>645</v>
      </c>
      <c r="F3884" s="3" t="s">
        <v>4184</v>
      </c>
      <c r="G3884" s="3" t="s">
        <v>39</v>
      </c>
      <c r="H3884" s="3" t="s">
        <v>253</v>
      </c>
      <c r="I3884" s="2">
        <v>45</v>
      </c>
      <c r="J3884" s="2">
        <v>45</v>
      </c>
      <c r="K3884" s="2">
        <v>8</v>
      </c>
      <c r="O3884" s="2">
        <v>8</v>
      </c>
      <c r="U3884" s="2">
        <v>3</v>
      </c>
      <c r="V3884" s="2">
        <v>23</v>
      </c>
      <c r="W3884" s="2">
        <v>3</v>
      </c>
      <c r="X3884" s="2">
        <v>15</v>
      </c>
      <c r="Z3884" s="2">
        <v>21</v>
      </c>
      <c r="AA3884" s="3" t="s">
        <v>40</v>
      </c>
      <c r="AB3884" s="2">
        <v>6</v>
      </c>
      <c r="AC3884" s="3" t="s">
        <v>1511</v>
      </c>
      <c r="AF3884" s="2">
        <v>23</v>
      </c>
      <c r="AG3884" s="2">
        <v>1</v>
      </c>
      <c r="AH3884" s="3" t="s">
        <v>4008</v>
      </c>
      <c r="AI3884" s="4">
        <v>45392</v>
      </c>
      <c r="AJ3884" s="3" t="s">
        <v>4053</v>
      </c>
      <c r="AK3884" s="3" t="s">
        <v>645</v>
      </c>
    </row>
    <row r="3885" spans="1:37" hidden="1" x14ac:dyDescent="0.25">
      <c r="A3885" t="str">
        <f t="shared" si="60"/>
        <v>2024_SA_Warnertown_Fababean_SatelliteTOS1VarietyNasmaWaterTrtRainFedAgronomyDensity_1</v>
      </c>
      <c r="B3885" s="2">
        <v>2024042</v>
      </c>
      <c r="C3885" s="3" t="s">
        <v>4007</v>
      </c>
      <c r="D3885" s="3" t="s">
        <v>645</v>
      </c>
      <c r="F3885" s="3" t="s">
        <v>4186</v>
      </c>
      <c r="G3885" s="3" t="s">
        <v>43</v>
      </c>
      <c r="H3885" s="3" t="s">
        <v>253</v>
      </c>
      <c r="I3885" s="2">
        <v>46</v>
      </c>
      <c r="J3885" s="2">
        <v>46</v>
      </c>
      <c r="K3885" s="2">
        <v>8</v>
      </c>
      <c r="O3885" s="2">
        <v>8</v>
      </c>
      <c r="U3885" s="2">
        <v>1</v>
      </c>
      <c r="V3885" s="2">
        <v>24</v>
      </c>
      <c r="W3885" s="2">
        <v>1</v>
      </c>
      <c r="X3885" s="2">
        <v>16</v>
      </c>
      <c r="Z3885" s="2">
        <v>24</v>
      </c>
      <c r="AA3885" s="3" t="s">
        <v>40</v>
      </c>
      <c r="AB3885" s="2">
        <v>3</v>
      </c>
      <c r="AC3885" s="3" t="s">
        <v>1513</v>
      </c>
      <c r="AF3885" s="2">
        <v>23</v>
      </c>
      <c r="AG3885" s="2">
        <v>1</v>
      </c>
      <c r="AH3885" s="3" t="s">
        <v>4008</v>
      </c>
      <c r="AI3885" s="4">
        <v>45392</v>
      </c>
      <c r="AJ3885" s="3" t="s">
        <v>4054</v>
      </c>
      <c r="AK3885" s="3" t="s">
        <v>645</v>
      </c>
    </row>
    <row r="3886" spans="1:37" hidden="1" x14ac:dyDescent="0.25">
      <c r="A3886" t="str">
        <f t="shared" si="60"/>
        <v>2024_SA_Warnertown_Fababean_SatelliteTOS1VarietySamiraWaterTrtRainFedAgronomyDensity_1</v>
      </c>
      <c r="B3886" s="2">
        <v>2024042</v>
      </c>
      <c r="C3886" s="3" t="s">
        <v>4007</v>
      </c>
      <c r="D3886" s="3" t="s">
        <v>645</v>
      </c>
      <c r="F3886" s="3" t="s">
        <v>4183</v>
      </c>
      <c r="G3886" s="3" t="s">
        <v>43</v>
      </c>
      <c r="H3886" s="3" t="s">
        <v>253</v>
      </c>
      <c r="I3886" s="2">
        <v>47</v>
      </c>
      <c r="J3886" s="2">
        <v>47</v>
      </c>
      <c r="K3886" s="2">
        <v>8</v>
      </c>
      <c r="O3886" s="2">
        <v>8</v>
      </c>
      <c r="U3886" s="2">
        <v>2</v>
      </c>
      <c r="V3886" s="2">
        <v>24</v>
      </c>
      <c r="W3886" s="2">
        <v>2</v>
      </c>
      <c r="X3886" s="2">
        <v>16</v>
      </c>
      <c r="Z3886" s="2">
        <v>23</v>
      </c>
      <c r="AA3886" s="3" t="s">
        <v>40</v>
      </c>
      <c r="AB3886" s="2">
        <v>4</v>
      </c>
      <c r="AC3886" s="3" t="s">
        <v>1513</v>
      </c>
      <c r="AF3886" s="2">
        <v>23</v>
      </c>
      <c r="AG3886" s="2">
        <v>1</v>
      </c>
      <c r="AH3886" s="3" t="s">
        <v>4008</v>
      </c>
      <c r="AI3886" s="4">
        <v>45392</v>
      </c>
      <c r="AJ3886" s="3" t="s">
        <v>4055</v>
      </c>
      <c r="AK3886" s="3" t="s">
        <v>645</v>
      </c>
    </row>
    <row r="3887" spans="1:37" hidden="1" x14ac:dyDescent="0.25">
      <c r="A3887" t="str">
        <f t="shared" si="60"/>
        <v>2024_SA_Warnertown_Fababean_SatelliteTOS1VarietyAmberleyWaterTrtRainFedAgronomyDensity_0.66</v>
      </c>
      <c r="B3887" s="2">
        <v>2024042</v>
      </c>
      <c r="C3887" s="3" t="s">
        <v>4007</v>
      </c>
      <c r="D3887" s="3" t="s">
        <v>645</v>
      </c>
      <c r="F3887" s="3" t="s">
        <v>4185</v>
      </c>
      <c r="G3887" s="3" t="s">
        <v>39</v>
      </c>
      <c r="H3887" s="3" t="s">
        <v>253</v>
      </c>
      <c r="I3887" s="2">
        <v>48</v>
      </c>
      <c r="J3887" s="2">
        <v>48</v>
      </c>
      <c r="K3887" s="2">
        <v>8</v>
      </c>
      <c r="O3887" s="2">
        <v>8</v>
      </c>
      <c r="U3887" s="2">
        <v>3</v>
      </c>
      <c r="V3887" s="2">
        <v>24</v>
      </c>
      <c r="W3887" s="2">
        <v>3</v>
      </c>
      <c r="X3887" s="2">
        <v>16</v>
      </c>
      <c r="Z3887" s="2">
        <v>22</v>
      </c>
      <c r="AA3887" s="3" t="s">
        <v>40</v>
      </c>
      <c r="AB3887" s="2">
        <v>5</v>
      </c>
      <c r="AC3887" s="3" t="s">
        <v>1511</v>
      </c>
      <c r="AF3887" s="2">
        <v>23</v>
      </c>
      <c r="AG3887" s="2">
        <v>1</v>
      </c>
      <c r="AH3887" s="3" t="s">
        <v>4008</v>
      </c>
      <c r="AI3887" s="4">
        <v>45392</v>
      </c>
      <c r="AJ3887" s="3" t="s">
        <v>4056</v>
      </c>
      <c r="AK3887" s="3" t="s">
        <v>645</v>
      </c>
    </row>
    <row r="3888" spans="1:37" hidden="1" x14ac:dyDescent="0.25">
      <c r="A3888" t="str">
        <f t="shared" si="60"/>
        <v>2024_SA_Warnertown_Lentil_SatelliteTOS2VarietyJumbo2WaterTrtRainFedAgronomyDensity_0.66</v>
      </c>
      <c r="B3888" s="2">
        <v>2024043</v>
      </c>
      <c r="C3888" s="3" t="s">
        <v>4057</v>
      </c>
      <c r="D3888" s="3" t="s">
        <v>38</v>
      </c>
      <c r="F3888" s="3" t="s">
        <v>4176</v>
      </c>
      <c r="G3888" s="3" t="s">
        <v>43</v>
      </c>
      <c r="H3888" s="3" t="s">
        <v>253</v>
      </c>
      <c r="I3888" s="2">
        <v>1</v>
      </c>
      <c r="J3888" s="2">
        <v>1</v>
      </c>
      <c r="K3888" s="2">
        <v>1</v>
      </c>
      <c r="O3888" s="2">
        <v>1</v>
      </c>
      <c r="U3888" s="2">
        <v>1</v>
      </c>
      <c r="V3888" s="2">
        <v>2</v>
      </c>
      <c r="W3888" s="2">
        <v>1</v>
      </c>
      <c r="X3888" s="2">
        <v>1</v>
      </c>
      <c r="Z3888" s="2">
        <v>25</v>
      </c>
      <c r="AA3888" s="3" t="s">
        <v>40</v>
      </c>
      <c r="AB3888" s="2">
        <v>6</v>
      </c>
      <c r="AC3888" s="3" t="s">
        <v>1511</v>
      </c>
      <c r="AF3888" s="2">
        <v>23</v>
      </c>
      <c r="AG3888" s="2">
        <v>2</v>
      </c>
      <c r="AH3888" s="3" t="s">
        <v>3358</v>
      </c>
      <c r="AI3888" s="4">
        <v>45427</v>
      </c>
      <c r="AJ3888" s="3" t="s">
        <v>4058</v>
      </c>
      <c r="AK3888" s="3" t="s">
        <v>38</v>
      </c>
    </row>
    <row r="3889" spans="1:37" hidden="1" x14ac:dyDescent="0.25">
      <c r="A3889" t="str">
        <f t="shared" si="60"/>
        <v>2024_SA_Warnertown_Lentil_SatelliteTOS2VarietyBoltWaterTrtRainFedAgronomyDensity_1</v>
      </c>
      <c r="B3889" s="2">
        <v>2024043</v>
      </c>
      <c r="C3889" s="3" t="s">
        <v>4057</v>
      </c>
      <c r="D3889" s="3" t="s">
        <v>38</v>
      </c>
      <c r="F3889" s="3" t="s">
        <v>4187</v>
      </c>
      <c r="G3889" s="3" t="s">
        <v>39</v>
      </c>
      <c r="H3889" s="3" t="s">
        <v>253</v>
      </c>
      <c r="I3889" s="2">
        <v>2</v>
      </c>
      <c r="J3889" s="2">
        <v>2</v>
      </c>
      <c r="K3889" s="2">
        <v>1</v>
      </c>
      <c r="O3889" s="2">
        <v>1</v>
      </c>
      <c r="U3889" s="2">
        <v>2</v>
      </c>
      <c r="V3889" s="2">
        <v>2</v>
      </c>
      <c r="W3889" s="2">
        <v>2</v>
      </c>
      <c r="X3889" s="2">
        <v>1</v>
      </c>
      <c r="Z3889" s="2">
        <v>26</v>
      </c>
      <c r="AA3889" s="3" t="s">
        <v>40</v>
      </c>
      <c r="AB3889" s="2">
        <v>2</v>
      </c>
      <c r="AC3889" s="3" t="s">
        <v>1513</v>
      </c>
      <c r="AF3889" s="2">
        <v>23</v>
      </c>
      <c r="AG3889" s="2">
        <v>2</v>
      </c>
      <c r="AH3889" s="3" t="s">
        <v>3358</v>
      </c>
      <c r="AI3889" s="4">
        <v>45427</v>
      </c>
      <c r="AJ3889" s="3" t="s">
        <v>4059</v>
      </c>
      <c r="AK3889" s="3" t="s">
        <v>38</v>
      </c>
    </row>
    <row r="3890" spans="1:37" hidden="1" x14ac:dyDescent="0.25">
      <c r="A3890" t="str">
        <f t="shared" si="60"/>
        <v>2024_SA_Warnertown_Lentil_SatelliteTOS2VarietyBoltWaterTrtRainFedAgronomyDensity_0.66</v>
      </c>
      <c r="B3890" s="2">
        <v>2024043</v>
      </c>
      <c r="C3890" s="3" t="s">
        <v>4057</v>
      </c>
      <c r="D3890" s="3" t="s">
        <v>38</v>
      </c>
      <c r="F3890" s="3" t="s">
        <v>4187</v>
      </c>
      <c r="G3890" s="3" t="s">
        <v>39</v>
      </c>
      <c r="H3890" s="3" t="s">
        <v>253</v>
      </c>
      <c r="I3890" s="2">
        <v>3</v>
      </c>
      <c r="J3890" s="2">
        <v>3</v>
      </c>
      <c r="K3890" s="2">
        <v>1</v>
      </c>
      <c r="O3890" s="2">
        <v>1</v>
      </c>
      <c r="U3890" s="2">
        <v>3</v>
      </c>
      <c r="V3890" s="2">
        <v>2</v>
      </c>
      <c r="W3890" s="2">
        <v>3</v>
      </c>
      <c r="X3890" s="2">
        <v>1</v>
      </c>
      <c r="Z3890" s="2">
        <v>27</v>
      </c>
      <c r="AA3890" s="3" t="s">
        <v>40</v>
      </c>
      <c r="AB3890" s="2">
        <v>5</v>
      </c>
      <c r="AC3890" s="3" t="s">
        <v>1511</v>
      </c>
      <c r="AF3890" s="2">
        <v>23</v>
      </c>
      <c r="AG3890" s="2">
        <v>2</v>
      </c>
      <c r="AH3890" s="3" t="s">
        <v>3358</v>
      </c>
      <c r="AI3890" s="4">
        <v>45427</v>
      </c>
      <c r="AJ3890" s="3" t="s">
        <v>4060</v>
      </c>
      <c r="AK3890" s="3" t="s">
        <v>38</v>
      </c>
    </row>
    <row r="3891" spans="1:37" hidden="1" x14ac:dyDescent="0.25">
      <c r="A3891" t="str">
        <f t="shared" si="60"/>
        <v>2024_SA_Warnertown_Lentil_SatelliteTOS2VarietyHallmarkXTWaterTrtRainFedAgronomyDensity_1</v>
      </c>
      <c r="B3891" s="2">
        <v>2024043</v>
      </c>
      <c r="C3891" s="3" t="s">
        <v>4057</v>
      </c>
      <c r="D3891" s="3" t="s">
        <v>38</v>
      </c>
      <c r="F3891" s="3" t="s">
        <v>4189</v>
      </c>
      <c r="G3891" s="3" t="s">
        <v>39</v>
      </c>
      <c r="H3891" s="3" t="s">
        <v>253</v>
      </c>
      <c r="I3891" s="2">
        <v>4</v>
      </c>
      <c r="J3891" s="2">
        <v>4</v>
      </c>
      <c r="K3891" s="2">
        <v>1</v>
      </c>
      <c r="O3891" s="2">
        <v>1</v>
      </c>
      <c r="U3891" s="2">
        <v>1</v>
      </c>
      <c r="V3891" s="2">
        <v>3</v>
      </c>
      <c r="W3891" s="2">
        <v>1</v>
      </c>
      <c r="X3891" s="2">
        <v>2</v>
      </c>
      <c r="Z3891" s="2">
        <v>30</v>
      </c>
      <c r="AA3891" s="3" t="s">
        <v>40</v>
      </c>
      <c r="AB3891" s="2">
        <v>1</v>
      </c>
      <c r="AC3891" s="3" t="s">
        <v>1513</v>
      </c>
      <c r="AF3891" s="2">
        <v>23</v>
      </c>
      <c r="AG3891" s="2">
        <v>2</v>
      </c>
      <c r="AH3891" s="3" t="s">
        <v>3358</v>
      </c>
      <c r="AI3891" s="4">
        <v>45427</v>
      </c>
      <c r="AJ3891" s="3" t="s">
        <v>4061</v>
      </c>
      <c r="AK3891" s="3" t="s">
        <v>38</v>
      </c>
    </row>
    <row r="3892" spans="1:37" hidden="1" x14ac:dyDescent="0.25">
      <c r="A3892" t="str">
        <f t="shared" si="60"/>
        <v>2024_SA_Warnertown_Lentil_SatelliteTOS2VarietyJumbo2WaterTrtRainFedAgronomyDensity_1</v>
      </c>
      <c r="B3892" s="2">
        <v>2024043</v>
      </c>
      <c r="C3892" s="3" t="s">
        <v>4057</v>
      </c>
      <c r="D3892" s="3" t="s">
        <v>38</v>
      </c>
      <c r="F3892" s="3" t="s">
        <v>4176</v>
      </c>
      <c r="G3892" s="3" t="s">
        <v>43</v>
      </c>
      <c r="H3892" s="3" t="s">
        <v>253</v>
      </c>
      <c r="I3892" s="2">
        <v>5</v>
      </c>
      <c r="J3892" s="2">
        <v>5</v>
      </c>
      <c r="K3892" s="2">
        <v>1</v>
      </c>
      <c r="O3892" s="2">
        <v>1</v>
      </c>
      <c r="U3892" s="2">
        <v>2</v>
      </c>
      <c r="V3892" s="2">
        <v>3</v>
      </c>
      <c r="W3892" s="2">
        <v>2</v>
      </c>
      <c r="X3892" s="2">
        <v>2</v>
      </c>
      <c r="Z3892" s="2">
        <v>29</v>
      </c>
      <c r="AA3892" s="3" t="s">
        <v>40</v>
      </c>
      <c r="AB3892" s="2">
        <v>3</v>
      </c>
      <c r="AC3892" s="3" t="s">
        <v>1513</v>
      </c>
      <c r="AF3892" s="2">
        <v>23</v>
      </c>
      <c r="AG3892" s="2">
        <v>2</v>
      </c>
      <c r="AH3892" s="3" t="s">
        <v>3358</v>
      </c>
      <c r="AI3892" s="4">
        <v>45427</v>
      </c>
      <c r="AJ3892" s="3" t="s">
        <v>4062</v>
      </c>
      <c r="AK3892" s="3" t="s">
        <v>38</v>
      </c>
    </row>
    <row r="3893" spans="1:37" hidden="1" x14ac:dyDescent="0.25">
      <c r="A3893" t="str">
        <f t="shared" si="60"/>
        <v>2024_SA_Warnertown_Lentil_SatelliteTOS2VarietyKelpieXTWaterTrtRainFedAgronomyDensity_1</v>
      </c>
      <c r="B3893" s="2">
        <v>2024043</v>
      </c>
      <c r="C3893" s="3" t="s">
        <v>4057</v>
      </c>
      <c r="D3893" s="3" t="s">
        <v>38</v>
      </c>
      <c r="F3893" s="3" t="s">
        <v>4188</v>
      </c>
      <c r="G3893" s="3" t="s">
        <v>43</v>
      </c>
      <c r="H3893" s="3" t="s">
        <v>253</v>
      </c>
      <c r="I3893" s="2">
        <v>6</v>
      </c>
      <c r="J3893" s="2">
        <v>6</v>
      </c>
      <c r="K3893" s="2">
        <v>1</v>
      </c>
      <c r="O3893" s="2">
        <v>1</v>
      </c>
      <c r="U3893" s="2">
        <v>3</v>
      </c>
      <c r="V3893" s="2">
        <v>3</v>
      </c>
      <c r="W3893" s="2">
        <v>3</v>
      </c>
      <c r="X3893" s="2">
        <v>2</v>
      </c>
      <c r="Z3893" s="2">
        <v>28</v>
      </c>
      <c r="AA3893" s="3" t="s">
        <v>40</v>
      </c>
      <c r="AB3893" s="2">
        <v>4</v>
      </c>
      <c r="AC3893" s="3" t="s">
        <v>1513</v>
      </c>
      <c r="AF3893" s="2">
        <v>23</v>
      </c>
      <c r="AG3893" s="2">
        <v>2</v>
      </c>
      <c r="AH3893" s="3" t="s">
        <v>3358</v>
      </c>
      <c r="AI3893" s="4">
        <v>45427</v>
      </c>
      <c r="AJ3893" s="3" t="s">
        <v>4063</v>
      </c>
      <c r="AK3893" s="3" t="s">
        <v>38</v>
      </c>
    </row>
    <row r="3894" spans="1:37" hidden="1" x14ac:dyDescent="0.25">
      <c r="A3894" t="str">
        <f t="shared" si="60"/>
        <v>2024_SA_Warnertown_Lentil_SatelliteTOS1VarietyBoltWaterTrtRainFedAgronomyDensity_0.66</v>
      </c>
      <c r="B3894" s="2">
        <v>2024043</v>
      </c>
      <c r="C3894" s="3" t="s">
        <v>4057</v>
      </c>
      <c r="D3894" s="3" t="s">
        <v>38</v>
      </c>
      <c r="F3894" s="3" t="s">
        <v>4187</v>
      </c>
      <c r="G3894" s="3" t="s">
        <v>39</v>
      </c>
      <c r="H3894" s="3" t="s">
        <v>253</v>
      </c>
      <c r="I3894" s="2">
        <v>7</v>
      </c>
      <c r="J3894" s="2">
        <v>7</v>
      </c>
      <c r="K3894" s="2">
        <v>1</v>
      </c>
      <c r="O3894" s="2">
        <v>2</v>
      </c>
      <c r="U3894" s="2">
        <v>1</v>
      </c>
      <c r="V3894" s="2">
        <v>5</v>
      </c>
      <c r="W3894" s="2">
        <v>1</v>
      </c>
      <c r="X3894" s="2">
        <v>3</v>
      </c>
      <c r="Z3894" s="2">
        <v>1</v>
      </c>
      <c r="AA3894" s="3" t="s">
        <v>40</v>
      </c>
      <c r="AB3894" s="2">
        <v>5</v>
      </c>
      <c r="AC3894" s="3" t="s">
        <v>1511</v>
      </c>
      <c r="AF3894" s="2">
        <v>23</v>
      </c>
      <c r="AG3894" s="2">
        <v>1</v>
      </c>
      <c r="AH3894" s="3" t="s">
        <v>4008</v>
      </c>
      <c r="AI3894" s="4">
        <v>45392</v>
      </c>
      <c r="AJ3894" s="3" t="s">
        <v>4064</v>
      </c>
      <c r="AK3894" s="3" t="s">
        <v>38</v>
      </c>
    </row>
    <row r="3895" spans="1:37" hidden="1" x14ac:dyDescent="0.25">
      <c r="A3895" t="str">
        <f t="shared" si="60"/>
        <v>2024_SA_Warnertown_Lentil_SatelliteTOS1VarietyKelpieXTWaterTrtRainFedAgronomyDensity_1</v>
      </c>
      <c r="B3895" s="2">
        <v>2024043</v>
      </c>
      <c r="C3895" s="3" t="s">
        <v>4057</v>
      </c>
      <c r="D3895" s="3" t="s">
        <v>38</v>
      </c>
      <c r="F3895" s="3" t="s">
        <v>4188</v>
      </c>
      <c r="G3895" s="3" t="s">
        <v>43</v>
      </c>
      <c r="H3895" s="3" t="s">
        <v>253</v>
      </c>
      <c r="I3895" s="2">
        <v>8</v>
      </c>
      <c r="J3895" s="2">
        <v>8</v>
      </c>
      <c r="K3895" s="2">
        <v>1</v>
      </c>
      <c r="O3895" s="2">
        <v>2</v>
      </c>
      <c r="U3895" s="2">
        <v>2</v>
      </c>
      <c r="V3895" s="2">
        <v>5</v>
      </c>
      <c r="W3895" s="2">
        <v>2</v>
      </c>
      <c r="X3895" s="2">
        <v>3</v>
      </c>
      <c r="Z3895" s="2">
        <v>2</v>
      </c>
      <c r="AA3895" s="3" t="s">
        <v>40</v>
      </c>
      <c r="AB3895" s="2">
        <v>4</v>
      </c>
      <c r="AC3895" s="3" t="s">
        <v>1513</v>
      </c>
      <c r="AF3895" s="2">
        <v>23</v>
      </c>
      <c r="AG3895" s="2">
        <v>1</v>
      </c>
      <c r="AH3895" s="3" t="s">
        <v>4008</v>
      </c>
      <c r="AI3895" s="4">
        <v>45392</v>
      </c>
      <c r="AJ3895" s="3" t="s">
        <v>4065</v>
      </c>
      <c r="AK3895" s="3" t="s">
        <v>38</v>
      </c>
    </row>
    <row r="3896" spans="1:37" hidden="1" x14ac:dyDescent="0.25">
      <c r="A3896" t="str">
        <f t="shared" si="60"/>
        <v>2024_SA_Warnertown_Lentil_SatelliteTOS1VarietyJumbo2WaterTrtRainFedAgronomyDensity_1</v>
      </c>
      <c r="B3896" s="2">
        <v>2024043</v>
      </c>
      <c r="C3896" s="3" t="s">
        <v>4057</v>
      </c>
      <c r="D3896" s="3" t="s">
        <v>38</v>
      </c>
      <c r="F3896" s="3" t="s">
        <v>4176</v>
      </c>
      <c r="G3896" s="3" t="s">
        <v>43</v>
      </c>
      <c r="H3896" s="3" t="s">
        <v>253</v>
      </c>
      <c r="I3896" s="2">
        <v>9</v>
      </c>
      <c r="J3896" s="2">
        <v>9</v>
      </c>
      <c r="K3896" s="2">
        <v>1</v>
      </c>
      <c r="O3896" s="2">
        <v>2</v>
      </c>
      <c r="U3896" s="2">
        <v>3</v>
      </c>
      <c r="V3896" s="2">
        <v>5</v>
      </c>
      <c r="W3896" s="2">
        <v>3</v>
      </c>
      <c r="X3896" s="2">
        <v>3</v>
      </c>
      <c r="Z3896" s="2">
        <v>3</v>
      </c>
      <c r="AA3896" s="3" t="s">
        <v>40</v>
      </c>
      <c r="AB3896" s="2">
        <v>3</v>
      </c>
      <c r="AC3896" s="3" t="s">
        <v>1513</v>
      </c>
      <c r="AF3896" s="2">
        <v>23</v>
      </c>
      <c r="AG3896" s="2">
        <v>1</v>
      </c>
      <c r="AH3896" s="3" t="s">
        <v>4008</v>
      </c>
      <c r="AI3896" s="4">
        <v>45392</v>
      </c>
      <c r="AJ3896" s="3" t="s">
        <v>4066</v>
      </c>
      <c r="AK3896" s="3" t="s">
        <v>38</v>
      </c>
    </row>
    <row r="3897" spans="1:37" hidden="1" x14ac:dyDescent="0.25">
      <c r="A3897" t="str">
        <f t="shared" si="60"/>
        <v>2024_SA_Warnertown_Lentil_SatelliteTOS1VarietyBoltWaterTrtRainFedAgronomyDensity_1</v>
      </c>
      <c r="B3897" s="2">
        <v>2024043</v>
      </c>
      <c r="C3897" s="3" t="s">
        <v>4057</v>
      </c>
      <c r="D3897" s="3" t="s">
        <v>38</v>
      </c>
      <c r="F3897" s="3" t="s">
        <v>4187</v>
      </c>
      <c r="G3897" s="3" t="s">
        <v>39</v>
      </c>
      <c r="H3897" s="3" t="s">
        <v>253</v>
      </c>
      <c r="I3897" s="2">
        <v>10</v>
      </c>
      <c r="J3897" s="2">
        <v>10</v>
      </c>
      <c r="K3897" s="2">
        <v>1</v>
      </c>
      <c r="O3897" s="2">
        <v>2</v>
      </c>
      <c r="U3897" s="2">
        <v>1</v>
      </c>
      <c r="V3897" s="2">
        <v>6</v>
      </c>
      <c r="W3897" s="2">
        <v>1</v>
      </c>
      <c r="X3897" s="2">
        <v>4</v>
      </c>
      <c r="Z3897" s="2">
        <v>6</v>
      </c>
      <c r="AA3897" s="3" t="s">
        <v>40</v>
      </c>
      <c r="AB3897" s="2">
        <v>2</v>
      </c>
      <c r="AC3897" s="3" t="s">
        <v>1513</v>
      </c>
      <c r="AF3897" s="2">
        <v>23</v>
      </c>
      <c r="AG3897" s="2">
        <v>1</v>
      </c>
      <c r="AH3897" s="3" t="s">
        <v>4008</v>
      </c>
      <c r="AI3897" s="4">
        <v>45392</v>
      </c>
      <c r="AJ3897" s="3" t="s">
        <v>4067</v>
      </c>
      <c r="AK3897" s="3" t="s">
        <v>38</v>
      </c>
    </row>
    <row r="3898" spans="1:37" hidden="1" x14ac:dyDescent="0.25">
      <c r="A3898" t="str">
        <f t="shared" si="60"/>
        <v>2024_SA_Warnertown_Lentil_SatelliteTOS1VarietyHallmarkXTWaterTrtRainFedAgronomyDensity_1</v>
      </c>
      <c r="B3898" s="2">
        <v>2024043</v>
      </c>
      <c r="C3898" s="3" t="s">
        <v>4057</v>
      </c>
      <c r="D3898" s="3" t="s">
        <v>38</v>
      </c>
      <c r="F3898" s="3" t="s">
        <v>4189</v>
      </c>
      <c r="G3898" s="3" t="s">
        <v>39</v>
      </c>
      <c r="H3898" s="3" t="s">
        <v>253</v>
      </c>
      <c r="I3898" s="2">
        <v>11</v>
      </c>
      <c r="J3898" s="2">
        <v>11</v>
      </c>
      <c r="K3898" s="2">
        <v>1</v>
      </c>
      <c r="O3898" s="2">
        <v>2</v>
      </c>
      <c r="U3898" s="2">
        <v>2</v>
      </c>
      <c r="V3898" s="2">
        <v>6</v>
      </c>
      <c r="W3898" s="2">
        <v>2</v>
      </c>
      <c r="X3898" s="2">
        <v>4</v>
      </c>
      <c r="Z3898" s="2">
        <v>5</v>
      </c>
      <c r="AA3898" s="3" t="s">
        <v>40</v>
      </c>
      <c r="AB3898" s="2">
        <v>1</v>
      </c>
      <c r="AC3898" s="3" t="s">
        <v>1513</v>
      </c>
      <c r="AF3898" s="2">
        <v>23</v>
      </c>
      <c r="AG3898" s="2">
        <v>1</v>
      </c>
      <c r="AH3898" s="3" t="s">
        <v>4008</v>
      </c>
      <c r="AI3898" s="4">
        <v>45392</v>
      </c>
      <c r="AJ3898" s="3" t="s">
        <v>4068</v>
      </c>
      <c r="AK3898" s="3" t="s">
        <v>38</v>
      </c>
    </row>
    <row r="3899" spans="1:37" hidden="1" x14ac:dyDescent="0.25">
      <c r="A3899" t="str">
        <f t="shared" si="60"/>
        <v>2024_SA_Warnertown_Lentil_SatelliteTOS1VarietyJumbo2WaterTrtRainFedAgronomyDensity_0.66</v>
      </c>
      <c r="B3899" s="2">
        <v>2024043</v>
      </c>
      <c r="C3899" s="3" t="s">
        <v>4057</v>
      </c>
      <c r="D3899" s="3" t="s">
        <v>38</v>
      </c>
      <c r="F3899" s="3" t="s">
        <v>4176</v>
      </c>
      <c r="G3899" s="3" t="s">
        <v>43</v>
      </c>
      <c r="H3899" s="3" t="s">
        <v>253</v>
      </c>
      <c r="I3899" s="2">
        <v>12</v>
      </c>
      <c r="J3899" s="2">
        <v>12</v>
      </c>
      <c r="K3899" s="2">
        <v>1</v>
      </c>
      <c r="O3899" s="2">
        <v>2</v>
      </c>
      <c r="U3899" s="2">
        <v>3</v>
      </c>
      <c r="V3899" s="2">
        <v>6</v>
      </c>
      <c r="W3899" s="2">
        <v>3</v>
      </c>
      <c r="X3899" s="2">
        <v>4</v>
      </c>
      <c r="Z3899" s="2">
        <v>4</v>
      </c>
      <c r="AA3899" s="3" t="s">
        <v>40</v>
      </c>
      <c r="AB3899" s="2">
        <v>6</v>
      </c>
      <c r="AC3899" s="3" t="s">
        <v>1511</v>
      </c>
      <c r="AF3899" s="2">
        <v>23</v>
      </c>
      <c r="AG3899" s="2">
        <v>1</v>
      </c>
      <c r="AH3899" s="3" t="s">
        <v>4008</v>
      </c>
      <c r="AI3899" s="4">
        <v>45392</v>
      </c>
      <c r="AJ3899" s="3" t="s">
        <v>4069</v>
      </c>
      <c r="AK3899" s="3" t="s">
        <v>38</v>
      </c>
    </row>
    <row r="3900" spans="1:37" hidden="1" x14ac:dyDescent="0.25">
      <c r="A3900" t="str">
        <f t="shared" si="60"/>
        <v>2024_SA_Warnertown_Lentil_SatelliteTOS1VarietyHallmarkXTWaterTrtRainFedAgronomyDensity_1</v>
      </c>
      <c r="B3900" s="2">
        <v>2024043</v>
      </c>
      <c r="C3900" s="3" t="s">
        <v>4057</v>
      </c>
      <c r="D3900" s="3" t="s">
        <v>38</v>
      </c>
      <c r="F3900" s="3" t="s">
        <v>4189</v>
      </c>
      <c r="G3900" s="3" t="s">
        <v>39</v>
      </c>
      <c r="H3900" s="3" t="s">
        <v>253</v>
      </c>
      <c r="I3900" s="2">
        <v>13</v>
      </c>
      <c r="J3900" s="2">
        <v>13</v>
      </c>
      <c r="K3900" s="2">
        <v>2</v>
      </c>
      <c r="O3900" s="2">
        <v>3</v>
      </c>
      <c r="U3900" s="2">
        <v>1</v>
      </c>
      <c r="V3900" s="2">
        <v>8</v>
      </c>
      <c r="W3900" s="2">
        <v>1</v>
      </c>
      <c r="X3900" s="2">
        <v>5</v>
      </c>
      <c r="Z3900" s="2">
        <v>7</v>
      </c>
      <c r="AA3900" s="3" t="s">
        <v>40</v>
      </c>
      <c r="AB3900" s="2">
        <v>1</v>
      </c>
      <c r="AC3900" s="3" t="s">
        <v>1513</v>
      </c>
      <c r="AF3900" s="2">
        <v>23</v>
      </c>
      <c r="AG3900" s="2">
        <v>1</v>
      </c>
      <c r="AH3900" s="3" t="s">
        <v>4008</v>
      </c>
      <c r="AI3900" s="4">
        <v>45392</v>
      </c>
      <c r="AJ3900" s="3" t="s">
        <v>4070</v>
      </c>
      <c r="AK3900" s="3" t="s">
        <v>38</v>
      </c>
    </row>
    <row r="3901" spans="1:37" hidden="1" x14ac:dyDescent="0.25">
      <c r="A3901" t="str">
        <f t="shared" si="60"/>
        <v>2024_SA_Warnertown_Lentil_SatelliteTOS1VarietyBoltWaterTrtRainFedAgronomyDensity_0.66</v>
      </c>
      <c r="B3901" s="2">
        <v>2024043</v>
      </c>
      <c r="C3901" s="3" t="s">
        <v>4057</v>
      </c>
      <c r="D3901" s="3" t="s">
        <v>38</v>
      </c>
      <c r="F3901" s="3" t="s">
        <v>4187</v>
      </c>
      <c r="G3901" s="3" t="s">
        <v>39</v>
      </c>
      <c r="H3901" s="3" t="s">
        <v>253</v>
      </c>
      <c r="I3901" s="2">
        <v>14</v>
      </c>
      <c r="J3901" s="2">
        <v>14</v>
      </c>
      <c r="K3901" s="2">
        <v>2</v>
      </c>
      <c r="O3901" s="2">
        <v>3</v>
      </c>
      <c r="U3901" s="2">
        <v>2</v>
      </c>
      <c r="V3901" s="2">
        <v>8</v>
      </c>
      <c r="W3901" s="2">
        <v>2</v>
      </c>
      <c r="X3901" s="2">
        <v>5</v>
      </c>
      <c r="Z3901" s="2">
        <v>8</v>
      </c>
      <c r="AA3901" s="3" t="s">
        <v>40</v>
      </c>
      <c r="AB3901" s="2">
        <v>5</v>
      </c>
      <c r="AC3901" s="3" t="s">
        <v>1511</v>
      </c>
      <c r="AF3901" s="2">
        <v>23</v>
      </c>
      <c r="AG3901" s="2">
        <v>1</v>
      </c>
      <c r="AH3901" s="3" t="s">
        <v>4008</v>
      </c>
      <c r="AI3901" s="4">
        <v>45392</v>
      </c>
      <c r="AJ3901" s="3" t="s">
        <v>4071</v>
      </c>
      <c r="AK3901" s="3" t="s">
        <v>38</v>
      </c>
    </row>
    <row r="3902" spans="1:37" hidden="1" x14ac:dyDescent="0.25">
      <c r="A3902" t="str">
        <f t="shared" si="60"/>
        <v>2024_SA_Warnertown_Lentil_SatelliteTOS1VarietyJumbo2WaterTrtRainFedAgronomyDensity_1</v>
      </c>
      <c r="B3902" s="2">
        <v>2024043</v>
      </c>
      <c r="C3902" s="3" t="s">
        <v>4057</v>
      </c>
      <c r="D3902" s="3" t="s">
        <v>38</v>
      </c>
      <c r="F3902" s="3" t="s">
        <v>4176</v>
      </c>
      <c r="G3902" s="3" t="s">
        <v>43</v>
      </c>
      <c r="H3902" s="3" t="s">
        <v>253</v>
      </c>
      <c r="I3902" s="2">
        <v>15</v>
      </c>
      <c r="J3902" s="2">
        <v>15</v>
      </c>
      <c r="K3902" s="2">
        <v>2</v>
      </c>
      <c r="O3902" s="2">
        <v>3</v>
      </c>
      <c r="U3902" s="2">
        <v>3</v>
      </c>
      <c r="V3902" s="2">
        <v>8</v>
      </c>
      <c r="W3902" s="2">
        <v>3</v>
      </c>
      <c r="X3902" s="2">
        <v>5</v>
      </c>
      <c r="Z3902" s="2">
        <v>9</v>
      </c>
      <c r="AA3902" s="3" t="s">
        <v>40</v>
      </c>
      <c r="AB3902" s="2">
        <v>3</v>
      </c>
      <c r="AC3902" s="3" t="s">
        <v>1513</v>
      </c>
      <c r="AF3902" s="2">
        <v>23</v>
      </c>
      <c r="AG3902" s="2">
        <v>1</v>
      </c>
      <c r="AH3902" s="3" t="s">
        <v>4008</v>
      </c>
      <c r="AI3902" s="4">
        <v>45392</v>
      </c>
      <c r="AJ3902" s="3" t="s">
        <v>4072</v>
      </c>
      <c r="AK3902" s="3" t="s">
        <v>38</v>
      </c>
    </row>
    <row r="3903" spans="1:37" hidden="1" x14ac:dyDescent="0.25">
      <c r="A3903" t="str">
        <f t="shared" si="60"/>
        <v>2024_SA_Warnertown_Lentil_SatelliteTOS1VarietyJumbo2WaterTrtRainFedAgronomyDensity_0.66</v>
      </c>
      <c r="B3903" s="2">
        <v>2024043</v>
      </c>
      <c r="C3903" s="3" t="s">
        <v>4057</v>
      </c>
      <c r="D3903" s="3" t="s">
        <v>38</v>
      </c>
      <c r="F3903" s="3" t="s">
        <v>4176</v>
      </c>
      <c r="G3903" s="3" t="s">
        <v>43</v>
      </c>
      <c r="H3903" s="3" t="s">
        <v>253</v>
      </c>
      <c r="I3903" s="2">
        <v>16</v>
      </c>
      <c r="J3903" s="2">
        <v>16</v>
      </c>
      <c r="K3903" s="2">
        <v>2</v>
      </c>
      <c r="O3903" s="2">
        <v>3</v>
      </c>
      <c r="U3903" s="2">
        <v>1</v>
      </c>
      <c r="V3903" s="2">
        <v>9</v>
      </c>
      <c r="W3903" s="2">
        <v>1</v>
      </c>
      <c r="X3903" s="2">
        <v>6</v>
      </c>
      <c r="Z3903" s="2">
        <v>12</v>
      </c>
      <c r="AA3903" s="3" t="s">
        <v>40</v>
      </c>
      <c r="AB3903" s="2">
        <v>6</v>
      </c>
      <c r="AC3903" s="3" t="s">
        <v>1511</v>
      </c>
      <c r="AF3903" s="2">
        <v>23</v>
      </c>
      <c r="AG3903" s="2">
        <v>1</v>
      </c>
      <c r="AH3903" s="3" t="s">
        <v>4008</v>
      </c>
      <c r="AI3903" s="4">
        <v>45392</v>
      </c>
      <c r="AJ3903" s="3" t="s">
        <v>4073</v>
      </c>
      <c r="AK3903" s="3" t="s">
        <v>38</v>
      </c>
    </row>
    <row r="3904" spans="1:37" hidden="1" x14ac:dyDescent="0.25">
      <c r="A3904" t="str">
        <f t="shared" si="60"/>
        <v>2024_SA_Warnertown_Lentil_SatelliteTOS1VarietyBoltWaterTrtRainFedAgronomyDensity_1</v>
      </c>
      <c r="B3904" s="2">
        <v>2024043</v>
      </c>
      <c r="C3904" s="3" t="s">
        <v>4057</v>
      </c>
      <c r="D3904" s="3" t="s">
        <v>38</v>
      </c>
      <c r="F3904" s="3" t="s">
        <v>4187</v>
      </c>
      <c r="G3904" s="3" t="s">
        <v>39</v>
      </c>
      <c r="H3904" s="3" t="s">
        <v>253</v>
      </c>
      <c r="I3904" s="2">
        <v>17</v>
      </c>
      <c r="J3904" s="2">
        <v>17</v>
      </c>
      <c r="K3904" s="2">
        <v>2</v>
      </c>
      <c r="O3904" s="2">
        <v>3</v>
      </c>
      <c r="U3904" s="2">
        <v>2</v>
      </c>
      <c r="V3904" s="2">
        <v>9</v>
      </c>
      <c r="W3904" s="2">
        <v>2</v>
      </c>
      <c r="X3904" s="2">
        <v>6</v>
      </c>
      <c r="Z3904" s="2">
        <v>11</v>
      </c>
      <c r="AA3904" s="3" t="s">
        <v>40</v>
      </c>
      <c r="AB3904" s="2">
        <v>2</v>
      </c>
      <c r="AC3904" s="3" t="s">
        <v>1513</v>
      </c>
      <c r="AF3904" s="2">
        <v>23</v>
      </c>
      <c r="AG3904" s="2">
        <v>1</v>
      </c>
      <c r="AH3904" s="3" t="s">
        <v>4008</v>
      </c>
      <c r="AI3904" s="4">
        <v>45392</v>
      </c>
      <c r="AJ3904" s="3" t="s">
        <v>4074</v>
      </c>
      <c r="AK3904" s="3" t="s">
        <v>38</v>
      </c>
    </row>
    <row r="3905" spans="1:37" hidden="1" x14ac:dyDescent="0.25">
      <c r="A3905" t="str">
        <f t="shared" si="60"/>
        <v>2024_SA_Warnertown_Lentil_SatelliteTOS1VarietyKelpieXTWaterTrtRainFedAgronomyDensity_1</v>
      </c>
      <c r="B3905" s="2">
        <v>2024043</v>
      </c>
      <c r="C3905" s="3" t="s">
        <v>4057</v>
      </c>
      <c r="D3905" s="3" t="s">
        <v>38</v>
      </c>
      <c r="F3905" s="3" t="s">
        <v>4188</v>
      </c>
      <c r="G3905" s="3" t="s">
        <v>43</v>
      </c>
      <c r="H3905" s="3" t="s">
        <v>253</v>
      </c>
      <c r="I3905" s="2">
        <v>18</v>
      </c>
      <c r="J3905" s="2">
        <v>18</v>
      </c>
      <c r="K3905" s="2">
        <v>2</v>
      </c>
      <c r="O3905" s="2">
        <v>3</v>
      </c>
      <c r="U3905" s="2">
        <v>3</v>
      </c>
      <c r="V3905" s="2">
        <v>9</v>
      </c>
      <c r="W3905" s="2">
        <v>3</v>
      </c>
      <c r="X3905" s="2">
        <v>6</v>
      </c>
      <c r="Z3905" s="2">
        <v>10</v>
      </c>
      <c r="AA3905" s="3" t="s">
        <v>40</v>
      </c>
      <c r="AB3905" s="2">
        <v>4</v>
      </c>
      <c r="AC3905" s="3" t="s">
        <v>1513</v>
      </c>
      <c r="AF3905" s="2">
        <v>23</v>
      </c>
      <c r="AG3905" s="2">
        <v>1</v>
      </c>
      <c r="AH3905" s="3" t="s">
        <v>4008</v>
      </c>
      <c r="AI3905" s="4">
        <v>45392</v>
      </c>
      <c r="AJ3905" s="3" t="s">
        <v>4075</v>
      </c>
      <c r="AK3905" s="3" t="s">
        <v>38</v>
      </c>
    </row>
    <row r="3906" spans="1:37" hidden="1" x14ac:dyDescent="0.25">
      <c r="A3906" t="str">
        <f t="shared" si="60"/>
        <v>2024_SA_Warnertown_Lentil_SatelliteTOS2VarietyJumbo2WaterTrtRainFedAgronomyDensity_1</v>
      </c>
      <c r="B3906" s="2">
        <v>2024043</v>
      </c>
      <c r="C3906" s="3" t="s">
        <v>4057</v>
      </c>
      <c r="D3906" s="3" t="s">
        <v>38</v>
      </c>
      <c r="F3906" s="3" t="s">
        <v>4176</v>
      </c>
      <c r="G3906" s="3" t="s">
        <v>43</v>
      </c>
      <c r="H3906" s="3" t="s">
        <v>253</v>
      </c>
      <c r="I3906" s="2">
        <v>19</v>
      </c>
      <c r="J3906" s="2">
        <v>19</v>
      </c>
      <c r="K3906" s="2">
        <v>2</v>
      </c>
      <c r="O3906" s="2">
        <v>4</v>
      </c>
      <c r="U3906" s="2">
        <v>1</v>
      </c>
      <c r="V3906" s="2">
        <v>11</v>
      </c>
      <c r="W3906" s="2">
        <v>1</v>
      </c>
      <c r="X3906" s="2">
        <v>7</v>
      </c>
      <c r="Z3906" s="2">
        <v>31</v>
      </c>
      <c r="AA3906" s="3" t="s">
        <v>40</v>
      </c>
      <c r="AB3906" s="2">
        <v>3</v>
      </c>
      <c r="AC3906" s="3" t="s">
        <v>1513</v>
      </c>
      <c r="AF3906" s="2">
        <v>23</v>
      </c>
      <c r="AG3906" s="2">
        <v>2</v>
      </c>
      <c r="AH3906" s="3" t="s">
        <v>3358</v>
      </c>
      <c r="AI3906" s="4">
        <v>45427</v>
      </c>
      <c r="AJ3906" s="3" t="s">
        <v>4076</v>
      </c>
      <c r="AK3906" s="3" t="s">
        <v>38</v>
      </c>
    </row>
    <row r="3907" spans="1:37" hidden="1" x14ac:dyDescent="0.25">
      <c r="A3907" t="str">
        <f t="shared" ref="A3907:A3970" si="61">C3907&amp;"TOS"&amp;AG3907&amp;"Variety"&amp;F3907&amp;"WaterTrt"&amp;AA3907&amp;IF(AC3907="","","Agronomy"&amp;AC3907)</f>
        <v>2024_SA_Warnertown_Lentil_SatelliteTOS2VarietyJumbo2WaterTrtRainFedAgronomyDensity_0.66</v>
      </c>
      <c r="B3907" s="2">
        <v>2024043</v>
      </c>
      <c r="C3907" s="3" t="s">
        <v>4057</v>
      </c>
      <c r="D3907" s="3" t="s">
        <v>38</v>
      </c>
      <c r="F3907" s="3" t="s">
        <v>4176</v>
      </c>
      <c r="G3907" s="3" t="s">
        <v>43</v>
      </c>
      <c r="H3907" s="3" t="s">
        <v>253</v>
      </c>
      <c r="I3907" s="2">
        <v>20</v>
      </c>
      <c r="J3907" s="2">
        <v>20</v>
      </c>
      <c r="K3907" s="2">
        <v>2</v>
      </c>
      <c r="O3907" s="2">
        <v>4</v>
      </c>
      <c r="U3907" s="2">
        <v>2</v>
      </c>
      <c r="V3907" s="2">
        <v>11</v>
      </c>
      <c r="W3907" s="2">
        <v>2</v>
      </c>
      <c r="X3907" s="2">
        <v>7</v>
      </c>
      <c r="Z3907" s="2">
        <v>32</v>
      </c>
      <c r="AA3907" s="3" t="s">
        <v>40</v>
      </c>
      <c r="AB3907" s="2">
        <v>6</v>
      </c>
      <c r="AC3907" s="3" t="s">
        <v>1511</v>
      </c>
      <c r="AF3907" s="2">
        <v>23</v>
      </c>
      <c r="AG3907" s="2">
        <v>2</v>
      </c>
      <c r="AH3907" s="3" t="s">
        <v>3358</v>
      </c>
      <c r="AI3907" s="4">
        <v>45427</v>
      </c>
      <c r="AJ3907" s="3" t="s">
        <v>4077</v>
      </c>
      <c r="AK3907" s="3" t="s">
        <v>38</v>
      </c>
    </row>
    <row r="3908" spans="1:37" hidden="1" x14ac:dyDescent="0.25">
      <c r="A3908" t="str">
        <f t="shared" si="61"/>
        <v>2024_SA_Warnertown_Lentil_SatelliteTOS2VarietyBoltWaterTrtRainFedAgronomyDensity_0.66</v>
      </c>
      <c r="B3908" s="2">
        <v>2024043</v>
      </c>
      <c r="C3908" s="3" t="s">
        <v>4057</v>
      </c>
      <c r="D3908" s="3" t="s">
        <v>38</v>
      </c>
      <c r="F3908" s="3" t="s">
        <v>4187</v>
      </c>
      <c r="G3908" s="3" t="s">
        <v>39</v>
      </c>
      <c r="H3908" s="3" t="s">
        <v>253</v>
      </c>
      <c r="I3908" s="2">
        <v>21</v>
      </c>
      <c r="J3908" s="2">
        <v>21</v>
      </c>
      <c r="K3908" s="2">
        <v>2</v>
      </c>
      <c r="O3908" s="2">
        <v>4</v>
      </c>
      <c r="U3908" s="2">
        <v>3</v>
      </c>
      <c r="V3908" s="2">
        <v>11</v>
      </c>
      <c r="W3908" s="2">
        <v>3</v>
      </c>
      <c r="X3908" s="2">
        <v>7</v>
      </c>
      <c r="Z3908" s="2">
        <v>33</v>
      </c>
      <c r="AA3908" s="3" t="s">
        <v>40</v>
      </c>
      <c r="AB3908" s="2">
        <v>5</v>
      </c>
      <c r="AC3908" s="3" t="s">
        <v>1511</v>
      </c>
      <c r="AF3908" s="2">
        <v>23</v>
      </c>
      <c r="AG3908" s="2">
        <v>2</v>
      </c>
      <c r="AH3908" s="3" t="s">
        <v>3358</v>
      </c>
      <c r="AI3908" s="4">
        <v>45427</v>
      </c>
      <c r="AJ3908" s="3" t="s">
        <v>4078</v>
      </c>
      <c r="AK3908" s="3" t="s">
        <v>38</v>
      </c>
    </row>
    <row r="3909" spans="1:37" hidden="1" x14ac:dyDescent="0.25">
      <c r="A3909" t="str">
        <f t="shared" si="61"/>
        <v>2024_SA_Warnertown_Lentil_SatelliteTOS2VarietyBoltWaterTrtRainFedAgronomyDensity_1</v>
      </c>
      <c r="B3909" s="2">
        <v>2024043</v>
      </c>
      <c r="C3909" s="3" t="s">
        <v>4057</v>
      </c>
      <c r="D3909" s="3" t="s">
        <v>38</v>
      </c>
      <c r="F3909" s="3" t="s">
        <v>4187</v>
      </c>
      <c r="G3909" s="3" t="s">
        <v>39</v>
      </c>
      <c r="H3909" s="3" t="s">
        <v>253</v>
      </c>
      <c r="I3909" s="2">
        <v>22</v>
      </c>
      <c r="J3909" s="2">
        <v>22</v>
      </c>
      <c r="K3909" s="2">
        <v>2</v>
      </c>
      <c r="O3909" s="2">
        <v>4</v>
      </c>
      <c r="U3909" s="2">
        <v>1</v>
      </c>
      <c r="V3909" s="2">
        <v>12</v>
      </c>
      <c r="W3909" s="2">
        <v>1</v>
      </c>
      <c r="X3909" s="2">
        <v>8</v>
      </c>
      <c r="Z3909" s="2">
        <v>36</v>
      </c>
      <c r="AA3909" s="3" t="s">
        <v>40</v>
      </c>
      <c r="AB3909" s="2">
        <v>2</v>
      </c>
      <c r="AC3909" s="3" t="s">
        <v>1513</v>
      </c>
      <c r="AF3909" s="2">
        <v>23</v>
      </c>
      <c r="AG3909" s="2">
        <v>2</v>
      </c>
      <c r="AH3909" s="3" t="s">
        <v>3358</v>
      </c>
      <c r="AI3909" s="4">
        <v>45427</v>
      </c>
      <c r="AJ3909" s="3" t="s">
        <v>4079</v>
      </c>
      <c r="AK3909" s="3" t="s">
        <v>38</v>
      </c>
    </row>
    <row r="3910" spans="1:37" hidden="1" x14ac:dyDescent="0.25">
      <c r="A3910" t="str">
        <f t="shared" si="61"/>
        <v>2024_SA_Warnertown_Lentil_SatelliteTOS2VarietyKelpieXTWaterTrtRainFedAgronomyDensity_1</v>
      </c>
      <c r="B3910" s="2">
        <v>2024043</v>
      </c>
      <c r="C3910" s="3" t="s">
        <v>4057</v>
      </c>
      <c r="D3910" s="3" t="s">
        <v>38</v>
      </c>
      <c r="F3910" s="3" t="s">
        <v>4188</v>
      </c>
      <c r="G3910" s="3" t="s">
        <v>43</v>
      </c>
      <c r="H3910" s="3" t="s">
        <v>253</v>
      </c>
      <c r="I3910" s="2">
        <v>23</v>
      </c>
      <c r="J3910" s="2">
        <v>23</v>
      </c>
      <c r="K3910" s="2">
        <v>2</v>
      </c>
      <c r="O3910" s="2">
        <v>4</v>
      </c>
      <c r="U3910" s="2">
        <v>2</v>
      </c>
      <c r="V3910" s="2">
        <v>12</v>
      </c>
      <c r="W3910" s="2">
        <v>2</v>
      </c>
      <c r="X3910" s="2">
        <v>8</v>
      </c>
      <c r="Z3910" s="2">
        <v>35</v>
      </c>
      <c r="AA3910" s="3" t="s">
        <v>40</v>
      </c>
      <c r="AB3910" s="2">
        <v>4</v>
      </c>
      <c r="AC3910" s="3" t="s">
        <v>1513</v>
      </c>
      <c r="AF3910" s="2">
        <v>23</v>
      </c>
      <c r="AG3910" s="2">
        <v>2</v>
      </c>
      <c r="AH3910" s="3" t="s">
        <v>3358</v>
      </c>
      <c r="AI3910" s="4">
        <v>45427</v>
      </c>
      <c r="AJ3910" s="3" t="s">
        <v>4080</v>
      </c>
      <c r="AK3910" s="3" t="s">
        <v>38</v>
      </c>
    </row>
    <row r="3911" spans="1:37" hidden="1" x14ac:dyDescent="0.25">
      <c r="A3911" t="str">
        <f t="shared" si="61"/>
        <v>2024_SA_Warnertown_Lentil_SatelliteTOS2VarietyHallmarkXTWaterTrtRainFedAgronomyDensity_1</v>
      </c>
      <c r="B3911" s="2">
        <v>2024043</v>
      </c>
      <c r="C3911" s="3" t="s">
        <v>4057</v>
      </c>
      <c r="D3911" s="3" t="s">
        <v>38</v>
      </c>
      <c r="F3911" s="3" t="s">
        <v>4189</v>
      </c>
      <c r="G3911" s="3" t="s">
        <v>39</v>
      </c>
      <c r="H3911" s="3" t="s">
        <v>253</v>
      </c>
      <c r="I3911" s="2">
        <v>24</v>
      </c>
      <c r="J3911" s="2">
        <v>24</v>
      </c>
      <c r="K3911" s="2">
        <v>2</v>
      </c>
      <c r="O3911" s="2">
        <v>4</v>
      </c>
      <c r="U3911" s="2">
        <v>3</v>
      </c>
      <c r="V3911" s="2">
        <v>12</v>
      </c>
      <c r="W3911" s="2">
        <v>3</v>
      </c>
      <c r="X3911" s="2">
        <v>8</v>
      </c>
      <c r="Z3911" s="2">
        <v>34</v>
      </c>
      <c r="AA3911" s="3" t="s">
        <v>40</v>
      </c>
      <c r="AB3911" s="2">
        <v>1</v>
      </c>
      <c r="AC3911" s="3" t="s">
        <v>1513</v>
      </c>
      <c r="AF3911" s="2">
        <v>23</v>
      </c>
      <c r="AG3911" s="2">
        <v>2</v>
      </c>
      <c r="AH3911" s="3" t="s">
        <v>3358</v>
      </c>
      <c r="AI3911" s="4">
        <v>45427</v>
      </c>
      <c r="AJ3911" s="3" t="s">
        <v>4081</v>
      </c>
      <c r="AK3911" s="3" t="s">
        <v>38</v>
      </c>
    </row>
    <row r="3912" spans="1:37" hidden="1" x14ac:dyDescent="0.25">
      <c r="A3912" t="str">
        <f t="shared" si="61"/>
        <v>2024_SA_Warnertown_Lentil_SatelliteTOS2VarietyBoltWaterTrtRainFedAgronomyDensity_0.66</v>
      </c>
      <c r="B3912" s="2">
        <v>2024043</v>
      </c>
      <c r="C3912" s="3" t="s">
        <v>4057</v>
      </c>
      <c r="D3912" s="3" t="s">
        <v>38</v>
      </c>
      <c r="F3912" s="3" t="s">
        <v>4187</v>
      </c>
      <c r="G3912" s="3" t="s">
        <v>39</v>
      </c>
      <c r="H3912" s="3" t="s">
        <v>253</v>
      </c>
      <c r="I3912" s="2">
        <v>25</v>
      </c>
      <c r="J3912" s="2">
        <v>25</v>
      </c>
      <c r="K3912" s="2">
        <v>3</v>
      </c>
      <c r="O3912" s="2">
        <v>5</v>
      </c>
      <c r="U3912" s="2">
        <v>1</v>
      </c>
      <c r="V3912" s="2">
        <v>14</v>
      </c>
      <c r="W3912" s="2">
        <v>1</v>
      </c>
      <c r="X3912" s="2">
        <v>9</v>
      </c>
      <c r="Z3912" s="2">
        <v>37</v>
      </c>
      <c r="AA3912" s="3" t="s">
        <v>40</v>
      </c>
      <c r="AB3912" s="2">
        <v>5</v>
      </c>
      <c r="AC3912" s="3" t="s">
        <v>1511</v>
      </c>
      <c r="AF3912" s="2">
        <v>23</v>
      </c>
      <c r="AG3912" s="2">
        <v>2</v>
      </c>
      <c r="AH3912" s="3" t="s">
        <v>3358</v>
      </c>
      <c r="AI3912" s="4">
        <v>45427</v>
      </c>
      <c r="AJ3912" s="3" t="s">
        <v>4082</v>
      </c>
      <c r="AK3912" s="3" t="s">
        <v>38</v>
      </c>
    </row>
    <row r="3913" spans="1:37" hidden="1" x14ac:dyDescent="0.25">
      <c r="A3913" t="str">
        <f t="shared" si="61"/>
        <v>2024_SA_Warnertown_Lentil_SatelliteTOS2VarietyHallmarkXTWaterTrtRainFedAgronomyDensity_1</v>
      </c>
      <c r="B3913" s="2">
        <v>2024043</v>
      </c>
      <c r="C3913" s="3" t="s">
        <v>4057</v>
      </c>
      <c r="D3913" s="3" t="s">
        <v>38</v>
      </c>
      <c r="F3913" s="3" t="s">
        <v>4189</v>
      </c>
      <c r="G3913" s="3" t="s">
        <v>39</v>
      </c>
      <c r="H3913" s="3" t="s">
        <v>253</v>
      </c>
      <c r="I3913" s="2">
        <v>26</v>
      </c>
      <c r="J3913" s="2">
        <v>26</v>
      </c>
      <c r="K3913" s="2">
        <v>3</v>
      </c>
      <c r="O3913" s="2">
        <v>5</v>
      </c>
      <c r="U3913" s="2">
        <v>2</v>
      </c>
      <c r="V3913" s="2">
        <v>14</v>
      </c>
      <c r="W3913" s="2">
        <v>2</v>
      </c>
      <c r="X3913" s="2">
        <v>9</v>
      </c>
      <c r="Z3913" s="2">
        <v>38</v>
      </c>
      <c r="AA3913" s="3" t="s">
        <v>40</v>
      </c>
      <c r="AB3913" s="2">
        <v>1</v>
      </c>
      <c r="AC3913" s="3" t="s">
        <v>1513</v>
      </c>
      <c r="AF3913" s="2">
        <v>23</v>
      </c>
      <c r="AG3913" s="2">
        <v>2</v>
      </c>
      <c r="AH3913" s="3" t="s">
        <v>3358</v>
      </c>
      <c r="AI3913" s="4">
        <v>45427</v>
      </c>
      <c r="AJ3913" s="3" t="s">
        <v>4083</v>
      </c>
      <c r="AK3913" s="3" t="s">
        <v>38</v>
      </c>
    </row>
    <row r="3914" spans="1:37" hidden="1" x14ac:dyDescent="0.25">
      <c r="A3914" t="str">
        <f t="shared" si="61"/>
        <v>2024_SA_Warnertown_Lentil_SatelliteTOS2VarietyJumbo2WaterTrtRainFedAgronomyDensity_0.66</v>
      </c>
      <c r="B3914" s="2">
        <v>2024043</v>
      </c>
      <c r="C3914" s="3" t="s">
        <v>4057</v>
      </c>
      <c r="D3914" s="3" t="s">
        <v>38</v>
      </c>
      <c r="F3914" s="3" t="s">
        <v>4176</v>
      </c>
      <c r="G3914" s="3" t="s">
        <v>43</v>
      </c>
      <c r="H3914" s="3" t="s">
        <v>253</v>
      </c>
      <c r="I3914" s="2">
        <v>27</v>
      </c>
      <c r="J3914" s="2">
        <v>27</v>
      </c>
      <c r="K3914" s="2">
        <v>3</v>
      </c>
      <c r="O3914" s="2">
        <v>5</v>
      </c>
      <c r="U3914" s="2">
        <v>3</v>
      </c>
      <c r="V3914" s="2">
        <v>14</v>
      </c>
      <c r="W3914" s="2">
        <v>3</v>
      </c>
      <c r="X3914" s="2">
        <v>9</v>
      </c>
      <c r="Z3914" s="2">
        <v>39</v>
      </c>
      <c r="AA3914" s="3" t="s">
        <v>40</v>
      </c>
      <c r="AB3914" s="2">
        <v>6</v>
      </c>
      <c r="AC3914" s="3" t="s">
        <v>1511</v>
      </c>
      <c r="AF3914" s="2">
        <v>23</v>
      </c>
      <c r="AG3914" s="2">
        <v>2</v>
      </c>
      <c r="AH3914" s="3" t="s">
        <v>3358</v>
      </c>
      <c r="AI3914" s="4">
        <v>45427</v>
      </c>
      <c r="AJ3914" s="3" t="s">
        <v>4084</v>
      </c>
      <c r="AK3914" s="3" t="s">
        <v>38</v>
      </c>
    </row>
    <row r="3915" spans="1:37" hidden="1" x14ac:dyDescent="0.25">
      <c r="A3915" t="str">
        <f t="shared" si="61"/>
        <v>2024_SA_Warnertown_Lentil_SatelliteTOS2VarietyKelpieXTWaterTrtRainFedAgronomyDensity_1</v>
      </c>
      <c r="B3915" s="2">
        <v>2024043</v>
      </c>
      <c r="C3915" s="3" t="s">
        <v>4057</v>
      </c>
      <c r="D3915" s="3" t="s">
        <v>38</v>
      </c>
      <c r="F3915" s="3" t="s">
        <v>4188</v>
      </c>
      <c r="G3915" s="3" t="s">
        <v>43</v>
      </c>
      <c r="H3915" s="3" t="s">
        <v>253</v>
      </c>
      <c r="I3915" s="2">
        <v>28</v>
      </c>
      <c r="J3915" s="2">
        <v>28</v>
      </c>
      <c r="K3915" s="2">
        <v>3</v>
      </c>
      <c r="O3915" s="2">
        <v>5</v>
      </c>
      <c r="U3915" s="2">
        <v>1</v>
      </c>
      <c r="V3915" s="2">
        <v>15</v>
      </c>
      <c r="W3915" s="2">
        <v>1</v>
      </c>
      <c r="X3915" s="2">
        <v>10</v>
      </c>
      <c r="Z3915" s="2">
        <v>42</v>
      </c>
      <c r="AA3915" s="3" t="s">
        <v>40</v>
      </c>
      <c r="AB3915" s="2">
        <v>4</v>
      </c>
      <c r="AC3915" s="3" t="s">
        <v>1513</v>
      </c>
      <c r="AF3915" s="2">
        <v>23</v>
      </c>
      <c r="AG3915" s="2">
        <v>2</v>
      </c>
      <c r="AH3915" s="3" t="s">
        <v>3358</v>
      </c>
      <c r="AI3915" s="4">
        <v>45427</v>
      </c>
      <c r="AJ3915" s="3" t="s">
        <v>4085</v>
      </c>
      <c r="AK3915" s="3" t="s">
        <v>38</v>
      </c>
    </row>
    <row r="3916" spans="1:37" hidden="1" x14ac:dyDescent="0.25">
      <c r="A3916" t="str">
        <f t="shared" si="61"/>
        <v>2024_SA_Warnertown_Lentil_SatelliteTOS2VarietyJumbo2WaterTrtRainFedAgronomyDensity_1</v>
      </c>
      <c r="B3916" s="2">
        <v>2024043</v>
      </c>
      <c r="C3916" s="3" t="s">
        <v>4057</v>
      </c>
      <c r="D3916" s="3" t="s">
        <v>38</v>
      </c>
      <c r="F3916" s="3" t="s">
        <v>4176</v>
      </c>
      <c r="G3916" s="3" t="s">
        <v>43</v>
      </c>
      <c r="H3916" s="3" t="s">
        <v>253</v>
      </c>
      <c r="I3916" s="2">
        <v>29</v>
      </c>
      <c r="J3916" s="2">
        <v>29</v>
      </c>
      <c r="K3916" s="2">
        <v>3</v>
      </c>
      <c r="O3916" s="2">
        <v>5</v>
      </c>
      <c r="U3916" s="2">
        <v>2</v>
      </c>
      <c r="V3916" s="2">
        <v>15</v>
      </c>
      <c r="W3916" s="2">
        <v>2</v>
      </c>
      <c r="X3916" s="2">
        <v>10</v>
      </c>
      <c r="Z3916" s="2">
        <v>41</v>
      </c>
      <c r="AA3916" s="3" t="s">
        <v>40</v>
      </c>
      <c r="AB3916" s="2">
        <v>3</v>
      </c>
      <c r="AC3916" s="3" t="s">
        <v>1513</v>
      </c>
      <c r="AF3916" s="2">
        <v>23</v>
      </c>
      <c r="AG3916" s="2">
        <v>2</v>
      </c>
      <c r="AH3916" s="3" t="s">
        <v>3358</v>
      </c>
      <c r="AI3916" s="4">
        <v>45427</v>
      </c>
      <c r="AJ3916" s="3" t="s">
        <v>4086</v>
      </c>
      <c r="AK3916" s="3" t="s">
        <v>38</v>
      </c>
    </row>
    <row r="3917" spans="1:37" hidden="1" x14ac:dyDescent="0.25">
      <c r="A3917" t="str">
        <f t="shared" si="61"/>
        <v>2024_SA_Warnertown_Lentil_SatelliteTOS2VarietyBoltWaterTrtRainFedAgronomyDensity_1</v>
      </c>
      <c r="B3917" s="2">
        <v>2024043</v>
      </c>
      <c r="C3917" s="3" t="s">
        <v>4057</v>
      </c>
      <c r="D3917" s="3" t="s">
        <v>38</v>
      </c>
      <c r="F3917" s="3" t="s">
        <v>4187</v>
      </c>
      <c r="G3917" s="3" t="s">
        <v>39</v>
      </c>
      <c r="H3917" s="3" t="s">
        <v>253</v>
      </c>
      <c r="I3917" s="2">
        <v>30</v>
      </c>
      <c r="J3917" s="2">
        <v>30</v>
      </c>
      <c r="K3917" s="2">
        <v>3</v>
      </c>
      <c r="O3917" s="2">
        <v>5</v>
      </c>
      <c r="U3917" s="2">
        <v>3</v>
      </c>
      <c r="V3917" s="2">
        <v>15</v>
      </c>
      <c r="W3917" s="2">
        <v>3</v>
      </c>
      <c r="X3917" s="2">
        <v>10</v>
      </c>
      <c r="Z3917" s="2">
        <v>40</v>
      </c>
      <c r="AA3917" s="3" t="s">
        <v>40</v>
      </c>
      <c r="AB3917" s="2">
        <v>2</v>
      </c>
      <c r="AC3917" s="3" t="s">
        <v>1513</v>
      </c>
      <c r="AF3917" s="2">
        <v>23</v>
      </c>
      <c r="AG3917" s="2">
        <v>2</v>
      </c>
      <c r="AH3917" s="3" t="s">
        <v>3358</v>
      </c>
      <c r="AI3917" s="4">
        <v>45427</v>
      </c>
      <c r="AJ3917" s="3" t="s">
        <v>4087</v>
      </c>
      <c r="AK3917" s="3" t="s">
        <v>38</v>
      </c>
    </row>
    <row r="3918" spans="1:37" hidden="1" x14ac:dyDescent="0.25">
      <c r="A3918" t="str">
        <f t="shared" si="61"/>
        <v>2024_SA_Warnertown_Lentil_SatelliteTOS1VarietyBoltWaterTrtRainFedAgronomyDensity_1</v>
      </c>
      <c r="B3918" s="2">
        <v>2024043</v>
      </c>
      <c r="C3918" s="3" t="s">
        <v>4057</v>
      </c>
      <c r="D3918" s="3" t="s">
        <v>38</v>
      </c>
      <c r="F3918" s="3" t="s">
        <v>4187</v>
      </c>
      <c r="G3918" s="3" t="s">
        <v>39</v>
      </c>
      <c r="H3918" s="3" t="s">
        <v>253</v>
      </c>
      <c r="I3918" s="2">
        <v>31</v>
      </c>
      <c r="J3918" s="2">
        <v>31</v>
      </c>
      <c r="K3918" s="2">
        <v>3</v>
      </c>
      <c r="O3918" s="2">
        <v>6</v>
      </c>
      <c r="U3918" s="2">
        <v>1</v>
      </c>
      <c r="V3918" s="2">
        <v>17</v>
      </c>
      <c r="W3918" s="2">
        <v>1</v>
      </c>
      <c r="X3918" s="2">
        <v>11</v>
      </c>
      <c r="Z3918" s="2">
        <v>13</v>
      </c>
      <c r="AA3918" s="3" t="s">
        <v>40</v>
      </c>
      <c r="AB3918" s="2">
        <v>2</v>
      </c>
      <c r="AC3918" s="3" t="s">
        <v>1513</v>
      </c>
      <c r="AF3918" s="2">
        <v>23</v>
      </c>
      <c r="AG3918" s="2">
        <v>1</v>
      </c>
      <c r="AH3918" s="3" t="s">
        <v>4008</v>
      </c>
      <c r="AI3918" s="4">
        <v>45392</v>
      </c>
      <c r="AJ3918" s="3" t="s">
        <v>4088</v>
      </c>
      <c r="AK3918" s="3" t="s">
        <v>38</v>
      </c>
    </row>
    <row r="3919" spans="1:37" hidden="1" x14ac:dyDescent="0.25">
      <c r="A3919" t="str">
        <f t="shared" si="61"/>
        <v>2024_SA_Warnertown_Lentil_SatelliteTOS1VarietyJumbo2WaterTrtRainFedAgronomyDensity_1</v>
      </c>
      <c r="B3919" s="2">
        <v>2024043</v>
      </c>
      <c r="C3919" s="3" t="s">
        <v>4057</v>
      </c>
      <c r="D3919" s="3" t="s">
        <v>38</v>
      </c>
      <c r="F3919" s="3" t="s">
        <v>4176</v>
      </c>
      <c r="G3919" s="3" t="s">
        <v>43</v>
      </c>
      <c r="H3919" s="3" t="s">
        <v>253</v>
      </c>
      <c r="I3919" s="2">
        <v>32</v>
      </c>
      <c r="J3919" s="2">
        <v>32</v>
      </c>
      <c r="K3919" s="2">
        <v>3</v>
      </c>
      <c r="O3919" s="2">
        <v>6</v>
      </c>
      <c r="U3919" s="2">
        <v>2</v>
      </c>
      <c r="V3919" s="2">
        <v>17</v>
      </c>
      <c r="W3919" s="2">
        <v>2</v>
      </c>
      <c r="X3919" s="2">
        <v>11</v>
      </c>
      <c r="Z3919" s="2">
        <v>14</v>
      </c>
      <c r="AA3919" s="3" t="s">
        <v>40</v>
      </c>
      <c r="AB3919" s="2">
        <v>3</v>
      </c>
      <c r="AC3919" s="3" t="s">
        <v>1513</v>
      </c>
      <c r="AF3919" s="2">
        <v>23</v>
      </c>
      <c r="AG3919" s="2">
        <v>1</v>
      </c>
      <c r="AH3919" s="3" t="s">
        <v>4008</v>
      </c>
      <c r="AI3919" s="4">
        <v>45392</v>
      </c>
      <c r="AJ3919" s="3" t="s">
        <v>4089</v>
      </c>
      <c r="AK3919" s="3" t="s">
        <v>38</v>
      </c>
    </row>
    <row r="3920" spans="1:37" hidden="1" x14ac:dyDescent="0.25">
      <c r="A3920" t="str">
        <f t="shared" si="61"/>
        <v>2024_SA_Warnertown_Lentil_SatelliteTOS1VarietyHallmarkXTWaterTrtRainFedAgronomyDensity_1</v>
      </c>
      <c r="B3920" s="2">
        <v>2024043</v>
      </c>
      <c r="C3920" s="3" t="s">
        <v>4057</v>
      </c>
      <c r="D3920" s="3" t="s">
        <v>38</v>
      </c>
      <c r="F3920" s="3" t="s">
        <v>4189</v>
      </c>
      <c r="G3920" s="3" t="s">
        <v>39</v>
      </c>
      <c r="H3920" s="3" t="s">
        <v>253</v>
      </c>
      <c r="I3920" s="2">
        <v>33</v>
      </c>
      <c r="J3920" s="2">
        <v>33</v>
      </c>
      <c r="K3920" s="2">
        <v>3</v>
      </c>
      <c r="O3920" s="2">
        <v>6</v>
      </c>
      <c r="U3920" s="2">
        <v>3</v>
      </c>
      <c r="V3920" s="2">
        <v>17</v>
      </c>
      <c r="W3920" s="2">
        <v>3</v>
      </c>
      <c r="X3920" s="2">
        <v>11</v>
      </c>
      <c r="Z3920" s="2">
        <v>15</v>
      </c>
      <c r="AA3920" s="3" t="s">
        <v>40</v>
      </c>
      <c r="AB3920" s="2">
        <v>1</v>
      </c>
      <c r="AC3920" s="3" t="s">
        <v>1513</v>
      </c>
      <c r="AF3920" s="2">
        <v>23</v>
      </c>
      <c r="AG3920" s="2">
        <v>1</v>
      </c>
      <c r="AH3920" s="3" t="s">
        <v>4008</v>
      </c>
      <c r="AI3920" s="4">
        <v>45392</v>
      </c>
      <c r="AJ3920" s="3" t="s">
        <v>4090</v>
      </c>
      <c r="AK3920" s="3" t="s">
        <v>38</v>
      </c>
    </row>
    <row r="3921" spans="1:37" hidden="1" x14ac:dyDescent="0.25">
      <c r="A3921" t="str">
        <f t="shared" si="61"/>
        <v>2024_SA_Warnertown_Lentil_SatelliteTOS1VarietyKelpieXTWaterTrtRainFedAgronomyDensity_1</v>
      </c>
      <c r="B3921" s="2">
        <v>2024043</v>
      </c>
      <c r="C3921" s="3" t="s">
        <v>4057</v>
      </c>
      <c r="D3921" s="3" t="s">
        <v>38</v>
      </c>
      <c r="F3921" s="3" t="s">
        <v>4188</v>
      </c>
      <c r="G3921" s="3" t="s">
        <v>43</v>
      </c>
      <c r="H3921" s="3" t="s">
        <v>253</v>
      </c>
      <c r="I3921" s="2">
        <v>34</v>
      </c>
      <c r="J3921" s="2">
        <v>34</v>
      </c>
      <c r="K3921" s="2">
        <v>3</v>
      </c>
      <c r="O3921" s="2">
        <v>6</v>
      </c>
      <c r="U3921" s="2">
        <v>1</v>
      </c>
      <c r="V3921" s="2">
        <v>18</v>
      </c>
      <c r="W3921" s="2">
        <v>1</v>
      </c>
      <c r="X3921" s="2">
        <v>12</v>
      </c>
      <c r="Z3921" s="2">
        <v>18</v>
      </c>
      <c r="AA3921" s="3" t="s">
        <v>40</v>
      </c>
      <c r="AB3921" s="2">
        <v>4</v>
      </c>
      <c r="AC3921" s="3" t="s">
        <v>1513</v>
      </c>
      <c r="AF3921" s="2">
        <v>23</v>
      </c>
      <c r="AG3921" s="2">
        <v>1</v>
      </c>
      <c r="AH3921" s="3" t="s">
        <v>4008</v>
      </c>
      <c r="AI3921" s="4">
        <v>45392</v>
      </c>
      <c r="AJ3921" s="3" t="s">
        <v>4091</v>
      </c>
      <c r="AK3921" s="3" t="s">
        <v>38</v>
      </c>
    </row>
    <row r="3922" spans="1:37" hidden="1" x14ac:dyDescent="0.25">
      <c r="A3922" t="str">
        <f t="shared" si="61"/>
        <v>2024_SA_Warnertown_Lentil_SatelliteTOS1VarietyJumbo2WaterTrtRainFedAgronomyDensity_0.66</v>
      </c>
      <c r="B3922" s="2">
        <v>2024043</v>
      </c>
      <c r="C3922" s="3" t="s">
        <v>4057</v>
      </c>
      <c r="D3922" s="3" t="s">
        <v>38</v>
      </c>
      <c r="F3922" s="3" t="s">
        <v>4176</v>
      </c>
      <c r="G3922" s="3" t="s">
        <v>43</v>
      </c>
      <c r="H3922" s="3" t="s">
        <v>253</v>
      </c>
      <c r="I3922" s="2">
        <v>35</v>
      </c>
      <c r="J3922" s="2">
        <v>35</v>
      </c>
      <c r="K3922" s="2">
        <v>3</v>
      </c>
      <c r="O3922" s="2">
        <v>6</v>
      </c>
      <c r="U3922" s="2">
        <v>2</v>
      </c>
      <c r="V3922" s="2">
        <v>18</v>
      </c>
      <c r="W3922" s="2">
        <v>2</v>
      </c>
      <c r="X3922" s="2">
        <v>12</v>
      </c>
      <c r="Z3922" s="2">
        <v>17</v>
      </c>
      <c r="AA3922" s="3" t="s">
        <v>40</v>
      </c>
      <c r="AB3922" s="2">
        <v>6</v>
      </c>
      <c r="AC3922" s="3" t="s">
        <v>1511</v>
      </c>
      <c r="AF3922" s="2">
        <v>23</v>
      </c>
      <c r="AG3922" s="2">
        <v>1</v>
      </c>
      <c r="AH3922" s="3" t="s">
        <v>4008</v>
      </c>
      <c r="AI3922" s="4">
        <v>45392</v>
      </c>
      <c r="AJ3922" s="3" t="s">
        <v>4092</v>
      </c>
      <c r="AK3922" s="3" t="s">
        <v>38</v>
      </c>
    </row>
    <row r="3923" spans="1:37" hidden="1" x14ac:dyDescent="0.25">
      <c r="A3923" t="str">
        <f t="shared" si="61"/>
        <v>2024_SA_Warnertown_Lentil_SatelliteTOS1VarietyBoltWaterTrtRainFedAgronomyDensity_0.66</v>
      </c>
      <c r="B3923" s="2">
        <v>2024043</v>
      </c>
      <c r="C3923" s="3" t="s">
        <v>4057</v>
      </c>
      <c r="D3923" s="3" t="s">
        <v>38</v>
      </c>
      <c r="F3923" s="3" t="s">
        <v>4187</v>
      </c>
      <c r="G3923" s="3" t="s">
        <v>39</v>
      </c>
      <c r="H3923" s="3" t="s">
        <v>253</v>
      </c>
      <c r="I3923" s="2">
        <v>36</v>
      </c>
      <c r="J3923" s="2">
        <v>36</v>
      </c>
      <c r="K3923" s="2">
        <v>3</v>
      </c>
      <c r="O3923" s="2">
        <v>6</v>
      </c>
      <c r="U3923" s="2">
        <v>3</v>
      </c>
      <c r="V3923" s="2">
        <v>18</v>
      </c>
      <c r="W3923" s="2">
        <v>3</v>
      </c>
      <c r="X3923" s="2">
        <v>12</v>
      </c>
      <c r="Z3923" s="2">
        <v>16</v>
      </c>
      <c r="AA3923" s="3" t="s">
        <v>40</v>
      </c>
      <c r="AB3923" s="2">
        <v>5</v>
      </c>
      <c r="AC3923" s="3" t="s">
        <v>1511</v>
      </c>
      <c r="AF3923" s="2">
        <v>23</v>
      </c>
      <c r="AG3923" s="2">
        <v>1</v>
      </c>
      <c r="AH3923" s="3" t="s">
        <v>4008</v>
      </c>
      <c r="AI3923" s="4">
        <v>45392</v>
      </c>
      <c r="AJ3923" s="3" t="s">
        <v>4093</v>
      </c>
      <c r="AK3923" s="3" t="s">
        <v>38</v>
      </c>
    </row>
    <row r="3924" spans="1:37" hidden="1" x14ac:dyDescent="0.25">
      <c r="A3924" t="str">
        <f t="shared" si="61"/>
        <v>2024_SA_Warnertown_Lentil_SatelliteTOS1VarietyHallmarkXTWaterTrtRainFedAgronomyDensity_1</v>
      </c>
      <c r="B3924" s="2">
        <v>2024043</v>
      </c>
      <c r="C3924" s="3" t="s">
        <v>4057</v>
      </c>
      <c r="D3924" s="3" t="s">
        <v>38</v>
      </c>
      <c r="F3924" s="3" t="s">
        <v>4189</v>
      </c>
      <c r="G3924" s="3" t="s">
        <v>39</v>
      </c>
      <c r="H3924" s="3" t="s">
        <v>253</v>
      </c>
      <c r="I3924" s="2">
        <v>37</v>
      </c>
      <c r="J3924" s="2">
        <v>37</v>
      </c>
      <c r="K3924" s="2">
        <v>4</v>
      </c>
      <c r="O3924" s="2">
        <v>7</v>
      </c>
      <c r="U3924" s="2">
        <v>1</v>
      </c>
      <c r="V3924" s="2">
        <v>20</v>
      </c>
      <c r="W3924" s="2">
        <v>1</v>
      </c>
      <c r="X3924" s="2">
        <v>13</v>
      </c>
      <c r="Z3924" s="2">
        <v>19</v>
      </c>
      <c r="AA3924" s="3" t="s">
        <v>40</v>
      </c>
      <c r="AB3924" s="2">
        <v>1</v>
      </c>
      <c r="AC3924" s="3" t="s">
        <v>1513</v>
      </c>
      <c r="AF3924" s="2">
        <v>23</v>
      </c>
      <c r="AG3924" s="2">
        <v>1</v>
      </c>
      <c r="AH3924" s="3" t="s">
        <v>4008</v>
      </c>
      <c r="AI3924" s="4">
        <v>45392</v>
      </c>
      <c r="AJ3924" s="3" t="s">
        <v>4094</v>
      </c>
      <c r="AK3924" s="3" t="s">
        <v>38</v>
      </c>
    </row>
    <row r="3925" spans="1:37" hidden="1" x14ac:dyDescent="0.25">
      <c r="A3925" t="str">
        <f t="shared" si="61"/>
        <v>2024_SA_Warnertown_Lentil_SatelliteTOS1VarietyJumbo2WaterTrtRainFedAgronomyDensity_0.66</v>
      </c>
      <c r="B3925" s="2">
        <v>2024043</v>
      </c>
      <c r="C3925" s="3" t="s">
        <v>4057</v>
      </c>
      <c r="D3925" s="3" t="s">
        <v>38</v>
      </c>
      <c r="F3925" s="3" t="s">
        <v>4176</v>
      </c>
      <c r="G3925" s="3" t="s">
        <v>43</v>
      </c>
      <c r="H3925" s="3" t="s">
        <v>253</v>
      </c>
      <c r="I3925" s="2">
        <v>38</v>
      </c>
      <c r="J3925" s="2">
        <v>38</v>
      </c>
      <c r="K3925" s="2">
        <v>4</v>
      </c>
      <c r="O3925" s="2">
        <v>7</v>
      </c>
      <c r="U3925" s="2">
        <v>2</v>
      </c>
      <c r="V3925" s="2">
        <v>20</v>
      </c>
      <c r="W3925" s="2">
        <v>2</v>
      </c>
      <c r="X3925" s="2">
        <v>13</v>
      </c>
      <c r="Z3925" s="2">
        <v>20</v>
      </c>
      <c r="AA3925" s="3" t="s">
        <v>40</v>
      </c>
      <c r="AB3925" s="2">
        <v>6</v>
      </c>
      <c r="AC3925" s="3" t="s">
        <v>1511</v>
      </c>
      <c r="AF3925" s="2">
        <v>23</v>
      </c>
      <c r="AG3925" s="2">
        <v>1</v>
      </c>
      <c r="AH3925" s="3" t="s">
        <v>4008</v>
      </c>
      <c r="AI3925" s="4">
        <v>45392</v>
      </c>
      <c r="AJ3925" s="3" t="s">
        <v>4095</v>
      </c>
      <c r="AK3925" s="3" t="s">
        <v>38</v>
      </c>
    </row>
    <row r="3926" spans="1:37" hidden="1" x14ac:dyDescent="0.25">
      <c r="A3926" t="str">
        <f t="shared" si="61"/>
        <v>2024_SA_Warnertown_Lentil_SatelliteTOS1VarietyKelpieXTWaterTrtRainFedAgronomyDensity_1</v>
      </c>
      <c r="B3926" s="2">
        <v>2024043</v>
      </c>
      <c r="C3926" s="3" t="s">
        <v>4057</v>
      </c>
      <c r="D3926" s="3" t="s">
        <v>38</v>
      </c>
      <c r="F3926" s="3" t="s">
        <v>4188</v>
      </c>
      <c r="G3926" s="3" t="s">
        <v>43</v>
      </c>
      <c r="H3926" s="3" t="s">
        <v>253</v>
      </c>
      <c r="I3926" s="2">
        <v>39</v>
      </c>
      <c r="J3926" s="2">
        <v>39</v>
      </c>
      <c r="K3926" s="2">
        <v>4</v>
      </c>
      <c r="O3926" s="2">
        <v>7</v>
      </c>
      <c r="U3926" s="2">
        <v>3</v>
      </c>
      <c r="V3926" s="2">
        <v>20</v>
      </c>
      <c r="W3926" s="2">
        <v>3</v>
      </c>
      <c r="X3926" s="2">
        <v>13</v>
      </c>
      <c r="Z3926" s="2">
        <v>21</v>
      </c>
      <c r="AA3926" s="3" t="s">
        <v>40</v>
      </c>
      <c r="AB3926" s="2">
        <v>4</v>
      </c>
      <c r="AC3926" s="3" t="s">
        <v>1513</v>
      </c>
      <c r="AF3926" s="2">
        <v>23</v>
      </c>
      <c r="AG3926" s="2">
        <v>1</v>
      </c>
      <c r="AH3926" s="3" t="s">
        <v>4008</v>
      </c>
      <c r="AI3926" s="4">
        <v>45392</v>
      </c>
      <c r="AJ3926" s="3" t="s">
        <v>4096</v>
      </c>
      <c r="AK3926" s="3" t="s">
        <v>38</v>
      </c>
    </row>
    <row r="3927" spans="1:37" hidden="1" x14ac:dyDescent="0.25">
      <c r="A3927" t="str">
        <f t="shared" si="61"/>
        <v>2024_SA_Warnertown_Lentil_SatelliteTOS1VarietyJumbo2WaterTrtRainFedAgronomyDensity_1</v>
      </c>
      <c r="B3927" s="2">
        <v>2024043</v>
      </c>
      <c r="C3927" s="3" t="s">
        <v>4057</v>
      </c>
      <c r="D3927" s="3" t="s">
        <v>38</v>
      </c>
      <c r="F3927" s="3" t="s">
        <v>4176</v>
      </c>
      <c r="G3927" s="3" t="s">
        <v>43</v>
      </c>
      <c r="H3927" s="3" t="s">
        <v>253</v>
      </c>
      <c r="I3927" s="2">
        <v>40</v>
      </c>
      <c r="J3927" s="2">
        <v>40</v>
      </c>
      <c r="K3927" s="2">
        <v>4</v>
      </c>
      <c r="O3927" s="2">
        <v>7</v>
      </c>
      <c r="U3927" s="2">
        <v>1</v>
      </c>
      <c r="V3927" s="2">
        <v>21</v>
      </c>
      <c r="W3927" s="2">
        <v>1</v>
      </c>
      <c r="X3927" s="2">
        <v>14</v>
      </c>
      <c r="Z3927" s="2">
        <v>24</v>
      </c>
      <c r="AA3927" s="3" t="s">
        <v>40</v>
      </c>
      <c r="AB3927" s="2">
        <v>3</v>
      </c>
      <c r="AC3927" s="3" t="s">
        <v>1513</v>
      </c>
      <c r="AF3927" s="2">
        <v>23</v>
      </c>
      <c r="AG3927" s="2">
        <v>1</v>
      </c>
      <c r="AH3927" s="3" t="s">
        <v>4008</v>
      </c>
      <c r="AI3927" s="4">
        <v>45392</v>
      </c>
      <c r="AJ3927" s="3" t="s">
        <v>4097</v>
      </c>
      <c r="AK3927" s="3" t="s">
        <v>38</v>
      </c>
    </row>
    <row r="3928" spans="1:37" hidden="1" x14ac:dyDescent="0.25">
      <c r="A3928" t="str">
        <f t="shared" si="61"/>
        <v>2024_SA_Warnertown_Lentil_SatelliteTOS1VarietyBoltWaterTrtRainFedAgronomyDensity_0.66</v>
      </c>
      <c r="B3928" s="2">
        <v>2024043</v>
      </c>
      <c r="C3928" s="3" t="s">
        <v>4057</v>
      </c>
      <c r="D3928" s="3" t="s">
        <v>38</v>
      </c>
      <c r="F3928" s="3" t="s">
        <v>4187</v>
      </c>
      <c r="G3928" s="3" t="s">
        <v>39</v>
      </c>
      <c r="H3928" s="3" t="s">
        <v>253</v>
      </c>
      <c r="I3928" s="2">
        <v>41</v>
      </c>
      <c r="J3928" s="2">
        <v>41</v>
      </c>
      <c r="K3928" s="2">
        <v>4</v>
      </c>
      <c r="O3928" s="2">
        <v>7</v>
      </c>
      <c r="U3928" s="2">
        <v>2</v>
      </c>
      <c r="V3928" s="2">
        <v>21</v>
      </c>
      <c r="W3928" s="2">
        <v>2</v>
      </c>
      <c r="X3928" s="2">
        <v>14</v>
      </c>
      <c r="Z3928" s="2">
        <v>23</v>
      </c>
      <c r="AA3928" s="3" t="s">
        <v>40</v>
      </c>
      <c r="AB3928" s="2">
        <v>5</v>
      </c>
      <c r="AC3928" s="3" t="s">
        <v>1511</v>
      </c>
      <c r="AF3928" s="2">
        <v>23</v>
      </c>
      <c r="AG3928" s="2">
        <v>1</v>
      </c>
      <c r="AH3928" s="3" t="s">
        <v>4008</v>
      </c>
      <c r="AI3928" s="4">
        <v>45392</v>
      </c>
      <c r="AJ3928" s="3" t="s">
        <v>4098</v>
      </c>
      <c r="AK3928" s="3" t="s">
        <v>38</v>
      </c>
    </row>
    <row r="3929" spans="1:37" hidden="1" x14ac:dyDescent="0.25">
      <c r="A3929" t="str">
        <f t="shared" si="61"/>
        <v>2024_SA_Warnertown_Lentil_SatelliteTOS1VarietyBoltWaterTrtRainFedAgronomyDensity_1</v>
      </c>
      <c r="B3929" s="2">
        <v>2024043</v>
      </c>
      <c r="C3929" s="3" t="s">
        <v>4057</v>
      </c>
      <c r="D3929" s="3" t="s">
        <v>38</v>
      </c>
      <c r="F3929" s="3" t="s">
        <v>4187</v>
      </c>
      <c r="G3929" s="3" t="s">
        <v>39</v>
      </c>
      <c r="H3929" s="3" t="s">
        <v>253</v>
      </c>
      <c r="I3929" s="2">
        <v>42</v>
      </c>
      <c r="J3929" s="2">
        <v>42</v>
      </c>
      <c r="K3929" s="2">
        <v>4</v>
      </c>
      <c r="O3929" s="2">
        <v>7</v>
      </c>
      <c r="U3929" s="2">
        <v>3</v>
      </c>
      <c r="V3929" s="2">
        <v>21</v>
      </c>
      <c r="W3929" s="2">
        <v>3</v>
      </c>
      <c r="X3929" s="2">
        <v>14</v>
      </c>
      <c r="Z3929" s="2">
        <v>22</v>
      </c>
      <c r="AA3929" s="3" t="s">
        <v>40</v>
      </c>
      <c r="AB3929" s="2">
        <v>2</v>
      </c>
      <c r="AC3929" s="3" t="s">
        <v>1513</v>
      </c>
      <c r="AF3929" s="2">
        <v>23</v>
      </c>
      <c r="AG3929" s="2">
        <v>1</v>
      </c>
      <c r="AH3929" s="3" t="s">
        <v>4008</v>
      </c>
      <c r="AI3929" s="4">
        <v>45392</v>
      </c>
      <c r="AJ3929" s="3" t="s">
        <v>4099</v>
      </c>
      <c r="AK3929" s="3" t="s">
        <v>38</v>
      </c>
    </row>
    <row r="3930" spans="1:37" hidden="1" x14ac:dyDescent="0.25">
      <c r="A3930" t="str">
        <f t="shared" si="61"/>
        <v>2024_SA_Warnertown_Lentil_SatelliteTOS2VarietyBoltWaterTrtRainFedAgronomyDensity_0.66</v>
      </c>
      <c r="B3930" s="2">
        <v>2024043</v>
      </c>
      <c r="C3930" s="3" t="s">
        <v>4057</v>
      </c>
      <c r="D3930" s="3" t="s">
        <v>38</v>
      </c>
      <c r="F3930" s="3" t="s">
        <v>4187</v>
      </c>
      <c r="G3930" s="3" t="s">
        <v>39</v>
      </c>
      <c r="H3930" s="3" t="s">
        <v>253</v>
      </c>
      <c r="I3930" s="2">
        <v>43</v>
      </c>
      <c r="J3930" s="2">
        <v>43</v>
      </c>
      <c r="K3930" s="2">
        <v>4</v>
      </c>
      <c r="O3930" s="2">
        <v>8</v>
      </c>
      <c r="U3930" s="2">
        <v>1</v>
      </c>
      <c r="V3930" s="2">
        <v>23</v>
      </c>
      <c r="W3930" s="2">
        <v>1</v>
      </c>
      <c r="X3930" s="2">
        <v>15</v>
      </c>
      <c r="Z3930" s="2">
        <v>43</v>
      </c>
      <c r="AA3930" s="3" t="s">
        <v>40</v>
      </c>
      <c r="AB3930" s="2">
        <v>5</v>
      </c>
      <c r="AC3930" s="3" t="s">
        <v>1511</v>
      </c>
      <c r="AF3930" s="2">
        <v>23</v>
      </c>
      <c r="AG3930" s="2">
        <v>2</v>
      </c>
      <c r="AH3930" s="3" t="s">
        <v>3358</v>
      </c>
      <c r="AI3930" s="4">
        <v>45427</v>
      </c>
      <c r="AJ3930" s="3" t="s">
        <v>4100</v>
      </c>
      <c r="AK3930" s="3" t="s">
        <v>38</v>
      </c>
    </row>
    <row r="3931" spans="1:37" hidden="1" x14ac:dyDescent="0.25">
      <c r="A3931" t="str">
        <f t="shared" si="61"/>
        <v>2024_SA_Warnertown_Lentil_SatelliteTOS2VarietyHallmarkXTWaterTrtRainFedAgronomyDensity_1</v>
      </c>
      <c r="B3931" s="2">
        <v>2024043</v>
      </c>
      <c r="C3931" s="3" t="s">
        <v>4057</v>
      </c>
      <c r="D3931" s="3" t="s">
        <v>38</v>
      </c>
      <c r="F3931" s="3" t="s">
        <v>4189</v>
      </c>
      <c r="G3931" s="3" t="s">
        <v>39</v>
      </c>
      <c r="H3931" s="3" t="s">
        <v>253</v>
      </c>
      <c r="I3931" s="2">
        <v>44</v>
      </c>
      <c r="J3931" s="2">
        <v>44</v>
      </c>
      <c r="K3931" s="2">
        <v>4</v>
      </c>
      <c r="O3931" s="2">
        <v>8</v>
      </c>
      <c r="U3931" s="2">
        <v>2</v>
      </c>
      <c r="V3931" s="2">
        <v>23</v>
      </c>
      <c r="W3931" s="2">
        <v>2</v>
      </c>
      <c r="X3931" s="2">
        <v>15</v>
      </c>
      <c r="Z3931" s="2">
        <v>44</v>
      </c>
      <c r="AA3931" s="3" t="s">
        <v>40</v>
      </c>
      <c r="AB3931" s="2">
        <v>1</v>
      </c>
      <c r="AC3931" s="3" t="s">
        <v>1513</v>
      </c>
      <c r="AF3931" s="2">
        <v>23</v>
      </c>
      <c r="AG3931" s="2">
        <v>2</v>
      </c>
      <c r="AH3931" s="3" t="s">
        <v>3358</v>
      </c>
      <c r="AI3931" s="4">
        <v>45427</v>
      </c>
      <c r="AJ3931" s="3" t="s">
        <v>4101</v>
      </c>
      <c r="AK3931" s="3" t="s">
        <v>38</v>
      </c>
    </row>
    <row r="3932" spans="1:37" hidden="1" x14ac:dyDescent="0.25">
      <c r="A3932" t="str">
        <f t="shared" si="61"/>
        <v>2024_SA_Warnertown_Lentil_SatelliteTOS2VarietyBoltWaterTrtRainFedAgronomyDensity_1</v>
      </c>
      <c r="B3932" s="2">
        <v>2024043</v>
      </c>
      <c r="C3932" s="3" t="s">
        <v>4057</v>
      </c>
      <c r="D3932" s="3" t="s">
        <v>38</v>
      </c>
      <c r="F3932" s="3" t="s">
        <v>4187</v>
      </c>
      <c r="G3932" s="3" t="s">
        <v>39</v>
      </c>
      <c r="H3932" s="3" t="s">
        <v>253</v>
      </c>
      <c r="I3932" s="2">
        <v>45</v>
      </c>
      <c r="J3932" s="2">
        <v>45</v>
      </c>
      <c r="K3932" s="2">
        <v>4</v>
      </c>
      <c r="O3932" s="2">
        <v>8</v>
      </c>
      <c r="U3932" s="2">
        <v>3</v>
      </c>
      <c r="V3932" s="2">
        <v>23</v>
      </c>
      <c r="W3932" s="2">
        <v>3</v>
      </c>
      <c r="X3932" s="2">
        <v>15</v>
      </c>
      <c r="Z3932" s="2">
        <v>45</v>
      </c>
      <c r="AA3932" s="3" t="s">
        <v>40</v>
      </c>
      <c r="AB3932" s="2">
        <v>2</v>
      </c>
      <c r="AC3932" s="3" t="s">
        <v>1513</v>
      </c>
      <c r="AF3932" s="2">
        <v>23</v>
      </c>
      <c r="AG3932" s="2">
        <v>2</v>
      </c>
      <c r="AH3932" s="3" t="s">
        <v>3358</v>
      </c>
      <c r="AI3932" s="4">
        <v>45427</v>
      </c>
      <c r="AJ3932" s="3" t="s">
        <v>4102</v>
      </c>
      <c r="AK3932" s="3" t="s">
        <v>38</v>
      </c>
    </row>
    <row r="3933" spans="1:37" hidden="1" x14ac:dyDescent="0.25">
      <c r="A3933" t="str">
        <f t="shared" si="61"/>
        <v>2024_SA_Warnertown_Lentil_SatelliteTOS2VarietyJumbo2WaterTrtRainFedAgronomyDensity_1</v>
      </c>
      <c r="B3933" s="2">
        <v>2024043</v>
      </c>
      <c r="C3933" s="3" t="s">
        <v>4057</v>
      </c>
      <c r="D3933" s="3" t="s">
        <v>38</v>
      </c>
      <c r="F3933" s="3" t="s">
        <v>4176</v>
      </c>
      <c r="G3933" s="3" t="s">
        <v>43</v>
      </c>
      <c r="H3933" s="3" t="s">
        <v>253</v>
      </c>
      <c r="I3933" s="2">
        <v>46</v>
      </c>
      <c r="J3933" s="2">
        <v>46</v>
      </c>
      <c r="K3933" s="2">
        <v>4</v>
      </c>
      <c r="O3933" s="2">
        <v>8</v>
      </c>
      <c r="U3933" s="2">
        <v>1</v>
      </c>
      <c r="V3933" s="2">
        <v>24</v>
      </c>
      <c r="W3933" s="2">
        <v>1</v>
      </c>
      <c r="X3933" s="2">
        <v>16</v>
      </c>
      <c r="Z3933" s="2">
        <v>48</v>
      </c>
      <c r="AA3933" s="3" t="s">
        <v>40</v>
      </c>
      <c r="AB3933" s="2">
        <v>3</v>
      </c>
      <c r="AC3933" s="3" t="s">
        <v>1513</v>
      </c>
      <c r="AF3933" s="2">
        <v>23</v>
      </c>
      <c r="AG3933" s="2">
        <v>2</v>
      </c>
      <c r="AH3933" s="3" t="s">
        <v>3358</v>
      </c>
      <c r="AI3933" s="4">
        <v>45427</v>
      </c>
      <c r="AJ3933" s="3" t="s">
        <v>4103</v>
      </c>
      <c r="AK3933" s="3" t="s">
        <v>38</v>
      </c>
    </row>
    <row r="3934" spans="1:37" hidden="1" x14ac:dyDescent="0.25">
      <c r="A3934" t="str">
        <f t="shared" si="61"/>
        <v>2024_SA_Warnertown_Lentil_SatelliteTOS2VarietyKelpieXTWaterTrtRainFedAgronomyDensity_1</v>
      </c>
      <c r="B3934" s="2">
        <v>2024043</v>
      </c>
      <c r="C3934" s="3" t="s">
        <v>4057</v>
      </c>
      <c r="D3934" s="3" t="s">
        <v>38</v>
      </c>
      <c r="F3934" s="3" t="s">
        <v>4188</v>
      </c>
      <c r="G3934" s="3" t="s">
        <v>43</v>
      </c>
      <c r="H3934" s="3" t="s">
        <v>253</v>
      </c>
      <c r="I3934" s="2">
        <v>47</v>
      </c>
      <c r="J3934" s="2">
        <v>47</v>
      </c>
      <c r="K3934" s="2">
        <v>4</v>
      </c>
      <c r="O3934" s="2">
        <v>8</v>
      </c>
      <c r="U3934" s="2">
        <v>2</v>
      </c>
      <c r="V3934" s="2">
        <v>24</v>
      </c>
      <c r="W3934" s="2">
        <v>2</v>
      </c>
      <c r="X3934" s="2">
        <v>16</v>
      </c>
      <c r="Z3934" s="2">
        <v>47</v>
      </c>
      <c r="AA3934" s="3" t="s">
        <v>40</v>
      </c>
      <c r="AB3934" s="2">
        <v>4</v>
      </c>
      <c r="AC3934" s="3" t="s">
        <v>1513</v>
      </c>
      <c r="AF3934" s="2">
        <v>23</v>
      </c>
      <c r="AG3934" s="2">
        <v>2</v>
      </c>
      <c r="AH3934" s="3" t="s">
        <v>3358</v>
      </c>
      <c r="AI3934" s="4">
        <v>45427</v>
      </c>
      <c r="AJ3934" s="3" t="s">
        <v>4104</v>
      </c>
      <c r="AK3934" s="3" t="s">
        <v>38</v>
      </c>
    </row>
    <row r="3935" spans="1:37" hidden="1" x14ac:dyDescent="0.25">
      <c r="A3935" t="str">
        <f t="shared" si="61"/>
        <v>2024_SA_Warnertown_Lentil_SatelliteTOS2VarietyJumbo2WaterTrtRainFedAgronomyDensity_0.66</v>
      </c>
      <c r="B3935" s="2">
        <v>2024043</v>
      </c>
      <c r="C3935" s="3" t="s">
        <v>4057</v>
      </c>
      <c r="D3935" s="3" t="s">
        <v>38</v>
      </c>
      <c r="F3935" s="3" t="s">
        <v>4176</v>
      </c>
      <c r="G3935" s="3" t="s">
        <v>43</v>
      </c>
      <c r="H3935" s="3" t="s">
        <v>253</v>
      </c>
      <c r="I3935" s="2">
        <v>48</v>
      </c>
      <c r="J3935" s="2">
        <v>48</v>
      </c>
      <c r="K3935" s="2">
        <v>4</v>
      </c>
      <c r="O3935" s="2">
        <v>8</v>
      </c>
      <c r="U3935" s="2">
        <v>3</v>
      </c>
      <c r="V3935" s="2">
        <v>24</v>
      </c>
      <c r="W3935" s="2">
        <v>3</v>
      </c>
      <c r="X3935" s="2">
        <v>16</v>
      </c>
      <c r="Z3935" s="2">
        <v>46</v>
      </c>
      <c r="AA3935" s="3" t="s">
        <v>40</v>
      </c>
      <c r="AB3935" s="2">
        <v>6</v>
      </c>
      <c r="AC3935" s="3" t="s">
        <v>1511</v>
      </c>
      <c r="AF3935" s="2">
        <v>23</v>
      </c>
      <c r="AG3935" s="2">
        <v>2</v>
      </c>
      <c r="AH3935" s="3" t="s">
        <v>3358</v>
      </c>
      <c r="AI3935" s="4">
        <v>45427</v>
      </c>
      <c r="AJ3935" s="3" t="s">
        <v>4105</v>
      </c>
      <c r="AK3935" s="3" t="s">
        <v>38</v>
      </c>
    </row>
    <row r="3936" spans="1:37" hidden="1" x14ac:dyDescent="0.25">
      <c r="A3936" t="str">
        <f t="shared" si="61"/>
        <v>2024_Vic_Douglas_Fababean_SatelliteTOS1VarietySamiraWaterTrtRainFed</v>
      </c>
      <c r="B3936" s="2">
        <v>2024044</v>
      </c>
      <c r="C3936" s="3" t="s">
        <v>4106</v>
      </c>
      <c r="D3936" s="3" t="s">
        <v>645</v>
      </c>
      <c r="F3936" s="3" t="s">
        <v>4183</v>
      </c>
      <c r="G3936" s="3" t="s">
        <v>43</v>
      </c>
      <c r="H3936" s="3" t="s">
        <v>253</v>
      </c>
      <c r="I3936" s="2">
        <v>1</v>
      </c>
      <c r="J3936" s="2">
        <v>1</v>
      </c>
      <c r="K3936" s="2">
        <v>1</v>
      </c>
      <c r="O3936" s="2">
        <v>1</v>
      </c>
      <c r="U3936" s="2">
        <v>1</v>
      </c>
      <c r="V3936" s="2">
        <v>2</v>
      </c>
      <c r="W3936" s="2">
        <v>1</v>
      </c>
      <c r="X3936" s="2">
        <v>1</v>
      </c>
      <c r="Z3936" s="2">
        <v>1</v>
      </c>
      <c r="AA3936" s="3" t="s">
        <v>40</v>
      </c>
      <c r="AB3936" s="2">
        <v>4</v>
      </c>
      <c r="AF3936" s="2">
        <v>30</v>
      </c>
      <c r="AG3936" s="2">
        <v>1</v>
      </c>
      <c r="AH3936" s="3" t="s">
        <v>4107</v>
      </c>
      <c r="AI3936" s="4">
        <v>45422</v>
      </c>
      <c r="AJ3936" s="3" t="s">
        <v>4108</v>
      </c>
      <c r="AK3936" s="3" t="s">
        <v>645</v>
      </c>
    </row>
    <row r="3937" spans="1:37" hidden="1" x14ac:dyDescent="0.25">
      <c r="A3937" t="str">
        <f t="shared" si="61"/>
        <v>2024_Vic_Douglas_Fababean_SatelliteTOS1VarietyMarneWaterTrtRainFed</v>
      </c>
      <c r="B3937" s="2">
        <v>2024044</v>
      </c>
      <c r="C3937" s="3" t="s">
        <v>4106</v>
      </c>
      <c r="D3937" s="3" t="s">
        <v>645</v>
      </c>
      <c r="F3937" s="3" t="s">
        <v>4184</v>
      </c>
      <c r="G3937" s="3" t="s">
        <v>39</v>
      </c>
      <c r="H3937" s="3" t="s">
        <v>253</v>
      </c>
      <c r="I3937" s="2">
        <v>2</v>
      </c>
      <c r="J3937" s="2">
        <v>2</v>
      </c>
      <c r="K3937" s="2">
        <v>1</v>
      </c>
      <c r="O3937" s="2">
        <v>1</v>
      </c>
      <c r="U3937" s="2">
        <v>1</v>
      </c>
      <c r="V3937" s="2">
        <v>3</v>
      </c>
      <c r="W3937" s="2">
        <v>1</v>
      </c>
      <c r="X3937" s="2">
        <v>2</v>
      </c>
      <c r="Z3937" s="2">
        <v>8</v>
      </c>
      <c r="AA3937" s="3" t="s">
        <v>40</v>
      </c>
      <c r="AB3937" s="2">
        <v>2</v>
      </c>
      <c r="AF3937" s="2">
        <v>30</v>
      </c>
      <c r="AG3937" s="2">
        <v>1</v>
      </c>
      <c r="AH3937" s="3" t="s">
        <v>4107</v>
      </c>
      <c r="AI3937" s="4">
        <v>45422</v>
      </c>
      <c r="AJ3937" s="3" t="s">
        <v>4109</v>
      </c>
      <c r="AK3937" s="3" t="s">
        <v>645</v>
      </c>
    </row>
    <row r="3938" spans="1:37" hidden="1" x14ac:dyDescent="0.25">
      <c r="A3938" t="str">
        <f t="shared" si="61"/>
        <v>2024_Vic_Douglas_Fababean_SatelliteTOS1VarietyAmberleyWaterTrtRainFed</v>
      </c>
      <c r="B3938" s="2">
        <v>2024044</v>
      </c>
      <c r="C3938" s="3" t="s">
        <v>4106</v>
      </c>
      <c r="D3938" s="3" t="s">
        <v>645</v>
      </c>
      <c r="F3938" s="3" t="s">
        <v>4185</v>
      </c>
      <c r="G3938" s="3" t="s">
        <v>39</v>
      </c>
      <c r="H3938" s="3" t="s">
        <v>253</v>
      </c>
      <c r="I3938" s="2">
        <v>3</v>
      </c>
      <c r="J3938" s="2">
        <v>3</v>
      </c>
      <c r="K3938" s="2">
        <v>1</v>
      </c>
      <c r="O3938" s="2">
        <v>1</v>
      </c>
      <c r="U3938" s="2">
        <v>1</v>
      </c>
      <c r="V3938" s="2">
        <v>4</v>
      </c>
      <c r="W3938" s="2">
        <v>1</v>
      </c>
      <c r="X3938" s="2">
        <v>3</v>
      </c>
      <c r="Z3938" s="2">
        <v>9</v>
      </c>
      <c r="AA3938" s="3" t="s">
        <v>40</v>
      </c>
      <c r="AB3938" s="2">
        <v>1</v>
      </c>
      <c r="AF3938" s="2">
        <v>30</v>
      </c>
      <c r="AG3938" s="2">
        <v>1</v>
      </c>
      <c r="AH3938" s="3" t="s">
        <v>4107</v>
      </c>
      <c r="AI3938" s="4">
        <v>45422</v>
      </c>
      <c r="AJ3938" s="3" t="s">
        <v>4110</v>
      </c>
      <c r="AK3938" s="3" t="s">
        <v>645</v>
      </c>
    </row>
    <row r="3939" spans="1:37" hidden="1" x14ac:dyDescent="0.25">
      <c r="A3939" t="str">
        <f t="shared" si="61"/>
        <v>2024_Vic_Douglas_Fababean_SatelliteTOS1VarietyNasmaWaterTrtRainFed</v>
      </c>
      <c r="B3939" s="2">
        <v>2024044</v>
      </c>
      <c r="C3939" s="3" t="s">
        <v>4106</v>
      </c>
      <c r="D3939" s="3" t="s">
        <v>645</v>
      </c>
      <c r="F3939" s="3" t="s">
        <v>4186</v>
      </c>
      <c r="G3939" s="3" t="s">
        <v>43</v>
      </c>
      <c r="H3939" s="3" t="s">
        <v>253</v>
      </c>
      <c r="I3939" s="2">
        <v>4</v>
      </c>
      <c r="J3939" s="2">
        <v>4</v>
      </c>
      <c r="K3939" s="2">
        <v>1</v>
      </c>
      <c r="O3939" s="2">
        <v>1</v>
      </c>
      <c r="U3939" s="2">
        <v>1</v>
      </c>
      <c r="V3939" s="2">
        <v>5</v>
      </c>
      <c r="W3939" s="2">
        <v>1</v>
      </c>
      <c r="X3939" s="2">
        <v>4</v>
      </c>
      <c r="Z3939" s="2">
        <v>16</v>
      </c>
      <c r="AA3939" s="3" t="s">
        <v>40</v>
      </c>
      <c r="AB3939" s="2">
        <v>3</v>
      </c>
      <c r="AF3939" s="2">
        <v>30</v>
      </c>
      <c r="AG3939" s="2">
        <v>1</v>
      </c>
      <c r="AH3939" s="3" t="s">
        <v>4107</v>
      </c>
      <c r="AI3939" s="4">
        <v>45422</v>
      </c>
      <c r="AJ3939" s="3" t="s">
        <v>4111</v>
      </c>
      <c r="AK3939" s="3" t="s">
        <v>645</v>
      </c>
    </row>
    <row r="3940" spans="1:37" hidden="1" x14ac:dyDescent="0.25">
      <c r="A3940" t="str">
        <f t="shared" si="61"/>
        <v>2024_Vic_Douglas_Fababean_SatelliteTOS2VarietyAmberleyWaterTrtRainFed</v>
      </c>
      <c r="B3940" s="2">
        <v>2024044</v>
      </c>
      <c r="C3940" s="3" t="s">
        <v>4106</v>
      </c>
      <c r="D3940" s="3" t="s">
        <v>645</v>
      </c>
      <c r="F3940" s="3" t="s">
        <v>4185</v>
      </c>
      <c r="G3940" s="3" t="s">
        <v>39</v>
      </c>
      <c r="H3940" s="3" t="s">
        <v>253</v>
      </c>
      <c r="I3940" s="2">
        <v>5</v>
      </c>
      <c r="J3940" s="2">
        <v>5</v>
      </c>
      <c r="K3940" s="2">
        <v>1</v>
      </c>
      <c r="O3940" s="2">
        <v>2</v>
      </c>
      <c r="U3940" s="2">
        <v>1</v>
      </c>
      <c r="V3940" s="2">
        <v>8</v>
      </c>
      <c r="W3940" s="2">
        <v>1</v>
      </c>
      <c r="X3940" s="2">
        <v>5</v>
      </c>
      <c r="Z3940" s="2">
        <v>17</v>
      </c>
      <c r="AA3940" s="3" t="s">
        <v>40</v>
      </c>
      <c r="AB3940" s="2">
        <v>1</v>
      </c>
      <c r="AF3940" s="2">
        <v>30</v>
      </c>
      <c r="AG3940" s="2">
        <v>2</v>
      </c>
      <c r="AH3940" s="3" t="s">
        <v>3497</v>
      </c>
      <c r="AI3940" s="4">
        <v>45477</v>
      </c>
      <c r="AJ3940" s="3" t="s">
        <v>4112</v>
      </c>
      <c r="AK3940" s="3" t="s">
        <v>645</v>
      </c>
    </row>
    <row r="3941" spans="1:37" hidden="1" x14ac:dyDescent="0.25">
      <c r="A3941" t="str">
        <f t="shared" si="61"/>
        <v>2024_Vic_Douglas_Fababean_SatelliteTOS2VarietySamiraWaterTrtRainFed</v>
      </c>
      <c r="B3941" s="2">
        <v>2024044</v>
      </c>
      <c r="C3941" s="3" t="s">
        <v>4106</v>
      </c>
      <c r="D3941" s="3" t="s">
        <v>645</v>
      </c>
      <c r="F3941" s="3" t="s">
        <v>4183</v>
      </c>
      <c r="G3941" s="3" t="s">
        <v>43</v>
      </c>
      <c r="H3941" s="3" t="s">
        <v>253</v>
      </c>
      <c r="I3941" s="2">
        <v>6</v>
      </c>
      <c r="J3941" s="2">
        <v>6</v>
      </c>
      <c r="K3941" s="2">
        <v>1</v>
      </c>
      <c r="O3941" s="2">
        <v>2</v>
      </c>
      <c r="U3941" s="2">
        <v>1</v>
      </c>
      <c r="V3941" s="2">
        <v>9</v>
      </c>
      <c r="W3941" s="2">
        <v>1</v>
      </c>
      <c r="X3941" s="2">
        <v>6</v>
      </c>
      <c r="Z3941" s="2">
        <v>24</v>
      </c>
      <c r="AA3941" s="3" t="s">
        <v>40</v>
      </c>
      <c r="AB3941" s="2">
        <v>4</v>
      </c>
      <c r="AF3941" s="2">
        <v>30</v>
      </c>
      <c r="AG3941" s="2">
        <v>2</v>
      </c>
      <c r="AH3941" s="3" t="s">
        <v>3497</v>
      </c>
      <c r="AI3941" s="4">
        <v>45477</v>
      </c>
      <c r="AJ3941" s="3" t="s">
        <v>4113</v>
      </c>
      <c r="AK3941" s="3" t="s">
        <v>645</v>
      </c>
    </row>
    <row r="3942" spans="1:37" hidden="1" x14ac:dyDescent="0.25">
      <c r="A3942" t="str">
        <f t="shared" si="61"/>
        <v>2024_Vic_Douglas_Fababean_SatelliteTOS2VarietyNasmaWaterTrtRainFed</v>
      </c>
      <c r="B3942" s="2">
        <v>2024044</v>
      </c>
      <c r="C3942" s="3" t="s">
        <v>4106</v>
      </c>
      <c r="D3942" s="3" t="s">
        <v>645</v>
      </c>
      <c r="F3942" s="3" t="s">
        <v>4186</v>
      </c>
      <c r="G3942" s="3" t="s">
        <v>43</v>
      </c>
      <c r="H3942" s="3" t="s">
        <v>253</v>
      </c>
      <c r="I3942" s="2">
        <v>7</v>
      </c>
      <c r="J3942" s="2">
        <v>7</v>
      </c>
      <c r="K3942" s="2">
        <v>1</v>
      </c>
      <c r="O3942" s="2">
        <v>2</v>
      </c>
      <c r="U3942" s="2">
        <v>1</v>
      </c>
      <c r="V3942" s="2">
        <v>10</v>
      </c>
      <c r="W3942" s="2">
        <v>1</v>
      </c>
      <c r="X3942" s="2">
        <v>7</v>
      </c>
      <c r="Z3942" s="2">
        <v>25</v>
      </c>
      <c r="AA3942" s="3" t="s">
        <v>40</v>
      </c>
      <c r="AB3942" s="2">
        <v>3</v>
      </c>
      <c r="AF3942" s="2">
        <v>30</v>
      </c>
      <c r="AG3942" s="2">
        <v>2</v>
      </c>
      <c r="AH3942" s="3" t="s">
        <v>3497</v>
      </c>
      <c r="AI3942" s="4">
        <v>45477</v>
      </c>
      <c r="AJ3942" s="3" t="s">
        <v>4114</v>
      </c>
      <c r="AK3942" s="3" t="s">
        <v>645</v>
      </c>
    </row>
    <row r="3943" spans="1:37" hidden="1" x14ac:dyDescent="0.25">
      <c r="A3943" t="str">
        <f t="shared" si="61"/>
        <v>2024_Vic_Douglas_Fababean_SatelliteTOS2VarietyMarneWaterTrtRainFed</v>
      </c>
      <c r="B3943" s="2">
        <v>2024044</v>
      </c>
      <c r="C3943" s="3" t="s">
        <v>4106</v>
      </c>
      <c r="D3943" s="3" t="s">
        <v>645</v>
      </c>
      <c r="F3943" s="3" t="s">
        <v>4184</v>
      </c>
      <c r="G3943" s="3" t="s">
        <v>39</v>
      </c>
      <c r="H3943" s="3" t="s">
        <v>253</v>
      </c>
      <c r="I3943" s="2">
        <v>8</v>
      </c>
      <c r="J3943" s="2">
        <v>8</v>
      </c>
      <c r="K3943" s="2">
        <v>1</v>
      </c>
      <c r="O3943" s="2">
        <v>2</v>
      </c>
      <c r="U3943" s="2">
        <v>1</v>
      </c>
      <c r="V3943" s="2">
        <v>11</v>
      </c>
      <c r="W3943" s="2">
        <v>1</v>
      </c>
      <c r="X3943" s="2">
        <v>8</v>
      </c>
      <c r="Z3943" s="2">
        <v>32</v>
      </c>
      <c r="AA3943" s="3" t="s">
        <v>40</v>
      </c>
      <c r="AB3943" s="2">
        <v>2</v>
      </c>
      <c r="AF3943" s="2">
        <v>30</v>
      </c>
      <c r="AG3943" s="2">
        <v>2</v>
      </c>
      <c r="AH3943" s="3" t="s">
        <v>3497</v>
      </c>
      <c r="AI3943" s="4">
        <v>45477</v>
      </c>
      <c r="AJ3943" s="3" t="s">
        <v>4115</v>
      </c>
      <c r="AK3943" s="3" t="s">
        <v>645</v>
      </c>
    </row>
    <row r="3944" spans="1:37" hidden="1" x14ac:dyDescent="0.25">
      <c r="A3944" t="str">
        <f t="shared" si="61"/>
        <v>2024_Vic_Douglas_Fababean_SatelliteTOS2VarietyNasmaWaterTrtRainFed</v>
      </c>
      <c r="B3944" s="2">
        <v>2024044</v>
      </c>
      <c r="C3944" s="3" t="s">
        <v>4106</v>
      </c>
      <c r="D3944" s="3" t="s">
        <v>645</v>
      </c>
      <c r="F3944" s="3" t="s">
        <v>4186</v>
      </c>
      <c r="G3944" s="3" t="s">
        <v>43</v>
      </c>
      <c r="H3944" s="3" t="s">
        <v>253</v>
      </c>
      <c r="I3944" s="2">
        <v>9</v>
      </c>
      <c r="J3944" s="2">
        <v>9</v>
      </c>
      <c r="K3944" s="2">
        <v>2</v>
      </c>
      <c r="O3944" s="2">
        <v>3</v>
      </c>
      <c r="U3944" s="2">
        <v>3</v>
      </c>
      <c r="V3944" s="2">
        <v>2</v>
      </c>
      <c r="W3944" s="2">
        <v>2</v>
      </c>
      <c r="X3944" s="2">
        <v>1</v>
      </c>
      <c r="Z3944" s="2">
        <v>2</v>
      </c>
      <c r="AA3944" s="3" t="s">
        <v>40</v>
      </c>
      <c r="AB3944" s="2">
        <v>3</v>
      </c>
      <c r="AF3944" s="2">
        <v>30</v>
      </c>
      <c r="AG3944" s="2">
        <v>2</v>
      </c>
      <c r="AH3944" s="3" t="s">
        <v>3497</v>
      </c>
      <c r="AI3944" s="4">
        <v>45477</v>
      </c>
      <c r="AJ3944" s="3" t="s">
        <v>4116</v>
      </c>
      <c r="AK3944" s="3" t="s">
        <v>645</v>
      </c>
    </row>
    <row r="3945" spans="1:37" hidden="1" x14ac:dyDescent="0.25">
      <c r="A3945" t="str">
        <f t="shared" si="61"/>
        <v>2024_Vic_Douglas_Fababean_SatelliteTOS2VarietyAmberleyWaterTrtRainFed</v>
      </c>
      <c r="B3945" s="2">
        <v>2024044</v>
      </c>
      <c r="C3945" s="3" t="s">
        <v>4106</v>
      </c>
      <c r="D3945" s="3" t="s">
        <v>645</v>
      </c>
      <c r="F3945" s="3" t="s">
        <v>4185</v>
      </c>
      <c r="G3945" s="3" t="s">
        <v>39</v>
      </c>
      <c r="H3945" s="3" t="s">
        <v>253</v>
      </c>
      <c r="I3945" s="2">
        <v>10</v>
      </c>
      <c r="J3945" s="2">
        <v>10</v>
      </c>
      <c r="K3945" s="2">
        <v>2</v>
      </c>
      <c r="O3945" s="2">
        <v>3</v>
      </c>
      <c r="U3945" s="2">
        <v>3</v>
      </c>
      <c r="V3945" s="2">
        <v>3</v>
      </c>
      <c r="W3945" s="2">
        <v>2</v>
      </c>
      <c r="X3945" s="2">
        <v>2</v>
      </c>
      <c r="Z3945" s="2">
        <v>7</v>
      </c>
      <c r="AA3945" s="3" t="s">
        <v>40</v>
      </c>
      <c r="AB3945" s="2">
        <v>1</v>
      </c>
      <c r="AF3945" s="2">
        <v>30</v>
      </c>
      <c r="AG3945" s="2">
        <v>2</v>
      </c>
      <c r="AH3945" s="3" t="s">
        <v>3497</v>
      </c>
      <c r="AI3945" s="4">
        <v>45477</v>
      </c>
      <c r="AJ3945" s="3" t="s">
        <v>4117</v>
      </c>
      <c r="AK3945" s="3" t="s">
        <v>645</v>
      </c>
    </row>
    <row r="3946" spans="1:37" hidden="1" x14ac:dyDescent="0.25">
      <c r="A3946" t="str">
        <f t="shared" si="61"/>
        <v>2024_Vic_Douglas_Fababean_SatelliteTOS2VarietySamiraWaterTrtRainFed</v>
      </c>
      <c r="B3946" s="2">
        <v>2024044</v>
      </c>
      <c r="C3946" s="3" t="s">
        <v>4106</v>
      </c>
      <c r="D3946" s="3" t="s">
        <v>645</v>
      </c>
      <c r="F3946" s="3" t="s">
        <v>4183</v>
      </c>
      <c r="G3946" s="3" t="s">
        <v>43</v>
      </c>
      <c r="H3946" s="3" t="s">
        <v>253</v>
      </c>
      <c r="I3946" s="2">
        <v>11</v>
      </c>
      <c r="J3946" s="2">
        <v>11</v>
      </c>
      <c r="K3946" s="2">
        <v>2</v>
      </c>
      <c r="O3946" s="2">
        <v>3</v>
      </c>
      <c r="U3946" s="2">
        <v>3</v>
      </c>
      <c r="V3946" s="2">
        <v>4</v>
      </c>
      <c r="W3946" s="2">
        <v>2</v>
      </c>
      <c r="X3946" s="2">
        <v>3</v>
      </c>
      <c r="Z3946" s="2">
        <v>10</v>
      </c>
      <c r="AA3946" s="3" t="s">
        <v>40</v>
      </c>
      <c r="AB3946" s="2">
        <v>4</v>
      </c>
      <c r="AF3946" s="2">
        <v>30</v>
      </c>
      <c r="AG3946" s="2">
        <v>2</v>
      </c>
      <c r="AH3946" s="3" t="s">
        <v>3497</v>
      </c>
      <c r="AI3946" s="4">
        <v>45477</v>
      </c>
      <c r="AJ3946" s="3" t="s">
        <v>4118</v>
      </c>
      <c r="AK3946" s="3" t="s">
        <v>645</v>
      </c>
    </row>
    <row r="3947" spans="1:37" hidden="1" x14ac:dyDescent="0.25">
      <c r="A3947" t="str">
        <f t="shared" si="61"/>
        <v>2024_Vic_Douglas_Fababean_SatelliteTOS2VarietyMarneWaterTrtRainFed</v>
      </c>
      <c r="B3947" s="2">
        <v>2024044</v>
      </c>
      <c r="C3947" s="3" t="s">
        <v>4106</v>
      </c>
      <c r="D3947" s="3" t="s">
        <v>645</v>
      </c>
      <c r="F3947" s="3" t="s">
        <v>4184</v>
      </c>
      <c r="G3947" s="3" t="s">
        <v>39</v>
      </c>
      <c r="H3947" s="3" t="s">
        <v>253</v>
      </c>
      <c r="I3947" s="2">
        <v>12</v>
      </c>
      <c r="J3947" s="2">
        <v>12</v>
      </c>
      <c r="K3947" s="2">
        <v>2</v>
      </c>
      <c r="O3947" s="2">
        <v>3</v>
      </c>
      <c r="U3947" s="2">
        <v>3</v>
      </c>
      <c r="V3947" s="2">
        <v>5</v>
      </c>
      <c r="W3947" s="2">
        <v>2</v>
      </c>
      <c r="X3947" s="2">
        <v>4</v>
      </c>
      <c r="Z3947" s="2">
        <v>15</v>
      </c>
      <c r="AA3947" s="3" t="s">
        <v>40</v>
      </c>
      <c r="AB3947" s="2">
        <v>2</v>
      </c>
      <c r="AF3947" s="2">
        <v>30</v>
      </c>
      <c r="AG3947" s="2">
        <v>2</v>
      </c>
      <c r="AH3947" s="3" t="s">
        <v>3497</v>
      </c>
      <c r="AI3947" s="4">
        <v>45477</v>
      </c>
      <c r="AJ3947" s="3" t="s">
        <v>4119</v>
      </c>
      <c r="AK3947" s="3" t="s">
        <v>645</v>
      </c>
    </row>
    <row r="3948" spans="1:37" hidden="1" x14ac:dyDescent="0.25">
      <c r="A3948" t="str">
        <f t="shared" si="61"/>
        <v>2024_Vic_Douglas_Fababean_SatelliteTOS1VarietySamiraWaterTrtRainFed</v>
      </c>
      <c r="B3948" s="2">
        <v>2024044</v>
      </c>
      <c r="C3948" s="3" t="s">
        <v>4106</v>
      </c>
      <c r="D3948" s="3" t="s">
        <v>645</v>
      </c>
      <c r="F3948" s="3" t="s">
        <v>4183</v>
      </c>
      <c r="G3948" s="3" t="s">
        <v>43</v>
      </c>
      <c r="H3948" s="3" t="s">
        <v>253</v>
      </c>
      <c r="I3948" s="2">
        <v>13</v>
      </c>
      <c r="J3948" s="2">
        <v>13</v>
      </c>
      <c r="K3948" s="2">
        <v>2</v>
      </c>
      <c r="O3948" s="2">
        <v>4</v>
      </c>
      <c r="U3948" s="2">
        <v>3</v>
      </c>
      <c r="V3948" s="2">
        <v>8</v>
      </c>
      <c r="W3948" s="2">
        <v>2</v>
      </c>
      <c r="X3948" s="2">
        <v>5</v>
      </c>
      <c r="Z3948" s="2">
        <v>18</v>
      </c>
      <c r="AA3948" s="3" t="s">
        <v>40</v>
      </c>
      <c r="AB3948" s="2">
        <v>4</v>
      </c>
      <c r="AF3948" s="2">
        <v>30</v>
      </c>
      <c r="AG3948" s="2">
        <v>1</v>
      </c>
      <c r="AH3948" s="3" t="s">
        <v>4107</v>
      </c>
      <c r="AI3948" s="4">
        <v>45422</v>
      </c>
      <c r="AJ3948" s="3" t="s">
        <v>4120</v>
      </c>
      <c r="AK3948" s="3" t="s">
        <v>645</v>
      </c>
    </row>
    <row r="3949" spans="1:37" hidden="1" x14ac:dyDescent="0.25">
      <c r="A3949" t="str">
        <f t="shared" si="61"/>
        <v>2024_Vic_Douglas_Fababean_SatelliteTOS1VarietyMarneWaterTrtRainFed</v>
      </c>
      <c r="B3949" s="2">
        <v>2024044</v>
      </c>
      <c r="C3949" s="3" t="s">
        <v>4106</v>
      </c>
      <c r="D3949" s="3" t="s">
        <v>645</v>
      </c>
      <c r="F3949" s="3" t="s">
        <v>4184</v>
      </c>
      <c r="G3949" s="3" t="s">
        <v>39</v>
      </c>
      <c r="H3949" s="3" t="s">
        <v>253</v>
      </c>
      <c r="I3949" s="2">
        <v>14</v>
      </c>
      <c r="J3949" s="2">
        <v>14</v>
      </c>
      <c r="K3949" s="2">
        <v>2</v>
      </c>
      <c r="O3949" s="2">
        <v>4</v>
      </c>
      <c r="U3949" s="2">
        <v>3</v>
      </c>
      <c r="V3949" s="2">
        <v>9</v>
      </c>
      <c r="W3949" s="2">
        <v>2</v>
      </c>
      <c r="X3949" s="2">
        <v>6</v>
      </c>
      <c r="Z3949" s="2">
        <v>23</v>
      </c>
      <c r="AA3949" s="3" t="s">
        <v>40</v>
      </c>
      <c r="AB3949" s="2">
        <v>2</v>
      </c>
      <c r="AF3949" s="2">
        <v>30</v>
      </c>
      <c r="AG3949" s="2">
        <v>1</v>
      </c>
      <c r="AH3949" s="3" t="s">
        <v>4107</v>
      </c>
      <c r="AI3949" s="4">
        <v>45422</v>
      </c>
      <c r="AJ3949" s="3" t="s">
        <v>4121</v>
      </c>
      <c r="AK3949" s="3" t="s">
        <v>645</v>
      </c>
    </row>
    <row r="3950" spans="1:37" hidden="1" x14ac:dyDescent="0.25">
      <c r="A3950" t="str">
        <f t="shared" si="61"/>
        <v>2024_Vic_Douglas_Fababean_SatelliteTOS1VarietyAmberleyWaterTrtRainFed</v>
      </c>
      <c r="B3950" s="2">
        <v>2024044</v>
      </c>
      <c r="C3950" s="3" t="s">
        <v>4106</v>
      </c>
      <c r="D3950" s="3" t="s">
        <v>645</v>
      </c>
      <c r="F3950" s="3" t="s">
        <v>4185</v>
      </c>
      <c r="G3950" s="3" t="s">
        <v>39</v>
      </c>
      <c r="H3950" s="3" t="s">
        <v>253</v>
      </c>
      <c r="I3950" s="2">
        <v>15</v>
      </c>
      <c r="J3950" s="2">
        <v>15</v>
      </c>
      <c r="K3950" s="2">
        <v>2</v>
      </c>
      <c r="O3950" s="2">
        <v>4</v>
      </c>
      <c r="U3950" s="2">
        <v>3</v>
      </c>
      <c r="V3950" s="2">
        <v>10</v>
      </c>
      <c r="W3950" s="2">
        <v>2</v>
      </c>
      <c r="X3950" s="2">
        <v>7</v>
      </c>
      <c r="Z3950" s="2">
        <v>26</v>
      </c>
      <c r="AA3950" s="3" t="s">
        <v>40</v>
      </c>
      <c r="AB3950" s="2">
        <v>1</v>
      </c>
      <c r="AF3950" s="2">
        <v>30</v>
      </c>
      <c r="AG3950" s="2">
        <v>1</v>
      </c>
      <c r="AH3950" s="3" t="s">
        <v>4107</v>
      </c>
      <c r="AI3950" s="4">
        <v>45422</v>
      </c>
      <c r="AJ3950" s="3" t="s">
        <v>4122</v>
      </c>
      <c r="AK3950" s="3" t="s">
        <v>645</v>
      </c>
    </row>
    <row r="3951" spans="1:37" hidden="1" x14ac:dyDescent="0.25">
      <c r="A3951" t="str">
        <f t="shared" si="61"/>
        <v>2024_Vic_Douglas_Fababean_SatelliteTOS1VarietyNasmaWaterTrtRainFed</v>
      </c>
      <c r="B3951" s="2">
        <v>2024044</v>
      </c>
      <c r="C3951" s="3" t="s">
        <v>4106</v>
      </c>
      <c r="D3951" s="3" t="s">
        <v>645</v>
      </c>
      <c r="F3951" s="3" t="s">
        <v>4186</v>
      </c>
      <c r="G3951" s="3" t="s">
        <v>43</v>
      </c>
      <c r="H3951" s="3" t="s">
        <v>253</v>
      </c>
      <c r="I3951" s="2">
        <v>16</v>
      </c>
      <c r="J3951" s="2">
        <v>16</v>
      </c>
      <c r="K3951" s="2">
        <v>2</v>
      </c>
      <c r="O3951" s="2">
        <v>4</v>
      </c>
      <c r="U3951" s="2">
        <v>3</v>
      </c>
      <c r="V3951" s="2">
        <v>11</v>
      </c>
      <c r="W3951" s="2">
        <v>2</v>
      </c>
      <c r="X3951" s="2">
        <v>8</v>
      </c>
      <c r="Z3951" s="2">
        <v>31</v>
      </c>
      <c r="AA3951" s="3" t="s">
        <v>40</v>
      </c>
      <c r="AB3951" s="2">
        <v>3</v>
      </c>
      <c r="AF3951" s="2">
        <v>30</v>
      </c>
      <c r="AG3951" s="2">
        <v>1</v>
      </c>
      <c r="AH3951" s="3" t="s">
        <v>4107</v>
      </c>
      <c r="AI3951" s="4">
        <v>45422</v>
      </c>
      <c r="AJ3951" s="3" t="s">
        <v>4123</v>
      </c>
      <c r="AK3951" s="3" t="s">
        <v>645</v>
      </c>
    </row>
    <row r="3952" spans="1:37" hidden="1" x14ac:dyDescent="0.25">
      <c r="A3952" t="str">
        <f t="shared" si="61"/>
        <v>2024_Vic_Douglas_Fababean_SatelliteTOS2VarietyMarneWaterTrtRainFed</v>
      </c>
      <c r="B3952" s="2">
        <v>2024044</v>
      </c>
      <c r="C3952" s="3" t="s">
        <v>4106</v>
      </c>
      <c r="D3952" s="3" t="s">
        <v>645</v>
      </c>
      <c r="F3952" s="3" t="s">
        <v>4184</v>
      </c>
      <c r="G3952" s="3" t="s">
        <v>39</v>
      </c>
      <c r="H3952" s="3" t="s">
        <v>253</v>
      </c>
      <c r="I3952" s="2">
        <v>17</v>
      </c>
      <c r="J3952" s="2">
        <v>17</v>
      </c>
      <c r="K3952" s="2">
        <v>3</v>
      </c>
      <c r="O3952" s="2">
        <v>5</v>
      </c>
      <c r="U3952" s="2">
        <v>5</v>
      </c>
      <c r="V3952" s="2">
        <v>2</v>
      </c>
      <c r="W3952" s="2">
        <v>3</v>
      </c>
      <c r="X3952" s="2">
        <v>1</v>
      </c>
      <c r="Z3952" s="2">
        <v>3</v>
      </c>
      <c r="AA3952" s="3" t="s">
        <v>40</v>
      </c>
      <c r="AB3952" s="2">
        <v>2</v>
      </c>
      <c r="AF3952" s="2">
        <v>30</v>
      </c>
      <c r="AG3952" s="2">
        <v>2</v>
      </c>
      <c r="AH3952" s="3" t="s">
        <v>3497</v>
      </c>
      <c r="AI3952" s="4">
        <v>45477</v>
      </c>
      <c r="AJ3952" s="3" t="s">
        <v>4124</v>
      </c>
      <c r="AK3952" s="3" t="s">
        <v>645</v>
      </c>
    </row>
    <row r="3953" spans="1:37" hidden="1" x14ac:dyDescent="0.25">
      <c r="A3953" t="str">
        <f t="shared" si="61"/>
        <v>2024_Vic_Douglas_Fababean_SatelliteTOS2VarietySamiraWaterTrtRainFed</v>
      </c>
      <c r="B3953" s="2">
        <v>2024044</v>
      </c>
      <c r="C3953" s="3" t="s">
        <v>4106</v>
      </c>
      <c r="D3953" s="3" t="s">
        <v>645</v>
      </c>
      <c r="F3953" s="3" t="s">
        <v>4183</v>
      </c>
      <c r="G3953" s="3" t="s">
        <v>43</v>
      </c>
      <c r="H3953" s="3" t="s">
        <v>253</v>
      </c>
      <c r="I3953" s="2">
        <v>18</v>
      </c>
      <c r="J3953" s="2">
        <v>18</v>
      </c>
      <c r="K3953" s="2">
        <v>3</v>
      </c>
      <c r="O3953" s="2">
        <v>5</v>
      </c>
      <c r="U3953" s="2">
        <v>5</v>
      </c>
      <c r="V3953" s="2">
        <v>3</v>
      </c>
      <c r="W3953" s="2">
        <v>3</v>
      </c>
      <c r="X3953" s="2">
        <v>2</v>
      </c>
      <c r="Z3953" s="2">
        <v>6</v>
      </c>
      <c r="AA3953" s="3" t="s">
        <v>40</v>
      </c>
      <c r="AB3953" s="2">
        <v>4</v>
      </c>
      <c r="AF3953" s="2">
        <v>30</v>
      </c>
      <c r="AG3953" s="2">
        <v>2</v>
      </c>
      <c r="AH3953" s="3" t="s">
        <v>3497</v>
      </c>
      <c r="AI3953" s="4">
        <v>45477</v>
      </c>
      <c r="AJ3953" s="3" t="s">
        <v>4125</v>
      </c>
      <c r="AK3953" s="3" t="s">
        <v>645</v>
      </c>
    </row>
    <row r="3954" spans="1:37" hidden="1" x14ac:dyDescent="0.25">
      <c r="A3954" t="str">
        <f t="shared" si="61"/>
        <v>2024_Vic_Douglas_Fababean_SatelliteTOS2VarietyNasmaWaterTrtRainFed</v>
      </c>
      <c r="B3954" s="2">
        <v>2024044</v>
      </c>
      <c r="C3954" s="3" t="s">
        <v>4106</v>
      </c>
      <c r="D3954" s="3" t="s">
        <v>645</v>
      </c>
      <c r="F3954" s="3" t="s">
        <v>4186</v>
      </c>
      <c r="G3954" s="3" t="s">
        <v>43</v>
      </c>
      <c r="H3954" s="3" t="s">
        <v>253</v>
      </c>
      <c r="I3954" s="2">
        <v>19</v>
      </c>
      <c r="J3954" s="2">
        <v>19</v>
      </c>
      <c r="K3954" s="2">
        <v>3</v>
      </c>
      <c r="O3954" s="2">
        <v>5</v>
      </c>
      <c r="U3954" s="2">
        <v>5</v>
      </c>
      <c r="V3954" s="2">
        <v>4</v>
      </c>
      <c r="W3954" s="2">
        <v>3</v>
      </c>
      <c r="X3954" s="2">
        <v>3</v>
      </c>
      <c r="Z3954" s="2">
        <v>11</v>
      </c>
      <c r="AA3954" s="3" t="s">
        <v>40</v>
      </c>
      <c r="AB3954" s="2">
        <v>3</v>
      </c>
      <c r="AF3954" s="2">
        <v>30</v>
      </c>
      <c r="AG3954" s="2">
        <v>2</v>
      </c>
      <c r="AH3954" s="3" t="s">
        <v>3497</v>
      </c>
      <c r="AI3954" s="4">
        <v>45477</v>
      </c>
      <c r="AJ3954" s="3" t="s">
        <v>4126</v>
      </c>
      <c r="AK3954" s="3" t="s">
        <v>645</v>
      </c>
    </row>
    <row r="3955" spans="1:37" hidden="1" x14ac:dyDescent="0.25">
      <c r="A3955" t="str">
        <f t="shared" si="61"/>
        <v>2024_Vic_Douglas_Fababean_SatelliteTOS2VarietyAmberleyWaterTrtRainFed</v>
      </c>
      <c r="B3955" s="2">
        <v>2024044</v>
      </c>
      <c r="C3955" s="3" t="s">
        <v>4106</v>
      </c>
      <c r="D3955" s="3" t="s">
        <v>645</v>
      </c>
      <c r="F3955" s="3" t="s">
        <v>4185</v>
      </c>
      <c r="G3955" s="3" t="s">
        <v>39</v>
      </c>
      <c r="H3955" s="3" t="s">
        <v>253</v>
      </c>
      <c r="I3955" s="2">
        <v>20</v>
      </c>
      <c r="J3955" s="2">
        <v>20</v>
      </c>
      <c r="K3955" s="2">
        <v>3</v>
      </c>
      <c r="O3955" s="2">
        <v>5</v>
      </c>
      <c r="U3955" s="2">
        <v>5</v>
      </c>
      <c r="V3955" s="2">
        <v>5</v>
      </c>
      <c r="W3955" s="2">
        <v>3</v>
      </c>
      <c r="X3955" s="2">
        <v>4</v>
      </c>
      <c r="Z3955" s="2">
        <v>14</v>
      </c>
      <c r="AA3955" s="3" t="s">
        <v>40</v>
      </c>
      <c r="AB3955" s="2">
        <v>1</v>
      </c>
      <c r="AF3955" s="2">
        <v>30</v>
      </c>
      <c r="AG3955" s="2">
        <v>2</v>
      </c>
      <c r="AH3955" s="3" t="s">
        <v>3497</v>
      </c>
      <c r="AI3955" s="4">
        <v>45477</v>
      </c>
      <c r="AJ3955" s="3" t="s">
        <v>4127</v>
      </c>
      <c r="AK3955" s="3" t="s">
        <v>645</v>
      </c>
    </row>
    <row r="3956" spans="1:37" hidden="1" x14ac:dyDescent="0.25">
      <c r="A3956" t="str">
        <f t="shared" si="61"/>
        <v>2024_Vic_Douglas_Fababean_SatelliteTOS1VarietyNasmaWaterTrtRainFed</v>
      </c>
      <c r="B3956" s="2">
        <v>2024044</v>
      </c>
      <c r="C3956" s="3" t="s">
        <v>4106</v>
      </c>
      <c r="D3956" s="3" t="s">
        <v>645</v>
      </c>
      <c r="F3956" s="3" t="s">
        <v>4186</v>
      </c>
      <c r="G3956" s="3" t="s">
        <v>43</v>
      </c>
      <c r="H3956" s="3" t="s">
        <v>253</v>
      </c>
      <c r="I3956" s="2">
        <v>21</v>
      </c>
      <c r="J3956" s="2">
        <v>21</v>
      </c>
      <c r="K3956" s="2">
        <v>3</v>
      </c>
      <c r="O3956" s="2">
        <v>6</v>
      </c>
      <c r="U3956" s="2">
        <v>5</v>
      </c>
      <c r="V3956" s="2">
        <v>8</v>
      </c>
      <c r="W3956" s="2">
        <v>3</v>
      </c>
      <c r="X3956" s="2">
        <v>5</v>
      </c>
      <c r="Z3956" s="2">
        <v>19</v>
      </c>
      <c r="AA3956" s="3" t="s">
        <v>40</v>
      </c>
      <c r="AB3956" s="2">
        <v>3</v>
      </c>
      <c r="AF3956" s="2">
        <v>30</v>
      </c>
      <c r="AG3956" s="2">
        <v>1</v>
      </c>
      <c r="AH3956" s="3" t="s">
        <v>4107</v>
      </c>
      <c r="AI3956" s="4">
        <v>45422</v>
      </c>
      <c r="AJ3956" s="3" t="s">
        <v>4128</v>
      </c>
      <c r="AK3956" s="3" t="s">
        <v>645</v>
      </c>
    </row>
    <row r="3957" spans="1:37" hidden="1" x14ac:dyDescent="0.25">
      <c r="A3957" t="str">
        <f t="shared" si="61"/>
        <v>2024_Vic_Douglas_Fababean_SatelliteTOS1VarietyAmberleyWaterTrtRainFed</v>
      </c>
      <c r="B3957" s="2">
        <v>2024044</v>
      </c>
      <c r="C3957" s="3" t="s">
        <v>4106</v>
      </c>
      <c r="D3957" s="3" t="s">
        <v>645</v>
      </c>
      <c r="F3957" s="3" t="s">
        <v>4185</v>
      </c>
      <c r="G3957" s="3" t="s">
        <v>39</v>
      </c>
      <c r="H3957" s="3" t="s">
        <v>253</v>
      </c>
      <c r="I3957" s="2">
        <v>22</v>
      </c>
      <c r="J3957" s="2">
        <v>22</v>
      </c>
      <c r="K3957" s="2">
        <v>3</v>
      </c>
      <c r="O3957" s="2">
        <v>6</v>
      </c>
      <c r="U3957" s="2">
        <v>5</v>
      </c>
      <c r="V3957" s="2">
        <v>9</v>
      </c>
      <c r="W3957" s="2">
        <v>3</v>
      </c>
      <c r="X3957" s="2">
        <v>6</v>
      </c>
      <c r="Z3957" s="2">
        <v>22</v>
      </c>
      <c r="AA3957" s="3" t="s">
        <v>40</v>
      </c>
      <c r="AB3957" s="2">
        <v>1</v>
      </c>
      <c r="AF3957" s="2">
        <v>30</v>
      </c>
      <c r="AG3957" s="2">
        <v>1</v>
      </c>
      <c r="AH3957" s="3" t="s">
        <v>4107</v>
      </c>
      <c r="AI3957" s="4">
        <v>45422</v>
      </c>
      <c r="AJ3957" s="3" t="s">
        <v>4129</v>
      </c>
      <c r="AK3957" s="3" t="s">
        <v>645</v>
      </c>
    </row>
    <row r="3958" spans="1:37" hidden="1" x14ac:dyDescent="0.25">
      <c r="A3958" t="str">
        <f t="shared" si="61"/>
        <v>2024_Vic_Douglas_Fababean_SatelliteTOS1VarietyMarneWaterTrtRainFed</v>
      </c>
      <c r="B3958" s="2">
        <v>2024044</v>
      </c>
      <c r="C3958" s="3" t="s">
        <v>4106</v>
      </c>
      <c r="D3958" s="3" t="s">
        <v>645</v>
      </c>
      <c r="F3958" s="3" t="s">
        <v>4184</v>
      </c>
      <c r="G3958" s="3" t="s">
        <v>39</v>
      </c>
      <c r="H3958" s="3" t="s">
        <v>253</v>
      </c>
      <c r="I3958" s="2">
        <v>23</v>
      </c>
      <c r="J3958" s="2">
        <v>23</v>
      </c>
      <c r="K3958" s="2">
        <v>3</v>
      </c>
      <c r="O3958" s="2">
        <v>6</v>
      </c>
      <c r="U3958" s="2">
        <v>5</v>
      </c>
      <c r="V3958" s="2">
        <v>10</v>
      </c>
      <c r="W3958" s="2">
        <v>3</v>
      </c>
      <c r="X3958" s="2">
        <v>7</v>
      </c>
      <c r="Z3958" s="2">
        <v>27</v>
      </c>
      <c r="AA3958" s="3" t="s">
        <v>40</v>
      </c>
      <c r="AB3958" s="2">
        <v>2</v>
      </c>
      <c r="AF3958" s="2">
        <v>30</v>
      </c>
      <c r="AG3958" s="2">
        <v>1</v>
      </c>
      <c r="AH3958" s="3" t="s">
        <v>4107</v>
      </c>
      <c r="AI3958" s="4">
        <v>45422</v>
      </c>
      <c r="AJ3958" s="3" t="s">
        <v>4130</v>
      </c>
      <c r="AK3958" s="3" t="s">
        <v>645</v>
      </c>
    </row>
    <row r="3959" spans="1:37" hidden="1" x14ac:dyDescent="0.25">
      <c r="A3959" t="str">
        <f t="shared" si="61"/>
        <v>2024_Vic_Douglas_Fababean_SatelliteTOS1VarietySamiraWaterTrtRainFed</v>
      </c>
      <c r="B3959" s="2">
        <v>2024044</v>
      </c>
      <c r="C3959" s="3" t="s">
        <v>4106</v>
      </c>
      <c r="D3959" s="3" t="s">
        <v>645</v>
      </c>
      <c r="F3959" s="3" t="s">
        <v>4183</v>
      </c>
      <c r="G3959" s="3" t="s">
        <v>43</v>
      </c>
      <c r="H3959" s="3" t="s">
        <v>253</v>
      </c>
      <c r="I3959" s="2">
        <v>24</v>
      </c>
      <c r="J3959" s="2">
        <v>24</v>
      </c>
      <c r="K3959" s="2">
        <v>3</v>
      </c>
      <c r="O3959" s="2">
        <v>6</v>
      </c>
      <c r="U3959" s="2">
        <v>5</v>
      </c>
      <c r="V3959" s="2">
        <v>11</v>
      </c>
      <c r="W3959" s="2">
        <v>3</v>
      </c>
      <c r="X3959" s="2">
        <v>8</v>
      </c>
      <c r="Z3959" s="2">
        <v>30</v>
      </c>
      <c r="AA3959" s="3" t="s">
        <v>40</v>
      </c>
      <c r="AB3959" s="2">
        <v>4</v>
      </c>
      <c r="AF3959" s="2">
        <v>30</v>
      </c>
      <c r="AG3959" s="2">
        <v>1</v>
      </c>
      <c r="AH3959" s="3" t="s">
        <v>4107</v>
      </c>
      <c r="AI3959" s="4">
        <v>45422</v>
      </c>
      <c r="AJ3959" s="3" t="s">
        <v>4131</v>
      </c>
      <c r="AK3959" s="3" t="s">
        <v>645</v>
      </c>
    </row>
    <row r="3960" spans="1:37" hidden="1" x14ac:dyDescent="0.25">
      <c r="A3960" t="str">
        <f t="shared" si="61"/>
        <v>2024_Vic_Douglas_Fababean_SatelliteTOS1VarietyAmberleyWaterTrtRainFed</v>
      </c>
      <c r="B3960" s="2">
        <v>2024044</v>
      </c>
      <c r="C3960" s="3" t="s">
        <v>4106</v>
      </c>
      <c r="D3960" s="3" t="s">
        <v>645</v>
      </c>
      <c r="F3960" s="3" t="s">
        <v>4185</v>
      </c>
      <c r="G3960" s="3" t="s">
        <v>39</v>
      </c>
      <c r="H3960" s="3" t="s">
        <v>253</v>
      </c>
      <c r="I3960" s="2">
        <v>25</v>
      </c>
      <c r="J3960" s="2">
        <v>25</v>
      </c>
      <c r="K3960" s="2">
        <v>4</v>
      </c>
      <c r="O3960" s="2">
        <v>7</v>
      </c>
      <c r="U3960" s="2">
        <v>7</v>
      </c>
      <c r="V3960" s="2">
        <v>2</v>
      </c>
      <c r="W3960" s="2">
        <v>4</v>
      </c>
      <c r="X3960" s="2">
        <v>1</v>
      </c>
      <c r="Z3960" s="2">
        <v>4</v>
      </c>
      <c r="AA3960" s="3" t="s">
        <v>40</v>
      </c>
      <c r="AB3960" s="2">
        <v>1</v>
      </c>
      <c r="AF3960" s="2">
        <v>30</v>
      </c>
      <c r="AG3960" s="2">
        <v>1</v>
      </c>
      <c r="AH3960" s="3" t="s">
        <v>4107</v>
      </c>
      <c r="AI3960" s="4">
        <v>45422</v>
      </c>
      <c r="AJ3960" s="3" t="s">
        <v>4132</v>
      </c>
      <c r="AK3960" s="3" t="s">
        <v>645</v>
      </c>
    </row>
    <row r="3961" spans="1:37" hidden="1" x14ac:dyDescent="0.25">
      <c r="A3961" t="str">
        <f t="shared" si="61"/>
        <v>2024_Vic_Douglas_Fababean_SatelliteTOS1VarietyNasmaWaterTrtRainFed</v>
      </c>
      <c r="B3961" s="2">
        <v>2024044</v>
      </c>
      <c r="C3961" s="3" t="s">
        <v>4106</v>
      </c>
      <c r="D3961" s="3" t="s">
        <v>645</v>
      </c>
      <c r="F3961" s="3" t="s">
        <v>4186</v>
      </c>
      <c r="G3961" s="3" t="s">
        <v>43</v>
      </c>
      <c r="H3961" s="3" t="s">
        <v>253</v>
      </c>
      <c r="I3961" s="2">
        <v>26</v>
      </c>
      <c r="J3961" s="2">
        <v>26</v>
      </c>
      <c r="K3961" s="2">
        <v>4</v>
      </c>
      <c r="O3961" s="2">
        <v>7</v>
      </c>
      <c r="U3961" s="2">
        <v>7</v>
      </c>
      <c r="V3961" s="2">
        <v>3</v>
      </c>
      <c r="W3961" s="2">
        <v>4</v>
      </c>
      <c r="X3961" s="2">
        <v>2</v>
      </c>
      <c r="Z3961" s="2">
        <v>5</v>
      </c>
      <c r="AA3961" s="3" t="s">
        <v>40</v>
      </c>
      <c r="AB3961" s="2">
        <v>3</v>
      </c>
      <c r="AF3961" s="2">
        <v>30</v>
      </c>
      <c r="AG3961" s="2">
        <v>1</v>
      </c>
      <c r="AH3961" s="3" t="s">
        <v>4107</v>
      </c>
      <c r="AI3961" s="4">
        <v>45422</v>
      </c>
      <c r="AJ3961" s="3" t="s">
        <v>4133</v>
      </c>
      <c r="AK3961" s="3" t="s">
        <v>645</v>
      </c>
    </row>
    <row r="3962" spans="1:37" hidden="1" x14ac:dyDescent="0.25">
      <c r="A3962" t="str">
        <f t="shared" si="61"/>
        <v>2024_Vic_Douglas_Fababean_SatelliteTOS1VarietyMarneWaterTrtRainFed</v>
      </c>
      <c r="B3962" s="2">
        <v>2024044</v>
      </c>
      <c r="C3962" s="3" t="s">
        <v>4106</v>
      </c>
      <c r="D3962" s="3" t="s">
        <v>645</v>
      </c>
      <c r="F3962" s="3" t="s">
        <v>4184</v>
      </c>
      <c r="G3962" s="3" t="s">
        <v>39</v>
      </c>
      <c r="H3962" s="3" t="s">
        <v>253</v>
      </c>
      <c r="I3962" s="2">
        <v>27</v>
      </c>
      <c r="J3962" s="2">
        <v>27</v>
      </c>
      <c r="K3962" s="2">
        <v>4</v>
      </c>
      <c r="O3962" s="2">
        <v>7</v>
      </c>
      <c r="U3962" s="2">
        <v>7</v>
      </c>
      <c r="V3962" s="2">
        <v>4</v>
      </c>
      <c r="W3962" s="2">
        <v>4</v>
      </c>
      <c r="X3962" s="2">
        <v>3</v>
      </c>
      <c r="Z3962" s="2">
        <v>12</v>
      </c>
      <c r="AA3962" s="3" t="s">
        <v>40</v>
      </c>
      <c r="AB3962" s="2">
        <v>2</v>
      </c>
      <c r="AF3962" s="2">
        <v>30</v>
      </c>
      <c r="AG3962" s="2">
        <v>1</v>
      </c>
      <c r="AH3962" s="3" t="s">
        <v>4107</v>
      </c>
      <c r="AI3962" s="4">
        <v>45422</v>
      </c>
      <c r="AJ3962" s="3" t="s">
        <v>4134</v>
      </c>
      <c r="AK3962" s="3" t="s">
        <v>645</v>
      </c>
    </row>
    <row r="3963" spans="1:37" hidden="1" x14ac:dyDescent="0.25">
      <c r="A3963" t="str">
        <f t="shared" si="61"/>
        <v>2024_Vic_Douglas_Fababean_SatelliteTOS1VarietySamiraWaterTrtRainFed</v>
      </c>
      <c r="B3963" s="2">
        <v>2024044</v>
      </c>
      <c r="C3963" s="3" t="s">
        <v>4106</v>
      </c>
      <c r="D3963" s="3" t="s">
        <v>645</v>
      </c>
      <c r="F3963" s="3" t="s">
        <v>4183</v>
      </c>
      <c r="G3963" s="3" t="s">
        <v>43</v>
      </c>
      <c r="H3963" s="3" t="s">
        <v>253</v>
      </c>
      <c r="I3963" s="2">
        <v>28</v>
      </c>
      <c r="J3963" s="2">
        <v>28</v>
      </c>
      <c r="K3963" s="2">
        <v>4</v>
      </c>
      <c r="O3963" s="2">
        <v>7</v>
      </c>
      <c r="U3963" s="2">
        <v>7</v>
      </c>
      <c r="V3963" s="2">
        <v>5</v>
      </c>
      <c r="W3963" s="2">
        <v>4</v>
      </c>
      <c r="X3963" s="2">
        <v>4</v>
      </c>
      <c r="Z3963" s="2">
        <v>13</v>
      </c>
      <c r="AA3963" s="3" t="s">
        <v>40</v>
      </c>
      <c r="AB3963" s="2">
        <v>4</v>
      </c>
      <c r="AF3963" s="2">
        <v>30</v>
      </c>
      <c r="AG3963" s="2">
        <v>1</v>
      </c>
      <c r="AH3963" s="3" t="s">
        <v>4107</v>
      </c>
      <c r="AI3963" s="4">
        <v>45422</v>
      </c>
      <c r="AJ3963" s="3" t="s">
        <v>4135</v>
      </c>
      <c r="AK3963" s="3" t="s">
        <v>645</v>
      </c>
    </row>
    <row r="3964" spans="1:37" hidden="1" x14ac:dyDescent="0.25">
      <c r="A3964" t="str">
        <f t="shared" si="61"/>
        <v>2024_Vic_Douglas_Fababean_SatelliteTOS2VarietyMarneWaterTrtRainFed</v>
      </c>
      <c r="B3964" s="2">
        <v>2024044</v>
      </c>
      <c r="C3964" s="3" t="s">
        <v>4106</v>
      </c>
      <c r="D3964" s="3" t="s">
        <v>645</v>
      </c>
      <c r="F3964" s="3" t="s">
        <v>4184</v>
      </c>
      <c r="G3964" s="3" t="s">
        <v>39</v>
      </c>
      <c r="H3964" s="3" t="s">
        <v>253</v>
      </c>
      <c r="I3964" s="2">
        <v>29</v>
      </c>
      <c r="J3964" s="2">
        <v>29</v>
      </c>
      <c r="K3964" s="2">
        <v>4</v>
      </c>
      <c r="O3964" s="2">
        <v>8</v>
      </c>
      <c r="U3964" s="2">
        <v>7</v>
      </c>
      <c r="V3964" s="2">
        <v>8</v>
      </c>
      <c r="W3964" s="2">
        <v>4</v>
      </c>
      <c r="X3964" s="2">
        <v>5</v>
      </c>
      <c r="Z3964" s="2">
        <v>20</v>
      </c>
      <c r="AA3964" s="3" t="s">
        <v>40</v>
      </c>
      <c r="AB3964" s="2">
        <v>2</v>
      </c>
      <c r="AF3964" s="2">
        <v>30</v>
      </c>
      <c r="AG3964" s="2">
        <v>2</v>
      </c>
      <c r="AH3964" s="3" t="s">
        <v>3497</v>
      </c>
      <c r="AI3964" s="4">
        <v>45477</v>
      </c>
      <c r="AJ3964" s="3" t="s">
        <v>4136</v>
      </c>
      <c r="AK3964" s="3" t="s">
        <v>645</v>
      </c>
    </row>
    <row r="3965" spans="1:37" hidden="1" x14ac:dyDescent="0.25">
      <c r="A3965" t="str">
        <f t="shared" si="61"/>
        <v>2024_Vic_Douglas_Fababean_SatelliteTOS2VarietyNasmaWaterTrtRainFed</v>
      </c>
      <c r="B3965" s="2">
        <v>2024044</v>
      </c>
      <c r="C3965" s="3" t="s">
        <v>4106</v>
      </c>
      <c r="D3965" s="3" t="s">
        <v>645</v>
      </c>
      <c r="F3965" s="3" t="s">
        <v>4186</v>
      </c>
      <c r="G3965" s="3" t="s">
        <v>43</v>
      </c>
      <c r="H3965" s="3" t="s">
        <v>253</v>
      </c>
      <c r="I3965" s="2">
        <v>30</v>
      </c>
      <c r="J3965" s="2">
        <v>30</v>
      </c>
      <c r="K3965" s="2">
        <v>4</v>
      </c>
      <c r="O3965" s="2">
        <v>8</v>
      </c>
      <c r="U3965" s="2">
        <v>7</v>
      </c>
      <c r="V3965" s="2">
        <v>9</v>
      </c>
      <c r="W3965" s="2">
        <v>4</v>
      </c>
      <c r="X3965" s="2">
        <v>6</v>
      </c>
      <c r="Z3965" s="2">
        <v>21</v>
      </c>
      <c r="AA3965" s="3" t="s">
        <v>40</v>
      </c>
      <c r="AB3965" s="2">
        <v>3</v>
      </c>
      <c r="AF3965" s="2">
        <v>30</v>
      </c>
      <c r="AG3965" s="2">
        <v>2</v>
      </c>
      <c r="AH3965" s="3" t="s">
        <v>3497</v>
      </c>
      <c r="AI3965" s="4">
        <v>45477</v>
      </c>
      <c r="AJ3965" s="3" t="s">
        <v>4137</v>
      </c>
      <c r="AK3965" s="3" t="s">
        <v>645</v>
      </c>
    </row>
    <row r="3966" spans="1:37" hidden="1" x14ac:dyDescent="0.25">
      <c r="A3966" t="str">
        <f t="shared" si="61"/>
        <v>2024_Vic_Douglas_Fababean_SatelliteTOS2VarietySamiraWaterTrtRainFed</v>
      </c>
      <c r="B3966" s="2">
        <v>2024044</v>
      </c>
      <c r="C3966" s="3" t="s">
        <v>4106</v>
      </c>
      <c r="D3966" s="3" t="s">
        <v>645</v>
      </c>
      <c r="F3966" s="3" t="s">
        <v>4183</v>
      </c>
      <c r="G3966" s="3" t="s">
        <v>43</v>
      </c>
      <c r="H3966" s="3" t="s">
        <v>253</v>
      </c>
      <c r="I3966" s="2">
        <v>31</v>
      </c>
      <c r="J3966" s="2">
        <v>31</v>
      </c>
      <c r="K3966" s="2">
        <v>4</v>
      </c>
      <c r="O3966" s="2">
        <v>8</v>
      </c>
      <c r="U3966" s="2">
        <v>7</v>
      </c>
      <c r="V3966" s="2">
        <v>10</v>
      </c>
      <c r="W3966" s="2">
        <v>4</v>
      </c>
      <c r="X3966" s="2">
        <v>7</v>
      </c>
      <c r="Z3966" s="2">
        <v>28</v>
      </c>
      <c r="AA3966" s="3" t="s">
        <v>40</v>
      </c>
      <c r="AB3966" s="2">
        <v>4</v>
      </c>
      <c r="AF3966" s="2">
        <v>30</v>
      </c>
      <c r="AG3966" s="2">
        <v>2</v>
      </c>
      <c r="AH3966" s="3" t="s">
        <v>3497</v>
      </c>
      <c r="AI3966" s="4">
        <v>45477</v>
      </c>
      <c r="AJ3966" s="3" t="s">
        <v>4138</v>
      </c>
      <c r="AK3966" s="3" t="s">
        <v>645</v>
      </c>
    </row>
    <row r="3967" spans="1:37" hidden="1" x14ac:dyDescent="0.25">
      <c r="A3967" t="str">
        <f t="shared" si="61"/>
        <v>2024_Vic_Douglas_Fababean_SatelliteTOS2VarietyAmberleyWaterTrtRainFed</v>
      </c>
      <c r="B3967" s="2">
        <v>2024044</v>
      </c>
      <c r="C3967" s="3" t="s">
        <v>4106</v>
      </c>
      <c r="D3967" s="3" t="s">
        <v>645</v>
      </c>
      <c r="F3967" s="3" t="s">
        <v>4185</v>
      </c>
      <c r="G3967" s="3" t="s">
        <v>39</v>
      </c>
      <c r="H3967" s="3" t="s">
        <v>253</v>
      </c>
      <c r="I3967" s="2">
        <v>32</v>
      </c>
      <c r="J3967" s="2">
        <v>32</v>
      </c>
      <c r="K3967" s="2">
        <v>4</v>
      </c>
      <c r="O3967" s="2">
        <v>8</v>
      </c>
      <c r="U3967" s="2">
        <v>7</v>
      </c>
      <c r="V3967" s="2">
        <v>11</v>
      </c>
      <c r="W3967" s="2">
        <v>4</v>
      </c>
      <c r="X3967" s="2">
        <v>8</v>
      </c>
      <c r="Z3967" s="2">
        <v>29</v>
      </c>
      <c r="AA3967" s="3" t="s">
        <v>40</v>
      </c>
      <c r="AB3967" s="2">
        <v>1</v>
      </c>
      <c r="AF3967" s="2">
        <v>30</v>
      </c>
      <c r="AG3967" s="2">
        <v>2</v>
      </c>
      <c r="AH3967" s="3" t="s">
        <v>3497</v>
      </c>
      <c r="AI3967" s="4">
        <v>45477</v>
      </c>
      <c r="AJ3967" s="3" t="s">
        <v>4139</v>
      </c>
      <c r="AK3967" s="3" t="s">
        <v>645</v>
      </c>
    </row>
    <row r="3968" spans="1:37" hidden="1" x14ac:dyDescent="0.25">
      <c r="A3968" t="str">
        <f t="shared" si="61"/>
        <v>2024_Vic_Walpeup_Lentil_SatelliteTOS1VarietyJumbo2WaterTrtRainFed</v>
      </c>
      <c r="B3968" s="2">
        <v>2024045</v>
      </c>
      <c r="C3968" s="3" t="s">
        <v>4140</v>
      </c>
      <c r="D3968" s="3" t="s">
        <v>38</v>
      </c>
      <c r="F3968" s="3" t="s">
        <v>4176</v>
      </c>
      <c r="G3968" s="3" t="s">
        <v>43</v>
      </c>
      <c r="H3968" s="3" t="s">
        <v>253</v>
      </c>
      <c r="I3968" s="2">
        <v>1</v>
      </c>
      <c r="J3968" s="2">
        <v>1</v>
      </c>
      <c r="K3968" s="2">
        <v>1</v>
      </c>
      <c r="O3968" s="2">
        <v>1</v>
      </c>
      <c r="U3968" s="2">
        <v>1</v>
      </c>
      <c r="V3968" s="2">
        <v>2</v>
      </c>
      <c r="W3968" s="2">
        <v>1</v>
      </c>
      <c r="X3968" s="2">
        <v>1</v>
      </c>
      <c r="Z3968" s="2">
        <v>1</v>
      </c>
      <c r="AA3968" s="3" t="s">
        <v>40</v>
      </c>
      <c r="AB3968" s="2">
        <v>3</v>
      </c>
      <c r="AF3968" s="2">
        <v>28</v>
      </c>
      <c r="AG3968" s="2">
        <v>1</v>
      </c>
      <c r="AH3968" s="3" t="s">
        <v>4141</v>
      </c>
      <c r="AI3968" s="4">
        <v>45421</v>
      </c>
      <c r="AJ3968" s="3" t="s">
        <v>4142</v>
      </c>
      <c r="AK3968" s="3" t="s">
        <v>38</v>
      </c>
    </row>
    <row r="3969" spans="1:37" hidden="1" x14ac:dyDescent="0.25">
      <c r="A3969" t="str">
        <f t="shared" si="61"/>
        <v>2024_Vic_Walpeup_Lentil_SatelliteTOS1VarietyHallmarkXTWaterTrtRainFed</v>
      </c>
      <c r="B3969" s="2">
        <v>2024045</v>
      </c>
      <c r="C3969" s="3" t="s">
        <v>4140</v>
      </c>
      <c r="D3969" s="3" t="s">
        <v>38</v>
      </c>
      <c r="F3969" s="3" t="s">
        <v>4189</v>
      </c>
      <c r="G3969" s="3" t="s">
        <v>39</v>
      </c>
      <c r="H3969" s="3" t="s">
        <v>253</v>
      </c>
      <c r="I3969" s="2">
        <v>2</v>
      </c>
      <c r="J3969" s="2">
        <v>2</v>
      </c>
      <c r="K3969" s="2">
        <v>1</v>
      </c>
      <c r="O3969" s="2">
        <v>1</v>
      </c>
      <c r="U3969" s="2">
        <v>2</v>
      </c>
      <c r="V3969" s="2">
        <v>2</v>
      </c>
      <c r="W3969" s="2">
        <v>2</v>
      </c>
      <c r="X3969" s="2">
        <v>1</v>
      </c>
      <c r="Z3969" s="2">
        <v>2</v>
      </c>
      <c r="AA3969" s="3" t="s">
        <v>40</v>
      </c>
      <c r="AB3969" s="2">
        <v>2</v>
      </c>
      <c r="AF3969" s="2">
        <v>28</v>
      </c>
      <c r="AG3969" s="2">
        <v>1</v>
      </c>
      <c r="AH3969" s="3" t="s">
        <v>4141</v>
      </c>
      <c r="AI3969" s="4">
        <v>45421</v>
      </c>
      <c r="AJ3969" s="3" t="s">
        <v>4143</v>
      </c>
      <c r="AK3969" s="3" t="s">
        <v>38</v>
      </c>
    </row>
    <row r="3970" spans="1:37" hidden="1" x14ac:dyDescent="0.25">
      <c r="A3970" t="str">
        <f t="shared" si="61"/>
        <v>2024_Vic_Walpeup_Lentil_SatelliteTOS1VarietyKelpieXTWaterTrtRainFed</v>
      </c>
      <c r="B3970" s="2">
        <v>2024045</v>
      </c>
      <c r="C3970" s="3" t="s">
        <v>4140</v>
      </c>
      <c r="D3970" s="3" t="s">
        <v>38</v>
      </c>
      <c r="F3970" s="3" t="s">
        <v>4188</v>
      </c>
      <c r="G3970" s="3" t="s">
        <v>43</v>
      </c>
      <c r="H3970" s="3" t="s">
        <v>253</v>
      </c>
      <c r="I3970" s="2">
        <v>3</v>
      </c>
      <c r="J3970" s="2">
        <v>3</v>
      </c>
      <c r="K3970" s="2">
        <v>1</v>
      </c>
      <c r="O3970" s="2">
        <v>1</v>
      </c>
      <c r="U3970" s="2">
        <v>3</v>
      </c>
      <c r="V3970" s="2">
        <v>2</v>
      </c>
      <c r="W3970" s="2">
        <v>3</v>
      </c>
      <c r="X3970" s="2">
        <v>1</v>
      </c>
      <c r="Z3970" s="2">
        <v>3</v>
      </c>
      <c r="AA3970" s="3" t="s">
        <v>40</v>
      </c>
      <c r="AB3970" s="2">
        <v>4</v>
      </c>
      <c r="AF3970" s="2">
        <v>28</v>
      </c>
      <c r="AG3970" s="2">
        <v>1</v>
      </c>
      <c r="AH3970" s="3" t="s">
        <v>4141</v>
      </c>
      <c r="AI3970" s="4">
        <v>45421</v>
      </c>
      <c r="AJ3970" s="3" t="s">
        <v>4144</v>
      </c>
      <c r="AK3970" s="3" t="s">
        <v>38</v>
      </c>
    </row>
    <row r="3971" spans="1:37" hidden="1" x14ac:dyDescent="0.25">
      <c r="A3971" t="str">
        <f t="shared" ref="A3971:A3999" si="62">C3971&amp;"TOS"&amp;AG3971&amp;"Variety"&amp;F3971&amp;"WaterTrt"&amp;AA3971&amp;IF(AC3971="","","Agronomy"&amp;AC3971)</f>
        <v>2024_Vic_Walpeup_Lentil_SatelliteTOS1VarietyBoltWaterTrtRainFed</v>
      </c>
      <c r="B3971" s="2">
        <v>2024045</v>
      </c>
      <c r="C3971" s="3" t="s">
        <v>4140</v>
      </c>
      <c r="D3971" s="3" t="s">
        <v>38</v>
      </c>
      <c r="F3971" s="3" t="s">
        <v>4187</v>
      </c>
      <c r="G3971" s="3" t="s">
        <v>39</v>
      </c>
      <c r="H3971" s="3" t="s">
        <v>253</v>
      </c>
      <c r="I3971" s="2">
        <v>4</v>
      </c>
      <c r="J3971" s="2">
        <v>4</v>
      </c>
      <c r="K3971" s="2">
        <v>1</v>
      </c>
      <c r="O3971" s="2">
        <v>1</v>
      </c>
      <c r="U3971" s="2">
        <v>4</v>
      </c>
      <c r="V3971" s="2">
        <v>2</v>
      </c>
      <c r="W3971" s="2">
        <v>4</v>
      </c>
      <c r="X3971" s="2">
        <v>1</v>
      </c>
      <c r="Z3971" s="2">
        <v>4</v>
      </c>
      <c r="AA3971" s="3" t="s">
        <v>40</v>
      </c>
      <c r="AB3971" s="2">
        <v>1</v>
      </c>
      <c r="AF3971" s="2">
        <v>28</v>
      </c>
      <c r="AG3971" s="2">
        <v>1</v>
      </c>
      <c r="AH3971" s="3" t="s">
        <v>4141</v>
      </c>
      <c r="AI3971" s="4">
        <v>45421</v>
      </c>
      <c r="AJ3971" s="3" t="s">
        <v>4145</v>
      </c>
      <c r="AK3971" s="3" t="s">
        <v>38</v>
      </c>
    </row>
    <row r="3972" spans="1:37" hidden="1" x14ac:dyDescent="0.25">
      <c r="A3972" t="str">
        <f t="shared" si="62"/>
        <v>2024_Vic_Walpeup_Lentil_SatelliteTOS2VarietyBoltWaterTrtRainFed</v>
      </c>
      <c r="B3972" s="2">
        <v>2024045</v>
      </c>
      <c r="C3972" s="3" t="s">
        <v>4140</v>
      </c>
      <c r="D3972" s="3" t="s">
        <v>38</v>
      </c>
      <c r="F3972" s="3" t="s">
        <v>4187</v>
      </c>
      <c r="G3972" s="3" t="s">
        <v>39</v>
      </c>
      <c r="H3972" s="3" t="s">
        <v>253</v>
      </c>
      <c r="I3972" s="2">
        <v>5</v>
      </c>
      <c r="J3972" s="2">
        <v>5</v>
      </c>
      <c r="K3972" s="2">
        <v>1</v>
      </c>
      <c r="O3972" s="2">
        <v>2</v>
      </c>
      <c r="U3972" s="2">
        <v>1</v>
      </c>
      <c r="V3972" s="2">
        <v>4</v>
      </c>
      <c r="W3972" s="2">
        <v>1</v>
      </c>
      <c r="X3972" s="2">
        <v>2</v>
      </c>
      <c r="Z3972" s="2">
        <v>8</v>
      </c>
      <c r="AA3972" s="3" t="s">
        <v>40</v>
      </c>
      <c r="AB3972" s="2">
        <v>1</v>
      </c>
      <c r="AF3972" s="2">
        <v>28</v>
      </c>
      <c r="AG3972" s="2">
        <v>2</v>
      </c>
      <c r="AH3972" s="3" t="s">
        <v>3349</v>
      </c>
      <c r="AI3972" s="4">
        <v>45460</v>
      </c>
      <c r="AJ3972" s="3" t="s">
        <v>4146</v>
      </c>
      <c r="AK3972" s="3" t="s">
        <v>38</v>
      </c>
    </row>
    <row r="3973" spans="1:37" hidden="1" x14ac:dyDescent="0.25">
      <c r="A3973" t="str">
        <f t="shared" si="62"/>
        <v>2024_Vic_Walpeup_Lentil_SatelliteTOS2VarietyKelpieXTWaterTrtRainFed</v>
      </c>
      <c r="B3973" s="2">
        <v>2024045</v>
      </c>
      <c r="C3973" s="3" t="s">
        <v>4140</v>
      </c>
      <c r="D3973" s="3" t="s">
        <v>38</v>
      </c>
      <c r="F3973" s="3" t="s">
        <v>4188</v>
      </c>
      <c r="G3973" s="3" t="s">
        <v>43</v>
      </c>
      <c r="H3973" s="3" t="s">
        <v>253</v>
      </c>
      <c r="I3973" s="2">
        <v>6</v>
      </c>
      <c r="J3973" s="2">
        <v>6</v>
      </c>
      <c r="K3973" s="2">
        <v>1</v>
      </c>
      <c r="O3973" s="2">
        <v>2</v>
      </c>
      <c r="U3973" s="2">
        <v>2</v>
      </c>
      <c r="V3973" s="2">
        <v>4</v>
      </c>
      <c r="W3973" s="2">
        <v>2</v>
      </c>
      <c r="X3973" s="2">
        <v>2</v>
      </c>
      <c r="Z3973" s="2">
        <v>7</v>
      </c>
      <c r="AA3973" s="3" t="s">
        <v>40</v>
      </c>
      <c r="AB3973" s="2">
        <v>4</v>
      </c>
      <c r="AF3973" s="2">
        <v>28</v>
      </c>
      <c r="AG3973" s="2">
        <v>2</v>
      </c>
      <c r="AH3973" s="3" t="s">
        <v>3349</v>
      </c>
      <c r="AI3973" s="4">
        <v>45460</v>
      </c>
      <c r="AJ3973" s="3" t="s">
        <v>4147</v>
      </c>
      <c r="AK3973" s="3" t="s">
        <v>38</v>
      </c>
    </row>
    <row r="3974" spans="1:37" hidden="1" x14ac:dyDescent="0.25">
      <c r="A3974" t="str">
        <f t="shared" si="62"/>
        <v>2024_Vic_Walpeup_Lentil_SatelliteTOS2VarietyJumbo2WaterTrtRainFed</v>
      </c>
      <c r="B3974" s="2">
        <v>2024045</v>
      </c>
      <c r="C3974" s="3" t="s">
        <v>4140</v>
      </c>
      <c r="D3974" s="3" t="s">
        <v>38</v>
      </c>
      <c r="F3974" s="3" t="s">
        <v>4176</v>
      </c>
      <c r="G3974" s="3" t="s">
        <v>43</v>
      </c>
      <c r="H3974" s="3" t="s">
        <v>253</v>
      </c>
      <c r="I3974" s="2">
        <v>7</v>
      </c>
      <c r="J3974" s="2">
        <v>7</v>
      </c>
      <c r="K3974" s="2">
        <v>1</v>
      </c>
      <c r="O3974" s="2">
        <v>2</v>
      </c>
      <c r="U3974" s="2">
        <v>3</v>
      </c>
      <c r="V3974" s="2">
        <v>4</v>
      </c>
      <c r="W3974" s="2">
        <v>3</v>
      </c>
      <c r="X3974" s="2">
        <v>2</v>
      </c>
      <c r="Z3974" s="2">
        <v>6</v>
      </c>
      <c r="AA3974" s="3" t="s">
        <v>40</v>
      </c>
      <c r="AB3974" s="2">
        <v>3</v>
      </c>
      <c r="AF3974" s="2">
        <v>28</v>
      </c>
      <c r="AG3974" s="2">
        <v>2</v>
      </c>
      <c r="AH3974" s="3" t="s">
        <v>3349</v>
      </c>
      <c r="AI3974" s="4">
        <v>45460</v>
      </c>
      <c r="AJ3974" s="3" t="s">
        <v>4148</v>
      </c>
      <c r="AK3974" s="3" t="s">
        <v>38</v>
      </c>
    </row>
    <row r="3975" spans="1:37" hidden="1" x14ac:dyDescent="0.25">
      <c r="A3975" t="str">
        <f t="shared" si="62"/>
        <v>2024_Vic_Walpeup_Lentil_SatelliteTOS2VarietyHallmarkXTWaterTrtRainFed</v>
      </c>
      <c r="B3975" s="2">
        <v>2024045</v>
      </c>
      <c r="C3975" s="3" t="s">
        <v>4140</v>
      </c>
      <c r="D3975" s="3" t="s">
        <v>38</v>
      </c>
      <c r="F3975" s="3" t="s">
        <v>4189</v>
      </c>
      <c r="G3975" s="3" t="s">
        <v>39</v>
      </c>
      <c r="H3975" s="3" t="s">
        <v>253</v>
      </c>
      <c r="I3975" s="2">
        <v>8</v>
      </c>
      <c r="J3975" s="2">
        <v>8</v>
      </c>
      <c r="K3975" s="2">
        <v>1</v>
      </c>
      <c r="O3975" s="2">
        <v>2</v>
      </c>
      <c r="U3975" s="2">
        <v>4</v>
      </c>
      <c r="V3975" s="2">
        <v>4</v>
      </c>
      <c r="W3975" s="2">
        <v>4</v>
      </c>
      <c r="X3975" s="2">
        <v>2</v>
      </c>
      <c r="Z3975" s="2">
        <v>5</v>
      </c>
      <c r="AA3975" s="3" t="s">
        <v>40</v>
      </c>
      <c r="AB3975" s="2">
        <v>2</v>
      </c>
      <c r="AF3975" s="2">
        <v>28</v>
      </c>
      <c r="AG3975" s="2">
        <v>2</v>
      </c>
      <c r="AH3975" s="3" t="s">
        <v>3349</v>
      </c>
      <c r="AI3975" s="4">
        <v>45460</v>
      </c>
      <c r="AJ3975" s="3" t="s">
        <v>4149</v>
      </c>
      <c r="AK3975" s="3" t="s">
        <v>38</v>
      </c>
    </row>
    <row r="3976" spans="1:37" hidden="1" x14ac:dyDescent="0.25">
      <c r="A3976" t="str">
        <f t="shared" si="62"/>
        <v>2024_Vic_Walpeup_Lentil_SatelliteTOS2VarietyKelpieXTWaterTrtRainFed</v>
      </c>
      <c r="B3976" s="2">
        <v>2024045</v>
      </c>
      <c r="C3976" s="3" t="s">
        <v>4140</v>
      </c>
      <c r="D3976" s="3" t="s">
        <v>38</v>
      </c>
      <c r="F3976" s="3" t="s">
        <v>4188</v>
      </c>
      <c r="G3976" s="3" t="s">
        <v>43</v>
      </c>
      <c r="H3976" s="3" t="s">
        <v>253</v>
      </c>
      <c r="I3976" s="2">
        <v>9</v>
      </c>
      <c r="J3976" s="2">
        <v>9</v>
      </c>
      <c r="K3976" s="2">
        <v>2</v>
      </c>
      <c r="O3976" s="2">
        <v>3</v>
      </c>
      <c r="U3976" s="2">
        <v>1</v>
      </c>
      <c r="V3976" s="2">
        <v>6</v>
      </c>
      <c r="W3976" s="2">
        <v>1</v>
      </c>
      <c r="X3976" s="2">
        <v>3</v>
      </c>
      <c r="Z3976" s="2">
        <v>9</v>
      </c>
      <c r="AA3976" s="3" t="s">
        <v>40</v>
      </c>
      <c r="AB3976" s="2">
        <v>4</v>
      </c>
      <c r="AF3976" s="2">
        <v>28</v>
      </c>
      <c r="AG3976" s="2">
        <v>2</v>
      </c>
      <c r="AH3976" s="3" t="s">
        <v>3349</v>
      </c>
      <c r="AI3976" s="4">
        <v>45460</v>
      </c>
      <c r="AJ3976" s="3" t="s">
        <v>4150</v>
      </c>
      <c r="AK3976" s="3" t="s">
        <v>38</v>
      </c>
    </row>
    <row r="3977" spans="1:37" hidden="1" x14ac:dyDescent="0.25">
      <c r="A3977" t="str">
        <f t="shared" si="62"/>
        <v>2024_Vic_Walpeup_Lentil_SatelliteTOS2VarietyBoltWaterTrtRainFed</v>
      </c>
      <c r="B3977" s="2">
        <v>2024045</v>
      </c>
      <c r="C3977" s="3" t="s">
        <v>4140</v>
      </c>
      <c r="D3977" s="3" t="s">
        <v>38</v>
      </c>
      <c r="F3977" s="3" t="s">
        <v>4187</v>
      </c>
      <c r="G3977" s="3" t="s">
        <v>39</v>
      </c>
      <c r="H3977" s="3" t="s">
        <v>253</v>
      </c>
      <c r="I3977" s="2">
        <v>10</v>
      </c>
      <c r="J3977" s="2">
        <v>10</v>
      </c>
      <c r="K3977" s="2">
        <v>2</v>
      </c>
      <c r="O3977" s="2">
        <v>3</v>
      </c>
      <c r="U3977" s="2">
        <v>2</v>
      </c>
      <c r="V3977" s="2">
        <v>6</v>
      </c>
      <c r="W3977" s="2">
        <v>2</v>
      </c>
      <c r="X3977" s="2">
        <v>3</v>
      </c>
      <c r="Z3977" s="2">
        <v>10</v>
      </c>
      <c r="AA3977" s="3" t="s">
        <v>40</v>
      </c>
      <c r="AB3977" s="2">
        <v>1</v>
      </c>
      <c r="AF3977" s="2">
        <v>28</v>
      </c>
      <c r="AG3977" s="2">
        <v>2</v>
      </c>
      <c r="AH3977" s="3" t="s">
        <v>3349</v>
      </c>
      <c r="AI3977" s="4">
        <v>45460</v>
      </c>
      <c r="AJ3977" s="3" t="s">
        <v>4151</v>
      </c>
      <c r="AK3977" s="3" t="s">
        <v>38</v>
      </c>
    </row>
    <row r="3978" spans="1:37" hidden="1" x14ac:dyDescent="0.25">
      <c r="A3978" t="str">
        <f t="shared" si="62"/>
        <v>2024_Vic_Walpeup_Lentil_SatelliteTOS2VarietyHallmarkXTWaterTrtRainFed</v>
      </c>
      <c r="B3978" s="2">
        <v>2024045</v>
      </c>
      <c r="C3978" s="3" t="s">
        <v>4140</v>
      </c>
      <c r="D3978" s="3" t="s">
        <v>38</v>
      </c>
      <c r="F3978" s="3" t="s">
        <v>4189</v>
      </c>
      <c r="G3978" s="3" t="s">
        <v>39</v>
      </c>
      <c r="H3978" s="3" t="s">
        <v>253</v>
      </c>
      <c r="I3978" s="2">
        <v>11</v>
      </c>
      <c r="J3978" s="2">
        <v>11</v>
      </c>
      <c r="K3978" s="2">
        <v>2</v>
      </c>
      <c r="O3978" s="2">
        <v>3</v>
      </c>
      <c r="U3978" s="2">
        <v>3</v>
      </c>
      <c r="V3978" s="2">
        <v>6</v>
      </c>
      <c r="W3978" s="2">
        <v>3</v>
      </c>
      <c r="X3978" s="2">
        <v>3</v>
      </c>
      <c r="Z3978" s="2">
        <v>11</v>
      </c>
      <c r="AA3978" s="3" t="s">
        <v>40</v>
      </c>
      <c r="AB3978" s="2">
        <v>2</v>
      </c>
      <c r="AF3978" s="2">
        <v>28</v>
      </c>
      <c r="AG3978" s="2">
        <v>2</v>
      </c>
      <c r="AH3978" s="3" t="s">
        <v>3349</v>
      </c>
      <c r="AI3978" s="4">
        <v>45460</v>
      </c>
      <c r="AJ3978" s="3" t="s">
        <v>4152</v>
      </c>
      <c r="AK3978" s="3" t="s">
        <v>38</v>
      </c>
    </row>
    <row r="3979" spans="1:37" hidden="1" x14ac:dyDescent="0.25">
      <c r="A3979" t="str">
        <f t="shared" si="62"/>
        <v>2024_Vic_Walpeup_Lentil_SatelliteTOS2VarietyJumbo2WaterTrtRainFed</v>
      </c>
      <c r="B3979" s="2">
        <v>2024045</v>
      </c>
      <c r="C3979" s="3" t="s">
        <v>4140</v>
      </c>
      <c r="D3979" s="3" t="s">
        <v>38</v>
      </c>
      <c r="F3979" s="3" t="s">
        <v>4176</v>
      </c>
      <c r="G3979" s="3" t="s">
        <v>43</v>
      </c>
      <c r="H3979" s="3" t="s">
        <v>253</v>
      </c>
      <c r="I3979" s="2">
        <v>12</v>
      </c>
      <c r="J3979" s="2">
        <v>12</v>
      </c>
      <c r="K3979" s="2">
        <v>2</v>
      </c>
      <c r="O3979" s="2">
        <v>3</v>
      </c>
      <c r="U3979" s="2">
        <v>4</v>
      </c>
      <c r="V3979" s="2">
        <v>6</v>
      </c>
      <c r="W3979" s="2">
        <v>4</v>
      </c>
      <c r="X3979" s="2">
        <v>3</v>
      </c>
      <c r="Z3979" s="2">
        <v>12</v>
      </c>
      <c r="AA3979" s="3" t="s">
        <v>40</v>
      </c>
      <c r="AB3979" s="2">
        <v>3</v>
      </c>
      <c r="AF3979" s="2">
        <v>28</v>
      </c>
      <c r="AG3979" s="2">
        <v>2</v>
      </c>
      <c r="AH3979" s="3" t="s">
        <v>3349</v>
      </c>
      <c r="AI3979" s="4">
        <v>45460</v>
      </c>
      <c r="AJ3979" s="3" t="s">
        <v>4153</v>
      </c>
      <c r="AK3979" s="3" t="s">
        <v>38</v>
      </c>
    </row>
    <row r="3980" spans="1:37" hidden="1" x14ac:dyDescent="0.25">
      <c r="A3980" t="str">
        <f t="shared" si="62"/>
        <v>2024_Vic_Walpeup_Lentil_SatelliteTOS1VarietyJumbo2WaterTrtRainFed</v>
      </c>
      <c r="B3980" s="2">
        <v>2024045</v>
      </c>
      <c r="C3980" s="3" t="s">
        <v>4140</v>
      </c>
      <c r="D3980" s="3" t="s">
        <v>38</v>
      </c>
      <c r="F3980" s="3" t="s">
        <v>4176</v>
      </c>
      <c r="G3980" s="3" t="s">
        <v>43</v>
      </c>
      <c r="H3980" s="3" t="s">
        <v>253</v>
      </c>
      <c r="I3980" s="2">
        <v>13</v>
      </c>
      <c r="J3980" s="2">
        <v>13</v>
      </c>
      <c r="K3980" s="2">
        <v>2</v>
      </c>
      <c r="O3980" s="2">
        <v>4</v>
      </c>
      <c r="U3980" s="2">
        <v>1</v>
      </c>
      <c r="V3980" s="2">
        <v>8</v>
      </c>
      <c r="W3980" s="2">
        <v>1</v>
      </c>
      <c r="X3980" s="2">
        <v>4</v>
      </c>
      <c r="Z3980" s="2">
        <v>16</v>
      </c>
      <c r="AA3980" s="3" t="s">
        <v>40</v>
      </c>
      <c r="AB3980" s="2">
        <v>3</v>
      </c>
      <c r="AF3980" s="2">
        <v>28</v>
      </c>
      <c r="AG3980" s="2">
        <v>1</v>
      </c>
      <c r="AH3980" s="3" t="s">
        <v>4141</v>
      </c>
      <c r="AI3980" s="4">
        <v>45421</v>
      </c>
      <c r="AJ3980" s="3" t="s">
        <v>4154</v>
      </c>
      <c r="AK3980" s="3" t="s">
        <v>38</v>
      </c>
    </row>
    <row r="3981" spans="1:37" hidden="1" x14ac:dyDescent="0.25">
      <c r="A3981" t="str">
        <f t="shared" si="62"/>
        <v>2024_Vic_Walpeup_Lentil_SatelliteTOS1VarietyKelpieXTWaterTrtRainFed</v>
      </c>
      <c r="B3981" s="2">
        <v>2024045</v>
      </c>
      <c r="C3981" s="3" t="s">
        <v>4140</v>
      </c>
      <c r="D3981" s="3" t="s">
        <v>38</v>
      </c>
      <c r="F3981" s="3" t="s">
        <v>4188</v>
      </c>
      <c r="G3981" s="3" t="s">
        <v>43</v>
      </c>
      <c r="H3981" s="3" t="s">
        <v>253</v>
      </c>
      <c r="I3981" s="2">
        <v>14</v>
      </c>
      <c r="J3981" s="2">
        <v>14</v>
      </c>
      <c r="K3981" s="2">
        <v>2</v>
      </c>
      <c r="O3981" s="2">
        <v>4</v>
      </c>
      <c r="U3981" s="2">
        <v>2</v>
      </c>
      <c r="V3981" s="2">
        <v>8</v>
      </c>
      <c r="W3981" s="2">
        <v>2</v>
      </c>
      <c r="X3981" s="2">
        <v>4</v>
      </c>
      <c r="Z3981" s="2">
        <v>15</v>
      </c>
      <c r="AA3981" s="3" t="s">
        <v>40</v>
      </c>
      <c r="AB3981" s="2">
        <v>4</v>
      </c>
      <c r="AF3981" s="2">
        <v>28</v>
      </c>
      <c r="AG3981" s="2">
        <v>1</v>
      </c>
      <c r="AH3981" s="3" t="s">
        <v>4141</v>
      </c>
      <c r="AI3981" s="4">
        <v>45421</v>
      </c>
      <c r="AJ3981" s="3" t="s">
        <v>4155</v>
      </c>
      <c r="AK3981" s="3" t="s">
        <v>38</v>
      </c>
    </row>
    <row r="3982" spans="1:37" hidden="1" x14ac:dyDescent="0.25">
      <c r="A3982" t="str">
        <f t="shared" si="62"/>
        <v>2024_Vic_Walpeup_Lentil_SatelliteTOS1VarietyBoltWaterTrtRainFed</v>
      </c>
      <c r="B3982" s="2">
        <v>2024045</v>
      </c>
      <c r="C3982" s="3" t="s">
        <v>4140</v>
      </c>
      <c r="D3982" s="3" t="s">
        <v>38</v>
      </c>
      <c r="F3982" s="3" t="s">
        <v>4187</v>
      </c>
      <c r="G3982" s="3" t="s">
        <v>39</v>
      </c>
      <c r="H3982" s="3" t="s">
        <v>253</v>
      </c>
      <c r="I3982" s="2">
        <v>15</v>
      </c>
      <c r="J3982" s="2">
        <v>15</v>
      </c>
      <c r="K3982" s="2">
        <v>2</v>
      </c>
      <c r="O3982" s="2">
        <v>4</v>
      </c>
      <c r="U3982" s="2">
        <v>3</v>
      </c>
      <c r="V3982" s="2">
        <v>8</v>
      </c>
      <c r="W3982" s="2">
        <v>3</v>
      </c>
      <c r="X3982" s="2">
        <v>4</v>
      </c>
      <c r="Z3982" s="2">
        <v>14</v>
      </c>
      <c r="AA3982" s="3" t="s">
        <v>40</v>
      </c>
      <c r="AB3982" s="2">
        <v>1</v>
      </c>
      <c r="AF3982" s="2">
        <v>28</v>
      </c>
      <c r="AG3982" s="2">
        <v>1</v>
      </c>
      <c r="AH3982" s="3" t="s">
        <v>4141</v>
      </c>
      <c r="AI3982" s="4">
        <v>45421</v>
      </c>
      <c r="AJ3982" s="3" t="s">
        <v>4156</v>
      </c>
      <c r="AK3982" s="3" t="s">
        <v>38</v>
      </c>
    </row>
    <row r="3983" spans="1:37" hidden="1" x14ac:dyDescent="0.25">
      <c r="A3983" t="str">
        <f t="shared" si="62"/>
        <v>2024_Vic_Walpeup_Lentil_SatelliteTOS1VarietyHallmarkXTWaterTrtRainFed</v>
      </c>
      <c r="B3983" s="2">
        <v>2024045</v>
      </c>
      <c r="C3983" s="3" t="s">
        <v>4140</v>
      </c>
      <c r="D3983" s="3" t="s">
        <v>38</v>
      </c>
      <c r="F3983" s="3" t="s">
        <v>4189</v>
      </c>
      <c r="G3983" s="3" t="s">
        <v>39</v>
      </c>
      <c r="H3983" s="3" t="s">
        <v>253</v>
      </c>
      <c r="I3983" s="2">
        <v>16</v>
      </c>
      <c r="J3983" s="2">
        <v>16</v>
      </c>
      <c r="K3983" s="2">
        <v>2</v>
      </c>
      <c r="O3983" s="2">
        <v>4</v>
      </c>
      <c r="U3983" s="2">
        <v>4</v>
      </c>
      <c r="V3983" s="2">
        <v>8</v>
      </c>
      <c r="W3983" s="2">
        <v>4</v>
      </c>
      <c r="X3983" s="2">
        <v>4</v>
      </c>
      <c r="Z3983" s="2">
        <v>13</v>
      </c>
      <c r="AA3983" s="3" t="s">
        <v>40</v>
      </c>
      <c r="AB3983" s="2">
        <v>2</v>
      </c>
      <c r="AF3983" s="2">
        <v>28</v>
      </c>
      <c r="AG3983" s="2">
        <v>1</v>
      </c>
      <c r="AH3983" s="3" t="s">
        <v>4141</v>
      </c>
      <c r="AI3983" s="4">
        <v>45421</v>
      </c>
      <c r="AJ3983" s="3" t="s">
        <v>4157</v>
      </c>
      <c r="AK3983" s="3" t="s">
        <v>38</v>
      </c>
    </row>
    <row r="3984" spans="1:37" hidden="1" x14ac:dyDescent="0.25">
      <c r="A3984" t="str">
        <f t="shared" si="62"/>
        <v>2024_Vic_Walpeup_Lentil_SatelliteTOS1VarietyHallmarkXTWaterTrtRainFed</v>
      </c>
      <c r="B3984" s="2">
        <v>2024045</v>
      </c>
      <c r="C3984" s="3" t="s">
        <v>4140</v>
      </c>
      <c r="D3984" s="3" t="s">
        <v>38</v>
      </c>
      <c r="F3984" s="3" t="s">
        <v>4189</v>
      </c>
      <c r="G3984" s="3" t="s">
        <v>39</v>
      </c>
      <c r="H3984" s="3" t="s">
        <v>253</v>
      </c>
      <c r="I3984" s="2">
        <v>17</v>
      </c>
      <c r="J3984" s="2">
        <v>17</v>
      </c>
      <c r="K3984" s="2">
        <v>3</v>
      </c>
      <c r="O3984" s="2">
        <v>5</v>
      </c>
      <c r="U3984" s="2">
        <v>1</v>
      </c>
      <c r="V3984" s="2">
        <v>10</v>
      </c>
      <c r="W3984" s="2">
        <v>1</v>
      </c>
      <c r="X3984" s="2">
        <v>5</v>
      </c>
      <c r="Z3984" s="2">
        <v>17</v>
      </c>
      <c r="AA3984" s="3" t="s">
        <v>40</v>
      </c>
      <c r="AB3984" s="2">
        <v>2</v>
      </c>
      <c r="AF3984" s="2">
        <v>28</v>
      </c>
      <c r="AG3984" s="2">
        <v>1</v>
      </c>
      <c r="AH3984" s="3" t="s">
        <v>4141</v>
      </c>
      <c r="AI3984" s="4">
        <v>45421</v>
      </c>
      <c r="AJ3984" s="3" t="s">
        <v>4158</v>
      </c>
      <c r="AK3984" s="3" t="s">
        <v>38</v>
      </c>
    </row>
    <row r="3985" spans="1:37" hidden="1" x14ac:dyDescent="0.25">
      <c r="A3985" t="str">
        <f t="shared" si="62"/>
        <v>2024_Vic_Walpeup_Lentil_SatelliteTOS1VarietyJumbo2WaterTrtRainFed</v>
      </c>
      <c r="B3985" s="2">
        <v>2024045</v>
      </c>
      <c r="C3985" s="3" t="s">
        <v>4140</v>
      </c>
      <c r="D3985" s="3" t="s">
        <v>38</v>
      </c>
      <c r="F3985" s="3" t="s">
        <v>4176</v>
      </c>
      <c r="G3985" s="3" t="s">
        <v>43</v>
      </c>
      <c r="H3985" s="3" t="s">
        <v>253</v>
      </c>
      <c r="I3985" s="2">
        <v>18</v>
      </c>
      <c r="J3985" s="2">
        <v>18</v>
      </c>
      <c r="K3985" s="2">
        <v>3</v>
      </c>
      <c r="O3985" s="2">
        <v>5</v>
      </c>
      <c r="U3985" s="2">
        <v>2</v>
      </c>
      <c r="V3985" s="2">
        <v>10</v>
      </c>
      <c r="W3985" s="2">
        <v>2</v>
      </c>
      <c r="X3985" s="2">
        <v>5</v>
      </c>
      <c r="Z3985" s="2">
        <v>18</v>
      </c>
      <c r="AA3985" s="3" t="s">
        <v>40</v>
      </c>
      <c r="AB3985" s="2">
        <v>3</v>
      </c>
      <c r="AF3985" s="2">
        <v>28</v>
      </c>
      <c r="AG3985" s="2">
        <v>1</v>
      </c>
      <c r="AH3985" s="3" t="s">
        <v>4141</v>
      </c>
      <c r="AI3985" s="4">
        <v>45421</v>
      </c>
      <c r="AJ3985" s="3" t="s">
        <v>4159</v>
      </c>
      <c r="AK3985" s="3" t="s">
        <v>38</v>
      </c>
    </row>
    <row r="3986" spans="1:37" hidden="1" x14ac:dyDescent="0.25">
      <c r="A3986" t="str">
        <f t="shared" si="62"/>
        <v>2024_Vic_Walpeup_Lentil_SatelliteTOS1VarietyBoltWaterTrtRainFed</v>
      </c>
      <c r="B3986" s="2">
        <v>2024045</v>
      </c>
      <c r="C3986" s="3" t="s">
        <v>4140</v>
      </c>
      <c r="D3986" s="3" t="s">
        <v>38</v>
      </c>
      <c r="F3986" s="3" t="s">
        <v>4187</v>
      </c>
      <c r="G3986" s="3" t="s">
        <v>39</v>
      </c>
      <c r="H3986" s="3" t="s">
        <v>253</v>
      </c>
      <c r="I3986" s="2">
        <v>19</v>
      </c>
      <c r="J3986" s="2">
        <v>19</v>
      </c>
      <c r="K3986" s="2">
        <v>3</v>
      </c>
      <c r="O3986" s="2">
        <v>5</v>
      </c>
      <c r="U3986" s="2">
        <v>3</v>
      </c>
      <c r="V3986" s="2">
        <v>10</v>
      </c>
      <c r="W3986" s="2">
        <v>3</v>
      </c>
      <c r="X3986" s="2">
        <v>5</v>
      </c>
      <c r="Z3986" s="2">
        <v>19</v>
      </c>
      <c r="AA3986" s="3" t="s">
        <v>40</v>
      </c>
      <c r="AB3986" s="2">
        <v>1</v>
      </c>
      <c r="AF3986" s="2">
        <v>28</v>
      </c>
      <c r="AG3986" s="2">
        <v>1</v>
      </c>
      <c r="AH3986" s="3" t="s">
        <v>4141</v>
      </c>
      <c r="AI3986" s="4">
        <v>45421</v>
      </c>
      <c r="AJ3986" s="3" t="s">
        <v>4160</v>
      </c>
      <c r="AK3986" s="3" t="s">
        <v>38</v>
      </c>
    </row>
    <row r="3987" spans="1:37" hidden="1" x14ac:dyDescent="0.25">
      <c r="A3987" t="str">
        <f t="shared" si="62"/>
        <v>2024_Vic_Walpeup_Lentil_SatelliteTOS1VarietyKelpieXTWaterTrtRainFed</v>
      </c>
      <c r="B3987" s="2">
        <v>2024045</v>
      </c>
      <c r="C3987" s="3" t="s">
        <v>4140</v>
      </c>
      <c r="D3987" s="3" t="s">
        <v>38</v>
      </c>
      <c r="F3987" s="3" t="s">
        <v>4188</v>
      </c>
      <c r="G3987" s="3" t="s">
        <v>43</v>
      </c>
      <c r="H3987" s="3" t="s">
        <v>253</v>
      </c>
      <c r="I3987" s="2">
        <v>20</v>
      </c>
      <c r="J3987" s="2">
        <v>20</v>
      </c>
      <c r="K3987" s="2">
        <v>3</v>
      </c>
      <c r="O3987" s="2">
        <v>5</v>
      </c>
      <c r="U3987" s="2">
        <v>4</v>
      </c>
      <c r="V3987" s="2">
        <v>10</v>
      </c>
      <c r="W3987" s="2">
        <v>4</v>
      </c>
      <c r="X3987" s="2">
        <v>5</v>
      </c>
      <c r="Z3987" s="2">
        <v>20</v>
      </c>
      <c r="AA3987" s="3" t="s">
        <v>40</v>
      </c>
      <c r="AB3987" s="2">
        <v>4</v>
      </c>
      <c r="AF3987" s="2">
        <v>28</v>
      </c>
      <c r="AG3987" s="2">
        <v>1</v>
      </c>
      <c r="AH3987" s="3" t="s">
        <v>4141</v>
      </c>
      <c r="AI3987" s="4">
        <v>45421</v>
      </c>
      <c r="AJ3987" s="3" t="s">
        <v>4161</v>
      </c>
      <c r="AK3987" s="3" t="s">
        <v>38</v>
      </c>
    </row>
    <row r="3988" spans="1:37" hidden="1" x14ac:dyDescent="0.25">
      <c r="A3988" t="str">
        <f t="shared" si="62"/>
        <v>2024_Vic_Walpeup_Lentil_SatelliteTOS2VarietyKelpieXTWaterTrtRainFed</v>
      </c>
      <c r="B3988" s="2">
        <v>2024045</v>
      </c>
      <c r="C3988" s="3" t="s">
        <v>4140</v>
      </c>
      <c r="D3988" s="3" t="s">
        <v>38</v>
      </c>
      <c r="F3988" s="3" t="s">
        <v>4188</v>
      </c>
      <c r="G3988" s="3" t="s">
        <v>43</v>
      </c>
      <c r="H3988" s="3" t="s">
        <v>253</v>
      </c>
      <c r="I3988" s="2">
        <v>21</v>
      </c>
      <c r="J3988" s="2">
        <v>21</v>
      </c>
      <c r="K3988" s="2">
        <v>3</v>
      </c>
      <c r="O3988" s="2">
        <v>6</v>
      </c>
      <c r="U3988" s="2">
        <v>1</v>
      </c>
      <c r="V3988" s="2">
        <v>12</v>
      </c>
      <c r="W3988" s="2">
        <v>1</v>
      </c>
      <c r="X3988" s="2">
        <v>6</v>
      </c>
      <c r="Z3988" s="2">
        <v>24</v>
      </c>
      <c r="AA3988" s="3" t="s">
        <v>40</v>
      </c>
      <c r="AB3988" s="2">
        <v>4</v>
      </c>
      <c r="AF3988" s="2">
        <v>28</v>
      </c>
      <c r="AG3988" s="2">
        <v>2</v>
      </c>
      <c r="AH3988" s="3" t="s">
        <v>3349</v>
      </c>
      <c r="AI3988" s="4">
        <v>45460</v>
      </c>
      <c r="AJ3988" s="3" t="s">
        <v>4162</v>
      </c>
      <c r="AK3988" s="3" t="s">
        <v>38</v>
      </c>
    </row>
    <row r="3989" spans="1:37" hidden="1" x14ac:dyDescent="0.25">
      <c r="A3989" t="str">
        <f t="shared" si="62"/>
        <v>2024_Vic_Walpeup_Lentil_SatelliteTOS2VarietyHallmarkXTWaterTrtRainFed</v>
      </c>
      <c r="B3989" s="2">
        <v>2024045</v>
      </c>
      <c r="C3989" s="3" t="s">
        <v>4140</v>
      </c>
      <c r="D3989" s="3" t="s">
        <v>38</v>
      </c>
      <c r="F3989" s="3" t="s">
        <v>4189</v>
      </c>
      <c r="G3989" s="3" t="s">
        <v>39</v>
      </c>
      <c r="H3989" s="3" t="s">
        <v>253</v>
      </c>
      <c r="I3989" s="2">
        <v>22</v>
      </c>
      <c r="J3989" s="2">
        <v>22</v>
      </c>
      <c r="K3989" s="2">
        <v>3</v>
      </c>
      <c r="O3989" s="2">
        <v>6</v>
      </c>
      <c r="U3989" s="2">
        <v>2</v>
      </c>
      <c r="V3989" s="2">
        <v>12</v>
      </c>
      <c r="W3989" s="2">
        <v>2</v>
      </c>
      <c r="X3989" s="2">
        <v>6</v>
      </c>
      <c r="Z3989" s="2">
        <v>23</v>
      </c>
      <c r="AA3989" s="3" t="s">
        <v>40</v>
      </c>
      <c r="AB3989" s="2">
        <v>2</v>
      </c>
      <c r="AF3989" s="2">
        <v>28</v>
      </c>
      <c r="AG3989" s="2">
        <v>2</v>
      </c>
      <c r="AH3989" s="3" t="s">
        <v>3349</v>
      </c>
      <c r="AI3989" s="4">
        <v>45460</v>
      </c>
      <c r="AJ3989" s="3" t="s">
        <v>4163</v>
      </c>
      <c r="AK3989" s="3" t="s">
        <v>38</v>
      </c>
    </row>
    <row r="3990" spans="1:37" hidden="1" x14ac:dyDescent="0.25">
      <c r="A3990" t="str">
        <f t="shared" si="62"/>
        <v>2024_Vic_Walpeup_Lentil_SatelliteTOS2VarietyJumbo2WaterTrtRainFed</v>
      </c>
      <c r="B3990" s="2">
        <v>2024045</v>
      </c>
      <c r="C3990" s="3" t="s">
        <v>4140</v>
      </c>
      <c r="D3990" s="3" t="s">
        <v>38</v>
      </c>
      <c r="F3990" s="3" t="s">
        <v>4176</v>
      </c>
      <c r="G3990" s="3" t="s">
        <v>43</v>
      </c>
      <c r="H3990" s="3" t="s">
        <v>253</v>
      </c>
      <c r="I3990" s="2">
        <v>23</v>
      </c>
      <c r="J3990" s="2">
        <v>23</v>
      </c>
      <c r="K3990" s="2">
        <v>3</v>
      </c>
      <c r="O3990" s="2">
        <v>6</v>
      </c>
      <c r="U3990" s="2">
        <v>3</v>
      </c>
      <c r="V3990" s="2">
        <v>12</v>
      </c>
      <c r="W3990" s="2">
        <v>3</v>
      </c>
      <c r="X3990" s="2">
        <v>6</v>
      </c>
      <c r="Z3990" s="2">
        <v>22</v>
      </c>
      <c r="AA3990" s="3" t="s">
        <v>40</v>
      </c>
      <c r="AB3990" s="2">
        <v>3</v>
      </c>
      <c r="AF3990" s="2">
        <v>28</v>
      </c>
      <c r="AG3990" s="2">
        <v>2</v>
      </c>
      <c r="AH3990" s="3" t="s">
        <v>3349</v>
      </c>
      <c r="AI3990" s="4">
        <v>45460</v>
      </c>
      <c r="AJ3990" s="3" t="s">
        <v>4164</v>
      </c>
      <c r="AK3990" s="3" t="s">
        <v>38</v>
      </c>
    </row>
    <row r="3991" spans="1:37" hidden="1" x14ac:dyDescent="0.25">
      <c r="A3991" t="str">
        <f t="shared" si="62"/>
        <v>2024_Vic_Walpeup_Lentil_SatelliteTOS2VarietyBoltWaterTrtRainFed</v>
      </c>
      <c r="B3991" s="2">
        <v>2024045</v>
      </c>
      <c r="C3991" s="3" t="s">
        <v>4140</v>
      </c>
      <c r="D3991" s="3" t="s">
        <v>38</v>
      </c>
      <c r="F3991" s="3" t="s">
        <v>4187</v>
      </c>
      <c r="G3991" s="3" t="s">
        <v>39</v>
      </c>
      <c r="H3991" s="3" t="s">
        <v>253</v>
      </c>
      <c r="I3991" s="2">
        <v>24</v>
      </c>
      <c r="J3991" s="2">
        <v>24</v>
      </c>
      <c r="K3991" s="2">
        <v>3</v>
      </c>
      <c r="O3991" s="2">
        <v>6</v>
      </c>
      <c r="U3991" s="2">
        <v>4</v>
      </c>
      <c r="V3991" s="2">
        <v>12</v>
      </c>
      <c r="W3991" s="2">
        <v>4</v>
      </c>
      <c r="X3991" s="2">
        <v>6</v>
      </c>
      <c r="Z3991" s="2">
        <v>21</v>
      </c>
      <c r="AA3991" s="3" t="s">
        <v>40</v>
      </c>
      <c r="AB3991" s="2">
        <v>1</v>
      </c>
      <c r="AF3991" s="2">
        <v>28</v>
      </c>
      <c r="AG3991" s="2">
        <v>2</v>
      </c>
      <c r="AH3991" s="3" t="s">
        <v>3349</v>
      </c>
      <c r="AI3991" s="4">
        <v>45460</v>
      </c>
      <c r="AJ3991" s="3" t="s">
        <v>4165</v>
      </c>
      <c r="AK3991" s="3" t="s">
        <v>38</v>
      </c>
    </row>
    <row r="3992" spans="1:37" hidden="1" x14ac:dyDescent="0.25">
      <c r="A3992" t="str">
        <f t="shared" si="62"/>
        <v>2024_Vic_Walpeup_Lentil_SatelliteTOS2VarietyHallmarkXTWaterTrtRainFed</v>
      </c>
      <c r="B3992" s="2">
        <v>2024045</v>
      </c>
      <c r="C3992" s="3" t="s">
        <v>4140</v>
      </c>
      <c r="D3992" s="3" t="s">
        <v>38</v>
      </c>
      <c r="F3992" s="3" t="s">
        <v>4189</v>
      </c>
      <c r="G3992" s="3" t="s">
        <v>39</v>
      </c>
      <c r="H3992" s="3" t="s">
        <v>253</v>
      </c>
      <c r="I3992" s="2">
        <v>25</v>
      </c>
      <c r="J3992" s="2">
        <v>25</v>
      </c>
      <c r="K3992" s="2">
        <v>4</v>
      </c>
      <c r="O3992" s="2">
        <v>7</v>
      </c>
      <c r="U3992" s="2">
        <v>1</v>
      </c>
      <c r="V3992" s="2">
        <v>14</v>
      </c>
      <c r="W3992" s="2">
        <v>1</v>
      </c>
      <c r="X3992" s="2">
        <v>7</v>
      </c>
      <c r="Z3992" s="2">
        <v>25</v>
      </c>
      <c r="AA3992" s="3" t="s">
        <v>40</v>
      </c>
      <c r="AB3992" s="2">
        <v>2</v>
      </c>
      <c r="AF3992" s="2">
        <v>28</v>
      </c>
      <c r="AG3992" s="2">
        <v>2</v>
      </c>
      <c r="AH3992" s="3" t="s">
        <v>3349</v>
      </c>
      <c r="AI3992" s="4">
        <v>45460</v>
      </c>
      <c r="AJ3992" s="3" t="s">
        <v>4166</v>
      </c>
      <c r="AK3992" s="3" t="s">
        <v>38</v>
      </c>
    </row>
    <row r="3993" spans="1:37" hidden="1" x14ac:dyDescent="0.25">
      <c r="A3993" t="str">
        <f t="shared" si="62"/>
        <v>2024_Vic_Walpeup_Lentil_SatelliteTOS2VarietyBoltWaterTrtRainFed</v>
      </c>
      <c r="B3993" s="2">
        <v>2024045</v>
      </c>
      <c r="C3993" s="3" t="s">
        <v>4140</v>
      </c>
      <c r="D3993" s="3" t="s">
        <v>38</v>
      </c>
      <c r="F3993" s="3" t="s">
        <v>4187</v>
      </c>
      <c r="G3993" s="3" t="s">
        <v>39</v>
      </c>
      <c r="H3993" s="3" t="s">
        <v>253</v>
      </c>
      <c r="I3993" s="2">
        <v>26</v>
      </c>
      <c r="J3993" s="2">
        <v>26</v>
      </c>
      <c r="K3993" s="2">
        <v>4</v>
      </c>
      <c r="O3993" s="2">
        <v>7</v>
      </c>
      <c r="U3993" s="2">
        <v>2</v>
      </c>
      <c r="V3993" s="2">
        <v>14</v>
      </c>
      <c r="W3993" s="2">
        <v>2</v>
      </c>
      <c r="X3993" s="2">
        <v>7</v>
      </c>
      <c r="Z3993" s="2">
        <v>26</v>
      </c>
      <c r="AA3993" s="3" t="s">
        <v>40</v>
      </c>
      <c r="AB3993" s="2">
        <v>1</v>
      </c>
      <c r="AF3993" s="2">
        <v>28</v>
      </c>
      <c r="AG3993" s="2">
        <v>2</v>
      </c>
      <c r="AH3993" s="3" t="s">
        <v>3349</v>
      </c>
      <c r="AI3993" s="4">
        <v>45460</v>
      </c>
      <c r="AJ3993" s="3" t="s">
        <v>4167</v>
      </c>
      <c r="AK3993" s="3" t="s">
        <v>38</v>
      </c>
    </row>
    <row r="3994" spans="1:37" hidden="1" x14ac:dyDescent="0.25">
      <c r="A3994" t="str">
        <f t="shared" si="62"/>
        <v>2024_Vic_Walpeup_Lentil_SatelliteTOS2VarietyKelpieXTWaterTrtRainFed</v>
      </c>
      <c r="B3994" s="2">
        <v>2024045</v>
      </c>
      <c r="C3994" s="3" t="s">
        <v>4140</v>
      </c>
      <c r="D3994" s="3" t="s">
        <v>38</v>
      </c>
      <c r="F3994" s="3" t="s">
        <v>4188</v>
      </c>
      <c r="G3994" s="3" t="s">
        <v>43</v>
      </c>
      <c r="H3994" s="3" t="s">
        <v>253</v>
      </c>
      <c r="I3994" s="2">
        <v>27</v>
      </c>
      <c r="J3994" s="2">
        <v>27</v>
      </c>
      <c r="K3994" s="2">
        <v>4</v>
      </c>
      <c r="O3994" s="2">
        <v>7</v>
      </c>
      <c r="U3994" s="2">
        <v>3</v>
      </c>
      <c r="V3994" s="2">
        <v>14</v>
      </c>
      <c r="W3994" s="2">
        <v>3</v>
      </c>
      <c r="X3994" s="2">
        <v>7</v>
      </c>
      <c r="Z3994" s="2">
        <v>27</v>
      </c>
      <c r="AA3994" s="3" t="s">
        <v>40</v>
      </c>
      <c r="AB3994" s="2">
        <v>4</v>
      </c>
      <c r="AF3994" s="2">
        <v>28</v>
      </c>
      <c r="AG3994" s="2">
        <v>2</v>
      </c>
      <c r="AH3994" s="3" t="s">
        <v>3349</v>
      </c>
      <c r="AI3994" s="4">
        <v>45460</v>
      </c>
      <c r="AJ3994" s="3" t="s">
        <v>4168</v>
      </c>
      <c r="AK3994" s="3" t="s">
        <v>38</v>
      </c>
    </row>
    <row r="3995" spans="1:37" hidden="1" x14ac:dyDescent="0.25">
      <c r="A3995" t="str">
        <f t="shared" si="62"/>
        <v>2024_Vic_Walpeup_Lentil_SatelliteTOS2VarietyJumbo2WaterTrtRainFed</v>
      </c>
      <c r="B3995" s="2">
        <v>2024045</v>
      </c>
      <c r="C3995" s="3" t="s">
        <v>4140</v>
      </c>
      <c r="D3995" s="3" t="s">
        <v>38</v>
      </c>
      <c r="F3995" s="3" t="s">
        <v>4176</v>
      </c>
      <c r="G3995" s="3" t="s">
        <v>43</v>
      </c>
      <c r="H3995" s="3" t="s">
        <v>253</v>
      </c>
      <c r="I3995" s="2">
        <v>28</v>
      </c>
      <c r="J3995" s="2">
        <v>28</v>
      </c>
      <c r="K3995" s="2">
        <v>4</v>
      </c>
      <c r="O3995" s="2">
        <v>7</v>
      </c>
      <c r="U3995" s="2">
        <v>4</v>
      </c>
      <c r="V3995" s="2">
        <v>14</v>
      </c>
      <c r="W3995" s="2">
        <v>4</v>
      </c>
      <c r="X3995" s="2">
        <v>7</v>
      </c>
      <c r="Z3995" s="2">
        <v>28</v>
      </c>
      <c r="AA3995" s="3" t="s">
        <v>40</v>
      </c>
      <c r="AB3995" s="2">
        <v>3</v>
      </c>
      <c r="AF3995" s="2">
        <v>28</v>
      </c>
      <c r="AG3995" s="2">
        <v>2</v>
      </c>
      <c r="AH3995" s="3" t="s">
        <v>3349</v>
      </c>
      <c r="AI3995" s="4">
        <v>45460</v>
      </c>
      <c r="AJ3995" s="3" t="s">
        <v>4169</v>
      </c>
      <c r="AK3995" s="3" t="s">
        <v>38</v>
      </c>
    </row>
    <row r="3996" spans="1:37" hidden="1" x14ac:dyDescent="0.25">
      <c r="A3996" t="str">
        <f t="shared" si="62"/>
        <v>2024_Vic_Walpeup_Lentil_SatelliteTOS1VarietyBoltWaterTrtRainFed</v>
      </c>
      <c r="B3996" s="2">
        <v>2024045</v>
      </c>
      <c r="C3996" s="3" t="s">
        <v>4140</v>
      </c>
      <c r="D3996" s="3" t="s">
        <v>38</v>
      </c>
      <c r="F3996" s="3" t="s">
        <v>4187</v>
      </c>
      <c r="G3996" s="3" t="s">
        <v>39</v>
      </c>
      <c r="H3996" s="3" t="s">
        <v>253</v>
      </c>
      <c r="I3996" s="2">
        <v>29</v>
      </c>
      <c r="J3996" s="2">
        <v>29</v>
      </c>
      <c r="K3996" s="2">
        <v>4</v>
      </c>
      <c r="O3996" s="2">
        <v>8</v>
      </c>
      <c r="U3996" s="2">
        <v>1</v>
      </c>
      <c r="V3996" s="2">
        <v>16</v>
      </c>
      <c r="W3996" s="2">
        <v>1</v>
      </c>
      <c r="X3996" s="2">
        <v>8</v>
      </c>
      <c r="Z3996" s="2">
        <v>32</v>
      </c>
      <c r="AA3996" s="3" t="s">
        <v>40</v>
      </c>
      <c r="AB3996" s="2">
        <v>1</v>
      </c>
      <c r="AF3996" s="2">
        <v>28</v>
      </c>
      <c r="AG3996" s="2">
        <v>1</v>
      </c>
      <c r="AH3996" s="3" t="s">
        <v>4141</v>
      </c>
      <c r="AI3996" s="4">
        <v>45421</v>
      </c>
      <c r="AJ3996" s="3" t="s">
        <v>4170</v>
      </c>
      <c r="AK3996" s="3" t="s">
        <v>38</v>
      </c>
    </row>
    <row r="3997" spans="1:37" hidden="1" x14ac:dyDescent="0.25">
      <c r="A3997" t="str">
        <f t="shared" si="62"/>
        <v>2024_Vic_Walpeup_Lentil_SatelliteTOS1VarietyJumbo2WaterTrtRainFed</v>
      </c>
      <c r="B3997" s="2">
        <v>2024045</v>
      </c>
      <c r="C3997" s="3" t="s">
        <v>4140</v>
      </c>
      <c r="D3997" s="3" t="s">
        <v>38</v>
      </c>
      <c r="F3997" s="3" t="s">
        <v>4176</v>
      </c>
      <c r="G3997" s="3" t="s">
        <v>43</v>
      </c>
      <c r="H3997" s="3" t="s">
        <v>253</v>
      </c>
      <c r="I3997" s="2">
        <v>30</v>
      </c>
      <c r="J3997" s="2">
        <v>30</v>
      </c>
      <c r="K3997" s="2">
        <v>4</v>
      </c>
      <c r="O3997" s="2">
        <v>8</v>
      </c>
      <c r="U3997" s="2">
        <v>2</v>
      </c>
      <c r="V3997" s="2">
        <v>16</v>
      </c>
      <c r="W3997" s="2">
        <v>2</v>
      </c>
      <c r="X3997" s="2">
        <v>8</v>
      </c>
      <c r="Z3997" s="2">
        <v>31</v>
      </c>
      <c r="AA3997" s="3" t="s">
        <v>40</v>
      </c>
      <c r="AB3997" s="2">
        <v>3</v>
      </c>
      <c r="AF3997" s="2">
        <v>28</v>
      </c>
      <c r="AG3997" s="2">
        <v>1</v>
      </c>
      <c r="AH3997" s="3" t="s">
        <v>4141</v>
      </c>
      <c r="AI3997" s="4">
        <v>45421</v>
      </c>
      <c r="AJ3997" s="3" t="s">
        <v>4171</v>
      </c>
      <c r="AK3997" s="3" t="s">
        <v>38</v>
      </c>
    </row>
    <row r="3998" spans="1:37" hidden="1" x14ac:dyDescent="0.25">
      <c r="A3998" t="str">
        <f t="shared" si="62"/>
        <v>2024_Vic_Walpeup_Lentil_SatelliteTOS1VarietyHallmarkXTWaterTrtRainFed</v>
      </c>
      <c r="B3998" s="2">
        <v>2024045</v>
      </c>
      <c r="C3998" s="3" t="s">
        <v>4140</v>
      </c>
      <c r="D3998" s="3" t="s">
        <v>38</v>
      </c>
      <c r="F3998" s="3" t="s">
        <v>4189</v>
      </c>
      <c r="G3998" s="3" t="s">
        <v>39</v>
      </c>
      <c r="H3998" s="3" t="s">
        <v>253</v>
      </c>
      <c r="I3998" s="2">
        <v>31</v>
      </c>
      <c r="J3998" s="2">
        <v>31</v>
      </c>
      <c r="K3998" s="2">
        <v>4</v>
      </c>
      <c r="O3998" s="2">
        <v>8</v>
      </c>
      <c r="U3998" s="2">
        <v>3</v>
      </c>
      <c r="V3998" s="2">
        <v>16</v>
      </c>
      <c r="W3998" s="2">
        <v>3</v>
      </c>
      <c r="X3998" s="2">
        <v>8</v>
      </c>
      <c r="Z3998" s="2">
        <v>30</v>
      </c>
      <c r="AA3998" s="3" t="s">
        <v>40</v>
      </c>
      <c r="AB3998" s="2">
        <v>2</v>
      </c>
      <c r="AF3998" s="2">
        <v>28</v>
      </c>
      <c r="AG3998" s="2">
        <v>1</v>
      </c>
      <c r="AH3998" s="3" t="s">
        <v>4141</v>
      </c>
      <c r="AI3998" s="4">
        <v>45421</v>
      </c>
      <c r="AJ3998" s="3" t="s">
        <v>4172</v>
      </c>
      <c r="AK3998" s="3" t="s">
        <v>38</v>
      </c>
    </row>
    <row r="3999" spans="1:37" hidden="1" x14ac:dyDescent="0.25">
      <c r="A3999" t="str">
        <f t="shared" si="62"/>
        <v>2024_Vic_Walpeup_Lentil_SatelliteTOS1VarietyKelpieXTWaterTrtRainFed</v>
      </c>
      <c r="B3999" s="2">
        <v>2024045</v>
      </c>
      <c r="C3999" s="3" t="s">
        <v>4140</v>
      </c>
      <c r="D3999" s="3" t="s">
        <v>38</v>
      </c>
      <c r="F3999" s="3" t="s">
        <v>4188</v>
      </c>
      <c r="G3999" s="3" t="s">
        <v>43</v>
      </c>
      <c r="H3999" s="3" t="s">
        <v>253</v>
      </c>
      <c r="I3999" s="2">
        <v>32</v>
      </c>
      <c r="J3999" s="2">
        <v>32</v>
      </c>
      <c r="K3999" s="2">
        <v>4</v>
      </c>
      <c r="O3999" s="2">
        <v>8</v>
      </c>
      <c r="U3999" s="2">
        <v>4</v>
      </c>
      <c r="V3999" s="2">
        <v>16</v>
      </c>
      <c r="W3999" s="2">
        <v>4</v>
      </c>
      <c r="X3999" s="2">
        <v>8</v>
      </c>
      <c r="Z3999" s="2">
        <v>29</v>
      </c>
      <c r="AA3999" s="3" t="s">
        <v>40</v>
      </c>
      <c r="AB3999" s="2">
        <v>4</v>
      </c>
      <c r="AF3999" s="2">
        <v>28</v>
      </c>
      <c r="AG3999" s="2">
        <v>1</v>
      </c>
      <c r="AH3999" s="3" t="s">
        <v>4141</v>
      </c>
      <c r="AI3999" s="4">
        <v>45421</v>
      </c>
      <c r="AJ3999" s="3" t="s">
        <v>4173</v>
      </c>
      <c r="AK3999" s="3" t="s">
        <v>38</v>
      </c>
    </row>
  </sheetData>
  <autoFilter ref="A1:AK3999" xr:uid="{00000000-0001-0000-0000-000000000000}">
    <filterColumn colId="0">
      <filters>
        <filter val="2022_NSW_WaggaWagga_Lentil_DetailedTOS1VarietyBoltWaterTrtIrrigated"/>
        <filter val="2022_NSW_WaggaWagga_Lentil_DetailedTOS1VarietyBoltWaterTrtRainFed"/>
        <filter val="2022_NSW_WaggaWagga_Lentil_DetailedTOS1VarietyHallmarkXTWaterTrtIrrigated"/>
        <filter val="2022_NSW_WaggaWagga_Lentil_DetailedTOS1VarietyHallmarkXTWaterTrtRainFed"/>
        <filter val="2022_NSW_WaggaWagga_Lentil_DetailedTOS1VarietyJumbo2WaterTrtIrrigated"/>
        <filter val="2022_NSW_WaggaWagga_Lentil_DetailedTOS1VarietyJumbo2WaterTrtRainFed"/>
        <filter val="2022_NSW_WaggaWagga_Lentil_DetailedTOS1VarietyKelpieXTWaterTrtIrrigated"/>
        <filter val="2022_NSW_WaggaWagga_Lentil_DetailedTOS1VarietyKelpieXTWaterTrtRainFed"/>
        <filter val="2022_NSW_WaggaWagga_Lentil_DetailedTOS2VarietyBoltWaterTrtIrrigated"/>
        <filter val="2022_NSW_WaggaWagga_Lentil_DetailedTOS2VarietyBoltWaterTrtRainFed"/>
        <filter val="2022_NSW_WaggaWagga_Lentil_DetailedTOS2VarietyHallmarkXTWaterTrtIrrigated"/>
        <filter val="2022_NSW_WaggaWagga_Lentil_DetailedTOS2VarietyHallmarkXTWaterTrtRainFed"/>
        <filter val="2022_NSW_WaggaWagga_Lentil_DetailedTOS2VarietyJumbo2WaterTrtIrrigated"/>
        <filter val="2022_NSW_WaggaWagga_Lentil_DetailedTOS2VarietyJumbo2WaterTrtRainFed"/>
        <filter val="2022_NSW_WaggaWagga_Lentil_DetailedTOS2VarietyKelpieXTWaterTrtIrrigated"/>
        <filter val="2022_NSW_WaggaWagga_Lentil_DetailedTOS2VarietyKelpieXTWaterTrtRainFed"/>
      </filters>
    </filterColumn>
    <filterColumn colId="5">
      <filters>
        <filter val="Bolt"/>
      </filters>
    </filterColumn>
    <filterColumn colId="10">
      <filters>
        <filter val="1"/>
      </filters>
    </filterColumn>
    <filterColumn colId="26">
      <filters>
        <filter val="Irrigated"/>
      </filters>
    </filterColumn>
    <filterColumn colId="32">
      <filters>
        <filter val="1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lastModifiedBy>Hamish Brown</cp:lastModifiedBy>
  <dcterms:created xsi:type="dcterms:W3CDTF">2026-04-29T22:34:37Z</dcterms:created>
  <dcterms:modified xsi:type="dcterms:W3CDTF">2026-05-29T05:01:09Z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2026-05-29T01:41:10Z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43289049-1d83-463d-a153-18c7eefa7a4c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